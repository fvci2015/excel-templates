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Accounting\"/>
    </mc:Choice>
  </mc:AlternateContent>
  <xr:revisionPtr revIDLastSave="0" documentId="13_ncr:1_{BC8BB54C-2BEF-45CF-8323-FF07BABC0E03}" xr6:coauthVersionLast="47" xr6:coauthVersionMax="47" xr10:uidLastSave="{00000000-0000-0000-0000-000000000000}"/>
  <bookViews>
    <workbookView xWindow="-120" yWindow="-120" windowWidth="29040" windowHeight="15840" tabRatio="757" xr2:uid="{D8EEB248-1817-4336-A79C-DEC6ED0AE5BE}"/>
  </bookViews>
  <sheets>
    <sheet name="Introduction" sheetId="1" r:id="rId1"/>
    <sheet name="Enter Invoices" sheetId="2" r:id="rId2"/>
    <sheet name="Record Customer Payments" sheetId="3" r:id="rId3"/>
    <sheet name="Sheet2" sheetId="10" state="hidden" r:id="rId4"/>
    <sheet name="Open Invoices" sheetId="4" r:id="rId5"/>
    <sheet name="Aging Report" sheetId="8" r:id="rId6"/>
    <sheet name="Lists" sheetId="7" r:id="rId7"/>
  </sheets>
  <definedNames>
    <definedName name="_aaa1" hidden="1">{#N/A,#N/A,FALSE,"Antony Financials";#N/A,#N/A,FALSE,"Cowboy Financials";#N/A,#N/A,FALSE,"Combined";#N/A,#N/A,FALSE,"Valuematrix";#N/A,#N/A,FALSE,"DCFAntony";#N/A,#N/A,FALSE,"DCFCowboy";#N/A,#N/A,FALSE,"DCFCombined"}</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nvoiceNum">OFFSET(Invoices[Invoice '#],0,0,COUNTA(Invoices[Invoice '#]),1)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Customer">#N/A</definedName>
    <definedName name="t" hidden="1">{#N/A,#N/A,FALSE,"A&amp;E";#N/A,#N/A,FALSE,"HighTop";#N/A,#N/A,FALSE,"JG";#N/A,#N/A,FALSE,"RI";#N/A,#N/A,FALSE,"woHT";#N/A,#N/A,FALSE,"woHT&amp;JG"}</definedName>
    <definedName name="Terms">OFFSET(Lists!$B$4,0,0,COUNTA(Lists!$B:$B)-2,1)</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3" l="1"/>
  <c r="H4" i="3" s="1"/>
  <c r="E12" i="3"/>
  <c r="H12" i="3" s="1"/>
  <c r="E13" i="3"/>
  <c r="H13" i="3" s="1"/>
  <c r="E14" i="3"/>
  <c r="H14" i="3" s="1"/>
  <c r="E15" i="3"/>
  <c r="H15" i="3" s="1"/>
  <c r="E16" i="3"/>
  <c r="H16" i="3" s="1"/>
  <c r="E17" i="3"/>
  <c r="H17" i="3" s="1"/>
  <c r="E18" i="3"/>
  <c r="H18" i="3" s="1"/>
  <c r="E19" i="3"/>
  <c r="H19" i="3" s="1"/>
  <c r="E20" i="3"/>
  <c r="H20" i="3" s="1"/>
  <c r="E21" i="3"/>
  <c r="H21" i="3" s="1"/>
  <c r="E22" i="3"/>
  <c r="H22" i="3" s="1"/>
  <c r="E23" i="3"/>
  <c r="H23" i="3" s="1"/>
  <c r="E24" i="3"/>
  <c r="H24" i="3" s="1"/>
  <c r="E25" i="3"/>
  <c r="H25" i="3" s="1"/>
  <c r="E26" i="3"/>
  <c r="H26" i="3" s="1"/>
  <c r="E27" i="3"/>
  <c r="H27" i="3" s="1"/>
  <c r="E28" i="3"/>
  <c r="H28" i="3" s="1"/>
  <c r="E29" i="3"/>
  <c r="H29" i="3" s="1"/>
  <c r="E30" i="3"/>
  <c r="H30" i="3" s="1"/>
  <c r="E31" i="3"/>
  <c r="H31" i="3" s="1"/>
  <c r="E32" i="3"/>
  <c r="H32" i="3" s="1"/>
  <c r="E33" i="3"/>
  <c r="H33" i="3" s="1"/>
  <c r="E34" i="3"/>
  <c r="H34" i="3" s="1"/>
  <c r="E35" i="3"/>
  <c r="H35" i="3" s="1"/>
  <c r="E36" i="3"/>
  <c r="H36" i="3" s="1"/>
  <c r="E37" i="3"/>
  <c r="H37" i="3" s="1"/>
  <c r="E38" i="3"/>
  <c r="H38" i="3" s="1"/>
  <c r="E39" i="3"/>
  <c r="H39" i="3" s="1"/>
  <c r="E40" i="3"/>
  <c r="H40" i="3" s="1"/>
  <c r="E41" i="3"/>
  <c r="H41" i="3" s="1"/>
  <c r="E42" i="3"/>
  <c r="H42" i="3" s="1"/>
  <c r="E43" i="3"/>
  <c r="H43" i="3" s="1"/>
  <c r="E44" i="3"/>
  <c r="H44" i="3" s="1"/>
  <c r="E45" i="3"/>
  <c r="H45" i="3" s="1"/>
  <c r="E46" i="3"/>
  <c r="H46" i="3" s="1"/>
  <c r="E47" i="3"/>
  <c r="H47" i="3" s="1"/>
  <c r="E48" i="3"/>
  <c r="H48" i="3" s="1"/>
  <c r="E49" i="3"/>
  <c r="H49" i="3" s="1"/>
  <c r="E50" i="3"/>
  <c r="H50" i="3" s="1"/>
  <c r="E51" i="3"/>
  <c r="H51" i="3" s="1"/>
  <c r="E52" i="3"/>
  <c r="H52" i="3" s="1"/>
  <c r="E53" i="3"/>
  <c r="H53" i="3" s="1"/>
  <c r="E54" i="3"/>
  <c r="H54" i="3" s="1"/>
  <c r="E55" i="3"/>
  <c r="H55" i="3" s="1"/>
  <c r="E56" i="3"/>
  <c r="H56" i="3" s="1"/>
  <c r="E57" i="3"/>
  <c r="H57" i="3" s="1"/>
  <c r="E58" i="3"/>
  <c r="H58" i="3" s="1"/>
  <c r="E59" i="3"/>
  <c r="H59" i="3" s="1"/>
  <c r="E60" i="3"/>
  <c r="H60" i="3" s="1"/>
  <c r="E61" i="3"/>
  <c r="H61" i="3" s="1"/>
  <c r="E62" i="3"/>
  <c r="H62" i="3" s="1"/>
  <c r="E63" i="3"/>
  <c r="H63" i="3" s="1"/>
  <c r="E64" i="3"/>
  <c r="H64" i="3" s="1"/>
  <c r="E65" i="3"/>
  <c r="H65" i="3" s="1"/>
  <c r="E66" i="3"/>
  <c r="H66" i="3" s="1"/>
  <c r="E67" i="3"/>
  <c r="H67" i="3" s="1"/>
  <c r="E68" i="3"/>
  <c r="H68" i="3" s="1"/>
  <c r="E69" i="3"/>
  <c r="H69" i="3" s="1"/>
  <c r="E70" i="3"/>
  <c r="H70" i="3" s="1"/>
  <c r="E71" i="3"/>
  <c r="H71" i="3" s="1"/>
  <c r="E72" i="3"/>
  <c r="H72" i="3" s="1"/>
  <c r="E73" i="3"/>
  <c r="H73" i="3" s="1"/>
  <c r="E74" i="3"/>
  <c r="H74" i="3" s="1"/>
  <c r="E75" i="3"/>
  <c r="H75" i="3" s="1"/>
  <c r="E76" i="3"/>
  <c r="H76" i="3" s="1"/>
  <c r="E77" i="3"/>
  <c r="H77" i="3" s="1"/>
  <c r="E78" i="3"/>
  <c r="H78" i="3" s="1"/>
  <c r="E79" i="3"/>
  <c r="H79" i="3" s="1"/>
  <c r="E80" i="3"/>
  <c r="H80" i="3" s="1"/>
  <c r="E81" i="3"/>
  <c r="H81" i="3" s="1"/>
  <c r="E82" i="3"/>
  <c r="H82" i="3" s="1"/>
  <c r="E83" i="3"/>
  <c r="H83" i="3" s="1"/>
  <c r="E84" i="3"/>
  <c r="H84" i="3" s="1"/>
  <c r="E85" i="3"/>
  <c r="H85" i="3" s="1"/>
  <c r="E86" i="3"/>
  <c r="H86" i="3" s="1"/>
  <c r="E87" i="3"/>
  <c r="H87" i="3" s="1"/>
  <c r="E88" i="3"/>
  <c r="H88" i="3" s="1"/>
  <c r="E89" i="3"/>
  <c r="H89" i="3" s="1"/>
  <c r="E90" i="3"/>
  <c r="H90" i="3" s="1"/>
  <c r="E91" i="3"/>
  <c r="H91" i="3" s="1"/>
  <c r="E92" i="3"/>
  <c r="H92" i="3" s="1"/>
  <c r="E93" i="3"/>
  <c r="H93" i="3" s="1"/>
  <c r="E94" i="3"/>
  <c r="H94" i="3" s="1"/>
  <c r="E95" i="3"/>
  <c r="H95" i="3" s="1"/>
  <c r="E96" i="3"/>
  <c r="H96" i="3" s="1"/>
  <c r="E97" i="3"/>
  <c r="H97" i="3" s="1"/>
  <c r="E98" i="3"/>
  <c r="H98" i="3" s="1"/>
  <c r="E99" i="3"/>
  <c r="H99" i="3" s="1"/>
  <c r="E100" i="3"/>
  <c r="H100" i="3" s="1"/>
  <c r="E101" i="3"/>
  <c r="H101" i="3" s="1"/>
  <c r="E102" i="3"/>
  <c r="H102" i="3" s="1"/>
  <c r="E103" i="3"/>
  <c r="H103" i="3" s="1"/>
  <c r="E104" i="3"/>
  <c r="H104" i="3" s="1"/>
  <c r="E105" i="3"/>
  <c r="H105" i="3" s="1"/>
  <c r="E106" i="3"/>
  <c r="H106" i="3" s="1"/>
  <c r="E107" i="3"/>
  <c r="H107" i="3" s="1"/>
  <c r="E108" i="3"/>
  <c r="H108" i="3" s="1"/>
  <c r="E109" i="3"/>
  <c r="H109" i="3" s="1"/>
  <c r="E110" i="3"/>
  <c r="H110" i="3" s="1"/>
  <c r="E111" i="3"/>
  <c r="H111" i="3" s="1"/>
  <c r="E112" i="3"/>
  <c r="H112" i="3" s="1"/>
  <c r="E113" i="3"/>
  <c r="H113" i="3" s="1"/>
  <c r="E114" i="3"/>
  <c r="H114" i="3" s="1"/>
  <c r="E115" i="3"/>
  <c r="H115" i="3" s="1"/>
  <c r="E116" i="3"/>
  <c r="H116" i="3" s="1"/>
  <c r="E117" i="3"/>
  <c r="H117" i="3" s="1"/>
  <c r="E118" i="3"/>
  <c r="H118" i="3" s="1"/>
  <c r="E119" i="3"/>
  <c r="H119" i="3" s="1"/>
  <c r="E120" i="3"/>
  <c r="H120" i="3" s="1"/>
  <c r="E121" i="3"/>
  <c r="H121" i="3" s="1"/>
  <c r="E122" i="3"/>
  <c r="H122" i="3" s="1"/>
  <c r="E123" i="3"/>
  <c r="H123" i="3" s="1"/>
  <c r="E124" i="3"/>
  <c r="H124" i="3" s="1"/>
  <c r="E125" i="3"/>
  <c r="H125" i="3" s="1"/>
  <c r="E126" i="3"/>
  <c r="H126" i="3" s="1"/>
  <c r="E127" i="3"/>
  <c r="H127" i="3" s="1"/>
  <c r="E128" i="3"/>
  <c r="H128" i="3" s="1"/>
  <c r="E129" i="3"/>
  <c r="H129" i="3" s="1"/>
  <c r="E130" i="3"/>
  <c r="H130" i="3" s="1"/>
  <c r="E131" i="3"/>
  <c r="H131" i="3" s="1"/>
  <c r="E132" i="3"/>
  <c r="H132" i="3" s="1"/>
  <c r="E133" i="3"/>
  <c r="H133" i="3" s="1"/>
  <c r="E134" i="3"/>
  <c r="H134" i="3" s="1"/>
  <c r="E135" i="3"/>
  <c r="H135" i="3" s="1"/>
  <c r="E136" i="3"/>
  <c r="H136" i="3" s="1"/>
  <c r="E137" i="3"/>
  <c r="H137" i="3" s="1"/>
  <c r="E138" i="3"/>
  <c r="H138" i="3" s="1"/>
  <c r="E139" i="3"/>
  <c r="H139" i="3" s="1"/>
  <c r="E140" i="3"/>
  <c r="H140" i="3" s="1"/>
  <c r="E141" i="3"/>
  <c r="H141" i="3" s="1"/>
  <c r="E142" i="3"/>
  <c r="H142" i="3" s="1"/>
  <c r="E143" i="3"/>
  <c r="H143" i="3" s="1"/>
  <c r="E144" i="3"/>
  <c r="H144" i="3" s="1"/>
  <c r="E145" i="3"/>
  <c r="H145" i="3" s="1"/>
  <c r="E146" i="3"/>
  <c r="H146" i="3" s="1"/>
  <c r="E147" i="3"/>
  <c r="H147" i="3" s="1"/>
  <c r="E148" i="3"/>
  <c r="H148" i="3" s="1"/>
  <c r="E149" i="3"/>
  <c r="H149" i="3" s="1"/>
  <c r="E150" i="3"/>
  <c r="H150" i="3" s="1"/>
  <c r="E151" i="3"/>
  <c r="H151" i="3" s="1"/>
  <c r="E152" i="3"/>
  <c r="H152" i="3" s="1"/>
  <c r="E153" i="3"/>
  <c r="H153" i="3" s="1"/>
  <c r="E154" i="3"/>
  <c r="H154" i="3" s="1"/>
  <c r="E155" i="3"/>
  <c r="H155" i="3" s="1"/>
  <c r="E156" i="3"/>
  <c r="H156" i="3" s="1"/>
  <c r="E157" i="3"/>
  <c r="H157" i="3" s="1"/>
  <c r="E158" i="3"/>
  <c r="H158" i="3" s="1"/>
  <c r="E159" i="3"/>
  <c r="H159" i="3" s="1"/>
  <c r="E160" i="3"/>
  <c r="H160" i="3" s="1"/>
  <c r="E161" i="3"/>
  <c r="H161" i="3" s="1"/>
  <c r="E162" i="3"/>
  <c r="H162" i="3" s="1"/>
  <c r="E163" i="3"/>
  <c r="H163" i="3" s="1"/>
  <c r="E164" i="3"/>
  <c r="H164" i="3" s="1"/>
  <c r="E165" i="3"/>
  <c r="H165" i="3" s="1"/>
  <c r="E166" i="3"/>
  <c r="H166" i="3" s="1"/>
  <c r="E167" i="3"/>
  <c r="H167" i="3" s="1"/>
  <c r="E168" i="3"/>
  <c r="H168" i="3" s="1"/>
  <c r="E169" i="3"/>
  <c r="H169" i="3" s="1"/>
  <c r="E170" i="3"/>
  <c r="H170" i="3" s="1"/>
  <c r="E171" i="3"/>
  <c r="H171" i="3" s="1"/>
  <c r="E172" i="3"/>
  <c r="H172" i="3" s="1"/>
  <c r="E173" i="3"/>
  <c r="H173" i="3" s="1"/>
  <c r="E174" i="3"/>
  <c r="H174" i="3" s="1"/>
  <c r="E175" i="3"/>
  <c r="H175" i="3" s="1"/>
  <c r="E176" i="3"/>
  <c r="H176" i="3" s="1"/>
  <c r="E177" i="3"/>
  <c r="H177" i="3" s="1"/>
  <c r="E178" i="3"/>
  <c r="H178" i="3" s="1"/>
  <c r="E179" i="3"/>
  <c r="H179" i="3" s="1"/>
  <c r="E180" i="3"/>
  <c r="H180" i="3" s="1"/>
  <c r="E181" i="3"/>
  <c r="H181" i="3" s="1"/>
  <c r="E182" i="3"/>
  <c r="H182" i="3" s="1"/>
  <c r="E183" i="3"/>
  <c r="H183" i="3" s="1"/>
  <c r="E184" i="3"/>
  <c r="H184" i="3" s="1"/>
  <c r="E185" i="3"/>
  <c r="H185" i="3" s="1"/>
  <c r="E186" i="3"/>
  <c r="H186" i="3" s="1"/>
  <c r="E187" i="3"/>
  <c r="H187" i="3" s="1"/>
  <c r="E188" i="3"/>
  <c r="H188" i="3" s="1"/>
  <c r="E189" i="3"/>
  <c r="H189" i="3" s="1"/>
  <c r="E190" i="3"/>
  <c r="H190" i="3" s="1"/>
  <c r="E191" i="3"/>
  <c r="H191" i="3" s="1"/>
  <c r="E192" i="3"/>
  <c r="H192" i="3" s="1"/>
  <c r="E193" i="3"/>
  <c r="H193" i="3" s="1"/>
  <c r="E194" i="3"/>
  <c r="H194" i="3" s="1"/>
  <c r="E195" i="3"/>
  <c r="H195" i="3" s="1"/>
  <c r="E196" i="3"/>
  <c r="H196" i="3" s="1"/>
  <c r="E197" i="3"/>
  <c r="H197" i="3" s="1"/>
  <c r="E198" i="3"/>
  <c r="H198" i="3" s="1"/>
  <c r="E199" i="3"/>
  <c r="H199" i="3" s="1"/>
  <c r="E200" i="3"/>
  <c r="H200" i="3" s="1"/>
  <c r="E201" i="3"/>
  <c r="H201" i="3" s="1"/>
  <c r="E202" i="3"/>
  <c r="H202" i="3" s="1"/>
  <c r="E203" i="3"/>
  <c r="H203" i="3" s="1"/>
  <c r="E204" i="3"/>
  <c r="H204" i="3" s="1"/>
  <c r="E205" i="3"/>
  <c r="H205" i="3" s="1"/>
  <c r="E206" i="3"/>
  <c r="H206" i="3" s="1"/>
  <c r="E207" i="3"/>
  <c r="H207" i="3" s="1"/>
  <c r="E208" i="3"/>
  <c r="H208" i="3" s="1"/>
  <c r="E209" i="3"/>
  <c r="H209" i="3" s="1"/>
  <c r="E210" i="3"/>
  <c r="H210" i="3" s="1"/>
  <c r="E211" i="3"/>
  <c r="H211" i="3" s="1"/>
  <c r="E212" i="3"/>
  <c r="H212" i="3" s="1"/>
  <c r="E213" i="3"/>
  <c r="H213" i="3" s="1"/>
  <c r="E214" i="3"/>
  <c r="H214" i="3" s="1"/>
  <c r="E215" i="3"/>
  <c r="H215" i="3" s="1"/>
  <c r="E216" i="3"/>
  <c r="H216" i="3" s="1"/>
  <c r="E217" i="3"/>
  <c r="H217" i="3" s="1"/>
  <c r="E218" i="3"/>
  <c r="H218" i="3" s="1"/>
  <c r="E219" i="3"/>
  <c r="H219" i="3" s="1"/>
  <c r="E220" i="3"/>
  <c r="H220" i="3" s="1"/>
  <c r="E221" i="3"/>
  <c r="H221" i="3" s="1"/>
  <c r="E222" i="3"/>
  <c r="H222" i="3" s="1"/>
  <c r="E223" i="3"/>
  <c r="H223" i="3" s="1"/>
  <c r="E224" i="3"/>
  <c r="H224" i="3" s="1"/>
  <c r="E225" i="3"/>
  <c r="H225" i="3" s="1"/>
  <c r="E226" i="3"/>
  <c r="H226" i="3" s="1"/>
  <c r="E227" i="3"/>
  <c r="H227" i="3" s="1"/>
  <c r="E228" i="3"/>
  <c r="H228" i="3" s="1"/>
  <c r="E229" i="3"/>
  <c r="H229" i="3" s="1"/>
  <c r="E230" i="3"/>
  <c r="H230" i="3" s="1"/>
  <c r="E231" i="3"/>
  <c r="H231" i="3" s="1"/>
  <c r="E232" i="3"/>
  <c r="H232" i="3" s="1"/>
  <c r="E233" i="3"/>
  <c r="H233" i="3" s="1"/>
  <c r="E234" i="3"/>
  <c r="H234" i="3" s="1"/>
  <c r="E235" i="3"/>
  <c r="H235" i="3" s="1"/>
  <c r="E236" i="3"/>
  <c r="H236" i="3" s="1"/>
  <c r="E237" i="3"/>
  <c r="H237" i="3" s="1"/>
  <c r="E238" i="3"/>
  <c r="H238" i="3" s="1"/>
  <c r="E239" i="3"/>
  <c r="H239" i="3" s="1"/>
  <c r="E240" i="3"/>
  <c r="H240" i="3" s="1"/>
  <c r="E241" i="3"/>
  <c r="H241" i="3" s="1"/>
  <c r="E242" i="3"/>
  <c r="H242" i="3" s="1"/>
  <c r="E243" i="3"/>
  <c r="H243" i="3" s="1"/>
  <c r="E244" i="3"/>
  <c r="H244" i="3" s="1"/>
  <c r="E245" i="3"/>
  <c r="H245" i="3" s="1"/>
  <c r="E246" i="3"/>
  <c r="H246" i="3" s="1"/>
  <c r="E247" i="3"/>
  <c r="H247" i="3" s="1"/>
  <c r="E248" i="3"/>
  <c r="H248" i="3" s="1"/>
  <c r="E249" i="3"/>
  <c r="H249" i="3" s="1"/>
  <c r="E250" i="3"/>
  <c r="H250" i="3" s="1"/>
  <c r="E251" i="3"/>
  <c r="H251" i="3" s="1"/>
  <c r="E252" i="3"/>
  <c r="H252" i="3" s="1"/>
  <c r="E253" i="3"/>
  <c r="H253" i="3" s="1"/>
  <c r="E254" i="3"/>
  <c r="H254" i="3" s="1"/>
  <c r="E255" i="3"/>
  <c r="H255" i="3" s="1"/>
  <c r="E256" i="3"/>
  <c r="H256" i="3" s="1"/>
  <c r="E257" i="3"/>
  <c r="H257" i="3" s="1"/>
  <c r="E258" i="3"/>
  <c r="H258" i="3" s="1"/>
  <c r="E259" i="3"/>
  <c r="H259" i="3" s="1"/>
  <c r="E260" i="3"/>
  <c r="H260" i="3" s="1"/>
  <c r="E261" i="3"/>
  <c r="H261" i="3" s="1"/>
  <c r="E262" i="3"/>
  <c r="H262" i="3" s="1"/>
  <c r="E263" i="3"/>
  <c r="H263" i="3" s="1"/>
  <c r="E264" i="3"/>
  <c r="H264" i="3" s="1"/>
  <c r="E265" i="3"/>
  <c r="H265" i="3" s="1"/>
  <c r="E266" i="3"/>
  <c r="H266" i="3" s="1"/>
  <c r="E267" i="3"/>
  <c r="H267" i="3" s="1"/>
  <c r="E268" i="3"/>
  <c r="H268" i="3" s="1"/>
  <c r="E269" i="3"/>
  <c r="H269" i="3" s="1"/>
  <c r="E270" i="3"/>
  <c r="H270" i="3" s="1"/>
  <c r="E271" i="3"/>
  <c r="H271" i="3" s="1"/>
  <c r="E272" i="3"/>
  <c r="H272" i="3" s="1"/>
  <c r="E273" i="3"/>
  <c r="H273" i="3" s="1"/>
  <c r="E274" i="3"/>
  <c r="H274" i="3" s="1"/>
  <c r="E275" i="3"/>
  <c r="H275" i="3" s="1"/>
  <c r="E276" i="3"/>
  <c r="H276" i="3" s="1"/>
  <c r="E277" i="3"/>
  <c r="H277" i="3" s="1"/>
  <c r="E278" i="3"/>
  <c r="H278" i="3" s="1"/>
  <c r="E279" i="3"/>
  <c r="H279" i="3" s="1"/>
  <c r="E280" i="3"/>
  <c r="H280" i="3" s="1"/>
  <c r="E281" i="3"/>
  <c r="H281" i="3" s="1"/>
  <c r="E282" i="3"/>
  <c r="H282" i="3" s="1"/>
  <c r="E283" i="3"/>
  <c r="H283" i="3" s="1"/>
  <c r="E284" i="3"/>
  <c r="H284" i="3" s="1"/>
  <c r="E285" i="3"/>
  <c r="H285" i="3" s="1"/>
  <c r="E286" i="3"/>
  <c r="H286" i="3" s="1"/>
  <c r="E287" i="3"/>
  <c r="H287" i="3" s="1"/>
  <c r="E288" i="3"/>
  <c r="H288" i="3" s="1"/>
  <c r="E289" i="3"/>
  <c r="H289" i="3" s="1"/>
  <c r="E290" i="3"/>
  <c r="H290" i="3" s="1"/>
  <c r="E291" i="3"/>
  <c r="H291" i="3" s="1"/>
  <c r="E292" i="3"/>
  <c r="H292" i="3" s="1"/>
  <c r="E293" i="3"/>
  <c r="H293" i="3" s="1"/>
  <c r="E294" i="3"/>
  <c r="H294" i="3" s="1"/>
  <c r="E295" i="3"/>
  <c r="H295" i="3" s="1"/>
  <c r="E296" i="3"/>
  <c r="H296" i="3" s="1"/>
  <c r="E297" i="3"/>
  <c r="H297" i="3" s="1"/>
  <c r="E298" i="3"/>
  <c r="H298" i="3" s="1"/>
  <c r="E299" i="3"/>
  <c r="H299" i="3" s="1"/>
  <c r="E300" i="3"/>
  <c r="H300" i="3" s="1"/>
  <c r="E301" i="3"/>
  <c r="H301" i="3" s="1"/>
  <c r="E302" i="3"/>
  <c r="H302" i="3" s="1"/>
  <c r="E303" i="3"/>
  <c r="H303" i="3" s="1"/>
  <c r="E304" i="3"/>
  <c r="H304" i="3" s="1"/>
  <c r="E305" i="3"/>
  <c r="H305" i="3" s="1"/>
  <c r="E306" i="3"/>
  <c r="H306" i="3" s="1"/>
  <c r="E307" i="3"/>
  <c r="H307" i="3" s="1"/>
  <c r="E308" i="3"/>
  <c r="H308" i="3" s="1"/>
  <c r="E309" i="3"/>
  <c r="H309" i="3" s="1"/>
  <c r="E310" i="3"/>
  <c r="H310" i="3" s="1"/>
  <c r="E311" i="3"/>
  <c r="H311" i="3" s="1"/>
  <c r="E312" i="3"/>
  <c r="H312" i="3" s="1"/>
  <c r="E313" i="3"/>
  <c r="H313" i="3" s="1"/>
  <c r="E314" i="3"/>
  <c r="H314" i="3" s="1"/>
  <c r="E315" i="3"/>
  <c r="H315" i="3" s="1"/>
  <c r="E316" i="3"/>
  <c r="H316" i="3" s="1"/>
  <c r="E317" i="3"/>
  <c r="H317" i="3" s="1"/>
  <c r="E318" i="3"/>
  <c r="H318" i="3" s="1"/>
  <c r="E319" i="3"/>
  <c r="H319" i="3" s="1"/>
  <c r="E320" i="3"/>
  <c r="H320" i="3" s="1"/>
  <c r="E321" i="3"/>
  <c r="H321" i="3" s="1"/>
  <c r="E322" i="3"/>
  <c r="H322" i="3" s="1"/>
  <c r="E323" i="3"/>
  <c r="H323" i="3" s="1"/>
  <c r="E324" i="3"/>
  <c r="H324" i="3" s="1"/>
  <c r="E325" i="3"/>
  <c r="H325" i="3" s="1"/>
  <c r="E326" i="3"/>
  <c r="H326" i="3" s="1"/>
  <c r="E327" i="3"/>
  <c r="H327" i="3" s="1"/>
  <c r="E328" i="3"/>
  <c r="H328" i="3" s="1"/>
  <c r="E329" i="3"/>
  <c r="H329" i="3" s="1"/>
  <c r="E330" i="3"/>
  <c r="H330" i="3" s="1"/>
  <c r="E331" i="3"/>
  <c r="H331" i="3" s="1"/>
  <c r="E332" i="3"/>
  <c r="H332" i="3" s="1"/>
  <c r="E333" i="3"/>
  <c r="H333" i="3" s="1"/>
  <c r="E334" i="3"/>
  <c r="H334" i="3" s="1"/>
  <c r="E335" i="3"/>
  <c r="H335" i="3" s="1"/>
  <c r="E336" i="3"/>
  <c r="H336" i="3" s="1"/>
  <c r="E337" i="3"/>
  <c r="H337" i="3" s="1"/>
  <c r="E338" i="3"/>
  <c r="H338" i="3" s="1"/>
  <c r="E339" i="3"/>
  <c r="H339" i="3" s="1"/>
  <c r="E340" i="3"/>
  <c r="H340" i="3" s="1"/>
  <c r="E341" i="3"/>
  <c r="H341" i="3" s="1"/>
  <c r="E342" i="3"/>
  <c r="H342" i="3" s="1"/>
  <c r="E343" i="3"/>
  <c r="H343" i="3" s="1"/>
  <c r="E344" i="3"/>
  <c r="H344" i="3" s="1"/>
  <c r="E345" i="3"/>
  <c r="H345" i="3" s="1"/>
  <c r="E346" i="3"/>
  <c r="H346" i="3" s="1"/>
  <c r="E347" i="3"/>
  <c r="H347" i="3" s="1"/>
  <c r="E348" i="3"/>
  <c r="H348" i="3" s="1"/>
  <c r="E349" i="3"/>
  <c r="H349" i="3" s="1"/>
  <c r="E350" i="3"/>
  <c r="H350" i="3" s="1"/>
  <c r="E351" i="3"/>
  <c r="H351" i="3" s="1"/>
  <c r="E352" i="3"/>
  <c r="H352" i="3" s="1"/>
  <c r="E353" i="3"/>
  <c r="H353" i="3" s="1"/>
  <c r="E354" i="3"/>
  <c r="H354" i="3" s="1"/>
  <c r="E355" i="3"/>
  <c r="H355" i="3" s="1"/>
  <c r="E356" i="3"/>
  <c r="H356" i="3" s="1"/>
  <c r="E357" i="3"/>
  <c r="H357" i="3" s="1"/>
  <c r="E358" i="3"/>
  <c r="H358" i="3" s="1"/>
  <c r="E359" i="3"/>
  <c r="H359" i="3" s="1"/>
  <c r="E360" i="3"/>
  <c r="H360" i="3" s="1"/>
  <c r="E361" i="3"/>
  <c r="H361" i="3" s="1"/>
  <c r="E362" i="3"/>
  <c r="H362" i="3" s="1"/>
  <c r="E363" i="3"/>
  <c r="H363" i="3" s="1"/>
  <c r="E364" i="3"/>
  <c r="H364" i="3" s="1"/>
  <c r="E365" i="3"/>
  <c r="H365" i="3" s="1"/>
  <c r="E366" i="3"/>
  <c r="H366" i="3" s="1"/>
  <c r="E367" i="3"/>
  <c r="H367" i="3" s="1"/>
  <c r="E368" i="3"/>
  <c r="H368" i="3" s="1"/>
  <c r="E369" i="3"/>
  <c r="H369" i="3" s="1"/>
  <c r="E370" i="3"/>
  <c r="H370" i="3" s="1"/>
  <c r="E371" i="3"/>
  <c r="H371" i="3" s="1"/>
  <c r="E372" i="3"/>
  <c r="H372" i="3" s="1"/>
  <c r="E373" i="3"/>
  <c r="H373" i="3" s="1"/>
  <c r="E374" i="3"/>
  <c r="H374" i="3" s="1"/>
  <c r="E375" i="3"/>
  <c r="H375" i="3" s="1"/>
  <c r="E376" i="3"/>
  <c r="H376" i="3" s="1"/>
  <c r="E377" i="3"/>
  <c r="H377" i="3" s="1"/>
  <c r="E378" i="3"/>
  <c r="H378" i="3" s="1"/>
  <c r="E379" i="3"/>
  <c r="H379" i="3" s="1"/>
  <c r="E380" i="3"/>
  <c r="H380" i="3" s="1"/>
  <c r="E381" i="3"/>
  <c r="H381" i="3" s="1"/>
  <c r="E382" i="3"/>
  <c r="H382" i="3" s="1"/>
  <c r="E383" i="3"/>
  <c r="H383" i="3" s="1"/>
  <c r="E384" i="3"/>
  <c r="H384" i="3" s="1"/>
  <c r="E385" i="3"/>
  <c r="H385" i="3" s="1"/>
  <c r="E386" i="3"/>
  <c r="H386" i="3" s="1"/>
  <c r="E387" i="3"/>
  <c r="H387" i="3" s="1"/>
  <c r="E388" i="3"/>
  <c r="H388" i="3" s="1"/>
  <c r="E389" i="3"/>
  <c r="H389" i="3" s="1"/>
  <c r="E390" i="3"/>
  <c r="H390" i="3" s="1"/>
  <c r="E391" i="3"/>
  <c r="H391" i="3" s="1"/>
  <c r="E392" i="3"/>
  <c r="H392" i="3" s="1"/>
  <c r="E393" i="3"/>
  <c r="H393" i="3" s="1"/>
  <c r="E394" i="3"/>
  <c r="H394" i="3" s="1"/>
  <c r="E395" i="3"/>
  <c r="H395" i="3" s="1"/>
  <c r="E396" i="3"/>
  <c r="H396" i="3" s="1"/>
  <c r="E397" i="3"/>
  <c r="H397" i="3" s="1"/>
  <c r="E398" i="3"/>
  <c r="H398" i="3" s="1"/>
  <c r="E399" i="3"/>
  <c r="H399" i="3" s="1"/>
  <c r="E400" i="3"/>
  <c r="H400" i="3" s="1"/>
  <c r="E401" i="3"/>
  <c r="H401" i="3" s="1"/>
  <c r="E402" i="3"/>
  <c r="H402" i="3" s="1"/>
  <c r="E403" i="3"/>
  <c r="H403" i="3" s="1"/>
  <c r="E404" i="3"/>
  <c r="H404" i="3" s="1"/>
  <c r="E405" i="3"/>
  <c r="H405" i="3" s="1"/>
  <c r="E406" i="3"/>
  <c r="H406" i="3" s="1"/>
  <c r="E407" i="3"/>
  <c r="H407" i="3" s="1"/>
  <c r="E408" i="3"/>
  <c r="H408" i="3" s="1"/>
  <c r="E409" i="3"/>
  <c r="H409" i="3" s="1"/>
  <c r="E410" i="3"/>
  <c r="H410" i="3" s="1"/>
  <c r="E411" i="3"/>
  <c r="H411" i="3" s="1"/>
  <c r="E412" i="3"/>
  <c r="H412" i="3" s="1"/>
  <c r="E413" i="3"/>
  <c r="H413" i="3" s="1"/>
  <c r="E414" i="3"/>
  <c r="H414" i="3" s="1"/>
  <c r="E415" i="3"/>
  <c r="H415" i="3" s="1"/>
  <c r="E416" i="3"/>
  <c r="H416" i="3" s="1"/>
  <c r="E417" i="3"/>
  <c r="H417" i="3" s="1"/>
  <c r="E418" i="3"/>
  <c r="H418" i="3" s="1"/>
  <c r="E419" i="3"/>
  <c r="H419" i="3" s="1"/>
  <c r="E420" i="3"/>
  <c r="H420" i="3" s="1"/>
  <c r="E421" i="3"/>
  <c r="H421" i="3" s="1"/>
  <c r="E422" i="3"/>
  <c r="H422" i="3" s="1"/>
  <c r="E423" i="3"/>
  <c r="H423" i="3" s="1"/>
  <c r="E424" i="3"/>
  <c r="H424" i="3" s="1"/>
  <c r="E425" i="3"/>
  <c r="H425" i="3" s="1"/>
  <c r="E426" i="3"/>
  <c r="H426" i="3" s="1"/>
  <c r="E427" i="3"/>
  <c r="H427" i="3" s="1"/>
  <c r="E428" i="3"/>
  <c r="H428" i="3" s="1"/>
  <c r="E429" i="3"/>
  <c r="H429" i="3" s="1"/>
  <c r="E430" i="3"/>
  <c r="H430" i="3" s="1"/>
  <c r="E431" i="3"/>
  <c r="H431" i="3" s="1"/>
  <c r="E432" i="3"/>
  <c r="H432" i="3" s="1"/>
  <c r="E433" i="3"/>
  <c r="H433" i="3" s="1"/>
  <c r="E434" i="3"/>
  <c r="H434" i="3" s="1"/>
  <c r="E435" i="3"/>
  <c r="H435" i="3" s="1"/>
  <c r="E436" i="3"/>
  <c r="H436" i="3" s="1"/>
  <c r="E437" i="3"/>
  <c r="H437" i="3" s="1"/>
  <c r="E438" i="3"/>
  <c r="H438" i="3" s="1"/>
  <c r="E439" i="3"/>
  <c r="H439" i="3" s="1"/>
  <c r="E440" i="3"/>
  <c r="H440" i="3" s="1"/>
  <c r="E441" i="3"/>
  <c r="H441" i="3" s="1"/>
  <c r="E442" i="3"/>
  <c r="H442" i="3" s="1"/>
  <c r="E443" i="3"/>
  <c r="H443" i="3" s="1"/>
  <c r="E444" i="3"/>
  <c r="H444" i="3" s="1"/>
  <c r="E445" i="3"/>
  <c r="H445" i="3" s="1"/>
  <c r="E446" i="3"/>
  <c r="H446" i="3" s="1"/>
  <c r="E447" i="3"/>
  <c r="H447" i="3" s="1"/>
  <c r="E448" i="3"/>
  <c r="H448" i="3" s="1"/>
  <c r="E449" i="3"/>
  <c r="H449" i="3" s="1"/>
  <c r="E450" i="3"/>
  <c r="H450" i="3" s="1"/>
  <c r="E451" i="3"/>
  <c r="H451" i="3" s="1"/>
  <c r="E452" i="3"/>
  <c r="H452" i="3" s="1"/>
  <c r="E453" i="3"/>
  <c r="H453" i="3" s="1"/>
  <c r="E454" i="3"/>
  <c r="H454" i="3" s="1"/>
  <c r="E455" i="3"/>
  <c r="H455" i="3" s="1"/>
  <c r="E456" i="3"/>
  <c r="H456" i="3" s="1"/>
  <c r="E457" i="3"/>
  <c r="H457" i="3" s="1"/>
  <c r="E458" i="3"/>
  <c r="H458" i="3" s="1"/>
  <c r="E459" i="3"/>
  <c r="H459" i="3" s="1"/>
  <c r="E460" i="3"/>
  <c r="H460" i="3" s="1"/>
  <c r="E461" i="3"/>
  <c r="H461" i="3" s="1"/>
  <c r="E462" i="3"/>
  <c r="H462" i="3" s="1"/>
  <c r="E463" i="3"/>
  <c r="H463" i="3" s="1"/>
  <c r="E464" i="3"/>
  <c r="H464" i="3" s="1"/>
  <c r="E465" i="3"/>
  <c r="H465" i="3" s="1"/>
  <c r="E466" i="3"/>
  <c r="H466" i="3" s="1"/>
  <c r="E467" i="3"/>
  <c r="H467" i="3" s="1"/>
  <c r="E468" i="3"/>
  <c r="H468" i="3" s="1"/>
  <c r="E469" i="3"/>
  <c r="H469" i="3" s="1"/>
  <c r="E470" i="3"/>
  <c r="H470" i="3" s="1"/>
  <c r="E471" i="3"/>
  <c r="H471" i="3" s="1"/>
  <c r="E472" i="3"/>
  <c r="H472" i="3" s="1"/>
  <c r="E473" i="3"/>
  <c r="H473" i="3" s="1"/>
  <c r="E474" i="3"/>
  <c r="H474" i="3" s="1"/>
  <c r="E475" i="3"/>
  <c r="H475" i="3" s="1"/>
  <c r="E476" i="3"/>
  <c r="H476" i="3" s="1"/>
  <c r="E477" i="3"/>
  <c r="H477" i="3" s="1"/>
  <c r="E478" i="3"/>
  <c r="H478" i="3" s="1"/>
  <c r="E479" i="3"/>
  <c r="H479" i="3" s="1"/>
  <c r="E480" i="3"/>
  <c r="H480" i="3" s="1"/>
  <c r="E481" i="3"/>
  <c r="H481" i="3" s="1"/>
  <c r="E482" i="3"/>
  <c r="H482" i="3" s="1"/>
  <c r="E483" i="3"/>
  <c r="H483" i="3" s="1"/>
  <c r="E484" i="3"/>
  <c r="H484" i="3" s="1"/>
  <c r="E485" i="3"/>
  <c r="H485" i="3" s="1"/>
  <c r="E486" i="3"/>
  <c r="H486" i="3" s="1"/>
  <c r="E487" i="3"/>
  <c r="H487" i="3" s="1"/>
  <c r="E488" i="3"/>
  <c r="H488" i="3" s="1"/>
  <c r="E489" i="3"/>
  <c r="H489" i="3" s="1"/>
  <c r="E490" i="3"/>
  <c r="H490" i="3" s="1"/>
  <c r="E491" i="3"/>
  <c r="H491" i="3" s="1"/>
  <c r="E492" i="3"/>
  <c r="H492" i="3" s="1"/>
  <c r="E493" i="3"/>
  <c r="H493" i="3" s="1"/>
  <c r="E494" i="3"/>
  <c r="H494" i="3" s="1"/>
  <c r="E495" i="3"/>
  <c r="H495" i="3" s="1"/>
  <c r="E496" i="3"/>
  <c r="H496" i="3" s="1"/>
  <c r="E497" i="3"/>
  <c r="H497" i="3" s="1"/>
  <c r="E498" i="3"/>
  <c r="H498" i="3" s="1"/>
  <c r="E499" i="3"/>
  <c r="H499" i="3" s="1"/>
  <c r="E500" i="3"/>
  <c r="H500" i="3" s="1"/>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B4" i="8" l="1"/>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D12" i="8"/>
  <c r="D13" i="8"/>
  <c r="D14" i="8"/>
  <c r="D15" i="8"/>
  <c r="D16" i="8"/>
  <c r="D17" i="8"/>
  <c r="D18" i="8"/>
  <c r="D19" i="8"/>
  <c r="D20" i="8"/>
  <c r="D21" i="8"/>
  <c r="D22" i="8"/>
  <c r="D23" i="8"/>
  <c r="D24" i="8"/>
  <c r="D25" i="8"/>
  <c r="D26" i="8"/>
  <c r="D27" i="8"/>
  <c r="D28" i="8"/>
  <c r="D29" i="8"/>
  <c r="D30" i="8"/>
  <c r="D31" i="8"/>
  <c r="D32" i="8"/>
  <c r="D33" i="8"/>
  <c r="D34" i="8"/>
  <c r="D35" i="8"/>
  <c r="D36" i="8"/>
  <c r="H36" i="8" s="1"/>
  <c r="D37" i="8"/>
  <c r="D38" i="8"/>
  <c r="D39" i="8"/>
  <c r="D40" i="8"/>
  <c r="D41" i="8"/>
  <c r="D42" i="8"/>
  <c r="D43" i="8"/>
  <c r="D44" i="8"/>
  <c r="D45" i="8"/>
  <c r="D46" i="8"/>
  <c r="D47" i="8"/>
  <c r="D48" i="8"/>
  <c r="D49" i="8"/>
  <c r="D50" i="8"/>
  <c r="D51" i="8"/>
  <c r="D52" i="8"/>
  <c r="D53" i="8"/>
  <c r="D54" i="8"/>
  <c r="D55" i="8"/>
  <c r="D56" i="8"/>
  <c r="D57" i="8"/>
  <c r="D58" i="8"/>
  <c r="D59" i="8"/>
  <c r="D60" i="8"/>
  <c r="H60" i="8" s="1"/>
  <c r="D61" i="8"/>
  <c r="D62" i="8"/>
  <c r="D63" i="8"/>
  <c r="D64" i="8"/>
  <c r="D65" i="8"/>
  <c r="D66" i="8"/>
  <c r="D67" i="8"/>
  <c r="D68" i="8"/>
  <c r="D69" i="8"/>
  <c r="D70" i="8"/>
  <c r="D71" i="8"/>
  <c r="D72" i="8"/>
  <c r="D73" i="8"/>
  <c r="D74" i="8"/>
  <c r="D75" i="8"/>
  <c r="D76" i="8"/>
  <c r="D77" i="8"/>
  <c r="D78" i="8"/>
  <c r="D79" i="8"/>
  <c r="D80" i="8"/>
  <c r="D81" i="8"/>
  <c r="D82" i="8"/>
  <c r="D83" i="8"/>
  <c r="D84" i="8"/>
  <c r="H84" i="8" s="1"/>
  <c r="D85" i="8"/>
  <c r="D86" i="8"/>
  <c r="D87" i="8"/>
  <c r="D88" i="8"/>
  <c r="D89" i="8"/>
  <c r="D90" i="8"/>
  <c r="D91" i="8"/>
  <c r="D92" i="8"/>
  <c r="D93" i="8"/>
  <c r="D94" i="8"/>
  <c r="D95" i="8"/>
  <c r="D96" i="8"/>
  <c r="D97" i="8"/>
  <c r="D98" i="8"/>
  <c r="D99" i="8"/>
  <c r="D100" i="8"/>
  <c r="D101" i="8"/>
  <c r="D102" i="8"/>
  <c r="D103" i="8"/>
  <c r="D104" i="8"/>
  <c r="D105" i="8"/>
  <c r="D106" i="8"/>
  <c r="D107" i="8"/>
  <c r="D108" i="8"/>
  <c r="H108" i="8" s="1"/>
  <c r="D109" i="8"/>
  <c r="D110" i="8"/>
  <c r="D111" i="8"/>
  <c r="D112" i="8"/>
  <c r="D113" i="8"/>
  <c r="D114" i="8"/>
  <c r="D115" i="8"/>
  <c r="D116" i="8"/>
  <c r="D117" i="8"/>
  <c r="D118" i="8"/>
  <c r="D119" i="8"/>
  <c r="D120" i="8"/>
  <c r="D121" i="8"/>
  <c r="D122" i="8"/>
  <c r="D123" i="8"/>
  <c r="D124" i="8"/>
  <c r="D125" i="8"/>
  <c r="D126" i="8"/>
  <c r="D127" i="8"/>
  <c r="D128" i="8"/>
  <c r="D129" i="8"/>
  <c r="D130" i="8"/>
  <c r="D131" i="8"/>
  <c r="D132" i="8"/>
  <c r="H132" i="8" s="1"/>
  <c r="D133" i="8"/>
  <c r="D134" i="8"/>
  <c r="D135" i="8"/>
  <c r="D136" i="8"/>
  <c r="D137" i="8"/>
  <c r="D138" i="8"/>
  <c r="D139" i="8"/>
  <c r="D140" i="8"/>
  <c r="D141" i="8"/>
  <c r="D142" i="8"/>
  <c r="D143" i="8"/>
  <c r="D144" i="8"/>
  <c r="D145" i="8"/>
  <c r="D146" i="8"/>
  <c r="D147" i="8"/>
  <c r="D148" i="8"/>
  <c r="D149" i="8"/>
  <c r="D150" i="8"/>
  <c r="D151" i="8"/>
  <c r="D152" i="8"/>
  <c r="D153" i="8"/>
  <c r="D154" i="8"/>
  <c r="D155" i="8"/>
  <c r="D156" i="8"/>
  <c r="H156" i="8" s="1"/>
  <c r="D157" i="8"/>
  <c r="D158" i="8"/>
  <c r="D159" i="8"/>
  <c r="D160" i="8"/>
  <c r="D161" i="8"/>
  <c r="D162" i="8"/>
  <c r="D163" i="8"/>
  <c r="D164" i="8"/>
  <c r="D165" i="8"/>
  <c r="D166" i="8"/>
  <c r="D167" i="8"/>
  <c r="D168" i="8"/>
  <c r="D169" i="8"/>
  <c r="D170" i="8"/>
  <c r="D171" i="8"/>
  <c r="D172" i="8"/>
  <c r="D173" i="8"/>
  <c r="D174" i="8"/>
  <c r="D175" i="8"/>
  <c r="D176" i="8"/>
  <c r="D177" i="8"/>
  <c r="D178" i="8"/>
  <c r="D179" i="8"/>
  <c r="D180" i="8"/>
  <c r="H180" i="8" s="1"/>
  <c r="D181" i="8"/>
  <c r="D182" i="8"/>
  <c r="D183" i="8"/>
  <c r="D184" i="8"/>
  <c r="D185" i="8"/>
  <c r="D186" i="8"/>
  <c r="D187" i="8"/>
  <c r="D188" i="8"/>
  <c r="D189" i="8"/>
  <c r="D190" i="8"/>
  <c r="D191" i="8"/>
  <c r="D192" i="8"/>
  <c r="D193" i="8"/>
  <c r="D194" i="8"/>
  <c r="D195" i="8"/>
  <c r="D196" i="8"/>
  <c r="D197" i="8"/>
  <c r="D198" i="8"/>
  <c r="D199" i="8"/>
  <c r="D200" i="8"/>
  <c r="D201" i="8"/>
  <c r="D202" i="8"/>
  <c r="D203" i="8"/>
  <c r="D204" i="8"/>
  <c r="H204" i="8" s="1"/>
  <c r="D205" i="8"/>
  <c r="D206" i="8"/>
  <c r="D207" i="8"/>
  <c r="D208" i="8"/>
  <c r="D209" i="8"/>
  <c r="D210" i="8"/>
  <c r="D211" i="8"/>
  <c r="D212" i="8"/>
  <c r="D213" i="8"/>
  <c r="D214" i="8"/>
  <c r="D215" i="8"/>
  <c r="D216" i="8"/>
  <c r="D217" i="8"/>
  <c r="D218" i="8"/>
  <c r="D219" i="8"/>
  <c r="D220" i="8"/>
  <c r="D221" i="8"/>
  <c r="D222" i="8"/>
  <c r="D223" i="8"/>
  <c r="D224" i="8"/>
  <c r="D225" i="8"/>
  <c r="D226" i="8"/>
  <c r="D227" i="8"/>
  <c r="D228" i="8"/>
  <c r="H228" i="8" s="1"/>
  <c r="D229" i="8"/>
  <c r="D230" i="8"/>
  <c r="D231" i="8"/>
  <c r="D232" i="8"/>
  <c r="D233" i="8"/>
  <c r="D234" i="8"/>
  <c r="D235" i="8"/>
  <c r="D236" i="8"/>
  <c r="D237" i="8"/>
  <c r="D238" i="8"/>
  <c r="D239" i="8"/>
  <c r="D240" i="8"/>
  <c r="D241" i="8"/>
  <c r="D242" i="8"/>
  <c r="D243" i="8"/>
  <c r="D244" i="8"/>
  <c r="D245" i="8"/>
  <c r="D246" i="8"/>
  <c r="D247" i="8"/>
  <c r="D248" i="8"/>
  <c r="D249" i="8"/>
  <c r="D250" i="8"/>
  <c r="D251" i="8"/>
  <c r="D252" i="8"/>
  <c r="H252" i="8" s="1"/>
  <c r="D253" i="8"/>
  <c r="D254" i="8"/>
  <c r="D255" i="8"/>
  <c r="D256" i="8"/>
  <c r="D257" i="8"/>
  <c r="D258" i="8"/>
  <c r="D259" i="8"/>
  <c r="D260" i="8"/>
  <c r="D261" i="8"/>
  <c r="D262" i="8"/>
  <c r="D263" i="8"/>
  <c r="D264" i="8"/>
  <c r="D265" i="8"/>
  <c r="D266" i="8"/>
  <c r="D267" i="8"/>
  <c r="D268" i="8"/>
  <c r="D269" i="8"/>
  <c r="D270" i="8"/>
  <c r="D271" i="8"/>
  <c r="D272" i="8"/>
  <c r="D273" i="8"/>
  <c r="D274" i="8"/>
  <c r="D275" i="8"/>
  <c r="D276" i="8"/>
  <c r="H276" i="8" s="1"/>
  <c r="D277" i="8"/>
  <c r="D278" i="8"/>
  <c r="D279" i="8"/>
  <c r="D280" i="8"/>
  <c r="D281" i="8"/>
  <c r="D282" i="8"/>
  <c r="D283" i="8"/>
  <c r="D284" i="8"/>
  <c r="D285" i="8"/>
  <c r="D286" i="8"/>
  <c r="D287" i="8"/>
  <c r="D288" i="8"/>
  <c r="D289" i="8"/>
  <c r="D290" i="8"/>
  <c r="D291" i="8"/>
  <c r="D292" i="8"/>
  <c r="D293" i="8"/>
  <c r="D294" i="8"/>
  <c r="D295" i="8"/>
  <c r="D296" i="8"/>
  <c r="D297" i="8"/>
  <c r="D298" i="8"/>
  <c r="D299" i="8"/>
  <c r="D300" i="8"/>
  <c r="H300" i="8" s="1"/>
  <c r="D301" i="8"/>
  <c r="D302" i="8"/>
  <c r="D303" i="8"/>
  <c r="D304" i="8"/>
  <c r="D305" i="8"/>
  <c r="D306" i="8"/>
  <c r="D307" i="8"/>
  <c r="D308" i="8"/>
  <c r="D309" i="8"/>
  <c r="D310" i="8"/>
  <c r="D311" i="8"/>
  <c r="D312" i="8"/>
  <c r="D313" i="8"/>
  <c r="D314" i="8"/>
  <c r="D315" i="8"/>
  <c r="D316" i="8"/>
  <c r="D317" i="8"/>
  <c r="D318" i="8"/>
  <c r="D319" i="8"/>
  <c r="D320" i="8"/>
  <c r="D321" i="8"/>
  <c r="D322" i="8"/>
  <c r="D323" i="8"/>
  <c r="D324" i="8"/>
  <c r="H324" i="8" s="1"/>
  <c r="D325" i="8"/>
  <c r="D326" i="8"/>
  <c r="D327" i="8"/>
  <c r="D328" i="8"/>
  <c r="D329" i="8"/>
  <c r="D330" i="8"/>
  <c r="D331" i="8"/>
  <c r="D332" i="8"/>
  <c r="D333" i="8"/>
  <c r="D334" i="8"/>
  <c r="D335" i="8"/>
  <c r="D336" i="8"/>
  <c r="D337" i="8"/>
  <c r="D338" i="8"/>
  <c r="D339" i="8"/>
  <c r="D340" i="8"/>
  <c r="D341" i="8"/>
  <c r="D342" i="8"/>
  <c r="D343" i="8"/>
  <c r="D344" i="8"/>
  <c r="D345" i="8"/>
  <c r="D346" i="8"/>
  <c r="D347" i="8"/>
  <c r="D348" i="8"/>
  <c r="H348" i="8" s="1"/>
  <c r="D349" i="8"/>
  <c r="D350" i="8"/>
  <c r="D351" i="8"/>
  <c r="D352" i="8"/>
  <c r="D353" i="8"/>
  <c r="D354" i="8"/>
  <c r="D355" i="8"/>
  <c r="D356" i="8"/>
  <c r="D357" i="8"/>
  <c r="D358" i="8"/>
  <c r="D359" i="8"/>
  <c r="D360" i="8"/>
  <c r="D361" i="8"/>
  <c r="D362" i="8"/>
  <c r="D363" i="8"/>
  <c r="D364" i="8"/>
  <c r="D365" i="8"/>
  <c r="D366" i="8"/>
  <c r="D367" i="8"/>
  <c r="D368" i="8"/>
  <c r="D369" i="8"/>
  <c r="D370" i="8"/>
  <c r="D371" i="8"/>
  <c r="D372" i="8"/>
  <c r="H372" i="8" s="1"/>
  <c r="D373" i="8"/>
  <c r="D374" i="8"/>
  <c r="D375" i="8"/>
  <c r="D376" i="8"/>
  <c r="D377" i="8"/>
  <c r="D378" i="8"/>
  <c r="D379" i="8"/>
  <c r="D380" i="8"/>
  <c r="D381" i="8"/>
  <c r="D382" i="8"/>
  <c r="D383" i="8"/>
  <c r="D384" i="8"/>
  <c r="D385" i="8"/>
  <c r="D386" i="8"/>
  <c r="D387" i="8"/>
  <c r="D388" i="8"/>
  <c r="D389" i="8"/>
  <c r="D390" i="8"/>
  <c r="D391" i="8"/>
  <c r="D392" i="8"/>
  <c r="D393" i="8"/>
  <c r="D394" i="8"/>
  <c r="D395" i="8"/>
  <c r="D396" i="8"/>
  <c r="H396" i="8" s="1"/>
  <c r="D397" i="8"/>
  <c r="D398" i="8"/>
  <c r="D399" i="8"/>
  <c r="D400" i="8"/>
  <c r="D401" i="8"/>
  <c r="D402" i="8"/>
  <c r="D403" i="8"/>
  <c r="D404" i="8"/>
  <c r="D405" i="8"/>
  <c r="D406" i="8"/>
  <c r="D407" i="8"/>
  <c r="D408" i="8"/>
  <c r="D409" i="8"/>
  <c r="D410" i="8"/>
  <c r="D411" i="8"/>
  <c r="D412" i="8"/>
  <c r="D413" i="8"/>
  <c r="D414" i="8"/>
  <c r="D415" i="8"/>
  <c r="D416" i="8"/>
  <c r="D417" i="8"/>
  <c r="D418" i="8"/>
  <c r="D419" i="8"/>
  <c r="D420" i="8"/>
  <c r="H420" i="8" s="1"/>
  <c r="D421" i="8"/>
  <c r="D422" i="8"/>
  <c r="D423" i="8"/>
  <c r="D424" i="8"/>
  <c r="D425" i="8"/>
  <c r="D426" i="8"/>
  <c r="D427" i="8"/>
  <c r="D428" i="8"/>
  <c r="D429" i="8"/>
  <c r="D430" i="8"/>
  <c r="D431" i="8"/>
  <c r="D432" i="8"/>
  <c r="D433" i="8"/>
  <c r="D434" i="8"/>
  <c r="D435" i="8"/>
  <c r="D436" i="8"/>
  <c r="D437" i="8"/>
  <c r="D438" i="8"/>
  <c r="D439" i="8"/>
  <c r="D440" i="8"/>
  <c r="D441" i="8"/>
  <c r="D442" i="8"/>
  <c r="D443" i="8"/>
  <c r="D444" i="8"/>
  <c r="H444" i="8" s="1"/>
  <c r="D445" i="8"/>
  <c r="D446" i="8"/>
  <c r="D447" i="8"/>
  <c r="D448" i="8"/>
  <c r="D449" i="8"/>
  <c r="D450" i="8"/>
  <c r="D451" i="8"/>
  <c r="D452" i="8"/>
  <c r="D453" i="8"/>
  <c r="D454" i="8"/>
  <c r="D455" i="8"/>
  <c r="D456" i="8"/>
  <c r="D457" i="8"/>
  <c r="D458" i="8"/>
  <c r="D459" i="8"/>
  <c r="D460" i="8"/>
  <c r="D461" i="8"/>
  <c r="D462" i="8"/>
  <c r="D463" i="8"/>
  <c r="D464" i="8"/>
  <c r="D465" i="8"/>
  <c r="D466" i="8"/>
  <c r="D467" i="8"/>
  <c r="D468" i="8"/>
  <c r="H468" i="8" s="1"/>
  <c r="D469" i="8"/>
  <c r="D470" i="8"/>
  <c r="D471" i="8"/>
  <c r="D472" i="8"/>
  <c r="D473" i="8"/>
  <c r="D474" i="8"/>
  <c r="D475" i="8"/>
  <c r="D476" i="8"/>
  <c r="D477" i="8"/>
  <c r="D478" i="8"/>
  <c r="D479" i="8"/>
  <c r="D480" i="8"/>
  <c r="D481" i="8"/>
  <c r="D482" i="8"/>
  <c r="D483" i="8"/>
  <c r="D484" i="8"/>
  <c r="D485" i="8"/>
  <c r="D486" i="8"/>
  <c r="D487" i="8"/>
  <c r="D488" i="8"/>
  <c r="D489" i="8"/>
  <c r="D490" i="8"/>
  <c r="D491" i="8"/>
  <c r="D492" i="8"/>
  <c r="H492" i="8" s="1"/>
  <c r="D493" i="8"/>
  <c r="D494" i="8"/>
  <c r="D495" i="8"/>
  <c r="D496" i="8"/>
  <c r="D497" i="8"/>
  <c r="D498" i="8"/>
  <c r="D499" i="8"/>
  <c r="D500" i="8"/>
  <c r="E5" i="3"/>
  <c r="H484" i="8" l="1"/>
  <c r="H460" i="8"/>
  <c r="H436" i="8"/>
  <c r="H388" i="8"/>
  <c r="H364" i="8"/>
  <c r="H220" i="8"/>
  <c r="H172" i="8"/>
  <c r="H124" i="8"/>
  <c r="H100" i="8"/>
  <c r="H52" i="8"/>
  <c r="H412" i="8"/>
  <c r="H340" i="8"/>
  <c r="H316" i="8"/>
  <c r="H292" i="8"/>
  <c r="H268" i="8"/>
  <c r="H244" i="8"/>
  <c r="H196" i="8"/>
  <c r="H148" i="8"/>
  <c r="H76" i="8"/>
  <c r="H28" i="8"/>
  <c r="H500" i="8"/>
  <c r="H476" i="8"/>
  <c r="H452" i="8"/>
  <c r="H428" i="8"/>
  <c r="H404" i="8"/>
  <c r="H380" i="8"/>
  <c r="H356" i="8"/>
  <c r="H332" i="8"/>
  <c r="H308" i="8"/>
  <c r="H284" i="8"/>
  <c r="H260" i="8"/>
  <c r="H236" i="8"/>
  <c r="H212" i="8"/>
  <c r="H188" i="8"/>
  <c r="H164" i="8"/>
  <c r="H140" i="8"/>
  <c r="H116" i="8"/>
  <c r="H92" i="8"/>
  <c r="H68" i="8"/>
  <c r="H44" i="8"/>
  <c r="H20" i="8"/>
  <c r="H499" i="8"/>
  <c r="H491" i="8"/>
  <c r="H483" i="8"/>
  <c r="H475" i="8"/>
  <c r="H467" i="8"/>
  <c r="H459" i="8"/>
  <c r="H451" i="8"/>
  <c r="H443" i="8"/>
  <c r="H435" i="8"/>
  <c r="H427" i="8"/>
  <c r="H419" i="8"/>
  <c r="H411" i="8"/>
  <c r="H403" i="8"/>
  <c r="H395" i="8"/>
  <c r="H387" i="8"/>
  <c r="H379" i="8"/>
  <c r="H371" i="8"/>
  <c r="H363" i="8"/>
  <c r="H355" i="8"/>
  <c r="H347" i="8"/>
  <c r="H339" i="8"/>
  <c r="H331" i="8"/>
  <c r="H323" i="8"/>
  <c r="H315" i="8"/>
  <c r="H307" i="8"/>
  <c r="H299" i="8"/>
  <c r="H291" i="8"/>
  <c r="H283" i="8"/>
  <c r="H275" i="8"/>
  <c r="H267" i="8"/>
  <c r="H259" i="8"/>
  <c r="H251" i="8"/>
  <c r="H243" i="8"/>
  <c r="H235" i="8"/>
  <c r="H227" i="8"/>
  <c r="H219" i="8"/>
  <c r="H211" i="8"/>
  <c r="H203" i="8"/>
  <c r="H195" i="8"/>
  <c r="H187" i="8"/>
  <c r="H179" i="8"/>
  <c r="H171" i="8"/>
  <c r="H163" i="8"/>
  <c r="H155" i="8"/>
  <c r="H147" i="8"/>
  <c r="H139" i="8"/>
  <c r="H131" i="8"/>
  <c r="H123" i="8"/>
  <c r="H115" i="8"/>
  <c r="H107" i="8"/>
  <c r="H99" i="8"/>
  <c r="H91" i="8"/>
  <c r="H83" i="8"/>
  <c r="H75" i="8"/>
  <c r="H67" i="8"/>
  <c r="H59" i="8"/>
  <c r="H51" i="8"/>
  <c r="H43" i="8"/>
  <c r="H35" i="8"/>
  <c r="H27" i="8"/>
  <c r="H5" i="3"/>
  <c r="H493" i="8"/>
  <c r="H485" i="8"/>
  <c r="H477" i="8"/>
  <c r="H469" i="8"/>
  <c r="H461" i="8"/>
  <c r="H453" i="8"/>
  <c r="H445" i="8"/>
  <c r="H437" i="8"/>
  <c r="H429" i="8"/>
  <c r="H421" i="8"/>
  <c r="H413" i="8"/>
  <c r="H405" i="8"/>
  <c r="H397" i="8"/>
  <c r="H389" i="8"/>
  <c r="H381" i="8"/>
  <c r="H373" i="8"/>
  <c r="H365" i="8"/>
  <c r="H357" i="8"/>
  <c r="H349" i="8"/>
  <c r="H341" i="8"/>
  <c r="H333" i="8"/>
  <c r="H325" i="8"/>
  <c r="H317" i="8"/>
  <c r="H309" i="8"/>
  <c r="H301" i="8"/>
  <c r="H293" i="8"/>
  <c r="H285" i="8"/>
  <c r="H277" i="8"/>
  <c r="H269" i="8"/>
  <c r="H261" i="8"/>
  <c r="H253" i="8"/>
  <c r="H245" i="8"/>
  <c r="H237" i="8"/>
  <c r="H229" i="8"/>
  <c r="H221" i="8"/>
  <c r="H213" i="8"/>
  <c r="H205" i="8"/>
  <c r="H197" i="8"/>
  <c r="H189" i="8"/>
  <c r="H181" i="8"/>
  <c r="H173" i="8"/>
  <c r="H165" i="8"/>
  <c r="H157" i="8"/>
  <c r="H149" i="8"/>
  <c r="H141" i="8"/>
  <c r="H133" i="8"/>
  <c r="H125" i="8"/>
  <c r="H117" i="8"/>
  <c r="H109" i="8"/>
  <c r="H101" i="8"/>
  <c r="H93" i="8"/>
  <c r="H85" i="8"/>
  <c r="H77" i="8"/>
  <c r="H69" i="8"/>
  <c r="H61" i="8"/>
  <c r="H53" i="8"/>
  <c r="H45" i="8"/>
  <c r="H37" i="8"/>
  <c r="H29" i="8"/>
  <c r="H21" i="8"/>
  <c r="H19" i="8"/>
  <c r="H498" i="8"/>
  <c r="H490" i="8"/>
  <c r="H482" i="8"/>
  <c r="H474" i="8"/>
  <c r="H466" i="8"/>
  <c r="H458" i="8"/>
  <c r="H450" i="8"/>
  <c r="H442" i="8"/>
  <c r="H434" i="8"/>
  <c r="H426" i="8"/>
  <c r="H418" i="8"/>
  <c r="H410" i="8"/>
  <c r="H402" i="8"/>
  <c r="H394" i="8"/>
  <c r="H386" i="8"/>
  <c r="H378" i="8"/>
  <c r="H370" i="8"/>
  <c r="H362" i="8"/>
  <c r="H354" i="8"/>
  <c r="H346" i="8"/>
  <c r="H338" i="8"/>
  <c r="H330" i="8"/>
  <c r="H322" i="8"/>
  <c r="H314" i="8"/>
  <c r="H306" i="8"/>
  <c r="H298" i="8"/>
  <c r="H290" i="8"/>
  <c r="H282" i="8"/>
  <c r="H274" i="8"/>
  <c r="H266" i="8"/>
  <c r="H258" i="8"/>
  <c r="H250" i="8"/>
  <c r="H242" i="8"/>
  <c r="H234" i="8"/>
  <c r="H226" i="8"/>
  <c r="H218" i="8"/>
  <c r="H210" i="8"/>
  <c r="H202" i="8"/>
  <c r="H194" i="8"/>
  <c r="H186" i="8"/>
  <c r="H178" i="8"/>
  <c r="H170" i="8"/>
  <c r="H162" i="8"/>
  <c r="H154" i="8"/>
  <c r="H146" i="8"/>
  <c r="H138" i="8"/>
  <c r="H130" i="8"/>
  <c r="H122" i="8"/>
  <c r="H114" i="8"/>
  <c r="H106" i="8"/>
  <c r="H98" i="8"/>
  <c r="H90" i="8"/>
  <c r="H82" i="8"/>
  <c r="H74" i="8"/>
  <c r="H66" i="8"/>
  <c r="H58" i="8"/>
  <c r="H50" i="8"/>
  <c r="H42" i="8"/>
  <c r="H34" i="8"/>
  <c r="H26" i="8"/>
  <c r="H18" i="8"/>
  <c r="H12" i="8"/>
  <c r="H13" i="8"/>
  <c r="H494" i="8"/>
  <c r="H486" i="8"/>
  <c r="H478" i="8"/>
  <c r="H470" i="8"/>
  <c r="H462" i="8"/>
  <c r="H454" i="8"/>
  <c r="H446" i="8"/>
  <c r="H438" i="8"/>
  <c r="H430" i="8"/>
  <c r="H422" i="8"/>
  <c r="H414" i="8"/>
  <c r="H406" i="8"/>
  <c r="H398" i="8"/>
  <c r="H390" i="8"/>
  <c r="H382" i="8"/>
  <c r="H374" i="8"/>
  <c r="H366" i="8"/>
  <c r="H358" i="8"/>
  <c r="H350" i="8"/>
  <c r="H342" i="8"/>
  <c r="H334" i="8"/>
  <c r="H326" i="8"/>
  <c r="H318" i="8"/>
  <c r="H310" i="8"/>
  <c r="H302" i="8"/>
  <c r="H294" i="8"/>
  <c r="H286" i="8"/>
  <c r="H278" i="8"/>
  <c r="H270" i="8"/>
  <c r="H262" i="8"/>
  <c r="H254" i="8"/>
  <c r="H246" i="8"/>
  <c r="H238" i="8"/>
  <c r="H230" i="8"/>
  <c r="H222" i="8"/>
  <c r="H214" i="8"/>
  <c r="H206" i="8"/>
  <c r="H198" i="8"/>
  <c r="H190" i="8"/>
  <c r="H182" i="8"/>
  <c r="H174" i="8"/>
  <c r="H166" i="8"/>
  <c r="H158" i="8"/>
  <c r="H150" i="8"/>
  <c r="H142" i="8"/>
  <c r="H134" i="8"/>
  <c r="H126" i="8"/>
  <c r="H118" i="8"/>
  <c r="H110" i="8"/>
  <c r="H102" i="8"/>
  <c r="H94" i="8"/>
  <c r="H86" i="8"/>
  <c r="H78" i="8"/>
  <c r="H70" i="8"/>
  <c r="H62" i="8"/>
  <c r="H54" i="8"/>
  <c r="H46" i="8"/>
  <c r="H38" i="8"/>
  <c r="H30" i="8"/>
  <c r="H22" i="8"/>
  <c r="H14" i="8"/>
  <c r="H497" i="8"/>
  <c r="H481" i="8"/>
  <c r="H473" i="8"/>
  <c r="H465" i="8"/>
  <c r="H457" i="8"/>
  <c r="H449" i="8"/>
  <c r="H441" i="8"/>
  <c r="H433" i="8"/>
  <c r="H425" i="8"/>
  <c r="H417" i="8"/>
  <c r="H409" i="8"/>
  <c r="H401" i="8"/>
  <c r="H393" i="8"/>
  <c r="H385" i="8"/>
  <c r="H377" i="8"/>
  <c r="H369" i="8"/>
  <c r="H361" i="8"/>
  <c r="H353" i="8"/>
  <c r="H345" i="8"/>
  <c r="H337" i="8"/>
  <c r="H329" i="8"/>
  <c r="H321" i="8"/>
  <c r="H313" i="8"/>
  <c r="H305" i="8"/>
  <c r="H297" i="8"/>
  <c r="H289" i="8"/>
  <c r="H281" i="8"/>
  <c r="H273" i="8"/>
  <c r="H265" i="8"/>
  <c r="H257" i="8"/>
  <c r="H249" i="8"/>
  <c r="H241" i="8"/>
  <c r="H233" i="8"/>
  <c r="H225" i="8"/>
  <c r="H217" i="8"/>
  <c r="H209" i="8"/>
  <c r="H201" i="8"/>
  <c r="H193" i="8"/>
  <c r="H185" i="8"/>
  <c r="H177" i="8"/>
  <c r="H169" i="8"/>
  <c r="H161" i="8"/>
  <c r="H153" i="8"/>
  <c r="H145" i="8"/>
  <c r="H137" i="8"/>
  <c r="H129" i="8"/>
  <c r="H121" i="8"/>
  <c r="H113" i="8"/>
  <c r="H105" i="8"/>
  <c r="H97" i="8"/>
  <c r="H89" i="8"/>
  <c r="H81" i="8"/>
  <c r="H73" i="8"/>
  <c r="H65" i="8"/>
  <c r="H57" i="8"/>
  <c r="H49" i="8"/>
  <c r="H41" i="8"/>
  <c r="H33" i="8"/>
  <c r="H25" i="8"/>
  <c r="H17" i="8"/>
  <c r="H489" i="8"/>
  <c r="H480" i="8"/>
  <c r="H464" i="8"/>
  <c r="H448" i="8"/>
  <c r="H432" i="8"/>
  <c r="H408" i="8"/>
  <c r="H392" i="8"/>
  <c r="H376" i="8"/>
  <c r="H360" i="8"/>
  <c r="H352" i="8"/>
  <c r="H336" i="8"/>
  <c r="H328" i="8"/>
  <c r="H320" i="8"/>
  <c r="H304" i="8"/>
  <c r="H296" i="8"/>
  <c r="H288" i="8"/>
  <c r="H280" i="8"/>
  <c r="H272" i="8"/>
  <c r="H264" i="8"/>
  <c r="H256" i="8"/>
  <c r="H248" i="8"/>
  <c r="H240" i="8"/>
  <c r="H232" i="8"/>
  <c r="H224" i="8"/>
  <c r="H216" i="8"/>
  <c r="H208" i="8"/>
  <c r="H200" i="8"/>
  <c r="H192" i="8"/>
  <c r="H184" i="8"/>
  <c r="H176" i="8"/>
  <c r="H168" i="8"/>
  <c r="H160" i="8"/>
  <c r="H152" i="8"/>
  <c r="H144" i="8"/>
  <c r="H136" i="8"/>
  <c r="H128" i="8"/>
  <c r="H120" i="8"/>
  <c r="H112" i="8"/>
  <c r="H104" i="8"/>
  <c r="H96" i="8"/>
  <c r="H88" i="8"/>
  <c r="H80" i="8"/>
  <c r="H72" i="8"/>
  <c r="H64" i="8"/>
  <c r="H56" i="8"/>
  <c r="H48" i="8"/>
  <c r="H40" i="8"/>
  <c r="H32" i="8"/>
  <c r="H24" i="8"/>
  <c r="H16" i="8"/>
  <c r="H496" i="8"/>
  <c r="H488" i="8"/>
  <c r="H472" i="8"/>
  <c r="H456" i="8"/>
  <c r="H440" i="8"/>
  <c r="H424" i="8"/>
  <c r="H416" i="8"/>
  <c r="H400" i="8"/>
  <c r="H384" i="8"/>
  <c r="H368" i="8"/>
  <c r="H344" i="8"/>
  <c r="H312" i="8"/>
  <c r="H495" i="8"/>
  <c r="H487" i="8"/>
  <c r="H479" i="8"/>
  <c r="H471" i="8"/>
  <c r="H463" i="8"/>
  <c r="H455" i="8"/>
  <c r="H447" i="8"/>
  <c r="H439" i="8"/>
  <c r="H431" i="8"/>
  <c r="H423" i="8"/>
  <c r="H415" i="8"/>
  <c r="H407" i="8"/>
  <c r="H399" i="8"/>
  <c r="H391" i="8"/>
  <c r="H383" i="8"/>
  <c r="H375" i="8"/>
  <c r="H367" i="8"/>
  <c r="H359" i="8"/>
  <c r="H351" i="8"/>
  <c r="H343" i="8"/>
  <c r="H335" i="8"/>
  <c r="H327" i="8"/>
  <c r="H319" i="8"/>
  <c r="H311" i="8"/>
  <c r="H303" i="8"/>
  <c r="H295" i="8"/>
  <c r="H287" i="8"/>
  <c r="H279" i="8"/>
  <c r="H271" i="8"/>
  <c r="H263" i="8"/>
  <c r="H255" i="8"/>
  <c r="H247" i="8"/>
  <c r="H239" i="8"/>
  <c r="H231" i="8"/>
  <c r="H223" i="8"/>
  <c r="H215" i="8"/>
  <c r="H207" i="8"/>
  <c r="H199" i="8"/>
  <c r="H191" i="8"/>
  <c r="H183" i="8"/>
  <c r="H175" i="8"/>
  <c r="H167" i="8"/>
  <c r="H159" i="8"/>
  <c r="H151" i="8"/>
  <c r="H143" i="8"/>
  <c r="H135" i="8"/>
  <c r="H127" i="8"/>
  <c r="H119" i="8"/>
  <c r="H111" i="8"/>
  <c r="H103" i="8"/>
  <c r="H95" i="8"/>
  <c r="H87" i="8"/>
  <c r="H79" i="8"/>
  <c r="H71" i="8"/>
  <c r="H63" i="8"/>
  <c r="H55" i="8"/>
  <c r="H47" i="8"/>
  <c r="H39" i="8"/>
  <c r="H31" i="8"/>
  <c r="H23" i="8"/>
  <c r="H15" i="8"/>
  <c r="B350" i="4"/>
  <c r="B347" i="4"/>
  <c r="E347" i="4" s="1"/>
  <c r="F347" i="4" s="1"/>
  <c r="B346" i="4"/>
  <c r="B345" i="4"/>
  <c r="B344" i="4"/>
  <c r="B348" i="4"/>
  <c r="B343" i="4"/>
  <c r="B368" i="4"/>
  <c r="B367" i="4"/>
  <c r="B366" i="4"/>
  <c r="E366" i="4" s="1"/>
  <c r="F366" i="4" s="1"/>
  <c r="B365" i="4"/>
  <c r="E365" i="4" s="1"/>
  <c r="F365" i="4" s="1"/>
  <c r="B364" i="4"/>
  <c r="B362" i="4"/>
  <c r="D362" i="4" s="1"/>
  <c r="B363" i="4"/>
  <c r="B359" i="4"/>
  <c r="B358" i="4"/>
  <c r="B357" i="4"/>
  <c r="D357" i="4" s="1"/>
  <c r="B361" i="4"/>
  <c r="B360" i="4"/>
  <c r="B356" i="4"/>
  <c r="B379" i="4"/>
  <c r="B378" i="4"/>
  <c r="B381" i="4"/>
  <c r="B380" i="4"/>
  <c r="B377" i="4"/>
  <c r="B375" i="4"/>
  <c r="B376" i="4"/>
  <c r="E376" i="4" s="1"/>
  <c r="F376" i="4" s="1"/>
  <c r="B373" i="4"/>
  <c r="B372" i="4"/>
  <c r="B371" i="4"/>
  <c r="B370" i="4"/>
  <c r="B374" i="4"/>
  <c r="B369" i="4"/>
  <c r="B394" i="4"/>
  <c r="E394" i="4" s="1"/>
  <c r="F394" i="4" s="1"/>
  <c r="B391" i="4"/>
  <c r="E391" i="4" s="1"/>
  <c r="F391" i="4" s="1"/>
  <c r="B392" i="4"/>
  <c r="B393" i="4"/>
  <c r="B390" i="4"/>
  <c r="B388" i="4"/>
  <c r="B389" i="4"/>
  <c r="B385" i="4"/>
  <c r="B384" i="4"/>
  <c r="E384" i="4" s="1"/>
  <c r="F384" i="4" s="1"/>
  <c r="B383" i="4"/>
  <c r="E383" i="4" s="1"/>
  <c r="F383" i="4" s="1"/>
  <c r="B387" i="4"/>
  <c r="B386" i="4"/>
  <c r="B382" i="4"/>
  <c r="B404" i="4"/>
  <c r="B403" i="4"/>
  <c r="B406" i="4"/>
  <c r="B405" i="4"/>
  <c r="B402" i="4"/>
  <c r="B400" i="4"/>
  <c r="B401" i="4"/>
  <c r="B398" i="4"/>
  <c r="B397" i="4"/>
  <c r="B396" i="4"/>
  <c r="B395" i="4"/>
  <c r="B399" i="4"/>
  <c r="B4" i="4"/>
  <c r="E4" i="4" s="1"/>
  <c r="F4" i="4" s="1"/>
  <c r="B5" i="4"/>
  <c r="B6" i="4"/>
  <c r="B7" i="4"/>
  <c r="B8" i="4"/>
  <c r="B9" i="4"/>
  <c r="B10" i="4"/>
  <c r="B11" i="4"/>
  <c r="E11" i="4" s="1"/>
  <c r="F11" i="4" s="1"/>
  <c r="B12" i="4"/>
  <c r="B13" i="4"/>
  <c r="B14" i="4"/>
  <c r="B15" i="4"/>
  <c r="B16" i="4"/>
  <c r="B17" i="4"/>
  <c r="B18" i="4"/>
  <c r="B19" i="4"/>
  <c r="E19" i="4" s="1"/>
  <c r="F19" i="4" s="1"/>
  <c r="B20" i="4"/>
  <c r="E20" i="4" s="1"/>
  <c r="F20" i="4" s="1"/>
  <c r="B21" i="4"/>
  <c r="B22" i="4"/>
  <c r="D22" i="4" s="1"/>
  <c r="B23" i="4"/>
  <c r="B24" i="4"/>
  <c r="B25" i="4"/>
  <c r="B26" i="4"/>
  <c r="D26" i="4" s="1"/>
  <c r="B27" i="4"/>
  <c r="B28" i="4"/>
  <c r="B29" i="4"/>
  <c r="B30" i="4"/>
  <c r="B31" i="4"/>
  <c r="B32" i="4"/>
  <c r="B33" i="4"/>
  <c r="B34" i="4"/>
  <c r="B35" i="4"/>
  <c r="B36" i="4"/>
  <c r="B37" i="4"/>
  <c r="B38" i="4"/>
  <c r="B39" i="4"/>
  <c r="B40" i="4"/>
  <c r="B41" i="4"/>
  <c r="C41" i="4" s="1"/>
  <c r="B42" i="4"/>
  <c r="B43" i="4"/>
  <c r="E43" i="4" s="1"/>
  <c r="F43" i="4" s="1"/>
  <c r="B44" i="4"/>
  <c r="E44" i="4" s="1"/>
  <c r="F44" i="4" s="1"/>
  <c r="B45" i="4"/>
  <c r="B46" i="4"/>
  <c r="B47" i="4"/>
  <c r="B48" i="4"/>
  <c r="B49" i="4"/>
  <c r="B50" i="4"/>
  <c r="B51" i="4"/>
  <c r="E51" i="4" s="1"/>
  <c r="F51" i="4" s="1"/>
  <c r="B52" i="4"/>
  <c r="E52" i="4" s="1"/>
  <c r="F52" i="4" s="1"/>
  <c r="B53" i="4"/>
  <c r="B54" i="4"/>
  <c r="D54" i="4" s="1"/>
  <c r="B55" i="4"/>
  <c r="B56" i="4"/>
  <c r="B57" i="4"/>
  <c r="B58" i="4"/>
  <c r="D58" i="4" s="1"/>
  <c r="B59" i="4"/>
  <c r="B60" i="4"/>
  <c r="B61" i="4"/>
  <c r="B62" i="4"/>
  <c r="B63" i="4"/>
  <c r="B64" i="4"/>
  <c r="B65" i="4"/>
  <c r="B66" i="4"/>
  <c r="B67" i="4"/>
  <c r="B68" i="4"/>
  <c r="B69" i="4"/>
  <c r="B70" i="4"/>
  <c r="B71" i="4"/>
  <c r="B72" i="4"/>
  <c r="B73" i="4"/>
  <c r="C73" i="4" s="1"/>
  <c r="B74" i="4"/>
  <c r="B75" i="4"/>
  <c r="E75" i="4" s="1"/>
  <c r="F75" i="4" s="1"/>
  <c r="B76" i="4"/>
  <c r="E76" i="4" s="1"/>
  <c r="F76" i="4" s="1"/>
  <c r="B77" i="4"/>
  <c r="B78" i="4"/>
  <c r="B79" i="4"/>
  <c r="B80" i="4"/>
  <c r="B81" i="4"/>
  <c r="B82" i="4"/>
  <c r="B83" i="4"/>
  <c r="E83" i="4" s="1"/>
  <c r="F83" i="4" s="1"/>
  <c r="B84" i="4"/>
  <c r="E84" i="4" s="1"/>
  <c r="F84" i="4" s="1"/>
  <c r="B85" i="4"/>
  <c r="B86" i="4"/>
  <c r="D86" i="4" s="1"/>
  <c r="B87" i="4"/>
  <c r="B88" i="4"/>
  <c r="B89" i="4"/>
  <c r="B90" i="4"/>
  <c r="D90" i="4" s="1"/>
  <c r="B91" i="4"/>
  <c r="B92" i="4"/>
  <c r="B93" i="4"/>
  <c r="B94" i="4"/>
  <c r="B95" i="4"/>
  <c r="B96" i="4"/>
  <c r="B97" i="4"/>
  <c r="B98" i="4"/>
  <c r="B99" i="4"/>
  <c r="B100" i="4"/>
  <c r="E100" i="4" s="1"/>
  <c r="F100" i="4" s="1"/>
  <c r="B101" i="4"/>
  <c r="B102" i="4"/>
  <c r="B103" i="4"/>
  <c r="B104" i="4"/>
  <c r="B105" i="4"/>
  <c r="B106" i="4"/>
  <c r="B107" i="4"/>
  <c r="E107" i="4" s="1"/>
  <c r="F107" i="4" s="1"/>
  <c r="B108" i="4"/>
  <c r="E108" i="4" s="1"/>
  <c r="F108" i="4" s="1"/>
  <c r="B109" i="4"/>
  <c r="B110" i="4"/>
  <c r="B111" i="4"/>
  <c r="B112" i="4"/>
  <c r="B113" i="4"/>
  <c r="B114" i="4"/>
  <c r="B115" i="4"/>
  <c r="E115" i="4" s="1"/>
  <c r="F115" i="4" s="1"/>
  <c r="B116" i="4"/>
  <c r="E116" i="4" s="1"/>
  <c r="F116" i="4" s="1"/>
  <c r="B117" i="4"/>
  <c r="B118" i="4"/>
  <c r="B119" i="4"/>
  <c r="B120" i="4"/>
  <c r="B121" i="4"/>
  <c r="B122" i="4"/>
  <c r="B123" i="4"/>
  <c r="B124" i="4"/>
  <c r="E124" i="4" s="1"/>
  <c r="F124" i="4" s="1"/>
  <c r="B125" i="4"/>
  <c r="B126" i="4"/>
  <c r="B127" i="4"/>
  <c r="B128" i="4"/>
  <c r="B129" i="4"/>
  <c r="B130" i="4"/>
  <c r="B131" i="4"/>
  <c r="B132" i="4"/>
  <c r="B133" i="4"/>
  <c r="B134" i="4"/>
  <c r="B135" i="4"/>
  <c r="B136" i="4"/>
  <c r="B137" i="4"/>
  <c r="B138" i="4"/>
  <c r="B139" i="4"/>
  <c r="E139" i="4" s="1"/>
  <c r="F139" i="4" s="1"/>
  <c r="B140" i="4"/>
  <c r="E140" i="4" s="1"/>
  <c r="F140" i="4" s="1"/>
  <c r="B141" i="4"/>
  <c r="B142" i="4"/>
  <c r="B143" i="4"/>
  <c r="B144" i="4"/>
  <c r="B145" i="4"/>
  <c r="B146" i="4"/>
  <c r="B147" i="4"/>
  <c r="E147" i="4" s="1"/>
  <c r="F147" i="4" s="1"/>
  <c r="B148" i="4"/>
  <c r="E148" i="4" s="1"/>
  <c r="F148" i="4" s="1"/>
  <c r="B149" i="4"/>
  <c r="B150" i="4"/>
  <c r="D150" i="4" s="1"/>
  <c r="B151" i="4"/>
  <c r="B152" i="4"/>
  <c r="B153" i="4"/>
  <c r="B154" i="4"/>
  <c r="D154" i="4" s="1"/>
  <c r="B155" i="4"/>
  <c r="B156" i="4"/>
  <c r="B157" i="4"/>
  <c r="B158" i="4"/>
  <c r="B159" i="4"/>
  <c r="B160" i="4"/>
  <c r="B161" i="4"/>
  <c r="B162" i="4"/>
  <c r="B163" i="4"/>
  <c r="B164" i="4"/>
  <c r="B165" i="4"/>
  <c r="B166" i="4"/>
  <c r="B167" i="4"/>
  <c r="B168" i="4"/>
  <c r="B169" i="4"/>
  <c r="C169" i="4" s="1"/>
  <c r="B170" i="4"/>
  <c r="B171" i="4"/>
  <c r="E171" i="4" s="1"/>
  <c r="F171" i="4" s="1"/>
  <c r="B172" i="4"/>
  <c r="E172" i="4" s="1"/>
  <c r="F172" i="4" s="1"/>
  <c r="B173" i="4"/>
  <c r="B174" i="4"/>
  <c r="B175" i="4"/>
  <c r="B176" i="4"/>
  <c r="B177" i="4"/>
  <c r="B178" i="4"/>
  <c r="B179" i="4"/>
  <c r="E179" i="4" s="1"/>
  <c r="F179" i="4" s="1"/>
  <c r="B180" i="4"/>
  <c r="E180" i="4" s="1"/>
  <c r="F180" i="4" s="1"/>
  <c r="B181" i="4"/>
  <c r="B182" i="4"/>
  <c r="D182" i="4" s="1"/>
  <c r="B183" i="4"/>
  <c r="B184" i="4"/>
  <c r="B185" i="4"/>
  <c r="B186" i="4"/>
  <c r="D186" i="4" s="1"/>
  <c r="B187" i="4"/>
  <c r="B188" i="4"/>
  <c r="B189" i="4"/>
  <c r="B190" i="4"/>
  <c r="B191" i="4"/>
  <c r="B192" i="4"/>
  <c r="B193" i="4"/>
  <c r="B194" i="4"/>
  <c r="B195" i="4"/>
  <c r="B196" i="4"/>
  <c r="E196" i="4" s="1"/>
  <c r="F196" i="4" s="1"/>
  <c r="B197" i="4"/>
  <c r="B198" i="4"/>
  <c r="B199" i="4"/>
  <c r="B200" i="4"/>
  <c r="B201" i="4"/>
  <c r="C201" i="4" s="1"/>
  <c r="B202" i="4"/>
  <c r="B203" i="4"/>
  <c r="E203" i="4" s="1"/>
  <c r="F203" i="4" s="1"/>
  <c r="B204" i="4"/>
  <c r="E204" i="4" s="1"/>
  <c r="F204" i="4" s="1"/>
  <c r="B205" i="4"/>
  <c r="B206" i="4"/>
  <c r="B207" i="4"/>
  <c r="B208" i="4"/>
  <c r="B209" i="4"/>
  <c r="B210" i="4"/>
  <c r="B211" i="4"/>
  <c r="E211" i="4" s="1"/>
  <c r="F211" i="4" s="1"/>
  <c r="B212" i="4"/>
  <c r="E212" i="4" s="1"/>
  <c r="F212" i="4" s="1"/>
  <c r="B213" i="4"/>
  <c r="B214" i="4"/>
  <c r="D214" i="4" s="1"/>
  <c r="B215" i="4"/>
  <c r="B216" i="4"/>
  <c r="D216" i="4" s="1"/>
  <c r="B217" i="4"/>
  <c r="B218" i="4"/>
  <c r="B219" i="4"/>
  <c r="B220" i="4"/>
  <c r="B221" i="4"/>
  <c r="B222" i="4"/>
  <c r="B223" i="4"/>
  <c r="B224" i="4"/>
  <c r="B225" i="4"/>
  <c r="B226" i="4"/>
  <c r="B227" i="4"/>
  <c r="B228" i="4"/>
  <c r="E228" i="4" s="1"/>
  <c r="F228" i="4" s="1"/>
  <c r="B229" i="4"/>
  <c r="B230" i="4"/>
  <c r="B231" i="4"/>
  <c r="B232" i="4"/>
  <c r="B233" i="4"/>
  <c r="B234" i="4"/>
  <c r="B235" i="4"/>
  <c r="C235" i="4" s="1"/>
  <c r="B236" i="4"/>
  <c r="E236" i="4" s="1"/>
  <c r="F236" i="4" s="1"/>
  <c r="B237" i="4"/>
  <c r="B238" i="4"/>
  <c r="E238" i="4" s="1"/>
  <c r="F238" i="4" s="1"/>
  <c r="B239" i="4"/>
  <c r="B240" i="4"/>
  <c r="B241" i="4"/>
  <c r="B242" i="4"/>
  <c r="B243" i="4"/>
  <c r="E243" i="4" s="1"/>
  <c r="F243" i="4" s="1"/>
  <c r="B244" i="4"/>
  <c r="C244" i="4" s="1"/>
  <c r="B245" i="4"/>
  <c r="B246" i="4"/>
  <c r="E246" i="4" s="1"/>
  <c r="F246" i="4" s="1"/>
  <c r="B247" i="4"/>
  <c r="B248" i="4"/>
  <c r="B249" i="4"/>
  <c r="B250" i="4"/>
  <c r="B251" i="4"/>
  <c r="B252" i="4"/>
  <c r="B253" i="4"/>
  <c r="B254" i="4"/>
  <c r="C254" i="4" s="1"/>
  <c r="B255" i="4"/>
  <c r="D255" i="4" s="1"/>
  <c r="B256" i="4"/>
  <c r="B257" i="4"/>
  <c r="B258" i="4"/>
  <c r="B259" i="4"/>
  <c r="E259" i="4" s="1"/>
  <c r="F259" i="4" s="1"/>
  <c r="B260" i="4"/>
  <c r="E260" i="4" s="1"/>
  <c r="F260" i="4" s="1"/>
  <c r="B261" i="4"/>
  <c r="B262" i="4"/>
  <c r="C262" i="4" s="1"/>
  <c r="B263" i="4"/>
  <c r="D263" i="4" s="1"/>
  <c r="B264" i="4"/>
  <c r="B265" i="4"/>
  <c r="B266" i="4"/>
  <c r="B267" i="4"/>
  <c r="B268" i="4"/>
  <c r="E268" i="4" s="1"/>
  <c r="F268" i="4" s="1"/>
  <c r="B269" i="4"/>
  <c r="B270" i="4"/>
  <c r="C270" i="4" s="1"/>
  <c r="B271" i="4"/>
  <c r="B272" i="4"/>
  <c r="B273" i="4"/>
  <c r="B274" i="4"/>
  <c r="B275" i="4"/>
  <c r="E275" i="4" s="1"/>
  <c r="F275" i="4" s="1"/>
  <c r="B276" i="4"/>
  <c r="B277" i="4"/>
  <c r="B278" i="4"/>
  <c r="C278" i="4" s="1"/>
  <c r="B279" i="4"/>
  <c r="D279" i="4" s="1"/>
  <c r="B280" i="4"/>
  <c r="B281" i="4"/>
  <c r="B282" i="4"/>
  <c r="B283" i="4"/>
  <c r="E283" i="4" s="1"/>
  <c r="F283" i="4" s="1"/>
  <c r="B284" i="4"/>
  <c r="E284" i="4" s="1"/>
  <c r="F284" i="4" s="1"/>
  <c r="B285" i="4"/>
  <c r="B286" i="4"/>
  <c r="C286" i="4" s="1"/>
  <c r="B287" i="4"/>
  <c r="D287" i="4" s="1"/>
  <c r="B288" i="4"/>
  <c r="B289" i="4"/>
  <c r="B290" i="4"/>
  <c r="B291" i="4"/>
  <c r="B292" i="4"/>
  <c r="B293" i="4"/>
  <c r="B294" i="4"/>
  <c r="C294" i="4" s="1"/>
  <c r="B295" i="4"/>
  <c r="D295" i="4" s="1"/>
  <c r="B296" i="4"/>
  <c r="B297" i="4"/>
  <c r="C297" i="4" s="1"/>
  <c r="B298" i="4"/>
  <c r="B299" i="4"/>
  <c r="E299" i="4" s="1"/>
  <c r="F299" i="4" s="1"/>
  <c r="B300" i="4"/>
  <c r="E300" i="4" s="1"/>
  <c r="F300" i="4" s="1"/>
  <c r="B301" i="4"/>
  <c r="B302" i="4"/>
  <c r="C302" i="4" s="1"/>
  <c r="B303" i="4"/>
  <c r="B304" i="4"/>
  <c r="B305" i="4"/>
  <c r="B306" i="4"/>
  <c r="B307" i="4"/>
  <c r="E307" i="4" s="1"/>
  <c r="F307" i="4" s="1"/>
  <c r="B308" i="4"/>
  <c r="B309" i="4"/>
  <c r="B310" i="4"/>
  <c r="C310" i="4" s="1"/>
  <c r="B311" i="4"/>
  <c r="D311" i="4" s="1"/>
  <c r="B312" i="4"/>
  <c r="B313" i="4"/>
  <c r="B314" i="4"/>
  <c r="B315" i="4"/>
  <c r="B316" i="4"/>
  <c r="B322" i="4"/>
  <c r="E322" i="4" s="1"/>
  <c r="F322" i="4" s="1"/>
  <c r="B321" i="4"/>
  <c r="E321" i="4" s="1"/>
  <c r="F321" i="4" s="1"/>
  <c r="B317" i="4"/>
  <c r="E317" i="4" s="1"/>
  <c r="F317" i="4" s="1"/>
  <c r="B340" i="4"/>
  <c r="E340" i="4" s="1"/>
  <c r="F340" i="4" s="1"/>
  <c r="B339" i="4"/>
  <c r="E339" i="4" s="1"/>
  <c r="F339" i="4" s="1"/>
  <c r="B342" i="4"/>
  <c r="C342" i="4" s="1"/>
  <c r="B341" i="4"/>
  <c r="C341" i="4" s="1"/>
  <c r="B338" i="4"/>
  <c r="D338" i="4" s="1"/>
  <c r="B336" i="4"/>
  <c r="D336" i="4" s="1"/>
  <c r="B337" i="4"/>
  <c r="E337" i="4" s="1"/>
  <c r="F337" i="4" s="1"/>
  <c r="B334" i="4"/>
  <c r="E334" i="4" s="1"/>
  <c r="F334" i="4" s="1"/>
  <c r="B333" i="4"/>
  <c r="E333" i="4" s="1"/>
  <c r="F333" i="4" s="1"/>
  <c r="B332" i="4"/>
  <c r="E332" i="4" s="1"/>
  <c r="F332" i="4" s="1"/>
  <c r="B331" i="4"/>
  <c r="C331" i="4" s="1"/>
  <c r="B335" i="4"/>
  <c r="C335" i="4" s="1"/>
  <c r="B330" i="4"/>
  <c r="D330" i="4" s="1"/>
  <c r="B353" i="4"/>
  <c r="D353" i="4" s="1"/>
  <c r="B352" i="4"/>
  <c r="E352" i="4" s="1"/>
  <c r="F352" i="4" s="1"/>
  <c r="B355" i="4"/>
  <c r="E355" i="4" s="1"/>
  <c r="F355" i="4" s="1"/>
  <c r="B354" i="4"/>
  <c r="E354" i="4" s="1"/>
  <c r="F354" i="4" s="1"/>
  <c r="B351" i="4"/>
  <c r="E351" i="4" s="1"/>
  <c r="F351" i="4" s="1"/>
  <c r="B349" i="4"/>
  <c r="C349" i="4" s="1"/>
  <c r="B328" i="4"/>
  <c r="E328" i="4" s="1"/>
  <c r="F328" i="4" s="1"/>
  <c r="B327" i="4"/>
  <c r="B326" i="4"/>
  <c r="C326" i="4" s="1"/>
  <c r="B325" i="4"/>
  <c r="C325" i="4" s="1"/>
  <c r="B323" i="4"/>
  <c r="C323" i="4" s="1"/>
  <c r="B324" i="4"/>
  <c r="C324" i="4" s="1"/>
  <c r="B320" i="4"/>
  <c r="C320" i="4" s="1"/>
  <c r="B319" i="4"/>
  <c r="C319" i="4" s="1"/>
  <c r="B318" i="4"/>
  <c r="E318" i="4" s="1"/>
  <c r="F318" i="4" s="1"/>
  <c r="B329" i="4"/>
  <c r="E6" i="3"/>
  <c r="H6" i="3" l="1"/>
  <c r="D294" i="4"/>
  <c r="C332" i="4"/>
  <c r="E262" i="4"/>
  <c r="F262" i="4" s="1"/>
  <c r="D286" i="4"/>
  <c r="C339" i="4"/>
  <c r="E254" i="4"/>
  <c r="F254" i="4" s="1"/>
  <c r="D262" i="4"/>
  <c r="E235" i="4"/>
  <c r="F235" i="4" s="1"/>
  <c r="D254" i="4"/>
  <c r="E353" i="4"/>
  <c r="F353" i="4" s="1"/>
  <c r="E323" i="4"/>
  <c r="F323" i="4" s="1"/>
  <c r="E336" i="4"/>
  <c r="F336" i="4" s="1"/>
  <c r="E302" i="4"/>
  <c r="F302" i="4" s="1"/>
  <c r="E309" i="4"/>
  <c r="F309" i="4" s="1"/>
  <c r="C309" i="4"/>
  <c r="D309" i="4"/>
  <c r="E301" i="4"/>
  <c r="F301" i="4" s="1"/>
  <c r="D301" i="4"/>
  <c r="E293" i="4"/>
  <c r="F293" i="4" s="1"/>
  <c r="C293" i="4"/>
  <c r="D293" i="4"/>
  <c r="E285" i="4"/>
  <c r="F285" i="4" s="1"/>
  <c r="C285" i="4"/>
  <c r="D285" i="4"/>
  <c r="E277" i="4"/>
  <c r="F277" i="4" s="1"/>
  <c r="C277" i="4"/>
  <c r="D277" i="4"/>
  <c r="E269" i="4"/>
  <c r="F269" i="4" s="1"/>
  <c r="D269" i="4"/>
  <c r="E261" i="4"/>
  <c r="F261" i="4" s="1"/>
  <c r="C261" i="4"/>
  <c r="D261" i="4"/>
  <c r="E253" i="4"/>
  <c r="F253" i="4" s="1"/>
  <c r="C253" i="4"/>
  <c r="D253" i="4"/>
  <c r="E245" i="4"/>
  <c r="F245" i="4" s="1"/>
  <c r="C245" i="4"/>
  <c r="E237" i="4"/>
  <c r="F237" i="4" s="1"/>
  <c r="D237" i="4"/>
  <c r="D229" i="4"/>
  <c r="E229" i="4"/>
  <c r="F229" i="4" s="1"/>
  <c r="C229" i="4"/>
  <c r="D221" i="4"/>
  <c r="E221" i="4"/>
  <c r="F221" i="4" s="1"/>
  <c r="C221" i="4"/>
  <c r="D213" i="4"/>
  <c r="E213" i="4"/>
  <c r="F213" i="4" s="1"/>
  <c r="C213" i="4"/>
  <c r="D205" i="4"/>
  <c r="E205" i="4"/>
  <c r="F205" i="4" s="1"/>
  <c r="D197" i="4"/>
  <c r="E197" i="4"/>
  <c r="F197" i="4" s="1"/>
  <c r="C197" i="4"/>
  <c r="D189" i="4"/>
  <c r="E189" i="4"/>
  <c r="F189" i="4" s="1"/>
  <c r="C189" i="4"/>
  <c r="D181" i="4"/>
  <c r="E181" i="4"/>
  <c r="F181" i="4" s="1"/>
  <c r="C181" i="4"/>
  <c r="D173" i="4"/>
  <c r="E173" i="4"/>
  <c r="F173" i="4" s="1"/>
  <c r="D165" i="4"/>
  <c r="E165" i="4"/>
  <c r="F165" i="4" s="1"/>
  <c r="C165" i="4"/>
  <c r="D157" i="4"/>
  <c r="E157" i="4"/>
  <c r="F157" i="4" s="1"/>
  <c r="C157" i="4"/>
  <c r="D149" i="4"/>
  <c r="E149" i="4"/>
  <c r="F149" i="4" s="1"/>
  <c r="C149" i="4"/>
  <c r="D141" i="4"/>
  <c r="E141" i="4"/>
  <c r="F141" i="4" s="1"/>
  <c r="D133" i="4"/>
  <c r="E133" i="4"/>
  <c r="F133" i="4" s="1"/>
  <c r="C133" i="4"/>
  <c r="D125" i="4"/>
  <c r="E125" i="4"/>
  <c r="F125" i="4" s="1"/>
  <c r="C125" i="4"/>
  <c r="D117" i="4"/>
  <c r="E117" i="4"/>
  <c r="F117" i="4" s="1"/>
  <c r="C117" i="4"/>
  <c r="D109" i="4"/>
  <c r="E109" i="4"/>
  <c r="F109" i="4" s="1"/>
  <c r="D101" i="4"/>
  <c r="E101" i="4"/>
  <c r="F101" i="4" s="1"/>
  <c r="C101" i="4"/>
  <c r="D93" i="4"/>
  <c r="E93" i="4"/>
  <c r="F93" i="4" s="1"/>
  <c r="C93" i="4"/>
  <c r="D85" i="4"/>
  <c r="E85" i="4"/>
  <c r="F85" i="4" s="1"/>
  <c r="C85" i="4"/>
  <c r="D77" i="4"/>
  <c r="E77" i="4"/>
  <c r="F77" i="4" s="1"/>
  <c r="D69" i="4"/>
  <c r="E69" i="4"/>
  <c r="F69" i="4" s="1"/>
  <c r="C69" i="4"/>
  <c r="D61" i="4"/>
  <c r="E61" i="4"/>
  <c r="F61" i="4" s="1"/>
  <c r="C61" i="4"/>
  <c r="D53" i="4"/>
  <c r="E53" i="4"/>
  <c r="F53" i="4" s="1"/>
  <c r="C53" i="4"/>
  <c r="D45" i="4"/>
  <c r="E45" i="4"/>
  <c r="F45" i="4" s="1"/>
  <c r="D37" i="4"/>
  <c r="E37" i="4"/>
  <c r="F37" i="4" s="1"/>
  <c r="C37" i="4"/>
  <c r="D29" i="4"/>
  <c r="E29" i="4"/>
  <c r="F29" i="4" s="1"/>
  <c r="C29" i="4"/>
  <c r="D21" i="4"/>
  <c r="E21" i="4"/>
  <c r="F21" i="4" s="1"/>
  <c r="C21" i="4"/>
  <c r="E13" i="4"/>
  <c r="F13" i="4" s="1"/>
  <c r="E5" i="4"/>
  <c r="F5" i="4" s="1"/>
  <c r="C5" i="4"/>
  <c r="E400" i="4"/>
  <c r="F400" i="4" s="1"/>
  <c r="C400" i="4"/>
  <c r="D387" i="4"/>
  <c r="E387" i="4"/>
  <c r="F387" i="4" s="1"/>
  <c r="C387" i="4"/>
  <c r="D392" i="4"/>
  <c r="E392" i="4"/>
  <c r="F392" i="4" s="1"/>
  <c r="D373" i="4"/>
  <c r="E373" i="4"/>
  <c r="F373" i="4" s="1"/>
  <c r="C373" i="4"/>
  <c r="D356" i="4"/>
  <c r="E356" i="4"/>
  <c r="F356" i="4" s="1"/>
  <c r="C356" i="4"/>
  <c r="D364" i="4"/>
  <c r="E364" i="4"/>
  <c r="F364" i="4" s="1"/>
  <c r="C364" i="4"/>
  <c r="C345" i="4"/>
  <c r="D345" i="4"/>
  <c r="E345" i="4"/>
  <c r="F345" i="4" s="1"/>
  <c r="C205" i="4"/>
  <c r="C77" i="4"/>
  <c r="C316" i="4"/>
  <c r="D316" i="4"/>
  <c r="C292" i="4"/>
  <c r="D292" i="4"/>
  <c r="C252" i="4"/>
  <c r="D252" i="4"/>
  <c r="C220" i="4"/>
  <c r="D220" i="4"/>
  <c r="C188" i="4"/>
  <c r="D188" i="4"/>
  <c r="C156" i="4"/>
  <c r="D156" i="4"/>
  <c r="C132" i="4"/>
  <c r="D132" i="4"/>
  <c r="C116" i="4"/>
  <c r="D116" i="4"/>
  <c r="C92" i="4"/>
  <c r="D92" i="4"/>
  <c r="C60" i="4"/>
  <c r="D60" i="4"/>
  <c r="C36" i="4"/>
  <c r="D36" i="4"/>
  <c r="C12" i="4"/>
  <c r="C383" i="4"/>
  <c r="D383" i="4"/>
  <c r="C365" i="4"/>
  <c r="D365" i="4"/>
  <c r="C346" i="4"/>
  <c r="D346" i="4"/>
  <c r="C276" i="4"/>
  <c r="D276" i="4"/>
  <c r="C212" i="4"/>
  <c r="D212" i="4"/>
  <c r="C148" i="4"/>
  <c r="D148" i="4"/>
  <c r="C68" i="4"/>
  <c r="D68" i="4"/>
  <c r="C360" i="4"/>
  <c r="D360" i="4"/>
  <c r="C227" i="4"/>
  <c r="D227" i="4"/>
  <c r="C219" i="4"/>
  <c r="D219" i="4"/>
  <c r="C211" i="4"/>
  <c r="D211" i="4"/>
  <c r="C203" i="4"/>
  <c r="D203" i="4"/>
  <c r="C195" i="4"/>
  <c r="D195" i="4"/>
  <c r="C187" i="4"/>
  <c r="D187" i="4"/>
  <c r="C179" i="4"/>
  <c r="D179" i="4"/>
  <c r="C171" i="4"/>
  <c r="D171" i="4"/>
  <c r="C163" i="4"/>
  <c r="D163" i="4"/>
  <c r="C155" i="4"/>
  <c r="D155" i="4"/>
  <c r="C147" i="4"/>
  <c r="D147" i="4"/>
  <c r="C139" i="4"/>
  <c r="D139" i="4"/>
  <c r="C131" i="4"/>
  <c r="D131" i="4"/>
  <c r="C123" i="4"/>
  <c r="D123" i="4"/>
  <c r="C115" i="4"/>
  <c r="D115" i="4"/>
  <c r="C107" i="4"/>
  <c r="D107" i="4"/>
  <c r="C99" i="4"/>
  <c r="D99" i="4"/>
  <c r="C91" i="4"/>
  <c r="D91" i="4"/>
  <c r="C83" i="4"/>
  <c r="D83" i="4"/>
  <c r="C75" i="4"/>
  <c r="D75" i="4"/>
  <c r="C67" i="4"/>
  <c r="D67" i="4"/>
  <c r="C59" i="4"/>
  <c r="D59" i="4"/>
  <c r="C51" i="4"/>
  <c r="D51" i="4"/>
  <c r="C43" i="4"/>
  <c r="D43" i="4"/>
  <c r="C35" i="4"/>
  <c r="D35" i="4"/>
  <c r="C27" i="4"/>
  <c r="D27" i="4"/>
  <c r="C19" i="4"/>
  <c r="D19" i="4"/>
  <c r="C11" i="4"/>
  <c r="C399" i="4"/>
  <c r="C405" i="4"/>
  <c r="C384" i="4"/>
  <c r="D384" i="4"/>
  <c r="C394" i="4"/>
  <c r="D394" i="4"/>
  <c r="C375" i="4"/>
  <c r="D375" i="4"/>
  <c r="C361" i="4"/>
  <c r="D361" i="4"/>
  <c r="C366" i="4"/>
  <c r="D366" i="4"/>
  <c r="C347" i="4"/>
  <c r="D347" i="4"/>
  <c r="E278" i="4"/>
  <c r="F278" i="4" s="1"/>
  <c r="E12" i="4"/>
  <c r="F12" i="4" s="1"/>
  <c r="E346" i="4"/>
  <c r="F346" i="4" s="1"/>
  <c r="C301" i="4"/>
  <c r="C173" i="4"/>
  <c r="C45" i="4"/>
  <c r="C164" i="4"/>
  <c r="D164" i="4"/>
  <c r="C402" i="4"/>
  <c r="C290" i="4"/>
  <c r="D290" i="4"/>
  <c r="E290" i="4"/>
  <c r="F290" i="4" s="1"/>
  <c r="C258" i="4"/>
  <c r="D258" i="4"/>
  <c r="E258" i="4"/>
  <c r="F258" i="4" s="1"/>
  <c r="C226" i="4"/>
  <c r="D226" i="4"/>
  <c r="E226" i="4"/>
  <c r="F226" i="4" s="1"/>
  <c r="C194" i="4"/>
  <c r="D194" i="4"/>
  <c r="E194" i="4"/>
  <c r="F194" i="4" s="1"/>
  <c r="C162" i="4"/>
  <c r="D162" i="4"/>
  <c r="E162" i="4"/>
  <c r="F162" i="4" s="1"/>
  <c r="C138" i="4"/>
  <c r="D138" i="4"/>
  <c r="E138" i="4"/>
  <c r="F138" i="4" s="1"/>
  <c r="C114" i="4"/>
  <c r="D114" i="4"/>
  <c r="E114" i="4"/>
  <c r="F114" i="4" s="1"/>
  <c r="C90" i="4"/>
  <c r="E90" i="4"/>
  <c r="F90" i="4" s="1"/>
  <c r="C58" i="4"/>
  <c r="E58" i="4"/>
  <c r="F58" i="4" s="1"/>
  <c r="C42" i="4"/>
  <c r="D42" i="4"/>
  <c r="E42" i="4"/>
  <c r="F42" i="4" s="1"/>
  <c r="C10" i="4"/>
  <c r="E10" i="4"/>
  <c r="F10" i="4" s="1"/>
  <c r="C369" i="4"/>
  <c r="D369" i="4"/>
  <c r="E369" i="4"/>
  <c r="F369" i="4" s="1"/>
  <c r="C350" i="4"/>
  <c r="D350" i="4"/>
  <c r="E350" i="4"/>
  <c r="F350" i="4" s="1"/>
  <c r="C315" i="4"/>
  <c r="D315" i="4"/>
  <c r="C291" i="4"/>
  <c r="D291" i="4"/>
  <c r="C267" i="4"/>
  <c r="D267" i="4"/>
  <c r="C259" i="4"/>
  <c r="D259" i="4"/>
  <c r="C243" i="4"/>
  <c r="D243" i="4"/>
  <c r="C306" i="4"/>
  <c r="D306" i="4"/>
  <c r="E306" i="4"/>
  <c r="F306" i="4" s="1"/>
  <c r="C282" i="4"/>
  <c r="D282" i="4"/>
  <c r="E282" i="4"/>
  <c r="F282" i="4" s="1"/>
  <c r="C266" i="4"/>
  <c r="D266" i="4"/>
  <c r="E266" i="4"/>
  <c r="F266" i="4" s="1"/>
  <c r="C242" i="4"/>
  <c r="D242" i="4"/>
  <c r="E242" i="4"/>
  <c r="F242" i="4" s="1"/>
  <c r="C218" i="4"/>
  <c r="D218" i="4"/>
  <c r="E218" i="4"/>
  <c r="F218" i="4" s="1"/>
  <c r="C202" i="4"/>
  <c r="D202" i="4"/>
  <c r="E202" i="4"/>
  <c r="F202" i="4" s="1"/>
  <c r="C178" i="4"/>
  <c r="D178" i="4"/>
  <c r="E178" i="4"/>
  <c r="F178" i="4" s="1"/>
  <c r="C146" i="4"/>
  <c r="D146" i="4"/>
  <c r="E146" i="4"/>
  <c r="F146" i="4" s="1"/>
  <c r="C122" i="4"/>
  <c r="E122" i="4"/>
  <c r="F122" i="4" s="1"/>
  <c r="C98" i="4"/>
  <c r="D98" i="4"/>
  <c r="E98" i="4"/>
  <c r="F98" i="4" s="1"/>
  <c r="C74" i="4"/>
  <c r="D74" i="4"/>
  <c r="E74" i="4"/>
  <c r="F74" i="4" s="1"/>
  <c r="C66" i="4"/>
  <c r="D66" i="4"/>
  <c r="E66" i="4"/>
  <c r="F66" i="4" s="1"/>
  <c r="C50" i="4"/>
  <c r="D50" i="4"/>
  <c r="E50" i="4"/>
  <c r="F50" i="4" s="1"/>
  <c r="C34" i="4"/>
  <c r="D34" i="4"/>
  <c r="E34" i="4"/>
  <c r="F34" i="4" s="1"/>
  <c r="C18" i="4"/>
  <c r="D18" i="4"/>
  <c r="E18" i="4"/>
  <c r="F18" i="4" s="1"/>
  <c r="C406" i="4"/>
  <c r="E406" i="4"/>
  <c r="F406" i="4" s="1"/>
  <c r="C377" i="4"/>
  <c r="D377" i="4"/>
  <c r="E377" i="4"/>
  <c r="F377" i="4" s="1"/>
  <c r="C367" i="4"/>
  <c r="D367" i="4"/>
  <c r="E367" i="4"/>
  <c r="F367" i="4" s="1"/>
  <c r="E276" i="4"/>
  <c r="F276" i="4" s="1"/>
  <c r="D335" i="4"/>
  <c r="D313" i="4"/>
  <c r="C313" i="4"/>
  <c r="E313" i="4"/>
  <c r="F313" i="4" s="1"/>
  <c r="C305" i="4"/>
  <c r="D305" i="4"/>
  <c r="E305" i="4"/>
  <c r="F305" i="4" s="1"/>
  <c r="D297" i="4"/>
  <c r="E297" i="4"/>
  <c r="F297" i="4" s="1"/>
  <c r="D289" i="4"/>
  <c r="C289" i="4"/>
  <c r="E289" i="4"/>
  <c r="F289" i="4" s="1"/>
  <c r="D281" i="4"/>
  <c r="C281" i="4"/>
  <c r="E281" i="4"/>
  <c r="F281" i="4" s="1"/>
  <c r="C273" i="4"/>
  <c r="D273" i="4"/>
  <c r="E273" i="4"/>
  <c r="F273" i="4" s="1"/>
  <c r="D265" i="4"/>
  <c r="E265" i="4"/>
  <c r="F265" i="4" s="1"/>
  <c r="D257" i="4"/>
  <c r="C257" i="4"/>
  <c r="E257" i="4"/>
  <c r="F257" i="4" s="1"/>
  <c r="D249" i="4"/>
  <c r="C249" i="4"/>
  <c r="E249" i="4"/>
  <c r="F249" i="4" s="1"/>
  <c r="D241" i="4"/>
  <c r="C241" i="4"/>
  <c r="E241" i="4"/>
  <c r="F241" i="4" s="1"/>
  <c r="D233" i="4"/>
  <c r="E233" i="4"/>
  <c r="F233" i="4" s="1"/>
  <c r="D225" i="4"/>
  <c r="C225" i="4"/>
  <c r="E225" i="4"/>
  <c r="F225" i="4" s="1"/>
  <c r="D217" i="4"/>
  <c r="C217" i="4"/>
  <c r="E217" i="4"/>
  <c r="F217" i="4" s="1"/>
  <c r="D209" i="4"/>
  <c r="C209" i="4"/>
  <c r="E209" i="4"/>
  <c r="F209" i="4" s="1"/>
  <c r="D201" i="4"/>
  <c r="E201" i="4"/>
  <c r="F201" i="4" s="1"/>
  <c r="D193" i="4"/>
  <c r="C193" i="4"/>
  <c r="E193" i="4"/>
  <c r="F193" i="4" s="1"/>
  <c r="D185" i="4"/>
  <c r="C185" i="4"/>
  <c r="E185" i="4"/>
  <c r="F185" i="4" s="1"/>
  <c r="D177" i="4"/>
  <c r="C177" i="4"/>
  <c r="E177" i="4"/>
  <c r="F177" i="4" s="1"/>
  <c r="D169" i="4"/>
  <c r="E169" i="4"/>
  <c r="F169" i="4" s="1"/>
  <c r="D161" i="4"/>
  <c r="C161" i="4"/>
  <c r="E161" i="4"/>
  <c r="F161" i="4" s="1"/>
  <c r="D153" i="4"/>
  <c r="C153" i="4"/>
  <c r="E153" i="4"/>
  <c r="F153" i="4" s="1"/>
  <c r="D145" i="4"/>
  <c r="C145" i="4"/>
  <c r="E145" i="4"/>
  <c r="F145" i="4" s="1"/>
  <c r="D137" i="4"/>
  <c r="E137" i="4"/>
  <c r="F137" i="4" s="1"/>
  <c r="D129" i="4"/>
  <c r="C129" i="4"/>
  <c r="E129" i="4"/>
  <c r="F129" i="4" s="1"/>
  <c r="D121" i="4"/>
  <c r="C121" i="4"/>
  <c r="E121" i="4"/>
  <c r="F121" i="4" s="1"/>
  <c r="D113" i="4"/>
  <c r="C113" i="4"/>
  <c r="E113" i="4"/>
  <c r="F113" i="4" s="1"/>
  <c r="D105" i="4"/>
  <c r="E105" i="4"/>
  <c r="F105" i="4" s="1"/>
  <c r="D97" i="4"/>
  <c r="C97" i="4"/>
  <c r="E97" i="4"/>
  <c r="F97" i="4" s="1"/>
  <c r="D89" i="4"/>
  <c r="C89" i="4"/>
  <c r="E89" i="4"/>
  <c r="F89" i="4" s="1"/>
  <c r="D81" i="4"/>
  <c r="C81" i="4"/>
  <c r="E81" i="4"/>
  <c r="F81" i="4" s="1"/>
  <c r="D73" i="4"/>
  <c r="E73" i="4"/>
  <c r="F73" i="4" s="1"/>
  <c r="D65" i="4"/>
  <c r="C65" i="4"/>
  <c r="E65" i="4"/>
  <c r="F65" i="4" s="1"/>
  <c r="D57" i="4"/>
  <c r="C57" i="4"/>
  <c r="E57" i="4"/>
  <c r="F57" i="4" s="1"/>
  <c r="D49" i="4"/>
  <c r="C49" i="4"/>
  <c r="E49" i="4"/>
  <c r="F49" i="4" s="1"/>
  <c r="D41" i="4"/>
  <c r="E41" i="4"/>
  <c r="F41" i="4" s="1"/>
  <c r="D33" i="4"/>
  <c r="C33" i="4"/>
  <c r="E33" i="4"/>
  <c r="F33" i="4" s="1"/>
  <c r="D25" i="4"/>
  <c r="C25" i="4"/>
  <c r="E25" i="4"/>
  <c r="F25" i="4" s="1"/>
  <c r="D17" i="4"/>
  <c r="C17" i="4"/>
  <c r="E17" i="4"/>
  <c r="F17" i="4" s="1"/>
  <c r="E9" i="4"/>
  <c r="F9" i="4" s="1"/>
  <c r="C396" i="4"/>
  <c r="E396" i="4"/>
  <c r="F396" i="4" s="1"/>
  <c r="C403" i="4"/>
  <c r="E403" i="4"/>
  <c r="F403" i="4" s="1"/>
  <c r="D389" i="4"/>
  <c r="C389" i="4"/>
  <c r="E389" i="4"/>
  <c r="F389" i="4" s="1"/>
  <c r="D374" i="4"/>
  <c r="E374" i="4"/>
  <c r="F374" i="4" s="1"/>
  <c r="D380" i="4"/>
  <c r="C380" i="4"/>
  <c r="E380" i="4"/>
  <c r="F380" i="4" s="1"/>
  <c r="D358" i="4"/>
  <c r="C358" i="4"/>
  <c r="E358" i="4"/>
  <c r="F358" i="4" s="1"/>
  <c r="D368" i="4"/>
  <c r="C368" i="4"/>
  <c r="E368" i="4"/>
  <c r="F368" i="4" s="1"/>
  <c r="E316" i="4"/>
  <c r="F316" i="4" s="1"/>
  <c r="E294" i="4"/>
  <c r="F294" i="4" s="1"/>
  <c r="E252" i="4"/>
  <c r="F252" i="4" s="1"/>
  <c r="E164" i="4"/>
  <c r="F164" i="4" s="1"/>
  <c r="E132" i="4"/>
  <c r="F132" i="4" s="1"/>
  <c r="E68" i="4"/>
  <c r="F68" i="4" s="1"/>
  <c r="E36" i="4"/>
  <c r="F36" i="4" s="1"/>
  <c r="D245" i="4"/>
  <c r="C269" i="4"/>
  <c r="C141" i="4"/>
  <c r="C13" i="4"/>
  <c r="C307" i="4"/>
  <c r="D307" i="4"/>
  <c r="C299" i="4"/>
  <c r="D299" i="4"/>
  <c r="C283" i="4"/>
  <c r="D283" i="4"/>
  <c r="C275" i="4"/>
  <c r="D275" i="4"/>
  <c r="C251" i="4"/>
  <c r="D251" i="4"/>
  <c r="C314" i="4"/>
  <c r="D314" i="4"/>
  <c r="E314" i="4"/>
  <c r="F314" i="4" s="1"/>
  <c r="C298" i="4"/>
  <c r="D298" i="4"/>
  <c r="E298" i="4"/>
  <c r="F298" i="4" s="1"/>
  <c r="C274" i="4"/>
  <c r="D274" i="4"/>
  <c r="E274" i="4"/>
  <c r="F274" i="4" s="1"/>
  <c r="C250" i="4"/>
  <c r="D250" i="4"/>
  <c r="E250" i="4"/>
  <c r="F250" i="4" s="1"/>
  <c r="C234" i="4"/>
  <c r="E234" i="4"/>
  <c r="F234" i="4" s="1"/>
  <c r="C210" i="4"/>
  <c r="D210" i="4"/>
  <c r="E210" i="4"/>
  <c r="F210" i="4" s="1"/>
  <c r="C186" i="4"/>
  <c r="E186" i="4"/>
  <c r="F186" i="4" s="1"/>
  <c r="C170" i="4"/>
  <c r="D170" i="4"/>
  <c r="E170" i="4"/>
  <c r="F170" i="4" s="1"/>
  <c r="C154" i="4"/>
  <c r="E154" i="4"/>
  <c r="F154" i="4" s="1"/>
  <c r="C130" i="4"/>
  <c r="D130" i="4"/>
  <c r="E130" i="4"/>
  <c r="F130" i="4" s="1"/>
  <c r="C106" i="4"/>
  <c r="D106" i="4"/>
  <c r="E106" i="4"/>
  <c r="F106" i="4" s="1"/>
  <c r="C82" i="4"/>
  <c r="D82" i="4"/>
  <c r="E82" i="4"/>
  <c r="F82" i="4" s="1"/>
  <c r="C26" i="4"/>
  <c r="E26" i="4"/>
  <c r="F26" i="4" s="1"/>
  <c r="C395" i="4"/>
  <c r="E395" i="4"/>
  <c r="F395" i="4" s="1"/>
  <c r="C385" i="4"/>
  <c r="D385" i="4"/>
  <c r="E385" i="4"/>
  <c r="F385" i="4" s="1"/>
  <c r="C357" i="4"/>
  <c r="E357" i="4"/>
  <c r="F357" i="4" s="1"/>
  <c r="D341" i="4"/>
  <c r="C312" i="4"/>
  <c r="D312" i="4"/>
  <c r="E312" i="4"/>
  <c r="F312" i="4" s="1"/>
  <c r="C304" i="4"/>
  <c r="D304" i="4"/>
  <c r="E304" i="4"/>
  <c r="F304" i="4" s="1"/>
  <c r="C296" i="4"/>
  <c r="D296" i="4"/>
  <c r="E296" i="4"/>
  <c r="F296" i="4" s="1"/>
  <c r="C288" i="4"/>
  <c r="D288" i="4"/>
  <c r="E288" i="4"/>
  <c r="F288" i="4" s="1"/>
  <c r="C280" i="4"/>
  <c r="D280" i="4"/>
  <c r="E280" i="4"/>
  <c r="F280" i="4" s="1"/>
  <c r="C272" i="4"/>
  <c r="D272" i="4"/>
  <c r="E272" i="4"/>
  <c r="F272" i="4" s="1"/>
  <c r="C264" i="4"/>
  <c r="D264" i="4"/>
  <c r="E264" i="4"/>
  <c r="F264" i="4" s="1"/>
  <c r="C256" i="4"/>
  <c r="D256" i="4"/>
  <c r="E256" i="4"/>
  <c r="F256" i="4" s="1"/>
  <c r="C248" i="4"/>
  <c r="D248" i="4"/>
  <c r="E248" i="4"/>
  <c r="F248" i="4" s="1"/>
  <c r="C240" i="4"/>
  <c r="D240" i="4"/>
  <c r="E240" i="4"/>
  <c r="F240" i="4" s="1"/>
  <c r="C232" i="4"/>
  <c r="E232" i="4"/>
  <c r="F232" i="4" s="1"/>
  <c r="D232" i="4"/>
  <c r="C224" i="4"/>
  <c r="D224" i="4"/>
  <c r="E224" i="4"/>
  <c r="F224" i="4" s="1"/>
  <c r="C216" i="4"/>
  <c r="E216" i="4"/>
  <c r="F216" i="4" s="1"/>
  <c r="D208" i="4"/>
  <c r="C208" i="4"/>
  <c r="E208" i="4"/>
  <c r="F208" i="4" s="1"/>
  <c r="D200" i="4"/>
  <c r="C200" i="4"/>
  <c r="E200" i="4"/>
  <c r="F200" i="4" s="1"/>
  <c r="D192" i="4"/>
  <c r="C192" i="4"/>
  <c r="E192" i="4"/>
  <c r="F192" i="4" s="1"/>
  <c r="D184" i="4"/>
  <c r="C184" i="4"/>
  <c r="E184" i="4"/>
  <c r="F184" i="4" s="1"/>
  <c r="D176" i="4"/>
  <c r="C176" i="4"/>
  <c r="E176" i="4"/>
  <c r="F176" i="4" s="1"/>
  <c r="D168" i="4"/>
  <c r="C168" i="4"/>
  <c r="E168" i="4"/>
  <c r="F168" i="4" s="1"/>
  <c r="D160" i="4"/>
  <c r="C160" i="4"/>
  <c r="E160" i="4"/>
  <c r="F160" i="4" s="1"/>
  <c r="D152" i="4"/>
  <c r="C152" i="4"/>
  <c r="E152" i="4"/>
  <c r="F152" i="4" s="1"/>
  <c r="D144" i="4"/>
  <c r="C144" i="4"/>
  <c r="E144" i="4"/>
  <c r="F144" i="4" s="1"/>
  <c r="D136" i="4"/>
  <c r="C136" i="4"/>
  <c r="E136" i="4"/>
  <c r="F136" i="4" s="1"/>
  <c r="D128" i="4"/>
  <c r="C128" i="4"/>
  <c r="E128" i="4"/>
  <c r="F128" i="4" s="1"/>
  <c r="D120" i="4"/>
  <c r="C120" i="4"/>
  <c r="E120" i="4"/>
  <c r="F120" i="4" s="1"/>
  <c r="D112" i="4"/>
  <c r="C112" i="4"/>
  <c r="E112" i="4"/>
  <c r="F112" i="4" s="1"/>
  <c r="D104" i="4"/>
  <c r="C104" i="4"/>
  <c r="E104" i="4"/>
  <c r="F104" i="4" s="1"/>
  <c r="D96" i="4"/>
  <c r="C96" i="4"/>
  <c r="E96" i="4"/>
  <c r="F96" i="4" s="1"/>
  <c r="D88" i="4"/>
  <c r="C88" i="4"/>
  <c r="E88" i="4"/>
  <c r="F88" i="4" s="1"/>
  <c r="D80" i="4"/>
  <c r="C80" i="4"/>
  <c r="E80" i="4"/>
  <c r="F80" i="4" s="1"/>
  <c r="D72" i="4"/>
  <c r="C72" i="4"/>
  <c r="E72" i="4"/>
  <c r="F72" i="4" s="1"/>
  <c r="D64" i="4"/>
  <c r="C64" i="4"/>
  <c r="E64" i="4"/>
  <c r="F64" i="4" s="1"/>
  <c r="D56" i="4"/>
  <c r="C56" i="4"/>
  <c r="E56" i="4"/>
  <c r="F56" i="4" s="1"/>
  <c r="D48" i="4"/>
  <c r="C48" i="4"/>
  <c r="E48" i="4"/>
  <c r="F48" i="4" s="1"/>
  <c r="D40" i="4"/>
  <c r="C40" i="4"/>
  <c r="E40" i="4"/>
  <c r="F40" i="4" s="1"/>
  <c r="D32" i="4"/>
  <c r="C32" i="4"/>
  <c r="E32" i="4"/>
  <c r="F32" i="4" s="1"/>
  <c r="D24" i="4"/>
  <c r="C24" i="4"/>
  <c r="E24" i="4"/>
  <c r="F24" i="4" s="1"/>
  <c r="C16" i="4"/>
  <c r="E16" i="4"/>
  <c r="F16" i="4" s="1"/>
  <c r="C8" i="4"/>
  <c r="E8" i="4"/>
  <c r="F8" i="4" s="1"/>
  <c r="C397" i="4"/>
  <c r="E397" i="4"/>
  <c r="F397" i="4" s="1"/>
  <c r="C404" i="4"/>
  <c r="E404" i="4"/>
  <c r="F404" i="4" s="1"/>
  <c r="D388" i="4"/>
  <c r="C388" i="4"/>
  <c r="E388" i="4"/>
  <c r="F388" i="4" s="1"/>
  <c r="D370" i="4"/>
  <c r="C370" i="4"/>
  <c r="E370" i="4"/>
  <c r="F370" i="4" s="1"/>
  <c r="D381" i="4"/>
  <c r="C381" i="4"/>
  <c r="E381" i="4"/>
  <c r="F381" i="4" s="1"/>
  <c r="D359" i="4"/>
  <c r="C359" i="4"/>
  <c r="E359" i="4"/>
  <c r="F359" i="4" s="1"/>
  <c r="D343" i="4"/>
  <c r="C343" i="4"/>
  <c r="E343" i="4"/>
  <c r="F343" i="4" s="1"/>
  <c r="E315" i="4"/>
  <c r="F315" i="4" s="1"/>
  <c r="E292" i="4"/>
  <c r="F292" i="4" s="1"/>
  <c r="E270" i="4"/>
  <c r="F270" i="4" s="1"/>
  <c r="E251" i="4"/>
  <c r="F251" i="4" s="1"/>
  <c r="E227" i="4"/>
  <c r="F227" i="4" s="1"/>
  <c r="E195" i="4"/>
  <c r="F195" i="4" s="1"/>
  <c r="E163" i="4"/>
  <c r="F163" i="4" s="1"/>
  <c r="E131" i="4"/>
  <c r="F131" i="4" s="1"/>
  <c r="E99" i="4"/>
  <c r="F99" i="4" s="1"/>
  <c r="E67" i="4"/>
  <c r="F67" i="4" s="1"/>
  <c r="E35" i="4"/>
  <c r="F35" i="4" s="1"/>
  <c r="E399" i="4"/>
  <c r="F399" i="4" s="1"/>
  <c r="E375" i="4"/>
  <c r="F375" i="4" s="1"/>
  <c r="D310" i="4"/>
  <c r="D278" i="4"/>
  <c r="D244" i="4"/>
  <c r="C265" i="4"/>
  <c r="C137" i="4"/>
  <c r="C9" i="4"/>
  <c r="C308" i="4"/>
  <c r="D308" i="4"/>
  <c r="C284" i="4"/>
  <c r="D284" i="4"/>
  <c r="C260" i="4"/>
  <c r="D260" i="4"/>
  <c r="C228" i="4"/>
  <c r="D228" i="4"/>
  <c r="C196" i="4"/>
  <c r="D196" i="4"/>
  <c r="C180" i="4"/>
  <c r="D180" i="4"/>
  <c r="C140" i="4"/>
  <c r="D140" i="4"/>
  <c r="C108" i="4"/>
  <c r="D108" i="4"/>
  <c r="C84" i="4"/>
  <c r="D84" i="4"/>
  <c r="C52" i="4"/>
  <c r="D52" i="4"/>
  <c r="C28" i="4"/>
  <c r="D28" i="4"/>
  <c r="C4" i="4"/>
  <c r="C376" i="4"/>
  <c r="D376" i="4"/>
  <c r="C351" i="4"/>
  <c r="C311" i="4"/>
  <c r="E311" i="4"/>
  <c r="F311" i="4" s="1"/>
  <c r="C303" i="4"/>
  <c r="E303" i="4"/>
  <c r="F303" i="4" s="1"/>
  <c r="C295" i="4"/>
  <c r="E295" i="4"/>
  <c r="F295" i="4" s="1"/>
  <c r="C287" i="4"/>
  <c r="E287" i="4"/>
  <c r="F287" i="4" s="1"/>
  <c r="C279" i="4"/>
  <c r="E279" i="4"/>
  <c r="F279" i="4" s="1"/>
  <c r="C271" i="4"/>
  <c r="E271" i="4"/>
  <c r="F271" i="4" s="1"/>
  <c r="C263" i="4"/>
  <c r="E263" i="4"/>
  <c r="F263" i="4" s="1"/>
  <c r="C255" i="4"/>
  <c r="E255" i="4"/>
  <c r="F255" i="4" s="1"/>
  <c r="D247" i="4"/>
  <c r="C247" i="4"/>
  <c r="E247" i="4"/>
  <c r="F247" i="4" s="1"/>
  <c r="D239" i="4"/>
  <c r="C239" i="4"/>
  <c r="E239" i="4"/>
  <c r="F239" i="4" s="1"/>
  <c r="D231" i="4"/>
  <c r="C231" i="4"/>
  <c r="E231" i="4"/>
  <c r="F231" i="4" s="1"/>
  <c r="D223" i="4"/>
  <c r="C223" i="4"/>
  <c r="E223" i="4"/>
  <c r="F223" i="4" s="1"/>
  <c r="D215" i="4"/>
  <c r="C215" i="4"/>
  <c r="E215" i="4"/>
  <c r="F215" i="4" s="1"/>
  <c r="D207" i="4"/>
  <c r="C207" i="4"/>
  <c r="E207" i="4"/>
  <c r="F207" i="4" s="1"/>
  <c r="D199" i="4"/>
  <c r="C199" i="4"/>
  <c r="E199" i="4"/>
  <c r="F199" i="4" s="1"/>
  <c r="D191" i="4"/>
  <c r="C191" i="4"/>
  <c r="E191" i="4"/>
  <c r="F191" i="4" s="1"/>
  <c r="D183" i="4"/>
  <c r="C183" i="4"/>
  <c r="E183" i="4"/>
  <c r="F183" i="4" s="1"/>
  <c r="D175" i="4"/>
  <c r="C175" i="4"/>
  <c r="E175" i="4"/>
  <c r="F175" i="4" s="1"/>
  <c r="D167" i="4"/>
  <c r="C167" i="4"/>
  <c r="E167" i="4"/>
  <c r="F167" i="4" s="1"/>
  <c r="D159" i="4"/>
  <c r="C159" i="4"/>
  <c r="E159" i="4"/>
  <c r="F159" i="4" s="1"/>
  <c r="D151" i="4"/>
  <c r="C151" i="4"/>
  <c r="E151" i="4"/>
  <c r="F151" i="4" s="1"/>
  <c r="D143" i="4"/>
  <c r="C143" i="4"/>
  <c r="E143" i="4"/>
  <c r="F143" i="4" s="1"/>
  <c r="D135" i="4"/>
  <c r="C135" i="4"/>
  <c r="E135" i="4"/>
  <c r="F135" i="4" s="1"/>
  <c r="D127" i="4"/>
  <c r="C127" i="4"/>
  <c r="E127" i="4"/>
  <c r="F127" i="4" s="1"/>
  <c r="D119" i="4"/>
  <c r="C119" i="4"/>
  <c r="E119" i="4"/>
  <c r="F119" i="4" s="1"/>
  <c r="D111" i="4"/>
  <c r="C111" i="4"/>
  <c r="E111" i="4"/>
  <c r="F111" i="4" s="1"/>
  <c r="D103" i="4"/>
  <c r="C103" i="4"/>
  <c r="E103" i="4"/>
  <c r="F103" i="4" s="1"/>
  <c r="D95" i="4"/>
  <c r="C95" i="4"/>
  <c r="E95" i="4"/>
  <c r="F95" i="4" s="1"/>
  <c r="D87" i="4"/>
  <c r="C87" i="4"/>
  <c r="E87" i="4"/>
  <c r="F87" i="4" s="1"/>
  <c r="D79" i="4"/>
  <c r="C79" i="4"/>
  <c r="E79" i="4"/>
  <c r="F79" i="4" s="1"/>
  <c r="D71" i="4"/>
  <c r="C71" i="4"/>
  <c r="E71" i="4"/>
  <c r="F71" i="4" s="1"/>
  <c r="D63" i="4"/>
  <c r="C63" i="4"/>
  <c r="E63" i="4"/>
  <c r="F63" i="4" s="1"/>
  <c r="D55" i="4"/>
  <c r="C55" i="4"/>
  <c r="E55" i="4"/>
  <c r="F55" i="4" s="1"/>
  <c r="D47" i="4"/>
  <c r="C47" i="4"/>
  <c r="E47" i="4"/>
  <c r="F47" i="4" s="1"/>
  <c r="D39" i="4"/>
  <c r="C39" i="4"/>
  <c r="E39" i="4"/>
  <c r="F39" i="4" s="1"/>
  <c r="D31" i="4"/>
  <c r="C31" i="4"/>
  <c r="E31" i="4"/>
  <c r="F31" i="4" s="1"/>
  <c r="D23" i="4"/>
  <c r="C23" i="4"/>
  <c r="E23" i="4"/>
  <c r="F23" i="4" s="1"/>
  <c r="C15" i="4"/>
  <c r="E15" i="4"/>
  <c r="F15" i="4" s="1"/>
  <c r="C7" i="4"/>
  <c r="E7" i="4"/>
  <c r="F7" i="4" s="1"/>
  <c r="C398" i="4"/>
  <c r="E398" i="4"/>
  <c r="F398" i="4" s="1"/>
  <c r="D382" i="4"/>
  <c r="C382" i="4"/>
  <c r="E382" i="4"/>
  <c r="F382" i="4" s="1"/>
  <c r="D390" i="4"/>
  <c r="C390" i="4"/>
  <c r="E390" i="4"/>
  <c r="F390" i="4" s="1"/>
  <c r="D371" i="4"/>
  <c r="C371" i="4"/>
  <c r="E371" i="4"/>
  <c r="F371" i="4" s="1"/>
  <c r="D378" i="4"/>
  <c r="C378" i="4"/>
  <c r="E378" i="4"/>
  <c r="F378" i="4" s="1"/>
  <c r="D363" i="4"/>
  <c r="C363" i="4"/>
  <c r="E363" i="4"/>
  <c r="F363" i="4" s="1"/>
  <c r="D348" i="4"/>
  <c r="C348" i="4"/>
  <c r="E348" i="4"/>
  <c r="F348" i="4" s="1"/>
  <c r="E310" i="4"/>
  <c r="F310" i="4" s="1"/>
  <c r="E291" i="4"/>
  <c r="F291" i="4" s="1"/>
  <c r="E220" i="4"/>
  <c r="F220" i="4" s="1"/>
  <c r="E188" i="4"/>
  <c r="F188" i="4" s="1"/>
  <c r="E156" i="4"/>
  <c r="F156" i="4" s="1"/>
  <c r="E92" i="4"/>
  <c r="F92" i="4" s="1"/>
  <c r="E60" i="4"/>
  <c r="F60" i="4" s="1"/>
  <c r="E28" i="4"/>
  <c r="F28" i="4" s="1"/>
  <c r="E402" i="4"/>
  <c r="F402" i="4" s="1"/>
  <c r="E360" i="4"/>
  <c r="F360" i="4" s="1"/>
  <c r="D303" i="4"/>
  <c r="D271" i="4"/>
  <c r="D235" i="4"/>
  <c r="D122" i="4"/>
  <c r="C237" i="4"/>
  <c r="C109" i="4"/>
  <c r="C392" i="4"/>
  <c r="C300" i="4"/>
  <c r="D300" i="4"/>
  <c r="C268" i="4"/>
  <c r="D268" i="4"/>
  <c r="C236" i="4"/>
  <c r="D236" i="4"/>
  <c r="C204" i="4"/>
  <c r="D204" i="4"/>
  <c r="C172" i="4"/>
  <c r="D172" i="4"/>
  <c r="C124" i="4"/>
  <c r="D124" i="4"/>
  <c r="C100" i="4"/>
  <c r="D100" i="4"/>
  <c r="C76" i="4"/>
  <c r="D76" i="4"/>
  <c r="C44" i="4"/>
  <c r="D44" i="4"/>
  <c r="C20" i="4"/>
  <c r="D20" i="4"/>
  <c r="C391" i="4"/>
  <c r="D391" i="4"/>
  <c r="C246" i="4"/>
  <c r="D246" i="4"/>
  <c r="C238" i="4"/>
  <c r="D238" i="4"/>
  <c r="C230" i="4"/>
  <c r="E230" i="4"/>
  <c r="F230" i="4" s="1"/>
  <c r="D230" i="4"/>
  <c r="C222" i="4"/>
  <c r="D222" i="4"/>
  <c r="E222" i="4"/>
  <c r="F222" i="4" s="1"/>
  <c r="C214" i="4"/>
  <c r="E214" i="4"/>
  <c r="F214" i="4" s="1"/>
  <c r="C206" i="4"/>
  <c r="E206" i="4"/>
  <c r="F206" i="4" s="1"/>
  <c r="D206" i="4"/>
  <c r="C198" i="4"/>
  <c r="E198" i="4"/>
  <c r="F198" i="4" s="1"/>
  <c r="D198" i="4"/>
  <c r="C190" i="4"/>
  <c r="D190" i="4"/>
  <c r="E190" i="4"/>
  <c r="F190" i="4" s="1"/>
  <c r="C182" i="4"/>
  <c r="E182" i="4"/>
  <c r="F182" i="4" s="1"/>
  <c r="C174" i="4"/>
  <c r="E174" i="4"/>
  <c r="F174" i="4" s="1"/>
  <c r="D174" i="4"/>
  <c r="C166" i="4"/>
  <c r="E166" i="4"/>
  <c r="F166" i="4" s="1"/>
  <c r="D166" i="4"/>
  <c r="C158" i="4"/>
  <c r="D158" i="4"/>
  <c r="E158" i="4"/>
  <c r="F158" i="4" s="1"/>
  <c r="C150" i="4"/>
  <c r="E150" i="4"/>
  <c r="F150" i="4" s="1"/>
  <c r="C142" i="4"/>
  <c r="E142" i="4"/>
  <c r="F142" i="4" s="1"/>
  <c r="D142" i="4"/>
  <c r="C134" i="4"/>
  <c r="E134" i="4"/>
  <c r="F134" i="4" s="1"/>
  <c r="D134" i="4"/>
  <c r="C126" i="4"/>
  <c r="D126" i="4"/>
  <c r="E126" i="4"/>
  <c r="F126" i="4" s="1"/>
  <c r="C118" i="4"/>
  <c r="E118" i="4"/>
  <c r="F118" i="4" s="1"/>
  <c r="C110" i="4"/>
  <c r="E110" i="4"/>
  <c r="F110" i="4" s="1"/>
  <c r="D110" i="4"/>
  <c r="C102" i="4"/>
  <c r="E102" i="4"/>
  <c r="F102" i="4" s="1"/>
  <c r="D102" i="4"/>
  <c r="C94" i="4"/>
  <c r="D94" i="4"/>
  <c r="E94" i="4"/>
  <c r="F94" i="4" s="1"/>
  <c r="C86" i="4"/>
  <c r="E86" i="4"/>
  <c r="F86" i="4" s="1"/>
  <c r="C78" i="4"/>
  <c r="E78" i="4"/>
  <c r="F78" i="4" s="1"/>
  <c r="D78" i="4"/>
  <c r="C70" i="4"/>
  <c r="E70" i="4"/>
  <c r="F70" i="4" s="1"/>
  <c r="D70" i="4"/>
  <c r="C62" i="4"/>
  <c r="D62" i="4"/>
  <c r="E62" i="4"/>
  <c r="F62" i="4" s="1"/>
  <c r="C54" i="4"/>
  <c r="E54" i="4"/>
  <c r="F54" i="4" s="1"/>
  <c r="C46" i="4"/>
  <c r="E46" i="4"/>
  <c r="F46" i="4" s="1"/>
  <c r="D46" i="4"/>
  <c r="C38" i="4"/>
  <c r="E38" i="4"/>
  <c r="F38" i="4" s="1"/>
  <c r="D38" i="4"/>
  <c r="C30" i="4"/>
  <c r="D30" i="4"/>
  <c r="E30" i="4"/>
  <c r="F30" i="4" s="1"/>
  <c r="C22" i="4"/>
  <c r="E22" i="4"/>
  <c r="F22" i="4" s="1"/>
  <c r="C14" i="4"/>
  <c r="E14" i="4"/>
  <c r="F14" i="4" s="1"/>
  <c r="C6" i="4"/>
  <c r="E6" i="4"/>
  <c r="F6" i="4" s="1"/>
  <c r="C401" i="4"/>
  <c r="E401" i="4"/>
  <c r="F401" i="4" s="1"/>
  <c r="C386" i="4"/>
  <c r="E386" i="4"/>
  <c r="F386" i="4" s="1"/>
  <c r="C393" i="4"/>
  <c r="E393" i="4"/>
  <c r="F393" i="4" s="1"/>
  <c r="D393" i="4"/>
  <c r="C372" i="4"/>
  <c r="E372" i="4"/>
  <c r="F372" i="4" s="1"/>
  <c r="D372" i="4"/>
  <c r="C379" i="4"/>
  <c r="D379" i="4"/>
  <c r="E379" i="4"/>
  <c r="F379" i="4" s="1"/>
  <c r="C362" i="4"/>
  <c r="E362" i="4"/>
  <c r="F362" i="4" s="1"/>
  <c r="C344" i="4"/>
  <c r="E344" i="4"/>
  <c r="F344" i="4" s="1"/>
  <c r="D344" i="4"/>
  <c r="E308" i="4"/>
  <c r="F308" i="4" s="1"/>
  <c r="E286" i="4"/>
  <c r="F286" i="4" s="1"/>
  <c r="E267" i="4"/>
  <c r="F267" i="4" s="1"/>
  <c r="E244" i="4"/>
  <c r="F244" i="4" s="1"/>
  <c r="E219" i="4"/>
  <c r="F219" i="4" s="1"/>
  <c r="E187" i="4"/>
  <c r="F187" i="4" s="1"/>
  <c r="E155" i="4"/>
  <c r="F155" i="4" s="1"/>
  <c r="E123" i="4"/>
  <c r="F123" i="4" s="1"/>
  <c r="E91" i="4"/>
  <c r="F91" i="4" s="1"/>
  <c r="E59" i="4"/>
  <c r="F59" i="4" s="1"/>
  <c r="E27" i="4"/>
  <c r="F27" i="4" s="1"/>
  <c r="E405" i="4"/>
  <c r="F405" i="4" s="1"/>
  <c r="E361" i="4"/>
  <c r="F361" i="4" s="1"/>
  <c r="D302" i="4"/>
  <c r="D270" i="4"/>
  <c r="D234" i="4"/>
  <c r="D118" i="4"/>
  <c r="D386" i="4"/>
  <c r="C233" i="4"/>
  <c r="C105" i="4"/>
  <c r="C374" i="4"/>
  <c r="E319" i="4"/>
  <c r="F319" i="4" s="1"/>
  <c r="E330" i="4"/>
  <c r="F330" i="4" s="1"/>
  <c r="E338" i="4"/>
  <c r="F338" i="4" s="1"/>
  <c r="D349" i="4"/>
  <c r="D331" i="4"/>
  <c r="D342" i="4"/>
  <c r="C354" i="4"/>
  <c r="C333" i="4"/>
  <c r="C340" i="4"/>
  <c r="E335" i="4"/>
  <c r="F335" i="4" s="1"/>
  <c r="E341" i="4"/>
  <c r="F341" i="4" s="1"/>
  <c r="D351" i="4"/>
  <c r="D332" i="4"/>
  <c r="D339" i="4"/>
  <c r="C355" i="4"/>
  <c r="C334" i="4"/>
  <c r="C317" i="4"/>
  <c r="E349" i="4"/>
  <c r="F349" i="4" s="1"/>
  <c r="E331" i="4"/>
  <c r="F331" i="4" s="1"/>
  <c r="E342" i="4"/>
  <c r="F342" i="4" s="1"/>
  <c r="D354" i="4"/>
  <c r="D333" i="4"/>
  <c r="D340" i="4"/>
  <c r="C352" i="4"/>
  <c r="C337" i="4"/>
  <c r="C321" i="4"/>
  <c r="D355" i="4"/>
  <c r="D334" i="4"/>
  <c r="C353" i="4"/>
  <c r="C336" i="4"/>
  <c r="C322" i="4"/>
  <c r="D352" i="4"/>
  <c r="D337" i="4"/>
  <c r="C330" i="4"/>
  <c r="C338" i="4"/>
  <c r="E329" i="4"/>
  <c r="F329" i="4" s="1"/>
  <c r="E320" i="4"/>
  <c r="F320" i="4" s="1"/>
  <c r="C318" i="4"/>
  <c r="C328" i="4"/>
  <c r="C327" i="4"/>
  <c r="E324" i="4"/>
  <c r="F324" i="4" s="1"/>
  <c r="E325" i="4"/>
  <c r="F325" i="4" s="1"/>
  <c r="E326" i="4"/>
  <c r="F326" i="4" s="1"/>
  <c r="E327" i="4"/>
  <c r="F327" i="4" s="1"/>
  <c r="C329" i="4"/>
  <c r="E7" i="3"/>
  <c r="H7" i="3" l="1"/>
  <c r="C8" i="8"/>
  <c r="C16" i="8"/>
  <c r="C24" i="8"/>
  <c r="C32" i="8"/>
  <c r="C40" i="8"/>
  <c r="C48" i="8"/>
  <c r="C56" i="8"/>
  <c r="C64" i="8"/>
  <c r="C72" i="8"/>
  <c r="C80" i="8"/>
  <c r="C88" i="8"/>
  <c r="C96" i="8"/>
  <c r="C104" i="8"/>
  <c r="C112" i="8"/>
  <c r="C10" i="8"/>
  <c r="C18" i="8"/>
  <c r="C26" i="8"/>
  <c r="C34" i="8"/>
  <c r="C42" i="8"/>
  <c r="C50" i="8"/>
  <c r="C58" i="8"/>
  <c r="C66" i="8"/>
  <c r="C74" i="8"/>
  <c r="C82" i="8"/>
  <c r="C90" i="8"/>
  <c r="C98" i="8"/>
  <c r="C106" i="8"/>
  <c r="C114" i="8"/>
  <c r="C122" i="8"/>
  <c r="C130" i="8"/>
  <c r="C138" i="8"/>
  <c r="C146" i="8"/>
  <c r="C154" i="8"/>
  <c r="C162" i="8"/>
  <c r="C11" i="8"/>
  <c r="C19" i="8"/>
  <c r="C27" i="8"/>
  <c r="C35" i="8"/>
  <c r="C43" i="8"/>
  <c r="C51" i="8"/>
  <c r="C59" i="8"/>
  <c r="C67" i="8"/>
  <c r="C75" i="8"/>
  <c r="C83" i="8"/>
  <c r="C91" i="8"/>
  <c r="C99" i="8"/>
  <c r="C107" i="8"/>
  <c r="C115" i="8"/>
  <c r="C123" i="8"/>
  <c r="C131" i="8"/>
  <c r="C139" i="8"/>
  <c r="C13" i="8"/>
  <c r="C21" i="8"/>
  <c r="C29" i="8"/>
  <c r="C37" i="8"/>
  <c r="C45" i="8"/>
  <c r="C53" i="8"/>
  <c r="C61" i="8"/>
  <c r="C69" i="8"/>
  <c r="C77" i="8"/>
  <c r="C85" i="8"/>
  <c r="C93" i="8"/>
  <c r="C101" i="8"/>
  <c r="C109" i="8"/>
  <c r="C117" i="8"/>
  <c r="C125" i="8"/>
  <c r="C133" i="8"/>
  <c r="C141" i="8"/>
  <c r="C149" i="8"/>
  <c r="C157" i="8"/>
  <c r="C165" i="8"/>
  <c r="C173" i="8"/>
  <c r="C14" i="8"/>
  <c r="C15" i="8"/>
  <c r="C31" i="8"/>
  <c r="C47" i="8"/>
  <c r="C63" i="8"/>
  <c r="C79" i="8"/>
  <c r="C95" i="8"/>
  <c r="C111" i="8"/>
  <c r="C126" i="8"/>
  <c r="C137" i="8"/>
  <c r="C150" i="8"/>
  <c r="C160" i="8"/>
  <c r="C170" i="8"/>
  <c r="C179" i="8"/>
  <c r="C187" i="8"/>
  <c r="C195" i="8"/>
  <c r="C203" i="8"/>
  <c r="C211" i="8"/>
  <c r="C219" i="8"/>
  <c r="C227" i="8"/>
  <c r="C235" i="8"/>
  <c r="C243" i="8"/>
  <c r="C251" i="8"/>
  <c r="C259" i="8"/>
  <c r="C267" i="8"/>
  <c r="C23" i="8"/>
  <c r="C39" i="8"/>
  <c r="C20" i="8"/>
  <c r="C41" i="8"/>
  <c r="C60" i="8"/>
  <c r="C78" i="8"/>
  <c r="C97" i="8"/>
  <c r="C116" i="8"/>
  <c r="C129" i="8"/>
  <c r="C144" i="8"/>
  <c r="C156" i="8"/>
  <c r="C168" i="8"/>
  <c r="C178" i="8"/>
  <c r="C188" i="8"/>
  <c r="C197" i="8"/>
  <c r="C206" i="8"/>
  <c r="C215" i="8"/>
  <c r="C224" i="8"/>
  <c r="C233" i="8"/>
  <c r="C242" i="8"/>
  <c r="C252" i="8"/>
  <c r="C261" i="8"/>
  <c r="C270" i="8"/>
  <c r="C278" i="8"/>
  <c r="C286" i="8"/>
  <c r="C294" i="8"/>
  <c r="C302" i="8"/>
  <c r="C310" i="8"/>
  <c r="C318" i="8"/>
  <c r="C326" i="8"/>
  <c r="C334" i="8"/>
  <c r="C342" i="8"/>
  <c r="C350" i="8"/>
  <c r="C358" i="8"/>
  <c r="C366" i="8"/>
  <c r="C374" i="8"/>
  <c r="C382" i="8"/>
  <c r="C22" i="8"/>
  <c r="C44" i="8"/>
  <c r="C62" i="8"/>
  <c r="C81" i="8"/>
  <c r="C100" i="8"/>
  <c r="C118" i="8"/>
  <c r="C132" i="8"/>
  <c r="C145" i="8"/>
  <c r="C158" i="8"/>
  <c r="C169" i="8"/>
  <c r="C180" i="8"/>
  <c r="C189" i="8"/>
  <c r="C198" i="8"/>
  <c r="C207" i="8"/>
  <c r="C216" i="8"/>
  <c r="C225" i="8"/>
  <c r="C234" i="8"/>
  <c r="C244" i="8"/>
  <c r="C253" i="8"/>
  <c r="C262" i="8"/>
  <c r="C271" i="8"/>
  <c r="C279" i="8"/>
  <c r="C25" i="8"/>
  <c r="C46" i="8"/>
  <c r="C65" i="8"/>
  <c r="C84" i="8"/>
  <c r="C102" i="8"/>
  <c r="C119" i="8"/>
  <c r="C134" i="8"/>
  <c r="C147" i="8"/>
  <c r="C159" i="8"/>
  <c r="C171" i="8"/>
  <c r="C181" i="8"/>
  <c r="C190" i="8"/>
  <c r="C199" i="8"/>
  <c r="C208" i="8"/>
  <c r="C217" i="8"/>
  <c r="C226" i="8"/>
  <c r="C236" i="8"/>
  <c r="C245" i="8"/>
  <c r="C254" i="8"/>
  <c r="C263" i="8"/>
  <c r="C272" i="8"/>
  <c r="C280" i="8"/>
  <c r="C288" i="8"/>
  <c r="C296" i="8"/>
  <c r="C304" i="8"/>
  <c r="C312" i="8"/>
  <c r="C320" i="8"/>
  <c r="C328" i="8"/>
  <c r="C336" i="8"/>
  <c r="C344" i="8"/>
  <c r="C352" i="8"/>
  <c r="C360" i="8"/>
  <c r="C368" i="8"/>
  <c r="C376" i="8"/>
  <c r="C384" i="8"/>
  <c r="C392" i="8"/>
  <c r="C400" i="8"/>
  <c r="C408" i="8"/>
  <c r="C416" i="8"/>
  <c r="C424" i="8"/>
  <c r="C432" i="8"/>
  <c r="C440" i="8"/>
  <c r="C448" i="8"/>
  <c r="C456" i="8"/>
  <c r="C464" i="8"/>
  <c r="C472" i="8"/>
  <c r="C480" i="8"/>
  <c r="C488" i="8"/>
  <c r="C496" i="8"/>
  <c r="C28" i="8"/>
  <c r="C49" i="8"/>
  <c r="C68" i="8"/>
  <c r="C86" i="8"/>
  <c r="C103" i="8"/>
  <c r="C120" i="8"/>
  <c r="C135" i="8"/>
  <c r="C148" i="8"/>
  <c r="C161" i="8"/>
  <c r="C172" i="8"/>
  <c r="C182" i="8"/>
  <c r="C191" i="8"/>
  <c r="C200" i="8"/>
  <c r="C209" i="8"/>
  <c r="C218" i="8"/>
  <c r="C228" i="8"/>
  <c r="C237" i="8"/>
  <c r="C246" i="8"/>
  <c r="C255" i="8"/>
  <c r="C264" i="8"/>
  <c r="C273" i="8"/>
  <c r="C281" i="8"/>
  <c r="C289" i="8"/>
  <c r="C297" i="8"/>
  <c r="C305" i="8"/>
  <c r="C313" i="8"/>
  <c r="C321" i="8"/>
  <c r="C329" i="8"/>
  <c r="C337" i="8"/>
  <c r="C345" i="8"/>
  <c r="C353" i="8"/>
  <c r="C361" i="8"/>
  <c r="C369" i="8"/>
  <c r="C377" i="8"/>
  <c r="C385" i="8"/>
  <c r="C393" i="8"/>
  <c r="C401" i="8"/>
  <c r="C409" i="8"/>
  <c r="C417" i="8"/>
  <c r="C425" i="8"/>
  <c r="C433" i="8"/>
  <c r="C441" i="8"/>
  <c r="C449" i="8"/>
  <c r="C457" i="8"/>
  <c r="C465" i="8"/>
  <c r="C473" i="8"/>
  <c r="C481" i="8"/>
  <c r="C489" i="8"/>
  <c r="C497" i="8"/>
  <c r="C9" i="8"/>
  <c r="C33" i="8"/>
  <c r="C54" i="8"/>
  <c r="C71" i="8"/>
  <c r="C89" i="8"/>
  <c r="C108" i="8"/>
  <c r="C124" i="8"/>
  <c r="C140" i="8"/>
  <c r="C152" i="8"/>
  <c r="C164" i="8"/>
  <c r="C175" i="8"/>
  <c r="C184" i="8"/>
  <c r="C193" i="8"/>
  <c r="C202" i="8"/>
  <c r="C212" i="8"/>
  <c r="C221" i="8"/>
  <c r="C230" i="8"/>
  <c r="C239" i="8"/>
  <c r="C248" i="8"/>
  <c r="C257" i="8"/>
  <c r="C266" i="8"/>
  <c r="C275" i="8"/>
  <c r="C283" i="8"/>
  <c r="C291" i="8"/>
  <c r="C299" i="8"/>
  <c r="C307" i="8"/>
  <c r="C315" i="8"/>
  <c r="C323" i="8"/>
  <c r="C331" i="8"/>
  <c r="C339" i="8"/>
  <c r="C347" i="8"/>
  <c r="C355" i="8"/>
  <c r="C363" i="8"/>
  <c r="C371" i="8"/>
  <c r="C379" i="8"/>
  <c r="C387" i="8"/>
  <c r="C395" i="8"/>
  <c r="C403" i="8"/>
  <c r="C411" i="8"/>
  <c r="C419" i="8"/>
  <c r="C427" i="8"/>
  <c r="C435" i="8"/>
  <c r="C443" i="8"/>
  <c r="C451" i="8"/>
  <c r="C459" i="8"/>
  <c r="C467" i="8"/>
  <c r="C475" i="8"/>
  <c r="C483" i="8"/>
  <c r="C491" i="8"/>
  <c r="C499" i="8"/>
  <c r="C36" i="8"/>
  <c r="C87" i="8"/>
  <c r="C128" i="8"/>
  <c r="C166" i="8"/>
  <c r="C192" i="8"/>
  <c r="C214" i="8"/>
  <c r="C240" i="8"/>
  <c r="C265" i="8"/>
  <c r="C285" i="8"/>
  <c r="C301" i="8"/>
  <c r="C317" i="8"/>
  <c r="C333" i="8"/>
  <c r="C349" i="8"/>
  <c r="C365" i="8"/>
  <c r="C381" i="8"/>
  <c r="C396" i="8"/>
  <c r="C407" i="8"/>
  <c r="C421" i="8"/>
  <c r="C434" i="8"/>
  <c r="C446" i="8"/>
  <c r="C460" i="8"/>
  <c r="C471" i="8"/>
  <c r="C485" i="8"/>
  <c r="C498" i="8"/>
  <c r="C38" i="8"/>
  <c r="C92" i="8"/>
  <c r="C136" i="8"/>
  <c r="C167" i="8"/>
  <c r="C194" i="8"/>
  <c r="C220" i="8"/>
  <c r="C241" i="8"/>
  <c r="C268" i="8"/>
  <c r="C287" i="8"/>
  <c r="C303" i="8"/>
  <c r="C319" i="8"/>
  <c r="C335" i="8"/>
  <c r="C351" i="8"/>
  <c r="C367" i="8"/>
  <c r="C383" i="8"/>
  <c r="C397" i="8"/>
  <c r="C410" i="8"/>
  <c r="C422" i="8"/>
  <c r="C436" i="8"/>
  <c r="C447" i="8"/>
  <c r="C461" i="8"/>
  <c r="C474" i="8"/>
  <c r="C486" i="8"/>
  <c r="C500" i="8"/>
  <c r="C52" i="8"/>
  <c r="C94" i="8"/>
  <c r="C142" i="8"/>
  <c r="C174" i="8"/>
  <c r="C196" i="8"/>
  <c r="C222" i="8"/>
  <c r="C247" i="8"/>
  <c r="C269" i="8"/>
  <c r="C290" i="8"/>
  <c r="C306" i="8"/>
  <c r="C322" i="8"/>
  <c r="C338" i="8"/>
  <c r="C354" i="8"/>
  <c r="C370" i="8"/>
  <c r="C386" i="8"/>
  <c r="C398" i="8"/>
  <c r="C412" i="8"/>
  <c r="C423" i="8"/>
  <c r="C437" i="8"/>
  <c r="C450" i="8"/>
  <c r="C462" i="8"/>
  <c r="C476" i="8"/>
  <c r="C487" i="8"/>
  <c r="C7" i="8"/>
  <c r="C55" i="8"/>
  <c r="C105" i="8"/>
  <c r="C143" i="8"/>
  <c r="C176" i="8"/>
  <c r="C201" i="8"/>
  <c r="C223" i="8"/>
  <c r="C249" i="8"/>
  <c r="C274" i="8"/>
  <c r="C292" i="8"/>
  <c r="C308" i="8"/>
  <c r="C324" i="8"/>
  <c r="C340" i="8"/>
  <c r="C356" i="8"/>
  <c r="C372" i="8"/>
  <c r="C388" i="8"/>
  <c r="C399" i="8"/>
  <c r="C413" i="8"/>
  <c r="C426" i="8"/>
  <c r="C438" i="8"/>
  <c r="C452" i="8"/>
  <c r="C463" i="8"/>
  <c r="C477" i="8"/>
  <c r="C490" i="8"/>
  <c r="C12" i="8"/>
  <c r="C70" i="8"/>
  <c r="C113" i="8"/>
  <c r="C153" i="8"/>
  <c r="C183" i="8"/>
  <c r="C205" i="8"/>
  <c r="C231" i="8"/>
  <c r="C256" i="8"/>
  <c r="C277" i="8"/>
  <c r="C295" i="8"/>
  <c r="C311" i="8"/>
  <c r="C327" i="8"/>
  <c r="C343" i="8"/>
  <c r="C359" i="8"/>
  <c r="C375" i="8"/>
  <c r="C390" i="8"/>
  <c r="C404" i="8"/>
  <c r="C415" i="8"/>
  <c r="C429" i="8"/>
  <c r="C442" i="8"/>
  <c r="C454" i="8"/>
  <c r="C468" i="8"/>
  <c r="C479" i="8"/>
  <c r="C493" i="8"/>
  <c r="C362" i="8"/>
  <c r="C17" i="8"/>
  <c r="C73" i="8"/>
  <c r="C121" i="8"/>
  <c r="C155" i="8"/>
  <c r="C185" i="8"/>
  <c r="C210" i="8"/>
  <c r="C232" i="8"/>
  <c r="C258" i="8"/>
  <c r="C282" i="8"/>
  <c r="C298" i="8"/>
  <c r="C314" i="8"/>
  <c r="C330" i="8"/>
  <c r="C346" i="8"/>
  <c r="C378" i="8"/>
  <c r="C391" i="8"/>
  <c r="C405" i="8"/>
  <c r="C110" i="8"/>
  <c r="C229" i="8"/>
  <c r="C309" i="8"/>
  <c r="C373" i="8"/>
  <c r="C420" i="8"/>
  <c r="C455" i="8"/>
  <c r="C492" i="8"/>
  <c r="C402" i="8"/>
  <c r="C300" i="8"/>
  <c r="C127" i="8"/>
  <c r="C238" i="8"/>
  <c r="C316" i="8"/>
  <c r="C380" i="8"/>
  <c r="C428" i="8"/>
  <c r="C458" i="8"/>
  <c r="C494" i="8"/>
  <c r="C276" i="8"/>
  <c r="C439" i="8"/>
  <c r="C418" i="8"/>
  <c r="C151" i="8"/>
  <c r="C250" i="8"/>
  <c r="C325" i="8"/>
  <c r="C389" i="8"/>
  <c r="C430" i="8"/>
  <c r="C466" i="8"/>
  <c r="C495" i="8"/>
  <c r="C341" i="8"/>
  <c r="C470" i="8"/>
  <c r="C163" i="8"/>
  <c r="C260" i="8"/>
  <c r="C332" i="8"/>
  <c r="C394" i="8"/>
  <c r="C431" i="8"/>
  <c r="C469" i="8"/>
  <c r="C177" i="8"/>
  <c r="C364" i="8"/>
  <c r="C30" i="8"/>
  <c r="C186" i="8"/>
  <c r="C284" i="8"/>
  <c r="C348" i="8"/>
  <c r="C406" i="8"/>
  <c r="C444" i="8"/>
  <c r="C478" i="8"/>
  <c r="C76" i="8"/>
  <c r="C453" i="8"/>
  <c r="C57" i="8"/>
  <c r="C204" i="8"/>
  <c r="C293" i="8"/>
  <c r="C357" i="8"/>
  <c r="C414" i="8"/>
  <c r="C445" i="8"/>
  <c r="C482" i="8"/>
  <c r="C213" i="8"/>
  <c r="C484" i="8"/>
  <c r="D890" i="4"/>
  <c r="B890" i="4"/>
  <c r="D889" i="4"/>
  <c r="B889" i="4"/>
  <c r="D888" i="4"/>
  <c r="B888" i="4"/>
  <c r="D887" i="4"/>
  <c r="B887" i="4"/>
  <c r="D886" i="4"/>
  <c r="B886" i="4"/>
  <c r="D885" i="4"/>
  <c r="B885" i="4"/>
  <c r="D884" i="4"/>
  <c r="B884" i="4"/>
  <c r="D883" i="4"/>
  <c r="B883" i="4"/>
  <c r="D882" i="4"/>
  <c r="B882" i="4"/>
  <c r="D881" i="4"/>
  <c r="B881" i="4"/>
  <c r="D880" i="4"/>
  <c r="B880" i="4"/>
  <c r="D879" i="4"/>
  <c r="B879" i="4"/>
  <c r="D878" i="4"/>
  <c r="B878" i="4"/>
  <c r="D877" i="4"/>
  <c r="B877" i="4"/>
  <c r="D876" i="4"/>
  <c r="B876" i="4"/>
  <c r="D875" i="4"/>
  <c r="B875" i="4"/>
  <c r="D874" i="4"/>
  <c r="B874" i="4"/>
  <c r="D873" i="4"/>
  <c r="B873" i="4"/>
  <c r="D872" i="4"/>
  <c r="B872" i="4"/>
  <c r="D871" i="4"/>
  <c r="B871" i="4"/>
  <c r="D870" i="4"/>
  <c r="B870" i="4"/>
  <c r="D869" i="4"/>
  <c r="B869" i="4"/>
  <c r="D868" i="4"/>
  <c r="B868" i="4"/>
  <c r="D867" i="4"/>
  <c r="B867" i="4"/>
  <c r="D866" i="4"/>
  <c r="B866" i="4"/>
  <c r="D865" i="4"/>
  <c r="B865" i="4"/>
  <c r="D864" i="4"/>
  <c r="B864" i="4"/>
  <c r="D863" i="4"/>
  <c r="B863" i="4"/>
  <c r="D862" i="4"/>
  <c r="B862" i="4"/>
  <c r="D861" i="4"/>
  <c r="B861" i="4"/>
  <c r="D860" i="4"/>
  <c r="B860" i="4"/>
  <c r="D859" i="4"/>
  <c r="B859" i="4"/>
  <c r="D858" i="4"/>
  <c r="B858" i="4"/>
  <c r="D857" i="4"/>
  <c r="B857" i="4"/>
  <c r="D856" i="4"/>
  <c r="B856" i="4"/>
  <c r="D855" i="4"/>
  <c r="B855" i="4"/>
  <c r="D854" i="4"/>
  <c r="B854" i="4"/>
  <c r="D853" i="4"/>
  <c r="B853" i="4"/>
  <c r="D852" i="4"/>
  <c r="B852" i="4"/>
  <c r="D851" i="4"/>
  <c r="B851" i="4"/>
  <c r="D850" i="4"/>
  <c r="B850" i="4"/>
  <c r="D849" i="4"/>
  <c r="B849" i="4"/>
  <c r="D848" i="4"/>
  <c r="B848" i="4"/>
  <c r="D847" i="4"/>
  <c r="B847" i="4"/>
  <c r="D846" i="4"/>
  <c r="B846" i="4"/>
  <c r="D845" i="4"/>
  <c r="B845" i="4"/>
  <c r="D844" i="4"/>
  <c r="B844" i="4"/>
  <c r="D843" i="4"/>
  <c r="B843" i="4"/>
  <c r="D842" i="4"/>
  <c r="B842" i="4"/>
  <c r="D841" i="4"/>
  <c r="B841" i="4"/>
  <c r="D840" i="4"/>
  <c r="B840" i="4"/>
  <c r="D839" i="4"/>
  <c r="B839" i="4"/>
  <c r="D838" i="4"/>
  <c r="B838" i="4"/>
  <c r="D837" i="4"/>
  <c r="B837" i="4"/>
  <c r="D836" i="4"/>
  <c r="B836" i="4"/>
  <c r="D835" i="4"/>
  <c r="B835" i="4"/>
  <c r="D834" i="4"/>
  <c r="B834" i="4"/>
  <c r="D833" i="4"/>
  <c r="B833" i="4"/>
  <c r="D832" i="4"/>
  <c r="B832" i="4"/>
  <c r="D831" i="4"/>
  <c r="B831" i="4"/>
  <c r="D830" i="4"/>
  <c r="B830" i="4"/>
  <c r="D829" i="4"/>
  <c r="B829" i="4"/>
  <c r="D828" i="4"/>
  <c r="B828" i="4"/>
  <c r="D827" i="4"/>
  <c r="B827" i="4"/>
  <c r="D826" i="4"/>
  <c r="B826" i="4"/>
  <c r="D825" i="4"/>
  <c r="B825" i="4"/>
  <c r="D824" i="4"/>
  <c r="B824" i="4"/>
  <c r="D823" i="4"/>
  <c r="B823" i="4"/>
  <c r="D822" i="4"/>
  <c r="B822" i="4"/>
  <c r="D821" i="4"/>
  <c r="B821" i="4"/>
  <c r="D820" i="4"/>
  <c r="B820" i="4"/>
  <c r="D819" i="4"/>
  <c r="B819" i="4"/>
  <c r="D818" i="4"/>
  <c r="B818" i="4"/>
  <c r="D817" i="4"/>
  <c r="B817" i="4"/>
  <c r="D816" i="4"/>
  <c r="B816" i="4"/>
  <c r="D815" i="4"/>
  <c r="B815" i="4"/>
  <c r="D814" i="4"/>
  <c r="B814" i="4"/>
  <c r="D813" i="4"/>
  <c r="B813" i="4"/>
  <c r="D812" i="4"/>
  <c r="B812" i="4"/>
  <c r="D811" i="4"/>
  <c r="B811" i="4"/>
  <c r="D810" i="4"/>
  <c r="B810" i="4"/>
  <c r="D809" i="4"/>
  <c r="B809" i="4"/>
  <c r="D808" i="4"/>
  <c r="B808" i="4"/>
  <c r="D807" i="4"/>
  <c r="B807" i="4"/>
  <c r="D806" i="4"/>
  <c r="B806" i="4"/>
  <c r="D805" i="4"/>
  <c r="B805" i="4"/>
  <c r="D804" i="4"/>
  <c r="B804" i="4"/>
  <c r="D803" i="4"/>
  <c r="B803" i="4"/>
  <c r="D802" i="4"/>
  <c r="B802" i="4"/>
  <c r="D801" i="4"/>
  <c r="B801" i="4"/>
  <c r="D800" i="4"/>
  <c r="B800" i="4"/>
  <c r="D799" i="4"/>
  <c r="B799" i="4"/>
  <c r="D798" i="4"/>
  <c r="B798" i="4"/>
  <c r="D797" i="4"/>
  <c r="B797" i="4"/>
  <c r="D796" i="4"/>
  <c r="B796" i="4"/>
  <c r="D795" i="4"/>
  <c r="B795" i="4"/>
  <c r="D794" i="4"/>
  <c r="B794" i="4"/>
  <c r="D793" i="4"/>
  <c r="B793" i="4"/>
  <c r="D792" i="4"/>
  <c r="B792" i="4"/>
  <c r="D791" i="4"/>
  <c r="B791" i="4"/>
  <c r="D790" i="4"/>
  <c r="B790" i="4"/>
  <c r="D789" i="4"/>
  <c r="B789" i="4"/>
  <c r="D788" i="4"/>
  <c r="B788" i="4"/>
  <c r="D787" i="4"/>
  <c r="B787" i="4"/>
  <c r="D786" i="4"/>
  <c r="B786" i="4"/>
  <c r="D785" i="4"/>
  <c r="B785" i="4"/>
  <c r="D784" i="4"/>
  <c r="B784" i="4"/>
  <c r="D783" i="4"/>
  <c r="B783" i="4"/>
  <c r="D782" i="4"/>
  <c r="B782" i="4"/>
  <c r="D781" i="4"/>
  <c r="B781" i="4"/>
  <c r="D780" i="4"/>
  <c r="B780" i="4"/>
  <c r="D779" i="4"/>
  <c r="B779" i="4"/>
  <c r="D778" i="4"/>
  <c r="B778" i="4"/>
  <c r="D777" i="4"/>
  <c r="B777" i="4"/>
  <c r="D776" i="4"/>
  <c r="B776" i="4"/>
  <c r="D775" i="4"/>
  <c r="B775" i="4"/>
  <c r="D774" i="4"/>
  <c r="B774" i="4"/>
  <c r="D773" i="4"/>
  <c r="B773" i="4"/>
  <c r="D772" i="4"/>
  <c r="B772" i="4"/>
  <c r="D771" i="4"/>
  <c r="B771" i="4"/>
  <c r="D770" i="4"/>
  <c r="B770" i="4"/>
  <c r="D769" i="4"/>
  <c r="B769" i="4"/>
  <c r="D768" i="4"/>
  <c r="B768" i="4"/>
  <c r="D767" i="4"/>
  <c r="B767" i="4"/>
  <c r="D766" i="4"/>
  <c r="B766" i="4"/>
  <c r="D765" i="4"/>
  <c r="B765" i="4"/>
  <c r="D764" i="4"/>
  <c r="B764" i="4"/>
  <c r="D763" i="4"/>
  <c r="B763" i="4"/>
  <c r="D762" i="4"/>
  <c r="B762" i="4"/>
  <c r="D761" i="4"/>
  <c r="B761" i="4"/>
  <c r="D760" i="4"/>
  <c r="B760" i="4"/>
  <c r="D759" i="4"/>
  <c r="B759" i="4"/>
  <c r="D758" i="4"/>
  <c r="B758" i="4"/>
  <c r="D757" i="4"/>
  <c r="B757" i="4"/>
  <c r="D756" i="4"/>
  <c r="B756" i="4"/>
  <c r="D755" i="4"/>
  <c r="B755" i="4"/>
  <c r="D754" i="4"/>
  <c r="B754" i="4"/>
  <c r="D753" i="4"/>
  <c r="B753" i="4"/>
  <c r="D752" i="4"/>
  <c r="B752" i="4"/>
  <c r="D751" i="4"/>
  <c r="B751" i="4"/>
  <c r="D750" i="4"/>
  <c r="B750" i="4"/>
  <c r="D749" i="4"/>
  <c r="B749" i="4"/>
  <c r="D748" i="4"/>
  <c r="B748" i="4"/>
  <c r="D747" i="4"/>
  <c r="B747" i="4"/>
  <c r="D746" i="4"/>
  <c r="B746" i="4"/>
  <c r="D745" i="4"/>
  <c r="B745" i="4"/>
  <c r="D744" i="4"/>
  <c r="B744" i="4"/>
  <c r="D743" i="4"/>
  <c r="B743" i="4"/>
  <c r="D742" i="4"/>
  <c r="B742" i="4"/>
  <c r="D741" i="4"/>
  <c r="B741" i="4"/>
  <c r="D740" i="4"/>
  <c r="B740" i="4"/>
  <c r="D739" i="4"/>
  <c r="B739" i="4"/>
  <c r="D738" i="4"/>
  <c r="B738" i="4"/>
  <c r="D737" i="4"/>
  <c r="B737" i="4"/>
  <c r="D736" i="4"/>
  <c r="B736" i="4"/>
  <c r="D735" i="4"/>
  <c r="B735" i="4"/>
  <c r="D734" i="4"/>
  <c r="B734" i="4"/>
  <c r="D733" i="4"/>
  <c r="B733" i="4"/>
  <c r="D732" i="4"/>
  <c r="B732" i="4"/>
  <c r="D731" i="4"/>
  <c r="B731" i="4"/>
  <c r="D730" i="4"/>
  <c r="B730" i="4"/>
  <c r="D729" i="4"/>
  <c r="B729" i="4"/>
  <c r="D728" i="4"/>
  <c r="B728" i="4"/>
  <c r="D727" i="4"/>
  <c r="B727" i="4"/>
  <c r="D726" i="4"/>
  <c r="B726" i="4"/>
  <c r="D725" i="4"/>
  <c r="B725" i="4"/>
  <c r="D724" i="4"/>
  <c r="B724" i="4"/>
  <c r="D723" i="4"/>
  <c r="B723" i="4"/>
  <c r="D722" i="4"/>
  <c r="B722" i="4"/>
  <c r="D721" i="4"/>
  <c r="B721" i="4"/>
  <c r="D720" i="4"/>
  <c r="B720" i="4"/>
  <c r="D719" i="4"/>
  <c r="B719" i="4"/>
  <c r="D718" i="4"/>
  <c r="B718" i="4"/>
  <c r="D717" i="4"/>
  <c r="B717" i="4"/>
  <c r="D716" i="4"/>
  <c r="B716" i="4"/>
  <c r="D715" i="4"/>
  <c r="B715" i="4"/>
  <c r="D714" i="4"/>
  <c r="B714" i="4"/>
  <c r="D713" i="4"/>
  <c r="B713" i="4"/>
  <c r="D712" i="4"/>
  <c r="B712" i="4"/>
  <c r="D711" i="4"/>
  <c r="B711" i="4"/>
  <c r="D710" i="4"/>
  <c r="B710" i="4"/>
  <c r="D709" i="4"/>
  <c r="B709" i="4"/>
  <c r="D708" i="4"/>
  <c r="B708" i="4"/>
  <c r="D707" i="4"/>
  <c r="B707" i="4"/>
  <c r="D706" i="4"/>
  <c r="B706" i="4"/>
  <c r="D705" i="4"/>
  <c r="B705" i="4"/>
  <c r="D704" i="4"/>
  <c r="B704" i="4"/>
  <c r="D703" i="4"/>
  <c r="B703" i="4"/>
  <c r="D702" i="4"/>
  <c r="B702" i="4"/>
  <c r="D701" i="4"/>
  <c r="B701" i="4"/>
  <c r="D700" i="4"/>
  <c r="B700" i="4"/>
  <c r="D699" i="4"/>
  <c r="B699" i="4"/>
  <c r="D698" i="4"/>
  <c r="B698" i="4"/>
  <c r="D697" i="4"/>
  <c r="B697" i="4"/>
  <c r="D696" i="4"/>
  <c r="B696" i="4"/>
  <c r="D695" i="4"/>
  <c r="B695" i="4"/>
  <c r="D694" i="4"/>
  <c r="B694" i="4"/>
  <c r="D693" i="4"/>
  <c r="B693" i="4"/>
  <c r="D692" i="4"/>
  <c r="B692" i="4"/>
  <c r="D691" i="4"/>
  <c r="B691" i="4"/>
  <c r="D690" i="4"/>
  <c r="B690" i="4"/>
  <c r="D689" i="4"/>
  <c r="B689" i="4"/>
  <c r="D688" i="4"/>
  <c r="B688" i="4"/>
  <c r="D687" i="4"/>
  <c r="B687" i="4"/>
  <c r="D686" i="4"/>
  <c r="B686" i="4"/>
  <c r="D685" i="4"/>
  <c r="B685" i="4"/>
  <c r="D684" i="4"/>
  <c r="B684" i="4"/>
  <c r="D683" i="4"/>
  <c r="B683" i="4"/>
  <c r="D682" i="4"/>
  <c r="B682" i="4"/>
  <c r="D681" i="4"/>
  <c r="B681" i="4"/>
  <c r="D680" i="4"/>
  <c r="B680" i="4"/>
  <c r="D679" i="4"/>
  <c r="B679" i="4"/>
  <c r="D678" i="4"/>
  <c r="B678" i="4"/>
  <c r="D677" i="4"/>
  <c r="B677" i="4"/>
  <c r="D676" i="4"/>
  <c r="B676" i="4"/>
  <c r="D675" i="4"/>
  <c r="B675" i="4"/>
  <c r="D674" i="4"/>
  <c r="B674" i="4"/>
  <c r="D673" i="4"/>
  <c r="B673" i="4"/>
  <c r="D672" i="4"/>
  <c r="B672" i="4"/>
  <c r="D671" i="4"/>
  <c r="B671" i="4"/>
  <c r="D670" i="4"/>
  <c r="B670" i="4"/>
  <c r="D669" i="4"/>
  <c r="B669" i="4"/>
  <c r="D668" i="4"/>
  <c r="B668" i="4"/>
  <c r="D667" i="4"/>
  <c r="B667" i="4"/>
  <c r="D666" i="4"/>
  <c r="B666" i="4"/>
  <c r="D665" i="4"/>
  <c r="B665" i="4"/>
  <c r="D664" i="4"/>
  <c r="B664" i="4"/>
  <c r="D663" i="4"/>
  <c r="B663" i="4"/>
  <c r="D662" i="4"/>
  <c r="B662" i="4"/>
  <c r="D661" i="4"/>
  <c r="B661" i="4"/>
  <c r="D660" i="4"/>
  <c r="B660" i="4"/>
  <c r="D659" i="4"/>
  <c r="B659" i="4"/>
  <c r="D658" i="4"/>
  <c r="B658" i="4"/>
  <c r="D657" i="4"/>
  <c r="B657" i="4"/>
  <c r="D656" i="4"/>
  <c r="B656" i="4"/>
  <c r="D655" i="4"/>
  <c r="B655" i="4"/>
  <c r="D654" i="4"/>
  <c r="B654" i="4"/>
  <c r="D653" i="4"/>
  <c r="B653" i="4"/>
  <c r="D652" i="4"/>
  <c r="B652" i="4"/>
  <c r="D651" i="4"/>
  <c r="B651" i="4"/>
  <c r="D650" i="4"/>
  <c r="B650" i="4"/>
  <c r="D649" i="4"/>
  <c r="B649" i="4"/>
  <c r="D648" i="4"/>
  <c r="B648" i="4"/>
  <c r="D647" i="4"/>
  <c r="B647" i="4"/>
  <c r="D646" i="4"/>
  <c r="B646" i="4"/>
  <c r="D645" i="4"/>
  <c r="B645" i="4"/>
  <c r="D644" i="4"/>
  <c r="B644" i="4"/>
  <c r="D643" i="4"/>
  <c r="B643" i="4"/>
  <c r="D642" i="4"/>
  <c r="B642" i="4"/>
  <c r="D641" i="4"/>
  <c r="B641" i="4"/>
  <c r="D640" i="4"/>
  <c r="B640" i="4"/>
  <c r="D639" i="4"/>
  <c r="B639" i="4"/>
  <c r="D638" i="4"/>
  <c r="B638" i="4"/>
  <c r="D637" i="4"/>
  <c r="B637" i="4"/>
  <c r="D636" i="4"/>
  <c r="B636" i="4"/>
  <c r="D635" i="4"/>
  <c r="B635" i="4"/>
  <c r="D634" i="4"/>
  <c r="B634" i="4"/>
  <c r="D633" i="4"/>
  <c r="B633" i="4"/>
  <c r="D632" i="4"/>
  <c r="B632" i="4"/>
  <c r="D631" i="4"/>
  <c r="B631" i="4"/>
  <c r="D630" i="4"/>
  <c r="B630" i="4"/>
  <c r="D629" i="4"/>
  <c r="B629" i="4"/>
  <c r="D628" i="4"/>
  <c r="B628" i="4"/>
  <c r="D627" i="4"/>
  <c r="B627" i="4"/>
  <c r="D626" i="4"/>
  <c r="B626" i="4"/>
  <c r="D625" i="4"/>
  <c r="B625" i="4"/>
  <c r="D624" i="4"/>
  <c r="B624" i="4"/>
  <c r="D623" i="4"/>
  <c r="B623" i="4"/>
  <c r="D622" i="4"/>
  <c r="B622" i="4"/>
  <c r="D621" i="4"/>
  <c r="B621" i="4"/>
  <c r="D620" i="4"/>
  <c r="B620" i="4"/>
  <c r="D619" i="4"/>
  <c r="B619" i="4"/>
  <c r="D618" i="4"/>
  <c r="B618" i="4"/>
  <c r="D617" i="4"/>
  <c r="B617" i="4"/>
  <c r="D616" i="4"/>
  <c r="B616" i="4"/>
  <c r="D615" i="4"/>
  <c r="B615" i="4"/>
  <c r="D614" i="4"/>
  <c r="B614" i="4"/>
  <c r="D613" i="4"/>
  <c r="B613" i="4"/>
  <c r="D612" i="4"/>
  <c r="B612" i="4"/>
  <c r="D611" i="4"/>
  <c r="B611" i="4"/>
  <c r="D610" i="4"/>
  <c r="B610" i="4"/>
  <c r="D609" i="4"/>
  <c r="B609" i="4"/>
  <c r="D608" i="4"/>
  <c r="B608" i="4"/>
  <c r="D607" i="4"/>
  <c r="B607" i="4"/>
  <c r="D606" i="4"/>
  <c r="B606" i="4"/>
  <c r="D605" i="4"/>
  <c r="B605" i="4"/>
  <c r="D604" i="4"/>
  <c r="B604" i="4"/>
  <c r="D603" i="4"/>
  <c r="B603" i="4"/>
  <c r="D602" i="4"/>
  <c r="B602" i="4"/>
  <c r="D601" i="4"/>
  <c r="B601" i="4"/>
  <c r="D600" i="4"/>
  <c r="B600" i="4"/>
  <c r="D599" i="4"/>
  <c r="B599" i="4"/>
  <c r="D598" i="4"/>
  <c r="B598" i="4"/>
  <c r="D597" i="4"/>
  <c r="B597" i="4"/>
  <c r="D596" i="4"/>
  <c r="B596" i="4"/>
  <c r="D595" i="4"/>
  <c r="B595" i="4"/>
  <c r="D594" i="4"/>
  <c r="B594" i="4"/>
  <c r="D593" i="4"/>
  <c r="B593" i="4"/>
  <c r="D592" i="4"/>
  <c r="B592" i="4"/>
  <c r="D591" i="4"/>
  <c r="B591" i="4"/>
  <c r="D590" i="4"/>
  <c r="B590" i="4"/>
  <c r="D589" i="4"/>
  <c r="B589" i="4"/>
  <c r="D588" i="4"/>
  <c r="B588" i="4"/>
  <c r="D587" i="4"/>
  <c r="B587" i="4"/>
  <c r="D586" i="4"/>
  <c r="B586" i="4"/>
  <c r="D585" i="4"/>
  <c r="B585" i="4"/>
  <c r="D584" i="4"/>
  <c r="B584" i="4"/>
  <c r="D583" i="4"/>
  <c r="B583" i="4"/>
  <c r="D582" i="4"/>
  <c r="B582" i="4"/>
  <c r="D581" i="4"/>
  <c r="B581" i="4"/>
  <c r="D580" i="4"/>
  <c r="B580" i="4"/>
  <c r="D579" i="4"/>
  <c r="B579" i="4"/>
  <c r="D578" i="4"/>
  <c r="B578" i="4"/>
  <c r="D577" i="4"/>
  <c r="B577" i="4"/>
  <c r="D576" i="4"/>
  <c r="B576" i="4"/>
  <c r="D575" i="4"/>
  <c r="B575" i="4"/>
  <c r="D574" i="4"/>
  <c r="B574" i="4"/>
  <c r="D573" i="4"/>
  <c r="B573" i="4"/>
  <c r="D572" i="4"/>
  <c r="B572" i="4"/>
  <c r="D571" i="4"/>
  <c r="B571" i="4"/>
  <c r="D570" i="4"/>
  <c r="B570" i="4"/>
  <c r="D569" i="4"/>
  <c r="B569" i="4"/>
  <c r="D568" i="4"/>
  <c r="B568" i="4"/>
  <c r="D567" i="4"/>
  <c r="B567" i="4"/>
  <c r="D566" i="4"/>
  <c r="B566" i="4"/>
  <c r="D565" i="4"/>
  <c r="B565" i="4"/>
  <c r="D564" i="4"/>
  <c r="B564" i="4"/>
  <c r="D563" i="4"/>
  <c r="B563" i="4"/>
  <c r="D562" i="4"/>
  <c r="B562" i="4"/>
  <c r="D561" i="4"/>
  <c r="B561" i="4"/>
  <c r="D560" i="4"/>
  <c r="B560" i="4"/>
  <c r="D559" i="4"/>
  <c r="B559" i="4"/>
  <c r="D558" i="4"/>
  <c r="B558" i="4"/>
  <c r="D557" i="4"/>
  <c r="B557" i="4"/>
  <c r="D556" i="4"/>
  <c r="B556" i="4"/>
  <c r="D555" i="4"/>
  <c r="B555" i="4"/>
  <c r="D554" i="4"/>
  <c r="B554" i="4"/>
  <c r="D553" i="4"/>
  <c r="B553" i="4"/>
  <c r="D552" i="4"/>
  <c r="B552" i="4"/>
  <c r="D551" i="4"/>
  <c r="B551" i="4"/>
  <c r="D550" i="4"/>
  <c r="B550" i="4"/>
  <c r="D549" i="4"/>
  <c r="B549" i="4"/>
  <c r="D548" i="4"/>
  <c r="B548" i="4"/>
  <c r="D547" i="4"/>
  <c r="B547" i="4"/>
  <c r="D546" i="4"/>
  <c r="B546" i="4"/>
  <c r="D545" i="4"/>
  <c r="B545" i="4"/>
  <c r="D544" i="4"/>
  <c r="B544" i="4"/>
  <c r="D543" i="4"/>
  <c r="B543" i="4"/>
  <c r="D542" i="4"/>
  <c r="B542" i="4"/>
  <c r="D541" i="4"/>
  <c r="B541" i="4"/>
  <c r="D540" i="4"/>
  <c r="B540" i="4"/>
  <c r="D539" i="4"/>
  <c r="B539" i="4"/>
  <c r="D538" i="4"/>
  <c r="B538" i="4"/>
  <c r="D537" i="4"/>
  <c r="B537" i="4"/>
  <c r="D536" i="4"/>
  <c r="B536" i="4"/>
  <c r="D535" i="4"/>
  <c r="B535" i="4"/>
  <c r="D534" i="4"/>
  <c r="B534" i="4"/>
  <c r="D533" i="4"/>
  <c r="B533" i="4"/>
  <c r="D532" i="4"/>
  <c r="B532" i="4"/>
  <c r="D531" i="4"/>
  <c r="B531" i="4"/>
  <c r="D530" i="4"/>
  <c r="B530" i="4"/>
  <c r="D529" i="4"/>
  <c r="B529" i="4"/>
  <c r="D528" i="4"/>
  <c r="B528" i="4"/>
  <c r="D527" i="4"/>
  <c r="B527" i="4"/>
  <c r="D526" i="4"/>
  <c r="B526" i="4"/>
  <c r="D525" i="4"/>
  <c r="B525" i="4"/>
  <c r="D524" i="4"/>
  <c r="B524" i="4"/>
  <c r="D523" i="4"/>
  <c r="B523" i="4"/>
  <c r="D522" i="4"/>
  <c r="B522" i="4"/>
  <c r="D521" i="4"/>
  <c r="B521" i="4"/>
  <c r="D520" i="4"/>
  <c r="B520" i="4"/>
  <c r="D519" i="4"/>
  <c r="B519" i="4"/>
  <c r="D518" i="4"/>
  <c r="B518" i="4"/>
  <c r="D517" i="4"/>
  <c r="B517" i="4"/>
  <c r="D516" i="4"/>
  <c r="B516" i="4"/>
  <c r="D515" i="4"/>
  <c r="B515" i="4"/>
  <c r="D514" i="4"/>
  <c r="B514" i="4"/>
  <c r="D513" i="4"/>
  <c r="B513" i="4"/>
  <c r="D512" i="4"/>
  <c r="B512" i="4"/>
  <c r="D511" i="4"/>
  <c r="B511" i="4"/>
  <c r="D510" i="4"/>
  <c r="B510" i="4"/>
  <c r="D509" i="4"/>
  <c r="B509" i="4"/>
  <c r="D508" i="4"/>
  <c r="B508" i="4"/>
  <c r="D507" i="4"/>
  <c r="B507" i="4"/>
  <c r="D506" i="4"/>
  <c r="B506" i="4"/>
  <c r="D505" i="4"/>
  <c r="B505" i="4"/>
  <c r="D504" i="4"/>
  <c r="B504" i="4"/>
  <c r="D503" i="4"/>
  <c r="B503" i="4"/>
  <c r="D502" i="4"/>
  <c r="B502" i="4"/>
  <c r="D501" i="4"/>
  <c r="B501" i="4"/>
  <c r="D500" i="4"/>
  <c r="B500" i="4"/>
  <c r="D499" i="4"/>
  <c r="B499" i="4"/>
  <c r="D498" i="4"/>
  <c r="B498" i="4"/>
  <c r="D497" i="4"/>
  <c r="B497" i="4"/>
  <c r="D496" i="4"/>
  <c r="B496" i="4"/>
  <c r="D495" i="4"/>
  <c r="B495" i="4"/>
  <c r="D494" i="4"/>
  <c r="B494" i="4"/>
  <c r="D493" i="4"/>
  <c r="B493" i="4"/>
  <c r="D492" i="4"/>
  <c r="B492" i="4"/>
  <c r="D491" i="4"/>
  <c r="B491" i="4"/>
  <c r="D490" i="4"/>
  <c r="B490" i="4"/>
  <c r="D489" i="4"/>
  <c r="B489" i="4"/>
  <c r="D488" i="4"/>
  <c r="B488" i="4"/>
  <c r="D487" i="4"/>
  <c r="B487" i="4"/>
  <c r="D486" i="4"/>
  <c r="B486" i="4"/>
  <c r="D485" i="4"/>
  <c r="B485" i="4"/>
  <c r="D484" i="4"/>
  <c r="B484" i="4"/>
  <c r="D483" i="4"/>
  <c r="B483" i="4"/>
  <c r="D482" i="4"/>
  <c r="B482" i="4"/>
  <c r="D481" i="4"/>
  <c r="B481" i="4"/>
  <c r="D480" i="4"/>
  <c r="B480" i="4"/>
  <c r="D479" i="4"/>
  <c r="B479" i="4"/>
  <c r="D478" i="4"/>
  <c r="B478" i="4"/>
  <c r="D477" i="4"/>
  <c r="B477" i="4"/>
  <c r="D476" i="4"/>
  <c r="B476" i="4"/>
  <c r="D475" i="4"/>
  <c r="B475" i="4"/>
  <c r="D474" i="4"/>
  <c r="B474" i="4"/>
  <c r="D473" i="4"/>
  <c r="B473" i="4"/>
  <c r="D472" i="4"/>
  <c r="B472" i="4"/>
  <c r="D471" i="4"/>
  <c r="B471" i="4"/>
  <c r="D470" i="4"/>
  <c r="B470" i="4"/>
  <c r="D469" i="4"/>
  <c r="B469" i="4"/>
  <c r="D468" i="4"/>
  <c r="B468" i="4"/>
  <c r="D467" i="4"/>
  <c r="B467" i="4"/>
  <c r="D466" i="4"/>
  <c r="B466" i="4"/>
  <c r="D465" i="4"/>
  <c r="B465" i="4"/>
  <c r="D464" i="4"/>
  <c r="B464" i="4"/>
  <c r="D463" i="4"/>
  <c r="B463" i="4"/>
  <c r="D462" i="4"/>
  <c r="B462" i="4"/>
  <c r="D461" i="4"/>
  <c r="B461" i="4"/>
  <c r="D460" i="4"/>
  <c r="B460" i="4"/>
  <c r="D459" i="4"/>
  <c r="B459" i="4"/>
  <c r="D458" i="4"/>
  <c r="B458" i="4"/>
  <c r="D457" i="4"/>
  <c r="B457" i="4"/>
  <c r="D456" i="4"/>
  <c r="B456" i="4"/>
  <c r="D455" i="4"/>
  <c r="B455" i="4"/>
  <c r="D454" i="4"/>
  <c r="B454" i="4"/>
  <c r="D453" i="4"/>
  <c r="B453" i="4"/>
  <c r="D452" i="4"/>
  <c r="B452" i="4"/>
  <c r="D451" i="4"/>
  <c r="B451" i="4"/>
  <c r="D450" i="4"/>
  <c r="B450" i="4"/>
  <c r="D449" i="4"/>
  <c r="B449" i="4"/>
  <c r="D448" i="4"/>
  <c r="B448" i="4"/>
  <c r="D447" i="4"/>
  <c r="B447" i="4"/>
  <c r="D446" i="4"/>
  <c r="B446" i="4"/>
  <c r="D445" i="4"/>
  <c r="B445" i="4"/>
  <c r="D444" i="4"/>
  <c r="B444" i="4"/>
  <c r="D443" i="4"/>
  <c r="B443" i="4"/>
  <c r="D442" i="4"/>
  <c r="B442" i="4"/>
  <c r="D441" i="4"/>
  <c r="B441" i="4"/>
  <c r="D440" i="4"/>
  <c r="B440" i="4"/>
  <c r="D439" i="4"/>
  <c r="B439" i="4"/>
  <c r="D438" i="4"/>
  <c r="B438" i="4"/>
  <c r="D437" i="4"/>
  <c r="B437" i="4"/>
  <c r="D436" i="4"/>
  <c r="B436" i="4"/>
  <c r="D435" i="4"/>
  <c r="B435" i="4"/>
  <c r="D434" i="4"/>
  <c r="B434" i="4"/>
  <c r="D433" i="4"/>
  <c r="B433" i="4"/>
  <c r="D432" i="4"/>
  <c r="B432" i="4"/>
  <c r="D431" i="4"/>
  <c r="B431" i="4"/>
  <c r="D430" i="4"/>
  <c r="B430" i="4"/>
  <c r="D429" i="4"/>
  <c r="B429" i="4"/>
  <c r="D428" i="4"/>
  <c r="B428" i="4"/>
  <c r="D427" i="4"/>
  <c r="B427" i="4"/>
  <c r="D426" i="4"/>
  <c r="B426" i="4"/>
  <c r="D425" i="4"/>
  <c r="B425" i="4"/>
  <c r="D424" i="4"/>
  <c r="B424" i="4"/>
  <c r="D423" i="4"/>
  <c r="B423" i="4"/>
  <c r="D422" i="4"/>
  <c r="B422" i="4"/>
  <c r="D421" i="4"/>
  <c r="B421" i="4"/>
  <c r="D420" i="4"/>
  <c r="B420" i="4"/>
  <c r="D419" i="4"/>
  <c r="B419" i="4"/>
  <c r="D418" i="4"/>
  <c r="B418" i="4"/>
  <c r="D417" i="4"/>
  <c r="B417" i="4"/>
  <c r="D416" i="4"/>
  <c r="B416" i="4"/>
  <c r="D415" i="4"/>
  <c r="B415" i="4"/>
  <c r="D414" i="4"/>
  <c r="B414" i="4"/>
  <c r="D413" i="4"/>
  <c r="B413" i="4"/>
  <c r="D412" i="4"/>
  <c r="B412" i="4"/>
  <c r="D411" i="4"/>
  <c r="B411" i="4"/>
  <c r="D410" i="4"/>
  <c r="B410" i="4"/>
  <c r="D409" i="4"/>
  <c r="B409" i="4"/>
  <c r="D408" i="4"/>
  <c r="B408" i="4"/>
  <c r="D407" i="4"/>
  <c r="B407" i="4"/>
  <c r="E8" i="3"/>
  <c r="H8" i="3" l="1"/>
  <c r="H4" i="2"/>
  <c r="H5" i="2"/>
  <c r="H6" i="2"/>
  <c r="H7" i="2"/>
  <c r="H8" i="2"/>
  <c r="H9" i="2"/>
  <c r="H10" i="2"/>
  <c r="H11" i="2"/>
  <c r="H12" i="2"/>
  <c r="H13" i="2"/>
  <c r="H14" i="2"/>
  <c r="H15" i="2"/>
  <c r="H16" i="2"/>
  <c r="H17" i="2"/>
  <c r="I17" i="2" s="1"/>
  <c r="J17" i="2" s="1"/>
  <c r="H18" i="2"/>
  <c r="I18" i="2" s="1"/>
  <c r="J18" i="2" s="1"/>
  <c r="H19" i="2"/>
  <c r="I19" i="2" s="1"/>
  <c r="J19" i="2" s="1"/>
  <c r="H20" i="2"/>
  <c r="I20" i="2" s="1"/>
  <c r="J20" i="2" s="1"/>
  <c r="H21" i="2"/>
  <c r="I21" i="2" s="1"/>
  <c r="J21" i="2" s="1"/>
  <c r="H22" i="2"/>
  <c r="I22" i="2" s="1"/>
  <c r="J22" i="2" s="1"/>
  <c r="H23" i="2"/>
  <c r="I23" i="2" s="1"/>
  <c r="J23" i="2" s="1"/>
  <c r="H24" i="2"/>
  <c r="I24" i="2" s="1"/>
  <c r="J24" i="2" s="1"/>
  <c r="H25" i="2"/>
  <c r="I25" i="2" s="1"/>
  <c r="J25" i="2" s="1"/>
  <c r="H26" i="2"/>
  <c r="I26" i="2" s="1"/>
  <c r="J26" i="2" s="1"/>
  <c r="H27" i="2"/>
  <c r="I27" i="2" s="1"/>
  <c r="J27" i="2" s="1"/>
  <c r="H28" i="2"/>
  <c r="I28" i="2" s="1"/>
  <c r="J28" i="2" s="1"/>
  <c r="H29" i="2"/>
  <c r="I29" i="2" s="1"/>
  <c r="J29" i="2" s="1"/>
  <c r="H30" i="2"/>
  <c r="I30" i="2" s="1"/>
  <c r="J30" i="2" s="1"/>
  <c r="H31" i="2"/>
  <c r="I31" i="2" s="1"/>
  <c r="J31" i="2" s="1"/>
  <c r="H32" i="2"/>
  <c r="I32" i="2" s="1"/>
  <c r="J32" i="2" s="1"/>
  <c r="H33" i="2"/>
  <c r="I33" i="2" s="1"/>
  <c r="J33" i="2" s="1"/>
  <c r="H34" i="2"/>
  <c r="I34" i="2" s="1"/>
  <c r="J34" i="2" s="1"/>
  <c r="H35" i="2"/>
  <c r="I35" i="2" s="1"/>
  <c r="J35" i="2" s="1"/>
  <c r="H36" i="2"/>
  <c r="I36" i="2" s="1"/>
  <c r="J36" i="2" s="1"/>
  <c r="H37" i="2"/>
  <c r="I37" i="2" s="1"/>
  <c r="J37" i="2" s="1"/>
  <c r="H38" i="2"/>
  <c r="I38" i="2" s="1"/>
  <c r="J38" i="2" s="1"/>
  <c r="H39" i="2"/>
  <c r="I39" i="2" s="1"/>
  <c r="J39" i="2" s="1"/>
  <c r="H40" i="2"/>
  <c r="I40" i="2" s="1"/>
  <c r="J40" i="2" s="1"/>
  <c r="H41" i="2"/>
  <c r="I41" i="2" s="1"/>
  <c r="J41" i="2" s="1"/>
  <c r="H42" i="2"/>
  <c r="I42" i="2" s="1"/>
  <c r="J42" i="2" s="1"/>
  <c r="H43" i="2"/>
  <c r="I43" i="2" s="1"/>
  <c r="J43" i="2" s="1"/>
  <c r="H44" i="2"/>
  <c r="I44" i="2" s="1"/>
  <c r="J44" i="2" s="1"/>
  <c r="H45" i="2"/>
  <c r="I45" i="2" s="1"/>
  <c r="J45" i="2" s="1"/>
  <c r="H46" i="2"/>
  <c r="I46" i="2" s="1"/>
  <c r="J46" i="2" s="1"/>
  <c r="H47" i="2"/>
  <c r="I47" i="2" s="1"/>
  <c r="J47" i="2" s="1"/>
  <c r="H48" i="2"/>
  <c r="I48" i="2" s="1"/>
  <c r="J48" i="2" s="1"/>
  <c r="H49" i="2"/>
  <c r="I49" i="2" s="1"/>
  <c r="J49" i="2" s="1"/>
  <c r="H50" i="2"/>
  <c r="I50" i="2" s="1"/>
  <c r="J50" i="2" s="1"/>
  <c r="H51" i="2"/>
  <c r="I51" i="2" s="1"/>
  <c r="J51" i="2" s="1"/>
  <c r="H52" i="2"/>
  <c r="I52" i="2" s="1"/>
  <c r="J52" i="2" s="1"/>
  <c r="H53" i="2"/>
  <c r="I53" i="2" s="1"/>
  <c r="J53" i="2" s="1"/>
  <c r="H54" i="2"/>
  <c r="I54" i="2" s="1"/>
  <c r="J54" i="2" s="1"/>
  <c r="H55" i="2"/>
  <c r="I55" i="2" s="1"/>
  <c r="J55" i="2" s="1"/>
  <c r="H56" i="2"/>
  <c r="I56" i="2" s="1"/>
  <c r="J56" i="2" s="1"/>
  <c r="H57" i="2"/>
  <c r="I57" i="2" s="1"/>
  <c r="J57" i="2" s="1"/>
  <c r="H58" i="2"/>
  <c r="I58" i="2" s="1"/>
  <c r="J58" i="2" s="1"/>
  <c r="H59" i="2"/>
  <c r="I59" i="2" s="1"/>
  <c r="J59" i="2" s="1"/>
  <c r="H60" i="2"/>
  <c r="I60" i="2" s="1"/>
  <c r="J60" i="2" s="1"/>
  <c r="H61" i="2"/>
  <c r="I61" i="2" s="1"/>
  <c r="J61" i="2" s="1"/>
  <c r="H62" i="2"/>
  <c r="I62" i="2" s="1"/>
  <c r="J62" i="2" s="1"/>
  <c r="H63" i="2"/>
  <c r="I63" i="2" s="1"/>
  <c r="J63" i="2" s="1"/>
  <c r="H64" i="2"/>
  <c r="I64" i="2" s="1"/>
  <c r="J64" i="2" s="1"/>
  <c r="H65" i="2"/>
  <c r="I65" i="2" s="1"/>
  <c r="J65" i="2" s="1"/>
  <c r="H66" i="2"/>
  <c r="I66" i="2" s="1"/>
  <c r="J66" i="2" s="1"/>
  <c r="H67" i="2"/>
  <c r="I67" i="2" s="1"/>
  <c r="J67" i="2" s="1"/>
  <c r="H68" i="2"/>
  <c r="I68" i="2" s="1"/>
  <c r="J68" i="2" s="1"/>
  <c r="H69" i="2"/>
  <c r="I69" i="2" s="1"/>
  <c r="J69" i="2" s="1"/>
  <c r="H70" i="2"/>
  <c r="I70" i="2" s="1"/>
  <c r="J70" i="2" s="1"/>
  <c r="H71" i="2"/>
  <c r="I71" i="2" s="1"/>
  <c r="J71" i="2" s="1"/>
  <c r="H72" i="2"/>
  <c r="I72" i="2" s="1"/>
  <c r="J72" i="2" s="1"/>
  <c r="H73" i="2"/>
  <c r="I73" i="2" s="1"/>
  <c r="J73" i="2" s="1"/>
  <c r="H74" i="2"/>
  <c r="I74" i="2" s="1"/>
  <c r="J74" i="2" s="1"/>
  <c r="H75" i="2"/>
  <c r="I75" i="2" s="1"/>
  <c r="J75" i="2" s="1"/>
  <c r="H76" i="2"/>
  <c r="I76" i="2" s="1"/>
  <c r="J76" i="2" s="1"/>
  <c r="H77" i="2"/>
  <c r="I77" i="2" s="1"/>
  <c r="J77" i="2" s="1"/>
  <c r="H78" i="2"/>
  <c r="I78" i="2" s="1"/>
  <c r="J78" i="2" s="1"/>
  <c r="H79" i="2"/>
  <c r="I79" i="2" s="1"/>
  <c r="J79" i="2" s="1"/>
  <c r="H80" i="2"/>
  <c r="I80" i="2" s="1"/>
  <c r="J80" i="2" s="1"/>
  <c r="H81" i="2"/>
  <c r="I81" i="2" s="1"/>
  <c r="J81" i="2" s="1"/>
  <c r="H82" i="2"/>
  <c r="I82" i="2" s="1"/>
  <c r="J82" i="2" s="1"/>
  <c r="H83" i="2"/>
  <c r="I83" i="2" s="1"/>
  <c r="J83" i="2" s="1"/>
  <c r="H84" i="2"/>
  <c r="I84" i="2" s="1"/>
  <c r="J84" i="2" s="1"/>
  <c r="H85" i="2"/>
  <c r="I85" i="2" s="1"/>
  <c r="J85" i="2" s="1"/>
  <c r="H86" i="2"/>
  <c r="I86" i="2" s="1"/>
  <c r="J86" i="2" s="1"/>
  <c r="H87" i="2"/>
  <c r="I87" i="2" s="1"/>
  <c r="J87" i="2" s="1"/>
  <c r="H88" i="2"/>
  <c r="I88" i="2" s="1"/>
  <c r="J88" i="2" s="1"/>
  <c r="H89" i="2"/>
  <c r="I89" i="2" s="1"/>
  <c r="J89" i="2" s="1"/>
  <c r="H90" i="2"/>
  <c r="I90" i="2" s="1"/>
  <c r="J90" i="2" s="1"/>
  <c r="H91" i="2"/>
  <c r="I91" i="2" s="1"/>
  <c r="J91" i="2" s="1"/>
  <c r="H92" i="2"/>
  <c r="I92" i="2" s="1"/>
  <c r="J92" i="2" s="1"/>
  <c r="H93" i="2"/>
  <c r="I93" i="2" s="1"/>
  <c r="J93" i="2" s="1"/>
  <c r="H94" i="2"/>
  <c r="I94" i="2" s="1"/>
  <c r="J94" i="2" s="1"/>
  <c r="H95" i="2"/>
  <c r="I95" i="2" s="1"/>
  <c r="J95" i="2" s="1"/>
  <c r="H96" i="2"/>
  <c r="I96" i="2" s="1"/>
  <c r="J96" i="2" s="1"/>
  <c r="H97" i="2"/>
  <c r="I97" i="2" s="1"/>
  <c r="J97" i="2" s="1"/>
  <c r="H98" i="2"/>
  <c r="I98" i="2" s="1"/>
  <c r="J98" i="2" s="1"/>
  <c r="H99" i="2"/>
  <c r="I99" i="2" s="1"/>
  <c r="J99" i="2" s="1"/>
  <c r="H100" i="2"/>
  <c r="I100" i="2" s="1"/>
  <c r="J100" i="2" s="1"/>
  <c r="H101" i="2"/>
  <c r="I101" i="2" s="1"/>
  <c r="J101" i="2" s="1"/>
  <c r="H102" i="2"/>
  <c r="I102" i="2" s="1"/>
  <c r="J102" i="2" s="1"/>
  <c r="H103" i="2"/>
  <c r="I103" i="2" s="1"/>
  <c r="J103" i="2" s="1"/>
  <c r="H104" i="2"/>
  <c r="I104" i="2" s="1"/>
  <c r="J104" i="2" s="1"/>
  <c r="H105" i="2"/>
  <c r="I105" i="2" s="1"/>
  <c r="J105" i="2" s="1"/>
  <c r="H106" i="2"/>
  <c r="I106" i="2" s="1"/>
  <c r="J106" i="2" s="1"/>
  <c r="H107" i="2"/>
  <c r="I107" i="2" s="1"/>
  <c r="J107" i="2" s="1"/>
  <c r="H108" i="2"/>
  <c r="I108" i="2" s="1"/>
  <c r="J108" i="2" s="1"/>
  <c r="H109" i="2"/>
  <c r="I109" i="2" s="1"/>
  <c r="J109" i="2" s="1"/>
  <c r="H110" i="2"/>
  <c r="I110" i="2" s="1"/>
  <c r="J110" i="2" s="1"/>
  <c r="H111" i="2"/>
  <c r="I111" i="2" s="1"/>
  <c r="J111" i="2" s="1"/>
  <c r="H112" i="2"/>
  <c r="I112" i="2" s="1"/>
  <c r="J112" i="2" s="1"/>
  <c r="H113" i="2"/>
  <c r="I113" i="2" s="1"/>
  <c r="J113" i="2" s="1"/>
  <c r="H114" i="2"/>
  <c r="I114" i="2" s="1"/>
  <c r="J114" i="2" s="1"/>
  <c r="H115" i="2"/>
  <c r="I115" i="2" s="1"/>
  <c r="J115" i="2" s="1"/>
  <c r="H116" i="2"/>
  <c r="I116" i="2" s="1"/>
  <c r="J116" i="2" s="1"/>
  <c r="H117" i="2"/>
  <c r="I117" i="2" s="1"/>
  <c r="J117" i="2" s="1"/>
  <c r="H118" i="2"/>
  <c r="I118" i="2" s="1"/>
  <c r="J118" i="2" s="1"/>
  <c r="H119" i="2"/>
  <c r="I119" i="2" s="1"/>
  <c r="J119" i="2" s="1"/>
  <c r="H120" i="2"/>
  <c r="I120" i="2" s="1"/>
  <c r="J120" i="2" s="1"/>
  <c r="H121" i="2"/>
  <c r="I121" i="2" s="1"/>
  <c r="J121" i="2" s="1"/>
  <c r="H122" i="2"/>
  <c r="I122" i="2" s="1"/>
  <c r="J122" i="2" s="1"/>
  <c r="H123" i="2"/>
  <c r="I123" i="2" s="1"/>
  <c r="J123" i="2" s="1"/>
  <c r="H124" i="2"/>
  <c r="I124" i="2" s="1"/>
  <c r="J124" i="2" s="1"/>
  <c r="H125" i="2"/>
  <c r="I125" i="2" s="1"/>
  <c r="J125" i="2" s="1"/>
  <c r="H126" i="2"/>
  <c r="I126" i="2" s="1"/>
  <c r="J126" i="2" s="1"/>
  <c r="H127" i="2"/>
  <c r="I127" i="2" s="1"/>
  <c r="J127" i="2" s="1"/>
  <c r="H128" i="2"/>
  <c r="I128" i="2" s="1"/>
  <c r="J128" i="2" s="1"/>
  <c r="H129" i="2"/>
  <c r="I129" i="2" s="1"/>
  <c r="J129" i="2" s="1"/>
  <c r="H130" i="2"/>
  <c r="I130" i="2" s="1"/>
  <c r="J130" i="2" s="1"/>
  <c r="H131" i="2"/>
  <c r="I131" i="2" s="1"/>
  <c r="J131" i="2" s="1"/>
  <c r="H132" i="2"/>
  <c r="I132" i="2" s="1"/>
  <c r="J132" i="2" s="1"/>
  <c r="H133" i="2"/>
  <c r="I133" i="2" s="1"/>
  <c r="J133" i="2" s="1"/>
  <c r="H134" i="2"/>
  <c r="I134" i="2" s="1"/>
  <c r="J134" i="2" s="1"/>
  <c r="H135" i="2"/>
  <c r="I135" i="2" s="1"/>
  <c r="J135" i="2" s="1"/>
  <c r="H136" i="2"/>
  <c r="I136" i="2" s="1"/>
  <c r="J136" i="2" s="1"/>
  <c r="H137" i="2"/>
  <c r="I137" i="2" s="1"/>
  <c r="J137" i="2" s="1"/>
  <c r="H138" i="2"/>
  <c r="I138" i="2" s="1"/>
  <c r="J138" i="2" s="1"/>
  <c r="H139" i="2"/>
  <c r="I139" i="2" s="1"/>
  <c r="J139" i="2" s="1"/>
  <c r="H140" i="2"/>
  <c r="I140" i="2" s="1"/>
  <c r="J140" i="2" s="1"/>
  <c r="H141" i="2"/>
  <c r="I141" i="2" s="1"/>
  <c r="J141" i="2" s="1"/>
  <c r="H142" i="2"/>
  <c r="I142" i="2" s="1"/>
  <c r="J142" i="2" s="1"/>
  <c r="H143" i="2"/>
  <c r="I143" i="2" s="1"/>
  <c r="J143" i="2" s="1"/>
  <c r="H144" i="2"/>
  <c r="I144" i="2" s="1"/>
  <c r="J144" i="2" s="1"/>
  <c r="H145" i="2"/>
  <c r="I145" i="2" s="1"/>
  <c r="J145" i="2" s="1"/>
  <c r="H146" i="2"/>
  <c r="I146" i="2" s="1"/>
  <c r="J146" i="2" s="1"/>
  <c r="H147" i="2"/>
  <c r="I147" i="2" s="1"/>
  <c r="J147" i="2" s="1"/>
  <c r="H148" i="2"/>
  <c r="I148" i="2" s="1"/>
  <c r="J148" i="2" s="1"/>
  <c r="H149" i="2"/>
  <c r="I149" i="2" s="1"/>
  <c r="J149" i="2" s="1"/>
  <c r="H150" i="2"/>
  <c r="I150" i="2" s="1"/>
  <c r="J150" i="2" s="1"/>
  <c r="H151" i="2"/>
  <c r="I151" i="2" s="1"/>
  <c r="J151" i="2" s="1"/>
  <c r="H152" i="2"/>
  <c r="I152" i="2" s="1"/>
  <c r="J152" i="2" s="1"/>
  <c r="H153" i="2"/>
  <c r="I153" i="2" s="1"/>
  <c r="J153" i="2" s="1"/>
  <c r="H154" i="2"/>
  <c r="I154" i="2" s="1"/>
  <c r="J154" i="2" s="1"/>
  <c r="H155" i="2"/>
  <c r="I155" i="2" s="1"/>
  <c r="J155" i="2" s="1"/>
  <c r="H156" i="2"/>
  <c r="I156" i="2" s="1"/>
  <c r="J156" i="2" s="1"/>
  <c r="H157" i="2"/>
  <c r="I157" i="2" s="1"/>
  <c r="J157" i="2" s="1"/>
  <c r="H158" i="2"/>
  <c r="I158" i="2" s="1"/>
  <c r="J158" i="2" s="1"/>
  <c r="H159" i="2"/>
  <c r="I159" i="2" s="1"/>
  <c r="J159" i="2" s="1"/>
  <c r="H160" i="2"/>
  <c r="I160" i="2" s="1"/>
  <c r="J160" i="2" s="1"/>
  <c r="H161" i="2"/>
  <c r="I161" i="2" s="1"/>
  <c r="J161" i="2" s="1"/>
  <c r="H162" i="2"/>
  <c r="I162" i="2" s="1"/>
  <c r="J162" i="2" s="1"/>
  <c r="H163" i="2"/>
  <c r="I163" i="2" s="1"/>
  <c r="J163" i="2" s="1"/>
  <c r="H164" i="2"/>
  <c r="I164" i="2" s="1"/>
  <c r="J164" i="2" s="1"/>
  <c r="H165" i="2"/>
  <c r="I165" i="2" s="1"/>
  <c r="J165" i="2" s="1"/>
  <c r="H166" i="2"/>
  <c r="I166" i="2" s="1"/>
  <c r="J166" i="2" s="1"/>
  <c r="H167" i="2"/>
  <c r="I167" i="2" s="1"/>
  <c r="J167" i="2" s="1"/>
  <c r="H168" i="2"/>
  <c r="I168" i="2" s="1"/>
  <c r="J168" i="2" s="1"/>
  <c r="H169" i="2"/>
  <c r="I169" i="2" s="1"/>
  <c r="J169" i="2" s="1"/>
  <c r="H170" i="2"/>
  <c r="I170" i="2" s="1"/>
  <c r="J170" i="2" s="1"/>
  <c r="H171" i="2"/>
  <c r="I171" i="2" s="1"/>
  <c r="J171" i="2" s="1"/>
  <c r="H172" i="2"/>
  <c r="I172" i="2" s="1"/>
  <c r="J172" i="2" s="1"/>
  <c r="H173" i="2"/>
  <c r="I173" i="2" s="1"/>
  <c r="J173" i="2" s="1"/>
  <c r="H174" i="2"/>
  <c r="I174" i="2" s="1"/>
  <c r="J174" i="2" s="1"/>
  <c r="H175" i="2"/>
  <c r="I175" i="2" s="1"/>
  <c r="J175" i="2" s="1"/>
  <c r="H176" i="2"/>
  <c r="I176" i="2" s="1"/>
  <c r="J176" i="2" s="1"/>
  <c r="H177" i="2"/>
  <c r="I177" i="2" s="1"/>
  <c r="J177" i="2" s="1"/>
  <c r="H178" i="2"/>
  <c r="I178" i="2" s="1"/>
  <c r="J178" i="2" s="1"/>
  <c r="H179" i="2"/>
  <c r="I179" i="2" s="1"/>
  <c r="J179" i="2" s="1"/>
  <c r="H180" i="2"/>
  <c r="I180" i="2" s="1"/>
  <c r="J180" i="2" s="1"/>
  <c r="H181" i="2"/>
  <c r="I181" i="2" s="1"/>
  <c r="J181" i="2" s="1"/>
  <c r="H182" i="2"/>
  <c r="I182" i="2" s="1"/>
  <c r="J182" i="2" s="1"/>
  <c r="H183" i="2"/>
  <c r="I183" i="2" s="1"/>
  <c r="J183" i="2" s="1"/>
  <c r="H184" i="2"/>
  <c r="I184" i="2" s="1"/>
  <c r="J184" i="2" s="1"/>
  <c r="H185" i="2"/>
  <c r="I185" i="2" s="1"/>
  <c r="J185" i="2" s="1"/>
  <c r="H186" i="2"/>
  <c r="I186" i="2" s="1"/>
  <c r="J186" i="2" s="1"/>
  <c r="H187" i="2"/>
  <c r="I187" i="2" s="1"/>
  <c r="J187" i="2" s="1"/>
  <c r="H188" i="2"/>
  <c r="I188" i="2" s="1"/>
  <c r="J188" i="2" s="1"/>
  <c r="H189" i="2"/>
  <c r="I189" i="2" s="1"/>
  <c r="J189" i="2" s="1"/>
  <c r="H190" i="2"/>
  <c r="I190" i="2" s="1"/>
  <c r="J190" i="2" s="1"/>
  <c r="H191" i="2"/>
  <c r="I191" i="2" s="1"/>
  <c r="J191" i="2" s="1"/>
  <c r="H192" i="2"/>
  <c r="I192" i="2" s="1"/>
  <c r="J192" i="2" s="1"/>
  <c r="H193" i="2"/>
  <c r="I193" i="2" s="1"/>
  <c r="J193" i="2" s="1"/>
  <c r="H194" i="2"/>
  <c r="I194" i="2" s="1"/>
  <c r="J194" i="2" s="1"/>
  <c r="H195" i="2"/>
  <c r="I195" i="2" s="1"/>
  <c r="J195" i="2" s="1"/>
  <c r="H196" i="2"/>
  <c r="I196" i="2" s="1"/>
  <c r="J196" i="2" s="1"/>
  <c r="H197" i="2"/>
  <c r="I197" i="2" s="1"/>
  <c r="J197" i="2" s="1"/>
  <c r="H198" i="2"/>
  <c r="I198" i="2" s="1"/>
  <c r="J198" i="2" s="1"/>
  <c r="H199" i="2"/>
  <c r="I199" i="2" s="1"/>
  <c r="J199" i="2" s="1"/>
  <c r="H200" i="2"/>
  <c r="I200" i="2" s="1"/>
  <c r="J200" i="2" s="1"/>
  <c r="H201" i="2"/>
  <c r="I201" i="2" s="1"/>
  <c r="J201" i="2" s="1"/>
  <c r="H202" i="2"/>
  <c r="I202" i="2" s="1"/>
  <c r="J202" i="2" s="1"/>
  <c r="H203" i="2"/>
  <c r="I203" i="2" s="1"/>
  <c r="J203" i="2" s="1"/>
  <c r="H204" i="2"/>
  <c r="I204" i="2" s="1"/>
  <c r="J204" i="2" s="1"/>
  <c r="H205" i="2"/>
  <c r="I205" i="2" s="1"/>
  <c r="J205" i="2" s="1"/>
  <c r="H206" i="2"/>
  <c r="I206" i="2" s="1"/>
  <c r="J206" i="2" s="1"/>
  <c r="H207" i="2"/>
  <c r="I207" i="2" s="1"/>
  <c r="J207" i="2" s="1"/>
  <c r="H208" i="2"/>
  <c r="I208" i="2" s="1"/>
  <c r="J208" i="2" s="1"/>
  <c r="H209" i="2"/>
  <c r="I209" i="2" s="1"/>
  <c r="J209" i="2" s="1"/>
  <c r="H210" i="2"/>
  <c r="I210" i="2" s="1"/>
  <c r="J210" i="2" s="1"/>
  <c r="H211" i="2"/>
  <c r="I211" i="2" s="1"/>
  <c r="J211" i="2" s="1"/>
  <c r="H212" i="2"/>
  <c r="I212" i="2" s="1"/>
  <c r="J212" i="2" s="1"/>
  <c r="H213" i="2"/>
  <c r="I213" i="2" s="1"/>
  <c r="J213" i="2" s="1"/>
  <c r="H214" i="2"/>
  <c r="I214" i="2" s="1"/>
  <c r="J214" i="2" s="1"/>
  <c r="H215" i="2"/>
  <c r="I215" i="2" s="1"/>
  <c r="J215" i="2" s="1"/>
  <c r="H216" i="2"/>
  <c r="I216" i="2" s="1"/>
  <c r="J216" i="2" s="1"/>
  <c r="H217" i="2"/>
  <c r="I217" i="2" s="1"/>
  <c r="J217" i="2" s="1"/>
  <c r="H218" i="2"/>
  <c r="I218" i="2" s="1"/>
  <c r="J218" i="2" s="1"/>
  <c r="H219" i="2"/>
  <c r="I219" i="2" s="1"/>
  <c r="J219" i="2" s="1"/>
  <c r="H220" i="2"/>
  <c r="I220" i="2" s="1"/>
  <c r="J220" i="2" s="1"/>
  <c r="H221" i="2"/>
  <c r="I221" i="2" s="1"/>
  <c r="J221" i="2" s="1"/>
  <c r="H222" i="2"/>
  <c r="I222" i="2" s="1"/>
  <c r="J222" i="2" s="1"/>
  <c r="H223" i="2"/>
  <c r="I223" i="2" s="1"/>
  <c r="J223" i="2" s="1"/>
  <c r="H224" i="2"/>
  <c r="I224" i="2" s="1"/>
  <c r="J224" i="2" s="1"/>
  <c r="H225" i="2"/>
  <c r="I225" i="2" s="1"/>
  <c r="J225" i="2" s="1"/>
  <c r="H226" i="2"/>
  <c r="I226" i="2" s="1"/>
  <c r="J226" i="2" s="1"/>
  <c r="H227" i="2"/>
  <c r="I227" i="2" s="1"/>
  <c r="J227" i="2" s="1"/>
  <c r="H228" i="2"/>
  <c r="I228" i="2" s="1"/>
  <c r="J228" i="2" s="1"/>
  <c r="H229" i="2"/>
  <c r="I229" i="2" s="1"/>
  <c r="J229" i="2" s="1"/>
  <c r="H230" i="2"/>
  <c r="I230" i="2" s="1"/>
  <c r="J230" i="2" s="1"/>
  <c r="H231" i="2"/>
  <c r="I231" i="2" s="1"/>
  <c r="J231" i="2" s="1"/>
  <c r="H232" i="2"/>
  <c r="I232" i="2" s="1"/>
  <c r="J232" i="2" s="1"/>
  <c r="H233" i="2"/>
  <c r="I233" i="2" s="1"/>
  <c r="J233" i="2" s="1"/>
  <c r="H234" i="2"/>
  <c r="I234" i="2" s="1"/>
  <c r="J234" i="2" s="1"/>
  <c r="H235" i="2"/>
  <c r="I235" i="2" s="1"/>
  <c r="J235" i="2" s="1"/>
  <c r="H236" i="2"/>
  <c r="I236" i="2" s="1"/>
  <c r="J236" i="2" s="1"/>
  <c r="H237" i="2"/>
  <c r="I237" i="2" s="1"/>
  <c r="J237" i="2" s="1"/>
  <c r="H238" i="2"/>
  <c r="I238" i="2" s="1"/>
  <c r="J238" i="2" s="1"/>
  <c r="H239" i="2"/>
  <c r="I239" i="2" s="1"/>
  <c r="J239" i="2" s="1"/>
  <c r="H240" i="2"/>
  <c r="I240" i="2" s="1"/>
  <c r="J240" i="2" s="1"/>
  <c r="H241" i="2"/>
  <c r="I241" i="2" s="1"/>
  <c r="J241" i="2" s="1"/>
  <c r="H242" i="2"/>
  <c r="I242" i="2" s="1"/>
  <c r="J242" i="2" s="1"/>
  <c r="H243" i="2"/>
  <c r="I243" i="2" s="1"/>
  <c r="J243" i="2" s="1"/>
  <c r="H244" i="2"/>
  <c r="I244" i="2" s="1"/>
  <c r="J244" i="2" s="1"/>
  <c r="H245" i="2"/>
  <c r="I245" i="2" s="1"/>
  <c r="J245" i="2" s="1"/>
  <c r="H246" i="2"/>
  <c r="I246" i="2" s="1"/>
  <c r="J246" i="2" s="1"/>
  <c r="H247" i="2"/>
  <c r="I247" i="2" s="1"/>
  <c r="J247" i="2" s="1"/>
  <c r="H248" i="2"/>
  <c r="I248" i="2" s="1"/>
  <c r="J248" i="2" s="1"/>
  <c r="H249" i="2"/>
  <c r="I249" i="2" s="1"/>
  <c r="J249" i="2" s="1"/>
  <c r="H250" i="2"/>
  <c r="I250" i="2" s="1"/>
  <c r="J250" i="2" s="1"/>
  <c r="H251" i="2"/>
  <c r="I251" i="2" s="1"/>
  <c r="J251" i="2" s="1"/>
  <c r="H252" i="2"/>
  <c r="I252" i="2" s="1"/>
  <c r="J252" i="2" s="1"/>
  <c r="H253" i="2"/>
  <c r="I253" i="2" s="1"/>
  <c r="J253" i="2" s="1"/>
  <c r="H254" i="2"/>
  <c r="I254" i="2" s="1"/>
  <c r="J254" i="2" s="1"/>
  <c r="H255" i="2"/>
  <c r="I255" i="2" s="1"/>
  <c r="J255" i="2" s="1"/>
  <c r="H256" i="2"/>
  <c r="I256" i="2" s="1"/>
  <c r="J256" i="2" s="1"/>
  <c r="H257" i="2"/>
  <c r="I257" i="2" s="1"/>
  <c r="J257" i="2" s="1"/>
  <c r="H258" i="2"/>
  <c r="I258" i="2" s="1"/>
  <c r="J258" i="2" s="1"/>
  <c r="H259" i="2"/>
  <c r="I259" i="2" s="1"/>
  <c r="J259" i="2" s="1"/>
  <c r="H260" i="2"/>
  <c r="I260" i="2" s="1"/>
  <c r="J260" i="2" s="1"/>
  <c r="H261" i="2"/>
  <c r="I261" i="2" s="1"/>
  <c r="J261" i="2" s="1"/>
  <c r="H262" i="2"/>
  <c r="I262" i="2" s="1"/>
  <c r="J262" i="2" s="1"/>
  <c r="H263" i="2"/>
  <c r="I263" i="2" s="1"/>
  <c r="J263" i="2" s="1"/>
  <c r="H264" i="2"/>
  <c r="I264" i="2" s="1"/>
  <c r="J264" i="2" s="1"/>
  <c r="H265" i="2"/>
  <c r="I265" i="2" s="1"/>
  <c r="J265" i="2" s="1"/>
  <c r="H266" i="2"/>
  <c r="I266" i="2" s="1"/>
  <c r="J266" i="2" s="1"/>
  <c r="H267" i="2"/>
  <c r="I267" i="2" s="1"/>
  <c r="J267" i="2" s="1"/>
  <c r="H268" i="2"/>
  <c r="I268" i="2" s="1"/>
  <c r="J268" i="2" s="1"/>
  <c r="H269" i="2"/>
  <c r="I269" i="2" s="1"/>
  <c r="J269" i="2" s="1"/>
  <c r="H270" i="2"/>
  <c r="I270" i="2" s="1"/>
  <c r="J270" i="2" s="1"/>
  <c r="H271" i="2"/>
  <c r="I271" i="2" s="1"/>
  <c r="J271" i="2" s="1"/>
  <c r="H272" i="2"/>
  <c r="I272" i="2" s="1"/>
  <c r="J272" i="2" s="1"/>
  <c r="H273" i="2"/>
  <c r="I273" i="2" s="1"/>
  <c r="J273" i="2" s="1"/>
  <c r="H274" i="2"/>
  <c r="I274" i="2" s="1"/>
  <c r="J274" i="2" s="1"/>
  <c r="H275" i="2"/>
  <c r="I275" i="2" s="1"/>
  <c r="J275" i="2" s="1"/>
  <c r="H276" i="2"/>
  <c r="I276" i="2" s="1"/>
  <c r="J276" i="2" s="1"/>
  <c r="H277" i="2"/>
  <c r="I277" i="2" s="1"/>
  <c r="J277" i="2" s="1"/>
  <c r="H278" i="2"/>
  <c r="I278" i="2" s="1"/>
  <c r="J278" i="2" s="1"/>
  <c r="H279" i="2"/>
  <c r="I279" i="2" s="1"/>
  <c r="J279" i="2" s="1"/>
  <c r="H280" i="2"/>
  <c r="I280" i="2" s="1"/>
  <c r="J280" i="2" s="1"/>
  <c r="H281" i="2"/>
  <c r="I281" i="2" s="1"/>
  <c r="J281" i="2" s="1"/>
  <c r="H282" i="2"/>
  <c r="I282" i="2" s="1"/>
  <c r="J282" i="2" s="1"/>
  <c r="H283" i="2"/>
  <c r="I283" i="2" s="1"/>
  <c r="J283" i="2" s="1"/>
  <c r="H284" i="2"/>
  <c r="I284" i="2" s="1"/>
  <c r="J284" i="2" s="1"/>
  <c r="H285" i="2"/>
  <c r="I285" i="2" s="1"/>
  <c r="J285" i="2" s="1"/>
  <c r="H286" i="2"/>
  <c r="I286" i="2" s="1"/>
  <c r="J286" i="2" s="1"/>
  <c r="H287" i="2"/>
  <c r="I287" i="2" s="1"/>
  <c r="J287" i="2" s="1"/>
  <c r="H288" i="2"/>
  <c r="I288" i="2" s="1"/>
  <c r="J288" i="2" s="1"/>
  <c r="H289" i="2"/>
  <c r="I289" i="2" s="1"/>
  <c r="J289" i="2" s="1"/>
  <c r="H290" i="2"/>
  <c r="I290" i="2" s="1"/>
  <c r="J290" i="2" s="1"/>
  <c r="H291" i="2"/>
  <c r="I291" i="2" s="1"/>
  <c r="J291" i="2" s="1"/>
  <c r="H292" i="2"/>
  <c r="I292" i="2" s="1"/>
  <c r="J292" i="2" s="1"/>
  <c r="H293" i="2"/>
  <c r="I293" i="2" s="1"/>
  <c r="J293" i="2" s="1"/>
  <c r="H294" i="2"/>
  <c r="I294" i="2" s="1"/>
  <c r="J294" i="2" s="1"/>
  <c r="H295" i="2"/>
  <c r="I295" i="2" s="1"/>
  <c r="J295" i="2" s="1"/>
  <c r="H296" i="2"/>
  <c r="I296" i="2" s="1"/>
  <c r="J296" i="2" s="1"/>
  <c r="H297" i="2"/>
  <c r="I297" i="2" s="1"/>
  <c r="J297" i="2" s="1"/>
  <c r="H298" i="2"/>
  <c r="I298" i="2" s="1"/>
  <c r="J298" i="2" s="1"/>
  <c r="H299" i="2"/>
  <c r="I299" i="2" s="1"/>
  <c r="J299" i="2" s="1"/>
  <c r="H300" i="2"/>
  <c r="I300" i="2" s="1"/>
  <c r="J300" i="2" s="1"/>
  <c r="H301" i="2"/>
  <c r="I301" i="2" s="1"/>
  <c r="J301" i="2" s="1"/>
  <c r="H302" i="2"/>
  <c r="I302" i="2" s="1"/>
  <c r="J302" i="2" s="1"/>
  <c r="H303" i="2"/>
  <c r="I303" i="2" s="1"/>
  <c r="J303" i="2" s="1"/>
  <c r="H304" i="2"/>
  <c r="I304" i="2" s="1"/>
  <c r="J304" i="2" s="1"/>
  <c r="H305" i="2"/>
  <c r="I305" i="2" s="1"/>
  <c r="J305" i="2" s="1"/>
  <c r="H306" i="2"/>
  <c r="I306" i="2" s="1"/>
  <c r="J306" i="2" s="1"/>
  <c r="H307" i="2"/>
  <c r="I307" i="2" s="1"/>
  <c r="J307" i="2" s="1"/>
  <c r="H308" i="2"/>
  <c r="I308" i="2" s="1"/>
  <c r="J308" i="2" s="1"/>
  <c r="H309" i="2"/>
  <c r="I309" i="2" s="1"/>
  <c r="J309" i="2" s="1"/>
  <c r="H310" i="2"/>
  <c r="I310" i="2" s="1"/>
  <c r="J310" i="2" s="1"/>
  <c r="H311" i="2"/>
  <c r="I311" i="2" s="1"/>
  <c r="J311" i="2" s="1"/>
  <c r="H312" i="2"/>
  <c r="I312" i="2" s="1"/>
  <c r="J312" i="2" s="1"/>
  <c r="H313" i="2"/>
  <c r="I313" i="2" s="1"/>
  <c r="J313" i="2" s="1"/>
  <c r="H314" i="2"/>
  <c r="I314" i="2" s="1"/>
  <c r="J314" i="2" s="1"/>
  <c r="H315" i="2"/>
  <c r="I315" i="2" s="1"/>
  <c r="J315" i="2" s="1"/>
  <c r="H316" i="2"/>
  <c r="I316" i="2" s="1"/>
  <c r="J316" i="2" s="1"/>
  <c r="H317" i="2"/>
  <c r="I317" i="2" s="1"/>
  <c r="J317" i="2" s="1"/>
  <c r="H318" i="2"/>
  <c r="I318" i="2" s="1"/>
  <c r="J318" i="2" s="1"/>
  <c r="H319" i="2"/>
  <c r="I319" i="2" s="1"/>
  <c r="J319" i="2" s="1"/>
  <c r="H320" i="2"/>
  <c r="I320" i="2" s="1"/>
  <c r="J320" i="2" s="1"/>
  <c r="H321" i="2"/>
  <c r="I321" i="2" s="1"/>
  <c r="J321" i="2" s="1"/>
  <c r="H322" i="2"/>
  <c r="I322" i="2" s="1"/>
  <c r="J322" i="2" s="1"/>
  <c r="H323" i="2"/>
  <c r="I323" i="2" s="1"/>
  <c r="J323" i="2" s="1"/>
  <c r="H324" i="2"/>
  <c r="I324" i="2" s="1"/>
  <c r="J324" i="2" s="1"/>
  <c r="H325" i="2"/>
  <c r="I325" i="2" s="1"/>
  <c r="J325" i="2" s="1"/>
  <c r="H326" i="2"/>
  <c r="I326" i="2" s="1"/>
  <c r="J326" i="2" s="1"/>
  <c r="H327" i="2"/>
  <c r="I327" i="2" s="1"/>
  <c r="J327" i="2" s="1"/>
  <c r="H328" i="2"/>
  <c r="I328" i="2" s="1"/>
  <c r="J328" i="2" s="1"/>
  <c r="H329" i="2"/>
  <c r="I329" i="2" s="1"/>
  <c r="J329" i="2" s="1"/>
  <c r="H330" i="2"/>
  <c r="I330" i="2" s="1"/>
  <c r="J330" i="2" s="1"/>
  <c r="H331" i="2"/>
  <c r="I331" i="2" s="1"/>
  <c r="J331" i="2" s="1"/>
  <c r="H332" i="2"/>
  <c r="I332" i="2" s="1"/>
  <c r="J332" i="2" s="1"/>
  <c r="H333" i="2"/>
  <c r="I333" i="2" s="1"/>
  <c r="J333" i="2" s="1"/>
  <c r="H334" i="2"/>
  <c r="I334" i="2" s="1"/>
  <c r="J334" i="2" s="1"/>
  <c r="H335" i="2"/>
  <c r="I335" i="2" s="1"/>
  <c r="J335" i="2" s="1"/>
  <c r="H336" i="2"/>
  <c r="I336" i="2" s="1"/>
  <c r="J336" i="2" s="1"/>
  <c r="H337" i="2"/>
  <c r="I337" i="2" s="1"/>
  <c r="J337" i="2" s="1"/>
  <c r="H338" i="2"/>
  <c r="I338" i="2" s="1"/>
  <c r="J338" i="2" s="1"/>
  <c r="H339" i="2"/>
  <c r="I339" i="2" s="1"/>
  <c r="J339" i="2" s="1"/>
  <c r="H340" i="2"/>
  <c r="I340" i="2" s="1"/>
  <c r="J340" i="2" s="1"/>
  <c r="H341" i="2"/>
  <c r="I341" i="2" s="1"/>
  <c r="J341" i="2" s="1"/>
  <c r="H342" i="2"/>
  <c r="I342" i="2" s="1"/>
  <c r="J342" i="2" s="1"/>
  <c r="H343" i="2"/>
  <c r="I343" i="2" s="1"/>
  <c r="J343" i="2" s="1"/>
  <c r="H344" i="2"/>
  <c r="I344" i="2" s="1"/>
  <c r="J344" i="2" s="1"/>
  <c r="H345" i="2"/>
  <c r="I345" i="2" s="1"/>
  <c r="J345" i="2" s="1"/>
  <c r="H346" i="2"/>
  <c r="I346" i="2" s="1"/>
  <c r="J346" i="2" s="1"/>
  <c r="H347" i="2"/>
  <c r="I347" i="2" s="1"/>
  <c r="J347" i="2" s="1"/>
  <c r="H348" i="2"/>
  <c r="I348" i="2" s="1"/>
  <c r="J348" i="2" s="1"/>
  <c r="H349" i="2"/>
  <c r="I349" i="2" s="1"/>
  <c r="J349" i="2" s="1"/>
  <c r="H350" i="2"/>
  <c r="I350" i="2" s="1"/>
  <c r="J350" i="2" s="1"/>
  <c r="H351" i="2"/>
  <c r="I351" i="2" s="1"/>
  <c r="J351" i="2" s="1"/>
  <c r="H352" i="2"/>
  <c r="I352" i="2" s="1"/>
  <c r="J352" i="2" s="1"/>
  <c r="H353" i="2"/>
  <c r="I353" i="2" s="1"/>
  <c r="J353" i="2" s="1"/>
  <c r="H354" i="2"/>
  <c r="I354" i="2" s="1"/>
  <c r="J354" i="2" s="1"/>
  <c r="H355" i="2"/>
  <c r="I355" i="2" s="1"/>
  <c r="J355" i="2" s="1"/>
  <c r="H356" i="2"/>
  <c r="I356" i="2" s="1"/>
  <c r="J356" i="2" s="1"/>
  <c r="H357" i="2"/>
  <c r="I357" i="2" s="1"/>
  <c r="J357" i="2" s="1"/>
  <c r="H358" i="2"/>
  <c r="I358" i="2" s="1"/>
  <c r="J358" i="2" s="1"/>
  <c r="H359" i="2"/>
  <c r="I359" i="2" s="1"/>
  <c r="J359" i="2" s="1"/>
  <c r="H360" i="2"/>
  <c r="I360" i="2" s="1"/>
  <c r="J360" i="2" s="1"/>
  <c r="H361" i="2"/>
  <c r="I361" i="2" s="1"/>
  <c r="J361" i="2" s="1"/>
  <c r="H362" i="2"/>
  <c r="I362" i="2" s="1"/>
  <c r="J362" i="2" s="1"/>
  <c r="H363" i="2"/>
  <c r="I363" i="2" s="1"/>
  <c r="J363" i="2" s="1"/>
  <c r="H364" i="2"/>
  <c r="I364" i="2" s="1"/>
  <c r="J364" i="2" s="1"/>
  <c r="H365" i="2"/>
  <c r="I365" i="2" s="1"/>
  <c r="J365" i="2" s="1"/>
  <c r="H366" i="2"/>
  <c r="I366" i="2" s="1"/>
  <c r="J366" i="2" s="1"/>
  <c r="H367" i="2"/>
  <c r="I367" i="2" s="1"/>
  <c r="J367" i="2" s="1"/>
  <c r="H368" i="2"/>
  <c r="I368" i="2" s="1"/>
  <c r="J368" i="2" s="1"/>
  <c r="H369" i="2"/>
  <c r="I369" i="2" s="1"/>
  <c r="J369" i="2" s="1"/>
  <c r="H370" i="2"/>
  <c r="I370" i="2" s="1"/>
  <c r="J370" i="2" s="1"/>
  <c r="H371" i="2"/>
  <c r="I371" i="2" s="1"/>
  <c r="J371" i="2" s="1"/>
  <c r="H372" i="2"/>
  <c r="I372" i="2" s="1"/>
  <c r="J372" i="2" s="1"/>
  <c r="H373" i="2"/>
  <c r="I373" i="2" s="1"/>
  <c r="J373" i="2" s="1"/>
  <c r="H374" i="2"/>
  <c r="I374" i="2" s="1"/>
  <c r="J374" i="2" s="1"/>
  <c r="H375" i="2"/>
  <c r="I375" i="2" s="1"/>
  <c r="J375" i="2" s="1"/>
  <c r="H376" i="2"/>
  <c r="I376" i="2" s="1"/>
  <c r="J376" i="2" s="1"/>
  <c r="H377" i="2"/>
  <c r="I377" i="2" s="1"/>
  <c r="J377" i="2" s="1"/>
  <c r="H378" i="2"/>
  <c r="I378" i="2" s="1"/>
  <c r="J378" i="2" s="1"/>
  <c r="H379" i="2"/>
  <c r="I379" i="2" s="1"/>
  <c r="J379" i="2" s="1"/>
  <c r="H380" i="2"/>
  <c r="I380" i="2" s="1"/>
  <c r="J380" i="2" s="1"/>
  <c r="H381" i="2"/>
  <c r="I381" i="2" s="1"/>
  <c r="J381" i="2" s="1"/>
  <c r="H382" i="2"/>
  <c r="I382" i="2" s="1"/>
  <c r="J382" i="2" s="1"/>
  <c r="H383" i="2"/>
  <c r="I383" i="2" s="1"/>
  <c r="J383" i="2" s="1"/>
  <c r="H384" i="2"/>
  <c r="I384" i="2" s="1"/>
  <c r="J384" i="2" s="1"/>
  <c r="H385" i="2"/>
  <c r="I385" i="2" s="1"/>
  <c r="J385" i="2" s="1"/>
  <c r="H386" i="2"/>
  <c r="I386" i="2" s="1"/>
  <c r="J386" i="2" s="1"/>
  <c r="H387" i="2"/>
  <c r="I387" i="2" s="1"/>
  <c r="J387" i="2" s="1"/>
  <c r="H388" i="2"/>
  <c r="I388" i="2" s="1"/>
  <c r="J388" i="2" s="1"/>
  <c r="H389" i="2"/>
  <c r="I389" i="2" s="1"/>
  <c r="J389" i="2" s="1"/>
  <c r="H390" i="2"/>
  <c r="I390" i="2" s="1"/>
  <c r="J390" i="2" s="1"/>
  <c r="H391" i="2"/>
  <c r="I391" i="2" s="1"/>
  <c r="J391" i="2" s="1"/>
  <c r="H392" i="2"/>
  <c r="I392" i="2" s="1"/>
  <c r="J392" i="2" s="1"/>
  <c r="H393" i="2"/>
  <c r="I393" i="2" s="1"/>
  <c r="J393" i="2" s="1"/>
  <c r="H394" i="2"/>
  <c r="I394" i="2" s="1"/>
  <c r="J394" i="2" s="1"/>
  <c r="H395" i="2"/>
  <c r="I395" i="2" s="1"/>
  <c r="J395" i="2" s="1"/>
  <c r="H396" i="2"/>
  <c r="I396" i="2" s="1"/>
  <c r="J396" i="2" s="1"/>
  <c r="H397" i="2"/>
  <c r="I397" i="2" s="1"/>
  <c r="J397" i="2" s="1"/>
  <c r="H398" i="2"/>
  <c r="I398" i="2" s="1"/>
  <c r="J398" i="2" s="1"/>
  <c r="H399" i="2"/>
  <c r="I399" i="2" s="1"/>
  <c r="J399" i="2" s="1"/>
  <c r="H400" i="2"/>
  <c r="I400" i="2" s="1"/>
  <c r="J400" i="2" s="1"/>
  <c r="H401" i="2"/>
  <c r="I401" i="2" s="1"/>
  <c r="J401" i="2" s="1"/>
  <c r="H402" i="2"/>
  <c r="I402" i="2" s="1"/>
  <c r="J402" i="2" s="1"/>
  <c r="H403" i="2"/>
  <c r="I403" i="2" s="1"/>
  <c r="J403" i="2" s="1"/>
  <c r="H404" i="2"/>
  <c r="I404" i="2" s="1"/>
  <c r="J404" i="2" s="1"/>
  <c r="H405" i="2"/>
  <c r="I405" i="2" s="1"/>
  <c r="J405" i="2" s="1"/>
  <c r="H406" i="2"/>
  <c r="I406" i="2" s="1"/>
  <c r="J406" i="2" s="1"/>
  <c r="H407" i="2"/>
  <c r="I407" i="2" s="1"/>
  <c r="J407" i="2" s="1"/>
  <c r="H408" i="2"/>
  <c r="I408" i="2" s="1"/>
  <c r="J408" i="2" s="1"/>
  <c r="H409" i="2"/>
  <c r="I409" i="2" s="1"/>
  <c r="J409" i="2" s="1"/>
  <c r="H410" i="2"/>
  <c r="I410" i="2" s="1"/>
  <c r="J410" i="2" s="1"/>
  <c r="H411" i="2"/>
  <c r="I411" i="2" s="1"/>
  <c r="J411" i="2" s="1"/>
  <c r="H412" i="2"/>
  <c r="I412" i="2" s="1"/>
  <c r="J412" i="2" s="1"/>
  <c r="H413" i="2"/>
  <c r="I413" i="2" s="1"/>
  <c r="J413" i="2" s="1"/>
  <c r="H414" i="2"/>
  <c r="I414" i="2" s="1"/>
  <c r="J414" i="2" s="1"/>
  <c r="H415" i="2"/>
  <c r="I415" i="2" s="1"/>
  <c r="J415" i="2" s="1"/>
  <c r="H416" i="2"/>
  <c r="I416" i="2" s="1"/>
  <c r="J416" i="2" s="1"/>
  <c r="H417" i="2"/>
  <c r="I417" i="2" s="1"/>
  <c r="J417" i="2" s="1"/>
  <c r="H418" i="2"/>
  <c r="I418" i="2" s="1"/>
  <c r="J418" i="2" s="1"/>
  <c r="H419" i="2"/>
  <c r="I419" i="2" s="1"/>
  <c r="J419" i="2" s="1"/>
  <c r="H420" i="2"/>
  <c r="I420" i="2" s="1"/>
  <c r="J420" i="2" s="1"/>
  <c r="H421" i="2"/>
  <c r="I421" i="2" s="1"/>
  <c r="J421" i="2" s="1"/>
  <c r="H422" i="2"/>
  <c r="I422" i="2" s="1"/>
  <c r="J422" i="2" s="1"/>
  <c r="H423" i="2"/>
  <c r="I423" i="2" s="1"/>
  <c r="J423" i="2" s="1"/>
  <c r="H424" i="2"/>
  <c r="I424" i="2" s="1"/>
  <c r="J424" i="2" s="1"/>
  <c r="H425" i="2"/>
  <c r="I425" i="2" s="1"/>
  <c r="J425" i="2" s="1"/>
  <c r="H426" i="2"/>
  <c r="I426" i="2" s="1"/>
  <c r="J426" i="2" s="1"/>
  <c r="H427" i="2"/>
  <c r="I427" i="2" s="1"/>
  <c r="J427" i="2" s="1"/>
  <c r="H428" i="2"/>
  <c r="I428" i="2" s="1"/>
  <c r="J428" i="2" s="1"/>
  <c r="H429" i="2"/>
  <c r="I429" i="2" s="1"/>
  <c r="J429" i="2" s="1"/>
  <c r="H430" i="2"/>
  <c r="I430" i="2" s="1"/>
  <c r="J430" i="2" s="1"/>
  <c r="H431" i="2"/>
  <c r="I431" i="2" s="1"/>
  <c r="J431" i="2" s="1"/>
  <c r="H432" i="2"/>
  <c r="I432" i="2" s="1"/>
  <c r="J432" i="2" s="1"/>
  <c r="H433" i="2"/>
  <c r="I433" i="2" s="1"/>
  <c r="J433" i="2" s="1"/>
  <c r="H434" i="2"/>
  <c r="I434" i="2" s="1"/>
  <c r="J434" i="2" s="1"/>
  <c r="H435" i="2"/>
  <c r="I435" i="2" s="1"/>
  <c r="J435" i="2" s="1"/>
  <c r="H436" i="2"/>
  <c r="I436" i="2" s="1"/>
  <c r="J436" i="2" s="1"/>
  <c r="H437" i="2"/>
  <c r="I437" i="2" s="1"/>
  <c r="J437" i="2" s="1"/>
  <c r="H438" i="2"/>
  <c r="I438" i="2" s="1"/>
  <c r="J438" i="2" s="1"/>
  <c r="H439" i="2"/>
  <c r="I439" i="2" s="1"/>
  <c r="J439" i="2" s="1"/>
  <c r="H440" i="2"/>
  <c r="I440" i="2" s="1"/>
  <c r="J440" i="2" s="1"/>
  <c r="H441" i="2"/>
  <c r="I441" i="2" s="1"/>
  <c r="J441" i="2" s="1"/>
  <c r="H442" i="2"/>
  <c r="I442" i="2" s="1"/>
  <c r="J442" i="2" s="1"/>
  <c r="H443" i="2"/>
  <c r="I443" i="2" s="1"/>
  <c r="J443" i="2" s="1"/>
  <c r="H444" i="2"/>
  <c r="I444" i="2" s="1"/>
  <c r="J444" i="2" s="1"/>
  <c r="H445" i="2"/>
  <c r="I445" i="2" s="1"/>
  <c r="J445" i="2" s="1"/>
  <c r="H446" i="2"/>
  <c r="I446" i="2" s="1"/>
  <c r="J446" i="2" s="1"/>
  <c r="H447" i="2"/>
  <c r="I447" i="2" s="1"/>
  <c r="J447" i="2" s="1"/>
  <c r="H448" i="2"/>
  <c r="I448" i="2" s="1"/>
  <c r="J448" i="2" s="1"/>
  <c r="H449" i="2"/>
  <c r="I449" i="2" s="1"/>
  <c r="J449" i="2" s="1"/>
  <c r="H450" i="2"/>
  <c r="I450" i="2" s="1"/>
  <c r="J450" i="2" s="1"/>
  <c r="H451" i="2"/>
  <c r="I451" i="2" s="1"/>
  <c r="J451" i="2" s="1"/>
  <c r="H452" i="2"/>
  <c r="I452" i="2" s="1"/>
  <c r="J452" i="2" s="1"/>
  <c r="H453" i="2"/>
  <c r="I453" i="2" s="1"/>
  <c r="J453" i="2" s="1"/>
  <c r="H454" i="2"/>
  <c r="I454" i="2" s="1"/>
  <c r="J454" i="2" s="1"/>
  <c r="H455" i="2"/>
  <c r="I455" i="2" s="1"/>
  <c r="J455" i="2" s="1"/>
  <c r="H456" i="2"/>
  <c r="I456" i="2" s="1"/>
  <c r="J456" i="2" s="1"/>
  <c r="H457" i="2"/>
  <c r="I457" i="2" s="1"/>
  <c r="J457" i="2" s="1"/>
  <c r="H458" i="2"/>
  <c r="I458" i="2" s="1"/>
  <c r="J458" i="2" s="1"/>
  <c r="H459" i="2"/>
  <c r="I459" i="2" s="1"/>
  <c r="J459" i="2" s="1"/>
  <c r="H460" i="2"/>
  <c r="I460" i="2" s="1"/>
  <c r="J460" i="2" s="1"/>
  <c r="H461" i="2"/>
  <c r="I461" i="2" s="1"/>
  <c r="J461" i="2" s="1"/>
  <c r="H462" i="2"/>
  <c r="I462" i="2" s="1"/>
  <c r="J462" i="2" s="1"/>
  <c r="H463" i="2"/>
  <c r="I463" i="2" s="1"/>
  <c r="J463" i="2" s="1"/>
  <c r="H464" i="2"/>
  <c r="I464" i="2" s="1"/>
  <c r="J464" i="2" s="1"/>
  <c r="H465" i="2"/>
  <c r="I465" i="2" s="1"/>
  <c r="J465" i="2" s="1"/>
  <c r="H466" i="2"/>
  <c r="I466" i="2" s="1"/>
  <c r="J466" i="2" s="1"/>
  <c r="H467" i="2"/>
  <c r="I467" i="2" s="1"/>
  <c r="J467" i="2" s="1"/>
  <c r="H468" i="2"/>
  <c r="I468" i="2" s="1"/>
  <c r="J468" i="2" s="1"/>
  <c r="H469" i="2"/>
  <c r="I469" i="2" s="1"/>
  <c r="J469" i="2" s="1"/>
  <c r="H470" i="2"/>
  <c r="I470" i="2" s="1"/>
  <c r="J470" i="2" s="1"/>
  <c r="H471" i="2"/>
  <c r="I471" i="2" s="1"/>
  <c r="J471" i="2" s="1"/>
  <c r="H472" i="2"/>
  <c r="I472" i="2" s="1"/>
  <c r="J472" i="2" s="1"/>
  <c r="H473" i="2"/>
  <c r="I473" i="2" s="1"/>
  <c r="J473" i="2" s="1"/>
  <c r="H474" i="2"/>
  <c r="I474" i="2" s="1"/>
  <c r="J474" i="2" s="1"/>
  <c r="H475" i="2"/>
  <c r="I475" i="2" s="1"/>
  <c r="J475" i="2" s="1"/>
  <c r="H476" i="2"/>
  <c r="I476" i="2" s="1"/>
  <c r="J476" i="2" s="1"/>
  <c r="H477" i="2"/>
  <c r="I477" i="2" s="1"/>
  <c r="J477" i="2" s="1"/>
  <c r="H478" i="2"/>
  <c r="I478" i="2" s="1"/>
  <c r="J478" i="2" s="1"/>
  <c r="H479" i="2"/>
  <c r="I479" i="2" s="1"/>
  <c r="J479" i="2" s="1"/>
  <c r="H480" i="2"/>
  <c r="I480" i="2" s="1"/>
  <c r="J480" i="2" s="1"/>
  <c r="H481" i="2"/>
  <c r="I481" i="2" s="1"/>
  <c r="J481" i="2" s="1"/>
  <c r="H482" i="2"/>
  <c r="I482" i="2" s="1"/>
  <c r="J482" i="2" s="1"/>
  <c r="H483" i="2"/>
  <c r="I483" i="2" s="1"/>
  <c r="J483" i="2" s="1"/>
  <c r="H484" i="2"/>
  <c r="I484" i="2" s="1"/>
  <c r="J484" i="2" s="1"/>
  <c r="H485" i="2"/>
  <c r="I485" i="2" s="1"/>
  <c r="J485" i="2" s="1"/>
  <c r="H486" i="2"/>
  <c r="I486" i="2" s="1"/>
  <c r="J486" i="2" s="1"/>
  <c r="H487" i="2"/>
  <c r="I487" i="2" s="1"/>
  <c r="J487" i="2" s="1"/>
  <c r="H488" i="2"/>
  <c r="I488" i="2" s="1"/>
  <c r="J488" i="2" s="1"/>
  <c r="H489" i="2"/>
  <c r="I489" i="2" s="1"/>
  <c r="J489" i="2" s="1"/>
  <c r="H490" i="2"/>
  <c r="I490" i="2" s="1"/>
  <c r="J490" i="2" s="1"/>
  <c r="H491" i="2"/>
  <c r="I491" i="2" s="1"/>
  <c r="J491" i="2" s="1"/>
  <c r="H492" i="2"/>
  <c r="I492" i="2" s="1"/>
  <c r="J492" i="2" s="1"/>
  <c r="H493" i="2"/>
  <c r="I493" i="2" s="1"/>
  <c r="J493" i="2" s="1"/>
  <c r="H494" i="2"/>
  <c r="I494" i="2" s="1"/>
  <c r="J494" i="2" s="1"/>
  <c r="H495" i="2"/>
  <c r="I495" i="2" s="1"/>
  <c r="J495" i="2" s="1"/>
  <c r="H496" i="2"/>
  <c r="I496" i="2" s="1"/>
  <c r="J496" i="2" s="1"/>
  <c r="H497" i="2"/>
  <c r="I497" i="2" s="1"/>
  <c r="J497" i="2" s="1"/>
  <c r="H498" i="2"/>
  <c r="I498" i="2" s="1"/>
  <c r="J498" i="2" s="1"/>
  <c r="H499" i="2"/>
  <c r="I499" i="2" s="1"/>
  <c r="J499" i="2" s="1"/>
  <c r="H500" i="2"/>
  <c r="I500" i="2" s="1"/>
  <c r="J500" i="2" s="1"/>
  <c r="E9" i="3"/>
  <c r="H9" i="3" l="1"/>
  <c r="I16" i="2"/>
  <c r="J16" i="2" s="1"/>
  <c r="D16" i="4"/>
  <c r="I10" i="2"/>
  <c r="J10" i="2" s="1"/>
  <c r="D4" i="3"/>
  <c r="D10" i="4"/>
  <c r="I9" i="2"/>
  <c r="J9" i="2" s="1"/>
  <c r="D9" i="4"/>
  <c r="I8" i="2"/>
  <c r="J8" i="2" s="1"/>
  <c r="F9" i="8" s="1"/>
  <c r="D8" i="4"/>
  <c r="I15" i="2"/>
  <c r="J15" i="2" s="1"/>
  <c r="D15" i="4"/>
  <c r="I7" i="2"/>
  <c r="J7" i="2" s="1"/>
  <c r="F8" i="8" s="1"/>
  <c r="D8" i="3"/>
  <c r="D7" i="4"/>
  <c r="I14" i="2"/>
  <c r="J14" i="2" s="1"/>
  <c r="D14" i="4"/>
  <c r="I6" i="2"/>
  <c r="J6" i="2" s="1"/>
  <c r="D7" i="3"/>
  <c r="D10" i="3"/>
  <c r="D6" i="4"/>
  <c r="I13" i="2"/>
  <c r="J13" i="2" s="1"/>
  <c r="D13" i="4"/>
  <c r="I5" i="2"/>
  <c r="J5" i="2" s="1"/>
  <c r="D6" i="3"/>
  <c r="D5" i="3"/>
  <c r="D5" i="4"/>
  <c r="I12" i="2"/>
  <c r="J12" i="2" s="1"/>
  <c r="D12" i="4"/>
  <c r="I4" i="2"/>
  <c r="J4" i="2" s="1"/>
  <c r="D9" i="3"/>
  <c r="D4" i="4"/>
  <c r="I11" i="2"/>
  <c r="J11" i="2" s="1"/>
  <c r="G10" i="8" s="1"/>
  <c r="D11" i="4"/>
  <c r="G9" i="8"/>
  <c r="E9" i="8"/>
  <c r="D8" i="8"/>
  <c r="E8" i="8"/>
  <c r="F10" i="8"/>
  <c r="D10" i="8"/>
  <c r="E10" i="8"/>
  <c r="E11" i="8"/>
  <c r="F11" i="8"/>
  <c r="G11" i="8"/>
  <c r="D11" i="8"/>
  <c r="D7" i="8"/>
  <c r="E7" i="8"/>
  <c r="G7" i="8"/>
  <c r="F7" i="8"/>
  <c r="D317" i="4"/>
  <c r="D320" i="4"/>
  <c r="D398" i="4"/>
  <c r="D324" i="4"/>
  <c r="D401" i="4"/>
  <c r="D323" i="4"/>
  <c r="D400" i="4"/>
  <c r="D325" i="4"/>
  <c r="D402" i="4"/>
  <c r="D321" i="4"/>
  <c r="D399" i="4"/>
  <c r="D326" i="4"/>
  <c r="D405" i="4"/>
  <c r="D322" i="4"/>
  <c r="D395" i="4"/>
  <c r="D327" i="4"/>
  <c r="D406" i="4"/>
  <c r="D318" i="4"/>
  <c r="D396" i="4"/>
  <c r="D328" i="4"/>
  <c r="D403" i="4"/>
  <c r="D319" i="4"/>
  <c r="D397" i="4"/>
  <c r="D329" i="4"/>
  <c r="D404" i="4"/>
  <c r="E11" i="3"/>
  <c r="E10" i="3"/>
  <c r="G8" i="8" l="1"/>
  <c r="H8" i="8" s="1"/>
  <c r="D9" i="8"/>
  <c r="H9" i="8" s="1"/>
  <c r="H10" i="3"/>
  <c r="H11" i="3"/>
  <c r="H11" i="8"/>
  <c r="H10" i="8"/>
  <c r="H7" i="8"/>
  <c r="G4" i="8" l="1"/>
  <c r="D4" i="8"/>
  <c r="E4" i="8"/>
  <c r="F4" i="8"/>
  <c r="H4" i="8" l="1"/>
  <c r="C4" i="8" l="1"/>
</calcChain>
</file>

<file path=xl/sharedStrings.xml><?xml version="1.0" encoding="utf-8"?>
<sst xmlns="http://schemas.openxmlformats.org/spreadsheetml/2006/main" count="128" uniqueCount="91">
  <si>
    <t>Navigation</t>
  </si>
  <si>
    <t>Title</t>
  </si>
  <si>
    <t>Accounts Receivable Template</t>
  </si>
  <si>
    <t>Content</t>
  </si>
  <si>
    <t xml:space="preserve">This workbook is intended to help you keep your customer invoices and due dates organized. </t>
  </si>
  <si>
    <t>Enter Invoices</t>
  </si>
  <si>
    <t>The first two tabs allow for data entry, while the following two tabs provide a summary of the data and are fully automated.</t>
  </si>
  <si>
    <t>Record Customer Payments</t>
  </si>
  <si>
    <t xml:space="preserve">Drop-down lists allow for convenient and accurate selection of the invoices to be paid. </t>
  </si>
  <si>
    <t>Sample data has been entered to serve as example and can be removed using "delete" button on your keyboard.</t>
  </si>
  <si>
    <t>View Open Invoices</t>
  </si>
  <si>
    <t>Cells colored with a grey background contain formulas and should not be overwritten. Only enter data in white cells.</t>
  </si>
  <si>
    <t>Aging Report</t>
  </si>
  <si>
    <t>Customization difficulty (1-3)</t>
  </si>
  <si>
    <t>Define Terms</t>
  </si>
  <si>
    <t>Explanation of sheets</t>
  </si>
  <si>
    <t>Enter Invoices:</t>
  </si>
  <si>
    <t xml:space="preserve">Invoice Date, Invoice #, Customer, Terms, and Amount Due must all be filled out with the relevant information for the organizer to work properly. The Due Date is calculated automatically based on the terms selected. If Terms are left blank, the Default Term, as definedon the "List" tab, will be used. Notes/descriptions are optional. </t>
  </si>
  <si>
    <t>Record Customer Payments:</t>
  </si>
  <si>
    <t>Choose the invoice # of the bill the customer payment was made to using the drop-down menus in the Invoice # column. All other columns except for Amount Paid and Payment Date will automatically be populated with the information for that invoice number.</t>
  </si>
  <si>
    <t xml:space="preserve">Record the amount paid toward the invoice in the Amount Paid column. If a partial payment was made, the Balance Due will reflect how much is still owed on that particular invoice. </t>
  </si>
  <si>
    <t xml:space="preserve">When you record the next payment, select the invoice # again, and the Amount Due will be shown as the Balance Due, taking into account the previous payment(s) made. Repeat this process until the invoice is paid off. </t>
  </si>
  <si>
    <t>Open Invoices:</t>
  </si>
  <si>
    <t>This sheet will list all open invoices, showing the oldest invoice at the top. 
(Display only, no data entry is allowed/required.)</t>
  </si>
  <si>
    <t>Aging Report:</t>
  </si>
  <si>
    <t xml:space="preserve">This sheet displays a report of the total aging amounts for customers with open balances. </t>
  </si>
  <si>
    <t>The total of all invoices for the different time ranges is shown in the first line. Each subsequent line will display the total amount of all open invoices for each customer within each time range.
Zeros are displayed in greyed font to assist visualization of aging amounts due.</t>
  </si>
  <si>
    <t>Lists:</t>
  </si>
  <si>
    <t>Define the standard terms that you want to be available in the drop-down menus. The amounts entered in the Terms (days) columns will be available within the drop-down menus on the "Enter Invoices" tab. 
The "standard terms" will be the number of days to calucate due dates if the Terms field is left blank on the Enter Invoices tab.</t>
  </si>
  <si>
    <t>How to customize</t>
  </si>
  <si>
    <t>1)</t>
  </si>
  <si>
    <t>Enter your terms of payment (in days) on the "Lists" tab. If you want more lines for the Terms (days) column, you can just start typing below the last line of the table and the table will automatically expand to include your new entries. The Standard Terms only allows for one entry.</t>
  </si>
  <si>
    <t>Once items are added to the table, the corresponding drop-down menu will automatically include them.</t>
  </si>
  <si>
    <t>2)</t>
  </si>
  <si>
    <t>Enter your invoices on the "Enter Invoices" tab. The Notes/Description column is optional and does not have to be completed. All other columns need to be completed.</t>
  </si>
  <si>
    <t>3)</t>
  </si>
  <si>
    <t>Record customer payments on the "Record Customer Payments" tab by entering data in columns "Invoice Number," "Payment Date," and "Amount Paid". Do not enter data in the columns with gray shading as these are automatically populated via formulas.</t>
  </si>
  <si>
    <t>4)</t>
  </si>
  <si>
    <t>To view the headings in Excel (Columns: A, B, C… and Rows: 1, 2, 3…) go to the View ribbon and check the "Headings" box.</t>
  </si>
  <si>
    <t>Introduction</t>
  </si>
  <si>
    <t>Record/view payments</t>
  </si>
  <si>
    <t>View open invoices</t>
  </si>
  <si>
    <t>View aging Report</t>
  </si>
  <si>
    <t>Invoice Date</t>
  </si>
  <si>
    <t>Invoice #</t>
  </si>
  <si>
    <t>Customer</t>
  </si>
  <si>
    <t>Terms (days)</t>
  </si>
  <si>
    <t>Notes/Description</t>
  </si>
  <si>
    <t>Amount due</t>
  </si>
  <si>
    <t>Due Date</t>
  </si>
  <si>
    <t>ABC Company</t>
  </si>
  <si>
    <t>Special terms agreement</t>
  </si>
  <si>
    <t>XYZ Inc</t>
  </si>
  <si>
    <t>Sunnydale Industries</t>
  </si>
  <si>
    <t>Cat Co</t>
  </si>
  <si>
    <t>Corner Place</t>
  </si>
  <si>
    <t>Delivery</t>
  </si>
  <si>
    <t>One time extension</t>
  </si>
  <si>
    <t>Rush</t>
  </si>
  <si>
    <t>Record/view invoices</t>
  </si>
  <si>
    <t>Amount Due</t>
  </si>
  <si>
    <t>Amount Paid</t>
  </si>
  <si>
    <t>Payment Date</t>
  </si>
  <si>
    <t>Balance</t>
  </si>
  <si>
    <t>View aging report</t>
  </si>
  <si>
    <t>Open Balance</t>
  </si>
  <si>
    <t>1 to 30 Days</t>
  </si>
  <si>
    <t>31 to 60 days</t>
  </si>
  <si>
    <t>61 to 90 days</t>
  </si>
  <si>
    <t>Over 90 days</t>
  </si>
  <si>
    <t>Total</t>
  </si>
  <si>
    <t>Default Term</t>
  </si>
  <si>
    <t>Invoice#</t>
  </si>
  <si>
    <t>Row Labels</t>
  </si>
  <si>
    <t>Grand Total</t>
  </si>
  <si>
    <t>Sum of Open Balance</t>
  </si>
  <si>
    <t>Days</t>
  </si>
  <si>
    <t>Level</t>
  </si>
  <si>
    <t>(blank)</t>
  </si>
  <si>
    <t>Open balance</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</si>
  <si>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</si>
  <si>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</si>
  <si>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</si>
  <si>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</si>
  <si>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</si>
  <si>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</si>
  <si>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</si>
  <si>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</si>
  <si>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</si>
  <si>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</si>
  <si>
    <t>Related To Online Templates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</si>
</sst>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quot;$&quot;* #,##0.00_);_(&quot;$&quot;* \(#,##0.00\);_(&quot;$&quot;* &quot;-&quot;??_);_(@_)"/>
    <numFmt numFmtId="165" formatCode="_(* #,##0.00_);_(* \(#,##0.00\);_(* &quot;-&quot;??_);_(@_)"/>
    <numFmt numFmtId="166" formatCode="&quot;$&quot;#,##0.00"/>
    <numFmt numFmtId="167" formatCode="General;General;;@"/>
    <numFmt numFmtId="168" formatCode="&quot;$&quot;#,##0"/>
  </numFmts>
  <fonts count="15" x14ac:knownFonts="1">
    <font>
      <sz val="11"/>
      <color theme="1"/>
      <name val="Calibri"/>
      <family val="2"/>
      <scheme val="minor"/>
    </font>
    <font>
      <sz val="11"/>
      <color theme="1"/>
      <name val="Calibri"/>
      <family val="2"/>
      <scheme val="minor"/>
    </font>
    <font>
      <u/>
      <sz val="11"/>
      <color theme="10"/>
      <name val="Calibri"/>
      <family val="2"/>
      <scheme val="minor"/>
    </font>
    <font>
      <b/>
      <sz val="10"/>
      <color theme="1"/>
      <name val="Arial"/>
      <family val="2"/>
    </font>
    <font>
      <sz val="10"/>
      <color theme="0"/>
      <name val="Arial"/>
      <family val="2"/>
    </font>
    <font>
      <sz val="10"/>
      <color theme="1"/>
      <name val="Arial"/>
      <family val="2"/>
    </font>
    <font>
      <b/>
      <u/>
      <sz val="10"/>
      <color theme="0"/>
      <name val="Arial"/>
      <family val="2"/>
    </font>
    <font>
      <b/>
      <sz val="10"/>
      <color theme="0"/>
      <name val="Arial"/>
      <family val="2"/>
    </font>
    <font>
      <u/>
      <sz val="10"/>
      <color theme="10"/>
      <name val="Arial"/>
      <family val="2"/>
    </font>
    <font>
      <sz val="10"/>
      <name val="Arial"/>
      <family val="2"/>
    </font>
    <font>
      <b/>
      <i/>
      <sz val="10"/>
      <color theme="0"/>
      <name val="Arial"/>
      <family val="2"/>
    </font>
    <font>
      <u/>
      <sz val="10"/>
      <name val="Arial"/>
      <family val="2"/>
    </font>
    <font>
      <b/>
      <sz val="10"/>
      <name val="Arial"/>
      <family val="2"/>
    </font>
    <font>
      <b/>
      <sz val="10"/>
      <color theme="1" tint="0.34998626667073579"/>
      <name val="Arial"/>
      <family val="2"/>
    </font>
    <font>
      <sz val="11"/>
      <color rgb="FF000000"/>
      <name val="Calibri"/>
      <family val="2"/>
    </font>
  </fonts>
  <fills count="8">
    <fill>
      <patternFill patternType="none"/>
    </fill>
    <fill>
      <patternFill patternType="gray125"/>
    </fill>
    <fill>
      <patternFill patternType="solid">
        <fgColor theme="6" tint="0.59999389629810485"/>
        <bgColor indexed="65"/>
      </patternFill>
    </fill>
    <fill>
      <patternFill patternType="solid">
        <fgColor rgb="FF8FCFAD"/>
        <bgColor indexed="64"/>
      </patternFill>
    </fill>
    <fill>
      <patternFill patternType="solid">
        <fgColor rgb="FF50B47F"/>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7" tint="0.79998168889431442"/>
        <bgColor indexed="64"/>
      </patternFill>
    </fill>
  </fills>
  <borders count="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1" tint="0.499984740745262"/>
      </left>
      <right style="thin">
        <color theme="0" tint="-0.24994659260841701"/>
      </right>
      <top style="thin">
        <color theme="0" tint="-0.24994659260841701"/>
      </top>
      <bottom style="double">
        <color theme="1" tint="0.499984740745262"/>
      </bottom>
      <diagonal/>
    </border>
    <border>
      <left style="thin">
        <color theme="0" tint="-0.24994659260841701"/>
      </left>
      <right style="thin">
        <color theme="0" tint="-0.24994659260841701"/>
      </right>
      <top style="thin">
        <color theme="0" tint="-0.24994659260841701"/>
      </top>
      <bottom style="double">
        <color theme="1" tint="0.499984740745262"/>
      </bottom>
      <diagonal/>
    </border>
    <border>
      <left style="thin">
        <color theme="0" tint="-0.24994659260841701"/>
      </left>
      <right style="thin">
        <color theme="1" tint="0.499984740745262"/>
      </right>
      <top style="thin">
        <color theme="0" tint="-0.24994659260841701"/>
      </top>
      <bottom style="double">
        <color theme="1" tint="0.499984740745262"/>
      </bottom>
      <diagonal/>
    </border>
    <border>
      <left/>
      <right/>
      <top/>
      <bottom style="thin">
        <color theme="0" tint="-0.24994659260841701"/>
      </bottom>
      <diagonal/>
    </border>
    <border>
      <left/>
      <right/>
      <top style="thin">
        <color theme="0" tint="-0.24994659260841701"/>
      </top>
      <bottom/>
      <diagonal/>
    </border>
  </borders>
  <cellStyleXfs count="9">
    <xf numFmtId="0" fontId="0" fillId="0" borderId="0"/>
    <xf numFmtId="164" fontId="1" fillId="0" borderId="0" applyFont="0" applyFill="0" applyBorder="0" applyAlignment="0" applyProtection="0"/>
    <xf numFmtId="0" fontId="1" fillId="2" borderId="0" applyNumberFormat="0" applyBorder="0" applyAlignment="0" applyProtection="0"/>
    <xf numFmtId="0" fontId="2" fillId="0" borderId="0" applyNumberFormat="0" applyFill="0" applyBorder="0" applyAlignment="0" applyProtection="0"/>
    <xf numFmtId="0" fontId="1" fillId="0" borderId="0"/>
    <xf numFmtId="9" fontId="1" fillId="0" borderId="0" applyFont="0" applyFill="0" applyBorder="0" applyAlignment="0" applyProtection="0"/>
    <xf numFmtId="165" fontId="5" fillId="0" borderId="0" applyFont="0" applyFill="0" applyBorder="0" applyAlignment="0" applyProtection="0"/>
    <xf numFmtId="165" fontId="1" fillId="0" borderId="0" applyFont="0" applyFill="0" applyBorder="0" applyAlignment="0" applyProtection="0"/>
    <xf numFmtId="0" fontId="5" fillId="0" borderId="0"/>
  </cellStyleXfs>
  <cellXfs count="89">
    <xf numFmtId="0" fontId="0" fillId="0" borderId="0" xfId="0"/>
    <xf numFmtId="0" fontId="3" fillId="0" borderId="0" xfId="0" applyFont="1"/>
    <xf numFmtId="0" fontId="5" fillId="0" borderId="0" xfId="0" applyFont="1"/>
    <xf numFmtId="0" fontId="5" fillId="0" borderId="0" xfId="0" quotePrefix="1" applyFont="1" applyAlignment="1">
      <alignment horizontal="right"/>
    </xf>
    <xf numFmtId="0" fontId="5" fillId="0" borderId="0" xfId="0" applyFont="1" applyAlignment="1">
      <alignment horizontal="right"/>
    </xf>
    <xf numFmtId="0" fontId="5" fillId="0" borderId="0" xfId="0" applyFont="1" applyAlignment="1">
      <alignment horizontal="left"/>
    </xf>
    <xf numFmtId="0" fontId="4" fillId="4" borderId="0" xfId="0" applyFont="1" applyFill="1"/>
    <xf numFmtId="0" fontId="6" fillId="3" borderId="0" xfId="3" applyFont="1" applyFill="1" applyAlignment="1">
      <alignment horizontal="left" vertical="center"/>
    </xf>
    <xf numFmtId="0" fontId="7" fillId="3" borderId="0" xfId="0" applyFont="1" applyFill="1" applyAlignment="1">
      <alignment horizontal="left" vertical="center"/>
    </xf>
    <xf numFmtId="0" fontId="8" fillId="0" borderId="0" xfId="3" applyFont="1"/>
    <xf numFmtId="14" fontId="5" fillId="0" borderId="0" xfId="0" applyNumberFormat="1" applyFont="1" applyAlignment="1">
      <alignment horizontal="center"/>
    </xf>
    <xf numFmtId="0" fontId="5" fillId="0" borderId="0" xfId="0" applyFont="1" applyAlignment="1">
      <alignment horizontal="center"/>
    </xf>
    <xf numFmtId="164" fontId="5" fillId="0" borderId="0" xfId="1" applyFont="1"/>
    <xf numFmtId="0" fontId="6" fillId="0" borderId="0" xfId="3" applyFont="1" applyFill="1" applyAlignment="1">
      <alignment vertical="center"/>
    </xf>
    <xf numFmtId="0" fontId="5" fillId="5" borderId="0" xfId="0" applyFont="1" applyFill="1"/>
    <xf numFmtId="14" fontId="5" fillId="5" borderId="0" xfId="0" applyNumberFormat="1" applyFont="1" applyFill="1" applyAlignment="1">
      <alignment horizontal="center"/>
    </xf>
    <xf numFmtId="14" fontId="5" fillId="0" borderId="0" xfId="0" applyNumberFormat="1" applyFont="1"/>
    <xf numFmtId="0" fontId="6" fillId="3" borderId="0" xfId="3" applyFont="1" applyFill="1" applyAlignment="1">
      <alignment vertical="center"/>
    </xf>
    <xf numFmtId="0" fontId="7" fillId="4" borderId="0" xfId="0" applyFont="1" applyFill="1" applyAlignment="1">
      <alignment horizontal="center"/>
    </xf>
    <xf numFmtId="0" fontId="6" fillId="4" borderId="0" xfId="3" applyFont="1" applyFill="1" applyAlignment="1">
      <alignment vertical="center"/>
    </xf>
    <xf numFmtId="0" fontId="3" fillId="0" borderId="0" xfId="0" quotePrefix="1" applyFont="1" applyAlignment="1">
      <alignment horizontal="right" vertical="top"/>
    </xf>
    <xf numFmtId="0" fontId="3" fillId="0" borderId="0" xfId="0" applyFont="1" applyAlignment="1">
      <alignment horizontal="right" vertical="top"/>
    </xf>
    <xf numFmtId="0" fontId="5" fillId="0" borderId="0" xfId="0" applyFont="1" applyAlignment="1">
      <alignment vertical="top"/>
    </xf>
    <xf numFmtId="0" fontId="5" fillId="0" borderId="0" xfId="0" quotePrefix="1" applyFont="1" applyAlignment="1">
      <alignment horizontal="right" vertical="top"/>
    </xf>
    <xf numFmtId="0" fontId="10" fillId="4" borderId="0" xfId="0" applyFont="1" applyFill="1" applyAlignment="1">
      <alignment horizontal="center" vertical="center"/>
    </xf>
    <xf numFmtId="0" fontId="5" fillId="0" borderId="0" xfId="0" applyFont="1" applyAlignment="1">
      <alignment horizontal="right" vertical="top"/>
    </xf>
    <xf numFmtId="0" fontId="3" fillId="0" borderId="0" xfId="0" applyFont="1" applyAlignment="1">
      <alignment vertical="top"/>
    </xf>
    <xf numFmtId="14" fontId="5" fillId="6" borderId="0" xfId="0" applyNumberFormat="1" applyFont="1" applyFill="1" applyAlignment="1">
      <alignment horizontal="center"/>
    </xf>
    <xf numFmtId="0" fontId="9" fillId="0" borderId="0" xfId="0" applyFont="1"/>
    <xf numFmtId="0" fontId="11" fillId="0" borderId="0" xfId="3" applyFont="1"/>
    <xf numFmtId="0" fontId="12" fillId="0" borderId="0" xfId="0" applyFont="1" applyAlignment="1">
      <alignment vertical="center"/>
    </xf>
    <xf numFmtId="2" fontId="7" fillId="3" borderId="0" xfId="0" applyNumberFormat="1" applyFont="1" applyFill="1" applyAlignment="1">
      <alignment horizontal="left" vertical="center"/>
    </xf>
    <xf numFmtId="2" fontId="5" fillId="0" borderId="0" xfId="0" applyNumberFormat="1" applyFont="1"/>
    <xf numFmtId="167" fontId="6" fillId="3" borderId="0" xfId="3" applyNumberFormat="1" applyFont="1" applyFill="1" applyAlignment="1">
      <alignment horizontal="left" vertical="center"/>
    </xf>
    <xf numFmtId="167" fontId="5" fillId="0" borderId="0" xfId="0" applyNumberFormat="1" applyFont="1" applyAlignment="1">
      <alignment horizontal="center"/>
    </xf>
    <xf numFmtId="0" fontId="7" fillId="4" borderId="1" xfId="0" applyFont="1" applyFill="1" applyBorder="1" applyAlignment="1">
      <alignment horizontal="center"/>
    </xf>
    <xf numFmtId="164" fontId="6" fillId="3" borderId="0" xfId="1" applyFont="1" applyFill="1" applyAlignment="1">
      <alignment horizontal="center" vertical="center"/>
    </xf>
    <xf numFmtId="164" fontId="5" fillId="0" borderId="0" xfId="1" applyFont="1" applyAlignment="1">
      <alignment horizontal="center"/>
    </xf>
    <xf numFmtId="166" fontId="5" fillId="5" borderId="0" xfId="1" applyNumberFormat="1" applyFont="1" applyFill="1" applyAlignment="1">
      <alignment horizontal="right"/>
    </xf>
    <xf numFmtId="164" fontId="7" fillId="4" borderId="0" xfId="1" applyFont="1" applyFill="1" applyAlignment="1">
      <alignment horizontal="center"/>
    </xf>
    <xf numFmtId="166" fontId="9" fillId="5" borderId="0" xfId="1" applyNumberFormat="1" applyFont="1" applyFill="1" applyAlignment="1">
      <alignment horizontal="right"/>
    </xf>
    <xf numFmtId="166" fontId="5" fillId="0" borderId="0" xfId="1" applyNumberFormat="1" applyFont="1" applyAlignment="1">
      <alignment horizontal="right"/>
    </xf>
    <xf numFmtId="0" fontId="12" fillId="0" borderId="0" xfId="2" applyFont="1" applyFill="1" applyBorder="1" applyAlignment="1">
      <alignment horizontal="right" vertical="center"/>
    </xf>
    <xf numFmtId="0" fontId="9" fillId="0" borderId="0" xfId="0" applyFont="1" applyAlignment="1">
      <alignment horizontal="center" vertical="center"/>
    </xf>
    <xf numFmtId="0" fontId="12" fillId="0" borderId="0" xfId="0" applyFont="1"/>
    <xf numFmtId="166" fontId="12" fillId="0" borderId="0" xfId="1" applyNumberFormat="1" applyFont="1" applyFill="1" applyBorder="1" applyAlignment="1">
      <alignment horizontal="center" vertical="center"/>
    </xf>
    <xf numFmtId="166" fontId="9" fillId="0" borderId="0" xfId="1" applyNumberFormat="1" applyFont="1" applyAlignment="1">
      <alignment horizontal="center" vertical="center"/>
    </xf>
    <xf numFmtId="166" fontId="12" fillId="0" borderId="0" xfId="1" applyNumberFormat="1" applyFont="1" applyAlignment="1">
      <alignment horizontal="center" vertical="center"/>
    </xf>
    <xf numFmtId="166" fontId="9" fillId="0" borderId="0" xfId="1" applyNumberFormat="1" applyFont="1"/>
    <xf numFmtId="166" fontId="12" fillId="0" borderId="0" xfId="1" applyNumberFormat="1" applyFont="1"/>
    <xf numFmtId="166" fontId="9" fillId="0" borderId="0" xfId="1" applyNumberFormat="1" applyFont="1" applyFill="1" applyBorder="1"/>
    <xf numFmtId="0" fontId="7" fillId="3" borderId="0" xfId="0" applyFont="1" applyFill="1" applyAlignment="1">
      <alignment horizontal="center" vertical="center"/>
    </xf>
    <xf numFmtId="14" fontId="5" fillId="0" borderId="0" xfId="0" applyNumberFormat="1" applyFont="1" applyAlignment="1">
      <alignment vertical="center"/>
    </xf>
    <xf numFmtId="0" fontId="5" fillId="0" borderId="0" xfId="0" applyFont="1" applyAlignment="1">
      <alignment vertical="center"/>
    </xf>
    <xf numFmtId="2" fontId="5" fillId="0" borderId="0" xfId="0" applyNumberFormat="1" applyFont="1" applyAlignment="1">
      <alignment vertical="center"/>
    </xf>
    <xf numFmtId="14" fontId="5" fillId="0" borderId="0" xfId="0" applyNumberFormat="1" applyFont="1" applyAlignment="1">
      <alignment horizontal="center" vertical="center"/>
    </xf>
    <xf numFmtId="0" fontId="5" fillId="0" borderId="0" xfId="0" applyFont="1" applyAlignment="1">
      <alignment horizontal="center" vertical="center"/>
    </xf>
    <xf numFmtId="164" fontId="5" fillId="0" borderId="0" xfId="1" applyFont="1" applyAlignment="1">
      <alignment horizontal="center" vertical="center"/>
    </xf>
    <xf numFmtId="167" fontId="5" fillId="0" borderId="0" xfId="0" applyNumberFormat="1" applyFont="1" applyAlignment="1">
      <alignment horizontal="center" vertical="center"/>
    </xf>
    <xf numFmtId="0" fontId="0" fillId="0" borderId="0" xfId="0" applyAlignment="1">
      <alignment vertical="center"/>
    </xf>
    <xf numFmtId="0" fontId="6" fillId="4" borderId="0" xfId="3" applyFont="1" applyFill="1" applyAlignment="1">
      <alignment vertical="top"/>
    </xf>
    <xf numFmtId="0" fontId="5" fillId="0" borderId="6" xfId="0" applyFont="1" applyBorder="1" applyAlignment="1">
      <alignment horizontal="center"/>
    </xf>
    <xf numFmtId="0" fontId="7" fillId="4" borderId="5" xfId="0" applyFont="1" applyFill="1" applyBorder="1" applyAlignment="1">
      <alignment horizontal="center"/>
    </xf>
    <xf numFmtId="0" fontId="5" fillId="0" borderId="0" xfId="0" applyFont="1" applyAlignment="1">
      <alignment wrapText="1"/>
    </xf>
    <xf numFmtId="0" fontId="6" fillId="3" borderId="0" xfId="3" applyFont="1" applyFill="1" applyAlignment="1">
      <alignment horizontal="center" vertical="center"/>
    </xf>
    <xf numFmtId="14" fontId="7" fillId="3" borderId="0" xfId="0" applyNumberFormat="1" applyFont="1" applyFill="1" applyAlignment="1">
      <alignment horizontal="center" vertical="center"/>
    </xf>
    <xf numFmtId="166" fontId="5" fillId="0" borderId="0" xfId="0" applyNumberFormat="1" applyFont="1" applyAlignment="1">
      <alignment vertical="center"/>
    </xf>
    <xf numFmtId="0" fontId="0" fillId="0" borderId="0" xfId="0" pivotButton="1"/>
    <xf numFmtId="0" fontId="0" fillId="0" borderId="0" xfId="0" applyAlignment="1">
      <alignment horizontal="left"/>
    </xf>
    <xf numFmtId="168" fontId="0" fillId="0" borderId="0" xfId="0" applyNumberFormat="1"/>
    <xf numFmtId="14" fontId="0" fillId="0" borderId="0" xfId="0" applyNumberFormat="1" applyAlignment="1">
      <alignment horizontal="left"/>
    </xf>
    <xf numFmtId="14" fontId="4" fillId="4" borderId="0" xfId="0" applyNumberFormat="1" applyFont="1" applyFill="1" applyAlignment="1">
      <alignment horizontal="center"/>
    </xf>
    <xf numFmtId="2" fontId="4" fillId="4" borderId="0" xfId="0" applyNumberFormat="1" applyFont="1" applyFill="1"/>
    <xf numFmtId="0" fontId="6" fillId="3" borderId="0" xfId="3" applyNumberFormat="1" applyFont="1" applyFill="1" applyAlignment="1">
      <alignment horizontal="center" vertical="center"/>
    </xf>
    <xf numFmtId="0" fontId="5" fillId="6" borderId="0" xfId="0" applyFont="1" applyFill="1" applyAlignment="1">
      <alignment horizontal="center"/>
    </xf>
    <xf numFmtId="166" fontId="0" fillId="0" borderId="0" xfId="0" applyNumberFormat="1" applyAlignment="1">
      <alignment horizontal="center"/>
    </xf>
    <xf numFmtId="0" fontId="13" fillId="6" borderId="2" xfId="2" applyFont="1" applyFill="1" applyBorder="1" applyAlignment="1">
      <alignment horizontal="center" vertical="center"/>
    </xf>
    <xf numFmtId="166" fontId="13" fillId="6" borderId="3" xfId="1" applyNumberFormat="1" applyFont="1" applyFill="1" applyBorder="1" applyAlignment="1">
      <alignment horizontal="center" vertical="center"/>
    </xf>
    <xf numFmtId="166" fontId="13" fillId="6" borderId="4" xfId="1" applyNumberFormat="1" applyFont="1" applyFill="1" applyBorder="1" applyAlignment="1">
      <alignment horizontal="center" vertical="center"/>
    </xf>
    <xf numFmtId="166" fontId="9" fillId="7" borderId="0" xfId="1" applyNumberFormat="1" applyFont="1" applyFill="1" applyBorder="1" applyAlignment="1">
      <alignment horizontal="center"/>
    </xf>
    <xf numFmtId="166" fontId="9" fillId="7" borderId="0" xfId="1" applyNumberFormat="1" applyFont="1" applyFill="1" applyAlignment="1">
      <alignment horizontal="center"/>
    </xf>
    <xf numFmtId="0" fontId="3" fillId="0" borderId="0" xfId="0" applyFont="1" applyAlignment="1">
      <alignment horizontal="right"/>
    </xf>
    <xf numFmtId="0" fontId="5" fillId="0" borderId="0" xfId="8"/>
    <xf numFmtId="0" fontId="2" fillId="0" borderId="0" xfId="3"/>
    <xf numFmtId="0" fontId="5" fillId="0" borderId="0" xfId="0" applyFont="1" applyAlignment="1">
      <alignment vertical="top" wrapText="1"/>
    </xf>
    <xf numFmtId="0" fontId="5" fillId="0" borderId="0" xfId="0" applyFont="1" applyAlignment="1">
      <alignment horizontal="left" vertical="top" wrapText="1"/>
    </xf>
    <xf numFmtId="0" fontId="5" fillId="0" borderId="0" xfId="0" applyFont="1" applyAlignment="1">
      <alignment wrapText="1"/>
    </xf>
    <xf numFmtId="0" fontId="6" fillId="3" borderId="0" xfId="3" applyFont="1" applyFill="1" applyAlignment="1">
      <alignment horizontal="center" vertical="center"/>
    </xf>
    <xf numFmtId="14" fontId="6" fillId="3" borderId="0" xfId="3" applyNumberFormat="1" applyFont="1" applyFill="1" applyAlignment="1">
      <alignment horizontal="center" vertical="center"/>
    </xf>
  </cellXfs>
  <cellStyles count="9">
    <cellStyle name="40% - Accent3" xfId="2" builtinId="39"/>
    <cellStyle name="Comma 2" xfId="6" xr:uid="{D5DC5BE2-3DE2-4201-9E4E-CC2A85B86E36}"/>
    <cellStyle name="Comma 5" xfId="7" xr:uid="{084F4AED-D95A-4B69-A422-3265DDCC2467}"/>
    <cellStyle name="Currency" xfId="1" builtinId="4"/>
    <cellStyle name="Hyperlink" xfId="3" builtinId="8"/>
    <cellStyle name="Normal" xfId="0" builtinId="0"/>
    <cellStyle name="Normal 2 2" xfId="8" xr:uid="{29B21EF9-B034-4FA9-8EC0-32C7B516EDD0}"/>
    <cellStyle name="Normal 6" xfId="4" xr:uid="{711EC29F-CC29-48BA-A346-A1B26E7AC827}"/>
    <cellStyle name="Percent 5" xfId="5" xr:uid="{8AF803DE-2832-49AA-A355-C407FE5446F9}"/>
  </cellStyles>
  <dxfs count="77">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border diagonalUp="0" diagonalDown="0">
        <left/>
        <right/>
        <top style="thin">
          <color theme="0" tint="-0.24994659260841701"/>
        </top>
        <bottom/>
        <vertical/>
        <horizontal/>
      </border>
    </dxf>
    <dxf>
      <border outline="0">
        <top style="thin">
          <color theme="0" tint="-0.24994659260841701"/>
        </top>
      </border>
    </dxf>
    <dxf>
      <border outline="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border outline="0">
        <bottom style="thin">
          <color theme="0" tint="-0.24994659260841701"/>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bottom" textRotation="0" wrapText="0" indent="0" justifyLastLine="0" shrinkToFit="0" readingOrder="0"/>
    </dxf>
    <dxf>
      <font>
        <strike val="0"/>
        <outline val="0"/>
        <shadow val="0"/>
        <vertAlign val="baseline"/>
        <sz val="10"/>
        <name val="Arial"/>
        <family val="2"/>
        <scheme val="none"/>
      </font>
      <alignment horizontal="center" vertical="bottom" textRotation="0" wrapText="0" indent="0" justifyLastLine="0" shrinkToFit="0" readingOrder="0"/>
    </dxf>
    <dxf>
      <font>
        <strike val="0"/>
        <outline val="0"/>
        <shadow val="0"/>
        <vertAlign val="baseline"/>
        <sz val="10"/>
        <name val="Arial"/>
        <family val="2"/>
        <scheme val="none"/>
      </font>
      <alignment horizontal="center" vertical="bottom" textRotation="0" wrapText="0" indent="0" justifyLastLine="0" shrinkToFit="0" readingOrder="0"/>
    </dxf>
    <dxf>
      <font>
        <b/>
        <strike val="0"/>
        <outline val="0"/>
        <shadow val="0"/>
        <u val="none"/>
        <vertAlign val="baseline"/>
        <sz val="10"/>
        <color theme="0"/>
        <name val="Arial"/>
        <family val="2"/>
        <scheme val="none"/>
      </font>
      <fill>
        <patternFill patternType="solid">
          <fgColor indexed="64"/>
          <bgColor rgb="FF50B47F"/>
        </patternFill>
      </fill>
      <alignment horizontal="center" vertical="bottom" textRotation="0" wrapText="0" indent="0" justifyLastLine="0" shrinkToFit="0" readingOrder="0"/>
    </dxf>
    <dxf>
      <font>
        <color rgb="FF9C0006"/>
      </font>
    </dxf>
    <dxf>
      <font>
        <color theme="0"/>
      </font>
    </dxf>
    <dxf>
      <font>
        <b val="0"/>
        <i val="0"/>
        <strike val="0"/>
        <condense val="0"/>
        <extend val="0"/>
        <outline val="0"/>
        <shadow val="0"/>
        <u val="none"/>
        <vertAlign val="baseline"/>
        <sz val="10"/>
        <color theme="1"/>
        <name val="Arial"/>
        <family val="2"/>
        <scheme val="none"/>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6" formatCode="&quot;$&quot;#,##0.00"/>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9" formatCode="mm/dd/yyyy"/>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2" formatCode="0.00"/>
      <fill>
        <patternFill patternType="solid">
          <fgColor indexed="64"/>
          <bgColor rgb="FF50B47F"/>
        </patternFill>
      </fill>
    </dxf>
    <dxf>
      <fill>
        <patternFill>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numFmt numFmtId="168" formatCode="&quot;$&quot;#,##0"/>
    </dxf>
    <dxf>
      <font>
        <strike val="0"/>
        <outline val="0"/>
        <shadow val="0"/>
        <vertAlign val="baseline"/>
        <sz val="10"/>
        <name val="Arial"/>
        <family val="2"/>
        <scheme val="none"/>
      </font>
      <numFmt numFmtId="166" formatCode="&quot;$&quot;#,##0.00"/>
      <fill>
        <patternFill patternType="solid">
          <fgColor indexed="64"/>
          <bgColor theme="6" tint="0.79998168889431442"/>
        </patternFill>
      </fill>
      <alignment horizontal="right" vertical="bottom" textRotation="0" wrapText="0" indent="0" justifyLastLine="0" shrinkToFit="0" readingOrder="0"/>
    </dxf>
    <dxf>
      <font>
        <strike val="0"/>
        <outline val="0"/>
        <shadow val="0"/>
        <vertAlign val="baseline"/>
        <sz val="10"/>
        <name val="Arial"/>
        <family val="2"/>
        <scheme val="none"/>
      </font>
      <numFmt numFmtId="170" formatCode="m/d/yyyy"/>
      <fill>
        <patternFill patternType="none">
          <fgColor indexed="64"/>
          <bgColor indexed="65"/>
        </patternFill>
      </fill>
      <alignment horizontal="center" vertical="bottom" textRotation="0" wrapText="0" indent="0" justifyLastLine="0" shrinkToFit="0" readingOrder="0"/>
    </dxf>
    <dxf>
      <font>
        <strike val="0"/>
        <outline val="0"/>
        <shadow val="0"/>
        <vertAlign val="baseline"/>
        <sz val="10"/>
        <name val="Arial"/>
        <family val="2"/>
        <scheme val="none"/>
      </font>
      <numFmt numFmtId="166" formatCode="&quot;$&quot;#,##0.00"/>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66" formatCode="&quot;$&quot;#,##0.00"/>
      <fill>
        <patternFill patternType="solid">
          <fgColor indexed="64"/>
          <bgColor theme="6" tint="0.79998168889431442"/>
        </patternFill>
      </fill>
      <alignment horizontal="right" vertical="bottom" textRotation="0" wrapText="0" indent="0" justifyLastLine="0" shrinkToFit="0" readingOrder="0"/>
    </dxf>
    <dxf>
      <font>
        <strike val="0"/>
        <outline val="0"/>
        <shadow val="0"/>
        <vertAlign val="baseline"/>
        <sz val="10"/>
        <name val="Arial"/>
        <family val="2"/>
        <scheme val="none"/>
      </font>
      <numFmt numFmtId="169" formatCode="mm/dd/yyyy"/>
      <fill>
        <patternFill patternType="solid">
          <fgColor indexed="64"/>
          <bgColor theme="6" tint="0.79998168889431442"/>
        </patternFill>
      </fill>
      <alignment horizontal="center" vertical="bottom" textRotation="0" wrapText="0" indent="0" justifyLastLine="0" shrinkToFit="0" readingOrder="0"/>
    </dxf>
    <dxf>
      <font>
        <strike val="0"/>
        <outline val="0"/>
        <shadow val="0"/>
        <vertAlign val="baseline"/>
        <sz val="10"/>
        <name val="Arial"/>
        <family val="2"/>
        <scheme val="none"/>
      </font>
      <numFmt numFmtId="0" formatCode="General"/>
      <fill>
        <patternFill patternType="solid">
          <fgColor indexed="64"/>
          <bgColor theme="6" tint="0.79998168889431442"/>
        </patternFill>
      </fill>
    </dxf>
    <dxf>
      <font>
        <strike val="0"/>
        <outline val="0"/>
        <shadow val="0"/>
        <vertAlign val="baseline"/>
        <sz val="10"/>
        <name val="Arial"/>
        <family val="2"/>
        <scheme val="none"/>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0"/>
        <name val="Arial"/>
        <family val="2"/>
        <scheme val="none"/>
      </font>
    </dxf>
    <dxf>
      <font>
        <b/>
        <strike val="0"/>
        <outline val="0"/>
        <shadow val="0"/>
        <u val="none"/>
        <vertAlign val="baseline"/>
        <sz val="10"/>
        <color theme="0"/>
        <name val="Arial"/>
        <family val="2"/>
        <scheme val="none"/>
      </font>
      <fill>
        <patternFill patternType="solid">
          <fgColor indexed="64"/>
          <bgColor rgb="FF50B47F"/>
        </patternFill>
      </fill>
      <alignment horizontal="center" vertical="bottom" textRotation="0" wrapText="0" indent="0" justifyLastLine="0" shrinkToFit="0" readingOrder="0"/>
    </dxf>
    <dxf>
      <font>
        <strike val="0"/>
        <outline val="0"/>
        <shadow val="0"/>
        <vertAlign val="baseline"/>
        <sz val="10"/>
        <name val="Arial"/>
        <family val="2"/>
        <scheme val="none"/>
      </font>
      <numFmt numFmtId="169" formatCode="mm/dd/yyyy"/>
    </dxf>
    <dxf>
      <font>
        <strike val="0"/>
        <outline val="0"/>
        <shadow val="0"/>
        <vertAlign val="baseline"/>
        <sz val="10"/>
        <name val="Arial"/>
        <family val="2"/>
        <scheme val="none"/>
      </font>
      <numFmt numFmtId="0" formatCode="General"/>
    </dxf>
    <dxf>
      <font>
        <strike val="0"/>
        <outline val="0"/>
        <shadow val="0"/>
        <vertAlign val="baseline"/>
        <sz val="10"/>
        <name val="Arial"/>
        <family val="2"/>
        <scheme val="none"/>
      </font>
      <numFmt numFmtId="170" formatCode="m/d/yyyy"/>
      <fill>
        <patternFill patternType="solid">
          <fgColor indexed="64"/>
          <bgColor theme="0" tint="-4.9989318521683403E-2"/>
        </patternFill>
      </fill>
      <alignment horizontal="center"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alignment horizontal="center" vertical="bottom" textRotation="0" wrapText="0" indent="0" justifyLastLine="0" shrinkToFit="0" readingOrder="0"/>
    </dxf>
    <dxf>
      <font>
        <strike val="0"/>
        <outline val="0"/>
        <shadow val="0"/>
        <vertAlign val="baseline"/>
        <sz val="10"/>
        <name val="Arial"/>
        <family val="2"/>
        <scheme val="none"/>
      </font>
      <numFmt numFmtId="170" formatCode="m/d/yyyy"/>
      <alignment horizontal="center" vertical="bottom" textRotation="0" wrapText="0" indent="0" justifyLastLine="0" shrinkToFit="0" readingOrder="0"/>
    </dxf>
    <dxf>
      <font>
        <strike val="0"/>
        <outline val="0"/>
        <shadow val="0"/>
        <vertAlign val="baseline"/>
        <sz val="10"/>
        <name val="Arial"/>
        <family val="2"/>
        <scheme val="none"/>
      </font>
    </dxf>
    <dxf>
      <font>
        <b/>
        <i val="0"/>
        <strike val="0"/>
        <outline val="0"/>
        <shadow val="0"/>
        <u val="none"/>
        <vertAlign val="baseline"/>
        <sz val="10"/>
        <color theme="0"/>
        <name val="Arial"/>
        <family val="2"/>
        <scheme val="none"/>
      </font>
      <fill>
        <patternFill patternType="solid">
          <fgColor indexed="64"/>
          <bgColor rgb="FF50B47F"/>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ont>
        <b/>
        <color theme="1"/>
      </font>
    </dxf>
    <dxf>
      <font>
        <b/>
        <color theme="1"/>
      </font>
    </dxf>
    <dxf>
      <font>
        <b/>
        <color theme="1"/>
      </font>
      <border>
        <top style="double">
          <color theme="9"/>
        </top>
      </border>
    </dxf>
    <dxf>
      <font>
        <b/>
        <color theme="0"/>
      </font>
      <fill>
        <patternFill patternType="solid">
          <fgColor theme="9"/>
          <bgColor theme="9" tint="-0.24994659260841701"/>
        </patternFill>
      </fill>
    </dxf>
    <dxf>
      <font>
        <color theme="1"/>
      </font>
      <border>
        <left style="thin">
          <color theme="9" tint="0.39997558519241921"/>
        </left>
        <right style="thin">
          <color theme="9" tint="0.39997558519241921"/>
        </right>
        <top style="thin">
          <color theme="9" tint="0.39997558519241921"/>
        </top>
        <bottom style="thin">
          <color theme="9" tint="0.39997558519241921"/>
        </bottom>
        <vertical style="thin">
          <color theme="9" tint="0.39994506668294322"/>
        </vertical>
        <horizontal style="thin">
          <color theme="9" tint="0.399975585192419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vertical style="thin">
          <color theme="4" tint="0.39994506668294322"/>
        </vertical>
        <horizontal style="thin">
          <color theme="4" tint="0.39997558519241921"/>
        </horizontal>
      </border>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b/>
        <i val="0"/>
        <color theme="0"/>
      </font>
      <fill>
        <patternFill>
          <bgColor theme="8"/>
        </patternFill>
      </fill>
      <border>
        <bottom style="medium">
          <color theme="8"/>
        </bottom>
      </border>
    </dxf>
    <dxf>
      <font>
        <color theme="1"/>
      </font>
      <border>
        <left style="thin">
          <color theme="8"/>
        </left>
        <right style="thin">
          <color theme="8"/>
        </right>
        <top style="thin">
          <color theme="8"/>
        </top>
        <bottom style="thin">
          <color theme="8"/>
        </bottom>
        <vertical style="thin">
          <color theme="8"/>
        </vertical>
        <horizontal style="thin">
          <color theme="8"/>
        </horizontal>
      </border>
    </dxf>
    <dxf>
      <border>
        <left style="thin">
          <color theme="8"/>
        </left>
      </border>
    </dxf>
    <dxf>
      <border>
        <left style="thin">
          <color theme="8"/>
        </left>
      </border>
    </dxf>
    <dxf>
      <border>
        <top style="thin">
          <color theme="8"/>
        </top>
      </border>
    </dxf>
    <dxf>
      <border>
        <top style="thin">
          <color theme="8"/>
        </top>
      </border>
    </dxf>
    <dxf>
      <font>
        <b/>
        <color theme="1"/>
      </font>
    </dxf>
    <dxf>
      <font>
        <b/>
        <color theme="1"/>
      </font>
    </dxf>
    <dxf>
      <font>
        <b/>
        <color theme="1"/>
      </font>
      <border>
        <top style="double">
          <color theme="8"/>
        </top>
      </border>
    </dxf>
    <dxf>
      <font>
        <b/>
        <color theme="0"/>
      </font>
      <fill>
        <patternFill patternType="solid">
          <fgColor theme="8"/>
          <bgColor theme="8"/>
        </patternFill>
      </fill>
    </dxf>
    <dxf>
      <font>
        <color theme="1"/>
      </font>
      <border>
        <left style="thin">
          <color theme="8"/>
        </left>
        <right style="thin">
          <color theme="8"/>
        </right>
        <top style="thin">
          <color theme="8"/>
        </top>
        <bottom style="thin">
          <color theme="8"/>
        </bottom>
        <vertical style="thin">
          <color theme="8"/>
        </vertical>
      </border>
    </dxf>
    <dxf>
      <fill>
        <patternFill>
          <bgColor theme="3" tint="0.5999633777886288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color auto="1"/>
      </font>
      <fill>
        <patternFill>
          <bgColor rgb="FF8FCFAD"/>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diagonalUp="0" diagonalDown="0">
        <left/>
        <right/>
        <top/>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font>
        <color rgb="FF50B47F"/>
      </font>
    </dxf>
  </dxfs>
  <tableStyles count="10" defaultTableStyle="Table Style 1" defaultPivotStyle="PivotStyleLight16">
    <tableStyle name="Invisible" pivot="0" table="0" count="0" xr9:uid="{C65ECA39-21C8-41D3-A64F-ECB1AD05AF0E}"/>
    <tableStyle name="PivotTable Style 1" table="0" count="1" xr9:uid="{1BE24727-787F-4947-AD1E-28A22F4C5375}">
      <tableStyleElement type="pageFieldLabels" dxfId="76"/>
    </tableStyle>
    <tableStyle name="Slicer Style 1" pivot="0" table="0" count="8" xr9:uid="{4E035451-7282-4BA8-A5BB-1F7DD6DDD4AE}">
      <tableStyleElement type="wholeTable" dxfId="75"/>
    </tableStyle>
    <tableStyle name="Slicer Style 1 2" pivot="0" table="0" count="8" xr9:uid="{14200BBC-DA72-4C56-B018-6E4D9E286A14}">
      <tableStyleElement type="wholeTable" dxfId="74"/>
    </tableStyle>
    <tableStyle name="Table Style 1" pivot="0" count="3" xr9:uid="{5AAE94EE-150C-4152-921F-DE85E220638E}">
      <tableStyleElement type="wholeTable" dxfId="73"/>
      <tableStyleElement type="headerRow" dxfId="72"/>
      <tableStyleElement type="firstRowStripe" dxfId="71"/>
    </tableStyle>
    <tableStyle name="Table Style 2" pivot="0" count="1" xr9:uid="{11647E38-90CD-4192-A57D-C8540A76FD7C}">
      <tableStyleElement type="secondRowStripe" dxfId="70"/>
    </tableStyle>
    <tableStyle name="TableStyleLight13 2" pivot="0" count="9" xr9:uid="{7E74FE09-7DF2-4621-914C-F0AAEA43D7F7}">
      <tableStyleElement type="wholeTable" dxfId="69"/>
      <tableStyleElement type="headerRow" dxfId="68"/>
      <tableStyleElement type="totalRow" dxfId="67"/>
      <tableStyleElement type="firstColumn" dxfId="66"/>
      <tableStyleElement type="lastColumn" dxfId="65"/>
      <tableStyleElement type="firstRowStripe" dxfId="64"/>
      <tableStyleElement type="secondRowStripe" dxfId="63"/>
      <tableStyleElement type="firstColumnStripe" dxfId="62"/>
      <tableStyleElement type="secondColumnStripe" dxfId="61"/>
    </tableStyle>
    <tableStyle name="TableStyleLight20 2" pivot="0" count="7" xr9:uid="{EB32E5AB-7E3C-4F62-83D3-45465957DF28}">
      <tableStyleElement type="wholeTable" dxfId="60"/>
      <tableStyleElement type="headerRow" dxfId="59"/>
      <tableStyleElement type="totalRow" dxfId="58"/>
      <tableStyleElement type="firstColumn" dxfId="57"/>
      <tableStyleElement type="lastColumn" dxfId="56"/>
      <tableStyleElement type="firstRowStripe" dxfId="55"/>
      <tableStyleElement type="firstColumnStripe" dxfId="54"/>
    </tableStyle>
    <tableStyle name="TableStyleMedium2 2" pivot="0" count="7" xr9:uid="{6C092B95-A62D-4DB6-A44A-786BF93E20DD}">
      <tableStyleElement type="wholeTable" dxfId="53"/>
      <tableStyleElement type="headerRow" dxfId="52"/>
      <tableStyleElement type="totalRow" dxfId="51"/>
      <tableStyleElement type="firstColumn" dxfId="50"/>
      <tableStyleElement type="lastColumn" dxfId="49"/>
      <tableStyleElement type="firstRowStripe" dxfId="48"/>
      <tableStyleElement type="firstColumnStripe" dxfId="47"/>
    </tableStyle>
    <tableStyle name="TableStyleMedium7 2" pivot="0" count="7" xr9:uid="{6F8806F5-6040-4B91-A46F-0E8D69DB2B40}">
      <tableStyleElement type="wholeTable" dxfId="46"/>
      <tableStyleElement type="headerRow" dxfId="45"/>
      <tableStyleElement type="totalRow" dxfId="44"/>
      <tableStyleElement type="firstColumn" dxfId="43"/>
      <tableStyleElement type="lastColumn" dxfId="42"/>
      <tableStyleElement type="firstRowStripe" dxfId="41"/>
      <tableStyleElement type="firstColumnStripe" dxfId="40"/>
    </tableStyle>
  </tableStyles>
  <colors>
    <mruColors>
      <color rgb="FF8FCFAD"/>
      <color rgb="FF50B47F"/>
      <color rgb="FFFFEFEF"/>
      <color rgb="FFFFD5D5"/>
      <color rgb="FFFFC5C5"/>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[Accounts Receivable.xlsm]Sheet2!PivotTable1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Open</a:t>
            </a:r>
            <a:r>
              <a:rPr lang="en-US" baseline="0"/>
              <a:t> balance per date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617619828953292E-3"/>
          <c:y val="0.13538661983798789"/>
          <c:w val="0.97627345475878369"/>
          <c:h val="0.49735757850412582"/>
        </c:manualLayout>
      </c:layout>
      <c:barChart>
        <c:barDir val="col"/>
        <c:grouping val="clustered"/>
        <c:varyColors val="0"/>
        <c:ser>
          <c:idx val="0"/>
          <c:order val="0"/>
          <c:tx>
            <c:strRef>
              <c:f>Sheet2!$B$3</c:f>
              <c:strCache>
                <c:ptCount val="1"/>
                <c:pt idx="0">
                  <c:v>Total</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Sheet2!$A$4:$A$15</c:f>
              <c:strCache>
                <c:ptCount val="11"/>
                <c:pt idx="0">
                  <c:v>17-03-2020</c:v>
                </c:pt>
                <c:pt idx="1">
                  <c:v>19-04-2020</c:v>
                </c:pt>
                <c:pt idx="2">
                  <c:v>06-06-2020</c:v>
                </c:pt>
                <c:pt idx="3">
                  <c:v>22-07-2020</c:v>
                </c:pt>
                <c:pt idx="4">
                  <c:v>03-08-2020</c:v>
                </c:pt>
                <c:pt idx="5">
                  <c:v>04-08-2020</c:v>
                </c:pt>
                <c:pt idx="6">
                  <c:v>07-08-2020</c:v>
                </c:pt>
                <c:pt idx="7">
                  <c:v>08-08-2020</c:v>
                </c:pt>
                <c:pt idx="8">
                  <c:v>10-08-2020</c:v>
                </c:pt>
                <c:pt idx="9">
                  <c:v>27-08-2020</c:v>
                </c:pt>
                <c:pt idx="10">
                  <c:v>28-09-2020</c:v>
                </c:pt>
              </c:strCache>
            </c:strRef>
          </c:cat>
          <c:val>
            <c:numRef>
              <c:f>Sheet2!$B$4:$B$15</c:f>
              <c:numCache>
                <c:formatCode>"$"#,##0</c:formatCode>
                <c:ptCount val="11"/>
                <c:pt idx="0">
                  <c:v>0.30000000000001137</c:v>
                </c:pt>
                <c:pt idx="1">
                  <c:v>0</c:v>
                </c:pt>
                <c:pt idx="2">
                  <c:v>250</c:v>
                </c:pt>
                <c:pt idx="3">
                  <c:v>0</c:v>
                </c:pt>
                <c:pt idx="4">
                  <c:v>203</c:v>
                </c:pt>
                <c:pt idx="5">
                  <c:v>438.4</c:v>
                </c:pt>
                <c:pt idx="6">
                  <c:v>200</c:v>
                </c:pt>
                <c:pt idx="7">
                  <c:v>48.3</c:v>
                </c:pt>
                <c:pt idx="8">
                  <c:v>33.9</c:v>
                </c:pt>
                <c:pt idx="9">
                  <c:v>155</c:v>
                </c:pt>
                <c:pt idx="10">
                  <c:v>99</c:v>
                </c:pt>
              </c:numCache>
            </c:numRef>
          </c:val>
          <c:extLst>
            <c:ext xmlns:c16="http://schemas.microsoft.com/office/drawing/2014/chart" uri="{C3380CC4-5D6E-409C-BE32-E72D297353CC}">
              <c16:uniqueId val="{00000000-B1E9-45CA-B08C-A89849A017A8}"/>
            </c:ext>
          </c:extLst>
        </c:ser>
        <c:dLbls>
          <c:showLegendKey val="0"/>
          <c:showVal val="0"/>
          <c:showCatName val="0"/>
          <c:showSerName val="0"/>
          <c:showPercent val="0"/>
          <c:showBubbleSize val="0"/>
        </c:dLbls>
        <c:gapWidth val="182"/>
        <c:axId val="626864752"/>
        <c:axId val="626865168"/>
      </c:barChart>
      <c:catAx>
        <c:axId val="626864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865168"/>
        <c:crosses val="autoZero"/>
        <c:auto val="1"/>
        <c:lblAlgn val="ctr"/>
        <c:lblOffset val="100"/>
        <c:noMultiLvlLbl val="0"/>
      </c:catAx>
      <c:valAx>
        <c:axId val="626865168"/>
        <c:scaling>
          <c:orientation val="minMax"/>
        </c:scaling>
        <c:delete val="1"/>
        <c:axPos val="l"/>
        <c:numFmt formatCode="&quot;$&quot;#,##0" sourceLinked="1"/>
        <c:majorTickMark val="none"/>
        <c:minorTickMark val="none"/>
        <c:tickLblPos val="nextTo"/>
        <c:crossAx val="626864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47624</xdr:colOff>
      <xdr:row>32</xdr:row>
      <xdr:rowOff>19050</xdr:rowOff>
    </xdr:from>
    <xdr:to>
      <xdr:col>10</xdr:col>
      <xdr:colOff>257175</xdr:colOff>
      <xdr:row>36</xdr:row>
      <xdr:rowOff>38100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4467224" y="8429625"/>
          <a:ext cx="7353301" cy="666750"/>
          <a:chOff x="4257674" y="8324850"/>
          <a:chExt cx="7353301" cy="666750"/>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000-000005000000}"/>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66674</xdr:colOff>
      <xdr:row>40</xdr:row>
      <xdr:rowOff>95250</xdr:rowOff>
    </xdr:from>
    <xdr:to>
      <xdr:col>10</xdr:col>
      <xdr:colOff>276225</xdr:colOff>
      <xdr:row>44</xdr:row>
      <xdr:rowOff>114300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4486274" y="9801225"/>
          <a:ext cx="7353301" cy="666750"/>
          <a:chOff x="4276724" y="9696450"/>
          <a:chExt cx="7353301" cy="666750"/>
        </a:xfrm>
      </xdr:grpSpPr>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8" name="Rectangle 7">
            <a:extLst>
              <a:ext uri="{FF2B5EF4-FFF2-40B4-BE49-F238E27FC236}">
                <a16:creationId xmlns:a16="http://schemas.microsoft.com/office/drawing/2014/main" id="{00000000-0008-0000-0000-000008000000}"/>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85725</xdr:colOff>
      <xdr:row>46</xdr:row>
      <xdr:rowOff>47625</xdr:rowOff>
    </xdr:from>
    <xdr:to>
      <xdr:col>10</xdr:col>
      <xdr:colOff>276225</xdr:colOff>
      <xdr:row>50</xdr:row>
      <xdr:rowOff>133350</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505325" y="10725150"/>
          <a:ext cx="7334250" cy="733425"/>
          <a:chOff x="4295775" y="10620375"/>
          <a:chExt cx="7334250" cy="733425"/>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1" name="Rectangle 10">
            <a:extLst>
              <a:ext uri="{FF2B5EF4-FFF2-40B4-BE49-F238E27FC236}">
                <a16:creationId xmlns:a16="http://schemas.microsoft.com/office/drawing/2014/main" id="{00000000-0008-0000-0000-00000B000000}"/>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47624</xdr:colOff>
      <xdr:row>32</xdr:row>
      <xdr:rowOff>19050</xdr:rowOff>
    </xdr:from>
    <xdr:to>
      <xdr:col>10</xdr:col>
      <xdr:colOff>257175</xdr:colOff>
      <xdr:row>36</xdr:row>
      <xdr:rowOff>38100</xdr:rowOff>
    </xdr:to>
    <xdr:grpSp>
      <xdr:nvGrpSpPr>
        <xdr:cNvPr id="12" name="Group 11">
          <a:extLst>
            <a:ext uri="{FF2B5EF4-FFF2-40B4-BE49-F238E27FC236}">
              <a16:creationId xmlns:a16="http://schemas.microsoft.com/office/drawing/2014/main" id="{6671C5FE-9BED-4FD4-955C-550E0BC69349}"/>
            </a:ext>
          </a:extLst>
        </xdr:cNvPr>
        <xdr:cNvGrpSpPr/>
      </xdr:nvGrpSpPr>
      <xdr:grpSpPr>
        <a:xfrm>
          <a:off x="4467224" y="8429625"/>
          <a:ext cx="7353301" cy="666750"/>
          <a:chOff x="4257674" y="8324850"/>
          <a:chExt cx="7353301" cy="666750"/>
        </a:xfrm>
      </xdr:grpSpPr>
      <xdr:pic>
        <xdr:nvPicPr>
          <xdr:cNvPr id="13" name="Picture 12">
            <a:extLst>
              <a:ext uri="{FF2B5EF4-FFF2-40B4-BE49-F238E27FC236}">
                <a16:creationId xmlns:a16="http://schemas.microsoft.com/office/drawing/2014/main" id="{21A5C12B-562E-45EF-BFE3-50EC9801BD5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4" name="Rectangle 13">
            <a:extLst>
              <a:ext uri="{FF2B5EF4-FFF2-40B4-BE49-F238E27FC236}">
                <a16:creationId xmlns:a16="http://schemas.microsoft.com/office/drawing/2014/main" id="{4511B2F5-CD38-4D88-9268-9D8F6E2BD508}"/>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4949CD9C-0447-48C9-A8C3-851BE43E3741}"/>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66674</xdr:colOff>
      <xdr:row>40</xdr:row>
      <xdr:rowOff>95250</xdr:rowOff>
    </xdr:from>
    <xdr:to>
      <xdr:col>10</xdr:col>
      <xdr:colOff>276225</xdr:colOff>
      <xdr:row>44</xdr:row>
      <xdr:rowOff>114300</xdr:rowOff>
    </xdr:to>
    <xdr:grpSp>
      <xdr:nvGrpSpPr>
        <xdr:cNvPr id="16" name="Group 15">
          <a:extLst>
            <a:ext uri="{FF2B5EF4-FFF2-40B4-BE49-F238E27FC236}">
              <a16:creationId xmlns:a16="http://schemas.microsoft.com/office/drawing/2014/main" id="{E2D0CC39-0EFB-49EA-A570-450583F945AC}"/>
            </a:ext>
          </a:extLst>
        </xdr:cNvPr>
        <xdr:cNvGrpSpPr/>
      </xdr:nvGrpSpPr>
      <xdr:grpSpPr>
        <a:xfrm>
          <a:off x="4486274" y="9801225"/>
          <a:ext cx="7353301" cy="666750"/>
          <a:chOff x="4276724" y="9696450"/>
          <a:chExt cx="7353301" cy="666750"/>
        </a:xfrm>
      </xdr:grpSpPr>
      <xdr:pic>
        <xdr:nvPicPr>
          <xdr:cNvPr id="17" name="Picture 16">
            <a:extLst>
              <a:ext uri="{FF2B5EF4-FFF2-40B4-BE49-F238E27FC236}">
                <a16:creationId xmlns:a16="http://schemas.microsoft.com/office/drawing/2014/main" id="{C8245EF9-CBC4-4F55-B745-4CC4875EFD2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8" name="Rectangle 17">
            <a:extLst>
              <a:ext uri="{FF2B5EF4-FFF2-40B4-BE49-F238E27FC236}">
                <a16:creationId xmlns:a16="http://schemas.microsoft.com/office/drawing/2014/main" id="{2A52EE0C-5B1C-4719-95A4-F1F8F98D3CE4}"/>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85725</xdr:colOff>
      <xdr:row>46</xdr:row>
      <xdr:rowOff>47625</xdr:rowOff>
    </xdr:from>
    <xdr:to>
      <xdr:col>10</xdr:col>
      <xdr:colOff>276225</xdr:colOff>
      <xdr:row>50</xdr:row>
      <xdr:rowOff>133350</xdr:rowOff>
    </xdr:to>
    <xdr:grpSp>
      <xdr:nvGrpSpPr>
        <xdr:cNvPr id="19" name="Group 18">
          <a:extLst>
            <a:ext uri="{FF2B5EF4-FFF2-40B4-BE49-F238E27FC236}">
              <a16:creationId xmlns:a16="http://schemas.microsoft.com/office/drawing/2014/main" id="{D3DD7D3D-C1DE-43BE-9B88-CD9BB05F4CFD}"/>
            </a:ext>
          </a:extLst>
        </xdr:cNvPr>
        <xdr:cNvGrpSpPr/>
      </xdr:nvGrpSpPr>
      <xdr:grpSpPr>
        <a:xfrm>
          <a:off x="4505325" y="10725150"/>
          <a:ext cx="7334250" cy="733425"/>
          <a:chOff x="4295775" y="10620375"/>
          <a:chExt cx="7334250" cy="733425"/>
        </a:xfrm>
      </xdr:grpSpPr>
      <xdr:pic>
        <xdr:nvPicPr>
          <xdr:cNvPr id="20" name="Picture 19">
            <a:extLst>
              <a:ext uri="{FF2B5EF4-FFF2-40B4-BE49-F238E27FC236}">
                <a16:creationId xmlns:a16="http://schemas.microsoft.com/office/drawing/2014/main" id="{292FFF0C-0A07-4D96-A917-151CF8FB392A}"/>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21" name="Rectangle 20">
            <a:extLst>
              <a:ext uri="{FF2B5EF4-FFF2-40B4-BE49-F238E27FC236}">
                <a16:creationId xmlns:a16="http://schemas.microsoft.com/office/drawing/2014/main" id="{21427777-BEDB-4A63-8EB3-6FE2E70B942E}"/>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219075</xdr:colOff>
      <xdr:row>6</xdr:row>
      <xdr:rowOff>28576</xdr:rowOff>
    </xdr:from>
    <xdr:to>
      <xdr:col>13</xdr:col>
      <xdr:colOff>1028700</xdr:colOff>
      <xdr:row>19</xdr:row>
      <xdr:rowOff>76201</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38099</xdr:colOff>
      <xdr:row>1</xdr:row>
      <xdr:rowOff>19049</xdr:rowOff>
    </xdr:from>
    <xdr:to>
      <xdr:col>13</xdr:col>
      <xdr:colOff>1009650</xdr:colOff>
      <xdr:row>6</xdr:row>
      <xdr:rowOff>59054</xdr:rowOff>
    </xdr:to>
    <mc:AlternateContent xmlns:mc="http://schemas.openxmlformats.org/markup-compatibility/2006" xmlns:a14="http://schemas.microsoft.com/office/drawing/2010/main">
      <mc:Choice Requires="a14">
        <xdr:graphicFrame macro="">
          <xdr:nvGraphicFramePr>
            <xdr:cNvPr id="3" name="Custome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4733924" y="228599"/>
              <a:ext cx="8343901" cy="885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7</xdr:col>
          <xdr:colOff>847725</xdr:colOff>
          <xdr:row>1</xdr:row>
          <xdr:rowOff>57150</xdr:rowOff>
        </xdr:from>
        <xdr:to>
          <xdr:col>8</xdr:col>
          <xdr:colOff>561975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28575</xdr:rowOff>
        </xdr:from>
        <xdr:to>
          <xdr:col>1</xdr:col>
          <xdr:colOff>1038225</xdr:colOff>
          <xdr:row>1</xdr:row>
          <xdr:rowOff>190500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03.834793865739" createdVersion="6" refreshedVersion="6" minRefreshableVersion="3" recordCount="403" xr:uid="{51DD7821-1E39-46F6-8FE3-B10CBB7C5440}">
  <cacheSource type="worksheet">
    <worksheetSource name="open"/>
  </cacheSource>
  <cacheFields count="5">
    <cacheField name="Invoice#" numFmtId="0">
      <sharedItems containsMixedTypes="1" containsNumber="1" containsInteger="1" minValue="10001" maxValue="10012"/>
    </cacheField>
    <cacheField name="Customer" numFmtId="0">
      <sharedItems count="8">
        <s v="ABC Company"/>
        <s v="XYZ Inc"/>
        <s v="Sunnydale Industries"/>
        <s v="Cat Co"/>
        <s v="Corner Place"/>
        <s v=""/>
        <s v="kareem" u="1"/>
        <s v="Example Customer" u="1"/>
      </sharedItems>
    </cacheField>
    <cacheField name="Due Date" numFmtId="14">
      <sharedItems containsDate="1" containsMixedTypes="1" minDate="2020-03-11T00:00:00" maxDate="2020-10-01T00:00:00" count="14">
        <d v="2020-06-06T00:00:00"/>
        <d v="2020-07-22T00:00:00"/>
        <d v="2020-03-17T00:00:00"/>
        <d v="2020-04-19T00:00:00"/>
        <d v="2020-08-03T00:00:00"/>
        <d v="2020-08-04T00:00:00"/>
        <d v="2020-08-08T00:00:00"/>
        <d v="2020-08-10T00:00:00"/>
        <d v="2020-08-27T00:00:00"/>
        <d v="2020-09-28T00:00:00"/>
        <d v="2020-08-07T00:00:00"/>
        <s v=""/>
        <d v="2020-09-30T00:00:00" u="1"/>
        <d v="2020-03-11T00:00:00" u="1"/>
      </sharedItems>
    </cacheField>
    <cacheField name="Amount Due" numFmtId="166">
      <sharedItems containsMixedTypes="1" containsNumber="1" minValue="33.9" maxValue="450.3"/>
    </cacheField>
    <cacheField name="Open Balance" numFmtId="2">
      <sharedItems containsMixedTypes="1" containsNumber="1" minValue="0" maxValue="380"/>
    </cacheField>
  </cacheFields>
  <extLst>
    <ext xmlns:x14="http://schemas.microsoft.com/office/spreadsheetml/2009/9/main" uri="{725AE2AE-9491-48be-B2B4-4EB974FC3084}">
      <x14:pivotCacheDefinition pivotCacheId="100201795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03.834794097223" createdVersion="6" refreshedVersion="6" minRefreshableVersion="3" recordCount="497" xr:uid="{A3DCFE56-3D4F-43A8-851F-C1F5A9461AEE}">
  <cacheSource type="worksheet">
    <worksheetSource name="invoices"/>
  </cacheSource>
  <cacheFields count="9">
    <cacheField name="Invoice Date" numFmtId="14">
      <sharedItems containsNonDate="0" containsDate="1" containsString="0" containsBlank="1" minDate="2020-03-03T00:00:00" maxDate="2020-08-01T00:00:00"/>
    </cacheField>
    <cacheField name="Invoice #" numFmtId="0">
      <sharedItems containsString="0" containsBlank="1" containsNumber="1" containsInteger="1" minValue="10001" maxValue="10012"/>
    </cacheField>
    <cacheField name="Customer" numFmtId="0">
      <sharedItems containsBlank="1" count="7">
        <s v="ABC Company"/>
        <s v="XYZ Inc"/>
        <s v="Sunnydale Industries"/>
        <s v="Cat Co"/>
        <s v="Corner Place"/>
        <m/>
        <s v="kareem" u="1"/>
      </sharedItems>
    </cacheField>
    <cacheField name="Terms (days)" numFmtId="0">
      <sharedItems containsString="0" containsBlank="1" containsNumber="1" containsInteger="1" minValue="7" maxValue="60"/>
    </cacheField>
    <cacheField name="Notes/Description" numFmtId="0">
      <sharedItems containsBlank="1"/>
    </cacheField>
    <cacheField name="Amount due" numFmtId="164">
      <sharedItems containsString="0" containsBlank="1" containsNumber="1" minValue="33.9" maxValue="450.3"/>
    </cacheField>
    <cacheField name="Due Date" numFmtId="14">
      <sharedItems containsDate="1" containsMixedTypes="1" minDate="2020-03-17T00:00:00" maxDate="2020-09-29T00:00:00"/>
    </cacheField>
    <cacheField name="Days" numFmtId="0">
      <sharedItems containsMixedTypes="1" containsNumber="1" containsInteger="1" minValue="7" maxValue="60"/>
    </cacheField>
    <cacheField name="Level" numFmtId="1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3">
  <r>
    <n v="10001"/>
    <x v="0"/>
    <x v="0"/>
    <n v="300"/>
    <n v="250"/>
  </r>
  <r>
    <n v="10002"/>
    <x v="1"/>
    <x v="1"/>
    <n v="52.5"/>
    <n v="0"/>
  </r>
  <r>
    <n v="10003"/>
    <x v="2"/>
    <x v="2"/>
    <n v="450.3"/>
    <n v="0.30000000000001137"/>
  </r>
  <r>
    <n v="10004"/>
    <x v="3"/>
    <x v="3"/>
    <n v="90"/>
    <n v="0"/>
  </r>
  <r>
    <n v="10005"/>
    <x v="4"/>
    <x v="4"/>
    <n v="203"/>
    <n v="203"/>
  </r>
  <r>
    <n v="10006"/>
    <x v="4"/>
    <x v="5"/>
    <n v="380"/>
    <n v="380"/>
  </r>
  <r>
    <n v="10007"/>
    <x v="3"/>
    <x v="5"/>
    <n v="108.4"/>
    <n v="58.400000000000006"/>
  </r>
  <r>
    <n v="10008"/>
    <x v="2"/>
    <x v="6"/>
    <n v="48.3"/>
    <n v="48.3"/>
  </r>
  <r>
    <n v="10009"/>
    <x v="1"/>
    <x v="7"/>
    <n v="33.9"/>
    <n v="33.9"/>
  </r>
  <r>
    <n v="10010"/>
    <x v="1"/>
    <x v="8"/>
    <n v="155"/>
    <n v="155"/>
  </r>
  <r>
    <n v="10011"/>
    <x v="0"/>
    <x v="9"/>
    <n v="99"/>
    <n v="99"/>
  </r>
  <r>
    <n v="10012"/>
    <x v="4"/>
    <x v="10"/>
    <n v="200"/>
    <n v="200"/>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r>
    <s v=""/>
    <x v="5"/>
    <x v="11"/>
    <s v=""/>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7">
  <r>
    <d v="2020-04-07T00:00:00"/>
    <n v="10001"/>
    <x v="0"/>
    <n v="60"/>
    <s v="Special terms agreement"/>
    <n v="300"/>
    <d v="2020-06-06T00:00:00"/>
    <n v="60"/>
    <s v="C"/>
  </r>
  <r>
    <d v="2020-07-08T00:00:00"/>
    <n v="10002"/>
    <x v="1"/>
    <m/>
    <m/>
    <n v="52.5"/>
    <d v="2020-07-22T00:00:00"/>
    <n v="14"/>
    <s v="A"/>
  </r>
  <r>
    <d v="2020-03-03T00:00:00"/>
    <n v="10003"/>
    <x v="2"/>
    <m/>
    <m/>
    <n v="450.3"/>
    <d v="2020-03-17T00:00:00"/>
    <n v="14"/>
    <s v="A"/>
  </r>
  <r>
    <d v="2020-04-05T00:00:00"/>
    <n v="10004"/>
    <x v="3"/>
    <m/>
    <m/>
    <n v="90"/>
    <d v="2020-04-19T00:00:00"/>
    <n v="14"/>
    <s v="A"/>
  </r>
  <r>
    <d v="2020-07-20T00:00:00"/>
    <n v="10005"/>
    <x v="4"/>
    <m/>
    <s v="Delivery"/>
    <n v="203"/>
    <d v="2020-08-03T00:00:00"/>
    <n v="14"/>
    <s v="A"/>
  </r>
  <r>
    <d v="2020-07-21T00:00:00"/>
    <n v="10006"/>
    <x v="4"/>
    <m/>
    <m/>
    <n v="380"/>
    <d v="2020-08-04T00:00:00"/>
    <n v="14"/>
    <s v="A"/>
  </r>
  <r>
    <d v="2020-07-21T00:00:00"/>
    <n v="10007"/>
    <x v="3"/>
    <m/>
    <m/>
    <n v="108.4"/>
    <d v="2020-08-04T00:00:00"/>
    <n v="14"/>
    <s v="A"/>
  </r>
  <r>
    <d v="2020-07-25T00:00:00"/>
    <n v="10008"/>
    <x v="2"/>
    <m/>
    <m/>
    <n v="48.3"/>
    <d v="2020-08-08T00:00:00"/>
    <n v="14"/>
    <s v="A"/>
  </r>
  <r>
    <d v="2020-07-27T00:00:00"/>
    <n v="10009"/>
    <x v="1"/>
    <m/>
    <m/>
    <n v="33.9"/>
    <d v="2020-08-10T00:00:00"/>
    <n v="14"/>
    <s v="A"/>
  </r>
  <r>
    <d v="2020-07-28T00:00:00"/>
    <n v="10010"/>
    <x v="1"/>
    <n v="30"/>
    <s v="One time extension"/>
    <n v="155"/>
    <d v="2020-08-27T00:00:00"/>
    <n v="30"/>
    <s v="A"/>
  </r>
  <r>
    <d v="2020-07-30T00:00:00"/>
    <n v="10011"/>
    <x v="0"/>
    <n v="60"/>
    <s v="Special terms agreement"/>
    <n v="99"/>
    <d v="2020-09-28T00:00:00"/>
    <n v="60"/>
    <s v="C"/>
  </r>
  <r>
    <d v="2020-07-31T00:00:00"/>
    <n v="10012"/>
    <x v="4"/>
    <n v="7"/>
    <s v="Rush"/>
    <n v="200"/>
    <d v="2020-08-07T00:00:00"/>
    <n v="7"/>
    <s v="A"/>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r>
    <m/>
    <m/>
    <x v="5"/>
    <m/>
    <m/>
    <m/>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479686-85C8-4527-BFF5-A36A4929E5AD}"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5" firstHeaderRow="1" firstDataRow="1" firstDataCol="1"/>
  <pivotFields count="5">
    <pivotField showAll="0"/>
    <pivotField showAll="0">
      <items count="9">
        <item x="5"/>
        <item x="0"/>
        <item x="3"/>
        <item x="4"/>
        <item m="1" x="7"/>
        <item m="1" x="6"/>
        <item x="2"/>
        <item x="1"/>
        <item t="default"/>
      </items>
    </pivotField>
    <pivotField axis="axisRow" showAll="0" sortType="ascending">
      <items count="15">
        <item h="1" x="11"/>
        <item m="1" x="13"/>
        <item x="2"/>
        <item x="3"/>
        <item x="0"/>
        <item x="1"/>
        <item x="4"/>
        <item x="5"/>
        <item x="10"/>
        <item x="6"/>
        <item x="7"/>
        <item x="8"/>
        <item x="9"/>
        <item m="1" x="12"/>
        <item t="default"/>
      </items>
    </pivotField>
    <pivotField showAll="0"/>
    <pivotField dataField="1" showAll="0"/>
  </pivotFields>
  <rowFields count="1">
    <field x="2"/>
  </rowFields>
  <rowItems count="12">
    <i>
      <x v="2"/>
    </i>
    <i>
      <x v="3"/>
    </i>
    <i>
      <x v="4"/>
    </i>
    <i>
      <x v="5"/>
    </i>
    <i>
      <x v="6"/>
    </i>
    <i>
      <x v="7"/>
    </i>
    <i>
      <x v="8"/>
    </i>
    <i>
      <x v="9"/>
    </i>
    <i>
      <x v="10"/>
    </i>
    <i>
      <x v="11"/>
    </i>
    <i>
      <x v="12"/>
    </i>
    <i t="grand">
      <x/>
    </i>
  </rowItems>
  <colItems count="1">
    <i/>
  </colItems>
  <dataFields count="1">
    <dataField name="Sum of Open Balance" fld="4" baseField="0" baseItem="0" numFmtId="168"/>
  </dataFields>
  <formats count="1">
    <format dxfId="19">
      <pivotArea outline="0" collapsedLevelsAreSubtotals="1" fieldPosition="0">
        <references count="1">
          <reference field="4294967294" count="1" selected="0">
            <x v="0"/>
          </reference>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FA6B0D-4E99-4B20-A040-47730FED2B3C}" name="PivotTable1" cacheId="1"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B6:B12" firstHeaderRow="1" firstDataRow="1" firstDataCol="1"/>
  <pivotFields count="9">
    <pivotField showAll="0"/>
    <pivotField showAll="0"/>
    <pivotField axis="axisRow" showAll="0">
      <items count="8">
        <item x="0"/>
        <item x="3"/>
        <item x="4"/>
        <item x="2"/>
        <item x="1"/>
        <item x="5"/>
        <item m="1" x="6"/>
        <item t="default"/>
      </items>
    </pivotField>
    <pivotField showAll="0"/>
    <pivotField showAll="0"/>
    <pivotField showAll="0"/>
    <pivotField showAll="0"/>
    <pivotField showAll="0"/>
    <pivotField showAll="0"/>
  </pivotFields>
  <rowFields count="1">
    <field x="2"/>
  </rowFields>
  <rowItems count="6">
    <i>
      <x/>
    </i>
    <i>
      <x v="1"/>
    </i>
    <i>
      <x v="2"/>
    </i>
    <i>
      <x v="3"/>
    </i>
    <i>
      <x v="4"/>
    </i>
    <i>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04547FEB-26C1-471C-9CF3-A911E6511FCE}" sourceName="Customer">
  <pivotTables>
    <pivotTable tabId="10" name="PivotTable1"/>
  </pivotTables>
  <data>
    <tabular pivotCacheId="1002017955">
      <items count="8">
        <i x="0" s="1"/>
        <i x="3" s="1"/>
        <i x="4" s="1"/>
        <i x="2" s="1"/>
        <i x="1" s="1"/>
        <i x="5" s="1" nd="1"/>
        <i x="7" s="1" nd="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xr10:uid="{1E213F95-F37C-4F7A-9390-879D320EB483}" cache="Slicer_Customer" caption="Customer" columnCount="5" style="Slicer Style 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780365-2396-4C07-A73C-E2EC7F5F1132}" name="Invoices" displayName="Invoices" ref="B3:J500" totalsRowShown="0" headerRowDxfId="39" dataDxfId="38">
  <autoFilter ref="B3:J500" xr:uid="{8671D542-3BF2-428B-B565-F52854719FD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2C1C07D2-28B4-472C-9C6B-2F4FAD133560}" name="Invoice Date" dataDxfId="37"/>
    <tableColumn id="2" xr3:uid="{22C57117-6A08-47E0-A4C8-37F04DD072F9}" name="Invoice #" dataDxfId="36"/>
    <tableColumn id="3" xr3:uid="{CD43DB04-51C2-4B5D-A435-843F30D0333C}" name="Customer" dataDxfId="35"/>
    <tableColumn id="8" xr3:uid="{4125D477-A84C-4873-BCFA-1D41BC8B7850}" name="Terms (days)" dataDxfId="34"/>
    <tableColumn id="5" xr3:uid="{1496C79B-BC82-41E3-A16B-F49BE942B766}" name="Notes/Description" dataDxfId="33"/>
    <tableColumn id="7" xr3:uid="{55EC5A96-69A7-42E5-A24D-89994CFC9E20}" name="Amount due" dataDxfId="32" dataCellStyle="Currency"/>
    <tableColumn id="6" xr3:uid="{95045E52-E457-4354-9425-C8926895106A}" name="Due Date" dataDxfId="31" dataCellStyle="Currency">
      <calculatedColumnFormula>IF(Invoices[[#This Row],[Invoice Date]]="","",IF(Invoices[[#This Row],[Terms (days)]]="",Invoices[[#This Row],[Invoice Date]]+Lists!$D$4,Invoices[[#This Row],[Invoice Date]]+Invoices[[#This Row],[Terms (days)]]))</calculatedColumnFormula>
    </tableColumn>
    <tableColumn id="4" xr3:uid="{2D96D8AF-0098-4B2F-AD3A-C1A96749238C}" name="Days" dataDxfId="30">
      <calculatedColumnFormula>IFERROR(Invoices[[#This Row],[Due Date]]-Invoices[[#This Row],[Invoice Date]],"")</calculatedColumnFormula>
    </tableColumn>
    <tableColumn id="9" xr3:uid="{08D454DA-370F-4453-90E5-4EBEC3B37029}" name="Level" dataDxfId="29">
      <calculatedColumnFormula>IFERROR(IF(Invoices[[#This Row],[Days]]="","",IF(Invoices[[#This Row],[Days]]&lt;31,"A",IF(Invoices[[#This Row],[Days]]&lt;31,"B",IF(Invoices[[#This Row],[Days]]&lt;91,"C","D")))),"")</calculatedColumnFormula>
    </tableColumn>
  </tableColumns>
  <tableStyleInfo name="Table Style 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120F46-D085-4C93-AAEA-5DAA0A478DA1}" name="Payments" displayName="Payments" ref="B3:H500" totalsRowShown="0" headerRowDxfId="28" dataDxfId="27">
  <autoFilter ref="B3:H500" xr:uid="{7FC61297-2960-4C54-801E-F0E1560A991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A8E5EE0-89E0-458B-A8CD-289C9561FA55}" name="Invoice #" dataDxfId="26"/>
    <tableColumn id="2" xr3:uid="{04BE5DF5-7B46-444A-A815-442AB7B0BA4A}" name="Customer" dataDxfId="25">
      <calculatedColumnFormula>IFERROR(IF(Payments[[#This Row],[Invoice '#]]="","",INDEX(Invoices[Customer],MATCH(Payments[[#This Row],[Invoice '#]],Invoices[Invoice '#],0))),"")</calculatedColumnFormula>
    </tableColumn>
    <tableColumn id="3" xr3:uid="{D694D9F0-EDA9-4D1A-B6AF-996C394490AA}" name="Due Date" dataDxfId="24">
      <calculatedColumnFormula>IFERROR(IF(Payments[[#This Row],[Invoice '#]]="","",INDEX(Invoices[Due Date],MATCH(Payments[[#This Row],[Invoice '#]],Invoices[Invoice '#],0))),"")</calculatedColumnFormula>
    </tableColumn>
    <tableColumn id="8" xr3:uid="{C895BA74-2FDF-4259-8607-86E8B851861F}" name="Amount Due" dataDxfId="23" dataCellStyle="Currency">
      <calculatedColumnFormula>IFERROR(IF(Payments[[#This Row],[Invoice '#]]="","",INDEX(Invoices[Amount due],MATCH(Payments[[#This Row],[Invoice '#]],Invoices[Invoice '#],0))-IF(E3=Payments[[#Headers],[Amount Due]],0,SUMIF(INDIRECT("B4:B"&amp;ROW()-1),Payments[[#This Row],[Invoice '#]],Payments[Amount Paid]))),"")</calculatedColumnFormula>
    </tableColumn>
    <tableColumn id="5" xr3:uid="{751060E1-1A66-4AA0-B2B9-813B95B16475}" name="Amount Paid" dataDxfId="22" dataCellStyle="Currency"/>
    <tableColumn id="4" xr3:uid="{6965C006-E693-4B82-A048-7077A10CFCE6}" name="Payment Date" dataDxfId="21" dataCellStyle="Currency"/>
    <tableColumn id="6" xr3:uid="{5CCFA32A-21CC-4AB7-ACE5-2625C386D6FC}" name="Balance" dataDxfId="20" dataCellStyle="Currency">
      <calculatedColumnFormula>IFERROR(IF(Payments[[#This Row],[Amount Due]]="","",IF(Payments[[#This Row],[Amount Due]]=0,0,Payments[[#This Row],[Amount Due]]-Payments[[#This Row],[Amount Paid]])),"")</calculatedColumnFormula>
    </tableColumn>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A1083D9-4887-4329-A764-90AB970CB682}" name="open" displayName="open" ref="B3:F406" totalsRowShown="0" headerRowDxfId="17" dataDxfId="16">
  <autoFilter ref="B3:F406" xr:uid="{4C03EB80-89F3-42B0-8706-6E6D442A6EB9}"/>
  <tableColumns count="5">
    <tableColumn id="1" xr3:uid="{706EA16C-769F-48AD-968A-7558773D856A}" name="Invoice#" dataDxfId="15">
      <calculatedColumnFormula>IF(Invoices[[#This Row],[Invoice '#]]="","",Invoices[[#This Row],[Invoice '#]])</calculatedColumnFormula>
    </tableColumn>
    <tableColumn id="2" xr3:uid="{1E693285-E6B8-4873-8AE1-4CA374E64576}" name="Customer" dataDxfId="14">
      <calculatedColumnFormula>IFERROR(VLOOKUP(open[[#This Row],[Invoice'#]],'Enter Invoices'!C:H,2,0),"")</calculatedColumnFormula>
    </tableColumn>
    <tableColumn id="3" xr3:uid="{5BE7B773-49D2-48B3-9823-DA2CBF4E3B0F}" name="Due Date" dataDxfId="13">
      <calculatedColumnFormula>IFERROR(VLOOKUP(open[[#This Row],[Invoice'#]],'Enter Invoices'!C:H,6,0),"")</calculatedColumnFormula>
    </tableColumn>
    <tableColumn id="4" xr3:uid="{5C520D50-5AFB-4F7C-B527-18ADA741CE30}" name="Amount Due" dataDxfId="12">
      <calculatedColumnFormula>IFERROR(VLOOKUP(open[[#This Row],[Invoice'#]],'Enter Invoices'!C:H,5,0),"")</calculatedColumnFormula>
    </tableColumn>
    <tableColumn id="5" xr3:uid="{6FB69C19-8915-438A-97D9-45942FA44E46}" name="Open Balance" dataDxfId="11">
      <calculatedColumnFormula>IFERROR(IF(open[[#This Row],[Amount Due]]="","",open[[#This Row],[Amount Due]]-SUMIF('Record Customer Payments'!B:B,open[[#This Row],[Invoice'#]],'Record Customer Payments'!F:F)),"")</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E0168E9-66B5-4A15-9A3E-3EDBE6E151FB}" name="TermsTable" displayName="TermsTable" ref="B3:B8" totalsRowShown="0" headerRowDxfId="8" dataDxfId="7">
  <autoFilter ref="B3:B8" xr:uid="{F41F10FA-318F-4DE3-AFFC-694EE2361276}">
    <filterColumn colId="0" hiddenButton="1"/>
  </autoFilter>
  <tableColumns count="1">
    <tableColumn id="1" xr3:uid="{F18B1A1E-5D84-4E0F-85C1-BA0A0672A216}" name="Terms (days)" dataDxfId="6"/>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B23399-96CA-4900-8C6C-FE63B07F1715}" name="Table3" displayName="Table3" ref="D3:D4" totalsRowShown="0" headerRowDxfId="5" dataDxfId="3" headerRowBorderDxfId="4" tableBorderDxfId="2" totalsRowBorderDxfId="1">
  <autoFilter ref="D3:D4" xr:uid="{B666DC6F-B451-4C2E-A0A7-FDA8888B3902}">
    <filterColumn colId="0" hiddenButton="1"/>
  </autoFilter>
  <tableColumns count="1">
    <tableColumn id="1" xr3:uid="{432D1763-27EA-43A4-81B7-CAD793B6EA7A}" name="Default Term" dataDxfId="0"/>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ivotTable" Target="../pivotTables/pivotTable2.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852BE-66BB-4034-8FF4-D25A61864FC8}">
  <sheetPr codeName="Sheet1"/>
  <dimension ref="B2:I57"/>
  <sheetViews>
    <sheetView showGridLines="0" showRowColHeaders="0" tabSelected="1" topLeftCell="A32" zoomScaleNormal="100" workbookViewId="0">
      <selection activeCell="I55" sqref="I55"/>
    </sheetView>
  </sheetViews>
  <sheetFormatPr defaultColWidth="9" defaultRowHeight="12.75" x14ac:dyDescent="0.2"/>
  <cols>
    <col min="1" max="1" width="3.5703125" style="2" customWidth="1"/>
    <col min="2" max="2" width="0.85546875" style="6" customWidth="1"/>
    <col min="3" max="3" width="25.7109375" style="6" bestFit="1" customWidth="1"/>
    <col min="4" max="4" width="0.85546875" style="6" customWidth="1"/>
    <col min="5" max="5" width="3.5703125" style="2" customWidth="1"/>
    <col min="6" max="6" width="17.5703125" style="2" customWidth="1"/>
    <col min="7" max="7" width="14.140625" style="2" customWidth="1"/>
    <col min="8" max="8" width="6.7109375" style="2" customWidth="1"/>
    <col min="9" max="9" width="91.42578125" style="2" customWidth="1"/>
    <col min="10" max="16384" width="9" style="2"/>
  </cols>
  <sheetData>
    <row r="2" spans="3:9" x14ac:dyDescent="0.2">
      <c r="C2" s="24" t="s">
        <v>0</v>
      </c>
      <c r="F2" s="1" t="s">
        <v>1</v>
      </c>
      <c r="H2" s="1" t="s">
        <v>2</v>
      </c>
    </row>
    <row r="4" spans="3:9" ht="13.15" customHeight="1" x14ac:dyDescent="0.2">
      <c r="F4" s="1" t="s">
        <v>3</v>
      </c>
      <c r="H4" s="86" t="s">
        <v>4</v>
      </c>
      <c r="I4" s="86"/>
    </row>
    <row r="5" spans="3:9" ht="26.1" customHeight="1" x14ac:dyDescent="0.2">
      <c r="C5" s="60" t="s">
        <v>5</v>
      </c>
      <c r="H5" s="86" t="s">
        <v>6</v>
      </c>
      <c r="I5" s="86"/>
    </row>
    <row r="6" spans="3:9" ht="13.15" customHeight="1" x14ac:dyDescent="0.2">
      <c r="C6" s="19" t="s">
        <v>7</v>
      </c>
      <c r="H6" s="86" t="s">
        <v>8</v>
      </c>
      <c r="I6" s="86"/>
    </row>
    <row r="7" spans="3:9" ht="13.15" customHeight="1" x14ac:dyDescent="0.2">
      <c r="H7" s="86" t="s">
        <v>9</v>
      </c>
      <c r="I7" s="86"/>
    </row>
    <row r="8" spans="3:9" ht="13.15" customHeight="1" x14ac:dyDescent="0.2">
      <c r="C8" s="19" t="s">
        <v>10</v>
      </c>
      <c r="H8" s="86" t="s">
        <v>11</v>
      </c>
      <c r="I8" s="86"/>
    </row>
    <row r="9" spans="3:9" x14ac:dyDescent="0.2">
      <c r="H9" s="63"/>
      <c r="I9" s="63"/>
    </row>
    <row r="10" spans="3:9" x14ac:dyDescent="0.2">
      <c r="C10" s="19" t="s">
        <v>12</v>
      </c>
    </row>
    <row r="11" spans="3:9" x14ac:dyDescent="0.2">
      <c r="F11" s="1" t="s">
        <v>13</v>
      </c>
      <c r="H11" s="2">
        <v>1</v>
      </c>
    </row>
    <row r="12" spans="3:9" x14ac:dyDescent="0.2">
      <c r="C12" s="19" t="s">
        <v>14</v>
      </c>
    </row>
    <row r="13" spans="3:9" x14ac:dyDescent="0.2">
      <c r="F13" s="1" t="s">
        <v>15</v>
      </c>
    </row>
    <row r="14" spans="3:9" ht="39" customHeight="1" x14ac:dyDescent="0.2">
      <c r="G14" s="20" t="s">
        <v>16</v>
      </c>
      <c r="H14" s="84" t="s">
        <v>17</v>
      </c>
      <c r="I14" s="84"/>
    </row>
    <row r="15" spans="3:9" ht="40.5" customHeight="1" x14ac:dyDescent="0.2">
      <c r="G15" s="21" t="s">
        <v>18</v>
      </c>
      <c r="H15" s="84" t="s">
        <v>19</v>
      </c>
      <c r="I15" s="84"/>
    </row>
    <row r="16" spans="3:9" ht="26.1" customHeight="1" x14ac:dyDescent="0.2">
      <c r="G16" s="22"/>
      <c r="H16" s="84" t="s">
        <v>20</v>
      </c>
      <c r="I16" s="84"/>
    </row>
    <row r="17" spans="6:9" ht="30" customHeight="1" x14ac:dyDescent="0.2">
      <c r="G17" s="22"/>
      <c r="H17" s="84" t="s">
        <v>21</v>
      </c>
      <c r="I17" s="84"/>
    </row>
    <row r="18" spans="6:9" ht="30" customHeight="1" x14ac:dyDescent="0.2">
      <c r="G18" s="21" t="s">
        <v>22</v>
      </c>
      <c r="H18" s="84" t="s">
        <v>23</v>
      </c>
      <c r="I18" s="84"/>
    </row>
    <row r="19" spans="6:9" ht="13.15" customHeight="1" x14ac:dyDescent="0.2">
      <c r="G19" s="21" t="s">
        <v>24</v>
      </c>
      <c r="H19" s="84" t="s">
        <v>25</v>
      </c>
      <c r="I19" s="84"/>
    </row>
    <row r="20" spans="6:9" ht="41.65" customHeight="1" x14ac:dyDescent="0.2">
      <c r="G20" s="22"/>
      <c r="H20" s="84" t="s">
        <v>26</v>
      </c>
      <c r="I20" s="84"/>
    </row>
    <row r="21" spans="6:9" ht="52.5" customHeight="1" x14ac:dyDescent="0.2">
      <c r="G21" s="21" t="s">
        <v>27</v>
      </c>
      <c r="H21" s="84" t="s">
        <v>28</v>
      </c>
      <c r="I21" s="84"/>
    </row>
    <row r="22" spans="6:9" ht="6.95" customHeight="1" x14ac:dyDescent="0.2">
      <c r="G22" s="22"/>
      <c r="H22" s="22"/>
      <c r="I22" s="22"/>
    </row>
    <row r="23" spans="6:9" ht="38.25" customHeight="1" x14ac:dyDescent="0.2">
      <c r="F23" s="26" t="s">
        <v>29</v>
      </c>
      <c r="G23" s="23" t="s">
        <v>30</v>
      </c>
      <c r="H23" s="84" t="s">
        <v>31</v>
      </c>
      <c r="I23" s="84"/>
    </row>
    <row r="24" spans="6:9" ht="13.15" customHeight="1" x14ac:dyDescent="0.2">
      <c r="G24" s="22"/>
      <c r="H24" s="84" t="s">
        <v>32</v>
      </c>
      <c r="I24" s="84"/>
    </row>
    <row r="25" spans="6:9" ht="26.1" customHeight="1" x14ac:dyDescent="0.2">
      <c r="G25" s="23" t="s">
        <v>33</v>
      </c>
      <c r="H25" s="84" t="s">
        <v>34</v>
      </c>
      <c r="I25" s="84"/>
    </row>
    <row r="26" spans="6:9" ht="39.75" customHeight="1" x14ac:dyDescent="0.2">
      <c r="G26" s="23" t="s">
        <v>35</v>
      </c>
      <c r="H26" s="84" t="s">
        <v>36</v>
      </c>
      <c r="I26" s="84"/>
    </row>
    <row r="27" spans="6:9" ht="26.1" customHeight="1" x14ac:dyDescent="0.2">
      <c r="G27" s="25" t="s">
        <v>37</v>
      </c>
      <c r="H27" s="85" t="s">
        <v>38</v>
      </c>
      <c r="I27" s="85"/>
    </row>
    <row r="28" spans="6:9" x14ac:dyDescent="0.2">
      <c r="G28" s="3"/>
    </row>
    <row r="29" spans="6:9" x14ac:dyDescent="0.2">
      <c r="F29" s="1" t="s">
        <v>90</v>
      </c>
      <c r="G29" s="4"/>
      <c r="H29" s="5" t="s">
        <v>80</v>
      </c>
    </row>
    <row r="30" spans="6:9" x14ac:dyDescent="0.2">
      <c r="H30" s="5" t="s">
        <v>81</v>
      </c>
    </row>
    <row r="32" spans="6:9" x14ac:dyDescent="0.2">
      <c r="G32" s="81" t="s">
        <v>82</v>
      </c>
      <c r="H32" s="2" t="s">
        <v>83</v>
      </c>
    </row>
    <row r="33" spans="7:8" x14ac:dyDescent="0.2">
      <c r="H33" s="4"/>
    </row>
    <row r="34" spans="7:8" x14ac:dyDescent="0.2">
      <c r="H34" s="4"/>
    </row>
    <row r="35" spans="7:8" x14ac:dyDescent="0.2">
      <c r="H35" s="4"/>
    </row>
    <row r="36" spans="7:8" x14ac:dyDescent="0.2">
      <c r="H36" s="4"/>
    </row>
    <row r="37" spans="7:8" x14ac:dyDescent="0.2">
      <c r="H37" s="4"/>
    </row>
    <row r="38" spans="7:8" x14ac:dyDescent="0.2">
      <c r="G38" s="81" t="s">
        <v>84</v>
      </c>
      <c r="H38" s="2" t="s">
        <v>85</v>
      </c>
    </row>
    <row r="40" spans="7:8" x14ac:dyDescent="0.2">
      <c r="G40" s="81" t="s">
        <v>86</v>
      </c>
      <c r="H40" s="2" t="s">
        <v>87</v>
      </c>
    </row>
    <row r="46" spans="7:8" x14ac:dyDescent="0.2">
      <c r="G46" s="81" t="s">
        <v>88</v>
      </c>
      <c r="H46" s="2" t="s">
        <v>89</v>
      </c>
    </row>
    <row r="52" spans="8:8" x14ac:dyDescent="0.2">
      <c r="H52" s="5"/>
    </row>
    <row r="53" spans="8:8" x14ac:dyDescent="0.2">
      <c r="H53" s="82"/>
    </row>
    <row r="54" spans="8:8" ht="15" x14ac:dyDescent="0.25">
      <c r="H54" s="83"/>
    </row>
    <row r="55" spans="8:8" x14ac:dyDescent="0.2">
      <c r="H55" s="82"/>
    </row>
    <row r="56" spans="8:8" x14ac:dyDescent="0.2">
      <c r="H56" s="82"/>
    </row>
    <row r="57" spans="8:8" x14ac:dyDescent="0.2">
      <c r="H57" s="82"/>
    </row>
  </sheetData>
  <mergeCells count="18">
    <mergeCell ref="H20:I20"/>
    <mergeCell ref="H4:I4"/>
    <mergeCell ref="H5:I5"/>
    <mergeCell ref="H6:I6"/>
    <mergeCell ref="H7:I7"/>
    <mergeCell ref="H8:I8"/>
    <mergeCell ref="H14:I14"/>
    <mergeCell ref="H15:I15"/>
    <mergeCell ref="H16:I16"/>
    <mergeCell ref="H17:I17"/>
    <mergeCell ref="H18:I18"/>
    <mergeCell ref="H19:I19"/>
    <mergeCell ref="H26:I26"/>
    <mergeCell ref="H27:I27"/>
    <mergeCell ref="H21:I21"/>
    <mergeCell ref="H23:I23"/>
    <mergeCell ref="H24:I24"/>
    <mergeCell ref="H25:I25"/>
  </mergeCells>
  <conditionalFormatting sqref="H11">
    <cfRule type="iconSet" priority="1">
      <iconSet reverse="1">
        <cfvo type="percent" val="0"/>
        <cfvo type="num" val="2"/>
        <cfvo type="num" val="3" gte="0"/>
      </iconSet>
    </cfRule>
  </conditionalFormatting>
  <hyperlinks>
    <hyperlink ref="C5" location="'Enter Invoices'!A1" display="Record or view invoices" xr:uid="{1402C32D-BEFB-4555-AB8D-E83BFBA33D90}"/>
    <hyperlink ref="C6" location="'Record Customer Payments'!A1" display="Record Customer Payments" xr:uid="{340D0C11-91E7-4D71-A5E1-300945863199}"/>
    <hyperlink ref="C8" location="'Open Invoices'!A1" display="View Open Invoices" xr:uid="{EF7991EE-C711-46E2-A590-AD3307250BBE}"/>
    <hyperlink ref="C10" location="'Aging Report'!A1" display="Aging Report" xr:uid="{F47B17F5-7597-4C92-9B67-483ACCCEC1D6}"/>
    <hyperlink ref="C12" location="Lists!A1" display="Define Categories" xr:uid="{886297F0-AB0B-40D2-9F6F-DD097D8211FB}"/>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3E8B6-3D8B-4285-88B6-0667EF087203}">
  <sheetPr codeName="Sheet2">
    <tabColor rgb="FF50B47F"/>
  </sheetPr>
  <dimension ref="A1:M500"/>
  <sheetViews>
    <sheetView showGridLines="0" showRowColHeaders="0" workbookViewId="0">
      <pane ySplit="3" topLeftCell="A4" activePane="bottomLeft" state="frozen"/>
      <selection activeCell="C15" sqref="C15"/>
      <selection pane="bottomLeft" activeCell="E4" sqref="E4"/>
    </sheetView>
  </sheetViews>
  <sheetFormatPr defaultColWidth="0" defaultRowHeight="15" x14ac:dyDescent="0.25"/>
  <cols>
    <col min="1" max="1" width="3.5703125" style="2" customWidth="1"/>
    <col min="2" max="2" width="14.5703125" style="2" customWidth="1"/>
    <col min="3" max="3" width="14.5703125" style="4" customWidth="1"/>
    <col min="4" max="4" width="30.5703125" style="2" customWidth="1"/>
    <col min="5" max="5" width="14.5703125" style="2" customWidth="1"/>
    <col min="6" max="6" width="43.5703125" style="2" customWidth="1"/>
    <col min="7" max="7" width="14.85546875" customWidth="1"/>
    <col min="8" max="8" width="14.85546875" style="2" customWidth="1"/>
    <col min="9" max="10" width="14.85546875" style="2" hidden="1" customWidth="1"/>
    <col min="11" max="11" width="6.28515625" style="2" customWidth="1"/>
    <col min="12" max="13" width="0" style="2" hidden="1" customWidth="1"/>
    <col min="14" max="16384" width="9" style="2" hidden="1"/>
  </cols>
  <sheetData>
    <row r="1" spans="2:13" s="8" customFormat="1" ht="16.5" customHeight="1" x14ac:dyDescent="0.25">
      <c r="B1" s="7" t="s">
        <v>39</v>
      </c>
      <c r="C1" s="87" t="s">
        <v>40</v>
      </c>
      <c r="D1" s="87"/>
      <c r="E1" s="87" t="s">
        <v>41</v>
      </c>
      <c r="F1" s="87"/>
      <c r="G1" s="87" t="s">
        <v>42</v>
      </c>
      <c r="H1" s="87"/>
      <c r="I1" s="73"/>
      <c r="J1" s="64"/>
    </row>
    <row r="2" spans="2:13" ht="6.95" customHeight="1" x14ac:dyDescent="0.2">
      <c r="B2" s="9"/>
      <c r="G2" s="2"/>
    </row>
    <row r="3" spans="2:13" ht="12.75" x14ac:dyDescent="0.2">
      <c r="B3" s="18" t="s">
        <v>43</v>
      </c>
      <c r="C3" s="18" t="s">
        <v>44</v>
      </c>
      <c r="D3" s="18" t="s">
        <v>45</v>
      </c>
      <c r="E3" s="18" t="s">
        <v>46</v>
      </c>
      <c r="F3" s="18" t="s">
        <v>47</v>
      </c>
      <c r="G3" s="18" t="s">
        <v>48</v>
      </c>
      <c r="H3" s="18" t="s">
        <v>49</v>
      </c>
      <c r="I3" s="18" t="s">
        <v>76</v>
      </c>
      <c r="J3" s="18" t="s">
        <v>77</v>
      </c>
    </row>
    <row r="4" spans="2:13" ht="14.1" customHeight="1" x14ac:dyDescent="0.2">
      <c r="B4" s="10">
        <v>43928</v>
      </c>
      <c r="C4" s="11">
        <v>10001</v>
      </c>
      <c r="D4" s="2" t="s">
        <v>50</v>
      </c>
      <c r="E4" s="11">
        <v>60</v>
      </c>
      <c r="F4" s="2" t="s">
        <v>51</v>
      </c>
      <c r="G4" s="12">
        <v>300</v>
      </c>
      <c r="H4" s="27">
        <f>IF(Invoices[[#This Row],[Invoice Date]]="","",IF(Invoices[[#This Row],[Terms (days)]]="",Invoices[[#This Row],[Invoice Date]]+Lists!$D$4,Invoices[[#This Row],[Invoice Date]]+Invoices[[#This Row],[Terms (days)]]))</f>
        <v>43988</v>
      </c>
      <c r="I4" s="74">
        <f>IFERROR(Invoices[[#This Row],[Due Date]]-Invoices[[#This Row],[Invoice Date]],"")</f>
        <v>60</v>
      </c>
      <c r="J4" s="27" t="str">
        <f>IFERROR(IF(Invoices[[#This Row],[Days]]="","",IF(Invoices[[#This Row],[Days]]&lt;31,"A",IF(Invoices[[#This Row],[Days]]&lt;31,"B",IF(Invoices[[#This Row],[Days]]&lt;91,"C","D")))),"")</f>
        <v>C</v>
      </c>
    </row>
    <row r="5" spans="2:13" ht="14.1" customHeight="1" x14ac:dyDescent="0.2">
      <c r="B5" s="10">
        <v>44020</v>
      </c>
      <c r="C5" s="11">
        <v>10002</v>
      </c>
      <c r="D5" s="2" t="s">
        <v>52</v>
      </c>
      <c r="E5" s="11"/>
      <c r="G5" s="12">
        <v>52.5</v>
      </c>
      <c r="H5" s="27">
        <f>IF(Invoices[[#This Row],[Invoice Date]]="","",IF(Invoices[[#This Row],[Terms (days)]]="",Invoices[[#This Row],[Invoice Date]]+Lists!$D$4,Invoices[[#This Row],[Invoice Date]]+Invoices[[#This Row],[Terms (days)]]))</f>
        <v>44034</v>
      </c>
      <c r="I5" s="74">
        <f>IFERROR(Invoices[[#This Row],[Due Date]]-Invoices[[#This Row],[Invoice Date]],"")</f>
        <v>14</v>
      </c>
      <c r="J5" s="27" t="str">
        <f>IFERROR(IF(Invoices[[#This Row],[Days]]="","",IF(Invoices[[#This Row],[Days]]&lt;31,"A",IF(Invoices[[#This Row],[Days]]&lt;31,"B",IF(Invoices[[#This Row],[Days]]&lt;91,"C","D")))),"")</f>
        <v>A</v>
      </c>
    </row>
    <row r="6" spans="2:13" ht="14.1" customHeight="1" x14ac:dyDescent="0.2">
      <c r="B6" s="10">
        <v>43893</v>
      </c>
      <c r="C6" s="11">
        <v>10003</v>
      </c>
      <c r="D6" s="2" t="s">
        <v>53</v>
      </c>
      <c r="E6" s="11"/>
      <c r="G6" s="12">
        <v>450.3</v>
      </c>
      <c r="H6" s="27">
        <f>IF(Invoices[[#This Row],[Invoice Date]]="","",IF(Invoices[[#This Row],[Terms (days)]]="",Invoices[[#This Row],[Invoice Date]]+Lists!$D$4,Invoices[[#This Row],[Invoice Date]]+Invoices[[#This Row],[Terms (days)]]))</f>
        <v>43907</v>
      </c>
      <c r="I6" s="74">
        <f>IFERROR(Invoices[[#This Row],[Due Date]]-Invoices[[#This Row],[Invoice Date]],"")</f>
        <v>14</v>
      </c>
      <c r="J6" s="27" t="str">
        <f>IFERROR(IF(Invoices[[#This Row],[Days]]="","",IF(Invoices[[#This Row],[Days]]&lt;31,"A",IF(Invoices[[#This Row],[Days]]&lt;31,"B",IF(Invoices[[#This Row],[Days]]&lt;91,"C","D")))),"")</f>
        <v>A</v>
      </c>
      <c r="L6" s="16"/>
    </row>
    <row r="7" spans="2:13" ht="14.1" customHeight="1" x14ac:dyDescent="0.2">
      <c r="B7" s="10">
        <v>43926</v>
      </c>
      <c r="C7" s="11">
        <v>10004</v>
      </c>
      <c r="D7" s="2" t="s">
        <v>54</v>
      </c>
      <c r="E7" s="11"/>
      <c r="G7" s="12">
        <v>90</v>
      </c>
      <c r="H7" s="27">
        <f>IF(Invoices[[#This Row],[Invoice Date]]="","",IF(Invoices[[#This Row],[Terms (days)]]="",Invoices[[#This Row],[Invoice Date]]+Lists!$D$4,Invoices[[#This Row],[Invoice Date]]+Invoices[[#This Row],[Terms (days)]]))</f>
        <v>43940</v>
      </c>
      <c r="I7" s="74">
        <f>IFERROR(Invoices[[#This Row],[Due Date]]-Invoices[[#This Row],[Invoice Date]],"")</f>
        <v>14</v>
      </c>
      <c r="J7" s="27" t="str">
        <f>IFERROR(IF(Invoices[[#This Row],[Days]]="","",IF(Invoices[[#This Row],[Days]]&lt;31,"A",IF(Invoices[[#This Row],[Days]]&lt;31,"B",IF(Invoices[[#This Row],[Days]]&lt;91,"C","D")))),"")</f>
        <v>A</v>
      </c>
    </row>
    <row r="8" spans="2:13" ht="14.1" customHeight="1" x14ac:dyDescent="0.2">
      <c r="B8" s="10">
        <v>44032</v>
      </c>
      <c r="C8" s="11">
        <v>10005</v>
      </c>
      <c r="D8" s="2" t="s">
        <v>55</v>
      </c>
      <c r="E8" s="11"/>
      <c r="F8" s="2" t="s">
        <v>56</v>
      </c>
      <c r="G8" s="12">
        <v>203</v>
      </c>
      <c r="H8" s="27">
        <f>IF(Invoices[[#This Row],[Invoice Date]]="","",IF(Invoices[[#This Row],[Terms (days)]]="",Invoices[[#This Row],[Invoice Date]]+Lists!$D$4,Invoices[[#This Row],[Invoice Date]]+Invoices[[#This Row],[Terms (days)]]))</f>
        <v>44046</v>
      </c>
      <c r="I8" s="74">
        <f>IFERROR(Invoices[[#This Row],[Due Date]]-Invoices[[#This Row],[Invoice Date]],"")</f>
        <v>14</v>
      </c>
      <c r="J8" s="27" t="str">
        <f>IFERROR(IF(Invoices[[#This Row],[Days]]="","",IF(Invoices[[#This Row],[Days]]&lt;31,"A",IF(Invoices[[#This Row],[Days]]&lt;31,"B",IF(Invoices[[#This Row],[Days]]&lt;91,"C","D")))),"")</f>
        <v>A</v>
      </c>
    </row>
    <row r="9" spans="2:13" ht="14.1" customHeight="1" x14ac:dyDescent="0.2">
      <c r="B9" s="10">
        <v>44033</v>
      </c>
      <c r="C9" s="11">
        <v>10006</v>
      </c>
      <c r="D9" s="2" t="s">
        <v>55</v>
      </c>
      <c r="E9" s="11"/>
      <c r="G9" s="12">
        <v>380</v>
      </c>
      <c r="H9" s="27">
        <f>IF(Invoices[[#This Row],[Invoice Date]]="","",IF(Invoices[[#This Row],[Terms (days)]]="",Invoices[[#This Row],[Invoice Date]]+Lists!$D$4,Invoices[[#This Row],[Invoice Date]]+Invoices[[#This Row],[Terms (days)]]))</f>
        <v>44047</v>
      </c>
      <c r="I9" s="74">
        <f>IFERROR(Invoices[[#This Row],[Due Date]]-Invoices[[#This Row],[Invoice Date]],"")</f>
        <v>14</v>
      </c>
      <c r="J9" s="27" t="str">
        <f>IFERROR(IF(Invoices[[#This Row],[Days]]="","",IF(Invoices[[#This Row],[Days]]&lt;31,"A",IF(Invoices[[#This Row],[Days]]&lt;31,"B",IF(Invoices[[#This Row],[Days]]&lt;91,"C","D")))),"")</f>
        <v>A</v>
      </c>
    </row>
    <row r="10" spans="2:13" ht="14.1" customHeight="1" x14ac:dyDescent="0.2">
      <c r="B10" s="10">
        <v>44033</v>
      </c>
      <c r="C10" s="11">
        <v>10007</v>
      </c>
      <c r="D10" s="2" t="s">
        <v>54</v>
      </c>
      <c r="E10" s="11"/>
      <c r="G10" s="12">
        <v>108.4</v>
      </c>
      <c r="H10" s="27">
        <f>IF(Invoices[[#This Row],[Invoice Date]]="","",IF(Invoices[[#This Row],[Terms (days)]]="",Invoices[[#This Row],[Invoice Date]]+Lists!$D$4,Invoices[[#This Row],[Invoice Date]]+Invoices[[#This Row],[Terms (days)]]))</f>
        <v>44047</v>
      </c>
      <c r="I10" s="74">
        <f>IFERROR(Invoices[[#This Row],[Due Date]]-Invoices[[#This Row],[Invoice Date]],"")</f>
        <v>14</v>
      </c>
      <c r="J10" s="27" t="str">
        <f>IFERROR(IF(Invoices[[#This Row],[Days]]="","",IF(Invoices[[#This Row],[Days]]&lt;31,"A",IF(Invoices[[#This Row],[Days]]&lt;31,"B",IF(Invoices[[#This Row],[Days]]&lt;91,"C","D")))),"")</f>
        <v>A</v>
      </c>
    </row>
    <row r="11" spans="2:13" ht="14.1" customHeight="1" x14ac:dyDescent="0.2">
      <c r="B11" s="10">
        <v>44037</v>
      </c>
      <c r="C11" s="11">
        <v>10008</v>
      </c>
      <c r="D11" s="2" t="s">
        <v>53</v>
      </c>
      <c r="E11" s="11"/>
      <c r="G11" s="12">
        <v>48.3</v>
      </c>
      <c r="H11" s="27">
        <f>IF(Invoices[[#This Row],[Invoice Date]]="","",IF(Invoices[[#This Row],[Terms (days)]]="",Invoices[[#This Row],[Invoice Date]]+Lists!$D$4,Invoices[[#This Row],[Invoice Date]]+Invoices[[#This Row],[Terms (days)]]))</f>
        <v>44051</v>
      </c>
      <c r="I11" s="74">
        <f>IFERROR(Invoices[[#This Row],[Due Date]]-Invoices[[#This Row],[Invoice Date]],"")</f>
        <v>14</v>
      </c>
      <c r="J11" s="27" t="str">
        <f>IFERROR(IF(Invoices[[#This Row],[Days]]="","",IF(Invoices[[#This Row],[Days]]&lt;31,"A",IF(Invoices[[#This Row],[Days]]&lt;31,"B",IF(Invoices[[#This Row],[Days]]&lt;91,"C","D")))),"")</f>
        <v>A</v>
      </c>
    </row>
    <row r="12" spans="2:13" ht="14.1" customHeight="1" x14ac:dyDescent="0.2">
      <c r="B12" s="10">
        <v>44039</v>
      </c>
      <c r="C12" s="11">
        <v>10009</v>
      </c>
      <c r="D12" s="2" t="s">
        <v>52</v>
      </c>
      <c r="E12" s="11"/>
      <c r="G12" s="12">
        <v>33.9</v>
      </c>
      <c r="H12" s="27">
        <f>IF(Invoices[[#This Row],[Invoice Date]]="","",IF(Invoices[[#This Row],[Terms (days)]]="",Invoices[[#This Row],[Invoice Date]]+Lists!$D$4,Invoices[[#This Row],[Invoice Date]]+Invoices[[#This Row],[Terms (days)]]))</f>
        <v>44053</v>
      </c>
      <c r="I12" s="74">
        <f>IFERROR(Invoices[[#This Row],[Due Date]]-Invoices[[#This Row],[Invoice Date]],"")</f>
        <v>14</v>
      </c>
      <c r="J12" s="27" t="str">
        <f>IFERROR(IF(Invoices[[#This Row],[Days]]="","",IF(Invoices[[#This Row],[Days]]&lt;31,"A",IF(Invoices[[#This Row],[Days]]&lt;31,"B",IF(Invoices[[#This Row],[Days]]&lt;91,"C","D")))),"")</f>
        <v>A</v>
      </c>
    </row>
    <row r="13" spans="2:13" ht="14.1" customHeight="1" x14ac:dyDescent="0.2">
      <c r="B13" s="10">
        <v>44040</v>
      </c>
      <c r="C13" s="11">
        <v>10010</v>
      </c>
      <c r="D13" s="2" t="s">
        <v>52</v>
      </c>
      <c r="E13" s="11">
        <v>30</v>
      </c>
      <c r="F13" s="2" t="s">
        <v>57</v>
      </c>
      <c r="G13" s="12">
        <v>155</v>
      </c>
      <c r="H13" s="27">
        <f>IF(Invoices[[#This Row],[Invoice Date]]="","",IF(Invoices[[#This Row],[Terms (days)]]="",Invoices[[#This Row],[Invoice Date]]+Lists!$D$4,Invoices[[#This Row],[Invoice Date]]+Invoices[[#This Row],[Terms (days)]]))</f>
        <v>44070</v>
      </c>
      <c r="I13" s="74">
        <f>IFERROR(Invoices[[#This Row],[Due Date]]-Invoices[[#This Row],[Invoice Date]],"")</f>
        <v>30</v>
      </c>
      <c r="J13" s="27" t="str">
        <f>IFERROR(IF(Invoices[[#This Row],[Days]]="","",IF(Invoices[[#This Row],[Days]]&lt;31,"A",IF(Invoices[[#This Row],[Days]]&lt;31,"B",IF(Invoices[[#This Row],[Days]]&lt;91,"C","D")))),"")</f>
        <v>A</v>
      </c>
      <c r="M13" s="13"/>
    </row>
    <row r="14" spans="2:13" ht="14.1" customHeight="1" x14ac:dyDescent="0.2">
      <c r="B14" s="10">
        <v>44042</v>
      </c>
      <c r="C14" s="11">
        <v>10011</v>
      </c>
      <c r="D14" s="2" t="s">
        <v>50</v>
      </c>
      <c r="E14" s="11">
        <v>60</v>
      </c>
      <c r="F14" s="2" t="s">
        <v>51</v>
      </c>
      <c r="G14" s="12">
        <v>99</v>
      </c>
      <c r="H14" s="27">
        <f>IF(Invoices[[#This Row],[Invoice Date]]="","",IF(Invoices[[#This Row],[Terms (days)]]="",Invoices[[#This Row],[Invoice Date]]+Lists!$D$4,Invoices[[#This Row],[Invoice Date]]+Invoices[[#This Row],[Terms (days)]]))</f>
        <v>44102</v>
      </c>
      <c r="I14" s="74">
        <f>IFERROR(Invoices[[#This Row],[Due Date]]-Invoices[[#This Row],[Invoice Date]],"")</f>
        <v>60</v>
      </c>
      <c r="J14" s="27" t="str">
        <f>IFERROR(IF(Invoices[[#This Row],[Days]]="","",IF(Invoices[[#This Row],[Days]]&lt;31,"A",IF(Invoices[[#This Row],[Days]]&lt;31,"B",IF(Invoices[[#This Row],[Days]]&lt;91,"C","D")))),"")</f>
        <v>C</v>
      </c>
    </row>
    <row r="15" spans="2:13" ht="14.1" customHeight="1" x14ac:dyDescent="0.2">
      <c r="B15" s="10">
        <v>44043</v>
      </c>
      <c r="C15" s="11">
        <v>10012</v>
      </c>
      <c r="D15" s="2" t="s">
        <v>55</v>
      </c>
      <c r="E15" s="11">
        <v>7</v>
      </c>
      <c r="F15" s="2" t="s">
        <v>58</v>
      </c>
      <c r="G15" s="12">
        <v>200</v>
      </c>
      <c r="H15" s="27">
        <f>IF(Invoices[[#This Row],[Invoice Date]]="","",IF(Invoices[[#This Row],[Terms (days)]]="",Invoices[[#This Row],[Invoice Date]]+Lists!$D$4,Invoices[[#This Row],[Invoice Date]]+Invoices[[#This Row],[Terms (days)]]))</f>
        <v>44050</v>
      </c>
      <c r="I15" s="74">
        <f>IFERROR(Invoices[[#This Row],[Due Date]]-Invoices[[#This Row],[Invoice Date]],"")</f>
        <v>7</v>
      </c>
      <c r="J15" s="27" t="str">
        <f>IFERROR(IF(Invoices[[#This Row],[Days]]="","",IF(Invoices[[#This Row],[Days]]&lt;31,"A",IF(Invoices[[#This Row],[Days]]&lt;31,"B",IF(Invoices[[#This Row],[Days]]&lt;91,"C","D")))),"")</f>
        <v>A</v>
      </c>
    </row>
    <row r="16" spans="2:13" ht="14.1" customHeight="1" x14ac:dyDescent="0.2">
      <c r="B16" s="10"/>
      <c r="C16" s="11"/>
      <c r="E16" s="11"/>
      <c r="G16" s="12"/>
      <c r="H16" s="27" t="str">
        <f>IF(Invoices[[#This Row],[Invoice Date]]="","",IF(Invoices[[#This Row],[Terms (days)]]="",Invoices[[#This Row],[Invoice Date]]+Lists!$D$4,Invoices[[#This Row],[Invoice Date]]+Invoices[[#This Row],[Terms (days)]]))</f>
        <v/>
      </c>
      <c r="I16" s="74" t="str">
        <f>IFERROR(Invoices[[#This Row],[Due Date]]-Invoices[[#This Row],[Invoice Date]],"")</f>
        <v/>
      </c>
      <c r="J16" s="27" t="str">
        <f>IFERROR(IF(Invoices[[#This Row],[Days]]="","",IF(Invoices[[#This Row],[Days]]&lt;31,"A",IF(Invoices[[#This Row],[Days]]&lt;31,"B",IF(Invoices[[#This Row],[Days]]&lt;91,"C","D")))),"")</f>
        <v/>
      </c>
    </row>
    <row r="17" spans="2:10" ht="14.1" customHeight="1" x14ac:dyDescent="0.2">
      <c r="B17" s="10"/>
      <c r="C17" s="11"/>
      <c r="E17" s="11"/>
      <c r="G17" s="12"/>
      <c r="H17" s="27" t="str">
        <f>IF(Invoices[[#This Row],[Invoice Date]]="","",IF(Invoices[[#This Row],[Terms (days)]]="",Invoices[[#This Row],[Invoice Date]]+Lists!$D$4,Invoices[[#This Row],[Invoice Date]]+Invoices[[#This Row],[Terms (days)]]))</f>
        <v/>
      </c>
      <c r="I17" s="74" t="str">
        <f>IFERROR(Invoices[[#This Row],[Due Date]]-Invoices[[#This Row],[Invoice Date]],"")</f>
        <v/>
      </c>
      <c r="J17" s="27" t="str">
        <f>IFERROR(IF(Invoices[[#This Row],[Days]]="","",IF(Invoices[[#This Row],[Days]]&lt;31,"A",IF(Invoices[[#This Row],[Days]]&lt;31,"B",IF(Invoices[[#This Row],[Days]]&lt;91,"C","D")))),"")</f>
        <v/>
      </c>
    </row>
    <row r="18" spans="2:10" ht="14.1" customHeight="1" x14ac:dyDescent="0.2">
      <c r="B18" s="10"/>
      <c r="C18" s="11"/>
      <c r="E18" s="11"/>
      <c r="G18" s="12"/>
      <c r="H18" s="27" t="str">
        <f>IF(Invoices[[#This Row],[Invoice Date]]="","",IF(Invoices[[#This Row],[Terms (days)]]="",Invoices[[#This Row],[Invoice Date]]+Lists!$D$4,Invoices[[#This Row],[Invoice Date]]+Invoices[[#This Row],[Terms (days)]]))</f>
        <v/>
      </c>
      <c r="I18" s="74" t="str">
        <f>IFERROR(Invoices[[#This Row],[Due Date]]-Invoices[[#This Row],[Invoice Date]],"")</f>
        <v/>
      </c>
      <c r="J18" s="27" t="str">
        <f>IFERROR(IF(Invoices[[#This Row],[Days]]="","",IF(Invoices[[#This Row],[Days]]&lt;31,"A",IF(Invoices[[#This Row],[Days]]&lt;31,"B",IF(Invoices[[#This Row],[Days]]&lt;91,"C","D")))),"")</f>
        <v/>
      </c>
    </row>
    <row r="19" spans="2:10" ht="14.1" customHeight="1" x14ac:dyDescent="0.2">
      <c r="B19" s="10"/>
      <c r="C19" s="11"/>
      <c r="E19" s="11"/>
      <c r="G19" s="12"/>
      <c r="H19" s="27" t="str">
        <f>IF(Invoices[[#This Row],[Invoice Date]]="","",IF(Invoices[[#This Row],[Terms (days)]]="",Invoices[[#This Row],[Invoice Date]]+Lists!$D$4,Invoices[[#This Row],[Invoice Date]]+Invoices[[#This Row],[Terms (days)]]))</f>
        <v/>
      </c>
      <c r="I19" s="74" t="str">
        <f>IFERROR(Invoices[[#This Row],[Due Date]]-Invoices[[#This Row],[Invoice Date]],"")</f>
        <v/>
      </c>
      <c r="J19" s="27" t="str">
        <f>IFERROR(IF(Invoices[[#This Row],[Days]]="","",IF(Invoices[[#This Row],[Days]]&lt;31,"A",IF(Invoices[[#This Row],[Days]]&lt;31,"B",IF(Invoices[[#This Row],[Days]]&lt;91,"C","D")))),"")</f>
        <v/>
      </c>
    </row>
    <row r="20" spans="2:10" ht="14.1" customHeight="1" x14ac:dyDescent="0.2">
      <c r="B20" s="10"/>
      <c r="C20" s="11"/>
      <c r="E20" s="11"/>
      <c r="G20" s="12"/>
      <c r="H20" s="27" t="str">
        <f>IF(Invoices[[#This Row],[Invoice Date]]="","",IF(Invoices[[#This Row],[Terms (days)]]="",Invoices[[#This Row],[Invoice Date]]+Lists!$D$4,Invoices[[#This Row],[Invoice Date]]+Invoices[[#This Row],[Terms (days)]]))</f>
        <v/>
      </c>
      <c r="I20" s="74" t="str">
        <f>IFERROR(Invoices[[#This Row],[Due Date]]-Invoices[[#This Row],[Invoice Date]],"")</f>
        <v/>
      </c>
      <c r="J20" s="27" t="str">
        <f>IFERROR(IF(Invoices[[#This Row],[Days]]="","",IF(Invoices[[#This Row],[Days]]&lt;31,"A",IF(Invoices[[#This Row],[Days]]&lt;31,"B",IF(Invoices[[#This Row],[Days]]&lt;91,"C","D")))),"")</f>
        <v/>
      </c>
    </row>
    <row r="21" spans="2:10" ht="14.1" customHeight="1" x14ac:dyDescent="0.2">
      <c r="B21" s="10"/>
      <c r="C21" s="11"/>
      <c r="E21" s="11"/>
      <c r="G21" s="12"/>
      <c r="H21" s="27" t="str">
        <f>IF(Invoices[[#This Row],[Invoice Date]]="","",IF(Invoices[[#This Row],[Terms (days)]]="",Invoices[[#This Row],[Invoice Date]]+Lists!$D$4,Invoices[[#This Row],[Invoice Date]]+Invoices[[#This Row],[Terms (days)]]))</f>
        <v/>
      </c>
      <c r="I21" s="74" t="str">
        <f>IFERROR(Invoices[[#This Row],[Due Date]]-Invoices[[#This Row],[Invoice Date]],"")</f>
        <v/>
      </c>
      <c r="J21" s="27" t="str">
        <f>IFERROR(IF(Invoices[[#This Row],[Days]]="","",IF(Invoices[[#This Row],[Days]]&lt;31,"A",IF(Invoices[[#This Row],[Days]]&lt;31,"B",IF(Invoices[[#This Row],[Days]]&lt;91,"C","D")))),"")</f>
        <v/>
      </c>
    </row>
    <row r="22" spans="2:10" ht="14.1" customHeight="1" x14ac:dyDescent="0.2">
      <c r="B22" s="10"/>
      <c r="C22" s="11"/>
      <c r="E22" s="11"/>
      <c r="G22" s="12"/>
      <c r="H22" s="27" t="str">
        <f>IF(Invoices[[#This Row],[Invoice Date]]="","",IF(Invoices[[#This Row],[Terms (days)]]="",Invoices[[#This Row],[Invoice Date]]+Lists!$D$4,Invoices[[#This Row],[Invoice Date]]+Invoices[[#This Row],[Terms (days)]]))</f>
        <v/>
      </c>
      <c r="I22" s="74" t="str">
        <f>IFERROR(Invoices[[#This Row],[Due Date]]-Invoices[[#This Row],[Invoice Date]],"")</f>
        <v/>
      </c>
      <c r="J22" s="27" t="str">
        <f>IFERROR(IF(Invoices[[#This Row],[Days]]="","",IF(Invoices[[#This Row],[Days]]&lt;31,"A",IF(Invoices[[#This Row],[Days]]&lt;31,"B",IF(Invoices[[#This Row],[Days]]&lt;91,"C","D")))),"")</f>
        <v/>
      </c>
    </row>
    <row r="23" spans="2:10" ht="14.1" customHeight="1" x14ac:dyDescent="0.2">
      <c r="B23" s="10"/>
      <c r="C23" s="11"/>
      <c r="E23" s="11"/>
      <c r="G23" s="12"/>
      <c r="H23" s="27" t="str">
        <f>IF(Invoices[[#This Row],[Invoice Date]]="","",IF(Invoices[[#This Row],[Terms (days)]]="",Invoices[[#This Row],[Invoice Date]]+Lists!$D$4,Invoices[[#This Row],[Invoice Date]]+Invoices[[#This Row],[Terms (days)]]))</f>
        <v/>
      </c>
      <c r="I23" s="74" t="str">
        <f>IFERROR(Invoices[[#This Row],[Due Date]]-Invoices[[#This Row],[Invoice Date]],"")</f>
        <v/>
      </c>
      <c r="J23" s="27" t="str">
        <f>IFERROR(IF(Invoices[[#This Row],[Days]]="","",IF(Invoices[[#This Row],[Days]]&lt;31,"A",IF(Invoices[[#This Row],[Days]]&lt;31,"B",IF(Invoices[[#This Row],[Days]]&lt;91,"C","D")))),"")</f>
        <v/>
      </c>
    </row>
    <row r="24" spans="2:10" ht="14.1" customHeight="1" x14ac:dyDescent="0.2">
      <c r="B24" s="10"/>
      <c r="C24" s="11"/>
      <c r="E24" s="11"/>
      <c r="G24" s="12"/>
      <c r="H24" s="27" t="str">
        <f>IF(Invoices[[#This Row],[Invoice Date]]="","",IF(Invoices[[#This Row],[Terms (days)]]="",Invoices[[#This Row],[Invoice Date]]+Lists!$D$4,Invoices[[#This Row],[Invoice Date]]+Invoices[[#This Row],[Terms (days)]]))</f>
        <v/>
      </c>
      <c r="I24" s="74" t="str">
        <f>IFERROR(Invoices[[#This Row],[Due Date]]-Invoices[[#This Row],[Invoice Date]],"")</f>
        <v/>
      </c>
      <c r="J24" s="27" t="str">
        <f>IFERROR(IF(Invoices[[#This Row],[Days]]="","",IF(Invoices[[#This Row],[Days]]&lt;31,"A",IF(Invoices[[#This Row],[Days]]&lt;31,"B",IF(Invoices[[#This Row],[Days]]&lt;91,"C","D")))),"")</f>
        <v/>
      </c>
    </row>
    <row r="25" spans="2:10" ht="14.1" customHeight="1" x14ac:dyDescent="0.2">
      <c r="B25" s="10"/>
      <c r="C25" s="11"/>
      <c r="E25" s="11"/>
      <c r="G25" s="12"/>
      <c r="H25" s="27" t="str">
        <f>IF(Invoices[[#This Row],[Invoice Date]]="","",IF(Invoices[[#This Row],[Terms (days)]]="",Invoices[[#This Row],[Invoice Date]]+Lists!$D$4,Invoices[[#This Row],[Invoice Date]]+Invoices[[#This Row],[Terms (days)]]))</f>
        <v/>
      </c>
      <c r="I25" s="74" t="str">
        <f>IFERROR(Invoices[[#This Row],[Due Date]]-Invoices[[#This Row],[Invoice Date]],"")</f>
        <v/>
      </c>
      <c r="J25" s="27" t="str">
        <f>IFERROR(IF(Invoices[[#This Row],[Days]]="","",IF(Invoices[[#This Row],[Days]]&lt;31,"A",IF(Invoices[[#This Row],[Days]]&lt;31,"B",IF(Invoices[[#This Row],[Days]]&lt;91,"C","D")))),"")</f>
        <v/>
      </c>
    </row>
    <row r="26" spans="2:10" ht="14.1" customHeight="1" x14ac:dyDescent="0.2">
      <c r="B26" s="10"/>
      <c r="C26" s="11"/>
      <c r="E26" s="11"/>
      <c r="G26" s="12"/>
      <c r="H26" s="27" t="str">
        <f>IF(Invoices[[#This Row],[Invoice Date]]="","",IF(Invoices[[#This Row],[Terms (days)]]="",Invoices[[#This Row],[Invoice Date]]+Lists!$D$4,Invoices[[#This Row],[Invoice Date]]+Invoices[[#This Row],[Terms (days)]]))</f>
        <v/>
      </c>
      <c r="I26" s="74" t="str">
        <f>IFERROR(Invoices[[#This Row],[Due Date]]-Invoices[[#This Row],[Invoice Date]],"")</f>
        <v/>
      </c>
      <c r="J26" s="27" t="str">
        <f>IFERROR(IF(Invoices[[#This Row],[Days]]="","",IF(Invoices[[#This Row],[Days]]&lt;31,"A",IF(Invoices[[#This Row],[Days]]&lt;31,"B",IF(Invoices[[#This Row],[Days]]&lt;91,"C","D")))),"")</f>
        <v/>
      </c>
    </row>
    <row r="27" spans="2:10" ht="14.1" customHeight="1" x14ac:dyDescent="0.2">
      <c r="B27" s="10"/>
      <c r="C27" s="11"/>
      <c r="E27" s="11"/>
      <c r="G27" s="12"/>
      <c r="H27" s="27" t="str">
        <f>IF(Invoices[[#This Row],[Invoice Date]]="","",IF(Invoices[[#This Row],[Terms (days)]]="",Invoices[[#This Row],[Invoice Date]]+Lists!$D$4,Invoices[[#This Row],[Invoice Date]]+Invoices[[#This Row],[Terms (days)]]))</f>
        <v/>
      </c>
      <c r="I27" s="74" t="str">
        <f>IFERROR(Invoices[[#This Row],[Due Date]]-Invoices[[#This Row],[Invoice Date]],"")</f>
        <v/>
      </c>
      <c r="J27" s="27" t="str">
        <f>IFERROR(IF(Invoices[[#This Row],[Days]]="","",IF(Invoices[[#This Row],[Days]]&lt;31,"A",IF(Invoices[[#This Row],[Days]]&lt;31,"B",IF(Invoices[[#This Row],[Days]]&lt;91,"C","D")))),"")</f>
        <v/>
      </c>
    </row>
    <row r="28" spans="2:10" ht="14.1" customHeight="1" x14ac:dyDescent="0.2">
      <c r="B28" s="10"/>
      <c r="C28" s="11"/>
      <c r="E28" s="11"/>
      <c r="G28" s="12"/>
      <c r="H28" s="27" t="str">
        <f>IF(Invoices[[#This Row],[Invoice Date]]="","",IF(Invoices[[#This Row],[Terms (days)]]="",Invoices[[#This Row],[Invoice Date]]+Lists!$D$4,Invoices[[#This Row],[Invoice Date]]+Invoices[[#This Row],[Terms (days)]]))</f>
        <v/>
      </c>
      <c r="I28" s="74" t="str">
        <f>IFERROR(Invoices[[#This Row],[Due Date]]-Invoices[[#This Row],[Invoice Date]],"")</f>
        <v/>
      </c>
      <c r="J28" s="27" t="str">
        <f>IFERROR(IF(Invoices[[#This Row],[Days]]="","",IF(Invoices[[#This Row],[Days]]&lt;31,"A",IF(Invoices[[#This Row],[Days]]&lt;31,"B",IF(Invoices[[#This Row],[Days]]&lt;91,"C","D")))),"")</f>
        <v/>
      </c>
    </row>
    <row r="29" spans="2:10" ht="14.1" customHeight="1" x14ac:dyDescent="0.2">
      <c r="B29" s="10"/>
      <c r="C29" s="11"/>
      <c r="E29" s="11"/>
      <c r="G29" s="12"/>
      <c r="H29" s="27" t="str">
        <f>IF(Invoices[[#This Row],[Invoice Date]]="","",IF(Invoices[[#This Row],[Terms (days)]]="",Invoices[[#This Row],[Invoice Date]]+Lists!$D$4,Invoices[[#This Row],[Invoice Date]]+Invoices[[#This Row],[Terms (days)]]))</f>
        <v/>
      </c>
      <c r="I29" s="74" t="str">
        <f>IFERROR(Invoices[[#This Row],[Due Date]]-Invoices[[#This Row],[Invoice Date]],"")</f>
        <v/>
      </c>
      <c r="J29" s="27" t="str">
        <f>IFERROR(IF(Invoices[[#This Row],[Days]]="","",IF(Invoices[[#This Row],[Days]]&lt;31,"A",IF(Invoices[[#This Row],[Days]]&lt;31,"B",IF(Invoices[[#This Row],[Days]]&lt;91,"C","D")))),"")</f>
        <v/>
      </c>
    </row>
    <row r="30" spans="2:10" ht="14.1" customHeight="1" x14ac:dyDescent="0.2">
      <c r="B30" s="10"/>
      <c r="C30" s="11"/>
      <c r="E30" s="11"/>
      <c r="G30" s="12"/>
      <c r="H30" s="27" t="str">
        <f>IF(Invoices[[#This Row],[Invoice Date]]="","",IF(Invoices[[#This Row],[Terms (days)]]="",Invoices[[#This Row],[Invoice Date]]+Lists!$D$4,Invoices[[#This Row],[Invoice Date]]+Invoices[[#This Row],[Terms (days)]]))</f>
        <v/>
      </c>
      <c r="I30" s="74" t="str">
        <f>IFERROR(Invoices[[#This Row],[Due Date]]-Invoices[[#This Row],[Invoice Date]],"")</f>
        <v/>
      </c>
      <c r="J30" s="27" t="str">
        <f>IFERROR(IF(Invoices[[#This Row],[Days]]="","",IF(Invoices[[#This Row],[Days]]&lt;31,"A",IF(Invoices[[#This Row],[Days]]&lt;31,"B",IF(Invoices[[#This Row],[Days]]&lt;91,"C","D")))),"")</f>
        <v/>
      </c>
    </row>
    <row r="31" spans="2:10" ht="14.1" customHeight="1" x14ac:dyDescent="0.2">
      <c r="B31" s="10"/>
      <c r="C31" s="11"/>
      <c r="E31" s="11"/>
      <c r="G31" s="12"/>
      <c r="H31" s="27" t="str">
        <f>IF(Invoices[[#This Row],[Invoice Date]]="","",IF(Invoices[[#This Row],[Terms (days)]]="",Invoices[[#This Row],[Invoice Date]]+Lists!$D$4,Invoices[[#This Row],[Invoice Date]]+Invoices[[#This Row],[Terms (days)]]))</f>
        <v/>
      </c>
      <c r="I31" s="74" t="str">
        <f>IFERROR(Invoices[[#This Row],[Due Date]]-Invoices[[#This Row],[Invoice Date]],"")</f>
        <v/>
      </c>
      <c r="J31" s="27" t="str">
        <f>IFERROR(IF(Invoices[[#This Row],[Days]]="","",IF(Invoices[[#This Row],[Days]]&lt;31,"A",IF(Invoices[[#This Row],[Days]]&lt;31,"B",IF(Invoices[[#This Row],[Days]]&lt;91,"C","D")))),"")</f>
        <v/>
      </c>
    </row>
    <row r="32" spans="2:10" ht="14.1" customHeight="1" x14ac:dyDescent="0.2">
      <c r="B32" s="10"/>
      <c r="C32" s="11"/>
      <c r="E32" s="11"/>
      <c r="G32" s="12"/>
      <c r="H32" s="27" t="str">
        <f>IF(Invoices[[#This Row],[Invoice Date]]="","",IF(Invoices[[#This Row],[Terms (days)]]="",Invoices[[#This Row],[Invoice Date]]+Lists!$D$4,Invoices[[#This Row],[Invoice Date]]+Invoices[[#This Row],[Terms (days)]]))</f>
        <v/>
      </c>
      <c r="I32" s="74" t="str">
        <f>IFERROR(Invoices[[#This Row],[Due Date]]-Invoices[[#This Row],[Invoice Date]],"")</f>
        <v/>
      </c>
      <c r="J32" s="27" t="str">
        <f>IFERROR(IF(Invoices[[#This Row],[Days]]="","",IF(Invoices[[#This Row],[Days]]&lt;31,"A",IF(Invoices[[#This Row],[Days]]&lt;31,"B",IF(Invoices[[#This Row],[Days]]&lt;91,"C","D")))),"")</f>
        <v/>
      </c>
    </row>
    <row r="33" spans="2:10" ht="14.1" customHeight="1" x14ac:dyDescent="0.2">
      <c r="B33" s="10"/>
      <c r="C33" s="11"/>
      <c r="E33" s="11"/>
      <c r="G33" s="12"/>
      <c r="H33" s="27" t="str">
        <f>IF(Invoices[[#This Row],[Invoice Date]]="","",IF(Invoices[[#This Row],[Terms (days)]]="",Invoices[[#This Row],[Invoice Date]]+Lists!$D$4,Invoices[[#This Row],[Invoice Date]]+Invoices[[#This Row],[Terms (days)]]))</f>
        <v/>
      </c>
      <c r="I33" s="74" t="str">
        <f>IFERROR(Invoices[[#This Row],[Due Date]]-Invoices[[#This Row],[Invoice Date]],"")</f>
        <v/>
      </c>
      <c r="J33" s="27" t="str">
        <f>IFERROR(IF(Invoices[[#This Row],[Days]]="","",IF(Invoices[[#This Row],[Days]]&lt;31,"A",IF(Invoices[[#This Row],[Days]]&lt;31,"B",IF(Invoices[[#This Row],[Days]]&lt;91,"C","D")))),"")</f>
        <v/>
      </c>
    </row>
    <row r="34" spans="2:10" ht="14.1" customHeight="1" x14ac:dyDescent="0.2">
      <c r="B34" s="10"/>
      <c r="C34" s="11"/>
      <c r="E34" s="11"/>
      <c r="G34" s="12"/>
      <c r="H34" s="27" t="str">
        <f>IF(Invoices[[#This Row],[Invoice Date]]="","",IF(Invoices[[#This Row],[Terms (days)]]="",Invoices[[#This Row],[Invoice Date]]+Lists!$D$4,Invoices[[#This Row],[Invoice Date]]+Invoices[[#This Row],[Terms (days)]]))</f>
        <v/>
      </c>
      <c r="I34" s="74" t="str">
        <f>IFERROR(Invoices[[#This Row],[Due Date]]-Invoices[[#This Row],[Invoice Date]],"")</f>
        <v/>
      </c>
      <c r="J34" s="27" t="str">
        <f>IFERROR(IF(Invoices[[#This Row],[Days]]="","",IF(Invoices[[#This Row],[Days]]&lt;31,"A",IF(Invoices[[#This Row],[Days]]&lt;31,"B",IF(Invoices[[#This Row],[Days]]&lt;91,"C","D")))),"")</f>
        <v/>
      </c>
    </row>
    <row r="35" spans="2:10" ht="14.1" customHeight="1" x14ac:dyDescent="0.2">
      <c r="B35" s="10"/>
      <c r="C35" s="11"/>
      <c r="E35" s="11"/>
      <c r="G35" s="12"/>
      <c r="H35" s="27" t="str">
        <f>IF(Invoices[[#This Row],[Invoice Date]]="","",IF(Invoices[[#This Row],[Terms (days)]]="",Invoices[[#This Row],[Invoice Date]]+Lists!$D$4,Invoices[[#This Row],[Invoice Date]]+Invoices[[#This Row],[Terms (days)]]))</f>
        <v/>
      </c>
      <c r="I35" s="74" t="str">
        <f>IFERROR(Invoices[[#This Row],[Due Date]]-Invoices[[#This Row],[Invoice Date]],"")</f>
        <v/>
      </c>
      <c r="J35" s="27" t="str">
        <f>IFERROR(IF(Invoices[[#This Row],[Days]]="","",IF(Invoices[[#This Row],[Days]]&lt;31,"A",IF(Invoices[[#This Row],[Days]]&lt;31,"B",IF(Invoices[[#This Row],[Days]]&lt;91,"C","D")))),"")</f>
        <v/>
      </c>
    </row>
    <row r="36" spans="2:10" ht="14.1" customHeight="1" x14ac:dyDescent="0.2">
      <c r="B36" s="10"/>
      <c r="C36" s="11"/>
      <c r="E36" s="11"/>
      <c r="G36" s="12"/>
      <c r="H36" s="27" t="str">
        <f>IF(Invoices[[#This Row],[Invoice Date]]="","",IF(Invoices[[#This Row],[Terms (days)]]="",Invoices[[#This Row],[Invoice Date]]+Lists!$D$4,Invoices[[#This Row],[Invoice Date]]+Invoices[[#This Row],[Terms (days)]]))</f>
        <v/>
      </c>
      <c r="I36" s="74" t="str">
        <f>IFERROR(Invoices[[#This Row],[Due Date]]-Invoices[[#This Row],[Invoice Date]],"")</f>
        <v/>
      </c>
      <c r="J36" s="27" t="str">
        <f>IFERROR(IF(Invoices[[#This Row],[Days]]="","",IF(Invoices[[#This Row],[Days]]&lt;31,"A",IF(Invoices[[#This Row],[Days]]&lt;31,"B",IF(Invoices[[#This Row],[Days]]&lt;91,"C","D")))),"")</f>
        <v/>
      </c>
    </row>
    <row r="37" spans="2:10" ht="14.1" customHeight="1" x14ac:dyDescent="0.2">
      <c r="B37" s="10"/>
      <c r="C37" s="11"/>
      <c r="E37" s="11"/>
      <c r="G37" s="12"/>
      <c r="H37" s="27" t="str">
        <f>IF(Invoices[[#This Row],[Invoice Date]]="","",IF(Invoices[[#This Row],[Terms (days)]]="",Invoices[[#This Row],[Invoice Date]]+Lists!$D$4,Invoices[[#This Row],[Invoice Date]]+Invoices[[#This Row],[Terms (days)]]))</f>
        <v/>
      </c>
      <c r="I37" s="74" t="str">
        <f>IFERROR(Invoices[[#This Row],[Due Date]]-Invoices[[#This Row],[Invoice Date]],"")</f>
        <v/>
      </c>
      <c r="J37" s="27" t="str">
        <f>IFERROR(IF(Invoices[[#This Row],[Days]]="","",IF(Invoices[[#This Row],[Days]]&lt;31,"A",IF(Invoices[[#This Row],[Days]]&lt;31,"B",IF(Invoices[[#This Row],[Days]]&lt;91,"C","D")))),"")</f>
        <v/>
      </c>
    </row>
    <row r="38" spans="2:10" ht="14.1" customHeight="1" x14ac:dyDescent="0.2">
      <c r="B38" s="10"/>
      <c r="C38" s="11"/>
      <c r="E38" s="11"/>
      <c r="G38" s="12"/>
      <c r="H38" s="27" t="str">
        <f>IF(Invoices[[#This Row],[Invoice Date]]="","",IF(Invoices[[#This Row],[Terms (days)]]="",Invoices[[#This Row],[Invoice Date]]+Lists!$D$4,Invoices[[#This Row],[Invoice Date]]+Invoices[[#This Row],[Terms (days)]]))</f>
        <v/>
      </c>
      <c r="I38" s="74" t="str">
        <f>IFERROR(Invoices[[#This Row],[Due Date]]-Invoices[[#This Row],[Invoice Date]],"")</f>
        <v/>
      </c>
      <c r="J38" s="27" t="str">
        <f>IFERROR(IF(Invoices[[#This Row],[Days]]="","",IF(Invoices[[#This Row],[Days]]&lt;31,"A",IF(Invoices[[#This Row],[Days]]&lt;31,"B",IF(Invoices[[#This Row],[Days]]&lt;91,"C","D")))),"")</f>
        <v/>
      </c>
    </row>
    <row r="39" spans="2:10" ht="14.1" customHeight="1" x14ac:dyDescent="0.2">
      <c r="B39" s="10"/>
      <c r="C39" s="11"/>
      <c r="E39" s="11"/>
      <c r="G39" s="12"/>
      <c r="H39" s="27" t="str">
        <f>IF(Invoices[[#This Row],[Invoice Date]]="","",IF(Invoices[[#This Row],[Terms (days)]]="",Invoices[[#This Row],[Invoice Date]]+Lists!$D$4,Invoices[[#This Row],[Invoice Date]]+Invoices[[#This Row],[Terms (days)]]))</f>
        <v/>
      </c>
      <c r="I39" s="74" t="str">
        <f>IFERROR(Invoices[[#This Row],[Due Date]]-Invoices[[#This Row],[Invoice Date]],"")</f>
        <v/>
      </c>
      <c r="J39" s="27" t="str">
        <f>IFERROR(IF(Invoices[[#This Row],[Days]]="","",IF(Invoices[[#This Row],[Days]]&lt;31,"A",IF(Invoices[[#This Row],[Days]]&lt;31,"B",IF(Invoices[[#This Row],[Days]]&lt;91,"C","D")))),"")</f>
        <v/>
      </c>
    </row>
    <row r="40" spans="2:10" ht="14.1" customHeight="1" x14ac:dyDescent="0.2">
      <c r="B40" s="10"/>
      <c r="C40" s="11"/>
      <c r="E40" s="11"/>
      <c r="G40" s="12"/>
      <c r="H40" s="27" t="str">
        <f>IF(Invoices[[#This Row],[Invoice Date]]="","",IF(Invoices[[#This Row],[Terms (days)]]="",Invoices[[#This Row],[Invoice Date]]+Lists!$D$4,Invoices[[#This Row],[Invoice Date]]+Invoices[[#This Row],[Terms (days)]]))</f>
        <v/>
      </c>
      <c r="I40" s="74" t="str">
        <f>IFERROR(Invoices[[#This Row],[Due Date]]-Invoices[[#This Row],[Invoice Date]],"")</f>
        <v/>
      </c>
      <c r="J40" s="27" t="str">
        <f>IFERROR(IF(Invoices[[#This Row],[Days]]="","",IF(Invoices[[#This Row],[Days]]&lt;31,"A",IF(Invoices[[#This Row],[Days]]&lt;31,"B",IF(Invoices[[#This Row],[Days]]&lt;91,"C","D")))),"")</f>
        <v/>
      </c>
    </row>
    <row r="41" spans="2:10" ht="14.1" customHeight="1" x14ac:dyDescent="0.2">
      <c r="B41" s="10"/>
      <c r="C41" s="11"/>
      <c r="E41" s="11"/>
      <c r="G41" s="12"/>
      <c r="H41" s="27" t="str">
        <f>IF(Invoices[[#This Row],[Invoice Date]]="","",IF(Invoices[[#This Row],[Terms (days)]]="",Invoices[[#This Row],[Invoice Date]]+Lists!$D$4,Invoices[[#This Row],[Invoice Date]]+Invoices[[#This Row],[Terms (days)]]))</f>
        <v/>
      </c>
      <c r="I41" s="74" t="str">
        <f>IFERROR(Invoices[[#This Row],[Due Date]]-Invoices[[#This Row],[Invoice Date]],"")</f>
        <v/>
      </c>
      <c r="J41" s="27" t="str">
        <f>IFERROR(IF(Invoices[[#This Row],[Days]]="","",IF(Invoices[[#This Row],[Days]]&lt;31,"A",IF(Invoices[[#This Row],[Days]]&lt;31,"B",IF(Invoices[[#This Row],[Days]]&lt;91,"C","D")))),"")</f>
        <v/>
      </c>
    </row>
    <row r="42" spans="2:10" ht="14.1" customHeight="1" x14ac:dyDescent="0.2">
      <c r="B42" s="10"/>
      <c r="C42" s="11"/>
      <c r="E42" s="11"/>
      <c r="G42" s="12"/>
      <c r="H42" s="27" t="str">
        <f>IF(Invoices[[#This Row],[Invoice Date]]="","",IF(Invoices[[#This Row],[Terms (days)]]="",Invoices[[#This Row],[Invoice Date]]+Lists!$D$4,Invoices[[#This Row],[Invoice Date]]+Invoices[[#This Row],[Terms (days)]]))</f>
        <v/>
      </c>
      <c r="I42" s="74" t="str">
        <f>IFERROR(Invoices[[#This Row],[Due Date]]-Invoices[[#This Row],[Invoice Date]],"")</f>
        <v/>
      </c>
      <c r="J42" s="27" t="str">
        <f>IFERROR(IF(Invoices[[#This Row],[Days]]="","",IF(Invoices[[#This Row],[Days]]&lt;31,"A",IF(Invoices[[#This Row],[Days]]&lt;31,"B",IF(Invoices[[#This Row],[Days]]&lt;91,"C","D")))),"")</f>
        <v/>
      </c>
    </row>
    <row r="43" spans="2:10" ht="14.1" customHeight="1" x14ac:dyDescent="0.2">
      <c r="B43" s="10"/>
      <c r="C43" s="11"/>
      <c r="E43" s="11"/>
      <c r="G43" s="12"/>
      <c r="H43" s="27" t="str">
        <f>IF(Invoices[[#This Row],[Invoice Date]]="","",IF(Invoices[[#This Row],[Terms (days)]]="",Invoices[[#This Row],[Invoice Date]]+Lists!$D$4,Invoices[[#This Row],[Invoice Date]]+Invoices[[#This Row],[Terms (days)]]))</f>
        <v/>
      </c>
      <c r="I43" s="74" t="str">
        <f>IFERROR(Invoices[[#This Row],[Due Date]]-Invoices[[#This Row],[Invoice Date]],"")</f>
        <v/>
      </c>
      <c r="J43" s="27" t="str">
        <f>IFERROR(IF(Invoices[[#This Row],[Days]]="","",IF(Invoices[[#This Row],[Days]]&lt;31,"A",IF(Invoices[[#This Row],[Days]]&lt;31,"B",IF(Invoices[[#This Row],[Days]]&lt;91,"C","D")))),"")</f>
        <v/>
      </c>
    </row>
    <row r="44" spans="2:10" ht="14.1" customHeight="1" x14ac:dyDescent="0.2">
      <c r="B44" s="10"/>
      <c r="C44" s="11"/>
      <c r="E44" s="11"/>
      <c r="G44" s="12"/>
      <c r="H44" s="27" t="str">
        <f>IF(Invoices[[#This Row],[Invoice Date]]="","",IF(Invoices[[#This Row],[Terms (days)]]="",Invoices[[#This Row],[Invoice Date]]+Lists!$D$4,Invoices[[#This Row],[Invoice Date]]+Invoices[[#This Row],[Terms (days)]]))</f>
        <v/>
      </c>
      <c r="I44" s="74" t="str">
        <f>IFERROR(Invoices[[#This Row],[Due Date]]-Invoices[[#This Row],[Invoice Date]],"")</f>
        <v/>
      </c>
      <c r="J44" s="27" t="str">
        <f>IFERROR(IF(Invoices[[#This Row],[Days]]="","",IF(Invoices[[#This Row],[Days]]&lt;31,"A",IF(Invoices[[#This Row],[Days]]&lt;31,"B",IF(Invoices[[#This Row],[Days]]&lt;91,"C","D")))),"")</f>
        <v/>
      </c>
    </row>
    <row r="45" spans="2:10" ht="14.1" customHeight="1" x14ac:dyDescent="0.2">
      <c r="B45" s="10"/>
      <c r="C45" s="11"/>
      <c r="E45" s="11"/>
      <c r="G45" s="12"/>
      <c r="H45" s="27" t="str">
        <f>IF(Invoices[[#This Row],[Invoice Date]]="","",IF(Invoices[[#This Row],[Terms (days)]]="",Invoices[[#This Row],[Invoice Date]]+Lists!$D$4,Invoices[[#This Row],[Invoice Date]]+Invoices[[#This Row],[Terms (days)]]))</f>
        <v/>
      </c>
      <c r="I45" s="74" t="str">
        <f>IFERROR(Invoices[[#This Row],[Due Date]]-Invoices[[#This Row],[Invoice Date]],"")</f>
        <v/>
      </c>
      <c r="J45" s="27" t="str">
        <f>IFERROR(IF(Invoices[[#This Row],[Days]]="","",IF(Invoices[[#This Row],[Days]]&lt;31,"A",IF(Invoices[[#This Row],[Days]]&lt;31,"B",IF(Invoices[[#This Row],[Days]]&lt;91,"C","D")))),"")</f>
        <v/>
      </c>
    </row>
    <row r="46" spans="2:10" ht="14.1" customHeight="1" x14ac:dyDescent="0.2">
      <c r="B46" s="10"/>
      <c r="C46" s="11"/>
      <c r="E46" s="11"/>
      <c r="G46" s="12"/>
      <c r="H46" s="27" t="str">
        <f>IF(Invoices[[#This Row],[Invoice Date]]="","",IF(Invoices[[#This Row],[Terms (days)]]="",Invoices[[#This Row],[Invoice Date]]+Lists!$D$4,Invoices[[#This Row],[Invoice Date]]+Invoices[[#This Row],[Terms (days)]]))</f>
        <v/>
      </c>
      <c r="I46" s="74" t="str">
        <f>IFERROR(Invoices[[#This Row],[Due Date]]-Invoices[[#This Row],[Invoice Date]],"")</f>
        <v/>
      </c>
      <c r="J46" s="27" t="str">
        <f>IFERROR(IF(Invoices[[#This Row],[Days]]="","",IF(Invoices[[#This Row],[Days]]&lt;31,"A",IF(Invoices[[#This Row],[Days]]&lt;31,"B",IF(Invoices[[#This Row],[Days]]&lt;91,"C","D")))),"")</f>
        <v/>
      </c>
    </row>
    <row r="47" spans="2:10" ht="14.1" customHeight="1" x14ac:dyDescent="0.2">
      <c r="B47" s="10"/>
      <c r="C47" s="11"/>
      <c r="E47" s="11"/>
      <c r="G47" s="12"/>
      <c r="H47" s="27" t="str">
        <f>IF(Invoices[[#This Row],[Invoice Date]]="","",IF(Invoices[[#This Row],[Terms (days)]]="",Invoices[[#This Row],[Invoice Date]]+Lists!$D$4,Invoices[[#This Row],[Invoice Date]]+Invoices[[#This Row],[Terms (days)]]))</f>
        <v/>
      </c>
      <c r="I47" s="74" t="str">
        <f>IFERROR(Invoices[[#This Row],[Due Date]]-Invoices[[#This Row],[Invoice Date]],"")</f>
        <v/>
      </c>
      <c r="J47" s="27" t="str">
        <f>IFERROR(IF(Invoices[[#This Row],[Days]]="","",IF(Invoices[[#This Row],[Days]]&lt;31,"A",IF(Invoices[[#This Row],[Days]]&lt;31,"B",IF(Invoices[[#This Row],[Days]]&lt;91,"C","D")))),"")</f>
        <v/>
      </c>
    </row>
    <row r="48" spans="2:10" ht="14.1" customHeight="1" x14ac:dyDescent="0.2">
      <c r="B48" s="10"/>
      <c r="C48" s="11"/>
      <c r="E48" s="11"/>
      <c r="G48" s="12"/>
      <c r="H48" s="27" t="str">
        <f>IF(Invoices[[#This Row],[Invoice Date]]="","",IF(Invoices[[#This Row],[Terms (days)]]="",Invoices[[#This Row],[Invoice Date]]+Lists!$D$4,Invoices[[#This Row],[Invoice Date]]+Invoices[[#This Row],[Terms (days)]]))</f>
        <v/>
      </c>
      <c r="I48" s="74" t="str">
        <f>IFERROR(Invoices[[#This Row],[Due Date]]-Invoices[[#This Row],[Invoice Date]],"")</f>
        <v/>
      </c>
      <c r="J48" s="27" t="str">
        <f>IFERROR(IF(Invoices[[#This Row],[Days]]="","",IF(Invoices[[#This Row],[Days]]&lt;31,"A",IF(Invoices[[#This Row],[Days]]&lt;31,"B",IF(Invoices[[#This Row],[Days]]&lt;91,"C","D")))),"")</f>
        <v/>
      </c>
    </row>
    <row r="49" spans="2:10" ht="14.1" customHeight="1" x14ac:dyDescent="0.2">
      <c r="B49" s="10"/>
      <c r="C49" s="11"/>
      <c r="E49" s="11"/>
      <c r="G49" s="12"/>
      <c r="H49" s="27" t="str">
        <f>IF(Invoices[[#This Row],[Invoice Date]]="","",IF(Invoices[[#This Row],[Terms (days)]]="",Invoices[[#This Row],[Invoice Date]]+Lists!$D$4,Invoices[[#This Row],[Invoice Date]]+Invoices[[#This Row],[Terms (days)]]))</f>
        <v/>
      </c>
      <c r="I49" s="74" t="str">
        <f>IFERROR(Invoices[[#This Row],[Due Date]]-Invoices[[#This Row],[Invoice Date]],"")</f>
        <v/>
      </c>
      <c r="J49" s="27" t="str">
        <f>IFERROR(IF(Invoices[[#This Row],[Days]]="","",IF(Invoices[[#This Row],[Days]]&lt;31,"A",IF(Invoices[[#This Row],[Days]]&lt;31,"B",IF(Invoices[[#This Row],[Days]]&lt;91,"C","D")))),"")</f>
        <v/>
      </c>
    </row>
    <row r="50" spans="2:10" ht="14.1" customHeight="1" x14ac:dyDescent="0.2">
      <c r="B50" s="10"/>
      <c r="C50" s="11"/>
      <c r="E50" s="11"/>
      <c r="G50" s="12"/>
      <c r="H50" s="27" t="str">
        <f>IF(Invoices[[#This Row],[Invoice Date]]="","",IF(Invoices[[#This Row],[Terms (days)]]="",Invoices[[#This Row],[Invoice Date]]+Lists!$D$4,Invoices[[#This Row],[Invoice Date]]+Invoices[[#This Row],[Terms (days)]]))</f>
        <v/>
      </c>
      <c r="I50" s="74" t="str">
        <f>IFERROR(Invoices[[#This Row],[Due Date]]-Invoices[[#This Row],[Invoice Date]],"")</f>
        <v/>
      </c>
      <c r="J50" s="27" t="str">
        <f>IFERROR(IF(Invoices[[#This Row],[Days]]="","",IF(Invoices[[#This Row],[Days]]&lt;31,"A",IF(Invoices[[#This Row],[Days]]&lt;31,"B",IF(Invoices[[#This Row],[Days]]&lt;91,"C","D")))),"")</f>
        <v/>
      </c>
    </row>
    <row r="51" spans="2:10" ht="14.1" customHeight="1" x14ac:dyDescent="0.2">
      <c r="B51" s="10"/>
      <c r="C51" s="11"/>
      <c r="E51" s="11"/>
      <c r="G51" s="12"/>
      <c r="H51" s="27" t="str">
        <f>IF(Invoices[[#This Row],[Invoice Date]]="","",IF(Invoices[[#This Row],[Terms (days)]]="",Invoices[[#This Row],[Invoice Date]]+Lists!$D$4,Invoices[[#This Row],[Invoice Date]]+Invoices[[#This Row],[Terms (days)]]))</f>
        <v/>
      </c>
      <c r="I51" s="74" t="str">
        <f>IFERROR(Invoices[[#This Row],[Due Date]]-Invoices[[#This Row],[Invoice Date]],"")</f>
        <v/>
      </c>
      <c r="J51" s="27" t="str">
        <f>IFERROR(IF(Invoices[[#This Row],[Days]]="","",IF(Invoices[[#This Row],[Days]]&lt;31,"A",IF(Invoices[[#This Row],[Days]]&lt;31,"B",IF(Invoices[[#This Row],[Days]]&lt;91,"C","D")))),"")</f>
        <v/>
      </c>
    </row>
    <row r="52" spans="2:10" ht="14.1" customHeight="1" x14ac:dyDescent="0.2">
      <c r="B52" s="10"/>
      <c r="C52" s="11"/>
      <c r="E52" s="11"/>
      <c r="G52" s="12"/>
      <c r="H52" s="27" t="str">
        <f>IF(Invoices[[#This Row],[Invoice Date]]="","",IF(Invoices[[#This Row],[Terms (days)]]="",Invoices[[#This Row],[Invoice Date]]+Lists!$D$4,Invoices[[#This Row],[Invoice Date]]+Invoices[[#This Row],[Terms (days)]]))</f>
        <v/>
      </c>
      <c r="I52" s="74" t="str">
        <f>IFERROR(Invoices[[#This Row],[Due Date]]-Invoices[[#This Row],[Invoice Date]],"")</f>
        <v/>
      </c>
      <c r="J52" s="27" t="str">
        <f>IFERROR(IF(Invoices[[#This Row],[Days]]="","",IF(Invoices[[#This Row],[Days]]&lt;31,"A",IF(Invoices[[#This Row],[Days]]&lt;31,"B",IF(Invoices[[#This Row],[Days]]&lt;91,"C","D")))),"")</f>
        <v/>
      </c>
    </row>
    <row r="53" spans="2:10" ht="14.1" customHeight="1" x14ac:dyDescent="0.2">
      <c r="B53" s="10"/>
      <c r="C53" s="11"/>
      <c r="E53" s="11"/>
      <c r="G53" s="12"/>
      <c r="H53" s="27" t="str">
        <f>IF(Invoices[[#This Row],[Invoice Date]]="","",IF(Invoices[[#This Row],[Terms (days)]]="",Invoices[[#This Row],[Invoice Date]]+Lists!$D$4,Invoices[[#This Row],[Invoice Date]]+Invoices[[#This Row],[Terms (days)]]))</f>
        <v/>
      </c>
      <c r="I53" s="74" t="str">
        <f>IFERROR(Invoices[[#This Row],[Due Date]]-Invoices[[#This Row],[Invoice Date]],"")</f>
        <v/>
      </c>
      <c r="J53" s="27" t="str">
        <f>IFERROR(IF(Invoices[[#This Row],[Days]]="","",IF(Invoices[[#This Row],[Days]]&lt;31,"A",IF(Invoices[[#This Row],[Days]]&lt;31,"B",IF(Invoices[[#This Row],[Days]]&lt;91,"C","D")))),"")</f>
        <v/>
      </c>
    </row>
    <row r="54" spans="2:10" ht="14.1" customHeight="1" x14ac:dyDescent="0.2">
      <c r="B54" s="10"/>
      <c r="C54" s="11"/>
      <c r="E54" s="11"/>
      <c r="G54" s="12"/>
      <c r="H54" s="27" t="str">
        <f>IF(Invoices[[#This Row],[Invoice Date]]="","",IF(Invoices[[#This Row],[Terms (days)]]="",Invoices[[#This Row],[Invoice Date]]+Lists!$D$4,Invoices[[#This Row],[Invoice Date]]+Invoices[[#This Row],[Terms (days)]]))</f>
        <v/>
      </c>
      <c r="I54" s="74" t="str">
        <f>IFERROR(Invoices[[#This Row],[Due Date]]-Invoices[[#This Row],[Invoice Date]],"")</f>
        <v/>
      </c>
      <c r="J54" s="27" t="str">
        <f>IFERROR(IF(Invoices[[#This Row],[Days]]="","",IF(Invoices[[#This Row],[Days]]&lt;31,"A",IF(Invoices[[#This Row],[Days]]&lt;31,"B",IF(Invoices[[#This Row],[Days]]&lt;91,"C","D")))),"")</f>
        <v/>
      </c>
    </row>
    <row r="55" spans="2:10" ht="14.1" customHeight="1" x14ac:dyDescent="0.2">
      <c r="B55" s="10"/>
      <c r="C55" s="11"/>
      <c r="E55" s="11"/>
      <c r="G55" s="12"/>
      <c r="H55" s="27" t="str">
        <f>IF(Invoices[[#This Row],[Invoice Date]]="","",IF(Invoices[[#This Row],[Terms (days)]]="",Invoices[[#This Row],[Invoice Date]]+Lists!$D$4,Invoices[[#This Row],[Invoice Date]]+Invoices[[#This Row],[Terms (days)]]))</f>
        <v/>
      </c>
      <c r="I55" s="74" t="str">
        <f>IFERROR(Invoices[[#This Row],[Due Date]]-Invoices[[#This Row],[Invoice Date]],"")</f>
        <v/>
      </c>
      <c r="J55" s="27" t="str">
        <f>IFERROR(IF(Invoices[[#This Row],[Days]]="","",IF(Invoices[[#This Row],[Days]]&lt;31,"A",IF(Invoices[[#This Row],[Days]]&lt;31,"B",IF(Invoices[[#This Row],[Days]]&lt;91,"C","D")))),"")</f>
        <v/>
      </c>
    </row>
    <row r="56" spans="2:10" ht="14.1" customHeight="1" x14ac:dyDescent="0.2">
      <c r="B56" s="10"/>
      <c r="C56" s="11"/>
      <c r="E56" s="11"/>
      <c r="G56" s="12"/>
      <c r="H56" s="27" t="str">
        <f>IF(Invoices[[#This Row],[Invoice Date]]="","",IF(Invoices[[#This Row],[Terms (days)]]="",Invoices[[#This Row],[Invoice Date]]+Lists!$D$4,Invoices[[#This Row],[Invoice Date]]+Invoices[[#This Row],[Terms (days)]]))</f>
        <v/>
      </c>
      <c r="I56" s="74" t="str">
        <f>IFERROR(Invoices[[#This Row],[Due Date]]-Invoices[[#This Row],[Invoice Date]],"")</f>
        <v/>
      </c>
      <c r="J56" s="27" t="str">
        <f>IFERROR(IF(Invoices[[#This Row],[Days]]="","",IF(Invoices[[#This Row],[Days]]&lt;31,"A",IF(Invoices[[#This Row],[Days]]&lt;31,"B",IF(Invoices[[#This Row],[Days]]&lt;91,"C","D")))),"")</f>
        <v/>
      </c>
    </row>
    <row r="57" spans="2:10" ht="14.1" customHeight="1" x14ac:dyDescent="0.2">
      <c r="B57" s="10"/>
      <c r="C57" s="11"/>
      <c r="E57" s="11"/>
      <c r="G57" s="12"/>
      <c r="H57" s="27" t="str">
        <f>IF(Invoices[[#This Row],[Invoice Date]]="","",IF(Invoices[[#This Row],[Terms (days)]]="",Invoices[[#This Row],[Invoice Date]]+Lists!$D$4,Invoices[[#This Row],[Invoice Date]]+Invoices[[#This Row],[Terms (days)]]))</f>
        <v/>
      </c>
      <c r="I57" s="74" t="str">
        <f>IFERROR(Invoices[[#This Row],[Due Date]]-Invoices[[#This Row],[Invoice Date]],"")</f>
        <v/>
      </c>
      <c r="J57" s="27" t="str">
        <f>IFERROR(IF(Invoices[[#This Row],[Days]]="","",IF(Invoices[[#This Row],[Days]]&lt;31,"A",IF(Invoices[[#This Row],[Days]]&lt;31,"B",IF(Invoices[[#This Row],[Days]]&lt;91,"C","D")))),"")</f>
        <v/>
      </c>
    </row>
    <row r="58" spans="2:10" ht="14.1" customHeight="1" x14ac:dyDescent="0.2">
      <c r="B58" s="10"/>
      <c r="C58" s="11"/>
      <c r="E58" s="11"/>
      <c r="G58" s="12"/>
      <c r="H58" s="27" t="str">
        <f>IF(Invoices[[#This Row],[Invoice Date]]="","",IF(Invoices[[#This Row],[Terms (days)]]="",Invoices[[#This Row],[Invoice Date]]+Lists!$D$4,Invoices[[#This Row],[Invoice Date]]+Invoices[[#This Row],[Terms (days)]]))</f>
        <v/>
      </c>
      <c r="I58" s="74" t="str">
        <f>IFERROR(Invoices[[#This Row],[Due Date]]-Invoices[[#This Row],[Invoice Date]],"")</f>
        <v/>
      </c>
      <c r="J58" s="27" t="str">
        <f>IFERROR(IF(Invoices[[#This Row],[Days]]="","",IF(Invoices[[#This Row],[Days]]&lt;31,"A",IF(Invoices[[#This Row],[Days]]&lt;31,"B",IF(Invoices[[#This Row],[Days]]&lt;91,"C","D")))),"")</f>
        <v/>
      </c>
    </row>
    <row r="59" spans="2:10" ht="14.1" customHeight="1" x14ac:dyDescent="0.2">
      <c r="B59" s="10"/>
      <c r="C59" s="11"/>
      <c r="E59" s="11"/>
      <c r="G59" s="12"/>
      <c r="H59" s="27" t="str">
        <f>IF(Invoices[[#This Row],[Invoice Date]]="","",IF(Invoices[[#This Row],[Terms (days)]]="",Invoices[[#This Row],[Invoice Date]]+Lists!$D$4,Invoices[[#This Row],[Invoice Date]]+Invoices[[#This Row],[Terms (days)]]))</f>
        <v/>
      </c>
      <c r="I59" s="74" t="str">
        <f>IFERROR(Invoices[[#This Row],[Due Date]]-Invoices[[#This Row],[Invoice Date]],"")</f>
        <v/>
      </c>
      <c r="J59" s="27" t="str">
        <f>IFERROR(IF(Invoices[[#This Row],[Days]]="","",IF(Invoices[[#This Row],[Days]]&lt;31,"A",IF(Invoices[[#This Row],[Days]]&lt;31,"B",IF(Invoices[[#This Row],[Days]]&lt;91,"C","D")))),"")</f>
        <v/>
      </c>
    </row>
    <row r="60" spans="2:10" ht="14.1" customHeight="1" x14ac:dyDescent="0.2">
      <c r="B60" s="10"/>
      <c r="C60" s="11"/>
      <c r="E60" s="11"/>
      <c r="G60" s="12"/>
      <c r="H60" s="27" t="str">
        <f>IF(Invoices[[#This Row],[Invoice Date]]="","",IF(Invoices[[#This Row],[Terms (days)]]="",Invoices[[#This Row],[Invoice Date]]+Lists!$D$4,Invoices[[#This Row],[Invoice Date]]+Invoices[[#This Row],[Terms (days)]]))</f>
        <v/>
      </c>
      <c r="I60" s="74" t="str">
        <f>IFERROR(Invoices[[#This Row],[Due Date]]-Invoices[[#This Row],[Invoice Date]],"")</f>
        <v/>
      </c>
      <c r="J60" s="27" t="str">
        <f>IFERROR(IF(Invoices[[#This Row],[Days]]="","",IF(Invoices[[#This Row],[Days]]&lt;31,"A",IF(Invoices[[#This Row],[Days]]&lt;31,"B",IF(Invoices[[#This Row],[Days]]&lt;91,"C","D")))),"")</f>
        <v/>
      </c>
    </row>
    <row r="61" spans="2:10" ht="14.1" customHeight="1" x14ac:dyDescent="0.2">
      <c r="B61" s="10"/>
      <c r="C61" s="11"/>
      <c r="E61" s="11"/>
      <c r="G61" s="12"/>
      <c r="H61" s="27" t="str">
        <f>IF(Invoices[[#This Row],[Invoice Date]]="","",IF(Invoices[[#This Row],[Terms (days)]]="",Invoices[[#This Row],[Invoice Date]]+Lists!$D$4,Invoices[[#This Row],[Invoice Date]]+Invoices[[#This Row],[Terms (days)]]))</f>
        <v/>
      </c>
      <c r="I61" s="74" t="str">
        <f>IFERROR(Invoices[[#This Row],[Due Date]]-Invoices[[#This Row],[Invoice Date]],"")</f>
        <v/>
      </c>
      <c r="J61" s="27" t="str">
        <f>IFERROR(IF(Invoices[[#This Row],[Days]]="","",IF(Invoices[[#This Row],[Days]]&lt;31,"A",IF(Invoices[[#This Row],[Days]]&lt;31,"B",IF(Invoices[[#This Row],[Days]]&lt;91,"C","D")))),"")</f>
        <v/>
      </c>
    </row>
    <row r="62" spans="2:10" ht="14.1" customHeight="1" x14ac:dyDescent="0.2">
      <c r="B62" s="10"/>
      <c r="C62" s="11"/>
      <c r="E62" s="11"/>
      <c r="G62" s="12"/>
      <c r="H62" s="27" t="str">
        <f>IF(Invoices[[#This Row],[Invoice Date]]="","",IF(Invoices[[#This Row],[Terms (days)]]="",Invoices[[#This Row],[Invoice Date]]+Lists!$D$4,Invoices[[#This Row],[Invoice Date]]+Invoices[[#This Row],[Terms (days)]]))</f>
        <v/>
      </c>
      <c r="I62" s="74" t="str">
        <f>IFERROR(Invoices[[#This Row],[Due Date]]-Invoices[[#This Row],[Invoice Date]],"")</f>
        <v/>
      </c>
      <c r="J62" s="27" t="str">
        <f>IFERROR(IF(Invoices[[#This Row],[Days]]="","",IF(Invoices[[#This Row],[Days]]&lt;31,"A",IF(Invoices[[#This Row],[Days]]&lt;31,"B",IF(Invoices[[#This Row],[Days]]&lt;91,"C","D")))),"")</f>
        <v/>
      </c>
    </row>
    <row r="63" spans="2:10" ht="14.1" customHeight="1" x14ac:dyDescent="0.2">
      <c r="B63" s="10"/>
      <c r="C63" s="11"/>
      <c r="E63" s="11"/>
      <c r="G63" s="12"/>
      <c r="H63" s="27" t="str">
        <f>IF(Invoices[[#This Row],[Invoice Date]]="","",IF(Invoices[[#This Row],[Terms (days)]]="",Invoices[[#This Row],[Invoice Date]]+Lists!$D$4,Invoices[[#This Row],[Invoice Date]]+Invoices[[#This Row],[Terms (days)]]))</f>
        <v/>
      </c>
      <c r="I63" s="74" t="str">
        <f>IFERROR(Invoices[[#This Row],[Due Date]]-Invoices[[#This Row],[Invoice Date]],"")</f>
        <v/>
      </c>
      <c r="J63" s="27" t="str">
        <f>IFERROR(IF(Invoices[[#This Row],[Days]]="","",IF(Invoices[[#This Row],[Days]]&lt;31,"A",IF(Invoices[[#This Row],[Days]]&lt;31,"B",IF(Invoices[[#This Row],[Days]]&lt;91,"C","D")))),"")</f>
        <v/>
      </c>
    </row>
    <row r="64" spans="2:10" ht="14.1" customHeight="1" x14ac:dyDescent="0.2">
      <c r="B64" s="10"/>
      <c r="C64" s="11"/>
      <c r="E64" s="11"/>
      <c r="G64" s="12"/>
      <c r="H64" s="27" t="str">
        <f>IF(Invoices[[#This Row],[Invoice Date]]="","",IF(Invoices[[#This Row],[Terms (days)]]="",Invoices[[#This Row],[Invoice Date]]+Lists!$D$4,Invoices[[#This Row],[Invoice Date]]+Invoices[[#This Row],[Terms (days)]]))</f>
        <v/>
      </c>
      <c r="I64" s="74" t="str">
        <f>IFERROR(Invoices[[#This Row],[Due Date]]-Invoices[[#This Row],[Invoice Date]],"")</f>
        <v/>
      </c>
      <c r="J64" s="27" t="str">
        <f>IFERROR(IF(Invoices[[#This Row],[Days]]="","",IF(Invoices[[#This Row],[Days]]&lt;31,"A",IF(Invoices[[#This Row],[Days]]&lt;31,"B",IF(Invoices[[#This Row],[Days]]&lt;91,"C","D")))),"")</f>
        <v/>
      </c>
    </row>
    <row r="65" spans="2:10" ht="14.1" customHeight="1" x14ac:dyDescent="0.2">
      <c r="B65" s="10"/>
      <c r="C65" s="11"/>
      <c r="E65" s="11"/>
      <c r="G65" s="12"/>
      <c r="H65" s="27" t="str">
        <f>IF(Invoices[[#This Row],[Invoice Date]]="","",IF(Invoices[[#This Row],[Terms (days)]]="",Invoices[[#This Row],[Invoice Date]]+Lists!$D$4,Invoices[[#This Row],[Invoice Date]]+Invoices[[#This Row],[Terms (days)]]))</f>
        <v/>
      </c>
      <c r="I65" s="74" t="str">
        <f>IFERROR(Invoices[[#This Row],[Due Date]]-Invoices[[#This Row],[Invoice Date]],"")</f>
        <v/>
      </c>
      <c r="J65" s="27" t="str">
        <f>IFERROR(IF(Invoices[[#This Row],[Days]]="","",IF(Invoices[[#This Row],[Days]]&lt;31,"A",IF(Invoices[[#This Row],[Days]]&lt;31,"B",IF(Invoices[[#This Row],[Days]]&lt;91,"C","D")))),"")</f>
        <v/>
      </c>
    </row>
    <row r="66" spans="2:10" ht="14.1" customHeight="1" x14ac:dyDescent="0.2">
      <c r="B66" s="10"/>
      <c r="C66" s="11"/>
      <c r="E66" s="11"/>
      <c r="G66" s="12"/>
      <c r="H66" s="27" t="str">
        <f>IF(Invoices[[#This Row],[Invoice Date]]="","",IF(Invoices[[#This Row],[Terms (days)]]="",Invoices[[#This Row],[Invoice Date]]+Lists!$D$4,Invoices[[#This Row],[Invoice Date]]+Invoices[[#This Row],[Terms (days)]]))</f>
        <v/>
      </c>
      <c r="I66" s="74" t="str">
        <f>IFERROR(Invoices[[#This Row],[Due Date]]-Invoices[[#This Row],[Invoice Date]],"")</f>
        <v/>
      </c>
      <c r="J66" s="27" t="str">
        <f>IFERROR(IF(Invoices[[#This Row],[Days]]="","",IF(Invoices[[#This Row],[Days]]&lt;31,"A",IF(Invoices[[#This Row],[Days]]&lt;31,"B",IF(Invoices[[#This Row],[Days]]&lt;91,"C","D")))),"")</f>
        <v/>
      </c>
    </row>
    <row r="67" spans="2:10" ht="14.1" customHeight="1" x14ac:dyDescent="0.2">
      <c r="B67" s="10"/>
      <c r="C67" s="11"/>
      <c r="E67" s="11"/>
      <c r="G67" s="12"/>
      <c r="H67" s="27" t="str">
        <f>IF(Invoices[[#This Row],[Invoice Date]]="","",IF(Invoices[[#This Row],[Terms (days)]]="",Invoices[[#This Row],[Invoice Date]]+Lists!$D$4,Invoices[[#This Row],[Invoice Date]]+Invoices[[#This Row],[Terms (days)]]))</f>
        <v/>
      </c>
      <c r="I67" s="74" t="str">
        <f>IFERROR(Invoices[[#This Row],[Due Date]]-Invoices[[#This Row],[Invoice Date]],"")</f>
        <v/>
      </c>
      <c r="J67" s="27" t="str">
        <f>IFERROR(IF(Invoices[[#This Row],[Days]]="","",IF(Invoices[[#This Row],[Days]]&lt;31,"A",IF(Invoices[[#This Row],[Days]]&lt;31,"B",IF(Invoices[[#This Row],[Days]]&lt;91,"C","D")))),"")</f>
        <v/>
      </c>
    </row>
    <row r="68" spans="2:10" ht="14.1" customHeight="1" x14ac:dyDescent="0.2">
      <c r="B68" s="10"/>
      <c r="C68" s="11"/>
      <c r="E68" s="11"/>
      <c r="G68" s="12"/>
      <c r="H68" s="27" t="str">
        <f>IF(Invoices[[#This Row],[Invoice Date]]="","",IF(Invoices[[#This Row],[Terms (days)]]="",Invoices[[#This Row],[Invoice Date]]+Lists!$D$4,Invoices[[#This Row],[Invoice Date]]+Invoices[[#This Row],[Terms (days)]]))</f>
        <v/>
      </c>
      <c r="I68" s="74" t="str">
        <f>IFERROR(Invoices[[#This Row],[Due Date]]-Invoices[[#This Row],[Invoice Date]],"")</f>
        <v/>
      </c>
      <c r="J68" s="27" t="str">
        <f>IFERROR(IF(Invoices[[#This Row],[Days]]="","",IF(Invoices[[#This Row],[Days]]&lt;31,"A",IF(Invoices[[#This Row],[Days]]&lt;31,"B",IF(Invoices[[#This Row],[Days]]&lt;91,"C","D")))),"")</f>
        <v/>
      </c>
    </row>
    <row r="69" spans="2:10" ht="14.1" customHeight="1" x14ac:dyDescent="0.2">
      <c r="B69" s="10"/>
      <c r="C69" s="11"/>
      <c r="E69" s="11"/>
      <c r="G69" s="12"/>
      <c r="H69" s="27" t="str">
        <f>IF(Invoices[[#This Row],[Invoice Date]]="","",IF(Invoices[[#This Row],[Terms (days)]]="",Invoices[[#This Row],[Invoice Date]]+Lists!$D$4,Invoices[[#This Row],[Invoice Date]]+Invoices[[#This Row],[Terms (days)]]))</f>
        <v/>
      </c>
      <c r="I69" s="74" t="str">
        <f>IFERROR(Invoices[[#This Row],[Due Date]]-Invoices[[#This Row],[Invoice Date]],"")</f>
        <v/>
      </c>
      <c r="J69" s="27" t="str">
        <f>IFERROR(IF(Invoices[[#This Row],[Days]]="","",IF(Invoices[[#This Row],[Days]]&lt;31,"A",IF(Invoices[[#This Row],[Days]]&lt;31,"B",IF(Invoices[[#This Row],[Days]]&lt;91,"C","D")))),"")</f>
        <v/>
      </c>
    </row>
    <row r="70" spans="2:10" ht="14.1" customHeight="1" x14ac:dyDescent="0.2">
      <c r="B70" s="10"/>
      <c r="C70" s="11"/>
      <c r="E70" s="11"/>
      <c r="G70" s="12"/>
      <c r="H70" s="27" t="str">
        <f>IF(Invoices[[#This Row],[Invoice Date]]="","",IF(Invoices[[#This Row],[Terms (days)]]="",Invoices[[#This Row],[Invoice Date]]+Lists!$D$4,Invoices[[#This Row],[Invoice Date]]+Invoices[[#This Row],[Terms (days)]]))</f>
        <v/>
      </c>
      <c r="I70" s="74" t="str">
        <f>IFERROR(Invoices[[#This Row],[Due Date]]-Invoices[[#This Row],[Invoice Date]],"")</f>
        <v/>
      </c>
      <c r="J70" s="27" t="str">
        <f>IFERROR(IF(Invoices[[#This Row],[Days]]="","",IF(Invoices[[#This Row],[Days]]&lt;31,"A",IF(Invoices[[#This Row],[Days]]&lt;31,"B",IF(Invoices[[#This Row],[Days]]&lt;91,"C","D")))),"")</f>
        <v/>
      </c>
    </row>
    <row r="71" spans="2:10" ht="14.1" customHeight="1" x14ac:dyDescent="0.2">
      <c r="B71" s="10"/>
      <c r="C71" s="11"/>
      <c r="E71" s="11"/>
      <c r="G71" s="12"/>
      <c r="H71" s="27" t="str">
        <f>IF(Invoices[[#This Row],[Invoice Date]]="","",IF(Invoices[[#This Row],[Terms (days)]]="",Invoices[[#This Row],[Invoice Date]]+Lists!$D$4,Invoices[[#This Row],[Invoice Date]]+Invoices[[#This Row],[Terms (days)]]))</f>
        <v/>
      </c>
      <c r="I71" s="74" t="str">
        <f>IFERROR(Invoices[[#This Row],[Due Date]]-Invoices[[#This Row],[Invoice Date]],"")</f>
        <v/>
      </c>
      <c r="J71" s="27" t="str">
        <f>IFERROR(IF(Invoices[[#This Row],[Days]]="","",IF(Invoices[[#This Row],[Days]]&lt;31,"A",IF(Invoices[[#This Row],[Days]]&lt;31,"B",IF(Invoices[[#This Row],[Days]]&lt;91,"C","D")))),"")</f>
        <v/>
      </c>
    </row>
    <row r="72" spans="2:10" ht="14.1" customHeight="1" x14ac:dyDescent="0.2">
      <c r="B72" s="10"/>
      <c r="C72" s="11"/>
      <c r="E72" s="11"/>
      <c r="G72" s="12"/>
      <c r="H72" s="27" t="str">
        <f>IF(Invoices[[#This Row],[Invoice Date]]="","",IF(Invoices[[#This Row],[Terms (days)]]="",Invoices[[#This Row],[Invoice Date]]+Lists!$D$4,Invoices[[#This Row],[Invoice Date]]+Invoices[[#This Row],[Terms (days)]]))</f>
        <v/>
      </c>
      <c r="I72" s="74" t="str">
        <f>IFERROR(Invoices[[#This Row],[Due Date]]-Invoices[[#This Row],[Invoice Date]],"")</f>
        <v/>
      </c>
      <c r="J72" s="27" t="str">
        <f>IFERROR(IF(Invoices[[#This Row],[Days]]="","",IF(Invoices[[#This Row],[Days]]&lt;31,"A",IF(Invoices[[#This Row],[Days]]&lt;31,"B",IF(Invoices[[#This Row],[Days]]&lt;91,"C","D")))),"")</f>
        <v/>
      </c>
    </row>
    <row r="73" spans="2:10" ht="14.1" customHeight="1" x14ac:dyDescent="0.2">
      <c r="B73" s="10"/>
      <c r="C73" s="11"/>
      <c r="E73" s="11"/>
      <c r="G73" s="12"/>
      <c r="H73" s="27" t="str">
        <f>IF(Invoices[[#This Row],[Invoice Date]]="","",IF(Invoices[[#This Row],[Terms (days)]]="",Invoices[[#This Row],[Invoice Date]]+Lists!$D$4,Invoices[[#This Row],[Invoice Date]]+Invoices[[#This Row],[Terms (days)]]))</f>
        <v/>
      </c>
      <c r="I73" s="74" t="str">
        <f>IFERROR(Invoices[[#This Row],[Due Date]]-Invoices[[#This Row],[Invoice Date]],"")</f>
        <v/>
      </c>
      <c r="J73" s="27" t="str">
        <f>IFERROR(IF(Invoices[[#This Row],[Days]]="","",IF(Invoices[[#This Row],[Days]]&lt;31,"A",IF(Invoices[[#This Row],[Days]]&lt;31,"B",IF(Invoices[[#This Row],[Days]]&lt;91,"C","D")))),"")</f>
        <v/>
      </c>
    </row>
    <row r="74" spans="2:10" ht="14.1" customHeight="1" x14ac:dyDescent="0.2">
      <c r="B74" s="10"/>
      <c r="C74" s="11"/>
      <c r="E74" s="11"/>
      <c r="G74" s="12"/>
      <c r="H74" s="27" t="str">
        <f>IF(Invoices[[#This Row],[Invoice Date]]="","",IF(Invoices[[#This Row],[Terms (days)]]="",Invoices[[#This Row],[Invoice Date]]+Lists!$D$4,Invoices[[#This Row],[Invoice Date]]+Invoices[[#This Row],[Terms (days)]]))</f>
        <v/>
      </c>
      <c r="I74" s="74" t="str">
        <f>IFERROR(Invoices[[#This Row],[Due Date]]-Invoices[[#This Row],[Invoice Date]],"")</f>
        <v/>
      </c>
      <c r="J74" s="27" t="str">
        <f>IFERROR(IF(Invoices[[#This Row],[Days]]="","",IF(Invoices[[#This Row],[Days]]&lt;31,"A",IF(Invoices[[#This Row],[Days]]&lt;31,"B",IF(Invoices[[#This Row],[Days]]&lt;91,"C","D")))),"")</f>
        <v/>
      </c>
    </row>
    <row r="75" spans="2:10" ht="14.1" customHeight="1" x14ac:dyDescent="0.2">
      <c r="B75" s="10"/>
      <c r="C75" s="11"/>
      <c r="E75" s="11"/>
      <c r="G75" s="12"/>
      <c r="H75" s="27" t="str">
        <f>IF(Invoices[[#This Row],[Invoice Date]]="","",IF(Invoices[[#This Row],[Terms (days)]]="",Invoices[[#This Row],[Invoice Date]]+Lists!$D$4,Invoices[[#This Row],[Invoice Date]]+Invoices[[#This Row],[Terms (days)]]))</f>
        <v/>
      </c>
      <c r="I75" s="74" t="str">
        <f>IFERROR(Invoices[[#This Row],[Due Date]]-Invoices[[#This Row],[Invoice Date]],"")</f>
        <v/>
      </c>
      <c r="J75" s="27" t="str">
        <f>IFERROR(IF(Invoices[[#This Row],[Days]]="","",IF(Invoices[[#This Row],[Days]]&lt;31,"A",IF(Invoices[[#This Row],[Days]]&lt;31,"B",IF(Invoices[[#This Row],[Days]]&lt;91,"C","D")))),"")</f>
        <v/>
      </c>
    </row>
    <row r="76" spans="2:10" ht="14.1" customHeight="1" x14ac:dyDescent="0.2">
      <c r="B76" s="10"/>
      <c r="C76" s="11"/>
      <c r="E76" s="11"/>
      <c r="G76" s="12"/>
      <c r="H76" s="27" t="str">
        <f>IF(Invoices[[#This Row],[Invoice Date]]="","",IF(Invoices[[#This Row],[Terms (days)]]="",Invoices[[#This Row],[Invoice Date]]+Lists!$D$4,Invoices[[#This Row],[Invoice Date]]+Invoices[[#This Row],[Terms (days)]]))</f>
        <v/>
      </c>
      <c r="I76" s="74" t="str">
        <f>IFERROR(Invoices[[#This Row],[Due Date]]-Invoices[[#This Row],[Invoice Date]],"")</f>
        <v/>
      </c>
      <c r="J76" s="27" t="str">
        <f>IFERROR(IF(Invoices[[#This Row],[Days]]="","",IF(Invoices[[#This Row],[Days]]&lt;31,"A",IF(Invoices[[#This Row],[Days]]&lt;31,"B",IF(Invoices[[#This Row],[Days]]&lt;91,"C","D")))),"")</f>
        <v/>
      </c>
    </row>
    <row r="77" spans="2:10" ht="14.1" customHeight="1" x14ac:dyDescent="0.2">
      <c r="B77" s="10"/>
      <c r="C77" s="11"/>
      <c r="E77" s="11"/>
      <c r="G77" s="12"/>
      <c r="H77" s="27" t="str">
        <f>IF(Invoices[[#This Row],[Invoice Date]]="","",IF(Invoices[[#This Row],[Terms (days)]]="",Invoices[[#This Row],[Invoice Date]]+Lists!$D$4,Invoices[[#This Row],[Invoice Date]]+Invoices[[#This Row],[Terms (days)]]))</f>
        <v/>
      </c>
      <c r="I77" s="74" t="str">
        <f>IFERROR(Invoices[[#This Row],[Due Date]]-Invoices[[#This Row],[Invoice Date]],"")</f>
        <v/>
      </c>
      <c r="J77" s="27" t="str">
        <f>IFERROR(IF(Invoices[[#This Row],[Days]]="","",IF(Invoices[[#This Row],[Days]]&lt;31,"A",IF(Invoices[[#This Row],[Days]]&lt;31,"B",IF(Invoices[[#This Row],[Days]]&lt;91,"C","D")))),"")</f>
        <v/>
      </c>
    </row>
    <row r="78" spans="2:10" ht="14.1" customHeight="1" x14ac:dyDescent="0.2">
      <c r="B78" s="10"/>
      <c r="C78" s="11"/>
      <c r="E78" s="11"/>
      <c r="G78" s="12"/>
      <c r="H78" s="27" t="str">
        <f>IF(Invoices[[#This Row],[Invoice Date]]="","",IF(Invoices[[#This Row],[Terms (days)]]="",Invoices[[#This Row],[Invoice Date]]+Lists!$D$4,Invoices[[#This Row],[Invoice Date]]+Invoices[[#This Row],[Terms (days)]]))</f>
        <v/>
      </c>
      <c r="I78" s="74" t="str">
        <f>IFERROR(Invoices[[#This Row],[Due Date]]-Invoices[[#This Row],[Invoice Date]],"")</f>
        <v/>
      </c>
      <c r="J78" s="27" t="str">
        <f>IFERROR(IF(Invoices[[#This Row],[Days]]="","",IF(Invoices[[#This Row],[Days]]&lt;31,"A",IF(Invoices[[#This Row],[Days]]&lt;31,"B",IF(Invoices[[#This Row],[Days]]&lt;91,"C","D")))),"")</f>
        <v/>
      </c>
    </row>
    <row r="79" spans="2:10" ht="14.1" customHeight="1" x14ac:dyDescent="0.2">
      <c r="B79" s="10"/>
      <c r="C79" s="11"/>
      <c r="E79" s="11"/>
      <c r="G79" s="12"/>
      <c r="H79" s="27" t="str">
        <f>IF(Invoices[[#This Row],[Invoice Date]]="","",IF(Invoices[[#This Row],[Terms (days)]]="",Invoices[[#This Row],[Invoice Date]]+Lists!$D$4,Invoices[[#This Row],[Invoice Date]]+Invoices[[#This Row],[Terms (days)]]))</f>
        <v/>
      </c>
      <c r="I79" s="74" t="str">
        <f>IFERROR(Invoices[[#This Row],[Due Date]]-Invoices[[#This Row],[Invoice Date]],"")</f>
        <v/>
      </c>
      <c r="J79" s="27" t="str">
        <f>IFERROR(IF(Invoices[[#This Row],[Days]]="","",IF(Invoices[[#This Row],[Days]]&lt;31,"A",IF(Invoices[[#This Row],[Days]]&lt;31,"B",IF(Invoices[[#This Row],[Days]]&lt;91,"C","D")))),"")</f>
        <v/>
      </c>
    </row>
    <row r="80" spans="2:10" ht="14.1" customHeight="1" x14ac:dyDescent="0.2">
      <c r="B80" s="10"/>
      <c r="C80" s="11"/>
      <c r="E80" s="11"/>
      <c r="G80" s="12"/>
      <c r="H80" s="27" t="str">
        <f>IF(Invoices[[#This Row],[Invoice Date]]="","",IF(Invoices[[#This Row],[Terms (days)]]="",Invoices[[#This Row],[Invoice Date]]+Lists!$D$4,Invoices[[#This Row],[Invoice Date]]+Invoices[[#This Row],[Terms (days)]]))</f>
        <v/>
      </c>
      <c r="I80" s="74" t="str">
        <f>IFERROR(Invoices[[#This Row],[Due Date]]-Invoices[[#This Row],[Invoice Date]],"")</f>
        <v/>
      </c>
      <c r="J80" s="27" t="str">
        <f>IFERROR(IF(Invoices[[#This Row],[Days]]="","",IF(Invoices[[#This Row],[Days]]&lt;31,"A",IF(Invoices[[#This Row],[Days]]&lt;31,"B",IF(Invoices[[#This Row],[Days]]&lt;91,"C","D")))),"")</f>
        <v/>
      </c>
    </row>
    <row r="81" spans="2:10" ht="14.1" customHeight="1" x14ac:dyDescent="0.2">
      <c r="B81" s="10"/>
      <c r="C81" s="11"/>
      <c r="E81" s="11"/>
      <c r="G81" s="12"/>
      <c r="H81" s="27" t="str">
        <f>IF(Invoices[[#This Row],[Invoice Date]]="","",IF(Invoices[[#This Row],[Terms (days)]]="",Invoices[[#This Row],[Invoice Date]]+Lists!$D$4,Invoices[[#This Row],[Invoice Date]]+Invoices[[#This Row],[Terms (days)]]))</f>
        <v/>
      </c>
      <c r="I81" s="74" t="str">
        <f>IFERROR(Invoices[[#This Row],[Due Date]]-Invoices[[#This Row],[Invoice Date]],"")</f>
        <v/>
      </c>
      <c r="J81" s="27" t="str">
        <f>IFERROR(IF(Invoices[[#This Row],[Days]]="","",IF(Invoices[[#This Row],[Days]]&lt;31,"A",IF(Invoices[[#This Row],[Days]]&lt;31,"B",IF(Invoices[[#This Row],[Days]]&lt;91,"C","D")))),"")</f>
        <v/>
      </c>
    </row>
    <row r="82" spans="2:10" ht="14.1" customHeight="1" x14ac:dyDescent="0.2">
      <c r="B82" s="10"/>
      <c r="C82" s="11"/>
      <c r="E82" s="11"/>
      <c r="G82" s="12"/>
      <c r="H82" s="27" t="str">
        <f>IF(Invoices[[#This Row],[Invoice Date]]="","",IF(Invoices[[#This Row],[Terms (days)]]="",Invoices[[#This Row],[Invoice Date]]+Lists!$D$4,Invoices[[#This Row],[Invoice Date]]+Invoices[[#This Row],[Terms (days)]]))</f>
        <v/>
      </c>
      <c r="I82" s="74" t="str">
        <f>IFERROR(Invoices[[#This Row],[Due Date]]-Invoices[[#This Row],[Invoice Date]],"")</f>
        <v/>
      </c>
      <c r="J82" s="27" t="str">
        <f>IFERROR(IF(Invoices[[#This Row],[Days]]="","",IF(Invoices[[#This Row],[Days]]&lt;31,"A",IF(Invoices[[#This Row],[Days]]&lt;31,"B",IF(Invoices[[#This Row],[Days]]&lt;91,"C","D")))),"")</f>
        <v/>
      </c>
    </row>
    <row r="83" spans="2:10" ht="14.1" customHeight="1" x14ac:dyDescent="0.2">
      <c r="B83" s="10"/>
      <c r="C83" s="11"/>
      <c r="E83" s="11"/>
      <c r="G83" s="12"/>
      <c r="H83" s="27" t="str">
        <f>IF(Invoices[[#This Row],[Invoice Date]]="","",IF(Invoices[[#This Row],[Terms (days)]]="",Invoices[[#This Row],[Invoice Date]]+Lists!$D$4,Invoices[[#This Row],[Invoice Date]]+Invoices[[#This Row],[Terms (days)]]))</f>
        <v/>
      </c>
      <c r="I83" s="74" t="str">
        <f>IFERROR(Invoices[[#This Row],[Due Date]]-Invoices[[#This Row],[Invoice Date]],"")</f>
        <v/>
      </c>
      <c r="J83" s="27" t="str">
        <f>IFERROR(IF(Invoices[[#This Row],[Days]]="","",IF(Invoices[[#This Row],[Days]]&lt;31,"A",IF(Invoices[[#This Row],[Days]]&lt;31,"B",IF(Invoices[[#This Row],[Days]]&lt;91,"C","D")))),"")</f>
        <v/>
      </c>
    </row>
    <row r="84" spans="2:10" ht="14.1" customHeight="1" x14ac:dyDescent="0.2">
      <c r="B84" s="10"/>
      <c r="C84" s="11"/>
      <c r="E84" s="11"/>
      <c r="G84" s="12"/>
      <c r="H84" s="27" t="str">
        <f>IF(Invoices[[#This Row],[Invoice Date]]="","",IF(Invoices[[#This Row],[Terms (days)]]="",Invoices[[#This Row],[Invoice Date]]+Lists!$D$4,Invoices[[#This Row],[Invoice Date]]+Invoices[[#This Row],[Terms (days)]]))</f>
        <v/>
      </c>
      <c r="I84" s="74" t="str">
        <f>IFERROR(Invoices[[#This Row],[Due Date]]-Invoices[[#This Row],[Invoice Date]],"")</f>
        <v/>
      </c>
      <c r="J84" s="27" t="str">
        <f>IFERROR(IF(Invoices[[#This Row],[Days]]="","",IF(Invoices[[#This Row],[Days]]&lt;31,"A",IF(Invoices[[#This Row],[Days]]&lt;31,"B",IF(Invoices[[#This Row],[Days]]&lt;91,"C","D")))),"")</f>
        <v/>
      </c>
    </row>
    <row r="85" spans="2:10" ht="14.1" customHeight="1" x14ac:dyDescent="0.2">
      <c r="B85" s="10"/>
      <c r="C85" s="11"/>
      <c r="E85" s="11"/>
      <c r="G85" s="12"/>
      <c r="H85" s="27" t="str">
        <f>IF(Invoices[[#This Row],[Invoice Date]]="","",IF(Invoices[[#This Row],[Terms (days)]]="",Invoices[[#This Row],[Invoice Date]]+Lists!$D$4,Invoices[[#This Row],[Invoice Date]]+Invoices[[#This Row],[Terms (days)]]))</f>
        <v/>
      </c>
      <c r="I85" s="74" t="str">
        <f>IFERROR(Invoices[[#This Row],[Due Date]]-Invoices[[#This Row],[Invoice Date]],"")</f>
        <v/>
      </c>
      <c r="J85" s="27" t="str">
        <f>IFERROR(IF(Invoices[[#This Row],[Days]]="","",IF(Invoices[[#This Row],[Days]]&lt;31,"A",IF(Invoices[[#This Row],[Days]]&lt;31,"B",IF(Invoices[[#This Row],[Days]]&lt;91,"C","D")))),"")</f>
        <v/>
      </c>
    </row>
    <row r="86" spans="2:10" ht="14.1" customHeight="1" x14ac:dyDescent="0.2">
      <c r="B86" s="10"/>
      <c r="C86" s="11"/>
      <c r="E86" s="11"/>
      <c r="G86" s="12"/>
      <c r="H86" s="27" t="str">
        <f>IF(Invoices[[#This Row],[Invoice Date]]="","",IF(Invoices[[#This Row],[Terms (days)]]="",Invoices[[#This Row],[Invoice Date]]+Lists!$D$4,Invoices[[#This Row],[Invoice Date]]+Invoices[[#This Row],[Terms (days)]]))</f>
        <v/>
      </c>
      <c r="I86" s="74" t="str">
        <f>IFERROR(Invoices[[#This Row],[Due Date]]-Invoices[[#This Row],[Invoice Date]],"")</f>
        <v/>
      </c>
      <c r="J86" s="27" t="str">
        <f>IFERROR(IF(Invoices[[#This Row],[Days]]="","",IF(Invoices[[#This Row],[Days]]&lt;31,"A",IF(Invoices[[#This Row],[Days]]&lt;31,"B",IF(Invoices[[#This Row],[Days]]&lt;91,"C","D")))),"")</f>
        <v/>
      </c>
    </row>
    <row r="87" spans="2:10" ht="14.1" customHeight="1" x14ac:dyDescent="0.2">
      <c r="B87" s="10"/>
      <c r="C87" s="11"/>
      <c r="E87" s="11"/>
      <c r="G87" s="12"/>
      <c r="H87" s="27" t="str">
        <f>IF(Invoices[[#This Row],[Invoice Date]]="","",IF(Invoices[[#This Row],[Terms (days)]]="",Invoices[[#This Row],[Invoice Date]]+Lists!$D$4,Invoices[[#This Row],[Invoice Date]]+Invoices[[#This Row],[Terms (days)]]))</f>
        <v/>
      </c>
      <c r="I87" s="74" t="str">
        <f>IFERROR(Invoices[[#This Row],[Due Date]]-Invoices[[#This Row],[Invoice Date]],"")</f>
        <v/>
      </c>
      <c r="J87" s="27" t="str">
        <f>IFERROR(IF(Invoices[[#This Row],[Days]]="","",IF(Invoices[[#This Row],[Days]]&lt;31,"A",IF(Invoices[[#This Row],[Days]]&lt;31,"B",IF(Invoices[[#This Row],[Days]]&lt;91,"C","D")))),"")</f>
        <v/>
      </c>
    </row>
    <row r="88" spans="2:10" ht="14.1" customHeight="1" x14ac:dyDescent="0.2">
      <c r="B88" s="10"/>
      <c r="C88" s="11"/>
      <c r="E88" s="11"/>
      <c r="G88" s="12"/>
      <c r="H88" s="27" t="str">
        <f>IF(Invoices[[#This Row],[Invoice Date]]="","",IF(Invoices[[#This Row],[Terms (days)]]="",Invoices[[#This Row],[Invoice Date]]+Lists!$D$4,Invoices[[#This Row],[Invoice Date]]+Invoices[[#This Row],[Terms (days)]]))</f>
        <v/>
      </c>
      <c r="I88" s="74" t="str">
        <f>IFERROR(Invoices[[#This Row],[Due Date]]-Invoices[[#This Row],[Invoice Date]],"")</f>
        <v/>
      </c>
      <c r="J88" s="27" t="str">
        <f>IFERROR(IF(Invoices[[#This Row],[Days]]="","",IF(Invoices[[#This Row],[Days]]&lt;31,"A",IF(Invoices[[#This Row],[Days]]&lt;31,"B",IF(Invoices[[#This Row],[Days]]&lt;91,"C","D")))),"")</f>
        <v/>
      </c>
    </row>
    <row r="89" spans="2:10" ht="14.1" customHeight="1" x14ac:dyDescent="0.2">
      <c r="B89" s="10"/>
      <c r="C89" s="11"/>
      <c r="E89" s="11"/>
      <c r="G89" s="12"/>
      <c r="H89" s="27" t="str">
        <f>IF(Invoices[[#This Row],[Invoice Date]]="","",IF(Invoices[[#This Row],[Terms (days)]]="",Invoices[[#This Row],[Invoice Date]]+Lists!$D$4,Invoices[[#This Row],[Invoice Date]]+Invoices[[#This Row],[Terms (days)]]))</f>
        <v/>
      </c>
      <c r="I89" s="74" t="str">
        <f>IFERROR(Invoices[[#This Row],[Due Date]]-Invoices[[#This Row],[Invoice Date]],"")</f>
        <v/>
      </c>
      <c r="J89" s="27" t="str">
        <f>IFERROR(IF(Invoices[[#This Row],[Days]]="","",IF(Invoices[[#This Row],[Days]]&lt;31,"A",IF(Invoices[[#This Row],[Days]]&lt;31,"B",IF(Invoices[[#This Row],[Days]]&lt;91,"C","D")))),"")</f>
        <v/>
      </c>
    </row>
    <row r="90" spans="2:10" ht="14.1" customHeight="1" x14ac:dyDescent="0.2">
      <c r="B90" s="10"/>
      <c r="C90" s="11"/>
      <c r="E90" s="11"/>
      <c r="G90" s="12"/>
      <c r="H90" s="27" t="str">
        <f>IF(Invoices[[#This Row],[Invoice Date]]="","",IF(Invoices[[#This Row],[Terms (days)]]="",Invoices[[#This Row],[Invoice Date]]+Lists!$D$4,Invoices[[#This Row],[Invoice Date]]+Invoices[[#This Row],[Terms (days)]]))</f>
        <v/>
      </c>
      <c r="I90" s="74" t="str">
        <f>IFERROR(Invoices[[#This Row],[Due Date]]-Invoices[[#This Row],[Invoice Date]],"")</f>
        <v/>
      </c>
      <c r="J90" s="27" t="str">
        <f>IFERROR(IF(Invoices[[#This Row],[Days]]="","",IF(Invoices[[#This Row],[Days]]&lt;31,"A",IF(Invoices[[#This Row],[Days]]&lt;31,"B",IF(Invoices[[#This Row],[Days]]&lt;91,"C","D")))),"")</f>
        <v/>
      </c>
    </row>
    <row r="91" spans="2:10" ht="14.1" customHeight="1" x14ac:dyDescent="0.2">
      <c r="B91" s="10"/>
      <c r="C91" s="11"/>
      <c r="E91" s="11"/>
      <c r="G91" s="12"/>
      <c r="H91" s="27" t="str">
        <f>IF(Invoices[[#This Row],[Invoice Date]]="","",IF(Invoices[[#This Row],[Terms (days)]]="",Invoices[[#This Row],[Invoice Date]]+Lists!$D$4,Invoices[[#This Row],[Invoice Date]]+Invoices[[#This Row],[Terms (days)]]))</f>
        <v/>
      </c>
      <c r="I91" s="74" t="str">
        <f>IFERROR(Invoices[[#This Row],[Due Date]]-Invoices[[#This Row],[Invoice Date]],"")</f>
        <v/>
      </c>
      <c r="J91" s="27" t="str">
        <f>IFERROR(IF(Invoices[[#This Row],[Days]]="","",IF(Invoices[[#This Row],[Days]]&lt;31,"A",IF(Invoices[[#This Row],[Days]]&lt;31,"B",IF(Invoices[[#This Row],[Days]]&lt;91,"C","D")))),"")</f>
        <v/>
      </c>
    </row>
    <row r="92" spans="2:10" ht="14.1" customHeight="1" x14ac:dyDescent="0.2">
      <c r="B92" s="10"/>
      <c r="C92" s="11"/>
      <c r="E92" s="11"/>
      <c r="G92" s="12"/>
      <c r="H92" s="27" t="str">
        <f>IF(Invoices[[#This Row],[Invoice Date]]="","",IF(Invoices[[#This Row],[Terms (days)]]="",Invoices[[#This Row],[Invoice Date]]+Lists!$D$4,Invoices[[#This Row],[Invoice Date]]+Invoices[[#This Row],[Terms (days)]]))</f>
        <v/>
      </c>
      <c r="I92" s="74" t="str">
        <f>IFERROR(Invoices[[#This Row],[Due Date]]-Invoices[[#This Row],[Invoice Date]],"")</f>
        <v/>
      </c>
      <c r="J92" s="27" t="str">
        <f>IFERROR(IF(Invoices[[#This Row],[Days]]="","",IF(Invoices[[#This Row],[Days]]&lt;31,"A",IF(Invoices[[#This Row],[Days]]&lt;31,"B",IF(Invoices[[#This Row],[Days]]&lt;91,"C","D")))),"")</f>
        <v/>
      </c>
    </row>
    <row r="93" spans="2:10" ht="14.1" customHeight="1" x14ac:dyDescent="0.2">
      <c r="B93" s="10"/>
      <c r="C93" s="11"/>
      <c r="E93" s="11"/>
      <c r="G93" s="12"/>
      <c r="H93" s="27" t="str">
        <f>IF(Invoices[[#This Row],[Invoice Date]]="","",IF(Invoices[[#This Row],[Terms (days)]]="",Invoices[[#This Row],[Invoice Date]]+Lists!$D$4,Invoices[[#This Row],[Invoice Date]]+Invoices[[#This Row],[Terms (days)]]))</f>
        <v/>
      </c>
      <c r="I93" s="74" t="str">
        <f>IFERROR(Invoices[[#This Row],[Due Date]]-Invoices[[#This Row],[Invoice Date]],"")</f>
        <v/>
      </c>
      <c r="J93" s="27" t="str">
        <f>IFERROR(IF(Invoices[[#This Row],[Days]]="","",IF(Invoices[[#This Row],[Days]]&lt;31,"A",IF(Invoices[[#This Row],[Days]]&lt;31,"B",IF(Invoices[[#This Row],[Days]]&lt;91,"C","D")))),"")</f>
        <v/>
      </c>
    </row>
    <row r="94" spans="2:10" ht="14.1" customHeight="1" x14ac:dyDescent="0.2">
      <c r="B94" s="10"/>
      <c r="C94" s="11"/>
      <c r="E94" s="11"/>
      <c r="G94" s="12"/>
      <c r="H94" s="27" t="str">
        <f>IF(Invoices[[#This Row],[Invoice Date]]="","",IF(Invoices[[#This Row],[Terms (days)]]="",Invoices[[#This Row],[Invoice Date]]+Lists!$D$4,Invoices[[#This Row],[Invoice Date]]+Invoices[[#This Row],[Terms (days)]]))</f>
        <v/>
      </c>
      <c r="I94" s="74" t="str">
        <f>IFERROR(Invoices[[#This Row],[Due Date]]-Invoices[[#This Row],[Invoice Date]],"")</f>
        <v/>
      </c>
      <c r="J94" s="27" t="str">
        <f>IFERROR(IF(Invoices[[#This Row],[Days]]="","",IF(Invoices[[#This Row],[Days]]&lt;31,"A",IF(Invoices[[#This Row],[Days]]&lt;31,"B",IF(Invoices[[#This Row],[Days]]&lt;91,"C","D")))),"")</f>
        <v/>
      </c>
    </row>
    <row r="95" spans="2:10" ht="14.1" customHeight="1" x14ac:dyDescent="0.2">
      <c r="B95" s="10"/>
      <c r="C95" s="11"/>
      <c r="E95" s="11"/>
      <c r="G95" s="12"/>
      <c r="H95" s="27" t="str">
        <f>IF(Invoices[[#This Row],[Invoice Date]]="","",IF(Invoices[[#This Row],[Terms (days)]]="",Invoices[[#This Row],[Invoice Date]]+Lists!$D$4,Invoices[[#This Row],[Invoice Date]]+Invoices[[#This Row],[Terms (days)]]))</f>
        <v/>
      </c>
      <c r="I95" s="74" t="str">
        <f>IFERROR(Invoices[[#This Row],[Due Date]]-Invoices[[#This Row],[Invoice Date]],"")</f>
        <v/>
      </c>
      <c r="J95" s="27" t="str">
        <f>IFERROR(IF(Invoices[[#This Row],[Days]]="","",IF(Invoices[[#This Row],[Days]]&lt;31,"A",IF(Invoices[[#This Row],[Days]]&lt;31,"B",IF(Invoices[[#This Row],[Days]]&lt;91,"C","D")))),"")</f>
        <v/>
      </c>
    </row>
    <row r="96" spans="2:10" ht="14.1" customHeight="1" x14ac:dyDescent="0.2">
      <c r="B96" s="10"/>
      <c r="C96" s="11"/>
      <c r="E96" s="11"/>
      <c r="G96" s="12"/>
      <c r="H96" s="27" t="str">
        <f>IF(Invoices[[#This Row],[Invoice Date]]="","",IF(Invoices[[#This Row],[Terms (days)]]="",Invoices[[#This Row],[Invoice Date]]+Lists!$D$4,Invoices[[#This Row],[Invoice Date]]+Invoices[[#This Row],[Terms (days)]]))</f>
        <v/>
      </c>
      <c r="I96" s="74" t="str">
        <f>IFERROR(Invoices[[#This Row],[Due Date]]-Invoices[[#This Row],[Invoice Date]],"")</f>
        <v/>
      </c>
      <c r="J96" s="27" t="str">
        <f>IFERROR(IF(Invoices[[#This Row],[Days]]="","",IF(Invoices[[#This Row],[Days]]&lt;31,"A",IF(Invoices[[#This Row],[Days]]&lt;31,"B",IF(Invoices[[#This Row],[Days]]&lt;91,"C","D")))),"")</f>
        <v/>
      </c>
    </row>
    <row r="97" spans="2:10" ht="14.1" customHeight="1" x14ac:dyDescent="0.2">
      <c r="B97" s="10"/>
      <c r="C97" s="11"/>
      <c r="E97" s="11"/>
      <c r="G97" s="12"/>
      <c r="H97" s="27" t="str">
        <f>IF(Invoices[[#This Row],[Invoice Date]]="","",IF(Invoices[[#This Row],[Terms (days)]]="",Invoices[[#This Row],[Invoice Date]]+Lists!$D$4,Invoices[[#This Row],[Invoice Date]]+Invoices[[#This Row],[Terms (days)]]))</f>
        <v/>
      </c>
      <c r="I97" s="74" t="str">
        <f>IFERROR(Invoices[[#This Row],[Due Date]]-Invoices[[#This Row],[Invoice Date]],"")</f>
        <v/>
      </c>
      <c r="J97" s="27" t="str">
        <f>IFERROR(IF(Invoices[[#This Row],[Days]]="","",IF(Invoices[[#This Row],[Days]]&lt;31,"A",IF(Invoices[[#This Row],[Days]]&lt;31,"B",IF(Invoices[[#This Row],[Days]]&lt;91,"C","D")))),"")</f>
        <v/>
      </c>
    </row>
    <row r="98" spans="2:10" ht="14.1" customHeight="1" x14ac:dyDescent="0.2">
      <c r="B98" s="10"/>
      <c r="C98" s="11"/>
      <c r="E98" s="11"/>
      <c r="G98" s="12"/>
      <c r="H98" s="27" t="str">
        <f>IF(Invoices[[#This Row],[Invoice Date]]="","",IF(Invoices[[#This Row],[Terms (days)]]="",Invoices[[#This Row],[Invoice Date]]+Lists!$D$4,Invoices[[#This Row],[Invoice Date]]+Invoices[[#This Row],[Terms (days)]]))</f>
        <v/>
      </c>
      <c r="I98" s="74" t="str">
        <f>IFERROR(Invoices[[#This Row],[Due Date]]-Invoices[[#This Row],[Invoice Date]],"")</f>
        <v/>
      </c>
      <c r="J98" s="27" t="str">
        <f>IFERROR(IF(Invoices[[#This Row],[Days]]="","",IF(Invoices[[#This Row],[Days]]&lt;31,"A",IF(Invoices[[#This Row],[Days]]&lt;31,"B",IF(Invoices[[#This Row],[Days]]&lt;91,"C","D")))),"")</f>
        <v/>
      </c>
    </row>
    <row r="99" spans="2:10" ht="14.1" customHeight="1" x14ac:dyDescent="0.2">
      <c r="B99" s="10"/>
      <c r="C99" s="11"/>
      <c r="E99" s="11"/>
      <c r="G99" s="12"/>
      <c r="H99" s="27" t="str">
        <f>IF(Invoices[[#This Row],[Invoice Date]]="","",IF(Invoices[[#This Row],[Terms (days)]]="",Invoices[[#This Row],[Invoice Date]]+Lists!$D$4,Invoices[[#This Row],[Invoice Date]]+Invoices[[#This Row],[Terms (days)]]))</f>
        <v/>
      </c>
      <c r="I99" s="74" t="str">
        <f>IFERROR(Invoices[[#This Row],[Due Date]]-Invoices[[#This Row],[Invoice Date]],"")</f>
        <v/>
      </c>
      <c r="J99" s="27" t="str">
        <f>IFERROR(IF(Invoices[[#This Row],[Days]]="","",IF(Invoices[[#This Row],[Days]]&lt;31,"A",IF(Invoices[[#This Row],[Days]]&lt;31,"B",IF(Invoices[[#This Row],[Days]]&lt;91,"C","D")))),"")</f>
        <v/>
      </c>
    </row>
    <row r="100" spans="2:10" ht="14.1" customHeight="1" x14ac:dyDescent="0.2">
      <c r="B100" s="10"/>
      <c r="C100" s="11"/>
      <c r="E100" s="11"/>
      <c r="G100" s="12"/>
      <c r="H100" s="27" t="str">
        <f>IF(Invoices[[#This Row],[Invoice Date]]="","",IF(Invoices[[#This Row],[Terms (days)]]="",Invoices[[#This Row],[Invoice Date]]+Lists!$D$4,Invoices[[#This Row],[Invoice Date]]+Invoices[[#This Row],[Terms (days)]]))</f>
        <v/>
      </c>
      <c r="I100" s="74" t="str">
        <f>IFERROR(Invoices[[#This Row],[Due Date]]-Invoices[[#This Row],[Invoice Date]],"")</f>
        <v/>
      </c>
      <c r="J100" s="27" t="str">
        <f>IFERROR(IF(Invoices[[#This Row],[Days]]="","",IF(Invoices[[#This Row],[Days]]&lt;31,"A",IF(Invoices[[#This Row],[Days]]&lt;31,"B",IF(Invoices[[#This Row],[Days]]&lt;91,"C","D")))),"")</f>
        <v/>
      </c>
    </row>
    <row r="101" spans="2:10" ht="14.1" customHeight="1" x14ac:dyDescent="0.2">
      <c r="B101" s="10"/>
      <c r="C101" s="11"/>
      <c r="E101" s="11"/>
      <c r="G101" s="12"/>
      <c r="H101" s="27" t="str">
        <f>IF(Invoices[[#This Row],[Invoice Date]]="","",IF(Invoices[[#This Row],[Terms (days)]]="",Invoices[[#This Row],[Invoice Date]]+Lists!$D$4,Invoices[[#This Row],[Invoice Date]]+Invoices[[#This Row],[Terms (days)]]))</f>
        <v/>
      </c>
      <c r="I101" s="74" t="str">
        <f>IFERROR(Invoices[[#This Row],[Due Date]]-Invoices[[#This Row],[Invoice Date]],"")</f>
        <v/>
      </c>
      <c r="J101" s="27" t="str">
        <f>IFERROR(IF(Invoices[[#This Row],[Days]]="","",IF(Invoices[[#This Row],[Days]]&lt;31,"A",IF(Invoices[[#This Row],[Days]]&lt;31,"B",IF(Invoices[[#This Row],[Days]]&lt;91,"C","D")))),"")</f>
        <v/>
      </c>
    </row>
    <row r="102" spans="2:10" ht="14.1" customHeight="1" x14ac:dyDescent="0.2">
      <c r="B102" s="10"/>
      <c r="C102" s="11"/>
      <c r="E102" s="11"/>
      <c r="G102" s="12"/>
      <c r="H102" s="27" t="str">
        <f>IF(Invoices[[#This Row],[Invoice Date]]="","",IF(Invoices[[#This Row],[Terms (days)]]="",Invoices[[#This Row],[Invoice Date]]+Lists!$D$4,Invoices[[#This Row],[Invoice Date]]+Invoices[[#This Row],[Terms (days)]]))</f>
        <v/>
      </c>
      <c r="I102" s="74" t="str">
        <f>IFERROR(Invoices[[#This Row],[Due Date]]-Invoices[[#This Row],[Invoice Date]],"")</f>
        <v/>
      </c>
      <c r="J102" s="27" t="str">
        <f>IFERROR(IF(Invoices[[#This Row],[Days]]="","",IF(Invoices[[#This Row],[Days]]&lt;31,"A",IF(Invoices[[#This Row],[Days]]&lt;31,"B",IF(Invoices[[#This Row],[Days]]&lt;91,"C","D")))),"")</f>
        <v/>
      </c>
    </row>
    <row r="103" spans="2:10" ht="14.1" customHeight="1" x14ac:dyDescent="0.2">
      <c r="B103" s="10"/>
      <c r="C103" s="11"/>
      <c r="E103" s="11"/>
      <c r="G103" s="12"/>
      <c r="H103" s="27" t="str">
        <f>IF(Invoices[[#This Row],[Invoice Date]]="","",IF(Invoices[[#This Row],[Terms (days)]]="",Invoices[[#This Row],[Invoice Date]]+Lists!$D$4,Invoices[[#This Row],[Invoice Date]]+Invoices[[#This Row],[Terms (days)]]))</f>
        <v/>
      </c>
      <c r="I103" s="74" t="str">
        <f>IFERROR(Invoices[[#This Row],[Due Date]]-Invoices[[#This Row],[Invoice Date]],"")</f>
        <v/>
      </c>
      <c r="J103" s="27" t="str">
        <f>IFERROR(IF(Invoices[[#This Row],[Days]]="","",IF(Invoices[[#This Row],[Days]]&lt;31,"A",IF(Invoices[[#This Row],[Days]]&lt;31,"B",IF(Invoices[[#This Row],[Days]]&lt;91,"C","D")))),"")</f>
        <v/>
      </c>
    </row>
    <row r="104" spans="2:10" ht="14.1" customHeight="1" x14ac:dyDescent="0.2">
      <c r="B104" s="10"/>
      <c r="C104" s="11"/>
      <c r="E104" s="11"/>
      <c r="G104" s="12"/>
      <c r="H104" s="27" t="str">
        <f>IF(Invoices[[#This Row],[Invoice Date]]="","",IF(Invoices[[#This Row],[Terms (days)]]="",Invoices[[#This Row],[Invoice Date]]+Lists!$D$4,Invoices[[#This Row],[Invoice Date]]+Invoices[[#This Row],[Terms (days)]]))</f>
        <v/>
      </c>
      <c r="I104" s="74" t="str">
        <f>IFERROR(Invoices[[#This Row],[Due Date]]-Invoices[[#This Row],[Invoice Date]],"")</f>
        <v/>
      </c>
      <c r="J104" s="27" t="str">
        <f>IFERROR(IF(Invoices[[#This Row],[Days]]="","",IF(Invoices[[#This Row],[Days]]&lt;31,"A",IF(Invoices[[#This Row],[Days]]&lt;31,"B",IF(Invoices[[#This Row],[Days]]&lt;91,"C","D")))),"")</f>
        <v/>
      </c>
    </row>
    <row r="105" spans="2:10" ht="14.1" customHeight="1" x14ac:dyDescent="0.2">
      <c r="B105" s="10"/>
      <c r="C105" s="11"/>
      <c r="E105" s="11"/>
      <c r="G105" s="12"/>
      <c r="H105" s="27" t="str">
        <f>IF(Invoices[[#This Row],[Invoice Date]]="","",IF(Invoices[[#This Row],[Terms (days)]]="",Invoices[[#This Row],[Invoice Date]]+Lists!$D$4,Invoices[[#This Row],[Invoice Date]]+Invoices[[#This Row],[Terms (days)]]))</f>
        <v/>
      </c>
      <c r="I105" s="74" t="str">
        <f>IFERROR(Invoices[[#This Row],[Due Date]]-Invoices[[#This Row],[Invoice Date]],"")</f>
        <v/>
      </c>
      <c r="J105" s="27" t="str">
        <f>IFERROR(IF(Invoices[[#This Row],[Days]]="","",IF(Invoices[[#This Row],[Days]]&lt;31,"A",IF(Invoices[[#This Row],[Days]]&lt;31,"B",IF(Invoices[[#This Row],[Days]]&lt;91,"C","D")))),"")</f>
        <v/>
      </c>
    </row>
    <row r="106" spans="2:10" ht="14.1" customHeight="1" x14ac:dyDescent="0.2">
      <c r="B106" s="10"/>
      <c r="C106" s="11"/>
      <c r="E106" s="11"/>
      <c r="G106" s="12"/>
      <c r="H106" s="27" t="str">
        <f>IF(Invoices[[#This Row],[Invoice Date]]="","",IF(Invoices[[#This Row],[Terms (days)]]="",Invoices[[#This Row],[Invoice Date]]+Lists!$D$4,Invoices[[#This Row],[Invoice Date]]+Invoices[[#This Row],[Terms (days)]]))</f>
        <v/>
      </c>
      <c r="I106" s="74" t="str">
        <f>IFERROR(Invoices[[#This Row],[Due Date]]-Invoices[[#This Row],[Invoice Date]],"")</f>
        <v/>
      </c>
      <c r="J106" s="27" t="str">
        <f>IFERROR(IF(Invoices[[#This Row],[Days]]="","",IF(Invoices[[#This Row],[Days]]&lt;31,"A",IF(Invoices[[#This Row],[Days]]&lt;31,"B",IF(Invoices[[#This Row],[Days]]&lt;91,"C","D")))),"")</f>
        <v/>
      </c>
    </row>
    <row r="107" spans="2:10" ht="14.1" customHeight="1" x14ac:dyDescent="0.2">
      <c r="B107" s="10"/>
      <c r="C107" s="11"/>
      <c r="E107" s="11"/>
      <c r="G107" s="12"/>
      <c r="H107" s="27" t="str">
        <f>IF(Invoices[[#This Row],[Invoice Date]]="","",IF(Invoices[[#This Row],[Terms (days)]]="",Invoices[[#This Row],[Invoice Date]]+Lists!$D$4,Invoices[[#This Row],[Invoice Date]]+Invoices[[#This Row],[Terms (days)]]))</f>
        <v/>
      </c>
      <c r="I107" s="74" t="str">
        <f>IFERROR(Invoices[[#This Row],[Due Date]]-Invoices[[#This Row],[Invoice Date]],"")</f>
        <v/>
      </c>
      <c r="J107" s="27" t="str">
        <f>IFERROR(IF(Invoices[[#This Row],[Days]]="","",IF(Invoices[[#This Row],[Days]]&lt;31,"A",IF(Invoices[[#This Row],[Days]]&lt;31,"B",IF(Invoices[[#This Row],[Days]]&lt;91,"C","D")))),"")</f>
        <v/>
      </c>
    </row>
    <row r="108" spans="2:10" ht="14.1" customHeight="1" x14ac:dyDescent="0.2">
      <c r="B108" s="10"/>
      <c r="C108" s="11"/>
      <c r="E108" s="11"/>
      <c r="G108" s="12"/>
      <c r="H108" s="27" t="str">
        <f>IF(Invoices[[#This Row],[Invoice Date]]="","",IF(Invoices[[#This Row],[Terms (days)]]="",Invoices[[#This Row],[Invoice Date]]+Lists!$D$4,Invoices[[#This Row],[Invoice Date]]+Invoices[[#This Row],[Terms (days)]]))</f>
        <v/>
      </c>
      <c r="I108" s="74" t="str">
        <f>IFERROR(Invoices[[#This Row],[Due Date]]-Invoices[[#This Row],[Invoice Date]],"")</f>
        <v/>
      </c>
      <c r="J108" s="27" t="str">
        <f>IFERROR(IF(Invoices[[#This Row],[Days]]="","",IF(Invoices[[#This Row],[Days]]&lt;31,"A",IF(Invoices[[#This Row],[Days]]&lt;31,"B",IF(Invoices[[#This Row],[Days]]&lt;91,"C","D")))),"")</f>
        <v/>
      </c>
    </row>
    <row r="109" spans="2:10" ht="14.1" customHeight="1" x14ac:dyDescent="0.2">
      <c r="B109" s="10"/>
      <c r="C109" s="11"/>
      <c r="E109" s="11"/>
      <c r="G109" s="12"/>
      <c r="H109" s="27" t="str">
        <f>IF(Invoices[[#This Row],[Invoice Date]]="","",IF(Invoices[[#This Row],[Terms (days)]]="",Invoices[[#This Row],[Invoice Date]]+Lists!$D$4,Invoices[[#This Row],[Invoice Date]]+Invoices[[#This Row],[Terms (days)]]))</f>
        <v/>
      </c>
      <c r="I109" s="74" t="str">
        <f>IFERROR(Invoices[[#This Row],[Due Date]]-Invoices[[#This Row],[Invoice Date]],"")</f>
        <v/>
      </c>
      <c r="J109" s="27" t="str">
        <f>IFERROR(IF(Invoices[[#This Row],[Days]]="","",IF(Invoices[[#This Row],[Days]]&lt;31,"A",IF(Invoices[[#This Row],[Days]]&lt;31,"B",IF(Invoices[[#This Row],[Days]]&lt;91,"C","D")))),"")</f>
        <v/>
      </c>
    </row>
    <row r="110" spans="2:10" ht="14.1" customHeight="1" x14ac:dyDescent="0.2">
      <c r="B110" s="10"/>
      <c r="C110" s="11"/>
      <c r="E110" s="11"/>
      <c r="G110" s="12"/>
      <c r="H110" s="27" t="str">
        <f>IF(Invoices[[#This Row],[Invoice Date]]="","",IF(Invoices[[#This Row],[Terms (days)]]="",Invoices[[#This Row],[Invoice Date]]+Lists!$D$4,Invoices[[#This Row],[Invoice Date]]+Invoices[[#This Row],[Terms (days)]]))</f>
        <v/>
      </c>
      <c r="I110" s="74" t="str">
        <f>IFERROR(Invoices[[#This Row],[Due Date]]-Invoices[[#This Row],[Invoice Date]],"")</f>
        <v/>
      </c>
      <c r="J110" s="27" t="str">
        <f>IFERROR(IF(Invoices[[#This Row],[Days]]="","",IF(Invoices[[#This Row],[Days]]&lt;31,"A",IF(Invoices[[#This Row],[Days]]&lt;31,"B",IF(Invoices[[#This Row],[Days]]&lt;91,"C","D")))),"")</f>
        <v/>
      </c>
    </row>
    <row r="111" spans="2:10" ht="14.1" customHeight="1" x14ac:dyDescent="0.2">
      <c r="B111" s="10"/>
      <c r="C111" s="11"/>
      <c r="E111" s="11"/>
      <c r="G111" s="12"/>
      <c r="H111" s="27" t="str">
        <f>IF(Invoices[[#This Row],[Invoice Date]]="","",IF(Invoices[[#This Row],[Terms (days)]]="",Invoices[[#This Row],[Invoice Date]]+Lists!$D$4,Invoices[[#This Row],[Invoice Date]]+Invoices[[#This Row],[Terms (days)]]))</f>
        <v/>
      </c>
      <c r="I111" s="74" t="str">
        <f>IFERROR(Invoices[[#This Row],[Due Date]]-Invoices[[#This Row],[Invoice Date]],"")</f>
        <v/>
      </c>
      <c r="J111" s="27" t="str">
        <f>IFERROR(IF(Invoices[[#This Row],[Days]]="","",IF(Invoices[[#This Row],[Days]]&lt;31,"A",IF(Invoices[[#This Row],[Days]]&lt;31,"B",IF(Invoices[[#This Row],[Days]]&lt;91,"C","D")))),"")</f>
        <v/>
      </c>
    </row>
    <row r="112" spans="2:10" ht="14.1" customHeight="1" x14ac:dyDescent="0.2">
      <c r="B112" s="10"/>
      <c r="C112" s="11"/>
      <c r="E112" s="11"/>
      <c r="G112" s="12"/>
      <c r="H112" s="27" t="str">
        <f>IF(Invoices[[#This Row],[Invoice Date]]="","",IF(Invoices[[#This Row],[Terms (days)]]="",Invoices[[#This Row],[Invoice Date]]+Lists!$D$4,Invoices[[#This Row],[Invoice Date]]+Invoices[[#This Row],[Terms (days)]]))</f>
        <v/>
      </c>
      <c r="I112" s="74" t="str">
        <f>IFERROR(Invoices[[#This Row],[Due Date]]-Invoices[[#This Row],[Invoice Date]],"")</f>
        <v/>
      </c>
      <c r="J112" s="27" t="str">
        <f>IFERROR(IF(Invoices[[#This Row],[Days]]="","",IF(Invoices[[#This Row],[Days]]&lt;31,"A",IF(Invoices[[#This Row],[Days]]&lt;31,"B",IF(Invoices[[#This Row],[Days]]&lt;91,"C","D")))),"")</f>
        <v/>
      </c>
    </row>
    <row r="113" spans="2:10" ht="14.1" customHeight="1" x14ac:dyDescent="0.2">
      <c r="B113" s="10"/>
      <c r="C113" s="11"/>
      <c r="E113" s="11"/>
      <c r="G113" s="12"/>
      <c r="H113" s="27" t="str">
        <f>IF(Invoices[[#This Row],[Invoice Date]]="","",IF(Invoices[[#This Row],[Terms (days)]]="",Invoices[[#This Row],[Invoice Date]]+Lists!$D$4,Invoices[[#This Row],[Invoice Date]]+Invoices[[#This Row],[Terms (days)]]))</f>
        <v/>
      </c>
      <c r="I113" s="74" t="str">
        <f>IFERROR(Invoices[[#This Row],[Due Date]]-Invoices[[#This Row],[Invoice Date]],"")</f>
        <v/>
      </c>
      <c r="J113" s="27" t="str">
        <f>IFERROR(IF(Invoices[[#This Row],[Days]]="","",IF(Invoices[[#This Row],[Days]]&lt;31,"A",IF(Invoices[[#This Row],[Days]]&lt;31,"B",IF(Invoices[[#This Row],[Days]]&lt;91,"C","D")))),"")</f>
        <v/>
      </c>
    </row>
    <row r="114" spans="2:10" ht="14.1" customHeight="1" x14ac:dyDescent="0.2">
      <c r="B114" s="10"/>
      <c r="C114" s="11"/>
      <c r="E114" s="11"/>
      <c r="G114" s="12"/>
      <c r="H114" s="27" t="str">
        <f>IF(Invoices[[#This Row],[Invoice Date]]="","",IF(Invoices[[#This Row],[Terms (days)]]="",Invoices[[#This Row],[Invoice Date]]+Lists!$D$4,Invoices[[#This Row],[Invoice Date]]+Invoices[[#This Row],[Terms (days)]]))</f>
        <v/>
      </c>
      <c r="I114" s="74" t="str">
        <f>IFERROR(Invoices[[#This Row],[Due Date]]-Invoices[[#This Row],[Invoice Date]],"")</f>
        <v/>
      </c>
      <c r="J114" s="27" t="str">
        <f>IFERROR(IF(Invoices[[#This Row],[Days]]="","",IF(Invoices[[#This Row],[Days]]&lt;31,"A",IF(Invoices[[#This Row],[Days]]&lt;31,"B",IF(Invoices[[#This Row],[Days]]&lt;91,"C","D")))),"")</f>
        <v/>
      </c>
    </row>
    <row r="115" spans="2:10" ht="14.1" customHeight="1" x14ac:dyDescent="0.2">
      <c r="B115" s="10"/>
      <c r="C115" s="11"/>
      <c r="E115" s="11"/>
      <c r="G115" s="12"/>
      <c r="H115" s="27" t="str">
        <f>IF(Invoices[[#This Row],[Invoice Date]]="","",IF(Invoices[[#This Row],[Terms (days)]]="",Invoices[[#This Row],[Invoice Date]]+Lists!$D$4,Invoices[[#This Row],[Invoice Date]]+Invoices[[#This Row],[Terms (days)]]))</f>
        <v/>
      </c>
      <c r="I115" s="74" t="str">
        <f>IFERROR(Invoices[[#This Row],[Due Date]]-Invoices[[#This Row],[Invoice Date]],"")</f>
        <v/>
      </c>
      <c r="J115" s="27" t="str">
        <f>IFERROR(IF(Invoices[[#This Row],[Days]]="","",IF(Invoices[[#This Row],[Days]]&lt;31,"A",IF(Invoices[[#This Row],[Days]]&lt;31,"B",IF(Invoices[[#This Row],[Days]]&lt;91,"C","D")))),"")</f>
        <v/>
      </c>
    </row>
    <row r="116" spans="2:10" ht="14.1" customHeight="1" x14ac:dyDescent="0.2">
      <c r="B116" s="10"/>
      <c r="C116" s="11"/>
      <c r="E116" s="11"/>
      <c r="G116" s="12"/>
      <c r="H116" s="27" t="str">
        <f>IF(Invoices[[#This Row],[Invoice Date]]="","",IF(Invoices[[#This Row],[Terms (days)]]="",Invoices[[#This Row],[Invoice Date]]+Lists!$D$4,Invoices[[#This Row],[Invoice Date]]+Invoices[[#This Row],[Terms (days)]]))</f>
        <v/>
      </c>
      <c r="I116" s="74" t="str">
        <f>IFERROR(Invoices[[#This Row],[Due Date]]-Invoices[[#This Row],[Invoice Date]],"")</f>
        <v/>
      </c>
      <c r="J116" s="27" t="str">
        <f>IFERROR(IF(Invoices[[#This Row],[Days]]="","",IF(Invoices[[#This Row],[Days]]&lt;31,"A",IF(Invoices[[#This Row],[Days]]&lt;31,"B",IF(Invoices[[#This Row],[Days]]&lt;91,"C","D")))),"")</f>
        <v/>
      </c>
    </row>
    <row r="117" spans="2:10" ht="14.1" customHeight="1" x14ac:dyDescent="0.2">
      <c r="B117" s="10"/>
      <c r="C117" s="11"/>
      <c r="E117" s="11"/>
      <c r="G117" s="12"/>
      <c r="H117" s="27" t="str">
        <f>IF(Invoices[[#This Row],[Invoice Date]]="","",IF(Invoices[[#This Row],[Terms (days)]]="",Invoices[[#This Row],[Invoice Date]]+Lists!$D$4,Invoices[[#This Row],[Invoice Date]]+Invoices[[#This Row],[Terms (days)]]))</f>
        <v/>
      </c>
      <c r="I117" s="74" t="str">
        <f>IFERROR(Invoices[[#This Row],[Due Date]]-Invoices[[#This Row],[Invoice Date]],"")</f>
        <v/>
      </c>
      <c r="J117" s="27" t="str">
        <f>IFERROR(IF(Invoices[[#This Row],[Days]]="","",IF(Invoices[[#This Row],[Days]]&lt;31,"A",IF(Invoices[[#This Row],[Days]]&lt;31,"B",IF(Invoices[[#This Row],[Days]]&lt;91,"C","D")))),"")</f>
        <v/>
      </c>
    </row>
    <row r="118" spans="2:10" ht="14.1" customHeight="1" x14ac:dyDescent="0.2">
      <c r="B118" s="10"/>
      <c r="C118" s="11"/>
      <c r="E118" s="11"/>
      <c r="G118" s="12"/>
      <c r="H118" s="27" t="str">
        <f>IF(Invoices[[#This Row],[Invoice Date]]="","",IF(Invoices[[#This Row],[Terms (days)]]="",Invoices[[#This Row],[Invoice Date]]+Lists!$D$4,Invoices[[#This Row],[Invoice Date]]+Invoices[[#This Row],[Terms (days)]]))</f>
        <v/>
      </c>
      <c r="I118" s="74" t="str">
        <f>IFERROR(Invoices[[#This Row],[Due Date]]-Invoices[[#This Row],[Invoice Date]],"")</f>
        <v/>
      </c>
      <c r="J118" s="27" t="str">
        <f>IFERROR(IF(Invoices[[#This Row],[Days]]="","",IF(Invoices[[#This Row],[Days]]&lt;31,"A",IF(Invoices[[#This Row],[Days]]&lt;31,"B",IF(Invoices[[#This Row],[Days]]&lt;91,"C","D")))),"")</f>
        <v/>
      </c>
    </row>
    <row r="119" spans="2:10" ht="14.1" customHeight="1" x14ac:dyDescent="0.2">
      <c r="B119" s="10"/>
      <c r="C119" s="11"/>
      <c r="E119" s="11"/>
      <c r="G119" s="12"/>
      <c r="H119" s="27" t="str">
        <f>IF(Invoices[[#This Row],[Invoice Date]]="","",IF(Invoices[[#This Row],[Terms (days)]]="",Invoices[[#This Row],[Invoice Date]]+Lists!$D$4,Invoices[[#This Row],[Invoice Date]]+Invoices[[#This Row],[Terms (days)]]))</f>
        <v/>
      </c>
      <c r="I119" s="74" t="str">
        <f>IFERROR(Invoices[[#This Row],[Due Date]]-Invoices[[#This Row],[Invoice Date]],"")</f>
        <v/>
      </c>
      <c r="J119" s="27" t="str">
        <f>IFERROR(IF(Invoices[[#This Row],[Days]]="","",IF(Invoices[[#This Row],[Days]]&lt;31,"A",IF(Invoices[[#This Row],[Days]]&lt;31,"B",IF(Invoices[[#This Row],[Days]]&lt;91,"C","D")))),"")</f>
        <v/>
      </c>
    </row>
    <row r="120" spans="2:10" ht="14.1" customHeight="1" x14ac:dyDescent="0.2">
      <c r="B120" s="10"/>
      <c r="C120" s="11"/>
      <c r="E120" s="11"/>
      <c r="G120" s="12"/>
      <c r="H120" s="27" t="str">
        <f>IF(Invoices[[#This Row],[Invoice Date]]="","",IF(Invoices[[#This Row],[Terms (days)]]="",Invoices[[#This Row],[Invoice Date]]+Lists!$D$4,Invoices[[#This Row],[Invoice Date]]+Invoices[[#This Row],[Terms (days)]]))</f>
        <v/>
      </c>
      <c r="I120" s="74" t="str">
        <f>IFERROR(Invoices[[#This Row],[Due Date]]-Invoices[[#This Row],[Invoice Date]],"")</f>
        <v/>
      </c>
      <c r="J120" s="27" t="str">
        <f>IFERROR(IF(Invoices[[#This Row],[Days]]="","",IF(Invoices[[#This Row],[Days]]&lt;31,"A",IF(Invoices[[#This Row],[Days]]&lt;31,"B",IF(Invoices[[#This Row],[Days]]&lt;91,"C","D")))),"")</f>
        <v/>
      </c>
    </row>
    <row r="121" spans="2:10" ht="14.1" customHeight="1" x14ac:dyDescent="0.2">
      <c r="B121" s="10"/>
      <c r="C121" s="11"/>
      <c r="E121" s="11"/>
      <c r="G121" s="12"/>
      <c r="H121" s="27" t="str">
        <f>IF(Invoices[[#This Row],[Invoice Date]]="","",IF(Invoices[[#This Row],[Terms (days)]]="",Invoices[[#This Row],[Invoice Date]]+Lists!$D$4,Invoices[[#This Row],[Invoice Date]]+Invoices[[#This Row],[Terms (days)]]))</f>
        <v/>
      </c>
      <c r="I121" s="74" t="str">
        <f>IFERROR(Invoices[[#This Row],[Due Date]]-Invoices[[#This Row],[Invoice Date]],"")</f>
        <v/>
      </c>
      <c r="J121" s="27" t="str">
        <f>IFERROR(IF(Invoices[[#This Row],[Days]]="","",IF(Invoices[[#This Row],[Days]]&lt;31,"A",IF(Invoices[[#This Row],[Days]]&lt;31,"B",IF(Invoices[[#This Row],[Days]]&lt;91,"C","D")))),"")</f>
        <v/>
      </c>
    </row>
    <row r="122" spans="2:10" ht="14.1" customHeight="1" x14ac:dyDescent="0.2">
      <c r="B122" s="10"/>
      <c r="C122" s="11"/>
      <c r="E122" s="11"/>
      <c r="G122" s="12"/>
      <c r="H122" s="27" t="str">
        <f>IF(Invoices[[#This Row],[Invoice Date]]="","",IF(Invoices[[#This Row],[Terms (days)]]="",Invoices[[#This Row],[Invoice Date]]+Lists!$D$4,Invoices[[#This Row],[Invoice Date]]+Invoices[[#This Row],[Terms (days)]]))</f>
        <v/>
      </c>
      <c r="I122" s="74" t="str">
        <f>IFERROR(Invoices[[#This Row],[Due Date]]-Invoices[[#This Row],[Invoice Date]],"")</f>
        <v/>
      </c>
      <c r="J122" s="27" t="str">
        <f>IFERROR(IF(Invoices[[#This Row],[Days]]="","",IF(Invoices[[#This Row],[Days]]&lt;31,"A",IF(Invoices[[#This Row],[Days]]&lt;31,"B",IF(Invoices[[#This Row],[Days]]&lt;91,"C","D")))),"")</f>
        <v/>
      </c>
    </row>
    <row r="123" spans="2:10" ht="14.1" customHeight="1" x14ac:dyDescent="0.2">
      <c r="B123" s="10"/>
      <c r="C123" s="11"/>
      <c r="E123" s="11"/>
      <c r="G123" s="12"/>
      <c r="H123" s="27" t="str">
        <f>IF(Invoices[[#This Row],[Invoice Date]]="","",IF(Invoices[[#This Row],[Terms (days)]]="",Invoices[[#This Row],[Invoice Date]]+Lists!$D$4,Invoices[[#This Row],[Invoice Date]]+Invoices[[#This Row],[Terms (days)]]))</f>
        <v/>
      </c>
      <c r="I123" s="74" t="str">
        <f>IFERROR(Invoices[[#This Row],[Due Date]]-Invoices[[#This Row],[Invoice Date]],"")</f>
        <v/>
      </c>
      <c r="J123" s="27" t="str">
        <f>IFERROR(IF(Invoices[[#This Row],[Days]]="","",IF(Invoices[[#This Row],[Days]]&lt;31,"A",IF(Invoices[[#This Row],[Days]]&lt;31,"B",IF(Invoices[[#This Row],[Days]]&lt;91,"C","D")))),"")</f>
        <v/>
      </c>
    </row>
    <row r="124" spans="2:10" ht="14.1" customHeight="1" x14ac:dyDescent="0.2">
      <c r="B124" s="10"/>
      <c r="C124" s="11"/>
      <c r="E124" s="11"/>
      <c r="G124" s="12"/>
      <c r="H124" s="27" t="str">
        <f>IF(Invoices[[#This Row],[Invoice Date]]="","",IF(Invoices[[#This Row],[Terms (days)]]="",Invoices[[#This Row],[Invoice Date]]+Lists!$D$4,Invoices[[#This Row],[Invoice Date]]+Invoices[[#This Row],[Terms (days)]]))</f>
        <v/>
      </c>
      <c r="I124" s="74" t="str">
        <f>IFERROR(Invoices[[#This Row],[Due Date]]-Invoices[[#This Row],[Invoice Date]],"")</f>
        <v/>
      </c>
      <c r="J124" s="27" t="str">
        <f>IFERROR(IF(Invoices[[#This Row],[Days]]="","",IF(Invoices[[#This Row],[Days]]&lt;31,"A",IF(Invoices[[#This Row],[Days]]&lt;31,"B",IF(Invoices[[#This Row],[Days]]&lt;91,"C","D")))),"")</f>
        <v/>
      </c>
    </row>
    <row r="125" spans="2:10" ht="14.1" customHeight="1" x14ac:dyDescent="0.2">
      <c r="B125" s="10"/>
      <c r="C125" s="11"/>
      <c r="E125" s="11"/>
      <c r="G125" s="12"/>
      <c r="H125" s="27" t="str">
        <f>IF(Invoices[[#This Row],[Invoice Date]]="","",IF(Invoices[[#This Row],[Terms (days)]]="",Invoices[[#This Row],[Invoice Date]]+Lists!$D$4,Invoices[[#This Row],[Invoice Date]]+Invoices[[#This Row],[Terms (days)]]))</f>
        <v/>
      </c>
      <c r="I125" s="74" t="str">
        <f>IFERROR(Invoices[[#This Row],[Due Date]]-Invoices[[#This Row],[Invoice Date]],"")</f>
        <v/>
      </c>
      <c r="J125" s="27" t="str">
        <f>IFERROR(IF(Invoices[[#This Row],[Days]]="","",IF(Invoices[[#This Row],[Days]]&lt;31,"A",IF(Invoices[[#This Row],[Days]]&lt;31,"B",IF(Invoices[[#This Row],[Days]]&lt;91,"C","D")))),"")</f>
        <v/>
      </c>
    </row>
    <row r="126" spans="2:10" ht="14.1" customHeight="1" x14ac:dyDescent="0.2">
      <c r="B126" s="10"/>
      <c r="C126" s="11"/>
      <c r="E126" s="11"/>
      <c r="G126" s="12"/>
      <c r="H126" s="27" t="str">
        <f>IF(Invoices[[#This Row],[Invoice Date]]="","",IF(Invoices[[#This Row],[Terms (days)]]="",Invoices[[#This Row],[Invoice Date]]+Lists!$D$4,Invoices[[#This Row],[Invoice Date]]+Invoices[[#This Row],[Terms (days)]]))</f>
        <v/>
      </c>
      <c r="I126" s="74" t="str">
        <f>IFERROR(Invoices[[#This Row],[Due Date]]-Invoices[[#This Row],[Invoice Date]],"")</f>
        <v/>
      </c>
      <c r="J126" s="27" t="str">
        <f>IFERROR(IF(Invoices[[#This Row],[Days]]="","",IF(Invoices[[#This Row],[Days]]&lt;31,"A",IF(Invoices[[#This Row],[Days]]&lt;31,"B",IF(Invoices[[#This Row],[Days]]&lt;91,"C","D")))),"")</f>
        <v/>
      </c>
    </row>
    <row r="127" spans="2:10" ht="14.1" customHeight="1" x14ac:dyDescent="0.2">
      <c r="B127" s="10"/>
      <c r="C127" s="11"/>
      <c r="E127" s="11"/>
      <c r="G127" s="12"/>
      <c r="H127" s="27" t="str">
        <f>IF(Invoices[[#This Row],[Invoice Date]]="","",IF(Invoices[[#This Row],[Terms (days)]]="",Invoices[[#This Row],[Invoice Date]]+Lists!$D$4,Invoices[[#This Row],[Invoice Date]]+Invoices[[#This Row],[Terms (days)]]))</f>
        <v/>
      </c>
      <c r="I127" s="74" t="str">
        <f>IFERROR(Invoices[[#This Row],[Due Date]]-Invoices[[#This Row],[Invoice Date]],"")</f>
        <v/>
      </c>
      <c r="J127" s="27" t="str">
        <f>IFERROR(IF(Invoices[[#This Row],[Days]]="","",IF(Invoices[[#This Row],[Days]]&lt;31,"A",IF(Invoices[[#This Row],[Days]]&lt;31,"B",IF(Invoices[[#This Row],[Days]]&lt;91,"C","D")))),"")</f>
        <v/>
      </c>
    </row>
    <row r="128" spans="2:10" ht="14.1" customHeight="1" x14ac:dyDescent="0.2">
      <c r="B128" s="10"/>
      <c r="C128" s="11"/>
      <c r="E128" s="11"/>
      <c r="G128" s="12"/>
      <c r="H128" s="27" t="str">
        <f>IF(Invoices[[#This Row],[Invoice Date]]="","",IF(Invoices[[#This Row],[Terms (days)]]="",Invoices[[#This Row],[Invoice Date]]+Lists!$D$4,Invoices[[#This Row],[Invoice Date]]+Invoices[[#This Row],[Terms (days)]]))</f>
        <v/>
      </c>
      <c r="I128" s="74" t="str">
        <f>IFERROR(Invoices[[#This Row],[Due Date]]-Invoices[[#This Row],[Invoice Date]],"")</f>
        <v/>
      </c>
      <c r="J128" s="27" t="str">
        <f>IFERROR(IF(Invoices[[#This Row],[Days]]="","",IF(Invoices[[#This Row],[Days]]&lt;31,"A",IF(Invoices[[#This Row],[Days]]&lt;31,"B",IF(Invoices[[#This Row],[Days]]&lt;91,"C","D")))),"")</f>
        <v/>
      </c>
    </row>
    <row r="129" spans="2:10" ht="14.1" customHeight="1" x14ac:dyDescent="0.2">
      <c r="B129" s="10"/>
      <c r="C129" s="11"/>
      <c r="E129" s="11"/>
      <c r="G129" s="12"/>
      <c r="H129" s="27" t="str">
        <f>IF(Invoices[[#This Row],[Invoice Date]]="","",IF(Invoices[[#This Row],[Terms (days)]]="",Invoices[[#This Row],[Invoice Date]]+Lists!$D$4,Invoices[[#This Row],[Invoice Date]]+Invoices[[#This Row],[Terms (days)]]))</f>
        <v/>
      </c>
      <c r="I129" s="74" t="str">
        <f>IFERROR(Invoices[[#This Row],[Due Date]]-Invoices[[#This Row],[Invoice Date]],"")</f>
        <v/>
      </c>
      <c r="J129" s="27" t="str">
        <f>IFERROR(IF(Invoices[[#This Row],[Days]]="","",IF(Invoices[[#This Row],[Days]]&lt;31,"A",IF(Invoices[[#This Row],[Days]]&lt;31,"B",IF(Invoices[[#This Row],[Days]]&lt;91,"C","D")))),"")</f>
        <v/>
      </c>
    </row>
    <row r="130" spans="2:10" ht="14.1" customHeight="1" x14ac:dyDescent="0.2">
      <c r="B130" s="10"/>
      <c r="C130" s="11"/>
      <c r="E130" s="11"/>
      <c r="G130" s="12"/>
      <c r="H130" s="27" t="str">
        <f>IF(Invoices[[#This Row],[Invoice Date]]="","",IF(Invoices[[#This Row],[Terms (days)]]="",Invoices[[#This Row],[Invoice Date]]+Lists!$D$4,Invoices[[#This Row],[Invoice Date]]+Invoices[[#This Row],[Terms (days)]]))</f>
        <v/>
      </c>
      <c r="I130" s="74" t="str">
        <f>IFERROR(Invoices[[#This Row],[Due Date]]-Invoices[[#This Row],[Invoice Date]],"")</f>
        <v/>
      </c>
      <c r="J130" s="27" t="str">
        <f>IFERROR(IF(Invoices[[#This Row],[Days]]="","",IF(Invoices[[#This Row],[Days]]&lt;31,"A",IF(Invoices[[#This Row],[Days]]&lt;31,"B",IF(Invoices[[#This Row],[Days]]&lt;91,"C","D")))),"")</f>
        <v/>
      </c>
    </row>
    <row r="131" spans="2:10" ht="14.1" customHeight="1" x14ac:dyDescent="0.2">
      <c r="B131" s="10"/>
      <c r="C131" s="11"/>
      <c r="E131" s="11"/>
      <c r="G131" s="12"/>
      <c r="H131" s="27" t="str">
        <f>IF(Invoices[[#This Row],[Invoice Date]]="","",IF(Invoices[[#This Row],[Terms (days)]]="",Invoices[[#This Row],[Invoice Date]]+Lists!$D$4,Invoices[[#This Row],[Invoice Date]]+Invoices[[#This Row],[Terms (days)]]))</f>
        <v/>
      </c>
      <c r="I131" s="74" t="str">
        <f>IFERROR(Invoices[[#This Row],[Due Date]]-Invoices[[#This Row],[Invoice Date]],"")</f>
        <v/>
      </c>
      <c r="J131" s="27" t="str">
        <f>IFERROR(IF(Invoices[[#This Row],[Days]]="","",IF(Invoices[[#This Row],[Days]]&lt;31,"A",IF(Invoices[[#This Row],[Days]]&lt;31,"B",IF(Invoices[[#This Row],[Days]]&lt;91,"C","D")))),"")</f>
        <v/>
      </c>
    </row>
    <row r="132" spans="2:10" ht="14.1" customHeight="1" x14ac:dyDescent="0.2">
      <c r="B132" s="10"/>
      <c r="C132" s="11"/>
      <c r="E132" s="11"/>
      <c r="G132" s="12"/>
      <c r="H132" s="27" t="str">
        <f>IF(Invoices[[#This Row],[Invoice Date]]="","",IF(Invoices[[#This Row],[Terms (days)]]="",Invoices[[#This Row],[Invoice Date]]+Lists!$D$4,Invoices[[#This Row],[Invoice Date]]+Invoices[[#This Row],[Terms (days)]]))</f>
        <v/>
      </c>
      <c r="I132" s="74" t="str">
        <f>IFERROR(Invoices[[#This Row],[Due Date]]-Invoices[[#This Row],[Invoice Date]],"")</f>
        <v/>
      </c>
      <c r="J132" s="27" t="str">
        <f>IFERROR(IF(Invoices[[#This Row],[Days]]="","",IF(Invoices[[#This Row],[Days]]&lt;31,"A",IF(Invoices[[#This Row],[Days]]&lt;31,"B",IF(Invoices[[#This Row],[Days]]&lt;91,"C","D")))),"")</f>
        <v/>
      </c>
    </row>
    <row r="133" spans="2:10" ht="14.1" customHeight="1" x14ac:dyDescent="0.2">
      <c r="B133" s="10"/>
      <c r="C133" s="11"/>
      <c r="E133" s="11"/>
      <c r="G133" s="12"/>
      <c r="H133" s="27" t="str">
        <f>IF(Invoices[[#This Row],[Invoice Date]]="","",IF(Invoices[[#This Row],[Terms (days)]]="",Invoices[[#This Row],[Invoice Date]]+Lists!$D$4,Invoices[[#This Row],[Invoice Date]]+Invoices[[#This Row],[Terms (days)]]))</f>
        <v/>
      </c>
      <c r="I133" s="74" t="str">
        <f>IFERROR(Invoices[[#This Row],[Due Date]]-Invoices[[#This Row],[Invoice Date]],"")</f>
        <v/>
      </c>
      <c r="J133" s="27" t="str">
        <f>IFERROR(IF(Invoices[[#This Row],[Days]]="","",IF(Invoices[[#This Row],[Days]]&lt;31,"A",IF(Invoices[[#This Row],[Days]]&lt;31,"B",IF(Invoices[[#This Row],[Days]]&lt;91,"C","D")))),"")</f>
        <v/>
      </c>
    </row>
    <row r="134" spans="2:10" ht="14.1" customHeight="1" x14ac:dyDescent="0.2">
      <c r="B134" s="10"/>
      <c r="C134" s="11"/>
      <c r="E134" s="11"/>
      <c r="G134" s="12"/>
      <c r="H134" s="27" t="str">
        <f>IF(Invoices[[#This Row],[Invoice Date]]="","",IF(Invoices[[#This Row],[Terms (days)]]="",Invoices[[#This Row],[Invoice Date]]+Lists!$D$4,Invoices[[#This Row],[Invoice Date]]+Invoices[[#This Row],[Terms (days)]]))</f>
        <v/>
      </c>
      <c r="I134" s="74" t="str">
        <f>IFERROR(Invoices[[#This Row],[Due Date]]-Invoices[[#This Row],[Invoice Date]],"")</f>
        <v/>
      </c>
      <c r="J134" s="27" t="str">
        <f>IFERROR(IF(Invoices[[#This Row],[Days]]="","",IF(Invoices[[#This Row],[Days]]&lt;31,"A",IF(Invoices[[#This Row],[Days]]&lt;31,"B",IF(Invoices[[#This Row],[Days]]&lt;91,"C","D")))),"")</f>
        <v/>
      </c>
    </row>
    <row r="135" spans="2:10" ht="14.1" customHeight="1" x14ac:dyDescent="0.2">
      <c r="B135" s="10"/>
      <c r="C135" s="11"/>
      <c r="E135" s="11"/>
      <c r="G135" s="12"/>
      <c r="H135" s="27" t="str">
        <f>IF(Invoices[[#This Row],[Invoice Date]]="","",IF(Invoices[[#This Row],[Terms (days)]]="",Invoices[[#This Row],[Invoice Date]]+Lists!$D$4,Invoices[[#This Row],[Invoice Date]]+Invoices[[#This Row],[Terms (days)]]))</f>
        <v/>
      </c>
      <c r="I135" s="74" t="str">
        <f>IFERROR(Invoices[[#This Row],[Due Date]]-Invoices[[#This Row],[Invoice Date]],"")</f>
        <v/>
      </c>
      <c r="J135" s="27" t="str">
        <f>IFERROR(IF(Invoices[[#This Row],[Days]]="","",IF(Invoices[[#This Row],[Days]]&lt;31,"A",IF(Invoices[[#This Row],[Days]]&lt;31,"B",IF(Invoices[[#This Row],[Days]]&lt;91,"C","D")))),"")</f>
        <v/>
      </c>
    </row>
    <row r="136" spans="2:10" ht="14.1" customHeight="1" x14ac:dyDescent="0.2">
      <c r="B136" s="10"/>
      <c r="C136" s="11"/>
      <c r="E136" s="11"/>
      <c r="G136" s="12"/>
      <c r="H136" s="27" t="str">
        <f>IF(Invoices[[#This Row],[Invoice Date]]="","",IF(Invoices[[#This Row],[Terms (days)]]="",Invoices[[#This Row],[Invoice Date]]+Lists!$D$4,Invoices[[#This Row],[Invoice Date]]+Invoices[[#This Row],[Terms (days)]]))</f>
        <v/>
      </c>
      <c r="I136" s="74" t="str">
        <f>IFERROR(Invoices[[#This Row],[Due Date]]-Invoices[[#This Row],[Invoice Date]],"")</f>
        <v/>
      </c>
      <c r="J136" s="27" t="str">
        <f>IFERROR(IF(Invoices[[#This Row],[Days]]="","",IF(Invoices[[#This Row],[Days]]&lt;31,"A",IF(Invoices[[#This Row],[Days]]&lt;31,"B",IF(Invoices[[#This Row],[Days]]&lt;91,"C","D")))),"")</f>
        <v/>
      </c>
    </row>
    <row r="137" spans="2:10" ht="14.1" customHeight="1" x14ac:dyDescent="0.2">
      <c r="B137" s="10"/>
      <c r="C137" s="11"/>
      <c r="E137" s="11"/>
      <c r="G137" s="12"/>
      <c r="H137" s="27" t="str">
        <f>IF(Invoices[[#This Row],[Invoice Date]]="","",IF(Invoices[[#This Row],[Terms (days)]]="",Invoices[[#This Row],[Invoice Date]]+Lists!$D$4,Invoices[[#This Row],[Invoice Date]]+Invoices[[#This Row],[Terms (days)]]))</f>
        <v/>
      </c>
      <c r="I137" s="74" t="str">
        <f>IFERROR(Invoices[[#This Row],[Due Date]]-Invoices[[#This Row],[Invoice Date]],"")</f>
        <v/>
      </c>
      <c r="J137" s="27" t="str">
        <f>IFERROR(IF(Invoices[[#This Row],[Days]]="","",IF(Invoices[[#This Row],[Days]]&lt;31,"A",IF(Invoices[[#This Row],[Days]]&lt;31,"B",IF(Invoices[[#This Row],[Days]]&lt;91,"C","D")))),"")</f>
        <v/>
      </c>
    </row>
    <row r="138" spans="2:10" ht="14.1" customHeight="1" x14ac:dyDescent="0.2">
      <c r="B138" s="10"/>
      <c r="C138" s="11"/>
      <c r="E138" s="11"/>
      <c r="G138" s="12"/>
      <c r="H138" s="27" t="str">
        <f>IF(Invoices[[#This Row],[Invoice Date]]="","",IF(Invoices[[#This Row],[Terms (days)]]="",Invoices[[#This Row],[Invoice Date]]+Lists!$D$4,Invoices[[#This Row],[Invoice Date]]+Invoices[[#This Row],[Terms (days)]]))</f>
        <v/>
      </c>
      <c r="I138" s="74" t="str">
        <f>IFERROR(Invoices[[#This Row],[Due Date]]-Invoices[[#This Row],[Invoice Date]],"")</f>
        <v/>
      </c>
      <c r="J138" s="27" t="str">
        <f>IFERROR(IF(Invoices[[#This Row],[Days]]="","",IF(Invoices[[#This Row],[Days]]&lt;31,"A",IF(Invoices[[#This Row],[Days]]&lt;31,"B",IF(Invoices[[#This Row],[Days]]&lt;91,"C","D")))),"")</f>
        <v/>
      </c>
    </row>
    <row r="139" spans="2:10" ht="14.1" customHeight="1" x14ac:dyDescent="0.2">
      <c r="B139" s="10"/>
      <c r="C139" s="11"/>
      <c r="E139" s="11"/>
      <c r="G139" s="12"/>
      <c r="H139" s="27" t="str">
        <f>IF(Invoices[[#This Row],[Invoice Date]]="","",IF(Invoices[[#This Row],[Terms (days)]]="",Invoices[[#This Row],[Invoice Date]]+Lists!$D$4,Invoices[[#This Row],[Invoice Date]]+Invoices[[#This Row],[Terms (days)]]))</f>
        <v/>
      </c>
      <c r="I139" s="74" t="str">
        <f>IFERROR(Invoices[[#This Row],[Due Date]]-Invoices[[#This Row],[Invoice Date]],"")</f>
        <v/>
      </c>
      <c r="J139" s="27" t="str">
        <f>IFERROR(IF(Invoices[[#This Row],[Days]]="","",IF(Invoices[[#This Row],[Days]]&lt;31,"A",IF(Invoices[[#This Row],[Days]]&lt;31,"B",IF(Invoices[[#This Row],[Days]]&lt;91,"C","D")))),"")</f>
        <v/>
      </c>
    </row>
    <row r="140" spans="2:10" ht="14.1" customHeight="1" x14ac:dyDescent="0.2">
      <c r="B140" s="10"/>
      <c r="C140" s="11"/>
      <c r="E140" s="11"/>
      <c r="G140" s="12"/>
      <c r="H140" s="27" t="str">
        <f>IF(Invoices[[#This Row],[Invoice Date]]="","",IF(Invoices[[#This Row],[Terms (days)]]="",Invoices[[#This Row],[Invoice Date]]+Lists!$D$4,Invoices[[#This Row],[Invoice Date]]+Invoices[[#This Row],[Terms (days)]]))</f>
        <v/>
      </c>
      <c r="I140" s="74" t="str">
        <f>IFERROR(Invoices[[#This Row],[Due Date]]-Invoices[[#This Row],[Invoice Date]],"")</f>
        <v/>
      </c>
      <c r="J140" s="27" t="str">
        <f>IFERROR(IF(Invoices[[#This Row],[Days]]="","",IF(Invoices[[#This Row],[Days]]&lt;31,"A",IF(Invoices[[#This Row],[Days]]&lt;31,"B",IF(Invoices[[#This Row],[Days]]&lt;91,"C","D")))),"")</f>
        <v/>
      </c>
    </row>
    <row r="141" spans="2:10" ht="14.1" customHeight="1" x14ac:dyDescent="0.2">
      <c r="B141" s="10"/>
      <c r="C141" s="11"/>
      <c r="E141" s="11"/>
      <c r="G141" s="12"/>
      <c r="H141" s="27" t="str">
        <f>IF(Invoices[[#This Row],[Invoice Date]]="","",IF(Invoices[[#This Row],[Terms (days)]]="",Invoices[[#This Row],[Invoice Date]]+Lists!$D$4,Invoices[[#This Row],[Invoice Date]]+Invoices[[#This Row],[Terms (days)]]))</f>
        <v/>
      </c>
      <c r="I141" s="74" t="str">
        <f>IFERROR(Invoices[[#This Row],[Due Date]]-Invoices[[#This Row],[Invoice Date]],"")</f>
        <v/>
      </c>
      <c r="J141" s="27" t="str">
        <f>IFERROR(IF(Invoices[[#This Row],[Days]]="","",IF(Invoices[[#This Row],[Days]]&lt;31,"A",IF(Invoices[[#This Row],[Days]]&lt;31,"B",IF(Invoices[[#This Row],[Days]]&lt;91,"C","D")))),"")</f>
        <v/>
      </c>
    </row>
    <row r="142" spans="2:10" ht="14.1" customHeight="1" x14ac:dyDescent="0.2">
      <c r="B142" s="10"/>
      <c r="C142" s="11"/>
      <c r="E142" s="11"/>
      <c r="G142" s="12"/>
      <c r="H142" s="27" t="str">
        <f>IF(Invoices[[#This Row],[Invoice Date]]="","",IF(Invoices[[#This Row],[Terms (days)]]="",Invoices[[#This Row],[Invoice Date]]+Lists!$D$4,Invoices[[#This Row],[Invoice Date]]+Invoices[[#This Row],[Terms (days)]]))</f>
        <v/>
      </c>
      <c r="I142" s="74" t="str">
        <f>IFERROR(Invoices[[#This Row],[Due Date]]-Invoices[[#This Row],[Invoice Date]],"")</f>
        <v/>
      </c>
      <c r="J142" s="27" t="str">
        <f>IFERROR(IF(Invoices[[#This Row],[Days]]="","",IF(Invoices[[#This Row],[Days]]&lt;31,"A",IF(Invoices[[#This Row],[Days]]&lt;31,"B",IF(Invoices[[#This Row],[Days]]&lt;91,"C","D")))),"")</f>
        <v/>
      </c>
    </row>
    <row r="143" spans="2:10" ht="14.1" customHeight="1" x14ac:dyDescent="0.2">
      <c r="B143" s="10"/>
      <c r="C143" s="11"/>
      <c r="E143" s="11"/>
      <c r="G143" s="12"/>
      <c r="H143" s="27" t="str">
        <f>IF(Invoices[[#This Row],[Invoice Date]]="","",IF(Invoices[[#This Row],[Terms (days)]]="",Invoices[[#This Row],[Invoice Date]]+Lists!$D$4,Invoices[[#This Row],[Invoice Date]]+Invoices[[#This Row],[Terms (days)]]))</f>
        <v/>
      </c>
      <c r="I143" s="74" t="str">
        <f>IFERROR(Invoices[[#This Row],[Due Date]]-Invoices[[#This Row],[Invoice Date]],"")</f>
        <v/>
      </c>
      <c r="J143" s="27" t="str">
        <f>IFERROR(IF(Invoices[[#This Row],[Days]]="","",IF(Invoices[[#This Row],[Days]]&lt;31,"A",IF(Invoices[[#This Row],[Days]]&lt;31,"B",IF(Invoices[[#This Row],[Days]]&lt;91,"C","D")))),"")</f>
        <v/>
      </c>
    </row>
    <row r="144" spans="2:10" ht="14.1" customHeight="1" x14ac:dyDescent="0.2">
      <c r="B144" s="10"/>
      <c r="C144" s="11"/>
      <c r="E144" s="11"/>
      <c r="G144" s="12"/>
      <c r="H144" s="27" t="str">
        <f>IF(Invoices[[#This Row],[Invoice Date]]="","",IF(Invoices[[#This Row],[Terms (days)]]="",Invoices[[#This Row],[Invoice Date]]+Lists!$D$4,Invoices[[#This Row],[Invoice Date]]+Invoices[[#This Row],[Terms (days)]]))</f>
        <v/>
      </c>
      <c r="I144" s="74" t="str">
        <f>IFERROR(Invoices[[#This Row],[Due Date]]-Invoices[[#This Row],[Invoice Date]],"")</f>
        <v/>
      </c>
      <c r="J144" s="27" t="str">
        <f>IFERROR(IF(Invoices[[#This Row],[Days]]="","",IF(Invoices[[#This Row],[Days]]&lt;31,"A",IF(Invoices[[#This Row],[Days]]&lt;31,"B",IF(Invoices[[#This Row],[Days]]&lt;91,"C","D")))),"")</f>
        <v/>
      </c>
    </row>
    <row r="145" spans="2:10" ht="14.1" customHeight="1" x14ac:dyDescent="0.2">
      <c r="B145" s="10"/>
      <c r="C145" s="11"/>
      <c r="E145" s="11"/>
      <c r="G145" s="12"/>
      <c r="H145" s="27" t="str">
        <f>IF(Invoices[[#This Row],[Invoice Date]]="","",IF(Invoices[[#This Row],[Terms (days)]]="",Invoices[[#This Row],[Invoice Date]]+Lists!$D$4,Invoices[[#This Row],[Invoice Date]]+Invoices[[#This Row],[Terms (days)]]))</f>
        <v/>
      </c>
      <c r="I145" s="74" t="str">
        <f>IFERROR(Invoices[[#This Row],[Due Date]]-Invoices[[#This Row],[Invoice Date]],"")</f>
        <v/>
      </c>
      <c r="J145" s="27" t="str">
        <f>IFERROR(IF(Invoices[[#This Row],[Days]]="","",IF(Invoices[[#This Row],[Days]]&lt;31,"A",IF(Invoices[[#This Row],[Days]]&lt;31,"B",IF(Invoices[[#This Row],[Days]]&lt;91,"C","D")))),"")</f>
        <v/>
      </c>
    </row>
    <row r="146" spans="2:10" ht="14.1" customHeight="1" x14ac:dyDescent="0.2">
      <c r="B146" s="10"/>
      <c r="C146" s="11"/>
      <c r="E146" s="11"/>
      <c r="G146" s="12"/>
      <c r="H146" s="27" t="str">
        <f>IF(Invoices[[#This Row],[Invoice Date]]="","",IF(Invoices[[#This Row],[Terms (days)]]="",Invoices[[#This Row],[Invoice Date]]+Lists!$D$4,Invoices[[#This Row],[Invoice Date]]+Invoices[[#This Row],[Terms (days)]]))</f>
        <v/>
      </c>
      <c r="I146" s="74" t="str">
        <f>IFERROR(Invoices[[#This Row],[Due Date]]-Invoices[[#This Row],[Invoice Date]],"")</f>
        <v/>
      </c>
      <c r="J146" s="27" t="str">
        <f>IFERROR(IF(Invoices[[#This Row],[Days]]="","",IF(Invoices[[#This Row],[Days]]&lt;31,"A",IF(Invoices[[#This Row],[Days]]&lt;31,"B",IF(Invoices[[#This Row],[Days]]&lt;91,"C","D")))),"")</f>
        <v/>
      </c>
    </row>
    <row r="147" spans="2:10" ht="14.1" customHeight="1" x14ac:dyDescent="0.2">
      <c r="B147" s="10"/>
      <c r="C147" s="11"/>
      <c r="E147" s="11"/>
      <c r="G147" s="12"/>
      <c r="H147" s="27" t="str">
        <f>IF(Invoices[[#This Row],[Invoice Date]]="","",IF(Invoices[[#This Row],[Terms (days)]]="",Invoices[[#This Row],[Invoice Date]]+Lists!$D$4,Invoices[[#This Row],[Invoice Date]]+Invoices[[#This Row],[Terms (days)]]))</f>
        <v/>
      </c>
      <c r="I147" s="74" t="str">
        <f>IFERROR(Invoices[[#This Row],[Due Date]]-Invoices[[#This Row],[Invoice Date]],"")</f>
        <v/>
      </c>
      <c r="J147" s="27" t="str">
        <f>IFERROR(IF(Invoices[[#This Row],[Days]]="","",IF(Invoices[[#This Row],[Days]]&lt;31,"A",IF(Invoices[[#This Row],[Days]]&lt;31,"B",IF(Invoices[[#This Row],[Days]]&lt;91,"C","D")))),"")</f>
        <v/>
      </c>
    </row>
    <row r="148" spans="2:10" ht="14.1" customHeight="1" x14ac:dyDescent="0.2">
      <c r="B148" s="10"/>
      <c r="C148" s="11"/>
      <c r="E148" s="11"/>
      <c r="G148" s="12"/>
      <c r="H148" s="27" t="str">
        <f>IF(Invoices[[#This Row],[Invoice Date]]="","",IF(Invoices[[#This Row],[Terms (days)]]="",Invoices[[#This Row],[Invoice Date]]+Lists!$D$4,Invoices[[#This Row],[Invoice Date]]+Invoices[[#This Row],[Terms (days)]]))</f>
        <v/>
      </c>
      <c r="I148" s="74" t="str">
        <f>IFERROR(Invoices[[#This Row],[Due Date]]-Invoices[[#This Row],[Invoice Date]],"")</f>
        <v/>
      </c>
      <c r="J148" s="27" t="str">
        <f>IFERROR(IF(Invoices[[#This Row],[Days]]="","",IF(Invoices[[#This Row],[Days]]&lt;31,"A",IF(Invoices[[#This Row],[Days]]&lt;31,"B",IF(Invoices[[#This Row],[Days]]&lt;91,"C","D")))),"")</f>
        <v/>
      </c>
    </row>
    <row r="149" spans="2:10" ht="14.1" customHeight="1" x14ac:dyDescent="0.2">
      <c r="B149" s="10"/>
      <c r="C149" s="11"/>
      <c r="E149" s="11"/>
      <c r="G149" s="12"/>
      <c r="H149" s="27" t="str">
        <f>IF(Invoices[[#This Row],[Invoice Date]]="","",IF(Invoices[[#This Row],[Terms (days)]]="",Invoices[[#This Row],[Invoice Date]]+Lists!$D$4,Invoices[[#This Row],[Invoice Date]]+Invoices[[#This Row],[Terms (days)]]))</f>
        <v/>
      </c>
      <c r="I149" s="74" t="str">
        <f>IFERROR(Invoices[[#This Row],[Due Date]]-Invoices[[#This Row],[Invoice Date]],"")</f>
        <v/>
      </c>
      <c r="J149" s="27" t="str">
        <f>IFERROR(IF(Invoices[[#This Row],[Days]]="","",IF(Invoices[[#This Row],[Days]]&lt;31,"A",IF(Invoices[[#This Row],[Days]]&lt;31,"B",IF(Invoices[[#This Row],[Days]]&lt;91,"C","D")))),"")</f>
        <v/>
      </c>
    </row>
    <row r="150" spans="2:10" ht="14.1" customHeight="1" x14ac:dyDescent="0.2">
      <c r="B150" s="10"/>
      <c r="C150" s="11"/>
      <c r="E150" s="11"/>
      <c r="G150" s="12"/>
      <c r="H150" s="27" t="str">
        <f>IF(Invoices[[#This Row],[Invoice Date]]="","",IF(Invoices[[#This Row],[Terms (days)]]="",Invoices[[#This Row],[Invoice Date]]+Lists!$D$4,Invoices[[#This Row],[Invoice Date]]+Invoices[[#This Row],[Terms (days)]]))</f>
        <v/>
      </c>
      <c r="I150" s="74" t="str">
        <f>IFERROR(Invoices[[#This Row],[Due Date]]-Invoices[[#This Row],[Invoice Date]],"")</f>
        <v/>
      </c>
      <c r="J150" s="27" t="str">
        <f>IFERROR(IF(Invoices[[#This Row],[Days]]="","",IF(Invoices[[#This Row],[Days]]&lt;31,"A",IF(Invoices[[#This Row],[Days]]&lt;31,"B",IF(Invoices[[#This Row],[Days]]&lt;91,"C","D")))),"")</f>
        <v/>
      </c>
    </row>
    <row r="151" spans="2:10" ht="14.1" customHeight="1" x14ac:dyDescent="0.2">
      <c r="B151" s="10"/>
      <c r="C151" s="11"/>
      <c r="E151" s="11"/>
      <c r="G151" s="12"/>
      <c r="H151" s="27" t="str">
        <f>IF(Invoices[[#This Row],[Invoice Date]]="","",IF(Invoices[[#This Row],[Terms (days)]]="",Invoices[[#This Row],[Invoice Date]]+Lists!$D$4,Invoices[[#This Row],[Invoice Date]]+Invoices[[#This Row],[Terms (days)]]))</f>
        <v/>
      </c>
      <c r="I151" s="74" t="str">
        <f>IFERROR(Invoices[[#This Row],[Due Date]]-Invoices[[#This Row],[Invoice Date]],"")</f>
        <v/>
      </c>
      <c r="J151" s="27" t="str">
        <f>IFERROR(IF(Invoices[[#This Row],[Days]]="","",IF(Invoices[[#This Row],[Days]]&lt;31,"A",IF(Invoices[[#This Row],[Days]]&lt;31,"B",IF(Invoices[[#This Row],[Days]]&lt;91,"C","D")))),"")</f>
        <v/>
      </c>
    </row>
    <row r="152" spans="2:10" ht="14.1" customHeight="1" x14ac:dyDescent="0.2">
      <c r="B152" s="10"/>
      <c r="C152" s="11"/>
      <c r="E152" s="11"/>
      <c r="G152" s="12"/>
      <c r="H152" s="27" t="str">
        <f>IF(Invoices[[#This Row],[Invoice Date]]="","",IF(Invoices[[#This Row],[Terms (days)]]="",Invoices[[#This Row],[Invoice Date]]+Lists!$D$4,Invoices[[#This Row],[Invoice Date]]+Invoices[[#This Row],[Terms (days)]]))</f>
        <v/>
      </c>
      <c r="I152" s="74" t="str">
        <f>IFERROR(Invoices[[#This Row],[Due Date]]-Invoices[[#This Row],[Invoice Date]],"")</f>
        <v/>
      </c>
      <c r="J152" s="27" t="str">
        <f>IFERROR(IF(Invoices[[#This Row],[Days]]="","",IF(Invoices[[#This Row],[Days]]&lt;31,"A",IF(Invoices[[#This Row],[Days]]&lt;31,"B",IF(Invoices[[#This Row],[Days]]&lt;91,"C","D")))),"")</f>
        <v/>
      </c>
    </row>
    <row r="153" spans="2:10" ht="14.1" customHeight="1" x14ac:dyDescent="0.2">
      <c r="B153" s="10"/>
      <c r="C153" s="11"/>
      <c r="E153" s="11"/>
      <c r="G153" s="12"/>
      <c r="H153" s="27" t="str">
        <f>IF(Invoices[[#This Row],[Invoice Date]]="","",IF(Invoices[[#This Row],[Terms (days)]]="",Invoices[[#This Row],[Invoice Date]]+Lists!$D$4,Invoices[[#This Row],[Invoice Date]]+Invoices[[#This Row],[Terms (days)]]))</f>
        <v/>
      </c>
      <c r="I153" s="74" t="str">
        <f>IFERROR(Invoices[[#This Row],[Due Date]]-Invoices[[#This Row],[Invoice Date]],"")</f>
        <v/>
      </c>
      <c r="J153" s="27" t="str">
        <f>IFERROR(IF(Invoices[[#This Row],[Days]]="","",IF(Invoices[[#This Row],[Days]]&lt;31,"A",IF(Invoices[[#This Row],[Days]]&lt;31,"B",IF(Invoices[[#This Row],[Days]]&lt;91,"C","D")))),"")</f>
        <v/>
      </c>
    </row>
    <row r="154" spans="2:10" ht="14.1" customHeight="1" x14ac:dyDescent="0.2">
      <c r="B154" s="10"/>
      <c r="C154" s="11"/>
      <c r="E154" s="11"/>
      <c r="G154" s="12"/>
      <c r="H154" s="27" t="str">
        <f>IF(Invoices[[#This Row],[Invoice Date]]="","",IF(Invoices[[#This Row],[Terms (days)]]="",Invoices[[#This Row],[Invoice Date]]+Lists!$D$4,Invoices[[#This Row],[Invoice Date]]+Invoices[[#This Row],[Terms (days)]]))</f>
        <v/>
      </c>
      <c r="I154" s="74" t="str">
        <f>IFERROR(Invoices[[#This Row],[Due Date]]-Invoices[[#This Row],[Invoice Date]],"")</f>
        <v/>
      </c>
      <c r="J154" s="27" t="str">
        <f>IFERROR(IF(Invoices[[#This Row],[Days]]="","",IF(Invoices[[#This Row],[Days]]&lt;31,"A",IF(Invoices[[#This Row],[Days]]&lt;31,"B",IF(Invoices[[#This Row],[Days]]&lt;91,"C","D")))),"")</f>
        <v/>
      </c>
    </row>
    <row r="155" spans="2:10" ht="14.1" customHeight="1" x14ac:dyDescent="0.2">
      <c r="B155" s="10"/>
      <c r="C155" s="11"/>
      <c r="E155" s="11"/>
      <c r="G155" s="12"/>
      <c r="H155" s="27" t="str">
        <f>IF(Invoices[[#This Row],[Invoice Date]]="","",IF(Invoices[[#This Row],[Terms (days)]]="",Invoices[[#This Row],[Invoice Date]]+Lists!$D$4,Invoices[[#This Row],[Invoice Date]]+Invoices[[#This Row],[Terms (days)]]))</f>
        <v/>
      </c>
      <c r="I155" s="74" t="str">
        <f>IFERROR(Invoices[[#This Row],[Due Date]]-Invoices[[#This Row],[Invoice Date]],"")</f>
        <v/>
      </c>
      <c r="J155" s="27" t="str">
        <f>IFERROR(IF(Invoices[[#This Row],[Days]]="","",IF(Invoices[[#This Row],[Days]]&lt;31,"A",IF(Invoices[[#This Row],[Days]]&lt;31,"B",IF(Invoices[[#This Row],[Days]]&lt;91,"C","D")))),"")</f>
        <v/>
      </c>
    </row>
    <row r="156" spans="2:10" ht="14.1" customHeight="1" x14ac:dyDescent="0.2">
      <c r="B156" s="10"/>
      <c r="C156" s="11"/>
      <c r="E156" s="11"/>
      <c r="G156" s="12"/>
      <c r="H156" s="27" t="str">
        <f>IF(Invoices[[#This Row],[Invoice Date]]="","",IF(Invoices[[#This Row],[Terms (days)]]="",Invoices[[#This Row],[Invoice Date]]+Lists!$D$4,Invoices[[#This Row],[Invoice Date]]+Invoices[[#This Row],[Terms (days)]]))</f>
        <v/>
      </c>
      <c r="I156" s="74" t="str">
        <f>IFERROR(Invoices[[#This Row],[Due Date]]-Invoices[[#This Row],[Invoice Date]],"")</f>
        <v/>
      </c>
      <c r="J156" s="27" t="str">
        <f>IFERROR(IF(Invoices[[#This Row],[Days]]="","",IF(Invoices[[#This Row],[Days]]&lt;31,"A",IF(Invoices[[#This Row],[Days]]&lt;31,"B",IF(Invoices[[#This Row],[Days]]&lt;91,"C","D")))),"")</f>
        <v/>
      </c>
    </row>
    <row r="157" spans="2:10" ht="14.1" customHeight="1" x14ac:dyDescent="0.2">
      <c r="B157" s="10"/>
      <c r="C157" s="11"/>
      <c r="E157" s="11"/>
      <c r="G157" s="12"/>
      <c r="H157" s="27" t="str">
        <f>IF(Invoices[[#This Row],[Invoice Date]]="","",IF(Invoices[[#This Row],[Terms (days)]]="",Invoices[[#This Row],[Invoice Date]]+Lists!$D$4,Invoices[[#This Row],[Invoice Date]]+Invoices[[#This Row],[Terms (days)]]))</f>
        <v/>
      </c>
      <c r="I157" s="74" t="str">
        <f>IFERROR(Invoices[[#This Row],[Due Date]]-Invoices[[#This Row],[Invoice Date]],"")</f>
        <v/>
      </c>
      <c r="J157" s="27" t="str">
        <f>IFERROR(IF(Invoices[[#This Row],[Days]]="","",IF(Invoices[[#This Row],[Days]]&lt;31,"A",IF(Invoices[[#This Row],[Days]]&lt;31,"B",IF(Invoices[[#This Row],[Days]]&lt;91,"C","D")))),"")</f>
        <v/>
      </c>
    </row>
    <row r="158" spans="2:10" ht="14.1" customHeight="1" x14ac:dyDescent="0.2">
      <c r="B158" s="10"/>
      <c r="C158" s="11"/>
      <c r="E158" s="11"/>
      <c r="G158" s="12"/>
      <c r="H158" s="27" t="str">
        <f>IF(Invoices[[#This Row],[Invoice Date]]="","",IF(Invoices[[#This Row],[Terms (days)]]="",Invoices[[#This Row],[Invoice Date]]+Lists!$D$4,Invoices[[#This Row],[Invoice Date]]+Invoices[[#This Row],[Terms (days)]]))</f>
        <v/>
      </c>
      <c r="I158" s="74" t="str">
        <f>IFERROR(Invoices[[#This Row],[Due Date]]-Invoices[[#This Row],[Invoice Date]],"")</f>
        <v/>
      </c>
      <c r="J158" s="27" t="str">
        <f>IFERROR(IF(Invoices[[#This Row],[Days]]="","",IF(Invoices[[#This Row],[Days]]&lt;31,"A",IF(Invoices[[#This Row],[Days]]&lt;31,"B",IF(Invoices[[#This Row],[Days]]&lt;91,"C","D")))),"")</f>
        <v/>
      </c>
    </row>
    <row r="159" spans="2:10" ht="14.1" customHeight="1" x14ac:dyDescent="0.2">
      <c r="B159" s="10"/>
      <c r="C159" s="11"/>
      <c r="E159" s="11"/>
      <c r="G159" s="12"/>
      <c r="H159" s="27" t="str">
        <f>IF(Invoices[[#This Row],[Invoice Date]]="","",IF(Invoices[[#This Row],[Terms (days)]]="",Invoices[[#This Row],[Invoice Date]]+Lists!$D$4,Invoices[[#This Row],[Invoice Date]]+Invoices[[#This Row],[Terms (days)]]))</f>
        <v/>
      </c>
      <c r="I159" s="74" t="str">
        <f>IFERROR(Invoices[[#This Row],[Due Date]]-Invoices[[#This Row],[Invoice Date]],"")</f>
        <v/>
      </c>
      <c r="J159" s="27" t="str">
        <f>IFERROR(IF(Invoices[[#This Row],[Days]]="","",IF(Invoices[[#This Row],[Days]]&lt;31,"A",IF(Invoices[[#This Row],[Days]]&lt;31,"B",IF(Invoices[[#This Row],[Days]]&lt;91,"C","D")))),"")</f>
        <v/>
      </c>
    </row>
    <row r="160" spans="2:10" ht="14.1" customHeight="1" x14ac:dyDescent="0.2">
      <c r="B160" s="10"/>
      <c r="C160" s="11"/>
      <c r="E160" s="11"/>
      <c r="G160" s="12"/>
      <c r="H160" s="27" t="str">
        <f>IF(Invoices[[#This Row],[Invoice Date]]="","",IF(Invoices[[#This Row],[Terms (days)]]="",Invoices[[#This Row],[Invoice Date]]+Lists!$D$4,Invoices[[#This Row],[Invoice Date]]+Invoices[[#This Row],[Terms (days)]]))</f>
        <v/>
      </c>
      <c r="I160" s="74" t="str">
        <f>IFERROR(Invoices[[#This Row],[Due Date]]-Invoices[[#This Row],[Invoice Date]],"")</f>
        <v/>
      </c>
      <c r="J160" s="27" t="str">
        <f>IFERROR(IF(Invoices[[#This Row],[Days]]="","",IF(Invoices[[#This Row],[Days]]&lt;31,"A",IF(Invoices[[#This Row],[Days]]&lt;31,"B",IF(Invoices[[#This Row],[Days]]&lt;91,"C","D")))),"")</f>
        <v/>
      </c>
    </row>
    <row r="161" spans="2:10" ht="14.1" customHeight="1" x14ac:dyDescent="0.2">
      <c r="B161" s="10"/>
      <c r="C161" s="11"/>
      <c r="E161" s="11"/>
      <c r="G161" s="12"/>
      <c r="H161" s="27" t="str">
        <f>IF(Invoices[[#This Row],[Invoice Date]]="","",IF(Invoices[[#This Row],[Terms (days)]]="",Invoices[[#This Row],[Invoice Date]]+Lists!$D$4,Invoices[[#This Row],[Invoice Date]]+Invoices[[#This Row],[Terms (days)]]))</f>
        <v/>
      </c>
      <c r="I161" s="74" t="str">
        <f>IFERROR(Invoices[[#This Row],[Due Date]]-Invoices[[#This Row],[Invoice Date]],"")</f>
        <v/>
      </c>
      <c r="J161" s="27" t="str">
        <f>IFERROR(IF(Invoices[[#This Row],[Days]]="","",IF(Invoices[[#This Row],[Days]]&lt;31,"A",IF(Invoices[[#This Row],[Days]]&lt;31,"B",IF(Invoices[[#This Row],[Days]]&lt;91,"C","D")))),"")</f>
        <v/>
      </c>
    </row>
    <row r="162" spans="2:10" ht="14.1" customHeight="1" x14ac:dyDescent="0.2">
      <c r="B162" s="10"/>
      <c r="C162" s="11"/>
      <c r="E162" s="11"/>
      <c r="G162" s="12"/>
      <c r="H162" s="27" t="str">
        <f>IF(Invoices[[#This Row],[Invoice Date]]="","",IF(Invoices[[#This Row],[Terms (days)]]="",Invoices[[#This Row],[Invoice Date]]+Lists!$D$4,Invoices[[#This Row],[Invoice Date]]+Invoices[[#This Row],[Terms (days)]]))</f>
        <v/>
      </c>
      <c r="I162" s="74" t="str">
        <f>IFERROR(Invoices[[#This Row],[Due Date]]-Invoices[[#This Row],[Invoice Date]],"")</f>
        <v/>
      </c>
      <c r="J162" s="27" t="str">
        <f>IFERROR(IF(Invoices[[#This Row],[Days]]="","",IF(Invoices[[#This Row],[Days]]&lt;31,"A",IF(Invoices[[#This Row],[Days]]&lt;31,"B",IF(Invoices[[#This Row],[Days]]&lt;91,"C","D")))),"")</f>
        <v/>
      </c>
    </row>
    <row r="163" spans="2:10" ht="14.1" customHeight="1" x14ac:dyDescent="0.2">
      <c r="B163" s="10"/>
      <c r="C163" s="11"/>
      <c r="E163" s="11"/>
      <c r="G163" s="12"/>
      <c r="H163" s="27" t="str">
        <f>IF(Invoices[[#This Row],[Invoice Date]]="","",IF(Invoices[[#This Row],[Terms (days)]]="",Invoices[[#This Row],[Invoice Date]]+Lists!$D$4,Invoices[[#This Row],[Invoice Date]]+Invoices[[#This Row],[Terms (days)]]))</f>
        <v/>
      </c>
      <c r="I163" s="74" t="str">
        <f>IFERROR(Invoices[[#This Row],[Due Date]]-Invoices[[#This Row],[Invoice Date]],"")</f>
        <v/>
      </c>
      <c r="J163" s="27" t="str">
        <f>IFERROR(IF(Invoices[[#This Row],[Days]]="","",IF(Invoices[[#This Row],[Days]]&lt;31,"A",IF(Invoices[[#This Row],[Days]]&lt;31,"B",IF(Invoices[[#This Row],[Days]]&lt;91,"C","D")))),"")</f>
        <v/>
      </c>
    </row>
    <row r="164" spans="2:10" ht="14.1" customHeight="1" x14ac:dyDescent="0.2">
      <c r="B164" s="10"/>
      <c r="C164" s="11"/>
      <c r="E164" s="11"/>
      <c r="G164" s="12"/>
      <c r="H164" s="27" t="str">
        <f>IF(Invoices[[#This Row],[Invoice Date]]="","",IF(Invoices[[#This Row],[Terms (days)]]="",Invoices[[#This Row],[Invoice Date]]+Lists!$D$4,Invoices[[#This Row],[Invoice Date]]+Invoices[[#This Row],[Terms (days)]]))</f>
        <v/>
      </c>
      <c r="I164" s="74" t="str">
        <f>IFERROR(Invoices[[#This Row],[Due Date]]-Invoices[[#This Row],[Invoice Date]],"")</f>
        <v/>
      </c>
      <c r="J164" s="27" t="str">
        <f>IFERROR(IF(Invoices[[#This Row],[Days]]="","",IF(Invoices[[#This Row],[Days]]&lt;31,"A",IF(Invoices[[#This Row],[Days]]&lt;31,"B",IF(Invoices[[#This Row],[Days]]&lt;91,"C","D")))),"")</f>
        <v/>
      </c>
    </row>
    <row r="165" spans="2:10" ht="14.1" customHeight="1" x14ac:dyDescent="0.2">
      <c r="B165" s="10"/>
      <c r="C165" s="11"/>
      <c r="E165" s="11"/>
      <c r="G165" s="12"/>
      <c r="H165" s="27" t="str">
        <f>IF(Invoices[[#This Row],[Invoice Date]]="","",IF(Invoices[[#This Row],[Terms (days)]]="",Invoices[[#This Row],[Invoice Date]]+Lists!$D$4,Invoices[[#This Row],[Invoice Date]]+Invoices[[#This Row],[Terms (days)]]))</f>
        <v/>
      </c>
      <c r="I165" s="74" t="str">
        <f>IFERROR(Invoices[[#This Row],[Due Date]]-Invoices[[#This Row],[Invoice Date]],"")</f>
        <v/>
      </c>
      <c r="J165" s="27" t="str">
        <f>IFERROR(IF(Invoices[[#This Row],[Days]]="","",IF(Invoices[[#This Row],[Days]]&lt;31,"A",IF(Invoices[[#This Row],[Days]]&lt;31,"B",IF(Invoices[[#This Row],[Days]]&lt;91,"C","D")))),"")</f>
        <v/>
      </c>
    </row>
    <row r="166" spans="2:10" ht="14.1" customHeight="1" x14ac:dyDescent="0.2">
      <c r="B166" s="10"/>
      <c r="C166" s="11"/>
      <c r="E166" s="11"/>
      <c r="G166" s="12"/>
      <c r="H166" s="27" t="str">
        <f>IF(Invoices[[#This Row],[Invoice Date]]="","",IF(Invoices[[#This Row],[Terms (days)]]="",Invoices[[#This Row],[Invoice Date]]+Lists!$D$4,Invoices[[#This Row],[Invoice Date]]+Invoices[[#This Row],[Terms (days)]]))</f>
        <v/>
      </c>
      <c r="I166" s="74" t="str">
        <f>IFERROR(Invoices[[#This Row],[Due Date]]-Invoices[[#This Row],[Invoice Date]],"")</f>
        <v/>
      </c>
      <c r="J166" s="27" t="str">
        <f>IFERROR(IF(Invoices[[#This Row],[Days]]="","",IF(Invoices[[#This Row],[Days]]&lt;31,"A",IF(Invoices[[#This Row],[Days]]&lt;31,"B",IF(Invoices[[#This Row],[Days]]&lt;91,"C","D")))),"")</f>
        <v/>
      </c>
    </row>
    <row r="167" spans="2:10" ht="14.1" customHeight="1" x14ac:dyDescent="0.2">
      <c r="B167" s="10"/>
      <c r="C167" s="11"/>
      <c r="E167" s="11"/>
      <c r="G167" s="12"/>
      <c r="H167" s="27" t="str">
        <f>IF(Invoices[[#This Row],[Invoice Date]]="","",IF(Invoices[[#This Row],[Terms (days)]]="",Invoices[[#This Row],[Invoice Date]]+Lists!$D$4,Invoices[[#This Row],[Invoice Date]]+Invoices[[#This Row],[Terms (days)]]))</f>
        <v/>
      </c>
      <c r="I167" s="74" t="str">
        <f>IFERROR(Invoices[[#This Row],[Due Date]]-Invoices[[#This Row],[Invoice Date]],"")</f>
        <v/>
      </c>
      <c r="J167" s="27" t="str">
        <f>IFERROR(IF(Invoices[[#This Row],[Days]]="","",IF(Invoices[[#This Row],[Days]]&lt;31,"A",IF(Invoices[[#This Row],[Days]]&lt;31,"B",IF(Invoices[[#This Row],[Days]]&lt;91,"C","D")))),"")</f>
        <v/>
      </c>
    </row>
    <row r="168" spans="2:10" ht="14.1" customHeight="1" x14ac:dyDescent="0.2">
      <c r="B168" s="10"/>
      <c r="C168" s="11"/>
      <c r="E168" s="11"/>
      <c r="G168" s="12"/>
      <c r="H168" s="27" t="str">
        <f>IF(Invoices[[#This Row],[Invoice Date]]="","",IF(Invoices[[#This Row],[Terms (days)]]="",Invoices[[#This Row],[Invoice Date]]+Lists!$D$4,Invoices[[#This Row],[Invoice Date]]+Invoices[[#This Row],[Terms (days)]]))</f>
        <v/>
      </c>
      <c r="I168" s="74" t="str">
        <f>IFERROR(Invoices[[#This Row],[Due Date]]-Invoices[[#This Row],[Invoice Date]],"")</f>
        <v/>
      </c>
      <c r="J168" s="27" t="str">
        <f>IFERROR(IF(Invoices[[#This Row],[Days]]="","",IF(Invoices[[#This Row],[Days]]&lt;31,"A",IF(Invoices[[#This Row],[Days]]&lt;31,"B",IF(Invoices[[#This Row],[Days]]&lt;91,"C","D")))),"")</f>
        <v/>
      </c>
    </row>
    <row r="169" spans="2:10" ht="14.1" customHeight="1" x14ac:dyDescent="0.2">
      <c r="B169" s="10"/>
      <c r="C169" s="11"/>
      <c r="E169" s="11"/>
      <c r="G169" s="12"/>
      <c r="H169" s="27" t="str">
        <f>IF(Invoices[[#This Row],[Invoice Date]]="","",IF(Invoices[[#This Row],[Terms (days)]]="",Invoices[[#This Row],[Invoice Date]]+Lists!$D$4,Invoices[[#This Row],[Invoice Date]]+Invoices[[#This Row],[Terms (days)]]))</f>
        <v/>
      </c>
      <c r="I169" s="74" t="str">
        <f>IFERROR(Invoices[[#This Row],[Due Date]]-Invoices[[#This Row],[Invoice Date]],"")</f>
        <v/>
      </c>
      <c r="J169" s="27" t="str">
        <f>IFERROR(IF(Invoices[[#This Row],[Days]]="","",IF(Invoices[[#This Row],[Days]]&lt;31,"A",IF(Invoices[[#This Row],[Days]]&lt;31,"B",IF(Invoices[[#This Row],[Days]]&lt;91,"C","D")))),"")</f>
        <v/>
      </c>
    </row>
    <row r="170" spans="2:10" ht="14.1" customHeight="1" x14ac:dyDescent="0.2">
      <c r="B170" s="10"/>
      <c r="C170" s="11"/>
      <c r="E170" s="11"/>
      <c r="G170" s="12"/>
      <c r="H170" s="27" t="str">
        <f>IF(Invoices[[#This Row],[Invoice Date]]="","",IF(Invoices[[#This Row],[Terms (days)]]="",Invoices[[#This Row],[Invoice Date]]+Lists!$D$4,Invoices[[#This Row],[Invoice Date]]+Invoices[[#This Row],[Terms (days)]]))</f>
        <v/>
      </c>
      <c r="I170" s="74" t="str">
        <f>IFERROR(Invoices[[#This Row],[Due Date]]-Invoices[[#This Row],[Invoice Date]],"")</f>
        <v/>
      </c>
      <c r="J170" s="27" t="str">
        <f>IFERROR(IF(Invoices[[#This Row],[Days]]="","",IF(Invoices[[#This Row],[Days]]&lt;31,"A",IF(Invoices[[#This Row],[Days]]&lt;31,"B",IF(Invoices[[#This Row],[Days]]&lt;91,"C","D")))),"")</f>
        <v/>
      </c>
    </row>
    <row r="171" spans="2:10" ht="14.1" customHeight="1" x14ac:dyDescent="0.2">
      <c r="B171" s="10"/>
      <c r="C171" s="11"/>
      <c r="E171" s="11"/>
      <c r="G171" s="12"/>
      <c r="H171" s="27" t="str">
        <f>IF(Invoices[[#This Row],[Invoice Date]]="","",IF(Invoices[[#This Row],[Terms (days)]]="",Invoices[[#This Row],[Invoice Date]]+Lists!$D$4,Invoices[[#This Row],[Invoice Date]]+Invoices[[#This Row],[Terms (days)]]))</f>
        <v/>
      </c>
      <c r="I171" s="74" t="str">
        <f>IFERROR(Invoices[[#This Row],[Due Date]]-Invoices[[#This Row],[Invoice Date]],"")</f>
        <v/>
      </c>
      <c r="J171" s="27" t="str">
        <f>IFERROR(IF(Invoices[[#This Row],[Days]]="","",IF(Invoices[[#This Row],[Days]]&lt;31,"A",IF(Invoices[[#This Row],[Days]]&lt;31,"B",IF(Invoices[[#This Row],[Days]]&lt;91,"C","D")))),"")</f>
        <v/>
      </c>
    </row>
    <row r="172" spans="2:10" ht="14.1" customHeight="1" x14ac:dyDescent="0.2">
      <c r="B172" s="10"/>
      <c r="C172" s="11"/>
      <c r="E172" s="11"/>
      <c r="G172" s="12"/>
      <c r="H172" s="27" t="str">
        <f>IF(Invoices[[#This Row],[Invoice Date]]="","",IF(Invoices[[#This Row],[Terms (days)]]="",Invoices[[#This Row],[Invoice Date]]+Lists!$D$4,Invoices[[#This Row],[Invoice Date]]+Invoices[[#This Row],[Terms (days)]]))</f>
        <v/>
      </c>
      <c r="I172" s="74" t="str">
        <f>IFERROR(Invoices[[#This Row],[Due Date]]-Invoices[[#This Row],[Invoice Date]],"")</f>
        <v/>
      </c>
      <c r="J172" s="27" t="str">
        <f>IFERROR(IF(Invoices[[#This Row],[Days]]="","",IF(Invoices[[#This Row],[Days]]&lt;31,"A",IF(Invoices[[#This Row],[Days]]&lt;31,"B",IF(Invoices[[#This Row],[Days]]&lt;91,"C","D")))),"")</f>
        <v/>
      </c>
    </row>
    <row r="173" spans="2:10" ht="14.1" customHeight="1" x14ac:dyDescent="0.2">
      <c r="B173" s="10"/>
      <c r="C173" s="11"/>
      <c r="E173" s="11"/>
      <c r="G173" s="12"/>
      <c r="H173" s="27" t="str">
        <f>IF(Invoices[[#This Row],[Invoice Date]]="","",IF(Invoices[[#This Row],[Terms (days)]]="",Invoices[[#This Row],[Invoice Date]]+Lists!$D$4,Invoices[[#This Row],[Invoice Date]]+Invoices[[#This Row],[Terms (days)]]))</f>
        <v/>
      </c>
      <c r="I173" s="74" t="str">
        <f>IFERROR(Invoices[[#This Row],[Due Date]]-Invoices[[#This Row],[Invoice Date]],"")</f>
        <v/>
      </c>
      <c r="J173" s="27" t="str">
        <f>IFERROR(IF(Invoices[[#This Row],[Days]]="","",IF(Invoices[[#This Row],[Days]]&lt;31,"A",IF(Invoices[[#This Row],[Days]]&lt;31,"B",IF(Invoices[[#This Row],[Days]]&lt;91,"C","D")))),"")</f>
        <v/>
      </c>
    </row>
    <row r="174" spans="2:10" ht="14.1" customHeight="1" x14ac:dyDescent="0.2">
      <c r="B174" s="10"/>
      <c r="C174" s="11"/>
      <c r="E174" s="11"/>
      <c r="G174" s="12"/>
      <c r="H174" s="27" t="str">
        <f>IF(Invoices[[#This Row],[Invoice Date]]="","",IF(Invoices[[#This Row],[Terms (days)]]="",Invoices[[#This Row],[Invoice Date]]+Lists!$D$4,Invoices[[#This Row],[Invoice Date]]+Invoices[[#This Row],[Terms (days)]]))</f>
        <v/>
      </c>
      <c r="I174" s="74" t="str">
        <f>IFERROR(Invoices[[#This Row],[Due Date]]-Invoices[[#This Row],[Invoice Date]],"")</f>
        <v/>
      </c>
      <c r="J174" s="27" t="str">
        <f>IFERROR(IF(Invoices[[#This Row],[Days]]="","",IF(Invoices[[#This Row],[Days]]&lt;31,"A",IF(Invoices[[#This Row],[Days]]&lt;31,"B",IF(Invoices[[#This Row],[Days]]&lt;91,"C","D")))),"")</f>
        <v/>
      </c>
    </row>
    <row r="175" spans="2:10" ht="14.1" customHeight="1" x14ac:dyDescent="0.2">
      <c r="B175" s="10"/>
      <c r="C175" s="11"/>
      <c r="E175" s="11"/>
      <c r="G175" s="12"/>
      <c r="H175" s="27" t="str">
        <f>IF(Invoices[[#This Row],[Invoice Date]]="","",IF(Invoices[[#This Row],[Terms (days)]]="",Invoices[[#This Row],[Invoice Date]]+Lists!$D$4,Invoices[[#This Row],[Invoice Date]]+Invoices[[#This Row],[Terms (days)]]))</f>
        <v/>
      </c>
      <c r="I175" s="74" t="str">
        <f>IFERROR(Invoices[[#This Row],[Due Date]]-Invoices[[#This Row],[Invoice Date]],"")</f>
        <v/>
      </c>
      <c r="J175" s="27" t="str">
        <f>IFERROR(IF(Invoices[[#This Row],[Days]]="","",IF(Invoices[[#This Row],[Days]]&lt;31,"A",IF(Invoices[[#This Row],[Days]]&lt;31,"B",IF(Invoices[[#This Row],[Days]]&lt;91,"C","D")))),"")</f>
        <v/>
      </c>
    </row>
    <row r="176" spans="2:10" ht="14.1" customHeight="1" x14ac:dyDescent="0.2">
      <c r="B176" s="10"/>
      <c r="C176" s="11"/>
      <c r="E176" s="11"/>
      <c r="G176" s="12"/>
      <c r="H176" s="27" t="str">
        <f>IF(Invoices[[#This Row],[Invoice Date]]="","",IF(Invoices[[#This Row],[Terms (days)]]="",Invoices[[#This Row],[Invoice Date]]+Lists!$D$4,Invoices[[#This Row],[Invoice Date]]+Invoices[[#This Row],[Terms (days)]]))</f>
        <v/>
      </c>
      <c r="I176" s="74" t="str">
        <f>IFERROR(Invoices[[#This Row],[Due Date]]-Invoices[[#This Row],[Invoice Date]],"")</f>
        <v/>
      </c>
      <c r="J176" s="27" t="str">
        <f>IFERROR(IF(Invoices[[#This Row],[Days]]="","",IF(Invoices[[#This Row],[Days]]&lt;31,"A",IF(Invoices[[#This Row],[Days]]&lt;31,"B",IF(Invoices[[#This Row],[Days]]&lt;91,"C","D")))),"")</f>
        <v/>
      </c>
    </row>
    <row r="177" spans="2:10" ht="14.1" customHeight="1" x14ac:dyDescent="0.2">
      <c r="B177" s="10"/>
      <c r="C177" s="11"/>
      <c r="E177" s="11"/>
      <c r="G177" s="12"/>
      <c r="H177" s="27" t="str">
        <f>IF(Invoices[[#This Row],[Invoice Date]]="","",IF(Invoices[[#This Row],[Terms (days)]]="",Invoices[[#This Row],[Invoice Date]]+Lists!$D$4,Invoices[[#This Row],[Invoice Date]]+Invoices[[#This Row],[Terms (days)]]))</f>
        <v/>
      </c>
      <c r="I177" s="74" t="str">
        <f>IFERROR(Invoices[[#This Row],[Due Date]]-Invoices[[#This Row],[Invoice Date]],"")</f>
        <v/>
      </c>
      <c r="J177" s="27" t="str">
        <f>IFERROR(IF(Invoices[[#This Row],[Days]]="","",IF(Invoices[[#This Row],[Days]]&lt;31,"A",IF(Invoices[[#This Row],[Days]]&lt;31,"B",IF(Invoices[[#This Row],[Days]]&lt;91,"C","D")))),"")</f>
        <v/>
      </c>
    </row>
    <row r="178" spans="2:10" ht="14.1" customHeight="1" x14ac:dyDescent="0.2">
      <c r="B178" s="10"/>
      <c r="C178" s="11"/>
      <c r="E178" s="11"/>
      <c r="G178" s="12"/>
      <c r="H178" s="27" t="str">
        <f>IF(Invoices[[#This Row],[Invoice Date]]="","",IF(Invoices[[#This Row],[Terms (days)]]="",Invoices[[#This Row],[Invoice Date]]+Lists!$D$4,Invoices[[#This Row],[Invoice Date]]+Invoices[[#This Row],[Terms (days)]]))</f>
        <v/>
      </c>
      <c r="I178" s="74" t="str">
        <f>IFERROR(Invoices[[#This Row],[Due Date]]-Invoices[[#This Row],[Invoice Date]],"")</f>
        <v/>
      </c>
      <c r="J178" s="27" t="str">
        <f>IFERROR(IF(Invoices[[#This Row],[Days]]="","",IF(Invoices[[#This Row],[Days]]&lt;31,"A",IF(Invoices[[#This Row],[Days]]&lt;31,"B",IF(Invoices[[#This Row],[Days]]&lt;91,"C","D")))),"")</f>
        <v/>
      </c>
    </row>
    <row r="179" spans="2:10" ht="14.1" customHeight="1" x14ac:dyDescent="0.2">
      <c r="B179" s="10"/>
      <c r="C179" s="11"/>
      <c r="E179" s="11"/>
      <c r="G179" s="12"/>
      <c r="H179" s="27" t="str">
        <f>IF(Invoices[[#This Row],[Invoice Date]]="","",IF(Invoices[[#This Row],[Terms (days)]]="",Invoices[[#This Row],[Invoice Date]]+Lists!$D$4,Invoices[[#This Row],[Invoice Date]]+Invoices[[#This Row],[Terms (days)]]))</f>
        <v/>
      </c>
      <c r="I179" s="74" t="str">
        <f>IFERROR(Invoices[[#This Row],[Due Date]]-Invoices[[#This Row],[Invoice Date]],"")</f>
        <v/>
      </c>
      <c r="J179" s="27" t="str">
        <f>IFERROR(IF(Invoices[[#This Row],[Days]]="","",IF(Invoices[[#This Row],[Days]]&lt;31,"A",IF(Invoices[[#This Row],[Days]]&lt;31,"B",IF(Invoices[[#This Row],[Days]]&lt;91,"C","D")))),"")</f>
        <v/>
      </c>
    </row>
    <row r="180" spans="2:10" ht="14.1" customHeight="1" x14ac:dyDescent="0.2">
      <c r="B180" s="10"/>
      <c r="C180" s="11"/>
      <c r="E180" s="11"/>
      <c r="G180" s="12"/>
      <c r="H180" s="27" t="str">
        <f>IF(Invoices[[#This Row],[Invoice Date]]="","",IF(Invoices[[#This Row],[Terms (days)]]="",Invoices[[#This Row],[Invoice Date]]+Lists!$D$4,Invoices[[#This Row],[Invoice Date]]+Invoices[[#This Row],[Terms (days)]]))</f>
        <v/>
      </c>
      <c r="I180" s="74" t="str">
        <f>IFERROR(Invoices[[#This Row],[Due Date]]-Invoices[[#This Row],[Invoice Date]],"")</f>
        <v/>
      </c>
      <c r="J180" s="27" t="str">
        <f>IFERROR(IF(Invoices[[#This Row],[Days]]="","",IF(Invoices[[#This Row],[Days]]&lt;31,"A",IF(Invoices[[#This Row],[Days]]&lt;31,"B",IF(Invoices[[#This Row],[Days]]&lt;91,"C","D")))),"")</f>
        <v/>
      </c>
    </row>
    <row r="181" spans="2:10" ht="14.1" customHeight="1" x14ac:dyDescent="0.2">
      <c r="B181" s="10"/>
      <c r="C181" s="11"/>
      <c r="E181" s="11"/>
      <c r="G181" s="12"/>
      <c r="H181" s="27" t="str">
        <f>IF(Invoices[[#This Row],[Invoice Date]]="","",IF(Invoices[[#This Row],[Terms (days)]]="",Invoices[[#This Row],[Invoice Date]]+Lists!$D$4,Invoices[[#This Row],[Invoice Date]]+Invoices[[#This Row],[Terms (days)]]))</f>
        <v/>
      </c>
      <c r="I181" s="74" t="str">
        <f>IFERROR(Invoices[[#This Row],[Due Date]]-Invoices[[#This Row],[Invoice Date]],"")</f>
        <v/>
      </c>
      <c r="J181" s="27" t="str">
        <f>IFERROR(IF(Invoices[[#This Row],[Days]]="","",IF(Invoices[[#This Row],[Days]]&lt;31,"A",IF(Invoices[[#This Row],[Days]]&lt;31,"B",IF(Invoices[[#This Row],[Days]]&lt;91,"C","D")))),"")</f>
        <v/>
      </c>
    </row>
    <row r="182" spans="2:10" ht="14.1" customHeight="1" x14ac:dyDescent="0.2">
      <c r="B182" s="10"/>
      <c r="C182" s="11"/>
      <c r="E182" s="11"/>
      <c r="G182" s="12"/>
      <c r="H182" s="27" t="str">
        <f>IF(Invoices[[#This Row],[Invoice Date]]="","",IF(Invoices[[#This Row],[Terms (days)]]="",Invoices[[#This Row],[Invoice Date]]+Lists!$D$4,Invoices[[#This Row],[Invoice Date]]+Invoices[[#This Row],[Terms (days)]]))</f>
        <v/>
      </c>
      <c r="I182" s="74" t="str">
        <f>IFERROR(Invoices[[#This Row],[Due Date]]-Invoices[[#This Row],[Invoice Date]],"")</f>
        <v/>
      </c>
      <c r="J182" s="27" t="str">
        <f>IFERROR(IF(Invoices[[#This Row],[Days]]="","",IF(Invoices[[#This Row],[Days]]&lt;31,"A",IF(Invoices[[#This Row],[Days]]&lt;31,"B",IF(Invoices[[#This Row],[Days]]&lt;91,"C","D")))),"")</f>
        <v/>
      </c>
    </row>
    <row r="183" spans="2:10" ht="14.1" customHeight="1" x14ac:dyDescent="0.2">
      <c r="B183" s="10"/>
      <c r="C183" s="11"/>
      <c r="E183" s="11"/>
      <c r="G183" s="12"/>
      <c r="H183" s="27" t="str">
        <f>IF(Invoices[[#This Row],[Invoice Date]]="","",IF(Invoices[[#This Row],[Terms (days)]]="",Invoices[[#This Row],[Invoice Date]]+Lists!$D$4,Invoices[[#This Row],[Invoice Date]]+Invoices[[#This Row],[Terms (days)]]))</f>
        <v/>
      </c>
      <c r="I183" s="74" t="str">
        <f>IFERROR(Invoices[[#This Row],[Due Date]]-Invoices[[#This Row],[Invoice Date]],"")</f>
        <v/>
      </c>
      <c r="J183" s="27" t="str">
        <f>IFERROR(IF(Invoices[[#This Row],[Days]]="","",IF(Invoices[[#This Row],[Days]]&lt;31,"A",IF(Invoices[[#This Row],[Days]]&lt;31,"B",IF(Invoices[[#This Row],[Days]]&lt;91,"C","D")))),"")</f>
        <v/>
      </c>
    </row>
    <row r="184" spans="2:10" ht="14.1" customHeight="1" x14ac:dyDescent="0.2">
      <c r="B184" s="10"/>
      <c r="C184" s="11"/>
      <c r="E184" s="11"/>
      <c r="G184" s="12"/>
      <c r="H184" s="27" t="str">
        <f>IF(Invoices[[#This Row],[Invoice Date]]="","",IF(Invoices[[#This Row],[Terms (days)]]="",Invoices[[#This Row],[Invoice Date]]+Lists!$D$4,Invoices[[#This Row],[Invoice Date]]+Invoices[[#This Row],[Terms (days)]]))</f>
        <v/>
      </c>
      <c r="I184" s="74" t="str">
        <f>IFERROR(Invoices[[#This Row],[Due Date]]-Invoices[[#This Row],[Invoice Date]],"")</f>
        <v/>
      </c>
      <c r="J184" s="27" t="str">
        <f>IFERROR(IF(Invoices[[#This Row],[Days]]="","",IF(Invoices[[#This Row],[Days]]&lt;31,"A",IF(Invoices[[#This Row],[Days]]&lt;31,"B",IF(Invoices[[#This Row],[Days]]&lt;91,"C","D")))),"")</f>
        <v/>
      </c>
    </row>
    <row r="185" spans="2:10" ht="14.1" customHeight="1" x14ac:dyDescent="0.2">
      <c r="B185" s="10"/>
      <c r="C185" s="11"/>
      <c r="E185" s="11"/>
      <c r="G185" s="12"/>
      <c r="H185" s="27" t="str">
        <f>IF(Invoices[[#This Row],[Invoice Date]]="","",IF(Invoices[[#This Row],[Terms (days)]]="",Invoices[[#This Row],[Invoice Date]]+Lists!$D$4,Invoices[[#This Row],[Invoice Date]]+Invoices[[#This Row],[Terms (days)]]))</f>
        <v/>
      </c>
      <c r="I185" s="74" t="str">
        <f>IFERROR(Invoices[[#This Row],[Due Date]]-Invoices[[#This Row],[Invoice Date]],"")</f>
        <v/>
      </c>
      <c r="J185" s="27" t="str">
        <f>IFERROR(IF(Invoices[[#This Row],[Days]]="","",IF(Invoices[[#This Row],[Days]]&lt;31,"A",IF(Invoices[[#This Row],[Days]]&lt;31,"B",IF(Invoices[[#This Row],[Days]]&lt;91,"C","D")))),"")</f>
        <v/>
      </c>
    </row>
    <row r="186" spans="2:10" ht="14.1" customHeight="1" x14ac:dyDescent="0.2">
      <c r="B186" s="10"/>
      <c r="C186" s="11"/>
      <c r="E186" s="11"/>
      <c r="G186" s="12"/>
      <c r="H186" s="27" t="str">
        <f>IF(Invoices[[#This Row],[Invoice Date]]="","",IF(Invoices[[#This Row],[Terms (days)]]="",Invoices[[#This Row],[Invoice Date]]+Lists!$D$4,Invoices[[#This Row],[Invoice Date]]+Invoices[[#This Row],[Terms (days)]]))</f>
        <v/>
      </c>
      <c r="I186" s="74" t="str">
        <f>IFERROR(Invoices[[#This Row],[Due Date]]-Invoices[[#This Row],[Invoice Date]],"")</f>
        <v/>
      </c>
      <c r="J186" s="27" t="str">
        <f>IFERROR(IF(Invoices[[#This Row],[Days]]="","",IF(Invoices[[#This Row],[Days]]&lt;31,"A",IF(Invoices[[#This Row],[Days]]&lt;31,"B",IF(Invoices[[#This Row],[Days]]&lt;91,"C","D")))),"")</f>
        <v/>
      </c>
    </row>
    <row r="187" spans="2:10" ht="14.1" customHeight="1" x14ac:dyDescent="0.2">
      <c r="B187" s="10"/>
      <c r="C187" s="11"/>
      <c r="E187" s="11"/>
      <c r="G187" s="12"/>
      <c r="H187" s="27" t="str">
        <f>IF(Invoices[[#This Row],[Invoice Date]]="","",IF(Invoices[[#This Row],[Terms (days)]]="",Invoices[[#This Row],[Invoice Date]]+Lists!$D$4,Invoices[[#This Row],[Invoice Date]]+Invoices[[#This Row],[Terms (days)]]))</f>
        <v/>
      </c>
      <c r="I187" s="74" t="str">
        <f>IFERROR(Invoices[[#This Row],[Due Date]]-Invoices[[#This Row],[Invoice Date]],"")</f>
        <v/>
      </c>
      <c r="J187" s="27" t="str">
        <f>IFERROR(IF(Invoices[[#This Row],[Days]]="","",IF(Invoices[[#This Row],[Days]]&lt;31,"A",IF(Invoices[[#This Row],[Days]]&lt;31,"B",IF(Invoices[[#This Row],[Days]]&lt;91,"C","D")))),"")</f>
        <v/>
      </c>
    </row>
    <row r="188" spans="2:10" ht="14.1" customHeight="1" x14ac:dyDescent="0.2">
      <c r="B188" s="10"/>
      <c r="C188" s="11"/>
      <c r="E188" s="11"/>
      <c r="G188" s="12"/>
      <c r="H188" s="27" t="str">
        <f>IF(Invoices[[#This Row],[Invoice Date]]="","",IF(Invoices[[#This Row],[Terms (days)]]="",Invoices[[#This Row],[Invoice Date]]+Lists!$D$4,Invoices[[#This Row],[Invoice Date]]+Invoices[[#This Row],[Terms (days)]]))</f>
        <v/>
      </c>
      <c r="I188" s="74" t="str">
        <f>IFERROR(Invoices[[#This Row],[Due Date]]-Invoices[[#This Row],[Invoice Date]],"")</f>
        <v/>
      </c>
      <c r="J188" s="27" t="str">
        <f>IFERROR(IF(Invoices[[#This Row],[Days]]="","",IF(Invoices[[#This Row],[Days]]&lt;31,"A",IF(Invoices[[#This Row],[Days]]&lt;31,"B",IF(Invoices[[#This Row],[Days]]&lt;91,"C","D")))),"")</f>
        <v/>
      </c>
    </row>
    <row r="189" spans="2:10" ht="14.1" customHeight="1" x14ac:dyDescent="0.2">
      <c r="B189" s="10"/>
      <c r="C189" s="11"/>
      <c r="E189" s="11"/>
      <c r="G189" s="12"/>
      <c r="H189" s="27" t="str">
        <f>IF(Invoices[[#This Row],[Invoice Date]]="","",IF(Invoices[[#This Row],[Terms (days)]]="",Invoices[[#This Row],[Invoice Date]]+Lists!$D$4,Invoices[[#This Row],[Invoice Date]]+Invoices[[#This Row],[Terms (days)]]))</f>
        <v/>
      </c>
      <c r="I189" s="74" t="str">
        <f>IFERROR(Invoices[[#This Row],[Due Date]]-Invoices[[#This Row],[Invoice Date]],"")</f>
        <v/>
      </c>
      <c r="J189" s="27" t="str">
        <f>IFERROR(IF(Invoices[[#This Row],[Days]]="","",IF(Invoices[[#This Row],[Days]]&lt;31,"A",IF(Invoices[[#This Row],[Days]]&lt;31,"B",IF(Invoices[[#This Row],[Days]]&lt;91,"C","D")))),"")</f>
        <v/>
      </c>
    </row>
    <row r="190" spans="2:10" ht="14.1" customHeight="1" x14ac:dyDescent="0.2">
      <c r="B190" s="10"/>
      <c r="C190" s="11"/>
      <c r="E190" s="11"/>
      <c r="G190" s="12"/>
      <c r="H190" s="27" t="str">
        <f>IF(Invoices[[#This Row],[Invoice Date]]="","",IF(Invoices[[#This Row],[Terms (days)]]="",Invoices[[#This Row],[Invoice Date]]+Lists!$D$4,Invoices[[#This Row],[Invoice Date]]+Invoices[[#This Row],[Terms (days)]]))</f>
        <v/>
      </c>
      <c r="I190" s="74" t="str">
        <f>IFERROR(Invoices[[#This Row],[Due Date]]-Invoices[[#This Row],[Invoice Date]],"")</f>
        <v/>
      </c>
      <c r="J190" s="27" t="str">
        <f>IFERROR(IF(Invoices[[#This Row],[Days]]="","",IF(Invoices[[#This Row],[Days]]&lt;31,"A",IF(Invoices[[#This Row],[Days]]&lt;31,"B",IF(Invoices[[#This Row],[Days]]&lt;91,"C","D")))),"")</f>
        <v/>
      </c>
    </row>
    <row r="191" spans="2:10" ht="14.1" customHeight="1" x14ac:dyDescent="0.2">
      <c r="B191" s="10"/>
      <c r="C191" s="11"/>
      <c r="E191" s="11"/>
      <c r="G191" s="12"/>
      <c r="H191" s="27" t="str">
        <f>IF(Invoices[[#This Row],[Invoice Date]]="","",IF(Invoices[[#This Row],[Terms (days)]]="",Invoices[[#This Row],[Invoice Date]]+Lists!$D$4,Invoices[[#This Row],[Invoice Date]]+Invoices[[#This Row],[Terms (days)]]))</f>
        <v/>
      </c>
      <c r="I191" s="74" t="str">
        <f>IFERROR(Invoices[[#This Row],[Due Date]]-Invoices[[#This Row],[Invoice Date]],"")</f>
        <v/>
      </c>
      <c r="J191" s="27" t="str">
        <f>IFERROR(IF(Invoices[[#This Row],[Days]]="","",IF(Invoices[[#This Row],[Days]]&lt;31,"A",IF(Invoices[[#This Row],[Days]]&lt;31,"B",IF(Invoices[[#This Row],[Days]]&lt;91,"C","D")))),"")</f>
        <v/>
      </c>
    </row>
    <row r="192" spans="2:10" ht="14.1" customHeight="1" x14ac:dyDescent="0.2">
      <c r="B192" s="10"/>
      <c r="C192" s="11"/>
      <c r="E192" s="11"/>
      <c r="G192" s="12"/>
      <c r="H192" s="27" t="str">
        <f>IF(Invoices[[#This Row],[Invoice Date]]="","",IF(Invoices[[#This Row],[Terms (days)]]="",Invoices[[#This Row],[Invoice Date]]+Lists!$D$4,Invoices[[#This Row],[Invoice Date]]+Invoices[[#This Row],[Terms (days)]]))</f>
        <v/>
      </c>
      <c r="I192" s="74" t="str">
        <f>IFERROR(Invoices[[#This Row],[Due Date]]-Invoices[[#This Row],[Invoice Date]],"")</f>
        <v/>
      </c>
      <c r="J192" s="27" t="str">
        <f>IFERROR(IF(Invoices[[#This Row],[Days]]="","",IF(Invoices[[#This Row],[Days]]&lt;31,"A",IF(Invoices[[#This Row],[Days]]&lt;31,"B",IF(Invoices[[#This Row],[Days]]&lt;91,"C","D")))),"")</f>
        <v/>
      </c>
    </row>
    <row r="193" spans="2:10" ht="14.1" customHeight="1" x14ac:dyDescent="0.2">
      <c r="B193" s="10"/>
      <c r="C193" s="11"/>
      <c r="E193" s="11"/>
      <c r="G193" s="12"/>
      <c r="H193" s="27" t="str">
        <f>IF(Invoices[[#This Row],[Invoice Date]]="","",IF(Invoices[[#This Row],[Terms (days)]]="",Invoices[[#This Row],[Invoice Date]]+Lists!$D$4,Invoices[[#This Row],[Invoice Date]]+Invoices[[#This Row],[Terms (days)]]))</f>
        <v/>
      </c>
      <c r="I193" s="74" t="str">
        <f>IFERROR(Invoices[[#This Row],[Due Date]]-Invoices[[#This Row],[Invoice Date]],"")</f>
        <v/>
      </c>
      <c r="J193" s="27" t="str">
        <f>IFERROR(IF(Invoices[[#This Row],[Days]]="","",IF(Invoices[[#This Row],[Days]]&lt;31,"A",IF(Invoices[[#This Row],[Days]]&lt;31,"B",IF(Invoices[[#This Row],[Days]]&lt;91,"C","D")))),"")</f>
        <v/>
      </c>
    </row>
    <row r="194" spans="2:10" ht="14.1" customHeight="1" x14ac:dyDescent="0.2">
      <c r="B194" s="10"/>
      <c r="C194" s="11"/>
      <c r="E194" s="11"/>
      <c r="G194" s="12"/>
      <c r="H194" s="27" t="str">
        <f>IF(Invoices[[#This Row],[Invoice Date]]="","",IF(Invoices[[#This Row],[Terms (days)]]="",Invoices[[#This Row],[Invoice Date]]+Lists!$D$4,Invoices[[#This Row],[Invoice Date]]+Invoices[[#This Row],[Terms (days)]]))</f>
        <v/>
      </c>
      <c r="I194" s="74" t="str">
        <f>IFERROR(Invoices[[#This Row],[Due Date]]-Invoices[[#This Row],[Invoice Date]],"")</f>
        <v/>
      </c>
      <c r="J194" s="27" t="str">
        <f>IFERROR(IF(Invoices[[#This Row],[Days]]="","",IF(Invoices[[#This Row],[Days]]&lt;31,"A",IF(Invoices[[#This Row],[Days]]&lt;31,"B",IF(Invoices[[#This Row],[Days]]&lt;91,"C","D")))),"")</f>
        <v/>
      </c>
    </row>
    <row r="195" spans="2:10" ht="14.1" customHeight="1" x14ac:dyDescent="0.2">
      <c r="B195" s="10"/>
      <c r="C195" s="11"/>
      <c r="E195" s="11"/>
      <c r="G195" s="12"/>
      <c r="H195" s="27" t="str">
        <f>IF(Invoices[[#This Row],[Invoice Date]]="","",IF(Invoices[[#This Row],[Terms (days)]]="",Invoices[[#This Row],[Invoice Date]]+Lists!$D$4,Invoices[[#This Row],[Invoice Date]]+Invoices[[#This Row],[Terms (days)]]))</f>
        <v/>
      </c>
      <c r="I195" s="74" t="str">
        <f>IFERROR(Invoices[[#This Row],[Due Date]]-Invoices[[#This Row],[Invoice Date]],"")</f>
        <v/>
      </c>
      <c r="J195" s="27" t="str">
        <f>IFERROR(IF(Invoices[[#This Row],[Days]]="","",IF(Invoices[[#This Row],[Days]]&lt;31,"A",IF(Invoices[[#This Row],[Days]]&lt;31,"B",IF(Invoices[[#This Row],[Days]]&lt;91,"C","D")))),"")</f>
        <v/>
      </c>
    </row>
    <row r="196" spans="2:10" ht="14.1" customHeight="1" x14ac:dyDescent="0.2">
      <c r="B196" s="10"/>
      <c r="C196" s="11"/>
      <c r="E196" s="11"/>
      <c r="G196" s="12"/>
      <c r="H196" s="27" t="str">
        <f>IF(Invoices[[#This Row],[Invoice Date]]="","",IF(Invoices[[#This Row],[Terms (days)]]="",Invoices[[#This Row],[Invoice Date]]+Lists!$D$4,Invoices[[#This Row],[Invoice Date]]+Invoices[[#This Row],[Terms (days)]]))</f>
        <v/>
      </c>
      <c r="I196" s="74" t="str">
        <f>IFERROR(Invoices[[#This Row],[Due Date]]-Invoices[[#This Row],[Invoice Date]],"")</f>
        <v/>
      </c>
      <c r="J196" s="27" t="str">
        <f>IFERROR(IF(Invoices[[#This Row],[Days]]="","",IF(Invoices[[#This Row],[Days]]&lt;31,"A",IF(Invoices[[#This Row],[Days]]&lt;31,"B",IF(Invoices[[#This Row],[Days]]&lt;91,"C","D")))),"")</f>
        <v/>
      </c>
    </row>
    <row r="197" spans="2:10" ht="14.1" customHeight="1" x14ac:dyDescent="0.2">
      <c r="B197" s="10"/>
      <c r="C197" s="11"/>
      <c r="E197" s="11"/>
      <c r="G197" s="12"/>
      <c r="H197" s="27" t="str">
        <f>IF(Invoices[[#This Row],[Invoice Date]]="","",IF(Invoices[[#This Row],[Terms (days)]]="",Invoices[[#This Row],[Invoice Date]]+Lists!$D$4,Invoices[[#This Row],[Invoice Date]]+Invoices[[#This Row],[Terms (days)]]))</f>
        <v/>
      </c>
      <c r="I197" s="74" t="str">
        <f>IFERROR(Invoices[[#This Row],[Due Date]]-Invoices[[#This Row],[Invoice Date]],"")</f>
        <v/>
      </c>
      <c r="J197" s="27" t="str">
        <f>IFERROR(IF(Invoices[[#This Row],[Days]]="","",IF(Invoices[[#This Row],[Days]]&lt;31,"A",IF(Invoices[[#This Row],[Days]]&lt;31,"B",IF(Invoices[[#This Row],[Days]]&lt;91,"C","D")))),"")</f>
        <v/>
      </c>
    </row>
    <row r="198" spans="2:10" ht="14.1" customHeight="1" x14ac:dyDescent="0.2">
      <c r="B198" s="10"/>
      <c r="C198" s="11"/>
      <c r="E198" s="11"/>
      <c r="G198" s="12"/>
      <c r="H198" s="27" t="str">
        <f>IF(Invoices[[#This Row],[Invoice Date]]="","",IF(Invoices[[#This Row],[Terms (days)]]="",Invoices[[#This Row],[Invoice Date]]+Lists!$D$4,Invoices[[#This Row],[Invoice Date]]+Invoices[[#This Row],[Terms (days)]]))</f>
        <v/>
      </c>
      <c r="I198" s="74" t="str">
        <f>IFERROR(Invoices[[#This Row],[Due Date]]-Invoices[[#This Row],[Invoice Date]],"")</f>
        <v/>
      </c>
      <c r="J198" s="27" t="str">
        <f>IFERROR(IF(Invoices[[#This Row],[Days]]="","",IF(Invoices[[#This Row],[Days]]&lt;31,"A",IF(Invoices[[#This Row],[Days]]&lt;31,"B",IF(Invoices[[#This Row],[Days]]&lt;91,"C","D")))),"")</f>
        <v/>
      </c>
    </row>
    <row r="199" spans="2:10" ht="14.1" customHeight="1" x14ac:dyDescent="0.2">
      <c r="B199" s="10"/>
      <c r="C199" s="11"/>
      <c r="E199" s="11"/>
      <c r="G199" s="12"/>
      <c r="H199" s="27" t="str">
        <f>IF(Invoices[[#This Row],[Invoice Date]]="","",IF(Invoices[[#This Row],[Terms (days)]]="",Invoices[[#This Row],[Invoice Date]]+Lists!$D$4,Invoices[[#This Row],[Invoice Date]]+Invoices[[#This Row],[Terms (days)]]))</f>
        <v/>
      </c>
      <c r="I199" s="74" t="str">
        <f>IFERROR(Invoices[[#This Row],[Due Date]]-Invoices[[#This Row],[Invoice Date]],"")</f>
        <v/>
      </c>
      <c r="J199" s="27" t="str">
        <f>IFERROR(IF(Invoices[[#This Row],[Days]]="","",IF(Invoices[[#This Row],[Days]]&lt;31,"A",IF(Invoices[[#This Row],[Days]]&lt;31,"B",IF(Invoices[[#This Row],[Days]]&lt;91,"C","D")))),"")</f>
        <v/>
      </c>
    </row>
    <row r="200" spans="2:10" ht="14.1" customHeight="1" x14ac:dyDescent="0.2">
      <c r="B200" s="10"/>
      <c r="C200" s="11"/>
      <c r="E200" s="11"/>
      <c r="G200" s="12"/>
      <c r="H200" s="27" t="str">
        <f>IF(Invoices[[#This Row],[Invoice Date]]="","",IF(Invoices[[#This Row],[Terms (days)]]="",Invoices[[#This Row],[Invoice Date]]+Lists!$D$4,Invoices[[#This Row],[Invoice Date]]+Invoices[[#This Row],[Terms (days)]]))</f>
        <v/>
      </c>
      <c r="I200" s="74" t="str">
        <f>IFERROR(Invoices[[#This Row],[Due Date]]-Invoices[[#This Row],[Invoice Date]],"")</f>
        <v/>
      </c>
      <c r="J200" s="27" t="str">
        <f>IFERROR(IF(Invoices[[#This Row],[Days]]="","",IF(Invoices[[#This Row],[Days]]&lt;31,"A",IF(Invoices[[#This Row],[Days]]&lt;31,"B",IF(Invoices[[#This Row],[Days]]&lt;91,"C","D")))),"")</f>
        <v/>
      </c>
    </row>
    <row r="201" spans="2:10" ht="14.1" customHeight="1" x14ac:dyDescent="0.2">
      <c r="B201" s="10"/>
      <c r="C201" s="11"/>
      <c r="E201" s="11"/>
      <c r="G201" s="12"/>
      <c r="H201" s="27" t="str">
        <f>IF(Invoices[[#This Row],[Invoice Date]]="","",IF(Invoices[[#This Row],[Terms (days)]]="",Invoices[[#This Row],[Invoice Date]]+Lists!$D$4,Invoices[[#This Row],[Invoice Date]]+Invoices[[#This Row],[Terms (days)]]))</f>
        <v/>
      </c>
      <c r="I201" s="74" t="str">
        <f>IFERROR(Invoices[[#This Row],[Due Date]]-Invoices[[#This Row],[Invoice Date]],"")</f>
        <v/>
      </c>
      <c r="J201" s="27" t="str">
        <f>IFERROR(IF(Invoices[[#This Row],[Days]]="","",IF(Invoices[[#This Row],[Days]]&lt;31,"A",IF(Invoices[[#This Row],[Days]]&lt;31,"B",IF(Invoices[[#This Row],[Days]]&lt;91,"C","D")))),"")</f>
        <v/>
      </c>
    </row>
    <row r="202" spans="2:10" ht="14.1" customHeight="1" x14ac:dyDescent="0.2">
      <c r="B202" s="10"/>
      <c r="C202" s="11"/>
      <c r="E202" s="11"/>
      <c r="G202" s="12"/>
      <c r="H202" s="27" t="str">
        <f>IF(Invoices[[#This Row],[Invoice Date]]="","",IF(Invoices[[#This Row],[Terms (days)]]="",Invoices[[#This Row],[Invoice Date]]+Lists!$D$4,Invoices[[#This Row],[Invoice Date]]+Invoices[[#This Row],[Terms (days)]]))</f>
        <v/>
      </c>
      <c r="I202" s="74" t="str">
        <f>IFERROR(Invoices[[#This Row],[Due Date]]-Invoices[[#This Row],[Invoice Date]],"")</f>
        <v/>
      </c>
      <c r="J202" s="27" t="str">
        <f>IFERROR(IF(Invoices[[#This Row],[Days]]="","",IF(Invoices[[#This Row],[Days]]&lt;31,"A",IF(Invoices[[#This Row],[Days]]&lt;31,"B",IF(Invoices[[#This Row],[Days]]&lt;91,"C","D")))),"")</f>
        <v/>
      </c>
    </row>
    <row r="203" spans="2:10" ht="14.1" customHeight="1" x14ac:dyDescent="0.2">
      <c r="B203" s="10"/>
      <c r="C203" s="11"/>
      <c r="E203" s="11"/>
      <c r="G203" s="12"/>
      <c r="H203" s="27" t="str">
        <f>IF(Invoices[[#This Row],[Invoice Date]]="","",IF(Invoices[[#This Row],[Terms (days)]]="",Invoices[[#This Row],[Invoice Date]]+Lists!$D$4,Invoices[[#This Row],[Invoice Date]]+Invoices[[#This Row],[Terms (days)]]))</f>
        <v/>
      </c>
      <c r="I203" s="74" t="str">
        <f>IFERROR(Invoices[[#This Row],[Due Date]]-Invoices[[#This Row],[Invoice Date]],"")</f>
        <v/>
      </c>
      <c r="J203" s="27" t="str">
        <f>IFERROR(IF(Invoices[[#This Row],[Days]]="","",IF(Invoices[[#This Row],[Days]]&lt;31,"A",IF(Invoices[[#This Row],[Days]]&lt;31,"B",IF(Invoices[[#This Row],[Days]]&lt;91,"C","D")))),"")</f>
        <v/>
      </c>
    </row>
    <row r="204" spans="2:10" ht="14.1" customHeight="1" x14ac:dyDescent="0.2">
      <c r="B204" s="10"/>
      <c r="C204" s="11"/>
      <c r="E204" s="11"/>
      <c r="G204" s="12"/>
      <c r="H204" s="27" t="str">
        <f>IF(Invoices[[#This Row],[Invoice Date]]="","",IF(Invoices[[#This Row],[Terms (days)]]="",Invoices[[#This Row],[Invoice Date]]+Lists!$D$4,Invoices[[#This Row],[Invoice Date]]+Invoices[[#This Row],[Terms (days)]]))</f>
        <v/>
      </c>
      <c r="I204" s="74" t="str">
        <f>IFERROR(Invoices[[#This Row],[Due Date]]-Invoices[[#This Row],[Invoice Date]],"")</f>
        <v/>
      </c>
      <c r="J204" s="27" t="str">
        <f>IFERROR(IF(Invoices[[#This Row],[Days]]="","",IF(Invoices[[#This Row],[Days]]&lt;31,"A",IF(Invoices[[#This Row],[Days]]&lt;31,"B",IF(Invoices[[#This Row],[Days]]&lt;91,"C","D")))),"")</f>
        <v/>
      </c>
    </row>
    <row r="205" spans="2:10" ht="14.1" customHeight="1" x14ac:dyDescent="0.2">
      <c r="B205" s="10"/>
      <c r="C205" s="11"/>
      <c r="E205" s="11"/>
      <c r="G205" s="12"/>
      <c r="H205" s="27" t="str">
        <f>IF(Invoices[[#This Row],[Invoice Date]]="","",IF(Invoices[[#This Row],[Terms (days)]]="",Invoices[[#This Row],[Invoice Date]]+Lists!$D$4,Invoices[[#This Row],[Invoice Date]]+Invoices[[#This Row],[Terms (days)]]))</f>
        <v/>
      </c>
      <c r="I205" s="74" t="str">
        <f>IFERROR(Invoices[[#This Row],[Due Date]]-Invoices[[#This Row],[Invoice Date]],"")</f>
        <v/>
      </c>
      <c r="J205" s="27" t="str">
        <f>IFERROR(IF(Invoices[[#This Row],[Days]]="","",IF(Invoices[[#This Row],[Days]]&lt;31,"A",IF(Invoices[[#This Row],[Days]]&lt;31,"B",IF(Invoices[[#This Row],[Days]]&lt;91,"C","D")))),"")</f>
        <v/>
      </c>
    </row>
    <row r="206" spans="2:10" ht="14.1" customHeight="1" x14ac:dyDescent="0.2">
      <c r="B206" s="10"/>
      <c r="C206" s="11"/>
      <c r="E206" s="11"/>
      <c r="G206" s="12"/>
      <c r="H206" s="27" t="str">
        <f>IF(Invoices[[#This Row],[Invoice Date]]="","",IF(Invoices[[#This Row],[Terms (days)]]="",Invoices[[#This Row],[Invoice Date]]+Lists!$D$4,Invoices[[#This Row],[Invoice Date]]+Invoices[[#This Row],[Terms (days)]]))</f>
        <v/>
      </c>
      <c r="I206" s="74" t="str">
        <f>IFERROR(Invoices[[#This Row],[Due Date]]-Invoices[[#This Row],[Invoice Date]],"")</f>
        <v/>
      </c>
      <c r="J206" s="27" t="str">
        <f>IFERROR(IF(Invoices[[#This Row],[Days]]="","",IF(Invoices[[#This Row],[Days]]&lt;31,"A",IF(Invoices[[#This Row],[Days]]&lt;31,"B",IF(Invoices[[#This Row],[Days]]&lt;91,"C","D")))),"")</f>
        <v/>
      </c>
    </row>
    <row r="207" spans="2:10" ht="14.1" customHeight="1" x14ac:dyDescent="0.2">
      <c r="B207" s="10"/>
      <c r="C207" s="11"/>
      <c r="E207" s="11"/>
      <c r="G207" s="12"/>
      <c r="H207" s="27" t="str">
        <f>IF(Invoices[[#This Row],[Invoice Date]]="","",IF(Invoices[[#This Row],[Terms (days)]]="",Invoices[[#This Row],[Invoice Date]]+Lists!$D$4,Invoices[[#This Row],[Invoice Date]]+Invoices[[#This Row],[Terms (days)]]))</f>
        <v/>
      </c>
      <c r="I207" s="74" t="str">
        <f>IFERROR(Invoices[[#This Row],[Due Date]]-Invoices[[#This Row],[Invoice Date]],"")</f>
        <v/>
      </c>
      <c r="J207" s="27" t="str">
        <f>IFERROR(IF(Invoices[[#This Row],[Days]]="","",IF(Invoices[[#This Row],[Days]]&lt;31,"A",IF(Invoices[[#This Row],[Days]]&lt;31,"B",IF(Invoices[[#This Row],[Days]]&lt;91,"C","D")))),"")</f>
        <v/>
      </c>
    </row>
    <row r="208" spans="2:10" ht="14.1" customHeight="1" x14ac:dyDescent="0.2">
      <c r="B208" s="10"/>
      <c r="C208" s="11"/>
      <c r="E208" s="11"/>
      <c r="G208" s="12"/>
      <c r="H208" s="27" t="str">
        <f>IF(Invoices[[#This Row],[Invoice Date]]="","",IF(Invoices[[#This Row],[Terms (days)]]="",Invoices[[#This Row],[Invoice Date]]+Lists!$D$4,Invoices[[#This Row],[Invoice Date]]+Invoices[[#This Row],[Terms (days)]]))</f>
        <v/>
      </c>
      <c r="I208" s="74" t="str">
        <f>IFERROR(Invoices[[#This Row],[Due Date]]-Invoices[[#This Row],[Invoice Date]],"")</f>
        <v/>
      </c>
      <c r="J208" s="27" t="str">
        <f>IFERROR(IF(Invoices[[#This Row],[Days]]="","",IF(Invoices[[#This Row],[Days]]&lt;31,"A",IF(Invoices[[#This Row],[Days]]&lt;31,"B",IF(Invoices[[#This Row],[Days]]&lt;91,"C","D")))),"")</f>
        <v/>
      </c>
    </row>
    <row r="209" spans="2:10" ht="14.1" customHeight="1" x14ac:dyDescent="0.2">
      <c r="B209" s="10"/>
      <c r="C209" s="11"/>
      <c r="E209" s="11"/>
      <c r="G209" s="12"/>
      <c r="H209" s="27" t="str">
        <f>IF(Invoices[[#This Row],[Invoice Date]]="","",IF(Invoices[[#This Row],[Terms (days)]]="",Invoices[[#This Row],[Invoice Date]]+Lists!$D$4,Invoices[[#This Row],[Invoice Date]]+Invoices[[#This Row],[Terms (days)]]))</f>
        <v/>
      </c>
      <c r="I209" s="74" t="str">
        <f>IFERROR(Invoices[[#This Row],[Due Date]]-Invoices[[#This Row],[Invoice Date]],"")</f>
        <v/>
      </c>
      <c r="J209" s="27" t="str">
        <f>IFERROR(IF(Invoices[[#This Row],[Days]]="","",IF(Invoices[[#This Row],[Days]]&lt;31,"A",IF(Invoices[[#This Row],[Days]]&lt;31,"B",IF(Invoices[[#This Row],[Days]]&lt;91,"C","D")))),"")</f>
        <v/>
      </c>
    </row>
    <row r="210" spans="2:10" ht="14.1" customHeight="1" x14ac:dyDescent="0.2">
      <c r="B210" s="10"/>
      <c r="C210" s="11"/>
      <c r="E210" s="11"/>
      <c r="G210" s="12"/>
      <c r="H210" s="27" t="str">
        <f>IF(Invoices[[#This Row],[Invoice Date]]="","",IF(Invoices[[#This Row],[Terms (days)]]="",Invoices[[#This Row],[Invoice Date]]+Lists!$D$4,Invoices[[#This Row],[Invoice Date]]+Invoices[[#This Row],[Terms (days)]]))</f>
        <v/>
      </c>
      <c r="I210" s="74" t="str">
        <f>IFERROR(Invoices[[#This Row],[Due Date]]-Invoices[[#This Row],[Invoice Date]],"")</f>
        <v/>
      </c>
      <c r="J210" s="27" t="str">
        <f>IFERROR(IF(Invoices[[#This Row],[Days]]="","",IF(Invoices[[#This Row],[Days]]&lt;31,"A",IF(Invoices[[#This Row],[Days]]&lt;31,"B",IF(Invoices[[#This Row],[Days]]&lt;91,"C","D")))),"")</f>
        <v/>
      </c>
    </row>
    <row r="211" spans="2:10" ht="14.1" customHeight="1" x14ac:dyDescent="0.2">
      <c r="B211" s="10"/>
      <c r="C211" s="11"/>
      <c r="E211" s="11"/>
      <c r="G211" s="12"/>
      <c r="H211" s="27" t="str">
        <f>IF(Invoices[[#This Row],[Invoice Date]]="","",IF(Invoices[[#This Row],[Terms (days)]]="",Invoices[[#This Row],[Invoice Date]]+Lists!$D$4,Invoices[[#This Row],[Invoice Date]]+Invoices[[#This Row],[Terms (days)]]))</f>
        <v/>
      </c>
      <c r="I211" s="74" t="str">
        <f>IFERROR(Invoices[[#This Row],[Due Date]]-Invoices[[#This Row],[Invoice Date]],"")</f>
        <v/>
      </c>
      <c r="J211" s="27" t="str">
        <f>IFERROR(IF(Invoices[[#This Row],[Days]]="","",IF(Invoices[[#This Row],[Days]]&lt;31,"A",IF(Invoices[[#This Row],[Days]]&lt;31,"B",IF(Invoices[[#This Row],[Days]]&lt;91,"C","D")))),"")</f>
        <v/>
      </c>
    </row>
    <row r="212" spans="2:10" ht="14.1" customHeight="1" x14ac:dyDescent="0.2">
      <c r="B212" s="10"/>
      <c r="C212" s="11"/>
      <c r="E212" s="11"/>
      <c r="G212" s="12"/>
      <c r="H212" s="27" t="str">
        <f>IF(Invoices[[#This Row],[Invoice Date]]="","",IF(Invoices[[#This Row],[Terms (days)]]="",Invoices[[#This Row],[Invoice Date]]+Lists!$D$4,Invoices[[#This Row],[Invoice Date]]+Invoices[[#This Row],[Terms (days)]]))</f>
        <v/>
      </c>
      <c r="I212" s="74" t="str">
        <f>IFERROR(Invoices[[#This Row],[Due Date]]-Invoices[[#This Row],[Invoice Date]],"")</f>
        <v/>
      </c>
      <c r="J212" s="27" t="str">
        <f>IFERROR(IF(Invoices[[#This Row],[Days]]="","",IF(Invoices[[#This Row],[Days]]&lt;31,"A",IF(Invoices[[#This Row],[Days]]&lt;31,"B",IF(Invoices[[#This Row],[Days]]&lt;91,"C","D")))),"")</f>
        <v/>
      </c>
    </row>
    <row r="213" spans="2:10" ht="14.1" customHeight="1" x14ac:dyDescent="0.2">
      <c r="B213" s="10"/>
      <c r="C213" s="11"/>
      <c r="E213" s="11"/>
      <c r="G213" s="12"/>
      <c r="H213" s="27" t="str">
        <f>IF(Invoices[[#This Row],[Invoice Date]]="","",IF(Invoices[[#This Row],[Terms (days)]]="",Invoices[[#This Row],[Invoice Date]]+Lists!$D$4,Invoices[[#This Row],[Invoice Date]]+Invoices[[#This Row],[Terms (days)]]))</f>
        <v/>
      </c>
      <c r="I213" s="74" t="str">
        <f>IFERROR(Invoices[[#This Row],[Due Date]]-Invoices[[#This Row],[Invoice Date]],"")</f>
        <v/>
      </c>
      <c r="J213" s="27" t="str">
        <f>IFERROR(IF(Invoices[[#This Row],[Days]]="","",IF(Invoices[[#This Row],[Days]]&lt;31,"A",IF(Invoices[[#This Row],[Days]]&lt;31,"B",IF(Invoices[[#This Row],[Days]]&lt;91,"C","D")))),"")</f>
        <v/>
      </c>
    </row>
    <row r="214" spans="2:10" ht="14.1" customHeight="1" x14ac:dyDescent="0.2">
      <c r="B214" s="10"/>
      <c r="C214" s="11"/>
      <c r="E214" s="11"/>
      <c r="G214" s="12"/>
      <c r="H214" s="27" t="str">
        <f>IF(Invoices[[#This Row],[Invoice Date]]="","",IF(Invoices[[#This Row],[Terms (days)]]="",Invoices[[#This Row],[Invoice Date]]+Lists!$D$4,Invoices[[#This Row],[Invoice Date]]+Invoices[[#This Row],[Terms (days)]]))</f>
        <v/>
      </c>
      <c r="I214" s="74" t="str">
        <f>IFERROR(Invoices[[#This Row],[Due Date]]-Invoices[[#This Row],[Invoice Date]],"")</f>
        <v/>
      </c>
      <c r="J214" s="27" t="str">
        <f>IFERROR(IF(Invoices[[#This Row],[Days]]="","",IF(Invoices[[#This Row],[Days]]&lt;31,"A",IF(Invoices[[#This Row],[Days]]&lt;31,"B",IF(Invoices[[#This Row],[Days]]&lt;91,"C","D")))),"")</f>
        <v/>
      </c>
    </row>
    <row r="215" spans="2:10" ht="14.1" customHeight="1" x14ac:dyDescent="0.2">
      <c r="B215" s="10"/>
      <c r="C215" s="11"/>
      <c r="E215" s="11"/>
      <c r="G215" s="12"/>
      <c r="H215" s="27" t="str">
        <f>IF(Invoices[[#This Row],[Invoice Date]]="","",IF(Invoices[[#This Row],[Terms (days)]]="",Invoices[[#This Row],[Invoice Date]]+Lists!$D$4,Invoices[[#This Row],[Invoice Date]]+Invoices[[#This Row],[Terms (days)]]))</f>
        <v/>
      </c>
      <c r="I215" s="74" t="str">
        <f>IFERROR(Invoices[[#This Row],[Due Date]]-Invoices[[#This Row],[Invoice Date]],"")</f>
        <v/>
      </c>
      <c r="J215" s="27" t="str">
        <f>IFERROR(IF(Invoices[[#This Row],[Days]]="","",IF(Invoices[[#This Row],[Days]]&lt;31,"A",IF(Invoices[[#This Row],[Days]]&lt;31,"B",IF(Invoices[[#This Row],[Days]]&lt;91,"C","D")))),"")</f>
        <v/>
      </c>
    </row>
    <row r="216" spans="2:10" ht="14.1" customHeight="1" x14ac:dyDescent="0.2">
      <c r="B216" s="10"/>
      <c r="C216" s="11"/>
      <c r="E216" s="11"/>
      <c r="G216" s="12"/>
      <c r="H216" s="27" t="str">
        <f>IF(Invoices[[#This Row],[Invoice Date]]="","",IF(Invoices[[#This Row],[Terms (days)]]="",Invoices[[#This Row],[Invoice Date]]+Lists!$D$4,Invoices[[#This Row],[Invoice Date]]+Invoices[[#This Row],[Terms (days)]]))</f>
        <v/>
      </c>
      <c r="I216" s="74" t="str">
        <f>IFERROR(Invoices[[#This Row],[Due Date]]-Invoices[[#This Row],[Invoice Date]],"")</f>
        <v/>
      </c>
      <c r="J216" s="27" t="str">
        <f>IFERROR(IF(Invoices[[#This Row],[Days]]="","",IF(Invoices[[#This Row],[Days]]&lt;31,"A",IF(Invoices[[#This Row],[Days]]&lt;31,"B",IF(Invoices[[#This Row],[Days]]&lt;91,"C","D")))),"")</f>
        <v/>
      </c>
    </row>
    <row r="217" spans="2:10" ht="14.1" customHeight="1" x14ac:dyDescent="0.2">
      <c r="B217" s="10"/>
      <c r="C217" s="11"/>
      <c r="E217" s="11"/>
      <c r="G217" s="12"/>
      <c r="H217" s="27" t="str">
        <f>IF(Invoices[[#This Row],[Invoice Date]]="","",IF(Invoices[[#This Row],[Terms (days)]]="",Invoices[[#This Row],[Invoice Date]]+Lists!$D$4,Invoices[[#This Row],[Invoice Date]]+Invoices[[#This Row],[Terms (days)]]))</f>
        <v/>
      </c>
      <c r="I217" s="74" t="str">
        <f>IFERROR(Invoices[[#This Row],[Due Date]]-Invoices[[#This Row],[Invoice Date]],"")</f>
        <v/>
      </c>
      <c r="J217" s="27" t="str">
        <f>IFERROR(IF(Invoices[[#This Row],[Days]]="","",IF(Invoices[[#This Row],[Days]]&lt;31,"A",IF(Invoices[[#This Row],[Days]]&lt;31,"B",IF(Invoices[[#This Row],[Days]]&lt;91,"C","D")))),"")</f>
        <v/>
      </c>
    </row>
    <row r="218" spans="2:10" ht="14.1" customHeight="1" x14ac:dyDescent="0.2">
      <c r="B218" s="10"/>
      <c r="C218" s="11"/>
      <c r="E218" s="11"/>
      <c r="G218" s="12"/>
      <c r="H218" s="27" t="str">
        <f>IF(Invoices[[#This Row],[Invoice Date]]="","",IF(Invoices[[#This Row],[Terms (days)]]="",Invoices[[#This Row],[Invoice Date]]+Lists!$D$4,Invoices[[#This Row],[Invoice Date]]+Invoices[[#This Row],[Terms (days)]]))</f>
        <v/>
      </c>
      <c r="I218" s="74" t="str">
        <f>IFERROR(Invoices[[#This Row],[Due Date]]-Invoices[[#This Row],[Invoice Date]],"")</f>
        <v/>
      </c>
      <c r="J218" s="27" t="str">
        <f>IFERROR(IF(Invoices[[#This Row],[Days]]="","",IF(Invoices[[#This Row],[Days]]&lt;31,"A",IF(Invoices[[#This Row],[Days]]&lt;31,"B",IF(Invoices[[#This Row],[Days]]&lt;91,"C","D")))),"")</f>
        <v/>
      </c>
    </row>
    <row r="219" spans="2:10" ht="14.1" customHeight="1" x14ac:dyDescent="0.2">
      <c r="B219" s="10"/>
      <c r="C219" s="11"/>
      <c r="E219" s="11"/>
      <c r="G219" s="12"/>
      <c r="H219" s="27" t="str">
        <f>IF(Invoices[[#This Row],[Invoice Date]]="","",IF(Invoices[[#This Row],[Terms (days)]]="",Invoices[[#This Row],[Invoice Date]]+Lists!$D$4,Invoices[[#This Row],[Invoice Date]]+Invoices[[#This Row],[Terms (days)]]))</f>
        <v/>
      </c>
      <c r="I219" s="74" t="str">
        <f>IFERROR(Invoices[[#This Row],[Due Date]]-Invoices[[#This Row],[Invoice Date]],"")</f>
        <v/>
      </c>
      <c r="J219" s="27" t="str">
        <f>IFERROR(IF(Invoices[[#This Row],[Days]]="","",IF(Invoices[[#This Row],[Days]]&lt;31,"A",IF(Invoices[[#This Row],[Days]]&lt;31,"B",IF(Invoices[[#This Row],[Days]]&lt;91,"C","D")))),"")</f>
        <v/>
      </c>
    </row>
    <row r="220" spans="2:10" ht="14.1" customHeight="1" x14ac:dyDescent="0.2">
      <c r="B220" s="10"/>
      <c r="C220" s="11"/>
      <c r="E220" s="11"/>
      <c r="G220" s="12"/>
      <c r="H220" s="27" t="str">
        <f>IF(Invoices[[#This Row],[Invoice Date]]="","",IF(Invoices[[#This Row],[Terms (days)]]="",Invoices[[#This Row],[Invoice Date]]+Lists!$D$4,Invoices[[#This Row],[Invoice Date]]+Invoices[[#This Row],[Terms (days)]]))</f>
        <v/>
      </c>
      <c r="I220" s="74" t="str">
        <f>IFERROR(Invoices[[#This Row],[Due Date]]-Invoices[[#This Row],[Invoice Date]],"")</f>
        <v/>
      </c>
      <c r="J220" s="27" t="str">
        <f>IFERROR(IF(Invoices[[#This Row],[Days]]="","",IF(Invoices[[#This Row],[Days]]&lt;31,"A",IF(Invoices[[#This Row],[Days]]&lt;31,"B",IF(Invoices[[#This Row],[Days]]&lt;91,"C","D")))),"")</f>
        <v/>
      </c>
    </row>
    <row r="221" spans="2:10" ht="14.1" customHeight="1" x14ac:dyDescent="0.2">
      <c r="B221" s="10"/>
      <c r="C221" s="11"/>
      <c r="E221" s="11"/>
      <c r="G221" s="12"/>
      <c r="H221" s="27" t="str">
        <f>IF(Invoices[[#This Row],[Invoice Date]]="","",IF(Invoices[[#This Row],[Terms (days)]]="",Invoices[[#This Row],[Invoice Date]]+Lists!$D$4,Invoices[[#This Row],[Invoice Date]]+Invoices[[#This Row],[Terms (days)]]))</f>
        <v/>
      </c>
      <c r="I221" s="74" t="str">
        <f>IFERROR(Invoices[[#This Row],[Due Date]]-Invoices[[#This Row],[Invoice Date]],"")</f>
        <v/>
      </c>
      <c r="J221" s="27" t="str">
        <f>IFERROR(IF(Invoices[[#This Row],[Days]]="","",IF(Invoices[[#This Row],[Days]]&lt;31,"A",IF(Invoices[[#This Row],[Days]]&lt;31,"B",IF(Invoices[[#This Row],[Days]]&lt;91,"C","D")))),"")</f>
        <v/>
      </c>
    </row>
    <row r="222" spans="2:10" ht="14.1" customHeight="1" x14ac:dyDescent="0.2">
      <c r="B222" s="10"/>
      <c r="C222" s="11"/>
      <c r="E222" s="11"/>
      <c r="G222" s="12"/>
      <c r="H222" s="27" t="str">
        <f>IF(Invoices[[#This Row],[Invoice Date]]="","",IF(Invoices[[#This Row],[Terms (days)]]="",Invoices[[#This Row],[Invoice Date]]+Lists!$D$4,Invoices[[#This Row],[Invoice Date]]+Invoices[[#This Row],[Terms (days)]]))</f>
        <v/>
      </c>
      <c r="I222" s="74" t="str">
        <f>IFERROR(Invoices[[#This Row],[Due Date]]-Invoices[[#This Row],[Invoice Date]],"")</f>
        <v/>
      </c>
      <c r="J222" s="27" t="str">
        <f>IFERROR(IF(Invoices[[#This Row],[Days]]="","",IF(Invoices[[#This Row],[Days]]&lt;31,"A",IF(Invoices[[#This Row],[Days]]&lt;31,"B",IF(Invoices[[#This Row],[Days]]&lt;91,"C","D")))),"")</f>
        <v/>
      </c>
    </row>
    <row r="223" spans="2:10" ht="14.1" customHeight="1" x14ac:dyDescent="0.2">
      <c r="B223" s="10"/>
      <c r="C223" s="11"/>
      <c r="E223" s="11"/>
      <c r="G223" s="12"/>
      <c r="H223" s="27" t="str">
        <f>IF(Invoices[[#This Row],[Invoice Date]]="","",IF(Invoices[[#This Row],[Terms (days)]]="",Invoices[[#This Row],[Invoice Date]]+Lists!$D$4,Invoices[[#This Row],[Invoice Date]]+Invoices[[#This Row],[Terms (days)]]))</f>
        <v/>
      </c>
      <c r="I223" s="74" t="str">
        <f>IFERROR(Invoices[[#This Row],[Due Date]]-Invoices[[#This Row],[Invoice Date]],"")</f>
        <v/>
      </c>
      <c r="J223" s="27" t="str">
        <f>IFERROR(IF(Invoices[[#This Row],[Days]]="","",IF(Invoices[[#This Row],[Days]]&lt;31,"A",IF(Invoices[[#This Row],[Days]]&lt;31,"B",IF(Invoices[[#This Row],[Days]]&lt;91,"C","D")))),"")</f>
        <v/>
      </c>
    </row>
    <row r="224" spans="2:10" ht="14.1" customHeight="1" x14ac:dyDescent="0.2">
      <c r="B224" s="10"/>
      <c r="C224" s="11"/>
      <c r="E224" s="11"/>
      <c r="G224" s="12"/>
      <c r="H224" s="27" t="str">
        <f>IF(Invoices[[#This Row],[Invoice Date]]="","",IF(Invoices[[#This Row],[Terms (days)]]="",Invoices[[#This Row],[Invoice Date]]+Lists!$D$4,Invoices[[#This Row],[Invoice Date]]+Invoices[[#This Row],[Terms (days)]]))</f>
        <v/>
      </c>
      <c r="I224" s="74" t="str">
        <f>IFERROR(Invoices[[#This Row],[Due Date]]-Invoices[[#This Row],[Invoice Date]],"")</f>
        <v/>
      </c>
      <c r="J224" s="27" t="str">
        <f>IFERROR(IF(Invoices[[#This Row],[Days]]="","",IF(Invoices[[#This Row],[Days]]&lt;31,"A",IF(Invoices[[#This Row],[Days]]&lt;31,"B",IF(Invoices[[#This Row],[Days]]&lt;91,"C","D")))),"")</f>
        <v/>
      </c>
    </row>
    <row r="225" spans="2:10" ht="14.1" customHeight="1" x14ac:dyDescent="0.2">
      <c r="B225" s="10"/>
      <c r="C225" s="11"/>
      <c r="E225" s="11"/>
      <c r="G225" s="12"/>
      <c r="H225" s="27" t="str">
        <f>IF(Invoices[[#This Row],[Invoice Date]]="","",IF(Invoices[[#This Row],[Terms (days)]]="",Invoices[[#This Row],[Invoice Date]]+Lists!$D$4,Invoices[[#This Row],[Invoice Date]]+Invoices[[#This Row],[Terms (days)]]))</f>
        <v/>
      </c>
      <c r="I225" s="74" t="str">
        <f>IFERROR(Invoices[[#This Row],[Due Date]]-Invoices[[#This Row],[Invoice Date]],"")</f>
        <v/>
      </c>
      <c r="J225" s="27" t="str">
        <f>IFERROR(IF(Invoices[[#This Row],[Days]]="","",IF(Invoices[[#This Row],[Days]]&lt;31,"A",IF(Invoices[[#This Row],[Days]]&lt;31,"B",IF(Invoices[[#This Row],[Days]]&lt;91,"C","D")))),"")</f>
        <v/>
      </c>
    </row>
    <row r="226" spans="2:10" ht="14.1" customHeight="1" x14ac:dyDescent="0.2">
      <c r="B226" s="10"/>
      <c r="C226" s="11"/>
      <c r="E226" s="11"/>
      <c r="G226" s="12"/>
      <c r="H226" s="27" t="str">
        <f>IF(Invoices[[#This Row],[Invoice Date]]="","",IF(Invoices[[#This Row],[Terms (days)]]="",Invoices[[#This Row],[Invoice Date]]+Lists!$D$4,Invoices[[#This Row],[Invoice Date]]+Invoices[[#This Row],[Terms (days)]]))</f>
        <v/>
      </c>
      <c r="I226" s="74" t="str">
        <f>IFERROR(Invoices[[#This Row],[Due Date]]-Invoices[[#This Row],[Invoice Date]],"")</f>
        <v/>
      </c>
      <c r="J226" s="27" t="str">
        <f>IFERROR(IF(Invoices[[#This Row],[Days]]="","",IF(Invoices[[#This Row],[Days]]&lt;31,"A",IF(Invoices[[#This Row],[Days]]&lt;31,"B",IF(Invoices[[#This Row],[Days]]&lt;91,"C","D")))),"")</f>
        <v/>
      </c>
    </row>
    <row r="227" spans="2:10" ht="14.1" customHeight="1" x14ac:dyDescent="0.2">
      <c r="B227" s="10"/>
      <c r="C227" s="11"/>
      <c r="E227" s="11"/>
      <c r="G227" s="12"/>
      <c r="H227" s="27" t="str">
        <f>IF(Invoices[[#This Row],[Invoice Date]]="","",IF(Invoices[[#This Row],[Terms (days)]]="",Invoices[[#This Row],[Invoice Date]]+Lists!$D$4,Invoices[[#This Row],[Invoice Date]]+Invoices[[#This Row],[Terms (days)]]))</f>
        <v/>
      </c>
      <c r="I227" s="74" t="str">
        <f>IFERROR(Invoices[[#This Row],[Due Date]]-Invoices[[#This Row],[Invoice Date]],"")</f>
        <v/>
      </c>
      <c r="J227" s="27" t="str">
        <f>IFERROR(IF(Invoices[[#This Row],[Days]]="","",IF(Invoices[[#This Row],[Days]]&lt;31,"A",IF(Invoices[[#This Row],[Days]]&lt;31,"B",IF(Invoices[[#This Row],[Days]]&lt;91,"C","D")))),"")</f>
        <v/>
      </c>
    </row>
    <row r="228" spans="2:10" ht="14.1" customHeight="1" x14ac:dyDescent="0.2">
      <c r="B228" s="10"/>
      <c r="C228" s="11"/>
      <c r="E228" s="11"/>
      <c r="G228" s="12"/>
      <c r="H228" s="27" t="str">
        <f>IF(Invoices[[#This Row],[Invoice Date]]="","",IF(Invoices[[#This Row],[Terms (days)]]="",Invoices[[#This Row],[Invoice Date]]+Lists!$D$4,Invoices[[#This Row],[Invoice Date]]+Invoices[[#This Row],[Terms (days)]]))</f>
        <v/>
      </c>
      <c r="I228" s="74" t="str">
        <f>IFERROR(Invoices[[#This Row],[Due Date]]-Invoices[[#This Row],[Invoice Date]],"")</f>
        <v/>
      </c>
      <c r="J228" s="27" t="str">
        <f>IFERROR(IF(Invoices[[#This Row],[Days]]="","",IF(Invoices[[#This Row],[Days]]&lt;31,"A",IF(Invoices[[#This Row],[Days]]&lt;31,"B",IF(Invoices[[#This Row],[Days]]&lt;91,"C","D")))),"")</f>
        <v/>
      </c>
    </row>
    <row r="229" spans="2:10" ht="14.1" customHeight="1" x14ac:dyDescent="0.2">
      <c r="B229" s="10"/>
      <c r="C229" s="11"/>
      <c r="E229" s="11"/>
      <c r="G229" s="12"/>
      <c r="H229" s="27" t="str">
        <f>IF(Invoices[[#This Row],[Invoice Date]]="","",IF(Invoices[[#This Row],[Terms (days)]]="",Invoices[[#This Row],[Invoice Date]]+Lists!$D$4,Invoices[[#This Row],[Invoice Date]]+Invoices[[#This Row],[Terms (days)]]))</f>
        <v/>
      </c>
      <c r="I229" s="74" t="str">
        <f>IFERROR(Invoices[[#This Row],[Due Date]]-Invoices[[#This Row],[Invoice Date]],"")</f>
        <v/>
      </c>
      <c r="J229" s="27" t="str">
        <f>IFERROR(IF(Invoices[[#This Row],[Days]]="","",IF(Invoices[[#This Row],[Days]]&lt;31,"A",IF(Invoices[[#This Row],[Days]]&lt;31,"B",IF(Invoices[[#This Row],[Days]]&lt;91,"C","D")))),"")</f>
        <v/>
      </c>
    </row>
    <row r="230" spans="2:10" ht="14.1" customHeight="1" x14ac:dyDescent="0.2">
      <c r="B230" s="10"/>
      <c r="C230" s="11"/>
      <c r="E230" s="11"/>
      <c r="G230" s="12"/>
      <c r="H230" s="27" t="str">
        <f>IF(Invoices[[#This Row],[Invoice Date]]="","",IF(Invoices[[#This Row],[Terms (days)]]="",Invoices[[#This Row],[Invoice Date]]+Lists!$D$4,Invoices[[#This Row],[Invoice Date]]+Invoices[[#This Row],[Terms (days)]]))</f>
        <v/>
      </c>
      <c r="I230" s="74" t="str">
        <f>IFERROR(Invoices[[#This Row],[Due Date]]-Invoices[[#This Row],[Invoice Date]],"")</f>
        <v/>
      </c>
      <c r="J230" s="27" t="str">
        <f>IFERROR(IF(Invoices[[#This Row],[Days]]="","",IF(Invoices[[#This Row],[Days]]&lt;31,"A",IF(Invoices[[#This Row],[Days]]&lt;31,"B",IF(Invoices[[#This Row],[Days]]&lt;91,"C","D")))),"")</f>
        <v/>
      </c>
    </row>
    <row r="231" spans="2:10" ht="14.1" customHeight="1" x14ac:dyDescent="0.2">
      <c r="B231" s="10"/>
      <c r="C231" s="11"/>
      <c r="E231" s="11"/>
      <c r="G231" s="12"/>
      <c r="H231" s="27" t="str">
        <f>IF(Invoices[[#This Row],[Invoice Date]]="","",IF(Invoices[[#This Row],[Terms (days)]]="",Invoices[[#This Row],[Invoice Date]]+Lists!$D$4,Invoices[[#This Row],[Invoice Date]]+Invoices[[#This Row],[Terms (days)]]))</f>
        <v/>
      </c>
      <c r="I231" s="74" t="str">
        <f>IFERROR(Invoices[[#This Row],[Due Date]]-Invoices[[#This Row],[Invoice Date]],"")</f>
        <v/>
      </c>
      <c r="J231" s="27" t="str">
        <f>IFERROR(IF(Invoices[[#This Row],[Days]]="","",IF(Invoices[[#This Row],[Days]]&lt;31,"A",IF(Invoices[[#This Row],[Days]]&lt;31,"B",IF(Invoices[[#This Row],[Days]]&lt;91,"C","D")))),"")</f>
        <v/>
      </c>
    </row>
    <row r="232" spans="2:10" ht="14.1" customHeight="1" x14ac:dyDescent="0.2">
      <c r="B232" s="10"/>
      <c r="C232" s="11"/>
      <c r="E232" s="11"/>
      <c r="G232" s="12"/>
      <c r="H232" s="27" t="str">
        <f>IF(Invoices[[#This Row],[Invoice Date]]="","",IF(Invoices[[#This Row],[Terms (days)]]="",Invoices[[#This Row],[Invoice Date]]+Lists!$D$4,Invoices[[#This Row],[Invoice Date]]+Invoices[[#This Row],[Terms (days)]]))</f>
        <v/>
      </c>
      <c r="I232" s="74" t="str">
        <f>IFERROR(Invoices[[#This Row],[Due Date]]-Invoices[[#This Row],[Invoice Date]],"")</f>
        <v/>
      </c>
      <c r="J232" s="27" t="str">
        <f>IFERROR(IF(Invoices[[#This Row],[Days]]="","",IF(Invoices[[#This Row],[Days]]&lt;31,"A",IF(Invoices[[#This Row],[Days]]&lt;31,"B",IF(Invoices[[#This Row],[Days]]&lt;91,"C","D")))),"")</f>
        <v/>
      </c>
    </row>
    <row r="233" spans="2:10" ht="14.1" customHeight="1" x14ac:dyDescent="0.2">
      <c r="B233" s="10"/>
      <c r="C233" s="11"/>
      <c r="E233" s="11"/>
      <c r="G233" s="12"/>
      <c r="H233" s="27" t="str">
        <f>IF(Invoices[[#This Row],[Invoice Date]]="","",IF(Invoices[[#This Row],[Terms (days)]]="",Invoices[[#This Row],[Invoice Date]]+Lists!$D$4,Invoices[[#This Row],[Invoice Date]]+Invoices[[#This Row],[Terms (days)]]))</f>
        <v/>
      </c>
      <c r="I233" s="74" t="str">
        <f>IFERROR(Invoices[[#This Row],[Due Date]]-Invoices[[#This Row],[Invoice Date]],"")</f>
        <v/>
      </c>
      <c r="J233" s="27" t="str">
        <f>IFERROR(IF(Invoices[[#This Row],[Days]]="","",IF(Invoices[[#This Row],[Days]]&lt;31,"A",IF(Invoices[[#This Row],[Days]]&lt;31,"B",IF(Invoices[[#This Row],[Days]]&lt;91,"C","D")))),"")</f>
        <v/>
      </c>
    </row>
    <row r="234" spans="2:10" ht="14.1" customHeight="1" x14ac:dyDescent="0.2">
      <c r="B234" s="10"/>
      <c r="C234" s="11"/>
      <c r="E234" s="11"/>
      <c r="G234" s="12"/>
      <c r="H234" s="27" t="str">
        <f>IF(Invoices[[#This Row],[Invoice Date]]="","",IF(Invoices[[#This Row],[Terms (days)]]="",Invoices[[#This Row],[Invoice Date]]+Lists!$D$4,Invoices[[#This Row],[Invoice Date]]+Invoices[[#This Row],[Terms (days)]]))</f>
        <v/>
      </c>
      <c r="I234" s="74" t="str">
        <f>IFERROR(Invoices[[#This Row],[Due Date]]-Invoices[[#This Row],[Invoice Date]],"")</f>
        <v/>
      </c>
      <c r="J234" s="27" t="str">
        <f>IFERROR(IF(Invoices[[#This Row],[Days]]="","",IF(Invoices[[#This Row],[Days]]&lt;31,"A",IF(Invoices[[#This Row],[Days]]&lt;31,"B",IF(Invoices[[#This Row],[Days]]&lt;91,"C","D")))),"")</f>
        <v/>
      </c>
    </row>
    <row r="235" spans="2:10" ht="14.1" customHeight="1" x14ac:dyDescent="0.2">
      <c r="B235" s="10"/>
      <c r="C235" s="11"/>
      <c r="E235" s="11"/>
      <c r="G235" s="12"/>
      <c r="H235" s="27" t="str">
        <f>IF(Invoices[[#This Row],[Invoice Date]]="","",IF(Invoices[[#This Row],[Terms (days)]]="",Invoices[[#This Row],[Invoice Date]]+Lists!$D$4,Invoices[[#This Row],[Invoice Date]]+Invoices[[#This Row],[Terms (days)]]))</f>
        <v/>
      </c>
      <c r="I235" s="74" t="str">
        <f>IFERROR(Invoices[[#This Row],[Due Date]]-Invoices[[#This Row],[Invoice Date]],"")</f>
        <v/>
      </c>
      <c r="J235" s="27" t="str">
        <f>IFERROR(IF(Invoices[[#This Row],[Days]]="","",IF(Invoices[[#This Row],[Days]]&lt;31,"A",IF(Invoices[[#This Row],[Days]]&lt;31,"B",IF(Invoices[[#This Row],[Days]]&lt;91,"C","D")))),"")</f>
        <v/>
      </c>
    </row>
    <row r="236" spans="2:10" ht="14.1" customHeight="1" x14ac:dyDescent="0.2">
      <c r="B236" s="10"/>
      <c r="C236" s="11"/>
      <c r="E236" s="11"/>
      <c r="G236" s="12"/>
      <c r="H236" s="27" t="str">
        <f>IF(Invoices[[#This Row],[Invoice Date]]="","",IF(Invoices[[#This Row],[Terms (days)]]="",Invoices[[#This Row],[Invoice Date]]+Lists!$D$4,Invoices[[#This Row],[Invoice Date]]+Invoices[[#This Row],[Terms (days)]]))</f>
        <v/>
      </c>
      <c r="I236" s="74" t="str">
        <f>IFERROR(Invoices[[#This Row],[Due Date]]-Invoices[[#This Row],[Invoice Date]],"")</f>
        <v/>
      </c>
      <c r="J236" s="27" t="str">
        <f>IFERROR(IF(Invoices[[#This Row],[Days]]="","",IF(Invoices[[#This Row],[Days]]&lt;31,"A",IF(Invoices[[#This Row],[Days]]&lt;31,"B",IF(Invoices[[#This Row],[Days]]&lt;91,"C","D")))),"")</f>
        <v/>
      </c>
    </row>
    <row r="237" spans="2:10" ht="14.1" customHeight="1" x14ac:dyDescent="0.2">
      <c r="B237" s="10"/>
      <c r="C237" s="11"/>
      <c r="E237" s="11"/>
      <c r="G237" s="12"/>
      <c r="H237" s="27" t="str">
        <f>IF(Invoices[[#This Row],[Invoice Date]]="","",IF(Invoices[[#This Row],[Terms (days)]]="",Invoices[[#This Row],[Invoice Date]]+Lists!$D$4,Invoices[[#This Row],[Invoice Date]]+Invoices[[#This Row],[Terms (days)]]))</f>
        <v/>
      </c>
      <c r="I237" s="74" t="str">
        <f>IFERROR(Invoices[[#This Row],[Due Date]]-Invoices[[#This Row],[Invoice Date]],"")</f>
        <v/>
      </c>
      <c r="J237" s="27" t="str">
        <f>IFERROR(IF(Invoices[[#This Row],[Days]]="","",IF(Invoices[[#This Row],[Days]]&lt;31,"A",IF(Invoices[[#This Row],[Days]]&lt;31,"B",IF(Invoices[[#This Row],[Days]]&lt;91,"C","D")))),"")</f>
        <v/>
      </c>
    </row>
    <row r="238" spans="2:10" ht="14.1" customHeight="1" x14ac:dyDescent="0.2">
      <c r="B238" s="10"/>
      <c r="C238" s="11"/>
      <c r="E238" s="11"/>
      <c r="G238" s="12"/>
      <c r="H238" s="27" t="str">
        <f>IF(Invoices[[#This Row],[Invoice Date]]="","",IF(Invoices[[#This Row],[Terms (days)]]="",Invoices[[#This Row],[Invoice Date]]+Lists!$D$4,Invoices[[#This Row],[Invoice Date]]+Invoices[[#This Row],[Terms (days)]]))</f>
        <v/>
      </c>
      <c r="I238" s="74" t="str">
        <f>IFERROR(Invoices[[#This Row],[Due Date]]-Invoices[[#This Row],[Invoice Date]],"")</f>
        <v/>
      </c>
      <c r="J238" s="27" t="str">
        <f>IFERROR(IF(Invoices[[#This Row],[Days]]="","",IF(Invoices[[#This Row],[Days]]&lt;31,"A",IF(Invoices[[#This Row],[Days]]&lt;31,"B",IF(Invoices[[#This Row],[Days]]&lt;91,"C","D")))),"")</f>
        <v/>
      </c>
    </row>
    <row r="239" spans="2:10" ht="14.1" customHeight="1" x14ac:dyDescent="0.2">
      <c r="B239" s="10"/>
      <c r="C239" s="11"/>
      <c r="E239" s="11"/>
      <c r="G239" s="12"/>
      <c r="H239" s="27" t="str">
        <f>IF(Invoices[[#This Row],[Invoice Date]]="","",IF(Invoices[[#This Row],[Terms (days)]]="",Invoices[[#This Row],[Invoice Date]]+Lists!$D$4,Invoices[[#This Row],[Invoice Date]]+Invoices[[#This Row],[Terms (days)]]))</f>
        <v/>
      </c>
      <c r="I239" s="74" t="str">
        <f>IFERROR(Invoices[[#This Row],[Due Date]]-Invoices[[#This Row],[Invoice Date]],"")</f>
        <v/>
      </c>
      <c r="J239" s="27" t="str">
        <f>IFERROR(IF(Invoices[[#This Row],[Days]]="","",IF(Invoices[[#This Row],[Days]]&lt;31,"A",IF(Invoices[[#This Row],[Days]]&lt;31,"B",IF(Invoices[[#This Row],[Days]]&lt;91,"C","D")))),"")</f>
        <v/>
      </c>
    </row>
    <row r="240" spans="2:10" ht="14.1" customHeight="1" x14ac:dyDescent="0.2">
      <c r="B240" s="10"/>
      <c r="C240" s="11"/>
      <c r="E240" s="11"/>
      <c r="G240" s="12"/>
      <c r="H240" s="27" t="str">
        <f>IF(Invoices[[#This Row],[Invoice Date]]="","",IF(Invoices[[#This Row],[Terms (days)]]="",Invoices[[#This Row],[Invoice Date]]+Lists!$D$4,Invoices[[#This Row],[Invoice Date]]+Invoices[[#This Row],[Terms (days)]]))</f>
        <v/>
      </c>
      <c r="I240" s="74" t="str">
        <f>IFERROR(Invoices[[#This Row],[Due Date]]-Invoices[[#This Row],[Invoice Date]],"")</f>
        <v/>
      </c>
      <c r="J240" s="27" t="str">
        <f>IFERROR(IF(Invoices[[#This Row],[Days]]="","",IF(Invoices[[#This Row],[Days]]&lt;31,"A",IF(Invoices[[#This Row],[Days]]&lt;31,"B",IF(Invoices[[#This Row],[Days]]&lt;91,"C","D")))),"")</f>
        <v/>
      </c>
    </row>
    <row r="241" spans="2:10" ht="14.1" customHeight="1" x14ac:dyDescent="0.2">
      <c r="B241" s="10"/>
      <c r="C241" s="11"/>
      <c r="E241" s="11"/>
      <c r="G241" s="12"/>
      <c r="H241" s="27" t="str">
        <f>IF(Invoices[[#This Row],[Invoice Date]]="","",IF(Invoices[[#This Row],[Terms (days)]]="",Invoices[[#This Row],[Invoice Date]]+Lists!$D$4,Invoices[[#This Row],[Invoice Date]]+Invoices[[#This Row],[Terms (days)]]))</f>
        <v/>
      </c>
      <c r="I241" s="74" t="str">
        <f>IFERROR(Invoices[[#This Row],[Due Date]]-Invoices[[#This Row],[Invoice Date]],"")</f>
        <v/>
      </c>
      <c r="J241" s="27" t="str">
        <f>IFERROR(IF(Invoices[[#This Row],[Days]]="","",IF(Invoices[[#This Row],[Days]]&lt;31,"A",IF(Invoices[[#This Row],[Days]]&lt;31,"B",IF(Invoices[[#This Row],[Days]]&lt;91,"C","D")))),"")</f>
        <v/>
      </c>
    </row>
    <row r="242" spans="2:10" ht="14.1" customHeight="1" x14ac:dyDescent="0.2">
      <c r="B242" s="10"/>
      <c r="C242" s="11"/>
      <c r="E242" s="11"/>
      <c r="G242" s="12"/>
      <c r="H242" s="27" t="str">
        <f>IF(Invoices[[#This Row],[Invoice Date]]="","",IF(Invoices[[#This Row],[Terms (days)]]="",Invoices[[#This Row],[Invoice Date]]+Lists!$D$4,Invoices[[#This Row],[Invoice Date]]+Invoices[[#This Row],[Terms (days)]]))</f>
        <v/>
      </c>
      <c r="I242" s="74" t="str">
        <f>IFERROR(Invoices[[#This Row],[Due Date]]-Invoices[[#This Row],[Invoice Date]],"")</f>
        <v/>
      </c>
      <c r="J242" s="27" t="str">
        <f>IFERROR(IF(Invoices[[#This Row],[Days]]="","",IF(Invoices[[#This Row],[Days]]&lt;31,"A",IF(Invoices[[#This Row],[Days]]&lt;31,"B",IF(Invoices[[#This Row],[Days]]&lt;91,"C","D")))),"")</f>
        <v/>
      </c>
    </row>
    <row r="243" spans="2:10" ht="14.1" customHeight="1" x14ac:dyDescent="0.2">
      <c r="B243" s="10"/>
      <c r="C243" s="11"/>
      <c r="E243" s="11"/>
      <c r="G243" s="12"/>
      <c r="H243" s="27" t="str">
        <f>IF(Invoices[[#This Row],[Invoice Date]]="","",IF(Invoices[[#This Row],[Terms (days)]]="",Invoices[[#This Row],[Invoice Date]]+Lists!$D$4,Invoices[[#This Row],[Invoice Date]]+Invoices[[#This Row],[Terms (days)]]))</f>
        <v/>
      </c>
      <c r="I243" s="74" t="str">
        <f>IFERROR(Invoices[[#This Row],[Due Date]]-Invoices[[#This Row],[Invoice Date]],"")</f>
        <v/>
      </c>
      <c r="J243" s="27" t="str">
        <f>IFERROR(IF(Invoices[[#This Row],[Days]]="","",IF(Invoices[[#This Row],[Days]]&lt;31,"A",IF(Invoices[[#This Row],[Days]]&lt;31,"B",IF(Invoices[[#This Row],[Days]]&lt;91,"C","D")))),"")</f>
        <v/>
      </c>
    </row>
    <row r="244" spans="2:10" ht="14.1" customHeight="1" x14ac:dyDescent="0.2">
      <c r="B244" s="10"/>
      <c r="C244" s="11"/>
      <c r="E244" s="11"/>
      <c r="G244" s="12"/>
      <c r="H244" s="27" t="str">
        <f>IF(Invoices[[#This Row],[Invoice Date]]="","",IF(Invoices[[#This Row],[Terms (days)]]="",Invoices[[#This Row],[Invoice Date]]+Lists!$D$4,Invoices[[#This Row],[Invoice Date]]+Invoices[[#This Row],[Terms (days)]]))</f>
        <v/>
      </c>
      <c r="I244" s="74" t="str">
        <f>IFERROR(Invoices[[#This Row],[Due Date]]-Invoices[[#This Row],[Invoice Date]],"")</f>
        <v/>
      </c>
      <c r="J244" s="27" t="str">
        <f>IFERROR(IF(Invoices[[#This Row],[Days]]="","",IF(Invoices[[#This Row],[Days]]&lt;31,"A",IF(Invoices[[#This Row],[Days]]&lt;31,"B",IF(Invoices[[#This Row],[Days]]&lt;91,"C","D")))),"")</f>
        <v/>
      </c>
    </row>
    <row r="245" spans="2:10" ht="14.1" customHeight="1" x14ac:dyDescent="0.2">
      <c r="B245" s="10"/>
      <c r="C245" s="11"/>
      <c r="E245" s="11"/>
      <c r="G245" s="12"/>
      <c r="H245" s="27" t="str">
        <f>IF(Invoices[[#This Row],[Invoice Date]]="","",IF(Invoices[[#This Row],[Terms (days)]]="",Invoices[[#This Row],[Invoice Date]]+Lists!$D$4,Invoices[[#This Row],[Invoice Date]]+Invoices[[#This Row],[Terms (days)]]))</f>
        <v/>
      </c>
      <c r="I245" s="74" t="str">
        <f>IFERROR(Invoices[[#This Row],[Due Date]]-Invoices[[#This Row],[Invoice Date]],"")</f>
        <v/>
      </c>
      <c r="J245" s="27" t="str">
        <f>IFERROR(IF(Invoices[[#This Row],[Days]]="","",IF(Invoices[[#This Row],[Days]]&lt;31,"A",IF(Invoices[[#This Row],[Days]]&lt;31,"B",IF(Invoices[[#This Row],[Days]]&lt;91,"C","D")))),"")</f>
        <v/>
      </c>
    </row>
    <row r="246" spans="2:10" ht="14.1" customHeight="1" x14ac:dyDescent="0.2">
      <c r="B246" s="10"/>
      <c r="C246" s="11"/>
      <c r="E246" s="11"/>
      <c r="G246" s="12"/>
      <c r="H246" s="27" t="str">
        <f>IF(Invoices[[#This Row],[Invoice Date]]="","",IF(Invoices[[#This Row],[Terms (days)]]="",Invoices[[#This Row],[Invoice Date]]+Lists!$D$4,Invoices[[#This Row],[Invoice Date]]+Invoices[[#This Row],[Terms (days)]]))</f>
        <v/>
      </c>
      <c r="I246" s="74" t="str">
        <f>IFERROR(Invoices[[#This Row],[Due Date]]-Invoices[[#This Row],[Invoice Date]],"")</f>
        <v/>
      </c>
      <c r="J246" s="27" t="str">
        <f>IFERROR(IF(Invoices[[#This Row],[Days]]="","",IF(Invoices[[#This Row],[Days]]&lt;31,"A",IF(Invoices[[#This Row],[Days]]&lt;31,"B",IF(Invoices[[#This Row],[Days]]&lt;91,"C","D")))),"")</f>
        <v/>
      </c>
    </row>
    <row r="247" spans="2:10" ht="14.1" customHeight="1" x14ac:dyDescent="0.2">
      <c r="B247" s="10"/>
      <c r="C247" s="11"/>
      <c r="E247" s="11"/>
      <c r="G247" s="12"/>
      <c r="H247" s="27" t="str">
        <f>IF(Invoices[[#This Row],[Invoice Date]]="","",IF(Invoices[[#This Row],[Terms (days)]]="",Invoices[[#This Row],[Invoice Date]]+Lists!$D$4,Invoices[[#This Row],[Invoice Date]]+Invoices[[#This Row],[Terms (days)]]))</f>
        <v/>
      </c>
      <c r="I247" s="74" t="str">
        <f>IFERROR(Invoices[[#This Row],[Due Date]]-Invoices[[#This Row],[Invoice Date]],"")</f>
        <v/>
      </c>
      <c r="J247" s="27" t="str">
        <f>IFERROR(IF(Invoices[[#This Row],[Days]]="","",IF(Invoices[[#This Row],[Days]]&lt;31,"A",IF(Invoices[[#This Row],[Days]]&lt;31,"B",IF(Invoices[[#This Row],[Days]]&lt;91,"C","D")))),"")</f>
        <v/>
      </c>
    </row>
    <row r="248" spans="2:10" ht="14.1" customHeight="1" x14ac:dyDescent="0.2">
      <c r="B248" s="10"/>
      <c r="C248" s="11"/>
      <c r="E248" s="11"/>
      <c r="G248" s="12"/>
      <c r="H248" s="27" t="str">
        <f>IF(Invoices[[#This Row],[Invoice Date]]="","",IF(Invoices[[#This Row],[Terms (days)]]="",Invoices[[#This Row],[Invoice Date]]+Lists!$D$4,Invoices[[#This Row],[Invoice Date]]+Invoices[[#This Row],[Terms (days)]]))</f>
        <v/>
      </c>
      <c r="I248" s="74" t="str">
        <f>IFERROR(Invoices[[#This Row],[Due Date]]-Invoices[[#This Row],[Invoice Date]],"")</f>
        <v/>
      </c>
      <c r="J248" s="27" t="str">
        <f>IFERROR(IF(Invoices[[#This Row],[Days]]="","",IF(Invoices[[#This Row],[Days]]&lt;31,"A",IF(Invoices[[#This Row],[Days]]&lt;31,"B",IF(Invoices[[#This Row],[Days]]&lt;91,"C","D")))),"")</f>
        <v/>
      </c>
    </row>
    <row r="249" spans="2:10" ht="14.1" customHeight="1" x14ac:dyDescent="0.2">
      <c r="B249" s="10"/>
      <c r="C249" s="11"/>
      <c r="E249" s="11"/>
      <c r="G249" s="12"/>
      <c r="H249" s="27" t="str">
        <f>IF(Invoices[[#This Row],[Invoice Date]]="","",IF(Invoices[[#This Row],[Terms (days)]]="",Invoices[[#This Row],[Invoice Date]]+Lists!$D$4,Invoices[[#This Row],[Invoice Date]]+Invoices[[#This Row],[Terms (days)]]))</f>
        <v/>
      </c>
      <c r="I249" s="74" t="str">
        <f>IFERROR(Invoices[[#This Row],[Due Date]]-Invoices[[#This Row],[Invoice Date]],"")</f>
        <v/>
      </c>
      <c r="J249" s="27" t="str">
        <f>IFERROR(IF(Invoices[[#This Row],[Days]]="","",IF(Invoices[[#This Row],[Days]]&lt;31,"A",IF(Invoices[[#This Row],[Days]]&lt;31,"B",IF(Invoices[[#This Row],[Days]]&lt;91,"C","D")))),"")</f>
        <v/>
      </c>
    </row>
    <row r="250" spans="2:10" ht="14.1" customHeight="1" x14ac:dyDescent="0.2">
      <c r="B250" s="10"/>
      <c r="C250" s="11"/>
      <c r="E250" s="11"/>
      <c r="G250" s="12"/>
      <c r="H250" s="27" t="str">
        <f>IF(Invoices[[#This Row],[Invoice Date]]="","",IF(Invoices[[#This Row],[Terms (days)]]="",Invoices[[#This Row],[Invoice Date]]+Lists!$D$4,Invoices[[#This Row],[Invoice Date]]+Invoices[[#This Row],[Terms (days)]]))</f>
        <v/>
      </c>
      <c r="I250" s="74" t="str">
        <f>IFERROR(Invoices[[#This Row],[Due Date]]-Invoices[[#This Row],[Invoice Date]],"")</f>
        <v/>
      </c>
      <c r="J250" s="27" t="str">
        <f>IFERROR(IF(Invoices[[#This Row],[Days]]="","",IF(Invoices[[#This Row],[Days]]&lt;31,"A",IF(Invoices[[#This Row],[Days]]&lt;31,"B",IF(Invoices[[#This Row],[Days]]&lt;91,"C","D")))),"")</f>
        <v/>
      </c>
    </row>
    <row r="251" spans="2:10" ht="14.1" customHeight="1" x14ac:dyDescent="0.2">
      <c r="B251" s="10"/>
      <c r="C251" s="11"/>
      <c r="E251" s="11"/>
      <c r="G251" s="12"/>
      <c r="H251" s="27" t="str">
        <f>IF(Invoices[[#This Row],[Invoice Date]]="","",IF(Invoices[[#This Row],[Terms (days)]]="",Invoices[[#This Row],[Invoice Date]]+Lists!$D$4,Invoices[[#This Row],[Invoice Date]]+Invoices[[#This Row],[Terms (days)]]))</f>
        <v/>
      </c>
      <c r="I251" s="74" t="str">
        <f>IFERROR(Invoices[[#This Row],[Due Date]]-Invoices[[#This Row],[Invoice Date]],"")</f>
        <v/>
      </c>
      <c r="J251" s="27" t="str">
        <f>IFERROR(IF(Invoices[[#This Row],[Days]]="","",IF(Invoices[[#This Row],[Days]]&lt;31,"A",IF(Invoices[[#This Row],[Days]]&lt;31,"B",IF(Invoices[[#This Row],[Days]]&lt;91,"C","D")))),"")</f>
        <v/>
      </c>
    </row>
    <row r="252" spans="2:10" ht="14.1" customHeight="1" x14ac:dyDescent="0.2">
      <c r="B252" s="10"/>
      <c r="C252" s="11"/>
      <c r="E252" s="11"/>
      <c r="G252" s="12"/>
      <c r="H252" s="27" t="str">
        <f>IF(Invoices[[#This Row],[Invoice Date]]="","",IF(Invoices[[#This Row],[Terms (days)]]="",Invoices[[#This Row],[Invoice Date]]+Lists!$D$4,Invoices[[#This Row],[Invoice Date]]+Invoices[[#This Row],[Terms (days)]]))</f>
        <v/>
      </c>
      <c r="I252" s="74" t="str">
        <f>IFERROR(Invoices[[#This Row],[Due Date]]-Invoices[[#This Row],[Invoice Date]],"")</f>
        <v/>
      </c>
      <c r="J252" s="27" t="str">
        <f>IFERROR(IF(Invoices[[#This Row],[Days]]="","",IF(Invoices[[#This Row],[Days]]&lt;31,"A",IF(Invoices[[#This Row],[Days]]&lt;31,"B",IF(Invoices[[#This Row],[Days]]&lt;91,"C","D")))),"")</f>
        <v/>
      </c>
    </row>
    <row r="253" spans="2:10" ht="14.1" customHeight="1" x14ac:dyDescent="0.2">
      <c r="B253" s="10"/>
      <c r="C253" s="11"/>
      <c r="E253" s="11"/>
      <c r="G253" s="12"/>
      <c r="H253" s="27" t="str">
        <f>IF(Invoices[[#This Row],[Invoice Date]]="","",IF(Invoices[[#This Row],[Terms (days)]]="",Invoices[[#This Row],[Invoice Date]]+Lists!$D$4,Invoices[[#This Row],[Invoice Date]]+Invoices[[#This Row],[Terms (days)]]))</f>
        <v/>
      </c>
      <c r="I253" s="74" t="str">
        <f>IFERROR(Invoices[[#This Row],[Due Date]]-Invoices[[#This Row],[Invoice Date]],"")</f>
        <v/>
      </c>
      <c r="J253" s="27" t="str">
        <f>IFERROR(IF(Invoices[[#This Row],[Days]]="","",IF(Invoices[[#This Row],[Days]]&lt;31,"A",IF(Invoices[[#This Row],[Days]]&lt;31,"B",IF(Invoices[[#This Row],[Days]]&lt;91,"C","D")))),"")</f>
        <v/>
      </c>
    </row>
    <row r="254" spans="2:10" ht="14.1" customHeight="1" x14ac:dyDescent="0.2">
      <c r="B254" s="10"/>
      <c r="C254" s="11"/>
      <c r="E254" s="11"/>
      <c r="G254" s="12"/>
      <c r="H254" s="27" t="str">
        <f>IF(Invoices[[#This Row],[Invoice Date]]="","",IF(Invoices[[#This Row],[Terms (days)]]="",Invoices[[#This Row],[Invoice Date]]+Lists!$D$4,Invoices[[#This Row],[Invoice Date]]+Invoices[[#This Row],[Terms (days)]]))</f>
        <v/>
      </c>
      <c r="I254" s="74" t="str">
        <f>IFERROR(Invoices[[#This Row],[Due Date]]-Invoices[[#This Row],[Invoice Date]],"")</f>
        <v/>
      </c>
      <c r="J254" s="27" t="str">
        <f>IFERROR(IF(Invoices[[#This Row],[Days]]="","",IF(Invoices[[#This Row],[Days]]&lt;31,"A",IF(Invoices[[#This Row],[Days]]&lt;31,"B",IF(Invoices[[#This Row],[Days]]&lt;91,"C","D")))),"")</f>
        <v/>
      </c>
    </row>
    <row r="255" spans="2:10" ht="14.1" customHeight="1" x14ac:dyDescent="0.2">
      <c r="B255" s="10"/>
      <c r="C255" s="11"/>
      <c r="E255" s="11"/>
      <c r="G255" s="12"/>
      <c r="H255" s="27" t="str">
        <f>IF(Invoices[[#This Row],[Invoice Date]]="","",IF(Invoices[[#This Row],[Terms (days)]]="",Invoices[[#This Row],[Invoice Date]]+Lists!$D$4,Invoices[[#This Row],[Invoice Date]]+Invoices[[#This Row],[Terms (days)]]))</f>
        <v/>
      </c>
      <c r="I255" s="74" t="str">
        <f>IFERROR(Invoices[[#This Row],[Due Date]]-Invoices[[#This Row],[Invoice Date]],"")</f>
        <v/>
      </c>
      <c r="J255" s="27" t="str">
        <f>IFERROR(IF(Invoices[[#This Row],[Days]]="","",IF(Invoices[[#This Row],[Days]]&lt;31,"A",IF(Invoices[[#This Row],[Days]]&lt;31,"B",IF(Invoices[[#This Row],[Days]]&lt;91,"C","D")))),"")</f>
        <v/>
      </c>
    </row>
    <row r="256" spans="2:10" ht="14.1" customHeight="1" x14ac:dyDescent="0.2">
      <c r="B256" s="10"/>
      <c r="C256" s="11"/>
      <c r="E256" s="11"/>
      <c r="G256" s="12"/>
      <c r="H256" s="27" t="str">
        <f>IF(Invoices[[#This Row],[Invoice Date]]="","",IF(Invoices[[#This Row],[Terms (days)]]="",Invoices[[#This Row],[Invoice Date]]+Lists!$D$4,Invoices[[#This Row],[Invoice Date]]+Invoices[[#This Row],[Terms (days)]]))</f>
        <v/>
      </c>
      <c r="I256" s="74" t="str">
        <f>IFERROR(Invoices[[#This Row],[Due Date]]-Invoices[[#This Row],[Invoice Date]],"")</f>
        <v/>
      </c>
      <c r="J256" s="27" t="str">
        <f>IFERROR(IF(Invoices[[#This Row],[Days]]="","",IF(Invoices[[#This Row],[Days]]&lt;31,"A",IF(Invoices[[#This Row],[Days]]&lt;31,"B",IF(Invoices[[#This Row],[Days]]&lt;91,"C","D")))),"")</f>
        <v/>
      </c>
    </row>
    <row r="257" spans="2:10" ht="14.1" customHeight="1" x14ac:dyDescent="0.2">
      <c r="B257" s="10"/>
      <c r="C257" s="11"/>
      <c r="E257" s="11"/>
      <c r="G257" s="12"/>
      <c r="H257" s="27" t="str">
        <f>IF(Invoices[[#This Row],[Invoice Date]]="","",IF(Invoices[[#This Row],[Terms (days)]]="",Invoices[[#This Row],[Invoice Date]]+Lists!$D$4,Invoices[[#This Row],[Invoice Date]]+Invoices[[#This Row],[Terms (days)]]))</f>
        <v/>
      </c>
      <c r="I257" s="74" t="str">
        <f>IFERROR(Invoices[[#This Row],[Due Date]]-Invoices[[#This Row],[Invoice Date]],"")</f>
        <v/>
      </c>
      <c r="J257" s="27" t="str">
        <f>IFERROR(IF(Invoices[[#This Row],[Days]]="","",IF(Invoices[[#This Row],[Days]]&lt;31,"A",IF(Invoices[[#This Row],[Days]]&lt;31,"B",IF(Invoices[[#This Row],[Days]]&lt;91,"C","D")))),"")</f>
        <v/>
      </c>
    </row>
    <row r="258" spans="2:10" ht="14.1" customHeight="1" x14ac:dyDescent="0.2">
      <c r="B258" s="10"/>
      <c r="C258" s="11"/>
      <c r="E258" s="11"/>
      <c r="G258" s="12"/>
      <c r="H258" s="27" t="str">
        <f>IF(Invoices[[#This Row],[Invoice Date]]="","",IF(Invoices[[#This Row],[Terms (days)]]="",Invoices[[#This Row],[Invoice Date]]+Lists!$D$4,Invoices[[#This Row],[Invoice Date]]+Invoices[[#This Row],[Terms (days)]]))</f>
        <v/>
      </c>
      <c r="I258" s="74" t="str">
        <f>IFERROR(Invoices[[#This Row],[Due Date]]-Invoices[[#This Row],[Invoice Date]],"")</f>
        <v/>
      </c>
      <c r="J258" s="27" t="str">
        <f>IFERROR(IF(Invoices[[#This Row],[Days]]="","",IF(Invoices[[#This Row],[Days]]&lt;31,"A",IF(Invoices[[#This Row],[Days]]&lt;31,"B",IF(Invoices[[#This Row],[Days]]&lt;91,"C","D")))),"")</f>
        <v/>
      </c>
    </row>
    <row r="259" spans="2:10" ht="14.1" customHeight="1" x14ac:dyDescent="0.2">
      <c r="B259" s="10"/>
      <c r="C259" s="11"/>
      <c r="E259" s="11"/>
      <c r="G259" s="12"/>
      <c r="H259" s="27" t="str">
        <f>IF(Invoices[[#This Row],[Invoice Date]]="","",IF(Invoices[[#This Row],[Terms (days)]]="",Invoices[[#This Row],[Invoice Date]]+Lists!$D$4,Invoices[[#This Row],[Invoice Date]]+Invoices[[#This Row],[Terms (days)]]))</f>
        <v/>
      </c>
      <c r="I259" s="74" t="str">
        <f>IFERROR(Invoices[[#This Row],[Due Date]]-Invoices[[#This Row],[Invoice Date]],"")</f>
        <v/>
      </c>
      <c r="J259" s="27" t="str">
        <f>IFERROR(IF(Invoices[[#This Row],[Days]]="","",IF(Invoices[[#This Row],[Days]]&lt;31,"A",IF(Invoices[[#This Row],[Days]]&lt;31,"B",IF(Invoices[[#This Row],[Days]]&lt;91,"C","D")))),"")</f>
        <v/>
      </c>
    </row>
    <row r="260" spans="2:10" ht="14.1" customHeight="1" x14ac:dyDescent="0.2">
      <c r="B260" s="10"/>
      <c r="C260" s="11"/>
      <c r="E260" s="11"/>
      <c r="G260" s="12"/>
      <c r="H260" s="27" t="str">
        <f>IF(Invoices[[#This Row],[Invoice Date]]="","",IF(Invoices[[#This Row],[Terms (days)]]="",Invoices[[#This Row],[Invoice Date]]+Lists!$D$4,Invoices[[#This Row],[Invoice Date]]+Invoices[[#This Row],[Terms (days)]]))</f>
        <v/>
      </c>
      <c r="I260" s="74" t="str">
        <f>IFERROR(Invoices[[#This Row],[Due Date]]-Invoices[[#This Row],[Invoice Date]],"")</f>
        <v/>
      </c>
      <c r="J260" s="27" t="str">
        <f>IFERROR(IF(Invoices[[#This Row],[Days]]="","",IF(Invoices[[#This Row],[Days]]&lt;31,"A",IF(Invoices[[#This Row],[Days]]&lt;31,"B",IF(Invoices[[#This Row],[Days]]&lt;91,"C","D")))),"")</f>
        <v/>
      </c>
    </row>
    <row r="261" spans="2:10" ht="14.1" customHeight="1" x14ac:dyDescent="0.2">
      <c r="B261" s="10"/>
      <c r="C261" s="11"/>
      <c r="E261" s="11"/>
      <c r="G261" s="12"/>
      <c r="H261" s="27" t="str">
        <f>IF(Invoices[[#This Row],[Invoice Date]]="","",IF(Invoices[[#This Row],[Terms (days)]]="",Invoices[[#This Row],[Invoice Date]]+Lists!$D$4,Invoices[[#This Row],[Invoice Date]]+Invoices[[#This Row],[Terms (days)]]))</f>
        <v/>
      </c>
      <c r="I261" s="74" t="str">
        <f>IFERROR(Invoices[[#This Row],[Due Date]]-Invoices[[#This Row],[Invoice Date]],"")</f>
        <v/>
      </c>
      <c r="J261" s="27" t="str">
        <f>IFERROR(IF(Invoices[[#This Row],[Days]]="","",IF(Invoices[[#This Row],[Days]]&lt;31,"A",IF(Invoices[[#This Row],[Days]]&lt;31,"B",IF(Invoices[[#This Row],[Days]]&lt;91,"C","D")))),"")</f>
        <v/>
      </c>
    </row>
    <row r="262" spans="2:10" ht="14.1" customHeight="1" x14ac:dyDescent="0.2">
      <c r="B262" s="10"/>
      <c r="C262" s="11"/>
      <c r="E262" s="11"/>
      <c r="G262" s="12"/>
      <c r="H262" s="27" t="str">
        <f>IF(Invoices[[#This Row],[Invoice Date]]="","",IF(Invoices[[#This Row],[Terms (days)]]="",Invoices[[#This Row],[Invoice Date]]+Lists!$D$4,Invoices[[#This Row],[Invoice Date]]+Invoices[[#This Row],[Terms (days)]]))</f>
        <v/>
      </c>
      <c r="I262" s="74" t="str">
        <f>IFERROR(Invoices[[#This Row],[Due Date]]-Invoices[[#This Row],[Invoice Date]],"")</f>
        <v/>
      </c>
      <c r="J262" s="27" t="str">
        <f>IFERROR(IF(Invoices[[#This Row],[Days]]="","",IF(Invoices[[#This Row],[Days]]&lt;31,"A",IF(Invoices[[#This Row],[Days]]&lt;31,"B",IF(Invoices[[#This Row],[Days]]&lt;91,"C","D")))),"")</f>
        <v/>
      </c>
    </row>
    <row r="263" spans="2:10" ht="14.1" customHeight="1" x14ac:dyDescent="0.2">
      <c r="B263" s="10"/>
      <c r="C263" s="11"/>
      <c r="E263" s="11"/>
      <c r="G263" s="12"/>
      <c r="H263" s="27" t="str">
        <f>IF(Invoices[[#This Row],[Invoice Date]]="","",IF(Invoices[[#This Row],[Terms (days)]]="",Invoices[[#This Row],[Invoice Date]]+Lists!$D$4,Invoices[[#This Row],[Invoice Date]]+Invoices[[#This Row],[Terms (days)]]))</f>
        <v/>
      </c>
      <c r="I263" s="74" t="str">
        <f>IFERROR(Invoices[[#This Row],[Due Date]]-Invoices[[#This Row],[Invoice Date]],"")</f>
        <v/>
      </c>
      <c r="J263" s="27" t="str">
        <f>IFERROR(IF(Invoices[[#This Row],[Days]]="","",IF(Invoices[[#This Row],[Days]]&lt;31,"A",IF(Invoices[[#This Row],[Days]]&lt;31,"B",IF(Invoices[[#This Row],[Days]]&lt;91,"C","D")))),"")</f>
        <v/>
      </c>
    </row>
    <row r="264" spans="2:10" ht="14.1" customHeight="1" x14ac:dyDescent="0.2">
      <c r="B264" s="10"/>
      <c r="C264" s="11"/>
      <c r="E264" s="11"/>
      <c r="G264" s="12"/>
      <c r="H264" s="27" t="str">
        <f>IF(Invoices[[#This Row],[Invoice Date]]="","",IF(Invoices[[#This Row],[Terms (days)]]="",Invoices[[#This Row],[Invoice Date]]+Lists!$D$4,Invoices[[#This Row],[Invoice Date]]+Invoices[[#This Row],[Terms (days)]]))</f>
        <v/>
      </c>
      <c r="I264" s="74" t="str">
        <f>IFERROR(Invoices[[#This Row],[Due Date]]-Invoices[[#This Row],[Invoice Date]],"")</f>
        <v/>
      </c>
      <c r="J264" s="27" t="str">
        <f>IFERROR(IF(Invoices[[#This Row],[Days]]="","",IF(Invoices[[#This Row],[Days]]&lt;31,"A",IF(Invoices[[#This Row],[Days]]&lt;31,"B",IF(Invoices[[#This Row],[Days]]&lt;91,"C","D")))),"")</f>
        <v/>
      </c>
    </row>
    <row r="265" spans="2:10" ht="14.1" customHeight="1" x14ac:dyDescent="0.2">
      <c r="B265" s="10"/>
      <c r="C265" s="11"/>
      <c r="E265" s="11"/>
      <c r="G265" s="12"/>
      <c r="H265" s="27" t="str">
        <f>IF(Invoices[[#This Row],[Invoice Date]]="","",IF(Invoices[[#This Row],[Terms (days)]]="",Invoices[[#This Row],[Invoice Date]]+Lists!$D$4,Invoices[[#This Row],[Invoice Date]]+Invoices[[#This Row],[Terms (days)]]))</f>
        <v/>
      </c>
      <c r="I265" s="74" t="str">
        <f>IFERROR(Invoices[[#This Row],[Due Date]]-Invoices[[#This Row],[Invoice Date]],"")</f>
        <v/>
      </c>
      <c r="J265" s="27" t="str">
        <f>IFERROR(IF(Invoices[[#This Row],[Days]]="","",IF(Invoices[[#This Row],[Days]]&lt;31,"A",IF(Invoices[[#This Row],[Days]]&lt;31,"B",IF(Invoices[[#This Row],[Days]]&lt;91,"C","D")))),"")</f>
        <v/>
      </c>
    </row>
    <row r="266" spans="2:10" ht="14.1" customHeight="1" x14ac:dyDescent="0.2">
      <c r="B266" s="10"/>
      <c r="C266" s="11"/>
      <c r="E266" s="11"/>
      <c r="G266" s="12"/>
      <c r="H266" s="27" t="str">
        <f>IF(Invoices[[#This Row],[Invoice Date]]="","",IF(Invoices[[#This Row],[Terms (days)]]="",Invoices[[#This Row],[Invoice Date]]+Lists!$D$4,Invoices[[#This Row],[Invoice Date]]+Invoices[[#This Row],[Terms (days)]]))</f>
        <v/>
      </c>
      <c r="I266" s="74" t="str">
        <f>IFERROR(Invoices[[#This Row],[Due Date]]-Invoices[[#This Row],[Invoice Date]],"")</f>
        <v/>
      </c>
      <c r="J266" s="27" t="str">
        <f>IFERROR(IF(Invoices[[#This Row],[Days]]="","",IF(Invoices[[#This Row],[Days]]&lt;31,"A",IF(Invoices[[#This Row],[Days]]&lt;31,"B",IF(Invoices[[#This Row],[Days]]&lt;91,"C","D")))),"")</f>
        <v/>
      </c>
    </row>
    <row r="267" spans="2:10" ht="14.1" customHeight="1" x14ac:dyDescent="0.2">
      <c r="B267" s="10"/>
      <c r="C267" s="11"/>
      <c r="E267" s="11"/>
      <c r="G267" s="12"/>
      <c r="H267" s="27" t="str">
        <f>IF(Invoices[[#This Row],[Invoice Date]]="","",IF(Invoices[[#This Row],[Terms (days)]]="",Invoices[[#This Row],[Invoice Date]]+Lists!$D$4,Invoices[[#This Row],[Invoice Date]]+Invoices[[#This Row],[Terms (days)]]))</f>
        <v/>
      </c>
      <c r="I267" s="74" t="str">
        <f>IFERROR(Invoices[[#This Row],[Due Date]]-Invoices[[#This Row],[Invoice Date]],"")</f>
        <v/>
      </c>
      <c r="J267" s="27" t="str">
        <f>IFERROR(IF(Invoices[[#This Row],[Days]]="","",IF(Invoices[[#This Row],[Days]]&lt;31,"A",IF(Invoices[[#This Row],[Days]]&lt;31,"B",IF(Invoices[[#This Row],[Days]]&lt;91,"C","D")))),"")</f>
        <v/>
      </c>
    </row>
    <row r="268" spans="2:10" ht="14.1" customHeight="1" x14ac:dyDescent="0.2">
      <c r="B268" s="10"/>
      <c r="C268" s="11"/>
      <c r="E268" s="11"/>
      <c r="G268" s="12"/>
      <c r="H268" s="27" t="str">
        <f>IF(Invoices[[#This Row],[Invoice Date]]="","",IF(Invoices[[#This Row],[Terms (days)]]="",Invoices[[#This Row],[Invoice Date]]+Lists!$D$4,Invoices[[#This Row],[Invoice Date]]+Invoices[[#This Row],[Terms (days)]]))</f>
        <v/>
      </c>
      <c r="I268" s="74" t="str">
        <f>IFERROR(Invoices[[#This Row],[Due Date]]-Invoices[[#This Row],[Invoice Date]],"")</f>
        <v/>
      </c>
      <c r="J268" s="27" t="str">
        <f>IFERROR(IF(Invoices[[#This Row],[Days]]="","",IF(Invoices[[#This Row],[Days]]&lt;31,"A",IF(Invoices[[#This Row],[Days]]&lt;31,"B",IF(Invoices[[#This Row],[Days]]&lt;91,"C","D")))),"")</f>
        <v/>
      </c>
    </row>
    <row r="269" spans="2:10" ht="14.1" customHeight="1" x14ac:dyDescent="0.2">
      <c r="B269" s="10"/>
      <c r="C269" s="11"/>
      <c r="E269" s="11"/>
      <c r="G269" s="12"/>
      <c r="H269" s="27" t="str">
        <f>IF(Invoices[[#This Row],[Invoice Date]]="","",IF(Invoices[[#This Row],[Terms (days)]]="",Invoices[[#This Row],[Invoice Date]]+Lists!$D$4,Invoices[[#This Row],[Invoice Date]]+Invoices[[#This Row],[Terms (days)]]))</f>
        <v/>
      </c>
      <c r="I269" s="74" t="str">
        <f>IFERROR(Invoices[[#This Row],[Due Date]]-Invoices[[#This Row],[Invoice Date]],"")</f>
        <v/>
      </c>
      <c r="J269" s="27" t="str">
        <f>IFERROR(IF(Invoices[[#This Row],[Days]]="","",IF(Invoices[[#This Row],[Days]]&lt;31,"A",IF(Invoices[[#This Row],[Days]]&lt;31,"B",IF(Invoices[[#This Row],[Days]]&lt;91,"C","D")))),"")</f>
        <v/>
      </c>
    </row>
    <row r="270" spans="2:10" ht="14.1" customHeight="1" x14ac:dyDescent="0.2">
      <c r="B270" s="10"/>
      <c r="C270" s="11"/>
      <c r="E270" s="11"/>
      <c r="G270" s="12"/>
      <c r="H270" s="27" t="str">
        <f>IF(Invoices[[#This Row],[Invoice Date]]="","",IF(Invoices[[#This Row],[Terms (days)]]="",Invoices[[#This Row],[Invoice Date]]+Lists!$D$4,Invoices[[#This Row],[Invoice Date]]+Invoices[[#This Row],[Terms (days)]]))</f>
        <v/>
      </c>
      <c r="I270" s="74" t="str">
        <f>IFERROR(Invoices[[#This Row],[Due Date]]-Invoices[[#This Row],[Invoice Date]],"")</f>
        <v/>
      </c>
      <c r="J270" s="27" t="str">
        <f>IFERROR(IF(Invoices[[#This Row],[Days]]="","",IF(Invoices[[#This Row],[Days]]&lt;31,"A",IF(Invoices[[#This Row],[Days]]&lt;31,"B",IF(Invoices[[#This Row],[Days]]&lt;91,"C","D")))),"")</f>
        <v/>
      </c>
    </row>
    <row r="271" spans="2:10" ht="14.1" customHeight="1" x14ac:dyDescent="0.2">
      <c r="B271" s="10"/>
      <c r="C271" s="11"/>
      <c r="E271" s="11"/>
      <c r="G271" s="12"/>
      <c r="H271" s="27" t="str">
        <f>IF(Invoices[[#This Row],[Invoice Date]]="","",IF(Invoices[[#This Row],[Terms (days)]]="",Invoices[[#This Row],[Invoice Date]]+Lists!$D$4,Invoices[[#This Row],[Invoice Date]]+Invoices[[#This Row],[Terms (days)]]))</f>
        <v/>
      </c>
      <c r="I271" s="74" t="str">
        <f>IFERROR(Invoices[[#This Row],[Due Date]]-Invoices[[#This Row],[Invoice Date]],"")</f>
        <v/>
      </c>
      <c r="J271" s="27" t="str">
        <f>IFERROR(IF(Invoices[[#This Row],[Days]]="","",IF(Invoices[[#This Row],[Days]]&lt;31,"A",IF(Invoices[[#This Row],[Days]]&lt;31,"B",IF(Invoices[[#This Row],[Days]]&lt;91,"C","D")))),"")</f>
        <v/>
      </c>
    </row>
    <row r="272" spans="2:10" ht="14.1" customHeight="1" x14ac:dyDescent="0.2">
      <c r="B272" s="10"/>
      <c r="C272" s="11"/>
      <c r="E272" s="11"/>
      <c r="G272" s="12"/>
      <c r="H272" s="27" t="str">
        <f>IF(Invoices[[#This Row],[Invoice Date]]="","",IF(Invoices[[#This Row],[Terms (days)]]="",Invoices[[#This Row],[Invoice Date]]+Lists!$D$4,Invoices[[#This Row],[Invoice Date]]+Invoices[[#This Row],[Terms (days)]]))</f>
        <v/>
      </c>
      <c r="I272" s="74" t="str">
        <f>IFERROR(Invoices[[#This Row],[Due Date]]-Invoices[[#This Row],[Invoice Date]],"")</f>
        <v/>
      </c>
      <c r="J272" s="27" t="str">
        <f>IFERROR(IF(Invoices[[#This Row],[Days]]="","",IF(Invoices[[#This Row],[Days]]&lt;31,"A",IF(Invoices[[#This Row],[Days]]&lt;31,"B",IF(Invoices[[#This Row],[Days]]&lt;91,"C","D")))),"")</f>
        <v/>
      </c>
    </row>
    <row r="273" spans="2:10" ht="14.1" customHeight="1" x14ac:dyDescent="0.2">
      <c r="B273" s="10"/>
      <c r="C273" s="11"/>
      <c r="E273" s="11"/>
      <c r="G273" s="12"/>
      <c r="H273" s="27" t="str">
        <f>IF(Invoices[[#This Row],[Invoice Date]]="","",IF(Invoices[[#This Row],[Terms (days)]]="",Invoices[[#This Row],[Invoice Date]]+Lists!$D$4,Invoices[[#This Row],[Invoice Date]]+Invoices[[#This Row],[Terms (days)]]))</f>
        <v/>
      </c>
      <c r="I273" s="74" t="str">
        <f>IFERROR(Invoices[[#This Row],[Due Date]]-Invoices[[#This Row],[Invoice Date]],"")</f>
        <v/>
      </c>
      <c r="J273" s="27" t="str">
        <f>IFERROR(IF(Invoices[[#This Row],[Days]]="","",IF(Invoices[[#This Row],[Days]]&lt;31,"A",IF(Invoices[[#This Row],[Days]]&lt;31,"B",IF(Invoices[[#This Row],[Days]]&lt;91,"C","D")))),"")</f>
        <v/>
      </c>
    </row>
    <row r="274" spans="2:10" ht="14.1" customHeight="1" x14ac:dyDescent="0.2">
      <c r="B274" s="10"/>
      <c r="C274" s="11"/>
      <c r="E274" s="11"/>
      <c r="G274" s="12"/>
      <c r="H274" s="27" t="str">
        <f>IF(Invoices[[#This Row],[Invoice Date]]="","",IF(Invoices[[#This Row],[Terms (days)]]="",Invoices[[#This Row],[Invoice Date]]+Lists!$D$4,Invoices[[#This Row],[Invoice Date]]+Invoices[[#This Row],[Terms (days)]]))</f>
        <v/>
      </c>
      <c r="I274" s="74" t="str">
        <f>IFERROR(Invoices[[#This Row],[Due Date]]-Invoices[[#This Row],[Invoice Date]],"")</f>
        <v/>
      </c>
      <c r="J274" s="27" t="str">
        <f>IFERROR(IF(Invoices[[#This Row],[Days]]="","",IF(Invoices[[#This Row],[Days]]&lt;31,"A",IF(Invoices[[#This Row],[Days]]&lt;31,"B",IF(Invoices[[#This Row],[Days]]&lt;91,"C","D")))),"")</f>
        <v/>
      </c>
    </row>
    <row r="275" spans="2:10" ht="14.1" customHeight="1" x14ac:dyDescent="0.2">
      <c r="B275" s="10"/>
      <c r="C275" s="11"/>
      <c r="E275" s="11"/>
      <c r="G275" s="12"/>
      <c r="H275" s="27" t="str">
        <f>IF(Invoices[[#This Row],[Invoice Date]]="","",IF(Invoices[[#This Row],[Terms (days)]]="",Invoices[[#This Row],[Invoice Date]]+Lists!$D$4,Invoices[[#This Row],[Invoice Date]]+Invoices[[#This Row],[Terms (days)]]))</f>
        <v/>
      </c>
      <c r="I275" s="74" t="str">
        <f>IFERROR(Invoices[[#This Row],[Due Date]]-Invoices[[#This Row],[Invoice Date]],"")</f>
        <v/>
      </c>
      <c r="J275" s="27" t="str">
        <f>IFERROR(IF(Invoices[[#This Row],[Days]]="","",IF(Invoices[[#This Row],[Days]]&lt;31,"A",IF(Invoices[[#This Row],[Days]]&lt;31,"B",IF(Invoices[[#This Row],[Days]]&lt;91,"C","D")))),"")</f>
        <v/>
      </c>
    </row>
    <row r="276" spans="2:10" ht="14.1" customHeight="1" x14ac:dyDescent="0.2">
      <c r="B276" s="10"/>
      <c r="C276" s="11"/>
      <c r="E276" s="11"/>
      <c r="G276" s="12"/>
      <c r="H276" s="27" t="str">
        <f>IF(Invoices[[#This Row],[Invoice Date]]="","",IF(Invoices[[#This Row],[Terms (days)]]="",Invoices[[#This Row],[Invoice Date]]+Lists!$D$4,Invoices[[#This Row],[Invoice Date]]+Invoices[[#This Row],[Terms (days)]]))</f>
        <v/>
      </c>
      <c r="I276" s="74" t="str">
        <f>IFERROR(Invoices[[#This Row],[Due Date]]-Invoices[[#This Row],[Invoice Date]],"")</f>
        <v/>
      </c>
      <c r="J276" s="27" t="str">
        <f>IFERROR(IF(Invoices[[#This Row],[Days]]="","",IF(Invoices[[#This Row],[Days]]&lt;31,"A",IF(Invoices[[#This Row],[Days]]&lt;31,"B",IF(Invoices[[#This Row],[Days]]&lt;91,"C","D")))),"")</f>
        <v/>
      </c>
    </row>
    <row r="277" spans="2:10" ht="14.1" customHeight="1" x14ac:dyDescent="0.2">
      <c r="B277" s="10"/>
      <c r="C277" s="11"/>
      <c r="E277" s="11"/>
      <c r="G277" s="12"/>
      <c r="H277" s="27" t="str">
        <f>IF(Invoices[[#This Row],[Invoice Date]]="","",IF(Invoices[[#This Row],[Terms (days)]]="",Invoices[[#This Row],[Invoice Date]]+Lists!$D$4,Invoices[[#This Row],[Invoice Date]]+Invoices[[#This Row],[Terms (days)]]))</f>
        <v/>
      </c>
      <c r="I277" s="74" t="str">
        <f>IFERROR(Invoices[[#This Row],[Due Date]]-Invoices[[#This Row],[Invoice Date]],"")</f>
        <v/>
      </c>
      <c r="J277" s="27" t="str">
        <f>IFERROR(IF(Invoices[[#This Row],[Days]]="","",IF(Invoices[[#This Row],[Days]]&lt;31,"A",IF(Invoices[[#This Row],[Days]]&lt;31,"B",IF(Invoices[[#This Row],[Days]]&lt;91,"C","D")))),"")</f>
        <v/>
      </c>
    </row>
    <row r="278" spans="2:10" ht="14.1" customHeight="1" x14ac:dyDescent="0.2">
      <c r="B278" s="10"/>
      <c r="C278" s="11"/>
      <c r="E278" s="11"/>
      <c r="G278" s="12"/>
      <c r="H278" s="27" t="str">
        <f>IF(Invoices[[#This Row],[Invoice Date]]="","",IF(Invoices[[#This Row],[Terms (days)]]="",Invoices[[#This Row],[Invoice Date]]+Lists!$D$4,Invoices[[#This Row],[Invoice Date]]+Invoices[[#This Row],[Terms (days)]]))</f>
        <v/>
      </c>
      <c r="I278" s="74" t="str">
        <f>IFERROR(Invoices[[#This Row],[Due Date]]-Invoices[[#This Row],[Invoice Date]],"")</f>
        <v/>
      </c>
      <c r="J278" s="27" t="str">
        <f>IFERROR(IF(Invoices[[#This Row],[Days]]="","",IF(Invoices[[#This Row],[Days]]&lt;31,"A",IF(Invoices[[#This Row],[Days]]&lt;31,"B",IF(Invoices[[#This Row],[Days]]&lt;91,"C","D")))),"")</f>
        <v/>
      </c>
    </row>
    <row r="279" spans="2:10" ht="14.1" customHeight="1" x14ac:dyDescent="0.2">
      <c r="B279" s="10"/>
      <c r="C279" s="11"/>
      <c r="E279" s="11"/>
      <c r="G279" s="12"/>
      <c r="H279" s="27" t="str">
        <f>IF(Invoices[[#This Row],[Invoice Date]]="","",IF(Invoices[[#This Row],[Terms (days)]]="",Invoices[[#This Row],[Invoice Date]]+Lists!$D$4,Invoices[[#This Row],[Invoice Date]]+Invoices[[#This Row],[Terms (days)]]))</f>
        <v/>
      </c>
      <c r="I279" s="74" t="str">
        <f>IFERROR(Invoices[[#This Row],[Due Date]]-Invoices[[#This Row],[Invoice Date]],"")</f>
        <v/>
      </c>
      <c r="J279" s="27" t="str">
        <f>IFERROR(IF(Invoices[[#This Row],[Days]]="","",IF(Invoices[[#This Row],[Days]]&lt;31,"A",IF(Invoices[[#This Row],[Days]]&lt;31,"B",IF(Invoices[[#This Row],[Days]]&lt;91,"C","D")))),"")</f>
        <v/>
      </c>
    </row>
    <row r="280" spans="2:10" ht="14.1" customHeight="1" x14ac:dyDescent="0.2">
      <c r="B280" s="10"/>
      <c r="C280" s="11"/>
      <c r="E280" s="11"/>
      <c r="G280" s="12"/>
      <c r="H280" s="27" t="str">
        <f>IF(Invoices[[#This Row],[Invoice Date]]="","",IF(Invoices[[#This Row],[Terms (days)]]="",Invoices[[#This Row],[Invoice Date]]+Lists!$D$4,Invoices[[#This Row],[Invoice Date]]+Invoices[[#This Row],[Terms (days)]]))</f>
        <v/>
      </c>
      <c r="I280" s="74" t="str">
        <f>IFERROR(Invoices[[#This Row],[Due Date]]-Invoices[[#This Row],[Invoice Date]],"")</f>
        <v/>
      </c>
      <c r="J280" s="27" t="str">
        <f>IFERROR(IF(Invoices[[#This Row],[Days]]="","",IF(Invoices[[#This Row],[Days]]&lt;31,"A",IF(Invoices[[#This Row],[Days]]&lt;31,"B",IF(Invoices[[#This Row],[Days]]&lt;91,"C","D")))),"")</f>
        <v/>
      </c>
    </row>
    <row r="281" spans="2:10" ht="14.1" customHeight="1" x14ac:dyDescent="0.2">
      <c r="B281" s="10"/>
      <c r="C281" s="11"/>
      <c r="E281" s="11"/>
      <c r="G281" s="12"/>
      <c r="H281" s="27" t="str">
        <f>IF(Invoices[[#This Row],[Invoice Date]]="","",IF(Invoices[[#This Row],[Terms (days)]]="",Invoices[[#This Row],[Invoice Date]]+Lists!$D$4,Invoices[[#This Row],[Invoice Date]]+Invoices[[#This Row],[Terms (days)]]))</f>
        <v/>
      </c>
      <c r="I281" s="74" t="str">
        <f>IFERROR(Invoices[[#This Row],[Due Date]]-Invoices[[#This Row],[Invoice Date]],"")</f>
        <v/>
      </c>
      <c r="J281" s="27" t="str">
        <f>IFERROR(IF(Invoices[[#This Row],[Days]]="","",IF(Invoices[[#This Row],[Days]]&lt;31,"A",IF(Invoices[[#This Row],[Days]]&lt;31,"B",IF(Invoices[[#This Row],[Days]]&lt;91,"C","D")))),"")</f>
        <v/>
      </c>
    </row>
    <row r="282" spans="2:10" ht="14.1" customHeight="1" x14ac:dyDescent="0.2">
      <c r="B282" s="10"/>
      <c r="C282" s="11"/>
      <c r="E282" s="11"/>
      <c r="G282" s="12"/>
      <c r="H282" s="27" t="str">
        <f>IF(Invoices[[#This Row],[Invoice Date]]="","",IF(Invoices[[#This Row],[Terms (days)]]="",Invoices[[#This Row],[Invoice Date]]+Lists!$D$4,Invoices[[#This Row],[Invoice Date]]+Invoices[[#This Row],[Terms (days)]]))</f>
        <v/>
      </c>
      <c r="I282" s="74" t="str">
        <f>IFERROR(Invoices[[#This Row],[Due Date]]-Invoices[[#This Row],[Invoice Date]],"")</f>
        <v/>
      </c>
      <c r="J282" s="27" t="str">
        <f>IFERROR(IF(Invoices[[#This Row],[Days]]="","",IF(Invoices[[#This Row],[Days]]&lt;31,"A",IF(Invoices[[#This Row],[Days]]&lt;31,"B",IF(Invoices[[#This Row],[Days]]&lt;91,"C","D")))),"")</f>
        <v/>
      </c>
    </row>
    <row r="283" spans="2:10" ht="14.1" customHeight="1" x14ac:dyDescent="0.2">
      <c r="B283" s="10"/>
      <c r="C283" s="11"/>
      <c r="E283" s="11"/>
      <c r="G283" s="12"/>
      <c r="H283" s="27" t="str">
        <f>IF(Invoices[[#This Row],[Invoice Date]]="","",IF(Invoices[[#This Row],[Terms (days)]]="",Invoices[[#This Row],[Invoice Date]]+Lists!$D$4,Invoices[[#This Row],[Invoice Date]]+Invoices[[#This Row],[Terms (days)]]))</f>
        <v/>
      </c>
      <c r="I283" s="74" t="str">
        <f>IFERROR(Invoices[[#This Row],[Due Date]]-Invoices[[#This Row],[Invoice Date]],"")</f>
        <v/>
      </c>
      <c r="J283" s="27" t="str">
        <f>IFERROR(IF(Invoices[[#This Row],[Days]]="","",IF(Invoices[[#This Row],[Days]]&lt;31,"A",IF(Invoices[[#This Row],[Days]]&lt;31,"B",IF(Invoices[[#This Row],[Days]]&lt;91,"C","D")))),"")</f>
        <v/>
      </c>
    </row>
    <row r="284" spans="2:10" ht="14.1" customHeight="1" x14ac:dyDescent="0.2">
      <c r="B284" s="10"/>
      <c r="C284" s="11"/>
      <c r="E284" s="11"/>
      <c r="G284" s="12"/>
      <c r="H284" s="27" t="str">
        <f>IF(Invoices[[#This Row],[Invoice Date]]="","",IF(Invoices[[#This Row],[Terms (days)]]="",Invoices[[#This Row],[Invoice Date]]+Lists!$D$4,Invoices[[#This Row],[Invoice Date]]+Invoices[[#This Row],[Terms (days)]]))</f>
        <v/>
      </c>
      <c r="I284" s="74" t="str">
        <f>IFERROR(Invoices[[#This Row],[Due Date]]-Invoices[[#This Row],[Invoice Date]],"")</f>
        <v/>
      </c>
      <c r="J284" s="27" t="str">
        <f>IFERROR(IF(Invoices[[#This Row],[Days]]="","",IF(Invoices[[#This Row],[Days]]&lt;31,"A",IF(Invoices[[#This Row],[Days]]&lt;31,"B",IF(Invoices[[#This Row],[Days]]&lt;91,"C","D")))),"")</f>
        <v/>
      </c>
    </row>
    <row r="285" spans="2:10" ht="14.1" customHeight="1" x14ac:dyDescent="0.2">
      <c r="B285" s="10"/>
      <c r="C285" s="11"/>
      <c r="E285" s="11"/>
      <c r="G285" s="12"/>
      <c r="H285" s="27" t="str">
        <f>IF(Invoices[[#This Row],[Invoice Date]]="","",IF(Invoices[[#This Row],[Terms (days)]]="",Invoices[[#This Row],[Invoice Date]]+Lists!$D$4,Invoices[[#This Row],[Invoice Date]]+Invoices[[#This Row],[Terms (days)]]))</f>
        <v/>
      </c>
      <c r="I285" s="74" t="str">
        <f>IFERROR(Invoices[[#This Row],[Due Date]]-Invoices[[#This Row],[Invoice Date]],"")</f>
        <v/>
      </c>
      <c r="J285" s="27" t="str">
        <f>IFERROR(IF(Invoices[[#This Row],[Days]]="","",IF(Invoices[[#This Row],[Days]]&lt;31,"A",IF(Invoices[[#This Row],[Days]]&lt;31,"B",IF(Invoices[[#This Row],[Days]]&lt;91,"C","D")))),"")</f>
        <v/>
      </c>
    </row>
    <row r="286" spans="2:10" ht="14.1" customHeight="1" x14ac:dyDescent="0.2">
      <c r="B286" s="10"/>
      <c r="C286" s="11"/>
      <c r="E286" s="11"/>
      <c r="G286" s="12"/>
      <c r="H286" s="27" t="str">
        <f>IF(Invoices[[#This Row],[Invoice Date]]="","",IF(Invoices[[#This Row],[Terms (days)]]="",Invoices[[#This Row],[Invoice Date]]+Lists!$D$4,Invoices[[#This Row],[Invoice Date]]+Invoices[[#This Row],[Terms (days)]]))</f>
        <v/>
      </c>
      <c r="I286" s="74" t="str">
        <f>IFERROR(Invoices[[#This Row],[Due Date]]-Invoices[[#This Row],[Invoice Date]],"")</f>
        <v/>
      </c>
      <c r="J286" s="27" t="str">
        <f>IFERROR(IF(Invoices[[#This Row],[Days]]="","",IF(Invoices[[#This Row],[Days]]&lt;31,"A",IF(Invoices[[#This Row],[Days]]&lt;31,"B",IF(Invoices[[#This Row],[Days]]&lt;91,"C","D")))),"")</f>
        <v/>
      </c>
    </row>
    <row r="287" spans="2:10" ht="14.1" customHeight="1" x14ac:dyDescent="0.2">
      <c r="B287" s="10"/>
      <c r="C287" s="11"/>
      <c r="E287" s="11"/>
      <c r="G287" s="12"/>
      <c r="H287" s="27" t="str">
        <f>IF(Invoices[[#This Row],[Invoice Date]]="","",IF(Invoices[[#This Row],[Terms (days)]]="",Invoices[[#This Row],[Invoice Date]]+Lists!$D$4,Invoices[[#This Row],[Invoice Date]]+Invoices[[#This Row],[Terms (days)]]))</f>
        <v/>
      </c>
      <c r="I287" s="74" t="str">
        <f>IFERROR(Invoices[[#This Row],[Due Date]]-Invoices[[#This Row],[Invoice Date]],"")</f>
        <v/>
      </c>
      <c r="J287" s="27" t="str">
        <f>IFERROR(IF(Invoices[[#This Row],[Days]]="","",IF(Invoices[[#This Row],[Days]]&lt;31,"A",IF(Invoices[[#This Row],[Days]]&lt;31,"B",IF(Invoices[[#This Row],[Days]]&lt;91,"C","D")))),"")</f>
        <v/>
      </c>
    </row>
    <row r="288" spans="2:10" ht="14.1" customHeight="1" x14ac:dyDescent="0.2">
      <c r="B288" s="10"/>
      <c r="C288" s="11"/>
      <c r="E288" s="11"/>
      <c r="G288" s="12"/>
      <c r="H288" s="27" t="str">
        <f>IF(Invoices[[#This Row],[Invoice Date]]="","",IF(Invoices[[#This Row],[Terms (days)]]="",Invoices[[#This Row],[Invoice Date]]+Lists!$D$4,Invoices[[#This Row],[Invoice Date]]+Invoices[[#This Row],[Terms (days)]]))</f>
        <v/>
      </c>
      <c r="I288" s="74" t="str">
        <f>IFERROR(Invoices[[#This Row],[Due Date]]-Invoices[[#This Row],[Invoice Date]],"")</f>
        <v/>
      </c>
      <c r="J288" s="27" t="str">
        <f>IFERROR(IF(Invoices[[#This Row],[Days]]="","",IF(Invoices[[#This Row],[Days]]&lt;31,"A",IF(Invoices[[#This Row],[Days]]&lt;31,"B",IF(Invoices[[#This Row],[Days]]&lt;91,"C","D")))),"")</f>
        <v/>
      </c>
    </row>
    <row r="289" spans="2:10" ht="14.1" customHeight="1" x14ac:dyDescent="0.2">
      <c r="B289" s="10"/>
      <c r="C289" s="11"/>
      <c r="E289" s="11"/>
      <c r="G289" s="12"/>
      <c r="H289" s="27" t="str">
        <f>IF(Invoices[[#This Row],[Invoice Date]]="","",IF(Invoices[[#This Row],[Terms (days)]]="",Invoices[[#This Row],[Invoice Date]]+Lists!$D$4,Invoices[[#This Row],[Invoice Date]]+Invoices[[#This Row],[Terms (days)]]))</f>
        <v/>
      </c>
      <c r="I289" s="74" t="str">
        <f>IFERROR(Invoices[[#This Row],[Due Date]]-Invoices[[#This Row],[Invoice Date]],"")</f>
        <v/>
      </c>
      <c r="J289" s="27" t="str">
        <f>IFERROR(IF(Invoices[[#This Row],[Days]]="","",IF(Invoices[[#This Row],[Days]]&lt;31,"A",IF(Invoices[[#This Row],[Days]]&lt;31,"B",IF(Invoices[[#This Row],[Days]]&lt;91,"C","D")))),"")</f>
        <v/>
      </c>
    </row>
    <row r="290" spans="2:10" ht="14.1" customHeight="1" x14ac:dyDescent="0.2">
      <c r="B290" s="10"/>
      <c r="C290" s="11"/>
      <c r="E290" s="11"/>
      <c r="G290" s="12"/>
      <c r="H290" s="27" t="str">
        <f>IF(Invoices[[#This Row],[Invoice Date]]="","",IF(Invoices[[#This Row],[Terms (days)]]="",Invoices[[#This Row],[Invoice Date]]+Lists!$D$4,Invoices[[#This Row],[Invoice Date]]+Invoices[[#This Row],[Terms (days)]]))</f>
        <v/>
      </c>
      <c r="I290" s="74" t="str">
        <f>IFERROR(Invoices[[#This Row],[Due Date]]-Invoices[[#This Row],[Invoice Date]],"")</f>
        <v/>
      </c>
      <c r="J290" s="27" t="str">
        <f>IFERROR(IF(Invoices[[#This Row],[Days]]="","",IF(Invoices[[#This Row],[Days]]&lt;31,"A",IF(Invoices[[#This Row],[Days]]&lt;31,"B",IF(Invoices[[#This Row],[Days]]&lt;91,"C","D")))),"")</f>
        <v/>
      </c>
    </row>
    <row r="291" spans="2:10" ht="14.1" customHeight="1" x14ac:dyDescent="0.2">
      <c r="B291" s="10"/>
      <c r="C291" s="11"/>
      <c r="E291" s="11"/>
      <c r="G291" s="12"/>
      <c r="H291" s="27" t="str">
        <f>IF(Invoices[[#This Row],[Invoice Date]]="","",IF(Invoices[[#This Row],[Terms (days)]]="",Invoices[[#This Row],[Invoice Date]]+Lists!$D$4,Invoices[[#This Row],[Invoice Date]]+Invoices[[#This Row],[Terms (days)]]))</f>
        <v/>
      </c>
      <c r="I291" s="74" t="str">
        <f>IFERROR(Invoices[[#This Row],[Due Date]]-Invoices[[#This Row],[Invoice Date]],"")</f>
        <v/>
      </c>
      <c r="J291" s="27" t="str">
        <f>IFERROR(IF(Invoices[[#This Row],[Days]]="","",IF(Invoices[[#This Row],[Days]]&lt;31,"A",IF(Invoices[[#This Row],[Days]]&lt;31,"B",IF(Invoices[[#This Row],[Days]]&lt;91,"C","D")))),"")</f>
        <v/>
      </c>
    </row>
    <row r="292" spans="2:10" ht="14.1" customHeight="1" x14ac:dyDescent="0.2">
      <c r="B292" s="10"/>
      <c r="C292" s="11"/>
      <c r="E292" s="11"/>
      <c r="G292" s="12"/>
      <c r="H292" s="27" t="str">
        <f>IF(Invoices[[#This Row],[Invoice Date]]="","",IF(Invoices[[#This Row],[Terms (days)]]="",Invoices[[#This Row],[Invoice Date]]+Lists!$D$4,Invoices[[#This Row],[Invoice Date]]+Invoices[[#This Row],[Terms (days)]]))</f>
        <v/>
      </c>
      <c r="I292" s="74" t="str">
        <f>IFERROR(Invoices[[#This Row],[Due Date]]-Invoices[[#This Row],[Invoice Date]],"")</f>
        <v/>
      </c>
      <c r="J292" s="27" t="str">
        <f>IFERROR(IF(Invoices[[#This Row],[Days]]="","",IF(Invoices[[#This Row],[Days]]&lt;31,"A",IF(Invoices[[#This Row],[Days]]&lt;31,"B",IF(Invoices[[#This Row],[Days]]&lt;91,"C","D")))),"")</f>
        <v/>
      </c>
    </row>
    <row r="293" spans="2:10" ht="14.1" customHeight="1" x14ac:dyDescent="0.2">
      <c r="B293" s="10"/>
      <c r="C293" s="11"/>
      <c r="E293" s="11"/>
      <c r="G293" s="12"/>
      <c r="H293" s="27" t="str">
        <f>IF(Invoices[[#This Row],[Invoice Date]]="","",IF(Invoices[[#This Row],[Terms (days)]]="",Invoices[[#This Row],[Invoice Date]]+Lists!$D$4,Invoices[[#This Row],[Invoice Date]]+Invoices[[#This Row],[Terms (days)]]))</f>
        <v/>
      </c>
      <c r="I293" s="74" t="str">
        <f>IFERROR(Invoices[[#This Row],[Due Date]]-Invoices[[#This Row],[Invoice Date]],"")</f>
        <v/>
      </c>
      <c r="J293" s="27" t="str">
        <f>IFERROR(IF(Invoices[[#This Row],[Days]]="","",IF(Invoices[[#This Row],[Days]]&lt;31,"A",IF(Invoices[[#This Row],[Days]]&lt;31,"B",IF(Invoices[[#This Row],[Days]]&lt;91,"C","D")))),"")</f>
        <v/>
      </c>
    </row>
    <row r="294" spans="2:10" ht="14.1" customHeight="1" x14ac:dyDescent="0.2">
      <c r="B294" s="10"/>
      <c r="C294" s="11"/>
      <c r="E294" s="11"/>
      <c r="G294" s="12"/>
      <c r="H294" s="27" t="str">
        <f>IF(Invoices[[#This Row],[Invoice Date]]="","",IF(Invoices[[#This Row],[Terms (days)]]="",Invoices[[#This Row],[Invoice Date]]+Lists!$D$4,Invoices[[#This Row],[Invoice Date]]+Invoices[[#This Row],[Terms (days)]]))</f>
        <v/>
      </c>
      <c r="I294" s="74" t="str">
        <f>IFERROR(Invoices[[#This Row],[Due Date]]-Invoices[[#This Row],[Invoice Date]],"")</f>
        <v/>
      </c>
      <c r="J294" s="27" t="str">
        <f>IFERROR(IF(Invoices[[#This Row],[Days]]="","",IF(Invoices[[#This Row],[Days]]&lt;31,"A",IF(Invoices[[#This Row],[Days]]&lt;31,"B",IF(Invoices[[#This Row],[Days]]&lt;91,"C","D")))),"")</f>
        <v/>
      </c>
    </row>
    <row r="295" spans="2:10" ht="14.1" customHeight="1" x14ac:dyDescent="0.2">
      <c r="B295" s="10"/>
      <c r="C295" s="11"/>
      <c r="E295" s="11"/>
      <c r="G295" s="12"/>
      <c r="H295" s="27" t="str">
        <f>IF(Invoices[[#This Row],[Invoice Date]]="","",IF(Invoices[[#This Row],[Terms (days)]]="",Invoices[[#This Row],[Invoice Date]]+Lists!$D$4,Invoices[[#This Row],[Invoice Date]]+Invoices[[#This Row],[Terms (days)]]))</f>
        <v/>
      </c>
      <c r="I295" s="74" t="str">
        <f>IFERROR(Invoices[[#This Row],[Due Date]]-Invoices[[#This Row],[Invoice Date]],"")</f>
        <v/>
      </c>
      <c r="J295" s="27" t="str">
        <f>IFERROR(IF(Invoices[[#This Row],[Days]]="","",IF(Invoices[[#This Row],[Days]]&lt;31,"A",IF(Invoices[[#This Row],[Days]]&lt;31,"B",IF(Invoices[[#This Row],[Days]]&lt;91,"C","D")))),"")</f>
        <v/>
      </c>
    </row>
    <row r="296" spans="2:10" ht="14.1" customHeight="1" x14ac:dyDescent="0.2">
      <c r="B296" s="10"/>
      <c r="C296" s="11"/>
      <c r="E296" s="11"/>
      <c r="G296" s="12"/>
      <c r="H296" s="27" t="str">
        <f>IF(Invoices[[#This Row],[Invoice Date]]="","",IF(Invoices[[#This Row],[Terms (days)]]="",Invoices[[#This Row],[Invoice Date]]+Lists!$D$4,Invoices[[#This Row],[Invoice Date]]+Invoices[[#This Row],[Terms (days)]]))</f>
        <v/>
      </c>
      <c r="I296" s="74" t="str">
        <f>IFERROR(Invoices[[#This Row],[Due Date]]-Invoices[[#This Row],[Invoice Date]],"")</f>
        <v/>
      </c>
      <c r="J296" s="27" t="str">
        <f>IFERROR(IF(Invoices[[#This Row],[Days]]="","",IF(Invoices[[#This Row],[Days]]&lt;31,"A",IF(Invoices[[#This Row],[Days]]&lt;31,"B",IF(Invoices[[#This Row],[Days]]&lt;91,"C","D")))),"")</f>
        <v/>
      </c>
    </row>
    <row r="297" spans="2:10" ht="14.1" customHeight="1" x14ac:dyDescent="0.2">
      <c r="B297" s="10"/>
      <c r="C297" s="11"/>
      <c r="E297" s="11"/>
      <c r="G297" s="12"/>
      <c r="H297" s="27" t="str">
        <f>IF(Invoices[[#This Row],[Invoice Date]]="","",IF(Invoices[[#This Row],[Terms (days)]]="",Invoices[[#This Row],[Invoice Date]]+Lists!$D$4,Invoices[[#This Row],[Invoice Date]]+Invoices[[#This Row],[Terms (days)]]))</f>
        <v/>
      </c>
      <c r="I297" s="74" t="str">
        <f>IFERROR(Invoices[[#This Row],[Due Date]]-Invoices[[#This Row],[Invoice Date]],"")</f>
        <v/>
      </c>
      <c r="J297" s="27" t="str">
        <f>IFERROR(IF(Invoices[[#This Row],[Days]]="","",IF(Invoices[[#This Row],[Days]]&lt;31,"A",IF(Invoices[[#This Row],[Days]]&lt;31,"B",IF(Invoices[[#This Row],[Days]]&lt;91,"C","D")))),"")</f>
        <v/>
      </c>
    </row>
    <row r="298" spans="2:10" ht="14.1" customHeight="1" x14ac:dyDescent="0.2">
      <c r="B298" s="10"/>
      <c r="C298" s="11"/>
      <c r="E298" s="11"/>
      <c r="G298" s="12"/>
      <c r="H298" s="27" t="str">
        <f>IF(Invoices[[#This Row],[Invoice Date]]="","",IF(Invoices[[#This Row],[Terms (days)]]="",Invoices[[#This Row],[Invoice Date]]+Lists!$D$4,Invoices[[#This Row],[Invoice Date]]+Invoices[[#This Row],[Terms (days)]]))</f>
        <v/>
      </c>
      <c r="I298" s="74" t="str">
        <f>IFERROR(Invoices[[#This Row],[Due Date]]-Invoices[[#This Row],[Invoice Date]],"")</f>
        <v/>
      </c>
      <c r="J298" s="27" t="str">
        <f>IFERROR(IF(Invoices[[#This Row],[Days]]="","",IF(Invoices[[#This Row],[Days]]&lt;31,"A",IF(Invoices[[#This Row],[Days]]&lt;31,"B",IF(Invoices[[#This Row],[Days]]&lt;91,"C","D")))),"")</f>
        <v/>
      </c>
    </row>
    <row r="299" spans="2:10" ht="14.1" customHeight="1" x14ac:dyDescent="0.2">
      <c r="B299" s="10"/>
      <c r="C299" s="11"/>
      <c r="E299" s="11"/>
      <c r="G299" s="12"/>
      <c r="H299" s="27" t="str">
        <f>IF(Invoices[[#This Row],[Invoice Date]]="","",IF(Invoices[[#This Row],[Terms (days)]]="",Invoices[[#This Row],[Invoice Date]]+Lists!$D$4,Invoices[[#This Row],[Invoice Date]]+Invoices[[#This Row],[Terms (days)]]))</f>
        <v/>
      </c>
      <c r="I299" s="74" t="str">
        <f>IFERROR(Invoices[[#This Row],[Due Date]]-Invoices[[#This Row],[Invoice Date]],"")</f>
        <v/>
      </c>
      <c r="J299" s="27" t="str">
        <f>IFERROR(IF(Invoices[[#This Row],[Days]]="","",IF(Invoices[[#This Row],[Days]]&lt;31,"A",IF(Invoices[[#This Row],[Days]]&lt;31,"B",IF(Invoices[[#This Row],[Days]]&lt;91,"C","D")))),"")</f>
        <v/>
      </c>
    </row>
    <row r="300" spans="2:10" ht="14.1" customHeight="1" x14ac:dyDescent="0.2">
      <c r="B300" s="10"/>
      <c r="C300" s="11"/>
      <c r="E300" s="11"/>
      <c r="G300" s="12"/>
      <c r="H300" s="27" t="str">
        <f>IF(Invoices[[#This Row],[Invoice Date]]="","",IF(Invoices[[#This Row],[Terms (days)]]="",Invoices[[#This Row],[Invoice Date]]+Lists!$D$4,Invoices[[#This Row],[Invoice Date]]+Invoices[[#This Row],[Terms (days)]]))</f>
        <v/>
      </c>
      <c r="I300" s="74" t="str">
        <f>IFERROR(Invoices[[#This Row],[Due Date]]-Invoices[[#This Row],[Invoice Date]],"")</f>
        <v/>
      </c>
      <c r="J300" s="27" t="str">
        <f>IFERROR(IF(Invoices[[#This Row],[Days]]="","",IF(Invoices[[#This Row],[Days]]&lt;31,"A",IF(Invoices[[#This Row],[Days]]&lt;31,"B",IF(Invoices[[#This Row],[Days]]&lt;91,"C","D")))),"")</f>
        <v/>
      </c>
    </row>
    <row r="301" spans="2:10" ht="14.1" customHeight="1" x14ac:dyDescent="0.2">
      <c r="B301" s="10"/>
      <c r="C301" s="11"/>
      <c r="E301" s="11"/>
      <c r="G301" s="12"/>
      <c r="H301" s="27" t="str">
        <f>IF(Invoices[[#This Row],[Invoice Date]]="","",IF(Invoices[[#This Row],[Terms (days)]]="",Invoices[[#This Row],[Invoice Date]]+Lists!$D$4,Invoices[[#This Row],[Invoice Date]]+Invoices[[#This Row],[Terms (days)]]))</f>
        <v/>
      </c>
      <c r="I301" s="74" t="str">
        <f>IFERROR(Invoices[[#This Row],[Due Date]]-Invoices[[#This Row],[Invoice Date]],"")</f>
        <v/>
      </c>
      <c r="J301" s="27" t="str">
        <f>IFERROR(IF(Invoices[[#This Row],[Days]]="","",IF(Invoices[[#This Row],[Days]]&lt;31,"A",IF(Invoices[[#This Row],[Days]]&lt;31,"B",IF(Invoices[[#This Row],[Days]]&lt;91,"C","D")))),"")</f>
        <v/>
      </c>
    </row>
    <row r="302" spans="2:10" ht="14.1" customHeight="1" x14ac:dyDescent="0.2">
      <c r="B302" s="10"/>
      <c r="C302" s="11"/>
      <c r="E302" s="11"/>
      <c r="G302" s="12"/>
      <c r="H302" s="27" t="str">
        <f>IF(Invoices[[#This Row],[Invoice Date]]="","",IF(Invoices[[#This Row],[Terms (days)]]="",Invoices[[#This Row],[Invoice Date]]+Lists!$D$4,Invoices[[#This Row],[Invoice Date]]+Invoices[[#This Row],[Terms (days)]]))</f>
        <v/>
      </c>
      <c r="I302" s="74" t="str">
        <f>IFERROR(Invoices[[#This Row],[Due Date]]-Invoices[[#This Row],[Invoice Date]],"")</f>
        <v/>
      </c>
      <c r="J302" s="27" t="str">
        <f>IFERROR(IF(Invoices[[#This Row],[Days]]="","",IF(Invoices[[#This Row],[Days]]&lt;31,"A",IF(Invoices[[#This Row],[Days]]&lt;31,"B",IF(Invoices[[#This Row],[Days]]&lt;91,"C","D")))),"")</f>
        <v/>
      </c>
    </row>
    <row r="303" spans="2:10" ht="14.1" customHeight="1" x14ac:dyDescent="0.2">
      <c r="B303" s="10"/>
      <c r="C303" s="11"/>
      <c r="E303" s="11"/>
      <c r="G303" s="12"/>
      <c r="H303" s="27" t="str">
        <f>IF(Invoices[[#This Row],[Invoice Date]]="","",IF(Invoices[[#This Row],[Terms (days)]]="",Invoices[[#This Row],[Invoice Date]]+Lists!$D$4,Invoices[[#This Row],[Invoice Date]]+Invoices[[#This Row],[Terms (days)]]))</f>
        <v/>
      </c>
      <c r="I303" s="74" t="str">
        <f>IFERROR(Invoices[[#This Row],[Due Date]]-Invoices[[#This Row],[Invoice Date]],"")</f>
        <v/>
      </c>
      <c r="J303" s="27" t="str">
        <f>IFERROR(IF(Invoices[[#This Row],[Days]]="","",IF(Invoices[[#This Row],[Days]]&lt;31,"A",IF(Invoices[[#This Row],[Days]]&lt;31,"B",IF(Invoices[[#This Row],[Days]]&lt;91,"C","D")))),"")</f>
        <v/>
      </c>
    </row>
    <row r="304" spans="2:10" ht="14.1" customHeight="1" x14ac:dyDescent="0.2">
      <c r="B304" s="10"/>
      <c r="C304" s="11"/>
      <c r="E304" s="11"/>
      <c r="G304" s="12"/>
      <c r="H304" s="27" t="str">
        <f>IF(Invoices[[#This Row],[Invoice Date]]="","",IF(Invoices[[#This Row],[Terms (days)]]="",Invoices[[#This Row],[Invoice Date]]+Lists!$D$4,Invoices[[#This Row],[Invoice Date]]+Invoices[[#This Row],[Terms (days)]]))</f>
        <v/>
      </c>
      <c r="I304" s="74" t="str">
        <f>IFERROR(Invoices[[#This Row],[Due Date]]-Invoices[[#This Row],[Invoice Date]],"")</f>
        <v/>
      </c>
      <c r="J304" s="27" t="str">
        <f>IFERROR(IF(Invoices[[#This Row],[Days]]="","",IF(Invoices[[#This Row],[Days]]&lt;31,"A",IF(Invoices[[#This Row],[Days]]&lt;31,"B",IF(Invoices[[#This Row],[Days]]&lt;91,"C","D")))),"")</f>
        <v/>
      </c>
    </row>
    <row r="305" spans="2:10" ht="14.1" customHeight="1" x14ac:dyDescent="0.2">
      <c r="B305" s="10"/>
      <c r="C305" s="11"/>
      <c r="E305" s="11"/>
      <c r="G305" s="12"/>
      <c r="H305" s="27" t="str">
        <f>IF(Invoices[[#This Row],[Invoice Date]]="","",IF(Invoices[[#This Row],[Terms (days)]]="",Invoices[[#This Row],[Invoice Date]]+Lists!$D$4,Invoices[[#This Row],[Invoice Date]]+Invoices[[#This Row],[Terms (days)]]))</f>
        <v/>
      </c>
      <c r="I305" s="74" t="str">
        <f>IFERROR(Invoices[[#This Row],[Due Date]]-Invoices[[#This Row],[Invoice Date]],"")</f>
        <v/>
      </c>
      <c r="J305" s="27" t="str">
        <f>IFERROR(IF(Invoices[[#This Row],[Days]]="","",IF(Invoices[[#This Row],[Days]]&lt;31,"A",IF(Invoices[[#This Row],[Days]]&lt;31,"B",IF(Invoices[[#This Row],[Days]]&lt;91,"C","D")))),"")</f>
        <v/>
      </c>
    </row>
    <row r="306" spans="2:10" ht="14.1" customHeight="1" x14ac:dyDescent="0.2">
      <c r="B306" s="10"/>
      <c r="C306" s="11"/>
      <c r="E306" s="11"/>
      <c r="G306" s="12"/>
      <c r="H306" s="27" t="str">
        <f>IF(Invoices[[#This Row],[Invoice Date]]="","",IF(Invoices[[#This Row],[Terms (days)]]="",Invoices[[#This Row],[Invoice Date]]+Lists!$D$4,Invoices[[#This Row],[Invoice Date]]+Invoices[[#This Row],[Terms (days)]]))</f>
        <v/>
      </c>
      <c r="I306" s="74" t="str">
        <f>IFERROR(Invoices[[#This Row],[Due Date]]-Invoices[[#This Row],[Invoice Date]],"")</f>
        <v/>
      </c>
      <c r="J306" s="27" t="str">
        <f>IFERROR(IF(Invoices[[#This Row],[Days]]="","",IF(Invoices[[#This Row],[Days]]&lt;31,"A",IF(Invoices[[#This Row],[Days]]&lt;31,"B",IF(Invoices[[#This Row],[Days]]&lt;91,"C","D")))),"")</f>
        <v/>
      </c>
    </row>
    <row r="307" spans="2:10" ht="14.1" customHeight="1" x14ac:dyDescent="0.2">
      <c r="B307" s="10"/>
      <c r="C307" s="11"/>
      <c r="E307" s="11"/>
      <c r="G307" s="12"/>
      <c r="H307" s="27" t="str">
        <f>IF(Invoices[[#This Row],[Invoice Date]]="","",IF(Invoices[[#This Row],[Terms (days)]]="",Invoices[[#This Row],[Invoice Date]]+Lists!$D$4,Invoices[[#This Row],[Invoice Date]]+Invoices[[#This Row],[Terms (days)]]))</f>
        <v/>
      </c>
      <c r="I307" s="74" t="str">
        <f>IFERROR(Invoices[[#This Row],[Due Date]]-Invoices[[#This Row],[Invoice Date]],"")</f>
        <v/>
      </c>
      <c r="J307" s="27" t="str">
        <f>IFERROR(IF(Invoices[[#This Row],[Days]]="","",IF(Invoices[[#This Row],[Days]]&lt;31,"A",IF(Invoices[[#This Row],[Days]]&lt;31,"B",IF(Invoices[[#This Row],[Days]]&lt;91,"C","D")))),"")</f>
        <v/>
      </c>
    </row>
    <row r="308" spans="2:10" ht="14.1" customHeight="1" x14ac:dyDescent="0.2">
      <c r="B308" s="10"/>
      <c r="C308" s="11"/>
      <c r="E308" s="11"/>
      <c r="G308" s="12"/>
      <c r="H308" s="27" t="str">
        <f>IF(Invoices[[#This Row],[Invoice Date]]="","",IF(Invoices[[#This Row],[Terms (days)]]="",Invoices[[#This Row],[Invoice Date]]+Lists!$D$4,Invoices[[#This Row],[Invoice Date]]+Invoices[[#This Row],[Terms (days)]]))</f>
        <v/>
      </c>
      <c r="I308" s="74" t="str">
        <f>IFERROR(Invoices[[#This Row],[Due Date]]-Invoices[[#This Row],[Invoice Date]],"")</f>
        <v/>
      </c>
      <c r="J308" s="27" t="str">
        <f>IFERROR(IF(Invoices[[#This Row],[Days]]="","",IF(Invoices[[#This Row],[Days]]&lt;31,"A",IF(Invoices[[#This Row],[Days]]&lt;31,"B",IF(Invoices[[#This Row],[Days]]&lt;91,"C","D")))),"")</f>
        <v/>
      </c>
    </row>
    <row r="309" spans="2:10" ht="14.1" customHeight="1" x14ac:dyDescent="0.2">
      <c r="B309" s="10"/>
      <c r="C309" s="11"/>
      <c r="E309" s="11"/>
      <c r="G309" s="12"/>
      <c r="H309" s="27" t="str">
        <f>IF(Invoices[[#This Row],[Invoice Date]]="","",IF(Invoices[[#This Row],[Terms (days)]]="",Invoices[[#This Row],[Invoice Date]]+Lists!$D$4,Invoices[[#This Row],[Invoice Date]]+Invoices[[#This Row],[Terms (days)]]))</f>
        <v/>
      </c>
      <c r="I309" s="74" t="str">
        <f>IFERROR(Invoices[[#This Row],[Due Date]]-Invoices[[#This Row],[Invoice Date]],"")</f>
        <v/>
      </c>
      <c r="J309" s="27" t="str">
        <f>IFERROR(IF(Invoices[[#This Row],[Days]]="","",IF(Invoices[[#This Row],[Days]]&lt;31,"A",IF(Invoices[[#This Row],[Days]]&lt;31,"B",IF(Invoices[[#This Row],[Days]]&lt;91,"C","D")))),"")</f>
        <v/>
      </c>
    </row>
    <row r="310" spans="2:10" ht="14.1" customHeight="1" x14ac:dyDescent="0.2">
      <c r="B310" s="10"/>
      <c r="C310" s="11"/>
      <c r="E310" s="11"/>
      <c r="G310" s="12"/>
      <c r="H310" s="27" t="str">
        <f>IF(Invoices[[#This Row],[Invoice Date]]="","",IF(Invoices[[#This Row],[Terms (days)]]="",Invoices[[#This Row],[Invoice Date]]+Lists!$D$4,Invoices[[#This Row],[Invoice Date]]+Invoices[[#This Row],[Terms (days)]]))</f>
        <v/>
      </c>
      <c r="I310" s="74" t="str">
        <f>IFERROR(Invoices[[#This Row],[Due Date]]-Invoices[[#This Row],[Invoice Date]],"")</f>
        <v/>
      </c>
      <c r="J310" s="27" t="str">
        <f>IFERROR(IF(Invoices[[#This Row],[Days]]="","",IF(Invoices[[#This Row],[Days]]&lt;31,"A",IF(Invoices[[#This Row],[Days]]&lt;31,"B",IF(Invoices[[#This Row],[Days]]&lt;91,"C","D")))),"")</f>
        <v/>
      </c>
    </row>
    <row r="311" spans="2:10" ht="14.1" customHeight="1" x14ac:dyDescent="0.2">
      <c r="B311" s="10"/>
      <c r="C311" s="11"/>
      <c r="E311" s="11"/>
      <c r="G311" s="12"/>
      <c r="H311" s="27" t="str">
        <f>IF(Invoices[[#This Row],[Invoice Date]]="","",IF(Invoices[[#This Row],[Terms (days)]]="",Invoices[[#This Row],[Invoice Date]]+Lists!$D$4,Invoices[[#This Row],[Invoice Date]]+Invoices[[#This Row],[Terms (days)]]))</f>
        <v/>
      </c>
      <c r="I311" s="74" t="str">
        <f>IFERROR(Invoices[[#This Row],[Due Date]]-Invoices[[#This Row],[Invoice Date]],"")</f>
        <v/>
      </c>
      <c r="J311" s="27" t="str">
        <f>IFERROR(IF(Invoices[[#This Row],[Days]]="","",IF(Invoices[[#This Row],[Days]]&lt;31,"A",IF(Invoices[[#This Row],[Days]]&lt;31,"B",IF(Invoices[[#This Row],[Days]]&lt;91,"C","D")))),"")</f>
        <v/>
      </c>
    </row>
    <row r="312" spans="2:10" ht="14.1" customHeight="1" x14ac:dyDescent="0.2">
      <c r="B312" s="10"/>
      <c r="C312" s="11"/>
      <c r="E312" s="11"/>
      <c r="G312" s="12"/>
      <c r="H312" s="27" t="str">
        <f>IF(Invoices[[#This Row],[Invoice Date]]="","",IF(Invoices[[#This Row],[Terms (days)]]="",Invoices[[#This Row],[Invoice Date]]+Lists!$D$4,Invoices[[#This Row],[Invoice Date]]+Invoices[[#This Row],[Terms (days)]]))</f>
        <v/>
      </c>
      <c r="I312" s="74" t="str">
        <f>IFERROR(Invoices[[#This Row],[Due Date]]-Invoices[[#This Row],[Invoice Date]],"")</f>
        <v/>
      </c>
      <c r="J312" s="27" t="str">
        <f>IFERROR(IF(Invoices[[#This Row],[Days]]="","",IF(Invoices[[#This Row],[Days]]&lt;31,"A",IF(Invoices[[#This Row],[Days]]&lt;31,"B",IF(Invoices[[#This Row],[Days]]&lt;91,"C","D")))),"")</f>
        <v/>
      </c>
    </row>
    <row r="313" spans="2:10" ht="14.1" customHeight="1" x14ac:dyDescent="0.2">
      <c r="B313" s="10"/>
      <c r="C313" s="11"/>
      <c r="E313" s="11"/>
      <c r="G313" s="12"/>
      <c r="H313" s="27" t="str">
        <f>IF(Invoices[[#This Row],[Invoice Date]]="","",IF(Invoices[[#This Row],[Terms (days)]]="",Invoices[[#This Row],[Invoice Date]]+Lists!$D$4,Invoices[[#This Row],[Invoice Date]]+Invoices[[#This Row],[Terms (days)]]))</f>
        <v/>
      </c>
      <c r="I313" s="74" t="str">
        <f>IFERROR(Invoices[[#This Row],[Due Date]]-Invoices[[#This Row],[Invoice Date]],"")</f>
        <v/>
      </c>
      <c r="J313" s="27" t="str">
        <f>IFERROR(IF(Invoices[[#This Row],[Days]]="","",IF(Invoices[[#This Row],[Days]]&lt;31,"A",IF(Invoices[[#This Row],[Days]]&lt;31,"B",IF(Invoices[[#This Row],[Days]]&lt;91,"C","D")))),"")</f>
        <v/>
      </c>
    </row>
    <row r="314" spans="2:10" ht="14.1" customHeight="1" x14ac:dyDescent="0.2">
      <c r="B314" s="10"/>
      <c r="C314" s="11"/>
      <c r="E314" s="11"/>
      <c r="G314" s="12"/>
      <c r="H314" s="27" t="str">
        <f>IF(Invoices[[#This Row],[Invoice Date]]="","",IF(Invoices[[#This Row],[Terms (days)]]="",Invoices[[#This Row],[Invoice Date]]+Lists!$D$4,Invoices[[#This Row],[Invoice Date]]+Invoices[[#This Row],[Terms (days)]]))</f>
        <v/>
      </c>
      <c r="I314" s="74" t="str">
        <f>IFERROR(Invoices[[#This Row],[Due Date]]-Invoices[[#This Row],[Invoice Date]],"")</f>
        <v/>
      </c>
      <c r="J314" s="27" t="str">
        <f>IFERROR(IF(Invoices[[#This Row],[Days]]="","",IF(Invoices[[#This Row],[Days]]&lt;31,"A",IF(Invoices[[#This Row],[Days]]&lt;31,"B",IF(Invoices[[#This Row],[Days]]&lt;91,"C","D")))),"")</f>
        <v/>
      </c>
    </row>
    <row r="315" spans="2:10" ht="14.1" customHeight="1" x14ac:dyDescent="0.2">
      <c r="B315" s="10"/>
      <c r="C315" s="11"/>
      <c r="E315" s="11"/>
      <c r="G315" s="12"/>
      <c r="H315" s="27" t="str">
        <f>IF(Invoices[[#This Row],[Invoice Date]]="","",IF(Invoices[[#This Row],[Terms (days)]]="",Invoices[[#This Row],[Invoice Date]]+Lists!$D$4,Invoices[[#This Row],[Invoice Date]]+Invoices[[#This Row],[Terms (days)]]))</f>
        <v/>
      </c>
      <c r="I315" s="74" t="str">
        <f>IFERROR(Invoices[[#This Row],[Due Date]]-Invoices[[#This Row],[Invoice Date]],"")</f>
        <v/>
      </c>
      <c r="J315" s="27" t="str">
        <f>IFERROR(IF(Invoices[[#This Row],[Days]]="","",IF(Invoices[[#This Row],[Days]]&lt;31,"A",IF(Invoices[[#This Row],[Days]]&lt;31,"B",IF(Invoices[[#This Row],[Days]]&lt;91,"C","D")))),"")</f>
        <v/>
      </c>
    </row>
    <row r="316" spans="2:10" ht="14.1" customHeight="1" x14ac:dyDescent="0.2">
      <c r="B316" s="10"/>
      <c r="C316" s="11"/>
      <c r="E316" s="11"/>
      <c r="G316" s="12"/>
      <c r="H316" s="27" t="str">
        <f>IF(Invoices[[#This Row],[Invoice Date]]="","",IF(Invoices[[#This Row],[Terms (days)]]="",Invoices[[#This Row],[Invoice Date]]+Lists!$D$4,Invoices[[#This Row],[Invoice Date]]+Invoices[[#This Row],[Terms (days)]]))</f>
        <v/>
      </c>
      <c r="I316" s="74" t="str">
        <f>IFERROR(Invoices[[#This Row],[Due Date]]-Invoices[[#This Row],[Invoice Date]],"")</f>
        <v/>
      </c>
      <c r="J316" s="27" t="str">
        <f>IFERROR(IF(Invoices[[#This Row],[Days]]="","",IF(Invoices[[#This Row],[Days]]&lt;31,"A",IF(Invoices[[#This Row],[Days]]&lt;31,"B",IF(Invoices[[#This Row],[Days]]&lt;91,"C","D")))),"")</f>
        <v/>
      </c>
    </row>
    <row r="317" spans="2:10" ht="14.1" customHeight="1" x14ac:dyDescent="0.2">
      <c r="B317" s="10"/>
      <c r="C317" s="11"/>
      <c r="E317" s="11"/>
      <c r="G317" s="12"/>
      <c r="H317" s="27" t="str">
        <f>IF(Invoices[[#This Row],[Invoice Date]]="","",IF(Invoices[[#This Row],[Terms (days)]]="",Invoices[[#This Row],[Invoice Date]]+Lists!$D$4,Invoices[[#This Row],[Invoice Date]]+Invoices[[#This Row],[Terms (days)]]))</f>
        <v/>
      </c>
      <c r="I317" s="74" t="str">
        <f>IFERROR(Invoices[[#This Row],[Due Date]]-Invoices[[#This Row],[Invoice Date]],"")</f>
        <v/>
      </c>
      <c r="J317" s="27" t="str">
        <f>IFERROR(IF(Invoices[[#This Row],[Days]]="","",IF(Invoices[[#This Row],[Days]]&lt;31,"A",IF(Invoices[[#This Row],[Days]]&lt;31,"B",IF(Invoices[[#This Row],[Days]]&lt;91,"C","D")))),"")</f>
        <v/>
      </c>
    </row>
    <row r="318" spans="2:10" ht="14.1" customHeight="1" x14ac:dyDescent="0.2">
      <c r="B318" s="10"/>
      <c r="C318" s="11"/>
      <c r="E318" s="11"/>
      <c r="G318" s="12"/>
      <c r="H318" s="27" t="str">
        <f>IF(Invoices[[#This Row],[Invoice Date]]="","",IF(Invoices[[#This Row],[Terms (days)]]="",Invoices[[#This Row],[Invoice Date]]+Lists!$D$4,Invoices[[#This Row],[Invoice Date]]+Invoices[[#This Row],[Terms (days)]]))</f>
        <v/>
      </c>
      <c r="I318" s="74" t="str">
        <f>IFERROR(Invoices[[#This Row],[Due Date]]-Invoices[[#This Row],[Invoice Date]],"")</f>
        <v/>
      </c>
      <c r="J318" s="27" t="str">
        <f>IFERROR(IF(Invoices[[#This Row],[Days]]="","",IF(Invoices[[#This Row],[Days]]&lt;31,"A",IF(Invoices[[#This Row],[Days]]&lt;31,"B",IF(Invoices[[#This Row],[Days]]&lt;91,"C","D")))),"")</f>
        <v/>
      </c>
    </row>
    <row r="319" spans="2:10" ht="14.1" customHeight="1" x14ac:dyDescent="0.2">
      <c r="B319" s="10"/>
      <c r="C319" s="11"/>
      <c r="E319" s="11"/>
      <c r="G319" s="12"/>
      <c r="H319" s="27" t="str">
        <f>IF(Invoices[[#This Row],[Invoice Date]]="","",IF(Invoices[[#This Row],[Terms (days)]]="",Invoices[[#This Row],[Invoice Date]]+Lists!$D$4,Invoices[[#This Row],[Invoice Date]]+Invoices[[#This Row],[Terms (days)]]))</f>
        <v/>
      </c>
      <c r="I319" s="74" t="str">
        <f>IFERROR(Invoices[[#This Row],[Due Date]]-Invoices[[#This Row],[Invoice Date]],"")</f>
        <v/>
      </c>
      <c r="J319" s="27" t="str">
        <f>IFERROR(IF(Invoices[[#This Row],[Days]]="","",IF(Invoices[[#This Row],[Days]]&lt;31,"A",IF(Invoices[[#This Row],[Days]]&lt;31,"B",IF(Invoices[[#This Row],[Days]]&lt;91,"C","D")))),"")</f>
        <v/>
      </c>
    </row>
    <row r="320" spans="2:10" ht="14.1" customHeight="1" x14ac:dyDescent="0.2">
      <c r="B320" s="10"/>
      <c r="C320" s="11"/>
      <c r="E320" s="11"/>
      <c r="G320" s="12"/>
      <c r="H320" s="27" t="str">
        <f>IF(Invoices[[#This Row],[Invoice Date]]="","",IF(Invoices[[#This Row],[Terms (days)]]="",Invoices[[#This Row],[Invoice Date]]+Lists!$D$4,Invoices[[#This Row],[Invoice Date]]+Invoices[[#This Row],[Terms (days)]]))</f>
        <v/>
      </c>
      <c r="I320" s="74" t="str">
        <f>IFERROR(Invoices[[#This Row],[Due Date]]-Invoices[[#This Row],[Invoice Date]],"")</f>
        <v/>
      </c>
      <c r="J320" s="27" t="str">
        <f>IFERROR(IF(Invoices[[#This Row],[Days]]="","",IF(Invoices[[#This Row],[Days]]&lt;31,"A",IF(Invoices[[#This Row],[Days]]&lt;31,"B",IF(Invoices[[#This Row],[Days]]&lt;91,"C","D")))),"")</f>
        <v/>
      </c>
    </row>
    <row r="321" spans="2:10" ht="14.1" customHeight="1" x14ac:dyDescent="0.2">
      <c r="B321" s="10"/>
      <c r="C321" s="11"/>
      <c r="E321" s="11"/>
      <c r="G321" s="12"/>
      <c r="H321" s="27" t="str">
        <f>IF(Invoices[[#This Row],[Invoice Date]]="","",IF(Invoices[[#This Row],[Terms (days)]]="",Invoices[[#This Row],[Invoice Date]]+Lists!$D$4,Invoices[[#This Row],[Invoice Date]]+Invoices[[#This Row],[Terms (days)]]))</f>
        <v/>
      </c>
      <c r="I321" s="74" t="str">
        <f>IFERROR(Invoices[[#This Row],[Due Date]]-Invoices[[#This Row],[Invoice Date]],"")</f>
        <v/>
      </c>
      <c r="J321" s="27" t="str">
        <f>IFERROR(IF(Invoices[[#This Row],[Days]]="","",IF(Invoices[[#This Row],[Days]]&lt;31,"A",IF(Invoices[[#This Row],[Days]]&lt;31,"B",IF(Invoices[[#This Row],[Days]]&lt;91,"C","D")))),"")</f>
        <v/>
      </c>
    </row>
    <row r="322" spans="2:10" ht="14.1" customHeight="1" x14ac:dyDescent="0.2">
      <c r="B322" s="10"/>
      <c r="C322" s="11"/>
      <c r="E322" s="11"/>
      <c r="G322" s="12"/>
      <c r="H322" s="27" t="str">
        <f>IF(Invoices[[#This Row],[Invoice Date]]="","",IF(Invoices[[#This Row],[Terms (days)]]="",Invoices[[#This Row],[Invoice Date]]+Lists!$D$4,Invoices[[#This Row],[Invoice Date]]+Invoices[[#This Row],[Terms (days)]]))</f>
        <v/>
      </c>
      <c r="I322" s="74" t="str">
        <f>IFERROR(Invoices[[#This Row],[Due Date]]-Invoices[[#This Row],[Invoice Date]],"")</f>
        <v/>
      </c>
      <c r="J322" s="27" t="str">
        <f>IFERROR(IF(Invoices[[#This Row],[Days]]="","",IF(Invoices[[#This Row],[Days]]&lt;31,"A",IF(Invoices[[#This Row],[Days]]&lt;31,"B",IF(Invoices[[#This Row],[Days]]&lt;91,"C","D")))),"")</f>
        <v/>
      </c>
    </row>
    <row r="323" spans="2:10" ht="14.1" customHeight="1" x14ac:dyDescent="0.2">
      <c r="B323" s="10"/>
      <c r="C323" s="11"/>
      <c r="E323" s="11"/>
      <c r="G323" s="12"/>
      <c r="H323" s="27" t="str">
        <f>IF(Invoices[[#This Row],[Invoice Date]]="","",IF(Invoices[[#This Row],[Terms (days)]]="",Invoices[[#This Row],[Invoice Date]]+Lists!$D$4,Invoices[[#This Row],[Invoice Date]]+Invoices[[#This Row],[Terms (days)]]))</f>
        <v/>
      </c>
      <c r="I323" s="74" t="str">
        <f>IFERROR(Invoices[[#This Row],[Due Date]]-Invoices[[#This Row],[Invoice Date]],"")</f>
        <v/>
      </c>
      <c r="J323" s="27" t="str">
        <f>IFERROR(IF(Invoices[[#This Row],[Days]]="","",IF(Invoices[[#This Row],[Days]]&lt;31,"A",IF(Invoices[[#This Row],[Days]]&lt;31,"B",IF(Invoices[[#This Row],[Days]]&lt;91,"C","D")))),"")</f>
        <v/>
      </c>
    </row>
    <row r="324" spans="2:10" ht="14.1" customHeight="1" x14ac:dyDescent="0.2">
      <c r="B324" s="10"/>
      <c r="C324" s="11"/>
      <c r="E324" s="11"/>
      <c r="G324" s="12"/>
      <c r="H324" s="27" t="str">
        <f>IF(Invoices[[#This Row],[Invoice Date]]="","",IF(Invoices[[#This Row],[Terms (days)]]="",Invoices[[#This Row],[Invoice Date]]+Lists!$D$4,Invoices[[#This Row],[Invoice Date]]+Invoices[[#This Row],[Terms (days)]]))</f>
        <v/>
      </c>
      <c r="I324" s="74" t="str">
        <f>IFERROR(Invoices[[#This Row],[Due Date]]-Invoices[[#This Row],[Invoice Date]],"")</f>
        <v/>
      </c>
      <c r="J324" s="27" t="str">
        <f>IFERROR(IF(Invoices[[#This Row],[Days]]="","",IF(Invoices[[#This Row],[Days]]&lt;31,"A",IF(Invoices[[#This Row],[Days]]&lt;31,"B",IF(Invoices[[#This Row],[Days]]&lt;91,"C","D")))),"")</f>
        <v/>
      </c>
    </row>
    <row r="325" spans="2:10" ht="14.1" customHeight="1" x14ac:dyDescent="0.2">
      <c r="B325" s="10"/>
      <c r="C325" s="11"/>
      <c r="E325" s="11"/>
      <c r="G325" s="12"/>
      <c r="H325" s="27" t="str">
        <f>IF(Invoices[[#This Row],[Invoice Date]]="","",IF(Invoices[[#This Row],[Terms (days)]]="",Invoices[[#This Row],[Invoice Date]]+Lists!$D$4,Invoices[[#This Row],[Invoice Date]]+Invoices[[#This Row],[Terms (days)]]))</f>
        <v/>
      </c>
      <c r="I325" s="74" t="str">
        <f>IFERROR(Invoices[[#This Row],[Due Date]]-Invoices[[#This Row],[Invoice Date]],"")</f>
        <v/>
      </c>
      <c r="J325" s="27" t="str">
        <f>IFERROR(IF(Invoices[[#This Row],[Days]]="","",IF(Invoices[[#This Row],[Days]]&lt;31,"A",IF(Invoices[[#This Row],[Days]]&lt;31,"B",IF(Invoices[[#This Row],[Days]]&lt;91,"C","D")))),"")</f>
        <v/>
      </c>
    </row>
    <row r="326" spans="2:10" ht="14.1" customHeight="1" x14ac:dyDescent="0.2">
      <c r="B326" s="10"/>
      <c r="C326" s="11"/>
      <c r="E326" s="11"/>
      <c r="G326" s="12"/>
      <c r="H326" s="27" t="str">
        <f>IF(Invoices[[#This Row],[Invoice Date]]="","",IF(Invoices[[#This Row],[Terms (days)]]="",Invoices[[#This Row],[Invoice Date]]+Lists!$D$4,Invoices[[#This Row],[Invoice Date]]+Invoices[[#This Row],[Terms (days)]]))</f>
        <v/>
      </c>
      <c r="I326" s="74" t="str">
        <f>IFERROR(Invoices[[#This Row],[Due Date]]-Invoices[[#This Row],[Invoice Date]],"")</f>
        <v/>
      </c>
      <c r="J326" s="27" t="str">
        <f>IFERROR(IF(Invoices[[#This Row],[Days]]="","",IF(Invoices[[#This Row],[Days]]&lt;31,"A",IF(Invoices[[#This Row],[Days]]&lt;31,"B",IF(Invoices[[#This Row],[Days]]&lt;91,"C","D")))),"")</f>
        <v/>
      </c>
    </row>
    <row r="327" spans="2:10" ht="14.1" customHeight="1" x14ac:dyDescent="0.2">
      <c r="B327" s="10"/>
      <c r="C327" s="11"/>
      <c r="E327" s="11"/>
      <c r="G327" s="12"/>
      <c r="H327" s="27" t="str">
        <f>IF(Invoices[[#This Row],[Invoice Date]]="","",IF(Invoices[[#This Row],[Terms (days)]]="",Invoices[[#This Row],[Invoice Date]]+Lists!$D$4,Invoices[[#This Row],[Invoice Date]]+Invoices[[#This Row],[Terms (days)]]))</f>
        <v/>
      </c>
      <c r="I327" s="74" t="str">
        <f>IFERROR(Invoices[[#This Row],[Due Date]]-Invoices[[#This Row],[Invoice Date]],"")</f>
        <v/>
      </c>
      <c r="J327" s="27" t="str">
        <f>IFERROR(IF(Invoices[[#This Row],[Days]]="","",IF(Invoices[[#This Row],[Days]]&lt;31,"A",IF(Invoices[[#This Row],[Days]]&lt;31,"B",IF(Invoices[[#This Row],[Days]]&lt;91,"C","D")))),"")</f>
        <v/>
      </c>
    </row>
    <row r="328" spans="2:10" ht="14.1" customHeight="1" x14ac:dyDescent="0.2">
      <c r="B328" s="10"/>
      <c r="C328" s="11"/>
      <c r="E328" s="11"/>
      <c r="G328" s="12"/>
      <c r="H328" s="27" t="str">
        <f>IF(Invoices[[#This Row],[Invoice Date]]="","",IF(Invoices[[#This Row],[Terms (days)]]="",Invoices[[#This Row],[Invoice Date]]+Lists!$D$4,Invoices[[#This Row],[Invoice Date]]+Invoices[[#This Row],[Terms (days)]]))</f>
        <v/>
      </c>
      <c r="I328" s="74" t="str">
        <f>IFERROR(Invoices[[#This Row],[Due Date]]-Invoices[[#This Row],[Invoice Date]],"")</f>
        <v/>
      </c>
      <c r="J328" s="27" t="str">
        <f>IFERROR(IF(Invoices[[#This Row],[Days]]="","",IF(Invoices[[#This Row],[Days]]&lt;31,"A",IF(Invoices[[#This Row],[Days]]&lt;31,"B",IF(Invoices[[#This Row],[Days]]&lt;91,"C","D")))),"")</f>
        <v/>
      </c>
    </row>
    <row r="329" spans="2:10" ht="14.1" customHeight="1" x14ac:dyDescent="0.2">
      <c r="B329" s="10"/>
      <c r="C329" s="11"/>
      <c r="E329" s="11"/>
      <c r="G329" s="12"/>
      <c r="H329" s="27" t="str">
        <f>IF(Invoices[[#This Row],[Invoice Date]]="","",IF(Invoices[[#This Row],[Terms (days)]]="",Invoices[[#This Row],[Invoice Date]]+Lists!$D$4,Invoices[[#This Row],[Invoice Date]]+Invoices[[#This Row],[Terms (days)]]))</f>
        <v/>
      </c>
      <c r="I329" s="74" t="str">
        <f>IFERROR(Invoices[[#This Row],[Due Date]]-Invoices[[#This Row],[Invoice Date]],"")</f>
        <v/>
      </c>
      <c r="J329" s="27" t="str">
        <f>IFERROR(IF(Invoices[[#This Row],[Days]]="","",IF(Invoices[[#This Row],[Days]]&lt;31,"A",IF(Invoices[[#This Row],[Days]]&lt;31,"B",IF(Invoices[[#This Row],[Days]]&lt;91,"C","D")))),"")</f>
        <v/>
      </c>
    </row>
    <row r="330" spans="2:10" ht="14.1" customHeight="1" x14ac:dyDescent="0.2">
      <c r="B330" s="10"/>
      <c r="C330" s="11"/>
      <c r="E330" s="11"/>
      <c r="G330" s="12"/>
      <c r="H330" s="27" t="str">
        <f>IF(Invoices[[#This Row],[Invoice Date]]="","",IF(Invoices[[#This Row],[Terms (days)]]="",Invoices[[#This Row],[Invoice Date]]+Lists!$D$4,Invoices[[#This Row],[Invoice Date]]+Invoices[[#This Row],[Terms (days)]]))</f>
        <v/>
      </c>
      <c r="I330" s="74" t="str">
        <f>IFERROR(Invoices[[#This Row],[Due Date]]-Invoices[[#This Row],[Invoice Date]],"")</f>
        <v/>
      </c>
      <c r="J330" s="27" t="str">
        <f>IFERROR(IF(Invoices[[#This Row],[Days]]="","",IF(Invoices[[#This Row],[Days]]&lt;31,"A",IF(Invoices[[#This Row],[Days]]&lt;31,"B",IF(Invoices[[#This Row],[Days]]&lt;91,"C","D")))),"")</f>
        <v/>
      </c>
    </row>
    <row r="331" spans="2:10" ht="14.1" customHeight="1" x14ac:dyDescent="0.2">
      <c r="B331" s="10"/>
      <c r="C331" s="11"/>
      <c r="E331" s="11"/>
      <c r="G331" s="12"/>
      <c r="H331" s="27" t="str">
        <f>IF(Invoices[[#This Row],[Invoice Date]]="","",IF(Invoices[[#This Row],[Terms (days)]]="",Invoices[[#This Row],[Invoice Date]]+Lists!$D$4,Invoices[[#This Row],[Invoice Date]]+Invoices[[#This Row],[Terms (days)]]))</f>
        <v/>
      </c>
      <c r="I331" s="74" t="str">
        <f>IFERROR(Invoices[[#This Row],[Due Date]]-Invoices[[#This Row],[Invoice Date]],"")</f>
        <v/>
      </c>
      <c r="J331" s="27" t="str">
        <f>IFERROR(IF(Invoices[[#This Row],[Days]]="","",IF(Invoices[[#This Row],[Days]]&lt;31,"A",IF(Invoices[[#This Row],[Days]]&lt;31,"B",IF(Invoices[[#This Row],[Days]]&lt;91,"C","D")))),"")</f>
        <v/>
      </c>
    </row>
    <row r="332" spans="2:10" ht="14.1" customHeight="1" x14ac:dyDescent="0.2">
      <c r="B332" s="10"/>
      <c r="C332" s="11"/>
      <c r="E332" s="11"/>
      <c r="G332" s="12"/>
      <c r="H332" s="27" t="str">
        <f>IF(Invoices[[#This Row],[Invoice Date]]="","",IF(Invoices[[#This Row],[Terms (days)]]="",Invoices[[#This Row],[Invoice Date]]+Lists!$D$4,Invoices[[#This Row],[Invoice Date]]+Invoices[[#This Row],[Terms (days)]]))</f>
        <v/>
      </c>
      <c r="I332" s="74" t="str">
        <f>IFERROR(Invoices[[#This Row],[Due Date]]-Invoices[[#This Row],[Invoice Date]],"")</f>
        <v/>
      </c>
      <c r="J332" s="27" t="str">
        <f>IFERROR(IF(Invoices[[#This Row],[Days]]="","",IF(Invoices[[#This Row],[Days]]&lt;31,"A",IF(Invoices[[#This Row],[Days]]&lt;31,"B",IF(Invoices[[#This Row],[Days]]&lt;91,"C","D")))),"")</f>
        <v/>
      </c>
    </row>
    <row r="333" spans="2:10" ht="14.1" customHeight="1" x14ac:dyDescent="0.2">
      <c r="B333" s="10"/>
      <c r="C333" s="11"/>
      <c r="E333" s="11"/>
      <c r="G333" s="12"/>
      <c r="H333" s="27" t="str">
        <f>IF(Invoices[[#This Row],[Invoice Date]]="","",IF(Invoices[[#This Row],[Terms (days)]]="",Invoices[[#This Row],[Invoice Date]]+Lists!$D$4,Invoices[[#This Row],[Invoice Date]]+Invoices[[#This Row],[Terms (days)]]))</f>
        <v/>
      </c>
      <c r="I333" s="74" t="str">
        <f>IFERROR(Invoices[[#This Row],[Due Date]]-Invoices[[#This Row],[Invoice Date]],"")</f>
        <v/>
      </c>
      <c r="J333" s="27" t="str">
        <f>IFERROR(IF(Invoices[[#This Row],[Days]]="","",IF(Invoices[[#This Row],[Days]]&lt;31,"A",IF(Invoices[[#This Row],[Days]]&lt;31,"B",IF(Invoices[[#This Row],[Days]]&lt;91,"C","D")))),"")</f>
        <v/>
      </c>
    </row>
    <row r="334" spans="2:10" ht="14.1" customHeight="1" x14ac:dyDescent="0.2">
      <c r="B334" s="10"/>
      <c r="C334" s="11"/>
      <c r="E334" s="11"/>
      <c r="G334" s="12"/>
      <c r="H334" s="27" t="str">
        <f>IF(Invoices[[#This Row],[Invoice Date]]="","",IF(Invoices[[#This Row],[Terms (days)]]="",Invoices[[#This Row],[Invoice Date]]+Lists!$D$4,Invoices[[#This Row],[Invoice Date]]+Invoices[[#This Row],[Terms (days)]]))</f>
        <v/>
      </c>
      <c r="I334" s="74" t="str">
        <f>IFERROR(Invoices[[#This Row],[Due Date]]-Invoices[[#This Row],[Invoice Date]],"")</f>
        <v/>
      </c>
      <c r="J334" s="27" t="str">
        <f>IFERROR(IF(Invoices[[#This Row],[Days]]="","",IF(Invoices[[#This Row],[Days]]&lt;31,"A",IF(Invoices[[#This Row],[Days]]&lt;31,"B",IF(Invoices[[#This Row],[Days]]&lt;91,"C","D")))),"")</f>
        <v/>
      </c>
    </row>
    <row r="335" spans="2:10" ht="14.1" customHeight="1" x14ac:dyDescent="0.2">
      <c r="B335" s="10"/>
      <c r="C335" s="11"/>
      <c r="E335" s="11"/>
      <c r="G335" s="12"/>
      <c r="H335" s="27" t="str">
        <f>IF(Invoices[[#This Row],[Invoice Date]]="","",IF(Invoices[[#This Row],[Terms (days)]]="",Invoices[[#This Row],[Invoice Date]]+Lists!$D$4,Invoices[[#This Row],[Invoice Date]]+Invoices[[#This Row],[Terms (days)]]))</f>
        <v/>
      </c>
      <c r="I335" s="74" t="str">
        <f>IFERROR(Invoices[[#This Row],[Due Date]]-Invoices[[#This Row],[Invoice Date]],"")</f>
        <v/>
      </c>
      <c r="J335" s="27" t="str">
        <f>IFERROR(IF(Invoices[[#This Row],[Days]]="","",IF(Invoices[[#This Row],[Days]]&lt;31,"A",IF(Invoices[[#This Row],[Days]]&lt;31,"B",IF(Invoices[[#This Row],[Days]]&lt;91,"C","D")))),"")</f>
        <v/>
      </c>
    </row>
    <row r="336" spans="2:10" ht="14.1" customHeight="1" x14ac:dyDescent="0.2">
      <c r="B336" s="10"/>
      <c r="C336" s="11"/>
      <c r="E336" s="11"/>
      <c r="G336" s="12"/>
      <c r="H336" s="27" t="str">
        <f>IF(Invoices[[#This Row],[Invoice Date]]="","",IF(Invoices[[#This Row],[Terms (days)]]="",Invoices[[#This Row],[Invoice Date]]+Lists!$D$4,Invoices[[#This Row],[Invoice Date]]+Invoices[[#This Row],[Terms (days)]]))</f>
        <v/>
      </c>
      <c r="I336" s="74" t="str">
        <f>IFERROR(Invoices[[#This Row],[Due Date]]-Invoices[[#This Row],[Invoice Date]],"")</f>
        <v/>
      </c>
      <c r="J336" s="27" t="str">
        <f>IFERROR(IF(Invoices[[#This Row],[Days]]="","",IF(Invoices[[#This Row],[Days]]&lt;31,"A",IF(Invoices[[#This Row],[Days]]&lt;31,"B",IF(Invoices[[#This Row],[Days]]&lt;91,"C","D")))),"")</f>
        <v/>
      </c>
    </row>
    <row r="337" spans="2:10" ht="14.1" customHeight="1" x14ac:dyDescent="0.2">
      <c r="B337" s="10"/>
      <c r="C337" s="11"/>
      <c r="E337" s="11"/>
      <c r="G337" s="12"/>
      <c r="H337" s="27" t="str">
        <f>IF(Invoices[[#This Row],[Invoice Date]]="","",IF(Invoices[[#This Row],[Terms (days)]]="",Invoices[[#This Row],[Invoice Date]]+Lists!$D$4,Invoices[[#This Row],[Invoice Date]]+Invoices[[#This Row],[Terms (days)]]))</f>
        <v/>
      </c>
      <c r="I337" s="74" t="str">
        <f>IFERROR(Invoices[[#This Row],[Due Date]]-Invoices[[#This Row],[Invoice Date]],"")</f>
        <v/>
      </c>
      <c r="J337" s="27" t="str">
        <f>IFERROR(IF(Invoices[[#This Row],[Days]]="","",IF(Invoices[[#This Row],[Days]]&lt;31,"A",IF(Invoices[[#This Row],[Days]]&lt;31,"B",IF(Invoices[[#This Row],[Days]]&lt;91,"C","D")))),"")</f>
        <v/>
      </c>
    </row>
    <row r="338" spans="2:10" ht="14.1" customHeight="1" x14ac:dyDescent="0.2">
      <c r="B338" s="10"/>
      <c r="C338" s="11"/>
      <c r="E338" s="11"/>
      <c r="G338" s="12"/>
      <c r="H338" s="27" t="str">
        <f>IF(Invoices[[#This Row],[Invoice Date]]="","",IF(Invoices[[#This Row],[Terms (days)]]="",Invoices[[#This Row],[Invoice Date]]+Lists!$D$4,Invoices[[#This Row],[Invoice Date]]+Invoices[[#This Row],[Terms (days)]]))</f>
        <v/>
      </c>
      <c r="I338" s="74" t="str">
        <f>IFERROR(Invoices[[#This Row],[Due Date]]-Invoices[[#This Row],[Invoice Date]],"")</f>
        <v/>
      </c>
      <c r="J338" s="27" t="str">
        <f>IFERROR(IF(Invoices[[#This Row],[Days]]="","",IF(Invoices[[#This Row],[Days]]&lt;31,"A",IF(Invoices[[#This Row],[Days]]&lt;31,"B",IF(Invoices[[#This Row],[Days]]&lt;91,"C","D")))),"")</f>
        <v/>
      </c>
    </row>
    <row r="339" spans="2:10" ht="14.1" customHeight="1" x14ac:dyDescent="0.2">
      <c r="B339" s="10"/>
      <c r="C339" s="11"/>
      <c r="E339" s="11"/>
      <c r="G339" s="12"/>
      <c r="H339" s="27" t="str">
        <f>IF(Invoices[[#This Row],[Invoice Date]]="","",IF(Invoices[[#This Row],[Terms (days)]]="",Invoices[[#This Row],[Invoice Date]]+Lists!$D$4,Invoices[[#This Row],[Invoice Date]]+Invoices[[#This Row],[Terms (days)]]))</f>
        <v/>
      </c>
      <c r="I339" s="74" t="str">
        <f>IFERROR(Invoices[[#This Row],[Due Date]]-Invoices[[#This Row],[Invoice Date]],"")</f>
        <v/>
      </c>
      <c r="J339" s="27" t="str">
        <f>IFERROR(IF(Invoices[[#This Row],[Days]]="","",IF(Invoices[[#This Row],[Days]]&lt;31,"A",IF(Invoices[[#This Row],[Days]]&lt;31,"B",IF(Invoices[[#This Row],[Days]]&lt;91,"C","D")))),"")</f>
        <v/>
      </c>
    </row>
    <row r="340" spans="2:10" ht="14.1" customHeight="1" x14ac:dyDescent="0.2">
      <c r="B340" s="10"/>
      <c r="C340" s="11"/>
      <c r="E340" s="11"/>
      <c r="G340" s="12"/>
      <c r="H340" s="27" t="str">
        <f>IF(Invoices[[#This Row],[Invoice Date]]="","",IF(Invoices[[#This Row],[Terms (days)]]="",Invoices[[#This Row],[Invoice Date]]+Lists!$D$4,Invoices[[#This Row],[Invoice Date]]+Invoices[[#This Row],[Terms (days)]]))</f>
        <v/>
      </c>
      <c r="I340" s="74" t="str">
        <f>IFERROR(Invoices[[#This Row],[Due Date]]-Invoices[[#This Row],[Invoice Date]],"")</f>
        <v/>
      </c>
      <c r="J340" s="27" t="str">
        <f>IFERROR(IF(Invoices[[#This Row],[Days]]="","",IF(Invoices[[#This Row],[Days]]&lt;31,"A",IF(Invoices[[#This Row],[Days]]&lt;31,"B",IF(Invoices[[#This Row],[Days]]&lt;91,"C","D")))),"")</f>
        <v/>
      </c>
    </row>
    <row r="341" spans="2:10" ht="14.1" customHeight="1" x14ac:dyDescent="0.2">
      <c r="B341" s="10"/>
      <c r="C341" s="11"/>
      <c r="E341" s="11"/>
      <c r="G341" s="12"/>
      <c r="H341" s="27" t="str">
        <f>IF(Invoices[[#This Row],[Invoice Date]]="","",IF(Invoices[[#This Row],[Terms (days)]]="",Invoices[[#This Row],[Invoice Date]]+Lists!$D$4,Invoices[[#This Row],[Invoice Date]]+Invoices[[#This Row],[Terms (days)]]))</f>
        <v/>
      </c>
      <c r="I341" s="74" t="str">
        <f>IFERROR(Invoices[[#This Row],[Due Date]]-Invoices[[#This Row],[Invoice Date]],"")</f>
        <v/>
      </c>
      <c r="J341" s="27" t="str">
        <f>IFERROR(IF(Invoices[[#This Row],[Days]]="","",IF(Invoices[[#This Row],[Days]]&lt;31,"A",IF(Invoices[[#This Row],[Days]]&lt;31,"B",IF(Invoices[[#This Row],[Days]]&lt;91,"C","D")))),"")</f>
        <v/>
      </c>
    </row>
    <row r="342" spans="2:10" ht="14.1" customHeight="1" x14ac:dyDescent="0.2">
      <c r="B342" s="10"/>
      <c r="C342" s="11"/>
      <c r="E342" s="11"/>
      <c r="G342" s="12"/>
      <c r="H342" s="27" t="str">
        <f>IF(Invoices[[#This Row],[Invoice Date]]="","",IF(Invoices[[#This Row],[Terms (days)]]="",Invoices[[#This Row],[Invoice Date]]+Lists!$D$4,Invoices[[#This Row],[Invoice Date]]+Invoices[[#This Row],[Terms (days)]]))</f>
        <v/>
      </c>
      <c r="I342" s="74" t="str">
        <f>IFERROR(Invoices[[#This Row],[Due Date]]-Invoices[[#This Row],[Invoice Date]],"")</f>
        <v/>
      </c>
      <c r="J342" s="27" t="str">
        <f>IFERROR(IF(Invoices[[#This Row],[Days]]="","",IF(Invoices[[#This Row],[Days]]&lt;31,"A",IF(Invoices[[#This Row],[Days]]&lt;31,"B",IF(Invoices[[#This Row],[Days]]&lt;91,"C","D")))),"")</f>
        <v/>
      </c>
    </row>
    <row r="343" spans="2:10" ht="14.1" customHeight="1" x14ac:dyDescent="0.2">
      <c r="B343" s="10"/>
      <c r="C343" s="11"/>
      <c r="E343" s="11"/>
      <c r="G343" s="12"/>
      <c r="H343" s="27" t="str">
        <f>IF(Invoices[[#This Row],[Invoice Date]]="","",IF(Invoices[[#This Row],[Terms (days)]]="",Invoices[[#This Row],[Invoice Date]]+Lists!$D$4,Invoices[[#This Row],[Invoice Date]]+Invoices[[#This Row],[Terms (days)]]))</f>
        <v/>
      </c>
      <c r="I343" s="74" t="str">
        <f>IFERROR(Invoices[[#This Row],[Due Date]]-Invoices[[#This Row],[Invoice Date]],"")</f>
        <v/>
      </c>
      <c r="J343" s="27" t="str">
        <f>IFERROR(IF(Invoices[[#This Row],[Days]]="","",IF(Invoices[[#This Row],[Days]]&lt;31,"A",IF(Invoices[[#This Row],[Days]]&lt;31,"B",IF(Invoices[[#This Row],[Days]]&lt;91,"C","D")))),"")</f>
        <v/>
      </c>
    </row>
    <row r="344" spans="2:10" ht="14.1" customHeight="1" x14ac:dyDescent="0.2">
      <c r="B344" s="10"/>
      <c r="C344" s="11"/>
      <c r="E344" s="11"/>
      <c r="G344" s="12"/>
      <c r="H344" s="27" t="str">
        <f>IF(Invoices[[#This Row],[Invoice Date]]="","",IF(Invoices[[#This Row],[Terms (days)]]="",Invoices[[#This Row],[Invoice Date]]+Lists!$D$4,Invoices[[#This Row],[Invoice Date]]+Invoices[[#This Row],[Terms (days)]]))</f>
        <v/>
      </c>
      <c r="I344" s="74" t="str">
        <f>IFERROR(Invoices[[#This Row],[Due Date]]-Invoices[[#This Row],[Invoice Date]],"")</f>
        <v/>
      </c>
      <c r="J344" s="27" t="str">
        <f>IFERROR(IF(Invoices[[#This Row],[Days]]="","",IF(Invoices[[#This Row],[Days]]&lt;31,"A",IF(Invoices[[#This Row],[Days]]&lt;31,"B",IF(Invoices[[#This Row],[Days]]&lt;91,"C","D")))),"")</f>
        <v/>
      </c>
    </row>
    <row r="345" spans="2:10" ht="14.1" customHeight="1" x14ac:dyDescent="0.2">
      <c r="B345" s="10"/>
      <c r="C345" s="11"/>
      <c r="E345" s="11"/>
      <c r="G345" s="12"/>
      <c r="H345" s="27" t="str">
        <f>IF(Invoices[[#This Row],[Invoice Date]]="","",IF(Invoices[[#This Row],[Terms (days)]]="",Invoices[[#This Row],[Invoice Date]]+Lists!$D$4,Invoices[[#This Row],[Invoice Date]]+Invoices[[#This Row],[Terms (days)]]))</f>
        <v/>
      </c>
      <c r="I345" s="74" t="str">
        <f>IFERROR(Invoices[[#This Row],[Due Date]]-Invoices[[#This Row],[Invoice Date]],"")</f>
        <v/>
      </c>
      <c r="J345" s="27" t="str">
        <f>IFERROR(IF(Invoices[[#This Row],[Days]]="","",IF(Invoices[[#This Row],[Days]]&lt;31,"A",IF(Invoices[[#This Row],[Days]]&lt;31,"B",IF(Invoices[[#This Row],[Days]]&lt;91,"C","D")))),"")</f>
        <v/>
      </c>
    </row>
    <row r="346" spans="2:10" ht="14.1" customHeight="1" x14ac:dyDescent="0.2">
      <c r="B346" s="10"/>
      <c r="C346" s="11"/>
      <c r="E346" s="11"/>
      <c r="G346" s="12"/>
      <c r="H346" s="27" t="str">
        <f>IF(Invoices[[#This Row],[Invoice Date]]="","",IF(Invoices[[#This Row],[Terms (days)]]="",Invoices[[#This Row],[Invoice Date]]+Lists!$D$4,Invoices[[#This Row],[Invoice Date]]+Invoices[[#This Row],[Terms (days)]]))</f>
        <v/>
      </c>
      <c r="I346" s="74" t="str">
        <f>IFERROR(Invoices[[#This Row],[Due Date]]-Invoices[[#This Row],[Invoice Date]],"")</f>
        <v/>
      </c>
      <c r="J346" s="27" t="str">
        <f>IFERROR(IF(Invoices[[#This Row],[Days]]="","",IF(Invoices[[#This Row],[Days]]&lt;31,"A",IF(Invoices[[#This Row],[Days]]&lt;31,"B",IF(Invoices[[#This Row],[Days]]&lt;91,"C","D")))),"")</f>
        <v/>
      </c>
    </row>
    <row r="347" spans="2:10" ht="14.1" customHeight="1" x14ac:dyDescent="0.2">
      <c r="B347" s="10"/>
      <c r="C347" s="11"/>
      <c r="E347" s="11"/>
      <c r="G347" s="12"/>
      <c r="H347" s="27" t="str">
        <f>IF(Invoices[[#This Row],[Invoice Date]]="","",IF(Invoices[[#This Row],[Terms (days)]]="",Invoices[[#This Row],[Invoice Date]]+Lists!$D$4,Invoices[[#This Row],[Invoice Date]]+Invoices[[#This Row],[Terms (days)]]))</f>
        <v/>
      </c>
      <c r="I347" s="74" t="str">
        <f>IFERROR(Invoices[[#This Row],[Due Date]]-Invoices[[#This Row],[Invoice Date]],"")</f>
        <v/>
      </c>
      <c r="J347" s="27" t="str">
        <f>IFERROR(IF(Invoices[[#This Row],[Days]]="","",IF(Invoices[[#This Row],[Days]]&lt;31,"A",IF(Invoices[[#This Row],[Days]]&lt;31,"B",IF(Invoices[[#This Row],[Days]]&lt;91,"C","D")))),"")</f>
        <v/>
      </c>
    </row>
    <row r="348" spans="2:10" ht="14.1" customHeight="1" x14ac:dyDescent="0.2">
      <c r="B348" s="10"/>
      <c r="C348" s="11"/>
      <c r="E348" s="11"/>
      <c r="G348" s="12"/>
      <c r="H348" s="27" t="str">
        <f>IF(Invoices[[#This Row],[Invoice Date]]="","",IF(Invoices[[#This Row],[Terms (days)]]="",Invoices[[#This Row],[Invoice Date]]+Lists!$D$4,Invoices[[#This Row],[Invoice Date]]+Invoices[[#This Row],[Terms (days)]]))</f>
        <v/>
      </c>
      <c r="I348" s="74" t="str">
        <f>IFERROR(Invoices[[#This Row],[Due Date]]-Invoices[[#This Row],[Invoice Date]],"")</f>
        <v/>
      </c>
      <c r="J348" s="27" t="str">
        <f>IFERROR(IF(Invoices[[#This Row],[Days]]="","",IF(Invoices[[#This Row],[Days]]&lt;31,"A",IF(Invoices[[#This Row],[Days]]&lt;31,"B",IF(Invoices[[#This Row],[Days]]&lt;91,"C","D")))),"")</f>
        <v/>
      </c>
    </row>
    <row r="349" spans="2:10" ht="14.1" customHeight="1" x14ac:dyDescent="0.2">
      <c r="B349" s="10"/>
      <c r="C349" s="11"/>
      <c r="E349" s="11"/>
      <c r="G349" s="12"/>
      <c r="H349" s="27" t="str">
        <f>IF(Invoices[[#This Row],[Invoice Date]]="","",IF(Invoices[[#This Row],[Terms (days)]]="",Invoices[[#This Row],[Invoice Date]]+Lists!$D$4,Invoices[[#This Row],[Invoice Date]]+Invoices[[#This Row],[Terms (days)]]))</f>
        <v/>
      </c>
      <c r="I349" s="74" t="str">
        <f>IFERROR(Invoices[[#This Row],[Due Date]]-Invoices[[#This Row],[Invoice Date]],"")</f>
        <v/>
      </c>
      <c r="J349" s="27" t="str">
        <f>IFERROR(IF(Invoices[[#This Row],[Days]]="","",IF(Invoices[[#This Row],[Days]]&lt;31,"A",IF(Invoices[[#This Row],[Days]]&lt;31,"B",IF(Invoices[[#This Row],[Days]]&lt;91,"C","D")))),"")</f>
        <v/>
      </c>
    </row>
    <row r="350" spans="2:10" ht="14.1" customHeight="1" x14ac:dyDescent="0.2">
      <c r="B350" s="10"/>
      <c r="C350" s="11"/>
      <c r="E350" s="11"/>
      <c r="G350" s="12"/>
      <c r="H350" s="27" t="str">
        <f>IF(Invoices[[#This Row],[Invoice Date]]="","",IF(Invoices[[#This Row],[Terms (days)]]="",Invoices[[#This Row],[Invoice Date]]+Lists!$D$4,Invoices[[#This Row],[Invoice Date]]+Invoices[[#This Row],[Terms (days)]]))</f>
        <v/>
      </c>
      <c r="I350" s="74" t="str">
        <f>IFERROR(Invoices[[#This Row],[Due Date]]-Invoices[[#This Row],[Invoice Date]],"")</f>
        <v/>
      </c>
      <c r="J350" s="27" t="str">
        <f>IFERROR(IF(Invoices[[#This Row],[Days]]="","",IF(Invoices[[#This Row],[Days]]&lt;31,"A",IF(Invoices[[#This Row],[Days]]&lt;31,"B",IF(Invoices[[#This Row],[Days]]&lt;91,"C","D")))),"")</f>
        <v/>
      </c>
    </row>
    <row r="351" spans="2:10" ht="14.1" customHeight="1" x14ac:dyDescent="0.2">
      <c r="B351" s="10"/>
      <c r="C351" s="11"/>
      <c r="E351" s="11"/>
      <c r="G351" s="12"/>
      <c r="H351" s="27" t="str">
        <f>IF(Invoices[[#This Row],[Invoice Date]]="","",IF(Invoices[[#This Row],[Terms (days)]]="",Invoices[[#This Row],[Invoice Date]]+Lists!$D$4,Invoices[[#This Row],[Invoice Date]]+Invoices[[#This Row],[Terms (days)]]))</f>
        <v/>
      </c>
      <c r="I351" s="74" t="str">
        <f>IFERROR(Invoices[[#This Row],[Due Date]]-Invoices[[#This Row],[Invoice Date]],"")</f>
        <v/>
      </c>
      <c r="J351" s="27" t="str">
        <f>IFERROR(IF(Invoices[[#This Row],[Days]]="","",IF(Invoices[[#This Row],[Days]]&lt;31,"A",IF(Invoices[[#This Row],[Days]]&lt;31,"B",IF(Invoices[[#This Row],[Days]]&lt;91,"C","D")))),"")</f>
        <v/>
      </c>
    </row>
    <row r="352" spans="2:10" ht="14.1" customHeight="1" x14ac:dyDescent="0.2">
      <c r="B352" s="10"/>
      <c r="C352" s="11"/>
      <c r="E352" s="11"/>
      <c r="G352" s="12"/>
      <c r="H352" s="27" t="str">
        <f>IF(Invoices[[#This Row],[Invoice Date]]="","",IF(Invoices[[#This Row],[Terms (days)]]="",Invoices[[#This Row],[Invoice Date]]+Lists!$D$4,Invoices[[#This Row],[Invoice Date]]+Invoices[[#This Row],[Terms (days)]]))</f>
        <v/>
      </c>
      <c r="I352" s="74" t="str">
        <f>IFERROR(Invoices[[#This Row],[Due Date]]-Invoices[[#This Row],[Invoice Date]],"")</f>
        <v/>
      </c>
      <c r="J352" s="27" t="str">
        <f>IFERROR(IF(Invoices[[#This Row],[Days]]="","",IF(Invoices[[#This Row],[Days]]&lt;31,"A",IF(Invoices[[#This Row],[Days]]&lt;31,"B",IF(Invoices[[#This Row],[Days]]&lt;91,"C","D")))),"")</f>
        <v/>
      </c>
    </row>
    <row r="353" spans="2:10" ht="14.1" customHeight="1" x14ac:dyDescent="0.2">
      <c r="B353" s="10"/>
      <c r="C353" s="11"/>
      <c r="E353" s="11"/>
      <c r="G353" s="12"/>
      <c r="H353" s="27" t="str">
        <f>IF(Invoices[[#This Row],[Invoice Date]]="","",IF(Invoices[[#This Row],[Terms (days)]]="",Invoices[[#This Row],[Invoice Date]]+Lists!$D$4,Invoices[[#This Row],[Invoice Date]]+Invoices[[#This Row],[Terms (days)]]))</f>
        <v/>
      </c>
      <c r="I353" s="74" t="str">
        <f>IFERROR(Invoices[[#This Row],[Due Date]]-Invoices[[#This Row],[Invoice Date]],"")</f>
        <v/>
      </c>
      <c r="J353" s="27" t="str">
        <f>IFERROR(IF(Invoices[[#This Row],[Days]]="","",IF(Invoices[[#This Row],[Days]]&lt;31,"A",IF(Invoices[[#This Row],[Days]]&lt;31,"B",IF(Invoices[[#This Row],[Days]]&lt;91,"C","D")))),"")</f>
        <v/>
      </c>
    </row>
    <row r="354" spans="2:10" ht="14.1" customHeight="1" x14ac:dyDescent="0.2">
      <c r="B354" s="10"/>
      <c r="C354" s="11"/>
      <c r="E354" s="11"/>
      <c r="G354" s="12"/>
      <c r="H354" s="27" t="str">
        <f>IF(Invoices[[#This Row],[Invoice Date]]="","",IF(Invoices[[#This Row],[Terms (days)]]="",Invoices[[#This Row],[Invoice Date]]+Lists!$D$4,Invoices[[#This Row],[Invoice Date]]+Invoices[[#This Row],[Terms (days)]]))</f>
        <v/>
      </c>
      <c r="I354" s="74" t="str">
        <f>IFERROR(Invoices[[#This Row],[Due Date]]-Invoices[[#This Row],[Invoice Date]],"")</f>
        <v/>
      </c>
      <c r="J354" s="27" t="str">
        <f>IFERROR(IF(Invoices[[#This Row],[Days]]="","",IF(Invoices[[#This Row],[Days]]&lt;31,"A",IF(Invoices[[#This Row],[Days]]&lt;31,"B",IF(Invoices[[#This Row],[Days]]&lt;91,"C","D")))),"")</f>
        <v/>
      </c>
    </row>
    <row r="355" spans="2:10" ht="14.1" customHeight="1" x14ac:dyDescent="0.2">
      <c r="B355" s="10"/>
      <c r="C355" s="11"/>
      <c r="E355" s="11"/>
      <c r="G355" s="12"/>
      <c r="H355" s="27" t="str">
        <f>IF(Invoices[[#This Row],[Invoice Date]]="","",IF(Invoices[[#This Row],[Terms (days)]]="",Invoices[[#This Row],[Invoice Date]]+Lists!$D$4,Invoices[[#This Row],[Invoice Date]]+Invoices[[#This Row],[Terms (days)]]))</f>
        <v/>
      </c>
      <c r="I355" s="74" t="str">
        <f>IFERROR(Invoices[[#This Row],[Due Date]]-Invoices[[#This Row],[Invoice Date]],"")</f>
        <v/>
      </c>
      <c r="J355" s="27" t="str">
        <f>IFERROR(IF(Invoices[[#This Row],[Days]]="","",IF(Invoices[[#This Row],[Days]]&lt;31,"A",IF(Invoices[[#This Row],[Days]]&lt;31,"B",IF(Invoices[[#This Row],[Days]]&lt;91,"C","D")))),"")</f>
        <v/>
      </c>
    </row>
    <row r="356" spans="2:10" ht="14.1" customHeight="1" x14ac:dyDescent="0.2">
      <c r="B356" s="10"/>
      <c r="C356" s="11"/>
      <c r="E356" s="11"/>
      <c r="G356" s="12"/>
      <c r="H356" s="27" t="str">
        <f>IF(Invoices[[#This Row],[Invoice Date]]="","",IF(Invoices[[#This Row],[Terms (days)]]="",Invoices[[#This Row],[Invoice Date]]+Lists!$D$4,Invoices[[#This Row],[Invoice Date]]+Invoices[[#This Row],[Terms (days)]]))</f>
        <v/>
      </c>
      <c r="I356" s="74" t="str">
        <f>IFERROR(Invoices[[#This Row],[Due Date]]-Invoices[[#This Row],[Invoice Date]],"")</f>
        <v/>
      </c>
      <c r="J356" s="27" t="str">
        <f>IFERROR(IF(Invoices[[#This Row],[Days]]="","",IF(Invoices[[#This Row],[Days]]&lt;31,"A",IF(Invoices[[#This Row],[Days]]&lt;31,"B",IF(Invoices[[#This Row],[Days]]&lt;91,"C","D")))),"")</f>
        <v/>
      </c>
    </row>
    <row r="357" spans="2:10" ht="14.1" customHeight="1" x14ac:dyDescent="0.2">
      <c r="B357" s="10"/>
      <c r="C357" s="11"/>
      <c r="E357" s="11"/>
      <c r="G357" s="12"/>
      <c r="H357" s="27" t="str">
        <f>IF(Invoices[[#This Row],[Invoice Date]]="","",IF(Invoices[[#This Row],[Terms (days)]]="",Invoices[[#This Row],[Invoice Date]]+Lists!$D$4,Invoices[[#This Row],[Invoice Date]]+Invoices[[#This Row],[Terms (days)]]))</f>
        <v/>
      </c>
      <c r="I357" s="74" t="str">
        <f>IFERROR(Invoices[[#This Row],[Due Date]]-Invoices[[#This Row],[Invoice Date]],"")</f>
        <v/>
      </c>
      <c r="J357" s="27" t="str">
        <f>IFERROR(IF(Invoices[[#This Row],[Days]]="","",IF(Invoices[[#This Row],[Days]]&lt;31,"A",IF(Invoices[[#This Row],[Days]]&lt;31,"B",IF(Invoices[[#This Row],[Days]]&lt;91,"C","D")))),"")</f>
        <v/>
      </c>
    </row>
    <row r="358" spans="2:10" ht="14.1" customHeight="1" x14ac:dyDescent="0.2">
      <c r="B358" s="10"/>
      <c r="C358" s="11"/>
      <c r="E358" s="11"/>
      <c r="G358" s="12"/>
      <c r="H358" s="27" t="str">
        <f>IF(Invoices[[#This Row],[Invoice Date]]="","",IF(Invoices[[#This Row],[Terms (days)]]="",Invoices[[#This Row],[Invoice Date]]+Lists!$D$4,Invoices[[#This Row],[Invoice Date]]+Invoices[[#This Row],[Terms (days)]]))</f>
        <v/>
      </c>
      <c r="I358" s="74" t="str">
        <f>IFERROR(Invoices[[#This Row],[Due Date]]-Invoices[[#This Row],[Invoice Date]],"")</f>
        <v/>
      </c>
      <c r="J358" s="27" t="str">
        <f>IFERROR(IF(Invoices[[#This Row],[Days]]="","",IF(Invoices[[#This Row],[Days]]&lt;31,"A",IF(Invoices[[#This Row],[Days]]&lt;31,"B",IF(Invoices[[#This Row],[Days]]&lt;91,"C","D")))),"")</f>
        <v/>
      </c>
    </row>
    <row r="359" spans="2:10" ht="14.1" customHeight="1" x14ac:dyDescent="0.2">
      <c r="B359" s="10"/>
      <c r="C359" s="11"/>
      <c r="E359" s="11"/>
      <c r="G359" s="12"/>
      <c r="H359" s="27" t="str">
        <f>IF(Invoices[[#This Row],[Invoice Date]]="","",IF(Invoices[[#This Row],[Terms (days)]]="",Invoices[[#This Row],[Invoice Date]]+Lists!$D$4,Invoices[[#This Row],[Invoice Date]]+Invoices[[#This Row],[Terms (days)]]))</f>
        <v/>
      </c>
      <c r="I359" s="74" t="str">
        <f>IFERROR(Invoices[[#This Row],[Due Date]]-Invoices[[#This Row],[Invoice Date]],"")</f>
        <v/>
      </c>
      <c r="J359" s="27" t="str">
        <f>IFERROR(IF(Invoices[[#This Row],[Days]]="","",IF(Invoices[[#This Row],[Days]]&lt;31,"A",IF(Invoices[[#This Row],[Days]]&lt;31,"B",IF(Invoices[[#This Row],[Days]]&lt;91,"C","D")))),"")</f>
        <v/>
      </c>
    </row>
    <row r="360" spans="2:10" ht="14.1" customHeight="1" x14ac:dyDescent="0.2">
      <c r="B360" s="10"/>
      <c r="C360" s="11"/>
      <c r="E360" s="11"/>
      <c r="G360" s="12"/>
      <c r="H360" s="27" t="str">
        <f>IF(Invoices[[#This Row],[Invoice Date]]="","",IF(Invoices[[#This Row],[Terms (days)]]="",Invoices[[#This Row],[Invoice Date]]+Lists!$D$4,Invoices[[#This Row],[Invoice Date]]+Invoices[[#This Row],[Terms (days)]]))</f>
        <v/>
      </c>
      <c r="I360" s="74" t="str">
        <f>IFERROR(Invoices[[#This Row],[Due Date]]-Invoices[[#This Row],[Invoice Date]],"")</f>
        <v/>
      </c>
      <c r="J360" s="27" t="str">
        <f>IFERROR(IF(Invoices[[#This Row],[Days]]="","",IF(Invoices[[#This Row],[Days]]&lt;31,"A",IF(Invoices[[#This Row],[Days]]&lt;31,"B",IF(Invoices[[#This Row],[Days]]&lt;91,"C","D")))),"")</f>
        <v/>
      </c>
    </row>
    <row r="361" spans="2:10" ht="14.1" customHeight="1" x14ac:dyDescent="0.2">
      <c r="B361" s="10"/>
      <c r="C361" s="11"/>
      <c r="E361" s="11"/>
      <c r="G361" s="12"/>
      <c r="H361" s="27" t="str">
        <f>IF(Invoices[[#This Row],[Invoice Date]]="","",IF(Invoices[[#This Row],[Terms (days)]]="",Invoices[[#This Row],[Invoice Date]]+Lists!$D$4,Invoices[[#This Row],[Invoice Date]]+Invoices[[#This Row],[Terms (days)]]))</f>
        <v/>
      </c>
      <c r="I361" s="74" t="str">
        <f>IFERROR(Invoices[[#This Row],[Due Date]]-Invoices[[#This Row],[Invoice Date]],"")</f>
        <v/>
      </c>
      <c r="J361" s="27" t="str">
        <f>IFERROR(IF(Invoices[[#This Row],[Days]]="","",IF(Invoices[[#This Row],[Days]]&lt;31,"A",IF(Invoices[[#This Row],[Days]]&lt;31,"B",IF(Invoices[[#This Row],[Days]]&lt;91,"C","D")))),"")</f>
        <v/>
      </c>
    </row>
    <row r="362" spans="2:10" ht="14.1" customHeight="1" x14ac:dyDescent="0.2">
      <c r="B362" s="10"/>
      <c r="C362" s="11"/>
      <c r="E362" s="11"/>
      <c r="G362" s="12"/>
      <c r="H362" s="27" t="str">
        <f>IF(Invoices[[#This Row],[Invoice Date]]="","",IF(Invoices[[#This Row],[Terms (days)]]="",Invoices[[#This Row],[Invoice Date]]+Lists!$D$4,Invoices[[#This Row],[Invoice Date]]+Invoices[[#This Row],[Terms (days)]]))</f>
        <v/>
      </c>
      <c r="I362" s="74" t="str">
        <f>IFERROR(Invoices[[#This Row],[Due Date]]-Invoices[[#This Row],[Invoice Date]],"")</f>
        <v/>
      </c>
      <c r="J362" s="27" t="str">
        <f>IFERROR(IF(Invoices[[#This Row],[Days]]="","",IF(Invoices[[#This Row],[Days]]&lt;31,"A",IF(Invoices[[#This Row],[Days]]&lt;31,"B",IF(Invoices[[#This Row],[Days]]&lt;91,"C","D")))),"")</f>
        <v/>
      </c>
    </row>
    <row r="363" spans="2:10" ht="14.1" customHeight="1" x14ac:dyDescent="0.2">
      <c r="B363" s="10"/>
      <c r="C363" s="11"/>
      <c r="E363" s="11"/>
      <c r="G363" s="12"/>
      <c r="H363" s="27" t="str">
        <f>IF(Invoices[[#This Row],[Invoice Date]]="","",IF(Invoices[[#This Row],[Terms (days)]]="",Invoices[[#This Row],[Invoice Date]]+Lists!$D$4,Invoices[[#This Row],[Invoice Date]]+Invoices[[#This Row],[Terms (days)]]))</f>
        <v/>
      </c>
      <c r="I363" s="74" t="str">
        <f>IFERROR(Invoices[[#This Row],[Due Date]]-Invoices[[#This Row],[Invoice Date]],"")</f>
        <v/>
      </c>
      <c r="J363" s="27" t="str">
        <f>IFERROR(IF(Invoices[[#This Row],[Days]]="","",IF(Invoices[[#This Row],[Days]]&lt;31,"A",IF(Invoices[[#This Row],[Days]]&lt;31,"B",IF(Invoices[[#This Row],[Days]]&lt;91,"C","D")))),"")</f>
        <v/>
      </c>
    </row>
    <row r="364" spans="2:10" ht="14.1" customHeight="1" x14ac:dyDescent="0.2">
      <c r="B364" s="10"/>
      <c r="C364" s="11"/>
      <c r="E364" s="11"/>
      <c r="G364" s="12"/>
      <c r="H364" s="27" t="str">
        <f>IF(Invoices[[#This Row],[Invoice Date]]="","",IF(Invoices[[#This Row],[Terms (days)]]="",Invoices[[#This Row],[Invoice Date]]+Lists!$D$4,Invoices[[#This Row],[Invoice Date]]+Invoices[[#This Row],[Terms (days)]]))</f>
        <v/>
      </c>
      <c r="I364" s="74" t="str">
        <f>IFERROR(Invoices[[#This Row],[Due Date]]-Invoices[[#This Row],[Invoice Date]],"")</f>
        <v/>
      </c>
      <c r="J364" s="27" t="str">
        <f>IFERROR(IF(Invoices[[#This Row],[Days]]="","",IF(Invoices[[#This Row],[Days]]&lt;31,"A",IF(Invoices[[#This Row],[Days]]&lt;31,"B",IF(Invoices[[#This Row],[Days]]&lt;91,"C","D")))),"")</f>
        <v/>
      </c>
    </row>
    <row r="365" spans="2:10" ht="14.1" customHeight="1" x14ac:dyDescent="0.2">
      <c r="B365" s="10"/>
      <c r="C365" s="11"/>
      <c r="E365" s="11"/>
      <c r="G365" s="12"/>
      <c r="H365" s="27" t="str">
        <f>IF(Invoices[[#This Row],[Invoice Date]]="","",IF(Invoices[[#This Row],[Terms (days)]]="",Invoices[[#This Row],[Invoice Date]]+Lists!$D$4,Invoices[[#This Row],[Invoice Date]]+Invoices[[#This Row],[Terms (days)]]))</f>
        <v/>
      </c>
      <c r="I365" s="74" t="str">
        <f>IFERROR(Invoices[[#This Row],[Due Date]]-Invoices[[#This Row],[Invoice Date]],"")</f>
        <v/>
      </c>
      <c r="J365" s="27" t="str">
        <f>IFERROR(IF(Invoices[[#This Row],[Days]]="","",IF(Invoices[[#This Row],[Days]]&lt;31,"A",IF(Invoices[[#This Row],[Days]]&lt;31,"B",IF(Invoices[[#This Row],[Days]]&lt;91,"C","D")))),"")</f>
        <v/>
      </c>
    </row>
    <row r="366" spans="2:10" ht="14.1" customHeight="1" x14ac:dyDescent="0.2">
      <c r="B366" s="10"/>
      <c r="C366" s="11"/>
      <c r="E366" s="11"/>
      <c r="G366" s="12"/>
      <c r="H366" s="27" t="str">
        <f>IF(Invoices[[#This Row],[Invoice Date]]="","",IF(Invoices[[#This Row],[Terms (days)]]="",Invoices[[#This Row],[Invoice Date]]+Lists!$D$4,Invoices[[#This Row],[Invoice Date]]+Invoices[[#This Row],[Terms (days)]]))</f>
        <v/>
      </c>
      <c r="I366" s="74" t="str">
        <f>IFERROR(Invoices[[#This Row],[Due Date]]-Invoices[[#This Row],[Invoice Date]],"")</f>
        <v/>
      </c>
      <c r="J366" s="27" t="str">
        <f>IFERROR(IF(Invoices[[#This Row],[Days]]="","",IF(Invoices[[#This Row],[Days]]&lt;31,"A",IF(Invoices[[#This Row],[Days]]&lt;31,"B",IF(Invoices[[#This Row],[Days]]&lt;91,"C","D")))),"")</f>
        <v/>
      </c>
    </row>
    <row r="367" spans="2:10" ht="14.1" customHeight="1" x14ac:dyDescent="0.2">
      <c r="B367" s="10"/>
      <c r="C367" s="11"/>
      <c r="E367" s="11"/>
      <c r="G367" s="12"/>
      <c r="H367" s="27" t="str">
        <f>IF(Invoices[[#This Row],[Invoice Date]]="","",IF(Invoices[[#This Row],[Terms (days)]]="",Invoices[[#This Row],[Invoice Date]]+Lists!$D$4,Invoices[[#This Row],[Invoice Date]]+Invoices[[#This Row],[Terms (days)]]))</f>
        <v/>
      </c>
      <c r="I367" s="74" t="str">
        <f>IFERROR(Invoices[[#This Row],[Due Date]]-Invoices[[#This Row],[Invoice Date]],"")</f>
        <v/>
      </c>
      <c r="J367" s="27" t="str">
        <f>IFERROR(IF(Invoices[[#This Row],[Days]]="","",IF(Invoices[[#This Row],[Days]]&lt;31,"A",IF(Invoices[[#This Row],[Days]]&lt;31,"B",IF(Invoices[[#This Row],[Days]]&lt;91,"C","D")))),"")</f>
        <v/>
      </c>
    </row>
    <row r="368" spans="2:10" ht="14.1" customHeight="1" x14ac:dyDescent="0.2">
      <c r="B368" s="10"/>
      <c r="C368" s="11"/>
      <c r="E368" s="11"/>
      <c r="G368" s="12"/>
      <c r="H368" s="27" t="str">
        <f>IF(Invoices[[#This Row],[Invoice Date]]="","",IF(Invoices[[#This Row],[Terms (days)]]="",Invoices[[#This Row],[Invoice Date]]+Lists!$D$4,Invoices[[#This Row],[Invoice Date]]+Invoices[[#This Row],[Terms (days)]]))</f>
        <v/>
      </c>
      <c r="I368" s="74" t="str">
        <f>IFERROR(Invoices[[#This Row],[Due Date]]-Invoices[[#This Row],[Invoice Date]],"")</f>
        <v/>
      </c>
      <c r="J368" s="27" t="str">
        <f>IFERROR(IF(Invoices[[#This Row],[Days]]="","",IF(Invoices[[#This Row],[Days]]&lt;31,"A",IF(Invoices[[#This Row],[Days]]&lt;31,"B",IF(Invoices[[#This Row],[Days]]&lt;91,"C","D")))),"")</f>
        <v/>
      </c>
    </row>
    <row r="369" spans="2:10" ht="14.1" customHeight="1" x14ac:dyDescent="0.2">
      <c r="B369" s="10"/>
      <c r="C369" s="11"/>
      <c r="E369" s="11"/>
      <c r="G369" s="12"/>
      <c r="H369" s="27" t="str">
        <f>IF(Invoices[[#This Row],[Invoice Date]]="","",IF(Invoices[[#This Row],[Terms (days)]]="",Invoices[[#This Row],[Invoice Date]]+Lists!$D$4,Invoices[[#This Row],[Invoice Date]]+Invoices[[#This Row],[Terms (days)]]))</f>
        <v/>
      </c>
      <c r="I369" s="74" t="str">
        <f>IFERROR(Invoices[[#This Row],[Due Date]]-Invoices[[#This Row],[Invoice Date]],"")</f>
        <v/>
      </c>
      <c r="J369" s="27" t="str">
        <f>IFERROR(IF(Invoices[[#This Row],[Days]]="","",IF(Invoices[[#This Row],[Days]]&lt;31,"A",IF(Invoices[[#This Row],[Days]]&lt;31,"B",IF(Invoices[[#This Row],[Days]]&lt;91,"C","D")))),"")</f>
        <v/>
      </c>
    </row>
    <row r="370" spans="2:10" ht="14.1" customHeight="1" x14ac:dyDescent="0.2">
      <c r="B370" s="10"/>
      <c r="C370" s="11"/>
      <c r="E370" s="11"/>
      <c r="G370" s="12"/>
      <c r="H370" s="27" t="str">
        <f>IF(Invoices[[#This Row],[Invoice Date]]="","",IF(Invoices[[#This Row],[Terms (days)]]="",Invoices[[#This Row],[Invoice Date]]+Lists!$D$4,Invoices[[#This Row],[Invoice Date]]+Invoices[[#This Row],[Terms (days)]]))</f>
        <v/>
      </c>
      <c r="I370" s="74" t="str">
        <f>IFERROR(Invoices[[#This Row],[Due Date]]-Invoices[[#This Row],[Invoice Date]],"")</f>
        <v/>
      </c>
      <c r="J370" s="27" t="str">
        <f>IFERROR(IF(Invoices[[#This Row],[Days]]="","",IF(Invoices[[#This Row],[Days]]&lt;31,"A",IF(Invoices[[#This Row],[Days]]&lt;31,"B",IF(Invoices[[#This Row],[Days]]&lt;91,"C","D")))),"")</f>
        <v/>
      </c>
    </row>
    <row r="371" spans="2:10" ht="14.1" customHeight="1" x14ac:dyDescent="0.2">
      <c r="B371" s="10"/>
      <c r="C371" s="11"/>
      <c r="E371" s="11"/>
      <c r="G371" s="12"/>
      <c r="H371" s="27" t="str">
        <f>IF(Invoices[[#This Row],[Invoice Date]]="","",IF(Invoices[[#This Row],[Terms (days)]]="",Invoices[[#This Row],[Invoice Date]]+Lists!$D$4,Invoices[[#This Row],[Invoice Date]]+Invoices[[#This Row],[Terms (days)]]))</f>
        <v/>
      </c>
      <c r="I371" s="74" t="str">
        <f>IFERROR(Invoices[[#This Row],[Due Date]]-Invoices[[#This Row],[Invoice Date]],"")</f>
        <v/>
      </c>
      <c r="J371" s="27" t="str">
        <f>IFERROR(IF(Invoices[[#This Row],[Days]]="","",IF(Invoices[[#This Row],[Days]]&lt;31,"A",IF(Invoices[[#This Row],[Days]]&lt;31,"B",IF(Invoices[[#This Row],[Days]]&lt;91,"C","D")))),"")</f>
        <v/>
      </c>
    </row>
    <row r="372" spans="2:10" ht="14.1" customHeight="1" x14ac:dyDescent="0.2">
      <c r="B372" s="10"/>
      <c r="C372" s="11"/>
      <c r="E372" s="11"/>
      <c r="G372" s="12"/>
      <c r="H372" s="27" t="str">
        <f>IF(Invoices[[#This Row],[Invoice Date]]="","",IF(Invoices[[#This Row],[Terms (days)]]="",Invoices[[#This Row],[Invoice Date]]+Lists!$D$4,Invoices[[#This Row],[Invoice Date]]+Invoices[[#This Row],[Terms (days)]]))</f>
        <v/>
      </c>
      <c r="I372" s="74" t="str">
        <f>IFERROR(Invoices[[#This Row],[Due Date]]-Invoices[[#This Row],[Invoice Date]],"")</f>
        <v/>
      </c>
      <c r="J372" s="27" t="str">
        <f>IFERROR(IF(Invoices[[#This Row],[Days]]="","",IF(Invoices[[#This Row],[Days]]&lt;31,"A",IF(Invoices[[#This Row],[Days]]&lt;31,"B",IF(Invoices[[#This Row],[Days]]&lt;91,"C","D")))),"")</f>
        <v/>
      </c>
    </row>
    <row r="373" spans="2:10" ht="14.1" customHeight="1" x14ac:dyDescent="0.2">
      <c r="B373" s="10"/>
      <c r="C373" s="11"/>
      <c r="E373" s="11"/>
      <c r="G373" s="12"/>
      <c r="H373" s="27" t="str">
        <f>IF(Invoices[[#This Row],[Invoice Date]]="","",IF(Invoices[[#This Row],[Terms (days)]]="",Invoices[[#This Row],[Invoice Date]]+Lists!$D$4,Invoices[[#This Row],[Invoice Date]]+Invoices[[#This Row],[Terms (days)]]))</f>
        <v/>
      </c>
      <c r="I373" s="74" t="str">
        <f>IFERROR(Invoices[[#This Row],[Due Date]]-Invoices[[#This Row],[Invoice Date]],"")</f>
        <v/>
      </c>
      <c r="J373" s="27" t="str">
        <f>IFERROR(IF(Invoices[[#This Row],[Days]]="","",IF(Invoices[[#This Row],[Days]]&lt;31,"A",IF(Invoices[[#This Row],[Days]]&lt;31,"B",IF(Invoices[[#This Row],[Days]]&lt;91,"C","D")))),"")</f>
        <v/>
      </c>
    </row>
    <row r="374" spans="2:10" ht="14.1" customHeight="1" x14ac:dyDescent="0.2">
      <c r="B374" s="10"/>
      <c r="C374" s="11"/>
      <c r="E374" s="11"/>
      <c r="G374" s="12"/>
      <c r="H374" s="27" t="str">
        <f>IF(Invoices[[#This Row],[Invoice Date]]="","",IF(Invoices[[#This Row],[Terms (days)]]="",Invoices[[#This Row],[Invoice Date]]+Lists!$D$4,Invoices[[#This Row],[Invoice Date]]+Invoices[[#This Row],[Terms (days)]]))</f>
        <v/>
      </c>
      <c r="I374" s="74" t="str">
        <f>IFERROR(Invoices[[#This Row],[Due Date]]-Invoices[[#This Row],[Invoice Date]],"")</f>
        <v/>
      </c>
      <c r="J374" s="27" t="str">
        <f>IFERROR(IF(Invoices[[#This Row],[Days]]="","",IF(Invoices[[#This Row],[Days]]&lt;31,"A",IF(Invoices[[#This Row],[Days]]&lt;31,"B",IF(Invoices[[#This Row],[Days]]&lt;91,"C","D")))),"")</f>
        <v/>
      </c>
    </row>
    <row r="375" spans="2:10" ht="14.1" customHeight="1" x14ac:dyDescent="0.2">
      <c r="B375" s="10"/>
      <c r="C375" s="11"/>
      <c r="E375" s="11"/>
      <c r="G375" s="12"/>
      <c r="H375" s="27" t="str">
        <f>IF(Invoices[[#This Row],[Invoice Date]]="","",IF(Invoices[[#This Row],[Terms (days)]]="",Invoices[[#This Row],[Invoice Date]]+Lists!$D$4,Invoices[[#This Row],[Invoice Date]]+Invoices[[#This Row],[Terms (days)]]))</f>
        <v/>
      </c>
      <c r="I375" s="74" t="str">
        <f>IFERROR(Invoices[[#This Row],[Due Date]]-Invoices[[#This Row],[Invoice Date]],"")</f>
        <v/>
      </c>
      <c r="J375" s="27" t="str">
        <f>IFERROR(IF(Invoices[[#This Row],[Days]]="","",IF(Invoices[[#This Row],[Days]]&lt;31,"A",IF(Invoices[[#This Row],[Days]]&lt;31,"B",IF(Invoices[[#This Row],[Days]]&lt;91,"C","D")))),"")</f>
        <v/>
      </c>
    </row>
    <row r="376" spans="2:10" ht="14.1" customHeight="1" x14ac:dyDescent="0.2">
      <c r="B376" s="10"/>
      <c r="C376" s="11"/>
      <c r="E376" s="11"/>
      <c r="G376" s="12"/>
      <c r="H376" s="27" t="str">
        <f>IF(Invoices[[#This Row],[Invoice Date]]="","",IF(Invoices[[#This Row],[Terms (days)]]="",Invoices[[#This Row],[Invoice Date]]+Lists!$D$4,Invoices[[#This Row],[Invoice Date]]+Invoices[[#This Row],[Terms (days)]]))</f>
        <v/>
      </c>
      <c r="I376" s="74" t="str">
        <f>IFERROR(Invoices[[#This Row],[Due Date]]-Invoices[[#This Row],[Invoice Date]],"")</f>
        <v/>
      </c>
      <c r="J376" s="27" t="str">
        <f>IFERROR(IF(Invoices[[#This Row],[Days]]="","",IF(Invoices[[#This Row],[Days]]&lt;31,"A",IF(Invoices[[#This Row],[Days]]&lt;31,"B",IF(Invoices[[#This Row],[Days]]&lt;91,"C","D")))),"")</f>
        <v/>
      </c>
    </row>
    <row r="377" spans="2:10" ht="14.1" customHeight="1" x14ac:dyDescent="0.2">
      <c r="B377" s="10"/>
      <c r="C377" s="11"/>
      <c r="E377" s="11"/>
      <c r="G377" s="12"/>
      <c r="H377" s="27" t="str">
        <f>IF(Invoices[[#This Row],[Invoice Date]]="","",IF(Invoices[[#This Row],[Terms (days)]]="",Invoices[[#This Row],[Invoice Date]]+Lists!$D$4,Invoices[[#This Row],[Invoice Date]]+Invoices[[#This Row],[Terms (days)]]))</f>
        <v/>
      </c>
      <c r="I377" s="74" t="str">
        <f>IFERROR(Invoices[[#This Row],[Due Date]]-Invoices[[#This Row],[Invoice Date]],"")</f>
        <v/>
      </c>
      <c r="J377" s="27" t="str">
        <f>IFERROR(IF(Invoices[[#This Row],[Days]]="","",IF(Invoices[[#This Row],[Days]]&lt;31,"A",IF(Invoices[[#This Row],[Days]]&lt;31,"B",IF(Invoices[[#This Row],[Days]]&lt;91,"C","D")))),"")</f>
        <v/>
      </c>
    </row>
    <row r="378" spans="2:10" ht="14.1" customHeight="1" x14ac:dyDescent="0.2">
      <c r="B378" s="10"/>
      <c r="C378" s="11"/>
      <c r="E378" s="11"/>
      <c r="G378" s="12"/>
      <c r="H378" s="27" t="str">
        <f>IF(Invoices[[#This Row],[Invoice Date]]="","",IF(Invoices[[#This Row],[Terms (days)]]="",Invoices[[#This Row],[Invoice Date]]+Lists!$D$4,Invoices[[#This Row],[Invoice Date]]+Invoices[[#This Row],[Terms (days)]]))</f>
        <v/>
      </c>
      <c r="I378" s="74" t="str">
        <f>IFERROR(Invoices[[#This Row],[Due Date]]-Invoices[[#This Row],[Invoice Date]],"")</f>
        <v/>
      </c>
      <c r="J378" s="27" t="str">
        <f>IFERROR(IF(Invoices[[#This Row],[Days]]="","",IF(Invoices[[#This Row],[Days]]&lt;31,"A",IF(Invoices[[#This Row],[Days]]&lt;31,"B",IF(Invoices[[#This Row],[Days]]&lt;91,"C","D")))),"")</f>
        <v/>
      </c>
    </row>
    <row r="379" spans="2:10" ht="14.1" customHeight="1" x14ac:dyDescent="0.2">
      <c r="B379" s="10"/>
      <c r="C379" s="11"/>
      <c r="E379" s="11"/>
      <c r="G379" s="12"/>
      <c r="H379" s="27" t="str">
        <f>IF(Invoices[[#This Row],[Invoice Date]]="","",IF(Invoices[[#This Row],[Terms (days)]]="",Invoices[[#This Row],[Invoice Date]]+Lists!$D$4,Invoices[[#This Row],[Invoice Date]]+Invoices[[#This Row],[Terms (days)]]))</f>
        <v/>
      </c>
      <c r="I379" s="74" t="str">
        <f>IFERROR(Invoices[[#This Row],[Due Date]]-Invoices[[#This Row],[Invoice Date]],"")</f>
        <v/>
      </c>
      <c r="J379" s="27" t="str">
        <f>IFERROR(IF(Invoices[[#This Row],[Days]]="","",IF(Invoices[[#This Row],[Days]]&lt;31,"A",IF(Invoices[[#This Row],[Days]]&lt;31,"B",IF(Invoices[[#This Row],[Days]]&lt;91,"C","D")))),"")</f>
        <v/>
      </c>
    </row>
    <row r="380" spans="2:10" ht="14.1" customHeight="1" x14ac:dyDescent="0.2">
      <c r="B380" s="10"/>
      <c r="C380" s="11"/>
      <c r="E380" s="11"/>
      <c r="G380" s="12"/>
      <c r="H380" s="27" t="str">
        <f>IF(Invoices[[#This Row],[Invoice Date]]="","",IF(Invoices[[#This Row],[Terms (days)]]="",Invoices[[#This Row],[Invoice Date]]+Lists!$D$4,Invoices[[#This Row],[Invoice Date]]+Invoices[[#This Row],[Terms (days)]]))</f>
        <v/>
      </c>
      <c r="I380" s="74" t="str">
        <f>IFERROR(Invoices[[#This Row],[Due Date]]-Invoices[[#This Row],[Invoice Date]],"")</f>
        <v/>
      </c>
      <c r="J380" s="27" t="str">
        <f>IFERROR(IF(Invoices[[#This Row],[Days]]="","",IF(Invoices[[#This Row],[Days]]&lt;31,"A",IF(Invoices[[#This Row],[Days]]&lt;31,"B",IF(Invoices[[#This Row],[Days]]&lt;91,"C","D")))),"")</f>
        <v/>
      </c>
    </row>
    <row r="381" spans="2:10" ht="14.1" customHeight="1" x14ac:dyDescent="0.2">
      <c r="B381" s="10"/>
      <c r="C381" s="11"/>
      <c r="E381" s="11"/>
      <c r="G381" s="12"/>
      <c r="H381" s="27" t="str">
        <f>IF(Invoices[[#This Row],[Invoice Date]]="","",IF(Invoices[[#This Row],[Terms (days)]]="",Invoices[[#This Row],[Invoice Date]]+Lists!$D$4,Invoices[[#This Row],[Invoice Date]]+Invoices[[#This Row],[Terms (days)]]))</f>
        <v/>
      </c>
      <c r="I381" s="74" t="str">
        <f>IFERROR(Invoices[[#This Row],[Due Date]]-Invoices[[#This Row],[Invoice Date]],"")</f>
        <v/>
      </c>
      <c r="J381" s="27" t="str">
        <f>IFERROR(IF(Invoices[[#This Row],[Days]]="","",IF(Invoices[[#This Row],[Days]]&lt;31,"A",IF(Invoices[[#This Row],[Days]]&lt;31,"B",IF(Invoices[[#This Row],[Days]]&lt;91,"C","D")))),"")</f>
        <v/>
      </c>
    </row>
    <row r="382" spans="2:10" ht="14.1" customHeight="1" x14ac:dyDescent="0.2">
      <c r="B382" s="10"/>
      <c r="C382" s="11"/>
      <c r="E382" s="11"/>
      <c r="G382" s="12"/>
      <c r="H382" s="27" t="str">
        <f>IF(Invoices[[#This Row],[Invoice Date]]="","",IF(Invoices[[#This Row],[Terms (days)]]="",Invoices[[#This Row],[Invoice Date]]+Lists!$D$4,Invoices[[#This Row],[Invoice Date]]+Invoices[[#This Row],[Terms (days)]]))</f>
        <v/>
      </c>
      <c r="I382" s="74" t="str">
        <f>IFERROR(Invoices[[#This Row],[Due Date]]-Invoices[[#This Row],[Invoice Date]],"")</f>
        <v/>
      </c>
      <c r="J382" s="27" t="str">
        <f>IFERROR(IF(Invoices[[#This Row],[Days]]="","",IF(Invoices[[#This Row],[Days]]&lt;31,"A",IF(Invoices[[#This Row],[Days]]&lt;31,"B",IF(Invoices[[#This Row],[Days]]&lt;91,"C","D")))),"")</f>
        <v/>
      </c>
    </row>
    <row r="383" spans="2:10" ht="14.1" customHeight="1" x14ac:dyDescent="0.2">
      <c r="B383" s="10"/>
      <c r="C383" s="11"/>
      <c r="E383" s="11"/>
      <c r="G383" s="12"/>
      <c r="H383" s="27" t="str">
        <f>IF(Invoices[[#This Row],[Invoice Date]]="","",IF(Invoices[[#This Row],[Terms (days)]]="",Invoices[[#This Row],[Invoice Date]]+Lists!$D$4,Invoices[[#This Row],[Invoice Date]]+Invoices[[#This Row],[Terms (days)]]))</f>
        <v/>
      </c>
      <c r="I383" s="74" t="str">
        <f>IFERROR(Invoices[[#This Row],[Due Date]]-Invoices[[#This Row],[Invoice Date]],"")</f>
        <v/>
      </c>
      <c r="J383" s="27" t="str">
        <f>IFERROR(IF(Invoices[[#This Row],[Days]]="","",IF(Invoices[[#This Row],[Days]]&lt;31,"A",IF(Invoices[[#This Row],[Days]]&lt;31,"B",IF(Invoices[[#This Row],[Days]]&lt;91,"C","D")))),"")</f>
        <v/>
      </c>
    </row>
    <row r="384" spans="2:10" ht="14.1" customHeight="1" x14ac:dyDescent="0.2">
      <c r="B384" s="10"/>
      <c r="C384" s="11"/>
      <c r="E384" s="11"/>
      <c r="G384" s="12"/>
      <c r="H384" s="27" t="str">
        <f>IF(Invoices[[#This Row],[Invoice Date]]="","",IF(Invoices[[#This Row],[Terms (days)]]="",Invoices[[#This Row],[Invoice Date]]+Lists!$D$4,Invoices[[#This Row],[Invoice Date]]+Invoices[[#This Row],[Terms (days)]]))</f>
        <v/>
      </c>
      <c r="I384" s="74" t="str">
        <f>IFERROR(Invoices[[#This Row],[Due Date]]-Invoices[[#This Row],[Invoice Date]],"")</f>
        <v/>
      </c>
      <c r="J384" s="27" t="str">
        <f>IFERROR(IF(Invoices[[#This Row],[Days]]="","",IF(Invoices[[#This Row],[Days]]&lt;31,"A",IF(Invoices[[#This Row],[Days]]&lt;31,"B",IF(Invoices[[#This Row],[Days]]&lt;91,"C","D")))),"")</f>
        <v/>
      </c>
    </row>
    <row r="385" spans="2:10" ht="14.1" customHeight="1" x14ac:dyDescent="0.2">
      <c r="B385" s="10"/>
      <c r="C385" s="11"/>
      <c r="E385" s="11"/>
      <c r="G385" s="12"/>
      <c r="H385" s="27" t="str">
        <f>IF(Invoices[[#This Row],[Invoice Date]]="","",IF(Invoices[[#This Row],[Terms (days)]]="",Invoices[[#This Row],[Invoice Date]]+Lists!$D$4,Invoices[[#This Row],[Invoice Date]]+Invoices[[#This Row],[Terms (days)]]))</f>
        <v/>
      </c>
      <c r="I385" s="74" t="str">
        <f>IFERROR(Invoices[[#This Row],[Due Date]]-Invoices[[#This Row],[Invoice Date]],"")</f>
        <v/>
      </c>
      <c r="J385" s="27" t="str">
        <f>IFERROR(IF(Invoices[[#This Row],[Days]]="","",IF(Invoices[[#This Row],[Days]]&lt;31,"A",IF(Invoices[[#This Row],[Days]]&lt;31,"B",IF(Invoices[[#This Row],[Days]]&lt;91,"C","D")))),"")</f>
        <v/>
      </c>
    </row>
    <row r="386" spans="2:10" ht="14.1" customHeight="1" x14ac:dyDescent="0.2">
      <c r="B386" s="10"/>
      <c r="C386" s="11"/>
      <c r="E386" s="11"/>
      <c r="G386" s="12"/>
      <c r="H386" s="27" t="str">
        <f>IF(Invoices[[#This Row],[Invoice Date]]="","",IF(Invoices[[#This Row],[Terms (days)]]="",Invoices[[#This Row],[Invoice Date]]+Lists!$D$4,Invoices[[#This Row],[Invoice Date]]+Invoices[[#This Row],[Terms (days)]]))</f>
        <v/>
      </c>
      <c r="I386" s="74" t="str">
        <f>IFERROR(Invoices[[#This Row],[Due Date]]-Invoices[[#This Row],[Invoice Date]],"")</f>
        <v/>
      </c>
      <c r="J386" s="27" t="str">
        <f>IFERROR(IF(Invoices[[#This Row],[Days]]="","",IF(Invoices[[#This Row],[Days]]&lt;31,"A",IF(Invoices[[#This Row],[Days]]&lt;31,"B",IF(Invoices[[#This Row],[Days]]&lt;91,"C","D")))),"")</f>
        <v/>
      </c>
    </row>
    <row r="387" spans="2:10" ht="14.1" customHeight="1" x14ac:dyDescent="0.2">
      <c r="B387" s="10"/>
      <c r="C387" s="11"/>
      <c r="E387" s="11"/>
      <c r="G387" s="12"/>
      <c r="H387" s="27" t="str">
        <f>IF(Invoices[[#This Row],[Invoice Date]]="","",IF(Invoices[[#This Row],[Terms (days)]]="",Invoices[[#This Row],[Invoice Date]]+Lists!$D$4,Invoices[[#This Row],[Invoice Date]]+Invoices[[#This Row],[Terms (days)]]))</f>
        <v/>
      </c>
      <c r="I387" s="74" t="str">
        <f>IFERROR(Invoices[[#This Row],[Due Date]]-Invoices[[#This Row],[Invoice Date]],"")</f>
        <v/>
      </c>
      <c r="J387" s="27" t="str">
        <f>IFERROR(IF(Invoices[[#This Row],[Days]]="","",IF(Invoices[[#This Row],[Days]]&lt;31,"A",IF(Invoices[[#This Row],[Days]]&lt;31,"B",IF(Invoices[[#This Row],[Days]]&lt;91,"C","D")))),"")</f>
        <v/>
      </c>
    </row>
    <row r="388" spans="2:10" ht="14.1" customHeight="1" x14ac:dyDescent="0.2">
      <c r="B388" s="10"/>
      <c r="C388" s="11"/>
      <c r="E388" s="11"/>
      <c r="G388" s="12"/>
      <c r="H388" s="27" t="str">
        <f>IF(Invoices[[#This Row],[Invoice Date]]="","",IF(Invoices[[#This Row],[Terms (days)]]="",Invoices[[#This Row],[Invoice Date]]+Lists!$D$4,Invoices[[#This Row],[Invoice Date]]+Invoices[[#This Row],[Terms (days)]]))</f>
        <v/>
      </c>
      <c r="I388" s="74" t="str">
        <f>IFERROR(Invoices[[#This Row],[Due Date]]-Invoices[[#This Row],[Invoice Date]],"")</f>
        <v/>
      </c>
      <c r="J388" s="27" t="str">
        <f>IFERROR(IF(Invoices[[#This Row],[Days]]="","",IF(Invoices[[#This Row],[Days]]&lt;31,"A",IF(Invoices[[#This Row],[Days]]&lt;31,"B",IF(Invoices[[#This Row],[Days]]&lt;91,"C","D")))),"")</f>
        <v/>
      </c>
    </row>
    <row r="389" spans="2:10" ht="14.1" customHeight="1" x14ac:dyDescent="0.2">
      <c r="B389" s="10"/>
      <c r="C389" s="11"/>
      <c r="E389" s="11"/>
      <c r="G389" s="12"/>
      <c r="H389" s="27" t="str">
        <f>IF(Invoices[[#This Row],[Invoice Date]]="","",IF(Invoices[[#This Row],[Terms (days)]]="",Invoices[[#This Row],[Invoice Date]]+Lists!$D$4,Invoices[[#This Row],[Invoice Date]]+Invoices[[#This Row],[Terms (days)]]))</f>
        <v/>
      </c>
      <c r="I389" s="74" t="str">
        <f>IFERROR(Invoices[[#This Row],[Due Date]]-Invoices[[#This Row],[Invoice Date]],"")</f>
        <v/>
      </c>
      <c r="J389" s="27" t="str">
        <f>IFERROR(IF(Invoices[[#This Row],[Days]]="","",IF(Invoices[[#This Row],[Days]]&lt;31,"A",IF(Invoices[[#This Row],[Days]]&lt;31,"B",IF(Invoices[[#This Row],[Days]]&lt;91,"C","D")))),"")</f>
        <v/>
      </c>
    </row>
    <row r="390" spans="2:10" ht="14.1" customHeight="1" x14ac:dyDescent="0.2">
      <c r="B390" s="10"/>
      <c r="C390" s="11"/>
      <c r="E390" s="11"/>
      <c r="G390" s="12"/>
      <c r="H390" s="27" t="str">
        <f>IF(Invoices[[#This Row],[Invoice Date]]="","",IF(Invoices[[#This Row],[Terms (days)]]="",Invoices[[#This Row],[Invoice Date]]+Lists!$D$4,Invoices[[#This Row],[Invoice Date]]+Invoices[[#This Row],[Terms (days)]]))</f>
        <v/>
      </c>
      <c r="I390" s="74" t="str">
        <f>IFERROR(Invoices[[#This Row],[Due Date]]-Invoices[[#This Row],[Invoice Date]],"")</f>
        <v/>
      </c>
      <c r="J390" s="27" t="str">
        <f>IFERROR(IF(Invoices[[#This Row],[Days]]="","",IF(Invoices[[#This Row],[Days]]&lt;31,"A",IF(Invoices[[#This Row],[Days]]&lt;31,"B",IF(Invoices[[#This Row],[Days]]&lt;91,"C","D")))),"")</f>
        <v/>
      </c>
    </row>
    <row r="391" spans="2:10" ht="14.1" customHeight="1" x14ac:dyDescent="0.2">
      <c r="B391" s="10"/>
      <c r="C391" s="11"/>
      <c r="E391" s="11"/>
      <c r="G391" s="12"/>
      <c r="H391" s="27" t="str">
        <f>IF(Invoices[[#This Row],[Invoice Date]]="","",IF(Invoices[[#This Row],[Terms (days)]]="",Invoices[[#This Row],[Invoice Date]]+Lists!$D$4,Invoices[[#This Row],[Invoice Date]]+Invoices[[#This Row],[Terms (days)]]))</f>
        <v/>
      </c>
      <c r="I391" s="74" t="str">
        <f>IFERROR(Invoices[[#This Row],[Due Date]]-Invoices[[#This Row],[Invoice Date]],"")</f>
        <v/>
      </c>
      <c r="J391" s="27" t="str">
        <f>IFERROR(IF(Invoices[[#This Row],[Days]]="","",IF(Invoices[[#This Row],[Days]]&lt;31,"A",IF(Invoices[[#This Row],[Days]]&lt;31,"B",IF(Invoices[[#This Row],[Days]]&lt;91,"C","D")))),"")</f>
        <v/>
      </c>
    </row>
    <row r="392" spans="2:10" ht="14.1" customHeight="1" x14ac:dyDescent="0.2">
      <c r="B392" s="10"/>
      <c r="C392" s="11"/>
      <c r="E392" s="11"/>
      <c r="G392" s="12"/>
      <c r="H392" s="27" t="str">
        <f>IF(Invoices[[#This Row],[Invoice Date]]="","",IF(Invoices[[#This Row],[Terms (days)]]="",Invoices[[#This Row],[Invoice Date]]+Lists!$D$4,Invoices[[#This Row],[Invoice Date]]+Invoices[[#This Row],[Terms (days)]]))</f>
        <v/>
      </c>
      <c r="I392" s="74" t="str">
        <f>IFERROR(Invoices[[#This Row],[Due Date]]-Invoices[[#This Row],[Invoice Date]],"")</f>
        <v/>
      </c>
      <c r="J392" s="27" t="str">
        <f>IFERROR(IF(Invoices[[#This Row],[Days]]="","",IF(Invoices[[#This Row],[Days]]&lt;31,"A",IF(Invoices[[#This Row],[Days]]&lt;31,"B",IF(Invoices[[#This Row],[Days]]&lt;91,"C","D")))),"")</f>
        <v/>
      </c>
    </row>
    <row r="393" spans="2:10" ht="14.1" customHeight="1" x14ac:dyDescent="0.2">
      <c r="B393" s="10"/>
      <c r="C393" s="11"/>
      <c r="E393" s="11"/>
      <c r="G393" s="12"/>
      <c r="H393" s="27" t="str">
        <f>IF(Invoices[[#This Row],[Invoice Date]]="","",IF(Invoices[[#This Row],[Terms (days)]]="",Invoices[[#This Row],[Invoice Date]]+Lists!$D$4,Invoices[[#This Row],[Invoice Date]]+Invoices[[#This Row],[Terms (days)]]))</f>
        <v/>
      </c>
      <c r="I393" s="74" t="str">
        <f>IFERROR(Invoices[[#This Row],[Due Date]]-Invoices[[#This Row],[Invoice Date]],"")</f>
        <v/>
      </c>
      <c r="J393" s="27" t="str">
        <f>IFERROR(IF(Invoices[[#This Row],[Days]]="","",IF(Invoices[[#This Row],[Days]]&lt;31,"A",IF(Invoices[[#This Row],[Days]]&lt;31,"B",IF(Invoices[[#This Row],[Days]]&lt;91,"C","D")))),"")</f>
        <v/>
      </c>
    </row>
    <row r="394" spans="2:10" ht="14.1" customHeight="1" x14ac:dyDescent="0.2">
      <c r="B394" s="10"/>
      <c r="C394" s="11"/>
      <c r="E394" s="11"/>
      <c r="G394" s="12"/>
      <c r="H394" s="27" t="str">
        <f>IF(Invoices[[#This Row],[Invoice Date]]="","",IF(Invoices[[#This Row],[Terms (days)]]="",Invoices[[#This Row],[Invoice Date]]+Lists!$D$4,Invoices[[#This Row],[Invoice Date]]+Invoices[[#This Row],[Terms (days)]]))</f>
        <v/>
      </c>
      <c r="I394" s="74" t="str">
        <f>IFERROR(Invoices[[#This Row],[Due Date]]-Invoices[[#This Row],[Invoice Date]],"")</f>
        <v/>
      </c>
      <c r="J394" s="27" t="str">
        <f>IFERROR(IF(Invoices[[#This Row],[Days]]="","",IF(Invoices[[#This Row],[Days]]&lt;31,"A",IF(Invoices[[#This Row],[Days]]&lt;31,"B",IF(Invoices[[#This Row],[Days]]&lt;91,"C","D")))),"")</f>
        <v/>
      </c>
    </row>
    <row r="395" spans="2:10" ht="14.1" customHeight="1" x14ac:dyDescent="0.2">
      <c r="B395" s="10"/>
      <c r="C395" s="11"/>
      <c r="E395" s="11"/>
      <c r="G395" s="12"/>
      <c r="H395" s="27" t="str">
        <f>IF(Invoices[[#This Row],[Invoice Date]]="","",IF(Invoices[[#This Row],[Terms (days)]]="",Invoices[[#This Row],[Invoice Date]]+Lists!$D$4,Invoices[[#This Row],[Invoice Date]]+Invoices[[#This Row],[Terms (days)]]))</f>
        <v/>
      </c>
      <c r="I395" s="74" t="str">
        <f>IFERROR(Invoices[[#This Row],[Due Date]]-Invoices[[#This Row],[Invoice Date]],"")</f>
        <v/>
      </c>
      <c r="J395" s="27" t="str">
        <f>IFERROR(IF(Invoices[[#This Row],[Days]]="","",IF(Invoices[[#This Row],[Days]]&lt;31,"A",IF(Invoices[[#This Row],[Days]]&lt;31,"B",IF(Invoices[[#This Row],[Days]]&lt;91,"C","D")))),"")</f>
        <v/>
      </c>
    </row>
    <row r="396" spans="2:10" ht="14.1" customHeight="1" x14ac:dyDescent="0.2">
      <c r="B396" s="10"/>
      <c r="C396" s="11"/>
      <c r="E396" s="11"/>
      <c r="G396" s="12"/>
      <c r="H396" s="27" t="str">
        <f>IF(Invoices[[#This Row],[Invoice Date]]="","",IF(Invoices[[#This Row],[Terms (days)]]="",Invoices[[#This Row],[Invoice Date]]+Lists!$D$4,Invoices[[#This Row],[Invoice Date]]+Invoices[[#This Row],[Terms (days)]]))</f>
        <v/>
      </c>
      <c r="I396" s="74" t="str">
        <f>IFERROR(Invoices[[#This Row],[Due Date]]-Invoices[[#This Row],[Invoice Date]],"")</f>
        <v/>
      </c>
      <c r="J396" s="27" t="str">
        <f>IFERROR(IF(Invoices[[#This Row],[Days]]="","",IF(Invoices[[#This Row],[Days]]&lt;31,"A",IF(Invoices[[#This Row],[Days]]&lt;31,"B",IF(Invoices[[#This Row],[Days]]&lt;91,"C","D")))),"")</f>
        <v/>
      </c>
    </row>
    <row r="397" spans="2:10" ht="14.1" customHeight="1" x14ac:dyDescent="0.2">
      <c r="B397" s="10"/>
      <c r="C397" s="11"/>
      <c r="E397" s="11"/>
      <c r="G397" s="12"/>
      <c r="H397" s="27" t="str">
        <f>IF(Invoices[[#This Row],[Invoice Date]]="","",IF(Invoices[[#This Row],[Terms (days)]]="",Invoices[[#This Row],[Invoice Date]]+Lists!$D$4,Invoices[[#This Row],[Invoice Date]]+Invoices[[#This Row],[Terms (days)]]))</f>
        <v/>
      </c>
      <c r="I397" s="74" t="str">
        <f>IFERROR(Invoices[[#This Row],[Due Date]]-Invoices[[#This Row],[Invoice Date]],"")</f>
        <v/>
      </c>
      <c r="J397" s="27" t="str">
        <f>IFERROR(IF(Invoices[[#This Row],[Days]]="","",IF(Invoices[[#This Row],[Days]]&lt;31,"A",IF(Invoices[[#This Row],[Days]]&lt;31,"B",IF(Invoices[[#This Row],[Days]]&lt;91,"C","D")))),"")</f>
        <v/>
      </c>
    </row>
    <row r="398" spans="2:10" ht="14.1" customHeight="1" x14ac:dyDescent="0.2">
      <c r="B398" s="10"/>
      <c r="C398" s="11"/>
      <c r="E398" s="11"/>
      <c r="G398" s="12"/>
      <c r="H398" s="27" t="str">
        <f>IF(Invoices[[#This Row],[Invoice Date]]="","",IF(Invoices[[#This Row],[Terms (days)]]="",Invoices[[#This Row],[Invoice Date]]+Lists!$D$4,Invoices[[#This Row],[Invoice Date]]+Invoices[[#This Row],[Terms (days)]]))</f>
        <v/>
      </c>
      <c r="I398" s="74" t="str">
        <f>IFERROR(Invoices[[#This Row],[Due Date]]-Invoices[[#This Row],[Invoice Date]],"")</f>
        <v/>
      </c>
      <c r="J398" s="27" t="str">
        <f>IFERROR(IF(Invoices[[#This Row],[Days]]="","",IF(Invoices[[#This Row],[Days]]&lt;31,"A",IF(Invoices[[#This Row],[Days]]&lt;31,"B",IF(Invoices[[#This Row],[Days]]&lt;91,"C","D")))),"")</f>
        <v/>
      </c>
    </row>
    <row r="399" spans="2:10" ht="14.1" customHeight="1" x14ac:dyDescent="0.2">
      <c r="B399" s="10"/>
      <c r="C399" s="11"/>
      <c r="E399" s="11"/>
      <c r="G399" s="12"/>
      <c r="H399" s="27" t="str">
        <f>IF(Invoices[[#This Row],[Invoice Date]]="","",IF(Invoices[[#This Row],[Terms (days)]]="",Invoices[[#This Row],[Invoice Date]]+Lists!$D$4,Invoices[[#This Row],[Invoice Date]]+Invoices[[#This Row],[Terms (days)]]))</f>
        <v/>
      </c>
      <c r="I399" s="74" t="str">
        <f>IFERROR(Invoices[[#This Row],[Due Date]]-Invoices[[#This Row],[Invoice Date]],"")</f>
        <v/>
      </c>
      <c r="J399" s="27" t="str">
        <f>IFERROR(IF(Invoices[[#This Row],[Days]]="","",IF(Invoices[[#This Row],[Days]]&lt;31,"A",IF(Invoices[[#This Row],[Days]]&lt;31,"B",IF(Invoices[[#This Row],[Days]]&lt;91,"C","D")))),"")</f>
        <v/>
      </c>
    </row>
    <row r="400" spans="2:10" ht="14.1" customHeight="1" x14ac:dyDescent="0.2">
      <c r="B400" s="10"/>
      <c r="C400" s="11"/>
      <c r="E400" s="11"/>
      <c r="G400" s="12"/>
      <c r="H400" s="27" t="str">
        <f>IF(Invoices[[#This Row],[Invoice Date]]="","",IF(Invoices[[#This Row],[Terms (days)]]="",Invoices[[#This Row],[Invoice Date]]+Lists!$D$4,Invoices[[#This Row],[Invoice Date]]+Invoices[[#This Row],[Terms (days)]]))</f>
        <v/>
      </c>
      <c r="I400" s="74" t="str">
        <f>IFERROR(Invoices[[#This Row],[Due Date]]-Invoices[[#This Row],[Invoice Date]],"")</f>
        <v/>
      </c>
      <c r="J400" s="27" t="str">
        <f>IFERROR(IF(Invoices[[#This Row],[Days]]="","",IF(Invoices[[#This Row],[Days]]&lt;31,"A",IF(Invoices[[#This Row],[Days]]&lt;31,"B",IF(Invoices[[#This Row],[Days]]&lt;91,"C","D")))),"")</f>
        <v/>
      </c>
    </row>
    <row r="401" spans="2:10" ht="14.1" customHeight="1" x14ac:dyDescent="0.2">
      <c r="B401" s="10"/>
      <c r="C401" s="11"/>
      <c r="E401" s="11"/>
      <c r="G401" s="12"/>
      <c r="H401" s="27" t="str">
        <f>IF(Invoices[[#This Row],[Invoice Date]]="","",IF(Invoices[[#This Row],[Terms (days)]]="",Invoices[[#This Row],[Invoice Date]]+Lists!$D$4,Invoices[[#This Row],[Invoice Date]]+Invoices[[#This Row],[Terms (days)]]))</f>
        <v/>
      </c>
      <c r="I401" s="74" t="str">
        <f>IFERROR(Invoices[[#This Row],[Due Date]]-Invoices[[#This Row],[Invoice Date]],"")</f>
        <v/>
      </c>
      <c r="J401" s="27" t="str">
        <f>IFERROR(IF(Invoices[[#This Row],[Days]]="","",IF(Invoices[[#This Row],[Days]]&lt;31,"A",IF(Invoices[[#This Row],[Days]]&lt;31,"B",IF(Invoices[[#This Row],[Days]]&lt;91,"C","D")))),"")</f>
        <v/>
      </c>
    </row>
    <row r="402" spans="2:10" ht="14.1" customHeight="1" x14ac:dyDescent="0.2">
      <c r="B402" s="10"/>
      <c r="C402" s="11"/>
      <c r="E402" s="11"/>
      <c r="G402" s="12"/>
      <c r="H402" s="27" t="str">
        <f>IF(Invoices[[#This Row],[Invoice Date]]="","",IF(Invoices[[#This Row],[Terms (days)]]="",Invoices[[#This Row],[Invoice Date]]+Lists!$D$4,Invoices[[#This Row],[Invoice Date]]+Invoices[[#This Row],[Terms (days)]]))</f>
        <v/>
      </c>
      <c r="I402" s="74" t="str">
        <f>IFERROR(Invoices[[#This Row],[Due Date]]-Invoices[[#This Row],[Invoice Date]],"")</f>
        <v/>
      </c>
      <c r="J402" s="27" t="str">
        <f>IFERROR(IF(Invoices[[#This Row],[Days]]="","",IF(Invoices[[#This Row],[Days]]&lt;31,"A",IF(Invoices[[#This Row],[Days]]&lt;31,"B",IF(Invoices[[#This Row],[Days]]&lt;91,"C","D")))),"")</f>
        <v/>
      </c>
    </row>
    <row r="403" spans="2:10" ht="14.1" customHeight="1" x14ac:dyDescent="0.2">
      <c r="B403" s="10"/>
      <c r="C403" s="11"/>
      <c r="E403" s="11"/>
      <c r="G403" s="12"/>
      <c r="H403" s="27" t="str">
        <f>IF(Invoices[[#This Row],[Invoice Date]]="","",IF(Invoices[[#This Row],[Terms (days)]]="",Invoices[[#This Row],[Invoice Date]]+Lists!$D$4,Invoices[[#This Row],[Invoice Date]]+Invoices[[#This Row],[Terms (days)]]))</f>
        <v/>
      </c>
      <c r="I403" s="74" t="str">
        <f>IFERROR(Invoices[[#This Row],[Due Date]]-Invoices[[#This Row],[Invoice Date]],"")</f>
        <v/>
      </c>
      <c r="J403" s="27" t="str">
        <f>IFERROR(IF(Invoices[[#This Row],[Days]]="","",IF(Invoices[[#This Row],[Days]]&lt;31,"A",IF(Invoices[[#This Row],[Days]]&lt;31,"B",IF(Invoices[[#This Row],[Days]]&lt;91,"C","D")))),"")</f>
        <v/>
      </c>
    </row>
    <row r="404" spans="2:10" ht="14.1" customHeight="1" x14ac:dyDescent="0.2">
      <c r="B404" s="10"/>
      <c r="C404" s="11"/>
      <c r="E404" s="11"/>
      <c r="G404" s="12"/>
      <c r="H404" s="27" t="str">
        <f>IF(Invoices[[#This Row],[Invoice Date]]="","",IF(Invoices[[#This Row],[Terms (days)]]="",Invoices[[#This Row],[Invoice Date]]+Lists!$D$4,Invoices[[#This Row],[Invoice Date]]+Invoices[[#This Row],[Terms (days)]]))</f>
        <v/>
      </c>
      <c r="I404" s="74" t="str">
        <f>IFERROR(Invoices[[#This Row],[Due Date]]-Invoices[[#This Row],[Invoice Date]],"")</f>
        <v/>
      </c>
      <c r="J404" s="27" t="str">
        <f>IFERROR(IF(Invoices[[#This Row],[Days]]="","",IF(Invoices[[#This Row],[Days]]&lt;31,"A",IF(Invoices[[#This Row],[Days]]&lt;31,"B",IF(Invoices[[#This Row],[Days]]&lt;91,"C","D")))),"")</f>
        <v/>
      </c>
    </row>
    <row r="405" spans="2:10" ht="14.1" customHeight="1" x14ac:dyDescent="0.2">
      <c r="B405" s="10"/>
      <c r="C405" s="11"/>
      <c r="E405" s="11"/>
      <c r="G405" s="12"/>
      <c r="H405" s="27" t="str">
        <f>IF(Invoices[[#This Row],[Invoice Date]]="","",IF(Invoices[[#This Row],[Terms (days)]]="",Invoices[[#This Row],[Invoice Date]]+Lists!$D$4,Invoices[[#This Row],[Invoice Date]]+Invoices[[#This Row],[Terms (days)]]))</f>
        <v/>
      </c>
      <c r="I405" s="74" t="str">
        <f>IFERROR(Invoices[[#This Row],[Due Date]]-Invoices[[#This Row],[Invoice Date]],"")</f>
        <v/>
      </c>
      <c r="J405" s="27" t="str">
        <f>IFERROR(IF(Invoices[[#This Row],[Days]]="","",IF(Invoices[[#This Row],[Days]]&lt;31,"A",IF(Invoices[[#This Row],[Days]]&lt;31,"B",IF(Invoices[[#This Row],[Days]]&lt;91,"C","D")))),"")</f>
        <v/>
      </c>
    </row>
    <row r="406" spans="2:10" ht="14.1" customHeight="1" x14ac:dyDescent="0.2">
      <c r="B406" s="10"/>
      <c r="C406" s="11"/>
      <c r="E406" s="11"/>
      <c r="G406" s="12"/>
      <c r="H406" s="27" t="str">
        <f>IF(Invoices[[#This Row],[Invoice Date]]="","",IF(Invoices[[#This Row],[Terms (days)]]="",Invoices[[#This Row],[Invoice Date]]+Lists!$D$4,Invoices[[#This Row],[Invoice Date]]+Invoices[[#This Row],[Terms (days)]]))</f>
        <v/>
      </c>
      <c r="I406" s="74" t="str">
        <f>IFERROR(Invoices[[#This Row],[Due Date]]-Invoices[[#This Row],[Invoice Date]],"")</f>
        <v/>
      </c>
      <c r="J406" s="27" t="str">
        <f>IFERROR(IF(Invoices[[#This Row],[Days]]="","",IF(Invoices[[#This Row],[Days]]&lt;31,"A",IF(Invoices[[#This Row],[Days]]&lt;31,"B",IF(Invoices[[#This Row],[Days]]&lt;91,"C","D")))),"")</f>
        <v/>
      </c>
    </row>
    <row r="407" spans="2:10" ht="14.1" customHeight="1" x14ac:dyDescent="0.2">
      <c r="B407" s="10"/>
      <c r="C407" s="11"/>
      <c r="E407" s="11"/>
      <c r="G407" s="12"/>
      <c r="H407" s="27" t="str">
        <f>IF(Invoices[[#This Row],[Invoice Date]]="","",IF(Invoices[[#This Row],[Terms (days)]]="",Invoices[[#This Row],[Invoice Date]]+Lists!$D$4,Invoices[[#This Row],[Invoice Date]]+Invoices[[#This Row],[Terms (days)]]))</f>
        <v/>
      </c>
      <c r="I407" s="74" t="str">
        <f>IFERROR(Invoices[[#This Row],[Due Date]]-Invoices[[#This Row],[Invoice Date]],"")</f>
        <v/>
      </c>
      <c r="J407" s="27" t="str">
        <f>IFERROR(IF(Invoices[[#This Row],[Days]]="","",IF(Invoices[[#This Row],[Days]]&lt;31,"A",IF(Invoices[[#This Row],[Days]]&lt;31,"B",IF(Invoices[[#This Row],[Days]]&lt;91,"C","D")))),"")</f>
        <v/>
      </c>
    </row>
    <row r="408" spans="2:10" ht="14.1" customHeight="1" x14ac:dyDescent="0.2">
      <c r="B408" s="10"/>
      <c r="C408" s="11"/>
      <c r="E408" s="11"/>
      <c r="G408" s="12"/>
      <c r="H408" s="27" t="str">
        <f>IF(Invoices[[#This Row],[Invoice Date]]="","",IF(Invoices[[#This Row],[Terms (days)]]="",Invoices[[#This Row],[Invoice Date]]+Lists!$D$4,Invoices[[#This Row],[Invoice Date]]+Invoices[[#This Row],[Terms (days)]]))</f>
        <v/>
      </c>
      <c r="I408" s="74" t="str">
        <f>IFERROR(Invoices[[#This Row],[Due Date]]-Invoices[[#This Row],[Invoice Date]],"")</f>
        <v/>
      </c>
      <c r="J408" s="27" t="str">
        <f>IFERROR(IF(Invoices[[#This Row],[Days]]="","",IF(Invoices[[#This Row],[Days]]&lt;31,"A",IF(Invoices[[#This Row],[Days]]&lt;31,"B",IF(Invoices[[#This Row],[Days]]&lt;91,"C","D")))),"")</f>
        <v/>
      </c>
    </row>
    <row r="409" spans="2:10" ht="14.1" customHeight="1" x14ac:dyDescent="0.2">
      <c r="B409" s="10"/>
      <c r="C409" s="11"/>
      <c r="E409" s="11"/>
      <c r="G409" s="12"/>
      <c r="H409" s="27" t="str">
        <f>IF(Invoices[[#This Row],[Invoice Date]]="","",IF(Invoices[[#This Row],[Terms (days)]]="",Invoices[[#This Row],[Invoice Date]]+Lists!$D$4,Invoices[[#This Row],[Invoice Date]]+Invoices[[#This Row],[Terms (days)]]))</f>
        <v/>
      </c>
      <c r="I409" s="74" t="str">
        <f>IFERROR(Invoices[[#This Row],[Due Date]]-Invoices[[#This Row],[Invoice Date]],"")</f>
        <v/>
      </c>
      <c r="J409" s="27" t="str">
        <f>IFERROR(IF(Invoices[[#This Row],[Days]]="","",IF(Invoices[[#This Row],[Days]]&lt;31,"A",IF(Invoices[[#This Row],[Days]]&lt;31,"B",IF(Invoices[[#This Row],[Days]]&lt;91,"C","D")))),"")</f>
        <v/>
      </c>
    </row>
    <row r="410" spans="2:10" ht="14.1" customHeight="1" x14ac:dyDescent="0.2">
      <c r="B410" s="10"/>
      <c r="C410" s="11"/>
      <c r="E410" s="11"/>
      <c r="G410" s="12"/>
      <c r="H410" s="27" t="str">
        <f>IF(Invoices[[#This Row],[Invoice Date]]="","",IF(Invoices[[#This Row],[Terms (days)]]="",Invoices[[#This Row],[Invoice Date]]+Lists!$D$4,Invoices[[#This Row],[Invoice Date]]+Invoices[[#This Row],[Terms (days)]]))</f>
        <v/>
      </c>
      <c r="I410" s="74" t="str">
        <f>IFERROR(Invoices[[#This Row],[Due Date]]-Invoices[[#This Row],[Invoice Date]],"")</f>
        <v/>
      </c>
      <c r="J410" s="27" t="str">
        <f>IFERROR(IF(Invoices[[#This Row],[Days]]="","",IF(Invoices[[#This Row],[Days]]&lt;31,"A",IF(Invoices[[#This Row],[Days]]&lt;31,"B",IF(Invoices[[#This Row],[Days]]&lt;91,"C","D")))),"")</f>
        <v/>
      </c>
    </row>
    <row r="411" spans="2:10" ht="14.1" customHeight="1" x14ac:dyDescent="0.2">
      <c r="B411" s="10"/>
      <c r="C411" s="11"/>
      <c r="E411" s="11"/>
      <c r="G411" s="12"/>
      <c r="H411" s="27" t="str">
        <f>IF(Invoices[[#This Row],[Invoice Date]]="","",IF(Invoices[[#This Row],[Terms (days)]]="",Invoices[[#This Row],[Invoice Date]]+Lists!$D$4,Invoices[[#This Row],[Invoice Date]]+Invoices[[#This Row],[Terms (days)]]))</f>
        <v/>
      </c>
      <c r="I411" s="74" t="str">
        <f>IFERROR(Invoices[[#This Row],[Due Date]]-Invoices[[#This Row],[Invoice Date]],"")</f>
        <v/>
      </c>
      <c r="J411" s="27" t="str">
        <f>IFERROR(IF(Invoices[[#This Row],[Days]]="","",IF(Invoices[[#This Row],[Days]]&lt;31,"A",IF(Invoices[[#This Row],[Days]]&lt;31,"B",IF(Invoices[[#This Row],[Days]]&lt;91,"C","D")))),"")</f>
        <v/>
      </c>
    </row>
    <row r="412" spans="2:10" ht="14.1" customHeight="1" x14ac:dyDescent="0.2">
      <c r="B412" s="10"/>
      <c r="C412" s="11"/>
      <c r="E412" s="11"/>
      <c r="G412" s="12"/>
      <c r="H412" s="27" t="str">
        <f>IF(Invoices[[#This Row],[Invoice Date]]="","",IF(Invoices[[#This Row],[Terms (days)]]="",Invoices[[#This Row],[Invoice Date]]+Lists!$D$4,Invoices[[#This Row],[Invoice Date]]+Invoices[[#This Row],[Terms (days)]]))</f>
        <v/>
      </c>
      <c r="I412" s="74" t="str">
        <f>IFERROR(Invoices[[#This Row],[Due Date]]-Invoices[[#This Row],[Invoice Date]],"")</f>
        <v/>
      </c>
      <c r="J412" s="27" t="str">
        <f>IFERROR(IF(Invoices[[#This Row],[Days]]="","",IF(Invoices[[#This Row],[Days]]&lt;31,"A",IF(Invoices[[#This Row],[Days]]&lt;31,"B",IF(Invoices[[#This Row],[Days]]&lt;91,"C","D")))),"")</f>
        <v/>
      </c>
    </row>
    <row r="413" spans="2:10" ht="14.1" customHeight="1" x14ac:dyDescent="0.2">
      <c r="B413" s="10"/>
      <c r="C413" s="11"/>
      <c r="E413" s="11"/>
      <c r="G413" s="12"/>
      <c r="H413" s="27" t="str">
        <f>IF(Invoices[[#This Row],[Invoice Date]]="","",IF(Invoices[[#This Row],[Terms (days)]]="",Invoices[[#This Row],[Invoice Date]]+Lists!$D$4,Invoices[[#This Row],[Invoice Date]]+Invoices[[#This Row],[Terms (days)]]))</f>
        <v/>
      </c>
      <c r="I413" s="74" t="str">
        <f>IFERROR(Invoices[[#This Row],[Due Date]]-Invoices[[#This Row],[Invoice Date]],"")</f>
        <v/>
      </c>
      <c r="J413" s="27" t="str">
        <f>IFERROR(IF(Invoices[[#This Row],[Days]]="","",IF(Invoices[[#This Row],[Days]]&lt;31,"A",IF(Invoices[[#This Row],[Days]]&lt;31,"B",IF(Invoices[[#This Row],[Days]]&lt;91,"C","D")))),"")</f>
        <v/>
      </c>
    </row>
    <row r="414" spans="2:10" ht="14.1" customHeight="1" x14ac:dyDescent="0.2">
      <c r="B414" s="10"/>
      <c r="C414" s="11"/>
      <c r="E414" s="11"/>
      <c r="G414" s="12"/>
      <c r="H414" s="27" t="str">
        <f>IF(Invoices[[#This Row],[Invoice Date]]="","",IF(Invoices[[#This Row],[Terms (days)]]="",Invoices[[#This Row],[Invoice Date]]+Lists!$D$4,Invoices[[#This Row],[Invoice Date]]+Invoices[[#This Row],[Terms (days)]]))</f>
        <v/>
      </c>
      <c r="I414" s="74" t="str">
        <f>IFERROR(Invoices[[#This Row],[Due Date]]-Invoices[[#This Row],[Invoice Date]],"")</f>
        <v/>
      </c>
      <c r="J414" s="27" t="str">
        <f>IFERROR(IF(Invoices[[#This Row],[Days]]="","",IF(Invoices[[#This Row],[Days]]&lt;31,"A",IF(Invoices[[#This Row],[Days]]&lt;31,"B",IF(Invoices[[#This Row],[Days]]&lt;91,"C","D")))),"")</f>
        <v/>
      </c>
    </row>
    <row r="415" spans="2:10" ht="14.1" customHeight="1" x14ac:dyDescent="0.2">
      <c r="B415" s="10"/>
      <c r="C415" s="11"/>
      <c r="E415" s="11"/>
      <c r="G415" s="12"/>
      <c r="H415" s="27" t="str">
        <f>IF(Invoices[[#This Row],[Invoice Date]]="","",IF(Invoices[[#This Row],[Terms (days)]]="",Invoices[[#This Row],[Invoice Date]]+Lists!$D$4,Invoices[[#This Row],[Invoice Date]]+Invoices[[#This Row],[Terms (days)]]))</f>
        <v/>
      </c>
      <c r="I415" s="74" t="str">
        <f>IFERROR(Invoices[[#This Row],[Due Date]]-Invoices[[#This Row],[Invoice Date]],"")</f>
        <v/>
      </c>
      <c r="J415" s="27" t="str">
        <f>IFERROR(IF(Invoices[[#This Row],[Days]]="","",IF(Invoices[[#This Row],[Days]]&lt;31,"A",IF(Invoices[[#This Row],[Days]]&lt;31,"B",IF(Invoices[[#This Row],[Days]]&lt;91,"C","D")))),"")</f>
        <v/>
      </c>
    </row>
    <row r="416" spans="2:10" ht="14.1" customHeight="1" x14ac:dyDescent="0.2">
      <c r="B416" s="10"/>
      <c r="C416" s="11"/>
      <c r="E416" s="11"/>
      <c r="G416" s="12"/>
      <c r="H416" s="27" t="str">
        <f>IF(Invoices[[#This Row],[Invoice Date]]="","",IF(Invoices[[#This Row],[Terms (days)]]="",Invoices[[#This Row],[Invoice Date]]+Lists!$D$4,Invoices[[#This Row],[Invoice Date]]+Invoices[[#This Row],[Terms (days)]]))</f>
        <v/>
      </c>
      <c r="I416" s="74" t="str">
        <f>IFERROR(Invoices[[#This Row],[Due Date]]-Invoices[[#This Row],[Invoice Date]],"")</f>
        <v/>
      </c>
      <c r="J416" s="27" t="str">
        <f>IFERROR(IF(Invoices[[#This Row],[Days]]="","",IF(Invoices[[#This Row],[Days]]&lt;31,"A",IF(Invoices[[#This Row],[Days]]&lt;31,"B",IF(Invoices[[#This Row],[Days]]&lt;91,"C","D")))),"")</f>
        <v/>
      </c>
    </row>
    <row r="417" spans="2:10" ht="14.1" customHeight="1" x14ac:dyDescent="0.2">
      <c r="B417" s="10"/>
      <c r="C417" s="11"/>
      <c r="E417" s="11"/>
      <c r="G417" s="12"/>
      <c r="H417" s="27" t="str">
        <f>IF(Invoices[[#This Row],[Invoice Date]]="","",IF(Invoices[[#This Row],[Terms (days)]]="",Invoices[[#This Row],[Invoice Date]]+Lists!$D$4,Invoices[[#This Row],[Invoice Date]]+Invoices[[#This Row],[Terms (days)]]))</f>
        <v/>
      </c>
      <c r="I417" s="74" t="str">
        <f>IFERROR(Invoices[[#This Row],[Due Date]]-Invoices[[#This Row],[Invoice Date]],"")</f>
        <v/>
      </c>
      <c r="J417" s="27" t="str">
        <f>IFERROR(IF(Invoices[[#This Row],[Days]]="","",IF(Invoices[[#This Row],[Days]]&lt;31,"A",IF(Invoices[[#This Row],[Days]]&lt;31,"B",IF(Invoices[[#This Row],[Days]]&lt;91,"C","D")))),"")</f>
        <v/>
      </c>
    </row>
    <row r="418" spans="2:10" ht="14.1" customHeight="1" x14ac:dyDescent="0.2">
      <c r="B418" s="10"/>
      <c r="C418" s="11"/>
      <c r="E418" s="11"/>
      <c r="G418" s="12"/>
      <c r="H418" s="27" t="str">
        <f>IF(Invoices[[#This Row],[Invoice Date]]="","",IF(Invoices[[#This Row],[Terms (days)]]="",Invoices[[#This Row],[Invoice Date]]+Lists!$D$4,Invoices[[#This Row],[Invoice Date]]+Invoices[[#This Row],[Terms (days)]]))</f>
        <v/>
      </c>
      <c r="I418" s="74" t="str">
        <f>IFERROR(Invoices[[#This Row],[Due Date]]-Invoices[[#This Row],[Invoice Date]],"")</f>
        <v/>
      </c>
      <c r="J418" s="27" t="str">
        <f>IFERROR(IF(Invoices[[#This Row],[Days]]="","",IF(Invoices[[#This Row],[Days]]&lt;31,"A",IF(Invoices[[#This Row],[Days]]&lt;31,"B",IF(Invoices[[#This Row],[Days]]&lt;91,"C","D")))),"")</f>
        <v/>
      </c>
    </row>
    <row r="419" spans="2:10" ht="14.1" customHeight="1" x14ac:dyDescent="0.2">
      <c r="B419" s="10"/>
      <c r="C419" s="11"/>
      <c r="E419" s="11"/>
      <c r="G419" s="12"/>
      <c r="H419" s="27" t="str">
        <f>IF(Invoices[[#This Row],[Invoice Date]]="","",IF(Invoices[[#This Row],[Terms (days)]]="",Invoices[[#This Row],[Invoice Date]]+Lists!$D$4,Invoices[[#This Row],[Invoice Date]]+Invoices[[#This Row],[Terms (days)]]))</f>
        <v/>
      </c>
      <c r="I419" s="74" t="str">
        <f>IFERROR(Invoices[[#This Row],[Due Date]]-Invoices[[#This Row],[Invoice Date]],"")</f>
        <v/>
      </c>
      <c r="J419" s="27" t="str">
        <f>IFERROR(IF(Invoices[[#This Row],[Days]]="","",IF(Invoices[[#This Row],[Days]]&lt;31,"A",IF(Invoices[[#This Row],[Days]]&lt;31,"B",IF(Invoices[[#This Row],[Days]]&lt;91,"C","D")))),"")</f>
        <v/>
      </c>
    </row>
    <row r="420" spans="2:10" ht="14.1" customHeight="1" x14ac:dyDescent="0.2">
      <c r="B420" s="10"/>
      <c r="C420" s="11"/>
      <c r="E420" s="11"/>
      <c r="G420" s="12"/>
      <c r="H420" s="27" t="str">
        <f>IF(Invoices[[#This Row],[Invoice Date]]="","",IF(Invoices[[#This Row],[Terms (days)]]="",Invoices[[#This Row],[Invoice Date]]+Lists!$D$4,Invoices[[#This Row],[Invoice Date]]+Invoices[[#This Row],[Terms (days)]]))</f>
        <v/>
      </c>
      <c r="I420" s="74" t="str">
        <f>IFERROR(Invoices[[#This Row],[Due Date]]-Invoices[[#This Row],[Invoice Date]],"")</f>
        <v/>
      </c>
      <c r="J420" s="27" t="str">
        <f>IFERROR(IF(Invoices[[#This Row],[Days]]="","",IF(Invoices[[#This Row],[Days]]&lt;31,"A",IF(Invoices[[#This Row],[Days]]&lt;31,"B",IF(Invoices[[#This Row],[Days]]&lt;91,"C","D")))),"")</f>
        <v/>
      </c>
    </row>
    <row r="421" spans="2:10" ht="14.1" customHeight="1" x14ac:dyDescent="0.2">
      <c r="B421" s="10"/>
      <c r="C421" s="11"/>
      <c r="E421" s="11"/>
      <c r="G421" s="12"/>
      <c r="H421" s="27" t="str">
        <f>IF(Invoices[[#This Row],[Invoice Date]]="","",IF(Invoices[[#This Row],[Terms (days)]]="",Invoices[[#This Row],[Invoice Date]]+Lists!$D$4,Invoices[[#This Row],[Invoice Date]]+Invoices[[#This Row],[Terms (days)]]))</f>
        <v/>
      </c>
      <c r="I421" s="74" t="str">
        <f>IFERROR(Invoices[[#This Row],[Due Date]]-Invoices[[#This Row],[Invoice Date]],"")</f>
        <v/>
      </c>
      <c r="J421" s="27" t="str">
        <f>IFERROR(IF(Invoices[[#This Row],[Days]]="","",IF(Invoices[[#This Row],[Days]]&lt;31,"A",IF(Invoices[[#This Row],[Days]]&lt;31,"B",IF(Invoices[[#This Row],[Days]]&lt;91,"C","D")))),"")</f>
        <v/>
      </c>
    </row>
    <row r="422" spans="2:10" ht="14.1" customHeight="1" x14ac:dyDescent="0.2">
      <c r="B422" s="10"/>
      <c r="C422" s="11"/>
      <c r="E422" s="11"/>
      <c r="G422" s="12"/>
      <c r="H422" s="27" t="str">
        <f>IF(Invoices[[#This Row],[Invoice Date]]="","",IF(Invoices[[#This Row],[Terms (days)]]="",Invoices[[#This Row],[Invoice Date]]+Lists!$D$4,Invoices[[#This Row],[Invoice Date]]+Invoices[[#This Row],[Terms (days)]]))</f>
        <v/>
      </c>
      <c r="I422" s="74" t="str">
        <f>IFERROR(Invoices[[#This Row],[Due Date]]-Invoices[[#This Row],[Invoice Date]],"")</f>
        <v/>
      </c>
      <c r="J422" s="27" t="str">
        <f>IFERROR(IF(Invoices[[#This Row],[Days]]="","",IF(Invoices[[#This Row],[Days]]&lt;31,"A",IF(Invoices[[#This Row],[Days]]&lt;31,"B",IF(Invoices[[#This Row],[Days]]&lt;91,"C","D")))),"")</f>
        <v/>
      </c>
    </row>
    <row r="423" spans="2:10" ht="14.1" customHeight="1" x14ac:dyDescent="0.2">
      <c r="B423" s="10"/>
      <c r="C423" s="11"/>
      <c r="E423" s="11"/>
      <c r="G423" s="12"/>
      <c r="H423" s="27" t="str">
        <f>IF(Invoices[[#This Row],[Invoice Date]]="","",IF(Invoices[[#This Row],[Terms (days)]]="",Invoices[[#This Row],[Invoice Date]]+Lists!$D$4,Invoices[[#This Row],[Invoice Date]]+Invoices[[#This Row],[Terms (days)]]))</f>
        <v/>
      </c>
      <c r="I423" s="74" t="str">
        <f>IFERROR(Invoices[[#This Row],[Due Date]]-Invoices[[#This Row],[Invoice Date]],"")</f>
        <v/>
      </c>
      <c r="J423" s="27" t="str">
        <f>IFERROR(IF(Invoices[[#This Row],[Days]]="","",IF(Invoices[[#This Row],[Days]]&lt;31,"A",IF(Invoices[[#This Row],[Days]]&lt;31,"B",IF(Invoices[[#This Row],[Days]]&lt;91,"C","D")))),"")</f>
        <v/>
      </c>
    </row>
    <row r="424" spans="2:10" ht="14.1" customHeight="1" x14ac:dyDescent="0.2">
      <c r="B424" s="10"/>
      <c r="C424" s="11"/>
      <c r="E424" s="11"/>
      <c r="G424" s="12"/>
      <c r="H424" s="27" t="str">
        <f>IF(Invoices[[#This Row],[Invoice Date]]="","",IF(Invoices[[#This Row],[Terms (days)]]="",Invoices[[#This Row],[Invoice Date]]+Lists!$D$4,Invoices[[#This Row],[Invoice Date]]+Invoices[[#This Row],[Terms (days)]]))</f>
        <v/>
      </c>
      <c r="I424" s="74" t="str">
        <f>IFERROR(Invoices[[#This Row],[Due Date]]-Invoices[[#This Row],[Invoice Date]],"")</f>
        <v/>
      </c>
      <c r="J424" s="27" t="str">
        <f>IFERROR(IF(Invoices[[#This Row],[Days]]="","",IF(Invoices[[#This Row],[Days]]&lt;31,"A",IF(Invoices[[#This Row],[Days]]&lt;31,"B",IF(Invoices[[#This Row],[Days]]&lt;91,"C","D")))),"")</f>
        <v/>
      </c>
    </row>
    <row r="425" spans="2:10" ht="14.1" customHeight="1" x14ac:dyDescent="0.2">
      <c r="B425" s="10"/>
      <c r="C425" s="11"/>
      <c r="E425" s="11"/>
      <c r="G425" s="12"/>
      <c r="H425" s="27" t="str">
        <f>IF(Invoices[[#This Row],[Invoice Date]]="","",IF(Invoices[[#This Row],[Terms (days)]]="",Invoices[[#This Row],[Invoice Date]]+Lists!$D$4,Invoices[[#This Row],[Invoice Date]]+Invoices[[#This Row],[Terms (days)]]))</f>
        <v/>
      </c>
      <c r="I425" s="74" t="str">
        <f>IFERROR(Invoices[[#This Row],[Due Date]]-Invoices[[#This Row],[Invoice Date]],"")</f>
        <v/>
      </c>
      <c r="J425" s="27" t="str">
        <f>IFERROR(IF(Invoices[[#This Row],[Days]]="","",IF(Invoices[[#This Row],[Days]]&lt;31,"A",IF(Invoices[[#This Row],[Days]]&lt;31,"B",IF(Invoices[[#This Row],[Days]]&lt;91,"C","D")))),"")</f>
        <v/>
      </c>
    </row>
    <row r="426" spans="2:10" ht="14.1" customHeight="1" x14ac:dyDescent="0.2">
      <c r="B426" s="10"/>
      <c r="C426" s="11"/>
      <c r="E426" s="11"/>
      <c r="G426" s="12"/>
      <c r="H426" s="27" t="str">
        <f>IF(Invoices[[#This Row],[Invoice Date]]="","",IF(Invoices[[#This Row],[Terms (days)]]="",Invoices[[#This Row],[Invoice Date]]+Lists!$D$4,Invoices[[#This Row],[Invoice Date]]+Invoices[[#This Row],[Terms (days)]]))</f>
        <v/>
      </c>
      <c r="I426" s="74" t="str">
        <f>IFERROR(Invoices[[#This Row],[Due Date]]-Invoices[[#This Row],[Invoice Date]],"")</f>
        <v/>
      </c>
      <c r="J426" s="27" t="str">
        <f>IFERROR(IF(Invoices[[#This Row],[Days]]="","",IF(Invoices[[#This Row],[Days]]&lt;31,"A",IF(Invoices[[#This Row],[Days]]&lt;31,"B",IF(Invoices[[#This Row],[Days]]&lt;91,"C","D")))),"")</f>
        <v/>
      </c>
    </row>
    <row r="427" spans="2:10" ht="14.1" customHeight="1" x14ac:dyDescent="0.2">
      <c r="B427" s="10"/>
      <c r="C427" s="11"/>
      <c r="E427" s="11"/>
      <c r="G427" s="12"/>
      <c r="H427" s="27" t="str">
        <f>IF(Invoices[[#This Row],[Invoice Date]]="","",IF(Invoices[[#This Row],[Terms (days)]]="",Invoices[[#This Row],[Invoice Date]]+Lists!$D$4,Invoices[[#This Row],[Invoice Date]]+Invoices[[#This Row],[Terms (days)]]))</f>
        <v/>
      </c>
      <c r="I427" s="74" t="str">
        <f>IFERROR(Invoices[[#This Row],[Due Date]]-Invoices[[#This Row],[Invoice Date]],"")</f>
        <v/>
      </c>
      <c r="J427" s="27" t="str">
        <f>IFERROR(IF(Invoices[[#This Row],[Days]]="","",IF(Invoices[[#This Row],[Days]]&lt;31,"A",IF(Invoices[[#This Row],[Days]]&lt;31,"B",IF(Invoices[[#This Row],[Days]]&lt;91,"C","D")))),"")</f>
        <v/>
      </c>
    </row>
    <row r="428" spans="2:10" ht="14.1" customHeight="1" x14ac:dyDescent="0.2">
      <c r="B428" s="10"/>
      <c r="C428" s="11"/>
      <c r="E428" s="11"/>
      <c r="G428" s="12"/>
      <c r="H428" s="27" t="str">
        <f>IF(Invoices[[#This Row],[Invoice Date]]="","",IF(Invoices[[#This Row],[Terms (days)]]="",Invoices[[#This Row],[Invoice Date]]+Lists!$D$4,Invoices[[#This Row],[Invoice Date]]+Invoices[[#This Row],[Terms (days)]]))</f>
        <v/>
      </c>
      <c r="I428" s="74" t="str">
        <f>IFERROR(Invoices[[#This Row],[Due Date]]-Invoices[[#This Row],[Invoice Date]],"")</f>
        <v/>
      </c>
      <c r="J428" s="27" t="str">
        <f>IFERROR(IF(Invoices[[#This Row],[Days]]="","",IF(Invoices[[#This Row],[Days]]&lt;31,"A",IF(Invoices[[#This Row],[Days]]&lt;31,"B",IF(Invoices[[#This Row],[Days]]&lt;91,"C","D")))),"")</f>
        <v/>
      </c>
    </row>
    <row r="429" spans="2:10" ht="14.1" customHeight="1" x14ac:dyDescent="0.2">
      <c r="B429" s="10"/>
      <c r="C429" s="11"/>
      <c r="E429" s="11"/>
      <c r="G429" s="12"/>
      <c r="H429" s="27" t="str">
        <f>IF(Invoices[[#This Row],[Invoice Date]]="","",IF(Invoices[[#This Row],[Terms (days)]]="",Invoices[[#This Row],[Invoice Date]]+Lists!$D$4,Invoices[[#This Row],[Invoice Date]]+Invoices[[#This Row],[Terms (days)]]))</f>
        <v/>
      </c>
      <c r="I429" s="74" t="str">
        <f>IFERROR(Invoices[[#This Row],[Due Date]]-Invoices[[#This Row],[Invoice Date]],"")</f>
        <v/>
      </c>
      <c r="J429" s="27" t="str">
        <f>IFERROR(IF(Invoices[[#This Row],[Days]]="","",IF(Invoices[[#This Row],[Days]]&lt;31,"A",IF(Invoices[[#This Row],[Days]]&lt;31,"B",IF(Invoices[[#This Row],[Days]]&lt;91,"C","D")))),"")</f>
        <v/>
      </c>
    </row>
    <row r="430" spans="2:10" ht="14.1" customHeight="1" x14ac:dyDescent="0.2">
      <c r="B430" s="10"/>
      <c r="C430" s="11"/>
      <c r="E430" s="11"/>
      <c r="G430" s="12"/>
      <c r="H430" s="27" t="str">
        <f>IF(Invoices[[#This Row],[Invoice Date]]="","",IF(Invoices[[#This Row],[Terms (days)]]="",Invoices[[#This Row],[Invoice Date]]+Lists!$D$4,Invoices[[#This Row],[Invoice Date]]+Invoices[[#This Row],[Terms (days)]]))</f>
        <v/>
      </c>
      <c r="I430" s="74" t="str">
        <f>IFERROR(Invoices[[#This Row],[Due Date]]-Invoices[[#This Row],[Invoice Date]],"")</f>
        <v/>
      </c>
      <c r="J430" s="27" t="str">
        <f>IFERROR(IF(Invoices[[#This Row],[Days]]="","",IF(Invoices[[#This Row],[Days]]&lt;31,"A",IF(Invoices[[#This Row],[Days]]&lt;31,"B",IF(Invoices[[#This Row],[Days]]&lt;91,"C","D")))),"")</f>
        <v/>
      </c>
    </row>
    <row r="431" spans="2:10" ht="14.1" customHeight="1" x14ac:dyDescent="0.2">
      <c r="B431" s="10"/>
      <c r="C431" s="11"/>
      <c r="E431" s="11"/>
      <c r="G431" s="12"/>
      <c r="H431" s="27" t="str">
        <f>IF(Invoices[[#This Row],[Invoice Date]]="","",IF(Invoices[[#This Row],[Terms (days)]]="",Invoices[[#This Row],[Invoice Date]]+Lists!$D$4,Invoices[[#This Row],[Invoice Date]]+Invoices[[#This Row],[Terms (days)]]))</f>
        <v/>
      </c>
      <c r="I431" s="74" t="str">
        <f>IFERROR(Invoices[[#This Row],[Due Date]]-Invoices[[#This Row],[Invoice Date]],"")</f>
        <v/>
      </c>
      <c r="J431" s="27" t="str">
        <f>IFERROR(IF(Invoices[[#This Row],[Days]]="","",IF(Invoices[[#This Row],[Days]]&lt;31,"A",IF(Invoices[[#This Row],[Days]]&lt;31,"B",IF(Invoices[[#This Row],[Days]]&lt;91,"C","D")))),"")</f>
        <v/>
      </c>
    </row>
    <row r="432" spans="2:10" ht="14.1" customHeight="1" x14ac:dyDescent="0.2">
      <c r="B432" s="10"/>
      <c r="C432" s="11"/>
      <c r="E432" s="11"/>
      <c r="G432" s="12"/>
      <c r="H432" s="27" t="str">
        <f>IF(Invoices[[#This Row],[Invoice Date]]="","",IF(Invoices[[#This Row],[Terms (days)]]="",Invoices[[#This Row],[Invoice Date]]+Lists!$D$4,Invoices[[#This Row],[Invoice Date]]+Invoices[[#This Row],[Terms (days)]]))</f>
        <v/>
      </c>
      <c r="I432" s="74" t="str">
        <f>IFERROR(Invoices[[#This Row],[Due Date]]-Invoices[[#This Row],[Invoice Date]],"")</f>
        <v/>
      </c>
      <c r="J432" s="27" t="str">
        <f>IFERROR(IF(Invoices[[#This Row],[Days]]="","",IF(Invoices[[#This Row],[Days]]&lt;31,"A",IF(Invoices[[#This Row],[Days]]&lt;31,"B",IF(Invoices[[#This Row],[Days]]&lt;91,"C","D")))),"")</f>
        <v/>
      </c>
    </row>
    <row r="433" spans="2:10" ht="14.1" customHeight="1" x14ac:dyDescent="0.2">
      <c r="B433" s="10"/>
      <c r="C433" s="11"/>
      <c r="E433" s="11"/>
      <c r="G433" s="12"/>
      <c r="H433" s="27" t="str">
        <f>IF(Invoices[[#This Row],[Invoice Date]]="","",IF(Invoices[[#This Row],[Terms (days)]]="",Invoices[[#This Row],[Invoice Date]]+Lists!$D$4,Invoices[[#This Row],[Invoice Date]]+Invoices[[#This Row],[Terms (days)]]))</f>
        <v/>
      </c>
      <c r="I433" s="74" t="str">
        <f>IFERROR(Invoices[[#This Row],[Due Date]]-Invoices[[#This Row],[Invoice Date]],"")</f>
        <v/>
      </c>
      <c r="J433" s="27" t="str">
        <f>IFERROR(IF(Invoices[[#This Row],[Days]]="","",IF(Invoices[[#This Row],[Days]]&lt;31,"A",IF(Invoices[[#This Row],[Days]]&lt;31,"B",IF(Invoices[[#This Row],[Days]]&lt;91,"C","D")))),"")</f>
        <v/>
      </c>
    </row>
    <row r="434" spans="2:10" ht="14.1" customHeight="1" x14ac:dyDescent="0.2">
      <c r="B434" s="10"/>
      <c r="C434" s="11"/>
      <c r="E434" s="11"/>
      <c r="G434" s="12"/>
      <c r="H434" s="27" t="str">
        <f>IF(Invoices[[#This Row],[Invoice Date]]="","",IF(Invoices[[#This Row],[Terms (days)]]="",Invoices[[#This Row],[Invoice Date]]+Lists!$D$4,Invoices[[#This Row],[Invoice Date]]+Invoices[[#This Row],[Terms (days)]]))</f>
        <v/>
      </c>
      <c r="I434" s="74" t="str">
        <f>IFERROR(Invoices[[#This Row],[Due Date]]-Invoices[[#This Row],[Invoice Date]],"")</f>
        <v/>
      </c>
      <c r="J434" s="27" t="str">
        <f>IFERROR(IF(Invoices[[#This Row],[Days]]="","",IF(Invoices[[#This Row],[Days]]&lt;31,"A",IF(Invoices[[#This Row],[Days]]&lt;31,"B",IF(Invoices[[#This Row],[Days]]&lt;91,"C","D")))),"")</f>
        <v/>
      </c>
    </row>
    <row r="435" spans="2:10" ht="14.1" customHeight="1" x14ac:dyDescent="0.2">
      <c r="B435" s="10"/>
      <c r="C435" s="11"/>
      <c r="E435" s="11"/>
      <c r="G435" s="12"/>
      <c r="H435" s="27" t="str">
        <f>IF(Invoices[[#This Row],[Invoice Date]]="","",IF(Invoices[[#This Row],[Terms (days)]]="",Invoices[[#This Row],[Invoice Date]]+Lists!$D$4,Invoices[[#This Row],[Invoice Date]]+Invoices[[#This Row],[Terms (days)]]))</f>
        <v/>
      </c>
      <c r="I435" s="74" t="str">
        <f>IFERROR(Invoices[[#This Row],[Due Date]]-Invoices[[#This Row],[Invoice Date]],"")</f>
        <v/>
      </c>
      <c r="J435" s="27" t="str">
        <f>IFERROR(IF(Invoices[[#This Row],[Days]]="","",IF(Invoices[[#This Row],[Days]]&lt;31,"A",IF(Invoices[[#This Row],[Days]]&lt;31,"B",IF(Invoices[[#This Row],[Days]]&lt;91,"C","D")))),"")</f>
        <v/>
      </c>
    </row>
    <row r="436" spans="2:10" ht="14.1" customHeight="1" x14ac:dyDescent="0.2">
      <c r="B436" s="10"/>
      <c r="C436" s="11"/>
      <c r="E436" s="11"/>
      <c r="G436" s="12"/>
      <c r="H436" s="27" t="str">
        <f>IF(Invoices[[#This Row],[Invoice Date]]="","",IF(Invoices[[#This Row],[Terms (days)]]="",Invoices[[#This Row],[Invoice Date]]+Lists!$D$4,Invoices[[#This Row],[Invoice Date]]+Invoices[[#This Row],[Terms (days)]]))</f>
        <v/>
      </c>
      <c r="I436" s="74" t="str">
        <f>IFERROR(Invoices[[#This Row],[Due Date]]-Invoices[[#This Row],[Invoice Date]],"")</f>
        <v/>
      </c>
      <c r="J436" s="27" t="str">
        <f>IFERROR(IF(Invoices[[#This Row],[Days]]="","",IF(Invoices[[#This Row],[Days]]&lt;31,"A",IF(Invoices[[#This Row],[Days]]&lt;31,"B",IF(Invoices[[#This Row],[Days]]&lt;91,"C","D")))),"")</f>
        <v/>
      </c>
    </row>
    <row r="437" spans="2:10" ht="14.1" customHeight="1" x14ac:dyDescent="0.2">
      <c r="B437" s="10"/>
      <c r="C437" s="11"/>
      <c r="E437" s="11"/>
      <c r="G437" s="12"/>
      <c r="H437" s="27" t="str">
        <f>IF(Invoices[[#This Row],[Invoice Date]]="","",IF(Invoices[[#This Row],[Terms (days)]]="",Invoices[[#This Row],[Invoice Date]]+Lists!$D$4,Invoices[[#This Row],[Invoice Date]]+Invoices[[#This Row],[Terms (days)]]))</f>
        <v/>
      </c>
      <c r="I437" s="74" t="str">
        <f>IFERROR(Invoices[[#This Row],[Due Date]]-Invoices[[#This Row],[Invoice Date]],"")</f>
        <v/>
      </c>
      <c r="J437" s="27" t="str">
        <f>IFERROR(IF(Invoices[[#This Row],[Days]]="","",IF(Invoices[[#This Row],[Days]]&lt;31,"A",IF(Invoices[[#This Row],[Days]]&lt;31,"B",IF(Invoices[[#This Row],[Days]]&lt;91,"C","D")))),"")</f>
        <v/>
      </c>
    </row>
    <row r="438" spans="2:10" ht="14.1" customHeight="1" x14ac:dyDescent="0.2">
      <c r="B438" s="10"/>
      <c r="C438" s="11"/>
      <c r="E438" s="11"/>
      <c r="G438" s="12"/>
      <c r="H438" s="27" t="str">
        <f>IF(Invoices[[#This Row],[Invoice Date]]="","",IF(Invoices[[#This Row],[Terms (days)]]="",Invoices[[#This Row],[Invoice Date]]+Lists!$D$4,Invoices[[#This Row],[Invoice Date]]+Invoices[[#This Row],[Terms (days)]]))</f>
        <v/>
      </c>
      <c r="I438" s="74" t="str">
        <f>IFERROR(Invoices[[#This Row],[Due Date]]-Invoices[[#This Row],[Invoice Date]],"")</f>
        <v/>
      </c>
      <c r="J438" s="27" t="str">
        <f>IFERROR(IF(Invoices[[#This Row],[Days]]="","",IF(Invoices[[#This Row],[Days]]&lt;31,"A",IF(Invoices[[#This Row],[Days]]&lt;31,"B",IF(Invoices[[#This Row],[Days]]&lt;91,"C","D")))),"")</f>
        <v/>
      </c>
    </row>
    <row r="439" spans="2:10" ht="14.1" customHeight="1" x14ac:dyDescent="0.2">
      <c r="B439" s="10"/>
      <c r="C439" s="11"/>
      <c r="E439" s="11"/>
      <c r="G439" s="12"/>
      <c r="H439" s="27" t="str">
        <f>IF(Invoices[[#This Row],[Invoice Date]]="","",IF(Invoices[[#This Row],[Terms (days)]]="",Invoices[[#This Row],[Invoice Date]]+Lists!$D$4,Invoices[[#This Row],[Invoice Date]]+Invoices[[#This Row],[Terms (days)]]))</f>
        <v/>
      </c>
      <c r="I439" s="74" t="str">
        <f>IFERROR(Invoices[[#This Row],[Due Date]]-Invoices[[#This Row],[Invoice Date]],"")</f>
        <v/>
      </c>
      <c r="J439" s="27" t="str">
        <f>IFERROR(IF(Invoices[[#This Row],[Days]]="","",IF(Invoices[[#This Row],[Days]]&lt;31,"A",IF(Invoices[[#This Row],[Days]]&lt;31,"B",IF(Invoices[[#This Row],[Days]]&lt;91,"C","D")))),"")</f>
        <v/>
      </c>
    </row>
    <row r="440" spans="2:10" ht="14.1" customHeight="1" x14ac:dyDescent="0.2">
      <c r="B440" s="10"/>
      <c r="C440" s="11"/>
      <c r="E440" s="11"/>
      <c r="G440" s="12"/>
      <c r="H440" s="27" t="str">
        <f>IF(Invoices[[#This Row],[Invoice Date]]="","",IF(Invoices[[#This Row],[Terms (days)]]="",Invoices[[#This Row],[Invoice Date]]+Lists!$D$4,Invoices[[#This Row],[Invoice Date]]+Invoices[[#This Row],[Terms (days)]]))</f>
        <v/>
      </c>
      <c r="I440" s="74" t="str">
        <f>IFERROR(Invoices[[#This Row],[Due Date]]-Invoices[[#This Row],[Invoice Date]],"")</f>
        <v/>
      </c>
      <c r="J440" s="27" t="str">
        <f>IFERROR(IF(Invoices[[#This Row],[Days]]="","",IF(Invoices[[#This Row],[Days]]&lt;31,"A",IF(Invoices[[#This Row],[Days]]&lt;31,"B",IF(Invoices[[#This Row],[Days]]&lt;91,"C","D")))),"")</f>
        <v/>
      </c>
    </row>
    <row r="441" spans="2:10" ht="14.1" customHeight="1" x14ac:dyDescent="0.2">
      <c r="B441" s="10"/>
      <c r="C441" s="11"/>
      <c r="E441" s="11"/>
      <c r="G441" s="12"/>
      <c r="H441" s="27" t="str">
        <f>IF(Invoices[[#This Row],[Invoice Date]]="","",IF(Invoices[[#This Row],[Terms (days)]]="",Invoices[[#This Row],[Invoice Date]]+Lists!$D$4,Invoices[[#This Row],[Invoice Date]]+Invoices[[#This Row],[Terms (days)]]))</f>
        <v/>
      </c>
      <c r="I441" s="74" t="str">
        <f>IFERROR(Invoices[[#This Row],[Due Date]]-Invoices[[#This Row],[Invoice Date]],"")</f>
        <v/>
      </c>
      <c r="J441" s="27" t="str">
        <f>IFERROR(IF(Invoices[[#This Row],[Days]]="","",IF(Invoices[[#This Row],[Days]]&lt;31,"A",IF(Invoices[[#This Row],[Days]]&lt;31,"B",IF(Invoices[[#This Row],[Days]]&lt;91,"C","D")))),"")</f>
        <v/>
      </c>
    </row>
    <row r="442" spans="2:10" ht="14.1" customHeight="1" x14ac:dyDescent="0.2">
      <c r="B442" s="10"/>
      <c r="C442" s="11"/>
      <c r="E442" s="11"/>
      <c r="G442" s="12"/>
      <c r="H442" s="27" t="str">
        <f>IF(Invoices[[#This Row],[Invoice Date]]="","",IF(Invoices[[#This Row],[Terms (days)]]="",Invoices[[#This Row],[Invoice Date]]+Lists!$D$4,Invoices[[#This Row],[Invoice Date]]+Invoices[[#This Row],[Terms (days)]]))</f>
        <v/>
      </c>
      <c r="I442" s="74" t="str">
        <f>IFERROR(Invoices[[#This Row],[Due Date]]-Invoices[[#This Row],[Invoice Date]],"")</f>
        <v/>
      </c>
      <c r="J442" s="27" t="str">
        <f>IFERROR(IF(Invoices[[#This Row],[Days]]="","",IF(Invoices[[#This Row],[Days]]&lt;31,"A",IF(Invoices[[#This Row],[Days]]&lt;31,"B",IF(Invoices[[#This Row],[Days]]&lt;91,"C","D")))),"")</f>
        <v/>
      </c>
    </row>
    <row r="443" spans="2:10" ht="14.1" customHeight="1" x14ac:dyDescent="0.2">
      <c r="B443" s="10"/>
      <c r="C443" s="11"/>
      <c r="E443" s="11"/>
      <c r="G443" s="12"/>
      <c r="H443" s="27" t="str">
        <f>IF(Invoices[[#This Row],[Invoice Date]]="","",IF(Invoices[[#This Row],[Terms (days)]]="",Invoices[[#This Row],[Invoice Date]]+Lists!$D$4,Invoices[[#This Row],[Invoice Date]]+Invoices[[#This Row],[Terms (days)]]))</f>
        <v/>
      </c>
      <c r="I443" s="74" t="str">
        <f>IFERROR(Invoices[[#This Row],[Due Date]]-Invoices[[#This Row],[Invoice Date]],"")</f>
        <v/>
      </c>
      <c r="J443" s="27" t="str">
        <f>IFERROR(IF(Invoices[[#This Row],[Days]]="","",IF(Invoices[[#This Row],[Days]]&lt;31,"A",IF(Invoices[[#This Row],[Days]]&lt;31,"B",IF(Invoices[[#This Row],[Days]]&lt;91,"C","D")))),"")</f>
        <v/>
      </c>
    </row>
    <row r="444" spans="2:10" ht="14.1" customHeight="1" x14ac:dyDescent="0.2">
      <c r="B444" s="10"/>
      <c r="C444" s="11"/>
      <c r="E444" s="11"/>
      <c r="G444" s="12"/>
      <c r="H444" s="27" t="str">
        <f>IF(Invoices[[#This Row],[Invoice Date]]="","",IF(Invoices[[#This Row],[Terms (days)]]="",Invoices[[#This Row],[Invoice Date]]+Lists!$D$4,Invoices[[#This Row],[Invoice Date]]+Invoices[[#This Row],[Terms (days)]]))</f>
        <v/>
      </c>
      <c r="I444" s="74" t="str">
        <f>IFERROR(Invoices[[#This Row],[Due Date]]-Invoices[[#This Row],[Invoice Date]],"")</f>
        <v/>
      </c>
      <c r="J444" s="27" t="str">
        <f>IFERROR(IF(Invoices[[#This Row],[Days]]="","",IF(Invoices[[#This Row],[Days]]&lt;31,"A",IF(Invoices[[#This Row],[Days]]&lt;31,"B",IF(Invoices[[#This Row],[Days]]&lt;91,"C","D")))),"")</f>
        <v/>
      </c>
    </row>
    <row r="445" spans="2:10" ht="14.1" customHeight="1" x14ac:dyDescent="0.2">
      <c r="B445" s="10"/>
      <c r="C445" s="11"/>
      <c r="E445" s="11"/>
      <c r="G445" s="12"/>
      <c r="H445" s="27" t="str">
        <f>IF(Invoices[[#This Row],[Invoice Date]]="","",IF(Invoices[[#This Row],[Terms (days)]]="",Invoices[[#This Row],[Invoice Date]]+Lists!$D$4,Invoices[[#This Row],[Invoice Date]]+Invoices[[#This Row],[Terms (days)]]))</f>
        <v/>
      </c>
      <c r="I445" s="74" t="str">
        <f>IFERROR(Invoices[[#This Row],[Due Date]]-Invoices[[#This Row],[Invoice Date]],"")</f>
        <v/>
      </c>
      <c r="J445" s="27" t="str">
        <f>IFERROR(IF(Invoices[[#This Row],[Days]]="","",IF(Invoices[[#This Row],[Days]]&lt;31,"A",IF(Invoices[[#This Row],[Days]]&lt;31,"B",IF(Invoices[[#This Row],[Days]]&lt;91,"C","D")))),"")</f>
        <v/>
      </c>
    </row>
    <row r="446" spans="2:10" ht="14.1" customHeight="1" x14ac:dyDescent="0.2">
      <c r="B446" s="10"/>
      <c r="C446" s="11"/>
      <c r="E446" s="11"/>
      <c r="G446" s="12"/>
      <c r="H446" s="27" t="str">
        <f>IF(Invoices[[#This Row],[Invoice Date]]="","",IF(Invoices[[#This Row],[Terms (days)]]="",Invoices[[#This Row],[Invoice Date]]+Lists!$D$4,Invoices[[#This Row],[Invoice Date]]+Invoices[[#This Row],[Terms (days)]]))</f>
        <v/>
      </c>
      <c r="I446" s="74" t="str">
        <f>IFERROR(Invoices[[#This Row],[Due Date]]-Invoices[[#This Row],[Invoice Date]],"")</f>
        <v/>
      </c>
      <c r="J446" s="27" t="str">
        <f>IFERROR(IF(Invoices[[#This Row],[Days]]="","",IF(Invoices[[#This Row],[Days]]&lt;31,"A",IF(Invoices[[#This Row],[Days]]&lt;31,"B",IF(Invoices[[#This Row],[Days]]&lt;91,"C","D")))),"")</f>
        <v/>
      </c>
    </row>
    <row r="447" spans="2:10" ht="14.1" customHeight="1" x14ac:dyDescent="0.2">
      <c r="B447" s="10"/>
      <c r="C447" s="11"/>
      <c r="E447" s="11"/>
      <c r="G447" s="12"/>
      <c r="H447" s="27" t="str">
        <f>IF(Invoices[[#This Row],[Invoice Date]]="","",IF(Invoices[[#This Row],[Terms (days)]]="",Invoices[[#This Row],[Invoice Date]]+Lists!$D$4,Invoices[[#This Row],[Invoice Date]]+Invoices[[#This Row],[Terms (days)]]))</f>
        <v/>
      </c>
      <c r="I447" s="74" t="str">
        <f>IFERROR(Invoices[[#This Row],[Due Date]]-Invoices[[#This Row],[Invoice Date]],"")</f>
        <v/>
      </c>
      <c r="J447" s="27" t="str">
        <f>IFERROR(IF(Invoices[[#This Row],[Days]]="","",IF(Invoices[[#This Row],[Days]]&lt;31,"A",IF(Invoices[[#This Row],[Days]]&lt;31,"B",IF(Invoices[[#This Row],[Days]]&lt;91,"C","D")))),"")</f>
        <v/>
      </c>
    </row>
    <row r="448" spans="2:10" ht="14.1" customHeight="1" x14ac:dyDescent="0.2">
      <c r="B448" s="10"/>
      <c r="C448" s="11"/>
      <c r="E448" s="11"/>
      <c r="G448" s="12"/>
      <c r="H448" s="27" t="str">
        <f>IF(Invoices[[#This Row],[Invoice Date]]="","",IF(Invoices[[#This Row],[Terms (days)]]="",Invoices[[#This Row],[Invoice Date]]+Lists!$D$4,Invoices[[#This Row],[Invoice Date]]+Invoices[[#This Row],[Terms (days)]]))</f>
        <v/>
      </c>
      <c r="I448" s="74" t="str">
        <f>IFERROR(Invoices[[#This Row],[Due Date]]-Invoices[[#This Row],[Invoice Date]],"")</f>
        <v/>
      </c>
      <c r="J448" s="27" t="str">
        <f>IFERROR(IF(Invoices[[#This Row],[Days]]="","",IF(Invoices[[#This Row],[Days]]&lt;31,"A",IF(Invoices[[#This Row],[Days]]&lt;31,"B",IF(Invoices[[#This Row],[Days]]&lt;91,"C","D")))),"")</f>
        <v/>
      </c>
    </row>
    <row r="449" spans="2:10" ht="14.1" customHeight="1" x14ac:dyDescent="0.2">
      <c r="B449" s="10"/>
      <c r="C449" s="11"/>
      <c r="E449" s="11"/>
      <c r="G449" s="12"/>
      <c r="H449" s="27" t="str">
        <f>IF(Invoices[[#This Row],[Invoice Date]]="","",IF(Invoices[[#This Row],[Terms (days)]]="",Invoices[[#This Row],[Invoice Date]]+Lists!$D$4,Invoices[[#This Row],[Invoice Date]]+Invoices[[#This Row],[Terms (days)]]))</f>
        <v/>
      </c>
      <c r="I449" s="74" t="str">
        <f>IFERROR(Invoices[[#This Row],[Due Date]]-Invoices[[#This Row],[Invoice Date]],"")</f>
        <v/>
      </c>
      <c r="J449" s="27" t="str">
        <f>IFERROR(IF(Invoices[[#This Row],[Days]]="","",IF(Invoices[[#This Row],[Days]]&lt;31,"A",IF(Invoices[[#This Row],[Days]]&lt;31,"B",IF(Invoices[[#This Row],[Days]]&lt;91,"C","D")))),"")</f>
        <v/>
      </c>
    </row>
    <row r="450" spans="2:10" ht="14.1" customHeight="1" x14ac:dyDescent="0.2">
      <c r="B450" s="10"/>
      <c r="C450" s="11"/>
      <c r="E450" s="11"/>
      <c r="G450" s="12"/>
      <c r="H450" s="27" t="str">
        <f>IF(Invoices[[#This Row],[Invoice Date]]="","",IF(Invoices[[#This Row],[Terms (days)]]="",Invoices[[#This Row],[Invoice Date]]+Lists!$D$4,Invoices[[#This Row],[Invoice Date]]+Invoices[[#This Row],[Terms (days)]]))</f>
        <v/>
      </c>
      <c r="I450" s="74" t="str">
        <f>IFERROR(Invoices[[#This Row],[Due Date]]-Invoices[[#This Row],[Invoice Date]],"")</f>
        <v/>
      </c>
      <c r="J450" s="27" t="str">
        <f>IFERROR(IF(Invoices[[#This Row],[Days]]="","",IF(Invoices[[#This Row],[Days]]&lt;31,"A",IF(Invoices[[#This Row],[Days]]&lt;31,"B",IF(Invoices[[#This Row],[Days]]&lt;91,"C","D")))),"")</f>
        <v/>
      </c>
    </row>
    <row r="451" spans="2:10" ht="14.1" customHeight="1" x14ac:dyDescent="0.2">
      <c r="B451" s="10"/>
      <c r="C451" s="11"/>
      <c r="E451" s="11"/>
      <c r="G451" s="12"/>
      <c r="H451" s="27" t="str">
        <f>IF(Invoices[[#This Row],[Invoice Date]]="","",IF(Invoices[[#This Row],[Terms (days)]]="",Invoices[[#This Row],[Invoice Date]]+Lists!$D$4,Invoices[[#This Row],[Invoice Date]]+Invoices[[#This Row],[Terms (days)]]))</f>
        <v/>
      </c>
      <c r="I451" s="74" t="str">
        <f>IFERROR(Invoices[[#This Row],[Due Date]]-Invoices[[#This Row],[Invoice Date]],"")</f>
        <v/>
      </c>
      <c r="J451" s="27" t="str">
        <f>IFERROR(IF(Invoices[[#This Row],[Days]]="","",IF(Invoices[[#This Row],[Days]]&lt;31,"A",IF(Invoices[[#This Row],[Days]]&lt;31,"B",IF(Invoices[[#This Row],[Days]]&lt;91,"C","D")))),"")</f>
        <v/>
      </c>
    </row>
    <row r="452" spans="2:10" ht="14.1" customHeight="1" x14ac:dyDescent="0.2">
      <c r="B452" s="10"/>
      <c r="C452" s="11"/>
      <c r="E452" s="11"/>
      <c r="G452" s="12"/>
      <c r="H452" s="27" t="str">
        <f>IF(Invoices[[#This Row],[Invoice Date]]="","",IF(Invoices[[#This Row],[Terms (days)]]="",Invoices[[#This Row],[Invoice Date]]+Lists!$D$4,Invoices[[#This Row],[Invoice Date]]+Invoices[[#This Row],[Terms (days)]]))</f>
        <v/>
      </c>
      <c r="I452" s="74" t="str">
        <f>IFERROR(Invoices[[#This Row],[Due Date]]-Invoices[[#This Row],[Invoice Date]],"")</f>
        <v/>
      </c>
      <c r="J452" s="27" t="str">
        <f>IFERROR(IF(Invoices[[#This Row],[Days]]="","",IF(Invoices[[#This Row],[Days]]&lt;31,"A",IF(Invoices[[#This Row],[Days]]&lt;31,"B",IF(Invoices[[#This Row],[Days]]&lt;91,"C","D")))),"")</f>
        <v/>
      </c>
    </row>
    <row r="453" spans="2:10" ht="14.1" customHeight="1" x14ac:dyDescent="0.2">
      <c r="B453" s="10"/>
      <c r="C453" s="11"/>
      <c r="E453" s="11"/>
      <c r="G453" s="12"/>
      <c r="H453" s="27" t="str">
        <f>IF(Invoices[[#This Row],[Invoice Date]]="","",IF(Invoices[[#This Row],[Terms (days)]]="",Invoices[[#This Row],[Invoice Date]]+Lists!$D$4,Invoices[[#This Row],[Invoice Date]]+Invoices[[#This Row],[Terms (days)]]))</f>
        <v/>
      </c>
      <c r="I453" s="74" t="str">
        <f>IFERROR(Invoices[[#This Row],[Due Date]]-Invoices[[#This Row],[Invoice Date]],"")</f>
        <v/>
      </c>
      <c r="J453" s="27" t="str">
        <f>IFERROR(IF(Invoices[[#This Row],[Days]]="","",IF(Invoices[[#This Row],[Days]]&lt;31,"A",IF(Invoices[[#This Row],[Days]]&lt;31,"B",IF(Invoices[[#This Row],[Days]]&lt;91,"C","D")))),"")</f>
        <v/>
      </c>
    </row>
    <row r="454" spans="2:10" ht="14.1" customHeight="1" x14ac:dyDescent="0.2">
      <c r="B454" s="10"/>
      <c r="C454" s="11"/>
      <c r="E454" s="11"/>
      <c r="G454" s="12"/>
      <c r="H454" s="27" t="str">
        <f>IF(Invoices[[#This Row],[Invoice Date]]="","",IF(Invoices[[#This Row],[Terms (days)]]="",Invoices[[#This Row],[Invoice Date]]+Lists!$D$4,Invoices[[#This Row],[Invoice Date]]+Invoices[[#This Row],[Terms (days)]]))</f>
        <v/>
      </c>
      <c r="I454" s="74" t="str">
        <f>IFERROR(Invoices[[#This Row],[Due Date]]-Invoices[[#This Row],[Invoice Date]],"")</f>
        <v/>
      </c>
      <c r="J454" s="27" t="str">
        <f>IFERROR(IF(Invoices[[#This Row],[Days]]="","",IF(Invoices[[#This Row],[Days]]&lt;31,"A",IF(Invoices[[#This Row],[Days]]&lt;31,"B",IF(Invoices[[#This Row],[Days]]&lt;91,"C","D")))),"")</f>
        <v/>
      </c>
    </row>
    <row r="455" spans="2:10" ht="14.1" customHeight="1" x14ac:dyDescent="0.2">
      <c r="B455" s="10"/>
      <c r="C455" s="11"/>
      <c r="E455" s="11"/>
      <c r="G455" s="12"/>
      <c r="H455" s="27" t="str">
        <f>IF(Invoices[[#This Row],[Invoice Date]]="","",IF(Invoices[[#This Row],[Terms (days)]]="",Invoices[[#This Row],[Invoice Date]]+Lists!$D$4,Invoices[[#This Row],[Invoice Date]]+Invoices[[#This Row],[Terms (days)]]))</f>
        <v/>
      </c>
      <c r="I455" s="74" t="str">
        <f>IFERROR(Invoices[[#This Row],[Due Date]]-Invoices[[#This Row],[Invoice Date]],"")</f>
        <v/>
      </c>
      <c r="J455" s="27" t="str">
        <f>IFERROR(IF(Invoices[[#This Row],[Days]]="","",IF(Invoices[[#This Row],[Days]]&lt;31,"A",IF(Invoices[[#This Row],[Days]]&lt;31,"B",IF(Invoices[[#This Row],[Days]]&lt;91,"C","D")))),"")</f>
        <v/>
      </c>
    </row>
    <row r="456" spans="2:10" ht="14.1" customHeight="1" x14ac:dyDescent="0.2">
      <c r="B456" s="10"/>
      <c r="C456" s="11"/>
      <c r="E456" s="11"/>
      <c r="G456" s="12"/>
      <c r="H456" s="27" t="str">
        <f>IF(Invoices[[#This Row],[Invoice Date]]="","",IF(Invoices[[#This Row],[Terms (days)]]="",Invoices[[#This Row],[Invoice Date]]+Lists!$D$4,Invoices[[#This Row],[Invoice Date]]+Invoices[[#This Row],[Terms (days)]]))</f>
        <v/>
      </c>
      <c r="I456" s="74" t="str">
        <f>IFERROR(Invoices[[#This Row],[Due Date]]-Invoices[[#This Row],[Invoice Date]],"")</f>
        <v/>
      </c>
      <c r="J456" s="27" t="str">
        <f>IFERROR(IF(Invoices[[#This Row],[Days]]="","",IF(Invoices[[#This Row],[Days]]&lt;31,"A",IF(Invoices[[#This Row],[Days]]&lt;31,"B",IF(Invoices[[#This Row],[Days]]&lt;91,"C","D")))),"")</f>
        <v/>
      </c>
    </row>
    <row r="457" spans="2:10" ht="14.1" customHeight="1" x14ac:dyDescent="0.2">
      <c r="B457" s="10"/>
      <c r="C457" s="11"/>
      <c r="E457" s="11"/>
      <c r="G457" s="12"/>
      <c r="H457" s="27" t="str">
        <f>IF(Invoices[[#This Row],[Invoice Date]]="","",IF(Invoices[[#This Row],[Terms (days)]]="",Invoices[[#This Row],[Invoice Date]]+Lists!$D$4,Invoices[[#This Row],[Invoice Date]]+Invoices[[#This Row],[Terms (days)]]))</f>
        <v/>
      </c>
      <c r="I457" s="74" t="str">
        <f>IFERROR(Invoices[[#This Row],[Due Date]]-Invoices[[#This Row],[Invoice Date]],"")</f>
        <v/>
      </c>
      <c r="J457" s="27" t="str">
        <f>IFERROR(IF(Invoices[[#This Row],[Days]]="","",IF(Invoices[[#This Row],[Days]]&lt;31,"A",IF(Invoices[[#This Row],[Days]]&lt;31,"B",IF(Invoices[[#This Row],[Days]]&lt;91,"C","D")))),"")</f>
        <v/>
      </c>
    </row>
    <row r="458" spans="2:10" ht="14.1" customHeight="1" x14ac:dyDescent="0.2">
      <c r="B458" s="10"/>
      <c r="C458" s="11"/>
      <c r="E458" s="11"/>
      <c r="G458" s="12"/>
      <c r="H458" s="27" t="str">
        <f>IF(Invoices[[#This Row],[Invoice Date]]="","",IF(Invoices[[#This Row],[Terms (days)]]="",Invoices[[#This Row],[Invoice Date]]+Lists!$D$4,Invoices[[#This Row],[Invoice Date]]+Invoices[[#This Row],[Terms (days)]]))</f>
        <v/>
      </c>
      <c r="I458" s="74" t="str">
        <f>IFERROR(Invoices[[#This Row],[Due Date]]-Invoices[[#This Row],[Invoice Date]],"")</f>
        <v/>
      </c>
      <c r="J458" s="27" t="str">
        <f>IFERROR(IF(Invoices[[#This Row],[Days]]="","",IF(Invoices[[#This Row],[Days]]&lt;31,"A",IF(Invoices[[#This Row],[Days]]&lt;31,"B",IF(Invoices[[#This Row],[Days]]&lt;91,"C","D")))),"")</f>
        <v/>
      </c>
    </row>
    <row r="459" spans="2:10" ht="14.1" customHeight="1" x14ac:dyDescent="0.2">
      <c r="B459" s="10"/>
      <c r="C459" s="11"/>
      <c r="E459" s="11"/>
      <c r="G459" s="12"/>
      <c r="H459" s="27" t="str">
        <f>IF(Invoices[[#This Row],[Invoice Date]]="","",IF(Invoices[[#This Row],[Terms (days)]]="",Invoices[[#This Row],[Invoice Date]]+Lists!$D$4,Invoices[[#This Row],[Invoice Date]]+Invoices[[#This Row],[Terms (days)]]))</f>
        <v/>
      </c>
      <c r="I459" s="74" t="str">
        <f>IFERROR(Invoices[[#This Row],[Due Date]]-Invoices[[#This Row],[Invoice Date]],"")</f>
        <v/>
      </c>
      <c r="J459" s="27" t="str">
        <f>IFERROR(IF(Invoices[[#This Row],[Days]]="","",IF(Invoices[[#This Row],[Days]]&lt;31,"A",IF(Invoices[[#This Row],[Days]]&lt;31,"B",IF(Invoices[[#This Row],[Days]]&lt;91,"C","D")))),"")</f>
        <v/>
      </c>
    </row>
    <row r="460" spans="2:10" ht="14.1" customHeight="1" x14ac:dyDescent="0.2">
      <c r="B460" s="10"/>
      <c r="C460" s="11"/>
      <c r="E460" s="11"/>
      <c r="G460" s="12"/>
      <c r="H460" s="27" t="str">
        <f>IF(Invoices[[#This Row],[Invoice Date]]="","",IF(Invoices[[#This Row],[Terms (days)]]="",Invoices[[#This Row],[Invoice Date]]+Lists!$D$4,Invoices[[#This Row],[Invoice Date]]+Invoices[[#This Row],[Terms (days)]]))</f>
        <v/>
      </c>
      <c r="I460" s="74" t="str">
        <f>IFERROR(Invoices[[#This Row],[Due Date]]-Invoices[[#This Row],[Invoice Date]],"")</f>
        <v/>
      </c>
      <c r="J460" s="27" t="str">
        <f>IFERROR(IF(Invoices[[#This Row],[Days]]="","",IF(Invoices[[#This Row],[Days]]&lt;31,"A",IF(Invoices[[#This Row],[Days]]&lt;31,"B",IF(Invoices[[#This Row],[Days]]&lt;91,"C","D")))),"")</f>
        <v/>
      </c>
    </row>
    <row r="461" spans="2:10" ht="14.1" customHeight="1" x14ac:dyDescent="0.2">
      <c r="B461" s="10"/>
      <c r="C461" s="11"/>
      <c r="E461" s="11"/>
      <c r="G461" s="12"/>
      <c r="H461" s="27" t="str">
        <f>IF(Invoices[[#This Row],[Invoice Date]]="","",IF(Invoices[[#This Row],[Terms (days)]]="",Invoices[[#This Row],[Invoice Date]]+Lists!$D$4,Invoices[[#This Row],[Invoice Date]]+Invoices[[#This Row],[Terms (days)]]))</f>
        <v/>
      </c>
      <c r="I461" s="74" t="str">
        <f>IFERROR(Invoices[[#This Row],[Due Date]]-Invoices[[#This Row],[Invoice Date]],"")</f>
        <v/>
      </c>
      <c r="J461" s="27" t="str">
        <f>IFERROR(IF(Invoices[[#This Row],[Days]]="","",IF(Invoices[[#This Row],[Days]]&lt;31,"A",IF(Invoices[[#This Row],[Days]]&lt;31,"B",IF(Invoices[[#This Row],[Days]]&lt;91,"C","D")))),"")</f>
        <v/>
      </c>
    </row>
    <row r="462" spans="2:10" ht="14.1" customHeight="1" x14ac:dyDescent="0.2">
      <c r="B462" s="10"/>
      <c r="C462" s="11"/>
      <c r="E462" s="11"/>
      <c r="G462" s="12"/>
      <c r="H462" s="27" t="str">
        <f>IF(Invoices[[#This Row],[Invoice Date]]="","",IF(Invoices[[#This Row],[Terms (days)]]="",Invoices[[#This Row],[Invoice Date]]+Lists!$D$4,Invoices[[#This Row],[Invoice Date]]+Invoices[[#This Row],[Terms (days)]]))</f>
        <v/>
      </c>
      <c r="I462" s="74" t="str">
        <f>IFERROR(Invoices[[#This Row],[Due Date]]-Invoices[[#This Row],[Invoice Date]],"")</f>
        <v/>
      </c>
      <c r="J462" s="27" t="str">
        <f>IFERROR(IF(Invoices[[#This Row],[Days]]="","",IF(Invoices[[#This Row],[Days]]&lt;31,"A",IF(Invoices[[#This Row],[Days]]&lt;31,"B",IF(Invoices[[#This Row],[Days]]&lt;91,"C","D")))),"")</f>
        <v/>
      </c>
    </row>
    <row r="463" spans="2:10" ht="14.1" customHeight="1" x14ac:dyDescent="0.2">
      <c r="B463" s="10"/>
      <c r="C463" s="11"/>
      <c r="E463" s="11"/>
      <c r="G463" s="12"/>
      <c r="H463" s="27" t="str">
        <f>IF(Invoices[[#This Row],[Invoice Date]]="","",IF(Invoices[[#This Row],[Terms (days)]]="",Invoices[[#This Row],[Invoice Date]]+Lists!$D$4,Invoices[[#This Row],[Invoice Date]]+Invoices[[#This Row],[Terms (days)]]))</f>
        <v/>
      </c>
      <c r="I463" s="74" t="str">
        <f>IFERROR(Invoices[[#This Row],[Due Date]]-Invoices[[#This Row],[Invoice Date]],"")</f>
        <v/>
      </c>
      <c r="J463" s="27" t="str">
        <f>IFERROR(IF(Invoices[[#This Row],[Days]]="","",IF(Invoices[[#This Row],[Days]]&lt;31,"A",IF(Invoices[[#This Row],[Days]]&lt;31,"B",IF(Invoices[[#This Row],[Days]]&lt;91,"C","D")))),"")</f>
        <v/>
      </c>
    </row>
    <row r="464" spans="2:10" ht="14.1" customHeight="1" x14ac:dyDescent="0.2">
      <c r="B464" s="10"/>
      <c r="C464" s="11"/>
      <c r="E464" s="11"/>
      <c r="G464" s="12"/>
      <c r="H464" s="27" t="str">
        <f>IF(Invoices[[#This Row],[Invoice Date]]="","",IF(Invoices[[#This Row],[Terms (days)]]="",Invoices[[#This Row],[Invoice Date]]+Lists!$D$4,Invoices[[#This Row],[Invoice Date]]+Invoices[[#This Row],[Terms (days)]]))</f>
        <v/>
      </c>
      <c r="I464" s="74" t="str">
        <f>IFERROR(Invoices[[#This Row],[Due Date]]-Invoices[[#This Row],[Invoice Date]],"")</f>
        <v/>
      </c>
      <c r="J464" s="27" t="str">
        <f>IFERROR(IF(Invoices[[#This Row],[Days]]="","",IF(Invoices[[#This Row],[Days]]&lt;31,"A",IF(Invoices[[#This Row],[Days]]&lt;31,"B",IF(Invoices[[#This Row],[Days]]&lt;91,"C","D")))),"")</f>
        <v/>
      </c>
    </row>
    <row r="465" spans="2:10" ht="14.1" customHeight="1" x14ac:dyDescent="0.2">
      <c r="B465" s="10"/>
      <c r="C465" s="11"/>
      <c r="E465" s="11"/>
      <c r="G465" s="12"/>
      <c r="H465" s="27" t="str">
        <f>IF(Invoices[[#This Row],[Invoice Date]]="","",IF(Invoices[[#This Row],[Terms (days)]]="",Invoices[[#This Row],[Invoice Date]]+Lists!$D$4,Invoices[[#This Row],[Invoice Date]]+Invoices[[#This Row],[Terms (days)]]))</f>
        <v/>
      </c>
      <c r="I465" s="74" t="str">
        <f>IFERROR(Invoices[[#This Row],[Due Date]]-Invoices[[#This Row],[Invoice Date]],"")</f>
        <v/>
      </c>
      <c r="J465" s="27" t="str">
        <f>IFERROR(IF(Invoices[[#This Row],[Days]]="","",IF(Invoices[[#This Row],[Days]]&lt;31,"A",IF(Invoices[[#This Row],[Days]]&lt;31,"B",IF(Invoices[[#This Row],[Days]]&lt;91,"C","D")))),"")</f>
        <v/>
      </c>
    </row>
    <row r="466" spans="2:10" ht="14.1" customHeight="1" x14ac:dyDescent="0.2">
      <c r="B466" s="10"/>
      <c r="C466" s="11"/>
      <c r="E466" s="11"/>
      <c r="G466" s="12"/>
      <c r="H466" s="27" t="str">
        <f>IF(Invoices[[#This Row],[Invoice Date]]="","",IF(Invoices[[#This Row],[Terms (days)]]="",Invoices[[#This Row],[Invoice Date]]+Lists!$D$4,Invoices[[#This Row],[Invoice Date]]+Invoices[[#This Row],[Terms (days)]]))</f>
        <v/>
      </c>
      <c r="I466" s="74" t="str">
        <f>IFERROR(Invoices[[#This Row],[Due Date]]-Invoices[[#This Row],[Invoice Date]],"")</f>
        <v/>
      </c>
      <c r="J466" s="27" t="str">
        <f>IFERROR(IF(Invoices[[#This Row],[Days]]="","",IF(Invoices[[#This Row],[Days]]&lt;31,"A",IF(Invoices[[#This Row],[Days]]&lt;31,"B",IF(Invoices[[#This Row],[Days]]&lt;91,"C","D")))),"")</f>
        <v/>
      </c>
    </row>
    <row r="467" spans="2:10" ht="14.1" customHeight="1" x14ac:dyDescent="0.2">
      <c r="B467" s="10"/>
      <c r="C467" s="11"/>
      <c r="E467" s="11"/>
      <c r="G467" s="12"/>
      <c r="H467" s="27" t="str">
        <f>IF(Invoices[[#This Row],[Invoice Date]]="","",IF(Invoices[[#This Row],[Terms (days)]]="",Invoices[[#This Row],[Invoice Date]]+Lists!$D$4,Invoices[[#This Row],[Invoice Date]]+Invoices[[#This Row],[Terms (days)]]))</f>
        <v/>
      </c>
      <c r="I467" s="74" t="str">
        <f>IFERROR(Invoices[[#This Row],[Due Date]]-Invoices[[#This Row],[Invoice Date]],"")</f>
        <v/>
      </c>
      <c r="J467" s="27" t="str">
        <f>IFERROR(IF(Invoices[[#This Row],[Days]]="","",IF(Invoices[[#This Row],[Days]]&lt;31,"A",IF(Invoices[[#This Row],[Days]]&lt;31,"B",IF(Invoices[[#This Row],[Days]]&lt;91,"C","D")))),"")</f>
        <v/>
      </c>
    </row>
    <row r="468" spans="2:10" ht="14.1" customHeight="1" x14ac:dyDescent="0.2">
      <c r="B468" s="10"/>
      <c r="C468" s="11"/>
      <c r="E468" s="11"/>
      <c r="G468" s="12"/>
      <c r="H468" s="27" t="str">
        <f>IF(Invoices[[#This Row],[Invoice Date]]="","",IF(Invoices[[#This Row],[Terms (days)]]="",Invoices[[#This Row],[Invoice Date]]+Lists!$D$4,Invoices[[#This Row],[Invoice Date]]+Invoices[[#This Row],[Terms (days)]]))</f>
        <v/>
      </c>
      <c r="I468" s="74" t="str">
        <f>IFERROR(Invoices[[#This Row],[Due Date]]-Invoices[[#This Row],[Invoice Date]],"")</f>
        <v/>
      </c>
      <c r="J468" s="27" t="str">
        <f>IFERROR(IF(Invoices[[#This Row],[Days]]="","",IF(Invoices[[#This Row],[Days]]&lt;31,"A",IF(Invoices[[#This Row],[Days]]&lt;31,"B",IF(Invoices[[#This Row],[Days]]&lt;91,"C","D")))),"")</f>
        <v/>
      </c>
    </row>
    <row r="469" spans="2:10" ht="14.1" customHeight="1" x14ac:dyDescent="0.2">
      <c r="B469" s="10"/>
      <c r="C469" s="11"/>
      <c r="E469" s="11"/>
      <c r="G469" s="12"/>
      <c r="H469" s="27" t="str">
        <f>IF(Invoices[[#This Row],[Invoice Date]]="","",IF(Invoices[[#This Row],[Terms (days)]]="",Invoices[[#This Row],[Invoice Date]]+Lists!$D$4,Invoices[[#This Row],[Invoice Date]]+Invoices[[#This Row],[Terms (days)]]))</f>
        <v/>
      </c>
      <c r="I469" s="74" t="str">
        <f>IFERROR(Invoices[[#This Row],[Due Date]]-Invoices[[#This Row],[Invoice Date]],"")</f>
        <v/>
      </c>
      <c r="J469" s="27" t="str">
        <f>IFERROR(IF(Invoices[[#This Row],[Days]]="","",IF(Invoices[[#This Row],[Days]]&lt;31,"A",IF(Invoices[[#This Row],[Days]]&lt;31,"B",IF(Invoices[[#This Row],[Days]]&lt;91,"C","D")))),"")</f>
        <v/>
      </c>
    </row>
    <row r="470" spans="2:10" ht="14.1" customHeight="1" x14ac:dyDescent="0.2">
      <c r="B470" s="10"/>
      <c r="C470" s="11"/>
      <c r="E470" s="11"/>
      <c r="G470" s="12"/>
      <c r="H470" s="27" t="str">
        <f>IF(Invoices[[#This Row],[Invoice Date]]="","",IF(Invoices[[#This Row],[Terms (days)]]="",Invoices[[#This Row],[Invoice Date]]+Lists!$D$4,Invoices[[#This Row],[Invoice Date]]+Invoices[[#This Row],[Terms (days)]]))</f>
        <v/>
      </c>
      <c r="I470" s="74" t="str">
        <f>IFERROR(Invoices[[#This Row],[Due Date]]-Invoices[[#This Row],[Invoice Date]],"")</f>
        <v/>
      </c>
      <c r="J470" s="27" t="str">
        <f>IFERROR(IF(Invoices[[#This Row],[Days]]="","",IF(Invoices[[#This Row],[Days]]&lt;31,"A",IF(Invoices[[#This Row],[Days]]&lt;31,"B",IF(Invoices[[#This Row],[Days]]&lt;91,"C","D")))),"")</f>
        <v/>
      </c>
    </row>
    <row r="471" spans="2:10" ht="14.1" customHeight="1" x14ac:dyDescent="0.2">
      <c r="B471" s="10"/>
      <c r="C471" s="11"/>
      <c r="E471" s="11"/>
      <c r="G471" s="12"/>
      <c r="H471" s="27" t="str">
        <f>IF(Invoices[[#This Row],[Invoice Date]]="","",IF(Invoices[[#This Row],[Terms (days)]]="",Invoices[[#This Row],[Invoice Date]]+Lists!$D$4,Invoices[[#This Row],[Invoice Date]]+Invoices[[#This Row],[Terms (days)]]))</f>
        <v/>
      </c>
      <c r="I471" s="74" t="str">
        <f>IFERROR(Invoices[[#This Row],[Due Date]]-Invoices[[#This Row],[Invoice Date]],"")</f>
        <v/>
      </c>
      <c r="J471" s="27" t="str">
        <f>IFERROR(IF(Invoices[[#This Row],[Days]]="","",IF(Invoices[[#This Row],[Days]]&lt;31,"A",IF(Invoices[[#This Row],[Days]]&lt;31,"B",IF(Invoices[[#This Row],[Days]]&lt;91,"C","D")))),"")</f>
        <v/>
      </c>
    </row>
    <row r="472" spans="2:10" ht="14.1" customHeight="1" x14ac:dyDescent="0.2">
      <c r="B472" s="10"/>
      <c r="C472" s="11"/>
      <c r="E472" s="11"/>
      <c r="G472" s="12"/>
      <c r="H472" s="27" t="str">
        <f>IF(Invoices[[#This Row],[Invoice Date]]="","",IF(Invoices[[#This Row],[Terms (days)]]="",Invoices[[#This Row],[Invoice Date]]+Lists!$D$4,Invoices[[#This Row],[Invoice Date]]+Invoices[[#This Row],[Terms (days)]]))</f>
        <v/>
      </c>
      <c r="I472" s="74" t="str">
        <f>IFERROR(Invoices[[#This Row],[Due Date]]-Invoices[[#This Row],[Invoice Date]],"")</f>
        <v/>
      </c>
      <c r="J472" s="27" t="str">
        <f>IFERROR(IF(Invoices[[#This Row],[Days]]="","",IF(Invoices[[#This Row],[Days]]&lt;31,"A",IF(Invoices[[#This Row],[Days]]&lt;31,"B",IF(Invoices[[#This Row],[Days]]&lt;91,"C","D")))),"")</f>
        <v/>
      </c>
    </row>
    <row r="473" spans="2:10" ht="14.1" customHeight="1" x14ac:dyDescent="0.2">
      <c r="B473" s="10"/>
      <c r="C473" s="11"/>
      <c r="E473" s="11"/>
      <c r="G473" s="12"/>
      <c r="H473" s="27" t="str">
        <f>IF(Invoices[[#This Row],[Invoice Date]]="","",IF(Invoices[[#This Row],[Terms (days)]]="",Invoices[[#This Row],[Invoice Date]]+Lists!$D$4,Invoices[[#This Row],[Invoice Date]]+Invoices[[#This Row],[Terms (days)]]))</f>
        <v/>
      </c>
      <c r="I473" s="74" t="str">
        <f>IFERROR(Invoices[[#This Row],[Due Date]]-Invoices[[#This Row],[Invoice Date]],"")</f>
        <v/>
      </c>
      <c r="J473" s="27" t="str">
        <f>IFERROR(IF(Invoices[[#This Row],[Days]]="","",IF(Invoices[[#This Row],[Days]]&lt;31,"A",IF(Invoices[[#This Row],[Days]]&lt;31,"B",IF(Invoices[[#This Row],[Days]]&lt;91,"C","D")))),"")</f>
        <v/>
      </c>
    </row>
    <row r="474" spans="2:10" ht="14.1" customHeight="1" x14ac:dyDescent="0.2">
      <c r="B474" s="10"/>
      <c r="C474" s="11"/>
      <c r="E474" s="11"/>
      <c r="G474" s="12"/>
      <c r="H474" s="27" t="str">
        <f>IF(Invoices[[#This Row],[Invoice Date]]="","",IF(Invoices[[#This Row],[Terms (days)]]="",Invoices[[#This Row],[Invoice Date]]+Lists!$D$4,Invoices[[#This Row],[Invoice Date]]+Invoices[[#This Row],[Terms (days)]]))</f>
        <v/>
      </c>
      <c r="I474" s="74" t="str">
        <f>IFERROR(Invoices[[#This Row],[Due Date]]-Invoices[[#This Row],[Invoice Date]],"")</f>
        <v/>
      </c>
      <c r="J474" s="27" t="str">
        <f>IFERROR(IF(Invoices[[#This Row],[Days]]="","",IF(Invoices[[#This Row],[Days]]&lt;31,"A",IF(Invoices[[#This Row],[Days]]&lt;31,"B",IF(Invoices[[#This Row],[Days]]&lt;91,"C","D")))),"")</f>
        <v/>
      </c>
    </row>
    <row r="475" spans="2:10" ht="14.1" customHeight="1" x14ac:dyDescent="0.2">
      <c r="B475" s="10"/>
      <c r="C475" s="11"/>
      <c r="E475" s="11"/>
      <c r="G475" s="12"/>
      <c r="H475" s="27" t="str">
        <f>IF(Invoices[[#This Row],[Invoice Date]]="","",IF(Invoices[[#This Row],[Terms (days)]]="",Invoices[[#This Row],[Invoice Date]]+Lists!$D$4,Invoices[[#This Row],[Invoice Date]]+Invoices[[#This Row],[Terms (days)]]))</f>
        <v/>
      </c>
      <c r="I475" s="74" t="str">
        <f>IFERROR(Invoices[[#This Row],[Due Date]]-Invoices[[#This Row],[Invoice Date]],"")</f>
        <v/>
      </c>
      <c r="J475" s="27" t="str">
        <f>IFERROR(IF(Invoices[[#This Row],[Days]]="","",IF(Invoices[[#This Row],[Days]]&lt;31,"A",IF(Invoices[[#This Row],[Days]]&lt;31,"B",IF(Invoices[[#This Row],[Days]]&lt;91,"C","D")))),"")</f>
        <v/>
      </c>
    </row>
    <row r="476" spans="2:10" ht="14.1" customHeight="1" x14ac:dyDescent="0.2">
      <c r="B476" s="10"/>
      <c r="C476" s="11"/>
      <c r="E476" s="11"/>
      <c r="G476" s="12"/>
      <c r="H476" s="27" t="str">
        <f>IF(Invoices[[#This Row],[Invoice Date]]="","",IF(Invoices[[#This Row],[Terms (days)]]="",Invoices[[#This Row],[Invoice Date]]+Lists!$D$4,Invoices[[#This Row],[Invoice Date]]+Invoices[[#This Row],[Terms (days)]]))</f>
        <v/>
      </c>
      <c r="I476" s="74" t="str">
        <f>IFERROR(Invoices[[#This Row],[Due Date]]-Invoices[[#This Row],[Invoice Date]],"")</f>
        <v/>
      </c>
      <c r="J476" s="27" t="str">
        <f>IFERROR(IF(Invoices[[#This Row],[Days]]="","",IF(Invoices[[#This Row],[Days]]&lt;31,"A",IF(Invoices[[#This Row],[Days]]&lt;31,"B",IF(Invoices[[#This Row],[Days]]&lt;91,"C","D")))),"")</f>
        <v/>
      </c>
    </row>
    <row r="477" spans="2:10" ht="14.1" customHeight="1" x14ac:dyDescent="0.2">
      <c r="B477" s="10"/>
      <c r="C477" s="11"/>
      <c r="E477" s="11"/>
      <c r="G477" s="12"/>
      <c r="H477" s="27" t="str">
        <f>IF(Invoices[[#This Row],[Invoice Date]]="","",IF(Invoices[[#This Row],[Terms (days)]]="",Invoices[[#This Row],[Invoice Date]]+Lists!$D$4,Invoices[[#This Row],[Invoice Date]]+Invoices[[#This Row],[Terms (days)]]))</f>
        <v/>
      </c>
      <c r="I477" s="74" t="str">
        <f>IFERROR(Invoices[[#This Row],[Due Date]]-Invoices[[#This Row],[Invoice Date]],"")</f>
        <v/>
      </c>
      <c r="J477" s="27" t="str">
        <f>IFERROR(IF(Invoices[[#This Row],[Days]]="","",IF(Invoices[[#This Row],[Days]]&lt;31,"A",IF(Invoices[[#This Row],[Days]]&lt;31,"B",IF(Invoices[[#This Row],[Days]]&lt;91,"C","D")))),"")</f>
        <v/>
      </c>
    </row>
    <row r="478" spans="2:10" ht="14.1" customHeight="1" x14ac:dyDescent="0.2">
      <c r="B478" s="10"/>
      <c r="C478" s="11"/>
      <c r="E478" s="11"/>
      <c r="G478" s="12"/>
      <c r="H478" s="27" t="str">
        <f>IF(Invoices[[#This Row],[Invoice Date]]="","",IF(Invoices[[#This Row],[Terms (days)]]="",Invoices[[#This Row],[Invoice Date]]+Lists!$D$4,Invoices[[#This Row],[Invoice Date]]+Invoices[[#This Row],[Terms (days)]]))</f>
        <v/>
      </c>
      <c r="I478" s="74" t="str">
        <f>IFERROR(Invoices[[#This Row],[Due Date]]-Invoices[[#This Row],[Invoice Date]],"")</f>
        <v/>
      </c>
      <c r="J478" s="27" t="str">
        <f>IFERROR(IF(Invoices[[#This Row],[Days]]="","",IF(Invoices[[#This Row],[Days]]&lt;31,"A",IF(Invoices[[#This Row],[Days]]&lt;31,"B",IF(Invoices[[#This Row],[Days]]&lt;91,"C","D")))),"")</f>
        <v/>
      </c>
    </row>
    <row r="479" spans="2:10" ht="14.1" customHeight="1" x14ac:dyDescent="0.2">
      <c r="B479" s="10"/>
      <c r="C479" s="11"/>
      <c r="E479" s="11"/>
      <c r="G479" s="12"/>
      <c r="H479" s="27" t="str">
        <f>IF(Invoices[[#This Row],[Invoice Date]]="","",IF(Invoices[[#This Row],[Terms (days)]]="",Invoices[[#This Row],[Invoice Date]]+Lists!$D$4,Invoices[[#This Row],[Invoice Date]]+Invoices[[#This Row],[Terms (days)]]))</f>
        <v/>
      </c>
      <c r="I479" s="74" t="str">
        <f>IFERROR(Invoices[[#This Row],[Due Date]]-Invoices[[#This Row],[Invoice Date]],"")</f>
        <v/>
      </c>
      <c r="J479" s="27" t="str">
        <f>IFERROR(IF(Invoices[[#This Row],[Days]]="","",IF(Invoices[[#This Row],[Days]]&lt;31,"A",IF(Invoices[[#This Row],[Days]]&lt;31,"B",IF(Invoices[[#This Row],[Days]]&lt;91,"C","D")))),"")</f>
        <v/>
      </c>
    </row>
    <row r="480" spans="2:10" ht="14.1" customHeight="1" x14ac:dyDescent="0.2">
      <c r="B480" s="10"/>
      <c r="C480" s="11"/>
      <c r="E480" s="11"/>
      <c r="G480" s="12"/>
      <c r="H480" s="27" t="str">
        <f>IF(Invoices[[#This Row],[Invoice Date]]="","",IF(Invoices[[#This Row],[Terms (days)]]="",Invoices[[#This Row],[Invoice Date]]+Lists!$D$4,Invoices[[#This Row],[Invoice Date]]+Invoices[[#This Row],[Terms (days)]]))</f>
        <v/>
      </c>
      <c r="I480" s="74" t="str">
        <f>IFERROR(Invoices[[#This Row],[Due Date]]-Invoices[[#This Row],[Invoice Date]],"")</f>
        <v/>
      </c>
      <c r="J480" s="27" t="str">
        <f>IFERROR(IF(Invoices[[#This Row],[Days]]="","",IF(Invoices[[#This Row],[Days]]&lt;31,"A",IF(Invoices[[#This Row],[Days]]&lt;31,"B",IF(Invoices[[#This Row],[Days]]&lt;91,"C","D")))),"")</f>
        <v/>
      </c>
    </row>
    <row r="481" spans="2:10" ht="14.1" customHeight="1" x14ac:dyDescent="0.2">
      <c r="B481" s="10"/>
      <c r="C481" s="11"/>
      <c r="E481" s="11"/>
      <c r="G481" s="12"/>
      <c r="H481" s="27" t="str">
        <f>IF(Invoices[[#This Row],[Invoice Date]]="","",IF(Invoices[[#This Row],[Terms (days)]]="",Invoices[[#This Row],[Invoice Date]]+Lists!$D$4,Invoices[[#This Row],[Invoice Date]]+Invoices[[#This Row],[Terms (days)]]))</f>
        <v/>
      </c>
      <c r="I481" s="74" t="str">
        <f>IFERROR(Invoices[[#This Row],[Due Date]]-Invoices[[#This Row],[Invoice Date]],"")</f>
        <v/>
      </c>
      <c r="J481" s="27" t="str">
        <f>IFERROR(IF(Invoices[[#This Row],[Days]]="","",IF(Invoices[[#This Row],[Days]]&lt;31,"A",IF(Invoices[[#This Row],[Days]]&lt;31,"B",IF(Invoices[[#This Row],[Days]]&lt;91,"C","D")))),"")</f>
        <v/>
      </c>
    </row>
    <row r="482" spans="2:10" ht="14.1" customHeight="1" x14ac:dyDescent="0.2">
      <c r="B482" s="10"/>
      <c r="C482" s="11"/>
      <c r="E482" s="11"/>
      <c r="G482" s="12"/>
      <c r="H482" s="27" t="str">
        <f>IF(Invoices[[#This Row],[Invoice Date]]="","",IF(Invoices[[#This Row],[Terms (days)]]="",Invoices[[#This Row],[Invoice Date]]+Lists!$D$4,Invoices[[#This Row],[Invoice Date]]+Invoices[[#This Row],[Terms (days)]]))</f>
        <v/>
      </c>
      <c r="I482" s="74" t="str">
        <f>IFERROR(Invoices[[#This Row],[Due Date]]-Invoices[[#This Row],[Invoice Date]],"")</f>
        <v/>
      </c>
      <c r="J482" s="27" t="str">
        <f>IFERROR(IF(Invoices[[#This Row],[Days]]="","",IF(Invoices[[#This Row],[Days]]&lt;31,"A",IF(Invoices[[#This Row],[Days]]&lt;31,"B",IF(Invoices[[#This Row],[Days]]&lt;91,"C","D")))),"")</f>
        <v/>
      </c>
    </row>
    <row r="483" spans="2:10" ht="14.1" customHeight="1" x14ac:dyDescent="0.2">
      <c r="B483" s="10"/>
      <c r="C483" s="11"/>
      <c r="E483" s="11"/>
      <c r="G483" s="12"/>
      <c r="H483" s="27" t="str">
        <f>IF(Invoices[[#This Row],[Invoice Date]]="","",IF(Invoices[[#This Row],[Terms (days)]]="",Invoices[[#This Row],[Invoice Date]]+Lists!$D$4,Invoices[[#This Row],[Invoice Date]]+Invoices[[#This Row],[Terms (days)]]))</f>
        <v/>
      </c>
      <c r="I483" s="74" t="str">
        <f>IFERROR(Invoices[[#This Row],[Due Date]]-Invoices[[#This Row],[Invoice Date]],"")</f>
        <v/>
      </c>
      <c r="J483" s="27" t="str">
        <f>IFERROR(IF(Invoices[[#This Row],[Days]]="","",IF(Invoices[[#This Row],[Days]]&lt;31,"A",IF(Invoices[[#This Row],[Days]]&lt;31,"B",IF(Invoices[[#This Row],[Days]]&lt;91,"C","D")))),"")</f>
        <v/>
      </c>
    </row>
    <row r="484" spans="2:10" ht="14.1" customHeight="1" x14ac:dyDescent="0.2">
      <c r="B484" s="10"/>
      <c r="C484" s="11"/>
      <c r="E484" s="11"/>
      <c r="G484" s="12"/>
      <c r="H484" s="27" t="str">
        <f>IF(Invoices[[#This Row],[Invoice Date]]="","",IF(Invoices[[#This Row],[Terms (days)]]="",Invoices[[#This Row],[Invoice Date]]+Lists!$D$4,Invoices[[#This Row],[Invoice Date]]+Invoices[[#This Row],[Terms (days)]]))</f>
        <v/>
      </c>
      <c r="I484" s="74" t="str">
        <f>IFERROR(Invoices[[#This Row],[Due Date]]-Invoices[[#This Row],[Invoice Date]],"")</f>
        <v/>
      </c>
      <c r="J484" s="27" t="str">
        <f>IFERROR(IF(Invoices[[#This Row],[Days]]="","",IF(Invoices[[#This Row],[Days]]&lt;31,"A",IF(Invoices[[#This Row],[Days]]&lt;31,"B",IF(Invoices[[#This Row],[Days]]&lt;91,"C","D")))),"")</f>
        <v/>
      </c>
    </row>
    <row r="485" spans="2:10" ht="14.1" customHeight="1" x14ac:dyDescent="0.2">
      <c r="B485" s="10"/>
      <c r="C485" s="11"/>
      <c r="E485" s="11"/>
      <c r="G485" s="12"/>
      <c r="H485" s="27" t="str">
        <f>IF(Invoices[[#This Row],[Invoice Date]]="","",IF(Invoices[[#This Row],[Terms (days)]]="",Invoices[[#This Row],[Invoice Date]]+Lists!$D$4,Invoices[[#This Row],[Invoice Date]]+Invoices[[#This Row],[Terms (days)]]))</f>
        <v/>
      </c>
      <c r="I485" s="74" t="str">
        <f>IFERROR(Invoices[[#This Row],[Due Date]]-Invoices[[#This Row],[Invoice Date]],"")</f>
        <v/>
      </c>
      <c r="J485" s="27" t="str">
        <f>IFERROR(IF(Invoices[[#This Row],[Days]]="","",IF(Invoices[[#This Row],[Days]]&lt;31,"A",IF(Invoices[[#This Row],[Days]]&lt;31,"B",IF(Invoices[[#This Row],[Days]]&lt;91,"C","D")))),"")</f>
        <v/>
      </c>
    </row>
    <row r="486" spans="2:10" ht="14.1" customHeight="1" x14ac:dyDescent="0.2">
      <c r="B486" s="10"/>
      <c r="C486" s="11"/>
      <c r="E486" s="11"/>
      <c r="G486" s="12"/>
      <c r="H486" s="27" t="str">
        <f>IF(Invoices[[#This Row],[Invoice Date]]="","",IF(Invoices[[#This Row],[Terms (days)]]="",Invoices[[#This Row],[Invoice Date]]+Lists!$D$4,Invoices[[#This Row],[Invoice Date]]+Invoices[[#This Row],[Terms (days)]]))</f>
        <v/>
      </c>
      <c r="I486" s="74" t="str">
        <f>IFERROR(Invoices[[#This Row],[Due Date]]-Invoices[[#This Row],[Invoice Date]],"")</f>
        <v/>
      </c>
      <c r="J486" s="27" t="str">
        <f>IFERROR(IF(Invoices[[#This Row],[Days]]="","",IF(Invoices[[#This Row],[Days]]&lt;31,"A",IF(Invoices[[#This Row],[Days]]&lt;31,"B",IF(Invoices[[#This Row],[Days]]&lt;91,"C","D")))),"")</f>
        <v/>
      </c>
    </row>
    <row r="487" spans="2:10" ht="14.1" customHeight="1" x14ac:dyDescent="0.2">
      <c r="B487" s="10"/>
      <c r="C487" s="11"/>
      <c r="E487" s="11"/>
      <c r="G487" s="12"/>
      <c r="H487" s="27" t="str">
        <f>IF(Invoices[[#This Row],[Invoice Date]]="","",IF(Invoices[[#This Row],[Terms (days)]]="",Invoices[[#This Row],[Invoice Date]]+Lists!$D$4,Invoices[[#This Row],[Invoice Date]]+Invoices[[#This Row],[Terms (days)]]))</f>
        <v/>
      </c>
      <c r="I487" s="74" t="str">
        <f>IFERROR(Invoices[[#This Row],[Due Date]]-Invoices[[#This Row],[Invoice Date]],"")</f>
        <v/>
      </c>
      <c r="J487" s="27" t="str">
        <f>IFERROR(IF(Invoices[[#This Row],[Days]]="","",IF(Invoices[[#This Row],[Days]]&lt;31,"A",IF(Invoices[[#This Row],[Days]]&lt;31,"B",IF(Invoices[[#This Row],[Days]]&lt;91,"C","D")))),"")</f>
        <v/>
      </c>
    </row>
    <row r="488" spans="2:10" ht="14.1" customHeight="1" x14ac:dyDescent="0.2">
      <c r="B488" s="10"/>
      <c r="C488" s="11"/>
      <c r="E488" s="11"/>
      <c r="G488" s="12"/>
      <c r="H488" s="27" t="str">
        <f>IF(Invoices[[#This Row],[Invoice Date]]="","",IF(Invoices[[#This Row],[Terms (days)]]="",Invoices[[#This Row],[Invoice Date]]+Lists!$D$4,Invoices[[#This Row],[Invoice Date]]+Invoices[[#This Row],[Terms (days)]]))</f>
        <v/>
      </c>
      <c r="I488" s="74" t="str">
        <f>IFERROR(Invoices[[#This Row],[Due Date]]-Invoices[[#This Row],[Invoice Date]],"")</f>
        <v/>
      </c>
      <c r="J488" s="27" t="str">
        <f>IFERROR(IF(Invoices[[#This Row],[Days]]="","",IF(Invoices[[#This Row],[Days]]&lt;31,"A",IF(Invoices[[#This Row],[Days]]&lt;31,"B",IF(Invoices[[#This Row],[Days]]&lt;91,"C","D")))),"")</f>
        <v/>
      </c>
    </row>
    <row r="489" spans="2:10" ht="14.1" customHeight="1" x14ac:dyDescent="0.2">
      <c r="B489" s="10"/>
      <c r="C489" s="11"/>
      <c r="E489" s="11"/>
      <c r="G489" s="12"/>
      <c r="H489" s="27" t="str">
        <f>IF(Invoices[[#This Row],[Invoice Date]]="","",IF(Invoices[[#This Row],[Terms (days)]]="",Invoices[[#This Row],[Invoice Date]]+Lists!$D$4,Invoices[[#This Row],[Invoice Date]]+Invoices[[#This Row],[Terms (days)]]))</f>
        <v/>
      </c>
      <c r="I489" s="74" t="str">
        <f>IFERROR(Invoices[[#This Row],[Due Date]]-Invoices[[#This Row],[Invoice Date]],"")</f>
        <v/>
      </c>
      <c r="J489" s="27" t="str">
        <f>IFERROR(IF(Invoices[[#This Row],[Days]]="","",IF(Invoices[[#This Row],[Days]]&lt;31,"A",IF(Invoices[[#This Row],[Days]]&lt;31,"B",IF(Invoices[[#This Row],[Days]]&lt;91,"C","D")))),"")</f>
        <v/>
      </c>
    </row>
    <row r="490" spans="2:10" ht="14.1" customHeight="1" x14ac:dyDescent="0.2">
      <c r="B490" s="10"/>
      <c r="C490" s="11"/>
      <c r="E490" s="11"/>
      <c r="G490" s="12"/>
      <c r="H490" s="27" t="str">
        <f>IF(Invoices[[#This Row],[Invoice Date]]="","",IF(Invoices[[#This Row],[Terms (days)]]="",Invoices[[#This Row],[Invoice Date]]+Lists!$D$4,Invoices[[#This Row],[Invoice Date]]+Invoices[[#This Row],[Terms (days)]]))</f>
        <v/>
      </c>
      <c r="I490" s="74" t="str">
        <f>IFERROR(Invoices[[#This Row],[Due Date]]-Invoices[[#This Row],[Invoice Date]],"")</f>
        <v/>
      </c>
      <c r="J490" s="27" t="str">
        <f>IFERROR(IF(Invoices[[#This Row],[Days]]="","",IF(Invoices[[#This Row],[Days]]&lt;31,"A",IF(Invoices[[#This Row],[Days]]&lt;31,"B",IF(Invoices[[#This Row],[Days]]&lt;91,"C","D")))),"")</f>
        <v/>
      </c>
    </row>
    <row r="491" spans="2:10" ht="14.1" customHeight="1" x14ac:dyDescent="0.2">
      <c r="B491" s="10"/>
      <c r="C491" s="11"/>
      <c r="E491" s="11"/>
      <c r="G491" s="12"/>
      <c r="H491" s="27" t="str">
        <f>IF(Invoices[[#This Row],[Invoice Date]]="","",IF(Invoices[[#This Row],[Terms (days)]]="",Invoices[[#This Row],[Invoice Date]]+Lists!$D$4,Invoices[[#This Row],[Invoice Date]]+Invoices[[#This Row],[Terms (days)]]))</f>
        <v/>
      </c>
      <c r="I491" s="74" t="str">
        <f>IFERROR(Invoices[[#This Row],[Due Date]]-Invoices[[#This Row],[Invoice Date]],"")</f>
        <v/>
      </c>
      <c r="J491" s="27" t="str">
        <f>IFERROR(IF(Invoices[[#This Row],[Days]]="","",IF(Invoices[[#This Row],[Days]]&lt;31,"A",IF(Invoices[[#This Row],[Days]]&lt;31,"B",IF(Invoices[[#This Row],[Days]]&lt;91,"C","D")))),"")</f>
        <v/>
      </c>
    </row>
    <row r="492" spans="2:10" ht="14.1" customHeight="1" x14ac:dyDescent="0.2">
      <c r="B492" s="10"/>
      <c r="C492" s="11"/>
      <c r="E492" s="11"/>
      <c r="G492" s="12"/>
      <c r="H492" s="27" t="str">
        <f>IF(Invoices[[#This Row],[Invoice Date]]="","",IF(Invoices[[#This Row],[Terms (days)]]="",Invoices[[#This Row],[Invoice Date]]+Lists!$D$4,Invoices[[#This Row],[Invoice Date]]+Invoices[[#This Row],[Terms (days)]]))</f>
        <v/>
      </c>
      <c r="I492" s="74" t="str">
        <f>IFERROR(Invoices[[#This Row],[Due Date]]-Invoices[[#This Row],[Invoice Date]],"")</f>
        <v/>
      </c>
      <c r="J492" s="27" t="str">
        <f>IFERROR(IF(Invoices[[#This Row],[Days]]="","",IF(Invoices[[#This Row],[Days]]&lt;31,"A",IF(Invoices[[#This Row],[Days]]&lt;31,"B",IF(Invoices[[#This Row],[Days]]&lt;91,"C","D")))),"")</f>
        <v/>
      </c>
    </row>
    <row r="493" spans="2:10" ht="14.1" customHeight="1" x14ac:dyDescent="0.2">
      <c r="B493" s="10"/>
      <c r="C493" s="11"/>
      <c r="E493" s="11"/>
      <c r="G493" s="12"/>
      <c r="H493" s="27" t="str">
        <f>IF(Invoices[[#This Row],[Invoice Date]]="","",IF(Invoices[[#This Row],[Terms (days)]]="",Invoices[[#This Row],[Invoice Date]]+Lists!$D$4,Invoices[[#This Row],[Invoice Date]]+Invoices[[#This Row],[Terms (days)]]))</f>
        <v/>
      </c>
      <c r="I493" s="74" t="str">
        <f>IFERROR(Invoices[[#This Row],[Due Date]]-Invoices[[#This Row],[Invoice Date]],"")</f>
        <v/>
      </c>
      <c r="J493" s="27" t="str">
        <f>IFERROR(IF(Invoices[[#This Row],[Days]]="","",IF(Invoices[[#This Row],[Days]]&lt;31,"A",IF(Invoices[[#This Row],[Days]]&lt;31,"B",IF(Invoices[[#This Row],[Days]]&lt;91,"C","D")))),"")</f>
        <v/>
      </c>
    </row>
    <row r="494" spans="2:10" ht="14.1" customHeight="1" x14ac:dyDescent="0.2">
      <c r="B494" s="10"/>
      <c r="C494" s="11"/>
      <c r="E494" s="11"/>
      <c r="G494" s="12"/>
      <c r="H494" s="27" t="str">
        <f>IF(Invoices[[#This Row],[Invoice Date]]="","",IF(Invoices[[#This Row],[Terms (days)]]="",Invoices[[#This Row],[Invoice Date]]+Lists!$D$4,Invoices[[#This Row],[Invoice Date]]+Invoices[[#This Row],[Terms (days)]]))</f>
        <v/>
      </c>
      <c r="I494" s="74" t="str">
        <f>IFERROR(Invoices[[#This Row],[Due Date]]-Invoices[[#This Row],[Invoice Date]],"")</f>
        <v/>
      </c>
      <c r="J494" s="27" t="str">
        <f>IFERROR(IF(Invoices[[#This Row],[Days]]="","",IF(Invoices[[#This Row],[Days]]&lt;31,"A",IF(Invoices[[#This Row],[Days]]&lt;31,"B",IF(Invoices[[#This Row],[Days]]&lt;91,"C","D")))),"")</f>
        <v/>
      </c>
    </row>
    <row r="495" spans="2:10" ht="14.1" customHeight="1" x14ac:dyDescent="0.2">
      <c r="B495" s="10"/>
      <c r="C495" s="11"/>
      <c r="E495" s="11"/>
      <c r="G495" s="12"/>
      <c r="H495" s="27" t="str">
        <f>IF(Invoices[[#This Row],[Invoice Date]]="","",IF(Invoices[[#This Row],[Terms (days)]]="",Invoices[[#This Row],[Invoice Date]]+Lists!$D$4,Invoices[[#This Row],[Invoice Date]]+Invoices[[#This Row],[Terms (days)]]))</f>
        <v/>
      </c>
      <c r="I495" s="74" t="str">
        <f>IFERROR(Invoices[[#This Row],[Due Date]]-Invoices[[#This Row],[Invoice Date]],"")</f>
        <v/>
      </c>
      <c r="J495" s="27" t="str">
        <f>IFERROR(IF(Invoices[[#This Row],[Days]]="","",IF(Invoices[[#This Row],[Days]]&lt;31,"A",IF(Invoices[[#This Row],[Days]]&lt;31,"B",IF(Invoices[[#This Row],[Days]]&lt;91,"C","D")))),"")</f>
        <v/>
      </c>
    </row>
    <row r="496" spans="2:10" ht="14.1" customHeight="1" x14ac:dyDescent="0.2">
      <c r="B496" s="10"/>
      <c r="C496" s="11"/>
      <c r="E496" s="11"/>
      <c r="G496" s="12"/>
      <c r="H496" s="27" t="str">
        <f>IF(Invoices[[#This Row],[Invoice Date]]="","",IF(Invoices[[#This Row],[Terms (days)]]="",Invoices[[#This Row],[Invoice Date]]+Lists!$D$4,Invoices[[#This Row],[Invoice Date]]+Invoices[[#This Row],[Terms (days)]]))</f>
        <v/>
      </c>
      <c r="I496" s="74" t="str">
        <f>IFERROR(Invoices[[#This Row],[Due Date]]-Invoices[[#This Row],[Invoice Date]],"")</f>
        <v/>
      </c>
      <c r="J496" s="27" t="str">
        <f>IFERROR(IF(Invoices[[#This Row],[Days]]="","",IF(Invoices[[#This Row],[Days]]&lt;31,"A",IF(Invoices[[#This Row],[Days]]&lt;31,"B",IF(Invoices[[#This Row],[Days]]&lt;91,"C","D")))),"")</f>
        <v/>
      </c>
    </row>
    <row r="497" spans="2:10" ht="14.1" customHeight="1" x14ac:dyDescent="0.2">
      <c r="B497" s="10"/>
      <c r="C497" s="11"/>
      <c r="E497" s="11"/>
      <c r="G497" s="12"/>
      <c r="H497" s="27" t="str">
        <f>IF(Invoices[[#This Row],[Invoice Date]]="","",IF(Invoices[[#This Row],[Terms (days)]]="",Invoices[[#This Row],[Invoice Date]]+Lists!$D$4,Invoices[[#This Row],[Invoice Date]]+Invoices[[#This Row],[Terms (days)]]))</f>
        <v/>
      </c>
      <c r="I497" s="74" t="str">
        <f>IFERROR(Invoices[[#This Row],[Due Date]]-Invoices[[#This Row],[Invoice Date]],"")</f>
        <v/>
      </c>
      <c r="J497" s="27" t="str">
        <f>IFERROR(IF(Invoices[[#This Row],[Days]]="","",IF(Invoices[[#This Row],[Days]]&lt;31,"A",IF(Invoices[[#This Row],[Days]]&lt;31,"B",IF(Invoices[[#This Row],[Days]]&lt;91,"C","D")))),"")</f>
        <v/>
      </c>
    </row>
    <row r="498" spans="2:10" ht="14.1" customHeight="1" x14ac:dyDescent="0.2">
      <c r="B498" s="10"/>
      <c r="C498" s="11"/>
      <c r="E498" s="11"/>
      <c r="G498" s="12"/>
      <c r="H498" s="27" t="str">
        <f>IF(Invoices[[#This Row],[Invoice Date]]="","",IF(Invoices[[#This Row],[Terms (days)]]="",Invoices[[#This Row],[Invoice Date]]+Lists!$D$4,Invoices[[#This Row],[Invoice Date]]+Invoices[[#This Row],[Terms (days)]]))</f>
        <v/>
      </c>
      <c r="I498" s="74" t="str">
        <f>IFERROR(Invoices[[#This Row],[Due Date]]-Invoices[[#This Row],[Invoice Date]],"")</f>
        <v/>
      </c>
      <c r="J498" s="27" t="str">
        <f>IFERROR(IF(Invoices[[#This Row],[Days]]="","",IF(Invoices[[#This Row],[Days]]&lt;31,"A",IF(Invoices[[#This Row],[Days]]&lt;31,"B",IF(Invoices[[#This Row],[Days]]&lt;91,"C","D")))),"")</f>
        <v/>
      </c>
    </row>
    <row r="499" spans="2:10" ht="14.1" customHeight="1" x14ac:dyDescent="0.2">
      <c r="B499" s="10"/>
      <c r="C499" s="11"/>
      <c r="E499" s="11"/>
      <c r="G499" s="12"/>
      <c r="H499" s="27" t="str">
        <f>IF(Invoices[[#This Row],[Invoice Date]]="","",IF(Invoices[[#This Row],[Terms (days)]]="",Invoices[[#This Row],[Invoice Date]]+Lists!$D$4,Invoices[[#This Row],[Invoice Date]]+Invoices[[#This Row],[Terms (days)]]))</f>
        <v/>
      </c>
      <c r="I499" s="74" t="str">
        <f>IFERROR(Invoices[[#This Row],[Due Date]]-Invoices[[#This Row],[Invoice Date]],"")</f>
        <v/>
      </c>
      <c r="J499" s="27" t="str">
        <f>IFERROR(IF(Invoices[[#This Row],[Days]]="","",IF(Invoices[[#This Row],[Days]]&lt;31,"A",IF(Invoices[[#This Row],[Days]]&lt;31,"B",IF(Invoices[[#This Row],[Days]]&lt;91,"C","D")))),"")</f>
        <v/>
      </c>
    </row>
    <row r="500" spans="2:10" ht="14.1" customHeight="1" x14ac:dyDescent="0.2">
      <c r="B500" s="10"/>
      <c r="C500" s="11"/>
      <c r="E500" s="11"/>
      <c r="G500" s="12"/>
      <c r="H500" s="27" t="str">
        <f>IF(Invoices[[#This Row],[Invoice Date]]="","",IF(Invoices[[#This Row],[Terms (days)]]="",Invoices[[#This Row],[Invoice Date]]+Lists!$D$4,Invoices[[#This Row],[Invoice Date]]+Invoices[[#This Row],[Terms (days)]]))</f>
        <v/>
      </c>
      <c r="I500" s="74" t="str">
        <f>IFERROR(Invoices[[#This Row],[Due Date]]-Invoices[[#This Row],[Invoice Date]],"")</f>
        <v/>
      </c>
      <c r="J500" s="27" t="str">
        <f>IFERROR(IF(Invoices[[#This Row],[Days]]="","",IF(Invoices[[#This Row],[Days]]&lt;31,"A",IF(Invoices[[#This Row],[Days]]&lt;31,"B",IF(Invoices[[#This Row],[Days]]&lt;91,"C","D")))),"")</f>
        <v/>
      </c>
    </row>
  </sheetData>
  <mergeCells count="3">
    <mergeCell ref="C1:D1"/>
    <mergeCell ref="E1:F1"/>
    <mergeCell ref="G1:H1"/>
  </mergeCells>
  <dataValidations count="1">
    <dataValidation type="list" allowBlank="1" showInputMessage="1" showErrorMessage="1" sqref="E4:E500" xr:uid="{04D461E2-17AD-46C3-9F0F-34DBE9F2C0DA}">
      <formula1>Terms</formula1>
    </dataValidation>
  </dataValidations>
  <hyperlinks>
    <hyperlink ref="E1" location="'Scheduled Payments'!A1" display="View payment schedule" xr:uid="{855C3DC3-5791-4E82-AE2F-2CEC4D4FE2FB}"/>
    <hyperlink ref="C1" location="'Record Payments Made'!A1" display="Record/view payments" xr:uid="{9636B159-FFBC-4BBB-9570-B79C45CCE6DF}"/>
    <hyperlink ref="G1" location="'At a Glance'!A1" display="Due at a glance" xr:uid="{396CF7DE-D9EA-46E8-A469-665903150918}"/>
    <hyperlink ref="B1" location="Introduction!A1" display="Introdution" xr:uid="{0B657F53-5E93-4D58-9E45-B3A056BD8FF1}"/>
  </hyperlink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21524-3B16-4736-BAB9-C2ECD73C7CD4}">
  <sheetPr codeName="Sheet3">
    <tabColor rgb="FF50B47F"/>
  </sheetPr>
  <dimension ref="A1:I500"/>
  <sheetViews>
    <sheetView showGridLines="0" workbookViewId="0">
      <pane ySplit="3" topLeftCell="A4" activePane="bottomLeft" state="frozen"/>
      <selection activeCell="C15" sqref="C15"/>
      <selection pane="bottomLeft" activeCell="B4" sqref="B4"/>
    </sheetView>
  </sheetViews>
  <sheetFormatPr defaultColWidth="0" defaultRowHeight="15" x14ac:dyDescent="0.25"/>
  <cols>
    <col min="1" max="1" width="3.5703125" style="2" customWidth="1"/>
    <col min="2" max="2" width="14.5703125" style="2" customWidth="1"/>
    <col min="3" max="3" width="30.5703125" style="2" customWidth="1"/>
    <col min="4" max="4" width="14.5703125" style="2" customWidth="1"/>
    <col min="5" max="5" width="13.5703125" customWidth="1"/>
    <col min="6" max="7" width="14.5703125" style="4" customWidth="1"/>
    <col min="8" max="8" width="15.42578125" style="2" customWidth="1"/>
    <col min="9" max="9" width="9.7109375" style="4" customWidth="1"/>
    <col min="10" max="16384" width="9" style="2" hidden="1"/>
  </cols>
  <sheetData>
    <row r="1" spans="2:9" s="8" customFormat="1" ht="16.5" customHeight="1" x14ac:dyDescent="0.25">
      <c r="B1" s="7" t="s">
        <v>39</v>
      </c>
      <c r="C1" s="64" t="s">
        <v>59</v>
      </c>
      <c r="D1" s="17"/>
      <c r="E1" s="87" t="s">
        <v>41</v>
      </c>
      <c r="F1" s="87"/>
      <c r="G1" s="87" t="s">
        <v>42</v>
      </c>
      <c r="H1" s="87"/>
    </row>
    <row r="2" spans="2:9" ht="6.95" customHeight="1" x14ac:dyDescent="0.2">
      <c r="B2" s="9"/>
      <c r="E2" s="2"/>
      <c r="F2" s="2"/>
      <c r="G2" s="2"/>
      <c r="H2" s="4"/>
      <c r="I2" s="2"/>
    </row>
    <row r="3" spans="2:9" s="5" customFormat="1" ht="12.75" x14ac:dyDescent="0.2">
      <c r="B3" s="18" t="s">
        <v>44</v>
      </c>
      <c r="C3" s="18" t="s">
        <v>45</v>
      </c>
      <c r="D3" s="18" t="s">
        <v>49</v>
      </c>
      <c r="E3" s="18" t="s">
        <v>60</v>
      </c>
      <c r="F3" s="18" t="s">
        <v>61</v>
      </c>
      <c r="G3" s="18" t="s">
        <v>62</v>
      </c>
      <c r="H3" s="39" t="s">
        <v>63</v>
      </c>
    </row>
    <row r="4" spans="2:9" ht="14.1" customHeight="1" x14ac:dyDescent="0.2">
      <c r="B4" s="11">
        <v>10007</v>
      </c>
      <c r="C4" s="14" t="str">
        <f>IFERROR(IF(Payments[[#This Row],[Invoice '#]]="","",INDEX(Invoices[Customer],MATCH(Payments[[#This Row],[Invoice '#]],Invoices[Invoice '#],0))),"")</f>
        <v>Cat Co</v>
      </c>
      <c r="D4" s="15">
        <f>IFERROR(IF(Payments[[#This Row],[Invoice '#]]="","",INDEX(Invoices[Due Date],MATCH(Payments[[#This Row],[Invoice '#]],Invoices[Invoice '#],0))),"")</f>
        <v>44047</v>
      </c>
      <c r="E4" s="40">
        <f ca="1">IFERROR(IF(Payments[[#This Row],[Invoice '#]]="","",INDEX(Invoices[Amount due],MATCH(Payments[[#This Row],[Invoice '#]],Invoices[Invoice '#],0))-IF(E3=Payments[[#Headers],[Amount Due]],0,SUMIF(INDIRECT("B4:B"&amp;ROW()-1),Payments[[#This Row],[Invoice '#]],Payments[Amount Paid]))),"")</f>
        <v>108.4</v>
      </c>
      <c r="F4" s="41">
        <v>50</v>
      </c>
      <c r="G4" s="10">
        <v>44027</v>
      </c>
      <c r="H4" s="38">
        <f ca="1">IFERROR(IF(Payments[[#This Row],[Amount Due]]="","",IF(Payments[[#This Row],[Amount Due]]=0,0,Payments[[#This Row],[Amount Due]]-Payments[[#This Row],[Amount Paid]])),"")</f>
        <v>58.400000000000006</v>
      </c>
      <c r="I4" s="2"/>
    </row>
    <row r="5" spans="2:9" ht="14.1" customHeight="1" x14ac:dyDescent="0.2">
      <c r="B5" s="11">
        <v>10002</v>
      </c>
      <c r="C5" s="14" t="str">
        <f>IFERROR(IF(Payments[[#This Row],[Invoice '#]]="","",INDEX(Invoices[Customer],MATCH(Payments[[#This Row],[Invoice '#]],Invoices[Invoice '#],0))),"")</f>
        <v>XYZ Inc</v>
      </c>
      <c r="D5" s="15">
        <f>IFERROR(IF(Payments[[#This Row],[Invoice '#]]="","",INDEX(Invoices[Due Date],MATCH(Payments[[#This Row],[Invoice '#]],Invoices[Invoice '#],0))),"")</f>
        <v>44034</v>
      </c>
      <c r="E5" s="40">
        <f ca="1">IFERROR(IF(Payments[[#This Row],[Invoice '#]]="","",INDEX(Invoices[Amount due],MATCH(Payments[[#This Row],[Invoice '#]],Invoices[Invoice '#],0))-IF(E4=Payments[[#Headers],[Amount Due]],0,SUMIF(INDIRECT("B4:B"&amp;ROW()-1),Payments[[#This Row],[Invoice '#]],Payments[Amount Paid]))),"")</f>
        <v>52.5</v>
      </c>
      <c r="F5" s="41">
        <v>52.5</v>
      </c>
      <c r="G5" s="10">
        <v>44035</v>
      </c>
      <c r="H5" s="38">
        <f ca="1">IFERROR(IF(Payments[[#This Row],[Amount Due]]="","",IF(Payments[[#This Row],[Amount Due]]=0,0,Payments[[#This Row],[Amount Due]]-Payments[[#This Row],[Amount Paid]])),"")</f>
        <v>0</v>
      </c>
      <c r="I5" s="2"/>
    </row>
    <row r="6" spans="2:9" ht="14.1" customHeight="1" x14ac:dyDescent="0.2">
      <c r="B6" s="11">
        <v>10002</v>
      </c>
      <c r="C6" s="14" t="str">
        <f>IFERROR(IF(Payments[[#This Row],[Invoice '#]]="","",INDEX(Invoices[Customer],MATCH(Payments[[#This Row],[Invoice '#]],Invoices[Invoice '#],0))),"")</f>
        <v>XYZ Inc</v>
      </c>
      <c r="D6" s="15">
        <f>IFERROR(IF(Payments[[#This Row],[Invoice '#]]="","",INDEX(Invoices[Due Date],MATCH(Payments[[#This Row],[Invoice '#]],Invoices[Invoice '#],0))),"")</f>
        <v>44034</v>
      </c>
      <c r="E6" s="40">
        <f ca="1">IFERROR(IF(Payments[[#This Row],[Invoice '#]]="","",INDEX(Invoices[Amount due],MATCH(Payments[[#This Row],[Invoice '#]],Invoices[Invoice '#],0))-IF(E5=Payments[[#Headers],[Amount Due]],0,SUMIF(INDIRECT("B4:B"&amp;ROW()-1),Payments[[#This Row],[Invoice '#]],Payments[Amount Paid]))),"")</f>
        <v>0</v>
      </c>
      <c r="F6" s="41"/>
      <c r="G6" s="10"/>
      <c r="H6" s="38">
        <f ca="1">IFERROR(IF(Payments[[#This Row],[Amount Due]]="","",IF(Payments[[#This Row],[Amount Due]]=0,0,Payments[[#This Row],[Amount Due]]-Payments[[#This Row],[Amount Paid]])),"")</f>
        <v>0</v>
      </c>
      <c r="I6" s="2"/>
    </row>
    <row r="7" spans="2:9" ht="14.1" customHeight="1" x14ac:dyDescent="0.2">
      <c r="B7" s="11">
        <v>10003</v>
      </c>
      <c r="C7" s="14" t="str">
        <f>IFERROR(IF(Payments[[#This Row],[Invoice '#]]="","",INDEX(Invoices[Customer],MATCH(Payments[[#This Row],[Invoice '#]],Invoices[Invoice '#],0))),"")</f>
        <v>Sunnydale Industries</v>
      </c>
      <c r="D7" s="15">
        <f>IFERROR(IF(Payments[[#This Row],[Invoice '#]]="","",INDEX(Invoices[Due Date],MATCH(Payments[[#This Row],[Invoice '#]],Invoices[Invoice '#],0))),"")</f>
        <v>43907</v>
      </c>
      <c r="E7" s="40">
        <f ca="1">IFERROR(IF(Payments[[#This Row],[Invoice '#]]="","",INDEX(Invoices[Amount due],MATCH(Payments[[#This Row],[Invoice '#]],Invoices[Invoice '#],0))-IF(E6=Payments[[#Headers],[Amount Due]],0,SUMIF(INDIRECT("B4:B"&amp;ROW()-1),Payments[[#This Row],[Invoice '#]],Payments[Amount Paid]))),"")</f>
        <v>450.3</v>
      </c>
      <c r="F7" s="41">
        <v>250</v>
      </c>
      <c r="G7" s="10">
        <v>44042</v>
      </c>
      <c r="H7" s="38">
        <f ca="1">IFERROR(IF(Payments[[#This Row],[Amount Due]]="","",IF(Payments[[#This Row],[Amount Due]]=0,0,Payments[[#This Row],[Amount Due]]-Payments[[#This Row],[Amount Paid]])),"")</f>
        <v>200.3</v>
      </c>
      <c r="I7" s="2"/>
    </row>
    <row r="8" spans="2:9" ht="14.1" customHeight="1" x14ac:dyDescent="0.2">
      <c r="B8" s="11">
        <v>10004</v>
      </c>
      <c r="C8" s="14" t="str">
        <f>IFERROR(IF(Payments[[#This Row],[Invoice '#]]="","",INDEX(Invoices[Customer],MATCH(Payments[[#This Row],[Invoice '#]],Invoices[Invoice '#],0))),"")</f>
        <v>Cat Co</v>
      </c>
      <c r="D8" s="15">
        <f>IFERROR(IF(Payments[[#This Row],[Invoice '#]]="","",INDEX(Invoices[Due Date],MATCH(Payments[[#This Row],[Invoice '#]],Invoices[Invoice '#],0))),"")</f>
        <v>43940</v>
      </c>
      <c r="E8" s="40">
        <f ca="1">IFERROR(IF(Payments[[#This Row],[Invoice '#]]="","",INDEX(Invoices[Amount due],MATCH(Payments[[#This Row],[Invoice '#]],Invoices[Invoice '#],0))-IF(E7=Payments[[#Headers],[Amount Due]],0,SUMIF(INDIRECT("B4:B"&amp;ROW()-1),Payments[[#This Row],[Invoice '#]],Payments[Amount Paid]))),"")</f>
        <v>90</v>
      </c>
      <c r="F8" s="41">
        <v>90</v>
      </c>
      <c r="G8" s="10"/>
      <c r="H8" s="38">
        <f ca="1">IFERROR(IF(Payments[[#This Row],[Amount Due]]="","",IF(Payments[[#This Row],[Amount Due]]=0,0,Payments[[#This Row],[Amount Due]]-Payments[[#This Row],[Amount Paid]])),"")</f>
        <v>0</v>
      </c>
      <c r="I8" s="2"/>
    </row>
    <row r="9" spans="2:9" ht="14.1" customHeight="1" x14ac:dyDescent="0.2">
      <c r="B9" s="11">
        <v>10001</v>
      </c>
      <c r="C9" s="14" t="str">
        <f>IFERROR(IF(Payments[[#This Row],[Invoice '#]]="","",INDEX(Invoices[Customer],MATCH(Payments[[#This Row],[Invoice '#]],Invoices[Invoice '#],0))),"")</f>
        <v>ABC Company</v>
      </c>
      <c r="D9" s="15">
        <f>IFERROR(IF(Payments[[#This Row],[Invoice '#]]="","",INDEX(Invoices[Due Date],MATCH(Payments[[#This Row],[Invoice '#]],Invoices[Invoice '#],0))),"")</f>
        <v>43988</v>
      </c>
      <c r="E9" s="40">
        <f ca="1">IFERROR(IF(Payments[[#This Row],[Invoice '#]]="","",INDEX(Invoices[Amount due],MATCH(Payments[[#This Row],[Invoice '#]],Invoices[Invoice '#],0))-IF(E8=Payments[[#Headers],[Amount Due]],0,SUMIF(INDIRECT("B4:B"&amp;ROW()-1),Payments[[#This Row],[Invoice '#]],Payments[Amount Paid]))),"")</f>
        <v>300</v>
      </c>
      <c r="F9" s="41">
        <v>50</v>
      </c>
      <c r="G9" s="10"/>
      <c r="H9" s="38">
        <f ca="1">IFERROR(IF(Payments[[#This Row],[Amount Due]]="","",IF(Payments[[#This Row],[Amount Due]]=0,0,Payments[[#This Row],[Amount Due]]-Payments[[#This Row],[Amount Paid]])),"")</f>
        <v>250</v>
      </c>
      <c r="I9" s="2"/>
    </row>
    <row r="10" spans="2:9" ht="14.1" customHeight="1" x14ac:dyDescent="0.2">
      <c r="B10" s="11">
        <v>10003</v>
      </c>
      <c r="C10" s="14" t="str">
        <f>IFERROR(IF(Payments[[#This Row],[Invoice '#]]="","",INDEX(Invoices[Customer],MATCH(Payments[[#This Row],[Invoice '#]],Invoices[Invoice '#],0))),"")</f>
        <v>Sunnydale Industries</v>
      </c>
      <c r="D10" s="15">
        <f>IFERROR(IF(Payments[[#This Row],[Invoice '#]]="","",INDEX(Invoices[Due Date],MATCH(Payments[[#This Row],[Invoice '#]],Invoices[Invoice '#],0))),"")</f>
        <v>43907</v>
      </c>
      <c r="E10" s="40">
        <f ca="1">IFERROR(IF(Payments[[#This Row],[Invoice '#]]="","",INDEX(Invoices[Amount due],MATCH(Payments[[#This Row],[Invoice '#]],Invoices[Invoice '#],0))-IF(E9=Payments[[#Headers],[Amount Due]],0,SUMIF(INDIRECT("B4:B"&amp;ROW()-1),Payments[[#This Row],[Invoice '#]],Payments[Amount Paid]))),"")</f>
        <v>200.3</v>
      </c>
      <c r="F10" s="41">
        <v>200</v>
      </c>
      <c r="G10" s="10"/>
      <c r="H10" s="38">
        <f ca="1">IFERROR(IF(Payments[[#This Row],[Amount Due]]="","",IF(Payments[[#This Row],[Amount Due]]=0,0,Payments[[#This Row],[Amount Due]]-Payments[[#This Row],[Amount Paid]])),"")</f>
        <v>0.30000000000001137</v>
      </c>
      <c r="I10" s="2"/>
    </row>
    <row r="11" spans="2:9" ht="14.1" customHeight="1" x14ac:dyDescent="0.2">
      <c r="B11" s="11"/>
      <c r="C11" s="14" t="str">
        <f>IFERROR(IF(Payments[[#This Row],[Invoice '#]]="","",INDEX(Invoices[Customer],MATCH(Payments[[#This Row],[Invoice '#]],Invoices[Invoice '#],0))),"")</f>
        <v/>
      </c>
      <c r="D11" s="15" t="str">
        <f>IFERROR(IF(Payments[[#This Row],[Invoice '#]]="","",INDEX(Invoices[Due Date],MATCH(Payments[[#This Row],[Invoice '#]],Invoices[Invoice '#],0))),"")</f>
        <v/>
      </c>
      <c r="E11" s="40" t="str">
        <f ca="1">IFERROR(IF(Payments[[#This Row],[Invoice '#]]="","",INDEX(Invoices[Amount due],MATCH(Payments[[#This Row],[Invoice '#]],Invoices[Invoice '#],0))-IF(E10=Payments[[#Headers],[Amount Due]],0,SUMIF(INDIRECT("B4:B"&amp;ROW()-1),Payments[[#This Row],[Invoice '#]],Payments[Amount Paid]))),"")</f>
        <v/>
      </c>
      <c r="F11" s="41"/>
      <c r="G11" s="10"/>
      <c r="H11" s="38" t="str">
        <f ca="1">IFERROR(IF(Payments[[#This Row],[Amount Due]]="","",IF(Payments[[#This Row],[Amount Due]]=0,0,Payments[[#This Row],[Amount Due]]-Payments[[#This Row],[Amount Paid]])),"")</f>
        <v/>
      </c>
      <c r="I11" s="2"/>
    </row>
    <row r="12" spans="2:9" ht="14.1" customHeight="1" x14ac:dyDescent="0.2">
      <c r="B12" s="11"/>
      <c r="C12" s="14" t="str">
        <f>IFERROR(IF(Payments[[#This Row],[Invoice '#]]="","",INDEX(Invoices[Customer],MATCH(Payments[[#This Row],[Invoice '#]],Invoices[Invoice '#],0))),"")</f>
        <v/>
      </c>
      <c r="D12" s="15" t="str">
        <f>IFERROR(IF(Payments[[#This Row],[Invoice '#]]="","",INDEX(Invoices[Due Date],MATCH(Payments[[#This Row],[Invoice '#]],Invoices[Invoice '#],0))),"")</f>
        <v/>
      </c>
      <c r="E12" s="40" t="str">
        <f ca="1">IFERROR(IF(Payments[[#This Row],[Invoice '#]]="","",INDEX(Invoices[Amount due],MATCH(Payments[[#This Row],[Invoice '#]],Invoices[Invoice '#],0))-IF(E11=Payments[[#Headers],[Amount Due]],0,SUMIF(INDIRECT("B4:B"&amp;ROW()-1),Payments[[#This Row],[Invoice '#]],Payments[Amount Paid]))),"")</f>
        <v/>
      </c>
      <c r="F12" s="41"/>
      <c r="G12" s="10"/>
      <c r="H12" s="38" t="str">
        <f ca="1">IFERROR(IF(Payments[[#This Row],[Amount Due]]="","",IF(Payments[[#This Row],[Amount Due]]=0,0,Payments[[#This Row],[Amount Due]]-Payments[[#This Row],[Amount Paid]])),"")</f>
        <v/>
      </c>
      <c r="I12" s="2"/>
    </row>
    <row r="13" spans="2:9" ht="14.1" customHeight="1" x14ac:dyDescent="0.2">
      <c r="B13" s="11"/>
      <c r="C13" s="14" t="str">
        <f>IFERROR(IF(Payments[[#This Row],[Invoice '#]]="","",INDEX(Invoices[Customer],MATCH(Payments[[#This Row],[Invoice '#]],Invoices[Invoice '#],0))),"")</f>
        <v/>
      </c>
      <c r="D13" s="15" t="str">
        <f>IFERROR(IF(Payments[[#This Row],[Invoice '#]]="","",INDEX(Invoices[Due Date],MATCH(Payments[[#This Row],[Invoice '#]],Invoices[Invoice '#],0))),"")</f>
        <v/>
      </c>
      <c r="E13" s="40" t="str">
        <f ca="1">IFERROR(IF(Payments[[#This Row],[Invoice '#]]="","",INDEX(Invoices[Amount due],MATCH(Payments[[#This Row],[Invoice '#]],Invoices[Invoice '#],0))-IF(E12=Payments[[#Headers],[Amount Due]],0,SUMIF(INDIRECT("B4:B"&amp;ROW()-1),Payments[[#This Row],[Invoice '#]],Payments[Amount Paid]))),"")</f>
        <v/>
      </c>
      <c r="F13" s="41"/>
      <c r="G13" s="10"/>
      <c r="H13" s="38" t="str">
        <f ca="1">IFERROR(IF(Payments[[#This Row],[Amount Due]]="","",IF(Payments[[#This Row],[Amount Due]]=0,0,Payments[[#This Row],[Amount Due]]-Payments[[#This Row],[Amount Paid]])),"")</f>
        <v/>
      </c>
      <c r="I13" s="2"/>
    </row>
    <row r="14" spans="2:9" ht="14.1" customHeight="1" x14ac:dyDescent="0.2">
      <c r="B14" s="11"/>
      <c r="C14" s="14" t="str">
        <f>IFERROR(IF(Payments[[#This Row],[Invoice '#]]="","",INDEX(Invoices[Customer],MATCH(Payments[[#This Row],[Invoice '#]],Invoices[Invoice '#],0))),"")</f>
        <v/>
      </c>
      <c r="D14" s="15" t="str">
        <f>IFERROR(IF(Payments[[#This Row],[Invoice '#]]="","",INDEX(Invoices[Due Date],MATCH(Payments[[#This Row],[Invoice '#]],Invoices[Invoice '#],0))),"")</f>
        <v/>
      </c>
      <c r="E14" s="40" t="str">
        <f ca="1">IFERROR(IF(Payments[[#This Row],[Invoice '#]]="","",INDEX(Invoices[Amount due],MATCH(Payments[[#This Row],[Invoice '#]],Invoices[Invoice '#],0))-IF(E13=Payments[[#Headers],[Amount Due]],0,SUMIF(INDIRECT("B4:B"&amp;ROW()-1),Payments[[#This Row],[Invoice '#]],Payments[Amount Paid]))),"")</f>
        <v/>
      </c>
      <c r="F14" s="41"/>
      <c r="G14" s="10"/>
      <c r="H14" s="38" t="str">
        <f ca="1">IFERROR(IF(Payments[[#This Row],[Amount Due]]="","",IF(Payments[[#This Row],[Amount Due]]=0,0,Payments[[#This Row],[Amount Due]]-Payments[[#This Row],[Amount Paid]])),"")</f>
        <v/>
      </c>
      <c r="I14" s="2"/>
    </row>
    <row r="15" spans="2:9" ht="14.1" customHeight="1" x14ac:dyDescent="0.2">
      <c r="B15" s="11"/>
      <c r="C15" s="14" t="str">
        <f>IFERROR(IF(Payments[[#This Row],[Invoice '#]]="","",INDEX(Invoices[Customer],MATCH(Payments[[#This Row],[Invoice '#]],Invoices[Invoice '#],0))),"")</f>
        <v/>
      </c>
      <c r="D15" s="15" t="str">
        <f>IFERROR(IF(Payments[[#This Row],[Invoice '#]]="","",INDEX(Invoices[Due Date],MATCH(Payments[[#This Row],[Invoice '#]],Invoices[Invoice '#],0))),"")</f>
        <v/>
      </c>
      <c r="E15" s="40" t="str">
        <f ca="1">IFERROR(IF(Payments[[#This Row],[Invoice '#]]="","",INDEX(Invoices[Amount due],MATCH(Payments[[#This Row],[Invoice '#]],Invoices[Invoice '#],0))-IF(E14=Payments[[#Headers],[Amount Due]],0,SUMIF(INDIRECT("B4:B"&amp;ROW()-1),Payments[[#This Row],[Invoice '#]],Payments[Amount Paid]))),"")</f>
        <v/>
      </c>
      <c r="F15" s="41"/>
      <c r="G15" s="10"/>
      <c r="H15" s="38" t="str">
        <f ca="1">IFERROR(IF(Payments[[#This Row],[Amount Due]]="","",IF(Payments[[#This Row],[Amount Due]]=0,0,Payments[[#This Row],[Amount Due]]-Payments[[#This Row],[Amount Paid]])),"")</f>
        <v/>
      </c>
      <c r="I15" s="2"/>
    </row>
    <row r="16" spans="2:9" ht="14.1" customHeight="1" x14ac:dyDescent="0.2">
      <c r="B16" s="11"/>
      <c r="C16" s="14" t="str">
        <f>IFERROR(IF(Payments[[#This Row],[Invoice '#]]="","",INDEX(Invoices[Customer],MATCH(Payments[[#This Row],[Invoice '#]],Invoices[Invoice '#],0))),"")</f>
        <v/>
      </c>
      <c r="D16" s="15" t="str">
        <f>IFERROR(IF(Payments[[#This Row],[Invoice '#]]="","",INDEX(Invoices[Due Date],MATCH(Payments[[#This Row],[Invoice '#]],Invoices[Invoice '#],0))),"")</f>
        <v/>
      </c>
      <c r="E16" s="40" t="str">
        <f ca="1">IFERROR(IF(Payments[[#This Row],[Invoice '#]]="","",INDEX(Invoices[Amount due],MATCH(Payments[[#This Row],[Invoice '#]],Invoices[Invoice '#],0))-IF(E15=Payments[[#Headers],[Amount Due]],0,SUMIF(INDIRECT("B4:B"&amp;ROW()-1),Payments[[#This Row],[Invoice '#]],Payments[Amount Paid]))),"")</f>
        <v/>
      </c>
      <c r="F16" s="41"/>
      <c r="G16" s="10"/>
      <c r="H16" s="38" t="str">
        <f ca="1">IFERROR(IF(Payments[[#This Row],[Amount Due]]="","",IF(Payments[[#This Row],[Amount Due]]=0,0,Payments[[#This Row],[Amount Due]]-Payments[[#This Row],[Amount Paid]])),"")</f>
        <v/>
      </c>
      <c r="I16" s="2"/>
    </row>
    <row r="17" spans="2:9" ht="14.1" customHeight="1" x14ac:dyDescent="0.2">
      <c r="B17" s="11"/>
      <c r="C17" s="14" t="str">
        <f>IFERROR(IF(Payments[[#This Row],[Invoice '#]]="","",INDEX(Invoices[Customer],MATCH(Payments[[#This Row],[Invoice '#]],Invoices[Invoice '#],0))),"")</f>
        <v/>
      </c>
      <c r="D17" s="15" t="str">
        <f>IFERROR(IF(Payments[[#This Row],[Invoice '#]]="","",INDEX(Invoices[Due Date],MATCH(Payments[[#This Row],[Invoice '#]],Invoices[Invoice '#],0))),"")</f>
        <v/>
      </c>
      <c r="E17" s="40" t="str">
        <f ca="1">IFERROR(IF(Payments[[#This Row],[Invoice '#]]="","",INDEX(Invoices[Amount due],MATCH(Payments[[#This Row],[Invoice '#]],Invoices[Invoice '#],0))-IF(E16=Payments[[#Headers],[Amount Due]],0,SUMIF(INDIRECT("B4:B"&amp;ROW()-1),Payments[[#This Row],[Invoice '#]],Payments[Amount Paid]))),"")</f>
        <v/>
      </c>
      <c r="F17" s="41"/>
      <c r="G17" s="10"/>
      <c r="H17" s="38" t="str">
        <f ca="1">IFERROR(IF(Payments[[#This Row],[Amount Due]]="","",IF(Payments[[#This Row],[Amount Due]]=0,0,Payments[[#This Row],[Amount Due]]-Payments[[#This Row],[Amount Paid]])),"")</f>
        <v/>
      </c>
      <c r="I17" s="2"/>
    </row>
    <row r="18" spans="2:9" ht="14.1" customHeight="1" x14ac:dyDescent="0.2">
      <c r="B18" s="11"/>
      <c r="C18" s="14" t="str">
        <f>IFERROR(IF(Payments[[#This Row],[Invoice '#]]="","",INDEX(Invoices[Customer],MATCH(Payments[[#This Row],[Invoice '#]],Invoices[Invoice '#],0))),"")</f>
        <v/>
      </c>
      <c r="D18" s="15" t="str">
        <f>IFERROR(IF(Payments[[#This Row],[Invoice '#]]="","",INDEX(Invoices[Due Date],MATCH(Payments[[#This Row],[Invoice '#]],Invoices[Invoice '#],0))),"")</f>
        <v/>
      </c>
      <c r="E18" s="40" t="str">
        <f ca="1">IFERROR(IF(Payments[[#This Row],[Invoice '#]]="","",INDEX(Invoices[Amount due],MATCH(Payments[[#This Row],[Invoice '#]],Invoices[Invoice '#],0))-IF(E17=Payments[[#Headers],[Amount Due]],0,SUMIF(INDIRECT("B4:B"&amp;ROW()-1),Payments[[#This Row],[Invoice '#]],Payments[Amount Paid]))),"")</f>
        <v/>
      </c>
      <c r="F18" s="41"/>
      <c r="G18" s="10"/>
      <c r="H18" s="38" t="str">
        <f ca="1">IFERROR(IF(Payments[[#This Row],[Amount Due]]="","",IF(Payments[[#This Row],[Amount Due]]=0,0,Payments[[#This Row],[Amount Due]]-Payments[[#This Row],[Amount Paid]])),"")</f>
        <v/>
      </c>
      <c r="I18" s="2"/>
    </row>
    <row r="19" spans="2:9" ht="14.1" customHeight="1" x14ac:dyDescent="0.2">
      <c r="B19" s="11"/>
      <c r="C19" s="14" t="str">
        <f>IFERROR(IF(Payments[[#This Row],[Invoice '#]]="","",INDEX(Invoices[Customer],MATCH(Payments[[#This Row],[Invoice '#]],Invoices[Invoice '#],0))),"")</f>
        <v/>
      </c>
      <c r="D19" s="15" t="str">
        <f>IFERROR(IF(Payments[[#This Row],[Invoice '#]]="","",INDEX(Invoices[Due Date],MATCH(Payments[[#This Row],[Invoice '#]],Invoices[Invoice '#],0))),"")</f>
        <v/>
      </c>
      <c r="E19" s="40" t="str">
        <f ca="1">IFERROR(IF(Payments[[#This Row],[Invoice '#]]="","",INDEX(Invoices[Amount due],MATCH(Payments[[#This Row],[Invoice '#]],Invoices[Invoice '#],0))-IF(E18=Payments[[#Headers],[Amount Due]],0,SUMIF(INDIRECT("B4:B"&amp;ROW()-1),Payments[[#This Row],[Invoice '#]],Payments[Amount Paid]))),"")</f>
        <v/>
      </c>
      <c r="F19" s="41"/>
      <c r="G19" s="10"/>
      <c r="H19" s="38" t="str">
        <f ca="1">IFERROR(IF(Payments[[#This Row],[Amount Due]]="","",IF(Payments[[#This Row],[Amount Due]]=0,0,Payments[[#This Row],[Amount Due]]-Payments[[#This Row],[Amount Paid]])),"")</f>
        <v/>
      </c>
      <c r="I19" s="2"/>
    </row>
    <row r="20" spans="2:9" ht="14.1" customHeight="1" x14ac:dyDescent="0.2">
      <c r="B20" s="11"/>
      <c r="C20" s="14" t="str">
        <f>IFERROR(IF(Payments[[#This Row],[Invoice '#]]="","",INDEX(Invoices[Customer],MATCH(Payments[[#This Row],[Invoice '#]],Invoices[Invoice '#],0))),"")</f>
        <v/>
      </c>
      <c r="D20" s="15" t="str">
        <f>IFERROR(IF(Payments[[#This Row],[Invoice '#]]="","",INDEX(Invoices[Due Date],MATCH(Payments[[#This Row],[Invoice '#]],Invoices[Invoice '#],0))),"")</f>
        <v/>
      </c>
      <c r="E20" s="40" t="str">
        <f ca="1">IFERROR(IF(Payments[[#This Row],[Invoice '#]]="","",INDEX(Invoices[Amount due],MATCH(Payments[[#This Row],[Invoice '#]],Invoices[Invoice '#],0))-IF(E19=Payments[[#Headers],[Amount Due]],0,SUMIF(INDIRECT("B4:B"&amp;ROW()-1),Payments[[#This Row],[Invoice '#]],Payments[Amount Paid]))),"")</f>
        <v/>
      </c>
      <c r="F20" s="41"/>
      <c r="G20" s="10"/>
      <c r="H20" s="38" t="str">
        <f ca="1">IFERROR(IF(Payments[[#This Row],[Amount Due]]="","",IF(Payments[[#This Row],[Amount Due]]=0,0,Payments[[#This Row],[Amount Due]]-Payments[[#This Row],[Amount Paid]])),"")</f>
        <v/>
      </c>
      <c r="I20" s="2"/>
    </row>
    <row r="21" spans="2:9" ht="14.1" customHeight="1" x14ac:dyDescent="0.2">
      <c r="B21" s="11"/>
      <c r="C21" s="14" t="str">
        <f>IFERROR(IF(Payments[[#This Row],[Invoice '#]]="","",INDEX(Invoices[Customer],MATCH(Payments[[#This Row],[Invoice '#]],Invoices[Invoice '#],0))),"")</f>
        <v/>
      </c>
      <c r="D21" s="15" t="str">
        <f>IFERROR(IF(Payments[[#This Row],[Invoice '#]]="","",INDEX(Invoices[Due Date],MATCH(Payments[[#This Row],[Invoice '#]],Invoices[Invoice '#],0))),"")</f>
        <v/>
      </c>
      <c r="E21" s="40" t="str">
        <f ca="1">IFERROR(IF(Payments[[#This Row],[Invoice '#]]="","",INDEX(Invoices[Amount due],MATCH(Payments[[#This Row],[Invoice '#]],Invoices[Invoice '#],0))-IF(E20=Payments[[#Headers],[Amount Due]],0,SUMIF(INDIRECT("B4:B"&amp;ROW()-1),Payments[[#This Row],[Invoice '#]],Payments[Amount Paid]))),"")</f>
        <v/>
      </c>
      <c r="F21" s="41"/>
      <c r="G21" s="10"/>
      <c r="H21" s="38" t="str">
        <f ca="1">IFERROR(IF(Payments[[#This Row],[Amount Due]]="","",IF(Payments[[#This Row],[Amount Due]]=0,0,Payments[[#This Row],[Amount Due]]-Payments[[#This Row],[Amount Paid]])),"")</f>
        <v/>
      </c>
      <c r="I21" s="2"/>
    </row>
    <row r="22" spans="2:9" ht="14.1" customHeight="1" x14ac:dyDescent="0.2">
      <c r="B22" s="11"/>
      <c r="C22" s="14" t="str">
        <f>IFERROR(IF(Payments[[#This Row],[Invoice '#]]="","",INDEX(Invoices[Customer],MATCH(Payments[[#This Row],[Invoice '#]],Invoices[Invoice '#],0))),"")</f>
        <v/>
      </c>
      <c r="D22" s="15" t="str">
        <f>IFERROR(IF(Payments[[#This Row],[Invoice '#]]="","",INDEX(Invoices[Due Date],MATCH(Payments[[#This Row],[Invoice '#]],Invoices[Invoice '#],0))),"")</f>
        <v/>
      </c>
      <c r="E22" s="40" t="str">
        <f ca="1">IFERROR(IF(Payments[[#This Row],[Invoice '#]]="","",INDEX(Invoices[Amount due],MATCH(Payments[[#This Row],[Invoice '#]],Invoices[Invoice '#],0))-IF(E21=Payments[[#Headers],[Amount Due]],0,SUMIF(INDIRECT("B4:B"&amp;ROW()-1),Payments[[#This Row],[Invoice '#]],Payments[Amount Paid]))),"")</f>
        <v/>
      </c>
      <c r="F22" s="41"/>
      <c r="G22" s="10"/>
      <c r="H22" s="38" t="str">
        <f ca="1">IFERROR(IF(Payments[[#This Row],[Amount Due]]="","",IF(Payments[[#This Row],[Amount Due]]=0,0,Payments[[#This Row],[Amount Due]]-Payments[[#This Row],[Amount Paid]])),"")</f>
        <v/>
      </c>
      <c r="I22" s="2"/>
    </row>
    <row r="23" spans="2:9" ht="14.1" customHeight="1" x14ac:dyDescent="0.2">
      <c r="B23" s="11"/>
      <c r="C23" s="14" t="str">
        <f>IFERROR(IF(Payments[[#This Row],[Invoice '#]]="","",INDEX(Invoices[Customer],MATCH(Payments[[#This Row],[Invoice '#]],Invoices[Invoice '#],0))),"")</f>
        <v/>
      </c>
      <c r="D23" s="15" t="str">
        <f>IFERROR(IF(Payments[[#This Row],[Invoice '#]]="","",INDEX(Invoices[Due Date],MATCH(Payments[[#This Row],[Invoice '#]],Invoices[Invoice '#],0))),"")</f>
        <v/>
      </c>
      <c r="E23" s="40" t="str">
        <f ca="1">IFERROR(IF(Payments[[#This Row],[Invoice '#]]="","",INDEX(Invoices[Amount due],MATCH(Payments[[#This Row],[Invoice '#]],Invoices[Invoice '#],0))-IF(E22=Payments[[#Headers],[Amount Due]],0,SUMIF(INDIRECT("B4:B"&amp;ROW()-1),Payments[[#This Row],[Invoice '#]],Payments[Amount Paid]))),"")</f>
        <v/>
      </c>
      <c r="F23" s="41"/>
      <c r="G23" s="10"/>
      <c r="H23" s="38" t="str">
        <f ca="1">IFERROR(IF(Payments[[#This Row],[Amount Due]]="","",IF(Payments[[#This Row],[Amount Due]]=0,0,Payments[[#This Row],[Amount Due]]-Payments[[#This Row],[Amount Paid]])),"")</f>
        <v/>
      </c>
      <c r="I23" s="2"/>
    </row>
    <row r="24" spans="2:9" ht="14.1" customHeight="1" x14ac:dyDescent="0.2">
      <c r="B24" s="11"/>
      <c r="C24" s="14" t="str">
        <f>IFERROR(IF(Payments[[#This Row],[Invoice '#]]="","",INDEX(Invoices[Customer],MATCH(Payments[[#This Row],[Invoice '#]],Invoices[Invoice '#],0))),"")</f>
        <v/>
      </c>
      <c r="D24" s="15" t="str">
        <f>IFERROR(IF(Payments[[#This Row],[Invoice '#]]="","",INDEX(Invoices[Due Date],MATCH(Payments[[#This Row],[Invoice '#]],Invoices[Invoice '#],0))),"")</f>
        <v/>
      </c>
      <c r="E24" s="40" t="str">
        <f ca="1">IFERROR(IF(Payments[[#This Row],[Invoice '#]]="","",INDEX(Invoices[Amount due],MATCH(Payments[[#This Row],[Invoice '#]],Invoices[Invoice '#],0))-IF(E23=Payments[[#Headers],[Amount Due]],0,SUMIF(INDIRECT("B4:B"&amp;ROW()-1),Payments[[#This Row],[Invoice '#]],Payments[Amount Paid]))),"")</f>
        <v/>
      </c>
      <c r="F24" s="41"/>
      <c r="G24" s="10"/>
      <c r="H24" s="38" t="str">
        <f ca="1">IFERROR(IF(Payments[[#This Row],[Amount Due]]="","",IF(Payments[[#This Row],[Amount Due]]=0,0,Payments[[#This Row],[Amount Due]]-Payments[[#This Row],[Amount Paid]])),"")</f>
        <v/>
      </c>
      <c r="I24" s="2"/>
    </row>
    <row r="25" spans="2:9" ht="14.1" customHeight="1" x14ac:dyDescent="0.2">
      <c r="B25" s="11"/>
      <c r="C25" s="14" t="str">
        <f>IFERROR(IF(Payments[[#This Row],[Invoice '#]]="","",INDEX(Invoices[Customer],MATCH(Payments[[#This Row],[Invoice '#]],Invoices[Invoice '#],0))),"")</f>
        <v/>
      </c>
      <c r="D25" s="15" t="str">
        <f>IFERROR(IF(Payments[[#This Row],[Invoice '#]]="","",INDEX(Invoices[Due Date],MATCH(Payments[[#This Row],[Invoice '#]],Invoices[Invoice '#],0))),"")</f>
        <v/>
      </c>
      <c r="E25" s="40" t="str">
        <f ca="1">IFERROR(IF(Payments[[#This Row],[Invoice '#]]="","",INDEX(Invoices[Amount due],MATCH(Payments[[#This Row],[Invoice '#]],Invoices[Invoice '#],0))-IF(E24=Payments[[#Headers],[Amount Due]],0,SUMIF(INDIRECT("B4:B"&amp;ROW()-1),Payments[[#This Row],[Invoice '#]],Payments[Amount Paid]))),"")</f>
        <v/>
      </c>
      <c r="F25" s="41"/>
      <c r="G25" s="10"/>
      <c r="H25" s="38" t="str">
        <f ca="1">IFERROR(IF(Payments[[#This Row],[Amount Due]]="","",IF(Payments[[#This Row],[Amount Due]]=0,0,Payments[[#This Row],[Amount Due]]-Payments[[#This Row],[Amount Paid]])),"")</f>
        <v/>
      </c>
      <c r="I25" s="2"/>
    </row>
    <row r="26" spans="2:9" ht="14.1" customHeight="1" x14ac:dyDescent="0.2">
      <c r="B26" s="11"/>
      <c r="C26" s="14" t="str">
        <f>IFERROR(IF(Payments[[#This Row],[Invoice '#]]="","",INDEX(Invoices[Customer],MATCH(Payments[[#This Row],[Invoice '#]],Invoices[Invoice '#],0))),"")</f>
        <v/>
      </c>
      <c r="D26" s="15" t="str">
        <f>IFERROR(IF(Payments[[#This Row],[Invoice '#]]="","",INDEX(Invoices[Due Date],MATCH(Payments[[#This Row],[Invoice '#]],Invoices[Invoice '#],0))),"")</f>
        <v/>
      </c>
      <c r="E26" s="40" t="str">
        <f ca="1">IFERROR(IF(Payments[[#This Row],[Invoice '#]]="","",INDEX(Invoices[Amount due],MATCH(Payments[[#This Row],[Invoice '#]],Invoices[Invoice '#],0))-IF(E25=Payments[[#Headers],[Amount Due]],0,SUMIF(INDIRECT("B4:B"&amp;ROW()-1),Payments[[#This Row],[Invoice '#]],Payments[Amount Paid]))),"")</f>
        <v/>
      </c>
      <c r="F26" s="41"/>
      <c r="G26" s="10"/>
      <c r="H26" s="38" t="str">
        <f ca="1">IFERROR(IF(Payments[[#This Row],[Amount Due]]="","",IF(Payments[[#This Row],[Amount Due]]=0,0,Payments[[#This Row],[Amount Due]]-Payments[[#This Row],[Amount Paid]])),"")</f>
        <v/>
      </c>
      <c r="I26" s="2"/>
    </row>
    <row r="27" spans="2:9" ht="14.1" customHeight="1" x14ac:dyDescent="0.2">
      <c r="B27" s="11"/>
      <c r="C27" s="14" t="str">
        <f>IFERROR(IF(Payments[[#This Row],[Invoice '#]]="","",INDEX(Invoices[Customer],MATCH(Payments[[#This Row],[Invoice '#]],Invoices[Invoice '#],0))),"")</f>
        <v/>
      </c>
      <c r="D27" s="15" t="str">
        <f>IFERROR(IF(Payments[[#This Row],[Invoice '#]]="","",INDEX(Invoices[Due Date],MATCH(Payments[[#This Row],[Invoice '#]],Invoices[Invoice '#],0))),"")</f>
        <v/>
      </c>
      <c r="E27" s="40" t="str">
        <f ca="1">IFERROR(IF(Payments[[#This Row],[Invoice '#]]="","",INDEX(Invoices[Amount due],MATCH(Payments[[#This Row],[Invoice '#]],Invoices[Invoice '#],0))-IF(E26=Payments[[#Headers],[Amount Due]],0,SUMIF(INDIRECT("B4:B"&amp;ROW()-1),Payments[[#This Row],[Invoice '#]],Payments[Amount Paid]))),"")</f>
        <v/>
      </c>
      <c r="F27" s="41"/>
      <c r="G27" s="10"/>
      <c r="H27" s="38" t="str">
        <f ca="1">IFERROR(IF(Payments[[#This Row],[Amount Due]]="","",IF(Payments[[#This Row],[Amount Due]]=0,0,Payments[[#This Row],[Amount Due]]-Payments[[#This Row],[Amount Paid]])),"")</f>
        <v/>
      </c>
      <c r="I27" s="2"/>
    </row>
    <row r="28" spans="2:9" ht="14.1" customHeight="1" x14ac:dyDescent="0.2">
      <c r="B28" s="11"/>
      <c r="C28" s="14" t="str">
        <f>IFERROR(IF(Payments[[#This Row],[Invoice '#]]="","",INDEX(Invoices[Customer],MATCH(Payments[[#This Row],[Invoice '#]],Invoices[Invoice '#],0))),"")</f>
        <v/>
      </c>
      <c r="D28" s="15" t="str">
        <f>IFERROR(IF(Payments[[#This Row],[Invoice '#]]="","",INDEX(Invoices[Due Date],MATCH(Payments[[#This Row],[Invoice '#]],Invoices[Invoice '#],0))),"")</f>
        <v/>
      </c>
      <c r="E28" s="40" t="str">
        <f ca="1">IFERROR(IF(Payments[[#This Row],[Invoice '#]]="","",INDEX(Invoices[Amount due],MATCH(Payments[[#This Row],[Invoice '#]],Invoices[Invoice '#],0))-IF(E27=Payments[[#Headers],[Amount Due]],0,SUMIF(INDIRECT("B4:B"&amp;ROW()-1),Payments[[#This Row],[Invoice '#]],Payments[Amount Paid]))),"")</f>
        <v/>
      </c>
      <c r="F28" s="41"/>
      <c r="G28" s="10"/>
      <c r="H28" s="38" t="str">
        <f ca="1">IFERROR(IF(Payments[[#This Row],[Amount Due]]="","",IF(Payments[[#This Row],[Amount Due]]=0,0,Payments[[#This Row],[Amount Due]]-Payments[[#This Row],[Amount Paid]])),"")</f>
        <v/>
      </c>
      <c r="I28" s="2"/>
    </row>
    <row r="29" spans="2:9" ht="14.1" customHeight="1" x14ac:dyDescent="0.2">
      <c r="B29" s="11"/>
      <c r="C29" s="14" t="str">
        <f>IFERROR(IF(Payments[[#This Row],[Invoice '#]]="","",INDEX(Invoices[Customer],MATCH(Payments[[#This Row],[Invoice '#]],Invoices[Invoice '#],0))),"")</f>
        <v/>
      </c>
      <c r="D29" s="15" t="str">
        <f>IFERROR(IF(Payments[[#This Row],[Invoice '#]]="","",INDEX(Invoices[Due Date],MATCH(Payments[[#This Row],[Invoice '#]],Invoices[Invoice '#],0))),"")</f>
        <v/>
      </c>
      <c r="E29" s="40" t="str">
        <f ca="1">IFERROR(IF(Payments[[#This Row],[Invoice '#]]="","",INDEX(Invoices[Amount due],MATCH(Payments[[#This Row],[Invoice '#]],Invoices[Invoice '#],0))-IF(E28=Payments[[#Headers],[Amount Due]],0,SUMIF(INDIRECT("B4:B"&amp;ROW()-1),Payments[[#This Row],[Invoice '#]],Payments[Amount Paid]))),"")</f>
        <v/>
      </c>
      <c r="F29" s="41"/>
      <c r="G29" s="10"/>
      <c r="H29" s="38" t="str">
        <f ca="1">IFERROR(IF(Payments[[#This Row],[Amount Due]]="","",IF(Payments[[#This Row],[Amount Due]]=0,0,Payments[[#This Row],[Amount Due]]-Payments[[#This Row],[Amount Paid]])),"")</f>
        <v/>
      </c>
      <c r="I29" s="2"/>
    </row>
    <row r="30" spans="2:9" ht="14.1" customHeight="1" x14ac:dyDescent="0.2">
      <c r="B30" s="11"/>
      <c r="C30" s="14" t="str">
        <f>IFERROR(IF(Payments[[#This Row],[Invoice '#]]="","",INDEX(Invoices[Customer],MATCH(Payments[[#This Row],[Invoice '#]],Invoices[Invoice '#],0))),"")</f>
        <v/>
      </c>
      <c r="D30" s="15" t="str">
        <f>IFERROR(IF(Payments[[#This Row],[Invoice '#]]="","",INDEX(Invoices[Due Date],MATCH(Payments[[#This Row],[Invoice '#]],Invoices[Invoice '#],0))),"")</f>
        <v/>
      </c>
      <c r="E30" s="40" t="str">
        <f ca="1">IFERROR(IF(Payments[[#This Row],[Invoice '#]]="","",INDEX(Invoices[Amount due],MATCH(Payments[[#This Row],[Invoice '#]],Invoices[Invoice '#],0))-IF(E29=Payments[[#Headers],[Amount Due]],0,SUMIF(INDIRECT("B4:B"&amp;ROW()-1),Payments[[#This Row],[Invoice '#]],Payments[Amount Paid]))),"")</f>
        <v/>
      </c>
      <c r="F30" s="41"/>
      <c r="G30" s="10"/>
      <c r="H30" s="38" t="str">
        <f ca="1">IFERROR(IF(Payments[[#This Row],[Amount Due]]="","",IF(Payments[[#This Row],[Amount Due]]=0,0,Payments[[#This Row],[Amount Due]]-Payments[[#This Row],[Amount Paid]])),"")</f>
        <v/>
      </c>
      <c r="I30" s="2"/>
    </row>
    <row r="31" spans="2:9" ht="14.1" customHeight="1" x14ac:dyDescent="0.2">
      <c r="B31" s="11"/>
      <c r="C31" s="14" t="str">
        <f>IFERROR(IF(Payments[[#This Row],[Invoice '#]]="","",INDEX(Invoices[Customer],MATCH(Payments[[#This Row],[Invoice '#]],Invoices[Invoice '#],0))),"")</f>
        <v/>
      </c>
      <c r="D31" s="15" t="str">
        <f>IFERROR(IF(Payments[[#This Row],[Invoice '#]]="","",INDEX(Invoices[Due Date],MATCH(Payments[[#This Row],[Invoice '#]],Invoices[Invoice '#],0))),"")</f>
        <v/>
      </c>
      <c r="E31" s="40" t="str">
        <f ca="1">IFERROR(IF(Payments[[#This Row],[Invoice '#]]="","",INDEX(Invoices[Amount due],MATCH(Payments[[#This Row],[Invoice '#]],Invoices[Invoice '#],0))-IF(E30=Payments[[#Headers],[Amount Due]],0,SUMIF(INDIRECT("B4:B"&amp;ROW()-1),Payments[[#This Row],[Invoice '#]],Payments[Amount Paid]))),"")</f>
        <v/>
      </c>
      <c r="F31" s="41"/>
      <c r="G31" s="10"/>
      <c r="H31" s="38" t="str">
        <f ca="1">IFERROR(IF(Payments[[#This Row],[Amount Due]]="","",IF(Payments[[#This Row],[Amount Due]]=0,0,Payments[[#This Row],[Amount Due]]-Payments[[#This Row],[Amount Paid]])),"")</f>
        <v/>
      </c>
      <c r="I31" s="2"/>
    </row>
    <row r="32" spans="2:9" ht="14.1" customHeight="1" x14ac:dyDescent="0.2">
      <c r="B32" s="11"/>
      <c r="C32" s="14" t="str">
        <f>IFERROR(IF(Payments[[#This Row],[Invoice '#]]="","",INDEX(Invoices[Customer],MATCH(Payments[[#This Row],[Invoice '#]],Invoices[Invoice '#],0))),"")</f>
        <v/>
      </c>
      <c r="D32" s="15" t="str">
        <f>IFERROR(IF(Payments[[#This Row],[Invoice '#]]="","",INDEX(Invoices[Due Date],MATCH(Payments[[#This Row],[Invoice '#]],Invoices[Invoice '#],0))),"")</f>
        <v/>
      </c>
      <c r="E32" s="40" t="str">
        <f ca="1">IFERROR(IF(Payments[[#This Row],[Invoice '#]]="","",INDEX(Invoices[Amount due],MATCH(Payments[[#This Row],[Invoice '#]],Invoices[Invoice '#],0))-IF(E31=Payments[[#Headers],[Amount Due]],0,SUMIF(INDIRECT("B4:B"&amp;ROW()-1),Payments[[#This Row],[Invoice '#]],Payments[Amount Paid]))),"")</f>
        <v/>
      </c>
      <c r="F32" s="41"/>
      <c r="G32" s="10"/>
      <c r="H32" s="38" t="str">
        <f ca="1">IFERROR(IF(Payments[[#This Row],[Amount Due]]="","",IF(Payments[[#This Row],[Amount Due]]=0,0,Payments[[#This Row],[Amount Due]]-Payments[[#This Row],[Amount Paid]])),"")</f>
        <v/>
      </c>
      <c r="I32" s="2"/>
    </row>
    <row r="33" spans="2:9" ht="14.1" customHeight="1" x14ac:dyDescent="0.2">
      <c r="B33" s="11"/>
      <c r="C33" s="14" t="str">
        <f>IFERROR(IF(Payments[[#This Row],[Invoice '#]]="","",INDEX(Invoices[Customer],MATCH(Payments[[#This Row],[Invoice '#]],Invoices[Invoice '#],0))),"")</f>
        <v/>
      </c>
      <c r="D33" s="15" t="str">
        <f>IFERROR(IF(Payments[[#This Row],[Invoice '#]]="","",INDEX(Invoices[Due Date],MATCH(Payments[[#This Row],[Invoice '#]],Invoices[Invoice '#],0))),"")</f>
        <v/>
      </c>
      <c r="E33" s="40" t="str">
        <f ca="1">IFERROR(IF(Payments[[#This Row],[Invoice '#]]="","",INDEX(Invoices[Amount due],MATCH(Payments[[#This Row],[Invoice '#]],Invoices[Invoice '#],0))-IF(E32=Payments[[#Headers],[Amount Due]],0,SUMIF(INDIRECT("B4:B"&amp;ROW()-1),Payments[[#This Row],[Invoice '#]],Payments[Amount Paid]))),"")</f>
        <v/>
      </c>
      <c r="F33" s="41"/>
      <c r="G33" s="10"/>
      <c r="H33" s="38" t="str">
        <f ca="1">IFERROR(IF(Payments[[#This Row],[Amount Due]]="","",IF(Payments[[#This Row],[Amount Due]]=0,0,Payments[[#This Row],[Amount Due]]-Payments[[#This Row],[Amount Paid]])),"")</f>
        <v/>
      </c>
      <c r="I33" s="2"/>
    </row>
    <row r="34" spans="2:9" ht="14.1" customHeight="1" x14ac:dyDescent="0.2">
      <c r="B34" s="11"/>
      <c r="C34" s="14" t="str">
        <f>IFERROR(IF(Payments[[#This Row],[Invoice '#]]="","",INDEX(Invoices[Customer],MATCH(Payments[[#This Row],[Invoice '#]],Invoices[Invoice '#],0))),"")</f>
        <v/>
      </c>
      <c r="D34" s="15" t="str">
        <f>IFERROR(IF(Payments[[#This Row],[Invoice '#]]="","",INDEX(Invoices[Due Date],MATCH(Payments[[#This Row],[Invoice '#]],Invoices[Invoice '#],0))),"")</f>
        <v/>
      </c>
      <c r="E34" s="40" t="str">
        <f ca="1">IFERROR(IF(Payments[[#This Row],[Invoice '#]]="","",INDEX(Invoices[Amount due],MATCH(Payments[[#This Row],[Invoice '#]],Invoices[Invoice '#],0))-IF(E33=Payments[[#Headers],[Amount Due]],0,SUMIF(INDIRECT("B4:B"&amp;ROW()-1),Payments[[#This Row],[Invoice '#]],Payments[Amount Paid]))),"")</f>
        <v/>
      </c>
      <c r="F34" s="41"/>
      <c r="G34" s="10"/>
      <c r="H34" s="38" t="str">
        <f ca="1">IFERROR(IF(Payments[[#This Row],[Amount Due]]="","",IF(Payments[[#This Row],[Amount Due]]=0,0,Payments[[#This Row],[Amount Due]]-Payments[[#This Row],[Amount Paid]])),"")</f>
        <v/>
      </c>
      <c r="I34" s="2"/>
    </row>
    <row r="35" spans="2:9" ht="14.1" customHeight="1" x14ac:dyDescent="0.2">
      <c r="B35" s="11"/>
      <c r="C35" s="14" t="str">
        <f>IFERROR(IF(Payments[[#This Row],[Invoice '#]]="","",INDEX(Invoices[Customer],MATCH(Payments[[#This Row],[Invoice '#]],Invoices[Invoice '#],0))),"")</f>
        <v/>
      </c>
      <c r="D35" s="15" t="str">
        <f>IFERROR(IF(Payments[[#This Row],[Invoice '#]]="","",INDEX(Invoices[Due Date],MATCH(Payments[[#This Row],[Invoice '#]],Invoices[Invoice '#],0))),"")</f>
        <v/>
      </c>
      <c r="E35" s="40" t="str">
        <f ca="1">IFERROR(IF(Payments[[#This Row],[Invoice '#]]="","",INDEX(Invoices[Amount due],MATCH(Payments[[#This Row],[Invoice '#]],Invoices[Invoice '#],0))-IF(E34=Payments[[#Headers],[Amount Due]],0,SUMIF(INDIRECT("B4:B"&amp;ROW()-1),Payments[[#This Row],[Invoice '#]],Payments[Amount Paid]))),"")</f>
        <v/>
      </c>
      <c r="F35" s="41"/>
      <c r="G35" s="10"/>
      <c r="H35" s="38" t="str">
        <f ca="1">IFERROR(IF(Payments[[#This Row],[Amount Due]]="","",IF(Payments[[#This Row],[Amount Due]]=0,0,Payments[[#This Row],[Amount Due]]-Payments[[#This Row],[Amount Paid]])),"")</f>
        <v/>
      </c>
      <c r="I35" s="2"/>
    </row>
    <row r="36" spans="2:9" ht="14.1" customHeight="1" x14ac:dyDescent="0.2">
      <c r="B36" s="11"/>
      <c r="C36" s="14" t="str">
        <f>IFERROR(IF(Payments[[#This Row],[Invoice '#]]="","",INDEX(Invoices[Customer],MATCH(Payments[[#This Row],[Invoice '#]],Invoices[Invoice '#],0))),"")</f>
        <v/>
      </c>
      <c r="D36" s="15" t="str">
        <f>IFERROR(IF(Payments[[#This Row],[Invoice '#]]="","",INDEX(Invoices[Due Date],MATCH(Payments[[#This Row],[Invoice '#]],Invoices[Invoice '#],0))),"")</f>
        <v/>
      </c>
      <c r="E36" s="40" t="str">
        <f ca="1">IFERROR(IF(Payments[[#This Row],[Invoice '#]]="","",INDEX(Invoices[Amount due],MATCH(Payments[[#This Row],[Invoice '#]],Invoices[Invoice '#],0))-IF(E35=Payments[[#Headers],[Amount Due]],0,SUMIF(INDIRECT("B4:B"&amp;ROW()-1),Payments[[#This Row],[Invoice '#]],Payments[Amount Paid]))),"")</f>
        <v/>
      </c>
      <c r="F36" s="41"/>
      <c r="G36" s="10"/>
      <c r="H36" s="38" t="str">
        <f ca="1">IFERROR(IF(Payments[[#This Row],[Amount Due]]="","",IF(Payments[[#This Row],[Amount Due]]=0,0,Payments[[#This Row],[Amount Due]]-Payments[[#This Row],[Amount Paid]])),"")</f>
        <v/>
      </c>
      <c r="I36" s="2"/>
    </row>
    <row r="37" spans="2:9" ht="14.1" customHeight="1" x14ac:dyDescent="0.2">
      <c r="B37" s="11"/>
      <c r="C37" s="14" t="str">
        <f>IFERROR(IF(Payments[[#This Row],[Invoice '#]]="","",INDEX(Invoices[Customer],MATCH(Payments[[#This Row],[Invoice '#]],Invoices[Invoice '#],0))),"")</f>
        <v/>
      </c>
      <c r="D37" s="15" t="str">
        <f>IFERROR(IF(Payments[[#This Row],[Invoice '#]]="","",INDEX(Invoices[Due Date],MATCH(Payments[[#This Row],[Invoice '#]],Invoices[Invoice '#],0))),"")</f>
        <v/>
      </c>
      <c r="E37" s="40" t="str">
        <f ca="1">IFERROR(IF(Payments[[#This Row],[Invoice '#]]="","",INDEX(Invoices[Amount due],MATCH(Payments[[#This Row],[Invoice '#]],Invoices[Invoice '#],0))-IF(E36=Payments[[#Headers],[Amount Due]],0,SUMIF(INDIRECT("B4:B"&amp;ROW()-1),Payments[[#This Row],[Invoice '#]],Payments[Amount Paid]))),"")</f>
        <v/>
      </c>
      <c r="F37" s="41"/>
      <c r="G37" s="10"/>
      <c r="H37" s="38" t="str">
        <f ca="1">IFERROR(IF(Payments[[#This Row],[Amount Due]]="","",IF(Payments[[#This Row],[Amount Due]]=0,0,Payments[[#This Row],[Amount Due]]-Payments[[#This Row],[Amount Paid]])),"")</f>
        <v/>
      </c>
      <c r="I37" s="2"/>
    </row>
    <row r="38" spans="2:9" ht="14.1" customHeight="1" x14ac:dyDescent="0.2">
      <c r="B38" s="11"/>
      <c r="C38" s="14" t="str">
        <f>IFERROR(IF(Payments[[#This Row],[Invoice '#]]="","",INDEX(Invoices[Customer],MATCH(Payments[[#This Row],[Invoice '#]],Invoices[Invoice '#],0))),"")</f>
        <v/>
      </c>
      <c r="D38" s="15" t="str">
        <f>IFERROR(IF(Payments[[#This Row],[Invoice '#]]="","",INDEX(Invoices[Due Date],MATCH(Payments[[#This Row],[Invoice '#]],Invoices[Invoice '#],0))),"")</f>
        <v/>
      </c>
      <c r="E38" s="40" t="str">
        <f ca="1">IFERROR(IF(Payments[[#This Row],[Invoice '#]]="","",INDEX(Invoices[Amount due],MATCH(Payments[[#This Row],[Invoice '#]],Invoices[Invoice '#],0))-IF(E37=Payments[[#Headers],[Amount Due]],0,SUMIF(INDIRECT("B4:B"&amp;ROW()-1),Payments[[#This Row],[Invoice '#]],Payments[Amount Paid]))),"")</f>
        <v/>
      </c>
      <c r="F38" s="41"/>
      <c r="G38" s="10"/>
      <c r="H38" s="38" t="str">
        <f ca="1">IFERROR(IF(Payments[[#This Row],[Amount Due]]="","",IF(Payments[[#This Row],[Amount Due]]=0,0,Payments[[#This Row],[Amount Due]]-Payments[[#This Row],[Amount Paid]])),"")</f>
        <v/>
      </c>
      <c r="I38" s="2"/>
    </row>
    <row r="39" spans="2:9" ht="14.1" customHeight="1" x14ac:dyDescent="0.2">
      <c r="B39" s="11"/>
      <c r="C39" s="14" t="str">
        <f>IFERROR(IF(Payments[[#This Row],[Invoice '#]]="","",INDEX(Invoices[Customer],MATCH(Payments[[#This Row],[Invoice '#]],Invoices[Invoice '#],0))),"")</f>
        <v/>
      </c>
      <c r="D39" s="15" t="str">
        <f>IFERROR(IF(Payments[[#This Row],[Invoice '#]]="","",INDEX(Invoices[Due Date],MATCH(Payments[[#This Row],[Invoice '#]],Invoices[Invoice '#],0))),"")</f>
        <v/>
      </c>
      <c r="E39" s="40" t="str">
        <f ca="1">IFERROR(IF(Payments[[#This Row],[Invoice '#]]="","",INDEX(Invoices[Amount due],MATCH(Payments[[#This Row],[Invoice '#]],Invoices[Invoice '#],0))-IF(E38=Payments[[#Headers],[Amount Due]],0,SUMIF(INDIRECT("B4:B"&amp;ROW()-1),Payments[[#This Row],[Invoice '#]],Payments[Amount Paid]))),"")</f>
        <v/>
      </c>
      <c r="F39" s="41"/>
      <c r="G39" s="10"/>
      <c r="H39" s="38" t="str">
        <f ca="1">IFERROR(IF(Payments[[#This Row],[Amount Due]]="","",IF(Payments[[#This Row],[Amount Due]]=0,0,Payments[[#This Row],[Amount Due]]-Payments[[#This Row],[Amount Paid]])),"")</f>
        <v/>
      </c>
      <c r="I39" s="2"/>
    </row>
    <row r="40" spans="2:9" ht="14.1" customHeight="1" x14ac:dyDescent="0.2">
      <c r="B40" s="11"/>
      <c r="C40" s="14" t="str">
        <f>IFERROR(IF(Payments[[#This Row],[Invoice '#]]="","",INDEX(Invoices[Customer],MATCH(Payments[[#This Row],[Invoice '#]],Invoices[Invoice '#],0))),"")</f>
        <v/>
      </c>
      <c r="D40" s="15" t="str">
        <f>IFERROR(IF(Payments[[#This Row],[Invoice '#]]="","",INDEX(Invoices[Due Date],MATCH(Payments[[#This Row],[Invoice '#]],Invoices[Invoice '#],0))),"")</f>
        <v/>
      </c>
      <c r="E40" s="40" t="str">
        <f ca="1">IFERROR(IF(Payments[[#This Row],[Invoice '#]]="","",INDEX(Invoices[Amount due],MATCH(Payments[[#This Row],[Invoice '#]],Invoices[Invoice '#],0))-IF(E39=Payments[[#Headers],[Amount Due]],0,SUMIF(INDIRECT("B4:B"&amp;ROW()-1),Payments[[#This Row],[Invoice '#]],Payments[Amount Paid]))),"")</f>
        <v/>
      </c>
      <c r="F40" s="41"/>
      <c r="G40" s="10"/>
      <c r="H40" s="38" t="str">
        <f ca="1">IFERROR(IF(Payments[[#This Row],[Amount Due]]="","",IF(Payments[[#This Row],[Amount Due]]=0,0,Payments[[#This Row],[Amount Due]]-Payments[[#This Row],[Amount Paid]])),"")</f>
        <v/>
      </c>
      <c r="I40" s="2"/>
    </row>
    <row r="41" spans="2:9" ht="14.1" customHeight="1" x14ac:dyDescent="0.2">
      <c r="B41" s="11"/>
      <c r="C41" s="14" t="str">
        <f>IFERROR(IF(Payments[[#This Row],[Invoice '#]]="","",INDEX(Invoices[Customer],MATCH(Payments[[#This Row],[Invoice '#]],Invoices[Invoice '#],0))),"")</f>
        <v/>
      </c>
      <c r="D41" s="15" t="str">
        <f>IFERROR(IF(Payments[[#This Row],[Invoice '#]]="","",INDEX(Invoices[Due Date],MATCH(Payments[[#This Row],[Invoice '#]],Invoices[Invoice '#],0))),"")</f>
        <v/>
      </c>
      <c r="E41" s="40" t="str">
        <f ca="1">IFERROR(IF(Payments[[#This Row],[Invoice '#]]="","",INDEX(Invoices[Amount due],MATCH(Payments[[#This Row],[Invoice '#]],Invoices[Invoice '#],0))-IF(E40=Payments[[#Headers],[Amount Due]],0,SUMIF(INDIRECT("B4:B"&amp;ROW()-1),Payments[[#This Row],[Invoice '#]],Payments[Amount Paid]))),"")</f>
        <v/>
      </c>
      <c r="F41" s="41"/>
      <c r="G41" s="10"/>
      <c r="H41" s="38" t="str">
        <f ca="1">IFERROR(IF(Payments[[#This Row],[Amount Due]]="","",IF(Payments[[#This Row],[Amount Due]]=0,0,Payments[[#This Row],[Amount Due]]-Payments[[#This Row],[Amount Paid]])),"")</f>
        <v/>
      </c>
      <c r="I41" s="2"/>
    </row>
    <row r="42" spans="2:9" ht="14.1" customHeight="1" x14ac:dyDescent="0.2">
      <c r="B42" s="11"/>
      <c r="C42" s="14" t="str">
        <f>IFERROR(IF(Payments[[#This Row],[Invoice '#]]="","",INDEX(Invoices[Customer],MATCH(Payments[[#This Row],[Invoice '#]],Invoices[Invoice '#],0))),"")</f>
        <v/>
      </c>
      <c r="D42" s="15" t="str">
        <f>IFERROR(IF(Payments[[#This Row],[Invoice '#]]="","",INDEX(Invoices[Due Date],MATCH(Payments[[#This Row],[Invoice '#]],Invoices[Invoice '#],0))),"")</f>
        <v/>
      </c>
      <c r="E42" s="40" t="str">
        <f ca="1">IFERROR(IF(Payments[[#This Row],[Invoice '#]]="","",INDEX(Invoices[Amount due],MATCH(Payments[[#This Row],[Invoice '#]],Invoices[Invoice '#],0))-IF(E41=Payments[[#Headers],[Amount Due]],0,SUMIF(INDIRECT("B4:B"&amp;ROW()-1),Payments[[#This Row],[Invoice '#]],Payments[Amount Paid]))),"")</f>
        <v/>
      </c>
      <c r="F42" s="41"/>
      <c r="G42" s="10"/>
      <c r="H42" s="38" t="str">
        <f ca="1">IFERROR(IF(Payments[[#This Row],[Amount Due]]="","",IF(Payments[[#This Row],[Amount Due]]=0,0,Payments[[#This Row],[Amount Due]]-Payments[[#This Row],[Amount Paid]])),"")</f>
        <v/>
      </c>
      <c r="I42" s="2"/>
    </row>
    <row r="43" spans="2:9" ht="14.1" customHeight="1" x14ac:dyDescent="0.2">
      <c r="B43" s="11"/>
      <c r="C43" s="14" t="str">
        <f>IFERROR(IF(Payments[[#This Row],[Invoice '#]]="","",INDEX(Invoices[Customer],MATCH(Payments[[#This Row],[Invoice '#]],Invoices[Invoice '#],0))),"")</f>
        <v/>
      </c>
      <c r="D43" s="15" t="str">
        <f>IFERROR(IF(Payments[[#This Row],[Invoice '#]]="","",INDEX(Invoices[Due Date],MATCH(Payments[[#This Row],[Invoice '#]],Invoices[Invoice '#],0))),"")</f>
        <v/>
      </c>
      <c r="E43" s="40" t="str">
        <f ca="1">IFERROR(IF(Payments[[#This Row],[Invoice '#]]="","",INDEX(Invoices[Amount due],MATCH(Payments[[#This Row],[Invoice '#]],Invoices[Invoice '#],0))-IF(E42=Payments[[#Headers],[Amount Due]],0,SUMIF(INDIRECT("B4:B"&amp;ROW()-1),Payments[[#This Row],[Invoice '#]],Payments[Amount Paid]))),"")</f>
        <v/>
      </c>
      <c r="F43" s="41"/>
      <c r="G43" s="10"/>
      <c r="H43" s="38" t="str">
        <f ca="1">IFERROR(IF(Payments[[#This Row],[Amount Due]]="","",IF(Payments[[#This Row],[Amount Due]]=0,0,Payments[[#This Row],[Amount Due]]-Payments[[#This Row],[Amount Paid]])),"")</f>
        <v/>
      </c>
      <c r="I43" s="2"/>
    </row>
    <row r="44" spans="2:9" ht="14.1" customHeight="1" x14ac:dyDescent="0.2">
      <c r="B44" s="11"/>
      <c r="C44" s="14" t="str">
        <f>IFERROR(IF(Payments[[#This Row],[Invoice '#]]="","",INDEX(Invoices[Customer],MATCH(Payments[[#This Row],[Invoice '#]],Invoices[Invoice '#],0))),"")</f>
        <v/>
      </c>
      <c r="D44" s="15" t="str">
        <f>IFERROR(IF(Payments[[#This Row],[Invoice '#]]="","",INDEX(Invoices[Due Date],MATCH(Payments[[#This Row],[Invoice '#]],Invoices[Invoice '#],0))),"")</f>
        <v/>
      </c>
      <c r="E44" s="40" t="str">
        <f ca="1">IFERROR(IF(Payments[[#This Row],[Invoice '#]]="","",INDEX(Invoices[Amount due],MATCH(Payments[[#This Row],[Invoice '#]],Invoices[Invoice '#],0))-IF(E43=Payments[[#Headers],[Amount Due]],0,SUMIF(INDIRECT("B4:B"&amp;ROW()-1),Payments[[#This Row],[Invoice '#]],Payments[Amount Paid]))),"")</f>
        <v/>
      </c>
      <c r="F44" s="41"/>
      <c r="G44" s="10"/>
      <c r="H44" s="38" t="str">
        <f ca="1">IFERROR(IF(Payments[[#This Row],[Amount Due]]="","",IF(Payments[[#This Row],[Amount Due]]=0,0,Payments[[#This Row],[Amount Due]]-Payments[[#This Row],[Amount Paid]])),"")</f>
        <v/>
      </c>
      <c r="I44" s="2"/>
    </row>
    <row r="45" spans="2:9" ht="14.1" customHeight="1" x14ac:dyDescent="0.2">
      <c r="B45" s="11"/>
      <c r="C45" s="14" t="str">
        <f>IFERROR(IF(Payments[[#This Row],[Invoice '#]]="","",INDEX(Invoices[Customer],MATCH(Payments[[#This Row],[Invoice '#]],Invoices[Invoice '#],0))),"")</f>
        <v/>
      </c>
      <c r="D45" s="15" t="str">
        <f>IFERROR(IF(Payments[[#This Row],[Invoice '#]]="","",INDEX(Invoices[Due Date],MATCH(Payments[[#This Row],[Invoice '#]],Invoices[Invoice '#],0))),"")</f>
        <v/>
      </c>
      <c r="E45" s="40" t="str">
        <f ca="1">IFERROR(IF(Payments[[#This Row],[Invoice '#]]="","",INDEX(Invoices[Amount due],MATCH(Payments[[#This Row],[Invoice '#]],Invoices[Invoice '#],0))-IF(E44=Payments[[#Headers],[Amount Due]],0,SUMIF(INDIRECT("B4:B"&amp;ROW()-1),Payments[[#This Row],[Invoice '#]],Payments[Amount Paid]))),"")</f>
        <v/>
      </c>
      <c r="F45" s="41"/>
      <c r="G45" s="10"/>
      <c r="H45" s="38" t="str">
        <f ca="1">IFERROR(IF(Payments[[#This Row],[Amount Due]]="","",IF(Payments[[#This Row],[Amount Due]]=0,0,Payments[[#This Row],[Amount Due]]-Payments[[#This Row],[Amount Paid]])),"")</f>
        <v/>
      </c>
      <c r="I45" s="2"/>
    </row>
    <row r="46" spans="2:9" ht="14.1" customHeight="1" x14ac:dyDescent="0.2">
      <c r="B46" s="11"/>
      <c r="C46" s="14" t="str">
        <f>IFERROR(IF(Payments[[#This Row],[Invoice '#]]="","",INDEX(Invoices[Customer],MATCH(Payments[[#This Row],[Invoice '#]],Invoices[Invoice '#],0))),"")</f>
        <v/>
      </c>
      <c r="D46" s="15" t="str">
        <f>IFERROR(IF(Payments[[#This Row],[Invoice '#]]="","",INDEX(Invoices[Due Date],MATCH(Payments[[#This Row],[Invoice '#]],Invoices[Invoice '#],0))),"")</f>
        <v/>
      </c>
      <c r="E46" s="40" t="str">
        <f ca="1">IFERROR(IF(Payments[[#This Row],[Invoice '#]]="","",INDEX(Invoices[Amount due],MATCH(Payments[[#This Row],[Invoice '#]],Invoices[Invoice '#],0))-IF(E45=Payments[[#Headers],[Amount Due]],0,SUMIF(INDIRECT("B4:B"&amp;ROW()-1),Payments[[#This Row],[Invoice '#]],Payments[Amount Paid]))),"")</f>
        <v/>
      </c>
      <c r="F46" s="41"/>
      <c r="G46" s="10"/>
      <c r="H46" s="38" t="str">
        <f ca="1">IFERROR(IF(Payments[[#This Row],[Amount Due]]="","",IF(Payments[[#This Row],[Amount Due]]=0,0,Payments[[#This Row],[Amount Due]]-Payments[[#This Row],[Amount Paid]])),"")</f>
        <v/>
      </c>
      <c r="I46" s="2"/>
    </row>
    <row r="47" spans="2:9" ht="14.1" customHeight="1" x14ac:dyDescent="0.2">
      <c r="B47" s="11"/>
      <c r="C47" s="14" t="str">
        <f>IFERROR(IF(Payments[[#This Row],[Invoice '#]]="","",INDEX(Invoices[Customer],MATCH(Payments[[#This Row],[Invoice '#]],Invoices[Invoice '#],0))),"")</f>
        <v/>
      </c>
      <c r="D47" s="15" t="str">
        <f>IFERROR(IF(Payments[[#This Row],[Invoice '#]]="","",INDEX(Invoices[Due Date],MATCH(Payments[[#This Row],[Invoice '#]],Invoices[Invoice '#],0))),"")</f>
        <v/>
      </c>
      <c r="E47" s="40" t="str">
        <f ca="1">IFERROR(IF(Payments[[#This Row],[Invoice '#]]="","",INDEX(Invoices[Amount due],MATCH(Payments[[#This Row],[Invoice '#]],Invoices[Invoice '#],0))-IF(E46=Payments[[#Headers],[Amount Due]],0,SUMIF(INDIRECT("B4:B"&amp;ROW()-1),Payments[[#This Row],[Invoice '#]],Payments[Amount Paid]))),"")</f>
        <v/>
      </c>
      <c r="F47" s="41"/>
      <c r="G47" s="10"/>
      <c r="H47" s="38" t="str">
        <f ca="1">IFERROR(IF(Payments[[#This Row],[Amount Due]]="","",IF(Payments[[#This Row],[Amount Due]]=0,0,Payments[[#This Row],[Amount Due]]-Payments[[#This Row],[Amount Paid]])),"")</f>
        <v/>
      </c>
      <c r="I47" s="2"/>
    </row>
    <row r="48" spans="2:9" ht="14.1" customHeight="1" x14ac:dyDescent="0.2">
      <c r="B48" s="11"/>
      <c r="C48" s="14" t="str">
        <f>IFERROR(IF(Payments[[#This Row],[Invoice '#]]="","",INDEX(Invoices[Customer],MATCH(Payments[[#This Row],[Invoice '#]],Invoices[Invoice '#],0))),"")</f>
        <v/>
      </c>
      <c r="D48" s="15" t="str">
        <f>IFERROR(IF(Payments[[#This Row],[Invoice '#]]="","",INDEX(Invoices[Due Date],MATCH(Payments[[#This Row],[Invoice '#]],Invoices[Invoice '#],0))),"")</f>
        <v/>
      </c>
      <c r="E48" s="40" t="str">
        <f ca="1">IFERROR(IF(Payments[[#This Row],[Invoice '#]]="","",INDEX(Invoices[Amount due],MATCH(Payments[[#This Row],[Invoice '#]],Invoices[Invoice '#],0))-IF(E47=Payments[[#Headers],[Amount Due]],0,SUMIF(INDIRECT("B4:B"&amp;ROW()-1),Payments[[#This Row],[Invoice '#]],Payments[Amount Paid]))),"")</f>
        <v/>
      </c>
      <c r="F48" s="41"/>
      <c r="G48" s="10"/>
      <c r="H48" s="38" t="str">
        <f ca="1">IFERROR(IF(Payments[[#This Row],[Amount Due]]="","",IF(Payments[[#This Row],[Amount Due]]=0,0,Payments[[#This Row],[Amount Due]]-Payments[[#This Row],[Amount Paid]])),"")</f>
        <v/>
      </c>
      <c r="I48" s="2"/>
    </row>
    <row r="49" spans="2:9" ht="14.1" customHeight="1" x14ac:dyDescent="0.2">
      <c r="B49" s="11"/>
      <c r="C49" s="14" t="str">
        <f>IFERROR(IF(Payments[[#This Row],[Invoice '#]]="","",INDEX(Invoices[Customer],MATCH(Payments[[#This Row],[Invoice '#]],Invoices[Invoice '#],0))),"")</f>
        <v/>
      </c>
      <c r="D49" s="15" t="str">
        <f>IFERROR(IF(Payments[[#This Row],[Invoice '#]]="","",INDEX(Invoices[Due Date],MATCH(Payments[[#This Row],[Invoice '#]],Invoices[Invoice '#],0))),"")</f>
        <v/>
      </c>
      <c r="E49" s="40" t="str">
        <f ca="1">IFERROR(IF(Payments[[#This Row],[Invoice '#]]="","",INDEX(Invoices[Amount due],MATCH(Payments[[#This Row],[Invoice '#]],Invoices[Invoice '#],0))-IF(E48=Payments[[#Headers],[Amount Due]],0,SUMIF(INDIRECT("B4:B"&amp;ROW()-1),Payments[[#This Row],[Invoice '#]],Payments[Amount Paid]))),"")</f>
        <v/>
      </c>
      <c r="F49" s="41"/>
      <c r="G49" s="10"/>
      <c r="H49" s="38" t="str">
        <f ca="1">IFERROR(IF(Payments[[#This Row],[Amount Due]]="","",IF(Payments[[#This Row],[Amount Due]]=0,0,Payments[[#This Row],[Amount Due]]-Payments[[#This Row],[Amount Paid]])),"")</f>
        <v/>
      </c>
      <c r="I49" s="2"/>
    </row>
    <row r="50" spans="2:9" ht="14.1" customHeight="1" x14ac:dyDescent="0.2">
      <c r="B50" s="11"/>
      <c r="C50" s="14" t="str">
        <f>IFERROR(IF(Payments[[#This Row],[Invoice '#]]="","",INDEX(Invoices[Customer],MATCH(Payments[[#This Row],[Invoice '#]],Invoices[Invoice '#],0))),"")</f>
        <v/>
      </c>
      <c r="D50" s="15" t="str">
        <f>IFERROR(IF(Payments[[#This Row],[Invoice '#]]="","",INDEX(Invoices[Due Date],MATCH(Payments[[#This Row],[Invoice '#]],Invoices[Invoice '#],0))),"")</f>
        <v/>
      </c>
      <c r="E50" s="40" t="str">
        <f ca="1">IFERROR(IF(Payments[[#This Row],[Invoice '#]]="","",INDEX(Invoices[Amount due],MATCH(Payments[[#This Row],[Invoice '#]],Invoices[Invoice '#],0))-IF(E49=Payments[[#Headers],[Amount Due]],0,SUMIF(INDIRECT("B4:B"&amp;ROW()-1),Payments[[#This Row],[Invoice '#]],Payments[Amount Paid]))),"")</f>
        <v/>
      </c>
      <c r="F50" s="41"/>
      <c r="G50" s="10"/>
      <c r="H50" s="38" t="str">
        <f ca="1">IFERROR(IF(Payments[[#This Row],[Amount Due]]="","",IF(Payments[[#This Row],[Amount Due]]=0,0,Payments[[#This Row],[Amount Due]]-Payments[[#This Row],[Amount Paid]])),"")</f>
        <v/>
      </c>
      <c r="I50" s="2"/>
    </row>
    <row r="51" spans="2:9" ht="14.1" customHeight="1" x14ac:dyDescent="0.2">
      <c r="B51" s="11"/>
      <c r="C51" s="14" t="str">
        <f>IFERROR(IF(Payments[[#This Row],[Invoice '#]]="","",INDEX(Invoices[Customer],MATCH(Payments[[#This Row],[Invoice '#]],Invoices[Invoice '#],0))),"")</f>
        <v/>
      </c>
      <c r="D51" s="15" t="str">
        <f>IFERROR(IF(Payments[[#This Row],[Invoice '#]]="","",INDEX(Invoices[Due Date],MATCH(Payments[[#This Row],[Invoice '#]],Invoices[Invoice '#],0))),"")</f>
        <v/>
      </c>
      <c r="E51" s="40" t="str">
        <f ca="1">IFERROR(IF(Payments[[#This Row],[Invoice '#]]="","",INDEX(Invoices[Amount due],MATCH(Payments[[#This Row],[Invoice '#]],Invoices[Invoice '#],0))-IF(E50=Payments[[#Headers],[Amount Due]],0,SUMIF(INDIRECT("B4:B"&amp;ROW()-1),Payments[[#This Row],[Invoice '#]],Payments[Amount Paid]))),"")</f>
        <v/>
      </c>
      <c r="F51" s="41"/>
      <c r="G51" s="10"/>
      <c r="H51" s="38" t="str">
        <f ca="1">IFERROR(IF(Payments[[#This Row],[Amount Due]]="","",IF(Payments[[#This Row],[Amount Due]]=0,0,Payments[[#This Row],[Amount Due]]-Payments[[#This Row],[Amount Paid]])),"")</f>
        <v/>
      </c>
      <c r="I51" s="2"/>
    </row>
    <row r="52" spans="2:9" ht="14.1" customHeight="1" x14ac:dyDescent="0.2">
      <c r="B52" s="11"/>
      <c r="C52" s="14" t="str">
        <f>IFERROR(IF(Payments[[#This Row],[Invoice '#]]="","",INDEX(Invoices[Customer],MATCH(Payments[[#This Row],[Invoice '#]],Invoices[Invoice '#],0))),"")</f>
        <v/>
      </c>
      <c r="D52" s="15" t="str">
        <f>IFERROR(IF(Payments[[#This Row],[Invoice '#]]="","",INDEX(Invoices[Due Date],MATCH(Payments[[#This Row],[Invoice '#]],Invoices[Invoice '#],0))),"")</f>
        <v/>
      </c>
      <c r="E52" s="40" t="str">
        <f ca="1">IFERROR(IF(Payments[[#This Row],[Invoice '#]]="","",INDEX(Invoices[Amount due],MATCH(Payments[[#This Row],[Invoice '#]],Invoices[Invoice '#],0))-IF(E51=Payments[[#Headers],[Amount Due]],0,SUMIF(INDIRECT("B4:B"&amp;ROW()-1),Payments[[#This Row],[Invoice '#]],Payments[Amount Paid]))),"")</f>
        <v/>
      </c>
      <c r="F52" s="41"/>
      <c r="G52" s="10"/>
      <c r="H52" s="38" t="str">
        <f ca="1">IFERROR(IF(Payments[[#This Row],[Amount Due]]="","",IF(Payments[[#This Row],[Amount Due]]=0,0,Payments[[#This Row],[Amount Due]]-Payments[[#This Row],[Amount Paid]])),"")</f>
        <v/>
      </c>
      <c r="I52" s="2"/>
    </row>
    <row r="53" spans="2:9" ht="14.1" customHeight="1" x14ac:dyDescent="0.2">
      <c r="B53" s="11"/>
      <c r="C53" s="14" t="str">
        <f>IFERROR(IF(Payments[[#This Row],[Invoice '#]]="","",INDEX(Invoices[Customer],MATCH(Payments[[#This Row],[Invoice '#]],Invoices[Invoice '#],0))),"")</f>
        <v/>
      </c>
      <c r="D53" s="15" t="str">
        <f>IFERROR(IF(Payments[[#This Row],[Invoice '#]]="","",INDEX(Invoices[Due Date],MATCH(Payments[[#This Row],[Invoice '#]],Invoices[Invoice '#],0))),"")</f>
        <v/>
      </c>
      <c r="E53" s="40" t="str">
        <f ca="1">IFERROR(IF(Payments[[#This Row],[Invoice '#]]="","",INDEX(Invoices[Amount due],MATCH(Payments[[#This Row],[Invoice '#]],Invoices[Invoice '#],0))-IF(E52=Payments[[#Headers],[Amount Due]],0,SUMIF(INDIRECT("B4:B"&amp;ROW()-1),Payments[[#This Row],[Invoice '#]],Payments[Amount Paid]))),"")</f>
        <v/>
      </c>
      <c r="F53" s="41"/>
      <c r="G53" s="10"/>
      <c r="H53" s="38" t="str">
        <f ca="1">IFERROR(IF(Payments[[#This Row],[Amount Due]]="","",IF(Payments[[#This Row],[Amount Due]]=0,0,Payments[[#This Row],[Amount Due]]-Payments[[#This Row],[Amount Paid]])),"")</f>
        <v/>
      </c>
      <c r="I53" s="2"/>
    </row>
    <row r="54" spans="2:9" ht="14.1" customHeight="1" x14ac:dyDescent="0.2">
      <c r="B54" s="11"/>
      <c r="C54" s="14" t="str">
        <f>IFERROR(IF(Payments[[#This Row],[Invoice '#]]="","",INDEX(Invoices[Customer],MATCH(Payments[[#This Row],[Invoice '#]],Invoices[Invoice '#],0))),"")</f>
        <v/>
      </c>
      <c r="D54" s="15" t="str">
        <f>IFERROR(IF(Payments[[#This Row],[Invoice '#]]="","",INDEX(Invoices[Due Date],MATCH(Payments[[#This Row],[Invoice '#]],Invoices[Invoice '#],0))),"")</f>
        <v/>
      </c>
      <c r="E54" s="40" t="str">
        <f ca="1">IFERROR(IF(Payments[[#This Row],[Invoice '#]]="","",INDEX(Invoices[Amount due],MATCH(Payments[[#This Row],[Invoice '#]],Invoices[Invoice '#],0))-IF(E53=Payments[[#Headers],[Amount Due]],0,SUMIF(INDIRECT("B4:B"&amp;ROW()-1),Payments[[#This Row],[Invoice '#]],Payments[Amount Paid]))),"")</f>
        <v/>
      </c>
      <c r="F54" s="41"/>
      <c r="G54" s="10"/>
      <c r="H54" s="38" t="str">
        <f ca="1">IFERROR(IF(Payments[[#This Row],[Amount Due]]="","",IF(Payments[[#This Row],[Amount Due]]=0,0,Payments[[#This Row],[Amount Due]]-Payments[[#This Row],[Amount Paid]])),"")</f>
        <v/>
      </c>
      <c r="I54" s="2"/>
    </row>
    <row r="55" spans="2:9" ht="14.1" customHeight="1" x14ac:dyDescent="0.2">
      <c r="B55" s="11"/>
      <c r="C55" s="14" t="str">
        <f>IFERROR(IF(Payments[[#This Row],[Invoice '#]]="","",INDEX(Invoices[Customer],MATCH(Payments[[#This Row],[Invoice '#]],Invoices[Invoice '#],0))),"")</f>
        <v/>
      </c>
      <c r="D55" s="15" t="str">
        <f>IFERROR(IF(Payments[[#This Row],[Invoice '#]]="","",INDEX(Invoices[Due Date],MATCH(Payments[[#This Row],[Invoice '#]],Invoices[Invoice '#],0))),"")</f>
        <v/>
      </c>
      <c r="E55" s="40" t="str">
        <f ca="1">IFERROR(IF(Payments[[#This Row],[Invoice '#]]="","",INDEX(Invoices[Amount due],MATCH(Payments[[#This Row],[Invoice '#]],Invoices[Invoice '#],0))-IF(E54=Payments[[#Headers],[Amount Due]],0,SUMIF(INDIRECT("B4:B"&amp;ROW()-1),Payments[[#This Row],[Invoice '#]],Payments[Amount Paid]))),"")</f>
        <v/>
      </c>
      <c r="F55" s="41"/>
      <c r="G55" s="10"/>
      <c r="H55" s="38" t="str">
        <f ca="1">IFERROR(IF(Payments[[#This Row],[Amount Due]]="","",IF(Payments[[#This Row],[Amount Due]]=0,0,Payments[[#This Row],[Amount Due]]-Payments[[#This Row],[Amount Paid]])),"")</f>
        <v/>
      </c>
      <c r="I55" s="2"/>
    </row>
    <row r="56" spans="2:9" ht="14.1" customHeight="1" x14ac:dyDescent="0.2">
      <c r="B56" s="11"/>
      <c r="C56" s="14" t="str">
        <f>IFERROR(IF(Payments[[#This Row],[Invoice '#]]="","",INDEX(Invoices[Customer],MATCH(Payments[[#This Row],[Invoice '#]],Invoices[Invoice '#],0))),"")</f>
        <v/>
      </c>
      <c r="D56" s="15" t="str">
        <f>IFERROR(IF(Payments[[#This Row],[Invoice '#]]="","",INDEX(Invoices[Due Date],MATCH(Payments[[#This Row],[Invoice '#]],Invoices[Invoice '#],0))),"")</f>
        <v/>
      </c>
      <c r="E56" s="40" t="str">
        <f ca="1">IFERROR(IF(Payments[[#This Row],[Invoice '#]]="","",INDEX(Invoices[Amount due],MATCH(Payments[[#This Row],[Invoice '#]],Invoices[Invoice '#],0))-IF(E55=Payments[[#Headers],[Amount Due]],0,SUMIF(INDIRECT("B4:B"&amp;ROW()-1),Payments[[#This Row],[Invoice '#]],Payments[Amount Paid]))),"")</f>
        <v/>
      </c>
      <c r="F56" s="41"/>
      <c r="G56" s="10"/>
      <c r="H56" s="38" t="str">
        <f ca="1">IFERROR(IF(Payments[[#This Row],[Amount Due]]="","",IF(Payments[[#This Row],[Amount Due]]=0,0,Payments[[#This Row],[Amount Due]]-Payments[[#This Row],[Amount Paid]])),"")</f>
        <v/>
      </c>
      <c r="I56" s="2"/>
    </row>
    <row r="57" spans="2:9" ht="14.1" customHeight="1" x14ac:dyDescent="0.2">
      <c r="B57" s="11"/>
      <c r="C57" s="14" t="str">
        <f>IFERROR(IF(Payments[[#This Row],[Invoice '#]]="","",INDEX(Invoices[Customer],MATCH(Payments[[#This Row],[Invoice '#]],Invoices[Invoice '#],0))),"")</f>
        <v/>
      </c>
      <c r="D57" s="15" t="str">
        <f>IFERROR(IF(Payments[[#This Row],[Invoice '#]]="","",INDEX(Invoices[Due Date],MATCH(Payments[[#This Row],[Invoice '#]],Invoices[Invoice '#],0))),"")</f>
        <v/>
      </c>
      <c r="E57" s="40" t="str">
        <f ca="1">IFERROR(IF(Payments[[#This Row],[Invoice '#]]="","",INDEX(Invoices[Amount due],MATCH(Payments[[#This Row],[Invoice '#]],Invoices[Invoice '#],0))-IF(E56=Payments[[#Headers],[Amount Due]],0,SUMIF(INDIRECT("B4:B"&amp;ROW()-1),Payments[[#This Row],[Invoice '#]],Payments[Amount Paid]))),"")</f>
        <v/>
      </c>
      <c r="F57" s="41"/>
      <c r="G57" s="10"/>
      <c r="H57" s="38" t="str">
        <f ca="1">IFERROR(IF(Payments[[#This Row],[Amount Due]]="","",IF(Payments[[#This Row],[Amount Due]]=0,0,Payments[[#This Row],[Amount Due]]-Payments[[#This Row],[Amount Paid]])),"")</f>
        <v/>
      </c>
      <c r="I57" s="2"/>
    </row>
    <row r="58" spans="2:9" ht="14.1" customHeight="1" x14ac:dyDescent="0.2">
      <c r="B58" s="11"/>
      <c r="C58" s="14" t="str">
        <f>IFERROR(IF(Payments[[#This Row],[Invoice '#]]="","",INDEX(Invoices[Customer],MATCH(Payments[[#This Row],[Invoice '#]],Invoices[Invoice '#],0))),"")</f>
        <v/>
      </c>
      <c r="D58" s="15" t="str">
        <f>IFERROR(IF(Payments[[#This Row],[Invoice '#]]="","",INDEX(Invoices[Due Date],MATCH(Payments[[#This Row],[Invoice '#]],Invoices[Invoice '#],0))),"")</f>
        <v/>
      </c>
      <c r="E58" s="40" t="str">
        <f ca="1">IFERROR(IF(Payments[[#This Row],[Invoice '#]]="","",INDEX(Invoices[Amount due],MATCH(Payments[[#This Row],[Invoice '#]],Invoices[Invoice '#],0))-IF(E57=Payments[[#Headers],[Amount Due]],0,SUMIF(INDIRECT("B4:B"&amp;ROW()-1),Payments[[#This Row],[Invoice '#]],Payments[Amount Paid]))),"")</f>
        <v/>
      </c>
      <c r="F58" s="41"/>
      <c r="G58" s="10"/>
      <c r="H58" s="38" t="str">
        <f ca="1">IFERROR(IF(Payments[[#This Row],[Amount Due]]="","",IF(Payments[[#This Row],[Amount Due]]=0,0,Payments[[#This Row],[Amount Due]]-Payments[[#This Row],[Amount Paid]])),"")</f>
        <v/>
      </c>
      <c r="I58" s="2"/>
    </row>
    <row r="59" spans="2:9" ht="14.1" customHeight="1" x14ac:dyDescent="0.2">
      <c r="B59" s="11"/>
      <c r="C59" s="14" t="str">
        <f>IFERROR(IF(Payments[[#This Row],[Invoice '#]]="","",INDEX(Invoices[Customer],MATCH(Payments[[#This Row],[Invoice '#]],Invoices[Invoice '#],0))),"")</f>
        <v/>
      </c>
      <c r="D59" s="15" t="str">
        <f>IFERROR(IF(Payments[[#This Row],[Invoice '#]]="","",INDEX(Invoices[Due Date],MATCH(Payments[[#This Row],[Invoice '#]],Invoices[Invoice '#],0))),"")</f>
        <v/>
      </c>
      <c r="E59" s="40" t="str">
        <f ca="1">IFERROR(IF(Payments[[#This Row],[Invoice '#]]="","",INDEX(Invoices[Amount due],MATCH(Payments[[#This Row],[Invoice '#]],Invoices[Invoice '#],0))-IF(E58=Payments[[#Headers],[Amount Due]],0,SUMIF(INDIRECT("B4:B"&amp;ROW()-1),Payments[[#This Row],[Invoice '#]],Payments[Amount Paid]))),"")</f>
        <v/>
      </c>
      <c r="F59" s="41"/>
      <c r="G59" s="10"/>
      <c r="H59" s="38" t="str">
        <f ca="1">IFERROR(IF(Payments[[#This Row],[Amount Due]]="","",IF(Payments[[#This Row],[Amount Due]]=0,0,Payments[[#This Row],[Amount Due]]-Payments[[#This Row],[Amount Paid]])),"")</f>
        <v/>
      </c>
      <c r="I59" s="2"/>
    </row>
    <row r="60" spans="2:9" ht="14.1" customHeight="1" x14ac:dyDescent="0.2">
      <c r="B60" s="11"/>
      <c r="C60" s="14" t="str">
        <f>IFERROR(IF(Payments[[#This Row],[Invoice '#]]="","",INDEX(Invoices[Customer],MATCH(Payments[[#This Row],[Invoice '#]],Invoices[Invoice '#],0))),"")</f>
        <v/>
      </c>
      <c r="D60" s="15" t="str">
        <f>IFERROR(IF(Payments[[#This Row],[Invoice '#]]="","",INDEX(Invoices[Due Date],MATCH(Payments[[#This Row],[Invoice '#]],Invoices[Invoice '#],0))),"")</f>
        <v/>
      </c>
      <c r="E60" s="40" t="str">
        <f ca="1">IFERROR(IF(Payments[[#This Row],[Invoice '#]]="","",INDEX(Invoices[Amount due],MATCH(Payments[[#This Row],[Invoice '#]],Invoices[Invoice '#],0))-IF(E59=Payments[[#Headers],[Amount Due]],0,SUMIF(INDIRECT("B4:B"&amp;ROW()-1),Payments[[#This Row],[Invoice '#]],Payments[Amount Paid]))),"")</f>
        <v/>
      </c>
      <c r="F60" s="41"/>
      <c r="G60" s="10"/>
      <c r="H60" s="38" t="str">
        <f ca="1">IFERROR(IF(Payments[[#This Row],[Amount Due]]="","",IF(Payments[[#This Row],[Amount Due]]=0,0,Payments[[#This Row],[Amount Due]]-Payments[[#This Row],[Amount Paid]])),"")</f>
        <v/>
      </c>
      <c r="I60" s="2"/>
    </row>
    <row r="61" spans="2:9" ht="14.1" customHeight="1" x14ac:dyDescent="0.2">
      <c r="B61" s="11"/>
      <c r="C61" s="14" t="str">
        <f>IFERROR(IF(Payments[[#This Row],[Invoice '#]]="","",INDEX(Invoices[Customer],MATCH(Payments[[#This Row],[Invoice '#]],Invoices[Invoice '#],0))),"")</f>
        <v/>
      </c>
      <c r="D61" s="15" t="str">
        <f>IFERROR(IF(Payments[[#This Row],[Invoice '#]]="","",INDEX(Invoices[Due Date],MATCH(Payments[[#This Row],[Invoice '#]],Invoices[Invoice '#],0))),"")</f>
        <v/>
      </c>
      <c r="E61" s="40" t="str">
        <f ca="1">IFERROR(IF(Payments[[#This Row],[Invoice '#]]="","",INDEX(Invoices[Amount due],MATCH(Payments[[#This Row],[Invoice '#]],Invoices[Invoice '#],0))-IF(E60=Payments[[#Headers],[Amount Due]],0,SUMIF(INDIRECT("B4:B"&amp;ROW()-1),Payments[[#This Row],[Invoice '#]],Payments[Amount Paid]))),"")</f>
        <v/>
      </c>
      <c r="F61" s="41"/>
      <c r="G61" s="10"/>
      <c r="H61" s="38" t="str">
        <f ca="1">IFERROR(IF(Payments[[#This Row],[Amount Due]]="","",IF(Payments[[#This Row],[Amount Due]]=0,0,Payments[[#This Row],[Amount Due]]-Payments[[#This Row],[Amount Paid]])),"")</f>
        <v/>
      </c>
      <c r="I61" s="2"/>
    </row>
    <row r="62" spans="2:9" ht="14.1" customHeight="1" x14ac:dyDescent="0.2">
      <c r="B62" s="11"/>
      <c r="C62" s="14" t="str">
        <f>IFERROR(IF(Payments[[#This Row],[Invoice '#]]="","",INDEX(Invoices[Customer],MATCH(Payments[[#This Row],[Invoice '#]],Invoices[Invoice '#],0))),"")</f>
        <v/>
      </c>
      <c r="D62" s="15" t="str">
        <f>IFERROR(IF(Payments[[#This Row],[Invoice '#]]="","",INDEX(Invoices[Due Date],MATCH(Payments[[#This Row],[Invoice '#]],Invoices[Invoice '#],0))),"")</f>
        <v/>
      </c>
      <c r="E62" s="40" t="str">
        <f ca="1">IFERROR(IF(Payments[[#This Row],[Invoice '#]]="","",INDEX(Invoices[Amount due],MATCH(Payments[[#This Row],[Invoice '#]],Invoices[Invoice '#],0))-IF(E61=Payments[[#Headers],[Amount Due]],0,SUMIF(INDIRECT("B4:B"&amp;ROW()-1),Payments[[#This Row],[Invoice '#]],Payments[Amount Paid]))),"")</f>
        <v/>
      </c>
      <c r="F62" s="41"/>
      <c r="G62" s="10"/>
      <c r="H62" s="38" t="str">
        <f ca="1">IFERROR(IF(Payments[[#This Row],[Amount Due]]="","",IF(Payments[[#This Row],[Amount Due]]=0,0,Payments[[#This Row],[Amount Due]]-Payments[[#This Row],[Amount Paid]])),"")</f>
        <v/>
      </c>
      <c r="I62" s="2"/>
    </row>
    <row r="63" spans="2:9" ht="14.1" customHeight="1" x14ac:dyDescent="0.2">
      <c r="B63" s="11"/>
      <c r="C63" s="14" t="str">
        <f>IFERROR(IF(Payments[[#This Row],[Invoice '#]]="","",INDEX(Invoices[Customer],MATCH(Payments[[#This Row],[Invoice '#]],Invoices[Invoice '#],0))),"")</f>
        <v/>
      </c>
      <c r="D63" s="15" t="str">
        <f>IFERROR(IF(Payments[[#This Row],[Invoice '#]]="","",INDEX(Invoices[Due Date],MATCH(Payments[[#This Row],[Invoice '#]],Invoices[Invoice '#],0))),"")</f>
        <v/>
      </c>
      <c r="E63" s="40" t="str">
        <f ca="1">IFERROR(IF(Payments[[#This Row],[Invoice '#]]="","",INDEX(Invoices[Amount due],MATCH(Payments[[#This Row],[Invoice '#]],Invoices[Invoice '#],0))-IF(E62=Payments[[#Headers],[Amount Due]],0,SUMIF(INDIRECT("B4:B"&amp;ROW()-1),Payments[[#This Row],[Invoice '#]],Payments[Amount Paid]))),"")</f>
        <v/>
      </c>
      <c r="F63" s="41"/>
      <c r="G63" s="10"/>
      <c r="H63" s="38" t="str">
        <f ca="1">IFERROR(IF(Payments[[#This Row],[Amount Due]]="","",IF(Payments[[#This Row],[Amount Due]]=0,0,Payments[[#This Row],[Amount Due]]-Payments[[#This Row],[Amount Paid]])),"")</f>
        <v/>
      </c>
      <c r="I63" s="2"/>
    </row>
    <row r="64" spans="2:9" ht="14.1" customHeight="1" x14ac:dyDescent="0.2">
      <c r="B64" s="11"/>
      <c r="C64" s="14" t="str">
        <f>IFERROR(IF(Payments[[#This Row],[Invoice '#]]="","",INDEX(Invoices[Customer],MATCH(Payments[[#This Row],[Invoice '#]],Invoices[Invoice '#],0))),"")</f>
        <v/>
      </c>
      <c r="D64" s="15" t="str">
        <f>IFERROR(IF(Payments[[#This Row],[Invoice '#]]="","",INDEX(Invoices[Due Date],MATCH(Payments[[#This Row],[Invoice '#]],Invoices[Invoice '#],0))),"")</f>
        <v/>
      </c>
      <c r="E64" s="40" t="str">
        <f ca="1">IFERROR(IF(Payments[[#This Row],[Invoice '#]]="","",INDEX(Invoices[Amount due],MATCH(Payments[[#This Row],[Invoice '#]],Invoices[Invoice '#],0))-IF(E63=Payments[[#Headers],[Amount Due]],0,SUMIF(INDIRECT("B4:B"&amp;ROW()-1),Payments[[#This Row],[Invoice '#]],Payments[Amount Paid]))),"")</f>
        <v/>
      </c>
      <c r="F64" s="41"/>
      <c r="G64" s="10"/>
      <c r="H64" s="38" t="str">
        <f ca="1">IFERROR(IF(Payments[[#This Row],[Amount Due]]="","",IF(Payments[[#This Row],[Amount Due]]=0,0,Payments[[#This Row],[Amount Due]]-Payments[[#This Row],[Amount Paid]])),"")</f>
        <v/>
      </c>
      <c r="I64" s="2"/>
    </row>
    <row r="65" spans="2:9" ht="14.1" customHeight="1" x14ac:dyDescent="0.2">
      <c r="B65" s="11"/>
      <c r="C65" s="14" t="str">
        <f>IFERROR(IF(Payments[[#This Row],[Invoice '#]]="","",INDEX(Invoices[Customer],MATCH(Payments[[#This Row],[Invoice '#]],Invoices[Invoice '#],0))),"")</f>
        <v/>
      </c>
      <c r="D65" s="15" t="str">
        <f>IFERROR(IF(Payments[[#This Row],[Invoice '#]]="","",INDEX(Invoices[Due Date],MATCH(Payments[[#This Row],[Invoice '#]],Invoices[Invoice '#],0))),"")</f>
        <v/>
      </c>
      <c r="E65" s="40" t="str">
        <f ca="1">IFERROR(IF(Payments[[#This Row],[Invoice '#]]="","",INDEX(Invoices[Amount due],MATCH(Payments[[#This Row],[Invoice '#]],Invoices[Invoice '#],0))-IF(E64=Payments[[#Headers],[Amount Due]],0,SUMIF(INDIRECT("B4:B"&amp;ROW()-1),Payments[[#This Row],[Invoice '#]],Payments[Amount Paid]))),"")</f>
        <v/>
      </c>
      <c r="F65" s="41"/>
      <c r="G65" s="10"/>
      <c r="H65" s="38" t="str">
        <f ca="1">IFERROR(IF(Payments[[#This Row],[Amount Due]]="","",IF(Payments[[#This Row],[Amount Due]]=0,0,Payments[[#This Row],[Amount Due]]-Payments[[#This Row],[Amount Paid]])),"")</f>
        <v/>
      </c>
      <c r="I65" s="2"/>
    </row>
    <row r="66" spans="2:9" ht="14.1" customHeight="1" x14ac:dyDescent="0.2">
      <c r="B66" s="11"/>
      <c r="C66" s="14" t="str">
        <f>IFERROR(IF(Payments[[#This Row],[Invoice '#]]="","",INDEX(Invoices[Customer],MATCH(Payments[[#This Row],[Invoice '#]],Invoices[Invoice '#],0))),"")</f>
        <v/>
      </c>
      <c r="D66" s="15" t="str">
        <f>IFERROR(IF(Payments[[#This Row],[Invoice '#]]="","",INDEX(Invoices[Due Date],MATCH(Payments[[#This Row],[Invoice '#]],Invoices[Invoice '#],0))),"")</f>
        <v/>
      </c>
      <c r="E66" s="40" t="str">
        <f ca="1">IFERROR(IF(Payments[[#This Row],[Invoice '#]]="","",INDEX(Invoices[Amount due],MATCH(Payments[[#This Row],[Invoice '#]],Invoices[Invoice '#],0))-IF(E65=Payments[[#Headers],[Amount Due]],0,SUMIF(INDIRECT("B4:B"&amp;ROW()-1),Payments[[#This Row],[Invoice '#]],Payments[Amount Paid]))),"")</f>
        <v/>
      </c>
      <c r="F66" s="41"/>
      <c r="G66" s="10"/>
      <c r="H66" s="38" t="str">
        <f ca="1">IFERROR(IF(Payments[[#This Row],[Amount Due]]="","",IF(Payments[[#This Row],[Amount Due]]=0,0,Payments[[#This Row],[Amount Due]]-Payments[[#This Row],[Amount Paid]])),"")</f>
        <v/>
      </c>
      <c r="I66" s="2"/>
    </row>
    <row r="67" spans="2:9" ht="14.1" customHeight="1" x14ac:dyDescent="0.2">
      <c r="B67" s="11"/>
      <c r="C67" s="14" t="str">
        <f>IFERROR(IF(Payments[[#This Row],[Invoice '#]]="","",INDEX(Invoices[Customer],MATCH(Payments[[#This Row],[Invoice '#]],Invoices[Invoice '#],0))),"")</f>
        <v/>
      </c>
      <c r="D67" s="15" t="str">
        <f>IFERROR(IF(Payments[[#This Row],[Invoice '#]]="","",INDEX(Invoices[Due Date],MATCH(Payments[[#This Row],[Invoice '#]],Invoices[Invoice '#],0))),"")</f>
        <v/>
      </c>
      <c r="E67" s="40" t="str">
        <f ca="1">IFERROR(IF(Payments[[#This Row],[Invoice '#]]="","",INDEX(Invoices[Amount due],MATCH(Payments[[#This Row],[Invoice '#]],Invoices[Invoice '#],0))-IF(E66=Payments[[#Headers],[Amount Due]],0,SUMIF(INDIRECT("B4:B"&amp;ROW()-1),Payments[[#This Row],[Invoice '#]],Payments[Amount Paid]))),"")</f>
        <v/>
      </c>
      <c r="F67" s="41"/>
      <c r="G67" s="10"/>
      <c r="H67" s="38" t="str">
        <f ca="1">IFERROR(IF(Payments[[#This Row],[Amount Due]]="","",IF(Payments[[#This Row],[Amount Due]]=0,0,Payments[[#This Row],[Amount Due]]-Payments[[#This Row],[Amount Paid]])),"")</f>
        <v/>
      </c>
      <c r="I67" s="2"/>
    </row>
    <row r="68" spans="2:9" ht="14.1" customHeight="1" x14ac:dyDescent="0.2">
      <c r="B68" s="11"/>
      <c r="C68" s="14" t="str">
        <f>IFERROR(IF(Payments[[#This Row],[Invoice '#]]="","",INDEX(Invoices[Customer],MATCH(Payments[[#This Row],[Invoice '#]],Invoices[Invoice '#],0))),"")</f>
        <v/>
      </c>
      <c r="D68" s="15" t="str">
        <f>IFERROR(IF(Payments[[#This Row],[Invoice '#]]="","",INDEX(Invoices[Due Date],MATCH(Payments[[#This Row],[Invoice '#]],Invoices[Invoice '#],0))),"")</f>
        <v/>
      </c>
      <c r="E68" s="40" t="str">
        <f ca="1">IFERROR(IF(Payments[[#This Row],[Invoice '#]]="","",INDEX(Invoices[Amount due],MATCH(Payments[[#This Row],[Invoice '#]],Invoices[Invoice '#],0))-IF(E67=Payments[[#Headers],[Amount Due]],0,SUMIF(INDIRECT("B4:B"&amp;ROW()-1),Payments[[#This Row],[Invoice '#]],Payments[Amount Paid]))),"")</f>
        <v/>
      </c>
      <c r="F68" s="41"/>
      <c r="G68" s="10"/>
      <c r="H68" s="38" t="str">
        <f ca="1">IFERROR(IF(Payments[[#This Row],[Amount Due]]="","",IF(Payments[[#This Row],[Amount Due]]=0,0,Payments[[#This Row],[Amount Due]]-Payments[[#This Row],[Amount Paid]])),"")</f>
        <v/>
      </c>
      <c r="I68" s="2"/>
    </row>
    <row r="69" spans="2:9" ht="14.1" customHeight="1" x14ac:dyDescent="0.2">
      <c r="B69" s="11"/>
      <c r="C69" s="14" t="str">
        <f>IFERROR(IF(Payments[[#This Row],[Invoice '#]]="","",INDEX(Invoices[Customer],MATCH(Payments[[#This Row],[Invoice '#]],Invoices[Invoice '#],0))),"")</f>
        <v/>
      </c>
      <c r="D69" s="15" t="str">
        <f>IFERROR(IF(Payments[[#This Row],[Invoice '#]]="","",INDEX(Invoices[Due Date],MATCH(Payments[[#This Row],[Invoice '#]],Invoices[Invoice '#],0))),"")</f>
        <v/>
      </c>
      <c r="E69" s="40" t="str">
        <f ca="1">IFERROR(IF(Payments[[#This Row],[Invoice '#]]="","",INDEX(Invoices[Amount due],MATCH(Payments[[#This Row],[Invoice '#]],Invoices[Invoice '#],0))-IF(E68=Payments[[#Headers],[Amount Due]],0,SUMIF(INDIRECT("B4:B"&amp;ROW()-1),Payments[[#This Row],[Invoice '#]],Payments[Amount Paid]))),"")</f>
        <v/>
      </c>
      <c r="F69" s="41"/>
      <c r="G69" s="10"/>
      <c r="H69" s="38" t="str">
        <f ca="1">IFERROR(IF(Payments[[#This Row],[Amount Due]]="","",IF(Payments[[#This Row],[Amount Due]]=0,0,Payments[[#This Row],[Amount Due]]-Payments[[#This Row],[Amount Paid]])),"")</f>
        <v/>
      </c>
      <c r="I69" s="2"/>
    </row>
    <row r="70" spans="2:9" ht="14.1" customHeight="1" x14ac:dyDescent="0.2">
      <c r="B70" s="11"/>
      <c r="C70" s="14" t="str">
        <f>IFERROR(IF(Payments[[#This Row],[Invoice '#]]="","",INDEX(Invoices[Customer],MATCH(Payments[[#This Row],[Invoice '#]],Invoices[Invoice '#],0))),"")</f>
        <v/>
      </c>
      <c r="D70" s="15" t="str">
        <f>IFERROR(IF(Payments[[#This Row],[Invoice '#]]="","",INDEX(Invoices[Due Date],MATCH(Payments[[#This Row],[Invoice '#]],Invoices[Invoice '#],0))),"")</f>
        <v/>
      </c>
      <c r="E70" s="40" t="str">
        <f ca="1">IFERROR(IF(Payments[[#This Row],[Invoice '#]]="","",INDEX(Invoices[Amount due],MATCH(Payments[[#This Row],[Invoice '#]],Invoices[Invoice '#],0))-IF(E69=Payments[[#Headers],[Amount Due]],0,SUMIF(INDIRECT("B4:B"&amp;ROW()-1),Payments[[#This Row],[Invoice '#]],Payments[Amount Paid]))),"")</f>
        <v/>
      </c>
      <c r="F70" s="41"/>
      <c r="G70" s="10"/>
      <c r="H70" s="38" t="str">
        <f ca="1">IFERROR(IF(Payments[[#This Row],[Amount Due]]="","",IF(Payments[[#This Row],[Amount Due]]=0,0,Payments[[#This Row],[Amount Due]]-Payments[[#This Row],[Amount Paid]])),"")</f>
        <v/>
      </c>
      <c r="I70" s="2"/>
    </row>
    <row r="71" spans="2:9" ht="14.1" customHeight="1" x14ac:dyDescent="0.2">
      <c r="B71" s="11"/>
      <c r="C71" s="14" t="str">
        <f>IFERROR(IF(Payments[[#This Row],[Invoice '#]]="","",INDEX(Invoices[Customer],MATCH(Payments[[#This Row],[Invoice '#]],Invoices[Invoice '#],0))),"")</f>
        <v/>
      </c>
      <c r="D71" s="15" t="str">
        <f>IFERROR(IF(Payments[[#This Row],[Invoice '#]]="","",INDEX(Invoices[Due Date],MATCH(Payments[[#This Row],[Invoice '#]],Invoices[Invoice '#],0))),"")</f>
        <v/>
      </c>
      <c r="E71" s="40" t="str">
        <f ca="1">IFERROR(IF(Payments[[#This Row],[Invoice '#]]="","",INDEX(Invoices[Amount due],MATCH(Payments[[#This Row],[Invoice '#]],Invoices[Invoice '#],0))-IF(E70=Payments[[#Headers],[Amount Due]],0,SUMIF(INDIRECT("B4:B"&amp;ROW()-1),Payments[[#This Row],[Invoice '#]],Payments[Amount Paid]))),"")</f>
        <v/>
      </c>
      <c r="F71" s="41"/>
      <c r="G71" s="10"/>
      <c r="H71" s="38" t="str">
        <f ca="1">IFERROR(IF(Payments[[#This Row],[Amount Due]]="","",IF(Payments[[#This Row],[Amount Due]]=0,0,Payments[[#This Row],[Amount Due]]-Payments[[#This Row],[Amount Paid]])),"")</f>
        <v/>
      </c>
      <c r="I71" s="2"/>
    </row>
    <row r="72" spans="2:9" ht="14.1" customHeight="1" x14ac:dyDescent="0.2">
      <c r="B72" s="11"/>
      <c r="C72" s="14" t="str">
        <f>IFERROR(IF(Payments[[#This Row],[Invoice '#]]="","",INDEX(Invoices[Customer],MATCH(Payments[[#This Row],[Invoice '#]],Invoices[Invoice '#],0))),"")</f>
        <v/>
      </c>
      <c r="D72" s="15" t="str">
        <f>IFERROR(IF(Payments[[#This Row],[Invoice '#]]="","",INDEX(Invoices[Due Date],MATCH(Payments[[#This Row],[Invoice '#]],Invoices[Invoice '#],0))),"")</f>
        <v/>
      </c>
      <c r="E72" s="40" t="str">
        <f ca="1">IFERROR(IF(Payments[[#This Row],[Invoice '#]]="","",INDEX(Invoices[Amount due],MATCH(Payments[[#This Row],[Invoice '#]],Invoices[Invoice '#],0))-IF(E71=Payments[[#Headers],[Amount Due]],0,SUMIF(INDIRECT("B4:B"&amp;ROW()-1),Payments[[#This Row],[Invoice '#]],Payments[Amount Paid]))),"")</f>
        <v/>
      </c>
      <c r="F72" s="41"/>
      <c r="G72" s="10"/>
      <c r="H72" s="38" t="str">
        <f ca="1">IFERROR(IF(Payments[[#This Row],[Amount Due]]="","",IF(Payments[[#This Row],[Amount Due]]=0,0,Payments[[#This Row],[Amount Due]]-Payments[[#This Row],[Amount Paid]])),"")</f>
        <v/>
      </c>
      <c r="I72" s="2"/>
    </row>
    <row r="73" spans="2:9" ht="14.1" customHeight="1" x14ac:dyDescent="0.2">
      <c r="B73" s="11"/>
      <c r="C73" s="14" t="str">
        <f>IFERROR(IF(Payments[[#This Row],[Invoice '#]]="","",INDEX(Invoices[Customer],MATCH(Payments[[#This Row],[Invoice '#]],Invoices[Invoice '#],0))),"")</f>
        <v/>
      </c>
      <c r="D73" s="15" t="str">
        <f>IFERROR(IF(Payments[[#This Row],[Invoice '#]]="","",INDEX(Invoices[Due Date],MATCH(Payments[[#This Row],[Invoice '#]],Invoices[Invoice '#],0))),"")</f>
        <v/>
      </c>
      <c r="E73" s="40" t="str">
        <f ca="1">IFERROR(IF(Payments[[#This Row],[Invoice '#]]="","",INDEX(Invoices[Amount due],MATCH(Payments[[#This Row],[Invoice '#]],Invoices[Invoice '#],0))-IF(E72=Payments[[#Headers],[Amount Due]],0,SUMIF(INDIRECT("B4:B"&amp;ROW()-1),Payments[[#This Row],[Invoice '#]],Payments[Amount Paid]))),"")</f>
        <v/>
      </c>
      <c r="F73" s="41"/>
      <c r="G73" s="10"/>
      <c r="H73" s="38" t="str">
        <f ca="1">IFERROR(IF(Payments[[#This Row],[Amount Due]]="","",IF(Payments[[#This Row],[Amount Due]]=0,0,Payments[[#This Row],[Amount Due]]-Payments[[#This Row],[Amount Paid]])),"")</f>
        <v/>
      </c>
      <c r="I73" s="2"/>
    </row>
    <row r="74" spans="2:9" ht="14.1" customHeight="1" x14ac:dyDescent="0.2">
      <c r="B74" s="11"/>
      <c r="C74" s="14" t="str">
        <f>IFERROR(IF(Payments[[#This Row],[Invoice '#]]="","",INDEX(Invoices[Customer],MATCH(Payments[[#This Row],[Invoice '#]],Invoices[Invoice '#],0))),"")</f>
        <v/>
      </c>
      <c r="D74" s="15" t="str">
        <f>IFERROR(IF(Payments[[#This Row],[Invoice '#]]="","",INDEX(Invoices[Due Date],MATCH(Payments[[#This Row],[Invoice '#]],Invoices[Invoice '#],0))),"")</f>
        <v/>
      </c>
      <c r="E74" s="40" t="str">
        <f ca="1">IFERROR(IF(Payments[[#This Row],[Invoice '#]]="","",INDEX(Invoices[Amount due],MATCH(Payments[[#This Row],[Invoice '#]],Invoices[Invoice '#],0))-IF(E73=Payments[[#Headers],[Amount Due]],0,SUMIF(INDIRECT("B4:B"&amp;ROW()-1),Payments[[#This Row],[Invoice '#]],Payments[Amount Paid]))),"")</f>
        <v/>
      </c>
      <c r="F74" s="41"/>
      <c r="G74" s="10"/>
      <c r="H74" s="38" t="str">
        <f ca="1">IFERROR(IF(Payments[[#This Row],[Amount Due]]="","",IF(Payments[[#This Row],[Amount Due]]=0,0,Payments[[#This Row],[Amount Due]]-Payments[[#This Row],[Amount Paid]])),"")</f>
        <v/>
      </c>
      <c r="I74" s="2"/>
    </row>
    <row r="75" spans="2:9" ht="14.1" customHeight="1" x14ac:dyDescent="0.2">
      <c r="B75" s="11"/>
      <c r="C75" s="14" t="str">
        <f>IFERROR(IF(Payments[[#This Row],[Invoice '#]]="","",INDEX(Invoices[Customer],MATCH(Payments[[#This Row],[Invoice '#]],Invoices[Invoice '#],0))),"")</f>
        <v/>
      </c>
      <c r="D75" s="15" t="str">
        <f>IFERROR(IF(Payments[[#This Row],[Invoice '#]]="","",INDEX(Invoices[Due Date],MATCH(Payments[[#This Row],[Invoice '#]],Invoices[Invoice '#],0))),"")</f>
        <v/>
      </c>
      <c r="E75" s="40" t="str">
        <f ca="1">IFERROR(IF(Payments[[#This Row],[Invoice '#]]="","",INDEX(Invoices[Amount due],MATCH(Payments[[#This Row],[Invoice '#]],Invoices[Invoice '#],0))-IF(E74=Payments[[#Headers],[Amount Due]],0,SUMIF(INDIRECT("B4:B"&amp;ROW()-1),Payments[[#This Row],[Invoice '#]],Payments[Amount Paid]))),"")</f>
        <v/>
      </c>
      <c r="F75" s="41"/>
      <c r="G75" s="10"/>
      <c r="H75" s="38" t="str">
        <f ca="1">IFERROR(IF(Payments[[#This Row],[Amount Due]]="","",IF(Payments[[#This Row],[Amount Due]]=0,0,Payments[[#This Row],[Amount Due]]-Payments[[#This Row],[Amount Paid]])),"")</f>
        <v/>
      </c>
      <c r="I75" s="2"/>
    </row>
    <row r="76" spans="2:9" ht="14.1" customHeight="1" x14ac:dyDescent="0.2">
      <c r="B76" s="11"/>
      <c r="C76" s="14" t="str">
        <f>IFERROR(IF(Payments[[#This Row],[Invoice '#]]="","",INDEX(Invoices[Customer],MATCH(Payments[[#This Row],[Invoice '#]],Invoices[Invoice '#],0))),"")</f>
        <v/>
      </c>
      <c r="D76" s="15" t="str">
        <f>IFERROR(IF(Payments[[#This Row],[Invoice '#]]="","",INDEX(Invoices[Due Date],MATCH(Payments[[#This Row],[Invoice '#]],Invoices[Invoice '#],0))),"")</f>
        <v/>
      </c>
      <c r="E76" s="40" t="str">
        <f ca="1">IFERROR(IF(Payments[[#This Row],[Invoice '#]]="","",INDEX(Invoices[Amount due],MATCH(Payments[[#This Row],[Invoice '#]],Invoices[Invoice '#],0))-IF(E75=Payments[[#Headers],[Amount Due]],0,SUMIF(INDIRECT("B4:B"&amp;ROW()-1),Payments[[#This Row],[Invoice '#]],Payments[Amount Paid]))),"")</f>
        <v/>
      </c>
      <c r="F76" s="41"/>
      <c r="G76" s="10"/>
      <c r="H76" s="38" t="str">
        <f ca="1">IFERROR(IF(Payments[[#This Row],[Amount Due]]="","",IF(Payments[[#This Row],[Amount Due]]=0,0,Payments[[#This Row],[Amount Due]]-Payments[[#This Row],[Amount Paid]])),"")</f>
        <v/>
      </c>
      <c r="I76" s="2"/>
    </row>
    <row r="77" spans="2:9" ht="14.1" customHeight="1" x14ac:dyDescent="0.2">
      <c r="B77" s="11"/>
      <c r="C77" s="14" t="str">
        <f>IFERROR(IF(Payments[[#This Row],[Invoice '#]]="","",INDEX(Invoices[Customer],MATCH(Payments[[#This Row],[Invoice '#]],Invoices[Invoice '#],0))),"")</f>
        <v/>
      </c>
      <c r="D77" s="15" t="str">
        <f>IFERROR(IF(Payments[[#This Row],[Invoice '#]]="","",INDEX(Invoices[Due Date],MATCH(Payments[[#This Row],[Invoice '#]],Invoices[Invoice '#],0))),"")</f>
        <v/>
      </c>
      <c r="E77" s="40" t="str">
        <f ca="1">IFERROR(IF(Payments[[#This Row],[Invoice '#]]="","",INDEX(Invoices[Amount due],MATCH(Payments[[#This Row],[Invoice '#]],Invoices[Invoice '#],0))-IF(E76=Payments[[#Headers],[Amount Due]],0,SUMIF(INDIRECT("B4:B"&amp;ROW()-1),Payments[[#This Row],[Invoice '#]],Payments[Amount Paid]))),"")</f>
        <v/>
      </c>
      <c r="F77" s="41"/>
      <c r="G77" s="10"/>
      <c r="H77" s="38" t="str">
        <f ca="1">IFERROR(IF(Payments[[#This Row],[Amount Due]]="","",IF(Payments[[#This Row],[Amount Due]]=0,0,Payments[[#This Row],[Amount Due]]-Payments[[#This Row],[Amount Paid]])),"")</f>
        <v/>
      </c>
      <c r="I77" s="2"/>
    </row>
    <row r="78" spans="2:9" ht="14.1" customHeight="1" x14ac:dyDescent="0.2">
      <c r="B78" s="11"/>
      <c r="C78" s="14" t="str">
        <f>IFERROR(IF(Payments[[#This Row],[Invoice '#]]="","",INDEX(Invoices[Customer],MATCH(Payments[[#This Row],[Invoice '#]],Invoices[Invoice '#],0))),"")</f>
        <v/>
      </c>
      <c r="D78" s="15" t="str">
        <f>IFERROR(IF(Payments[[#This Row],[Invoice '#]]="","",INDEX(Invoices[Due Date],MATCH(Payments[[#This Row],[Invoice '#]],Invoices[Invoice '#],0))),"")</f>
        <v/>
      </c>
      <c r="E78" s="40" t="str">
        <f ca="1">IFERROR(IF(Payments[[#This Row],[Invoice '#]]="","",INDEX(Invoices[Amount due],MATCH(Payments[[#This Row],[Invoice '#]],Invoices[Invoice '#],0))-IF(E77=Payments[[#Headers],[Amount Due]],0,SUMIF(INDIRECT("B4:B"&amp;ROW()-1),Payments[[#This Row],[Invoice '#]],Payments[Amount Paid]))),"")</f>
        <v/>
      </c>
      <c r="F78" s="41"/>
      <c r="G78" s="10"/>
      <c r="H78" s="38" t="str">
        <f ca="1">IFERROR(IF(Payments[[#This Row],[Amount Due]]="","",IF(Payments[[#This Row],[Amount Due]]=0,0,Payments[[#This Row],[Amount Due]]-Payments[[#This Row],[Amount Paid]])),"")</f>
        <v/>
      </c>
      <c r="I78" s="2"/>
    </row>
    <row r="79" spans="2:9" ht="14.1" customHeight="1" x14ac:dyDescent="0.2">
      <c r="B79" s="11"/>
      <c r="C79" s="14" t="str">
        <f>IFERROR(IF(Payments[[#This Row],[Invoice '#]]="","",INDEX(Invoices[Customer],MATCH(Payments[[#This Row],[Invoice '#]],Invoices[Invoice '#],0))),"")</f>
        <v/>
      </c>
      <c r="D79" s="15" t="str">
        <f>IFERROR(IF(Payments[[#This Row],[Invoice '#]]="","",INDEX(Invoices[Due Date],MATCH(Payments[[#This Row],[Invoice '#]],Invoices[Invoice '#],0))),"")</f>
        <v/>
      </c>
      <c r="E79" s="40" t="str">
        <f ca="1">IFERROR(IF(Payments[[#This Row],[Invoice '#]]="","",INDEX(Invoices[Amount due],MATCH(Payments[[#This Row],[Invoice '#]],Invoices[Invoice '#],0))-IF(E78=Payments[[#Headers],[Amount Due]],0,SUMIF(INDIRECT("B4:B"&amp;ROW()-1),Payments[[#This Row],[Invoice '#]],Payments[Amount Paid]))),"")</f>
        <v/>
      </c>
      <c r="F79" s="41"/>
      <c r="G79" s="10"/>
      <c r="H79" s="38" t="str">
        <f ca="1">IFERROR(IF(Payments[[#This Row],[Amount Due]]="","",IF(Payments[[#This Row],[Amount Due]]=0,0,Payments[[#This Row],[Amount Due]]-Payments[[#This Row],[Amount Paid]])),"")</f>
        <v/>
      </c>
      <c r="I79" s="2"/>
    </row>
    <row r="80" spans="2:9" ht="14.1" customHeight="1" x14ac:dyDescent="0.2">
      <c r="B80" s="11"/>
      <c r="C80" s="14" t="str">
        <f>IFERROR(IF(Payments[[#This Row],[Invoice '#]]="","",INDEX(Invoices[Customer],MATCH(Payments[[#This Row],[Invoice '#]],Invoices[Invoice '#],0))),"")</f>
        <v/>
      </c>
      <c r="D80" s="15" t="str">
        <f>IFERROR(IF(Payments[[#This Row],[Invoice '#]]="","",INDEX(Invoices[Due Date],MATCH(Payments[[#This Row],[Invoice '#]],Invoices[Invoice '#],0))),"")</f>
        <v/>
      </c>
      <c r="E80" s="40" t="str">
        <f ca="1">IFERROR(IF(Payments[[#This Row],[Invoice '#]]="","",INDEX(Invoices[Amount due],MATCH(Payments[[#This Row],[Invoice '#]],Invoices[Invoice '#],0))-IF(E79=Payments[[#Headers],[Amount Due]],0,SUMIF(INDIRECT("B4:B"&amp;ROW()-1),Payments[[#This Row],[Invoice '#]],Payments[Amount Paid]))),"")</f>
        <v/>
      </c>
      <c r="F80" s="41"/>
      <c r="G80" s="10"/>
      <c r="H80" s="38" t="str">
        <f ca="1">IFERROR(IF(Payments[[#This Row],[Amount Due]]="","",IF(Payments[[#This Row],[Amount Due]]=0,0,Payments[[#This Row],[Amount Due]]-Payments[[#This Row],[Amount Paid]])),"")</f>
        <v/>
      </c>
      <c r="I80" s="2"/>
    </row>
    <row r="81" spans="2:9" ht="14.1" customHeight="1" x14ac:dyDescent="0.2">
      <c r="B81" s="11"/>
      <c r="C81" s="14" t="str">
        <f>IFERROR(IF(Payments[[#This Row],[Invoice '#]]="","",INDEX(Invoices[Customer],MATCH(Payments[[#This Row],[Invoice '#]],Invoices[Invoice '#],0))),"")</f>
        <v/>
      </c>
      <c r="D81" s="15" t="str">
        <f>IFERROR(IF(Payments[[#This Row],[Invoice '#]]="","",INDEX(Invoices[Due Date],MATCH(Payments[[#This Row],[Invoice '#]],Invoices[Invoice '#],0))),"")</f>
        <v/>
      </c>
      <c r="E81" s="40" t="str">
        <f ca="1">IFERROR(IF(Payments[[#This Row],[Invoice '#]]="","",INDEX(Invoices[Amount due],MATCH(Payments[[#This Row],[Invoice '#]],Invoices[Invoice '#],0))-IF(E80=Payments[[#Headers],[Amount Due]],0,SUMIF(INDIRECT("B4:B"&amp;ROW()-1),Payments[[#This Row],[Invoice '#]],Payments[Amount Paid]))),"")</f>
        <v/>
      </c>
      <c r="F81" s="41"/>
      <c r="G81" s="10"/>
      <c r="H81" s="38" t="str">
        <f ca="1">IFERROR(IF(Payments[[#This Row],[Amount Due]]="","",IF(Payments[[#This Row],[Amount Due]]=0,0,Payments[[#This Row],[Amount Due]]-Payments[[#This Row],[Amount Paid]])),"")</f>
        <v/>
      </c>
      <c r="I81" s="2"/>
    </row>
    <row r="82" spans="2:9" ht="14.1" customHeight="1" x14ac:dyDescent="0.2">
      <c r="B82" s="11"/>
      <c r="C82" s="14" t="str">
        <f>IFERROR(IF(Payments[[#This Row],[Invoice '#]]="","",INDEX(Invoices[Customer],MATCH(Payments[[#This Row],[Invoice '#]],Invoices[Invoice '#],0))),"")</f>
        <v/>
      </c>
      <c r="D82" s="15" t="str">
        <f>IFERROR(IF(Payments[[#This Row],[Invoice '#]]="","",INDEX(Invoices[Due Date],MATCH(Payments[[#This Row],[Invoice '#]],Invoices[Invoice '#],0))),"")</f>
        <v/>
      </c>
      <c r="E82" s="40" t="str">
        <f ca="1">IFERROR(IF(Payments[[#This Row],[Invoice '#]]="","",INDEX(Invoices[Amount due],MATCH(Payments[[#This Row],[Invoice '#]],Invoices[Invoice '#],0))-IF(E81=Payments[[#Headers],[Amount Due]],0,SUMIF(INDIRECT("B4:B"&amp;ROW()-1),Payments[[#This Row],[Invoice '#]],Payments[Amount Paid]))),"")</f>
        <v/>
      </c>
      <c r="F82" s="41"/>
      <c r="G82" s="10"/>
      <c r="H82" s="38" t="str">
        <f ca="1">IFERROR(IF(Payments[[#This Row],[Amount Due]]="","",IF(Payments[[#This Row],[Amount Due]]=0,0,Payments[[#This Row],[Amount Due]]-Payments[[#This Row],[Amount Paid]])),"")</f>
        <v/>
      </c>
      <c r="I82" s="2"/>
    </row>
    <row r="83" spans="2:9" ht="14.1" customHeight="1" x14ac:dyDescent="0.2">
      <c r="B83" s="11"/>
      <c r="C83" s="14" t="str">
        <f>IFERROR(IF(Payments[[#This Row],[Invoice '#]]="","",INDEX(Invoices[Customer],MATCH(Payments[[#This Row],[Invoice '#]],Invoices[Invoice '#],0))),"")</f>
        <v/>
      </c>
      <c r="D83" s="15" t="str">
        <f>IFERROR(IF(Payments[[#This Row],[Invoice '#]]="","",INDEX(Invoices[Due Date],MATCH(Payments[[#This Row],[Invoice '#]],Invoices[Invoice '#],0))),"")</f>
        <v/>
      </c>
      <c r="E83" s="40" t="str">
        <f ca="1">IFERROR(IF(Payments[[#This Row],[Invoice '#]]="","",INDEX(Invoices[Amount due],MATCH(Payments[[#This Row],[Invoice '#]],Invoices[Invoice '#],0))-IF(E82=Payments[[#Headers],[Amount Due]],0,SUMIF(INDIRECT("B4:B"&amp;ROW()-1),Payments[[#This Row],[Invoice '#]],Payments[Amount Paid]))),"")</f>
        <v/>
      </c>
      <c r="F83" s="41"/>
      <c r="G83" s="10"/>
      <c r="H83" s="38" t="str">
        <f ca="1">IFERROR(IF(Payments[[#This Row],[Amount Due]]="","",IF(Payments[[#This Row],[Amount Due]]=0,0,Payments[[#This Row],[Amount Due]]-Payments[[#This Row],[Amount Paid]])),"")</f>
        <v/>
      </c>
      <c r="I83" s="2"/>
    </row>
    <row r="84" spans="2:9" ht="14.1" customHeight="1" x14ac:dyDescent="0.2">
      <c r="B84" s="11"/>
      <c r="C84" s="14" t="str">
        <f>IFERROR(IF(Payments[[#This Row],[Invoice '#]]="","",INDEX(Invoices[Customer],MATCH(Payments[[#This Row],[Invoice '#]],Invoices[Invoice '#],0))),"")</f>
        <v/>
      </c>
      <c r="D84" s="15" t="str">
        <f>IFERROR(IF(Payments[[#This Row],[Invoice '#]]="","",INDEX(Invoices[Due Date],MATCH(Payments[[#This Row],[Invoice '#]],Invoices[Invoice '#],0))),"")</f>
        <v/>
      </c>
      <c r="E84" s="40" t="str">
        <f ca="1">IFERROR(IF(Payments[[#This Row],[Invoice '#]]="","",INDEX(Invoices[Amount due],MATCH(Payments[[#This Row],[Invoice '#]],Invoices[Invoice '#],0))-IF(E83=Payments[[#Headers],[Amount Due]],0,SUMIF(INDIRECT("B4:B"&amp;ROW()-1),Payments[[#This Row],[Invoice '#]],Payments[Amount Paid]))),"")</f>
        <v/>
      </c>
      <c r="F84" s="41"/>
      <c r="G84" s="10"/>
      <c r="H84" s="38" t="str">
        <f ca="1">IFERROR(IF(Payments[[#This Row],[Amount Due]]="","",IF(Payments[[#This Row],[Amount Due]]=0,0,Payments[[#This Row],[Amount Due]]-Payments[[#This Row],[Amount Paid]])),"")</f>
        <v/>
      </c>
      <c r="I84" s="2"/>
    </row>
    <row r="85" spans="2:9" ht="14.1" customHeight="1" x14ac:dyDescent="0.2">
      <c r="B85" s="11"/>
      <c r="C85" s="14" t="str">
        <f>IFERROR(IF(Payments[[#This Row],[Invoice '#]]="","",INDEX(Invoices[Customer],MATCH(Payments[[#This Row],[Invoice '#]],Invoices[Invoice '#],0))),"")</f>
        <v/>
      </c>
      <c r="D85" s="15" t="str">
        <f>IFERROR(IF(Payments[[#This Row],[Invoice '#]]="","",INDEX(Invoices[Due Date],MATCH(Payments[[#This Row],[Invoice '#]],Invoices[Invoice '#],0))),"")</f>
        <v/>
      </c>
      <c r="E85" s="40" t="str">
        <f ca="1">IFERROR(IF(Payments[[#This Row],[Invoice '#]]="","",INDEX(Invoices[Amount due],MATCH(Payments[[#This Row],[Invoice '#]],Invoices[Invoice '#],0))-IF(E84=Payments[[#Headers],[Amount Due]],0,SUMIF(INDIRECT("B4:B"&amp;ROW()-1),Payments[[#This Row],[Invoice '#]],Payments[Amount Paid]))),"")</f>
        <v/>
      </c>
      <c r="F85" s="41"/>
      <c r="G85" s="10"/>
      <c r="H85" s="38" t="str">
        <f ca="1">IFERROR(IF(Payments[[#This Row],[Amount Due]]="","",IF(Payments[[#This Row],[Amount Due]]=0,0,Payments[[#This Row],[Amount Due]]-Payments[[#This Row],[Amount Paid]])),"")</f>
        <v/>
      </c>
      <c r="I85" s="2"/>
    </row>
    <row r="86" spans="2:9" ht="14.1" customHeight="1" x14ac:dyDescent="0.2">
      <c r="B86" s="11"/>
      <c r="C86" s="14" t="str">
        <f>IFERROR(IF(Payments[[#This Row],[Invoice '#]]="","",INDEX(Invoices[Customer],MATCH(Payments[[#This Row],[Invoice '#]],Invoices[Invoice '#],0))),"")</f>
        <v/>
      </c>
      <c r="D86" s="15" t="str">
        <f>IFERROR(IF(Payments[[#This Row],[Invoice '#]]="","",INDEX(Invoices[Due Date],MATCH(Payments[[#This Row],[Invoice '#]],Invoices[Invoice '#],0))),"")</f>
        <v/>
      </c>
      <c r="E86" s="40" t="str">
        <f ca="1">IFERROR(IF(Payments[[#This Row],[Invoice '#]]="","",INDEX(Invoices[Amount due],MATCH(Payments[[#This Row],[Invoice '#]],Invoices[Invoice '#],0))-IF(E85=Payments[[#Headers],[Amount Due]],0,SUMIF(INDIRECT("B4:B"&amp;ROW()-1),Payments[[#This Row],[Invoice '#]],Payments[Amount Paid]))),"")</f>
        <v/>
      </c>
      <c r="F86" s="41"/>
      <c r="G86" s="10"/>
      <c r="H86" s="38" t="str">
        <f ca="1">IFERROR(IF(Payments[[#This Row],[Amount Due]]="","",IF(Payments[[#This Row],[Amount Due]]=0,0,Payments[[#This Row],[Amount Due]]-Payments[[#This Row],[Amount Paid]])),"")</f>
        <v/>
      </c>
      <c r="I86" s="2"/>
    </row>
    <row r="87" spans="2:9" ht="14.1" customHeight="1" x14ac:dyDescent="0.2">
      <c r="B87" s="11"/>
      <c r="C87" s="14" t="str">
        <f>IFERROR(IF(Payments[[#This Row],[Invoice '#]]="","",INDEX(Invoices[Customer],MATCH(Payments[[#This Row],[Invoice '#]],Invoices[Invoice '#],0))),"")</f>
        <v/>
      </c>
      <c r="D87" s="15" t="str">
        <f>IFERROR(IF(Payments[[#This Row],[Invoice '#]]="","",INDEX(Invoices[Due Date],MATCH(Payments[[#This Row],[Invoice '#]],Invoices[Invoice '#],0))),"")</f>
        <v/>
      </c>
      <c r="E87" s="40" t="str">
        <f ca="1">IFERROR(IF(Payments[[#This Row],[Invoice '#]]="","",INDEX(Invoices[Amount due],MATCH(Payments[[#This Row],[Invoice '#]],Invoices[Invoice '#],0))-IF(E86=Payments[[#Headers],[Amount Due]],0,SUMIF(INDIRECT("B4:B"&amp;ROW()-1),Payments[[#This Row],[Invoice '#]],Payments[Amount Paid]))),"")</f>
        <v/>
      </c>
      <c r="F87" s="41"/>
      <c r="G87" s="10"/>
      <c r="H87" s="38" t="str">
        <f ca="1">IFERROR(IF(Payments[[#This Row],[Amount Due]]="","",IF(Payments[[#This Row],[Amount Due]]=0,0,Payments[[#This Row],[Amount Due]]-Payments[[#This Row],[Amount Paid]])),"")</f>
        <v/>
      </c>
      <c r="I87" s="2"/>
    </row>
    <row r="88" spans="2:9" ht="14.1" customHeight="1" x14ac:dyDescent="0.2">
      <c r="B88" s="11"/>
      <c r="C88" s="14" t="str">
        <f>IFERROR(IF(Payments[[#This Row],[Invoice '#]]="","",INDEX(Invoices[Customer],MATCH(Payments[[#This Row],[Invoice '#]],Invoices[Invoice '#],0))),"")</f>
        <v/>
      </c>
      <c r="D88" s="15" t="str">
        <f>IFERROR(IF(Payments[[#This Row],[Invoice '#]]="","",INDEX(Invoices[Due Date],MATCH(Payments[[#This Row],[Invoice '#]],Invoices[Invoice '#],0))),"")</f>
        <v/>
      </c>
      <c r="E88" s="40" t="str">
        <f ca="1">IFERROR(IF(Payments[[#This Row],[Invoice '#]]="","",INDEX(Invoices[Amount due],MATCH(Payments[[#This Row],[Invoice '#]],Invoices[Invoice '#],0))-IF(E87=Payments[[#Headers],[Amount Due]],0,SUMIF(INDIRECT("B4:B"&amp;ROW()-1),Payments[[#This Row],[Invoice '#]],Payments[Amount Paid]))),"")</f>
        <v/>
      </c>
      <c r="F88" s="41"/>
      <c r="G88" s="10"/>
      <c r="H88" s="38" t="str">
        <f ca="1">IFERROR(IF(Payments[[#This Row],[Amount Due]]="","",IF(Payments[[#This Row],[Amount Due]]=0,0,Payments[[#This Row],[Amount Due]]-Payments[[#This Row],[Amount Paid]])),"")</f>
        <v/>
      </c>
      <c r="I88" s="2"/>
    </row>
    <row r="89" spans="2:9" ht="14.1" customHeight="1" x14ac:dyDescent="0.2">
      <c r="B89" s="11"/>
      <c r="C89" s="14" t="str">
        <f>IFERROR(IF(Payments[[#This Row],[Invoice '#]]="","",INDEX(Invoices[Customer],MATCH(Payments[[#This Row],[Invoice '#]],Invoices[Invoice '#],0))),"")</f>
        <v/>
      </c>
      <c r="D89" s="15" t="str">
        <f>IFERROR(IF(Payments[[#This Row],[Invoice '#]]="","",INDEX(Invoices[Due Date],MATCH(Payments[[#This Row],[Invoice '#]],Invoices[Invoice '#],0))),"")</f>
        <v/>
      </c>
      <c r="E89" s="40" t="str">
        <f ca="1">IFERROR(IF(Payments[[#This Row],[Invoice '#]]="","",INDEX(Invoices[Amount due],MATCH(Payments[[#This Row],[Invoice '#]],Invoices[Invoice '#],0))-IF(E88=Payments[[#Headers],[Amount Due]],0,SUMIF(INDIRECT("B4:B"&amp;ROW()-1),Payments[[#This Row],[Invoice '#]],Payments[Amount Paid]))),"")</f>
        <v/>
      </c>
      <c r="F89" s="41"/>
      <c r="G89" s="10"/>
      <c r="H89" s="38" t="str">
        <f ca="1">IFERROR(IF(Payments[[#This Row],[Amount Due]]="","",IF(Payments[[#This Row],[Amount Due]]=0,0,Payments[[#This Row],[Amount Due]]-Payments[[#This Row],[Amount Paid]])),"")</f>
        <v/>
      </c>
      <c r="I89" s="2"/>
    </row>
    <row r="90" spans="2:9" ht="14.1" customHeight="1" x14ac:dyDescent="0.2">
      <c r="B90" s="11"/>
      <c r="C90" s="14" t="str">
        <f>IFERROR(IF(Payments[[#This Row],[Invoice '#]]="","",INDEX(Invoices[Customer],MATCH(Payments[[#This Row],[Invoice '#]],Invoices[Invoice '#],0))),"")</f>
        <v/>
      </c>
      <c r="D90" s="15" t="str">
        <f>IFERROR(IF(Payments[[#This Row],[Invoice '#]]="","",INDEX(Invoices[Due Date],MATCH(Payments[[#This Row],[Invoice '#]],Invoices[Invoice '#],0))),"")</f>
        <v/>
      </c>
      <c r="E90" s="40" t="str">
        <f ca="1">IFERROR(IF(Payments[[#This Row],[Invoice '#]]="","",INDEX(Invoices[Amount due],MATCH(Payments[[#This Row],[Invoice '#]],Invoices[Invoice '#],0))-IF(E89=Payments[[#Headers],[Amount Due]],0,SUMIF(INDIRECT("B4:B"&amp;ROW()-1),Payments[[#This Row],[Invoice '#]],Payments[Amount Paid]))),"")</f>
        <v/>
      </c>
      <c r="F90" s="41"/>
      <c r="G90" s="10"/>
      <c r="H90" s="38" t="str">
        <f ca="1">IFERROR(IF(Payments[[#This Row],[Amount Due]]="","",IF(Payments[[#This Row],[Amount Due]]=0,0,Payments[[#This Row],[Amount Due]]-Payments[[#This Row],[Amount Paid]])),"")</f>
        <v/>
      </c>
      <c r="I90" s="2"/>
    </row>
    <row r="91" spans="2:9" ht="14.1" customHeight="1" x14ac:dyDescent="0.2">
      <c r="B91" s="11"/>
      <c r="C91" s="14" t="str">
        <f>IFERROR(IF(Payments[[#This Row],[Invoice '#]]="","",INDEX(Invoices[Customer],MATCH(Payments[[#This Row],[Invoice '#]],Invoices[Invoice '#],0))),"")</f>
        <v/>
      </c>
      <c r="D91" s="15" t="str">
        <f>IFERROR(IF(Payments[[#This Row],[Invoice '#]]="","",INDEX(Invoices[Due Date],MATCH(Payments[[#This Row],[Invoice '#]],Invoices[Invoice '#],0))),"")</f>
        <v/>
      </c>
      <c r="E91" s="40" t="str">
        <f ca="1">IFERROR(IF(Payments[[#This Row],[Invoice '#]]="","",INDEX(Invoices[Amount due],MATCH(Payments[[#This Row],[Invoice '#]],Invoices[Invoice '#],0))-IF(E90=Payments[[#Headers],[Amount Due]],0,SUMIF(INDIRECT("B4:B"&amp;ROW()-1),Payments[[#This Row],[Invoice '#]],Payments[Amount Paid]))),"")</f>
        <v/>
      </c>
      <c r="F91" s="41"/>
      <c r="G91" s="10"/>
      <c r="H91" s="38" t="str">
        <f ca="1">IFERROR(IF(Payments[[#This Row],[Amount Due]]="","",IF(Payments[[#This Row],[Amount Due]]=0,0,Payments[[#This Row],[Amount Due]]-Payments[[#This Row],[Amount Paid]])),"")</f>
        <v/>
      </c>
      <c r="I91" s="2"/>
    </row>
    <row r="92" spans="2:9" ht="14.1" customHeight="1" x14ac:dyDescent="0.2">
      <c r="B92" s="11"/>
      <c r="C92" s="14" t="str">
        <f>IFERROR(IF(Payments[[#This Row],[Invoice '#]]="","",INDEX(Invoices[Customer],MATCH(Payments[[#This Row],[Invoice '#]],Invoices[Invoice '#],0))),"")</f>
        <v/>
      </c>
      <c r="D92" s="15" t="str">
        <f>IFERROR(IF(Payments[[#This Row],[Invoice '#]]="","",INDEX(Invoices[Due Date],MATCH(Payments[[#This Row],[Invoice '#]],Invoices[Invoice '#],0))),"")</f>
        <v/>
      </c>
      <c r="E92" s="40" t="str">
        <f ca="1">IFERROR(IF(Payments[[#This Row],[Invoice '#]]="","",INDEX(Invoices[Amount due],MATCH(Payments[[#This Row],[Invoice '#]],Invoices[Invoice '#],0))-IF(E91=Payments[[#Headers],[Amount Due]],0,SUMIF(INDIRECT("B4:B"&amp;ROW()-1),Payments[[#This Row],[Invoice '#]],Payments[Amount Paid]))),"")</f>
        <v/>
      </c>
      <c r="F92" s="41"/>
      <c r="G92" s="10"/>
      <c r="H92" s="38" t="str">
        <f ca="1">IFERROR(IF(Payments[[#This Row],[Amount Due]]="","",IF(Payments[[#This Row],[Amount Due]]=0,0,Payments[[#This Row],[Amount Due]]-Payments[[#This Row],[Amount Paid]])),"")</f>
        <v/>
      </c>
      <c r="I92" s="2"/>
    </row>
    <row r="93" spans="2:9" ht="14.1" customHeight="1" x14ac:dyDescent="0.2">
      <c r="B93" s="11"/>
      <c r="C93" s="14" t="str">
        <f>IFERROR(IF(Payments[[#This Row],[Invoice '#]]="","",INDEX(Invoices[Customer],MATCH(Payments[[#This Row],[Invoice '#]],Invoices[Invoice '#],0))),"")</f>
        <v/>
      </c>
      <c r="D93" s="15" t="str">
        <f>IFERROR(IF(Payments[[#This Row],[Invoice '#]]="","",INDEX(Invoices[Due Date],MATCH(Payments[[#This Row],[Invoice '#]],Invoices[Invoice '#],0))),"")</f>
        <v/>
      </c>
      <c r="E93" s="40" t="str">
        <f ca="1">IFERROR(IF(Payments[[#This Row],[Invoice '#]]="","",INDEX(Invoices[Amount due],MATCH(Payments[[#This Row],[Invoice '#]],Invoices[Invoice '#],0))-IF(E92=Payments[[#Headers],[Amount Due]],0,SUMIF(INDIRECT("B4:B"&amp;ROW()-1),Payments[[#This Row],[Invoice '#]],Payments[Amount Paid]))),"")</f>
        <v/>
      </c>
      <c r="F93" s="41"/>
      <c r="G93" s="10"/>
      <c r="H93" s="38" t="str">
        <f ca="1">IFERROR(IF(Payments[[#This Row],[Amount Due]]="","",IF(Payments[[#This Row],[Amount Due]]=0,0,Payments[[#This Row],[Amount Due]]-Payments[[#This Row],[Amount Paid]])),"")</f>
        <v/>
      </c>
      <c r="I93" s="2"/>
    </row>
    <row r="94" spans="2:9" ht="14.1" customHeight="1" x14ac:dyDescent="0.2">
      <c r="B94" s="11"/>
      <c r="C94" s="14" t="str">
        <f>IFERROR(IF(Payments[[#This Row],[Invoice '#]]="","",INDEX(Invoices[Customer],MATCH(Payments[[#This Row],[Invoice '#]],Invoices[Invoice '#],0))),"")</f>
        <v/>
      </c>
      <c r="D94" s="15" t="str">
        <f>IFERROR(IF(Payments[[#This Row],[Invoice '#]]="","",INDEX(Invoices[Due Date],MATCH(Payments[[#This Row],[Invoice '#]],Invoices[Invoice '#],0))),"")</f>
        <v/>
      </c>
      <c r="E94" s="40" t="str">
        <f ca="1">IFERROR(IF(Payments[[#This Row],[Invoice '#]]="","",INDEX(Invoices[Amount due],MATCH(Payments[[#This Row],[Invoice '#]],Invoices[Invoice '#],0))-IF(E93=Payments[[#Headers],[Amount Due]],0,SUMIF(INDIRECT("B4:B"&amp;ROW()-1),Payments[[#This Row],[Invoice '#]],Payments[Amount Paid]))),"")</f>
        <v/>
      </c>
      <c r="F94" s="41"/>
      <c r="G94" s="10"/>
      <c r="H94" s="38" t="str">
        <f ca="1">IFERROR(IF(Payments[[#This Row],[Amount Due]]="","",IF(Payments[[#This Row],[Amount Due]]=0,0,Payments[[#This Row],[Amount Due]]-Payments[[#This Row],[Amount Paid]])),"")</f>
        <v/>
      </c>
      <c r="I94" s="2"/>
    </row>
    <row r="95" spans="2:9" ht="14.1" customHeight="1" x14ac:dyDescent="0.2">
      <c r="B95" s="11"/>
      <c r="C95" s="14" t="str">
        <f>IFERROR(IF(Payments[[#This Row],[Invoice '#]]="","",INDEX(Invoices[Customer],MATCH(Payments[[#This Row],[Invoice '#]],Invoices[Invoice '#],0))),"")</f>
        <v/>
      </c>
      <c r="D95" s="15" t="str">
        <f>IFERROR(IF(Payments[[#This Row],[Invoice '#]]="","",INDEX(Invoices[Due Date],MATCH(Payments[[#This Row],[Invoice '#]],Invoices[Invoice '#],0))),"")</f>
        <v/>
      </c>
      <c r="E95" s="40" t="str">
        <f ca="1">IFERROR(IF(Payments[[#This Row],[Invoice '#]]="","",INDEX(Invoices[Amount due],MATCH(Payments[[#This Row],[Invoice '#]],Invoices[Invoice '#],0))-IF(E94=Payments[[#Headers],[Amount Due]],0,SUMIF(INDIRECT("B4:B"&amp;ROW()-1),Payments[[#This Row],[Invoice '#]],Payments[Amount Paid]))),"")</f>
        <v/>
      </c>
      <c r="F95" s="41"/>
      <c r="G95" s="10"/>
      <c r="H95" s="38" t="str">
        <f ca="1">IFERROR(IF(Payments[[#This Row],[Amount Due]]="","",IF(Payments[[#This Row],[Amount Due]]=0,0,Payments[[#This Row],[Amount Due]]-Payments[[#This Row],[Amount Paid]])),"")</f>
        <v/>
      </c>
      <c r="I95" s="2"/>
    </row>
    <row r="96" spans="2:9" ht="14.1" customHeight="1" x14ac:dyDescent="0.2">
      <c r="B96" s="11"/>
      <c r="C96" s="14" t="str">
        <f>IFERROR(IF(Payments[[#This Row],[Invoice '#]]="","",INDEX(Invoices[Customer],MATCH(Payments[[#This Row],[Invoice '#]],Invoices[Invoice '#],0))),"")</f>
        <v/>
      </c>
      <c r="D96" s="15" t="str">
        <f>IFERROR(IF(Payments[[#This Row],[Invoice '#]]="","",INDEX(Invoices[Due Date],MATCH(Payments[[#This Row],[Invoice '#]],Invoices[Invoice '#],0))),"")</f>
        <v/>
      </c>
      <c r="E96" s="40" t="str">
        <f ca="1">IFERROR(IF(Payments[[#This Row],[Invoice '#]]="","",INDEX(Invoices[Amount due],MATCH(Payments[[#This Row],[Invoice '#]],Invoices[Invoice '#],0))-IF(E95=Payments[[#Headers],[Amount Due]],0,SUMIF(INDIRECT("B4:B"&amp;ROW()-1),Payments[[#This Row],[Invoice '#]],Payments[Amount Paid]))),"")</f>
        <v/>
      </c>
      <c r="F96" s="41"/>
      <c r="G96" s="10"/>
      <c r="H96" s="38" t="str">
        <f ca="1">IFERROR(IF(Payments[[#This Row],[Amount Due]]="","",IF(Payments[[#This Row],[Amount Due]]=0,0,Payments[[#This Row],[Amount Due]]-Payments[[#This Row],[Amount Paid]])),"")</f>
        <v/>
      </c>
      <c r="I96" s="2"/>
    </row>
    <row r="97" spans="2:9" ht="14.1" customHeight="1" x14ac:dyDescent="0.2">
      <c r="B97" s="11"/>
      <c r="C97" s="14" t="str">
        <f>IFERROR(IF(Payments[[#This Row],[Invoice '#]]="","",INDEX(Invoices[Customer],MATCH(Payments[[#This Row],[Invoice '#]],Invoices[Invoice '#],0))),"")</f>
        <v/>
      </c>
      <c r="D97" s="15" t="str">
        <f>IFERROR(IF(Payments[[#This Row],[Invoice '#]]="","",INDEX(Invoices[Due Date],MATCH(Payments[[#This Row],[Invoice '#]],Invoices[Invoice '#],0))),"")</f>
        <v/>
      </c>
      <c r="E97" s="40" t="str">
        <f ca="1">IFERROR(IF(Payments[[#This Row],[Invoice '#]]="","",INDEX(Invoices[Amount due],MATCH(Payments[[#This Row],[Invoice '#]],Invoices[Invoice '#],0))-IF(E96=Payments[[#Headers],[Amount Due]],0,SUMIF(INDIRECT("B4:B"&amp;ROW()-1),Payments[[#This Row],[Invoice '#]],Payments[Amount Paid]))),"")</f>
        <v/>
      </c>
      <c r="F97" s="41"/>
      <c r="G97" s="10"/>
      <c r="H97" s="38" t="str">
        <f ca="1">IFERROR(IF(Payments[[#This Row],[Amount Due]]="","",IF(Payments[[#This Row],[Amount Due]]=0,0,Payments[[#This Row],[Amount Due]]-Payments[[#This Row],[Amount Paid]])),"")</f>
        <v/>
      </c>
      <c r="I97" s="2"/>
    </row>
    <row r="98" spans="2:9" ht="14.1" customHeight="1" x14ac:dyDescent="0.2">
      <c r="B98" s="11"/>
      <c r="C98" s="14" t="str">
        <f>IFERROR(IF(Payments[[#This Row],[Invoice '#]]="","",INDEX(Invoices[Customer],MATCH(Payments[[#This Row],[Invoice '#]],Invoices[Invoice '#],0))),"")</f>
        <v/>
      </c>
      <c r="D98" s="15" t="str">
        <f>IFERROR(IF(Payments[[#This Row],[Invoice '#]]="","",INDEX(Invoices[Due Date],MATCH(Payments[[#This Row],[Invoice '#]],Invoices[Invoice '#],0))),"")</f>
        <v/>
      </c>
      <c r="E98" s="40" t="str">
        <f ca="1">IFERROR(IF(Payments[[#This Row],[Invoice '#]]="","",INDEX(Invoices[Amount due],MATCH(Payments[[#This Row],[Invoice '#]],Invoices[Invoice '#],0))-IF(E97=Payments[[#Headers],[Amount Due]],0,SUMIF(INDIRECT("B4:B"&amp;ROW()-1),Payments[[#This Row],[Invoice '#]],Payments[Amount Paid]))),"")</f>
        <v/>
      </c>
      <c r="F98" s="41"/>
      <c r="G98" s="10"/>
      <c r="H98" s="38" t="str">
        <f ca="1">IFERROR(IF(Payments[[#This Row],[Amount Due]]="","",IF(Payments[[#This Row],[Amount Due]]=0,0,Payments[[#This Row],[Amount Due]]-Payments[[#This Row],[Amount Paid]])),"")</f>
        <v/>
      </c>
      <c r="I98" s="2"/>
    </row>
    <row r="99" spans="2:9" ht="14.1" customHeight="1" x14ac:dyDescent="0.2">
      <c r="B99" s="11"/>
      <c r="C99" s="14" t="str">
        <f>IFERROR(IF(Payments[[#This Row],[Invoice '#]]="","",INDEX(Invoices[Customer],MATCH(Payments[[#This Row],[Invoice '#]],Invoices[Invoice '#],0))),"")</f>
        <v/>
      </c>
      <c r="D99" s="15" t="str">
        <f>IFERROR(IF(Payments[[#This Row],[Invoice '#]]="","",INDEX(Invoices[Due Date],MATCH(Payments[[#This Row],[Invoice '#]],Invoices[Invoice '#],0))),"")</f>
        <v/>
      </c>
      <c r="E99" s="40" t="str">
        <f ca="1">IFERROR(IF(Payments[[#This Row],[Invoice '#]]="","",INDEX(Invoices[Amount due],MATCH(Payments[[#This Row],[Invoice '#]],Invoices[Invoice '#],0))-IF(E98=Payments[[#Headers],[Amount Due]],0,SUMIF(INDIRECT("B4:B"&amp;ROW()-1),Payments[[#This Row],[Invoice '#]],Payments[Amount Paid]))),"")</f>
        <v/>
      </c>
      <c r="F99" s="41"/>
      <c r="G99" s="10"/>
      <c r="H99" s="38" t="str">
        <f ca="1">IFERROR(IF(Payments[[#This Row],[Amount Due]]="","",IF(Payments[[#This Row],[Amount Due]]=0,0,Payments[[#This Row],[Amount Due]]-Payments[[#This Row],[Amount Paid]])),"")</f>
        <v/>
      </c>
      <c r="I99" s="2"/>
    </row>
    <row r="100" spans="2:9" ht="14.1" customHeight="1" x14ac:dyDescent="0.2">
      <c r="B100" s="11"/>
      <c r="C100" s="14" t="str">
        <f>IFERROR(IF(Payments[[#This Row],[Invoice '#]]="","",INDEX(Invoices[Customer],MATCH(Payments[[#This Row],[Invoice '#]],Invoices[Invoice '#],0))),"")</f>
        <v/>
      </c>
      <c r="D100" s="15" t="str">
        <f>IFERROR(IF(Payments[[#This Row],[Invoice '#]]="","",INDEX(Invoices[Due Date],MATCH(Payments[[#This Row],[Invoice '#]],Invoices[Invoice '#],0))),"")</f>
        <v/>
      </c>
      <c r="E100" s="40" t="str">
        <f ca="1">IFERROR(IF(Payments[[#This Row],[Invoice '#]]="","",INDEX(Invoices[Amount due],MATCH(Payments[[#This Row],[Invoice '#]],Invoices[Invoice '#],0))-IF(E99=Payments[[#Headers],[Amount Due]],0,SUMIF(INDIRECT("B4:B"&amp;ROW()-1),Payments[[#This Row],[Invoice '#]],Payments[Amount Paid]))),"")</f>
        <v/>
      </c>
      <c r="F100" s="41"/>
      <c r="G100" s="10"/>
      <c r="H100" s="38" t="str">
        <f ca="1">IFERROR(IF(Payments[[#This Row],[Amount Due]]="","",IF(Payments[[#This Row],[Amount Due]]=0,0,Payments[[#This Row],[Amount Due]]-Payments[[#This Row],[Amount Paid]])),"")</f>
        <v/>
      </c>
      <c r="I100" s="2"/>
    </row>
    <row r="101" spans="2:9" ht="14.1" customHeight="1" x14ac:dyDescent="0.2">
      <c r="B101" s="11"/>
      <c r="C101" s="14" t="str">
        <f>IFERROR(IF(Payments[[#This Row],[Invoice '#]]="","",INDEX(Invoices[Customer],MATCH(Payments[[#This Row],[Invoice '#]],Invoices[Invoice '#],0))),"")</f>
        <v/>
      </c>
      <c r="D101" s="15" t="str">
        <f>IFERROR(IF(Payments[[#This Row],[Invoice '#]]="","",INDEX(Invoices[Due Date],MATCH(Payments[[#This Row],[Invoice '#]],Invoices[Invoice '#],0))),"")</f>
        <v/>
      </c>
      <c r="E101" s="40" t="str">
        <f ca="1">IFERROR(IF(Payments[[#This Row],[Invoice '#]]="","",INDEX(Invoices[Amount due],MATCH(Payments[[#This Row],[Invoice '#]],Invoices[Invoice '#],0))-IF(E100=Payments[[#Headers],[Amount Due]],0,SUMIF(INDIRECT("B4:B"&amp;ROW()-1),Payments[[#This Row],[Invoice '#]],Payments[Amount Paid]))),"")</f>
        <v/>
      </c>
      <c r="F101" s="41"/>
      <c r="G101" s="10"/>
      <c r="H101" s="38" t="str">
        <f ca="1">IFERROR(IF(Payments[[#This Row],[Amount Due]]="","",IF(Payments[[#This Row],[Amount Due]]=0,0,Payments[[#This Row],[Amount Due]]-Payments[[#This Row],[Amount Paid]])),"")</f>
        <v/>
      </c>
      <c r="I101" s="2"/>
    </row>
    <row r="102" spans="2:9" ht="14.1" customHeight="1" x14ac:dyDescent="0.2">
      <c r="B102" s="11"/>
      <c r="C102" s="14" t="str">
        <f>IFERROR(IF(Payments[[#This Row],[Invoice '#]]="","",INDEX(Invoices[Customer],MATCH(Payments[[#This Row],[Invoice '#]],Invoices[Invoice '#],0))),"")</f>
        <v/>
      </c>
      <c r="D102" s="15" t="str">
        <f>IFERROR(IF(Payments[[#This Row],[Invoice '#]]="","",INDEX(Invoices[Due Date],MATCH(Payments[[#This Row],[Invoice '#]],Invoices[Invoice '#],0))),"")</f>
        <v/>
      </c>
      <c r="E102" s="40" t="str">
        <f ca="1">IFERROR(IF(Payments[[#This Row],[Invoice '#]]="","",INDEX(Invoices[Amount due],MATCH(Payments[[#This Row],[Invoice '#]],Invoices[Invoice '#],0))-IF(E101=Payments[[#Headers],[Amount Due]],0,SUMIF(INDIRECT("B4:B"&amp;ROW()-1),Payments[[#This Row],[Invoice '#]],Payments[Amount Paid]))),"")</f>
        <v/>
      </c>
      <c r="F102" s="41"/>
      <c r="G102" s="10"/>
      <c r="H102" s="38" t="str">
        <f ca="1">IFERROR(IF(Payments[[#This Row],[Amount Due]]="","",IF(Payments[[#This Row],[Amount Due]]=0,0,Payments[[#This Row],[Amount Due]]-Payments[[#This Row],[Amount Paid]])),"")</f>
        <v/>
      </c>
      <c r="I102" s="2"/>
    </row>
    <row r="103" spans="2:9" ht="14.1" customHeight="1" x14ac:dyDescent="0.2">
      <c r="B103" s="11"/>
      <c r="C103" s="14" t="str">
        <f>IFERROR(IF(Payments[[#This Row],[Invoice '#]]="","",INDEX(Invoices[Customer],MATCH(Payments[[#This Row],[Invoice '#]],Invoices[Invoice '#],0))),"")</f>
        <v/>
      </c>
      <c r="D103" s="15" t="str">
        <f>IFERROR(IF(Payments[[#This Row],[Invoice '#]]="","",INDEX(Invoices[Due Date],MATCH(Payments[[#This Row],[Invoice '#]],Invoices[Invoice '#],0))),"")</f>
        <v/>
      </c>
      <c r="E103" s="40" t="str">
        <f ca="1">IFERROR(IF(Payments[[#This Row],[Invoice '#]]="","",INDEX(Invoices[Amount due],MATCH(Payments[[#This Row],[Invoice '#]],Invoices[Invoice '#],0))-IF(E102=Payments[[#Headers],[Amount Due]],0,SUMIF(INDIRECT("B4:B"&amp;ROW()-1),Payments[[#This Row],[Invoice '#]],Payments[Amount Paid]))),"")</f>
        <v/>
      </c>
      <c r="F103" s="41"/>
      <c r="G103" s="10"/>
      <c r="H103" s="38" t="str">
        <f ca="1">IFERROR(IF(Payments[[#This Row],[Amount Due]]="","",IF(Payments[[#This Row],[Amount Due]]=0,0,Payments[[#This Row],[Amount Due]]-Payments[[#This Row],[Amount Paid]])),"")</f>
        <v/>
      </c>
      <c r="I103" s="2"/>
    </row>
    <row r="104" spans="2:9" ht="14.1" customHeight="1" x14ac:dyDescent="0.2">
      <c r="B104" s="11"/>
      <c r="C104" s="14" t="str">
        <f>IFERROR(IF(Payments[[#This Row],[Invoice '#]]="","",INDEX(Invoices[Customer],MATCH(Payments[[#This Row],[Invoice '#]],Invoices[Invoice '#],0))),"")</f>
        <v/>
      </c>
      <c r="D104" s="15" t="str">
        <f>IFERROR(IF(Payments[[#This Row],[Invoice '#]]="","",INDEX(Invoices[Due Date],MATCH(Payments[[#This Row],[Invoice '#]],Invoices[Invoice '#],0))),"")</f>
        <v/>
      </c>
      <c r="E104" s="40" t="str">
        <f ca="1">IFERROR(IF(Payments[[#This Row],[Invoice '#]]="","",INDEX(Invoices[Amount due],MATCH(Payments[[#This Row],[Invoice '#]],Invoices[Invoice '#],0))-IF(E103=Payments[[#Headers],[Amount Due]],0,SUMIF(INDIRECT("B4:B"&amp;ROW()-1),Payments[[#This Row],[Invoice '#]],Payments[Amount Paid]))),"")</f>
        <v/>
      </c>
      <c r="F104" s="41"/>
      <c r="G104" s="10"/>
      <c r="H104" s="38" t="str">
        <f ca="1">IFERROR(IF(Payments[[#This Row],[Amount Due]]="","",IF(Payments[[#This Row],[Amount Due]]=0,0,Payments[[#This Row],[Amount Due]]-Payments[[#This Row],[Amount Paid]])),"")</f>
        <v/>
      </c>
      <c r="I104" s="2"/>
    </row>
    <row r="105" spans="2:9" ht="14.1" customHeight="1" x14ac:dyDescent="0.2">
      <c r="B105" s="11"/>
      <c r="C105" s="14" t="str">
        <f>IFERROR(IF(Payments[[#This Row],[Invoice '#]]="","",INDEX(Invoices[Customer],MATCH(Payments[[#This Row],[Invoice '#]],Invoices[Invoice '#],0))),"")</f>
        <v/>
      </c>
      <c r="D105" s="15" t="str">
        <f>IFERROR(IF(Payments[[#This Row],[Invoice '#]]="","",INDEX(Invoices[Due Date],MATCH(Payments[[#This Row],[Invoice '#]],Invoices[Invoice '#],0))),"")</f>
        <v/>
      </c>
      <c r="E105" s="40" t="str">
        <f ca="1">IFERROR(IF(Payments[[#This Row],[Invoice '#]]="","",INDEX(Invoices[Amount due],MATCH(Payments[[#This Row],[Invoice '#]],Invoices[Invoice '#],0))-IF(E104=Payments[[#Headers],[Amount Due]],0,SUMIF(INDIRECT("B4:B"&amp;ROW()-1),Payments[[#This Row],[Invoice '#]],Payments[Amount Paid]))),"")</f>
        <v/>
      </c>
      <c r="F105" s="41"/>
      <c r="G105" s="10"/>
      <c r="H105" s="38" t="str">
        <f ca="1">IFERROR(IF(Payments[[#This Row],[Amount Due]]="","",IF(Payments[[#This Row],[Amount Due]]=0,0,Payments[[#This Row],[Amount Due]]-Payments[[#This Row],[Amount Paid]])),"")</f>
        <v/>
      </c>
      <c r="I105" s="2"/>
    </row>
    <row r="106" spans="2:9" ht="14.1" customHeight="1" x14ac:dyDescent="0.2">
      <c r="B106" s="11"/>
      <c r="C106" s="14" t="str">
        <f>IFERROR(IF(Payments[[#This Row],[Invoice '#]]="","",INDEX(Invoices[Customer],MATCH(Payments[[#This Row],[Invoice '#]],Invoices[Invoice '#],0))),"")</f>
        <v/>
      </c>
      <c r="D106" s="15" t="str">
        <f>IFERROR(IF(Payments[[#This Row],[Invoice '#]]="","",INDEX(Invoices[Due Date],MATCH(Payments[[#This Row],[Invoice '#]],Invoices[Invoice '#],0))),"")</f>
        <v/>
      </c>
      <c r="E106" s="40" t="str">
        <f ca="1">IFERROR(IF(Payments[[#This Row],[Invoice '#]]="","",INDEX(Invoices[Amount due],MATCH(Payments[[#This Row],[Invoice '#]],Invoices[Invoice '#],0))-IF(E105=Payments[[#Headers],[Amount Due]],0,SUMIF(INDIRECT("B4:B"&amp;ROW()-1),Payments[[#This Row],[Invoice '#]],Payments[Amount Paid]))),"")</f>
        <v/>
      </c>
      <c r="F106" s="41"/>
      <c r="G106" s="10"/>
      <c r="H106" s="38" t="str">
        <f ca="1">IFERROR(IF(Payments[[#This Row],[Amount Due]]="","",IF(Payments[[#This Row],[Amount Due]]=0,0,Payments[[#This Row],[Amount Due]]-Payments[[#This Row],[Amount Paid]])),"")</f>
        <v/>
      </c>
      <c r="I106" s="2"/>
    </row>
    <row r="107" spans="2:9" ht="14.1" customHeight="1" x14ac:dyDescent="0.2">
      <c r="B107" s="11"/>
      <c r="C107" s="14" t="str">
        <f>IFERROR(IF(Payments[[#This Row],[Invoice '#]]="","",INDEX(Invoices[Customer],MATCH(Payments[[#This Row],[Invoice '#]],Invoices[Invoice '#],0))),"")</f>
        <v/>
      </c>
      <c r="D107" s="15" t="str">
        <f>IFERROR(IF(Payments[[#This Row],[Invoice '#]]="","",INDEX(Invoices[Due Date],MATCH(Payments[[#This Row],[Invoice '#]],Invoices[Invoice '#],0))),"")</f>
        <v/>
      </c>
      <c r="E107" s="40" t="str">
        <f ca="1">IFERROR(IF(Payments[[#This Row],[Invoice '#]]="","",INDEX(Invoices[Amount due],MATCH(Payments[[#This Row],[Invoice '#]],Invoices[Invoice '#],0))-IF(E106=Payments[[#Headers],[Amount Due]],0,SUMIF(INDIRECT("B4:B"&amp;ROW()-1),Payments[[#This Row],[Invoice '#]],Payments[Amount Paid]))),"")</f>
        <v/>
      </c>
      <c r="F107" s="41"/>
      <c r="G107" s="10"/>
      <c r="H107" s="38" t="str">
        <f ca="1">IFERROR(IF(Payments[[#This Row],[Amount Due]]="","",IF(Payments[[#This Row],[Amount Due]]=0,0,Payments[[#This Row],[Amount Due]]-Payments[[#This Row],[Amount Paid]])),"")</f>
        <v/>
      </c>
      <c r="I107" s="2"/>
    </row>
    <row r="108" spans="2:9" ht="14.1" customHeight="1" x14ac:dyDescent="0.2">
      <c r="B108" s="11"/>
      <c r="C108" s="14" t="str">
        <f>IFERROR(IF(Payments[[#This Row],[Invoice '#]]="","",INDEX(Invoices[Customer],MATCH(Payments[[#This Row],[Invoice '#]],Invoices[Invoice '#],0))),"")</f>
        <v/>
      </c>
      <c r="D108" s="15" t="str">
        <f>IFERROR(IF(Payments[[#This Row],[Invoice '#]]="","",INDEX(Invoices[Due Date],MATCH(Payments[[#This Row],[Invoice '#]],Invoices[Invoice '#],0))),"")</f>
        <v/>
      </c>
      <c r="E108" s="40" t="str">
        <f ca="1">IFERROR(IF(Payments[[#This Row],[Invoice '#]]="","",INDEX(Invoices[Amount due],MATCH(Payments[[#This Row],[Invoice '#]],Invoices[Invoice '#],0))-IF(E107=Payments[[#Headers],[Amount Due]],0,SUMIF(INDIRECT("B4:B"&amp;ROW()-1),Payments[[#This Row],[Invoice '#]],Payments[Amount Paid]))),"")</f>
        <v/>
      </c>
      <c r="F108" s="41"/>
      <c r="G108" s="10"/>
      <c r="H108" s="38" t="str">
        <f ca="1">IFERROR(IF(Payments[[#This Row],[Amount Due]]="","",IF(Payments[[#This Row],[Amount Due]]=0,0,Payments[[#This Row],[Amount Due]]-Payments[[#This Row],[Amount Paid]])),"")</f>
        <v/>
      </c>
      <c r="I108" s="2"/>
    </row>
    <row r="109" spans="2:9" ht="14.1" customHeight="1" x14ac:dyDescent="0.2">
      <c r="B109" s="11"/>
      <c r="C109" s="14" t="str">
        <f>IFERROR(IF(Payments[[#This Row],[Invoice '#]]="","",INDEX(Invoices[Customer],MATCH(Payments[[#This Row],[Invoice '#]],Invoices[Invoice '#],0))),"")</f>
        <v/>
      </c>
      <c r="D109" s="15" t="str">
        <f>IFERROR(IF(Payments[[#This Row],[Invoice '#]]="","",INDEX(Invoices[Due Date],MATCH(Payments[[#This Row],[Invoice '#]],Invoices[Invoice '#],0))),"")</f>
        <v/>
      </c>
      <c r="E109" s="40" t="str">
        <f ca="1">IFERROR(IF(Payments[[#This Row],[Invoice '#]]="","",INDEX(Invoices[Amount due],MATCH(Payments[[#This Row],[Invoice '#]],Invoices[Invoice '#],0))-IF(E108=Payments[[#Headers],[Amount Due]],0,SUMIF(INDIRECT("B4:B"&amp;ROW()-1),Payments[[#This Row],[Invoice '#]],Payments[Amount Paid]))),"")</f>
        <v/>
      </c>
      <c r="F109" s="41"/>
      <c r="G109" s="10"/>
      <c r="H109" s="38" t="str">
        <f ca="1">IFERROR(IF(Payments[[#This Row],[Amount Due]]="","",IF(Payments[[#This Row],[Amount Due]]=0,0,Payments[[#This Row],[Amount Due]]-Payments[[#This Row],[Amount Paid]])),"")</f>
        <v/>
      </c>
      <c r="I109" s="2"/>
    </row>
    <row r="110" spans="2:9" ht="14.1" customHeight="1" x14ac:dyDescent="0.2">
      <c r="B110" s="11"/>
      <c r="C110" s="14" t="str">
        <f>IFERROR(IF(Payments[[#This Row],[Invoice '#]]="","",INDEX(Invoices[Customer],MATCH(Payments[[#This Row],[Invoice '#]],Invoices[Invoice '#],0))),"")</f>
        <v/>
      </c>
      <c r="D110" s="15" t="str">
        <f>IFERROR(IF(Payments[[#This Row],[Invoice '#]]="","",INDEX(Invoices[Due Date],MATCH(Payments[[#This Row],[Invoice '#]],Invoices[Invoice '#],0))),"")</f>
        <v/>
      </c>
      <c r="E110" s="40" t="str">
        <f ca="1">IFERROR(IF(Payments[[#This Row],[Invoice '#]]="","",INDEX(Invoices[Amount due],MATCH(Payments[[#This Row],[Invoice '#]],Invoices[Invoice '#],0))-IF(E109=Payments[[#Headers],[Amount Due]],0,SUMIF(INDIRECT("B4:B"&amp;ROW()-1),Payments[[#This Row],[Invoice '#]],Payments[Amount Paid]))),"")</f>
        <v/>
      </c>
      <c r="F110" s="41"/>
      <c r="G110" s="10"/>
      <c r="H110" s="38" t="str">
        <f ca="1">IFERROR(IF(Payments[[#This Row],[Amount Due]]="","",IF(Payments[[#This Row],[Amount Due]]=0,0,Payments[[#This Row],[Amount Due]]-Payments[[#This Row],[Amount Paid]])),"")</f>
        <v/>
      </c>
      <c r="I110" s="2"/>
    </row>
    <row r="111" spans="2:9" ht="14.1" customHeight="1" x14ac:dyDescent="0.2">
      <c r="B111" s="11"/>
      <c r="C111" s="14" t="str">
        <f>IFERROR(IF(Payments[[#This Row],[Invoice '#]]="","",INDEX(Invoices[Customer],MATCH(Payments[[#This Row],[Invoice '#]],Invoices[Invoice '#],0))),"")</f>
        <v/>
      </c>
      <c r="D111" s="15" t="str">
        <f>IFERROR(IF(Payments[[#This Row],[Invoice '#]]="","",INDEX(Invoices[Due Date],MATCH(Payments[[#This Row],[Invoice '#]],Invoices[Invoice '#],0))),"")</f>
        <v/>
      </c>
      <c r="E111" s="40" t="str">
        <f ca="1">IFERROR(IF(Payments[[#This Row],[Invoice '#]]="","",INDEX(Invoices[Amount due],MATCH(Payments[[#This Row],[Invoice '#]],Invoices[Invoice '#],0))-IF(E110=Payments[[#Headers],[Amount Due]],0,SUMIF(INDIRECT("B4:B"&amp;ROW()-1),Payments[[#This Row],[Invoice '#]],Payments[Amount Paid]))),"")</f>
        <v/>
      </c>
      <c r="F111" s="41"/>
      <c r="G111" s="10"/>
      <c r="H111" s="38" t="str">
        <f ca="1">IFERROR(IF(Payments[[#This Row],[Amount Due]]="","",IF(Payments[[#This Row],[Amount Due]]=0,0,Payments[[#This Row],[Amount Due]]-Payments[[#This Row],[Amount Paid]])),"")</f>
        <v/>
      </c>
      <c r="I111" s="2"/>
    </row>
    <row r="112" spans="2:9" ht="14.1" customHeight="1" x14ac:dyDescent="0.2">
      <c r="B112" s="11"/>
      <c r="C112" s="14" t="str">
        <f>IFERROR(IF(Payments[[#This Row],[Invoice '#]]="","",INDEX(Invoices[Customer],MATCH(Payments[[#This Row],[Invoice '#]],Invoices[Invoice '#],0))),"")</f>
        <v/>
      </c>
      <c r="D112" s="15" t="str">
        <f>IFERROR(IF(Payments[[#This Row],[Invoice '#]]="","",INDEX(Invoices[Due Date],MATCH(Payments[[#This Row],[Invoice '#]],Invoices[Invoice '#],0))),"")</f>
        <v/>
      </c>
      <c r="E112" s="40" t="str">
        <f ca="1">IFERROR(IF(Payments[[#This Row],[Invoice '#]]="","",INDEX(Invoices[Amount due],MATCH(Payments[[#This Row],[Invoice '#]],Invoices[Invoice '#],0))-IF(E111=Payments[[#Headers],[Amount Due]],0,SUMIF(INDIRECT("B4:B"&amp;ROW()-1),Payments[[#This Row],[Invoice '#]],Payments[Amount Paid]))),"")</f>
        <v/>
      </c>
      <c r="F112" s="41"/>
      <c r="G112" s="10"/>
      <c r="H112" s="38" t="str">
        <f ca="1">IFERROR(IF(Payments[[#This Row],[Amount Due]]="","",IF(Payments[[#This Row],[Amount Due]]=0,0,Payments[[#This Row],[Amount Due]]-Payments[[#This Row],[Amount Paid]])),"")</f>
        <v/>
      </c>
      <c r="I112" s="2"/>
    </row>
    <row r="113" spans="2:9" ht="14.1" customHeight="1" x14ac:dyDescent="0.2">
      <c r="B113" s="11"/>
      <c r="C113" s="14" t="str">
        <f>IFERROR(IF(Payments[[#This Row],[Invoice '#]]="","",INDEX(Invoices[Customer],MATCH(Payments[[#This Row],[Invoice '#]],Invoices[Invoice '#],0))),"")</f>
        <v/>
      </c>
      <c r="D113" s="15" t="str">
        <f>IFERROR(IF(Payments[[#This Row],[Invoice '#]]="","",INDEX(Invoices[Due Date],MATCH(Payments[[#This Row],[Invoice '#]],Invoices[Invoice '#],0))),"")</f>
        <v/>
      </c>
      <c r="E113" s="40" t="str">
        <f ca="1">IFERROR(IF(Payments[[#This Row],[Invoice '#]]="","",INDEX(Invoices[Amount due],MATCH(Payments[[#This Row],[Invoice '#]],Invoices[Invoice '#],0))-IF(E112=Payments[[#Headers],[Amount Due]],0,SUMIF(INDIRECT("B4:B"&amp;ROW()-1),Payments[[#This Row],[Invoice '#]],Payments[Amount Paid]))),"")</f>
        <v/>
      </c>
      <c r="F113" s="41"/>
      <c r="G113" s="10"/>
      <c r="H113" s="38" t="str">
        <f ca="1">IFERROR(IF(Payments[[#This Row],[Amount Due]]="","",IF(Payments[[#This Row],[Amount Due]]=0,0,Payments[[#This Row],[Amount Due]]-Payments[[#This Row],[Amount Paid]])),"")</f>
        <v/>
      </c>
      <c r="I113" s="2"/>
    </row>
    <row r="114" spans="2:9" ht="14.1" customHeight="1" x14ac:dyDescent="0.2">
      <c r="B114" s="11"/>
      <c r="C114" s="14" t="str">
        <f>IFERROR(IF(Payments[[#This Row],[Invoice '#]]="","",INDEX(Invoices[Customer],MATCH(Payments[[#This Row],[Invoice '#]],Invoices[Invoice '#],0))),"")</f>
        <v/>
      </c>
      <c r="D114" s="15" t="str">
        <f>IFERROR(IF(Payments[[#This Row],[Invoice '#]]="","",INDEX(Invoices[Due Date],MATCH(Payments[[#This Row],[Invoice '#]],Invoices[Invoice '#],0))),"")</f>
        <v/>
      </c>
      <c r="E114" s="40" t="str">
        <f ca="1">IFERROR(IF(Payments[[#This Row],[Invoice '#]]="","",INDEX(Invoices[Amount due],MATCH(Payments[[#This Row],[Invoice '#]],Invoices[Invoice '#],0))-IF(E113=Payments[[#Headers],[Amount Due]],0,SUMIF(INDIRECT("B4:B"&amp;ROW()-1),Payments[[#This Row],[Invoice '#]],Payments[Amount Paid]))),"")</f>
        <v/>
      </c>
      <c r="F114" s="41"/>
      <c r="G114" s="10"/>
      <c r="H114" s="38" t="str">
        <f ca="1">IFERROR(IF(Payments[[#This Row],[Amount Due]]="","",IF(Payments[[#This Row],[Amount Due]]=0,0,Payments[[#This Row],[Amount Due]]-Payments[[#This Row],[Amount Paid]])),"")</f>
        <v/>
      </c>
      <c r="I114" s="2"/>
    </row>
    <row r="115" spans="2:9" ht="14.1" customHeight="1" x14ac:dyDescent="0.2">
      <c r="B115" s="11"/>
      <c r="C115" s="14" t="str">
        <f>IFERROR(IF(Payments[[#This Row],[Invoice '#]]="","",INDEX(Invoices[Customer],MATCH(Payments[[#This Row],[Invoice '#]],Invoices[Invoice '#],0))),"")</f>
        <v/>
      </c>
      <c r="D115" s="15" t="str">
        <f>IFERROR(IF(Payments[[#This Row],[Invoice '#]]="","",INDEX(Invoices[Due Date],MATCH(Payments[[#This Row],[Invoice '#]],Invoices[Invoice '#],0))),"")</f>
        <v/>
      </c>
      <c r="E115" s="40" t="str">
        <f ca="1">IFERROR(IF(Payments[[#This Row],[Invoice '#]]="","",INDEX(Invoices[Amount due],MATCH(Payments[[#This Row],[Invoice '#]],Invoices[Invoice '#],0))-IF(E114=Payments[[#Headers],[Amount Due]],0,SUMIF(INDIRECT("B4:B"&amp;ROW()-1),Payments[[#This Row],[Invoice '#]],Payments[Amount Paid]))),"")</f>
        <v/>
      </c>
      <c r="F115" s="41"/>
      <c r="G115" s="10"/>
      <c r="H115" s="38" t="str">
        <f ca="1">IFERROR(IF(Payments[[#This Row],[Amount Due]]="","",IF(Payments[[#This Row],[Amount Due]]=0,0,Payments[[#This Row],[Amount Due]]-Payments[[#This Row],[Amount Paid]])),"")</f>
        <v/>
      </c>
      <c r="I115" s="2"/>
    </row>
    <row r="116" spans="2:9" ht="14.1" customHeight="1" x14ac:dyDescent="0.2">
      <c r="B116" s="11"/>
      <c r="C116" s="14" t="str">
        <f>IFERROR(IF(Payments[[#This Row],[Invoice '#]]="","",INDEX(Invoices[Customer],MATCH(Payments[[#This Row],[Invoice '#]],Invoices[Invoice '#],0))),"")</f>
        <v/>
      </c>
      <c r="D116" s="15" t="str">
        <f>IFERROR(IF(Payments[[#This Row],[Invoice '#]]="","",INDEX(Invoices[Due Date],MATCH(Payments[[#This Row],[Invoice '#]],Invoices[Invoice '#],0))),"")</f>
        <v/>
      </c>
      <c r="E116" s="40" t="str">
        <f ca="1">IFERROR(IF(Payments[[#This Row],[Invoice '#]]="","",INDEX(Invoices[Amount due],MATCH(Payments[[#This Row],[Invoice '#]],Invoices[Invoice '#],0))-IF(E115=Payments[[#Headers],[Amount Due]],0,SUMIF(INDIRECT("B4:B"&amp;ROW()-1),Payments[[#This Row],[Invoice '#]],Payments[Amount Paid]))),"")</f>
        <v/>
      </c>
      <c r="F116" s="41"/>
      <c r="G116" s="10"/>
      <c r="H116" s="38" t="str">
        <f ca="1">IFERROR(IF(Payments[[#This Row],[Amount Due]]="","",IF(Payments[[#This Row],[Amount Due]]=0,0,Payments[[#This Row],[Amount Due]]-Payments[[#This Row],[Amount Paid]])),"")</f>
        <v/>
      </c>
      <c r="I116" s="2"/>
    </row>
    <row r="117" spans="2:9" ht="14.1" customHeight="1" x14ac:dyDescent="0.2">
      <c r="B117" s="11"/>
      <c r="C117" s="14" t="str">
        <f>IFERROR(IF(Payments[[#This Row],[Invoice '#]]="","",INDEX(Invoices[Customer],MATCH(Payments[[#This Row],[Invoice '#]],Invoices[Invoice '#],0))),"")</f>
        <v/>
      </c>
      <c r="D117" s="15" t="str">
        <f>IFERROR(IF(Payments[[#This Row],[Invoice '#]]="","",INDEX(Invoices[Due Date],MATCH(Payments[[#This Row],[Invoice '#]],Invoices[Invoice '#],0))),"")</f>
        <v/>
      </c>
      <c r="E117" s="40" t="str">
        <f ca="1">IFERROR(IF(Payments[[#This Row],[Invoice '#]]="","",INDEX(Invoices[Amount due],MATCH(Payments[[#This Row],[Invoice '#]],Invoices[Invoice '#],0))-IF(E116=Payments[[#Headers],[Amount Due]],0,SUMIF(INDIRECT("B4:B"&amp;ROW()-1),Payments[[#This Row],[Invoice '#]],Payments[Amount Paid]))),"")</f>
        <v/>
      </c>
      <c r="F117" s="41"/>
      <c r="G117" s="10"/>
      <c r="H117" s="38" t="str">
        <f ca="1">IFERROR(IF(Payments[[#This Row],[Amount Due]]="","",IF(Payments[[#This Row],[Amount Due]]=0,0,Payments[[#This Row],[Amount Due]]-Payments[[#This Row],[Amount Paid]])),"")</f>
        <v/>
      </c>
      <c r="I117" s="2"/>
    </row>
    <row r="118" spans="2:9" ht="14.1" customHeight="1" x14ac:dyDescent="0.2">
      <c r="B118" s="11"/>
      <c r="C118" s="14" t="str">
        <f>IFERROR(IF(Payments[[#This Row],[Invoice '#]]="","",INDEX(Invoices[Customer],MATCH(Payments[[#This Row],[Invoice '#]],Invoices[Invoice '#],0))),"")</f>
        <v/>
      </c>
      <c r="D118" s="15" t="str">
        <f>IFERROR(IF(Payments[[#This Row],[Invoice '#]]="","",INDEX(Invoices[Due Date],MATCH(Payments[[#This Row],[Invoice '#]],Invoices[Invoice '#],0))),"")</f>
        <v/>
      </c>
      <c r="E118" s="40" t="str">
        <f ca="1">IFERROR(IF(Payments[[#This Row],[Invoice '#]]="","",INDEX(Invoices[Amount due],MATCH(Payments[[#This Row],[Invoice '#]],Invoices[Invoice '#],0))-IF(E117=Payments[[#Headers],[Amount Due]],0,SUMIF(INDIRECT("B4:B"&amp;ROW()-1),Payments[[#This Row],[Invoice '#]],Payments[Amount Paid]))),"")</f>
        <v/>
      </c>
      <c r="F118" s="41"/>
      <c r="G118" s="10"/>
      <c r="H118" s="38" t="str">
        <f ca="1">IFERROR(IF(Payments[[#This Row],[Amount Due]]="","",IF(Payments[[#This Row],[Amount Due]]=0,0,Payments[[#This Row],[Amount Due]]-Payments[[#This Row],[Amount Paid]])),"")</f>
        <v/>
      </c>
      <c r="I118" s="2"/>
    </row>
    <row r="119" spans="2:9" ht="14.1" customHeight="1" x14ac:dyDescent="0.2">
      <c r="B119" s="11"/>
      <c r="C119" s="14" t="str">
        <f>IFERROR(IF(Payments[[#This Row],[Invoice '#]]="","",INDEX(Invoices[Customer],MATCH(Payments[[#This Row],[Invoice '#]],Invoices[Invoice '#],0))),"")</f>
        <v/>
      </c>
      <c r="D119" s="15" t="str">
        <f>IFERROR(IF(Payments[[#This Row],[Invoice '#]]="","",INDEX(Invoices[Due Date],MATCH(Payments[[#This Row],[Invoice '#]],Invoices[Invoice '#],0))),"")</f>
        <v/>
      </c>
      <c r="E119" s="40" t="str">
        <f ca="1">IFERROR(IF(Payments[[#This Row],[Invoice '#]]="","",INDEX(Invoices[Amount due],MATCH(Payments[[#This Row],[Invoice '#]],Invoices[Invoice '#],0))-IF(E118=Payments[[#Headers],[Amount Due]],0,SUMIF(INDIRECT("B4:B"&amp;ROW()-1),Payments[[#This Row],[Invoice '#]],Payments[Amount Paid]))),"")</f>
        <v/>
      </c>
      <c r="F119" s="41"/>
      <c r="G119" s="10"/>
      <c r="H119" s="38" t="str">
        <f ca="1">IFERROR(IF(Payments[[#This Row],[Amount Due]]="","",IF(Payments[[#This Row],[Amount Due]]=0,0,Payments[[#This Row],[Amount Due]]-Payments[[#This Row],[Amount Paid]])),"")</f>
        <v/>
      </c>
      <c r="I119" s="2"/>
    </row>
    <row r="120" spans="2:9" ht="14.1" customHeight="1" x14ac:dyDescent="0.2">
      <c r="B120" s="11"/>
      <c r="C120" s="14" t="str">
        <f>IFERROR(IF(Payments[[#This Row],[Invoice '#]]="","",INDEX(Invoices[Customer],MATCH(Payments[[#This Row],[Invoice '#]],Invoices[Invoice '#],0))),"")</f>
        <v/>
      </c>
      <c r="D120" s="15" t="str">
        <f>IFERROR(IF(Payments[[#This Row],[Invoice '#]]="","",INDEX(Invoices[Due Date],MATCH(Payments[[#This Row],[Invoice '#]],Invoices[Invoice '#],0))),"")</f>
        <v/>
      </c>
      <c r="E120" s="40" t="str">
        <f ca="1">IFERROR(IF(Payments[[#This Row],[Invoice '#]]="","",INDEX(Invoices[Amount due],MATCH(Payments[[#This Row],[Invoice '#]],Invoices[Invoice '#],0))-IF(E119=Payments[[#Headers],[Amount Due]],0,SUMIF(INDIRECT("B4:B"&amp;ROW()-1),Payments[[#This Row],[Invoice '#]],Payments[Amount Paid]))),"")</f>
        <v/>
      </c>
      <c r="F120" s="41"/>
      <c r="G120" s="10"/>
      <c r="H120" s="38" t="str">
        <f ca="1">IFERROR(IF(Payments[[#This Row],[Amount Due]]="","",IF(Payments[[#This Row],[Amount Due]]=0,0,Payments[[#This Row],[Amount Due]]-Payments[[#This Row],[Amount Paid]])),"")</f>
        <v/>
      </c>
      <c r="I120" s="2"/>
    </row>
    <row r="121" spans="2:9" ht="14.1" customHeight="1" x14ac:dyDescent="0.2">
      <c r="B121" s="11"/>
      <c r="C121" s="14" t="str">
        <f>IFERROR(IF(Payments[[#This Row],[Invoice '#]]="","",INDEX(Invoices[Customer],MATCH(Payments[[#This Row],[Invoice '#]],Invoices[Invoice '#],0))),"")</f>
        <v/>
      </c>
      <c r="D121" s="15" t="str">
        <f>IFERROR(IF(Payments[[#This Row],[Invoice '#]]="","",INDEX(Invoices[Due Date],MATCH(Payments[[#This Row],[Invoice '#]],Invoices[Invoice '#],0))),"")</f>
        <v/>
      </c>
      <c r="E121" s="40" t="str">
        <f ca="1">IFERROR(IF(Payments[[#This Row],[Invoice '#]]="","",INDEX(Invoices[Amount due],MATCH(Payments[[#This Row],[Invoice '#]],Invoices[Invoice '#],0))-IF(E120=Payments[[#Headers],[Amount Due]],0,SUMIF(INDIRECT("B4:B"&amp;ROW()-1),Payments[[#This Row],[Invoice '#]],Payments[Amount Paid]))),"")</f>
        <v/>
      </c>
      <c r="F121" s="41"/>
      <c r="G121" s="10"/>
      <c r="H121" s="38" t="str">
        <f ca="1">IFERROR(IF(Payments[[#This Row],[Amount Due]]="","",IF(Payments[[#This Row],[Amount Due]]=0,0,Payments[[#This Row],[Amount Due]]-Payments[[#This Row],[Amount Paid]])),"")</f>
        <v/>
      </c>
      <c r="I121" s="2"/>
    </row>
    <row r="122" spans="2:9" ht="14.1" customHeight="1" x14ac:dyDescent="0.2">
      <c r="B122" s="11"/>
      <c r="C122" s="14" t="str">
        <f>IFERROR(IF(Payments[[#This Row],[Invoice '#]]="","",INDEX(Invoices[Customer],MATCH(Payments[[#This Row],[Invoice '#]],Invoices[Invoice '#],0))),"")</f>
        <v/>
      </c>
      <c r="D122" s="15" t="str">
        <f>IFERROR(IF(Payments[[#This Row],[Invoice '#]]="","",INDEX(Invoices[Due Date],MATCH(Payments[[#This Row],[Invoice '#]],Invoices[Invoice '#],0))),"")</f>
        <v/>
      </c>
      <c r="E122" s="40" t="str">
        <f ca="1">IFERROR(IF(Payments[[#This Row],[Invoice '#]]="","",INDEX(Invoices[Amount due],MATCH(Payments[[#This Row],[Invoice '#]],Invoices[Invoice '#],0))-IF(E121=Payments[[#Headers],[Amount Due]],0,SUMIF(INDIRECT("B4:B"&amp;ROW()-1),Payments[[#This Row],[Invoice '#]],Payments[Amount Paid]))),"")</f>
        <v/>
      </c>
      <c r="F122" s="41"/>
      <c r="G122" s="10"/>
      <c r="H122" s="38" t="str">
        <f ca="1">IFERROR(IF(Payments[[#This Row],[Amount Due]]="","",IF(Payments[[#This Row],[Amount Due]]=0,0,Payments[[#This Row],[Amount Due]]-Payments[[#This Row],[Amount Paid]])),"")</f>
        <v/>
      </c>
      <c r="I122" s="2"/>
    </row>
    <row r="123" spans="2:9" ht="14.1" customHeight="1" x14ac:dyDescent="0.2">
      <c r="B123" s="11"/>
      <c r="C123" s="14" t="str">
        <f>IFERROR(IF(Payments[[#This Row],[Invoice '#]]="","",INDEX(Invoices[Customer],MATCH(Payments[[#This Row],[Invoice '#]],Invoices[Invoice '#],0))),"")</f>
        <v/>
      </c>
      <c r="D123" s="15" t="str">
        <f>IFERROR(IF(Payments[[#This Row],[Invoice '#]]="","",INDEX(Invoices[Due Date],MATCH(Payments[[#This Row],[Invoice '#]],Invoices[Invoice '#],0))),"")</f>
        <v/>
      </c>
      <c r="E123" s="40" t="str">
        <f ca="1">IFERROR(IF(Payments[[#This Row],[Invoice '#]]="","",INDEX(Invoices[Amount due],MATCH(Payments[[#This Row],[Invoice '#]],Invoices[Invoice '#],0))-IF(E122=Payments[[#Headers],[Amount Due]],0,SUMIF(INDIRECT("B4:B"&amp;ROW()-1),Payments[[#This Row],[Invoice '#]],Payments[Amount Paid]))),"")</f>
        <v/>
      </c>
      <c r="F123" s="41"/>
      <c r="G123" s="10"/>
      <c r="H123" s="38" t="str">
        <f ca="1">IFERROR(IF(Payments[[#This Row],[Amount Due]]="","",IF(Payments[[#This Row],[Amount Due]]=0,0,Payments[[#This Row],[Amount Due]]-Payments[[#This Row],[Amount Paid]])),"")</f>
        <v/>
      </c>
      <c r="I123" s="2"/>
    </row>
    <row r="124" spans="2:9" ht="14.1" customHeight="1" x14ac:dyDescent="0.2">
      <c r="B124" s="11"/>
      <c r="C124" s="14" t="str">
        <f>IFERROR(IF(Payments[[#This Row],[Invoice '#]]="","",INDEX(Invoices[Customer],MATCH(Payments[[#This Row],[Invoice '#]],Invoices[Invoice '#],0))),"")</f>
        <v/>
      </c>
      <c r="D124" s="15" t="str">
        <f>IFERROR(IF(Payments[[#This Row],[Invoice '#]]="","",INDEX(Invoices[Due Date],MATCH(Payments[[#This Row],[Invoice '#]],Invoices[Invoice '#],0))),"")</f>
        <v/>
      </c>
      <c r="E124" s="40" t="str">
        <f ca="1">IFERROR(IF(Payments[[#This Row],[Invoice '#]]="","",INDEX(Invoices[Amount due],MATCH(Payments[[#This Row],[Invoice '#]],Invoices[Invoice '#],0))-IF(E123=Payments[[#Headers],[Amount Due]],0,SUMIF(INDIRECT("B4:B"&amp;ROW()-1),Payments[[#This Row],[Invoice '#]],Payments[Amount Paid]))),"")</f>
        <v/>
      </c>
      <c r="F124" s="41"/>
      <c r="G124" s="10"/>
      <c r="H124" s="38" t="str">
        <f ca="1">IFERROR(IF(Payments[[#This Row],[Amount Due]]="","",IF(Payments[[#This Row],[Amount Due]]=0,0,Payments[[#This Row],[Amount Due]]-Payments[[#This Row],[Amount Paid]])),"")</f>
        <v/>
      </c>
      <c r="I124" s="2"/>
    </row>
    <row r="125" spans="2:9" ht="14.1" customHeight="1" x14ac:dyDescent="0.2">
      <c r="B125" s="11"/>
      <c r="C125" s="14" t="str">
        <f>IFERROR(IF(Payments[[#This Row],[Invoice '#]]="","",INDEX(Invoices[Customer],MATCH(Payments[[#This Row],[Invoice '#]],Invoices[Invoice '#],0))),"")</f>
        <v/>
      </c>
      <c r="D125" s="15" t="str">
        <f>IFERROR(IF(Payments[[#This Row],[Invoice '#]]="","",INDEX(Invoices[Due Date],MATCH(Payments[[#This Row],[Invoice '#]],Invoices[Invoice '#],0))),"")</f>
        <v/>
      </c>
      <c r="E125" s="40" t="str">
        <f ca="1">IFERROR(IF(Payments[[#This Row],[Invoice '#]]="","",INDEX(Invoices[Amount due],MATCH(Payments[[#This Row],[Invoice '#]],Invoices[Invoice '#],0))-IF(E124=Payments[[#Headers],[Amount Due]],0,SUMIF(INDIRECT("B4:B"&amp;ROW()-1),Payments[[#This Row],[Invoice '#]],Payments[Amount Paid]))),"")</f>
        <v/>
      </c>
      <c r="F125" s="41"/>
      <c r="G125" s="10"/>
      <c r="H125" s="38" t="str">
        <f ca="1">IFERROR(IF(Payments[[#This Row],[Amount Due]]="","",IF(Payments[[#This Row],[Amount Due]]=0,0,Payments[[#This Row],[Amount Due]]-Payments[[#This Row],[Amount Paid]])),"")</f>
        <v/>
      </c>
      <c r="I125" s="2"/>
    </row>
    <row r="126" spans="2:9" ht="14.1" customHeight="1" x14ac:dyDescent="0.2">
      <c r="B126" s="11"/>
      <c r="C126" s="14" t="str">
        <f>IFERROR(IF(Payments[[#This Row],[Invoice '#]]="","",INDEX(Invoices[Customer],MATCH(Payments[[#This Row],[Invoice '#]],Invoices[Invoice '#],0))),"")</f>
        <v/>
      </c>
      <c r="D126" s="15" t="str">
        <f>IFERROR(IF(Payments[[#This Row],[Invoice '#]]="","",INDEX(Invoices[Due Date],MATCH(Payments[[#This Row],[Invoice '#]],Invoices[Invoice '#],0))),"")</f>
        <v/>
      </c>
      <c r="E126" s="40" t="str">
        <f ca="1">IFERROR(IF(Payments[[#This Row],[Invoice '#]]="","",INDEX(Invoices[Amount due],MATCH(Payments[[#This Row],[Invoice '#]],Invoices[Invoice '#],0))-IF(E125=Payments[[#Headers],[Amount Due]],0,SUMIF(INDIRECT("B4:B"&amp;ROW()-1),Payments[[#This Row],[Invoice '#]],Payments[Amount Paid]))),"")</f>
        <v/>
      </c>
      <c r="F126" s="41"/>
      <c r="G126" s="10"/>
      <c r="H126" s="38" t="str">
        <f ca="1">IFERROR(IF(Payments[[#This Row],[Amount Due]]="","",IF(Payments[[#This Row],[Amount Due]]=0,0,Payments[[#This Row],[Amount Due]]-Payments[[#This Row],[Amount Paid]])),"")</f>
        <v/>
      </c>
      <c r="I126" s="2"/>
    </row>
    <row r="127" spans="2:9" ht="14.1" customHeight="1" x14ac:dyDescent="0.2">
      <c r="B127" s="11"/>
      <c r="C127" s="14" t="str">
        <f>IFERROR(IF(Payments[[#This Row],[Invoice '#]]="","",INDEX(Invoices[Customer],MATCH(Payments[[#This Row],[Invoice '#]],Invoices[Invoice '#],0))),"")</f>
        <v/>
      </c>
      <c r="D127" s="15" t="str">
        <f>IFERROR(IF(Payments[[#This Row],[Invoice '#]]="","",INDEX(Invoices[Due Date],MATCH(Payments[[#This Row],[Invoice '#]],Invoices[Invoice '#],0))),"")</f>
        <v/>
      </c>
      <c r="E127" s="40" t="str">
        <f ca="1">IFERROR(IF(Payments[[#This Row],[Invoice '#]]="","",INDEX(Invoices[Amount due],MATCH(Payments[[#This Row],[Invoice '#]],Invoices[Invoice '#],0))-IF(E126=Payments[[#Headers],[Amount Due]],0,SUMIF(INDIRECT("B4:B"&amp;ROW()-1),Payments[[#This Row],[Invoice '#]],Payments[Amount Paid]))),"")</f>
        <v/>
      </c>
      <c r="F127" s="41"/>
      <c r="G127" s="10"/>
      <c r="H127" s="38" t="str">
        <f ca="1">IFERROR(IF(Payments[[#This Row],[Amount Due]]="","",IF(Payments[[#This Row],[Amount Due]]=0,0,Payments[[#This Row],[Amount Due]]-Payments[[#This Row],[Amount Paid]])),"")</f>
        <v/>
      </c>
      <c r="I127" s="2"/>
    </row>
    <row r="128" spans="2:9" ht="14.1" customHeight="1" x14ac:dyDescent="0.2">
      <c r="B128" s="11"/>
      <c r="C128" s="14" t="str">
        <f>IFERROR(IF(Payments[[#This Row],[Invoice '#]]="","",INDEX(Invoices[Customer],MATCH(Payments[[#This Row],[Invoice '#]],Invoices[Invoice '#],0))),"")</f>
        <v/>
      </c>
      <c r="D128" s="15" t="str">
        <f>IFERROR(IF(Payments[[#This Row],[Invoice '#]]="","",INDEX(Invoices[Due Date],MATCH(Payments[[#This Row],[Invoice '#]],Invoices[Invoice '#],0))),"")</f>
        <v/>
      </c>
      <c r="E128" s="40" t="str">
        <f ca="1">IFERROR(IF(Payments[[#This Row],[Invoice '#]]="","",INDEX(Invoices[Amount due],MATCH(Payments[[#This Row],[Invoice '#]],Invoices[Invoice '#],0))-IF(E127=Payments[[#Headers],[Amount Due]],0,SUMIF(INDIRECT("B4:B"&amp;ROW()-1),Payments[[#This Row],[Invoice '#]],Payments[Amount Paid]))),"")</f>
        <v/>
      </c>
      <c r="F128" s="41"/>
      <c r="G128" s="10"/>
      <c r="H128" s="38" t="str">
        <f ca="1">IFERROR(IF(Payments[[#This Row],[Amount Due]]="","",IF(Payments[[#This Row],[Amount Due]]=0,0,Payments[[#This Row],[Amount Due]]-Payments[[#This Row],[Amount Paid]])),"")</f>
        <v/>
      </c>
      <c r="I128" s="2"/>
    </row>
    <row r="129" spans="2:9" ht="14.1" customHeight="1" x14ac:dyDescent="0.2">
      <c r="B129" s="11"/>
      <c r="C129" s="14" t="str">
        <f>IFERROR(IF(Payments[[#This Row],[Invoice '#]]="","",INDEX(Invoices[Customer],MATCH(Payments[[#This Row],[Invoice '#]],Invoices[Invoice '#],0))),"")</f>
        <v/>
      </c>
      <c r="D129" s="15" t="str">
        <f>IFERROR(IF(Payments[[#This Row],[Invoice '#]]="","",INDEX(Invoices[Due Date],MATCH(Payments[[#This Row],[Invoice '#]],Invoices[Invoice '#],0))),"")</f>
        <v/>
      </c>
      <c r="E129" s="40" t="str">
        <f ca="1">IFERROR(IF(Payments[[#This Row],[Invoice '#]]="","",INDEX(Invoices[Amount due],MATCH(Payments[[#This Row],[Invoice '#]],Invoices[Invoice '#],0))-IF(E128=Payments[[#Headers],[Amount Due]],0,SUMIF(INDIRECT("B4:B"&amp;ROW()-1),Payments[[#This Row],[Invoice '#]],Payments[Amount Paid]))),"")</f>
        <v/>
      </c>
      <c r="F129" s="41"/>
      <c r="G129" s="10"/>
      <c r="H129" s="38" t="str">
        <f ca="1">IFERROR(IF(Payments[[#This Row],[Amount Due]]="","",IF(Payments[[#This Row],[Amount Due]]=0,0,Payments[[#This Row],[Amount Due]]-Payments[[#This Row],[Amount Paid]])),"")</f>
        <v/>
      </c>
      <c r="I129" s="2"/>
    </row>
    <row r="130" spans="2:9" ht="14.1" customHeight="1" x14ac:dyDescent="0.2">
      <c r="B130" s="11"/>
      <c r="C130" s="14" t="str">
        <f>IFERROR(IF(Payments[[#This Row],[Invoice '#]]="","",INDEX(Invoices[Customer],MATCH(Payments[[#This Row],[Invoice '#]],Invoices[Invoice '#],0))),"")</f>
        <v/>
      </c>
      <c r="D130" s="15" t="str">
        <f>IFERROR(IF(Payments[[#This Row],[Invoice '#]]="","",INDEX(Invoices[Due Date],MATCH(Payments[[#This Row],[Invoice '#]],Invoices[Invoice '#],0))),"")</f>
        <v/>
      </c>
      <c r="E130" s="40" t="str">
        <f ca="1">IFERROR(IF(Payments[[#This Row],[Invoice '#]]="","",INDEX(Invoices[Amount due],MATCH(Payments[[#This Row],[Invoice '#]],Invoices[Invoice '#],0))-IF(E129=Payments[[#Headers],[Amount Due]],0,SUMIF(INDIRECT("B4:B"&amp;ROW()-1),Payments[[#This Row],[Invoice '#]],Payments[Amount Paid]))),"")</f>
        <v/>
      </c>
      <c r="F130" s="41"/>
      <c r="G130" s="10"/>
      <c r="H130" s="38" t="str">
        <f ca="1">IFERROR(IF(Payments[[#This Row],[Amount Due]]="","",IF(Payments[[#This Row],[Amount Due]]=0,0,Payments[[#This Row],[Amount Due]]-Payments[[#This Row],[Amount Paid]])),"")</f>
        <v/>
      </c>
      <c r="I130" s="2"/>
    </row>
    <row r="131" spans="2:9" ht="14.1" customHeight="1" x14ac:dyDescent="0.2">
      <c r="B131" s="11"/>
      <c r="C131" s="14" t="str">
        <f>IFERROR(IF(Payments[[#This Row],[Invoice '#]]="","",INDEX(Invoices[Customer],MATCH(Payments[[#This Row],[Invoice '#]],Invoices[Invoice '#],0))),"")</f>
        <v/>
      </c>
      <c r="D131" s="15" t="str">
        <f>IFERROR(IF(Payments[[#This Row],[Invoice '#]]="","",INDEX(Invoices[Due Date],MATCH(Payments[[#This Row],[Invoice '#]],Invoices[Invoice '#],0))),"")</f>
        <v/>
      </c>
      <c r="E131" s="40" t="str">
        <f ca="1">IFERROR(IF(Payments[[#This Row],[Invoice '#]]="","",INDEX(Invoices[Amount due],MATCH(Payments[[#This Row],[Invoice '#]],Invoices[Invoice '#],0))-IF(E130=Payments[[#Headers],[Amount Due]],0,SUMIF(INDIRECT("B4:B"&amp;ROW()-1),Payments[[#This Row],[Invoice '#]],Payments[Amount Paid]))),"")</f>
        <v/>
      </c>
      <c r="F131" s="41"/>
      <c r="G131" s="10"/>
      <c r="H131" s="38" t="str">
        <f ca="1">IFERROR(IF(Payments[[#This Row],[Amount Due]]="","",IF(Payments[[#This Row],[Amount Due]]=0,0,Payments[[#This Row],[Amount Due]]-Payments[[#This Row],[Amount Paid]])),"")</f>
        <v/>
      </c>
      <c r="I131" s="2"/>
    </row>
    <row r="132" spans="2:9" ht="14.1" customHeight="1" x14ac:dyDescent="0.2">
      <c r="B132" s="11"/>
      <c r="C132" s="14" t="str">
        <f>IFERROR(IF(Payments[[#This Row],[Invoice '#]]="","",INDEX(Invoices[Customer],MATCH(Payments[[#This Row],[Invoice '#]],Invoices[Invoice '#],0))),"")</f>
        <v/>
      </c>
      <c r="D132" s="15" t="str">
        <f>IFERROR(IF(Payments[[#This Row],[Invoice '#]]="","",INDEX(Invoices[Due Date],MATCH(Payments[[#This Row],[Invoice '#]],Invoices[Invoice '#],0))),"")</f>
        <v/>
      </c>
      <c r="E132" s="40" t="str">
        <f ca="1">IFERROR(IF(Payments[[#This Row],[Invoice '#]]="","",INDEX(Invoices[Amount due],MATCH(Payments[[#This Row],[Invoice '#]],Invoices[Invoice '#],0))-IF(E131=Payments[[#Headers],[Amount Due]],0,SUMIF(INDIRECT("B4:B"&amp;ROW()-1),Payments[[#This Row],[Invoice '#]],Payments[Amount Paid]))),"")</f>
        <v/>
      </c>
      <c r="F132" s="41"/>
      <c r="G132" s="10"/>
      <c r="H132" s="38" t="str">
        <f ca="1">IFERROR(IF(Payments[[#This Row],[Amount Due]]="","",IF(Payments[[#This Row],[Amount Due]]=0,0,Payments[[#This Row],[Amount Due]]-Payments[[#This Row],[Amount Paid]])),"")</f>
        <v/>
      </c>
      <c r="I132" s="2"/>
    </row>
    <row r="133" spans="2:9" ht="14.1" customHeight="1" x14ac:dyDescent="0.2">
      <c r="B133" s="11"/>
      <c r="C133" s="14" t="str">
        <f>IFERROR(IF(Payments[[#This Row],[Invoice '#]]="","",INDEX(Invoices[Customer],MATCH(Payments[[#This Row],[Invoice '#]],Invoices[Invoice '#],0))),"")</f>
        <v/>
      </c>
      <c r="D133" s="15" t="str">
        <f>IFERROR(IF(Payments[[#This Row],[Invoice '#]]="","",INDEX(Invoices[Due Date],MATCH(Payments[[#This Row],[Invoice '#]],Invoices[Invoice '#],0))),"")</f>
        <v/>
      </c>
      <c r="E133" s="40" t="str">
        <f ca="1">IFERROR(IF(Payments[[#This Row],[Invoice '#]]="","",INDEX(Invoices[Amount due],MATCH(Payments[[#This Row],[Invoice '#]],Invoices[Invoice '#],0))-IF(E132=Payments[[#Headers],[Amount Due]],0,SUMIF(INDIRECT("B4:B"&amp;ROW()-1),Payments[[#This Row],[Invoice '#]],Payments[Amount Paid]))),"")</f>
        <v/>
      </c>
      <c r="F133" s="41"/>
      <c r="G133" s="10"/>
      <c r="H133" s="38" t="str">
        <f ca="1">IFERROR(IF(Payments[[#This Row],[Amount Due]]="","",IF(Payments[[#This Row],[Amount Due]]=0,0,Payments[[#This Row],[Amount Due]]-Payments[[#This Row],[Amount Paid]])),"")</f>
        <v/>
      </c>
      <c r="I133" s="2"/>
    </row>
    <row r="134" spans="2:9" ht="14.1" customHeight="1" x14ac:dyDescent="0.2">
      <c r="B134" s="11"/>
      <c r="C134" s="14" t="str">
        <f>IFERROR(IF(Payments[[#This Row],[Invoice '#]]="","",INDEX(Invoices[Customer],MATCH(Payments[[#This Row],[Invoice '#]],Invoices[Invoice '#],0))),"")</f>
        <v/>
      </c>
      <c r="D134" s="15" t="str">
        <f>IFERROR(IF(Payments[[#This Row],[Invoice '#]]="","",INDEX(Invoices[Due Date],MATCH(Payments[[#This Row],[Invoice '#]],Invoices[Invoice '#],0))),"")</f>
        <v/>
      </c>
      <c r="E134" s="40" t="str">
        <f ca="1">IFERROR(IF(Payments[[#This Row],[Invoice '#]]="","",INDEX(Invoices[Amount due],MATCH(Payments[[#This Row],[Invoice '#]],Invoices[Invoice '#],0))-IF(E133=Payments[[#Headers],[Amount Due]],0,SUMIF(INDIRECT("B4:B"&amp;ROW()-1),Payments[[#This Row],[Invoice '#]],Payments[Amount Paid]))),"")</f>
        <v/>
      </c>
      <c r="F134" s="41"/>
      <c r="G134" s="10"/>
      <c r="H134" s="38" t="str">
        <f ca="1">IFERROR(IF(Payments[[#This Row],[Amount Due]]="","",IF(Payments[[#This Row],[Amount Due]]=0,0,Payments[[#This Row],[Amount Due]]-Payments[[#This Row],[Amount Paid]])),"")</f>
        <v/>
      </c>
      <c r="I134" s="2"/>
    </row>
    <row r="135" spans="2:9" ht="14.1" customHeight="1" x14ac:dyDescent="0.2">
      <c r="B135" s="11"/>
      <c r="C135" s="14" t="str">
        <f>IFERROR(IF(Payments[[#This Row],[Invoice '#]]="","",INDEX(Invoices[Customer],MATCH(Payments[[#This Row],[Invoice '#]],Invoices[Invoice '#],0))),"")</f>
        <v/>
      </c>
      <c r="D135" s="15" t="str">
        <f>IFERROR(IF(Payments[[#This Row],[Invoice '#]]="","",INDEX(Invoices[Due Date],MATCH(Payments[[#This Row],[Invoice '#]],Invoices[Invoice '#],0))),"")</f>
        <v/>
      </c>
      <c r="E135" s="40" t="str">
        <f ca="1">IFERROR(IF(Payments[[#This Row],[Invoice '#]]="","",INDEX(Invoices[Amount due],MATCH(Payments[[#This Row],[Invoice '#]],Invoices[Invoice '#],0))-IF(E134=Payments[[#Headers],[Amount Due]],0,SUMIF(INDIRECT("B4:B"&amp;ROW()-1),Payments[[#This Row],[Invoice '#]],Payments[Amount Paid]))),"")</f>
        <v/>
      </c>
      <c r="F135" s="41"/>
      <c r="G135" s="10"/>
      <c r="H135" s="38" t="str">
        <f ca="1">IFERROR(IF(Payments[[#This Row],[Amount Due]]="","",IF(Payments[[#This Row],[Amount Due]]=0,0,Payments[[#This Row],[Amount Due]]-Payments[[#This Row],[Amount Paid]])),"")</f>
        <v/>
      </c>
      <c r="I135" s="2"/>
    </row>
    <row r="136" spans="2:9" ht="14.1" customHeight="1" x14ac:dyDescent="0.2">
      <c r="B136" s="11"/>
      <c r="C136" s="14" t="str">
        <f>IFERROR(IF(Payments[[#This Row],[Invoice '#]]="","",INDEX(Invoices[Customer],MATCH(Payments[[#This Row],[Invoice '#]],Invoices[Invoice '#],0))),"")</f>
        <v/>
      </c>
      <c r="D136" s="15" t="str">
        <f>IFERROR(IF(Payments[[#This Row],[Invoice '#]]="","",INDEX(Invoices[Due Date],MATCH(Payments[[#This Row],[Invoice '#]],Invoices[Invoice '#],0))),"")</f>
        <v/>
      </c>
      <c r="E136" s="40" t="str">
        <f ca="1">IFERROR(IF(Payments[[#This Row],[Invoice '#]]="","",INDEX(Invoices[Amount due],MATCH(Payments[[#This Row],[Invoice '#]],Invoices[Invoice '#],0))-IF(E135=Payments[[#Headers],[Amount Due]],0,SUMIF(INDIRECT("B4:B"&amp;ROW()-1),Payments[[#This Row],[Invoice '#]],Payments[Amount Paid]))),"")</f>
        <v/>
      </c>
      <c r="F136" s="41"/>
      <c r="G136" s="10"/>
      <c r="H136" s="38" t="str">
        <f ca="1">IFERROR(IF(Payments[[#This Row],[Amount Due]]="","",IF(Payments[[#This Row],[Amount Due]]=0,0,Payments[[#This Row],[Amount Due]]-Payments[[#This Row],[Amount Paid]])),"")</f>
        <v/>
      </c>
      <c r="I136" s="2"/>
    </row>
    <row r="137" spans="2:9" ht="14.1" customHeight="1" x14ac:dyDescent="0.2">
      <c r="B137" s="11"/>
      <c r="C137" s="14" t="str">
        <f>IFERROR(IF(Payments[[#This Row],[Invoice '#]]="","",INDEX(Invoices[Customer],MATCH(Payments[[#This Row],[Invoice '#]],Invoices[Invoice '#],0))),"")</f>
        <v/>
      </c>
      <c r="D137" s="15" t="str">
        <f>IFERROR(IF(Payments[[#This Row],[Invoice '#]]="","",INDEX(Invoices[Due Date],MATCH(Payments[[#This Row],[Invoice '#]],Invoices[Invoice '#],0))),"")</f>
        <v/>
      </c>
      <c r="E137" s="40" t="str">
        <f ca="1">IFERROR(IF(Payments[[#This Row],[Invoice '#]]="","",INDEX(Invoices[Amount due],MATCH(Payments[[#This Row],[Invoice '#]],Invoices[Invoice '#],0))-IF(E136=Payments[[#Headers],[Amount Due]],0,SUMIF(INDIRECT("B4:B"&amp;ROW()-1),Payments[[#This Row],[Invoice '#]],Payments[Amount Paid]))),"")</f>
        <v/>
      </c>
      <c r="F137" s="41"/>
      <c r="G137" s="10"/>
      <c r="H137" s="38" t="str">
        <f ca="1">IFERROR(IF(Payments[[#This Row],[Amount Due]]="","",IF(Payments[[#This Row],[Amount Due]]=0,0,Payments[[#This Row],[Amount Due]]-Payments[[#This Row],[Amount Paid]])),"")</f>
        <v/>
      </c>
      <c r="I137" s="2"/>
    </row>
    <row r="138" spans="2:9" ht="14.1" customHeight="1" x14ac:dyDescent="0.2">
      <c r="B138" s="11"/>
      <c r="C138" s="14" t="str">
        <f>IFERROR(IF(Payments[[#This Row],[Invoice '#]]="","",INDEX(Invoices[Customer],MATCH(Payments[[#This Row],[Invoice '#]],Invoices[Invoice '#],0))),"")</f>
        <v/>
      </c>
      <c r="D138" s="15" t="str">
        <f>IFERROR(IF(Payments[[#This Row],[Invoice '#]]="","",INDEX(Invoices[Due Date],MATCH(Payments[[#This Row],[Invoice '#]],Invoices[Invoice '#],0))),"")</f>
        <v/>
      </c>
      <c r="E138" s="40" t="str">
        <f ca="1">IFERROR(IF(Payments[[#This Row],[Invoice '#]]="","",INDEX(Invoices[Amount due],MATCH(Payments[[#This Row],[Invoice '#]],Invoices[Invoice '#],0))-IF(E137=Payments[[#Headers],[Amount Due]],0,SUMIF(INDIRECT("B4:B"&amp;ROW()-1),Payments[[#This Row],[Invoice '#]],Payments[Amount Paid]))),"")</f>
        <v/>
      </c>
      <c r="F138" s="41"/>
      <c r="G138" s="10"/>
      <c r="H138" s="38" t="str">
        <f ca="1">IFERROR(IF(Payments[[#This Row],[Amount Due]]="","",IF(Payments[[#This Row],[Amount Due]]=0,0,Payments[[#This Row],[Amount Due]]-Payments[[#This Row],[Amount Paid]])),"")</f>
        <v/>
      </c>
      <c r="I138" s="2"/>
    </row>
    <row r="139" spans="2:9" ht="14.1" customHeight="1" x14ac:dyDescent="0.2">
      <c r="B139" s="11"/>
      <c r="C139" s="14" t="str">
        <f>IFERROR(IF(Payments[[#This Row],[Invoice '#]]="","",INDEX(Invoices[Customer],MATCH(Payments[[#This Row],[Invoice '#]],Invoices[Invoice '#],0))),"")</f>
        <v/>
      </c>
      <c r="D139" s="15" t="str">
        <f>IFERROR(IF(Payments[[#This Row],[Invoice '#]]="","",INDEX(Invoices[Due Date],MATCH(Payments[[#This Row],[Invoice '#]],Invoices[Invoice '#],0))),"")</f>
        <v/>
      </c>
      <c r="E139" s="40" t="str">
        <f ca="1">IFERROR(IF(Payments[[#This Row],[Invoice '#]]="","",INDEX(Invoices[Amount due],MATCH(Payments[[#This Row],[Invoice '#]],Invoices[Invoice '#],0))-IF(E138=Payments[[#Headers],[Amount Due]],0,SUMIF(INDIRECT("B4:B"&amp;ROW()-1),Payments[[#This Row],[Invoice '#]],Payments[Amount Paid]))),"")</f>
        <v/>
      </c>
      <c r="F139" s="41"/>
      <c r="G139" s="10"/>
      <c r="H139" s="38" t="str">
        <f ca="1">IFERROR(IF(Payments[[#This Row],[Amount Due]]="","",IF(Payments[[#This Row],[Amount Due]]=0,0,Payments[[#This Row],[Amount Due]]-Payments[[#This Row],[Amount Paid]])),"")</f>
        <v/>
      </c>
      <c r="I139" s="2"/>
    </row>
    <row r="140" spans="2:9" ht="14.1" customHeight="1" x14ac:dyDescent="0.2">
      <c r="B140" s="11"/>
      <c r="C140" s="14" t="str">
        <f>IFERROR(IF(Payments[[#This Row],[Invoice '#]]="","",INDEX(Invoices[Customer],MATCH(Payments[[#This Row],[Invoice '#]],Invoices[Invoice '#],0))),"")</f>
        <v/>
      </c>
      <c r="D140" s="15" t="str">
        <f>IFERROR(IF(Payments[[#This Row],[Invoice '#]]="","",INDEX(Invoices[Due Date],MATCH(Payments[[#This Row],[Invoice '#]],Invoices[Invoice '#],0))),"")</f>
        <v/>
      </c>
      <c r="E140" s="40" t="str">
        <f ca="1">IFERROR(IF(Payments[[#This Row],[Invoice '#]]="","",INDEX(Invoices[Amount due],MATCH(Payments[[#This Row],[Invoice '#]],Invoices[Invoice '#],0))-IF(E139=Payments[[#Headers],[Amount Due]],0,SUMIF(INDIRECT("B4:B"&amp;ROW()-1),Payments[[#This Row],[Invoice '#]],Payments[Amount Paid]))),"")</f>
        <v/>
      </c>
      <c r="F140" s="41"/>
      <c r="G140" s="10"/>
      <c r="H140" s="38" t="str">
        <f ca="1">IFERROR(IF(Payments[[#This Row],[Amount Due]]="","",IF(Payments[[#This Row],[Amount Due]]=0,0,Payments[[#This Row],[Amount Due]]-Payments[[#This Row],[Amount Paid]])),"")</f>
        <v/>
      </c>
      <c r="I140" s="2"/>
    </row>
    <row r="141" spans="2:9" ht="14.1" customHeight="1" x14ac:dyDescent="0.2">
      <c r="B141" s="11"/>
      <c r="C141" s="14" t="str">
        <f>IFERROR(IF(Payments[[#This Row],[Invoice '#]]="","",INDEX(Invoices[Customer],MATCH(Payments[[#This Row],[Invoice '#]],Invoices[Invoice '#],0))),"")</f>
        <v/>
      </c>
      <c r="D141" s="15" t="str">
        <f>IFERROR(IF(Payments[[#This Row],[Invoice '#]]="","",INDEX(Invoices[Due Date],MATCH(Payments[[#This Row],[Invoice '#]],Invoices[Invoice '#],0))),"")</f>
        <v/>
      </c>
      <c r="E141" s="40" t="str">
        <f ca="1">IFERROR(IF(Payments[[#This Row],[Invoice '#]]="","",INDEX(Invoices[Amount due],MATCH(Payments[[#This Row],[Invoice '#]],Invoices[Invoice '#],0))-IF(E140=Payments[[#Headers],[Amount Due]],0,SUMIF(INDIRECT("B4:B"&amp;ROW()-1),Payments[[#This Row],[Invoice '#]],Payments[Amount Paid]))),"")</f>
        <v/>
      </c>
      <c r="F141" s="41"/>
      <c r="G141" s="10"/>
      <c r="H141" s="38" t="str">
        <f ca="1">IFERROR(IF(Payments[[#This Row],[Amount Due]]="","",IF(Payments[[#This Row],[Amount Due]]=0,0,Payments[[#This Row],[Amount Due]]-Payments[[#This Row],[Amount Paid]])),"")</f>
        <v/>
      </c>
      <c r="I141" s="2"/>
    </row>
    <row r="142" spans="2:9" ht="14.1" customHeight="1" x14ac:dyDescent="0.2">
      <c r="B142" s="11"/>
      <c r="C142" s="14" t="str">
        <f>IFERROR(IF(Payments[[#This Row],[Invoice '#]]="","",INDEX(Invoices[Customer],MATCH(Payments[[#This Row],[Invoice '#]],Invoices[Invoice '#],0))),"")</f>
        <v/>
      </c>
      <c r="D142" s="15" t="str">
        <f>IFERROR(IF(Payments[[#This Row],[Invoice '#]]="","",INDEX(Invoices[Due Date],MATCH(Payments[[#This Row],[Invoice '#]],Invoices[Invoice '#],0))),"")</f>
        <v/>
      </c>
      <c r="E142" s="40" t="str">
        <f ca="1">IFERROR(IF(Payments[[#This Row],[Invoice '#]]="","",INDEX(Invoices[Amount due],MATCH(Payments[[#This Row],[Invoice '#]],Invoices[Invoice '#],0))-IF(E141=Payments[[#Headers],[Amount Due]],0,SUMIF(INDIRECT("B4:B"&amp;ROW()-1),Payments[[#This Row],[Invoice '#]],Payments[Amount Paid]))),"")</f>
        <v/>
      </c>
      <c r="F142" s="41"/>
      <c r="G142" s="10"/>
      <c r="H142" s="38" t="str">
        <f ca="1">IFERROR(IF(Payments[[#This Row],[Amount Due]]="","",IF(Payments[[#This Row],[Amount Due]]=0,0,Payments[[#This Row],[Amount Due]]-Payments[[#This Row],[Amount Paid]])),"")</f>
        <v/>
      </c>
      <c r="I142" s="2"/>
    </row>
    <row r="143" spans="2:9" ht="14.1" customHeight="1" x14ac:dyDescent="0.2">
      <c r="B143" s="11"/>
      <c r="C143" s="14" t="str">
        <f>IFERROR(IF(Payments[[#This Row],[Invoice '#]]="","",INDEX(Invoices[Customer],MATCH(Payments[[#This Row],[Invoice '#]],Invoices[Invoice '#],0))),"")</f>
        <v/>
      </c>
      <c r="D143" s="15" t="str">
        <f>IFERROR(IF(Payments[[#This Row],[Invoice '#]]="","",INDEX(Invoices[Due Date],MATCH(Payments[[#This Row],[Invoice '#]],Invoices[Invoice '#],0))),"")</f>
        <v/>
      </c>
      <c r="E143" s="40" t="str">
        <f ca="1">IFERROR(IF(Payments[[#This Row],[Invoice '#]]="","",INDEX(Invoices[Amount due],MATCH(Payments[[#This Row],[Invoice '#]],Invoices[Invoice '#],0))-IF(E142=Payments[[#Headers],[Amount Due]],0,SUMIF(INDIRECT("B4:B"&amp;ROW()-1),Payments[[#This Row],[Invoice '#]],Payments[Amount Paid]))),"")</f>
        <v/>
      </c>
      <c r="F143" s="41"/>
      <c r="G143" s="10"/>
      <c r="H143" s="38" t="str">
        <f ca="1">IFERROR(IF(Payments[[#This Row],[Amount Due]]="","",IF(Payments[[#This Row],[Amount Due]]=0,0,Payments[[#This Row],[Amount Due]]-Payments[[#This Row],[Amount Paid]])),"")</f>
        <v/>
      </c>
      <c r="I143" s="2"/>
    </row>
    <row r="144" spans="2:9" ht="14.1" customHeight="1" x14ac:dyDescent="0.2">
      <c r="B144" s="11"/>
      <c r="C144" s="14" t="str">
        <f>IFERROR(IF(Payments[[#This Row],[Invoice '#]]="","",INDEX(Invoices[Customer],MATCH(Payments[[#This Row],[Invoice '#]],Invoices[Invoice '#],0))),"")</f>
        <v/>
      </c>
      <c r="D144" s="15" t="str">
        <f>IFERROR(IF(Payments[[#This Row],[Invoice '#]]="","",INDEX(Invoices[Due Date],MATCH(Payments[[#This Row],[Invoice '#]],Invoices[Invoice '#],0))),"")</f>
        <v/>
      </c>
      <c r="E144" s="40" t="str">
        <f ca="1">IFERROR(IF(Payments[[#This Row],[Invoice '#]]="","",INDEX(Invoices[Amount due],MATCH(Payments[[#This Row],[Invoice '#]],Invoices[Invoice '#],0))-IF(E143=Payments[[#Headers],[Amount Due]],0,SUMIF(INDIRECT("B4:B"&amp;ROW()-1),Payments[[#This Row],[Invoice '#]],Payments[Amount Paid]))),"")</f>
        <v/>
      </c>
      <c r="F144" s="41"/>
      <c r="G144" s="10"/>
      <c r="H144" s="38" t="str">
        <f ca="1">IFERROR(IF(Payments[[#This Row],[Amount Due]]="","",IF(Payments[[#This Row],[Amount Due]]=0,0,Payments[[#This Row],[Amount Due]]-Payments[[#This Row],[Amount Paid]])),"")</f>
        <v/>
      </c>
      <c r="I144" s="2"/>
    </row>
    <row r="145" spans="2:9" ht="14.1" customHeight="1" x14ac:dyDescent="0.2">
      <c r="B145" s="11"/>
      <c r="C145" s="14" t="str">
        <f>IFERROR(IF(Payments[[#This Row],[Invoice '#]]="","",INDEX(Invoices[Customer],MATCH(Payments[[#This Row],[Invoice '#]],Invoices[Invoice '#],0))),"")</f>
        <v/>
      </c>
      <c r="D145" s="15" t="str">
        <f>IFERROR(IF(Payments[[#This Row],[Invoice '#]]="","",INDEX(Invoices[Due Date],MATCH(Payments[[#This Row],[Invoice '#]],Invoices[Invoice '#],0))),"")</f>
        <v/>
      </c>
      <c r="E145" s="40" t="str">
        <f ca="1">IFERROR(IF(Payments[[#This Row],[Invoice '#]]="","",INDEX(Invoices[Amount due],MATCH(Payments[[#This Row],[Invoice '#]],Invoices[Invoice '#],0))-IF(E144=Payments[[#Headers],[Amount Due]],0,SUMIF(INDIRECT("B4:B"&amp;ROW()-1),Payments[[#This Row],[Invoice '#]],Payments[Amount Paid]))),"")</f>
        <v/>
      </c>
      <c r="F145" s="41"/>
      <c r="G145" s="10"/>
      <c r="H145" s="38" t="str">
        <f ca="1">IFERROR(IF(Payments[[#This Row],[Amount Due]]="","",IF(Payments[[#This Row],[Amount Due]]=0,0,Payments[[#This Row],[Amount Due]]-Payments[[#This Row],[Amount Paid]])),"")</f>
        <v/>
      </c>
      <c r="I145" s="2"/>
    </row>
    <row r="146" spans="2:9" ht="14.1" customHeight="1" x14ac:dyDescent="0.2">
      <c r="B146" s="11"/>
      <c r="C146" s="14" t="str">
        <f>IFERROR(IF(Payments[[#This Row],[Invoice '#]]="","",INDEX(Invoices[Customer],MATCH(Payments[[#This Row],[Invoice '#]],Invoices[Invoice '#],0))),"")</f>
        <v/>
      </c>
      <c r="D146" s="15" t="str">
        <f>IFERROR(IF(Payments[[#This Row],[Invoice '#]]="","",INDEX(Invoices[Due Date],MATCH(Payments[[#This Row],[Invoice '#]],Invoices[Invoice '#],0))),"")</f>
        <v/>
      </c>
      <c r="E146" s="40" t="str">
        <f ca="1">IFERROR(IF(Payments[[#This Row],[Invoice '#]]="","",INDEX(Invoices[Amount due],MATCH(Payments[[#This Row],[Invoice '#]],Invoices[Invoice '#],0))-IF(E145=Payments[[#Headers],[Amount Due]],0,SUMIF(INDIRECT("B4:B"&amp;ROW()-1),Payments[[#This Row],[Invoice '#]],Payments[Amount Paid]))),"")</f>
        <v/>
      </c>
      <c r="F146" s="41"/>
      <c r="G146" s="10"/>
      <c r="H146" s="38" t="str">
        <f ca="1">IFERROR(IF(Payments[[#This Row],[Amount Due]]="","",IF(Payments[[#This Row],[Amount Due]]=0,0,Payments[[#This Row],[Amount Due]]-Payments[[#This Row],[Amount Paid]])),"")</f>
        <v/>
      </c>
      <c r="I146" s="2"/>
    </row>
    <row r="147" spans="2:9" ht="14.1" customHeight="1" x14ac:dyDescent="0.2">
      <c r="B147" s="11"/>
      <c r="C147" s="14" t="str">
        <f>IFERROR(IF(Payments[[#This Row],[Invoice '#]]="","",INDEX(Invoices[Customer],MATCH(Payments[[#This Row],[Invoice '#]],Invoices[Invoice '#],0))),"")</f>
        <v/>
      </c>
      <c r="D147" s="15" t="str">
        <f>IFERROR(IF(Payments[[#This Row],[Invoice '#]]="","",INDEX(Invoices[Due Date],MATCH(Payments[[#This Row],[Invoice '#]],Invoices[Invoice '#],0))),"")</f>
        <v/>
      </c>
      <c r="E147" s="40" t="str">
        <f ca="1">IFERROR(IF(Payments[[#This Row],[Invoice '#]]="","",INDEX(Invoices[Amount due],MATCH(Payments[[#This Row],[Invoice '#]],Invoices[Invoice '#],0))-IF(E146=Payments[[#Headers],[Amount Due]],0,SUMIF(INDIRECT("B4:B"&amp;ROW()-1),Payments[[#This Row],[Invoice '#]],Payments[Amount Paid]))),"")</f>
        <v/>
      </c>
      <c r="F147" s="41"/>
      <c r="G147" s="10"/>
      <c r="H147" s="38" t="str">
        <f ca="1">IFERROR(IF(Payments[[#This Row],[Amount Due]]="","",IF(Payments[[#This Row],[Amount Due]]=0,0,Payments[[#This Row],[Amount Due]]-Payments[[#This Row],[Amount Paid]])),"")</f>
        <v/>
      </c>
      <c r="I147" s="2"/>
    </row>
    <row r="148" spans="2:9" ht="14.1" customHeight="1" x14ac:dyDescent="0.2">
      <c r="B148" s="11"/>
      <c r="C148" s="14" t="str">
        <f>IFERROR(IF(Payments[[#This Row],[Invoice '#]]="","",INDEX(Invoices[Customer],MATCH(Payments[[#This Row],[Invoice '#]],Invoices[Invoice '#],0))),"")</f>
        <v/>
      </c>
      <c r="D148" s="15" t="str">
        <f>IFERROR(IF(Payments[[#This Row],[Invoice '#]]="","",INDEX(Invoices[Due Date],MATCH(Payments[[#This Row],[Invoice '#]],Invoices[Invoice '#],0))),"")</f>
        <v/>
      </c>
      <c r="E148" s="40" t="str">
        <f ca="1">IFERROR(IF(Payments[[#This Row],[Invoice '#]]="","",INDEX(Invoices[Amount due],MATCH(Payments[[#This Row],[Invoice '#]],Invoices[Invoice '#],0))-IF(E147=Payments[[#Headers],[Amount Due]],0,SUMIF(INDIRECT("B4:B"&amp;ROW()-1),Payments[[#This Row],[Invoice '#]],Payments[Amount Paid]))),"")</f>
        <v/>
      </c>
      <c r="F148" s="41"/>
      <c r="G148" s="10"/>
      <c r="H148" s="38" t="str">
        <f ca="1">IFERROR(IF(Payments[[#This Row],[Amount Due]]="","",IF(Payments[[#This Row],[Amount Due]]=0,0,Payments[[#This Row],[Amount Due]]-Payments[[#This Row],[Amount Paid]])),"")</f>
        <v/>
      </c>
      <c r="I148" s="2"/>
    </row>
    <row r="149" spans="2:9" ht="14.1" customHeight="1" x14ac:dyDescent="0.2">
      <c r="B149" s="11"/>
      <c r="C149" s="14" t="str">
        <f>IFERROR(IF(Payments[[#This Row],[Invoice '#]]="","",INDEX(Invoices[Customer],MATCH(Payments[[#This Row],[Invoice '#]],Invoices[Invoice '#],0))),"")</f>
        <v/>
      </c>
      <c r="D149" s="15" t="str">
        <f>IFERROR(IF(Payments[[#This Row],[Invoice '#]]="","",INDEX(Invoices[Due Date],MATCH(Payments[[#This Row],[Invoice '#]],Invoices[Invoice '#],0))),"")</f>
        <v/>
      </c>
      <c r="E149" s="40" t="str">
        <f ca="1">IFERROR(IF(Payments[[#This Row],[Invoice '#]]="","",INDEX(Invoices[Amount due],MATCH(Payments[[#This Row],[Invoice '#]],Invoices[Invoice '#],0))-IF(E148=Payments[[#Headers],[Amount Due]],0,SUMIF(INDIRECT("B4:B"&amp;ROW()-1),Payments[[#This Row],[Invoice '#]],Payments[Amount Paid]))),"")</f>
        <v/>
      </c>
      <c r="F149" s="41"/>
      <c r="G149" s="10"/>
      <c r="H149" s="38" t="str">
        <f ca="1">IFERROR(IF(Payments[[#This Row],[Amount Due]]="","",IF(Payments[[#This Row],[Amount Due]]=0,0,Payments[[#This Row],[Amount Due]]-Payments[[#This Row],[Amount Paid]])),"")</f>
        <v/>
      </c>
      <c r="I149" s="2"/>
    </row>
    <row r="150" spans="2:9" ht="14.1" customHeight="1" x14ac:dyDescent="0.2">
      <c r="B150" s="11"/>
      <c r="C150" s="14" t="str">
        <f>IFERROR(IF(Payments[[#This Row],[Invoice '#]]="","",INDEX(Invoices[Customer],MATCH(Payments[[#This Row],[Invoice '#]],Invoices[Invoice '#],0))),"")</f>
        <v/>
      </c>
      <c r="D150" s="15" t="str">
        <f>IFERROR(IF(Payments[[#This Row],[Invoice '#]]="","",INDEX(Invoices[Due Date],MATCH(Payments[[#This Row],[Invoice '#]],Invoices[Invoice '#],0))),"")</f>
        <v/>
      </c>
      <c r="E150" s="40" t="str">
        <f ca="1">IFERROR(IF(Payments[[#This Row],[Invoice '#]]="","",INDEX(Invoices[Amount due],MATCH(Payments[[#This Row],[Invoice '#]],Invoices[Invoice '#],0))-IF(E149=Payments[[#Headers],[Amount Due]],0,SUMIF(INDIRECT("B4:B"&amp;ROW()-1),Payments[[#This Row],[Invoice '#]],Payments[Amount Paid]))),"")</f>
        <v/>
      </c>
      <c r="F150" s="41"/>
      <c r="G150" s="10"/>
      <c r="H150" s="38" t="str">
        <f ca="1">IFERROR(IF(Payments[[#This Row],[Amount Due]]="","",IF(Payments[[#This Row],[Amount Due]]=0,0,Payments[[#This Row],[Amount Due]]-Payments[[#This Row],[Amount Paid]])),"")</f>
        <v/>
      </c>
      <c r="I150" s="2"/>
    </row>
    <row r="151" spans="2:9" ht="14.1" customHeight="1" x14ac:dyDescent="0.2">
      <c r="B151" s="11"/>
      <c r="C151" s="14" t="str">
        <f>IFERROR(IF(Payments[[#This Row],[Invoice '#]]="","",INDEX(Invoices[Customer],MATCH(Payments[[#This Row],[Invoice '#]],Invoices[Invoice '#],0))),"")</f>
        <v/>
      </c>
      <c r="D151" s="15" t="str">
        <f>IFERROR(IF(Payments[[#This Row],[Invoice '#]]="","",INDEX(Invoices[Due Date],MATCH(Payments[[#This Row],[Invoice '#]],Invoices[Invoice '#],0))),"")</f>
        <v/>
      </c>
      <c r="E151" s="40" t="str">
        <f ca="1">IFERROR(IF(Payments[[#This Row],[Invoice '#]]="","",INDEX(Invoices[Amount due],MATCH(Payments[[#This Row],[Invoice '#]],Invoices[Invoice '#],0))-IF(E150=Payments[[#Headers],[Amount Due]],0,SUMIF(INDIRECT("B4:B"&amp;ROW()-1),Payments[[#This Row],[Invoice '#]],Payments[Amount Paid]))),"")</f>
        <v/>
      </c>
      <c r="F151" s="41"/>
      <c r="G151" s="10"/>
      <c r="H151" s="38" t="str">
        <f ca="1">IFERROR(IF(Payments[[#This Row],[Amount Due]]="","",IF(Payments[[#This Row],[Amount Due]]=0,0,Payments[[#This Row],[Amount Due]]-Payments[[#This Row],[Amount Paid]])),"")</f>
        <v/>
      </c>
      <c r="I151" s="2"/>
    </row>
    <row r="152" spans="2:9" ht="14.1" customHeight="1" x14ac:dyDescent="0.2">
      <c r="B152" s="11"/>
      <c r="C152" s="14" t="str">
        <f>IFERROR(IF(Payments[[#This Row],[Invoice '#]]="","",INDEX(Invoices[Customer],MATCH(Payments[[#This Row],[Invoice '#]],Invoices[Invoice '#],0))),"")</f>
        <v/>
      </c>
      <c r="D152" s="15" t="str">
        <f>IFERROR(IF(Payments[[#This Row],[Invoice '#]]="","",INDEX(Invoices[Due Date],MATCH(Payments[[#This Row],[Invoice '#]],Invoices[Invoice '#],0))),"")</f>
        <v/>
      </c>
      <c r="E152" s="40" t="str">
        <f ca="1">IFERROR(IF(Payments[[#This Row],[Invoice '#]]="","",INDEX(Invoices[Amount due],MATCH(Payments[[#This Row],[Invoice '#]],Invoices[Invoice '#],0))-IF(E151=Payments[[#Headers],[Amount Due]],0,SUMIF(INDIRECT("B4:B"&amp;ROW()-1),Payments[[#This Row],[Invoice '#]],Payments[Amount Paid]))),"")</f>
        <v/>
      </c>
      <c r="F152" s="41"/>
      <c r="G152" s="10"/>
      <c r="H152" s="38" t="str">
        <f ca="1">IFERROR(IF(Payments[[#This Row],[Amount Due]]="","",IF(Payments[[#This Row],[Amount Due]]=0,0,Payments[[#This Row],[Amount Due]]-Payments[[#This Row],[Amount Paid]])),"")</f>
        <v/>
      </c>
      <c r="I152" s="2"/>
    </row>
    <row r="153" spans="2:9" ht="14.1" customHeight="1" x14ac:dyDescent="0.2">
      <c r="B153" s="11"/>
      <c r="C153" s="14" t="str">
        <f>IFERROR(IF(Payments[[#This Row],[Invoice '#]]="","",INDEX(Invoices[Customer],MATCH(Payments[[#This Row],[Invoice '#]],Invoices[Invoice '#],0))),"")</f>
        <v/>
      </c>
      <c r="D153" s="15" t="str">
        <f>IFERROR(IF(Payments[[#This Row],[Invoice '#]]="","",INDEX(Invoices[Due Date],MATCH(Payments[[#This Row],[Invoice '#]],Invoices[Invoice '#],0))),"")</f>
        <v/>
      </c>
      <c r="E153" s="40" t="str">
        <f ca="1">IFERROR(IF(Payments[[#This Row],[Invoice '#]]="","",INDEX(Invoices[Amount due],MATCH(Payments[[#This Row],[Invoice '#]],Invoices[Invoice '#],0))-IF(E152=Payments[[#Headers],[Amount Due]],0,SUMIF(INDIRECT("B4:B"&amp;ROW()-1),Payments[[#This Row],[Invoice '#]],Payments[Amount Paid]))),"")</f>
        <v/>
      </c>
      <c r="F153" s="41"/>
      <c r="G153" s="10"/>
      <c r="H153" s="38" t="str">
        <f ca="1">IFERROR(IF(Payments[[#This Row],[Amount Due]]="","",IF(Payments[[#This Row],[Amount Due]]=0,0,Payments[[#This Row],[Amount Due]]-Payments[[#This Row],[Amount Paid]])),"")</f>
        <v/>
      </c>
      <c r="I153" s="2"/>
    </row>
    <row r="154" spans="2:9" ht="14.1" customHeight="1" x14ac:dyDescent="0.2">
      <c r="B154" s="11"/>
      <c r="C154" s="14" t="str">
        <f>IFERROR(IF(Payments[[#This Row],[Invoice '#]]="","",INDEX(Invoices[Customer],MATCH(Payments[[#This Row],[Invoice '#]],Invoices[Invoice '#],0))),"")</f>
        <v/>
      </c>
      <c r="D154" s="15" t="str">
        <f>IFERROR(IF(Payments[[#This Row],[Invoice '#]]="","",INDEX(Invoices[Due Date],MATCH(Payments[[#This Row],[Invoice '#]],Invoices[Invoice '#],0))),"")</f>
        <v/>
      </c>
      <c r="E154" s="40" t="str">
        <f ca="1">IFERROR(IF(Payments[[#This Row],[Invoice '#]]="","",INDEX(Invoices[Amount due],MATCH(Payments[[#This Row],[Invoice '#]],Invoices[Invoice '#],0))-IF(E153=Payments[[#Headers],[Amount Due]],0,SUMIF(INDIRECT("B4:B"&amp;ROW()-1),Payments[[#This Row],[Invoice '#]],Payments[Amount Paid]))),"")</f>
        <v/>
      </c>
      <c r="F154" s="41"/>
      <c r="G154" s="10"/>
      <c r="H154" s="38" t="str">
        <f ca="1">IFERROR(IF(Payments[[#This Row],[Amount Due]]="","",IF(Payments[[#This Row],[Amount Due]]=0,0,Payments[[#This Row],[Amount Due]]-Payments[[#This Row],[Amount Paid]])),"")</f>
        <v/>
      </c>
      <c r="I154" s="2"/>
    </row>
    <row r="155" spans="2:9" ht="14.1" customHeight="1" x14ac:dyDescent="0.2">
      <c r="B155" s="11"/>
      <c r="C155" s="14" t="str">
        <f>IFERROR(IF(Payments[[#This Row],[Invoice '#]]="","",INDEX(Invoices[Customer],MATCH(Payments[[#This Row],[Invoice '#]],Invoices[Invoice '#],0))),"")</f>
        <v/>
      </c>
      <c r="D155" s="15" t="str">
        <f>IFERROR(IF(Payments[[#This Row],[Invoice '#]]="","",INDEX(Invoices[Due Date],MATCH(Payments[[#This Row],[Invoice '#]],Invoices[Invoice '#],0))),"")</f>
        <v/>
      </c>
      <c r="E155" s="40" t="str">
        <f ca="1">IFERROR(IF(Payments[[#This Row],[Invoice '#]]="","",INDEX(Invoices[Amount due],MATCH(Payments[[#This Row],[Invoice '#]],Invoices[Invoice '#],0))-IF(E154=Payments[[#Headers],[Amount Due]],0,SUMIF(INDIRECT("B4:B"&amp;ROW()-1),Payments[[#This Row],[Invoice '#]],Payments[Amount Paid]))),"")</f>
        <v/>
      </c>
      <c r="F155" s="41"/>
      <c r="G155" s="10"/>
      <c r="H155" s="38" t="str">
        <f ca="1">IFERROR(IF(Payments[[#This Row],[Amount Due]]="","",IF(Payments[[#This Row],[Amount Due]]=0,0,Payments[[#This Row],[Amount Due]]-Payments[[#This Row],[Amount Paid]])),"")</f>
        <v/>
      </c>
      <c r="I155" s="2"/>
    </row>
    <row r="156" spans="2:9" ht="14.1" customHeight="1" x14ac:dyDescent="0.2">
      <c r="B156" s="11"/>
      <c r="C156" s="14" t="str">
        <f>IFERROR(IF(Payments[[#This Row],[Invoice '#]]="","",INDEX(Invoices[Customer],MATCH(Payments[[#This Row],[Invoice '#]],Invoices[Invoice '#],0))),"")</f>
        <v/>
      </c>
      <c r="D156" s="15" t="str">
        <f>IFERROR(IF(Payments[[#This Row],[Invoice '#]]="","",INDEX(Invoices[Due Date],MATCH(Payments[[#This Row],[Invoice '#]],Invoices[Invoice '#],0))),"")</f>
        <v/>
      </c>
      <c r="E156" s="40" t="str">
        <f ca="1">IFERROR(IF(Payments[[#This Row],[Invoice '#]]="","",INDEX(Invoices[Amount due],MATCH(Payments[[#This Row],[Invoice '#]],Invoices[Invoice '#],0))-IF(E155=Payments[[#Headers],[Amount Due]],0,SUMIF(INDIRECT("B4:B"&amp;ROW()-1),Payments[[#This Row],[Invoice '#]],Payments[Amount Paid]))),"")</f>
        <v/>
      </c>
      <c r="F156" s="41"/>
      <c r="G156" s="10"/>
      <c r="H156" s="38" t="str">
        <f ca="1">IFERROR(IF(Payments[[#This Row],[Amount Due]]="","",IF(Payments[[#This Row],[Amount Due]]=0,0,Payments[[#This Row],[Amount Due]]-Payments[[#This Row],[Amount Paid]])),"")</f>
        <v/>
      </c>
      <c r="I156" s="2"/>
    </row>
    <row r="157" spans="2:9" ht="14.1" customHeight="1" x14ac:dyDescent="0.2">
      <c r="B157" s="11"/>
      <c r="C157" s="14" t="str">
        <f>IFERROR(IF(Payments[[#This Row],[Invoice '#]]="","",INDEX(Invoices[Customer],MATCH(Payments[[#This Row],[Invoice '#]],Invoices[Invoice '#],0))),"")</f>
        <v/>
      </c>
      <c r="D157" s="15" t="str">
        <f>IFERROR(IF(Payments[[#This Row],[Invoice '#]]="","",INDEX(Invoices[Due Date],MATCH(Payments[[#This Row],[Invoice '#]],Invoices[Invoice '#],0))),"")</f>
        <v/>
      </c>
      <c r="E157" s="40" t="str">
        <f ca="1">IFERROR(IF(Payments[[#This Row],[Invoice '#]]="","",INDEX(Invoices[Amount due],MATCH(Payments[[#This Row],[Invoice '#]],Invoices[Invoice '#],0))-IF(E156=Payments[[#Headers],[Amount Due]],0,SUMIF(INDIRECT("B4:B"&amp;ROW()-1),Payments[[#This Row],[Invoice '#]],Payments[Amount Paid]))),"")</f>
        <v/>
      </c>
      <c r="F157" s="41"/>
      <c r="G157" s="10"/>
      <c r="H157" s="38" t="str">
        <f ca="1">IFERROR(IF(Payments[[#This Row],[Amount Due]]="","",IF(Payments[[#This Row],[Amount Due]]=0,0,Payments[[#This Row],[Amount Due]]-Payments[[#This Row],[Amount Paid]])),"")</f>
        <v/>
      </c>
      <c r="I157" s="2"/>
    </row>
    <row r="158" spans="2:9" ht="14.1" customHeight="1" x14ac:dyDescent="0.2">
      <c r="B158" s="11"/>
      <c r="C158" s="14" t="str">
        <f>IFERROR(IF(Payments[[#This Row],[Invoice '#]]="","",INDEX(Invoices[Customer],MATCH(Payments[[#This Row],[Invoice '#]],Invoices[Invoice '#],0))),"")</f>
        <v/>
      </c>
      <c r="D158" s="15" t="str">
        <f>IFERROR(IF(Payments[[#This Row],[Invoice '#]]="","",INDEX(Invoices[Due Date],MATCH(Payments[[#This Row],[Invoice '#]],Invoices[Invoice '#],0))),"")</f>
        <v/>
      </c>
      <c r="E158" s="40" t="str">
        <f ca="1">IFERROR(IF(Payments[[#This Row],[Invoice '#]]="","",INDEX(Invoices[Amount due],MATCH(Payments[[#This Row],[Invoice '#]],Invoices[Invoice '#],0))-IF(E157=Payments[[#Headers],[Amount Due]],0,SUMIF(INDIRECT("B4:B"&amp;ROW()-1),Payments[[#This Row],[Invoice '#]],Payments[Amount Paid]))),"")</f>
        <v/>
      </c>
      <c r="F158" s="41"/>
      <c r="G158" s="10"/>
      <c r="H158" s="38" t="str">
        <f ca="1">IFERROR(IF(Payments[[#This Row],[Amount Due]]="","",IF(Payments[[#This Row],[Amount Due]]=0,0,Payments[[#This Row],[Amount Due]]-Payments[[#This Row],[Amount Paid]])),"")</f>
        <v/>
      </c>
      <c r="I158" s="2"/>
    </row>
    <row r="159" spans="2:9" ht="14.1" customHeight="1" x14ac:dyDescent="0.2">
      <c r="B159" s="11"/>
      <c r="C159" s="14" t="str">
        <f>IFERROR(IF(Payments[[#This Row],[Invoice '#]]="","",INDEX(Invoices[Customer],MATCH(Payments[[#This Row],[Invoice '#]],Invoices[Invoice '#],0))),"")</f>
        <v/>
      </c>
      <c r="D159" s="15" t="str">
        <f>IFERROR(IF(Payments[[#This Row],[Invoice '#]]="","",INDEX(Invoices[Due Date],MATCH(Payments[[#This Row],[Invoice '#]],Invoices[Invoice '#],0))),"")</f>
        <v/>
      </c>
      <c r="E159" s="40" t="str">
        <f ca="1">IFERROR(IF(Payments[[#This Row],[Invoice '#]]="","",INDEX(Invoices[Amount due],MATCH(Payments[[#This Row],[Invoice '#]],Invoices[Invoice '#],0))-IF(E158=Payments[[#Headers],[Amount Due]],0,SUMIF(INDIRECT("B4:B"&amp;ROW()-1),Payments[[#This Row],[Invoice '#]],Payments[Amount Paid]))),"")</f>
        <v/>
      </c>
      <c r="F159" s="41"/>
      <c r="G159" s="10"/>
      <c r="H159" s="38" t="str">
        <f ca="1">IFERROR(IF(Payments[[#This Row],[Amount Due]]="","",IF(Payments[[#This Row],[Amount Due]]=0,0,Payments[[#This Row],[Amount Due]]-Payments[[#This Row],[Amount Paid]])),"")</f>
        <v/>
      </c>
      <c r="I159" s="2"/>
    </row>
    <row r="160" spans="2:9" ht="14.1" customHeight="1" x14ac:dyDescent="0.2">
      <c r="B160" s="11"/>
      <c r="C160" s="14" t="str">
        <f>IFERROR(IF(Payments[[#This Row],[Invoice '#]]="","",INDEX(Invoices[Customer],MATCH(Payments[[#This Row],[Invoice '#]],Invoices[Invoice '#],0))),"")</f>
        <v/>
      </c>
      <c r="D160" s="15" t="str">
        <f>IFERROR(IF(Payments[[#This Row],[Invoice '#]]="","",INDEX(Invoices[Due Date],MATCH(Payments[[#This Row],[Invoice '#]],Invoices[Invoice '#],0))),"")</f>
        <v/>
      </c>
      <c r="E160" s="40" t="str">
        <f ca="1">IFERROR(IF(Payments[[#This Row],[Invoice '#]]="","",INDEX(Invoices[Amount due],MATCH(Payments[[#This Row],[Invoice '#]],Invoices[Invoice '#],0))-IF(E159=Payments[[#Headers],[Amount Due]],0,SUMIF(INDIRECT("B4:B"&amp;ROW()-1),Payments[[#This Row],[Invoice '#]],Payments[Amount Paid]))),"")</f>
        <v/>
      </c>
      <c r="F160" s="41"/>
      <c r="G160" s="10"/>
      <c r="H160" s="38" t="str">
        <f ca="1">IFERROR(IF(Payments[[#This Row],[Amount Due]]="","",IF(Payments[[#This Row],[Amount Due]]=0,0,Payments[[#This Row],[Amount Due]]-Payments[[#This Row],[Amount Paid]])),"")</f>
        <v/>
      </c>
      <c r="I160" s="2"/>
    </row>
    <row r="161" spans="2:9" ht="14.1" customHeight="1" x14ac:dyDescent="0.2">
      <c r="B161" s="11"/>
      <c r="C161" s="14" t="str">
        <f>IFERROR(IF(Payments[[#This Row],[Invoice '#]]="","",INDEX(Invoices[Customer],MATCH(Payments[[#This Row],[Invoice '#]],Invoices[Invoice '#],0))),"")</f>
        <v/>
      </c>
      <c r="D161" s="15" t="str">
        <f>IFERROR(IF(Payments[[#This Row],[Invoice '#]]="","",INDEX(Invoices[Due Date],MATCH(Payments[[#This Row],[Invoice '#]],Invoices[Invoice '#],0))),"")</f>
        <v/>
      </c>
      <c r="E161" s="40" t="str">
        <f ca="1">IFERROR(IF(Payments[[#This Row],[Invoice '#]]="","",INDEX(Invoices[Amount due],MATCH(Payments[[#This Row],[Invoice '#]],Invoices[Invoice '#],0))-IF(E160=Payments[[#Headers],[Amount Due]],0,SUMIF(INDIRECT("B4:B"&amp;ROW()-1),Payments[[#This Row],[Invoice '#]],Payments[Amount Paid]))),"")</f>
        <v/>
      </c>
      <c r="F161" s="41"/>
      <c r="G161" s="10"/>
      <c r="H161" s="38" t="str">
        <f ca="1">IFERROR(IF(Payments[[#This Row],[Amount Due]]="","",IF(Payments[[#This Row],[Amount Due]]=0,0,Payments[[#This Row],[Amount Due]]-Payments[[#This Row],[Amount Paid]])),"")</f>
        <v/>
      </c>
      <c r="I161" s="2"/>
    </row>
    <row r="162" spans="2:9" ht="14.1" customHeight="1" x14ac:dyDescent="0.2">
      <c r="B162" s="11"/>
      <c r="C162" s="14" t="str">
        <f>IFERROR(IF(Payments[[#This Row],[Invoice '#]]="","",INDEX(Invoices[Customer],MATCH(Payments[[#This Row],[Invoice '#]],Invoices[Invoice '#],0))),"")</f>
        <v/>
      </c>
      <c r="D162" s="15" t="str">
        <f>IFERROR(IF(Payments[[#This Row],[Invoice '#]]="","",INDEX(Invoices[Due Date],MATCH(Payments[[#This Row],[Invoice '#]],Invoices[Invoice '#],0))),"")</f>
        <v/>
      </c>
      <c r="E162" s="40" t="str">
        <f ca="1">IFERROR(IF(Payments[[#This Row],[Invoice '#]]="","",INDEX(Invoices[Amount due],MATCH(Payments[[#This Row],[Invoice '#]],Invoices[Invoice '#],0))-IF(E161=Payments[[#Headers],[Amount Due]],0,SUMIF(INDIRECT("B4:B"&amp;ROW()-1),Payments[[#This Row],[Invoice '#]],Payments[Amount Paid]))),"")</f>
        <v/>
      </c>
      <c r="F162" s="41"/>
      <c r="G162" s="10"/>
      <c r="H162" s="38" t="str">
        <f ca="1">IFERROR(IF(Payments[[#This Row],[Amount Due]]="","",IF(Payments[[#This Row],[Amount Due]]=0,0,Payments[[#This Row],[Amount Due]]-Payments[[#This Row],[Amount Paid]])),"")</f>
        <v/>
      </c>
      <c r="I162" s="2"/>
    </row>
    <row r="163" spans="2:9" ht="14.1" customHeight="1" x14ac:dyDescent="0.2">
      <c r="B163" s="11"/>
      <c r="C163" s="14" t="str">
        <f>IFERROR(IF(Payments[[#This Row],[Invoice '#]]="","",INDEX(Invoices[Customer],MATCH(Payments[[#This Row],[Invoice '#]],Invoices[Invoice '#],0))),"")</f>
        <v/>
      </c>
      <c r="D163" s="15" t="str">
        <f>IFERROR(IF(Payments[[#This Row],[Invoice '#]]="","",INDEX(Invoices[Due Date],MATCH(Payments[[#This Row],[Invoice '#]],Invoices[Invoice '#],0))),"")</f>
        <v/>
      </c>
      <c r="E163" s="40" t="str">
        <f ca="1">IFERROR(IF(Payments[[#This Row],[Invoice '#]]="","",INDEX(Invoices[Amount due],MATCH(Payments[[#This Row],[Invoice '#]],Invoices[Invoice '#],0))-IF(E162=Payments[[#Headers],[Amount Due]],0,SUMIF(INDIRECT("B4:B"&amp;ROW()-1),Payments[[#This Row],[Invoice '#]],Payments[Amount Paid]))),"")</f>
        <v/>
      </c>
      <c r="F163" s="41"/>
      <c r="G163" s="10"/>
      <c r="H163" s="38" t="str">
        <f ca="1">IFERROR(IF(Payments[[#This Row],[Amount Due]]="","",IF(Payments[[#This Row],[Amount Due]]=0,0,Payments[[#This Row],[Amount Due]]-Payments[[#This Row],[Amount Paid]])),"")</f>
        <v/>
      </c>
      <c r="I163" s="2"/>
    </row>
    <row r="164" spans="2:9" ht="14.1" customHeight="1" x14ac:dyDescent="0.2">
      <c r="B164" s="11"/>
      <c r="C164" s="14" t="str">
        <f>IFERROR(IF(Payments[[#This Row],[Invoice '#]]="","",INDEX(Invoices[Customer],MATCH(Payments[[#This Row],[Invoice '#]],Invoices[Invoice '#],0))),"")</f>
        <v/>
      </c>
      <c r="D164" s="15" t="str">
        <f>IFERROR(IF(Payments[[#This Row],[Invoice '#]]="","",INDEX(Invoices[Due Date],MATCH(Payments[[#This Row],[Invoice '#]],Invoices[Invoice '#],0))),"")</f>
        <v/>
      </c>
      <c r="E164" s="40" t="str">
        <f ca="1">IFERROR(IF(Payments[[#This Row],[Invoice '#]]="","",INDEX(Invoices[Amount due],MATCH(Payments[[#This Row],[Invoice '#]],Invoices[Invoice '#],0))-IF(E163=Payments[[#Headers],[Amount Due]],0,SUMIF(INDIRECT("B4:B"&amp;ROW()-1),Payments[[#This Row],[Invoice '#]],Payments[Amount Paid]))),"")</f>
        <v/>
      </c>
      <c r="F164" s="41"/>
      <c r="G164" s="10"/>
      <c r="H164" s="38" t="str">
        <f ca="1">IFERROR(IF(Payments[[#This Row],[Amount Due]]="","",IF(Payments[[#This Row],[Amount Due]]=0,0,Payments[[#This Row],[Amount Due]]-Payments[[#This Row],[Amount Paid]])),"")</f>
        <v/>
      </c>
      <c r="I164" s="2"/>
    </row>
    <row r="165" spans="2:9" ht="14.1" customHeight="1" x14ac:dyDescent="0.2">
      <c r="B165" s="11"/>
      <c r="C165" s="14" t="str">
        <f>IFERROR(IF(Payments[[#This Row],[Invoice '#]]="","",INDEX(Invoices[Customer],MATCH(Payments[[#This Row],[Invoice '#]],Invoices[Invoice '#],0))),"")</f>
        <v/>
      </c>
      <c r="D165" s="15" t="str">
        <f>IFERROR(IF(Payments[[#This Row],[Invoice '#]]="","",INDEX(Invoices[Due Date],MATCH(Payments[[#This Row],[Invoice '#]],Invoices[Invoice '#],0))),"")</f>
        <v/>
      </c>
      <c r="E165" s="40" t="str">
        <f ca="1">IFERROR(IF(Payments[[#This Row],[Invoice '#]]="","",INDEX(Invoices[Amount due],MATCH(Payments[[#This Row],[Invoice '#]],Invoices[Invoice '#],0))-IF(E164=Payments[[#Headers],[Amount Due]],0,SUMIF(INDIRECT("B4:B"&amp;ROW()-1),Payments[[#This Row],[Invoice '#]],Payments[Amount Paid]))),"")</f>
        <v/>
      </c>
      <c r="F165" s="41"/>
      <c r="G165" s="10"/>
      <c r="H165" s="38" t="str">
        <f ca="1">IFERROR(IF(Payments[[#This Row],[Amount Due]]="","",IF(Payments[[#This Row],[Amount Due]]=0,0,Payments[[#This Row],[Amount Due]]-Payments[[#This Row],[Amount Paid]])),"")</f>
        <v/>
      </c>
      <c r="I165" s="2"/>
    </row>
    <row r="166" spans="2:9" ht="14.1" customHeight="1" x14ac:dyDescent="0.2">
      <c r="B166" s="11"/>
      <c r="C166" s="14" t="str">
        <f>IFERROR(IF(Payments[[#This Row],[Invoice '#]]="","",INDEX(Invoices[Customer],MATCH(Payments[[#This Row],[Invoice '#]],Invoices[Invoice '#],0))),"")</f>
        <v/>
      </c>
      <c r="D166" s="15" t="str">
        <f>IFERROR(IF(Payments[[#This Row],[Invoice '#]]="","",INDEX(Invoices[Due Date],MATCH(Payments[[#This Row],[Invoice '#]],Invoices[Invoice '#],0))),"")</f>
        <v/>
      </c>
      <c r="E166" s="40" t="str">
        <f ca="1">IFERROR(IF(Payments[[#This Row],[Invoice '#]]="","",INDEX(Invoices[Amount due],MATCH(Payments[[#This Row],[Invoice '#]],Invoices[Invoice '#],0))-IF(E165=Payments[[#Headers],[Amount Due]],0,SUMIF(INDIRECT("B4:B"&amp;ROW()-1),Payments[[#This Row],[Invoice '#]],Payments[Amount Paid]))),"")</f>
        <v/>
      </c>
      <c r="F166" s="41"/>
      <c r="G166" s="10"/>
      <c r="H166" s="38" t="str">
        <f ca="1">IFERROR(IF(Payments[[#This Row],[Amount Due]]="","",IF(Payments[[#This Row],[Amount Due]]=0,0,Payments[[#This Row],[Amount Due]]-Payments[[#This Row],[Amount Paid]])),"")</f>
        <v/>
      </c>
      <c r="I166" s="2"/>
    </row>
    <row r="167" spans="2:9" ht="14.1" customHeight="1" x14ac:dyDescent="0.2">
      <c r="B167" s="11"/>
      <c r="C167" s="14" t="str">
        <f>IFERROR(IF(Payments[[#This Row],[Invoice '#]]="","",INDEX(Invoices[Customer],MATCH(Payments[[#This Row],[Invoice '#]],Invoices[Invoice '#],0))),"")</f>
        <v/>
      </c>
      <c r="D167" s="15" t="str">
        <f>IFERROR(IF(Payments[[#This Row],[Invoice '#]]="","",INDEX(Invoices[Due Date],MATCH(Payments[[#This Row],[Invoice '#]],Invoices[Invoice '#],0))),"")</f>
        <v/>
      </c>
      <c r="E167" s="40" t="str">
        <f ca="1">IFERROR(IF(Payments[[#This Row],[Invoice '#]]="","",INDEX(Invoices[Amount due],MATCH(Payments[[#This Row],[Invoice '#]],Invoices[Invoice '#],0))-IF(E166=Payments[[#Headers],[Amount Due]],0,SUMIF(INDIRECT("B4:B"&amp;ROW()-1),Payments[[#This Row],[Invoice '#]],Payments[Amount Paid]))),"")</f>
        <v/>
      </c>
      <c r="F167" s="41"/>
      <c r="G167" s="10"/>
      <c r="H167" s="38" t="str">
        <f ca="1">IFERROR(IF(Payments[[#This Row],[Amount Due]]="","",IF(Payments[[#This Row],[Amount Due]]=0,0,Payments[[#This Row],[Amount Due]]-Payments[[#This Row],[Amount Paid]])),"")</f>
        <v/>
      </c>
      <c r="I167" s="2"/>
    </row>
    <row r="168" spans="2:9" ht="14.1" customHeight="1" x14ac:dyDescent="0.2">
      <c r="B168" s="11"/>
      <c r="C168" s="14" t="str">
        <f>IFERROR(IF(Payments[[#This Row],[Invoice '#]]="","",INDEX(Invoices[Customer],MATCH(Payments[[#This Row],[Invoice '#]],Invoices[Invoice '#],0))),"")</f>
        <v/>
      </c>
      <c r="D168" s="15" t="str">
        <f>IFERROR(IF(Payments[[#This Row],[Invoice '#]]="","",INDEX(Invoices[Due Date],MATCH(Payments[[#This Row],[Invoice '#]],Invoices[Invoice '#],0))),"")</f>
        <v/>
      </c>
      <c r="E168" s="40" t="str">
        <f ca="1">IFERROR(IF(Payments[[#This Row],[Invoice '#]]="","",INDEX(Invoices[Amount due],MATCH(Payments[[#This Row],[Invoice '#]],Invoices[Invoice '#],0))-IF(E167=Payments[[#Headers],[Amount Due]],0,SUMIF(INDIRECT("B4:B"&amp;ROW()-1),Payments[[#This Row],[Invoice '#]],Payments[Amount Paid]))),"")</f>
        <v/>
      </c>
      <c r="F168" s="41"/>
      <c r="G168" s="10"/>
      <c r="H168" s="38" t="str">
        <f ca="1">IFERROR(IF(Payments[[#This Row],[Amount Due]]="","",IF(Payments[[#This Row],[Amount Due]]=0,0,Payments[[#This Row],[Amount Due]]-Payments[[#This Row],[Amount Paid]])),"")</f>
        <v/>
      </c>
      <c r="I168" s="2"/>
    </row>
    <row r="169" spans="2:9" ht="14.1" customHeight="1" x14ac:dyDescent="0.2">
      <c r="B169" s="11"/>
      <c r="C169" s="14" t="str">
        <f>IFERROR(IF(Payments[[#This Row],[Invoice '#]]="","",INDEX(Invoices[Customer],MATCH(Payments[[#This Row],[Invoice '#]],Invoices[Invoice '#],0))),"")</f>
        <v/>
      </c>
      <c r="D169" s="15" t="str">
        <f>IFERROR(IF(Payments[[#This Row],[Invoice '#]]="","",INDEX(Invoices[Due Date],MATCH(Payments[[#This Row],[Invoice '#]],Invoices[Invoice '#],0))),"")</f>
        <v/>
      </c>
      <c r="E169" s="40" t="str">
        <f ca="1">IFERROR(IF(Payments[[#This Row],[Invoice '#]]="","",INDEX(Invoices[Amount due],MATCH(Payments[[#This Row],[Invoice '#]],Invoices[Invoice '#],0))-IF(E168=Payments[[#Headers],[Amount Due]],0,SUMIF(INDIRECT("B4:B"&amp;ROW()-1),Payments[[#This Row],[Invoice '#]],Payments[Amount Paid]))),"")</f>
        <v/>
      </c>
      <c r="F169" s="41"/>
      <c r="G169" s="10"/>
      <c r="H169" s="38" t="str">
        <f ca="1">IFERROR(IF(Payments[[#This Row],[Amount Due]]="","",IF(Payments[[#This Row],[Amount Due]]=0,0,Payments[[#This Row],[Amount Due]]-Payments[[#This Row],[Amount Paid]])),"")</f>
        <v/>
      </c>
      <c r="I169" s="2"/>
    </row>
    <row r="170" spans="2:9" ht="14.1" customHeight="1" x14ac:dyDescent="0.2">
      <c r="B170" s="11"/>
      <c r="C170" s="14" t="str">
        <f>IFERROR(IF(Payments[[#This Row],[Invoice '#]]="","",INDEX(Invoices[Customer],MATCH(Payments[[#This Row],[Invoice '#]],Invoices[Invoice '#],0))),"")</f>
        <v/>
      </c>
      <c r="D170" s="15" t="str">
        <f>IFERROR(IF(Payments[[#This Row],[Invoice '#]]="","",INDEX(Invoices[Due Date],MATCH(Payments[[#This Row],[Invoice '#]],Invoices[Invoice '#],0))),"")</f>
        <v/>
      </c>
      <c r="E170" s="40" t="str">
        <f ca="1">IFERROR(IF(Payments[[#This Row],[Invoice '#]]="","",INDEX(Invoices[Amount due],MATCH(Payments[[#This Row],[Invoice '#]],Invoices[Invoice '#],0))-IF(E169=Payments[[#Headers],[Amount Due]],0,SUMIF(INDIRECT("B4:B"&amp;ROW()-1),Payments[[#This Row],[Invoice '#]],Payments[Amount Paid]))),"")</f>
        <v/>
      </c>
      <c r="F170" s="41"/>
      <c r="G170" s="10"/>
      <c r="H170" s="38" t="str">
        <f ca="1">IFERROR(IF(Payments[[#This Row],[Amount Due]]="","",IF(Payments[[#This Row],[Amount Due]]=0,0,Payments[[#This Row],[Amount Due]]-Payments[[#This Row],[Amount Paid]])),"")</f>
        <v/>
      </c>
      <c r="I170" s="2"/>
    </row>
    <row r="171" spans="2:9" ht="14.1" customHeight="1" x14ac:dyDescent="0.2">
      <c r="B171" s="11"/>
      <c r="C171" s="14" t="str">
        <f>IFERROR(IF(Payments[[#This Row],[Invoice '#]]="","",INDEX(Invoices[Customer],MATCH(Payments[[#This Row],[Invoice '#]],Invoices[Invoice '#],0))),"")</f>
        <v/>
      </c>
      <c r="D171" s="15" t="str">
        <f>IFERROR(IF(Payments[[#This Row],[Invoice '#]]="","",INDEX(Invoices[Due Date],MATCH(Payments[[#This Row],[Invoice '#]],Invoices[Invoice '#],0))),"")</f>
        <v/>
      </c>
      <c r="E171" s="40" t="str">
        <f ca="1">IFERROR(IF(Payments[[#This Row],[Invoice '#]]="","",INDEX(Invoices[Amount due],MATCH(Payments[[#This Row],[Invoice '#]],Invoices[Invoice '#],0))-IF(E170=Payments[[#Headers],[Amount Due]],0,SUMIF(INDIRECT("B4:B"&amp;ROW()-1),Payments[[#This Row],[Invoice '#]],Payments[Amount Paid]))),"")</f>
        <v/>
      </c>
      <c r="F171" s="41"/>
      <c r="G171" s="10"/>
      <c r="H171" s="38" t="str">
        <f ca="1">IFERROR(IF(Payments[[#This Row],[Amount Due]]="","",IF(Payments[[#This Row],[Amount Due]]=0,0,Payments[[#This Row],[Amount Due]]-Payments[[#This Row],[Amount Paid]])),"")</f>
        <v/>
      </c>
      <c r="I171" s="2"/>
    </row>
    <row r="172" spans="2:9" ht="14.1" customHeight="1" x14ac:dyDescent="0.2">
      <c r="B172" s="11"/>
      <c r="C172" s="14" t="str">
        <f>IFERROR(IF(Payments[[#This Row],[Invoice '#]]="","",INDEX(Invoices[Customer],MATCH(Payments[[#This Row],[Invoice '#]],Invoices[Invoice '#],0))),"")</f>
        <v/>
      </c>
      <c r="D172" s="15" t="str">
        <f>IFERROR(IF(Payments[[#This Row],[Invoice '#]]="","",INDEX(Invoices[Due Date],MATCH(Payments[[#This Row],[Invoice '#]],Invoices[Invoice '#],0))),"")</f>
        <v/>
      </c>
      <c r="E172" s="40" t="str">
        <f ca="1">IFERROR(IF(Payments[[#This Row],[Invoice '#]]="","",INDEX(Invoices[Amount due],MATCH(Payments[[#This Row],[Invoice '#]],Invoices[Invoice '#],0))-IF(E171=Payments[[#Headers],[Amount Due]],0,SUMIF(INDIRECT("B4:B"&amp;ROW()-1),Payments[[#This Row],[Invoice '#]],Payments[Amount Paid]))),"")</f>
        <v/>
      </c>
      <c r="F172" s="41"/>
      <c r="G172" s="10"/>
      <c r="H172" s="38" t="str">
        <f ca="1">IFERROR(IF(Payments[[#This Row],[Amount Due]]="","",IF(Payments[[#This Row],[Amount Due]]=0,0,Payments[[#This Row],[Amount Due]]-Payments[[#This Row],[Amount Paid]])),"")</f>
        <v/>
      </c>
      <c r="I172" s="2"/>
    </row>
    <row r="173" spans="2:9" ht="14.1" customHeight="1" x14ac:dyDescent="0.2">
      <c r="B173" s="11"/>
      <c r="C173" s="14" t="str">
        <f>IFERROR(IF(Payments[[#This Row],[Invoice '#]]="","",INDEX(Invoices[Customer],MATCH(Payments[[#This Row],[Invoice '#]],Invoices[Invoice '#],0))),"")</f>
        <v/>
      </c>
      <c r="D173" s="15" t="str">
        <f>IFERROR(IF(Payments[[#This Row],[Invoice '#]]="","",INDEX(Invoices[Due Date],MATCH(Payments[[#This Row],[Invoice '#]],Invoices[Invoice '#],0))),"")</f>
        <v/>
      </c>
      <c r="E173" s="40" t="str">
        <f ca="1">IFERROR(IF(Payments[[#This Row],[Invoice '#]]="","",INDEX(Invoices[Amount due],MATCH(Payments[[#This Row],[Invoice '#]],Invoices[Invoice '#],0))-IF(E172=Payments[[#Headers],[Amount Due]],0,SUMIF(INDIRECT("B4:B"&amp;ROW()-1),Payments[[#This Row],[Invoice '#]],Payments[Amount Paid]))),"")</f>
        <v/>
      </c>
      <c r="F173" s="41"/>
      <c r="G173" s="10"/>
      <c r="H173" s="38" t="str">
        <f ca="1">IFERROR(IF(Payments[[#This Row],[Amount Due]]="","",IF(Payments[[#This Row],[Amount Due]]=0,0,Payments[[#This Row],[Amount Due]]-Payments[[#This Row],[Amount Paid]])),"")</f>
        <v/>
      </c>
      <c r="I173" s="2"/>
    </row>
    <row r="174" spans="2:9" ht="14.1" customHeight="1" x14ac:dyDescent="0.2">
      <c r="B174" s="11"/>
      <c r="C174" s="14" t="str">
        <f>IFERROR(IF(Payments[[#This Row],[Invoice '#]]="","",INDEX(Invoices[Customer],MATCH(Payments[[#This Row],[Invoice '#]],Invoices[Invoice '#],0))),"")</f>
        <v/>
      </c>
      <c r="D174" s="15" t="str">
        <f>IFERROR(IF(Payments[[#This Row],[Invoice '#]]="","",INDEX(Invoices[Due Date],MATCH(Payments[[#This Row],[Invoice '#]],Invoices[Invoice '#],0))),"")</f>
        <v/>
      </c>
      <c r="E174" s="40" t="str">
        <f ca="1">IFERROR(IF(Payments[[#This Row],[Invoice '#]]="","",INDEX(Invoices[Amount due],MATCH(Payments[[#This Row],[Invoice '#]],Invoices[Invoice '#],0))-IF(E173=Payments[[#Headers],[Amount Due]],0,SUMIF(INDIRECT("B4:B"&amp;ROW()-1),Payments[[#This Row],[Invoice '#]],Payments[Amount Paid]))),"")</f>
        <v/>
      </c>
      <c r="F174" s="41"/>
      <c r="G174" s="10"/>
      <c r="H174" s="38" t="str">
        <f ca="1">IFERROR(IF(Payments[[#This Row],[Amount Due]]="","",IF(Payments[[#This Row],[Amount Due]]=0,0,Payments[[#This Row],[Amount Due]]-Payments[[#This Row],[Amount Paid]])),"")</f>
        <v/>
      </c>
      <c r="I174" s="2"/>
    </row>
    <row r="175" spans="2:9" ht="14.1" customHeight="1" x14ac:dyDescent="0.2">
      <c r="B175" s="11"/>
      <c r="C175" s="14" t="str">
        <f>IFERROR(IF(Payments[[#This Row],[Invoice '#]]="","",INDEX(Invoices[Customer],MATCH(Payments[[#This Row],[Invoice '#]],Invoices[Invoice '#],0))),"")</f>
        <v/>
      </c>
      <c r="D175" s="15" t="str">
        <f>IFERROR(IF(Payments[[#This Row],[Invoice '#]]="","",INDEX(Invoices[Due Date],MATCH(Payments[[#This Row],[Invoice '#]],Invoices[Invoice '#],0))),"")</f>
        <v/>
      </c>
      <c r="E175" s="40" t="str">
        <f ca="1">IFERROR(IF(Payments[[#This Row],[Invoice '#]]="","",INDEX(Invoices[Amount due],MATCH(Payments[[#This Row],[Invoice '#]],Invoices[Invoice '#],0))-IF(E174=Payments[[#Headers],[Amount Due]],0,SUMIF(INDIRECT("B4:B"&amp;ROW()-1),Payments[[#This Row],[Invoice '#]],Payments[Amount Paid]))),"")</f>
        <v/>
      </c>
      <c r="F175" s="41"/>
      <c r="G175" s="10"/>
      <c r="H175" s="38" t="str">
        <f ca="1">IFERROR(IF(Payments[[#This Row],[Amount Due]]="","",IF(Payments[[#This Row],[Amount Due]]=0,0,Payments[[#This Row],[Amount Due]]-Payments[[#This Row],[Amount Paid]])),"")</f>
        <v/>
      </c>
      <c r="I175" s="2"/>
    </row>
    <row r="176" spans="2:9" ht="14.1" customHeight="1" x14ac:dyDescent="0.2">
      <c r="B176" s="11"/>
      <c r="C176" s="14" t="str">
        <f>IFERROR(IF(Payments[[#This Row],[Invoice '#]]="","",INDEX(Invoices[Customer],MATCH(Payments[[#This Row],[Invoice '#]],Invoices[Invoice '#],0))),"")</f>
        <v/>
      </c>
      <c r="D176" s="15" t="str">
        <f>IFERROR(IF(Payments[[#This Row],[Invoice '#]]="","",INDEX(Invoices[Due Date],MATCH(Payments[[#This Row],[Invoice '#]],Invoices[Invoice '#],0))),"")</f>
        <v/>
      </c>
      <c r="E176" s="40" t="str">
        <f ca="1">IFERROR(IF(Payments[[#This Row],[Invoice '#]]="","",INDEX(Invoices[Amount due],MATCH(Payments[[#This Row],[Invoice '#]],Invoices[Invoice '#],0))-IF(E175=Payments[[#Headers],[Amount Due]],0,SUMIF(INDIRECT("B4:B"&amp;ROW()-1),Payments[[#This Row],[Invoice '#]],Payments[Amount Paid]))),"")</f>
        <v/>
      </c>
      <c r="F176" s="41"/>
      <c r="G176" s="10"/>
      <c r="H176" s="38" t="str">
        <f ca="1">IFERROR(IF(Payments[[#This Row],[Amount Due]]="","",IF(Payments[[#This Row],[Amount Due]]=0,0,Payments[[#This Row],[Amount Due]]-Payments[[#This Row],[Amount Paid]])),"")</f>
        <v/>
      </c>
      <c r="I176" s="2"/>
    </row>
    <row r="177" spans="2:9" ht="14.1" customHeight="1" x14ac:dyDescent="0.2">
      <c r="B177" s="11"/>
      <c r="C177" s="14" t="str">
        <f>IFERROR(IF(Payments[[#This Row],[Invoice '#]]="","",INDEX(Invoices[Customer],MATCH(Payments[[#This Row],[Invoice '#]],Invoices[Invoice '#],0))),"")</f>
        <v/>
      </c>
      <c r="D177" s="15" t="str">
        <f>IFERROR(IF(Payments[[#This Row],[Invoice '#]]="","",INDEX(Invoices[Due Date],MATCH(Payments[[#This Row],[Invoice '#]],Invoices[Invoice '#],0))),"")</f>
        <v/>
      </c>
      <c r="E177" s="40" t="str">
        <f ca="1">IFERROR(IF(Payments[[#This Row],[Invoice '#]]="","",INDEX(Invoices[Amount due],MATCH(Payments[[#This Row],[Invoice '#]],Invoices[Invoice '#],0))-IF(E176=Payments[[#Headers],[Amount Due]],0,SUMIF(INDIRECT("B4:B"&amp;ROW()-1),Payments[[#This Row],[Invoice '#]],Payments[Amount Paid]))),"")</f>
        <v/>
      </c>
      <c r="F177" s="41"/>
      <c r="G177" s="10"/>
      <c r="H177" s="38" t="str">
        <f ca="1">IFERROR(IF(Payments[[#This Row],[Amount Due]]="","",IF(Payments[[#This Row],[Amount Due]]=0,0,Payments[[#This Row],[Amount Due]]-Payments[[#This Row],[Amount Paid]])),"")</f>
        <v/>
      </c>
      <c r="I177" s="2"/>
    </row>
    <row r="178" spans="2:9" ht="14.1" customHeight="1" x14ac:dyDescent="0.2">
      <c r="B178" s="11"/>
      <c r="C178" s="14" t="str">
        <f>IFERROR(IF(Payments[[#This Row],[Invoice '#]]="","",INDEX(Invoices[Customer],MATCH(Payments[[#This Row],[Invoice '#]],Invoices[Invoice '#],0))),"")</f>
        <v/>
      </c>
      <c r="D178" s="15" t="str">
        <f>IFERROR(IF(Payments[[#This Row],[Invoice '#]]="","",INDEX(Invoices[Due Date],MATCH(Payments[[#This Row],[Invoice '#]],Invoices[Invoice '#],0))),"")</f>
        <v/>
      </c>
      <c r="E178" s="40" t="str">
        <f ca="1">IFERROR(IF(Payments[[#This Row],[Invoice '#]]="","",INDEX(Invoices[Amount due],MATCH(Payments[[#This Row],[Invoice '#]],Invoices[Invoice '#],0))-IF(E177=Payments[[#Headers],[Amount Due]],0,SUMIF(INDIRECT("B4:B"&amp;ROW()-1),Payments[[#This Row],[Invoice '#]],Payments[Amount Paid]))),"")</f>
        <v/>
      </c>
      <c r="F178" s="41"/>
      <c r="G178" s="10"/>
      <c r="H178" s="38" t="str">
        <f ca="1">IFERROR(IF(Payments[[#This Row],[Amount Due]]="","",IF(Payments[[#This Row],[Amount Due]]=0,0,Payments[[#This Row],[Amount Due]]-Payments[[#This Row],[Amount Paid]])),"")</f>
        <v/>
      </c>
      <c r="I178" s="2"/>
    </row>
    <row r="179" spans="2:9" ht="14.1" customHeight="1" x14ac:dyDescent="0.2">
      <c r="B179" s="11"/>
      <c r="C179" s="14" t="str">
        <f>IFERROR(IF(Payments[[#This Row],[Invoice '#]]="","",INDEX(Invoices[Customer],MATCH(Payments[[#This Row],[Invoice '#]],Invoices[Invoice '#],0))),"")</f>
        <v/>
      </c>
      <c r="D179" s="15" t="str">
        <f>IFERROR(IF(Payments[[#This Row],[Invoice '#]]="","",INDEX(Invoices[Due Date],MATCH(Payments[[#This Row],[Invoice '#]],Invoices[Invoice '#],0))),"")</f>
        <v/>
      </c>
      <c r="E179" s="40" t="str">
        <f ca="1">IFERROR(IF(Payments[[#This Row],[Invoice '#]]="","",INDEX(Invoices[Amount due],MATCH(Payments[[#This Row],[Invoice '#]],Invoices[Invoice '#],0))-IF(E178=Payments[[#Headers],[Amount Due]],0,SUMIF(INDIRECT("B4:B"&amp;ROW()-1),Payments[[#This Row],[Invoice '#]],Payments[Amount Paid]))),"")</f>
        <v/>
      </c>
      <c r="F179" s="41"/>
      <c r="G179" s="10"/>
      <c r="H179" s="38" t="str">
        <f ca="1">IFERROR(IF(Payments[[#This Row],[Amount Due]]="","",IF(Payments[[#This Row],[Amount Due]]=0,0,Payments[[#This Row],[Amount Due]]-Payments[[#This Row],[Amount Paid]])),"")</f>
        <v/>
      </c>
      <c r="I179" s="2"/>
    </row>
    <row r="180" spans="2:9" ht="14.1" customHeight="1" x14ac:dyDescent="0.2">
      <c r="B180" s="11"/>
      <c r="C180" s="14" t="str">
        <f>IFERROR(IF(Payments[[#This Row],[Invoice '#]]="","",INDEX(Invoices[Customer],MATCH(Payments[[#This Row],[Invoice '#]],Invoices[Invoice '#],0))),"")</f>
        <v/>
      </c>
      <c r="D180" s="15" t="str">
        <f>IFERROR(IF(Payments[[#This Row],[Invoice '#]]="","",INDEX(Invoices[Due Date],MATCH(Payments[[#This Row],[Invoice '#]],Invoices[Invoice '#],0))),"")</f>
        <v/>
      </c>
      <c r="E180" s="40" t="str">
        <f ca="1">IFERROR(IF(Payments[[#This Row],[Invoice '#]]="","",INDEX(Invoices[Amount due],MATCH(Payments[[#This Row],[Invoice '#]],Invoices[Invoice '#],0))-IF(E179=Payments[[#Headers],[Amount Due]],0,SUMIF(INDIRECT("B4:B"&amp;ROW()-1),Payments[[#This Row],[Invoice '#]],Payments[Amount Paid]))),"")</f>
        <v/>
      </c>
      <c r="F180" s="41"/>
      <c r="G180" s="10"/>
      <c r="H180" s="38" t="str">
        <f ca="1">IFERROR(IF(Payments[[#This Row],[Amount Due]]="","",IF(Payments[[#This Row],[Amount Due]]=0,0,Payments[[#This Row],[Amount Due]]-Payments[[#This Row],[Amount Paid]])),"")</f>
        <v/>
      </c>
      <c r="I180" s="2"/>
    </row>
    <row r="181" spans="2:9" ht="14.1" customHeight="1" x14ac:dyDescent="0.2">
      <c r="B181" s="11"/>
      <c r="C181" s="14" t="str">
        <f>IFERROR(IF(Payments[[#This Row],[Invoice '#]]="","",INDEX(Invoices[Customer],MATCH(Payments[[#This Row],[Invoice '#]],Invoices[Invoice '#],0))),"")</f>
        <v/>
      </c>
      <c r="D181" s="15" t="str">
        <f>IFERROR(IF(Payments[[#This Row],[Invoice '#]]="","",INDEX(Invoices[Due Date],MATCH(Payments[[#This Row],[Invoice '#]],Invoices[Invoice '#],0))),"")</f>
        <v/>
      </c>
      <c r="E181" s="40" t="str">
        <f ca="1">IFERROR(IF(Payments[[#This Row],[Invoice '#]]="","",INDEX(Invoices[Amount due],MATCH(Payments[[#This Row],[Invoice '#]],Invoices[Invoice '#],0))-IF(E180=Payments[[#Headers],[Amount Due]],0,SUMIF(INDIRECT("B4:B"&amp;ROW()-1),Payments[[#This Row],[Invoice '#]],Payments[Amount Paid]))),"")</f>
        <v/>
      </c>
      <c r="F181" s="41"/>
      <c r="G181" s="10"/>
      <c r="H181" s="38" t="str">
        <f ca="1">IFERROR(IF(Payments[[#This Row],[Amount Due]]="","",IF(Payments[[#This Row],[Amount Due]]=0,0,Payments[[#This Row],[Amount Due]]-Payments[[#This Row],[Amount Paid]])),"")</f>
        <v/>
      </c>
      <c r="I181" s="2"/>
    </row>
    <row r="182" spans="2:9" ht="14.1" customHeight="1" x14ac:dyDescent="0.2">
      <c r="B182" s="11"/>
      <c r="C182" s="14" t="str">
        <f>IFERROR(IF(Payments[[#This Row],[Invoice '#]]="","",INDEX(Invoices[Customer],MATCH(Payments[[#This Row],[Invoice '#]],Invoices[Invoice '#],0))),"")</f>
        <v/>
      </c>
      <c r="D182" s="15" t="str">
        <f>IFERROR(IF(Payments[[#This Row],[Invoice '#]]="","",INDEX(Invoices[Due Date],MATCH(Payments[[#This Row],[Invoice '#]],Invoices[Invoice '#],0))),"")</f>
        <v/>
      </c>
      <c r="E182" s="40" t="str">
        <f ca="1">IFERROR(IF(Payments[[#This Row],[Invoice '#]]="","",INDEX(Invoices[Amount due],MATCH(Payments[[#This Row],[Invoice '#]],Invoices[Invoice '#],0))-IF(E181=Payments[[#Headers],[Amount Due]],0,SUMIF(INDIRECT("B4:B"&amp;ROW()-1),Payments[[#This Row],[Invoice '#]],Payments[Amount Paid]))),"")</f>
        <v/>
      </c>
      <c r="F182" s="41"/>
      <c r="G182" s="10"/>
      <c r="H182" s="38" t="str">
        <f ca="1">IFERROR(IF(Payments[[#This Row],[Amount Due]]="","",IF(Payments[[#This Row],[Amount Due]]=0,0,Payments[[#This Row],[Amount Due]]-Payments[[#This Row],[Amount Paid]])),"")</f>
        <v/>
      </c>
      <c r="I182" s="2"/>
    </row>
    <row r="183" spans="2:9" ht="14.1" customHeight="1" x14ac:dyDescent="0.2">
      <c r="B183" s="11"/>
      <c r="C183" s="14" t="str">
        <f>IFERROR(IF(Payments[[#This Row],[Invoice '#]]="","",INDEX(Invoices[Customer],MATCH(Payments[[#This Row],[Invoice '#]],Invoices[Invoice '#],0))),"")</f>
        <v/>
      </c>
      <c r="D183" s="15" t="str">
        <f>IFERROR(IF(Payments[[#This Row],[Invoice '#]]="","",INDEX(Invoices[Due Date],MATCH(Payments[[#This Row],[Invoice '#]],Invoices[Invoice '#],0))),"")</f>
        <v/>
      </c>
      <c r="E183" s="40" t="str">
        <f ca="1">IFERROR(IF(Payments[[#This Row],[Invoice '#]]="","",INDEX(Invoices[Amount due],MATCH(Payments[[#This Row],[Invoice '#]],Invoices[Invoice '#],0))-IF(E182=Payments[[#Headers],[Amount Due]],0,SUMIF(INDIRECT("B4:B"&amp;ROW()-1),Payments[[#This Row],[Invoice '#]],Payments[Amount Paid]))),"")</f>
        <v/>
      </c>
      <c r="F183" s="41"/>
      <c r="G183" s="10"/>
      <c r="H183" s="38" t="str">
        <f ca="1">IFERROR(IF(Payments[[#This Row],[Amount Due]]="","",IF(Payments[[#This Row],[Amount Due]]=0,0,Payments[[#This Row],[Amount Due]]-Payments[[#This Row],[Amount Paid]])),"")</f>
        <v/>
      </c>
      <c r="I183" s="2"/>
    </row>
    <row r="184" spans="2:9" ht="14.1" customHeight="1" x14ac:dyDescent="0.2">
      <c r="B184" s="11"/>
      <c r="C184" s="14" t="str">
        <f>IFERROR(IF(Payments[[#This Row],[Invoice '#]]="","",INDEX(Invoices[Customer],MATCH(Payments[[#This Row],[Invoice '#]],Invoices[Invoice '#],0))),"")</f>
        <v/>
      </c>
      <c r="D184" s="15" t="str">
        <f>IFERROR(IF(Payments[[#This Row],[Invoice '#]]="","",INDEX(Invoices[Due Date],MATCH(Payments[[#This Row],[Invoice '#]],Invoices[Invoice '#],0))),"")</f>
        <v/>
      </c>
      <c r="E184" s="40" t="str">
        <f ca="1">IFERROR(IF(Payments[[#This Row],[Invoice '#]]="","",INDEX(Invoices[Amount due],MATCH(Payments[[#This Row],[Invoice '#]],Invoices[Invoice '#],0))-IF(E183=Payments[[#Headers],[Amount Due]],0,SUMIF(INDIRECT("B4:B"&amp;ROW()-1),Payments[[#This Row],[Invoice '#]],Payments[Amount Paid]))),"")</f>
        <v/>
      </c>
      <c r="F184" s="41"/>
      <c r="G184" s="10"/>
      <c r="H184" s="38" t="str">
        <f ca="1">IFERROR(IF(Payments[[#This Row],[Amount Due]]="","",IF(Payments[[#This Row],[Amount Due]]=0,0,Payments[[#This Row],[Amount Due]]-Payments[[#This Row],[Amount Paid]])),"")</f>
        <v/>
      </c>
      <c r="I184" s="2"/>
    </row>
    <row r="185" spans="2:9" ht="14.1" customHeight="1" x14ac:dyDescent="0.2">
      <c r="B185" s="11"/>
      <c r="C185" s="14" t="str">
        <f>IFERROR(IF(Payments[[#This Row],[Invoice '#]]="","",INDEX(Invoices[Customer],MATCH(Payments[[#This Row],[Invoice '#]],Invoices[Invoice '#],0))),"")</f>
        <v/>
      </c>
      <c r="D185" s="15" t="str">
        <f>IFERROR(IF(Payments[[#This Row],[Invoice '#]]="","",INDEX(Invoices[Due Date],MATCH(Payments[[#This Row],[Invoice '#]],Invoices[Invoice '#],0))),"")</f>
        <v/>
      </c>
      <c r="E185" s="40" t="str">
        <f ca="1">IFERROR(IF(Payments[[#This Row],[Invoice '#]]="","",INDEX(Invoices[Amount due],MATCH(Payments[[#This Row],[Invoice '#]],Invoices[Invoice '#],0))-IF(E184=Payments[[#Headers],[Amount Due]],0,SUMIF(INDIRECT("B4:B"&amp;ROW()-1),Payments[[#This Row],[Invoice '#]],Payments[Amount Paid]))),"")</f>
        <v/>
      </c>
      <c r="F185" s="41"/>
      <c r="G185" s="10"/>
      <c r="H185" s="38" t="str">
        <f ca="1">IFERROR(IF(Payments[[#This Row],[Amount Due]]="","",IF(Payments[[#This Row],[Amount Due]]=0,0,Payments[[#This Row],[Amount Due]]-Payments[[#This Row],[Amount Paid]])),"")</f>
        <v/>
      </c>
      <c r="I185" s="2"/>
    </row>
    <row r="186" spans="2:9" ht="14.1" customHeight="1" x14ac:dyDescent="0.2">
      <c r="B186" s="11"/>
      <c r="C186" s="14" t="str">
        <f>IFERROR(IF(Payments[[#This Row],[Invoice '#]]="","",INDEX(Invoices[Customer],MATCH(Payments[[#This Row],[Invoice '#]],Invoices[Invoice '#],0))),"")</f>
        <v/>
      </c>
      <c r="D186" s="15" t="str">
        <f>IFERROR(IF(Payments[[#This Row],[Invoice '#]]="","",INDEX(Invoices[Due Date],MATCH(Payments[[#This Row],[Invoice '#]],Invoices[Invoice '#],0))),"")</f>
        <v/>
      </c>
      <c r="E186" s="40" t="str">
        <f ca="1">IFERROR(IF(Payments[[#This Row],[Invoice '#]]="","",INDEX(Invoices[Amount due],MATCH(Payments[[#This Row],[Invoice '#]],Invoices[Invoice '#],0))-IF(E185=Payments[[#Headers],[Amount Due]],0,SUMIF(INDIRECT("B4:B"&amp;ROW()-1),Payments[[#This Row],[Invoice '#]],Payments[Amount Paid]))),"")</f>
        <v/>
      </c>
      <c r="F186" s="41"/>
      <c r="G186" s="10"/>
      <c r="H186" s="38" t="str">
        <f ca="1">IFERROR(IF(Payments[[#This Row],[Amount Due]]="","",IF(Payments[[#This Row],[Amount Due]]=0,0,Payments[[#This Row],[Amount Due]]-Payments[[#This Row],[Amount Paid]])),"")</f>
        <v/>
      </c>
      <c r="I186" s="2"/>
    </row>
    <row r="187" spans="2:9" ht="14.1" customHeight="1" x14ac:dyDescent="0.2">
      <c r="B187" s="11"/>
      <c r="C187" s="14" t="str">
        <f>IFERROR(IF(Payments[[#This Row],[Invoice '#]]="","",INDEX(Invoices[Customer],MATCH(Payments[[#This Row],[Invoice '#]],Invoices[Invoice '#],0))),"")</f>
        <v/>
      </c>
      <c r="D187" s="15" t="str">
        <f>IFERROR(IF(Payments[[#This Row],[Invoice '#]]="","",INDEX(Invoices[Due Date],MATCH(Payments[[#This Row],[Invoice '#]],Invoices[Invoice '#],0))),"")</f>
        <v/>
      </c>
      <c r="E187" s="40" t="str">
        <f ca="1">IFERROR(IF(Payments[[#This Row],[Invoice '#]]="","",INDEX(Invoices[Amount due],MATCH(Payments[[#This Row],[Invoice '#]],Invoices[Invoice '#],0))-IF(E186=Payments[[#Headers],[Amount Due]],0,SUMIF(INDIRECT("B4:B"&amp;ROW()-1),Payments[[#This Row],[Invoice '#]],Payments[Amount Paid]))),"")</f>
        <v/>
      </c>
      <c r="F187" s="41"/>
      <c r="G187" s="10"/>
      <c r="H187" s="38" t="str">
        <f ca="1">IFERROR(IF(Payments[[#This Row],[Amount Due]]="","",IF(Payments[[#This Row],[Amount Due]]=0,0,Payments[[#This Row],[Amount Due]]-Payments[[#This Row],[Amount Paid]])),"")</f>
        <v/>
      </c>
      <c r="I187" s="2"/>
    </row>
    <row r="188" spans="2:9" ht="14.1" customHeight="1" x14ac:dyDescent="0.2">
      <c r="B188" s="11"/>
      <c r="C188" s="14" t="str">
        <f>IFERROR(IF(Payments[[#This Row],[Invoice '#]]="","",INDEX(Invoices[Customer],MATCH(Payments[[#This Row],[Invoice '#]],Invoices[Invoice '#],0))),"")</f>
        <v/>
      </c>
      <c r="D188" s="15" t="str">
        <f>IFERROR(IF(Payments[[#This Row],[Invoice '#]]="","",INDEX(Invoices[Due Date],MATCH(Payments[[#This Row],[Invoice '#]],Invoices[Invoice '#],0))),"")</f>
        <v/>
      </c>
      <c r="E188" s="40" t="str">
        <f ca="1">IFERROR(IF(Payments[[#This Row],[Invoice '#]]="","",INDEX(Invoices[Amount due],MATCH(Payments[[#This Row],[Invoice '#]],Invoices[Invoice '#],0))-IF(E187=Payments[[#Headers],[Amount Due]],0,SUMIF(INDIRECT("B4:B"&amp;ROW()-1),Payments[[#This Row],[Invoice '#]],Payments[Amount Paid]))),"")</f>
        <v/>
      </c>
      <c r="F188" s="41"/>
      <c r="G188" s="10"/>
      <c r="H188" s="38" t="str">
        <f ca="1">IFERROR(IF(Payments[[#This Row],[Amount Due]]="","",IF(Payments[[#This Row],[Amount Due]]=0,0,Payments[[#This Row],[Amount Due]]-Payments[[#This Row],[Amount Paid]])),"")</f>
        <v/>
      </c>
      <c r="I188" s="2"/>
    </row>
    <row r="189" spans="2:9" ht="14.1" customHeight="1" x14ac:dyDescent="0.2">
      <c r="B189" s="11"/>
      <c r="C189" s="14" t="str">
        <f>IFERROR(IF(Payments[[#This Row],[Invoice '#]]="","",INDEX(Invoices[Customer],MATCH(Payments[[#This Row],[Invoice '#]],Invoices[Invoice '#],0))),"")</f>
        <v/>
      </c>
      <c r="D189" s="15" t="str">
        <f>IFERROR(IF(Payments[[#This Row],[Invoice '#]]="","",INDEX(Invoices[Due Date],MATCH(Payments[[#This Row],[Invoice '#]],Invoices[Invoice '#],0))),"")</f>
        <v/>
      </c>
      <c r="E189" s="40" t="str">
        <f ca="1">IFERROR(IF(Payments[[#This Row],[Invoice '#]]="","",INDEX(Invoices[Amount due],MATCH(Payments[[#This Row],[Invoice '#]],Invoices[Invoice '#],0))-IF(E188=Payments[[#Headers],[Amount Due]],0,SUMIF(INDIRECT("B4:B"&amp;ROW()-1),Payments[[#This Row],[Invoice '#]],Payments[Amount Paid]))),"")</f>
        <v/>
      </c>
      <c r="F189" s="41"/>
      <c r="G189" s="10"/>
      <c r="H189" s="38" t="str">
        <f ca="1">IFERROR(IF(Payments[[#This Row],[Amount Due]]="","",IF(Payments[[#This Row],[Amount Due]]=0,0,Payments[[#This Row],[Amount Due]]-Payments[[#This Row],[Amount Paid]])),"")</f>
        <v/>
      </c>
      <c r="I189" s="2"/>
    </row>
    <row r="190" spans="2:9" ht="14.1" customHeight="1" x14ac:dyDescent="0.2">
      <c r="B190" s="11"/>
      <c r="C190" s="14" t="str">
        <f>IFERROR(IF(Payments[[#This Row],[Invoice '#]]="","",INDEX(Invoices[Customer],MATCH(Payments[[#This Row],[Invoice '#]],Invoices[Invoice '#],0))),"")</f>
        <v/>
      </c>
      <c r="D190" s="15" t="str">
        <f>IFERROR(IF(Payments[[#This Row],[Invoice '#]]="","",INDEX(Invoices[Due Date],MATCH(Payments[[#This Row],[Invoice '#]],Invoices[Invoice '#],0))),"")</f>
        <v/>
      </c>
      <c r="E190" s="40" t="str">
        <f ca="1">IFERROR(IF(Payments[[#This Row],[Invoice '#]]="","",INDEX(Invoices[Amount due],MATCH(Payments[[#This Row],[Invoice '#]],Invoices[Invoice '#],0))-IF(E189=Payments[[#Headers],[Amount Due]],0,SUMIF(INDIRECT("B4:B"&amp;ROW()-1),Payments[[#This Row],[Invoice '#]],Payments[Amount Paid]))),"")</f>
        <v/>
      </c>
      <c r="F190" s="41"/>
      <c r="G190" s="10"/>
      <c r="H190" s="38" t="str">
        <f ca="1">IFERROR(IF(Payments[[#This Row],[Amount Due]]="","",IF(Payments[[#This Row],[Amount Due]]=0,0,Payments[[#This Row],[Amount Due]]-Payments[[#This Row],[Amount Paid]])),"")</f>
        <v/>
      </c>
      <c r="I190" s="2"/>
    </row>
    <row r="191" spans="2:9" ht="14.1" customHeight="1" x14ac:dyDescent="0.2">
      <c r="B191" s="11"/>
      <c r="C191" s="14" t="str">
        <f>IFERROR(IF(Payments[[#This Row],[Invoice '#]]="","",INDEX(Invoices[Customer],MATCH(Payments[[#This Row],[Invoice '#]],Invoices[Invoice '#],0))),"")</f>
        <v/>
      </c>
      <c r="D191" s="15" t="str">
        <f>IFERROR(IF(Payments[[#This Row],[Invoice '#]]="","",INDEX(Invoices[Due Date],MATCH(Payments[[#This Row],[Invoice '#]],Invoices[Invoice '#],0))),"")</f>
        <v/>
      </c>
      <c r="E191" s="40" t="str">
        <f ca="1">IFERROR(IF(Payments[[#This Row],[Invoice '#]]="","",INDEX(Invoices[Amount due],MATCH(Payments[[#This Row],[Invoice '#]],Invoices[Invoice '#],0))-IF(E190=Payments[[#Headers],[Amount Due]],0,SUMIF(INDIRECT("B4:B"&amp;ROW()-1),Payments[[#This Row],[Invoice '#]],Payments[Amount Paid]))),"")</f>
        <v/>
      </c>
      <c r="F191" s="41"/>
      <c r="G191" s="10"/>
      <c r="H191" s="38" t="str">
        <f ca="1">IFERROR(IF(Payments[[#This Row],[Amount Due]]="","",IF(Payments[[#This Row],[Amount Due]]=0,0,Payments[[#This Row],[Amount Due]]-Payments[[#This Row],[Amount Paid]])),"")</f>
        <v/>
      </c>
      <c r="I191" s="2"/>
    </row>
    <row r="192" spans="2:9" ht="14.1" customHeight="1" x14ac:dyDescent="0.2">
      <c r="B192" s="11"/>
      <c r="C192" s="14" t="str">
        <f>IFERROR(IF(Payments[[#This Row],[Invoice '#]]="","",INDEX(Invoices[Customer],MATCH(Payments[[#This Row],[Invoice '#]],Invoices[Invoice '#],0))),"")</f>
        <v/>
      </c>
      <c r="D192" s="15" t="str">
        <f>IFERROR(IF(Payments[[#This Row],[Invoice '#]]="","",INDEX(Invoices[Due Date],MATCH(Payments[[#This Row],[Invoice '#]],Invoices[Invoice '#],0))),"")</f>
        <v/>
      </c>
      <c r="E192" s="40" t="str">
        <f ca="1">IFERROR(IF(Payments[[#This Row],[Invoice '#]]="","",INDEX(Invoices[Amount due],MATCH(Payments[[#This Row],[Invoice '#]],Invoices[Invoice '#],0))-IF(E191=Payments[[#Headers],[Amount Due]],0,SUMIF(INDIRECT("B4:B"&amp;ROW()-1),Payments[[#This Row],[Invoice '#]],Payments[Amount Paid]))),"")</f>
        <v/>
      </c>
      <c r="F192" s="41"/>
      <c r="G192" s="10"/>
      <c r="H192" s="38" t="str">
        <f ca="1">IFERROR(IF(Payments[[#This Row],[Amount Due]]="","",IF(Payments[[#This Row],[Amount Due]]=0,0,Payments[[#This Row],[Amount Due]]-Payments[[#This Row],[Amount Paid]])),"")</f>
        <v/>
      </c>
      <c r="I192" s="2"/>
    </row>
    <row r="193" spans="2:9" ht="14.1" customHeight="1" x14ac:dyDescent="0.2">
      <c r="B193" s="11"/>
      <c r="C193" s="14" t="str">
        <f>IFERROR(IF(Payments[[#This Row],[Invoice '#]]="","",INDEX(Invoices[Customer],MATCH(Payments[[#This Row],[Invoice '#]],Invoices[Invoice '#],0))),"")</f>
        <v/>
      </c>
      <c r="D193" s="15" t="str">
        <f>IFERROR(IF(Payments[[#This Row],[Invoice '#]]="","",INDEX(Invoices[Due Date],MATCH(Payments[[#This Row],[Invoice '#]],Invoices[Invoice '#],0))),"")</f>
        <v/>
      </c>
      <c r="E193" s="40" t="str">
        <f ca="1">IFERROR(IF(Payments[[#This Row],[Invoice '#]]="","",INDEX(Invoices[Amount due],MATCH(Payments[[#This Row],[Invoice '#]],Invoices[Invoice '#],0))-IF(E192=Payments[[#Headers],[Amount Due]],0,SUMIF(INDIRECT("B4:B"&amp;ROW()-1),Payments[[#This Row],[Invoice '#]],Payments[Amount Paid]))),"")</f>
        <v/>
      </c>
      <c r="F193" s="41"/>
      <c r="G193" s="10"/>
      <c r="H193" s="38" t="str">
        <f ca="1">IFERROR(IF(Payments[[#This Row],[Amount Due]]="","",IF(Payments[[#This Row],[Amount Due]]=0,0,Payments[[#This Row],[Amount Due]]-Payments[[#This Row],[Amount Paid]])),"")</f>
        <v/>
      </c>
      <c r="I193" s="2"/>
    </row>
    <row r="194" spans="2:9" ht="14.1" customHeight="1" x14ac:dyDescent="0.2">
      <c r="B194" s="11"/>
      <c r="C194" s="14" t="str">
        <f>IFERROR(IF(Payments[[#This Row],[Invoice '#]]="","",INDEX(Invoices[Customer],MATCH(Payments[[#This Row],[Invoice '#]],Invoices[Invoice '#],0))),"")</f>
        <v/>
      </c>
      <c r="D194" s="15" t="str">
        <f>IFERROR(IF(Payments[[#This Row],[Invoice '#]]="","",INDEX(Invoices[Due Date],MATCH(Payments[[#This Row],[Invoice '#]],Invoices[Invoice '#],0))),"")</f>
        <v/>
      </c>
      <c r="E194" s="40" t="str">
        <f ca="1">IFERROR(IF(Payments[[#This Row],[Invoice '#]]="","",INDEX(Invoices[Amount due],MATCH(Payments[[#This Row],[Invoice '#]],Invoices[Invoice '#],0))-IF(E193=Payments[[#Headers],[Amount Due]],0,SUMIF(INDIRECT("B4:B"&amp;ROW()-1),Payments[[#This Row],[Invoice '#]],Payments[Amount Paid]))),"")</f>
        <v/>
      </c>
      <c r="F194" s="41"/>
      <c r="G194" s="10"/>
      <c r="H194" s="38" t="str">
        <f ca="1">IFERROR(IF(Payments[[#This Row],[Amount Due]]="","",IF(Payments[[#This Row],[Amount Due]]=0,0,Payments[[#This Row],[Amount Due]]-Payments[[#This Row],[Amount Paid]])),"")</f>
        <v/>
      </c>
      <c r="I194" s="2"/>
    </row>
    <row r="195" spans="2:9" ht="14.1" customHeight="1" x14ac:dyDescent="0.2">
      <c r="B195" s="11"/>
      <c r="C195" s="14" t="str">
        <f>IFERROR(IF(Payments[[#This Row],[Invoice '#]]="","",INDEX(Invoices[Customer],MATCH(Payments[[#This Row],[Invoice '#]],Invoices[Invoice '#],0))),"")</f>
        <v/>
      </c>
      <c r="D195" s="15" t="str">
        <f>IFERROR(IF(Payments[[#This Row],[Invoice '#]]="","",INDEX(Invoices[Due Date],MATCH(Payments[[#This Row],[Invoice '#]],Invoices[Invoice '#],0))),"")</f>
        <v/>
      </c>
      <c r="E195" s="40" t="str">
        <f ca="1">IFERROR(IF(Payments[[#This Row],[Invoice '#]]="","",INDEX(Invoices[Amount due],MATCH(Payments[[#This Row],[Invoice '#]],Invoices[Invoice '#],0))-IF(E194=Payments[[#Headers],[Amount Due]],0,SUMIF(INDIRECT("B4:B"&amp;ROW()-1),Payments[[#This Row],[Invoice '#]],Payments[Amount Paid]))),"")</f>
        <v/>
      </c>
      <c r="F195" s="41"/>
      <c r="G195" s="10"/>
      <c r="H195" s="38" t="str">
        <f ca="1">IFERROR(IF(Payments[[#This Row],[Amount Due]]="","",IF(Payments[[#This Row],[Amount Due]]=0,0,Payments[[#This Row],[Amount Due]]-Payments[[#This Row],[Amount Paid]])),"")</f>
        <v/>
      </c>
      <c r="I195" s="2"/>
    </row>
    <row r="196" spans="2:9" ht="14.1" customHeight="1" x14ac:dyDescent="0.2">
      <c r="B196" s="11"/>
      <c r="C196" s="14" t="str">
        <f>IFERROR(IF(Payments[[#This Row],[Invoice '#]]="","",INDEX(Invoices[Customer],MATCH(Payments[[#This Row],[Invoice '#]],Invoices[Invoice '#],0))),"")</f>
        <v/>
      </c>
      <c r="D196" s="15" t="str">
        <f>IFERROR(IF(Payments[[#This Row],[Invoice '#]]="","",INDEX(Invoices[Due Date],MATCH(Payments[[#This Row],[Invoice '#]],Invoices[Invoice '#],0))),"")</f>
        <v/>
      </c>
      <c r="E196" s="40" t="str">
        <f ca="1">IFERROR(IF(Payments[[#This Row],[Invoice '#]]="","",INDEX(Invoices[Amount due],MATCH(Payments[[#This Row],[Invoice '#]],Invoices[Invoice '#],0))-IF(E195=Payments[[#Headers],[Amount Due]],0,SUMIF(INDIRECT("B4:B"&amp;ROW()-1),Payments[[#This Row],[Invoice '#]],Payments[Amount Paid]))),"")</f>
        <v/>
      </c>
      <c r="F196" s="41"/>
      <c r="G196" s="10"/>
      <c r="H196" s="38" t="str">
        <f ca="1">IFERROR(IF(Payments[[#This Row],[Amount Due]]="","",IF(Payments[[#This Row],[Amount Due]]=0,0,Payments[[#This Row],[Amount Due]]-Payments[[#This Row],[Amount Paid]])),"")</f>
        <v/>
      </c>
      <c r="I196" s="2"/>
    </row>
    <row r="197" spans="2:9" ht="14.1" customHeight="1" x14ac:dyDescent="0.2">
      <c r="B197" s="11"/>
      <c r="C197" s="14" t="str">
        <f>IFERROR(IF(Payments[[#This Row],[Invoice '#]]="","",INDEX(Invoices[Customer],MATCH(Payments[[#This Row],[Invoice '#]],Invoices[Invoice '#],0))),"")</f>
        <v/>
      </c>
      <c r="D197" s="15" t="str">
        <f>IFERROR(IF(Payments[[#This Row],[Invoice '#]]="","",INDEX(Invoices[Due Date],MATCH(Payments[[#This Row],[Invoice '#]],Invoices[Invoice '#],0))),"")</f>
        <v/>
      </c>
      <c r="E197" s="40" t="str">
        <f ca="1">IFERROR(IF(Payments[[#This Row],[Invoice '#]]="","",INDEX(Invoices[Amount due],MATCH(Payments[[#This Row],[Invoice '#]],Invoices[Invoice '#],0))-IF(E196=Payments[[#Headers],[Amount Due]],0,SUMIF(INDIRECT("B4:B"&amp;ROW()-1),Payments[[#This Row],[Invoice '#]],Payments[Amount Paid]))),"")</f>
        <v/>
      </c>
      <c r="F197" s="41"/>
      <c r="G197" s="10"/>
      <c r="H197" s="38" t="str">
        <f ca="1">IFERROR(IF(Payments[[#This Row],[Amount Due]]="","",IF(Payments[[#This Row],[Amount Due]]=0,0,Payments[[#This Row],[Amount Due]]-Payments[[#This Row],[Amount Paid]])),"")</f>
        <v/>
      </c>
      <c r="I197" s="2"/>
    </row>
    <row r="198" spans="2:9" ht="14.1" customHeight="1" x14ac:dyDescent="0.2">
      <c r="B198" s="11"/>
      <c r="C198" s="14" t="str">
        <f>IFERROR(IF(Payments[[#This Row],[Invoice '#]]="","",INDEX(Invoices[Customer],MATCH(Payments[[#This Row],[Invoice '#]],Invoices[Invoice '#],0))),"")</f>
        <v/>
      </c>
      <c r="D198" s="15" t="str">
        <f>IFERROR(IF(Payments[[#This Row],[Invoice '#]]="","",INDEX(Invoices[Due Date],MATCH(Payments[[#This Row],[Invoice '#]],Invoices[Invoice '#],0))),"")</f>
        <v/>
      </c>
      <c r="E198" s="40" t="str">
        <f ca="1">IFERROR(IF(Payments[[#This Row],[Invoice '#]]="","",INDEX(Invoices[Amount due],MATCH(Payments[[#This Row],[Invoice '#]],Invoices[Invoice '#],0))-IF(E197=Payments[[#Headers],[Amount Due]],0,SUMIF(INDIRECT("B4:B"&amp;ROW()-1),Payments[[#This Row],[Invoice '#]],Payments[Amount Paid]))),"")</f>
        <v/>
      </c>
      <c r="F198" s="41"/>
      <c r="G198" s="10"/>
      <c r="H198" s="38" t="str">
        <f ca="1">IFERROR(IF(Payments[[#This Row],[Amount Due]]="","",IF(Payments[[#This Row],[Amount Due]]=0,0,Payments[[#This Row],[Amount Due]]-Payments[[#This Row],[Amount Paid]])),"")</f>
        <v/>
      </c>
      <c r="I198" s="2"/>
    </row>
    <row r="199" spans="2:9" ht="14.1" customHeight="1" x14ac:dyDescent="0.2">
      <c r="B199" s="11"/>
      <c r="C199" s="14" t="str">
        <f>IFERROR(IF(Payments[[#This Row],[Invoice '#]]="","",INDEX(Invoices[Customer],MATCH(Payments[[#This Row],[Invoice '#]],Invoices[Invoice '#],0))),"")</f>
        <v/>
      </c>
      <c r="D199" s="15" t="str">
        <f>IFERROR(IF(Payments[[#This Row],[Invoice '#]]="","",INDEX(Invoices[Due Date],MATCH(Payments[[#This Row],[Invoice '#]],Invoices[Invoice '#],0))),"")</f>
        <v/>
      </c>
      <c r="E199" s="40" t="str">
        <f ca="1">IFERROR(IF(Payments[[#This Row],[Invoice '#]]="","",INDEX(Invoices[Amount due],MATCH(Payments[[#This Row],[Invoice '#]],Invoices[Invoice '#],0))-IF(E198=Payments[[#Headers],[Amount Due]],0,SUMIF(INDIRECT("B4:B"&amp;ROW()-1),Payments[[#This Row],[Invoice '#]],Payments[Amount Paid]))),"")</f>
        <v/>
      </c>
      <c r="F199" s="41"/>
      <c r="G199" s="10"/>
      <c r="H199" s="38" t="str">
        <f ca="1">IFERROR(IF(Payments[[#This Row],[Amount Due]]="","",IF(Payments[[#This Row],[Amount Due]]=0,0,Payments[[#This Row],[Amount Due]]-Payments[[#This Row],[Amount Paid]])),"")</f>
        <v/>
      </c>
      <c r="I199" s="2"/>
    </row>
    <row r="200" spans="2:9" ht="14.1" customHeight="1" x14ac:dyDescent="0.2">
      <c r="B200" s="11"/>
      <c r="C200" s="14" t="str">
        <f>IFERROR(IF(Payments[[#This Row],[Invoice '#]]="","",INDEX(Invoices[Customer],MATCH(Payments[[#This Row],[Invoice '#]],Invoices[Invoice '#],0))),"")</f>
        <v/>
      </c>
      <c r="D200" s="15" t="str">
        <f>IFERROR(IF(Payments[[#This Row],[Invoice '#]]="","",INDEX(Invoices[Due Date],MATCH(Payments[[#This Row],[Invoice '#]],Invoices[Invoice '#],0))),"")</f>
        <v/>
      </c>
      <c r="E200" s="40" t="str">
        <f ca="1">IFERROR(IF(Payments[[#This Row],[Invoice '#]]="","",INDEX(Invoices[Amount due],MATCH(Payments[[#This Row],[Invoice '#]],Invoices[Invoice '#],0))-IF(E199=Payments[[#Headers],[Amount Due]],0,SUMIF(INDIRECT("B4:B"&amp;ROW()-1),Payments[[#This Row],[Invoice '#]],Payments[Amount Paid]))),"")</f>
        <v/>
      </c>
      <c r="F200" s="41"/>
      <c r="G200" s="10"/>
      <c r="H200" s="38" t="str">
        <f ca="1">IFERROR(IF(Payments[[#This Row],[Amount Due]]="","",IF(Payments[[#This Row],[Amount Due]]=0,0,Payments[[#This Row],[Amount Due]]-Payments[[#This Row],[Amount Paid]])),"")</f>
        <v/>
      </c>
      <c r="I200" s="2"/>
    </row>
    <row r="201" spans="2:9" ht="14.1" customHeight="1" x14ac:dyDescent="0.2">
      <c r="B201" s="11"/>
      <c r="C201" s="14" t="str">
        <f>IFERROR(IF(Payments[[#This Row],[Invoice '#]]="","",INDEX(Invoices[Customer],MATCH(Payments[[#This Row],[Invoice '#]],Invoices[Invoice '#],0))),"")</f>
        <v/>
      </c>
      <c r="D201" s="15" t="str">
        <f>IFERROR(IF(Payments[[#This Row],[Invoice '#]]="","",INDEX(Invoices[Due Date],MATCH(Payments[[#This Row],[Invoice '#]],Invoices[Invoice '#],0))),"")</f>
        <v/>
      </c>
      <c r="E201" s="40" t="str">
        <f ca="1">IFERROR(IF(Payments[[#This Row],[Invoice '#]]="","",INDEX(Invoices[Amount due],MATCH(Payments[[#This Row],[Invoice '#]],Invoices[Invoice '#],0))-IF(E200=Payments[[#Headers],[Amount Due]],0,SUMIF(INDIRECT("B4:B"&amp;ROW()-1),Payments[[#This Row],[Invoice '#]],Payments[Amount Paid]))),"")</f>
        <v/>
      </c>
      <c r="F201" s="41"/>
      <c r="G201" s="10"/>
      <c r="H201" s="38" t="str">
        <f ca="1">IFERROR(IF(Payments[[#This Row],[Amount Due]]="","",IF(Payments[[#This Row],[Amount Due]]=0,0,Payments[[#This Row],[Amount Due]]-Payments[[#This Row],[Amount Paid]])),"")</f>
        <v/>
      </c>
      <c r="I201" s="2"/>
    </row>
    <row r="202" spans="2:9" ht="14.1" customHeight="1" x14ac:dyDescent="0.2">
      <c r="B202" s="11"/>
      <c r="C202" s="14" t="str">
        <f>IFERROR(IF(Payments[[#This Row],[Invoice '#]]="","",INDEX(Invoices[Customer],MATCH(Payments[[#This Row],[Invoice '#]],Invoices[Invoice '#],0))),"")</f>
        <v/>
      </c>
      <c r="D202" s="15" t="str">
        <f>IFERROR(IF(Payments[[#This Row],[Invoice '#]]="","",INDEX(Invoices[Due Date],MATCH(Payments[[#This Row],[Invoice '#]],Invoices[Invoice '#],0))),"")</f>
        <v/>
      </c>
      <c r="E202" s="40" t="str">
        <f ca="1">IFERROR(IF(Payments[[#This Row],[Invoice '#]]="","",INDEX(Invoices[Amount due],MATCH(Payments[[#This Row],[Invoice '#]],Invoices[Invoice '#],0))-IF(E201=Payments[[#Headers],[Amount Due]],0,SUMIF(INDIRECT("B4:B"&amp;ROW()-1),Payments[[#This Row],[Invoice '#]],Payments[Amount Paid]))),"")</f>
        <v/>
      </c>
      <c r="F202" s="41"/>
      <c r="G202" s="10"/>
      <c r="H202" s="38" t="str">
        <f ca="1">IFERROR(IF(Payments[[#This Row],[Amount Due]]="","",IF(Payments[[#This Row],[Amount Due]]=0,0,Payments[[#This Row],[Amount Due]]-Payments[[#This Row],[Amount Paid]])),"")</f>
        <v/>
      </c>
      <c r="I202" s="2"/>
    </row>
    <row r="203" spans="2:9" ht="14.1" customHeight="1" x14ac:dyDescent="0.2">
      <c r="B203" s="11"/>
      <c r="C203" s="14" t="str">
        <f>IFERROR(IF(Payments[[#This Row],[Invoice '#]]="","",INDEX(Invoices[Customer],MATCH(Payments[[#This Row],[Invoice '#]],Invoices[Invoice '#],0))),"")</f>
        <v/>
      </c>
      <c r="D203" s="15" t="str">
        <f>IFERROR(IF(Payments[[#This Row],[Invoice '#]]="","",INDEX(Invoices[Due Date],MATCH(Payments[[#This Row],[Invoice '#]],Invoices[Invoice '#],0))),"")</f>
        <v/>
      </c>
      <c r="E203" s="40" t="str">
        <f ca="1">IFERROR(IF(Payments[[#This Row],[Invoice '#]]="","",INDEX(Invoices[Amount due],MATCH(Payments[[#This Row],[Invoice '#]],Invoices[Invoice '#],0))-IF(E202=Payments[[#Headers],[Amount Due]],0,SUMIF(INDIRECT("B4:B"&amp;ROW()-1),Payments[[#This Row],[Invoice '#]],Payments[Amount Paid]))),"")</f>
        <v/>
      </c>
      <c r="F203" s="41"/>
      <c r="G203" s="10"/>
      <c r="H203" s="38" t="str">
        <f ca="1">IFERROR(IF(Payments[[#This Row],[Amount Due]]="","",IF(Payments[[#This Row],[Amount Due]]=0,0,Payments[[#This Row],[Amount Due]]-Payments[[#This Row],[Amount Paid]])),"")</f>
        <v/>
      </c>
      <c r="I203" s="2"/>
    </row>
    <row r="204" spans="2:9" ht="14.1" customHeight="1" x14ac:dyDescent="0.2">
      <c r="B204" s="11"/>
      <c r="C204" s="14" t="str">
        <f>IFERROR(IF(Payments[[#This Row],[Invoice '#]]="","",INDEX(Invoices[Customer],MATCH(Payments[[#This Row],[Invoice '#]],Invoices[Invoice '#],0))),"")</f>
        <v/>
      </c>
      <c r="D204" s="15" t="str">
        <f>IFERROR(IF(Payments[[#This Row],[Invoice '#]]="","",INDEX(Invoices[Due Date],MATCH(Payments[[#This Row],[Invoice '#]],Invoices[Invoice '#],0))),"")</f>
        <v/>
      </c>
      <c r="E204" s="40" t="str">
        <f ca="1">IFERROR(IF(Payments[[#This Row],[Invoice '#]]="","",INDEX(Invoices[Amount due],MATCH(Payments[[#This Row],[Invoice '#]],Invoices[Invoice '#],0))-IF(E203=Payments[[#Headers],[Amount Due]],0,SUMIF(INDIRECT("B4:B"&amp;ROW()-1),Payments[[#This Row],[Invoice '#]],Payments[Amount Paid]))),"")</f>
        <v/>
      </c>
      <c r="F204" s="41"/>
      <c r="G204" s="10"/>
      <c r="H204" s="38" t="str">
        <f ca="1">IFERROR(IF(Payments[[#This Row],[Amount Due]]="","",IF(Payments[[#This Row],[Amount Due]]=0,0,Payments[[#This Row],[Amount Due]]-Payments[[#This Row],[Amount Paid]])),"")</f>
        <v/>
      </c>
      <c r="I204" s="2"/>
    </row>
    <row r="205" spans="2:9" ht="14.1" customHeight="1" x14ac:dyDescent="0.2">
      <c r="B205" s="11"/>
      <c r="C205" s="14" t="str">
        <f>IFERROR(IF(Payments[[#This Row],[Invoice '#]]="","",INDEX(Invoices[Customer],MATCH(Payments[[#This Row],[Invoice '#]],Invoices[Invoice '#],0))),"")</f>
        <v/>
      </c>
      <c r="D205" s="15" t="str">
        <f>IFERROR(IF(Payments[[#This Row],[Invoice '#]]="","",INDEX(Invoices[Due Date],MATCH(Payments[[#This Row],[Invoice '#]],Invoices[Invoice '#],0))),"")</f>
        <v/>
      </c>
      <c r="E205" s="40" t="str">
        <f ca="1">IFERROR(IF(Payments[[#This Row],[Invoice '#]]="","",INDEX(Invoices[Amount due],MATCH(Payments[[#This Row],[Invoice '#]],Invoices[Invoice '#],0))-IF(E204=Payments[[#Headers],[Amount Due]],0,SUMIF(INDIRECT("B4:B"&amp;ROW()-1),Payments[[#This Row],[Invoice '#]],Payments[Amount Paid]))),"")</f>
        <v/>
      </c>
      <c r="F205" s="41"/>
      <c r="G205" s="10"/>
      <c r="H205" s="38" t="str">
        <f ca="1">IFERROR(IF(Payments[[#This Row],[Amount Due]]="","",IF(Payments[[#This Row],[Amount Due]]=0,0,Payments[[#This Row],[Amount Due]]-Payments[[#This Row],[Amount Paid]])),"")</f>
        <v/>
      </c>
      <c r="I205" s="2"/>
    </row>
    <row r="206" spans="2:9" ht="14.1" customHeight="1" x14ac:dyDescent="0.2">
      <c r="B206" s="11"/>
      <c r="C206" s="14" t="str">
        <f>IFERROR(IF(Payments[[#This Row],[Invoice '#]]="","",INDEX(Invoices[Customer],MATCH(Payments[[#This Row],[Invoice '#]],Invoices[Invoice '#],0))),"")</f>
        <v/>
      </c>
      <c r="D206" s="15" t="str">
        <f>IFERROR(IF(Payments[[#This Row],[Invoice '#]]="","",INDEX(Invoices[Due Date],MATCH(Payments[[#This Row],[Invoice '#]],Invoices[Invoice '#],0))),"")</f>
        <v/>
      </c>
      <c r="E206" s="40" t="str">
        <f ca="1">IFERROR(IF(Payments[[#This Row],[Invoice '#]]="","",INDEX(Invoices[Amount due],MATCH(Payments[[#This Row],[Invoice '#]],Invoices[Invoice '#],0))-IF(E205=Payments[[#Headers],[Amount Due]],0,SUMIF(INDIRECT("B4:B"&amp;ROW()-1),Payments[[#This Row],[Invoice '#]],Payments[Amount Paid]))),"")</f>
        <v/>
      </c>
      <c r="F206" s="41"/>
      <c r="G206" s="10"/>
      <c r="H206" s="38" t="str">
        <f ca="1">IFERROR(IF(Payments[[#This Row],[Amount Due]]="","",IF(Payments[[#This Row],[Amount Due]]=0,0,Payments[[#This Row],[Amount Due]]-Payments[[#This Row],[Amount Paid]])),"")</f>
        <v/>
      </c>
      <c r="I206" s="2"/>
    </row>
    <row r="207" spans="2:9" ht="14.1" customHeight="1" x14ac:dyDescent="0.2">
      <c r="B207" s="11"/>
      <c r="C207" s="14" t="str">
        <f>IFERROR(IF(Payments[[#This Row],[Invoice '#]]="","",INDEX(Invoices[Customer],MATCH(Payments[[#This Row],[Invoice '#]],Invoices[Invoice '#],0))),"")</f>
        <v/>
      </c>
      <c r="D207" s="15" t="str">
        <f>IFERROR(IF(Payments[[#This Row],[Invoice '#]]="","",INDEX(Invoices[Due Date],MATCH(Payments[[#This Row],[Invoice '#]],Invoices[Invoice '#],0))),"")</f>
        <v/>
      </c>
      <c r="E207" s="40" t="str">
        <f ca="1">IFERROR(IF(Payments[[#This Row],[Invoice '#]]="","",INDEX(Invoices[Amount due],MATCH(Payments[[#This Row],[Invoice '#]],Invoices[Invoice '#],0))-IF(E206=Payments[[#Headers],[Amount Due]],0,SUMIF(INDIRECT("B4:B"&amp;ROW()-1),Payments[[#This Row],[Invoice '#]],Payments[Amount Paid]))),"")</f>
        <v/>
      </c>
      <c r="F207" s="41"/>
      <c r="G207" s="10"/>
      <c r="H207" s="38" t="str">
        <f ca="1">IFERROR(IF(Payments[[#This Row],[Amount Due]]="","",IF(Payments[[#This Row],[Amount Due]]=0,0,Payments[[#This Row],[Amount Due]]-Payments[[#This Row],[Amount Paid]])),"")</f>
        <v/>
      </c>
      <c r="I207" s="2"/>
    </row>
    <row r="208" spans="2:9" ht="14.1" customHeight="1" x14ac:dyDescent="0.2">
      <c r="B208" s="11"/>
      <c r="C208" s="14" t="str">
        <f>IFERROR(IF(Payments[[#This Row],[Invoice '#]]="","",INDEX(Invoices[Customer],MATCH(Payments[[#This Row],[Invoice '#]],Invoices[Invoice '#],0))),"")</f>
        <v/>
      </c>
      <c r="D208" s="15" t="str">
        <f>IFERROR(IF(Payments[[#This Row],[Invoice '#]]="","",INDEX(Invoices[Due Date],MATCH(Payments[[#This Row],[Invoice '#]],Invoices[Invoice '#],0))),"")</f>
        <v/>
      </c>
      <c r="E208" s="40" t="str">
        <f ca="1">IFERROR(IF(Payments[[#This Row],[Invoice '#]]="","",INDEX(Invoices[Amount due],MATCH(Payments[[#This Row],[Invoice '#]],Invoices[Invoice '#],0))-IF(E207=Payments[[#Headers],[Amount Due]],0,SUMIF(INDIRECT("B4:B"&amp;ROW()-1),Payments[[#This Row],[Invoice '#]],Payments[Amount Paid]))),"")</f>
        <v/>
      </c>
      <c r="F208" s="41"/>
      <c r="G208" s="10"/>
      <c r="H208" s="38" t="str">
        <f ca="1">IFERROR(IF(Payments[[#This Row],[Amount Due]]="","",IF(Payments[[#This Row],[Amount Due]]=0,0,Payments[[#This Row],[Amount Due]]-Payments[[#This Row],[Amount Paid]])),"")</f>
        <v/>
      </c>
      <c r="I208" s="2"/>
    </row>
    <row r="209" spans="2:9" ht="14.1" customHeight="1" x14ac:dyDescent="0.2">
      <c r="B209" s="11"/>
      <c r="C209" s="14" t="str">
        <f>IFERROR(IF(Payments[[#This Row],[Invoice '#]]="","",INDEX(Invoices[Customer],MATCH(Payments[[#This Row],[Invoice '#]],Invoices[Invoice '#],0))),"")</f>
        <v/>
      </c>
      <c r="D209" s="15" t="str">
        <f>IFERROR(IF(Payments[[#This Row],[Invoice '#]]="","",INDEX(Invoices[Due Date],MATCH(Payments[[#This Row],[Invoice '#]],Invoices[Invoice '#],0))),"")</f>
        <v/>
      </c>
      <c r="E209" s="40" t="str">
        <f ca="1">IFERROR(IF(Payments[[#This Row],[Invoice '#]]="","",INDEX(Invoices[Amount due],MATCH(Payments[[#This Row],[Invoice '#]],Invoices[Invoice '#],0))-IF(E208=Payments[[#Headers],[Amount Due]],0,SUMIF(INDIRECT("B4:B"&amp;ROW()-1),Payments[[#This Row],[Invoice '#]],Payments[Amount Paid]))),"")</f>
        <v/>
      </c>
      <c r="F209" s="41"/>
      <c r="G209" s="10"/>
      <c r="H209" s="38" t="str">
        <f ca="1">IFERROR(IF(Payments[[#This Row],[Amount Due]]="","",IF(Payments[[#This Row],[Amount Due]]=0,0,Payments[[#This Row],[Amount Due]]-Payments[[#This Row],[Amount Paid]])),"")</f>
        <v/>
      </c>
      <c r="I209" s="2"/>
    </row>
    <row r="210" spans="2:9" ht="14.1" customHeight="1" x14ac:dyDescent="0.2">
      <c r="B210" s="11"/>
      <c r="C210" s="14" t="str">
        <f>IFERROR(IF(Payments[[#This Row],[Invoice '#]]="","",INDEX(Invoices[Customer],MATCH(Payments[[#This Row],[Invoice '#]],Invoices[Invoice '#],0))),"")</f>
        <v/>
      </c>
      <c r="D210" s="15" t="str">
        <f>IFERROR(IF(Payments[[#This Row],[Invoice '#]]="","",INDEX(Invoices[Due Date],MATCH(Payments[[#This Row],[Invoice '#]],Invoices[Invoice '#],0))),"")</f>
        <v/>
      </c>
      <c r="E210" s="40" t="str">
        <f ca="1">IFERROR(IF(Payments[[#This Row],[Invoice '#]]="","",INDEX(Invoices[Amount due],MATCH(Payments[[#This Row],[Invoice '#]],Invoices[Invoice '#],0))-IF(E209=Payments[[#Headers],[Amount Due]],0,SUMIF(INDIRECT("B4:B"&amp;ROW()-1),Payments[[#This Row],[Invoice '#]],Payments[Amount Paid]))),"")</f>
        <v/>
      </c>
      <c r="F210" s="41"/>
      <c r="G210" s="10"/>
      <c r="H210" s="38" t="str">
        <f ca="1">IFERROR(IF(Payments[[#This Row],[Amount Due]]="","",IF(Payments[[#This Row],[Amount Due]]=0,0,Payments[[#This Row],[Amount Due]]-Payments[[#This Row],[Amount Paid]])),"")</f>
        <v/>
      </c>
      <c r="I210" s="2"/>
    </row>
    <row r="211" spans="2:9" ht="14.1" customHeight="1" x14ac:dyDescent="0.2">
      <c r="B211" s="11"/>
      <c r="C211" s="14" t="str">
        <f>IFERROR(IF(Payments[[#This Row],[Invoice '#]]="","",INDEX(Invoices[Customer],MATCH(Payments[[#This Row],[Invoice '#]],Invoices[Invoice '#],0))),"")</f>
        <v/>
      </c>
      <c r="D211" s="15" t="str">
        <f>IFERROR(IF(Payments[[#This Row],[Invoice '#]]="","",INDEX(Invoices[Due Date],MATCH(Payments[[#This Row],[Invoice '#]],Invoices[Invoice '#],0))),"")</f>
        <v/>
      </c>
      <c r="E211" s="40" t="str">
        <f ca="1">IFERROR(IF(Payments[[#This Row],[Invoice '#]]="","",INDEX(Invoices[Amount due],MATCH(Payments[[#This Row],[Invoice '#]],Invoices[Invoice '#],0))-IF(E210=Payments[[#Headers],[Amount Due]],0,SUMIF(INDIRECT("B4:B"&amp;ROW()-1),Payments[[#This Row],[Invoice '#]],Payments[Amount Paid]))),"")</f>
        <v/>
      </c>
      <c r="F211" s="41"/>
      <c r="G211" s="10"/>
      <c r="H211" s="38" t="str">
        <f ca="1">IFERROR(IF(Payments[[#This Row],[Amount Due]]="","",IF(Payments[[#This Row],[Amount Due]]=0,0,Payments[[#This Row],[Amount Due]]-Payments[[#This Row],[Amount Paid]])),"")</f>
        <v/>
      </c>
      <c r="I211" s="2"/>
    </row>
    <row r="212" spans="2:9" ht="14.1" customHeight="1" x14ac:dyDescent="0.2">
      <c r="B212" s="11"/>
      <c r="C212" s="14" t="str">
        <f>IFERROR(IF(Payments[[#This Row],[Invoice '#]]="","",INDEX(Invoices[Customer],MATCH(Payments[[#This Row],[Invoice '#]],Invoices[Invoice '#],0))),"")</f>
        <v/>
      </c>
      <c r="D212" s="15" t="str">
        <f>IFERROR(IF(Payments[[#This Row],[Invoice '#]]="","",INDEX(Invoices[Due Date],MATCH(Payments[[#This Row],[Invoice '#]],Invoices[Invoice '#],0))),"")</f>
        <v/>
      </c>
      <c r="E212" s="40" t="str">
        <f ca="1">IFERROR(IF(Payments[[#This Row],[Invoice '#]]="","",INDEX(Invoices[Amount due],MATCH(Payments[[#This Row],[Invoice '#]],Invoices[Invoice '#],0))-IF(E211=Payments[[#Headers],[Amount Due]],0,SUMIF(INDIRECT("B4:B"&amp;ROW()-1),Payments[[#This Row],[Invoice '#]],Payments[Amount Paid]))),"")</f>
        <v/>
      </c>
      <c r="F212" s="41"/>
      <c r="G212" s="10"/>
      <c r="H212" s="38" t="str">
        <f ca="1">IFERROR(IF(Payments[[#This Row],[Amount Due]]="","",IF(Payments[[#This Row],[Amount Due]]=0,0,Payments[[#This Row],[Amount Due]]-Payments[[#This Row],[Amount Paid]])),"")</f>
        <v/>
      </c>
      <c r="I212" s="2"/>
    </row>
    <row r="213" spans="2:9" ht="14.1" customHeight="1" x14ac:dyDescent="0.2">
      <c r="B213" s="11"/>
      <c r="C213" s="14" t="str">
        <f>IFERROR(IF(Payments[[#This Row],[Invoice '#]]="","",INDEX(Invoices[Customer],MATCH(Payments[[#This Row],[Invoice '#]],Invoices[Invoice '#],0))),"")</f>
        <v/>
      </c>
      <c r="D213" s="15" t="str">
        <f>IFERROR(IF(Payments[[#This Row],[Invoice '#]]="","",INDEX(Invoices[Due Date],MATCH(Payments[[#This Row],[Invoice '#]],Invoices[Invoice '#],0))),"")</f>
        <v/>
      </c>
      <c r="E213" s="40" t="str">
        <f ca="1">IFERROR(IF(Payments[[#This Row],[Invoice '#]]="","",INDEX(Invoices[Amount due],MATCH(Payments[[#This Row],[Invoice '#]],Invoices[Invoice '#],0))-IF(E212=Payments[[#Headers],[Amount Due]],0,SUMIF(INDIRECT("B4:B"&amp;ROW()-1),Payments[[#This Row],[Invoice '#]],Payments[Amount Paid]))),"")</f>
        <v/>
      </c>
      <c r="F213" s="41"/>
      <c r="G213" s="10"/>
      <c r="H213" s="38" t="str">
        <f ca="1">IFERROR(IF(Payments[[#This Row],[Amount Due]]="","",IF(Payments[[#This Row],[Amount Due]]=0,0,Payments[[#This Row],[Amount Due]]-Payments[[#This Row],[Amount Paid]])),"")</f>
        <v/>
      </c>
      <c r="I213" s="2"/>
    </row>
    <row r="214" spans="2:9" ht="14.1" customHeight="1" x14ac:dyDescent="0.2">
      <c r="B214" s="11"/>
      <c r="C214" s="14" t="str">
        <f>IFERROR(IF(Payments[[#This Row],[Invoice '#]]="","",INDEX(Invoices[Customer],MATCH(Payments[[#This Row],[Invoice '#]],Invoices[Invoice '#],0))),"")</f>
        <v/>
      </c>
      <c r="D214" s="15" t="str">
        <f>IFERROR(IF(Payments[[#This Row],[Invoice '#]]="","",INDEX(Invoices[Due Date],MATCH(Payments[[#This Row],[Invoice '#]],Invoices[Invoice '#],0))),"")</f>
        <v/>
      </c>
      <c r="E214" s="40" t="str">
        <f ca="1">IFERROR(IF(Payments[[#This Row],[Invoice '#]]="","",INDEX(Invoices[Amount due],MATCH(Payments[[#This Row],[Invoice '#]],Invoices[Invoice '#],0))-IF(E213=Payments[[#Headers],[Amount Due]],0,SUMIF(INDIRECT("B4:B"&amp;ROW()-1),Payments[[#This Row],[Invoice '#]],Payments[Amount Paid]))),"")</f>
        <v/>
      </c>
      <c r="F214" s="41"/>
      <c r="G214" s="10"/>
      <c r="H214" s="38" t="str">
        <f ca="1">IFERROR(IF(Payments[[#This Row],[Amount Due]]="","",IF(Payments[[#This Row],[Amount Due]]=0,0,Payments[[#This Row],[Amount Due]]-Payments[[#This Row],[Amount Paid]])),"")</f>
        <v/>
      </c>
      <c r="I214" s="2"/>
    </row>
    <row r="215" spans="2:9" ht="14.1" customHeight="1" x14ac:dyDescent="0.2">
      <c r="B215" s="11"/>
      <c r="C215" s="14" t="str">
        <f>IFERROR(IF(Payments[[#This Row],[Invoice '#]]="","",INDEX(Invoices[Customer],MATCH(Payments[[#This Row],[Invoice '#]],Invoices[Invoice '#],0))),"")</f>
        <v/>
      </c>
      <c r="D215" s="15" t="str">
        <f>IFERROR(IF(Payments[[#This Row],[Invoice '#]]="","",INDEX(Invoices[Due Date],MATCH(Payments[[#This Row],[Invoice '#]],Invoices[Invoice '#],0))),"")</f>
        <v/>
      </c>
      <c r="E215" s="40" t="str">
        <f ca="1">IFERROR(IF(Payments[[#This Row],[Invoice '#]]="","",INDEX(Invoices[Amount due],MATCH(Payments[[#This Row],[Invoice '#]],Invoices[Invoice '#],0))-IF(E214=Payments[[#Headers],[Amount Due]],0,SUMIF(INDIRECT("B4:B"&amp;ROW()-1),Payments[[#This Row],[Invoice '#]],Payments[Amount Paid]))),"")</f>
        <v/>
      </c>
      <c r="F215" s="41"/>
      <c r="G215" s="10"/>
      <c r="H215" s="38" t="str">
        <f ca="1">IFERROR(IF(Payments[[#This Row],[Amount Due]]="","",IF(Payments[[#This Row],[Amount Due]]=0,0,Payments[[#This Row],[Amount Due]]-Payments[[#This Row],[Amount Paid]])),"")</f>
        <v/>
      </c>
      <c r="I215" s="2"/>
    </row>
    <row r="216" spans="2:9" ht="14.1" customHeight="1" x14ac:dyDescent="0.2">
      <c r="B216" s="11"/>
      <c r="C216" s="14" t="str">
        <f>IFERROR(IF(Payments[[#This Row],[Invoice '#]]="","",INDEX(Invoices[Customer],MATCH(Payments[[#This Row],[Invoice '#]],Invoices[Invoice '#],0))),"")</f>
        <v/>
      </c>
      <c r="D216" s="15" t="str">
        <f>IFERROR(IF(Payments[[#This Row],[Invoice '#]]="","",INDEX(Invoices[Due Date],MATCH(Payments[[#This Row],[Invoice '#]],Invoices[Invoice '#],0))),"")</f>
        <v/>
      </c>
      <c r="E216" s="40" t="str">
        <f ca="1">IFERROR(IF(Payments[[#This Row],[Invoice '#]]="","",INDEX(Invoices[Amount due],MATCH(Payments[[#This Row],[Invoice '#]],Invoices[Invoice '#],0))-IF(E215=Payments[[#Headers],[Amount Due]],0,SUMIF(INDIRECT("B4:B"&amp;ROW()-1),Payments[[#This Row],[Invoice '#]],Payments[Amount Paid]))),"")</f>
        <v/>
      </c>
      <c r="F216" s="41"/>
      <c r="G216" s="10"/>
      <c r="H216" s="38" t="str">
        <f ca="1">IFERROR(IF(Payments[[#This Row],[Amount Due]]="","",IF(Payments[[#This Row],[Amount Due]]=0,0,Payments[[#This Row],[Amount Due]]-Payments[[#This Row],[Amount Paid]])),"")</f>
        <v/>
      </c>
      <c r="I216" s="2"/>
    </row>
    <row r="217" spans="2:9" ht="14.1" customHeight="1" x14ac:dyDescent="0.2">
      <c r="B217" s="11"/>
      <c r="C217" s="14" t="str">
        <f>IFERROR(IF(Payments[[#This Row],[Invoice '#]]="","",INDEX(Invoices[Customer],MATCH(Payments[[#This Row],[Invoice '#]],Invoices[Invoice '#],0))),"")</f>
        <v/>
      </c>
      <c r="D217" s="15" t="str">
        <f>IFERROR(IF(Payments[[#This Row],[Invoice '#]]="","",INDEX(Invoices[Due Date],MATCH(Payments[[#This Row],[Invoice '#]],Invoices[Invoice '#],0))),"")</f>
        <v/>
      </c>
      <c r="E217" s="40" t="str">
        <f ca="1">IFERROR(IF(Payments[[#This Row],[Invoice '#]]="","",INDEX(Invoices[Amount due],MATCH(Payments[[#This Row],[Invoice '#]],Invoices[Invoice '#],0))-IF(E216=Payments[[#Headers],[Amount Due]],0,SUMIF(INDIRECT("B4:B"&amp;ROW()-1),Payments[[#This Row],[Invoice '#]],Payments[Amount Paid]))),"")</f>
        <v/>
      </c>
      <c r="F217" s="41"/>
      <c r="G217" s="10"/>
      <c r="H217" s="38" t="str">
        <f ca="1">IFERROR(IF(Payments[[#This Row],[Amount Due]]="","",IF(Payments[[#This Row],[Amount Due]]=0,0,Payments[[#This Row],[Amount Due]]-Payments[[#This Row],[Amount Paid]])),"")</f>
        <v/>
      </c>
      <c r="I217" s="2"/>
    </row>
    <row r="218" spans="2:9" ht="14.1" customHeight="1" x14ac:dyDescent="0.2">
      <c r="B218" s="11"/>
      <c r="C218" s="14" t="str">
        <f>IFERROR(IF(Payments[[#This Row],[Invoice '#]]="","",INDEX(Invoices[Customer],MATCH(Payments[[#This Row],[Invoice '#]],Invoices[Invoice '#],0))),"")</f>
        <v/>
      </c>
      <c r="D218" s="15" t="str">
        <f>IFERROR(IF(Payments[[#This Row],[Invoice '#]]="","",INDEX(Invoices[Due Date],MATCH(Payments[[#This Row],[Invoice '#]],Invoices[Invoice '#],0))),"")</f>
        <v/>
      </c>
      <c r="E218" s="40" t="str">
        <f ca="1">IFERROR(IF(Payments[[#This Row],[Invoice '#]]="","",INDEX(Invoices[Amount due],MATCH(Payments[[#This Row],[Invoice '#]],Invoices[Invoice '#],0))-IF(E217=Payments[[#Headers],[Amount Due]],0,SUMIF(INDIRECT("B4:B"&amp;ROW()-1),Payments[[#This Row],[Invoice '#]],Payments[Amount Paid]))),"")</f>
        <v/>
      </c>
      <c r="F218" s="41"/>
      <c r="G218" s="10"/>
      <c r="H218" s="38" t="str">
        <f ca="1">IFERROR(IF(Payments[[#This Row],[Amount Due]]="","",IF(Payments[[#This Row],[Amount Due]]=0,0,Payments[[#This Row],[Amount Due]]-Payments[[#This Row],[Amount Paid]])),"")</f>
        <v/>
      </c>
      <c r="I218" s="2"/>
    </row>
    <row r="219" spans="2:9" ht="14.1" customHeight="1" x14ac:dyDescent="0.2">
      <c r="B219" s="11"/>
      <c r="C219" s="14" t="str">
        <f>IFERROR(IF(Payments[[#This Row],[Invoice '#]]="","",INDEX(Invoices[Customer],MATCH(Payments[[#This Row],[Invoice '#]],Invoices[Invoice '#],0))),"")</f>
        <v/>
      </c>
      <c r="D219" s="15" t="str">
        <f>IFERROR(IF(Payments[[#This Row],[Invoice '#]]="","",INDEX(Invoices[Due Date],MATCH(Payments[[#This Row],[Invoice '#]],Invoices[Invoice '#],0))),"")</f>
        <v/>
      </c>
      <c r="E219" s="40" t="str">
        <f ca="1">IFERROR(IF(Payments[[#This Row],[Invoice '#]]="","",INDEX(Invoices[Amount due],MATCH(Payments[[#This Row],[Invoice '#]],Invoices[Invoice '#],0))-IF(E218=Payments[[#Headers],[Amount Due]],0,SUMIF(INDIRECT("B4:B"&amp;ROW()-1),Payments[[#This Row],[Invoice '#]],Payments[Amount Paid]))),"")</f>
        <v/>
      </c>
      <c r="F219" s="41"/>
      <c r="G219" s="10"/>
      <c r="H219" s="38" t="str">
        <f ca="1">IFERROR(IF(Payments[[#This Row],[Amount Due]]="","",IF(Payments[[#This Row],[Amount Due]]=0,0,Payments[[#This Row],[Amount Due]]-Payments[[#This Row],[Amount Paid]])),"")</f>
        <v/>
      </c>
      <c r="I219" s="2"/>
    </row>
    <row r="220" spans="2:9" ht="14.1" customHeight="1" x14ac:dyDescent="0.2">
      <c r="B220" s="11"/>
      <c r="C220" s="14" t="str">
        <f>IFERROR(IF(Payments[[#This Row],[Invoice '#]]="","",INDEX(Invoices[Customer],MATCH(Payments[[#This Row],[Invoice '#]],Invoices[Invoice '#],0))),"")</f>
        <v/>
      </c>
      <c r="D220" s="15" t="str">
        <f>IFERROR(IF(Payments[[#This Row],[Invoice '#]]="","",INDEX(Invoices[Due Date],MATCH(Payments[[#This Row],[Invoice '#]],Invoices[Invoice '#],0))),"")</f>
        <v/>
      </c>
      <c r="E220" s="40" t="str">
        <f ca="1">IFERROR(IF(Payments[[#This Row],[Invoice '#]]="","",INDEX(Invoices[Amount due],MATCH(Payments[[#This Row],[Invoice '#]],Invoices[Invoice '#],0))-IF(E219=Payments[[#Headers],[Amount Due]],0,SUMIF(INDIRECT("B4:B"&amp;ROW()-1),Payments[[#This Row],[Invoice '#]],Payments[Amount Paid]))),"")</f>
        <v/>
      </c>
      <c r="F220" s="41"/>
      <c r="G220" s="10"/>
      <c r="H220" s="38" t="str">
        <f ca="1">IFERROR(IF(Payments[[#This Row],[Amount Due]]="","",IF(Payments[[#This Row],[Amount Due]]=0,0,Payments[[#This Row],[Amount Due]]-Payments[[#This Row],[Amount Paid]])),"")</f>
        <v/>
      </c>
      <c r="I220" s="2"/>
    </row>
    <row r="221" spans="2:9" ht="14.1" customHeight="1" x14ac:dyDescent="0.2">
      <c r="B221" s="11"/>
      <c r="C221" s="14" t="str">
        <f>IFERROR(IF(Payments[[#This Row],[Invoice '#]]="","",INDEX(Invoices[Customer],MATCH(Payments[[#This Row],[Invoice '#]],Invoices[Invoice '#],0))),"")</f>
        <v/>
      </c>
      <c r="D221" s="15" t="str">
        <f>IFERROR(IF(Payments[[#This Row],[Invoice '#]]="","",INDEX(Invoices[Due Date],MATCH(Payments[[#This Row],[Invoice '#]],Invoices[Invoice '#],0))),"")</f>
        <v/>
      </c>
      <c r="E221" s="40" t="str">
        <f ca="1">IFERROR(IF(Payments[[#This Row],[Invoice '#]]="","",INDEX(Invoices[Amount due],MATCH(Payments[[#This Row],[Invoice '#]],Invoices[Invoice '#],0))-IF(E220=Payments[[#Headers],[Amount Due]],0,SUMIF(INDIRECT("B4:B"&amp;ROW()-1),Payments[[#This Row],[Invoice '#]],Payments[Amount Paid]))),"")</f>
        <v/>
      </c>
      <c r="F221" s="41"/>
      <c r="G221" s="10"/>
      <c r="H221" s="38" t="str">
        <f ca="1">IFERROR(IF(Payments[[#This Row],[Amount Due]]="","",IF(Payments[[#This Row],[Amount Due]]=0,0,Payments[[#This Row],[Amount Due]]-Payments[[#This Row],[Amount Paid]])),"")</f>
        <v/>
      </c>
      <c r="I221" s="2"/>
    </row>
    <row r="222" spans="2:9" ht="14.1" customHeight="1" x14ac:dyDescent="0.2">
      <c r="B222" s="11"/>
      <c r="C222" s="14" t="str">
        <f>IFERROR(IF(Payments[[#This Row],[Invoice '#]]="","",INDEX(Invoices[Customer],MATCH(Payments[[#This Row],[Invoice '#]],Invoices[Invoice '#],0))),"")</f>
        <v/>
      </c>
      <c r="D222" s="15" t="str">
        <f>IFERROR(IF(Payments[[#This Row],[Invoice '#]]="","",INDEX(Invoices[Due Date],MATCH(Payments[[#This Row],[Invoice '#]],Invoices[Invoice '#],0))),"")</f>
        <v/>
      </c>
      <c r="E222" s="40" t="str">
        <f ca="1">IFERROR(IF(Payments[[#This Row],[Invoice '#]]="","",INDEX(Invoices[Amount due],MATCH(Payments[[#This Row],[Invoice '#]],Invoices[Invoice '#],0))-IF(E221=Payments[[#Headers],[Amount Due]],0,SUMIF(INDIRECT("B4:B"&amp;ROW()-1),Payments[[#This Row],[Invoice '#]],Payments[Amount Paid]))),"")</f>
        <v/>
      </c>
      <c r="F222" s="41"/>
      <c r="G222" s="10"/>
      <c r="H222" s="38" t="str">
        <f ca="1">IFERROR(IF(Payments[[#This Row],[Amount Due]]="","",IF(Payments[[#This Row],[Amount Due]]=0,0,Payments[[#This Row],[Amount Due]]-Payments[[#This Row],[Amount Paid]])),"")</f>
        <v/>
      </c>
      <c r="I222" s="2"/>
    </row>
    <row r="223" spans="2:9" ht="14.1" customHeight="1" x14ac:dyDescent="0.2">
      <c r="B223" s="11"/>
      <c r="C223" s="14" t="str">
        <f>IFERROR(IF(Payments[[#This Row],[Invoice '#]]="","",INDEX(Invoices[Customer],MATCH(Payments[[#This Row],[Invoice '#]],Invoices[Invoice '#],0))),"")</f>
        <v/>
      </c>
      <c r="D223" s="15" t="str">
        <f>IFERROR(IF(Payments[[#This Row],[Invoice '#]]="","",INDEX(Invoices[Due Date],MATCH(Payments[[#This Row],[Invoice '#]],Invoices[Invoice '#],0))),"")</f>
        <v/>
      </c>
      <c r="E223" s="40" t="str">
        <f ca="1">IFERROR(IF(Payments[[#This Row],[Invoice '#]]="","",INDEX(Invoices[Amount due],MATCH(Payments[[#This Row],[Invoice '#]],Invoices[Invoice '#],0))-IF(E222=Payments[[#Headers],[Amount Due]],0,SUMIF(INDIRECT("B4:B"&amp;ROW()-1),Payments[[#This Row],[Invoice '#]],Payments[Amount Paid]))),"")</f>
        <v/>
      </c>
      <c r="F223" s="41"/>
      <c r="G223" s="10"/>
      <c r="H223" s="38" t="str">
        <f ca="1">IFERROR(IF(Payments[[#This Row],[Amount Due]]="","",IF(Payments[[#This Row],[Amount Due]]=0,0,Payments[[#This Row],[Amount Due]]-Payments[[#This Row],[Amount Paid]])),"")</f>
        <v/>
      </c>
      <c r="I223" s="2"/>
    </row>
    <row r="224" spans="2:9" ht="14.1" customHeight="1" x14ac:dyDescent="0.2">
      <c r="B224" s="11"/>
      <c r="C224" s="14" t="str">
        <f>IFERROR(IF(Payments[[#This Row],[Invoice '#]]="","",INDEX(Invoices[Customer],MATCH(Payments[[#This Row],[Invoice '#]],Invoices[Invoice '#],0))),"")</f>
        <v/>
      </c>
      <c r="D224" s="15" t="str">
        <f>IFERROR(IF(Payments[[#This Row],[Invoice '#]]="","",INDEX(Invoices[Due Date],MATCH(Payments[[#This Row],[Invoice '#]],Invoices[Invoice '#],0))),"")</f>
        <v/>
      </c>
      <c r="E224" s="40" t="str">
        <f ca="1">IFERROR(IF(Payments[[#This Row],[Invoice '#]]="","",INDEX(Invoices[Amount due],MATCH(Payments[[#This Row],[Invoice '#]],Invoices[Invoice '#],0))-IF(E223=Payments[[#Headers],[Amount Due]],0,SUMIF(INDIRECT("B4:B"&amp;ROW()-1),Payments[[#This Row],[Invoice '#]],Payments[Amount Paid]))),"")</f>
        <v/>
      </c>
      <c r="F224" s="41"/>
      <c r="G224" s="10"/>
      <c r="H224" s="38" t="str">
        <f ca="1">IFERROR(IF(Payments[[#This Row],[Amount Due]]="","",IF(Payments[[#This Row],[Amount Due]]=0,0,Payments[[#This Row],[Amount Due]]-Payments[[#This Row],[Amount Paid]])),"")</f>
        <v/>
      </c>
      <c r="I224" s="2"/>
    </row>
    <row r="225" spans="2:9" ht="14.1" customHeight="1" x14ac:dyDescent="0.2">
      <c r="B225" s="11"/>
      <c r="C225" s="14" t="str">
        <f>IFERROR(IF(Payments[[#This Row],[Invoice '#]]="","",INDEX(Invoices[Customer],MATCH(Payments[[#This Row],[Invoice '#]],Invoices[Invoice '#],0))),"")</f>
        <v/>
      </c>
      <c r="D225" s="15" t="str">
        <f>IFERROR(IF(Payments[[#This Row],[Invoice '#]]="","",INDEX(Invoices[Due Date],MATCH(Payments[[#This Row],[Invoice '#]],Invoices[Invoice '#],0))),"")</f>
        <v/>
      </c>
      <c r="E225" s="40" t="str">
        <f ca="1">IFERROR(IF(Payments[[#This Row],[Invoice '#]]="","",INDEX(Invoices[Amount due],MATCH(Payments[[#This Row],[Invoice '#]],Invoices[Invoice '#],0))-IF(E224=Payments[[#Headers],[Amount Due]],0,SUMIF(INDIRECT("B4:B"&amp;ROW()-1),Payments[[#This Row],[Invoice '#]],Payments[Amount Paid]))),"")</f>
        <v/>
      </c>
      <c r="F225" s="41"/>
      <c r="G225" s="10"/>
      <c r="H225" s="38" t="str">
        <f ca="1">IFERROR(IF(Payments[[#This Row],[Amount Due]]="","",IF(Payments[[#This Row],[Amount Due]]=0,0,Payments[[#This Row],[Amount Due]]-Payments[[#This Row],[Amount Paid]])),"")</f>
        <v/>
      </c>
      <c r="I225" s="2"/>
    </row>
    <row r="226" spans="2:9" ht="14.1" customHeight="1" x14ac:dyDescent="0.2">
      <c r="B226" s="11"/>
      <c r="C226" s="14" t="str">
        <f>IFERROR(IF(Payments[[#This Row],[Invoice '#]]="","",INDEX(Invoices[Customer],MATCH(Payments[[#This Row],[Invoice '#]],Invoices[Invoice '#],0))),"")</f>
        <v/>
      </c>
      <c r="D226" s="15" t="str">
        <f>IFERROR(IF(Payments[[#This Row],[Invoice '#]]="","",INDEX(Invoices[Due Date],MATCH(Payments[[#This Row],[Invoice '#]],Invoices[Invoice '#],0))),"")</f>
        <v/>
      </c>
      <c r="E226" s="40" t="str">
        <f ca="1">IFERROR(IF(Payments[[#This Row],[Invoice '#]]="","",INDEX(Invoices[Amount due],MATCH(Payments[[#This Row],[Invoice '#]],Invoices[Invoice '#],0))-IF(E225=Payments[[#Headers],[Amount Due]],0,SUMIF(INDIRECT("B4:B"&amp;ROW()-1),Payments[[#This Row],[Invoice '#]],Payments[Amount Paid]))),"")</f>
        <v/>
      </c>
      <c r="F226" s="41"/>
      <c r="G226" s="10"/>
      <c r="H226" s="38" t="str">
        <f ca="1">IFERROR(IF(Payments[[#This Row],[Amount Due]]="","",IF(Payments[[#This Row],[Amount Due]]=0,0,Payments[[#This Row],[Amount Due]]-Payments[[#This Row],[Amount Paid]])),"")</f>
        <v/>
      </c>
      <c r="I226" s="2"/>
    </row>
    <row r="227" spans="2:9" ht="14.1" customHeight="1" x14ac:dyDescent="0.2">
      <c r="B227" s="11"/>
      <c r="C227" s="14" t="str">
        <f>IFERROR(IF(Payments[[#This Row],[Invoice '#]]="","",INDEX(Invoices[Customer],MATCH(Payments[[#This Row],[Invoice '#]],Invoices[Invoice '#],0))),"")</f>
        <v/>
      </c>
      <c r="D227" s="15" t="str">
        <f>IFERROR(IF(Payments[[#This Row],[Invoice '#]]="","",INDEX(Invoices[Due Date],MATCH(Payments[[#This Row],[Invoice '#]],Invoices[Invoice '#],0))),"")</f>
        <v/>
      </c>
      <c r="E227" s="40" t="str">
        <f ca="1">IFERROR(IF(Payments[[#This Row],[Invoice '#]]="","",INDEX(Invoices[Amount due],MATCH(Payments[[#This Row],[Invoice '#]],Invoices[Invoice '#],0))-IF(E226=Payments[[#Headers],[Amount Due]],0,SUMIF(INDIRECT("B4:B"&amp;ROW()-1),Payments[[#This Row],[Invoice '#]],Payments[Amount Paid]))),"")</f>
        <v/>
      </c>
      <c r="F227" s="41"/>
      <c r="G227" s="10"/>
      <c r="H227" s="38" t="str">
        <f ca="1">IFERROR(IF(Payments[[#This Row],[Amount Due]]="","",IF(Payments[[#This Row],[Amount Due]]=0,0,Payments[[#This Row],[Amount Due]]-Payments[[#This Row],[Amount Paid]])),"")</f>
        <v/>
      </c>
      <c r="I227" s="2"/>
    </row>
    <row r="228" spans="2:9" ht="14.1" customHeight="1" x14ac:dyDescent="0.2">
      <c r="B228" s="11"/>
      <c r="C228" s="14" t="str">
        <f>IFERROR(IF(Payments[[#This Row],[Invoice '#]]="","",INDEX(Invoices[Customer],MATCH(Payments[[#This Row],[Invoice '#]],Invoices[Invoice '#],0))),"")</f>
        <v/>
      </c>
      <c r="D228" s="15" t="str">
        <f>IFERROR(IF(Payments[[#This Row],[Invoice '#]]="","",INDEX(Invoices[Due Date],MATCH(Payments[[#This Row],[Invoice '#]],Invoices[Invoice '#],0))),"")</f>
        <v/>
      </c>
      <c r="E228" s="40" t="str">
        <f ca="1">IFERROR(IF(Payments[[#This Row],[Invoice '#]]="","",INDEX(Invoices[Amount due],MATCH(Payments[[#This Row],[Invoice '#]],Invoices[Invoice '#],0))-IF(E227=Payments[[#Headers],[Amount Due]],0,SUMIF(INDIRECT("B4:B"&amp;ROW()-1),Payments[[#This Row],[Invoice '#]],Payments[Amount Paid]))),"")</f>
        <v/>
      </c>
      <c r="F228" s="41"/>
      <c r="G228" s="10"/>
      <c r="H228" s="38" t="str">
        <f ca="1">IFERROR(IF(Payments[[#This Row],[Amount Due]]="","",IF(Payments[[#This Row],[Amount Due]]=0,0,Payments[[#This Row],[Amount Due]]-Payments[[#This Row],[Amount Paid]])),"")</f>
        <v/>
      </c>
      <c r="I228" s="2"/>
    </row>
    <row r="229" spans="2:9" ht="14.1" customHeight="1" x14ac:dyDescent="0.2">
      <c r="B229" s="11"/>
      <c r="C229" s="14" t="str">
        <f>IFERROR(IF(Payments[[#This Row],[Invoice '#]]="","",INDEX(Invoices[Customer],MATCH(Payments[[#This Row],[Invoice '#]],Invoices[Invoice '#],0))),"")</f>
        <v/>
      </c>
      <c r="D229" s="15" t="str">
        <f>IFERROR(IF(Payments[[#This Row],[Invoice '#]]="","",INDEX(Invoices[Due Date],MATCH(Payments[[#This Row],[Invoice '#]],Invoices[Invoice '#],0))),"")</f>
        <v/>
      </c>
      <c r="E229" s="40" t="str">
        <f ca="1">IFERROR(IF(Payments[[#This Row],[Invoice '#]]="","",INDEX(Invoices[Amount due],MATCH(Payments[[#This Row],[Invoice '#]],Invoices[Invoice '#],0))-IF(E228=Payments[[#Headers],[Amount Due]],0,SUMIF(INDIRECT("B4:B"&amp;ROW()-1),Payments[[#This Row],[Invoice '#]],Payments[Amount Paid]))),"")</f>
        <v/>
      </c>
      <c r="F229" s="41"/>
      <c r="G229" s="10"/>
      <c r="H229" s="38" t="str">
        <f ca="1">IFERROR(IF(Payments[[#This Row],[Amount Due]]="","",IF(Payments[[#This Row],[Amount Due]]=0,0,Payments[[#This Row],[Amount Due]]-Payments[[#This Row],[Amount Paid]])),"")</f>
        <v/>
      </c>
      <c r="I229" s="2"/>
    </row>
    <row r="230" spans="2:9" ht="14.1" customHeight="1" x14ac:dyDescent="0.2">
      <c r="B230" s="11"/>
      <c r="C230" s="14" t="str">
        <f>IFERROR(IF(Payments[[#This Row],[Invoice '#]]="","",INDEX(Invoices[Customer],MATCH(Payments[[#This Row],[Invoice '#]],Invoices[Invoice '#],0))),"")</f>
        <v/>
      </c>
      <c r="D230" s="15" t="str">
        <f>IFERROR(IF(Payments[[#This Row],[Invoice '#]]="","",INDEX(Invoices[Due Date],MATCH(Payments[[#This Row],[Invoice '#]],Invoices[Invoice '#],0))),"")</f>
        <v/>
      </c>
      <c r="E230" s="40" t="str">
        <f ca="1">IFERROR(IF(Payments[[#This Row],[Invoice '#]]="","",INDEX(Invoices[Amount due],MATCH(Payments[[#This Row],[Invoice '#]],Invoices[Invoice '#],0))-IF(E229=Payments[[#Headers],[Amount Due]],0,SUMIF(INDIRECT("B4:B"&amp;ROW()-1),Payments[[#This Row],[Invoice '#]],Payments[Amount Paid]))),"")</f>
        <v/>
      </c>
      <c r="F230" s="41"/>
      <c r="G230" s="10"/>
      <c r="H230" s="38" t="str">
        <f ca="1">IFERROR(IF(Payments[[#This Row],[Amount Due]]="","",IF(Payments[[#This Row],[Amount Due]]=0,0,Payments[[#This Row],[Amount Due]]-Payments[[#This Row],[Amount Paid]])),"")</f>
        <v/>
      </c>
      <c r="I230" s="2"/>
    </row>
    <row r="231" spans="2:9" ht="14.1" customHeight="1" x14ac:dyDescent="0.2">
      <c r="B231" s="11"/>
      <c r="C231" s="14" t="str">
        <f>IFERROR(IF(Payments[[#This Row],[Invoice '#]]="","",INDEX(Invoices[Customer],MATCH(Payments[[#This Row],[Invoice '#]],Invoices[Invoice '#],0))),"")</f>
        <v/>
      </c>
      <c r="D231" s="15" t="str">
        <f>IFERROR(IF(Payments[[#This Row],[Invoice '#]]="","",INDEX(Invoices[Due Date],MATCH(Payments[[#This Row],[Invoice '#]],Invoices[Invoice '#],0))),"")</f>
        <v/>
      </c>
      <c r="E231" s="40" t="str">
        <f ca="1">IFERROR(IF(Payments[[#This Row],[Invoice '#]]="","",INDEX(Invoices[Amount due],MATCH(Payments[[#This Row],[Invoice '#]],Invoices[Invoice '#],0))-IF(E230=Payments[[#Headers],[Amount Due]],0,SUMIF(INDIRECT("B4:B"&amp;ROW()-1),Payments[[#This Row],[Invoice '#]],Payments[Amount Paid]))),"")</f>
        <v/>
      </c>
      <c r="F231" s="41"/>
      <c r="G231" s="10"/>
      <c r="H231" s="38" t="str">
        <f ca="1">IFERROR(IF(Payments[[#This Row],[Amount Due]]="","",IF(Payments[[#This Row],[Amount Due]]=0,0,Payments[[#This Row],[Amount Due]]-Payments[[#This Row],[Amount Paid]])),"")</f>
        <v/>
      </c>
      <c r="I231" s="2"/>
    </row>
    <row r="232" spans="2:9" ht="14.1" customHeight="1" x14ac:dyDescent="0.2">
      <c r="B232" s="11"/>
      <c r="C232" s="14" t="str">
        <f>IFERROR(IF(Payments[[#This Row],[Invoice '#]]="","",INDEX(Invoices[Customer],MATCH(Payments[[#This Row],[Invoice '#]],Invoices[Invoice '#],0))),"")</f>
        <v/>
      </c>
      <c r="D232" s="15" t="str">
        <f>IFERROR(IF(Payments[[#This Row],[Invoice '#]]="","",INDEX(Invoices[Due Date],MATCH(Payments[[#This Row],[Invoice '#]],Invoices[Invoice '#],0))),"")</f>
        <v/>
      </c>
      <c r="E232" s="40" t="str">
        <f ca="1">IFERROR(IF(Payments[[#This Row],[Invoice '#]]="","",INDEX(Invoices[Amount due],MATCH(Payments[[#This Row],[Invoice '#]],Invoices[Invoice '#],0))-IF(E231=Payments[[#Headers],[Amount Due]],0,SUMIF(INDIRECT("B4:B"&amp;ROW()-1),Payments[[#This Row],[Invoice '#]],Payments[Amount Paid]))),"")</f>
        <v/>
      </c>
      <c r="F232" s="41"/>
      <c r="G232" s="10"/>
      <c r="H232" s="38" t="str">
        <f ca="1">IFERROR(IF(Payments[[#This Row],[Amount Due]]="","",IF(Payments[[#This Row],[Amount Due]]=0,0,Payments[[#This Row],[Amount Due]]-Payments[[#This Row],[Amount Paid]])),"")</f>
        <v/>
      </c>
      <c r="I232" s="2"/>
    </row>
    <row r="233" spans="2:9" ht="14.1" customHeight="1" x14ac:dyDescent="0.2">
      <c r="B233" s="11"/>
      <c r="C233" s="14" t="str">
        <f>IFERROR(IF(Payments[[#This Row],[Invoice '#]]="","",INDEX(Invoices[Customer],MATCH(Payments[[#This Row],[Invoice '#]],Invoices[Invoice '#],0))),"")</f>
        <v/>
      </c>
      <c r="D233" s="15" t="str">
        <f>IFERROR(IF(Payments[[#This Row],[Invoice '#]]="","",INDEX(Invoices[Due Date],MATCH(Payments[[#This Row],[Invoice '#]],Invoices[Invoice '#],0))),"")</f>
        <v/>
      </c>
      <c r="E233" s="40" t="str">
        <f ca="1">IFERROR(IF(Payments[[#This Row],[Invoice '#]]="","",INDEX(Invoices[Amount due],MATCH(Payments[[#This Row],[Invoice '#]],Invoices[Invoice '#],0))-IF(E232=Payments[[#Headers],[Amount Due]],0,SUMIF(INDIRECT("B4:B"&amp;ROW()-1),Payments[[#This Row],[Invoice '#]],Payments[Amount Paid]))),"")</f>
        <v/>
      </c>
      <c r="F233" s="41"/>
      <c r="G233" s="10"/>
      <c r="H233" s="38" t="str">
        <f ca="1">IFERROR(IF(Payments[[#This Row],[Amount Due]]="","",IF(Payments[[#This Row],[Amount Due]]=0,0,Payments[[#This Row],[Amount Due]]-Payments[[#This Row],[Amount Paid]])),"")</f>
        <v/>
      </c>
      <c r="I233" s="2"/>
    </row>
    <row r="234" spans="2:9" ht="14.1" customHeight="1" x14ac:dyDescent="0.2">
      <c r="B234" s="11"/>
      <c r="C234" s="14" t="str">
        <f>IFERROR(IF(Payments[[#This Row],[Invoice '#]]="","",INDEX(Invoices[Customer],MATCH(Payments[[#This Row],[Invoice '#]],Invoices[Invoice '#],0))),"")</f>
        <v/>
      </c>
      <c r="D234" s="15" t="str">
        <f>IFERROR(IF(Payments[[#This Row],[Invoice '#]]="","",INDEX(Invoices[Due Date],MATCH(Payments[[#This Row],[Invoice '#]],Invoices[Invoice '#],0))),"")</f>
        <v/>
      </c>
      <c r="E234" s="40" t="str">
        <f ca="1">IFERROR(IF(Payments[[#This Row],[Invoice '#]]="","",INDEX(Invoices[Amount due],MATCH(Payments[[#This Row],[Invoice '#]],Invoices[Invoice '#],0))-IF(E233=Payments[[#Headers],[Amount Due]],0,SUMIF(INDIRECT("B4:B"&amp;ROW()-1),Payments[[#This Row],[Invoice '#]],Payments[Amount Paid]))),"")</f>
        <v/>
      </c>
      <c r="F234" s="41"/>
      <c r="G234" s="10"/>
      <c r="H234" s="38" t="str">
        <f ca="1">IFERROR(IF(Payments[[#This Row],[Amount Due]]="","",IF(Payments[[#This Row],[Amount Due]]=0,0,Payments[[#This Row],[Amount Due]]-Payments[[#This Row],[Amount Paid]])),"")</f>
        <v/>
      </c>
      <c r="I234" s="2"/>
    </row>
    <row r="235" spans="2:9" ht="14.1" customHeight="1" x14ac:dyDescent="0.2">
      <c r="B235" s="11"/>
      <c r="C235" s="14" t="str">
        <f>IFERROR(IF(Payments[[#This Row],[Invoice '#]]="","",INDEX(Invoices[Customer],MATCH(Payments[[#This Row],[Invoice '#]],Invoices[Invoice '#],0))),"")</f>
        <v/>
      </c>
      <c r="D235" s="15" t="str">
        <f>IFERROR(IF(Payments[[#This Row],[Invoice '#]]="","",INDEX(Invoices[Due Date],MATCH(Payments[[#This Row],[Invoice '#]],Invoices[Invoice '#],0))),"")</f>
        <v/>
      </c>
      <c r="E235" s="40" t="str">
        <f ca="1">IFERROR(IF(Payments[[#This Row],[Invoice '#]]="","",INDEX(Invoices[Amount due],MATCH(Payments[[#This Row],[Invoice '#]],Invoices[Invoice '#],0))-IF(E234=Payments[[#Headers],[Amount Due]],0,SUMIF(INDIRECT("B4:B"&amp;ROW()-1),Payments[[#This Row],[Invoice '#]],Payments[Amount Paid]))),"")</f>
        <v/>
      </c>
      <c r="F235" s="41"/>
      <c r="G235" s="10"/>
      <c r="H235" s="38" t="str">
        <f ca="1">IFERROR(IF(Payments[[#This Row],[Amount Due]]="","",IF(Payments[[#This Row],[Amount Due]]=0,0,Payments[[#This Row],[Amount Due]]-Payments[[#This Row],[Amount Paid]])),"")</f>
        <v/>
      </c>
      <c r="I235" s="2"/>
    </row>
    <row r="236" spans="2:9" ht="14.1" customHeight="1" x14ac:dyDescent="0.2">
      <c r="B236" s="11"/>
      <c r="C236" s="14" t="str">
        <f>IFERROR(IF(Payments[[#This Row],[Invoice '#]]="","",INDEX(Invoices[Customer],MATCH(Payments[[#This Row],[Invoice '#]],Invoices[Invoice '#],0))),"")</f>
        <v/>
      </c>
      <c r="D236" s="15" t="str">
        <f>IFERROR(IF(Payments[[#This Row],[Invoice '#]]="","",INDEX(Invoices[Due Date],MATCH(Payments[[#This Row],[Invoice '#]],Invoices[Invoice '#],0))),"")</f>
        <v/>
      </c>
      <c r="E236" s="40" t="str">
        <f ca="1">IFERROR(IF(Payments[[#This Row],[Invoice '#]]="","",INDEX(Invoices[Amount due],MATCH(Payments[[#This Row],[Invoice '#]],Invoices[Invoice '#],0))-IF(E235=Payments[[#Headers],[Amount Due]],0,SUMIF(INDIRECT("B4:B"&amp;ROW()-1),Payments[[#This Row],[Invoice '#]],Payments[Amount Paid]))),"")</f>
        <v/>
      </c>
      <c r="F236" s="41"/>
      <c r="G236" s="10"/>
      <c r="H236" s="38" t="str">
        <f ca="1">IFERROR(IF(Payments[[#This Row],[Amount Due]]="","",IF(Payments[[#This Row],[Amount Due]]=0,0,Payments[[#This Row],[Amount Due]]-Payments[[#This Row],[Amount Paid]])),"")</f>
        <v/>
      </c>
      <c r="I236" s="2"/>
    </row>
    <row r="237" spans="2:9" ht="14.1" customHeight="1" x14ac:dyDescent="0.2">
      <c r="B237" s="11"/>
      <c r="C237" s="14" t="str">
        <f>IFERROR(IF(Payments[[#This Row],[Invoice '#]]="","",INDEX(Invoices[Customer],MATCH(Payments[[#This Row],[Invoice '#]],Invoices[Invoice '#],0))),"")</f>
        <v/>
      </c>
      <c r="D237" s="15" t="str">
        <f>IFERROR(IF(Payments[[#This Row],[Invoice '#]]="","",INDEX(Invoices[Due Date],MATCH(Payments[[#This Row],[Invoice '#]],Invoices[Invoice '#],0))),"")</f>
        <v/>
      </c>
      <c r="E237" s="40" t="str">
        <f ca="1">IFERROR(IF(Payments[[#This Row],[Invoice '#]]="","",INDEX(Invoices[Amount due],MATCH(Payments[[#This Row],[Invoice '#]],Invoices[Invoice '#],0))-IF(E236=Payments[[#Headers],[Amount Due]],0,SUMIF(INDIRECT("B4:B"&amp;ROW()-1),Payments[[#This Row],[Invoice '#]],Payments[Amount Paid]))),"")</f>
        <v/>
      </c>
      <c r="F237" s="41"/>
      <c r="G237" s="10"/>
      <c r="H237" s="38" t="str">
        <f ca="1">IFERROR(IF(Payments[[#This Row],[Amount Due]]="","",IF(Payments[[#This Row],[Amount Due]]=0,0,Payments[[#This Row],[Amount Due]]-Payments[[#This Row],[Amount Paid]])),"")</f>
        <v/>
      </c>
      <c r="I237" s="2"/>
    </row>
    <row r="238" spans="2:9" ht="14.1" customHeight="1" x14ac:dyDescent="0.2">
      <c r="B238" s="11"/>
      <c r="C238" s="14" t="str">
        <f>IFERROR(IF(Payments[[#This Row],[Invoice '#]]="","",INDEX(Invoices[Customer],MATCH(Payments[[#This Row],[Invoice '#]],Invoices[Invoice '#],0))),"")</f>
        <v/>
      </c>
      <c r="D238" s="15" t="str">
        <f>IFERROR(IF(Payments[[#This Row],[Invoice '#]]="","",INDEX(Invoices[Due Date],MATCH(Payments[[#This Row],[Invoice '#]],Invoices[Invoice '#],0))),"")</f>
        <v/>
      </c>
      <c r="E238" s="40" t="str">
        <f ca="1">IFERROR(IF(Payments[[#This Row],[Invoice '#]]="","",INDEX(Invoices[Amount due],MATCH(Payments[[#This Row],[Invoice '#]],Invoices[Invoice '#],0))-IF(E237=Payments[[#Headers],[Amount Due]],0,SUMIF(INDIRECT("B4:B"&amp;ROW()-1),Payments[[#This Row],[Invoice '#]],Payments[Amount Paid]))),"")</f>
        <v/>
      </c>
      <c r="F238" s="41"/>
      <c r="G238" s="10"/>
      <c r="H238" s="38" t="str">
        <f ca="1">IFERROR(IF(Payments[[#This Row],[Amount Due]]="","",IF(Payments[[#This Row],[Amount Due]]=0,0,Payments[[#This Row],[Amount Due]]-Payments[[#This Row],[Amount Paid]])),"")</f>
        <v/>
      </c>
      <c r="I238" s="2"/>
    </row>
    <row r="239" spans="2:9" ht="14.1" customHeight="1" x14ac:dyDescent="0.2">
      <c r="B239" s="11"/>
      <c r="C239" s="14" t="str">
        <f>IFERROR(IF(Payments[[#This Row],[Invoice '#]]="","",INDEX(Invoices[Customer],MATCH(Payments[[#This Row],[Invoice '#]],Invoices[Invoice '#],0))),"")</f>
        <v/>
      </c>
      <c r="D239" s="15" t="str">
        <f>IFERROR(IF(Payments[[#This Row],[Invoice '#]]="","",INDEX(Invoices[Due Date],MATCH(Payments[[#This Row],[Invoice '#]],Invoices[Invoice '#],0))),"")</f>
        <v/>
      </c>
      <c r="E239" s="40" t="str">
        <f ca="1">IFERROR(IF(Payments[[#This Row],[Invoice '#]]="","",INDEX(Invoices[Amount due],MATCH(Payments[[#This Row],[Invoice '#]],Invoices[Invoice '#],0))-IF(E238=Payments[[#Headers],[Amount Due]],0,SUMIF(INDIRECT("B4:B"&amp;ROW()-1),Payments[[#This Row],[Invoice '#]],Payments[Amount Paid]))),"")</f>
        <v/>
      </c>
      <c r="F239" s="41"/>
      <c r="G239" s="10"/>
      <c r="H239" s="38" t="str">
        <f ca="1">IFERROR(IF(Payments[[#This Row],[Amount Due]]="","",IF(Payments[[#This Row],[Amount Due]]=0,0,Payments[[#This Row],[Amount Due]]-Payments[[#This Row],[Amount Paid]])),"")</f>
        <v/>
      </c>
      <c r="I239" s="2"/>
    </row>
    <row r="240" spans="2:9" ht="14.1" customHeight="1" x14ac:dyDescent="0.2">
      <c r="B240" s="11"/>
      <c r="C240" s="14" t="str">
        <f>IFERROR(IF(Payments[[#This Row],[Invoice '#]]="","",INDEX(Invoices[Customer],MATCH(Payments[[#This Row],[Invoice '#]],Invoices[Invoice '#],0))),"")</f>
        <v/>
      </c>
      <c r="D240" s="15" t="str">
        <f>IFERROR(IF(Payments[[#This Row],[Invoice '#]]="","",INDEX(Invoices[Due Date],MATCH(Payments[[#This Row],[Invoice '#]],Invoices[Invoice '#],0))),"")</f>
        <v/>
      </c>
      <c r="E240" s="40" t="str">
        <f ca="1">IFERROR(IF(Payments[[#This Row],[Invoice '#]]="","",INDEX(Invoices[Amount due],MATCH(Payments[[#This Row],[Invoice '#]],Invoices[Invoice '#],0))-IF(E239=Payments[[#Headers],[Amount Due]],0,SUMIF(INDIRECT("B4:B"&amp;ROW()-1),Payments[[#This Row],[Invoice '#]],Payments[Amount Paid]))),"")</f>
        <v/>
      </c>
      <c r="F240" s="41"/>
      <c r="G240" s="10"/>
      <c r="H240" s="38" t="str">
        <f ca="1">IFERROR(IF(Payments[[#This Row],[Amount Due]]="","",IF(Payments[[#This Row],[Amount Due]]=0,0,Payments[[#This Row],[Amount Due]]-Payments[[#This Row],[Amount Paid]])),"")</f>
        <v/>
      </c>
      <c r="I240" s="2"/>
    </row>
    <row r="241" spans="2:9" ht="14.1" customHeight="1" x14ac:dyDescent="0.2">
      <c r="B241" s="11"/>
      <c r="C241" s="14" t="str">
        <f>IFERROR(IF(Payments[[#This Row],[Invoice '#]]="","",INDEX(Invoices[Customer],MATCH(Payments[[#This Row],[Invoice '#]],Invoices[Invoice '#],0))),"")</f>
        <v/>
      </c>
      <c r="D241" s="15" t="str">
        <f>IFERROR(IF(Payments[[#This Row],[Invoice '#]]="","",INDEX(Invoices[Due Date],MATCH(Payments[[#This Row],[Invoice '#]],Invoices[Invoice '#],0))),"")</f>
        <v/>
      </c>
      <c r="E241" s="40" t="str">
        <f ca="1">IFERROR(IF(Payments[[#This Row],[Invoice '#]]="","",INDEX(Invoices[Amount due],MATCH(Payments[[#This Row],[Invoice '#]],Invoices[Invoice '#],0))-IF(E240=Payments[[#Headers],[Amount Due]],0,SUMIF(INDIRECT("B4:B"&amp;ROW()-1),Payments[[#This Row],[Invoice '#]],Payments[Amount Paid]))),"")</f>
        <v/>
      </c>
      <c r="F241" s="41"/>
      <c r="G241" s="10"/>
      <c r="H241" s="38" t="str">
        <f ca="1">IFERROR(IF(Payments[[#This Row],[Amount Due]]="","",IF(Payments[[#This Row],[Amount Due]]=0,0,Payments[[#This Row],[Amount Due]]-Payments[[#This Row],[Amount Paid]])),"")</f>
        <v/>
      </c>
      <c r="I241" s="2"/>
    </row>
    <row r="242" spans="2:9" ht="14.1" customHeight="1" x14ac:dyDescent="0.2">
      <c r="B242" s="11"/>
      <c r="C242" s="14" t="str">
        <f>IFERROR(IF(Payments[[#This Row],[Invoice '#]]="","",INDEX(Invoices[Customer],MATCH(Payments[[#This Row],[Invoice '#]],Invoices[Invoice '#],0))),"")</f>
        <v/>
      </c>
      <c r="D242" s="15" t="str">
        <f>IFERROR(IF(Payments[[#This Row],[Invoice '#]]="","",INDEX(Invoices[Due Date],MATCH(Payments[[#This Row],[Invoice '#]],Invoices[Invoice '#],0))),"")</f>
        <v/>
      </c>
      <c r="E242" s="40" t="str">
        <f ca="1">IFERROR(IF(Payments[[#This Row],[Invoice '#]]="","",INDEX(Invoices[Amount due],MATCH(Payments[[#This Row],[Invoice '#]],Invoices[Invoice '#],0))-IF(E241=Payments[[#Headers],[Amount Due]],0,SUMIF(INDIRECT("B4:B"&amp;ROW()-1),Payments[[#This Row],[Invoice '#]],Payments[Amount Paid]))),"")</f>
        <v/>
      </c>
      <c r="F242" s="41"/>
      <c r="G242" s="10"/>
      <c r="H242" s="38" t="str">
        <f ca="1">IFERROR(IF(Payments[[#This Row],[Amount Due]]="","",IF(Payments[[#This Row],[Amount Due]]=0,0,Payments[[#This Row],[Amount Due]]-Payments[[#This Row],[Amount Paid]])),"")</f>
        <v/>
      </c>
      <c r="I242" s="2"/>
    </row>
    <row r="243" spans="2:9" ht="14.1" customHeight="1" x14ac:dyDescent="0.2">
      <c r="B243" s="11"/>
      <c r="C243" s="14" t="str">
        <f>IFERROR(IF(Payments[[#This Row],[Invoice '#]]="","",INDEX(Invoices[Customer],MATCH(Payments[[#This Row],[Invoice '#]],Invoices[Invoice '#],0))),"")</f>
        <v/>
      </c>
      <c r="D243" s="15" t="str">
        <f>IFERROR(IF(Payments[[#This Row],[Invoice '#]]="","",INDEX(Invoices[Due Date],MATCH(Payments[[#This Row],[Invoice '#]],Invoices[Invoice '#],0))),"")</f>
        <v/>
      </c>
      <c r="E243" s="40" t="str">
        <f ca="1">IFERROR(IF(Payments[[#This Row],[Invoice '#]]="","",INDEX(Invoices[Amount due],MATCH(Payments[[#This Row],[Invoice '#]],Invoices[Invoice '#],0))-IF(E242=Payments[[#Headers],[Amount Due]],0,SUMIF(INDIRECT("B4:B"&amp;ROW()-1),Payments[[#This Row],[Invoice '#]],Payments[Amount Paid]))),"")</f>
        <v/>
      </c>
      <c r="F243" s="41"/>
      <c r="G243" s="10"/>
      <c r="H243" s="38" t="str">
        <f ca="1">IFERROR(IF(Payments[[#This Row],[Amount Due]]="","",IF(Payments[[#This Row],[Amount Due]]=0,0,Payments[[#This Row],[Amount Due]]-Payments[[#This Row],[Amount Paid]])),"")</f>
        <v/>
      </c>
      <c r="I243" s="2"/>
    </row>
    <row r="244" spans="2:9" ht="14.1" customHeight="1" x14ac:dyDescent="0.2">
      <c r="B244" s="11"/>
      <c r="C244" s="14" t="str">
        <f>IFERROR(IF(Payments[[#This Row],[Invoice '#]]="","",INDEX(Invoices[Customer],MATCH(Payments[[#This Row],[Invoice '#]],Invoices[Invoice '#],0))),"")</f>
        <v/>
      </c>
      <c r="D244" s="15" t="str">
        <f>IFERROR(IF(Payments[[#This Row],[Invoice '#]]="","",INDEX(Invoices[Due Date],MATCH(Payments[[#This Row],[Invoice '#]],Invoices[Invoice '#],0))),"")</f>
        <v/>
      </c>
      <c r="E244" s="40" t="str">
        <f ca="1">IFERROR(IF(Payments[[#This Row],[Invoice '#]]="","",INDEX(Invoices[Amount due],MATCH(Payments[[#This Row],[Invoice '#]],Invoices[Invoice '#],0))-IF(E243=Payments[[#Headers],[Amount Due]],0,SUMIF(INDIRECT("B4:B"&amp;ROW()-1),Payments[[#This Row],[Invoice '#]],Payments[Amount Paid]))),"")</f>
        <v/>
      </c>
      <c r="F244" s="41"/>
      <c r="G244" s="10"/>
      <c r="H244" s="38" t="str">
        <f ca="1">IFERROR(IF(Payments[[#This Row],[Amount Due]]="","",IF(Payments[[#This Row],[Amount Due]]=0,0,Payments[[#This Row],[Amount Due]]-Payments[[#This Row],[Amount Paid]])),"")</f>
        <v/>
      </c>
      <c r="I244" s="2"/>
    </row>
    <row r="245" spans="2:9" ht="14.1" customHeight="1" x14ac:dyDescent="0.2">
      <c r="B245" s="11"/>
      <c r="C245" s="14" t="str">
        <f>IFERROR(IF(Payments[[#This Row],[Invoice '#]]="","",INDEX(Invoices[Customer],MATCH(Payments[[#This Row],[Invoice '#]],Invoices[Invoice '#],0))),"")</f>
        <v/>
      </c>
      <c r="D245" s="15" t="str">
        <f>IFERROR(IF(Payments[[#This Row],[Invoice '#]]="","",INDEX(Invoices[Due Date],MATCH(Payments[[#This Row],[Invoice '#]],Invoices[Invoice '#],0))),"")</f>
        <v/>
      </c>
      <c r="E245" s="40" t="str">
        <f ca="1">IFERROR(IF(Payments[[#This Row],[Invoice '#]]="","",INDEX(Invoices[Amount due],MATCH(Payments[[#This Row],[Invoice '#]],Invoices[Invoice '#],0))-IF(E244=Payments[[#Headers],[Amount Due]],0,SUMIF(INDIRECT("B4:B"&amp;ROW()-1),Payments[[#This Row],[Invoice '#]],Payments[Amount Paid]))),"")</f>
        <v/>
      </c>
      <c r="F245" s="41"/>
      <c r="G245" s="10"/>
      <c r="H245" s="38" t="str">
        <f ca="1">IFERROR(IF(Payments[[#This Row],[Amount Due]]="","",IF(Payments[[#This Row],[Amount Due]]=0,0,Payments[[#This Row],[Amount Due]]-Payments[[#This Row],[Amount Paid]])),"")</f>
        <v/>
      </c>
      <c r="I245" s="2"/>
    </row>
    <row r="246" spans="2:9" ht="14.1" customHeight="1" x14ac:dyDescent="0.2">
      <c r="B246" s="11"/>
      <c r="C246" s="14" t="str">
        <f>IFERROR(IF(Payments[[#This Row],[Invoice '#]]="","",INDEX(Invoices[Customer],MATCH(Payments[[#This Row],[Invoice '#]],Invoices[Invoice '#],0))),"")</f>
        <v/>
      </c>
      <c r="D246" s="15" t="str">
        <f>IFERROR(IF(Payments[[#This Row],[Invoice '#]]="","",INDEX(Invoices[Due Date],MATCH(Payments[[#This Row],[Invoice '#]],Invoices[Invoice '#],0))),"")</f>
        <v/>
      </c>
      <c r="E246" s="40" t="str">
        <f ca="1">IFERROR(IF(Payments[[#This Row],[Invoice '#]]="","",INDEX(Invoices[Amount due],MATCH(Payments[[#This Row],[Invoice '#]],Invoices[Invoice '#],0))-IF(E245=Payments[[#Headers],[Amount Due]],0,SUMIF(INDIRECT("B4:B"&amp;ROW()-1),Payments[[#This Row],[Invoice '#]],Payments[Amount Paid]))),"")</f>
        <v/>
      </c>
      <c r="F246" s="41"/>
      <c r="G246" s="10"/>
      <c r="H246" s="38" t="str">
        <f ca="1">IFERROR(IF(Payments[[#This Row],[Amount Due]]="","",IF(Payments[[#This Row],[Amount Due]]=0,0,Payments[[#This Row],[Amount Due]]-Payments[[#This Row],[Amount Paid]])),"")</f>
        <v/>
      </c>
      <c r="I246" s="2"/>
    </row>
    <row r="247" spans="2:9" ht="14.1" customHeight="1" x14ac:dyDescent="0.2">
      <c r="B247" s="11"/>
      <c r="C247" s="14" t="str">
        <f>IFERROR(IF(Payments[[#This Row],[Invoice '#]]="","",INDEX(Invoices[Customer],MATCH(Payments[[#This Row],[Invoice '#]],Invoices[Invoice '#],0))),"")</f>
        <v/>
      </c>
      <c r="D247" s="15" t="str">
        <f>IFERROR(IF(Payments[[#This Row],[Invoice '#]]="","",INDEX(Invoices[Due Date],MATCH(Payments[[#This Row],[Invoice '#]],Invoices[Invoice '#],0))),"")</f>
        <v/>
      </c>
      <c r="E247" s="40" t="str">
        <f ca="1">IFERROR(IF(Payments[[#This Row],[Invoice '#]]="","",INDEX(Invoices[Amount due],MATCH(Payments[[#This Row],[Invoice '#]],Invoices[Invoice '#],0))-IF(E246=Payments[[#Headers],[Amount Due]],0,SUMIF(INDIRECT("B4:B"&amp;ROW()-1),Payments[[#This Row],[Invoice '#]],Payments[Amount Paid]))),"")</f>
        <v/>
      </c>
      <c r="F247" s="41"/>
      <c r="G247" s="10"/>
      <c r="H247" s="38" t="str">
        <f ca="1">IFERROR(IF(Payments[[#This Row],[Amount Due]]="","",IF(Payments[[#This Row],[Amount Due]]=0,0,Payments[[#This Row],[Amount Due]]-Payments[[#This Row],[Amount Paid]])),"")</f>
        <v/>
      </c>
      <c r="I247" s="2"/>
    </row>
    <row r="248" spans="2:9" ht="14.1" customHeight="1" x14ac:dyDescent="0.2">
      <c r="B248" s="11"/>
      <c r="C248" s="14" t="str">
        <f>IFERROR(IF(Payments[[#This Row],[Invoice '#]]="","",INDEX(Invoices[Customer],MATCH(Payments[[#This Row],[Invoice '#]],Invoices[Invoice '#],0))),"")</f>
        <v/>
      </c>
      <c r="D248" s="15" t="str">
        <f>IFERROR(IF(Payments[[#This Row],[Invoice '#]]="","",INDEX(Invoices[Due Date],MATCH(Payments[[#This Row],[Invoice '#]],Invoices[Invoice '#],0))),"")</f>
        <v/>
      </c>
      <c r="E248" s="40" t="str">
        <f ca="1">IFERROR(IF(Payments[[#This Row],[Invoice '#]]="","",INDEX(Invoices[Amount due],MATCH(Payments[[#This Row],[Invoice '#]],Invoices[Invoice '#],0))-IF(E247=Payments[[#Headers],[Amount Due]],0,SUMIF(INDIRECT("B4:B"&amp;ROW()-1),Payments[[#This Row],[Invoice '#]],Payments[Amount Paid]))),"")</f>
        <v/>
      </c>
      <c r="F248" s="41"/>
      <c r="G248" s="10"/>
      <c r="H248" s="38" t="str">
        <f ca="1">IFERROR(IF(Payments[[#This Row],[Amount Due]]="","",IF(Payments[[#This Row],[Amount Due]]=0,0,Payments[[#This Row],[Amount Due]]-Payments[[#This Row],[Amount Paid]])),"")</f>
        <v/>
      </c>
      <c r="I248" s="2"/>
    </row>
    <row r="249" spans="2:9" ht="14.1" customHeight="1" x14ac:dyDescent="0.2">
      <c r="B249" s="11"/>
      <c r="C249" s="14" t="str">
        <f>IFERROR(IF(Payments[[#This Row],[Invoice '#]]="","",INDEX(Invoices[Customer],MATCH(Payments[[#This Row],[Invoice '#]],Invoices[Invoice '#],0))),"")</f>
        <v/>
      </c>
      <c r="D249" s="15" t="str">
        <f>IFERROR(IF(Payments[[#This Row],[Invoice '#]]="","",INDEX(Invoices[Due Date],MATCH(Payments[[#This Row],[Invoice '#]],Invoices[Invoice '#],0))),"")</f>
        <v/>
      </c>
      <c r="E249" s="40" t="str">
        <f ca="1">IFERROR(IF(Payments[[#This Row],[Invoice '#]]="","",INDEX(Invoices[Amount due],MATCH(Payments[[#This Row],[Invoice '#]],Invoices[Invoice '#],0))-IF(E248=Payments[[#Headers],[Amount Due]],0,SUMIF(INDIRECT("B4:B"&amp;ROW()-1),Payments[[#This Row],[Invoice '#]],Payments[Amount Paid]))),"")</f>
        <v/>
      </c>
      <c r="F249" s="41"/>
      <c r="G249" s="10"/>
      <c r="H249" s="38" t="str">
        <f ca="1">IFERROR(IF(Payments[[#This Row],[Amount Due]]="","",IF(Payments[[#This Row],[Amount Due]]=0,0,Payments[[#This Row],[Amount Due]]-Payments[[#This Row],[Amount Paid]])),"")</f>
        <v/>
      </c>
      <c r="I249" s="2"/>
    </row>
    <row r="250" spans="2:9" ht="14.1" customHeight="1" x14ac:dyDescent="0.2">
      <c r="B250" s="11"/>
      <c r="C250" s="14" t="str">
        <f>IFERROR(IF(Payments[[#This Row],[Invoice '#]]="","",INDEX(Invoices[Customer],MATCH(Payments[[#This Row],[Invoice '#]],Invoices[Invoice '#],0))),"")</f>
        <v/>
      </c>
      <c r="D250" s="15" t="str">
        <f>IFERROR(IF(Payments[[#This Row],[Invoice '#]]="","",INDEX(Invoices[Due Date],MATCH(Payments[[#This Row],[Invoice '#]],Invoices[Invoice '#],0))),"")</f>
        <v/>
      </c>
      <c r="E250" s="40" t="str">
        <f ca="1">IFERROR(IF(Payments[[#This Row],[Invoice '#]]="","",INDEX(Invoices[Amount due],MATCH(Payments[[#This Row],[Invoice '#]],Invoices[Invoice '#],0))-IF(E249=Payments[[#Headers],[Amount Due]],0,SUMIF(INDIRECT("B4:B"&amp;ROW()-1),Payments[[#This Row],[Invoice '#]],Payments[Amount Paid]))),"")</f>
        <v/>
      </c>
      <c r="F250" s="41"/>
      <c r="G250" s="10"/>
      <c r="H250" s="38" t="str">
        <f ca="1">IFERROR(IF(Payments[[#This Row],[Amount Due]]="","",IF(Payments[[#This Row],[Amount Due]]=0,0,Payments[[#This Row],[Amount Due]]-Payments[[#This Row],[Amount Paid]])),"")</f>
        <v/>
      </c>
      <c r="I250" s="2"/>
    </row>
    <row r="251" spans="2:9" ht="14.1" customHeight="1" x14ac:dyDescent="0.2">
      <c r="B251" s="11"/>
      <c r="C251" s="14" t="str">
        <f>IFERROR(IF(Payments[[#This Row],[Invoice '#]]="","",INDEX(Invoices[Customer],MATCH(Payments[[#This Row],[Invoice '#]],Invoices[Invoice '#],0))),"")</f>
        <v/>
      </c>
      <c r="D251" s="15" t="str">
        <f>IFERROR(IF(Payments[[#This Row],[Invoice '#]]="","",INDEX(Invoices[Due Date],MATCH(Payments[[#This Row],[Invoice '#]],Invoices[Invoice '#],0))),"")</f>
        <v/>
      </c>
      <c r="E251" s="40" t="str">
        <f ca="1">IFERROR(IF(Payments[[#This Row],[Invoice '#]]="","",INDEX(Invoices[Amount due],MATCH(Payments[[#This Row],[Invoice '#]],Invoices[Invoice '#],0))-IF(E250=Payments[[#Headers],[Amount Due]],0,SUMIF(INDIRECT("B4:B"&amp;ROW()-1),Payments[[#This Row],[Invoice '#]],Payments[Amount Paid]))),"")</f>
        <v/>
      </c>
      <c r="F251" s="41"/>
      <c r="G251" s="10"/>
      <c r="H251" s="38" t="str">
        <f ca="1">IFERROR(IF(Payments[[#This Row],[Amount Due]]="","",IF(Payments[[#This Row],[Amount Due]]=0,0,Payments[[#This Row],[Amount Due]]-Payments[[#This Row],[Amount Paid]])),"")</f>
        <v/>
      </c>
      <c r="I251" s="2"/>
    </row>
    <row r="252" spans="2:9" ht="14.1" customHeight="1" x14ac:dyDescent="0.2">
      <c r="B252" s="11"/>
      <c r="C252" s="14" t="str">
        <f>IFERROR(IF(Payments[[#This Row],[Invoice '#]]="","",INDEX(Invoices[Customer],MATCH(Payments[[#This Row],[Invoice '#]],Invoices[Invoice '#],0))),"")</f>
        <v/>
      </c>
      <c r="D252" s="15" t="str">
        <f>IFERROR(IF(Payments[[#This Row],[Invoice '#]]="","",INDEX(Invoices[Due Date],MATCH(Payments[[#This Row],[Invoice '#]],Invoices[Invoice '#],0))),"")</f>
        <v/>
      </c>
      <c r="E252" s="40" t="str">
        <f ca="1">IFERROR(IF(Payments[[#This Row],[Invoice '#]]="","",INDEX(Invoices[Amount due],MATCH(Payments[[#This Row],[Invoice '#]],Invoices[Invoice '#],0))-IF(E251=Payments[[#Headers],[Amount Due]],0,SUMIF(INDIRECT("B4:B"&amp;ROW()-1),Payments[[#This Row],[Invoice '#]],Payments[Amount Paid]))),"")</f>
        <v/>
      </c>
      <c r="F252" s="41"/>
      <c r="G252" s="10"/>
      <c r="H252" s="38" t="str">
        <f ca="1">IFERROR(IF(Payments[[#This Row],[Amount Due]]="","",IF(Payments[[#This Row],[Amount Due]]=0,0,Payments[[#This Row],[Amount Due]]-Payments[[#This Row],[Amount Paid]])),"")</f>
        <v/>
      </c>
      <c r="I252" s="2"/>
    </row>
    <row r="253" spans="2:9" ht="14.1" customHeight="1" x14ac:dyDescent="0.2">
      <c r="B253" s="11"/>
      <c r="C253" s="14" t="str">
        <f>IFERROR(IF(Payments[[#This Row],[Invoice '#]]="","",INDEX(Invoices[Customer],MATCH(Payments[[#This Row],[Invoice '#]],Invoices[Invoice '#],0))),"")</f>
        <v/>
      </c>
      <c r="D253" s="15" t="str">
        <f>IFERROR(IF(Payments[[#This Row],[Invoice '#]]="","",INDEX(Invoices[Due Date],MATCH(Payments[[#This Row],[Invoice '#]],Invoices[Invoice '#],0))),"")</f>
        <v/>
      </c>
      <c r="E253" s="40" t="str">
        <f ca="1">IFERROR(IF(Payments[[#This Row],[Invoice '#]]="","",INDEX(Invoices[Amount due],MATCH(Payments[[#This Row],[Invoice '#]],Invoices[Invoice '#],0))-IF(E252=Payments[[#Headers],[Amount Due]],0,SUMIF(INDIRECT("B4:B"&amp;ROW()-1),Payments[[#This Row],[Invoice '#]],Payments[Amount Paid]))),"")</f>
        <v/>
      </c>
      <c r="F253" s="41"/>
      <c r="G253" s="10"/>
      <c r="H253" s="38" t="str">
        <f ca="1">IFERROR(IF(Payments[[#This Row],[Amount Due]]="","",IF(Payments[[#This Row],[Amount Due]]=0,0,Payments[[#This Row],[Amount Due]]-Payments[[#This Row],[Amount Paid]])),"")</f>
        <v/>
      </c>
      <c r="I253" s="2"/>
    </row>
    <row r="254" spans="2:9" ht="14.1" customHeight="1" x14ac:dyDescent="0.2">
      <c r="B254" s="11"/>
      <c r="C254" s="14" t="str">
        <f>IFERROR(IF(Payments[[#This Row],[Invoice '#]]="","",INDEX(Invoices[Customer],MATCH(Payments[[#This Row],[Invoice '#]],Invoices[Invoice '#],0))),"")</f>
        <v/>
      </c>
      <c r="D254" s="15" t="str">
        <f>IFERROR(IF(Payments[[#This Row],[Invoice '#]]="","",INDEX(Invoices[Due Date],MATCH(Payments[[#This Row],[Invoice '#]],Invoices[Invoice '#],0))),"")</f>
        <v/>
      </c>
      <c r="E254" s="40" t="str">
        <f ca="1">IFERROR(IF(Payments[[#This Row],[Invoice '#]]="","",INDEX(Invoices[Amount due],MATCH(Payments[[#This Row],[Invoice '#]],Invoices[Invoice '#],0))-IF(E253=Payments[[#Headers],[Amount Due]],0,SUMIF(INDIRECT("B4:B"&amp;ROW()-1),Payments[[#This Row],[Invoice '#]],Payments[Amount Paid]))),"")</f>
        <v/>
      </c>
      <c r="F254" s="41"/>
      <c r="G254" s="10"/>
      <c r="H254" s="38" t="str">
        <f ca="1">IFERROR(IF(Payments[[#This Row],[Amount Due]]="","",IF(Payments[[#This Row],[Amount Due]]=0,0,Payments[[#This Row],[Amount Due]]-Payments[[#This Row],[Amount Paid]])),"")</f>
        <v/>
      </c>
      <c r="I254" s="2"/>
    </row>
    <row r="255" spans="2:9" ht="14.1" customHeight="1" x14ac:dyDescent="0.2">
      <c r="B255" s="11"/>
      <c r="C255" s="14" t="str">
        <f>IFERROR(IF(Payments[[#This Row],[Invoice '#]]="","",INDEX(Invoices[Customer],MATCH(Payments[[#This Row],[Invoice '#]],Invoices[Invoice '#],0))),"")</f>
        <v/>
      </c>
      <c r="D255" s="15" t="str">
        <f>IFERROR(IF(Payments[[#This Row],[Invoice '#]]="","",INDEX(Invoices[Due Date],MATCH(Payments[[#This Row],[Invoice '#]],Invoices[Invoice '#],0))),"")</f>
        <v/>
      </c>
      <c r="E255" s="40" t="str">
        <f ca="1">IFERROR(IF(Payments[[#This Row],[Invoice '#]]="","",INDEX(Invoices[Amount due],MATCH(Payments[[#This Row],[Invoice '#]],Invoices[Invoice '#],0))-IF(E254=Payments[[#Headers],[Amount Due]],0,SUMIF(INDIRECT("B4:B"&amp;ROW()-1),Payments[[#This Row],[Invoice '#]],Payments[Amount Paid]))),"")</f>
        <v/>
      </c>
      <c r="F255" s="41"/>
      <c r="G255" s="10"/>
      <c r="H255" s="38" t="str">
        <f ca="1">IFERROR(IF(Payments[[#This Row],[Amount Due]]="","",IF(Payments[[#This Row],[Amount Due]]=0,0,Payments[[#This Row],[Amount Due]]-Payments[[#This Row],[Amount Paid]])),"")</f>
        <v/>
      </c>
      <c r="I255" s="2"/>
    </row>
    <row r="256" spans="2:9" ht="14.1" customHeight="1" x14ac:dyDescent="0.2">
      <c r="B256" s="11"/>
      <c r="C256" s="14" t="str">
        <f>IFERROR(IF(Payments[[#This Row],[Invoice '#]]="","",INDEX(Invoices[Customer],MATCH(Payments[[#This Row],[Invoice '#]],Invoices[Invoice '#],0))),"")</f>
        <v/>
      </c>
      <c r="D256" s="15" t="str">
        <f>IFERROR(IF(Payments[[#This Row],[Invoice '#]]="","",INDEX(Invoices[Due Date],MATCH(Payments[[#This Row],[Invoice '#]],Invoices[Invoice '#],0))),"")</f>
        <v/>
      </c>
      <c r="E256" s="40" t="str">
        <f ca="1">IFERROR(IF(Payments[[#This Row],[Invoice '#]]="","",INDEX(Invoices[Amount due],MATCH(Payments[[#This Row],[Invoice '#]],Invoices[Invoice '#],0))-IF(E255=Payments[[#Headers],[Amount Due]],0,SUMIF(INDIRECT("B4:B"&amp;ROW()-1),Payments[[#This Row],[Invoice '#]],Payments[Amount Paid]))),"")</f>
        <v/>
      </c>
      <c r="F256" s="41"/>
      <c r="G256" s="10"/>
      <c r="H256" s="38" t="str">
        <f ca="1">IFERROR(IF(Payments[[#This Row],[Amount Due]]="","",IF(Payments[[#This Row],[Amount Due]]=0,0,Payments[[#This Row],[Amount Due]]-Payments[[#This Row],[Amount Paid]])),"")</f>
        <v/>
      </c>
      <c r="I256" s="2"/>
    </row>
    <row r="257" spans="2:9" ht="14.1" customHeight="1" x14ac:dyDescent="0.2">
      <c r="B257" s="11"/>
      <c r="C257" s="14" t="str">
        <f>IFERROR(IF(Payments[[#This Row],[Invoice '#]]="","",INDEX(Invoices[Customer],MATCH(Payments[[#This Row],[Invoice '#]],Invoices[Invoice '#],0))),"")</f>
        <v/>
      </c>
      <c r="D257" s="15" t="str">
        <f>IFERROR(IF(Payments[[#This Row],[Invoice '#]]="","",INDEX(Invoices[Due Date],MATCH(Payments[[#This Row],[Invoice '#]],Invoices[Invoice '#],0))),"")</f>
        <v/>
      </c>
      <c r="E257" s="40" t="str">
        <f ca="1">IFERROR(IF(Payments[[#This Row],[Invoice '#]]="","",INDEX(Invoices[Amount due],MATCH(Payments[[#This Row],[Invoice '#]],Invoices[Invoice '#],0))-IF(E256=Payments[[#Headers],[Amount Due]],0,SUMIF(INDIRECT("B4:B"&amp;ROW()-1),Payments[[#This Row],[Invoice '#]],Payments[Amount Paid]))),"")</f>
        <v/>
      </c>
      <c r="F257" s="41"/>
      <c r="G257" s="10"/>
      <c r="H257" s="38" t="str">
        <f ca="1">IFERROR(IF(Payments[[#This Row],[Amount Due]]="","",IF(Payments[[#This Row],[Amount Due]]=0,0,Payments[[#This Row],[Amount Due]]-Payments[[#This Row],[Amount Paid]])),"")</f>
        <v/>
      </c>
      <c r="I257" s="2"/>
    </row>
    <row r="258" spans="2:9" ht="14.1" customHeight="1" x14ac:dyDescent="0.2">
      <c r="B258" s="11"/>
      <c r="C258" s="14" t="str">
        <f>IFERROR(IF(Payments[[#This Row],[Invoice '#]]="","",INDEX(Invoices[Customer],MATCH(Payments[[#This Row],[Invoice '#]],Invoices[Invoice '#],0))),"")</f>
        <v/>
      </c>
      <c r="D258" s="15" t="str">
        <f>IFERROR(IF(Payments[[#This Row],[Invoice '#]]="","",INDEX(Invoices[Due Date],MATCH(Payments[[#This Row],[Invoice '#]],Invoices[Invoice '#],0))),"")</f>
        <v/>
      </c>
      <c r="E258" s="40" t="str">
        <f ca="1">IFERROR(IF(Payments[[#This Row],[Invoice '#]]="","",INDEX(Invoices[Amount due],MATCH(Payments[[#This Row],[Invoice '#]],Invoices[Invoice '#],0))-IF(E257=Payments[[#Headers],[Amount Due]],0,SUMIF(INDIRECT("B4:B"&amp;ROW()-1),Payments[[#This Row],[Invoice '#]],Payments[Amount Paid]))),"")</f>
        <v/>
      </c>
      <c r="F258" s="41"/>
      <c r="G258" s="10"/>
      <c r="H258" s="38" t="str">
        <f ca="1">IFERROR(IF(Payments[[#This Row],[Amount Due]]="","",IF(Payments[[#This Row],[Amount Due]]=0,0,Payments[[#This Row],[Amount Due]]-Payments[[#This Row],[Amount Paid]])),"")</f>
        <v/>
      </c>
      <c r="I258" s="2"/>
    </row>
    <row r="259" spans="2:9" ht="14.1" customHeight="1" x14ac:dyDescent="0.2">
      <c r="B259" s="11"/>
      <c r="C259" s="14" t="str">
        <f>IFERROR(IF(Payments[[#This Row],[Invoice '#]]="","",INDEX(Invoices[Customer],MATCH(Payments[[#This Row],[Invoice '#]],Invoices[Invoice '#],0))),"")</f>
        <v/>
      </c>
      <c r="D259" s="15" t="str">
        <f>IFERROR(IF(Payments[[#This Row],[Invoice '#]]="","",INDEX(Invoices[Due Date],MATCH(Payments[[#This Row],[Invoice '#]],Invoices[Invoice '#],0))),"")</f>
        <v/>
      </c>
      <c r="E259" s="40" t="str">
        <f ca="1">IFERROR(IF(Payments[[#This Row],[Invoice '#]]="","",INDEX(Invoices[Amount due],MATCH(Payments[[#This Row],[Invoice '#]],Invoices[Invoice '#],0))-IF(E258=Payments[[#Headers],[Amount Due]],0,SUMIF(INDIRECT("B4:B"&amp;ROW()-1),Payments[[#This Row],[Invoice '#]],Payments[Amount Paid]))),"")</f>
        <v/>
      </c>
      <c r="F259" s="41"/>
      <c r="G259" s="10"/>
      <c r="H259" s="38" t="str">
        <f ca="1">IFERROR(IF(Payments[[#This Row],[Amount Due]]="","",IF(Payments[[#This Row],[Amount Due]]=0,0,Payments[[#This Row],[Amount Due]]-Payments[[#This Row],[Amount Paid]])),"")</f>
        <v/>
      </c>
      <c r="I259" s="2"/>
    </row>
    <row r="260" spans="2:9" ht="14.1" customHeight="1" x14ac:dyDescent="0.2">
      <c r="B260" s="11"/>
      <c r="C260" s="14" t="str">
        <f>IFERROR(IF(Payments[[#This Row],[Invoice '#]]="","",INDEX(Invoices[Customer],MATCH(Payments[[#This Row],[Invoice '#]],Invoices[Invoice '#],0))),"")</f>
        <v/>
      </c>
      <c r="D260" s="15" t="str">
        <f>IFERROR(IF(Payments[[#This Row],[Invoice '#]]="","",INDEX(Invoices[Due Date],MATCH(Payments[[#This Row],[Invoice '#]],Invoices[Invoice '#],0))),"")</f>
        <v/>
      </c>
      <c r="E260" s="40" t="str">
        <f ca="1">IFERROR(IF(Payments[[#This Row],[Invoice '#]]="","",INDEX(Invoices[Amount due],MATCH(Payments[[#This Row],[Invoice '#]],Invoices[Invoice '#],0))-IF(E259=Payments[[#Headers],[Amount Due]],0,SUMIF(INDIRECT("B4:B"&amp;ROW()-1),Payments[[#This Row],[Invoice '#]],Payments[Amount Paid]))),"")</f>
        <v/>
      </c>
      <c r="F260" s="41"/>
      <c r="G260" s="10"/>
      <c r="H260" s="38" t="str">
        <f ca="1">IFERROR(IF(Payments[[#This Row],[Amount Due]]="","",IF(Payments[[#This Row],[Amount Due]]=0,0,Payments[[#This Row],[Amount Due]]-Payments[[#This Row],[Amount Paid]])),"")</f>
        <v/>
      </c>
      <c r="I260" s="2"/>
    </row>
    <row r="261" spans="2:9" ht="14.1" customHeight="1" x14ac:dyDescent="0.2">
      <c r="B261" s="11"/>
      <c r="C261" s="14" t="str">
        <f>IFERROR(IF(Payments[[#This Row],[Invoice '#]]="","",INDEX(Invoices[Customer],MATCH(Payments[[#This Row],[Invoice '#]],Invoices[Invoice '#],0))),"")</f>
        <v/>
      </c>
      <c r="D261" s="15" t="str">
        <f>IFERROR(IF(Payments[[#This Row],[Invoice '#]]="","",INDEX(Invoices[Due Date],MATCH(Payments[[#This Row],[Invoice '#]],Invoices[Invoice '#],0))),"")</f>
        <v/>
      </c>
      <c r="E261" s="40" t="str">
        <f ca="1">IFERROR(IF(Payments[[#This Row],[Invoice '#]]="","",INDEX(Invoices[Amount due],MATCH(Payments[[#This Row],[Invoice '#]],Invoices[Invoice '#],0))-IF(E260=Payments[[#Headers],[Amount Due]],0,SUMIF(INDIRECT("B4:B"&amp;ROW()-1),Payments[[#This Row],[Invoice '#]],Payments[Amount Paid]))),"")</f>
        <v/>
      </c>
      <c r="F261" s="41"/>
      <c r="G261" s="10"/>
      <c r="H261" s="38" t="str">
        <f ca="1">IFERROR(IF(Payments[[#This Row],[Amount Due]]="","",IF(Payments[[#This Row],[Amount Due]]=0,0,Payments[[#This Row],[Amount Due]]-Payments[[#This Row],[Amount Paid]])),"")</f>
        <v/>
      </c>
      <c r="I261" s="2"/>
    </row>
    <row r="262" spans="2:9" ht="14.1" customHeight="1" x14ac:dyDescent="0.2">
      <c r="B262" s="11"/>
      <c r="C262" s="14" t="str">
        <f>IFERROR(IF(Payments[[#This Row],[Invoice '#]]="","",INDEX(Invoices[Customer],MATCH(Payments[[#This Row],[Invoice '#]],Invoices[Invoice '#],0))),"")</f>
        <v/>
      </c>
      <c r="D262" s="15" t="str">
        <f>IFERROR(IF(Payments[[#This Row],[Invoice '#]]="","",INDEX(Invoices[Due Date],MATCH(Payments[[#This Row],[Invoice '#]],Invoices[Invoice '#],0))),"")</f>
        <v/>
      </c>
      <c r="E262" s="40" t="str">
        <f ca="1">IFERROR(IF(Payments[[#This Row],[Invoice '#]]="","",INDEX(Invoices[Amount due],MATCH(Payments[[#This Row],[Invoice '#]],Invoices[Invoice '#],0))-IF(E261=Payments[[#Headers],[Amount Due]],0,SUMIF(INDIRECT("B4:B"&amp;ROW()-1),Payments[[#This Row],[Invoice '#]],Payments[Amount Paid]))),"")</f>
        <v/>
      </c>
      <c r="F262" s="41"/>
      <c r="G262" s="10"/>
      <c r="H262" s="38" t="str">
        <f ca="1">IFERROR(IF(Payments[[#This Row],[Amount Due]]="","",IF(Payments[[#This Row],[Amount Due]]=0,0,Payments[[#This Row],[Amount Due]]-Payments[[#This Row],[Amount Paid]])),"")</f>
        <v/>
      </c>
      <c r="I262" s="2"/>
    </row>
    <row r="263" spans="2:9" ht="14.1" customHeight="1" x14ac:dyDescent="0.2">
      <c r="B263" s="11"/>
      <c r="C263" s="14" t="str">
        <f>IFERROR(IF(Payments[[#This Row],[Invoice '#]]="","",INDEX(Invoices[Customer],MATCH(Payments[[#This Row],[Invoice '#]],Invoices[Invoice '#],0))),"")</f>
        <v/>
      </c>
      <c r="D263" s="15" t="str">
        <f>IFERROR(IF(Payments[[#This Row],[Invoice '#]]="","",INDEX(Invoices[Due Date],MATCH(Payments[[#This Row],[Invoice '#]],Invoices[Invoice '#],0))),"")</f>
        <v/>
      </c>
      <c r="E263" s="40" t="str">
        <f ca="1">IFERROR(IF(Payments[[#This Row],[Invoice '#]]="","",INDEX(Invoices[Amount due],MATCH(Payments[[#This Row],[Invoice '#]],Invoices[Invoice '#],0))-IF(E262=Payments[[#Headers],[Amount Due]],0,SUMIF(INDIRECT("B4:B"&amp;ROW()-1),Payments[[#This Row],[Invoice '#]],Payments[Amount Paid]))),"")</f>
        <v/>
      </c>
      <c r="F263" s="41"/>
      <c r="G263" s="10"/>
      <c r="H263" s="38" t="str">
        <f ca="1">IFERROR(IF(Payments[[#This Row],[Amount Due]]="","",IF(Payments[[#This Row],[Amount Due]]=0,0,Payments[[#This Row],[Amount Due]]-Payments[[#This Row],[Amount Paid]])),"")</f>
        <v/>
      </c>
      <c r="I263" s="2"/>
    </row>
    <row r="264" spans="2:9" ht="14.1" customHeight="1" x14ac:dyDescent="0.2">
      <c r="B264" s="11"/>
      <c r="C264" s="14" t="str">
        <f>IFERROR(IF(Payments[[#This Row],[Invoice '#]]="","",INDEX(Invoices[Customer],MATCH(Payments[[#This Row],[Invoice '#]],Invoices[Invoice '#],0))),"")</f>
        <v/>
      </c>
      <c r="D264" s="15" t="str">
        <f>IFERROR(IF(Payments[[#This Row],[Invoice '#]]="","",INDEX(Invoices[Due Date],MATCH(Payments[[#This Row],[Invoice '#]],Invoices[Invoice '#],0))),"")</f>
        <v/>
      </c>
      <c r="E264" s="40" t="str">
        <f ca="1">IFERROR(IF(Payments[[#This Row],[Invoice '#]]="","",INDEX(Invoices[Amount due],MATCH(Payments[[#This Row],[Invoice '#]],Invoices[Invoice '#],0))-IF(E263=Payments[[#Headers],[Amount Due]],0,SUMIF(INDIRECT("B4:B"&amp;ROW()-1),Payments[[#This Row],[Invoice '#]],Payments[Amount Paid]))),"")</f>
        <v/>
      </c>
      <c r="F264" s="41"/>
      <c r="G264" s="10"/>
      <c r="H264" s="38" t="str">
        <f ca="1">IFERROR(IF(Payments[[#This Row],[Amount Due]]="","",IF(Payments[[#This Row],[Amount Due]]=0,0,Payments[[#This Row],[Amount Due]]-Payments[[#This Row],[Amount Paid]])),"")</f>
        <v/>
      </c>
      <c r="I264" s="2"/>
    </row>
    <row r="265" spans="2:9" ht="14.1" customHeight="1" x14ac:dyDescent="0.2">
      <c r="B265" s="11"/>
      <c r="C265" s="14" t="str">
        <f>IFERROR(IF(Payments[[#This Row],[Invoice '#]]="","",INDEX(Invoices[Customer],MATCH(Payments[[#This Row],[Invoice '#]],Invoices[Invoice '#],0))),"")</f>
        <v/>
      </c>
      <c r="D265" s="15" t="str">
        <f>IFERROR(IF(Payments[[#This Row],[Invoice '#]]="","",INDEX(Invoices[Due Date],MATCH(Payments[[#This Row],[Invoice '#]],Invoices[Invoice '#],0))),"")</f>
        <v/>
      </c>
      <c r="E265" s="40" t="str">
        <f ca="1">IFERROR(IF(Payments[[#This Row],[Invoice '#]]="","",INDEX(Invoices[Amount due],MATCH(Payments[[#This Row],[Invoice '#]],Invoices[Invoice '#],0))-IF(E264=Payments[[#Headers],[Amount Due]],0,SUMIF(INDIRECT("B4:B"&amp;ROW()-1),Payments[[#This Row],[Invoice '#]],Payments[Amount Paid]))),"")</f>
        <v/>
      </c>
      <c r="F265" s="41"/>
      <c r="G265" s="10"/>
      <c r="H265" s="38" t="str">
        <f ca="1">IFERROR(IF(Payments[[#This Row],[Amount Due]]="","",IF(Payments[[#This Row],[Amount Due]]=0,0,Payments[[#This Row],[Amount Due]]-Payments[[#This Row],[Amount Paid]])),"")</f>
        <v/>
      </c>
      <c r="I265" s="2"/>
    </row>
    <row r="266" spans="2:9" ht="14.1" customHeight="1" x14ac:dyDescent="0.2">
      <c r="B266" s="11"/>
      <c r="C266" s="14" t="str">
        <f>IFERROR(IF(Payments[[#This Row],[Invoice '#]]="","",INDEX(Invoices[Customer],MATCH(Payments[[#This Row],[Invoice '#]],Invoices[Invoice '#],0))),"")</f>
        <v/>
      </c>
      <c r="D266" s="15" t="str">
        <f>IFERROR(IF(Payments[[#This Row],[Invoice '#]]="","",INDEX(Invoices[Due Date],MATCH(Payments[[#This Row],[Invoice '#]],Invoices[Invoice '#],0))),"")</f>
        <v/>
      </c>
      <c r="E266" s="40" t="str">
        <f ca="1">IFERROR(IF(Payments[[#This Row],[Invoice '#]]="","",INDEX(Invoices[Amount due],MATCH(Payments[[#This Row],[Invoice '#]],Invoices[Invoice '#],0))-IF(E265=Payments[[#Headers],[Amount Due]],0,SUMIF(INDIRECT("B4:B"&amp;ROW()-1),Payments[[#This Row],[Invoice '#]],Payments[Amount Paid]))),"")</f>
        <v/>
      </c>
      <c r="F266" s="41"/>
      <c r="G266" s="10"/>
      <c r="H266" s="38" t="str">
        <f ca="1">IFERROR(IF(Payments[[#This Row],[Amount Due]]="","",IF(Payments[[#This Row],[Amount Due]]=0,0,Payments[[#This Row],[Amount Due]]-Payments[[#This Row],[Amount Paid]])),"")</f>
        <v/>
      </c>
      <c r="I266" s="2"/>
    </row>
    <row r="267" spans="2:9" ht="14.1" customHeight="1" x14ac:dyDescent="0.2">
      <c r="B267" s="11"/>
      <c r="C267" s="14" t="str">
        <f>IFERROR(IF(Payments[[#This Row],[Invoice '#]]="","",INDEX(Invoices[Customer],MATCH(Payments[[#This Row],[Invoice '#]],Invoices[Invoice '#],0))),"")</f>
        <v/>
      </c>
      <c r="D267" s="15" t="str">
        <f>IFERROR(IF(Payments[[#This Row],[Invoice '#]]="","",INDEX(Invoices[Due Date],MATCH(Payments[[#This Row],[Invoice '#]],Invoices[Invoice '#],0))),"")</f>
        <v/>
      </c>
      <c r="E267" s="40" t="str">
        <f ca="1">IFERROR(IF(Payments[[#This Row],[Invoice '#]]="","",INDEX(Invoices[Amount due],MATCH(Payments[[#This Row],[Invoice '#]],Invoices[Invoice '#],0))-IF(E266=Payments[[#Headers],[Amount Due]],0,SUMIF(INDIRECT("B4:B"&amp;ROW()-1),Payments[[#This Row],[Invoice '#]],Payments[Amount Paid]))),"")</f>
        <v/>
      </c>
      <c r="F267" s="41"/>
      <c r="G267" s="10"/>
      <c r="H267" s="38" t="str">
        <f ca="1">IFERROR(IF(Payments[[#This Row],[Amount Due]]="","",IF(Payments[[#This Row],[Amount Due]]=0,0,Payments[[#This Row],[Amount Due]]-Payments[[#This Row],[Amount Paid]])),"")</f>
        <v/>
      </c>
      <c r="I267" s="2"/>
    </row>
    <row r="268" spans="2:9" ht="14.1" customHeight="1" x14ac:dyDescent="0.2">
      <c r="B268" s="11"/>
      <c r="C268" s="14" t="str">
        <f>IFERROR(IF(Payments[[#This Row],[Invoice '#]]="","",INDEX(Invoices[Customer],MATCH(Payments[[#This Row],[Invoice '#]],Invoices[Invoice '#],0))),"")</f>
        <v/>
      </c>
      <c r="D268" s="15" t="str">
        <f>IFERROR(IF(Payments[[#This Row],[Invoice '#]]="","",INDEX(Invoices[Due Date],MATCH(Payments[[#This Row],[Invoice '#]],Invoices[Invoice '#],0))),"")</f>
        <v/>
      </c>
      <c r="E268" s="40" t="str">
        <f ca="1">IFERROR(IF(Payments[[#This Row],[Invoice '#]]="","",INDEX(Invoices[Amount due],MATCH(Payments[[#This Row],[Invoice '#]],Invoices[Invoice '#],0))-IF(E267=Payments[[#Headers],[Amount Due]],0,SUMIF(INDIRECT("B4:B"&amp;ROW()-1),Payments[[#This Row],[Invoice '#]],Payments[Amount Paid]))),"")</f>
        <v/>
      </c>
      <c r="F268" s="41"/>
      <c r="G268" s="10"/>
      <c r="H268" s="38" t="str">
        <f ca="1">IFERROR(IF(Payments[[#This Row],[Amount Due]]="","",IF(Payments[[#This Row],[Amount Due]]=0,0,Payments[[#This Row],[Amount Due]]-Payments[[#This Row],[Amount Paid]])),"")</f>
        <v/>
      </c>
      <c r="I268" s="2"/>
    </row>
    <row r="269" spans="2:9" ht="14.1" customHeight="1" x14ac:dyDescent="0.2">
      <c r="B269" s="11"/>
      <c r="C269" s="14" t="str">
        <f>IFERROR(IF(Payments[[#This Row],[Invoice '#]]="","",INDEX(Invoices[Customer],MATCH(Payments[[#This Row],[Invoice '#]],Invoices[Invoice '#],0))),"")</f>
        <v/>
      </c>
      <c r="D269" s="15" t="str">
        <f>IFERROR(IF(Payments[[#This Row],[Invoice '#]]="","",INDEX(Invoices[Due Date],MATCH(Payments[[#This Row],[Invoice '#]],Invoices[Invoice '#],0))),"")</f>
        <v/>
      </c>
      <c r="E269" s="40" t="str">
        <f ca="1">IFERROR(IF(Payments[[#This Row],[Invoice '#]]="","",INDEX(Invoices[Amount due],MATCH(Payments[[#This Row],[Invoice '#]],Invoices[Invoice '#],0))-IF(E268=Payments[[#Headers],[Amount Due]],0,SUMIF(INDIRECT("B4:B"&amp;ROW()-1),Payments[[#This Row],[Invoice '#]],Payments[Amount Paid]))),"")</f>
        <v/>
      </c>
      <c r="F269" s="41"/>
      <c r="G269" s="10"/>
      <c r="H269" s="38" t="str">
        <f ca="1">IFERROR(IF(Payments[[#This Row],[Amount Due]]="","",IF(Payments[[#This Row],[Amount Due]]=0,0,Payments[[#This Row],[Amount Due]]-Payments[[#This Row],[Amount Paid]])),"")</f>
        <v/>
      </c>
      <c r="I269" s="2"/>
    </row>
    <row r="270" spans="2:9" ht="14.1" customHeight="1" x14ac:dyDescent="0.2">
      <c r="B270" s="11"/>
      <c r="C270" s="14" t="str">
        <f>IFERROR(IF(Payments[[#This Row],[Invoice '#]]="","",INDEX(Invoices[Customer],MATCH(Payments[[#This Row],[Invoice '#]],Invoices[Invoice '#],0))),"")</f>
        <v/>
      </c>
      <c r="D270" s="15" t="str">
        <f>IFERROR(IF(Payments[[#This Row],[Invoice '#]]="","",INDEX(Invoices[Due Date],MATCH(Payments[[#This Row],[Invoice '#]],Invoices[Invoice '#],0))),"")</f>
        <v/>
      </c>
      <c r="E270" s="40" t="str">
        <f ca="1">IFERROR(IF(Payments[[#This Row],[Invoice '#]]="","",INDEX(Invoices[Amount due],MATCH(Payments[[#This Row],[Invoice '#]],Invoices[Invoice '#],0))-IF(E269=Payments[[#Headers],[Amount Due]],0,SUMIF(INDIRECT("B4:B"&amp;ROW()-1),Payments[[#This Row],[Invoice '#]],Payments[Amount Paid]))),"")</f>
        <v/>
      </c>
      <c r="F270" s="41"/>
      <c r="G270" s="10"/>
      <c r="H270" s="38" t="str">
        <f ca="1">IFERROR(IF(Payments[[#This Row],[Amount Due]]="","",IF(Payments[[#This Row],[Amount Due]]=0,0,Payments[[#This Row],[Amount Due]]-Payments[[#This Row],[Amount Paid]])),"")</f>
        <v/>
      </c>
      <c r="I270" s="2"/>
    </row>
    <row r="271" spans="2:9" ht="14.1" customHeight="1" x14ac:dyDescent="0.2">
      <c r="B271" s="11"/>
      <c r="C271" s="14" t="str">
        <f>IFERROR(IF(Payments[[#This Row],[Invoice '#]]="","",INDEX(Invoices[Customer],MATCH(Payments[[#This Row],[Invoice '#]],Invoices[Invoice '#],0))),"")</f>
        <v/>
      </c>
      <c r="D271" s="15" t="str">
        <f>IFERROR(IF(Payments[[#This Row],[Invoice '#]]="","",INDEX(Invoices[Due Date],MATCH(Payments[[#This Row],[Invoice '#]],Invoices[Invoice '#],0))),"")</f>
        <v/>
      </c>
      <c r="E271" s="40" t="str">
        <f ca="1">IFERROR(IF(Payments[[#This Row],[Invoice '#]]="","",INDEX(Invoices[Amount due],MATCH(Payments[[#This Row],[Invoice '#]],Invoices[Invoice '#],0))-IF(E270=Payments[[#Headers],[Amount Due]],0,SUMIF(INDIRECT("B4:B"&amp;ROW()-1),Payments[[#This Row],[Invoice '#]],Payments[Amount Paid]))),"")</f>
        <v/>
      </c>
      <c r="F271" s="41"/>
      <c r="G271" s="10"/>
      <c r="H271" s="38" t="str">
        <f ca="1">IFERROR(IF(Payments[[#This Row],[Amount Due]]="","",IF(Payments[[#This Row],[Amount Due]]=0,0,Payments[[#This Row],[Amount Due]]-Payments[[#This Row],[Amount Paid]])),"")</f>
        <v/>
      </c>
      <c r="I271" s="2"/>
    </row>
    <row r="272" spans="2:9" ht="14.1" customHeight="1" x14ac:dyDescent="0.2">
      <c r="B272" s="11"/>
      <c r="C272" s="14" t="str">
        <f>IFERROR(IF(Payments[[#This Row],[Invoice '#]]="","",INDEX(Invoices[Customer],MATCH(Payments[[#This Row],[Invoice '#]],Invoices[Invoice '#],0))),"")</f>
        <v/>
      </c>
      <c r="D272" s="15" t="str">
        <f>IFERROR(IF(Payments[[#This Row],[Invoice '#]]="","",INDEX(Invoices[Due Date],MATCH(Payments[[#This Row],[Invoice '#]],Invoices[Invoice '#],0))),"")</f>
        <v/>
      </c>
      <c r="E272" s="40" t="str">
        <f ca="1">IFERROR(IF(Payments[[#This Row],[Invoice '#]]="","",INDEX(Invoices[Amount due],MATCH(Payments[[#This Row],[Invoice '#]],Invoices[Invoice '#],0))-IF(E271=Payments[[#Headers],[Amount Due]],0,SUMIF(INDIRECT("B4:B"&amp;ROW()-1),Payments[[#This Row],[Invoice '#]],Payments[Amount Paid]))),"")</f>
        <v/>
      </c>
      <c r="F272" s="41"/>
      <c r="G272" s="10"/>
      <c r="H272" s="38" t="str">
        <f ca="1">IFERROR(IF(Payments[[#This Row],[Amount Due]]="","",IF(Payments[[#This Row],[Amount Due]]=0,0,Payments[[#This Row],[Amount Due]]-Payments[[#This Row],[Amount Paid]])),"")</f>
        <v/>
      </c>
      <c r="I272" s="2"/>
    </row>
    <row r="273" spans="2:9" ht="14.1" customHeight="1" x14ac:dyDescent="0.2">
      <c r="B273" s="11"/>
      <c r="C273" s="14" t="str">
        <f>IFERROR(IF(Payments[[#This Row],[Invoice '#]]="","",INDEX(Invoices[Customer],MATCH(Payments[[#This Row],[Invoice '#]],Invoices[Invoice '#],0))),"")</f>
        <v/>
      </c>
      <c r="D273" s="15" t="str">
        <f>IFERROR(IF(Payments[[#This Row],[Invoice '#]]="","",INDEX(Invoices[Due Date],MATCH(Payments[[#This Row],[Invoice '#]],Invoices[Invoice '#],0))),"")</f>
        <v/>
      </c>
      <c r="E273" s="40" t="str">
        <f ca="1">IFERROR(IF(Payments[[#This Row],[Invoice '#]]="","",INDEX(Invoices[Amount due],MATCH(Payments[[#This Row],[Invoice '#]],Invoices[Invoice '#],0))-IF(E272=Payments[[#Headers],[Amount Due]],0,SUMIF(INDIRECT("B4:B"&amp;ROW()-1),Payments[[#This Row],[Invoice '#]],Payments[Amount Paid]))),"")</f>
        <v/>
      </c>
      <c r="F273" s="41"/>
      <c r="G273" s="10"/>
      <c r="H273" s="38" t="str">
        <f ca="1">IFERROR(IF(Payments[[#This Row],[Amount Due]]="","",IF(Payments[[#This Row],[Amount Due]]=0,0,Payments[[#This Row],[Amount Due]]-Payments[[#This Row],[Amount Paid]])),"")</f>
        <v/>
      </c>
      <c r="I273" s="2"/>
    </row>
    <row r="274" spans="2:9" ht="14.1" customHeight="1" x14ac:dyDescent="0.2">
      <c r="B274" s="11"/>
      <c r="C274" s="14" t="str">
        <f>IFERROR(IF(Payments[[#This Row],[Invoice '#]]="","",INDEX(Invoices[Customer],MATCH(Payments[[#This Row],[Invoice '#]],Invoices[Invoice '#],0))),"")</f>
        <v/>
      </c>
      <c r="D274" s="15" t="str">
        <f>IFERROR(IF(Payments[[#This Row],[Invoice '#]]="","",INDEX(Invoices[Due Date],MATCH(Payments[[#This Row],[Invoice '#]],Invoices[Invoice '#],0))),"")</f>
        <v/>
      </c>
      <c r="E274" s="40" t="str">
        <f ca="1">IFERROR(IF(Payments[[#This Row],[Invoice '#]]="","",INDEX(Invoices[Amount due],MATCH(Payments[[#This Row],[Invoice '#]],Invoices[Invoice '#],0))-IF(E273=Payments[[#Headers],[Amount Due]],0,SUMIF(INDIRECT("B4:B"&amp;ROW()-1),Payments[[#This Row],[Invoice '#]],Payments[Amount Paid]))),"")</f>
        <v/>
      </c>
      <c r="F274" s="41"/>
      <c r="G274" s="10"/>
      <c r="H274" s="38" t="str">
        <f ca="1">IFERROR(IF(Payments[[#This Row],[Amount Due]]="","",IF(Payments[[#This Row],[Amount Due]]=0,0,Payments[[#This Row],[Amount Due]]-Payments[[#This Row],[Amount Paid]])),"")</f>
        <v/>
      </c>
      <c r="I274" s="2"/>
    </row>
    <row r="275" spans="2:9" ht="14.1" customHeight="1" x14ac:dyDescent="0.2">
      <c r="B275" s="11"/>
      <c r="C275" s="14" t="str">
        <f>IFERROR(IF(Payments[[#This Row],[Invoice '#]]="","",INDEX(Invoices[Customer],MATCH(Payments[[#This Row],[Invoice '#]],Invoices[Invoice '#],0))),"")</f>
        <v/>
      </c>
      <c r="D275" s="15" t="str">
        <f>IFERROR(IF(Payments[[#This Row],[Invoice '#]]="","",INDEX(Invoices[Due Date],MATCH(Payments[[#This Row],[Invoice '#]],Invoices[Invoice '#],0))),"")</f>
        <v/>
      </c>
      <c r="E275" s="40" t="str">
        <f ca="1">IFERROR(IF(Payments[[#This Row],[Invoice '#]]="","",INDEX(Invoices[Amount due],MATCH(Payments[[#This Row],[Invoice '#]],Invoices[Invoice '#],0))-IF(E274=Payments[[#Headers],[Amount Due]],0,SUMIF(INDIRECT("B4:B"&amp;ROW()-1),Payments[[#This Row],[Invoice '#]],Payments[Amount Paid]))),"")</f>
        <v/>
      </c>
      <c r="F275" s="41"/>
      <c r="G275" s="10"/>
      <c r="H275" s="38" t="str">
        <f ca="1">IFERROR(IF(Payments[[#This Row],[Amount Due]]="","",IF(Payments[[#This Row],[Amount Due]]=0,0,Payments[[#This Row],[Amount Due]]-Payments[[#This Row],[Amount Paid]])),"")</f>
        <v/>
      </c>
      <c r="I275" s="2"/>
    </row>
    <row r="276" spans="2:9" ht="14.1" customHeight="1" x14ac:dyDescent="0.2">
      <c r="B276" s="11"/>
      <c r="C276" s="14" t="str">
        <f>IFERROR(IF(Payments[[#This Row],[Invoice '#]]="","",INDEX(Invoices[Customer],MATCH(Payments[[#This Row],[Invoice '#]],Invoices[Invoice '#],0))),"")</f>
        <v/>
      </c>
      <c r="D276" s="15" t="str">
        <f>IFERROR(IF(Payments[[#This Row],[Invoice '#]]="","",INDEX(Invoices[Due Date],MATCH(Payments[[#This Row],[Invoice '#]],Invoices[Invoice '#],0))),"")</f>
        <v/>
      </c>
      <c r="E276" s="40" t="str">
        <f ca="1">IFERROR(IF(Payments[[#This Row],[Invoice '#]]="","",INDEX(Invoices[Amount due],MATCH(Payments[[#This Row],[Invoice '#]],Invoices[Invoice '#],0))-IF(E275=Payments[[#Headers],[Amount Due]],0,SUMIF(INDIRECT("B4:B"&amp;ROW()-1),Payments[[#This Row],[Invoice '#]],Payments[Amount Paid]))),"")</f>
        <v/>
      </c>
      <c r="F276" s="41"/>
      <c r="G276" s="10"/>
      <c r="H276" s="38" t="str">
        <f ca="1">IFERROR(IF(Payments[[#This Row],[Amount Due]]="","",IF(Payments[[#This Row],[Amount Due]]=0,0,Payments[[#This Row],[Amount Due]]-Payments[[#This Row],[Amount Paid]])),"")</f>
        <v/>
      </c>
      <c r="I276" s="2"/>
    </row>
    <row r="277" spans="2:9" ht="14.1" customHeight="1" x14ac:dyDescent="0.2">
      <c r="B277" s="11"/>
      <c r="C277" s="14" t="str">
        <f>IFERROR(IF(Payments[[#This Row],[Invoice '#]]="","",INDEX(Invoices[Customer],MATCH(Payments[[#This Row],[Invoice '#]],Invoices[Invoice '#],0))),"")</f>
        <v/>
      </c>
      <c r="D277" s="15" t="str">
        <f>IFERROR(IF(Payments[[#This Row],[Invoice '#]]="","",INDEX(Invoices[Due Date],MATCH(Payments[[#This Row],[Invoice '#]],Invoices[Invoice '#],0))),"")</f>
        <v/>
      </c>
      <c r="E277" s="40" t="str">
        <f ca="1">IFERROR(IF(Payments[[#This Row],[Invoice '#]]="","",INDEX(Invoices[Amount due],MATCH(Payments[[#This Row],[Invoice '#]],Invoices[Invoice '#],0))-IF(E276=Payments[[#Headers],[Amount Due]],0,SUMIF(INDIRECT("B4:B"&amp;ROW()-1),Payments[[#This Row],[Invoice '#]],Payments[Amount Paid]))),"")</f>
        <v/>
      </c>
      <c r="F277" s="41"/>
      <c r="G277" s="10"/>
      <c r="H277" s="38" t="str">
        <f ca="1">IFERROR(IF(Payments[[#This Row],[Amount Due]]="","",IF(Payments[[#This Row],[Amount Due]]=0,0,Payments[[#This Row],[Amount Due]]-Payments[[#This Row],[Amount Paid]])),"")</f>
        <v/>
      </c>
      <c r="I277" s="2"/>
    </row>
    <row r="278" spans="2:9" ht="14.1" customHeight="1" x14ac:dyDescent="0.2">
      <c r="B278" s="11"/>
      <c r="C278" s="14" t="str">
        <f>IFERROR(IF(Payments[[#This Row],[Invoice '#]]="","",INDEX(Invoices[Customer],MATCH(Payments[[#This Row],[Invoice '#]],Invoices[Invoice '#],0))),"")</f>
        <v/>
      </c>
      <c r="D278" s="15" t="str">
        <f>IFERROR(IF(Payments[[#This Row],[Invoice '#]]="","",INDEX(Invoices[Due Date],MATCH(Payments[[#This Row],[Invoice '#]],Invoices[Invoice '#],0))),"")</f>
        <v/>
      </c>
      <c r="E278" s="40" t="str">
        <f ca="1">IFERROR(IF(Payments[[#This Row],[Invoice '#]]="","",INDEX(Invoices[Amount due],MATCH(Payments[[#This Row],[Invoice '#]],Invoices[Invoice '#],0))-IF(E277=Payments[[#Headers],[Amount Due]],0,SUMIF(INDIRECT("B4:B"&amp;ROW()-1),Payments[[#This Row],[Invoice '#]],Payments[Amount Paid]))),"")</f>
        <v/>
      </c>
      <c r="F278" s="41"/>
      <c r="G278" s="10"/>
      <c r="H278" s="38" t="str">
        <f ca="1">IFERROR(IF(Payments[[#This Row],[Amount Due]]="","",IF(Payments[[#This Row],[Amount Due]]=0,0,Payments[[#This Row],[Amount Due]]-Payments[[#This Row],[Amount Paid]])),"")</f>
        <v/>
      </c>
      <c r="I278" s="2"/>
    </row>
    <row r="279" spans="2:9" ht="14.1" customHeight="1" x14ac:dyDescent="0.2">
      <c r="B279" s="11"/>
      <c r="C279" s="14" t="str">
        <f>IFERROR(IF(Payments[[#This Row],[Invoice '#]]="","",INDEX(Invoices[Customer],MATCH(Payments[[#This Row],[Invoice '#]],Invoices[Invoice '#],0))),"")</f>
        <v/>
      </c>
      <c r="D279" s="15" t="str">
        <f>IFERROR(IF(Payments[[#This Row],[Invoice '#]]="","",INDEX(Invoices[Due Date],MATCH(Payments[[#This Row],[Invoice '#]],Invoices[Invoice '#],0))),"")</f>
        <v/>
      </c>
      <c r="E279" s="40" t="str">
        <f ca="1">IFERROR(IF(Payments[[#This Row],[Invoice '#]]="","",INDEX(Invoices[Amount due],MATCH(Payments[[#This Row],[Invoice '#]],Invoices[Invoice '#],0))-IF(E278=Payments[[#Headers],[Amount Due]],0,SUMIF(INDIRECT("B4:B"&amp;ROW()-1),Payments[[#This Row],[Invoice '#]],Payments[Amount Paid]))),"")</f>
        <v/>
      </c>
      <c r="F279" s="41"/>
      <c r="G279" s="10"/>
      <c r="H279" s="38" t="str">
        <f ca="1">IFERROR(IF(Payments[[#This Row],[Amount Due]]="","",IF(Payments[[#This Row],[Amount Due]]=0,0,Payments[[#This Row],[Amount Due]]-Payments[[#This Row],[Amount Paid]])),"")</f>
        <v/>
      </c>
      <c r="I279" s="2"/>
    </row>
    <row r="280" spans="2:9" ht="14.1" customHeight="1" x14ac:dyDescent="0.2">
      <c r="B280" s="11"/>
      <c r="C280" s="14" t="str">
        <f>IFERROR(IF(Payments[[#This Row],[Invoice '#]]="","",INDEX(Invoices[Customer],MATCH(Payments[[#This Row],[Invoice '#]],Invoices[Invoice '#],0))),"")</f>
        <v/>
      </c>
      <c r="D280" s="15" t="str">
        <f>IFERROR(IF(Payments[[#This Row],[Invoice '#]]="","",INDEX(Invoices[Due Date],MATCH(Payments[[#This Row],[Invoice '#]],Invoices[Invoice '#],0))),"")</f>
        <v/>
      </c>
      <c r="E280" s="40" t="str">
        <f ca="1">IFERROR(IF(Payments[[#This Row],[Invoice '#]]="","",INDEX(Invoices[Amount due],MATCH(Payments[[#This Row],[Invoice '#]],Invoices[Invoice '#],0))-IF(E279=Payments[[#Headers],[Amount Due]],0,SUMIF(INDIRECT("B4:B"&amp;ROW()-1),Payments[[#This Row],[Invoice '#]],Payments[Amount Paid]))),"")</f>
        <v/>
      </c>
      <c r="F280" s="41"/>
      <c r="G280" s="10"/>
      <c r="H280" s="38" t="str">
        <f ca="1">IFERROR(IF(Payments[[#This Row],[Amount Due]]="","",IF(Payments[[#This Row],[Amount Due]]=0,0,Payments[[#This Row],[Amount Due]]-Payments[[#This Row],[Amount Paid]])),"")</f>
        <v/>
      </c>
      <c r="I280" s="2"/>
    </row>
    <row r="281" spans="2:9" ht="14.1" customHeight="1" x14ac:dyDescent="0.2">
      <c r="B281" s="11"/>
      <c r="C281" s="14" t="str">
        <f>IFERROR(IF(Payments[[#This Row],[Invoice '#]]="","",INDEX(Invoices[Customer],MATCH(Payments[[#This Row],[Invoice '#]],Invoices[Invoice '#],0))),"")</f>
        <v/>
      </c>
      <c r="D281" s="15" t="str">
        <f>IFERROR(IF(Payments[[#This Row],[Invoice '#]]="","",INDEX(Invoices[Due Date],MATCH(Payments[[#This Row],[Invoice '#]],Invoices[Invoice '#],0))),"")</f>
        <v/>
      </c>
      <c r="E281" s="40" t="str">
        <f ca="1">IFERROR(IF(Payments[[#This Row],[Invoice '#]]="","",INDEX(Invoices[Amount due],MATCH(Payments[[#This Row],[Invoice '#]],Invoices[Invoice '#],0))-IF(E280=Payments[[#Headers],[Amount Due]],0,SUMIF(INDIRECT("B4:B"&amp;ROW()-1),Payments[[#This Row],[Invoice '#]],Payments[Amount Paid]))),"")</f>
        <v/>
      </c>
      <c r="F281" s="41"/>
      <c r="G281" s="10"/>
      <c r="H281" s="38" t="str">
        <f ca="1">IFERROR(IF(Payments[[#This Row],[Amount Due]]="","",IF(Payments[[#This Row],[Amount Due]]=0,0,Payments[[#This Row],[Amount Due]]-Payments[[#This Row],[Amount Paid]])),"")</f>
        <v/>
      </c>
      <c r="I281" s="2"/>
    </row>
    <row r="282" spans="2:9" ht="14.1" customHeight="1" x14ac:dyDescent="0.2">
      <c r="B282" s="11"/>
      <c r="C282" s="14" t="str">
        <f>IFERROR(IF(Payments[[#This Row],[Invoice '#]]="","",INDEX(Invoices[Customer],MATCH(Payments[[#This Row],[Invoice '#]],Invoices[Invoice '#],0))),"")</f>
        <v/>
      </c>
      <c r="D282" s="15" t="str">
        <f>IFERROR(IF(Payments[[#This Row],[Invoice '#]]="","",INDEX(Invoices[Due Date],MATCH(Payments[[#This Row],[Invoice '#]],Invoices[Invoice '#],0))),"")</f>
        <v/>
      </c>
      <c r="E282" s="40" t="str">
        <f ca="1">IFERROR(IF(Payments[[#This Row],[Invoice '#]]="","",INDEX(Invoices[Amount due],MATCH(Payments[[#This Row],[Invoice '#]],Invoices[Invoice '#],0))-IF(E281=Payments[[#Headers],[Amount Due]],0,SUMIF(INDIRECT("B4:B"&amp;ROW()-1),Payments[[#This Row],[Invoice '#]],Payments[Amount Paid]))),"")</f>
        <v/>
      </c>
      <c r="F282" s="41"/>
      <c r="G282" s="10"/>
      <c r="H282" s="38" t="str">
        <f ca="1">IFERROR(IF(Payments[[#This Row],[Amount Due]]="","",IF(Payments[[#This Row],[Amount Due]]=0,0,Payments[[#This Row],[Amount Due]]-Payments[[#This Row],[Amount Paid]])),"")</f>
        <v/>
      </c>
      <c r="I282" s="2"/>
    </row>
    <row r="283" spans="2:9" ht="14.1" customHeight="1" x14ac:dyDescent="0.2">
      <c r="B283" s="11"/>
      <c r="C283" s="14" t="str">
        <f>IFERROR(IF(Payments[[#This Row],[Invoice '#]]="","",INDEX(Invoices[Customer],MATCH(Payments[[#This Row],[Invoice '#]],Invoices[Invoice '#],0))),"")</f>
        <v/>
      </c>
      <c r="D283" s="15" t="str">
        <f>IFERROR(IF(Payments[[#This Row],[Invoice '#]]="","",INDEX(Invoices[Due Date],MATCH(Payments[[#This Row],[Invoice '#]],Invoices[Invoice '#],0))),"")</f>
        <v/>
      </c>
      <c r="E283" s="40" t="str">
        <f ca="1">IFERROR(IF(Payments[[#This Row],[Invoice '#]]="","",INDEX(Invoices[Amount due],MATCH(Payments[[#This Row],[Invoice '#]],Invoices[Invoice '#],0))-IF(E282=Payments[[#Headers],[Amount Due]],0,SUMIF(INDIRECT("B4:B"&amp;ROW()-1),Payments[[#This Row],[Invoice '#]],Payments[Amount Paid]))),"")</f>
        <v/>
      </c>
      <c r="F283" s="41"/>
      <c r="G283" s="10"/>
      <c r="H283" s="38" t="str">
        <f ca="1">IFERROR(IF(Payments[[#This Row],[Amount Due]]="","",IF(Payments[[#This Row],[Amount Due]]=0,0,Payments[[#This Row],[Amount Due]]-Payments[[#This Row],[Amount Paid]])),"")</f>
        <v/>
      </c>
      <c r="I283" s="2"/>
    </row>
    <row r="284" spans="2:9" ht="14.1" customHeight="1" x14ac:dyDescent="0.2">
      <c r="B284" s="11"/>
      <c r="C284" s="14" t="str">
        <f>IFERROR(IF(Payments[[#This Row],[Invoice '#]]="","",INDEX(Invoices[Customer],MATCH(Payments[[#This Row],[Invoice '#]],Invoices[Invoice '#],0))),"")</f>
        <v/>
      </c>
      <c r="D284" s="15" t="str">
        <f>IFERROR(IF(Payments[[#This Row],[Invoice '#]]="","",INDEX(Invoices[Due Date],MATCH(Payments[[#This Row],[Invoice '#]],Invoices[Invoice '#],0))),"")</f>
        <v/>
      </c>
      <c r="E284" s="40" t="str">
        <f ca="1">IFERROR(IF(Payments[[#This Row],[Invoice '#]]="","",INDEX(Invoices[Amount due],MATCH(Payments[[#This Row],[Invoice '#]],Invoices[Invoice '#],0))-IF(E283=Payments[[#Headers],[Amount Due]],0,SUMIF(INDIRECT("B4:B"&amp;ROW()-1),Payments[[#This Row],[Invoice '#]],Payments[Amount Paid]))),"")</f>
        <v/>
      </c>
      <c r="F284" s="41"/>
      <c r="G284" s="10"/>
      <c r="H284" s="38" t="str">
        <f ca="1">IFERROR(IF(Payments[[#This Row],[Amount Due]]="","",IF(Payments[[#This Row],[Amount Due]]=0,0,Payments[[#This Row],[Amount Due]]-Payments[[#This Row],[Amount Paid]])),"")</f>
        <v/>
      </c>
      <c r="I284" s="2"/>
    </row>
    <row r="285" spans="2:9" ht="14.1" customHeight="1" x14ac:dyDescent="0.2">
      <c r="B285" s="11"/>
      <c r="C285" s="14" t="str">
        <f>IFERROR(IF(Payments[[#This Row],[Invoice '#]]="","",INDEX(Invoices[Customer],MATCH(Payments[[#This Row],[Invoice '#]],Invoices[Invoice '#],0))),"")</f>
        <v/>
      </c>
      <c r="D285" s="15" t="str">
        <f>IFERROR(IF(Payments[[#This Row],[Invoice '#]]="","",INDEX(Invoices[Due Date],MATCH(Payments[[#This Row],[Invoice '#]],Invoices[Invoice '#],0))),"")</f>
        <v/>
      </c>
      <c r="E285" s="40" t="str">
        <f ca="1">IFERROR(IF(Payments[[#This Row],[Invoice '#]]="","",INDEX(Invoices[Amount due],MATCH(Payments[[#This Row],[Invoice '#]],Invoices[Invoice '#],0))-IF(E284=Payments[[#Headers],[Amount Due]],0,SUMIF(INDIRECT("B4:B"&amp;ROW()-1),Payments[[#This Row],[Invoice '#]],Payments[Amount Paid]))),"")</f>
        <v/>
      </c>
      <c r="F285" s="41"/>
      <c r="G285" s="10"/>
      <c r="H285" s="38" t="str">
        <f ca="1">IFERROR(IF(Payments[[#This Row],[Amount Due]]="","",IF(Payments[[#This Row],[Amount Due]]=0,0,Payments[[#This Row],[Amount Due]]-Payments[[#This Row],[Amount Paid]])),"")</f>
        <v/>
      </c>
      <c r="I285" s="2"/>
    </row>
    <row r="286" spans="2:9" ht="14.1" customHeight="1" x14ac:dyDescent="0.2">
      <c r="B286" s="11"/>
      <c r="C286" s="14" t="str">
        <f>IFERROR(IF(Payments[[#This Row],[Invoice '#]]="","",INDEX(Invoices[Customer],MATCH(Payments[[#This Row],[Invoice '#]],Invoices[Invoice '#],0))),"")</f>
        <v/>
      </c>
      <c r="D286" s="15" t="str">
        <f>IFERROR(IF(Payments[[#This Row],[Invoice '#]]="","",INDEX(Invoices[Due Date],MATCH(Payments[[#This Row],[Invoice '#]],Invoices[Invoice '#],0))),"")</f>
        <v/>
      </c>
      <c r="E286" s="40" t="str">
        <f ca="1">IFERROR(IF(Payments[[#This Row],[Invoice '#]]="","",INDEX(Invoices[Amount due],MATCH(Payments[[#This Row],[Invoice '#]],Invoices[Invoice '#],0))-IF(E285=Payments[[#Headers],[Amount Due]],0,SUMIF(INDIRECT("B4:B"&amp;ROW()-1),Payments[[#This Row],[Invoice '#]],Payments[Amount Paid]))),"")</f>
        <v/>
      </c>
      <c r="F286" s="41"/>
      <c r="G286" s="10"/>
      <c r="H286" s="38" t="str">
        <f ca="1">IFERROR(IF(Payments[[#This Row],[Amount Due]]="","",IF(Payments[[#This Row],[Amount Due]]=0,0,Payments[[#This Row],[Amount Due]]-Payments[[#This Row],[Amount Paid]])),"")</f>
        <v/>
      </c>
      <c r="I286" s="2"/>
    </row>
    <row r="287" spans="2:9" ht="14.1" customHeight="1" x14ac:dyDescent="0.2">
      <c r="B287" s="11"/>
      <c r="C287" s="14" t="str">
        <f>IFERROR(IF(Payments[[#This Row],[Invoice '#]]="","",INDEX(Invoices[Customer],MATCH(Payments[[#This Row],[Invoice '#]],Invoices[Invoice '#],0))),"")</f>
        <v/>
      </c>
      <c r="D287" s="15" t="str">
        <f>IFERROR(IF(Payments[[#This Row],[Invoice '#]]="","",INDEX(Invoices[Due Date],MATCH(Payments[[#This Row],[Invoice '#]],Invoices[Invoice '#],0))),"")</f>
        <v/>
      </c>
      <c r="E287" s="40" t="str">
        <f ca="1">IFERROR(IF(Payments[[#This Row],[Invoice '#]]="","",INDEX(Invoices[Amount due],MATCH(Payments[[#This Row],[Invoice '#]],Invoices[Invoice '#],0))-IF(E286=Payments[[#Headers],[Amount Due]],0,SUMIF(INDIRECT("B4:B"&amp;ROW()-1),Payments[[#This Row],[Invoice '#]],Payments[Amount Paid]))),"")</f>
        <v/>
      </c>
      <c r="F287" s="41"/>
      <c r="G287" s="10"/>
      <c r="H287" s="38" t="str">
        <f ca="1">IFERROR(IF(Payments[[#This Row],[Amount Due]]="","",IF(Payments[[#This Row],[Amount Due]]=0,0,Payments[[#This Row],[Amount Due]]-Payments[[#This Row],[Amount Paid]])),"")</f>
        <v/>
      </c>
      <c r="I287" s="2"/>
    </row>
    <row r="288" spans="2:9" ht="14.1" customHeight="1" x14ac:dyDescent="0.2">
      <c r="B288" s="11"/>
      <c r="C288" s="14" t="str">
        <f>IFERROR(IF(Payments[[#This Row],[Invoice '#]]="","",INDEX(Invoices[Customer],MATCH(Payments[[#This Row],[Invoice '#]],Invoices[Invoice '#],0))),"")</f>
        <v/>
      </c>
      <c r="D288" s="15" t="str">
        <f>IFERROR(IF(Payments[[#This Row],[Invoice '#]]="","",INDEX(Invoices[Due Date],MATCH(Payments[[#This Row],[Invoice '#]],Invoices[Invoice '#],0))),"")</f>
        <v/>
      </c>
      <c r="E288" s="40" t="str">
        <f ca="1">IFERROR(IF(Payments[[#This Row],[Invoice '#]]="","",INDEX(Invoices[Amount due],MATCH(Payments[[#This Row],[Invoice '#]],Invoices[Invoice '#],0))-IF(E287=Payments[[#Headers],[Amount Due]],0,SUMIF(INDIRECT("B4:B"&amp;ROW()-1),Payments[[#This Row],[Invoice '#]],Payments[Amount Paid]))),"")</f>
        <v/>
      </c>
      <c r="F288" s="41"/>
      <c r="G288" s="10"/>
      <c r="H288" s="38" t="str">
        <f ca="1">IFERROR(IF(Payments[[#This Row],[Amount Due]]="","",IF(Payments[[#This Row],[Amount Due]]=0,0,Payments[[#This Row],[Amount Due]]-Payments[[#This Row],[Amount Paid]])),"")</f>
        <v/>
      </c>
      <c r="I288" s="2"/>
    </row>
    <row r="289" spans="2:9" ht="14.1" customHeight="1" x14ac:dyDescent="0.2">
      <c r="B289" s="11"/>
      <c r="C289" s="14" t="str">
        <f>IFERROR(IF(Payments[[#This Row],[Invoice '#]]="","",INDEX(Invoices[Customer],MATCH(Payments[[#This Row],[Invoice '#]],Invoices[Invoice '#],0))),"")</f>
        <v/>
      </c>
      <c r="D289" s="15" t="str">
        <f>IFERROR(IF(Payments[[#This Row],[Invoice '#]]="","",INDEX(Invoices[Due Date],MATCH(Payments[[#This Row],[Invoice '#]],Invoices[Invoice '#],0))),"")</f>
        <v/>
      </c>
      <c r="E289" s="40" t="str">
        <f ca="1">IFERROR(IF(Payments[[#This Row],[Invoice '#]]="","",INDEX(Invoices[Amount due],MATCH(Payments[[#This Row],[Invoice '#]],Invoices[Invoice '#],0))-IF(E288=Payments[[#Headers],[Amount Due]],0,SUMIF(INDIRECT("B4:B"&amp;ROW()-1),Payments[[#This Row],[Invoice '#]],Payments[Amount Paid]))),"")</f>
        <v/>
      </c>
      <c r="F289" s="41"/>
      <c r="G289" s="10"/>
      <c r="H289" s="38" t="str">
        <f ca="1">IFERROR(IF(Payments[[#This Row],[Amount Due]]="","",IF(Payments[[#This Row],[Amount Due]]=0,0,Payments[[#This Row],[Amount Due]]-Payments[[#This Row],[Amount Paid]])),"")</f>
        <v/>
      </c>
      <c r="I289" s="2"/>
    </row>
    <row r="290" spans="2:9" ht="14.1" customHeight="1" x14ac:dyDescent="0.2">
      <c r="B290" s="11"/>
      <c r="C290" s="14" t="str">
        <f>IFERROR(IF(Payments[[#This Row],[Invoice '#]]="","",INDEX(Invoices[Customer],MATCH(Payments[[#This Row],[Invoice '#]],Invoices[Invoice '#],0))),"")</f>
        <v/>
      </c>
      <c r="D290" s="15" t="str">
        <f>IFERROR(IF(Payments[[#This Row],[Invoice '#]]="","",INDEX(Invoices[Due Date],MATCH(Payments[[#This Row],[Invoice '#]],Invoices[Invoice '#],0))),"")</f>
        <v/>
      </c>
      <c r="E290" s="40" t="str">
        <f ca="1">IFERROR(IF(Payments[[#This Row],[Invoice '#]]="","",INDEX(Invoices[Amount due],MATCH(Payments[[#This Row],[Invoice '#]],Invoices[Invoice '#],0))-IF(E289=Payments[[#Headers],[Amount Due]],0,SUMIF(INDIRECT("B4:B"&amp;ROW()-1),Payments[[#This Row],[Invoice '#]],Payments[Amount Paid]))),"")</f>
        <v/>
      </c>
      <c r="F290" s="41"/>
      <c r="G290" s="10"/>
      <c r="H290" s="38" t="str">
        <f ca="1">IFERROR(IF(Payments[[#This Row],[Amount Due]]="","",IF(Payments[[#This Row],[Amount Due]]=0,0,Payments[[#This Row],[Amount Due]]-Payments[[#This Row],[Amount Paid]])),"")</f>
        <v/>
      </c>
      <c r="I290" s="2"/>
    </row>
    <row r="291" spans="2:9" ht="14.1" customHeight="1" x14ac:dyDescent="0.2">
      <c r="B291" s="11"/>
      <c r="C291" s="14" t="str">
        <f>IFERROR(IF(Payments[[#This Row],[Invoice '#]]="","",INDEX(Invoices[Customer],MATCH(Payments[[#This Row],[Invoice '#]],Invoices[Invoice '#],0))),"")</f>
        <v/>
      </c>
      <c r="D291" s="15" t="str">
        <f>IFERROR(IF(Payments[[#This Row],[Invoice '#]]="","",INDEX(Invoices[Due Date],MATCH(Payments[[#This Row],[Invoice '#]],Invoices[Invoice '#],0))),"")</f>
        <v/>
      </c>
      <c r="E291" s="40" t="str">
        <f ca="1">IFERROR(IF(Payments[[#This Row],[Invoice '#]]="","",INDEX(Invoices[Amount due],MATCH(Payments[[#This Row],[Invoice '#]],Invoices[Invoice '#],0))-IF(E290=Payments[[#Headers],[Amount Due]],0,SUMIF(INDIRECT("B4:B"&amp;ROW()-1),Payments[[#This Row],[Invoice '#]],Payments[Amount Paid]))),"")</f>
        <v/>
      </c>
      <c r="F291" s="41"/>
      <c r="G291" s="10"/>
      <c r="H291" s="38" t="str">
        <f ca="1">IFERROR(IF(Payments[[#This Row],[Amount Due]]="","",IF(Payments[[#This Row],[Amount Due]]=0,0,Payments[[#This Row],[Amount Due]]-Payments[[#This Row],[Amount Paid]])),"")</f>
        <v/>
      </c>
      <c r="I291" s="2"/>
    </row>
    <row r="292" spans="2:9" ht="14.1" customHeight="1" x14ac:dyDescent="0.2">
      <c r="B292" s="11"/>
      <c r="C292" s="14" t="str">
        <f>IFERROR(IF(Payments[[#This Row],[Invoice '#]]="","",INDEX(Invoices[Customer],MATCH(Payments[[#This Row],[Invoice '#]],Invoices[Invoice '#],0))),"")</f>
        <v/>
      </c>
      <c r="D292" s="15" t="str">
        <f>IFERROR(IF(Payments[[#This Row],[Invoice '#]]="","",INDEX(Invoices[Due Date],MATCH(Payments[[#This Row],[Invoice '#]],Invoices[Invoice '#],0))),"")</f>
        <v/>
      </c>
      <c r="E292" s="40" t="str">
        <f ca="1">IFERROR(IF(Payments[[#This Row],[Invoice '#]]="","",INDEX(Invoices[Amount due],MATCH(Payments[[#This Row],[Invoice '#]],Invoices[Invoice '#],0))-IF(E291=Payments[[#Headers],[Amount Due]],0,SUMIF(INDIRECT("B4:B"&amp;ROW()-1),Payments[[#This Row],[Invoice '#]],Payments[Amount Paid]))),"")</f>
        <v/>
      </c>
      <c r="F292" s="41"/>
      <c r="G292" s="10"/>
      <c r="H292" s="38" t="str">
        <f ca="1">IFERROR(IF(Payments[[#This Row],[Amount Due]]="","",IF(Payments[[#This Row],[Amount Due]]=0,0,Payments[[#This Row],[Amount Due]]-Payments[[#This Row],[Amount Paid]])),"")</f>
        <v/>
      </c>
      <c r="I292" s="2"/>
    </row>
    <row r="293" spans="2:9" ht="14.1" customHeight="1" x14ac:dyDescent="0.2">
      <c r="B293" s="11"/>
      <c r="C293" s="14" t="str">
        <f>IFERROR(IF(Payments[[#This Row],[Invoice '#]]="","",INDEX(Invoices[Customer],MATCH(Payments[[#This Row],[Invoice '#]],Invoices[Invoice '#],0))),"")</f>
        <v/>
      </c>
      <c r="D293" s="15" t="str">
        <f>IFERROR(IF(Payments[[#This Row],[Invoice '#]]="","",INDEX(Invoices[Due Date],MATCH(Payments[[#This Row],[Invoice '#]],Invoices[Invoice '#],0))),"")</f>
        <v/>
      </c>
      <c r="E293" s="40" t="str">
        <f ca="1">IFERROR(IF(Payments[[#This Row],[Invoice '#]]="","",INDEX(Invoices[Amount due],MATCH(Payments[[#This Row],[Invoice '#]],Invoices[Invoice '#],0))-IF(E292=Payments[[#Headers],[Amount Due]],0,SUMIF(INDIRECT("B4:B"&amp;ROW()-1),Payments[[#This Row],[Invoice '#]],Payments[Amount Paid]))),"")</f>
        <v/>
      </c>
      <c r="F293" s="41"/>
      <c r="G293" s="10"/>
      <c r="H293" s="38" t="str">
        <f ca="1">IFERROR(IF(Payments[[#This Row],[Amount Due]]="","",IF(Payments[[#This Row],[Amount Due]]=0,0,Payments[[#This Row],[Amount Due]]-Payments[[#This Row],[Amount Paid]])),"")</f>
        <v/>
      </c>
      <c r="I293" s="2"/>
    </row>
    <row r="294" spans="2:9" ht="14.1" customHeight="1" x14ac:dyDescent="0.2">
      <c r="B294" s="11"/>
      <c r="C294" s="14" t="str">
        <f>IFERROR(IF(Payments[[#This Row],[Invoice '#]]="","",INDEX(Invoices[Customer],MATCH(Payments[[#This Row],[Invoice '#]],Invoices[Invoice '#],0))),"")</f>
        <v/>
      </c>
      <c r="D294" s="15" t="str">
        <f>IFERROR(IF(Payments[[#This Row],[Invoice '#]]="","",INDEX(Invoices[Due Date],MATCH(Payments[[#This Row],[Invoice '#]],Invoices[Invoice '#],0))),"")</f>
        <v/>
      </c>
      <c r="E294" s="40" t="str">
        <f ca="1">IFERROR(IF(Payments[[#This Row],[Invoice '#]]="","",INDEX(Invoices[Amount due],MATCH(Payments[[#This Row],[Invoice '#]],Invoices[Invoice '#],0))-IF(E293=Payments[[#Headers],[Amount Due]],0,SUMIF(INDIRECT("B4:B"&amp;ROW()-1),Payments[[#This Row],[Invoice '#]],Payments[Amount Paid]))),"")</f>
        <v/>
      </c>
      <c r="F294" s="41"/>
      <c r="G294" s="10"/>
      <c r="H294" s="38" t="str">
        <f ca="1">IFERROR(IF(Payments[[#This Row],[Amount Due]]="","",IF(Payments[[#This Row],[Amount Due]]=0,0,Payments[[#This Row],[Amount Due]]-Payments[[#This Row],[Amount Paid]])),"")</f>
        <v/>
      </c>
      <c r="I294" s="2"/>
    </row>
    <row r="295" spans="2:9" ht="14.1" customHeight="1" x14ac:dyDescent="0.2">
      <c r="B295" s="11"/>
      <c r="C295" s="14" t="str">
        <f>IFERROR(IF(Payments[[#This Row],[Invoice '#]]="","",INDEX(Invoices[Customer],MATCH(Payments[[#This Row],[Invoice '#]],Invoices[Invoice '#],0))),"")</f>
        <v/>
      </c>
      <c r="D295" s="15" t="str">
        <f>IFERROR(IF(Payments[[#This Row],[Invoice '#]]="","",INDEX(Invoices[Due Date],MATCH(Payments[[#This Row],[Invoice '#]],Invoices[Invoice '#],0))),"")</f>
        <v/>
      </c>
      <c r="E295" s="40" t="str">
        <f ca="1">IFERROR(IF(Payments[[#This Row],[Invoice '#]]="","",INDEX(Invoices[Amount due],MATCH(Payments[[#This Row],[Invoice '#]],Invoices[Invoice '#],0))-IF(E294=Payments[[#Headers],[Amount Due]],0,SUMIF(INDIRECT("B4:B"&amp;ROW()-1),Payments[[#This Row],[Invoice '#]],Payments[Amount Paid]))),"")</f>
        <v/>
      </c>
      <c r="F295" s="41"/>
      <c r="G295" s="10"/>
      <c r="H295" s="38" t="str">
        <f ca="1">IFERROR(IF(Payments[[#This Row],[Amount Due]]="","",IF(Payments[[#This Row],[Amount Due]]=0,0,Payments[[#This Row],[Amount Due]]-Payments[[#This Row],[Amount Paid]])),"")</f>
        <v/>
      </c>
      <c r="I295" s="2"/>
    </row>
    <row r="296" spans="2:9" ht="14.1" customHeight="1" x14ac:dyDescent="0.2">
      <c r="B296" s="11"/>
      <c r="C296" s="14" t="str">
        <f>IFERROR(IF(Payments[[#This Row],[Invoice '#]]="","",INDEX(Invoices[Customer],MATCH(Payments[[#This Row],[Invoice '#]],Invoices[Invoice '#],0))),"")</f>
        <v/>
      </c>
      <c r="D296" s="15" t="str">
        <f>IFERROR(IF(Payments[[#This Row],[Invoice '#]]="","",INDEX(Invoices[Due Date],MATCH(Payments[[#This Row],[Invoice '#]],Invoices[Invoice '#],0))),"")</f>
        <v/>
      </c>
      <c r="E296" s="40" t="str">
        <f ca="1">IFERROR(IF(Payments[[#This Row],[Invoice '#]]="","",INDEX(Invoices[Amount due],MATCH(Payments[[#This Row],[Invoice '#]],Invoices[Invoice '#],0))-IF(E295=Payments[[#Headers],[Amount Due]],0,SUMIF(INDIRECT("B4:B"&amp;ROW()-1),Payments[[#This Row],[Invoice '#]],Payments[Amount Paid]))),"")</f>
        <v/>
      </c>
      <c r="F296" s="41"/>
      <c r="G296" s="10"/>
      <c r="H296" s="38" t="str">
        <f ca="1">IFERROR(IF(Payments[[#This Row],[Amount Due]]="","",IF(Payments[[#This Row],[Amount Due]]=0,0,Payments[[#This Row],[Amount Due]]-Payments[[#This Row],[Amount Paid]])),"")</f>
        <v/>
      </c>
      <c r="I296" s="2"/>
    </row>
    <row r="297" spans="2:9" ht="14.1" customHeight="1" x14ac:dyDescent="0.2">
      <c r="B297" s="11"/>
      <c r="C297" s="14" t="str">
        <f>IFERROR(IF(Payments[[#This Row],[Invoice '#]]="","",INDEX(Invoices[Customer],MATCH(Payments[[#This Row],[Invoice '#]],Invoices[Invoice '#],0))),"")</f>
        <v/>
      </c>
      <c r="D297" s="15" t="str">
        <f>IFERROR(IF(Payments[[#This Row],[Invoice '#]]="","",INDEX(Invoices[Due Date],MATCH(Payments[[#This Row],[Invoice '#]],Invoices[Invoice '#],0))),"")</f>
        <v/>
      </c>
      <c r="E297" s="40" t="str">
        <f ca="1">IFERROR(IF(Payments[[#This Row],[Invoice '#]]="","",INDEX(Invoices[Amount due],MATCH(Payments[[#This Row],[Invoice '#]],Invoices[Invoice '#],0))-IF(E296=Payments[[#Headers],[Amount Due]],0,SUMIF(INDIRECT("B4:B"&amp;ROW()-1),Payments[[#This Row],[Invoice '#]],Payments[Amount Paid]))),"")</f>
        <v/>
      </c>
      <c r="F297" s="41"/>
      <c r="G297" s="10"/>
      <c r="H297" s="38" t="str">
        <f ca="1">IFERROR(IF(Payments[[#This Row],[Amount Due]]="","",IF(Payments[[#This Row],[Amount Due]]=0,0,Payments[[#This Row],[Amount Due]]-Payments[[#This Row],[Amount Paid]])),"")</f>
        <v/>
      </c>
      <c r="I297" s="2"/>
    </row>
    <row r="298" spans="2:9" ht="14.1" customHeight="1" x14ac:dyDescent="0.2">
      <c r="B298" s="11"/>
      <c r="C298" s="14" t="str">
        <f>IFERROR(IF(Payments[[#This Row],[Invoice '#]]="","",INDEX(Invoices[Customer],MATCH(Payments[[#This Row],[Invoice '#]],Invoices[Invoice '#],0))),"")</f>
        <v/>
      </c>
      <c r="D298" s="15" t="str">
        <f>IFERROR(IF(Payments[[#This Row],[Invoice '#]]="","",INDEX(Invoices[Due Date],MATCH(Payments[[#This Row],[Invoice '#]],Invoices[Invoice '#],0))),"")</f>
        <v/>
      </c>
      <c r="E298" s="40" t="str">
        <f ca="1">IFERROR(IF(Payments[[#This Row],[Invoice '#]]="","",INDEX(Invoices[Amount due],MATCH(Payments[[#This Row],[Invoice '#]],Invoices[Invoice '#],0))-IF(E297=Payments[[#Headers],[Amount Due]],0,SUMIF(INDIRECT("B4:B"&amp;ROW()-1),Payments[[#This Row],[Invoice '#]],Payments[Amount Paid]))),"")</f>
        <v/>
      </c>
      <c r="F298" s="41"/>
      <c r="G298" s="10"/>
      <c r="H298" s="38" t="str">
        <f ca="1">IFERROR(IF(Payments[[#This Row],[Amount Due]]="","",IF(Payments[[#This Row],[Amount Due]]=0,0,Payments[[#This Row],[Amount Due]]-Payments[[#This Row],[Amount Paid]])),"")</f>
        <v/>
      </c>
      <c r="I298" s="2"/>
    </row>
    <row r="299" spans="2:9" ht="14.1" customHeight="1" x14ac:dyDescent="0.2">
      <c r="B299" s="11"/>
      <c r="C299" s="14" t="str">
        <f>IFERROR(IF(Payments[[#This Row],[Invoice '#]]="","",INDEX(Invoices[Customer],MATCH(Payments[[#This Row],[Invoice '#]],Invoices[Invoice '#],0))),"")</f>
        <v/>
      </c>
      <c r="D299" s="15" t="str">
        <f>IFERROR(IF(Payments[[#This Row],[Invoice '#]]="","",INDEX(Invoices[Due Date],MATCH(Payments[[#This Row],[Invoice '#]],Invoices[Invoice '#],0))),"")</f>
        <v/>
      </c>
      <c r="E299" s="40" t="str">
        <f ca="1">IFERROR(IF(Payments[[#This Row],[Invoice '#]]="","",INDEX(Invoices[Amount due],MATCH(Payments[[#This Row],[Invoice '#]],Invoices[Invoice '#],0))-IF(E298=Payments[[#Headers],[Amount Due]],0,SUMIF(INDIRECT("B4:B"&amp;ROW()-1),Payments[[#This Row],[Invoice '#]],Payments[Amount Paid]))),"")</f>
        <v/>
      </c>
      <c r="F299" s="41"/>
      <c r="G299" s="10"/>
      <c r="H299" s="38" t="str">
        <f ca="1">IFERROR(IF(Payments[[#This Row],[Amount Due]]="","",IF(Payments[[#This Row],[Amount Due]]=0,0,Payments[[#This Row],[Amount Due]]-Payments[[#This Row],[Amount Paid]])),"")</f>
        <v/>
      </c>
      <c r="I299" s="2"/>
    </row>
    <row r="300" spans="2:9" ht="14.1" customHeight="1" x14ac:dyDescent="0.2">
      <c r="B300" s="11"/>
      <c r="C300" s="14" t="str">
        <f>IFERROR(IF(Payments[[#This Row],[Invoice '#]]="","",INDEX(Invoices[Customer],MATCH(Payments[[#This Row],[Invoice '#]],Invoices[Invoice '#],0))),"")</f>
        <v/>
      </c>
      <c r="D300" s="15" t="str">
        <f>IFERROR(IF(Payments[[#This Row],[Invoice '#]]="","",INDEX(Invoices[Due Date],MATCH(Payments[[#This Row],[Invoice '#]],Invoices[Invoice '#],0))),"")</f>
        <v/>
      </c>
      <c r="E300" s="40" t="str">
        <f ca="1">IFERROR(IF(Payments[[#This Row],[Invoice '#]]="","",INDEX(Invoices[Amount due],MATCH(Payments[[#This Row],[Invoice '#]],Invoices[Invoice '#],0))-IF(E299=Payments[[#Headers],[Amount Due]],0,SUMIF(INDIRECT("B4:B"&amp;ROW()-1),Payments[[#This Row],[Invoice '#]],Payments[Amount Paid]))),"")</f>
        <v/>
      </c>
      <c r="F300" s="41"/>
      <c r="G300" s="10"/>
      <c r="H300" s="38" t="str">
        <f ca="1">IFERROR(IF(Payments[[#This Row],[Amount Due]]="","",IF(Payments[[#This Row],[Amount Due]]=0,0,Payments[[#This Row],[Amount Due]]-Payments[[#This Row],[Amount Paid]])),"")</f>
        <v/>
      </c>
      <c r="I300" s="2"/>
    </row>
    <row r="301" spans="2:9" ht="14.1" customHeight="1" x14ac:dyDescent="0.2">
      <c r="B301" s="11"/>
      <c r="C301" s="14" t="str">
        <f>IFERROR(IF(Payments[[#This Row],[Invoice '#]]="","",INDEX(Invoices[Customer],MATCH(Payments[[#This Row],[Invoice '#]],Invoices[Invoice '#],0))),"")</f>
        <v/>
      </c>
      <c r="D301" s="15" t="str">
        <f>IFERROR(IF(Payments[[#This Row],[Invoice '#]]="","",INDEX(Invoices[Due Date],MATCH(Payments[[#This Row],[Invoice '#]],Invoices[Invoice '#],0))),"")</f>
        <v/>
      </c>
      <c r="E301" s="40" t="str">
        <f ca="1">IFERROR(IF(Payments[[#This Row],[Invoice '#]]="","",INDEX(Invoices[Amount due],MATCH(Payments[[#This Row],[Invoice '#]],Invoices[Invoice '#],0))-IF(E300=Payments[[#Headers],[Amount Due]],0,SUMIF(INDIRECT("B4:B"&amp;ROW()-1),Payments[[#This Row],[Invoice '#]],Payments[Amount Paid]))),"")</f>
        <v/>
      </c>
      <c r="F301" s="41"/>
      <c r="G301" s="10"/>
      <c r="H301" s="38" t="str">
        <f ca="1">IFERROR(IF(Payments[[#This Row],[Amount Due]]="","",IF(Payments[[#This Row],[Amount Due]]=0,0,Payments[[#This Row],[Amount Due]]-Payments[[#This Row],[Amount Paid]])),"")</f>
        <v/>
      </c>
      <c r="I301" s="2"/>
    </row>
    <row r="302" spans="2:9" ht="14.1" customHeight="1" x14ac:dyDescent="0.2">
      <c r="B302" s="11"/>
      <c r="C302" s="14" t="str">
        <f>IFERROR(IF(Payments[[#This Row],[Invoice '#]]="","",INDEX(Invoices[Customer],MATCH(Payments[[#This Row],[Invoice '#]],Invoices[Invoice '#],0))),"")</f>
        <v/>
      </c>
      <c r="D302" s="15" t="str">
        <f>IFERROR(IF(Payments[[#This Row],[Invoice '#]]="","",INDEX(Invoices[Due Date],MATCH(Payments[[#This Row],[Invoice '#]],Invoices[Invoice '#],0))),"")</f>
        <v/>
      </c>
      <c r="E302" s="40" t="str">
        <f ca="1">IFERROR(IF(Payments[[#This Row],[Invoice '#]]="","",INDEX(Invoices[Amount due],MATCH(Payments[[#This Row],[Invoice '#]],Invoices[Invoice '#],0))-IF(E301=Payments[[#Headers],[Amount Due]],0,SUMIF(INDIRECT("B4:B"&amp;ROW()-1),Payments[[#This Row],[Invoice '#]],Payments[Amount Paid]))),"")</f>
        <v/>
      </c>
      <c r="F302" s="41"/>
      <c r="G302" s="10"/>
      <c r="H302" s="38" t="str">
        <f ca="1">IFERROR(IF(Payments[[#This Row],[Amount Due]]="","",IF(Payments[[#This Row],[Amount Due]]=0,0,Payments[[#This Row],[Amount Due]]-Payments[[#This Row],[Amount Paid]])),"")</f>
        <v/>
      </c>
      <c r="I302" s="2"/>
    </row>
    <row r="303" spans="2:9" ht="14.1" customHeight="1" x14ac:dyDescent="0.2">
      <c r="B303" s="11"/>
      <c r="C303" s="14" t="str">
        <f>IFERROR(IF(Payments[[#This Row],[Invoice '#]]="","",INDEX(Invoices[Customer],MATCH(Payments[[#This Row],[Invoice '#]],Invoices[Invoice '#],0))),"")</f>
        <v/>
      </c>
      <c r="D303" s="15" t="str">
        <f>IFERROR(IF(Payments[[#This Row],[Invoice '#]]="","",INDEX(Invoices[Due Date],MATCH(Payments[[#This Row],[Invoice '#]],Invoices[Invoice '#],0))),"")</f>
        <v/>
      </c>
      <c r="E303" s="40" t="str">
        <f ca="1">IFERROR(IF(Payments[[#This Row],[Invoice '#]]="","",INDEX(Invoices[Amount due],MATCH(Payments[[#This Row],[Invoice '#]],Invoices[Invoice '#],0))-IF(E302=Payments[[#Headers],[Amount Due]],0,SUMIF(INDIRECT("B4:B"&amp;ROW()-1),Payments[[#This Row],[Invoice '#]],Payments[Amount Paid]))),"")</f>
        <v/>
      </c>
      <c r="F303" s="41"/>
      <c r="G303" s="10"/>
      <c r="H303" s="38" t="str">
        <f ca="1">IFERROR(IF(Payments[[#This Row],[Amount Due]]="","",IF(Payments[[#This Row],[Amount Due]]=0,0,Payments[[#This Row],[Amount Due]]-Payments[[#This Row],[Amount Paid]])),"")</f>
        <v/>
      </c>
      <c r="I303" s="2"/>
    </row>
    <row r="304" spans="2:9" ht="14.1" customHeight="1" x14ac:dyDescent="0.2">
      <c r="B304" s="11"/>
      <c r="C304" s="14" t="str">
        <f>IFERROR(IF(Payments[[#This Row],[Invoice '#]]="","",INDEX(Invoices[Customer],MATCH(Payments[[#This Row],[Invoice '#]],Invoices[Invoice '#],0))),"")</f>
        <v/>
      </c>
      <c r="D304" s="15" t="str">
        <f>IFERROR(IF(Payments[[#This Row],[Invoice '#]]="","",INDEX(Invoices[Due Date],MATCH(Payments[[#This Row],[Invoice '#]],Invoices[Invoice '#],0))),"")</f>
        <v/>
      </c>
      <c r="E304" s="40" t="str">
        <f ca="1">IFERROR(IF(Payments[[#This Row],[Invoice '#]]="","",INDEX(Invoices[Amount due],MATCH(Payments[[#This Row],[Invoice '#]],Invoices[Invoice '#],0))-IF(E303=Payments[[#Headers],[Amount Due]],0,SUMIF(INDIRECT("B4:B"&amp;ROW()-1),Payments[[#This Row],[Invoice '#]],Payments[Amount Paid]))),"")</f>
        <v/>
      </c>
      <c r="F304" s="41"/>
      <c r="G304" s="10"/>
      <c r="H304" s="38" t="str">
        <f ca="1">IFERROR(IF(Payments[[#This Row],[Amount Due]]="","",IF(Payments[[#This Row],[Amount Due]]=0,0,Payments[[#This Row],[Amount Due]]-Payments[[#This Row],[Amount Paid]])),"")</f>
        <v/>
      </c>
      <c r="I304" s="2"/>
    </row>
    <row r="305" spans="2:9" ht="14.1" customHeight="1" x14ac:dyDescent="0.2">
      <c r="B305" s="11"/>
      <c r="C305" s="14" t="str">
        <f>IFERROR(IF(Payments[[#This Row],[Invoice '#]]="","",INDEX(Invoices[Customer],MATCH(Payments[[#This Row],[Invoice '#]],Invoices[Invoice '#],0))),"")</f>
        <v/>
      </c>
      <c r="D305" s="15" t="str">
        <f>IFERROR(IF(Payments[[#This Row],[Invoice '#]]="","",INDEX(Invoices[Due Date],MATCH(Payments[[#This Row],[Invoice '#]],Invoices[Invoice '#],0))),"")</f>
        <v/>
      </c>
      <c r="E305" s="40" t="str">
        <f ca="1">IFERROR(IF(Payments[[#This Row],[Invoice '#]]="","",INDEX(Invoices[Amount due],MATCH(Payments[[#This Row],[Invoice '#]],Invoices[Invoice '#],0))-IF(E304=Payments[[#Headers],[Amount Due]],0,SUMIF(INDIRECT("B4:B"&amp;ROW()-1),Payments[[#This Row],[Invoice '#]],Payments[Amount Paid]))),"")</f>
        <v/>
      </c>
      <c r="F305" s="41"/>
      <c r="G305" s="10"/>
      <c r="H305" s="38" t="str">
        <f ca="1">IFERROR(IF(Payments[[#This Row],[Amount Due]]="","",IF(Payments[[#This Row],[Amount Due]]=0,0,Payments[[#This Row],[Amount Due]]-Payments[[#This Row],[Amount Paid]])),"")</f>
        <v/>
      </c>
      <c r="I305" s="2"/>
    </row>
    <row r="306" spans="2:9" ht="14.1" customHeight="1" x14ac:dyDescent="0.2">
      <c r="B306" s="11"/>
      <c r="C306" s="14" t="str">
        <f>IFERROR(IF(Payments[[#This Row],[Invoice '#]]="","",INDEX(Invoices[Customer],MATCH(Payments[[#This Row],[Invoice '#]],Invoices[Invoice '#],0))),"")</f>
        <v/>
      </c>
      <c r="D306" s="15" t="str">
        <f>IFERROR(IF(Payments[[#This Row],[Invoice '#]]="","",INDEX(Invoices[Due Date],MATCH(Payments[[#This Row],[Invoice '#]],Invoices[Invoice '#],0))),"")</f>
        <v/>
      </c>
      <c r="E306" s="40" t="str">
        <f ca="1">IFERROR(IF(Payments[[#This Row],[Invoice '#]]="","",INDEX(Invoices[Amount due],MATCH(Payments[[#This Row],[Invoice '#]],Invoices[Invoice '#],0))-IF(E305=Payments[[#Headers],[Amount Due]],0,SUMIF(INDIRECT("B4:B"&amp;ROW()-1),Payments[[#This Row],[Invoice '#]],Payments[Amount Paid]))),"")</f>
        <v/>
      </c>
      <c r="F306" s="41"/>
      <c r="G306" s="10"/>
      <c r="H306" s="38" t="str">
        <f ca="1">IFERROR(IF(Payments[[#This Row],[Amount Due]]="","",IF(Payments[[#This Row],[Amount Due]]=0,0,Payments[[#This Row],[Amount Due]]-Payments[[#This Row],[Amount Paid]])),"")</f>
        <v/>
      </c>
      <c r="I306" s="2"/>
    </row>
    <row r="307" spans="2:9" ht="14.1" customHeight="1" x14ac:dyDescent="0.2">
      <c r="B307" s="11"/>
      <c r="C307" s="14" t="str">
        <f>IFERROR(IF(Payments[[#This Row],[Invoice '#]]="","",INDEX(Invoices[Customer],MATCH(Payments[[#This Row],[Invoice '#]],Invoices[Invoice '#],0))),"")</f>
        <v/>
      </c>
      <c r="D307" s="15" t="str">
        <f>IFERROR(IF(Payments[[#This Row],[Invoice '#]]="","",INDEX(Invoices[Due Date],MATCH(Payments[[#This Row],[Invoice '#]],Invoices[Invoice '#],0))),"")</f>
        <v/>
      </c>
      <c r="E307" s="40" t="str">
        <f ca="1">IFERROR(IF(Payments[[#This Row],[Invoice '#]]="","",INDEX(Invoices[Amount due],MATCH(Payments[[#This Row],[Invoice '#]],Invoices[Invoice '#],0))-IF(E306=Payments[[#Headers],[Amount Due]],0,SUMIF(INDIRECT("B4:B"&amp;ROW()-1),Payments[[#This Row],[Invoice '#]],Payments[Amount Paid]))),"")</f>
        <v/>
      </c>
      <c r="F307" s="41"/>
      <c r="G307" s="10"/>
      <c r="H307" s="38" t="str">
        <f ca="1">IFERROR(IF(Payments[[#This Row],[Amount Due]]="","",IF(Payments[[#This Row],[Amount Due]]=0,0,Payments[[#This Row],[Amount Due]]-Payments[[#This Row],[Amount Paid]])),"")</f>
        <v/>
      </c>
      <c r="I307" s="2"/>
    </row>
    <row r="308" spans="2:9" ht="14.1" customHeight="1" x14ac:dyDescent="0.2">
      <c r="B308" s="11"/>
      <c r="C308" s="14" t="str">
        <f>IFERROR(IF(Payments[[#This Row],[Invoice '#]]="","",INDEX(Invoices[Customer],MATCH(Payments[[#This Row],[Invoice '#]],Invoices[Invoice '#],0))),"")</f>
        <v/>
      </c>
      <c r="D308" s="15" t="str">
        <f>IFERROR(IF(Payments[[#This Row],[Invoice '#]]="","",INDEX(Invoices[Due Date],MATCH(Payments[[#This Row],[Invoice '#]],Invoices[Invoice '#],0))),"")</f>
        <v/>
      </c>
      <c r="E308" s="40" t="str">
        <f ca="1">IFERROR(IF(Payments[[#This Row],[Invoice '#]]="","",INDEX(Invoices[Amount due],MATCH(Payments[[#This Row],[Invoice '#]],Invoices[Invoice '#],0))-IF(E307=Payments[[#Headers],[Amount Due]],0,SUMIF(INDIRECT("B4:B"&amp;ROW()-1),Payments[[#This Row],[Invoice '#]],Payments[Amount Paid]))),"")</f>
        <v/>
      </c>
      <c r="F308" s="41"/>
      <c r="G308" s="10"/>
      <c r="H308" s="38" t="str">
        <f ca="1">IFERROR(IF(Payments[[#This Row],[Amount Due]]="","",IF(Payments[[#This Row],[Amount Due]]=0,0,Payments[[#This Row],[Amount Due]]-Payments[[#This Row],[Amount Paid]])),"")</f>
        <v/>
      </c>
      <c r="I308" s="2"/>
    </row>
    <row r="309" spans="2:9" ht="14.1" customHeight="1" x14ac:dyDescent="0.2">
      <c r="B309" s="11"/>
      <c r="C309" s="14" t="str">
        <f>IFERROR(IF(Payments[[#This Row],[Invoice '#]]="","",INDEX(Invoices[Customer],MATCH(Payments[[#This Row],[Invoice '#]],Invoices[Invoice '#],0))),"")</f>
        <v/>
      </c>
      <c r="D309" s="15" t="str">
        <f>IFERROR(IF(Payments[[#This Row],[Invoice '#]]="","",INDEX(Invoices[Due Date],MATCH(Payments[[#This Row],[Invoice '#]],Invoices[Invoice '#],0))),"")</f>
        <v/>
      </c>
      <c r="E309" s="40" t="str">
        <f ca="1">IFERROR(IF(Payments[[#This Row],[Invoice '#]]="","",INDEX(Invoices[Amount due],MATCH(Payments[[#This Row],[Invoice '#]],Invoices[Invoice '#],0))-IF(E308=Payments[[#Headers],[Amount Due]],0,SUMIF(INDIRECT("B4:B"&amp;ROW()-1),Payments[[#This Row],[Invoice '#]],Payments[Amount Paid]))),"")</f>
        <v/>
      </c>
      <c r="F309" s="41"/>
      <c r="G309" s="10"/>
      <c r="H309" s="38" t="str">
        <f ca="1">IFERROR(IF(Payments[[#This Row],[Amount Due]]="","",IF(Payments[[#This Row],[Amount Due]]=0,0,Payments[[#This Row],[Amount Due]]-Payments[[#This Row],[Amount Paid]])),"")</f>
        <v/>
      </c>
      <c r="I309" s="2"/>
    </row>
    <row r="310" spans="2:9" ht="14.1" customHeight="1" x14ac:dyDescent="0.2">
      <c r="B310" s="11"/>
      <c r="C310" s="14" t="str">
        <f>IFERROR(IF(Payments[[#This Row],[Invoice '#]]="","",INDEX(Invoices[Customer],MATCH(Payments[[#This Row],[Invoice '#]],Invoices[Invoice '#],0))),"")</f>
        <v/>
      </c>
      <c r="D310" s="15" t="str">
        <f>IFERROR(IF(Payments[[#This Row],[Invoice '#]]="","",INDEX(Invoices[Due Date],MATCH(Payments[[#This Row],[Invoice '#]],Invoices[Invoice '#],0))),"")</f>
        <v/>
      </c>
      <c r="E310" s="40" t="str">
        <f ca="1">IFERROR(IF(Payments[[#This Row],[Invoice '#]]="","",INDEX(Invoices[Amount due],MATCH(Payments[[#This Row],[Invoice '#]],Invoices[Invoice '#],0))-IF(E309=Payments[[#Headers],[Amount Due]],0,SUMIF(INDIRECT("B4:B"&amp;ROW()-1),Payments[[#This Row],[Invoice '#]],Payments[Amount Paid]))),"")</f>
        <v/>
      </c>
      <c r="F310" s="41"/>
      <c r="G310" s="10"/>
      <c r="H310" s="38" t="str">
        <f ca="1">IFERROR(IF(Payments[[#This Row],[Amount Due]]="","",IF(Payments[[#This Row],[Amount Due]]=0,0,Payments[[#This Row],[Amount Due]]-Payments[[#This Row],[Amount Paid]])),"")</f>
        <v/>
      </c>
      <c r="I310" s="2"/>
    </row>
    <row r="311" spans="2:9" ht="14.1" customHeight="1" x14ac:dyDescent="0.2">
      <c r="B311" s="11"/>
      <c r="C311" s="14" t="str">
        <f>IFERROR(IF(Payments[[#This Row],[Invoice '#]]="","",INDEX(Invoices[Customer],MATCH(Payments[[#This Row],[Invoice '#]],Invoices[Invoice '#],0))),"")</f>
        <v/>
      </c>
      <c r="D311" s="15" t="str">
        <f>IFERROR(IF(Payments[[#This Row],[Invoice '#]]="","",INDEX(Invoices[Due Date],MATCH(Payments[[#This Row],[Invoice '#]],Invoices[Invoice '#],0))),"")</f>
        <v/>
      </c>
      <c r="E311" s="40" t="str">
        <f ca="1">IFERROR(IF(Payments[[#This Row],[Invoice '#]]="","",INDEX(Invoices[Amount due],MATCH(Payments[[#This Row],[Invoice '#]],Invoices[Invoice '#],0))-IF(E310=Payments[[#Headers],[Amount Due]],0,SUMIF(INDIRECT("B4:B"&amp;ROW()-1),Payments[[#This Row],[Invoice '#]],Payments[Amount Paid]))),"")</f>
        <v/>
      </c>
      <c r="F311" s="41"/>
      <c r="G311" s="10"/>
      <c r="H311" s="38" t="str">
        <f ca="1">IFERROR(IF(Payments[[#This Row],[Amount Due]]="","",IF(Payments[[#This Row],[Amount Due]]=0,0,Payments[[#This Row],[Amount Due]]-Payments[[#This Row],[Amount Paid]])),"")</f>
        <v/>
      </c>
      <c r="I311" s="2"/>
    </row>
    <row r="312" spans="2:9" ht="14.1" customHeight="1" x14ac:dyDescent="0.2">
      <c r="B312" s="11"/>
      <c r="C312" s="14" t="str">
        <f>IFERROR(IF(Payments[[#This Row],[Invoice '#]]="","",INDEX(Invoices[Customer],MATCH(Payments[[#This Row],[Invoice '#]],Invoices[Invoice '#],0))),"")</f>
        <v/>
      </c>
      <c r="D312" s="15" t="str">
        <f>IFERROR(IF(Payments[[#This Row],[Invoice '#]]="","",INDEX(Invoices[Due Date],MATCH(Payments[[#This Row],[Invoice '#]],Invoices[Invoice '#],0))),"")</f>
        <v/>
      </c>
      <c r="E312" s="40" t="str">
        <f ca="1">IFERROR(IF(Payments[[#This Row],[Invoice '#]]="","",INDEX(Invoices[Amount due],MATCH(Payments[[#This Row],[Invoice '#]],Invoices[Invoice '#],0))-IF(E311=Payments[[#Headers],[Amount Due]],0,SUMIF(INDIRECT("B4:B"&amp;ROW()-1),Payments[[#This Row],[Invoice '#]],Payments[Amount Paid]))),"")</f>
        <v/>
      </c>
      <c r="F312" s="41"/>
      <c r="G312" s="10"/>
      <c r="H312" s="38" t="str">
        <f ca="1">IFERROR(IF(Payments[[#This Row],[Amount Due]]="","",IF(Payments[[#This Row],[Amount Due]]=0,0,Payments[[#This Row],[Amount Due]]-Payments[[#This Row],[Amount Paid]])),"")</f>
        <v/>
      </c>
      <c r="I312" s="2"/>
    </row>
    <row r="313" spans="2:9" ht="14.1" customHeight="1" x14ac:dyDescent="0.2">
      <c r="B313" s="11"/>
      <c r="C313" s="14" t="str">
        <f>IFERROR(IF(Payments[[#This Row],[Invoice '#]]="","",INDEX(Invoices[Customer],MATCH(Payments[[#This Row],[Invoice '#]],Invoices[Invoice '#],0))),"")</f>
        <v/>
      </c>
      <c r="D313" s="15" t="str">
        <f>IFERROR(IF(Payments[[#This Row],[Invoice '#]]="","",INDEX(Invoices[Due Date],MATCH(Payments[[#This Row],[Invoice '#]],Invoices[Invoice '#],0))),"")</f>
        <v/>
      </c>
      <c r="E313" s="40" t="str">
        <f ca="1">IFERROR(IF(Payments[[#This Row],[Invoice '#]]="","",INDEX(Invoices[Amount due],MATCH(Payments[[#This Row],[Invoice '#]],Invoices[Invoice '#],0))-IF(E312=Payments[[#Headers],[Amount Due]],0,SUMIF(INDIRECT("B4:B"&amp;ROW()-1),Payments[[#This Row],[Invoice '#]],Payments[Amount Paid]))),"")</f>
        <v/>
      </c>
      <c r="F313" s="41"/>
      <c r="G313" s="10"/>
      <c r="H313" s="38" t="str">
        <f ca="1">IFERROR(IF(Payments[[#This Row],[Amount Due]]="","",IF(Payments[[#This Row],[Amount Due]]=0,0,Payments[[#This Row],[Amount Due]]-Payments[[#This Row],[Amount Paid]])),"")</f>
        <v/>
      </c>
      <c r="I313" s="2"/>
    </row>
    <row r="314" spans="2:9" ht="14.1" customHeight="1" x14ac:dyDescent="0.2">
      <c r="B314" s="11"/>
      <c r="C314" s="14" t="str">
        <f>IFERROR(IF(Payments[[#This Row],[Invoice '#]]="","",INDEX(Invoices[Customer],MATCH(Payments[[#This Row],[Invoice '#]],Invoices[Invoice '#],0))),"")</f>
        <v/>
      </c>
      <c r="D314" s="15" t="str">
        <f>IFERROR(IF(Payments[[#This Row],[Invoice '#]]="","",INDEX(Invoices[Due Date],MATCH(Payments[[#This Row],[Invoice '#]],Invoices[Invoice '#],0))),"")</f>
        <v/>
      </c>
      <c r="E314" s="40" t="str">
        <f ca="1">IFERROR(IF(Payments[[#This Row],[Invoice '#]]="","",INDEX(Invoices[Amount due],MATCH(Payments[[#This Row],[Invoice '#]],Invoices[Invoice '#],0))-IF(E313=Payments[[#Headers],[Amount Due]],0,SUMIF(INDIRECT("B4:B"&amp;ROW()-1),Payments[[#This Row],[Invoice '#]],Payments[Amount Paid]))),"")</f>
        <v/>
      </c>
      <c r="F314" s="41"/>
      <c r="G314" s="10"/>
      <c r="H314" s="38" t="str">
        <f ca="1">IFERROR(IF(Payments[[#This Row],[Amount Due]]="","",IF(Payments[[#This Row],[Amount Due]]=0,0,Payments[[#This Row],[Amount Due]]-Payments[[#This Row],[Amount Paid]])),"")</f>
        <v/>
      </c>
      <c r="I314" s="2"/>
    </row>
    <row r="315" spans="2:9" ht="14.1" customHeight="1" x14ac:dyDescent="0.2">
      <c r="B315" s="11"/>
      <c r="C315" s="14" t="str">
        <f>IFERROR(IF(Payments[[#This Row],[Invoice '#]]="","",INDEX(Invoices[Customer],MATCH(Payments[[#This Row],[Invoice '#]],Invoices[Invoice '#],0))),"")</f>
        <v/>
      </c>
      <c r="D315" s="15" t="str">
        <f>IFERROR(IF(Payments[[#This Row],[Invoice '#]]="","",INDEX(Invoices[Due Date],MATCH(Payments[[#This Row],[Invoice '#]],Invoices[Invoice '#],0))),"")</f>
        <v/>
      </c>
      <c r="E315" s="40" t="str">
        <f ca="1">IFERROR(IF(Payments[[#This Row],[Invoice '#]]="","",INDEX(Invoices[Amount due],MATCH(Payments[[#This Row],[Invoice '#]],Invoices[Invoice '#],0))-IF(E314=Payments[[#Headers],[Amount Due]],0,SUMIF(INDIRECT("B4:B"&amp;ROW()-1),Payments[[#This Row],[Invoice '#]],Payments[Amount Paid]))),"")</f>
        <v/>
      </c>
      <c r="F315" s="41"/>
      <c r="G315" s="10"/>
      <c r="H315" s="38" t="str">
        <f ca="1">IFERROR(IF(Payments[[#This Row],[Amount Due]]="","",IF(Payments[[#This Row],[Amount Due]]=0,0,Payments[[#This Row],[Amount Due]]-Payments[[#This Row],[Amount Paid]])),"")</f>
        <v/>
      </c>
      <c r="I315" s="2"/>
    </row>
    <row r="316" spans="2:9" ht="14.1" customHeight="1" x14ac:dyDescent="0.2">
      <c r="B316" s="11"/>
      <c r="C316" s="14" t="str">
        <f>IFERROR(IF(Payments[[#This Row],[Invoice '#]]="","",INDEX(Invoices[Customer],MATCH(Payments[[#This Row],[Invoice '#]],Invoices[Invoice '#],0))),"")</f>
        <v/>
      </c>
      <c r="D316" s="15" t="str">
        <f>IFERROR(IF(Payments[[#This Row],[Invoice '#]]="","",INDEX(Invoices[Due Date],MATCH(Payments[[#This Row],[Invoice '#]],Invoices[Invoice '#],0))),"")</f>
        <v/>
      </c>
      <c r="E316" s="40" t="str">
        <f ca="1">IFERROR(IF(Payments[[#This Row],[Invoice '#]]="","",INDEX(Invoices[Amount due],MATCH(Payments[[#This Row],[Invoice '#]],Invoices[Invoice '#],0))-IF(E315=Payments[[#Headers],[Amount Due]],0,SUMIF(INDIRECT("B4:B"&amp;ROW()-1),Payments[[#This Row],[Invoice '#]],Payments[Amount Paid]))),"")</f>
        <v/>
      </c>
      <c r="F316" s="41"/>
      <c r="G316" s="10"/>
      <c r="H316" s="38" t="str">
        <f ca="1">IFERROR(IF(Payments[[#This Row],[Amount Due]]="","",IF(Payments[[#This Row],[Amount Due]]=0,0,Payments[[#This Row],[Amount Due]]-Payments[[#This Row],[Amount Paid]])),"")</f>
        <v/>
      </c>
      <c r="I316" s="2"/>
    </row>
    <row r="317" spans="2:9" ht="14.1" customHeight="1" x14ac:dyDescent="0.2">
      <c r="B317" s="11"/>
      <c r="C317" s="14" t="str">
        <f>IFERROR(IF(Payments[[#This Row],[Invoice '#]]="","",INDEX(Invoices[Customer],MATCH(Payments[[#This Row],[Invoice '#]],Invoices[Invoice '#],0))),"")</f>
        <v/>
      </c>
      <c r="D317" s="15" t="str">
        <f>IFERROR(IF(Payments[[#This Row],[Invoice '#]]="","",INDEX(Invoices[Due Date],MATCH(Payments[[#This Row],[Invoice '#]],Invoices[Invoice '#],0))),"")</f>
        <v/>
      </c>
      <c r="E317" s="40" t="str">
        <f ca="1">IFERROR(IF(Payments[[#This Row],[Invoice '#]]="","",INDEX(Invoices[Amount due],MATCH(Payments[[#This Row],[Invoice '#]],Invoices[Invoice '#],0))-IF(E316=Payments[[#Headers],[Amount Due]],0,SUMIF(INDIRECT("B4:B"&amp;ROW()-1),Payments[[#This Row],[Invoice '#]],Payments[Amount Paid]))),"")</f>
        <v/>
      </c>
      <c r="F317" s="41"/>
      <c r="G317" s="10"/>
      <c r="H317" s="38" t="str">
        <f ca="1">IFERROR(IF(Payments[[#This Row],[Amount Due]]="","",IF(Payments[[#This Row],[Amount Due]]=0,0,Payments[[#This Row],[Amount Due]]-Payments[[#This Row],[Amount Paid]])),"")</f>
        <v/>
      </c>
      <c r="I317" s="2"/>
    </row>
    <row r="318" spans="2:9" ht="14.1" customHeight="1" x14ac:dyDescent="0.2">
      <c r="B318" s="11"/>
      <c r="C318" s="14" t="str">
        <f>IFERROR(IF(Payments[[#This Row],[Invoice '#]]="","",INDEX(Invoices[Customer],MATCH(Payments[[#This Row],[Invoice '#]],Invoices[Invoice '#],0))),"")</f>
        <v/>
      </c>
      <c r="D318" s="15" t="str">
        <f>IFERROR(IF(Payments[[#This Row],[Invoice '#]]="","",INDEX(Invoices[Due Date],MATCH(Payments[[#This Row],[Invoice '#]],Invoices[Invoice '#],0))),"")</f>
        <v/>
      </c>
      <c r="E318" s="40" t="str">
        <f ca="1">IFERROR(IF(Payments[[#This Row],[Invoice '#]]="","",INDEX(Invoices[Amount due],MATCH(Payments[[#This Row],[Invoice '#]],Invoices[Invoice '#],0))-IF(E317=Payments[[#Headers],[Amount Due]],0,SUMIF(INDIRECT("B4:B"&amp;ROW()-1),Payments[[#This Row],[Invoice '#]],Payments[Amount Paid]))),"")</f>
        <v/>
      </c>
      <c r="F318" s="41"/>
      <c r="G318" s="10"/>
      <c r="H318" s="38" t="str">
        <f ca="1">IFERROR(IF(Payments[[#This Row],[Amount Due]]="","",IF(Payments[[#This Row],[Amount Due]]=0,0,Payments[[#This Row],[Amount Due]]-Payments[[#This Row],[Amount Paid]])),"")</f>
        <v/>
      </c>
      <c r="I318" s="2"/>
    </row>
    <row r="319" spans="2:9" ht="14.1" customHeight="1" x14ac:dyDescent="0.2">
      <c r="B319" s="11"/>
      <c r="C319" s="14" t="str">
        <f>IFERROR(IF(Payments[[#This Row],[Invoice '#]]="","",INDEX(Invoices[Customer],MATCH(Payments[[#This Row],[Invoice '#]],Invoices[Invoice '#],0))),"")</f>
        <v/>
      </c>
      <c r="D319" s="15" t="str">
        <f>IFERROR(IF(Payments[[#This Row],[Invoice '#]]="","",INDEX(Invoices[Due Date],MATCH(Payments[[#This Row],[Invoice '#]],Invoices[Invoice '#],0))),"")</f>
        <v/>
      </c>
      <c r="E319" s="40" t="str">
        <f ca="1">IFERROR(IF(Payments[[#This Row],[Invoice '#]]="","",INDEX(Invoices[Amount due],MATCH(Payments[[#This Row],[Invoice '#]],Invoices[Invoice '#],0))-IF(E318=Payments[[#Headers],[Amount Due]],0,SUMIF(INDIRECT("B4:B"&amp;ROW()-1),Payments[[#This Row],[Invoice '#]],Payments[Amount Paid]))),"")</f>
        <v/>
      </c>
      <c r="F319" s="41"/>
      <c r="G319" s="10"/>
      <c r="H319" s="38" t="str">
        <f ca="1">IFERROR(IF(Payments[[#This Row],[Amount Due]]="","",IF(Payments[[#This Row],[Amount Due]]=0,0,Payments[[#This Row],[Amount Due]]-Payments[[#This Row],[Amount Paid]])),"")</f>
        <v/>
      </c>
      <c r="I319" s="2"/>
    </row>
    <row r="320" spans="2:9" ht="14.1" customHeight="1" x14ac:dyDescent="0.2">
      <c r="B320" s="11"/>
      <c r="C320" s="14" t="str">
        <f>IFERROR(IF(Payments[[#This Row],[Invoice '#]]="","",INDEX(Invoices[Customer],MATCH(Payments[[#This Row],[Invoice '#]],Invoices[Invoice '#],0))),"")</f>
        <v/>
      </c>
      <c r="D320" s="15" t="str">
        <f>IFERROR(IF(Payments[[#This Row],[Invoice '#]]="","",INDEX(Invoices[Due Date],MATCH(Payments[[#This Row],[Invoice '#]],Invoices[Invoice '#],0))),"")</f>
        <v/>
      </c>
      <c r="E320" s="40" t="str">
        <f ca="1">IFERROR(IF(Payments[[#This Row],[Invoice '#]]="","",INDEX(Invoices[Amount due],MATCH(Payments[[#This Row],[Invoice '#]],Invoices[Invoice '#],0))-IF(E319=Payments[[#Headers],[Amount Due]],0,SUMIF(INDIRECT("B4:B"&amp;ROW()-1),Payments[[#This Row],[Invoice '#]],Payments[Amount Paid]))),"")</f>
        <v/>
      </c>
      <c r="F320" s="41"/>
      <c r="G320" s="10"/>
      <c r="H320" s="38" t="str">
        <f ca="1">IFERROR(IF(Payments[[#This Row],[Amount Due]]="","",IF(Payments[[#This Row],[Amount Due]]=0,0,Payments[[#This Row],[Amount Due]]-Payments[[#This Row],[Amount Paid]])),"")</f>
        <v/>
      </c>
      <c r="I320" s="2"/>
    </row>
    <row r="321" spans="2:9" ht="14.1" customHeight="1" x14ac:dyDescent="0.2">
      <c r="B321" s="11"/>
      <c r="C321" s="14" t="str">
        <f>IFERROR(IF(Payments[[#This Row],[Invoice '#]]="","",INDEX(Invoices[Customer],MATCH(Payments[[#This Row],[Invoice '#]],Invoices[Invoice '#],0))),"")</f>
        <v/>
      </c>
      <c r="D321" s="15" t="str">
        <f>IFERROR(IF(Payments[[#This Row],[Invoice '#]]="","",INDEX(Invoices[Due Date],MATCH(Payments[[#This Row],[Invoice '#]],Invoices[Invoice '#],0))),"")</f>
        <v/>
      </c>
      <c r="E321" s="40" t="str">
        <f ca="1">IFERROR(IF(Payments[[#This Row],[Invoice '#]]="","",INDEX(Invoices[Amount due],MATCH(Payments[[#This Row],[Invoice '#]],Invoices[Invoice '#],0))-IF(E320=Payments[[#Headers],[Amount Due]],0,SUMIF(INDIRECT("B4:B"&amp;ROW()-1),Payments[[#This Row],[Invoice '#]],Payments[Amount Paid]))),"")</f>
        <v/>
      </c>
      <c r="F321" s="41"/>
      <c r="G321" s="10"/>
      <c r="H321" s="38" t="str">
        <f ca="1">IFERROR(IF(Payments[[#This Row],[Amount Due]]="","",IF(Payments[[#This Row],[Amount Due]]=0,0,Payments[[#This Row],[Amount Due]]-Payments[[#This Row],[Amount Paid]])),"")</f>
        <v/>
      </c>
      <c r="I321" s="2"/>
    </row>
    <row r="322" spans="2:9" ht="14.1" customHeight="1" x14ac:dyDescent="0.2">
      <c r="B322" s="11"/>
      <c r="C322" s="14" t="str">
        <f>IFERROR(IF(Payments[[#This Row],[Invoice '#]]="","",INDEX(Invoices[Customer],MATCH(Payments[[#This Row],[Invoice '#]],Invoices[Invoice '#],0))),"")</f>
        <v/>
      </c>
      <c r="D322" s="15" t="str">
        <f>IFERROR(IF(Payments[[#This Row],[Invoice '#]]="","",INDEX(Invoices[Due Date],MATCH(Payments[[#This Row],[Invoice '#]],Invoices[Invoice '#],0))),"")</f>
        <v/>
      </c>
      <c r="E322" s="40" t="str">
        <f ca="1">IFERROR(IF(Payments[[#This Row],[Invoice '#]]="","",INDEX(Invoices[Amount due],MATCH(Payments[[#This Row],[Invoice '#]],Invoices[Invoice '#],0))-IF(E321=Payments[[#Headers],[Amount Due]],0,SUMIF(INDIRECT("B4:B"&amp;ROW()-1),Payments[[#This Row],[Invoice '#]],Payments[Amount Paid]))),"")</f>
        <v/>
      </c>
      <c r="F322" s="41"/>
      <c r="G322" s="10"/>
      <c r="H322" s="38" t="str">
        <f ca="1">IFERROR(IF(Payments[[#This Row],[Amount Due]]="","",IF(Payments[[#This Row],[Amount Due]]=0,0,Payments[[#This Row],[Amount Due]]-Payments[[#This Row],[Amount Paid]])),"")</f>
        <v/>
      </c>
      <c r="I322" s="2"/>
    </row>
    <row r="323" spans="2:9" ht="14.1" customHeight="1" x14ac:dyDescent="0.2">
      <c r="B323" s="11"/>
      <c r="C323" s="14" t="str">
        <f>IFERROR(IF(Payments[[#This Row],[Invoice '#]]="","",INDEX(Invoices[Customer],MATCH(Payments[[#This Row],[Invoice '#]],Invoices[Invoice '#],0))),"")</f>
        <v/>
      </c>
      <c r="D323" s="15" t="str">
        <f>IFERROR(IF(Payments[[#This Row],[Invoice '#]]="","",INDEX(Invoices[Due Date],MATCH(Payments[[#This Row],[Invoice '#]],Invoices[Invoice '#],0))),"")</f>
        <v/>
      </c>
      <c r="E323" s="40" t="str">
        <f ca="1">IFERROR(IF(Payments[[#This Row],[Invoice '#]]="","",INDEX(Invoices[Amount due],MATCH(Payments[[#This Row],[Invoice '#]],Invoices[Invoice '#],0))-IF(E322=Payments[[#Headers],[Amount Due]],0,SUMIF(INDIRECT("B4:B"&amp;ROW()-1),Payments[[#This Row],[Invoice '#]],Payments[Amount Paid]))),"")</f>
        <v/>
      </c>
      <c r="F323" s="41"/>
      <c r="G323" s="10"/>
      <c r="H323" s="38" t="str">
        <f ca="1">IFERROR(IF(Payments[[#This Row],[Amount Due]]="","",IF(Payments[[#This Row],[Amount Due]]=0,0,Payments[[#This Row],[Amount Due]]-Payments[[#This Row],[Amount Paid]])),"")</f>
        <v/>
      </c>
      <c r="I323" s="2"/>
    </row>
    <row r="324" spans="2:9" ht="14.1" customHeight="1" x14ac:dyDescent="0.2">
      <c r="B324" s="11"/>
      <c r="C324" s="14" t="str">
        <f>IFERROR(IF(Payments[[#This Row],[Invoice '#]]="","",INDEX(Invoices[Customer],MATCH(Payments[[#This Row],[Invoice '#]],Invoices[Invoice '#],0))),"")</f>
        <v/>
      </c>
      <c r="D324" s="15" t="str">
        <f>IFERROR(IF(Payments[[#This Row],[Invoice '#]]="","",INDEX(Invoices[Due Date],MATCH(Payments[[#This Row],[Invoice '#]],Invoices[Invoice '#],0))),"")</f>
        <v/>
      </c>
      <c r="E324" s="40" t="str">
        <f ca="1">IFERROR(IF(Payments[[#This Row],[Invoice '#]]="","",INDEX(Invoices[Amount due],MATCH(Payments[[#This Row],[Invoice '#]],Invoices[Invoice '#],0))-IF(E323=Payments[[#Headers],[Amount Due]],0,SUMIF(INDIRECT("B4:B"&amp;ROW()-1),Payments[[#This Row],[Invoice '#]],Payments[Amount Paid]))),"")</f>
        <v/>
      </c>
      <c r="F324" s="41"/>
      <c r="G324" s="10"/>
      <c r="H324" s="38" t="str">
        <f ca="1">IFERROR(IF(Payments[[#This Row],[Amount Due]]="","",IF(Payments[[#This Row],[Amount Due]]=0,0,Payments[[#This Row],[Amount Due]]-Payments[[#This Row],[Amount Paid]])),"")</f>
        <v/>
      </c>
      <c r="I324" s="2"/>
    </row>
    <row r="325" spans="2:9" ht="14.1" customHeight="1" x14ac:dyDescent="0.2">
      <c r="B325" s="11"/>
      <c r="C325" s="14" t="str">
        <f>IFERROR(IF(Payments[[#This Row],[Invoice '#]]="","",INDEX(Invoices[Customer],MATCH(Payments[[#This Row],[Invoice '#]],Invoices[Invoice '#],0))),"")</f>
        <v/>
      </c>
      <c r="D325" s="15" t="str">
        <f>IFERROR(IF(Payments[[#This Row],[Invoice '#]]="","",INDEX(Invoices[Due Date],MATCH(Payments[[#This Row],[Invoice '#]],Invoices[Invoice '#],0))),"")</f>
        <v/>
      </c>
      <c r="E325" s="40" t="str">
        <f ca="1">IFERROR(IF(Payments[[#This Row],[Invoice '#]]="","",INDEX(Invoices[Amount due],MATCH(Payments[[#This Row],[Invoice '#]],Invoices[Invoice '#],0))-IF(E324=Payments[[#Headers],[Amount Due]],0,SUMIF(INDIRECT("B4:B"&amp;ROW()-1),Payments[[#This Row],[Invoice '#]],Payments[Amount Paid]))),"")</f>
        <v/>
      </c>
      <c r="F325" s="41"/>
      <c r="G325" s="10"/>
      <c r="H325" s="38" t="str">
        <f ca="1">IFERROR(IF(Payments[[#This Row],[Amount Due]]="","",IF(Payments[[#This Row],[Amount Due]]=0,0,Payments[[#This Row],[Amount Due]]-Payments[[#This Row],[Amount Paid]])),"")</f>
        <v/>
      </c>
      <c r="I325" s="2"/>
    </row>
    <row r="326" spans="2:9" ht="14.1" customHeight="1" x14ac:dyDescent="0.2">
      <c r="B326" s="11"/>
      <c r="C326" s="14" t="str">
        <f>IFERROR(IF(Payments[[#This Row],[Invoice '#]]="","",INDEX(Invoices[Customer],MATCH(Payments[[#This Row],[Invoice '#]],Invoices[Invoice '#],0))),"")</f>
        <v/>
      </c>
      <c r="D326" s="15" t="str">
        <f>IFERROR(IF(Payments[[#This Row],[Invoice '#]]="","",INDEX(Invoices[Due Date],MATCH(Payments[[#This Row],[Invoice '#]],Invoices[Invoice '#],0))),"")</f>
        <v/>
      </c>
      <c r="E326" s="40" t="str">
        <f ca="1">IFERROR(IF(Payments[[#This Row],[Invoice '#]]="","",INDEX(Invoices[Amount due],MATCH(Payments[[#This Row],[Invoice '#]],Invoices[Invoice '#],0))-IF(E325=Payments[[#Headers],[Amount Due]],0,SUMIF(INDIRECT("B4:B"&amp;ROW()-1),Payments[[#This Row],[Invoice '#]],Payments[Amount Paid]))),"")</f>
        <v/>
      </c>
      <c r="F326" s="41"/>
      <c r="G326" s="10"/>
      <c r="H326" s="38" t="str">
        <f ca="1">IFERROR(IF(Payments[[#This Row],[Amount Due]]="","",IF(Payments[[#This Row],[Amount Due]]=0,0,Payments[[#This Row],[Amount Due]]-Payments[[#This Row],[Amount Paid]])),"")</f>
        <v/>
      </c>
      <c r="I326" s="2"/>
    </row>
    <row r="327" spans="2:9" ht="14.1" customHeight="1" x14ac:dyDescent="0.2">
      <c r="B327" s="11"/>
      <c r="C327" s="14" t="str">
        <f>IFERROR(IF(Payments[[#This Row],[Invoice '#]]="","",INDEX(Invoices[Customer],MATCH(Payments[[#This Row],[Invoice '#]],Invoices[Invoice '#],0))),"")</f>
        <v/>
      </c>
      <c r="D327" s="15" t="str">
        <f>IFERROR(IF(Payments[[#This Row],[Invoice '#]]="","",INDEX(Invoices[Due Date],MATCH(Payments[[#This Row],[Invoice '#]],Invoices[Invoice '#],0))),"")</f>
        <v/>
      </c>
      <c r="E327" s="40" t="str">
        <f ca="1">IFERROR(IF(Payments[[#This Row],[Invoice '#]]="","",INDEX(Invoices[Amount due],MATCH(Payments[[#This Row],[Invoice '#]],Invoices[Invoice '#],0))-IF(E326=Payments[[#Headers],[Amount Due]],0,SUMIF(INDIRECT("B4:B"&amp;ROW()-1),Payments[[#This Row],[Invoice '#]],Payments[Amount Paid]))),"")</f>
        <v/>
      </c>
      <c r="F327" s="41"/>
      <c r="G327" s="10"/>
      <c r="H327" s="38" t="str">
        <f ca="1">IFERROR(IF(Payments[[#This Row],[Amount Due]]="","",IF(Payments[[#This Row],[Amount Due]]=0,0,Payments[[#This Row],[Amount Due]]-Payments[[#This Row],[Amount Paid]])),"")</f>
        <v/>
      </c>
      <c r="I327" s="2"/>
    </row>
    <row r="328" spans="2:9" ht="14.1" customHeight="1" x14ac:dyDescent="0.2">
      <c r="B328" s="11"/>
      <c r="C328" s="14" t="str">
        <f>IFERROR(IF(Payments[[#This Row],[Invoice '#]]="","",INDEX(Invoices[Customer],MATCH(Payments[[#This Row],[Invoice '#]],Invoices[Invoice '#],0))),"")</f>
        <v/>
      </c>
      <c r="D328" s="15" t="str">
        <f>IFERROR(IF(Payments[[#This Row],[Invoice '#]]="","",INDEX(Invoices[Due Date],MATCH(Payments[[#This Row],[Invoice '#]],Invoices[Invoice '#],0))),"")</f>
        <v/>
      </c>
      <c r="E328" s="40" t="str">
        <f ca="1">IFERROR(IF(Payments[[#This Row],[Invoice '#]]="","",INDEX(Invoices[Amount due],MATCH(Payments[[#This Row],[Invoice '#]],Invoices[Invoice '#],0))-IF(E327=Payments[[#Headers],[Amount Due]],0,SUMIF(INDIRECT("B4:B"&amp;ROW()-1),Payments[[#This Row],[Invoice '#]],Payments[Amount Paid]))),"")</f>
        <v/>
      </c>
      <c r="F328" s="41"/>
      <c r="G328" s="10"/>
      <c r="H328" s="38" t="str">
        <f ca="1">IFERROR(IF(Payments[[#This Row],[Amount Due]]="","",IF(Payments[[#This Row],[Amount Due]]=0,0,Payments[[#This Row],[Amount Due]]-Payments[[#This Row],[Amount Paid]])),"")</f>
        <v/>
      </c>
      <c r="I328" s="2"/>
    </row>
    <row r="329" spans="2:9" ht="14.1" customHeight="1" x14ac:dyDescent="0.2">
      <c r="B329" s="11"/>
      <c r="C329" s="14" t="str">
        <f>IFERROR(IF(Payments[[#This Row],[Invoice '#]]="","",INDEX(Invoices[Customer],MATCH(Payments[[#This Row],[Invoice '#]],Invoices[Invoice '#],0))),"")</f>
        <v/>
      </c>
      <c r="D329" s="15" t="str">
        <f>IFERROR(IF(Payments[[#This Row],[Invoice '#]]="","",INDEX(Invoices[Due Date],MATCH(Payments[[#This Row],[Invoice '#]],Invoices[Invoice '#],0))),"")</f>
        <v/>
      </c>
      <c r="E329" s="40" t="str">
        <f ca="1">IFERROR(IF(Payments[[#This Row],[Invoice '#]]="","",INDEX(Invoices[Amount due],MATCH(Payments[[#This Row],[Invoice '#]],Invoices[Invoice '#],0))-IF(E328=Payments[[#Headers],[Amount Due]],0,SUMIF(INDIRECT("B4:B"&amp;ROW()-1),Payments[[#This Row],[Invoice '#]],Payments[Amount Paid]))),"")</f>
        <v/>
      </c>
      <c r="F329" s="41"/>
      <c r="G329" s="10"/>
      <c r="H329" s="38" t="str">
        <f ca="1">IFERROR(IF(Payments[[#This Row],[Amount Due]]="","",IF(Payments[[#This Row],[Amount Due]]=0,0,Payments[[#This Row],[Amount Due]]-Payments[[#This Row],[Amount Paid]])),"")</f>
        <v/>
      </c>
      <c r="I329" s="2"/>
    </row>
    <row r="330" spans="2:9" ht="14.1" customHeight="1" x14ac:dyDescent="0.2">
      <c r="B330" s="11"/>
      <c r="C330" s="14" t="str">
        <f>IFERROR(IF(Payments[[#This Row],[Invoice '#]]="","",INDEX(Invoices[Customer],MATCH(Payments[[#This Row],[Invoice '#]],Invoices[Invoice '#],0))),"")</f>
        <v/>
      </c>
      <c r="D330" s="15" t="str">
        <f>IFERROR(IF(Payments[[#This Row],[Invoice '#]]="","",INDEX(Invoices[Due Date],MATCH(Payments[[#This Row],[Invoice '#]],Invoices[Invoice '#],0))),"")</f>
        <v/>
      </c>
      <c r="E330" s="40" t="str">
        <f ca="1">IFERROR(IF(Payments[[#This Row],[Invoice '#]]="","",INDEX(Invoices[Amount due],MATCH(Payments[[#This Row],[Invoice '#]],Invoices[Invoice '#],0))-IF(E329=Payments[[#Headers],[Amount Due]],0,SUMIF(INDIRECT("B4:B"&amp;ROW()-1),Payments[[#This Row],[Invoice '#]],Payments[Amount Paid]))),"")</f>
        <v/>
      </c>
      <c r="F330" s="41"/>
      <c r="G330" s="10"/>
      <c r="H330" s="38" t="str">
        <f ca="1">IFERROR(IF(Payments[[#This Row],[Amount Due]]="","",IF(Payments[[#This Row],[Amount Due]]=0,0,Payments[[#This Row],[Amount Due]]-Payments[[#This Row],[Amount Paid]])),"")</f>
        <v/>
      </c>
      <c r="I330" s="2"/>
    </row>
    <row r="331" spans="2:9" ht="14.1" customHeight="1" x14ac:dyDescent="0.2">
      <c r="B331" s="11"/>
      <c r="C331" s="14" t="str">
        <f>IFERROR(IF(Payments[[#This Row],[Invoice '#]]="","",INDEX(Invoices[Customer],MATCH(Payments[[#This Row],[Invoice '#]],Invoices[Invoice '#],0))),"")</f>
        <v/>
      </c>
      <c r="D331" s="15" t="str">
        <f>IFERROR(IF(Payments[[#This Row],[Invoice '#]]="","",INDEX(Invoices[Due Date],MATCH(Payments[[#This Row],[Invoice '#]],Invoices[Invoice '#],0))),"")</f>
        <v/>
      </c>
      <c r="E331" s="40" t="str">
        <f ca="1">IFERROR(IF(Payments[[#This Row],[Invoice '#]]="","",INDEX(Invoices[Amount due],MATCH(Payments[[#This Row],[Invoice '#]],Invoices[Invoice '#],0))-IF(E330=Payments[[#Headers],[Amount Due]],0,SUMIF(INDIRECT("B4:B"&amp;ROW()-1),Payments[[#This Row],[Invoice '#]],Payments[Amount Paid]))),"")</f>
        <v/>
      </c>
      <c r="F331" s="41"/>
      <c r="G331" s="10"/>
      <c r="H331" s="38" t="str">
        <f ca="1">IFERROR(IF(Payments[[#This Row],[Amount Due]]="","",IF(Payments[[#This Row],[Amount Due]]=0,0,Payments[[#This Row],[Amount Due]]-Payments[[#This Row],[Amount Paid]])),"")</f>
        <v/>
      </c>
      <c r="I331" s="2"/>
    </row>
    <row r="332" spans="2:9" ht="14.1" customHeight="1" x14ac:dyDescent="0.2">
      <c r="B332" s="11"/>
      <c r="C332" s="14" t="str">
        <f>IFERROR(IF(Payments[[#This Row],[Invoice '#]]="","",INDEX(Invoices[Customer],MATCH(Payments[[#This Row],[Invoice '#]],Invoices[Invoice '#],0))),"")</f>
        <v/>
      </c>
      <c r="D332" s="15" t="str">
        <f>IFERROR(IF(Payments[[#This Row],[Invoice '#]]="","",INDEX(Invoices[Due Date],MATCH(Payments[[#This Row],[Invoice '#]],Invoices[Invoice '#],0))),"")</f>
        <v/>
      </c>
      <c r="E332" s="40" t="str">
        <f ca="1">IFERROR(IF(Payments[[#This Row],[Invoice '#]]="","",INDEX(Invoices[Amount due],MATCH(Payments[[#This Row],[Invoice '#]],Invoices[Invoice '#],0))-IF(E331=Payments[[#Headers],[Amount Due]],0,SUMIF(INDIRECT("B4:B"&amp;ROW()-1),Payments[[#This Row],[Invoice '#]],Payments[Amount Paid]))),"")</f>
        <v/>
      </c>
      <c r="F332" s="41"/>
      <c r="G332" s="10"/>
      <c r="H332" s="38" t="str">
        <f ca="1">IFERROR(IF(Payments[[#This Row],[Amount Due]]="","",IF(Payments[[#This Row],[Amount Due]]=0,0,Payments[[#This Row],[Amount Due]]-Payments[[#This Row],[Amount Paid]])),"")</f>
        <v/>
      </c>
      <c r="I332" s="2"/>
    </row>
    <row r="333" spans="2:9" ht="14.1" customHeight="1" x14ac:dyDescent="0.2">
      <c r="B333" s="11"/>
      <c r="C333" s="14" t="str">
        <f>IFERROR(IF(Payments[[#This Row],[Invoice '#]]="","",INDEX(Invoices[Customer],MATCH(Payments[[#This Row],[Invoice '#]],Invoices[Invoice '#],0))),"")</f>
        <v/>
      </c>
      <c r="D333" s="15" t="str">
        <f>IFERROR(IF(Payments[[#This Row],[Invoice '#]]="","",INDEX(Invoices[Due Date],MATCH(Payments[[#This Row],[Invoice '#]],Invoices[Invoice '#],0))),"")</f>
        <v/>
      </c>
      <c r="E333" s="40" t="str">
        <f ca="1">IFERROR(IF(Payments[[#This Row],[Invoice '#]]="","",INDEX(Invoices[Amount due],MATCH(Payments[[#This Row],[Invoice '#]],Invoices[Invoice '#],0))-IF(E332=Payments[[#Headers],[Amount Due]],0,SUMIF(INDIRECT("B4:B"&amp;ROW()-1),Payments[[#This Row],[Invoice '#]],Payments[Amount Paid]))),"")</f>
        <v/>
      </c>
      <c r="F333" s="41"/>
      <c r="G333" s="10"/>
      <c r="H333" s="38" t="str">
        <f ca="1">IFERROR(IF(Payments[[#This Row],[Amount Due]]="","",IF(Payments[[#This Row],[Amount Due]]=0,0,Payments[[#This Row],[Amount Due]]-Payments[[#This Row],[Amount Paid]])),"")</f>
        <v/>
      </c>
      <c r="I333" s="2"/>
    </row>
    <row r="334" spans="2:9" ht="14.1" customHeight="1" x14ac:dyDescent="0.2">
      <c r="B334" s="11"/>
      <c r="C334" s="14" t="str">
        <f>IFERROR(IF(Payments[[#This Row],[Invoice '#]]="","",INDEX(Invoices[Customer],MATCH(Payments[[#This Row],[Invoice '#]],Invoices[Invoice '#],0))),"")</f>
        <v/>
      </c>
      <c r="D334" s="15" t="str">
        <f>IFERROR(IF(Payments[[#This Row],[Invoice '#]]="","",INDEX(Invoices[Due Date],MATCH(Payments[[#This Row],[Invoice '#]],Invoices[Invoice '#],0))),"")</f>
        <v/>
      </c>
      <c r="E334" s="40" t="str">
        <f ca="1">IFERROR(IF(Payments[[#This Row],[Invoice '#]]="","",INDEX(Invoices[Amount due],MATCH(Payments[[#This Row],[Invoice '#]],Invoices[Invoice '#],0))-IF(E333=Payments[[#Headers],[Amount Due]],0,SUMIF(INDIRECT("B4:B"&amp;ROW()-1),Payments[[#This Row],[Invoice '#]],Payments[Amount Paid]))),"")</f>
        <v/>
      </c>
      <c r="F334" s="41"/>
      <c r="G334" s="10"/>
      <c r="H334" s="38" t="str">
        <f ca="1">IFERROR(IF(Payments[[#This Row],[Amount Due]]="","",IF(Payments[[#This Row],[Amount Due]]=0,0,Payments[[#This Row],[Amount Due]]-Payments[[#This Row],[Amount Paid]])),"")</f>
        <v/>
      </c>
      <c r="I334" s="2"/>
    </row>
    <row r="335" spans="2:9" ht="14.1" customHeight="1" x14ac:dyDescent="0.2">
      <c r="B335" s="11"/>
      <c r="C335" s="14" t="str">
        <f>IFERROR(IF(Payments[[#This Row],[Invoice '#]]="","",INDEX(Invoices[Customer],MATCH(Payments[[#This Row],[Invoice '#]],Invoices[Invoice '#],0))),"")</f>
        <v/>
      </c>
      <c r="D335" s="15" t="str">
        <f>IFERROR(IF(Payments[[#This Row],[Invoice '#]]="","",INDEX(Invoices[Due Date],MATCH(Payments[[#This Row],[Invoice '#]],Invoices[Invoice '#],0))),"")</f>
        <v/>
      </c>
      <c r="E335" s="40" t="str">
        <f ca="1">IFERROR(IF(Payments[[#This Row],[Invoice '#]]="","",INDEX(Invoices[Amount due],MATCH(Payments[[#This Row],[Invoice '#]],Invoices[Invoice '#],0))-IF(E334=Payments[[#Headers],[Amount Due]],0,SUMIF(INDIRECT("B4:B"&amp;ROW()-1),Payments[[#This Row],[Invoice '#]],Payments[Amount Paid]))),"")</f>
        <v/>
      </c>
      <c r="F335" s="41"/>
      <c r="G335" s="10"/>
      <c r="H335" s="38" t="str">
        <f ca="1">IFERROR(IF(Payments[[#This Row],[Amount Due]]="","",IF(Payments[[#This Row],[Amount Due]]=0,0,Payments[[#This Row],[Amount Due]]-Payments[[#This Row],[Amount Paid]])),"")</f>
        <v/>
      </c>
      <c r="I335" s="2"/>
    </row>
    <row r="336" spans="2:9" ht="14.1" customHeight="1" x14ac:dyDescent="0.2">
      <c r="B336" s="11"/>
      <c r="C336" s="14" t="str">
        <f>IFERROR(IF(Payments[[#This Row],[Invoice '#]]="","",INDEX(Invoices[Customer],MATCH(Payments[[#This Row],[Invoice '#]],Invoices[Invoice '#],0))),"")</f>
        <v/>
      </c>
      <c r="D336" s="15" t="str">
        <f>IFERROR(IF(Payments[[#This Row],[Invoice '#]]="","",INDEX(Invoices[Due Date],MATCH(Payments[[#This Row],[Invoice '#]],Invoices[Invoice '#],0))),"")</f>
        <v/>
      </c>
      <c r="E336" s="40" t="str">
        <f ca="1">IFERROR(IF(Payments[[#This Row],[Invoice '#]]="","",INDEX(Invoices[Amount due],MATCH(Payments[[#This Row],[Invoice '#]],Invoices[Invoice '#],0))-IF(E335=Payments[[#Headers],[Amount Due]],0,SUMIF(INDIRECT("B4:B"&amp;ROW()-1),Payments[[#This Row],[Invoice '#]],Payments[Amount Paid]))),"")</f>
        <v/>
      </c>
      <c r="F336" s="41"/>
      <c r="G336" s="10"/>
      <c r="H336" s="38" t="str">
        <f ca="1">IFERROR(IF(Payments[[#This Row],[Amount Due]]="","",IF(Payments[[#This Row],[Amount Due]]=0,0,Payments[[#This Row],[Amount Due]]-Payments[[#This Row],[Amount Paid]])),"")</f>
        <v/>
      </c>
      <c r="I336" s="2"/>
    </row>
    <row r="337" spans="2:9" ht="14.1" customHeight="1" x14ac:dyDescent="0.2">
      <c r="B337" s="11"/>
      <c r="C337" s="14" t="str">
        <f>IFERROR(IF(Payments[[#This Row],[Invoice '#]]="","",INDEX(Invoices[Customer],MATCH(Payments[[#This Row],[Invoice '#]],Invoices[Invoice '#],0))),"")</f>
        <v/>
      </c>
      <c r="D337" s="15" t="str">
        <f>IFERROR(IF(Payments[[#This Row],[Invoice '#]]="","",INDEX(Invoices[Due Date],MATCH(Payments[[#This Row],[Invoice '#]],Invoices[Invoice '#],0))),"")</f>
        <v/>
      </c>
      <c r="E337" s="40" t="str">
        <f ca="1">IFERROR(IF(Payments[[#This Row],[Invoice '#]]="","",INDEX(Invoices[Amount due],MATCH(Payments[[#This Row],[Invoice '#]],Invoices[Invoice '#],0))-IF(E336=Payments[[#Headers],[Amount Due]],0,SUMIF(INDIRECT("B4:B"&amp;ROW()-1),Payments[[#This Row],[Invoice '#]],Payments[Amount Paid]))),"")</f>
        <v/>
      </c>
      <c r="F337" s="41"/>
      <c r="G337" s="10"/>
      <c r="H337" s="38" t="str">
        <f ca="1">IFERROR(IF(Payments[[#This Row],[Amount Due]]="","",IF(Payments[[#This Row],[Amount Due]]=0,0,Payments[[#This Row],[Amount Due]]-Payments[[#This Row],[Amount Paid]])),"")</f>
        <v/>
      </c>
      <c r="I337" s="2"/>
    </row>
    <row r="338" spans="2:9" ht="14.1" customHeight="1" x14ac:dyDescent="0.2">
      <c r="B338" s="11"/>
      <c r="C338" s="14" t="str">
        <f>IFERROR(IF(Payments[[#This Row],[Invoice '#]]="","",INDEX(Invoices[Customer],MATCH(Payments[[#This Row],[Invoice '#]],Invoices[Invoice '#],0))),"")</f>
        <v/>
      </c>
      <c r="D338" s="15" t="str">
        <f>IFERROR(IF(Payments[[#This Row],[Invoice '#]]="","",INDEX(Invoices[Due Date],MATCH(Payments[[#This Row],[Invoice '#]],Invoices[Invoice '#],0))),"")</f>
        <v/>
      </c>
      <c r="E338" s="40" t="str">
        <f ca="1">IFERROR(IF(Payments[[#This Row],[Invoice '#]]="","",INDEX(Invoices[Amount due],MATCH(Payments[[#This Row],[Invoice '#]],Invoices[Invoice '#],0))-IF(E337=Payments[[#Headers],[Amount Due]],0,SUMIF(INDIRECT("B4:B"&amp;ROW()-1),Payments[[#This Row],[Invoice '#]],Payments[Amount Paid]))),"")</f>
        <v/>
      </c>
      <c r="F338" s="41"/>
      <c r="G338" s="10"/>
      <c r="H338" s="38" t="str">
        <f ca="1">IFERROR(IF(Payments[[#This Row],[Amount Due]]="","",IF(Payments[[#This Row],[Amount Due]]=0,0,Payments[[#This Row],[Amount Due]]-Payments[[#This Row],[Amount Paid]])),"")</f>
        <v/>
      </c>
      <c r="I338" s="2"/>
    </row>
    <row r="339" spans="2:9" ht="14.1" customHeight="1" x14ac:dyDescent="0.2">
      <c r="B339" s="11"/>
      <c r="C339" s="14" t="str">
        <f>IFERROR(IF(Payments[[#This Row],[Invoice '#]]="","",INDEX(Invoices[Customer],MATCH(Payments[[#This Row],[Invoice '#]],Invoices[Invoice '#],0))),"")</f>
        <v/>
      </c>
      <c r="D339" s="15" t="str">
        <f>IFERROR(IF(Payments[[#This Row],[Invoice '#]]="","",INDEX(Invoices[Due Date],MATCH(Payments[[#This Row],[Invoice '#]],Invoices[Invoice '#],0))),"")</f>
        <v/>
      </c>
      <c r="E339" s="40" t="str">
        <f ca="1">IFERROR(IF(Payments[[#This Row],[Invoice '#]]="","",INDEX(Invoices[Amount due],MATCH(Payments[[#This Row],[Invoice '#]],Invoices[Invoice '#],0))-IF(E338=Payments[[#Headers],[Amount Due]],0,SUMIF(INDIRECT("B4:B"&amp;ROW()-1),Payments[[#This Row],[Invoice '#]],Payments[Amount Paid]))),"")</f>
        <v/>
      </c>
      <c r="F339" s="41"/>
      <c r="G339" s="10"/>
      <c r="H339" s="38" t="str">
        <f ca="1">IFERROR(IF(Payments[[#This Row],[Amount Due]]="","",IF(Payments[[#This Row],[Amount Due]]=0,0,Payments[[#This Row],[Amount Due]]-Payments[[#This Row],[Amount Paid]])),"")</f>
        <v/>
      </c>
      <c r="I339" s="2"/>
    </row>
    <row r="340" spans="2:9" ht="14.1" customHeight="1" x14ac:dyDescent="0.2">
      <c r="B340" s="11"/>
      <c r="C340" s="14" t="str">
        <f>IFERROR(IF(Payments[[#This Row],[Invoice '#]]="","",INDEX(Invoices[Customer],MATCH(Payments[[#This Row],[Invoice '#]],Invoices[Invoice '#],0))),"")</f>
        <v/>
      </c>
      <c r="D340" s="15" t="str">
        <f>IFERROR(IF(Payments[[#This Row],[Invoice '#]]="","",INDEX(Invoices[Due Date],MATCH(Payments[[#This Row],[Invoice '#]],Invoices[Invoice '#],0))),"")</f>
        <v/>
      </c>
      <c r="E340" s="40" t="str">
        <f ca="1">IFERROR(IF(Payments[[#This Row],[Invoice '#]]="","",INDEX(Invoices[Amount due],MATCH(Payments[[#This Row],[Invoice '#]],Invoices[Invoice '#],0))-IF(E339=Payments[[#Headers],[Amount Due]],0,SUMIF(INDIRECT("B4:B"&amp;ROW()-1),Payments[[#This Row],[Invoice '#]],Payments[Amount Paid]))),"")</f>
        <v/>
      </c>
      <c r="F340" s="41"/>
      <c r="G340" s="10"/>
      <c r="H340" s="38" t="str">
        <f ca="1">IFERROR(IF(Payments[[#This Row],[Amount Due]]="","",IF(Payments[[#This Row],[Amount Due]]=0,0,Payments[[#This Row],[Amount Due]]-Payments[[#This Row],[Amount Paid]])),"")</f>
        <v/>
      </c>
      <c r="I340" s="2"/>
    </row>
    <row r="341" spans="2:9" ht="14.1" customHeight="1" x14ac:dyDescent="0.2">
      <c r="B341" s="11"/>
      <c r="C341" s="14" t="str">
        <f>IFERROR(IF(Payments[[#This Row],[Invoice '#]]="","",INDEX(Invoices[Customer],MATCH(Payments[[#This Row],[Invoice '#]],Invoices[Invoice '#],0))),"")</f>
        <v/>
      </c>
      <c r="D341" s="15" t="str">
        <f>IFERROR(IF(Payments[[#This Row],[Invoice '#]]="","",INDEX(Invoices[Due Date],MATCH(Payments[[#This Row],[Invoice '#]],Invoices[Invoice '#],0))),"")</f>
        <v/>
      </c>
      <c r="E341" s="40" t="str">
        <f ca="1">IFERROR(IF(Payments[[#This Row],[Invoice '#]]="","",INDEX(Invoices[Amount due],MATCH(Payments[[#This Row],[Invoice '#]],Invoices[Invoice '#],0))-IF(E340=Payments[[#Headers],[Amount Due]],0,SUMIF(INDIRECT("B4:B"&amp;ROW()-1),Payments[[#This Row],[Invoice '#]],Payments[Amount Paid]))),"")</f>
        <v/>
      </c>
      <c r="F341" s="41"/>
      <c r="G341" s="10"/>
      <c r="H341" s="38" t="str">
        <f ca="1">IFERROR(IF(Payments[[#This Row],[Amount Due]]="","",IF(Payments[[#This Row],[Amount Due]]=0,0,Payments[[#This Row],[Amount Due]]-Payments[[#This Row],[Amount Paid]])),"")</f>
        <v/>
      </c>
      <c r="I341" s="2"/>
    </row>
    <row r="342" spans="2:9" ht="14.1" customHeight="1" x14ac:dyDescent="0.2">
      <c r="B342" s="11"/>
      <c r="C342" s="14" t="str">
        <f>IFERROR(IF(Payments[[#This Row],[Invoice '#]]="","",INDEX(Invoices[Customer],MATCH(Payments[[#This Row],[Invoice '#]],Invoices[Invoice '#],0))),"")</f>
        <v/>
      </c>
      <c r="D342" s="15" t="str">
        <f>IFERROR(IF(Payments[[#This Row],[Invoice '#]]="","",INDEX(Invoices[Due Date],MATCH(Payments[[#This Row],[Invoice '#]],Invoices[Invoice '#],0))),"")</f>
        <v/>
      </c>
      <c r="E342" s="40" t="str">
        <f ca="1">IFERROR(IF(Payments[[#This Row],[Invoice '#]]="","",INDEX(Invoices[Amount due],MATCH(Payments[[#This Row],[Invoice '#]],Invoices[Invoice '#],0))-IF(E341=Payments[[#Headers],[Amount Due]],0,SUMIF(INDIRECT("B4:B"&amp;ROW()-1),Payments[[#This Row],[Invoice '#]],Payments[Amount Paid]))),"")</f>
        <v/>
      </c>
      <c r="F342" s="41"/>
      <c r="G342" s="10"/>
      <c r="H342" s="38" t="str">
        <f ca="1">IFERROR(IF(Payments[[#This Row],[Amount Due]]="","",IF(Payments[[#This Row],[Amount Due]]=0,0,Payments[[#This Row],[Amount Due]]-Payments[[#This Row],[Amount Paid]])),"")</f>
        <v/>
      </c>
      <c r="I342" s="2"/>
    </row>
    <row r="343" spans="2:9" ht="14.1" customHeight="1" x14ac:dyDescent="0.2">
      <c r="B343" s="11"/>
      <c r="C343" s="14" t="str">
        <f>IFERROR(IF(Payments[[#This Row],[Invoice '#]]="","",INDEX(Invoices[Customer],MATCH(Payments[[#This Row],[Invoice '#]],Invoices[Invoice '#],0))),"")</f>
        <v/>
      </c>
      <c r="D343" s="15" t="str">
        <f>IFERROR(IF(Payments[[#This Row],[Invoice '#]]="","",INDEX(Invoices[Due Date],MATCH(Payments[[#This Row],[Invoice '#]],Invoices[Invoice '#],0))),"")</f>
        <v/>
      </c>
      <c r="E343" s="40" t="str">
        <f ca="1">IFERROR(IF(Payments[[#This Row],[Invoice '#]]="","",INDEX(Invoices[Amount due],MATCH(Payments[[#This Row],[Invoice '#]],Invoices[Invoice '#],0))-IF(E342=Payments[[#Headers],[Amount Due]],0,SUMIF(INDIRECT("B4:B"&amp;ROW()-1),Payments[[#This Row],[Invoice '#]],Payments[Amount Paid]))),"")</f>
        <v/>
      </c>
      <c r="F343" s="41"/>
      <c r="G343" s="10"/>
      <c r="H343" s="38" t="str">
        <f ca="1">IFERROR(IF(Payments[[#This Row],[Amount Due]]="","",IF(Payments[[#This Row],[Amount Due]]=0,0,Payments[[#This Row],[Amount Due]]-Payments[[#This Row],[Amount Paid]])),"")</f>
        <v/>
      </c>
      <c r="I343" s="2"/>
    </row>
    <row r="344" spans="2:9" ht="14.1" customHeight="1" x14ac:dyDescent="0.2">
      <c r="B344" s="11"/>
      <c r="C344" s="14" t="str">
        <f>IFERROR(IF(Payments[[#This Row],[Invoice '#]]="","",INDEX(Invoices[Customer],MATCH(Payments[[#This Row],[Invoice '#]],Invoices[Invoice '#],0))),"")</f>
        <v/>
      </c>
      <c r="D344" s="15" t="str">
        <f>IFERROR(IF(Payments[[#This Row],[Invoice '#]]="","",INDEX(Invoices[Due Date],MATCH(Payments[[#This Row],[Invoice '#]],Invoices[Invoice '#],0))),"")</f>
        <v/>
      </c>
      <c r="E344" s="40" t="str">
        <f ca="1">IFERROR(IF(Payments[[#This Row],[Invoice '#]]="","",INDEX(Invoices[Amount due],MATCH(Payments[[#This Row],[Invoice '#]],Invoices[Invoice '#],0))-IF(E343=Payments[[#Headers],[Amount Due]],0,SUMIF(INDIRECT("B4:B"&amp;ROW()-1),Payments[[#This Row],[Invoice '#]],Payments[Amount Paid]))),"")</f>
        <v/>
      </c>
      <c r="F344" s="41"/>
      <c r="G344" s="10"/>
      <c r="H344" s="38" t="str">
        <f ca="1">IFERROR(IF(Payments[[#This Row],[Amount Due]]="","",IF(Payments[[#This Row],[Amount Due]]=0,0,Payments[[#This Row],[Amount Due]]-Payments[[#This Row],[Amount Paid]])),"")</f>
        <v/>
      </c>
      <c r="I344" s="2"/>
    </row>
    <row r="345" spans="2:9" ht="14.1" customHeight="1" x14ac:dyDescent="0.2">
      <c r="B345" s="11"/>
      <c r="C345" s="14" t="str">
        <f>IFERROR(IF(Payments[[#This Row],[Invoice '#]]="","",INDEX(Invoices[Customer],MATCH(Payments[[#This Row],[Invoice '#]],Invoices[Invoice '#],0))),"")</f>
        <v/>
      </c>
      <c r="D345" s="15" t="str">
        <f>IFERROR(IF(Payments[[#This Row],[Invoice '#]]="","",INDEX(Invoices[Due Date],MATCH(Payments[[#This Row],[Invoice '#]],Invoices[Invoice '#],0))),"")</f>
        <v/>
      </c>
      <c r="E345" s="40" t="str">
        <f ca="1">IFERROR(IF(Payments[[#This Row],[Invoice '#]]="","",INDEX(Invoices[Amount due],MATCH(Payments[[#This Row],[Invoice '#]],Invoices[Invoice '#],0))-IF(E344=Payments[[#Headers],[Amount Due]],0,SUMIF(INDIRECT("B4:B"&amp;ROW()-1),Payments[[#This Row],[Invoice '#]],Payments[Amount Paid]))),"")</f>
        <v/>
      </c>
      <c r="F345" s="41"/>
      <c r="G345" s="10"/>
      <c r="H345" s="38" t="str">
        <f ca="1">IFERROR(IF(Payments[[#This Row],[Amount Due]]="","",IF(Payments[[#This Row],[Amount Due]]=0,0,Payments[[#This Row],[Amount Due]]-Payments[[#This Row],[Amount Paid]])),"")</f>
        <v/>
      </c>
      <c r="I345" s="2"/>
    </row>
    <row r="346" spans="2:9" ht="14.1" customHeight="1" x14ac:dyDescent="0.2">
      <c r="B346" s="11"/>
      <c r="C346" s="14" t="str">
        <f>IFERROR(IF(Payments[[#This Row],[Invoice '#]]="","",INDEX(Invoices[Customer],MATCH(Payments[[#This Row],[Invoice '#]],Invoices[Invoice '#],0))),"")</f>
        <v/>
      </c>
      <c r="D346" s="15" t="str">
        <f>IFERROR(IF(Payments[[#This Row],[Invoice '#]]="","",INDEX(Invoices[Due Date],MATCH(Payments[[#This Row],[Invoice '#]],Invoices[Invoice '#],0))),"")</f>
        <v/>
      </c>
      <c r="E346" s="40" t="str">
        <f ca="1">IFERROR(IF(Payments[[#This Row],[Invoice '#]]="","",INDEX(Invoices[Amount due],MATCH(Payments[[#This Row],[Invoice '#]],Invoices[Invoice '#],0))-IF(E345=Payments[[#Headers],[Amount Due]],0,SUMIF(INDIRECT("B4:B"&amp;ROW()-1),Payments[[#This Row],[Invoice '#]],Payments[Amount Paid]))),"")</f>
        <v/>
      </c>
      <c r="F346" s="41"/>
      <c r="G346" s="10"/>
      <c r="H346" s="38" t="str">
        <f ca="1">IFERROR(IF(Payments[[#This Row],[Amount Due]]="","",IF(Payments[[#This Row],[Amount Due]]=0,0,Payments[[#This Row],[Amount Due]]-Payments[[#This Row],[Amount Paid]])),"")</f>
        <v/>
      </c>
      <c r="I346" s="2"/>
    </row>
    <row r="347" spans="2:9" ht="14.1" customHeight="1" x14ac:dyDescent="0.2">
      <c r="B347" s="11"/>
      <c r="C347" s="14" t="str">
        <f>IFERROR(IF(Payments[[#This Row],[Invoice '#]]="","",INDEX(Invoices[Customer],MATCH(Payments[[#This Row],[Invoice '#]],Invoices[Invoice '#],0))),"")</f>
        <v/>
      </c>
      <c r="D347" s="15" t="str">
        <f>IFERROR(IF(Payments[[#This Row],[Invoice '#]]="","",INDEX(Invoices[Due Date],MATCH(Payments[[#This Row],[Invoice '#]],Invoices[Invoice '#],0))),"")</f>
        <v/>
      </c>
      <c r="E347" s="40" t="str">
        <f ca="1">IFERROR(IF(Payments[[#This Row],[Invoice '#]]="","",INDEX(Invoices[Amount due],MATCH(Payments[[#This Row],[Invoice '#]],Invoices[Invoice '#],0))-IF(E346=Payments[[#Headers],[Amount Due]],0,SUMIF(INDIRECT("B4:B"&amp;ROW()-1),Payments[[#This Row],[Invoice '#]],Payments[Amount Paid]))),"")</f>
        <v/>
      </c>
      <c r="F347" s="41"/>
      <c r="G347" s="10"/>
      <c r="H347" s="38" t="str">
        <f ca="1">IFERROR(IF(Payments[[#This Row],[Amount Due]]="","",IF(Payments[[#This Row],[Amount Due]]=0,0,Payments[[#This Row],[Amount Due]]-Payments[[#This Row],[Amount Paid]])),"")</f>
        <v/>
      </c>
      <c r="I347" s="2"/>
    </row>
    <row r="348" spans="2:9" ht="14.1" customHeight="1" x14ac:dyDescent="0.2">
      <c r="B348" s="11"/>
      <c r="C348" s="14" t="str">
        <f>IFERROR(IF(Payments[[#This Row],[Invoice '#]]="","",INDEX(Invoices[Customer],MATCH(Payments[[#This Row],[Invoice '#]],Invoices[Invoice '#],0))),"")</f>
        <v/>
      </c>
      <c r="D348" s="15" t="str">
        <f>IFERROR(IF(Payments[[#This Row],[Invoice '#]]="","",INDEX(Invoices[Due Date],MATCH(Payments[[#This Row],[Invoice '#]],Invoices[Invoice '#],0))),"")</f>
        <v/>
      </c>
      <c r="E348" s="40" t="str">
        <f ca="1">IFERROR(IF(Payments[[#This Row],[Invoice '#]]="","",INDEX(Invoices[Amount due],MATCH(Payments[[#This Row],[Invoice '#]],Invoices[Invoice '#],0))-IF(E347=Payments[[#Headers],[Amount Due]],0,SUMIF(INDIRECT("B4:B"&amp;ROW()-1),Payments[[#This Row],[Invoice '#]],Payments[Amount Paid]))),"")</f>
        <v/>
      </c>
      <c r="F348" s="41"/>
      <c r="G348" s="10"/>
      <c r="H348" s="38" t="str">
        <f ca="1">IFERROR(IF(Payments[[#This Row],[Amount Due]]="","",IF(Payments[[#This Row],[Amount Due]]=0,0,Payments[[#This Row],[Amount Due]]-Payments[[#This Row],[Amount Paid]])),"")</f>
        <v/>
      </c>
      <c r="I348" s="2"/>
    </row>
    <row r="349" spans="2:9" ht="14.1" customHeight="1" x14ac:dyDescent="0.2">
      <c r="B349" s="11"/>
      <c r="C349" s="14" t="str">
        <f>IFERROR(IF(Payments[[#This Row],[Invoice '#]]="","",INDEX(Invoices[Customer],MATCH(Payments[[#This Row],[Invoice '#]],Invoices[Invoice '#],0))),"")</f>
        <v/>
      </c>
      <c r="D349" s="15" t="str">
        <f>IFERROR(IF(Payments[[#This Row],[Invoice '#]]="","",INDEX(Invoices[Due Date],MATCH(Payments[[#This Row],[Invoice '#]],Invoices[Invoice '#],0))),"")</f>
        <v/>
      </c>
      <c r="E349" s="40" t="str">
        <f ca="1">IFERROR(IF(Payments[[#This Row],[Invoice '#]]="","",INDEX(Invoices[Amount due],MATCH(Payments[[#This Row],[Invoice '#]],Invoices[Invoice '#],0))-IF(E348=Payments[[#Headers],[Amount Due]],0,SUMIF(INDIRECT("B4:B"&amp;ROW()-1),Payments[[#This Row],[Invoice '#]],Payments[Amount Paid]))),"")</f>
        <v/>
      </c>
      <c r="F349" s="41"/>
      <c r="G349" s="10"/>
      <c r="H349" s="38" t="str">
        <f ca="1">IFERROR(IF(Payments[[#This Row],[Amount Due]]="","",IF(Payments[[#This Row],[Amount Due]]=0,0,Payments[[#This Row],[Amount Due]]-Payments[[#This Row],[Amount Paid]])),"")</f>
        <v/>
      </c>
      <c r="I349" s="2"/>
    </row>
    <row r="350" spans="2:9" ht="14.1" customHeight="1" x14ac:dyDescent="0.2">
      <c r="B350" s="11"/>
      <c r="C350" s="14" t="str">
        <f>IFERROR(IF(Payments[[#This Row],[Invoice '#]]="","",INDEX(Invoices[Customer],MATCH(Payments[[#This Row],[Invoice '#]],Invoices[Invoice '#],0))),"")</f>
        <v/>
      </c>
      <c r="D350" s="15" t="str">
        <f>IFERROR(IF(Payments[[#This Row],[Invoice '#]]="","",INDEX(Invoices[Due Date],MATCH(Payments[[#This Row],[Invoice '#]],Invoices[Invoice '#],0))),"")</f>
        <v/>
      </c>
      <c r="E350" s="40" t="str">
        <f ca="1">IFERROR(IF(Payments[[#This Row],[Invoice '#]]="","",INDEX(Invoices[Amount due],MATCH(Payments[[#This Row],[Invoice '#]],Invoices[Invoice '#],0))-IF(E349=Payments[[#Headers],[Amount Due]],0,SUMIF(INDIRECT("B4:B"&amp;ROW()-1),Payments[[#This Row],[Invoice '#]],Payments[Amount Paid]))),"")</f>
        <v/>
      </c>
      <c r="F350" s="41"/>
      <c r="G350" s="10"/>
      <c r="H350" s="38" t="str">
        <f ca="1">IFERROR(IF(Payments[[#This Row],[Amount Due]]="","",IF(Payments[[#This Row],[Amount Due]]=0,0,Payments[[#This Row],[Amount Due]]-Payments[[#This Row],[Amount Paid]])),"")</f>
        <v/>
      </c>
      <c r="I350" s="2"/>
    </row>
    <row r="351" spans="2:9" ht="14.1" customHeight="1" x14ac:dyDescent="0.2">
      <c r="B351" s="11"/>
      <c r="C351" s="14" t="str">
        <f>IFERROR(IF(Payments[[#This Row],[Invoice '#]]="","",INDEX(Invoices[Customer],MATCH(Payments[[#This Row],[Invoice '#]],Invoices[Invoice '#],0))),"")</f>
        <v/>
      </c>
      <c r="D351" s="15" t="str">
        <f>IFERROR(IF(Payments[[#This Row],[Invoice '#]]="","",INDEX(Invoices[Due Date],MATCH(Payments[[#This Row],[Invoice '#]],Invoices[Invoice '#],0))),"")</f>
        <v/>
      </c>
      <c r="E351" s="40" t="str">
        <f ca="1">IFERROR(IF(Payments[[#This Row],[Invoice '#]]="","",INDEX(Invoices[Amount due],MATCH(Payments[[#This Row],[Invoice '#]],Invoices[Invoice '#],0))-IF(E350=Payments[[#Headers],[Amount Due]],0,SUMIF(INDIRECT("B4:B"&amp;ROW()-1),Payments[[#This Row],[Invoice '#]],Payments[Amount Paid]))),"")</f>
        <v/>
      </c>
      <c r="F351" s="41"/>
      <c r="G351" s="10"/>
      <c r="H351" s="38" t="str">
        <f ca="1">IFERROR(IF(Payments[[#This Row],[Amount Due]]="","",IF(Payments[[#This Row],[Amount Due]]=0,0,Payments[[#This Row],[Amount Due]]-Payments[[#This Row],[Amount Paid]])),"")</f>
        <v/>
      </c>
      <c r="I351" s="2"/>
    </row>
    <row r="352" spans="2:9" ht="14.1" customHeight="1" x14ac:dyDescent="0.2">
      <c r="B352" s="11"/>
      <c r="C352" s="14" t="str">
        <f>IFERROR(IF(Payments[[#This Row],[Invoice '#]]="","",INDEX(Invoices[Customer],MATCH(Payments[[#This Row],[Invoice '#]],Invoices[Invoice '#],0))),"")</f>
        <v/>
      </c>
      <c r="D352" s="15" t="str">
        <f>IFERROR(IF(Payments[[#This Row],[Invoice '#]]="","",INDEX(Invoices[Due Date],MATCH(Payments[[#This Row],[Invoice '#]],Invoices[Invoice '#],0))),"")</f>
        <v/>
      </c>
      <c r="E352" s="40" t="str">
        <f ca="1">IFERROR(IF(Payments[[#This Row],[Invoice '#]]="","",INDEX(Invoices[Amount due],MATCH(Payments[[#This Row],[Invoice '#]],Invoices[Invoice '#],0))-IF(E351=Payments[[#Headers],[Amount Due]],0,SUMIF(INDIRECT("B4:B"&amp;ROW()-1),Payments[[#This Row],[Invoice '#]],Payments[Amount Paid]))),"")</f>
        <v/>
      </c>
      <c r="F352" s="41"/>
      <c r="G352" s="10"/>
      <c r="H352" s="38" t="str">
        <f ca="1">IFERROR(IF(Payments[[#This Row],[Amount Due]]="","",IF(Payments[[#This Row],[Amount Due]]=0,0,Payments[[#This Row],[Amount Due]]-Payments[[#This Row],[Amount Paid]])),"")</f>
        <v/>
      </c>
      <c r="I352" s="2"/>
    </row>
    <row r="353" spans="2:9" ht="14.1" customHeight="1" x14ac:dyDescent="0.2">
      <c r="B353" s="11"/>
      <c r="C353" s="14" t="str">
        <f>IFERROR(IF(Payments[[#This Row],[Invoice '#]]="","",INDEX(Invoices[Customer],MATCH(Payments[[#This Row],[Invoice '#]],Invoices[Invoice '#],0))),"")</f>
        <v/>
      </c>
      <c r="D353" s="15" t="str">
        <f>IFERROR(IF(Payments[[#This Row],[Invoice '#]]="","",INDEX(Invoices[Due Date],MATCH(Payments[[#This Row],[Invoice '#]],Invoices[Invoice '#],0))),"")</f>
        <v/>
      </c>
      <c r="E353" s="40" t="str">
        <f ca="1">IFERROR(IF(Payments[[#This Row],[Invoice '#]]="","",INDEX(Invoices[Amount due],MATCH(Payments[[#This Row],[Invoice '#]],Invoices[Invoice '#],0))-IF(E352=Payments[[#Headers],[Amount Due]],0,SUMIF(INDIRECT("B4:B"&amp;ROW()-1),Payments[[#This Row],[Invoice '#]],Payments[Amount Paid]))),"")</f>
        <v/>
      </c>
      <c r="F353" s="41"/>
      <c r="G353" s="10"/>
      <c r="H353" s="38" t="str">
        <f ca="1">IFERROR(IF(Payments[[#This Row],[Amount Due]]="","",IF(Payments[[#This Row],[Amount Due]]=0,0,Payments[[#This Row],[Amount Due]]-Payments[[#This Row],[Amount Paid]])),"")</f>
        <v/>
      </c>
      <c r="I353" s="2"/>
    </row>
    <row r="354" spans="2:9" ht="14.1" customHeight="1" x14ac:dyDescent="0.2">
      <c r="B354" s="11"/>
      <c r="C354" s="14" t="str">
        <f>IFERROR(IF(Payments[[#This Row],[Invoice '#]]="","",INDEX(Invoices[Customer],MATCH(Payments[[#This Row],[Invoice '#]],Invoices[Invoice '#],0))),"")</f>
        <v/>
      </c>
      <c r="D354" s="15" t="str">
        <f>IFERROR(IF(Payments[[#This Row],[Invoice '#]]="","",INDEX(Invoices[Due Date],MATCH(Payments[[#This Row],[Invoice '#]],Invoices[Invoice '#],0))),"")</f>
        <v/>
      </c>
      <c r="E354" s="40" t="str">
        <f ca="1">IFERROR(IF(Payments[[#This Row],[Invoice '#]]="","",INDEX(Invoices[Amount due],MATCH(Payments[[#This Row],[Invoice '#]],Invoices[Invoice '#],0))-IF(E353=Payments[[#Headers],[Amount Due]],0,SUMIF(INDIRECT("B4:B"&amp;ROW()-1),Payments[[#This Row],[Invoice '#]],Payments[Amount Paid]))),"")</f>
        <v/>
      </c>
      <c r="F354" s="41"/>
      <c r="G354" s="10"/>
      <c r="H354" s="38" t="str">
        <f ca="1">IFERROR(IF(Payments[[#This Row],[Amount Due]]="","",IF(Payments[[#This Row],[Amount Due]]=0,0,Payments[[#This Row],[Amount Due]]-Payments[[#This Row],[Amount Paid]])),"")</f>
        <v/>
      </c>
      <c r="I354" s="2"/>
    </row>
    <row r="355" spans="2:9" ht="14.1" customHeight="1" x14ac:dyDescent="0.2">
      <c r="B355" s="11"/>
      <c r="C355" s="14" t="str">
        <f>IFERROR(IF(Payments[[#This Row],[Invoice '#]]="","",INDEX(Invoices[Customer],MATCH(Payments[[#This Row],[Invoice '#]],Invoices[Invoice '#],0))),"")</f>
        <v/>
      </c>
      <c r="D355" s="15" t="str">
        <f>IFERROR(IF(Payments[[#This Row],[Invoice '#]]="","",INDEX(Invoices[Due Date],MATCH(Payments[[#This Row],[Invoice '#]],Invoices[Invoice '#],0))),"")</f>
        <v/>
      </c>
      <c r="E355" s="40" t="str">
        <f ca="1">IFERROR(IF(Payments[[#This Row],[Invoice '#]]="","",INDEX(Invoices[Amount due],MATCH(Payments[[#This Row],[Invoice '#]],Invoices[Invoice '#],0))-IF(E354=Payments[[#Headers],[Amount Due]],0,SUMIF(INDIRECT("B4:B"&amp;ROW()-1),Payments[[#This Row],[Invoice '#]],Payments[Amount Paid]))),"")</f>
        <v/>
      </c>
      <c r="F355" s="41"/>
      <c r="G355" s="10"/>
      <c r="H355" s="38" t="str">
        <f ca="1">IFERROR(IF(Payments[[#This Row],[Amount Due]]="","",IF(Payments[[#This Row],[Amount Due]]=0,0,Payments[[#This Row],[Amount Due]]-Payments[[#This Row],[Amount Paid]])),"")</f>
        <v/>
      </c>
      <c r="I355" s="2"/>
    </row>
    <row r="356" spans="2:9" ht="14.1" customHeight="1" x14ac:dyDescent="0.2">
      <c r="B356" s="11"/>
      <c r="C356" s="14" t="str">
        <f>IFERROR(IF(Payments[[#This Row],[Invoice '#]]="","",INDEX(Invoices[Customer],MATCH(Payments[[#This Row],[Invoice '#]],Invoices[Invoice '#],0))),"")</f>
        <v/>
      </c>
      <c r="D356" s="15" t="str">
        <f>IFERROR(IF(Payments[[#This Row],[Invoice '#]]="","",INDEX(Invoices[Due Date],MATCH(Payments[[#This Row],[Invoice '#]],Invoices[Invoice '#],0))),"")</f>
        <v/>
      </c>
      <c r="E356" s="40" t="str">
        <f ca="1">IFERROR(IF(Payments[[#This Row],[Invoice '#]]="","",INDEX(Invoices[Amount due],MATCH(Payments[[#This Row],[Invoice '#]],Invoices[Invoice '#],0))-IF(E355=Payments[[#Headers],[Amount Due]],0,SUMIF(INDIRECT("B4:B"&amp;ROW()-1),Payments[[#This Row],[Invoice '#]],Payments[Amount Paid]))),"")</f>
        <v/>
      </c>
      <c r="F356" s="41"/>
      <c r="G356" s="10"/>
      <c r="H356" s="38" t="str">
        <f ca="1">IFERROR(IF(Payments[[#This Row],[Amount Due]]="","",IF(Payments[[#This Row],[Amount Due]]=0,0,Payments[[#This Row],[Amount Due]]-Payments[[#This Row],[Amount Paid]])),"")</f>
        <v/>
      </c>
      <c r="I356" s="2"/>
    </row>
    <row r="357" spans="2:9" ht="14.1" customHeight="1" x14ac:dyDescent="0.2">
      <c r="B357" s="11"/>
      <c r="C357" s="14" t="str">
        <f>IFERROR(IF(Payments[[#This Row],[Invoice '#]]="","",INDEX(Invoices[Customer],MATCH(Payments[[#This Row],[Invoice '#]],Invoices[Invoice '#],0))),"")</f>
        <v/>
      </c>
      <c r="D357" s="15" t="str">
        <f>IFERROR(IF(Payments[[#This Row],[Invoice '#]]="","",INDEX(Invoices[Due Date],MATCH(Payments[[#This Row],[Invoice '#]],Invoices[Invoice '#],0))),"")</f>
        <v/>
      </c>
      <c r="E357" s="40" t="str">
        <f ca="1">IFERROR(IF(Payments[[#This Row],[Invoice '#]]="","",INDEX(Invoices[Amount due],MATCH(Payments[[#This Row],[Invoice '#]],Invoices[Invoice '#],0))-IF(E356=Payments[[#Headers],[Amount Due]],0,SUMIF(INDIRECT("B4:B"&amp;ROW()-1),Payments[[#This Row],[Invoice '#]],Payments[Amount Paid]))),"")</f>
        <v/>
      </c>
      <c r="F357" s="41"/>
      <c r="G357" s="10"/>
      <c r="H357" s="38" t="str">
        <f ca="1">IFERROR(IF(Payments[[#This Row],[Amount Due]]="","",IF(Payments[[#This Row],[Amount Due]]=0,0,Payments[[#This Row],[Amount Due]]-Payments[[#This Row],[Amount Paid]])),"")</f>
        <v/>
      </c>
      <c r="I357" s="2"/>
    </row>
    <row r="358" spans="2:9" ht="14.1" customHeight="1" x14ac:dyDescent="0.2">
      <c r="B358" s="11"/>
      <c r="C358" s="14" t="str">
        <f>IFERROR(IF(Payments[[#This Row],[Invoice '#]]="","",INDEX(Invoices[Customer],MATCH(Payments[[#This Row],[Invoice '#]],Invoices[Invoice '#],0))),"")</f>
        <v/>
      </c>
      <c r="D358" s="15" t="str">
        <f>IFERROR(IF(Payments[[#This Row],[Invoice '#]]="","",INDEX(Invoices[Due Date],MATCH(Payments[[#This Row],[Invoice '#]],Invoices[Invoice '#],0))),"")</f>
        <v/>
      </c>
      <c r="E358" s="40" t="str">
        <f ca="1">IFERROR(IF(Payments[[#This Row],[Invoice '#]]="","",INDEX(Invoices[Amount due],MATCH(Payments[[#This Row],[Invoice '#]],Invoices[Invoice '#],0))-IF(E357=Payments[[#Headers],[Amount Due]],0,SUMIF(INDIRECT("B4:B"&amp;ROW()-1),Payments[[#This Row],[Invoice '#]],Payments[Amount Paid]))),"")</f>
        <v/>
      </c>
      <c r="F358" s="41"/>
      <c r="G358" s="10"/>
      <c r="H358" s="38" t="str">
        <f ca="1">IFERROR(IF(Payments[[#This Row],[Amount Due]]="","",IF(Payments[[#This Row],[Amount Due]]=0,0,Payments[[#This Row],[Amount Due]]-Payments[[#This Row],[Amount Paid]])),"")</f>
        <v/>
      </c>
      <c r="I358" s="2"/>
    </row>
    <row r="359" spans="2:9" ht="14.1" customHeight="1" x14ac:dyDescent="0.2">
      <c r="B359" s="11"/>
      <c r="C359" s="14" t="str">
        <f>IFERROR(IF(Payments[[#This Row],[Invoice '#]]="","",INDEX(Invoices[Customer],MATCH(Payments[[#This Row],[Invoice '#]],Invoices[Invoice '#],0))),"")</f>
        <v/>
      </c>
      <c r="D359" s="15" t="str">
        <f>IFERROR(IF(Payments[[#This Row],[Invoice '#]]="","",INDEX(Invoices[Due Date],MATCH(Payments[[#This Row],[Invoice '#]],Invoices[Invoice '#],0))),"")</f>
        <v/>
      </c>
      <c r="E359" s="40" t="str">
        <f ca="1">IFERROR(IF(Payments[[#This Row],[Invoice '#]]="","",INDEX(Invoices[Amount due],MATCH(Payments[[#This Row],[Invoice '#]],Invoices[Invoice '#],0))-IF(E358=Payments[[#Headers],[Amount Due]],0,SUMIF(INDIRECT("B4:B"&amp;ROW()-1),Payments[[#This Row],[Invoice '#]],Payments[Amount Paid]))),"")</f>
        <v/>
      </c>
      <c r="F359" s="41"/>
      <c r="G359" s="10"/>
      <c r="H359" s="38" t="str">
        <f ca="1">IFERROR(IF(Payments[[#This Row],[Amount Due]]="","",IF(Payments[[#This Row],[Amount Due]]=0,0,Payments[[#This Row],[Amount Due]]-Payments[[#This Row],[Amount Paid]])),"")</f>
        <v/>
      </c>
      <c r="I359" s="2"/>
    </row>
    <row r="360" spans="2:9" ht="14.1" customHeight="1" x14ac:dyDescent="0.2">
      <c r="B360" s="11"/>
      <c r="C360" s="14" t="str">
        <f>IFERROR(IF(Payments[[#This Row],[Invoice '#]]="","",INDEX(Invoices[Customer],MATCH(Payments[[#This Row],[Invoice '#]],Invoices[Invoice '#],0))),"")</f>
        <v/>
      </c>
      <c r="D360" s="15" t="str">
        <f>IFERROR(IF(Payments[[#This Row],[Invoice '#]]="","",INDEX(Invoices[Due Date],MATCH(Payments[[#This Row],[Invoice '#]],Invoices[Invoice '#],0))),"")</f>
        <v/>
      </c>
      <c r="E360" s="40" t="str">
        <f ca="1">IFERROR(IF(Payments[[#This Row],[Invoice '#]]="","",INDEX(Invoices[Amount due],MATCH(Payments[[#This Row],[Invoice '#]],Invoices[Invoice '#],0))-IF(E359=Payments[[#Headers],[Amount Due]],0,SUMIF(INDIRECT("B4:B"&amp;ROW()-1),Payments[[#This Row],[Invoice '#]],Payments[Amount Paid]))),"")</f>
        <v/>
      </c>
      <c r="F360" s="41"/>
      <c r="G360" s="10"/>
      <c r="H360" s="38" t="str">
        <f ca="1">IFERROR(IF(Payments[[#This Row],[Amount Due]]="","",IF(Payments[[#This Row],[Amount Due]]=0,0,Payments[[#This Row],[Amount Due]]-Payments[[#This Row],[Amount Paid]])),"")</f>
        <v/>
      </c>
      <c r="I360" s="2"/>
    </row>
    <row r="361" spans="2:9" ht="14.1" customHeight="1" x14ac:dyDescent="0.2">
      <c r="B361" s="11"/>
      <c r="C361" s="14" t="str">
        <f>IFERROR(IF(Payments[[#This Row],[Invoice '#]]="","",INDEX(Invoices[Customer],MATCH(Payments[[#This Row],[Invoice '#]],Invoices[Invoice '#],0))),"")</f>
        <v/>
      </c>
      <c r="D361" s="15" t="str">
        <f>IFERROR(IF(Payments[[#This Row],[Invoice '#]]="","",INDEX(Invoices[Due Date],MATCH(Payments[[#This Row],[Invoice '#]],Invoices[Invoice '#],0))),"")</f>
        <v/>
      </c>
      <c r="E361" s="40" t="str">
        <f ca="1">IFERROR(IF(Payments[[#This Row],[Invoice '#]]="","",INDEX(Invoices[Amount due],MATCH(Payments[[#This Row],[Invoice '#]],Invoices[Invoice '#],0))-IF(E360=Payments[[#Headers],[Amount Due]],0,SUMIF(INDIRECT("B4:B"&amp;ROW()-1),Payments[[#This Row],[Invoice '#]],Payments[Amount Paid]))),"")</f>
        <v/>
      </c>
      <c r="F361" s="41"/>
      <c r="G361" s="10"/>
      <c r="H361" s="38" t="str">
        <f ca="1">IFERROR(IF(Payments[[#This Row],[Amount Due]]="","",IF(Payments[[#This Row],[Amount Due]]=0,0,Payments[[#This Row],[Amount Due]]-Payments[[#This Row],[Amount Paid]])),"")</f>
        <v/>
      </c>
      <c r="I361" s="2"/>
    </row>
    <row r="362" spans="2:9" ht="14.1" customHeight="1" x14ac:dyDescent="0.2">
      <c r="B362" s="11"/>
      <c r="C362" s="14" t="str">
        <f>IFERROR(IF(Payments[[#This Row],[Invoice '#]]="","",INDEX(Invoices[Customer],MATCH(Payments[[#This Row],[Invoice '#]],Invoices[Invoice '#],0))),"")</f>
        <v/>
      </c>
      <c r="D362" s="15" t="str">
        <f>IFERROR(IF(Payments[[#This Row],[Invoice '#]]="","",INDEX(Invoices[Due Date],MATCH(Payments[[#This Row],[Invoice '#]],Invoices[Invoice '#],0))),"")</f>
        <v/>
      </c>
      <c r="E362" s="40" t="str">
        <f ca="1">IFERROR(IF(Payments[[#This Row],[Invoice '#]]="","",INDEX(Invoices[Amount due],MATCH(Payments[[#This Row],[Invoice '#]],Invoices[Invoice '#],0))-IF(E361=Payments[[#Headers],[Amount Due]],0,SUMIF(INDIRECT("B4:B"&amp;ROW()-1),Payments[[#This Row],[Invoice '#]],Payments[Amount Paid]))),"")</f>
        <v/>
      </c>
      <c r="F362" s="41"/>
      <c r="G362" s="10"/>
      <c r="H362" s="38" t="str">
        <f ca="1">IFERROR(IF(Payments[[#This Row],[Amount Due]]="","",IF(Payments[[#This Row],[Amount Due]]=0,0,Payments[[#This Row],[Amount Due]]-Payments[[#This Row],[Amount Paid]])),"")</f>
        <v/>
      </c>
      <c r="I362" s="2"/>
    </row>
    <row r="363" spans="2:9" ht="14.1" customHeight="1" x14ac:dyDescent="0.2">
      <c r="B363" s="11"/>
      <c r="C363" s="14" t="str">
        <f>IFERROR(IF(Payments[[#This Row],[Invoice '#]]="","",INDEX(Invoices[Customer],MATCH(Payments[[#This Row],[Invoice '#]],Invoices[Invoice '#],0))),"")</f>
        <v/>
      </c>
      <c r="D363" s="15" t="str">
        <f>IFERROR(IF(Payments[[#This Row],[Invoice '#]]="","",INDEX(Invoices[Due Date],MATCH(Payments[[#This Row],[Invoice '#]],Invoices[Invoice '#],0))),"")</f>
        <v/>
      </c>
      <c r="E363" s="40" t="str">
        <f ca="1">IFERROR(IF(Payments[[#This Row],[Invoice '#]]="","",INDEX(Invoices[Amount due],MATCH(Payments[[#This Row],[Invoice '#]],Invoices[Invoice '#],0))-IF(E362=Payments[[#Headers],[Amount Due]],0,SUMIF(INDIRECT("B4:B"&amp;ROW()-1),Payments[[#This Row],[Invoice '#]],Payments[Amount Paid]))),"")</f>
        <v/>
      </c>
      <c r="F363" s="41"/>
      <c r="G363" s="10"/>
      <c r="H363" s="38" t="str">
        <f ca="1">IFERROR(IF(Payments[[#This Row],[Amount Due]]="","",IF(Payments[[#This Row],[Amount Due]]=0,0,Payments[[#This Row],[Amount Due]]-Payments[[#This Row],[Amount Paid]])),"")</f>
        <v/>
      </c>
      <c r="I363" s="2"/>
    </row>
    <row r="364" spans="2:9" ht="14.1" customHeight="1" x14ac:dyDescent="0.2">
      <c r="B364" s="11"/>
      <c r="C364" s="14" t="str">
        <f>IFERROR(IF(Payments[[#This Row],[Invoice '#]]="","",INDEX(Invoices[Customer],MATCH(Payments[[#This Row],[Invoice '#]],Invoices[Invoice '#],0))),"")</f>
        <v/>
      </c>
      <c r="D364" s="15" t="str">
        <f>IFERROR(IF(Payments[[#This Row],[Invoice '#]]="","",INDEX(Invoices[Due Date],MATCH(Payments[[#This Row],[Invoice '#]],Invoices[Invoice '#],0))),"")</f>
        <v/>
      </c>
      <c r="E364" s="40" t="str">
        <f ca="1">IFERROR(IF(Payments[[#This Row],[Invoice '#]]="","",INDEX(Invoices[Amount due],MATCH(Payments[[#This Row],[Invoice '#]],Invoices[Invoice '#],0))-IF(E363=Payments[[#Headers],[Amount Due]],0,SUMIF(INDIRECT("B4:B"&amp;ROW()-1),Payments[[#This Row],[Invoice '#]],Payments[Amount Paid]))),"")</f>
        <v/>
      </c>
      <c r="F364" s="41"/>
      <c r="G364" s="10"/>
      <c r="H364" s="38" t="str">
        <f ca="1">IFERROR(IF(Payments[[#This Row],[Amount Due]]="","",IF(Payments[[#This Row],[Amount Due]]=0,0,Payments[[#This Row],[Amount Due]]-Payments[[#This Row],[Amount Paid]])),"")</f>
        <v/>
      </c>
      <c r="I364" s="2"/>
    </row>
    <row r="365" spans="2:9" ht="14.1" customHeight="1" x14ac:dyDescent="0.2">
      <c r="B365" s="11"/>
      <c r="C365" s="14" t="str">
        <f>IFERROR(IF(Payments[[#This Row],[Invoice '#]]="","",INDEX(Invoices[Customer],MATCH(Payments[[#This Row],[Invoice '#]],Invoices[Invoice '#],0))),"")</f>
        <v/>
      </c>
      <c r="D365" s="15" t="str">
        <f>IFERROR(IF(Payments[[#This Row],[Invoice '#]]="","",INDEX(Invoices[Due Date],MATCH(Payments[[#This Row],[Invoice '#]],Invoices[Invoice '#],0))),"")</f>
        <v/>
      </c>
      <c r="E365" s="40" t="str">
        <f ca="1">IFERROR(IF(Payments[[#This Row],[Invoice '#]]="","",INDEX(Invoices[Amount due],MATCH(Payments[[#This Row],[Invoice '#]],Invoices[Invoice '#],0))-IF(E364=Payments[[#Headers],[Amount Due]],0,SUMIF(INDIRECT("B4:B"&amp;ROW()-1),Payments[[#This Row],[Invoice '#]],Payments[Amount Paid]))),"")</f>
        <v/>
      </c>
      <c r="F365" s="41"/>
      <c r="G365" s="10"/>
      <c r="H365" s="38" t="str">
        <f ca="1">IFERROR(IF(Payments[[#This Row],[Amount Due]]="","",IF(Payments[[#This Row],[Amount Due]]=0,0,Payments[[#This Row],[Amount Due]]-Payments[[#This Row],[Amount Paid]])),"")</f>
        <v/>
      </c>
      <c r="I365" s="2"/>
    </row>
    <row r="366" spans="2:9" ht="14.1" customHeight="1" x14ac:dyDescent="0.2">
      <c r="B366" s="11"/>
      <c r="C366" s="14" t="str">
        <f>IFERROR(IF(Payments[[#This Row],[Invoice '#]]="","",INDEX(Invoices[Customer],MATCH(Payments[[#This Row],[Invoice '#]],Invoices[Invoice '#],0))),"")</f>
        <v/>
      </c>
      <c r="D366" s="15" t="str">
        <f>IFERROR(IF(Payments[[#This Row],[Invoice '#]]="","",INDEX(Invoices[Due Date],MATCH(Payments[[#This Row],[Invoice '#]],Invoices[Invoice '#],0))),"")</f>
        <v/>
      </c>
      <c r="E366" s="40" t="str">
        <f ca="1">IFERROR(IF(Payments[[#This Row],[Invoice '#]]="","",INDEX(Invoices[Amount due],MATCH(Payments[[#This Row],[Invoice '#]],Invoices[Invoice '#],0))-IF(E365=Payments[[#Headers],[Amount Due]],0,SUMIF(INDIRECT("B4:B"&amp;ROW()-1),Payments[[#This Row],[Invoice '#]],Payments[Amount Paid]))),"")</f>
        <v/>
      </c>
      <c r="F366" s="41"/>
      <c r="G366" s="10"/>
      <c r="H366" s="38" t="str">
        <f ca="1">IFERROR(IF(Payments[[#This Row],[Amount Due]]="","",IF(Payments[[#This Row],[Amount Due]]=0,0,Payments[[#This Row],[Amount Due]]-Payments[[#This Row],[Amount Paid]])),"")</f>
        <v/>
      </c>
      <c r="I366" s="2"/>
    </row>
    <row r="367" spans="2:9" ht="14.1" customHeight="1" x14ac:dyDescent="0.2">
      <c r="B367" s="11"/>
      <c r="C367" s="14" t="str">
        <f>IFERROR(IF(Payments[[#This Row],[Invoice '#]]="","",INDEX(Invoices[Customer],MATCH(Payments[[#This Row],[Invoice '#]],Invoices[Invoice '#],0))),"")</f>
        <v/>
      </c>
      <c r="D367" s="15" t="str">
        <f>IFERROR(IF(Payments[[#This Row],[Invoice '#]]="","",INDEX(Invoices[Due Date],MATCH(Payments[[#This Row],[Invoice '#]],Invoices[Invoice '#],0))),"")</f>
        <v/>
      </c>
      <c r="E367" s="40" t="str">
        <f ca="1">IFERROR(IF(Payments[[#This Row],[Invoice '#]]="","",INDEX(Invoices[Amount due],MATCH(Payments[[#This Row],[Invoice '#]],Invoices[Invoice '#],0))-IF(E366=Payments[[#Headers],[Amount Due]],0,SUMIF(INDIRECT("B4:B"&amp;ROW()-1),Payments[[#This Row],[Invoice '#]],Payments[Amount Paid]))),"")</f>
        <v/>
      </c>
      <c r="F367" s="41"/>
      <c r="G367" s="10"/>
      <c r="H367" s="38" t="str">
        <f ca="1">IFERROR(IF(Payments[[#This Row],[Amount Due]]="","",IF(Payments[[#This Row],[Amount Due]]=0,0,Payments[[#This Row],[Amount Due]]-Payments[[#This Row],[Amount Paid]])),"")</f>
        <v/>
      </c>
      <c r="I367" s="2"/>
    </row>
    <row r="368" spans="2:9" ht="14.1" customHeight="1" x14ac:dyDescent="0.2">
      <c r="B368" s="11"/>
      <c r="C368" s="14" t="str">
        <f>IFERROR(IF(Payments[[#This Row],[Invoice '#]]="","",INDEX(Invoices[Customer],MATCH(Payments[[#This Row],[Invoice '#]],Invoices[Invoice '#],0))),"")</f>
        <v/>
      </c>
      <c r="D368" s="15" t="str">
        <f>IFERROR(IF(Payments[[#This Row],[Invoice '#]]="","",INDEX(Invoices[Due Date],MATCH(Payments[[#This Row],[Invoice '#]],Invoices[Invoice '#],0))),"")</f>
        <v/>
      </c>
      <c r="E368" s="40" t="str">
        <f ca="1">IFERROR(IF(Payments[[#This Row],[Invoice '#]]="","",INDEX(Invoices[Amount due],MATCH(Payments[[#This Row],[Invoice '#]],Invoices[Invoice '#],0))-IF(E367=Payments[[#Headers],[Amount Due]],0,SUMIF(INDIRECT("B4:B"&amp;ROW()-1),Payments[[#This Row],[Invoice '#]],Payments[Amount Paid]))),"")</f>
        <v/>
      </c>
      <c r="F368" s="41"/>
      <c r="G368" s="10"/>
      <c r="H368" s="38" t="str">
        <f ca="1">IFERROR(IF(Payments[[#This Row],[Amount Due]]="","",IF(Payments[[#This Row],[Amount Due]]=0,0,Payments[[#This Row],[Amount Due]]-Payments[[#This Row],[Amount Paid]])),"")</f>
        <v/>
      </c>
      <c r="I368" s="2"/>
    </row>
    <row r="369" spans="2:9" ht="14.1" customHeight="1" x14ac:dyDescent="0.2">
      <c r="B369" s="11"/>
      <c r="C369" s="14" t="str">
        <f>IFERROR(IF(Payments[[#This Row],[Invoice '#]]="","",INDEX(Invoices[Customer],MATCH(Payments[[#This Row],[Invoice '#]],Invoices[Invoice '#],0))),"")</f>
        <v/>
      </c>
      <c r="D369" s="15" t="str">
        <f>IFERROR(IF(Payments[[#This Row],[Invoice '#]]="","",INDEX(Invoices[Due Date],MATCH(Payments[[#This Row],[Invoice '#]],Invoices[Invoice '#],0))),"")</f>
        <v/>
      </c>
      <c r="E369" s="40" t="str">
        <f ca="1">IFERROR(IF(Payments[[#This Row],[Invoice '#]]="","",INDEX(Invoices[Amount due],MATCH(Payments[[#This Row],[Invoice '#]],Invoices[Invoice '#],0))-IF(E368=Payments[[#Headers],[Amount Due]],0,SUMIF(INDIRECT("B4:B"&amp;ROW()-1),Payments[[#This Row],[Invoice '#]],Payments[Amount Paid]))),"")</f>
        <v/>
      </c>
      <c r="F369" s="41"/>
      <c r="G369" s="10"/>
      <c r="H369" s="38" t="str">
        <f ca="1">IFERROR(IF(Payments[[#This Row],[Amount Due]]="","",IF(Payments[[#This Row],[Amount Due]]=0,0,Payments[[#This Row],[Amount Due]]-Payments[[#This Row],[Amount Paid]])),"")</f>
        <v/>
      </c>
      <c r="I369" s="2"/>
    </row>
    <row r="370" spans="2:9" ht="14.1" customHeight="1" x14ac:dyDescent="0.2">
      <c r="B370" s="11"/>
      <c r="C370" s="14" t="str">
        <f>IFERROR(IF(Payments[[#This Row],[Invoice '#]]="","",INDEX(Invoices[Customer],MATCH(Payments[[#This Row],[Invoice '#]],Invoices[Invoice '#],0))),"")</f>
        <v/>
      </c>
      <c r="D370" s="15" t="str">
        <f>IFERROR(IF(Payments[[#This Row],[Invoice '#]]="","",INDEX(Invoices[Due Date],MATCH(Payments[[#This Row],[Invoice '#]],Invoices[Invoice '#],0))),"")</f>
        <v/>
      </c>
      <c r="E370" s="40" t="str">
        <f ca="1">IFERROR(IF(Payments[[#This Row],[Invoice '#]]="","",INDEX(Invoices[Amount due],MATCH(Payments[[#This Row],[Invoice '#]],Invoices[Invoice '#],0))-IF(E369=Payments[[#Headers],[Amount Due]],0,SUMIF(INDIRECT("B4:B"&amp;ROW()-1),Payments[[#This Row],[Invoice '#]],Payments[Amount Paid]))),"")</f>
        <v/>
      </c>
      <c r="F370" s="41"/>
      <c r="G370" s="10"/>
      <c r="H370" s="38" t="str">
        <f ca="1">IFERROR(IF(Payments[[#This Row],[Amount Due]]="","",IF(Payments[[#This Row],[Amount Due]]=0,0,Payments[[#This Row],[Amount Due]]-Payments[[#This Row],[Amount Paid]])),"")</f>
        <v/>
      </c>
      <c r="I370" s="2"/>
    </row>
    <row r="371" spans="2:9" ht="14.1" customHeight="1" x14ac:dyDescent="0.2">
      <c r="B371" s="11"/>
      <c r="C371" s="14" t="str">
        <f>IFERROR(IF(Payments[[#This Row],[Invoice '#]]="","",INDEX(Invoices[Customer],MATCH(Payments[[#This Row],[Invoice '#]],Invoices[Invoice '#],0))),"")</f>
        <v/>
      </c>
      <c r="D371" s="15" t="str">
        <f>IFERROR(IF(Payments[[#This Row],[Invoice '#]]="","",INDEX(Invoices[Due Date],MATCH(Payments[[#This Row],[Invoice '#]],Invoices[Invoice '#],0))),"")</f>
        <v/>
      </c>
      <c r="E371" s="40" t="str">
        <f ca="1">IFERROR(IF(Payments[[#This Row],[Invoice '#]]="","",INDEX(Invoices[Amount due],MATCH(Payments[[#This Row],[Invoice '#]],Invoices[Invoice '#],0))-IF(E370=Payments[[#Headers],[Amount Due]],0,SUMIF(INDIRECT("B4:B"&amp;ROW()-1),Payments[[#This Row],[Invoice '#]],Payments[Amount Paid]))),"")</f>
        <v/>
      </c>
      <c r="F371" s="41"/>
      <c r="G371" s="10"/>
      <c r="H371" s="38" t="str">
        <f ca="1">IFERROR(IF(Payments[[#This Row],[Amount Due]]="","",IF(Payments[[#This Row],[Amount Due]]=0,0,Payments[[#This Row],[Amount Due]]-Payments[[#This Row],[Amount Paid]])),"")</f>
        <v/>
      </c>
      <c r="I371" s="2"/>
    </row>
    <row r="372" spans="2:9" ht="14.1" customHeight="1" x14ac:dyDescent="0.2">
      <c r="B372" s="11"/>
      <c r="C372" s="14" t="str">
        <f>IFERROR(IF(Payments[[#This Row],[Invoice '#]]="","",INDEX(Invoices[Customer],MATCH(Payments[[#This Row],[Invoice '#]],Invoices[Invoice '#],0))),"")</f>
        <v/>
      </c>
      <c r="D372" s="15" t="str">
        <f>IFERROR(IF(Payments[[#This Row],[Invoice '#]]="","",INDEX(Invoices[Due Date],MATCH(Payments[[#This Row],[Invoice '#]],Invoices[Invoice '#],0))),"")</f>
        <v/>
      </c>
      <c r="E372" s="40" t="str">
        <f ca="1">IFERROR(IF(Payments[[#This Row],[Invoice '#]]="","",INDEX(Invoices[Amount due],MATCH(Payments[[#This Row],[Invoice '#]],Invoices[Invoice '#],0))-IF(E371=Payments[[#Headers],[Amount Due]],0,SUMIF(INDIRECT("B4:B"&amp;ROW()-1),Payments[[#This Row],[Invoice '#]],Payments[Amount Paid]))),"")</f>
        <v/>
      </c>
      <c r="F372" s="41"/>
      <c r="G372" s="10"/>
      <c r="H372" s="38" t="str">
        <f ca="1">IFERROR(IF(Payments[[#This Row],[Amount Due]]="","",IF(Payments[[#This Row],[Amount Due]]=0,0,Payments[[#This Row],[Amount Due]]-Payments[[#This Row],[Amount Paid]])),"")</f>
        <v/>
      </c>
      <c r="I372" s="2"/>
    </row>
    <row r="373" spans="2:9" ht="14.1" customHeight="1" x14ac:dyDescent="0.2">
      <c r="B373" s="11"/>
      <c r="C373" s="14" t="str">
        <f>IFERROR(IF(Payments[[#This Row],[Invoice '#]]="","",INDEX(Invoices[Customer],MATCH(Payments[[#This Row],[Invoice '#]],Invoices[Invoice '#],0))),"")</f>
        <v/>
      </c>
      <c r="D373" s="15" t="str">
        <f>IFERROR(IF(Payments[[#This Row],[Invoice '#]]="","",INDEX(Invoices[Due Date],MATCH(Payments[[#This Row],[Invoice '#]],Invoices[Invoice '#],0))),"")</f>
        <v/>
      </c>
      <c r="E373" s="40" t="str">
        <f ca="1">IFERROR(IF(Payments[[#This Row],[Invoice '#]]="","",INDEX(Invoices[Amount due],MATCH(Payments[[#This Row],[Invoice '#]],Invoices[Invoice '#],0))-IF(E372=Payments[[#Headers],[Amount Due]],0,SUMIF(INDIRECT("B4:B"&amp;ROW()-1),Payments[[#This Row],[Invoice '#]],Payments[Amount Paid]))),"")</f>
        <v/>
      </c>
      <c r="F373" s="41"/>
      <c r="G373" s="10"/>
      <c r="H373" s="38" t="str">
        <f ca="1">IFERROR(IF(Payments[[#This Row],[Amount Due]]="","",IF(Payments[[#This Row],[Amount Due]]=0,0,Payments[[#This Row],[Amount Due]]-Payments[[#This Row],[Amount Paid]])),"")</f>
        <v/>
      </c>
      <c r="I373" s="2"/>
    </row>
    <row r="374" spans="2:9" ht="14.1" customHeight="1" x14ac:dyDescent="0.2">
      <c r="B374" s="11"/>
      <c r="C374" s="14" t="str">
        <f>IFERROR(IF(Payments[[#This Row],[Invoice '#]]="","",INDEX(Invoices[Customer],MATCH(Payments[[#This Row],[Invoice '#]],Invoices[Invoice '#],0))),"")</f>
        <v/>
      </c>
      <c r="D374" s="15" t="str">
        <f>IFERROR(IF(Payments[[#This Row],[Invoice '#]]="","",INDEX(Invoices[Due Date],MATCH(Payments[[#This Row],[Invoice '#]],Invoices[Invoice '#],0))),"")</f>
        <v/>
      </c>
      <c r="E374" s="40" t="str">
        <f ca="1">IFERROR(IF(Payments[[#This Row],[Invoice '#]]="","",INDEX(Invoices[Amount due],MATCH(Payments[[#This Row],[Invoice '#]],Invoices[Invoice '#],0))-IF(E373=Payments[[#Headers],[Amount Due]],0,SUMIF(INDIRECT("B4:B"&amp;ROW()-1),Payments[[#This Row],[Invoice '#]],Payments[Amount Paid]))),"")</f>
        <v/>
      </c>
      <c r="F374" s="41"/>
      <c r="G374" s="10"/>
      <c r="H374" s="38" t="str">
        <f ca="1">IFERROR(IF(Payments[[#This Row],[Amount Due]]="","",IF(Payments[[#This Row],[Amount Due]]=0,0,Payments[[#This Row],[Amount Due]]-Payments[[#This Row],[Amount Paid]])),"")</f>
        <v/>
      </c>
      <c r="I374" s="2"/>
    </row>
    <row r="375" spans="2:9" ht="14.1" customHeight="1" x14ac:dyDescent="0.2">
      <c r="B375" s="11"/>
      <c r="C375" s="14" t="str">
        <f>IFERROR(IF(Payments[[#This Row],[Invoice '#]]="","",INDEX(Invoices[Customer],MATCH(Payments[[#This Row],[Invoice '#]],Invoices[Invoice '#],0))),"")</f>
        <v/>
      </c>
      <c r="D375" s="15" t="str">
        <f>IFERROR(IF(Payments[[#This Row],[Invoice '#]]="","",INDEX(Invoices[Due Date],MATCH(Payments[[#This Row],[Invoice '#]],Invoices[Invoice '#],0))),"")</f>
        <v/>
      </c>
      <c r="E375" s="40" t="str">
        <f ca="1">IFERROR(IF(Payments[[#This Row],[Invoice '#]]="","",INDEX(Invoices[Amount due],MATCH(Payments[[#This Row],[Invoice '#]],Invoices[Invoice '#],0))-IF(E374=Payments[[#Headers],[Amount Due]],0,SUMIF(INDIRECT("B4:B"&amp;ROW()-1),Payments[[#This Row],[Invoice '#]],Payments[Amount Paid]))),"")</f>
        <v/>
      </c>
      <c r="F375" s="41"/>
      <c r="G375" s="10"/>
      <c r="H375" s="38" t="str">
        <f ca="1">IFERROR(IF(Payments[[#This Row],[Amount Due]]="","",IF(Payments[[#This Row],[Amount Due]]=0,0,Payments[[#This Row],[Amount Due]]-Payments[[#This Row],[Amount Paid]])),"")</f>
        <v/>
      </c>
      <c r="I375" s="2"/>
    </row>
    <row r="376" spans="2:9" ht="14.1" customHeight="1" x14ac:dyDescent="0.2">
      <c r="B376" s="11"/>
      <c r="C376" s="14" t="str">
        <f>IFERROR(IF(Payments[[#This Row],[Invoice '#]]="","",INDEX(Invoices[Customer],MATCH(Payments[[#This Row],[Invoice '#]],Invoices[Invoice '#],0))),"")</f>
        <v/>
      </c>
      <c r="D376" s="15" t="str">
        <f>IFERROR(IF(Payments[[#This Row],[Invoice '#]]="","",INDEX(Invoices[Due Date],MATCH(Payments[[#This Row],[Invoice '#]],Invoices[Invoice '#],0))),"")</f>
        <v/>
      </c>
      <c r="E376" s="40" t="str">
        <f ca="1">IFERROR(IF(Payments[[#This Row],[Invoice '#]]="","",INDEX(Invoices[Amount due],MATCH(Payments[[#This Row],[Invoice '#]],Invoices[Invoice '#],0))-IF(E375=Payments[[#Headers],[Amount Due]],0,SUMIF(INDIRECT("B4:B"&amp;ROW()-1),Payments[[#This Row],[Invoice '#]],Payments[Amount Paid]))),"")</f>
        <v/>
      </c>
      <c r="F376" s="41"/>
      <c r="G376" s="10"/>
      <c r="H376" s="38" t="str">
        <f ca="1">IFERROR(IF(Payments[[#This Row],[Amount Due]]="","",IF(Payments[[#This Row],[Amount Due]]=0,0,Payments[[#This Row],[Amount Due]]-Payments[[#This Row],[Amount Paid]])),"")</f>
        <v/>
      </c>
      <c r="I376" s="2"/>
    </row>
    <row r="377" spans="2:9" ht="14.1" customHeight="1" x14ac:dyDescent="0.2">
      <c r="B377" s="11"/>
      <c r="C377" s="14" t="str">
        <f>IFERROR(IF(Payments[[#This Row],[Invoice '#]]="","",INDEX(Invoices[Customer],MATCH(Payments[[#This Row],[Invoice '#]],Invoices[Invoice '#],0))),"")</f>
        <v/>
      </c>
      <c r="D377" s="15" t="str">
        <f>IFERROR(IF(Payments[[#This Row],[Invoice '#]]="","",INDEX(Invoices[Due Date],MATCH(Payments[[#This Row],[Invoice '#]],Invoices[Invoice '#],0))),"")</f>
        <v/>
      </c>
      <c r="E377" s="40" t="str">
        <f ca="1">IFERROR(IF(Payments[[#This Row],[Invoice '#]]="","",INDEX(Invoices[Amount due],MATCH(Payments[[#This Row],[Invoice '#]],Invoices[Invoice '#],0))-IF(E376=Payments[[#Headers],[Amount Due]],0,SUMIF(INDIRECT("B4:B"&amp;ROW()-1),Payments[[#This Row],[Invoice '#]],Payments[Amount Paid]))),"")</f>
        <v/>
      </c>
      <c r="F377" s="41"/>
      <c r="G377" s="10"/>
      <c r="H377" s="38" t="str">
        <f ca="1">IFERROR(IF(Payments[[#This Row],[Amount Due]]="","",IF(Payments[[#This Row],[Amount Due]]=0,0,Payments[[#This Row],[Amount Due]]-Payments[[#This Row],[Amount Paid]])),"")</f>
        <v/>
      </c>
      <c r="I377" s="2"/>
    </row>
    <row r="378" spans="2:9" ht="14.1" customHeight="1" x14ac:dyDescent="0.2">
      <c r="B378" s="11"/>
      <c r="C378" s="14" t="str">
        <f>IFERROR(IF(Payments[[#This Row],[Invoice '#]]="","",INDEX(Invoices[Customer],MATCH(Payments[[#This Row],[Invoice '#]],Invoices[Invoice '#],0))),"")</f>
        <v/>
      </c>
      <c r="D378" s="15" t="str">
        <f>IFERROR(IF(Payments[[#This Row],[Invoice '#]]="","",INDEX(Invoices[Due Date],MATCH(Payments[[#This Row],[Invoice '#]],Invoices[Invoice '#],0))),"")</f>
        <v/>
      </c>
      <c r="E378" s="40" t="str">
        <f ca="1">IFERROR(IF(Payments[[#This Row],[Invoice '#]]="","",INDEX(Invoices[Amount due],MATCH(Payments[[#This Row],[Invoice '#]],Invoices[Invoice '#],0))-IF(E377=Payments[[#Headers],[Amount Due]],0,SUMIF(INDIRECT("B4:B"&amp;ROW()-1),Payments[[#This Row],[Invoice '#]],Payments[Amount Paid]))),"")</f>
        <v/>
      </c>
      <c r="F378" s="41"/>
      <c r="G378" s="10"/>
      <c r="H378" s="38" t="str">
        <f ca="1">IFERROR(IF(Payments[[#This Row],[Amount Due]]="","",IF(Payments[[#This Row],[Amount Due]]=0,0,Payments[[#This Row],[Amount Due]]-Payments[[#This Row],[Amount Paid]])),"")</f>
        <v/>
      </c>
      <c r="I378" s="2"/>
    </row>
    <row r="379" spans="2:9" ht="14.1" customHeight="1" x14ac:dyDescent="0.2">
      <c r="B379" s="11"/>
      <c r="C379" s="14" t="str">
        <f>IFERROR(IF(Payments[[#This Row],[Invoice '#]]="","",INDEX(Invoices[Customer],MATCH(Payments[[#This Row],[Invoice '#]],Invoices[Invoice '#],0))),"")</f>
        <v/>
      </c>
      <c r="D379" s="15" t="str">
        <f>IFERROR(IF(Payments[[#This Row],[Invoice '#]]="","",INDEX(Invoices[Due Date],MATCH(Payments[[#This Row],[Invoice '#]],Invoices[Invoice '#],0))),"")</f>
        <v/>
      </c>
      <c r="E379" s="40" t="str">
        <f ca="1">IFERROR(IF(Payments[[#This Row],[Invoice '#]]="","",INDEX(Invoices[Amount due],MATCH(Payments[[#This Row],[Invoice '#]],Invoices[Invoice '#],0))-IF(E378=Payments[[#Headers],[Amount Due]],0,SUMIF(INDIRECT("B4:B"&amp;ROW()-1),Payments[[#This Row],[Invoice '#]],Payments[Amount Paid]))),"")</f>
        <v/>
      </c>
      <c r="F379" s="41"/>
      <c r="G379" s="10"/>
      <c r="H379" s="38" t="str">
        <f ca="1">IFERROR(IF(Payments[[#This Row],[Amount Due]]="","",IF(Payments[[#This Row],[Amount Due]]=0,0,Payments[[#This Row],[Amount Due]]-Payments[[#This Row],[Amount Paid]])),"")</f>
        <v/>
      </c>
      <c r="I379" s="2"/>
    </row>
    <row r="380" spans="2:9" ht="14.1" customHeight="1" x14ac:dyDescent="0.2">
      <c r="B380" s="11"/>
      <c r="C380" s="14" t="str">
        <f>IFERROR(IF(Payments[[#This Row],[Invoice '#]]="","",INDEX(Invoices[Customer],MATCH(Payments[[#This Row],[Invoice '#]],Invoices[Invoice '#],0))),"")</f>
        <v/>
      </c>
      <c r="D380" s="15" t="str">
        <f>IFERROR(IF(Payments[[#This Row],[Invoice '#]]="","",INDEX(Invoices[Due Date],MATCH(Payments[[#This Row],[Invoice '#]],Invoices[Invoice '#],0))),"")</f>
        <v/>
      </c>
      <c r="E380" s="40" t="str">
        <f ca="1">IFERROR(IF(Payments[[#This Row],[Invoice '#]]="","",INDEX(Invoices[Amount due],MATCH(Payments[[#This Row],[Invoice '#]],Invoices[Invoice '#],0))-IF(E379=Payments[[#Headers],[Amount Due]],0,SUMIF(INDIRECT("B4:B"&amp;ROW()-1),Payments[[#This Row],[Invoice '#]],Payments[Amount Paid]))),"")</f>
        <v/>
      </c>
      <c r="F380" s="41"/>
      <c r="G380" s="10"/>
      <c r="H380" s="38" t="str">
        <f ca="1">IFERROR(IF(Payments[[#This Row],[Amount Due]]="","",IF(Payments[[#This Row],[Amount Due]]=0,0,Payments[[#This Row],[Amount Due]]-Payments[[#This Row],[Amount Paid]])),"")</f>
        <v/>
      </c>
      <c r="I380" s="2"/>
    </row>
    <row r="381" spans="2:9" ht="14.1" customHeight="1" x14ac:dyDescent="0.2">
      <c r="B381" s="11"/>
      <c r="C381" s="14" t="str">
        <f>IFERROR(IF(Payments[[#This Row],[Invoice '#]]="","",INDEX(Invoices[Customer],MATCH(Payments[[#This Row],[Invoice '#]],Invoices[Invoice '#],0))),"")</f>
        <v/>
      </c>
      <c r="D381" s="15" t="str">
        <f>IFERROR(IF(Payments[[#This Row],[Invoice '#]]="","",INDEX(Invoices[Due Date],MATCH(Payments[[#This Row],[Invoice '#]],Invoices[Invoice '#],0))),"")</f>
        <v/>
      </c>
      <c r="E381" s="40" t="str">
        <f ca="1">IFERROR(IF(Payments[[#This Row],[Invoice '#]]="","",INDEX(Invoices[Amount due],MATCH(Payments[[#This Row],[Invoice '#]],Invoices[Invoice '#],0))-IF(E380=Payments[[#Headers],[Amount Due]],0,SUMIF(INDIRECT("B4:B"&amp;ROW()-1),Payments[[#This Row],[Invoice '#]],Payments[Amount Paid]))),"")</f>
        <v/>
      </c>
      <c r="F381" s="41"/>
      <c r="G381" s="10"/>
      <c r="H381" s="38" t="str">
        <f ca="1">IFERROR(IF(Payments[[#This Row],[Amount Due]]="","",IF(Payments[[#This Row],[Amount Due]]=0,0,Payments[[#This Row],[Amount Due]]-Payments[[#This Row],[Amount Paid]])),"")</f>
        <v/>
      </c>
      <c r="I381" s="2"/>
    </row>
    <row r="382" spans="2:9" ht="14.1" customHeight="1" x14ac:dyDescent="0.2">
      <c r="B382" s="11"/>
      <c r="C382" s="14" t="str">
        <f>IFERROR(IF(Payments[[#This Row],[Invoice '#]]="","",INDEX(Invoices[Customer],MATCH(Payments[[#This Row],[Invoice '#]],Invoices[Invoice '#],0))),"")</f>
        <v/>
      </c>
      <c r="D382" s="15" t="str">
        <f>IFERROR(IF(Payments[[#This Row],[Invoice '#]]="","",INDEX(Invoices[Due Date],MATCH(Payments[[#This Row],[Invoice '#]],Invoices[Invoice '#],0))),"")</f>
        <v/>
      </c>
      <c r="E382" s="40" t="str">
        <f ca="1">IFERROR(IF(Payments[[#This Row],[Invoice '#]]="","",INDEX(Invoices[Amount due],MATCH(Payments[[#This Row],[Invoice '#]],Invoices[Invoice '#],0))-IF(E381=Payments[[#Headers],[Amount Due]],0,SUMIF(INDIRECT("B4:B"&amp;ROW()-1),Payments[[#This Row],[Invoice '#]],Payments[Amount Paid]))),"")</f>
        <v/>
      </c>
      <c r="F382" s="41"/>
      <c r="G382" s="10"/>
      <c r="H382" s="38" t="str">
        <f ca="1">IFERROR(IF(Payments[[#This Row],[Amount Due]]="","",IF(Payments[[#This Row],[Amount Due]]=0,0,Payments[[#This Row],[Amount Due]]-Payments[[#This Row],[Amount Paid]])),"")</f>
        <v/>
      </c>
      <c r="I382" s="2"/>
    </row>
    <row r="383" spans="2:9" ht="14.1" customHeight="1" x14ac:dyDescent="0.2">
      <c r="B383" s="11"/>
      <c r="C383" s="14" t="str">
        <f>IFERROR(IF(Payments[[#This Row],[Invoice '#]]="","",INDEX(Invoices[Customer],MATCH(Payments[[#This Row],[Invoice '#]],Invoices[Invoice '#],0))),"")</f>
        <v/>
      </c>
      <c r="D383" s="15" t="str">
        <f>IFERROR(IF(Payments[[#This Row],[Invoice '#]]="","",INDEX(Invoices[Due Date],MATCH(Payments[[#This Row],[Invoice '#]],Invoices[Invoice '#],0))),"")</f>
        <v/>
      </c>
      <c r="E383" s="40" t="str">
        <f ca="1">IFERROR(IF(Payments[[#This Row],[Invoice '#]]="","",INDEX(Invoices[Amount due],MATCH(Payments[[#This Row],[Invoice '#]],Invoices[Invoice '#],0))-IF(E382=Payments[[#Headers],[Amount Due]],0,SUMIF(INDIRECT("B4:B"&amp;ROW()-1),Payments[[#This Row],[Invoice '#]],Payments[Amount Paid]))),"")</f>
        <v/>
      </c>
      <c r="F383" s="41"/>
      <c r="G383" s="10"/>
      <c r="H383" s="38" t="str">
        <f ca="1">IFERROR(IF(Payments[[#This Row],[Amount Due]]="","",IF(Payments[[#This Row],[Amount Due]]=0,0,Payments[[#This Row],[Amount Due]]-Payments[[#This Row],[Amount Paid]])),"")</f>
        <v/>
      </c>
      <c r="I383" s="2"/>
    </row>
    <row r="384" spans="2:9" ht="14.1" customHeight="1" x14ac:dyDescent="0.2">
      <c r="B384" s="11"/>
      <c r="C384" s="14" t="str">
        <f>IFERROR(IF(Payments[[#This Row],[Invoice '#]]="","",INDEX(Invoices[Customer],MATCH(Payments[[#This Row],[Invoice '#]],Invoices[Invoice '#],0))),"")</f>
        <v/>
      </c>
      <c r="D384" s="15" t="str">
        <f>IFERROR(IF(Payments[[#This Row],[Invoice '#]]="","",INDEX(Invoices[Due Date],MATCH(Payments[[#This Row],[Invoice '#]],Invoices[Invoice '#],0))),"")</f>
        <v/>
      </c>
      <c r="E384" s="40" t="str">
        <f ca="1">IFERROR(IF(Payments[[#This Row],[Invoice '#]]="","",INDEX(Invoices[Amount due],MATCH(Payments[[#This Row],[Invoice '#]],Invoices[Invoice '#],0))-IF(E383=Payments[[#Headers],[Amount Due]],0,SUMIF(INDIRECT("B4:B"&amp;ROW()-1),Payments[[#This Row],[Invoice '#]],Payments[Amount Paid]))),"")</f>
        <v/>
      </c>
      <c r="F384" s="41"/>
      <c r="G384" s="10"/>
      <c r="H384" s="38" t="str">
        <f ca="1">IFERROR(IF(Payments[[#This Row],[Amount Due]]="","",IF(Payments[[#This Row],[Amount Due]]=0,0,Payments[[#This Row],[Amount Due]]-Payments[[#This Row],[Amount Paid]])),"")</f>
        <v/>
      </c>
      <c r="I384" s="2"/>
    </row>
    <row r="385" spans="2:9" ht="14.1" customHeight="1" x14ac:dyDescent="0.2">
      <c r="B385" s="11"/>
      <c r="C385" s="14" t="str">
        <f>IFERROR(IF(Payments[[#This Row],[Invoice '#]]="","",INDEX(Invoices[Customer],MATCH(Payments[[#This Row],[Invoice '#]],Invoices[Invoice '#],0))),"")</f>
        <v/>
      </c>
      <c r="D385" s="15" t="str">
        <f>IFERROR(IF(Payments[[#This Row],[Invoice '#]]="","",INDEX(Invoices[Due Date],MATCH(Payments[[#This Row],[Invoice '#]],Invoices[Invoice '#],0))),"")</f>
        <v/>
      </c>
      <c r="E385" s="40" t="str">
        <f ca="1">IFERROR(IF(Payments[[#This Row],[Invoice '#]]="","",INDEX(Invoices[Amount due],MATCH(Payments[[#This Row],[Invoice '#]],Invoices[Invoice '#],0))-IF(E384=Payments[[#Headers],[Amount Due]],0,SUMIF(INDIRECT("B4:B"&amp;ROW()-1),Payments[[#This Row],[Invoice '#]],Payments[Amount Paid]))),"")</f>
        <v/>
      </c>
      <c r="F385" s="41"/>
      <c r="G385" s="10"/>
      <c r="H385" s="38" t="str">
        <f ca="1">IFERROR(IF(Payments[[#This Row],[Amount Due]]="","",IF(Payments[[#This Row],[Amount Due]]=0,0,Payments[[#This Row],[Amount Due]]-Payments[[#This Row],[Amount Paid]])),"")</f>
        <v/>
      </c>
      <c r="I385" s="2"/>
    </row>
    <row r="386" spans="2:9" ht="14.1" customHeight="1" x14ac:dyDescent="0.2">
      <c r="B386" s="11"/>
      <c r="C386" s="14" t="str">
        <f>IFERROR(IF(Payments[[#This Row],[Invoice '#]]="","",INDEX(Invoices[Customer],MATCH(Payments[[#This Row],[Invoice '#]],Invoices[Invoice '#],0))),"")</f>
        <v/>
      </c>
      <c r="D386" s="15" t="str">
        <f>IFERROR(IF(Payments[[#This Row],[Invoice '#]]="","",INDEX(Invoices[Due Date],MATCH(Payments[[#This Row],[Invoice '#]],Invoices[Invoice '#],0))),"")</f>
        <v/>
      </c>
      <c r="E386" s="40" t="str">
        <f ca="1">IFERROR(IF(Payments[[#This Row],[Invoice '#]]="","",INDEX(Invoices[Amount due],MATCH(Payments[[#This Row],[Invoice '#]],Invoices[Invoice '#],0))-IF(E385=Payments[[#Headers],[Amount Due]],0,SUMIF(INDIRECT("B4:B"&amp;ROW()-1),Payments[[#This Row],[Invoice '#]],Payments[Amount Paid]))),"")</f>
        <v/>
      </c>
      <c r="F386" s="41"/>
      <c r="G386" s="10"/>
      <c r="H386" s="38" t="str">
        <f ca="1">IFERROR(IF(Payments[[#This Row],[Amount Due]]="","",IF(Payments[[#This Row],[Amount Due]]=0,0,Payments[[#This Row],[Amount Due]]-Payments[[#This Row],[Amount Paid]])),"")</f>
        <v/>
      </c>
      <c r="I386" s="2"/>
    </row>
    <row r="387" spans="2:9" ht="14.1" customHeight="1" x14ac:dyDescent="0.2">
      <c r="B387" s="11"/>
      <c r="C387" s="14" t="str">
        <f>IFERROR(IF(Payments[[#This Row],[Invoice '#]]="","",INDEX(Invoices[Customer],MATCH(Payments[[#This Row],[Invoice '#]],Invoices[Invoice '#],0))),"")</f>
        <v/>
      </c>
      <c r="D387" s="15" t="str">
        <f>IFERROR(IF(Payments[[#This Row],[Invoice '#]]="","",INDEX(Invoices[Due Date],MATCH(Payments[[#This Row],[Invoice '#]],Invoices[Invoice '#],0))),"")</f>
        <v/>
      </c>
      <c r="E387" s="40" t="str">
        <f ca="1">IFERROR(IF(Payments[[#This Row],[Invoice '#]]="","",INDEX(Invoices[Amount due],MATCH(Payments[[#This Row],[Invoice '#]],Invoices[Invoice '#],0))-IF(E386=Payments[[#Headers],[Amount Due]],0,SUMIF(INDIRECT("B4:B"&amp;ROW()-1),Payments[[#This Row],[Invoice '#]],Payments[Amount Paid]))),"")</f>
        <v/>
      </c>
      <c r="F387" s="41"/>
      <c r="G387" s="10"/>
      <c r="H387" s="38" t="str">
        <f ca="1">IFERROR(IF(Payments[[#This Row],[Amount Due]]="","",IF(Payments[[#This Row],[Amount Due]]=0,0,Payments[[#This Row],[Amount Due]]-Payments[[#This Row],[Amount Paid]])),"")</f>
        <v/>
      </c>
      <c r="I387" s="2"/>
    </row>
    <row r="388" spans="2:9" ht="14.1" customHeight="1" x14ac:dyDescent="0.2">
      <c r="B388" s="11"/>
      <c r="C388" s="14" t="str">
        <f>IFERROR(IF(Payments[[#This Row],[Invoice '#]]="","",INDEX(Invoices[Customer],MATCH(Payments[[#This Row],[Invoice '#]],Invoices[Invoice '#],0))),"")</f>
        <v/>
      </c>
      <c r="D388" s="15" t="str">
        <f>IFERROR(IF(Payments[[#This Row],[Invoice '#]]="","",INDEX(Invoices[Due Date],MATCH(Payments[[#This Row],[Invoice '#]],Invoices[Invoice '#],0))),"")</f>
        <v/>
      </c>
      <c r="E388" s="40" t="str">
        <f ca="1">IFERROR(IF(Payments[[#This Row],[Invoice '#]]="","",INDEX(Invoices[Amount due],MATCH(Payments[[#This Row],[Invoice '#]],Invoices[Invoice '#],0))-IF(E387=Payments[[#Headers],[Amount Due]],0,SUMIF(INDIRECT("B4:B"&amp;ROW()-1),Payments[[#This Row],[Invoice '#]],Payments[Amount Paid]))),"")</f>
        <v/>
      </c>
      <c r="F388" s="41"/>
      <c r="G388" s="10"/>
      <c r="H388" s="38" t="str">
        <f ca="1">IFERROR(IF(Payments[[#This Row],[Amount Due]]="","",IF(Payments[[#This Row],[Amount Due]]=0,0,Payments[[#This Row],[Amount Due]]-Payments[[#This Row],[Amount Paid]])),"")</f>
        <v/>
      </c>
      <c r="I388" s="2"/>
    </row>
    <row r="389" spans="2:9" ht="14.1" customHeight="1" x14ac:dyDescent="0.2">
      <c r="B389" s="11"/>
      <c r="C389" s="14" t="str">
        <f>IFERROR(IF(Payments[[#This Row],[Invoice '#]]="","",INDEX(Invoices[Customer],MATCH(Payments[[#This Row],[Invoice '#]],Invoices[Invoice '#],0))),"")</f>
        <v/>
      </c>
      <c r="D389" s="15" t="str">
        <f>IFERROR(IF(Payments[[#This Row],[Invoice '#]]="","",INDEX(Invoices[Due Date],MATCH(Payments[[#This Row],[Invoice '#]],Invoices[Invoice '#],0))),"")</f>
        <v/>
      </c>
      <c r="E389" s="40" t="str">
        <f ca="1">IFERROR(IF(Payments[[#This Row],[Invoice '#]]="","",INDEX(Invoices[Amount due],MATCH(Payments[[#This Row],[Invoice '#]],Invoices[Invoice '#],0))-IF(E388=Payments[[#Headers],[Amount Due]],0,SUMIF(INDIRECT("B4:B"&amp;ROW()-1),Payments[[#This Row],[Invoice '#]],Payments[Amount Paid]))),"")</f>
        <v/>
      </c>
      <c r="F389" s="41"/>
      <c r="G389" s="10"/>
      <c r="H389" s="38" t="str">
        <f ca="1">IFERROR(IF(Payments[[#This Row],[Amount Due]]="","",IF(Payments[[#This Row],[Amount Due]]=0,0,Payments[[#This Row],[Amount Due]]-Payments[[#This Row],[Amount Paid]])),"")</f>
        <v/>
      </c>
      <c r="I389" s="2"/>
    </row>
    <row r="390" spans="2:9" ht="14.1" customHeight="1" x14ac:dyDescent="0.2">
      <c r="B390" s="11"/>
      <c r="C390" s="14" t="str">
        <f>IFERROR(IF(Payments[[#This Row],[Invoice '#]]="","",INDEX(Invoices[Customer],MATCH(Payments[[#This Row],[Invoice '#]],Invoices[Invoice '#],0))),"")</f>
        <v/>
      </c>
      <c r="D390" s="15" t="str">
        <f>IFERROR(IF(Payments[[#This Row],[Invoice '#]]="","",INDEX(Invoices[Due Date],MATCH(Payments[[#This Row],[Invoice '#]],Invoices[Invoice '#],0))),"")</f>
        <v/>
      </c>
      <c r="E390" s="40" t="str">
        <f ca="1">IFERROR(IF(Payments[[#This Row],[Invoice '#]]="","",INDEX(Invoices[Amount due],MATCH(Payments[[#This Row],[Invoice '#]],Invoices[Invoice '#],0))-IF(E389=Payments[[#Headers],[Amount Due]],0,SUMIF(INDIRECT("B4:B"&amp;ROW()-1),Payments[[#This Row],[Invoice '#]],Payments[Amount Paid]))),"")</f>
        <v/>
      </c>
      <c r="F390" s="41"/>
      <c r="G390" s="10"/>
      <c r="H390" s="38" t="str">
        <f ca="1">IFERROR(IF(Payments[[#This Row],[Amount Due]]="","",IF(Payments[[#This Row],[Amount Due]]=0,0,Payments[[#This Row],[Amount Due]]-Payments[[#This Row],[Amount Paid]])),"")</f>
        <v/>
      </c>
      <c r="I390" s="2"/>
    </row>
    <row r="391" spans="2:9" ht="14.1" customHeight="1" x14ac:dyDescent="0.2">
      <c r="B391" s="11"/>
      <c r="C391" s="14" t="str">
        <f>IFERROR(IF(Payments[[#This Row],[Invoice '#]]="","",INDEX(Invoices[Customer],MATCH(Payments[[#This Row],[Invoice '#]],Invoices[Invoice '#],0))),"")</f>
        <v/>
      </c>
      <c r="D391" s="15" t="str">
        <f>IFERROR(IF(Payments[[#This Row],[Invoice '#]]="","",INDEX(Invoices[Due Date],MATCH(Payments[[#This Row],[Invoice '#]],Invoices[Invoice '#],0))),"")</f>
        <v/>
      </c>
      <c r="E391" s="40" t="str">
        <f ca="1">IFERROR(IF(Payments[[#This Row],[Invoice '#]]="","",INDEX(Invoices[Amount due],MATCH(Payments[[#This Row],[Invoice '#]],Invoices[Invoice '#],0))-IF(E390=Payments[[#Headers],[Amount Due]],0,SUMIF(INDIRECT("B4:B"&amp;ROW()-1),Payments[[#This Row],[Invoice '#]],Payments[Amount Paid]))),"")</f>
        <v/>
      </c>
      <c r="F391" s="41"/>
      <c r="G391" s="10"/>
      <c r="H391" s="38" t="str">
        <f ca="1">IFERROR(IF(Payments[[#This Row],[Amount Due]]="","",IF(Payments[[#This Row],[Amount Due]]=0,0,Payments[[#This Row],[Amount Due]]-Payments[[#This Row],[Amount Paid]])),"")</f>
        <v/>
      </c>
      <c r="I391" s="2"/>
    </row>
    <row r="392" spans="2:9" ht="14.1" customHeight="1" x14ac:dyDescent="0.2">
      <c r="B392" s="11"/>
      <c r="C392" s="14" t="str">
        <f>IFERROR(IF(Payments[[#This Row],[Invoice '#]]="","",INDEX(Invoices[Customer],MATCH(Payments[[#This Row],[Invoice '#]],Invoices[Invoice '#],0))),"")</f>
        <v/>
      </c>
      <c r="D392" s="15" t="str">
        <f>IFERROR(IF(Payments[[#This Row],[Invoice '#]]="","",INDEX(Invoices[Due Date],MATCH(Payments[[#This Row],[Invoice '#]],Invoices[Invoice '#],0))),"")</f>
        <v/>
      </c>
      <c r="E392" s="40" t="str">
        <f ca="1">IFERROR(IF(Payments[[#This Row],[Invoice '#]]="","",INDEX(Invoices[Amount due],MATCH(Payments[[#This Row],[Invoice '#]],Invoices[Invoice '#],0))-IF(E391=Payments[[#Headers],[Amount Due]],0,SUMIF(INDIRECT("B4:B"&amp;ROW()-1),Payments[[#This Row],[Invoice '#]],Payments[Amount Paid]))),"")</f>
        <v/>
      </c>
      <c r="F392" s="41"/>
      <c r="G392" s="10"/>
      <c r="H392" s="38" t="str">
        <f ca="1">IFERROR(IF(Payments[[#This Row],[Amount Due]]="","",IF(Payments[[#This Row],[Amount Due]]=0,0,Payments[[#This Row],[Amount Due]]-Payments[[#This Row],[Amount Paid]])),"")</f>
        <v/>
      </c>
      <c r="I392" s="2"/>
    </row>
    <row r="393" spans="2:9" ht="14.1" customHeight="1" x14ac:dyDescent="0.2">
      <c r="B393" s="11"/>
      <c r="C393" s="14" t="str">
        <f>IFERROR(IF(Payments[[#This Row],[Invoice '#]]="","",INDEX(Invoices[Customer],MATCH(Payments[[#This Row],[Invoice '#]],Invoices[Invoice '#],0))),"")</f>
        <v/>
      </c>
      <c r="D393" s="15" t="str">
        <f>IFERROR(IF(Payments[[#This Row],[Invoice '#]]="","",INDEX(Invoices[Due Date],MATCH(Payments[[#This Row],[Invoice '#]],Invoices[Invoice '#],0))),"")</f>
        <v/>
      </c>
      <c r="E393" s="40" t="str">
        <f ca="1">IFERROR(IF(Payments[[#This Row],[Invoice '#]]="","",INDEX(Invoices[Amount due],MATCH(Payments[[#This Row],[Invoice '#]],Invoices[Invoice '#],0))-IF(E392=Payments[[#Headers],[Amount Due]],0,SUMIF(INDIRECT("B4:B"&amp;ROW()-1),Payments[[#This Row],[Invoice '#]],Payments[Amount Paid]))),"")</f>
        <v/>
      </c>
      <c r="F393" s="41"/>
      <c r="G393" s="10"/>
      <c r="H393" s="38" t="str">
        <f ca="1">IFERROR(IF(Payments[[#This Row],[Amount Due]]="","",IF(Payments[[#This Row],[Amount Due]]=0,0,Payments[[#This Row],[Amount Due]]-Payments[[#This Row],[Amount Paid]])),"")</f>
        <v/>
      </c>
      <c r="I393" s="2"/>
    </row>
    <row r="394" spans="2:9" ht="14.1" customHeight="1" x14ac:dyDescent="0.2">
      <c r="B394" s="11"/>
      <c r="C394" s="14" t="str">
        <f>IFERROR(IF(Payments[[#This Row],[Invoice '#]]="","",INDEX(Invoices[Customer],MATCH(Payments[[#This Row],[Invoice '#]],Invoices[Invoice '#],0))),"")</f>
        <v/>
      </c>
      <c r="D394" s="15" t="str">
        <f>IFERROR(IF(Payments[[#This Row],[Invoice '#]]="","",INDEX(Invoices[Due Date],MATCH(Payments[[#This Row],[Invoice '#]],Invoices[Invoice '#],0))),"")</f>
        <v/>
      </c>
      <c r="E394" s="40" t="str">
        <f ca="1">IFERROR(IF(Payments[[#This Row],[Invoice '#]]="","",INDEX(Invoices[Amount due],MATCH(Payments[[#This Row],[Invoice '#]],Invoices[Invoice '#],0))-IF(E393=Payments[[#Headers],[Amount Due]],0,SUMIF(INDIRECT("B4:B"&amp;ROW()-1),Payments[[#This Row],[Invoice '#]],Payments[Amount Paid]))),"")</f>
        <v/>
      </c>
      <c r="F394" s="41"/>
      <c r="G394" s="10"/>
      <c r="H394" s="38" t="str">
        <f ca="1">IFERROR(IF(Payments[[#This Row],[Amount Due]]="","",IF(Payments[[#This Row],[Amount Due]]=0,0,Payments[[#This Row],[Amount Due]]-Payments[[#This Row],[Amount Paid]])),"")</f>
        <v/>
      </c>
      <c r="I394" s="2"/>
    </row>
    <row r="395" spans="2:9" ht="14.1" customHeight="1" x14ac:dyDescent="0.2">
      <c r="B395" s="11"/>
      <c r="C395" s="14" t="str">
        <f>IFERROR(IF(Payments[[#This Row],[Invoice '#]]="","",INDEX(Invoices[Customer],MATCH(Payments[[#This Row],[Invoice '#]],Invoices[Invoice '#],0))),"")</f>
        <v/>
      </c>
      <c r="D395" s="15" t="str">
        <f>IFERROR(IF(Payments[[#This Row],[Invoice '#]]="","",INDEX(Invoices[Due Date],MATCH(Payments[[#This Row],[Invoice '#]],Invoices[Invoice '#],0))),"")</f>
        <v/>
      </c>
      <c r="E395" s="40" t="str">
        <f ca="1">IFERROR(IF(Payments[[#This Row],[Invoice '#]]="","",INDEX(Invoices[Amount due],MATCH(Payments[[#This Row],[Invoice '#]],Invoices[Invoice '#],0))-IF(E394=Payments[[#Headers],[Amount Due]],0,SUMIF(INDIRECT("B4:B"&amp;ROW()-1),Payments[[#This Row],[Invoice '#]],Payments[Amount Paid]))),"")</f>
        <v/>
      </c>
      <c r="F395" s="41"/>
      <c r="G395" s="10"/>
      <c r="H395" s="38" t="str">
        <f ca="1">IFERROR(IF(Payments[[#This Row],[Amount Due]]="","",IF(Payments[[#This Row],[Amount Due]]=0,0,Payments[[#This Row],[Amount Due]]-Payments[[#This Row],[Amount Paid]])),"")</f>
        <v/>
      </c>
      <c r="I395" s="2"/>
    </row>
    <row r="396" spans="2:9" ht="14.1" customHeight="1" x14ac:dyDescent="0.2">
      <c r="B396" s="11"/>
      <c r="C396" s="14" t="str">
        <f>IFERROR(IF(Payments[[#This Row],[Invoice '#]]="","",INDEX(Invoices[Customer],MATCH(Payments[[#This Row],[Invoice '#]],Invoices[Invoice '#],0))),"")</f>
        <v/>
      </c>
      <c r="D396" s="15" t="str">
        <f>IFERROR(IF(Payments[[#This Row],[Invoice '#]]="","",INDEX(Invoices[Due Date],MATCH(Payments[[#This Row],[Invoice '#]],Invoices[Invoice '#],0))),"")</f>
        <v/>
      </c>
      <c r="E396" s="40" t="str">
        <f ca="1">IFERROR(IF(Payments[[#This Row],[Invoice '#]]="","",INDEX(Invoices[Amount due],MATCH(Payments[[#This Row],[Invoice '#]],Invoices[Invoice '#],0))-IF(E395=Payments[[#Headers],[Amount Due]],0,SUMIF(INDIRECT("B4:B"&amp;ROW()-1),Payments[[#This Row],[Invoice '#]],Payments[Amount Paid]))),"")</f>
        <v/>
      </c>
      <c r="F396" s="41"/>
      <c r="G396" s="10"/>
      <c r="H396" s="38" t="str">
        <f ca="1">IFERROR(IF(Payments[[#This Row],[Amount Due]]="","",IF(Payments[[#This Row],[Amount Due]]=0,0,Payments[[#This Row],[Amount Due]]-Payments[[#This Row],[Amount Paid]])),"")</f>
        <v/>
      </c>
      <c r="I396" s="2"/>
    </row>
    <row r="397" spans="2:9" ht="14.1" customHeight="1" x14ac:dyDescent="0.2">
      <c r="B397" s="11"/>
      <c r="C397" s="14" t="str">
        <f>IFERROR(IF(Payments[[#This Row],[Invoice '#]]="","",INDEX(Invoices[Customer],MATCH(Payments[[#This Row],[Invoice '#]],Invoices[Invoice '#],0))),"")</f>
        <v/>
      </c>
      <c r="D397" s="15" t="str">
        <f>IFERROR(IF(Payments[[#This Row],[Invoice '#]]="","",INDEX(Invoices[Due Date],MATCH(Payments[[#This Row],[Invoice '#]],Invoices[Invoice '#],0))),"")</f>
        <v/>
      </c>
      <c r="E397" s="40" t="str">
        <f ca="1">IFERROR(IF(Payments[[#This Row],[Invoice '#]]="","",INDEX(Invoices[Amount due],MATCH(Payments[[#This Row],[Invoice '#]],Invoices[Invoice '#],0))-IF(E396=Payments[[#Headers],[Amount Due]],0,SUMIF(INDIRECT("B4:B"&amp;ROW()-1),Payments[[#This Row],[Invoice '#]],Payments[Amount Paid]))),"")</f>
        <v/>
      </c>
      <c r="F397" s="41"/>
      <c r="G397" s="10"/>
      <c r="H397" s="38" t="str">
        <f ca="1">IFERROR(IF(Payments[[#This Row],[Amount Due]]="","",IF(Payments[[#This Row],[Amount Due]]=0,0,Payments[[#This Row],[Amount Due]]-Payments[[#This Row],[Amount Paid]])),"")</f>
        <v/>
      </c>
      <c r="I397" s="2"/>
    </row>
    <row r="398" spans="2:9" ht="14.1" customHeight="1" x14ac:dyDescent="0.2">
      <c r="B398" s="11"/>
      <c r="C398" s="14" t="str">
        <f>IFERROR(IF(Payments[[#This Row],[Invoice '#]]="","",INDEX(Invoices[Customer],MATCH(Payments[[#This Row],[Invoice '#]],Invoices[Invoice '#],0))),"")</f>
        <v/>
      </c>
      <c r="D398" s="15" t="str">
        <f>IFERROR(IF(Payments[[#This Row],[Invoice '#]]="","",INDEX(Invoices[Due Date],MATCH(Payments[[#This Row],[Invoice '#]],Invoices[Invoice '#],0))),"")</f>
        <v/>
      </c>
      <c r="E398" s="40" t="str">
        <f ca="1">IFERROR(IF(Payments[[#This Row],[Invoice '#]]="","",INDEX(Invoices[Amount due],MATCH(Payments[[#This Row],[Invoice '#]],Invoices[Invoice '#],0))-IF(E397=Payments[[#Headers],[Amount Due]],0,SUMIF(INDIRECT("B4:B"&amp;ROW()-1),Payments[[#This Row],[Invoice '#]],Payments[Amount Paid]))),"")</f>
        <v/>
      </c>
      <c r="F398" s="41"/>
      <c r="G398" s="10"/>
      <c r="H398" s="38" t="str">
        <f ca="1">IFERROR(IF(Payments[[#This Row],[Amount Due]]="","",IF(Payments[[#This Row],[Amount Due]]=0,0,Payments[[#This Row],[Amount Due]]-Payments[[#This Row],[Amount Paid]])),"")</f>
        <v/>
      </c>
      <c r="I398" s="2"/>
    </row>
    <row r="399" spans="2:9" ht="14.1" customHeight="1" x14ac:dyDescent="0.2">
      <c r="B399" s="11"/>
      <c r="C399" s="14" t="str">
        <f>IFERROR(IF(Payments[[#This Row],[Invoice '#]]="","",INDEX(Invoices[Customer],MATCH(Payments[[#This Row],[Invoice '#]],Invoices[Invoice '#],0))),"")</f>
        <v/>
      </c>
      <c r="D399" s="15" t="str">
        <f>IFERROR(IF(Payments[[#This Row],[Invoice '#]]="","",INDEX(Invoices[Due Date],MATCH(Payments[[#This Row],[Invoice '#]],Invoices[Invoice '#],0))),"")</f>
        <v/>
      </c>
      <c r="E399" s="40" t="str">
        <f ca="1">IFERROR(IF(Payments[[#This Row],[Invoice '#]]="","",INDEX(Invoices[Amount due],MATCH(Payments[[#This Row],[Invoice '#]],Invoices[Invoice '#],0))-IF(E398=Payments[[#Headers],[Amount Due]],0,SUMIF(INDIRECT("B4:B"&amp;ROW()-1),Payments[[#This Row],[Invoice '#]],Payments[Amount Paid]))),"")</f>
        <v/>
      </c>
      <c r="F399" s="41"/>
      <c r="G399" s="10"/>
      <c r="H399" s="38" t="str">
        <f ca="1">IFERROR(IF(Payments[[#This Row],[Amount Due]]="","",IF(Payments[[#This Row],[Amount Due]]=0,0,Payments[[#This Row],[Amount Due]]-Payments[[#This Row],[Amount Paid]])),"")</f>
        <v/>
      </c>
      <c r="I399" s="2"/>
    </row>
    <row r="400" spans="2:9" ht="14.1" customHeight="1" x14ac:dyDescent="0.2">
      <c r="B400" s="11"/>
      <c r="C400" s="14" t="str">
        <f>IFERROR(IF(Payments[[#This Row],[Invoice '#]]="","",INDEX(Invoices[Customer],MATCH(Payments[[#This Row],[Invoice '#]],Invoices[Invoice '#],0))),"")</f>
        <v/>
      </c>
      <c r="D400" s="15" t="str">
        <f>IFERROR(IF(Payments[[#This Row],[Invoice '#]]="","",INDEX(Invoices[Due Date],MATCH(Payments[[#This Row],[Invoice '#]],Invoices[Invoice '#],0))),"")</f>
        <v/>
      </c>
      <c r="E400" s="40" t="str">
        <f ca="1">IFERROR(IF(Payments[[#This Row],[Invoice '#]]="","",INDEX(Invoices[Amount due],MATCH(Payments[[#This Row],[Invoice '#]],Invoices[Invoice '#],0))-IF(E399=Payments[[#Headers],[Amount Due]],0,SUMIF(INDIRECT("B4:B"&amp;ROW()-1),Payments[[#This Row],[Invoice '#]],Payments[Amount Paid]))),"")</f>
        <v/>
      </c>
      <c r="F400" s="41"/>
      <c r="G400" s="10"/>
      <c r="H400" s="38" t="str">
        <f ca="1">IFERROR(IF(Payments[[#This Row],[Amount Due]]="","",IF(Payments[[#This Row],[Amount Due]]=0,0,Payments[[#This Row],[Amount Due]]-Payments[[#This Row],[Amount Paid]])),"")</f>
        <v/>
      </c>
      <c r="I400" s="2"/>
    </row>
    <row r="401" spans="2:9" ht="14.1" customHeight="1" x14ac:dyDescent="0.2">
      <c r="B401" s="11"/>
      <c r="C401" s="14" t="str">
        <f>IFERROR(IF(Payments[[#This Row],[Invoice '#]]="","",INDEX(Invoices[Customer],MATCH(Payments[[#This Row],[Invoice '#]],Invoices[Invoice '#],0))),"")</f>
        <v/>
      </c>
      <c r="D401" s="15" t="str">
        <f>IFERROR(IF(Payments[[#This Row],[Invoice '#]]="","",INDEX(Invoices[Due Date],MATCH(Payments[[#This Row],[Invoice '#]],Invoices[Invoice '#],0))),"")</f>
        <v/>
      </c>
      <c r="E401" s="40" t="str">
        <f ca="1">IFERROR(IF(Payments[[#This Row],[Invoice '#]]="","",INDEX(Invoices[Amount due],MATCH(Payments[[#This Row],[Invoice '#]],Invoices[Invoice '#],0))-IF(E400=Payments[[#Headers],[Amount Due]],0,SUMIF(INDIRECT("B4:B"&amp;ROW()-1),Payments[[#This Row],[Invoice '#]],Payments[Amount Paid]))),"")</f>
        <v/>
      </c>
      <c r="F401" s="41"/>
      <c r="G401" s="10"/>
      <c r="H401" s="38" t="str">
        <f ca="1">IFERROR(IF(Payments[[#This Row],[Amount Due]]="","",IF(Payments[[#This Row],[Amount Due]]=0,0,Payments[[#This Row],[Amount Due]]-Payments[[#This Row],[Amount Paid]])),"")</f>
        <v/>
      </c>
      <c r="I401" s="2"/>
    </row>
    <row r="402" spans="2:9" ht="14.1" customHeight="1" x14ac:dyDescent="0.2">
      <c r="B402" s="11"/>
      <c r="C402" s="14" t="str">
        <f>IFERROR(IF(Payments[[#This Row],[Invoice '#]]="","",INDEX(Invoices[Customer],MATCH(Payments[[#This Row],[Invoice '#]],Invoices[Invoice '#],0))),"")</f>
        <v/>
      </c>
      <c r="D402" s="15" t="str">
        <f>IFERROR(IF(Payments[[#This Row],[Invoice '#]]="","",INDEX(Invoices[Due Date],MATCH(Payments[[#This Row],[Invoice '#]],Invoices[Invoice '#],0))),"")</f>
        <v/>
      </c>
      <c r="E402" s="40" t="str">
        <f ca="1">IFERROR(IF(Payments[[#This Row],[Invoice '#]]="","",INDEX(Invoices[Amount due],MATCH(Payments[[#This Row],[Invoice '#]],Invoices[Invoice '#],0))-IF(E401=Payments[[#Headers],[Amount Due]],0,SUMIF(INDIRECT("B4:B"&amp;ROW()-1),Payments[[#This Row],[Invoice '#]],Payments[Amount Paid]))),"")</f>
        <v/>
      </c>
      <c r="F402" s="41"/>
      <c r="G402" s="10"/>
      <c r="H402" s="38" t="str">
        <f ca="1">IFERROR(IF(Payments[[#This Row],[Amount Due]]="","",IF(Payments[[#This Row],[Amount Due]]=0,0,Payments[[#This Row],[Amount Due]]-Payments[[#This Row],[Amount Paid]])),"")</f>
        <v/>
      </c>
      <c r="I402" s="2"/>
    </row>
    <row r="403" spans="2:9" ht="14.1" customHeight="1" x14ac:dyDescent="0.2">
      <c r="B403" s="11"/>
      <c r="C403" s="14" t="str">
        <f>IFERROR(IF(Payments[[#This Row],[Invoice '#]]="","",INDEX(Invoices[Customer],MATCH(Payments[[#This Row],[Invoice '#]],Invoices[Invoice '#],0))),"")</f>
        <v/>
      </c>
      <c r="D403" s="15" t="str">
        <f>IFERROR(IF(Payments[[#This Row],[Invoice '#]]="","",INDEX(Invoices[Due Date],MATCH(Payments[[#This Row],[Invoice '#]],Invoices[Invoice '#],0))),"")</f>
        <v/>
      </c>
      <c r="E403" s="40" t="str">
        <f ca="1">IFERROR(IF(Payments[[#This Row],[Invoice '#]]="","",INDEX(Invoices[Amount due],MATCH(Payments[[#This Row],[Invoice '#]],Invoices[Invoice '#],0))-IF(E402=Payments[[#Headers],[Amount Due]],0,SUMIF(INDIRECT("B4:B"&amp;ROW()-1),Payments[[#This Row],[Invoice '#]],Payments[Amount Paid]))),"")</f>
        <v/>
      </c>
      <c r="F403" s="41"/>
      <c r="G403" s="10"/>
      <c r="H403" s="38" t="str">
        <f ca="1">IFERROR(IF(Payments[[#This Row],[Amount Due]]="","",IF(Payments[[#This Row],[Amount Due]]=0,0,Payments[[#This Row],[Amount Due]]-Payments[[#This Row],[Amount Paid]])),"")</f>
        <v/>
      </c>
      <c r="I403" s="2"/>
    </row>
    <row r="404" spans="2:9" ht="14.1" customHeight="1" x14ac:dyDescent="0.2">
      <c r="B404" s="11"/>
      <c r="C404" s="14" t="str">
        <f>IFERROR(IF(Payments[[#This Row],[Invoice '#]]="","",INDEX(Invoices[Customer],MATCH(Payments[[#This Row],[Invoice '#]],Invoices[Invoice '#],0))),"")</f>
        <v/>
      </c>
      <c r="D404" s="15" t="str">
        <f>IFERROR(IF(Payments[[#This Row],[Invoice '#]]="","",INDEX(Invoices[Due Date],MATCH(Payments[[#This Row],[Invoice '#]],Invoices[Invoice '#],0))),"")</f>
        <v/>
      </c>
      <c r="E404" s="40" t="str">
        <f ca="1">IFERROR(IF(Payments[[#This Row],[Invoice '#]]="","",INDEX(Invoices[Amount due],MATCH(Payments[[#This Row],[Invoice '#]],Invoices[Invoice '#],0))-IF(E403=Payments[[#Headers],[Amount Due]],0,SUMIF(INDIRECT("B4:B"&amp;ROW()-1),Payments[[#This Row],[Invoice '#]],Payments[Amount Paid]))),"")</f>
        <v/>
      </c>
      <c r="F404" s="41"/>
      <c r="G404" s="10"/>
      <c r="H404" s="38" t="str">
        <f ca="1">IFERROR(IF(Payments[[#This Row],[Amount Due]]="","",IF(Payments[[#This Row],[Amount Due]]=0,0,Payments[[#This Row],[Amount Due]]-Payments[[#This Row],[Amount Paid]])),"")</f>
        <v/>
      </c>
      <c r="I404" s="2"/>
    </row>
    <row r="405" spans="2:9" ht="14.1" customHeight="1" x14ac:dyDescent="0.2">
      <c r="B405" s="11"/>
      <c r="C405" s="14" t="str">
        <f>IFERROR(IF(Payments[[#This Row],[Invoice '#]]="","",INDEX(Invoices[Customer],MATCH(Payments[[#This Row],[Invoice '#]],Invoices[Invoice '#],0))),"")</f>
        <v/>
      </c>
      <c r="D405" s="15" t="str">
        <f>IFERROR(IF(Payments[[#This Row],[Invoice '#]]="","",INDEX(Invoices[Due Date],MATCH(Payments[[#This Row],[Invoice '#]],Invoices[Invoice '#],0))),"")</f>
        <v/>
      </c>
      <c r="E405" s="40" t="str">
        <f ca="1">IFERROR(IF(Payments[[#This Row],[Invoice '#]]="","",INDEX(Invoices[Amount due],MATCH(Payments[[#This Row],[Invoice '#]],Invoices[Invoice '#],0))-IF(E404=Payments[[#Headers],[Amount Due]],0,SUMIF(INDIRECT("B4:B"&amp;ROW()-1),Payments[[#This Row],[Invoice '#]],Payments[Amount Paid]))),"")</f>
        <v/>
      </c>
      <c r="F405" s="41"/>
      <c r="G405" s="10"/>
      <c r="H405" s="38" t="str">
        <f ca="1">IFERROR(IF(Payments[[#This Row],[Amount Due]]="","",IF(Payments[[#This Row],[Amount Due]]=0,0,Payments[[#This Row],[Amount Due]]-Payments[[#This Row],[Amount Paid]])),"")</f>
        <v/>
      </c>
      <c r="I405" s="2"/>
    </row>
    <row r="406" spans="2:9" ht="14.1" customHeight="1" x14ac:dyDescent="0.2">
      <c r="B406" s="11"/>
      <c r="C406" s="14" t="str">
        <f>IFERROR(IF(Payments[[#This Row],[Invoice '#]]="","",INDEX(Invoices[Customer],MATCH(Payments[[#This Row],[Invoice '#]],Invoices[Invoice '#],0))),"")</f>
        <v/>
      </c>
      <c r="D406" s="15" t="str">
        <f>IFERROR(IF(Payments[[#This Row],[Invoice '#]]="","",INDEX(Invoices[Due Date],MATCH(Payments[[#This Row],[Invoice '#]],Invoices[Invoice '#],0))),"")</f>
        <v/>
      </c>
      <c r="E406" s="40" t="str">
        <f ca="1">IFERROR(IF(Payments[[#This Row],[Invoice '#]]="","",INDEX(Invoices[Amount due],MATCH(Payments[[#This Row],[Invoice '#]],Invoices[Invoice '#],0))-IF(E405=Payments[[#Headers],[Amount Due]],0,SUMIF(INDIRECT("B4:B"&amp;ROW()-1),Payments[[#This Row],[Invoice '#]],Payments[Amount Paid]))),"")</f>
        <v/>
      </c>
      <c r="F406" s="41"/>
      <c r="G406" s="10"/>
      <c r="H406" s="38" t="str">
        <f ca="1">IFERROR(IF(Payments[[#This Row],[Amount Due]]="","",IF(Payments[[#This Row],[Amount Due]]=0,0,Payments[[#This Row],[Amount Due]]-Payments[[#This Row],[Amount Paid]])),"")</f>
        <v/>
      </c>
      <c r="I406" s="2"/>
    </row>
    <row r="407" spans="2:9" ht="14.1" customHeight="1" x14ac:dyDescent="0.2">
      <c r="B407" s="11"/>
      <c r="C407" s="14" t="str">
        <f>IFERROR(IF(Payments[[#This Row],[Invoice '#]]="","",INDEX(Invoices[Customer],MATCH(Payments[[#This Row],[Invoice '#]],Invoices[Invoice '#],0))),"")</f>
        <v/>
      </c>
      <c r="D407" s="15" t="str">
        <f>IFERROR(IF(Payments[[#This Row],[Invoice '#]]="","",INDEX(Invoices[Due Date],MATCH(Payments[[#This Row],[Invoice '#]],Invoices[Invoice '#],0))),"")</f>
        <v/>
      </c>
      <c r="E407" s="40" t="str">
        <f ca="1">IFERROR(IF(Payments[[#This Row],[Invoice '#]]="","",INDEX(Invoices[Amount due],MATCH(Payments[[#This Row],[Invoice '#]],Invoices[Invoice '#],0))-IF(E406=Payments[[#Headers],[Amount Due]],0,SUMIF(INDIRECT("B4:B"&amp;ROW()-1),Payments[[#This Row],[Invoice '#]],Payments[Amount Paid]))),"")</f>
        <v/>
      </c>
      <c r="F407" s="41"/>
      <c r="G407" s="10"/>
      <c r="H407" s="38" t="str">
        <f ca="1">IFERROR(IF(Payments[[#This Row],[Amount Due]]="","",IF(Payments[[#This Row],[Amount Due]]=0,0,Payments[[#This Row],[Amount Due]]-Payments[[#This Row],[Amount Paid]])),"")</f>
        <v/>
      </c>
      <c r="I407" s="2"/>
    </row>
    <row r="408" spans="2:9" ht="14.1" customHeight="1" x14ac:dyDescent="0.2">
      <c r="B408" s="11"/>
      <c r="C408" s="14" t="str">
        <f>IFERROR(IF(Payments[[#This Row],[Invoice '#]]="","",INDEX(Invoices[Customer],MATCH(Payments[[#This Row],[Invoice '#]],Invoices[Invoice '#],0))),"")</f>
        <v/>
      </c>
      <c r="D408" s="15" t="str">
        <f>IFERROR(IF(Payments[[#This Row],[Invoice '#]]="","",INDEX(Invoices[Due Date],MATCH(Payments[[#This Row],[Invoice '#]],Invoices[Invoice '#],0))),"")</f>
        <v/>
      </c>
      <c r="E408" s="40" t="str">
        <f ca="1">IFERROR(IF(Payments[[#This Row],[Invoice '#]]="","",INDEX(Invoices[Amount due],MATCH(Payments[[#This Row],[Invoice '#]],Invoices[Invoice '#],0))-IF(E407=Payments[[#Headers],[Amount Due]],0,SUMIF(INDIRECT("B4:B"&amp;ROW()-1),Payments[[#This Row],[Invoice '#]],Payments[Amount Paid]))),"")</f>
        <v/>
      </c>
      <c r="F408" s="41"/>
      <c r="G408" s="10"/>
      <c r="H408" s="38" t="str">
        <f ca="1">IFERROR(IF(Payments[[#This Row],[Amount Due]]="","",IF(Payments[[#This Row],[Amount Due]]=0,0,Payments[[#This Row],[Amount Due]]-Payments[[#This Row],[Amount Paid]])),"")</f>
        <v/>
      </c>
      <c r="I408" s="2"/>
    </row>
    <row r="409" spans="2:9" ht="14.1" customHeight="1" x14ac:dyDescent="0.2">
      <c r="B409" s="11"/>
      <c r="C409" s="14" t="str">
        <f>IFERROR(IF(Payments[[#This Row],[Invoice '#]]="","",INDEX(Invoices[Customer],MATCH(Payments[[#This Row],[Invoice '#]],Invoices[Invoice '#],0))),"")</f>
        <v/>
      </c>
      <c r="D409" s="15" t="str">
        <f>IFERROR(IF(Payments[[#This Row],[Invoice '#]]="","",INDEX(Invoices[Due Date],MATCH(Payments[[#This Row],[Invoice '#]],Invoices[Invoice '#],0))),"")</f>
        <v/>
      </c>
      <c r="E409" s="40" t="str">
        <f ca="1">IFERROR(IF(Payments[[#This Row],[Invoice '#]]="","",INDEX(Invoices[Amount due],MATCH(Payments[[#This Row],[Invoice '#]],Invoices[Invoice '#],0))-IF(E408=Payments[[#Headers],[Amount Due]],0,SUMIF(INDIRECT("B4:B"&amp;ROW()-1),Payments[[#This Row],[Invoice '#]],Payments[Amount Paid]))),"")</f>
        <v/>
      </c>
      <c r="F409" s="41"/>
      <c r="G409" s="10"/>
      <c r="H409" s="38" t="str">
        <f ca="1">IFERROR(IF(Payments[[#This Row],[Amount Due]]="","",IF(Payments[[#This Row],[Amount Due]]=0,0,Payments[[#This Row],[Amount Due]]-Payments[[#This Row],[Amount Paid]])),"")</f>
        <v/>
      </c>
      <c r="I409" s="2"/>
    </row>
    <row r="410" spans="2:9" ht="14.1" customHeight="1" x14ac:dyDescent="0.2">
      <c r="B410" s="11"/>
      <c r="C410" s="14" t="str">
        <f>IFERROR(IF(Payments[[#This Row],[Invoice '#]]="","",INDEX(Invoices[Customer],MATCH(Payments[[#This Row],[Invoice '#]],Invoices[Invoice '#],0))),"")</f>
        <v/>
      </c>
      <c r="D410" s="15" t="str">
        <f>IFERROR(IF(Payments[[#This Row],[Invoice '#]]="","",INDEX(Invoices[Due Date],MATCH(Payments[[#This Row],[Invoice '#]],Invoices[Invoice '#],0))),"")</f>
        <v/>
      </c>
      <c r="E410" s="40" t="str">
        <f ca="1">IFERROR(IF(Payments[[#This Row],[Invoice '#]]="","",INDEX(Invoices[Amount due],MATCH(Payments[[#This Row],[Invoice '#]],Invoices[Invoice '#],0))-IF(E409=Payments[[#Headers],[Amount Due]],0,SUMIF(INDIRECT("B4:B"&amp;ROW()-1),Payments[[#This Row],[Invoice '#]],Payments[Amount Paid]))),"")</f>
        <v/>
      </c>
      <c r="F410" s="41"/>
      <c r="G410" s="10"/>
      <c r="H410" s="38" t="str">
        <f ca="1">IFERROR(IF(Payments[[#This Row],[Amount Due]]="","",IF(Payments[[#This Row],[Amount Due]]=0,0,Payments[[#This Row],[Amount Due]]-Payments[[#This Row],[Amount Paid]])),"")</f>
        <v/>
      </c>
      <c r="I410" s="2"/>
    </row>
    <row r="411" spans="2:9" ht="14.1" customHeight="1" x14ac:dyDescent="0.2">
      <c r="B411" s="11"/>
      <c r="C411" s="14" t="str">
        <f>IFERROR(IF(Payments[[#This Row],[Invoice '#]]="","",INDEX(Invoices[Customer],MATCH(Payments[[#This Row],[Invoice '#]],Invoices[Invoice '#],0))),"")</f>
        <v/>
      </c>
      <c r="D411" s="15" t="str">
        <f>IFERROR(IF(Payments[[#This Row],[Invoice '#]]="","",INDEX(Invoices[Due Date],MATCH(Payments[[#This Row],[Invoice '#]],Invoices[Invoice '#],0))),"")</f>
        <v/>
      </c>
      <c r="E411" s="40" t="str">
        <f ca="1">IFERROR(IF(Payments[[#This Row],[Invoice '#]]="","",INDEX(Invoices[Amount due],MATCH(Payments[[#This Row],[Invoice '#]],Invoices[Invoice '#],0))-IF(E410=Payments[[#Headers],[Amount Due]],0,SUMIF(INDIRECT("B4:B"&amp;ROW()-1),Payments[[#This Row],[Invoice '#]],Payments[Amount Paid]))),"")</f>
        <v/>
      </c>
      <c r="F411" s="41"/>
      <c r="G411" s="10"/>
      <c r="H411" s="38" t="str">
        <f ca="1">IFERROR(IF(Payments[[#This Row],[Amount Due]]="","",IF(Payments[[#This Row],[Amount Due]]=0,0,Payments[[#This Row],[Amount Due]]-Payments[[#This Row],[Amount Paid]])),"")</f>
        <v/>
      </c>
      <c r="I411" s="2"/>
    </row>
    <row r="412" spans="2:9" ht="14.1" customHeight="1" x14ac:dyDescent="0.2">
      <c r="B412" s="11"/>
      <c r="C412" s="14" t="str">
        <f>IFERROR(IF(Payments[[#This Row],[Invoice '#]]="","",INDEX(Invoices[Customer],MATCH(Payments[[#This Row],[Invoice '#]],Invoices[Invoice '#],0))),"")</f>
        <v/>
      </c>
      <c r="D412" s="15" t="str">
        <f>IFERROR(IF(Payments[[#This Row],[Invoice '#]]="","",INDEX(Invoices[Due Date],MATCH(Payments[[#This Row],[Invoice '#]],Invoices[Invoice '#],0))),"")</f>
        <v/>
      </c>
      <c r="E412" s="40" t="str">
        <f ca="1">IFERROR(IF(Payments[[#This Row],[Invoice '#]]="","",INDEX(Invoices[Amount due],MATCH(Payments[[#This Row],[Invoice '#]],Invoices[Invoice '#],0))-IF(E411=Payments[[#Headers],[Amount Due]],0,SUMIF(INDIRECT("B4:B"&amp;ROW()-1),Payments[[#This Row],[Invoice '#]],Payments[Amount Paid]))),"")</f>
        <v/>
      </c>
      <c r="F412" s="41"/>
      <c r="G412" s="10"/>
      <c r="H412" s="38" t="str">
        <f ca="1">IFERROR(IF(Payments[[#This Row],[Amount Due]]="","",IF(Payments[[#This Row],[Amount Due]]=0,0,Payments[[#This Row],[Amount Due]]-Payments[[#This Row],[Amount Paid]])),"")</f>
        <v/>
      </c>
      <c r="I412" s="2"/>
    </row>
    <row r="413" spans="2:9" ht="14.1" customHeight="1" x14ac:dyDescent="0.2">
      <c r="B413" s="11"/>
      <c r="C413" s="14" t="str">
        <f>IFERROR(IF(Payments[[#This Row],[Invoice '#]]="","",INDEX(Invoices[Customer],MATCH(Payments[[#This Row],[Invoice '#]],Invoices[Invoice '#],0))),"")</f>
        <v/>
      </c>
      <c r="D413" s="15" t="str">
        <f>IFERROR(IF(Payments[[#This Row],[Invoice '#]]="","",INDEX(Invoices[Due Date],MATCH(Payments[[#This Row],[Invoice '#]],Invoices[Invoice '#],0))),"")</f>
        <v/>
      </c>
      <c r="E413" s="40" t="str">
        <f ca="1">IFERROR(IF(Payments[[#This Row],[Invoice '#]]="","",INDEX(Invoices[Amount due],MATCH(Payments[[#This Row],[Invoice '#]],Invoices[Invoice '#],0))-IF(E412=Payments[[#Headers],[Amount Due]],0,SUMIF(INDIRECT("B4:B"&amp;ROW()-1),Payments[[#This Row],[Invoice '#]],Payments[Amount Paid]))),"")</f>
        <v/>
      </c>
      <c r="F413" s="41"/>
      <c r="G413" s="10"/>
      <c r="H413" s="38" t="str">
        <f ca="1">IFERROR(IF(Payments[[#This Row],[Amount Due]]="","",IF(Payments[[#This Row],[Amount Due]]=0,0,Payments[[#This Row],[Amount Due]]-Payments[[#This Row],[Amount Paid]])),"")</f>
        <v/>
      </c>
      <c r="I413" s="2"/>
    </row>
    <row r="414" spans="2:9" ht="14.1" customHeight="1" x14ac:dyDescent="0.2">
      <c r="B414" s="11"/>
      <c r="C414" s="14" t="str">
        <f>IFERROR(IF(Payments[[#This Row],[Invoice '#]]="","",INDEX(Invoices[Customer],MATCH(Payments[[#This Row],[Invoice '#]],Invoices[Invoice '#],0))),"")</f>
        <v/>
      </c>
      <c r="D414" s="15" t="str">
        <f>IFERROR(IF(Payments[[#This Row],[Invoice '#]]="","",INDEX(Invoices[Due Date],MATCH(Payments[[#This Row],[Invoice '#]],Invoices[Invoice '#],0))),"")</f>
        <v/>
      </c>
      <c r="E414" s="40" t="str">
        <f ca="1">IFERROR(IF(Payments[[#This Row],[Invoice '#]]="","",INDEX(Invoices[Amount due],MATCH(Payments[[#This Row],[Invoice '#]],Invoices[Invoice '#],0))-IF(E413=Payments[[#Headers],[Amount Due]],0,SUMIF(INDIRECT("B4:B"&amp;ROW()-1),Payments[[#This Row],[Invoice '#]],Payments[Amount Paid]))),"")</f>
        <v/>
      </c>
      <c r="F414" s="41"/>
      <c r="G414" s="10"/>
      <c r="H414" s="38" t="str">
        <f ca="1">IFERROR(IF(Payments[[#This Row],[Amount Due]]="","",IF(Payments[[#This Row],[Amount Due]]=0,0,Payments[[#This Row],[Amount Due]]-Payments[[#This Row],[Amount Paid]])),"")</f>
        <v/>
      </c>
      <c r="I414" s="2"/>
    </row>
    <row r="415" spans="2:9" ht="14.1" customHeight="1" x14ac:dyDescent="0.2">
      <c r="B415" s="11"/>
      <c r="C415" s="14" t="str">
        <f>IFERROR(IF(Payments[[#This Row],[Invoice '#]]="","",INDEX(Invoices[Customer],MATCH(Payments[[#This Row],[Invoice '#]],Invoices[Invoice '#],0))),"")</f>
        <v/>
      </c>
      <c r="D415" s="15" t="str">
        <f>IFERROR(IF(Payments[[#This Row],[Invoice '#]]="","",INDEX(Invoices[Due Date],MATCH(Payments[[#This Row],[Invoice '#]],Invoices[Invoice '#],0))),"")</f>
        <v/>
      </c>
      <c r="E415" s="40" t="str">
        <f ca="1">IFERROR(IF(Payments[[#This Row],[Invoice '#]]="","",INDEX(Invoices[Amount due],MATCH(Payments[[#This Row],[Invoice '#]],Invoices[Invoice '#],0))-IF(E414=Payments[[#Headers],[Amount Due]],0,SUMIF(INDIRECT("B4:B"&amp;ROW()-1),Payments[[#This Row],[Invoice '#]],Payments[Amount Paid]))),"")</f>
        <v/>
      </c>
      <c r="F415" s="41"/>
      <c r="G415" s="10"/>
      <c r="H415" s="38" t="str">
        <f ca="1">IFERROR(IF(Payments[[#This Row],[Amount Due]]="","",IF(Payments[[#This Row],[Amount Due]]=0,0,Payments[[#This Row],[Amount Due]]-Payments[[#This Row],[Amount Paid]])),"")</f>
        <v/>
      </c>
      <c r="I415" s="2"/>
    </row>
    <row r="416" spans="2:9" ht="14.1" customHeight="1" x14ac:dyDescent="0.2">
      <c r="B416" s="11"/>
      <c r="C416" s="14" t="str">
        <f>IFERROR(IF(Payments[[#This Row],[Invoice '#]]="","",INDEX(Invoices[Customer],MATCH(Payments[[#This Row],[Invoice '#]],Invoices[Invoice '#],0))),"")</f>
        <v/>
      </c>
      <c r="D416" s="15" t="str">
        <f>IFERROR(IF(Payments[[#This Row],[Invoice '#]]="","",INDEX(Invoices[Due Date],MATCH(Payments[[#This Row],[Invoice '#]],Invoices[Invoice '#],0))),"")</f>
        <v/>
      </c>
      <c r="E416" s="40" t="str">
        <f ca="1">IFERROR(IF(Payments[[#This Row],[Invoice '#]]="","",INDEX(Invoices[Amount due],MATCH(Payments[[#This Row],[Invoice '#]],Invoices[Invoice '#],0))-IF(E415=Payments[[#Headers],[Amount Due]],0,SUMIF(INDIRECT("B4:B"&amp;ROW()-1),Payments[[#This Row],[Invoice '#]],Payments[Amount Paid]))),"")</f>
        <v/>
      </c>
      <c r="F416" s="41"/>
      <c r="G416" s="10"/>
      <c r="H416" s="38" t="str">
        <f ca="1">IFERROR(IF(Payments[[#This Row],[Amount Due]]="","",IF(Payments[[#This Row],[Amount Due]]=0,0,Payments[[#This Row],[Amount Due]]-Payments[[#This Row],[Amount Paid]])),"")</f>
        <v/>
      </c>
      <c r="I416" s="2"/>
    </row>
    <row r="417" spans="2:9" ht="14.1" customHeight="1" x14ac:dyDescent="0.2">
      <c r="B417" s="11"/>
      <c r="C417" s="14" t="str">
        <f>IFERROR(IF(Payments[[#This Row],[Invoice '#]]="","",INDEX(Invoices[Customer],MATCH(Payments[[#This Row],[Invoice '#]],Invoices[Invoice '#],0))),"")</f>
        <v/>
      </c>
      <c r="D417" s="15" t="str">
        <f>IFERROR(IF(Payments[[#This Row],[Invoice '#]]="","",INDEX(Invoices[Due Date],MATCH(Payments[[#This Row],[Invoice '#]],Invoices[Invoice '#],0))),"")</f>
        <v/>
      </c>
      <c r="E417" s="40" t="str">
        <f ca="1">IFERROR(IF(Payments[[#This Row],[Invoice '#]]="","",INDEX(Invoices[Amount due],MATCH(Payments[[#This Row],[Invoice '#]],Invoices[Invoice '#],0))-IF(E416=Payments[[#Headers],[Amount Due]],0,SUMIF(INDIRECT("B4:B"&amp;ROW()-1),Payments[[#This Row],[Invoice '#]],Payments[Amount Paid]))),"")</f>
        <v/>
      </c>
      <c r="F417" s="41"/>
      <c r="G417" s="10"/>
      <c r="H417" s="38" t="str">
        <f ca="1">IFERROR(IF(Payments[[#This Row],[Amount Due]]="","",IF(Payments[[#This Row],[Amount Due]]=0,0,Payments[[#This Row],[Amount Due]]-Payments[[#This Row],[Amount Paid]])),"")</f>
        <v/>
      </c>
      <c r="I417" s="2"/>
    </row>
    <row r="418" spans="2:9" ht="14.1" customHeight="1" x14ac:dyDescent="0.2">
      <c r="B418" s="11"/>
      <c r="C418" s="14" t="str">
        <f>IFERROR(IF(Payments[[#This Row],[Invoice '#]]="","",INDEX(Invoices[Customer],MATCH(Payments[[#This Row],[Invoice '#]],Invoices[Invoice '#],0))),"")</f>
        <v/>
      </c>
      <c r="D418" s="15" t="str">
        <f>IFERROR(IF(Payments[[#This Row],[Invoice '#]]="","",INDEX(Invoices[Due Date],MATCH(Payments[[#This Row],[Invoice '#]],Invoices[Invoice '#],0))),"")</f>
        <v/>
      </c>
      <c r="E418" s="40" t="str">
        <f ca="1">IFERROR(IF(Payments[[#This Row],[Invoice '#]]="","",INDEX(Invoices[Amount due],MATCH(Payments[[#This Row],[Invoice '#]],Invoices[Invoice '#],0))-IF(E417=Payments[[#Headers],[Amount Due]],0,SUMIF(INDIRECT("B4:B"&amp;ROW()-1),Payments[[#This Row],[Invoice '#]],Payments[Amount Paid]))),"")</f>
        <v/>
      </c>
      <c r="F418" s="41"/>
      <c r="G418" s="10"/>
      <c r="H418" s="38" t="str">
        <f ca="1">IFERROR(IF(Payments[[#This Row],[Amount Due]]="","",IF(Payments[[#This Row],[Amount Due]]=0,0,Payments[[#This Row],[Amount Due]]-Payments[[#This Row],[Amount Paid]])),"")</f>
        <v/>
      </c>
      <c r="I418" s="2"/>
    </row>
    <row r="419" spans="2:9" ht="14.1" customHeight="1" x14ac:dyDescent="0.2">
      <c r="B419" s="11"/>
      <c r="C419" s="14" t="str">
        <f>IFERROR(IF(Payments[[#This Row],[Invoice '#]]="","",INDEX(Invoices[Customer],MATCH(Payments[[#This Row],[Invoice '#]],Invoices[Invoice '#],0))),"")</f>
        <v/>
      </c>
      <c r="D419" s="15" t="str">
        <f>IFERROR(IF(Payments[[#This Row],[Invoice '#]]="","",INDEX(Invoices[Due Date],MATCH(Payments[[#This Row],[Invoice '#]],Invoices[Invoice '#],0))),"")</f>
        <v/>
      </c>
      <c r="E419" s="40" t="str">
        <f ca="1">IFERROR(IF(Payments[[#This Row],[Invoice '#]]="","",INDEX(Invoices[Amount due],MATCH(Payments[[#This Row],[Invoice '#]],Invoices[Invoice '#],0))-IF(E418=Payments[[#Headers],[Amount Due]],0,SUMIF(INDIRECT("B4:B"&amp;ROW()-1),Payments[[#This Row],[Invoice '#]],Payments[Amount Paid]))),"")</f>
        <v/>
      </c>
      <c r="F419" s="41"/>
      <c r="G419" s="10"/>
      <c r="H419" s="38" t="str">
        <f ca="1">IFERROR(IF(Payments[[#This Row],[Amount Due]]="","",IF(Payments[[#This Row],[Amount Due]]=0,0,Payments[[#This Row],[Amount Due]]-Payments[[#This Row],[Amount Paid]])),"")</f>
        <v/>
      </c>
      <c r="I419" s="2"/>
    </row>
    <row r="420" spans="2:9" ht="14.1" customHeight="1" x14ac:dyDescent="0.2">
      <c r="B420" s="11"/>
      <c r="C420" s="14" t="str">
        <f>IFERROR(IF(Payments[[#This Row],[Invoice '#]]="","",INDEX(Invoices[Customer],MATCH(Payments[[#This Row],[Invoice '#]],Invoices[Invoice '#],0))),"")</f>
        <v/>
      </c>
      <c r="D420" s="15" t="str">
        <f>IFERROR(IF(Payments[[#This Row],[Invoice '#]]="","",INDEX(Invoices[Due Date],MATCH(Payments[[#This Row],[Invoice '#]],Invoices[Invoice '#],0))),"")</f>
        <v/>
      </c>
      <c r="E420" s="40" t="str">
        <f ca="1">IFERROR(IF(Payments[[#This Row],[Invoice '#]]="","",INDEX(Invoices[Amount due],MATCH(Payments[[#This Row],[Invoice '#]],Invoices[Invoice '#],0))-IF(E419=Payments[[#Headers],[Amount Due]],0,SUMIF(INDIRECT("B4:B"&amp;ROW()-1),Payments[[#This Row],[Invoice '#]],Payments[Amount Paid]))),"")</f>
        <v/>
      </c>
      <c r="F420" s="41"/>
      <c r="G420" s="10"/>
      <c r="H420" s="38" t="str">
        <f ca="1">IFERROR(IF(Payments[[#This Row],[Amount Due]]="","",IF(Payments[[#This Row],[Amount Due]]=0,0,Payments[[#This Row],[Amount Due]]-Payments[[#This Row],[Amount Paid]])),"")</f>
        <v/>
      </c>
      <c r="I420" s="2"/>
    </row>
    <row r="421" spans="2:9" ht="14.1" customHeight="1" x14ac:dyDescent="0.2">
      <c r="B421" s="11"/>
      <c r="C421" s="14" t="str">
        <f>IFERROR(IF(Payments[[#This Row],[Invoice '#]]="","",INDEX(Invoices[Customer],MATCH(Payments[[#This Row],[Invoice '#]],Invoices[Invoice '#],0))),"")</f>
        <v/>
      </c>
      <c r="D421" s="15" t="str">
        <f>IFERROR(IF(Payments[[#This Row],[Invoice '#]]="","",INDEX(Invoices[Due Date],MATCH(Payments[[#This Row],[Invoice '#]],Invoices[Invoice '#],0))),"")</f>
        <v/>
      </c>
      <c r="E421" s="40" t="str">
        <f ca="1">IFERROR(IF(Payments[[#This Row],[Invoice '#]]="","",INDEX(Invoices[Amount due],MATCH(Payments[[#This Row],[Invoice '#]],Invoices[Invoice '#],0))-IF(E420=Payments[[#Headers],[Amount Due]],0,SUMIF(INDIRECT("B4:B"&amp;ROW()-1),Payments[[#This Row],[Invoice '#]],Payments[Amount Paid]))),"")</f>
        <v/>
      </c>
      <c r="F421" s="41"/>
      <c r="G421" s="10"/>
      <c r="H421" s="38" t="str">
        <f ca="1">IFERROR(IF(Payments[[#This Row],[Amount Due]]="","",IF(Payments[[#This Row],[Amount Due]]=0,0,Payments[[#This Row],[Amount Due]]-Payments[[#This Row],[Amount Paid]])),"")</f>
        <v/>
      </c>
      <c r="I421" s="2"/>
    </row>
    <row r="422" spans="2:9" ht="14.1" customHeight="1" x14ac:dyDescent="0.2">
      <c r="B422" s="11"/>
      <c r="C422" s="14" t="str">
        <f>IFERROR(IF(Payments[[#This Row],[Invoice '#]]="","",INDEX(Invoices[Customer],MATCH(Payments[[#This Row],[Invoice '#]],Invoices[Invoice '#],0))),"")</f>
        <v/>
      </c>
      <c r="D422" s="15" t="str">
        <f>IFERROR(IF(Payments[[#This Row],[Invoice '#]]="","",INDEX(Invoices[Due Date],MATCH(Payments[[#This Row],[Invoice '#]],Invoices[Invoice '#],0))),"")</f>
        <v/>
      </c>
      <c r="E422" s="40" t="str">
        <f ca="1">IFERROR(IF(Payments[[#This Row],[Invoice '#]]="","",INDEX(Invoices[Amount due],MATCH(Payments[[#This Row],[Invoice '#]],Invoices[Invoice '#],0))-IF(E421=Payments[[#Headers],[Amount Due]],0,SUMIF(INDIRECT("B4:B"&amp;ROW()-1),Payments[[#This Row],[Invoice '#]],Payments[Amount Paid]))),"")</f>
        <v/>
      </c>
      <c r="F422" s="41"/>
      <c r="G422" s="10"/>
      <c r="H422" s="38" t="str">
        <f ca="1">IFERROR(IF(Payments[[#This Row],[Amount Due]]="","",IF(Payments[[#This Row],[Amount Due]]=0,0,Payments[[#This Row],[Amount Due]]-Payments[[#This Row],[Amount Paid]])),"")</f>
        <v/>
      </c>
      <c r="I422" s="2"/>
    </row>
    <row r="423" spans="2:9" ht="14.1" customHeight="1" x14ac:dyDescent="0.2">
      <c r="B423" s="11"/>
      <c r="C423" s="14" t="str">
        <f>IFERROR(IF(Payments[[#This Row],[Invoice '#]]="","",INDEX(Invoices[Customer],MATCH(Payments[[#This Row],[Invoice '#]],Invoices[Invoice '#],0))),"")</f>
        <v/>
      </c>
      <c r="D423" s="15" t="str">
        <f>IFERROR(IF(Payments[[#This Row],[Invoice '#]]="","",INDEX(Invoices[Due Date],MATCH(Payments[[#This Row],[Invoice '#]],Invoices[Invoice '#],0))),"")</f>
        <v/>
      </c>
      <c r="E423" s="40" t="str">
        <f ca="1">IFERROR(IF(Payments[[#This Row],[Invoice '#]]="","",INDEX(Invoices[Amount due],MATCH(Payments[[#This Row],[Invoice '#]],Invoices[Invoice '#],0))-IF(E422=Payments[[#Headers],[Amount Due]],0,SUMIF(INDIRECT("B4:B"&amp;ROW()-1),Payments[[#This Row],[Invoice '#]],Payments[Amount Paid]))),"")</f>
        <v/>
      </c>
      <c r="F423" s="41"/>
      <c r="G423" s="10"/>
      <c r="H423" s="38" t="str">
        <f ca="1">IFERROR(IF(Payments[[#This Row],[Amount Due]]="","",IF(Payments[[#This Row],[Amount Due]]=0,0,Payments[[#This Row],[Amount Due]]-Payments[[#This Row],[Amount Paid]])),"")</f>
        <v/>
      </c>
      <c r="I423" s="2"/>
    </row>
    <row r="424" spans="2:9" ht="14.1" customHeight="1" x14ac:dyDescent="0.2">
      <c r="B424" s="11"/>
      <c r="C424" s="14" t="str">
        <f>IFERROR(IF(Payments[[#This Row],[Invoice '#]]="","",INDEX(Invoices[Customer],MATCH(Payments[[#This Row],[Invoice '#]],Invoices[Invoice '#],0))),"")</f>
        <v/>
      </c>
      <c r="D424" s="15" t="str">
        <f>IFERROR(IF(Payments[[#This Row],[Invoice '#]]="","",INDEX(Invoices[Due Date],MATCH(Payments[[#This Row],[Invoice '#]],Invoices[Invoice '#],0))),"")</f>
        <v/>
      </c>
      <c r="E424" s="40" t="str">
        <f ca="1">IFERROR(IF(Payments[[#This Row],[Invoice '#]]="","",INDEX(Invoices[Amount due],MATCH(Payments[[#This Row],[Invoice '#]],Invoices[Invoice '#],0))-IF(E423=Payments[[#Headers],[Amount Due]],0,SUMIF(INDIRECT("B4:B"&amp;ROW()-1),Payments[[#This Row],[Invoice '#]],Payments[Amount Paid]))),"")</f>
        <v/>
      </c>
      <c r="F424" s="41"/>
      <c r="G424" s="10"/>
      <c r="H424" s="38" t="str">
        <f ca="1">IFERROR(IF(Payments[[#This Row],[Amount Due]]="","",IF(Payments[[#This Row],[Amount Due]]=0,0,Payments[[#This Row],[Amount Due]]-Payments[[#This Row],[Amount Paid]])),"")</f>
        <v/>
      </c>
      <c r="I424" s="2"/>
    </row>
    <row r="425" spans="2:9" ht="14.1" customHeight="1" x14ac:dyDescent="0.2">
      <c r="B425" s="11"/>
      <c r="C425" s="14" t="str">
        <f>IFERROR(IF(Payments[[#This Row],[Invoice '#]]="","",INDEX(Invoices[Customer],MATCH(Payments[[#This Row],[Invoice '#]],Invoices[Invoice '#],0))),"")</f>
        <v/>
      </c>
      <c r="D425" s="15" t="str">
        <f>IFERROR(IF(Payments[[#This Row],[Invoice '#]]="","",INDEX(Invoices[Due Date],MATCH(Payments[[#This Row],[Invoice '#]],Invoices[Invoice '#],0))),"")</f>
        <v/>
      </c>
      <c r="E425" s="40" t="str">
        <f ca="1">IFERROR(IF(Payments[[#This Row],[Invoice '#]]="","",INDEX(Invoices[Amount due],MATCH(Payments[[#This Row],[Invoice '#]],Invoices[Invoice '#],0))-IF(E424=Payments[[#Headers],[Amount Due]],0,SUMIF(INDIRECT("B4:B"&amp;ROW()-1),Payments[[#This Row],[Invoice '#]],Payments[Amount Paid]))),"")</f>
        <v/>
      </c>
      <c r="F425" s="41"/>
      <c r="G425" s="10"/>
      <c r="H425" s="38" t="str">
        <f ca="1">IFERROR(IF(Payments[[#This Row],[Amount Due]]="","",IF(Payments[[#This Row],[Amount Due]]=0,0,Payments[[#This Row],[Amount Due]]-Payments[[#This Row],[Amount Paid]])),"")</f>
        <v/>
      </c>
      <c r="I425" s="2"/>
    </row>
    <row r="426" spans="2:9" ht="14.1" customHeight="1" x14ac:dyDescent="0.2">
      <c r="B426" s="11"/>
      <c r="C426" s="14" t="str">
        <f>IFERROR(IF(Payments[[#This Row],[Invoice '#]]="","",INDEX(Invoices[Customer],MATCH(Payments[[#This Row],[Invoice '#]],Invoices[Invoice '#],0))),"")</f>
        <v/>
      </c>
      <c r="D426" s="15" t="str">
        <f>IFERROR(IF(Payments[[#This Row],[Invoice '#]]="","",INDEX(Invoices[Due Date],MATCH(Payments[[#This Row],[Invoice '#]],Invoices[Invoice '#],0))),"")</f>
        <v/>
      </c>
      <c r="E426" s="40" t="str">
        <f ca="1">IFERROR(IF(Payments[[#This Row],[Invoice '#]]="","",INDEX(Invoices[Amount due],MATCH(Payments[[#This Row],[Invoice '#]],Invoices[Invoice '#],0))-IF(E425=Payments[[#Headers],[Amount Due]],0,SUMIF(INDIRECT("B4:B"&amp;ROW()-1),Payments[[#This Row],[Invoice '#]],Payments[Amount Paid]))),"")</f>
        <v/>
      </c>
      <c r="F426" s="41"/>
      <c r="G426" s="10"/>
      <c r="H426" s="38" t="str">
        <f ca="1">IFERROR(IF(Payments[[#This Row],[Amount Due]]="","",IF(Payments[[#This Row],[Amount Due]]=0,0,Payments[[#This Row],[Amount Due]]-Payments[[#This Row],[Amount Paid]])),"")</f>
        <v/>
      </c>
      <c r="I426" s="2"/>
    </row>
    <row r="427" spans="2:9" ht="14.1" customHeight="1" x14ac:dyDescent="0.2">
      <c r="B427" s="11"/>
      <c r="C427" s="14" t="str">
        <f>IFERROR(IF(Payments[[#This Row],[Invoice '#]]="","",INDEX(Invoices[Customer],MATCH(Payments[[#This Row],[Invoice '#]],Invoices[Invoice '#],0))),"")</f>
        <v/>
      </c>
      <c r="D427" s="15" t="str">
        <f>IFERROR(IF(Payments[[#This Row],[Invoice '#]]="","",INDEX(Invoices[Due Date],MATCH(Payments[[#This Row],[Invoice '#]],Invoices[Invoice '#],0))),"")</f>
        <v/>
      </c>
      <c r="E427" s="40" t="str">
        <f ca="1">IFERROR(IF(Payments[[#This Row],[Invoice '#]]="","",INDEX(Invoices[Amount due],MATCH(Payments[[#This Row],[Invoice '#]],Invoices[Invoice '#],0))-IF(E426=Payments[[#Headers],[Amount Due]],0,SUMIF(INDIRECT("B4:B"&amp;ROW()-1),Payments[[#This Row],[Invoice '#]],Payments[Amount Paid]))),"")</f>
        <v/>
      </c>
      <c r="F427" s="41"/>
      <c r="G427" s="10"/>
      <c r="H427" s="38" t="str">
        <f ca="1">IFERROR(IF(Payments[[#This Row],[Amount Due]]="","",IF(Payments[[#This Row],[Amount Due]]=0,0,Payments[[#This Row],[Amount Due]]-Payments[[#This Row],[Amount Paid]])),"")</f>
        <v/>
      </c>
      <c r="I427" s="2"/>
    </row>
    <row r="428" spans="2:9" ht="14.1" customHeight="1" x14ac:dyDescent="0.2">
      <c r="B428" s="11"/>
      <c r="C428" s="14" t="str">
        <f>IFERROR(IF(Payments[[#This Row],[Invoice '#]]="","",INDEX(Invoices[Customer],MATCH(Payments[[#This Row],[Invoice '#]],Invoices[Invoice '#],0))),"")</f>
        <v/>
      </c>
      <c r="D428" s="15" t="str">
        <f>IFERROR(IF(Payments[[#This Row],[Invoice '#]]="","",INDEX(Invoices[Due Date],MATCH(Payments[[#This Row],[Invoice '#]],Invoices[Invoice '#],0))),"")</f>
        <v/>
      </c>
      <c r="E428" s="40" t="str">
        <f ca="1">IFERROR(IF(Payments[[#This Row],[Invoice '#]]="","",INDEX(Invoices[Amount due],MATCH(Payments[[#This Row],[Invoice '#]],Invoices[Invoice '#],0))-IF(E427=Payments[[#Headers],[Amount Due]],0,SUMIF(INDIRECT("B4:B"&amp;ROW()-1),Payments[[#This Row],[Invoice '#]],Payments[Amount Paid]))),"")</f>
        <v/>
      </c>
      <c r="F428" s="41"/>
      <c r="G428" s="10"/>
      <c r="H428" s="38" t="str">
        <f ca="1">IFERROR(IF(Payments[[#This Row],[Amount Due]]="","",IF(Payments[[#This Row],[Amount Due]]=0,0,Payments[[#This Row],[Amount Due]]-Payments[[#This Row],[Amount Paid]])),"")</f>
        <v/>
      </c>
      <c r="I428" s="2"/>
    </row>
    <row r="429" spans="2:9" ht="14.1" customHeight="1" x14ac:dyDescent="0.2">
      <c r="B429" s="11"/>
      <c r="C429" s="14" t="str">
        <f>IFERROR(IF(Payments[[#This Row],[Invoice '#]]="","",INDEX(Invoices[Customer],MATCH(Payments[[#This Row],[Invoice '#]],Invoices[Invoice '#],0))),"")</f>
        <v/>
      </c>
      <c r="D429" s="15" t="str">
        <f>IFERROR(IF(Payments[[#This Row],[Invoice '#]]="","",INDEX(Invoices[Due Date],MATCH(Payments[[#This Row],[Invoice '#]],Invoices[Invoice '#],0))),"")</f>
        <v/>
      </c>
      <c r="E429" s="40" t="str">
        <f ca="1">IFERROR(IF(Payments[[#This Row],[Invoice '#]]="","",INDEX(Invoices[Amount due],MATCH(Payments[[#This Row],[Invoice '#]],Invoices[Invoice '#],0))-IF(E428=Payments[[#Headers],[Amount Due]],0,SUMIF(INDIRECT("B4:B"&amp;ROW()-1),Payments[[#This Row],[Invoice '#]],Payments[Amount Paid]))),"")</f>
        <v/>
      </c>
      <c r="F429" s="41"/>
      <c r="G429" s="10"/>
      <c r="H429" s="38" t="str">
        <f ca="1">IFERROR(IF(Payments[[#This Row],[Amount Due]]="","",IF(Payments[[#This Row],[Amount Due]]=0,0,Payments[[#This Row],[Amount Due]]-Payments[[#This Row],[Amount Paid]])),"")</f>
        <v/>
      </c>
      <c r="I429" s="2"/>
    </row>
    <row r="430" spans="2:9" ht="14.1" customHeight="1" x14ac:dyDescent="0.2">
      <c r="B430" s="11"/>
      <c r="C430" s="14" t="str">
        <f>IFERROR(IF(Payments[[#This Row],[Invoice '#]]="","",INDEX(Invoices[Customer],MATCH(Payments[[#This Row],[Invoice '#]],Invoices[Invoice '#],0))),"")</f>
        <v/>
      </c>
      <c r="D430" s="15" t="str">
        <f>IFERROR(IF(Payments[[#This Row],[Invoice '#]]="","",INDEX(Invoices[Due Date],MATCH(Payments[[#This Row],[Invoice '#]],Invoices[Invoice '#],0))),"")</f>
        <v/>
      </c>
      <c r="E430" s="40" t="str">
        <f ca="1">IFERROR(IF(Payments[[#This Row],[Invoice '#]]="","",INDEX(Invoices[Amount due],MATCH(Payments[[#This Row],[Invoice '#]],Invoices[Invoice '#],0))-IF(E429=Payments[[#Headers],[Amount Due]],0,SUMIF(INDIRECT("B4:B"&amp;ROW()-1),Payments[[#This Row],[Invoice '#]],Payments[Amount Paid]))),"")</f>
        <v/>
      </c>
      <c r="F430" s="41"/>
      <c r="G430" s="10"/>
      <c r="H430" s="38" t="str">
        <f ca="1">IFERROR(IF(Payments[[#This Row],[Amount Due]]="","",IF(Payments[[#This Row],[Amount Due]]=0,0,Payments[[#This Row],[Amount Due]]-Payments[[#This Row],[Amount Paid]])),"")</f>
        <v/>
      </c>
      <c r="I430" s="2"/>
    </row>
    <row r="431" spans="2:9" ht="14.1" customHeight="1" x14ac:dyDescent="0.2">
      <c r="B431" s="11"/>
      <c r="C431" s="14" t="str">
        <f>IFERROR(IF(Payments[[#This Row],[Invoice '#]]="","",INDEX(Invoices[Customer],MATCH(Payments[[#This Row],[Invoice '#]],Invoices[Invoice '#],0))),"")</f>
        <v/>
      </c>
      <c r="D431" s="15" t="str">
        <f>IFERROR(IF(Payments[[#This Row],[Invoice '#]]="","",INDEX(Invoices[Due Date],MATCH(Payments[[#This Row],[Invoice '#]],Invoices[Invoice '#],0))),"")</f>
        <v/>
      </c>
      <c r="E431" s="40" t="str">
        <f ca="1">IFERROR(IF(Payments[[#This Row],[Invoice '#]]="","",INDEX(Invoices[Amount due],MATCH(Payments[[#This Row],[Invoice '#]],Invoices[Invoice '#],0))-IF(E430=Payments[[#Headers],[Amount Due]],0,SUMIF(INDIRECT("B4:B"&amp;ROW()-1),Payments[[#This Row],[Invoice '#]],Payments[Amount Paid]))),"")</f>
        <v/>
      </c>
      <c r="F431" s="41"/>
      <c r="G431" s="10"/>
      <c r="H431" s="38" t="str">
        <f ca="1">IFERROR(IF(Payments[[#This Row],[Amount Due]]="","",IF(Payments[[#This Row],[Amount Due]]=0,0,Payments[[#This Row],[Amount Due]]-Payments[[#This Row],[Amount Paid]])),"")</f>
        <v/>
      </c>
      <c r="I431" s="2"/>
    </row>
    <row r="432" spans="2:9" ht="14.1" customHeight="1" x14ac:dyDescent="0.2">
      <c r="B432" s="11"/>
      <c r="C432" s="14" t="str">
        <f>IFERROR(IF(Payments[[#This Row],[Invoice '#]]="","",INDEX(Invoices[Customer],MATCH(Payments[[#This Row],[Invoice '#]],Invoices[Invoice '#],0))),"")</f>
        <v/>
      </c>
      <c r="D432" s="15" t="str">
        <f>IFERROR(IF(Payments[[#This Row],[Invoice '#]]="","",INDEX(Invoices[Due Date],MATCH(Payments[[#This Row],[Invoice '#]],Invoices[Invoice '#],0))),"")</f>
        <v/>
      </c>
      <c r="E432" s="40" t="str">
        <f ca="1">IFERROR(IF(Payments[[#This Row],[Invoice '#]]="","",INDEX(Invoices[Amount due],MATCH(Payments[[#This Row],[Invoice '#]],Invoices[Invoice '#],0))-IF(E431=Payments[[#Headers],[Amount Due]],0,SUMIF(INDIRECT("B4:B"&amp;ROW()-1),Payments[[#This Row],[Invoice '#]],Payments[Amount Paid]))),"")</f>
        <v/>
      </c>
      <c r="F432" s="41"/>
      <c r="G432" s="10"/>
      <c r="H432" s="38" t="str">
        <f ca="1">IFERROR(IF(Payments[[#This Row],[Amount Due]]="","",IF(Payments[[#This Row],[Amount Due]]=0,0,Payments[[#This Row],[Amount Due]]-Payments[[#This Row],[Amount Paid]])),"")</f>
        <v/>
      </c>
      <c r="I432" s="2"/>
    </row>
    <row r="433" spans="2:9" ht="14.1" customHeight="1" x14ac:dyDescent="0.2">
      <c r="B433" s="11"/>
      <c r="C433" s="14" t="str">
        <f>IFERROR(IF(Payments[[#This Row],[Invoice '#]]="","",INDEX(Invoices[Customer],MATCH(Payments[[#This Row],[Invoice '#]],Invoices[Invoice '#],0))),"")</f>
        <v/>
      </c>
      <c r="D433" s="15" t="str">
        <f>IFERROR(IF(Payments[[#This Row],[Invoice '#]]="","",INDEX(Invoices[Due Date],MATCH(Payments[[#This Row],[Invoice '#]],Invoices[Invoice '#],0))),"")</f>
        <v/>
      </c>
      <c r="E433" s="40" t="str">
        <f ca="1">IFERROR(IF(Payments[[#This Row],[Invoice '#]]="","",INDEX(Invoices[Amount due],MATCH(Payments[[#This Row],[Invoice '#]],Invoices[Invoice '#],0))-IF(E432=Payments[[#Headers],[Amount Due]],0,SUMIF(INDIRECT("B4:B"&amp;ROW()-1),Payments[[#This Row],[Invoice '#]],Payments[Amount Paid]))),"")</f>
        <v/>
      </c>
      <c r="F433" s="41"/>
      <c r="G433" s="10"/>
      <c r="H433" s="38" t="str">
        <f ca="1">IFERROR(IF(Payments[[#This Row],[Amount Due]]="","",IF(Payments[[#This Row],[Amount Due]]=0,0,Payments[[#This Row],[Amount Due]]-Payments[[#This Row],[Amount Paid]])),"")</f>
        <v/>
      </c>
      <c r="I433" s="2"/>
    </row>
    <row r="434" spans="2:9" ht="14.1" customHeight="1" x14ac:dyDescent="0.2">
      <c r="B434" s="11"/>
      <c r="C434" s="14" t="str">
        <f>IFERROR(IF(Payments[[#This Row],[Invoice '#]]="","",INDEX(Invoices[Customer],MATCH(Payments[[#This Row],[Invoice '#]],Invoices[Invoice '#],0))),"")</f>
        <v/>
      </c>
      <c r="D434" s="15" t="str">
        <f>IFERROR(IF(Payments[[#This Row],[Invoice '#]]="","",INDEX(Invoices[Due Date],MATCH(Payments[[#This Row],[Invoice '#]],Invoices[Invoice '#],0))),"")</f>
        <v/>
      </c>
      <c r="E434" s="40" t="str">
        <f ca="1">IFERROR(IF(Payments[[#This Row],[Invoice '#]]="","",INDEX(Invoices[Amount due],MATCH(Payments[[#This Row],[Invoice '#]],Invoices[Invoice '#],0))-IF(E433=Payments[[#Headers],[Amount Due]],0,SUMIF(INDIRECT("B4:B"&amp;ROW()-1),Payments[[#This Row],[Invoice '#]],Payments[Amount Paid]))),"")</f>
        <v/>
      </c>
      <c r="F434" s="41"/>
      <c r="G434" s="10"/>
      <c r="H434" s="38" t="str">
        <f ca="1">IFERROR(IF(Payments[[#This Row],[Amount Due]]="","",IF(Payments[[#This Row],[Amount Due]]=0,0,Payments[[#This Row],[Amount Due]]-Payments[[#This Row],[Amount Paid]])),"")</f>
        <v/>
      </c>
      <c r="I434" s="2"/>
    </row>
    <row r="435" spans="2:9" ht="14.1" customHeight="1" x14ac:dyDescent="0.2">
      <c r="B435" s="11"/>
      <c r="C435" s="14" t="str">
        <f>IFERROR(IF(Payments[[#This Row],[Invoice '#]]="","",INDEX(Invoices[Customer],MATCH(Payments[[#This Row],[Invoice '#]],Invoices[Invoice '#],0))),"")</f>
        <v/>
      </c>
      <c r="D435" s="15" t="str">
        <f>IFERROR(IF(Payments[[#This Row],[Invoice '#]]="","",INDEX(Invoices[Due Date],MATCH(Payments[[#This Row],[Invoice '#]],Invoices[Invoice '#],0))),"")</f>
        <v/>
      </c>
      <c r="E435" s="40" t="str">
        <f ca="1">IFERROR(IF(Payments[[#This Row],[Invoice '#]]="","",INDEX(Invoices[Amount due],MATCH(Payments[[#This Row],[Invoice '#]],Invoices[Invoice '#],0))-IF(E434=Payments[[#Headers],[Amount Due]],0,SUMIF(INDIRECT("B4:B"&amp;ROW()-1),Payments[[#This Row],[Invoice '#]],Payments[Amount Paid]))),"")</f>
        <v/>
      </c>
      <c r="F435" s="41"/>
      <c r="G435" s="10"/>
      <c r="H435" s="38" t="str">
        <f ca="1">IFERROR(IF(Payments[[#This Row],[Amount Due]]="","",IF(Payments[[#This Row],[Amount Due]]=0,0,Payments[[#This Row],[Amount Due]]-Payments[[#This Row],[Amount Paid]])),"")</f>
        <v/>
      </c>
      <c r="I435" s="2"/>
    </row>
    <row r="436" spans="2:9" ht="14.1" customHeight="1" x14ac:dyDescent="0.2">
      <c r="B436" s="11"/>
      <c r="C436" s="14" t="str">
        <f>IFERROR(IF(Payments[[#This Row],[Invoice '#]]="","",INDEX(Invoices[Customer],MATCH(Payments[[#This Row],[Invoice '#]],Invoices[Invoice '#],0))),"")</f>
        <v/>
      </c>
      <c r="D436" s="15" t="str">
        <f>IFERROR(IF(Payments[[#This Row],[Invoice '#]]="","",INDEX(Invoices[Due Date],MATCH(Payments[[#This Row],[Invoice '#]],Invoices[Invoice '#],0))),"")</f>
        <v/>
      </c>
      <c r="E436" s="40" t="str">
        <f ca="1">IFERROR(IF(Payments[[#This Row],[Invoice '#]]="","",INDEX(Invoices[Amount due],MATCH(Payments[[#This Row],[Invoice '#]],Invoices[Invoice '#],0))-IF(E435=Payments[[#Headers],[Amount Due]],0,SUMIF(INDIRECT("B4:B"&amp;ROW()-1),Payments[[#This Row],[Invoice '#]],Payments[Amount Paid]))),"")</f>
        <v/>
      </c>
      <c r="F436" s="41"/>
      <c r="G436" s="10"/>
      <c r="H436" s="38" t="str">
        <f ca="1">IFERROR(IF(Payments[[#This Row],[Amount Due]]="","",IF(Payments[[#This Row],[Amount Due]]=0,0,Payments[[#This Row],[Amount Due]]-Payments[[#This Row],[Amount Paid]])),"")</f>
        <v/>
      </c>
      <c r="I436" s="2"/>
    </row>
    <row r="437" spans="2:9" ht="14.1" customHeight="1" x14ac:dyDescent="0.2">
      <c r="B437" s="11"/>
      <c r="C437" s="14" t="str">
        <f>IFERROR(IF(Payments[[#This Row],[Invoice '#]]="","",INDEX(Invoices[Customer],MATCH(Payments[[#This Row],[Invoice '#]],Invoices[Invoice '#],0))),"")</f>
        <v/>
      </c>
      <c r="D437" s="15" t="str">
        <f>IFERROR(IF(Payments[[#This Row],[Invoice '#]]="","",INDEX(Invoices[Due Date],MATCH(Payments[[#This Row],[Invoice '#]],Invoices[Invoice '#],0))),"")</f>
        <v/>
      </c>
      <c r="E437" s="40" t="str">
        <f ca="1">IFERROR(IF(Payments[[#This Row],[Invoice '#]]="","",INDEX(Invoices[Amount due],MATCH(Payments[[#This Row],[Invoice '#]],Invoices[Invoice '#],0))-IF(E436=Payments[[#Headers],[Amount Due]],0,SUMIF(INDIRECT("B4:B"&amp;ROW()-1),Payments[[#This Row],[Invoice '#]],Payments[Amount Paid]))),"")</f>
        <v/>
      </c>
      <c r="F437" s="41"/>
      <c r="G437" s="10"/>
      <c r="H437" s="38" t="str">
        <f ca="1">IFERROR(IF(Payments[[#This Row],[Amount Due]]="","",IF(Payments[[#This Row],[Amount Due]]=0,0,Payments[[#This Row],[Amount Due]]-Payments[[#This Row],[Amount Paid]])),"")</f>
        <v/>
      </c>
      <c r="I437" s="2"/>
    </row>
    <row r="438" spans="2:9" ht="14.1" customHeight="1" x14ac:dyDescent="0.2">
      <c r="B438" s="11"/>
      <c r="C438" s="14" t="str">
        <f>IFERROR(IF(Payments[[#This Row],[Invoice '#]]="","",INDEX(Invoices[Customer],MATCH(Payments[[#This Row],[Invoice '#]],Invoices[Invoice '#],0))),"")</f>
        <v/>
      </c>
      <c r="D438" s="15" t="str">
        <f>IFERROR(IF(Payments[[#This Row],[Invoice '#]]="","",INDEX(Invoices[Due Date],MATCH(Payments[[#This Row],[Invoice '#]],Invoices[Invoice '#],0))),"")</f>
        <v/>
      </c>
      <c r="E438" s="40" t="str">
        <f ca="1">IFERROR(IF(Payments[[#This Row],[Invoice '#]]="","",INDEX(Invoices[Amount due],MATCH(Payments[[#This Row],[Invoice '#]],Invoices[Invoice '#],0))-IF(E437=Payments[[#Headers],[Amount Due]],0,SUMIF(INDIRECT("B4:B"&amp;ROW()-1),Payments[[#This Row],[Invoice '#]],Payments[Amount Paid]))),"")</f>
        <v/>
      </c>
      <c r="F438" s="41"/>
      <c r="G438" s="10"/>
      <c r="H438" s="38" t="str">
        <f ca="1">IFERROR(IF(Payments[[#This Row],[Amount Due]]="","",IF(Payments[[#This Row],[Amount Due]]=0,0,Payments[[#This Row],[Amount Due]]-Payments[[#This Row],[Amount Paid]])),"")</f>
        <v/>
      </c>
      <c r="I438" s="2"/>
    </row>
    <row r="439" spans="2:9" ht="14.1" customHeight="1" x14ac:dyDescent="0.2">
      <c r="B439" s="11"/>
      <c r="C439" s="14" t="str">
        <f>IFERROR(IF(Payments[[#This Row],[Invoice '#]]="","",INDEX(Invoices[Customer],MATCH(Payments[[#This Row],[Invoice '#]],Invoices[Invoice '#],0))),"")</f>
        <v/>
      </c>
      <c r="D439" s="15" t="str">
        <f>IFERROR(IF(Payments[[#This Row],[Invoice '#]]="","",INDEX(Invoices[Due Date],MATCH(Payments[[#This Row],[Invoice '#]],Invoices[Invoice '#],0))),"")</f>
        <v/>
      </c>
      <c r="E439" s="40" t="str">
        <f ca="1">IFERROR(IF(Payments[[#This Row],[Invoice '#]]="","",INDEX(Invoices[Amount due],MATCH(Payments[[#This Row],[Invoice '#]],Invoices[Invoice '#],0))-IF(E438=Payments[[#Headers],[Amount Due]],0,SUMIF(INDIRECT("B4:B"&amp;ROW()-1),Payments[[#This Row],[Invoice '#]],Payments[Amount Paid]))),"")</f>
        <v/>
      </c>
      <c r="F439" s="41"/>
      <c r="G439" s="10"/>
      <c r="H439" s="38" t="str">
        <f ca="1">IFERROR(IF(Payments[[#This Row],[Amount Due]]="","",IF(Payments[[#This Row],[Amount Due]]=0,0,Payments[[#This Row],[Amount Due]]-Payments[[#This Row],[Amount Paid]])),"")</f>
        <v/>
      </c>
      <c r="I439" s="2"/>
    </row>
    <row r="440" spans="2:9" ht="14.1" customHeight="1" x14ac:dyDescent="0.2">
      <c r="B440" s="11"/>
      <c r="C440" s="14" t="str">
        <f>IFERROR(IF(Payments[[#This Row],[Invoice '#]]="","",INDEX(Invoices[Customer],MATCH(Payments[[#This Row],[Invoice '#]],Invoices[Invoice '#],0))),"")</f>
        <v/>
      </c>
      <c r="D440" s="15" t="str">
        <f>IFERROR(IF(Payments[[#This Row],[Invoice '#]]="","",INDEX(Invoices[Due Date],MATCH(Payments[[#This Row],[Invoice '#]],Invoices[Invoice '#],0))),"")</f>
        <v/>
      </c>
      <c r="E440" s="40" t="str">
        <f ca="1">IFERROR(IF(Payments[[#This Row],[Invoice '#]]="","",INDEX(Invoices[Amount due],MATCH(Payments[[#This Row],[Invoice '#]],Invoices[Invoice '#],0))-IF(E439=Payments[[#Headers],[Amount Due]],0,SUMIF(INDIRECT("B4:B"&amp;ROW()-1),Payments[[#This Row],[Invoice '#]],Payments[Amount Paid]))),"")</f>
        <v/>
      </c>
      <c r="F440" s="41"/>
      <c r="G440" s="10"/>
      <c r="H440" s="38" t="str">
        <f ca="1">IFERROR(IF(Payments[[#This Row],[Amount Due]]="","",IF(Payments[[#This Row],[Amount Due]]=0,0,Payments[[#This Row],[Amount Due]]-Payments[[#This Row],[Amount Paid]])),"")</f>
        <v/>
      </c>
      <c r="I440" s="2"/>
    </row>
    <row r="441" spans="2:9" ht="14.1" customHeight="1" x14ac:dyDescent="0.2">
      <c r="B441" s="11"/>
      <c r="C441" s="14" t="str">
        <f>IFERROR(IF(Payments[[#This Row],[Invoice '#]]="","",INDEX(Invoices[Customer],MATCH(Payments[[#This Row],[Invoice '#]],Invoices[Invoice '#],0))),"")</f>
        <v/>
      </c>
      <c r="D441" s="15" t="str">
        <f>IFERROR(IF(Payments[[#This Row],[Invoice '#]]="","",INDEX(Invoices[Due Date],MATCH(Payments[[#This Row],[Invoice '#]],Invoices[Invoice '#],0))),"")</f>
        <v/>
      </c>
      <c r="E441" s="40" t="str">
        <f ca="1">IFERROR(IF(Payments[[#This Row],[Invoice '#]]="","",INDEX(Invoices[Amount due],MATCH(Payments[[#This Row],[Invoice '#]],Invoices[Invoice '#],0))-IF(E440=Payments[[#Headers],[Amount Due]],0,SUMIF(INDIRECT("B4:B"&amp;ROW()-1),Payments[[#This Row],[Invoice '#]],Payments[Amount Paid]))),"")</f>
        <v/>
      </c>
      <c r="F441" s="41"/>
      <c r="G441" s="10"/>
      <c r="H441" s="38" t="str">
        <f ca="1">IFERROR(IF(Payments[[#This Row],[Amount Due]]="","",IF(Payments[[#This Row],[Amount Due]]=0,0,Payments[[#This Row],[Amount Due]]-Payments[[#This Row],[Amount Paid]])),"")</f>
        <v/>
      </c>
      <c r="I441" s="2"/>
    </row>
    <row r="442" spans="2:9" ht="14.1" customHeight="1" x14ac:dyDescent="0.2">
      <c r="B442" s="11"/>
      <c r="C442" s="14" t="str">
        <f>IFERROR(IF(Payments[[#This Row],[Invoice '#]]="","",INDEX(Invoices[Customer],MATCH(Payments[[#This Row],[Invoice '#]],Invoices[Invoice '#],0))),"")</f>
        <v/>
      </c>
      <c r="D442" s="15" t="str">
        <f>IFERROR(IF(Payments[[#This Row],[Invoice '#]]="","",INDEX(Invoices[Due Date],MATCH(Payments[[#This Row],[Invoice '#]],Invoices[Invoice '#],0))),"")</f>
        <v/>
      </c>
      <c r="E442" s="40" t="str">
        <f ca="1">IFERROR(IF(Payments[[#This Row],[Invoice '#]]="","",INDEX(Invoices[Amount due],MATCH(Payments[[#This Row],[Invoice '#]],Invoices[Invoice '#],0))-IF(E441=Payments[[#Headers],[Amount Due]],0,SUMIF(INDIRECT("B4:B"&amp;ROW()-1),Payments[[#This Row],[Invoice '#]],Payments[Amount Paid]))),"")</f>
        <v/>
      </c>
      <c r="F442" s="41"/>
      <c r="G442" s="10"/>
      <c r="H442" s="38" t="str">
        <f ca="1">IFERROR(IF(Payments[[#This Row],[Amount Due]]="","",IF(Payments[[#This Row],[Amount Due]]=0,0,Payments[[#This Row],[Amount Due]]-Payments[[#This Row],[Amount Paid]])),"")</f>
        <v/>
      </c>
      <c r="I442" s="2"/>
    </row>
    <row r="443" spans="2:9" ht="14.1" customHeight="1" x14ac:dyDescent="0.2">
      <c r="B443" s="11"/>
      <c r="C443" s="14" t="str">
        <f>IFERROR(IF(Payments[[#This Row],[Invoice '#]]="","",INDEX(Invoices[Customer],MATCH(Payments[[#This Row],[Invoice '#]],Invoices[Invoice '#],0))),"")</f>
        <v/>
      </c>
      <c r="D443" s="15" t="str">
        <f>IFERROR(IF(Payments[[#This Row],[Invoice '#]]="","",INDEX(Invoices[Due Date],MATCH(Payments[[#This Row],[Invoice '#]],Invoices[Invoice '#],0))),"")</f>
        <v/>
      </c>
      <c r="E443" s="40" t="str">
        <f ca="1">IFERROR(IF(Payments[[#This Row],[Invoice '#]]="","",INDEX(Invoices[Amount due],MATCH(Payments[[#This Row],[Invoice '#]],Invoices[Invoice '#],0))-IF(E442=Payments[[#Headers],[Amount Due]],0,SUMIF(INDIRECT("B4:B"&amp;ROW()-1),Payments[[#This Row],[Invoice '#]],Payments[Amount Paid]))),"")</f>
        <v/>
      </c>
      <c r="F443" s="41"/>
      <c r="G443" s="10"/>
      <c r="H443" s="38" t="str">
        <f ca="1">IFERROR(IF(Payments[[#This Row],[Amount Due]]="","",IF(Payments[[#This Row],[Amount Due]]=0,0,Payments[[#This Row],[Amount Due]]-Payments[[#This Row],[Amount Paid]])),"")</f>
        <v/>
      </c>
      <c r="I443" s="2"/>
    </row>
    <row r="444" spans="2:9" ht="14.1" customHeight="1" x14ac:dyDescent="0.2">
      <c r="B444" s="11"/>
      <c r="C444" s="14" t="str">
        <f>IFERROR(IF(Payments[[#This Row],[Invoice '#]]="","",INDEX(Invoices[Customer],MATCH(Payments[[#This Row],[Invoice '#]],Invoices[Invoice '#],0))),"")</f>
        <v/>
      </c>
      <c r="D444" s="15" t="str">
        <f>IFERROR(IF(Payments[[#This Row],[Invoice '#]]="","",INDEX(Invoices[Due Date],MATCH(Payments[[#This Row],[Invoice '#]],Invoices[Invoice '#],0))),"")</f>
        <v/>
      </c>
      <c r="E444" s="40" t="str">
        <f ca="1">IFERROR(IF(Payments[[#This Row],[Invoice '#]]="","",INDEX(Invoices[Amount due],MATCH(Payments[[#This Row],[Invoice '#]],Invoices[Invoice '#],0))-IF(E443=Payments[[#Headers],[Amount Due]],0,SUMIF(INDIRECT("B4:B"&amp;ROW()-1),Payments[[#This Row],[Invoice '#]],Payments[Amount Paid]))),"")</f>
        <v/>
      </c>
      <c r="F444" s="41"/>
      <c r="G444" s="10"/>
      <c r="H444" s="38" t="str">
        <f ca="1">IFERROR(IF(Payments[[#This Row],[Amount Due]]="","",IF(Payments[[#This Row],[Amount Due]]=0,0,Payments[[#This Row],[Amount Due]]-Payments[[#This Row],[Amount Paid]])),"")</f>
        <v/>
      </c>
      <c r="I444" s="2"/>
    </row>
    <row r="445" spans="2:9" ht="14.1" customHeight="1" x14ac:dyDescent="0.2">
      <c r="B445" s="11"/>
      <c r="C445" s="14" t="str">
        <f>IFERROR(IF(Payments[[#This Row],[Invoice '#]]="","",INDEX(Invoices[Customer],MATCH(Payments[[#This Row],[Invoice '#]],Invoices[Invoice '#],0))),"")</f>
        <v/>
      </c>
      <c r="D445" s="15" t="str">
        <f>IFERROR(IF(Payments[[#This Row],[Invoice '#]]="","",INDEX(Invoices[Due Date],MATCH(Payments[[#This Row],[Invoice '#]],Invoices[Invoice '#],0))),"")</f>
        <v/>
      </c>
      <c r="E445" s="40" t="str">
        <f ca="1">IFERROR(IF(Payments[[#This Row],[Invoice '#]]="","",INDEX(Invoices[Amount due],MATCH(Payments[[#This Row],[Invoice '#]],Invoices[Invoice '#],0))-IF(E444=Payments[[#Headers],[Amount Due]],0,SUMIF(INDIRECT("B4:B"&amp;ROW()-1),Payments[[#This Row],[Invoice '#]],Payments[Amount Paid]))),"")</f>
        <v/>
      </c>
      <c r="F445" s="41"/>
      <c r="G445" s="10"/>
      <c r="H445" s="38" t="str">
        <f ca="1">IFERROR(IF(Payments[[#This Row],[Amount Due]]="","",IF(Payments[[#This Row],[Amount Due]]=0,0,Payments[[#This Row],[Amount Due]]-Payments[[#This Row],[Amount Paid]])),"")</f>
        <v/>
      </c>
      <c r="I445" s="2"/>
    </row>
    <row r="446" spans="2:9" ht="14.1" customHeight="1" x14ac:dyDescent="0.2">
      <c r="B446" s="11"/>
      <c r="C446" s="14" t="str">
        <f>IFERROR(IF(Payments[[#This Row],[Invoice '#]]="","",INDEX(Invoices[Customer],MATCH(Payments[[#This Row],[Invoice '#]],Invoices[Invoice '#],0))),"")</f>
        <v/>
      </c>
      <c r="D446" s="15" t="str">
        <f>IFERROR(IF(Payments[[#This Row],[Invoice '#]]="","",INDEX(Invoices[Due Date],MATCH(Payments[[#This Row],[Invoice '#]],Invoices[Invoice '#],0))),"")</f>
        <v/>
      </c>
      <c r="E446" s="40" t="str">
        <f ca="1">IFERROR(IF(Payments[[#This Row],[Invoice '#]]="","",INDEX(Invoices[Amount due],MATCH(Payments[[#This Row],[Invoice '#]],Invoices[Invoice '#],0))-IF(E445=Payments[[#Headers],[Amount Due]],0,SUMIF(INDIRECT("B4:B"&amp;ROW()-1),Payments[[#This Row],[Invoice '#]],Payments[Amount Paid]))),"")</f>
        <v/>
      </c>
      <c r="F446" s="41"/>
      <c r="G446" s="10"/>
      <c r="H446" s="38" t="str">
        <f ca="1">IFERROR(IF(Payments[[#This Row],[Amount Due]]="","",IF(Payments[[#This Row],[Amount Due]]=0,0,Payments[[#This Row],[Amount Due]]-Payments[[#This Row],[Amount Paid]])),"")</f>
        <v/>
      </c>
      <c r="I446" s="2"/>
    </row>
    <row r="447" spans="2:9" ht="14.1" customHeight="1" x14ac:dyDescent="0.2">
      <c r="B447" s="11"/>
      <c r="C447" s="14" t="str">
        <f>IFERROR(IF(Payments[[#This Row],[Invoice '#]]="","",INDEX(Invoices[Customer],MATCH(Payments[[#This Row],[Invoice '#]],Invoices[Invoice '#],0))),"")</f>
        <v/>
      </c>
      <c r="D447" s="15" t="str">
        <f>IFERROR(IF(Payments[[#This Row],[Invoice '#]]="","",INDEX(Invoices[Due Date],MATCH(Payments[[#This Row],[Invoice '#]],Invoices[Invoice '#],0))),"")</f>
        <v/>
      </c>
      <c r="E447" s="40" t="str">
        <f ca="1">IFERROR(IF(Payments[[#This Row],[Invoice '#]]="","",INDEX(Invoices[Amount due],MATCH(Payments[[#This Row],[Invoice '#]],Invoices[Invoice '#],0))-IF(E446=Payments[[#Headers],[Amount Due]],0,SUMIF(INDIRECT("B4:B"&amp;ROW()-1),Payments[[#This Row],[Invoice '#]],Payments[Amount Paid]))),"")</f>
        <v/>
      </c>
      <c r="F447" s="41"/>
      <c r="G447" s="10"/>
      <c r="H447" s="38" t="str">
        <f ca="1">IFERROR(IF(Payments[[#This Row],[Amount Due]]="","",IF(Payments[[#This Row],[Amount Due]]=0,0,Payments[[#This Row],[Amount Due]]-Payments[[#This Row],[Amount Paid]])),"")</f>
        <v/>
      </c>
      <c r="I447" s="2"/>
    </row>
    <row r="448" spans="2:9" ht="14.1" customHeight="1" x14ac:dyDescent="0.2">
      <c r="B448" s="11"/>
      <c r="C448" s="14" t="str">
        <f>IFERROR(IF(Payments[[#This Row],[Invoice '#]]="","",INDEX(Invoices[Customer],MATCH(Payments[[#This Row],[Invoice '#]],Invoices[Invoice '#],0))),"")</f>
        <v/>
      </c>
      <c r="D448" s="15" t="str">
        <f>IFERROR(IF(Payments[[#This Row],[Invoice '#]]="","",INDEX(Invoices[Due Date],MATCH(Payments[[#This Row],[Invoice '#]],Invoices[Invoice '#],0))),"")</f>
        <v/>
      </c>
      <c r="E448" s="40" t="str">
        <f ca="1">IFERROR(IF(Payments[[#This Row],[Invoice '#]]="","",INDEX(Invoices[Amount due],MATCH(Payments[[#This Row],[Invoice '#]],Invoices[Invoice '#],0))-IF(E447=Payments[[#Headers],[Amount Due]],0,SUMIF(INDIRECT("B4:B"&amp;ROW()-1),Payments[[#This Row],[Invoice '#]],Payments[Amount Paid]))),"")</f>
        <v/>
      </c>
      <c r="F448" s="41"/>
      <c r="G448" s="10"/>
      <c r="H448" s="38" t="str">
        <f ca="1">IFERROR(IF(Payments[[#This Row],[Amount Due]]="","",IF(Payments[[#This Row],[Amount Due]]=0,0,Payments[[#This Row],[Amount Due]]-Payments[[#This Row],[Amount Paid]])),"")</f>
        <v/>
      </c>
      <c r="I448" s="2"/>
    </row>
    <row r="449" spans="2:9" ht="14.1" customHeight="1" x14ac:dyDescent="0.2">
      <c r="B449" s="11"/>
      <c r="C449" s="14" t="str">
        <f>IFERROR(IF(Payments[[#This Row],[Invoice '#]]="","",INDEX(Invoices[Customer],MATCH(Payments[[#This Row],[Invoice '#]],Invoices[Invoice '#],0))),"")</f>
        <v/>
      </c>
      <c r="D449" s="15" t="str">
        <f>IFERROR(IF(Payments[[#This Row],[Invoice '#]]="","",INDEX(Invoices[Due Date],MATCH(Payments[[#This Row],[Invoice '#]],Invoices[Invoice '#],0))),"")</f>
        <v/>
      </c>
      <c r="E449" s="40" t="str">
        <f ca="1">IFERROR(IF(Payments[[#This Row],[Invoice '#]]="","",INDEX(Invoices[Amount due],MATCH(Payments[[#This Row],[Invoice '#]],Invoices[Invoice '#],0))-IF(E448=Payments[[#Headers],[Amount Due]],0,SUMIF(INDIRECT("B4:B"&amp;ROW()-1),Payments[[#This Row],[Invoice '#]],Payments[Amount Paid]))),"")</f>
        <v/>
      </c>
      <c r="F449" s="41"/>
      <c r="G449" s="10"/>
      <c r="H449" s="38" t="str">
        <f ca="1">IFERROR(IF(Payments[[#This Row],[Amount Due]]="","",IF(Payments[[#This Row],[Amount Due]]=0,0,Payments[[#This Row],[Amount Due]]-Payments[[#This Row],[Amount Paid]])),"")</f>
        <v/>
      </c>
      <c r="I449" s="2"/>
    </row>
    <row r="450" spans="2:9" ht="14.1" customHeight="1" x14ac:dyDescent="0.2">
      <c r="B450" s="11"/>
      <c r="C450" s="14" t="str">
        <f>IFERROR(IF(Payments[[#This Row],[Invoice '#]]="","",INDEX(Invoices[Customer],MATCH(Payments[[#This Row],[Invoice '#]],Invoices[Invoice '#],0))),"")</f>
        <v/>
      </c>
      <c r="D450" s="15" t="str">
        <f>IFERROR(IF(Payments[[#This Row],[Invoice '#]]="","",INDEX(Invoices[Due Date],MATCH(Payments[[#This Row],[Invoice '#]],Invoices[Invoice '#],0))),"")</f>
        <v/>
      </c>
      <c r="E450" s="40" t="str">
        <f ca="1">IFERROR(IF(Payments[[#This Row],[Invoice '#]]="","",INDEX(Invoices[Amount due],MATCH(Payments[[#This Row],[Invoice '#]],Invoices[Invoice '#],0))-IF(E449=Payments[[#Headers],[Amount Due]],0,SUMIF(INDIRECT("B4:B"&amp;ROW()-1),Payments[[#This Row],[Invoice '#]],Payments[Amount Paid]))),"")</f>
        <v/>
      </c>
      <c r="F450" s="41"/>
      <c r="G450" s="10"/>
      <c r="H450" s="38" t="str">
        <f ca="1">IFERROR(IF(Payments[[#This Row],[Amount Due]]="","",IF(Payments[[#This Row],[Amount Due]]=0,0,Payments[[#This Row],[Amount Due]]-Payments[[#This Row],[Amount Paid]])),"")</f>
        <v/>
      </c>
      <c r="I450" s="2"/>
    </row>
    <row r="451" spans="2:9" ht="14.1" customHeight="1" x14ac:dyDescent="0.2">
      <c r="B451" s="11"/>
      <c r="C451" s="14" t="str">
        <f>IFERROR(IF(Payments[[#This Row],[Invoice '#]]="","",INDEX(Invoices[Customer],MATCH(Payments[[#This Row],[Invoice '#]],Invoices[Invoice '#],0))),"")</f>
        <v/>
      </c>
      <c r="D451" s="15" t="str">
        <f>IFERROR(IF(Payments[[#This Row],[Invoice '#]]="","",INDEX(Invoices[Due Date],MATCH(Payments[[#This Row],[Invoice '#]],Invoices[Invoice '#],0))),"")</f>
        <v/>
      </c>
      <c r="E451" s="40" t="str">
        <f ca="1">IFERROR(IF(Payments[[#This Row],[Invoice '#]]="","",INDEX(Invoices[Amount due],MATCH(Payments[[#This Row],[Invoice '#]],Invoices[Invoice '#],0))-IF(E450=Payments[[#Headers],[Amount Due]],0,SUMIF(INDIRECT("B4:B"&amp;ROW()-1),Payments[[#This Row],[Invoice '#]],Payments[Amount Paid]))),"")</f>
        <v/>
      </c>
      <c r="F451" s="41"/>
      <c r="G451" s="10"/>
      <c r="H451" s="38" t="str">
        <f ca="1">IFERROR(IF(Payments[[#This Row],[Amount Due]]="","",IF(Payments[[#This Row],[Amount Due]]=0,0,Payments[[#This Row],[Amount Due]]-Payments[[#This Row],[Amount Paid]])),"")</f>
        <v/>
      </c>
      <c r="I451" s="2"/>
    </row>
    <row r="452" spans="2:9" ht="14.1" customHeight="1" x14ac:dyDescent="0.2">
      <c r="B452" s="11"/>
      <c r="C452" s="14" t="str">
        <f>IFERROR(IF(Payments[[#This Row],[Invoice '#]]="","",INDEX(Invoices[Customer],MATCH(Payments[[#This Row],[Invoice '#]],Invoices[Invoice '#],0))),"")</f>
        <v/>
      </c>
      <c r="D452" s="15" t="str">
        <f>IFERROR(IF(Payments[[#This Row],[Invoice '#]]="","",INDEX(Invoices[Due Date],MATCH(Payments[[#This Row],[Invoice '#]],Invoices[Invoice '#],0))),"")</f>
        <v/>
      </c>
      <c r="E452" s="40" t="str">
        <f ca="1">IFERROR(IF(Payments[[#This Row],[Invoice '#]]="","",INDEX(Invoices[Amount due],MATCH(Payments[[#This Row],[Invoice '#]],Invoices[Invoice '#],0))-IF(E451=Payments[[#Headers],[Amount Due]],0,SUMIF(INDIRECT("B4:B"&amp;ROW()-1),Payments[[#This Row],[Invoice '#]],Payments[Amount Paid]))),"")</f>
        <v/>
      </c>
      <c r="F452" s="41"/>
      <c r="G452" s="10"/>
      <c r="H452" s="38" t="str">
        <f ca="1">IFERROR(IF(Payments[[#This Row],[Amount Due]]="","",IF(Payments[[#This Row],[Amount Due]]=0,0,Payments[[#This Row],[Amount Due]]-Payments[[#This Row],[Amount Paid]])),"")</f>
        <v/>
      </c>
      <c r="I452" s="2"/>
    </row>
    <row r="453" spans="2:9" ht="14.1" customHeight="1" x14ac:dyDescent="0.2">
      <c r="B453" s="11"/>
      <c r="C453" s="14" t="str">
        <f>IFERROR(IF(Payments[[#This Row],[Invoice '#]]="","",INDEX(Invoices[Customer],MATCH(Payments[[#This Row],[Invoice '#]],Invoices[Invoice '#],0))),"")</f>
        <v/>
      </c>
      <c r="D453" s="15" t="str">
        <f>IFERROR(IF(Payments[[#This Row],[Invoice '#]]="","",INDEX(Invoices[Due Date],MATCH(Payments[[#This Row],[Invoice '#]],Invoices[Invoice '#],0))),"")</f>
        <v/>
      </c>
      <c r="E453" s="40" t="str">
        <f ca="1">IFERROR(IF(Payments[[#This Row],[Invoice '#]]="","",INDEX(Invoices[Amount due],MATCH(Payments[[#This Row],[Invoice '#]],Invoices[Invoice '#],0))-IF(E452=Payments[[#Headers],[Amount Due]],0,SUMIF(INDIRECT("B4:B"&amp;ROW()-1),Payments[[#This Row],[Invoice '#]],Payments[Amount Paid]))),"")</f>
        <v/>
      </c>
      <c r="F453" s="41"/>
      <c r="G453" s="10"/>
      <c r="H453" s="38" t="str">
        <f ca="1">IFERROR(IF(Payments[[#This Row],[Amount Due]]="","",IF(Payments[[#This Row],[Amount Due]]=0,0,Payments[[#This Row],[Amount Due]]-Payments[[#This Row],[Amount Paid]])),"")</f>
        <v/>
      </c>
      <c r="I453" s="2"/>
    </row>
    <row r="454" spans="2:9" ht="14.1" customHeight="1" x14ac:dyDescent="0.2">
      <c r="B454" s="11"/>
      <c r="C454" s="14" t="str">
        <f>IFERROR(IF(Payments[[#This Row],[Invoice '#]]="","",INDEX(Invoices[Customer],MATCH(Payments[[#This Row],[Invoice '#]],Invoices[Invoice '#],0))),"")</f>
        <v/>
      </c>
      <c r="D454" s="15" t="str">
        <f>IFERROR(IF(Payments[[#This Row],[Invoice '#]]="","",INDEX(Invoices[Due Date],MATCH(Payments[[#This Row],[Invoice '#]],Invoices[Invoice '#],0))),"")</f>
        <v/>
      </c>
      <c r="E454" s="40" t="str">
        <f ca="1">IFERROR(IF(Payments[[#This Row],[Invoice '#]]="","",INDEX(Invoices[Amount due],MATCH(Payments[[#This Row],[Invoice '#]],Invoices[Invoice '#],0))-IF(E453=Payments[[#Headers],[Amount Due]],0,SUMIF(INDIRECT("B4:B"&amp;ROW()-1),Payments[[#This Row],[Invoice '#]],Payments[Amount Paid]))),"")</f>
        <v/>
      </c>
      <c r="F454" s="41"/>
      <c r="G454" s="10"/>
      <c r="H454" s="38" t="str">
        <f ca="1">IFERROR(IF(Payments[[#This Row],[Amount Due]]="","",IF(Payments[[#This Row],[Amount Due]]=0,0,Payments[[#This Row],[Amount Due]]-Payments[[#This Row],[Amount Paid]])),"")</f>
        <v/>
      </c>
      <c r="I454" s="2"/>
    </row>
    <row r="455" spans="2:9" ht="14.1" customHeight="1" x14ac:dyDescent="0.2">
      <c r="B455" s="11"/>
      <c r="C455" s="14" t="str">
        <f>IFERROR(IF(Payments[[#This Row],[Invoice '#]]="","",INDEX(Invoices[Customer],MATCH(Payments[[#This Row],[Invoice '#]],Invoices[Invoice '#],0))),"")</f>
        <v/>
      </c>
      <c r="D455" s="15" t="str">
        <f>IFERROR(IF(Payments[[#This Row],[Invoice '#]]="","",INDEX(Invoices[Due Date],MATCH(Payments[[#This Row],[Invoice '#]],Invoices[Invoice '#],0))),"")</f>
        <v/>
      </c>
      <c r="E455" s="40" t="str">
        <f ca="1">IFERROR(IF(Payments[[#This Row],[Invoice '#]]="","",INDEX(Invoices[Amount due],MATCH(Payments[[#This Row],[Invoice '#]],Invoices[Invoice '#],0))-IF(E454=Payments[[#Headers],[Amount Due]],0,SUMIF(INDIRECT("B4:B"&amp;ROW()-1),Payments[[#This Row],[Invoice '#]],Payments[Amount Paid]))),"")</f>
        <v/>
      </c>
      <c r="F455" s="41"/>
      <c r="G455" s="10"/>
      <c r="H455" s="38" t="str">
        <f ca="1">IFERROR(IF(Payments[[#This Row],[Amount Due]]="","",IF(Payments[[#This Row],[Amount Due]]=0,0,Payments[[#This Row],[Amount Due]]-Payments[[#This Row],[Amount Paid]])),"")</f>
        <v/>
      </c>
      <c r="I455" s="2"/>
    </row>
    <row r="456" spans="2:9" ht="14.1" customHeight="1" x14ac:dyDescent="0.2">
      <c r="B456" s="11"/>
      <c r="C456" s="14" t="str">
        <f>IFERROR(IF(Payments[[#This Row],[Invoice '#]]="","",INDEX(Invoices[Customer],MATCH(Payments[[#This Row],[Invoice '#]],Invoices[Invoice '#],0))),"")</f>
        <v/>
      </c>
      <c r="D456" s="15" t="str">
        <f>IFERROR(IF(Payments[[#This Row],[Invoice '#]]="","",INDEX(Invoices[Due Date],MATCH(Payments[[#This Row],[Invoice '#]],Invoices[Invoice '#],0))),"")</f>
        <v/>
      </c>
      <c r="E456" s="40" t="str">
        <f ca="1">IFERROR(IF(Payments[[#This Row],[Invoice '#]]="","",INDEX(Invoices[Amount due],MATCH(Payments[[#This Row],[Invoice '#]],Invoices[Invoice '#],0))-IF(E455=Payments[[#Headers],[Amount Due]],0,SUMIF(INDIRECT("B4:B"&amp;ROW()-1),Payments[[#This Row],[Invoice '#]],Payments[Amount Paid]))),"")</f>
        <v/>
      </c>
      <c r="F456" s="41"/>
      <c r="G456" s="10"/>
      <c r="H456" s="38" t="str">
        <f ca="1">IFERROR(IF(Payments[[#This Row],[Amount Due]]="","",IF(Payments[[#This Row],[Amount Due]]=0,0,Payments[[#This Row],[Amount Due]]-Payments[[#This Row],[Amount Paid]])),"")</f>
        <v/>
      </c>
      <c r="I456" s="2"/>
    </row>
    <row r="457" spans="2:9" ht="14.1" customHeight="1" x14ac:dyDescent="0.2">
      <c r="B457" s="11"/>
      <c r="C457" s="14" t="str">
        <f>IFERROR(IF(Payments[[#This Row],[Invoice '#]]="","",INDEX(Invoices[Customer],MATCH(Payments[[#This Row],[Invoice '#]],Invoices[Invoice '#],0))),"")</f>
        <v/>
      </c>
      <c r="D457" s="15" t="str">
        <f>IFERROR(IF(Payments[[#This Row],[Invoice '#]]="","",INDEX(Invoices[Due Date],MATCH(Payments[[#This Row],[Invoice '#]],Invoices[Invoice '#],0))),"")</f>
        <v/>
      </c>
      <c r="E457" s="40" t="str">
        <f ca="1">IFERROR(IF(Payments[[#This Row],[Invoice '#]]="","",INDEX(Invoices[Amount due],MATCH(Payments[[#This Row],[Invoice '#]],Invoices[Invoice '#],0))-IF(E456=Payments[[#Headers],[Amount Due]],0,SUMIF(INDIRECT("B4:B"&amp;ROW()-1),Payments[[#This Row],[Invoice '#]],Payments[Amount Paid]))),"")</f>
        <v/>
      </c>
      <c r="F457" s="41"/>
      <c r="G457" s="10"/>
      <c r="H457" s="38" t="str">
        <f ca="1">IFERROR(IF(Payments[[#This Row],[Amount Due]]="","",IF(Payments[[#This Row],[Amount Due]]=0,0,Payments[[#This Row],[Amount Due]]-Payments[[#This Row],[Amount Paid]])),"")</f>
        <v/>
      </c>
      <c r="I457" s="2"/>
    </row>
    <row r="458" spans="2:9" ht="14.1" customHeight="1" x14ac:dyDescent="0.2">
      <c r="B458" s="11"/>
      <c r="C458" s="14" t="str">
        <f>IFERROR(IF(Payments[[#This Row],[Invoice '#]]="","",INDEX(Invoices[Customer],MATCH(Payments[[#This Row],[Invoice '#]],Invoices[Invoice '#],0))),"")</f>
        <v/>
      </c>
      <c r="D458" s="15" t="str">
        <f>IFERROR(IF(Payments[[#This Row],[Invoice '#]]="","",INDEX(Invoices[Due Date],MATCH(Payments[[#This Row],[Invoice '#]],Invoices[Invoice '#],0))),"")</f>
        <v/>
      </c>
      <c r="E458" s="40" t="str">
        <f ca="1">IFERROR(IF(Payments[[#This Row],[Invoice '#]]="","",INDEX(Invoices[Amount due],MATCH(Payments[[#This Row],[Invoice '#]],Invoices[Invoice '#],0))-IF(E457=Payments[[#Headers],[Amount Due]],0,SUMIF(INDIRECT("B4:B"&amp;ROW()-1),Payments[[#This Row],[Invoice '#]],Payments[Amount Paid]))),"")</f>
        <v/>
      </c>
      <c r="F458" s="41"/>
      <c r="G458" s="10"/>
      <c r="H458" s="38" t="str">
        <f ca="1">IFERROR(IF(Payments[[#This Row],[Amount Due]]="","",IF(Payments[[#This Row],[Amount Due]]=0,0,Payments[[#This Row],[Amount Due]]-Payments[[#This Row],[Amount Paid]])),"")</f>
        <v/>
      </c>
      <c r="I458" s="2"/>
    </row>
    <row r="459" spans="2:9" ht="14.1" customHeight="1" x14ac:dyDescent="0.2">
      <c r="B459" s="11"/>
      <c r="C459" s="14" t="str">
        <f>IFERROR(IF(Payments[[#This Row],[Invoice '#]]="","",INDEX(Invoices[Customer],MATCH(Payments[[#This Row],[Invoice '#]],Invoices[Invoice '#],0))),"")</f>
        <v/>
      </c>
      <c r="D459" s="15" t="str">
        <f>IFERROR(IF(Payments[[#This Row],[Invoice '#]]="","",INDEX(Invoices[Due Date],MATCH(Payments[[#This Row],[Invoice '#]],Invoices[Invoice '#],0))),"")</f>
        <v/>
      </c>
      <c r="E459" s="40" t="str">
        <f ca="1">IFERROR(IF(Payments[[#This Row],[Invoice '#]]="","",INDEX(Invoices[Amount due],MATCH(Payments[[#This Row],[Invoice '#]],Invoices[Invoice '#],0))-IF(E458=Payments[[#Headers],[Amount Due]],0,SUMIF(INDIRECT("B4:B"&amp;ROW()-1),Payments[[#This Row],[Invoice '#]],Payments[Amount Paid]))),"")</f>
        <v/>
      </c>
      <c r="F459" s="41"/>
      <c r="G459" s="10"/>
      <c r="H459" s="38" t="str">
        <f ca="1">IFERROR(IF(Payments[[#This Row],[Amount Due]]="","",IF(Payments[[#This Row],[Amount Due]]=0,0,Payments[[#This Row],[Amount Due]]-Payments[[#This Row],[Amount Paid]])),"")</f>
        <v/>
      </c>
      <c r="I459" s="2"/>
    </row>
    <row r="460" spans="2:9" ht="14.1" customHeight="1" x14ac:dyDescent="0.2">
      <c r="B460" s="11"/>
      <c r="C460" s="14" t="str">
        <f>IFERROR(IF(Payments[[#This Row],[Invoice '#]]="","",INDEX(Invoices[Customer],MATCH(Payments[[#This Row],[Invoice '#]],Invoices[Invoice '#],0))),"")</f>
        <v/>
      </c>
      <c r="D460" s="15" t="str">
        <f>IFERROR(IF(Payments[[#This Row],[Invoice '#]]="","",INDEX(Invoices[Due Date],MATCH(Payments[[#This Row],[Invoice '#]],Invoices[Invoice '#],0))),"")</f>
        <v/>
      </c>
      <c r="E460" s="40" t="str">
        <f ca="1">IFERROR(IF(Payments[[#This Row],[Invoice '#]]="","",INDEX(Invoices[Amount due],MATCH(Payments[[#This Row],[Invoice '#]],Invoices[Invoice '#],0))-IF(E459=Payments[[#Headers],[Amount Due]],0,SUMIF(INDIRECT("B4:B"&amp;ROW()-1),Payments[[#This Row],[Invoice '#]],Payments[Amount Paid]))),"")</f>
        <v/>
      </c>
      <c r="F460" s="41"/>
      <c r="G460" s="10"/>
      <c r="H460" s="38" t="str">
        <f ca="1">IFERROR(IF(Payments[[#This Row],[Amount Due]]="","",IF(Payments[[#This Row],[Amount Due]]=0,0,Payments[[#This Row],[Amount Due]]-Payments[[#This Row],[Amount Paid]])),"")</f>
        <v/>
      </c>
      <c r="I460" s="2"/>
    </row>
    <row r="461" spans="2:9" ht="14.1" customHeight="1" x14ac:dyDescent="0.2">
      <c r="B461" s="11"/>
      <c r="C461" s="14" t="str">
        <f>IFERROR(IF(Payments[[#This Row],[Invoice '#]]="","",INDEX(Invoices[Customer],MATCH(Payments[[#This Row],[Invoice '#]],Invoices[Invoice '#],0))),"")</f>
        <v/>
      </c>
      <c r="D461" s="15" t="str">
        <f>IFERROR(IF(Payments[[#This Row],[Invoice '#]]="","",INDEX(Invoices[Due Date],MATCH(Payments[[#This Row],[Invoice '#]],Invoices[Invoice '#],0))),"")</f>
        <v/>
      </c>
      <c r="E461" s="40" t="str">
        <f ca="1">IFERROR(IF(Payments[[#This Row],[Invoice '#]]="","",INDEX(Invoices[Amount due],MATCH(Payments[[#This Row],[Invoice '#]],Invoices[Invoice '#],0))-IF(E460=Payments[[#Headers],[Amount Due]],0,SUMIF(INDIRECT("B4:B"&amp;ROW()-1),Payments[[#This Row],[Invoice '#]],Payments[Amount Paid]))),"")</f>
        <v/>
      </c>
      <c r="F461" s="41"/>
      <c r="G461" s="10"/>
      <c r="H461" s="38" t="str">
        <f ca="1">IFERROR(IF(Payments[[#This Row],[Amount Due]]="","",IF(Payments[[#This Row],[Amount Due]]=0,0,Payments[[#This Row],[Amount Due]]-Payments[[#This Row],[Amount Paid]])),"")</f>
        <v/>
      </c>
      <c r="I461" s="2"/>
    </row>
    <row r="462" spans="2:9" ht="14.1" customHeight="1" x14ac:dyDescent="0.2">
      <c r="B462" s="11"/>
      <c r="C462" s="14" t="str">
        <f>IFERROR(IF(Payments[[#This Row],[Invoice '#]]="","",INDEX(Invoices[Customer],MATCH(Payments[[#This Row],[Invoice '#]],Invoices[Invoice '#],0))),"")</f>
        <v/>
      </c>
      <c r="D462" s="15" t="str">
        <f>IFERROR(IF(Payments[[#This Row],[Invoice '#]]="","",INDEX(Invoices[Due Date],MATCH(Payments[[#This Row],[Invoice '#]],Invoices[Invoice '#],0))),"")</f>
        <v/>
      </c>
      <c r="E462" s="40" t="str">
        <f ca="1">IFERROR(IF(Payments[[#This Row],[Invoice '#]]="","",INDEX(Invoices[Amount due],MATCH(Payments[[#This Row],[Invoice '#]],Invoices[Invoice '#],0))-IF(E461=Payments[[#Headers],[Amount Due]],0,SUMIF(INDIRECT("B4:B"&amp;ROW()-1),Payments[[#This Row],[Invoice '#]],Payments[Amount Paid]))),"")</f>
        <v/>
      </c>
      <c r="F462" s="41"/>
      <c r="G462" s="10"/>
      <c r="H462" s="38" t="str">
        <f ca="1">IFERROR(IF(Payments[[#This Row],[Amount Due]]="","",IF(Payments[[#This Row],[Amount Due]]=0,0,Payments[[#This Row],[Amount Due]]-Payments[[#This Row],[Amount Paid]])),"")</f>
        <v/>
      </c>
      <c r="I462" s="2"/>
    </row>
    <row r="463" spans="2:9" ht="14.1" customHeight="1" x14ac:dyDescent="0.2">
      <c r="B463" s="11"/>
      <c r="C463" s="14" t="str">
        <f>IFERROR(IF(Payments[[#This Row],[Invoice '#]]="","",INDEX(Invoices[Customer],MATCH(Payments[[#This Row],[Invoice '#]],Invoices[Invoice '#],0))),"")</f>
        <v/>
      </c>
      <c r="D463" s="15" t="str">
        <f>IFERROR(IF(Payments[[#This Row],[Invoice '#]]="","",INDEX(Invoices[Due Date],MATCH(Payments[[#This Row],[Invoice '#]],Invoices[Invoice '#],0))),"")</f>
        <v/>
      </c>
      <c r="E463" s="40" t="str">
        <f ca="1">IFERROR(IF(Payments[[#This Row],[Invoice '#]]="","",INDEX(Invoices[Amount due],MATCH(Payments[[#This Row],[Invoice '#]],Invoices[Invoice '#],0))-IF(E462=Payments[[#Headers],[Amount Due]],0,SUMIF(INDIRECT("B4:B"&amp;ROW()-1),Payments[[#This Row],[Invoice '#]],Payments[Amount Paid]))),"")</f>
        <v/>
      </c>
      <c r="F463" s="41"/>
      <c r="G463" s="10"/>
      <c r="H463" s="38" t="str">
        <f ca="1">IFERROR(IF(Payments[[#This Row],[Amount Due]]="","",IF(Payments[[#This Row],[Amount Due]]=0,0,Payments[[#This Row],[Amount Due]]-Payments[[#This Row],[Amount Paid]])),"")</f>
        <v/>
      </c>
      <c r="I463" s="2"/>
    </row>
    <row r="464" spans="2:9" ht="14.1" customHeight="1" x14ac:dyDescent="0.2">
      <c r="B464" s="11"/>
      <c r="C464" s="14" t="str">
        <f>IFERROR(IF(Payments[[#This Row],[Invoice '#]]="","",INDEX(Invoices[Customer],MATCH(Payments[[#This Row],[Invoice '#]],Invoices[Invoice '#],0))),"")</f>
        <v/>
      </c>
      <c r="D464" s="15" t="str">
        <f>IFERROR(IF(Payments[[#This Row],[Invoice '#]]="","",INDEX(Invoices[Due Date],MATCH(Payments[[#This Row],[Invoice '#]],Invoices[Invoice '#],0))),"")</f>
        <v/>
      </c>
      <c r="E464" s="40" t="str">
        <f ca="1">IFERROR(IF(Payments[[#This Row],[Invoice '#]]="","",INDEX(Invoices[Amount due],MATCH(Payments[[#This Row],[Invoice '#]],Invoices[Invoice '#],0))-IF(E463=Payments[[#Headers],[Amount Due]],0,SUMIF(INDIRECT("B4:B"&amp;ROW()-1),Payments[[#This Row],[Invoice '#]],Payments[Amount Paid]))),"")</f>
        <v/>
      </c>
      <c r="F464" s="41"/>
      <c r="G464" s="10"/>
      <c r="H464" s="38" t="str">
        <f ca="1">IFERROR(IF(Payments[[#This Row],[Amount Due]]="","",IF(Payments[[#This Row],[Amount Due]]=0,0,Payments[[#This Row],[Amount Due]]-Payments[[#This Row],[Amount Paid]])),"")</f>
        <v/>
      </c>
      <c r="I464" s="2"/>
    </row>
    <row r="465" spans="2:9" ht="14.1" customHeight="1" x14ac:dyDescent="0.2">
      <c r="B465" s="11"/>
      <c r="C465" s="14" t="str">
        <f>IFERROR(IF(Payments[[#This Row],[Invoice '#]]="","",INDEX(Invoices[Customer],MATCH(Payments[[#This Row],[Invoice '#]],Invoices[Invoice '#],0))),"")</f>
        <v/>
      </c>
      <c r="D465" s="15" t="str">
        <f>IFERROR(IF(Payments[[#This Row],[Invoice '#]]="","",INDEX(Invoices[Due Date],MATCH(Payments[[#This Row],[Invoice '#]],Invoices[Invoice '#],0))),"")</f>
        <v/>
      </c>
      <c r="E465" s="40" t="str">
        <f ca="1">IFERROR(IF(Payments[[#This Row],[Invoice '#]]="","",INDEX(Invoices[Amount due],MATCH(Payments[[#This Row],[Invoice '#]],Invoices[Invoice '#],0))-IF(E464=Payments[[#Headers],[Amount Due]],0,SUMIF(INDIRECT("B4:B"&amp;ROW()-1),Payments[[#This Row],[Invoice '#]],Payments[Amount Paid]))),"")</f>
        <v/>
      </c>
      <c r="F465" s="41"/>
      <c r="G465" s="10"/>
      <c r="H465" s="38" t="str">
        <f ca="1">IFERROR(IF(Payments[[#This Row],[Amount Due]]="","",IF(Payments[[#This Row],[Amount Due]]=0,0,Payments[[#This Row],[Amount Due]]-Payments[[#This Row],[Amount Paid]])),"")</f>
        <v/>
      </c>
      <c r="I465" s="2"/>
    </row>
    <row r="466" spans="2:9" ht="14.1" customHeight="1" x14ac:dyDescent="0.2">
      <c r="B466" s="11"/>
      <c r="C466" s="14" t="str">
        <f>IFERROR(IF(Payments[[#This Row],[Invoice '#]]="","",INDEX(Invoices[Customer],MATCH(Payments[[#This Row],[Invoice '#]],Invoices[Invoice '#],0))),"")</f>
        <v/>
      </c>
      <c r="D466" s="15" t="str">
        <f>IFERROR(IF(Payments[[#This Row],[Invoice '#]]="","",INDEX(Invoices[Due Date],MATCH(Payments[[#This Row],[Invoice '#]],Invoices[Invoice '#],0))),"")</f>
        <v/>
      </c>
      <c r="E466" s="40" t="str">
        <f ca="1">IFERROR(IF(Payments[[#This Row],[Invoice '#]]="","",INDEX(Invoices[Amount due],MATCH(Payments[[#This Row],[Invoice '#]],Invoices[Invoice '#],0))-IF(E465=Payments[[#Headers],[Amount Due]],0,SUMIF(INDIRECT("B4:B"&amp;ROW()-1),Payments[[#This Row],[Invoice '#]],Payments[Amount Paid]))),"")</f>
        <v/>
      </c>
      <c r="F466" s="41"/>
      <c r="G466" s="10"/>
      <c r="H466" s="38" t="str">
        <f ca="1">IFERROR(IF(Payments[[#This Row],[Amount Due]]="","",IF(Payments[[#This Row],[Amount Due]]=0,0,Payments[[#This Row],[Amount Due]]-Payments[[#This Row],[Amount Paid]])),"")</f>
        <v/>
      </c>
      <c r="I466" s="2"/>
    </row>
    <row r="467" spans="2:9" ht="14.1" customHeight="1" x14ac:dyDescent="0.2">
      <c r="B467" s="11"/>
      <c r="C467" s="14" t="str">
        <f>IFERROR(IF(Payments[[#This Row],[Invoice '#]]="","",INDEX(Invoices[Customer],MATCH(Payments[[#This Row],[Invoice '#]],Invoices[Invoice '#],0))),"")</f>
        <v/>
      </c>
      <c r="D467" s="15" t="str">
        <f>IFERROR(IF(Payments[[#This Row],[Invoice '#]]="","",INDEX(Invoices[Due Date],MATCH(Payments[[#This Row],[Invoice '#]],Invoices[Invoice '#],0))),"")</f>
        <v/>
      </c>
      <c r="E467" s="40" t="str">
        <f ca="1">IFERROR(IF(Payments[[#This Row],[Invoice '#]]="","",INDEX(Invoices[Amount due],MATCH(Payments[[#This Row],[Invoice '#]],Invoices[Invoice '#],0))-IF(E466=Payments[[#Headers],[Amount Due]],0,SUMIF(INDIRECT("B4:B"&amp;ROW()-1),Payments[[#This Row],[Invoice '#]],Payments[Amount Paid]))),"")</f>
        <v/>
      </c>
      <c r="F467" s="41"/>
      <c r="G467" s="10"/>
      <c r="H467" s="38" t="str">
        <f ca="1">IFERROR(IF(Payments[[#This Row],[Amount Due]]="","",IF(Payments[[#This Row],[Amount Due]]=0,0,Payments[[#This Row],[Amount Due]]-Payments[[#This Row],[Amount Paid]])),"")</f>
        <v/>
      </c>
      <c r="I467" s="2"/>
    </row>
    <row r="468" spans="2:9" ht="14.1" customHeight="1" x14ac:dyDescent="0.2">
      <c r="B468" s="11"/>
      <c r="C468" s="14" t="str">
        <f>IFERROR(IF(Payments[[#This Row],[Invoice '#]]="","",INDEX(Invoices[Customer],MATCH(Payments[[#This Row],[Invoice '#]],Invoices[Invoice '#],0))),"")</f>
        <v/>
      </c>
      <c r="D468" s="15" t="str">
        <f>IFERROR(IF(Payments[[#This Row],[Invoice '#]]="","",INDEX(Invoices[Due Date],MATCH(Payments[[#This Row],[Invoice '#]],Invoices[Invoice '#],0))),"")</f>
        <v/>
      </c>
      <c r="E468" s="40" t="str">
        <f ca="1">IFERROR(IF(Payments[[#This Row],[Invoice '#]]="","",INDEX(Invoices[Amount due],MATCH(Payments[[#This Row],[Invoice '#]],Invoices[Invoice '#],0))-IF(E467=Payments[[#Headers],[Amount Due]],0,SUMIF(INDIRECT("B4:B"&amp;ROW()-1),Payments[[#This Row],[Invoice '#]],Payments[Amount Paid]))),"")</f>
        <v/>
      </c>
      <c r="F468" s="41"/>
      <c r="G468" s="10"/>
      <c r="H468" s="38" t="str">
        <f ca="1">IFERROR(IF(Payments[[#This Row],[Amount Due]]="","",IF(Payments[[#This Row],[Amount Due]]=0,0,Payments[[#This Row],[Amount Due]]-Payments[[#This Row],[Amount Paid]])),"")</f>
        <v/>
      </c>
      <c r="I468" s="2"/>
    </row>
    <row r="469" spans="2:9" ht="14.1" customHeight="1" x14ac:dyDescent="0.2">
      <c r="B469" s="11"/>
      <c r="C469" s="14" t="str">
        <f>IFERROR(IF(Payments[[#This Row],[Invoice '#]]="","",INDEX(Invoices[Customer],MATCH(Payments[[#This Row],[Invoice '#]],Invoices[Invoice '#],0))),"")</f>
        <v/>
      </c>
      <c r="D469" s="15" t="str">
        <f>IFERROR(IF(Payments[[#This Row],[Invoice '#]]="","",INDEX(Invoices[Due Date],MATCH(Payments[[#This Row],[Invoice '#]],Invoices[Invoice '#],0))),"")</f>
        <v/>
      </c>
      <c r="E469" s="40" t="str">
        <f ca="1">IFERROR(IF(Payments[[#This Row],[Invoice '#]]="","",INDEX(Invoices[Amount due],MATCH(Payments[[#This Row],[Invoice '#]],Invoices[Invoice '#],0))-IF(E468=Payments[[#Headers],[Amount Due]],0,SUMIF(INDIRECT("B4:B"&amp;ROW()-1),Payments[[#This Row],[Invoice '#]],Payments[Amount Paid]))),"")</f>
        <v/>
      </c>
      <c r="F469" s="41"/>
      <c r="G469" s="10"/>
      <c r="H469" s="38" t="str">
        <f ca="1">IFERROR(IF(Payments[[#This Row],[Amount Due]]="","",IF(Payments[[#This Row],[Amount Due]]=0,0,Payments[[#This Row],[Amount Due]]-Payments[[#This Row],[Amount Paid]])),"")</f>
        <v/>
      </c>
      <c r="I469" s="2"/>
    </row>
    <row r="470" spans="2:9" ht="14.1" customHeight="1" x14ac:dyDescent="0.2">
      <c r="B470" s="11"/>
      <c r="C470" s="14" t="str">
        <f>IFERROR(IF(Payments[[#This Row],[Invoice '#]]="","",INDEX(Invoices[Customer],MATCH(Payments[[#This Row],[Invoice '#]],Invoices[Invoice '#],0))),"")</f>
        <v/>
      </c>
      <c r="D470" s="15" t="str">
        <f>IFERROR(IF(Payments[[#This Row],[Invoice '#]]="","",INDEX(Invoices[Due Date],MATCH(Payments[[#This Row],[Invoice '#]],Invoices[Invoice '#],0))),"")</f>
        <v/>
      </c>
      <c r="E470" s="40" t="str">
        <f ca="1">IFERROR(IF(Payments[[#This Row],[Invoice '#]]="","",INDEX(Invoices[Amount due],MATCH(Payments[[#This Row],[Invoice '#]],Invoices[Invoice '#],0))-IF(E469=Payments[[#Headers],[Amount Due]],0,SUMIF(INDIRECT("B4:B"&amp;ROW()-1),Payments[[#This Row],[Invoice '#]],Payments[Amount Paid]))),"")</f>
        <v/>
      </c>
      <c r="F470" s="41"/>
      <c r="G470" s="10"/>
      <c r="H470" s="38" t="str">
        <f ca="1">IFERROR(IF(Payments[[#This Row],[Amount Due]]="","",IF(Payments[[#This Row],[Amount Due]]=0,0,Payments[[#This Row],[Amount Due]]-Payments[[#This Row],[Amount Paid]])),"")</f>
        <v/>
      </c>
      <c r="I470" s="2"/>
    </row>
    <row r="471" spans="2:9" ht="14.1" customHeight="1" x14ac:dyDescent="0.2">
      <c r="B471" s="11"/>
      <c r="C471" s="14" t="str">
        <f>IFERROR(IF(Payments[[#This Row],[Invoice '#]]="","",INDEX(Invoices[Customer],MATCH(Payments[[#This Row],[Invoice '#]],Invoices[Invoice '#],0))),"")</f>
        <v/>
      </c>
      <c r="D471" s="15" t="str">
        <f>IFERROR(IF(Payments[[#This Row],[Invoice '#]]="","",INDEX(Invoices[Due Date],MATCH(Payments[[#This Row],[Invoice '#]],Invoices[Invoice '#],0))),"")</f>
        <v/>
      </c>
      <c r="E471" s="40" t="str">
        <f ca="1">IFERROR(IF(Payments[[#This Row],[Invoice '#]]="","",INDEX(Invoices[Amount due],MATCH(Payments[[#This Row],[Invoice '#]],Invoices[Invoice '#],0))-IF(E470=Payments[[#Headers],[Amount Due]],0,SUMIF(INDIRECT("B4:B"&amp;ROW()-1),Payments[[#This Row],[Invoice '#]],Payments[Amount Paid]))),"")</f>
        <v/>
      </c>
      <c r="F471" s="41"/>
      <c r="G471" s="10"/>
      <c r="H471" s="38" t="str">
        <f ca="1">IFERROR(IF(Payments[[#This Row],[Amount Due]]="","",IF(Payments[[#This Row],[Amount Due]]=0,0,Payments[[#This Row],[Amount Due]]-Payments[[#This Row],[Amount Paid]])),"")</f>
        <v/>
      </c>
      <c r="I471" s="2"/>
    </row>
    <row r="472" spans="2:9" ht="14.1" customHeight="1" x14ac:dyDescent="0.2">
      <c r="B472" s="11"/>
      <c r="C472" s="14" t="str">
        <f>IFERROR(IF(Payments[[#This Row],[Invoice '#]]="","",INDEX(Invoices[Customer],MATCH(Payments[[#This Row],[Invoice '#]],Invoices[Invoice '#],0))),"")</f>
        <v/>
      </c>
      <c r="D472" s="15" t="str">
        <f>IFERROR(IF(Payments[[#This Row],[Invoice '#]]="","",INDEX(Invoices[Due Date],MATCH(Payments[[#This Row],[Invoice '#]],Invoices[Invoice '#],0))),"")</f>
        <v/>
      </c>
      <c r="E472" s="40" t="str">
        <f ca="1">IFERROR(IF(Payments[[#This Row],[Invoice '#]]="","",INDEX(Invoices[Amount due],MATCH(Payments[[#This Row],[Invoice '#]],Invoices[Invoice '#],0))-IF(E471=Payments[[#Headers],[Amount Due]],0,SUMIF(INDIRECT("B4:B"&amp;ROW()-1),Payments[[#This Row],[Invoice '#]],Payments[Amount Paid]))),"")</f>
        <v/>
      </c>
      <c r="F472" s="41"/>
      <c r="G472" s="10"/>
      <c r="H472" s="38" t="str">
        <f ca="1">IFERROR(IF(Payments[[#This Row],[Amount Due]]="","",IF(Payments[[#This Row],[Amount Due]]=0,0,Payments[[#This Row],[Amount Due]]-Payments[[#This Row],[Amount Paid]])),"")</f>
        <v/>
      </c>
      <c r="I472" s="2"/>
    </row>
    <row r="473" spans="2:9" ht="14.1" customHeight="1" x14ac:dyDescent="0.2">
      <c r="B473" s="11"/>
      <c r="C473" s="14" t="str">
        <f>IFERROR(IF(Payments[[#This Row],[Invoice '#]]="","",INDEX(Invoices[Customer],MATCH(Payments[[#This Row],[Invoice '#]],Invoices[Invoice '#],0))),"")</f>
        <v/>
      </c>
      <c r="D473" s="15" t="str">
        <f>IFERROR(IF(Payments[[#This Row],[Invoice '#]]="","",INDEX(Invoices[Due Date],MATCH(Payments[[#This Row],[Invoice '#]],Invoices[Invoice '#],0))),"")</f>
        <v/>
      </c>
      <c r="E473" s="40" t="str">
        <f ca="1">IFERROR(IF(Payments[[#This Row],[Invoice '#]]="","",INDEX(Invoices[Amount due],MATCH(Payments[[#This Row],[Invoice '#]],Invoices[Invoice '#],0))-IF(E472=Payments[[#Headers],[Amount Due]],0,SUMIF(INDIRECT("B4:B"&amp;ROW()-1),Payments[[#This Row],[Invoice '#]],Payments[Amount Paid]))),"")</f>
        <v/>
      </c>
      <c r="F473" s="41"/>
      <c r="G473" s="10"/>
      <c r="H473" s="38" t="str">
        <f ca="1">IFERROR(IF(Payments[[#This Row],[Amount Due]]="","",IF(Payments[[#This Row],[Amount Due]]=0,0,Payments[[#This Row],[Amount Due]]-Payments[[#This Row],[Amount Paid]])),"")</f>
        <v/>
      </c>
      <c r="I473" s="2"/>
    </row>
    <row r="474" spans="2:9" ht="14.1" customHeight="1" x14ac:dyDescent="0.2">
      <c r="B474" s="11"/>
      <c r="C474" s="14" t="str">
        <f>IFERROR(IF(Payments[[#This Row],[Invoice '#]]="","",INDEX(Invoices[Customer],MATCH(Payments[[#This Row],[Invoice '#]],Invoices[Invoice '#],0))),"")</f>
        <v/>
      </c>
      <c r="D474" s="15" t="str">
        <f>IFERROR(IF(Payments[[#This Row],[Invoice '#]]="","",INDEX(Invoices[Due Date],MATCH(Payments[[#This Row],[Invoice '#]],Invoices[Invoice '#],0))),"")</f>
        <v/>
      </c>
      <c r="E474" s="40" t="str">
        <f ca="1">IFERROR(IF(Payments[[#This Row],[Invoice '#]]="","",INDEX(Invoices[Amount due],MATCH(Payments[[#This Row],[Invoice '#]],Invoices[Invoice '#],0))-IF(E473=Payments[[#Headers],[Amount Due]],0,SUMIF(INDIRECT("B4:B"&amp;ROW()-1),Payments[[#This Row],[Invoice '#]],Payments[Amount Paid]))),"")</f>
        <v/>
      </c>
      <c r="F474" s="41"/>
      <c r="G474" s="10"/>
      <c r="H474" s="38" t="str">
        <f ca="1">IFERROR(IF(Payments[[#This Row],[Amount Due]]="","",IF(Payments[[#This Row],[Amount Due]]=0,0,Payments[[#This Row],[Amount Due]]-Payments[[#This Row],[Amount Paid]])),"")</f>
        <v/>
      </c>
      <c r="I474" s="2"/>
    </row>
    <row r="475" spans="2:9" ht="14.1" customHeight="1" x14ac:dyDescent="0.2">
      <c r="B475" s="11"/>
      <c r="C475" s="14" t="str">
        <f>IFERROR(IF(Payments[[#This Row],[Invoice '#]]="","",INDEX(Invoices[Customer],MATCH(Payments[[#This Row],[Invoice '#]],Invoices[Invoice '#],0))),"")</f>
        <v/>
      </c>
      <c r="D475" s="15" t="str">
        <f>IFERROR(IF(Payments[[#This Row],[Invoice '#]]="","",INDEX(Invoices[Due Date],MATCH(Payments[[#This Row],[Invoice '#]],Invoices[Invoice '#],0))),"")</f>
        <v/>
      </c>
      <c r="E475" s="40" t="str">
        <f ca="1">IFERROR(IF(Payments[[#This Row],[Invoice '#]]="","",INDEX(Invoices[Amount due],MATCH(Payments[[#This Row],[Invoice '#]],Invoices[Invoice '#],0))-IF(E474=Payments[[#Headers],[Amount Due]],0,SUMIF(INDIRECT("B4:B"&amp;ROW()-1),Payments[[#This Row],[Invoice '#]],Payments[Amount Paid]))),"")</f>
        <v/>
      </c>
      <c r="F475" s="41"/>
      <c r="G475" s="10"/>
      <c r="H475" s="38" t="str">
        <f ca="1">IFERROR(IF(Payments[[#This Row],[Amount Due]]="","",IF(Payments[[#This Row],[Amount Due]]=0,0,Payments[[#This Row],[Amount Due]]-Payments[[#This Row],[Amount Paid]])),"")</f>
        <v/>
      </c>
      <c r="I475" s="2"/>
    </row>
    <row r="476" spans="2:9" ht="14.1" customHeight="1" x14ac:dyDescent="0.2">
      <c r="B476" s="11"/>
      <c r="C476" s="14" t="str">
        <f>IFERROR(IF(Payments[[#This Row],[Invoice '#]]="","",INDEX(Invoices[Customer],MATCH(Payments[[#This Row],[Invoice '#]],Invoices[Invoice '#],0))),"")</f>
        <v/>
      </c>
      <c r="D476" s="15" t="str">
        <f>IFERROR(IF(Payments[[#This Row],[Invoice '#]]="","",INDEX(Invoices[Due Date],MATCH(Payments[[#This Row],[Invoice '#]],Invoices[Invoice '#],0))),"")</f>
        <v/>
      </c>
      <c r="E476" s="40" t="str">
        <f ca="1">IFERROR(IF(Payments[[#This Row],[Invoice '#]]="","",INDEX(Invoices[Amount due],MATCH(Payments[[#This Row],[Invoice '#]],Invoices[Invoice '#],0))-IF(E475=Payments[[#Headers],[Amount Due]],0,SUMIF(INDIRECT("B4:B"&amp;ROW()-1),Payments[[#This Row],[Invoice '#]],Payments[Amount Paid]))),"")</f>
        <v/>
      </c>
      <c r="F476" s="41"/>
      <c r="G476" s="10"/>
      <c r="H476" s="38" t="str">
        <f ca="1">IFERROR(IF(Payments[[#This Row],[Amount Due]]="","",IF(Payments[[#This Row],[Amount Due]]=0,0,Payments[[#This Row],[Amount Due]]-Payments[[#This Row],[Amount Paid]])),"")</f>
        <v/>
      </c>
      <c r="I476" s="2"/>
    </row>
    <row r="477" spans="2:9" ht="14.1" customHeight="1" x14ac:dyDescent="0.2">
      <c r="B477" s="11"/>
      <c r="C477" s="14" t="str">
        <f>IFERROR(IF(Payments[[#This Row],[Invoice '#]]="","",INDEX(Invoices[Customer],MATCH(Payments[[#This Row],[Invoice '#]],Invoices[Invoice '#],0))),"")</f>
        <v/>
      </c>
      <c r="D477" s="15" t="str">
        <f>IFERROR(IF(Payments[[#This Row],[Invoice '#]]="","",INDEX(Invoices[Due Date],MATCH(Payments[[#This Row],[Invoice '#]],Invoices[Invoice '#],0))),"")</f>
        <v/>
      </c>
      <c r="E477" s="40" t="str">
        <f ca="1">IFERROR(IF(Payments[[#This Row],[Invoice '#]]="","",INDEX(Invoices[Amount due],MATCH(Payments[[#This Row],[Invoice '#]],Invoices[Invoice '#],0))-IF(E476=Payments[[#Headers],[Amount Due]],0,SUMIF(INDIRECT("B4:B"&amp;ROW()-1),Payments[[#This Row],[Invoice '#]],Payments[Amount Paid]))),"")</f>
        <v/>
      </c>
      <c r="F477" s="41"/>
      <c r="G477" s="10"/>
      <c r="H477" s="38" t="str">
        <f ca="1">IFERROR(IF(Payments[[#This Row],[Amount Due]]="","",IF(Payments[[#This Row],[Amount Due]]=0,0,Payments[[#This Row],[Amount Due]]-Payments[[#This Row],[Amount Paid]])),"")</f>
        <v/>
      </c>
      <c r="I477" s="2"/>
    </row>
    <row r="478" spans="2:9" ht="14.1" customHeight="1" x14ac:dyDescent="0.2">
      <c r="B478" s="11"/>
      <c r="C478" s="14" t="str">
        <f>IFERROR(IF(Payments[[#This Row],[Invoice '#]]="","",INDEX(Invoices[Customer],MATCH(Payments[[#This Row],[Invoice '#]],Invoices[Invoice '#],0))),"")</f>
        <v/>
      </c>
      <c r="D478" s="15" t="str">
        <f>IFERROR(IF(Payments[[#This Row],[Invoice '#]]="","",INDEX(Invoices[Due Date],MATCH(Payments[[#This Row],[Invoice '#]],Invoices[Invoice '#],0))),"")</f>
        <v/>
      </c>
      <c r="E478" s="40" t="str">
        <f ca="1">IFERROR(IF(Payments[[#This Row],[Invoice '#]]="","",INDEX(Invoices[Amount due],MATCH(Payments[[#This Row],[Invoice '#]],Invoices[Invoice '#],0))-IF(E477=Payments[[#Headers],[Amount Due]],0,SUMIF(INDIRECT("B4:B"&amp;ROW()-1),Payments[[#This Row],[Invoice '#]],Payments[Amount Paid]))),"")</f>
        <v/>
      </c>
      <c r="F478" s="41"/>
      <c r="G478" s="10"/>
      <c r="H478" s="38" t="str">
        <f ca="1">IFERROR(IF(Payments[[#This Row],[Amount Due]]="","",IF(Payments[[#This Row],[Amount Due]]=0,0,Payments[[#This Row],[Amount Due]]-Payments[[#This Row],[Amount Paid]])),"")</f>
        <v/>
      </c>
      <c r="I478" s="2"/>
    </row>
    <row r="479" spans="2:9" ht="14.1" customHeight="1" x14ac:dyDescent="0.2">
      <c r="B479" s="11"/>
      <c r="C479" s="14" t="str">
        <f>IFERROR(IF(Payments[[#This Row],[Invoice '#]]="","",INDEX(Invoices[Customer],MATCH(Payments[[#This Row],[Invoice '#]],Invoices[Invoice '#],0))),"")</f>
        <v/>
      </c>
      <c r="D479" s="15" t="str">
        <f>IFERROR(IF(Payments[[#This Row],[Invoice '#]]="","",INDEX(Invoices[Due Date],MATCH(Payments[[#This Row],[Invoice '#]],Invoices[Invoice '#],0))),"")</f>
        <v/>
      </c>
      <c r="E479" s="40" t="str">
        <f ca="1">IFERROR(IF(Payments[[#This Row],[Invoice '#]]="","",INDEX(Invoices[Amount due],MATCH(Payments[[#This Row],[Invoice '#]],Invoices[Invoice '#],0))-IF(E478=Payments[[#Headers],[Amount Due]],0,SUMIF(INDIRECT("B4:B"&amp;ROW()-1),Payments[[#This Row],[Invoice '#]],Payments[Amount Paid]))),"")</f>
        <v/>
      </c>
      <c r="F479" s="41"/>
      <c r="G479" s="10"/>
      <c r="H479" s="38" t="str">
        <f ca="1">IFERROR(IF(Payments[[#This Row],[Amount Due]]="","",IF(Payments[[#This Row],[Amount Due]]=0,0,Payments[[#This Row],[Amount Due]]-Payments[[#This Row],[Amount Paid]])),"")</f>
        <v/>
      </c>
      <c r="I479" s="2"/>
    </row>
    <row r="480" spans="2:9" ht="14.1" customHeight="1" x14ac:dyDescent="0.2">
      <c r="B480" s="11"/>
      <c r="C480" s="14" t="str">
        <f>IFERROR(IF(Payments[[#This Row],[Invoice '#]]="","",INDEX(Invoices[Customer],MATCH(Payments[[#This Row],[Invoice '#]],Invoices[Invoice '#],0))),"")</f>
        <v/>
      </c>
      <c r="D480" s="15" t="str">
        <f>IFERROR(IF(Payments[[#This Row],[Invoice '#]]="","",INDEX(Invoices[Due Date],MATCH(Payments[[#This Row],[Invoice '#]],Invoices[Invoice '#],0))),"")</f>
        <v/>
      </c>
      <c r="E480" s="40" t="str">
        <f ca="1">IFERROR(IF(Payments[[#This Row],[Invoice '#]]="","",INDEX(Invoices[Amount due],MATCH(Payments[[#This Row],[Invoice '#]],Invoices[Invoice '#],0))-IF(E479=Payments[[#Headers],[Amount Due]],0,SUMIF(INDIRECT("B4:B"&amp;ROW()-1),Payments[[#This Row],[Invoice '#]],Payments[Amount Paid]))),"")</f>
        <v/>
      </c>
      <c r="F480" s="41"/>
      <c r="G480" s="10"/>
      <c r="H480" s="38" t="str">
        <f ca="1">IFERROR(IF(Payments[[#This Row],[Amount Due]]="","",IF(Payments[[#This Row],[Amount Due]]=0,0,Payments[[#This Row],[Amount Due]]-Payments[[#This Row],[Amount Paid]])),"")</f>
        <v/>
      </c>
      <c r="I480" s="2"/>
    </row>
    <row r="481" spans="2:9" ht="14.1" customHeight="1" x14ac:dyDescent="0.2">
      <c r="B481" s="11"/>
      <c r="C481" s="14" t="str">
        <f>IFERROR(IF(Payments[[#This Row],[Invoice '#]]="","",INDEX(Invoices[Customer],MATCH(Payments[[#This Row],[Invoice '#]],Invoices[Invoice '#],0))),"")</f>
        <v/>
      </c>
      <c r="D481" s="15" t="str">
        <f>IFERROR(IF(Payments[[#This Row],[Invoice '#]]="","",INDEX(Invoices[Due Date],MATCH(Payments[[#This Row],[Invoice '#]],Invoices[Invoice '#],0))),"")</f>
        <v/>
      </c>
      <c r="E481" s="40" t="str">
        <f ca="1">IFERROR(IF(Payments[[#This Row],[Invoice '#]]="","",INDEX(Invoices[Amount due],MATCH(Payments[[#This Row],[Invoice '#]],Invoices[Invoice '#],0))-IF(E480=Payments[[#Headers],[Amount Due]],0,SUMIF(INDIRECT("B4:B"&amp;ROW()-1),Payments[[#This Row],[Invoice '#]],Payments[Amount Paid]))),"")</f>
        <v/>
      </c>
      <c r="F481" s="41"/>
      <c r="G481" s="10"/>
      <c r="H481" s="38" t="str">
        <f ca="1">IFERROR(IF(Payments[[#This Row],[Amount Due]]="","",IF(Payments[[#This Row],[Amount Due]]=0,0,Payments[[#This Row],[Amount Due]]-Payments[[#This Row],[Amount Paid]])),"")</f>
        <v/>
      </c>
      <c r="I481" s="2"/>
    </row>
    <row r="482" spans="2:9" ht="14.1" customHeight="1" x14ac:dyDescent="0.2">
      <c r="B482" s="11"/>
      <c r="C482" s="14" t="str">
        <f>IFERROR(IF(Payments[[#This Row],[Invoice '#]]="","",INDEX(Invoices[Customer],MATCH(Payments[[#This Row],[Invoice '#]],Invoices[Invoice '#],0))),"")</f>
        <v/>
      </c>
      <c r="D482" s="15" t="str">
        <f>IFERROR(IF(Payments[[#This Row],[Invoice '#]]="","",INDEX(Invoices[Due Date],MATCH(Payments[[#This Row],[Invoice '#]],Invoices[Invoice '#],0))),"")</f>
        <v/>
      </c>
      <c r="E482" s="40" t="str">
        <f ca="1">IFERROR(IF(Payments[[#This Row],[Invoice '#]]="","",INDEX(Invoices[Amount due],MATCH(Payments[[#This Row],[Invoice '#]],Invoices[Invoice '#],0))-IF(E481=Payments[[#Headers],[Amount Due]],0,SUMIF(INDIRECT("B4:B"&amp;ROW()-1),Payments[[#This Row],[Invoice '#]],Payments[Amount Paid]))),"")</f>
        <v/>
      </c>
      <c r="F482" s="41"/>
      <c r="G482" s="10"/>
      <c r="H482" s="38" t="str">
        <f ca="1">IFERROR(IF(Payments[[#This Row],[Amount Due]]="","",IF(Payments[[#This Row],[Amount Due]]=0,0,Payments[[#This Row],[Amount Due]]-Payments[[#This Row],[Amount Paid]])),"")</f>
        <v/>
      </c>
      <c r="I482" s="2"/>
    </row>
    <row r="483" spans="2:9" ht="14.1" customHeight="1" x14ac:dyDescent="0.2">
      <c r="B483" s="11"/>
      <c r="C483" s="14" t="str">
        <f>IFERROR(IF(Payments[[#This Row],[Invoice '#]]="","",INDEX(Invoices[Customer],MATCH(Payments[[#This Row],[Invoice '#]],Invoices[Invoice '#],0))),"")</f>
        <v/>
      </c>
      <c r="D483" s="15" t="str">
        <f>IFERROR(IF(Payments[[#This Row],[Invoice '#]]="","",INDEX(Invoices[Due Date],MATCH(Payments[[#This Row],[Invoice '#]],Invoices[Invoice '#],0))),"")</f>
        <v/>
      </c>
      <c r="E483" s="40" t="str">
        <f ca="1">IFERROR(IF(Payments[[#This Row],[Invoice '#]]="","",INDEX(Invoices[Amount due],MATCH(Payments[[#This Row],[Invoice '#]],Invoices[Invoice '#],0))-IF(E482=Payments[[#Headers],[Amount Due]],0,SUMIF(INDIRECT("B4:B"&amp;ROW()-1),Payments[[#This Row],[Invoice '#]],Payments[Amount Paid]))),"")</f>
        <v/>
      </c>
      <c r="F483" s="41"/>
      <c r="G483" s="10"/>
      <c r="H483" s="38" t="str">
        <f ca="1">IFERROR(IF(Payments[[#This Row],[Amount Due]]="","",IF(Payments[[#This Row],[Amount Due]]=0,0,Payments[[#This Row],[Amount Due]]-Payments[[#This Row],[Amount Paid]])),"")</f>
        <v/>
      </c>
      <c r="I483" s="2"/>
    </row>
    <row r="484" spans="2:9" ht="14.1" customHeight="1" x14ac:dyDescent="0.2">
      <c r="B484" s="11"/>
      <c r="C484" s="14" t="str">
        <f>IFERROR(IF(Payments[[#This Row],[Invoice '#]]="","",INDEX(Invoices[Customer],MATCH(Payments[[#This Row],[Invoice '#]],Invoices[Invoice '#],0))),"")</f>
        <v/>
      </c>
      <c r="D484" s="15" t="str">
        <f>IFERROR(IF(Payments[[#This Row],[Invoice '#]]="","",INDEX(Invoices[Due Date],MATCH(Payments[[#This Row],[Invoice '#]],Invoices[Invoice '#],0))),"")</f>
        <v/>
      </c>
      <c r="E484" s="40" t="str">
        <f ca="1">IFERROR(IF(Payments[[#This Row],[Invoice '#]]="","",INDEX(Invoices[Amount due],MATCH(Payments[[#This Row],[Invoice '#]],Invoices[Invoice '#],0))-IF(E483=Payments[[#Headers],[Amount Due]],0,SUMIF(INDIRECT("B4:B"&amp;ROW()-1),Payments[[#This Row],[Invoice '#]],Payments[Amount Paid]))),"")</f>
        <v/>
      </c>
      <c r="F484" s="41"/>
      <c r="G484" s="10"/>
      <c r="H484" s="38" t="str">
        <f ca="1">IFERROR(IF(Payments[[#This Row],[Amount Due]]="","",IF(Payments[[#This Row],[Amount Due]]=0,0,Payments[[#This Row],[Amount Due]]-Payments[[#This Row],[Amount Paid]])),"")</f>
        <v/>
      </c>
      <c r="I484" s="2"/>
    </row>
    <row r="485" spans="2:9" ht="14.1" customHeight="1" x14ac:dyDescent="0.2">
      <c r="B485" s="11"/>
      <c r="C485" s="14" t="str">
        <f>IFERROR(IF(Payments[[#This Row],[Invoice '#]]="","",INDEX(Invoices[Customer],MATCH(Payments[[#This Row],[Invoice '#]],Invoices[Invoice '#],0))),"")</f>
        <v/>
      </c>
      <c r="D485" s="15" t="str">
        <f>IFERROR(IF(Payments[[#This Row],[Invoice '#]]="","",INDEX(Invoices[Due Date],MATCH(Payments[[#This Row],[Invoice '#]],Invoices[Invoice '#],0))),"")</f>
        <v/>
      </c>
      <c r="E485" s="40" t="str">
        <f ca="1">IFERROR(IF(Payments[[#This Row],[Invoice '#]]="","",INDEX(Invoices[Amount due],MATCH(Payments[[#This Row],[Invoice '#]],Invoices[Invoice '#],0))-IF(E484=Payments[[#Headers],[Amount Due]],0,SUMIF(INDIRECT("B4:B"&amp;ROW()-1),Payments[[#This Row],[Invoice '#]],Payments[Amount Paid]))),"")</f>
        <v/>
      </c>
      <c r="F485" s="41"/>
      <c r="G485" s="10"/>
      <c r="H485" s="38" t="str">
        <f ca="1">IFERROR(IF(Payments[[#This Row],[Amount Due]]="","",IF(Payments[[#This Row],[Amount Due]]=0,0,Payments[[#This Row],[Amount Due]]-Payments[[#This Row],[Amount Paid]])),"")</f>
        <v/>
      </c>
      <c r="I485" s="2"/>
    </row>
    <row r="486" spans="2:9" ht="14.1" customHeight="1" x14ac:dyDescent="0.2">
      <c r="B486" s="11"/>
      <c r="C486" s="14" t="str">
        <f>IFERROR(IF(Payments[[#This Row],[Invoice '#]]="","",INDEX(Invoices[Customer],MATCH(Payments[[#This Row],[Invoice '#]],Invoices[Invoice '#],0))),"")</f>
        <v/>
      </c>
      <c r="D486" s="15" t="str">
        <f>IFERROR(IF(Payments[[#This Row],[Invoice '#]]="","",INDEX(Invoices[Due Date],MATCH(Payments[[#This Row],[Invoice '#]],Invoices[Invoice '#],0))),"")</f>
        <v/>
      </c>
      <c r="E486" s="40" t="str">
        <f ca="1">IFERROR(IF(Payments[[#This Row],[Invoice '#]]="","",INDEX(Invoices[Amount due],MATCH(Payments[[#This Row],[Invoice '#]],Invoices[Invoice '#],0))-IF(E485=Payments[[#Headers],[Amount Due]],0,SUMIF(INDIRECT("B4:B"&amp;ROW()-1),Payments[[#This Row],[Invoice '#]],Payments[Amount Paid]))),"")</f>
        <v/>
      </c>
      <c r="F486" s="41"/>
      <c r="G486" s="10"/>
      <c r="H486" s="38" t="str">
        <f ca="1">IFERROR(IF(Payments[[#This Row],[Amount Due]]="","",IF(Payments[[#This Row],[Amount Due]]=0,0,Payments[[#This Row],[Amount Due]]-Payments[[#This Row],[Amount Paid]])),"")</f>
        <v/>
      </c>
      <c r="I486" s="2"/>
    </row>
    <row r="487" spans="2:9" ht="14.1" customHeight="1" x14ac:dyDescent="0.2">
      <c r="B487" s="11"/>
      <c r="C487" s="14" t="str">
        <f>IFERROR(IF(Payments[[#This Row],[Invoice '#]]="","",INDEX(Invoices[Customer],MATCH(Payments[[#This Row],[Invoice '#]],Invoices[Invoice '#],0))),"")</f>
        <v/>
      </c>
      <c r="D487" s="15" t="str">
        <f>IFERROR(IF(Payments[[#This Row],[Invoice '#]]="","",INDEX(Invoices[Due Date],MATCH(Payments[[#This Row],[Invoice '#]],Invoices[Invoice '#],0))),"")</f>
        <v/>
      </c>
      <c r="E487" s="40" t="str">
        <f ca="1">IFERROR(IF(Payments[[#This Row],[Invoice '#]]="","",INDEX(Invoices[Amount due],MATCH(Payments[[#This Row],[Invoice '#]],Invoices[Invoice '#],0))-IF(E486=Payments[[#Headers],[Amount Due]],0,SUMIF(INDIRECT("B4:B"&amp;ROW()-1),Payments[[#This Row],[Invoice '#]],Payments[Amount Paid]))),"")</f>
        <v/>
      </c>
      <c r="F487" s="41"/>
      <c r="G487" s="10"/>
      <c r="H487" s="38" t="str">
        <f ca="1">IFERROR(IF(Payments[[#This Row],[Amount Due]]="","",IF(Payments[[#This Row],[Amount Due]]=0,0,Payments[[#This Row],[Amount Due]]-Payments[[#This Row],[Amount Paid]])),"")</f>
        <v/>
      </c>
      <c r="I487" s="2"/>
    </row>
    <row r="488" spans="2:9" ht="14.1" customHeight="1" x14ac:dyDescent="0.2">
      <c r="B488" s="11"/>
      <c r="C488" s="14" t="str">
        <f>IFERROR(IF(Payments[[#This Row],[Invoice '#]]="","",INDEX(Invoices[Customer],MATCH(Payments[[#This Row],[Invoice '#]],Invoices[Invoice '#],0))),"")</f>
        <v/>
      </c>
      <c r="D488" s="15" t="str">
        <f>IFERROR(IF(Payments[[#This Row],[Invoice '#]]="","",INDEX(Invoices[Due Date],MATCH(Payments[[#This Row],[Invoice '#]],Invoices[Invoice '#],0))),"")</f>
        <v/>
      </c>
      <c r="E488" s="40" t="str">
        <f ca="1">IFERROR(IF(Payments[[#This Row],[Invoice '#]]="","",INDEX(Invoices[Amount due],MATCH(Payments[[#This Row],[Invoice '#]],Invoices[Invoice '#],0))-IF(E487=Payments[[#Headers],[Amount Due]],0,SUMIF(INDIRECT("B4:B"&amp;ROW()-1),Payments[[#This Row],[Invoice '#]],Payments[Amount Paid]))),"")</f>
        <v/>
      </c>
      <c r="F488" s="41"/>
      <c r="G488" s="10"/>
      <c r="H488" s="38" t="str">
        <f ca="1">IFERROR(IF(Payments[[#This Row],[Amount Due]]="","",IF(Payments[[#This Row],[Amount Due]]=0,0,Payments[[#This Row],[Amount Due]]-Payments[[#This Row],[Amount Paid]])),"")</f>
        <v/>
      </c>
      <c r="I488" s="2"/>
    </row>
    <row r="489" spans="2:9" ht="14.1" customHeight="1" x14ac:dyDescent="0.2">
      <c r="B489" s="11"/>
      <c r="C489" s="14" t="str">
        <f>IFERROR(IF(Payments[[#This Row],[Invoice '#]]="","",INDEX(Invoices[Customer],MATCH(Payments[[#This Row],[Invoice '#]],Invoices[Invoice '#],0))),"")</f>
        <v/>
      </c>
      <c r="D489" s="15" t="str">
        <f>IFERROR(IF(Payments[[#This Row],[Invoice '#]]="","",INDEX(Invoices[Due Date],MATCH(Payments[[#This Row],[Invoice '#]],Invoices[Invoice '#],0))),"")</f>
        <v/>
      </c>
      <c r="E489" s="40" t="str">
        <f ca="1">IFERROR(IF(Payments[[#This Row],[Invoice '#]]="","",INDEX(Invoices[Amount due],MATCH(Payments[[#This Row],[Invoice '#]],Invoices[Invoice '#],0))-IF(E488=Payments[[#Headers],[Amount Due]],0,SUMIF(INDIRECT("B4:B"&amp;ROW()-1),Payments[[#This Row],[Invoice '#]],Payments[Amount Paid]))),"")</f>
        <v/>
      </c>
      <c r="F489" s="41"/>
      <c r="G489" s="10"/>
      <c r="H489" s="38" t="str">
        <f ca="1">IFERROR(IF(Payments[[#This Row],[Amount Due]]="","",IF(Payments[[#This Row],[Amount Due]]=0,0,Payments[[#This Row],[Amount Due]]-Payments[[#This Row],[Amount Paid]])),"")</f>
        <v/>
      </c>
      <c r="I489" s="2"/>
    </row>
    <row r="490" spans="2:9" ht="14.1" customHeight="1" x14ac:dyDescent="0.2">
      <c r="B490" s="11"/>
      <c r="C490" s="14" t="str">
        <f>IFERROR(IF(Payments[[#This Row],[Invoice '#]]="","",INDEX(Invoices[Customer],MATCH(Payments[[#This Row],[Invoice '#]],Invoices[Invoice '#],0))),"")</f>
        <v/>
      </c>
      <c r="D490" s="15" t="str">
        <f>IFERROR(IF(Payments[[#This Row],[Invoice '#]]="","",INDEX(Invoices[Due Date],MATCH(Payments[[#This Row],[Invoice '#]],Invoices[Invoice '#],0))),"")</f>
        <v/>
      </c>
      <c r="E490" s="40" t="str">
        <f ca="1">IFERROR(IF(Payments[[#This Row],[Invoice '#]]="","",INDEX(Invoices[Amount due],MATCH(Payments[[#This Row],[Invoice '#]],Invoices[Invoice '#],0))-IF(E489=Payments[[#Headers],[Amount Due]],0,SUMIF(INDIRECT("B4:B"&amp;ROW()-1),Payments[[#This Row],[Invoice '#]],Payments[Amount Paid]))),"")</f>
        <v/>
      </c>
      <c r="F490" s="41"/>
      <c r="G490" s="10"/>
      <c r="H490" s="38" t="str">
        <f ca="1">IFERROR(IF(Payments[[#This Row],[Amount Due]]="","",IF(Payments[[#This Row],[Amount Due]]=0,0,Payments[[#This Row],[Amount Due]]-Payments[[#This Row],[Amount Paid]])),"")</f>
        <v/>
      </c>
      <c r="I490" s="2"/>
    </row>
    <row r="491" spans="2:9" ht="14.1" customHeight="1" x14ac:dyDescent="0.2">
      <c r="B491" s="11"/>
      <c r="C491" s="14" t="str">
        <f>IFERROR(IF(Payments[[#This Row],[Invoice '#]]="","",INDEX(Invoices[Customer],MATCH(Payments[[#This Row],[Invoice '#]],Invoices[Invoice '#],0))),"")</f>
        <v/>
      </c>
      <c r="D491" s="15" t="str">
        <f>IFERROR(IF(Payments[[#This Row],[Invoice '#]]="","",INDEX(Invoices[Due Date],MATCH(Payments[[#This Row],[Invoice '#]],Invoices[Invoice '#],0))),"")</f>
        <v/>
      </c>
      <c r="E491" s="40" t="str">
        <f ca="1">IFERROR(IF(Payments[[#This Row],[Invoice '#]]="","",INDEX(Invoices[Amount due],MATCH(Payments[[#This Row],[Invoice '#]],Invoices[Invoice '#],0))-IF(E490=Payments[[#Headers],[Amount Due]],0,SUMIF(INDIRECT("B4:B"&amp;ROW()-1),Payments[[#This Row],[Invoice '#]],Payments[Amount Paid]))),"")</f>
        <v/>
      </c>
      <c r="F491" s="41"/>
      <c r="G491" s="10"/>
      <c r="H491" s="38" t="str">
        <f ca="1">IFERROR(IF(Payments[[#This Row],[Amount Due]]="","",IF(Payments[[#This Row],[Amount Due]]=0,0,Payments[[#This Row],[Amount Due]]-Payments[[#This Row],[Amount Paid]])),"")</f>
        <v/>
      </c>
      <c r="I491" s="2"/>
    </row>
    <row r="492" spans="2:9" ht="14.1" customHeight="1" x14ac:dyDescent="0.2">
      <c r="B492" s="11"/>
      <c r="C492" s="14" t="str">
        <f>IFERROR(IF(Payments[[#This Row],[Invoice '#]]="","",INDEX(Invoices[Customer],MATCH(Payments[[#This Row],[Invoice '#]],Invoices[Invoice '#],0))),"")</f>
        <v/>
      </c>
      <c r="D492" s="15" t="str">
        <f>IFERROR(IF(Payments[[#This Row],[Invoice '#]]="","",INDEX(Invoices[Due Date],MATCH(Payments[[#This Row],[Invoice '#]],Invoices[Invoice '#],0))),"")</f>
        <v/>
      </c>
      <c r="E492" s="40" t="str">
        <f ca="1">IFERROR(IF(Payments[[#This Row],[Invoice '#]]="","",INDEX(Invoices[Amount due],MATCH(Payments[[#This Row],[Invoice '#]],Invoices[Invoice '#],0))-IF(E491=Payments[[#Headers],[Amount Due]],0,SUMIF(INDIRECT("B4:B"&amp;ROW()-1),Payments[[#This Row],[Invoice '#]],Payments[Amount Paid]))),"")</f>
        <v/>
      </c>
      <c r="F492" s="41"/>
      <c r="G492" s="10"/>
      <c r="H492" s="38" t="str">
        <f ca="1">IFERROR(IF(Payments[[#This Row],[Amount Due]]="","",IF(Payments[[#This Row],[Amount Due]]=0,0,Payments[[#This Row],[Amount Due]]-Payments[[#This Row],[Amount Paid]])),"")</f>
        <v/>
      </c>
      <c r="I492" s="2"/>
    </row>
    <row r="493" spans="2:9" ht="14.1" customHeight="1" x14ac:dyDescent="0.2">
      <c r="B493" s="11"/>
      <c r="C493" s="14" t="str">
        <f>IFERROR(IF(Payments[[#This Row],[Invoice '#]]="","",INDEX(Invoices[Customer],MATCH(Payments[[#This Row],[Invoice '#]],Invoices[Invoice '#],0))),"")</f>
        <v/>
      </c>
      <c r="D493" s="15" t="str">
        <f>IFERROR(IF(Payments[[#This Row],[Invoice '#]]="","",INDEX(Invoices[Due Date],MATCH(Payments[[#This Row],[Invoice '#]],Invoices[Invoice '#],0))),"")</f>
        <v/>
      </c>
      <c r="E493" s="40" t="str">
        <f ca="1">IFERROR(IF(Payments[[#This Row],[Invoice '#]]="","",INDEX(Invoices[Amount due],MATCH(Payments[[#This Row],[Invoice '#]],Invoices[Invoice '#],0))-IF(E492=Payments[[#Headers],[Amount Due]],0,SUMIF(INDIRECT("B4:B"&amp;ROW()-1),Payments[[#This Row],[Invoice '#]],Payments[Amount Paid]))),"")</f>
        <v/>
      </c>
      <c r="F493" s="41"/>
      <c r="G493" s="10"/>
      <c r="H493" s="38" t="str">
        <f ca="1">IFERROR(IF(Payments[[#This Row],[Amount Due]]="","",IF(Payments[[#This Row],[Amount Due]]=0,0,Payments[[#This Row],[Amount Due]]-Payments[[#This Row],[Amount Paid]])),"")</f>
        <v/>
      </c>
      <c r="I493" s="2"/>
    </row>
    <row r="494" spans="2:9" ht="14.1" customHeight="1" x14ac:dyDescent="0.2">
      <c r="B494" s="11"/>
      <c r="C494" s="14" t="str">
        <f>IFERROR(IF(Payments[[#This Row],[Invoice '#]]="","",INDEX(Invoices[Customer],MATCH(Payments[[#This Row],[Invoice '#]],Invoices[Invoice '#],0))),"")</f>
        <v/>
      </c>
      <c r="D494" s="15" t="str">
        <f>IFERROR(IF(Payments[[#This Row],[Invoice '#]]="","",INDEX(Invoices[Due Date],MATCH(Payments[[#This Row],[Invoice '#]],Invoices[Invoice '#],0))),"")</f>
        <v/>
      </c>
      <c r="E494" s="40" t="str">
        <f ca="1">IFERROR(IF(Payments[[#This Row],[Invoice '#]]="","",INDEX(Invoices[Amount due],MATCH(Payments[[#This Row],[Invoice '#]],Invoices[Invoice '#],0))-IF(E493=Payments[[#Headers],[Amount Due]],0,SUMIF(INDIRECT("B4:B"&amp;ROW()-1),Payments[[#This Row],[Invoice '#]],Payments[Amount Paid]))),"")</f>
        <v/>
      </c>
      <c r="F494" s="41"/>
      <c r="G494" s="10"/>
      <c r="H494" s="38" t="str">
        <f ca="1">IFERROR(IF(Payments[[#This Row],[Amount Due]]="","",IF(Payments[[#This Row],[Amount Due]]=0,0,Payments[[#This Row],[Amount Due]]-Payments[[#This Row],[Amount Paid]])),"")</f>
        <v/>
      </c>
      <c r="I494" s="2"/>
    </row>
    <row r="495" spans="2:9" ht="14.1" customHeight="1" x14ac:dyDescent="0.2">
      <c r="B495" s="11"/>
      <c r="C495" s="14" t="str">
        <f>IFERROR(IF(Payments[[#This Row],[Invoice '#]]="","",INDEX(Invoices[Customer],MATCH(Payments[[#This Row],[Invoice '#]],Invoices[Invoice '#],0))),"")</f>
        <v/>
      </c>
      <c r="D495" s="15" t="str">
        <f>IFERROR(IF(Payments[[#This Row],[Invoice '#]]="","",INDEX(Invoices[Due Date],MATCH(Payments[[#This Row],[Invoice '#]],Invoices[Invoice '#],0))),"")</f>
        <v/>
      </c>
      <c r="E495" s="40" t="str">
        <f ca="1">IFERROR(IF(Payments[[#This Row],[Invoice '#]]="","",INDEX(Invoices[Amount due],MATCH(Payments[[#This Row],[Invoice '#]],Invoices[Invoice '#],0))-IF(E494=Payments[[#Headers],[Amount Due]],0,SUMIF(INDIRECT("B4:B"&amp;ROW()-1),Payments[[#This Row],[Invoice '#]],Payments[Amount Paid]))),"")</f>
        <v/>
      </c>
      <c r="F495" s="41"/>
      <c r="G495" s="10"/>
      <c r="H495" s="38" t="str">
        <f ca="1">IFERROR(IF(Payments[[#This Row],[Amount Due]]="","",IF(Payments[[#This Row],[Amount Due]]=0,0,Payments[[#This Row],[Amount Due]]-Payments[[#This Row],[Amount Paid]])),"")</f>
        <v/>
      </c>
      <c r="I495" s="2"/>
    </row>
    <row r="496" spans="2:9" ht="14.1" customHeight="1" x14ac:dyDescent="0.2">
      <c r="B496" s="11"/>
      <c r="C496" s="14" t="str">
        <f>IFERROR(IF(Payments[[#This Row],[Invoice '#]]="","",INDEX(Invoices[Customer],MATCH(Payments[[#This Row],[Invoice '#]],Invoices[Invoice '#],0))),"")</f>
        <v/>
      </c>
      <c r="D496" s="15" t="str">
        <f>IFERROR(IF(Payments[[#This Row],[Invoice '#]]="","",INDEX(Invoices[Due Date],MATCH(Payments[[#This Row],[Invoice '#]],Invoices[Invoice '#],0))),"")</f>
        <v/>
      </c>
      <c r="E496" s="40" t="str">
        <f ca="1">IFERROR(IF(Payments[[#This Row],[Invoice '#]]="","",INDEX(Invoices[Amount due],MATCH(Payments[[#This Row],[Invoice '#]],Invoices[Invoice '#],0))-IF(E495=Payments[[#Headers],[Amount Due]],0,SUMIF(INDIRECT("B4:B"&amp;ROW()-1),Payments[[#This Row],[Invoice '#]],Payments[Amount Paid]))),"")</f>
        <v/>
      </c>
      <c r="F496" s="41"/>
      <c r="G496" s="10"/>
      <c r="H496" s="38" t="str">
        <f ca="1">IFERROR(IF(Payments[[#This Row],[Amount Due]]="","",IF(Payments[[#This Row],[Amount Due]]=0,0,Payments[[#This Row],[Amount Due]]-Payments[[#This Row],[Amount Paid]])),"")</f>
        <v/>
      </c>
      <c r="I496" s="2"/>
    </row>
    <row r="497" spans="2:9" ht="14.1" customHeight="1" x14ac:dyDescent="0.2">
      <c r="B497" s="11"/>
      <c r="C497" s="14" t="str">
        <f>IFERROR(IF(Payments[[#This Row],[Invoice '#]]="","",INDEX(Invoices[Customer],MATCH(Payments[[#This Row],[Invoice '#]],Invoices[Invoice '#],0))),"")</f>
        <v/>
      </c>
      <c r="D497" s="15" t="str">
        <f>IFERROR(IF(Payments[[#This Row],[Invoice '#]]="","",INDEX(Invoices[Due Date],MATCH(Payments[[#This Row],[Invoice '#]],Invoices[Invoice '#],0))),"")</f>
        <v/>
      </c>
      <c r="E497" s="40" t="str">
        <f ca="1">IFERROR(IF(Payments[[#This Row],[Invoice '#]]="","",INDEX(Invoices[Amount due],MATCH(Payments[[#This Row],[Invoice '#]],Invoices[Invoice '#],0))-IF(E496=Payments[[#Headers],[Amount Due]],0,SUMIF(INDIRECT("B4:B"&amp;ROW()-1),Payments[[#This Row],[Invoice '#]],Payments[Amount Paid]))),"")</f>
        <v/>
      </c>
      <c r="F497" s="41"/>
      <c r="G497" s="10"/>
      <c r="H497" s="38" t="str">
        <f ca="1">IFERROR(IF(Payments[[#This Row],[Amount Due]]="","",IF(Payments[[#This Row],[Amount Due]]=0,0,Payments[[#This Row],[Amount Due]]-Payments[[#This Row],[Amount Paid]])),"")</f>
        <v/>
      </c>
      <c r="I497" s="2"/>
    </row>
    <row r="498" spans="2:9" ht="14.1" customHeight="1" x14ac:dyDescent="0.2">
      <c r="B498" s="11"/>
      <c r="C498" s="14" t="str">
        <f>IFERROR(IF(Payments[[#This Row],[Invoice '#]]="","",INDEX(Invoices[Customer],MATCH(Payments[[#This Row],[Invoice '#]],Invoices[Invoice '#],0))),"")</f>
        <v/>
      </c>
      <c r="D498" s="15" t="str">
        <f>IFERROR(IF(Payments[[#This Row],[Invoice '#]]="","",INDEX(Invoices[Due Date],MATCH(Payments[[#This Row],[Invoice '#]],Invoices[Invoice '#],0))),"")</f>
        <v/>
      </c>
      <c r="E498" s="40" t="str">
        <f ca="1">IFERROR(IF(Payments[[#This Row],[Invoice '#]]="","",INDEX(Invoices[Amount due],MATCH(Payments[[#This Row],[Invoice '#]],Invoices[Invoice '#],0))-IF(E497=Payments[[#Headers],[Amount Due]],0,SUMIF(INDIRECT("B4:B"&amp;ROW()-1),Payments[[#This Row],[Invoice '#]],Payments[Amount Paid]))),"")</f>
        <v/>
      </c>
      <c r="F498" s="41"/>
      <c r="G498" s="10"/>
      <c r="H498" s="38" t="str">
        <f ca="1">IFERROR(IF(Payments[[#This Row],[Amount Due]]="","",IF(Payments[[#This Row],[Amount Due]]=0,0,Payments[[#This Row],[Amount Due]]-Payments[[#This Row],[Amount Paid]])),"")</f>
        <v/>
      </c>
      <c r="I498" s="2"/>
    </row>
    <row r="499" spans="2:9" ht="14.1" customHeight="1" x14ac:dyDescent="0.2">
      <c r="B499" s="11"/>
      <c r="C499" s="14" t="str">
        <f>IFERROR(IF(Payments[[#This Row],[Invoice '#]]="","",INDEX(Invoices[Customer],MATCH(Payments[[#This Row],[Invoice '#]],Invoices[Invoice '#],0))),"")</f>
        <v/>
      </c>
      <c r="D499" s="15" t="str">
        <f>IFERROR(IF(Payments[[#This Row],[Invoice '#]]="","",INDEX(Invoices[Due Date],MATCH(Payments[[#This Row],[Invoice '#]],Invoices[Invoice '#],0))),"")</f>
        <v/>
      </c>
      <c r="E499" s="40" t="str">
        <f ca="1">IFERROR(IF(Payments[[#This Row],[Invoice '#]]="","",INDEX(Invoices[Amount due],MATCH(Payments[[#This Row],[Invoice '#]],Invoices[Invoice '#],0))-IF(E498=Payments[[#Headers],[Amount Due]],0,SUMIF(INDIRECT("B4:B"&amp;ROW()-1),Payments[[#This Row],[Invoice '#]],Payments[Amount Paid]))),"")</f>
        <v/>
      </c>
      <c r="F499" s="41"/>
      <c r="G499" s="10"/>
      <c r="H499" s="38" t="str">
        <f ca="1">IFERROR(IF(Payments[[#This Row],[Amount Due]]="","",IF(Payments[[#This Row],[Amount Due]]=0,0,Payments[[#This Row],[Amount Due]]-Payments[[#This Row],[Amount Paid]])),"")</f>
        <v/>
      </c>
      <c r="I499" s="2"/>
    </row>
    <row r="500" spans="2:9" ht="14.1" customHeight="1" x14ac:dyDescent="0.2">
      <c r="B500" s="11"/>
      <c r="C500" s="14" t="str">
        <f>IFERROR(IF(Payments[[#This Row],[Invoice '#]]="","",INDEX(Invoices[Customer],MATCH(Payments[[#This Row],[Invoice '#]],Invoices[Invoice '#],0))),"")</f>
        <v/>
      </c>
      <c r="D500" s="15" t="str">
        <f>IFERROR(IF(Payments[[#This Row],[Invoice '#]]="","",INDEX(Invoices[Due Date],MATCH(Payments[[#This Row],[Invoice '#]],Invoices[Invoice '#],0))),"")</f>
        <v/>
      </c>
      <c r="E500" s="40" t="str">
        <f ca="1">IFERROR(IF(Payments[[#This Row],[Invoice '#]]="","",INDEX(Invoices[Amount due],MATCH(Payments[[#This Row],[Invoice '#]],Invoices[Invoice '#],0))-IF(E499=Payments[[#Headers],[Amount Due]],0,SUMIF(INDIRECT("B4:B"&amp;ROW()-1),Payments[[#This Row],[Invoice '#]],Payments[Amount Paid]))),"")</f>
        <v/>
      </c>
      <c r="F500" s="41"/>
      <c r="G500" s="10"/>
      <c r="H500" s="38" t="str">
        <f ca="1">IFERROR(IF(Payments[[#This Row],[Amount Due]]="","",IF(Payments[[#This Row],[Amount Due]]=0,0,Payments[[#This Row],[Amount Due]]-Payments[[#This Row],[Amount Paid]])),"")</f>
        <v/>
      </c>
      <c r="I500" s="2"/>
    </row>
  </sheetData>
  <mergeCells count="2">
    <mergeCell ref="E1:F1"/>
    <mergeCell ref="G1:H1"/>
  </mergeCells>
  <dataValidations count="1">
    <dataValidation type="list" allowBlank="1" showInputMessage="1" showErrorMessage="1" sqref="B4:B500" xr:uid="{3970490F-6209-4F24-A653-AD799C7BC527}">
      <formula1>InvoiceNum</formula1>
    </dataValidation>
  </dataValidations>
  <hyperlinks>
    <hyperlink ref="C1" location="'Enter Invoices'!A1" display="Record/view invoices" xr:uid="{07BEE9E8-7F18-4A65-A986-CB65D905772A}"/>
    <hyperlink ref="B1" location="Introduction!A1" display="Introdution" xr:uid="{F6BF17EB-2C76-4052-A7DD-D2E4FE38219E}"/>
    <hyperlink ref="G1" location="'At a Glance'!A1" display="Due at a glance" xr:uid="{5A1F95F3-1F72-4E6F-B4ED-B3C3F426021C}"/>
    <hyperlink ref="E1" location="'Scheduled Payments'!A1" display="View payment schedule" xr:uid="{60C4885B-C029-44AD-9992-73F54E8A2492}"/>
  </hyperlink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BEBF8-E755-4CCC-A9E9-CBAAEA5B4836}">
  <sheetPr codeName="Sheet4"/>
  <dimension ref="A3:B15"/>
  <sheetViews>
    <sheetView workbookViewId="0">
      <selection activeCell="A16" sqref="A16"/>
    </sheetView>
  </sheetViews>
  <sheetFormatPr defaultRowHeight="15" x14ac:dyDescent="0.25"/>
  <cols>
    <col min="1" max="1" width="13.140625" bestFit="1" customWidth="1"/>
    <col min="2" max="2" width="20" bestFit="1" customWidth="1"/>
    <col min="3" max="4" width="20.7109375" bestFit="1" customWidth="1"/>
  </cols>
  <sheetData>
    <row r="3" spans="1:2" x14ac:dyDescent="0.25">
      <c r="A3" s="67" t="s">
        <v>73</v>
      </c>
      <c r="B3" t="s">
        <v>75</v>
      </c>
    </row>
    <row r="4" spans="1:2" x14ac:dyDescent="0.25">
      <c r="A4" s="70">
        <v>43907</v>
      </c>
      <c r="B4" s="69">
        <v>0.30000000000001137</v>
      </c>
    </row>
    <row r="5" spans="1:2" x14ac:dyDescent="0.25">
      <c r="A5" s="70">
        <v>43940</v>
      </c>
      <c r="B5" s="69">
        <v>0</v>
      </c>
    </row>
    <row r="6" spans="1:2" x14ac:dyDescent="0.25">
      <c r="A6" s="70">
        <v>43988</v>
      </c>
      <c r="B6" s="69">
        <v>250</v>
      </c>
    </row>
    <row r="7" spans="1:2" x14ac:dyDescent="0.25">
      <c r="A7" s="70">
        <v>44034</v>
      </c>
      <c r="B7" s="69">
        <v>0</v>
      </c>
    </row>
    <row r="8" spans="1:2" x14ac:dyDescent="0.25">
      <c r="A8" s="70">
        <v>44046</v>
      </c>
      <c r="B8" s="69">
        <v>203</v>
      </c>
    </row>
    <row r="9" spans="1:2" x14ac:dyDescent="0.25">
      <c r="A9" s="70">
        <v>44047</v>
      </c>
      <c r="B9" s="69">
        <v>438.4</v>
      </c>
    </row>
    <row r="10" spans="1:2" x14ac:dyDescent="0.25">
      <c r="A10" s="70">
        <v>44050</v>
      </c>
      <c r="B10" s="69">
        <v>200</v>
      </c>
    </row>
    <row r="11" spans="1:2" x14ac:dyDescent="0.25">
      <c r="A11" s="70">
        <v>44051</v>
      </c>
      <c r="B11" s="69">
        <v>48.3</v>
      </c>
    </row>
    <row r="12" spans="1:2" x14ac:dyDescent="0.25">
      <c r="A12" s="70">
        <v>44053</v>
      </c>
      <c r="B12" s="69">
        <v>33.9</v>
      </c>
    </row>
    <row r="13" spans="1:2" x14ac:dyDescent="0.25">
      <c r="A13" s="70">
        <v>44070</v>
      </c>
      <c r="B13" s="69">
        <v>155</v>
      </c>
    </row>
    <row r="14" spans="1:2" x14ac:dyDescent="0.25">
      <c r="A14" s="70">
        <v>44102</v>
      </c>
      <c r="B14" s="69">
        <v>99</v>
      </c>
    </row>
    <row r="15" spans="1:2" x14ac:dyDescent="0.25">
      <c r="A15" s="68" t="s">
        <v>74</v>
      </c>
      <c r="B15" s="69">
        <v>1427.9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CA7F6-5A58-442E-B3F5-C595C7FE42F3}">
  <sheetPr codeName="Sheet5">
    <tabColor rgb="FF8FCFAD"/>
  </sheetPr>
  <dimension ref="A1:AJ891"/>
  <sheetViews>
    <sheetView showGridLines="0" showRowColHeaders="0" workbookViewId="0">
      <pane ySplit="3" topLeftCell="A4" activePane="bottomLeft" state="frozen"/>
      <selection activeCell="C8" sqref="C8"/>
      <selection pane="bottomLeft" activeCell="D21" sqref="D21"/>
    </sheetView>
  </sheetViews>
  <sheetFormatPr defaultColWidth="0" defaultRowHeight="15" x14ac:dyDescent="0.25"/>
  <cols>
    <col min="1" max="1" width="1.140625" style="2" customWidth="1"/>
    <col min="2" max="2" width="9.7109375" style="10" customWidth="1"/>
    <col min="3" max="3" width="18.5703125" style="2" bestFit="1" customWidth="1"/>
    <col min="4" max="4" width="10.85546875" style="32" customWidth="1"/>
    <col min="5" max="5" width="13.42578125" style="32" customWidth="1"/>
    <col min="6" max="6" width="14.140625" style="32" customWidth="1"/>
    <col min="7" max="7" width="0.85546875" style="2" customWidth="1"/>
    <col min="8" max="8" width="19.85546875" style="10" bestFit="1" customWidth="1"/>
    <col min="9" max="9" width="20" style="11" bestFit="1" customWidth="1"/>
    <col min="10" max="10" width="16.28515625" style="37" bestFit="1" customWidth="1"/>
    <col min="11" max="11" width="21.85546875" style="34" bestFit="1" customWidth="1"/>
    <col min="12" max="14" width="16.28515625" bestFit="1" customWidth="1"/>
    <col min="15" max="15" width="0" style="2" hidden="1" customWidth="1"/>
    <col min="16" max="16384" width="9" style="2" hidden="1"/>
  </cols>
  <sheetData>
    <row r="1" spans="2:36" s="8" customFormat="1" ht="16.5" customHeight="1" x14ac:dyDescent="0.25">
      <c r="B1" s="65"/>
      <c r="D1" s="31"/>
      <c r="E1" s="31"/>
      <c r="F1" s="31"/>
      <c r="H1" s="33" t="s">
        <v>39</v>
      </c>
      <c r="I1" s="87" t="s">
        <v>64</v>
      </c>
      <c r="J1" s="87"/>
      <c r="K1" s="36" t="s">
        <v>59</v>
      </c>
      <c r="L1" s="88" t="s">
        <v>40</v>
      </c>
      <c r="M1" s="88"/>
      <c r="N1" s="88"/>
    </row>
    <row r="2" spans="2:36" ht="6.95" customHeight="1" x14ac:dyDescent="0.25"/>
    <row r="3" spans="2:36" ht="14.1" customHeight="1" x14ac:dyDescent="0.25">
      <c r="B3" s="71" t="s">
        <v>72</v>
      </c>
      <c r="C3" s="6" t="s">
        <v>45</v>
      </c>
      <c r="D3" s="72" t="s">
        <v>49</v>
      </c>
      <c r="E3" s="72" t="s">
        <v>60</v>
      </c>
      <c r="F3" s="72" t="s">
        <v>65</v>
      </c>
      <c r="H3" s="2"/>
      <c r="I3" s="2"/>
      <c r="J3"/>
      <c r="K3"/>
      <c r="O3"/>
      <c r="P3"/>
      <c r="Q3"/>
      <c r="R3"/>
      <c r="S3"/>
      <c r="T3"/>
      <c r="U3"/>
      <c r="V3"/>
      <c r="W3"/>
      <c r="X3"/>
      <c r="Y3"/>
      <c r="Z3"/>
      <c r="AA3"/>
      <c r="AB3"/>
      <c r="AC3"/>
      <c r="AD3"/>
      <c r="AE3"/>
      <c r="AF3"/>
      <c r="AG3"/>
      <c r="AH3"/>
      <c r="AI3"/>
      <c r="AJ3"/>
    </row>
    <row r="4" spans="2:36" s="53" customFormat="1" ht="16.149999999999999" customHeight="1" x14ac:dyDescent="0.25">
      <c r="B4" s="56">
        <f>IF(Invoices[[#This Row],[Invoice '#]]="","",Invoices[[#This Row],[Invoice '#]])</f>
        <v>10001</v>
      </c>
      <c r="C4" s="53" t="str">
        <f>IFERROR(VLOOKUP(open[[#This Row],[Invoice'#]],'Enter Invoices'!C:H,2,0),"")</f>
        <v>ABC Company</v>
      </c>
      <c r="D4" s="52">
        <f>IFERROR(VLOOKUP(open[[#This Row],[Invoice'#]],'Enter Invoices'!C:H,6,0),"")</f>
        <v>43988</v>
      </c>
      <c r="E4" s="66">
        <f>IFERROR(VLOOKUP(open[[#This Row],[Invoice'#]],'Enter Invoices'!C:H,5,0),"")</f>
        <v>300</v>
      </c>
      <c r="F4" s="54">
        <f>IFERROR(IF(open[[#This Row],[Amount Due]]="","",open[[#This Row],[Amount Due]]-SUMIF('Record Customer Payments'!B:B,open[[#This Row],[Invoice'#]],'Record Customer Payments'!F:F)),"")</f>
        <v>250</v>
      </c>
      <c r="H4"/>
      <c r="I4"/>
      <c r="J4"/>
      <c r="K4"/>
      <c r="L4"/>
      <c r="M4"/>
      <c r="N4"/>
      <c r="O4"/>
      <c r="P4"/>
      <c r="Q4"/>
      <c r="R4"/>
      <c r="S4"/>
      <c r="T4"/>
      <c r="U4"/>
      <c r="V4"/>
      <c r="W4"/>
      <c r="X4"/>
      <c r="Y4"/>
      <c r="Z4"/>
      <c r="AA4"/>
      <c r="AB4"/>
      <c r="AC4"/>
      <c r="AD4"/>
      <c r="AE4"/>
      <c r="AF4"/>
      <c r="AG4"/>
      <c r="AH4"/>
      <c r="AI4"/>
      <c r="AJ4"/>
    </row>
    <row r="5" spans="2:36" s="53" customFormat="1" ht="16.149999999999999" customHeight="1" x14ac:dyDescent="0.25">
      <c r="B5" s="56">
        <f>IF(Invoices[[#This Row],[Invoice '#]]="","",Invoices[[#This Row],[Invoice '#]])</f>
        <v>10002</v>
      </c>
      <c r="C5" s="53" t="str">
        <f>IFERROR(VLOOKUP(open[[#This Row],[Invoice'#]],'Enter Invoices'!C:H,2,0),"")</f>
        <v>XYZ Inc</v>
      </c>
      <c r="D5" s="52">
        <f>IFERROR(VLOOKUP(open[[#This Row],[Invoice'#]],'Enter Invoices'!C:H,6,0),"")</f>
        <v>44034</v>
      </c>
      <c r="E5" s="66">
        <f>IFERROR(VLOOKUP(open[[#This Row],[Invoice'#]],'Enter Invoices'!C:H,5,0),"")</f>
        <v>52.5</v>
      </c>
      <c r="F5" s="54">
        <f>IFERROR(IF(open[[#This Row],[Amount Due]]="","",open[[#This Row],[Amount Due]]-SUMIF('Record Customer Payments'!B:B,open[[#This Row],[Invoice'#]],'Record Customer Payments'!F:F)),"")</f>
        <v>0</v>
      </c>
      <c r="J5"/>
      <c r="K5"/>
      <c r="L5"/>
      <c r="M5"/>
      <c r="N5"/>
      <c r="O5"/>
      <c r="P5"/>
      <c r="Q5"/>
      <c r="R5"/>
      <c r="S5"/>
      <c r="T5"/>
      <c r="U5"/>
      <c r="V5"/>
      <c r="W5"/>
      <c r="X5"/>
      <c r="Y5"/>
      <c r="Z5"/>
      <c r="AA5"/>
      <c r="AB5"/>
      <c r="AC5"/>
      <c r="AD5"/>
      <c r="AE5"/>
      <c r="AF5"/>
      <c r="AG5"/>
      <c r="AH5"/>
      <c r="AI5"/>
      <c r="AJ5"/>
    </row>
    <row r="6" spans="2:36" s="53" customFormat="1" ht="16.149999999999999" customHeight="1" x14ac:dyDescent="0.25">
      <c r="B6" s="56">
        <f>IF(Invoices[[#This Row],[Invoice '#]]="","",Invoices[[#This Row],[Invoice '#]])</f>
        <v>10003</v>
      </c>
      <c r="C6" s="53" t="str">
        <f>IFERROR(VLOOKUP(open[[#This Row],[Invoice'#]],'Enter Invoices'!C:H,2,0),"")</f>
        <v>Sunnydale Industries</v>
      </c>
      <c r="D6" s="52">
        <f>IFERROR(VLOOKUP(open[[#This Row],[Invoice'#]],'Enter Invoices'!C:H,6,0),"")</f>
        <v>43907</v>
      </c>
      <c r="E6" s="66">
        <f>IFERROR(VLOOKUP(open[[#This Row],[Invoice'#]],'Enter Invoices'!C:H,5,0),"")</f>
        <v>450.3</v>
      </c>
      <c r="F6" s="54">
        <f>IFERROR(IF(open[[#This Row],[Amount Due]]="","",open[[#This Row],[Amount Due]]-SUMIF('Record Customer Payments'!B:B,open[[#This Row],[Invoice'#]],'Record Customer Payments'!F:F)),"")</f>
        <v>0.30000000000001137</v>
      </c>
      <c r="K6"/>
      <c r="L6"/>
      <c r="M6"/>
      <c r="N6"/>
      <c r="O6"/>
      <c r="P6"/>
      <c r="Q6"/>
      <c r="R6"/>
      <c r="S6"/>
      <c r="T6"/>
      <c r="U6"/>
      <c r="V6"/>
      <c r="W6"/>
      <c r="X6"/>
      <c r="Y6"/>
      <c r="Z6"/>
      <c r="AA6"/>
      <c r="AB6"/>
      <c r="AC6"/>
      <c r="AD6"/>
      <c r="AE6"/>
      <c r="AF6"/>
      <c r="AG6"/>
      <c r="AH6"/>
      <c r="AI6"/>
      <c r="AJ6"/>
    </row>
    <row r="7" spans="2:36" s="53" customFormat="1" ht="16.149999999999999" customHeight="1" x14ac:dyDescent="0.25">
      <c r="B7" s="56">
        <f>IF(Invoices[[#This Row],[Invoice '#]]="","",Invoices[[#This Row],[Invoice '#]])</f>
        <v>10004</v>
      </c>
      <c r="C7" s="53" t="str">
        <f>IFERROR(VLOOKUP(open[[#This Row],[Invoice'#]],'Enter Invoices'!C:H,2,0),"")</f>
        <v>Cat Co</v>
      </c>
      <c r="D7" s="52">
        <f>IFERROR(VLOOKUP(open[[#This Row],[Invoice'#]],'Enter Invoices'!C:H,6,0),"")</f>
        <v>43940</v>
      </c>
      <c r="E7" s="66">
        <f>IFERROR(VLOOKUP(open[[#This Row],[Invoice'#]],'Enter Invoices'!C:H,5,0),"")</f>
        <v>90</v>
      </c>
      <c r="F7" s="54">
        <f>IFERROR(IF(open[[#This Row],[Amount Due]]="","",open[[#This Row],[Amount Due]]-SUMIF('Record Customer Payments'!B:B,open[[#This Row],[Invoice'#]],'Record Customer Payments'!F:F)),"")</f>
        <v>0</v>
      </c>
      <c r="K7"/>
      <c r="L7"/>
      <c r="M7"/>
      <c r="N7"/>
      <c r="O7"/>
      <c r="P7"/>
      <c r="Q7"/>
      <c r="R7"/>
      <c r="S7"/>
      <c r="T7"/>
      <c r="U7"/>
      <c r="V7"/>
      <c r="W7"/>
      <c r="X7"/>
      <c r="Y7"/>
      <c r="Z7"/>
      <c r="AA7"/>
      <c r="AB7"/>
      <c r="AC7"/>
      <c r="AD7"/>
      <c r="AE7"/>
      <c r="AF7"/>
      <c r="AG7"/>
      <c r="AH7"/>
      <c r="AI7"/>
      <c r="AJ7"/>
    </row>
    <row r="8" spans="2:36" s="53" customFormat="1" ht="16.149999999999999" customHeight="1" x14ac:dyDescent="0.25">
      <c r="B8" s="56">
        <f>IF(Invoices[[#This Row],[Invoice '#]]="","",Invoices[[#This Row],[Invoice '#]])</f>
        <v>10005</v>
      </c>
      <c r="C8" s="53" t="str">
        <f>IFERROR(VLOOKUP(open[[#This Row],[Invoice'#]],'Enter Invoices'!C:H,2,0),"")</f>
        <v>Corner Place</v>
      </c>
      <c r="D8" s="52">
        <f>IFERROR(VLOOKUP(open[[#This Row],[Invoice'#]],'Enter Invoices'!C:H,6,0),"")</f>
        <v>44046</v>
      </c>
      <c r="E8" s="66">
        <f>IFERROR(VLOOKUP(open[[#This Row],[Invoice'#]],'Enter Invoices'!C:H,5,0),"")</f>
        <v>203</v>
      </c>
      <c r="F8" s="54">
        <f>IFERROR(IF(open[[#This Row],[Amount Due]]="","",open[[#This Row],[Amount Due]]-SUMIF('Record Customer Payments'!B:B,open[[#This Row],[Invoice'#]],'Record Customer Payments'!F:F)),"")</f>
        <v>203</v>
      </c>
      <c r="K8"/>
      <c r="L8"/>
      <c r="M8"/>
      <c r="N8"/>
      <c r="O8"/>
      <c r="P8"/>
      <c r="Q8"/>
      <c r="R8"/>
      <c r="S8"/>
      <c r="T8"/>
      <c r="U8"/>
      <c r="V8"/>
      <c r="W8"/>
      <c r="X8"/>
      <c r="Y8"/>
      <c r="Z8"/>
      <c r="AA8"/>
      <c r="AB8"/>
      <c r="AC8"/>
      <c r="AD8"/>
      <c r="AE8"/>
      <c r="AF8"/>
      <c r="AG8"/>
      <c r="AH8"/>
      <c r="AI8"/>
      <c r="AJ8"/>
    </row>
    <row r="9" spans="2:36" s="53" customFormat="1" ht="16.149999999999999" customHeight="1" x14ac:dyDescent="0.25">
      <c r="B9" s="56">
        <f>IF(Invoices[[#This Row],[Invoice '#]]="","",Invoices[[#This Row],[Invoice '#]])</f>
        <v>10006</v>
      </c>
      <c r="C9" s="53" t="str">
        <f>IFERROR(VLOOKUP(open[[#This Row],[Invoice'#]],'Enter Invoices'!C:H,2,0),"")</f>
        <v>Corner Place</v>
      </c>
      <c r="D9" s="52">
        <f>IFERROR(VLOOKUP(open[[#This Row],[Invoice'#]],'Enter Invoices'!C:H,6,0),"")</f>
        <v>44047</v>
      </c>
      <c r="E9" s="66">
        <f>IFERROR(VLOOKUP(open[[#This Row],[Invoice'#]],'Enter Invoices'!C:H,5,0),"")</f>
        <v>380</v>
      </c>
      <c r="F9" s="54">
        <f>IFERROR(IF(open[[#This Row],[Amount Due]]="","",open[[#This Row],[Amount Due]]-SUMIF('Record Customer Payments'!B:B,open[[#This Row],[Invoice'#]],'Record Customer Payments'!F:F)),"")</f>
        <v>380</v>
      </c>
      <c r="K9"/>
      <c r="L9"/>
      <c r="M9"/>
      <c r="N9"/>
      <c r="O9"/>
      <c r="P9"/>
      <c r="Q9"/>
      <c r="R9"/>
      <c r="S9"/>
      <c r="T9"/>
      <c r="U9"/>
      <c r="V9"/>
      <c r="W9"/>
      <c r="X9"/>
      <c r="Y9"/>
      <c r="Z9"/>
      <c r="AA9"/>
      <c r="AB9"/>
      <c r="AC9"/>
      <c r="AD9"/>
      <c r="AE9"/>
      <c r="AF9"/>
      <c r="AG9"/>
      <c r="AH9"/>
      <c r="AI9"/>
      <c r="AJ9"/>
    </row>
    <row r="10" spans="2:36" s="53" customFormat="1" ht="16.149999999999999" customHeight="1" x14ac:dyDescent="0.25">
      <c r="B10" s="56">
        <f>IF(Invoices[[#This Row],[Invoice '#]]="","",Invoices[[#This Row],[Invoice '#]])</f>
        <v>10007</v>
      </c>
      <c r="C10" s="53" t="str">
        <f>IFERROR(VLOOKUP(open[[#This Row],[Invoice'#]],'Enter Invoices'!C:H,2,0),"")</f>
        <v>Cat Co</v>
      </c>
      <c r="D10" s="52">
        <f>IFERROR(VLOOKUP(open[[#This Row],[Invoice'#]],'Enter Invoices'!C:H,6,0),"")</f>
        <v>44047</v>
      </c>
      <c r="E10" s="66">
        <f>IFERROR(VLOOKUP(open[[#This Row],[Invoice'#]],'Enter Invoices'!C:H,5,0),"")</f>
        <v>108.4</v>
      </c>
      <c r="F10" s="54">
        <f>IFERROR(IF(open[[#This Row],[Amount Due]]="","",open[[#This Row],[Amount Due]]-SUMIF('Record Customer Payments'!B:B,open[[#This Row],[Invoice'#]],'Record Customer Payments'!F:F)),"")</f>
        <v>58.400000000000006</v>
      </c>
      <c r="K10"/>
      <c r="L10"/>
      <c r="M10"/>
      <c r="N10"/>
      <c r="O10"/>
      <c r="P10"/>
      <c r="Q10"/>
      <c r="R10"/>
      <c r="S10"/>
      <c r="T10"/>
      <c r="U10"/>
      <c r="V10"/>
      <c r="W10"/>
      <c r="X10"/>
      <c r="Y10"/>
      <c r="Z10"/>
      <c r="AA10"/>
      <c r="AB10"/>
      <c r="AC10"/>
      <c r="AD10"/>
      <c r="AE10"/>
      <c r="AF10"/>
      <c r="AG10"/>
      <c r="AH10"/>
      <c r="AI10"/>
      <c r="AJ10"/>
    </row>
    <row r="11" spans="2:36" s="53" customFormat="1" ht="16.149999999999999" customHeight="1" x14ac:dyDescent="0.25">
      <c r="B11" s="56">
        <f>IF(Invoices[[#This Row],[Invoice '#]]="","",Invoices[[#This Row],[Invoice '#]])</f>
        <v>10008</v>
      </c>
      <c r="C11" s="53" t="str">
        <f>IFERROR(VLOOKUP(open[[#This Row],[Invoice'#]],'Enter Invoices'!C:H,2,0),"")</f>
        <v>Sunnydale Industries</v>
      </c>
      <c r="D11" s="52">
        <f>IFERROR(VLOOKUP(open[[#This Row],[Invoice'#]],'Enter Invoices'!C:H,6,0),"")</f>
        <v>44051</v>
      </c>
      <c r="E11" s="66">
        <f>IFERROR(VLOOKUP(open[[#This Row],[Invoice'#]],'Enter Invoices'!C:H,5,0),"")</f>
        <v>48.3</v>
      </c>
      <c r="F11" s="54">
        <f>IFERROR(IF(open[[#This Row],[Amount Due]]="","",open[[#This Row],[Amount Due]]-SUMIF('Record Customer Payments'!B:B,open[[#This Row],[Invoice'#]],'Record Customer Payments'!F:F)),"")</f>
        <v>48.3</v>
      </c>
      <c r="K11"/>
      <c r="L11"/>
      <c r="M11"/>
      <c r="N11"/>
      <c r="O11"/>
      <c r="P11"/>
      <c r="Q11"/>
      <c r="R11"/>
      <c r="S11"/>
      <c r="T11"/>
      <c r="U11"/>
      <c r="V11"/>
      <c r="W11"/>
      <c r="X11"/>
      <c r="Y11"/>
      <c r="Z11"/>
      <c r="AA11"/>
      <c r="AB11"/>
      <c r="AC11"/>
      <c r="AD11"/>
      <c r="AE11"/>
      <c r="AF11"/>
      <c r="AG11"/>
      <c r="AH11"/>
      <c r="AI11"/>
      <c r="AJ11"/>
    </row>
    <row r="12" spans="2:36" s="53" customFormat="1" ht="16.149999999999999" customHeight="1" x14ac:dyDescent="0.25">
      <c r="B12" s="56">
        <f>IF(Invoices[[#This Row],[Invoice '#]]="","",Invoices[[#This Row],[Invoice '#]])</f>
        <v>10009</v>
      </c>
      <c r="C12" s="53" t="str">
        <f>IFERROR(VLOOKUP(open[[#This Row],[Invoice'#]],'Enter Invoices'!C:H,2,0),"")</f>
        <v>XYZ Inc</v>
      </c>
      <c r="D12" s="52">
        <f>IFERROR(VLOOKUP(open[[#This Row],[Invoice'#]],'Enter Invoices'!C:H,6,0),"")</f>
        <v>44053</v>
      </c>
      <c r="E12" s="66">
        <f>IFERROR(VLOOKUP(open[[#This Row],[Invoice'#]],'Enter Invoices'!C:H,5,0),"")</f>
        <v>33.9</v>
      </c>
      <c r="F12" s="54">
        <f>IFERROR(IF(open[[#This Row],[Amount Due]]="","",open[[#This Row],[Amount Due]]-SUMIF('Record Customer Payments'!B:B,open[[#This Row],[Invoice'#]],'Record Customer Payments'!F:F)),"")</f>
        <v>33.9</v>
      </c>
      <c r="K12"/>
      <c r="L12"/>
      <c r="M12"/>
      <c r="N12"/>
      <c r="O12"/>
      <c r="P12"/>
      <c r="Q12"/>
      <c r="R12"/>
      <c r="S12"/>
      <c r="T12"/>
      <c r="U12"/>
      <c r="V12"/>
      <c r="W12"/>
      <c r="X12"/>
      <c r="Y12"/>
      <c r="Z12"/>
      <c r="AA12"/>
      <c r="AB12"/>
      <c r="AC12"/>
      <c r="AD12"/>
      <c r="AE12"/>
      <c r="AF12"/>
      <c r="AG12"/>
      <c r="AH12"/>
      <c r="AI12"/>
      <c r="AJ12"/>
    </row>
    <row r="13" spans="2:36" s="53" customFormat="1" ht="16.149999999999999" customHeight="1" x14ac:dyDescent="0.25">
      <c r="B13" s="56">
        <f>IF(Invoices[[#This Row],[Invoice '#]]="","",Invoices[[#This Row],[Invoice '#]])</f>
        <v>10010</v>
      </c>
      <c r="C13" s="53" t="str">
        <f>IFERROR(VLOOKUP(open[[#This Row],[Invoice'#]],'Enter Invoices'!C:H,2,0),"")</f>
        <v>XYZ Inc</v>
      </c>
      <c r="D13" s="52">
        <f>IFERROR(VLOOKUP(open[[#This Row],[Invoice'#]],'Enter Invoices'!C:H,6,0),"")</f>
        <v>44070</v>
      </c>
      <c r="E13" s="66">
        <f>IFERROR(VLOOKUP(open[[#This Row],[Invoice'#]],'Enter Invoices'!C:H,5,0),"")</f>
        <v>155</v>
      </c>
      <c r="F13" s="54">
        <f>IFERROR(IF(open[[#This Row],[Amount Due]]="","",open[[#This Row],[Amount Due]]-SUMIF('Record Customer Payments'!B:B,open[[#This Row],[Invoice'#]],'Record Customer Payments'!F:F)),"")</f>
        <v>155</v>
      </c>
      <c r="K13"/>
      <c r="L13"/>
      <c r="M13"/>
      <c r="N13"/>
      <c r="O13"/>
      <c r="P13"/>
      <c r="Q13"/>
      <c r="R13"/>
      <c r="S13"/>
      <c r="T13"/>
      <c r="U13"/>
      <c r="V13"/>
      <c r="W13"/>
      <c r="X13"/>
      <c r="Y13"/>
      <c r="Z13"/>
      <c r="AA13"/>
      <c r="AB13"/>
      <c r="AC13"/>
      <c r="AD13"/>
      <c r="AE13"/>
      <c r="AF13"/>
      <c r="AG13"/>
      <c r="AH13"/>
      <c r="AI13"/>
      <c r="AJ13"/>
    </row>
    <row r="14" spans="2:36" s="53" customFormat="1" ht="16.149999999999999" customHeight="1" x14ac:dyDescent="0.25">
      <c r="B14" s="56">
        <f>IF(Invoices[[#This Row],[Invoice '#]]="","",Invoices[[#This Row],[Invoice '#]])</f>
        <v>10011</v>
      </c>
      <c r="C14" s="53" t="str">
        <f>IFERROR(VLOOKUP(open[[#This Row],[Invoice'#]],'Enter Invoices'!C:H,2,0),"")</f>
        <v>ABC Company</v>
      </c>
      <c r="D14" s="52">
        <f>IFERROR(VLOOKUP(open[[#This Row],[Invoice'#]],'Enter Invoices'!C:H,6,0),"")</f>
        <v>44102</v>
      </c>
      <c r="E14" s="66">
        <f>IFERROR(VLOOKUP(open[[#This Row],[Invoice'#]],'Enter Invoices'!C:H,5,0),"")</f>
        <v>99</v>
      </c>
      <c r="F14" s="54">
        <f>IFERROR(IF(open[[#This Row],[Amount Due]]="","",open[[#This Row],[Amount Due]]-SUMIF('Record Customer Payments'!B:B,open[[#This Row],[Invoice'#]],'Record Customer Payments'!F:F)),"")</f>
        <v>99</v>
      </c>
      <c r="K14" s="58"/>
      <c r="L14" s="59"/>
      <c r="M14" s="59"/>
      <c r="N14" s="59"/>
    </row>
    <row r="15" spans="2:36" s="53" customFormat="1" ht="16.149999999999999" customHeight="1" x14ac:dyDescent="0.25">
      <c r="B15" s="56">
        <f>IF(Invoices[[#This Row],[Invoice '#]]="","",Invoices[[#This Row],[Invoice '#]])</f>
        <v>10012</v>
      </c>
      <c r="C15" s="53" t="str">
        <f>IFERROR(VLOOKUP(open[[#This Row],[Invoice'#]],'Enter Invoices'!C:H,2,0),"")</f>
        <v>Corner Place</v>
      </c>
      <c r="D15" s="52">
        <f>IFERROR(VLOOKUP(open[[#This Row],[Invoice'#]],'Enter Invoices'!C:H,6,0),"")</f>
        <v>44050</v>
      </c>
      <c r="E15" s="66">
        <f>IFERROR(VLOOKUP(open[[#This Row],[Invoice'#]],'Enter Invoices'!C:H,5,0),"")</f>
        <v>200</v>
      </c>
      <c r="F15" s="54">
        <f>IFERROR(IF(open[[#This Row],[Amount Due]]="","",open[[#This Row],[Amount Due]]-SUMIF('Record Customer Payments'!B:B,open[[#This Row],[Invoice'#]],'Record Customer Payments'!F:F)),"")</f>
        <v>200</v>
      </c>
      <c r="K15" s="58"/>
      <c r="L15" s="59"/>
      <c r="M15" s="59"/>
      <c r="N15" s="59"/>
    </row>
    <row r="16" spans="2:36" s="53" customFormat="1" ht="16.149999999999999" customHeight="1" x14ac:dyDescent="0.25">
      <c r="B16" s="56" t="str">
        <f>IF(Invoices[[#This Row],[Invoice '#]]="","",Invoices[[#This Row],[Invoice '#]])</f>
        <v/>
      </c>
      <c r="C16" s="53" t="str">
        <f>IFERROR(VLOOKUP(open[[#This Row],[Invoice'#]],'Enter Invoices'!C:H,2,0),"")</f>
        <v/>
      </c>
      <c r="D16" s="52" t="str">
        <f>IFERROR(VLOOKUP(open[[#This Row],[Invoice'#]],'Enter Invoices'!C:H,6,0),"")</f>
        <v/>
      </c>
      <c r="E16" s="66" t="str">
        <f>IFERROR(VLOOKUP(open[[#This Row],[Invoice'#]],'Enter Invoices'!C:H,5,0),"")</f>
        <v/>
      </c>
      <c r="F16" s="54" t="str">
        <f>IFERROR(IF(open[[#This Row],[Amount Due]]="","",open[[#This Row],[Amount Due]]-SUMIF('Record Customer Payments'!B:B,open[[#This Row],[Invoice'#]],'Record Customer Payments'!F:F)),"")</f>
        <v/>
      </c>
      <c r="K16" s="58"/>
      <c r="L16" s="59"/>
      <c r="M16" s="59"/>
      <c r="N16" s="59"/>
    </row>
    <row r="17" spans="2:14" s="53" customFormat="1" ht="16.149999999999999" customHeight="1" x14ac:dyDescent="0.25">
      <c r="B17" s="56" t="str">
        <f>IF(Invoices[[#This Row],[Invoice '#]]="","",Invoices[[#This Row],[Invoice '#]])</f>
        <v/>
      </c>
      <c r="C17" s="53" t="str">
        <f>IFERROR(VLOOKUP(open[[#This Row],[Invoice'#]],'Enter Invoices'!C:H,2,0),"")</f>
        <v/>
      </c>
      <c r="D17" s="52" t="str">
        <f>IFERROR(VLOOKUP(open[[#This Row],[Invoice'#]],'Enter Invoices'!C:H,6,0),"")</f>
        <v/>
      </c>
      <c r="E17" s="66" t="str">
        <f>IFERROR(VLOOKUP(open[[#This Row],[Invoice'#]],'Enter Invoices'!C:H,5,0),"")</f>
        <v/>
      </c>
      <c r="F17" s="54" t="str">
        <f>IFERROR(IF(open[[#This Row],[Amount Due]]="","",open[[#This Row],[Amount Due]]-SUMIF('Record Customer Payments'!B:B,open[[#This Row],[Invoice'#]],'Record Customer Payments'!F:F)),"")</f>
        <v/>
      </c>
      <c r="K17" s="58"/>
      <c r="L17" s="59"/>
      <c r="M17" s="59"/>
      <c r="N17" s="59"/>
    </row>
    <row r="18" spans="2:14" s="53" customFormat="1" ht="16.149999999999999" customHeight="1" x14ac:dyDescent="0.25">
      <c r="B18" s="56" t="str">
        <f>IF(Invoices[[#This Row],[Invoice '#]]="","",Invoices[[#This Row],[Invoice '#]])</f>
        <v/>
      </c>
      <c r="C18" s="53" t="str">
        <f>IFERROR(VLOOKUP(open[[#This Row],[Invoice'#]],'Enter Invoices'!C:H,2,0),"")</f>
        <v/>
      </c>
      <c r="D18" s="52" t="str">
        <f>IFERROR(VLOOKUP(open[[#This Row],[Invoice'#]],'Enter Invoices'!C:H,6,0),"")</f>
        <v/>
      </c>
      <c r="E18" s="66" t="str">
        <f>IFERROR(VLOOKUP(open[[#This Row],[Invoice'#]],'Enter Invoices'!C:H,5,0),"")</f>
        <v/>
      </c>
      <c r="F18" s="54" t="str">
        <f>IFERROR(IF(open[[#This Row],[Amount Due]]="","",open[[#This Row],[Amount Due]]-SUMIF('Record Customer Payments'!B:B,open[[#This Row],[Invoice'#]],'Record Customer Payments'!F:F)),"")</f>
        <v/>
      </c>
      <c r="K18" s="58"/>
      <c r="L18" s="59"/>
      <c r="M18" s="59"/>
      <c r="N18" s="59"/>
    </row>
    <row r="19" spans="2:14" s="53" customFormat="1" ht="16.149999999999999" customHeight="1" x14ac:dyDescent="0.25">
      <c r="B19" s="56" t="str">
        <f>IF(Invoices[[#This Row],[Invoice '#]]="","",Invoices[[#This Row],[Invoice '#]])</f>
        <v/>
      </c>
      <c r="C19" s="53" t="str">
        <f>IFERROR(VLOOKUP(open[[#This Row],[Invoice'#]],'Enter Invoices'!C:H,2,0),"")</f>
        <v/>
      </c>
      <c r="D19" s="52" t="str">
        <f>IFERROR(VLOOKUP(open[[#This Row],[Invoice'#]],'Enter Invoices'!C:H,6,0),"")</f>
        <v/>
      </c>
      <c r="E19" s="66" t="str">
        <f>IFERROR(VLOOKUP(open[[#This Row],[Invoice'#]],'Enter Invoices'!C:H,5,0),"")</f>
        <v/>
      </c>
      <c r="F19" s="54" t="str">
        <f>IFERROR(IF(open[[#This Row],[Amount Due]]="","",open[[#This Row],[Amount Due]]-SUMIF('Record Customer Payments'!B:B,open[[#This Row],[Invoice'#]],'Record Customer Payments'!F:F)),"")</f>
        <v/>
      </c>
      <c r="K19" s="58"/>
      <c r="L19" s="59"/>
      <c r="M19" s="59"/>
      <c r="N19" s="59"/>
    </row>
    <row r="20" spans="2:14" s="53" customFormat="1" ht="16.149999999999999" customHeight="1" x14ac:dyDescent="0.25">
      <c r="B20" s="56" t="str">
        <f>IF(Invoices[[#This Row],[Invoice '#]]="","",Invoices[[#This Row],[Invoice '#]])</f>
        <v/>
      </c>
      <c r="C20" s="53" t="str">
        <f>IFERROR(VLOOKUP(open[[#This Row],[Invoice'#]],'Enter Invoices'!C:H,2,0),"")</f>
        <v/>
      </c>
      <c r="D20" s="52" t="str">
        <f>IFERROR(VLOOKUP(open[[#This Row],[Invoice'#]],'Enter Invoices'!C:H,6,0),"")</f>
        <v/>
      </c>
      <c r="E20" s="66" t="str">
        <f>IFERROR(VLOOKUP(open[[#This Row],[Invoice'#]],'Enter Invoices'!C:H,5,0),"")</f>
        <v/>
      </c>
      <c r="F20" s="54" t="str">
        <f>IFERROR(IF(open[[#This Row],[Amount Due]]="","",open[[#This Row],[Amount Due]]-SUMIF('Record Customer Payments'!B:B,open[[#This Row],[Invoice'#]],'Record Customer Payments'!F:F)),"")</f>
        <v/>
      </c>
      <c r="K20" s="58"/>
      <c r="L20" s="59"/>
      <c r="M20" s="59"/>
      <c r="N20" s="59"/>
    </row>
    <row r="21" spans="2:14" s="53" customFormat="1" ht="16.149999999999999" customHeight="1" x14ac:dyDescent="0.25">
      <c r="B21" s="56" t="str">
        <f>IF(Invoices[[#This Row],[Invoice '#]]="","",Invoices[[#This Row],[Invoice '#]])</f>
        <v/>
      </c>
      <c r="C21" s="53" t="str">
        <f>IFERROR(VLOOKUP(open[[#This Row],[Invoice'#]],'Enter Invoices'!C:H,2,0),"")</f>
        <v/>
      </c>
      <c r="D21" s="52" t="str">
        <f>IFERROR(VLOOKUP(open[[#This Row],[Invoice'#]],'Enter Invoices'!C:H,6,0),"")</f>
        <v/>
      </c>
      <c r="E21" s="66" t="str">
        <f>IFERROR(VLOOKUP(open[[#This Row],[Invoice'#]],'Enter Invoices'!C:H,5,0),"")</f>
        <v/>
      </c>
      <c r="F21" s="54" t="str">
        <f>IFERROR(IF(open[[#This Row],[Amount Due]]="","",open[[#This Row],[Amount Due]]-SUMIF('Record Customer Payments'!B:B,open[[#This Row],[Invoice'#]],'Record Customer Payments'!F:F)),"")</f>
        <v/>
      </c>
      <c r="K21" s="58"/>
      <c r="L21" s="59"/>
      <c r="M21" s="59"/>
      <c r="N21" s="59"/>
    </row>
    <row r="22" spans="2:14" s="53" customFormat="1" ht="16.149999999999999" customHeight="1" x14ac:dyDescent="0.25">
      <c r="B22" s="56" t="str">
        <f>IF(Invoices[[#This Row],[Invoice '#]]="","",Invoices[[#This Row],[Invoice '#]])</f>
        <v/>
      </c>
      <c r="C22" s="53" t="str">
        <f>IFERROR(VLOOKUP(open[[#This Row],[Invoice'#]],'Enter Invoices'!C:H,2,0),"")</f>
        <v/>
      </c>
      <c r="D22" s="52" t="str">
        <f>IFERROR(VLOOKUP(open[[#This Row],[Invoice'#]],'Enter Invoices'!C:H,6,0),"")</f>
        <v/>
      </c>
      <c r="E22" s="66" t="str">
        <f>IFERROR(VLOOKUP(open[[#This Row],[Invoice'#]],'Enter Invoices'!C:H,5,0),"")</f>
        <v/>
      </c>
      <c r="F22" s="54" t="str">
        <f>IFERROR(IF(open[[#This Row],[Amount Due]]="","",open[[#This Row],[Amount Due]]-SUMIF('Record Customer Payments'!B:B,open[[#This Row],[Invoice'#]],'Record Customer Payments'!F:F)),"")</f>
        <v/>
      </c>
      <c r="K22" s="58"/>
      <c r="L22" s="59"/>
      <c r="M22" s="59"/>
      <c r="N22" s="59"/>
    </row>
    <row r="23" spans="2:14" s="53" customFormat="1" ht="16.149999999999999" customHeight="1" x14ac:dyDescent="0.25">
      <c r="B23" s="56" t="str">
        <f>IF(Invoices[[#This Row],[Invoice '#]]="","",Invoices[[#This Row],[Invoice '#]])</f>
        <v/>
      </c>
      <c r="C23" s="53" t="str">
        <f>IFERROR(VLOOKUP(open[[#This Row],[Invoice'#]],'Enter Invoices'!C:H,2,0),"")</f>
        <v/>
      </c>
      <c r="D23" s="52" t="str">
        <f>IFERROR(VLOOKUP(open[[#This Row],[Invoice'#]],'Enter Invoices'!C:H,6,0),"")</f>
        <v/>
      </c>
      <c r="E23" s="66" t="str">
        <f>IFERROR(VLOOKUP(open[[#This Row],[Invoice'#]],'Enter Invoices'!C:H,5,0),"")</f>
        <v/>
      </c>
      <c r="F23" s="54" t="str">
        <f>IFERROR(IF(open[[#This Row],[Amount Due]]="","",open[[#This Row],[Amount Due]]-SUMIF('Record Customer Payments'!B:B,open[[#This Row],[Invoice'#]],'Record Customer Payments'!F:F)),"")</f>
        <v/>
      </c>
      <c r="K23" s="58"/>
      <c r="L23" s="59"/>
      <c r="M23" s="59"/>
      <c r="N23" s="59"/>
    </row>
    <row r="24" spans="2:14" s="53" customFormat="1" ht="16.149999999999999" customHeight="1" x14ac:dyDescent="0.25">
      <c r="B24" s="56" t="str">
        <f>IF(Invoices[[#This Row],[Invoice '#]]="","",Invoices[[#This Row],[Invoice '#]])</f>
        <v/>
      </c>
      <c r="C24" s="53" t="str">
        <f>IFERROR(VLOOKUP(open[[#This Row],[Invoice'#]],'Enter Invoices'!C:H,2,0),"")</f>
        <v/>
      </c>
      <c r="D24" s="52" t="str">
        <f>IFERROR(VLOOKUP(open[[#This Row],[Invoice'#]],'Enter Invoices'!C:H,6,0),"")</f>
        <v/>
      </c>
      <c r="E24" s="66" t="str">
        <f>IFERROR(VLOOKUP(open[[#This Row],[Invoice'#]],'Enter Invoices'!C:H,5,0),"")</f>
        <v/>
      </c>
      <c r="F24" s="54" t="str">
        <f>IFERROR(IF(open[[#This Row],[Amount Due]]="","",open[[#This Row],[Amount Due]]-SUMIF('Record Customer Payments'!B:B,open[[#This Row],[Invoice'#]],'Record Customer Payments'!F:F)),"")</f>
        <v/>
      </c>
      <c r="H24" s="55"/>
      <c r="I24" s="56"/>
      <c r="J24" s="57"/>
      <c r="K24" s="58"/>
      <c r="L24" s="59"/>
      <c r="M24" s="59"/>
      <c r="N24" s="59"/>
    </row>
    <row r="25" spans="2:14" s="53" customFormat="1" ht="16.149999999999999" customHeight="1" x14ac:dyDescent="0.25">
      <c r="B25" s="56" t="str">
        <f>IF(Invoices[[#This Row],[Invoice '#]]="","",Invoices[[#This Row],[Invoice '#]])</f>
        <v/>
      </c>
      <c r="C25" s="53" t="str">
        <f>IFERROR(VLOOKUP(open[[#This Row],[Invoice'#]],'Enter Invoices'!C:H,2,0),"")</f>
        <v/>
      </c>
      <c r="D25" s="52" t="str">
        <f>IFERROR(VLOOKUP(open[[#This Row],[Invoice'#]],'Enter Invoices'!C:H,6,0),"")</f>
        <v/>
      </c>
      <c r="E25" s="66" t="str">
        <f>IFERROR(VLOOKUP(open[[#This Row],[Invoice'#]],'Enter Invoices'!C:H,5,0),"")</f>
        <v/>
      </c>
      <c r="F25" s="54" t="str">
        <f>IFERROR(IF(open[[#This Row],[Amount Due]]="","",open[[#This Row],[Amount Due]]-SUMIF('Record Customer Payments'!B:B,open[[#This Row],[Invoice'#]],'Record Customer Payments'!F:F)),"")</f>
        <v/>
      </c>
      <c r="H25" s="55"/>
      <c r="I25" s="56"/>
      <c r="J25" s="57"/>
      <c r="K25" s="58"/>
      <c r="L25" s="59"/>
      <c r="M25" s="59"/>
      <c r="N25" s="59"/>
    </row>
    <row r="26" spans="2:14" s="53" customFormat="1" ht="16.149999999999999" customHeight="1" x14ac:dyDescent="0.25">
      <c r="B26" s="56" t="str">
        <f>IF(Invoices[[#This Row],[Invoice '#]]="","",Invoices[[#This Row],[Invoice '#]])</f>
        <v/>
      </c>
      <c r="C26" s="53" t="str">
        <f>IFERROR(VLOOKUP(open[[#This Row],[Invoice'#]],'Enter Invoices'!C:H,2,0),"")</f>
        <v/>
      </c>
      <c r="D26" s="52" t="str">
        <f>IFERROR(VLOOKUP(open[[#This Row],[Invoice'#]],'Enter Invoices'!C:H,6,0),"")</f>
        <v/>
      </c>
      <c r="E26" s="66" t="str">
        <f>IFERROR(VLOOKUP(open[[#This Row],[Invoice'#]],'Enter Invoices'!C:H,5,0),"")</f>
        <v/>
      </c>
      <c r="F26" s="54" t="str">
        <f>IFERROR(IF(open[[#This Row],[Amount Due]]="","",open[[#This Row],[Amount Due]]-SUMIF('Record Customer Payments'!B:B,open[[#This Row],[Invoice'#]],'Record Customer Payments'!F:F)),"")</f>
        <v/>
      </c>
      <c r="H26" s="55"/>
      <c r="I26" s="56"/>
      <c r="J26" s="57"/>
      <c r="K26" s="58"/>
      <c r="L26" s="59"/>
      <c r="M26" s="59"/>
      <c r="N26" s="59"/>
    </row>
    <row r="27" spans="2:14" s="53" customFormat="1" ht="16.149999999999999" customHeight="1" x14ac:dyDescent="0.25">
      <c r="B27" s="56" t="str">
        <f>IF(Invoices[[#This Row],[Invoice '#]]="","",Invoices[[#This Row],[Invoice '#]])</f>
        <v/>
      </c>
      <c r="C27" s="53" t="str">
        <f>IFERROR(VLOOKUP(open[[#This Row],[Invoice'#]],'Enter Invoices'!C:H,2,0),"")</f>
        <v/>
      </c>
      <c r="D27" s="52" t="str">
        <f>IFERROR(VLOOKUP(open[[#This Row],[Invoice'#]],'Enter Invoices'!C:H,6,0),"")</f>
        <v/>
      </c>
      <c r="E27" s="66" t="str">
        <f>IFERROR(VLOOKUP(open[[#This Row],[Invoice'#]],'Enter Invoices'!C:H,5,0),"")</f>
        <v/>
      </c>
      <c r="F27" s="54" t="str">
        <f>IFERROR(IF(open[[#This Row],[Amount Due]]="","",open[[#This Row],[Amount Due]]-SUMIF('Record Customer Payments'!B:B,open[[#This Row],[Invoice'#]],'Record Customer Payments'!F:F)),"")</f>
        <v/>
      </c>
      <c r="H27" s="55"/>
      <c r="I27" s="56"/>
      <c r="J27" s="57"/>
      <c r="K27" s="58"/>
      <c r="L27" s="59"/>
      <c r="M27" s="59"/>
      <c r="N27" s="59"/>
    </row>
    <row r="28" spans="2:14" s="53" customFormat="1" ht="16.149999999999999" customHeight="1" x14ac:dyDescent="0.25">
      <c r="B28" s="56" t="str">
        <f>IF(Invoices[[#This Row],[Invoice '#]]="","",Invoices[[#This Row],[Invoice '#]])</f>
        <v/>
      </c>
      <c r="C28" s="53" t="str">
        <f>IFERROR(VLOOKUP(open[[#This Row],[Invoice'#]],'Enter Invoices'!C:H,2,0),"")</f>
        <v/>
      </c>
      <c r="D28" s="52" t="str">
        <f>IFERROR(VLOOKUP(open[[#This Row],[Invoice'#]],'Enter Invoices'!C:H,6,0),"")</f>
        <v/>
      </c>
      <c r="E28" s="66" t="str">
        <f>IFERROR(VLOOKUP(open[[#This Row],[Invoice'#]],'Enter Invoices'!C:H,5,0),"")</f>
        <v/>
      </c>
      <c r="F28" s="54" t="str">
        <f>IFERROR(IF(open[[#This Row],[Amount Due]]="","",open[[#This Row],[Amount Due]]-SUMIF('Record Customer Payments'!B:B,open[[#This Row],[Invoice'#]],'Record Customer Payments'!F:F)),"")</f>
        <v/>
      </c>
      <c r="H28" s="55"/>
      <c r="I28" s="56"/>
      <c r="J28" s="57"/>
      <c r="K28" s="58"/>
      <c r="L28" s="59"/>
      <c r="M28" s="59"/>
      <c r="N28" s="59"/>
    </row>
    <row r="29" spans="2:14" s="53" customFormat="1" ht="16.149999999999999" customHeight="1" x14ac:dyDescent="0.25">
      <c r="B29" s="56" t="str">
        <f>IF(Invoices[[#This Row],[Invoice '#]]="","",Invoices[[#This Row],[Invoice '#]])</f>
        <v/>
      </c>
      <c r="C29" s="53" t="str">
        <f>IFERROR(VLOOKUP(open[[#This Row],[Invoice'#]],'Enter Invoices'!C:H,2,0),"")</f>
        <v/>
      </c>
      <c r="D29" s="52" t="str">
        <f>IFERROR(VLOOKUP(open[[#This Row],[Invoice'#]],'Enter Invoices'!C:H,6,0),"")</f>
        <v/>
      </c>
      <c r="E29" s="66" t="str">
        <f>IFERROR(VLOOKUP(open[[#This Row],[Invoice'#]],'Enter Invoices'!C:H,5,0),"")</f>
        <v/>
      </c>
      <c r="F29" s="54" t="str">
        <f>IFERROR(IF(open[[#This Row],[Amount Due]]="","",open[[#This Row],[Amount Due]]-SUMIF('Record Customer Payments'!B:B,open[[#This Row],[Invoice'#]],'Record Customer Payments'!F:F)),"")</f>
        <v/>
      </c>
      <c r="H29" s="55"/>
      <c r="I29" s="56"/>
      <c r="J29" s="57"/>
      <c r="K29" s="58"/>
      <c r="L29" s="59"/>
      <c r="M29" s="59"/>
      <c r="N29" s="59"/>
    </row>
    <row r="30" spans="2:14" s="53" customFormat="1" ht="16.149999999999999" customHeight="1" x14ac:dyDescent="0.25">
      <c r="B30" s="56" t="str">
        <f>IF(Invoices[[#This Row],[Invoice '#]]="","",Invoices[[#This Row],[Invoice '#]])</f>
        <v/>
      </c>
      <c r="C30" s="53" t="str">
        <f>IFERROR(VLOOKUP(open[[#This Row],[Invoice'#]],'Enter Invoices'!C:H,2,0),"")</f>
        <v/>
      </c>
      <c r="D30" s="52" t="str">
        <f>IFERROR(VLOOKUP(open[[#This Row],[Invoice'#]],'Enter Invoices'!C:H,6,0),"")</f>
        <v/>
      </c>
      <c r="E30" s="66" t="str">
        <f>IFERROR(VLOOKUP(open[[#This Row],[Invoice'#]],'Enter Invoices'!C:H,5,0),"")</f>
        <v/>
      </c>
      <c r="F30" s="54" t="str">
        <f>IFERROR(IF(open[[#This Row],[Amount Due]]="","",open[[#This Row],[Amount Due]]-SUMIF('Record Customer Payments'!B:B,open[[#This Row],[Invoice'#]],'Record Customer Payments'!F:F)),"")</f>
        <v/>
      </c>
      <c r="H30" s="55"/>
      <c r="I30" s="56"/>
      <c r="J30" s="57"/>
      <c r="K30" s="58"/>
      <c r="L30" s="59"/>
      <c r="M30" s="59"/>
      <c r="N30" s="59"/>
    </row>
    <row r="31" spans="2:14" s="53" customFormat="1" ht="16.149999999999999" customHeight="1" x14ac:dyDescent="0.25">
      <c r="B31" s="56" t="str">
        <f>IF(Invoices[[#This Row],[Invoice '#]]="","",Invoices[[#This Row],[Invoice '#]])</f>
        <v/>
      </c>
      <c r="C31" s="53" t="str">
        <f>IFERROR(VLOOKUP(open[[#This Row],[Invoice'#]],'Enter Invoices'!C:H,2,0),"")</f>
        <v/>
      </c>
      <c r="D31" s="52" t="str">
        <f>IFERROR(VLOOKUP(open[[#This Row],[Invoice'#]],'Enter Invoices'!C:H,6,0),"")</f>
        <v/>
      </c>
      <c r="E31" s="66" t="str">
        <f>IFERROR(VLOOKUP(open[[#This Row],[Invoice'#]],'Enter Invoices'!C:H,5,0),"")</f>
        <v/>
      </c>
      <c r="F31" s="54" t="str">
        <f>IFERROR(IF(open[[#This Row],[Amount Due]]="","",open[[#This Row],[Amount Due]]-SUMIF('Record Customer Payments'!B:B,open[[#This Row],[Invoice'#]],'Record Customer Payments'!F:F)),"")</f>
        <v/>
      </c>
      <c r="H31" s="55"/>
      <c r="I31" s="56"/>
      <c r="J31" s="57"/>
      <c r="K31" s="58"/>
      <c r="L31" s="59"/>
      <c r="M31" s="59"/>
      <c r="N31" s="59"/>
    </row>
    <row r="32" spans="2:14" s="53" customFormat="1" ht="16.149999999999999" customHeight="1" x14ac:dyDescent="0.25">
      <c r="B32" s="56" t="str">
        <f>IF(Invoices[[#This Row],[Invoice '#]]="","",Invoices[[#This Row],[Invoice '#]])</f>
        <v/>
      </c>
      <c r="C32" s="53" t="str">
        <f>IFERROR(VLOOKUP(open[[#This Row],[Invoice'#]],'Enter Invoices'!C:H,2,0),"")</f>
        <v/>
      </c>
      <c r="D32" s="52" t="str">
        <f>IFERROR(VLOOKUP(open[[#This Row],[Invoice'#]],'Enter Invoices'!C:H,6,0),"")</f>
        <v/>
      </c>
      <c r="E32" s="66" t="str">
        <f>IFERROR(VLOOKUP(open[[#This Row],[Invoice'#]],'Enter Invoices'!C:H,5,0),"")</f>
        <v/>
      </c>
      <c r="F32" s="54" t="str">
        <f>IFERROR(IF(open[[#This Row],[Amount Due]]="","",open[[#This Row],[Amount Due]]-SUMIF('Record Customer Payments'!B:B,open[[#This Row],[Invoice'#]],'Record Customer Payments'!F:F)),"")</f>
        <v/>
      </c>
      <c r="H32" s="55"/>
      <c r="I32" s="56"/>
      <c r="J32" s="57"/>
      <c r="K32" s="58"/>
      <c r="L32" s="59"/>
      <c r="M32" s="59"/>
      <c r="N32" s="59"/>
    </row>
    <row r="33" spans="2:14" s="53" customFormat="1" ht="16.149999999999999" customHeight="1" x14ac:dyDescent="0.25">
      <c r="B33" s="56" t="str">
        <f>IF(Invoices[[#This Row],[Invoice '#]]="","",Invoices[[#This Row],[Invoice '#]])</f>
        <v/>
      </c>
      <c r="C33" s="53" t="str">
        <f>IFERROR(VLOOKUP(open[[#This Row],[Invoice'#]],'Enter Invoices'!C:H,2,0),"")</f>
        <v/>
      </c>
      <c r="D33" s="52" t="str">
        <f>IFERROR(VLOOKUP(open[[#This Row],[Invoice'#]],'Enter Invoices'!C:H,6,0),"")</f>
        <v/>
      </c>
      <c r="E33" s="66" t="str">
        <f>IFERROR(VLOOKUP(open[[#This Row],[Invoice'#]],'Enter Invoices'!C:H,5,0),"")</f>
        <v/>
      </c>
      <c r="F33" s="54" t="str">
        <f>IFERROR(IF(open[[#This Row],[Amount Due]]="","",open[[#This Row],[Amount Due]]-SUMIF('Record Customer Payments'!B:B,open[[#This Row],[Invoice'#]],'Record Customer Payments'!F:F)),"")</f>
        <v/>
      </c>
      <c r="H33" s="55"/>
      <c r="I33" s="56"/>
      <c r="J33" s="57"/>
      <c r="K33" s="58"/>
      <c r="L33" s="59"/>
      <c r="M33" s="59"/>
      <c r="N33" s="59"/>
    </row>
    <row r="34" spans="2:14" s="53" customFormat="1" ht="16.149999999999999" customHeight="1" x14ac:dyDescent="0.25">
      <c r="B34" s="56" t="str">
        <f>IF(Invoices[[#This Row],[Invoice '#]]="","",Invoices[[#This Row],[Invoice '#]])</f>
        <v/>
      </c>
      <c r="C34" s="53" t="str">
        <f>IFERROR(VLOOKUP(open[[#This Row],[Invoice'#]],'Enter Invoices'!C:H,2,0),"")</f>
        <v/>
      </c>
      <c r="D34" s="52" t="str">
        <f>IFERROR(VLOOKUP(open[[#This Row],[Invoice'#]],'Enter Invoices'!C:H,6,0),"")</f>
        <v/>
      </c>
      <c r="E34" s="66" t="str">
        <f>IFERROR(VLOOKUP(open[[#This Row],[Invoice'#]],'Enter Invoices'!C:H,5,0),"")</f>
        <v/>
      </c>
      <c r="F34" s="54" t="str">
        <f>IFERROR(IF(open[[#This Row],[Amount Due]]="","",open[[#This Row],[Amount Due]]-SUMIF('Record Customer Payments'!B:B,open[[#This Row],[Invoice'#]],'Record Customer Payments'!F:F)),"")</f>
        <v/>
      </c>
      <c r="H34" s="55"/>
      <c r="I34" s="56"/>
      <c r="J34" s="57"/>
      <c r="K34" s="58"/>
      <c r="L34" s="59"/>
      <c r="M34" s="59"/>
      <c r="N34" s="59"/>
    </row>
    <row r="35" spans="2:14" s="53" customFormat="1" ht="16.149999999999999" customHeight="1" x14ac:dyDescent="0.25">
      <c r="B35" s="56" t="str">
        <f>IF(Invoices[[#This Row],[Invoice '#]]="","",Invoices[[#This Row],[Invoice '#]])</f>
        <v/>
      </c>
      <c r="C35" s="53" t="str">
        <f>IFERROR(VLOOKUP(open[[#This Row],[Invoice'#]],'Enter Invoices'!C:H,2,0),"")</f>
        <v/>
      </c>
      <c r="D35" s="52" t="str">
        <f>IFERROR(VLOOKUP(open[[#This Row],[Invoice'#]],'Enter Invoices'!C:H,6,0),"")</f>
        <v/>
      </c>
      <c r="E35" s="66" t="str">
        <f>IFERROR(VLOOKUP(open[[#This Row],[Invoice'#]],'Enter Invoices'!C:H,5,0),"")</f>
        <v/>
      </c>
      <c r="F35" s="54" t="str">
        <f>IFERROR(IF(open[[#This Row],[Amount Due]]="","",open[[#This Row],[Amount Due]]-SUMIF('Record Customer Payments'!B:B,open[[#This Row],[Invoice'#]],'Record Customer Payments'!F:F)),"")</f>
        <v/>
      </c>
      <c r="H35" s="55"/>
      <c r="I35" s="56"/>
      <c r="J35" s="57"/>
      <c r="K35" s="58"/>
      <c r="L35" s="59"/>
      <c r="M35" s="59"/>
      <c r="N35" s="59"/>
    </row>
    <row r="36" spans="2:14" s="53" customFormat="1" ht="16.149999999999999" customHeight="1" x14ac:dyDescent="0.25">
      <c r="B36" s="56" t="str">
        <f>IF(Invoices[[#This Row],[Invoice '#]]="","",Invoices[[#This Row],[Invoice '#]])</f>
        <v/>
      </c>
      <c r="C36" s="53" t="str">
        <f>IFERROR(VLOOKUP(open[[#This Row],[Invoice'#]],'Enter Invoices'!C:H,2,0),"")</f>
        <v/>
      </c>
      <c r="D36" s="52" t="str">
        <f>IFERROR(VLOOKUP(open[[#This Row],[Invoice'#]],'Enter Invoices'!C:H,6,0),"")</f>
        <v/>
      </c>
      <c r="E36" s="66" t="str">
        <f>IFERROR(VLOOKUP(open[[#This Row],[Invoice'#]],'Enter Invoices'!C:H,5,0),"")</f>
        <v/>
      </c>
      <c r="F36" s="54" t="str">
        <f>IFERROR(IF(open[[#This Row],[Amount Due]]="","",open[[#This Row],[Amount Due]]-SUMIF('Record Customer Payments'!B:B,open[[#This Row],[Invoice'#]],'Record Customer Payments'!F:F)),"")</f>
        <v/>
      </c>
      <c r="H36" s="55"/>
      <c r="I36" s="56"/>
      <c r="J36" s="57"/>
      <c r="K36" s="58"/>
      <c r="L36" s="59"/>
      <c r="M36" s="59"/>
      <c r="N36" s="59"/>
    </row>
    <row r="37" spans="2:14" s="53" customFormat="1" ht="16.149999999999999" customHeight="1" x14ac:dyDescent="0.25">
      <c r="B37" s="56" t="str">
        <f>IF(Invoices[[#This Row],[Invoice '#]]="","",Invoices[[#This Row],[Invoice '#]])</f>
        <v/>
      </c>
      <c r="C37" s="53" t="str">
        <f>IFERROR(VLOOKUP(open[[#This Row],[Invoice'#]],'Enter Invoices'!C:H,2,0),"")</f>
        <v/>
      </c>
      <c r="D37" s="52" t="str">
        <f>IFERROR(VLOOKUP(open[[#This Row],[Invoice'#]],'Enter Invoices'!C:H,6,0),"")</f>
        <v/>
      </c>
      <c r="E37" s="66" t="str">
        <f>IFERROR(VLOOKUP(open[[#This Row],[Invoice'#]],'Enter Invoices'!C:H,5,0),"")</f>
        <v/>
      </c>
      <c r="F37" s="54" t="str">
        <f>IFERROR(IF(open[[#This Row],[Amount Due]]="","",open[[#This Row],[Amount Due]]-SUMIF('Record Customer Payments'!B:B,open[[#This Row],[Invoice'#]],'Record Customer Payments'!F:F)),"")</f>
        <v/>
      </c>
      <c r="H37" s="55"/>
      <c r="I37" s="56"/>
      <c r="J37" s="57"/>
      <c r="K37" s="58"/>
      <c r="L37" s="59"/>
      <c r="M37" s="59"/>
      <c r="N37" s="59"/>
    </row>
    <row r="38" spans="2:14" s="53" customFormat="1" ht="16.149999999999999" customHeight="1" x14ac:dyDescent="0.25">
      <c r="B38" s="56" t="str">
        <f>IF(Invoices[[#This Row],[Invoice '#]]="","",Invoices[[#This Row],[Invoice '#]])</f>
        <v/>
      </c>
      <c r="C38" s="53" t="str">
        <f>IFERROR(VLOOKUP(open[[#This Row],[Invoice'#]],'Enter Invoices'!C:H,2,0),"")</f>
        <v/>
      </c>
      <c r="D38" s="52" t="str">
        <f>IFERROR(VLOOKUP(open[[#This Row],[Invoice'#]],'Enter Invoices'!C:H,6,0),"")</f>
        <v/>
      </c>
      <c r="E38" s="66" t="str">
        <f>IFERROR(VLOOKUP(open[[#This Row],[Invoice'#]],'Enter Invoices'!C:H,5,0),"")</f>
        <v/>
      </c>
      <c r="F38" s="54" t="str">
        <f>IFERROR(IF(open[[#This Row],[Amount Due]]="","",open[[#This Row],[Amount Due]]-SUMIF('Record Customer Payments'!B:B,open[[#This Row],[Invoice'#]],'Record Customer Payments'!F:F)),"")</f>
        <v/>
      </c>
      <c r="H38" s="55"/>
      <c r="I38" s="56"/>
      <c r="J38" s="57"/>
      <c r="K38" s="58"/>
      <c r="L38" s="59"/>
      <c r="M38" s="59"/>
      <c r="N38" s="59"/>
    </row>
    <row r="39" spans="2:14" s="53" customFormat="1" ht="16.149999999999999" customHeight="1" x14ac:dyDescent="0.25">
      <c r="B39" s="56" t="str">
        <f>IF(Invoices[[#This Row],[Invoice '#]]="","",Invoices[[#This Row],[Invoice '#]])</f>
        <v/>
      </c>
      <c r="C39" s="53" t="str">
        <f>IFERROR(VLOOKUP(open[[#This Row],[Invoice'#]],'Enter Invoices'!C:H,2,0),"")</f>
        <v/>
      </c>
      <c r="D39" s="52" t="str">
        <f>IFERROR(VLOOKUP(open[[#This Row],[Invoice'#]],'Enter Invoices'!C:H,6,0),"")</f>
        <v/>
      </c>
      <c r="E39" s="66" t="str">
        <f>IFERROR(VLOOKUP(open[[#This Row],[Invoice'#]],'Enter Invoices'!C:H,5,0),"")</f>
        <v/>
      </c>
      <c r="F39" s="54" t="str">
        <f>IFERROR(IF(open[[#This Row],[Amount Due]]="","",open[[#This Row],[Amount Due]]-SUMIF('Record Customer Payments'!B:B,open[[#This Row],[Invoice'#]],'Record Customer Payments'!F:F)),"")</f>
        <v/>
      </c>
      <c r="H39" s="55"/>
      <c r="I39" s="56"/>
      <c r="J39" s="57"/>
      <c r="K39" s="58"/>
      <c r="L39" s="59"/>
      <c r="M39" s="59"/>
      <c r="N39" s="59"/>
    </row>
    <row r="40" spans="2:14" s="53" customFormat="1" ht="16.149999999999999" customHeight="1" x14ac:dyDescent="0.25">
      <c r="B40" s="56" t="str">
        <f>IF(Invoices[[#This Row],[Invoice '#]]="","",Invoices[[#This Row],[Invoice '#]])</f>
        <v/>
      </c>
      <c r="C40" s="53" t="str">
        <f>IFERROR(VLOOKUP(open[[#This Row],[Invoice'#]],'Enter Invoices'!C:H,2,0),"")</f>
        <v/>
      </c>
      <c r="D40" s="52" t="str">
        <f>IFERROR(VLOOKUP(open[[#This Row],[Invoice'#]],'Enter Invoices'!C:H,6,0),"")</f>
        <v/>
      </c>
      <c r="E40" s="66" t="str">
        <f>IFERROR(VLOOKUP(open[[#This Row],[Invoice'#]],'Enter Invoices'!C:H,5,0),"")</f>
        <v/>
      </c>
      <c r="F40" s="54" t="str">
        <f>IFERROR(IF(open[[#This Row],[Amount Due]]="","",open[[#This Row],[Amount Due]]-SUMIF('Record Customer Payments'!B:B,open[[#This Row],[Invoice'#]],'Record Customer Payments'!F:F)),"")</f>
        <v/>
      </c>
      <c r="H40" s="55"/>
      <c r="I40" s="56"/>
      <c r="J40" s="57"/>
      <c r="K40" s="58"/>
      <c r="L40" s="59"/>
      <c r="M40" s="59"/>
      <c r="N40" s="59"/>
    </row>
    <row r="41" spans="2:14" s="53" customFormat="1" ht="16.149999999999999" customHeight="1" x14ac:dyDescent="0.25">
      <c r="B41" s="56" t="str">
        <f>IF(Invoices[[#This Row],[Invoice '#]]="","",Invoices[[#This Row],[Invoice '#]])</f>
        <v/>
      </c>
      <c r="C41" s="53" t="str">
        <f>IFERROR(VLOOKUP(open[[#This Row],[Invoice'#]],'Enter Invoices'!C:H,2,0),"")</f>
        <v/>
      </c>
      <c r="D41" s="52" t="str">
        <f>IFERROR(VLOOKUP(open[[#This Row],[Invoice'#]],'Enter Invoices'!C:H,6,0),"")</f>
        <v/>
      </c>
      <c r="E41" s="66" t="str">
        <f>IFERROR(VLOOKUP(open[[#This Row],[Invoice'#]],'Enter Invoices'!C:H,5,0),"")</f>
        <v/>
      </c>
      <c r="F41" s="54" t="str">
        <f>IFERROR(IF(open[[#This Row],[Amount Due]]="","",open[[#This Row],[Amount Due]]-SUMIF('Record Customer Payments'!B:B,open[[#This Row],[Invoice'#]],'Record Customer Payments'!F:F)),"")</f>
        <v/>
      </c>
      <c r="H41" s="55"/>
      <c r="I41" s="56"/>
      <c r="J41" s="57"/>
      <c r="K41" s="58"/>
      <c r="L41" s="59"/>
      <c r="M41" s="59"/>
      <c r="N41" s="59"/>
    </row>
    <row r="42" spans="2:14" s="53" customFormat="1" ht="16.149999999999999" customHeight="1" x14ac:dyDescent="0.25">
      <c r="B42" s="56" t="str">
        <f>IF(Invoices[[#This Row],[Invoice '#]]="","",Invoices[[#This Row],[Invoice '#]])</f>
        <v/>
      </c>
      <c r="C42" s="53" t="str">
        <f>IFERROR(VLOOKUP(open[[#This Row],[Invoice'#]],'Enter Invoices'!C:H,2,0),"")</f>
        <v/>
      </c>
      <c r="D42" s="52" t="str">
        <f>IFERROR(VLOOKUP(open[[#This Row],[Invoice'#]],'Enter Invoices'!C:H,6,0),"")</f>
        <v/>
      </c>
      <c r="E42" s="66" t="str">
        <f>IFERROR(VLOOKUP(open[[#This Row],[Invoice'#]],'Enter Invoices'!C:H,5,0),"")</f>
        <v/>
      </c>
      <c r="F42" s="54" t="str">
        <f>IFERROR(IF(open[[#This Row],[Amount Due]]="","",open[[#This Row],[Amount Due]]-SUMIF('Record Customer Payments'!B:B,open[[#This Row],[Invoice'#]],'Record Customer Payments'!F:F)),"")</f>
        <v/>
      </c>
      <c r="H42" s="55"/>
      <c r="I42" s="56"/>
      <c r="J42" s="57"/>
      <c r="K42" s="58"/>
      <c r="L42" s="59"/>
      <c r="M42" s="59"/>
      <c r="N42" s="59"/>
    </row>
    <row r="43" spans="2:14" s="53" customFormat="1" ht="16.149999999999999" customHeight="1" x14ac:dyDescent="0.25">
      <c r="B43" s="56" t="str">
        <f>IF(Invoices[[#This Row],[Invoice '#]]="","",Invoices[[#This Row],[Invoice '#]])</f>
        <v/>
      </c>
      <c r="C43" s="53" t="str">
        <f>IFERROR(VLOOKUP(open[[#This Row],[Invoice'#]],'Enter Invoices'!C:H,2,0),"")</f>
        <v/>
      </c>
      <c r="D43" s="52" t="str">
        <f>IFERROR(VLOOKUP(open[[#This Row],[Invoice'#]],'Enter Invoices'!C:H,6,0),"")</f>
        <v/>
      </c>
      <c r="E43" s="66" t="str">
        <f>IFERROR(VLOOKUP(open[[#This Row],[Invoice'#]],'Enter Invoices'!C:H,5,0),"")</f>
        <v/>
      </c>
      <c r="F43" s="54" t="str">
        <f>IFERROR(IF(open[[#This Row],[Amount Due]]="","",open[[#This Row],[Amount Due]]-SUMIF('Record Customer Payments'!B:B,open[[#This Row],[Invoice'#]],'Record Customer Payments'!F:F)),"")</f>
        <v/>
      </c>
      <c r="H43" s="55"/>
      <c r="I43" s="56"/>
      <c r="J43" s="57"/>
      <c r="K43" s="58"/>
      <c r="L43" s="59"/>
      <c r="M43" s="59"/>
      <c r="N43" s="59"/>
    </row>
    <row r="44" spans="2:14" s="53" customFormat="1" ht="16.149999999999999" customHeight="1" x14ac:dyDescent="0.25">
      <c r="B44" s="56" t="str">
        <f>IF(Invoices[[#This Row],[Invoice '#]]="","",Invoices[[#This Row],[Invoice '#]])</f>
        <v/>
      </c>
      <c r="C44" s="53" t="str">
        <f>IFERROR(VLOOKUP(open[[#This Row],[Invoice'#]],'Enter Invoices'!C:H,2,0),"")</f>
        <v/>
      </c>
      <c r="D44" s="52" t="str">
        <f>IFERROR(VLOOKUP(open[[#This Row],[Invoice'#]],'Enter Invoices'!C:H,6,0),"")</f>
        <v/>
      </c>
      <c r="E44" s="66" t="str">
        <f>IFERROR(VLOOKUP(open[[#This Row],[Invoice'#]],'Enter Invoices'!C:H,5,0),"")</f>
        <v/>
      </c>
      <c r="F44" s="54" t="str">
        <f>IFERROR(IF(open[[#This Row],[Amount Due]]="","",open[[#This Row],[Amount Due]]-SUMIF('Record Customer Payments'!B:B,open[[#This Row],[Invoice'#]],'Record Customer Payments'!F:F)),"")</f>
        <v/>
      </c>
      <c r="H44" s="55"/>
      <c r="I44" s="56"/>
      <c r="J44" s="57"/>
      <c r="K44" s="58"/>
      <c r="L44" s="59"/>
      <c r="M44" s="59"/>
      <c r="N44" s="59"/>
    </row>
    <row r="45" spans="2:14" s="53" customFormat="1" ht="16.149999999999999" customHeight="1" x14ac:dyDescent="0.25">
      <c r="B45" s="56" t="str">
        <f>IF(Invoices[[#This Row],[Invoice '#]]="","",Invoices[[#This Row],[Invoice '#]])</f>
        <v/>
      </c>
      <c r="C45" s="53" t="str">
        <f>IFERROR(VLOOKUP(open[[#This Row],[Invoice'#]],'Enter Invoices'!C:H,2,0),"")</f>
        <v/>
      </c>
      <c r="D45" s="52" t="str">
        <f>IFERROR(VLOOKUP(open[[#This Row],[Invoice'#]],'Enter Invoices'!C:H,6,0),"")</f>
        <v/>
      </c>
      <c r="E45" s="66" t="str">
        <f>IFERROR(VLOOKUP(open[[#This Row],[Invoice'#]],'Enter Invoices'!C:H,5,0),"")</f>
        <v/>
      </c>
      <c r="F45" s="54" t="str">
        <f>IFERROR(IF(open[[#This Row],[Amount Due]]="","",open[[#This Row],[Amount Due]]-SUMIF('Record Customer Payments'!B:B,open[[#This Row],[Invoice'#]],'Record Customer Payments'!F:F)),"")</f>
        <v/>
      </c>
      <c r="H45" s="55"/>
      <c r="I45" s="56"/>
      <c r="J45" s="57"/>
      <c r="K45" s="58"/>
      <c r="L45" s="59"/>
      <c r="M45" s="59"/>
      <c r="N45" s="59"/>
    </row>
    <row r="46" spans="2:14" s="53" customFormat="1" ht="16.149999999999999" customHeight="1" x14ac:dyDescent="0.25">
      <c r="B46" s="56" t="str">
        <f>IF(Invoices[[#This Row],[Invoice '#]]="","",Invoices[[#This Row],[Invoice '#]])</f>
        <v/>
      </c>
      <c r="C46" s="53" t="str">
        <f>IFERROR(VLOOKUP(open[[#This Row],[Invoice'#]],'Enter Invoices'!C:H,2,0),"")</f>
        <v/>
      </c>
      <c r="D46" s="52" t="str">
        <f>IFERROR(VLOOKUP(open[[#This Row],[Invoice'#]],'Enter Invoices'!C:H,6,0),"")</f>
        <v/>
      </c>
      <c r="E46" s="66" t="str">
        <f>IFERROR(VLOOKUP(open[[#This Row],[Invoice'#]],'Enter Invoices'!C:H,5,0),"")</f>
        <v/>
      </c>
      <c r="F46" s="54" t="str">
        <f>IFERROR(IF(open[[#This Row],[Amount Due]]="","",open[[#This Row],[Amount Due]]-SUMIF('Record Customer Payments'!B:B,open[[#This Row],[Invoice'#]],'Record Customer Payments'!F:F)),"")</f>
        <v/>
      </c>
      <c r="H46" s="55"/>
      <c r="I46" s="56"/>
      <c r="J46" s="57"/>
      <c r="K46" s="58"/>
      <c r="L46" s="59"/>
      <c r="M46" s="59"/>
      <c r="N46" s="59"/>
    </row>
    <row r="47" spans="2:14" s="53" customFormat="1" ht="16.149999999999999" customHeight="1" x14ac:dyDescent="0.25">
      <c r="B47" s="56" t="str">
        <f>IF(Invoices[[#This Row],[Invoice '#]]="","",Invoices[[#This Row],[Invoice '#]])</f>
        <v/>
      </c>
      <c r="C47" s="53" t="str">
        <f>IFERROR(VLOOKUP(open[[#This Row],[Invoice'#]],'Enter Invoices'!C:H,2,0),"")</f>
        <v/>
      </c>
      <c r="D47" s="52" t="str">
        <f>IFERROR(VLOOKUP(open[[#This Row],[Invoice'#]],'Enter Invoices'!C:H,6,0),"")</f>
        <v/>
      </c>
      <c r="E47" s="66" t="str">
        <f>IFERROR(VLOOKUP(open[[#This Row],[Invoice'#]],'Enter Invoices'!C:H,5,0),"")</f>
        <v/>
      </c>
      <c r="F47" s="54" t="str">
        <f>IFERROR(IF(open[[#This Row],[Amount Due]]="","",open[[#This Row],[Amount Due]]-SUMIF('Record Customer Payments'!B:B,open[[#This Row],[Invoice'#]],'Record Customer Payments'!F:F)),"")</f>
        <v/>
      </c>
      <c r="H47" s="55"/>
      <c r="I47" s="56"/>
      <c r="J47" s="57"/>
      <c r="K47" s="58"/>
      <c r="L47" s="59"/>
      <c r="M47" s="59"/>
      <c r="N47" s="59"/>
    </row>
    <row r="48" spans="2:14" s="53" customFormat="1" ht="16.149999999999999" customHeight="1" x14ac:dyDescent="0.25">
      <c r="B48" s="56" t="str">
        <f>IF(Invoices[[#This Row],[Invoice '#]]="","",Invoices[[#This Row],[Invoice '#]])</f>
        <v/>
      </c>
      <c r="C48" s="53" t="str">
        <f>IFERROR(VLOOKUP(open[[#This Row],[Invoice'#]],'Enter Invoices'!C:H,2,0),"")</f>
        <v/>
      </c>
      <c r="D48" s="52" t="str">
        <f>IFERROR(VLOOKUP(open[[#This Row],[Invoice'#]],'Enter Invoices'!C:H,6,0),"")</f>
        <v/>
      </c>
      <c r="E48" s="66" t="str">
        <f>IFERROR(VLOOKUP(open[[#This Row],[Invoice'#]],'Enter Invoices'!C:H,5,0),"")</f>
        <v/>
      </c>
      <c r="F48" s="54" t="str">
        <f>IFERROR(IF(open[[#This Row],[Amount Due]]="","",open[[#This Row],[Amount Due]]-SUMIF('Record Customer Payments'!B:B,open[[#This Row],[Invoice'#]],'Record Customer Payments'!F:F)),"")</f>
        <v/>
      </c>
      <c r="H48" s="55"/>
      <c r="I48" s="56"/>
      <c r="J48" s="57"/>
      <c r="K48" s="58"/>
      <c r="L48" s="59"/>
      <c r="M48" s="59"/>
      <c r="N48" s="59"/>
    </row>
    <row r="49" spans="2:14" s="53" customFormat="1" ht="16.149999999999999" customHeight="1" x14ac:dyDescent="0.25">
      <c r="B49" s="56" t="str">
        <f>IF(Invoices[[#This Row],[Invoice '#]]="","",Invoices[[#This Row],[Invoice '#]])</f>
        <v/>
      </c>
      <c r="C49" s="53" t="str">
        <f>IFERROR(VLOOKUP(open[[#This Row],[Invoice'#]],'Enter Invoices'!C:H,2,0),"")</f>
        <v/>
      </c>
      <c r="D49" s="52" t="str">
        <f>IFERROR(VLOOKUP(open[[#This Row],[Invoice'#]],'Enter Invoices'!C:H,6,0),"")</f>
        <v/>
      </c>
      <c r="E49" s="66" t="str">
        <f>IFERROR(VLOOKUP(open[[#This Row],[Invoice'#]],'Enter Invoices'!C:H,5,0),"")</f>
        <v/>
      </c>
      <c r="F49" s="54" t="str">
        <f>IFERROR(IF(open[[#This Row],[Amount Due]]="","",open[[#This Row],[Amount Due]]-SUMIF('Record Customer Payments'!B:B,open[[#This Row],[Invoice'#]],'Record Customer Payments'!F:F)),"")</f>
        <v/>
      </c>
      <c r="H49" s="55"/>
      <c r="I49" s="56"/>
      <c r="J49" s="57"/>
      <c r="K49" s="58"/>
      <c r="L49" s="59"/>
      <c r="M49" s="59"/>
      <c r="N49" s="59"/>
    </row>
    <row r="50" spans="2:14" s="53" customFormat="1" ht="16.149999999999999" customHeight="1" x14ac:dyDescent="0.25">
      <c r="B50" s="56" t="str">
        <f>IF(Invoices[[#This Row],[Invoice '#]]="","",Invoices[[#This Row],[Invoice '#]])</f>
        <v/>
      </c>
      <c r="C50" s="53" t="str">
        <f>IFERROR(VLOOKUP(open[[#This Row],[Invoice'#]],'Enter Invoices'!C:H,2,0),"")</f>
        <v/>
      </c>
      <c r="D50" s="52" t="str">
        <f>IFERROR(VLOOKUP(open[[#This Row],[Invoice'#]],'Enter Invoices'!C:H,6,0),"")</f>
        <v/>
      </c>
      <c r="E50" s="66" t="str">
        <f>IFERROR(VLOOKUP(open[[#This Row],[Invoice'#]],'Enter Invoices'!C:H,5,0),"")</f>
        <v/>
      </c>
      <c r="F50" s="54" t="str">
        <f>IFERROR(IF(open[[#This Row],[Amount Due]]="","",open[[#This Row],[Amount Due]]-SUMIF('Record Customer Payments'!B:B,open[[#This Row],[Invoice'#]],'Record Customer Payments'!F:F)),"")</f>
        <v/>
      </c>
      <c r="H50" s="55"/>
      <c r="I50" s="56"/>
      <c r="J50" s="57"/>
      <c r="K50" s="58"/>
      <c r="L50" s="59"/>
      <c r="M50" s="59"/>
      <c r="N50" s="59"/>
    </row>
    <row r="51" spans="2:14" s="53" customFormat="1" ht="16.149999999999999" customHeight="1" x14ac:dyDescent="0.25">
      <c r="B51" s="56" t="str">
        <f>IF(Invoices[[#This Row],[Invoice '#]]="","",Invoices[[#This Row],[Invoice '#]])</f>
        <v/>
      </c>
      <c r="C51" s="53" t="str">
        <f>IFERROR(VLOOKUP(open[[#This Row],[Invoice'#]],'Enter Invoices'!C:H,2,0),"")</f>
        <v/>
      </c>
      <c r="D51" s="52" t="str">
        <f>IFERROR(VLOOKUP(open[[#This Row],[Invoice'#]],'Enter Invoices'!C:H,6,0),"")</f>
        <v/>
      </c>
      <c r="E51" s="66" t="str">
        <f>IFERROR(VLOOKUP(open[[#This Row],[Invoice'#]],'Enter Invoices'!C:H,5,0),"")</f>
        <v/>
      </c>
      <c r="F51" s="54" t="str">
        <f>IFERROR(IF(open[[#This Row],[Amount Due]]="","",open[[#This Row],[Amount Due]]-SUMIF('Record Customer Payments'!B:B,open[[#This Row],[Invoice'#]],'Record Customer Payments'!F:F)),"")</f>
        <v/>
      </c>
      <c r="H51" s="55"/>
      <c r="I51" s="56"/>
      <c r="J51" s="57"/>
      <c r="K51" s="58"/>
      <c r="L51" s="59"/>
      <c r="M51" s="59"/>
      <c r="N51" s="59"/>
    </row>
    <row r="52" spans="2:14" s="53" customFormat="1" ht="16.149999999999999" customHeight="1" x14ac:dyDescent="0.25">
      <c r="B52" s="56" t="str">
        <f>IF(Invoices[[#This Row],[Invoice '#]]="","",Invoices[[#This Row],[Invoice '#]])</f>
        <v/>
      </c>
      <c r="C52" s="53" t="str">
        <f>IFERROR(VLOOKUP(open[[#This Row],[Invoice'#]],'Enter Invoices'!C:H,2,0),"")</f>
        <v/>
      </c>
      <c r="D52" s="52" t="str">
        <f>IFERROR(VLOOKUP(open[[#This Row],[Invoice'#]],'Enter Invoices'!C:H,6,0),"")</f>
        <v/>
      </c>
      <c r="E52" s="66" t="str">
        <f>IFERROR(VLOOKUP(open[[#This Row],[Invoice'#]],'Enter Invoices'!C:H,5,0),"")</f>
        <v/>
      </c>
      <c r="F52" s="54" t="str">
        <f>IFERROR(IF(open[[#This Row],[Amount Due]]="","",open[[#This Row],[Amount Due]]-SUMIF('Record Customer Payments'!B:B,open[[#This Row],[Invoice'#]],'Record Customer Payments'!F:F)),"")</f>
        <v/>
      </c>
      <c r="H52" s="55"/>
      <c r="I52" s="56"/>
      <c r="J52" s="57"/>
      <c r="K52" s="58"/>
      <c r="L52" s="59"/>
      <c r="M52" s="59"/>
      <c r="N52" s="59"/>
    </row>
    <row r="53" spans="2:14" s="53" customFormat="1" ht="16.149999999999999" customHeight="1" x14ac:dyDescent="0.25">
      <c r="B53" s="56" t="str">
        <f>IF(Invoices[[#This Row],[Invoice '#]]="","",Invoices[[#This Row],[Invoice '#]])</f>
        <v/>
      </c>
      <c r="C53" s="53" t="str">
        <f>IFERROR(VLOOKUP(open[[#This Row],[Invoice'#]],'Enter Invoices'!C:H,2,0),"")</f>
        <v/>
      </c>
      <c r="D53" s="52" t="str">
        <f>IFERROR(VLOOKUP(open[[#This Row],[Invoice'#]],'Enter Invoices'!C:H,6,0),"")</f>
        <v/>
      </c>
      <c r="E53" s="66" t="str">
        <f>IFERROR(VLOOKUP(open[[#This Row],[Invoice'#]],'Enter Invoices'!C:H,5,0),"")</f>
        <v/>
      </c>
      <c r="F53" s="54" t="str">
        <f>IFERROR(IF(open[[#This Row],[Amount Due]]="","",open[[#This Row],[Amount Due]]-SUMIF('Record Customer Payments'!B:B,open[[#This Row],[Invoice'#]],'Record Customer Payments'!F:F)),"")</f>
        <v/>
      </c>
      <c r="H53" s="55"/>
      <c r="I53" s="56"/>
      <c r="J53" s="57"/>
      <c r="K53" s="58"/>
      <c r="L53" s="59"/>
      <c r="M53" s="59"/>
      <c r="N53" s="59"/>
    </row>
    <row r="54" spans="2:14" s="53" customFormat="1" ht="16.149999999999999" customHeight="1" x14ac:dyDescent="0.25">
      <c r="B54" s="56" t="str">
        <f>IF(Invoices[[#This Row],[Invoice '#]]="","",Invoices[[#This Row],[Invoice '#]])</f>
        <v/>
      </c>
      <c r="C54" s="53" t="str">
        <f>IFERROR(VLOOKUP(open[[#This Row],[Invoice'#]],'Enter Invoices'!C:H,2,0),"")</f>
        <v/>
      </c>
      <c r="D54" s="52" t="str">
        <f>IFERROR(VLOOKUP(open[[#This Row],[Invoice'#]],'Enter Invoices'!C:H,6,0),"")</f>
        <v/>
      </c>
      <c r="E54" s="66" t="str">
        <f>IFERROR(VLOOKUP(open[[#This Row],[Invoice'#]],'Enter Invoices'!C:H,5,0),"")</f>
        <v/>
      </c>
      <c r="F54" s="54" t="str">
        <f>IFERROR(IF(open[[#This Row],[Amount Due]]="","",open[[#This Row],[Amount Due]]-SUMIF('Record Customer Payments'!B:B,open[[#This Row],[Invoice'#]],'Record Customer Payments'!F:F)),"")</f>
        <v/>
      </c>
      <c r="H54" s="55"/>
      <c r="I54" s="56"/>
      <c r="J54" s="57"/>
      <c r="K54" s="58"/>
      <c r="L54" s="59"/>
      <c r="M54" s="59"/>
      <c r="N54" s="59"/>
    </row>
    <row r="55" spans="2:14" s="53" customFormat="1" ht="16.149999999999999" customHeight="1" x14ac:dyDescent="0.25">
      <c r="B55" s="56" t="str">
        <f>IF(Invoices[[#This Row],[Invoice '#]]="","",Invoices[[#This Row],[Invoice '#]])</f>
        <v/>
      </c>
      <c r="C55" s="53" t="str">
        <f>IFERROR(VLOOKUP(open[[#This Row],[Invoice'#]],'Enter Invoices'!C:H,2,0),"")</f>
        <v/>
      </c>
      <c r="D55" s="52" t="str">
        <f>IFERROR(VLOOKUP(open[[#This Row],[Invoice'#]],'Enter Invoices'!C:H,6,0),"")</f>
        <v/>
      </c>
      <c r="E55" s="66" t="str">
        <f>IFERROR(VLOOKUP(open[[#This Row],[Invoice'#]],'Enter Invoices'!C:H,5,0),"")</f>
        <v/>
      </c>
      <c r="F55" s="54" t="str">
        <f>IFERROR(IF(open[[#This Row],[Amount Due]]="","",open[[#This Row],[Amount Due]]-SUMIF('Record Customer Payments'!B:B,open[[#This Row],[Invoice'#]],'Record Customer Payments'!F:F)),"")</f>
        <v/>
      </c>
      <c r="H55" s="55"/>
      <c r="I55" s="56"/>
      <c r="J55" s="57"/>
      <c r="K55" s="58"/>
      <c r="L55" s="59"/>
      <c r="M55" s="59"/>
      <c r="N55" s="59"/>
    </row>
    <row r="56" spans="2:14" s="53" customFormat="1" ht="16.149999999999999" customHeight="1" x14ac:dyDescent="0.25">
      <c r="B56" s="56" t="str">
        <f>IF(Invoices[[#This Row],[Invoice '#]]="","",Invoices[[#This Row],[Invoice '#]])</f>
        <v/>
      </c>
      <c r="C56" s="53" t="str">
        <f>IFERROR(VLOOKUP(open[[#This Row],[Invoice'#]],'Enter Invoices'!C:H,2,0),"")</f>
        <v/>
      </c>
      <c r="D56" s="52" t="str">
        <f>IFERROR(VLOOKUP(open[[#This Row],[Invoice'#]],'Enter Invoices'!C:H,6,0),"")</f>
        <v/>
      </c>
      <c r="E56" s="66" t="str">
        <f>IFERROR(VLOOKUP(open[[#This Row],[Invoice'#]],'Enter Invoices'!C:H,5,0),"")</f>
        <v/>
      </c>
      <c r="F56" s="54" t="str">
        <f>IFERROR(IF(open[[#This Row],[Amount Due]]="","",open[[#This Row],[Amount Due]]-SUMIF('Record Customer Payments'!B:B,open[[#This Row],[Invoice'#]],'Record Customer Payments'!F:F)),"")</f>
        <v/>
      </c>
      <c r="H56" s="55"/>
      <c r="I56" s="56"/>
      <c r="J56" s="57"/>
      <c r="K56" s="58"/>
      <c r="L56" s="59"/>
      <c r="M56" s="59"/>
      <c r="N56" s="59"/>
    </row>
    <row r="57" spans="2:14" s="53" customFormat="1" ht="16.149999999999999" customHeight="1" x14ac:dyDescent="0.25">
      <c r="B57" s="56" t="str">
        <f>IF(Invoices[[#This Row],[Invoice '#]]="","",Invoices[[#This Row],[Invoice '#]])</f>
        <v/>
      </c>
      <c r="C57" s="53" t="str">
        <f>IFERROR(VLOOKUP(open[[#This Row],[Invoice'#]],'Enter Invoices'!C:H,2,0),"")</f>
        <v/>
      </c>
      <c r="D57" s="52" t="str">
        <f>IFERROR(VLOOKUP(open[[#This Row],[Invoice'#]],'Enter Invoices'!C:H,6,0),"")</f>
        <v/>
      </c>
      <c r="E57" s="66" t="str">
        <f>IFERROR(VLOOKUP(open[[#This Row],[Invoice'#]],'Enter Invoices'!C:H,5,0),"")</f>
        <v/>
      </c>
      <c r="F57" s="54" t="str">
        <f>IFERROR(IF(open[[#This Row],[Amount Due]]="","",open[[#This Row],[Amount Due]]-SUMIF('Record Customer Payments'!B:B,open[[#This Row],[Invoice'#]],'Record Customer Payments'!F:F)),"")</f>
        <v/>
      </c>
      <c r="H57" s="55"/>
      <c r="I57" s="56"/>
      <c r="J57" s="57"/>
      <c r="K57" s="58"/>
      <c r="L57" s="59"/>
      <c r="M57" s="59"/>
      <c r="N57" s="59"/>
    </row>
    <row r="58" spans="2:14" s="53" customFormat="1" ht="16.149999999999999" customHeight="1" x14ac:dyDescent="0.25">
      <c r="B58" s="56" t="str">
        <f>IF(Invoices[[#This Row],[Invoice '#]]="","",Invoices[[#This Row],[Invoice '#]])</f>
        <v/>
      </c>
      <c r="C58" s="53" t="str">
        <f>IFERROR(VLOOKUP(open[[#This Row],[Invoice'#]],'Enter Invoices'!C:H,2,0),"")</f>
        <v/>
      </c>
      <c r="D58" s="52" t="str">
        <f>IFERROR(VLOOKUP(open[[#This Row],[Invoice'#]],'Enter Invoices'!C:H,6,0),"")</f>
        <v/>
      </c>
      <c r="E58" s="66" t="str">
        <f>IFERROR(VLOOKUP(open[[#This Row],[Invoice'#]],'Enter Invoices'!C:H,5,0),"")</f>
        <v/>
      </c>
      <c r="F58" s="54" t="str">
        <f>IFERROR(IF(open[[#This Row],[Amount Due]]="","",open[[#This Row],[Amount Due]]-SUMIF('Record Customer Payments'!B:B,open[[#This Row],[Invoice'#]],'Record Customer Payments'!F:F)),"")</f>
        <v/>
      </c>
      <c r="H58" s="55"/>
      <c r="I58" s="56"/>
      <c r="J58" s="57"/>
      <c r="K58" s="58"/>
      <c r="L58" s="59"/>
      <c r="M58" s="59"/>
      <c r="N58" s="59"/>
    </row>
    <row r="59" spans="2:14" s="53" customFormat="1" ht="16.149999999999999" customHeight="1" x14ac:dyDescent="0.25">
      <c r="B59" s="56" t="str">
        <f>IF(Invoices[[#This Row],[Invoice '#]]="","",Invoices[[#This Row],[Invoice '#]])</f>
        <v/>
      </c>
      <c r="C59" s="53" t="str">
        <f>IFERROR(VLOOKUP(open[[#This Row],[Invoice'#]],'Enter Invoices'!C:H,2,0),"")</f>
        <v/>
      </c>
      <c r="D59" s="52" t="str">
        <f>IFERROR(VLOOKUP(open[[#This Row],[Invoice'#]],'Enter Invoices'!C:H,6,0),"")</f>
        <v/>
      </c>
      <c r="E59" s="66" t="str">
        <f>IFERROR(VLOOKUP(open[[#This Row],[Invoice'#]],'Enter Invoices'!C:H,5,0),"")</f>
        <v/>
      </c>
      <c r="F59" s="54" t="str">
        <f>IFERROR(IF(open[[#This Row],[Amount Due]]="","",open[[#This Row],[Amount Due]]-SUMIF('Record Customer Payments'!B:B,open[[#This Row],[Invoice'#]],'Record Customer Payments'!F:F)),"")</f>
        <v/>
      </c>
      <c r="H59" s="55"/>
      <c r="I59" s="56"/>
      <c r="J59" s="57"/>
      <c r="K59" s="58"/>
      <c r="L59" s="59"/>
      <c r="M59" s="59"/>
      <c r="N59" s="59"/>
    </row>
    <row r="60" spans="2:14" s="53" customFormat="1" ht="16.149999999999999" customHeight="1" x14ac:dyDescent="0.25">
      <c r="B60" s="56" t="str">
        <f>IF(Invoices[[#This Row],[Invoice '#]]="","",Invoices[[#This Row],[Invoice '#]])</f>
        <v/>
      </c>
      <c r="C60" s="53" t="str">
        <f>IFERROR(VLOOKUP(open[[#This Row],[Invoice'#]],'Enter Invoices'!C:H,2,0),"")</f>
        <v/>
      </c>
      <c r="D60" s="52" t="str">
        <f>IFERROR(VLOOKUP(open[[#This Row],[Invoice'#]],'Enter Invoices'!C:H,6,0),"")</f>
        <v/>
      </c>
      <c r="E60" s="66" t="str">
        <f>IFERROR(VLOOKUP(open[[#This Row],[Invoice'#]],'Enter Invoices'!C:H,5,0),"")</f>
        <v/>
      </c>
      <c r="F60" s="54" t="str">
        <f>IFERROR(IF(open[[#This Row],[Amount Due]]="","",open[[#This Row],[Amount Due]]-SUMIF('Record Customer Payments'!B:B,open[[#This Row],[Invoice'#]],'Record Customer Payments'!F:F)),"")</f>
        <v/>
      </c>
      <c r="H60" s="55"/>
      <c r="I60" s="56"/>
      <c r="J60" s="57"/>
      <c r="K60" s="58"/>
      <c r="L60" s="59"/>
      <c r="M60" s="59"/>
      <c r="N60" s="59"/>
    </row>
    <row r="61" spans="2:14" s="53" customFormat="1" ht="16.149999999999999" customHeight="1" x14ac:dyDescent="0.25">
      <c r="B61" s="56" t="str">
        <f>IF(Invoices[[#This Row],[Invoice '#]]="","",Invoices[[#This Row],[Invoice '#]])</f>
        <v/>
      </c>
      <c r="C61" s="53" t="str">
        <f>IFERROR(VLOOKUP(open[[#This Row],[Invoice'#]],'Enter Invoices'!C:H,2,0),"")</f>
        <v/>
      </c>
      <c r="D61" s="52" t="str">
        <f>IFERROR(VLOOKUP(open[[#This Row],[Invoice'#]],'Enter Invoices'!C:H,6,0),"")</f>
        <v/>
      </c>
      <c r="E61" s="66" t="str">
        <f>IFERROR(VLOOKUP(open[[#This Row],[Invoice'#]],'Enter Invoices'!C:H,5,0),"")</f>
        <v/>
      </c>
      <c r="F61" s="54" t="str">
        <f>IFERROR(IF(open[[#This Row],[Amount Due]]="","",open[[#This Row],[Amount Due]]-SUMIF('Record Customer Payments'!B:B,open[[#This Row],[Invoice'#]],'Record Customer Payments'!F:F)),"")</f>
        <v/>
      </c>
      <c r="H61" s="55"/>
      <c r="I61" s="56"/>
      <c r="J61" s="57"/>
      <c r="K61" s="58"/>
      <c r="L61" s="59"/>
      <c r="M61" s="59"/>
      <c r="N61" s="59"/>
    </row>
    <row r="62" spans="2:14" s="53" customFormat="1" ht="16.149999999999999" customHeight="1" x14ac:dyDescent="0.25">
      <c r="B62" s="56" t="str">
        <f>IF(Invoices[[#This Row],[Invoice '#]]="","",Invoices[[#This Row],[Invoice '#]])</f>
        <v/>
      </c>
      <c r="C62" s="53" t="str">
        <f>IFERROR(VLOOKUP(open[[#This Row],[Invoice'#]],'Enter Invoices'!C:H,2,0),"")</f>
        <v/>
      </c>
      <c r="D62" s="52" t="str">
        <f>IFERROR(VLOOKUP(open[[#This Row],[Invoice'#]],'Enter Invoices'!C:H,6,0),"")</f>
        <v/>
      </c>
      <c r="E62" s="66" t="str">
        <f>IFERROR(VLOOKUP(open[[#This Row],[Invoice'#]],'Enter Invoices'!C:H,5,0),"")</f>
        <v/>
      </c>
      <c r="F62" s="54" t="str">
        <f>IFERROR(IF(open[[#This Row],[Amount Due]]="","",open[[#This Row],[Amount Due]]-SUMIF('Record Customer Payments'!B:B,open[[#This Row],[Invoice'#]],'Record Customer Payments'!F:F)),"")</f>
        <v/>
      </c>
      <c r="H62" s="55"/>
      <c r="I62" s="56"/>
      <c r="J62" s="57"/>
      <c r="K62" s="58"/>
      <c r="L62" s="59"/>
      <c r="M62" s="59"/>
      <c r="N62" s="59"/>
    </row>
    <row r="63" spans="2:14" s="53" customFormat="1" ht="16.149999999999999" customHeight="1" x14ac:dyDescent="0.25">
      <c r="B63" s="56" t="str">
        <f>IF(Invoices[[#This Row],[Invoice '#]]="","",Invoices[[#This Row],[Invoice '#]])</f>
        <v/>
      </c>
      <c r="C63" s="53" t="str">
        <f>IFERROR(VLOOKUP(open[[#This Row],[Invoice'#]],'Enter Invoices'!C:H,2,0),"")</f>
        <v/>
      </c>
      <c r="D63" s="52" t="str">
        <f>IFERROR(VLOOKUP(open[[#This Row],[Invoice'#]],'Enter Invoices'!C:H,6,0),"")</f>
        <v/>
      </c>
      <c r="E63" s="66" t="str">
        <f>IFERROR(VLOOKUP(open[[#This Row],[Invoice'#]],'Enter Invoices'!C:H,5,0),"")</f>
        <v/>
      </c>
      <c r="F63" s="54" t="str">
        <f>IFERROR(IF(open[[#This Row],[Amount Due]]="","",open[[#This Row],[Amount Due]]-SUMIF('Record Customer Payments'!B:B,open[[#This Row],[Invoice'#]],'Record Customer Payments'!F:F)),"")</f>
        <v/>
      </c>
      <c r="H63" s="55"/>
      <c r="I63" s="56"/>
      <c r="J63" s="57"/>
      <c r="K63" s="58"/>
      <c r="L63" s="59"/>
      <c r="M63" s="59"/>
      <c r="N63" s="59"/>
    </row>
    <row r="64" spans="2:14" s="53" customFormat="1" ht="16.149999999999999" customHeight="1" x14ac:dyDescent="0.25">
      <c r="B64" s="56" t="str">
        <f>IF(Invoices[[#This Row],[Invoice '#]]="","",Invoices[[#This Row],[Invoice '#]])</f>
        <v/>
      </c>
      <c r="C64" s="53" t="str">
        <f>IFERROR(VLOOKUP(open[[#This Row],[Invoice'#]],'Enter Invoices'!C:H,2,0),"")</f>
        <v/>
      </c>
      <c r="D64" s="52" t="str">
        <f>IFERROR(VLOOKUP(open[[#This Row],[Invoice'#]],'Enter Invoices'!C:H,6,0),"")</f>
        <v/>
      </c>
      <c r="E64" s="66" t="str">
        <f>IFERROR(VLOOKUP(open[[#This Row],[Invoice'#]],'Enter Invoices'!C:H,5,0),"")</f>
        <v/>
      </c>
      <c r="F64" s="54" t="str">
        <f>IFERROR(IF(open[[#This Row],[Amount Due]]="","",open[[#This Row],[Amount Due]]-SUMIF('Record Customer Payments'!B:B,open[[#This Row],[Invoice'#]],'Record Customer Payments'!F:F)),"")</f>
        <v/>
      </c>
      <c r="H64" s="55"/>
      <c r="I64" s="56"/>
      <c r="J64" s="57"/>
      <c r="K64" s="58"/>
      <c r="L64" s="59"/>
      <c r="M64" s="59"/>
      <c r="N64" s="59"/>
    </row>
    <row r="65" spans="2:14" s="53" customFormat="1" ht="16.149999999999999" customHeight="1" x14ac:dyDescent="0.25">
      <c r="B65" s="56" t="str">
        <f>IF(Invoices[[#This Row],[Invoice '#]]="","",Invoices[[#This Row],[Invoice '#]])</f>
        <v/>
      </c>
      <c r="C65" s="53" t="str">
        <f>IFERROR(VLOOKUP(open[[#This Row],[Invoice'#]],'Enter Invoices'!C:H,2,0),"")</f>
        <v/>
      </c>
      <c r="D65" s="52" t="str">
        <f>IFERROR(VLOOKUP(open[[#This Row],[Invoice'#]],'Enter Invoices'!C:H,6,0),"")</f>
        <v/>
      </c>
      <c r="E65" s="66" t="str">
        <f>IFERROR(VLOOKUP(open[[#This Row],[Invoice'#]],'Enter Invoices'!C:H,5,0),"")</f>
        <v/>
      </c>
      <c r="F65" s="54" t="str">
        <f>IFERROR(IF(open[[#This Row],[Amount Due]]="","",open[[#This Row],[Amount Due]]-SUMIF('Record Customer Payments'!B:B,open[[#This Row],[Invoice'#]],'Record Customer Payments'!F:F)),"")</f>
        <v/>
      </c>
      <c r="H65" s="55"/>
      <c r="I65" s="56"/>
      <c r="J65" s="57"/>
      <c r="K65" s="58"/>
      <c r="L65" s="59"/>
      <c r="M65" s="59"/>
      <c r="N65" s="59"/>
    </row>
    <row r="66" spans="2:14" s="53" customFormat="1" ht="16.149999999999999" customHeight="1" x14ac:dyDescent="0.25">
      <c r="B66" s="56" t="str">
        <f>IF(Invoices[[#This Row],[Invoice '#]]="","",Invoices[[#This Row],[Invoice '#]])</f>
        <v/>
      </c>
      <c r="C66" s="53" t="str">
        <f>IFERROR(VLOOKUP(open[[#This Row],[Invoice'#]],'Enter Invoices'!C:H,2,0),"")</f>
        <v/>
      </c>
      <c r="D66" s="52" t="str">
        <f>IFERROR(VLOOKUP(open[[#This Row],[Invoice'#]],'Enter Invoices'!C:H,6,0),"")</f>
        <v/>
      </c>
      <c r="E66" s="66" t="str">
        <f>IFERROR(VLOOKUP(open[[#This Row],[Invoice'#]],'Enter Invoices'!C:H,5,0),"")</f>
        <v/>
      </c>
      <c r="F66" s="54" t="str">
        <f>IFERROR(IF(open[[#This Row],[Amount Due]]="","",open[[#This Row],[Amount Due]]-SUMIF('Record Customer Payments'!B:B,open[[#This Row],[Invoice'#]],'Record Customer Payments'!F:F)),"")</f>
        <v/>
      </c>
      <c r="H66" s="55"/>
      <c r="I66" s="56"/>
      <c r="J66" s="57"/>
      <c r="K66" s="58"/>
      <c r="L66" s="59"/>
      <c r="M66" s="59"/>
      <c r="N66" s="59"/>
    </row>
    <row r="67" spans="2:14" s="53" customFormat="1" ht="16.149999999999999" customHeight="1" x14ac:dyDescent="0.25">
      <c r="B67" s="56" t="str">
        <f>IF(Invoices[[#This Row],[Invoice '#]]="","",Invoices[[#This Row],[Invoice '#]])</f>
        <v/>
      </c>
      <c r="C67" s="53" t="str">
        <f>IFERROR(VLOOKUP(open[[#This Row],[Invoice'#]],'Enter Invoices'!C:H,2,0),"")</f>
        <v/>
      </c>
      <c r="D67" s="52" t="str">
        <f>IFERROR(VLOOKUP(open[[#This Row],[Invoice'#]],'Enter Invoices'!C:H,6,0),"")</f>
        <v/>
      </c>
      <c r="E67" s="66" t="str">
        <f>IFERROR(VLOOKUP(open[[#This Row],[Invoice'#]],'Enter Invoices'!C:H,5,0),"")</f>
        <v/>
      </c>
      <c r="F67" s="54" t="str">
        <f>IFERROR(IF(open[[#This Row],[Amount Due]]="","",open[[#This Row],[Amount Due]]-SUMIF('Record Customer Payments'!B:B,open[[#This Row],[Invoice'#]],'Record Customer Payments'!F:F)),"")</f>
        <v/>
      </c>
      <c r="H67" s="55"/>
      <c r="I67" s="56"/>
      <c r="J67" s="57"/>
      <c r="K67" s="58"/>
      <c r="L67" s="59"/>
      <c r="M67" s="59"/>
      <c r="N67" s="59"/>
    </row>
    <row r="68" spans="2:14" s="53" customFormat="1" ht="16.149999999999999" customHeight="1" x14ac:dyDescent="0.25">
      <c r="B68" s="56" t="str">
        <f>IF(Invoices[[#This Row],[Invoice '#]]="","",Invoices[[#This Row],[Invoice '#]])</f>
        <v/>
      </c>
      <c r="C68" s="53" t="str">
        <f>IFERROR(VLOOKUP(open[[#This Row],[Invoice'#]],'Enter Invoices'!C:H,2,0),"")</f>
        <v/>
      </c>
      <c r="D68" s="52" t="str">
        <f>IFERROR(VLOOKUP(open[[#This Row],[Invoice'#]],'Enter Invoices'!C:H,6,0),"")</f>
        <v/>
      </c>
      <c r="E68" s="66" t="str">
        <f>IFERROR(VLOOKUP(open[[#This Row],[Invoice'#]],'Enter Invoices'!C:H,5,0),"")</f>
        <v/>
      </c>
      <c r="F68" s="54" t="str">
        <f>IFERROR(IF(open[[#This Row],[Amount Due]]="","",open[[#This Row],[Amount Due]]-SUMIF('Record Customer Payments'!B:B,open[[#This Row],[Invoice'#]],'Record Customer Payments'!F:F)),"")</f>
        <v/>
      </c>
      <c r="H68" s="55"/>
      <c r="I68" s="56"/>
      <c r="J68" s="57"/>
      <c r="K68" s="58"/>
      <c r="L68" s="59"/>
      <c r="M68" s="59"/>
      <c r="N68" s="59"/>
    </row>
    <row r="69" spans="2:14" s="53" customFormat="1" ht="16.149999999999999" customHeight="1" x14ac:dyDescent="0.25">
      <c r="B69" s="56" t="str">
        <f>IF(Invoices[[#This Row],[Invoice '#]]="","",Invoices[[#This Row],[Invoice '#]])</f>
        <v/>
      </c>
      <c r="C69" s="53" t="str">
        <f>IFERROR(VLOOKUP(open[[#This Row],[Invoice'#]],'Enter Invoices'!C:H,2,0),"")</f>
        <v/>
      </c>
      <c r="D69" s="52" t="str">
        <f>IFERROR(VLOOKUP(open[[#This Row],[Invoice'#]],'Enter Invoices'!C:H,6,0),"")</f>
        <v/>
      </c>
      <c r="E69" s="66" t="str">
        <f>IFERROR(VLOOKUP(open[[#This Row],[Invoice'#]],'Enter Invoices'!C:H,5,0),"")</f>
        <v/>
      </c>
      <c r="F69" s="54" t="str">
        <f>IFERROR(IF(open[[#This Row],[Amount Due]]="","",open[[#This Row],[Amount Due]]-SUMIF('Record Customer Payments'!B:B,open[[#This Row],[Invoice'#]],'Record Customer Payments'!F:F)),"")</f>
        <v/>
      </c>
      <c r="H69" s="55"/>
      <c r="I69" s="56"/>
      <c r="J69" s="57"/>
      <c r="K69" s="58"/>
      <c r="L69" s="59"/>
      <c r="M69" s="59"/>
      <c r="N69" s="59"/>
    </row>
    <row r="70" spans="2:14" s="53" customFormat="1" ht="16.149999999999999" customHeight="1" x14ac:dyDescent="0.25">
      <c r="B70" s="56" t="str">
        <f>IF(Invoices[[#This Row],[Invoice '#]]="","",Invoices[[#This Row],[Invoice '#]])</f>
        <v/>
      </c>
      <c r="C70" s="53" t="str">
        <f>IFERROR(VLOOKUP(open[[#This Row],[Invoice'#]],'Enter Invoices'!C:H,2,0),"")</f>
        <v/>
      </c>
      <c r="D70" s="52" t="str">
        <f>IFERROR(VLOOKUP(open[[#This Row],[Invoice'#]],'Enter Invoices'!C:H,6,0),"")</f>
        <v/>
      </c>
      <c r="E70" s="66" t="str">
        <f>IFERROR(VLOOKUP(open[[#This Row],[Invoice'#]],'Enter Invoices'!C:H,5,0),"")</f>
        <v/>
      </c>
      <c r="F70" s="54" t="str">
        <f>IFERROR(IF(open[[#This Row],[Amount Due]]="","",open[[#This Row],[Amount Due]]-SUMIF('Record Customer Payments'!B:B,open[[#This Row],[Invoice'#]],'Record Customer Payments'!F:F)),"")</f>
        <v/>
      </c>
      <c r="H70" s="55"/>
      <c r="I70" s="56"/>
      <c r="J70" s="57"/>
      <c r="K70" s="58"/>
      <c r="L70" s="59"/>
      <c r="M70" s="59"/>
      <c r="N70" s="59"/>
    </row>
    <row r="71" spans="2:14" s="53" customFormat="1" ht="16.149999999999999" customHeight="1" x14ac:dyDescent="0.25">
      <c r="B71" s="56" t="str">
        <f>IF(Invoices[[#This Row],[Invoice '#]]="","",Invoices[[#This Row],[Invoice '#]])</f>
        <v/>
      </c>
      <c r="C71" s="53" t="str">
        <f>IFERROR(VLOOKUP(open[[#This Row],[Invoice'#]],'Enter Invoices'!C:H,2,0),"")</f>
        <v/>
      </c>
      <c r="D71" s="52" t="str">
        <f>IFERROR(VLOOKUP(open[[#This Row],[Invoice'#]],'Enter Invoices'!C:H,6,0),"")</f>
        <v/>
      </c>
      <c r="E71" s="66" t="str">
        <f>IFERROR(VLOOKUP(open[[#This Row],[Invoice'#]],'Enter Invoices'!C:H,5,0),"")</f>
        <v/>
      </c>
      <c r="F71" s="54" t="str">
        <f>IFERROR(IF(open[[#This Row],[Amount Due]]="","",open[[#This Row],[Amount Due]]-SUMIF('Record Customer Payments'!B:B,open[[#This Row],[Invoice'#]],'Record Customer Payments'!F:F)),"")</f>
        <v/>
      </c>
      <c r="H71" s="55"/>
      <c r="I71" s="56"/>
      <c r="J71" s="57"/>
      <c r="K71" s="58"/>
      <c r="L71" s="59"/>
      <c r="M71" s="59"/>
      <c r="N71" s="59"/>
    </row>
    <row r="72" spans="2:14" s="53" customFormat="1" ht="16.149999999999999" customHeight="1" x14ac:dyDescent="0.25">
      <c r="B72" s="56" t="str">
        <f>IF(Invoices[[#This Row],[Invoice '#]]="","",Invoices[[#This Row],[Invoice '#]])</f>
        <v/>
      </c>
      <c r="C72" s="53" t="str">
        <f>IFERROR(VLOOKUP(open[[#This Row],[Invoice'#]],'Enter Invoices'!C:H,2,0),"")</f>
        <v/>
      </c>
      <c r="D72" s="52" t="str">
        <f>IFERROR(VLOOKUP(open[[#This Row],[Invoice'#]],'Enter Invoices'!C:H,6,0),"")</f>
        <v/>
      </c>
      <c r="E72" s="66" t="str">
        <f>IFERROR(VLOOKUP(open[[#This Row],[Invoice'#]],'Enter Invoices'!C:H,5,0),"")</f>
        <v/>
      </c>
      <c r="F72" s="54" t="str">
        <f>IFERROR(IF(open[[#This Row],[Amount Due]]="","",open[[#This Row],[Amount Due]]-SUMIF('Record Customer Payments'!B:B,open[[#This Row],[Invoice'#]],'Record Customer Payments'!F:F)),"")</f>
        <v/>
      </c>
      <c r="H72" s="55"/>
      <c r="I72" s="56"/>
      <c r="J72" s="57"/>
      <c r="K72" s="58"/>
      <c r="L72" s="59"/>
      <c r="M72" s="59"/>
      <c r="N72" s="59"/>
    </row>
    <row r="73" spans="2:14" s="53" customFormat="1" ht="16.149999999999999" customHeight="1" x14ac:dyDescent="0.25">
      <c r="B73" s="56" t="str">
        <f>IF(Invoices[[#This Row],[Invoice '#]]="","",Invoices[[#This Row],[Invoice '#]])</f>
        <v/>
      </c>
      <c r="C73" s="53" t="str">
        <f>IFERROR(VLOOKUP(open[[#This Row],[Invoice'#]],'Enter Invoices'!C:H,2,0),"")</f>
        <v/>
      </c>
      <c r="D73" s="52" t="str">
        <f>IFERROR(VLOOKUP(open[[#This Row],[Invoice'#]],'Enter Invoices'!C:H,6,0),"")</f>
        <v/>
      </c>
      <c r="E73" s="66" t="str">
        <f>IFERROR(VLOOKUP(open[[#This Row],[Invoice'#]],'Enter Invoices'!C:H,5,0),"")</f>
        <v/>
      </c>
      <c r="F73" s="54" t="str">
        <f>IFERROR(IF(open[[#This Row],[Amount Due]]="","",open[[#This Row],[Amount Due]]-SUMIF('Record Customer Payments'!B:B,open[[#This Row],[Invoice'#]],'Record Customer Payments'!F:F)),"")</f>
        <v/>
      </c>
      <c r="H73" s="55"/>
      <c r="I73" s="56"/>
      <c r="J73" s="57"/>
      <c r="K73" s="58"/>
      <c r="L73" s="59"/>
      <c r="M73" s="59"/>
      <c r="N73" s="59"/>
    </row>
    <row r="74" spans="2:14" s="53" customFormat="1" ht="16.149999999999999" customHeight="1" x14ac:dyDescent="0.25">
      <c r="B74" s="56" t="str">
        <f>IF(Invoices[[#This Row],[Invoice '#]]="","",Invoices[[#This Row],[Invoice '#]])</f>
        <v/>
      </c>
      <c r="C74" s="53" t="str">
        <f>IFERROR(VLOOKUP(open[[#This Row],[Invoice'#]],'Enter Invoices'!C:H,2,0),"")</f>
        <v/>
      </c>
      <c r="D74" s="52" t="str">
        <f>IFERROR(VLOOKUP(open[[#This Row],[Invoice'#]],'Enter Invoices'!C:H,6,0),"")</f>
        <v/>
      </c>
      <c r="E74" s="66" t="str">
        <f>IFERROR(VLOOKUP(open[[#This Row],[Invoice'#]],'Enter Invoices'!C:H,5,0),"")</f>
        <v/>
      </c>
      <c r="F74" s="54" t="str">
        <f>IFERROR(IF(open[[#This Row],[Amount Due]]="","",open[[#This Row],[Amount Due]]-SUMIF('Record Customer Payments'!B:B,open[[#This Row],[Invoice'#]],'Record Customer Payments'!F:F)),"")</f>
        <v/>
      </c>
      <c r="H74" s="55"/>
      <c r="I74" s="56"/>
      <c r="J74" s="57"/>
      <c r="K74" s="58"/>
      <c r="L74" s="59"/>
      <c r="M74" s="59"/>
      <c r="N74" s="59"/>
    </row>
    <row r="75" spans="2:14" s="53" customFormat="1" ht="16.149999999999999" customHeight="1" x14ac:dyDescent="0.25">
      <c r="B75" s="56" t="str">
        <f>IF(Invoices[[#This Row],[Invoice '#]]="","",Invoices[[#This Row],[Invoice '#]])</f>
        <v/>
      </c>
      <c r="C75" s="53" t="str">
        <f>IFERROR(VLOOKUP(open[[#This Row],[Invoice'#]],'Enter Invoices'!C:H,2,0),"")</f>
        <v/>
      </c>
      <c r="D75" s="52" t="str">
        <f>IFERROR(VLOOKUP(open[[#This Row],[Invoice'#]],'Enter Invoices'!C:H,6,0),"")</f>
        <v/>
      </c>
      <c r="E75" s="66" t="str">
        <f>IFERROR(VLOOKUP(open[[#This Row],[Invoice'#]],'Enter Invoices'!C:H,5,0),"")</f>
        <v/>
      </c>
      <c r="F75" s="54" t="str">
        <f>IFERROR(IF(open[[#This Row],[Amount Due]]="","",open[[#This Row],[Amount Due]]-SUMIF('Record Customer Payments'!B:B,open[[#This Row],[Invoice'#]],'Record Customer Payments'!F:F)),"")</f>
        <v/>
      </c>
      <c r="H75" s="55"/>
      <c r="I75" s="56"/>
      <c r="J75" s="57"/>
      <c r="K75" s="58"/>
      <c r="L75" s="59"/>
      <c r="M75" s="59"/>
      <c r="N75" s="59"/>
    </row>
    <row r="76" spans="2:14" s="53" customFormat="1" ht="16.149999999999999" customHeight="1" x14ac:dyDescent="0.25">
      <c r="B76" s="56" t="str">
        <f>IF(Invoices[[#This Row],[Invoice '#]]="","",Invoices[[#This Row],[Invoice '#]])</f>
        <v/>
      </c>
      <c r="C76" s="53" t="str">
        <f>IFERROR(VLOOKUP(open[[#This Row],[Invoice'#]],'Enter Invoices'!C:H,2,0),"")</f>
        <v/>
      </c>
      <c r="D76" s="52" t="str">
        <f>IFERROR(VLOOKUP(open[[#This Row],[Invoice'#]],'Enter Invoices'!C:H,6,0),"")</f>
        <v/>
      </c>
      <c r="E76" s="66" t="str">
        <f>IFERROR(VLOOKUP(open[[#This Row],[Invoice'#]],'Enter Invoices'!C:H,5,0),"")</f>
        <v/>
      </c>
      <c r="F76" s="54" t="str">
        <f>IFERROR(IF(open[[#This Row],[Amount Due]]="","",open[[#This Row],[Amount Due]]-SUMIF('Record Customer Payments'!B:B,open[[#This Row],[Invoice'#]],'Record Customer Payments'!F:F)),"")</f>
        <v/>
      </c>
      <c r="H76" s="55"/>
      <c r="I76" s="56"/>
      <c r="J76" s="57"/>
      <c r="K76" s="58"/>
      <c r="L76" s="59"/>
      <c r="M76" s="59"/>
      <c r="N76" s="59"/>
    </row>
    <row r="77" spans="2:14" s="53" customFormat="1" ht="16.149999999999999" customHeight="1" x14ac:dyDescent="0.25">
      <c r="B77" s="56" t="str">
        <f>IF(Invoices[[#This Row],[Invoice '#]]="","",Invoices[[#This Row],[Invoice '#]])</f>
        <v/>
      </c>
      <c r="C77" s="53" t="str">
        <f>IFERROR(VLOOKUP(open[[#This Row],[Invoice'#]],'Enter Invoices'!C:H,2,0),"")</f>
        <v/>
      </c>
      <c r="D77" s="52" t="str">
        <f>IFERROR(VLOOKUP(open[[#This Row],[Invoice'#]],'Enter Invoices'!C:H,6,0),"")</f>
        <v/>
      </c>
      <c r="E77" s="66" t="str">
        <f>IFERROR(VLOOKUP(open[[#This Row],[Invoice'#]],'Enter Invoices'!C:H,5,0),"")</f>
        <v/>
      </c>
      <c r="F77" s="54" t="str">
        <f>IFERROR(IF(open[[#This Row],[Amount Due]]="","",open[[#This Row],[Amount Due]]-SUMIF('Record Customer Payments'!B:B,open[[#This Row],[Invoice'#]],'Record Customer Payments'!F:F)),"")</f>
        <v/>
      </c>
      <c r="H77" s="55"/>
      <c r="I77" s="56"/>
      <c r="J77" s="57"/>
      <c r="K77" s="58"/>
      <c r="L77" s="59"/>
      <c r="M77" s="59"/>
      <c r="N77" s="59"/>
    </row>
    <row r="78" spans="2:14" s="53" customFormat="1" ht="16.149999999999999" customHeight="1" x14ac:dyDescent="0.25">
      <c r="B78" s="56" t="str">
        <f>IF(Invoices[[#This Row],[Invoice '#]]="","",Invoices[[#This Row],[Invoice '#]])</f>
        <v/>
      </c>
      <c r="C78" s="53" t="str">
        <f>IFERROR(VLOOKUP(open[[#This Row],[Invoice'#]],'Enter Invoices'!C:H,2,0),"")</f>
        <v/>
      </c>
      <c r="D78" s="52" t="str">
        <f>IFERROR(VLOOKUP(open[[#This Row],[Invoice'#]],'Enter Invoices'!C:H,6,0),"")</f>
        <v/>
      </c>
      <c r="E78" s="66" t="str">
        <f>IFERROR(VLOOKUP(open[[#This Row],[Invoice'#]],'Enter Invoices'!C:H,5,0),"")</f>
        <v/>
      </c>
      <c r="F78" s="54" t="str">
        <f>IFERROR(IF(open[[#This Row],[Amount Due]]="","",open[[#This Row],[Amount Due]]-SUMIF('Record Customer Payments'!B:B,open[[#This Row],[Invoice'#]],'Record Customer Payments'!F:F)),"")</f>
        <v/>
      </c>
      <c r="H78" s="55"/>
      <c r="I78" s="56"/>
      <c r="J78" s="57"/>
      <c r="K78" s="58"/>
      <c r="L78" s="59"/>
      <c r="M78" s="59"/>
      <c r="N78" s="59"/>
    </row>
    <row r="79" spans="2:14" s="53" customFormat="1" ht="16.149999999999999" customHeight="1" x14ac:dyDescent="0.25">
      <c r="B79" s="56" t="str">
        <f>IF(Invoices[[#This Row],[Invoice '#]]="","",Invoices[[#This Row],[Invoice '#]])</f>
        <v/>
      </c>
      <c r="C79" s="53" t="str">
        <f>IFERROR(VLOOKUP(open[[#This Row],[Invoice'#]],'Enter Invoices'!C:H,2,0),"")</f>
        <v/>
      </c>
      <c r="D79" s="52" t="str">
        <f>IFERROR(VLOOKUP(open[[#This Row],[Invoice'#]],'Enter Invoices'!C:H,6,0),"")</f>
        <v/>
      </c>
      <c r="E79" s="66" t="str">
        <f>IFERROR(VLOOKUP(open[[#This Row],[Invoice'#]],'Enter Invoices'!C:H,5,0),"")</f>
        <v/>
      </c>
      <c r="F79" s="54" t="str">
        <f>IFERROR(IF(open[[#This Row],[Amount Due]]="","",open[[#This Row],[Amount Due]]-SUMIF('Record Customer Payments'!B:B,open[[#This Row],[Invoice'#]],'Record Customer Payments'!F:F)),"")</f>
        <v/>
      </c>
      <c r="H79" s="55"/>
      <c r="I79" s="56"/>
      <c r="J79" s="57"/>
      <c r="K79" s="58"/>
      <c r="L79" s="59"/>
      <c r="M79" s="59"/>
      <c r="N79" s="59"/>
    </row>
    <row r="80" spans="2:14" s="53" customFormat="1" ht="16.149999999999999" customHeight="1" x14ac:dyDescent="0.25">
      <c r="B80" s="56" t="str">
        <f>IF(Invoices[[#This Row],[Invoice '#]]="","",Invoices[[#This Row],[Invoice '#]])</f>
        <v/>
      </c>
      <c r="C80" s="53" t="str">
        <f>IFERROR(VLOOKUP(open[[#This Row],[Invoice'#]],'Enter Invoices'!C:H,2,0),"")</f>
        <v/>
      </c>
      <c r="D80" s="52" t="str">
        <f>IFERROR(VLOOKUP(open[[#This Row],[Invoice'#]],'Enter Invoices'!C:H,6,0),"")</f>
        <v/>
      </c>
      <c r="E80" s="66" t="str">
        <f>IFERROR(VLOOKUP(open[[#This Row],[Invoice'#]],'Enter Invoices'!C:H,5,0),"")</f>
        <v/>
      </c>
      <c r="F80" s="54" t="str">
        <f>IFERROR(IF(open[[#This Row],[Amount Due]]="","",open[[#This Row],[Amount Due]]-SUMIF('Record Customer Payments'!B:B,open[[#This Row],[Invoice'#]],'Record Customer Payments'!F:F)),"")</f>
        <v/>
      </c>
      <c r="H80" s="55"/>
      <c r="I80" s="56"/>
      <c r="J80" s="57"/>
      <c r="K80" s="58"/>
      <c r="L80" s="59"/>
      <c r="M80" s="59"/>
      <c r="N80" s="59"/>
    </row>
    <row r="81" spans="2:14" s="53" customFormat="1" ht="16.149999999999999" customHeight="1" x14ac:dyDescent="0.25">
      <c r="B81" s="56" t="str">
        <f>IF(Invoices[[#This Row],[Invoice '#]]="","",Invoices[[#This Row],[Invoice '#]])</f>
        <v/>
      </c>
      <c r="C81" s="53" t="str">
        <f>IFERROR(VLOOKUP(open[[#This Row],[Invoice'#]],'Enter Invoices'!C:H,2,0),"")</f>
        <v/>
      </c>
      <c r="D81" s="52" t="str">
        <f>IFERROR(VLOOKUP(open[[#This Row],[Invoice'#]],'Enter Invoices'!C:H,6,0),"")</f>
        <v/>
      </c>
      <c r="E81" s="66" t="str">
        <f>IFERROR(VLOOKUP(open[[#This Row],[Invoice'#]],'Enter Invoices'!C:H,5,0),"")</f>
        <v/>
      </c>
      <c r="F81" s="54" t="str">
        <f>IFERROR(IF(open[[#This Row],[Amount Due]]="","",open[[#This Row],[Amount Due]]-SUMIF('Record Customer Payments'!B:B,open[[#This Row],[Invoice'#]],'Record Customer Payments'!F:F)),"")</f>
        <v/>
      </c>
      <c r="H81" s="55"/>
      <c r="I81" s="56"/>
      <c r="J81" s="57"/>
      <c r="K81" s="58"/>
      <c r="L81" s="59"/>
      <c r="M81" s="59"/>
      <c r="N81" s="59"/>
    </row>
    <row r="82" spans="2:14" s="53" customFormat="1" ht="16.149999999999999" customHeight="1" x14ac:dyDescent="0.25">
      <c r="B82" s="56" t="str">
        <f>IF(Invoices[[#This Row],[Invoice '#]]="","",Invoices[[#This Row],[Invoice '#]])</f>
        <v/>
      </c>
      <c r="C82" s="53" t="str">
        <f>IFERROR(VLOOKUP(open[[#This Row],[Invoice'#]],'Enter Invoices'!C:H,2,0),"")</f>
        <v/>
      </c>
      <c r="D82" s="52" t="str">
        <f>IFERROR(VLOOKUP(open[[#This Row],[Invoice'#]],'Enter Invoices'!C:H,6,0),"")</f>
        <v/>
      </c>
      <c r="E82" s="66" t="str">
        <f>IFERROR(VLOOKUP(open[[#This Row],[Invoice'#]],'Enter Invoices'!C:H,5,0),"")</f>
        <v/>
      </c>
      <c r="F82" s="54" t="str">
        <f>IFERROR(IF(open[[#This Row],[Amount Due]]="","",open[[#This Row],[Amount Due]]-SUMIF('Record Customer Payments'!B:B,open[[#This Row],[Invoice'#]],'Record Customer Payments'!F:F)),"")</f>
        <v/>
      </c>
      <c r="H82" s="55"/>
      <c r="I82" s="56"/>
      <c r="J82" s="57"/>
      <c r="K82" s="58"/>
      <c r="L82" s="59"/>
      <c r="M82" s="59"/>
      <c r="N82" s="59"/>
    </row>
    <row r="83" spans="2:14" s="53" customFormat="1" ht="16.149999999999999" customHeight="1" x14ac:dyDescent="0.25">
      <c r="B83" s="56" t="str">
        <f>IF(Invoices[[#This Row],[Invoice '#]]="","",Invoices[[#This Row],[Invoice '#]])</f>
        <v/>
      </c>
      <c r="C83" s="53" t="str">
        <f>IFERROR(VLOOKUP(open[[#This Row],[Invoice'#]],'Enter Invoices'!C:H,2,0),"")</f>
        <v/>
      </c>
      <c r="D83" s="52" t="str">
        <f>IFERROR(VLOOKUP(open[[#This Row],[Invoice'#]],'Enter Invoices'!C:H,6,0),"")</f>
        <v/>
      </c>
      <c r="E83" s="66" t="str">
        <f>IFERROR(VLOOKUP(open[[#This Row],[Invoice'#]],'Enter Invoices'!C:H,5,0),"")</f>
        <v/>
      </c>
      <c r="F83" s="54" t="str">
        <f>IFERROR(IF(open[[#This Row],[Amount Due]]="","",open[[#This Row],[Amount Due]]-SUMIF('Record Customer Payments'!B:B,open[[#This Row],[Invoice'#]],'Record Customer Payments'!F:F)),"")</f>
        <v/>
      </c>
      <c r="H83" s="55"/>
      <c r="I83" s="56"/>
      <c r="J83" s="57"/>
      <c r="K83" s="58"/>
      <c r="L83" s="59"/>
      <c r="M83" s="59"/>
      <c r="N83" s="59"/>
    </row>
    <row r="84" spans="2:14" s="53" customFormat="1" ht="16.149999999999999" customHeight="1" x14ac:dyDescent="0.25">
      <c r="B84" s="56" t="str">
        <f>IF(Invoices[[#This Row],[Invoice '#]]="","",Invoices[[#This Row],[Invoice '#]])</f>
        <v/>
      </c>
      <c r="C84" s="53" t="str">
        <f>IFERROR(VLOOKUP(open[[#This Row],[Invoice'#]],'Enter Invoices'!C:H,2,0),"")</f>
        <v/>
      </c>
      <c r="D84" s="52" t="str">
        <f>IFERROR(VLOOKUP(open[[#This Row],[Invoice'#]],'Enter Invoices'!C:H,6,0),"")</f>
        <v/>
      </c>
      <c r="E84" s="66" t="str">
        <f>IFERROR(VLOOKUP(open[[#This Row],[Invoice'#]],'Enter Invoices'!C:H,5,0),"")</f>
        <v/>
      </c>
      <c r="F84" s="54" t="str">
        <f>IFERROR(IF(open[[#This Row],[Amount Due]]="","",open[[#This Row],[Amount Due]]-SUMIF('Record Customer Payments'!B:B,open[[#This Row],[Invoice'#]],'Record Customer Payments'!F:F)),"")</f>
        <v/>
      </c>
      <c r="H84" s="55"/>
      <c r="I84" s="56"/>
      <c r="J84" s="57"/>
      <c r="K84" s="58"/>
      <c r="L84" s="59"/>
      <c r="M84" s="59"/>
      <c r="N84" s="59"/>
    </row>
    <row r="85" spans="2:14" s="53" customFormat="1" ht="16.149999999999999" customHeight="1" x14ac:dyDescent="0.25">
      <c r="B85" s="56" t="str">
        <f>IF(Invoices[[#This Row],[Invoice '#]]="","",Invoices[[#This Row],[Invoice '#]])</f>
        <v/>
      </c>
      <c r="C85" s="53" t="str">
        <f>IFERROR(VLOOKUP(open[[#This Row],[Invoice'#]],'Enter Invoices'!C:H,2,0),"")</f>
        <v/>
      </c>
      <c r="D85" s="52" t="str">
        <f>IFERROR(VLOOKUP(open[[#This Row],[Invoice'#]],'Enter Invoices'!C:H,6,0),"")</f>
        <v/>
      </c>
      <c r="E85" s="66" t="str">
        <f>IFERROR(VLOOKUP(open[[#This Row],[Invoice'#]],'Enter Invoices'!C:H,5,0),"")</f>
        <v/>
      </c>
      <c r="F85" s="54" t="str">
        <f>IFERROR(IF(open[[#This Row],[Amount Due]]="","",open[[#This Row],[Amount Due]]-SUMIF('Record Customer Payments'!B:B,open[[#This Row],[Invoice'#]],'Record Customer Payments'!F:F)),"")</f>
        <v/>
      </c>
      <c r="H85" s="55"/>
      <c r="I85" s="56"/>
      <c r="J85" s="57"/>
      <c r="K85" s="58"/>
      <c r="L85" s="59"/>
      <c r="M85" s="59"/>
      <c r="N85" s="59"/>
    </row>
    <row r="86" spans="2:14" s="53" customFormat="1" ht="16.149999999999999" customHeight="1" x14ac:dyDescent="0.25">
      <c r="B86" s="56" t="str">
        <f>IF(Invoices[[#This Row],[Invoice '#]]="","",Invoices[[#This Row],[Invoice '#]])</f>
        <v/>
      </c>
      <c r="C86" s="53" t="str">
        <f>IFERROR(VLOOKUP(open[[#This Row],[Invoice'#]],'Enter Invoices'!C:H,2,0),"")</f>
        <v/>
      </c>
      <c r="D86" s="52" t="str">
        <f>IFERROR(VLOOKUP(open[[#This Row],[Invoice'#]],'Enter Invoices'!C:H,6,0),"")</f>
        <v/>
      </c>
      <c r="E86" s="66" t="str">
        <f>IFERROR(VLOOKUP(open[[#This Row],[Invoice'#]],'Enter Invoices'!C:H,5,0),"")</f>
        <v/>
      </c>
      <c r="F86" s="54" t="str">
        <f>IFERROR(IF(open[[#This Row],[Amount Due]]="","",open[[#This Row],[Amount Due]]-SUMIF('Record Customer Payments'!B:B,open[[#This Row],[Invoice'#]],'Record Customer Payments'!F:F)),"")</f>
        <v/>
      </c>
      <c r="H86" s="55"/>
      <c r="I86" s="56"/>
      <c r="J86" s="57"/>
      <c r="K86" s="58"/>
      <c r="L86" s="59"/>
      <c r="M86" s="59"/>
      <c r="N86" s="59"/>
    </row>
    <row r="87" spans="2:14" s="53" customFormat="1" ht="16.149999999999999" customHeight="1" x14ac:dyDescent="0.25">
      <c r="B87" s="56" t="str">
        <f>IF(Invoices[[#This Row],[Invoice '#]]="","",Invoices[[#This Row],[Invoice '#]])</f>
        <v/>
      </c>
      <c r="C87" s="53" t="str">
        <f>IFERROR(VLOOKUP(open[[#This Row],[Invoice'#]],'Enter Invoices'!C:H,2,0),"")</f>
        <v/>
      </c>
      <c r="D87" s="52" t="str">
        <f>IFERROR(VLOOKUP(open[[#This Row],[Invoice'#]],'Enter Invoices'!C:H,6,0),"")</f>
        <v/>
      </c>
      <c r="E87" s="66" t="str">
        <f>IFERROR(VLOOKUP(open[[#This Row],[Invoice'#]],'Enter Invoices'!C:H,5,0),"")</f>
        <v/>
      </c>
      <c r="F87" s="54" t="str">
        <f>IFERROR(IF(open[[#This Row],[Amount Due]]="","",open[[#This Row],[Amount Due]]-SUMIF('Record Customer Payments'!B:B,open[[#This Row],[Invoice'#]],'Record Customer Payments'!F:F)),"")</f>
        <v/>
      </c>
      <c r="H87" s="55"/>
      <c r="I87" s="56"/>
      <c r="J87" s="57"/>
      <c r="K87" s="58"/>
      <c r="L87" s="59"/>
      <c r="M87" s="59"/>
      <c r="N87" s="59"/>
    </row>
    <row r="88" spans="2:14" s="53" customFormat="1" ht="16.149999999999999" customHeight="1" x14ac:dyDescent="0.25">
      <c r="B88" s="56" t="str">
        <f>IF(Invoices[[#This Row],[Invoice '#]]="","",Invoices[[#This Row],[Invoice '#]])</f>
        <v/>
      </c>
      <c r="C88" s="53" t="str">
        <f>IFERROR(VLOOKUP(open[[#This Row],[Invoice'#]],'Enter Invoices'!C:H,2,0),"")</f>
        <v/>
      </c>
      <c r="D88" s="52" t="str">
        <f>IFERROR(VLOOKUP(open[[#This Row],[Invoice'#]],'Enter Invoices'!C:H,6,0),"")</f>
        <v/>
      </c>
      <c r="E88" s="66" t="str">
        <f>IFERROR(VLOOKUP(open[[#This Row],[Invoice'#]],'Enter Invoices'!C:H,5,0),"")</f>
        <v/>
      </c>
      <c r="F88" s="54" t="str">
        <f>IFERROR(IF(open[[#This Row],[Amount Due]]="","",open[[#This Row],[Amount Due]]-SUMIF('Record Customer Payments'!B:B,open[[#This Row],[Invoice'#]],'Record Customer Payments'!F:F)),"")</f>
        <v/>
      </c>
      <c r="H88" s="55"/>
      <c r="I88" s="56"/>
      <c r="J88" s="57"/>
      <c r="K88" s="58"/>
      <c r="L88" s="59"/>
      <c r="M88" s="59"/>
      <c r="N88" s="59"/>
    </row>
    <row r="89" spans="2:14" s="53" customFormat="1" ht="16.149999999999999" customHeight="1" x14ac:dyDescent="0.25">
      <c r="B89" s="56" t="str">
        <f>IF(Invoices[[#This Row],[Invoice '#]]="","",Invoices[[#This Row],[Invoice '#]])</f>
        <v/>
      </c>
      <c r="C89" s="53" t="str">
        <f>IFERROR(VLOOKUP(open[[#This Row],[Invoice'#]],'Enter Invoices'!C:H,2,0),"")</f>
        <v/>
      </c>
      <c r="D89" s="52" t="str">
        <f>IFERROR(VLOOKUP(open[[#This Row],[Invoice'#]],'Enter Invoices'!C:H,6,0),"")</f>
        <v/>
      </c>
      <c r="E89" s="66" t="str">
        <f>IFERROR(VLOOKUP(open[[#This Row],[Invoice'#]],'Enter Invoices'!C:H,5,0),"")</f>
        <v/>
      </c>
      <c r="F89" s="54" t="str">
        <f>IFERROR(IF(open[[#This Row],[Amount Due]]="","",open[[#This Row],[Amount Due]]-SUMIF('Record Customer Payments'!B:B,open[[#This Row],[Invoice'#]],'Record Customer Payments'!F:F)),"")</f>
        <v/>
      </c>
      <c r="H89" s="55"/>
      <c r="I89" s="56"/>
      <c r="J89" s="57"/>
      <c r="K89" s="58"/>
      <c r="L89" s="59"/>
      <c r="M89" s="59"/>
      <c r="N89" s="59"/>
    </row>
    <row r="90" spans="2:14" s="53" customFormat="1" ht="16.149999999999999" customHeight="1" x14ac:dyDescent="0.25">
      <c r="B90" s="56" t="str">
        <f>IF(Invoices[[#This Row],[Invoice '#]]="","",Invoices[[#This Row],[Invoice '#]])</f>
        <v/>
      </c>
      <c r="C90" s="53" t="str">
        <f>IFERROR(VLOOKUP(open[[#This Row],[Invoice'#]],'Enter Invoices'!C:H,2,0),"")</f>
        <v/>
      </c>
      <c r="D90" s="52" t="str">
        <f>IFERROR(VLOOKUP(open[[#This Row],[Invoice'#]],'Enter Invoices'!C:H,6,0),"")</f>
        <v/>
      </c>
      <c r="E90" s="66" t="str">
        <f>IFERROR(VLOOKUP(open[[#This Row],[Invoice'#]],'Enter Invoices'!C:H,5,0),"")</f>
        <v/>
      </c>
      <c r="F90" s="54" t="str">
        <f>IFERROR(IF(open[[#This Row],[Amount Due]]="","",open[[#This Row],[Amount Due]]-SUMIF('Record Customer Payments'!B:B,open[[#This Row],[Invoice'#]],'Record Customer Payments'!F:F)),"")</f>
        <v/>
      </c>
      <c r="H90" s="55"/>
      <c r="I90" s="56"/>
      <c r="J90" s="57"/>
      <c r="K90" s="58"/>
      <c r="L90" s="59"/>
      <c r="M90" s="59"/>
      <c r="N90" s="59"/>
    </row>
    <row r="91" spans="2:14" s="53" customFormat="1" ht="16.149999999999999" customHeight="1" x14ac:dyDescent="0.25">
      <c r="B91" s="56" t="str">
        <f>IF(Invoices[[#This Row],[Invoice '#]]="","",Invoices[[#This Row],[Invoice '#]])</f>
        <v/>
      </c>
      <c r="C91" s="53" t="str">
        <f>IFERROR(VLOOKUP(open[[#This Row],[Invoice'#]],'Enter Invoices'!C:H,2,0),"")</f>
        <v/>
      </c>
      <c r="D91" s="52" t="str">
        <f>IFERROR(VLOOKUP(open[[#This Row],[Invoice'#]],'Enter Invoices'!C:H,6,0),"")</f>
        <v/>
      </c>
      <c r="E91" s="66" t="str">
        <f>IFERROR(VLOOKUP(open[[#This Row],[Invoice'#]],'Enter Invoices'!C:H,5,0),"")</f>
        <v/>
      </c>
      <c r="F91" s="54" t="str">
        <f>IFERROR(IF(open[[#This Row],[Amount Due]]="","",open[[#This Row],[Amount Due]]-SUMIF('Record Customer Payments'!B:B,open[[#This Row],[Invoice'#]],'Record Customer Payments'!F:F)),"")</f>
        <v/>
      </c>
      <c r="H91" s="55"/>
      <c r="I91" s="56"/>
      <c r="J91" s="57"/>
      <c r="K91" s="58"/>
      <c r="L91" s="59"/>
      <c r="M91" s="59"/>
      <c r="N91" s="59"/>
    </row>
    <row r="92" spans="2:14" s="53" customFormat="1" ht="16.149999999999999" customHeight="1" x14ac:dyDescent="0.25">
      <c r="B92" s="56" t="str">
        <f>IF(Invoices[[#This Row],[Invoice '#]]="","",Invoices[[#This Row],[Invoice '#]])</f>
        <v/>
      </c>
      <c r="C92" s="53" t="str">
        <f>IFERROR(VLOOKUP(open[[#This Row],[Invoice'#]],'Enter Invoices'!C:H,2,0),"")</f>
        <v/>
      </c>
      <c r="D92" s="52" t="str">
        <f>IFERROR(VLOOKUP(open[[#This Row],[Invoice'#]],'Enter Invoices'!C:H,6,0),"")</f>
        <v/>
      </c>
      <c r="E92" s="66" t="str">
        <f>IFERROR(VLOOKUP(open[[#This Row],[Invoice'#]],'Enter Invoices'!C:H,5,0),"")</f>
        <v/>
      </c>
      <c r="F92" s="54" t="str">
        <f>IFERROR(IF(open[[#This Row],[Amount Due]]="","",open[[#This Row],[Amount Due]]-SUMIF('Record Customer Payments'!B:B,open[[#This Row],[Invoice'#]],'Record Customer Payments'!F:F)),"")</f>
        <v/>
      </c>
      <c r="H92" s="55"/>
      <c r="I92" s="56"/>
      <c r="J92" s="57"/>
      <c r="K92" s="58"/>
      <c r="L92" s="59"/>
      <c r="M92" s="59"/>
      <c r="N92" s="59"/>
    </row>
    <row r="93" spans="2:14" s="53" customFormat="1" ht="16.149999999999999" customHeight="1" x14ac:dyDescent="0.25">
      <c r="B93" s="56" t="str">
        <f>IF(Invoices[[#This Row],[Invoice '#]]="","",Invoices[[#This Row],[Invoice '#]])</f>
        <v/>
      </c>
      <c r="C93" s="53" t="str">
        <f>IFERROR(VLOOKUP(open[[#This Row],[Invoice'#]],'Enter Invoices'!C:H,2,0),"")</f>
        <v/>
      </c>
      <c r="D93" s="52" t="str">
        <f>IFERROR(VLOOKUP(open[[#This Row],[Invoice'#]],'Enter Invoices'!C:H,6,0),"")</f>
        <v/>
      </c>
      <c r="E93" s="66" t="str">
        <f>IFERROR(VLOOKUP(open[[#This Row],[Invoice'#]],'Enter Invoices'!C:H,5,0),"")</f>
        <v/>
      </c>
      <c r="F93" s="54" t="str">
        <f>IFERROR(IF(open[[#This Row],[Amount Due]]="","",open[[#This Row],[Amount Due]]-SUMIF('Record Customer Payments'!B:B,open[[#This Row],[Invoice'#]],'Record Customer Payments'!F:F)),"")</f>
        <v/>
      </c>
      <c r="H93" s="55"/>
      <c r="I93" s="56"/>
      <c r="J93" s="57"/>
      <c r="K93" s="58"/>
      <c r="L93" s="59"/>
      <c r="M93" s="59"/>
      <c r="N93" s="59"/>
    </row>
    <row r="94" spans="2:14" s="53" customFormat="1" ht="16.149999999999999" customHeight="1" x14ac:dyDescent="0.25">
      <c r="B94" s="56" t="str">
        <f>IF(Invoices[[#This Row],[Invoice '#]]="","",Invoices[[#This Row],[Invoice '#]])</f>
        <v/>
      </c>
      <c r="C94" s="53" t="str">
        <f>IFERROR(VLOOKUP(open[[#This Row],[Invoice'#]],'Enter Invoices'!C:H,2,0),"")</f>
        <v/>
      </c>
      <c r="D94" s="52" t="str">
        <f>IFERROR(VLOOKUP(open[[#This Row],[Invoice'#]],'Enter Invoices'!C:H,6,0),"")</f>
        <v/>
      </c>
      <c r="E94" s="66" t="str">
        <f>IFERROR(VLOOKUP(open[[#This Row],[Invoice'#]],'Enter Invoices'!C:H,5,0),"")</f>
        <v/>
      </c>
      <c r="F94" s="54" t="str">
        <f>IFERROR(IF(open[[#This Row],[Amount Due]]="","",open[[#This Row],[Amount Due]]-SUMIF('Record Customer Payments'!B:B,open[[#This Row],[Invoice'#]],'Record Customer Payments'!F:F)),"")</f>
        <v/>
      </c>
      <c r="H94" s="55"/>
      <c r="I94" s="56"/>
      <c r="J94" s="57"/>
      <c r="K94" s="58"/>
      <c r="L94" s="59"/>
      <c r="M94" s="59"/>
      <c r="N94" s="59"/>
    </row>
    <row r="95" spans="2:14" s="53" customFormat="1" ht="16.149999999999999" customHeight="1" x14ac:dyDescent="0.25">
      <c r="B95" s="56" t="str">
        <f>IF(Invoices[[#This Row],[Invoice '#]]="","",Invoices[[#This Row],[Invoice '#]])</f>
        <v/>
      </c>
      <c r="C95" s="53" t="str">
        <f>IFERROR(VLOOKUP(open[[#This Row],[Invoice'#]],'Enter Invoices'!C:H,2,0),"")</f>
        <v/>
      </c>
      <c r="D95" s="52" t="str">
        <f>IFERROR(VLOOKUP(open[[#This Row],[Invoice'#]],'Enter Invoices'!C:H,6,0),"")</f>
        <v/>
      </c>
      <c r="E95" s="66" t="str">
        <f>IFERROR(VLOOKUP(open[[#This Row],[Invoice'#]],'Enter Invoices'!C:H,5,0),"")</f>
        <v/>
      </c>
      <c r="F95" s="54" t="str">
        <f>IFERROR(IF(open[[#This Row],[Amount Due]]="","",open[[#This Row],[Amount Due]]-SUMIF('Record Customer Payments'!B:B,open[[#This Row],[Invoice'#]],'Record Customer Payments'!F:F)),"")</f>
        <v/>
      </c>
      <c r="H95" s="55"/>
      <c r="I95" s="56"/>
      <c r="J95" s="57"/>
      <c r="K95" s="58"/>
      <c r="L95" s="59"/>
      <c r="M95" s="59"/>
      <c r="N95" s="59"/>
    </row>
    <row r="96" spans="2:14" s="53" customFormat="1" ht="16.149999999999999" customHeight="1" x14ac:dyDescent="0.25">
      <c r="B96" s="56" t="str">
        <f>IF(Invoices[[#This Row],[Invoice '#]]="","",Invoices[[#This Row],[Invoice '#]])</f>
        <v/>
      </c>
      <c r="C96" s="53" t="str">
        <f>IFERROR(VLOOKUP(open[[#This Row],[Invoice'#]],'Enter Invoices'!C:H,2,0),"")</f>
        <v/>
      </c>
      <c r="D96" s="52" t="str">
        <f>IFERROR(VLOOKUP(open[[#This Row],[Invoice'#]],'Enter Invoices'!C:H,6,0),"")</f>
        <v/>
      </c>
      <c r="E96" s="66" t="str">
        <f>IFERROR(VLOOKUP(open[[#This Row],[Invoice'#]],'Enter Invoices'!C:H,5,0),"")</f>
        <v/>
      </c>
      <c r="F96" s="54" t="str">
        <f>IFERROR(IF(open[[#This Row],[Amount Due]]="","",open[[#This Row],[Amount Due]]-SUMIF('Record Customer Payments'!B:B,open[[#This Row],[Invoice'#]],'Record Customer Payments'!F:F)),"")</f>
        <v/>
      </c>
      <c r="H96" s="55"/>
      <c r="I96" s="56"/>
      <c r="J96" s="57"/>
      <c r="K96" s="58"/>
      <c r="L96" s="59"/>
      <c r="M96" s="59"/>
      <c r="N96" s="59"/>
    </row>
    <row r="97" spans="2:14" s="53" customFormat="1" ht="16.149999999999999" customHeight="1" x14ac:dyDescent="0.25">
      <c r="B97" s="56" t="str">
        <f>IF(Invoices[[#This Row],[Invoice '#]]="","",Invoices[[#This Row],[Invoice '#]])</f>
        <v/>
      </c>
      <c r="C97" s="53" t="str">
        <f>IFERROR(VLOOKUP(open[[#This Row],[Invoice'#]],'Enter Invoices'!C:H,2,0),"")</f>
        <v/>
      </c>
      <c r="D97" s="52" t="str">
        <f>IFERROR(VLOOKUP(open[[#This Row],[Invoice'#]],'Enter Invoices'!C:H,6,0),"")</f>
        <v/>
      </c>
      <c r="E97" s="66" t="str">
        <f>IFERROR(VLOOKUP(open[[#This Row],[Invoice'#]],'Enter Invoices'!C:H,5,0),"")</f>
        <v/>
      </c>
      <c r="F97" s="54" t="str">
        <f>IFERROR(IF(open[[#This Row],[Amount Due]]="","",open[[#This Row],[Amount Due]]-SUMIF('Record Customer Payments'!B:B,open[[#This Row],[Invoice'#]],'Record Customer Payments'!F:F)),"")</f>
        <v/>
      </c>
      <c r="H97" s="55"/>
      <c r="I97" s="56"/>
      <c r="J97" s="57"/>
      <c r="K97" s="58"/>
      <c r="L97" s="59"/>
      <c r="M97" s="59"/>
      <c r="N97" s="59"/>
    </row>
    <row r="98" spans="2:14" s="53" customFormat="1" ht="16.149999999999999" customHeight="1" x14ac:dyDescent="0.25">
      <c r="B98" s="56" t="str">
        <f>IF(Invoices[[#This Row],[Invoice '#]]="","",Invoices[[#This Row],[Invoice '#]])</f>
        <v/>
      </c>
      <c r="C98" s="53" t="str">
        <f>IFERROR(VLOOKUP(open[[#This Row],[Invoice'#]],'Enter Invoices'!C:H,2,0),"")</f>
        <v/>
      </c>
      <c r="D98" s="52" t="str">
        <f>IFERROR(VLOOKUP(open[[#This Row],[Invoice'#]],'Enter Invoices'!C:H,6,0),"")</f>
        <v/>
      </c>
      <c r="E98" s="66" t="str">
        <f>IFERROR(VLOOKUP(open[[#This Row],[Invoice'#]],'Enter Invoices'!C:H,5,0),"")</f>
        <v/>
      </c>
      <c r="F98" s="54" t="str">
        <f>IFERROR(IF(open[[#This Row],[Amount Due]]="","",open[[#This Row],[Amount Due]]-SUMIF('Record Customer Payments'!B:B,open[[#This Row],[Invoice'#]],'Record Customer Payments'!F:F)),"")</f>
        <v/>
      </c>
      <c r="H98" s="55"/>
      <c r="I98" s="56"/>
      <c r="J98" s="57"/>
      <c r="K98" s="58"/>
      <c r="L98" s="59"/>
      <c r="M98" s="59"/>
      <c r="N98" s="59"/>
    </row>
    <row r="99" spans="2:14" s="53" customFormat="1" ht="16.149999999999999" customHeight="1" x14ac:dyDescent="0.25">
      <c r="B99" s="56" t="str">
        <f>IF(Invoices[[#This Row],[Invoice '#]]="","",Invoices[[#This Row],[Invoice '#]])</f>
        <v/>
      </c>
      <c r="C99" s="53" t="str">
        <f>IFERROR(VLOOKUP(open[[#This Row],[Invoice'#]],'Enter Invoices'!C:H,2,0),"")</f>
        <v/>
      </c>
      <c r="D99" s="52" t="str">
        <f>IFERROR(VLOOKUP(open[[#This Row],[Invoice'#]],'Enter Invoices'!C:H,6,0),"")</f>
        <v/>
      </c>
      <c r="E99" s="66" t="str">
        <f>IFERROR(VLOOKUP(open[[#This Row],[Invoice'#]],'Enter Invoices'!C:H,5,0),"")</f>
        <v/>
      </c>
      <c r="F99" s="54" t="str">
        <f>IFERROR(IF(open[[#This Row],[Amount Due]]="","",open[[#This Row],[Amount Due]]-SUMIF('Record Customer Payments'!B:B,open[[#This Row],[Invoice'#]],'Record Customer Payments'!F:F)),"")</f>
        <v/>
      </c>
      <c r="H99" s="55"/>
      <c r="I99" s="56"/>
      <c r="J99" s="57"/>
      <c r="K99" s="58"/>
      <c r="L99" s="59"/>
      <c r="M99" s="59"/>
      <c r="N99" s="59"/>
    </row>
    <row r="100" spans="2:14" s="53" customFormat="1" ht="16.149999999999999" customHeight="1" x14ac:dyDescent="0.25">
      <c r="B100" s="56" t="str">
        <f>IF(Invoices[[#This Row],[Invoice '#]]="","",Invoices[[#This Row],[Invoice '#]])</f>
        <v/>
      </c>
      <c r="C100" s="53" t="str">
        <f>IFERROR(VLOOKUP(open[[#This Row],[Invoice'#]],'Enter Invoices'!C:H,2,0),"")</f>
        <v/>
      </c>
      <c r="D100" s="52" t="str">
        <f>IFERROR(VLOOKUP(open[[#This Row],[Invoice'#]],'Enter Invoices'!C:H,6,0),"")</f>
        <v/>
      </c>
      <c r="E100" s="66" t="str">
        <f>IFERROR(VLOOKUP(open[[#This Row],[Invoice'#]],'Enter Invoices'!C:H,5,0),"")</f>
        <v/>
      </c>
      <c r="F100" s="54" t="str">
        <f>IFERROR(IF(open[[#This Row],[Amount Due]]="","",open[[#This Row],[Amount Due]]-SUMIF('Record Customer Payments'!B:B,open[[#This Row],[Invoice'#]],'Record Customer Payments'!F:F)),"")</f>
        <v/>
      </c>
      <c r="H100" s="55"/>
      <c r="I100" s="56"/>
      <c r="J100" s="57"/>
      <c r="K100" s="58"/>
      <c r="L100" s="59"/>
      <c r="M100" s="59"/>
      <c r="N100" s="59"/>
    </row>
    <row r="101" spans="2:14" s="53" customFormat="1" ht="16.149999999999999" customHeight="1" x14ac:dyDescent="0.25">
      <c r="B101" s="56" t="str">
        <f>IF(Invoices[[#This Row],[Invoice '#]]="","",Invoices[[#This Row],[Invoice '#]])</f>
        <v/>
      </c>
      <c r="C101" s="53" t="str">
        <f>IFERROR(VLOOKUP(open[[#This Row],[Invoice'#]],'Enter Invoices'!C:H,2,0),"")</f>
        <v/>
      </c>
      <c r="D101" s="52" t="str">
        <f>IFERROR(VLOOKUP(open[[#This Row],[Invoice'#]],'Enter Invoices'!C:H,6,0),"")</f>
        <v/>
      </c>
      <c r="E101" s="66" t="str">
        <f>IFERROR(VLOOKUP(open[[#This Row],[Invoice'#]],'Enter Invoices'!C:H,5,0),"")</f>
        <v/>
      </c>
      <c r="F101" s="54" t="str">
        <f>IFERROR(IF(open[[#This Row],[Amount Due]]="","",open[[#This Row],[Amount Due]]-SUMIF('Record Customer Payments'!B:B,open[[#This Row],[Invoice'#]],'Record Customer Payments'!F:F)),"")</f>
        <v/>
      </c>
      <c r="H101" s="55"/>
      <c r="I101" s="56"/>
      <c r="J101" s="57"/>
      <c r="K101" s="58"/>
      <c r="L101" s="59"/>
      <c r="M101" s="59"/>
      <c r="N101" s="59"/>
    </row>
    <row r="102" spans="2:14" s="53" customFormat="1" ht="16.149999999999999" customHeight="1" x14ac:dyDescent="0.25">
      <c r="B102" s="56" t="str">
        <f>IF(Invoices[[#This Row],[Invoice '#]]="","",Invoices[[#This Row],[Invoice '#]])</f>
        <v/>
      </c>
      <c r="C102" s="53" t="str">
        <f>IFERROR(VLOOKUP(open[[#This Row],[Invoice'#]],'Enter Invoices'!C:H,2,0),"")</f>
        <v/>
      </c>
      <c r="D102" s="52" t="str">
        <f>IFERROR(VLOOKUP(open[[#This Row],[Invoice'#]],'Enter Invoices'!C:H,6,0),"")</f>
        <v/>
      </c>
      <c r="E102" s="66" t="str">
        <f>IFERROR(VLOOKUP(open[[#This Row],[Invoice'#]],'Enter Invoices'!C:H,5,0),"")</f>
        <v/>
      </c>
      <c r="F102" s="54" t="str">
        <f>IFERROR(IF(open[[#This Row],[Amount Due]]="","",open[[#This Row],[Amount Due]]-SUMIF('Record Customer Payments'!B:B,open[[#This Row],[Invoice'#]],'Record Customer Payments'!F:F)),"")</f>
        <v/>
      </c>
      <c r="H102" s="55"/>
      <c r="I102" s="56"/>
      <c r="J102" s="57"/>
      <c r="K102" s="58"/>
      <c r="L102" s="59"/>
      <c r="M102" s="59"/>
      <c r="N102" s="59"/>
    </row>
    <row r="103" spans="2:14" s="53" customFormat="1" ht="16.149999999999999" customHeight="1" x14ac:dyDescent="0.25">
      <c r="B103" s="56" t="str">
        <f>IF(Invoices[[#This Row],[Invoice '#]]="","",Invoices[[#This Row],[Invoice '#]])</f>
        <v/>
      </c>
      <c r="C103" s="53" t="str">
        <f>IFERROR(VLOOKUP(open[[#This Row],[Invoice'#]],'Enter Invoices'!C:H,2,0),"")</f>
        <v/>
      </c>
      <c r="D103" s="52" t="str">
        <f>IFERROR(VLOOKUP(open[[#This Row],[Invoice'#]],'Enter Invoices'!C:H,6,0),"")</f>
        <v/>
      </c>
      <c r="E103" s="66" t="str">
        <f>IFERROR(VLOOKUP(open[[#This Row],[Invoice'#]],'Enter Invoices'!C:H,5,0),"")</f>
        <v/>
      </c>
      <c r="F103" s="54" t="str">
        <f>IFERROR(IF(open[[#This Row],[Amount Due]]="","",open[[#This Row],[Amount Due]]-SUMIF('Record Customer Payments'!B:B,open[[#This Row],[Invoice'#]],'Record Customer Payments'!F:F)),"")</f>
        <v/>
      </c>
      <c r="H103" s="55"/>
      <c r="I103" s="56"/>
      <c r="J103" s="57"/>
      <c r="K103" s="58"/>
      <c r="L103" s="59"/>
      <c r="M103" s="59"/>
      <c r="N103" s="59"/>
    </row>
    <row r="104" spans="2:14" s="53" customFormat="1" ht="16.149999999999999" customHeight="1" x14ac:dyDescent="0.25">
      <c r="B104" s="56" t="str">
        <f>IF(Invoices[[#This Row],[Invoice '#]]="","",Invoices[[#This Row],[Invoice '#]])</f>
        <v/>
      </c>
      <c r="C104" s="53" t="str">
        <f>IFERROR(VLOOKUP(open[[#This Row],[Invoice'#]],'Enter Invoices'!C:H,2,0),"")</f>
        <v/>
      </c>
      <c r="D104" s="52" t="str">
        <f>IFERROR(VLOOKUP(open[[#This Row],[Invoice'#]],'Enter Invoices'!C:H,6,0),"")</f>
        <v/>
      </c>
      <c r="E104" s="66" t="str">
        <f>IFERROR(VLOOKUP(open[[#This Row],[Invoice'#]],'Enter Invoices'!C:H,5,0),"")</f>
        <v/>
      </c>
      <c r="F104" s="54" t="str">
        <f>IFERROR(IF(open[[#This Row],[Amount Due]]="","",open[[#This Row],[Amount Due]]-SUMIF('Record Customer Payments'!B:B,open[[#This Row],[Invoice'#]],'Record Customer Payments'!F:F)),"")</f>
        <v/>
      </c>
      <c r="H104" s="55"/>
      <c r="I104" s="56"/>
      <c r="J104" s="57"/>
      <c r="K104" s="58"/>
      <c r="L104" s="59"/>
      <c r="M104" s="59"/>
      <c r="N104" s="59"/>
    </row>
    <row r="105" spans="2:14" s="53" customFormat="1" ht="16.149999999999999" customHeight="1" x14ac:dyDescent="0.25">
      <c r="B105" s="56" t="str">
        <f>IF(Invoices[[#This Row],[Invoice '#]]="","",Invoices[[#This Row],[Invoice '#]])</f>
        <v/>
      </c>
      <c r="C105" s="53" t="str">
        <f>IFERROR(VLOOKUP(open[[#This Row],[Invoice'#]],'Enter Invoices'!C:H,2,0),"")</f>
        <v/>
      </c>
      <c r="D105" s="52" t="str">
        <f>IFERROR(VLOOKUP(open[[#This Row],[Invoice'#]],'Enter Invoices'!C:H,6,0),"")</f>
        <v/>
      </c>
      <c r="E105" s="66" t="str">
        <f>IFERROR(VLOOKUP(open[[#This Row],[Invoice'#]],'Enter Invoices'!C:H,5,0),"")</f>
        <v/>
      </c>
      <c r="F105" s="54" t="str">
        <f>IFERROR(IF(open[[#This Row],[Amount Due]]="","",open[[#This Row],[Amount Due]]-SUMIF('Record Customer Payments'!B:B,open[[#This Row],[Invoice'#]],'Record Customer Payments'!F:F)),"")</f>
        <v/>
      </c>
      <c r="H105" s="55"/>
      <c r="I105" s="56"/>
      <c r="J105" s="57"/>
      <c r="K105" s="58"/>
      <c r="L105" s="59"/>
      <c r="M105" s="59"/>
      <c r="N105" s="59"/>
    </row>
    <row r="106" spans="2:14" s="53" customFormat="1" ht="16.149999999999999" customHeight="1" x14ac:dyDescent="0.25">
      <c r="B106" s="56" t="str">
        <f>IF(Invoices[[#This Row],[Invoice '#]]="","",Invoices[[#This Row],[Invoice '#]])</f>
        <v/>
      </c>
      <c r="C106" s="53" t="str">
        <f>IFERROR(VLOOKUP(open[[#This Row],[Invoice'#]],'Enter Invoices'!C:H,2,0),"")</f>
        <v/>
      </c>
      <c r="D106" s="52" t="str">
        <f>IFERROR(VLOOKUP(open[[#This Row],[Invoice'#]],'Enter Invoices'!C:H,6,0),"")</f>
        <v/>
      </c>
      <c r="E106" s="66" t="str">
        <f>IFERROR(VLOOKUP(open[[#This Row],[Invoice'#]],'Enter Invoices'!C:H,5,0),"")</f>
        <v/>
      </c>
      <c r="F106" s="54" t="str">
        <f>IFERROR(IF(open[[#This Row],[Amount Due]]="","",open[[#This Row],[Amount Due]]-SUMIF('Record Customer Payments'!B:B,open[[#This Row],[Invoice'#]],'Record Customer Payments'!F:F)),"")</f>
        <v/>
      </c>
      <c r="H106" s="55"/>
      <c r="I106" s="56"/>
      <c r="J106" s="57"/>
      <c r="K106" s="58"/>
      <c r="L106" s="59"/>
      <c r="M106" s="59"/>
      <c r="N106" s="59"/>
    </row>
    <row r="107" spans="2:14" s="53" customFormat="1" ht="16.149999999999999" customHeight="1" x14ac:dyDescent="0.25">
      <c r="B107" s="56" t="str">
        <f>IF(Invoices[[#This Row],[Invoice '#]]="","",Invoices[[#This Row],[Invoice '#]])</f>
        <v/>
      </c>
      <c r="C107" s="53" t="str">
        <f>IFERROR(VLOOKUP(open[[#This Row],[Invoice'#]],'Enter Invoices'!C:H,2,0),"")</f>
        <v/>
      </c>
      <c r="D107" s="52" t="str">
        <f>IFERROR(VLOOKUP(open[[#This Row],[Invoice'#]],'Enter Invoices'!C:H,6,0),"")</f>
        <v/>
      </c>
      <c r="E107" s="66" t="str">
        <f>IFERROR(VLOOKUP(open[[#This Row],[Invoice'#]],'Enter Invoices'!C:H,5,0),"")</f>
        <v/>
      </c>
      <c r="F107" s="54" t="str">
        <f>IFERROR(IF(open[[#This Row],[Amount Due]]="","",open[[#This Row],[Amount Due]]-SUMIF('Record Customer Payments'!B:B,open[[#This Row],[Invoice'#]],'Record Customer Payments'!F:F)),"")</f>
        <v/>
      </c>
      <c r="H107" s="55"/>
      <c r="I107" s="56"/>
      <c r="J107" s="57"/>
      <c r="K107" s="58"/>
      <c r="L107" s="59"/>
      <c r="M107" s="59"/>
      <c r="N107" s="59"/>
    </row>
    <row r="108" spans="2:14" s="53" customFormat="1" ht="16.149999999999999" customHeight="1" x14ac:dyDescent="0.25">
      <c r="B108" s="56" t="str">
        <f>IF(Invoices[[#This Row],[Invoice '#]]="","",Invoices[[#This Row],[Invoice '#]])</f>
        <v/>
      </c>
      <c r="C108" s="53" t="str">
        <f>IFERROR(VLOOKUP(open[[#This Row],[Invoice'#]],'Enter Invoices'!C:H,2,0),"")</f>
        <v/>
      </c>
      <c r="D108" s="52" t="str">
        <f>IFERROR(VLOOKUP(open[[#This Row],[Invoice'#]],'Enter Invoices'!C:H,6,0),"")</f>
        <v/>
      </c>
      <c r="E108" s="66" t="str">
        <f>IFERROR(VLOOKUP(open[[#This Row],[Invoice'#]],'Enter Invoices'!C:H,5,0),"")</f>
        <v/>
      </c>
      <c r="F108" s="54" t="str">
        <f>IFERROR(IF(open[[#This Row],[Amount Due]]="","",open[[#This Row],[Amount Due]]-SUMIF('Record Customer Payments'!B:B,open[[#This Row],[Invoice'#]],'Record Customer Payments'!F:F)),"")</f>
        <v/>
      </c>
      <c r="H108" s="55"/>
      <c r="I108" s="56"/>
      <c r="J108" s="57"/>
      <c r="K108" s="58"/>
      <c r="L108" s="59"/>
      <c r="M108" s="59"/>
      <c r="N108" s="59"/>
    </row>
    <row r="109" spans="2:14" s="53" customFormat="1" ht="16.149999999999999" customHeight="1" x14ac:dyDescent="0.25">
      <c r="B109" s="56" t="str">
        <f>IF(Invoices[[#This Row],[Invoice '#]]="","",Invoices[[#This Row],[Invoice '#]])</f>
        <v/>
      </c>
      <c r="C109" s="53" t="str">
        <f>IFERROR(VLOOKUP(open[[#This Row],[Invoice'#]],'Enter Invoices'!C:H,2,0),"")</f>
        <v/>
      </c>
      <c r="D109" s="52" t="str">
        <f>IFERROR(VLOOKUP(open[[#This Row],[Invoice'#]],'Enter Invoices'!C:H,6,0),"")</f>
        <v/>
      </c>
      <c r="E109" s="66" t="str">
        <f>IFERROR(VLOOKUP(open[[#This Row],[Invoice'#]],'Enter Invoices'!C:H,5,0),"")</f>
        <v/>
      </c>
      <c r="F109" s="54" t="str">
        <f>IFERROR(IF(open[[#This Row],[Amount Due]]="","",open[[#This Row],[Amount Due]]-SUMIF('Record Customer Payments'!B:B,open[[#This Row],[Invoice'#]],'Record Customer Payments'!F:F)),"")</f>
        <v/>
      </c>
      <c r="H109" s="55"/>
      <c r="I109" s="56"/>
      <c r="J109" s="57"/>
      <c r="K109" s="58"/>
      <c r="L109" s="59"/>
      <c r="M109" s="59"/>
      <c r="N109" s="59"/>
    </row>
    <row r="110" spans="2:14" s="53" customFormat="1" ht="16.149999999999999" customHeight="1" x14ac:dyDescent="0.25">
      <c r="B110" s="56" t="str">
        <f>IF(Invoices[[#This Row],[Invoice '#]]="","",Invoices[[#This Row],[Invoice '#]])</f>
        <v/>
      </c>
      <c r="C110" s="53" t="str">
        <f>IFERROR(VLOOKUP(open[[#This Row],[Invoice'#]],'Enter Invoices'!C:H,2,0),"")</f>
        <v/>
      </c>
      <c r="D110" s="52" t="str">
        <f>IFERROR(VLOOKUP(open[[#This Row],[Invoice'#]],'Enter Invoices'!C:H,6,0),"")</f>
        <v/>
      </c>
      <c r="E110" s="66" t="str">
        <f>IFERROR(VLOOKUP(open[[#This Row],[Invoice'#]],'Enter Invoices'!C:H,5,0),"")</f>
        <v/>
      </c>
      <c r="F110" s="54" t="str">
        <f>IFERROR(IF(open[[#This Row],[Amount Due]]="","",open[[#This Row],[Amount Due]]-SUMIF('Record Customer Payments'!B:B,open[[#This Row],[Invoice'#]],'Record Customer Payments'!F:F)),"")</f>
        <v/>
      </c>
      <c r="H110" s="55"/>
      <c r="I110" s="56"/>
      <c r="J110" s="57"/>
      <c r="K110" s="58"/>
      <c r="L110" s="59"/>
      <c r="M110" s="59"/>
      <c r="N110" s="59"/>
    </row>
    <row r="111" spans="2:14" s="53" customFormat="1" ht="16.149999999999999" customHeight="1" x14ac:dyDescent="0.25">
      <c r="B111" s="56" t="str">
        <f>IF(Invoices[[#This Row],[Invoice '#]]="","",Invoices[[#This Row],[Invoice '#]])</f>
        <v/>
      </c>
      <c r="C111" s="53" t="str">
        <f>IFERROR(VLOOKUP(open[[#This Row],[Invoice'#]],'Enter Invoices'!C:H,2,0),"")</f>
        <v/>
      </c>
      <c r="D111" s="52" t="str">
        <f>IFERROR(VLOOKUP(open[[#This Row],[Invoice'#]],'Enter Invoices'!C:H,6,0),"")</f>
        <v/>
      </c>
      <c r="E111" s="66" t="str">
        <f>IFERROR(VLOOKUP(open[[#This Row],[Invoice'#]],'Enter Invoices'!C:H,5,0),"")</f>
        <v/>
      </c>
      <c r="F111" s="54" t="str">
        <f>IFERROR(IF(open[[#This Row],[Amount Due]]="","",open[[#This Row],[Amount Due]]-SUMIF('Record Customer Payments'!B:B,open[[#This Row],[Invoice'#]],'Record Customer Payments'!F:F)),"")</f>
        <v/>
      </c>
      <c r="H111" s="55"/>
      <c r="I111" s="56"/>
      <c r="J111" s="57"/>
      <c r="K111" s="58"/>
      <c r="L111" s="59"/>
      <c r="M111" s="59"/>
      <c r="N111" s="59"/>
    </row>
    <row r="112" spans="2:14" s="53" customFormat="1" ht="16.149999999999999" customHeight="1" x14ac:dyDescent="0.25">
      <c r="B112" s="56" t="str">
        <f>IF(Invoices[[#This Row],[Invoice '#]]="","",Invoices[[#This Row],[Invoice '#]])</f>
        <v/>
      </c>
      <c r="C112" s="53" t="str">
        <f>IFERROR(VLOOKUP(open[[#This Row],[Invoice'#]],'Enter Invoices'!C:H,2,0),"")</f>
        <v/>
      </c>
      <c r="D112" s="52" t="str">
        <f>IFERROR(VLOOKUP(open[[#This Row],[Invoice'#]],'Enter Invoices'!C:H,6,0),"")</f>
        <v/>
      </c>
      <c r="E112" s="66" t="str">
        <f>IFERROR(VLOOKUP(open[[#This Row],[Invoice'#]],'Enter Invoices'!C:H,5,0),"")</f>
        <v/>
      </c>
      <c r="F112" s="54" t="str">
        <f>IFERROR(IF(open[[#This Row],[Amount Due]]="","",open[[#This Row],[Amount Due]]-SUMIF('Record Customer Payments'!B:B,open[[#This Row],[Invoice'#]],'Record Customer Payments'!F:F)),"")</f>
        <v/>
      </c>
      <c r="H112" s="55"/>
      <c r="I112" s="56"/>
      <c r="J112" s="57"/>
      <c r="K112" s="58"/>
      <c r="L112" s="59"/>
      <c r="M112" s="59"/>
      <c r="N112" s="59"/>
    </row>
    <row r="113" spans="2:14" s="53" customFormat="1" ht="16.149999999999999" customHeight="1" x14ac:dyDescent="0.25">
      <c r="B113" s="56" t="str">
        <f>IF(Invoices[[#This Row],[Invoice '#]]="","",Invoices[[#This Row],[Invoice '#]])</f>
        <v/>
      </c>
      <c r="C113" s="53" t="str">
        <f>IFERROR(VLOOKUP(open[[#This Row],[Invoice'#]],'Enter Invoices'!C:H,2,0),"")</f>
        <v/>
      </c>
      <c r="D113" s="52" t="str">
        <f>IFERROR(VLOOKUP(open[[#This Row],[Invoice'#]],'Enter Invoices'!C:H,6,0),"")</f>
        <v/>
      </c>
      <c r="E113" s="66" t="str">
        <f>IFERROR(VLOOKUP(open[[#This Row],[Invoice'#]],'Enter Invoices'!C:H,5,0),"")</f>
        <v/>
      </c>
      <c r="F113" s="54" t="str">
        <f>IFERROR(IF(open[[#This Row],[Amount Due]]="","",open[[#This Row],[Amount Due]]-SUMIF('Record Customer Payments'!B:B,open[[#This Row],[Invoice'#]],'Record Customer Payments'!F:F)),"")</f>
        <v/>
      </c>
      <c r="H113" s="55"/>
      <c r="I113" s="56"/>
      <c r="J113" s="57"/>
      <c r="K113" s="58"/>
      <c r="L113" s="59"/>
      <c r="M113" s="59"/>
      <c r="N113" s="59"/>
    </row>
    <row r="114" spans="2:14" s="53" customFormat="1" ht="16.149999999999999" customHeight="1" x14ac:dyDescent="0.25">
      <c r="B114" s="56" t="str">
        <f>IF(Invoices[[#This Row],[Invoice '#]]="","",Invoices[[#This Row],[Invoice '#]])</f>
        <v/>
      </c>
      <c r="C114" s="53" t="str">
        <f>IFERROR(VLOOKUP(open[[#This Row],[Invoice'#]],'Enter Invoices'!C:H,2,0),"")</f>
        <v/>
      </c>
      <c r="D114" s="52" t="str">
        <f>IFERROR(VLOOKUP(open[[#This Row],[Invoice'#]],'Enter Invoices'!C:H,6,0),"")</f>
        <v/>
      </c>
      <c r="E114" s="66" t="str">
        <f>IFERROR(VLOOKUP(open[[#This Row],[Invoice'#]],'Enter Invoices'!C:H,5,0),"")</f>
        <v/>
      </c>
      <c r="F114" s="54" t="str">
        <f>IFERROR(IF(open[[#This Row],[Amount Due]]="","",open[[#This Row],[Amount Due]]-SUMIF('Record Customer Payments'!B:B,open[[#This Row],[Invoice'#]],'Record Customer Payments'!F:F)),"")</f>
        <v/>
      </c>
      <c r="H114" s="55"/>
      <c r="I114" s="56"/>
      <c r="J114" s="57"/>
      <c r="K114" s="58"/>
      <c r="L114" s="59"/>
      <c r="M114" s="59"/>
      <c r="N114" s="59"/>
    </row>
    <row r="115" spans="2:14" s="53" customFormat="1" ht="16.149999999999999" customHeight="1" x14ac:dyDescent="0.25">
      <c r="B115" s="56" t="str">
        <f>IF(Invoices[[#This Row],[Invoice '#]]="","",Invoices[[#This Row],[Invoice '#]])</f>
        <v/>
      </c>
      <c r="C115" s="53" t="str">
        <f>IFERROR(VLOOKUP(open[[#This Row],[Invoice'#]],'Enter Invoices'!C:H,2,0),"")</f>
        <v/>
      </c>
      <c r="D115" s="52" t="str">
        <f>IFERROR(VLOOKUP(open[[#This Row],[Invoice'#]],'Enter Invoices'!C:H,6,0),"")</f>
        <v/>
      </c>
      <c r="E115" s="66" t="str">
        <f>IFERROR(VLOOKUP(open[[#This Row],[Invoice'#]],'Enter Invoices'!C:H,5,0),"")</f>
        <v/>
      </c>
      <c r="F115" s="54" t="str">
        <f>IFERROR(IF(open[[#This Row],[Amount Due]]="","",open[[#This Row],[Amount Due]]-SUMIF('Record Customer Payments'!B:B,open[[#This Row],[Invoice'#]],'Record Customer Payments'!F:F)),"")</f>
        <v/>
      </c>
      <c r="H115" s="55"/>
      <c r="I115" s="56"/>
      <c r="J115" s="57"/>
      <c r="K115" s="58"/>
      <c r="L115" s="59"/>
      <c r="M115" s="59"/>
      <c r="N115" s="59"/>
    </row>
    <row r="116" spans="2:14" s="53" customFormat="1" ht="16.149999999999999" customHeight="1" x14ac:dyDescent="0.25">
      <c r="B116" s="56" t="str">
        <f>IF(Invoices[[#This Row],[Invoice '#]]="","",Invoices[[#This Row],[Invoice '#]])</f>
        <v/>
      </c>
      <c r="C116" s="53" t="str">
        <f>IFERROR(VLOOKUP(open[[#This Row],[Invoice'#]],'Enter Invoices'!C:H,2,0),"")</f>
        <v/>
      </c>
      <c r="D116" s="52" t="str">
        <f>IFERROR(VLOOKUP(open[[#This Row],[Invoice'#]],'Enter Invoices'!C:H,6,0),"")</f>
        <v/>
      </c>
      <c r="E116" s="66" t="str">
        <f>IFERROR(VLOOKUP(open[[#This Row],[Invoice'#]],'Enter Invoices'!C:H,5,0),"")</f>
        <v/>
      </c>
      <c r="F116" s="54" t="str">
        <f>IFERROR(IF(open[[#This Row],[Amount Due]]="","",open[[#This Row],[Amount Due]]-SUMIF('Record Customer Payments'!B:B,open[[#This Row],[Invoice'#]],'Record Customer Payments'!F:F)),"")</f>
        <v/>
      </c>
      <c r="H116" s="55"/>
      <c r="I116" s="56"/>
      <c r="J116" s="57"/>
      <c r="K116" s="58"/>
      <c r="L116" s="59"/>
      <c r="M116" s="59"/>
      <c r="N116" s="59"/>
    </row>
    <row r="117" spans="2:14" s="53" customFormat="1" ht="16.149999999999999" customHeight="1" x14ac:dyDescent="0.25">
      <c r="B117" s="56" t="str">
        <f>IF(Invoices[[#This Row],[Invoice '#]]="","",Invoices[[#This Row],[Invoice '#]])</f>
        <v/>
      </c>
      <c r="C117" s="53" t="str">
        <f>IFERROR(VLOOKUP(open[[#This Row],[Invoice'#]],'Enter Invoices'!C:H,2,0),"")</f>
        <v/>
      </c>
      <c r="D117" s="52" t="str">
        <f>IFERROR(VLOOKUP(open[[#This Row],[Invoice'#]],'Enter Invoices'!C:H,6,0),"")</f>
        <v/>
      </c>
      <c r="E117" s="66" t="str">
        <f>IFERROR(VLOOKUP(open[[#This Row],[Invoice'#]],'Enter Invoices'!C:H,5,0),"")</f>
        <v/>
      </c>
      <c r="F117" s="54" t="str">
        <f>IFERROR(IF(open[[#This Row],[Amount Due]]="","",open[[#This Row],[Amount Due]]-SUMIF('Record Customer Payments'!B:B,open[[#This Row],[Invoice'#]],'Record Customer Payments'!F:F)),"")</f>
        <v/>
      </c>
      <c r="H117" s="55"/>
      <c r="I117" s="56"/>
      <c r="J117" s="57"/>
      <c r="K117" s="58"/>
      <c r="L117" s="59"/>
      <c r="M117" s="59"/>
      <c r="N117" s="59"/>
    </row>
    <row r="118" spans="2:14" s="53" customFormat="1" ht="16.149999999999999" customHeight="1" x14ac:dyDescent="0.25">
      <c r="B118" s="56" t="str">
        <f>IF(Invoices[[#This Row],[Invoice '#]]="","",Invoices[[#This Row],[Invoice '#]])</f>
        <v/>
      </c>
      <c r="C118" s="53" t="str">
        <f>IFERROR(VLOOKUP(open[[#This Row],[Invoice'#]],'Enter Invoices'!C:H,2,0),"")</f>
        <v/>
      </c>
      <c r="D118" s="52" t="str">
        <f>IFERROR(VLOOKUP(open[[#This Row],[Invoice'#]],'Enter Invoices'!C:H,6,0),"")</f>
        <v/>
      </c>
      <c r="E118" s="66" t="str">
        <f>IFERROR(VLOOKUP(open[[#This Row],[Invoice'#]],'Enter Invoices'!C:H,5,0),"")</f>
        <v/>
      </c>
      <c r="F118" s="54" t="str">
        <f>IFERROR(IF(open[[#This Row],[Amount Due]]="","",open[[#This Row],[Amount Due]]-SUMIF('Record Customer Payments'!B:B,open[[#This Row],[Invoice'#]],'Record Customer Payments'!F:F)),"")</f>
        <v/>
      </c>
      <c r="H118" s="55"/>
      <c r="I118" s="56"/>
      <c r="J118" s="57"/>
      <c r="K118" s="58"/>
      <c r="L118" s="59"/>
      <c r="M118" s="59"/>
      <c r="N118" s="59"/>
    </row>
    <row r="119" spans="2:14" s="53" customFormat="1" ht="16.149999999999999" customHeight="1" x14ac:dyDescent="0.25">
      <c r="B119" s="56" t="str">
        <f>IF(Invoices[[#This Row],[Invoice '#]]="","",Invoices[[#This Row],[Invoice '#]])</f>
        <v/>
      </c>
      <c r="C119" s="53" t="str">
        <f>IFERROR(VLOOKUP(open[[#This Row],[Invoice'#]],'Enter Invoices'!C:H,2,0),"")</f>
        <v/>
      </c>
      <c r="D119" s="52" t="str">
        <f>IFERROR(VLOOKUP(open[[#This Row],[Invoice'#]],'Enter Invoices'!C:H,6,0),"")</f>
        <v/>
      </c>
      <c r="E119" s="66" t="str">
        <f>IFERROR(VLOOKUP(open[[#This Row],[Invoice'#]],'Enter Invoices'!C:H,5,0),"")</f>
        <v/>
      </c>
      <c r="F119" s="54" t="str">
        <f>IFERROR(IF(open[[#This Row],[Amount Due]]="","",open[[#This Row],[Amount Due]]-SUMIF('Record Customer Payments'!B:B,open[[#This Row],[Invoice'#]],'Record Customer Payments'!F:F)),"")</f>
        <v/>
      </c>
      <c r="H119" s="55"/>
      <c r="I119" s="56"/>
      <c r="J119" s="57"/>
      <c r="K119" s="58"/>
      <c r="L119" s="59"/>
      <c r="M119" s="59"/>
      <c r="N119" s="59"/>
    </row>
    <row r="120" spans="2:14" s="53" customFormat="1" ht="16.149999999999999" customHeight="1" x14ac:dyDescent="0.25">
      <c r="B120" s="56" t="str">
        <f>IF(Invoices[[#This Row],[Invoice '#]]="","",Invoices[[#This Row],[Invoice '#]])</f>
        <v/>
      </c>
      <c r="C120" s="53" t="str">
        <f>IFERROR(VLOOKUP(open[[#This Row],[Invoice'#]],'Enter Invoices'!C:H,2,0),"")</f>
        <v/>
      </c>
      <c r="D120" s="52" t="str">
        <f>IFERROR(VLOOKUP(open[[#This Row],[Invoice'#]],'Enter Invoices'!C:H,6,0),"")</f>
        <v/>
      </c>
      <c r="E120" s="66" t="str">
        <f>IFERROR(VLOOKUP(open[[#This Row],[Invoice'#]],'Enter Invoices'!C:H,5,0),"")</f>
        <v/>
      </c>
      <c r="F120" s="54" t="str">
        <f>IFERROR(IF(open[[#This Row],[Amount Due]]="","",open[[#This Row],[Amount Due]]-SUMIF('Record Customer Payments'!B:B,open[[#This Row],[Invoice'#]],'Record Customer Payments'!F:F)),"")</f>
        <v/>
      </c>
      <c r="H120" s="55"/>
      <c r="I120" s="56"/>
      <c r="J120" s="57"/>
      <c r="K120" s="58"/>
      <c r="L120" s="59"/>
      <c r="M120" s="59"/>
      <c r="N120" s="59"/>
    </row>
    <row r="121" spans="2:14" s="53" customFormat="1" ht="16.149999999999999" customHeight="1" x14ac:dyDescent="0.25">
      <c r="B121" s="56" t="str">
        <f>IF(Invoices[[#This Row],[Invoice '#]]="","",Invoices[[#This Row],[Invoice '#]])</f>
        <v/>
      </c>
      <c r="C121" s="53" t="str">
        <f>IFERROR(VLOOKUP(open[[#This Row],[Invoice'#]],'Enter Invoices'!C:H,2,0),"")</f>
        <v/>
      </c>
      <c r="D121" s="52" t="str">
        <f>IFERROR(VLOOKUP(open[[#This Row],[Invoice'#]],'Enter Invoices'!C:H,6,0),"")</f>
        <v/>
      </c>
      <c r="E121" s="66" t="str">
        <f>IFERROR(VLOOKUP(open[[#This Row],[Invoice'#]],'Enter Invoices'!C:H,5,0),"")</f>
        <v/>
      </c>
      <c r="F121" s="54" t="str">
        <f>IFERROR(IF(open[[#This Row],[Amount Due]]="","",open[[#This Row],[Amount Due]]-SUMIF('Record Customer Payments'!B:B,open[[#This Row],[Invoice'#]],'Record Customer Payments'!F:F)),"")</f>
        <v/>
      </c>
      <c r="H121" s="55"/>
      <c r="I121" s="56"/>
      <c r="J121" s="57"/>
      <c r="K121" s="58"/>
      <c r="L121" s="59"/>
      <c r="M121" s="59"/>
      <c r="N121" s="59"/>
    </row>
    <row r="122" spans="2:14" s="53" customFormat="1" ht="16.149999999999999" customHeight="1" x14ac:dyDescent="0.25">
      <c r="B122" s="56" t="str">
        <f>IF(Invoices[[#This Row],[Invoice '#]]="","",Invoices[[#This Row],[Invoice '#]])</f>
        <v/>
      </c>
      <c r="C122" s="53" t="str">
        <f>IFERROR(VLOOKUP(open[[#This Row],[Invoice'#]],'Enter Invoices'!C:H,2,0),"")</f>
        <v/>
      </c>
      <c r="D122" s="52" t="str">
        <f>IFERROR(VLOOKUP(open[[#This Row],[Invoice'#]],'Enter Invoices'!C:H,6,0),"")</f>
        <v/>
      </c>
      <c r="E122" s="66" t="str">
        <f>IFERROR(VLOOKUP(open[[#This Row],[Invoice'#]],'Enter Invoices'!C:H,5,0),"")</f>
        <v/>
      </c>
      <c r="F122" s="54" t="str">
        <f>IFERROR(IF(open[[#This Row],[Amount Due]]="","",open[[#This Row],[Amount Due]]-SUMIF('Record Customer Payments'!B:B,open[[#This Row],[Invoice'#]],'Record Customer Payments'!F:F)),"")</f>
        <v/>
      </c>
      <c r="H122" s="55"/>
      <c r="I122" s="56"/>
      <c r="J122" s="57"/>
      <c r="K122" s="58"/>
      <c r="L122" s="59"/>
      <c r="M122" s="59"/>
      <c r="N122" s="59"/>
    </row>
    <row r="123" spans="2:14" s="53" customFormat="1" ht="16.149999999999999" customHeight="1" x14ac:dyDescent="0.25">
      <c r="B123" s="56" t="str">
        <f>IF(Invoices[[#This Row],[Invoice '#]]="","",Invoices[[#This Row],[Invoice '#]])</f>
        <v/>
      </c>
      <c r="C123" s="53" t="str">
        <f>IFERROR(VLOOKUP(open[[#This Row],[Invoice'#]],'Enter Invoices'!C:H,2,0),"")</f>
        <v/>
      </c>
      <c r="D123" s="52" t="str">
        <f>IFERROR(VLOOKUP(open[[#This Row],[Invoice'#]],'Enter Invoices'!C:H,6,0),"")</f>
        <v/>
      </c>
      <c r="E123" s="66" t="str">
        <f>IFERROR(VLOOKUP(open[[#This Row],[Invoice'#]],'Enter Invoices'!C:H,5,0),"")</f>
        <v/>
      </c>
      <c r="F123" s="54" t="str">
        <f>IFERROR(IF(open[[#This Row],[Amount Due]]="","",open[[#This Row],[Amount Due]]-SUMIF('Record Customer Payments'!B:B,open[[#This Row],[Invoice'#]],'Record Customer Payments'!F:F)),"")</f>
        <v/>
      </c>
      <c r="H123" s="55"/>
      <c r="I123" s="56"/>
      <c r="J123" s="57"/>
      <c r="K123" s="58"/>
      <c r="L123" s="59"/>
      <c r="M123" s="59"/>
      <c r="N123" s="59"/>
    </row>
    <row r="124" spans="2:14" s="53" customFormat="1" ht="16.149999999999999" customHeight="1" x14ac:dyDescent="0.25">
      <c r="B124" s="56" t="str">
        <f>IF(Invoices[[#This Row],[Invoice '#]]="","",Invoices[[#This Row],[Invoice '#]])</f>
        <v/>
      </c>
      <c r="C124" s="53" t="str">
        <f>IFERROR(VLOOKUP(open[[#This Row],[Invoice'#]],'Enter Invoices'!C:H,2,0),"")</f>
        <v/>
      </c>
      <c r="D124" s="52" t="str">
        <f>IFERROR(VLOOKUP(open[[#This Row],[Invoice'#]],'Enter Invoices'!C:H,6,0),"")</f>
        <v/>
      </c>
      <c r="E124" s="66" t="str">
        <f>IFERROR(VLOOKUP(open[[#This Row],[Invoice'#]],'Enter Invoices'!C:H,5,0),"")</f>
        <v/>
      </c>
      <c r="F124" s="54" t="str">
        <f>IFERROR(IF(open[[#This Row],[Amount Due]]="","",open[[#This Row],[Amount Due]]-SUMIF('Record Customer Payments'!B:B,open[[#This Row],[Invoice'#]],'Record Customer Payments'!F:F)),"")</f>
        <v/>
      </c>
      <c r="H124" s="55"/>
      <c r="I124" s="56"/>
      <c r="J124" s="57"/>
      <c r="K124" s="58"/>
      <c r="L124" s="59"/>
      <c r="M124" s="59"/>
      <c r="N124" s="59"/>
    </row>
    <row r="125" spans="2:14" s="53" customFormat="1" ht="16.149999999999999" customHeight="1" x14ac:dyDescent="0.25">
      <c r="B125" s="56" t="str">
        <f>IF(Invoices[[#This Row],[Invoice '#]]="","",Invoices[[#This Row],[Invoice '#]])</f>
        <v/>
      </c>
      <c r="C125" s="53" t="str">
        <f>IFERROR(VLOOKUP(open[[#This Row],[Invoice'#]],'Enter Invoices'!C:H,2,0),"")</f>
        <v/>
      </c>
      <c r="D125" s="52" t="str">
        <f>IFERROR(VLOOKUP(open[[#This Row],[Invoice'#]],'Enter Invoices'!C:H,6,0),"")</f>
        <v/>
      </c>
      <c r="E125" s="66" t="str">
        <f>IFERROR(VLOOKUP(open[[#This Row],[Invoice'#]],'Enter Invoices'!C:H,5,0),"")</f>
        <v/>
      </c>
      <c r="F125" s="54" t="str">
        <f>IFERROR(IF(open[[#This Row],[Amount Due]]="","",open[[#This Row],[Amount Due]]-SUMIF('Record Customer Payments'!B:B,open[[#This Row],[Invoice'#]],'Record Customer Payments'!F:F)),"")</f>
        <v/>
      </c>
      <c r="H125" s="55"/>
      <c r="I125" s="56"/>
      <c r="J125" s="57"/>
      <c r="K125" s="58"/>
      <c r="L125" s="59"/>
      <c r="M125" s="59"/>
      <c r="N125" s="59"/>
    </row>
    <row r="126" spans="2:14" s="53" customFormat="1" ht="16.149999999999999" customHeight="1" x14ac:dyDescent="0.25">
      <c r="B126" s="56" t="str">
        <f>IF(Invoices[[#This Row],[Invoice '#]]="","",Invoices[[#This Row],[Invoice '#]])</f>
        <v/>
      </c>
      <c r="C126" s="53" t="str">
        <f>IFERROR(VLOOKUP(open[[#This Row],[Invoice'#]],'Enter Invoices'!C:H,2,0),"")</f>
        <v/>
      </c>
      <c r="D126" s="52" t="str">
        <f>IFERROR(VLOOKUP(open[[#This Row],[Invoice'#]],'Enter Invoices'!C:H,6,0),"")</f>
        <v/>
      </c>
      <c r="E126" s="66" t="str">
        <f>IFERROR(VLOOKUP(open[[#This Row],[Invoice'#]],'Enter Invoices'!C:H,5,0),"")</f>
        <v/>
      </c>
      <c r="F126" s="54" t="str">
        <f>IFERROR(IF(open[[#This Row],[Amount Due]]="","",open[[#This Row],[Amount Due]]-SUMIF('Record Customer Payments'!B:B,open[[#This Row],[Invoice'#]],'Record Customer Payments'!F:F)),"")</f>
        <v/>
      </c>
      <c r="H126" s="55"/>
      <c r="I126" s="56"/>
      <c r="J126" s="57"/>
      <c r="K126" s="58"/>
      <c r="L126" s="59"/>
      <c r="M126" s="59"/>
      <c r="N126" s="59"/>
    </row>
    <row r="127" spans="2:14" s="53" customFormat="1" ht="16.149999999999999" customHeight="1" x14ac:dyDescent="0.25">
      <c r="B127" s="56" t="str">
        <f>IF(Invoices[[#This Row],[Invoice '#]]="","",Invoices[[#This Row],[Invoice '#]])</f>
        <v/>
      </c>
      <c r="C127" s="53" t="str">
        <f>IFERROR(VLOOKUP(open[[#This Row],[Invoice'#]],'Enter Invoices'!C:H,2,0),"")</f>
        <v/>
      </c>
      <c r="D127" s="52" t="str">
        <f>IFERROR(VLOOKUP(open[[#This Row],[Invoice'#]],'Enter Invoices'!C:H,6,0),"")</f>
        <v/>
      </c>
      <c r="E127" s="66" t="str">
        <f>IFERROR(VLOOKUP(open[[#This Row],[Invoice'#]],'Enter Invoices'!C:H,5,0),"")</f>
        <v/>
      </c>
      <c r="F127" s="54" t="str">
        <f>IFERROR(IF(open[[#This Row],[Amount Due]]="","",open[[#This Row],[Amount Due]]-SUMIF('Record Customer Payments'!B:B,open[[#This Row],[Invoice'#]],'Record Customer Payments'!F:F)),"")</f>
        <v/>
      </c>
      <c r="H127" s="55"/>
      <c r="I127" s="56"/>
      <c r="J127" s="57"/>
      <c r="K127" s="58"/>
      <c r="L127" s="59"/>
      <c r="M127" s="59"/>
      <c r="N127" s="59"/>
    </row>
    <row r="128" spans="2:14" s="53" customFormat="1" ht="16.149999999999999" customHeight="1" x14ac:dyDescent="0.25">
      <c r="B128" s="56" t="str">
        <f>IF(Invoices[[#This Row],[Invoice '#]]="","",Invoices[[#This Row],[Invoice '#]])</f>
        <v/>
      </c>
      <c r="C128" s="53" t="str">
        <f>IFERROR(VLOOKUP(open[[#This Row],[Invoice'#]],'Enter Invoices'!C:H,2,0),"")</f>
        <v/>
      </c>
      <c r="D128" s="52" t="str">
        <f>IFERROR(VLOOKUP(open[[#This Row],[Invoice'#]],'Enter Invoices'!C:H,6,0),"")</f>
        <v/>
      </c>
      <c r="E128" s="66" t="str">
        <f>IFERROR(VLOOKUP(open[[#This Row],[Invoice'#]],'Enter Invoices'!C:H,5,0),"")</f>
        <v/>
      </c>
      <c r="F128" s="54" t="str">
        <f>IFERROR(IF(open[[#This Row],[Amount Due]]="","",open[[#This Row],[Amount Due]]-SUMIF('Record Customer Payments'!B:B,open[[#This Row],[Invoice'#]],'Record Customer Payments'!F:F)),"")</f>
        <v/>
      </c>
      <c r="H128" s="55"/>
      <c r="I128" s="56"/>
      <c r="J128" s="57"/>
      <c r="K128" s="58"/>
      <c r="L128" s="59"/>
      <c r="M128" s="59"/>
      <c r="N128" s="59"/>
    </row>
    <row r="129" spans="2:14" s="53" customFormat="1" ht="16.149999999999999" customHeight="1" x14ac:dyDescent="0.25">
      <c r="B129" s="56" t="str">
        <f>IF(Invoices[[#This Row],[Invoice '#]]="","",Invoices[[#This Row],[Invoice '#]])</f>
        <v/>
      </c>
      <c r="C129" s="53" t="str">
        <f>IFERROR(VLOOKUP(open[[#This Row],[Invoice'#]],'Enter Invoices'!C:H,2,0),"")</f>
        <v/>
      </c>
      <c r="D129" s="52" t="str">
        <f>IFERROR(VLOOKUP(open[[#This Row],[Invoice'#]],'Enter Invoices'!C:H,6,0),"")</f>
        <v/>
      </c>
      <c r="E129" s="66" t="str">
        <f>IFERROR(VLOOKUP(open[[#This Row],[Invoice'#]],'Enter Invoices'!C:H,5,0),"")</f>
        <v/>
      </c>
      <c r="F129" s="54" t="str">
        <f>IFERROR(IF(open[[#This Row],[Amount Due]]="","",open[[#This Row],[Amount Due]]-SUMIF('Record Customer Payments'!B:B,open[[#This Row],[Invoice'#]],'Record Customer Payments'!F:F)),"")</f>
        <v/>
      </c>
      <c r="H129" s="55"/>
      <c r="I129" s="56"/>
      <c r="J129" s="57"/>
      <c r="K129" s="58"/>
      <c r="L129" s="59"/>
      <c r="M129" s="59"/>
      <c r="N129" s="59"/>
    </row>
    <row r="130" spans="2:14" s="53" customFormat="1" ht="16.149999999999999" customHeight="1" x14ac:dyDescent="0.25">
      <c r="B130" s="56" t="str">
        <f>IF(Invoices[[#This Row],[Invoice '#]]="","",Invoices[[#This Row],[Invoice '#]])</f>
        <v/>
      </c>
      <c r="C130" s="53" t="str">
        <f>IFERROR(VLOOKUP(open[[#This Row],[Invoice'#]],'Enter Invoices'!C:H,2,0),"")</f>
        <v/>
      </c>
      <c r="D130" s="52" t="str">
        <f>IFERROR(VLOOKUP(open[[#This Row],[Invoice'#]],'Enter Invoices'!C:H,6,0),"")</f>
        <v/>
      </c>
      <c r="E130" s="66" t="str">
        <f>IFERROR(VLOOKUP(open[[#This Row],[Invoice'#]],'Enter Invoices'!C:H,5,0),"")</f>
        <v/>
      </c>
      <c r="F130" s="54" t="str">
        <f>IFERROR(IF(open[[#This Row],[Amount Due]]="","",open[[#This Row],[Amount Due]]-SUMIF('Record Customer Payments'!B:B,open[[#This Row],[Invoice'#]],'Record Customer Payments'!F:F)),"")</f>
        <v/>
      </c>
      <c r="H130" s="55"/>
      <c r="I130" s="56"/>
      <c r="J130" s="57"/>
      <c r="K130" s="58"/>
      <c r="L130" s="59"/>
      <c r="M130" s="59"/>
      <c r="N130" s="59"/>
    </row>
    <row r="131" spans="2:14" s="53" customFormat="1" ht="16.149999999999999" customHeight="1" x14ac:dyDescent="0.25">
      <c r="B131" s="56" t="str">
        <f>IF(Invoices[[#This Row],[Invoice '#]]="","",Invoices[[#This Row],[Invoice '#]])</f>
        <v/>
      </c>
      <c r="C131" s="53" t="str">
        <f>IFERROR(VLOOKUP(open[[#This Row],[Invoice'#]],'Enter Invoices'!C:H,2,0),"")</f>
        <v/>
      </c>
      <c r="D131" s="52" t="str">
        <f>IFERROR(VLOOKUP(open[[#This Row],[Invoice'#]],'Enter Invoices'!C:H,6,0),"")</f>
        <v/>
      </c>
      <c r="E131" s="66" t="str">
        <f>IFERROR(VLOOKUP(open[[#This Row],[Invoice'#]],'Enter Invoices'!C:H,5,0),"")</f>
        <v/>
      </c>
      <c r="F131" s="54" t="str">
        <f>IFERROR(IF(open[[#This Row],[Amount Due]]="","",open[[#This Row],[Amount Due]]-SUMIF('Record Customer Payments'!B:B,open[[#This Row],[Invoice'#]],'Record Customer Payments'!F:F)),"")</f>
        <v/>
      </c>
      <c r="H131" s="55"/>
      <c r="I131" s="56"/>
      <c r="J131" s="57"/>
      <c r="K131" s="58"/>
      <c r="L131" s="59"/>
      <c r="M131" s="59"/>
      <c r="N131" s="59"/>
    </row>
    <row r="132" spans="2:14" s="53" customFormat="1" ht="16.149999999999999" customHeight="1" x14ac:dyDescent="0.25">
      <c r="B132" s="56" t="str">
        <f>IF(Invoices[[#This Row],[Invoice '#]]="","",Invoices[[#This Row],[Invoice '#]])</f>
        <v/>
      </c>
      <c r="C132" s="53" t="str">
        <f>IFERROR(VLOOKUP(open[[#This Row],[Invoice'#]],'Enter Invoices'!C:H,2,0),"")</f>
        <v/>
      </c>
      <c r="D132" s="52" t="str">
        <f>IFERROR(VLOOKUP(open[[#This Row],[Invoice'#]],'Enter Invoices'!C:H,6,0),"")</f>
        <v/>
      </c>
      <c r="E132" s="66" t="str">
        <f>IFERROR(VLOOKUP(open[[#This Row],[Invoice'#]],'Enter Invoices'!C:H,5,0),"")</f>
        <v/>
      </c>
      <c r="F132" s="54" t="str">
        <f>IFERROR(IF(open[[#This Row],[Amount Due]]="","",open[[#This Row],[Amount Due]]-SUMIF('Record Customer Payments'!B:B,open[[#This Row],[Invoice'#]],'Record Customer Payments'!F:F)),"")</f>
        <v/>
      </c>
      <c r="H132" s="55"/>
      <c r="I132" s="56"/>
      <c r="J132" s="57"/>
      <c r="K132" s="58"/>
      <c r="L132" s="59"/>
      <c r="M132" s="59"/>
      <c r="N132" s="59"/>
    </row>
    <row r="133" spans="2:14" s="53" customFormat="1" ht="16.149999999999999" customHeight="1" x14ac:dyDescent="0.25">
      <c r="B133" s="56" t="str">
        <f>IF(Invoices[[#This Row],[Invoice '#]]="","",Invoices[[#This Row],[Invoice '#]])</f>
        <v/>
      </c>
      <c r="C133" s="53" t="str">
        <f>IFERROR(VLOOKUP(open[[#This Row],[Invoice'#]],'Enter Invoices'!C:H,2,0),"")</f>
        <v/>
      </c>
      <c r="D133" s="52" t="str">
        <f>IFERROR(VLOOKUP(open[[#This Row],[Invoice'#]],'Enter Invoices'!C:H,6,0),"")</f>
        <v/>
      </c>
      <c r="E133" s="66" t="str">
        <f>IFERROR(VLOOKUP(open[[#This Row],[Invoice'#]],'Enter Invoices'!C:H,5,0),"")</f>
        <v/>
      </c>
      <c r="F133" s="54" t="str">
        <f>IFERROR(IF(open[[#This Row],[Amount Due]]="","",open[[#This Row],[Amount Due]]-SUMIF('Record Customer Payments'!B:B,open[[#This Row],[Invoice'#]],'Record Customer Payments'!F:F)),"")</f>
        <v/>
      </c>
      <c r="H133" s="55"/>
      <c r="I133" s="56"/>
      <c r="J133" s="57"/>
      <c r="K133" s="58"/>
      <c r="L133" s="59"/>
      <c r="M133" s="59"/>
      <c r="N133" s="59"/>
    </row>
    <row r="134" spans="2:14" s="53" customFormat="1" ht="16.149999999999999" customHeight="1" x14ac:dyDescent="0.25">
      <c r="B134" s="56" t="str">
        <f>IF(Invoices[[#This Row],[Invoice '#]]="","",Invoices[[#This Row],[Invoice '#]])</f>
        <v/>
      </c>
      <c r="C134" s="53" t="str">
        <f>IFERROR(VLOOKUP(open[[#This Row],[Invoice'#]],'Enter Invoices'!C:H,2,0),"")</f>
        <v/>
      </c>
      <c r="D134" s="52" t="str">
        <f>IFERROR(VLOOKUP(open[[#This Row],[Invoice'#]],'Enter Invoices'!C:H,6,0),"")</f>
        <v/>
      </c>
      <c r="E134" s="66" t="str">
        <f>IFERROR(VLOOKUP(open[[#This Row],[Invoice'#]],'Enter Invoices'!C:H,5,0),"")</f>
        <v/>
      </c>
      <c r="F134" s="54" t="str">
        <f>IFERROR(IF(open[[#This Row],[Amount Due]]="","",open[[#This Row],[Amount Due]]-SUMIF('Record Customer Payments'!B:B,open[[#This Row],[Invoice'#]],'Record Customer Payments'!F:F)),"")</f>
        <v/>
      </c>
      <c r="H134" s="55"/>
      <c r="I134" s="56"/>
      <c r="J134" s="57"/>
      <c r="K134" s="58"/>
      <c r="L134" s="59"/>
      <c r="M134" s="59"/>
      <c r="N134" s="59"/>
    </row>
    <row r="135" spans="2:14" s="53" customFormat="1" ht="16.149999999999999" customHeight="1" x14ac:dyDescent="0.25">
      <c r="B135" s="56" t="str">
        <f>IF(Invoices[[#This Row],[Invoice '#]]="","",Invoices[[#This Row],[Invoice '#]])</f>
        <v/>
      </c>
      <c r="C135" s="53" t="str">
        <f>IFERROR(VLOOKUP(open[[#This Row],[Invoice'#]],'Enter Invoices'!C:H,2,0),"")</f>
        <v/>
      </c>
      <c r="D135" s="52" t="str">
        <f>IFERROR(VLOOKUP(open[[#This Row],[Invoice'#]],'Enter Invoices'!C:H,6,0),"")</f>
        <v/>
      </c>
      <c r="E135" s="66" t="str">
        <f>IFERROR(VLOOKUP(open[[#This Row],[Invoice'#]],'Enter Invoices'!C:H,5,0),"")</f>
        <v/>
      </c>
      <c r="F135" s="54" t="str">
        <f>IFERROR(IF(open[[#This Row],[Amount Due]]="","",open[[#This Row],[Amount Due]]-SUMIF('Record Customer Payments'!B:B,open[[#This Row],[Invoice'#]],'Record Customer Payments'!F:F)),"")</f>
        <v/>
      </c>
      <c r="H135" s="55"/>
      <c r="I135" s="56"/>
      <c r="J135" s="57"/>
      <c r="K135" s="58"/>
      <c r="L135" s="59"/>
      <c r="M135" s="59"/>
      <c r="N135" s="59"/>
    </row>
    <row r="136" spans="2:14" s="53" customFormat="1" ht="16.149999999999999" customHeight="1" x14ac:dyDescent="0.25">
      <c r="B136" s="56" t="str">
        <f>IF(Invoices[[#This Row],[Invoice '#]]="","",Invoices[[#This Row],[Invoice '#]])</f>
        <v/>
      </c>
      <c r="C136" s="53" t="str">
        <f>IFERROR(VLOOKUP(open[[#This Row],[Invoice'#]],'Enter Invoices'!C:H,2,0),"")</f>
        <v/>
      </c>
      <c r="D136" s="52" t="str">
        <f>IFERROR(VLOOKUP(open[[#This Row],[Invoice'#]],'Enter Invoices'!C:H,6,0),"")</f>
        <v/>
      </c>
      <c r="E136" s="66" t="str">
        <f>IFERROR(VLOOKUP(open[[#This Row],[Invoice'#]],'Enter Invoices'!C:H,5,0),"")</f>
        <v/>
      </c>
      <c r="F136" s="54" t="str">
        <f>IFERROR(IF(open[[#This Row],[Amount Due]]="","",open[[#This Row],[Amount Due]]-SUMIF('Record Customer Payments'!B:B,open[[#This Row],[Invoice'#]],'Record Customer Payments'!F:F)),"")</f>
        <v/>
      </c>
      <c r="H136" s="55"/>
      <c r="I136" s="56"/>
      <c r="J136" s="57"/>
      <c r="K136" s="58"/>
      <c r="L136" s="59"/>
      <c r="M136" s="59"/>
      <c r="N136" s="59"/>
    </row>
    <row r="137" spans="2:14" s="53" customFormat="1" ht="16.149999999999999" customHeight="1" x14ac:dyDescent="0.25">
      <c r="B137" s="56" t="str">
        <f>IF(Invoices[[#This Row],[Invoice '#]]="","",Invoices[[#This Row],[Invoice '#]])</f>
        <v/>
      </c>
      <c r="C137" s="53" t="str">
        <f>IFERROR(VLOOKUP(open[[#This Row],[Invoice'#]],'Enter Invoices'!C:H,2,0),"")</f>
        <v/>
      </c>
      <c r="D137" s="52" t="str">
        <f>IFERROR(VLOOKUP(open[[#This Row],[Invoice'#]],'Enter Invoices'!C:H,6,0),"")</f>
        <v/>
      </c>
      <c r="E137" s="66" t="str">
        <f>IFERROR(VLOOKUP(open[[#This Row],[Invoice'#]],'Enter Invoices'!C:H,5,0),"")</f>
        <v/>
      </c>
      <c r="F137" s="54" t="str">
        <f>IFERROR(IF(open[[#This Row],[Amount Due]]="","",open[[#This Row],[Amount Due]]-SUMIF('Record Customer Payments'!B:B,open[[#This Row],[Invoice'#]],'Record Customer Payments'!F:F)),"")</f>
        <v/>
      </c>
      <c r="H137" s="55"/>
      <c r="I137" s="56"/>
      <c r="J137" s="57"/>
      <c r="K137" s="58"/>
      <c r="L137" s="59"/>
      <c r="M137" s="59"/>
      <c r="N137" s="59"/>
    </row>
    <row r="138" spans="2:14" s="53" customFormat="1" ht="16.149999999999999" customHeight="1" x14ac:dyDescent="0.25">
      <c r="B138" s="56" t="str">
        <f>IF(Invoices[[#This Row],[Invoice '#]]="","",Invoices[[#This Row],[Invoice '#]])</f>
        <v/>
      </c>
      <c r="C138" s="53" t="str">
        <f>IFERROR(VLOOKUP(open[[#This Row],[Invoice'#]],'Enter Invoices'!C:H,2,0),"")</f>
        <v/>
      </c>
      <c r="D138" s="52" t="str">
        <f>IFERROR(VLOOKUP(open[[#This Row],[Invoice'#]],'Enter Invoices'!C:H,6,0),"")</f>
        <v/>
      </c>
      <c r="E138" s="66" t="str">
        <f>IFERROR(VLOOKUP(open[[#This Row],[Invoice'#]],'Enter Invoices'!C:H,5,0),"")</f>
        <v/>
      </c>
      <c r="F138" s="54" t="str">
        <f>IFERROR(IF(open[[#This Row],[Amount Due]]="","",open[[#This Row],[Amount Due]]-SUMIF('Record Customer Payments'!B:B,open[[#This Row],[Invoice'#]],'Record Customer Payments'!F:F)),"")</f>
        <v/>
      </c>
      <c r="H138" s="55"/>
      <c r="I138" s="56"/>
      <c r="J138" s="57"/>
      <c r="K138" s="58"/>
      <c r="L138" s="59"/>
      <c r="M138" s="59"/>
      <c r="N138" s="59"/>
    </row>
    <row r="139" spans="2:14" s="53" customFormat="1" ht="16.149999999999999" customHeight="1" x14ac:dyDescent="0.25">
      <c r="B139" s="56" t="str">
        <f>IF(Invoices[[#This Row],[Invoice '#]]="","",Invoices[[#This Row],[Invoice '#]])</f>
        <v/>
      </c>
      <c r="C139" s="53" t="str">
        <f>IFERROR(VLOOKUP(open[[#This Row],[Invoice'#]],'Enter Invoices'!C:H,2,0),"")</f>
        <v/>
      </c>
      <c r="D139" s="52" t="str">
        <f>IFERROR(VLOOKUP(open[[#This Row],[Invoice'#]],'Enter Invoices'!C:H,6,0),"")</f>
        <v/>
      </c>
      <c r="E139" s="66" t="str">
        <f>IFERROR(VLOOKUP(open[[#This Row],[Invoice'#]],'Enter Invoices'!C:H,5,0),"")</f>
        <v/>
      </c>
      <c r="F139" s="54" t="str">
        <f>IFERROR(IF(open[[#This Row],[Amount Due]]="","",open[[#This Row],[Amount Due]]-SUMIF('Record Customer Payments'!B:B,open[[#This Row],[Invoice'#]],'Record Customer Payments'!F:F)),"")</f>
        <v/>
      </c>
      <c r="H139" s="55"/>
      <c r="I139" s="56"/>
      <c r="J139" s="57"/>
      <c r="K139" s="58"/>
      <c r="L139" s="59"/>
      <c r="M139" s="59"/>
      <c r="N139" s="59"/>
    </row>
    <row r="140" spans="2:14" s="53" customFormat="1" ht="16.149999999999999" customHeight="1" x14ac:dyDescent="0.25">
      <c r="B140" s="56" t="str">
        <f>IF(Invoices[[#This Row],[Invoice '#]]="","",Invoices[[#This Row],[Invoice '#]])</f>
        <v/>
      </c>
      <c r="C140" s="53" t="str">
        <f>IFERROR(VLOOKUP(open[[#This Row],[Invoice'#]],'Enter Invoices'!C:H,2,0),"")</f>
        <v/>
      </c>
      <c r="D140" s="52" t="str">
        <f>IFERROR(VLOOKUP(open[[#This Row],[Invoice'#]],'Enter Invoices'!C:H,6,0),"")</f>
        <v/>
      </c>
      <c r="E140" s="66" t="str">
        <f>IFERROR(VLOOKUP(open[[#This Row],[Invoice'#]],'Enter Invoices'!C:H,5,0),"")</f>
        <v/>
      </c>
      <c r="F140" s="54" t="str">
        <f>IFERROR(IF(open[[#This Row],[Amount Due]]="","",open[[#This Row],[Amount Due]]-SUMIF('Record Customer Payments'!B:B,open[[#This Row],[Invoice'#]],'Record Customer Payments'!F:F)),"")</f>
        <v/>
      </c>
      <c r="H140" s="55"/>
      <c r="I140" s="56"/>
      <c r="J140" s="57"/>
      <c r="K140" s="58"/>
      <c r="L140" s="59"/>
      <c r="M140" s="59"/>
      <c r="N140" s="59"/>
    </row>
    <row r="141" spans="2:14" s="53" customFormat="1" ht="16.149999999999999" customHeight="1" x14ac:dyDescent="0.25">
      <c r="B141" s="56" t="str">
        <f>IF(Invoices[[#This Row],[Invoice '#]]="","",Invoices[[#This Row],[Invoice '#]])</f>
        <v/>
      </c>
      <c r="C141" s="53" t="str">
        <f>IFERROR(VLOOKUP(open[[#This Row],[Invoice'#]],'Enter Invoices'!C:H,2,0),"")</f>
        <v/>
      </c>
      <c r="D141" s="52" t="str">
        <f>IFERROR(VLOOKUP(open[[#This Row],[Invoice'#]],'Enter Invoices'!C:H,6,0),"")</f>
        <v/>
      </c>
      <c r="E141" s="66" t="str">
        <f>IFERROR(VLOOKUP(open[[#This Row],[Invoice'#]],'Enter Invoices'!C:H,5,0),"")</f>
        <v/>
      </c>
      <c r="F141" s="54" t="str">
        <f>IFERROR(IF(open[[#This Row],[Amount Due]]="","",open[[#This Row],[Amount Due]]-SUMIF('Record Customer Payments'!B:B,open[[#This Row],[Invoice'#]],'Record Customer Payments'!F:F)),"")</f>
        <v/>
      </c>
      <c r="H141" s="55"/>
      <c r="I141" s="56"/>
      <c r="J141" s="57"/>
      <c r="K141" s="58"/>
      <c r="L141" s="59"/>
      <c r="M141" s="59"/>
      <c r="N141" s="59"/>
    </row>
    <row r="142" spans="2:14" s="53" customFormat="1" ht="16.149999999999999" customHeight="1" x14ac:dyDescent="0.25">
      <c r="B142" s="56" t="str">
        <f>IF(Invoices[[#This Row],[Invoice '#]]="","",Invoices[[#This Row],[Invoice '#]])</f>
        <v/>
      </c>
      <c r="C142" s="53" t="str">
        <f>IFERROR(VLOOKUP(open[[#This Row],[Invoice'#]],'Enter Invoices'!C:H,2,0),"")</f>
        <v/>
      </c>
      <c r="D142" s="52" t="str">
        <f>IFERROR(VLOOKUP(open[[#This Row],[Invoice'#]],'Enter Invoices'!C:H,6,0),"")</f>
        <v/>
      </c>
      <c r="E142" s="66" t="str">
        <f>IFERROR(VLOOKUP(open[[#This Row],[Invoice'#]],'Enter Invoices'!C:H,5,0),"")</f>
        <v/>
      </c>
      <c r="F142" s="54" t="str">
        <f>IFERROR(IF(open[[#This Row],[Amount Due]]="","",open[[#This Row],[Amount Due]]-SUMIF('Record Customer Payments'!B:B,open[[#This Row],[Invoice'#]],'Record Customer Payments'!F:F)),"")</f>
        <v/>
      </c>
      <c r="H142" s="55"/>
      <c r="I142" s="56"/>
      <c r="J142" s="57"/>
      <c r="K142" s="58"/>
      <c r="L142" s="59"/>
      <c r="M142" s="59"/>
      <c r="N142" s="59"/>
    </row>
    <row r="143" spans="2:14" s="53" customFormat="1" ht="16.149999999999999" customHeight="1" x14ac:dyDescent="0.25">
      <c r="B143" s="56" t="str">
        <f>IF(Invoices[[#This Row],[Invoice '#]]="","",Invoices[[#This Row],[Invoice '#]])</f>
        <v/>
      </c>
      <c r="C143" s="53" t="str">
        <f>IFERROR(VLOOKUP(open[[#This Row],[Invoice'#]],'Enter Invoices'!C:H,2,0),"")</f>
        <v/>
      </c>
      <c r="D143" s="52" t="str">
        <f>IFERROR(VLOOKUP(open[[#This Row],[Invoice'#]],'Enter Invoices'!C:H,6,0),"")</f>
        <v/>
      </c>
      <c r="E143" s="66" t="str">
        <f>IFERROR(VLOOKUP(open[[#This Row],[Invoice'#]],'Enter Invoices'!C:H,5,0),"")</f>
        <v/>
      </c>
      <c r="F143" s="54" t="str">
        <f>IFERROR(IF(open[[#This Row],[Amount Due]]="","",open[[#This Row],[Amount Due]]-SUMIF('Record Customer Payments'!B:B,open[[#This Row],[Invoice'#]],'Record Customer Payments'!F:F)),"")</f>
        <v/>
      </c>
      <c r="H143" s="55"/>
      <c r="I143" s="56"/>
      <c r="J143" s="57"/>
      <c r="K143" s="58"/>
      <c r="L143" s="59"/>
      <c r="M143" s="59"/>
      <c r="N143" s="59"/>
    </row>
    <row r="144" spans="2:14" s="53" customFormat="1" ht="16.149999999999999" customHeight="1" x14ac:dyDescent="0.25">
      <c r="B144" s="56" t="str">
        <f>IF(Invoices[[#This Row],[Invoice '#]]="","",Invoices[[#This Row],[Invoice '#]])</f>
        <v/>
      </c>
      <c r="C144" s="53" t="str">
        <f>IFERROR(VLOOKUP(open[[#This Row],[Invoice'#]],'Enter Invoices'!C:H,2,0),"")</f>
        <v/>
      </c>
      <c r="D144" s="52" t="str">
        <f>IFERROR(VLOOKUP(open[[#This Row],[Invoice'#]],'Enter Invoices'!C:H,6,0),"")</f>
        <v/>
      </c>
      <c r="E144" s="66" t="str">
        <f>IFERROR(VLOOKUP(open[[#This Row],[Invoice'#]],'Enter Invoices'!C:H,5,0),"")</f>
        <v/>
      </c>
      <c r="F144" s="54" t="str">
        <f>IFERROR(IF(open[[#This Row],[Amount Due]]="","",open[[#This Row],[Amount Due]]-SUMIF('Record Customer Payments'!B:B,open[[#This Row],[Invoice'#]],'Record Customer Payments'!F:F)),"")</f>
        <v/>
      </c>
      <c r="H144" s="55"/>
      <c r="I144" s="56"/>
      <c r="J144" s="57"/>
      <c r="K144" s="58"/>
      <c r="L144" s="59"/>
      <c r="M144" s="59"/>
      <c r="N144" s="59"/>
    </row>
    <row r="145" spans="2:14" s="53" customFormat="1" ht="16.149999999999999" customHeight="1" x14ac:dyDescent="0.25">
      <c r="B145" s="56" t="str">
        <f>IF(Invoices[[#This Row],[Invoice '#]]="","",Invoices[[#This Row],[Invoice '#]])</f>
        <v/>
      </c>
      <c r="C145" s="53" t="str">
        <f>IFERROR(VLOOKUP(open[[#This Row],[Invoice'#]],'Enter Invoices'!C:H,2,0),"")</f>
        <v/>
      </c>
      <c r="D145" s="52" t="str">
        <f>IFERROR(VLOOKUP(open[[#This Row],[Invoice'#]],'Enter Invoices'!C:H,6,0),"")</f>
        <v/>
      </c>
      <c r="E145" s="66" t="str">
        <f>IFERROR(VLOOKUP(open[[#This Row],[Invoice'#]],'Enter Invoices'!C:H,5,0),"")</f>
        <v/>
      </c>
      <c r="F145" s="54" t="str">
        <f>IFERROR(IF(open[[#This Row],[Amount Due]]="","",open[[#This Row],[Amount Due]]-SUMIF('Record Customer Payments'!B:B,open[[#This Row],[Invoice'#]],'Record Customer Payments'!F:F)),"")</f>
        <v/>
      </c>
      <c r="H145" s="55"/>
      <c r="I145" s="56"/>
      <c r="J145" s="57"/>
      <c r="K145" s="58"/>
      <c r="L145" s="59"/>
      <c r="M145" s="59"/>
      <c r="N145" s="59"/>
    </row>
    <row r="146" spans="2:14" s="53" customFormat="1" ht="16.149999999999999" customHeight="1" x14ac:dyDescent="0.25">
      <c r="B146" s="56" t="str">
        <f>IF(Invoices[[#This Row],[Invoice '#]]="","",Invoices[[#This Row],[Invoice '#]])</f>
        <v/>
      </c>
      <c r="C146" s="53" t="str">
        <f>IFERROR(VLOOKUP(open[[#This Row],[Invoice'#]],'Enter Invoices'!C:H,2,0),"")</f>
        <v/>
      </c>
      <c r="D146" s="52" t="str">
        <f>IFERROR(VLOOKUP(open[[#This Row],[Invoice'#]],'Enter Invoices'!C:H,6,0),"")</f>
        <v/>
      </c>
      <c r="E146" s="66" t="str">
        <f>IFERROR(VLOOKUP(open[[#This Row],[Invoice'#]],'Enter Invoices'!C:H,5,0),"")</f>
        <v/>
      </c>
      <c r="F146" s="54" t="str">
        <f>IFERROR(IF(open[[#This Row],[Amount Due]]="","",open[[#This Row],[Amount Due]]-SUMIF('Record Customer Payments'!B:B,open[[#This Row],[Invoice'#]],'Record Customer Payments'!F:F)),"")</f>
        <v/>
      </c>
      <c r="H146" s="55"/>
      <c r="I146" s="56"/>
      <c r="J146" s="57"/>
      <c r="K146" s="58"/>
      <c r="L146" s="59"/>
      <c r="M146" s="59"/>
      <c r="N146" s="59"/>
    </row>
    <row r="147" spans="2:14" s="53" customFormat="1" ht="16.149999999999999" customHeight="1" x14ac:dyDescent="0.25">
      <c r="B147" s="56" t="str">
        <f>IF(Invoices[[#This Row],[Invoice '#]]="","",Invoices[[#This Row],[Invoice '#]])</f>
        <v/>
      </c>
      <c r="C147" s="53" t="str">
        <f>IFERROR(VLOOKUP(open[[#This Row],[Invoice'#]],'Enter Invoices'!C:H,2,0),"")</f>
        <v/>
      </c>
      <c r="D147" s="52" t="str">
        <f>IFERROR(VLOOKUP(open[[#This Row],[Invoice'#]],'Enter Invoices'!C:H,6,0),"")</f>
        <v/>
      </c>
      <c r="E147" s="66" t="str">
        <f>IFERROR(VLOOKUP(open[[#This Row],[Invoice'#]],'Enter Invoices'!C:H,5,0),"")</f>
        <v/>
      </c>
      <c r="F147" s="54" t="str">
        <f>IFERROR(IF(open[[#This Row],[Amount Due]]="","",open[[#This Row],[Amount Due]]-SUMIF('Record Customer Payments'!B:B,open[[#This Row],[Invoice'#]],'Record Customer Payments'!F:F)),"")</f>
        <v/>
      </c>
      <c r="H147" s="55"/>
      <c r="I147" s="56"/>
      <c r="J147" s="57"/>
      <c r="K147" s="58"/>
      <c r="L147" s="59"/>
      <c r="M147" s="59"/>
      <c r="N147" s="59"/>
    </row>
    <row r="148" spans="2:14" s="53" customFormat="1" ht="16.149999999999999" customHeight="1" x14ac:dyDescent="0.25">
      <c r="B148" s="56" t="str">
        <f>IF(Invoices[[#This Row],[Invoice '#]]="","",Invoices[[#This Row],[Invoice '#]])</f>
        <v/>
      </c>
      <c r="C148" s="53" t="str">
        <f>IFERROR(VLOOKUP(open[[#This Row],[Invoice'#]],'Enter Invoices'!C:H,2,0),"")</f>
        <v/>
      </c>
      <c r="D148" s="52" t="str">
        <f>IFERROR(VLOOKUP(open[[#This Row],[Invoice'#]],'Enter Invoices'!C:H,6,0),"")</f>
        <v/>
      </c>
      <c r="E148" s="66" t="str">
        <f>IFERROR(VLOOKUP(open[[#This Row],[Invoice'#]],'Enter Invoices'!C:H,5,0),"")</f>
        <v/>
      </c>
      <c r="F148" s="54" t="str">
        <f>IFERROR(IF(open[[#This Row],[Amount Due]]="","",open[[#This Row],[Amount Due]]-SUMIF('Record Customer Payments'!B:B,open[[#This Row],[Invoice'#]],'Record Customer Payments'!F:F)),"")</f>
        <v/>
      </c>
      <c r="H148" s="55"/>
      <c r="I148" s="56"/>
      <c r="J148" s="57"/>
      <c r="K148" s="58"/>
      <c r="L148" s="59"/>
      <c r="M148" s="59"/>
      <c r="N148" s="59"/>
    </row>
    <row r="149" spans="2:14" s="53" customFormat="1" ht="16.149999999999999" customHeight="1" x14ac:dyDescent="0.25">
      <c r="B149" s="56" t="str">
        <f>IF(Invoices[[#This Row],[Invoice '#]]="","",Invoices[[#This Row],[Invoice '#]])</f>
        <v/>
      </c>
      <c r="C149" s="53" t="str">
        <f>IFERROR(VLOOKUP(open[[#This Row],[Invoice'#]],'Enter Invoices'!C:H,2,0),"")</f>
        <v/>
      </c>
      <c r="D149" s="52" t="str">
        <f>IFERROR(VLOOKUP(open[[#This Row],[Invoice'#]],'Enter Invoices'!C:H,6,0),"")</f>
        <v/>
      </c>
      <c r="E149" s="66" t="str">
        <f>IFERROR(VLOOKUP(open[[#This Row],[Invoice'#]],'Enter Invoices'!C:H,5,0),"")</f>
        <v/>
      </c>
      <c r="F149" s="54" t="str">
        <f>IFERROR(IF(open[[#This Row],[Amount Due]]="","",open[[#This Row],[Amount Due]]-SUMIF('Record Customer Payments'!B:B,open[[#This Row],[Invoice'#]],'Record Customer Payments'!F:F)),"")</f>
        <v/>
      </c>
      <c r="H149" s="55"/>
      <c r="I149" s="56"/>
      <c r="J149" s="57"/>
      <c r="K149" s="58"/>
      <c r="L149" s="59"/>
      <c r="M149" s="59"/>
      <c r="N149" s="59"/>
    </row>
    <row r="150" spans="2:14" s="53" customFormat="1" ht="16.149999999999999" customHeight="1" x14ac:dyDescent="0.25">
      <c r="B150" s="56" t="str">
        <f>IF(Invoices[[#This Row],[Invoice '#]]="","",Invoices[[#This Row],[Invoice '#]])</f>
        <v/>
      </c>
      <c r="C150" s="53" t="str">
        <f>IFERROR(VLOOKUP(open[[#This Row],[Invoice'#]],'Enter Invoices'!C:H,2,0),"")</f>
        <v/>
      </c>
      <c r="D150" s="52" t="str">
        <f>IFERROR(VLOOKUP(open[[#This Row],[Invoice'#]],'Enter Invoices'!C:H,6,0),"")</f>
        <v/>
      </c>
      <c r="E150" s="66" t="str">
        <f>IFERROR(VLOOKUP(open[[#This Row],[Invoice'#]],'Enter Invoices'!C:H,5,0),"")</f>
        <v/>
      </c>
      <c r="F150" s="54" t="str">
        <f>IFERROR(IF(open[[#This Row],[Amount Due]]="","",open[[#This Row],[Amount Due]]-SUMIF('Record Customer Payments'!B:B,open[[#This Row],[Invoice'#]],'Record Customer Payments'!F:F)),"")</f>
        <v/>
      </c>
      <c r="H150" s="55"/>
      <c r="I150" s="56"/>
      <c r="J150" s="57"/>
      <c r="K150" s="58"/>
      <c r="L150" s="59"/>
      <c r="M150" s="59"/>
      <c r="N150" s="59"/>
    </row>
    <row r="151" spans="2:14" s="53" customFormat="1" ht="16.149999999999999" customHeight="1" x14ac:dyDescent="0.25">
      <c r="B151" s="56" t="str">
        <f>IF(Invoices[[#This Row],[Invoice '#]]="","",Invoices[[#This Row],[Invoice '#]])</f>
        <v/>
      </c>
      <c r="C151" s="53" t="str">
        <f>IFERROR(VLOOKUP(open[[#This Row],[Invoice'#]],'Enter Invoices'!C:H,2,0),"")</f>
        <v/>
      </c>
      <c r="D151" s="52" t="str">
        <f>IFERROR(VLOOKUP(open[[#This Row],[Invoice'#]],'Enter Invoices'!C:H,6,0),"")</f>
        <v/>
      </c>
      <c r="E151" s="66" t="str">
        <f>IFERROR(VLOOKUP(open[[#This Row],[Invoice'#]],'Enter Invoices'!C:H,5,0),"")</f>
        <v/>
      </c>
      <c r="F151" s="54" t="str">
        <f>IFERROR(IF(open[[#This Row],[Amount Due]]="","",open[[#This Row],[Amount Due]]-SUMIF('Record Customer Payments'!B:B,open[[#This Row],[Invoice'#]],'Record Customer Payments'!F:F)),"")</f>
        <v/>
      </c>
      <c r="H151" s="55"/>
      <c r="I151" s="56"/>
      <c r="J151" s="57"/>
      <c r="K151" s="58"/>
      <c r="L151" s="59"/>
      <c r="M151" s="59"/>
      <c r="N151" s="59"/>
    </row>
    <row r="152" spans="2:14" s="53" customFormat="1" ht="16.149999999999999" customHeight="1" x14ac:dyDescent="0.25">
      <c r="B152" s="56" t="str">
        <f>IF(Invoices[[#This Row],[Invoice '#]]="","",Invoices[[#This Row],[Invoice '#]])</f>
        <v/>
      </c>
      <c r="C152" s="53" t="str">
        <f>IFERROR(VLOOKUP(open[[#This Row],[Invoice'#]],'Enter Invoices'!C:H,2,0),"")</f>
        <v/>
      </c>
      <c r="D152" s="52" t="str">
        <f>IFERROR(VLOOKUP(open[[#This Row],[Invoice'#]],'Enter Invoices'!C:H,6,0),"")</f>
        <v/>
      </c>
      <c r="E152" s="66" t="str">
        <f>IFERROR(VLOOKUP(open[[#This Row],[Invoice'#]],'Enter Invoices'!C:H,5,0),"")</f>
        <v/>
      </c>
      <c r="F152" s="54" t="str">
        <f>IFERROR(IF(open[[#This Row],[Amount Due]]="","",open[[#This Row],[Amount Due]]-SUMIF('Record Customer Payments'!B:B,open[[#This Row],[Invoice'#]],'Record Customer Payments'!F:F)),"")</f>
        <v/>
      </c>
      <c r="H152" s="55"/>
      <c r="I152" s="56"/>
      <c r="J152" s="57"/>
      <c r="K152" s="58"/>
      <c r="L152" s="59"/>
      <c r="M152" s="59"/>
      <c r="N152" s="59"/>
    </row>
    <row r="153" spans="2:14" s="53" customFormat="1" ht="16.149999999999999" customHeight="1" x14ac:dyDescent="0.25">
      <c r="B153" s="56" t="str">
        <f>IF(Invoices[[#This Row],[Invoice '#]]="","",Invoices[[#This Row],[Invoice '#]])</f>
        <v/>
      </c>
      <c r="C153" s="53" t="str">
        <f>IFERROR(VLOOKUP(open[[#This Row],[Invoice'#]],'Enter Invoices'!C:H,2,0),"")</f>
        <v/>
      </c>
      <c r="D153" s="52" t="str">
        <f>IFERROR(VLOOKUP(open[[#This Row],[Invoice'#]],'Enter Invoices'!C:H,6,0),"")</f>
        <v/>
      </c>
      <c r="E153" s="66" t="str">
        <f>IFERROR(VLOOKUP(open[[#This Row],[Invoice'#]],'Enter Invoices'!C:H,5,0),"")</f>
        <v/>
      </c>
      <c r="F153" s="54" t="str">
        <f>IFERROR(IF(open[[#This Row],[Amount Due]]="","",open[[#This Row],[Amount Due]]-SUMIF('Record Customer Payments'!B:B,open[[#This Row],[Invoice'#]],'Record Customer Payments'!F:F)),"")</f>
        <v/>
      </c>
      <c r="H153" s="55"/>
      <c r="I153" s="56"/>
      <c r="J153" s="57"/>
      <c r="K153" s="58"/>
      <c r="L153" s="59"/>
      <c r="M153" s="59"/>
      <c r="N153" s="59"/>
    </row>
    <row r="154" spans="2:14" s="53" customFormat="1" ht="16.149999999999999" customHeight="1" x14ac:dyDescent="0.25">
      <c r="B154" s="56" t="str">
        <f>IF(Invoices[[#This Row],[Invoice '#]]="","",Invoices[[#This Row],[Invoice '#]])</f>
        <v/>
      </c>
      <c r="C154" s="53" t="str">
        <f>IFERROR(VLOOKUP(open[[#This Row],[Invoice'#]],'Enter Invoices'!C:H,2,0),"")</f>
        <v/>
      </c>
      <c r="D154" s="52" t="str">
        <f>IFERROR(VLOOKUP(open[[#This Row],[Invoice'#]],'Enter Invoices'!C:H,6,0),"")</f>
        <v/>
      </c>
      <c r="E154" s="66" t="str">
        <f>IFERROR(VLOOKUP(open[[#This Row],[Invoice'#]],'Enter Invoices'!C:H,5,0),"")</f>
        <v/>
      </c>
      <c r="F154" s="54" t="str">
        <f>IFERROR(IF(open[[#This Row],[Amount Due]]="","",open[[#This Row],[Amount Due]]-SUMIF('Record Customer Payments'!B:B,open[[#This Row],[Invoice'#]],'Record Customer Payments'!F:F)),"")</f>
        <v/>
      </c>
      <c r="H154" s="55"/>
      <c r="I154" s="56"/>
      <c r="J154" s="57"/>
      <c r="K154" s="58"/>
      <c r="L154" s="59"/>
      <c r="M154" s="59"/>
      <c r="N154" s="59"/>
    </row>
    <row r="155" spans="2:14" s="53" customFormat="1" ht="16.149999999999999" customHeight="1" x14ac:dyDescent="0.25">
      <c r="B155" s="56" t="str">
        <f>IF(Invoices[[#This Row],[Invoice '#]]="","",Invoices[[#This Row],[Invoice '#]])</f>
        <v/>
      </c>
      <c r="C155" s="53" t="str">
        <f>IFERROR(VLOOKUP(open[[#This Row],[Invoice'#]],'Enter Invoices'!C:H,2,0),"")</f>
        <v/>
      </c>
      <c r="D155" s="52" t="str">
        <f>IFERROR(VLOOKUP(open[[#This Row],[Invoice'#]],'Enter Invoices'!C:H,6,0),"")</f>
        <v/>
      </c>
      <c r="E155" s="66" t="str">
        <f>IFERROR(VLOOKUP(open[[#This Row],[Invoice'#]],'Enter Invoices'!C:H,5,0),"")</f>
        <v/>
      </c>
      <c r="F155" s="54" t="str">
        <f>IFERROR(IF(open[[#This Row],[Amount Due]]="","",open[[#This Row],[Amount Due]]-SUMIF('Record Customer Payments'!B:B,open[[#This Row],[Invoice'#]],'Record Customer Payments'!F:F)),"")</f>
        <v/>
      </c>
      <c r="H155" s="55"/>
      <c r="I155" s="56"/>
      <c r="J155" s="57"/>
      <c r="K155" s="58"/>
      <c r="L155" s="59"/>
      <c r="M155" s="59"/>
      <c r="N155" s="59"/>
    </row>
    <row r="156" spans="2:14" s="53" customFormat="1" ht="16.149999999999999" customHeight="1" x14ac:dyDescent="0.25">
      <c r="B156" s="56" t="str">
        <f>IF(Invoices[[#This Row],[Invoice '#]]="","",Invoices[[#This Row],[Invoice '#]])</f>
        <v/>
      </c>
      <c r="C156" s="53" t="str">
        <f>IFERROR(VLOOKUP(open[[#This Row],[Invoice'#]],'Enter Invoices'!C:H,2,0),"")</f>
        <v/>
      </c>
      <c r="D156" s="52" t="str">
        <f>IFERROR(VLOOKUP(open[[#This Row],[Invoice'#]],'Enter Invoices'!C:H,6,0),"")</f>
        <v/>
      </c>
      <c r="E156" s="66" t="str">
        <f>IFERROR(VLOOKUP(open[[#This Row],[Invoice'#]],'Enter Invoices'!C:H,5,0),"")</f>
        <v/>
      </c>
      <c r="F156" s="54" t="str">
        <f>IFERROR(IF(open[[#This Row],[Amount Due]]="","",open[[#This Row],[Amount Due]]-SUMIF('Record Customer Payments'!B:B,open[[#This Row],[Invoice'#]],'Record Customer Payments'!F:F)),"")</f>
        <v/>
      </c>
      <c r="H156" s="55"/>
      <c r="I156" s="56"/>
      <c r="J156" s="57"/>
      <c r="K156" s="58"/>
      <c r="L156" s="59"/>
      <c r="M156" s="59"/>
      <c r="N156" s="59"/>
    </row>
    <row r="157" spans="2:14" s="53" customFormat="1" ht="16.149999999999999" customHeight="1" x14ac:dyDescent="0.25">
      <c r="B157" s="56" t="str">
        <f>IF(Invoices[[#This Row],[Invoice '#]]="","",Invoices[[#This Row],[Invoice '#]])</f>
        <v/>
      </c>
      <c r="C157" s="53" t="str">
        <f>IFERROR(VLOOKUP(open[[#This Row],[Invoice'#]],'Enter Invoices'!C:H,2,0),"")</f>
        <v/>
      </c>
      <c r="D157" s="52" t="str">
        <f>IFERROR(VLOOKUP(open[[#This Row],[Invoice'#]],'Enter Invoices'!C:H,6,0),"")</f>
        <v/>
      </c>
      <c r="E157" s="66" t="str">
        <f>IFERROR(VLOOKUP(open[[#This Row],[Invoice'#]],'Enter Invoices'!C:H,5,0),"")</f>
        <v/>
      </c>
      <c r="F157" s="54" t="str">
        <f>IFERROR(IF(open[[#This Row],[Amount Due]]="","",open[[#This Row],[Amount Due]]-SUMIF('Record Customer Payments'!B:B,open[[#This Row],[Invoice'#]],'Record Customer Payments'!F:F)),"")</f>
        <v/>
      </c>
      <c r="H157" s="55"/>
      <c r="I157" s="56"/>
      <c r="J157" s="57"/>
      <c r="K157" s="58"/>
      <c r="L157" s="59"/>
      <c r="M157" s="59"/>
      <c r="N157" s="59"/>
    </row>
    <row r="158" spans="2:14" s="53" customFormat="1" ht="16.149999999999999" customHeight="1" x14ac:dyDescent="0.25">
      <c r="B158" s="56" t="str">
        <f>IF(Invoices[[#This Row],[Invoice '#]]="","",Invoices[[#This Row],[Invoice '#]])</f>
        <v/>
      </c>
      <c r="C158" s="53" t="str">
        <f>IFERROR(VLOOKUP(open[[#This Row],[Invoice'#]],'Enter Invoices'!C:H,2,0),"")</f>
        <v/>
      </c>
      <c r="D158" s="52" t="str">
        <f>IFERROR(VLOOKUP(open[[#This Row],[Invoice'#]],'Enter Invoices'!C:H,6,0),"")</f>
        <v/>
      </c>
      <c r="E158" s="66" t="str">
        <f>IFERROR(VLOOKUP(open[[#This Row],[Invoice'#]],'Enter Invoices'!C:H,5,0),"")</f>
        <v/>
      </c>
      <c r="F158" s="54" t="str">
        <f>IFERROR(IF(open[[#This Row],[Amount Due]]="","",open[[#This Row],[Amount Due]]-SUMIF('Record Customer Payments'!B:B,open[[#This Row],[Invoice'#]],'Record Customer Payments'!F:F)),"")</f>
        <v/>
      </c>
      <c r="H158" s="55"/>
      <c r="I158" s="56"/>
      <c r="J158" s="57"/>
      <c r="K158" s="58"/>
      <c r="L158" s="59"/>
      <c r="M158" s="59"/>
      <c r="N158" s="59"/>
    </row>
    <row r="159" spans="2:14" s="53" customFormat="1" ht="16.149999999999999" customHeight="1" x14ac:dyDescent="0.25">
      <c r="B159" s="56" t="str">
        <f>IF(Invoices[[#This Row],[Invoice '#]]="","",Invoices[[#This Row],[Invoice '#]])</f>
        <v/>
      </c>
      <c r="C159" s="53" t="str">
        <f>IFERROR(VLOOKUP(open[[#This Row],[Invoice'#]],'Enter Invoices'!C:H,2,0),"")</f>
        <v/>
      </c>
      <c r="D159" s="52" t="str">
        <f>IFERROR(VLOOKUP(open[[#This Row],[Invoice'#]],'Enter Invoices'!C:H,6,0),"")</f>
        <v/>
      </c>
      <c r="E159" s="66" t="str">
        <f>IFERROR(VLOOKUP(open[[#This Row],[Invoice'#]],'Enter Invoices'!C:H,5,0),"")</f>
        <v/>
      </c>
      <c r="F159" s="54" t="str">
        <f>IFERROR(IF(open[[#This Row],[Amount Due]]="","",open[[#This Row],[Amount Due]]-SUMIF('Record Customer Payments'!B:B,open[[#This Row],[Invoice'#]],'Record Customer Payments'!F:F)),"")</f>
        <v/>
      </c>
      <c r="H159" s="55"/>
      <c r="I159" s="56"/>
      <c r="J159" s="57"/>
      <c r="K159" s="58"/>
      <c r="L159" s="59"/>
      <c r="M159" s="59"/>
      <c r="N159" s="59"/>
    </row>
    <row r="160" spans="2:14" s="53" customFormat="1" ht="16.149999999999999" customHeight="1" x14ac:dyDescent="0.25">
      <c r="B160" s="56" t="str">
        <f>IF(Invoices[[#This Row],[Invoice '#]]="","",Invoices[[#This Row],[Invoice '#]])</f>
        <v/>
      </c>
      <c r="C160" s="53" t="str">
        <f>IFERROR(VLOOKUP(open[[#This Row],[Invoice'#]],'Enter Invoices'!C:H,2,0),"")</f>
        <v/>
      </c>
      <c r="D160" s="52" t="str">
        <f>IFERROR(VLOOKUP(open[[#This Row],[Invoice'#]],'Enter Invoices'!C:H,6,0),"")</f>
        <v/>
      </c>
      <c r="E160" s="66" t="str">
        <f>IFERROR(VLOOKUP(open[[#This Row],[Invoice'#]],'Enter Invoices'!C:H,5,0),"")</f>
        <v/>
      </c>
      <c r="F160" s="54" t="str">
        <f>IFERROR(IF(open[[#This Row],[Amount Due]]="","",open[[#This Row],[Amount Due]]-SUMIF('Record Customer Payments'!B:B,open[[#This Row],[Invoice'#]],'Record Customer Payments'!F:F)),"")</f>
        <v/>
      </c>
      <c r="H160" s="55"/>
      <c r="I160" s="56"/>
      <c r="J160" s="57"/>
      <c r="K160" s="58"/>
      <c r="L160" s="59"/>
      <c r="M160" s="59"/>
      <c r="N160" s="59"/>
    </row>
    <row r="161" spans="2:14" s="53" customFormat="1" ht="16.149999999999999" customHeight="1" x14ac:dyDescent="0.25">
      <c r="B161" s="56" t="str">
        <f>IF(Invoices[[#This Row],[Invoice '#]]="","",Invoices[[#This Row],[Invoice '#]])</f>
        <v/>
      </c>
      <c r="C161" s="53" t="str">
        <f>IFERROR(VLOOKUP(open[[#This Row],[Invoice'#]],'Enter Invoices'!C:H,2,0),"")</f>
        <v/>
      </c>
      <c r="D161" s="52" t="str">
        <f>IFERROR(VLOOKUP(open[[#This Row],[Invoice'#]],'Enter Invoices'!C:H,6,0),"")</f>
        <v/>
      </c>
      <c r="E161" s="66" t="str">
        <f>IFERROR(VLOOKUP(open[[#This Row],[Invoice'#]],'Enter Invoices'!C:H,5,0),"")</f>
        <v/>
      </c>
      <c r="F161" s="54" t="str">
        <f>IFERROR(IF(open[[#This Row],[Amount Due]]="","",open[[#This Row],[Amount Due]]-SUMIF('Record Customer Payments'!B:B,open[[#This Row],[Invoice'#]],'Record Customer Payments'!F:F)),"")</f>
        <v/>
      </c>
      <c r="H161" s="55"/>
      <c r="I161" s="56"/>
      <c r="J161" s="57"/>
      <c r="K161" s="58"/>
      <c r="L161" s="59"/>
      <c r="M161" s="59"/>
      <c r="N161" s="59"/>
    </row>
    <row r="162" spans="2:14" s="53" customFormat="1" ht="16.149999999999999" customHeight="1" x14ac:dyDescent="0.25">
      <c r="B162" s="56" t="str">
        <f>IF(Invoices[[#This Row],[Invoice '#]]="","",Invoices[[#This Row],[Invoice '#]])</f>
        <v/>
      </c>
      <c r="C162" s="53" t="str">
        <f>IFERROR(VLOOKUP(open[[#This Row],[Invoice'#]],'Enter Invoices'!C:H,2,0),"")</f>
        <v/>
      </c>
      <c r="D162" s="52" t="str">
        <f>IFERROR(VLOOKUP(open[[#This Row],[Invoice'#]],'Enter Invoices'!C:H,6,0),"")</f>
        <v/>
      </c>
      <c r="E162" s="66" t="str">
        <f>IFERROR(VLOOKUP(open[[#This Row],[Invoice'#]],'Enter Invoices'!C:H,5,0),"")</f>
        <v/>
      </c>
      <c r="F162" s="54" t="str">
        <f>IFERROR(IF(open[[#This Row],[Amount Due]]="","",open[[#This Row],[Amount Due]]-SUMIF('Record Customer Payments'!B:B,open[[#This Row],[Invoice'#]],'Record Customer Payments'!F:F)),"")</f>
        <v/>
      </c>
      <c r="H162" s="55"/>
      <c r="I162" s="56"/>
      <c r="J162" s="57"/>
      <c r="K162" s="58"/>
      <c r="L162" s="59"/>
      <c r="M162" s="59"/>
      <c r="N162" s="59"/>
    </row>
    <row r="163" spans="2:14" s="53" customFormat="1" ht="16.149999999999999" customHeight="1" x14ac:dyDescent="0.25">
      <c r="B163" s="56" t="str">
        <f>IF(Invoices[[#This Row],[Invoice '#]]="","",Invoices[[#This Row],[Invoice '#]])</f>
        <v/>
      </c>
      <c r="C163" s="53" t="str">
        <f>IFERROR(VLOOKUP(open[[#This Row],[Invoice'#]],'Enter Invoices'!C:H,2,0),"")</f>
        <v/>
      </c>
      <c r="D163" s="52" t="str">
        <f>IFERROR(VLOOKUP(open[[#This Row],[Invoice'#]],'Enter Invoices'!C:H,6,0),"")</f>
        <v/>
      </c>
      <c r="E163" s="66" t="str">
        <f>IFERROR(VLOOKUP(open[[#This Row],[Invoice'#]],'Enter Invoices'!C:H,5,0),"")</f>
        <v/>
      </c>
      <c r="F163" s="54" t="str">
        <f>IFERROR(IF(open[[#This Row],[Amount Due]]="","",open[[#This Row],[Amount Due]]-SUMIF('Record Customer Payments'!B:B,open[[#This Row],[Invoice'#]],'Record Customer Payments'!F:F)),"")</f>
        <v/>
      </c>
      <c r="H163" s="55"/>
      <c r="I163" s="56"/>
      <c r="J163" s="57"/>
      <c r="K163" s="58"/>
      <c r="L163" s="59"/>
      <c r="M163" s="59"/>
      <c r="N163" s="59"/>
    </row>
    <row r="164" spans="2:14" s="53" customFormat="1" ht="16.149999999999999" customHeight="1" x14ac:dyDescent="0.25">
      <c r="B164" s="56" t="str">
        <f>IF(Invoices[[#This Row],[Invoice '#]]="","",Invoices[[#This Row],[Invoice '#]])</f>
        <v/>
      </c>
      <c r="C164" s="53" t="str">
        <f>IFERROR(VLOOKUP(open[[#This Row],[Invoice'#]],'Enter Invoices'!C:H,2,0),"")</f>
        <v/>
      </c>
      <c r="D164" s="52" t="str">
        <f>IFERROR(VLOOKUP(open[[#This Row],[Invoice'#]],'Enter Invoices'!C:H,6,0),"")</f>
        <v/>
      </c>
      <c r="E164" s="66" t="str">
        <f>IFERROR(VLOOKUP(open[[#This Row],[Invoice'#]],'Enter Invoices'!C:H,5,0),"")</f>
        <v/>
      </c>
      <c r="F164" s="54" t="str">
        <f>IFERROR(IF(open[[#This Row],[Amount Due]]="","",open[[#This Row],[Amount Due]]-SUMIF('Record Customer Payments'!B:B,open[[#This Row],[Invoice'#]],'Record Customer Payments'!F:F)),"")</f>
        <v/>
      </c>
      <c r="H164" s="55"/>
      <c r="I164" s="56"/>
      <c r="J164" s="57"/>
      <c r="K164" s="58"/>
      <c r="L164" s="59"/>
      <c r="M164" s="59"/>
      <c r="N164" s="59"/>
    </row>
    <row r="165" spans="2:14" s="53" customFormat="1" ht="16.149999999999999" customHeight="1" x14ac:dyDescent="0.25">
      <c r="B165" s="56" t="str">
        <f>IF(Invoices[[#This Row],[Invoice '#]]="","",Invoices[[#This Row],[Invoice '#]])</f>
        <v/>
      </c>
      <c r="C165" s="53" t="str">
        <f>IFERROR(VLOOKUP(open[[#This Row],[Invoice'#]],'Enter Invoices'!C:H,2,0),"")</f>
        <v/>
      </c>
      <c r="D165" s="52" t="str">
        <f>IFERROR(VLOOKUP(open[[#This Row],[Invoice'#]],'Enter Invoices'!C:H,6,0),"")</f>
        <v/>
      </c>
      <c r="E165" s="66" t="str">
        <f>IFERROR(VLOOKUP(open[[#This Row],[Invoice'#]],'Enter Invoices'!C:H,5,0),"")</f>
        <v/>
      </c>
      <c r="F165" s="54" t="str">
        <f>IFERROR(IF(open[[#This Row],[Amount Due]]="","",open[[#This Row],[Amount Due]]-SUMIF('Record Customer Payments'!B:B,open[[#This Row],[Invoice'#]],'Record Customer Payments'!F:F)),"")</f>
        <v/>
      </c>
      <c r="H165" s="55"/>
      <c r="I165" s="56"/>
      <c r="J165" s="57"/>
      <c r="K165" s="58"/>
      <c r="L165" s="59"/>
      <c r="M165" s="59"/>
      <c r="N165" s="59"/>
    </row>
    <row r="166" spans="2:14" s="53" customFormat="1" ht="16.149999999999999" customHeight="1" x14ac:dyDescent="0.25">
      <c r="B166" s="56" t="str">
        <f>IF(Invoices[[#This Row],[Invoice '#]]="","",Invoices[[#This Row],[Invoice '#]])</f>
        <v/>
      </c>
      <c r="C166" s="53" t="str">
        <f>IFERROR(VLOOKUP(open[[#This Row],[Invoice'#]],'Enter Invoices'!C:H,2,0),"")</f>
        <v/>
      </c>
      <c r="D166" s="52" t="str">
        <f>IFERROR(VLOOKUP(open[[#This Row],[Invoice'#]],'Enter Invoices'!C:H,6,0),"")</f>
        <v/>
      </c>
      <c r="E166" s="66" t="str">
        <f>IFERROR(VLOOKUP(open[[#This Row],[Invoice'#]],'Enter Invoices'!C:H,5,0),"")</f>
        <v/>
      </c>
      <c r="F166" s="54" t="str">
        <f>IFERROR(IF(open[[#This Row],[Amount Due]]="","",open[[#This Row],[Amount Due]]-SUMIF('Record Customer Payments'!B:B,open[[#This Row],[Invoice'#]],'Record Customer Payments'!F:F)),"")</f>
        <v/>
      </c>
      <c r="H166" s="55"/>
      <c r="I166" s="56"/>
      <c r="J166" s="57"/>
      <c r="K166" s="58"/>
      <c r="L166" s="59"/>
      <c r="M166" s="59"/>
      <c r="N166" s="59"/>
    </row>
    <row r="167" spans="2:14" s="53" customFormat="1" ht="16.149999999999999" customHeight="1" x14ac:dyDescent="0.25">
      <c r="B167" s="56" t="str">
        <f>IF(Invoices[[#This Row],[Invoice '#]]="","",Invoices[[#This Row],[Invoice '#]])</f>
        <v/>
      </c>
      <c r="C167" s="53" t="str">
        <f>IFERROR(VLOOKUP(open[[#This Row],[Invoice'#]],'Enter Invoices'!C:H,2,0),"")</f>
        <v/>
      </c>
      <c r="D167" s="52" t="str">
        <f>IFERROR(VLOOKUP(open[[#This Row],[Invoice'#]],'Enter Invoices'!C:H,6,0),"")</f>
        <v/>
      </c>
      <c r="E167" s="66" t="str">
        <f>IFERROR(VLOOKUP(open[[#This Row],[Invoice'#]],'Enter Invoices'!C:H,5,0),"")</f>
        <v/>
      </c>
      <c r="F167" s="54" t="str">
        <f>IFERROR(IF(open[[#This Row],[Amount Due]]="","",open[[#This Row],[Amount Due]]-SUMIF('Record Customer Payments'!B:B,open[[#This Row],[Invoice'#]],'Record Customer Payments'!F:F)),"")</f>
        <v/>
      </c>
      <c r="H167" s="55"/>
      <c r="I167" s="56"/>
      <c r="J167" s="57"/>
      <c r="K167" s="58"/>
      <c r="L167" s="59"/>
      <c r="M167" s="59"/>
      <c r="N167" s="59"/>
    </row>
    <row r="168" spans="2:14" s="53" customFormat="1" ht="16.149999999999999" customHeight="1" x14ac:dyDescent="0.25">
      <c r="B168" s="56" t="str">
        <f>IF(Invoices[[#This Row],[Invoice '#]]="","",Invoices[[#This Row],[Invoice '#]])</f>
        <v/>
      </c>
      <c r="C168" s="53" t="str">
        <f>IFERROR(VLOOKUP(open[[#This Row],[Invoice'#]],'Enter Invoices'!C:H,2,0),"")</f>
        <v/>
      </c>
      <c r="D168" s="52" t="str">
        <f>IFERROR(VLOOKUP(open[[#This Row],[Invoice'#]],'Enter Invoices'!C:H,6,0),"")</f>
        <v/>
      </c>
      <c r="E168" s="66" t="str">
        <f>IFERROR(VLOOKUP(open[[#This Row],[Invoice'#]],'Enter Invoices'!C:H,5,0),"")</f>
        <v/>
      </c>
      <c r="F168" s="54" t="str">
        <f>IFERROR(IF(open[[#This Row],[Amount Due]]="","",open[[#This Row],[Amount Due]]-SUMIF('Record Customer Payments'!B:B,open[[#This Row],[Invoice'#]],'Record Customer Payments'!F:F)),"")</f>
        <v/>
      </c>
      <c r="H168" s="55"/>
      <c r="I168" s="56"/>
      <c r="J168" s="57"/>
      <c r="K168" s="58"/>
      <c r="L168" s="59"/>
      <c r="M168" s="59"/>
      <c r="N168" s="59"/>
    </row>
    <row r="169" spans="2:14" s="53" customFormat="1" ht="16.149999999999999" customHeight="1" x14ac:dyDescent="0.25">
      <c r="B169" s="56" t="str">
        <f>IF(Invoices[[#This Row],[Invoice '#]]="","",Invoices[[#This Row],[Invoice '#]])</f>
        <v/>
      </c>
      <c r="C169" s="53" t="str">
        <f>IFERROR(VLOOKUP(open[[#This Row],[Invoice'#]],'Enter Invoices'!C:H,2,0),"")</f>
        <v/>
      </c>
      <c r="D169" s="52" t="str">
        <f>IFERROR(VLOOKUP(open[[#This Row],[Invoice'#]],'Enter Invoices'!C:H,6,0),"")</f>
        <v/>
      </c>
      <c r="E169" s="66" t="str">
        <f>IFERROR(VLOOKUP(open[[#This Row],[Invoice'#]],'Enter Invoices'!C:H,5,0),"")</f>
        <v/>
      </c>
      <c r="F169" s="54" t="str">
        <f>IFERROR(IF(open[[#This Row],[Amount Due]]="","",open[[#This Row],[Amount Due]]-SUMIF('Record Customer Payments'!B:B,open[[#This Row],[Invoice'#]],'Record Customer Payments'!F:F)),"")</f>
        <v/>
      </c>
      <c r="H169" s="55"/>
      <c r="I169" s="56"/>
      <c r="J169" s="57"/>
      <c r="K169" s="58"/>
      <c r="L169" s="59"/>
      <c r="M169" s="59"/>
      <c r="N169" s="59"/>
    </row>
    <row r="170" spans="2:14" s="53" customFormat="1" ht="16.149999999999999" customHeight="1" x14ac:dyDescent="0.25">
      <c r="B170" s="56" t="str">
        <f>IF(Invoices[[#This Row],[Invoice '#]]="","",Invoices[[#This Row],[Invoice '#]])</f>
        <v/>
      </c>
      <c r="C170" s="53" t="str">
        <f>IFERROR(VLOOKUP(open[[#This Row],[Invoice'#]],'Enter Invoices'!C:H,2,0),"")</f>
        <v/>
      </c>
      <c r="D170" s="52" t="str">
        <f>IFERROR(VLOOKUP(open[[#This Row],[Invoice'#]],'Enter Invoices'!C:H,6,0),"")</f>
        <v/>
      </c>
      <c r="E170" s="66" t="str">
        <f>IFERROR(VLOOKUP(open[[#This Row],[Invoice'#]],'Enter Invoices'!C:H,5,0),"")</f>
        <v/>
      </c>
      <c r="F170" s="54" t="str">
        <f>IFERROR(IF(open[[#This Row],[Amount Due]]="","",open[[#This Row],[Amount Due]]-SUMIF('Record Customer Payments'!B:B,open[[#This Row],[Invoice'#]],'Record Customer Payments'!F:F)),"")</f>
        <v/>
      </c>
      <c r="H170" s="55"/>
      <c r="I170" s="56"/>
      <c r="J170" s="57"/>
      <c r="K170" s="58"/>
      <c r="L170" s="59"/>
      <c r="M170" s="59"/>
      <c r="N170" s="59"/>
    </row>
    <row r="171" spans="2:14" s="53" customFormat="1" ht="16.149999999999999" customHeight="1" x14ac:dyDescent="0.25">
      <c r="B171" s="56" t="str">
        <f>IF(Invoices[[#This Row],[Invoice '#]]="","",Invoices[[#This Row],[Invoice '#]])</f>
        <v/>
      </c>
      <c r="C171" s="53" t="str">
        <f>IFERROR(VLOOKUP(open[[#This Row],[Invoice'#]],'Enter Invoices'!C:H,2,0),"")</f>
        <v/>
      </c>
      <c r="D171" s="52" t="str">
        <f>IFERROR(VLOOKUP(open[[#This Row],[Invoice'#]],'Enter Invoices'!C:H,6,0),"")</f>
        <v/>
      </c>
      <c r="E171" s="66" t="str">
        <f>IFERROR(VLOOKUP(open[[#This Row],[Invoice'#]],'Enter Invoices'!C:H,5,0),"")</f>
        <v/>
      </c>
      <c r="F171" s="54" t="str">
        <f>IFERROR(IF(open[[#This Row],[Amount Due]]="","",open[[#This Row],[Amount Due]]-SUMIF('Record Customer Payments'!B:B,open[[#This Row],[Invoice'#]],'Record Customer Payments'!F:F)),"")</f>
        <v/>
      </c>
      <c r="H171" s="55"/>
      <c r="I171" s="56"/>
      <c r="J171" s="57"/>
      <c r="K171" s="58"/>
      <c r="L171" s="59"/>
      <c r="M171" s="59"/>
      <c r="N171" s="59"/>
    </row>
    <row r="172" spans="2:14" s="53" customFormat="1" ht="16.149999999999999" customHeight="1" x14ac:dyDescent="0.25">
      <c r="B172" s="56" t="str">
        <f>IF(Invoices[[#This Row],[Invoice '#]]="","",Invoices[[#This Row],[Invoice '#]])</f>
        <v/>
      </c>
      <c r="C172" s="53" t="str">
        <f>IFERROR(VLOOKUP(open[[#This Row],[Invoice'#]],'Enter Invoices'!C:H,2,0),"")</f>
        <v/>
      </c>
      <c r="D172" s="52" t="str">
        <f>IFERROR(VLOOKUP(open[[#This Row],[Invoice'#]],'Enter Invoices'!C:H,6,0),"")</f>
        <v/>
      </c>
      <c r="E172" s="66" t="str">
        <f>IFERROR(VLOOKUP(open[[#This Row],[Invoice'#]],'Enter Invoices'!C:H,5,0),"")</f>
        <v/>
      </c>
      <c r="F172" s="54" t="str">
        <f>IFERROR(IF(open[[#This Row],[Amount Due]]="","",open[[#This Row],[Amount Due]]-SUMIF('Record Customer Payments'!B:B,open[[#This Row],[Invoice'#]],'Record Customer Payments'!F:F)),"")</f>
        <v/>
      </c>
      <c r="H172" s="55"/>
      <c r="I172" s="56"/>
      <c r="J172" s="57"/>
      <c r="K172" s="58"/>
      <c r="L172" s="59"/>
      <c r="M172" s="59"/>
      <c r="N172" s="59"/>
    </row>
    <row r="173" spans="2:14" s="53" customFormat="1" ht="16.149999999999999" customHeight="1" x14ac:dyDescent="0.25">
      <c r="B173" s="56" t="str">
        <f>IF(Invoices[[#This Row],[Invoice '#]]="","",Invoices[[#This Row],[Invoice '#]])</f>
        <v/>
      </c>
      <c r="C173" s="53" t="str">
        <f>IFERROR(VLOOKUP(open[[#This Row],[Invoice'#]],'Enter Invoices'!C:H,2,0),"")</f>
        <v/>
      </c>
      <c r="D173" s="52" t="str">
        <f>IFERROR(VLOOKUP(open[[#This Row],[Invoice'#]],'Enter Invoices'!C:H,6,0),"")</f>
        <v/>
      </c>
      <c r="E173" s="66" t="str">
        <f>IFERROR(VLOOKUP(open[[#This Row],[Invoice'#]],'Enter Invoices'!C:H,5,0),"")</f>
        <v/>
      </c>
      <c r="F173" s="54" t="str">
        <f>IFERROR(IF(open[[#This Row],[Amount Due]]="","",open[[#This Row],[Amount Due]]-SUMIF('Record Customer Payments'!B:B,open[[#This Row],[Invoice'#]],'Record Customer Payments'!F:F)),"")</f>
        <v/>
      </c>
      <c r="H173" s="55"/>
      <c r="I173" s="56"/>
      <c r="J173" s="57"/>
      <c r="K173" s="58"/>
      <c r="L173" s="59"/>
      <c r="M173" s="59"/>
      <c r="N173" s="59"/>
    </row>
    <row r="174" spans="2:14" s="53" customFormat="1" ht="16.149999999999999" customHeight="1" x14ac:dyDescent="0.25">
      <c r="B174" s="56" t="str">
        <f>IF(Invoices[[#This Row],[Invoice '#]]="","",Invoices[[#This Row],[Invoice '#]])</f>
        <v/>
      </c>
      <c r="C174" s="53" t="str">
        <f>IFERROR(VLOOKUP(open[[#This Row],[Invoice'#]],'Enter Invoices'!C:H,2,0),"")</f>
        <v/>
      </c>
      <c r="D174" s="52" t="str">
        <f>IFERROR(VLOOKUP(open[[#This Row],[Invoice'#]],'Enter Invoices'!C:H,6,0),"")</f>
        <v/>
      </c>
      <c r="E174" s="66" t="str">
        <f>IFERROR(VLOOKUP(open[[#This Row],[Invoice'#]],'Enter Invoices'!C:H,5,0),"")</f>
        <v/>
      </c>
      <c r="F174" s="54" t="str">
        <f>IFERROR(IF(open[[#This Row],[Amount Due]]="","",open[[#This Row],[Amount Due]]-SUMIF('Record Customer Payments'!B:B,open[[#This Row],[Invoice'#]],'Record Customer Payments'!F:F)),"")</f>
        <v/>
      </c>
      <c r="H174" s="55"/>
      <c r="I174" s="56"/>
      <c r="J174" s="57"/>
      <c r="K174" s="58"/>
      <c r="L174" s="59"/>
      <c r="M174" s="59"/>
      <c r="N174" s="59"/>
    </row>
    <row r="175" spans="2:14" s="53" customFormat="1" ht="16.149999999999999" customHeight="1" x14ac:dyDescent="0.25">
      <c r="B175" s="56" t="str">
        <f>IF(Invoices[[#This Row],[Invoice '#]]="","",Invoices[[#This Row],[Invoice '#]])</f>
        <v/>
      </c>
      <c r="C175" s="53" t="str">
        <f>IFERROR(VLOOKUP(open[[#This Row],[Invoice'#]],'Enter Invoices'!C:H,2,0),"")</f>
        <v/>
      </c>
      <c r="D175" s="52" t="str">
        <f>IFERROR(VLOOKUP(open[[#This Row],[Invoice'#]],'Enter Invoices'!C:H,6,0),"")</f>
        <v/>
      </c>
      <c r="E175" s="66" t="str">
        <f>IFERROR(VLOOKUP(open[[#This Row],[Invoice'#]],'Enter Invoices'!C:H,5,0),"")</f>
        <v/>
      </c>
      <c r="F175" s="54" t="str">
        <f>IFERROR(IF(open[[#This Row],[Amount Due]]="","",open[[#This Row],[Amount Due]]-SUMIF('Record Customer Payments'!B:B,open[[#This Row],[Invoice'#]],'Record Customer Payments'!F:F)),"")</f>
        <v/>
      </c>
      <c r="H175" s="55"/>
      <c r="I175" s="56"/>
      <c r="J175" s="57"/>
      <c r="K175" s="58"/>
      <c r="L175" s="59"/>
      <c r="M175" s="59"/>
      <c r="N175" s="59"/>
    </row>
    <row r="176" spans="2:14" s="53" customFormat="1" ht="16.149999999999999" customHeight="1" x14ac:dyDescent="0.25">
      <c r="B176" s="56" t="str">
        <f>IF(Invoices[[#This Row],[Invoice '#]]="","",Invoices[[#This Row],[Invoice '#]])</f>
        <v/>
      </c>
      <c r="C176" s="53" t="str">
        <f>IFERROR(VLOOKUP(open[[#This Row],[Invoice'#]],'Enter Invoices'!C:H,2,0),"")</f>
        <v/>
      </c>
      <c r="D176" s="52" t="str">
        <f>IFERROR(VLOOKUP(open[[#This Row],[Invoice'#]],'Enter Invoices'!C:H,6,0),"")</f>
        <v/>
      </c>
      <c r="E176" s="66" t="str">
        <f>IFERROR(VLOOKUP(open[[#This Row],[Invoice'#]],'Enter Invoices'!C:H,5,0),"")</f>
        <v/>
      </c>
      <c r="F176" s="54" t="str">
        <f>IFERROR(IF(open[[#This Row],[Amount Due]]="","",open[[#This Row],[Amount Due]]-SUMIF('Record Customer Payments'!B:B,open[[#This Row],[Invoice'#]],'Record Customer Payments'!F:F)),"")</f>
        <v/>
      </c>
      <c r="H176" s="55"/>
      <c r="I176" s="56"/>
      <c r="J176" s="57"/>
      <c r="K176" s="58"/>
      <c r="L176" s="59"/>
      <c r="M176" s="59"/>
      <c r="N176" s="59"/>
    </row>
    <row r="177" spans="2:14" s="53" customFormat="1" ht="16.149999999999999" customHeight="1" x14ac:dyDescent="0.25">
      <c r="B177" s="56" t="str">
        <f>IF(Invoices[[#This Row],[Invoice '#]]="","",Invoices[[#This Row],[Invoice '#]])</f>
        <v/>
      </c>
      <c r="C177" s="53" t="str">
        <f>IFERROR(VLOOKUP(open[[#This Row],[Invoice'#]],'Enter Invoices'!C:H,2,0),"")</f>
        <v/>
      </c>
      <c r="D177" s="52" t="str">
        <f>IFERROR(VLOOKUP(open[[#This Row],[Invoice'#]],'Enter Invoices'!C:H,6,0),"")</f>
        <v/>
      </c>
      <c r="E177" s="66" t="str">
        <f>IFERROR(VLOOKUP(open[[#This Row],[Invoice'#]],'Enter Invoices'!C:H,5,0),"")</f>
        <v/>
      </c>
      <c r="F177" s="54" t="str">
        <f>IFERROR(IF(open[[#This Row],[Amount Due]]="","",open[[#This Row],[Amount Due]]-SUMIF('Record Customer Payments'!B:B,open[[#This Row],[Invoice'#]],'Record Customer Payments'!F:F)),"")</f>
        <v/>
      </c>
      <c r="H177" s="55"/>
      <c r="I177" s="56"/>
      <c r="J177" s="57"/>
      <c r="K177" s="58"/>
      <c r="L177" s="59"/>
      <c r="M177" s="59"/>
      <c r="N177" s="59"/>
    </row>
    <row r="178" spans="2:14" s="53" customFormat="1" ht="16.149999999999999" customHeight="1" x14ac:dyDescent="0.25">
      <c r="B178" s="56" t="str">
        <f>IF(Invoices[[#This Row],[Invoice '#]]="","",Invoices[[#This Row],[Invoice '#]])</f>
        <v/>
      </c>
      <c r="C178" s="53" t="str">
        <f>IFERROR(VLOOKUP(open[[#This Row],[Invoice'#]],'Enter Invoices'!C:H,2,0),"")</f>
        <v/>
      </c>
      <c r="D178" s="52" t="str">
        <f>IFERROR(VLOOKUP(open[[#This Row],[Invoice'#]],'Enter Invoices'!C:H,6,0),"")</f>
        <v/>
      </c>
      <c r="E178" s="66" t="str">
        <f>IFERROR(VLOOKUP(open[[#This Row],[Invoice'#]],'Enter Invoices'!C:H,5,0),"")</f>
        <v/>
      </c>
      <c r="F178" s="54" t="str">
        <f>IFERROR(IF(open[[#This Row],[Amount Due]]="","",open[[#This Row],[Amount Due]]-SUMIF('Record Customer Payments'!B:B,open[[#This Row],[Invoice'#]],'Record Customer Payments'!F:F)),"")</f>
        <v/>
      </c>
      <c r="H178" s="55"/>
      <c r="I178" s="56"/>
      <c r="J178" s="57"/>
      <c r="K178" s="58"/>
      <c r="L178" s="59"/>
      <c r="M178" s="59"/>
      <c r="N178" s="59"/>
    </row>
    <row r="179" spans="2:14" s="53" customFormat="1" ht="16.149999999999999" customHeight="1" x14ac:dyDescent="0.25">
      <c r="B179" s="56" t="str">
        <f>IF(Invoices[[#This Row],[Invoice '#]]="","",Invoices[[#This Row],[Invoice '#]])</f>
        <v/>
      </c>
      <c r="C179" s="53" t="str">
        <f>IFERROR(VLOOKUP(open[[#This Row],[Invoice'#]],'Enter Invoices'!C:H,2,0),"")</f>
        <v/>
      </c>
      <c r="D179" s="52" t="str">
        <f>IFERROR(VLOOKUP(open[[#This Row],[Invoice'#]],'Enter Invoices'!C:H,6,0),"")</f>
        <v/>
      </c>
      <c r="E179" s="66" t="str">
        <f>IFERROR(VLOOKUP(open[[#This Row],[Invoice'#]],'Enter Invoices'!C:H,5,0),"")</f>
        <v/>
      </c>
      <c r="F179" s="54" t="str">
        <f>IFERROR(IF(open[[#This Row],[Amount Due]]="","",open[[#This Row],[Amount Due]]-SUMIF('Record Customer Payments'!B:B,open[[#This Row],[Invoice'#]],'Record Customer Payments'!F:F)),"")</f>
        <v/>
      </c>
      <c r="H179" s="55"/>
      <c r="I179" s="56"/>
      <c r="J179" s="57"/>
      <c r="K179" s="58"/>
      <c r="L179" s="59"/>
      <c r="M179" s="59"/>
      <c r="N179" s="59"/>
    </row>
    <row r="180" spans="2:14" s="53" customFormat="1" ht="16.149999999999999" customHeight="1" x14ac:dyDescent="0.25">
      <c r="B180" s="56" t="str">
        <f>IF(Invoices[[#This Row],[Invoice '#]]="","",Invoices[[#This Row],[Invoice '#]])</f>
        <v/>
      </c>
      <c r="C180" s="53" t="str">
        <f>IFERROR(VLOOKUP(open[[#This Row],[Invoice'#]],'Enter Invoices'!C:H,2,0),"")</f>
        <v/>
      </c>
      <c r="D180" s="52" t="str">
        <f>IFERROR(VLOOKUP(open[[#This Row],[Invoice'#]],'Enter Invoices'!C:H,6,0),"")</f>
        <v/>
      </c>
      <c r="E180" s="66" t="str">
        <f>IFERROR(VLOOKUP(open[[#This Row],[Invoice'#]],'Enter Invoices'!C:H,5,0),"")</f>
        <v/>
      </c>
      <c r="F180" s="54" t="str">
        <f>IFERROR(IF(open[[#This Row],[Amount Due]]="","",open[[#This Row],[Amount Due]]-SUMIF('Record Customer Payments'!B:B,open[[#This Row],[Invoice'#]],'Record Customer Payments'!F:F)),"")</f>
        <v/>
      </c>
      <c r="H180" s="55"/>
      <c r="I180" s="56"/>
      <c r="J180" s="57"/>
      <c r="K180" s="58"/>
      <c r="L180" s="59"/>
      <c r="M180" s="59"/>
      <c r="N180" s="59"/>
    </row>
    <row r="181" spans="2:14" s="53" customFormat="1" ht="16.149999999999999" customHeight="1" x14ac:dyDescent="0.25">
      <c r="B181" s="56" t="str">
        <f>IF(Invoices[[#This Row],[Invoice '#]]="","",Invoices[[#This Row],[Invoice '#]])</f>
        <v/>
      </c>
      <c r="C181" s="53" t="str">
        <f>IFERROR(VLOOKUP(open[[#This Row],[Invoice'#]],'Enter Invoices'!C:H,2,0),"")</f>
        <v/>
      </c>
      <c r="D181" s="52" t="str">
        <f>IFERROR(VLOOKUP(open[[#This Row],[Invoice'#]],'Enter Invoices'!C:H,6,0),"")</f>
        <v/>
      </c>
      <c r="E181" s="66" t="str">
        <f>IFERROR(VLOOKUP(open[[#This Row],[Invoice'#]],'Enter Invoices'!C:H,5,0),"")</f>
        <v/>
      </c>
      <c r="F181" s="54" t="str">
        <f>IFERROR(IF(open[[#This Row],[Amount Due]]="","",open[[#This Row],[Amount Due]]-SUMIF('Record Customer Payments'!B:B,open[[#This Row],[Invoice'#]],'Record Customer Payments'!F:F)),"")</f>
        <v/>
      </c>
      <c r="H181" s="55"/>
      <c r="I181" s="56"/>
      <c r="J181" s="57"/>
      <c r="K181" s="58"/>
      <c r="L181" s="59"/>
      <c r="M181" s="59"/>
      <c r="N181" s="59"/>
    </row>
    <row r="182" spans="2:14" s="53" customFormat="1" ht="16.149999999999999" customHeight="1" x14ac:dyDescent="0.25">
      <c r="B182" s="56" t="str">
        <f>IF(Invoices[[#This Row],[Invoice '#]]="","",Invoices[[#This Row],[Invoice '#]])</f>
        <v/>
      </c>
      <c r="C182" s="53" t="str">
        <f>IFERROR(VLOOKUP(open[[#This Row],[Invoice'#]],'Enter Invoices'!C:H,2,0),"")</f>
        <v/>
      </c>
      <c r="D182" s="52" t="str">
        <f>IFERROR(VLOOKUP(open[[#This Row],[Invoice'#]],'Enter Invoices'!C:H,6,0),"")</f>
        <v/>
      </c>
      <c r="E182" s="66" t="str">
        <f>IFERROR(VLOOKUP(open[[#This Row],[Invoice'#]],'Enter Invoices'!C:H,5,0),"")</f>
        <v/>
      </c>
      <c r="F182" s="54" t="str">
        <f>IFERROR(IF(open[[#This Row],[Amount Due]]="","",open[[#This Row],[Amount Due]]-SUMIF('Record Customer Payments'!B:B,open[[#This Row],[Invoice'#]],'Record Customer Payments'!F:F)),"")</f>
        <v/>
      </c>
      <c r="H182" s="55"/>
      <c r="I182" s="56"/>
      <c r="J182" s="57"/>
      <c r="K182" s="58"/>
      <c r="L182" s="59"/>
      <c r="M182" s="59"/>
      <c r="N182" s="59"/>
    </row>
    <row r="183" spans="2:14" s="53" customFormat="1" ht="16.149999999999999" customHeight="1" x14ac:dyDescent="0.25">
      <c r="B183" s="56" t="str">
        <f>IF(Invoices[[#This Row],[Invoice '#]]="","",Invoices[[#This Row],[Invoice '#]])</f>
        <v/>
      </c>
      <c r="C183" s="53" t="str">
        <f>IFERROR(VLOOKUP(open[[#This Row],[Invoice'#]],'Enter Invoices'!C:H,2,0),"")</f>
        <v/>
      </c>
      <c r="D183" s="52" t="str">
        <f>IFERROR(VLOOKUP(open[[#This Row],[Invoice'#]],'Enter Invoices'!C:H,6,0),"")</f>
        <v/>
      </c>
      <c r="E183" s="66" t="str">
        <f>IFERROR(VLOOKUP(open[[#This Row],[Invoice'#]],'Enter Invoices'!C:H,5,0),"")</f>
        <v/>
      </c>
      <c r="F183" s="54" t="str">
        <f>IFERROR(IF(open[[#This Row],[Amount Due]]="","",open[[#This Row],[Amount Due]]-SUMIF('Record Customer Payments'!B:B,open[[#This Row],[Invoice'#]],'Record Customer Payments'!F:F)),"")</f>
        <v/>
      </c>
      <c r="H183" s="55"/>
      <c r="I183" s="56"/>
      <c r="J183" s="57"/>
      <c r="K183" s="58"/>
      <c r="L183" s="59"/>
      <c r="M183" s="59"/>
      <c r="N183" s="59"/>
    </row>
    <row r="184" spans="2:14" s="53" customFormat="1" ht="16.149999999999999" customHeight="1" x14ac:dyDescent="0.25">
      <c r="B184" s="56" t="str">
        <f>IF(Invoices[[#This Row],[Invoice '#]]="","",Invoices[[#This Row],[Invoice '#]])</f>
        <v/>
      </c>
      <c r="C184" s="53" t="str">
        <f>IFERROR(VLOOKUP(open[[#This Row],[Invoice'#]],'Enter Invoices'!C:H,2,0),"")</f>
        <v/>
      </c>
      <c r="D184" s="52" t="str">
        <f>IFERROR(VLOOKUP(open[[#This Row],[Invoice'#]],'Enter Invoices'!C:H,6,0),"")</f>
        <v/>
      </c>
      <c r="E184" s="66" t="str">
        <f>IFERROR(VLOOKUP(open[[#This Row],[Invoice'#]],'Enter Invoices'!C:H,5,0),"")</f>
        <v/>
      </c>
      <c r="F184" s="54" t="str">
        <f>IFERROR(IF(open[[#This Row],[Amount Due]]="","",open[[#This Row],[Amount Due]]-SUMIF('Record Customer Payments'!B:B,open[[#This Row],[Invoice'#]],'Record Customer Payments'!F:F)),"")</f>
        <v/>
      </c>
      <c r="H184" s="55"/>
      <c r="I184" s="56"/>
      <c r="J184" s="57"/>
      <c r="K184" s="58"/>
      <c r="L184" s="59"/>
      <c r="M184" s="59"/>
      <c r="N184" s="59"/>
    </row>
    <row r="185" spans="2:14" s="53" customFormat="1" ht="16.149999999999999" customHeight="1" x14ac:dyDescent="0.25">
      <c r="B185" s="56" t="str">
        <f>IF(Invoices[[#This Row],[Invoice '#]]="","",Invoices[[#This Row],[Invoice '#]])</f>
        <v/>
      </c>
      <c r="C185" s="53" t="str">
        <f>IFERROR(VLOOKUP(open[[#This Row],[Invoice'#]],'Enter Invoices'!C:H,2,0),"")</f>
        <v/>
      </c>
      <c r="D185" s="52" t="str">
        <f>IFERROR(VLOOKUP(open[[#This Row],[Invoice'#]],'Enter Invoices'!C:H,6,0),"")</f>
        <v/>
      </c>
      <c r="E185" s="66" t="str">
        <f>IFERROR(VLOOKUP(open[[#This Row],[Invoice'#]],'Enter Invoices'!C:H,5,0),"")</f>
        <v/>
      </c>
      <c r="F185" s="54" t="str">
        <f>IFERROR(IF(open[[#This Row],[Amount Due]]="","",open[[#This Row],[Amount Due]]-SUMIF('Record Customer Payments'!B:B,open[[#This Row],[Invoice'#]],'Record Customer Payments'!F:F)),"")</f>
        <v/>
      </c>
      <c r="H185" s="55"/>
      <c r="I185" s="56"/>
      <c r="J185" s="57"/>
      <c r="K185" s="58"/>
      <c r="L185" s="59"/>
      <c r="M185" s="59"/>
      <c r="N185" s="59"/>
    </row>
    <row r="186" spans="2:14" s="53" customFormat="1" ht="16.149999999999999" customHeight="1" x14ac:dyDescent="0.25">
      <c r="B186" s="56" t="str">
        <f>IF(Invoices[[#This Row],[Invoice '#]]="","",Invoices[[#This Row],[Invoice '#]])</f>
        <v/>
      </c>
      <c r="C186" s="53" t="str">
        <f>IFERROR(VLOOKUP(open[[#This Row],[Invoice'#]],'Enter Invoices'!C:H,2,0),"")</f>
        <v/>
      </c>
      <c r="D186" s="52" t="str">
        <f>IFERROR(VLOOKUP(open[[#This Row],[Invoice'#]],'Enter Invoices'!C:H,6,0),"")</f>
        <v/>
      </c>
      <c r="E186" s="66" t="str">
        <f>IFERROR(VLOOKUP(open[[#This Row],[Invoice'#]],'Enter Invoices'!C:H,5,0),"")</f>
        <v/>
      </c>
      <c r="F186" s="54" t="str">
        <f>IFERROR(IF(open[[#This Row],[Amount Due]]="","",open[[#This Row],[Amount Due]]-SUMIF('Record Customer Payments'!B:B,open[[#This Row],[Invoice'#]],'Record Customer Payments'!F:F)),"")</f>
        <v/>
      </c>
      <c r="H186" s="55"/>
      <c r="I186" s="56"/>
      <c r="J186" s="57"/>
      <c r="K186" s="58"/>
      <c r="L186" s="59"/>
      <c r="M186" s="59"/>
      <c r="N186" s="59"/>
    </row>
    <row r="187" spans="2:14" s="53" customFormat="1" ht="16.149999999999999" customHeight="1" x14ac:dyDescent="0.25">
      <c r="B187" s="56" t="str">
        <f>IF(Invoices[[#This Row],[Invoice '#]]="","",Invoices[[#This Row],[Invoice '#]])</f>
        <v/>
      </c>
      <c r="C187" s="53" t="str">
        <f>IFERROR(VLOOKUP(open[[#This Row],[Invoice'#]],'Enter Invoices'!C:H,2,0),"")</f>
        <v/>
      </c>
      <c r="D187" s="52" t="str">
        <f>IFERROR(VLOOKUP(open[[#This Row],[Invoice'#]],'Enter Invoices'!C:H,6,0),"")</f>
        <v/>
      </c>
      <c r="E187" s="66" t="str">
        <f>IFERROR(VLOOKUP(open[[#This Row],[Invoice'#]],'Enter Invoices'!C:H,5,0),"")</f>
        <v/>
      </c>
      <c r="F187" s="54" t="str">
        <f>IFERROR(IF(open[[#This Row],[Amount Due]]="","",open[[#This Row],[Amount Due]]-SUMIF('Record Customer Payments'!B:B,open[[#This Row],[Invoice'#]],'Record Customer Payments'!F:F)),"")</f>
        <v/>
      </c>
      <c r="H187" s="55"/>
      <c r="I187" s="56"/>
      <c r="J187" s="57"/>
      <c r="K187" s="58"/>
      <c r="L187" s="59"/>
      <c r="M187" s="59"/>
      <c r="N187" s="59"/>
    </row>
    <row r="188" spans="2:14" s="53" customFormat="1" ht="16.149999999999999" customHeight="1" x14ac:dyDescent="0.25">
      <c r="B188" s="56" t="str">
        <f>IF(Invoices[[#This Row],[Invoice '#]]="","",Invoices[[#This Row],[Invoice '#]])</f>
        <v/>
      </c>
      <c r="C188" s="53" t="str">
        <f>IFERROR(VLOOKUP(open[[#This Row],[Invoice'#]],'Enter Invoices'!C:H,2,0),"")</f>
        <v/>
      </c>
      <c r="D188" s="52" t="str">
        <f>IFERROR(VLOOKUP(open[[#This Row],[Invoice'#]],'Enter Invoices'!C:H,6,0),"")</f>
        <v/>
      </c>
      <c r="E188" s="66" t="str">
        <f>IFERROR(VLOOKUP(open[[#This Row],[Invoice'#]],'Enter Invoices'!C:H,5,0),"")</f>
        <v/>
      </c>
      <c r="F188" s="54" t="str">
        <f>IFERROR(IF(open[[#This Row],[Amount Due]]="","",open[[#This Row],[Amount Due]]-SUMIF('Record Customer Payments'!B:B,open[[#This Row],[Invoice'#]],'Record Customer Payments'!F:F)),"")</f>
        <v/>
      </c>
      <c r="H188" s="55"/>
      <c r="I188" s="56"/>
      <c r="J188" s="57"/>
      <c r="K188" s="58"/>
      <c r="L188" s="59"/>
      <c r="M188" s="59"/>
      <c r="N188" s="59"/>
    </row>
    <row r="189" spans="2:14" s="53" customFormat="1" ht="16.149999999999999" customHeight="1" x14ac:dyDescent="0.25">
      <c r="B189" s="56" t="str">
        <f>IF(Invoices[[#This Row],[Invoice '#]]="","",Invoices[[#This Row],[Invoice '#]])</f>
        <v/>
      </c>
      <c r="C189" s="53" t="str">
        <f>IFERROR(VLOOKUP(open[[#This Row],[Invoice'#]],'Enter Invoices'!C:H,2,0),"")</f>
        <v/>
      </c>
      <c r="D189" s="52" t="str">
        <f>IFERROR(VLOOKUP(open[[#This Row],[Invoice'#]],'Enter Invoices'!C:H,6,0),"")</f>
        <v/>
      </c>
      <c r="E189" s="66" t="str">
        <f>IFERROR(VLOOKUP(open[[#This Row],[Invoice'#]],'Enter Invoices'!C:H,5,0),"")</f>
        <v/>
      </c>
      <c r="F189" s="54" t="str">
        <f>IFERROR(IF(open[[#This Row],[Amount Due]]="","",open[[#This Row],[Amount Due]]-SUMIF('Record Customer Payments'!B:B,open[[#This Row],[Invoice'#]],'Record Customer Payments'!F:F)),"")</f>
        <v/>
      </c>
      <c r="H189" s="55"/>
      <c r="I189" s="56"/>
      <c r="J189" s="57"/>
      <c r="K189" s="58"/>
      <c r="L189" s="59"/>
      <c r="M189" s="59"/>
      <c r="N189" s="59"/>
    </row>
    <row r="190" spans="2:14" s="53" customFormat="1" ht="16.149999999999999" customHeight="1" x14ac:dyDescent="0.25">
      <c r="B190" s="56" t="str">
        <f>IF(Invoices[[#This Row],[Invoice '#]]="","",Invoices[[#This Row],[Invoice '#]])</f>
        <v/>
      </c>
      <c r="C190" s="53" t="str">
        <f>IFERROR(VLOOKUP(open[[#This Row],[Invoice'#]],'Enter Invoices'!C:H,2,0),"")</f>
        <v/>
      </c>
      <c r="D190" s="52" t="str">
        <f>IFERROR(VLOOKUP(open[[#This Row],[Invoice'#]],'Enter Invoices'!C:H,6,0),"")</f>
        <v/>
      </c>
      <c r="E190" s="66" t="str">
        <f>IFERROR(VLOOKUP(open[[#This Row],[Invoice'#]],'Enter Invoices'!C:H,5,0),"")</f>
        <v/>
      </c>
      <c r="F190" s="54" t="str">
        <f>IFERROR(IF(open[[#This Row],[Amount Due]]="","",open[[#This Row],[Amount Due]]-SUMIF('Record Customer Payments'!B:B,open[[#This Row],[Invoice'#]],'Record Customer Payments'!F:F)),"")</f>
        <v/>
      </c>
      <c r="H190" s="55"/>
      <c r="I190" s="56"/>
      <c r="J190" s="57"/>
      <c r="K190" s="58"/>
      <c r="L190" s="59"/>
      <c r="M190" s="59"/>
      <c r="N190" s="59"/>
    </row>
    <row r="191" spans="2:14" s="53" customFormat="1" ht="16.149999999999999" customHeight="1" x14ac:dyDescent="0.25">
      <c r="B191" s="56" t="str">
        <f>IF(Invoices[[#This Row],[Invoice '#]]="","",Invoices[[#This Row],[Invoice '#]])</f>
        <v/>
      </c>
      <c r="C191" s="53" t="str">
        <f>IFERROR(VLOOKUP(open[[#This Row],[Invoice'#]],'Enter Invoices'!C:H,2,0),"")</f>
        <v/>
      </c>
      <c r="D191" s="52" t="str">
        <f>IFERROR(VLOOKUP(open[[#This Row],[Invoice'#]],'Enter Invoices'!C:H,6,0),"")</f>
        <v/>
      </c>
      <c r="E191" s="66" t="str">
        <f>IFERROR(VLOOKUP(open[[#This Row],[Invoice'#]],'Enter Invoices'!C:H,5,0),"")</f>
        <v/>
      </c>
      <c r="F191" s="54" t="str">
        <f>IFERROR(IF(open[[#This Row],[Amount Due]]="","",open[[#This Row],[Amount Due]]-SUMIF('Record Customer Payments'!B:B,open[[#This Row],[Invoice'#]],'Record Customer Payments'!F:F)),"")</f>
        <v/>
      </c>
      <c r="H191" s="55"/>
      <c r="I191" s="56"/>
      <c r="J191" s="57"/>
      <c r="K191" s="58"/>
      <c r="L191" s="59"/>
      <c r="M191" s="59"/>
      <c r="N191" s="59"/>
    </row>
    <row r="192" spans="2:14" s="53" customFormat="1" ht="16.149999999999999" customHeight="1" x14ac:dyDescent="0.25">
      <c r="B192" s="56" t="str">
        <f>IF(Invoices[[#This Row],[Invoice '#]]="","",Invoices[[#This Row],[Invoice '#]])</f>
        <v/>
      </c>
      <c r="C192" s="53" t="str">
        <f>IFERROR(VLOOKUP(open[[#This Row],[Invoice'#]],'Enter Invoices'!C:H,2,0),"")</f>
        <v/>
      </c>
      <c r="D192" s="52" t="str">
        <f>IFERROR(VLOOKUP(open[[#This Row],[Invoice'#]],'Enter Invoices'!C:H,6,0),"")</f>
        <v/>
      </c>
      <c r="E192" s="66" t="str">
        <f>IFERROR(VLOOKUP(open[[#This Row],[Invoice'#]],'Enter Invoices'!C:H,5,0),"")</f>
        <v/>
      </c>
      <c r="F192" s="54" t="str">
        <f>IFERROR(IF(open[[#This Row],[Amount Due]]="","",open[[#This Row],[Amount Due]]-SUMIF('Record Customer Payments'!B:B,open[[#This Row],[Invoice'#]],'Record Customer Payments'!F:F)),"")</f>
        <v/>
      </c>
      <c r="H192" s="55"/>
      <c r="I192" s="56"/>
      <c r="J192" s="57"/>
      <c r="K192" s="58"/>
      <c r="L192" s="59"/>
      <c r="M192" s="59"/>
      <c r="N192" s="59"/>
    </row>
    <row r="193" spans="2:14" s="53" customFormat="1" ht="16.149999999999999" customHeight="1" x14ac:dyDescent="0.25">
      <c r="B193" s="56" t="str">
        <f>IF(Invoices[[#This Row],[Invoice '#]]="","",Invoices[[#This Row],[Invoice '#]])</f>
        <v/>
      </c>
      <c r="C193" s="53" t="str">
        <f>IFERROR(VLOOKUP(open[[#This Row],[Invoice'#]],'Enter Invoices'!C:H,2,0),"")</f>
        <v/>
      </c>
      <c r="D193" s="52" t="str">
        <f>IFERROR(VLOOKUP(open[[#This Row],[Invoice'#]],'Enter Invoices'!C:H,6,0),"")</f>
        <v/>
      </c>
      <c r="E193" s="66" t="str">
        <f>IFERROR(VLOOKUP(open[[#This Row],[Invoice'#]],'Enter Invoices'!C:H,5,0),"")</f>
        <v/>
      </c>
      <c r="F193" s="54" t="str">
        <f>IFERROR(IF(open[[#This Row],[Amount Due]]="","",open[[#This Row],[Amount Due]]-SUMIF('Record Customer Payments'!B:B,open[[#This Row],[Invoice'#]],'Record Customer Payments'!F:F)),"")</f>
        <v/>
      </c>
      <c r="H193" s="55"/>
      <c r="I193" s="56"/>
      <c r="J193" s="57"/>
      <c r="K193" s="58"/>
      <c r="L193" s="59"/>
      <c r="M193" s="59"/>
      <c r="N193" s="59"/>
    </row>
    <row r="194" spans="2:14" s="53" customFormat="1" ht="16.149999999999999" customHeight="1" x14ac:dyDescent="0.25">
      <c r="B194" s="56" t="str">
        <f>IF(Invoices[[#This Row],[Invoice '#]]="","",Invoices[[#This Row],[Invoice '#]])</f>
        <v/>
      </c>
      <c r="C194" s="53" t="str">
        <f>IFERROR(VLOOKUP(open[[#This Row],[Invoice'#]],'Enter Invoices'!C:H,2,0),"")</f>
        <v/>
      </c>
      <c r="D194" s="52" t="str">
        <f>IFERROR(VLOOKUP(open[[#This Row],[Invoice'#]],'Enter Invoices'!C:H,6,0),"")</f>
        <v/>
      </c>
      <c r="E194" s="66" t="str">
        <f>IFERROR(VLOOKUP(open[[#This Row],[Invoice'#]],'Enter Invoices'!C:H,5,0),"")</f>
        <v/>
      </c>
      <c r="F194" s="54" t="str">
        <f>IFERROR(IF(open[[#This Row],[Amount Due]]="","",open[[#This Row],[Amount Due]]-SUMIF('Record Customer Payments'!B:B,open[[#This Row],[Invoice'#]],'Record Customer Payments'!F:F)),"")</f>
        <v/>
      </c>
      <c r="H194" s="55"/>
      <c r="I194" s="56"/>
      <c r="J194" s="57"/>
      <c r="K194" s="58"/>
      <c r="L194" s="59"/>
      <c r="M194" s="59"/>
      <c r="N194" s="59"/>
    </row>
    <row r="195" spans="2:14" s="53" customFormat="1" ht="16.149999999999999" customHeight="1" x14ac:dyDescent="0.25">
      <c r="B195" s="56" t="str">
        <f>IF(Invoices[[#This Row],[Invoice '#]]="","",Invoices[[#This Row],[Invoice '#]])</f>
        <v/>
      </c>
      <c r="C195" s="53" t="str">
        <f>IFERROR(VLOOKUP(open[[#This Row],[Invoice'#]],'Enter Invoices'!C:H,2,0),"")</f>
        <v/>
      </c>
      <c r="D195" s="52" t="str">
        <f>IFERROR(VLOOKUP(open[[#This Row],[Invoice'#]],'Enter Invoices'!C:H,6,0),"")</f>
        <v/>
      </c>
      <c r="E195" s="66" t="str">
        <f>IFERROR(VLOOKUP(open[[#This Row],[Invoice'#]],'Enter Invoices'!C:H,5,0),"")</f>
        <v/>
      </c>
      <c r="F195" s="54" t="str">
        <f>IFERROR(IF(open[[#This Row],[Amount Due]]="","",open[[#This Row],[Amount Due]]-SUMIF('Record Customer Payments'!B:B,open[[#This Row],[Invoice'#]],'Record Customer Payments'!F:F)),"")</f>
        <v/>
      </c>
      <c r="H195" s="55"/>
      <c r="I195" s="56"/>
      <c r="J195" s="57"/>
      <c r="K195" s="58"/>
      <c r="L195" s="59"/>
      <c r="M195" s="59"/>
      <c r="N195" s="59"/>
    </row>
    <row r="196" spans="2:14" s="53" customFormat="1" ht="16.149999999999999" customHeight="1" x14ac:dyDescent="0.25">
      <c r="B196" s="56" t="str">
        <f>IF(Invoices[[#This Row],[Invoice '#]]="","",Invoices[[#This Row],[Invoice '#]])</f>
        <v/>
      </c>
      <c r="C196" s="53" t="str">
        <f>IFERROR(VLOOKUP(open[[#This Row],[Invoice'#]],'Enter Invoices'!C:H,2,0),"")</f>
        <v/>
      </c>
      <c r="D196" s="52" t="str">
        <f>IFERROR(VLOOKUP(open[[#This Row],[Invoice'#]],'Enter Invoices'!C:H,6,0),"")</f>
        <v/>
      </c>
      <c r="E196" s="66" t="str">
        <f>IFERROR(VLOOKUP(open[[#This Row],[Invoice'#]],'Enter Invoices'!C:H,5,0),"")</f>
        <v/>
      </c>
      <c r="F196" s="54" t="str">
        <f>IFERROR(IF(open[[#This Row],[Amount Due]]="","",open[[#This Row],[Amount Due]]-SUMIF('Record Customer Payments'!B:B,open[[#This Row],[Invoice'#]],'Record Customer Payments'!F:F)),"")</f>
        <v/>
      </c>
      <c r="H196" s="55"/>
      <c r="I196" s="56"/>
      <c r="J196" s="57"/>
      <c r="K196" s="58"/>
      <c r="L196" s="59"/>
      <c r="M196" s="59"/>
      <c r="N196" s="59"/>
    </row>
    <row r="197" spans="2:14" s="53" customFormat="1" ht="16.149999999999999" customHeight="1" x14ac:dyDescent="0.25">
      <c r="B197" s="56" t="str">
        <f>IF(Invoices[[#This Row],[Invoice '#]]="","",Invoices[[#This Row],[Invoice '#]])</f>
        <v/>
      </c>
      <c r="C197" s="53" t="str">
        <f>IFERROR(VLOOKUP(open[[#This Row],[Invoice'#]],'Enter Invoices'!C:H,2,0),"")</f>
        <v/>
      </c>
      <c r="D197" s="52" t="str">
        <f>IFERROR(VLOOKUP(open[[#This Row],[Invoice'#]],'Enter Invoices'!C:H,6,0),"")</f>
        <v/>
      </c>
      <c r="E197" s="66" t="str">
        <f>IFERROR(VLOOKUP(open[[#This Row],[Invoice'#]],'Enter Invoices'!C:H,5,0),"")</f>
        <v/>
      </c>
      <c r="F197" s="54" t="str">
        <f>IFERROR(IF(open[[#This Row],[Amount Due]]="","",open[[#This Row],[Amount Due]]-SUMIF('Record Customer Payments'!B:B,open[[#This Row],[Invoice'#]],'Record Customer Payments'!F:F)),"")</f>
        <v/>
      </c>
      <c r="H197" s="55"/>
      <c r="I197" s="56"/>
      <c r="J197" s="57"/>
      <c r="K197" s="58"/>
      <c r="L197" s="59"/>
      <c r="M197" s="59"/>
      <c r="N197" s="59"/>
    </row>
    <row r="198" spans="2:14" s="53" customFormat="1" ht="16.149999999999999" customHeight="1" x14ac:dyDescent="0.25">
      <c r="B198" s="56" t="str">
        <f>IF(Invoices[[#This Row],[Invoice '#]]="","",Invoices[[#This Row],[Invoice '#]])</f>
        <v/>
      </c>
      <c r="C198" s="53" t="str">
        <f>IFERROR(VLOOKUP(open[[#This Row],[Invoice'#]],'Enter Invoices'!C:H,2,0),"")</f>
        <v/>
      </c>
      <c r="D198" s="52" t="str">
        <f>IFERROR(VLOOKUP(open[[#This Row],[Invoice'#]],'Enter Invoices'!C:H,6,0),"")</f>
        <v/>
      </c>
      <c r="E198" s="66" t="str">
        <f>IFERROR(VLOOKUP(open[[#This Row],[Invoice'#]],'Enter Invoices'!C:H,5,0),"")</f>
        <v/>
      </c>
      <c r="F198" s="54" t="str">
        <f>IFERROR(IF(open[[#This Row],[Amount Due]]="","",open[[#This Row],[Amount Due]]-SUMIF('Record Customer Payments'!B:B,open[[#This Row],[Invoice'#]],'Record Customer Payments'!F:F)),"")</f>
        <v/>
      </c>
      <c r="H198" s="55"/>
      <c r="I198" s="56"/>
      <c r="J198" s="57"/>
      <c r="K198" s="58"/>
      <c r="L198" s="59"/>
      <c r="M198" s="59"/>
      <c r="N198" s="59"/>
    </row>
    <row r="199" spans="2:14" s="53" customFormat="1" ht="16.149999999999999" customHeight="1" x14ac:dyDescent="0.25">
      <c r="B199" s="56" t="str">
        <f>IF(Invoices[[#This Row],[Invoice '#]]="","",Invoices[[#This Row],[Invoice '#]])</f>
        <v/>
      </c>
      <c r="C199" s="53" t="str">
        <f>IFERROR(VLOOKUP(open[[#This Row],[Invoice'#]],'Enter Invoices'!C:H,2,0),"")</f>
        <v/>
      </c>
      <c r="D199" s="52" t="str">
        <f>IFERROR(VLOOKUP(open[[#This Row],[Invoice'#]],'Enter Invoices'!C:H,6,0),"")</f>
        <v/>
      </c>
      <c r="E199" s="66" t="str">
        <f>IFERROR(VLOOKUP(open[[#This Row],[Invoice'#]],'Enter Invoices'!C:H,5,0),"")</f>
        <v/>
      </c>
      <c r="F199" s="54" t="str">
        <f>IFERROR(IF(open[[#This Row],[Amount Due]]="","",open[[#This Row],[Amount Due]]-SUMIF('Record Customer Payments'!B:B,open[[#This Row],[Invoice'#]],'Record Customer Payments'!F:F)),"")</f>
        <v/>
      </c>
      <c r="H199" s="55"/>
      <c r="I199" s="56"/>
      <c r="J199" s="57"/>
      <c r="K199" s="58"/>
      <c r="L199" s="59"/>
      <c r="M199" s="59"/>
      <c r="N199" s="59"/>
    </row>
    <row r="200" spans="2:14" s="53" customFormat="1" ht="16.149999999999999" customHeight="1" x14ac:dyDescent="0.25">
      <c r="B200" s="56" t="str">
        <f>IF(Invoices[[#This Row],[Invoice '#]]="","",Invoices[[#This Row],[Invoice '#]])</f>
        <v/>
      </c>
      <c r="C200" s="53" t="str">
        <f>IFERROR(VLOOKUP(open[[#This Row],[Invoice'#]],'Enter Invoices'!C:H,2,0),"")</f>
        <v/>
      </c>
      <c r="D200" s="52" t="str">
        <f>IFERROR(VLOOKUP(open[[#This Row],[Invoice'#]],'Enter Invoices'!C:H,6,0),"")</f>
        <v/>
      </c>
      <c r="E200" s="66" t="str">
        <f>IFERROR(VLOOKUP(open[[#This Row],[Invoice'#]],'Enter Invoices'!C:H,5,0),"")</f>
        <v/>
      </c>
      <c r="F200" s="54" t="str">
        <f>IFERROR(IF(open[[#This Row],[Amount Due]]="","",open[[#This Row],[Amount Due]]-SUMIF('Record Customer Payments'!B:B,open[[#This Row],[Invoice'#]],'Record Customer Payments'!F:F)),"")</f>
        <v/>
      </c>
      <c r="H200" s="55"/>
      <c r="I200" s="56"/>
      <c r="J200" s="57"/>
      <c r="K200" s="58"/>
      <c r="L200" s="59"/>
      <c r="M200" s="59"/>
      <c r="N200" s="59"/>
    </row>
    <row r="201" spans="2:14" s="53" customFormat="1" ht="16.149999999999999" customHeight="1" x14ac:dyDescent="0.25">
      <c r="B201" s="56" t="str">
        <f>IF(Invoices[[#This Row],[Invoice '#]]="","",Invoices[[#This Row],[Invoice '#]])</f>
        <v/>
      </c>
      <c r="C201" s="53" t="str">
        <f>IFERROR(VLOOKUP(open[[#This Row],[Invoice'#]],'Enter Invoices'!C:H,2,0),"")</f>
        <v/>
      </c>
      <c r="D201" s="52" t="str">
        <f>IFERROR(VLOOKUP(open[[#This Row],[Invoice'#]],'Enter Invoices'!C:H,6,0),"")</f>
        <v/>
      </c>
      <c r="E201" s="66" t="str">
        <f>IFERROR(VLOOKUP(open[[#This Row],[Invoice'#]],'Enter Invoices'!C:H,5,0),"")</f>
        <v/>
      </c>
      <c r="F201" s="54" t="str">
        <f>IFERROR(IF(open[[#This Row],[Amount Due]]="","",open[[#This Row],[Amount Due]]-SUMIF('Record Customer Payments'!B:B,open[[#This Row],[Invoice'#]],'Record Customer Payments'!F:F)),"")</f>
        <v/>
      </c>
      <c r="H201" s="55"/>
      <c r="I201" s="56"/>
      <c r="J201" s="57"/>
      <c r="K201" s="58"/>
      <c r="L201" s="59"/>
      <c r="M201" s="59"/>
      <c r="N201" s="59"/>
    </row>
    <row r="202" spans="2:14" s="53" customFormat="1" ht="16.149999999999999" customHeight="1" x14ac:dyDescent="0.25">
      <c r="B202" s="56" t="str">
        <f>IF(Invoices[[#This Row],[Invoice '#]]="","",Invoices[[#This Row],[Invoice '#]])</f>
        <v/>
      </c>
      <c r="C202" s="53" t="str">
        <f>IFERROR(VLOOKUP(open[[#This Row],[Invoice'#]],'Enter Invoices'!C:H,2,0),"")</f>
        <v/>
      </c>
      <c r="D202" s="52" t="str">
        <f>IFERROR(VLOOKUP(open[[#This Row],[Invoice'#]],'Enter Invoices'!C:H,6,0),"")</f>
        <v/>
      </c>
      <c r="E202" s="66" t="str">
        <f>IFERROR(VLOOKUP(open[[#This Row],[Invoice'#]],'Enter Invoices'!C:H,5,0),"")</f>
        <v/>
      </c>
      <c r="F202" s="54" t="str">
        <f>IFERROR(IF(open[[#This Row],[Amount Due]]="","",open[[#This Row],[Amount Due]]-SUMIF('Record Customer Payments'!B:B,open[[#This Row],[Invoice'#]],'Record Customer Payments'!F:F)),"")</f>
        <v/>
      </c>
      <c r="H202" s="55"/>
      <c r="I202" s="56"/>
      <c r="J202" s="57"/>
      <c r="K202" s="58"/>
      <c r="L202" s="59"/>
      <c r="M202" s="59"/>
      <c r="N202" s="59"/>
    </row>
    <row r="203" spans="2:14" s="53" customFormat="1" ht="16.149999999999999" customHeight="1" x14ac:dyDescent="0.25">
      <c r="B203" s="56" t="str">
        <f>IF(Invoices[[#This Row],[Invoice '#]]="","",Invoices[[#This Row],[Invoice '#]])</f>
        <v/>
      </c>
      <c r="C203" s="53" t="str">
        <f>IFERROR(VLOOKUP(open[[#This Row],[Invoice'#]],'Enter Invoices'!C:H,2,0),"")</f>
        <v/>
      </c>
      <c r="D203" s="52" t="str">
        <f>IFERROR(VLOOKUP(open[[#This Row],[Invoice'#]],'Enter Invoices'!C:H,6,0),"")</f>
        <v/>
      </c>
      <c r="E203" s="66" t="str">
        <f>IFERROR(VLOOKUP(open[[#This Row],[Invoice'#]],'Enter Invoices'!C:H,5,0),"")</f>
        <v/>
      </c>
      <c r="F203" s="54" t="str">
        <f>IFERROR(IF(open[[#This Row],[Amount Due]]="","",open[[#This Row],[Amount Due]]-SUMIF('Record Customer Payments'!B:B,open[[#This Row],[Invoice'#]],'Record Customer Payments'!F:F)),"")</f>
        <v/>
      </c>
      <c r="H203" s="55"/>
      <c r="I203" s="56"/>
      <c r="J203" s="57"/>
      <c r="K203" s="58"/>
      <c r="L203" s="59"/>
      <c r="M203" s="59"/>
      <c r="N203" s="59"/>
    </row>
    <row r="204" spans="2:14" s="53" customFormat="1" ht="16.149999999999999" customHeight="1" x14ac:dyDescent="0.25">
      <c r="B204" s="56" t="str">
        <f>IF(Invoices[[#This Row],[Invoice '#]]="","",Invoices[[#This Row],[Invoice '#]])</f>
        <v/>
      </c>
      <c r="C204" s="53" t="str">
        <f>IFERROR(VLOOKUP(open[[#This Row],[Invoice'#]],'Enter Invoices'!C:H,2,0),"")</f>
        <v/>
      </c>
      <c r="D204" s="52" t="str">
        <f>IFERROR(VLOOKUP(open[[#This Row],[Invoice'#]],'Enter Invoices'!C:H,6,0),"")</f>
        <v/>
      </c>
      <c r="E204" s="66" t="str">
        <f>IFERROR(VLOOKUP(open[[#This Row],[Invoice'#]],'Enter Invoices'!C:H,5,0),"")</f>
        <v/>
      </c>
      <c r="F204" s="54" t="str">
        <f>IFERROR(IF(open[[#This Row],[Amount Due]]="","",open[[#This Row],[Amount Due]]-SUMIF('Record Customer Payments'!B:B,open[[#This Row],[Invoice'#]],'Record Customer Payments'!F:F)),"")</f>
        <v/>
      </c>
      <c r="H204" s="55"/>
      <c r="I204" s="56"/>
      <c r="J204" s="57"/>
      <c r="K204" s="58"/>
      <c r="L204" s="59"/>
      <c r="M204" s="59"/>
      <c r="N204" s="59"/>
    </row>
    <row r="205" spans="2:14" s="53" customFormat="1" ht="16.149999999999999" customHeight="1" x14ac:dyDescent="0.25">
      <c r="B205" s="56" t="str">
        <f>IF(Invoices[[#This Row],[Invoice '#]]="","",Invoices[[#This Row],[Invoice '#]])</f>
        <v/>
      </c>
      <c r="C205" s="53" t="str">
        <f>IFERROR(VLOOKUP(open[[#This Row],[Invoice'#]],'Enter Invoices'!C:H,2,0),"")</f>
        <v/>
      </c>
      <c r="D205" s="52" t="str">
        <f>IFERROR(VLOOKUP(open[[#This Row],[Invoice'#]],'Enter Invoices'!C:H,6,0),"")</f>
        <v/>
      </c>
      <c r="E205" s="66" t="str">
        <f>IFERROR(VLOOKUP(open[[#This Row],[Invoice'#]],'Enter Invoices'!C:H,5,0),"")</f>
        <v/>
      </c>
      <c r="F205" s="54" t="str">
        <f>IFERROR(IF(open[[#This Row],[Amount Due]]="","",open[[#This Row],[Amount Due]]-SUMIF('Record Customer Payments'!B:B,open[[#This Row],[Invoice'#]],'Record Customer Payments'!F:F)),"")</f>
        <v/>
      </c>
      <c r="H205" s="55"/>
      <c r="I205" s="56"/>
      <c r="J205" s="57"/>
      <c r="K205" s="58"/>
      <c r="L205" s="59"/>
      <c r="M205" s="59"/>
      <c r="N205" s="59"/>
    </row>
    <row r="206" spans="2:14" s="53" customFormat="1" ht="16.149999999999999" customHeight="1" x14ac:dyDescent="0.25">
      <c r="B206" s="56" t="str">
        <f>IF(Invoices[[#This Row],[Invoice '#]]="","",Invoices[[#This Row],[Invoice '#]])</f>
        <v/>
      </c>
      <c r="C206" s="53" t="str">
        <f>IFERROR(VLOOKUP(open[[#This Row],[Invoice'#]],'Enter Invoices'!C:H,2,0),"")</f>
        <v/>
      </c>
      <c r="D206" s="52" t="str">
        <f>IFERROR(VLOOKUP(open[[#This Row],[Invoice'#]],'Enter Invoices'!C:H,6,0),"")</f>
        <v/>
      </c>
      <c r="E206" s="66" t="str">
        <f>IFERROR(VLOOKUP(open[[#This Row],[Invoice'#]],'Enter Invoices'!C:H,5,0),"")</f>
        <v/>
      </c>
      <c r="F206" s="54" t="str">
        <f>IFERROR(IF(open[[#This Row],[Amount Due]]="","",open[[#This Row],[Amount Due]]-SUMIF('Record Customer Payments'!B:B,open[[#This Row],[Invoice'#]],'Record Customer Payments'!F:F)),"")</f>
        <v/>
      </c>
      <c r="H206" s="55"/>
      <c r="I206" s="56"/>
      <c r="J206" s="57"/>
      <c r="K206" s="58"/>
      <c r="L206" s="59"/>
      <c r="M206" s="59"/>
      <c r="N206" s="59"/>
    </row>
    <row r="207" spans="2:14" s="53" customFormat="1" ht="16.149999999999999" customHeight="1" x14ac:dyDescent="0.25">
      <c r="B207" s="56" t="str">
        <f>IF(Invoices[[#This Row],[Invoice '#]]="","",Invoices[[#This Row],[Invoice '#]])</f>
        <v/>
      </c>
      <c r="C207" s="53" t="str">
        <f>IFERROR(VLOOKUP(open[[#This Row],[Invoice'#]],'Enter Invoices'!C:H,2,0),"")</f>
        <v/>
      </c>
      <c r="D207" s="52" t="str">
        <f>IFERROR(VLOOKUP(open[[#This Row],[Invoice'#]],'Enter Invoices'!C:H,6,0),"")</f>
        <v/>
      </c>
      <c r="E207" s="66" t="str">
        <f>IFERROR(VLOOKUP(open[[#This Row],[Invoice'#]],'Enter Invoices'!C:H,5,0),"")</f>
        <v/>
      </c>
      <c r="F207" s="54" t="str">
        <f>IFERROR(IF(open[[#This Row],[Amount Due]]="","",open[[#This Row],[Amount Due]]-SUMIF('Record Customer Payments'!B:B,open[[#This Row],[Invoice'#]],'Record Customer Payments'!F:F)),"")</f>
        <v/>
      </c>
      <c r="H207" s="55"/>
      <c r="I207" s="56"/>
      <c r="J207" s="57"/>
      <c r="K207" s="58"/>
      <c r="L207" s="59"/>
      <c r="M207" s="59"/>
      <c r="N207" s="59"/>
    </row>
    <row r="208" spans="2:14" s="53" customFormat="1" ht="16.149999999999999" customHeight="1" x14ac:dyDescent="0.25">
      <c r="B208" s="56" t="str">
        <f>IF(Invoices[[#This Row],[Invoice '#]]="","",Invoices[[#This Row],[Invoice '#]])</f>
        <v/>
      </c>
      <c r="C208" s="53" t="str">
        <f>IFERROR(VLOOKUP(open[[#This Row],[Invoice'#]],'Enter Invoices'!C:H,2,0),"")</f>
        <v/>
      </c>
      <c r="D208" s="52" t="str">
        <f>IFERROR(VLOOKUP(open[[#This Row],[Invoice'#]],'Enter Invoices'!C:H,6,0),"")</f>
        <v/>
      </c>
      <c r="E208" s="66" t="str">
        <f>IFERROR(VLOOKUP(open[[#This Row],[Invoice'#]],'Enter Invoices'!C:H,5,0),"")</f>
        <v/>
      </c>
      <c r="F208" s="54" t="str">
        <f>IFERROR(IF(open[[#This Row],[Amount Due]]="","",open[[#This Row],[Amount Due]]-SUMIF('Record Customer Payments'!B:B,open[[#This Row],[Invoice'#]],'Record Customer Payments'!F:F)),"")</f>
        <v/>
      </c>
      <c r="H208" s="55"/>
      <c r="I208" s="56"/>
      <c r="J208" s="57"/>
      <c r="K208" s="58"/>
      <c r="L208" s="59"/>
      <c r="M208" s="59"/>
      <c r="N208" s="59"/>
    </row>
    <row r="209" spans="2:14" s="53" customFormat="1" ht="16.149999999999999" customHeight="1" x14ac:dyDescent="0.25">
      <c r="B209" s="56" t="str">
        <f>IF(Invoices[[#This Row],[Invoice '#]]="","",Invoices[[#This Row],[Invoice '#]])</f>
        <v/>
      </c>
      <c r="C209" s="53" t="str">
        <f>IFERROR(VLOOKUP(open[[#This Row],[Invoice'#]],'Enter Invoices'!C:H,2,0),"")</f>
        <v/>
      </c>
      <c r="D209" s="52" t="str">
        <f>IFERROR(VLOOKUP(open[[#This Row],[Invoice'#]],'Enter Invoices'!C:H,6,0),"")</f>
        <v/>
      </c>
      <c r="E209" s="66" t="str">
        <f>IFERROR(VLOOKUP(open[[#This Row],[Invoice'#]],'Enter Invoices'!C:H,5,0),"")</f>
        <v/>
      </c>
      <c r="F209" s="54" t="str">
        <f>IFERROR(IF(open[[#This Row],[Amount Due]]="","",open[[#This Row],[Amount Due]]-SUMIF('Record Customer Payments'!B:B,open[[#This Row],[Invoice'#]],'Record Customer Payments'!F:F)),"")</f>
        <v/>
      </c>
      <c r="H209" s="55"/>
      <c r="I209" s="56"/>
      <c r="J209" s="57"/>
      <c r="K209" s="58"/>
      <c r="L209" s="59"/>
      <c r="M209" s="59"/>
      <c r="N209" s="59"/>
    </row>
    <row r="210" spans="2:14" s="53" customFormat="1" ht="16.149999999999999" customHeight="1" x14ac:dyDescent="0.25">
      <c r="B210" s="56" t="str">
        <f>IF(Invoices[[#This Row],[Invoice '#]]="","",Invoices[[#This Row],[Invoice '#]])</f>
        <v/>
      </c>
      <c r="C210" s="53" t="str">
        <f>IFERROR(VLOOKUP(open[[#This Row],[Invoice'#]],'Enter Invoices'!C:H,2,0),"")</f>
        <v/>
      </c>
      <c r="D210" s="52" t="str">
        <f>IFERROR(VLOOKUP(open[[#This Row],[Invoice'#]],'Enter Invoices'!C:H,6,0),"")</f>
        <v/>
      </c>
      <c r="E210" s="66" t="str">
        <f>IFERROR(VLOOKUP(open[[#This Row],[Invoice'#]],'Enter Invoices'!C:H,5,0),"")</f>
        <v/>
      </c>
      <c r="F210" s="54" t="str">
        <f>IFERROR(IF(open[[#This Row],[Amount Due]]="","",open[[#This Row],[Amount Due]]-SUMIF('Record Customer Payments'!B:B,open[[#This Row],[Invoice'#]],'Record Customer Payments'!F:F)),"")</f>
        <v/>
      </c>
      <c r="H210" s="55"/>
      <c r="I210" s="56"/>
      <c r="J210" s="57"/>
      <c r="K210" s="58"/>
      <c r="L210" s="59"/>
      <c r="M210" s="59"/>
      <c r="N210" s="59"/>
    </row>
    <row r="211" spans="2:14" s="53" customFormat="1" ht="16.149999999999999" customHeight="1" x14ac:dyDescent="0.25">
      <c r="B211" s="56" t="str">
        <f>IF(Invoices[[#This Row],[Invoice '#]]="","",Invoices[[#This Row],[Invoice '#]])</f>
        <v/>
      </c>
      <c r="C211" s="53" t="str">
        <f>IFERROR(VLOOKUP(open[[#This Row],[Invoice'#]],'Enter Invoices'!C:H,2,0),"")</f>
        <v/>
      </c>
      <c r="D211" s="52" t="str">
        <f>IFERROR(VLOOKUP(open[[#This Row],[Invoice'#]],'Enter Invoices'!C:H,6,0),"")</f>
        <v/>
      </c>
      <c r="E211" s="66" t="str">
        <f>IFERROR(VLOOKUP(open[[#This Row],[Invoice'#]],'Enter Invoices'!C:H,5,0),"")</f>
        <v/>
      </c>
      <c r="F211" s="54" t="str">
        <f>IFERROR(IF(open[[#This Row],[Amount Due]]="","",open[[#This Row],[Amount Due]]-SUMIF('Record Customer Payments'!B:B,open[[#This Row],[Invoice'#]],'Record Customer Payments'!F:F)),"")</f>
        <v/>
      </c>
      <c r="H211" s="55"/>
      <c r="I211" s="56"/>
      <c r="J211" s="57"/>
      <c r="K211" s="58"/>
      <c r="L211" s="59"/>
      <c r="M211" s="59"/>
      <c r="N211" s="59"/>
    </row>
    <row r="212" spans="2:14" s="53" customFormat="1" ht="16.149999999999999" customHeight="1" x14ac:dyDescent="0.25">
      <c r="B212" s="56" t="str">
        <f>IF(Invoices[[#This Row],[Invoice '#]]="","",Invoices[[#This Row],[Invoice '#]])</f>
        <v/>
      </c>
      <c r="C212" s="53" t="str">
        <f>IFERROR(VLOOKUP(open[[#This Row],[Invoice'#]],'Enter Invoices'!C:H,2,0),"")</f>
        <v/>
      </c>
      <c r="D212" s="52" t="str">
        <f>IFERROR(VLOOKUP(open[[#This Row],[Invoice'#]],'Enter Invoices'!C:H,6,0),"")</f>
        <v/>
      </c>
      <c r="E212" s="66" t="str">
        <f>IFERROR(VLOOKUP(open[[#This Row],[Invoice'#]],'Enter Invoices'!C:H,5,0),"")</f>
        <v/>
      </c>
      <c r="F212" s="54" t="str">
        <f>IFERROR(IF(open[[#This Row],[Amount Due]]="","",open[[#This Row],[Amount Due]]-SUMIF('Record Customer Payments'!B:B,open[[#This Row],[Invoice'#]],'Record Customer Payments'!F:F)),"")</f>
        <v/>
      </c>
      <c r="H212" s="55"/>
      <c r="I212" s="56"/>
      <c r="J212" s="57"/>
      <c r="K212" s="58"/>
      <c r="L212" s="59"/>
      <c r="M212" s="59"/>
      <c r="N212" s="59"/>
    </row>
    <row r="213" spans="2:14" s="53" customFormat="1" ht="16.149999999999999" customHeight="1" x14ac:dyDescent="0.25">
      <c r="B213" s="56" t="str">
        <f>IF(Invoices[[#This Row],[Invoice '#]]="","",Invoices[[#This Row],[Invoice '#]])</f>
        <v/>
      </c>
      <c r="C213" s="53" t="str">
        <f>IFERROR(VLOOKUP(open[[#This Row],[Invoice'#]],'Enter Invoices'!C:H,2,0),"")</f>
        <v/>
      </c>
      <c r="D213" s="52" t="str">
        <f>IFERROR(VLOOKUP(open[[#This Row],[Invoice'#]],'Enter Invoices'!C:H,6,0),"")</f>
        <v/>
      </c>
      <c r="E213" s="66" t="str">
        <f>IFERROR(VLOOKUP(open[[#This Row],[Invoice'#]],'Enter Invoices'!C:H,5,0),"")</f>
        <v/>
      </c>
      <c r="F213" s="54" t="str">
        <f>IFERROR(IF(open[[#This Row],[Amount Due]]="","",open[[#This Row],[Amount Due]]-SUMIF('Record Customer Payments'!B:B,open[[#This Row],[Invoice'#]],'Record Customer Payments'!F:F)),"")</f>
        <v/>
      </c>
      <c r="H213" s="55"/>
      <c r="I213" s="56"/>
      <c r="J213" s="57"/>
      <c r="K213" s="58"/>
      <c r="L213" s="59"/>
      <c r="M213" s="59"/>
      <c r="N213" s="59"/>
    </row>
    <row r="214" spans="2:14" s="53" customFormat="1" ht="16.149999999999999" customHeight="1" x14ac:dyDescent="0.25">
      <c r="B214" s="56" t="str">
        <f>IF(Invoices[[#This Row],[Invoice '#]]="","",Invoices[[#This Row],[Invoice '#]])</f>
        <v/>
      </c>
      <c r="C214" s="53" t="str">
        <f>IFERROR(VLOOKUP(open[[#This Row],[Invoice'#]],'Enter Invoices'!C:H,2,0),"")</f>
        <v/>
      </c>
      <c r="D214" s="52" t="str">
        <f>IFERROR(VLOOKUP(open[[#This Row],[Invoice'#]],'Enter Invoices'!C:H,6,0),"")</f>
        <v/>
      </c>
      <c r="E214" s="66" t="str">
        <f>IFERROR(VLOOKUP(open[[#This Row],[Invoice'#]],'Enter Invoices'!C:H,5,0),"")</f>
        <v/>
      </c>
      <c r="F214" s="54" t="str">
        <f>IFERROR(IF(open[[#This Row],[Amount Due]]="","",open[[#This Row],[Amount Due]]-SUMIF('Record Customer Payments'!B:B,open[[#This Row],[Invoice'#]],'Record Customer Payments'!F:F)),"")</f>
        <v/>
      </c>
      <c r="H214" s="55"/>
      <c r="I214" s="56"/>
      <c r="J214" s="57"/>
      <c r="K214" s="58"/>
      <c r="L214" s="59"/>
      <c r="M214" s="59"/>
      <c r="N214" s="59"/>
    </row>
    <row r="215" spans="2:14" s="53" customFormat="1" ht="16.149999999999999" customHeight="1" x14ac:dyDescent="0.25">
      <c r="B215" s="56" t="str">
        <f>IF(Invoices[[#This Row],[Invoice '#]]="","",Invoices[[#This Row],[Invoice '#]])</f>
        <v/>
      </c>
      <c r="C215" s="53" t="str">
        <f>IFERROR(VLOOKUP(open[[#This Row],[Invoice'#]],'Enter Invoices'!C:H,2,0),"")</f>
        <v/>
      </c>
      <c r="D215" s="52" t="str">
        <f>IFERROR(VLOOKUP(open[[#This Row],[Invoice'#]],'Enter Invoices'!C:H,6,0),"")</f>
        <v/>
      </c>
      <c r="E215" s="66" t="str">
        <f>IFERROR(VLOOKUP(open[[#This Row],[Invoice'#]],'Enter Invoices'!C:H,5,0),"")</f>
        <v/>
      </c>
      <c r="F215" s="54" t="str">
        <f>IFERROR(IF(open[[#This Row],[Amount Due]]="","",open[[#This Row],[Amount Due]]-SUMIF('Record Customer Payments'!B:B,open[[#This Row],[Invoice'#]],'Record Customer Payments'!F:F)),"")</f>
        <v/>
      </c>
      <c r="H215" s="55"/>
      <c r="I215" s="56"/>
      <c r="J215" s="57"/>
      <c r="K215" s="58"/>
      <c r="L215" s="59"/>
      <c r="M215" s="59"/>
      <c r="N215" s="59"/>
    </row>
    <row r="216" spans="2:14" s="53" customFormat="1" ht="16.149999999999999" customHeight="1" x14ac:dyDescent="0.25">
      <c r="B216" s="56" t="str">
        <f>IF(Invoices[[#This Row],[Invoice '#]]="","",Invoices[[#This Row],[Invoice '#]])</f>
        <v/>
      </c>
      <c r="C216" s="53" t="str">
        <f>IFERROR(VLOOKUP(open[[#This Row],[Invoice'#]],'Enter Invoices'!C:H,2,0),"")</f>
        <v/>
      </c>
      <c r="D216" s="52" t="str">
        <f>IFERROR(VLOOKUP(open[[#This Row],[Invoice'#]],'Enter Invoices'!C:H,6,0),"")</f>
        <v/>
      </c>
      <c r="E216" s="66" t="str">
        <f>IFERROR(VLOOKUP(open[[#This Row],[Invoice'#]],'Enter Invoices'!C:H,5,0),"")</f>
        <v/>
      </c>
      <c r="F216" s="54" t="str">
        <f>IFERROR(IF(open[[#This Row],[Amount Due]]="","",open[[#This Row],[Amount Due]]-SUMIF('Record Customer Payments'!B:B,open[[#This Row],[Invoice'#]],'Record Customer Payments'!F:F)),"")</f>
        <v/>
      </c>
      <c r="H216" s="55"/>
      <c r="I216" s="56"/>
      <c r="J216" s="57"/>
      <c r="K216" s="58"/>
      <c r="L216" s="59"/>
      <c r="M216" s="59"/>
      <c r="N216" s="59"/>
    </row>
    <row r="217" spans="2:14" s="53" customFormat="1" ht="16.149999999999999" customHeight="1" x14ac:dyDescent="0.25">
      <c r="B217" s="56" t="str">
        <f>IF(Invoices[[#This Row],[Invoice '#]]="","",Invoices[[#This Row],[Invoice '#]])</f>
        <v/>
      </c>
      <c r="C217" s="53" t="str">
        <f>IFERROR(VLOOKUP(open[[#This Row],[Invoice'#]],'Enter Invoices'!C:H,2,0),"")</f>
        <v/>
      </c>
      <c r="D217" s="52" t="str">
        <f>IFERROR(VLOOKUP(open[[#This Row],[Invoice'#]],'Enter Invoices'!C:H,6,0),"")</f>
        <v/>
      </c>
      <c r="E217" s="66" t="str">
        <f>IFERROR(VLOOKUP(open[[#This Row],[Invoice'#]],'Enter Invoices'!C:H,5,0),"")</f>
        <v/>
      </c>
      <c r="F217" s="54" t="str">
        <f>IFERROR(IF(open[[#This Row],[Amount Due]]="","",open[[#This Row],[Amount Due]]-SUMIF('Record Customer Payments'!B:B,open[[#This Row],[Invoice'#]],'Record Customer Payments'!F:F)),"")</f>
        <v/>
      </c>
      <c r="H217" s="55"/>
      <c r="I217" s="56"/>
      <c r="J217" s="57"/>
      <c r="K217" s="58"/>
      <c r="L217" s="59"/>
      <c r="M217" s="59"/>
      <c r="N217" s="59"/>
    </row>
    <row r="218" spans="2:14" s="53" customFormat="1" ht="16.149999999999999" customHeight="1" x14ac:dyDescent="0.25">
      <c r="B218" s="56" t="str">
        <f>IF(Invoices[[#This Row],[Invoice '#]]="","",Invoices[[#This Row],[Invoice '#]])</f>
        <v/>
      </c>
      <c r="C218" s="53" t="str">
        <f>IFERROR(VLOOKUP(open[[#This Row],[Invoice'#]],'Enter Invoices'!C:H,2,0),"")</f>
        <v/>
      </c>
      <c r="D218" s="52" t="str">
        <f>IFERROR(VLOOKUP(open[[#This Row],[Invoice'#]],'Enter Invoices'!C:H,6,0),"")</f>
        <v/>
      </c>
      <c r="E218" s="66" t="str">
        <f>IFERROR(VLOOKUP(open[[#This Row],[Invoice'#]],'Enter Invoices'!C:H,5,0),"")</f>
        <v/>
      </c>
      <c r="F218" s="54" t="str">
        <f>IFERROR(IF(open[[#This Row],[Amount Due]]="","",open[[#This Row],[Amount Due]]-SUMIF('Record Customer Payments'!B:B,open[[#This Row],[Invoice'#]],'Record Customer Payments'!F:F)),"")</f>
        <v/>
      </c>
      <c r="H218" s="55"/>
      <c r="I218" s="56"/>
      <c r="J218" s="57"/>
      <c r="K218" s="58"/>
      <c r="L218" s="59"/>
      <c r="M218" s="59"/>
      <c r="N218" s="59"/>
    </row>
    <row r="219" spans="2:14" s="53" customFormat="1" ht="16.149999999999999" customHeight="1" x14ac:dyDescent="0.25">
      <c r="B219" s="56" t="str">
        <f>IF(Invoices[[#This Row],[Invoice '#]]="","",Invoices[[#This Row],[Invoice '#]])</f>
        <v/>
      </c>
      <c r="C219" s="53" t="str">
        <f>IFERROR(VLOOKUP(open[[#This Row],[Invoice'#]],'Enter Invoices'!C:H,2,0),"")</f>
        <v/>
      </c>
      <c r="D219" s="52" t="str">
        <f>IFERROR(VLOOKUP(open[[#This Row],[Invoice'#]],'Enter Invoices'!C:H,6,0),"")</f>
        <v/>
      </c>
      <c r="E219" s="66" t="str">
        <f>IFERROR(VLOOKUP(open[[#This Row],[Invoice'#]],'Enter Invoices'!C:H,5,0),"")</f>
        <v/>
      </c>
      <c r="F219" s="54" t="str">
        <f>IFERROR(IF(open[[#This Row],[Amount Due]]="","",open[[#This Row],[Amount Due]]-SUMIF('Record Customer Payments'!B:B,open[[#This Row],[Invoice'#]],'Record Customer Payments'!F:F)),"")</f>
        <v/>
      </c>
      <c r="H219" s="55"/>
      <c r="I219" s="56"/>
      <c r="J219" s="57"/>
      <c r="K219" s="58"/>
      <c r="L219" s="59"/>
      <c r="M219" s="59"/>
      <c r="N219" s="59"/>
    </row>
    <row r="220" spans="2:14" s="53" customFormat="1" ht="16.149999999999999" customHeight="1" x14ac:dyDescent="0.25">
      <c r="B220" s="56" t="str">
        <f>IF(Invoices[[#This Row],[Invoice '#]]="","",Invoices[[#This Row],[Invoice '#]])</f>
        <v/>
      </c>
      <c r="C220" s="53" t="str">
        <f>IFERROR(VLOOKUP(open[[#This Row],[Invoice'#]],'Enter Invoices'!C:H,2,0),"")</f>
        <v/>
      </c>
      <c r="D220" s="52" t="str">
        <f>IFERROR(VLOOKUP(open[[#This Row],[Invoice'#]],'Enter Invoices'!C:H,6,0),"")</f>
        <v/>
      </c>
      <c r="E220" s="66" t="str">
        <f>IFERROR(VLOOKUP(open[[#This Row],[Invoice'#]],'Enter Invoices'!C:H,5,0),"")</f>
        <v/>
      </c>
      <c r="F220" s="54" t="str">
        <f>IFERROR(IF(open[[#This Row],[Amount Due]]="","",open[[#This Row],[Amount Due]]-SUMIF('Record Customer Payments'!B:B,open[[#This Row],[Invoice'#]],'Record Customer Payments'!F:F)),"")</f>
        <v/>
      </c>
      <c r="H220" s="55"/>
      <c r="I220" s="56"/>
      <c r="J220" s="57"/>
      <c r="K220" s="58"/>
      <c r="L220" s="59"/>
      <c r="M220" s="59"/>
      <c r="N220" s="59"/>
    </row>
    <row r="221" spans="2:14" s="53" customFormat="1" ht="16.149999999999999" customHeight="1" x14ac:dyDescent="0.25">
      <c r="B221" s="56" t="str">
        <f>IF(Invoices[[#This Row],[Invoice '#]]="","",Invoices[[#This Row],[Invoice '#]])</f>
        <v/>
      </c>
      <c r="C221" s="53" t="str">
        <f>IFERROR(VLOOKUP(open[[#This Row],[Invoice'#]],'Enter Invoices'!C:H,2,0),"")</f>
        <v/>
      </c>
      <c r="D221" s="52" t="str">
        <f>IFERROR(VLOOKUP(open[[#This Row],[Invoice'#]],'Enter Invoices'!C:H,6,0),"")</f>
        <v/>
      </c>
      <c r="E221" s="66" t="str">
        <f>IFERROR(VLOOKUP(open[[#This Row],[Invoice'#]],'Enter Invoices'!C:H,5,0),"")</f>
        <v/>
      </c>
      <c r="F221" s="54" t="str">
        <f>IFERROR(IF(open[[#This Row],[Amount Due]]="","",open[[#This Row],[Amount Due]]-SUMIF('Record Customer Payments'!B:B,open[[#This Row],[Invoice'#]],'Record Customer Payments'!F:F)),"")</f>
        <v/>
      </c>
      <c r="H221" s="55"/>
      <c r="I221" s="56"/>
      <c r="J221" s="57"/>
      <c r="K221" s="58"/>
      <c r="L221" s="59"/>
      <c r="M221" s="59"/>
      <c r="N221" s="59"/>
    </row>
    <row r="222" spans="2:14" s="53" customFormat="1" ht="16.149999999999999" customHeight="1" x14ac:dyDescent="0.25">
      <c r="B222" s="56" t="str">
        <f>IF(Invoices[[#This Row],[Invoice '#]]="","",Invoices[[#This Row],[Invoice '#]])</f>
        <v/>
      </c>
      <c r="C222" s="53" t="str">
        <f>IFERROR(VLOOKUP(open[[#This Row],[Invoice'#]],'Enter Invoices'!C:H,2,0),"")</f>
        <v/>
      </c>
      <c r="D222" s="52" t="str">
        <f>IFERROR(VLOOKUP(open[[#This Row],[Invoice'#]],'Enter Invoices'!C:H,6,0),"")</f>
        <v/>
      </c>
      <c r="E222" s="66" t="str">
        <f>IFERROR(VLOOKUP(open[[#This Row],[Invoice'#]],'Enter Invoices'!C:H,5,0),"")</f>
        <v/>
      </c>
      <c r="F222" s="54" t="str">
        <f>IFERROR(IF(open[[#This Row],[Amount Due]]="","",open[[#This Row],[Amount Due]]-SUMIF('Record Customer Payments'!B:B,open[[#This Row],[Invoice'#]],'Record Customer Payments'!F:F)),"")</f>
        <v/>
      </c>
      <c r="H222" s="55"/>
      <c r="I222" s="56"/>
      <c r="J222" s="57"/>
      <c r="K222" s="58"/>
      <c r="L222" s="59"/>
      <c r="M222" s="59"/>
      <c r="N222" s="59"/>
    </row>
    <row r="223" spans="2:14" s="53" customFormat="1" ht="16.149999999999999" customHeight="1" x14ac:dyDescent="0.25">
      <c r="B223" s="56" t="str">
        <f>IF(Invoices[[#This Row],[Invoice '#]]="","",Invoices[[#This Row],[Invoice '#]])</f>
        <v/>
      </c>
      <c r="C223" s="53" t="str">
        <f>IFERROR(VLOOKUP(open[[#This Row],[Invoice'#]],'Enter Invoices'!C:H,2,0),"")</f>
        <v/>
      </c>
      <c r="D223" s="52" t="str">
        <f>IFERROR(VLOOKUP(open[[#This Row],[Invoice'#]],'Enter Invoices'!C:H,6,0),"")</f>
        <v/>
      </c>
      <c r="E223" s="66" t="str">
        <f>IFERROR(VLOOKUP(open[[#This Row],[Invoice'#]],'Enter Invoices'!C:H,5,0),"")</f>
        <v/>
      </c>
      <c r="F223" s="54" t="str">
        <f>IFERROR(IF(open[[#This Row],[Amount Due]]="","",open[[#This Row],[Amount Due]]-SUMIF('Record Customer Payments'!B:B,open[[#This Row],[Invoice'#]],'Record Customer Payments'!F:F)),"")</f>
        <v/>
      </c>
      <c r="H223" s="55"/>
      <c r="I223" s="56"/>
      <c r="J223" s="57"/>
      <c r="K223" s="58"/>
      <c r="L223" s="59"/>
      <c r="M223" s="59"/>
      <c r="N223" s="59"/>
    </row>
    <row r="224" spans="2:14" s="53" customFormat="1" ht="16.149999999999999" customHeight="1" x14ac:dyDescent="0.25">
      <c r="B224" s="56" t="str">
        <f>IF(Invoices[[#This Row],[Invoice '#]]="","",Invoices[[#This Row],[Invoice '#]])</f>
        <v/>
      </c>
      <c r="C224" s="53" t="str">
        <f>IFERROR(VLOOKUP(open[[#This Row],[Invoice'#]],'Enter Invoices'!C:H,2,0),"")</f>
        <v/>
      </c>
      <c r="D224" s="52" t="str">
        <f>IFERROR(VLOOKUP(open[[#This Row],[Invoice'#]],'Enter Invoices'!C:H,6,0),"")</f>
        <v/>
      </c>
      <c r="E224" s="66" t="str">
        <f>IFERROR(VLOOKUP(open[[#This Row],[Invoice'#]],'Enter Invoices'!C:H,5,0),"")</f>
        <v/>
      </c>
      <c r="F224" s="54" t="str">
        <f>IFERROR(IF(open[[#This Row],[Amount Due]]="","",open[[#This Row],[Amount Due]]-SUMIF('Record Customer Payments'!B:B,open[[#This Row],[Invoice'#]],'Record Customer Payments'!F:F)),"")</f>
        <v/>
      </c>
      <c r="H224" s="55"/>
      <c r="I224" s="56"/>
      <c r="J224" s="57"/>
      <c r="K224" s="58"/>
      <c r="L224" s="59"/>
      <c r="M224" s="59"/>
      <c r="N224" s="59"/>
    </row>
    <row r="225" spans="2:14" s="53" customFormat="1" ht="16.149999999999999" customHeight="1" x14ac:dyDescent="0.25">
      <c r="B225" s="56" t="str">
        <f>IF(Invoices[[#This Row],[Invoice '#]]="","",Invoices[[#This Row],[Invoice '#]])</f>
        <v/>
      </c>
      <c r="C225" s="53" t="str">
        <f>IFERROR(VLOOKUP(open[[#This Row],[Invoice'#]],'Enter Invoices'!C:H,2,0),"")</f>
        <v/>
      </c>
      <c r="D225" s="52" t="str">
        <f>IFERROR(VLOOKUP(open[[#This Row],[Invoice'#]],'Enter Invoices'!C:H,6,0),"")</f>
        <v/>
      </c>
      <c r="E225" s="66" t="str">
        <f>IFERROR(VLOOKUP(open[[#This Row],[Invoice'#]],'Enter Invoices'!C:H,5,0),"")</f>
        <v/>
      </c>
      <c r="F225" s="54" t="str">
        <f>IFERROR(IF(open[[#This Row],[Amount Due]]="","",open[[#This Row],[Amount Due]]-SUMIF('Record Customer Payments'!B:B,open[[#This Row],[Invoice'#]],'Record Customer Payments'!F:F)),"")</f>
        <v/>
      </c>
      <c r="H225" s="55"/>
      <c r="I225" s="56"/>
      <c r="J225" s="57"/>
      <c r="K225" s="58"/>
      <c r="L225" s="59"/>
      <c r="M225" s="59"/>
      <c r="N225" s="59"/>
    </row>
    <row r="226" spans="2:14" s="53" customFormat="1" ht="16.149999999999999" customHeight="1" x14ac:dyDescent="0.25">
      <c r="B226" s="56" t="str">
        <f>IF(Invoices[[#This Row],[Invoice '#]]="","",Invoices[[#This Row],[Invoice '#]])</f>
        <v/>
      </c>
      <c r="C226" s="53" t="str">
        <f>IFERROR(VLOOKUP(open[[#This Row],[Invoice'#]],'Enter Invoices'!C:H,2,0),"")</f>
        <v/>
      </c>
      <c r="D226" s="52" t="str">
        <f>IFERROR(VLOOKUP(open[[#This Row],[Invoice'#]],'Enter Invoices'!C:H,6,0),"")</f>
        <v/>
      </c>
      <c r="E226" s="66" t="str">
        <f>IFERROR(VLOOKUP(open[[#This Row],[Invoice'#]],'Enter Invoices'!C:H,5,0),"")</f>
        <v/>
      </c>
      <c r="F226" s="54" t="str">
        <f>IFERROR(IF(open[[#This Row],[Amount Due]]="","",open[[#This Row],[Amount Due]]-SUMIF('Record Customer Payments'!B:B,open[[#This Row],[Invoice'#]],'Record Customer Payments'!F:F)),"")</f>
        <v/>
      </c>
      <c r="H226" s="55"/>
      <c r="I226" s="56"/>
      <c r="J226" s="57"/>
      <c r="K226" s="58"/>
      <c r="L226" s="59"/>
      <c r="M226" s="59"/>
      <c r="N226" s="59"/>
    </row>
    <row r="227" spans="2:14" s="53" customFormat="1" ht="16.149999999999999" customHeight="1" x14ac:dyDescent="0.25">
      <c r="B227" s="56" t="str">
        <f>IF(Invoices[[#This Row],[Invoice '#]]="","",Invoices[[#This Row],[Invoice '#]])</f>
        <v/>
      </c>
      <c r="C227" s="53" t="str">
        <f>IFERROR(VLOOKUP(open[[#This Row],[Invoice'#]],'Enter Invoices'!C:H,2,0),"")</f>
        <v/>
      </c>
      <c r="D227" s="52" t="str">
        <f>IFERROR(VLOOKUP(open[[#This Row],[Invoice'#]],'Enter Invoices'!C:H,6,0),"")</f>
        <v/>
      </c>
      <c r="E227" s="66" t="str">
        <f>IFERROR(VLOOKUP(open[[#This Row],[Invoice'#]],'Enter Invoices'!C:H,5,0),"")</f>
        <v/>
      </c>
      <c r="F227" s="54" t="str">
        <f>IFERROR(IF(open[[#This Row],[Amount Due]]="","",open[[#This Row],[Amount Due]]-SUMIF('Record Customer Payments'!B:B,open[[#This Row],[Invoice'#]],'Record Customer Payments'!F:F)),"")</f>
        <v/>
      </c>
      <c r="H227" s="55"/>
      <c r="I227" s="56"/>
      <c r="J227" s="57"/>
      <c r="K227" s="58"/>
      <c r="L227" s="59"/>
      <c r="M227" s="59"/>
      <c r="N227" s="59"/>
    </row>
    <row r="228" spans="2:14" s="53" customFormat="1" ht="16.149999999999999" customHeight="1" x14ac:dyDescent="0.25">
      <c r="B228" s="56" t="str">
        <f>IF(Invoices[[#This Row],[Invoice '#]]="","",Invoices[[#This Row],[Invoice '#]])</f>
        <v/>
      </c>
      <c r="C228" s="53" t="str">
        <f>IFERROR(VLOOKUP(open[[#This Row],[Invoice'#]],'Enter Invoices'!C:H,2,0),"")</f>
        <v/>
      </c>
      <c r="D228" s="52" t="str">
        <f>IFERROR(VLOOKUP(open[[#This Row],[Invoice'#]],'Enter Invoices'!C:H,6,0),"")</f>
        <v/>
      </c>
      <c r="E228" s="66" t="str">
        <f>IFERROR(VLOOKUP(open[[#This Row],[Invoice'#]],'Enter Invoices'!C:H,5,0),"")</f>
        <v/>
      </c>
      <c r="F228" s="54" t="str">
        <f>IFERROR(IF(open[[#This Row],[Amount Due]]="","",open[[#This Row],[Amount Due]]-SUMIF('Record Customer Payments'!B:B,open[[#This Row],[Invoice'#]],'Record Customer Payments'!F:F)),"")</f>
        <v/>
      </c>
      <c r="H228" s="55"/>
      <c r="I228" s="56"/>
      <c r="J228" s="57"/>
      <c r="K228" s="58"/>
      <c r="L228" s="59"/>
      <c r="M228" s="59"/>
      <c r="N228" s="59"/>
    </row>
    <row r="229" spans="2:14" s="53" customFormat="1" ht="16.149999999999999" customHeight="1" x14ac:dyDescent="0.25">
      <c r="B229" s="56" t="str">
        <f>IF(Invoices[[#This Row],[Invoice '#]]="","",Invoices[[#This Row],[Invoice '#]])</f>
        <v/>
      </c>
      <c r="C229" s="53" t="str">
        <f>IFERROR(VLOOKUP(open[[#This Row],[Invoice'#]],'Enter Invoices'!C:H,2,0),"")</f>
        <v/>
      </c>
      <c r="D229" s="52" t="str">
        <f>IFERROR(VLOOKUP(open[[#This Row],[Invoice'#]],'Enter Invoices'!C:H,6,0),"")</f>
        <v/>
      </c>
      <c r="E229" s="66" t="str">
        <f>IFERROR(VLOOKUP(open[[#This Row],[Invoice'#]],'Enter Invoices'!C:H,5,0),"")</f>
        <v/>
      </c>
      <c r="F229" s="54" t="str">
        <f>IFERROR(IF(open[[#This Row],[Amount Due]]="","",open[[#This Row],[Amount Due]]-SUMIF('Record Customer Payments'!B:B,open[[#This Row],[Invoice'#]],'Record Customer Payments'!F:F)),"")</f>
        <v/>
      </c>
      <c r="H229" s="55"/>
      <c r="I229" s="56"/>
      <c r="J229" s="57"/>
      <c r="K229" s="58"/>
      <c r="L229" s="59"/>
      <c r="M229" s="59"/>
      <c r="N229" s="59"/>
    </row>
    <row r="230" spans="2:14" s="53" customFormat="1" ht="16.149999999999999" customHeight="1" x14ac:dyDescent="0.25">
      <c r="B230" s="56" t="str">
        <f>IF(Invoices[[#This Row],[Invoice '#]]="","",Invoices[[#This Row],[Invoice '#]])</f>
        <v/>
      </c>
      <c r="C230" s="53" t="str">
        <f>IFERROR(VLOOKUP(open[[#This Row],[Invoice'#]],'Enter Invoices'!C:H,2,0),"")</f>
        <v/>
      </c>
      <c r="D230" s="52" t="str">
        <f>IFERROR(VLOOKUP(open[[#This Row],[Invoice'#]],'Enter Invoices'!C:H,6,0),"")</f>
        <v/>
      </c>
      <c r="E230" s="66" t="str">
        <f>IFERROR(VLOOKUP(open[[#This Row],[Invoice'#]],'Enter Invoices'!C:H,5,0),"")</f>
        <v/>
      </c>
      <c r="F230" s="54" t="str">
        <f>IFERROR(IF(open[[#This Row],[Amount Due]]="","",open[[#This Row],[Amount Due]]-SUMIF('Record Customer Payments'!B:B,open[[#This Row],[Invoice'#]],'Record Customer Payments'!F:F)),"")</f>
        <v/>
      </c>
      <c r="H230" s="55"/>
      <c r="I230" s="56"/>
      <c r="J230" s="57"/>
      <c r="K230" s="58"/>
      <c r="L230" s="59"/>
      <c r="M230" s="59"/>
      <c r="N230" s="59"/>
    </row>
    <row r="231" spans="2:14" s="53" customFormat="1" ht="16.149999999999999" customHeight="1" x14ac:dyDescent="0.25">
      <c r="B231" s="56" t="str">
        <f>IF(Invoices[[#This Row],[Invoice '#]]="","",Invoices[[#This Row],[Invoice '#]])</f>
        <v/>
      </c>
      <c r="C231" s="53" t="str">
        <f>IFERROR(VLOOKUP(open[[#This Row],[Invoice'#]],'Enter Invoices'!C:H,2,0),"")</f>
        <v/>
      </c>
      <c r="D231" s="52" t="str">
        <f>IFERROR(VLOOKUP(open[[#This Row],[Invoice'#]],'Enter Invoices'!C:H,6,0),"")</f>
        <v/>
      </c>
      <c r="E231" s="66" t="str">
        <f>IFERROR(VLOOKUP(open[[#This Row],[Invoice'#]],'Enter Invoices'!C:H,5,0),"")</f>
        <v/>
      </c>
      <c r="F231" s="54" t="str">
        <f>IFERROR(IF(open[[#This Row],[Amount Due]]="","",open[[#This Row],[Amount Due]]-SUMIF('Record Customer Payments'!B:B,open[[#This Row],[Invoice'#]],'Record Customer Payments'!F:F)),"")</f>
        <v/>
      </c>
      <c r="H231" s="55"/>
      <c r="I231" s="56"/>
      <c r="J231" s="57"/>
      <c r="K231" s="58"/>
      <c r="L231" s="59"/>
      <c r="M231" s="59"/>
      <c r="N231" s="59"/>
    </row>
    <row r="232" spans="2:14" s="53" customFormat="1" ht="16.149999999999999" customHeight="1" x14ac:dyDescent="0.25">
      <c r="B232" s="56" t="str">
        <f>IF(Invoices[[#This Row],[Invoice '#]]="","",Invoices[[#This Row],[Invoice '#]])</f>
        <v/>
      </c>
      <c r="C232" s="53" t="str">
        <f>IFERROR(VLOOKUP(open[[#This Row],[Invoice'#]],'Enter Invoices'!C:H,2,0),"")</f>
        <v/>
      </c>
      <c r="D232" s="52" t="str">
        <f>IFERROR(VLOOKUP(open[[#This Row],[Invoice'#]],'Enter Invoices'!C:H,6,0),"")</f>
        <v/>
      </c>
      <c r="E232" s="66" t="str">
        <f>IFERROR(VLOOKUP(open[[#This Row],[Invoice'#]],'Enter Invoices'!C:H,5,0),"")</f>
        <v/>
      </c>
      <c r="F232" s="54" t="str">
        <f>IFERROR(IF(open[[#This Row],[Amount Due]]="","",open[[#This Row],[Amount Due]]-SUMIF('Record Customer Payments'!B:B,open[[#This Row],[Invoice'#]],'Record Customer Payments'!F:F)),"")</f>
        <v/>
      </c>
      <c r="H232" s="55"/>
      <c r="I232" s="56"/>
      <c r="J232" s="57"/>
      <c r="K232" s="58"/>
      <c r="L232" s="59"/>
      <c r="M232" s="59"/>
      <c r="N232" s="59"/>
    </row>
    <row r="233" spans="2:14" s="53" customFormat="1" ht="16.149999999999999" customHeight="1" x14ac:dyDescent="0.25">
      <c r="B233" s="56" t="str">
        <f>IF(Invoices[[#This Row],[Invoice '#]]="","",Invoices[[#This Row],[Invoice '#]])</f>
        <v/>
      </c>
      <c r="C233" s="53" t="str">
        <f>IFERROR(VLOOKUP(open[[#This Row],[Invoice'#]],'Enter Invoices'!C:H,2,0),"")</f>
        <v/>
      </c>
      <c r="D233" s="52" t="str">
        <f>IFERROR(VLOOKUP(open[[#This Row],[Invoice'#]],'Enter Invoices'!C:H,6,0),"")</f>
        <v/>
      </c>
      <c r="E233" s="66" t="str">
        <f>IFERROR(VLOOKUP(open[[#This Row],[Invoice'#]],'Enter Invoices'!C:H,5,0),"")</f>
        <v/>
      </c>
      <c r="F233" s="54" t="str">
        <f>IFERROR(IF(open[[#This Row],[Amount Due]]="","",open[[#This Row],[Amount Due]]-SUMIF('Record Customer Payments'!B:B,open[[#This Row],[Invoice'#]],'Record Customer Payments'!F:F)),"")</f>
        <v/>
      </c>
      <c r="H233" s="55"/>
      <c r="I233" s="56"/>
      <c r="J233" s="57"/>
      <c r="K233" s="58"/>
      <c r="L233" s="59"/>
      <c r="M233" s="59"/>
      <c r="N233" s="59"/>
    </row>
    <row r="234" spans="2:14" s="53" customFormat="1" ht="16.149999999999999" customHeight="1" x14ac:dyDescent="0.25">
      <c r="B234" s="56" t="str">
        <f>IF(Invoices[[#This Row],[Invoice '#]]="","",Invoices[[#This Row],[Invoice '#]])</f>
        <v/>
      </c>
      <c r="C234" s="53" t="str">
        <f>IFERROR(VLOOKUP(open[[#This Row],[Invoice'#]],'Enter Invoices'!C:H,2,0),"")</f>
        <v/>
      </c>
      <c r="D234" s="52" t="str">
        <f>IFERROR(VLOOKUP(open[[#This Row],[Invoice'#]],'Enter Invoices'!C:H,6,0),"")</f>
        <v/>
      </c>
      <c r="E234" s="66" t="str">
        <f>IFERROR(VLOOKUP(open[[#This Row],[Invoice'#]],'Enter Invoices'!C:H,5,0),"")</f>
        <v/>
      </c>
      <c r="F234" s="54" t="str">
        <f>IFERROR(IF(open[[#This Row],[Amount Due]]="","",open[[#This Row],[Amount Due]]-SUMIF('Record Customer Payments'!B:B,open[[#This Row],[Invoice'#]],'Record Customer Payments'!F:F)),"")</f>
        <v/>
      </c>
      <c r="H234" s="55"/>
      <c r="I234" s="56"/>
      <c r="J234" s="57"/>
      <c r="K234" s="58"/>
      <c r="L234" s="59"/>
      <c r="M234" s="59"/>
      <c r="N234" s="59"/>
    </row>
    <row r="235" spans="2:14" s="53" customFormat="1" ht="16.149999999999999" customHeight="1" x14ac:dyDescent="0.25">
      <c r="B235" s="56" t="str">
        <f>IF(Invoices[[#This Row],[Invoice '#]]="","",Invoices[[#This Row],[Invoice '#]])</f>
        <v/>
      </c>
      <c r="C235" s="53" t="str">
        <f>IFERROR(VLOOKUP(open[[#This Row],[Invoice'#]],'Enter Invoices'!C:H,2,0),"")</f>
        <v/>
      </c>
      <c r="D235" s="52" t="str">
        <f>IFERROR(VLOOKUP(open[[#This Row],[Invoice'#]],'Enter Invoices'!C:H,6,0),"")</f>
        <v/>
      </c>
      <c r="E235" s="66" t="str">
        <f>IFERROR(VLOOKUP(open[[#This Row],[Invoice'#]],'Enter Invoices'!C:H,5,0),"")</f>
        <v/>
      </c>
      <c r="F235" s="54" t="str">
        <f>IFERROR(IF(open[[#This Row],[Amount Due]]="","",open[[#This Row],[Amount Due]]-SUMIF('Record Customer Payments'!B:B,open[[#This Row],[Invoice'#]],'Record Customer Payments'!F:F)),"")</f>
        <v/>
      </c>
      <c r="H235" s="55"/>
      <c r="I235" s="56"/>
      <c r="J235" s="57"/>
      <c r="K235" s="58"/>
      <c r="L235" s="59"/>
      <c r="M235" s="59"/>
      <c r="N235" s="59"/>
    </row>
    <row r="236" spans="2:14" s="53" customFormat="1" ht="16.149999999999999" customHeight="1" x14ac:dyDescent="0.25">
      <c r="B236" s="56" t="str">
        <f>IF(Invoices[[#This Row],[Invoice '#]]="","",Invoices[[#This Row],[Invoice '#]])</f>
        <v/>
      </c>
      <c r="C236" s="53" t="str">
        <f>IFERROR(VLOOKUP(open[[#This Row],[Invoice'#]],'Enter Invoices'!C:H,2,0),"")</f>
        <v/>
      </c>
      <c r="D236" s="52" t="str">
        <f>IFERROR(VLOOKUP(open[[#This Row],[Invoice'#]],'Enter Invoices'!C:H,6,0),"")</f>
        <v/>
      </c>
      <c r="E236" s="66" t="str">
        <f>IFERROR(VLOOKUP(open[[#This Row],[Invoice'#]],'Enter Invoices'!C:H,5,0),"")</f>
        <v/>
      </c>
      <c r="F236" s="54" t="str">
        <f>IFERROR(IF(open[[#This Row],[Amount Due]]="","",open[[#This Row],[Amount Due]]-SUMIF('Record Customer Payments'!B:B,open[[#This Row],[Invoice'#]],'Record Customer Payments'!F:F)),"")</f>
        <v/>
      </c>
      <c r="H236" s="55"/>
      <c r="I236" s="56"/>
      <c r="J236" s="57"/>
      <c r="K236" s="58"/>
      <c r="L236" s="59"/>
      <c r="M236" s="59"/>
      <c r="N236" s="59"/>
    </row>
    <row r="237" spans="2:14" s="53" customFormat="1" ht="16.149999999999999" customHeight="1" x14ac:dyDescent="0.25">
      <c r="B237" s="56" t="str">
        <f>IF(Invoices[[#This Row],[Invoice '#]]="","",Invoices[[#This Row],[Invoice '#]])</f>
        <v/>
      </c>
      <c r="C237" s="53" t="str">
        <f>IFERROR(VLOOKUP(open[[#This Row],[Invoice'#]],'Enter Invoices'!C:H,2,0),"")</f>
        <v/>
      </c>
      <c r="D237" s="52" t="str">
        <f>IFERROR(VLOOKUP(open[[#This Row],[Invoice'#]],'Enter Invoices'!C:H,6,0),"")</f>
        <v/>
      </c>
      <c r="E237" s="66" t="str">
        <f>IFERROR(VLOOKUP(open[[#This Row],[Invoice'#]],'Enter Invoices'!C:H,5,0),"")</f>
        <v/>
      </c>
      <c r="F237" s="54" t="str">
        <f>IFERROR(IF(open[[#This Row],[Amount Due]]="","",open[[#This Row],[Amount Due]]-SUMIF('Record Customer Payments'!B:B,open[[#This Row],[Invoice'#]],'Record Customer Payments'!F:F)),"")</f>
        <v/>
      </c>
      <c r="H237" s="55"/>
      <c r="I237" s="56"/>
      <c r="J237" s="57"/>
      <c r="K237" s="58"/>
      <c r="L237" s="59"/>
      <c r="M237" s="59"/>
      <c r="N237" s="59"/>
    </row>
    <row r="238" spans="2:14" s="53" customFormat="1" ht="16.149999999999999" customHeight="1" x14ac:dyDescent="0.25">
      <c r="B238" s="56" t="str">
        <f>IF(Invoices[[#This Row],[Invoice '#]]="","",Invoices[[#This Row],[Invoice '#]])</f>
        <v/>
      </c>
      <c r="C238" s="53" t="str">
        <f>IFERROR(VLOOKUP(open[[#This Row],[Invoice'#]],'Enter Invoices'!C:H,2,0),"")</f>
        <v/>
      </c>
      <c r="D238" s="52" t="str">
        <f>IFERROR(VLOOKUP(open[[#This Row],[Invoice'#]],'Enter Invoices'!C:H,6,0),"")</f>
        <v/>
      </c>
      <c r="E238" s="66" t="str">
        <f>IFERROR(VLOOKUP(open[[#This Row],[Invoice'#]],'Enter Invoices'!C:H,5,0),"")</f>
        <v/>
      </c>
      <c r="F238" s="54" t="str">
        <f>IFERROR(IF(open[[#This Row],[Amount Due]]="","",open[[#This Row],[Amount Due]]-SUMIF('Record Customer Payments'!B:B,open[[#This Row],[Invoice'#]],'Record Customer Payments'!F:F)),"")</f>
        <v/>
      </c>
      <c r="H238" s="55"/>
      <c r="I238" s="56"/>
      <c r="J238" s="57"/>
      <c r="K238" s="58"/>
      <c r="L238" s="59"/>
      <c r="M238" s="59"/>
      <c r="N238" s="59"/>
    </row>
    <row r="239" spans="2:14" s="53" customFormat="1" ht="16.149999999999999" customHeight="1" x14ac:dyDescent="0.25">
      <c r="B239" s="56" t="str">
        <f>IF(Invoices[[#This Row],[Invoice '#]]="","",Invoices[[#This Row],[Invoice '#]])</f>
        <v/>
      </c>
      <c r="C239" s="53" t="str">
        <f>IFERROR(VLOOKUP(open[[#This Row],[Invoice'#]],'Enter Invoices'!C:H,2,0),"")</f>
        <v/>
      </c>
      <c r="D239" s="52" t="str">
        <f>IFERROR(VLOOKUP(open[[#This Row],[Invoice'#]],'Enter Invoices'!C:H,6,0),"")</f>
        <v/>
      </c>
      <c r="E239" s="66" t="str">
        <f>IFERROR(VLOOKUP(open[[#This Row],[Invoice'#]],'Enter Invoices'!C:H,5,0),"")</f>
        <v/>
      </c>
      <c r="F239" s="54" t="str">
        <f>IFERROR(IF(open[[#This Row],[Amount Due]]="","",open[[#This Row],[Amount Due]]-SUMIF('Record Customer Payments'!B:B,open[[#This Row],[Invoice'#]],'Record Customer Payments'!F:F)),"")</f>
        <v/>
      </c>
      <c r="H239" s="55"/>
      <c r="I239" s="56"/>
      <c r="J239" s="57"/>
      <c r="K239" s="58"/>
      <c r="L239" s="59"/>
      <c r="M239" s="59"/>
      <c r="N239" s="59"/>
    </row>
    <row r="240" spans="2:14" s="53" customFormat="1" ht="16.149999999999999" customHeight="1" x14ac:dyDescent="0.25">
      <c r="B240" s="56" t="str">
        <f>IF(Invoices[[#This Row],[Invoice '#]]="","",Invoices[[#This Row],[Invoice '#]])</f>
        <v/>
      </c>
      <c r="C240" s="53" t="str">
        <f>IFERROR(VLOOKUP(open[[#This Row],[Invoice'#]],'Enter Invoices'!C:H,2,0),"")</f>
        <v/>
      </c>
      <c r="D240" s="52" t="str">
        <f>IFERROR(VLOOKUP(open[[#This Row],[Invoice'#]],'Enter Invoices'!C:H,6,0),"")</f>
        <v/>
      </c>
      <c r="E240" s="66" t="str">
        <f>IFERROR(VLOOKUP(open[[#This Row],[Invoice'#]],'Enter Invoices'!C:H,5,0),"")</f>
        <v/>
      </c>
      <c r="F240" s="54" t="str">
        <f>IFERROR(IF(open[[#This Row],[Amount Due]]="","",open[[#This Row],[Amount Due]]-SUMIF('Record Customer Payments'!B:B,open[[#This Row],[Invoice'#]],'Record Customer Payments'!F:F)),"")</f>
        <v/>
      </c>
      <c r="H240" s="55"/>
      <c r="I240" s="56"/>
      <c r="J240" s="57"/>
      <c r="K240" s="58"/>
      <c r="L240" s="59"/>
      <c r="M240" s="59"/>
      <c r="N240" s="59"/>
    </row>
    <row r="241" spans="2:14" s="53" customFormat="1" ht="16.149999999999999" customHeight="1" x14ac:dyDescent="0.25">
      <c r="B241" s="56" t="str">
        <f>IF(Invoices[[#This Row],[Invoice '#]]="","",Invoices[[#This Row],[Invoice '#]])</f>
        <v/>
      </c>
      <c r="C241" s="53" t="str">
        <f>IFERROR(VLOOKUP(open[[#This Row],[Invoice'#]],'Enter Invoices'!C:H,2,0),"")</f>
        <v/>
      </c>
      <c r="D241" s="52" t="str">
        <f>IFERROR(VLOOKUP(open[[#This Row],[Invoice'#]],'Enter Invoices'!C:H,6,0),"")</f>
        <v/>
      </c>
      <c r="E241" s="66" t="str">
        <f>IFERROR(VLOOKUP(open[[#This Row],[Invoice'#]],'Enter Invoices'!C:H,5,0),"")</f>
        <v/>
      </c>
      <c r="F241" s="54" t="str">
        <f>IFERROR(IF(open[[#This Row],[Amount Due]]="","",open[[#This Row],[Amount Due]]-SUMIF('Record Customer Payments'!B:B,open[[#This Row],[Invoice'#]],'Record Customer Payments'!F:F)),"")</f>
        <v/>
      </c>
      <c r="H241" s="55"/>
      <c r="I241" s="56"/>
      <c r="J241" s="57"/>
      <c r="K241" s="58"/>
      <c r="L241" s="59"/>
      <c r="M241" s="59"/>
      <c r="N241" s="59"/>
    </row>
    <row r="242" spans="2:14" s="53" customFormat="1" ht="16.149999999999999" customHeight="1" x14ac:dyDescent="0.25">
      <c r="B242" s="56" t="str">
        <f>IF(Invoices[[#This Row],[Invoice '#]]="","",Invoices[[#This Row],[Invoice '#]])</f>
        <v/>
      </c>
      <c r="C242" s="53" t="str">
        <f>IFERROR(VLOOKUP(open[[#This Row],[Invoice'#]],'Enter Invoices'!C:H,2,0),"")</f>
        <v/>
      </c>
      <c r="D242" s="52" t="str">
        <f>IFERROR(VLOOKUP(open[[#This Row],[Invoice'#]],'Enter Invoices'!C:H,6,0),"")</f>
        <v/>
      </c>
      <c r="E242" s="66" t="str">
        <f>IFERROR(VLOOKUP(open[[#This Row],[Invoice'#]],'Enter Invoices'!C:H,5,0),"")</f>
        <v/>
      </c>
      <c r="F242" s="54" t="str">
        <f>IFERROR(IF(open[[#This Row],[Amount Due]]="","",open[[#This Row],[Amount Due]]-SUMIF('Record Customer Payments'!B:B,open[[#This Row],[Invoice'#]],'Record Customer Payments'!F:F)),"")</f>
        <v/>
      </c>
      <c r="H242" s="55"/>
      <c r="I242" s="56"/>
      <c r="J242" s="57"/>
      <c r="K242" s="58"/>
      <c r="L242" s="59"/>
      <c r="M242" s="59"/>
      <c r="N242" s="59"/>
    </row>
    <row r="243" spans="2:14" s="53" customFormat="1" ht="16.149999999999999" customHeight="1" x14ac:dyDescent="0.25">
      <c r="B243" s="56" t="str">
        <f>IF(Invoices[[#This Row],[Invoice '#]]="","",Invoices[[#This Row],[Invoice '#]])</f>
        <v/>
      </c>
      <c r="C243" s="53" t="str">
        <f>IFERROR(VLOOKUP(open[[#This Row],[Invoice'#]],'Enter Invoices'!C:H,2,0),"")</f>
        <v/>
      </c>
      <c r="D243" s="52" t="str">
        <f>IFERROR(VLOOKUP(open[[#This Row],[Invoice'#]],'Enter Invoices'!C:H,6,0),"")</f>
        <v/>
      </c>
      <c r="E243" s="66" t="str">
        <f>IFERROR(VLOOKUP(open[[#This Row],[Invoice'#]],'Enter Invoices'!C:H,5,0),"")</f>
        <v/>
      </c>
      <c r="F243" s="54" t="str">
        <f>IFERROR(IF(open[[#This Row],[Amount Due]]="","",open[[#This Row],[Amount Due]]-SUMIF('Record Customer Payments'!B:B,open[[#This Row],[Invoice'#]],'Record Customer Payments'!F:F)),"")</f>
        <v/>
      </c>
      <c r="H243" s="55"/>
      <c r="I243" s="56"/>
      <c r="J243" s="57"/>
      <c r="K243" s="58"/>
      <c r="L243" s="59"/>
      <c r="M243" s="59"/>
      <c r="N243" s="59"/>
    </row>
    <row r="244" spans="2:14" s="53" customFormat="1" ht="16.149999999999999" customHeight="1" x14ac:dyDescent="0.25">
      <c r="B244" s="56" t="str">
        <f>IF(Invoices[[#This Row],[Invoice '#]]="","",Invoices[[#This Row],[Invoice '#]])</f>
        <v/>
      </c>
      <c r="C244" s="53" t="str">
        <f>IFERROR(VLOOKUP(open[[#This Row],[Invoice'#]],'Enter Invoices'!C:H,2,0),"")</f>
        <v/>
      </c>
      <c r="D244" s="52" t="str">
        <f>IFERROR(VLOOKUP(open[[#This Row],[Invoice'#]],'Enter Invoices'!C:H,6,0),"")</f>
        <v/>
      </c>
      <c r="E244" s="66" t="str">
        <f>IFERROR(VLOOKUP(open[[#This Row],[Invoice'#]],'Enter Invoices'!C:H,5,0),"")</f>
        <v/>
      </c>
      <c r="F244" s="54" t="str">
        <f>IFERROR(IF(open[[#This Row],[Amount Due]]="","",open[[#This Row],[Amount Due]]-SUMIF('Record Customer Payments'!B:B,open[[#This Row],[Invoice'#]],'Record Customer Payments'!F:F)),"")</f>
        <v/>
      </c>
      <c r="H244" s="55"/>
      <c r="I244" s="56"/>
      <c r="J244" s="57"/>
      <c r="K244" s="58"/>
      <c r="L244" s="59"/>
      <c r="M244" s="59"/>
      <c r="N244" s="59"/>
    </row>
    <row r="245" spans="2:14" s="53" customFormat="1" ht="16.149999999999999" customHeight="1" x14ac:dyDescent="0.25">
      <c r="B245" s="56" t="str">
        <f>IF(Invoices[[#This Row],[Invoice '#]]="","",Invoices[[#This Row],[Invoice '#]])</f>
        <v/>
      </c>
      <c r="C245" s="53" t="str">
        <f>IFERROR(VLOOKUP(open[[#This Row],[Invoice'#]],'Enter Invoices'!C:H,2,0),"")</f>
        <v/>
      </c>
      <c r="D245" s="52" t="str">
        <f>IFERROR(VLOOKUP(open[[#This Row],[Invoice'#]],'Enter Invoices'!C:H,6,0),"")</f>
        <v/>
      </c>
      <c r="E245" s="66" t="str">
        <f>IFERROR(VLOOKUP(open[[#This Row],[Invoice'#]],'Enter Invoices'!C:H,5,0),"")</f>
        <v/>
      </c>
      <c r="F245" s="54" t="str">
        <f>IFERROR(IF(open[[#This Row],[Amount Due]]="","",open[[#This Row],[Amount Due]]-SUMIF('Record Customer Payments'!B:B,open[[#This Row],[Invoice'#]],'Record Customer Payments'!F:F)),"")</f>
        <v/>
      </c>
      <c r="H245" s="55"/>
      <c r="I245" s="56"/>
      <c r="J245" s="57"/>
      <c r="K245" s="58"/>
      <c r="L245" s="59"/>
      <c r="M245" s="59"/>
      <c r="N245" s="59"/>
    </row>
    <row r="246" spans="2:14" s="53" customFormat="1" ht="16.149999999999999" customHeight="1" x14ac:dyDescent="0.25">
      <c r="B246" s="56" t="str">
        <f>IF(Invoices[[#This Row],[Invoice '#]]="","",Invoices[[#This Row],[Invoice '#]])</f>
        <v/>
      </c>
      <c r="C246" s="53" t="str">
        <f>IFERROR(VLOOKUP(open[[#This Row],[Invoice'#]],'Enter Invoices'!C:H,2,0),"")</f>
        <v/>
      </c>
      <c r="D246" s="52" t="str">
        <f>IFERROR(VLOOKUP(open[[#This Row],[Invoice'#]],'Enter Invoices'!C:H,6,0),"")</f>
        <v/>
      </c>
      <c r="E246" s="66" t="str">
        <f>IFERROR(VLOOKUP(open[[#This Row],[Invoice'#]],'Enter Invoices'!C:H,5,0),"")</f>
        <v/>
      </c>
      <c r="F246" s="54" t="str">
        <f>IFERROR(IF(open[[#This Row],[Amount Due]]="","",open[[#This Row],[Amount Due]]-SUMIF('Record Customer Payments'!B:B,open[[#This Row],[Invoice'#]],'Record Customer Payments'!F:F)),"")</f>
        <v/>
      </c>
      <c r="H246" s="55"/>
      <c r="I246" s="56"/>
      <c r="J246" s="57"/>
      <c r="K246" s="58"/>
      <c r="L246" s="59"/>
      <c r="M246" s="59"/>
      <c r="N246" s="59"/>
    </row>
    <row r="247" spans="2:14" s="53" customFormat="1" ht="16.149999999999999" customHeight="1" x14ac:dyDescent="0.25">
      <c r="B247" s="56" t="str">
        <f>IF(Invoices[[#This Row],[Invoice '#]]="","",Invoices[[#This Row],[Invoice '#]])</f>
        <v/>
      </c>
      <c r="C247" s="53" t="str">
        <f>IFERROR(VLOOKUP(open[[#This Row],[Invoice'#]],'Enter Invoices'!C:H,2,0),"")</f>
        <v/>
      </c>
      <c r="D247" s="52" t="str">
        <f>IFERROR(VLOOKUP(open[[#This Row],[Invoice'#]],'Enter Invoices'!C:H,6,0),"")</f>
        <v/>
      </c>
      <c r="E247" s="66" t="str">
        <f>IFERROR(VLOOKUP(open[[#This Row],[Invoice'#]],'Enter Invoices'!C:H,5,0),"")</f>
        <v/>
      </c>
      <c r="F247" s="54" t="str">
        <f>IFERROR(IF(open[[#This Row],[Amount Due]]="","",open[[#This Row],[Amount Due]]-SUMIF('Record Customer Payments'!B:B,open[[#This Row],[Invoice'#]],'Record Customer Payments'!F:F)),"")</f>
        <v/>
      </c>
      <c r="H247" s="55"/>
      <c r="I247" s="56"/>
      <c r="J247" s="57"/>
      <c r="K247" s="58"/>
      <c r="L247" s="59"/>
      <c r="M247" s="59"/>
      <c r="N247" s="59"/>
    </row>
    <row r="248" spans="2:14" s="53" customFormat="1" ht="16.149999999999999" customHeight="1" x14ac:dyDescent="0.25">
      <c r="B248" s="56" t="str">
        <f>IF(Invoices[[#This Row],[Invoice '#]]="","",Invoices[[#This Row],[Invoice '#]])</f>
        <v/>
      </c>
      <c r="C248" s="53" t="str">
        <f>IFERROR(VLOOKUP(open[[#This Row],[Invoice'#]],'Enter Invoices'!C:H,2,0),"")</f>
        <v/>
      </c>
      <c r="D248" s="52" t="str">
        <f>IFERROR(VLOOKUP(open[[#This Row],[Invoice'#]],'Enter Invoices'!C:H,6,0),"")</f>
        <v/>
      </c>
      <c r="E248" s="66" t="str">
        <f>IFERROR(VLOOKUP(open[[#This Row],[Invoice'#]],'Enter Invoices'!C:H,5,0),"")</f>
        <v/>
      </c>
      <c r="F248" s="54" t="str">
        <f>IFERROR(IF(open[[#This Row],[Amount Due]]="","",open[[#This Row],[Amount Due]]-SUMIF('Record Customer Payments'!B:B,open[[#This Row],[Invoice'#]],'Record Customer Payments'!F:F)),"")</f>
        <v/>
      </c>
      <c r="H248" s="55"/>
      <c r="I248" s="56"/>
      <c r="J248" s="57"/>
      <c r="K248" s="58"/>
      <c r="L248" s="59"/>
      <c r="M248" s="59"/>
      <c r="N248" s="59"/>
    </row>
    <row r="249" spans="2:14" s="53" customFormat="1" ht="16.149999999999999" customHeight="1" x14ac:dyDescent="0.25">
      <c r="B249" s="56" t="str">
        <f>IF(Invoices[[#This Row],[Invoice '#]]="","",Invoices[[#This Row],[Invoice '#]])</f>
        <v/>
      </c>
      <c r="C249" s="53" t="str">
        <f>IFERROR(VLOOKUP(open[[#This Row],[Invoice'#]],'Enter Invoices'!C:H,2,0),"")</f>
        <v/>
      </c>
      <c r="D249" s="52" t="str">
        <f>IFERROR(VLOOKUP(open[[#This Row],[Invoice'#]],'Enter Invoices'!C:H,6,0),"")</f>
        <v/>
      </c>
      <c r="E249" s="66" t="str">
        <f>IFERROR(VLOOKUP(open[[#This Row],[Invoice'#]],'Enter Invoices'!C:H,5,0),"")</f>
        <v/>
      </c>
      <c r="F249" s="54" t="str">
        <f>IFERROR(IF(open[[#This Row],[Amount Due]]="","",open[[#This Row],[Amount Due]]-SUMIF('Record Customer Payments'!B:B,open[[#This Row],[Invoice'#]],'Record Customer Payments'!F:F)),"")</f>
        <v/>
      </c>
      <c r="H249" s="55"/>
      <c r="I249" s="56"/>
      <c r="J249" s="57"/>
      <c r="K249" s="58"/>
      <c r="L249" s="59"/>
      <c r="M249" s="59"/>
      <c r="N249" s="59"/>
    </row>
    <row r="250" spans="2:14" s="53" customFormat="1" ht="16.149999999999999" customHeight="1" x14ac:dyDescent="0.25">
      <c r="B250" s="56" t="str">
        <f>IF(Invoices[[#This Row],[Invoice '#]]="","",Invoices[[#This Row],[Invoice '#]])</f>
        <v/>
      </c>
      <c r="C250" s="53" t="str">
        <f>IFERROR(VLOOKUP(open[[#This Row],[Invoice'#]],'Enter Invoices'!C:H,2,0),"")</f>
        <v/>
      </c>
      <c r="D250" s="52" t="str">
        <f>IFERROR(VLOOKUP(open[[#This Row],[Invoice'#]],'Enter Invoices'!C:H,6,0),"")</f>
        <v/>
      </c>
      <c r="E250" s="66" t="str">
        <f>IFERROR(VLOOKUP(open[[#This Row],[Invoice'#]],'Enter Invoices'!C:H,5,0),"")</f>
        <v/>
      </c>
      <c r="F250" s="54" t="str">
        <f>IFERROR(IF(open[[#This Row],[Amount Due]]="","",open[[#This Row],[Amount Due]]-SUMIF('Record Customer Payments'!B:B,open[[#This Row],[Invoice'#]],'Record Customer Payments'!F:F)),"")</f>
        <v/>
      </c>
      <c r="H250" s="55"/>
      <c r="I250" s="56"/>
      <c r="J250" s="57"/>
      <c r="K250" s="58"/>
      <c r="L250" s="59"/>
      <c r="M250" s="59"/>
      <c r="N250" s="59"/>
    </row>
    <row r="251" spans="2:14" s="53" customFormat="1" ht="16.149999999999999" customHeight="1" x14ac:dyDescent="0.25">
      <c r="B251" s="56" t="str">
        <f>IF(Invoices[[#This Row],[Invoice '#]]="","",Invoices[[#This Row],[Invoice '#]])</f>
        <v/>
      </c>
      <c r="C251" s="53" t="str">
        <f>IFERROR(VLOOKUP(open[[#This Row],[Invoice'#]],'Enter Invoices'!C:H,2,0),"")</f>
        <v/>
      </c>
      <c r="D251" s="52" t="str">
        <f>IFERROR(VLOOKUP(open[[#This Row],[Invoice'#]],'Enter Invoices'!C:H,6,0),"")</f>
        <v/>
      </c>
      <c r="E251" s="66" t="str">
        <f>IFERROR(VLOOKUP(open[[#This Row],[Invoice'#]],'Enter Invoices'!C:H,5,0),"")</f>
        <v/>
      </c>
      <c r="F251" s="54" t="str">
        <f>IFERROR(IF(open[[#This Row],[Amount Due]]="","",open[[#This Row],[Amount Due]]-SUMIF('Record Customer Payments'!B:B,open[[#This Row],[Invoice'#]],'Record Customer Payments'!F:F)),"")</f>
        <v/>
      </c>
      <c r="H251" s="55"/>
      <c r="I251" s="56"/>
      <c r="J251" s="57"/>
      <c r="K251" s="58"/>
      <c r="L251" s="59"/>
      <c r="M251" s="59"/>
      <c r="N251" s="59"/>
    </row>
    <row r="252" spans="2:14" s="53" customFormat="1" ht="16.149999999999999" customHeight="1" x14ac:dyDescent="0.25">
      <c r="B252" s="56" t="str">
        <f>IF(Invoices[[#This Row],[Invoice '#]]="","",Invoices[[#This Row],[Invoice '#]])</f>
        <v/>
      </c>
      <c r="C252" s="53" t="str">
        <f>IFERROR(VLOOKUP(open[[#This Row],[Invoice'#]],'Enter Invoices'!C:H,2,0),"")</f>
        <v/>
      </c>
      <c r="D252" s="52" t="str">
        <f>IFERROR(VLOOKUP(open[[#This Row],[Invoice'#]],'Enter Invoices'!C:H,6,0),"")</f>
        <v/>
      </c>
      <c r="E252" s="66" t="str">
        <f>IFERROR(VLOOKUP(open[[#This Row],[Invoice'#]],'Enter Invoices'!C:H,5,0),"")</f>
        <v/>
      </c>
      <c r="F252" s="54" t="str">
        <f>IFERROR(IF(open[[#This Row],[Amount Due]]="","",open[[#This Row],[Amount Due]]-SUMIF('Record Customer Payments'!B:B,open[[#This Row],[Invoice'#]],'Record Customer Payments'!F:F)),"")</f>
        <v/>
      </c>
      <c r="H252" s="55"/>
      <c r="I252" s="56"/>
      <c r="J252" s="57"/>
      <c r="K252" s="58"/>
      <c r="L252" s="59"/>
      <c r="M252" s="59"/>
      <c r="N252" s="59"/>
    </row>
    <row r="253" spans="2:14" s="53" customFormat="1" ht="16.149999999999999" customHeight="1" x14ac:dyDescent="0.25">
      <c r="B253" s="56" t="str">
        <f>IF(Invoices[[#This Row],[Invoice '#]]="","",Invoices[[#This Row],[Invoice '#]])</f>
        <v/>
      </c>
      <c r="C253" s="53" t="str">
        <f>IFERROR(VLOOKUP(open[[#This Row],[Invoice'#]],'Enter Invoices'!C:H,2,0),"")</f>
        <v/>
      </c>
      <c r="D253" s="52" t="str">
        <f>IFERROR(VLOOKUP(open[[#This Row],[Invoice'#]],'Enter Invoices'!C:H,6,0),"")</f>
        <v/>
      </c>
      <c r="E253" s="66" t="str">
        <f>IFERROR(VLOOKUP(open[[#This Row],[Invoice'#]],'Enter Invoices'!C:H,5,0),"")</f>
        <v/>
      </c>
      <c r="F253" s="54" t="str">
        <f>IFERROR(IF(open[[#This Row],[Amount Due]]="","",open[[#This Row],[Amount Due]]-SUMIF('Record Customer Payments'!B:B,open[[#This Row],[Invoice'#]],'Record Customer Payments'!F:F)),"")</f>
        <v/>
      </c>
      <c r="H253" s="55"/>
      <c r="I253" s="56"/>
      <c r="J253" s="57"/>
      <c r="K253" s="58"/>
      <c r="L253" s="59"/>
      <c r="M253" s="59"/>
      <c r="N253" s="59"/>
    </row>
    <row r="254" spans="2:14" s="53" customFormat="1" ht="16.149999999999999" customHeight="1" x14ac:dyDescent="0.25">
      <c r="B254" s="56" t="str">
        <f>IF(Invoices[[#This Row],[Invoice '#]]="","",Invoices[[#This Row],[Invoice '#]])</f>
        <v/>
      </c>
      <c r="C254" s="53" t="str">
        <f>IFERROR(VLOOKUP(open[[#This Row],[Invoice'#]],'Enter Invoices'!C:H,2,0),"")</f>
        <v/>
      </c>
      <c r="D254" s="52" t="str">
        <f>IFERROR(VLOOKUP(open[[#This Row],[Invoice'#]],'Enter Invoices'!C:H,6,0),"")</f>
        <v/>
      </c>
      <c r="E254" s="66" t="str">
        <f>IFERROR(VLOOKUP(open[[#This Row],[Invoice'#]],'Enter Invoices'!C:H,5,0),"")</f>
        <v/>
      </c>
      <c r="F254" s="54" t="str">
        <f>IFERROR(IF(open[[#This Row],[Amount Due]]="","",open[[#This Row],[Amount Due]]-SUMIF('Record Customer Payments'!B:B,open[[#This Row],[Invoice'#]],'Record Customer Payments'!F:F)),"")</f>
        <v/>
      </c>
      <c r="H254" s="55"/>
      <c r="I254" s="56"/>
      <c r="J254" s="57"/>
      <c r="K254" s="58"/>
      <c r="L254" s="59"/>
      <c r="M254" s="59"/>
      <c r="N254" s="59"/>
    </row>
    <row r="255" spans="2:14" s="53" customFormat="1" ht="16.149999999999999" customHeight="1" x14ac:dyDescent="0.25">
      <c r="B255" s="56" t="str">
        <f>IF(Invoices[[#This Row],[Invoice '#]]="","",Invoices[[#This Row],[Invoice '#]])</f>
        <v/>
      </c>
      <c r="C255" s="53" t="str">
        <f>IFERROR(VLOOKUP(open[[#This Row],[Invoice'#]],'Enter Invoices'!C:H,2,0),"")</f>
        <v/>
      </c>
      <c r="D255" s="52" t="str">
        <f>IFERROR(VLOOKUP(open[[#This Row],[Invoice'#]],'Enter Invoices'!C:H,6,0),"")</f>
        <v/>
      </c>
      <c r="E255" s="66" t="str">
        <f>IFERROR(VLOOKUP(open[[#This Row],[Invoice'#]],'Enter Invoices'!C:H,5,0),"")</f>
        <v/>
      </c>
      <c r="F255" s="54" t="str">
        <f>IFERROR(IF(open[[#This Row],[Amount Due]]="","",open[[#This Row],[Amount Due]]-SUMIF('Record Customer Payments'!B:B,open[[#This Row],[Invoice'#]],'Record Customer Payments'!F:F)),"")</f>
        <v/>
      </c>
      <c r="H255" s="55"/>
      <c r="I255" s="56"/>
      <c r="J255" s="57"/>
      <c r="K255" s="58"/>
      <c r="L255" s="59"/>
      <c r="M255" s="59"/>
      <c r="N255" s="59"/>
    </row>
    <row r="256" spans="2:14" s="53" customFormat="1" ht="16.149999999999999" customHeight="1" x14ac:dyDescent="0.25">
      <c r="B256" s="56" t="str">
        <f>IF(Invoices[[#This Row],[Invoice '#]]="","",Invoices[[#This Row],[Invoice '#]])</f>
        <v/>
      </c>
      <c r="C256" s="53" t="str">
        <f>IFERROR(VLOOKUP(open[[#This Row],[Invoice'#]],'Enter Invoices'!C:H,2,0),"")</f>
        <v/>
      </c>
      <c r="D256" s="52" t="str">
        <f>IFERROR(VLOOKUP(open[[#This Row],[Invoice'#]],'Enter Invoices'!C:H,6,0),"")</f>
        <v/>
      </c>
      <c r="E256" s="66" t="str">
        <f>IFERROR(VLOOKUP(open[[#This Row],[Invoice'#]],'Enter Invoices'!C:H,5,0),"")</f>
        <v/>
      </c>
      <c r="F256" s="54" t="str">
        <f>IFERROR(IF(open[[#This Row],[Amount Due]]="","",open[[#This Row],[Amount Due]]-SUMIF('Record Customer Payments'!B:B,open[[#This Row],[Invoice'#]],'Record Customer Payments'!F:F)),"")</f>
        <v/>
      </c>
      <c r="H256" s="55"/>
      <c r="I256" s="56"/>
      <c r="J256" s="57"/>
      <c r="K256" s="58"/>
      <c r="L256" s="59"/>
      <c r="M256" s="59"/>
      <c r="N256" s="59"/>
    </row>
    <row r="257" spans="2:14" s="53" customFormat="1" ht="16.149999999999999" customHeight="1" x14ac:dyDescent="0.25">
      <c r="B257" s="56" t="str">
        <f>IF(Invoices[[#This Row],[Invoice '#]]="","",Invoices[[#This Row],[Invoice '#]])</f>
        <v/>
      </c>
      <c r="C257" s="53" t="str">
        <f>IFERROR(VLOOKUP(open[[#This Row],[Invoice'#]],'Enter Invoices'!C:H,2,0),"")</f>
        <v/>
      </c>
      <c r="D257" s="52" t="str">
        <f>IFERROR(VLOOKUP(open[[#This Row],[Invoice'#]],'Enter Invoices'!C:H,6,0),"")</f>
        <v/>
      </c>
      <c r="E257" s="66" t="str">
        <f>IFERROR(VLOOKUP(open[[#This Row],[Invoice'#]],'Enter Invoices'!C:H,5,0),"")</f>
        <v/>
      </c>
      <c r="F257" s="54" t="str">
        <f>IFERROR(IF(open[[#This Row],[Amount Due]]="","",open[[#This Row],[Amount Due]]-SUMIF('Record Customer Payments'!B:B,open[[#This Row],[Invoice'#]],'Record Customer Payments'!F:F)),"")</f>
        <v/>
      </c>
      <c r="H257" s="55"/>
      <c r="I257" s="56"/>
      <c r="J257" s="57"/>
      <c r="K257" s="58"/>
      <c r="L257" s="59"/>
      <c r="M257" s="59"/>
      <c r="N257" s="59"/>
    </row>
    <row r="258" spans="2:14" s="53" customFormat="1" ht="16.149999999999999" customHeight="1" x14ac:dyDescent="0.25">
      <c r="B258" s="56" t="str">
        <f>IF(Invoices[[#This Row],[Invoice '#]]="","",Invoices[[#This Row],[Invoice '#]])</f>
        <v/>
      </c>
      <c r="C258" s="53" t="str">
        <f>IFERROR(VLOOKUP(open[[#This Row],[Invoice'#]],'Enter Invoices'!C:H,2,0),"")</f>
        <v/>
      </c>
      <c r="D258" s="52" t="str">
        <f>IFERROR(VLOOKUP(open[[#This Row],[Invoice'#]],'Enter Invoices'!C:H,6,0),"")</f>
        <v/>
      </c>
      <c r="E258" s="66" t="str">
        <f>IFERROR(VLOOKUP(open[[#This Row],[Invoice'#]],'Enter Invoices'!C:H,5,0),"")</f>
        <v/>
      </c>
      <c r="F258" s="54" t="str">
        <f>IFERROR(IF(open[[#This Row],[Amount Due]]="","",open[[#This Row],[Amount Due]]-SUMIF('Record Customer Payments'!B:B,open[[#This Row],[Invoice'#]],'Record Customer Payments'!F:F)),"")</f>
        <v/>
      </c>
      <c r="H258" s="55"/>
      <c r="I258" s="56"/>
      <c r="J258" s="57"/>
      <c r="K258" s="58"/>
      <c r="L258" s="59"/>
      <c r="M258" s="59"/>
      <c r="N258" s="59"/>
    </row>
    <row r="259" spans="2:14" s="53" customFormat="1" ht="16.149999999999999" customHeight="1" x14ac:dyDescent="0.25">
      <c r="B259" s="56" t="str">
        <f>IF(Invoices[[#This Row],[Invoice '#]]="","",Invoices[[#This Row],[Invoice '#]])</f>
        <v/>
      </c>
      <c r="C259" s="53" t="str">
        <f>IFERROR(VLOOKUP(open[[#This Row],[Invoice'#]],'Enter Invoices'!C:H,2,0),"")</f>
        <v/>
      </c>
      <c r="D259" s="52" t="str">
        <f>IFERROR(VLOOKUP(open[[#This Row],[Invoice'#]],'Enter Invoices'!C:H,6,0),"")</f>
        <v/>
      </c>
      <c r="E259" s="66" t="str">
        <f>IFERROR(VLOOKUP(open[[#This Row],[Invoice'#]],'Enter Invoices'!C:H,5,0),"")</f>
        <v/>
      </c>
      <c r="F259" s="54" t="str">
        <f>IFERROR(IF(open[[#This Row],[Amount Due]]="","",open[[#This Row],[Amount Due]]-SUMIF('Record Customer Payments'!B:B,open[[#This Row],[Invoice'#]],'Record Customer Payments'!F:F)),"")</f>
        <v/>
      </c>
      <c r="H259" s="55"/>
      <c r="I259" s="56"/>
      <c r="J259" s="57"/>
      <c r="K259" s="58"/>
      <c r="L259" s="59"/>
      <c r="M259" s="59"/>
      <c r="N259" s="59"/>
    </row>
    <row r="260" spans="2:14" s="53" customFormat="1" ht="16.149999999999999" customHeight="1" x14ac:dyDescent="0.25">
      <c r="B260" s="56" t="str">
        <f>IF(Invoices[[#This Row],[Invoice '#]]="","",Invoices[[#This Row],[Invoice '#]])</f>
        <v/>
      </c>
      <c r="C260" s="53" t="str">
        <f>IFERROR(VLOOKUP(open[[#This Row],[Invoice'#]],'Enter Invoices'!C:H,2,0),"")</f>
        <v/>
      </c>
      <c r="D260" s="52" t="str">
        <f>IFERROR(VLOOKUP(open[[#This Row],[Invoice'#]],'Enter Invoices'!C:H,6,0),"")</f>
        <v/>
      </c>
      <c r="E260" s="66" t="str">
        <f>IFERROR(VLOOKUP(open[[#This Row],[Invoice'#]],'Enter Invoices'!C:H,5,0),"")</f>
        <v/>
      </c>
      <c r="F260" s="54" t="str">
        <f>IFERROR(IF(open[[#This Row],[Amount Due]]="","",open[[#This Row],[Amount Due]]-SUMIF('Record Customer Payments'!B:B,open[[#This Row],[Invoice'#]],'Record Customer Payments'!F:F)),"")</f>
        <v/>
      </c>
      <c r="H260" s="55"/>
      <c r="I260" s="56"/>
      <c r="J260" s="57"/>
      <c r="K260" s="58"/>
      <c r="L260" s="59"/>
      <c r="M260" s="59"/>
      <c r="N260" s="59"/>
    </row>
    <row r="261" spans="2:14" s="53" customFormat="1" ht="16.149999999999999" customHeight="1" x14ac:dyDescent="0.25">
      <c r="B261" s="56" t="str">
        <f>IF(Invoices[[#This Row],[Invoice '#]]="","",Invoices[[#This Row],[Invoice '#]])</f>
        <v/>
      </c>
      <c r="C261" s="53" t="str">
        <f>IFERROR(VLOOKUP(open[[#This Row],[Invoice'#]],'Enter Invoices'!C:H,2,0),"")</f>
        <v/>
      </c>
      <c r="D261" s="52" t="str">
        <f>IFERROR(VLOOKUP(open[[#This Row],[Invoice'#]],'Enter Invoices'!C:H,6,0),"")</f>
        <v/>
      </c>
      <c r="E261" s="66" t="str">
        <f>IFERROR(VLOOKUP(open[[#This Row],[Invoice'#]],'Enter Invoices'!C:H,5,0),"")</f>
        <v/>
      </c>
      <c r="F261" s="54" t="str">
        <f>IFERROR(IF(open[[#This Row],[Amount Due]]="","",open[[#This Row],[Amount Due]]-SUMIF('Record Customer Payments'!B:B,open[[#This Row],[Invoice'#]],'Record Customer Payments'!F:F)),"")</f>
        <v/>
      </c>
      <c r="H261" s="55"/>
      <c r="I261" s="56"/>
      <c r="J261" s="57"/>
      <c r="K261" s="58"/>
      <c r="L261" s="59"/>
      <c r="M261" s="59"/>
      <c r="N261" s="59"/>
    </row>
    <row r="262" spans="2:14" s="53" customFormat="1" ht="16.149999999999999" customHeight="1" x14ac:dyDescent="0.25">
      <c r="B262" s="56" t="str">
        <f>IF(Invoices[[#This Row],[Invoice '#]]="","",Invoices[[#This Row],[Invoice '#]])</f>
        <v/>
      </c>
      <c r="C262" s="53" t="str">
        <f>IFERROR(VLOOKUP(open[[#This Row],[Invoice'#]],'Enter Invoices'!C:H,2,0),"")</f>
        <v/>
      </c>
      <c r="D262" s="52" t="str">
        <f>IFERROR(VLOOKUP(open[[#This Row],[Invoice'#]],'Enter Invoices'!C:H,6,0),"")</f>
        <v/>
      </c>
      <c r="E262" s="66" t="str">
        <f>IFERROR(VLOOKUP(open[[#This Row],[Invoice'#]],'Enter Invoices'!C:H,5,0),"")</f>
        <v/>
      </c>
      <c r="F262" s="54" t="str">
        <f>IFERROR(IF(open[[#This Row],[Amount Due]]="","",open[[#This Row],[Amount Due]]-SUMIF('Record Customer Payments'!B:B,open[[#This Row],[Invoice'#]],'Record Customer Payments'!F:F)),"")</f>
        <v/>
      </c>
      <c r="H262" s="55"/>
      <c r="I262" s="56"/>
      <c r="J262" s="57"/>
      <c r="K262" s="58"/>
      <c r="L262" s="59"/>
      <c r="M262" s="59"/>
      <c r="N262" s="59"/>
    </row>
    <row r="263" spans="2:14" s="53" customFormat="1" ht="16.149999999999999" customHeight="1" x14ac:dyDescent="0.25">
      <c r="B263" s="56" t="str">
        <f>IF(Invoices[[#This Row],[Invoice '#]]="","",Invoices[[#This Row],[Invoice '#]])</f>
        <v/>
      </c>
      <c r="C263" s="53" t="str">
        <f>IFERROR(VLOOKUP(open[[#This Row],[Invoice'#]],'Enter Invoices'!C:H,2,0),"")</f>
        <v/>
      </c>
      <c r="D263" s="52" t="str">
        <f>IFERROR(VLOOKUP(open[[#This Row],[Invoice'#]],'Enter Invoices'!C:H,6,0),"")</f>
        <v/>
      </c>
      <c r="E263" s="66" t="str">
        <f>IFERROR(VLOOKUP(open[[#This Row],[Invoice'#]],'Enter Invoices'!C:H,5,0),"")</f>
        <v/>
      </c>
      <c r="F263" s="54" t="str">
        <f>IFERROR(IF(open[[#This Row],[Amount Due]]="","",open[[#This Row],[Amount Due]]-SUMIF('Record Customer Payments'!B:B,open[[#This Row],[Invoice'#]],'Record Customer Payments'!F:F)),"")</f>
        <v/>
      </c>
      <c r="H263" s="55"/>
      <c r="I263" s="56"/>
      <c r="J263" s="57"/>
      <c r="K263" s="58"/>
      <c r="L263" s="59"/>
      <c r="M263" s="59"/>
      <c r="N263" s="59"/>
    </row>
    <row r="264" spans="2:14" s="53" customFormat="1" ht="16.149999999999999" customHeight="1" x14ac:dyDescent="0.25">
      <c r="B264" s="56" t="str">
        <f>IF(Invoices[[#This Row],[Invoice '#]]="","",Invoices[[#This Row],[Invoice '#]])</f>
        <v/>
      </c>
      <c r="C264" s="53" t="str">
        <f>IFERROR(VLOOKUP(open[[#This Row],[Invoice'#]],'Enter Invoices'!C:H,2,0),"")</f>
        <v/>
      </c>
      <c r="D264" s="52" t="str">
        <f>IFERROR(VLOOKUP(open[[#This Row],[Invoice'#]],'Enter Invoices'!C:H,6,0),"")</f>
        <v/>
      </c>
      <c r="E264" s="66" t="str">
        <f>IFERROR(VLOOKUP(open[[#This Row],[Invoice'#]],'Enter Invoices'!C:H,5,0),"")</f>
        <v/>
      </c>
      <c r="F264" s="54" t="str">
        <f>IFERROR(IF(open[[#This Row],[Amount Due]]="","",open[[#This Row],[Amount Due]]-SUMIF('Record Customer Payments'!B:B,open[[#This Row],[Invoice'#]],'Record Customer Payments'!F:F)),"")</f>
        <v/>
      </c>
      <c r="H264" s="55"/>
      <c r="I264" s="56"/>
      <c r="J264" s="57"/>
      <c r="K264" s="58"/>
      <c r="L264" s="59"/>
      <c r="M264" s="59"/>
      <c r="N264" s="59"/>
    </row>
    <row r="265" spans="2:14" s="53" customFormat="1" ht="16.149999999999999" customHeight="1" x14ac:dyDescent="0.25">
      <c r="B265" s="56" t="str">
        <f>IF(Invoices[[#This Row],[Invoice '#]]="","",Invoices[[#This Row],[Invoice '#]])</f>
        <v/>
      </c>
      <c r="C265" s="53" t="str">
        <f>IFERROR(VLOOKUP(open[[#This Row],[Invoice'#]],'Enter Invoices'!C:H,2,0),"")</f>
        <v/>
      </c>
      <c r="D265" s="52" t="str">
        <f>IFERROR(VLOOKUP(open[[#This Row],[Invoice'#]],'Enter Invoices'!C:H,6,0),"")</f>
        <v/>
      </c>
      <c r="E265" s="66" t="str">
        <f>IFERROR(VLOOKUP(open[[#This Row],[Invoice'#]],'Enter Invoices'!C:H,5,0),"")</f>
        <v/>
      </c>
      <c r="F265" s="54" t="str">
        <f>IFERROR(IF(open[[#This Row],[Amount Due]]="","",open[[#This Row],[Amount Due]]-SUMIF('Record Customer Payments'!B:B,open[[#This Row],[Invoice'#]],'Record Customer Payments'!F:F)),"")</f>
        <v/>
      </c>
      <c r="H265" s="55"/>
      <c r="I265" s="56"/>
      <c r="J265" s="57"/>
      <c r="K265" s="58"/>
      <c r="L265" s="59"/>
      <c r="M265" s="59"/>
      <c r="N265" s="59"/>
    </row>
    <row r="266" spans="2:14" s="53" customFormat="1" ht="16.149999999999999" customHeight="1" x14ac:dyDescent="0.25">
      <c r="B266" s="56" t="str">
        <f>IF(Invoices[[#This Row],[Invoice '#]]="","",Invoices[[#This Row],[Invoice '#]])</f>
        <v/>
      </c>
      <c r="C266" s="53" t="str">
        <f>IFERROR(VLOOKUP(open[[#This Row],[Invoice'#]],'Enter Invoices'!C:H,2,0),"")</f>
        <v/>
      </c>
      <c r="D266" s="52" t="str">
        <f>IFERROR(VLOOKUP(open[[#This Row],[Invoice'#]],'Enter Invoices'!C:H,6,0),"")</f>
        <v/>
      </c>
      <c r="E266" s="66" t="str">
        <f>IFERROR(VLOOKUP(open[[#This Row],[Invoice'#]],'Enter Invoices'!C:H,5,0),"")</f>
        <v/>
      </c>
      <c r="F266" s="54" t="str">
        <f>IFERROR(IF(open[[#This Row],[Amount Due]]="","",open[[#This Row],[Amount Due]]-SUMIF('Record Customer Payments'!B:B,open[[#This Row],[Invoice'#]],'Record Customer Payments'!F:F)),"")</f>
        <v/>
      </c>
      <c r="H266" s="55"/>
      <c r="I266" s="56"/>
      <c r="J266" s="57"/>
      <c r="K266" s="58"/>
      <c r="L266" s="59"/>
      <c r="M266" s="59"/>
      <c r="N266" s="59"/>
    </row>
    <row r="267" spans="2:14" s="53" customFormat="1" ht="16.149999999999999" customHeight="1" x14ac:dyDescent="0.25">
      <c r="B267" s="56" t="str">
        <f>IF(Invoices[[#This Row],[Invoice '#]]="","",Invoices[[#This Row],[Invoice '#]])</f>
        <v/>
      </c>
      <c r="C267" s="53" t="str">
        <f>IFERROR(VLOOKUP(open[[#This Row],[Invoice'#]],'Enter Invoices'!C:H,2,0),"")</f>
        <v/>
      </c>
      <c r="D267" s="52" t="str">
        <f>IFERROR(VLOOKUP(open[[#This Row],[Invoice'#]],'Enter Invoices'!C:H,6,0),"")</f>
        <v/>
      </c>
      <c r="E267" s="66" t="str">
        <f>IFERROR(VLOOKUP(open[[#This Row],[Invoice'#]],'Enter Invoices'!C:H,5,0),"")</f>
        <v/>
      </c>
      <c r="F267" s="54" t="str">
        <f>IFERROR(IF(open[[#This Row],[Amount Due]]="","",open[[#This Row],[Amount Due]]-SUMIF('Record Customer Payments'!B:B,open[[#This Row],[Invoice'#]],'Record Customer Payments'!F:F)),"")</f>
        <v/>
      </c>
      <c r="H267" s="55"/>
      <c r="I267" s="56"/>
      <c r="J267" s="57"/>
      <c r="K267" s="58"/>
      <c r="L267" s="59"/>
      <c r="M267" s="59"/>
      <c r="N267" s="59"/>
    </row>
    <row r="268" spans="2:14" s="53" customFormat="1" ht="16.149999999999999" customHeight="1" x14ac:dyDescent="0.25">
      <c r="B268" s="56" t="str">
        <f>IF(Invoices[[#This Row],[Invoice '#]]="","",Invoices[[#This Row],[Invoice '#]])</f>
        <v/>
      </c>
      <c r="C268" s="53" t="str">
        <f>IFERROR(VLOOKUP(open[[#This Row],[Invoice'#]],'Enter Invoices'!C:H,2,0),"")</f>
        <v/>
      </c>
      <c r="D268" s="52" t="str">
        <f>IFERROR(VLOOKUP(open[[#This Row],[Invoice'#]],'Enter Invoices'!C:H,6,0),"")</f>
        <v/>
      </c>
      <c r="E268" s="66" t="str">
        <f>IFERROR(VLOOKUP(open[[#This Row],[Invoice'#]],'Enter Invoices'!C:H,5,0),"")</f>
        <v/>
      </c>
      <c r="F268" s="54" t="str">
        <f>IFERROR(IF(open[[#This Row],[Amount Due]]="","",open[[#This Row],[Amount Due]]-SUMIF('Record Customer Payments'!B:B,open[[#This Row],[Invoice'#]],'Record Customer Payments'!F:F)),"")</f>
        <v/>
      </c>
      <c r="H268" s="55"/>
      <c r="I268" s="56"/>
      <c r="J268" s="57"/>
      <c r="K268" s="58"/>
      <c r="L268" s="59"/>
      <c r="M268" s="59"/>
      <c r="N268" s="59"/>
    </row>
    <row r="269" spans="2:14" s="53" customFormat="1" ht="16.149999999999999" customHeight="1" x14ac:dyDescent="0.25">
      <c r="B269" s="56" t="str">
        <f>IF(Invoices[[#This Row],[Invoice '#]]="","",Invoices[[#This Row],[Invoice '#]])</f>
        <v/>
      </c>
      <c r="C269" s="53" t="str">
        <f>IFERROR(VLOOKUP(open[[#This Row],[Invoice'#]],'Enter Invoices'!C:H,2,0),"")</f>
        <v/>
      </c>
      <c r="D269" s="52" t="str">
        <f>IFERROR(VLOOKUP(open[[#This Row],[Invoice'#]],'Enter Invoices'!C:H,6,0),"")</f>
        <v/>
      </c>
      <c r="E269" s="66" t="str">
        <f>IFERROR(VLOOKUP(open[[#This Row],[Invoice'#]],'Enter Invoices'!C:H,5,0),"")</f>
        <v/>
      </c>
      <c r="F269" s="54" t="str">
        <f>IFERROR(IF(open[[#This Row],[Amount Due]]="","",open[[#This Row],[Amount Due]]-SUMIF('Record Customer Payments'!B:B,open[[#This Row],[Invoice'#]],'Record Customer Payments'!F:F)),"")</f>
        <v/>
      </c>
      <c r="H269" s="55"/>
      <c r="I269" s="56"/>
      <c r="J269" s="57"/>
      <c r="K269" s="58"/>
      <c r="L269" s="59"/>
      <c r="M269" s="59"/>
      <c r="N269" s="59"/>
    </row>
    <row r="270" spans="2:14" s="53" customFormat="1" ht="16.149999999999999" customHeight="1" x14ac:dyDescent="0.25">
      <c r="B270" s="56" t="str">
        <f>IF(Invoices[[#This Row],[Invoice '#]]="","",Invoices[[#This Row],[Invoice '#]])</f>
        <v/>
      </c>
      <c r="C270" s="53" t="str">
        <f>IFERROR(VLOOKUP(open[[#This Row],[Invoice'#]],'Enter Invoices'!C:H,2,0),"")</f>
        <v/>
      </c>
      <c r="D270" s="52" t="str">
        <f>IFERROR(VLOOKUP(open[[#This Row],[Invoice'#]],'Enter Invoices'!C:H,6,0),"")</f>
        <v/>
      </c>
      <c r="E270" s="66" t="str">
        <f>IFERROR(VLOOKUP(open[[#This Row],[Invoice'#]],'Enter Invoices'!C:H,5,0),"")</f>
        <v/>
      </c>
      <c r="F270" s="54" t="str">
        <f>IFERROR(IF(open[[#This Row],[Amount Due]]="","",open[[#This Row],[Amount Due]]-SUMIF('Record Customer Payments'!B:B,open[[#This Row],[Invoice'#]],'Record Customer Payments'!F:F)),"")</f>
        <v/>
      </c>
      <c r="H270" s="55"/>
      <c r="I270" s="56"/>
      <c r="J270" s="57"/>
      <c r="K270" s="58"/>
      <c r="L270" s="59"/>
      <c r="M270" s="59"/>
      <c r="N270" s="59"/>
    </row>
    <row r="271" spans="2:14" s="53" customFormat="1" ht="16.149999999999999" customHeight="1" x14ac:dyDescent="0.25">
      <c r="B271" s="56" t="str">
        <f>IF(Invoices[[#This Row],[Invoice '#]]="","",Invoices[[#This Row],[Invoice '#]])</f>
        <v/>
      </c>
      <c r="C271" s="53" t="str">
        <f>IFERROR(VLOOKUP(open[[#This Row],[Invoice'#]],'Enter Invoices'!C:H,2,0),"")</f>
        <v/>
      </c>
      <c r="D271" s="52" t="str">
        <f>IFERROR(VLOOKUP(open[[#This Row],[Invoice'#]],'Enter Invoices'!C:H,6,0),"")</f>
        <v/>
      </c>
      <c r="E271" s="66" t="str">
        <f>IFERROR(VLOOKUP(open[[#This Row],[Invoice'#]],'Enter Invoices'!C:H,5,0),"")</f>
        <v/>
      </c>
      <c r="F271" s="54" t="str">
        <f>IFERROR(IF(open[[#This Row],[Amount Due]]="","",open[[#This Row],[Amount Due]]-SUMIF('Record Customer Payments'!B:B,open[[#This Row],[Invoice'#]],'Record Customer Payments'!F:F)),"")</f>
        <v/>
      </c>
      <c r="H271" s="55"/>
      <c r="I271" s="56"/>
      <c r="J271" s="57"/>
      <c r="K271" s="58"/>
      <c r="L271" s="59"/>
      <c r="M271" s="59"/>
      <c r="N271" s="59"/>
    </row>
    <row r="272" spans="2:14" s="53" customFormat="1" ht="16.149999999999999" customHeight="1" x14ac:dyDescent="0.25">
      <c r="B272" s="56" t="str">
        <f>IF(Invoices[[#This Row],[Invoice '#]]="","",Invoices[[#This Row],[Invoice '#]])</f>
        <v/>
      </c>
      <c r="C272" s="53" t="str">
        <f>IFERROR(VLOOKUP(open[[#This Row],[Invoice'#]],'Enter Invoices'!C:H,2,0),"")</f>
        <v/>
      </c>
      <c r="D272" s="52" t="str">
        <f>IFERROR(VLOOKUP(open[[#This Row],[Invoice'#]],'Enter Invoices'!C:H,6,0),"")</f>
        <v/>
      </c>
      <c r="E272" s="66" t="str">
        <f>IFERROR(VLOOKUP(open[[#This Row],[Invoice'#]],'Enter Invoices'!C:H,5,0),"")</f>
        <v/>
      </c>
      <c r="F272" s="54" t="str">
        <f>IFERROR(IF(open[[#This Row],[Amount Due]]="","",open[[#This Row],[Amount Due]]-SUMIF('Record Customer Payments'!B:B,open[[#This Row],[Invoice'#]],'Record Customer Payments'!F:F)),"")</f>
        <v/>
      </c>
      <c r="H272" s="55"/>
      <c r="I272" s="56"/>
      <c r="J272" s="57"/>
      <c r="K272" s="58"/>
      <c r="L272" s="59"/>
      <c r="M272" s="59"/>
      <c r="N272" s="59"/>
    </row>
    <row r="273" spans="2:14" s="53" customFormat="1" ht="16.149999999999999" customHeight="1" x14ac:dyDescent="0.25">
      <c r="B273" s="56" t="str">
        <f>IF(Invoices[[#This Row],[Invoice '#]]="","",Invoices[[#This Row],[Invoice '#]])</f>
        <v/>
      </c>
      <c r="C273" s="53" t="str">
        <f>IFERROR(VLOOKUP(open[[#This Row],[Invoice'#]],'Enter Invoices'!C:H,2,0),"")</f>
        <v/>
      </c>
      <c r="D273" s="52" t="str">
        <f>IFERROR(VLOOKUP(open[[#This Row],[Invoice'#]],'Enter Invoices'!C:H,6,0),"")</f>
        <v/>
      </c>
      <c r="E273" s="66" t="str">
        <f>IFERROR(VLOOKUP(open[[#This Row],[Invoice'#]],'Enter Invoices'!C:H,5,0),"")</f>
        <v/>
      </c>
      <c r="F273" s="54" t="str">
        <f>IFERROR(IF(open[[#This Row],[Amount Due]]="","",open[[#This Row],[Amount Due]]-SUMIF('Record Customer Payments'!B:B,open[[#This Row],[Invoice'#]],'Record Customer Payments'!F:F)),"")</f>
        <v/>
      </c>
      <c r="H273" s="55"/>
      <c r="I273" s="56"/>
      <c r="J273" s="57"/>
      <c r="K273" s="58"/>
      <c r="L273" s="59"/>
      <c r="M273" s="59"/>
      <c r="N273" s="59"/>
    </row>
    <row r="274" spans="2:14" s="53" customFormat="1" ht="16.149999999999999" customHeight="1" x14ac:dyDescent="0.25">
      <c r="B274" s="56" t="str">
        <f>IF(Invoices[[#This Row],[Invoice '#]]="","",Invoices[[#This Row],[Invoice '#]])</f>
        <v/>
      </c>
      <c r="C274" s="53" t="str">
        <f>IFERROR(VLOOKUP(open[[#This Row],[Invoice'#]],'Enter Invoices'!C:H,2,0),"")</f>
        <v/>
      </c>
      <c r="D274" s="52" t="str">
        <f>IFERROR(VLOOKUP(open[[#This Row],[Invoice'#]],'Enter Invoices'!C:H,6,0),"")</f>
        <v/>
      </c>
      <c r="E274" s="66" t="str">
        <f>IFERROR(VLOOKUP(open[[#This Row],[Invoice'#]],'Enter Invoices'!C:H,5,0),"")</f>
        <v/>
      </c>
      <c r="F274" s="54" t="str">
        <f>IFERROR(IF(open[[#This Row],[Amount Due]]="","",open[[#This Row],[Amount Due]]-SUMIF('Record Customer Payments'!B:B,open[[#This Row],[Invoice'#]],'Record Customer Payments'!F:F)),"")</f>
        <v/>
      </c>
      <c r="H274" s="55"/>
      <c r="I274" s="56"/>
      <c r="J274" s="57"/>
      <c r="K274" s="58"/>
      <c r="L274" s="59"/>
      <c r="M274" s="59"/>
      <c r="N274" s="59"/>
    </row>
    <row r="275" spans="2:14" s="53" customFormat="1" ht="16.149999999999999" customHeight="1" x14ac:dyDescent="0.25">
      <c r="B275" s="56" t="str">
        <f>IF(Invoices[[#This Row],[Invoice '#]]="","",Invoices[[#This Row],[Invoice '#]])</f>
        <v/>
      </c>
      <c r="C275" s="53" t="str">
        <f>IFERROR(VLOOKUP(open[[#This Row],[Invoice'#]],'Enter Invoices'!C:H,2,0),"")</f>
        <v/>
      </c>
      <c r="D275" s="52" t="str">
        <f>IFERROR(VLOOKUP(open[[#This Row],[Invoice'#]],'Enter Invoices'!C:H,6,0),"")</f>
        <v/>
      </c>
      <c r="E275" s="66" t="str">
        <f>IFERROR(VLOOKUP(open[[#This Row],[Invoice'#]],'Enter Invoices'!C:H,5,0),"")</f>
        <v/>
      </c>
      <c r="F275" s="54" t="str">
        <f>IFERROR(IF(open[[#This Row],[Amount Due]]="","",open[[#This Row],[Amount Due]]-SUMIF('Record Customer Payments'!B:B,open[[#This Row],[Invoice'#]],'Record Customer Payments'!F:F)),"")</f>
        <v/>
      </c>
      <c r="H275" s="55"/>
      <c r="I275" s="56"/>
      <c r="J275" s="57"/>
      <c r="K275" s="58"/>
      <c r="L275" s="59"/>
      <c r="M275" s="59"/>
      <c r="N275" s="59"/>
    </row>
    <row r="276" spans="2:14" s="53" customFormat="1" ht="16.149999999999999" customHeight="1" x14ac:dyDescent="0.25">
      <c r="B276" s="56" t="str">
        <f>IF(Invoices[[#This Row],[Invoice '#]]="","",Invoices[[#This Row],[Invoice '#]])</f>
        <v/>
      </c>
      <c r="C276" s="53" t="str">
        <f>IFERROR(VLOOKUP(open[[#This Row],[Invoice'#]],'Enter Invoices'!C:H,2,0),"")</f>
        <v/>
      </c>
      <c r="D276" s="52" t="str">
        <f>IFERROR(VLOOKUP(open[[#This Row],[Invoice'#]],'Enter Invoices'!C:H,6,0),"")</f>
        <v/>
      </c>
      <c r="E276" s="66" t="str">
        <f>IFERROR(VLOOKUP(open[[#This Row],[Invoice'#]],'Enter Invoices'!C:H,5,0),"")</f>
        <v/>
      </c>
      <c r="F276" s="54" t="str">
        <f>IFERROR(IF(open[[#This Row],[Amount Due]]="","",open[[#This Row],[Amount Due]]-SUMIF('Record Customer Payments'!B:B,open[[#This Row],[Invoice'#]],'Record Customer Payments'!F:F)),"")</f>
        <v/>
      </c>
      <c r="H276" s="55"/>
      <c r="I276" s="56"/>
      <c r="J276" s="57"/>
      <c r="K276" s="58"/>
      <c r="L276" s="59"/>
      <c r="M276" s="59"/>
      <c r="N276" s="59"/>
    </row>
    <row r="277" spans="2:14" s="53" customFormat="1" ht="16.149999999999999" customHeight="1" x14ac:dyDescent="0.25">
      <c r="B277" s="56" t="str">
        <f>IF(Invoices[[#This Row],[Invoice '#]]="","",Invoices[[#This Row],[Invoice '#]])</f>
        <v/>
      </c>
      <c r="C277" s="53" t="str">
        <f>IFERROR(VLOOKUP(open[[#This Row],[Invoice'#]],'Enter Invoices'!C:H,2,0),"")</f>
        <v/>
      </c>
      <c r="D277" s="52" t="str">
        <f>IFERROR(VLOOKUP(open[[#This Row],[Invoice'#]],'Enter Invoices'!C:H,6,0),"")</f>
        <v/>
      </c>
      <c r="E277" s="66" t="str">
        <f>IFERROR(VLOOKUP(open[[#This Row],[Invoice'#]],'Enter Invoices'!C:H,5,0),"")</f>
        <v/>
      </c>
      <c r="F277" s="54" t="str">
        <f>IFERROR(IF(open[[#This Row],[Amount Due]]="","",open[[#This Row],[Amount Due]]-SUMIF('Record Customer Payments'!B:B,open[[#This Row],[Invoice'#]],'Record Customer Payments'!F:F)),"")</f>
        <v/>
      </c>
      <c r="H277" s="55"/>
      <c r="I277" s="56"/>
      <c r="J277" s="57"/>
      <c r="K277" s="58"/>
      <c r="L277" s="59"/>
      <c r="M277" s="59"/>
      <c r="N277" s="59"/>
    </row>
    <row r="278" spans="2:14" s="53" customFormat="1" ht="16.149999999999999" customHeight="1" x14ac:dyDescent="0.25">
      <c r="B278" s="56" t="str">
        <f>IF(Invoices[[#This Row],[Invoice '#]]="","",Invoices[[#This Row],[Invoice '#]])</f>
        <v/>
      </c>
      <c r="C278" s="53" t="str">
        <f>IFERROR(VLOOKUP(open[[#This Row],[Invoice'#]],'Enter Invoices'!C:H,2,0),"")</f>
        <v/>
      </c>
      <c r="D278" s="52" t="str">
        <f>IFERROR(VLOOKUP(open[[#This Row],[Invoice'#]],'Enter Invoices'!C:H,6,0),"")</f>
        <v/>
      </c>
      <c r="E278" s="66" t="str">
        <f>IFERROR(VLOOKUP(open[[#This Row],[Invoice'#]],'Enter Invoices'!C:H,5,0),"")</f>
        <v/>
      </c>
      <c r="F278" s="54" t="str">
        <f>IFERROR(IF(open[[#This Row],[Amount Due]]="","",open[[#This Row],[Amount Due]]-SUMIF('Record Customer Payments'!B:B,open[[#This Row],[Invoice'#]],'Record Customer Payments'!F:F)),"")</f>
        <v/>
      </c>
      <c r="H278" s="55"/>
      <c r="I278" s="56"/>
      <c r="J278" s="57"/>
      <c r="K278" s="58"/>
      <c r="L278" s="59"/>
      <c r="M278" s="59"/>
      <c r="N278" s="59"/>
    </row>
    <row r="279" spans="2:14" s="53" customFormat="1" ht="16.149999999999999" customHeight="1" x14ac:dyDescent="0.25">
      <c r="B279" s="56" t="str">
        <f>IF(Invoices[[#This Row],[Invoice '#]]="","",Invoices[[#This Row],[Invoice '#]])</f>
        <v/>
      </c>
      <c r="C279" s="53" t="str">
        <f>IFERROR(VLOOKUP(open[[#This Row],[Invoice'#]],'Enter Invoices'!C:H,2,0),"")</f>
        <v/>
      </c>
      <c r="D279" s="52" t="str">
        <f>IFERROR(VLOOKUP(open[[#This Row],[Invoice'#]],'Enter Invoices'!C:H,6,0),"")</f>
        <v/>
      </c>
      <c r="E279" s="66" t="str">
        <f>IFERROR(VLOOKUP(open[[#This Row],[Invoice'#]],'Enter Invoices'!C:H,5,0),"")</f>
        <v/>
      </c>
      <c r="F279" s="54" t="str">
        <f>IFERROR(IF(open[[#This Row],[Amount Due]]="","",open[[#This Row],[Amount Due]]-SUMIF('Record Customer Payments'!B:B,open[[#This Row],[Invoice'#]],'Record Customer Payments'!F:F)),"")</f>
        <v/>
      </c>
      <c r="H279" s="55"/>
      <c r="I279" s="56"/>
      <c r="J279" s="57"/>
      <c r="K279" s="58"/>
      <c r="L279" s="59"/>
      <c r="M279" s="59"/>
      <c r="N279" s="59"/>
    </row>
    <row r="280" spans="2:14" s="53" customFormat="1" ht="16.149999999999999" customHeight="1" x14ac:dyDescent="0.25">
      <c r="B280" s="56" t="str">
        <f>IF(Invoices[[#This Row],[Invoice '#]]="","",Invoices[[#This Row],[Invoice '#]])</f>
        <v/>
      </c>
      <c r="C280" s="53" t="str">
        <f>IFERROR(VLOOKUP(open[[#This Row],[Invoice'#]],'Enter Invoices'!C:H,2,0),"")</f>
        <v/>
      </c>
      <c r="D280" s="52" t="str">
        <f>IFERROR(VLOOKUP(open[[#This Row],[Invoice'#]],'Enter Invoices'!C:H,6,0),"")</f>
        <v/>
      </c>
      <c r="E280" s="66" t="str">
        <f>IFERROR(VLOOKUP(open[[#This Row],[Invoice'#]],'Enter Invoices'!C:H,5,0),"")</f>
        <v/>
      </c>
      <c r="F280" s="54" t="str">
        <f>IFERROR(IF(open[[#This Row],[Amount Due]]="","",open[[#This Row],[Amount Due]]-SUMIF('Record Customer Payments'!B:B,open[[#This Row],[Invoice'#]],'Record Customer Payments'!F:F)),"")</f>
        <v/>
      </c>
      <c r="H280" s="55"/>
      <c r="I280" s="56"/>
      <c r="J280" s="57"/>
      <c r="K280" s="58"/>
      <c r="L280" s="59"/>
      <c r="M280" s="59"/>
      <c r="N280" s="59"/>
    </row>
    <row r="281" spans="2:14" s="53" customFormat="1" ht="16.149999999999999" customHeight="1" x14ac:dyDescent="0.25">
      <c r="B281" s="56" t="str">
        <f>IF(Invoices[[#This Row],[Invoice '#]]="","",Invoices[[#This Row],[Invoice '#]])</f>
        <v/>
      </c>
      <c r="C281" s="53" t="str">
        <f>IFERROR(VLOOKUP(open[[#This Row],[Invoice'#]],'Enter Invoices'!C:H,2,0),"")</f>
        <v/>
      </c>
      <c r="D281" s="52" t="str">
        <f>IFERROR(VLOOKUP(open[[#This Row],[Invoice'#]],'Enter Invoices'!C:H,6,0),"")</f>
        <v/>
      </c>
      <c r="E281" s="66" t="str">
        <f>IFERROR(VLOOKUP(open[[#This Row],[Invoice'#]],'Enter Invoices'!C:H,5,0),"")</f>
        <v/>
      </c>
      <c r="F281" s="54" t="str">
        <f>IFERROR(IF(open[[#This Row],[Amount Due]]="","",open[[#This Row],[Amount Due]]-SUMIF('Record Customer Payments'!B:B,open[[#This Row],[Invoice'#]],'Record Customer Payments'!F:F)),"")</f>
        <v/>
      </c>
      <c r="H281" s="55"/>
      <c r="I281" s="56"/>
      <c r="J281" s="57"/>
      <c r="K281" s="58"/>
      <c r="L281" s="59"/>
      <c r="M281" s="59"/>
      <c r="N281" s="59"/>
    </row>
    <row r="282" spans="2:14" s="53" customFormat="1" ht="16.149999999999999" customHeight="1" x14ac:dyDescent="0.25">
      <c r="B282" s="56" t="str">
        <f>IF(Invoices[[#This Row],[Invoice '#]]="","",Invoices[[#This Row],[Invoice '#]])</f>
        <v/>
      </c>
      <c r="C282" s="53" t="str">
        <f>IFERROR(VLOOKUP(open[[#This Row],[Invoice'#]],'Enter Invoices'!C:H,2,0),"")</f>
        <v/>
      </c>
      <c r="D282" s="52" t="str">
        <f>IFERROR(VLOOKUP(open[[#This Row],[Invoice'#]],'Enter Invoices'!C:H,6,0),"")</f>
        <v/>
      </c>
      <c r="E282" s="66" t="str">
        <f>IFERROR(VLOOKUP(open[[#This Row],[Invoice'#]],'Enter Invoices'!C:H,5,0),"")</f>
        <v/>
      </c>
      <c r="F282" s="54" t="str">
        <f>IFERROR(IF(open[[#This Row],[Amount Due]]="","",open[[#This Row],[Amount Due]]-SUMIF('Record Customer Payments'!B:B,open[[#This Row],[Invoice'#]],'Record Customer Payments'!F:F)),"")</f>
        <v/>
      </c>
      <c r="H282" s="55"/>
      <c r="I282" s="56"/>
      <c r="J282" s="57"/>
      <c r="K282" s="58"/>
      <c r="L282" s="59"/>
      <c r="M282" s="59"/>
      <c r="N282" s="59"/>
    </row>
    <row r="283" spans="2:14" s="53" customFormat="1" ht="16.149999999999999" customHeight="1" x14ac:dyDescent="0.25">
      <c r="B283" s="56" t="str">
        <f>IF(Invoices[[#This Row],[Invoice '#]]="","",Invoices[[#This Row],[Invoice '#]])</f>
        <v/>
      </c>
      <c r="C283" s="53" t="str">
        <f>IFERROR(VLOOKUP(open[[#This Row],[Invoice'#]],'Enter Invoices'!C:H,2,0),"")</f>
        <v/>
      </c>
      <c r="D283" s="52" t="str">
        <f>IFERROR(VLOOKUP(open[[#This Row],[Invoice'#]],'Enter Invoices'!C:H,6,0),"")</f>
        <v/>
      </c>
      <c r="E283" s="66" t="str">
        <f>IFERROR(VLOOKUP(open[[#This Row],[Invoice'#]],'Enter Invoices'!C:H,5,0),"")</f>
        <v/>
      </c>
      <c r="F283" s="54" t="str">
        <f>IFERROR(IF(open[[#This Row],[Amount Due]]="","",open[[#This Row],[Amount Due]]-SUMIF('Record Customer Payments'!B:B,open[[#This Row],[Invoice'#]],'Record Customer Payments'!F:F)),"")</f>
        <v/>
      </c>
      <c r="H283" s="55"/>
      <c r="I283" s="56"/>
      <c r="J283" s="57"/>
      <c r="K283" s="58"/>
      <c r="L283" s="59"/>
      <c r="M283" s="59"/>
      <c r="N283" s="59"/>
    </row>
    <row r="284" spans="2:14" s="53" customFormat="1" ht="16.149999999999999" customHeight="1" x14ac:dyDescent="0.25">
      <c r="B284" s="56" t="str">
        <f>IF(Invoices[[#This Row],[Invoice '#]]="","",Invoices[[#This Row],[Invoice '#]])</f>
        <v/>
      </c>
      <c r="C284" s="53" t="str">
        <f>IFERROR(VLOOKUP(open[[#This Row],[Invoice'#]],'Enter Invoices'!C:H,2,0),"")</f>
        <v/>
      </c>
      <c r="D284" s="52" t="str">
        <f>IFERROR(VLOOKUP(open[[#This Row],[Invoice'#]],'Enter Invoices'!C:H,6,0),"")</f>
        <v/>
      </c>
      <c r="E284" s="66" t="str">
        <f>IFERROR(VLOOKUP(open[[#This Row],[Invoice'#]],'Enter Invoices'!C:H,5,0),"")</f>
        <v/>
      </c>
      <c r="F284" s="54" t="str">
        <f>IFERROR(IF(open[[#This Row],[Amount Due]]="","",open[[#This Row],[Amount Due]]-SUMIF('Record Customer Payments'!B:B,open[[#This Row],[Invoice'#]],'Record Customer Payments'!F:F)),"")</f>
        <v/>
      </c>
      <c r="H284" s="55"/>
      <c r="I284" s="56"/>
      <c r="J284" s="57"/>
      <c r="K284" s="58"/>
      <c r="L284" s="59"/>
      <c r="M284" s="59"/>
      <c r="N284" s="59"/>
    </row>
    <row r="285" spans="2:14" s="53" customFormat="1" ht="16.149999999999999" customHeight="1" x14ac:dyDescent="0.25">
      <c r="B285" s="56" t="str">
        <f>IF(Invoices[[#This Row],[Invoice '#]]="","",Invoices[[#This Row],[Invoice '#]])</f>
        <v/>
      </c>
      <c r="C285" s="53" t="str">
        <f>IFERROR(VLOOKUP(open[[#This Row],[Invoice'#]],'Enter Invoices'!C:H,2,0),"")</f>
        <v/>
      </c>
      <c r="D285" s="52" t="str">
        <f>IFERROR(VLOOKUP(open[[#This Row],[Invoice'#]],'Enter Invoices'!C:H,6,0),"")</f>
        <v/>
      </c>
      <c r="E285" s="66" t="str">
        <f>IFERROR(VLOOKUP(open[[#This Row],[Invoice'#]],'Enter Invoices'!C:H,5,0),"")</f>
        <v/>
      </c>
      <c r="F285" s="54" t="str">
        <f>IFERROR(IF(open[[#This Row],[Amount Due]]="","",open[[#This Row],[Amount Due]]-SUMIF('Record Customer Payments'!B:B,open[[#This Row],[Invoice'#]],'Record Customer Payments'!F:F)),"")</f>
        <v/>
      </c>
      <c r="H285" s="55"/>
      <c r="I285" s="56"/>
      <c r="J285" s="57"/>
      <c r="K285" s="58"/>
      <c r="L285" s="59"/>
      <c r="M285" s="59"/>
      <c r="N285" s="59"/>
    </row>
    <row r="286" spans="2:14" s="53" customFormat="1" ht="16.149999999999999" customHeight="1" x14ac:dyDescent="0.25">
      <c r="B286" s="56" t="str">
        <f>IF(Invoices[[#This Row],[Invoice '#]]="","",Invoices[[#This Row],[Invoice '#]])</f>
        <v/>
      </c>
      <c r="C286" s="53" t="str">
        <f>IFERROR(VLOOKUP(open[[#This Row],[Invoice'#]],'Enter Invoices'!C:H,2,0),"")</f>
        <v/>
      </c>
      <c r="D286" s="52" t="str">
        <f>IFERROR(VLOOKUP(open[[#This Row],[Invoice'#]],'Enter Invoices'!C:H,6,0),"")</f>
        <v/>
      </c>
      <c r="E286" s="66" t="str">
        <f>IFERROR(VLOOKUP(open[[#This Row],[Invoice'#]],'Enter Invoices'!C:H,5,0),"")</f>
        <v/>
      </c>
      <c r="F286" s="54" t="str">
        <f>IFERROR(IF(open[[#This Row],[Amount Due]]="","",open[[#This Row],[Amount Due]]-SUMIF('Record Customer Payments'!B:B,open[[#This Row],[Invoice'#]],'Record Customer Payments'!F:F)),"")</f>
        <v/>
      </c>
      <c r="H286" s="55"/>
      <c r="I286" s="56"/>
      <c r="J286" s="57"/>
      <c r="K286" s="58"/>
      <c r="L286" s="59"/>
      <c r="M286" s="59"/>
      <c r="N286" s="59"/>
    </row>
    <row r="287" spans="2:14" s="53" customFormat="1" ht="16.149999999999999" customHeight="1" x14ac:dyDescent="0.25">
      <c r="B287" s="56" t="str">
        <f>IF(Invoices[[#This Row],[Invoice '#]]="","",Invoices[[#This Row],[Invoice '#]])</f>
        <v/>
      </c>
      <c r="C287" s="53" t="str">
        <f>IFERROR(VLOOKUP(open[[#This Row],[Invoice'#]],'Enter Invoices'!C:H,2,0),"")</f>
        <v/>
      </c>
      <c r="D287" s="52" t="str">
        <f>IFERROR(VLOOKUP(open[[#This Row],[Invoice'#]],'Enter Invoices'!C:H,6,0),"")</f>
        <v/>
      </c>
      <c r="E287" s="66" t="str">
        <f>IFERROR(VLOOKUP(open[[#This Row],[Invoice'#]],'Enter Invoices'!C:H,5,0),"")</f>
        <v/>
      </c>
      <c r="F287" s="54" t="str">
        <f>IFERROR(IF(open[[#This Row],[Amount Due]]="","",open[[#This Row],[Amount Due]]-SUMIF('Record Customer Payments'!B:B,open[[#This Row],[Invoice'#]],'Record Customer Payments'!F:F)),"")</f>
        <v/>
      </c>
      <c r="H287" s="55"/>
      <c r="I287" s="56"/>
      <c r="J287" s="57"/>
      <c r="K287" s="58"/>
      <c r="L287" s="59"/>
      <c r="M287" s="59"/>
      <c r="N287" s="59"/>
    </row>
    <row r="288" spans="2:14" s="53" customFormat="1" ht="16.149999999999999" customHeight="1" x14ac:dyDescent="0.25">
      <c r="B288" s="56" t="str">
        <f>IF(Invoices[[#This Row],[Invoice '#]]="","",Invoices[[#This Row],[Invoice '#]])</f>
        <v/>
      </c>
      <c r="C288" s="53" t="str">
        <f>IFERROR(VLOOKUP(open[[#This Row],[Invoice'#]],'Enter Invoices'!C:H,2,0),"")</f>
        <v/>
      </c>
      <c r="D288" s="52" t="str">
        <f>IFERROR(VLOOKUP(open[[#This Row],[Invoice'#]],'Enter Invoices'!C:H,6,0),"")</f>
        <v/>
      </c>
      <c r="E288" s="66" t="str">
        <f>IFERROR(VLOOKUP(open[[#This Row],[Invoice'#]],'Enter Invoices'!C:H,5,0),"")</f>
        <v/>
      </c>
      <c r="F288" s="54" t="str">
        <f>IFERROR(IF(open[[#This Row],[Amount Due]]="","",open[[#This Row],[Amount Due]]-SUMIF('Record Customer Payments'!B:B,open[[#This Row],[Invoice'#]],'Record Customer Payments'!F:F)),"")</f>
        <v/>
      </c>
      <c r="H288" s="55"/>
      <c r="I288" s="56"/>
      <c r="J288" s="57"/>
      <c r="K288" s="58"/>
      <c r="L288" s="59"/>
      <c r="M288" s="59"/>
      <c r="N288" s="59"/>
    </row>
    <row r="289" spans="2:14" s="53" customFormat="1" ht="16.149999999999999" customHeight="1" x14ac:dyDescent="0.25">
      <c r="B289" s="56" t="str">
        <f>IF(Invoices[[#This Row],[Invoice '#]]="","",Invoices[[#This Row],[Invoice '#]])</f>
        <v/>
      </c>
      <c r="C289" s="53" t="str">
        <f>IFERROR(VLOOKUP(open[[#This Row],[Invoice'#]],'Enter Invoices'!C:H,2,0),"")</f>
        <v/>
      </c>
      <c r="D289" s="52" t="str">
        <f>IFERROR(VLOOKUP(open[[#This Row],[Invoice'#]],'Enter Invoices'!C:H,6,0),"")</f>
        <v/>
      </c>
      <c r="E289" s="66" t="str">
        <f>IFERROR(VLOOKUP(open[[#This Row],[Invoice'#]],'Enter Invoices'!C:H,5,0),"")</f>
        <v/>
      </c>
      <c r="F289" s="54" t="str">
        <f>IFERROR(IF(open[[#This Row],[Amount Due]]="","",open[[#This Row],[Amount Due]]-SUMIF('Record Customer Payments'!B:B,open[[#This Row],[Invoice'#]],'Record Customer Payments'!F:F)),"")</f>
        <v/>
      </c>
      <c r="H289" s="55"/>
      <c r="I289" s="56"/>
      <c r="J289" s="57"/>
      <c r="K289" s="58"/>
      <c r="L289" s="59"/>
      <c r="M289" s="59"/>
      <c r="N289" s="59"/>
    </row>
    <row r="290" spans="2:14" s="53" customFormat="1" ht="16.149999999999999" customHeight="1" x14ac:dyDescent="0.25">
      <c r="B290" s="56" t="str">
        <f>IF(Invoices[[#This Row],[Invoice '#]]="","",Invoices[[#This Row],[Invoice '#]])</f>
        <v/>
      </c>
      <c r="C290" s="53" t="str">
        <f>IFERROR(VLOOKUP(open[[#This Row],[Invoice'#]],'Enter Invoices'!C:H,2,0),"")</f>
        <v/>
      </c>
      <c r="D290" s="52" t="str">
        <f>IFERROR(VLOOKUP(open[[#This Row],[Invoice'#]],'Enter Invoices'!C:H,6,0),"")</f>
        <v/>
      </c>
      <c r="E290" s="66" t="str">
        <f>IFERROR(VLOOKUP(open[[#This Row],[Invoice'#]],'Enter Invoices'!C:H,5,0),"")</f>
        <v/>
      </c>
      <c r="F290" s="54" t="str">
        <f>IFERROR(IF(open[[#This Row],[Amount Due]]="","",open[[#This Row],[Amount Due]]-SUMIF('Record Customer Payments'!B:B,open[[#This Row],[Invoice'#]],'Record Customer Payments'!F:F)),"")</f>
        <v/>
      </c>
      <c r="H290" s="55"/>
      <c r="I290" s="56"/>
      <c r="J290" s="57"/>
      <c r="K290" s="58"/>
      <c r="L290" s="59"/>
      <c r="M290" s="59"/>
      <c r="N290" s="59"/>
    </row>
    <row r="291" spans="2:14" s="53" customFormat="1" ht="16.149999999999999" customHeight="1" x14ac:dyDescent="0.25">
      <c r="B291" s="56" t="str">
        <f>IF(Invoices[[#This Row],[Invoice '#]]="","",Invoices[[#This Row],[Invoice '#]])</f>
        <v/>
      </c>
      <c r="C291" s="53" t="str">
        <f>IFERROR(VLOOKUP(open[[#This Row],[Invoice'#]],'Enter Invoices'!C:H,2,0),"")</f>
        <v/>
      </c>
      <c r="D291" s="52" t="str">
        <f>IFERROR(VLOOKUP(open[[#This Row],[Invoice'#]],'Enter Invoices'!C:H,6,0),"")</f>
        <v/>
      </c>
      <c r="E291" s="66" t="str">
        <f>IFERROR(VLOOKUP(open[[#This Row],[Invoice'#]],'Enter Invoices'!C:H,5,0),"")</f>
        <v/>
      </c>
      <c r="F291" s="54" t="str">
        <f>IFERROR(IF(open[[#This Row],[Amount Due]]="","",open[[#This Row],[Amount Due]]-SUMIF('Record Customer Payments'!B:B,open[[#This Row],[Invoice'#]],'Record Customer Payments'!F:F)),"")</f>
        <v/>
      </c>
      <c r="H291" s="55"/>
      <c r="I291" s="56"/>
      <c r="J291" s="57"/>
      <c r="K291" s="58"/>
      <c r="L291" s="59"/>
      <c r="M291" s="59"/>
      <c r="N291" s="59"/>
    </row>
    <row r="292" spans="2:14" s="53" customFormat="1" ht="16.149999999999999" customHeight="1" x14ac:dyDescent="0.25">
      <c r="B292" s="56" t="str">
        <f>IF(Invoices[[#This Row],[Invoice '#]]="","",Invoices[[#This Row],[Invoice '#]])</f>
        <v/>
      </c>
      <c r="C292" s="53" t="str">
        <f>IFERROR(VLOOKUP(open[[#This Row],[Invoice'#]],'Enter Invoices'!C:H,2,0),"")</f>
        <v/>
      </c>
      <c r="D292" s="52" t="str">
        <f>IFERROR(VLOOKUP(open[[#This Row],[Invoice'#]],'Enter Invoices'!C:H,6,0),"")</f>
        <v/>
      </c>
      <c r="E292" s="66" t="str">
        <f>IFERROR(VLOOKUP(open[[#This Row],[Invoice'#]],'Enter Invoices'!C:H,5,0),"")</f>
        <v/>
      </c>
      <c r="F292" s="54" t="str">
        <f>IFERROR(IF(open[[#This Row],[Amount Due]]="","",open[[#This Row],[Amount Due]]-SUMIF('Record Customer Payments'!B:B,open[[#This Row],[Invoice'#]],'Record Customer Payments'!F:F)),"")</f>
        <v/>
      </c>
      <c r="H292" s="55"/>
      <c r="I292" s="56"/>
      <c r="J292" s="57"/>
      <c r="K292" s="58"/>
      <c r="L292" s="59"/>
      <c r="M292" s="59"/>
      <c r="N292" s="59"/>
    </row>
    <row r="293" spans="2:14" s="53" customFormat="1" ht="16.149999999999999" customHeight="1" x14ac:dyDescent="0.25">
      <c r="B293" s="56" t="str">
        <f>IF(Invoices[[#This Row],[Invoice '#]]="","",Invoices[[#This Row],[Invoice '#]])</f>
        <v/>
      </c>
      <c r="C293" s="53" t="str">
        <f>IFERROR(VLOOKUP(open[[#This Row],[Invoice'#]],'Enter Invoices'!C:H,2,0),"")</f>
        <v/>
      </c>
      <c r="D293" s="52" t="str">
        <f>IFERROR(VLOOKUP(open[[#This Row],[Invoice'#]],'Enter Invoices'!C:H,6,0),"")</f>
        <v/>
      </c>
      <c r="E293" s="66" t="str">
        <f>IFERROR(VLOOKUP(open[[#This Row],[Invoice'#]],'Enter Invoices'!C:H,5,0),"")</f>
        <v/>
      </c>
      <c r="F293" s="54" t="str">
        <f>IFERROR(IF(open[[#This Row],[Amount Due]]="","",open[[#This Row],[Amount Due]]-SUMIF('Record Customer Payments'!B:B,open[[#This Row],[Invoice'#]],'Record Customer Payments'!F:F)),"")</f>
        <v/>
      </c>
      <c r="H293" s="55"/>
      <c r="I293" s="56"/>
      <c r="J293" s="57"/>
      <c r="K293" s="58"/>
      <c r="L293" s="59"/>
      <c r="M293" s="59"/>
      <c r="N293" s="59"/>
    </row>
    <row r="294" spans="2:14" s="53" customFormat="1" ht="16.149999999999999" customHeight="1" x14ac:dyDescent="0.25">
      <c r="B294" s="56" t="str">
        <f>IF(Invoices[[#This Row],[Invoice '#]]="","",Invoices[[#This Row],[Invoice '#]])</f>
        <v/>
      </c>
      <c r="C294" s="53" t="str">
        <f>IFERROR(VLOOKUP(open[[#This Row],[Invoice'#]],'Enter Invoices'!C:H,2,0),"")</f>
        <v/>
      </c>
      <c r="D294" s="52" t="str">
        <f>IFERROR(VLOOKUP(open[[#This Row],[Invoice'#]],'Enter Invoices'!C:H,6,0),"")</f>
        <v/>
      </c>
      <c r="E294" s="66" t="str">
        <f>IFERROR(VLOOKUP(open[[#This Row],[Invoice'#]],'Enter Invoices'!C:H,5,0),"")</f>
        <v/>
      </c>
      <c r="F294" s="54" t="str">
        <f>IFERROR(IF(open[[#This Row],[Amount Due]]="","",open[[#This Row],[Amount Due]]-SUMIF('Record Customer Payments'!B:B,open[[#This Row],[Invoice'#]],'Record Customer Payments'!F:F)),"")</f>
        <v/>
      </c>
      <c r="H294" s="55"/>
      <c r="I294" s="56"/>
      <c r="J294" s="57"/>
      <c r="K294" s="58"/>
      <c r="L294" s="59"/>
      <c r="M294" s="59"/>
      <c r="N294" s="59"/>
    </row>
    <row r="295" spans="2:14" s="53" customFormat="1" ht="16.149999999999999" customHeight="1" x14ac:dyDescent="0.25">
      <c r="B295" s="56" t="str">
        <f>IF(Invoices[[#This Row],[Invoice '#]]="","",Invoices[[#This Row],[Invoice '#]])</f>
        <v/>
      </c>
      <c r="C295" s="53" t="str">
        <f>IFERROR(VLOOKUP(open[[#This Row],[Invoice'#]],'Enter Invoices'!C:H,2,0),"")</f>
        <v/>
      </c>
      <c r="D295" s="52" t="str">
        <f>IFERROR(VLOOKUP(open[[#This Row],[Invoice'#]],'Enter Invoices'!C:H,6,0),"")</f>
        <v/>
      </c>
      <c r="E295" s="66" t="str">
        <f>IFERROR(VLOOKUP(open[[#This Row],[Invoice'#]],'Enter Invoices'!C:H,5,0),"")</f>
        <v/>
      </c>
      <c r="F295" s="54" t="str">
        <f>IFERROR(IF(open[[#This Row],[Amount Due]]="","",open[[#This Row],[Amount Due]]-SUMIF('Record Customer Payments'!B:B,open[[#This Row],[Invoice'#]],'Record Customer Payments'!F:F)),"")</f>
        <v/>
      </c>
      <c r="H295" s="55"/>
      <c r="I295" s="56"/>
      <c r="J295" s="57"/>
      <c r="K295" s="58"/>
      <c r="L295" s="59"/>
      <c r="M295" s="59"/>
      <c r="N295" s="59"/>
    </row>
    <row r="296" spans="2:14" s="53" customFormat="1" ht="16.149999999999999" customHeight="1" x14ac:dyDescent="0.25">
      <c r="B296" s="56" t="str">
        <f>IF(Invoices[[#This Row],[Invoice '#]]="","",Invoices[[#This Row],[Invoice '#]])</f>
        <v/>
      </c>
      <c r="C296" s="53" t="str">
        <f>IFERROR(VLOOKUP(open[[#This Row],[Invoice'#]],'Enter Invoices'!C:H,2,0),"")</f>
        <v/>
      </c>
      <c r="D296" s="52" t="str">
        <f>IFERROR(VLOOKUP(open[[#This Row],[Invoice'#]],'Enter Invoices'!C:H,6,0),"")</f>
        <v/>
      </c>
      <c r="E296" s="66" t="str">
        <f>IFERROR(VLOOKUP(open[[#This Row],[Invoice'#]],'Enter Invoices'!C:H,5,0),"")</f>
        <v/>
      </c>
      <c r="F296" s="54" t="str">
        <f>IFERROR(IF(open[[#This Row],[Amount Due]]="","",open[[#This Row],[Amount Due]]-SUMIF('Record Customer Payments'!B:B,open[[#This Row],[Invoice'#]],'Record Customer Payments'!F:F)),"")</f>
        <v/>
      </c>
      <c r="H296" s="55"/>
      <c r="I296" s="56"/>
      <c r="J296" s="57"/>
      <c r="K296" s="58"/>
      <c r="L296" s="59"/>
      <c r="M296" s="59"/>
      <c r="N296" s="59"/>
    </row>
    <row r="297" spans="2:14" s="53" customFormat="1" ht="16.149999999999999" customHeight="1" x14ac:dyDescent="0.25">
      <c r="B297" s="56" t="str">
        <f>IF(Invoices[[#This Row],[Invoice '#]]="","",Invoices[[#This Row],[Invoice '#]])</f>
        <v/>
      </c>
      <c r="C297" s="53" t="str">
        <f>IFERROR(VLOOKUP(open[[#This Row],[Invoice'#]],'Enter Invoices'!C:H,2,0),"")</f>
        <v/>
      </c>
      <c r="D297" s="52" t="str">
        <f>IFERROR(VLOOKUP(open[[#This Row],[Invoice'#]],'Enter Invoices'!C:H,6,0),"")</f>
        <v/>
      </c>
      <c r="E297" s="66" t="str">
        <f>IFERROR(VLOOKUP(open[[#This Row],[Invoice'#]],'Enter Invoices'!C:H,5,0),"")</f>
        <v/>
      </c>
      <c r="F297" s="54" t="str">
        <f>IFERROR(IF(open[[#This Row],[Amount Due]]="","",open[[#This Row],[Amount Due]]-SUMIF('Record Customer Payments'!B:B,open[[#This Row],[Invoice'#]],'Record Customer Payments'!F:F)),"")</f>
        <v/>
      </c>
      <c r="H297" s="55"/>
      <c r="I297" s="56"/>
      <c r="J297" s="57"/>
      <c r="K297" s="58"/>
      <c r="L297" s="59"/>
      <c r="M297" s="59"/>
      <c r="N297" s="59"/>
    </row>
    <row r="298" spans="2:14" s="53" customFormat="1" ht="16.149999999999999" customHeight="1" x14ac:dyDescent="0.25">
      <c r="B298" s="56" t="str">
        <f>IF(Invoices[[#This Row],[Invoice '#]]="","",Invoices[[#This Row],[Invoice '#]])</f>
        <v/>
      </c>
      <c r="C298" s="53" t="str">
        <f>IFERROR(VLOOKUP(open[[#This Row],[Invoice'#]],'Enter Invoices'!C:H,2,0),"")</f>
        <v/>
      </c>
      <c r="D298" s="52" t="str">
        <f>IFERROR(VLOOKUP(open[[#This Row],[Invoice'#]],'Enter Invoices'!C:H,6,0),"")</f>
        <v/>
      </c>
      <c r="E298" s="66" t="str">
        <f>IFERROR(VLOOKUP(open[[#This Row],[Invoice'#]],'Enter Invoices'!C:H,5,0),"")</f>
        <v/>
      </c>
      <c r="F298" s="54" t="str">
        <f>IFERROR(IF(open[[#This Row],[Amount Due]]="","",open[[#This Row],[Amount Due]]-SUMIF('Record Customer Payments'!B:B,open[[#This Row],[Invoice'#]],'Record Customer Payments'!F:F)),"")</f>
        <v/>
      </c>
      <c r="H298" s="55"/>
      <c r="I298" s="56"/>
      <c r="J298" s="57"/>
      <c r="K298" s="58"/>
      <c r="L298" s="59"/>
      <c r="M298" s="59"/>
      <c r="N298" s="59"/>
    </row>
    <row r="299" spans="2:14" s="53" customFormat="1" ht="16.149999999999999" customHeight="1" x14ac:dyDescent="0.25">
      <c r="B299" s="56" t="str">
        <f>IF(Invoices[[#This Row],[Invoice '#]]="","",Invoices[[#This Row],[Invoice '#]])</f>
        <v/>
      </c>
      <c r="C299" s="53" t="str">
        <f>IFERROR(VLOOKUP(open[[#This Row],[Invoice'#]],'Enter Invoices'!C:H,2,0),"")</f>
        <v/>
      </c>
      <c r="D299" s="52" t="str">
        <f>IFERROR(VLOOKUP(open[[#This Row],[Invoice'#]],'Enter Invoices'!C:H,6,0),"")</f>
        <v/>
      </c>
      <c r="E299" s="66" t="str">
        <f>IFERROR(VLOOKUP(open[[#This Row],[Invoice'#]],'Enter Invoices'!C:H,5,0),"")</f>
        <v/>
      </c>
      <c r="F299" s="54" t="str">
        <f>IFERROR(IF(open[[#This Row],[Amount Due]]="","",open[[#This Row],[Amount Due]]-SUMIF('Record Customer Payments'!B:B,open[[#This Row],[Invoice'#]],'Record Customer Payments'!F:F)),"")</f>
        <v/>
      </c>
      <c r="H299" s="55"/>
      <c r="I299" s="56"/>
      <c r="J299" s="57"/>
      <c r="K299" s="58"/>
      <c r="L299" s="59"/>
      <c r="M299" s="59"/>
      <c r="N299" s="59"/>
    </row>
    <row r="300" spans="2:14" s="53" customFormat="1" ht="16.149999999999999" customHeight="1" x14ac:dyDescent="0.25">
      <c r="B300" s="56" t="str">
        <f>IF(Invoices[[#This Row],[Invoice '#]]="","",Invoices[[#This Row],[Invoice '#]])</f>
        <v/>
      </c>
      <c r="C300" s="53" t="str">
        <f>IFERROR(VLOOKUP(open[[#This Row],[Invoice'#]],'Enter Invoices'!C:H,2,0),"")</f>
        <v/>
      </c>
      <c r="D300" s="52" t="str">
        <f>IFERROR(VLOOKUP(open[[#This Row],[Invoice'#]],'Enter Invoices'!C:H,6,0),"")</f>
        <v/>
      </c>
      <c r="E300" s="66" t="str">
        <f>IFERROR(VLOOKUP(open[[#This Row],[Invoice'#]],'Enter Invoices'!C:H,5,0),"")</f>
        <v/>
      </c>
      <c r="F300" s="54" t="str">
        <f>IFERROR(IF(open[[#This Row],[Amount Due]]="","",open[[#This Row],[Amount Due]]-SUMIF('Record Customer Payments'!B:B,open[[#This Row],[Invoice'#]],'Record Customer Payments'!F:F)),"")</f>
        <v/>
      </c>
      <c r="H300" s="55"/>
      <c r="I300" s="56"/>
      <c r="J300" s="57"/>
      <c r="K300" s="58"/>
      <c r="L300" s="59"/>
      <c r="M300" s="59"/>
      <c r="N300" s="59"/>
    </row>
    <row r="301" spans="2:14" s="53" customFormat="1" ht="16.149999999999999" customHeight="1" x14ac:dyDescent="0.25">
      <c r="B301" s="56" t="str">
        <f>IF(Invoices[[#This Row],[Invoice '#]]="","",Invoices[[#This Row],[Invoice '#]])</f>
        <v/>
      </c>
      <c r="C301" s="53" t="str">
        <f>IFERROR(VLOOKUP(open[[#This Row],[Invoice'#]],'Enter Invoices'!C:H,2,0),"")</f>
        <v/>
      </c>
      <c r="D301" s="52" t="str">
        <f>IFERROR(VLOOKUP(open[[#This Row],[Invoice'#]],'Enter Invoices'!C:H,6,0),"")</f>
        <v/>
      </c>
      <c r="E301" s="66" t="str">
        <f>IFERROR(VLOOKUP(open[[#This Row],[Invoice'#]],'Enter Invoices'!C:H,5,0),"")</f>
        <v/>
      </c>
      <c r="F301" s="54" t="str">
        <f>IFERROR(IF(open[[#This Row],[Amount Due]]="","",open[[#This Row],[Amount Due]]-SUMIF('Record Customer Payments'!B:B,open[[#This Row],[Invoice'#]],'Record Customer Payments'!F:F)),"")</f>
        <v/>
      </c>
      <c r="H301" s="55"/>
      <c r="I301" s="56"/>
      <c r="J301" s="57"/>
      <c r="K301" s="58"/>
      <c r="L301" s="59"/>
      <c r="M301" s="59"/>
      <c r="N301" s="59"/>
    </row>
    <row r="302" spans="2:14" s="53" customFormat="1" ht="16.149999999999999" customHeight="1" x14ac:dyDescent="0.25">
      <c r="B302" s="56" t="str">
        <f>IF(Invoices[[#This Row],[Invoice '#]]="","",Invoices[[#This Row],[Invoice '#]])</f>
        <v/>
      </c>
      <c r="C302" s="53" t="str">
        <f>IFERROR(VLOOKUP(open[[#This Row],[Invoice'#]],'Enter Invoices'!C:H,2,0),"")</f>
        <v/>
      </c>
      <c r="D302" s="52" t="str">
        <f>IFERROR(VLOOKUP(open[[#This Row],[Invoice'#]],'Enter Invoices'!C:H,6,0),"")</f>
        <v/>
      </c>
      <c r="E302" s="66" t="str">
        <f>IFERROR(VLOOKUP(open[[#This Row],[Invoice'#]],'Enter Invoices'!C:H,5,0),"")</f>
        <v/>
      </c>
      <c r="F302" s="54" t="str">
        <f>IFERROR(IF(open[[#This Row],[Amount Due]]="","",open[[#This Row],[Amount Due]]-SUMIF('Record Customer Payments'!B:B,open[[#This Row],[Invoice'#]],'Record Customer Payments'!F:F)),"")</f>
        <v/>
      </c>
      <c r="H302" s="55"/>
      <c r="I302" s="56"/>
      <c r="J302" s="57"/>
      <c r="K302" s="58"/>
      <c r="L302" s="59"/>
      <c r="M302" s="59"/>
      <c r="N302" s="59"/>
    </row>
    <row r="303" spans="2:14" s="53" customFormat="1" ht="16.149999999999999" customHeight="1" x14ac:dyDescent="0.25">
      <c r="B303" s="56" t="str">
        <f>IF(Invoices[[#This Row],[Invoice '#]]="","",Invoices[[#This Row],[Invoice '#]])</f>
        <v/>
      </c>
      <c r="C303" s="53" t="str">
        <f>IFERROR(VLOOKUP(open[[#This Row],[Invoice'#]],'Enter Invoices'!C:H,2,0),"")</f>
        <v/>
      </c>
      <c r="D303" s="52" t="str">
        <f>IFERROR(VLOOKUP(open[[#This Row],[Invoice'#]],'Enter Invoices'!C:H,6,0),"")</f>
        <v/>
      </c>
      <c r="E303" s="66" t="str">
        <f>IFERROR(VLOOKUP(open[[#This Row],[Invoice'#]],'Enter Invoices'!C:H,5,0),"")</f>
        <v/>
      </c>
      <c r="F303" s="54" t="str">
        <f>IFERROR(IF(open[[#This Row],[Amount Due]]="","",open[[#This Row],[Amount Due]]-SUMIF('Record Customer Payments'!B:B,open[[#This Row],[Invoice'#]],'Record Customer Payments'!F:F)),"")</f>
        <v/>
      </c>
      <c r="H303" s="55"/>
      <c r="I303" s="56"/>
      <c r="J303" s="57"/>
      <c r="K303" s="58"/>
      <c r="L303" s="59"/>
      <c r="M303" s="59"/>
      <c r="N303" s="59"/>
    </row>
    <row r="304" spans="2:14" s="53" customFormat="1" ht="16.149999999999999" customHeight="1" x14ac:dyDescent="0.25">
      <c r="B304" s="56" t="str">
        <f>IF(Invoices[[#This Row],[Invoice '#]]="","",Invoices[[#This Row],[Invoice '#]])</f>
        <v/>
      </c>
      <c r="C304" s="53" t="str">
        <f>IFERROR(VLOOKUP(open[[#This Row],[Invoice'#]],'Enter Invoices'!C:H,2,0),"")</f>
        <v/>
      </c>
      <c r="D304" s="52" t="str">
        <f>IFERROR(VLOOKUP(open[[#This Row],[Invoice'#]],'Enter Invoices'!C:H,6,0),"")</f>
        <v/>
      </c>
      <c r="E304" s="66" t="str">
        <f>IFERROR(VLOOKUP(open[[#This Row],[Invoice'#]],'Enter Invoices'!C:H,5,0),"")</f>
        <v/>
      </c>
      <c r="F304" s="54" t="str">
        <f>IFERROR(IF(open[[#This Row],[Amount Due]]="","",open[[#This Row],[Amount Due]]-SUMIF('Record Customer Payments'!B:B,open[[#This Row],[Invoice'#]],'Record Customer Payments'!F:F)),"")</f>
        <v/>
      </c>
      <c r="H304" s="55"/>
      <c r="I304" s="56"/>
      <c r="J304" s="57"/>
      <c r="K304" s="58"/>
      <c r="L304" s="59"/>
      <c r="M304" s="59"/>
      <c r="N304" s="59"/>
    </row>
    <row r="305" spans="2:14" s="53" customFormat="1" ht="16.149999999999999" customHeight="1" x14ac:dyDescent="0.25">
      <c r="B305" s="56" t="str">
        <f>IF(Invoices[[#This Row],[Invoice '#]]="","",Invoices[[#This Row],[Invoice '#]])</f>
        <v/>
      </c>
      <c r="C305" s="53" t="str">
        <f>IFERROR(VLOOKUP(open[[#This Row],[Invoice'#]],'Enter Invoices'!C:H,2,0),"")</f>
        <v/>
      </c>
      <c r="D305" s="52" t="str">
        <f>IFERROR(VLOOKUP(open[[#This Row],[Invoice'#]],'Enter Invoices'!C:H,6,0),"")</f>
        <v/>
      </c>
      <c r="E305" s="66" t="str">
        <f>IFERROR(VLOOKUP(open[[#This Row],[Invoice'#]],'Enter Invoices'!C:H,5,0),"")</f>
        <v/>
      </c>
      <c r="F305" s="54" t="str">
        <f>IFERROR(IF(open[[#This Row],[Amount Due]]="","",open[[#This Row],[Amount Due]]-SUMIF('Record Customer Payments'!B:B,open[[#This Row],[Invoice'#]],'Record Customer Payments'!F:F)),"")</f>
        <v/>
      </c>
      <c r="H305" s="55"/>
      <c r="I305" s="56"/>
      <c r="J305" s="57"/>
      <c r="K305" s="58"/>
      <c r="L305" s="59"/>
      <c r="M305" s="59"/>
      <c r="N305" s="59"/>
    </row>
    <row r="306" spans="2:14" s="53" customFormat="1" ht="16.149999999999999" customHeight="1" x14ac:dyDescent="0.25">
      <c r="B306" s="56" t="str">
        <f>IF(Invoices[[#This Row],[Invoice '#]]="","",Invoices[[#This Row],[Invoice '#]])</f>
        <v/>
      </c>
      <c r="C306" s="53" t="str">
        <f>IFERROR(VLOOKUP(open[[#This Row],[Invoice'#]],'Enter Invoices'!C:H,2,0),"")</f>
        <v/>
      </c>
      <c r="D306" s="52" t="str">
        <f>IFERROR(VLOOKUP(open[[#This Row],[Invoice'#]],'Enter Invoices'!C:H,6,0),"")</f>
        <v/>
      </c>
      <c r="E306" s="66" t="str">
        <f>IFERROR(VLOOKUP(open[[#This Row],[Invoice'#]],'Enter Invoices'!C:H,5,0),"")</f>
        <v/>
      </c>
      <c r="F306" s="54" t="str">
        <f>IFERROR(IF(open[[#This Row],[Amount Due]]="","",open[[#This Row],[Amount Due]]-SUMIF('Record Customer Payments'!B:B,open[[#This Row],[Invoice'#]],'Record Customer Payments'!F:F)),"")</f>
        <v/>
      </c>
      <c r="H306" s="55"/>
      <c r="I306" s="56"/>
      <c r="J306" s="57"/>
      <c r="K306" s="58"/>
      <c r="L306" s="59"/>
      <c r="M306" s="59"/>
      <c r="N306" s="59"/>
    </row>
    <row r="307" spans="2:14" s="53" customFormat="1" ht="16.149999999999999" customHeight="1" x14ac:dyDescent="0.25">
      <c r="B307" s="56" t="str">
        <f>IF(Invoices[[#This Row],[Invoice '#]]="","",Invoices[[#This Row],[Invoice '#]])</f>
        <v/>
      </c>
      <c r="C307" s="53" t="str">
        <f>IFERROR(VLOOKUP(open[[#This Row],[Invoice'#]],'Enter Invoices'!C:H,2,0),"")</f>
        <v/>
      </c>
      <c r="D307" s="52" t="str">
        <f>IFERROR(VLOOKUP(open[[#This Row],[Invoice'#]],'Enter Invoices'!C:H,6,0),"")</f>
        <v/>
      </c>
      <c r="E307" s="66" t="str">
        <f>IFERROR(VLOOKUP(open[[#This Row],[Invoice'#]],'Enter Invoices'!C:H,5,0),"")</f>
        <v/>
      </c>
      <c r="F307" s="54" t="str">
        <f>IFERROR(IF(open[[#This Row],[Amount Due]]="","",open[[#This Row],[Amount Due]]-SUMIF('Record Customer Payments'!B:B,open[[#This Row],[Invoice'#]],'Record Customer Payments'!F:F)),"")</f>
        <v/>
      </c>
      <c r="H307" s="55"/>
      <c r="I307" s="56"/>
      <c r="J307" s="57"/>
      <c r="K307" s="58"/>
      <c r="L307" s="59"/>
      <c r="M307" s="59"/>
      <c r="N307" s="59"/>
    </row>
    <row r="308" spans="2:14" s="53" customFormat="1" ht="16.149999999999999" customHeight="1" x14ac:dyDescent="0.25">
      <c r="B308" s="56" t="str">
        <f>IF(Invoices[[#This Row],[Invoice '#]]="","",Invoices[[#This Row],[Invoice '#]])</f>
        <v/>
      </c>
      <c r="C308" s="53" t="str">
        <f>IFERROR(VLOOKUP(open[[#This Row],[Invoice'#]],'Enter Invoices'!C:H,2,0),"")</f>
        <v/>
      </c>
      <c r="D308" s="52" t="str">
        <f>IFERROR(VLOOKUP(open[[#This Row],[Invoice'#]],'Enter Invoices'!C:H,6,0),"")</f>
        <v/>
      </c>
      <c r="E308" s="66" t="str">
        <f>IFERROR(VLOOKUP(open[[#This Row],[Invoice'#]],'Enter Invoices'!C:H,5,0),"")</f>
        <v/>
      </c>
      <c r="F308" s="54" t="str">
        <f>IFERROR(IF(open[[#This Row],[Amount Due]]="","",open[[#This Row],[Amount Due]]-SUMIF('Record Customer Payments'!B:B,open[[#This Row],[Invoice'#]],'Record Customer Payments'!F:F)),"")</f>
        <v/>
      </c>
      <c r="H308" s="55"/>
      <c r="I308" s="56"/>
      <c r="J308" s="57"/>
      <c r="K308" s="58"/>
      <c r="L308" s="59"/>
      <c r="M308" s="59"/>
      <c r="N308" s="59"/>
    </row>
    <row r="309" spans="2:14" s="53" customFormat="1" ht="16.149999999999999" customHeight="1" x14ac:dyDescent="0.25">
      <c r="B309" s="56" t="str">
        <f>IF(Invoices[[#This Row],[Invoice '#]]="","",Invoices[[#This Row],[Invoice '#]])</f>
        <v/>
      </c>
      <c r="C309" s="53" t="str">
        <f>IFERROR(VLOOKUP(open[[#This Row],[Invoice'#]],'Enter Invoices'!C:H,2,0),"")</f>
        <v/>
      </c>
      <c r="D309" s="52" t="str">
        <f>IFERROR(VLOOKUP(open[[#This Row],[Invoice'#]],'Enter Invoices'!C:H,6,0),"")</f>
        <v/>
      </c>
      <c r="E309" s="66" t="str">
        <f>IFERROR(VLOOKUP(open[[#This Row],[Invoice'#]],'Enter Invoices'!C:H,5,0),"")</f>
        <v/>
      </c>
      <c r="F309" s="54" t="str">
        <f>IFERROR(IF(open[[#This Row],[Amount Due]]="","",open[[#This Row],[Amount Due]]-SUMIF('Record Customer Payments'!B:B,open[[#This Row],[Invoice'#]],'Record Customer Payments'!F:F)),"")</f>
        <v/>
      </c>
      <c r="H309" s="55"/>
      <c r="I309" s="56"/>
      <c r="J309" s="57"/>
      <c r="K309" s="58"/>
      <c r="L309" s="59"/>
      <c r="M309" s="59"/>
      <c r="N309" s="59"/>
    </row>
    <row r="310" spans="2:14" s="53" customFormat="1" ht="16.149999999999999" customHeight="1" x14ac:dyDescent="0.25">
      <c r="B310" s="56" t="str">
        <f>IF(Invoices[[#This Row],[Invoice '#]]="","",Invoices[[#This Row],[Invoice '#]])</f>
        <v/>
      </c>
      <c r="C310" s="53" t="str">
        <f>IFERROR(VLOOKUP(open[[#This Row],[Invoice'#]],'Enter Invoices'!C:H,2,0),"")</f>
        <v/>
      </c>
      <c r="D310" s="52" t="str">
        <f>IFERROR(VLOOKUP(open[[#This Row],[Invoice'#]],'Enter Invoices'!C:H,6,0),"")</f>
        <v/>
      </c>
      <c r="E310" s="66" t="str">
        <f>IFERROR(VLOOKUP(open[[#This Row],[Invoice'#]],'Enter Invoices'!C:H,5,0),"")</f>
        <v/>
      </c>
      <c r="F310" s="54" t="str">
        <f>IFERROR(IF(open[[#This Row],[Amount Due]]="","",open[[#This Row],[Amount Due]]-SUMIF('Record Customer Payments'!B:B,open[[#This Row],[Invoice'#]],'Record Customer Payments'!F:F)),"")</f>
        <v/>
      </c>
      <c r="H310" s="55"/>
      <c r="I310" s="56"/>
      <c r="J310" s="57"/>
      <c r="K310" s="58"/>
      <c r="L310" s="59"/>
      <c r="M310" s="59"/>
      <c r="N310" s="59"/>
    </row>
    <row r="311" spans="2:14" s="53" customFormat="1" ht="16.149999999999999" customHeight="1" x14ac:dyDescent="0.25">
      <c r="B311" s="56" t="str">
        <f>IF(Invoices[[#This Row],[Invoice '#]]="","",Invoices[[#This Row],[Invoice '#]])</f>
        <v/>
      </c>
      <c r="C311" s="53" t="str">
        <f>IFERROR(VLOOKUP(open[[#This Row],[Invoice'#]],'Enter Invoices'!C:H,2,0),"")</f>
        <v/>
      </c>
      <c r="D311" s="52" t="str">
        <f>IFERROR(VLOOKUP(open[[#This Row],[Invoice'#]],'Enter Invoices'!C:H,6,0),"")</f>
        <v/>
      </c>
      <c r="E311" s="66" t="str">
        <f>IFERROR(VLOOKUP(open[[#This Row],[Invoice'#]],'Enter Invoices'!C:H,5,0),"")</f>
        <v/>
      </c>
      <c r="F311" s="54" t="str">
        <f>IFERROR(IF(open[[#This Row],[Amount Due]]="","",open[[#This Row],[Amount Due]]-SUMIF('Record Customer Payments'!B:B,open[[#This Row],[Invoice'#]],'Record Customer Payments'!F:F)),"")</f>
        <v/>
      </c>
      <c r="H311" s="55"/>
      <c r="I311" s="56"/>
      <c r="J311" s="57"/>
      <c r="K311" s="58"/>
      <c r="L311" s="59"/>
      <c r="M311" s="59"/>
      <c r="N311" s="59"/>
    </row>
    <row r="312" spans="2:14" s="53" customFormat="1" ht="16.149999999999999" customHeight="1" x14ac:dyDescent="0.25">
      <c r="B312" s="56" t="str">
        <f>IF(Invoices[[#This Row],[Invoice '#]]="","",Invoices[[#This Row],[Invoice '#]])</f>
        <v/>
      </c>
      <c r="C312" s="53" t="str">
        <f>IFERROR(VLOOKUP(open[[#This Row],[Invoice'#]],'Enter Invoices'!C:H,2,0),"")</f>
        <v/>
      </c>
      <c r="D312" s="52" t="str">
        <f>IFERROR(VLOOKUP(open[[#This Row],[Invoice'#]],'Enter Invoices'!C:H,6,0),"")</f>
        <v/>
      </c>
      <c r="E312" s="66" t="str">
        <f>IFERROR(VLOOKUP(open[[#This Row],[Invoice'#]],'Enter Invoices'!C:H,5,0),"")</f>
        <v/>
      </c>
      <c r="F312" s="54" t="str">
        <f>IFERROR(IF(open[[#This Row],[Amount Due]]="","",open[[#This Row],[Amount Due]]-SUMIF('Record Customer Payments'!B:B,open[[#This Row],[Invoice'#]],'Record Customer Payments'!F:F)),"")</f>
        <v/>
      </c>
      <c r="H312" s="55"/>
      <c r="I312" s="56"/>
      <c r="J312" s="57"/>
      <c r="K312" s="58"/>
      <c r="L312" s="59"/>
      <c r="M312" s="59"/>
      <c r="N312" s="59"/>
    </row>
    <row r="313" spans="2:14" s="53" customFormat="1" ht="16.149999999999999" customHeight="1" x14ac:dyDescent="0.25">
      <c r="B313" s="56" t="str">
        <f>IF(Invoices[[#This Row],[Invoice '#]]="","",Invoices[[#This Row],[Invoice '#]])</f>
        <v/>
      </c>
      <c r="C313" s="53" t="str">
        <f>IFERROR(VLOOKUP(open[[#This Row],[Invoice'#]],'Enter Invoices'!C:H,2,0),"")</f>
        <v/>
      </c>
      <c r="D313" s="52" t="str">
        <f>IFERROR(VLOOKUP(open[[#This Row],[Invoice'#]],'Enter Invoices'!C:H,6,0),"")</f>
        <v/>
      </c>
      <c r="E313" s="66" t="str">
        <f>IFERROR(VLOOKUP(open[[#This Row],[Invoice'#]],'Enter Invoices'!C:H,5,0),"")</f>
        <v/>
      </c>
      <c r="F313" s="54" t="str">
        <f>IFERROR(IF(open[[#This Row],[Amount Due]]="","",open[[#This Row],[Amount Due]]-SUMIF('Record Customer Payments'!B:B,open[[#This Row],[Invoice'#]],'Record Customer Payments'!F:F)),"")</f>
        <v/>
      </c>
      <c r="H313" s="55"/>
      <c r="I313" s="56"/>
      <c r="J313" s="57"/>
      <c r="K313" s="58"/>
      <c r="L313" s="59"/>
      <c r="M313" s="59"/>
      <c r="N313" s="59"/>
    </row>
    <row r="314" spans="2:14" s="53" customFormat="1" ht="16.149999999999999" customHeight="1" x14ac:dyDescent="0.25">
      <c r="B314" s="56" t="str">
        <f>IF(Invoices[[#This Row],[Invoice '#]]="","",Invoices[[#This Row],[Invoice '#]])</f>
        <v/>
      </c>
      <c r="C314" s="53" t="str">
        <f>IFERROR(VLOOKUP(open[[#This Row],[Invoice'#]],'Enter Invoices'!C:H,2,0),"")</f>
        <v/>
      </c>
      <c r="D314" s="52" t="str">
        <f>IFERROR(VLOOKUP(open[[#This Row],[Invoice'#]],'Enter Invoices'!C:H,6,0),"")</f>
        <v/>
      </c>
      <c r="E314" s="66" t="str">
        <f>IFERROR(VLOOKUP(open[[#This Row],[Invoice'#]],'Enter Invoices'!C:H,5,0),"")</f>
        <v/>
      </c>
      <c r="F314" s="54" t="str">
        <f>IFERROR(IF(open[[#This Row],[Amount Due]]="","",open[[#This Row],[Amount Due]]-SUMIF('Record Customer Payments'!B:B,open[[#This Row],[Invoice'#]],'Record Customer Payments'!F:F)),"")</f>
        <v/>
      </c>
      <c r="H314" s="55"/>
      <c r="I314" s="56"/>
      <c r="J314" s="57"/>
      <c r="K314" s="58"/>
      <c r="L314" s="59"/>
      <c r="M314" s="59"/>
      <c r="N314" s="59"/>
    </row>
    <row r="315" spans="2:14" s="53" customFormat="1" ht="16.149999999999999" customHeight="1" x14ac:dyDescent="0.25">
      <c r="B315" s="56" t="str">
        <f>IF(Invoices[[#This Row],[Invoice '#]]="","",Invoices[[#This Row],[Invoice '#]])</f>
        <v/>
      </c>
      <c r="C315" s="53" t="str">
        <f>IFERROR(VLOOKUP(open[[#This Row],[Invoice'#]],'Enter Invoices'!C:H,2,0),"")</f>
        <v/>
      </c>
      <c r="D315" s="52" t="str">
        <f>IFERROR(VLOOKUP(open[[#This Row],[Invoice'#]],'Enter Invoices'!C:H,6,0),"")</f>
        <v/>
      </c>
      <c r="E315" s="66" t="str">
        <f>IFERROR(VLOOKUP(open[[#This Row],[Invoice'#]],'Enter Invoices'!C:H,5,0),"")</f>
        <v/>
      </c>
      <c r="F315" s="54" t="str">
        <f>IFERROR(IF(open[[#This Row],[Amount Due]]="","",open[[#This Row],[Amount Due]]-SUMIF('Record Customer Payments'!B:B,open[[#This Row],[Invoice'#]],'Record Customer Payments'!F:F)),"")</f>
        <v/>
      </c>
      <c r="H315" s="55"/>
      <c r="I315" s="56"/>
      <c r="J315" s="57"/>
      <c r="K315" s="58"/>
      <c r="L315" s="59"/>
      <c r="M315" s="59"/>
      <c r="N315" s="59"/>
    </row>
    <row r="316" spans="2:14" s="53" customFormat="1" ht="16.149999999999999" customHeight="1" x14ac:dyDescent="0.25">
      <c r="B316" s="56" t="str">
        <f>IF(Invoices[[#This Row],[Invoice '#]]="","",Invoices[[#This Row],[Invoice '#]])</f>
        <v/>
      </c>
      <c r="C316" s="53" t="str">
        <f>IFERROR(VLOOKUP(open[[#This Row],[Invoice'#]],'Enter Invoices'!C:H,2,0),"")</f>
        <v/>
      </c>
      <c r="D316" s="52" t="str">
        <f>IFERROR(VLOOKUP(open[[#This Row],[Invoice'#]],'Enter Invoices'!C:H,6,0),"")</f>
        <v/>
      </c>
      <c r="E316" s="66" t="str">
        <f>IFERROR(VLOOKUP(open[[#This Row],[Invoice'#]],'Enter Invoices'!C:H,5,0),"")</f>
        <v/>
      </c>
      <c r="F316" s="54" t="str">
        <f>IFERROR(IF(open[[#This Row],[Amount Due]]="","",open[[#This Row],[Amount Due]]-SUMIF('Record Customer Payments'!B:B,open[[#This Row],[Invoice'#]],'Record Customer Payments'!F:F)),"")</f>
        <v/>
      </c>
      <c r="H316" s="55"/>
      <c r="I316" s="56"/>
      <c r="J316" s="57"/>
      <c r="K316" s="58"/>
      <c r="L316" s="59"/>
      <c r="M316" s="59"/>
      <c r="N316" s="59"/>
    </row>
    <row r="317" spans="2:14" s="53" customFormat="1" ht="16.149999999999999" customHeight="1" x14ac:dyDescent="0.25">
      <c r="B317" s="56" t="str">
        <f>IF(Invoices[[#This Row],[Invoice '#]]="","",Invoices[[#This Row],[Invoice '#]])</f>
        <v/>
      </c>
      <c r="C317" s="53" t="str">
        <f>IFERROR(VLOOKUP(open[[#This Row],[Invoice'#]],'Enter Invoices'!C:H,2,0),"")</f>
        <v/>
      </c>
      <c r="D317" s="52" t="str">
        <f>IFERROR(VLOOKUP(open[[#This Row],[Invoice'#]],'Enter Invoices'!C:H,6,0),"")</f>
        <v/>
      </c>
      <c r="E317" s="66" t="str">
        <f>IFERROR(VLOOKUP(open[[#This Row],[Invoice'#]],'Enter Invoices'!C:H,5,0),"")</f>
        <v/>
      </c>
      <c r="F317" s="54" t="str">
        <f>IFERROR(IF(open[[#This Row],[Amount Due]]="","",open[[#This Row],[Amount Due]]-SUMIF('Record Customer Payments'!B:B,open[[#This Row],[Invoice'#]],'Record Customer Payments'!F:F)),"")</f>
        <v/>
      </c>
      <c r="H317" s="55"/>
      <c r="I317" s="56"/>
      <c r="J317" s="57"/>
      <c r="K317" s="58"/>
      <c r="L317" s="59"/>
      <c r="M317" s="59"/>
      <c r="N317" s="59"/>
    </row>
    <row r="318" spans="2:14" s="53" customFormat="1" ht="16.149999999999999" customHeight="1" x14ac:dyDescent="0.25">
      <c r="B318" s="56" t="str">
        <f>IF(Invoices[[#This Row],[Invoice '#]]="","",Invoices[[#This Row],[Invoice '#]])</f>
        <v/>
      </c>
      <c r="C318" s="53" t="str">
        <f>IFERROR(VLOOKUP(open[[#This Row],[Invoice'#]],'Enter Invoices'!C:H,2,0),"")</f>
        <v/>
      </c>
      <c r="D318" s="52" t="str">
        <f>IFERROR(VLOOKUP(open[[#This Row],[Invoice'#]],'Enter Invoices'!C:H,6,0),"")</f>
        <v/>
      </c>
      <c r="E318" s="66" t="str">
        <f>IFERROR(VLOOKUP(open[[#This Row],[Invoice'#]],'Enter Invoices'!C:H,5,0),"")</f>
        <v/>
      </c>
      <c r="F318" s="54" t="str">
        <f>IFERROR(IF(open[[#This Row],[Amount Due]]="","",open[[#This Row],[Amount Due]]-SUMIF('Record Customer Payments'!B:B,open[[#This Row],[Invoice'#]],'Record Customer Payments'!F:F)),"")</f>
        <v/>
      </c>
      <c r="H318" s="55"/>
      <c r="I318" s="56"/>
      <c r="J318" s="57"/>
      <c r="K318" s="58"/>
      <c r="L318" s="59"/>
      <c r="M318" s="59"/>
      <c r="N318" s="59"/>
    </row>
    <row r="319" spans="2:14" s="53" customFormat="1" ht="16.149999999999999" customHeight="1" x14ac:dyDescent="0.25">
      <c r="B319" s="56" t="str">
        <f>IF(Invoices[[#This Row],[Invoice '#]]="","",Invoices[[#This Row],[Invoice '#]])</f>
        <v/>
      </c>
      <c r="C319" s="53" t="str">
        <f>IFERROR(VLOOKUP(open[[#This Row],[Invoice'#]],'Enter Invoices'!C:H,2,0),"")</f>
        <v/>
      </c>
      <c r="D319" s="52" t="str">
        <f>IFERROR(VLOOKUP(open[[#This Row],[Invoice'#]],'Enter Invoices'!C:H,6,0),"")</f>
        <v/>
      </c>
      <c r="E319" s="66" t="str">
        <f>IFERROR(VLOOKUP(open[[#This Row],[Invoice'#]],'Enter Invoices'!C:H,5,0),"")</f>
        <v/>
      </c>
      <c r="F319" s="54" t="str">
        <f>IFERROR(IF(open[[#This Row],[Amount Due]]="","",open[[#This Row],[Amount Due]]-SUMIF('Record Customer Payments'!B:B,open[[#This Row],[Invoice'#]],'Record Customer Payments'!F:F)),"")</f>
        <v/>
      </c>
      <c r="H319" s="55"/>
      <c r="I319" s="56"/>
      <c r="J319" s="57"/>
      <c r="K319" s="58"/>
      <c r="L319" s="59"/>
      <c r="M319" s="59"/>
      <c r="N319" s="59"/>
    </row>
    <row r="320" spans="2:14" s="53" customFormat="1" ht="16.149999999999999" customHeight="1" x14ac:dyDescent="0.25">
      <c r="B320" s="56" t="str">
        <f>IF(Invoices[[#This Row],[Invoice '#]]="","",Invoices[[#This Row],[Invoice '#]])</f>
        <v/>
      </c>
      <c r="C320" s="53" t="str">
        <f>IFERROR(VLOOKUP(open[[#This Row],[Invoice'#]],'Enter Invoices'!C:H,2,0),"")</f>
        <v/>
      </c>
      <c r="D320" s="52" t="str">
        <f>IFERROR(VLOOKUP(open[[#This Row],[Invoice'#]],'Enter Invoices'!C:H,6,0),"")</f>
        <v/>
      </c>
      <c r="E320" s="66" t="str">
        <f>IFERROR(VLOOKUP(open[[#This Row],[Invoice'#]],'Enter Invoices'!C:H,5,0),"")</f>
        <v/>
      </c>
      <c r="F320" s="54" t="str">
        <f>IFERROR(IF(open[[#This Row],[Amount Due]]="","",open[[#This Row],[Amount Due]]-SUMIF('Record Customer Payments'!B:B,open[[#This Row],[Invoice'#]],'Record Customer Payments'!F:F)),"")</f>
        <v/>
      </c>
      <c r="H320" s="55"/>
      <c r="I320" s="56"/>
      <c r="J320" s="57"/>
      <c r="K320" s="58"/>
      <c r="L320" s="59"/>
      <c r="M320" s="59"/>
      <c r="N320" s="59"/>
    </row>
    <row r="321" spans="2:14" s="53" customFormat="1" ht="16.149999999999999" customHeight="1" x14ac:dyDescent="0.25">
      <c r="B321" s="56" t="str">
        <f>IF(Invoices[[#This Row],[Invoice '#]]="","",Invoices[[#This Row],[Invoice '#]])</f>
        <v/>
      </c>
      <c r="C321" s="53" t="str">
        <f>IFERROR(VLOOKUP(open[[#This Row],[Invoice'#]],'Enter Invoices'!C:H,2,0),"")</f>
        <v/>
      </c>
      <c r="D321" s="52" t="str">
        <f>IFERROR(VLOOKUP(open[[#This Row],[Invoice'#]],'Enter Invoices'!C:H,6,0),"")</f>
        <v/>
      </c>
      <c r="E321" s="66" t="str">
        <f>IFERROR(VLOOKUP(open[[#This Row],[Invoice'#]],'Enter Invoices'!C:H,5,0),"")</f>
        <v/>
      </c>
      <c r="F321" s="54" t="str">
        <f>IFERROR(IF(open[[#This Row],[Amount Due]]="","",open[[#This Row],[Amount Due]]-SUMIF('Record Customer Payments'!B:B,open[[#This Row],[Invoice'#]],'Record Customer Payments'!F:F)),"")</f>
        <v/>
      </c>
      <c r="H321" s="55"/>
      <c r="I321" s="56"/>
      <c r="J321" s="57"/>
      <c r="K321" s="58"/>
      <c r="L321" s="59"/>
      <c r="M321" s="59"/>
      <c r="N321" s="59"/>
    </row>
    <row r="322" spans="2:14" s="53" customFormat="1" ht="16.149999999999999" customHeight="1" x14ac:dyDescent="0.25">
      <c r="B322" s="56" t="str">
        <f>IF(Invoices[[#This Row],[Invoice '#]]="","",Invoices[[#This Row],[Invoice '#]])</f>
        <v/>
      </c>
      <c r="C322" s="53" t="str">
        <f>IFERROR(VLOOKUP(open[[#This Row],[Invoice'#]],'Enter Invoices'!C:H,2,0),"")</f>
        <v/>
      </c>
      <c r="D322" s="52" t="str">
        <f>IFERROR(VLOOKUP(open[[#This Row],[Invoice'#]],'Enter Invoices'!C:H,6,0),"")</f>
        <v/>
      </c>
      <c r="E322" s="66" t="str">
        <f>IFERROR(VLOOKUP(open[[#This Row],[Invoice'#]],'Enter Invoices'!C:H,5,0),"")</f>
        <v/>
      </c>
      <c r="F322" s="54" t="str">
        <f>IFERROR(IF(open[[#This Row],[Amount Due]]="","",open[[#This Row],[Amount Due]]-SUMIF('Record Customer Payments'!B:B,open[[#This Row],[Invoice'#]],'Record Customer Payments'!F:F)),"")</f>
        <v/>
      </c>
      <c r="H322" s="55"/>
      <c r="I322" s="56"/>
      <c r="J322" s="57"/>
      <c r="K322" s="58"/>
      <c r="L322" s="59"/>
      <c r="M322" s="59"/>
      <c r="N322" s="59"/>
    </row>
    <row r="323" spans="2:14" s="53" customFormat="1" ht="16.149999999999999" customHeight="1" x14ac:dyDescent="0.25">
      <c r="B323" s="56" t="str">
        <f>IF(Invoices[[#This Row],[Invoice '#]]="","",Invoices[[#This Row],[Invoice '#]])</f>
        <v/>
      </c>
      <c r="C323" s="53" t="str">
        <f>IFERROR(VLOOKUP(open[[#This Row],[Invoice'#]],'Enter Invoices'!C:H,2,0),"")</f>
        <v/>
      </c>
      <c r="D323" s="52" t="str">
        <f>IFERROR(VLOOKUP(open[[#This Row],[Invoice'#]],'Enter Invoices'!C:H,6,0),"")</f>
        <v/>
      </c>
      <c r="E323" s="66" t="str">
        <f>IFERROR(VLOOKUP(open[[#This Row],[Invoice'#]],'Enter Invoices'!C:H,5,0),"")</f>
        <v/>
      </c>
      <c r="F323" s="54" t="str">
        <f>IFERROR(IF(open[[#This Row],[Amount Due]]="","",open[[#This Row],[Amount Due]]-SUMIF('Record Customer Payments'!B:B,open[[#This Row],[Invoice'#]],'Record Customer Payments'!F:F)),"")</f>
        <v/>
      </c>
      <c r="H323" s="55"/>
      <c r="I323" s="56"/>
      <c r="J323" s="57"/>
      <c r="K323" s="58"/>
      <c r="L323" s="59"/>
      <c r="M323" s="59"/>
      <c r="N323" s="59"/>
    </row>
    <row r="324" spans="2:14" s="53" customFormat="1" ht="16.149999999999999" customHeight="1" x14ac:dyDescent="0.25">
      <c r="B324" s="56" t="str">
        <f>IF(Invoices[[#This Row],[Invoice '#]]="","",Invoices[[#This Row],[Invoice '#]])</f>
        <v/>
      </c>
      <c r="C324" s="53" t="str">
        <f>IFERROR(VLOOKUP(open[[#This Row],[Invoice'#]],'Enter Invoices'!C:H,2,0),"")</f>
        <v/>
      </c>
      <c r="D324" s="52" t="str">
        <f>IFERROR(VLOOKUP(open[[#This Row],[Invoice'#]],'Enter Invoices'!C:H,6,0),"")</f>
        <v/>
      </c>
      <c r="E324" s="66" t="str">
        <f>IFERROR(VLOOKUP(open[[#This Row],[Invoice'#]],'Enter Invoices'!C:H,5,0),"")</f>
        <v/>
      </c>
      <c r="F324" s="54" t="str">
        <f>IFERROR(IF(open[[#This Row],[Amount Due]]="","",open[[#This Row],[Amount Due]]-SUMIF('Record Customer Payments'!B:B,open[[#This Row],[Invoice'#]],'Record Customer Payments'!F:F)),"")</f>
        <v/>
      </c>
      <c r="H324" s="55"/>
      <c r="I324" s="56"/>
      <c r="J324" s="57"/>
      <c r="K324" s="58"/>
      <c r="L324" s="59"/>
      <c r="M324" s="59"/>
      <c r="N324" s="59"/>
    </row>
    <row r="325" spans="2:14" s="53" customFormat="1" ht="16.149999999999999" customHeight="1" x14ac:dyDescent="0.25">
      <c r="B325" s="56" t="str">
        <f>IF(Invoices[[#This Row],[Invoice '#]]="","",Invoices[[#This Row],[Invoice '#]])</f>
        <v/>
      </c>
      <c r="C325" s="53" t="str">
        <f>IFERROR(VLOOKUP(open[[#This Row],[Invoice'#]],'Enter Invoices'!C:H,2,0),"")</f>
        <v/>
      </c>
      <c r="D325" s="52" t="str">
        <f>IFERROR(VLOOKUP(open[[#This Row],[Invoice'#]],'Enter Invoices'!C:H,6,0),"")</f>
        <v/>
      </c>
      <c r="E325" s="66" t="str">
        <f>IFERROR(VLOOKUP(open[[#This Row],[Invoice'#]],'Enter Invoices'!C:H,5,0),"")</f>
        <v/>
      </c>
      <c r="F325" s="54" t="str">
        <f>IFERROR(IF(open[[#This Row],[Amount Due]]="","",open[[#This Row],[Amount Due]]-SUMIF('Record Customer Payments'!B:B,open[[#This Row],[Invoice'#]],'Record Customer Payments'!F:F)),"")</f>
        <v/>
      </c>
      <c r="H325" s="55"/>
      <c r="I325" s="56"/>
      <c r="J325" s="57"/>
      <c r="K325" s="58"/>
      <c r="L325" s="59"/>
      <c r="M325" s="59"/>
      <c r="N325" s="59"/>
    </row>
    <row r="326" spans="2:14" s="53" customFormat="1" ht="16.149999999999999" customHeight="1" x14ac:dyDescent="0.25">
      <c r="B326" s="56" t="str">
        <f>IF(Invoices[[#This Row],[Invoice '#]]="","",Invoices[[#This Row],[Invoice '#]])</f>
        <v/>
      </c>
      <c r="C326" s="53" t="str">
        <f>IFERROR(VLOOKUP(open[[#This Row],[Invoice'#]],'Enter Invoices'!C:H,2,0),"")</f>
        <v/>
      </c>
      <c r="D326" s="52" t="str">
        <f>IFERROR(VLOOKUP(open[[#This Row],[Invoice'#]],'Enter Invoices'!C:H,6,0),"")</f>
        <v/>
      </c>
      <c r="E326" s="66" t="str">
        <f>IFERROR(VLOOKUP(open[[#This Row],[Invoice'#]],'Enter Invoices'!C:H,5,0),"")</f>
        <v/>
      </c>
      <c r="F326" s="54" t="str">
        <f>IFERROR(IF(open[[#This Row],[Amount Due]]="","",open[[#This Row],[Amount Due]]-SUMIF('Record Customer Payments'!B:B,open[[#This Row],[Invoice'#]],'Record Customer Payments'!F:F)),"")</f>
        <v/>
      </c>
      <c r="H326" s="55"/>
      <c r="I326" s="56"/>
      <c r="J326" s="57"/>
      <c r="K326" s="58"/>
      <c r="L326" s="59"/>
      <c r="M326" s="59"/>
      <c r="N326" s="59"/>
    </row>
    <row r="327" spans="2:14" s="53" customFormat="1" ht="16.149999999999999" customHeight="1" x14ac:dyDescent="0.25">
      <c r="B327" s="56" t="str">
        <f>IF(Invoices[[#This Row],[Invoice '#]]="","",Invoices[[#This Row],[Invoice '#]])</f>
        <v/>
      </c>
      <c r="C327" s="53" t="str">
        <f>IFERROR(VLOOKUP(open[[#This Row],[Invoice'#]],'Enter Invoices'!C:H,2,0),"")</f>
        <v/>
      </c>
      <c r="D327" s="52" t="str">
        <f>IFERROR(VLOOKUP(open[[#This Row],[Invoice'#]],'Enter Invoices'!C:H,6,0),"")</f>
        <v/>
      </c>
      <c r="E327" s="66" t="str">
        <f>IFERROR(VLOOKUP(open[[#This Row],[Invoice'#]],'Enter Invoices'!C:H,5,0),"")</f>
        <v/>
      </c>
      <c r="F327" s="54" t="str">
        <f>IFERROR(IF(open[[#This Row],[Amount Due]]="","",open[[#This Row],[Amount Due]]-SUMIF('Record Customer Payments'!B:B,open[[#This Row],[Invoice'#]],'Record Customer Payments'!F:F)),"")</f>
        <v/>
      </c>
      <c r="H327" s="55"/>
      <c r="I327" s="56"/>
      <c r="J327" s="57"/>
      <c r="K327" s="58"/>
      <c r="L327" s="59"/>
      <c r="M327" s="59"/>
      <c r="N327" s="59"/>
    </row>
    <row r="328" spans="2:14" s="53" customFormat="1" ht="16.149999999999999" customHeight="1" x14ac:dyDescent="0.25">
      <c r="B328" s="56" t="str">
        <f>IF(Invoices[[#This Row],[Invoice '#]]="","",Invoices[[#This Row],[Invoice '#]])</f>
        <v/>
      </c>
      <c r="C328" s="53" t="str">
        <f>IFERROR(VLOOKUP(open[[#This Row],[Invoice'#]],'Enter Invoices'!C:H,2,0),"")</f>
        <v/>
      </c>
      <c r="D328" s="52" t="str">
        <f>IFERROR(VLOOKUP(open[[#This Row],[Invoice'#]],'Enter Invoices'!C:H,6,0),"")</f>
        <v/>
      </c>
      <c r="E328" s="66" t="str">
        <f>IFERROR(VLOOKUP(open[[#This Row],[Invoice'#]],'Enter Invoices'!C:H,5,0),"")</f>
        <v/>
      </c>
      <c r="F328" s="54" t="str">
        <f>IFERROR(IF(open[[#This Row],[Amount Due]]="","",open[[#This Row],[Amount Due]]-SUMIF('Record Customer Payments'!B:B,open[[#This Row],[Invoice'#]],'Record Customer Payments'!F:F)),"")</f>
        <v/>
      </c>
      <c r="H328" s="55"/>
      <c r="I328" s="56"/>
      <c r="J328" s="57"/>
      <c r="K328" s="58"/>
      <c r="L328" s="59"/>
      <c r="M328" s="59"/>
      <c r="N328" s="59"/>
    </row>
    <row r="329" spans="2:14" s="53" customFormat="1" ht="16.149999999999999" customHeight="1" x14ac:dyDescent="0.25">
      <c r="B329" s="56" t="str">
        <f>IF(Invoices[[#This Row],[Invoice '#]]="","",Invoices[[#This Row],[Invoice '#]])</f>
        <v/>
      </c>
      <c r="C329" s="53" t="str">
        <f>IFERROR(VLOOKUP(open[[#This Row],[Invoice'#]],'Enter Invoices'!C:H,2,0),"")</f>
        <v/>
      </c>
      <c r="D329" s="52" t="str">
        <f>IFERROR(VLOOKUP(open[[#This Row],[Invoice'#]],'Enter Invoices'!C:H,6,0),"")</f>
        <v/>
      </c>
      <c r="E329" s="66" t="str">
        <f>IFERROR(VLOOKUP(open[[#This Row],[Invoice'#]],'Enter Invoices'!C:H,5,0),"")</f>
        <v/>
      </c>
      <c r="F329" s="54" t="str">
        <f>IFERROR(IF(open[[#This Row],[Amount Due]]="","",open[[#This Row],[Amount Due]]-SUMIF('Record Customer Payments'!B:B,open[[#This Row],[Invoice'#]],'Record Customer Payments'!F:F)),"")</f>
        <v/>
      </c>
      <c r="H329" s="55"/>
      <c r="I329" s="56"/>
      <c r="J329" s="57"/>
      <c r="K329" s="58"/>
      <c r="L329" s="59"/>
      <c r="M329" s="59"/>
      <c r="N329" s="59"/>
    </row>
    <row r="330" spans="2:14" s="53" customFormat="1" ht="16.149999999999999" customHeight="1" x14ac:dyDescent="0.25">
      <c r="B330" s="56" t="str">
        <f>IF(Invoices[[#This Row],[Invoice '#]]="","",Invoices[[#This Row],[Invoice '#]])</f>
        <v/>
      </c>
      <c r="C330" s="53" t="str">
        <f>IFERROR(VLOOKUP(open[[#This Row],[Invoice'#]],'Enter Invoices'!C:H,2,0),"")</f>
        <v/>
      </c>
      <c r="D330" s="52" t="str">
        <f>IFERROR(VLOOKUP(open[[#This Row],[Invoice'#]],'Enter Invoices'!C:H,6,0),"")</f>
        <v/>
      </c>
      <c r="E330" s="66" t="str">
        <f>IFERROR(VLOOKUP(open[[#This Row],[Invoice'#]],'Enter Invoices'!C:H,5,0),"")</f>
        <v/>
      </c>
      <c r="F330" s="54" t="str">
        <f>IFERROR(IF(open[[#This Row],[Amount Due]]="","",open[[#This Row],[Amount Due]]-SUMIF('Record Customer Payments'!B:B,open[[#This Row],[Invoice'#]],'Record Customer Payments'!F:F)),"")</f>
        <v/>
      </c>
      <c r="H330" s="55"/>
      <c r="I330" s="56"/>
      <c r="J330" s="57"/>
      <c r="K330" s="58"/>
      <c r="L330" s="59"/>
      <c r="M330" s="59"/>
      <c r="N330" s="59"/>
    </row>
    <row r="331" spans="2:14" s="53" customFormat="1" ht="16.149999999999999" customHeight="1" x14ac:dyDescent="0.25">
      <c r="B331" s="56" t="str">
        <f>IF(Invoices[[#This Row],[Invoice '#]]="","",Invoices[[#This Row],[Invoice '#]])</f>
        <v/>
      </c>
      <c r="C331" s="53" t="str">
        <f>IFERROR(VLOOKUP(open[[#This Row],[Invoice'#]],'Enter Invoices'!C:H,2,0),"")</f>
        <v/>
      </c>
      <c r="D331" s="52" t="str">
        <f>IFERROR(VLOOKUP(open[[#This Row],[Invoice'#]],'Enter Invoices'!C:H,6,0),"")</f>
        <v/>
      </c>
      <c r="E331" s="66" t="str">
        <f>IFERROR(VLOOKUP(open[[#This Row],[Invoice'#]],'Enter Invoices'!C:H,5,0),"")</f>
        <v/>
      </c>
      <c r="F331" s="54" t="str">
        <f>IFERROR(IF(open[[#This Row],[Amount Due]]="","",open[[#This Row],[Amount Due]]-SUMIF('Record Customer Payments'!B:B,open[[#This Row],[Invoice'#]],'Record Customer Payments'!F:F)),"")</f>
        <v/>
      </c>
      <c r="H331" s="55"/>
      <c r="I331" s="56"/>
      <c r="J331" s="57"/>
      <c r="K331" s="58"/>
      <c r="L331" s="59"/>
      <c r="M331" s="59"/>
      <c r="N331" s="59"/>
    </row>
    <row r="332" spans="2:14" s="53" customFormat="1" ht="16.149999999999999" customHeight="1" x14ac:dyDescent="0.25">
      <c r="B332" s="56" t="str">
        <f>IF(Invoices[[#This Row],[Invoice '#]]="","",Invoices[[#This Row],[Invoice '#]])</f>
        <v/>
      </c>
      <c r="C332" s="53" t="str">
        <f>IFERROR(VLOOKUP(open[[#This Row],[Invoice'#]],'Enter Invoices'!C:H,2,0),"")</f>
        <v/>
      </c>
      <c r="D332" s="52" t="str">
        <f>IFERROR(VLOOKUP(open[[#This Row],[Invoice'#]],'Enter Invoices'!C:H,6,0),"")</f>
        <v/>
      </c>
      <c r="E332" s="66" t="str">
        <f>IFERROR(VLOOKUP(open[[#This Row],[Invoice'#]],'Enter Invoices'!C:H,5,0),"")</f>
        <v/>
      </c>
      <c r="F332" s="54" t="str">
        <f>IFERROR(IF(open[[#This Row],[Amount Due]]="","",open[[#This Row],[Amount Due]]-SUMIF('Record Customer Payments'!B:B,open[[#This Row],[Invoice'#]],'Record Customer Payments'!F:F)),"")</f>
        <v/>
      </c>
      <c r="H332" s="55"/>
      <c r="I332" s="56"/>
      <c r="J332" s="57"/>
      <c r="K332" s="58"/>
      <c r="L332" s="59"/>
      <c r="M332" s="59"/>
      <c r="N332" s="59"/>
    </row>
    <row r="333" spans="2:14" s="53" customFormat="1" ht="16.149999999999999" customHeight="1" x14ac:dyDescent="0.25">
      <c r="B333" s="56" t="str">
        <f>IF(Invoices[[#This Row],[Invoice '#]]="","",Invoices[[#This Row],[Invoice '#]])</f>
        <v/>
      </c>
      <c r="C333" s="53" t="str">
        <f>IFERROR(VLOOKUP(open[[#This Row],[Invoice'#]],'Enter Invoices'!C:H,2,0),"")</f>
        <v/>
      </c>
      <c r="D333" s="52" t="str">
        <f>IFERROR(VLOOKUP(open[[#This Row],[Invoice'#]],'Enter Invoices'!C:H,6,0),"")</f>
        <v/>
      </c>
      <c r="E333" s="66" t="str">
        <f>IFERROR(VLOOKUP(open[[#This Row],[Invoice'#]],'Enter Invoices'!C:H,5,0),"")</f>
        <v/>
      </c>
      <c r="F333" s="54" t="str">
        <f>IFERROR(IF(open[[#This Row],[Amount Due]]="","",open[[#This Row],[Amount Due]]-SUMIF('Record Customer Payments'!B:B,open[[#This Row],[Invoice'#]],'Record Customer Payments'!F:F)),"")</f>
        <v/>
      </c>
      <c r="H333" s="55"/>
      <c r="I333" s="56"/>
      <c r="J333" s="57"/>
      <c r="K333" s="58"/>
      <c r="L333" s="59"/>
      <c r="M333" s="59"/>
      <c r="N333" s="59"/>
    </row>
    <row r="334" spans="2:14" s="53" customFormat="1" ht="16.149999999999999" customHeight="1" x14ac:dyDescent="0.25">
      <c r="B334" s="56" t="str">
        <f>IF(Invoices[[#This Row],[Invoice '#]]="","",Invoices[[#This Row],[Invoice '#]])</f>
        <v/>
      </c>
      <c r="C334" s="53" t="str">
        <f>IFERROR(VLOOKUP(open[[#This Row],[Invoice'#]],'Enter Invoices'!C:H,2,0),"")</f>
        <v/>
      </c>
      <c r="D334" s="52" t="str">
        <f>IFERROR(VLOOKUP(open[[#This Row],[Invoice'#]],'Enter Invoices'!C:H,6,0),"")</f>
        <v/>
      </c>
      <c r="E334" s="66" t="str">
        <f>IFERROR(VLOOKUP(open[[#This Row],[Invoice'#]],'Enter Invoices'!C:H,5,0),"")</f>
        <v/>
      </c>
      <c r="F334" s="54" t="str">
        <f>IFERROR(IF(open[[#This Row],[Amount Due]]="","",open[[#This Row],[Amount Due]]-SUMIF('Record Customer Payments'!B:B,open[[#This Row],[Invoice'#]],'Record Customer Payments'!F:F)),"")</f>
        <v/>
      </c>
      <c r="H334" s="55"/>
      <c r="I334" s="56"/>
      <c r="J334" s="57"/>
      <c r="K334" s="58"/>
      <c r="L334" s="59"/>
      <c r="M334" s="59"/>
      <c r="N334" s="59"/>
    </row>
    <row r="335" spans="2:14" s="53" customFormat="1" ht="16.149999999999999" customHeight="1" x14ac:dyDescent="0.25">
      <c r="B335" s="56" t="str">
        <f>IF(Invoices[[#This Row],[Invoice '#]]="","",Invoices[[#This Row],[Invoice '#]])</f>
        <v/>
      </c>
      <c r="C335" s="53" t="str">
        <f>IFERROR(VLOOKUP(open[[#This Row],[Invoice'#]],'Enter Invoices'!C:H,2,0),"")</f>
        <v/>
      </c>
      <c r="D335" s="52" t="str">
        <f>IFERROR(VLOOKUP(open[[#This Row],[Invoice'#]],'Enter Invoices'!C:H,6,0),"")</f>
        <v/>
      </c>
      <c r="E335" s="66" t="str">
        <f>IFERROR(VLOOKUP(open[[#This Row],[Invoice'#]],'Enter Invoices'!C:H,5,0),"")</f>
        <v/>
      </c>
      <c r="F335" s="54" t="str">
        <f>IFERROR(IF(open[[#This Row],[Amount Due]]="","",open[[#This Row],[Amount Due]]-SUMIF('Record Customer Payments'!B:B,open[[#This Row],[Invoice'#]],'Record Customer Payments'!F:F)),"")</f>
        <v/>
      </c>
      <c r="H335" s="55"/>
      <c r="I335" s="56"/>
      <c r="J335" s="57"/>
      <c r="K335" s="58"/>
      <c r="L335" s="59"/>
      <c r="M335" s="59"/>
      <c r="N335" s="59"/>
    </row>
    <row r="336" spans="2:14" s="53" customFormat="1" ht="16.149999999999999" customHeight="1" x14ac:dyDescent="0.25">
      <c r="B336" s="56" t="str">
        <f>IF(Invoices[[#This Row],[Invoice '#]]="","",Invoices[[#This Row],[Invoice '#]])</f>
        <v/>
      </c>
      <c r="C336" s="53" t="str">
        <f>IFERROR(VLOOKUP(open[[#This Row],[Invoice'#]],'Enter Invoices'!C:H,2,0),"")</f>
        <v/>
      </c>
      <c r="D336" s="52" t="str">
        <f>IFERROR(VLOOKUP(open[[#This Row],[Invoice'#]],'Enter Invoices'!C:H,6,0),"")</f>
        <v/>
      </c>
      <c r="E336" s="66" t="str">
        <f>IFERROR(VLOOKUP(open[[#This Row],[Invoice'#]],'Enter Invoices'!C:H,5,0),"")</f>
        <v/>
      </c>
      <c r="F336" s="54" t="str">
        <f>IFERROR(IF(open[[#This Row],[Amount Due]]="","",open[[#This Row],[Amount Due]]-SUMIF('Record Customer Payments'!B:B,open[[#This Row],[Invoice'#]],'Record Customer Payments'!F:F)),"")</f>
        <v/>
      </c>
      <c r="H336" s="55"/>
      <c r="I336" s="56"/>
      <c r="J336" s="57"/>
      <c r="K336" s="58"/>
      <c r="L336" s="59"/>
      <c r="M336" s="59"/>
      <c r="N336" s="59"/>
    </row>
    <row r="337" spans="2:14" s="53" customFormat="1" ht="16.149999999999999" customHeight="1" x14ac:dyDescent="0.25">
      <c r="B337" s="56" t="str">
        <f>IF(Invoices[[#This Row],[Invoice '#]]="","",Invoices[[#This Row],[Invoice '#]])</f>
        <v/>
      </c>
      <c r="C337" s="53" t="str">
        <f>IFERROR(VLOOKUP(open[[#This Row],[Invoice'#]],'Enter Invoices'!C:H,2,0),"")</f>
        <v/>
      </c>
      <c r="D337" s="52" t="str">
        <f>IFERROR(VLOOKUP(open[[#This Row],[Invoice'#]],'Enter Invoices'!C:H,6,0),"")</f>
        <v/>
      </c>
      <c r="E337" s="66" t="str">
        <f>IFERROR(VLOOKUP(open[[#This Row],[Invoice'#]],'Enter Invoices'!C:H,5,0),"")</f>
        <v/>
      </c>
      <c r="F337" s="54" t="str">
        <f>IFERROR(IF(open[[#This Row],[Amount Due]]="","",open[[#This Row],[Amount Due]]-SUMIF('Record Customer Payments'!B:B,open[[#This Row],[Invoice'#]],'Record Customer Payments'!F:F)),"")</f>
        <v/>
      </c>
      <c r="H337" s="55"/>
      <c r="I337" s="56"/>
      <c r="J337" s="57"/>
      <c r="K337" s="58"/>
      <c r="L337" s="59"/>
      <c r="M337" s="59"/>
      <c r="N337" s="59"/>
    </row>
    <row r="338" spans="2:14" s="53" customFormat="1" ht="16.149999999999999" customHeight="1" x14ac:dyDescent="0.25">
      <c r="B338" s="56" t="str">
        <f>IF(Invoices[[#This Row],[Invoice '#]]="","",Invoices[[#This Row],[Invoice '#]])</f>
        <v/>
      </c>
      <c r="C338" s="53" t="str">
        <f>IFERROR(VLOOKUP(open[[#This Row],[Invoice'#]],'Enter Invoices'!C:H,2,0),"")</f>
        <v/>
      </c>
      <c r="D338" s="52" t="str">
        <f>IFERROR(VLOOKUP(open[[#This Row],[Invoice'#]],'Enter Invoices'!C:H,6,0),"")</f>
        <v/>
      </c>
      <c r="E338" s="66" t="str">
        <f>IFERROR(VLOOKUP(open[[#This Row],[Invoice'#]],'Enter Invoices'!C:H,5,0),"")</f>
        <v/>
      </c>
      <c r="F338" s="54" t="str">
        <f>IFERROR(IF(open[[#This Row],[Amount Due]]="","",open[[#This Row],[Amount Due]]-SUMIF('Record Customer Payments'!B:B,open[[#This Row],[Invoice'#]],'Record Customer Payments'!F:F)),"")</f>
        <v/>
      </c>
      <c r="H338" s="55"/>
      <c r="I338" s="56"/>
      <c r="J338" s="57"/>
      <c r="K338" s="58"/>
      <c r="L338" s="59"/>
      <c r="M338" s="59"/>
      <c r="N338" s="59"/>
    </row>
    <row r="339" spans="2:14" s="53" customFormat="1" ht="16.149999999999999" customHeight="1" x14ac:dyDescent="0.25">
      <c r="B339" s="56" t="str">
        <f>IF(Invoices[[#This Row],[Invoice '#]]="","",Invoices[[#This Row],[Invoice '#]])</f>
        <v/>
      </c>
      <c r="C339" s="53" t="str">
        <f>IFERROR(VLOOKUP(open[[#This Row],[Invoice'#]],'Enter Invoices'!C:H,2,0),"")</f>
        <v/>
      </c>
      <c r="D339" s="52" t="str">
        <f>IFERROR(VLOOKUP(open[[#This Row],[Invoice'#]],'Enter Invoices'!C:H,6,0),"")</f>
        <v/>
      </c>
      <c r="E339" s="66" t="str">
        <f>IFERROR(VLOOKUP(open[[#This Row],[Invoice'#]],'Enter Invoices'!C:H,5,0),"")</f>
        <v/>
      </c>
      <c r="F339" s="54" t="str">
        <f>IFERROR(IF(open[[#This Row],[Amount Due]]="","",open[[#This Row],[Amount Due]]-SUMIF('Record Customer Payments'!B:B,open[[#This Row],[Invoice'#]],'Record Customer Payments'!F:F)),"")</f>
        <v/>
      </c>
      <c r="H339" s="55"/>
      <c r="I339" s="56"/>
      <c r="J339" s="57"/>
      <c r="K339" s="58"/>
      <c r="L339" s="59"/>
      <c r="M339" s="59"/>
      <c r="N339" s="59"/>
    </row>
    <row r="340" spans="2:14" s="53" customFormat="1" ht="16.149999999999999" customHeight="1" x14ac:dyDescent="0.25">
      <c r="B340" s="56" t="str">
        <f>IF(Invoices[[#This Row],[Invoice '#]]="","",Invoices[[#This Row],[Invoice '#]])</f>
        <v/>
      </c>
      <c r="C340" s="53" t="str">
        <f>IFERROR(VLOOKUP(open[[#This Row],[Invoice'#]],'Enter Invoices'!C:H,2,0),"")</f>
        <v/>
      </c>
      <c r="D340" s="52" t="str">
        <f>IFERROR(VLOOKUP(open[[#This Row],[Invoice'#]],'Enter Invoices'!C:H,6,0),"")</f>
        <v/>
      </c>
      <c r="E340" s="66" t="str">
        <f>IFERROR(VLOOKUP(open[[#This Row],[Invoice'#]],'Enter Invoices'!C:H,5,0),"")</f>
        <v/>
      </c>
      <c r="F340" s="54" t="str">
        <f>IFERROR(IF(open[[#This Row],[Amount Due]]="","",open[[#This Row],[Amount Due]]-SUMIF('Record Customer Payments'!B:B,open[[#This Row],[Invoice'#]],'Record Customer Payments'!F:F)),"")</f>
        <v/>
      </c>
      <c r="H340" s="55"/>
      <c r="I340" s="56"/>
      <c r="J340" s="57"/>
      <c r="K340" s="58"/>
      <c r="L340" s="59"/>
      <c r="M340" s="59"/>
      <c r="N340" s="59"/>
    </row>
    <row r="341" spans="2:14" s="53" customFormat="1" ht="16.149999999999999" customHeight="1" x14ac:dyDescent="0.25">
      <c r="B341" s="56" t="str">
        <f>IF(Invoices[[#This Row],[Invoice '#]]="","",Invoices[[#This Row],[Invoice '#]])</f>
        <v/>
      </c>
      <c r="C341" s="53" t="str">
        <f>IFERROR(VLOOKUP(open[[#This Row],[Invoice'#]],'Enter Invoices'!C:H,2,0),"")</f>
        <v/>
      </c>
      <c r="D341" s="52" t="str">
        <f>IFERROR(VLOOKUP(open[[#This Row],[Invoice'#]],'Enter Invoices'!C:H,6,0),"")</f>
        <v/>
      </c>
      <c r="E341" s="66" t="str">
        <f>IFERROR(VLOOKUP(open[[#This Row],[Invoice'#]],'Enter Invoices'!C:H,5,0),"")</f>
        <v/>
      </c>
      <c r="F341" s="54" t="str">
        <f>IFERROR(IF(open[[#This Row],[Amount Due]]="","",open[[#This Row],[Amount Due]]-SUMIF('Record Customer Payments'!B:B,open[[#This Row],[Invoice'#]],'Record Customer Payments'!F:F)),"")</f>
        <v/>
      </c>
      <c r="H341" s="55"/>
      <c r="I341" s="56"/>
      <c r="J341" s="57"/>
      <c r="K341" s="58"/>
      <c r="L341" s="59"/>
      <c r="M341" s="59"/>
      <c r="N341" s="59"/>
    </row>
    <row r="342" spans="2:14" s="53" customFormat="1" ht="16.149999999999999" customHeight="1" x14ac:dyDescent="0.25">
      <c r="B342" s="56" t="str">
        <f>IF(Invoices[[#This Row],[Invoice '#]]="","",Invoices[[#This Row],[Invoice '#]])</f>
        <v/>
      </c>
      <c r="C342" s="53" t="str">
        <f>IFERROR(VLOOKUP(open[[#This Row],[Invoice'#]],'Enter Invoices'!C:H,2,0),"")</f>
        <v/>
      </c>
      <c r="D342" s="52" t="str">
        <f>IFERROR(VLOOKUP(open[[#This Row],[Invoice'#]],'Enter Invoices'!C:H,6,0),"")</f>
        <v/>
      </c>
      <c r="E342" s="66" t="str">
        <f>IFERROR(VLOOKUP(open[[#This Row],[Invoice'#]],'Enter Invoices'!C:H,5,0),"")</f>
        <v/>
      </c>
      <c r="F342" s="54" t="str">
        <f>IFERROR(IF(open[[#This Row],[Amount Due]]="","",open[[#This Row],[Amount Due]]-SUMIF('Record Customer Payments'!B:B,open[[#This Row],[Invoice'#]],'Record Customer Payments'!F:F)),"")</f>
        <v/>
      </c>
      <c r="H342" s="55"/>
      <c r="I342" s="56"/>
      <c r="J342" s="57"/>
      <c r="K342" s="58"/>
      <c r="L342" s="59"/>
      <c r="M342" s="59"/>
      <c r="N342" s="59"/>
    </row>
    <row r="343" spans="2:14" s="53" customFormat="1" ht="16.149999999999999" customHeight="1" x14ac:dyDescent="0.25">
      <c r="B343" s="56" t="str">
        <f>IF(Invoices[[#This Row],[Invoice '#]]="","",Invoices[[#This Row],[Invoice '#]])</f>
        <v/>
      </c>
      <c r="C343" s="53" t="str">
        <f>IFERROR(VLOOKUP(open[[#This Row],[Invoice'#]],'Enter Invoices'!C:H,2,0),"")</f>
        <v/>
      </c>
      <c r="D343" s="52" t="str">
        <f>IFERROR(VLOOKUP(open[[#This Row],[Invoice'#]],'Enter Invoices'!C:H,6,0),"")</f>
        <v/>
      </c>
      <c r="E343" s="66" t="str">
        <f>IFERROR(VLOOKUP(open[[#This Row],[Invoice'#]],'Enter Invoices'!C:H,5,0),"")</f>
        <v/>
      </c>
      <c r="F343" s="54" t="str">
        <f>IFERROR(IF(open[[#This Row],[Amount Due]]="","",open[[#This Row],[Amount Due]]-SUMIF('Record Customer Payments'!B:B,open[[#This Row],[Invoice'#]],'Record Customer Payments'!F:F)),"")</f>
        <v/>
      </c>
      <c r="H343" s="55"/>
      <c r="I343" s="56"/>
      <c r="J343" s="57"/>
      <c r="K343" s="58"/>
      <c r="L343" s="59"/>
      <c r="M343" s="59"/>
      <c r="N343" s="59"/>
    </row>
    <row r="344" spans="2:14" s="53" customFormat="1" ht="16.149999999999999" customHeight="1" x14ac:dyDescent="0.25">
      <c r="B344" s="56" t="str">
        <f>IF(Invoices[[#This Row],[Invoice '#]]="","",Invoices[[#This Row],[Invoice '#]])</f>
        <v/>
      </c>
      <c r="C344" s="53" t="str">
        <f>IFERROR(VLOOKUP(open[[#This Row],[Invoice'#]],'Enter Invoices'!C:H,2,0),"")</f>
        <v/>
      </c>
      <c r="D344" s="52" t="str">
        <f>IFERROR(VLOOKUP(open[[#This Row],[Invoice'#]],'Enter Invoices'!C:H,6,0),"")</f>
        <v/>
      </c>
      <c r="E344" s="66" t="str">
        <f>IFERROR(VLOOKUP(open[[#This Row],[Invoice'#]],'Enter Invoices'!C:H,5,0),"")</f>
        <v/>
      </c>
      <c r="F344" s="54" t="str">
        <f>IFERROR(IF(open[[#This Row],[Amount Due]]="","",open[[#This Row],[Amount Due]]-SUMIF('Record Customer Payments'!B:B,open[[#This Row],[Invoice'#]],'Record Customer Payments'!F:F)),"")</f>
        <v/>
      </c>
      <c r="H344" s="55"/>
      <c r="I344" s="56"/>
      <c r="J344" s="57"/>
      <c r="K344" s="58"/>
      <c r="L344" s="59"/>
      <c r="M344" s="59"/>
      <c r="N344" s="59"/>
    </row>
    <row r="345" spans="2:14" s="53" customFormat="1" ht="16.149999999999999" customHeight="1" x14ac:dyDescent="0.25">
      <c r="B345" s="56" t="str">
        <f>IF(Invoices[[#This Row],[Invoice '#]]="","",Invoices[[#This Row],[Invoice '#]])</f>
        <v/>
      </c>
      <c r="C345" s="53" t="str">
        <f>IFERROR(VLOOKUP(open[[#This Row],[Invoice'#]],'Enter Invoices'!C:H,2,0),"")</f>
        <v/>
      </c>
      <c r="D345" s="52" t="str">
        <f>IFERROR(VLOOKUP(open[[#This Row],[Invoice'#]],'Enter Invoices'!C:H,6,0),"")</f>
        <v/>
      </c>
      <c r="E345" s="66" t="str">
        <f>IFERROR(VLOOKUP(open[[#This Row],[Invoice'#]],'Enter Invoices'!C:H,5,0),"")</f>
        <v/>
      </c>
      <c r="F345" s="54" t="str">
        <f>IFERROR(IF(open[[#This Row],[Amount Due]]="","",open[[#This Row],[Amount Due]]-SUMIF('Record Customer Payments'!B:B,open[[#This Row],[Invoice'#]],'Record Customer Payments'!F:F)),"")</f>
        <v/>
      </c>
      <c r="H345" s="55"/>
      <c r="I345" s="56"/>
      <c r="J345" s="57"/>
      <c r="K345" s="58"/>
      <c r="L345" s="59"/>
      <c r="M345" s="59"/>
      <c r="N345" s="59"/>
    </row>
    <row r="346" spans="2:14" s="53" customFormat="1" ht="16.149999999999999" customHeight="1" x14ac:dyDescent="0.25">
      <c r="B346" s="56" t="str">
        <f>IF(Invoices[[#This Row],[Invoice '#]]="","",Invoices[[#This Row],[Invoice '#]])</f>
        <v/>
      </c>
      <c r="C346" s="53" t="str">
        <f>IFERROR(VLOOKUP(open[[#This Row],[Invoice'#]],'Enter Invoices'!C:H,2,0),"")</f>
        <v/>
      </c>
      <c r="D346" s="52" t="str">
        <f>IFERROR(VLOOKUP(open[[#This Row],[Invoice'#]],'Enter Invoices'!C:H,6,0),"")</f>
        <v/>
      </c>
      <c r="E346" s="66" t="str">
        <f>IFERROR(VLOOKUP(open[[#This Row],[Invoice'#]],'Enter Invoices'!C:H,5,0),"")</f>
        <v/>
      </c>
      <c r="F346" s="54" t="str">
        <f>IFERROR(IF(open[[#This Row],[Amount Due]]="","",open[[#This Row],[Amount Due]]-SUMIF('Record Customer Payments'!B:B,open[[#This Row],[Invoice'#]],'Record Customer Payments'!F:F)),"")</f>
        <v/>
      </c>
      <c r="H346" s="55"/>
      <c r="I346" s="56"/>
      <c r="J346" s="57"/>
      <c r="K346" s="58"/>
      <c r="L346" s="59"/>
      <c r="M346" s="59"/>
      <c r="N346" s="59"/>
    </row>
    <row r="347" spans="2:14" s="53" customFormat="1" ht="16.149999999999999" customHeight="1" x14ac:dyDescent="0.25">
      <c r="B347" s="56" t="str">
        <f>IF(Invoices[[#This Row],[Invoice '#]]="","",Invoices[[#This Row],[Invoice '#]])</f>
        <v/>
      </c>
      <c r="C347" s="53" t="str">
        <f>IFERROR(VLOOKUP(open[[#This Row],[Invoice'#]],'Enter Invoices'!C:H,2,0),"")</f>
        <v/>
      </c>
      <c r="D347" s="52" t="str">
        <f>IFERROR(VLOOKUP(open[[#This Row],[Invoice'#]],'Enter Invoices'!C:H,6,0),"")</f>
        <v/>
      </c>
      <c r="E347" s="66" t="str">
        <f>IFERROR(VLOOKUP(open[[#This Row],[Invoice'#]],'Enter Invoices'!C:H,5,0),"")</f>
        <v/>
      </c>
      <c r="F347" s="54" t="str">
        <f>IFERROR(IF(open[[#This Row],[Amount Due]]="","",open[[#This Row],[Amount Due]]-SUMIF('Record Customer Payments'!B:B,open[[#This Row],[Invoice'#]],'Record Customer Payments'!F:F)),"")</f>
        <v/>
      </c>
      <c r="H347" s="55"/>
      <c r="I347" s="56"/>
      <c r="J347" s="57"/>
      <c r="K347" s="58"/>
      <c r="L347" s="59"/>
      <c r="M347" s="59"/>
      <c r="N347" s="59"/>
    </row>
    <row r="348" spans="2:14" s="53" customFormat="1" ht="16.149999999999999" customHeight="1" x14ac:dyDescent="0.25">
      <c r="B348" s="56" t="str">
        <f>IF(Invoices[[#This Row],[Invoice '#]]="","",Invoices[[#This Row],[Invoice '#]])</f>
        <v/>
      </c>
      <c r="C348" s="53" t="str">
        <f>IFERROR(VLOOKUP(open[[#This Row],[Invoice'#]],'Enter Invoices'!C:H,2,0),"")</f>
        <v/>
      </c>
      <c r="D348" s="52" t="str">
        <f>IFERROR(VLOOKUP(open[[#This Row],[Invoice'#]],'Enter Invoices'!C:H,6,0),"")</f>
        <v/>
      </c>
      <c r="E348" s="66" t="str">
        <f>IFERROR(VLOOKUP(open[[#This Row],[Invoice'#]],'Enter Invoices'!C:H,5,0),"")</f>
        <v/>
      </c>
      <c r="F348" s="54" t="str">
        <f>IFERROR(IF(open[[#This Row],[Amount Due]]="","",open[[#This Row],[Amount Due]]-SUMIF('Record Customer Payments'!B:B,open[[#This Row],[Invoice'#]],'Record Customer Payments'!F:F)),"")</f>
        <v/>
      </c>
      <c r="H348" s="55"/>
      <c r="I348" s="56"/>
      <c r="J348" s="57"/>
      <c r="K348" s="58"/>
      <c r="L348" s="59"/>
      <c r="M348" s="59"/>
      <c r="N348" s="59"/>
    </row>
    <row r="349" spans="2:14" s="53" customFormat="1" ht="16.149999999999999" customHeight="1" x14ac:dyDescent="0.25">
      <c r="B349" s="56" t="str">
        <f>IF(Invoices[[#This Row],[Invoice '#]]="","",Invoices[[#This Row],[Invoice '#]])</f>
        <v/>
      </c>
      <c r="C349" s="53" t="str">
        <f>IFERROR(VLOOKUP(open[[#This Row],[Invoice'#]],'Enter Invoices'!C:H,2,0),"")</f>
        <v/>
      </c>
      <c r="D349" s="52" t="str">
        <f>IFERROR(VLOOKUP(open[[#This Row],[Invoice'#]],'Enter Invoices'!C:H,6,0),"")</f>
        <v/>
      </c>
      <c r="E349" s="66" t="str">
        <f>IFERROR(VLOOKUP(open[[#This Row],[Invoice'#]],'Enter Invoices'!C:H,5,0),"")</f>
        <v/>
      </c>
      <c r="F349" s="54" t="str">
        <f>IFERROR(IF(open[[#This Row],[Amount Due]]="","",open[[#This Row],[Amount Due]]-SUMIF('Record Customer Payments'!B:B,open[[#This Row],[Invoice'#]],'Record Customer Payments'!F:F)),"")</f>
        <v/>
      </c>
      <c r="H349" s="55"/>
      <c r="I349" s="56"/>
      <c r="J349" s="57"/>
      <c r="K349" s="58"/>
      <c r="L349" s="59"/>
      <c r="M349" s="59"/>
      <c r="N349" s="59"/>
    </row>
    <row r="350" spans="2:14" s="53" customFormat="1" ht="16.149999999999999" customHeight="1" x14ac:dyDescent="0.25">
      <c r="B350" s="56" t="str">
        <f>IF(Invoices[[#This Row],[Invoice '#]]="","",Invoices[[#This Row],[Invoice '#]])</f>
        <v/>
      </c>
      <c r="C350" s="53" t="str">
        <f>IFERROR(VLOOKUP(open[[#This Row],[Invoice'#]],'Enter Invoices'!C:H,2,0),"")</f>
        <v/>
      </c>
      <c r="D350" s="52" t="str">
        <f>IFERROR(VLOOKUP(open[[#This Row],[Invoice'#]],'Enter Invoices'!C:H,6,0),"")</f>
        <v/>
      </c>
      <c r="E350" s="66" t="str">
        <f>IFERROR(VLOOKUP(open[[#This Row],[Invoice'#]],'Enter Invoices'!C:H,5,0),"")</f>
        <v/>
      </c>
      <c r="F350" s="54" t="str">
        <f>IFERROR(IF(open[[#This Row],[Amount Due]]="","",open[[#This Row],[Amount Due]]-SUMIF('Record Customer Payments'!B:B,open[[#This Row],[Invoice'#]],'Record Customer Payments'!F:F)),"")</f>
        <v/>
      </c>
      <c r="H350" s="55"/>
      <c r="I350" s="56"/>
      <c r="J350" s="57"/>
      <c r="K350" s="58"/>
      <c r="L350" s="59"/>
      <c r="M350" s="59"/>
      <c r="N350" s="59"/>
    </row>
    <row r="351" spans="2:14" s="53" customFormat="1" ht="16.149999999999999" customHeight="1" x14ac:dyDescent="0.25">
      <c r="B351" s="56" t="str">
        <f>IF(Invoices[[#This Row],[Invoice '#]]="","",Invoices[[#This Row],[Invoice '#]])</f>
        <v/>
      </c>
      <c r="C351" s="53" t="str">
        <f>IFERROR(VLOOKUP(open[[#This Row],[Invoice'#]],'Enter Invoices'!C:H,2,0),"")</f>
        <v/>
      </c>
      <c r="D351" s="52" t="str">
        <f>IFERROR(VLOOKUP(open[[#This Row],[Invoice'#]],'Enter Invoices'!C:H,6,0),"")</f>
        <v/>
      </c>
      <c r="E351" s="66" t="str">
        <f>IFERROR(VLOOKUP(open[[#This Row],[Invoice'#]],'Enter Invoices'!C:H,5,0),"")</f>
        <v/>
      </c>
      <c r="F351" s="54" t="str">
        <f>IFERROR(IF(open[[#This Row],[Amount Due]]="","",open[[#This Row],[Amount Due]]-SUMIF('Record Customer Payments'!B:B,open[[#This Row],[Invoice'#]],'Record Customer Payments'!F:F)),"")</f>
        <v/>
      </c>
      <c r="H351" s="55"/>
      <c r="I351" s="56"/>
      <c r="J351" s="57"/>
      <c r="K351" s="58"/>
      <c r="L351" s="59"/>
      <c r="M351" s="59"/>
      <c r="N351" s="59"/>
    </row>
    <row r="352" spans="2:14" s="53" customFormat="1" ht="16.149999999999999" customHeight="1" x14ac:dyDescent="0.25">
      <c r="B352" s="56" t="str">
        <f>IF(Invoices[[#This Row],[Invoice '#]]="","",Invoices[[#This Row],[Invoice '#]])</f>
        <v/>
      </c>
      <c r="C352" s="53" t="str">
        <f>IFERROR(VLOOKUP(open[[#This Row],[Invoice'#]],'Enter Invoices'!C:H,2,0),"")</f>
        <v/>
      </c>
      <c r="D352" s="52" t="str">
        <f>IFERROR(VLOOKUP(open[[#This Row],[Invoice'#]],'Enter Invoices'!C:H,6,0),"")</f>
        <v/>
      </c>
      <c r="E352" s="66" t="str">
        <f>IFERROR(VLOOKUP(open[[#This Row],[Invoice'#]],'Enter Invoices'!C:H,5,0),"")</f>
        <v/>
      </c>
      <c r="F352" s="54" t="str">
        <f>IFERROR(IF(open[[#This Row],[Amount Due]]="","",open[[#This Row],[Amount Due]]-SUMIF('Record Customer Payments'!B:B,open[[#This Row],[Invoice'#]],'Record Customer Payments'!F:F)),"")</f>
        <v/>
      </c>
      <c r="H352" s="55"/>
      <c r="I352" s="56"/>
      <c r="J352" s="57"/>
      <c r="K352" s="58"/>
      <c r="L352" s="59"/>
      <c r="M352" s="59"/>
      <c r="N352" s="59"/>
    </row>
    <row r="353" spans="2:14" s="53" customFormat="1" ht="16.149999999999999" customHeight="1" x14ac:dyDescent="0.25">
      <c r="B353" s="56" t="str">
        <f>IF(Invoices[[#This Row],[Invoice '#]]="","",Invoices[[#This Row],[Invoice '#]])</f>
        <v/>
      </c>
      <c r="C353" s="53" t="str">
        <f>IFERROR(VLOOKUP(open[[#This Row],[Invoice'#]],'Enter Invoices'!C:H,2,0),"")</f>
        <v/>
      </c>
      <c r="D353" s="52" t="str">
        <f>IFERROR(VLOOKUP(open[[#This Row],[Invoice'#]],'Enter Invoices'!C:H,6,0),"")</f>
        <v/>
      </c>
      <c r="E353" s="66" t="str">
        <f>IFERROR(VLOOKUP(open[[#This Row],[Invoice'#]],'Enter Invoices'!C:H,5,0),"")</f>
        <v/>
      </c>
      <c r="F353" s="54" t="str">
        <f>IFERROR(IF(open[[#This Row],[Amount Due]]="","",open[[#This Row],[Amount Due]]-SUMIF('Record Customer Payments'!B:B,open[[#This Row],[Invoice'#]],'Record Customer Payments'!F:F)),"")</f>
        <v/>
      </c>
      <c r="H353" s="55"/>
      <c r="I353" s="56"/>
      <c r="J353" s="57"/>
      <c r="K353" s="58"/>
      <c r="L353" s="59"/>
      <c r="M353" s="59"/>
      <c r="N353" s="59"/>
    </row>
    <row r="354" spans="2:14" s="53" customFormat="1" ht="16.149999999999999" customHeight="1" x14ac:dyDescent="0.25">
      <c r="B354" s="56" t="str">
        <f>IF(Invoices[[#This Row],[Invoice '#]]="","",Invoices[[#This Row],[Invoice '#]])</f>
        <v/>
      </c>
      <c r="C354" s="53" t="str">
        <f>IFERROR(VLOOKUP(open[[#This Row],[Invoice'#]],'Enter Invoices'!C:H,2,0),"")</f>
        <v/>
      </c>
      <c r="D354" s="52" t="str">
        <f>IFERROR(VLOOKUP(open[[#This Row],[Invoice'#]],'Enter Invoices'!C:H,6,0),"")</f>
        <v/>
      </c>
      <c r="E354" s="66" t="str">
        <f>IFERROR(VLOOKUP(open[[#This Row],[Invoice'#]],'Enter Invoices'!C:H,5,0),"")</f>
        <v/>
      </c>
      <c r="F354" s="54" t="str">
        <f>IFERROR(IF(open[[#This Row],[Amount Due]]="","",open[[#This Row],[Amount Due]]-SUMIF('Record Customer Payments'!B:B,open[[#This Row],[Invoice'#]],'Record Customer Payments'!F:F)),"")</f>
        <v/>
      </c>
      <c r="H354" s="55"/>
      <c r="I354" s="56"/>
      <c r="J354" s="57"/>
      <c r="K354" s="58"/>
      <c r="L354" s="59"/>
      <c r="M354" s="59"/>
      <c r="N354" s="59"/>
    </row>
    <row r="355" spans="2:14" s="53" customFormat="1" ht="16.149999999999999" customHeight="1" x14ac:dyDescent="0.25">
      <c r="B355" s="56" t="str">
        <f>IF(Invoices[[#This Row],[Invoice '#]]="","",Invoices[[#This Row],[Invoice '#]])</f>
        <v/>
      </c>
      <c r="C355" s="53" t="str">
        <f>IFERROR(VLOOKUP(open[[#This Row],[Invoice'#]],'Enter Invoices'!C:H,2,0),"")</f>
        <v/>
      </c>
      <c r="D355" s="52" t="str">
        <f>IFERROR(VLOOKUP(open[[#This Row],[Invoice'#]],'Enter Invoices'!C:H,6,0),"")</f>
        <v/>
      </c>
      <c r="E355" s="66" t="str">
        <f>IFERROR(VLOOKUP(open[[#This Row],[Invoice'#]],'Enter Invoices'!C:H,5,0),"")</f>
        <v/>
      </c>
      <c r="F355" s="54" t="str">
        <f>IFERROR(IF(open[[#This Row],[Amount Due]]="","",open[[#This Row],[Amount Due]]-SUMIF('Record Customer Payments'!B:B,open[[#This Row],[Invoice'#]],'Record Customer Payments'!F:F)),"")</f>
        <v/>
      </c>
      <c r="H355" s="55"/>
      <c r="I355" s="56"/>
      <c r="J355" s="57"/>
      <c r="K355" s="58"/>
      <c r="L355" s="59"/>
      <c r="M355" s="59"/>
      <c r="N355" s="59"/>
    </row>
    <row r="356" spans="2:14" s="53" customFormat="1" ht="16.149999999999999" customHeight="1" x14ac:dyDescent="0.25">
      <c r="B356" s="56" t="str">
        <f>IF(Invoices[[#This Row],[Invoice '#]]="","",Invoices[[#This Row],[Invoice '#]])</f>
        <v/>
      </c>
      <c r="C356" s="53" t="str">
        <f>IFERROR(VLOOKUP(open[[#This Row],[Invoice'#]],'Enter Invoices'!C:H,2,0),"")</f>
        <v/>
      </c>
      <c r="D356" s="52" t="str">
        <f>IFERROR(VLOOKUP(open[[#This Row],[Invoice'#]],'Enter Invoices'!C:H,6,0),"")</f>
        <v/>
      </c>
      <c r="E356" s="66" t="str">
        <f>IFERROR(VLOOKUP(open[[#This Row],[Invoice'#]],'Enter Invoices'!C:H,5,0),"")</f>
        <v/>
      </c>
      <c r="F356" s="54" t="str">
        <f>IFERROR(IF(open[[#This Row],[Amount Due]]="","",open[[#This Row],[Amount Due]]-SUMIF('Record Customer Payments'!B:B,open[[#This Row],[Invoice'#]],'Record Customer Payments'!F:F)),"")</f>
        <v/>
      </c>
      <c r="H356" s="55"/>
      <c r="I356" s="56"/>
      <c r="J356" s="57"/>
      <c r="K356" s="58"/>
      <c r="L356" s="59"/>
      <c r="M356" s="59"/>
      <c r="N356" s="59"/>
    </row>
    <row r="357" spans="2:14" s="53" customFormat="1" ht="16.149999999999999" customHeight="1" x14ac:dyDescent="0.25">
      <c r="B357" s="56" t="str">
        <f>IF(Invoices[[#This Row],[Invoice '#]]="","",Invoices[[#This Row],[Invoice '#]])</f>
        <v/>
      </c>
      <c r="C357" s="53" t="str">
        <f>IFERROR(VLOOKUP(open[[#This Row],[Invoice'#]],'Enter Invoices'!C:H,2,0),"")</f>
        <v/>
      </c>
      <c r="D357" s="52" t="str">
        <f>IFERROR(VLOOKUP(open[[#This Row],[Invoice'#]],'Enter Invoices'!C:H,6,0),"")</f>
        <v/>
      </c>
      <c r="E357" s="66" t="str">
        <f>IFERROR(VLOOKUP(open[[#This Row],[Invoice'#]],'Enter Invoices'!C:H,5,0),"")</f>
        <v/>
      </c>
      <c r="F357" s="54" t="str">
        <f>IFERROR(IF(open[[#This Row],[Amount Due]]="","",open[[#This Row],[Amount Due]]-SUMIF('Record Customer Payments'!B:B,open[[#This Row],[Invoice'#]],'Record Customer Payments'!F:F)),"")</f>
        <v/>
      </c>
      <c r="H357" s="55"/>
      <c r="I357" s="56"/>
      <c r="J357" s="57"/>
      <c r="K357" s="58"/>
      <c r="L357" s="59"/>
      <c r="M357" s="59"/>
      <c r="N357" s="59"/>
    </row>
    <row r="358" spans="2:14" s="53" customFormat="1" ht="16.149999999999999" customHeight="1" x14ac:dyDescent="0.25">
      <c r="B358" s="56" t="str">
        <f>IF(Invoices[[#This Row],[Invoice '#]]="","",Invoices[[#This Row],[Invoice '#]])</f>
        <v/>
      </c>
      <c r="C358" s="53" t="str">
        <f>IFERROR(VLOOKUP(open[[#This Row],[Invoice'#]],'Enter Invoices'!C:H,2,0),"")</f>
        <v/>
      </c>
      <c r="D358" s="52" t="str">
        <f>IFERROR(VLOOKUP(open[[#This Row],[Invoice'#]],'Enter Invoices'!C:H,6,0),"")</f>
        <v/>
      </c>
      <c r="E358" s="66" t="str">
        <f>IFERROR(VLOOKUP(open[[#This Row],[Invoice'#]],'Enter Invoices'!C:H,5,0),"")</f>
        <v/>
      </c>
      <c r="F358" s="54" t="str">
        <f>IFERROR(IF(open[[#This Row],[Amount Due]]="","",open[[#This Row],[Amount Due]]-SUMIF('Record Customer Payments'!B:B,open[[#This Row],[Invoice'#]],'Record Customer Payments'!F:F)),"")</f>
        <v/>
      </c>
      <c r="H358" s="55"/>
      <c r="I358" s="56"/>
      <c r="J358" s="57"/>
      <c r="K358" s="58"/>
      <c r="L358" s="59"/>
      <c r="M358" s="59"/>
      <c r="N358" s="59"/>
    </row>
    <row r="359" spans="2:14" s="53" customFormat="1" ht="16.149999999999999" customHeight="1" x14ac:dyDescent="0.25">
      <c r="B359" s="56" t="str">
        <f>IF(Invoices[[#This Row],[Invoice '#]]="","",Invoices[[#This Row],[Invoice '#]])</f>
        <v/>
      </c>
      <c r="C359" s="53" t="str">
        <f>IFERROR(VLOOKUP(open[[#This Row],[Invoice'#]],'Enter Invoices'!C:H,2,0),"")</f>
        <v/>
      </c>
      <c r="D359" s="52" t="str">
        <f>IFERROR(VLOOKUP(open[[#This Row],[Invoice'#]],'Enter Invoices'!C:H,6,0),"")</f>
        <v/>
      </c>
      <c r="E359" s="66" t="str">
        <f>IFERROR(VLOOKUP(open[[#This Row],[Invoice'#]],'Enter Invoices'!C:H,5,0),"")</f>
        <v/>
      </c>
      <c r="F359" s="54" t="str">
        <f>IFERROR(IF(open[[#This Row],[Amount Due]]="","",open[[#This Row],[Amount Due]]-SUMIF('Record Customer Payments'!B:B,open[[#This Row],[Invoice'#]],'Record Customer Payments'!F:F)),"")</f>
        <v/>
      </c>
      <c r="H359" s="55"/>
      <c r="I359" s="56"/>
      <c r="J359" s="57"/>
      <c r="K359" s="58"/>
      <c r="L359" s="59"/>
      <c r="M359" s="59"/>
      <c r="N359" s="59"/>
    </row>
    <row r="360" spans="2:14" s="53" customFormat="1" ht="16.149999999999999" customHeight="1" x14ac:dyDescent="0.25">
      <c r="B360" s="56" t="str">
        <f>IF(Invoices[[#This Row],[Invoice '#]]="","",Invoices[[#This Row],[Invoice '#]])</f>
        <v/>
      </c>
      <c r="C360" s="53" t="str">
        <f>IFERROR(VLOOKUP(open[[#This Row],[Invoice'#]],'Enter Invoices'!C:H,2,0),"")</f>
        <v/>
      </c>
      <c r="D360" s="52" t="str">
        <f>IFERROR(VLOOKUP(open[[#This Row],[Invoice'#]],'Enter Invoices'!C:H,6,0),"")</f>
        <v/>
      </c>
      <c r="E360" s="66" t="str">
        <f>IFERROR(VLOOKUP(open[[#This Row],[Invoice'#]],'Enter Invoices'!C:H,5,0),"")</f>
        <v/>
      </c>
      <c r="F360" s="54" t="str">
        <f>IFERROR(IF(open[[#This Row],[Amount Due]]="","",open[[#This Row],[Amount Due]]-SUMIF('Record Customer Payments'!B:B,open[[#This Row],[Invoice'#]],'Record Customer Payments'!F:F)),"")</f>
        <v/>
      </c>
      <c r="H360" s="55"/>
      <c r="I360" s="56"/>
      <c r="J360" s="57"/>
      <c r="K360" s="58"/>
      <c r="L360" s="59"/>
      <c r="M360" s="59"/>
      <c r="N360" s="59"/>
    </row>
    <row r="361" spans="2:14" s="53" customFormat="1" ht="16.149999999999999" customHeight="1" x14ac:dyDescent="0.25">
      <c r="B361" s="56" t="str">
        <f>IF(Invoices[[#This Row],[Invoice '#]]="","",Invoices[[#This Row],[Invoice '#]])</f>
        <v/>
      </c>
      <c r="C361" s="53" t="str">
        <f>IFERROR(VLOOKUP(open[[#This Row],[Invoice'#]],'Enter Invoices'!C:H,2,0),"")</f>
        <v/>
      </c>
      <c r="D361" s="52" t="str">
        <f>IFERROR(VLOOKUP(open[[#This Row],[Invoice'#]],'Enter Invoices'!C:H,6,0),"")</f>
        <v/>
      </c>
      <c r="E361" s="66" t="str">
        <f>IFERROR(VLOOKUP(open[[#This Row],[Invoice'#]],'Enter Invoices'!C:H,5,0),"")</f>
        <v/>
      </c>
      <c r="F361" s="54" t="str">
        <f>IFERROR(IF(open[[#This Row],[Amount Due]]="","",open[[#This Row],[Amount Due]]-SUMIF('Record Customer Payments'!B:B,open[[#This Row],[Invoice'#]],'Record Customer Payments'!F:F)),"")</f>
        <v/>
      </c>
      <c r="H361" s="55"/>
      <c r="I361" s="56"/>
      <c r="J361" s="57"/>
      <c r="K361" s="58"/>
      <c r="L361" s="59"/>
      <c r="M361" s="59"/>
      <c r="N361" s="59"/>
    </row>
    <row r="362" spans="2:14" s="53" customFormat="1" ht="16.149999999999999" customHeight="1" x14ac:dyDescent="0.25">
      <c r="B362" s="56" t="str">
        <f>IF(Invoices[[#This Row],[Invoice '#]]="","",Invoices[[#This Row],[Invoice '#]])</f>
        <v/>
      </c>
      <c r="C362" s="53" t="str">
        <f>IFERROR(VLOOKUP(open[[#This Row],[Invoice'#]],'Enter Invoices'!C:H,2,0),"")</f>
        <v/>
      </c>
      <c r="D362" s="52" t="str">
        <f>IFERROR(VLOOKUP(open[[#This Row],[Invoice'#]],'Enter Invoices'!C:H,6,0),"")</f>
        <v/>
      </c>
      <c r="E362" s="66" t="str">
        <f>IFERROR(VLOOKUP(open[[#This Row],[Invoice'#]],'Enter Invoices'!C:H,5,0),"")</f>
        <v/>
      </c>
      <c r="F362" s="54" t="str">
        <f>IFERROR(IF(open[[#This Row],[Amount Due]]="","",open[[#This Row],[Amount Due]]-SUMIF('Record Customer Payments'!B:B,open[[#This Row],[Invoice'#]],'Record Customer Payments'!F:F)),"")</f>
        <v/>
      </c>
      <c r="H362" s="55"/>
      <c r="I362" s="56"/>
      <c r="J362" s="57"/>
      <c r="K362" s="58"/>
      <c r="L362" s="59"/>
      <c r="M362" s="59"/>
      <c r="N362" s="59"/>
    </row>
    <row r="363" spans="2:14" s="53" customFormat="1" ht="16.149999999999999" customHeight="1" x14ac:dyDescent="0.25">
      <c r="B363" s="56" t="str">
        <f>IF(Invoices[[#This Row],[Invoice '#]]="","",Invoices[[#This Row],[Invoice '#]])</f>
        <v/>
      </c>
      <c r="C363" s="53" t="str">
        <f>IFERROR(VLOOKUP(open[[#This Row],[Invoice'#]],'Enter Invoices'!C:H,2,0),"")</f>
        <v/>
      </c>
      <c r="D363" s="52" t="str">
        <f>IFERROR(VLOOKUP(open[[#This Row],[Invoice'#]],'Enter Invoices'!C:H,6,0),"")</f>
        <v/>
      </c>
      <c r="E363" s="66" t="str">
        <f>IFERROR(VLOOKUP(open[[#This Row],[Invoice'#]],'Enter Invoices'!C:H,5,0),"")</f>
        <v/>
      </c>
      <c r="F363" s="54" t="str">
        <f>IFERROR(IF(open[[#This Row],[Amount Due]]="","",open[[#This Row],[Amount Due]]-SUMIF('Record Customer Payments'!B:B,open[[#This Row],[Invoice'#]],'Record Customer Payments'!F:F)),"")</f>
        <v/>
      </c>
      <c r="H363" s="55"/>
      <c r="I363" s="56"/>
      <c r="J363" s="57"/>
      <c r="K363" s="58"/>
      <c r="L363" s="59"/>
      <c r="M363" s="59"/>
      <c r="N363" s="59"/>
    </row>
    <row r="364" spans="2:14" s="53" customFormat="1" ht="16.149999999999999" customHeight="1" x14ac:dyDescent="0.25">
      <c r="B364" s="56" t="str">
        <f>IF(Invoices[[#This Row],[Invoice '#]]="","",Invoices[[#This Row],[Invoice '#]])</f>
        <v/>
      </c>
      <c r="C364" s="53" t="str">
        <f>IFERROR(VLOOKUP(open[[#This Row],[Invoice'#]],'Enter Invoices'!C:H,2,0),"")</f>
        <v/>
      </c>
      <c r="D364" s="52" t="str">
        <f>IFERROR(VLOOKUP(open[[#This Row],[Invoice'#]],'Enter Invoices'!C:H,6,0),"")</f>
        <v/>
      </c>
      <c r="E364" s="66" t="str">
        <f>IFERROR(VLOOKUP(open[[#This Row],[Invoice'#]],'Enter Invoices'!C:H,5,0),"")</f>
        <v/>
      </c>
      <c r="F364" s="54" t="str">
        <f>IFERROR(IF(open[[#This Row],[Amount Due]]="","",open[[#This Row],[Amount Due]]-SUMIF('Record Customer Payments'!B:B,open[[#This Row],[Invoice'#]],'Record Customer Payments'!F:F)),"")</f>
        <v/>
      </c>
      <c r="H364" s="55"/>
      <c r="I364" s="56"/>
      <c r="J364" s="57"/>
      <c r="K364" s="58"/>
      <c r="L364" s="59"/>
      <c r="M364" s="59"/>
      <c r="N364" s="59"/>
    </row>
    <row r="365" spans="2:14" s="53" customFormat="1" ht="16.149999999999999" customHeight="1" x14ac:dyDescent="0.25">
      <c r="B365" s="56" t="str">
        <f>IF(Invoices[[#This Row],[Invoice '#]]="","",Invoices[[#This Row],[Invoice '#]])</f>
        <v/>
      </c>
      <c r="C365" s="53" t="str">
        <f>IFERROR(VLOOKUP(open[[#This Row],[Invoice'#]],'Enter Invoices'!C:H,2,0),"")</f>
        <v/>
      </c>
      <c r="D365" s="52" t="str">
        <f>IFERROR(VLOOKUP(open[[#This Row],[Invoice'#]],'Enter Invoices'!C:H,6,0),"")</f>
        <v/>
      </c>
      <c r="E365" s="66" t="str">
        <f>IFERROR(VLOOKUP(open[[#This Row],[Invoice'#]],'Enter Invoices'!C:H,5,0),"")</f>
        <v/>
      </c>
      <c r="F365" s="54" t="str">
        <f>IFERROR(IF(open[[#This Row],[Amount Due]]="","",open[[#This Row],[Amount Due]]-SUMIF('Record Customer Payments'!B:B,open[[#This Row],[Invoice'#]],'Record Customer Payments'!F:F)),"")</f>
        <v/>
      </c>
      <c r="H365" s="55"/>
      <c r="I365" s="56"/>
      <c r="J365" s="57"/>
      <c r="K365" s="58"/>
      <c r="L365" s="59"/>
      <c r="M365" s="59"/>
      <c r="N365" s="59"/>
    </row>
    <row r="366" spans="2:14" s="53" customFormat="1" ht="16.149999999999999" customHeight="1" x14ac:dyDescent="0.25">
      <c r="B366" s="56" t="str">
        <f>IF(Invoices[[#This Row],[Invoice '#]]="","",Invoices[[#This Row],[Invoice '#]])</f>
        <v/>
      </c>
      <c r="C366" s="53" t="str">
        <f>IFERROR(VLOOKUP(open[[#This Row],[Invoice'#]],'Enter Invoices'!C:H,2,0),"")</f>
        <v/>
      </c>
      <c r="D366" s="52" t="str">
        <f>IFERROR(VLOOKUP(open[[#This Row],[Invoice'#]],'Enter Invoices'!C:H,6,0),"")</f>
        <v/>
      </c>
      <c r="E366" s="66" t="str">
        <f>IFERROR(VLOOKUP(open[[#This Row],[Invoice'#]],'Enter Invoices'!C:H,5,0),"")</f>
        <v/>
      </c>
      <c r="F366" s="54" t="str">
        <f>IFERROR(IF(open[[#This Row],[Amount Due]]="","",open[[#This Row],[Amount Due]]-SUMIF('Record Customer Payments'!B:B,open[[#This Row],[Invoice'#]],'Record Customer Payments'!F:F)),"")</f>
        <v/>
      </c>
      <c r="H366" s="55"/>
      <c r="I366" s="56"/>
      <c r="J366" s="57"/>
      <c r="K366" s="58"/>
      <c r="L366" s="59"/>
      <c r="M366" s="59"/>
      <c r="N366" s="59"/>
    </row>
    <row r="367" spans="2:14" s="53" customFormat="1" ht="16.149999999999999" customHeight="1" x14ac:dyDescent="0.25">
      <c r="B367" s="56" t="str">
        <f>IF(Invoices[[#This Row],[Invoice '#]]="","",Invoices[[#This Row],[Invoice '#]])</f>
        <v/>
      </c>
      <c r="C367" s="53" t="str">
        <f>IFERROR(VLOOKUP(open[[#This Row],[Invoice'#]],'Enter Invoices'!C:H,2,0),"")</f>
        <v/>
      </c>
      <c r="D367" s="52" t="str">
        <f>IFERROR(VLOOKUP(open[[#This Row],[Invoice'#]],'Enter Invoices'!C:H,6,0),"")</f>
        <v/>
      </c>
      <c r="E367" s="66" t="str">
        <f>IFERROR(VLOOKUP(open[[#This Row],[Invoice'#]],'Enter Invoices'!C:H,5,0),"")</f>
        <v/>
      </c>
      <c r="F367" s="54" t="str">
        <f>IFERROR(IF(open[[#This Row],[Amount Due]]="","",open[[#This Row],[Amount Due]]-SUMIF('Record Customer Payments'!B:B,open[[#This Row],[Invoice'#]],'Record Customer Payments'!F:F)),"")</f>
        <v/>
      </c>
      <c r="H367" s="55"/>
      <c r="I367" s="56"/>
      <c r="J367" s="57"/>
      <c r="K367" s="58"/>
      <c r="L367" s="59"/>
      <c r="M367" s="59"/>
      <c r="N367" s="59"/>
    </row>
    <row r="368" spans="2:14" s="53" customFormat="1" ht="16.149999999999999" customHeight="1" x14ac:dyDescent="0.25">
      <c r="B368" s="56" t="str">
        <f>IF(Invoices[[#This Row],[Invoice '#]]="","",Invoices[[#This Row],[Invoice '#]])</f>
        <v/>
      </c>
      <c r="C368" s="53" t="str">
        <f>IFERROR(VLOOKUP(open[[#This Row],[Invoice'#]],'Enter Invoices'!C:H,2,0),"")</f>
        <v/>
      </c>
      <c r="D368" s="52" t="str">
        <f>IFERROR(VLOOKUP(open[[#This Row],[Invoice'#]],'Enter Invoices'!C:H,6,0),"")</f>
        <v/>
      </c>
      <c r="E368" s="66" t="str">
        <f>IFERROR(VLOOKUP(open[[#This Row],[Invoice'#]],'Enter Invoices'!C:H,5,0),"")</f>
        <v/>
      </c>
      <c r="F368" s="54" t="str">
        <f>IFERROR(IF(open[[#This Row],[Amount Due]]="","",open[[#This Row],[Amount Due]]-SUMIF('Record Customer Payments'!B:B,open[[#This Row],[Invoice'#]],'Record Customer Payments'!F:F)),"")</f>
        <v/>
      </c>
      <c r="H368" s="55"/>
      <c r="I368" s="56"/>
      <c r="J368" s="57"/>
      <c r="K368" s="58"/>
      <c r="L368" s="59"/>
      <c r="M368" s="59"/>
      <c r="N368" s="59"/>
    </row>
    <row r="369" spans="2:14" s="53" customFormat="1" ht="16.149999999999999" customHeight="1" x14ac:dyDescent="0.25">
      <c r="B369" s="56" t="str">
        <f>IF(Invoices[[#This Row],[Invoice '#]]="","",Invoices[[#This Row],[Invoice '#]])</f>
        <v/>
      </c>
      <c r="C369" s="53" t="str">
        <f>IFERROR(VLOOKUP(open[[#This Row],[Invoice'#]],'Enter Invoices'!C:H,2,0),"")</f>
        <v/>
      </c>
      <c r="D369" s="52" t="str">
        <f>IFERROR(VLOOKUP(open[[#This Row],[Invoice'#]],'Enter Invoices'!C:H,6,0),"")</f>
        <v/>
      </c>
      <c r="E369" s="66" t="str">
        <f>IFERROR(VLOOKUP(open[[#This Row],[Invoice'#]],'Enter Invoices'!C:H,5,0),"")</f>
        <v/>
      </c>
      <c r="F369" s="54" t="str">
        <f>IFERROR(IF(open[[#This Row],[Amount Due]]="","",open[[#This Row],[Amount Due]]-SUMIF('Record Customer Payments'!B:B,open[[#This Row],[Invoice'#]],'Record Customer Payments'!F:F)),"")</f>
        <v/>
      </c>
      <c r="H369" s="55"/>
      <c r="I369" s="56"/>
      <c r="J369" s="57"/>
      <c r="K369" s="58"/>
      <c r="L369" s="59"/>
      <c r="M369" s="59"/>
      <c r="N369" s="59"/>
    </row>
    <row r="370" spans="2:14" s="53" customFormat="1" ht="16.149999999999999" customHeight="1" x14ac:dyDescent="0.25">
      <c r="B370" s="56" t="str">
        <f>IF(Invoices[[#This Row],[Invoice '#]]="","",Invoices[[#This Row],[Invoice '#]])</f>
        <v/>
      </c>
      <c r="C370" s="53" t="str">
        <f>IFERROR(VLOOKUP(open[[#This Row],[Invoice'#]],'Enter Invoices'!C:H,2,0),"")</f>
        <v/>
      </c>
      <c r="D370" s="52" t="str">
        <f>IFERROR(VLOOKUP(open[[#This Row],[Invoice'#]],'Enter Invoices'!C:H,6,0),"")</f>
        <v/>
      </c>
      <c r="E370" s="66" t="str">
        <f>IFERROR(VLOOKUP(open[[#This Row],[Invoice'#]],'Enter Invoices'!C:H,5,0),"")</f>
        <v/>
      </c>
      <c r="F370" s="54" t="str">
        <f>IFERROR(IF(open[[#This Row],[Amount Due]]="","",open[[#This Row],[Amount Due]]-SUMIF('Record Customer Payments'!B:B,open[[#This Row],[Invoice'#]],'Record Customer Payments'!F:F)),"")</f>
        <v/>
      </c>
      <c r="H370" s="55"/>
      <c r="I370" s="56"/>
      <c r="J370" s="57"/>
      <c r="K370" s="58"/>
      <c r="L370" s="59"/>
      <c r="M370" s="59"/>
      <c r="N370" s="59"/>
    </row>
    <row r="371" spans="2:14" s="53" customFormat="1" ht="16.149999999999999" customHeight="1" x14ac:dyDescent="0.25">
      <c r="B371" s="56" t="str">
        <f>IF(Invoices[[#This Row],[Invoice '#]]="","",Invoices[[#This Row],[Invoice '#]])</f>
        <v/>
      </c>
      <c r="C371" s="53" t="str">
        <f>IFERROR(VLOOKUP(open[[#This Row],[Invoice'#]],'Enter Invoices'!C:H,2,0),"")</f>
        <v/>
      </c>
      <c r="D371" s="52" t="str">
        <f>IFERROR(VLOOKUP(open[[#This Row],[Invoice'#]],'Enter Invoices'!C:H,6,0),"")</f>
        <v/>
      </c>
      <c r="E371" s="66" t="str">
        <f>IFERROR(VLOOKUP(open[[#This Row],[Invoice'#]],'Enter Invoices'!C:H,5,0),"")</f>
        <v/>
      </c>
      <c r="F371" s="54" t="str">
        <f>IFERROR(IF(open[[#This Row],[Amount Due]]="","",open[[#This Row],[Amount Due]]-SUMIF('Record Customer Payments'!B:B,open[[#This Row],[Invoice'#]],'Record Customer Payments'!F:F)),"")</f>
        <v/>
      </c>
      <c r="H371" s="55"/>
      <c r="I371" s="56"/>
      <c r="J371" s="57"/>
      <c r="K371" s="58"/>
      <c r="L371" s="59"/>
      <c r="M371" s="59"/>
      <c r="N371" s="59"/>
    </row>
    <row r="372" spans="2:14" s="53" customFormat="1" ht="16.149999999999999" customHeight="1" x14ac:dyDescent="0.25">
      <c r="B372" s="56" t="str">
        <f>IF(Invoices[[#This Row],[Invoice '#]]="","",Invoices[[#This Row],[Invoice '#]])</f>
        <v/>
      </c>
      <c r="C372" s="53" t="str">
        <f>IFERROR(VLOOKUP(open[[#This Row],[Invoice'#]],'Enter Invoices'!C:H,2,0),"")</f>
        <v/>
      </c>
      <c r="D372" s="52" t="str">
        <f>IFERROR(VLOOKUP(open[[#This Row],[Invoice'#]],'Enter Invoices'!C:H,6,0),"")</f>
        <v/>
      </c>
      <c r="E372" s="66" t="str">
        <f>IFERROR(VLOOKUP(open[[#This Row],[Invoice'#]],'Enter Invoices'!C:H,5,0),"")</f>
        <v/>
      </c>
      <c r="F372" s="54" t="str">
        <f>IFERROR(IF(open[[#This Row],[Amount Due]]="","",open[[#This Row],[Amount Due]]-SUMIF('Record Customer Payments'!B:B,open[[#This Row],[Invoice'#]],'Record Customer Payments'!F:F)),"")</f>
        <v/>
      </c>
      <c r="H372" s="55"/>
      <c r="I372" s="56"/>
      <c r="J372" s="57"/>
      <c r="K372" s="58"/>
      <c r="L372" s="59"/>
      <c r="M372" s="59"/>
      <c r="N372" s="59"/>
    </row>
    <row r="373" spans="2:14" s="53" customFormat="1" ht="16.149999999999999" customHeight="1" x14ac:dyDescent="0.25">
      <c r="B373" s="56" t="str">
        <f>IF(Invoices[[#This Row],[Invoice '#]]="","",Invoices[[#This Row],[Invoice '#]])</f>
        <v/>
      </c>
      <c r="C373" s="53" t="str">
        <f>IFERROR(VLOOKUP(open[[#This Row],[Invoice'#]],'Enter Invoices'!C:H,2,0),"")</f>
        <v/>
      </c>
      <c r="D373" s="52" t="str">
        <f>IFERROR(VLOOKUP(open[[#This Row],[Invoice'#]],'Enter Invoices'!C:H,6,0),"")</f>
        <v/>
      </c>
      <c r="E373" s="66" t="str">
        <f>IFERROR(VLOOKUP(open[[#This Row],[Invoice'#]],'Enter Invoices'!C:H,5,0),"")</f>
        <v/>
      </c>
      <c r="F373" s="54" t="str">
        <f>IFERROR(IF(open[[#This Row],[Amount Due]]="","",open[[#This Row],[Amount Due]]-SUMIF('Record Customer Payments'!B:B,open[[#This Row],[Invoice'#]],'Record Customer Payments'!F:F)),"")</f>
        <v/>
      </c>
      <c r="H373" s="55"/>
      <c r="I373" s="56"/>
      <c r="J373" s="57"/>
      <c r="K373" s="58"/>
      <c r="L373" s="59"/>
      <c r="M373" s="59"/>
      <c r="N373" s="59"/>
    </row>
    <row r="374" spans="2:14" s="53" customFormat="1" ht="16.149999999999999" customHeight="1" x14ac:dyDescent="0.25">
      <c r="B374" s="56" t="str">
        <f>IF(Invoices[[#This Row],[Invoice '#]]="","",Invoices[[#This Row],[Invoice '#]])</f>
        <v/>
      </c>
      <c r="C374" s="53" t="str">
        <f>IFERROR(VLOOKUP(open[[#This Row],[Invoice'#]],'Enter Invoices'!C:H,2,0),"")</f>
        <v/>
      </c>
      <c r="D374" s="52" t="str">
        <f>IFERROR(VLOOKUP(open[[#This Row],[Invoice'#]],'Enter Invoices'!C:H,6,0),"")</f>
        <v/>
      </c>
      <c r="E374" s="66" t="str">
        <f>IFERROR(VLOOKUP(open[[#This Row],[Invoice'#]],'Enter Invoices'!C:H,5,0),"")</f>
        <v/>
      </c>
      <c r="F374" s="54" t="str">
        <f>IFERROR(IF(open[[#This Row],[Amount Due]]="","",open[[#This Row],[Amount Due]]-SUMIF('Record Customer Payments'!B:B,open[[#This Row],[Invoice'#]],'Record Customer Payments'!F:F)),"")</f>
        <v/>
      </c>
      <c r="H374" s="55"/>
      <c r="I374" s="56"/>
      <c r="J374" s="57"/>
      <c r="K374" s="58"/>
      <c r="L374" s="59"/>
      <c r="M374" s="59"/>
      <c r="N374" s="59"/>
    </row>
    <row r="375" spans="2:14" s="53" customFormat="1" ht="16.149999999999999" customHeight="1" x14ac:dyDescent="0.25">
      <c r="B375" s="56" t="str">
        <f>IF(Invoices[[#This Row],[Invoice '#]]="","",Invoices[[#This Row],[Invoice '#]])</f>
        <v/>
      </c>
      <c r="C375" s="53" t="str">
        <f>IFERROR(VLOOKUP(open[[#This Row],[Invoice'#]],'Enter Invoices'!C:H,2,0),"")</f>
        <v/>
      </c>
      <c r="D375" s="52" t="str">
        <f>IFERROR(VLOOKUP(open[[#This Row],[Invoice'#]],'Enter Invoices'!C:H,6,0),"")</f>
        <v/>
      </c>
      <c r="E375" s="66" t="str">
        <f>IFERROR(VLOOKUP(open[[#This Row],[Invoice'#]],'Enter Invoices'!C:H,5,0),"")</f>
        <v/>
      </c>
      <c r="F375" s="54" t="str">
        <f>IFERROR(IF(open[[#This Row],[Amount Due]]="","",open[[#This Row],[Amount Due]]-SUMIF('Record Customer Payments'!B:B,open[[#This Row],[Invoice'#]],'Record Customer Payments'!F:F)),"")</f>
        <v/>
      </c>
      <c r="H375" s="55"/>
      <c r="I375" s="56"/>
      <c r="J375" s="57"/>
      <c r="K375" s="58"/>
      <c r="L375" s="59"/>
      <c r="M375" s="59"/>
      <c r="N375" s="59"/>
    </row>
    <row r="376" spans="2:14" s="53" customFormat="1" ht="16.149999999999999" customHeight="1" x14ac:dyDescent="0.25">
      <c r="B376" s="56" t="str">
        <f>IF(Invoices[[#This Row],[Invoice '#]]="","",Invoices[[#This Row],[Invoice '#]])</f>
        <v/>
      </c>
      <c r="C376" s="53" t="str">
        <f>IFERROR(VLOOKUP(open[[#This Row],[Invoice'#]],'Enter Invoices'!C:H,2,0),"")</f>
        <v/>
      </c>
      <c r="D376" s="52" t="str">
        <f>IFERROR(VLOOKUP(open[[#This Row],[Invoice'#]],'Enter Invoices'!C:H,6,0),"")</f>
        <v/>
      </c>
      <c r="E376" s="66" t="str">
        <f>IFERROR(VLOOKUP(open[[#This Row],[Invoice'#]],'Enter Invoices'!C:H,5,0),"")</f>
        <v/>
      </c>
      <c r="F376" s="54" t="str">
        <f>IFERROR(IF(open[[#This Row],[Amount Due]]="","",open[[#This Row],[Amount Due]]-SUMIF('Record Customer Payments'!B:B,open[[#This Row],[Invoice'#]],'Record Customer Payments'!F:F)),"")</f>
        <v/>
      </c>
      <c r="H376" s="55"/>
      <c r="I376" s="56"/>
      <c r="J376" s="57"/>
      <c r="K376" s="58"/>
      <c r="L376" s="59"/>
      <c r="M376" s="59"/>
      <c r="N376" s="59"/>
    </row>
    <row r="377" spans="2:14" s="53" customFormat="1" ht="16.149999999999999" customHeight="1" x14ac:dyDescent="0.25">
      <c r="B377" s="56" t="str">
        <f>IF(Invoices[[#This Row],[Invoice '#]]="","",Invoices[[#This Row],[Invoice '#]])</f>
        <v/>
      </c>
      <c r="C377" s="53" t="str">
        <f>IFERROR(VLOOKUP(open[[#This Row],[Invoice'#]],'Enter Invoices'!C:H,2,0),"")</f>
        <v/>
      </c>
      <c r="D377" s="52" t="str">
        <f>IFERROR(VLOOKUP(open[[#This Row],[Invoice'#]],'Enter Invoices'!C:H,6,0),"")</f>
        <v/>
      </c>
      <c r="E377" s="66" t="str">
        <f>IFERROR(VLOOKUP(open[[#This Row],[Invoice'#]],'Enter Invoices'!C:H,5,0),"")</f>
        <v/>
      </c>
      <c r="F377" s="54" t="str">
        <f>IFERROR(IF(open[[#This Row],[Amount Due]]="","",open[[#This Row],[Amount Due]]-SUMIF('Record Customer Payments'!B:B,open[[#This Row],[Invoice'#]],'Record Customer Payments'!F:F)),"")</f>
        <v/>
      </c>
      <c r="H377" s="55"/>
      <c r="I377" s="56"/>
      <c r="J377" s="57"/>
      <c r="K377" s="58"/>
      <c r="L377" s="59"/>
      <c r="M377" s="59"/>
      <c r="N377" s="59"/>
    </row>
    <row r="378" spans="2:14" s="53" customFormat="1" ht="16.149999999999999" customHeight="1" x14ac:dyDescent="0.25">
      <c r="B378" s="56" t="str">
        <f>IF(Invoices[[#This Row],[Invoice '#]]="","",Invoices[[#This Row],[Invoice '#]])</f>
        <v/>
      </c>
      <c r="C378" s="53" t="str">
        <f>IFERROR(VLOOKUP(open[[#This Row],[Invoice'#]],'Enter Invoices'!C:H,2,0),"")</f>
        <v/>
      </c>
      <c r="D378" s="52" t="str">
        <f>IFERROR(VLOOKUP(open[[#This Row],[Invoice'#]],'Enter Invoices'!C:H,6,0),"")</f>
        <v/>
      </c>
      <c r="E378" s="66" t="str">
        <f>IFERROR(VLOOKUP(open[[#This Row],[Invoice'#]],'Enter Invoices'!C:H,5,0),"")</f>
        <v/>
      </c>
      <c r="F378" s="54" t="str">
        <f>IFERROR(IF(open[[#This Row],[Amount Due]]="","",open[[#This Row],[Amount Due]]-SUMIF('Record Customer Payments'!B:B,open[[#This Row],[Invoice'#]],'Record Customer Payments'!F:F)),"")</f>
        <v/>
      </c>
      <c r="H378" s="55"/>
      <c r="I378" s="56"/>
      <c r="J378" s="57"/>
      <c r="K378" s="58"/>
      <c r="L378" s="59"/>
      <c r="M378" s="59"/>
      <c r="N378" s="59"/>
    </row>
    <row r="379" spans="2:14" s="53" customFormat="1" ht="16.149999999999999" customHeight="1" x14ac:dyDescent="0.25">
      <c r="B379" s="56" t="str">
        <f>IF(Invoices[[#This Row],[Invoice '#]]="","",Invoices[[#This Row],[Invoice '#]])</f>
        <v/>
      </c>
      <c r="C379" s="53" t="str">
        <f>IFERROR(VLOOKUP(open[[#This Row],[Invoice'#]],'Enter Invoices'!C:H,2,0),"")</f>
        <v/>
      </c>
      <c r="D379" s="52" t="str">
        <f>IFERROR(VLOOKUP(open[[#This Row],[Invoice'#]],'Enter Invoices'!C:H,6,0),"")</f>
        <v/>
      </c>
      <c r="E379" s="66" t="str">
        <f>IFERROR(VLOOKUP(open[[#This Row],[Invoice'#]],'Enter Invoices'!C:H,5,0),"")</f>
        <v/>
      </c>
      <c r="F379" s="54" t="str">
        <f>IFERROR(IF(open[[#This Row],[Amount Due]]="","",open[[#This Row],[Amount Due]]-SUMIF('Record Customer Payments'!B:B,open[[#This Row],[Invoice'#]],'Record Customer Payments'!F:F)),"")</f>
        <v/>
      </c>
      <c r="H379" s="55"/>
      <c r="I379" s="56"/>
      <c r="J379" s="57"/>
      <c r="K379" s="58"/>
      <c r="L379" s="59"/>
      <c r="M379" s="59"/>
      <c r="N379" s="59"/>
    </row>
    <row r="380" spans="2:14" s="53" customFormat="1" ht="16.149999999999999" customHeight="1" x14ac:dyDescent="0.25">
      <c r="B380" s="56" t="str">
        <f>IF(Invoices[[#This Row],[Invoice '#]]="","",Invoices[[#This Row],[Invoice '#]])</f>
        <v/>
      </c>
      <c r="C380" s="53" t="str">
        <f>IFERROR(VLOOKUP(open[[#This Row],[Invoice'#]],'Enter Invoices'!C:H,2,0),"")</f>
        <v/>
      </c>
      <c r="D380" s="52" t="str">
        <f>IFERROR(VLOOKUP(open[[#This Row],[Invoice'#]],'Enter Invoices'!C:H,6,0),"")</f>
        <v/>
      </c>
      <c r="E380" s="66" t="str">
        <f>IFERROR(VLOOKUP(open[[#This Row],[Invoice'#]],'Enter Invoices'!C:H,5,0),"")</f>
        <v/>
      </c>
      <c r="F380" s="54" t="str">
        <f>IFERROR(IF(open[[#This Row],[Amount Due]]="","",open[[#This Row],[Amount Due]]-SUMIF('Record Customer Payments'!B:B,open[[#This Row],[Invoice'#]],'Record Customer Payments'!F:F)),"")</f>
        <v/>
      </c>
      <c r="H380" s="55"/>
      <c r="I380" s="56"/>
      <c r="J380" s="57"/>
      <c r="K380" s="58"/>
      <c r="L380" s="59"/>
      <c r="M380" s="59"/>
      <c r="N380" s="59"/>
    </row>
    <row r="381" spans="2:14" s="53" customFormat="1" ht="16.149999999999999" customHeight="1" x14ac:dyDescent="0.25">
      <c r="B381" s="56" t="str">
        <f>IF(Invoices[[#This Row],[Invoice '#]]="","",Invoices[[#This Row],[Invoice '#]])</f>
        <v/>
      </c>
      <c r="C381" s="53" t="str">
        <f>IFERROR(VLOOKUP(open[[#This Row],[Invoice'#]],'Enter Invoices'!C:H,2,0),"")</f>
        <v/>
      </c>
      <c r="D381" s="52" t="str">
        <f>IFERROR(VLOOKUP(open[[#This Row],[Invoice'#]],'Enter Invoices'!C:H,6,0),"")</f>
        <v/>
      </c>
      <c r="E381" s="66" t="str">
        <f>IFERROR(VLOOKUP(open[[#This Row],[Invoice'#]],'Enter Invoices'!C:H,5,0),"")</f>
        <v/>
      </c>
      <c r="F381" s="54" t="str">
        <f>IFERROR(IF(open[[#This Row],[Amount Due]]="","",open[[#This Row],[Amount Due]]-SUMIF('Record Customer Payments'!B:B,open[[#This Row],[Invoice'#]],'Record Customer Payments'!F:F)),"")</f>
        <v/>
      </c>
      <c r="H381" s="55"/>
      <c r="I381" s="56"/>
      <c r="J381" s="57"/>
      <c r="K381" s="58"/>
      <c r="L381" s="59"/>
      <c r="M381" s="59"/>
      <c r="N381" s="59"/>
    </row>
    <row r="382" spans="2:14" s="53" customFormat="1" ht="16.149999999999999" customHeight="1" x14ac:dyDescent="0.25">
      <c r="B382" s="56" t="str">
        <f>IF(Invoices[[#This Row],[Invoice '#]]="","",Invoices[[#This Row],[Invoice '#]])</f>
        <v/>
      </c>
      <c r="C382" s="53" t="str">
        <f>IFERROR(VLOOKUP(open[[#This Row],[Invoice'#]],'Enter Invoices'!C:H,2,0),"")</f>
        <v/>
      </c>
      <c r="D382" s="52" t="str">
        <f>IFERROR(VLOOKUP(open[[#This Row],[Invoice'#]],'Enter Invoices'!C:H,6,0),"")</f>
        <v/>
      </c>
      <c r="E382" s="66" t="str">
        <f>IFERROR(VLOOKUP(open[[#This Row],[Invoice'#]],'Enter Invoices'!C:H,5,0),"")</f>
        <v/>
      </c>
      <c r="F382" s="54" t="str">
        <f>IFERROR(IF(open[[#This Row],[Amount Due]]="","",open[[#This Row],[Amount Due]]-SUMIF('Record Customer Payments'!B:B,open[[#This Row],[Invoice'#]],'Record Customer Payments'!F:F)),"")</f>
        <v/>
      </c>
      <c r="H382" s="55"/>
      <c r="I382" s="56"/>
      <c r="J382" s="57"/>
      <c r="K382" s="58"/>
      <c r="L382" s="59"/>
      <c r="M382" s="59"/>
      <c r="N382" s="59"/>
    </row>
    <row r="383" spans="2:14" s="53" customFormat="1" ht="16.149999999999999" customHeight="1" x14ac:dyDescent="0.25">
      <c r="B383" s="56" t="str">
        <f>IF(Invoices[[#This Row],[Invoice '#]]="","",Invoices[[#This Row],[Invoice '#]])</f>
        <v/>
      </c>
      <c r="C383" s="53" t="str">
        <f>IFERROR(VLOOKUP(open[[#This Row],[Invoice'#]],'Enter Invoices'!C:H,2,0),"")</f>
        <v/>
      </c>
      <c r="D383" s="52" t="str">
        <f>IFERROR(VLOOKUP(open[[#This Row],[Invoice'#]],'Enter Invoices'!C:H,6,0),"")</f>
        <v/>
      </c>
      <c r="E383" s="66" t="str">
        <f>IFERROR(VLOOKUP(open[[#This Row],[Invoice'#]],'Enter Invoices'!C:H,5,0),"")</f>
        <v/>
      </c>
      <c r="F383" s="54" t="str">
        <f>IFERROR(IF(open[[#This Row],[Amount Due]]="","",open[[#This Row],[Amount Due]]-SUMIF('Record Customer Payments'!B:B,open[[#This Row],[Invoice'#]],'Record Customer Payments'!F:F)),"")</f>
        <v/>
      </c>
      <c r="H383" s="55"/>
      <c r="I383" s="56"/>
      <c r="J383" s="57"/>
      <c r="K383" s="58"/>
      <c r="L383" s="59"/>
      <c r="M383" s="59"/>
      <c r="N383" s="59"/>
    </row>
    <row r="384" spans="2:14" s="53" customFormat="1" ht="16.149999999999999" customHeight="1" x14ac:dyDescent="0.25">
      <c r="B384" s="56" t="str">
        <f>IF(Invoices[[#This Row],[Invoice '#]]="","",Invoices[[#This Row],[Invoice '#]])</f>
        <v/>
      </c>
      <c r="C384" s="53" t="str">
        <f>IFERROR(VLOOKUP(open[[#This Row],[Invoice'#]],'Enter Invoices'!C:H,2,0),"")</f>
        <v/>
      </c>
      <c r="D384" s="52" t="str">
        <f>IFERROR(VLOOKUP(open[[#This Row],[Invoice'#]],'Enter Invoices'!C:H,6,0),"")</f>
        <v/>
      </c>
      <c r="E384" s="66" t="str">
        <f>IFERROR(VLOOKUP(open[[#This Row],[Invoice'#]],'Enter Invoices'!C:H,5,0),"")</f>
        <v/>
      </c>
      <c r="F384" s="54" t="str">
        <f>IFERROR(IF(open[[#This Row],[Amount Due]]="","",open[[#This Row],[Amount Due]]-SUMIF('Record Customer Payments'!B:B,open[[#This Row],[Invoice'#]],'Record Customer Payments'!F:F)),"")</f>
        <v/>
      </c>
      <c r="H384" s="55"/>
      <c r="I384" s="56"/>
      <c r="J384" s="57"/>
      <c r="K384" s="58"/>
      <c r="L384" s="59"/>
      <c r="M384" s="59"/>
      <c r="N384" s="59"/>
    </row>
    <row r="385" spans="2:14" s="53" customFormat="1" ht="16.149999999999999" customHeight="1" x14ac:dyDescent="0.25">
      <c r="B385" s="56" t="str">
        <f>IF(Invoices[[#This Row],[Invoice '#]]="","",Invoices[[#This Row],[Invoice '#]])</f>
        <v/>
      </c>
      <c r="C385" s="53" t="str">
        <f>IFERROR(VLOOKUP(open[[#This Row],[Invoice'#]],'Enter Invoices'!C:H,2,0),"")</f>
        <v/>
      </c>
      <c r="D385" s="52" t="str">
        <f>IFERROR(VLOOKUP(open[[#This Row],[Invoice'#]],'Enter Invoices'!C:H,6,0),"")</f>
        <v/>
      </c>
      <c r="E385" s="66" t="str">
        <f>IFERROR(VLOOKUP(open[[#This Row],[Invoice'#]],'Enter Invoices'!C:H,5,0),"")</f>
        <v/>
      </c>
      <c r="F385" s="54" t="str">
        <f>IFERROR(IF(open[[#This Row],[Amount Due]]="","",open[[#This Row],[Amount Due]]-SUMIF('Record Customer Payments'!B:B,open[[#This Row],[Invoice'#]],'Record Customer Payments'!F:F)),"")</f>
        <v/>
      </c>
      <c r="H385" s="55"/>
      <c r="I385" s="56"/>
      <c r="J385" s="57"/>
      <c r="K385" s="58"/>
      <c r="L385" s="59"/>
      <c r="M385" s="59"/>
      <c r="N385" s="59"/>
    </row>
    <row r="386" spans="2:14" s="53" customFormat="1" ht="16.149999999999999" customHeight="1" x14ac:dyDescent="0.25">
      <c r="B386" s="56" t="str">
        <f>IF(Invoices[[#This Row],[Invoice '#]]="","",Invoices[[#This Row],[Invoice '#]])</f>
        <v/>
      </c>
      <c r="C386" s="53" t="str">
        <f>IFERROR(VLOOKUP(open[[#This Row],[Invoice'#]],'Enter Invoices'!C:H,2,0),"")</f>
        <v/>
      </c>
      <c r="D386" s="52" t="str">
        <f>IFERROR(VLOOKUP(open[[#This Row],[Invoice'#]],'Enter Invoices'!C:H,6,0),"")</f>
        <v/>
      </c>
      <c r="E386" s="66" t="str">
        <f>IFERROR(VLOOKUP(open[[#This Row],[Invoice'#]],'Enter Invoices'!C:H,5,0),"")</f>
        <v/>
      </c>
      <c r="F386" s="54" t="str">
        <f>IFERROR(IF(open[[#This Row],[Amount Due]]="","",open[[#This Row],[Amount Due]]-SUMIF('Record Customer Payments'!B:B,open[[#This Row],[Invoice'#]],'Record Customer Payments'!F:F)),"")</f>
        <v/>
      </c>
      <c r="H386" s="55"/>
      <c r="I386" s="56"/>
      <c r="J386" s="57"/>
      <c r="K386" s="58"/>
      <c r="L386" s="59"/>
      <c r="M386" s="59"/>
      <c r="N386" s="59"/>
    </row>
    <row r="387" spans="2:14" s="53" customFormat="1" ht="16.149999999999999" customHeight="1" x14ac:dyDescent="0.25">
      <c r="B387" s="56" t="str">
        <f>IF(Invoices[[#This Row],[Invoice '#]]="","",Invoices[[#This Row],[Invoice '#]])</f>
        <v/>
      </c>
      <c r="C387" s="53" t="str">
        <f>IFERROR(VLOOKUP(open[[#This Row],[Invoice'#]],'Enter Invoices'!C:H,2,0),"")</f>
        <v/>
      </c>
      <c r="D387" s="52" t="str">
        <f>IFERROR(VLOOKUP(open[[#This Row],[Invoice'#]],'Enter Invoices'!C:H,6,0),"")</f>
        <v/>
      </c>
      <c r="E387" s="66" t="str">
        <f>IFERROR(VLOOKUP(open[[#This Row],[Invoice'#]],'Enter Invoices'!C:H,5,0),"")</f>
        <v/>
      </c>
      <c r="F387" s="54" t="str">
        <f>IFERROR(IF(open[[#This Row],[Amount Due]]="","",open[[#This Row],[Amount Due]]-SUMIF('Record Customer Payments'!B:B,open[[#This Row],[Invoice'#]],'Record Customer Payments'!F:F)),"")</f>
        <v/>
      </c>
      <c r="H387" s="55"/>
      <c r="I387" s="56"/>
      <c r="J387" s="57"/>
      <c r="K387" s="58"/>
      <c r="L387" s="59"/>
      <c r="M387" s="59"/>
      <c r="N387" s="59"/>
    </row>
    <row r="388" spans="2:14" s="53" customFormat="1" ht="16.149999999999999" customHeight="1" x14ac:dyDescent="0.25">
      <c r="B388" s="56" t="str">
        <f>IF(Invoices[[#This Row],[Invoice '#]]="","",Invoices[[#This Row],[Invoice '#]])</f>
        <v/>
      </c>
      <c r="C388" s="53" t="str">
        <f>IFERROR(VLOOKUP(open[[#This Row],[Invoice'#]],'Enter Invoices'!C:H,2,0),"")</f>
        <v/>
      </c>
      <c r="D388" s="52" t="str">
        <f>IFERROR(VLOOKUP(open[[#This Row],[Invoice'#]],'Enter Invoices'!C:H,6,0),"")</f>
        <v/>
      </c>
      <c r="E388" s="66" t="str">
        <f>IFERROR(VLOOKUP(open[[#This Row],[Invoice'#]],'Enter Invoices'!C:H,5,0),"")</f>
        <v/>
      </c>
      <c r="F388" s="54" t="str">
        <f>IFERROR(IF(open[[#This Row],[Amount Due]]="","",open[[#This Row],[Amount Due]]-SUMIF('Record Customer Payments'!B:B,open[[#This Row],[Invoice'#]],'Record Customer Payments'!F:F)),"")</f>
        <v/>
      </c>
      <c r="H388" s="55"/>
      <c r="I388" s="56"/>
      <c r="J388" s="57"/>
      <c r="K388" s="58"/>
      <c r="L388" s="59"/>
      <c r="M388" s="59"/>
      <c r="N388" s="59"/>
    </row>
    <row r="389" spans="2:14" s="53" customFormat="1" ht="16.149999999999999" customHeight="1" x14ac:dyDescent="0.25">
      <c r="B389" s="56" t="str">
        <f>IF(Invoices[[#This Row],[Invoice '#]]="","",Invoices[[#This Row],[Invoice '#]])</f>
        <v/>
      </c>
      <c r="C389" s="53" t="str">
        <f>IFERROR(VLOOKUP(open[[#This Row],[Invoice'#]],'Enter Invoices'!C:H,2,0),"")</f>
        <v/>
      </c>
      <c r="D389" s="52" t="str">
        <f>IFERROR(VLOOKUP(open[[#This Row],[Invoice'#]],'Enter Invoices'!C:H,6,0),"")</f>
        <v/>
      </c>
      <c r="E389" s="66" t="str">
        <f>IFERROR(VLOOKUP(open[[#This Row],[Invoice'#]],'Enter Invoices'!C:H,5,0),"")</f>
        <v/>
      </c>
      <c r="F389" s="54" t="str">
        <f>IFERROR(IF(open[[#This Row],[Amount Due]]="","",open[[#This Row],[Amount Due]]-SUMIF('Record Customer Payments'!B:B,open[[#This Row],[Invoice'#]],'Record Customer Payments'!F:F)),"")</f>
        <v/>
      </c>
      <c r="H389" s="55"/>
      <c r="I389" s="56"/>
      <c r="J389" s="57"/>
      <c r="K389" s="58"/>
      <c r="L389" s="59"/>
      <c r="M389" s="59"/>
      <c r="N389" s="59"/>
    </row>
    <row r="390" spans="2:14" s="53" customFormat="1" ht="16.149999999999999" customHeight="1" x14ac:dyDescent="0.25">
      <c r="B390" s="56" t="str">
        <f>IF(Invoices[[#This Row],[Invoice '#]]="","",Invoices[[#This Row],[Invoice '#]])</f>
        <v/>
      </c>
      <c r="C390" s="53" t="str">
        <f>IFERROR(VLOOKUP(open[[#This Row],[Invoice'#]],'Enter Invoices'!C:H,2,0),"")</f>
        <v/>
      </c>
      <c r="D390" s="52" t="str">
        <f>IFERROR(VLOOKUP(open[[#This Row],[Invoice'#]],'Enter Invoices'!C:H,6,0),"")</f>
        <v/>
      </c>
      <c r="E390" s="66" t="str">
        <f>IFERROR(VLOOKUP(open[[#This Row],[Invoice'#]],'Enter Invoices'!C:H,5,0),"")</f>
        <v/>
      </c>
      <c r="F390" s="54" t="str">
        <f>IFERROR(IF(open[[#This Row],[Amount Due]]="","",open[[#This Row],[Amount Due]]-SUMIF('Record Customer Payments'!B:B,open[[#This Row],[Invoice'#]],'Record Customer Payments'!F:F)),"")</f>
        <v/>
      </c>
      <c r="H390" s="55"/>
      <c r="I390" s="56"/>
      <c r="J390" s="57"/>
      <c r="K390" s="58"/>
      <c r="L390" s="59"/>
      <c r="M390" s="59"/>
      <c r="N390" s="59"/>
    </row>
    <row r="391" spans="2:14" s="53" customFormat="1" ht="16.149999999999999" customHeight="1" x14ac:dyDescent="0.25">
      <c r="B391" s="56" t="str">
        <f>IF(Invoices[[#This Row],[Invoice '#]]="","",Invoices[[#This Row],[Invoice '#]])</f>
        <v/>
      </c>
      <c r="C391" s="53" t="str">
        <f>IFERROR(VLOOKUP(open[[#This Row],[Invoice'#]],'Enter Invoices'!C:H,2,0),"")</f>
        <v/>
      </c>
      <c r="D391" s="52" t="str">
        <f>IFERROR(VLOOKUP(open[[#This Row],[Invoice'#]],'Enter Invoices'!C:H,6,0),"")</f>
        <v/>
      </c>
      <c r="E391" s="66" t="str">
        <f>IFERROR(VLOOKUP(open[[#This Row],[Invoice'#]],'Enter Invoices'!C:H,5,0),"")</f>
        <v/>
      </c>
      <c r="F391" s="54" t="str">
        <f>IFERROR(IF(open[[#This Row],[Amount Due]]="","",open[[#This Row],[Amount Due]]-SUMIF('Record Customer Payments'!B:B,open[[#This Row],[Invoice'#]],'Record Customer Payments'!F:F)),"")</f>
        <v/>
      </c>
      <c r="H391" s="55"/>
      <c r="I391" s="56"/>
      <c r="J391" s="57"/>
      <c r="K391" s="58"/>
      <c r="L391" s="59"/>
      <c r="M391" s="59"/>
      <c r="N391" s="59"/>
    </row>
    <row r="392" spans="2:14" s="53" customFormat="1" ht="16.149999999999999" customHeight="1" x14ac:dyDescent="0.25">
      <c r="B392" s="56" t="str">
        <f>IF(Invoices[[#This Row],[Invoice '#]]="","",Invoices[[#This Row],[Invoice '#]])</f>
        <v/>
      </c>
      <c r="C392" s="53" t="str">
        <f>IFERROR(VLOOKUP(open[[#This Row],[Invoice'#]],'Enter Invoices'!C:H,2,0),"")</f>
        <v/>
      </c>
      <c r="D392" s="52" t="str">
        <f>IFERROR(VLOOKUP(open[[#This Row],[Invoice'#]],'Enter Invoices'!C:H,6,0),"")</f>
        <v/>
      </c>
      <c r="E392" s="66" t="str">
        <f>IFERROR(VLOOKUP(open[[#This Row],[Invoice'#]],'Enter Invoices'!C:H,5,0),"")</f>
        <v/>
      </c>
      <c r="F392" s="54" t="str">
        <f>IFERROR(IF(open[[#This Row],[Amount Due]]="","",open[[#This Row],[Amount Due]]-SUMIF('Record Customer Payments'!B:B,open[[#This Row],[Invoice'#]],'Record Customer Payments'!F:F)),"")</f>
        <v/>
      </c>
      <c r="H392" s="55"/>
      <c r="I392" s="56"/>
      <c r="J392" s="57"/>
      <c r="K392" s="58"/>
      <c r="L392" s="59"/>
      <c r="M392" s="59"/>
      <c r="N392" s="59"/>
    </row>
    <row r="393" spans="2:14" s="53" customFormat="1" ht="16.149999999999999" customHeight="1" x14ac:dyDescent="0.25">
      <c r="B393" s="56" t="str">
        <f>IF(Invoices[[#This Row],[Invoice '#]]="","",Invoices[[#This Row],[Invoice '#]])</f>
        <v/>
      </c>
      <c r="C393" s="53" t="str">
        <f>IFERROR(VLOOKUP(open[[#This Row],[Invoice'#]],'Enter Invoices'!C:H,2,0),"")</f>
        <v/>
      </c>
      <c r="D393" s="52" t="str">
        <f>IFERROR(VLOOKUP(open[[#This Row],[Invoice'#]],'Enter Invoices'!C:H,6,0),"")</f>
        <v/>
      </c>
      <c r="E393" s="66" t="str">
        <f>IFERROR(VLOOKUP(open[[#This Row],[Invoice'#]],'Enter Invoices'!C:H,5,0),"")</f>
        <v/>
      </c>
      <c r="F393" s="54" t="str">
        <f>IFERROR(IF(open[[#This Row],[Amount Due]]="","",open[[#This Row],[Amount Due]]-SUMIF('Record Customer Payments'!B:B,open[[#This Row],[Invoice'#]],'Record Customer Payments'!F:F)),"")</f>
        <v/>
      </c>
      <c r="H393" s="55"/>
      <c r="I393" s="56"/>
      <c r="J393" s="57"/>
      <c r="K393" s="58"/>
      <c r="L393" s="59"/>
      <c r="M393" s="59"/>
      <c r="N393" s="59"/>
    </row>
    <row r="394" spans="2:14" s="53" customFormat="1" ht="16.149999999999999" customHeight="1" x14ac:dyDescent="0.25">
      <c r="B394" s="56" t="str">
        <f>IF(Invoices[[#This Row],[Invoice '#]]="","",Invoices[[#This Row],[Invoice '#]])</f>
        <v/>
      </c>
      <c r="C394" s="53" t="str">
        <f>IFERROR(VLOOKUP(open[[#This Row],[Invoice'#]],'Enter Invoices'!C:H,2,0),"")</f>
        <v/>
      </c>
      <c r="D394" s="52" t="str">
        <f>IFERROR(VLOOKUP(open[[#This Row],[Invoice'#]],'Enter Invoices'!C:H,6,0),"")</f>
        <v/>
      </c>
      <c r="E394" s="66" t="str">
        <f>IFERROR(VLOOKUP(open[[#This Row],[Invoice'#]],'Enter Invoices'!C:H,5,0),"")</f>
        <v/>
      </c>
      <c r="F394" s="54" t="str">
        <f>IFERROR(IF(open[[#This Row],[Amount Due]]="","",open[[#This Row],[Amount Due]]-SUMIF('Record Customer Payments'!B:B,open[[#This Row],[Invoice'#]],'Record Customer Payments'!F:F)),"")</f>
        <v/>
      </c>
      <c r="H394" s="55"/>
      <c r="I394" s="56"/>
      <c r="J394" s="57"/>
      <c r="K394" s="58"/>
      <c r="L394" s="59"/>
      <c r="M394" s="59"/>
      <c r="N394" s="59"/>
    </row>
    <row r="395" spans="2:14" s="53" customFormat="1" ht="16.149999999999999" customHeight="1" x14ac:dyDescent="0.25">
      <c r="B395" s="56" t="str">
        <f>IF(Invoices[[#This Row],[Invoice '#]]="","",Invoices[[#This Row],[Invoice '#]])</f>
        <v/>
      </c>
      <c r="C395" s="53" t="str">
        <f>IFERROR(VLOOKUP(open[[#This Row],[Invoice'#]],'Enter Invoices'!C:H,2,0),"")</f>
        <v/>
      </c>
      <c r="D395" s="52" t="str">
        <f>IFERROR(VLOOKUP(open[[#This Row],[Invoice'#]],'Enter Invoices'!C:H,6,0),"")</f>
        <v/>
      </c>
      <c r="E395" s="66" t="str">
        <f>IFERROR(VLOOKUP(open[[#This Row],[Invoice'#]],'Enter Invoices'!C:H,5,0),"")</f>
        <v/>
      </c>
      <c r="F395" s="54" t="str">
        <f>IFERROR(IF(open[[#This Row],[Amount Due]]="","",open[[#This Row],[Amount Due]]-SUMIF('Record Customer Payments'!B:B,open[[#This Row],[Invoice'#]],'Record Customer Payments'!F:F)),"")</f>
        <v/>
      </c>
      <c r="H395" s="55"/>
      <c r="I395" s="56"/>
      <c r="J395" s="57"/>
      <c r="K395" s="58"/>
      <c r="L395" s="59"/>
      <c r="M395" s="59"/>
      <c r="N395" s="59"/>
    </row>
    <row r="396" spans="2:14" s="53" customFormat="1" ht="16.149999999999999" customHeight="1" x14ac:dyDescent="0.25">
      <c r="B396" s="56" t="str">
        <f>IF(Invoices[[#This Row],[Invoice '#]]="","",Invoices[[#This Row],[Invoice '#]])</f>
        <v/>
      </c>
      <c r="C396" s="53" t="str">
        <f>IFERROR(VLOOKUP(open[[#This Row],[Invoice'#]],'Enter Invoices'!C:H,2,0),"")</f>
        <v/>
      </c>
      <c r="D396" s="52" t="str">
        <f>IFERROR(VLOOKUP(open[[#This Row],[Invoice'#]],'Enter Invoices'!C:H,6,0),"")</f>
        <v/>
      </c>
      <c r="E396" s="66" t="str">
        <f>IFERROR(VLOOKUP(open[[#This Row],[Invoice'#]],'Enter Invoices'!C:H,5,0),"")</f>
        <v/>
      </c>
      <c r="F396" s="54" t="str">
        <f>IFERROR(IF(open[[#This Row],[Amount Due]]="","",open[[#This Row],[Amount Due]]-SUMIF('Record Customer Payments'!B:B,open[[#This Row],[Invoice'#]],'Record Customer Payments'!F:F)),"")</f>
        <v/>
      </c>
      <c r="H396" s="55"/>
      <c r="I396" s="56"/>
      <c r="J396" s="57"/>
      <c r="K396" s="58"/>
      <c r="L396" s="59"/>
      <c r="M396" s="59"/>
      <c r="N396" s="59"/>
    </row>
    <row r="397" spans="2:14" s="53" customFormat="1" ht="16.149999999999999" customHeight="1" x14ac:dyDescent="0.25">
      <c r="B397" s="56" t="str">
        <f>IF(Invoices[[#This Row],[Invoice '#]]="","",Invoices[[#This Row],[Invoice '#]])</f>
        <v/>
      </c>
      <c r="C397" s="53" t="str">
        <f>IFERROR(VLOOKUP(open[[#This Row],[Invoice'#]],'Enter Invoices'!C:H,2,0),"")</f>
        <v/>
      </c>
      <c r="D397" s="52" t="str">
        <f>IFERROR(VLOOKUP(open[[#This Row],[Invoice'#]],'Enter Invoices'!C:H,6,0),"")</f>
        <v/>
      </c>
      <c r="E397" s="66" t="str">
        <f>IFERROR(VLOOKUP(open[[#This Row],[Invoice'#]],'Enter Invoices'!C:H,5,0),"")</f>
        <v/>
      </c>
      <c r="F397" s="54" t="str">
        <f>IFERROR(IF(open[[#This Row],[Amount Due]]="","",open[[#This Row],[Amount Due]]-SUMIF('Record Customer Payments'!B:B,open[[#This Row],[Invoice'#]],'Record Customer Payments'!F:F)),"")</f>
        <v/>
      </c>
      <c r="H397" s="55"/>
      <c r="I397" s="56"/>
      <c r="J397" s="57"/>
      <c r="K397" s="58"/>
      <c r="L397" s="59"/>
      <c r="M397" s="59"/>
      <c r="N397" s="59"/>
    </row>
    <row r="398" spans="2:14" s="53" customFormat="1" ht="16.149999999999999" customHeight="1" x14ac:dyDescent="0.25">
      <c r="B398" s="56" t="str">
        <f>IF(Invoices[[#This Row],[Invoice '#]]="","",Invoices[[#This Row],[Invoice '#]])</f>
        <v/>
      </c>
      <c r="C398" s="53" t="str">
        <f>IFERROR(VLOOKUP(open[[#This Row],[Invoice'#]],'Enter Invoices'!C:H,2,0),"")</f>
        <v/>
      </c>
      <c r="D398" s="52" t="str">
        <f>IFERROR(VLOOKUP(open[[#This Row],[Invoice'#]],'Enter Invoices'!C:H,6,0),"")</f>
        <v/>
      </c>
      <c r="E398" s="66" t="str">
        <f>IFERROR(VLOOKUP(open[[#This Row],[Invoice'#]],'Enter Invoices'!C:H,5,0),"")</f>
        <v/>
      </c>
      <c r="F398" s="54" t="str">
        <f>IFERROR(IF(open[[#This Row],[Amount Due]]="","",open[[#This Row],[Amount Due]]-SUMIF('Record Customer Payments'!B:B,open[[#This Row],[Invoice'#]],'Record Customer Payments'!F:F)),"")</f>
        <v/>
      </c>
      <c r="H398" s="55"/>
      <c r="I398" s="56"/>
      <c r="J398" s="57"/>
      <c r="K398" s="58"/>
      <c r="L398" s="59"/>
      <c r="M398" s="59"/>
      <c r="N398" s="59"/>
    </row>
    <row r="399" spans="2:14" s="53" customFormat="1" ht="16.149999999999999" customHeight="1" x14ac:dyDescent="0.25">
      <c r="B399" s="56" t="str">
        <f>IF(Invoices[[#This Row],[Invoice '#]]="","",Invoices[[#This Row],[Invoice '#]])</f>
        <v/>
      </c>
      <c r="C399" s="53" t="str">
        <f>IFERROR(VLOOKUP(open[[#This Row],[Invoice'#]],'Enter Invoices'!C:H,2,0),"")</f>
        <v/>
      </c>
      <c r="D399" s="52" t="str">
        <f>IFERROR(VLOOKUP(open[[#This Row],[Invoice'#]],'Enter Invoices'!C:H,6,0),"")</f>
        <v/>
      </c>
      <c r="E399" s="66" t="str">
        <f>IFERROR(VLOOKUP(open[[#This Row],[Invoice'#]],'Enter Invoices'!C:H,5,0),"")</f>
        <v/>
      </c>
      <c r="F399" s="54" t="str">
        <f>IFERROR(IF(open[[#This Row],[Amount Due]]="","",open[[#This Row],[Amount Due]]-SUMIF('Record Customer Payments'!B:B,open[[#This Row],[Invoice'#]],'Record Customer Payments'!F:F)),"")</f>
        <v/>
      </c>
      <c r="H399" s="55"/>
      <c r="I399" s="56"/>
      <c r="J399" s="57"/>
      <c r="K399" s="58"/>
      <c r="L399" s="59"/>
      <c r="M399" s="59"/>
      <c r="N399" s="59"/>
    </row>
    <row r="400" spans="2:14" s="53" customFormat="1" ht="16.149999999999999" customHeight="1" x14ac:dyDescent="0.25">
      <c r="B400" s="56" t="str">
        <f>IF(Invoices[[#This Row],[Invoice '#]]="","",Invoices[[#This Row],[Invoice '#]])</f>
        <v/>
      </c>
      <c r="C400" s="53" t="str">
        <f>IFERROR(VLOOKUP(open[[#This Row],[Invoice'#]],'Enter Invoices'!C:H,2,0),"")</f>
        <v/>
      </c>
      <c r="D400" s="52" t="str">
        <f>IFERROR(VLOOKUP(open[[#This Row],[Invoice'#]],'Enter Invoices'!C:H,6,0),"")</f>
        <v/>
      </c>
      <c r="E400" s="66" t="str">
        <f>IFERROR(VLOOKUP(open[[#This Row],[Invoice'#]],'Enter Invoices'!C:H,5,0),"")</f>
        <v/>
      </c>
      <c r="F400" s="54" t="str">
        <f>IFERROR(IF(open[[#This Row],[Amount Due]]="","",open[[#This Row],[Amount Due]]-SUMIF('Record Customer Payments'!B:B,open[[#This Row],[Invoice'#]],'Record Customer Payments'!F:F)),"")</f>
        <v/>
      </c>
      <c r="H400" s="55"/>
      <c r="I400" s="56"/>
      <c r="J400" s="57"/>
      <c r="K400" s="58"/>
      <c r="L400" s="59"/>
      <c r="M400" s="59"/>
      <c r="N400" s="59"/>
    </row>
    <row r="401" spans="2:14" s="53" customFormat="1" ht="16.149999999999999" customHeight="1" x14ac:dyDescent="0.25">
      <c r="B401" s="56" t="str">
        <f>IF(Invoices[[#This Row],[Invoice '#]]="","",Invoices[[#This Row],[Invoice '#]])</f>
        <v/>
      </c>
      <c r="C401" s="53" t="str">
        <f>IFERROR(VLOOKUP(open[[#This Row],[Invoice'#]],'Enter Invoices'!C:H,2,0),"")</f>
        <v/>
      </c>
      <c r="D401" s="52" t="str">
        <f>IFERROR(VLOOKUP(open[[#This Row],[Invoice'#]],'Enter Invoices'!C:H,6,0),"")</f>
        <v/>
      </c>
      <c r="E401" s="66" t="str">
        <f>IFERROR(VLOOKUP(open[[#This Row],[Invoice'#]],'Enter Invoices'!C:H,5,0),"")</f>
        <v/>
      </c>
      <c r="F401" s="54" t="str">
        <f>IFERROR(IF(open[[#This Row],[Amount Due]]="","",open[[#This Row],[Amount Due]]-SUMIF('Record Customer Payments'!B:B,open[[#This Row],[Invoice'#]],'Record Customer Payments'!F:F)),"")</f>
        <v/>
      </c>
      <c r="H401" s="55"/>
      <c r="I401" s="56"/>
      <c r="J401" s="57"/>
      <c r="K401" s="58"/>
      <c r="L401" s="59"/>
      <c r="M401" s="59"/>
      <c r="N401" s="59"/>
    </row>
    <row r="402" spans="2:14" s="53" customFormat="1" ht="16.149999999999999" customHeight="1" x14ac:dyDescent="0.25">
      <c r="B402" s="56" t="str">
        <f>IF(Invoices[[#This Row],[Invoice '#]]="","",Invoices[[#This Row],[Invoice '#]])</f>
        <v/>
      </c>
      <c r="C402" s="53" t="str">
        <f>IFERROR(VLOOKUP(open[[#This Row],[Invoice'#]],'Enter Invoices'!C:H,2,0),"")</f>
        <v/>
      </c>
      <c r="D402" s="52" t="str">
        <f>IFERROR(VLOOKUP(open[[#This Row],[Invoice'#]],'Enter Invoices'!C:H,6,0),"")</f>
        <v/>
      </c>
      <c r="E402" s="66" t="str">
        <f>IFERROR(VLOOKUP(open[[#This Row],[Invoice'#]],'Enter Invoices'!C:H,5,0),"")</f>
        <v/>
      </c>
      <c r="F402" s="54" t="str">
        <f>IFERROR(IF(open[[#This Row],[Amount Due]]="","",open[[#This Row],[Amount Due]]-SUMIF('Record Customer Payments'!B:B,open[[#This Row],[Invoice'#]],'Record Customer Payments'!F:F)),"")</f>
        <v/>
      </c>
      <c r="H402" s="55"/>
      <c r="I402" s="56"/>
      <c r="J402" s="57"/>
      <c r="K402" s="58"/>
      <c r="L402" s="59"/>
      <c r="M402" s="59"/>
      <c r="N402" s="59"/>
    </row>
    <row r="403" spans="2:14" s="53" customFormat="1" ht="16.149999999999999" customHeight="1" x14ac:dyDescent="0.25">
      <c r="B403" s="56" t="str">
        <f>IF(Invoices[[#This Row],[Invoice '#]]="","",Invoices[[#This Row],[Invoice '#]])</f>
        <v/>
      </c>
      <c r="C403" s="53" t="str">
        <f>IFERROR(VLOOKUP(open[[#This Row],[Invoice'#]],'Enter Invoices'!C:H,2,0),"")</f>
        <v/>
      </c>
      <c r="D403" s="52" t="str">
        <f>IFERROR(VLOOKUP(open[[#This Row],[Invoice'#]],'Enter Invoices'!C:H,6,0),"")</f>
        <v/>
      </c>
      <c r="E403" s="66" t="str">
        <f>IFERROR(VLOOKUP(open[[#This Row],[Invoice'#]],'Enter Invoices'!C:H,5,0),"")</f>
        <v/>
      </c>
      <c r="F403" s="54" t="str">
        <f>IFERROR(IF(open[[#This Row],[Amount Due]]="","",open[[#This Row],[Amount Due]]-SUMIF('Record Customer Payments'!B:B,open[[#This Row],[Invoice'#]],'Record Customer Payments'!F:F)),"")</f>
        <v/>
      </c>
      <c r="H403" s="55"/>
      <c r="I403" s="56"/>
      <c r="J403" s="57"/>
      <c r="K403" s="58"/>
      <c r="L403" s="59"/>
      <c r="M403" s="59"/>
      <c r="N403" s="59"/>
    </row>
    <row r="404" spans="2:14" s="53" customFormat="1" ht="16.149999999999999" customHeight="1" x14ac:dyDescent="0.25">
      <c r="B404" s="56" t="str">
        <f>IF(Invoices[[#This Row],[Invoice '#]]="","",Invoices[[#This Row],[Invoice '#]])</f>
        <v/>
      </c>
      <c r="C404" s="53" t="str">
        <f>IFERROR(VLOOKUP(open[[#This Row],[Invoice'#]],'Enter Invoices'!C:H,2,0),"")</f>
        <v/>
      </c>
      <c r="D404" s="52" t="str">
        <f>IFERROR(VLOOKUP(open[[#This Row],[Invoice'#]],'Enter Invoices'!C:H,6,0),"")</f>
        <v/>
      </c>
      <c r="E404" s="66" t="str">
        <f>IFERROR(VLOOKUP(open[[#This Row],[Invoice'#]],'Enter Invoices'!C:H,5,0),"")</f>
        <v/>
      </c>
      <c r="F404" s="54" t="str">
        <f>IFERROR(IF(open[[#This Row],[Amount Due]]="","",open[[#This Row],[Amount Due]]-SUMIF('Record Customer Payments'!B:B,open[[#This Row],[Invoice'#]],'Record Customer Payments'!F:F)),"")</f>
        <v/>
      </c>
      <c r="H404" s="55"/>
      <c r="I404" s="56"/>
      <c r="J404" s="57"/>
      <c r="K404" s="58"/>
      <c r="L404" s="59"/>
      <c r="M404" s="59"/>
      <c r="N404" s="59"/>
    </row>
    <row r="405" spans="2:14" s="53" customFormat="1" ht="16.149999999999999" customHeight="1" x14ac:dyDescent="0.25">
      <c r="B405" s="56" t="str">
        <f>IF(Invoices[[#This Row],[Invoice '#]]="","",Invoices[[#This Row],[Invoice '#]])</f>
        <v/>
      </c>
      <c r="C405" s="53" t="str">
        <f>IFERROR(VLOOKUP(open[[#This Row],[Invoice'#]],'Enter Invoices'!C:H,2,0),"")</f>
        <v/>
      </c>
      <c r="D405" s="52" t="str">
        <f>IFERROR(VLOOKUP(open[[#This Row],[Invoice'#]],'Enter Invoices'!C:H,6,0),"")</f>
        <v/>
      </c>
      <c r="E405" s="66" t="str">
        <f>IFERROR(VLOOKUP(open[[#This Row],[Invoice'#]],'Enter Invoices'!C:H,5,0),"")</f>
        <v/>
      </c>
      <c r="F405" s="54" t="str">
        <f>IFERROR(IF(open[[#This Row],[Amount Due]]="","",open[[#This Row],[Amount Due]]-SUMIF('Record Customer Payments'!B:B,open[[#This Row],[Invoice'#]],'Record Customer Payments'!F:F)),"")</f>
        <v/>
      </c>
      <c r="H405" s="55"/>
      <c r="I405" s="56"/>
      <c r="J405" s="57"/>
      <c r="K405" s="58"/>
      <c r="L405" s="59"/>
      <c r="M405" s="59"/>
      <c r="N405" s="59"/>
    </row>
    <row r="406" spans="2:14" s="53" customFormat="1" ht="16.149999999999999" customHeight="1" x14ac:dyDescent="0.25">
      <c r="B406" s="56" t="str">
        <f>IF(Invoices[[#This Row],[Invoice '#]]="","",Invoices[[#This Row],[Invoice '#]])</f>
        <v/>
      </c>
      <c r="C406" s="53" t="str">
        <f>IFERROR(VLOOKUP(open[[#This Row],[Invoice'#]],'Enter Invoices'!C:H,2,0),"")</f>
        <v/>
      </c>
      <c r="D406" s="52" t="str">
        <f>IFERROR(VLOOKUP(open[[#This Row],[Invoice'#]],'Enter Invoices'!C:H,6,0),"")</f>
        <v/>
      </c>
      <c r="E406" s="66" t="str">
        <f>IFERROR(VLOOKUP(open[[#This Row],[Invoice'#]],'Enter Invoices'!C:H,5,0),"")</f>
        <v/>
      </c>
      <c r="F406" s="54" t="str">
        <f>IFERROR(IF(open[[#This Row],[Amount Due]]="","",open[[#This Row],[Amount Due]]-SUMIF('Record Customer Payments'!B:B,open[[#This Row],[Invoice'#]],'Record Customer Payments'!F:F)),"")</f>
        <v/>
      </c>
      <c r="H406" s="55"/>
      <c r="I406" s="56"/>
      <c r="J406" s="57"/>
      <c r="K406" s="58"/>
      <c r="L406" s="59"/>
      <c r="M406" s="59"/>
      <c r="N406" s="59"/>
    </row>
    <row r="407" spans="2:14" s="53" customFormat="1" ht="16.149999999999999" customHeight="1" x14ac:dyDescent="0.25">
      <c r="B407" s="55" t="str">
        <f>IF(C407="","",INDEX(Invoices[Due Date],MATCH(C407,Invoices[Invoice '#],0)))</f>
        <v/>
      </c>
      <c r="D407" s="54" t="str">
        <f>IF('Open Invoices'!$C407=0,"",_xlfn.IFNA('Open Invoices'!#REF!-SUMIF(Payments[Invoice '#],'Open Invoices'!$C407,Payments[Amount Paid]),'Open Invoices'!#REF!))</f>
        <v/>
      </c>
      <c r="E407" s="54"/>
      <c r="F407" s="54"/>
      <c r="H407" s="55"/>
      <c r="I407" s="56"/>
      <c r="J407" s="57"/>
      <c r="K407" s="58"/>
      <c r="L407" s="59"/>
      <c r="M407" s="59"/>
      <c r="N407" s="59"/>
    </row>
    <row r="408" spans="2:14" s="53" customFormat="1" ht="16.149999999999999" customHeight="1" x14ac:dyDescent="0.25">
      <c r="B408" s="55" t="str">
        <f>IF(C408="","",INDEX(Invoices[Due Date],MATCH(C408,Invoices[Invoice '#],0)))</f>
        <v/>
      </c>
      <c r="D408" s="54" t="str">
        <f>IF('Open Invoices'!$C408=0,"",_xlfn.IFNA('Open Invoices'!#REF!-SUMIF(Payments[Invoice '#],'Open Invoices'!$C408,Payments[Amount Paid]),'Open Invoices'!#REF!))</f>
        <v/>
      </c>
      <c r="E408" s="54"/>
      <c r="F408" s="54"/>
      <c r="H408" s="55"/>
      <c r="I408" s="56"/>
      <c r="J408" s="57"/>
      <c r="K408" s="58"/>
      <c r="L408" s="59"/>
      <c r="M408" s="59"/>
      <c r="N408" s="59"/>
    </row>
    <row r="409" spans="2:14" s="53" customFormat="1" ht="16.149999999999999" customHeight="1" x14ac:dyDescent="0.25">
      <c r="B409" s="55" t="str">
        <f>IF(C409="","",INDEX(Invoices[Due Date],MATCH(C409,Invoices[Invoice '#],0)))</f>
        <v/>
      </c>
      <c r="D409" s="54" t="str">
        <f>IF('Open Invoices'!$C409=0,"",_xlfn.IFNA('Open Invoices'!#REF!-SUMIF(Payments[Invoice '#],'Open Invoices'!$C409,Payments[Amount Paid]),'Open Invoices'!#REF!))</f>
        <v/>
      </c>
      <c r="E409" s="54"/>
      <c r="F409" s="54"/>
      <c r="H409" s="55"/>
      <c r="I409" s="56"/>
      <c r="J409" s="57"/>
      <c r="K409" s="58"/>
      <c r="L409" s="59"/>
      <c r="M409" s="59"/>
      <c r="N409" s="59"/>
    </row>
    <row r="410" spans="2:14" s="53" customFormat="1" ht="16.149999999999999" customHeight="1" x14ac:dyDescent="0.25">
      <c r="B410" s="55" t="str">
        <f>IF(C410="","",INDEX(Invoices[Due Date],MATCH(C410,Invoices[Invoice '#],0)))</f>
        <v/>
      </c>
      <c r="D410" s="54" t="str">
        <f>IF('Open Invoices'!$C410=0,"",_xlfn.IFNA('Open Invoices'!#REF!-SUMIF(Payments[Invoice '#],'Open Invoices'!$C410,Payments[Amount Paid]),'Open Invoices'!#REF!))</f>
        <v/>
      </c>
      <c r="E410" s="54"/>
      <c r="F410" s="54"/>
      <c r="H410" s="55"/>
      <c r="I410" s="56"/>
      <c r="J410" s="57"/>
      <c r="K410" s="58"/>
      <c r="L410" s="59"/>
      <c r="M410" s="59"/>
      <c r="N410" s="59"/>
    </row>
    <row r="411" spans="2:14" s="53" customFormat="1" ht="16.149999999999999" customHeight="1" x14ac:dyDescent="0.25">
      <c r="B411" s="55" t="str">
        <f>IF(C411="","",INDEX(Invoices[Due Date],MATCH(C411,Invoices[Invoice '#],0)))</f>
        <v/>
      </c>
      <c r="D411" s="54" t="str">
        <f>IF('Open Invoices'!$C411=0,"",_xlfn.IFNA('Open Invoices'!#REF!-SUMIF(Payments[Invoice '#],'Open Invoices'!$C411,Payments[Amount Paid]),'Open Invoices'!#REF!))</f>
        <v/>
      </c>
      <c r="E411" s="54"/>
      <c r="F411" s="54"/>
      <c r="H411" s="55"/>
      <c r="I411" s="56"/>
      <c r="J411" s="57"/>
      <c r="K411" s="58"/>
      <c r="L411" s="59"/>
      <c r="M411" s="59"/>
      <c r="N411" s="59"/>
    </row>
    <row r="412" spans="2:14" s="53" customFormat="1" ht="16.149999999999999" customHeight="1" x14ac:dyDescent="0.25">
      <c r="B412" s="55" t="str">
        <f>IF(C412="","",INDEX(Invoices[Due Date],MATCH(C412,Invoices[Invoice '#],0)))</f>
        <v/>
      </c>
      <c r="D412" s="54" t="str">
        <f>IF('Open Invoices'!$C412=0,"",_xlfn.IFNA('Open Invoices'!#REF!-SUMIF(Payments[Invoice '#],'Open Invoices'!$C412,Payments[Amount Paid]),'Open Invoices'!#REF!))</f>
        <v/>
      </c>
      <c r="E412" s="54"/>
      <c r="F412" s="54"/>
      <c r="H412" s="55"/>
      <c r="I412" s="56"/>
      <c r="J412" s="57"/>
      <c r="K412" s="58"/>
      <c r="L412" s="59"/>
      <c r="M412" s="59"/>
      <c r="N412" s="59"/>
    </row>
    <row r="413" spans="2:14" s="53" customFormat="1" ht="16.149999999999999" customHeight="1" x14ac:dyDescent="0.25">
      <c r="B413" s="55" t="str">
        <f>IF(C413="","",INDEX(Invoices[Due Date],MATCH(C413,Invoices[Invoice '#],0)))</f>
        <v/>
      </c>
      <c r="D413" s="54" t="str">
        <f>IF('Open Invoices'!$C413=0,"",_xlfn.IFNA('Open Invoices'!#REF!-SUMIF(Payments[Invoice '#],'Open Invoices'!$C413,Payments[Amount Paid]),'Open Invoices'!#REF!))</f>
        <v/>
      </c>
      <c r="E413" s="54"/>
      <c r="F413" s="54"/>
      <c r="H413" s="55"/>
      <c r="I413" s="56"/>
      <c r="J413" s="57"/>
      <c r="K413" s="58"/>
      <c r="L413" s="59"/>
      <c r="M413" s="59"/>
      <c r="N413" s="59"/>
    </row>
    <row r="414" spans="2:14" s="53" customFormat="1" ht="16.149999999999999" customHeight="1" x14ac:dyDescent="0.25">
      <c r="B414" s="55" t="str">
        <f>IF(C414="","",INDEX(Invoices[Due Date],MATCH(C414,Invoices[Invoice '#],0)))</f>
        <v/>
      </c>
      <c r="D414" s="54" t="str">
        <f>IF('Open Invoices'!$C414=0,"",_xlfn.IFNA('Open Invoices'!#REF!-SUMIF(Payments[Invoice '#],'Open Invoices'!$C414,Payments[Amount Paid]),'Open Invoices'!#REF!))</f>
        <v/>
      </c>
      <c r="E414" s="54"/>
      <c r="F414" s="54"/>
      <c r="H414" s="55"/>
      <c r="I414" s="56"/>
      <c r="J414" s="57"/>
      <c r="K414" s="58"/>
      <c r="L414" s="59"/>
      <c r="M414" s="59"/>
      <c r="N414" s="59"/>
    </row>
    <row r="415" spans="2:14" s="53" customFormat="1" ht="16.149999999999999" customHeight="1" x14ac:dyDescent="0.25">
      <c r="B415" s="55" t="str">
        <f>IF(C415="","",INDEX(Invoices[Due Date],MATCH(C415,Invoices[Invoice '#],0)))</f>
        <v/>
      </c>
      <c r="D415" s="54" t="str">
        <f>IF('Open Invoices'!$C415=0,"",_xlfn.IFNA('Open Invoices'!#REF!-SUMIF(Payments[Invoice '#],'Open Invoices'!$C415,Payments[Amount Paid]),'Open Invoices'!#REF!))</f>
        <v/>
      </c>
      <c r="E415" s="54"/>
      <c r="F415" s="54"/>
      <c r="H415" s="55"/>
      <c r="I415" s="56"/>
      <c r="J415" s="57"/>
      <c r="K415" s="58"/>
      <c r="L415" s="59"/>
      <c r="M415" s="59"/>
      <c r="N415" s="59"/>
    </row>
    <row r="416" spans="2:14" s="53" customFormat="1" ht="16.149999999999999" customHeight="1" x14ac:dyDescent="0.25">
      <c r="B416" s="55" t="str">
        <f>IF(C416="","",INDEX(Invoices[Due Date],MATCH(C416,Invoices[Invoice '#],0)))</f>
        <v/>
      </c>
      <c r="D416" s="54" t="str">
        <f>IF('Open Invoices'!$C416=0,"",_xlfn.IFNA('Open Invoices'!#REF!-SUMIF(Payments[Invoice '#],'Open Invoices'!$C416,Payments[Amount Paid]),'Open Invoices'!#REF!))</f>
        <v/>
      </c>
      <c r="E416" s="54"/>
      <c r="F416" s="54"/>
      <c r="H416" s="55"/>
      <c r="I416" s="56"/>
      <c r="J416" s="57"/>
      <c r="K416" s="58"/>
      <c r="L416" s="59"/>
      <c r="M416" s="59"/>
      <c r="N416" s="59"/>
    </row>
    <row r="417" spans="2:14" s="53" customFormat="1" ht="16.149999999999999" customHeight="1" x14ac:dyDescent="0.25">
      <c r="B417" s="55" t="str">
        <f>IF(C417="","",INDEX(Invoices[Due Date],MATCH(C417,Invoices[Invoice '#],0)))</f>
        <v/>
      </c>
      <c r="D417" s="54" t="str">
        <f>IF('Open Invoices'!$C417=0,"",_xlfn.IFNA('Open Invoices'!#REF!-SUMIF(Payments[Invoice '#],'Open Invoices'!$C417,Payments[Amount Paid]),'Open Invoices'!#REF!))</f>
        <v/>
      </c>
      <c r="E417" s="54"/>
      <c r="F417" s="54"/>
      <c r="H417" s="55"/>
      <c r="I417" s="56"/>
      <c r="J417" s="57"/>
      <c r="K417" s="58"/>
      <c r="L417" s="59"/>
      <c r="M417" s="59"/>
      <c r="N417" s="59"/>
    </row>
    <row r="418" spans="2:14" s="53" customFormat="1" ht="16.149999999999999" customHeight="1" x14ac:dyDescent="0.25">
      <c r="B418" s="55" t="str">
        <f>IF(C418="","",INDEX(Invoices[Due Date],MATCH(C418,Invoices[Invoice '#],0)))</f>
        <v/>
      </c>
      <c r="D418" s="54" t="str">
        <f>IF('Open Invoices'!$C418=0,"",_xlfn.IFNA('Open Invoices'!#REF!-SUMIF(Payments[Invoice '#],'Open Invoices'!$C418,Payments[Amount Paid]),'Open Invoices'!#REF!))</f>
        <v/>
      </c>
      <c r="E418" s="54"/>
      <c r="F418" s="54"/>
      <c r="H418" s="55"/>
      <c r="I418" s="56"/>
      <c r="J418" s="57"/>
      <c r="K418" s="58"/>
      <c r="L418" s="59"/>
      <c r="M418" s="59"/>
      <c r="N418" s="59"/>
    </row>
    <row r="419" spans="2:14" s="53" customFormat="1" ht="16.149999999999999" customHeight="1" x14ac:dyDescent="0.25">
      <c r="B419" s="55" t="str">
        <f>IF(C419="","",INDEX(Invoices[Due Date],MATCH(C419,Invoices[Invoice '#],0)))</f>
        <v/>
      </c>
      <c r="D419" s="54" t="str">
        <f>IF('Open Invoices'!$C419=0,"",_xlfn.IFNA('Open Invoices'!#REF!-SUMIF(Payments[Invoice '#],'Open Invoices'!$C419,Payments[Amount Paid]),'Open Invoices'!#REF!))</f>
        <v/>
      </c>
      <c r="E419" s="54"/>
      <c r="F419" s="54"/>
      <c r="H419" s="55"/>
      <c r="I419" s="56"/>
      <c r="J419" s="57"/>
      <c r="K419" s="58"/>
      <c r="L419" s="59"/>
      <c r="M419" s="59"/>
      <c r="N419" s="59"/>
    </row>
    <row r="420" spans="2:14" s="53" customFormat="1" ht="16.149999999999999" customHeight="1" x14ac:dyDescent="0.25">
      <c r="B420" s="55" t="str">
        <f>IF(C420="","",INDEX(Invoices[Due Date],MATCH(C420,Invoices[Invoice '#],0)))</f>
        <v/>
      </c>
      <c r="D420" s="54" t="str">
        <f>IF('Open Invoices'!$C420=0,"",_xlfn.IFNA('Open Invoices'!#REF!-SUMIF(Payments[Invoice '#],'Open Invoices'!$C420,Payments[Amount Paid]),'Open Invoices'!#REF!))</f>
        <v/>
      </c>
      <c r="E420" s="54"/>
      <c r="F420" s="54"/>
      <c r="H420" s="55"/>
      <c r="I420" s="56"/>
      <c r="J420" s="57"/>
      <c r="K420" s="58"/>
      <c r="L420" s="59"/>
      <c r="M420" s="59"/>
      <c r="N420" s="59"/>
    </row>
    <row r="421" spans="2:14" s="53" customFormat="1" ht="16.149999999999999" customHeight="1" x14ac:dyDescent="0.25">
      <c r="B421" s="55" t="str">
        <f>IF(C421="","",INDEX(Invoices[Due Date],MATCH(C421,Invoices[Invoice '#],0)))</f>
        <v/>
      </c>
      <c r="D421" s="54" t="str">
        <f>IF('Open Invoices'!$C421=0,"",_xlfn.IFNA('Open Invoices'!#REF!-SUMIF(Payments[Invoice '#],'Open Invoices'!$C421,Payments[Amount Paid]),'Open Invoices'!#REF!))</f>
        <v/>
      </c>
      <c r="E421" s="54"/>
      <c r="F421" s="54"/>
      <c r="H421" s="55"/>
      <c r="I421" s="56"/>
      <c r="J421" s="57"/>
      <c r="K421" s="58"/>
      <c r="L421" s="59"/>
      <c r="M421" s="59"/>
      <c r="N421" s="59"/>
    </row>
    <row r="422" spans="2:14" s="53" customFormat="1" ht="16.149999999999999" customHeight="1" x14ac:dyDescent="0.25">
      <c r="B422" s="55" t="str">
        <f>IF(C422="","",INDEX(Invoices[Due Date],MATCH(C422,Invoices[Invoice '#],0)))</f>
        <v/>
      </c>
      <c r="D422" s="54" t="str">
        <f>IF('Open Invoices'!$C422=0,"",_xlfn.IFNA('Open Invoices'!#REF!-SUMIF(Payments[Invoice '#],'Open Invoices'!$C422,Payments[Amount Paid]),'Open Invoices'!#REF!))</f>
        <v/>
      </c>
      <c r="E422" s="54"/>
      <c r="F422" s="54"/>
      <c r="H422" s="55"/>
      <c r="I422" s="56"/>
      <c r="J422" s="57"/>
      <c r="K422" s="58"/>
      <c r="L422" s="59"/>
      <c r="M422" s="59"/>
      <c r="N422" s="59"/>
    </row>
    <row r="423" spans="2:14" s="53" customFormat="1" ht="16.149999999999999" customHeight="1" x14ac:dyDescent="0.25">
      <c r="B423" s="55" t="str">
        <f>IF(C423="","",INDEX(Invoices[Due Date],MATCH(C423,Invoices[Invoice '#],0)))</f>
        <v/>
      </c>
      <c r="D423" s="54" t="str">
        <f>IF('Open Invoices'!$C423=0,"",_xlfn.IFNA('Open Invoices'!#REF!-SUMIF(Payments[Invoice '#],'Open Invoices'!$C423,Payments[Amount Paid]),'Open Invoices'!#REF!))</f>
        <v/>
      </c>
      <c r="E423" s="54"/>
      <c r="F423" s="54"/>
      <c r="H423" s="55"/>
      <c r="I423" s="56"/>
      <c r="J423" s="57"/>
      <c r="K423" s="58"/>
      <c r="L423" s="59"/>
      <c r="M423" s="59"/>
      <c r="N423" s="59"/>
    </row>
    <row r="424" spans="2:14" s="53" customFormat="1" ht="16.149999999999999" customHeight="1" x14ac:dyDescent="0.25">
      <c r="B424" s="55" t="str">
        <f>IF(C424="","",INDEX(Invoices[Due Date],MATCH(C424,Invoices[Invoice '#],0)))</f>
        <v/>
      </c>
      <c r="D424" s="54" t="str">
        <f>IF('Open Invoices'!$C424=0,"",_xlfn.IFNA('Open Invoices'!#REF!-SUMIF(Payments[Invoice '#],'Open Invoices'!$C424,Payments[Amount Paid]),'Open Invoices'!#REF!))</f>
        <v/>
      </c>
      <c r="E424" s="54"/>
      <c r="F424" s="54"/>
      <c r="H424" s="55"/>
      <c r="I424" s="56"/>
      <c r="J424" s="57"/>
      <c r="K424" s="58"/>
      <c r="L424" s="59"/>
      <c r="M424" s="59"/>
      <c r="N424" s="59"/>
    </row>
    <row r="425" spans="2:14" s="53" customFormat="1" ht="16.149999999999999" customHeight="1" x14ac:dyDescent="0.25">
      <c r="B425" s="55" t="str">
        <f>IF(C425="","",INDEX(Invoices[Due Date],MATCH(C425,Invoices[Invoice '#],0)))</f>
        <v/>
      </c>
      <c r="D425" s="54" t="str">
        <f>IF('Open Invoices'!$C425=0,"",_xlfn.IFNA('Open Invoices'!#REF!-SUMIF(Payments[Invoice '#],'Open Invoices'!$C425,Payments[Amount Paid]),'Open Invoices'!#REF!))</f>
        <v/>
      </c>
      <c r="E425" s="54"/>
      <c r="F425" s="54"/>
      <c r="H425" s="55"/>
      <c r="I425" s="56"/>
      <c r="J425" s="57"/>
      <c r="K425" s="58"/>
      <c r="L425" s="59"/>
      <c r="M425" s="59"/>
      <c r="N425" s="59"/>
    </row>
    <row r="426" spans="2:14" s="53" customFormat="1" ht="16.149999999999999" customHeight="1" x14ac:dyDescent="0.25">
      <c r="B426" s="55" t="str">
        <f>IF(C426="","",INDEX(Invoices[Due Date],MATCH(C426,Invoices[Invoice '#],0)))</f>
        <v/>
      </c>
      <c r="D426" s="54" t="str">
        <f>IF('Open Invoices'!$C426=0,"",_xlfn.IFNA('Open Invoices'!#REF!-SUMIF(Payments[Invoice '#],'Open Invoices'!$C426,Payments[Amount Paid]),'Open Invoices'!#REF!))</f>
        <v/>
      </c>
      <c r="E426" s="54"/>
      <c r="F426" s="54"/>
      <c r="H426" s="55"/>
      <c r="I426" s="56"/>
      <c r="J426" s="57"/>
      <c r="K426" s="58"/>
      <c r="L426" s="59"/>
      <c r="M426" s="59"/>
      <c r="N426" s="59"/>
    </row>
    <row r="427" spans="2:14" s="53" customFormat="1" ht="16.149999999999999" customHeight="1" x14ac:dyDescent="0.25">
      <c r="B427" s="55" t="str">
        <f>IF(C427="","",INDEX(Invoices[Due Date],MATCH(C427,Invoices[Invoice '#],0)))</f>
        <v/>
      </c>
      <c r="D427" s="54" t="str">
        <f>IF('Open Invoices'!$C427=0,"",_xlfn.IFNA('Open Invoices'!#REF!-SUMIF(Payments[Invoice '#],'Open Invoices'!$C427,Payments[Amount Paid]),'Open Invoices'!#REF!))</f>
        <v/>
      </c>
      <c r="E427" s="54"/>
      <c r="F427" s="54"/>
      <c r="H427" s="55"/>
      <c r="I427" s="56"/>
      <c r="J427" s="57"/>
      <c r="K427" s="58"/>
      <c r="L427" s="59"/>
      <c r="M427" s="59"/>
      <c r="N427" s="59"/>
    </row>
    <row r="428" spans="2:14" s="53" customFormat="1" ht="16.149999999999999" customHeight="1" x14ac:dyDescent="0.25">
      <c r="B428" s="55" t="str">
        <f>IF(C428="","",INDEX(Invoices[Due Date],MATCH(C428,Invoices[Invoice '#],0)))</f>
        <v/>
      </c>
      <c r="D428" s="54" t="str">
        <f>IF('Open Invoices'!$C428=0,"",_xlfn.IFNA('Open Invoices'!#REF!-SUMIF(Payments[Invoice '#],'Open Invoices'!$C428,Payments[Amount Paid]),'Open Invoices'!#REF!))</f>
        <v/>
      </c>
      <c r="E428" s="54"/>
      <c r="F428" s="54"/>
      <c r="H428" s="55"/>
      <c r="I428" s="56"/>
      <c r="J428" s="57"/>
      <c r="K428" s="58"/>
      <c r="L428" s="59"/>
      <c r="M428" s="59"/>
      <c r="N428" s="59"/>
    </row>
    <row r="429" spans="2:14" s="53" customFormat="1" ht="16.149999999999999" customHeight="1" x14ac:dyDescent="0.25">
      <c r="B429" s="55" t="str">
        <f>IF(C429="","",INDEX(Invoices[Due Date],MATCH(C429,Invoices[Invoice '#],0)))</f>
        <v/>
      </c>
      <c r="D429" s="54" t="str">
        <f>IF('Open Invoices'!$C429=0,"",_xlfn.IFNA('Open Invoices'!#REF!-SUMIF(Payments[Invoice '#],'Open Invoices'!$C429,Payments[Amount Paid]),'Open Invoices'!#REF!))</f>
        <v/>
      </c>
      <c r="E429" s="54"/>
      <c r="F429" s="54"/>
      <c r="H429" s="55"/>
      <c r="I429" s="56"/>
      <c r="J429" s="57"/>
      <c r="K429" s="58"/>
      <c r="L429" s="59"/>
      <c r="M429" s="59"/>
      <c r="N429" s="59"/>
    </row>
    <row r="430" spans="2:14" s="53" customFormat="1" ht="16.149999999999999" customHeight="1" x14ac:dyDescent="0.25">
      <c r="B430" s="55" t="str">
        <f>IF(C430="","",INDEX(Invoices[Due Date],MATCH(C430,Invoices[Invoice '#],0)))</f>
        <v/>
      </c>
      <c r="D430" s="54" t="str">
        <f>IF('Open Invoices'!$C430=0,"",_xlfn.IFNA('Open Invoices'!#REF!-SUMIF(Payments[Invoice '#],'Open Invoices'!$C430,Payments[Amount Paid]),'Open Invoices'!#REF!))</f>
        <v/>
      </c>
      <c r="E430" s="54"/>
      <c r="F430" s="54"/>
      <c r="H430" s="55"/>
      <c r="I430" s="56"/>
      <c r="J430" s="57"/>
      <c r="K430" s="58"/>
      <c r="L430" s="59"/>
      <c r="M430" s="59"/>
      <c r="N430" s="59"/>
    </row>
    <row r="431" spans="2:14" s="53" customFormat="1" ht="16.149999999999999" customHeight="1" x14ac:dyDescent="0.25">
      <c r="B431" s="55" t="str">
        <f>IF(C431="","",INDEX(Invoices[Due Date],MATCH(C431,Invoices[Invoice '#],0)))</f>
        <v/>
      </c>
      <c r="D431" s="54" t="str">
        <f>IF('Open Invoices'!$C431=0,"",_xlfn.IFNA('Open Invoices'!#REF!-SUMIF(Payments[Invoice '#],'Open Invoices'!$C431,Payments[Amount Paid]),'Open Invoices'!#REF!))</f>
        <v/>
      </c>
      <c r="E431" s="54"/>
      <c r="F431" s="54"/>
      <c r="H431" s="55"/>
      <c r="I431" s="56"/>
      <c r="J431" s="57"/>
      <c r="K431" s="58"/>
      <c r="L431" s="59"/>
      <c r="M431" s="59"/>
      <c r="N431" s="59"/>
    </row>
    <row r="432" spans="2:14" s="53" customFormat="1" ht="16.149999999999999" customHeight="1" x14ac:dyDescent="0.25">
      <c r="B432" s="55" t="str">
        <f>IF(C432="","",INDEX(Invoices[Due Date],MATCH(C432,Invoices[Invoice '#],0)))</f>
        <v/>
      </c>
      <c r="D432" s="54" t="str">
        <f>IF('Open Invoices'!$C432=0,"",_xlfn.IFNA('Open Invoices'!#REF!-SUMIF(Payments[Invoice '#],'Open Invoices'!$C432,Payments[Amount Paid]),'Open Invoices'!#REF!))</f>
        <v/>
      </c>
      <c r="E432" s="54"/>
      <c r="F432" s="54"/>
      <c r="H432" s="55"/>
      <c r="I432" s="56"/>
      <c r="J432" s="57"/>
      <c r="K432" s="58"/>
      <c r="L432" s="59"/>
      <c r="M432" s="59"/>
      <c r="N432" s="59"/>
    </row>
    <row r="433" spans="2:14" s="53" customFormat="1" ht="16.149999999999999" customHeight="1" x14ac:dyDescent="0.25">
      <c r="B433" s="55" t="str">
        <f>IF(C433="","",INDEX(Invoices[Due Date],MATCH(C433,Invoices[Invoice '#],0)))</f>
        <v/>
      </c>
      <c r="D433" s="54" t="str">
        <f>IF('Open Invoices'!$C433=0,"",_xlfn.IFNA('Open Invoices'!#REF!-SUMIF(Payments[Invoice '#],'Open Invoices'!$C433,Payments[Amount Paid]),'Open Invoices'!#REF!))</f>
        <v/>
      </c>
      <c r="E433" s="54"/>
      <c r="F433" s="54"/>
      <c r="H433" s="55"/>
      <c r="I433" s="56"/>
      <c r="J433" s="57"/>
      <c r="K433" s="58"/>
      <c r="L433" s="59"/>
      <c r="M433" s="59"/>
      <c r="N433" s="59"/>
    </row>
    <row r="434" spans="2:14" s="53" customFormat="1" ht="16.149999999999999" customHeight="1" x14ac:dyDescent="0.25">
      <c r="B434" s="55" t="str">
        <f>IF(C434="","",INDEX(Invoices[Due Date],MATCH(C434,Invoices[Invoice '#],0)))</f>
        <v/>
      </c>
      <c r="D434" s="54" t="str">
        <f>IF('Open Invoices'!$C434=0,"",_xlfn.IFNA('Open Invoices'!#REF!-SUMIF(Payments[Invoice '#],'Open Invoices'!$C434,Payments[Amount Paid]),'Open Invoices'!#REF!))</f>
        <v/>
      </c>
      <c r="E434" s="54"/>
      <c r="F434" s="54"/>
      <c r="H434" s="55"/>
      <c r="I434" s="56"/>
      <c r="J434" s="57"/>
      <c r="K434" s="58"/>
      <c r="L434" s="59"/>
      <c r="M434" s="59"/>
      <c r="N434" s="59"/>
    </row>
    <row r="435" spans="2:14" s="53" customFormat="1" ht="16.149999999999999" customHeight="1" x14ac:dyDescent="0.25">
      <c r="B435" s="55" t="str">
        <f>IF(C435="","",INDEX(Invoices[Due Date],MATCH(C435,Invoices[Invoice '#],0)))</f>
        <v/>
      </c>
      <c r="D435" s="54" t="str">
        <f>IF('Open Invoices'!$C435=0,"",_xlfn.IFNA('Open Invoices'!#REF!-SUMIF(Payments[Invoice '#],'Open Invoices'!$C435,Payments[Amount Paid]),'Open Invoices'!#REF!))</f>
        <v/>
      </c>
      <c r="E435" s="54"/>
      <c r="F435" s="54"/>
      <c r="H435" s="55"/>
      <c r="I435" s="56"/>
      <c r="J435" s="57"/>
      <c r="K435" s="58"/>
      <c r="L435" s="59"/>
      <c r="M435" s="59"/>
      <c r="N435" s="59"/>
    </row>
    <row r="436" spans="2:14" s="53" customFormat="1" ht="16.149999999999999" customHeight="1" x14ac:dyDescent="0.25">
      <c r="B436" s="55" t="str">
        <f>IF(C436="","",INDEX(Invoices[Due Date],MATCH(C436,Invoices[Invoice '#],0)))</f>
        <v/>
      </c>
      <c r="D436" s="54" t="str">
        <f>IF('Open Invoices'!$C436=0,"",_xlfn.IFNA('Open Invoices'!#REF!-SUMIF(Payments[Invoice '#],'Open Invoices'!$C436,Payments[Amount Paid]),'Open Invoices'!#REF!))</f>
        <v/>
      </c>
      <c r="E436" s="54"/>
      <c r="F436" s="54"/>
      <c r="H436" s="55"/>
      <c r="I436" s="56"/>
      <c r="J436" s="57"/>
      <c r="K436" s="58"/>
      <c r="L436" s="59"/>
      <c r="M436" s="59"/>
      <c r="N436" s="59"/>
    </row>
    <row r="437" spans="2:14" s="53" customFormat="1" ht="16.149999999999999" customHeight="1" x14ac:dyDescent="0.25">
      <c r="B437" s="55" t="str">
        <f>IF(C437="","",INDEX(Invoices[Due Date],MATCH(C437,Invoices[Invoice '#],0)))</f>
        <v/>
      </c>
      <c r="D437" s="54" t="str">
        <f>IF('Open Invoices'!$C437=0,"",_xlfn.IFNA('Open Invoices'!#REF!-SUMIF(Payments[Invoice '#],'Open Invoices'!$C437,Payments[Amount Paid]),'Open Invoices'!#REF!))</f>
        <v/>
      </c>
      <c r="E437" s="54"/>
      <c r="F437" s="54"/>
      <c r="H437" s="55"/>
      <c r="I437" s="56"/>
      <c r="J437" s="57"/>
      <c r="K437" s="58"/>
      <c r="L437" s="59"/>
      <c r="M437" s="59"/>
      <c r="N437" s="59"/>
    </row>
    <row r="438" spans="2:14" s="53" customFormat="1" ht="16.149999999999999" customHeight="1" x14ac:dyDescent="0.25">
      <c r="B438" s="55" t="str">
        <f>IF(C438="","",INDEX(Invoices[Due Date],MATCH(C438,Invoices[Invoice '#],0)))</f>
        <v/>
      </c>
      <c r="D438" s="54" t="str">
        <f>IF('Open Invoices'!$C438=0,"",_xlfn.IFNA('Open Invoices'!#REF!-SUMIF(Payments[Invoice '#],'Open Invoices'!$C438,Payments[Amount Paid]),'Open Invoices'!#REF!))</f>
        <v/>
      </c>
      <c r="E438" s="54"/>
      <c r="F438" s="54"/>
      <c r="H438" s="55"/>
      <c r="I438" s="56"/>
      <c r="J438" s="57"/>
      <c r="K438" s="58"/>
      <c r="L438" s="59"/>
      <c r="M438" s="59"/>
      <c r="N438" s="59"/>
    </row>
    <row r="439" spans="2:14" s="53" customFormat="1" ht="16.149999999999999" customHeight="1" x14ac:dyDescent="0.25">
      <c r="B439" s="55" t="str">
        <f>IF(C439="","",INDEX(Invoices[Due Date],MATCH(C439,Invoices[Invoice '#],0)))</f>
        <v/>
      </c>
      <c r="D439" s="54" t="str">
        <f>IF('Open Invoices'!$C439=0,"",_xlfn.IFNA('Open Invoices'!#REF!-SUMIF(Payments[Invoice '#],'Open Invoices'!$C439,Payments[Amount Paid]),'Open Invoices'!#REF!))</f>
        <v/>
      </c>
      <c r="E439" s="54"/>
      <c r="F439" s="54"/>
      <c r="H439" s="55"/>
      <c r="I439" s="56"/>
      <c r="J439" s="57"/>
      <c r="K439" s="58"/>
      <c r="L439" s="59"/>
      <c r="M439" s="59"/>
      <c r="N439" s="59"/>
    </row>
    <row r="440" spans="2:14" s="53" customFormat="1" ht="16.149999999999999" customHeight="1" x14ac:dyDescent="0.25">
      <c r="B440" s="55" t="str">
        <f>IF(C440="","",INDEX(Invoices[Due Date],MATCH(C440,Invoices[Invoice '#],0)))</f>
        <v/>
      </c>
      <c r="D440" s="54" t="str">
        <f>IF('Open Invoices'!$C440=0,"",_xlfn.IFNA('Open Invoices'!#REF!-SUMIF(Payments[Invoice '#],'Open Invoices'!$C440,Payments[Amount Paid]),'Open Invoices'!#REF!))</f>
        <v/>
      </c>
      <c r="E440" s="54"/>
      <c r="F440" s="54"/>
      <c r="H440" s="55"/>
      <c r="I440" s="56"/>
      <c r="J440" s="57"/>
      <c r="K440" s="58"/>
      <c r="L440" s="59"/>
      <c r="M440" s="59"/>
      <c r="N440" s="59"/>
    </row>
    <row r="441" spans="2:14" s="53" customFormat="1" ht="16.149999999999999" customHeight="1" x14ac:dyDescent="0.25">
      <c r="B441" s="55" t="str">
        <f>IF(C441="","",INDEX(Invoices[Due Date],MATCH(C441,Invoices[Invoice '#],0)))</f>
        <v/>
      </c>
      <c r="D441" s="54" t="str">
        <f>IF('Open Invoices'!$C441=0,"",_xlfn.IFNA('Open Invoices'!#REF!-SUMIF(Payments[Invoice '#],'Open Invoices'!$C441,Payments[Amount Paid]),'Open Invoices'!#REF!))</f>
        <v/>
      </c>
      <c r="E441" s="54"/>
      <c r="F441" s="54"/>
      <c r="H441" s="55"/>
      <c r="I441" s="56"/>
      <c r="J441" s="57"/>
      <c r="K441" s="58"/>
      <c r="L441" s="59"/>
      <c r="M441" s="59"/>
      <c r="N441" s="59"/>
    </row>
    <row r="442" spans="2:14" s="53" customFormat="1" ht="16.149999999999999" customHeight="1" x14ac:dyDescent="0.25">
      <c r="B442" s="55" t="str">
        <f>IF(C442="","",INDEX(Invoices[Due Date],MATCH(C442,Invoices[Invoice '#],0)))</f>
        <v/>
      </c>
      <c r="D442" s="54" t="str">
        <f>IF('Open Invoices'!$C442=0,"",_xlfn.IFNA('Open Invoices'!#REF!-SUMIF(Payments[Invoice '#],'Open Invoices'!$C442,Payments[Amount Paid]),'Open Invoices'!#REF!))</f>
        <v/>
      </c>
      <c r="E442" s="54"/>
      <c r="F442" s="54"/>
      <c r="H442" s="55"/>
      <c r="I442" s="56"/>
      <c r="J442" s="57"/>
      <c r="K442" s="58"/>
      <c r="L442" s="59"/>
      <c r="M442" s="59"/>
      <c r="N442" s="59"/>
    </row>
    <row r="443" spans="2:14" s="53" customFormat="1" ht="16.149999999999999" customHeight="1" x14ac:dyDescent="0.25">
      <c r="B443" s="55" t="str">
        <f>IF(C443="","",INDEX(Invoices[Due Date],MATCH(C443,Invoices[Invoice '#],0)))</f>
        <v/>
      </c>
      <c r="D443" s="54" t="str">
        <f>IF('Open Invoices'!$C443=0,"",_xlfn.IFNA('Open Invoices'!#REF!-SUMIF(Payments[Invoice '#],'Open Invoices'!$C443,Payments[Amount Paid]),'Open Invoices'!#REF!))</f>
        <v/>
      </c>
      <c r="E443" s="54"/>
      <c r="F443" s="54"/>
      <c r="H443" s="55"/>
      <c r="I443" s="56"/>
      <c r="J443" s="57"/>
      <c r="K443" s="58"/>
      <c r="L443" s="59"/>
      <c r="M443" s="59"/>
      <c r="N443" s="59"/>
    </row>
    <row r="444" spans="2:14" s="53" customFormat="1" ht="16.149999999999999" customHeight="1" x14ac:dyDescent="0.25">
      <c r="B444" s="55" t="str">
        <f>IF(C444="","",INDEX(Invoices[Due Date],MATCH(C444,Invoices[Invoice '#],0)))</f>
        <v/>
      </c>
      <c r="D444" s="54" t="str">
        <f>IF('Open Invoices'!$C444=0,"",_xlfn.IFNA('Open Invoices'!#REF!-SUMIF(Payments[Invoice '#],'Open Invoices'!$C444,Payments[Amount Paid]),'Open Invoices'!#REF!))</f>
        <v/>
      </c>
      <c r="E444" s="54"/>
      <c r="F444" s="54"/>
      <c r="H444" s="55"/>
      <c r="I444" s="56"/>
      <c r="J444" s="57"/>
      <c r="K444" s="58"/>
      <c r="L444" s="59"/>
      <c r="M444" s="59"/>
      <c r="N444" s="59"/>
    </row>
    <row r="445" spans="2:14" s="53" customFormat="1" ht="16.149999999999999" customHeight="1" x14ac:dyDescent="0.25">
      <c r="B445" s="55" t="str">
        <f>IF(C445="","",INDEX(Invoices[Due Date],MATCH(C445,Invoices[Invoice '#],0)))</f>
        <v/>
      </c>
      <c r="D445" s="54" t="str">
        <f>IF('Open Invoices'!$C445=0,"",_xlfn.IFNA('Open Invoices'!#REF!-SUMIF(Payments[Invoice '#],'Open Invoices'!$C445,Payments[Amount Paid]),'Open Invoices'!#REF!))</f>
        <v/>
      </c>
      <c r="E445" s="54"/>
      <c r="F445" s="54"/>
      <c r="H445" s="55"/>
      <c r="I445" s="56"/>
      <c r="J445" s="57"/>
      <c r="K445" s="58"/>
      <c r="L445" s="59"/>
      <c r="M445" s="59"/>
      <c r="N445" s="59"/>
    </row>
    <row r="446" spans="2:14" s="53" customFormat="1" ht="16.149999999999999" customHeight="1" x14ac:dyDescent="0.25">
      <c r="B446" s="55" t="str">
        <f>IF(C446="","",INDEX(Invoices[Due Date],MATCH(C446,Invoices[Invoice '#],0)))</f>
        <v/>
      </c>
      <c r="D446" s="54" t="str">
        <f>IF('Open Invoices'!$C446=0,"",_xlfn.IFNA('Open Invoices'!#REF!-SUMIF(Payments[Invoice '#],'Open Invoices'!$C446,Payments[Amount Paid]),'Open Invoices'!#REF!))</f>
        <v/>
      </c>
      <c r="E446" s="54"/>
      <c r="F446" s="54"/>
      <c r="H446" s="55"/>
      <c r="I446" s="56"/>
      <c r="J446" s="57"/>
      <c r="K446" s="58"/>
      <c r="L446" s="59"/>
      <c r="M446" s="59"/>
      <c r="N446" s="59"/>
    </row>
    <row r="447" spans="2:14" s="53" customFormat="1" ht="16.149999999999999" customHeight="1" x14ac:dyDescent="0.25">
      <c r="B447" s="55" t="str">
        <f>IF(C447="","",INDEX(Invoices[Due Date],MATCH(C447,Invoices[Invoice '#],0)))</f>
        <v/>
      </c>
      <c r="D447" s="54" t="str">
        <f>IF('Open Invoices'!$C447=0,"",_xlfn.IFNA('Open Invoices'!#REF!-SUMIF(Payments[Invoice '#],'Open Invoices'!$C447,Payments[Amount Paid]),'Open Invoices'!#REF!))</f>
        <v/>
      </c>
      <c r="E447" s="54"/>
      <c r="F447" s="54"/>
      <c r="H447" s="55"/>
      <c r="I447" s="56"/>
      <c r="J447" s="57"/>
      <c r="K447" s="58"/>
      <c r="L447" s="59"/>
      <c r="M447" s="59"/>
      <c r="N447" s="59"/>
    </row>
    <row r="448" spans="2:14" s="53" customFormat="1" ht="16.149999999999999" customHeight="1" x14ac:dyDescent="0.25">
      <c r="B448" s="55" t="str">
        <f>IF(C448="","",INDEX(Invoices[Due Date],MATCH(C448,Invoices[Invoice '#],0)))</f>
        <v/>
      </c>
      <c r="D448" s="54" t="str">
        <f>IF('Open Invoices'!$C448=0,"",_xlfn.IFNA('Open Invoices'!#REF!-SUMIF(Payments[Invoice '#],'Open Invoices'!$C448,Payments[Amount Paid]),'Open Invoices'!#REF!))</f>
        <v/>
      </c>
      <c r="E448" s="54"/>
      <c r="F448" s="54"/>
      <c r="H448" s="55"/>
      <c r="I448" s="56"/>
      <c r="J448" s="57"/>
      <c r="K448" s="58"/>
      <c r="L448" s="59"/>
      <c r="M448" s="59"/>
      <c r="N448" s="59"/>
    </row>
    <row r="449" spans="2:14" s="53" customFormat="1" ht="16.149999999999999" customHeight="1" x14ac:dyDescent="0.25">
      <c r="B449" s="55" t="str">
        <f>IF(C449="","",INDEX(Invoices[Due Date],MATCH(C449,Invoices[Invoice '#],0)))</f>
        <v/>
      </c>
      <c r="D449" s="54" t="str">
        <f>IF('Open Invoices'!$C449=0,"",_xlfn.IFNA('Open Invoices'!#REF!-SUMIF(Payments[Invoice '#],'Open Invoices'!$C449,Payments[Amount Paid]),'Open Invoices'!#REF!))</f>
        <v/>
      </c>
      <c r="E449" s="54"/>
      <c r="F449" s="54"/>
      <c r="H449" s="55"/>
      <c r="I449" s="56"/>
      <c r="J449" s="57"/>
      <c r="K449" s="58"/>
      <c r="L449" s="59"/>
      <c r="M449" s="59"/>
      <c r="N449" s="59"/>
    </row>
    <row r="450" spans="2:14" s="53" customFormat="1" ht="16.149999999999999" customHeight="1" x14ac:dyDescent="0.25">
      <c r="B450" s="55" t="str">
        <f>IF(C450="","",INDEX(Invoices[Due Date],MATCH(C450,Invoices[Invoice '#],0)))</f>
        <v/>
      </c>
      <c r="D450" s="54" t="str">
        <f>IF('Open Invoices'!$C450=0,"",_xlfn.IFNA('Open Invoices'!#REF!-SUMIF(Payments[Invoice '#],'Open Invoices'!$C450,Payments[Amount Paid]),'Open Invoices'!#REF!))</f>
        <v/>
      </c>
      <c r="E450" s="54"/>
      <c r="F450" s="54"/>
      <c r="H450" s="55"/>
      <c r="I450" s="56"/>
      <c r="J450" s="57"/>
      <c r="K450" s="58"/>
      <c r="L450" s="59"/>
      <c r="M450" s="59"/>
      <c r="N450" s="59"/>
    </row>
    <row r="451" spans="2:14" s="53" customFormat="1" ht="16.149999999999999" customHeight="1" x14ac:dyDescent="0.25">
      <c r="B451" s="55" t="str">
        <f>IF(C451="","",INDEX(Invoices[Due Date],MATCH(C451,Invoices[Invoice '#],0)))</f>
        <v/>
      </c>
      <c r="D451" s="54" t="str">
        <f>IF('Open Invoices'!$C451=0,"",_xlfn.IFNA('Open Invoices'!#REF!-SUMIF(Payments[Invoice '#],'Open Invoices'!$C451,Payments[Amount Paid]),'Open Invoices'!#REF!))</f>
        <v/>
      </c>
      <c r="E451" s="54"/>
      <c r="F451" s="54"/>
      <c r="H451" s="55"/>
      <c r="I451" s="56"/>
      <c r="J451" s="57"/>
      <c r="K451" s="58"/>
      <c r="L451" s="59"/>
      <c r="M451" s="59"/>
      <c r="N451" s="59"/>
    </row>
    <row r="452" spans="2:14" s="53" customFormat="1" ht="16.149999999999999" customHeight="1" x14ac:dyDescent="0.25">
      <c r="B452" s="55" t="str">
        <f>IF(C452="","",INDEX(Invoices[Due Date],MATCH(C452,Invoices[Invoice '#],0)))</f>
        <v/>
      </c>
      <c r="D452" s="54" t="str">
        <f>IF('Open Invoices'!$C452=0,"",_xlfn.IFNA('Open Invoices'!#REF!-SUMIF(Payments[Invoice '#],'Open Invoices'!$C452,Payments[Amount Paid]),'Open Invoices'!#REF!))</f>
        <v/>
      </c>
      <c r="E452" s="54"/>
      <c r="F452" s="54"/>
      <c r="H452" s="55"/>
      <c r="I452" s="56"/>
      <c r="J452" s="57"/>
      <c r="K452" s="58"/>
      <c r="L452" s="59"/>
      <c r="M452" s="59"/>
      <c r="N452" s="59"/>
    </row>
    <row r="453" spans="2:14" s="53" customFormat="1" ht="16.149999999999999" customHeight="1" x14ac:dyDescent="0.25">
      <c r="B453" s="55" t="str">
        <f>IF(C453="","",INDEX(Invoices[Due Date],MATCH(C453,Invoices[Invoice '#],0)))</f>
        <v/>
      </c>
      <c r="D453" s="54" t="str">
        <f>IF('Open Invoices'!$C453=0,"",_xlfn.IFNA('Open Invoices'!#REF!-SUMIF(Payments[Invoice '#],'Open Invoices'!$C453,Payments[Amount Paid]),'Open Invoices'!#REF!))</f>
        <v/>
      </c>
      <c r="E453" s="54"/>
      <c r="F453" s="54"/>
      <c r="H453" s="55"/>
      <c r="I453" s="56"/>
      <c r="J453" s="57"/>
      <c r="K453" s="58"/>
      <c r="L453" s="59"/>
      <c r="M453" s="59"/>
      <c r="N453" s="59"/>
    </row>
    <row r="454" spans="2:14" s="53" customFormat="1" ht="16.149999999999999" customHeight="1" x14ac:dyDescent="0.25">
      <c r="B454" s="55" t="str">
        <f>IF(C454="","",INDEX(Invoices[Due Date],MATCH(C454,Invoices[Invoice '#],0)))</f>
        <v/>
      </c>
      <c r="D454" s="54" t="str">
        <f>IF('Open Invoices'!$C454=0,"",_xlfn.IFNA('Open Invoices'!#REF!-SUMIF(Payments[Invoice '#],'Open Invoices'!$C454,Payments[Amount Paid]),'Open Invoices'!#REF!))</f>
        <v/>
      </c>
      <c r="E454" s="54"/>
      <c r="F454" s="54"/>
      <c r="H454" s="55"/>
      <c r="I454" s="56"/>
      <c r="J454" s="57"/>
      <c r="K454" s="58"/>
      <c r="L454" s="59"/>
      <c r="M454" s="59"/>
      <c r="N454" s="59"/>
    </row>
    <row r="455" spans="2:14" s="53" customFormat="1" ht="16.149999999999999" customHeight="1" x14ac:dyDescent="0.25">
      <c r="B455" s="55" t="str">
        <f>IF(C455="","",INDEX(Invoices[Due Date],MATCH(C455,Invoices[Invoice '#],0)))</f>
        <v/>
      </c>
      <c r="D455" s="54" t="str">
        <f>IF('Open Invoices'!$C455=0,"",_xlfn.IFNA('Open Invoices'!#REF!-SUMIF(Payments[Invoice '#],'Open Invoices'!$C455,Payments[Amount Paid]),'Open Invoices'!#REF!))</f>
        <v/>
      </c>
      <c r="E455" s="54"/>
      <c r="F455" s="54"/>
      <c r="H455" s="55"/>
      <c r="I455" s="56"/>
      <c r="J455" s="57"/>
      <c r="K455" s="58"/>
      <c r="L455" s="59"/>
      <c r="M455" s="59"/>
      <c r="N455" s="59"/>
    </row>
    <row r="456" spans="2:14" s="53" customFormat="1" ht="16.149999999999999" customHeight="1" x14ac:dyDescent="0.25">
      <c r="B456" s="55" t="str">
        <f>IF(C456="","",INDEX(Invoices[Due Date],MATCH(C456,Invoices[Invoice '#],0)))</f>
        <v/>
      </c>
      <c r="D456" s="54" t="str">
        <f>IF('Open Invoices'!$C456=0,"",_xlfn.IFNA('Open Invoices'!#REF!-SUMIF(Payments[Invoice '#],'Open Invoices'!$C456,Payments[Amount Paid]),'Open Invoices'!#REF!))</f>
        <v/>
      </c>
      <c r="E456" s="54"/>
      <c r="F456" s="54"/>
      <c r="H456" s="55"/>
      <c r="I456" s="56"/>
      <c r="J456" s="57"/>
      <c r="K456" s="58"/>
      <c r="L456" s="59"/>
      <c r="M456" s="59"/>
      <c r="N456" s="59"/>
    </row>
    <row r="457" spans="2:14" s="53" customFormat="1" ht="16.149999999999999" customHeight="1" x14ac:dyDescent="0.25">
      <c r="B457" s="55" t="str">
        <f>IF(C457="","",INDEX(Invoices[Due Date],MATCH(C457,Invoices[Invoice '#],0)))</f>
        <v/>
      </c>
      <c r="D457" s="54" t="str">
        <f>IF('Open Invoices'!$C457=0,"",_xlfn.IFNA('Open Invoices'!#REF!-SUMIF(Payments[Invoice '#],'Open Invoices'!$C457,Payments[Amount Paid]),'Open Invoices'!#REF!))</f>
        <v/>
      </c>
      <c r="E457" s="54"/>
      <c r="F457" s="54"/>
      <c r="H457" s="55"/>
      <c r="I457" s="56"/>
      <c r="J457" s="57"/>
      <c r="K457" s="58"/>
      <c r="L457" s="59"/>
      <c r="M457" s="59"/>
      <c r="N457" s="59"/>
    </row>
    <row r="458" spans="2:14" s="53" customFormat="1" ht="16.149999999999999" customHeight="1" x14ac:dyDescent="0.25">
      <c r="B458" s="55" t="str">
        <f>IF(C458="","",INDEX(Invoices[Due Date],MATCH(C458,Invoices[Invoice '#],0)))</f>
        <v/>
      </c>
      <c r="D458" s="54" t="str">
        <f>IF('Open Invoices'!$C458=0,"",_xlfn.IFNA('Open Invoices'!#REF!-SUMIF(Payments[Invoice '#],'Open Invoices'!$C458,Payments[Amount Paid]),'Open Invoices'!#REF!))</f>
        <v/>
      </c>
      <c r="E458" s="54"/>
      <c r="F458" s="54"/>
      <c r="H458" s="55"/>
      <c r="I458" s="56"/>
      <c r="J458" s="57"/>
      <c r="K458" s="58"/>
      <c r="L458" s="59"/>
      <c r="M458" s="59"/>
      <c r="N458" s="59"/>
    </row>
    <row r="459" spans="2:14" s="53" customFormat="1" ht="16.149999999999999" customHeight="1" x14ac:dyDescent="0.25">
      <c r="B459" s="55" t="str">
        <f>IF(C459="","",INDEX(Invoices[Due Date],MATCH(C459,Invoices[Invoice '#],0)))</f>
        <v/>
      </c>
      <c r="D459" s="54" t="str">
        <f>IF('Open Invoices'!$C459=0,"",_xlfn.IFNA('Open Invoices'!#REF!-SUMIF(Payments[Invoice '#],'Open Invoices'!$C459,Payments[Amount Paid]),'Open Invoices'!#REF!))</f>
        <v/>
      </c>
      <c r="E459" s="54"/>
      <c r="F459" s="54"/>
      <c r="H459" s="55"/>
      <c r="I459" s="56"/>
      <c r="J459" s="57"/>
      <c r="K459" s="58"/>
      <c r="L459" s="59"/>
      <c r="M459" s="59"/>
      <c r="N459" s="59"/>
    </row>
    <row r="460" spans="2:14" s="53" customFormat="1" ht="16.149999999999999" customHeight="1" x14ac:dyDescent="0.25">
      <c r="B460" s="55" t="str">
        <f>IF(C460="","",INDEX(Invoices[Due Date],MATCH(C460,Invoices[Invoice '#],0)))</f>
        <v/>
      </c>
      <c r="D460" s="54" t="str">
        <f>IF('Open Invoices'!$C460=0,"",_xlfn.IFNA('Open Invoices'!#REF!-SUMIF(Payments[Invoice '#],'Open Invoices'!$C460,Payments[Amount Paid]),'Open Invoices'!#REF!))</f>
        <v/>
      </c>
      <c r="E460" s="54"/>
      <c r="F460" s="54"/>
      <c r="H460" s="55"/>
      <c r="I460" s="56"/>
      <c r="J460" s="57"/>
      <c r="K460" s="58"/>
      <c r="L460" s="59"/>
      <c r="M460" s="59"/>
      <c r="N460" s="59"/>
    </row>
    <row r="461" spans="2:14" s="53" customFormat="1" ht="16.149999999999999" customHeight="1" x14ac:dyDescent="0.25">
      <c r="B461" s="55" t="str">
        <f>IF(C461="","",INDEX(Invoices[Due Date],MATCH(C461,Invoices[Invoice '#],0)))</f>
        <v/>
      </c>
      <c r="D461" s="54" t="str">
        <f>IF('Open Invoices'!$C461=0,"",_xlfn.IFNA('Open Invoices'!#REF!-SUMIF(Payments[Invoice '#],'Open Invoices'!$C461,Payments[Amount Paid]),'Open Invoices'!#REF!))</f>
        <v/>
      </c>
      <c r="E461" s="54"/>
      <c r="F461" s="54"/>
      <c r="H461" s="55"/>
      <c r="I461" s="56"/>
      <c r="J461" s="57"/>
      <c r="K461" s="58"/>
      <c r="L461" s="59"/>
      <c r="M461" s="59"/>
      <c r="N461" s="59"/>
    </row>
    <row r="462" spans="2:14" s="53" customFormat="1" ht="16.149999999999999" customHeight="1" x14ac:dyDescent="0.25">
      <c r="B462" s="55" t="str">
        <f>IF(C462="","",INDEX(Invoices[Due Date],MATCH(C462,Invoices[Invoice '#],0)))</f>
        <v/>
      </c>
      <c r="D462" s="54" t="str">
        <f>IF('Open Invoices'!$C462=0,"",_xlfn.IFNA('Open Invoices'!#REF!-SUMIF(Payments[Invoice '#],'Open Invoices'!$C462,Payments[Amount Paid]),'Open Invoices'!#REF!))</f>
        <v/>
      </c>
      <c r="E462" s="54"/>
      <c r="F462" s="54"/>
      <c r="H462" s="55"/>
      <c r="I462" s="56"/>
      <c r="J462" s="57"/>
      <c r="K462" s="58"/>
      <c r="L462" s="59"/>
      <c r="M462" s="59"/>
      <c r="N462" s="59"/>
    </row>
    <row r="463" spans="2:14" s="53" customFormat="1" ht="16.149999999999999" customHeight="1" x14ac:dyDescent="0.25">
      <c r="B463" s="55" t="str">
        <f>IF(C463="","",INDEX(Invoices[Due Date],MATCH(C463,Invoices[Invoice '#],0)))</f>
        <v/>
      </c>
      <c r="D463" s="54" t="str">
        <f>IF('Open Invoices'!$C463=0,"",_xlfn.IFNA('Open Invoices'!#REF!-SUMIF(Payments[Invoice '#],'Open Invoices'!$C463,Payments[Amount Paid]),'Open Invoices'!#REF!))</f>
        <v/>
      </c>
      <c r="E463" s="54"/>
      <c r="F463" s="54"/>
      <c r="H463" s="55"/>
      <c r="I463" s="56"/>
      <c r="J463" s="57"/>
      <c r="K463" s="58"/>
      <c r="L463" s="59"/>
      <c r="M463" s="59"/>
      <c r="N463" s="59"/>
    </row>
    <row r="464" spans="2:14" s="53" customFormat="1" ht="16.149999999999999" customHeight="1" x14ac:dyDescent="0.25">
      <c r="B464" s="55" t="str">
        <f>IF(C464="","",INDEX(Invoices[Due Date],MATCH(C464,Invoices[Invoice '#],0)))</f>
        <v/>
      </c>
      <c r="D464" s="54" t="str">
        <f>IF('Open Invoices'!$C464=0,"",_xlfn.IFNA('Open Invoices'!#REF!-SUMIF(Payments[Invoice '#],'Open Invoices'!$C464,Payments[Amount Paid]),'Open Invoices'!#REF!))</f>
        <v/>
      </c>
      <c r="E464" s="54"/>
      <c r="F464" s="54"/>
      <c r="H464" s="55"/>
      <c r="I464" s="56"/>
      <c r="J464" s="57"/>
      <c r="K464" s="58"/>
      <c r="L464" s="59"/>
      <c r="M464" s="59"/>
      <c r="N464" s="59"/>
    </row>
    <row r="465" spans="2:14" s="53" customFormat="1" ht="16.149999999999999" customHeight="1" x14ac:dyDescent="0.25">
      <c r="B465" s="55" t="str">
        <f>IF(C465="","",INDEX(Invoices[Due Date],MATCH(C465,Invoices[Invoice '#],0)))</f>
        <v/>
      </c>
      <c r="D465" s="54" t="str">
        <f>IF('Open Invoices'!$C465=0,"",_xlfn.IFNA('Open Invoices'!#REF!-SUMIF(Payments[Invoice '#],'Open Invoices'!$C465,Payments[Amount Paid]),'Open Invoices'!#REF!))</f>
        <v/>
      </c>
      <c r="E465" s="54"/>
      <c r="F465" s="54"/>
      <c r="H465" s="55"/>
      <c r="I465" s="56"/>
      <c r="J465" s="57"/>
      <c r="K465" s="58"/>
      <c r="L465" s="59"/>
      <c r="M465" s="59"/>
      <c r="N465" s="59"/>
    </row>
    <row r="466" spans="2:14" s="53" customFormat="1" ht="16.149999999999999" customHeight="1" x14ac:dyDescent="0.25">
      <c r="B466" s="55" t="str">
        <f>IF(C466="","",INDEX(Invoices[Due Date],MATCH(C466,Invoices[Invoice '#],0)))</f>
        <v/>
      </c>
      <c r="D466" s="54" t="str">
        <f>IF('Open Invoices'!$C466=0,"",_xlfn.IFNA('Open Invoices'!#REF!-SUMIF(Payments[Invoice '#],'Open Invoices'!$C466,Payments[Amount Paid]),'Open Invoices'!#REF!))</f>
        <v/>
      </c>
      <c r="E466" s="54"/>
      <c r="F466" s="54"/>
      <c r="H466" s="55"/>
      <c r="I466" s="56"/>
      <c r="J466" s="57"/>
      <c r="K466" s="58"/>
      <c r="L466" s="59"/>
      <c r="M466" s="59"/>
      <c r="N466" s="59"/>
    </row>
    <row r="467" spans="2:14" s="53" customFormat="1" ht="16.149999999999999" customHeight="1" x14ac:dyDescent="0.25">
      <c r="B467" s="55" t="str">
        <f>IF(C467="","",INDEX(Invoices[Due Date],MATCH(C467,Invoices[Invoice '#],0)))</f>
        <v/>
      </c>
      <c r="D467" s="54" t="str">
        <f>IF('Open Invoices'!$C467=0,"",_xlfn.IFNA('Open Invoices'!#REF!-SUMIF(Payments[Invoice '#],'Open Invoices'!$C467,Payments[Amount Paid]),'Open Invoices'!#REF!))</f>
        <v/>
      </c>
      <c r="E467" s="54"/>
      <c r="F467" s="54"/>
      <c r="H467" s="55"/>
      <c r="I467" s="56"/>
      <c r="J467" s="57"/>
      <c r="K467" s="58"/>
      <c r="L467" s="59"/>
      <c r="M467" s="59"/>
      <c r="N467" s="59"/>
    </row>
    <row r="468" spans="2:14" s="53" customFormat="1" ht="16.149999999999999" customHeight="1" x14ac:dyDescent="0.25">
      <c r="B468" s="55" t="str">
        <f>IF(C468="","",INDEX(Invoices[Due Date],MATCH(C468,Invoices[Invoice '#],0)))</f>
        <v/>
      </c>
      <c r="D468" s="54" t="str">
        <f>IF('Open Invoices'!$C468=0,"",_xlfn.IFNA('Open Invoices'!#REF!-SUMIF(Payments[Invoice '#],'Open Invoices'!$C468,Payments[Amount Paid]),'Open Invoices'!#REF!))</f>
        <v/>
      </c>
      <c r="E468" s="54"/>
      <c r="F468" s="54"/>
      <c r="H468" s="55"/>
      <c r="I468" s="56"/>
      <c r="J468" s="57"/>
      <c r="K468" s="58"/>
      <c r="L468" s="59"/>
      <c r="M468" s="59"/>
      <c r="N468" s="59"/>
    </row>
    <row r="469" spans="2:14" s="53" customFormat="1" ht="16.149999999999999" customHeight="1" x14ac:dyDescent="0.25">
      <c r="B469" s="55" t="str">
        <f>IF(C469="","",INDEX(Invoices[Due Date],MATCH(C469,Invoices[Invoice '#],0)))</f>
        <v/>
      </c>
      <c r="D469" s="54" t="str">
        <f>IF('Open Invoices'!$C469=0,"",_xlfn.IFNA('Open Invoices'!#REF!-SUMIF(Payments[Invoice '#],'Open Invoices'!$C469,Payments[Amount Paid]),'Open Invoices'!#REF!))</f>
        <v/>
      </c>
      <c r="E469" s="54"/>
      <c r="F469" s="54"/>
      <c r="H469" s="55"/>
      <c r="I469" s="56"/>
      <c r="J469" s="57"/>
      <c r="K469" s="58"/>
      <c r="L469" s="59"/>
      <c r="M469" s="59"/>
      <c r="N469" s="59"/>
    </row>
    <row r="470" spans="2:14" s="53" customFormat="1" ht="16.149999999999999" customHeight="1" x14ac:dyDescent="0.25">
      <c r="B470" s="55" t="str">
        <f>IF(C470="","",INDEX(Invoices[Due Date],MATCH(C470,Invoices[Invoice '#],0)))</f>
        <v/>
      </c>
      <c r="D470" s="54" t="str">
        <f>IF('Open Invoices'!$C470=0,"",_xlfn.IFNA('Open Invoices'!#REF!-SUMIF(Payments[Invoice '#],'Open Invoices'!$C470,Payments[Amount Paid]),'Open Invoices'!#REF!))</f>
        <v/>
      </c>
      <c r="E470" s="54"/>
      <c r="F470" s="54"/>
      <c r="H470" s="55"/>
      <c r="I470" s="56"/>
      <c r="J470" s="57"/>
      <c r="K470" s="58"/>
      <c r="L470" s="59"/>
      <c r="M470" s="59"/>
      <c r="N470" s="59"/>
    </row>
    <row r="471" spans="2:14" s="53" customFormat="1" ht="16.149999999999999" customHeight="1" x14ac:dyDescent="0.25">
      <c r="B471" s="55" t="str">
        <f>IF(C471="","",INDEX(Invoices[Due Date],MATCH(C471,Invoices[Invoice '#],0)))</f>
        <v/>
      </c>
      <c r="D471" s="54" t="str">
        <f>IF('Open Invoices'!$C471=0,"",_xlfn.IFNA('Open Invoices'!#REF!-SUMIF(Payments[Invoice '#],'Open Invoices'!$C471,Payments[Amount Paid]),'Open Invoices'!#REF!))</f>
        <v/>
      </c>
      <c r="E471" s="54"/>
      <c r="F471" s="54"/>
      <c r="H471" s="55"/>
      <c r="I471" s="56"/>
      <c r="J471" s="57"/>
      <c r="K471" s="58"/>
      <c r="L471" s="59"/>
      <c r="M471" s="59"/>
      <c r="N471" s="59"/>
    </row>
    <row r="472" spans="2:14" s="53" customFormat="1" ht="16.149999999999999" customHeight="1" x14ac:dyDescent="0.25">
      <c r="B472" s="55" t="str">
        <f>IF(C472="","",INDEX(Invoices[Due Date],MATCH(C472,Invoices[Invoice '#],0)))</f>
        <v/>
      </c>
      <c r="D472" s="54" t="str">
        <f>IF('Open Invoices'!$C472=0,"",_xlfn.IFNA('Open Invoices'!#REF!-SUMIF(Payments[Invoice '#],'Open Invoices'!$C472,Payments[Amount Paid]),'Open Invoices'!#REF!))</f>
        <v/>
      </c>
      <c r="E472" s="54"/>
      <c r="F472" s="54"/>
      <c r="H472" s="55"/>
      <c r="I472" s="56"/>
      <c r="J472" s="57"/>
      <c r="K472" s="58"/>
      <c r="L472" s="59"/>
      <c r="M472" s="59"/>
      <c r="N472" s="59"/>
    </row>
    <row r="473" spans="2:14" s="53" customFormat="1" ht="16.149999999999999" customHeight="1" x14ac:dyDescent="0.25">
      <c r="B473" s="55" t="str">
        <f>IF(C473="","",INDEX(Invoices[Due Date],MATCH(C473,Invoices[Invoice '#],0)))</f>
        <v/>
      </c>
      <c r="D473" s="54" t="str">
        <f>IF('Open Invoices'!$C473=0,"",_xlfn.IFNA('Open Invoices'!#REF!-SUMIF(Payments[Invoice '#],'Open Invoices'!$C473,Payments[Amount Paid]),'Open Invoices'!#REF!))</f>
        <v/>
      </c>
      <c r="E473" s="54"/>
      <c r="F473" s="54"/>
      <c r="H473" s="55"/>
      <c r="I473" s="56"/>
      <c r="J473" s="57"/>
      <c r="K473" s="58"/>
      <c r="L473" s="59"/>
      <c r="M473" s="59"/>
      <c r="N473" s="59"/>
    </row>
    <row r="474" spans="2:14" s="53" customFormat="1" ht="16.149999999999999" customHeight="1" x14ac:dyDescent="0.25">
      <c r="B474" s="55" t="str">
        <f>IF(C474="","",INDEX(Invoices[Due Date],MATCH(C474,Invoices[Invoice '#],0)))</f>
        <v/>
      </c>
      <c r="D474" s="54" t="str">
        <f>IF('Open Invoices'!$C474=0,"",_xlfn.IFNA('Open Invoices'!#REF!-SUMIF(Payments[Invoice '#],'Open Invoices'!$C474,Payments[Amount Paid]),'Open Invoices'!#REF!))</f>
        <v/>
      </c>
      <c r="E474" s="54"/>
      <c r="F474" s="54"/>
      <c r="H474" s="55"/>
      <c r="I474" s="56"/>
      <c r="J474" s="57"/>
      <c r="K474" s="58"/>
      <c r="L474" s="59"/>
      <c r="M474" s="59"/>
      <c r="N474" s="59"/>
    </row>
    <row r="475" spans="2:14" s="53" customFormat="1" ht="16.149999999999999" customHeight="1" x14ac:dyDescent="0.25">
      <c r="B475" s="55" t="str">
        <f>IF(C475="","",INDEX(Invoices[Due Date],MATCH(C475,Invoices[Invoice '#],0)))</f>
        <v/>
      </c>
      <c r="D475" s="54" t="str">
        <f>IF('Open Invoices'!$C475=0,"",_xlfn.IFNA('Open Invoices'!#REF!-SUMIF(Payments[Invoice '#],'Open Invoices'!$C475,Payments[Amount Paid]),'Open Invoices'!#REF!))</f>
        <v/>
      </c>
      <c r="E475" s="54"/>
      <c r="F475" s="54"/>
      <c r="H475" s="55"/>
      <c r="I475" s="56"/>
      <c r="J475" s="57"/>
      <c r="K475" s="58"/>
      <c r="L475" s="59"/>
      <c r="M475" s="59"/>
      <c r="N475" s="59"/>
    </row>
    <row r="476" spans="2:14" s="53" customFormat="1" ht="16.149999999999999" customHeight="1" x14ac:dyDescent="0.25">
      <c r="B476" s="55" t="str">
        <f>IF(C476="","",INDEX(Invoices[Due Date],MATCH(C476,Invoices[Invoice '#],0)))</f>
        <v/>
      </c>
      <c r="D476" s="54" t="str">
        <f>IF('Open Invoices'!$C476=0,"",_xlfn.IFNA('Open Invoices'!#REF!-SUMIF(Payments[Invoice '#],'Open Invoices'!$C476,Payments[Amount Paid]),'Open Invoices'!#REF!))</f>
        <v/>
      </c>
      <c r="E476" s="54"/>
      <c r="F476" s="54"/>
      <c r="H476" s="55"/>
      <c r="I476" s="56"/>
      <c r="J476" s="57"/>
      <c r="K476" s="58"/>
      <c r="L476" s="59"/>
      <c r="M476" s="59"/>
      <c r="N476" s="59"/>
    </row>
    <row r="477" spans="2:14" s="53" customFormat="1" ht="16.149999999999999" customHeight="1" x14ac:dyDescent="0.25">
      <c r="B477" s="55" t="str">
        <f>IF(C477="","",INDEX(Invoices[Due Date],MATCH(C477,Invoices[Invoice '#],0)))</f>
        <v/>
      </c>
      <c r="D477" s="54" t="str">
        <f>IF('Open Invoices'!$C477=0,"",_xlfn.IFNA('Open Invoices'!#REF!-SUMIF(Payments[Invoice '#],'Open Invoices'!$C477,Payments[Amount Paid]),'Open Invoices'!#REF!))</f>
        <v/>
      </c>
      <c r="E477" s="54"/>
      <c r="F477" s="54"/>
      <c r="H477" s="55"/>
      <c r="I477" s="56"/>
      <c r="J477" s="57"/>
      <c r="K477" s="58"/>
      <c r="L477" s="59"/>
      <c r="M477" s="59"/>
      <c r="N477" s="59"/>
    </row>
    <row r="478" spans="2:14" s="53" customFormat="1" ht="16.149999999999999" customHeight="1" x14ac:dyDescent="0.25">
      <c r="B478" s="55" t="str">
        <f>IF(C478="","",INDEX(Invoices[Due Date],MATCH(C478,Invoices[Invoice '#],0)))</f>
        <v/>
      </c>
      <c r="D478" s="54" t="str">
        <f>IF('Open Invoices'!$C478=0,"",_xlfn.IFNA('Open Invoices'!#REF!-SUMIF(Payments[Invoice '#],'Open Invoices'!$C478,Payments[Amount Paid]),'Open Invoices'!#REF!))</f>
        <v/>
      </c>
      <c r="E478" s="54"/>
      <c r="F478" s="54"/>
      <c r="H478" s="55"/>
      <c r="I478" s="56"/>
      <c r="J478" s="57"/>
      <c r="K478" s="58"/>
      <c r="L478" s="59"/>
      <c r="M478" s="59"/>
      <c r="N478" s="59"/>
    </row>
    <row r="479" spans="2:14" s="53" customFormat="1" ht="16.149999999999999" customHeight="1" x14ac:dyDescent="0.25">
      <c r="B479" s="55" t="str">
        <f>IF(C479="","",INDEX(Invoices[Due Date],MATCH(C479,Invoices[Invoice '#],0)))</f>
        <v/>
      </c>
      <c r="D479" s="54" t="str">
        <f>IF('Open Invoices'!$C479=0,"",_xlfn.IFNA('Open Invoices'!#REF!-SUMIF(Payments[Invoice '#],'Open Invoices'!$C479,Payments[Amount Paid]),'Open Invoices'!#REF!))</f>
        <v/>
      </c>
      <c r="E479" s="54"/>
      <c r="F479" s="54"/>
      <c r="H479" s="55"/>
      <c r="I479" s="56"/>
      <c r="J479" s="57"/>
      <c r="K479" s="58"/>
      <c r="L479" s="59"/>
      <c r="M479" s="59"/>
      <c r="N479" s="59"/>
    </row>
    <row r="480" spans="2:14" s="53" customFormat="1" ht="16.149999999999999" customHeight="1" x14ac:dyDescent="0.25">
      <c r="B480" s="55" t="str">
        <f>IF(C480="","",INDEX(Invoices[Due Date],MATCH(C480,Invoices[Invoice '#],0)))</f>
        <v/>
      </c>
      <c r="D480" s="54" t="str">
        <f>IF('Open Invoices'!$C480=0,"",_xlfn.IFNA('Open Invoices'!#REF!-SUMIF(Payments[Invoice '#],'Open Invoices'!$C480,Payments[Amount Paid]),'Open Invoices'!#REF!))</f>
        <v/>
      </c>
      <c r="E480" s="54"/>
      <c r="F480" s="54"/>
      <c r="H480" s="55"/>
      <c r="I480" s="56"/>
      <c r="J480" s="57"/>
      <c r="K480" s="58"/>
      <c r="L480" s="59"/>
      <c r="M480" s="59"/>
      <c r="N480" s="59"/>
    </row>
    <row r="481" spans="2:14" s="53" customFormat="1" ht="16.149999999999999" customHeight="1" x14ac:dyDescent="0.25">
      <c r="B481" s="55" t="str">
        <f>IF(C481="","",INDEX(Invoices[Due Date],MATCH(C481,Invoices[Invoice '#],0)))</f>
        <v/>
      </c>
      <c r="D481" s="54" t="str">
        <f>IF('Open Invoices'!$C481=0,"",_xlfn.IFNA('Open Invoices'!#REF!-SUMIF(Payments[Invoice '#],'Open Invoices'!$C481,Payments[Amount Paid]),'Open Invoices'!#REF!))</f>
        <v/>
      </c>
      <c r="E481" s="54"/>
      <c r="F481" s="54"/>
      <c r="H481" s="55"/>
      <c r="I481" s="56"/>
      <c r="J481" s="57"/>
      <c r="K481" s="58"/>
      <c r="L481" s="59"/>
      <c r="M481" s="59"/>
      <c r="N481" s="59"/>
    </row>
    <row r="482" spans="2:14" s="53" customFormat="1" ht="16.149999999999999" customHeight="1" x14ac:dyDescent="0.25">
      <c r="B482" s="55" t="str">
        <f>IF(C482="","",INDEX(Invoices[Due Date],MATCH(C482,Invoices[Invoice '#],0)))</f>
        <v/>
      </c>
      <c r="D482" s="54" t="str">
        <f>IF('Open Invoices'!$C482=0,"",_xlfn.IFNA('Open Invoices'!#REF!-SUMIF(Payments[Invoice '#],'Open Invoices'!$C482,Payments[Amount Paid]),'Open Invoices'!#REF!))</f>
        <v/>
      </c>
      <c r="E482" s="54"/>
      <c r="F482" s="54"/>
      <c r="H482" s="55"/>
      <c r="I482" s="56"/>
      <c r="J482" s="57"/>
      <c r="K482" s="58"/>
      <c r="L482" s="59"/>
      <c r="M482" s="59"/>
      <c r="N482" s="59"/>
    </row>
    <row r="483" spans="2:14" s="53" customFormat="1" ht="16.149999999999999" customHeight="1" x14ac:dyDescent="0.25">
      <c r="B483" s="55" t="str">
        <f>IF(C483="","",INDEX(Invoices[Due Date],MATCH(C483,Invoices[Invoice '#],0)))</f>
        <v/>
      </c>
      <c r="D483" s="54" t="str">
        <f>IF('Open Invoices'!$C483=0,"",_xlfn.IFNA('Open Invoices'!#REF!-SUMIF(Payments[Invoice '#],'Open Invoices'!$C483,Payments[Amount Paid]),'Open Invoices'!#REF!))</f>
        <v/>
      </c>
      <c r="E483" s="54"/>
      <c r="F483" s="54"/>
      <c r="H483" s="55"/>
      <c r="I483" s="56"/>
      <c r="J483" s="57"/>
      <c r="K483" s="58"/>
      <c r="L483" s="59"/>
      <c r="M483" s="59"/>
      <c r="N483" s="59"/>
    </row>
    <row r="484" spans="2:14" s="53" customFormat="1" ht="16.149999999999999" customHeight="1" x14ac:dyDescent="0.25">
      <c r="B484" s="55" t="str">
        <f>IF(C484="","",INDEX(Invoices[Due Date],MATCH(C484,Invoices[Invoice '#],0)))</f>
        <v/>
      </c>
      <c r="D484" s="54" t="str">
        <f>IF('Open Invoices'!$C484=0,"",_xlfn.IFNA('Open Invoices'!#REF!-SUMIF(Payments[Invoice '#],'Open Invoices'!$C484,Payments[Amount Paid]),'Open Invoices'!#REF!))</f>
        <v/>
      </c>
      <c r="E484" s="54"/>
      <c r="F484" s="54"/>
      <c r="H484" s="55"/>
      <c r="I484" s="56"/>
      <c r="J484" s="57"/>
      <c r="K484" s="58"/>
      <c r="L484" s="59"/>
      <c r="M484" s="59"/>
      <c r="N484" s="59"/>
    </row>
    <row r="485" spans="2:14" s="53" customFormat="1" ht="16.149999999999999" customHeight="1" x14ac:dyDescent="0.25">
      <c r="B485" s="55" t="str">
        <f>IF(C485="","",INDEX(Invoices[Due Date],MATCH(C485,Invoices[Invoice '#],0)))</f>
        <v/>
      </c>
      <c r="D485" s="54" t="str">
        <f>IF('Open Invoices'!$C485=0,"",_xlfn.IFNA('Open Invoices'!#REF!-SUMIF(Payments[Invoice '#],'Open Invoices'!$C485,Payments[Amount Paid]),'Open Invoices'!#REF!))</f>
        <v/>
      </c>
      <c r="E485" s="54"/>
      <c r="F485" s="54"/>
      <c r="H485" s="55"/>
      <c r="I485" s="56"/>
      <c r="J485" s="57"/>
      <c r="K485" s="58"/>
      <c r="L485" s="59"/>
      <c r="M485" s="59"/>
      <c r="N485" s="59"/>
    </row>
    <row r="486" spans="2:14" s="53" customFormat="1" ht="16.149999999999999" customHeight="1" x14ac:dyDescent="0.25">
      <c r="B486" s="55" t="str">
        <f>IF(C486="","",INDEX(Invoices[Due Date],MATCH(C486,Invoices[Invoice '#],0)))</f>
        <v/>
      </c>
      <c r="D486" s="54" t="str">
        <f>IF('Open Invoices'!$C486=0,"",_xlfn.IFNA('Open Invoices'!#REF!-SUMIF(Payments[Invoice '#],'Open Invoices'!$C486,Payments[Amount Paid]),'Open Invoices'!#REF!))</f>
        <v/>
      </c>
      <c r="E486" s="54"/>
      <c r="F486" s="54"/>
      <c r="H486" s="55"/>
      <c r="I486" s="56"/>
      <c r="J486" s="57"/>
      <c r="K486" s="58"/>
      <c r="L486" s="59"/>
      <c r="M486" s="59"/>
      <c r="N486" s="59"/>
    </row>
    <row r="487" spans="2:14" s="53" customFormat="1" ht="16.149999999999999" customHeight="1" x14ac:dyDescent="0.25">
      <c r="B487" s="55" t="str">
        <f>IF(C487="","",INDEX(Invoices[Due Date],MATCH(C487,Invoices[Invoice '#],0)))</f>
        <v/>
      </c>
      <c r="D487" s="54" t="str">
        <f>IF('Open Invoices'!$C487=0,"",_xlfn.IFNA('Open Invoices'!#REF!-SUMIF(Payments[Invoice '#],'Open Invoices'!$C487,Payments[Amount Paid]),'Open Invoices'!#REF!))</f>
        <v/>
      </c>
      <c r="E487" s="54"/>
      <c r="F487" s="54"/>
      <c r="H487" s="55"/>
      <c r="I487" s="56"/>
      <c r="J487" s="57"/>
      <c r="K487" s="58"/>
      <c r="L487" s="59"/>
      <c r="M487" s="59"/>
      <c r="N487" s="59"/>
    </row>
    <row r="488" spans="2:14" s="53" customFormat="1" ht="16.149999999999999" customHeight="1" x14ac:dyDescent="0.25">
      <c r="B488" s="55" t="str">
        <f>IF(C488="","",INDEX(Invoices[Due Date],MATCH(C488,Invoices[Invoice '#],0)))</f>
        <v/>
      </c>
      <c r="D488" s="54" t="str">
        <f>IF('Open Invoices'!$C488=0,"",_xlfn.IFNA('Open Invoices'!#REF!-SUMIF(Payments[Invoice '#],'Open Invoices'!$C488,Payments[Amount Paid]),'Open Invoices'!#REF!))</f>
        <v/>
      </c>
      <c r="E488" s="54"/>
      <c r="F488" s="54"/>
      <c r="H488" s="55"/>
      <c r="I488" s="56"/>
      <c r="J488" s="57"/>
      <c r="K488" s="58"/>
      <c r="L488" s="59"/>
      <c r="M488" s="59"/>
      <c r="N488" s="59"/>
    </row>
    <row r="489" spans="2:14" s="53" customFormat="1" ht="16.149999999999999" customHeight="1" x14ac:dyDescent="0.25">
      <c r="B489" s="55" t="str">
        <f>IF(C489="","",INDEX(Invoices[Due Date],MATCH(C489,Invoices[Invoice '#],0)))</f>
        <v/>
      </c>
      <c r="D489" s="54" t="str">
        <f>IF('Open Invoices'!$C489=0,"",_xlfn.IFNA('Open Invoices'!#REF!-SUMIF(Payments[Invoice '#],'Open Invoices'!$C489,Payments[Amount Paid]),'Open Invoices'!#REF!))</f>
        <v/>
      </c>
      <c r="E489" s="54"/>
      <c r="F489" s="54"/>
      <c r="H489" s="55"/>
      <c r="I489" s="56"/>
      <c r="J489" s="57"/>
      <c r="K489" s="58"/>
      <c r="L489" s="59"/>
      <c r="M489" s="59"/>
      <c r="N489" s="59"/>
    </row>
    <row r="490" spans="2:14" s="53" customFormat="1" ht="16.149999999999999" customHeight="1" x14ac:dyDescent="0.25">
      <c r="B490" s="55" t="str">
        <f>IF(C490="","",INDEX(Invoices[Due Date],MATCH(C490,Invoices[Invoice '#],0)))</f>
        <v/>
      </c>
      <c r="D490" s="54" t="str">
        <f>IF('Open Invoices'!$C490=0,"",_xlfn.IFNA('Open Invoices'!#REF!-SUMIF(Payments[Invoice '#],'Open Invoices'!$C490,Payments[Amount Paid]),'Open Invoices'!#REF!))</f>
        <v/>
      </c>
      <c r="E490" s="54"/>
      <c r="F490" s="54"/>
      <c r="H490" s="55"/>
      <c r="I490" s="56"/>
      <c r="J490" s="57"/>
      <c r="K490" s="58"/>
      <c r="L490" s="59"/>
      <c r="M490" s="59"/>
      <c r="N490" s="59"/>
    </row>
    <row r="491" spans="2:14" s="53" customFormat="1" ht="16.149999999999999" customHeight="1" x14ac:dyDescent="0.25">
      <c r="B491" s="55" t="str">
        <f>IF(C491="","",INDEX(Invoices[Due Date],MATCH(C491,Invoices[Invoice '#],0)))</f>
        <v/>
      </c>
      <c r="D491" s="54" t="str">
        <f>IF('Open Invoices'!$C491=0,"",_xlfn.IFNA('Open Invoices'!#REF!-SUMIF(Payments[Invoice '#],'Open Invoices'!$C491,Payments[Amount Paid]),'Open Invoices'!#REF!))</f>
        <v/>
      </c>
      <c r="E491" s="54"/>
      <c r="F491" s="54"/>
      <c r="H491" s="55"/>
      <c r="I491" s="56"/>
      <c r="J491" s="57"/>
      <c r="K491" s="58"/>
      <c r="L491" s="59"/>
      <c r="M491" s="59"/>
      <c r="N491" s="59"/>
    </row>
    <row r="492" spans="2:14" s="53" customFormat="1" ht="16.149999999999999" customHeight="1" x14ac:dyDescent="0.25">
      <c r="B492" s="55" t="str">
        <f>IF(C492="","",INDEX(Invoices[Due Date],MATCH(C492,Invoices[Invoice '#],0)))</f>
        <v/>
      </c>
      <c r="D492" s="54" t="str">
        <f>IF('Open Invoices'!$C492=0,"",_xlfn.IFNA('Open Invoices'!#REF!-SUMIF(Payments[Invoice '#],'Open Invoices'!$C492,Payments[Amount Paid]),'Open Invoices'!#REF!))</f>
        <v/>
      </c>
      <c r="E492" s="54"/>
      <c r="F492" s="54"/>
      <c r="H492" s="55"/>
      <c r="I492" s="56"/>
      <c r="J492" s="57"/>
      <c r="K492" s="58"/>
      <c r="L492" s="59"/>
      <c r="M492" s="59"/>
      <c r="N492" s="59"/>
    </row>
    <row r="493" spans="2:14" s="53" customFormat="1" ht="16.149999999999999" customHeight="1" x14ac:dyDescent="0.25">
      <c r="B493" s="55" t="str">
        <f>IF(C493="","",INDEX(Invoices[Due Date],MATCH(C493,Invoices[Invoice '#],0)))</f>
        <v/>
      </c>
      <c r="D493" s="54" t="str">
        <f>IF('Open Invoices'!$C493=0,"",_xlfn.IFNA('Open Invoices'!#REF!-SUMIF(Payments[Invoice '#],'Open Invoices'!$C493,Payments[Amount Paid]),'Open Invoices'!#REF!))</f>
        <v/>
      </c>
      <c r="E493" s="54"/>
      <c r="F493" s="54"/>
      <c r="H493" s="55"/>
      <c r="I493" s="56"/>
      <c r="J493" s="57"/>
      <c r="K493" s="58"/>
      <c r="L493" s="59"/>
      <c r="M493" s="59"/>
      <c r="N493" s="59"/>
    </row>
    <row r="494" spans="2:14" s="53" customFormat="1" ht="16.149999999999999" customHeight="1" x14ac:dyDescent="0.25">
      <c r="B494" s="55" t="str">
        <f>IF(C494="","",INDEX(Invoices[Due Date],MATCH(C494,Invoices[Invoice '#],0)))</f>
        <v/>
      </c>
      <c r="D494" s="54" t="str">
        <f>IF('Open Invoices'!$C494=0,"",_xlfn.IFNA('Open Invoices'!#REF!-SUMIF(Payments[Invoice '#],'Open Invoices'!$C494,Payments[Amount Paid]),'Open Invoices'!#REF!))</f>
        <v/>
      </c>
      <c r="E494" s="54"/>
      <c r="F494" s="54"/>
      <c r="H494" s="55"/>
      <c r="I494" s="56"/>
      <c r="J494" s="57"/>
      <c r="K494" s="58"/>
      <c r="L494" s="59"/>
      <c r="M494" s="59"/>
      <c r="N494" s="59"/>
    </row>
    <row r="495" spans="2:14" s="53" customFormat="1" ht="16.149999999999999" customHeight="1" x14ac:dyDescent="0.25">
      <c r="B495" s="55" t="str">
        <f>IF(C495="","",INDEX(Invoices[Due Date],MATCH(C495,Invoices[Invoice '#],0)))</f>
        <v/>
      </c>
      <c r="D495" s="54" t="str">
        <f>IF('Open Invoices'!$C495=0,"",_xlfn.IFNA('Open Invoices'!#REF!-SUMIF(Payments[Invoice '#],'Open Invoices'!$C495,Payments[Amount Paid]),'Open Invoices'!#REF!))</f>
        <v/>
      </c>
      <c r="E495" s="54"/>
      <c r="F495" s="54"/>
      <c r="H495" s="55"/>
      <c r="I495" s="56"/>
      <c r="J495" s="57"/>
      <c r="K495" s="58"/>
      <c r="L495" s="59"/>
      <c r="M495" s="59"/>
      <c r="N495" s="59"/>
    </row>
    <row r="496" spans="2:14" s="53" customFormat="1" ht="16.149999999999999" customHeight="1" x14ac:dyDescent="0.25">
      <c r="B496" s="55" t="str">
        <f>IF(C496="","",INDEX(Invoices[Due Date],MATCH(C496,Invoices[Invoice '#],0)))</f>
        <v/>
      </c>
      <c r="D496" s="54" t="str">
        <f>IF('Open Invoices'!$C496=0,"",_xlfn.IFNA('Open Invoices'!#REF!-SUMIF(Payments[Invoice '#],'Open Invoices'!$C496,Payments[Amount Paid]),'Open Invoices'!#REF!))</f>
        <v/>
      </c>
      <c r="E496" s="54"/>
      <c r="F496" s="54"/>
      <c r="H496" s="55"/>
      <c r="I496" s="56"/>
      <c r="J496" s="57"/>
      <c r="K496" s="58"/>
      <c r="L496" s="59"/>
      <c r="M496" s="59"/>
      <c r="N496" s="59"/>
    </row>
    <row r="497" spans="2:14" s="53" customFormat="1" ht="16.149999999999999" customHeight="1" x14ac:dyDescent="0.25">
      <c r="B497" s="55" t="str">
        <f>IF(C497="","",INDEX(Invoices[Due Date],MATCH(C497,Invoices[Invoice '#],0)))</f>
        <v/>
      </c>
      <c r="D497" s="54" t="str">
        <f>IF('Open Invoices'!$C497=0,"",_xlfn.IFNA('Open Invoices'!#REF!-SUMIF(Payments[Invoice '#],'Open Invoices'!$C497,Payments[Amount Paid]),'Open Invoices'!#REF!))</f>
        <v/>
      </c>
      <c r="E497" s="54"/>
      <c r="F497" s="54"/>
      <c r="H497" s="55"/>
      <c r="I497" s="56"/>
      <c r="J497" s="57"/>
      <c r="K497" s="58"/>
      <c r="L497" s="59"/>
      <c r="M497" s="59"/>
      <c r="N497" s="59"/>
    </row>
    <row r="498" spans="2:14" s="53" customFormat="1" ht="16.149999999999999" customHeight="1" x14ac:dyDescent="0.25">
      <c r="B498" s="55" t="str">
        <f>IF(C498="","",INDEX(Invoices[Due Date],MATCH(C498,Invoices[Invoice '#],0)))</f>
        <v/>
      </c>
      <c r="D498" s="54" t="str">
        <f>IF('Open Invoices'!$C498=0,"",_xlfn.IFNA('Open Invoices'!#REF!-SUMIF(Payments[Invoice '#],'Open Invoices'!$C498,Payments[Amount Paid]),'Open Invoices'!#REF!))</f>
        <v/>
      </c>
      <c r="E498" s="54"/>
      <c r="F498" s="54"/>
      <c r="H498" s="55"/>
      <c r="I498" s="56"/>
      <c r="J498" s="57"/>
      <c r="K498" s="58"/>
      <c r="L498" s="59"/>
      <c r="M498" s="59"/>
      <c r="N498" s="59"/>
    </row>
    <row r="499" spans="2:14" s="53" customFormat="1" ht="16.149999999999999" customHeight="1" x14ac:dyDescent="0.25">
      <c r="B499" s="55" t="str">
        <f>IF(C499="","",INDEX(Invoices[Due Date],MATCH(C499,Invoices[Invoice '#],0)))</f>
        <v/>
      </c>
      <c r="D499" s="54" t="str">
        <f>IF('Open Invoices'!$C499=0,"",_xlfn.IFNA('Open Invoices'!#REF!-SUMIF(Payments[Invoice '#],'Open Invoices'!$C499,Payments[Amount Paid]),'Open Invoices'!#REF!))</f>
        <v/>
      </c>
      <c r="E499" s="54"/>
      <c r="F499" s="54"/>
      <c r="H499" s="55"/>
      <c r="I499" s="56"/>
      <c r="J499" s="57"/>
      <c r="K499" s="58"/>
      <c r="L499" s="59"/>
      <c r="M499" s="59"/>
      <c r="N499" s="59"/>
    </row>
    <row r="500" spans="2:14" s="53" customFormat="1" ht="16.149999999999999" customHeight="1" x14ac:dyDescent="0.25">
      <c r="B500" s="55" t="str">
        <f>IF(C500="","",INDEX(Invoices[Due Date],MATCH(C500,Invoices[Invoice '#],0)))</f>
        <v/>
      </c>
      <c r="D500" s="54" t="str">
        <f>IF('Open Invoices'!$C500=0,"",_xlfn.IFNA('Open Invoices'!#REF!-SUMIF(Payments[Invoice '#],'Open Invoices'!$C500,Payments[Amount Paid]),'Open Invoices'!#REF!))</f>
        <v/>
      </c>
      <c r="E500" s="54"/>
      <c r="F500" s="54"/>
      <c r="H500" s="55"/>
      <c r="I500" s="56"/>
      <c r="J500" s="57"/>
      <c r="K500" s="58"/>
      <c r="L500" s="59"/>
      <c r="M500" s="59"/>
      <c r="N500" s="59"/>
    </row>
    <row r="501" spans="2:14" s="53" customFormat="1" ht="16.149999999999999" customHeight="1" x14ac:dyDescent="0.25">
      <c r="B501" s="55" t="str">
        <f>IF(C501="","",INDEX(Invoices[Due Date],MATCH(C501,Invoices[Invoice '#],0)))</f>
        <v/>
      </c>
      <c r="D501" s="54" t="str">
        <f>IF('Open Invoices'!$C501=0,"",_xlfn.IFNA('Open Invoices'!#REF!-SUMIF(Payments[Invoice '#],'Open Invoices'!$C501,Payments[Amount Paid]),'Open Invoices'!#REF!))</f>
        <v/>
      </c>
      <c r="E501" s="54"/>
      <c r="F501" s="54"/>
      <c r="H501" s="55"/>
      <c r="I501" s="56"/>
      <c r="J501" s="57"/>
      <c r="K501" s="58"/>
      <c r="L501" s="59"/>
      <c r="M501" s="59"/>
      <c r="N501" s="59"/>
    </row>
    <row r="502" spans="2:14" x14ac:dyDescent="0.25">
      <c r="B502" s="55" t="str">
        <f>IF(C502="","",INDEX(Invoices[Due Date],MATCH(C502,Invoices[Invoice '#],0)))</f>
        <v/>
      </c>
      <c r="C502" s="53"/>
      <c r="D502" s="54" t="str">
        <f>IF('Open Invoices'!$C502=0,"",_xlfn.IFNA('Open Invoices'!#REF!-SUMIF(Payments[Invoice '#],'Open Invoices'!$C502,Payments[Amount Paid]),'Open Invoices'!#REF!))</f>
        <v/>
      </c>
      <c r="E502" s="54"/>
      <c r="F502" s="54"/>
    </row>
    <row r="503" spans="2:14" x14ac:dyDescent="0.25">
      <c r="B503" s="55" t="str">
        <f>IF(C503="","",INDEX(Invoices[Due Date],MATCH(C503,Invoices[Invoice '#],0)))</f>
        <v/>
      </c>
      <c r="C503" s="53"/>
      <c r="D503" s="54" t="str">
        <f>IF('Open Invoices'!$C503=0,"",_xlfn.IFNA('Open Invoices'!#REF!-SUMIF(Payments[Invoice '#],'Open Invoices'!$C503,Payments[Amount Paid]),'Open Invoices'!#REF!))</f>
        <v/>
      </c>
      <c r="E503" s="54"/>
      <c r="F503" s="54"/>
    </row>
    <row r="504" spans="2:14" x14ac:dyDescent="0.25">
      <c r="B504" s="55" t="str">
        <f>IF(C504="","",INDEX(Invoices[Due Date],MATCH(C504,Invoices[Invoice '#],0)))</f>
        <v/>
      </c>
      <c r="C504" s="53"/>
      <c r="D504" s="54" t="str">
        <f>IF('Open Invoices'!$C504=0,"",_xlfn.IFNA('Open Invoices'!#REF!-SUMIF(Payments[Invoice '#],'Open Invoices'!$C504,Payments[Amount Paid]),'Open Invoices'!#REF!))</f>
        <v/>
      </c>
      <c r="E504" s="54"/>
      <c r="F504" s="54"/>
    </row>
    <row r="505" spans="2:14" x14ac:dyDescent="0.25">
      <c r="B505" s="55" t="str">
        <f>IF(C505="","",INDEX(Invoices[Due Date],MATCH(C505,Invoices[Invoice '#],0)))</f>
        <v/>
      </c>
      <c r="C505" s="53"/>
      <c r="D505" s="54" t="str">
        <f>IF('Open Invoices'!$C505=0,"",_xlfn.IFNA('Open Invoices'!#REF!-SUMIF(Payments[Invoice '#],'Open Invoices'!$C505,Payments[Amount Paid]),'Open Invoices'!#REF!))</f>
        <v/>
      </c>
      <c r="E505" s="54"/>
      <c r="F505" s="54"/>
    </row>
    <row r="506" spans="2:14" x14ac:dyDescent="0.25">
      <c r="B506" s="55" t="str">
        <f>IF(C506="","",INDEX(Invoices[Due Date],MATCH(C506,Invoices[Invoice '#],0)))</f>
        <v/>
      </c>
      <c r="C506" s="53"/>
      <c r="D506" s="54" t="str">
        <f>IF('Open Invoices'!$C506=0,"",_xlfn.IFNA('Open Invoices'!#REF!-SUMIF(Payments[Invoice '#],'Open Invoices'!$C506,Payments[Amount Paid]),'Open Invoices'!#REF!))</f>
        <v/>
      </c>
      <c r="E506" s="54"/>
      <c r="F506" s="54"/>
    </row>
    <row r="507" spans="2:14" x14ac:dyDescent="0.25">
      <c r="B507" s="55" t="str">
        <f>IF(C507="","",INDEX(Invoices[Due Date],MATCH(C507,Invoices[Invoice '#],0)))</f>
        <v/>
      </c>
      <c r="C507" s="53"/>
      <c r="D507" s="54" t="str">
        <f>IF('Open Invoices'!$C507=0,"",_xlfn.IFNA('Open Invoices'!#REF!-SUMIF(Payments[Invoice '#],'Open Invoices'!$C507,Payments[Amount Paid]),'Open Invoices'!#REF!))</f>
        <v/>
      </c>
      <c r="E507" s="54"/>
      <c r="F507" s="54"/>
    </row>
    <row r="508" spans="2:14" x14ac:dyDescent="0.25">
      <c r="B508" s="55" t="str">
        <f>IF(C508="","",INDEX(Invoices[Due Date],MATCH(C508,Invoices[Invoice '#],0)))</f>
        <v/>
      </c>
      <c r="C508" s="53"/>
      <c r="D508" s="54" t="str">
        <f>IF('Open Invoices'!$C508=0,"",_xlfn.IFNA('Open Invoices'!#REF!-SUMIF(Payments[Invoice '#],'Open Invoices'!$C508,Payments[Amount Paid]),'Open Invoices'!#REF!))</f>
        <v/>
      </c>
      <c r="E508" s="54"/>
      <c r="F508" s="54"/>
    </row>
    <row r="509" spans="2:14" x14ac:dyDescent="0.25">
      <c r="B509" s="55" t="str">
        <f>IF(C509="","",INDEX(Invoices[Due Date],MATCH(C509,Invoices[Invoice '#],0)))</f>
        <v/>
      </c>
      <c r="C509" s="53"/>
      <c r="D509" s="54" t="str">
        <f>IF('Open Invoices'!$C509=0,"",_xlfn.IFNA('Open Invoices'!#REF!-SUMIF(Payments[Invoice '#],'Open Invoices'!$C509,Payments[Amount Paid]),'Open Invoices'!#REF!))</f>
        <v/>
      </c>
      <c r="E509" s="54"/>
      <c r="F509" s="54"/>
    </row>
    <row r="510" spans="2:14" x14ac:dyDescent="0.25">
      <c r="B510" s="55" t="str">
        <f>IF(C510="","",INDEX(Invoices[Due Date],MATCH(C510,Invoices[Invoice '#],0)))</f>
        <v/>
      </c>
      <c r="C510" s="53"/>
      <c r="D510" s="54" t="str">
        <f>IF('Open Invoices'!$C510=0,"",_xlfn.IFNA('Open Invoices'!#REF!-SUMIF(Payments[Invoice '#],'Open Invoices'!$C510,Payments[Amount Paid]),'Open Invoices'!#REF!))</f>
        <v/>
      </c>
      <c r="E510" s="54"/>
      <c r="F510" s="54"/>
    </row>
    <row r="511" spans="2:14" x14ac:dyDescent="0.25">
      <c r="B511" s="55" t="str">
        <f>IF(C511="","",INDEX(Invoices[Due Date],MATCH(C511,Invoices[Invoice '#],0)))</f>
        <v/>
      </c>
      <c r="C511" s="53"/>
      <c r="D511" s="54" t="str">
        <f>IF('Open Invoices'!$C511=0,"",_xlfn.IFNA('Open Invoices'!#REF!-SUMIF(Payments[Invoice '#],'Open Invoices'!$C511,Payments[Amount Paid]),'Open Invoices'!#REF!))</f>
        <v/>
      </c>
      <c r="E511" s="54"/>
      <c r="F511" s="54"/>
    </row>
    <row r="512" spans="2:14" x14ac:dyDescent="0.25">
      <c r="B512" s="55" t="str">
        <f>IF(C512="","",INDEX(Invoices[Due Date],MATCH(C512,Invoices[Invoice '#],0)))</f>
        <v/>
      </c>
      <c r="C512" s="53"/>
      <c r="D512" s="54" t="str">
        <f>IF('Open Invoices'!$C512=0,"",_xlfn.IFNA('Open Invoices'!#REF!-SUMIF(Payments[Invoice '#],'Open Invoices'!$C512,Payments[Amount Paid]),'Open Invoices'!#REF!))</f>
        <v/>
      </c>
      <c r="E512" s="54"/>
      <c r="F512" s="54"/>
    </row>
    <row r="513" spans="2:6" x14ac:dyDescent="0.25">
      <c r="B513" s="55" t="str">
        <f>IF(C513="","",INDEX(Invoices[Due Date],MATCH(C513,Invoices[Invoice '#],0)))</f>
        <v/>
      </c>
      <c r="C513" s="53"/>
      <c r="D513" s="54" t="str">
        <f>IF('Open Invoices'!$C513=0,"",_xlfn.IFNA('Open Invoices'!#REF!-SUMIF(Payments[Invoice '#],'Open Invoices'!$C513,Payments[Amount Paid]),'Open Invoices'!#REF!))</f>
        <v/>
      </c>
      <c r="E513" s="54"/>
      <c r="F513" s="54"/>
    </row>
    <row r="514" spans="2:6" x14ac:dyDescent="0.25">
      <c r="B514" s="55" t="str">
        <f>IF(C514="","",INDEX(Invoices[Due Date],MATCH(C514,Invoices[Invoice '#],0)))</f>
        <v/>
      </c>
      <c r="C514" s="53"/>
      <c r="D514" s="54" t="str">
        <f>IF('Open Invoices'!$C514=0,"",_xlfn.IFNA('Open Invoices'!#REF!-SUMIF(Payments[Invoice '#],'Open Invoices'!$C514,Payments[Amount Paid]),'Open Invoices'!#REF!))</f>
        <v/>
      </c>
      <c r="E514" s="54"/>
      <c r="F514" s="54"/>
    </row>
    <row r="515" spans="2:6" x14ac:dyDescent="0.25">
      <c r="B515" s="55" t="str">
        <f>IF(C515="","",INDEX(Invoices[Due Date],MATCH(C515,Invoices[Invoice '#],0)))</f>
        <v/>
      </c>
      <c r="C515" s="53"/>
      <c r="D515" s="54" t="str">
        <f>IF('Open Invoices'!$C515=0,"",_xlfn.IFNA('Open Invoices'!#REF!-SUMIF(Payments[Invoice '#],'Open Invoices'!$C515,Payments[Amount Paid]),'Open Invoices'!#REF!))</f>
        <v/>
      </c>
      <c r="E515" s="54"/>
      <c r="F515" s="54"/>
    </row>
    <row r="516" spans="2:6" x14ac:dyDescent="0.25">
      <c r="B516" s="55" t="str">
        <f>IF(C516="","",INDEX(Invoices[Due Date],MATCH(C516,Invoices[Invoice '#],0)))</f>
        <v/>
      </c>
      <c r="C516" s="53"/>
      <c r="D516" s="54" t="str">
        <f>IF('Open Invoices'!$C516=0,"",_xlfn.IFNA('Open Invoices'!#REF!-SUMIF(Payments[Invoice '#],'Open Invoices'!$C516,Payments[Amount Paid]),'Open Invoices'!#REF!))</f>
        <v/>
      </c>
      <c r="E516" s="54"/>
      <c r="F516" s="54"/>
    </row>
    <row r="517" spans="2:6" x14ac:dyDescent="0.25">
      <c r="B517" s="55" t="str">
        <f>IF(C517="","",INDEX(Invoices[Due Date],MATCH(C517,Invoices[Invoice '#],0)))</f>
        <v/>
      </c>
      <c r="C517" s="53"/>
      <c r="D517" s="54" t="str">
        <f>IF('Open Invoices'!$C517=0,"",_xlfn.IFNA('Open Invoices'!#REF!-SUMIF(Payments[Invoice '#],'Open Invoices'!$C517,Payments[Amount Paid]),'Open Invoices'!#REF!))</f>
        <v/>
      </c>
      <c r="E517" s="54"/>
      <c r="F517" s="54"/>
    </row>
    <row r="518" spans="2:6" x14ac:dyDescent="0.25">
      <c r="B518" s="55" t="str">
        <f>IF(C518="","",INDEX(Invoices[Due Date],MATCH(C518,Invoices[Invoice '#],0)))</f>
        <v/>
      </c>
      <c r="C518" s="53"/>
      <c r="D518" s="54" t="str">
        <f>IF('Open Invoices'!$C518=0,"",_xlfn.IFNA('Open Invoices'!#REF!-SUMIF(Payments[Invoice '#],'Open Invoices'!$C518,Payments[Amount Paid]),'Open Invoices'!#REF!))</f>
        <v/>
      </c>
      <c r="E518" s="54"/>
      <c r="F518" s="54"/>
    </row>
    <row r="519" spans="2:6" x14ac:dyDescent="0.25">
      <c r="B519" s="55" t="str">
        <f>IF(C519="","",INDEX(Invoices[Due Date],MATCH(C519,Invoices[Invoice '#],0)))</f>
        <v/>
      </c>
      <c r="C519" s="53"/>
      <c r="D519" s="54" t="str">
        <f>IF('Open Invoices'!$C519=0,"",_xlfn.IFNA('Open Invoices'!#REF!-SUMIF(Payments[Invoice '#],'Open Invoices'!$C519,Payments[Amount Paid]),'Open Invoices'!#REF!))</f>
        <v/>
      </c>
      <c r="E519" s="54"/>
      <c r="F519" s="54"/>
    </row>
    <row r="520" spans="2:6" x14ac:dyDescent="0.25">
      <c r="B520" s="55" t="str">
        <f>IF(C520="","",INDEX(Invoices[Due Date],MATCH(C520,Invoices[Invoice '#],0)))</f>
        <v/>
      </c>
      <c r="C520" s="53"/>
      <c r="D520" s="54" t="str">
        <f>IF('Open Invoices'!$C520=0,"",_xlfn.IFNA('Open Invoices'!#REF!-SUMIF(Payments[Invoice '#],'Open Invoices'!$C520,Payments[Amount Paid]),'Open Invoices'!#REF!))</f>
        <v/>
      </c>
      <c r="E520" s="54"/>
      <c r="F520" s="54"/>
    </row>
    <row r="521" spans="2:6" x14ac:dyDescent="0.25">
      <c r="B521" s="55" t="str">
        <f>IF(C521="","",INDEX(Invoices[Due Date],MATCH(C521,Invoices[Invoice '#],0)))</f>
        <v/>
      </c>
      <c r="C521" s="53"/>
      <c r="D521" s="54" t="str">
        <f>IF('Open Invoices'!$C521=0,"",_xlfn.IFNA('Open Invoices'!#REF!-SUMIF(Payments[Invoice '#],'Open Invoices'!$C521,Payments[Amount Paid]),'Open Invoices'!#REF!))</f>
        <v/>
      </c>
      <c r="E521" s="54"/>
      <c r="F521" s="54"/>
    </row>
    <row r="522" spans="2:6" x14ac:dyDescent="0.25">
      <c r="B522" s="55" t="str">
        <f>IF(C522="","",INDEX(Invoices[Due Date],MATCH(C522,Invoices[Invoice '#],0)))</f>
        <v/>
      </c>
      <c r="C522" s="53"/>
      <c r="D522" s="54" t="str">
        <f>IF('Open Invoices'!$C522=0,"",_xlfn.IFNA('Open Invoices'!#REF!-SUMIF(Payments[Invoice '#],'Open Invoices'!$C522,Payments[Amount Paid]),'Open Invoices'!#REF!))</f>
        <v/>
      </c>
      <c r="E522" s="54"/>
      <c r="F522" s="54"/>
    </row>
    <row r="523" spans="2:6" x14ac:dyDescent="0.25">
      <c r="B523" s="55" t="str">
        <f>IF(C523="","",INDEX(Invoices[Due Date],MATCH(C523,Invoices[Invoice '#],0)))</f>
        <v/>
      </c>
      <c r="C523" s="53"/>
      <c r="D523" s="54" t="str">
        <f>IF('Open Invoices'!$C523=0,"",_xlfn.IFNA('Open Invoices'!#REF!-SUMIF(Payments[Invoice '#],'Open Invoices'!$C523,Payments[Amount Paid]),'Open Invoices'!#REF!))</f>
        <v/>
      </c>
      <c r="E523" s="54"/>
      <c r="F523" s="54"/>
    </row>
    <row r="524" spans="2:6" x14ac:dyDescent="0.25">
      <c r="B524" s="55" t="str">
        <f>IF(C524="","",INDEX(Invoices[Due Date],MATCH(C524,Invoices[Invoice '#],0)))</f>
        <v/>
      </c>
      <c r="C524" s="53"/>
      <c r="D524" s="54" t="str">
        <f>IF('Open Invoices'!$C524=0,"",_xlfn.IFNA('Open Invoices'!#REF!-SUMIF(Payments[Invoice '#],'Open Invoices'!$C524,Payments[Amount Paid]),'Open Invoices'!#REF!))</f>
        <v/>
      </c>
      <c r="E524" s="54"/>
      <c r="F524" s="54"/>
    </row>
    <row r="525" spans="2:6" x14ac:dyDescent="0.25">
      <c r="B525" s="55" t="str">
        <f>IF(C525="","",INDEX(Invoices[Due Date],MATCH(C525,Invoices[Invoice '#],0)))</f>
        <v/>
      </c>
      <c r="C525" s="53"/>
      <c r="D525" s="54" t="str">
        <f>IF('Open Invoices'!$C525=0,"",_xlfn.IFNA('Open Invoices'!#REF!-SUMIF(Payments[Invoice '#],'Open Invoices'!$C525,Payments[Amount Paid]),'Open Invoices'!#REF!))</f>
        <v/>
      </c>
      <c r="E525" s="54"/>
      <c r="F525" s="54"/>
    </row>
    <row r="526" spans="2:6" x14ac:dyDescent="0.25">
      <c r="B526" s="55" t="str">
        <f>IF(C526="","",INDEX(Invoices[Due Date],MATCH(C526,Invoices[Invoice '#],0)))</f>
        <v/>
      </c>
      <c r="C526" s="53"/>
      <c r="D526" s="54" t="str">
        <f>IF('Open Invoices'!$C526=0,"",_xlfn.IFNA('Open Invoices'!#REF!-SUMIF(Payments[Invoice '#],'Open Invoices'!$C526,Payments[Amount Paid]),'Open Invoices'!#REF!))</f>
        <v/>
      </c>
      <c r="E526" s="54"/>
      <c r="F526" s="54"/>
    </row>
    <row r="527" spans="2:6" x14ac:dyDescent="0.25">
      <c r="B527" s="55" t="str">
        <f>IF(C527="","",INDEX(Invoices[Due Date],MATCH(C527,Invoices[Invoice '#],0)))</f>
        <v/>
      </c>
      <c r="C527" s="53"/>
      <c r="D527" s="54" t="str">
        <f>IF('Open Invoices'!$C527=0,"",_xlfn.IFNA('Open Invoices'!#REF!-SUMIF(Payments[Invoice '#],'Open Invoices'!$C527,Payments[Amount Paid]),'Open Invoices'!#REF!))</f>
        <v/>
      </c>
      <c r="E527" s="54"/>
      <c r="F527" s="54"/>
    </row>
    <row r="528" spans="2:6" x14ac:dyDescent="0.25">
      <c r="B528" s="55" t="str">
        <f>IF(C528="","",INDEX(Invoices[Due Date],MATCH(C528,Invoices[Invoice '#],0)))</f>
        <v/>
      </c>
      <c r="C528" s="53"/>
      <c r="D528" s="54" t="str">
        <f>IF('Open Invoices'!$C528=0,"",_xlfn.IFNA('Open Invoices'!#REF!-SUMIF(Payments[Invoice '#],'Open Invoices'!$C528,Payments[Amount Paid]),'Open Invoices'!#REF!))</f>
        <v/>
      </c>
      <c r="E528" s="54"/>
      <c r="F528" s="54"/>
    </row>
    <row r="529" spans="2:6" x14ac:dyDescent="0.25">
      <c r="B529" s="55" t="str">
        <f>IF(C529="","",INDEX(Invoices[Due Date],MATCH(C529,Invoices[Invoice '#],0)))</f>
        <v/>
      </c>
      <c r="C529" s="53"/>
      <c r="D529" s="54" t="str">
        <f>IF('Open Invoices'!$C529=0,"",_xlfn.IFNA('Open Invoices'!#REF!-SUMIF(Payments[Invoice '#],'Open Invoices'!$C529,Payments[Amount Paid]),'Open Invoices'!#REF!))</f>
        <v/>
      </c>
      <c r="E529" s="54"/>
      <c r="F529" s="54"/>
    </row>
    <row r="530" spans="2:6" x14ac:dyDescent="0.25">
      <c r="B530" s="55" t="str">
        <f>IF(C530="","",INDEX(Invoices[Due Date],MATCH(C530,Invoices[Invoice '#],0)))</f>
        <v/>
      </c>
      <c r="C530" s="53"/>
      <c r="D530" s="54" t="str">
        <f>IF('Open Invoices'!$C530=0,"",_xlfn.IFNA('Open Invoices'!#REF!-SUMIF(Payments[Invoice '#],'Open Invoices'!$C530,Payments[Amount Paid]),'Open Invoices'!#REF!))</f>
        <v/>
      </c>
      <c r="E530" s="54"/>
      <c r="F530" s="54"/>
    </row>
    <row r="531" spans="2:6" x14ac:dyDescent="0.25">
      <c r="B531" s="55" t="str">
        <f>IF(C531="","",INDEX(Invoices[Due Date],MATCH(C531,Invoices[Invoice '#],0)))</f>
        <v/>
      </c>
      <c r="C531" s="53"/>
      <c r="D531" s="54" t="str">
        <f>IF('Open Invoices'!$C531=0,"",_xlfn.IFNA('Open Invoices'!#REF!-SUMIF(Payments[Invoice '#],'Open Invoices'!$C531,Payments[Amount Paid]),'Open Invoices'!#REF!))</f>
        <v/>
      </c>
      <c r="E531" s="54"/>
      <c r="F531" s="54"/>
    </row>
    <row r="532" spans="2:6" x14ac:dyDescent="0.25">
      <c r="B532" s="55" t="str">
        <f>IF(C532="","",INDEX(Invoices[Due Date],MATCH(C532,Invoices[Invoice '#],0)))</f>
        <v/>
      </c>
      <c r="C532" s="53"/>
      <c r="D532" s="54" t="str">
        <f>IF('Open Invoices'!$C532=0,"",_xlfn.IFNA('Open Invoices'!#REF!-SUMIF(Payments[Invoice '#],'Open Invoices'!$C532,Payments[Amount Paid]),'Open Invoices'!#REF!))</f>
        <v/>
      </c>
      <c r="E532" s="54"/>
      <c r="F532" s="54"/>
    </row>
    <row r="533" spans="2:6" x14ac:dyDescent="0.25">
      <c r="B533" s="55" t="str">
        <f>IF(C533="","",INDEX(Invoices[Due Date],MATCH(C533,Invoices[Invoice '#],0)))</f>
        <v/>
      </c>
      <c r="C533" s="53"/>
      <c r="D533" s="54" t="str">
        <f>IF('Open Invoices'!$C533=0,"",_xlfn.IFNA('Open Invoices'!#REF!-SUMIF(Payments[Invoice '#],'Open Invoices'!$C533,Payments[Amount Paid]),'Open Invoices'!#REF!))</f>
        <v/>
      </c>
      <c r="E533" s="54"/>
      <c r="F533" s="54"/>
    </row>
    <row r="534" spans="2:6" x14ac:dyDescent="0.25">
      <c r="B534" s="55" t="str">
        <f>IF(C534="","",INDEX(Invoices[Due Date],MATCH(C534,Invoices[Invoice '#],0)))</f>
        <v/>
      </c>
      <c r="C534" s="53"/>
      <c r="D534" s="54" t="str">
        <f>IF('Open Invoices'!$C534=0,"",_xlfn.IFNA('Open Invoices'!#REF!-SUMIF(Payments[Invoice '#],'Open Invoices'!$C534,Payments[Amount Paid]),'Open Invoices'!#REF!))</f>
        <v/>
      </c>
      <c r="E534" s="54"/>
      <c r="F534" s="54"/>
    </row>
    <row r="535" spans="2:6" x14ac:dyDescent="0.25">
      <c r="B535" s="55" t="str">
        <f>IF(C535="","",INDEX(Invoices[Due Date],MATCH(C535,Invoices[Invoice '#],0)))</f>
        <v/>
      </c>
      <c r="C535" s="53"/>
      <c r="D535" s="54" t="str">
        <f>IF('Open Invoices'!$C535=0,"",_xlfn.IFNA('Open Invoices'!#REF!-SUMIF(Payments[Invoice '#],'Open Invoices'!$C535,Payments[Amount Paid]),'Open Invoices'!#REF!))</f>
        <v/>
      </c>
      <c r="E535" s="54"/>
      <c r="F535" s="54"/>
    </row>
    <row r="536" spans="2:6" x14ac:dyDescent="0.25">
      <c r="B536" s="55" t="str">
        <f>IF(C536="","",INDEX(Invoices[Due Date],MATCH(C536,Invoices[Invoice '#],0)))</f>
        <v/>
      </c>
      <c r="C536" s="53"/>
      <c r="D536" s="54" t="str">
        <f>IF('Open Invoices'!$C536=0,"",_xlfn.IFNA('Open Invoices'!#REF!-SUMIF(Payments[Invoice '#],'Open Invoices'!$C536,Payments[Amount Paid]),'Open Invoices'!#REF!))</f>
        <v/>
      </c>
      <c r="E536" s="54"/>
      <c r="F536" s="54"/>
    </row>
    <row r="537" spans="2:6" x14ac:dyDescent="0.25">
      <c r="B537" s="55" t="str">
        <f>IF(C537="","",INDEX(Invoices[Due Date],MATCH(C537,Invoices[Invoice '#],0)))</f>
        <v/>
      </c>
      <c r="C537" s="53"/>
      <c r="D537" s="54" t="str">
        <f>IF('Open Invoices'!$C537=0,"",_xlfn.IFNA('Open Invoices'!#REF!-SUMIF(Payments[Invoice '#],'Open Invoices'!$C537,Payments[Amount Paid]),'Open Invoices'!#REF!))</f>
        <v/>
      </c>
      <c r="E537" s="54"/>
      <c r="F537" s="54"/>
    </row>
    <row r="538" spans="2:6" x14ac:dyDescent="0.25">
      <c r="B538" s="55" t="str">
        <f>IF(C538="","",INDEX(Invoices[Due Date],MATCH(C538,Invoices[Invoice '#],0)))</f>
        <v/>
      </c>
      <c r="C538" s="53"/>
      <c r="D538" s="54" t="str">
        <f>IF('Open Invoices'!$C538=0,"",_xlfn.IFNA('Open Invoices'!#REF!-SUMIF(Payments[Invoice '#],'Open Invoices'!$C538,Payments[Amount Paid]),'Open Invoices'!#REF!))</f>
        <v/>
      </c>
      <c r="E538" s="54"/>
      <c r="F538" s="54"/>
    </row>
    <row r="539" spans="2:6" x14ac:dyDescent="0.25">
      <c r="B539" s="55" t="str">
        <f>IF(C539="","",INDEX(Invoices[Due Date],MATCH(C539,Invoices[Invoice '#],0)))</f>
        <v/>
      </c>
      <c r="C539" s="53"/>
      <c r="D539" s="54" t="str">
        <f>IF('Open Invoices'!$C539=0,"",_xlfn.IFNA('Open Invoices'!#REF!-SUMIF(Payments[Invoice '#],'Open Invoices'!$C539,Payments[Amount Paid]),'Open Invoices'!#REF!))</f>
        <v/>
      </c>
      <c r="E539" s="54"/>
      <c r="F539" s="54"/>
    </row>
    <row r="540" spans="2:6" x14ac:dyDescent="0.25">
      <c r="B540" s="55" t="str">
        <f>IF(C540="","",INDEX(Invoices[Due Date],MATCH(C540,Invoices[Invoice '#],0)))</f>
        <v/>
      </c>
      <c r="C540" s="53"/>
      <c r="D540" s="54" t="str">
        <f>IF('Open Invoices'!$C540=0,"",_xlfn.IFNA('Open Invoices'!#REF!-SUMIF(Payments[Invoice '#],'Open Invoices'!$C540,Payments[Amount Paid]),'Open Invoices'!#REF!))</f>
        <v/>
      </c>
      <c r="E540" s="54"/>
      <c r="F540" s="54"/>
    </row>
    <row r="541" spans="2:6" x14ac:dyDescent="0.25">
      <c r="B541" s="55" t="str">
        <f>IF(C541="","",INDEX(Invoices[Due Date],MATCH(C541,Invoices[Invoice '#],0)))</f>
        <v/>
      </c>
      <c r="C541" s="53"/>
      <c r="D541" s="54" t="str">
        <f>IF('Open Invoices'!$C541=0,"",_xlfn.IFNA('Open Invoices'!#REF!-SUMIF(Payments[Invoice '#],'Open Invoices'!$C541,Payments[Amount Paid]),'Open Invoices'!#REF!))</f>
        <v/>
      </c>
      <c r="E541" s="54"/>
      <c r="F541" s="54"/>
    </row>
    <row r="542" spans="2:6" x14ac:dyDescent="0.25">
      <c r="B542" s="55" t="str">
        <f>IF(C542="","",INDEX(Invoices[Due Date],MATCH(C542,Invoices[Invoice '#],0)))</f>
        <v/>
      </c>
      <c r="C542" s="53"/>
      <c r="D542" s="54" t="str">
        <f>IF('Open Invoices'!$C542=0,"",_xlfn.IFNA('Open Invoices'!#REF!-SUMIF(Payments[Invoice '#],'Open Invoices'!$C542,Payments[Amount Paid]),'Open Invoices'!#REF!))</f>
        <v/>
      </c>
      <c r="E542" s="54"/>
      <c r="F542" s="54"/>
    </row>
    <row r="543" spans="2:6" x14ac:dyDescent="0.25">
      <c r="B543" s="55" t="str">
        <f>IF(C543="","",INDEX(Invoices[Due Date],MATCH(C543,Invoices[Invoice '#],0)))</f>
        <v/>
      </c>
      <c r="C543" s="53"/>
      <c r="D543" s="54" t="str">
        <f>IF('Open Invoices'!$C543=0,"",_xlfn.IFNA('Open Invoices'!#REF!-SUMIF(Payments[Invoice '#],'Open Invoices'!$C543,Payments[Amount Paid]),'Open Invoices'!#REF!))</f>
        <v/>
      </c>
      <c r="E543" s="54"/>
      <c r="F543" s="54"/>
    </row>
    <row r="544" spans="2:6" x14ac:dyDescent="0.25">
      <c r="B544" s="55" t="str">
        <f>IF(C544="","",INDEX(Invoices[Due Date],MATCH(C544,Invoices[Invoice '#],0)))</f>
        <v/>
      </c>
      <c r="C544" s="53"/>
      <c r="D544" s="54" t="str">
        <f>IF('Open Invoices'!$C544=0,"",_xlfn.IFNA('Open Invoices'!#REF!-SUMIF(Payments[Invoice '#],'Open Invoices'!$C544,Payments[Amount Paid]),'Open Invoices'!#REF!))</f>
        <v/>
      </c>
      <c r="E544" s="54"/>
      <c r="F544" s="54"/>
    </row>
    <row r="545" spans="2:6" x14ac:dyDescent="0.25">
      <c r="B545" s="55" t="str">
        <f>IF(C545="","",INDEX(Invoices[Due Date],MATCH(C545,Invoices[Invoice '#],0)))</f>
        <v/>
      </c>
      <c r="C545" s="53"/>
      <c r="D545" s="54" t="str">
        <f>IF('Open Invoices'!$C545=0,"",_xlfn.IFNA('Open Invoices'!#REF!-SUMIF(Payments[Invoice '#],'Open Invoices'!$C545,Payments[Amount Paid]),'Open Invoices'!#REF!))</f>
        <v/>
      </c>
      <c r="E545" s="54"/>
      <c r="F545" s="54"/>
    </row>
    <row r="546" spans="2:6" x14ac:dyDescent="0.25">
      <c r="B546" s="55" t="str">
        <f>IF(C546="","",INDEX(Invoices[Due Date],MATCH(C546,Invoices[Invoice '#],0)))</f>
        <v/>
      </c>
      <c r="C546" s="53"/>
      <c r="D546" s="54" t="str">
        <f>IF('Open Invoices'!$C546=0,"",_xlfn.IFNA('Open Invoices'!#REF!-SUMIF(Payments[Invoice '#],'Open Invoices'!$C546,Payments[Amount Paid]),'Open Invoices'!#REF!))</f>
        <v/>
      </c>
      <c r="E546" s="54"/>
      <c r="F546" s="54"/>
    </row>
    <row r="547" spans="2:6" x14ac:dyDescent="0.25">
      <c r="B547" s="55" t="str">
        <f>IF(C547="","",INDEX(Invoices[Due Date],MATCH(C547,Invoices[Invoice '#],0)))</f>
        <v/>
      </c>
      <c r="C547" s="53"/>
      <c r="D547" s="54" t="str">
        <f>IF('Open Invoices'!$C547=0,"",_xlfn.IFNA('Open Invoices'!#REF!-SUMIF(Payments[Invoice '#],'Open Invoices'!$C547,Payments[Amount Paid]),'Open Invoices'!#REF!))</f>
        <v/>
      </c>
      <c r="E547" s="54"/>
      <c r="F547" s="54"/>
    </row>
    <row r="548" spans="2:6" x14ac:dyDescent="0.25">
      <c r="B548" s="55" t="str">
        <f>IF(C548="","",INDEX(Invoices[Due Date],MATCH(C548,Invoices[Invoice '#],0)))</f>
        <v/>
      </c>
      <c r="C548" s="53"/>
      <c r="D548" s="54" t="str">
        <f>IF('Open Invoices'!$C548=0,"",_xlfn.IFNA('Open Invoices'!#REF!-SUMIF(Payments[Invoice '#],'Open Invoices'!$C548,Payments[Amount Paid]),'Open Invoices'!#REF!))</f>
        <v/>
      </c>
      <c r="E548" s="54"/>
      <c r="F548" s="54"/>
    </row>
    <row r="549" spans="2:6" x14ac:dyDescent="0.25">
      <c r="B549" s="55" t="str">
        <f>IF(C549="","",INDEX(Invoices[Due Date],MATCH(C549,Invoices[Invoice '#],0)))</f>
        <v/>
      </c>
      <c r="C549" s="53"/>
      <c r="D549" s="54" t="str">
        <f>IF('Open Invoices'!$C549=0,"",_xlfn.IFNA('Open Invoices'!#REF!-SUMIF(Payments[Invoice '#],'Open Invoices'!$C549,Payments[Amount Paid]),'Open Invoices'!#REF!))</f>
        <v/>
      </c>
      <c r="E549" s="54"/>
      <c r="F549" s="54"/>
    </row>
    <row r="550" spans="2:6" x14ac:dyDescent="0.25">
      <c r="B550" s="55" t="str">
        <f>IF(C550="","",INDEX(Invoices[Due Date],MATCH(C550,Invoices[Invoice '#],0)))</f>
        <v/>
      </c>
      <c r="C550" s="53"/>
      <c r="D550" s="54" t="str">
        <f>IF('Open Invoices'!$C550=0,"",_xlfn.IFNA('Open Invoices'!#REF!-SUMIF(Payments[Invoice '#],'Open Invoices'!$C550,Payments[Amount Paid]),'Open Invoices'!#REF!))</f>
        <v/>
      </c>
      <c r="E550" s="54"/>
      <c r="F550" s="54"/>
    </row>
    <row r="551" spans="2:6" x14ac:dyDescent="0.25">
      <c r="B551" s="55" t="str">
        <f>IF(C551="","",INDEX(Invoices[Due Date],MATCH(C551,Invoices[Invoice '#],0)))</f>
        <v/>
      </c>
      <c r="C551" s="53"/>
      <c r="D551" s="54" t="str">
        <f>IF('Open Invoices'!$C551=0,"",_xlfn.IFNA('Open Invoices'!#REF!-SUMIF(Payments[Invoice '#],'Open Invoices'!$C551,Payments[Amount Paid]),'Open Invoices'!#REF!))</f>
        <v/>
      </c>
      <c r="E551" s="54"/>
      <c r="F551" s="54"/>
    </row>
    <row r="552" spans="2:6" x14ac:dyDescent="0.25">
      <c r="B552" s="55" t="str">
        <f>IF(C552="","",INDEX(Invoices[Due Date],MATCH(C552,Invoices[Invoice '#],0)))</f>
        <v/>
      </c>
      <c r="C552" s="53"/>
      <c r="D552" s="54" t="str">
        <f>IF('Open Invoices'!$C552=0,"",_xlfn.IFNA('Open Invoices'!#REF!-SUMIF(Payments[Invoice '#],'Open Invoices'!$C552,Payments[Amount Paid]),'Open Invoices'!#REF!))</f>
        <v/>
      </c>
      <c r="E552" s="54"/>
      <c r="F552" s="54"/>
    </row>
    <row r="553" spans="2:6" x14ac:dyDescent="0.25">
      <c r="B553" s="55" t="str">
        <f>IF(C553="","",INDEX(Invoices[Due Date],MATCH(C553,Invoices[Invoice '#],0)))</f>
        <v/>
      </c>
      <c r="C553" s="53"/>
      <c r="D553" s="54" t="str">
        <f>IF('Open Invoices'!$C553=0,"",_xlfn.IFNA('Open Invoices'!#REF!-SUMIF(Payments[Invoice '#],'Open Invoices'!$C553,Payments[Amount Paid]),'Open Invoices'!#REF!))</f>
        <v/>
      </c>
      <c r="E553" s="54"/>
      <c r="F553" s="54"/>
    </row>
    <row r="554" spans="2:6" x14ac:dyDescent="0.25">
      <c r="B554" s="55" t="str">
        <f>IF(C554="","",INDEX(Invoices[Due Date],MATCH(C554,Invoices[Invoice '#],0)))</f>
        <v/>
      </c>
      <c r="C554" s="53"/>
      <c r="D554" s="54" t="str">
        <f>IF('Open Invoices'!$C554=0,"",_xlfn.IFNA('Open Invoices'!#REF!-SUMIF(Payments[Invoice '#],'Open Invoices'!$C554,Payments[Amount Paid]),'Open Invoices'!#REF!))</f>
        <v/>
      </c>
      <c r="E554" s="54"/>
      <c r="F554" s="54"/>
    </row>
    <row r="555" spans="2:6" x14ac:dyDescent="0.25">
      <c r="B555" s="55" t="str">
        <f>IF(C555="","",INDEX(Invoices[Due Date],MATCH(C555,Invoices[Invoice '#],0)))</f>
        <v/>
      </c>
      <c r="C555" s="53"/>
      <c r="D555" s="54" t="str">
        <f>IF('Open Invoices'!$C555=0,"",_xlfn.IFNA('Open Invoices'!#REF!-SUMIF(Payments[Invoice '#],'Open Invoices'!$C555,Payments[Amount Paid]),'Open Invoices'!#REF!))</f>
        <v/>
      </c>
      <c r="E555" s="54"/>
      <c r="F555" s="54"/>
    </row>
    <row r="556" spans="2:6" x14ac:dyDescent="0.25">
      <c r="B556" s="55" t="str">
        <f>IF(C556="","",INDEX(Invoices[Due Date],MATCH(C556,Invoices[Invoice '#],0)))</f>
        <v/>
      </c>
      <c r="C556" s="53"/>
      <c r="D556" s="54" t="str">
        <f>IF('Open Invoices'!$C556=0,"",_xlfn.IFNA('Open Invoices'!#REF!-SUMIF(Payments[Invoice '#],'Open Invoices'!$C556,Payments[Amount Paid]),'Open Invoices'!#REF!))</f>
        <v/>
      </c>
      <c r="E556" s="54"/>
      <c r="F556" s="54"/>
    </row>
    <row r="557" spans="2:6" x14ac:dyDescent="0.25">
      <c r="B557" s="55" t="str">
        <f>IF(C557="","",INDEX(Invoices[Due Date],MATCH(C557,Invoices[Invoice '#],0)))</f>
        <v/>
      </c>
      <c r="C557" s="53"/>
      <c r="D557" s="54" t="str">
        <f>IF('Open Invoices'!$C557=0,"",_xlfn.IFNA('Open Invoices'!#REF!-SUMIF(Payments[Invoice '#],'Open Invoices'!$C557,Payments[Amount Paid]),'Open Invoices'!#REF!))</f>
        <v/>
      </c>
      <c r="E557" s="54"/>
      <c r="F557" s="54"/>
    </row>
    <row r="558" spans="2:6" x14ac:dyDescent="0.25">
      <c r="B558" s="55" t="str">
        <f>IF(C558="","",INDEX(Invoices[Due Date],MATCH(C558,Invoices[Invoice '#],0)))</f>
        <v/>
      </c>
      <c r="C558" s="53"/>
      <c r="D558" s="54" t="str">
        <f>IF('Open Invoices'!$C558=0,"",_xlfn.IFNA('Open Invoices'!#REF!-SUMIF(Payments[Invoice '#],'Open Invoices'!$C558,Payments[Amount Paid]),'Open Invoices'!#REF!))</f>
        <v/>
      </c>
      <c r="E558" s="54"/>
      <c r="F558" s="54"/>
    </row>
    <row r="559" spans="2:6" x14ac:dyDescent="0.25">
      <c r="B559" s="55" t="str">
        <f>IF(C559="","",INDEX(Invoices[Due Date],MATCH(C559,Invoices[Invoice '#],0)))</f>
        <v/>
      </c>
      <c r="C559" s="53"/>
      <c r="D559" s="54" t="str">
        <f>IF('Open Invoices'!$C559=0,"",_xlfn.IFNA('Open Invoices'!#REF!-SUMIF(Payments[Invoice '#],'Open Invoices'!$C559,Payments[Amount Paid]),'Open Invoices'!#REF!))</f>
        <v/>
      </c>
      <c r="E559" s="54"/>
      <c r="F559" s="54"/>
    </row>
    <row r="560" spans="2:6" x14ac:dyDescent="0.25">
      <c r="B560" s="55" t="str">
        <f>IF(C560="","",INDEX(Invoices[Due Date],MATCH(C560,Invoices[Invoice '#],0)))</f>
        <v/>
      </c>
      <c r="C560" s="53"/>
      <c r="D560" s="54" t="str">
        <f>IF('Open Invoices'!$C560=0,"",_xlfn.IFNA('Open Invoices'!#REF!-SUMIF(Payments[Invoice '#],'Open Invoices'!$C560,Payments[Amount Paid]),'Open Invoices'!#REF!))</f>
        <v/>
      </c>
      <c r="E560" s="54"/>
      <c r="F560" s="54"/>
    </row>
    <row r="561" spans="2:6" x14ac:dyDescent="0.25">
      <c r="B561" s="55" t="str">
        <f>IF(C561="","",INDEX(Invoices[Due Date],MATCH(C561,Invoices[Invoice '#],0)))</f>
        <v/>
      </c>
      <c r="C561" s="53"/>
      <c r="D561" s="54" t="str">
        <f>IF('Open Invoices'!$C561=0,"",_xlfn.IFNA('Open Invoices'!#REF!-SUMIF(Payments[Invoice '#],'Open Invoices'!$C561,Payments[Amount Paid]),'Open Invoices'!#REF!))</f>
        <v/>
      </c>
      <c r="E561" s="54"/>
      <c r="F561" s="54"/>
    </row>
    <row r="562" spans="2:6" x14ac:dyDescent="0.25">
      <c r="B562" s="55" t="str">
        <f>IF(C562="","",INDEX(Invoices[Due Date],MATCH(C562,Invoices[Invoice '#],0)))</f>
        <v/>
      </c>
      <c r="C562" s="53"/>
      <c r="D562" s="54" t="str">
        <f>IF('Open Invoices'!$C562=0,"",_xlfn.IFNA('Open Invoices'!#REF!-SUMIF(Payments[Invoice '#],'Open Invoices'!$C562,Payments[Amount Paid]),'Open Invoices'!#REF!))</f>
        <v/>
      </c>
      <c r="E562" s="54"/>
      <c r="F562" s="54"/>
    </row>
    <row r="563" spans="2:6" x14ac:dyDescent="0.25">
      <c r="B563" s="55" t="str">
        <f>IF(C563="","",INDEX(Invoices[Due Date],MATCH(C563,Invoices[Invoice '#],0)))</f>
        <v/>
      </c>
      <c r="C563" s="53"/>
      <c r="D563" s="54" t="str">
        <f>IF('Open Invoices'!$C563=0,"",_xlfn.IFNA('Open Invoices'!#REF!-SUMIF(Payments[Invoice '#],'Open Invoices'!$C563,Payments[Amount Paid]),'Open Invoices'!#REF!))</f>
        <v/>
      </c>
      <c r="E563" s="54"/>
      <c r="F563" s="54"/>
    </row>
    <row r="564" spans="2:6" x14ac:dyDescent="0.25">
      <c r="B564" s="55" t="str">
        <f>IF(C564="","",INDEX(Invoices[Due Date],MATCH(C564,Invoices[Invoice '#],0)))</f>
        <v/>
      </c>
      <c r="C564" s="53"/>
      <c r="D564" s="54" t="str">
        <f>IF('Open Invoices'!$C564=0,"",_xlfn.IFNA('Open Invoices'!#REF!-SUMIF(Payments[Invoice '#],'Open Invoices'!$C564,Payments[Amount Paid]),'Open Invoices'!#REF!))</f>
        <v/>
      </c>
      <c r="E564" s="54"/>
      <c r="F564" s="54"/>
    </row>
    <row r="565" spans="2:6" x14ac:dyDescent="0.25">
      <c r="B565" s="55" t="str">
        <f>IF(C565="","",INDEX(Invoices[Due Date],MATCH(C565,Invoices[Invoice '#],0)))</f>
        <v/>
      </c>
      <c r="C565" s="53"/>
      <c r="D565" s="54" t="str">
        <f>IF('Open Invoices'!$C565=0,"",_xlfn.IFNA('Open Invoices'!#REF!-SUMIF(Payments[Invoice '#],'Open Invoices'!$C565,Payments[Amount Paid]),'Open Invoices'!#REF!))</f>
        <v/>
      </c>
      <c r="E565" s="54"/>
      <c r="F565" s="54"/>
    </row>
    <row r="566" spans="2:6" x14ac:dyDescent="0.25">
      <c r="B566" s="55" t="str">
        <f>IF(C566="","",INDEX(Invoices[Due Date],MATCH(C566,Invoices[Invoice '#],0)))</f>
        <v/>
      </c>
      <c r="C566" s="53"/>
      <c r="D566" s="54" t="str">
        <f>IF('Open Invoices'!$C566=0,"",_xlfn.IFNA('Open Invoices'!#REF!-SUMIF(Payments[Invoice '#],'Open Invoices'!$C566,Payments[Amount Paid]),'Open Invoices'!#REF!))</f>
        <v/>
      </c>
      <c r="E566" s="54"/>
      <c r="F566" s="54"/>
    </row>
    <row r="567" spans="2:6" x14ac:dyDescent="0.25">
      <c r="B567" s="55" t="str">
        <f>IF(C567="","",INDEX(Invoices[Due Date],MATCH(C567,Invoices[Invoice '#],0)))</f>
        <v/>
      </c>
      <c r="C567" s="53"/>
      <c r="D567" s="54" t="str">
        <f>IF('Open Invoices'!$C567=0,"",_xlfn.IFNA('Open Invoices'!#REF!-SUMIF(Payments[Invoice '#],'Open Invoices'!$C567,Payments[Amount Paid]),'Open Invoices'!#REF!))</f>
        <v/>
      </c>
      <c r="E567" s="54"/>
      <c r="F567" s="54"/>
    </row>
    <row r="568" spans="2:6" x14ac:dyDescent="0.25">
      <c r="B568" s="55" t="str">
        <f>IF(C568="","",INDEX(Invoices[Due Date],MATCH(C568,Invoices[Invoice '#],0)))</f>
        <v/>
      </c>
      <c r="C568" s="53"/>
      <c r="D568" s="54" t="str">
        <f>IF('Open Invoices'!$C568=0,"",_xlfn.IFNA('Open Invoices'!#REF!-SUMIF(Payments[Invoice '#],'Open Invoices'!$C568,Payments[Amount Paid]),'Open Invoices'!#REF!))</f>
        <v/>
      </c>
      <c r="E568" s="54"/>
      <c r="F568" s="54"/>
    </row>
    <row r="569" spans="2:6" x14ac:dyDescent="0.25">
      <c r="B569" s="55" t="str">
        <f>IF(C569="","",INDEX(Invoices[Due Date],MATCH(C569,Invoices[Invoice '#],0)))</f>
        <v/>
      </c>
      <c r="C569" s="53"/>
      <c r="D569" s="54" t="str">
        <f>IF('Open Invoices'!$C569=0,"",_xlfn.IFNA('Open Invoices'!#REF!-SUMIF(Payments[Invoice '#],'Open Invoices'!$C569,Payments[Amount Paid]),'Open Invoices'!#REF!))</f>
        <v/>
      </c>
      <c r="E569" s="54"/>
      <c r="F569" s="54"/>
    </row>
    <row r="570" spans="2:6" x14ac:dyDescent="0.25">
      <c r="B570" s="55" t="str">
        <f>IF(C570="","",INDEX(Invoices[Due Date],MATCH(C570,Invoices[Invoice '#],0)))</f>
        <v/>
      </c>
      <c r="C570" s="53"/>
      <c r="D570" s="54" t="str">
        <f>IF('Open Invoices'!$C570=0,"",_xlfn.IFNA('Open Invoices'!#REF!-SUMIF(Payments[Invoice '#],'Open Invoices'!$C570,Payments[Amount Paid]),'Open Invoices'!#REF!))</f>
        <v/>
      </c>
      <c r="E570" s="54"/>
      <c r="F570" s="54"/>
    </row>
    <row r="571" spans="2:6" x14ac:dyDescent="0.25">
      <c r="B571" s="55" t="str">
        <f>IF(C571="","",INDEX(Invoices[Due Date],MATCH(C571,Invoices[Invoice '#],0)))</f>
        <v/>
      </c>
      <c r="C571" s="53"/>
      <c r="D571" s="54" t="str">
        <f>IF('Open Invoices'!$C571=0,"",_xlfn.IFNA('Open Invoices'!#REF!-SUMIF(Payments[Invoice '#],'Open Invoices'!$C571,Payments[Amount Paid]),'Open Invoices'!#REF!))</f>
        <v/>
      </c>
      <c r="E571" s="54"/>
      <c r="F571" s="54"/>
    </row>
    <row r="572" spans="2:6" x14ac:dyDescent="0.25">
      <c r="B572" s="55" t="str">
        <f>IF(C572="","",INDEX(Invoices[Due Date],MATCH(C572,Invoices[Invoice '#],0)))</f>
        <v/>
      </c>
      <c r="C572" s="53"/>
      <c r="D572" s="54" t="str">
        <f>IF('Open Invoices'!$C572=0,"",_xlfn.IFNA('Open Invoices'!#REF!-SUMIF(Payments[Invoice '#],'Open Invoices'!$C572,Payments[Amount Paid]),'Open Invoices'!#REF!))</f>
        <v/>
      </c>
      <c r="E572" s="54"/>
      <c r="F572" s="54"/>
    </row>
    <row r="573" spans="2:6" x14ac:dyDescent="0.25">
      <c r="B573" s="55" t="str">
        <f>IF(C573="","",INDEX(Invoices[Due Date],MATCH(C573,Invoices[Invoice '#],0)))</f>
        <v/>
      </c>
      <c r="C573" s="53"/>
      <c r="D573" s="54" t="str">
        <f>IF('Open Invoices'!$C573=0,"",_xlfn.IFNA('Open Invoices'!#REF!-SUMIF(Payments[Invoice '#],'Open Invoices'!$C573,Payments[Amount Paid]),'Open Invoices'!#REF!))</f>
        <v/>
      </c>
      <c r="E573" s="54"/>
      <c r="F573" s="54"/>
    </row>
    <row r="574" spans="2:6" x14ac:dyDescent="0.25">
      <c r="B574" s="55" t="str">
        <f>IF(C574="","",INDEX(Invoices[Due Date],MATCH(C574,Invoices[Invoice '#],0)))</f>
        <v/>
      </c>
      <c r="C574" s="53"/>
      <c r="D574" s="54" t="str">
        <f>IF('Open Invoices'!$C574=0,"",_xlfn.IFNA('Open Invoices'!#REF!-SUMIF(Payments[Invoice '#],'Open Invoices'!$C574,Payments[Amount Paid]),'Open Invoices'!#REF!))</f>
        <v/>
      </c>
      <c r="E574" s="54"/>
      <c r="F574" s="54"/>
    </row>
    <row r="575" spans="2:6" x14ac:dyDescent="0.25">
      <c r="B575" s="55" t="str">
        <f>IF(C575="","",INDEX(Invoices[Due Date],MATCH(C575,Invoices[Invoice '#],0)))</f>
        <v/>
      </c>
      <c r="C575" s="53"/>
      <c r="D575" s="54" t="str">
        <f>IF('Open Invoices'!$C575=0,"",_xlfn.IFNA('Open Invoices'!#REF!-SUMIF(Payments[Invoice '#],'Open Invoices'!$C575,Payments[Amount Paid]),'Open Invoices'!#REF!))</f>
        <v/>
      </c>
      <c r="E575" s="54"/>
      <c r="F575" s="54"/>
    </row>
    <row r="576" spans="2:6" x14ac:dyDescent="0.25">
      <c r="B576" s="55" t="str">
        <f>IF(C576="","",INDEX(Invoices[Due Date],MATCH(C576,Invoices[Invoice '#],0)))</f>
        <v/>
      </c>
      <c r="C576" s="53"/>
      <c r="D576" s="54" t="str">
        <f>IF('Open Invoices'!$C576=0,"",_xlfn.IFNA('Open Invoices'!#REF!-SUMIF(Payments[Invoice '#],'Open Invoices'!$C576,Payments[Amount Paid]),'Open Invoices'!#REF!))</f>
        <v/>
      </c>
      <c r="E576" s="54"/>
      <c r="F576" s="54"/>
    </row>
    <row r="577" spans="2:6" x14ac:dyDescent="0.25">
      <c r="B577" s="55" t="str">
        <f>IF(C577="","",INDEX(Invoices[Due Date],MATCH(C577,Invoices[Invoice '#],0)))</f>
        <v/>
      </c>
      <c r="C577" s="53"/>
      <c r="D577" s="54" t="str">
        <f>IF('Open Invoices'!$C577=0,"",_xlfn.IFNA('Open Invoices'!#REF!-SUMIF(Payments[Invoice '#],'Open Invoices'!$C577,Payments[Amount Paid]),'Open Invoices'!#REF!))</f>
        <v/>
      </c>
      <c r="E577" s="54"/>
      <c r="F577" s="54"/>
    </row>
    <row r="578" spans="2:6" x14ac:dyDescent="0.25">
      <c r="B578" s="55" t="str">
        <f>IF(C578="","",INDEX(Invoices[Due Date],MATCH(C578,Invoices[Invoice '#],0)))</f>
        <v/>
      </c>
      <c r="C578" s="53"/>
      <c r="D578" s="54" t="str">
        <f>IF('Open Invoices'!$C578=0,"",_xlfn.IFNA('Open Invoices'!#REF!-SUMIF(Payments[Invoice '#],'Open Invoices'!$C578,Payments[Amount Paid]),'Open Invoices'!#REF!))</f>
        <v/>
      </c>
      <c r="E578" s="54"/>
      <c r="F578" s="54"/>
    </row>
    <row r="579" spans="2:6" x14ac:dyDescent="0.25">
      <c r="B579" s="55" t="str">
        <f>IF(C579="","",INDEX(Invoices[Due Date],MATCH(C579,Invoices[Invoice '#],0)))</f>
        <v/>
      </c>
      <c r="C579" s="53"/>
      <c r="D579" s="54" t="str">
        <f>IF('Open Invoices'!$C579=0,"",_xlfn.IFNA('Open Invoices'!#REF!-SUMIF(Payments[Invoice '#],'Open Invoices'!$C579,Payments[Amount Paid]),'Open Invoices'!#REF!))</f>
        <v/>
      </c>
      <c r="E579" s="54"/>
      <c r="F579" s="54"/>
    </row>
    <row r="580" spans="2:6" x14ac:dyDescent="0.25">
      <c r="B580" s="55" t="str">
        <f>IF(C580="","",INDEX(Invoices[Due Date],MATCH(C580,Invoices[Invoice '#],0)))</f>
        <v/>
      </c>
      <c r="C580" s="53"/>
      <c r="D580" s="54" t="str">
        <f>IF('Open Invoices'!$C580=0,"",_xlfn.IFNA('Open Invoices'!#REF!-SUMIF(Payments[Invoice '#],'Open Invoices'!$C580,Payments[Amount Paid]),'Open Invoices'!#REF!))</f>
        <v/>
      </c>
      <c r="E580" s="54"/>
      <c r="F580" s="54"/>
    </row>
    <row r="581" spans="2:6" x14ac:dyDescent="0.25">
      <c r="B581" s="55" t="str">
        <f>IF(C581="","",INDEX(Invoices[Due Date],MATCH(C581,Invoices[Invoice '#],0)))</f>
        <v/>
      </c>
      <c r="C581" s="53"/>
      <c r="D581" s="54" t="str">
        <f>IF('Open Invoices'!$C581=0,"",_xlfn.IFNA('Open Invoices'!#REF!-SUMIF(Payments[Invoice '#],'Open Invoices'!$C581,Payments[Amount Paid]),'Open Invoices'!#REF!))</f>
        <v/>
      </c>
      <c r="E581" s="54"/>
      <c r="F581" s="54"/>
    </row>
    <row r="582" spans="2:6" x14ac:dyDescent="0.25">
      <c r="B582" s="55" t="str">
        <f>IF(C582="","",INDEX(Invoices[Due Date],MATCH(C582,Invoices[Invoice '#],0)))</f>
        <v/>
      </c>
      <c r="C582" s="53"/>
      <c r="D582" s="54" t="str">
        <f>IF('Open Invoices'!$C582=0,"",_xlfn.IFNA('Open Invoices'!#REF!-SUMIF(Payments[Invoice '#],'Open Invoices'!$C582,Payments[Amount Paid]),'Open Invoices'!#REF!))</f>
        <v/>
      </c>
      <c r="E582" s="54"/>
      <c r="F582" s="54"/>
    </row>
    <row r="583" spans="2:6" x14ac:dyDescent="0.25">
      <c r="B583" s="55" t="str">
        <f>IF(C583="","",INDEX(Invoices[Due Date],MATCH(C583,Invoices[Invoice '#],0)))</f>
        <v/>
      </c>
      <c r="C583" s="53"/>
      <c r="D583" s="54" t="str">
        <f>IF('Open Invoices'!$C583=0,"",_xlfn.IFNA('Open Invoices'!#REF!-SUMIF(Payments[Invoice '#],'Open Invoices'!$C583,Payments[Amount Paid]),'Open Invoices'!#REF!))</f>
        <v/>
      </c>
      <c r="E583" s="54"/>
      <c r="F583" s="54"/>
    </row>
    <row r="584" spans="2:6" x14ac:dyDescent="0.25">
      <c r="B584" s="55" t="str">
        <f>IF(C584="","",INDEX(Invoices[Due Date],MATCH(C584,Invoices[Invoice '#],0)))</f>
        <v/>
      </c>
      <c r="C584" s="53"/>
      <c r="D584" s="54" t="str">
        <f>IF('Open Invoices'!$C584=0,"",_xlfn.IFNA('Open Invoices'!#REF!-SUMIF(Payments[Invoice '#],'Open Invoices'!$C584,Payments[Amount Paid]),'Open Invoices'!#REF!))</f>
        <v/>
      </c>
      <c r="E584" s="54"/>
      <c r="F584" s="54"/>
    </row>
    <row r="585" spans="2:6" x14ac:dyDescent="0.25">
      <c r="B585" s="55" t="str">
        <f>IF(C585="","",INDEX(Invoices[Due Date],MATCH(C585,Invoices[Invoice '#],0)))</f>
        <v/>
      </c>
      <c r="C585" s="53"/>
      <c r="D585" s="54" t="str">
        <f>IF('Open Invoices'!$C585=0,"",_xlfn.IFNA('Open Invoices'!#REF!-SUMIF(Payments[Invoice '#],'Open Invoices'!$C585,Payments[Amount Paid]),'Open Invoices'!#REF!))</f>
        <v/>
      </c>
      <c r="E585" s="54"/>
      <c r="F585" s="54"/>
    </row>
    <row r="586" spans="2:6" x14ac:dyDescent="0.25">
      <c r="B586" s="55" t="str">
        <f>IF(C586="","",INDEX(Invoices[Due Date],MATCH(C586,Invoices[Invoice '#],0)))</f>
        <v/>
      </c>
      <c r="C586" s="53"/>
      <c r="D586" s="54" t="str">
        <f>IF('Open Invoices'!$C586=0,"",_xlfn.IFNA('Open Invoices'!#REF!-SUMIF(Payments[Invoice '#],'Open Invoices'!$C586,Payments[Amount Paid]),'Open Invoices'!#REF!))</f>
        <v/>
      </c>
      <c r="E586" s="54"/>
      <c r="F586" s="54"/>
    </row>
    <row r="587" spans="2:6" x14ac:dyDescent="0.25">
      <c r="B587" s="55" t="str">
        <f>IF(C587="","",INDEX(Invoices[Due Date],MATCH(C587,Invoices[Invoice '#],0)))</f>
        <v/>
      </c>
      <c r="C587" s="53"/>
      <c r="D587" s="54" t="str">
        <f>IF('Open Invoices'!$C587=0,"",_xlfn.IFNA('Open Invoices'!#REF!-SUMIF(Payments[Invoice '#],'Open Invoices'!$C587,Payments[Amount Paid]),'Open Invoices'!#REF!))</f>
        <v/>
      </c>
      <c r="E587" s="54"/>
      <c r="F587" s="54"/>
    </row>
    <row r="588" spans="2:6" x14ac:dyDescent="0.25">
      <c r="B588" s="55" t="str">
        <f>IF(C588="","",INDEX(Invoices[Due Date],MATCH(C588,Invoices[Invoice '#],0)))</f>
        <v/>
      </c>
      <c r="C588" s="53"/>
      <c r="D588" s="54" t="str">
        <f>IF('Open Invoices'!$C588=0,"",_xlfn.IFNA('Open Invoices'!#REF!-SUMIF(Payments[Invoice '#],'Open Invoices'!$C588,Payments[Amount Paid]),'Open Invoices'!#REF!))</f>
        <v/>
      </c>
      <c r="E588" s="54"/>
      <c r="F588" s="54"/>
    </row>
    <row r="589" spans="2:6" x14ac:dyDescent="0.25">
      <c r="B589" s="55" t="str">
        <f>IF(C589="","",INDEX(Invoices[Due Date],MATCH(C589,Invoices[Invoice '#],0)))</f>
        <v/>
      </c>
      <c r="C589" s="53"/>
      <c r="D589" s="54" t="str">
        <f>IF('Open Invoices'!$C589=0,"",_xlfn.IFNA('Open Invoices'!#REF!-SUMIF(Payments[Invoice '#],'Open Invoices'!$C589,Payments[Amount Paid]),'Open Invoices'!#REF!))</f>
        <v/>
      </c>
      <c r="E589" s="54"/>
      <c r="F589" s="54"/>
    </row>
    <row r="590" spans="2:6" x14ac:dyDescent="0.25">
      <c r="B590" s="55" t="str">
        <f>IF(C590="","",INDEX(Invoices[Due Date],MATCH(C590,Invoices[Invoice '#],0)))</f>
        <v/>
      </c>
      <c r="C590" s="53"/>
      <c r="D590" s="54" t="str">
        <f>IF('Open Invoices'!$C590=0,"",_xlfn.IFNA('Open Invoices'!#REF!-SUMIF(Payments[Invoice '#],'Open Invoices'!$C590,Payments[Amount Paid]),'Open Invoices'!#REF!))</f>
        <v/>
      </c>
      <c r="E590" s="54"/>
      <c r="F590" s="54"/>
    </row>
    <row r="591" spans="2:6" x14ac:dyDescent="0.25">
      <c r="B591" s="55" t="str">
        <f>IF(C591="","",INDEX(Invoices[Due Date],MATCH(C591,Invoices[Invoice '#],0)))</f>
        <v/>
      </c>
      <c r="C591" s="53"/>
      <c r="D591" s="54" t="str">
        <f>IF('Open Invoices'!$C591=0,"",_xlfn.IFNA('Open Invoices'!#REF!-SUMIF(Payments[Invoice '#],'Open Invoices'!$C591,Payments[Amount Paid]),'Open Invoices'!#REF!))</f>
        <v/>
      </c>
      <c r="E591" s="54"/>
      <c r="F591" s="54"/>
    </row>
    <row r="592" spans="2:6" x14ac:dyDescent="0.25">
      <c r="B592" s="55" t="str">
        <f>IF(C592="","",INDEX(Invoices[Due Date],MATCH(C592,Invoices[Invoice '#],0)))</f>
        <v/>
      </c>
      <c r="C592" s="53"/>
      <c r="D592" s="54" t="str">
        <f>IF('Open Invoices'!$C592=0,"",_xlfn.IFNA('Open Invoices'!#REF!-SUMIF(Payments[Invoice '#],'Open Invoices'!$C592,Payments[Amount Paid]),'Open Invoices'!#REF!))</f>
        <v/>
      </c>
      <c r="E592" s="54"/>
      <c r="F592" s="54"/>
    </row>
    <row r="593" spans="2:6" x14ac:dyDescent="0.25">
      <c r="B593" s="55" t="str">
        <f>IF(C593="","",INDEX(Invoices[Due Date],MATCH(C593,Invoices[Invoice '#],0)))</f>
        <v/>
      </c>
      <c r="C593" s="53"/>
      <c r="D593" s="54" t="str">
        <f>IF('Open Invoices'!$C593=0,"",_xlfn.IFNA('Open Invoices'!#REF!-SUMIF(Payments[Invoice '#],'Open Invoices'!$C593,Payments[Amount Paid]),'Open Invoices'!#REF!))</f>
        <v/>
      </c>
      <c r="E593" s="54"/>
      <c r="F593" s="54"/>
    </row>
    <row r="594" spans="2:6" x14ac:dyDescent="0.25">
      <c r="B594" s="55" t="str">
        <f>IF(C594="","",INDEX(Invoices[Due Date],MATCH(C594,Invoices[Invoice '#],0)))</f>
        <v/>
      </c>
      <c r="C594" s="53"/>
      <c r="D594" s="54" t="str">
        <f>IF('Open Invoices'!$C594=0,"",_xlfn.IFNA('Open Invoices'!#REF!-SUMIF(Payments[Invoice '#],'Open Invoices'!$C594,Payments[Amount Paid]),'Open Invoices'!#REF!))</f>
        <v/>
      </c>
      <c r="E594" s="54"/>
      <c r="F594" s="54"/>
    </row>
    <row r="595" spans="2:6" x14ac:dyDescent="0.25">
      <c r="B595" s="55" t="str">
        <f>IF(C595="","",INDEX(Invoices[Due Date],MATCH(C595,Invoices[Invoice '#],0)))</f>
        <v/>
      </c>
      <c r="C595" s="53"/>
      <c r="D595" s="54" t="str">
        <f>IF('Open Invoices'!$C595=0,"",_xlfn.IFNA('Open Invoices'!#REF!-SUMIF(Payments[Invoice '#],'Open Invoices'!$C595,Payments[Amount Paid]),'Open Invoices'!#REF!))</f>
        <v/>
      </c>
      <c r="E595" s="54"/>
      <c r="F595" s="54"/>
    </row>
    <row r="596" spans="2:6" x14ac:dyDescent="0.25">
      <c r="B596" s="55" t="str">
        <f>IF(C596="","",INDEX(Invoices[Due Date],MATCH(C596,Invoices[Invoice '#],0)))</f>
        <v/>
      </c>
      <c r="C596" s="53"/>
      <c r="D596" s="54" t="str">
        <f>IF('Open Invoices'!$C596=0,"",_xlfn.IFNA('Open Invoices'!#REF!-SUMIF(Payments[Invoice '#],'Open Invoices'!$C596,Payments[Amount Paid]),'Open Invoices'!#REF!))</f>
        <v/>
      </c>
      <c r="E596" s="54"/>
      <c r="F596" s="54"/>
    </row>
    <row r="597" spans="2:6" x14ac:dyDescent="0.25">
      <c r="B597" s="55" t="str">
        <f>IF(C597="","",INDEX(Invoices[Due Date],MATCH(C597,Invoices[Invoice '#],0)))</f>
        <v/>
      </c>
      <c r="C597" s="53"/>
      <c r="D597" s="54" t="str">
        <f>IF('Open Invoices'!$C597=0,"",_xlfn.IFNA('Open Invoices'!#REF!-SUMIF(Payments[Invoice '#],'Open Invoices'!$C597,Payments[Amount Paid]),'Open Invoices'!#REF!))</f>
        <v/>
      </c>
      <c r="E597" s="54"/>
      <c r="F597" s="54"/>
    </row>
    <row r="598" spans="2:6" x14ac:dyDescent="0.25">
      <c r="B598" s="55" t="str">
        <f>IF(C598="","",INDEX(Invoices[Due Date],MATCH(C598,Invoices[Invoice '#],0)))</f>
        <v/>
      </c>
      <c r="C598" s="53"/>
      <c r="D598" s="54" t="str">
        <f>IF('Open Invoices'!$C598=0,"",_xlfn.IFNA('Open Invoices'!#REF!-SUMIF(Payments[Invoice '#],'Open Invoices'!$C598,Payments[Amount Paid]),'Open Invoices'!#REF!))</f>
        <v/>
      </c>
      <c r="E598" s="54"/>
      <c r="F598" s="54"/>
    </row>
    <row r="599" spans="2:6" x14ac:dyDescent="0.25">
      <c r="B599" s="55" t="str">
        <f>IF(C599="","",INDEX(Invoices[Due Date],MATCH(C599,Invoices[Invoice '#],0)))</f>
        <v/>
      </c>
      <c r="C599" s="53"/>
      <c r="D599" s="54" t="str">
        <f>IF('Open Invoices'!$C599=0,"",_xlfn.IFNA('Open Invoices'!#REF!-SUMIF(Payments[Invoice '#],'Open Invoices'!$C599,Payments[Amount Paid]),'Open Invoices'!#REF!))</f>
        <v/>
      </c>
      <c r="E599" s="54"/>
      <c r="F599" s="54"/>
    </row>
    <row r="600" spans="2:6" x14ac:dyDescent="0.25">
      <c r="B600" s="55" t="str">
        <f>IF(C600="","",INDEX(Invoices[Due Date],MATCH(C600,Invoices[Invoice '#],0)))</f>
        <v/>
      </c>
      <c r="C600" s="53"/>
      <c r="D600" s="54" t="str">
        <f>IF('Open Invoices'!$C600=0,"",_xlfn.IFNA('Open Invoices'!#REF!-SUMIF(Payments[Invoice '#],'Open Invoices'!$C600,Payments[Amount Paid]),'Open Invoices'!#REF!))</f>
        <v/>
      </c>
      <c r="E600" s="54"/>
      <c r="F600" s="54"/>
    </row>
    <row r="601" spans="2:6" x14ac:dyDescent="0.25">
      <c r="B601" s="55" t="str">
        <f>IF(C601="","",INDEX(Invoices[Due Date],MATCH(C601,Invoices[Invoice '#],0)))</f>
        <v/>
      </c>
      <c r="C601" s="53"/>
      <c r="D601" s="54" t="str">
        <f>IF('Open Invoices'!$C601=0,"",_xlfn.IFNA('Open Invoices'!#REF!-SUMIF(Payments[Invoice '#],'Open Invoices'!$C601,Payments[Amount Paid]),'Open Invoices'!#REF!))</f>
        <v/>
      </c>
      <c r="E601" s="54"/>
      <c r="F601" s="54"/>
    </row>
    <row r="602" spans="2:6" x14ac:dyDescent="0.25">
      <c r="B602" s="55" t="str">
        <f>IF(C602="","",INDEX(Invoices[Due Date],MATCH(C602,Invoices[Invoice '#],0)))</f>
        <v/>
      </c>
      <c r="C602" s="53"/>
      <c r="D602" s="54" t="str">
        <f>IF('Open Invoices'!$C602=0,"",_xlfn.IFNA('Open Invoices'!#REF!-SUMIF(Payments[Invoice '#],'Open Invoices'!$C602,Payments[Amount Paid]),'Open Invoices'!#REF!))</f>
        <v/>
      </c>
      <c r="E602" s="54"/>
      <c r="F602" s="54"/>
    </row>
    <row r="603" spans="2:6" x14ac:dyDescent="0.25">
      <c r="B603" s="55" t="str">
        <f>IF(C603="","",INDEX(Invoices[Due Date],MATCH(C603,Invoices[Invoice '#],0)))</f>
        <v/>
      </c>
      <c r="C603" s="53"/>
      <c r="D603" s="54" t="str">
        <f>IF('Open Invoices'!$C603=0,"",_xlfn.IFNA('Open Invoices'!#REF!-SUMIF(Payments[Invoice '#],'Open Invoices'!$C603,Payments[Amount Paid]),'Open Invoices'!#REF!))</f>
        <v/>
      </c>
      <c r="E603" s="54"/>
      <c r="F603" s="54"/>
    </row>
    <row r="604" spans="2:6" x14ac:dyDescent="0.25">
      <c r="B604" s="55" t="str">
        <f>IF(C604="","",INDEX(Invoices[Due Date],MATCH(C604,Invoices[Invoice '#],0)))</f>
        <v/>
      </c>
      <c r="C604" s="53"/>
      <c r="D604" s="54" t="str">
        <f>IF('Open Invoices'!$C604=0,"",_xlfn.IFNA('Open Invoices'!#REF!-SUMIF(Payments[Invoice '#],'Open Invoices'!$C604,Payments[Amount Paid]),'Open Invoices'!#REF!))</f>
        <v/>
      </c>
      <c r="E604" s="54"/>
      <c r="F604" s="54"/>
    </row>
    <row r="605" spans="2:6" x14ac:dyDescent="0.25">
      <c r="B605" s="55" t="str">
        <f>IF(C605="","",INDEX(Invoices[Due Date],MATCH(C605,Invoices[Invoice '#],0)))</f>
        <v/>
      </c>
      <c r="C605" s="53"/>
      <c r="D605" s="54" t="str">
        <f>IF('Open Invoices'!$C605=0,"",_xlfn.IFNA('Open Invoices'!#REF!-SUMIF(Payments[Invoice '#],'Open Invoices'!$C605,Payments[Amount Paid]),'Open Invoices'!#REF!))</f>
        <v/>
      </c>
      <c r="E605" s="54"/>
      <c r="F605" s="54"/>
    </row>
    <row r="606" spans="2:6" x14ac:dyDescent="0.25">
      <c r="B606" s="55" t="str">
        <f>IF(C606="","",INDEX(Invoices[Due Date],MATCH(C606,Invoices[Invoice '#],0)))</f>
        <v/>
      </c>
      <c r="C606" s="53"/>
      <c r="D606" s="54" t="str">
        <f>IF('Open Invoices'!$C606=0,"",_xlfn.IFNA('Open Invoices'!#REF!-SUMIF(Payments[Invoice '#],'Open Invoices'!$C606,Payments[Amount Paid]),'Open Invoices'!#REF!))</f>
        <v/>
      </c>
      <c r="E606" s="54"/>
      <c r="F606" s="54"/>
    </row>
    <row r="607" spans="2:6" x14ac:dyDescent="0.25">
      <c r="B607" s="55" t="str">
        <f>IF(C607="","",INDEX(Invoices[Due Date],MATCH(C607,Invoices[Invoice '#],0)))</f>
        <v/>
      </c>
      <c r="C607" s="53"/>
      <c r="D607" s="54" t="str">
        <f>IF('Open Invoices'!$C607=0,"",_xlfn.IFNA('Open Invoices'!#REF!-SUMIF(Payments[Invoice '#],'Open Invoices'!$C607,Payments[Amount Paid]),'Open Invoices'!#REF!))</f>
        <v/>
      </c>
      <c r="E607" s="54"/>
      <c r="F607" s="54"/>
    </row>
    <row r="608" spans="2:6" x14ac:dyDescent="0.25">
      <c r="B608" s="55" t="str">
        <f>IF(C608="","",INDEX(Invoices[Due Date],MATCH(C608,Invoices[Invoice '#],0)))</f>
        <v/>
      </c>
      <c r="C608" s="53"/>
      <c r="D608" s="54" t="str">
        <f>IF('Open Invoices'!$C608=0,"",_xlfn.IFNA('Open Invoices'!#REF!-SUMIF(Payments[Invoice '#],'Open Invoices'!$C608,Payments[Amount Paid]),'Open Invoices'!#REF!))</f>
        <v/>
      </c>
      <c r="E608" s="54"/>
      <c r="F608" s="54"/>
    </row>
    <row r="609" spans="2:6" x14ac:dyDescent="0.25">
      <c r="B609" s="55" t="str">
        <f>IF(C609="","",INDEX(Invoices[Due Date],MATCH(C609,Invoices[Invoice '#],0)))</f>
        <v/>
      </c>
      <c r="C609" s="53"/>
      <c r="D609" s="54" t="str">
        <f>IF('Open Invoices'!$C609=0,"",_xlfn.IFNA('Open Invoices'!#REF!-SUMIF(Payments[Invoice '#],'Open Invoices'!$C609,Payments[Amount Paid]),'Open Invoices'!#REF!))</f>
        <v/>
      </c>
      <c r="E609" s="54"/>
      <c r="F609" s="54"/>
    </row>
    <row r="610" spans="2:6" x14ac:dyDescent="0.25">
      <c r="B610" s="55" t="str">
        <f>IF(C610="","",INDEX(Invoices[Due Date],MATCH(C610,Invoices[Invoice '#],0)))</f>
        <v/>
      </c>
      <c r="C610" s="53"/>
      <c r="D610" s="54" t="str">
        <f>IF('Open Invoices'!$C610=0,"",_xlfn.IFNA('Open Invoices'!#REF!-SUMIF(Payments[Invoice '#],'Open Invoices'!$C610,Payments[Amount Paid]),'Open Invoices'!#REF!))</f>
        <v/>
      </c>
      <c r="E610" s="54"/>
      <c r="F610" s="54"/>
    </row>
    <row r="611" spans="2:6" x14ac:dyDescent="0.25">
      <c r="B611" s="55" t="str">
        <f>IF(C611="","",INDEX(Invoices[Due Date],MATCH(C611,Invoices[Invoice '#],0)))</f>
        <v/>
      </c>
      <c r="C611" s="53"/>
      <c r="D611" s="54" t="str">
        <f>IF('Open Invoices'!$C611=0,"",_xlfn.IFNA('Open Invoices'!#REF!-SUMIF(Payments[Invoice '#],'Open Invoices'!$C611,Payments[Amount Paid]),'Open Invoices'!#REF!))</f>
        <v/>
      </c>
      <c r="E611" s="54"/>
      <c r="F611" s="54"/>
    </row>
    <row r="612" spans="2:6" x14ac:dyDescent="0.25">
      <c r="B612" s="55" t="str">
        <f>IF(C612="","",INDEX(Invoices[Due Date],MATCH(C612,Invoices[Invoice '#],0)))</f>
        <v/>
      </c>
      <c r="C612" s="53"/>
      <c r="D612" s="54" t="str">
        <f>IF('Open Invoices'!$C612=0,"",_xlfn.IFNA('Open Invoices'!#REF!-SUMIF(Payments[Invoice '#],'Open Invoices'!$C612,Payments[Amount Paid]),'Open Invoices'!#REF!))</f>
        <v/>
      </c>
      <c r="E612" s="54"/>
      <c r="F612" s="54"/>
    </row>
    <row r="613" spans="2:6" x14ac:dyDescent="0.25">
      <c r="B613" s="55" t="str">
        <f>IF(C613="","",INDEX(Invoices[Due Date],MATCH(C613,Invoices[Invoice '#],0)))</f>
        <v/>
      </c>
      <c r="C613" s="53"/>
      <c r="D613" s="54" t="str">
        <f>IF('Open Invoices'!$C613=0,"",_xlfn.IFNA('Open Invoices'!#REF!-SUMIF(Payments[Invoice '#],'Open Invoices'!$C613,Payments[Amount Paid]),'Open Invoices'!#REF!))</f>
        <v/>
      </c>
      <c r="E613" s="54"/>
      <c r="F613" s="54"/>
    </row>
    <row r="614" spans="2:6" x14ac:dyDescent="0.25">
      <c r="B614" s="55" t="str">
        <f>IF(C614="","",INDEX(Invoices[Due Date],MATCH(C614,Invoices[Invoice '#],0)))</f>
        <v/>
      </c>
      <c r="C614" s="53"/>
      <c r="D614" s="54" t="str">
        <f>IF('Open Invoices'!$C614=0,"",_xlfn.IFNA('Open Invoices'!#REF!-SUMIF(Payments[Invoice '#],'Open Invoices'!$C614,Payments[Amount Paid]),'Open Invoices'!#REF!))</f>
        <v/>
      </c>
      <c r="E614" s="54"/>
      <c r="F614" s="54"/>
    </row>
    <row r="615" spans="2:6" x14ac:dyDescent="0.25">
      <c r="B615" s="55" t="str">
        <f>IF(C615="","",INDEX(Invoices[Due Date],MATCH(C615,Invoices[Invoice '#],0)))</f>
        <v/>
      </c>
      <c r="C615" s="53"/>
      <c r="D615" s="54" t="str">
        <f>IF('Open Invoices'!$C615=0,"",_xlfn.IFNA('Open Invoices'!#REF!-SUMIF(Payments[Invoice '#],'Open Invoices'!$C615,Payments[Amount Paid]),'Open Invoices'!#REF!))</f>
        <v/>
      </c>
      <c r="E615" s="54"/>
      <c r="F615" s="54"/>
    </row>
    <row r="616" spans="2:6" x14ac:dyDescent="0.25">
      <c r="B616" s="55" t="str">
        <f>IF(C616="","",INDEX(Invoices[Due Date],MATCH(C616,Invoices[Invoice '#],0)))</f>
        <v/>
      </c>
      <c r="C616" s="53"/>
      <c r="D616" s="54" t="str">
        <f>IF('Open Invoices'!$C616=0,"",_xlfn.IFNA('Open Invoices'!#REF!-SUMIF(Payments[Invoice '#],'Open Invoices'!$C616,Payments[Amount Paid]),'Open Invoices'!#REF!))</f>
        <v/>
      </c>
      <c r="E616" s="54"/>
      <c r="F616" s="54"/>
    </row>
    <row r="617" spans="2:6" x14ac:dyDescent="0.25">
      <c r="B617" s="55" t="str">
        <f>IF(C617="","",INDEX(Invoices[Due Date],MATCH(C617,Invoices[Invoice '#],0)))</f>
        <v/>
      </c>
      <c r="C617" s="53"/>
      <c r="D617" s="54" t="str">
        <f>IF('Open Invoices'!$C617=0,"",_xlfn.IFNA('Open Invoices'!#REF!-SUMIF(Payments[Invoice '#],'Open Invoices'!$C617,Payments[Amount Paid]),'Open Invoices'!#REF!))</f>
        <v/>
      </c>
      <c r="E617" s="54"/>
      <c r="F617" s="54"/>
    </row>
    <row r="618" spans="2:6" x14ac:dyDescent="0.25">
      <c r="B618" s="55" t="str">
        <f>IF(C618="","",INDEX(Invoices[Due Date],MATCH(C618,Invoices[Invoice '#],0)))</f>
        <v/>
      </c>
      <c r="C618" s="53"/>
      <c r="D618" s="54" t="str">
        <f>IF('Open Invoices'!$C618=0,"",_xlfn.IFNA('Open Invoices'!#REF!-SUMIF(Payments[Invoice '#],'Open Invoices'!$C618,Payments[Amount Paid]),'Open Invoices'!#REF!))</f>
        <v/>
      </c>
      <c r="E618" s="54"/>
      <c r="F618" s="54"/>
    </row>
    <row r="619" spans="2:6" x14ac:dyDescent="0.25">
      <c r="B619" s="55" t="str">
        <f>IF(C619="","",INDEX(Invoices[Due Date],MATCH(C619,Invoices[Invoice '#],0)))</f>
        <v/>
      </c>
      <c r="C619" s="53"/>
      <c r="D619" s="54" t="str">
        <f>IF('Open Invoices'!$C619=0,"",_xlfn.IFNA('Open Invoices'!#REF!-SUMIF(Payments[Invoice '#],'Open Invoices'!$C619,Payments[Amount Paid]),'Open Invoices'!#REF!))</f>
        <v/>
      </c>
      <c r="E619" s="54"/>
      <c r="F619" s="54"/>
    </row>
    <row r="620" spans="2:6" x14ac:dyDescent="0.25">
      <c r="B620" s="55" t="str">
        <f>IF(C620="","",INDEX(Invoices[Due Date],MATCH(C620,Invoices[Invoice '#],0)))</f>
        <v/>
      </c>
      <c r="C620" s="53"/>
      <c r="D620" s="54" t="str">
        <f>IF('Open Invoices'!$C620=0,"",_xlfn.IFNA('Open Invoices'!#REF!-SUMIF(Payments[Invoice '#],'Open Invoices'!$C620,Payments[Amount Paid]),'Open Invoices'!#REF!))</f>
        <v/>
      </c>
      <c r="E620" s="54"/>
      <c r="F620" s="54"/>
    </row>
    <row r="621" spans="2:6" x14ac:dyDescent="0.25">
      <c r="B621" s="55" t="str">
        <f>IF(C621="","",INDEX(Invoices[Due Date],MATCH(C621,Invoices[Invoice '#],0)))</f>
        <v/>
      </c>
      <c r="C621" s="53"/>
      <c r="D621" s="54" t="str">
        <f>IF('Open Invoices'!$C621=0,"",_xlfn.IFNA('Open Invoices'!#REF!-SUMIF(Payments[Invoice '#],'Open Invoices'!$C621,Payments[Amount Paid]),'Open Invoices'!#REF!))</f>
        <v/>
      </c>
      <c r="E621" s="54"/>
      <c r="F621" s="54"/>
    </row>
    <row r="622" spans="2:6" x14ac:dyDescent="0.25">
      <c r="B622" s="55" t="str">
        <f>IF(C622="","",INDEX(Invoices[Due Date],MATCH(C622,Invoices[Invoice '#],0)))</f>
        <v/>
      </c>
      <c r="C622" s="53"/>
      <c r="D622" s="54" t="str">
        <f>IF('Open Invoices'!$C622=0,"",_xlfn.IFNA('Open Invoices'!#REF!-SUMIF(Payments[Invoice '#],'Open Invoices'!$C622,Payments[Amount Paid]),'Open Invoices'!#REF!))</f>
        <v/>
      </c>
      <c r="E622" s="54"/>
      <c r="F622" s="54"/>
    </row>
    <row r="623" spans="2:6" x14ac:dyDescent="0.25">
      <c r="B623" s="55" t="str">
        <f>IF(C623="","",INDEX(Invoices[Due Date],MATCH(C623,Invoices[Invoice '#],0)))</f>
        <v/>
      </c>
      <c r="C623" s="53"/>
      <c r="D623" s="54" t="str">
        <f>IF('Open Invoices'!$C623=0,"",_xlfn.IFNA('Open Invoices'!#REF!-SUMIF(Payments[Invoice '#],'Open Invoices'!$C623,Payments[Amount Paid]),'Open Invoices'!#REF!))</f>
        <v/>
      </c>
      <c r="E623" s="54"/>
      <c r="F623" s="54"/>
    </row>
    <row r="624" spans="2:6" x14ac:dyDescent="0.25">
      <c r="B624" s="55" t="str">
        <f>IF(C624="","",INDEX(Invoices[Due Date],MATCH(C624,Invoices[Invoice '#],0)))</f>
        <v/>
      </c>
      <c r="C624" s="53"/>
      <c r="D624" s="54" t="str">
        <f>IF('Open Invoices'!$C624=0,"",_xlfn.IFNA('Open Invoices'!#REF!-SUMIF(Payments[Invoice '#],'Open Invoices'!$C624,Payments[Amount Paid]),'Open Invoices'!#REF!))</f>
        <v/>
      </c>
      <c r="E624" s="54"/>
      <c r="F624" s="54"/>
    </row>
    <row r="625" spans="2:6" x14ac:dyDescent="0.25">
      <c r="B625" s="55" t="str">
        <f>IF(C625="","",INDEX(Invoices[Due Date],MATCH(C625,Invoices[Invoice '#],0)))</f>
        <v/>
      </c>
      <c r="C625" s="53"/>
      <c r="D625" s="54" t="str">
        <f>IF('Open Invoices'!$C625=0,"",_xlfn.IFNA('Open Invoices'!#REF!-SUMIF(Payments[Invoice '#],'Open Invoices'!$C625,Payments[Amount Paid]),'Open Invoices'!#REF!))</f>
        <v/>
      </c>
      <c r="E625" s="54"/>
      <c r="F625" s="54"/>
    </row>
    <row r="626" spans="2:6" x14ac:dyDescent="0.25">
      <c r="B626" s="55" t="str">
        <f>IF(C626="","",INDEX(Invoices[Due Date],MATCH(C626,Invoices[Invoice '#],0)))</f>
        <v/>
      </c>
      <c r="C626" s="53"/>
      <c r="D626" s="54" t="str">
        <f>IF('Open Invoices'!$C626=0,"",_xlfn.IFNA('Open Invoices'!#REF!-SUMIF(Payments[Invoice '#],'Open Invoices'!$C626,Payments[Amount Paid]),'Open Invoices'!#REF!))</f>
        <v/>
      </c>
      <c r="E626" s="54"/>
      <c r="F626" s="54"/>
    </row>
    <row r="627" spans="2:6" x14ac:dyDescent="0.25">
      <c r="B627" s="55" t="str">
        <f>IF(C627="","",INDEX(Invoices[Due Date],MATCH(C627,Invoices[Invoice '#],0)))</f>
        <v/>
      </c>
      <c r="C627" s="53"/>
      <c r="D627" s="54" t="str">
        <f>IF('Open Invoices'!$C627=0,"",_xlfn.IFNA('Open Invoices'!#REF!-SUMIF(Payments[Invoice '#],'Open Invoices'!$C627,Payments[Amount Paid]),'Open Invoices'!#REF!))</f>
        <v/>
      </c>
      <c r="E627" s="54"/>
      <c r="F627" s="54"/>
    </row>
    <row r="628" spans="2:6" x14ac:dyDescent="0.25">
      <c r="B628" s="55" t="str">
        <f>IF(C628="","",INDEX(Invoices[Due Date],MATCH(C628,Invoices[Invoice '#],0)))</f>
        <v/>
      </c>
      <c r="C628" s="53"/>
      <c r="D628" s="54" t="str">
        <f>IF('Open Invoices'!$C628=0,"",_xlfn.IFNA('Open Invoices'!#REF!-SUMIF(Payments[Invoice '#],'Open Invoices'!$C628,Payments[Amount Paid]),'Open Invoices'!#REF!))</f>
        <v/>
      </c>
      <c r="E628" s="54"/>
      <c r="F628" s="54"/>
    </row>
    <row r="629" spans="2:6" x14ac:dyDescent="0.25">
      <c r="B629" s="55" t="str">
        <f>IF(C629="","",INDEX(Invoices[Due Date],MATCH(C629,Invoices[Invoice '#],0)))</f>
        <v/>
      </c>
      <c r="C629" s="53"/>
      <c r="D629" s="54" t="str">
        <f>IF('Open Invoices'!$C629=0,"",_xlfn.IFNA('Open Invoices'!#REF!-SUMIF(Payments[Invoice '#],'Open Invoices'!$C629,Payments[Amount Paid]),'Open Invoices'!#REF!))</f>
        <v/>
      </c>
      <c r="E629" s="54"/>
      <c r="F629" s="54"/>
    </row>
    <row r="630" spans="2:6" x14ac:dyDescent="0.25">
      <c r="B630" s="55" t="str">
        <f>IF(C630="","",INDEX(Invoices[Due Date],MATCH(C630,Invoices[Invoice '#],0)))</f>
        <v/>
      </c>
      <c r="C630" s="53"/>
      <c r="D630" s="54" t="str">
        <f>IF('Open Invoices'!$C630=0,"",_xlfn.IFNA('Open Invoices'!#REF!-SUMIF(Payments[Invoice '#],'Open Invoices'!$C630,Payments[Amount Paid]),'Open Invoices'!#REF!))</f>
        <v/>
      </c>
      <c r="E630" s="54"/>
      <c r="F630" s="54"/>
    </row>
    <row r="631" spans="2:6" x14ac:dyDescent="0.25">
      <c r="B631" s="55" t="str">
        <f>IF(C631="","",INDEX(Invoices[Due Date],MATCH(C631,Invoices[Invoice '#],0)))</f>
        <v/>
      </c>
      <c r="C631" s="53"/>
      <c r="D631" s="54" t="str">
        <f>IF('Open Invoices'!$C631=0,"",_xlfn.IFNA('Open Invoices'!#REF!-SUMIF(Payments[Invoice '#],'Open Invoices'!$C631,Payments[Amount Paid]),'Open Invoices'!#REF!))</f>
        <v/>
      </c>
      <c r="E631" s="54"/>
      <c r="F631" s="54"/>
    </row>
    <row r="632" spans="2:6" x14ac:dyDescent="0.25">
      <c r="B632" s="55" t="str">
        <f>IF(C632="","",INDEX(Invoices[Due Date],MATCH(C632,Invoices[Invoice '#],0)))</f>
        <v/>
      </c>
      <c r="C632" s="53"/>
      <c r="D632" s="54" t="str">
        <f>IF('Open Invoices'!$C632=0,"",_xlfn.IFNA('Open Invoices'!#REF!-SUMIF(Payments[Invoice '#],'Open Invoices'!$C632,Payments[Amount Paid]),'Open Invoices'!#REF!))</f>
        <v/>
      </c>
      <c r="E632" s="54"/>
      <c r="F632" s="54"/>
    </row>
    <row r="633" spans="2:6" x14ac:dyDescent="0.25">
      <c r="B633" s="55" t="str">
        <f>IF(C633="","",INDEX(Invoices[Due Date],MATCH(C633,Invoices[Invoice '#],0)))</f>
        <v/>
      </c>
      <c r="C633" s="53"/>
      <c r="D633" s="54" t="str">
        <f>IF('Open Invoices'!$C633=0,"",_xlfn.IFNA('Open Invoices'!#REF!-SUMIF(Payments[Invoice '#],'Open Invoices'!$C633,Payments[Amount Paid]),'Open Invoices'!#REF!))</f>
        <v/>
      </c>
      <c r="E633" s="54"/>
      <c r="F633" s="54"/>
    </row>
    <row r="634" spans="2:6" x14ac:dyDescent="0.25">
      <c r="B634" s="55" t="str">
        <f>IF(C634="","",INDEX(Invoices[Due Date],MATCH(C634,Invoices[Invoice '#],0)))</f>
        <v/>
      </c>
      <c r="C634" s="53"/>
      <c r="D634" s="54" t="str">
        <f>IF('Open Invoices'!$C634=0,"",_xlfn.IFNA('Open Invoices'!#REF!-SUMIF(Payments[Invoice '#],'Open Invoices'!$C634,Payments[Amount Paid]),'Open Invoices'!#REF!))</f>
        <v/>
      </c>
      <c r="E634" s="54"/>
      <c r="F634" s="54"/>
    </row>
    <row r="635" spans="2:6" x14ac:dyDescent="0.25">
      <c r="B635" s="55" t="str">
        <f>IF(C635="","",INDEX(Invoices[Due Date],MATCH(C635,Invoices[Invoice '#],0)))</f>
        <v/>
      </c>
      <c r="C635" s="53"/>
      <c r="D635" s="54" t="str">
        <f>IF('Open Invoices'!$C635=0,"",_xlfn.IFNA('Open Invoices'!#REF!-SUMIF(Payments[Invoice '#],'Open Invoices'!$C635,Payments[Amount Paid]),'Open Invoices'!#REF!))</f>
        <v/>
      </c>
      <c r="E635" s="54"/>
      <c r="F635" s="54"/>
    </row>
    <row r="636" spans="2:6" x14ac:dyDescent="0.25">
      <c r="B636" s="55" t="str">
        <f>IF(C636="","",INDEX(Invoices[Due Date],MATCH(C636,Invoices[Invoice '#],0)))</f>
        <v/>
      </c>
      <c r="C636" s="53"/>
      <c r="D636" s="54" t="str">
        <f>IF('Open Invoices'!$C636=0,"",_xlfn.IFNA('Open Invoices'!#REF!-SUMIF(Payments[Invoice '#],'Open Invoices'!$C636,Payments[Amount Paid]),'Open Invoices'!#REF!))</f>
        <v/>
      </c>
      <c r="E636" s="54"/>
      <c r="F636" s="54"/>
    </row>
    <row r="637" spans="2:6" x14ac:dyDescent="0.25">
      <c r="B637" s="55" t="str">
        <f>IF(C637="","",INDEX(Invoices[Due Date],MATCH(C637,Invoices[Invoice '#],0)))</f>
        <v/>
      </c>
      <c r="C637" s="53"/>
      <c r="D637" s="54" t="str">
        <f>IF('Open Invoices'!$C637=0,"",_xlfn.IFNA('Open Invoices'!#REF!-SUMIF(Payments[Invoice '#],'Open Invoices'!$C637,Payments[Amount Paid]),'Open Invoices'!#REF!))</f>
        <v/>
      </c>
      <c r="E637" s="54"/>
      <c r="F637" s="54"/>
    </row>
    <row r="638" spans="2:6" x14ac:dyDescent="0.25">
      <c r="B638" s="55" t="str">
        <f>IF(C638="","",INDEX(Invoices[Due Date],MATCH(C638,Invoices[Invoice '#],0)))</f>
        <v/>
      </c>
      <c r="C638" s="53"/>
      <c r="D638" s="54" t="str">
        <f>IF('Open Invoices'!$C638=0,"",_xlfn.IFNA('Open Invoices'!#REF!-SUMIF(Payments[Invoice '#],'Open Invoices'!$C638,Payments[Amount Paid]),'Open Invoices'!#REF!))</f>
        <v/>
      </c>
      <c r="E638" s="54"/>
      <c r="F638" s="54"/>
    </row>
    <row r="639" spans="2:6" x14ac:dyDescent="0.25">
      <c r="B639" s="55" t="str">
        <f>IF(C639="","",INDEX(Invoices[Due Date],MATCH(C639,Invoices[Invoice '#],0)))</f>
        <v/>
      </c>
      <c r="C639" s="53"/>
      <c r="D639" s="54" t="str">
        <f>IF('Open Invoices'!$C639=0,"",_xlfn.IFNA('Open Invoices'!#REF!-SUMIF(Payments[Invoice '#],'Open Invoices'!$C639,Payments[Amount Paid]),'Open Invoices'!#REF!))</f>
        <v/>
      </c>
      <c r="E639" s="54"/>
      <c r="F639" s="54"/>
    </row>
    <row r="640" spans="2:6" x14ac:dyDescent="0.25">
      <c r="B640" s="55" t="str">
        <f>IF(C640="","",INDEX(Invoices[Due Date],MATCH(C640,Invoices[Invoice '#],0)))</f>
        <v/>
      </c>
      <c r="C640" s="53"/>
      <c r="D640" s="54" t="str">
        <f>IF('Open Invoices'!$C640=0,"",_xlfn.IFNA('Open Invoices'!#REF!-SUMIF(Payments[Invoice '#],'Open Invoices'!$C640,Payments[Amount Paid]),'Open Invoices'!#REF!))</f>
        <v/>
      </c>
      <c r="E640" s="54"/>
      <c r="F640" s="54"/>
    </row>
    <row r="641" spans="2:6" x14ac:dyDescent="0.25">
      <c r="B641" s="55" t="str">
        <f>IF(C641="","",INDEX(Invoices[Due Date],MATCH(C641,Invoices[Invoice '#],0)))</f>
        <v/>
      </c>
      <c r="C641" s="53"/>
      <c r="D641" s="54" t="str">
        <f>IF('Open Invoices'!$C641=0,"",_xlfn.IFNA('Open Invoices'!#REF!-SUMIF(Payments[Invoice '#],'Open Invoices'!$C641,Payments[Amount Paid]),'Open Invoices'!#REF!))</f>
        <v/>
      </c>
      <c r="E641" s="54"/>
      <c r="F641" s="54"/>
    </row>
    <row r="642" spans="2:6" x14ac:dyDescent="0.25">
      <c r="B642" s="55" t="str">
        <f>IF(C642="","",INDEX(Invoices[Due Date],MATCH(C642,Invoices[Invoice '#],0)))</f>
        <v/>
      </c>
      <c r="C642" s="53"/>
      <c r="D642" s="54" t="str">
        <f>IF('Open Invoices'!$C642=0,"",_xlfn.IFNA('Open Invoices'!#REF!-SUMIF(Payments[Invoice '#],'Open Invoices'!$C642,Payments[Amount Paid]),'Open Invoices'!#REF!))</f>
        <v/>
      </c>
      <c r="E642" s="54"/>
      <c r="F642" s="54"/>
    </row>
    <row r="643" spans="2:6" x14ac:dyDescent="0.25">
      <c r="B643" s="55" t="str">
        <f>IF(C643="","",INDEX(Invoices[Due Date],MATCH(C643,Invoices[Invoice '#],0)))</f>
        <v/>
      </c>
      <c r="C643" s="53"/>
      <c r="D643" s="54" t="str">
        <f>IF('Open Invoices'!$C643=0,"",_xlfn.IFNA('Open Invoices'!#REF!-SUMIF(Payments[Invoice '#],'Open Invoices'!$C643,Payments[Amount Paid]),'Open Invoices'!#REF!))</f>
        <v/>
      </c>
      <c r="E643" s="54"/>
      <c r="F643" s="54"/>
    </row>
    <row r="644" spans="2:6" x14ac:dyDescent="0.25">
      <c r="B644" s="55" t="str">
        <f>IF(C644="","",INDEX(Invoices[Due Date],MATCH(C644,Invoices[Invoice '#],0)))</f>
        <v/>
      </c>
      <c r="C644" s="53"/>
      <c r="D644" s="54" t="str">
        <f>IF('Open Invoices'!$C644=0,"",_xlfn.IFNA('Open Invoices'!#REF!-SUMIF(Payments[Invoice '#],'Open Invoices'!$C644,Payments[Amount Paid]),'Open Invoices'!#REF!))</f>
        <v/>
      </c>
      <c r="E644" s="54"/>
      <c r="F644" s="54"/>
    </row>
    <row r="645" spans="2:6" x14ac:dyDescent="0.25">
      <c r="B645" s="55" t="str">
        <f>IF(C645="","",INDEX(Invoices[Due Date],MATCH(C645,Invoices[Invoice '#],0)))</f>
        <v/>
      </c>
      <c r="C645" s="53"/>
      <c r="D645" s="54" t="str">
        <f>IF('Open Invoices'!$C645=0,"",_xlfn.IFNA('Open Invoices'!#REF!-SUMIF(Payments[Invoice '#],'Open Invoices'!$C645,Payments[Amount Paid]),'Open Invoices'!#REF!))</f>
        <v/>
      </c>
      <c r="E645" s="54"/>
      <c r="F645" s="54"/>
    </row>
    <row r="646" spans="2:6" x14ac:dyDescent="0.25">
      <c r="B646" s="55" t="str">
        <f>IF(C646="","",INDEX(Invoices[Due Date],MATCH(C646,Invoices[Invoice '#],0)))</f>
        <v/>
      </c>
      <c r="C646" s="53"/>
      <c r="D646" s="54" t="str">
        <f>IF('Open Invoices'!$C646=0,"",_xlfn.IFNA('Open Invoices'!#REF!-SUMIF(Payments[Invoice '#],'Open Invoices'!$C646,Payments[Amount Paid]),'Open Invoices'!#REF!))</f>
        <v/>
      </c>
      <c r="E646" s="54"/>
      <c r="F646" s="54"/>
    </row>
    <row r="647" spans="2:6" x14ac:dyDescent="0.25">
      <c r="B647" s="55" t="str">
        <f>IF(C647="","",INDEX(Invoices[Due Date],MATCH(C647,Invoices[Invoice '#],0)))</f>
        <v/>
      </c>
      <c r="C647" s="53"/>
      <c r="D647" s="54" t="str">
        <f>IF('Open Invoices'!$C647=0,"",_xlfn.IFNA('Open Invoices'!#REF!-SUMIF(Payments[Invoice '#],'Open Invoices'!$C647,Payments[Amount Paid]),'Open Invoices'!#REF!))</f>
        <v/>
      </c>
      <c r="E647" s="54"/>
      <c r="F647" s="54"/>
    </row>
    <row r="648" spans="2:6" x14ac:dyDescent="0.25">
      <c r="B648" s="55" t="str">
        <f>IF(C648="","",INDEX(Invoices[Due Date],MATCH(C648,Invoices[Invoice '#],0)))</f>
        <v/>
      </c>
      <c r="C648" s="53"/>
      <c r="D648" s="54" t="str">
        <f>IF('Open Invoices'!$C648=0,"",_xlfn.IFNA('Open Invoices'!#REF!-SUMIF(Payments[Invoice '#],'Open Invoices'!$C648,Payments[Amount Paid]),'Open Invoices'!#REF!))</f>
        <v/>
      </c>
      <c r="E648" s="54"/>
      <c r="F648" s="54"/>
    </row>
    <row r="649" spans="2:6" x14ac:dyDescent="0.25">
      <c r="B649" s="55" t="str">
        <f>IF(C649="","",INDEX(Invoices[Due Date],MATCH(C649,Invoices[Invoice '#],0)))</f>
        <v/>
      </c>
      <c r="C649" s="53"/>
      <c r="D649" s="54" t="str">
        <f>IF('Open Invoices'!$C649=0,"",_xlfn.IFNA('Open Invoices'!#REF!-SUMIF(Payments[Invoice '#],'Open Invoices'!$C649,Payments[Amount Paid]),'Open Invoices'!#REF!))</f>
        <v/>
      </c>
      <c r="E649" s="54"/>
      <c r="F649" s="54"/>
    </row>
    <row r="650" spans="2:6" x14ac:dyDescent="0.25">
      <c r="B650" s="55" t="str">
        <f>IF(C650="","",INDEX(Invoices[Due Date],MATCH(C650,Invoices[Invoice '#],0)))</f>
        <v/>
      </c>
      <c r="C650" s="53"/>
      <c r="D650" s="54" t="str">
        <f>IF('Open Invoices'!$C650=0,"",_xlfn.IFNA('Open Invoices'!#REF!-SUMIF(Payments[Invoice '#],'Open Invoices'!$C650,Payments[Amount Paid]),'Open Invoices'!#REF!))</f>
        <v/>
      </c>
      <c r="E650" s="54"/>
      <c r="F650" s="54"/>
    </row>
    <row r="651" spans="2:6" x14ac:dyDescent="0.25">
      <c r="B651" s="55" t="str">
        <f>IF(C651="","",INDEX(Invoices[Due Date],MATCH(C651,Invoices[Invoice '#],0)))</f>
        <v/>
      </c>
      <c r="C651" s="53"/>
      <c r="D651" s="54" t="str">
        <f>IF('Open Invoices'!$C651=0,"",_xlfn.IFNA('Open Invoices'!#REF!-SUMIF(Payments[Invoice '#],'Open Invoices'!$C651,Payments[Amount Paid]),'Open Invoices'!#REF!))</f>
        <v/>
      </c>
      <c r="E651" s="54"/>
      <c r="F651" s="54"/>
    </row>
    <row r="652" spans="2:6" x14ac:dyDescent="0.25">
      <c r="B652" s="55" t="str">
        <f>IF(C652="","",INDEX(Invoices[Due Date],MATCH(C652,Invoices[Invoice '#],0)))</f>
        <v/>
      </c>
      <c r="C652" s="53"/>
      <c r="D652" s="54" t="str">
        <f>IF('Open Invoices'!$C652=0,"",_xlfn.IFNA('Open Invoices'!#REF!-SUMIF(Payments[Invoice '#],'Open Invoices'!$C652,Payments[Amount Paid]),'Open Invoices'!#REF!))</f>
        <v/>
      </c>
      <c r="E652" s="54"/>
      <c r="F652" s="54"/>
    </row>
    <row r="653" spans="2:6" x14ac:dyDescent="0.25">
      <c r="B653" s="55" t="str">
        <f>IF(C653="","",INDEX(Invoices[Due Date],MATCH(C653,Invoices[Invoice '#],0)))</f>
        <v/>
      </c>
      <c r="C653" s="53"/>
      <c r="D653" s="54" t="str">
        <f>IF('Open Invoices'!$C653=0,"",_xlfn.IFNA('Open Invoices'!#REF!-SUMIF(Payments[Invoice '#],'Open Invoices'!$C653,Payments[Amount Paid]),'Open Invoices'!#REF!))</f>
        <v/>
      </c>
      <c r="E653" s="54"/>
      <c r="F653" s="54"/>
    </row>
    <row r="654" spans="2:6" x14ac:dyDescent="0.25">
      <c r="B654" s="55" t="str">
        <f>IF(C654="","",INDEX(Invoices[Due Date],MATCH(C654,Invoices[Invoice '#],0)))</f>
        <v/>
      </c>
      <c r="C654" s="53"/>
      <c r="D654" s="54" t="str">
        <f>IF('Open Invoices'!$C654=0,"",_xlfn.IFNA('Open Invoices'!#REF!-SUMIF(Payments[Invoice '#],'Open Invoices'!$C654,Payments[Amount Paid]),'Open Invoices'!#REF!))</f>
        <v/>
      </c>
      <c r="E654" s="54"/>
      <c r="F654" s="54"/>
    </row>
    <row r="655" spans="2:6" x14ac:dyDescent="0.25">
      <c r="B655" s="55" t="str">
        <f>IF(C655="","",INDEX(Invoices[Due Date],MATCH(C655,Invoices[Invoice '#],0)))</f>
        <v/>
      </c>
      <c r="C655" s="53"/>
      <c r="D655" s="54" t="str">
        <f>IF('Open Invoices'!$C655=0,"",_xlfn.IFNA('Open Invoices'!#REF!-SUMIF(Payments[Invoice '#],'Open Invoices'!$C655,Payments[Amount Paid]),'Open Invoices'!#REF!))</f>
        <v/>
      </c>
      <c r="E655" s="54"/>
      <c r="F655" s="54"/>
    </row>
    <row r="656" spans="2:6" x14ac:dyDescent="0.25">
      <c r="B656" s="55" t="str">
        <f>IF(C656="","",INDEX(Invoices[Due Date],MATCH(C656,Invoices[Invoice '#],0)))</f>
        <v/>
      </c>
      <c r="C656" s="53"/>
      <c r="D656" s="54" t="str">
        <f>IF('Open Invoices'!$C656=0,"",_xlfn.IFNA('Open Invoices'!#REF!-SUMIF(Payments[Invoice '#],'Open Invoices'!$C656,Payments[Amount Paid]),'Open Invoices'!#REF!))</f>
        <v/>
      </c>
      <c r="E656" s="54"/>
      <c r="F656" s="54"/>
    </row>
    <row r="657" spans="2:6" x14ac:dyDescent="0.25">
      <c r="B657" s="55" t="str">
        <f>IF(C657="","",INDEX(Invoices[Due Date],MATCH(C657,Invoices[Invoice '#],0)))</f>
        <v/>
      </c>
      <c r="C657" s="53"/>
      <c r="D657" s="54" t="str">
        <f>IF('Open Invoices'!$C657=0,"",_xlfn.IFNA('Open Invoices'!#REF!-SUMIF(Payments[Invoice '#],'Open Invoices'!$C657,Payments[Amount Paid]),'Open Invoices'!#REF!))</f>
        <v/>
      </c>
      <c r="E657" s="54"/>
      <c r="F657" s="54"/>
    </row>
    <row r="658" spans="2:6" x14ac:dyDescent="0.25">
      <c r="B658" s="55" t="str">
        <f>IF(C658="","",INDEX(Invoices[Due Date],MATCH(C658,Invoices[Invoice '#],0)))</f>
        <v/>
      </c>
      <c r="C658" s="53"/>
      <c r="D658" s="54" t="str">
        <f>IF('Open Invoices'!$C658=0,"",_xlfn.IFNA('Open Invoices'!#REF!-SUMIF(Payments[Invoice '#],'Open Invoices'!$C658,Payments[Amount Paid]),'Open Invoices'!#REF!))</f>
        <v/>
      </c>
      <c r="E658" s="54"/>
      <c r="F658" s="54"/>
    </row>
    <row r="659" spans="2:6" x14ac:dyDescent="0.25">
      <c r="B659" s="55" t="str">
        <f>IF(C659="","",INDEX(Invoices[Due Date],MATCH(C659,Invoices[Invoice '#],0)))</f>
        <v/>
      </c>
      <c r="C659" s="53"/>
      <c r="D659" s="54" t="str">
        <f>IF('Open Invoices'!$C659=0,"",_xlfn.IFNA('Open Invoices'!#REF!-SUMIF(Payments[Invoice '#],'Open Invoices'!$C659,Payments[Amount Paid]),'Open Invoices'!#REF!))</f>
        <v/>
      </c>
      <c r="E659" s="54"/>
      <c r="F659" s="54"/>
    </row>
    <row r="660" spans="2:6" x14ac:dyDescent="0.25">
      <c r="B660" s="55" t="str">
        <f>IF(C660="","",INDEX(Invoices[Due Date],MATCH(C660,Invoices[Invoice '#],0)))</f>
        <v/>
      </c>
      <c r="C660" s="53"/>
      <c r="D660" s="54" t="str">
        <f>IF('Open Invoices'!$C660=0,"",_xlfn.IFNA('Open Invoices'!#REF!-SUMIF(Payments[Invoice '#],'Open Invoices'!$C660,Payments[Amount Paid]),'Open Invoices'!#REF!))</f>
        <v/>
      </c>
      <c r="E660" s="54"/>
      <c r="F660" s="54"/>
    </row>
    <row r="661" spans="2:6" x14ac:dyDescent="0.25">
      <c r="B661" s="55" t="str">
        <f>IF(C661="","",INDEX(Invoices[Due Date],MATCH(C661,Invoices[Invoice '#],0)))</f>
        <v/>
      </c>
      <c r="C661" s="53"/>
      <c r="D661" s="54" t="str">
        <f>IF('Open Invoices'!$C661=0,"",_xlfn.IFNA('Open Invoices'!#REF!-SUMIF(Payments[Invoice '#],'Open Invoices'!$C661,Payments[Amount Paid]),'Open Invoices'!#REF!))</f>
        <v/>
      </c>
      <c r="E661" s="54"/>
      <c r="F661" s="54"/>
    </row>
    <row r="662" spans="2:6" x14ac:dyDescent="0.25">
      <c r="B662" s="55" t="str">
        <f>IF(C662="","",INDEX(Invoices[Due Date],MATCH(C662,Invoices[Invoice '#],0)))</f>
        <v/>
      </c>
      <c r="C662" s="53"/>
      <c r="D662" s="54" t="str">
        <f>IF('Open Invoices'!$C662=0,"",_xlfn.IFNA('Open Invoices'!#REF!-SUMIF(Payments[Invoice '#],'Open Invoices'!$C662,Payments[Amount Paid]),'Open Invoices'!#REF!))</f>
        <v/>
      </c>
      <c r="E662" s="54"/>
      <c r="F662" s="54"/>
    </row>
    <row r="663" spans="2:6" x14ac:dyDescent="0.25">
      <c r="B663" s="55" t="str">
        <f>IF(C663="","",INDEX(Invoices[Due Date],MATCH(C663,Invoices[Invoice '#],0)))</f>
        <v/>
      </c>
      <c r="C663" s="53"/>
      <c r="D663" s="54" t="str">
        <f>IF('Open Invoices'!$C663=0,"",_xlfn.IFNA('Open Invoices'!#REF!-SUMIF(Payments[Invoice '#],'Open Invoices'!$C663,Payments[Amount Paid]),'Open Invoices'!#REF!))</f>
        <v/>
      </c>
      <c r="E663" s="54"/>
      <c r="F663" s="54"/>
    </row>
    <row r="664" spans="2:6" x14ac:dyDescent="0.25">
      <c r="B664" s="55" t="str">
        <f>IF(C664="","",INDEX(Invoices[Due Date],MATCH(C664,Invoices[Invoice '#],0)))</f>
        <v/>
      </c>
      <c r="C664" s="53"/>
      <c r="D664" s="54" t="str">
        <f>IF('Open Invoices'!$C664=0,"",_xlfn.IFNA('Open Invoices'!#REF!-SUMIF(Payments[Invoice '#],'Open Invoices'!$C664,Payments[Amount Paid]),'Open Invoices'!#REF!))</f>
        <v/>
      </c>
      <c r="E664" s="54"/>
      <c r="F664" s="54"/>
    </row>
    <row r="665" spans="2:6" x14ac:dyDescent="0.25">
      <c r="B665" s="55" t="str">
        <f>IF(C665="","",INDEX(Invoices[Due Date],MATCH(C665,Invoices[Invoice '#],0)))</f>
        <v/>
      </c>
      <c r="C665" s="53"/>
      <c r="D665" s="54" t="str">
        <f>IF('Open Invoices'!$C665=0,"",_xlfn.IFNA('Open Invoices'!#REF!-SUMIF(Payments[Invoice '#],'Open Invoices'!$C665,Payments[Amount Paid]),'Open Invoices'!#REF!))</f>
        <v/>
      </c>
      <c r="E665" s="54"/>
      <c r="F665" s="54"/>
    </row>
    <row r="666" spans="2:6" x14ac:dyDescent="0.25">
      <c r="B666" s="55" t="str">
        <f>IF(C666="","",INDEX(Invoices[Due Date],MATCH(C666,Invoices[Invoice '#],0)))</f>
        <v/>
      </c>
      <c r="C666" s="53"/>
      <c r="D666" s="54" t="str">
        <f>IF('Open Invoices'!$C666=0,"",_xlfn.IFNA('Open Invoices'!#REF!-SUMIF(Payments[Invoice '#],'Open Invoices'!$C666,Payments[Amount Paid]),'Open Invoices'!#REF!))</f>
        <v/>
      </c>
      <c r="E666" s="54"/>
      <c r="F666" s="54"/>
    </row>
    <row r="667" spans="2:6" x14ac:dyDescent="0.25">
      <c r="B667" s="55" t="str">
        <f>IF(C667="","",INDEX(Invoices[Due Date],MATCH(C667,Invoices[Invoice '#],0)))</f>
        <v/>
      </c>
      <c r="C667" s="53"/>
      <c r="D667" s="54" t="str">
        <f>IF('Open Invoices'!$C667=0,"",_xlfn.IFNA('Open Invoices'!#REF!-SUMIF(Payments[Invoice '#],'Open Invoices'!$C667,Payments[Amount Paid]),'Open Invoices'!#REF!))</f>
        <v/>
      </c>
      <c r="E667" s="54"/>
      <c r="F667" s="54"/>
    </row>
    <row r="668" spans="2:6" x14ac:dyDescent="0.25">
      <c r="B668" s="55" t="str">
        <f>IF(C668="","",INDEX(Invoices[Due Date],MATCH(C668,Invoices[Invoice '#],0)))</f>
        <v/>
      </c>
      <c r="C668" s="53"/>
      <c r="D668" s="54" t="str">
        <f>IF('Open Invoices'!$C668=0,"",_xlfn.IFNA('Open Invoices'!#REF!-SUMIF(Payments[Invoice '#],'Open Invoices'!$C668,Payments[Amount Paid]),'Open Invoices'!#REF!))</f>
        <v/>
      </c>
      <c r="E668" s="54"/>
      <c r="F668" s="54"/>
    </row>
    <row r="669" spans="2:6" x14ac:dyDescent="0.25">
      <c r="B669" s="55" t="str">
        <f>IF(C669="","",INDEX(Invoices[Due Date],MATCH(C669,Invoices[Invoice '#],0)))</f>
        <v/>
      </c>
      <c r="C669" s="53"/>
      <c r="D669" s="54" t="str">
        <f>IF('Open Invoices'!$C669=0,"",_xlfn.IFNA('Open Invoices'!#REF!-SUMIF(Payments[Invoice '#],'Open Invoices'!$C669,Payments[Amount Paid]),'Open Invoices'!#REF!))</f>
        <v/>
      </c>
      <c r="E669" s="54"/>
      <c r="F669" s="54"/>
    </row>
    <row r="670" spans="2:6" x14ac:dyDescent="0.25">
      <c r="B670" s="55" t="str">
        <f>IF(C670="","",INDEX(Invoices[Due Date],MATCH(C670,Invoices[Invoice '#],0)))</f>
        <v/>
      </c>
      <c r="C670" s="53"/>
      <c r="D670" s="54" t="str">
        <f>IF('Open Invoices'!$C670=0,"",_xlfn.IFNA('Open Invoices'!#REF!-SUMIF(Payments[Invoice '#],'Open Invoices'!$C670,Payments[Amount Paid]),'Open Invoices'!#REF!))</f>
        <v/>
      </c>
      <c r="E670" s="54"/>
      <c r="F670" s="54"/>
    </row>
    <row r="671" spans="2:6" x14ac:dyDescent="0.25">
      <c r="B671" s="55" t="str">
        <f>IF(C671="","",INDEX(Invoices[Due Date],MATCH(C671,Invoices[Invoice '#],0)))</f>
        <v/>
      </c>
      <c r="C671" s="53"/>
      <c r="D671" s="54" t="str">
        <f>IF('Open Invoices'!$C671=0,"",_xlfn.IFNA('Open Invoices'!#REF!-SUMIF(Payments[Invoice '#],'Open Invoices'!$C671,Payments[Amount Paid]),'Open Invoices'!#REF!))</f>
        <v/>
      </c>
      <c r="E671" s="54"/>
      <c r="F671" s="54"/>
    </row>
    <row r="672" spans="2:6" x14ac:dyDescent="0.25">
      <c r="B672" s="55" t="str">
        <f>IF(C672="","",INDEX(Invoices[Due Date],MATCH(C672,Invoices[Invoice '#],0)))</f>
        <v/>
      </c>
      <c r="C672" s="53"/>
      <c r="D672" s="54" t="str">
        <f>IF('Open Invoices'!$C672=0,"",_xlfn.IFNA('Open Invoices'!#REF!-SUMIF(Payments[Invoice '#],'Open Invoices'!$C672,Payments[Amount Paid]),'Open Invoices'!#REF!))</f>
        <v/>
      </c>
      <c r="E672" s="54"/>
      <c r="F672" s="54"/>
    </row>
    <row r="673" spans="2:6" x14ac:dyDescent="0.25">
      <c r="B673" s="55" t="str">
        <f>IF(C673="","",INDEX(Invoices[Due Date],MATCH(C673,Invoices[Invoice '#],0)))</f>
        <v/>
      </c>
      <c r="C673" s="53"/>
      <c r="D673" s="54" t="str">
        <f>IF('Open Invoices'!$C673=0,"",_xlfn.IFNA('Open Invoices'!#REF!-SUMIF(Payments[Invoice '#],'Open Invoices'!$C673,Payments[Amount Paid]),'Open Invoices'!#REF!))</f>
        <v/>
      </c>
      <c r="E673" s="54"/>
      <c r="F673" s="54"/>
    </row>
    <row r="674" spans="2:6" x14ac:dyDescent="0.25">
      <c r="B674" s="55" t="str">
        <f>IF(C674="","",INDEX(Invoices[Due Date],MATCH(C674,Invoices[Invoice '#],0)))</f>
        <v/>
      </c>
      <c r="C674" s="53"/>
      <c r="D674" s="54" t="str">
        <f>IF('Open Invoices'!$C674=0,"",_xlfn.IFNA('Open Invoices'!#REF!-SUMIF(Payments[Invoice '#],'Open Invoices'!$C674,Payments[Amount Paid]),'Open Invoices'!#REF!))</f>
        <v/>
      </c>
      <c r="E674" s="54"/>
      <c r="F674" s="54"/>
    </row>
    <row r="675" spans="2:6" x14ac:dyDescent="0.25">
      <c r="B675" s="55" t="str">
        <f>IF(C675="","",INDEX(Invoices[Due Date],MATCH(C675,Invoices[Invoice '#],0)))</f>
        <v/>
      </c>
      <c r="C675" s="53"/>
      <c r="D675" s="54" t="str">
        <f>IF('Open Invoices'!$C675=0,"",_xlfn.IFNA('Open Invoices'!#REF!-SUMIF(Payments[Invoice '#],'Open Invoices'!$C675,Payments[Amount Paid]),'Open Invoices'!#REF!))</f>
        <v/>
      </c>
      <c r="E675" s="54"/>
      <c r="F675" s="54"/>
    </row>
    <row r="676" spans="2:6" x14ac:dyDescent="0.25">
      <c r="B676" s="55" t="str">
        <f>IF(C676="","",INDEX(Invoices[Due Date],MATCH(C676,Invoices[Invoice '#],0)))</f>
        <v/>
      </c>
      <c r="C676" s="53"/>
      <c r="D676" s="54" t="str">
        <f>IF('Open Invoices'!$C676=0,"",_xlfn.IFNA('Open Invoices'!#REF!-SUMIF(Payments[Invoice '#],'Open Invoices'!$C676,Payments[Amount Paid]),'Open Invoices'!#REF!))</f>
        <v/>
      </c>
      <c r="E676" s="54"/>
      <c r="F676" s="54"/>
    </row>
    <row r="677" spans="2:6" x14ac:dyDescent="0.25">
      <c r="B677" s="55" t="str">
        <f>IF(C677="","",INDEX(Invoices[Due Date],MATCH(C677,Invoices[Invoice '#],0)))</f>
        <v/>
      </c>
      <c r="C677" s="53"/>
      <c r="D677" s="54" t="str">
        <f>IF('Open Invoices'!$C677=0,"",_xlfn.IFNA('Open Invoices'!#REF!-SUMIF(Payments[Invoice '#],'Open Invoices'!$C677,Payments[Amount Paid]),'Open Invoices'!#REF!))</f>
        <v/>
      </c>
      <c r="E677" s="54"/>
      <c r="F677" s="54"/>
    </row>
    <row r="678" spans="2:6" x14ac:dyDescent="0.25">
      <c r="B678" s="55" t="str">
        <f>IF(C678="","",INDEX(Invoices[Due Date],MATCH(C678,Invoices[Invoice '#],0)))</f>
        <v/>
      </c>
      <c r="C678" s="53"/>
      <c r="D678" s="54" t="str">
        <f>IF('Open Invoices'!$C678=0,"",_xlfn.IFNA('Open Invoices'!#REF!-SUMIF(Payments[Invoice '#],'Open Invoices'!$C678,Payments[Amount Paid]),'Open Invoices'!#REF!))</f>
        <v/>
      </c>
      <c r="E678" s="54"/>
      <c r="F678" s="54"/>
    </row>
    <row r="679" spans="2:6" x14ac:dyDescent="0.25">
      <c r="B679" s="55" t="str">
        <f>IF(C679="","",INDEX(Invoices[Due Date],MATCH(C679,Invoices[Invoice '#],0)))</f>
        <v/>
      </c>
      <c r="C679" s="53"/>
      <c r="D679" s="54" t="str">
        <f>IF('Open Invoices'!$C679=0,"",_xlfn.IFNA('Open Invoices'!#REF!-SUMIF(Payments[Invoice '#],'Open Invoices'!$C679,Payments[Amount Paid]),'Open Invoices'!#REF!))</f>
        <v/>
      </c>
      <c r="E679" s="54"/>
      <c r="F679" s="54"/>
    </row>
    <row r="680" spans="2:6" x14ac:dyDescent="0.25">
      <c r="B680" s="55" t="str">
        <f>IF(C680="","",INDEX(Invoices[Due Date],MATCH(C680,Invoices[Invoice '#],0)))</f>
        <v/>
      </c>
      <c r="C680" s="53"/>
      <c r="D680" s="54" t="str">
        <f>IF('Open Invoices'!$C680=0,"",_xlfn.IFNA('Open Invoices'!#REF!-SUMIF(Payments[Invoice '#],'Open Invoices'!$C680,Payments[Amount Paid]),'Open Invoices'!#REF!))</f>
        <v/>
      </c>
      <c r="E680" s="54"/>
      <c r="F680" s="54"/>
    </row>
    <row r="681" spans="2:6" x14ac:dyDescent="0.25">
      <c r="B681" s="55" t="str">
        <f>IF(C681="","",INDEX(Invoices[Due Date],MATCH(C681,Invoices[Invoice '#],0)))</f>
        <v/>
      </c>
      <c r="C681" s="53"/>
      <c r="D681" s="54" t="str">
        <f>IF('Open Invoices'!$C681=0,"",_xlfn.IFNA('Open Invoices'!#REF!-SUMIF(Payments[Invoice '#],'Open Invoices'!$C681,Payments[Amount Paid]),'Open Invoices'!#REF!))</f>
        <v/>
      </c>
      <c r="E681" s="54"/>
      <c r="F681" s="54"/>
    </row>
    <row r="682" spans="2:6" x14ac:dyDescent="0.25">
      <c r="B682" s="55" t="str">
        <f>IF(C682="","",INDEX(Invoices[Due Date],MATCH(C682,Invoices[Invoice '#],0)))</f>
        <v/>
      </c>
      <c r="C682" s="53"/>
      <c r="D682" s="54" t="str">
        <f>IF('Open Invoices'!$C682=0,"",_xlfn.IFNA('Open Invoices'!#REF!-SUMIF(Payments[Invoice '#],'Open Invoices'!$C682,Payments[Amount Paid]),'Open Invoices'!#REF!))</f>
        <v/>
      </c>
      <c r="E682" s="54"/>
      <c r="F682" s="54"/>
    </row>
    <row r="683" spans="2:6" x14ac:dyDescent="0.25">
      <c r="B683" s="55" t="str">
        <f>IF(C683="","",INDEX(Invoices[Due Date],MATCH(C683,Invoices[Invoice '#],0)))</f>
        <v/>
      </c>
      <c r="C683" s="53"/>
      <c r="D683" s="54" t="str">
        <f>IF('Open Invoices'!$C683=0,"",_xlfn.IFNA('Open Invoices'!#REF!-SUMIF(Payments[Invoice '#],'Open Invoices'!$C683,Payments[Amount Paid]),'Open Invoices'!#REF!))</f>
        <v/>
      </c>
      <c r="E683" s="54"/>
      <c r="F683" s="54"/>
    </row>
    <row r="684" spans="2:6" x14ac:dyDescent="0.25">
      <c r="B684" s="55" t="str">
        <f>IF(C684="","",INDEX(Invoices[Due Date],MATCH(C684,Invoices[Invoice '#],0)))</f>
        <v/>
      </c>
      <c r="C684" s="53"/>
      <c r="D684" s="54" t="str">
        <f>IF('Open Invoices'!$C684=0,"",_xlfn.IFNA('Open Invoices'!#REF!-SUMIF(Payments[Invoice '#],'Open Invoices'!$C684,Payments[Amount Paid]),'Open Invoices'!#REF!))</f>
        <v/>
      </c>
      <c r="E684" s="54"/>
      <c r="F684" s="54"/>
    </row>
    <row r="685" spans="2:6" x14ac:dyDescent="0.25">
      <c r="B685" s="55" t="str">
        <f>IF(C685="","",INDEX(Invoices[Due Date],MATCH(C685,Invoices[Invoice '#],0)))</f>
        <v/>
      </c>
      <c r="C685" s="53"/>
      <c r="D685" s="54" t="str">
        <f>IF('Open Invoices'!$C685=0,"",_xlfn.IFNA('Open Invoices'!#REF!-SUMIF(Payments[Invoice '#],'Open Invoices'!$C685,Payments[Amount Paid]),'Open Invoices'!#REF!))</f>
        <v/>
      </c>
      <c r="E685" s="54"/>
      <c r="F685" s="54"/>
    </row>
    <row r="686" spans="2:6" x14ac:dyDescent="0.25">
      <c r="B686" s="55" t="str">
        <f>IF(C686="","",INDEX(Invoices[Due Date],MATCH(C686,Invoices[Invoice '#],0)))</f>
        <v/>
      </c>
      <c r="C686" s="53"/>
      <c r="D686" s="54" t="str">
        <f>IF('Open Invoices'!$C686=0,"",_xlfn.IFNA('Open Invoices'!#REF!-SUMIF(Payments[Invoice '#],'Open Invoices'!$C686,Payments[Amount Paid]),'Open Invoices'!#REF!))</f>
        <v/>
      </c>
      <c r="E686" s="54"/>
      <c r="F686" s="54"/>
    </row>
    <row r="687" spans="2:6" x14ac:dyDescent="0.25">
      <c r="B687" s="55" t="str">
        <f>IF(C687="","",INDEX(Invoices[Due Date],MATCH(C687,Invoices[Invoice '#],0)))</f>
        <v/>
      </c>
      <c r="C687" s="53"/>
      <c r="D687" s="54" t="str">
        <f>IF('Open Invoices'!$C687=0,"",_xlfn.IFNA('Open Invoices'!#REF!-SUMIF(Payments[Invoice '#],'Open Invoices'!$C687,Payments[Amount Paid]),'Open Invoices'!#REF!))</f>
        <v/>
      </c>
      <c r="E687" s="54"/>
      <c r="F687" s="54"/>
    </row>
    <row r="688" spans="2:6" x14ac:dyDescent="0.25">
      <c r="B688" s="55" t="str">
        <f>IF(C688="","",INDEX(Invoices[Due Date],MATCH(C688,Invoices[Invoice '#],0)))</f>
        <v/>
      </c>
      <c r="C688" s="53"/>
      <c r="D688" s="54" t="str">
        <f>IF('Open Invoices'!$C688=0,"",_xlfn.IFNA('Open Invoices'!#REF!-SUMIF(Payments[Invoice '#],'Open Invoices'!$C688,Payments[Amount Paid]),'Open Invoices'!#REF!))</f>
        <v/>
      </c>
      <c r="E688" s="54"/>
      <c r="F688" s="54"/>
    </row>
    <row r="689" spans="2:6" x14ac:dyDescent="0.25">
      <c r="B689" s="55" t="str">
        <f>IF(C689="","",INDEX(Invoices[Due Date],MATCH(C689,Invoices[Invoice '#],0)))</f>
        <v/>
      </c>
      <c r="C689" s="53"/>
      <c r="D689" s="54" t="str">
        <f>IF('Open Invoices'!$C689=0,"",_xlfn.IFNA('Open Invoices'!#REF!-SUMIF(Payments[Invoice '#],'Open Invoices'!$C689,Payments[Amount Paid]),'Open Invoices'!#REF!))</f>
        <v/>
      </c>
      <c r="E689" s="54"/>
      <c r="F689" s="54"/>
    </row>
    <row r="690" spans="2:6" x14ac:dyDescent="0.25">
      <c r="B690" s="55" t="str">
        <f>IF(C690="","",INDEX(Invoices[Due Date],MATCH(C690,Invoices[Invoice '#],0)))</f>
        <v/>
      </c>
      <c r="C690" s="53"/>
      <c r="D690" s="54" t="str">
        <f>IF('Open Invoices'!$C690=0,"",_xlfn.IFNA('Open Invoices'!#REF!-SUMIF(Payments[Invoice '#],'Open Invoices'!$C690,Payments[Amount Paid]),'Open Invoices'!#REF!))</f>
        <v/>
      </c>
      <c r="E690" s="54"/>
      <c r="F690" s="54"/>
    </row>
    <row r="691" spans="2:6" x14ac:dyDescent="0.25">
      <c r="B691" s="55" t="str">
        <f>IF(C691="","",INDEX(Invoices[Due Date],MATCH(C691,Invoices[Invoice '#],0)))</f>
        <v/>
      </c>
      <c r="C691" s="53"/>
      <c r="D691" s="54" t="str">
        <f>IF('Open Invoices'!$C691=0,"",_xlfn.IFNA('Open Invoices'!#REF!-SUMIF(Payments[Invoice '#],'Open Invoices'!$C691,Payments[Amount Paid]),'Open Invoices'!#REF!))</f>
        <v/>
      </c>
      <c r="E691" s="54"/>
      <c r="F691" s="54"/>
    </row>
    <row r="692" spans="2:6" x14ac:dyDescent="0.25">
      <c r="B692" s="55" t="str">
        <f>IF(C692="","",INDEX(Invoices[Due Date],MATCH(C692,Invoices[Invoice '#],0)))</f>
        <v/>
      </c>
      <c r="C692" s="53"/>
      <c r="D692" s="54" t="str">
        <f>IF('Open Invoices'!$C692=0,"",_xlfn.IFNA('Open Invoices'!#REF!-SUMIF(Payments[Invoice '#],'Open Invoices'!$C692,Payments[Amount Paid]),'Open Invoices'!#REF!))</f>
        <v/>
      </c>
      <c r="E692" s="54"/>
      <c r="F692" s="54"/>
    </row>
    <row r="693" spans="2:6" x14ac:dyDescent="0.25">
      <c r="B693" s="55" t="str">
        <f>IF(C693="","",INDEX(Invoices[Due Date],MATCH(C693,Invoices[Invoice '#],0)))</f>
        <v/>
      </c>
      <c r="C693" s="53"/>
      <c r="D693" s="54" t="str">
        <f>IF('Open Invoices'!$C693=0,"",_xlfn.IFNA('Open Invoices'!#REF!-SUMIF(Payments[Invoice '#],'Open Invoices'!$C693,Payments[Amount Paid]),'Open Invoices'!#REF!))</f>
        <v/>
      </c>
      <c r="E693" s="54"/>
      <c r="F693" s="54"/>
    </row>
    <row r="694" spans="2:6" x14ac:dyDescent="0.25">
      <c r="B694" s="55" t="str">
        <f>IF(C694="","",INDEX(Invoices[Due Date],MATCH(C694,Invoices[Invoice '#],0)))</f>
        <v/>
      </c>
      <c r="C694" s="53"/>
      <c r="D694" s="54" t="str">
        <f>IF('Open Invoices'!$C694=0,"",_xlfn.IFNA('Open Invoices'!#REF!-SUMIF(Payments[Invoice '#],'Open Invoices'!$C694,Payments[Amount Paid]),'Open Invoices'!#REF!))</f>
        <v/>
      </c>
      <c r="E694" s="54"/>
      <c r="F694" s="54"/>
    </row>
    <row r="695" spans="2:6" x14ac:dyDescent="0.25">
      <c r="B695" s="55" t="str">
        <f>IF(C695="","",INDEX(Invoices[Due Date],MATCH(C695,Invoices[Invoice '#],0)))</f>
        <v/>
      </c>
      <c r="C695" s="53"/>
      <c r="D695" s="54" t="str">
        <f>IF('Open Invoices'!$C695=0,"",_xlfn.IFNA('Open Invoices'!#REF!-SUMIF(Payments[Invoice '#],'Open Invoices'!$C695,Payments[Amount Paid]),'Open Invoices'!#REF!))</f>
        <v/>
      </c>
      <c r="E695" s="54"/>
      <c r="F695" s="54"/>
    </row>
    <row r="696" spans="2:6" x14ac:dyDescent="0.25">
      <c r="B696" s="55" t="str">
        <f>IF(C696="","",INDEX(Invoices[Due Date],MATCH(C696,Invoices[Invoice '#],0)))</f>
        <v/>
      </c>
      <c r="C696" s="53"/>
      <c r="D696" s="54" t="str">
        <f>IF('Open Invoices'!$C696=0,"",_xlfn.IFNA('Open Invoices'!#REF!-SUMIF(Payments[Invoice '#],'Open Invoices'!$C696,Payments[Amount Paid]),'Open Invoices'!#REF!))</f>
        <v/>
      </c>
      <c r="E696" s="54"/>
      <c r="F696" s="54"/>
    </row>
    <row r="697" spans="2:6" x14ac:dyDescent="0.25">
      <c r="B697" s="55" t="str">
        <f>IF(C697="","",INDEX(Invoices[Due Date],MATCH(C697,Invoices[Invoice '#],0)))</f>
        <v/>
      </c>
      <c r="C697" s="53"/>
      <c r="D697" s="54" t="str">
        <f>IF('Open Invoices'!$C697=0,"",_xlfn.IFNA('Open Invoices'!#REF!-SUMIF(Payments[Invoice '#],'Open Invoices'!$C697,Payments[Amount Paid]),'Open Invoices'!#REF!))</f>
        <v/>
      </c>
      <c r="E697" s="54"/>
      <c r="F697" s="54"/>
    </row>
    <row r="698" spans="2:6" x14ac:dyDescent="0.25">
      <c r="B698" s="55" t="str">
        <f>IF(C698="","",INDEX(Invoices[Due Date],MATCH(C698,Invoices[Invoice '#],0)))</f>
        <v/>
      </c>
      <c r="C698" s="53"/>
      <c r="D698" s="54" t="str">
        <f>IF('Open Invoices'!$C698=0,"",_xlfn.IFNA('Open Invoices'!#REF!-SUMIF(Payments[Invoice '#],'Open Invoices'!$C698,Payments[Amount Paid]),'Open Invoices'!#REF!))</f>
        <v/>
      </c>
      <c r="E698" s="54"/>
      <c r="F698" s="54"/>
    </row>
    <row r="699" spans="2:6" x14ac:dyDescent="0.25">
      <c r="B699" s="55" t="str">
        <f>IF(C699="","",INDEX(Invoices[Due Date],MATCH(C699,Invoices[Invoice '#],0)))</f>
        <v/>
      </c>
      <c r="C699" s="53"/>
      <c r="D699" s="54" t="str">
        <f>IF('Open Invoices'!$C699=0,"",_xlfn.IFNA('Open Invoices'!#REF!-SUMIF(Payments[Invoice '#],'Open Invoices'!$C699,Payments[Amount Paid]),'Open Invoices'!#REF!))</f>
        <v/>
      </c>
      <c r="E699" s="54"/>
      <c r="F699" s="54"/>
    </row>
    <row r="700" spans="2:6" x14ac:dyDescent="0.25">
      <c r="B700" s="55" t="str">
        <f>IF(C700="","",INDEX(Invoices[Due Date],MATCH(C700,Invoices[Invoice '#],0)))</f>
        <v/>
      </c>
      <c r="C700" s="53"/>
      <c r="D700" s="54" t="str">
        <f>IF('Open Invoices'!$C700=0,"",_xlfn.IFNA('Open Invoices'!#REF!-SUMIF(Payments[Invoice '#],'Open Invoices'!$C700,Payments[Amount Paid]),'Open Invoices'!#REF!))</f>
        <v/>
      </c>
      <c r="E700" s="54"/>
      <c r="F700" s="54"/>
    </row>
    <row r="701" spans="2:6" x14ac:dyDescent="0.25">
      <c r="B701" s="55" t="str">
        <f>IF(C701="","",INDEX(Invoices[Due Date],MATCH(C701,Invoices[Invoice '#],0)))</f>
        <v/>
      </c>
      <c r="C701" s="53"/>
      <c r="D701" s="54" t="str">
        <f>IF('Open Invoices'!$C701=0,"",_xlfn.IFNA('Open Invoices'!#REF!-SUMIF(Payments[Invoice '#],'Open Invoices'!$C701,Payments[Amount Paid]),'Open Invoices'!#REF!))</f>
        <v/>
      </c>
      <c r="E701" s="54"/>
      <c r="F701" s="54"/>
    </row>
    <row r="702" spans="2:6" x14ac:dyDescent="0.25">
      <c r="B702" s="55" t="str">
        <f>IF(C702="","",INDEX(Invoices[Due Date],MATCH(C702,Invoices[Invoice '#],0)))</f>
        <v/>
      </c>
      <c r="C702" s="53"/>
      <c r="D702" s="54" t="str">
        <f>IF('Open Invoices'!$C702=0,"",_xlfn.IFNA('Open Invoices'!#REF!-SUMIF(Payments[Invoice '#],'Open Invoices'!$C702,Payments[Amount Paid]),'Open Invoices'!#REF!))</f>
        <v/>
      </c>
      <c r="E702" s="54"/>
      <c r="F702" s="54"/>
    </row>
    <row r="703" spans="2:6" x14ac:dyDescent="0.25">
      <c r="B703" s="55" t="str">
        <f>IF(C703="","",INDEX(Invoices[Due Date],MATCH(C703,Invoices[Invoice '#],0)))</f>
        <v/>
      </c>
      <c r="C703" s="53"/>
      <c r="D703" s="54" t="str">
        <f>IF('Open Invoices'!$C703=0,"",_xlfn.IFNA('Open Invoices'!#REF!-SUMIF(Payments[Invoice '#],'Open Invoices'!$C703,Payments[Amount Paid]),'Open Invoices'!#REF!))</f>
        <v/>
      </c>
      <c r="E703" s="54"/>
      <c r="F703" s="54"/>
    </row>
    <row r="704" spans="2:6" x14ac:dyDescent="0.25">
      <c r="B704" s="55" t="str">
        <f>IF(C704="","",INDEX(Invoices[Due Date],MATCH(C704,Invoices[Invoice '#],0)))</f>
        <v/>
      </c>
      <c r="C704" s="53"/>
      <c r="D704" s="54" t="str">
        <f>IF('Open Invoices'!$C704=0,"",_xlfn.IFNA('Open Invoices'!#REF!-SUMIF(Payments[Invoice '#],'Open Invoices'!$C704,Payments[Amount Paid]),'Open Invoices'!#REF!))</f>
        <v/>
      </c>
      <c r="E704" s="54"/>
      <c r="F704" s="54"/>
    </row>
    <row r="705" spans="2:6" x14ac:dyDescent="0.25">
      <c r="B705" s="55" t="str">
        <f>IF(C705="","",INDEX(Invoices[Due Date],MATCH(C705,Invoices[Invoice '#],0)))</f>
        <v/>
      </c>
      <c r="C705" s="53"/>
      <c r="D705" s="54" t="str">
        <f>IF('Open Invoices'!$C705=0,"",_xlfn.IFNA('Open Invoices'!#REF!-SUMIF(Payments[Invoice '#],'Open Invoices'!$C705,Payments[Amount Paid]),'Open Invoices'!#REF!))</f>
        <v/>
      </c>
      <c r="E705" s="54"/>
      <c r="F705" s="54"/>
    </row>
    <row r="706" spans="2:6" x14ac:dyDescent="0.25">
      <c r="B706" s="55" t="str">
        <f>IF(C706="","",INDEX(Invoices[Due Date],MATCH(C706,Invoices[Invoice '#],0)))</f>
        <v/>
      </c>
      <c r="C706" s="53"/>
      <c r="D706" s="54" t="str">
        <f>IF('Open Invoices'!$C706=0,"",_xlfn.IFNA('Open Invoices'!#REF!-SUMIF(Payments[Invoice '#],'Open Invoices'!$C706,Payments[Amount Paid]),'Open Invoices'!#REF!))</f>
        <v/>
      </c>
      <c r="E706" s="54"/>
      <c r="F706" s="54"/>
    </row>
    <row r="707" spans="2:6" x14ac:dyDescent="0.25">
      <c r="B707" s="55" t="str">
        <f>IF(C707="","",INDEX(Invoices[Due Date],MATCH(C707,Invoices[Invoice '#],0)))</f>
        <v/>
      </c>
      <c r="C707" s="53"/>
      <c r="D707" s="54" t="str">
        <f>IF('Open Invoices'!$C707=0,"",_xlfn.IFNA('Open Invoices'!#REF!-SUMIF(Payments[Invoice '#],'Open Invoices'!$C707,Payments[Amount Paid]),'Open Invoices'!#REF!))</f>
        <v/>
      </c>
      <c r="E707" s="54"/>
      <c r="F707" s="54"/>
    </row>
    <row r="708" spans="2:6" x14ac:dyDescent="0.25">
      <c r="B708" s="55" t="str">
        <f>IF(C708="","",INDEX(Invoices[Due Date],MATCH(C708,Invoices[Invoice '#],0)))</f>
        <v/>
      </c>
      <c r="C708" s="53"/>
      <c r="D708" s="54" t="str">
        <f>IF('Open Invoices'!$C708=0,"",_xlfn.IFNA('Open Invoices'!#REF!-SUMIF(Payments[Invoice '#],'Open Invoices'!$C708,Payments[Amount Paid]),'Open Invoices'!#REF!))</f>
        <v/>
      </c>
      <c r="E708" s="54"/>
      <c r="F708" s="54"/>
    </row>
    <row r="709" spans="2:6" x14ac:dyDescent="0.25">
      <c r="B709" s="55" t="str">
        <f>IF(C709="","",INDEX(Invoices[Due Date],MATCH(C709,Invoices[Invoice '#],0)))</f>
        <v/>
      </c>
      <c r="C709" s="53"/>
      <c r="D709" s="54" t="str">
        <f>IF('Open Invoices'!$C709=0,"",_xlfn.IFNA('Open Invoices'!#REF!-SUMIF(Payments[Invoice '#],'Open Invoices'!$C709,Payments[Amount Paid]),'Open Invoices'!#REF!))</f>
        <v/>
      </c>
      <c r="E709" s="54"/>
      <c r="F709" s="54"/>
    </row>
    <row r="710" spans="2:6" x14ac:dyDescent="0.25">
      <c r="B710" s="55" t="str">
        <f>IF(C710="","",INDEX(Invoices[Due Date],MATCH(C710,Invoices[Invoice '#],0)))</f>
        <v/>
      </c>
      <c r="C710" s="53"/>
      <c r="D710" s="54" t="str">
        <f>IF('Open Invoices'!$C710=0,"",_xlfn.IFNA('Open Invoices'!#REF!-SUMIF(Payments[Invoice '#],'Open Invoices'!$C710,Payments[Amount Paid]),'Open Invoices'!#REF!))</f>
        <v/>
      </c>
      <c r="E710" s="54"/>
      <c r="F710" s="54"/>
    </row>
    <row r="711" spans="2:6" x14ac:dyDescent="0.25">
      <c r="B711" s="55" t="str">
        <f>IF(C711="","",INDEX(Invoices[Due Date],MATCH(C711,Invoices[Invoice '#],0)))</f>
        <v/>
      </c>
      <c r="C711" s="53"/>
      <c r="D711" s="54" t="str">
        <f>IF('Open Invoices'!$C711=0,"",_xlfn.IFNA('Open Invoices'!#REF!-SUMIF(Payments[Invoice '#],'Open Invoices'!$C711,Payments[Amount Paid]),'Open Invoices'!#REF!))</f>
        <v/>
      </c>
      <c r="E711" s="54"/>
      <c r="F711" s="54"/>
    </row>
    <row r="712" spans="2:6" x14ac:dyDescent="0.25">
      <c r="B712" s="55" t="str">
        <f>IF(C712="","",INDEX(Invoices[Due Date],MATCH(C712,Invoices[Invoice '#],0)))</f>
        <v/>
      </c>
      <c r="C712" s="53"/>
      <c r="D712" s="54" t="str">
        <f>IF('Open Invoices'!$C712=0,"",_xlfn.IFNA('Open Invoices'!#REF!-SUMIF(Payments[Invoice '#],'Open Invoices'!$C712,Payments[Amount Paid]),'Open Invoices'!#REF!))</f>
        <v/>
      </c>
      <c r="E712" s="54"/>
      <c r="F712" s="54"/>
    </row>
    <row r="713" spans="2:6" x14ac:dyDescent="0.25">
      <c r="B713" s="55" t="str">
        <f>IF(C713="","",INDEX(Invoices[Due Date],MATCH(C713,Invoices[Invoice '#],0)))</f>
        <v/>
      </c>
      <c r="C713" s="53"/>
      <c r="D713" s="54" t="str">
        <f>IF('Open Invoices'!$C713=0,"",_xlfn.IFNA('Open Invoices'!#REF!-SUMIF(Payments[Invoice '#],'Open Invoices'!$C713,Payments[Amount Paid]),'Open Invoices'!#REF!))</f>
        <v/>
      </c>
      <c r="E713" s="54"/>
      <c r="F713" s="54"/>
    </row>
    <row r="714" spans="2:6" x14ac:dyDescent="0.25">
      <c r="B714" s="55" t="str">
        <f>IF(C714="","",INDEX(Invoices[Due Date],MATCH(C714,Invoices[Invoice '#],0)))</f>
        <v/>
      </c>
      <c r="C714" s="53"/>
      <c r="D714" s="54" t="str">
        <f>IF('Open Invoices'!$C714=0,"",_xlfn.IFNA('Open Invoices'!#REF!-SUMIF(Payments[Invoice '#],'Open Invoices'!$C714,Payments[Amount Paid]),'Open Invoices'!#REF!))</f>
        <v/>
      </c>
      <c r="E714" s="54"/>
      <c r="F714" s="54"/>
    </row>
    <row r="715" spans="2:6" x14ac:dyDescent="0.25">
      <c r="B715" s="55" t="str">
        <f>IF(C715="","",INDEX(Invoices[Due Date],MATCH(C715,Invoices[Invoice '#],0)))</f>
        <v/>
      </c>
      <c r="C715" s="53"/>
      <c r="D715" s="54" t="str">
        <f>IF('Open Invoices'!$C715=0,"",_xlfn.IFNA('Open Invoices'!#REF!-SUMIF(Payments[Invoice '#],'Open Invoices'!$C715,Payments[Amount Paid]),'Open Invoices'!#REF!))</f>
        <v/>
      </c>
      <c r="E715" s="54"/>
      <c r="F715" s="54"/>
    </row>
    <row r="716" spans="2:6" x14ac:dyDescent="0.25">
      <c r="B716" s="55" t="str">
        <f>IF(C716="","",INDEX(Invoices[Due Date],MATCH(C716,Invoices[Invoice '#],0)))</f>
        <v/>
      </c>
      <c r="C716" s="53"/>
      <c r="D716" s="54" t="str">
        <f>IF('Open Invoices'!$C716=0,"",_xlfn.IFNA('Open Invoices'!#REF!-SUMIF(Payments[Invoice '#],'Open Invoices'!$C716,Payments[Amount Paid]),'Open Invoices'!#REF!))</f>
        <v/>
      </c>
      <c r="E716" s="54"/>
      <c r="F716" s="54"/>
    </row>
    <row r="717" spans="2:6" x14ac:dyDescent="0.25">
      <c r="B717" s="55" t="str">
        <f>IF(C717="","",INDEX(Invoices[Due Date],MATCH(C717,Invoices[Invoice '#],0)))</f>
        <v/>
      </c>
      <c r="C717" s="53"/>
      <c r="D717" s="54" t="str">
        <f>IF('Open Invoices'!$C717=0,"",_xlfn.IFNA('Open Invoices'!#REF!-SUMIF(Payments[Invoice '#],'Open Invoices'!$C717,Payments[Amount Paid]),'Open Invoices'!#REF!))</f>
        <v/>
      </c>
      <c r="E717" s="54"/>
      <c r="F717" s="54"/>
    </row>
    <row r="718" spans="2:6" x14ac:dyDescent="0.25">
      <c r="B718" s="55" t="str">
        <f>IF(C718="","",INDEX(Invoices[Due Date],MATCH(C718,Invoices[Invoice '#],0)))</f>
        <v/>
      </c>
      <c r="C718" s="53"/>
      <c r="D718" s="54" t="str">
        <f>IF('Open Invoices'!$C718=0,"",_xlfn.IFNA('Open Invoices'!#REF!-SUMIF(Payments[Invoice '#],'Open Invoices'!$C718,Payments[Amount Paid]),'Open Invoices'!#REF!))</f>
        <v/>
      </c>
      <c r="E718" s="54"/>
      <c r="F718" s="54"/>
    </row>
    <row r="719" spans="2:6" x14ac:dyDescent="0.25">
      <c r="B719" s="55" t="str">
        <f>IF(C719="","",INDEX(Invoices[Due Date],MATCH(C719,Invoices[Invoice '#],0)))</f>
        <v/>
      </c>
      <c r="C719" s="53"/>
      <c r="D719" s="54" t="str">
        <f>IF('Open Invoices'!$C719=0,"",_xlfn.IFNA('Open Invoices'!#REF!-SUMIF(Payments[Invoice '#],'Open Invoices'!$C719,Payments[Amount Paid]),'Open Invoices'!#REF!))</f>
        <v/>
      </c>
      <c r="E719" s="54"/>
      <c r="F719" s="54"/>
    </row>
    <row r="720" spans="2:6" x14ac:dyDescent="0.25">
      <c r="B720" s="55" t="str">
        <f>IF(C720="","",INDEX(Invoices[Due Date],MATCH(C720,Invoices[Invoice '#],0)))</f>
        <v/>
      </c>
      <c r="C720" s="53"/>
      <c r="D720" s="54" t="str">
        <f>IF('Open Invoices'!$C720=0,"",_xlfn.IFNA('Open Invoices'!#REF!-SUMIF(Payments[Invoice '#],'Open Invoices'!$C720,Payments[Amount Paid]),'Open Invoices'!#REF!))</f>
        <v/>
      </c>
      <c r="E720" s="54"/>
      <c r="F720" s="54"/>
    </row>
    <row r="721" spans="2:6" x14ac:dyDescent="0.25">
      <c r="B721" s="55" t="str">
        <f>IF(C721="","",INDEX(Invoices[Due Date],MATCH(C721,Invoices[Invoice '#],0)))</f>
        <v/>
      </c>
      <c r="C721" s="53"/>
      <c r="D721" s="54" t="str">
        <f>IF('Open Invoices'!$C721=0,"",_xlfn.IFNA('Open Invoices'!#REF!-SUMIF(Payments[Invoice '#],'Open Invoices'!$C721,Payments[Amount Paid]),'Open Invoices'!#REF!))</f>
        <v/>
      </c>
      <c r="E721" s="54"/>
      <c r="F721" s="54"/>
    </row>
    <row r="722" spans="2:6" x14ac:dyDescent="0.25">
      <c r="B722" s="55" t="str">
        <f>IF(C722="","",INDEX(Invoices[Due Date],MATCH(C722,Invoices[Invoice '#],0)))</f>
        <v/>
      </c>
      <c r="C722" s="53"/>
      <c r="D722" s="54" t="str">
        <f>IF('Open Invoices'!$C722=0,"",_xlfn.IFNA('Open Invoices'!#REF!-SUMIF(Payments[Invoice '#],'Open Invoices'!$C722,Payments[Amount Paid]),'Open Invoices'!#REF!))</f>
        <v/>
      </c>
      <c r="E722" s="54"/>
      <c r="F722" s="54"/>
    </row>
    <row r="723" spans="2:6" x14ac:dyDescent="0.25">
      <c r="B723" s="55" t="str">
        <f>IF(C723="","",INDEX(Invoices[Due Date],MATCH(C723,Invoices[Invoice '#],0)))</f>
        <v/>
      </c>
      <c r="C723" s="53"/>
      <c r="D723" s="54" t="str">
        <f>IF('Open Invoices'!$C723=0,"",_xlfn.IFNA('Open Invoices'!#REF!-SUMIF(Payments[Invoice '#],'Open Invoices'!$C723,Payments[Amount Paid]),'Open Invoices'!#REF!))</f>
        <v/>
      </c>
      <c r="E723" s="54"/>
      <c r="F723" s="54"/>
    </row>
    <row r="724" spans="2:6" x14ac:dyDescent="0.25">
      <c r="B724" s="55" t="str">
        <f>IF(C724="","",INDEX(Invoices[Due Date],MATCH(C724,Invoices[Invoice '#],0)))</f>
        <v/>
      </c>
      <c r="C724" s="53"/>
      <c r="D724" s="54" t="str">
        <f>IF('Open Invoices'!$C724=0,"",_xlfn.IFNA('Open Invoices'!#REF!-SUMIF(Payments[Invoice '#],'Open Invoices'!$C724,Payments[Amount Paid]),'Open Invoices'!#REF!))</f>
        <v/>
      </c>
      <c r="E724" s="54"/>
      <c r="F724" s="54"/>
    </row>
    <row r="725" spans="2:6" x14ac:dyDescent="0.25">
      <c r="B725" s="55" t="str">
        <f>IF(C725="","",INDEX(Invoices[Due Date],MATCH(C725,Invoices[Invoice '#],0)))</f>
        <v/>
      </c>
      <c r="C725" s="53"/>
      <c r="D725" s="54" t="str">
        <f>IF('Open Invoices'!$C725=0,"",_xlfn.IFNA('Open Invoices'!#REF!-SUMIF(Payments[Invoice '#],'Open Invoices'!$C725,Payments[Amount Paid]),'Open Invoices'!#REF!))</f>
        <v/>
      </c>
      <c r="E725" s="54"/>
      <c r="F725" s="54"/>
    </row>
    <row r="726" spans="2:6" x14ac:dyDescent="0.25">
      <c r="B726" s="55" t="str">
        <f>IF(C726="","",INDEX(Invoices[Due Date],MATCH(C726,Invoices[Invoice '#],0)))</f>
        <v/>
      </c>
      <c r="C726" s="53"/>
      <c r="D726" s="54" t="str">
        <f>IF('Open Invoices'!$C726=0,"",_xlfn.IFNA('Open Invoices'!#REF!-SUMIF(Payments[Invoice '#],'Open Invoices'!$C726,Payments[Amount Paid]),'Open Invoices'!#REF!))</f>
        <v/>
      </c>
      <c r="E726" s="54"/>
      <c r="F726" s="54"/>
    </row>
    <row r="727" spans="2:6" x14ac:dyDescent="0.25">
      <c r="B727" s="55" t="str">
        <f>IF(C727="","",INDEX(Invoices[Due Date],MATCH(C727,Invoices[Invoice '#],0)))</f>
        <v/>
      </c>
      <c r="C727" s="53"/>
      <c r="D727" s="54" t="str">
        <f>IF('Open Invoices'!$C727=0,"",_xlfn.IFNA('Open Invoices'!#REF!-SUMIF(Payments[Invoice '#],'Open Invoices'!$C727,Payments[Amount Paid]),'Open Invoices'!#REF!))</f>
        <v/>
      </c>
      <c r="E727" s="54"/>
      <c r="F727" s="54"/>
    </row>
    <row r="728" spans="2:6" x14ac:dyDescent="0.25">
      <c r="B728" s="55" t="str">
        <f>IF(C728="","",INDEX(Invoices[Due Date],MATCH(C728,Invoices[Invoice '#],0)))</f>
        <v/>
      </c>
      <c r="C728" s="53"/>
      <c r="D728" s="54" t="str">
        <f>IF('Open Invoices'!$C728=0,"",_xlfn.IFNA('Open Invoices'!#REF!-SUMIF(Payments[Invoice '#],'Open Invoices'!$C728,Payments[Amount Paid]),'Open Invoices'!#REF!))</f>
        <v/>
      </c>
      <c r="E728" s="54"/>
      <c r="F728" s="54"/>
    </row>
    <row r="729" spans="2:6" x14ac:dyDescent="0.25">
      <c r="B729" s="55" t="str">
        <f>IF(C729="","",INDEX(Invoices[Due Date],MATCH(C729,Invoices[Invoice '#],0)))</f>
        <v/>
      </c>
      <c r="C729" s="53"/>
      <c r="D729" s="54" t="str">
        <f>IF('Open Invoices'!$C729=0,"",_xlfn.IFNA('Open Invoices'!#REF!-SUMIF(Payments[Invoice '#],'Open Invoices'!$C729,Payments[Amount Paid]),'Open Invoices'!#REF!))</f>
        <v/>
      </c>
      <c r="E729" s="54"/>
      <c r="F729" s="54"/>
    </row>
    <row r="730" spans="2:6" x14ac:dyDescent="0.25">
      <c r="B730" s="55" t="str">
        <f>IF(C730="","",INDEX(Invoices[Due Date],MATCH(C730,Invoices[Invoice '#],0)))</f>
        <v/>
      </c>
      <c r="C730" s="53"/>
      <c r="D730" s="54" t="str">
        <f>IF('Open Invoices'!$C730=0,"",_xlfn.IFNA('Open Invoices'!#REF!-SUMIF(Payments[Invoice '#],'Open Invoices'!$C730,Payments[Amount Paid]),'Open Invoices'!#REF!))</f>
        <v/>
      </c>
      <c r="E730" s="54"/>
      <c r="F730" s="54"/>
    </row>
    <row r="731" spans="2:6" x14ac:dyDescent="0.25">
      <c r="B731" s="55" t="str">
        <f>IF(C731="","",INDEX(Invoices[Due Date],MATCH(C731,Invoices[Invoice '#],0)))</f>
        <v/>
      </c>
      <c r="C731" s="53"/>
      <c r="D731" s="54" t="str">
        <f>IF('Open Invoices'!$C731=0,"",_xlfn.IFNA('Open Invoices'!#REF!-SUMIF(Payments[Invoice '#],'Open Invoices'!$C731,Payments[Amount Paid]),'Open Invoices'!#REF!))</f>
        <v/>
      </c>
      <c r="E731" s="54"/>
      <c r="F731" s="54"/>
    </row>
    <row r="732" spans="2:6" x14ac:dyDescent="0.25">
      <c r="B732" s="55" t="str">
        <f>IF(C732="","",INDEX(Invoices[Due Date],MATCH(C732,Invoices[Invoice '#],0)))</f>
        <v/>
      </c>
      <c r="C732" s="53"/>
      <c r="D732" s="54" t="str">
        <f>IF('Open Invoices'!$C732=0,"",_xlfn.IFNA('Open Invoices'!#REF!-SUMIF(Payments[Invoice '#],'Open Invoices'!$C732,Payments[Amount Paid]),'Open Invoices'!#REF!))</f>
        <v/>
      </c>
      <c r="E732" s="54"/>
      <c r="F732" s="54"/>
    </row>
    <row r="733" spans="2:6" x14ac:dyDescent="0.25">
      <c r="B733" s="55" t="str">
        <f>IF(C733="","",INDEX(Invoices[Due Date],MATCH(C733,Invoices[Invoice '#],0)))</f>
        <v/>
      </c>
      <c r="C733" s="53"/>
      <c r="D733" s="54" t="str">
        <f>IF('Open Invoices'!$C733=0,"",_xlfn.IFNA('Open Invoices'!#REF!-SUMIF(Payments[Invoice '#],'Open Invoices'!$C733,Payments[Amount Paid]),'Open Invoices'!#REF!))</f>
        <v/>
      </c>
      <c r="E733" s="54"/>
      <c r="F733" s="54"/>
    </row>
    <row r="734" spans="2:6" x14ac:dyDescent="0.25">
      <c r="B734" s="55" t="str">
        <f>IF(C734="","",INDEX(Invoices[Due Date],MATCH(C734,Invoices[Invoice '#],0)))</f>
        <v/>
      </c>
      <c r="C734" s="53"/>
      <c r="D734" s="54" t="str">
        <f>IF('Open Invoices'!$C734=0,"",_xlfn.IFNA('Open Invoices'!#REF!-SUMIF(Payments[Invoice '#],'Open Invoices'!$C734,Payments[Amount Paid]),'Open Invoices'!#REF!))</f>
        <v/>
      </c>
      <c r="E734" s="54"/>
      <c r="F734" s="54"/>
    </row>
    <row r="735" spans="2:6" x14ac:dyDescent="0.25">
      <c r="B735" s="55" t="str">
        <f>IF(C735="","",INDEX(Invoices[Due Date],MATCH(C735,Invoices[Invoice '#],0)))</f>
        <v/>
      </c>
      <c r="C735" s="53"/>
      <c r="D735" s="54" t="str">
        <f>IF('Open Invoices'!$C735=0,"",_xlfn.IFNA('Open Invoices'!#REF!-SUMIF(Payments[Invoice '#],'Open Invoices'!$C735,Payments[Amount Paid]),'Open Invoices'!#REF!))</f>
        <v/>
      </c>
      <c r="E735" s="54"/>
      <c r="F735" s="54"/>
    </row>
    <row r="736" spans="2:6" x14ac:dyDescent="0.25">
      <c r="B736" s="55" t="str">
        <f>IF(C736="","",INDEX(Invoices[Due Date],MATCH(C736,Invoices[Invoice '#],0)))</f>
        <v/>
      </c>
      <c r="C736" s="53"/>
      <c r="D736" s="54" t="str">
        <f>IF('Open Invoices'!$C736=0,"",_xlfn.IFNA('Open Invoices'!#REF!-SUMIF(Payments[Invoice '#],'Open Invoices'!$C736,Payments[Amount Paid]),'Open Invoices'!#REF!))</f>
        <v/>
      </c>
      <c r="E736" s="54"/>
      <c r="F736" s="54"/>
    </row>
    <row r="737" spans="2:6" x14ac:dyDescent="0.25">
      <c r="B737" s="55" t="str">
        <f>IF(C737="","",INDEX(Invoices[Due Date],MATCH(C737,Invoices[Invoice '#],0)))</f>
        <v/>
      </c>
      <c r="C737" s="53"/>
      <c r="D737" s="54" t="str">
        <f>IF('Open Invoices'!$C737=0,"",_xlfn.IFNA('Open Invoices'!#REF!-SUMIF(Payments[Invoice '#],'Open Invoices'!$C737,Payments[Amount Paid]),'Open Invoices'!#REF!))</f>
        <v/>
      </c>
      <c r="E737" s="54"/>
      <c r="F737" s="54"/>
    </row>
    <row r="738" spans="2:6" x14ac:dyDescent="0.25">
      <c r="B738" s="55" t="str">
        <f>IF(C738="","",INDEX(Invoices[Due Date],MATCH(C738,Invoices[Invoice '#],0)))</f>
        <v/>
      </c>
      <c r="C738" s="53"/>
      <c r="D738" s="54" t="str">
        <f>IF('Open Invoices'!$C738=0,"",_xlfn.IFNA('Open Invoices'!#REF!-SUMIF(Payments[Invoice '#],'Open Invoices'!$C738,Payments[Amount Paid]),'Open Invoices'!#REF!))</f>
        <v/>
      </c>
      <c r="E738" s="54"/>
      <c r="F738" s="54"/>
    </row>
    <row r="739" spans="2:6" x14ac:dyDescent="0.25">
      <c r="B739" s="55" t="str">
        <f>IF(C739="","",INDEX(Invoices[Due Date],MATCH(C739,Invoices[Invoice '#],0)))</f>
        <v/>
      </c>
      <c r="C739" s="53"/>
      <c r="D739" s="54" t="str">
        <f>IF('Open Invoices'!$C739=0,"",_xlfn.IFNA('Open Invoices'!#REF!-SUMIF(Payments[Invoice '#],'Open Invoices'!$C739,Payments[Amount Paid]),'Open Invoices'!#REF!))</f>
        <v/>
      </c>
      <c r="E739" s="54"/>
      <c r="F739" s="54"/>
    </row>
    <row r="740" spans="2:6" x14ac:dyDescent="0.25">
      <c r="B740" s="55" t="str">
        <f>IF(C740="","",INDEX(Invoices[Due Date],MATCH(C740,Invoices[Invoice '#],0)))</f>
        <v/>
      </c>
      <c r="C740" s="53"/>
      <c r="D740" s="54" t="str">
        <f>IF('Open Invoices'!$C740=0,"",_xlfn.IFNA('Open Invoices'!#REF!-SUMIF(Payments[Invoice '#],'Open Invoices'!$C740,Payments[Amount Paid]),'Open Invoices'!#REF!))</f>
        <v/>
      </c>
      <c r="E740" s="54"/>
      <c r="F740" s="54"/>
    </row>
    <row r="741" spans="2:6" x14ac:dyDescent="0.25">
      <c r="B741" s="55" t="str">
        <f>IF(C741="","",INDEX(Invoices[Due Date],MATCH(C741,Invoices[Invoice '#],0)))</f>
        <v/>
      </c>
      <c r="C741" s="53"/>
      <c r="D741" s="54" t="str">
        <f>IF('Open Invoices'!$C741=0,"",_xlfn.IFNA('Open Invoices'!#REF!-SUMIF(Payments[Invoice '#],'Open Invoices'!$C741,Payments[Amount Paid]),'Open Invoices'!#REF!))</f>
        <v/>
      </c>
      <c r="E741" s="54"/>
      <c r="F741" s="54"/>
    </row>
    <row r="742" spans="2:6" x14ac:dyDescent="0.25">
      <c r="B742" s="55" t="str">
        <f>IF(C742="","",INDEX(Invoices[Due Date],MATCH(C742,Invoices[Invoice '#],0)))</f>
        <v/>
      </c>
      <c r="C742" s="53"/>
      <c r="D742" s="54" t="str">
        <f>IF('Open Invoices'!$C742=0,"",_xlfn.IFNA('Open Invoices'!#REF!-SUMIF(Payments[Invoice '#],'Open Invoices'!$C742,Payments[Amount Paid]),'Open Invoices'!#REF!))</f>
        <v/>
      </c>
      <c r="E742" s="54"/>
      <c r="F742" s="54"/>
    </row>
    <row r="743" spans="2:6" x14ac:dyDescent="0.25">
      <c r="B743" s="55" t="str">
        <f>IF(C743="","",INDEX(Invoices[Due Date],MATCH(C743,Invoices[Invoice '#],0)))</f>
        <v/>
      </c>
      <c r="C743" s="53"/>
      <c r="D743" s="54" t="str">
        <f>IF('Open Invoices'!$C743=0,"",_xlfn.IFNA('Open Invoices'!#REF!-SUMIF(Payments[Invoice '#],'Open Invoices'!$C743,Payments[Amount Paid]),'Open Invoices'!#REF!))</f>
        <v/>
      </c>
      <c r="E743" s="54"/>
      <c r="F743" s="54"/>
    </row>
    <row r="744" spans="2:6" x14ac:dyDescent="0.25">
      <c r="B744" s="55" t="str">
        <f>IF(C744="","",INDEX(Invoices[Due Date],MATCH(C744,Invoices[Invoice '#],0)))</f>
        <v/>
      </c>
      <c r="C744" s="53"/>
      <c r="D744" s="54" t="str">
        <f>IF('Open Invoices'!$C744=0,"",_xlfn.IFNA('Open Invoices'!#REF!-SUMIF(Payments[Invoice '#],'Open Invoices'!$C744,Payments[Amount Paid]),'Open Invoices'!#REF!))</f>
        <v/>
      </c>
      <c r="E744" s="54"/>
      <c r="F744" s="54"/>
    </row>
    <row r="745" spans="2:6" x14ac:dyDescent="0.25">
      <c r="B745" s="55" t="str">
        <f>IF(C745="","",INDEX(Invoices[Due Date],MATCH(C745,Invoices[Invoice '#],0)))</f>
        <v/>
      </c>
      <c r="C745" s="53"/>
      <c r="D745" s="54" t="str">
        <f>IF('Open Invoices'!$C745=0,"",_xlfn.IFNA('Open Invoices'!#REF!-SUMIF(Payments[Invoice '#],'Open Invoices'!$C745,Payments[Amount Paid]),'Open Invoices'!#REF!))</f>
        <v/>
      </c>
      <c r="E745" s="54"/>
      <c r="F745" s="54"/>
    </row>
    <row r="746" spans="2:6" x14ac:dyDescent="0.25">
      <c r="B746" s="55" t="str">
        <f>IF(C746="","",INDEX(Invoices[Due Date],MATCH(C746,Invoices[Invoice '#],0)))</f>
        <v/>
      </c>
      <c r="C746" s="53"/>
      <c r="D746" s="54" t="str">
        <f>IF('Open Invoices'!$C746=0,"",_xlfn.IFNA('Open Invoices'!#REF!-SUMIF(Payments[Invoice '#],'Open Invoices'!$C746,Payments[Amount Paid]),'Open Invoices'!#REF!))</f>
        <v/>
      </c>
      <c r="E746" s="54"/>
      <c r="F746" s="54"/>
    </row>
    <row r="747" spans="2:6" x14ac:dyDescent="0.25">
      <c r="B747" s="55" t="str">
        <f>IF(C747="","",INDEX(Invoices[Due Date],MATCH(C747,Invoices[Invoice '#],0)))</f>
        <v/>
      </c>
      <c r="C747" s="53"/>
      <c r="D747" s="54" t="str">
        <f>IF('Open Invoices'!$C747=0,"",_xlfn.IFNA('Open Invoices'!#REF!-SUMIF(Payments[Invoice '#],'Open Invoices'!$C747,Payments[Amount Paid]),'Open Invoices'!#REF!))</f>
        <v/>
      </c>
      <c r="E747" s="54"/>
      <c r="F747" s="54"/>
    </row>
    <row r="748" spans="2:6" x14ac:dyDescent="0.25">
      <c r="B748" s="55" t="str">
        <f>IF(C748="","",INDEX(Invoices[Due Date],MATCH(C748,Invoices[Invoice '#],0)))</f>
        <v/>
      </c>
      <c r="C748" s="53"/>
      <c r="D748" s="54" t="str">
        <f>IF('Open Invoices'!$C748=0,"",_xlfn.IFNA('Open Invoices'!#REF!-SUMIF(Payments[Invoice '#],'Open Invoices'!$C748,Payments[Amount Paid]),'Open Invoices'!#REF!))</f>
        <v/>
      </c>
      <c r="E748" s="54"/>
      <c r="F748" s="54"/>
    </row>
    <row r="749" spans="2:6" x14ac:dyDescent="0.25">
      <c r="B749" s="55" t="str">
        <f>IF(C749="","",INDEX(Invoices[Due Date],MATCH(C749,Invoices[Invoice '#],0)))</f>
        <v/>
      </c>
      <c r="C749" s="53"/>
      <c r="D749" s="54" t="str">
        <f>IF('Open Invoices'!$C749=0,"",_xlfn.IFNA('Open Invoices'!#REF!-SUMIF(Payments[Invoice '#],'Open Invoices'!$C749,Payments[Amount Paid]),'Open Invoices'!#REF!))</f>
        <v/>
      </c>
      <c r="E749" s="54"/>
      <c r="F749" s="54"/>
    </row>
    <row r="750" spans="2:6" x14ac:dyDescent="0.25">
      <c r="B750" s="55" t="str">
        <f>IF(C750="","",INDEX(Invoices[Due Date],MATCH(C750,Invoices[Invoice '#],0)))</f>
        <v/>
      </c>
      <c r="C750" s="53"/>
      <c r="D750" s="54" t="str">
        <f>IF('Open Invoices'!$C750=0,"",_xlfn.IFNA('Open Invoices'!#REF!-SUMIF(Payments[Invoice '#],'Open Invoices'!$C750,Payments[Amount Paid]),'Open Invoices'!#REF!))</f>
        <v/>
      </c>
      <c r="E750" s="54"/>
      <c r="F750" s="54"/>
    </row>
    <row r="751" spans="2:6" x14ac:dyDescent="0.25">
      <c r="B751" s="55" t="str">
        <f>IF(C751="","",INDEX(Invoices[Due Date],MATCH(C751,Invoices[Invoice '#],0)))</f>
        <v/>
      </c>
      <c r="C751" s="53"/>
      <c r="D751" s="54" t="str">
        <f>IF('Open Invoices'!$C751=0,"",_xlfn.IFNA('Open Invoices'!#REF!-SUMIF(Payments[Invoice '#],'Open Invoices'!$C751,Payments[Amount Paid]),'Open Invoices'!#REF!))</f>
        <v/>
      </c>
      <c r="E751" s="54"/>
      <c r="F751" s="54"/>
    </row>
    <row r="752" spans="2:6" x14ac:dyDescent="0.25">
      <c r="B752" s="55" t="str">
        <f>IF(C752="","",INDEX(Invoices[Due Date],MATCH(C752,Invoices[Invoice '#],0)))</f>
        <v/>
      </c>
      <c r="C752" s="53"/>
      <c r="D752" s="54" t="str">
        <f>IF('Open Invoices'!$C752=0,"",_xlfn.IFNA('Open Invoices'!#REF!-SUMIF(Payments[Invoice '#],'Open Invoices'!$C752,Payments[Amount Paid]),'Open Invoices'!#REF!))</f>
        <v/>
      </c>
      <c r="E752" s="54"/>
      <c r="F752" s="54"/>
    </row>
    <row r="753" spans="2:6" x14ac:dyDescent="0.25">
      <c r="B753" s="55" t="str">
        <f>IF(C753="","",INDEX(Invoices[Due Date],MATCH(C753,Invoices[Invoice '#],0)))</f>
        <v/>
      </c>
      <c r="C753" s="53"/>
      <c r="D753" s="54" t="str">
        <f>IF('Open Invoices'!$C753=0,"",_xlfn.IFNA('Open Invoices'!#REF!-SUMIF(Payments[Invoice '#],'Open Invoices'!$C753,Payments[Amount Paid]),'Open Invoices'!#REF!))</f>
        <v/>
      </c>
      <c r="E753" s="54"/>
      <c r="F753" s="54"/>
    </row>
    <row r="754" spans="2:6" x14ac:dyDescent="0.25">
      <c r="B754" s="55" t="str">
        <f>IF(C754="","",INDEX(Invoices[Due Date],MATCH(C754,Invoices[Invoice '#],0)))</f>
        <v/>
      </c>
      <c r="C754" s="53"/>
      <c r="D754" s="54" t="str">
        <f>IF('Open Invoices'!$C754=0,"",_xlfn.IFNA('Open Invoices'!#REF!-SUMIF(Payments[Invoice '#],'Open Invoices'!$C754,Payments[Amount Paid]),'Open Invoices'!#REF!))</f>
        <v/>
      </c>
      <c r="E754" s="54"/>
      <c r="F754" s="54"/>
    </row>
    <row r="755" spans="2:6" x14ac:dyDescent="0.25">
      <c r="B755" s="55" t="str">
        <f>IF(C755="","",INDEX(Invoices[Due Date],MATCH(C755,Invoices[Invoice '#],0)))</f>
        <v/>
      </c>
      <c r="C755" s="53"/>
      <c r="D755" s="54" t="str">
        <f>IF('Open Invoices'!$C755=0,"",_xlfn.IFNA('Open Invoices'!#REF!-SUMIF(Payments[Invoice '#],'Open Invoices'!$C755,Payments[Amount Paid]),'Open Invoices'!#REF!))</f>
        <v/>
      </c>
      <c r="E755" s="54"/>
      <c r="F755" s="54"/>
    </row>
    <row r="756" spans="2:6" x14ac:dyDescent="0.25">
      <c r="B756" s="55" t="str">
        <f>IF(C756="","",INDEX(Invoices[Due Date],MATCH(C756,Invoices[Invoice '#],0)))</f>
        <v/>
      </c>
      <c r="C756" s="53"/>
      <c r="D756" s="54" t="str">
        <f>IF('Open Invoices'!$C756=0,"",_xlfn.IFNA('Open Invoices'!#REF!-SUMIF(Payments[Invoice '#],'Open Invoices'!$C756,Payments[Amount Paid]),'Open Invoices'!#REF!))</f>
        <v/>
      </c>
      <c r="E756" s="54"/>
      <c r="F756" s="54"/>
    </row>
    <row r="757" spans="2:6" x14ac:dyDescent="0.25">
      <c r="B757" s="55" t="str">
        <f>IF(C757="","",INDEX(Invoices[Due Date],MATCH(C757,Invoices[Invoice '#],0)))</f>
        <v/>
      </c>
      <c r="C757" s="53"/>
      <c r="D757" s="54" t="str">
        <f>IF('Open Invoices'!$C757=0,"",_xlfn.IFNA('Open Invoices'!#REF!-SUMIF(Payments[Invoice '#],'Open Invoices'!$C757,Payments[Amount Paid]),'Open Invoices'!#REF!))</f>
        <v/>
      </c>
      <c r="E757" s="54"/>
      <c r="F757" s="54"/>
    </row>
    <row r="758" spans="2:6" x14ac:dyDescent="0.25">
      <c r="B758" s="55" t="str">
        <f>IF(C758="","",INDEX(Invoices[Due Date],MATCH(C758,Invoices[Invoice '#],0)))</f>
        <v/>
      </c>
      <c r="C758" s="53"/>
      <c r="D758" s="54" t="str">
        <f>IF('Open Invoices'!$C758=0,"",_xlfn.IFNA('Open Invoices'!#REF!-SUMIF(Payments[Invoice '#],'Open Invoices'!$C758,Payments[Amount Paid]),'Open Invoices'!#REF!))</f>
        <v/>
      </c>
      <c r="E758" s="54"/>
      <c r="F758" s="54"/>
    </row>
    <row r="759" spans="2:6" x14ac:dyDescent="0.25">
      <c r="B759" s="55" t="str">
        <f>IF(C759="","",INDEX(Invoices[Due Date],MATCH(C759,Invoices[Invoice '#],0)))</f>
        <v/>
      </c>
      <c r="C759" s="53"/>
      <c r="D759" s="54" t="str">
        <f>IF('Open Invoices'!$C759=0,"",_xlfn.IFNA('Open Invoices'!#REF!-SUMIF(Payments[Invoice '#],'Open Invoices'!$C759,Payments[Amount Paid]),'Open Invoices'!#REF!))</f>
        <v/>
      </c>
      <c r="E759" s="54"/>
      <c r="F759" s="54"/>
    </row>
    <row r="760" spans="2:6" x14ac:dyDescent="0.25">
      <c r="B760" s="55" t="str">
        <f>IF(C760="","",INDEX(Invoices[Due Date],MATCH(C760,Invoices[Invoice '#],0)))</f>
        <v/>
      </c>
      <c r="C760" s="53"/>
      <c r="D760" s="54" t="str">
        <f>IF('Open Invoices'!$C760=0,"",_xlfn.IFNA('Open Invoices'!#REF!-SUMIF(Payments[Invoice '#],'Open Invoices'!$C760,Payments[Amount Paid]),'Open Invoices'!#REF!))</f>
        <v/>
      </c>
      <c r="E760" s="54"/>
      <c r="F760" s="54"/>
    </row>
    <row r="761" spans="2:6" x14ac:dyDescent="0.25">
      <c r="B761" s="55" t="str">
        <f>IF(C761="","",INDEX(Invoices[Due Date],MATCH(C761,Invoices[Invoice '#],0)))</f>
        <v/>
      </c>
      <c r="C761" s="53"/>
      <c r="D761" s="54" t="str">
        <f>IF('Open Invoices'!$C761=0,"",_xlfn.IFNA('Open Invoices'!#REF!-SUMIF(Payments[Invoice '#],'Open Invoices'!$C761,Payments[Amount Paid]),'Open Invoices'!#REF!))</f>
        <v/>
      </c>
      <c r="E761" s="54"/>
      <c r="F761" s="54"/>
    </row>
    <row r="762" spans="2:6" x14ac:dyDescent="0.25">
      <c r="B762" s="55" t="str">
        <f>IF(C762="","",INDEX(Invoices[Due Date],MATCH(C762,Invoices[Invoice '#],0)))</f>
        <v/>
      </c>
      <c r="C762" s="53"/>
      <c r="D762" s="54" t="str">
        <f>IF('Open Invoices'!$C762=0,"",_xlfn.IFNA('Open Invoices'!#REF!-SUMIF(Payments[Invoice '#],'Open Invoices'!$C762,Payments[Amount Paid]),'Open Invoices'!#REF!))</f>
        <v/>
      </c>
      <c r="E762" s="54"/>
      <c r="F762" s="54"/>
    </row>
    <row r="763" spans="2:6" x14ac:dyDescent="0.25">
      <c r="B763" s="55" t="str">
        <f>IF(C763="","",INDEX(Invoices[Due Date],MATCH(C763,Invoices[Invoice '#],0)))</f>
        <v/>
      </c>
      <c r="C763" s="53"/>
      <c r="D763" s="54" t="str">
        <f>IF('Open Invoices'!$C763=0,"",_xlfn.IFNA('Open Invoices'!#REF!-SUMIF(Payments[Invoice '#],'Open Invoices'!$C763,Payments[Amount Paid]),'Open Invoices'!#REF!))</f>
        <v/>
      </c>
      <c r="E763" s="54"/>
      <c r="F763" s="54"/>
    </row>
    <row r="764" spans="2:6" x14ac:dyDescent="0.25">
      <c r="B764" s="55" t="str">
        <f>IF(C764="","",INDEX(Invoices[Due Date],MATCH(C764,Invoices[Invoice '#],0)))</f>
        <v/>
      </c>
      <c r="C764" s="53"/>
      <c r="D764" s="54" t="str">
        <f>IF('Open Invoices'!$C764=0,"",_xlfn.IFNA('Open Invoices'!#REF!-SUMIF(Payments[Invoice '#],'Open Invoices'!$C764,Payments[Amount Paid]),'Open Invoices'!#REF!))</f>
        <v/>
      </c>
      <c r="E764" s="54"/>
      <c r="F764" s="54"/>
    </row>
    <row r="765" spans="2:6" x14ac:dyDescent="0.25">
      <c r="B765" s="55" t="str">
        <f>IF(C765="","",INDEX(Invoices[Due Date],MATCH(C765,Invoices[Invoice '#],0)))</f>
        <v/>
      </c>
      <c r="C765" s="53"/>
      <c r="D765" s="54" t="str">
        <f>IF('Open Invoices'!$C765=0,"",_xlfn.IFNA('Open Invoices'!#REF!-SUMIF(Payments[Invoice '#],'Open Invoices'!$C765,Payments[Amount Paid]),'Open Invoices'!#REF!))</f>
        <v/>
      </c>
      <c r="E765" s="54"/>
      <c r="F765" s="54"/>
    </row>
    <row r="766" spans="2:6" x14ac:dyDescent="0.25">
      <c r="B766" s="55" t="str">
        <f>IF(C766="","",INDEX(Invoices[Due Date],MATCH(C766,Invoices[Invoice '#],0)))</f>
        <v/>
      </c>
      <c r="C766" s="53"/>
      <c r="D766" s="54" t="str">
        <f>IF('Open Invoices'!$C766=0,"",_xlfn.IFNA('Open Invoices'!#REF!-SUMIF(Payments[Invoice '#],'Open Invoices'!$C766,Payments[Amount Paid]),'Open Invoices'!#REF!))</f>
        <v/>
      </c>
      <c r="E766" s="54"/>
      <c r="F766" s="54"/>
    </row>
    <row r="767" spans="2:6" x14ac:dyDescent="0.25">
      <c r="B767" s="55" t="str">
        <f>IF(C767="","",INDEX(Invoices[Due Date],MATCH(C767,Invoices[Invoice '#],0)))</f>
        <v/>
      </c>
      <c r="C767" s="53"/>
      <c r="D767" s="54" t="str">
        <f>IF('Open Invoices'!$C767=0,"",_xlfn.IFNA('Open Invoices'!#REF!-SUMIF(Payments[Invoice '#],'Open Invoices'!$C767,Payments[Amount Paid]),'Open Invoices'!#REF!))</f>
        <v/>
      </c>
      <c r="E767" s="54"/>
      <c r="F767" s="54"/>
    </row>
    <row r="768" spans="2:6" x14ac:dyDescent="0.25">
      <c r="B768" s="55" t="str">
        <f>IF(C768="","",INDEX(Invoices[Due Date],MATCH(C768,Invoices[Invoice '#],0)))</f>
        <v/>
      </c>
      <c r="C768" s="53"/>
      <c r="D768" s="54" t="str">
        <f>IF('Open Invoices'!$C768=0,"",_xlfn.IFNA('Open Invoices'!#REF!-SUMIF(Payments[Invoice '#],'Open Invoices'!$C768,Payments[Amount Paid]),'Open Invoices'!#REF!))</f>
        <v/>
      </c>
      <c r="E768" s="54"/>
      <c r="F768" s="54"/>
    </row>
    <row r="769" spans="2:6" x14ac:dyDescent="0.25">
      <c r="B769" s="55" t="str">
        <f>IF(C769="","",INDEX(Invoices[Due Date],MATCH(C769,Invoices[Invoice '#],0)))</f>
        <v/>
      </c>
      <c r="C769" s="53"/>
      <c r="D769" s="54" t="str">
        <f>IF('Open Invoices'!$C769=0,"",_xlfn.IFNA('Open Invoices'!#REF!-SUMIF(Payments[Invoice '#],'Open Invoices'!$C769,Payments[Amount Paid]),'Open Invoices'!#REF!))</f>
        <v/>
      </c>
      <c r="E769" s="54"/>
      <c r="F769" s="54"/>
    </row>
    <row r="770" spans="2:6" x14ac:dyDescent="0.25">
      <c r="B770" s="55" t="str">
        <f>IF(C770="","",INDEX(Invoices[Due Date],MATCH(C770,Invoices[Invoice '#],0)))</f>
        <v/>
      </c>
      <c r="C770" s="53"/>
      <c r="D770" s="54" t="str">
        <f>IF('Open Invoices'!$C770=0,"",_xlfn.IFNA('Open Invoices'!#REF!-SUMIF(Payments[Invoice '#],'Open Invoices'!$C770,Payments[Amount Paid]),'Open Invoices'!#REF!))</f>
        <v/>
      </c>
      <c r="E770" s="54"/>
      <c r="F770" s="54"/>
    </row>
    <row r="771" spans="2:6" x14ac:dyDescent="0.25">
      <c r="B771" s="55" t="str">
        <f>IF(C771="","",INDEX(Invoices[Due Date],MATCH(C771,Invoices[Invoice '#],0)))</f>
        <v/>
      </c>
      <c r="C771" s="53"/>
      <c r="D771" s="54" t="str">
        <f>IF('Open Invoices'!$C771=0,"",_xlfn.IFNA('Open Invoices'!#REF!-SUMIF(Payments[Invoice '#],'Open Invoices'!$C771,Payments[Amount Paid]),'Open Invoices'!#REF!))</f>
        <v/>
      </c>
      <c r="E771" s="54"/>
      <c r="F771" s="54"/>
    </row>
    <row r="772" spans="2:6" x14ac:dyDescent="0.25">
      <c r="B772" s="55" t="str">
        <f>IF(C772="","",INDEX(Invoices[Due Date],MATCH(C772,Invoices[Invoice '#],0)))</f>
        <v/>
      </c>
      <c r="C772" s="53"/>
      <c r="D772" s="54" t="str">
        <f>IF('Open Invoices'!$C772=0,"",_xlfn.IFNA('Open Invoices'!#REF!-SUMIF(Payments[Invoice '#],'Open Invoices'!$C772,Payments[Amount Paid]),'Open Invoices'!#REF!))</f>
        <v/>
      </c>
      <c r="E772" s="54"/>
      <c r="F772" s="54"/>
    </row>
    <row r="773" spans="2:6" x14ac:dyDescent="0.25">
      <c r="B773" s="55" t="str">
        <f>IF(C773="","",INDEX(Invoices[Due Date],MATCH(C773,Invoices[Invoice '#],0)))</f>
        <v/>
      </c>
      <c r="C773" s="53"/>
      <c r="D773" s="54" t="str">
        <f>IF('Open Invoices'!$C773=0,"",_xlfn.IFNA('Open Invoices'!#REF!-SUMIF(Payments[Invoice '#],'Open Invoices'!$C773,Payments[Amount Paid]),'Open Invoices'!#REF!))</f>
        <v/>
      </c>
      <c r="E773" s="54"/>
      <c r="F773" s="54"/>
    </row>
    <row r="774" spans="2:6" x14ac:dyDescent="0.25">
      <c r="B774" s="55" t="str">
        <f>IF(C774="","",INDEX(Invoices[Due Date],MATCH(C774,Invoices[Invoice '#],0)))</f>
        <v/>
      </c>
      <c r="C774" s="53"/>
      <c r="D774" s="54" t="str">
        <f>IF('Open Invoices'!$C774=0,"",_xlfn.IFNA('Open Invoices'!#REF!-SUMIF(Payments[Invoice '#],'Open Invoices'!$C774,Payments[Amount Paid]),'Open Invoices'!#REF!))</f>
        <v/>
      </c>
      <c r="E774" s="54"/>
      <c r="F774" s="54"/>
    </row>
    <row r="775" spans="2:6" x14ac:dyDescent="0.25">
      <c r="B775" s="55" t="str">
        <f>IF(C775="","",INDEX(Invoices[Due Date],MATCH(C775,Invoices[Invoice '#],0)))</f>
        <v/>
      </c>
      <c r="C775" s="53"/>
      <c r="D775" s="54" t="str">
        <f>IF('Open Invoices'!$C775=0,"",_xlfn.IFNA('Open Invoices'!#REF!-SUMIF(Payments[Invoice '#],'Open Invoices'!$C775,Payments[Amount Paid]),'Open Invoices'!#REF!))</f>
        <v/>
      </c>
      <c r="E775" s="54"/>
      <c r="F775" s="54"/>
    </row>
    <row r="776" spans="2:6" x14ac:dyDescent="0.25">
      <c r="B776" s="55" t="str">
        <f>IF(C776="","",INDEX(Invoices[Due Date],MATCH(C776,Invoices[Invoice '#],0)))</f>
        <v/>
      </c>
      <c r="C776" s="53"/>
      <c r="D776" s="54" t="str">
        <f>IF('Open Invoices'!$C776=0,"",_xlfn.IFNA('Open Invoices'!#REF!-SUMIF(Payments[Invoice '#],'Open Invoices'!$C776,Payments[Amount Paid]),'Open Invoices'!#REF!))</f>
        <v/>
      </c>
      <c r="E776" s="54"/>
      <c r="F776" s="54"/>
    </row>
    <row r="777" spans="2:6" x14ac:dyDescent="0.25">
      <c r="B777" s="55" t="str">
        <f>IF(C777="","",INDEX(Invoices[Due Date],MATCH(C777,Invoices[Invoice '#],0)))</f>
        <v/>
      </c>
      <c r="C777" s="53"/>
      <c r="D777" s="54" t="str">
        <f>IF('Open Invoices'!$C777=0,"",_xlfn.IFNA('Open Invoices'!#REF!-SUMIF(Payments[Invoice '#],'Open Invoices'!$C777,Payments[Amount Paid]),'Open Invoices'!#REF!))</f>
        <v/>
      </c>
      <c r="E777" s="54"/>
      <c r="F777" s="54"/>
    </row>
    <row r="778" spans="2:6" x14ac:dyDescent="0.25">
      <c r="B778" s="55" t="str">
        <f>IF(C778="","",INDEX(Invoices[Due Date],MATCH(C778,Invoices[Invoice '#],0)))</f>
        <v/>
      </c>
      <c r="C778" s="53"/>
      <c r="D778" s="54" t="str">
        <f>IF('Open Invoices'!$C778=0,"",_xlfn.IFNA('Open Invoices'!#REF!-SUMIF(Payments[Invoice '#],'Open Invoices'!$C778,Payments[Amount Paid]),'Open Invoices'!#REF!))</f>
        <v/>
      </c>
      <c r="E778" s="54"/>
      <c r="F778" s="54"/>
    </row>
    <row r="779" spans="2:6" x14ac:dyDescent="0.25">
      <c r="B779" s="55" t="str">
        <f>IF(C779="","",INDEX(Invoices[Due Date],MATCH(C779,Invoices[Invoice '#],0)))</f>
        <v/>
      </c>
      <c r="C779" s="53"/>
      <c r="D779" s="54" t="str">
        <f>IF('Open Invoices'!$C779=0,"",_xlfn.IFNA('Open Invoices'!#REF!-SUMIF(Payments[Invoice '#],'Open Invoices'!$C779,Payments[Amount Paid]),'Open Invoices'!#REF!))</f>
        <v/>
      </c>
      <c r="E779" s="54"/>
      <c r="F779" s="54"/>
    </row>
    <row r="780" spans="2:6" x14ac:dyDescent="0.25">
      <c r="B780" s="55" t="str">
        <f>IF(C780="","",INDEX(Invoices[Due Date],MATCH(C780,Invoices[Invoice '#],0)))</f>
        <v/>
      </c>
      <c r="C780" s="53"/>
      <c r="D780" s="54" t="str">
        <f>IF('Open Invoices'!$C780=0,"",_xlfn.IFNA('Open Invoices'!#REF!-SUMIF(Payments[Invoice '#],'Open Invoices'!$C780,Payments[Amount Paid]),'Open Invoices'!#REF!))</f>
        <v/>
      </c>
      <c r="E780" s="54"/>
      <c r="F780" s="54"/>
    </row>
    <row r="781" spans="2:6" x14ac:dyDescent="0.25">
      <c r="B781" s="55" t="str">
        <f>IF(C781="","",INDEX(Invoices[Due Date],MATCH(C781,Invoices[Invoice '#],0)))</f>
        <v/>
      </c>
      <c r="C781" s="53"/>
      <c r="D781" s="54" t="str">
        <f>IF('Open Invoices'!$C781=0,"",_xlfn.IFNA('Open Invoices'!#REF!-SUMIF(Payments[Invoice '#],'Open Invoices'!$C781,Payments[Amount Paid]),'Open Invoices'!#REF!))</f>
        <v/>
      </c>
      <c r="E781" s="54"/>
      <c r="F781" s="54"/>
    </row>
    <row r="782" spans="2:6" x14ac:dyDescent="0.25">
      <c r="B782" s="55" t="str">
        <f>IF(C782="","",INDEX(Invoices[Due Date],MATCH(C782,Invoices[Invoice '#],0)))</f>
        <v/>
      </c>
      <c r="C782" s="53"/>
      <c r="D782" s="54" t="str">
        <f>IF('Open Invoices'!$C782=0,"",_xlfn.IFNA('Open Invoices'!#REF!-SUMIF(Payments[Invoice '#],'Open Invoices'!$C782,Payments[Amount Paid]),'Open Invoices'!#REF!))</f>
        <v/>
      </c>
      <c r="E782" s="54"/>
      <c r="F782" s="54"/>
    </row>
    <row r="783" spans="2:6" x14ac:dyDescent="0.25">
      <c r="B783" s="55" t="str">
        <f>IF(C783="","",INDEX(Invoices[Due Date],MATCH(C783,Invoices[Invoice '#],0)))</f>
        <v/>
      </c>
      <c r="C783" s="53"/>
      <c r="D783" s="54" t="str">
        <f>IF('Open Invoices'!$C783=0,"",_xlfn.IFNA('Open Invoices'!#REF!-SUMIF(Payments[Invoice '#],'Open Invoices'!$C783,Payments[Amount Paid]),'Open Invoices'!#REF!))</f>
        <v/>
      </c>
      <c r="E783" s="54"/>
      <c r="F783" s="54"/>
    </row>
    <row r="784" spans="2:6" x14ac:dyDescent="0.25">
      <c r="B784" s="55" t="str">
        <f>IF(C784="","",INDEX(Invoices[Due Date],MATCH(C784,Invoices[Invoice '#],0)))</f>
        <v/>
      </c>
      <c r="C784" s="53"/>
      <c r="D784" s="54" t="str">
        <f>IF('Open Invoices'!$C784=0,"",_xlfn.IFNA('Open Invoices'!#REF!-SUMIF(Payments[Invoice '#],'Open Invoices'!$C784,Payments[Amount Paid]),'Open Invoices'!#REF!))</f>
        <v/>
      </c>
      <c r="E784" s="54"/>
      <c r="F784" s="54"/>
    </row>
    <row r="785" spans="2:6" x14ac:dyDescent="0.25">
      <c r="B785" s="55" t="str">
        <f>IF(C785="","",INDEX(Invoices[Due Date],MATCH(C785,Invoices[Invoice '#],0)))</f>
        <v/>
      </c>
      <c r="C785" s="53"/>
      <c r="D785" s="54" t="str">
        <f>IF('Open Invoices'!$C785=0,"",_xlfn.IFNA('Open Invoices'!#REF!-SUMIF(Payments[Invoice '#],'Open Invoices'!$C785,Payments[Amount Paid]),'Open Invoices'!#REF!))</f>
        <v/>
      </c>
      <c r="E785" s="54"/>
      <c r="F785" s="54"/>
    </row>
    <row r="786" spans="2:6" x14ac:dyDescent="0.25">
      <c r="B786" s="55" t="str">
        <f>IF(C786="","",INDEX(Invoices[Due Date],MATCH(C786,Invoices[Invoice '#],0)))</f>
        <v/>
      </c>
      <c r="C786" s="53"/>
      <c r="D786" s="54" t="str">
        <f>IF('Open Invoices'!$C786=0,"",_xlfn.IFNA('Open Invoices'!#REF!-SUMIF(Payments[Invoice '#],'Open Invoices'!$C786,Payments[Amount Paid]),'Open Invoices'!#REF!))</f>
        <v/>
      </c>
      <c r="E786" s="54"/>
      <c r="F786" s="54"/>
    </row>
    <row r="787" spans="2:6" x14ac:dyDescent="0.25">
      <c r="B787" s="55" t="str">
        <f>IF(C787="","",INDEX(Invoices[Due Date],MATCH(C787,Invoices[Invoice '#],0)))</f>
        <v/>
      </c>
      <c r="C787" s="53"/>
      <c r="D787" s="54" t="str">
        <f>IF('Open Invoices'!$C787=0,"",_xlfn.IFNA('Open Invoices'!#REF!-SUMIF(Payments[Invoice '#],'Open Invoices'!$C787,Payments[Amount Paid]),'Open Invoices'!#REF!))</f>
        <v/>
      </c>
      <c r="E787" s="54"/>
      <c r="F787" s="54"/>
    </row>
    <row r="788" spans="2:6" x14ac:dyDescent="0.25">
      <c r="B788" s="55" t="str">
        <f>IF(C788="","",INDEX(Invoices[Due Date],MATCH(C788,Invoices[Invoice '#],0)))</f>
        <v/>
      </c>
      <c r="C788" s="53"/>
      <c r="D788" s="54" t="str">
        <f>IF('Open Invoices'!$C788=0,"",_xlfn.IFNA('Open Invoices'!#REF!-SUMIF(Payments[Invoice '#],'Open Invoices'!$C788,Payments[Amount Paid]),'Open Invoices'!#REF!))</f>
        <v/>
      </c>
      <c r="E788" s="54"/>
      <c r="F788" s="54"/>
    </row>
    <row r="789" spans="2:6" x14ac:dyDescent="0.25">
      <c r="B789" s="55" t="str">
        <f>IF(C789="","",INDEX(Invoices[Due Date],MATCH(C789,Invoices[Invoice '#],0)))</f>
        <v/>
      </c>
      <c r="C789" s="53"/>
      <c r="D789" s="54" t="str">
        <f>IF('Open Invoices'!$C789=0,"",_xlfn.IFNA('Open Invoices'!#REF!-SUMIF(Payments[Invoice '#],'Open Invoices'!$C789,Payments[Amount Paid]),'Open Invoices'!#REF!))</f>
        <v/>
      </c>
      <c r="E789" s="54"/>
      <c r="F789" s="54"/>
    </row>
    <row r="790" spans="2:6" x14ac:dyDescent="0.25">
      <c r="B790" s="55" t="str">
        <f>IF(C790="","",INDEX(Invoices[Due Date],MATCH(C790,Invoices[Invoice '#],0)))</f>
        <v/>
      </c>
      <c r="C790" s="53"/>
      <c r="D790" s="54" t="str">
        <f>IF('Open Invoices'!$C790=0,"",_xlfn.IFNA('Open Invoices'!#REF!-SUMIF(Payments[Invoice '#],'Open Invoices'!$C790,Payments[Amount Paid]),'Open Invoices'!#REF!))</f>
        <v/>
      </c>
      <c r="E790" s="54"/>
      <c r="F790" s="54"/>
    </row>
    <row r="791" spans="2:6" x14ac:dyDescent="0.25">
      <c r="B791" s="55" t="str">
        <f>IF(C791="","",INDEX(Invoices[Due Date],MATCH(C791,Invoices[Invoice '#],0)))</f>
        <v/>
      </c>
      <c r="C791" s="53"/>
      <c r="D791" s="54" t="str">
        <f>IF('Open Invoices'!$C791=0,"",_xlfn.IFNA('Open Invoices'!#REF!-SUMIF(Payments[Invoice '#],'Open Invoices'!$C791,Payments[Amount Paid]),'Open Invoices'!#REF!))</f>
        <v/>
      </c>
      <c r="E791" s="54"/>
      <c r="F791" s="54"/>
    </row>
    <row r="792" spans="2:6" x14ac:dyDescent="0.25">
      <c r="B792" s="55" t="str">
        <f>IF(C792="","",INDEX(Invoices[Due Date],MATCH(C792,Invoices[Invoice '#],0)))</f>
        <v/>
      </c>
      <c r="C792" s="53"/>
      <c r="D792" s="54" t="str">
        <f>IF('Open Invoices'!$C792=0,"",_xlfn.IFNA('Open Invoices'!#REF!-SUMIF(Payments[Invoice '#],'Open Invoices'!$C792,Payments[Amount Paid]),'Open Invoices'!#REF!))</f>
        <v/>
      </c>
      <c r="E792" s="54"/>
      <c r="F792" s="54"/>
    </row>
    <row r="793" spans="2:6" x14ac:dyDescent="0.25">
      <c r="B793" s="55" t="str">
        <f>IF(C793="","",INDEX(Invoices[Due Date],MATCH(C793,Invoices[Invoice '#],0)))</f>
        <v/>
      </c>
      <c r="C793" s="53"/>
      <c r="D793" s="54" t="str">
        <f>IF('Open Invoices'!$C793=0,"",_xlfn.IFNA('Open Invoices'!#REF!-SUMIF(Payments[Invoice '#],'Open Invoices'!$C793,Payments[Amount Paid]),'Open Invoices'!#REF!))</f>
        <v/>
      </c>
      <c r="E793" s="54"/>
      <c r="F793" s="54"/>
    </row>
    <row r="794" spans="2:6" x14ac:dyDescent="0.25">
      <c r="B794" s="55" t="str">
        <f>IF(C794="","",INDEX(Invoices[Due Date],MATCH(C794,Invoices[Invoice '#],0)))</f>
        <v/>
      </c>
      <c r="C794" s="53"/>
      <c r="D794" s="54" t="str">
        <f>IF('Open Invoices'!$C794=0,"",_xlfn.IFNA('Open Invoices'!#REF!-SUMIF(Payments[Invoice '#],'Open Invoices'!$C794,Payments[Amount Paid]),'Open Invoices'!#REF!))</f>
        <v/>
      </c>
      <c r="E794" s="54"/>
      <c r="F794" s="54"/>
    </row>
    <row r="795" spans="2:6" x14ac:dyDescent="0.25">
      <c r="B795" s="55" t="str">
        <f>IF(C795="","",INDEX(Invoices[Due Date],MATCH(C795,Invoices[Invoice '#],0)))</f>
        <v/>
      </c>
      <c r="C795" s="53"/>
      <c r="D795" s="54" t="str">
        <f>IF('Open Invoices'!$C795=0,"",_xlfn.IFNA('Open Invoices'!#REF!-SUMIF(Payments[Invoice '#],'Open Invoices'!$C795,Payments[Amount Paid]),'Open Invoices'!#REF!))</f>
        <v/>
      </c>
      <c r="E795" s="54"/>
      <c r="F795" s="54"/>
    </row>
    <row r="796" spans="2:6" x14ac:dyDescent="0.25">
      <c r="B796" s="55" t="str">
        <f>IF(C796="","",INDEX(Invoices[Due Date],MATCH(C796,Invoices[Invoice '#],0)))</f>
        <v/>
      </c>
      <c r="C796" s="53"/>
      <c r="D796" s="54" t="str">
        <f>IF('Open Invoices'!$C796=0,"",_xlfn.IFNA('Open Invoices'!#REF!-SUMIF(Payments[Invoice '#],'Open Invoices'!$C796,Payments[Amount Paid]),'Open Invoices'!#REF!))</f>
        <v/>
      </c>
      <c r="E796" s="54"/>
      <c r="F796" s="54"/>
    </row>
    <row r="797" spans="2:6" x14ac:dyDescent="0.25">
      <c r="B797" s="55" t="str">
        <f>IF(C797="","",INDEX(Invoices[Due Date],MATCH(C797,Invoices[Invoice '#],0)))</f>
        <v/>
      </c>
      <c r="C797" s="53"/>
      <c r="D797" s="54" t="str">
        <f>IF('Open Invoices'!$C797=0,"",_xlfn.IFNA('Open Invoices'!#REF!-SUMIF(Payments[Invoice '#],'Open Invoices'!$C797,Payments[Amount Paid]),'Open Invoices'!#REF!))</f>
        <v/>
      </c>
      <c r="E797" s="54"/>
      <c r="F797" s="54"/>
    </row>
    <row r="798" spans="2:6" x14ac:dyDescent="0.25">
      <c r="B798" s="55" t="str">
        <f>IF(C798="","",INDEX(Invoices[Due Date],MATCH(C798,Invoices[Invoice '#],0)))</f>
        <v/>
      </c>
      <c r="C798" s="53"/>
      <c r="D798" s="54" t="str">
        <f>IF('Open Invoices'!$C798=0,"",_xlfn.IFNA('Open Invoices'!#REF!-SUMIF(Payments[Invoice '#],'Open Invoices'!$C798,Payments[Amount Paid]),'Open Invoices'!#REF!))</f>
        <v/>
      </c>
      <c r="E798" s="54"/>
      <c r="F798" s="54"/>
    </row>
    <row r="799" spans="2:6" x14ac:dyDescent="0.25">
      <c r="B799" s="55" t="str">
        <f>IF(C799="","",INDEX(Invoices[Due Date],MATCH(C799,Invoices[Invoice '#],0)))</f>
        <v/>
      </c>
      <c r="C799" s="53"/>
      <c r="D799" s="54" t="str">
        <f>IF('Open Invoices'!$C799=0,"",_xlfn.IFNA('Open Invoices'!#REF!-SUMIF(Payments[Invoice '#],'Open Invoices'!$C799,Payments[Amount Paid]),'Open Invoices'!#REF!))</f>
        <v/>
      </c>
      <c r="E799" s="54"/>
      <c r="F799" s="54"/>
    </row>
    <row r="800" spans="2:6" x14ac:dyDescent="0.25">
      <c r="B800" s="55" t="str">
        <f>IF(C800="","",INDEX(Invoices[Due Date],MATCH(C800,Invoices[Invoice '#],0)))</f>
        <v/>
      </c>
      <c r="C800" s="53"/>
      <c r="D800" s="54" t="str">
        <f>IF('Open Invoices'!$C800=0,"",_xlfn.IFNA('Open Invoices'!#REF!-SUMIF(Payments[Invoice '#],'Open Invoices'!$C800,Payments[Amount Paid]),'Open Invoices'!#REF!))</f>
        <v/>
      </c>
      <c r="E800" s="54"/>
      <c r="F800" s="54"/>
    </row>
    <row r="801" spans="2:6" x14ac:dyDescent="0.25">
      <c r="B801" s="55" t="str">
        <f>IF(C801="","",INDEX(Invoices[Due Date],MATCH(C801,Invoices[Invoice '#],0)))</f>
        <v/>
      </c>
      <c r="C801" s="53"/>
      <c r="D801" s="54" t="str">
        <f>IF('Open Invoices'!$C801=0,"",_xlfn.IFNA('Open Invoices'!#REF!-SUMIF(Payments[Invoice '#],'Open Invoices'!$C801,Payments[Amount Paid]),'Open Invoices'!#REF!))</f>
        <v/>
      </c>
      <c r="E801" s="54"/>
      <c r="F801" s="54"/>
    </row>
    <row r="802" spans="2:6" x14ac:dyDescent="0.25">
      <c r="B802" s="55" t="str">
        <f>IF(C802="","",INDEX(Invoices[Due Date],MATCH(C802,Invoices[Invoice '#],0)))</f>
        <v/>
      </c>
      <c r="C802" s="53"/>
      <c r="D802" s="54" t="str">
        <f>IF('Open Invoices'!$C802=0,"",_xlfn.IFNA('Open Invoices'!#REF!-SUMIF(Payments[Invoice '#],'Open Invoices'!$C802,Payments[Amount Paid]),'Open Invoices'!#REF!))</f>
        <v/>
      </c>
      <c r="E802" s="54"/>
      <c r="F802" s="54"/>
    </row>
    <row r="803" spans="2:6" x14ac:dyDescent="0.25">
      <c r="B803" s="55" t="str">
        <f>IF(C803="","",INDEX(Invoices[Due Date],MATCH(C803,Invoices[Invoice '#],0)))</f>
        <v/>
      </c>
      <c r="C803" s="53"/>
      <c r="D803" s="54" t="str">
        <f>IF('Open Invoices'!$C803=0,"",_xlfn.IFNA('Open Invoices'!#REF!-SUMIF(Payments[Invoice '#],'Open Invoices'!$C803,Payments[Amount Paid]),'Open Invoices'!#REF!))</f>
        <v/>
      </c>
      <c r="E803" s="54"/>
      <c r="F803" s="54"/>
    </row>
    <row r="804" spans="2:6" x14ac:dyDescent="0.25">
      <c r="B804" s="55" t="str">
        <f>IF(C804="","",INDEX(Invoices[Due Date],MATCH(C804,Invoices[Invoice '#],0)))</f>
        <v/>
      </c>
      <c r="C804" s="53"/>
      <c r="D804" s="54" t="str">
        <f>IF('Open Invoices'!$C804=0,"",_xlfn.IFNA('Open Invoices'!#REF!-SUMIF(Payments[Invoice '#],'Open Invoices'!$C804,Payments[Amount Paid]),'Open Invoices'!#REF!))</f>
        <v/>
      </c>
      <c r="E804" s="54"/>
      <c r="F804" s="54"/>
    </row>
    <row r="805" spans="2:6" x14ac:dyDescent="0.25">
      <c r="B805" s="55" t="str">
        <f>IF(C805="","",INDEX(Invoices[Due Date],MATCH(C805,Invoices[Invoice '#],0)))</f>
        <v/>
      </c>
      <c r="C805" s="53"/>
      <c r="D805" s="54" t="str">
        <f>IF('Open Invoices'!$C805=0,"",_xlfn.IFNA('Open Invoices'!#REF!-SUMIF(Payments[Invoice '#],'Open Invoices'!$C805,Payments[Amount Paid]),'Open Invoices'!#REF!))</f>
        <v/>
      </c>
      <c r="E805" s="54"/>
      <c r="F805" s="54"/>
    </row>
    <row r="806" spans="2:6" x14ac:dyDescent="0.25">
      <c r="B806" s="55" t="str">
        <f>IF(C806="","",INDEX(Invoices[Due Date],MATCH(C806,Invoices[Invoice '#],0)))</f>
        <v/>
      </c>
      <c r="C806" s="53"/>
      <c r="D806" s="54" t="str">
        <f>IF('Open Invoices'!$C806=0,"",_xlfn.IFNA('Open Invoices'!#REF!-SUMIF(Payments[Invoice '#],'Open Invoices'!$C806,Payments[Amount Paid]),'Open Invoices'!#REF!))</f>
        <v/>
      </c>
      <c r="E806" s="54"/>
      <c r="F806" s="54"/>
    </row>
    <row r="807" spans="2:6" x14ac:dyDescent="0.25">
      <c r="B807" s="55" t="str">
        <f>IF(C807="","",INDEX(Invoices[Due Date],MATCH(C807,Invoices[Invoice '#],0)))</f>
        <v/>
      </c>
      <c r="C807" s="53"/>
      <c r="D807" s="54" t="str">
        <f>IF('Open Invoices'!$C807=0,"",_xlfn.IFNA('Open Invoices'!#REF!-SUMIF(Payments[Invoice '#],'Open Invoices'!$C807,Payments[Amount Paid]),'Open Invoices'!#REF!))</f>
        <v/>
      </c>
      <c r="E807" s="54"/>
      <c r="F807" s="54"/>
    </row>
    <row r="808" spans="2:6" x14ac:dyDescent="0.25">
      <c r="B808" s="55" t="str">
        <f>IF(C808="","",INDEX(Invoices[Due Date],MATCH(C808,Invoices[Invoice '#],0)))</f>
        <v/>
      </c>
      <c r="C808" s="53"/>
      <c r="D808" s="54" t="str">
        <f>IF('Open Invoices'!$C808=0,"",_xlfn.IFNA('Open Invoices'!#REF!-SUMIF(Payments[Invoice '#],'Open Invoices'!$C808,Payments[Amount Paid]),'Open Invoices'!#REF!))</f>
        <v/>
      </c>
      <c r="E808" s="54"/>
      <c r="F808" s="54"/>
    </row>
    <row r="809" spans="2:6" x14ac:dyDescent="0.25">
      <c r="B809" s="55" t="str">
        <f>IF(C809="","",INDEX(Invoices[Due Date],MATCH(C809,Invoices[Invoice '#],0)))</f>
        <v/>
      </c>
      <c r="C809" s="53"/>
      <c r="D809" s="54" t="str">
        <f>IF('Open Invoices'!$C809=0,"",_xlfn.IFNA('Open Invoices'!#REF!-SUMIF(Payments[Invoice '#],'Open Invoices'!$C809,Payments[Amount Paid]),'Open Invoices'!#REF!))</f>
        <v/>
      </c>
      <c r="E809" s="54"/>
      <c r="F809" s="54"/>
    </row>
    <row r="810" spans="2:6" x14ac:dyDescent="0.25">
      <c r="B810" s="55" t="str">
        <f>IF(C810="","",INDEX(Invoices[Due Date],MATCH(C810,Invoices[Invoice '#],0)))</f>
        <v/>
      </c>
      <c r="C810" s="53"/>
      <c r="D810" s="54" t="str">
        <f>IF('Open Invoices'!$C810=0,"",_xlfn.IFNA('Open Invoices'!#REF!-SUMIF(Payments[Invoice '#],'Open Invoices'!$C810,Payments[Amount Paid]),'Open Invoices'!#REF!))</f>
        <v/>
      </c>
      <c r="E810" s="54"/>
      <c r="F810" s="54"/>
    </row>
    <row r="811" spans="2:6" x14ac:dyDescent="0.25">
      <c r="B811" s="55" t="str">
        <f>IF(C811="","",INDEX(Invoices[Due Date],MATCH(C811,Invoices[Invoice '#],0)))</f>
        <v/>
      </c>
      <c r="C811" s="53"/>
      <c r="D811" s="54" t="str">
        <f>IF('Open Invoices'!$C811=0,"",_xlfn.IFNA('Open Invoices'!#REF!-SUMIF(Payments[Invoice '#],'Open Invoices'!$C811,Payments[Amount Paid]),'Open Invoices'!#REF!))</f>
        <v/>
      </c>
      <c r="E811" s="54"/>
      <c r="F811" s="54"/>
    </row>
    <row r="812" spans="2:6" x14ac:dyDescent="0.25">
      <c r="B812" s="55" t="str">
        <f>IF(C812="","",INDEX(Invoices[Due Date],MATCH(C812,Invoices[Invoice '#],0)))</f>
        <v/>
      </c>
      <c r="C812" s="53"/>
      <c r="D812" s="54" t="str">
        <f>IF('Open Invoices'!$C812=0,"",_xlfn.IFNA('Open Invoices'!#REF!-SUMIF(Payments[Invoice '#],'Open Invoices'!$C812,Payments[Amount Paid]),'Open Invoices'!#REF!))</f>
        <v/>
      </c>
      <c r="E812" s="54"/>
      <c r="F812" s="54"/>
    </row>
    <row r="813" spans="2:6" x14ac:dyDescent="0.25">
      <c r="B813" s="55" t="str">
        <f>IF(C813="","",INDEX(Invoices[Due Date],MATCH(C813,Invoices[Invoice '#],0)))</f>
        <v/>
      </c>
      <c r="C813" s="53"/>
      <c r="D813" s="54" t="str">
        <f>IF('Open Invoices'!$C813=0,"",_xlfn.IFNA('Open Invoices'!#REF!-SUMIF(Payments[Invoice '#],'Open Invoices'!$C813,Payments[Amount Paid]),'Open Invoices'!#REF!))</f>
        <v/>
      </c>
      <c r="E813" s="54"/>
      <c r="F813" s="54"/>
    </row>
    <row r="814" spans="2:6" x14ac:dyDescent="0.25">
      <c r="B814" s="55" t="str">
        <f>IF(C814="","",INDEX(Invoices[Due Date],MATCH(C814,Invoices[Invoice '#],0)))</f>
        <v/>
      </c>
      <c r="C814" s="53"/>
      <c r="D814" s="54" t="str">
        <f>IF('Open Invoices'!$C814=0,"",_xlfn.IFNA('Open Invoices'!#REF!-SUMIF(Payments[Invoice '#],'Open Invoices'!$C814,Payments[Amount Paid]),'Open Invoices'!#REF!))</f>
        <v/>
      </c>
      <c r="E814" s="54"/>
      <c r="F814" s="54"/>
    </row>
    <row r="815" spans="2:6" x14ac:dyDescent="0.25">
      <c r="B815" s="55" t="str">
        <f>IF(C815="","",INDEX(Invoices[Due Date],MATCH(C815,Invoices[Invoice '#],0)))</f>
        <v/>
      </c>
      <c r="C815" s="53"/>
      <c r="D815" s="54" t="str">
        <f>IF('Open Invoices'!$C815=0,"",_xlfn.IFNA('Open Invoices'!#REF!-SUMIF(Payments[Invoice '#],'Open Invoices'!$C815,Payments[Amount Paid]),'Open Invoices'!#REF!))</f>
        <v/>
      </c>
      <c r="E815" s="54"/>
      <c r="F815" s="54"/>
    </row>
    <row r="816" spans="2:6" x14ac:dyDescent="0.25">
      <c r="B816" s="55" t="str">
        <f>IF(C816="","",INDEX(Invoices[Due Date],MATCH(C816,Invoices[Invoice '#],0)))</f>
        <v/>
      </c>
      <c r="C816" s="53"/>
      <c r="D816" s="54" t="str">
        <f>IF('Open Invoices'!$C816=0,"",_xlfn.IFNA('Open Invoices'!#REF!-SUMIF(Payments[Invoice '#],'Open Invoices'!$C816,Payments[Amount Paid]),'Open Invoices'!#REF!))</f>
        <v/>
      </c>
      <c r="E816" s="54"/>
      <c r="F816" s="54"/>
    </row>
    <row r="817" spans="2:6" x14ac:dyDescent="0.25">
      <c r="B817" s="55" t="str">
        <f>IF(C817="","",INDEX(Invoices[Due Date],MATCH(C817,Invoices[Invoice '#],0)))</f>
        <v/>
      </c>
      <c r="C817" s="53"/>
      <c r="D817" s="54" t="str">
        <f>IF('Open Invoices'!$C817=0,"",_xlfn.IFNA('Open Invoices'!#REF!-SUMIF(Payments[Invoice '#],'Open Invoices'!$C817,Payments[Amount Paid]),'Open Invoices'!#REF!))</f>
        <v/>
      </c>
      <c r="E817" s="54"/>
      <c r="F817" s="54"/>
    </row>
    <row r="818" spans="2:6" x14ac:dyDescent="0.25">
      <c r="B818" s="55" t="str">
        <f>IF(C818="","",INDEX(Invoices[Due Date],MATCH(C818,Invoices[Invoice '#],0)))</f>
        <v/>
      </c>
      <c r="C818" s="53"/>
      <c r="D818" s="54" t="str">
        <f>IF('Open Invoices'!$C818=0,"",_xlfn.IFNA('Open Invoices'!#REF!-SUMIF(Payments[Invoice '#],'Open Invoices'!$C818,Payments[Amount Paid]),'Open Invoices'!#REF!))</f>
        <v/>
      </c>
      <c r="E818" s="54"/>
      <c r="F818" s="54"/>
    </row>
    <row r="819" spans="2:6" x14ac:dyDescent="0.25">
      <c r="B819" s="55" t="str">
        <f>IF(C819="","",INDEX(Invoices[Due Date],MATCH(C819,Invoices[Invoice '#],0)))</f>
        <v/>
      </c>
      <c r="C819" s="53"/>
      <c r="D819" s="54" t="str">
        <f>IF('Open Invoices'!$C819=0,"",_xlfn.IFNA('Open Invoices'!#REF!-SUMIF(Payments[Invoice '#],'Open Invoices'!$C819,Payments[Amount Paid]),'Open Invoices'!#REF!))</f>
        <v/>
      </c>
      <c r="E819" s="54"/>
      <c r="F819" s="54"/>
    </row>
    <row r="820" spans="2:6" x14ac:dyDescent="0.25">
      <c r="B820" s="55" t="str">
        <f>IF(C820="","",INDEX(Invoices[Due Date],MATCH(C820,Invoices[Invoice '#],0)))</f>
        <v/>
      </c>
      <c r="C820" s="53"/>
      <c r="D820" s="54" t="str">
        <f>IF('Open Invoices'!$C820=0,"",_xlfn.IFNA('Open Invoices'!#REF!-SUMIF(Payments[Invoice '#],'Open Invoices'!$C820,Payments[Amount Paid]),'Open Invoices'!#REF!))</f>
        <v/>
      </c>
      <c r="E820" s="54"/>
      <c r="F820" s="54"/>
    </row>
    <row r="821" spans="2:6" x14ac:dyDescent="0.25">
      <c r="B821" s="55" t="str">
        <f>IF(C821="","",INDEX(Invoices[Due Date],MATCH(C821,Invoices[Invoice '#],0)))</f>
        <v/>
      </c>
      <c r="C821" s="53"/>
      <c r="D821" s="54" t="str">
        <f>IF('Open Invoices'!$C821=0,"",_xlfn.IFNA('Open Invoices'!#REF!-SUMIF(Payments[Invoice '#],'Open Invoices'!$C821,Payments[Amount Paid]),'Open Invoices'!#REF!))</f>
        <v/>
      </c>
      <c r="E821" s="54"/>
      <c r="F821" s="54"/>
    </row>
    <row r="822" spans="2:6" x14ac:dyDescent="0.25">
      <c r="B822" s="55" t="str">
        <f>IF(C822="","",INDEX(Invoices[Due Date],MATCH(C822,Invoices[Invoice '#],0)))</f>
        <v/>
      </c>
      <c r="C822" s="53"/>
      <c r="D822" s="54" t="str">
        <f>IF('Open Invoices'!$C822=0,"",_xlfn.IFNA('Open Invoices'!#REF!-SUMIF(Payments[Invoice '#],'Open Invoices'!$C822,Payments[Amount Paid]),'Open Invoices'!#REF!))</f>
        <v/>
      </c>
      <c r="E822" s="54"/>
      <c r="F822" s="54"/>
    </row>
    <row r="823" spans="2:6" x14ac:dyDescent="0.25">
      <c r="B823" s="55" t="str">
        <f>IF(C823="","",INDEX(Invoices[Due Date],MATCH(C823,Invoices[Invoice '#],0)))</f>
        <v/>
      </c>
      <c r="C823" s="53"/>
      <c r="D823" s="54" t="str">
        <f>IF('Open Invoices'!$C823=0,"",_xlfn.IFNA('Open Invoices'!#REF!-SUMIF(Payments[Invoice '#],'Open Invoices'!$C823,Payments[Amount Paid]),'Open Invoices'!#REF!))</f>
        <v/>
      </c>
      <c r="E823" s="54"/>
      <c r="F823" s="54"/>
    </row>
    <row r="824" spans="2:6" x14ac:dyDescent="0.25">
      <c r="B824" s="55" t="str">
        <f>IF(C824="","",INDEX(Invoices[Due Date],MATCH(C824,Invoices[Invoice '#],0)))</f>
        <v/>
      </c>
      <c r="C824" s="53"/>
      <c r="D824" s="54" t="str">
        <f>IF('Open Invoices'!$C824=0,"",_xlfn.IFNA('Open Invoices'!#REF!-SUMIF(Payments[Invoice '#],'Open Invoices'!$C824,Payments[Amount Paid]),'Open Invoices'!#REF!))</f>
        <v/>
      </c>
      <c r="E824" s="54"/>
      <c r="F824" s="54"/>
    </row>
    <row r="825" spans="2:6" x14ac:dyDescent="0.25">
      <c r="B825" s="55" t="str">
        <f>IF(C825="","",INDEX(Invoices[Due Date],MATCH(C825,Invoices[Invoice '#],0)))</f>
        <v/>
      </c>
      <c r="C825" s="53"/>
      <c r="D825" s="54" t="str">
        <f>IF('Open Invoices'!$C825=0,"",_xlfn.IFNA('Open Invoices'!#REF!-SUMIF(Payments[Invoice '#],'Open Invoices'!$C825,Payments[Amount Paid]),'Open Invoices'!#REF!))</f>
        <v/>
      </c>
      <c r="E825" s="54"/>
      <c r="F825" s="54"/>
    </row>
    <row r="826" spans="2:6" x14ac:dyDescent="0.25">
      <c r="B826" s="55" t="str">
        <f>IF(C826="","",INDEX(Invoices[Due Date],MATCH(C826,Invoices[Invoice '#],0)))</f>
        <v/>
      </c>
      <c r="C826" s="53"/>
      <c r="D826" s="54" t="str">
        <f>IF('Open Invoices'!$C826=0,"",_xlfn.IFNA('Open Invoices'!#REF!-SUMIF(Payments[Invoice '#],'Open Invoices'!$C826,Payments[Amount Paid]),'Open Invoices'!#REF!))</f>
        <v/>
      </c>
      <c r="E826" s="54"/>
      <c r="F826" s="54"/>
    </row>
    <row r="827" spans="2:6" x14ac:dyDescent="0.25">
      <c r="B827" s="55" t="str">
        <f>IF(C827="","",INDEX(Invoices[Due Date],MATCH(C827,Invoices[Invoice '#],0)))</f>
        <v/>
      </c>
      <c r="C827" s="53"/>
      <c r="D827" s="54" t="str">
        <f>IF('Open Invoices'!$C827=0,"",_xlfn.IFNA('Open Invoices'!#REF!-SUMIF(Payments[Invoice '#],'Open Invoices'!$C827,Payments[Amount Paid]),'Open Invoices'!#REF!))</f>
        <v/>
      </c>
      <c r="E827" s="54"/>
      <c r="F827" s="54"/>
    </row>
    <row r="828" spans="2:6" x14ac:dyDescent="0.25">
      <c r="B828" s="55" t="str">
        <f>IF(C828="","",INDEX(Invoices[Due Date],MATCH(C828,Invoices[Invoice '#],0)))</f>
        <v/>
      </c>
      <c r="C828" s="53"/>
      <c r="D828" s="54" t="str">
        <f>IF('Open Invoices'!$C828=0,"",_xlfn.IFNA('Open Invoices'!#REF!-SUMIF(Payments[Invoice '#],'Open Invoices'!$C828,Payments[Amount Paid]),'Open Invoices'!#REF!))</f>
        <v/>
      </c>
      <c r="E828" s="54"/>
      <c r="F828" s="54"/>
    </row>
    <row r="829" spans="2:6" x14ac:dyDescent="0.25">
      <c r="B829" s="55" t="str">
        <f>IF(C829="","",INDEX(Invoices[Due Date],MATCH(C829,Invoices[Invoice '#],0)))</f>
        <v/>
      </c>
      <c r="C829" s="53"/>
      <c r="D829" s="54" t="str">
        <f>IF('Open Invoices'!$C829=0,"",_xlfn.IFNA('Open Invoices'!#REF!-SUMIF(Payments[Invoice '#],'Open Invoices'!$C829,Payments[Amount Paid]),'Open Invoices'!#REF!))</f>
        <v/>
      </c>
      <c r="E829" s="54"/>
      <c r="F829" s="54"/>
    </row>
    <row r="830" spans="2:6" x14ac:dyDescent="0.25">
      <c r="B830" s="55" t="str">
        <f>IF(C830="","",INDEX(Invoices[Due Date],MATCH(C830,Invoices[Invoice '#],0)))</f>
        <v/>
      </c>
      <c r="C830" s="53"/>
      <c r="D830" s="54" t="str">
        <f>IF('Open Invoices'!$C830=0,"",_xlfn.IFNA('Open Invoices'!#REF!-SUMIF(Payments[Invoice '#],'Open Invoices'!$C830,Payments[Amount Paid]),'Open Invoices'!#REF!))</f>
        <v/>
      </c>
      <c r="E830" s="54"/>
      <c r="F830" s="54"/>
    </row>
    <row r="831" spans="2:6" x14ac:dyDescent="0.25">
      <c r="B831" s="55" t="str">
        <f>IF(C831="","",INDEX(Invoices[Due Date],MATCH(C831,Invoices[Invoice '#],0)))</f>
        <v/>
      </c>
      <c r="C831" s="53"/>
      <c r="D831" s="54" t="str">
        <f>IF('Open Invoices'!$C831=0,"",_xlfn.IFNA('Open Invoices'!#REF!-SUMIF(Payments[Invoice '#],'Open Invoices'!$C831,Payments[Amount Paid]),'Open Invoices'!#REF!))</f>
        <v/>
      </c>
      <c r="E831" s="54"/>
      <c r="F831" s="54"/>
    </row>
    <row r="832" spans="2:6" x14ac:dyDescent="0.25">
      <c r="B832" s="55" t="str">
        <f>IF(C832="","",INDEX(Invoices[Due Date],MATCH(C832,Invoices[Invoice '#],0)))</f>
        <v/>
      </c>
      <c r="C832" s="53"/>
      <c r="D832" s="54" t="str">
        <f>IF('Open Invoices'!$C832=0,"",_xlfn.IFNA('Open Invoices'!#REF!-SUMIF(Payments[Invoice '#],'Open Invoices'!$C832,Payments[Amount Paid]),'Open Invoices'!#REF!))</f>
        <v/>
      </c>
      <c r="E832" s="54"/>
      <c r="F832" s="54"/>
    </row>
    <row r="833" spans="2:6" x14ac:dyDescent="0.25">
      <c r="B833" s="55" t="str">
        <f>IF(C833="","",INDEX(Invoices[Due Date],MATCH(C833,Invoices[Invoice '#],0)))</f>
        <v/>
      </c>
      <c r="C833" s="53"/>
      <c r="D833" s="54" t="str">
        <f>IF('Open Invoices'!$C833=0,"",_xlfn.IFNA('Open Invoices'!#REF!-SUMIF(Payments[Invoice '#],'Open Invoices'!$C833,Payments[Amount Paid]),'Open Invoices'!#REF!))</f>
        <v/>
      </c>
      <c r="E833" s="54"/>
      <c r="F833" s="54"/>
    </row>
    <row r="834" spans="2:6" x14ac:dyDescent="0.25">
      <c r="B834" s="55" t="str">
        <f>IF(C834="","",INDEX(Invoices[Due Date],MATCH(C834,Invoices[Invoice '#],0)))</f>
        <v/>
      </c>
      <c r="C834" s="53"/>
      <c r="D834" s="54" t="str">
        <f>IF('Open Invoices'!$C834=0,"",_xlfn.IFNA('Open Invoices'!#REF!-SUMIF(Payments[Invoice '#],'Open Invoices'!$C834,Payments[Amount Paid]),'Open Invoices'!#REF!))</f>
        <v/>
      </c>
      <c r="E834" s="54"/>
      <c r="F834" s="54"/>
    </row>
    <row r="835" spans="2:6" x14ac:dyDescent="0.25">
      <c r="B835" s="55" t="str">
        <f>IF(C835="","",INDEX(Invoices[Due Date],MATCH(C835,Invoices[Invoice '#],0)))</f>
        <v/>
      </c>
      <c r="C835" s="53"/>
      <c r="D835" s="54" t="str">
        <f>IF('Open Invoices'!$C835=0,"",_xlfn.IFNA('Open Invoices'!#REF!-SUMIF(Payments[Invoice '#],'Open Invoices'!$C835,Payments[Amount Paid]),'Open Invoices'!#REF!))</f>
        <v/>
      </c>
      <c r="E835" s="54"/>
      <c r="F835" s="54"/>
    </row>
    <row r="836" spans="2:6" x14ac:dyDescent="0.25">
      <c r="B836" s="55" t="str">
        <f>IF(C836="","",INDEX(Invoices[Due Date],MATCH(C836,Invoices[Invoice '#],0)))</f>
        <v/>
      </c>
      <c r="C836" s="53"/>
      <c r="D836" s="54" t="str">
        <f>IF('Open Invoices'!$C836=0,"",_xlfn.IFNA('Open Invoices'!#REF!-SUMIF(Payments[Invoice '#],'Open Invoices'!$C836,Payments[Amount Paid]),'Open Invoices'!#REF!))</f>
        <v/>
      </c>
      <c r="E836" s="54"/>
      <c r="F836" s="54"/>
    </row>
    <row r="837" spans="2:6" x14ac:dyDescent="0.25">
      <c r="B837" s="55" t="str">
        <f>IF(C837="","",INDEX(Invoices[Due Date],MATCH(C837,Invoices[Invoice '#],0)))</f>
        <v/>
      </c>
      <c r="C837" s="53"/>
      <c r="D837" s="54" t="str">
        <f>IF('Open Invoices'!$C837=0,"",_xlfn.IFNA('Open Invoices'!#REF!-SUMIF(Payments[Invoice '#],'Open Invoices'!$C837,Payments[Amount Paid]),'Open Invoices'!#REF!))</f>
        <v/>
      </c>
      <c r="E837" s="54"/>
      <c r="F837" s="54"/>
    </row>
    <row r="838" spans="2:6" x14ac:dyDescent="0.25">
      <c r="B838" s="55" t="str">
        <f>IF(C838="","",INDEX(Invoices[Due Date],MATCH(C838,Invoices[Invoice '#],0)))</f>
        <v/>
      </c>
      <c r="C838" s="53"/>
      <c r="D838" s="54" t="str">
        <f>IF('Open Invoices'!$C838=0,"",_xlfn.IFNA('Open Invoices'!#REF!-SUMIF(Payments[Invoice '#],'Open Invoices'!$C838,Payments[Amount Paid]),'Open Invoices'!#REF!))</f>
        <v/>
      </c>
      <c r="E838" s="54"/>
      <c r="F838" s="54"/>
    </row>
    <row r="839" spans="2:6" x14ac:dyDescent="0.25">
      <c r="B839" s="55" t="str">
        <f>IF(C839="","",INDEX(Invoices[Due Date],MATCH(C839,Invoices[Invoice '#],0)))</f>
        <v/>
      </c>
      <c r="C839" s="53"/>
      <c r="D839" s="54" t="str">
        <f>IF('Open Invoices'!$C839=0,"",_xlfn.IFNA('Open Invoices'!#REF!-SUMIF(Payments[Invoice '#],'Open Invoices'!$C839,Payments[Amount Paid]),'Open Invoices'!#REF!))</f>
        <v/>
      </c>
      <c r="E839" s="54"/>
      <c r="F839" s="54"/>
    </row>
    <row r="840" spans="2:6" x14ac:dyDescent="0.25">
      <c r="B840" s="55" t="str">
        <f>IF(C840="","",INDEX(Invoices[Due Date],MATCH(C840,Invoices[Invoice '#],0)))</f>
        <v/>
      </c>
      <c r="C840" s="53"/>
      <c r="D840" s="54" t="str">
        <f>IF('Open Invoices'!$C840=0,"",_xlfn.IFNA('Open Invoices'!#REF!-SUMIF(Payments[Invoice '#],'Open Invoices'!$C840,Payments[Amount Paid]),'Open Invoices'!#REF!))</f>
        <v/>
      </c>
      <c r="E840" s="54"/>
      <c r="F840" s="54"/>
    </row>
    <row r="841" spans="2:6" x14ac:dyDescent="0.25">
      <c r="B841" s="55" t="str">
        <f>IF(C841="","",INDEX(Invoices[Due Date],MATCH(C841,Invoices[Invoice '#],0)))</f>
        <v/>
      </c>
      <c r="C841" s="53"/>
      <c r="D841" s="54" t="str">
        <f>IF('Open Invoices'!$C841=0,"",_xlfn.IFNA('Open Invoices'!#REF!-SUMIF(Payments[Invoice '#],'Open Invoices'!$C841,Payments[Amount Paid]),'Open Invoices'!#REF!))</f>
        <v/>
      </c>
      <c r="E841" s="54"/>
      <c r="F841" s="54"/>
    </row>
    <row r="842" spans="2:6" x14ac:dyDescent="0.25">
      <c r="B842" s="55" t="str">
        <f>IF(C842="","",INDEX(Invoices[Due Date],MATCH(C842,Invoices[Invoice '#],0)))</f>
        <v/>
      </c>
      <c r="C842" s="53"/>
      <c r="D842" s="54" t="str">
        <f>IF('Open Invoices'!$C842=0,"",_xlfn.IFNA('Open Invoices'!#REF!-SUMIF(Payments[Invoice '#],'Open Invoices'!$C842,Payments[Amount Paid]),'Open Invoices'!#REF!))</f>
        <v/>
      </c>
      <c r="E842" s="54"/>
      <c r="F842" s="54"/>
    </row>
    <row r="843" spans="2:6" x14ac:dyDescent="0.25">
      <c r="B843" s="55" t="str">
        <f>IF(C843="","",INDEX(Invoices[Due Date],MATCH(C843,Invoices[Invoice '#],0)))</f>
        <v/>
      </c>
      <c r="C843" s="53"/>
      <c r="D843" s="54" t="str">
        <f>IF('Open Invoices'!$C843=0,"",_xlfn.IFNA('Open Invoices'!#REF!-SUMIF(Payments[Invoice '#],'Open Invoices'!$C843,Payments[Amount Paid]),'Open Invoices'!#REF!))</f>
        <v/>
      </c>
      <c r="E843" s="54"/>
      <c r="F843" s="54"/>
    </row>
    <row r="844" spans="2:6" x14ac:dyDescent="0.25">
      <c r="B844" s="55" t="str">
        <f>IF(C844="","",INDEX(Invoices[Due Date],MATCH(C844,Invoices[Invoice '#],0)))</f>
        <v/>
      </c>
      <c r="C844" s="53"/>
      <c r="D844" s="54" t="str">
        <f>IF('Open Invoices'!$C844=0,"",_xlfn.IFNA('Open Invoices'!#REF!-SUMIF(Payments[Invoice '#],'Open Invoices'!$C844,Payments[Amount Paid]),'Open Invoices'!#REF!))</f>
        <v/>
      </c>
      <c r="E844" s="54"/>
      <c r="F844" s="54"/>
    </row>
    <row r="845" spans="2:6" x14ac:dyDescent="0.25">
      <c r="B845" s="55" t="str">
        <f>IF(C845="","",INDEX(Invoices[Due Date],MATCH(C845,Invoices[Invoice '#],0)))</f>
        <v/>
      </c>
      <c r="C845" s="53"/>
      <c r="D845" s="54" t="str">
        <f>IF('Open Invoices'!$C845=0,"",_xlfn.IFNA('Open Invoices'!#REF!-SUMIF(Payments[Invoice '#],'Open Invoices'!$C845,Payments[Amount Paid]),'Open Invoices'!#REF!))</f>
        <v/>
      </c>
      <c r="E845" s="54"/>
      <c r="F845" s="54"/>
    </row>
    <row r="846" spans="2:6" x14ac:dyDescent="0.25">
      <c r="B846" s="55" t="str">
        <f>IF(C846="","",INDEX(Invoices[Due Date],MATCH(C846,Invoices[Invoice '#],0)))</f>
        <v/>
      </c>
      <c r="C846" s="53"/>
      <c r="D846" s="54" t="str">
        <f>IF('Open Invoices'!$C846=0,"",_xlfn.IFNA('Open Invoices'!#REF!-SUMIF(Payments[Invoice '#],'Open Invoices'!$C846,Payments[Amount Paid]),'Open Invoices'!#REF!))</f>
        <v/>
      </c>
      <c r="E846" s="54"/>
      <c r="F846" s="54"/>
    </row>
    <row r="847" spans="2:6" x14ac:dyDescent="0.25">
      <c r="B847" s="55" t="str">
        <f>IF(C847="","",INDEX(Invoices[Due Date],MATCH(C847,Invoices[Invoice '#],0)))</f>
        <v/>
      </c>
      <c r="C847" s="53"/>
      <c r="D847" s="54" t="str">
        <f>IF('Open Invoices'!$C847=0,"",_xlfn.IFNA('Open Invoices'!#REF!-SUMIF(Payments[Invoice '#],'Open Invoices'!$C847,Payments[Amount Paid]),'Open Invoices'!#REF!))</f>
        <v/>
      </c>
      <c r="E847" s="54"/>
      <c r="F847" s="54"/>
    </row>
    <row r="848" spans="2:6" x14ac:dyDescent="0.25">
      <c r="B848" s="55" t="str">
        <f>IF(C848="","",INDEX(Invoices[Due Date],MATCH(C848,Invoices[Invoice '#],0)))</f>
        <v/>
      </c>
      <c r="C848" s="53"/>
      <c r="D848" s="54" t="str">
        <f>IF('Open Invoices'!$C848=0,"",_xlfn.IFNA('Open Invoices'!#REF!-SUMIF(Payments[Invoice '#],'Open Invoices'!$C848,Payments[Amount Paid]),'Open Invoices'!#REF!))</f>
        <v/>
      </c>
      <c r="E848" s="54"/>
      <c r="F848" s="54"/>
    </row>
    <row r="849" spans="2:6" x14ac:dyDescent="0.25">
      <c r="B849" s="55" t="str">
        <f>IF(C849="","",INDEX(Invoices[Due Date],MATCH(C849,Invoices[Invoice '#],0)))</f>
        <v/>
      </c>
      <c r="C849" s="53"/>
      <c r="D849" s="54" t="str">
        <f>IF('Open Invoices'!$C849=0,"",_xlfn.IFNA('Open Invoices'!#REF!-SUMIF(Payments[Invoice '#],'Open Invoices'!$C849,Payments[Amount Paid]),'Open Invoices'!#REF!))</f>
        <v/>
      </c>
      <c r="E849" s="54"/>
      <c r="F849" s="54"/>
    </row>
    <row r="850" spans="2:6" x14ac:dyDescent="0.25">
      <c r="B850" s="55" t="str">
        <f>IF(C850="","",INDEX(Invoices[Due Date],MATCH(C850,Invoices[Invoice '#],0)))</f>
        <v/>
      </c>
      <c r="C850" s="53"/>
      <c r="D850" s="54" t="str">
        <f>IF('Open Invoices'!$C850=0,"",_xlfn.IFNA('Open Invoices'!#REF!-SUMIF(Payments[Invoice '#],'Open Invoices'!$C850,Payments[Amount Paid]),'Open Invoices'!#REF!))</f>
        <v/>
      </c>
      <c r="E850" s="54"/>
      <c r="F850" s="54"/>
    </row>
    <row r="851" spans="2:6" x14ac:dyDescent="0.25">
      <c r="B851" s="55" t="str">
        <f>IF(C851="","",INDEX(Invoices[Due Date],MATCH(C851,Invoices[Invoice '#],0)))</f>
        <v/>
      </c>
      <c r="C851" s="53"/>
      <c r="D851" s="54" t="str">
        <f>IF('Open Invoices'!$C851=0,"",_xlfn.IFNA('Open Invoices'!#REF!-SUMIF(Payments[Invoice '#],'Open Invoices'!$C851,Payments[Amount Paid]),'Open Invoices'!#REF!))</f>
        <v/>
      </c>
      <c r="E851" s="54"/>
      <c r="F851" s="54"/>
    </row>
    <row r="852" spans="2:6" x14ac:dyDescent="0.25">
      <c r="B852" s="55" t="str">
        <f>IF(C852="","",INDEX(Invoices[Due Date],MATCH(C852,Invoices[Invoice '#],0)))</f>
        <v/>
      </c>
      <c r="C852" s="53"/>
      <c r="D852" s="54" t="str">
        <f>IF('Open Invoices'!$C852=0,"",_xlfn.IFNA('Open Invoices'!#REF!-SUMIF(Payments[Invoice '#],'Open Invoices'!$C852,Payments[Amount Paid]),'Open Invoices'!#REF!))</f>
        <v/>
      </c>
      <c r="E852" s="54"/>
      <c r="F852" s="54"/>
    </row>
    <row r="853" spans="2:6" x14ac:dyDescent="0.25">
      <c r="B853" s="55" t="str">
        <f>IF(C853="","",INDEX(Invoices[Due Date],MATCH(C853,Invoices[Invoice '#],0)))</f>
        <v/>
      </c>
      <c r="C853" s="53"/>
      <c r="D853" s="54" t="str">
        <f>IF('Open Invoices'!$C853=0,"",_xlfn.IFNA('Open Invoices'!#REF!-SUMIF(Payments[Invoice '#],'Open Invoices'!$C853,Payments[Amount Paid]),'Open Invoices'!#REF!))</f>
        <v/>
      </c>
      <c r="E853" s="54"/>
      <c r="F853" s="54"/>
    </row>
    <row r="854" spans="2:6" x14ac:dyDescent="0.25">
      <c r="B854" s="55" t="str">
        <f>IF(C854="","",INDEX(Invoices[Due Date],MATCH(C854,Invoices[Invoice '#],0)))</f>
        <v/>
      </c>
      <c r="C854" s="53"/>
      <c r="D854" s="54" t="str">
        <f>IF('Open Invoices'!$C854=0,"",_xlfn.IFNA('Open Invoices'!#REF!-SUMIF(Payments[Invoice '#],'Open Invoices'!$C854,Payments[Amount Paid]),'Open Invoices'!#REF!))</f>
        <v/>
      </c>
      <c r="E854" s="54"/>
      <c r="F854" s="54"/>
    </row>
    <row r="855" spans="2:6" x14ac:dyDescent="0.25">
      <c r="B855" s="55" t="str">
        <f>IF(C855="","",INDEX(Invoices[Due Date],MATCH(C855,Invoices[Invoice '#],0)))</f>
        <v/>
      </c>
      <c r="C855" s="53"/>
      <c r="D855" s="54" t="str">
        <f>IF('Open Invoices'!$C855=0,"",_xlfn.IFNA('Open Invoices'!#REF!-SUMIF(Payments[Invoice '#],'Open Invoices'!$C855,Payments[Amount Paid]),'Open Invoices'!#REF!))</f>
        <v/>
      </c>
      <c r="E855" s="54"/>
      <c r="F855" s="54"/>
    </row>
    <row r="856" spans="2:6" x14ac:dyDescent="0.25">
      <c r="B856" s="55" t="str">
        <f>IF(C856="","",INDEX(Invoices[Due Date],MATCH(C856,Invoices[Invoice '#],0)))</f>
        <v/>
      </c>
      <c r="C856" s="53"/>
      <c r="D856" s="54" t="str">
        <f>IF('Open Invoices'!$C856=0,"",_xlfn.IFNA('Open Invoices'!#REF!-SUMIF(Payments[Invoice '#],'Open Invoices'!$C856,Payments[Amount Paid]),'Open Invoices'!#REF!))</f>
        <v/>
      </c>
      <c r="E856" s="54"/>
      <c r="F856" s="54"/>
    </row>
    <row r="857" spans="2:6" x14ac:dyDescent="0.25">
      <c r="B857" s="55" t="str">
        <f>IF(C857="","",INDEX(Invoices[Due Date],MATCH(C857,Invoices[Invoice '#],0)))</f>
        <v/>
      </c>
      <c r="C857" s="53"/>
      <c r="D857" s="54" t="str">
        <f>IF('Open Invoices'!$C857=0,"",_xlfn.IFNA('Open Invoices'!#REF!-SUMIF(Payments[Invoice '#],'Open Invoices'!$C857,Payments[Amount Paid]),'Open Invoices'!#REF!))</f>
        <v/>
      </c>
      <c r="E857" s="54"/>
      <c r="F857" s="54"/>
    </row>
    <row r="858" spans="2:6" x14ac:dyDescent="0.25">
      <c r="B858" s="55" t="str">
        <f>IF(C858="","",INDEX(Invoices[Due Date],MATCH(C858,Invoices[Invoice '#],0)))</f>
        <v/>
      </c>
      <c r="C858" s="53"/>
      <c r="D858" s="54" t="str">
        <f>IF('Open Invoices'!$C858=0,"",_xlfn.IFNA('Open Invoices'!#REF!-SUMIF(Payments[Invoice '#],'Open Invoices'!$C858,Payments[Amount Paid]),'Open Invoices'!#REF!))</f>
        <v/>
      </c>
      <c r="E858" s="54"/>
      <c r="F858" s="54"/>
    </row>
    <row r="859" spans="2:6" x14ac:dyDescent="0.25">
      <c r="B859" s="55" t="str">
        <f>IF(C859="","",INDEX(Invoices[Due Date],MATCH(C859,Invoices[Invoice '#],0)))</f>
        <v/>
      </c>
      <c r="C859" s="53"/>
      <c r="D859" s="54" t="str">
        <f>IF('Open Invoices'!$C859=0,"",_xlfn.IFNA('Open Invoices'!#REF!-SUMIF(Payments[Invoice '#],'Open Invoices'!$C859,Payments[Amount Paid]),'Open Invoices'!#REF!))</f>
        <v/>
      </c>
      <c r="E859" s="54"/>
      <c r="F859" s="54"/>
    </row>
    <row r="860" spans="2:6" x14ac:dyDescent="0.25">
      <c r="B860" s="55" t="str">
        <f>IF(C860="","",INDEX(Invoices[Due Date],MATCH(C860,Invoices[Invoice '#],0)))</f>
        <v/>
      </c>
      <c r="C860" s="53"/>
      <c r="D860" s="54" t="str">
        <f>IF('Open Invoices'!$C860=0,"",_xlfn.IFNA('Open Invoices'!#REF!-SUMIF(Payments[Invoice '#],'Open Invoices'!$C860,Payments[Amount Paid]),'Open Invoices'!#REF!))</f>
        <v/>
      </c>
      <c r="E860" s="54"/>
      <c r="F860" s="54"/>
    </row>
    <row r="861" spans="2:6" x14ac:dyDescent="0.25">
      <c r="B861" s="55" t="str">
        <f>IF(C861="","",INDEX(Invoices[Due Date],MATCH(C861,Invoices[Invoice '#],0)))</f>
        <v/>
      </c>
      <c r="C861" s="53"/>
      <c r="D861" s="54" t="str">
        <f>IF('Open Invoices'!$C861=0,"",_xlfn.IFNA('Open Invoices'!#REF!-SUMIF(Payments[Invoice '#],'Open Invoices'!$C861,Payments[Amount Paid]),'Open Invoices'!#REF!))</f>
        <v/>
      </c>
      <c r="E861" s="54"/>
      <c r="F861" s="54"/>
    </row>
    <row r="862" spans="2:6" x14ac:dyDescent="0.25">
      <c r="B862" s="55" t="str">
        <f>IF(C862="","",INDEX(Invoices[Due Date],MATCH(C862,Invoices[Invoice '#],0)))</f>
        <v/>
      </c>
      <c r="C862" s="53"/>
      <c r="D862" s="54" t="str">
        <f>IF('Open Invoices'!$C862=0,"",_xlfn.IFNA('Open Invoices'!#REF!-SUMIF(Payments[Invoice '#],'Open Invoices'!$C862,Payments[Amount Paid]),'Open Invoices'!#REF!))</f>
        <v/>
      </c>
      <c r="E862" s="54"/>
      <c r="F862" s="54"/>
    </row>
    <row r="863" spans="2:6" x14ac:dyDescent="0.25">
      <c r="B863" s="55" t="str">
        <f>IF(C863="","",INDEX(Invoices[Due Date],MATCH(C863,Invoices[Invoice '#],0)))</f>
        <v/>
      </c>
      <c r="C863" s="53"/>
      <c r="D863" s="54" t="str">
        <f>IF('Open Invoices'!$C863=0,"",_xlfn.IFNA('Open Invoices'!#REF!-SUMIF(Payments[Invoice '#],'Open Invoices'!$C863,Payments[Amount Paid]),'Open Invoices'!#REF!))</f>
        <v/>
      </c>
      <c r="E863" s="54"/>
      <c r="F863" s="54"/>
    </row>
    <row r="864" spans="2:6" x14ac:dyDescent="0.25">
      <c r="B864" s="55" t="str">
        <f>IF(C864="","",INDEX(Invoices[Due Date],MATCH(C864,Invoices[Invoice '#],0)))</f>
        <v/>
      </c>
      <c r="C864" s="53"/>
      <c r="D864" s="54" t="str">
        <f>IF('Open Invoices'!$C864=0,"",_xlfn.IFNA('Open Invoices'!#REF!-SUMIF(Payments[Invoice '#],'Open Invoices'!$C864,Payments[Amount Paid]),'Open Invoices'!#REF!))</f>
        <v/>
      </c>
      <c r="E864" s="54"/>
      <c r="F864" s="54"/>
    </row>
    <row r="865" spans="2:6" x14ac:dyDescent="0.25">
      <c r="B865" s="55" t="str">
        <f>IF(C865="","",INDEX(Invoices[Due Date],MATCH(C865,Invoices[Invoice '#],0)))</f>
        <v/>
      </c>
      <c r="C865" s="53"/>
      <c r="D865" s="54" t="str">
        <f>IF('Open Invoices'!$C865=0,"",_xlfn.IFNA('Open Invoices'!#REF!-SUMIF(Payments[Invoice '#],'Open Invoices'!$C865,Payments[Amount Paid]),'Open Invoices'!#REF!))</f>
        <v/>
      </c>
      <c r="E865" s="54"/>
      <c r="F865" s="54"/>
    </row>
    <row r="866" spans="2:6" x14ac:dyDescent="0.25">
      <c r="B866" s="55" t="str">
        <f>IF(C866="","",INDEX(Invoices[Due Date],MATCH(C866,Invoices[Invoice '#],0)))</f>
        <v/>
      </c>
      <c r="C866" s="53"/>
      <c r="D866" s="54" t="str">
        <f>IF('Open Invoices'!$C866=0,"",_xlfn.IFNA('Open Invoices'!#REF!-SUMIF(Payments[Invoice '#],'Open Invoices'!$C866,Payments[Amount Paid]),'Open Invoices'!#REF!))</f>
        <v/>
      </c>
      <c r="E866" s="54"/>
      <c r="F866" s="54"/>
    </row>
    <row r="867" spans="2:6" x14ac:dyDescent="0.25">
      <c r="B867" s="55" t="str">
        <f>IF(C867="","",INDEX(Invoices[Due Date],MATCH(C867,Invoices[Invoice '#],0)))</f>
        <v/>
      </c>
      <c r="C867" s="53"/>
      <c r="D867" s="54" t="str">
        <f>IF('Open Invoices'!$C867=0,"",_xlfn.IFNA('Open Invoices'!#REF!-SUMIF(Payments[Invoice '#],'Open Invoices'!$C867,Payments[Amount Paid]),'Open Invoices'!#REF!))</f>
        <v/>
      </c>
      <c r="E867" s="54"/>
      <c r="F867" s="54"/>
    </row>
    <row r="868" spans="2:6" x14ac:dyDescent="0.25">
      <c r="B868" s="55" t="str">
        <f>IF(C868="","",INDEX(Invoices[Due Date],MATCH(C868,Invoices[Invoice '#],0)))</f>
        <v/>
      </c>
      <c r="C868" s="53"/>
      <c r="D868" s="54" t="str">
        <f>IF('Open Invoices'!$C868=0,"",_xlfn.IFNA('Open Invoices'!#REF!-SUMIF(Payments[Invoice '#],'Open Invoices'!$C868,Payments[Amount Paid]),'Open Invoices'!#REF!))</f>
        <v/>
      </c>
      <c r="E868" s="54"/>
      <c r="F868" s="54"/>
    </row>
    <row r="869" spans="2:6" x14ac:dyDescent="0.25">
      <c r="B869" s="55" t="str">
        <f>IF(C869="","",INDEX(Invoices[Due Date],MATCH(C869,Invoices[Invoice '#],0)))</f>
        <v/>
      </c>
      <c r="C869" s="53"/>
      <c r="D869" s="54" t="str">
        <f>IF('Open Invoices'!$C869=0,"",_xlfn.IFNA('Open Invoices'!#REF!-SUMIF(Payments[Invoice '#],'Open Invoices'!$C869,Payments[Amount Paid]),'Open Invoices'!#REF!))</f>
        <v/>
      </c>
      <c r="E869" s="54"/>
      <c r="F869" s="54"/>
    </row>
    <row r="870" spans="2:6" x14ac:dyDescent="0.25">
      <c r="B870" s="55" t="str">
        <f>IF(C870="","",INDEX(Invoices[Due Date],MATCH(C870,Invoices[Invoice '#],0)))</f>
        <v/>
      </c>
      <c r="C870" s="53"/>
      <c r="D870" s="54" t="str">
        <f>IF('Open Invoices'!$C870=0,"",_xlfn.IFNA('Open Invoices'!#REF!-SUMIF(Payments[Invoice '#],'Open Invoices'!$C870,Payments[Amount Paid]),'Open Invoices'!#REF!))</f>
        <v/>
      </c>
      <c r="E870" s="54"/>
      <c r="F870" s="54"/>
    </row>
    <row r="871" spans="2:6" x14ac:dyDescent="0.25">
      <c r="B871" s="55" t="str">
        <f>IF(C871="","",INDEX(Invoices[Due Date],MATCH(C871,Invoices[Invoice '#],0)))</f>
        <v/>
      </c>
      <c r="C871" s="53"/>
      <c r="D871" s="54" t="str">
        <f>IF('Open Invoices'!$C871=0,"",_xlfn.IFNA('Open Invoices'!#REF!-SUMIF(Payments[Invoice '#],'Open Invoices'!$C871,Payments[Amount Paid]),'Open Invoices'!#REF!))</f>
        <v/>
      </c>
      <c r="E871" s="54"/>
      <c r="F871" s="54"/>
    </row>
    <row r="872" spans="2:6" x14ac:dyDescent="0.25">
      <c r="B872" s="55" t="str">
        <f>IF(C872="","",INDEX(Invoices[Due Date],MATCH(C872,Invoices[Invoice '#],0)))</f>
        <v/>
      </c>
      <c r="C872" s="53"/>
      <c r="D872" s="54" t="str">
        <f>IF('Open Invoices'!$C872=0,"",_xlfn.IFNA('Open Invoices'!#REF!-SUMIF(Payments[Invoice '#],'Open Invoices'!$C872,Payments[Amount Paid]),'Open Invoices'!#REF!))</f>
        <v/>
      </c>
      <c r="E872" s="54"/>
      <c r="F872" s="54"/>
    </row>
    <row r="873" spans="2:6" x14ac:dyDescent="0.25">
      <c r="B873" s="55" t="str">
        <f>IF(C873="","",INDEX(Invoices[Due Date],MATCH(C873,Invoices[Invoice '#],0)))</f>
        <v/>
      </c>
      <c r="C873" s="53"/>
      <c r="D873" s="54" t="str">
        <f>IF('Open Invoices'!$C873=0,"",_xlfn.IFNA('Open Invoices'!#REF!-SUMIF(Payments[Invoice '#],'Open Invoices'!$C873,Payments[Amount Paid]),'Open Invoices'!#REF!))</f>
        <v/>
      </c>
      <c r="E873" s="54"/>
      <c r="F873" s="54"/>
    </row>
    <row r="874" spans="2:6" x14ac:dyDescent="0.25">
      <c r="B874" s="55" t="str">
        <f>IF(C874="","",INDEX(Invoices[Due Date],MATCH(C874,Invoices[Invoice '#],0)))</f>
        <v/>
      </c>
      <c r="C874" s="53"/>
      <c r="D874" s="54" t="str">
        <f>IF('Open Invoices'!$C874=0,"",_xlfn.IFNA('Open Invoices'!#REF!-SUMIF(Payments[Invoice '#],'Open Invoices'!$C874,Payments[Amount Paid]),'Open Invoices'!#REF!))</f>
        <v/>
      </c>
      <c r="E874" s="54"/>
      <c r="F874" s="54"/>
    </row>
    <row r="875" spans="2:6" x14ac:dyDescent="0.25">
      <c r="B875" s="55" t="str">
        <f>IF(C875="","",INDEX(Invoices[Due Date],MATCH(C875,Invoices[Invoice '#],0)))</f>
        <v/>
      </c>
      <c r="C875" s="53"/>
      <c r="D875" s="54" t="str">
        <f>IF('Open Invoices'!$C875=0,"",_xlfn.IFNA('Open Invoices'!#REF!-SUMIF(Payments[Invoice '#],'Open Invoices'!$C875,Payments[Amount Paid]),'Open Invoices'!#REF!))</f>
        <v/>
      </c>
      <c r="E875" s="54"/>
      <c r="F875" s="54"/>
    </row>
    <row r="876" spans="2:6" x14ac:dyDescent="0.25">
      <c r="B876" s="55" t="str">
        <f>IF(C876="","",INDEX(Invoices[Due Date],MATCH(C876,Invoices[Invoice '#],0)))</f>
        <v/>
      </c>
      <c r="C876" s="53"/>
      <c r="D876" s="54" t="str">
        <f>IF('Open Invoices'!$C876=0,"",_xlfn.IFNA('Open Invoices'!#REF!-SUMIF(Payments[Invoice '#],'Open Invoices'!$C876,Payments[Amount Paid]),'Open Invoices'!#REF!))</f>
        <v/>
      </c>
      <c r="E876" s="54"/>
      <c r="F876" s="54"/>
    </row>
    <row r="877" spans="2:6" x14ac:dyDescent="0.25">
      <c r="B877" s="55" t="str">
        <f>IF(C877="","",INDEX(Invoices[Due Date],MATCH(C877,Invoices[Invoice '#],0)))</f>
        <v/>
      </c>
      <c r="C877" s="53"/>
      <c r="D877" s="54" t="str">
        <f>IF('Open Invoices'!$C877=0,"",_xlfn.IFNA('Open Invoices'!#REF!-SUMIF(Payments[Invoice '#],'Open Invoices'!$C877,Payments[Amount Paid]),'Open Invoices'!#REF!))</f>
        <v/>
      </c>
      <c r="E877" s="54"/>
      <c r="F877" s="54"/>
    </row>
    <row r="878" spans="2:6" x14ac:dyDescent="0.25">
      <c r="B878" s="55" t="str">
        <f>IF(C878="","",INDEX(Invoices[Due Date],MATCH(C878,Invoices[Invoice '#],0)))</f>
        <v/>
      </c>
      <c r="C878" s="53"/>
      <c r="D878" s="54" t="str">
        <f>IF('Open Invoices'!$C878=0,"",_xlfn.IFNA('Open Invoices'!#REF!-SUMIF(Payments[Invoice '#],'Open Invoices'!$C878,Payments[Amount Paid]),'Open Invoices'!#REF!))</f>
        <v/>
      </c>
      <c r="E878" s="54"/>
      <c r="F878" s="54"/>
    </row>
    <row r="879" spans="2:6" x14ac:dyDescent="0.25">
      <c r="B879" s="55" t="str">
        <f>IF(C879="","",INDEX(Invoices[Due Date],MATCH(C879,Invoices[Invoice '#],0)))</f>
        <v/>
      </c>
      <c r="C879" s="53"/>
      <c r="D879" s="54" t="str">
        <f>IF('Open Invoices'!$C879=0,"",_xlfn.IFNA('Open Invoices'!#REF!-SUMIF(Payments[Invoice '#],'Open Invoices'!$C879,Payments[Amount Paid]),'Open Invoices'!#REF!))</f>
        <v/>
      </c>
      <c r="E879" s="54"/>
      <c r="F879" s="54"/>
    </row>
    <row r="880" spans="2:6" x14ac:dyDescent="0.25">
      <c r="B880" s="55" t="str">
        <f>IF(C880="","",INDEX(Invoices[Due Date],MATCH(C880,Invoices[Invoice '#],0)))</f>
        <v/>
      </c>
      <c r="C880" s="53"/>
      <c r="D880" s="54" t="str">
        <f>IF('Open Invoices'!$C880=0,"",_xlfn.IFNA('Open Invoices'!#REF!-SUMIF(Payments[Invoice '#],'Open Invoices'!$C880,Payments[Amount Paid]),'Open Invoices'!#REF!))</f>
        <v/>
      </c>
      <c r="E880" s="54"/>
      <c r="F880" s="54"/>
    </row>
    <row r="881" spans="2:6" x14ac:dyDescent="0.25">
      <c r="B881" s="55" t="str">
        <f>IF(C881="","",INDEX(Invoices[Due Date],MATCH(C881,Invoices[Invoice '#],0)))</f>
        <v/>
      </c>
      <c r="C881" s="53"/>
      <c r="D881" s="54" t="str">
        <f>IF('Open Invoices'!$C881=0,"",_xlfn.IFNA('Open Invoices'!#REF!-SUMIF(Payments[Invoice '#],'Open Invoices'!$C881,Payments[Amount Paid]),'Open Invoices'!#REF!))</f>
        <v/>
      </c>
      <c r="E881" s="54"/>
      <c r="F881" s="54"/>
    </row>
    <row r="882" spans="2:6" x14ac:dyDescent="0.25">
      <c r="B882" s="55" t="str">
        <f>IF(C882="","",INDEX(Invoices[Due Date],MATCH(C882,Invoices[Invoice '#],0)))</f>
        <v/>
      </c>
      <c r="C882" s="53"/>
      <c r="D882" s="54" t="str">
        <f>IF('Open Invoices'!$C882=0,"",_xlfn.IFNA('Open Invoices'!#REF!-SUMIF(Payments[Invoice '#],'Open Invoices'!$C882,Payments[Amount Paid]),'Open Invoices'!#REF!))</f>
        <v/>
      </c>
      <c r="E882" s="54"/>
      <c r="F882" s="54"/>
    </row>
    <row r="883" spans="2:6" x14ac:dyDescent="0.25">
      <c r="B883" s="55" t="str">
        <f>IF(C883="","",INDEX(Invoices[Due Date],MATCH(C883,Invoices[Invoice '#],0)))</f>
        <v/>
      </c>
      <c r="C883" s="53"/>
      <c r="D883" s="54" t="str">
        <f>IF('Open Invoices'!$C883=0,"",_xlfn.IFNA('Open Invoices'!#REF!-SUMIF(Payments[Invoice '#],'Open Invoices'!$C883,Payments[Amount Paid]),'Open Invoices'!#REF!))</f>
        <v/>
      </c>
      <c r="E883" s="54"/>
      <c r="F883" s="54"/>
    </row>
    <row r="884" spans="2:6" x14ac:dyDescent="0.25">
      <c r="B884" s="55" t="str">
        <f>IF(C884="","",INDEX(Invoices[Due Date],MATCH(C884,Invoices[Invoice '#],0)))</f>
        <v/>
      </c>
      <c r="C884" s="53"/>
      <c r="D884" s="54" t="str">
        <f>IF('Open Invoices'!$C884=0,"",_xlfn.IFNA('Open Invoices'!#REF!-SUMIF(Payments[Invoice '#],'Open Invoices'!$C884,Payments[Amount Paid]),'Open Invoices'!#REF!))</f>
        <v/>
      </c>
      <c r="E884" s="54"/>
      <c r="F884" s="54"/>
    </row>
    <row r="885" spans="2:6" x14ac:dyDescent="0.25">
      <c r="B885" s="55" t="str">
        <f>IF(C885="","",INDEX(Invoices[Due Date],MATCH(C885,Invoices[Invoice '#],0)))</f>
        <v/>
      </c>
      <c r="C885" s="53"/>
      <c r="D885" s="54" t="str">
        <f>IF('Open Invoices'!$C885=0,"",_xlfn.IFNA('Open Invoices'!#REF!-SUMIF(Payments[Invoice '#],'Open Invoices'!$C885,Payments[Amount Paid]),'Open Invoices'!#REF!))</f>
        <v/>
      </c>
      <c r="E885" s="54"/>
      <c r="F885" s="54"/>
    </row>
    <row r="886" spans="2:6" x14ac:dyDescent="0.25">
      <c r="B886" s="55" t="str">
        <f>IF(C886="","",INDEX(Invoices[Due Date],MATCH(C886,Invoices[Invoice '#],0)))</f>
        <v/>
      </c>
      <c r="C886" s="53"/>
      <c r="D886" s="54" t="str">
        <f>IF('Open Invoices'!$C886=0,"",_xlfn.IFNA('Open Invoices'!#REF!-SUMIF(Payments[Invoice '#],'Open Invoices'!$C886,Payments[Amount Paid]),'Open Invoices'!#REF!))</f>
        <v/>
      </c>
      <c r="E886" s="54"/>
      <c r="F886" s="54"/>
    </row>
    <row r="887" spans="2:6" x14ac:dyDescent="0.25">
      <c r="B887" s="55" t="str">
        <f>IF(C887="","",INDEX(Invoices[Due Date],MATCH(C887,Invoices[Invoice '#],0)))</f>
        <v/>
      </c>
      <c r="C887" s="53"/>
      <c r="D887" s="54" t="str">
        <f>IF('Open Invoices'!$C887=0,"",_xlfn.IFNA('Open Invoices'!#REF!-SUMIF(Payments[Invoice '#],'Open Invoices'!$C887,Payments[Amount Paid]),'Open Invoices'!#REF!))</f>
        <v/>
      </c>
      <c r="E887" s="54"/>
      <c r="F887" s="54"/>
    </row>
    <row r="888" spans="2:6" x14ac:dyDescent="0.25">
      <c r="B888" s="55" t="str">
        <f>IF(C888="","",INDEX(Invoices[Due Date],MATCH(C888,Invoices[Invoice '#],0)))</f>
        <v/>
      </c>
      <c r="C888" s="53"/>
      <c r="D888" s="54" t="str">
        <f>IF('Open Invoices'!$C888=0,"",_xlfn.IFNA('Open Invoices'!#REF!-SUMIF(Payments[Invoice '#],'Open Invoices'!$C888,Payments[Amount Paid]),'Open Invoices'!#REF!))</f>
        <v/>
      </c>
      <c r="E888" s="54"/>
      <c r="F888" s="54"/>
    </row>
    <row r="889" spans="2:6" x14ac:dyDescent="0.25">
      <c r="B889" s="55" t="str">
        <f>IF(C889="","",INDEX(Invoices[Due Date],MATCH(C889,Invoices[Invoice '#],0)))</f>
        <v/>
      </c>
      <c r="C889" s="53"/>
      <c r="D889" s="54" t="str">
        <f>IF('Open Invoices'!$C889=0,"",_xlfn.IFNA('Open Invoices'!#REF!-SUMIF(Payments[Invoice '#],'Open Invoices'!$C889,Payments[Amount Paid]),'Open Invoices'!#REF!))</f>
        <v/>
      </c>
      <c r="E889" s="54"/>
      <c r="F889" s="54"/>
    </row>
    <row r="890" spans="2:6" x14ac:dyDescent="0.25">
      <c r="B890" s="55" t="str">
        <f>IF(C890="","",INDEX(Invoices[Due Date],MATCH(C890,Invoices[Invoice '#],0)))</f>
        <v/>
      </c>
      <c r="C890" s="53"/>
      <c r="D890" s="54" t="str">
        <f>IF('Open Invoices'!$C890=0,"",_xlfn.IFNA('Open Invoices'!#REF!-SUMIF(Payments[Invoice '#],'Open Invoices'!$C890,Payments[Amount Paid]),'Open Invoices'!#REF!))</f>
        <v/>
      </c>
      <c r="E890" s="54"/>
      <c r="F890" s="54"/>
    </row>
    <row r="891" spans="2:6" x14ac:dyDescent="0.25">
      <c r="B891" s="55"/>
      <c r="C891" s="53"/>
      <c r="D891" s="54"/>
      <c r="E891" s="54"/>
      <c r="F891" s="54"/>
    </row>
  </sheetData>
  <mergeCells count="2">
    <mergeCell ref="I1:J1"/>
    <mergeCell ref="L1:N1"/>
  </mergeCells>
  <conditionalFormatting sqref="H24:K500 K4 K14:K23">
    <cfRule type="cellIs" dxfId="18" priority="1" operator="notEqual">
      <formula>0</formula>
    </cfRule>
  </conditionalFormatting>
  <hyperlinks>
    <hyperlink ref="K1" location="'Enter Invoices'!A1" display="Record/view invoices" xr:uid="{6AE081AD-8429-4E70-A70C-04C2BA897CA4}"/>
    <hyperlink ref="L1" location="'Record Payments Made'!A1" display="Record/view payments" xr:uid="{B8AD00E6-59A5-4886-8011-FA823A4EBFB9}"/>
    <hyperlink ref="I1" location="'At a Glance'!A1" display="Due at a glance" xr:uid="{A7079E81-2403-44B2-9F7A-5CBFD08B1FC9}"/>
    <hyperlink ref="H1" location="Introduction!A1" display="Introdution" xr:uid="{658F023C-0BAB-4558-BC54-9EEBCA3F152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Refresh">
                <anchor moveWithCells="1" sizeWithCells="1">
                  <from>
                    <xdr:col>7</xdr:col>
                    <xdr:colOff>847725</xdr:colOff>
                    <xdr:row>1</xdr:row>
                    <xdr:rowOff>57150</xdr:rowOff>
                  </from>
                  <to>
                    <xdr:col>8</xdr:col>
                    <xdr:colOff>561975</xdr:colOff>
                    <xdr:row>2</xdr:row>
                    <xdr:rowOff>133350</xdr:rowOff>
                  </to>
                </anchor>
              </controlPr>
            </control>
          </mc:Choice>
        </mc:AlternateContent>
      </controls>
    </mc:Choice>
  </mc:AlternateContent>
  <tableParts count="1">
    <tablePart r:id="rId5"/>
  </tableParts>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43E9C-158D-4F60-B153-156B8097A833}">
  <sheetPr codeName="Sheet6">
    <tabColor rgb="FF8FCFAD"/>
  </sheetPr>
  <dimension ref="A1:I502"/>
  <sheetViews>
    <sheetView showGridLines="0" showRowColHeaders="0" workbookViewId="0">
      <pane ySplit="3" topLeftCell="A4" activePane="bottomLeft" state="frozen"/>
      <selection activeCell="C8" sqref="C8"/>
      <selection pane="bottomLeft" activeCell="C13" sqref="C13"/>
    </sheetView>
  </sheetViews>
  <sheetFormatPr defaultColWidth="0" defaultRowHeight="15" customHeight="1" x14ac:dyDescent="0.2"/>
  <cols>
    <col min="1" max="1" width="3.5703125" style="28" customWidth="1"/>
    <col min="2" max="2" width="19.85546875" style="28" bestFit="1" customWidth="1"/>
    <col min="3" max="3" width="20.5703125" style="80" customWidth="1"/>
    <col min="4" max="7" width="20.5703125" style="48" customWidth="1"/>
    <col min="8" max="8" width="20.5703125" style="49" customWidth="1"/>
    <col min="9" max="9" width="9" style="28" customWidth="1"/>
    <col min="10" max="16384" width="9" style="28" hidden="1"/>
  </cols>
  <sheetData>
    <row r="1" spans="2:8" s="8" customFormat="1" ht="16.5" customHeight="1" x14ac:dyDescent="0.25">
      <c r="B1" s="7" t="s">
        <v>39</v>
      </c>
      <c r="C1" s="64" t="s">
        <v>41</v>
      </c>
      <c r="D1" s="51"/>
      <c r="E1" s="64" t="s">
        <v>40</v>
      </c>
      <c r="F1" s="51"/>
      <c r="G1" s="64" t="s">
        <v>59</v>
      </c>
    </row>
    <row r="2" spans="2:8" ht="16.5" customHeight="1" x14ac:dyDescent="0.2">
      <c r="C2" s="28"/>
      <c r="D2" s="28"/>
      <c r="E2" s="28"/>
      <c r="F2" s="29"/>
      <c r="G2" s="28"/>
      <c r="H2" s="44"/>
    </row>
    <row r="3" spans="2:8" ht="12.75" x14ac:dyDescent="0.2">
      <c r="B3" s="35" t="s">
        <v>45</v>
      </c>
      <c r="C3" s="35" t="s">
        <v>79</v>
      </c>
      <c r="D3" s="35" t="s">
        <v>66</v>
      </c>
      <c r="E3" s="35" t="s">
        <v>67</v>
      </c>
      <c r="F3" s="35" t="s">
        <v>68</v>
      </c>
      <c r="G3" s="35" t="s">
        <v>69</v>
      </c>
      <c r="H3" s="35" t="s">
        <v>70</v>
      </c>
    </row>
    <row r="4" spans="2:8" s="30" customFormat="1" ht="21" customHeight="1" thickBot="1" x14ac:dyDescent="0.3">
      <c r="B4" s="76">
        <f>COUNTA(B5:B1048576)-2</f>
        <v>5</v>
      </c>
      <c r="C4" s="77">
        <f>SUM(C6:C502)</f>
        <v>453.3</v>
      </c>
      <c r="D4" s="77">
        <f t="shared" ref="D4:G4" si="0">SUM(D6:D502)</f>
        <v>1721.4</v>
      </c>
      <c r="E4" s="77">
        <f t="shared" si="0"/>
        <v>0</v>
      </c>
      <c r="F4" s="77">
        <f t="shared" si="0"/>
        <v>399</v>
      </c>
      <c r="G4" s="77">
        <f t="shared" si="0"/>
        <v>0</v>
      </c>
      <c r="H4" s="78">
        <f t="shared" ref="H4" si="1">SUM(H6:H502)</f>
        <v>2120.4</v>
      </c>
    </row>
    <row r="5" spans="2:8" s="30" customFormat="1" ht="13.5" hidden="1" thickTop="1" x14ac:dyDescent="0.25">
      <c r="B5" s="42"/>
      <c r="C5" s="45"/>
      <c r="D5" s="45"/>
      <c r="E5" s="45"/>
      <c r="F5" s="45"/>
      <c r="G5" s="45"/>
      <c r="H5" s="45"/>
    </row>
    <row r="6" spans="2:8" s="43" customFormat="1" ht="20.100000000000001" hidden="1" customHeight="1" x14ac:dyDescent="0.25">
      <c r="B6" s="67" t="s">
        <v>73</v>
      </c>
      <c r="C6"/>
      <c r="D6"/>
      <c r="E6" s="46"/>
      <c r="F6" s="46"/>
      <c r="G6" s="46"/>
      <c r="H6" s="47"/>
    </row>
    <row r="7" spans="2:8" s="43" customFormat="1" ht="15" customHeight="1" thickTop="1" x14ac:dyDescent="0.25">
      <c r="B7" s="68" t="s">
        <v>50</v>
      </c>
      <c r="C7" s="75">
        <f>IFERROR(VLOOKUP(B7,'Open Invoices'!C:F,4,0),"")</f>
        <v>250</v>
      </c>
      <c r="D7" s="75">
        <f>IFERROR(IF(OR(B7="",B7="(BLANK)"),"",SUMIFS('Enter Invoices'!G:G,'Enter Invoices'!D:D,B7,'Enter Invoices'!J:J,"A")),"")</f>
        <v>0</v>
      </c>
      <c r="E7" s="75">
        <f>IFERROR(IF(OR(B7="",B7="(BLANK)"),"",SUMIFS('Enter Invoices'!G:G,'Enter Invoices'!D:D,B7,'Enter Invoices'!J:J,"B")),"")</f>
        <v>0</v>
      </c>
      <c r="F7" s="75">
        <f>IFERROR(IF(OR(B7="",B7="(BLANK)"),"",SUMIFS('Enter Invoices'!G:G,'Enter Invoices'!D:D,B7,'Enter Invoices'!J:J,"C")),"")</f>
        <v>399</v>
      </c>
      <c r="G7" s="46">
        <f>IFERROR(IF(OR(B7="",B7="(BLANK)"),"",SUMIFS('Enter Invoices'!G:G,'Enter Invoices'!D:D,B7,'Enter Invoices'!J:J,"D")),"")</f>
        <v>0</v>
      </c>
      <c r="H7" s="47">
        <f>IF(COUNT(D7:G7)=0,"",SUM(D7:G7))</f>
        <v>399</v>
      </c>
    </row>
    <row r="8" spans="2:8" s="43" customFormat="1" ht="15" customHeight="1" x14ac:dyDescent="0.25">
      <c r="B8" s="68" t="s">
        <v>54</v>
      </c>
      <c r="C8" s="75">
        <f>IFERROR(VLOOKUP(B8,'Open Invoices'!C:F,4,0),"")</f>
        <v>0</v>
      </c>
      <c r="D8" s="75">
        <f>IFERROR(IF(OR(B8="",B8="(BLANK)"),"",SUMIFS('Enter Invoices'!G:G,'Enter Invoices'!D:D,B8,'Enter Invoices'!J:J,"A")),"")</f>
        <v>198.4</v>
      </c>
      <c r="E8" s="75">
        <f>IFERROR(IF(OR(B8="",B8="(BLANK)"),"",SUMIFS('Enter Invoices'!G:G,'Enter Invoices'!D:D,B8,'Enter Invoices'!J:J,"B")),"")</f>
        <v>0</v>
      </c>
      <c r="F8" s="75">
        <f>IFERROR(IF(OR(B8="",B8="(BLANK)"),"",SUMIFS('Enter Invoices'!G:G,'Enter Invoices'!D:D,B8,'Enter Invoices'!J:J,"C")),"")</f>
        <v>0</v>
      </c>
      <c r="G8" s="46">
        <f>IFERROR(IF(OR(B8="",B8="(BLANK)"),"",SUMIFS('Enter Invoices'!G:G,'Enter Invoices'!D:D,B8,'Enter Invoices'!J:J,"D")),"")</f>
        <v>0</v>
      </c>
      <c r="H8" s="47">
        <f t="shared" ref="H8:H71" si="2">IF(COUNT(D8:G8)=0,"",SUM(D8:G8))</f>
        <v>198.4</v>
      </c>
    </row>
    <row r="9" spans="2:8" s="43" customFormat="1" ht="15" customHeight="1" x14ac:dyDescent="0.25">
      <c r="B9" s="68" t="s">
        <v>55</v>
      </c>
      <c r="C9" s="75">
        <f>IFERROR(VLOOKUP(B9,'Open Invoices'!C:F,4,0),"")</f>
        <v>203</v>
      </c>
      <c r="D9" s="75">
        <f>IFERROR(IF(OR(B9="",B9="(BLANK)"),"",SUMIFS('Enter Invoices'!G:G,'Enter Invoices'!D:D,B9,'Enter Invoices'!J:J,"A")),"")</f>
        <v>783</v>
      </c>
      <c r="E9" s="75">
        <f>IFERROR(IF(OR(B9="",B9="(BLANK)"),"",SUMIFS('Enter Invoices'!G:G,'Enter Invoices'!D:D,B9,'Enter Invoices'!J:J,"B")),"")</f>
        <v>0</v>
      </c>
      <c r="F9" s="75">
        <f>IFERROR(IF(OR(B9="",B9="(BLANK)"),"",SUMIFS('Enter Invoices'!G:G,'Enter Invoices'!D:D,B9,'Enter Invoices'!J:J,"C")),"")</f>
        <v>0</v>
      </c>
      <c r="G9" s="46">
        <f>IFERROR(IF(OR(B9="",B9="(BLANK)"),"",SUMIFS('Enter Invoices'!G:G,'Enter Invoices'!D:D,B9,'Enter Invoices'!J:J,"D")),"")</f>
        <v>0</v>
      </c>
      <c r="H9" s="47">
        <f t="shared" si="2"/>
        <v>783</v>
      </c>
    </row>
    <row r="10" spans="2:8" s="43" customFormat="1" ht="15" customHeight="1" x14ac:dyDescent="0.25">
      <c r="B10" s="68" t="s">
        <v>53</v>
      </c>
      <c r="C10" s="75">
        <f>IFERROR(VLOOKUP(B10,'Open Invoices'!C:F,4,0),"")</f>
        <v>0.30000000000001137</v>
      </c>
      <c r="D10" s="75">
        <f>IFERROR(IF(OR(B10="",B10="(BLANK)"),"",SUMIFS('Enter Invoices'!G:G,'Enter Invoices'!D:D,B10,'Enter Invoices'!J:J,"A")),"")</f>
        <v>498.6</v>
      </c>
      <c r="E10" s="75">
        <f>IFERROR(IF(OR(B10="",B10="(BLANK)"),"",SUMIFS('Enter Invoices'!G:G,'Enter Invoices'!D:D,B10,'Enter Invoices'!J:J,"B")),"")</f>
        <v>0</v>
      </c>
      <c r="F10" s="75">
        <f>IFERROR(IF(OR(B10="",B10="(BLANK)"),"",SUMIFS('Enter Invoices'!G:G,'Enter Invoices'!D:D,B10,'Enter Invoices'!J:J,"C")),"")</f>
        <v>0</v>
      </c>
      <c r="G10" s="46">
        <f>IFERROR(IF(OR(B10="",B10="(BLANK)"),"",SUMIFS('Enter Invoices'!G:G,'Enter Invoices'!D:D,B10,'Enter Invoices'!J:J,"D")),"")</f>
        <v>0</v>
      </c>
      <c r="H10" s="47">
        <f t="shared" si="2"/>
        <v>498.6</v>
      </c>
    </row>
    <row r="11" spans="2:8" s="43" customFormat="1" ht="15" customHeight="1" x14ac:dyDescent="0.25">
      <c r="B11" s="68" t="s">
        <v>52</v>
      </c>
      <c r="C11" s="75">
        <f>IFERROR(VLOOKUP(B11,'Open Invoices'!C:F,4,0),"")</f>
        <v>0</v>
      </c>
      <c r="D11" s="75">
        <f>IFERROR(IF(OR(B11="",B11="(BLANK)"),"",SUMIFS('Enter Invoices'!G:G,'Enter Invoices'!D:D,B11,'Enter Invoices'!J:J,"A")),"")</f>
        <v>241.4</v>
      </c>
      <c r="E11" s="75">
        <f>IFERROR(IF(OR(B11="",B11="(BLANK)"),"",SUMIFS('Enter Invoices'!G:G,'Enter Invoices'!D:D,B11,'Enter Invoices'!J:J,"B")),"")</f>
        <v>0</v>
      </c>
      <c r="F11" s="75">
        <f>IFERROR(IF(OR(B11="",B11="(BLANK)"),"",SUMIFS('Enter Invoices'!G:G,'Enter Invoices'!D:D,B11,'Enter Invoices'!J:J,"C")),"")</f>
        <v>0</v>
      </c>
      <c r="G11" s="46">
        <f>IFERROR(IF(OR(B11="",B11="(BLANK)"),"",SUMIFS('Enter Invoices'!G:G,'Enter Invoices'!D:D,B11,'Enter Invoices'!J:J,"D")),"")</f>
        <v>0</v>
      </c>
      <c r="H11" s="47">
        <f t="shared" si="2"/>
        <v>241.4</v>
      </c>
    </row>
    <row r="12" spans="2:8" s="43" customFormat="1" ht="15" customHeight="1" x14ac:dyDescent="0.25">
      <c r="B12" s="68" t="s">
        <v>78</v>
      </c>
      <c r="C12" s="75" t="str">
        <f>IFERROR(VLOOKUP(B12,'Open Invoices'!C:F,4,0),"")</f>
        <v/>
      </c>
      <c r="D12" s="75" t="str">
        <f>IFERROR(IF(OR(B12="",B12="(BLANK)"),"",SUMIFS('Enter Invoices'!G:G,'Enter Invoices'!D:D,B12,'Enter Invoices'!J:J,"A")),"")</f>
        <v/>
      </c>
      <c r="E12" s="75" t="str">
        <f>IFERROR(IF(OR(B12="",B12="(BLANK)"),"",SUMIFS('Enter Invoices'!G:G,'Enter Invoices'!D:D,B12,'Enter Invoices'!J:J,"B")),"")</f>
        <v/>
      </c>
      <c r="F12" s="75" t="str">
        <f>IFERROR(IF(OR(B12="",B12="(BLANK)"),"",SUMIFS('Enter Invoices'!G:G,'Enter Invoices'!D:D,B12,'Enter Invoices'!J:J,"C")),"")</f>
        <v/>
      </c>
      <c r="G12" s="46" t="str">
        <f>IFERROR(IF(OR(B12="",B12="(BLANK)"),"",SUMIFS('Enter Invoices'!G:G,'Enter Invoices'!D:D,B12,'Enter Invoices'!J:J,"D")),"")</f>
        <v/>
      </c>
      <c r="H12" s="47" t="str">
        <f t="shared" si="2"/>
        <v/>
      </c>
    </row>
    <row r="13" spans="2:8" s="43" customFormat="1" ht="15" customHeight="1" x14ac:dyDescent="0.25">
      <c r="B13"/>
      <c r="C13" s="75" t="str">
        <f>IFERROR(VLOOKUP(B13,'Open Invoices'!C:F,4,0),"")</f>
        <v/>
      </c>
      <c r="D13" s="75" t="str">
        <f>IFERROR(IF(OR(B13="",B13="(BLANK)"),"",SUMIFS('Enter Invoices'!G:G,'Enter Invoices'!D:D,B13,'Enter Invoices'!J:J,"A")),"")</f>
        <v/>
      </c>
      <c r="E13" s="75" t="str">
        <f>IFERROR(IF(OR(B13="",B13="(BLANK)"),"",SUMIFS('Enter Invoices'!G:G,'Enter Invoices'!D:D,B13,'Enter Invoices'!J:J,"B")),"")</f>
        <v/>
      </c>
      <c r="F13" s="75" t="str">
        <f>IFERROR(IF(OR(B13="",B13="(BLANK)"),"",SUMIFS('Enter Invoices'!G:G,'Enter Invoices'!D:D,B13,'Enter Invoices'!J:J,"C")),"")</f>
        <v/>
      </c>
      <c r="G13" s="46" t="str">
        <f>IFERROR(IF(OR(B13="",B13="(BLANK)"),"",SUMIFS('Enter Invoices'!G:G,'Enter Invoices'!D:D,B13,'Enter Invoices'!J:J,"D")),"")</f>
        <v/>
      </c>
      <c r="H13" s="47" t="str">
        <f t="shared" si="2"/>
        <v/>
      </c>
    </row>
    <row r="14" spans="2:8" s="43" customFormat="1" ht="15" customHeight="1" x14ac:dyDescent="0.25">
      <c r="B14"/>
      <c r="C14" s="75" t="str">
        <f>IFERROR(VLOOKUP(B14,'Open Invoices'!C:F,4,0),"")</f>
        <v/>
      </c>
      <c r="D14" s="75" t="str">
        <f>IFERROR(IF(OR(B14="",B14="(BLANK)"),"",SUMIFS('Enter Invoices'!G:G,'Enter Invoices'!D:D,B14,'Enter Invoices'!J:J,"A")),"")</f>
        <v/>
      </c>
      <c r="E14" s="75" t="str">
        <f>IFERROR(IF(OR(B14="",B14="(BLANK)"),"",SUMIFS('Enter Invoices'!G:G,'Enter Invoices'!D:D,B14,'Enter Invoices'!J:J,"B")),"")</f>
        <v/>
      </c>
      <c r="F14" s="75" t="str">
        <f>IFERROR(IF(OR(B14="",B14="(BLANK)"),"",SUMIFS('Enter Invoices'!G:G,'Enter Invoices'!D:D,B14,'Enter Invoices'!J:J,"C")),"")</f>
        <v/>
      </c>
      <c r="G14" s="46" t="str">
        <f>IFERROR(IF(OR(B14="",B14="(BLANK)"),"",SUMIFS('Enter Invoices'!G:G,'Enter Invoices'!D:D,B14,'Enter Invoices'!J:J,"D")),"")</f>
        <v/>
      </c>
      <c r="H14" s="47" t="str">
        <f t="shared" si="2"/>
        <v/>
      </c>
    </row>
    <row r="15" spans="2:8" s="43" customFormat="1" ht="15" customHeight="1" x14ac:dyDescent="0.25">
      <c r="B15"/>
      <c r="C15" s="75" t="str">
        <f>IFERROR(VLOOKUP(B15,'Open Invoices'!C:F,4,0),"")</f>
        <v/>
      </c>
      <c r="D15" s="75" t="str">
        <f>IFERROR(IF(OR(B15="",B15="(BLANK)"),"",SUMIFS('Enter Invoices'!G:G,'Enter Invoices'!D:D,B15,'Enter Invoices'!J:J,"A")),"")</f>
        <v/>
      </c>
      <c r="E15" s="75" t="str">
        <f>IFERROR(IF(OR(B15="",B15="(BLANK)"),"",SUMIFS('Enter Invoices'!G:G,'Enter Invoices'!D:D,B15,'Enter Invoices'!J:J,"B")),"")</f>
        <v/>
      </c>
      <c r="F15" s="75" t="str">
        <f>IFERROR(IF(OR(B15="",B15="(BLANK)"),"",SUMIFS('Enter Invoices'!G:G,'Enter Invoices'!D:D,B15,'Enter Invoices'!J:J,"C")),"")</f>
        <v/>
      </c>
      <c r="G15" s="46" t="str">
        <f>IFERROR(IF(OR(B15="",B15="(BLANK)"),"",SUMIFS('Enter Invoices'!G:G,'Enter Invoices'!D:D,B15,'Enter Invoices'!J:J,"D")),"")</f>
        <v/>
      </c>
      <c r="H15" s="47" t="str">
        <f t="shared" si="2"/>
        <v/>
      </c>
    </row>
    <row r="16" spans="2:8" s="43" customFormat="1" ht="15" customHeight="1" x14ac:dyDescent="0.25">
      <c r="B16"/>
      <c r="C16" s="75" t="str">
        <f>IFERROR(VLOOKUP(B16,'Open Invoices'!C:F,4,0),"")</f>
        <v/>
      </c>
      <c r="D16" s="75" t="str">
        <f>IFERROR(IF(OR(B16="",B16="(BLANK)"),"",SUMIFS('Enter Invoices'!G:G,'Enter Invoices'!D:D,B16,'Enter Invoices'!J:J,"A")),"")</f>
        <v/>
      </c>
      <c r="E16" s="75" t="str">
        <f>IFERROR(IF(OR(B16="",B16="(BLANK)"),"",SUMIFS('Enter Invoices'!G:G,'Enter Invoices'!D:D,B16,'Enter Invoices'!J:J,"B")),"")</f>
        <v/>
      </c>
      <c r="F16" s="75" t="str">
        <f>IFERROR(IF(OR(B16="",B16="(BLANK)"),"",SUMIFS('Enter Invoices'!G:G,'Enter Invoices'!D:D,B16,'Enter Invoices'!J:J,"C")),"")</f>
        <v/>
      </c>
      <c r="G16" s="46" t="str">
        <f>IFERROR(IF(OR(B16="",B16="(BLANK)"),"",SUMIFS('Enter Invoices'!G:G,'Enter Invoices'!D:D,B16,'Enter Invoices'!J:J,"D")),"")</f>
        <v/>
      </c>
      <c r="H16" s="47" t="str">
        <f t="shared" si="2"/>
        <v/>
      </c>
    </row>
    <row r="17" spans="2:8" s="43" customFormat="1" ht="15" customHeight="1" x14ac:dyDescent="0.25">
      <c r="B17"/>
      <c r="C17" s="75" t="str">
        <f>IFERROR(VLOOKUP(B17,'Open Invoices'!C:F,4,0),"")</f>
        <v/>
      </c>
      <c r="D17" s="75" t="str">
        <f>IFERROR(IF(OR(B17="",B17="(BLANK)"),"",SUMIFS('Enter Invoices'!G:G,'Enter Invoices'!D:D,B17,'Enter Invoices'!J:J,"A")),"")</f>
        <v/>
      </c>
      <c r="E17" s="75" t="str">
        <f>IFERROR(IF(OR(B17="",B17="(BLANK)"),"",SUMIFS('Enter Invoices'!G:G,'Enter Invoices'!D:D,B17,'Enter Invoices'!J:J,"B")),"")</f>
        <v/>
      </c>
      <c r="F17" s="75" t="str">
        <f>IFERROR(IF(OR(B17="",B17="(BLANK)"),"",SUMIFS('Enter Invoices'!G:G,'Enter Invoices'!D:D,B17,'Enter Invoices'!J:J,"C")),"")</f>
        <v/>
      </c>
      <c r="G17" s="46" t="str">
        <f>IFERROR(IF(OR(B17="",B17="(BLANK)"),"",SUMIFS('Enter Invoices'!G:G,'Enter Invoices'!D:D,B17,'Enter Invoices'!J:J,"D")),"")</f>
        <v/>
      </c>
      <c r="H17" s="47" t="str">
        <f t="shared" si="2"/>
        <v/>
      </c>
    </row>
    <row r="18" spans="2:8" s="43" customFormat="1" ht="15" customHeight="1" x14ac:dyDescent="0.25">
      <c r="B18"/>
      <c r="C18" s="75" t="str">
        <f>IFERROR(VLOOKUP(B18,'Open Invoices'!C:F,4,0),"")</f>
        <v/>
      </c>
      <c r="D18" s="75" t="str">
        <f>IFERROR(IF(OR(B18="",B18="(BLANK)"),"",SUMIFS('Enter Invoices'!G:G,'Enter Invoices'!D:D,B18,'Enter Invoices'!J:J,"A")),"")</f>
        <v/>
      </c>
      <c r="E18" s="75" t="str">
        <f>IFERROR(IF(OR(B18="",B18="(BLANK)"),"",SUMIFS('Enter Invoices'!G:G,'Enter Invoices'!D:D,B18,'Enter Invoices'!J:J,"B")),"")</f>
        <v/>
      </c>
      <c r="F18" s="75" t="str">
        <f>IFERROR(IF(OR(B18="",B18="(BLANK)"),"",SUMIFS('Enter Invoices'!G:G,'Enter Invoices'!D:D,B18,'Enter Invoices'!J:J,"C")),"")</f>
        <v/>
      </c>
      <c r="G18" s="46" t="str">
        <f>IFERROR(IF(OR(B18="",B18="(BLANK)"),"",SUMIFS('Enter Invoices'!G:G,'Enter Invoices'!D:D,B18,'Enter Invoices'!J:J,"D")),"")</f>
        <v/>
      </c>
      <c r="H18" s="47" t="str">
        <f t="shared" si="2"/>
        <v/>
      </c>
    </row>
    <row r="19" spans="2:8" s="43" customFormat="1" ht="15" customHeight="1" x14ac:dyDescent="0.25">
      <c r="B19"/>
      <c r="C19" s="75" t="str">
        <f>IFERROR(VLOOKUP(B19,'Open Invoices'!C:F,4,0),"")</f>
        <v/>
      </c>
      <c r="D19" s="75" t="str">
        <f>IFERROR(IF(OR(B19="",B19="(BLANK)"),"",SUMIFS('Enter Invoices'!G:G,'Enter Invoices'!D:D,B19,'Enter Invoices'!J:J,"A")),"")</f>
        <v/>
      </c>
      <c r="E19" s="75" t="str">
        <f>IFERROR(IF(OR(B19="",B19="(BLANK)"),"",SUMIFS('Enter Invoices'!G:G,'Enter Invoices'!D:D,B19,'Enter Invoices'!J:J,"B")),"")</f>
        <v/>
      </c>
      <c r="F19" s="75" t="str">
        <f>IFERROR(IF(OR(B19="",B19="(BLANK)"),"",SUMIFS('Enter Invoices'!G:G,'Enter Invoices'!D:D,B19,'Enter Invoices'!J:J,"C")),"")</f>
        <v/>
      </c>
      <c r="G19" s="46" t="str">
        <f>IFERROR(IF(OR(B19="",B19="(BLANK)"),"",SUMIFS('Enter Invoices'!G:G,'Enter Invoices'!D:D,B19,'Enter Invoices'!J:J,"D")),"")</f>
        <v/>
      </c>
      <c r="H19" s="47" t="str">
        <f t="shared" si="2"/>
        <v/>
      </c>
    </row>
    <row r="20" spans="2:8" s="43" customFormat="1" ht="15" customHeight="1" x14ac:dyDescent="0.25">
      <c r="B20"/>
      <c r="C20" s="75" t="str">
        <f>IFERROR(VLOOKUP(B20,'Open Invoices'!C:F,4,0),"")</f>
        <v/>
      </c>
      <c r="D20" s="75" t="str">
        <f>IFERROR(IF(OR(B20="",B20="(BLANK)"),"",SUMIFS('Enter Invoices'!G:G,'Enter Invoices'!D:D,B20,'Enter Invoices'!J:J,"A")),"")</f>
        <v/>
      </c>
      <c r="E20" s="75" t="str">
        <f>IFERROR(IF(OR(B20="",B20="(BLANK)"),"",SUMIFS('Enter Invoices'!G:G,'Enter Invoices'!D:D,B20,'Enter Invoices'!J:J,"B")),"")</f>
        <v/>
      </c>
      <c r="F20" s="75" t="str">
        <f>IFERROR(IF(OR(B20="",B20="(BLANK)"),"",SUMIFS('Enter Invoices'!G:G,'Enter Invoices'!D:D,B20,'Enter Invoices'!J:J,"C")),"")</f>
        <v/>
      </c>
      <c r="G20" s="46" t="str">
        <f>IFERROR(IF(OR(B20="",B20="(BLANK)"),"",SUMIFS('Enter Invoices'!G:G,'Enter Invoices'!D:D,B20,'Enter Invoices'!J:J,"D")),"")</f>
        <v/>
      </c>
      <c r="H20" s="47" t="str">
        <f t="shared" si="2"/>
        <v/>
      </c>
    </row>
    <row r="21" spans="2:8" s="43" customFormat="1" ht="15" customHeight="1" x14ac:dyDescent="0.25">
      <c r="B21"/>
      <c r="C21" s="75" t="str">
        <f>IFERROR(VLOOKUP(B21,'Open Invoices'!C:F,4,0),"")</f>
        <v/>
      </c>
      <c r="D21" s="75" t="str">
        <f>IFERROR(IF(OR(B21="",B21="(BLANK)"),"",SUMIFS('Enter Invoices'!G:G,'Enter Invoices'!D:D,B21,'Enter Invoices'!J:J,"A")),"")</f>
        <v/>
      </c>
      <c r="E21" s="75" t="str">
        <f>IFERROR(IF(OR(B21="",B21="(BLANK)"),"",SUMIFS('Enter Invoices'!G:G,'Enter Invoices'!D:D,B21,'Enter Invoices'!J:J,"B")),"")</f>
        <v/>
      </c>
      <c r="F21" s="75" t="str">
        <f>IFERROR(IF(OR(B21="",B21="(BLANK)"),"",SUMIFS('Enter Invoices'!G:G,'Enter Invoices'!D:D,B21,'Enter Invoices'!J:J,"C")),"")</f>
        <v/>
      </c>
      <c r="G21" s="46" t="str">
        <f>IFERROR(IF(OR(B21="",B21="(BLANK)"),"",SUMIFS('Enter Invoices'!G:G,'Enter Invoices'!D:D,B21,'Enter Invoices'!J:J,"D")),"")</f>
        <v/>
      </c>
      <c r="H21" s="47" t="str">
        <f t="shared" si="2"/>
        <v/>
      </c>
    </row>
    <row r="22" spans="2:8" s="43" customFormat="1" ht="15" customHeight="1" x14ac:dyDescent="0.25">
      <c r="B22"/>
      <c r="C22" s="75" t="str">
        <f>IFERROR(VLOOKUP(B22,'Open Invoices'!C:F,4,0),"")</f>
        <v/>
      </c>
      <c r="D22" s="75" t="str">
        <f>IFERROR(IF(OR(B22="",B22="(BLANK)"),"",SUMIFS('Enter Invoices'!G:G,'Enter Invoices'!D:D,B22,'Enter Invoices'!J:J,"A")),"")</f>
        <v/>
      </c>
      <c r="E22" s="75" t="str">
        <f>IFERROR(IF(OR(B22="",B22="(BLANK)"),"",SUMIFS('Enter Invoices'!G:G,'Enter Invoices'!D:D,B22,'Enter Invoices'!J:J,"B")),"")</f>
        <v/>
      </c>
      <c r="F22" s="75" t="str">
        <f>IFERROR(IF(OR(B22="",B22="(BLANK)"),"",SUMIFS('Enter Invoices'!G:G,'Enter Invoices'!D:D,B22,'Enter Invoices'!J:J,"C")),"")</f>
        <v/>
      </c>
      <c r="G22" s="46" t="str">
        <f>IFERROR(IF(OR(B22="",B22="(BLANK)"),"",SUMIFS('Enter Invoices'!G:G,'Enter Invoices'!D:D,B22,'Enter Invoices'!J:J,"D")),"")</f>
        <v/>
      </c>
      <c r="H22" s="47" t="str">
        <f t="shared" si="2"/>
        <v/>
      </c>
    </row>
    <row r="23" spans="2:8" s="43" customFormat="1" ht="15" customHeight="1" x14ac:dyDescent="0.25">
      <c r="B23"/>
      <c r="C23" s="75" t="str">
        <f>IFERROR(VLOOKUP(B23,'Open Invoices'!C:F,4,0),"")</f>
        <v/>
      </c>
      <c r="D23" s="75" t="str">
        <f>IFERROR(IF(OR(B23="",B23="(BLANK)"),"",SUMIFS('Enter Invoices'!G:G,'Enter Invoices'!D:D,B23,'Enter Invoices'!J:J,"A")),"")</f>
        <v/>
      </c>
      <c r="E23" s="75" t="str">
        <f>IFERROR(IF(OR(B23="",B23="(BLANK)"),"",SUMIFS('Enter Invoices'!G:G,'Enter Invoices'!D:D,B23,'Enter Invoices'!J:J,"B")),"")</f>
        <v/>
      </c>
      <c r="F23" s="75" t="str">
        <f>IFERROR(IF(OR(B23="",B23="(BLANK)"),"",SUMIFS('Enter Invoices'!G:G,'Enter Invoices'!D:D,B23,'Enter Invoices'!J:J,"C")),"")</f>
        <v/>
      </c>
      <c r="G23" s="46" t="str">
        <f>IFERROR(IF(OR(B23="",B23="(BLANK)"),"",SUMIFS('Enter Invoices'!G:G,'Enter Invoices'!D:D,B23,'Enter Invoices'!J:J,"D")),"")</f>
        <v/>
      </c>
      <c r="H23" s="47" t="str">
        <f t="shared" si="2"/>
        <v/>
      </c>
    </row>
    <row r="24" spans="2:8" s="43" customFormat="1" ht="15" customHeight="1" x14ac:dyDescent="0.25">
      <c r="C24" s="75" t="str">
        <f>IFERROR(VLOOKUP(B24,'Open Invoices'!C:F,4,0),"")</f>
        <v/>
      </c>
      <c r="D24" s="75" t="str">
        <f>IFERROR(IF(OR(B24="",B24="(BLANK)"),"",SUMIFS('Enter Invoices'!G:G,'Enter Invoices'!D:D,B24,'Enter Invoices'!J:J,"A")),"")</f>
        <v/>
      </c>
      <c r="E24" s="75" t="str">
        <f>IFERROR(IF(OR(B24="",B24="(BLANK)"),"",SUMIFS('Enter Invoices'!G:G,'Enter Invoices'!D:D,B24,'Enter Invoices'!J:J,"B")),"")</f>
        <v/>
      </c>
      <c r="F24" s="75" t="str">
        <f>IFERROR(IF(OR(B24="",B24="(BLANK)"),"",SUMIFS('Enter Invoices'!G:G,'Enter Invoices'!D:D,B24,'Enter Invoices'!J:J,"C")),"")</f>
        <v/>
      </c>
      <c r="G24" s="46" t="str">
        <f>IFERROR(IF(OR(B24="",B24="(BLANK)"),"",SUMIFS('Enter Invoices'!G:G,'Enter Invoices'!D:D,B24,'Enter Invoices'!J:J,"D")),"")</f>
        <v/>
      </c>
      <c r="H24" s="47" t="str">
        <f t="shared" si="2"/>
        <v/>
      </c>
    </row>
    <row r="25" spans="2:8" s="43" customFormat="1" ht="15" customHeight="1" x14ac:dyDescent="0.25">
      <c r="C25" s="75" t="str">
        <f>IFERROR(VLOOKUP(B25,'Open Invoices'!C:F,4,0),"")</f>
        <v/>
      </c>
      <c r="D25" s="75" t="str">
        <f>IFERROR(IF(OR(B25="",B25="(BLANK)"),"",SUMIFS('Enter Invoices'!G:G,'Enter Invoices'!D:D,B25,'Enter Invoices'!J:J,"A")),"")</f>
        <v/>
      </c>
      <c r="E25" s="75" t="str">
        <f>IFERROR(IF(OR(B25="",B25="(BLANK)"),"",SUMIFS('Enter Invoices'!G:G,'Enter Invoices'!D:D,B25,'Enter Invoices'!J:J,"B")),"")</f>
        <v/>
      </c>
      <c r="F25" s="75" t="str">
        <f>IFERROR(IF(OR(B25="",B25="(BLANK)"),"",SUMIFS('Enter Invoices'!G:G,'Enter Invoices'!D:D,B25,'Enter Invoices'!J:J,"C")),"")</f>
        <v/>
      </c>
      <c r="G25" s="46" t="str">
        <f>IFERROR(IF(OR(B25="",B25="(BLANK)"),"",SUMIFS('Enter Invoices'!G:G,'Enter Invoices'!D:D,B25,'Enter Invoices'!J:J,"D")),"")</f>
        <v/>
      </c>
      <c r="H25" s="47" t="str">
        <f t="shared" si="2"/>
        <v/>
      </c>
    </row>
    <row r="26" spans="2:8" s="43" customFormat="1" ht="15" customHeight="1" x14ac:dyDescent="0.25">
      <c r="C26" s="75" t="str">
        <f>IFERROR(VLOOKUP(B26,'Open Invoices'!C:F,4,0),"")</f>
        <v/>
      </c>
      <c r="D26" s="75" t="str">
        <f>IFERROR(IF(OR(B26="",B26="(BLANK)"),"",SUMIFS('Enter Invoices'!G:G,'Enter Invoices'!D:D,B26,'Enter Invoices'!J:J,"A")),"")</f>
        <v/>
      </c>
      <c r="E26" s="75" t="str">
        <f>IFERROR(IF(OR(B26="",B26="(BLANK)"),"",SUMIFS('Enter Invoices'!G:G,'Enter Invoices'!D:D,B26,'Enter Invoices'!J:J,"B")),"")</f>
        <v/>
      </c>
      <c r="F26" s="75" t="str">
        <f>IFERROR(IF(OR(B26="",B26="(BLANK)"),"",SUMIFS('Enter Invoices'!G:G,'Enter Invoices'!D:D,B26,'Enter Invoices'!J:J,"C")),"")</f>
        <v/>
      </c>
      <c r="G26" s="46" t="str">
        <f>IFERROR(IF(OR(B26="",B26="(BLANK)"),"",SUMIFS('Enter Invoices'!G:G,'Enter Invoices'!D:D,B26,'Enter Invoices'!J:J,"D")),"")</f>
        <v/>
      </c>
      <c r="H26" s="47" t="str">
        <f t="shared" si="2"/>
        <v/>
      </c>
    </row>
    <row r="27" spans="2:8" s="43" customFormat="1" ht="15" customHeight="1" x14ac:dyDescent="0.25">
      <c r="C27" s="75" t="str">
        <f>IFERROR(VLOOKUP(B27,'Open Invoices'!C:F,4,0),"")</f>
        <v/>
      </c>
      <c r="D27" s="75" t="str">
        <f>IFERROR(IF(OR(B27="",B27="(BLANK)"),"",SUMIFS('Enter Invoices'!G:G,'Enter Invoices'!D:D,B27,'Enter Invoices'!J:J,"A")),"")</f>
        <v/>
      </c>
      <c r="E27" s="75" t="str">
        <f>IFERROR(IF(OR(B27="",B27="(BLANK)"),"",SUMIFS('Enter Invoices'!G:G,'Enter Invoices'!D:D,B27,'Enter Invoices'!J:J,"B")),"")</f>
        <v/>
      </c>
      <c r="F27" s="75" t="str">
        <f>IFERROR(IF(OR(B27="",B27="(BLANK)"),"",SUMIFS('Enter Invoices'!G:G,'Enter Invoices'!D:D,B27,'Enter Invoices'!J:J,"C")),"")</f>
        <v/>
      </c>
      <c r="G27" s="46" t="str">
        <f>IFERROR(IF(OR(B27="",B27="(BLANK)"),"",SUMIFS('Enter Invoices'!G:G,'Enter Invoices'!D:D,B27,'Enter Invoices'!J:J,"D")),"")</f>
        <v/>
      </c>
      <c r="H27" s="47" t="str">
        <f t="shared" si="2"/>
        <v/>
      </c>
    </row>
    <row r="28" spans="2:8" s="43" customFormat="1" ht="15" customHeight="1" x14ac:dyDescent="0.25">
      <c r="C28" s="75" t="str">
        <f>IFERROR(VLOOKUP(B28,'Open Invoices'!C:F,4,0),"")</f>
        <v/>
      </c>
      <c r="D28" s="75" t="str">
        <f>IFERROR(IF(OR(B28="",B28="(BLANK)"),"",SUMIFS('Enter Invoices'!G:G,'Enter Invoices'!D:D,B28,'Enter Invoices'!J:J,"A")),"")</f>
        <v/>
      </c>
      <c r="E28" s="75" t="str">
        <f>IFERROR(IF(OR(B28="",B28="(BLANK)"),"",SUMIFS('Enter Invoices'!G:G,'Enter Invoices'!D:D,B28,'Enter Invoices'!J:J,"B")),"")</f>
        <v/>
      </c>
      <c r="F28" s="75" t="str">
        <f>IFERROR(IF(OR(B28="",B28="(BLANK)"),"",SUMIFS('Enter Invoices'!G:G,'Enter Invoices'!D:D,B28,'Enter Invoices'!J:J,"C")),"")</f>
        <v/>
      </c>
      <c r="G28" s="46" t="str">
        <f>IFERROR(IF(OR(B28="",B28="(BLANK)"),"",SUMIFS('Enter Invoices'!G:G,'Enter Invoices'!D:D,B28,'Enter Invoices'!J:J,"D")),"")</f>
        <v/>
      </c>
      <c r="H28" s="47" t="str">
        <f t="shared" si="2"/>
        <v/>
      </c>
    </row>
    <row r="29" spans="2:8" s="43" customFormat="1" ht="15" customHeight="1" x14ac:dyDescent="0.25">
      <c r="C29" s="75" t="str">
        <f>IFERROR(VLOOKUP(B29,'Open Invoices'!C:F,4,0),"")</f>
        <v/>
      </c>
      <c r="D29" s="75" t="str">
        <f>IFERROR(IF(OR(B29="",B29="(BLANK)"),"",SUMIFS('Enter Invoices'!G:G,'Enter Invoices'!D:D,B29,'Enter Invoices'!J:J,"A")),"")</f>
        <v/>
      </c>
      <c r="E29" s="75" t="str">
        <f>IFERROR(IF(OR(B29="",B29="(BLANK)"),"",SUMIFS('Enter Invoices'!G:G,'Enter Invoices'!D:D,B29,'Enter Invoices'!J:J,"B")),"")</f>
        <v/>
      </c>
      <c r="F29" s="75" t="str">
        <f>IFERROR(IF(OR(B29="",B29="(BLANK)"),"",SUMIFS('Enter Invoices'!G:G,'Enter Invoices'!D:D,B29,'Enter Invoices'!J:J,"C")),"")</f>
        <v/>
      </c>
      <c r="G29" s="46" t="str">
        <f>IFERROR(IF(OR(B29="",B29="(BLANK)"),"",SUMIFS('Enter Invoices'!G:G,'Enter Invoices'!D:D,B29,'Enter Invoices'!J:J,"D")),"")</f>
        <v/>
      </c>
      <c r="H29" s="47" t="str">
        <f t="shared" si="2"/>
        <v/>
      </c>
    </row>
    <row r="30" spans="2:8" s="43" customFormat="1" ht="15" customHeight="1" x14ac:dyDescent="0.25">
      <c r="C30" s="75" t="str">
        <f>IFERROR(VLOOKUP(B30,'Open Invoices'!C:F,4,0),"")</f>
        <v/>
      </c>
      <c r="D30" s="75" t="str">
        <f>IFERROR(IF(OR(B30="",B30="(BLANK)"),"",SUMIFS('Enter Invoices'!G:G,'Enter Invoices'!D:D,B30,'Enter Invoices'!J:J,"A")),"")</f>
        <v/>
      </c>
      <c r="E30" s="75" t="str">
        <f>IFERROR(IF(OR(B30="",B30="(BLANK)"),"",SUMIFS('Enter Invoices'!G:G,'Enter Invoices'!D:D,B30,'Enter Invoices'!J:J,"B")),"")</f>
        <v/>
      </c>
      <c r="F30" s="75" t="str">
        <f>IFERROR(IF(OR(B30="",B30="(BLANK)"),"",SUMIFS('Enter Invoices'!G:G,'Enter Invoices'!D:D,B30,'Enter Invoices'!J:J,"C")),"")</f>
        <v/>
      </c>
      <c r="G30" s="46" t="str">
        <f>IFERROR(IF(OR(B30="",B30="(BLANK)"),"",SUMIFS('Enter Invoices'!G:G,'Enter Invoices'!D:D,B30,'Enter Invoices'!J:J,"D")),"")</f>
        <v/>
      </c>
      <c r="H30" s="47" t="str">
        <f t="shared" si="2"/>
        <v/>
      </c>
    </row>
    <row r="31" spans="2:8" s="43" customFormat="1" ht="15" customHeight="1" x14ac:dyDescent="0.25">
      <c r="C31" s="75" t="str">
        <f>IFERROR(VLOOKUP(B31,'Open Invoices'!C:F,4,0),"")</f>
        <v/>
      </c>
      <c r="D31" s="75" t="str">
        <f>IFERROR(IF(OR(B31="",B31="(BLANK)"),"",SUMIFS('Enter Invoices'!G:G,'Enter Invoices'!D:D,B31,'Enter Invoices'!J:J,"A")),"")</f>
        <v/>
      </c>
      <c r="E31" s="75" t="str">
        <f>IFERROR(IF(OR(B31="",B31="(BLANK)"),"",SUMIFS('Enter Invoices'!G:G,'Enter Invoices'!D:D,B31,'Enter Invoices'!J:J,"B")),"")</f>
        <v/>
      </c>
      <c r="F31" s="75" t="str">
        <f>IFERROR(IF(OR(B31="",B31="(BLANK)"),"",SUMIFS('Enter Invoices'!G:G,'Enter Invoices'!D:D,B31,'Enter Invoices'!J:J,"C")),"")</f>
        <v/>
      </c>
      <c r="G31" s="46" t="str">
        <f>IFERROR(IF(OR(B31="",B31="(BLANK)"),"",SUMIFS('Enter Invoices'!G:G,'Enter Invoices'!D:D,B31,'Enter Invoices'!J:J,"D")),"")</f>
        <v/>
      </c>
      <c r="H31" s="47" t="str">
        <f t="shared" si="2"/>
        <v/>
      </c>
    </row>
    <row r="32" spans="2:8" s="43" customFormat="1" ht="15" customHeight="1" x14ac:dyDescent="0.25">
      <c r="C32" s="75" t="str">
        <f>IFERROR(VLOOKUP(B32,'Open Invoices'!C:F,4,0),"")</f>
        <v/>
      </c>
      <c r="D32" s="75" t="str">
        <f>IFERROR(IF(OR(B32="",B32="(BLANK)"),"",SUMIFS('Enter Invoices'!G:G,'Enter Invoices'!D:D,B32,'Enter Invoices'!J:J,"A")),"")</f>
        <v/>
      </c>
      <c r="E32" s="75" t="str">
        <f>IFERROR(IF(OR(B32="",B32="(BLANK)"),"",SUMIFS('Enter Invoices'!G:G,'Enter Invoices'!D:D,B32,'Enter Invoices'!J:J,"B")),"")</f>
        <v/>
      </c>
      <c r="F32" s="75" t="str">
        <f>IFERROR(IF(OR(B32="",B32="(BLANK)"),"",SUMIFS('Enter Invoices'!G:G,'Enter Invoices'!D:D,B32,'Enter Invoices'!J:J,"C")),"")</f>
        <v/>
      </c>
      <c r="G32" s="46" t="str">
        <f>IFERROR(IF(OR(B32="",B32="(BLANK)"),"",SUMIFS('Enter Invoices'!G:G,'Enter Invoices'!D:D,B32,'Enter Invoices'!J:J,"D")),"")</f>
        <v/>
      </c>
      <c r="H32" s="47" t="str">
        <f t="shared" si="2"/>
        <v/>
      </c>
    </row>
    <row r="33" spans="3:8" s="43" customFormat="1" ht="15" customHeight="1" x14ac:dyDescent="0.25">
      <c r="C33" s="75" t="str">
        <f>IFERROR(VLOOKUP(B33,'Open Invoices'!C:F,4,0),"")</f>
        <v/>
      </c>
      <c r="D33" s="75" t="str">
        <f>IFERROR(IF(OR(B33="",B33="(BLANK)"),"",SUMIFS('Enter Invoices'!G:G,'Enter Invoices'!D:D,B33,'Enter Invoices'!J:J,"A")),"")</f>
        <v/>
      </c>
      <c r="E33" s="75" t="str">
        <f>IFERROR(IF(OR(B33="",B33="(BLANK)"),"",SUMIFS('Enter Invoices'!G:G,'Enter Invoices'!D:D,B33,'Enter Invoices'!J:J,"B")),"")</f>
        <v/>
      </c>
      <c r="F33" s="75" t="str">
        <f>IFERROR(IF(OR(B33="",B33="(BLANK)"),"",SUMIFS('Enter Invoices'!G:G,'Enter Invoices'!D:D,B33,'Enter Invoices'!J:J,"C")),"")</f>
        <v/>
      </c>
      <c r="G33" s="46" t="str">
        <f>IFERROR(IF(OR(B33="",B33="(BLANK)"),"",SUMIFS('Enter Invoices'!G:G,'Enter Invoices'!D:D,B33,'Enter Invoices'!J:J,"D")),"")</f>
        <v/>
      </c>
      <c r="H33" s="47" t="str">
        <f t="shared" si="2"/>
        <v/>
      </c>
    </row>
    <row r="34" spans="3:8" s="43" customFormat="1" ht="15" customHeight="1" x14ac:dyDescent="0.25">
      <c r="C34" s="75" t="str">
        <f>IFERROR(VLOOKUP(B34,'Open Invoices'!C:F,4,0),"")</f>
        <v/>
      </c>
      <c r="D34" s="75" t="str">
        <f>IFERROR(IF(OR(B34="",B34="(BLANK)"),"",SUMIFS('Enter Invoices'!G:G,'Enter Invoices'!D:D,B34,'Enter Invoices'!J:J,"A")),"")</f>
        <v/>
      </c>
      <c r="E34" s="75" t="str">
        <f>IFERROR(IF(OR(B34="",B34="(BLANK)"),"",SUMIFS('Enter Invoices'!G:G,'Enter Invoices'!D:D,B34,'Enter Invoices'!J:J,"B")),"")</f>
        <v/>
      </c>
      <c r="F34" s="75" t="str">
        <f>IFERROR(IF(OR(B34="",B34="(BLANK)"),"",SUMIFS('Enter Invoices'!G:G,'Enter Invoices'!D:D,B34,'Enter Invoices'!J:J,"C")),"")</f>
        <v/>
      </c>
      <c r="G34" s="46" t="str">
        <f>IFERROR(IF(OR(B34="",B34="(BLANK)"),"",SUMIFS('Enter Invoices'!G:G,'Enter Invoices'!D:D,B34,'Enter Invoices'!J:J,"D")),"")</f>
        <v/>
      </c>
      <c r="H34" s="47" t="str">
        <f t="shared" si="2"/>
        <v/>
      </c>
    </row>
    <row r="35" spans="3:8" s="43" customFormat="1" ht="15" customHeight="1" x14ac:dyDescent="0.25">
      <c r="C35" s="75" t="str">
        <f>IFERROR(VLOOKUP(B35,'Open Invoices'!C:F,4,0),"")</f>
        <v/>
      </c>
      <c r="D35" s="75" t="str">
        <f>IFERROR(IF(OR(B35="",B35="(BLANK)"),"",SUMIFS('Enter Invoices'!G:G,'Enter Invoices'!D:D,B35,'Enter Invoices'!J:J,"A")),"")</f>
        <v/>
      </c>
      <c r="E35" s="75" t="str">
        <f>IFERROR(IF(OR(B35="",B35="(BLANK)"),"",SUMIFS('Enter Invoices'!G:G,'Enter Invoices'!D:D,B35,'Enter Invoices'!J:J,"B")),"")</f>
        <v/>
      </c>
      <c r="F35" s="75" t="str">
        <f>IFERROR(IF(OR(B35="",B35="(BLANK)"),"",SUMIFS('Enter Invoices'!G:G,'Enter Invoices'!D:D,B35,'Enter Invoices'!J:J,"C")),"")</f>
        <v/>
      </c>
      <c r="G35" s="46" t="str">
        <f>IFERROR(IF(OR(B35="",B35="(BLANK)"),"",SUMIFS('Enter Invoices'!G:G,'Enter Invoices'!D:D,B35,'Enter Invoices'!J:J,"D")),"")</f>
        <v/>
      </c>
      <c r="H35" s="47" t="str">
        <f t="shared" si="2"/>
        <v/>
      </c>
    </row>
    <row r="36" spans="3:8" s="43" customFormat="1" ht="15" customHeight="1" x14ac:dyDescent="0.25">
      <c r="C36" s="75" t="str">
        <f>IFERROR(VLOOKUP(B36,'Open Invoices'!C:F,4,0),"")</f>
        <v/>
      </c>
      <c r="D36" s="75" t="str">
        <f>IFERROR(IF(OR(B36="",B36="(BLANK)"),"",SUMIFS('Enter Invoices'!G:G,'Enter Invoices'!D:D,B36,'Enter Invoices'!J:J,"A")),"")</f>
        <v/>
      </c>
      <c r="E36" s="75" t="str">
        <f>IFERROR(IF(OR(B36="",B36="(BLANK)"),"",SUMIFS('Enter Invoices'!G:G,'Enter Invoices'!D:D,B36,'Enter Invoices'!J:J,"B")),"")</f>
        <v/>
      </c>
      <c r="F36" s="75" t="str">
        <f>IFERROR(IF(OR(B36="",B36="(BLANK)"),"",SUMIFS('Enter Invoices'!G:G,'Enter Invoices'!D:D,B36,'Enter Invoices'!J:J,"C")),"")</f>
        <v/>
      </c>
      <c r="G36" s="46" t="str">
        <f>IFERROR(IF(OR(B36="",B36="(BLANK)"),"",SUMIFS('Enter Invoices'!G:G,'Enter Invoices'!D:D,B36,'Enter Invoices'!J:J,"D")),"")</f>
        <v/>
      </c>
      <c r="H36" s="47" t="str">
        <f t="shared" si="2"/>
        <v/>
      </c>
    </row>
    <row r="37" spans="3:8" s="43" customFormat="1" ht="15" customHeight="1" x14ac:dyDescent="0.25">
      <c r="C37" s="75" t="str">
        <f>IFERROR(VLOOKUP(B37,'Open Invoices'!C:F,4,0),"")</f>
        <v/>
      </c>
      <c r="D37" s="75" t="str">
        <f>IFERROR(IF(OR(B37="",B37="(BLANK)"),"",SUMIFS('Enter Invoices'!G:G,'Enter Invoices'!D:D,B37,'Enter Invoices'!J:J,"A")),"")</f>
        <v/>
      </c>
      <c r="E37" s="75" t="str">
        <f>IFERROR(IF(OR(B37="",B37="(BLANK)"),"",SUMIFS('Enter Invoices'!G:G,'Enter Invoices'!D:D,B37,'Enter Invoices'!J:J,"B")),"")</f>
        <v/>
      </c>
      <c r="F37" s="75" t="str">
        <f>IFERROR(IF(OR(B37="",B37="(BLANK)"),"",SUMIFS('Enter Invoices'!G:G,'Enter Invoices'!D:D,B37,'Enter Invoices'!J:J,"C")),"")</f>
        <v/>
      </c>
      <c r="G37" s="46" t="str">
        <f>IFERROR(IF(OR(B37="",B37="(BLANK)"),"",SUMIFS('Enter Invoices'!G:G,'Enter Invoices'!D:D,B37,'Enter Invoices'!J:J,"D")),"")</f>
        <v/>
      </c>
      <c r="H37" s="47" t="str">
        <f t="shared" si="2"/>
        <v/>
      </c>
    </row>
    <row r="38" spans="3:8" s="43" customFormat="1" ht="15" customHeight="1" x14ac:dyDescent="0.25">
      <c r="C38" s="75" t="str">
        <f>IFERROR(VLOOKUP(B38,'Open Invoices'!C:F,4,0),"")</f>
        <v/>
      </c>
      <c r="D38" s="75" t="str">
        <f>IFERROR(IF(OR(B38="",B38="(BLANK)"),"",SUMIFS('Enter Invoices'!G:G,'Enter Invoices'!D:D,B38,'Enter Invoices'!J:J,"A")),"")</f>
        <v/>
      </c>
      <c r="E38" s="75" t="str">
        <f>IFERROR(IF(OR(B38="",B38="(BLANK)"),"",SUMIFS('Enter Invoices'!G:G,'Enter Invoices'!D:D,B38,'Enter Invoices'!J:J,"B")),"")</f>
        <v/>
      </c>
      <c r="F38" s="75" t="str">
        <f>IFERROR(IF(OR(B38="",B38="(BLANK)"),"",SUMIFS('Enter Invoices'!G:G,'Enter Invoices'!D:D,B38,'Enter Invoices'!J:J,"C")),"")</f>
        <v/>
      </c>
      <c r="G38" s="46" t="str">
        <f>IFERROR(IF(OR(B38="",B38="(BLANK)"),"",SUMIFS('Enter Invoices'!G:G,'Enter Invoices'!D:D,B38,'Enter Invoices'!J:J,"D")),"")</f>
        <v/>
      </c>
      <c r="H38" s="47" t="str">
        <f t="shared" si="2"/>
        <v/>
      </c>
    </row>
    <row r="39" spans="3:8" s="43" customFormat="1" ht="15" customHeight="1" x14ac:dyDescent="0.25">
      <c r="C39" s="75" t="str">
        <f>IFERROR(VLOOKUP(B39,'Open Invoices'!C:F,4,0),"")</f>
        <v/>
      </c>
      <c r="D39" s="75" t="str">
        <f>IFERROR(IF(OR(B39="",B39="(BLANK)"),"",SUMIFS('Enter Invoices'!G:G,'Enter Invoices'!D:D,B39,'Enter Invoices'!J:J,"A")),"")</f>
        <v/>
      </c>
      <c r="E39" s="75" t="str">
        <f>IFERROR(IF(OR(B39="",B39="(BLANK)"),"",SUMIFS('Enter Invoices'!G:G,'Enter Invoices'!D:D,B39,'Enter Invoices'!J:J,"B")),"")</f>
        <v/>
      </c>
      <c r="F39" s="75" t="str">
        <f>IFERROR(IF(OR(B39="",B39="(BLANK)"),"",SUMIFS('Enter Invoices'!G:G,'Enter Invoices'!D:D,B39,'Enter Invoices'!J:J,"C")),"")</f>
        <v/>
      </c>
      <c r="G39" s="46" t="str">
        <f>IFERROR(IF(OR(B39="",B39="(BLANK)"),"",SUMIFS('Enter Invoices'!G:G,'Enter Invoices'!D:D,B39,'Enter Invoices'!J:J,"D")),"")</f>
        <v/>
      </c>
      <c r="H39" s="47" t="str">
        <f t="shared" si="2"/>
        <v/>
      </c>
    </row>
    <row r="40" spans="3:8" s="43" customFormat="1" ht="15" customHeight="1" x14ac:dyDescent="0.25">
      <c r="C40" s="75" t="str">
        <f>IFERROR(VLOOKUP(B40,'Open Invoices'!C:F,4,0),"")</f>
        <v/>
      </c>
      <c r="D40" s="75" t="str">
        <f>IFERROR(IF(OR(B40="",B40="(BLANK)"),"",SUMIFS('Enter Invoices'!G:G,'Enter Invoices'!D:D,B40,'Enter Invoices'!J:J,"A")),"")</f>
        <v/>
      </c>
      <c r="E40" s="75" t="str">
        <f>IFERROR(IF(OR(B40="",B40="(BLANK)"),"",SUMIFS('Enter Invoices'!G:G,'Enter Invoices'!D:D,B40,'Enter Invoices'!J:J,"B")),"")</f>
        <v/>
      </c>
      <c r="F40" s="75" t="str">
        <f>IFERROR(IF(OR(B40="",B40="(BLANK)"),"",SUMIFS('Enter Invoices'!G:G,'Enter Invoices'!D:D,B40,'Enter Invoices'!J:J,"C")),"")</f>
        <v/>
      </c>
      <c r="G40" s="46" t="str">
        <f>IFERROR(IF(OR(B40="",B40="(BLANK)"),"",SUMIFS('Enter Invoices'!G:G,'Enter Invoices'!D:D,B40,'Enter Invoices'!J:J,"D")),"")</f>
        <v/>
      </c>
      <c r="H40" s="47" t="str">
        <f t="shared" si="2"/>
        <v/>
      </c>
    </row>
    <row r="41" spans="3:8" s="43" customFormat="1" ht="15" customHeight="1" x14ac:dyDescent="0.25">
      <c r="C41" s="75" t="str">
        <f>IFERROR(VLOOKUP(B41,'Open Invoices'!C:F,4,0),"")</f>
        <v/>
      </c>
      <c r="D41" s="75" t="str">
        <f>IFERROR(IF(OR(B41="",B41="(BLANK)"),"",SUMIFS('Enter Invoices'!G:G,'Enter Invoices'!D:D,B41,'Enter Invoices'!J:J,"A")),"")</f>
        <v/>
      </c>
      <c r="E41" s="75" t="str">
        <f>IFERROR(IF(OR(B41="",B41="(BLANK)"),"",SUMIFS('Enter Invoices'!G:G,'Enter Invoices'!D:D,B41,'Enter Invoices'!J:J,"B")),"")</f>
        <v/>
      </c>
      <c r="F41" s="75" t="str">
        <f>IFERROR(IF(OR(B41="",B41="(BLANK)"),"",SUMIFS('Enter Invoices'!G:G,'Enter Invoices'!D:D,B41,'Enter Invoices'!J:J,"C")),"")</f>
        <v/>
      </c>
      <c r="G41" s="46" t="str">
        <f>IFERROR(IF(OR(B41="",B41="(BLANK)"),"",SUMIFS('Enter Invoices'!G:G,'Enter Invoices'!D:D,B41,'Enter Invoices'!J:J,"D")),"")</f>
        <v/>
      </c>
      <c r="H41" s="47" t="str">
        <f t="shared" si="2"/>
        <v/>
      </c>
    </row>
    <row r="42" spans="3:8" s="43" customFormat="1" ht="15" customHeight="1" x14ac:dyDescent="0.25">
      <c r="C42" s="75" t="str">
        <f>IFERROR(VLOOKUP(B42,'Open Invoices'!C:F,4,0),"")</f>
        <v/>
      </c>
      <c r="D42" s="75" t="str">
        <f>IFERROR(IF(OR(B42="",B42="(BLANK)"),"",SUMIFS('Enter Invoices'!G:G,'Enter Invoices'!D:D,B42,'Enter Invoices'!J:J,"A")),"")</f>
        <v/>
      </c>
      <c r="E42" s="75" t="str">
        <f>IFERROR(IF(OR(B42="",B42="(BLANK)"),"",SUMIFS('Enter Invoices'!G:G,'Enter Invoices'!D:D,B42,'Enter Invoices'!J:J,"B")),"")</f>
        <v/>
      </c>
      <c r="F42" s="75" t="str">
        <f>IFERROR(IF(OR(B42="",B42="(BLANK)"),"",SUMIFS('Enter Invoices'!G:G,'Enter Invoices'!D:D,B42,'Enter Invoices'!J:J,"C")),"")</f>
        <v/>
      </c>
      <c r="G42" s="46" t="str">
        <f>IFERROR(IF(OR(B42="",B42="(BLANK)"),"",SUMIFS('Enter Invoices'!G:G,'Enter Invoices'!D:D,B42,'Enter Invoices'!J:J,"D")),"")</f>
        <v/>
      </c>
      <c r="H42" s="47" t="str">
        <f t="shared" si="2"/>
        <v/>
      </c>
    </row>
    <row r="43" spans="3:8" s="43" customFormat="1" ht="15" customHeight="1" x14ac:dyDescent="0.25">
      <c r="C43" s="75" t="str">
        <f>IFERROR(VLOOKUP(B43,'Open Invoices'!C:F,4,0),"")</f>
        <v/>
      </c>
      <c r="D43" s="75" t="str">
        <f>IFERROR(IF(OR(B43="",B43="(BLANK)"),"",SUMIFS('Enter Invoices'!G:G,'Enter Invoices'!D:D,B43,'Enter Invoices'!J:J,"A")),"")</f>
        <v/>
      </c>
      <c r="E43" s="75" t="str">
        <f>IFERROR(IF(OR(B43="",B43="(BLANK)"),"",SUMIFS('Enter Invoices'!G:G,'Enter Invoices'!D:D,B43,'Enter Invoices'!J:J,"B")),"")</f>
        <v/>
      </c>
      <c r="F43" s="75" t="str">
        <f>IFERROR(IF(OR(B43="",B43="(BLANK)"),"",SUMIFS('Enter Invoices'!G:G,'Enter Invoices'!D:D,B43,'Enter Invoices'!J:J,"C")),"")</f>
        <v/>
      </c>
      <c r="G43" s="46" t="str">
        <f>IFERROR(IF(OR(B43="",B43="(BLANK)"),"",SUMIFS('Enter Invoices'!G:G,'Enter Invoices'!D:D,B43,'Enter Invoices'!J:J,"D")),"")</f>
        <v/>
      </c>
      <c r="H43" s="47" t="str">
        <f t="shared" si="2"/>
        <v/>
      </c>
    </row>
    <row r="44" spans="3:8" s="43" customFormat="1" ht="15" customHeight="1" x14ac:dyDescent="0.25">
      <c r="C44" s="75" t="str">
        <f>IFERROR(VLOOKUP(B44,'Open Invoices'!C:F,4,0),"")</f>
        <v/>
      </c>
      <c r="D44" s="75" t="str">
        <f>IFERROR(IF(OR(B44="",B44="(BLANK)"),"",SUMIFS('Enter Invoices'!G:G,'Enter Invoices'!D:D,B44,'Enter Invoices'!J:J,"A")),"")</f>
        <v/>
      </c>
      <c r="E44" s="75" t="str">
        <f>IFERROR(IF(OR(B44="",B44="(BLANK)"),"",SUMIFS('Enter Invoices'!G:G,'Enter Invoices'!D:D,B44,'Enter Invoices'!J:J,"B")),"")</f>
        <v/>
      </c>
      <c r="F44" s="75" t="str">
        <f>IFERROR(IF(OR(B44="",B44="(BLANK)"),"",SUMIFS('Enter Invoices'!G:G,'Enter Invoices'!D:D,B44,'Enter Invoices'!J:J,"C")),"")</f>
        <v/>
      </c>
      <c r="G44" s="46" t="str">
        <f>IFERROR(IF(OR(B44="",B44="(BLANK)"),"",SUMIFS('Enter Invoices'!G:G,'Enter Invoices'!D:D,B44,'Enter Invoices'!J:J,"D")),"")</f>
        <v/>
      </c>
      <c r="H44" s="47" t="str">
        <f t="shared" si="2"/>
        <v/>
      </c>
    </row>
    <row r="45" spans="3:8" s="43" customFormat="1" ht="15" customHeight="1" x14ac:dyDescent="0.25">
      <c r="C45" s="75" t="str">
        <f>IFERROR(VLOOKUP(B45,'Open Invoices'!C:F,4,0),"")</f>
        <v/>
      </c>
      <c r="D45" s="75" t="str">
        <f>IFERROR(IF(OR(B45="",B45="(BLANK)"),"",SUMIFS('Enter Invoices'!G:G,'Enter Invoices'!D:D,B45,'Enter Invoices'!J:J,"A")),"")</f>
        <v/>
      </c>
      <c r="E45" s="75" t="str">
        <f>IFERROR(IF(OR(B45="",B45="(BLANK)"),"",SUMIFS('Enter Invoices'!G:G,'Enter Invoices'!D:D,B45,'Enter Invoices'!J:J,"B")),"")</f>
        <v/>
      </c>
      <c r="F45" s="75" t="str">
        <f>IFERROR(IF(OR(B45="",B45="(BLANK)"),"",SUMIFS('Enter Invoices'!G:G,'Enter Invoices'!D:D,B45,'Enter Invoices'!J:J,"C")),"")</f>
        <v/>
      </c>
      <c r="G45" s="46" t="str">
        <f>IFERROR(IF(OR(B45="",B45="(BLANK)"),"",SUMIFS('Enter Invoices'!G:G,'Enter Invoices'!D:D,B45,'Enter Invoices'!J:J,"D")),"")</f>
        <v/>
      </c>
      <c r="H45" s="47" t="str">
        <f t="shared" si="2"/>
        <v/>
      </c>
    </row>
    <row r="46" spans="3:8" s="43" customFormat="1" ht="15" customHeight="1" x14ac:dyDescent="0.25">
      <c r="C46" s="75" t="str">
        <f>IFERROR(VLOOKUP(B46,'Open Invoices'!C:F,4,0),"")</f>
        <v/>
      </c>
      <c r="D46" s="75" t="str">
        <f>IFERROR(IF(OR(B46="",B46="(BLANK)"),"",SUMIFS('Enter Invoices'!G:G,'Enter Invoices'!D:D,B46,'Enter Invoices'!J:J,"A")),"")</f>
        <v/>
      </c>
      <c r="E46" s="75" t="str">
        <f>IFERROR(IF(OR(B46="",B46="(BLANK)"),"",SUMIFS('Enter Invoices'!G:G,'Enter Invoices'!D:D,B46,'Enter Invoices'!J:J,"B")),"")</f>
        <v/>
      </c>
      <c r="F46" s="75" t="str">
        <f>IFERROR(IF(OR(B46="",B46="(BLANK)"),"",SUMIFS('Enter Invoices'!G:G,'Enter Invoices'!D:D,B46,'Enter Invoices'!J:J,"C")),"")</f>
        <v/>
      </c>
      <c r="G46" s="46" t="str">
        <f>IFERROR(IF(OR(B46="",B46="(BLANK)"),"",SUMIFS('Enter Invoices'!G:G,'Enter Invoices'!D:D,B46,'Enter Invoices'!J:J,"D")),"")</f>
        <v/>
      </c>
      <c r="H46" s="47" t="str">
        <f t="shared" si="2"/>
        <v/>
      </c>
    </row>
    <row r="47" spans="3:8" s="43" customFormat="1" ht="15" customHeight="1" x14ac:dyDescent="0.25">
      <c r="C47" s="75" t="str">
        <f>IFERROR(VLOOKUP(B47,'Open Invoices'!C:F,4,0),"")</f>
        <v/>
      </c>
      <c r="D47" s="75" t="str">
        <f>IFERROR(IF(OR(B47="",B47="(BLANK)"),"",SUMIFS('Enter Invoices'!G:G,'Enter Invoices'!D:D,B47,'Enter Invoices'!J:J,"A")),"")</f>
        <v/>
      </c>
      <c r="E47" s="75" t="str">
        <f>IFERROR(IF(OR(B47="",B47="(BLANK)"),"",SUMIFS('Enter Invoices'!G:G,'Enter Invoices'!D:D,B47,'Enter Invoices'!J:J,"B")),"")</f>
        <v/>
      </c>
      <c r="F47" s="75" t="str">
        <f>IFERROR(IF(OR(B47="",B47="(BLANK)"),"",SUMIFS('Enter Invoices'!G:G,'Enter Invoices'!D:D,B47,'Enter Invoices'!J:J,"C")),"")</f>
        <v/>
      </c>
      <c r="G47" s="46" t="str">
        <f>IFERROR(IF(OR(B47="",B47="(BLANK)"),"",SUMIFS('Enter Invoices'!G:G,'Enter Invoices'!D:D,B47,'Enter Invoices'!J:J,"D")),"")</f>
        <v/>
      </c>
      <c r="H47" s="47" t="str">
        <f t="shared" si="2"/>
        <v/>
      </c>
    </row>
    <row r="48" spans="3:8" s="43" customFormat="1" ht="15" customHeight="1" x14ac:dyDescent="0.25">
      <c r="C48" s="75" t="str">
        <f>IFERROR(VLOOKUP(B48,'Open Invoices'!C:F,4,0),"")</f>
        <v/>
      </c>
      <c r="D48" s="75" t="str">
        <f>IFERROR(IF(OR(B48="",B48="(BLANK)"),"",SUMIFS('Enter Invoices'!G:G,'Enter Invoices'!D:D,B48,'Enter Invoices'!J:J,"A")),"")</f>
        <v/>
      </c>
      <c r="E48" s="75" t="str">
        <f>IFERROR(IF(OR(B48="",B48="(BLANK)"),"",SUMIFS('Enter Invoices'!G:G,'Enter Invoices'!D:D,B48,'Enter Invoices'!J:J,"B")),"")</f>
        <v/>
      </c>
      <c r="F48" s="75" t="str">
        <f>IFERROR(IF(OR(B48="",B48="(BLANK)"),"",SUMIFS('Enter Invoices'!G:G,'Enter Invoices'!D:D,B48,'Enter Invoices'!J:J,"C")),"")</f>
        <v/>
      </c>
      <c r="G48" s="46" t="str">
        <f>IFERROR(IF(OR(B48="",B48="(BLANK)"),"",SUMIFS('Enter Invoices'!G:G,'Enter Invoices'!D:D,B48,'Enter Invoices'!J:J,"D")),"")</f>
        <v/>
      </c>
      <c r="H48" s="47" t="str">
        <f t="shared" si="2"/>
        <v/>
      </c>
    </row>
    <row r="49" spans="3:8" s="43" customFormat="1" ht="15" customHeight="1" x14ac:dyDescent="0.25">
      <c r="C49" s="75" t="str">
        <f>IFERROR(VLOOKUP(B49,'Open Invoices'!C:F,4,0),"")</f>
        <v/>
      </c>
      <c r="D49" s="75" t="str">
        <f>IFERROR(IF(OR(B49="",B49="(BLANK)"),"",SUMIFS('Enter Invoices'!G:G,'Enter Invoices'!D:D,B49,'Enter Invoices'!J:J,"A")),"")</f>
        <v/>
      </c>
      <c r="E49" s="75" t="str">
        <f>IFERROR(IF(OR(B49="",B49="(BLANK)"),"",SUMIFS('Enter Invoices'!G:G,'Enter Invoices'!D:D,B49,'Enter Invoices'!J:J,"B")),"")</f>
        <v/>
      </c>
      <c r="F49" s="75" t="str">
        <f>IFERROR(IF(OR(B49="",B49="(BLANK)"),"",SUMIFS('Enter Invoices'!G:G,'Enter Invoices'!D:D,B49,'Enter Invoices'!J:J,"C")),"")</f>
        <v/>
      </c>
      <c r="G49" s="46" t="str">
        <f>IFERROR(IF(OR(B49="",B49="(BLANK)"),"",SUMIFS('Enter Invoices'!G:G,'Enter Invoices'!D:D,B49,'Enter Invoices'!J:J,"D")),"")</f>
        <v/>
      </c>
      <c r="H49" s="47" t="str">
        <f t="shared" si="2"/>
        <v/>
      </c>
    </row>
    <row r="50" spans="3:8" s="43" customFormat="1" ht="15" customHeight="1" x14ac:dyDescent="0.25">
      <c r="C50" s="75" t="str">
        <f>IFERROR(VLOOKUP(B50,'Open Invoices'!C:F,4,0),"")</f>
        <v/>
      </c>
      <c r="D50" s="75" t="str">
        <f>IFERROR(IF(OR(B50="",B50="(BLANK)"),"",SUMIFS('Enter Invoices'!G:G,'Enter Invoices'!D:D,B50,'Enter Invoices'!J:J,"A")),"")</f>
        <v/>
      </c>
      <c r="E50" s="75" t="str">
        <f>IFERROR(IF(OR(B50="",B50="(BLANK)"),"",SUMIFS('Enter Invoices'!G:G,'Enter Invoices'!D:D,B50,'Enter Invoices'!J:J,"B")),"")</f>
        <v/>
      </c>
      <c r="F50" s="75" t="str">
        <f>IFERROR(IF(OR(B50="",B50="(BLANK)"),"",SUMIFS('Enter Invoices'!G:G,'Enter Invoices'!D:D,B50,'Enter Invoices'!J:J,"C")),"")</f>
        <v/>
      </c>
      <c r="G50" s="46" t="str">
        <f>IFERROR(IF(OR(B50="",B50="(BLANK)"),"",SUMIFS('Enter Invoices'!G:G,'Enter Invoices'!D:D,B50,'Enter Invoices'!J:J,"D")),"")</f>
        <v/>
      </c>
      <c r="H50" s="47" t="str">
        <f t="shared" si="2"/>
        <v/>
      </c>
    </row>
    <row r="51" spans="3:8" s="43" customFormat="1" ht="15" customHeight="1" x14ac:dyDescent="0.25">
      <c r="C51" s="75" t="str">
        <f>IFERROR(VLOOKUP(B51,'Open Invoices'!C:F,4,0),"")</f>
        <v/>
      </c>
      <c r="D51" s="75" t="str">
        <f>IFERROR(IF(OR(B51="",B51="(BLANK)"),"",SUMIFS('Enter Invoices'!G:G,'Enter Invoices'!D:D,B51,'Enter Invoices'!J:J,"A")),"")</f>
        <v/>
      </c>
      <c r="E51" s="75" t="str">
        <f>IFERROR(IF(OR(B51="",B51="(BLANK)"),"",SUMIFS('Enter Invoices'!G:G,'Enter Invoices'!D:D,B51,'Enter Invoices'!J:J,"B")),"")</f>
        <v/>
      </c>
      <c r="F51" s="75" t="str">
        <f>IFERROR(IF(OR(B51="",B51="(BLANK)"),"",SUMIFS('Enter Invoices'!G:G,'Enter Invoices'!D:D,B51,'Enter Invoices'!J:J,"C")),"")</f>
        <v/>
      </c>
      <c r="G51" s="46" t="str">
        <f>IFERROR(IF(OR(B51="",B51="(BLANK)"),"",SUMIFS('Enter Invoices'!G:G,'Enter Invoices'!D:D,B51,'Enter Invoices'!J:J,"D")),"")</f>
        <v/>
      </c>
      <c r="H51" s="47" t="str">
        <f t="shared" si="2"/>
        <v/>
      </c>
    </row>
    <row r="52" spans="3:8" s="43" customFormat="1" ht="15" customHeight="1" x14ac:dyDescent="0.25">
      <c r="C52" s="75" t="str">
        <f>IFERROR(VLOOKUP(B52,'Open Invoices'!C:F,4,0),"")</f>
        <v/>
      </c>
      <c r="D52" s="75" t="str">
        <f>IFERROR(IF(OR(B52="",B52="(BLANK)"),"",SUMIFS('Enter Invoices'!G:G,'Enter Invoices'!D:D,B52,'Enter Invoices'!J:J,"A")),"")</f>
        <v/>
      </c>
      <c r="E52" s="75" t="str">
        <f>IFERROR(IF(OR(B52="",B52="(BLANK)"),"",SUMIFS('Enter Invoices'!G:G,'Enter Invoices'!D:D,B52,'Enter Invoices'!J:J,"B")),"")</f>
        <v/>
      </c>
      <c r="F52" s="75" t="str">
        <f>IFERROR(IF(OR(B52="",B52="(BLANK)"),"",SUMIFS('Enter Invoices'!G:G,'Enter Invoices'!D:D,B52,'Enter Invoices'!J:J,"C")),"")</f>
        <v/>
      </c>
      <c r="G52" s="46" t="str">
        <f>IFERROR(IF(OR(B52="",B52="(BLANK)"),"",SUMIFS('Enter Invoices'!G:G,'Enter Invoices'!D:D,B52,'Enter Invoices'!J:J,"D")),"")</f>
        <v/>
      </c>
      <c r="H52" s="47" t="str">
        <f t="shared" si="2"/>
        <v/>
      </c>
    </row>
    <row r="53" spans="3:8" s="43" customFormat="1" ht="15" customHeight="1" x14ac:dyDescent="0.25">
      <c r="C53" s="75" t="str">
        <f>IFERROR(VLOOKUP(B53,'Open Invoices'!C:F,4,0),"")</f>
        <v/>
      </c>
      <c r="D53" s="75" t="str">
        <f>IFERROR(IF(OR(B53="",B53="(BLANK)"),"",SUMIFS('Enter Invoices'!G:G,'Enter Invoices'!D:D,B53,'Enter Invoices'!J:J,"A")),"")</f>
        <v/>
      </c>
      <c r="E53" s="75" t="str">
        <f>IFERROR(IF(OR(B53="",B53="(BLANK)"),"",SUMIFS('Enter Invoices'!G:G,'Enter Invoices'!D:D,B53,'Enter Invoices'!J:J,"B")),"")</f>
        <v/>
      </c>
      <c r="F53" s="75" t="str">
        <f>IFERROR(IF(OR(B53="",B53="(BLANK)"),"",SUMIFS('Enter Invoices'!G:G,'Enter Invoices'!D:D,B53,'Enter Invoices'!J:J,"C")),"")</f>
        <v/>
      </c>
      <c r="G53" s="46" t="str">
        <f>IFERROR(IF(OR(B53="",B53="(BLANK)"),"",SUMIFS('Enter Invoices'!G:G,'Enter Invoices'!D:D,B53,'Enter Invoices'!J:J,"D")),"")</f>
        <v/>
      </c>
      <c r="H53" s="47" t="str">
        <f t="shared" si="2"/>
        <v/>
      </c>
    </row>
    <row r="54" spans="3:8" s="43" customFormat="1" ht="15" customHeight="1" x14ac:dyDescent="0.25">
      <c r="C54" s="75" t="str">
        <f>IFERROR(VLOOKUP(B54,'Open Invoices'!C:F,4,0),"")</f>
        <v/>
      </c>
      <c r="D54" s="75" t="str">
        <f>IFERROR(IF(OR(B54="",B54="(BLANK)"),"",SUMIFS('Enter Invoices'!G:G,'Enter Invoices'!D:D,B54,'Enter Invoices'!J:J,"A")),"")</f>
        <v/>
      </c>
      <c r="E54" s="75" t="str">
        <f>IFERROR(IF(OR(B54="",B54="(BLANK)"),"",SUMIFS('Enter Invoices'!G:G,'Enter Invoices'!D:D,B54,'Enter Invoices'!J:J,"B")),"")</f>
        <v/>
      </c>
      <c r="F54" s="75" t="str">
        <f>IFERROR(IF(OR(B54="",B54="(BLANK)"),"",SUMIFS('Enter Invoices'!G:G,'Enter Invoices'!D:D,B54,'Enter Invoices'!J:J,"C")),"")</f>
        <v/>
      </c>
      <c r="G54" s="46" t="str">
        <f>IFERROR(IF(OR(B54="",B54="(BLANK)"),"",SUMIFS('Enter Invoices'!G:G,'Enter Invoices'!D:D,B54,'Enter Invoices'!J:J,"D")),"")</f>
        <v/>
      </c>
      <c r="H54" s="47" t="str">
        <f t="shared" si="2"/>
        <v/>
      </c>
    </row>
    <row r="55" spans="3:8" s="43" customFormat="1" ht="15" customHeight="1" x14ac:dyDescent="0.25">
      <c r="C55" s="75" t="str">
        <f>IFERROR(VLOOKUP(B55,'Open Invoices'!C:F,4,0),"")</f>
        <v/>
      </c>
      <c r="D55" s="75" t="str">
        <f>IFERROR(IF(OR(B55="",B55="(BLANK)"),"",SUMIFS('Enter Invoices'!G:G,'Enter Invoices'!D:D,B55,'Enter Invoices'!J:J,"A")),"")</f>
        <v/>
      </c>
      <c r="E55" s="75" t="str">
        <f>IFERROR(IF(OR(B55="",B55="(BLANK)"),"",SUMIFS('Enter Invoices'!G:G,'Enter Invoices'!D:D,B55,'Enter Invoices'!J:J,"B")),"")</f>
        <v/>
      </c>
      <c r="F55" s="75" t="str">
        <f>IFERROR(IF(OR(B55="",B55="(BLANK)"),"",SUMIFS('Enter Invoices'!G:G,'Enter Invoices'!D:D,B55,'Enter Invoices'!J:J,"C")),"")</f>
        <v/>
      </c>
      <c r="G55" s="46" t="str">
        <f>IFERROR(IF(OR(B55="",B55="(BLANK)"),"",SUMIFS('Enter Invoices'!G:G,'Enter Invoices'!D:D,B55,'Enter Invoices'!J:J,"D")),"")</f>
        <v/>
      </c>
      <c r="H55" s="47" t="str">
        <f t="shared" si="2"/>
        <v/>
      </c>
    </row>
    <row r="56" spans="3:8" s="43" customFormat="1" ht="15" customHeight="1" x14ac:dyDescent="0.25">
      <c r="C56" s="75" t="str">
        <f>IFERROR(VLOOKUP(B56,'Open Invoices'!C:F,4,0),"")</f>
        <v/>
      </c>
      <c r="D56" s="75" t="str">
        <f>IFERROR(IF(OR(B56="",B56="(BLANK)"),"",SUMIFS('Enter Invoices'!G:G,'Enter Invoices'!D:D,B56,'Enter Invoices'!J:J,"A")),"")</f>
        <v/>
      </c>
      <c r="E56" s="75" t="str">
        <f>IFERROR(IF(OR(B56="",B56="(BLANK)"),"",SUMIFS('Enter Invoices'!G:G,'Enter Invoices'!D:D,B56,'Enter Invoices'!J:J,"B")),"")</f>
        <v/>
      </c>
      <c r="F56" s="75" t="str">
        <f>IFERROR(IF(OR(B56="",B56="(BLANK)"),"",SUMIFS('Enter Invoices'!G:G,'Enter Invoices'!D:D,B56,'Enter Invoices'!J:J,"C")),"")</f>
        <v/>
      </c>
      <c r="G56" s="46" t="str">
        <f>IFERROR(IF(OR(B56="",B56="(BLANK)"),"",SUMIFS('Enter Invoices'!G:G,'Enter Invoices'!D:D,B56,'Enter Invoices'!J:J,"D")),"")</f>
        <v/>
      </c>
      <c r="H56" s="47" t="str">
        <f t="shared" si="2"/>
        <v/>
      </c>
    </row>
    <row r="57" spans="3:8" s="43" customFormat="1" ht="15" customHeight="1" x14ac:dyDescent="0.25">
      <c r="C57" s="75" t="str">
        <f>IFERROR(VLOOKUP(B57,'Open Invoices'!C:F,4,0),"")</f>
        <v/>
      </c>
      <c r="D57" s="75" t="str">
        <f>IFERROR(IF(OR(B57="",B57="(BLANK)"),"",SUMIFS('Enter Invoices'!G:G,'Enter Invoices'!D:D,B57,'Enter Invoices'!J:J,"A")),"")</f>
        <v/>
      </c>
      <c r="E57" s="75" t="str">
        <f>IFERROR(IF(OR(B57="",B57="(BLANK)"),"",SUMIFS('Enter Invoices'!G:G,'Enter Invoices'!D:D,B57,'Enter Invoices'!J:J,"B")),"")</f>
        <v/>
      </c>
      <c r="F57" s="75" t="str">
        <f>IFERROR(IF(OR(B57="",B57="(BLANK)"),"",SUMIFS('Enter Invoices'!G:G,'Enter Invoices'!D:D,B57,'Enter Invoices'!J:J,"C")),"")</f>
        <v/>
      </c>
      <c r="G57" s="46" t="str">
        <f>IFERROR(IF(OR(B57="",B57="(BLANK)"),"",SUMIFS('Enter Invoices'!G:G,'Enter Invoices'!D:D,B57,'Enter Invoices'!J:J,"D")),"")</f>
        <v/>
      </c>
      <c r="H57" s="47" t="str">
        <f t="shared" si="2"/>
        <v/>
      </c>
    </row>
    <row r="58" spans="3:8" s="43" customFormat="1" ht="15" customHeight="1" x14ac:dyDescent="0.25">
      <c r="C58" s="75" t="str">
        <f>IFERROR(VLOOKUP(B58,'Open Invoices'!C:F,4,0),"")</f>
        <v/>
      </c>
      <c r="D58" s="75" t="str">
        <f>IFERROR(IF(OR(B58="",B58="(BLANK)"),"",SUMIFS('Enter Invoices'!G:G,'Enter Invoices'!D:D,B58,'Enter Invoices'!J:J,"A")),"")</f>
        <v/>
      </c>
      <c r="E58" s="75" t="str">
        <f>IFERROR(IF(OR(B58="",B58="(BLANK)"),"",SUMIFS('Enter Invoices'!G:G,'Enter Invoices'!D:D,B58,'Enter Invoices'!J:J,"B")),"")</f>
        <v/>
      </c>
      <c r="F58" s="75" t="str">
        <f>IFERROR(IF(OR(B58="",B58="(BLANK)"),"",SUMIFS('Enter Invoices'!G:G,'Enter Invoices'!D:D,B58,'Enter Invoices'!J:J,"C")),"")</f>
        <v/>
      </c>
      <c r="G58" s="46" t="str">
        <f>IFERROR(IF(OR(B58="",B58="(BLANK)"),"",SUMIFS('Enter Invoices'!G:G,'Enter Invoices'!D:D,B58,'Enter Invoices'!J:J,"D")),"")</f>
        <v/>
      </c>
      <c r="H58" s="47" t="str">
        <f t="shared" si="2"/>
        <v/>
      </c>
    </row>
    <row r="59" spans="3:8" s="43" customFormat="1" ht="15" customHeight="1" x14ac:dyDescent="0.25">
      <c r="C59" s="75" t="str">
        <f>IFERROR(VLOOKUP(B59,'Open Invoices'!C:F,4,0),"")</f>
        <v/>
      </c>
      <c r="D59" s="75" t="str">
        <f>IFERROR(IF(OR(B59="",B59="(BLANK)"),"",SUMIFS('Enter Invoices'!G:G,'Enter Invoices'!D:D,B59,'Enter Invoices'!J:J,"A")),"")</f>
        <v/>
      </c>
      <c r="E59" s="75" t="str">
        <f>IFERROR(IF(OR(B59="",B59="(BLANK)"),"",SUMIFS('Enter Invoices'!G:G,'Enter Invoices'!D:D,B59,'Enter Invoices'!J:J,"B")),"")</f>
        <v/>
      </c>
      <c r="F59" s="75" t="str">
        <f>IFERROR(IF(OR(B59="",B59="(BLANK)"),"",SUMIFS('Enter Invoices'!G:G,'Enter Invoices'!D:D,B59,'Enter Invoices'!J:J,"C")),"")</f>
        <v/>
      </c>
      <c r="G59" s="46" t="str">
        <f>IFERROR(IF(OR(B59="",B59="(BLANK)"),"",SUMIFS('Enter Invoices'!G:G,'Enter Invoices'!D:D,B59,'Enter Invoices'!J:J,"D")),"")</f>
        <v/>
      </c>
      <c r="H59" s="47" t="str">
        <f t="shared" si="2"/>
        <v/>
      </c>
    </row>
    <row r="60" spans="3:8" s="43" customFormat="1" ht="15" customHeight="1" x14ac:dyDescent="0.25">
      <c r="C60" s="75" t="str">
        <f>IFERROR(VLOOKUP(B60,'Open Invoices'!C:F,4,0),"")</f>
        <v/>
      </c>
      <c r="D60" s="75" t="str">
        <f>IFERROR(IF(OR(B60="",B60="(BLANK)"),"",SUMIFS('Enter Invoices'!G:G,'Enter Invoices'!D:D,B60,'Enter Invoices'!J:J,"A")),"")</f>
        <v/>
      </c>
      <c r="E60" s="75" t="str">
        <f>IFERROR(IF(OR(B60="",B60="(BLANK)"),"",SUMIFS('Enter Invoices'!G:G,'Enter Invoices'!D:D,B60,'Enter Invoices'!J:J,"B")),"")</f>
        <v/>
      </c>
      <c r="F60" s="75" t="str">
        <f>IFERROR(IF(OR(B60="",B60="(BLANK)"),"",SUMIFS('Enter Invoices'!G:G,'Enter Invoices'!D:D,B60,'Enter Invoices'!J:J,"C")),"")</f>
        <v/>
      </c>
      <c r="G60" s="46" t="str">
        <f>IFERROR(IF(OR(B60="",B60="(BLANK)"),"",SUMIFS('Enter Invoices'!G:G,'Enter Invoices'!D:D,B60,'Enter Invoices'!J:J,"D")),"")</f>
        <v/>
      </c>
      <c r="H60" s="47" t="str">
        <f t="shared" si="2"/>
        <v/>
      </c>
    </row>
    <row r="61" spans="3:8" s="43" customFormat="1" ht="15" customHeight="1" x14ac:dyDescent="0.25">
      <c r="C61" s="75" t="str">
        <f>IFERROR(VLOOKUP(B61,'Open Invoices'!C:F,4,0),"")</f>
        <v/>
      </c>
      <c r="D61" s="75" t="str">
        <f>IFERROR(IF(OR(B61="",B61="(BLANK)"),"",SUMIFS('Enter Invoices'!G:G,'Enter Invoices'!D:D,B61,'Enter Invoices'!J:J,"A")),"")</f>
        <v/>
      </c>
      <c r="E61" s="75" t="str">
        <f>IFERROR(IF(OR(B61="",B61="(BLANK)"),"",SUMIFS('Enter Invoices'!G:G,'Enter Invoices'!D:D,B61,'Enter Invoices'!J:J,"B")),"")</f>
        <v/>
      </c>
      <c r="F61" s="75" t="str">
        <f>IFERROR(IF(OR(B61="",B61="(BLANK)"),"",SUMIFS('Enter Invoices'!G:G,'Enter Invoices'!D:D,B61,'Enter Invoices'!J:J,"C")),"")</f>
        <v/>
      </c>
      <c r="G61" s="46" t="str">
        <f>IFERROR(IF(OR(B61="",B61="(BLANK)"),"",SUMIFS('Enter Invoices'!G:G,'Enter Invoices'!D:D,B61,'Enter Invoices'!J:J,"D")),"")</f>
        <v/>
      </c>
      <c r="H61" s="47" t="str">
        <f t="shared" si="2"/>
        <v/>
      </c>
    </row>
    <row r="62" spans="3:8" s="43" customFormat="1" ht="15" customHeight="1" x14ac:dyDescent="0.25">
      <c r="C62" s="75" t="str">
        <f>IFERROR(VLOOKUP(B62,'Open Invoices'!C:F,4,0),"")</f>
        <v/>
      </c>
      <c r="D62" s="75" t="str">
        <f>IFERROR(IF(OR(B62="",B62="(BLANK)"),"",SUMIFS('Enter Invoices'!G:G,'Enter Invoices'!D:D,B62,'Enter Invoices'!J:J,"A")),"")</f>
        <v/>
      </c>
      <c r="E62" s="75" t="str">
        <f>IFERROR(IF(OR(B62="",B62="(BLANK)"),"",SUMIFS('Enter Invoices'!G:G,'Enter Invoices'!D:D,B62,'Enter Invoices'!J:J,"B")),"")</f>
        <v/>
      </c>
      <c r="F62" s="75" t="str">
        <f>IFERROR(IF(OR(B62="",B62="(BLANK)"),"",SUMIFS('Enter Invoices'!G:G,'Enter Invoices'!D:D,B62,'Enter Invoices'!J:J,"C")),"")</f>
        <v/>
      </c>
      <c r="G62" s="46" t="str">
        <f>IFERROR(IF(OR(B62="",B62="(BLANK)"),"",SUMIFS('Enter Invoices'!G:G,'Enter Invoices'!D:D,B62,'Enter Invoices'!J:J,"D")),"")</f>
        <v/>
      </c>
      <c r="H62" s="47" t="str">
        <f t="shared" si="2"/>
        <v/>
      </c>
    </row>
    <row r="63" spans="3:8" s="43" customFormat="1" ht="15" customHeight="1" x14ac:dyDescent="0.25">
      <c r="C63" s="75" t="str">
        <f>IFERROR(VLOOKUP(B63,'Open Invoices'!C:F,4,0),"")</f>
        <v/>
      </c>
      <c r="D63" s="75" t="str">
        <f>IFERROR(IF(OR(B63="",B63="(BLANK)"),"",SUMIFS('Enter Invoices'!G:G,'Enter Invoices'!D:D,B63,'Enter Invoices'!J:J,"A")),"")</f>
        <v/>
      </c>
      <c r="E63" s="75" t="str">
        <f>IFERROR(IF(OR(B63="",B63="(BLANK)"),"",SUMIFS('Enter Invoices'!G:G,'Enter Invoices'!D:D,B63,'Enter Invoices'!J:J,"B")),"")</f>
        <v/>
      </c>
      <c r="F63" s="75" t="str">
        <f>IFERROR(IF(OR(B63="",B63="(BLANK)"),"",SUMIFS('Enter Invoices'!G:G,'Enter Invoices'!D:D,B63,'Enter Invoices'!J:J,"C")),"")</f>
        <v/>
      </c>
      <c r="G63" s="46" t="str">
        <f>IFERROR(IF(OR(B63="",B63="(BLANK)"),"",SUMIFS('Enter Invoices'!G:G,'Enter Invoices'!D:D,B63,'Enter Invoices'!J:J,"D")),"")</f>
        <v/>
      </c>
      <c r="H63" s="47" t="str">
        <f t="shared" si="2"/>
        <v/>
      </c>
    </row>
    <row r="64" spans="3:8" s="43" customFormat="1" ht="15" customHeight="1" x14ac:dyDescent="0.25">
      <c r="C64" s="75" t="str">
        <f>IFERROR(VLOOKUP(B64,'Open Invoices'!C:F,4,0),"")</f>
        <v/>
      </c>
      <c r="D64" s="75" t="str">
        <f>IFERROR(IF(OR(B64="",B64="(BLANK)"),"",SUMIFS('Enter Invoices'!G:G,'Enter Invoices'!D:D,B64,'Enter Invoices'!J:J,"A")),"")</f>
        <v/>
      </c>
      <c r="E64" s="75" t="str">
        <f>IFERROR(IF(OR(B64="",B64="(BLANK)"),"",SUMIFS('Enter Invoices'!G:G,'Enter Invoices'!D:D,B64,'Enter Invoices'!J:J,"B")),"")</f>
        <v/>
      </c>
      <c r="F64" s="75" t="str">
        <f>IFERROR(IF(OR(B64="",B64="(BLANK)"),"",SUMIFS('Enter Invoices'!G:G,'Enter Invoices'!D:D,B64,'Enter Invoices'!J:J,"C")),"")</f>
        <v/>
      </c>
      <c r="G64" s="46" t="str">
        <f>IFERROR(IF(OR(B64="",B64="(BLANK)"),"",SUMIFS('Enter Invoices'!G:G,'Enter Invoices'!D:D,B64,'Enter Invoices'!J:J,"D")),"")</f>
        <v/>
      </c>
      <c r="H64" s="47" t="str">
        <f t="shared" si="2"/>
        <v/>
      </c>
    </row>
    <row r="65" spans="3:8" s="43" customFormat="1" ht="15" customHeight="1" x14ac:dyDescent="0.25">
      <c r="C65" s="75" t="str">
        <f>IFERROR(VLOOKUP(B65,'Open Invoices'!C:F,4,0),"")</f>
        <v/>
      </c>
      <c r="D65" s="75" t="str">
        <f>IFERROR(IF(OR(B65="",B65="(BLANK)"),"",SUMIFS('Enter Invoices'!G:G,'Enter Invoices'!D:D,B65,'Enter Invoices'!J:J,"A")),"")</f>
        <v/>
      </c>
      <c r="E65" s="75" t="str">
        <f>IFERROR(IF(OR(B65="",B65="(BLANK)"),"",SUMIFS('Enter Invoices'!G:G,'Enter Invoices'!D:D,B65,'Enter Invoices'!J:J,"B")),"")</f>
        <v/>
      </c>
      <c r="F65" s="75" t="str">
        <f>IFERROR(IF(OR(B65="",B65="(BLANK)"),"",SUMIFS('Enter Invoices'!G:G,'Enter Invoices'!D:D,B65,'Enter Invoices'!J:J,"C")),"")</f>
        <v/>
      </c>
      <c r="G65" s="46" t="str">
        <f>IFERROR(IF(OR(B65="",B65="(BLANK)"),"",SUMIFS('Enter Invoices'!G:G,'Enter Invoices'!D:D,B65,'Enter Invoices'!J:J,"D")),"")</f>
        <v/>
      </c>
      <c r="H65" s="47" t="str">
        <f t="shared" si="2"/>
        <v/>
      </c>
    </row>
    <row r="66" spans="3:8" s="43" customFormat="1" ht="15" customHeight="1" x14ac:dyDescent="0.25">
      <c r="C66" s="75" t="str">
        <f>IFERROR(VLOOKUP(B66,'Open Invoices'!C:F,4,0),"")</f>
        <v/>
      </c>
      <c r="D66" s="75" t="str">
        <f>IFERROR(IF(OR(B66="",B66="(BLANK)"),"",SUMIFS('Enter Invoices'!G:G,'Enter Invoices'!D:D,B66,'Enter Invoices'!J:J,"A")),"")</f>
        <v/>
      </c>
      <c r="E66" s="75" t="str">
        <f>IFERROR(IF(OR(B66="",B66="(BLANK)"),"",SUMIFS('Enter Invoices'!G:G,'Enter Invoices'!D:D,B66,'Enter Invoices'!J:J,"B")),"")</f>
        <v/>
      </c>
      <c r="F66" s="75" t="str">
        <f>IFERROR(IF(OR(B66="",B66="(BLANK)"),"",SUMIFS('Enter Invoices'!G:G,'Enter Invoices'!D:D,B66,'Enter Invoices'!J:J,"C")),"")</f>
        <v/>
      </c>
      <c r="G66" s="46" t="str">
        <f>IFERROR(IF(OR(B66="",B66="(BLANK)"),"",SUMIFS('Enter Invoices'!G:G,'Enter Invoices'!D:D,B66,'Enter Invoices'!J:J,"D")),"")</f>
        <v/>
      </c>
      <c r="H66" s="47" t="str">
        <f t="shared" si="2"/>
        <v/>
      </c>
    </row>
    <row r="67" spans="3:8" s="43" customFormat="1" ht="15" customHeight="1" x14ac:dyDescent="0.25">
      <c r="C67" s="75" t="str">
        <f>IFERROR(VLOOKUP(B67,'Open Invoices'!C:F,4,0),"")</f>
        <v/>
      </c>
      <c r="D67" s="75" t="str">
        <f>IFERROR(IF(OR(B67="",B67="(BLANK)"),"",SUMIFS('Enter Invoices'!G:G,'Enter Invoices'!D:D,B67,'Enter Invoices'!J:J,"A")),"")</f>
        <v/>
      </c>
      <c r="E67" s="75" t="str">
        <f>IFERROR(IF(OR(B67="",B67="(BLANK)"),"",SUMIFS('Enter Invoices'!G:G,'Enter Invoices'!D:D,B67,'Enter Invoices'!J:J,"B")),"")</f>
        <v/>
      </c>
      <c r="F67" s="75" t="str">
        <f>IFERROR(IF(OR(B67="",B67="(BLANK)"),"",SUMIFS('Enter Invoices'!G:G,'Enter Invoices'!D:D,B67,'Enter Invoices'!J:J,"C")),"")</f>
        <v/>
      </c>
      <c r="G67" s="46" t="str">
        <f>IFERROR(IF(OR(B67="",B67="(BLANK)"),"",SUMIFS('Enter Invoices'!G:G,'Enter Invoices'!D:D,B67,'Enter Invoices'!J:J,"D")),"")</f>
        <v/>
      </c>
      <c r="H67" s="47" t="str">
        <f t="shared" si="2"/>
        <v/>
      </c>
    </row>
    <row r="68" spans="3:8" s="43" customFormat="1" ht="15" customHeight="1" x14ac:dyDescent="0.25">
      <c r="C68" s="75" t="str">
        <f>IFERROR(VLOOKUP(B68,'Open Invoices'!C:F,4,0),"")</f>
        <v/>
      </c>
      <c r="D68" s="75" t="str">
        <f>IFERROR(IF(OR(B68="",B68="(BLANK)"),"",SUMIFS('Enter Invoices'!G:G,'Enter Invoices'!D:D,B68,'Enter Invoices'!J:J,"A")),"")</f>
        <v/>
      </c>
      <c r="E68" s="75" t="str">
        <f>IFERROR(IF(OR(B68="",B68="(BLANK)"),"",SUMIFS('Enter Invoices'!G:G,'Enter Invoices'!D:D,B68,'Enter Invoices'!J:J,"B")),"")</f>
        <v/>
      </c>
      <c r="F68" s="75" t="str">
        <f>IFERROR(IF(OR(B68="",B68="(BLANK)"),"",SUMIFS('Enter Invoices'!G:G,'Enter Invoices'!D:D,B68,'Enter Invoices'!J:J,"C")),"")</f>
        <v/>
      </c>
      <c r="G68" s="46" t="str">
        <f>IFERROR(IF(OR(B68="",B68="(BLANK)"),"",SUMIFS('Enter Invoices'!G:G,'Enter Invoices'!D:D,B68,'Enter Invoices'!J:J,"D")),"")</f>
        <v/>
      </c>
      <c r="H68" s="47" t="str">
        <f t="shared" si="2"/>
        <v/>
      </c>
    </row>
    <row r="69" spans="3:8" s="43" customFormat="1" ht="15" customHeight="1" x14ac:dyDescent="0.25">
      <c r="C69" s="75" t="str">
        <f>IFERROR(VLOOKUP(B69,'Open Invoices'!C:F,4,0),"")</f>
        <v/>
      </c>
      <c r="D69" s="75" t="str">
        <f>IFERROR(IF(OR(B69="",B69="(BLANK)"),"",SUMIFS('Enter Invoices'!G:G,'Enter Invoices'!D:D,B69,'Enter Invoices'!J:J,"A")),"")</f>
        <v/>
      </c>
      <c r="E69" s="75" t="str">
        <f>IFERROR(IF(OR(B69="",B69="(BLANK)"),"",SUMIFS('Enter Invoices'!G:G,'Enter Invoices'!D:D,B69,'Enter Invoices'!J:J,"B")),"")</f>
        <v/>
      </c>
      <c r="F69" s="75" t="str">
        <f>IFERROR(IF(OR(B69="",B69="(BLANK)"),"",SUMIFS('Enter Invoices'!G:G,'Enter Invoices'!D:D,B69,'Enter Invoices'!J:J,"C")),"")</f>
        <v/>
      </c>
      <c r="G69" s="46" t="str">
        <f>IFERROR(IF(OR(B69="",B69="(BLANK)"),"",SUMIFS('Enter Invoices'!G:G,'Enter Invoices'!D:D,B69,'Enter Invoices'!J:J,"D")),"")</f>
        <v/>
      </c>
      <c r="H69" s="47" t="str">
        <f t="shared" si="2"/>
        <v/>
      </c>
    </row>
    <row r="70" spans="3:8" s="43" customFormat="1" ht="15" customHeight="1" x14ac:dyDescent="0.25">
      <c r="C70" s="75" t="str">
        <f>IFERROR(VLOOKUP(B70,'Open Invoices'!C:F,4,0),"")</f>
        <v/>
      </c>
      <c r="D70" s="75" t="str">
        <f>IFERROR(IF(OR(B70="",B70="(BLANK)"),"",SUMIFS('Enter Invoices'!G:G,'Enter Invoices'!D:D,B70,'Enter Invoices'!J:J,"A")),"")</f>
        <v/>
      </c>
      <c r="E70" s="75" t="str">
        <f>IFERROR(IF(OR(B70="",B70="(BLANK)"),"",SUMIFS('Enter Invoices'!G:G,'Enter Invoices'!D:D,B70,'Enter Invoices'!J:J,"B")),"")</f>
        <v/>
      </c>
      <c r="F70" s="75" t="str">
        <f>IFERROR(IF(OR(B70="",B70="(BLANK)"),"",SUMIFS('Enter Invoices'!G:G,'Enter Invoices'!D:D,B70,'Enter Invoices'!J:J,"C")),"")</f>
        <v/>
      </c>
      <c r="G70" s="46" t="str">
        <f>IFERROR(IF(OR(B70="",B70="(BLANK)"),"",SUMIFS('Enter Invoices'!G:G,'Enter Invoices'!D:D,B70,'Enter Invoices'!J:J,"D")),"")</f>
        <v/>
      </c>
      <c r="H70" s="47" t="str">
        <f t="shared" si="2"/>
        <v/>
      </c>
    </row>
    <row r="71" spans="3:8" s="43" customFormat="1" ht="15" customHeight="1" x14ac:dyDescent="0.25">
      <c r="C71" s="75" t="str">
        <f>IFERROR(VLOOKUP(B71,'Open Invoices'!C:F,4,0),"")</f>
        <v/>
      </c>
      <c r="D71" s="75" t="str">
        <f>IFERROR(IF(OR(B71="",B71="(BLANK)"),"",SUMIFS('Enter Invoices'!G:G,'Enter Invoices'!D:D,B71,'Enter Invoices'!J:J,"A")),"")</f>
        <v/>
      </c>
      <c r="E71" s="75" t="str">
        <f>IFERROR(IF(OR(B71="",B71="(BLANK)"),"",SUMIFS('Enter Invoices'!G:G,'Enter Invoices'!D:D,B71,'Enter Invoices'!J:J,"B")),"")</f>
        <v/>
      </c>
      <c r="F71" s="75" t="str">
        <f>IFERROR(IF(OR(B71="",B71="(BLANK)"),"",SUMIFS('Enter Invoices'!G:G,'Enter Invoices'!D:D,B71,'Enter Invoices'!J:J,"C")),"")</f>
        <v/>
      </c>
      <c r="G71" s="46" t="str">
        <f>IFERROR(IF(OR(B71="",B71="(BLANK)"),"",SUMIFS('Enter Invoices'!G:G,'Enter Invoices'!D:D,B71,'Enter Invoices'!J:J,"D")),"")</f>
        <v/>
      </c>
      <c r="H71" s="47" t="str">
        <f t="shared" si="2"/>
        <v/>
      </c>
    </row>
    <row r="72" spans="3:8" s="43" customFormat="1" ht="15" customHeight="1" x14ac:dyDescent="0.25">
      <c r="C72" s="75" t="str">
        <f>IFERROR(VLOOKUP(B72,'Open Invoices'!C:F,4,0),"")</f>
        <v/>
      </c>
      <c r="D72" s="75" t="str">
        <f>IFERROR(IF(OR(B72="",B72="(BLANK)"),"",SUMIFS('Enter Invoices'!G:G,'Enter Invoices'!D:D,B72,'Enter Invoices'!J:J,"A")),"")</f>
        <v/>
      </c>
      <c r="E72" s="75" t="str">
        <f>IFERROR(IF(OR(B72="",B72="(BLANK)"),"",SUMIFS('Enter Invoices'!G:G,'Enter Invoices'!D:D,B72,'Enter Invoices'!J:J,"B")),"")</f>
        <v/>
      </c>
      <c r="F72" s="75" t="str">
        <f>IFERROR(IF(OR(B72="",B72="(BLANK)"),"",SUMIFS('Enter Invoices'!G:G,'Enter Invoices'!D:D,B72,'Enter Invoices'!J:J,"C")),"")</f>
        <v/>
      </c>
      <c r="G72" s="46" t="str">
        <f>IFERROR(IF(OR(B72="",B72="(BLANK)"),"",SUMIFS('Enter Invoices'!G:G,'Enter Invoices'!D:D,B72,'Enter Invoices'!J:J,"D")),"")</f>
        <v/>
      </c>
      <c r="H72" s="47" t="str">
        <f t="shared" ref="H72:H135" si="3">IF(COUNT(D72:G72)=0,"",SUM(D72:G72))</f>
        <v/>
      </c>
    </row>
    <row r="73" spans="3:8" s="43" customFormat="1" ht="15" customHeight="1" x14ac:dyDescent="0.25">
      <c r="C73" s="75" t="str">
        <f>IFERROR(VLOOKUP(B73,'Open Invoices'!C:F,4,0),"")</f>
        <v/>
      </c>
      <c r="D73" s="75" t="str">
        <f>IFERROR(IF(OR(B73="",B73="(BLANK)"),"",SUMIFS('Enter Invoices'!G:G,'Enter Invoices'!D:D,B73,'Enter Invoices'!J:J,"A")),"")</f>
        <v/>
      </c>
      <c r="E73" s="75" t="str">
        <f>IFERROR(IF(OR(B73="",B73="(BLANK)"),"",SUMIFS('Enter Invoices'!G:G,'Enter Invoices'!D:D,B73,'Enter Invoices'!J:J,"B")),"")</f>
        <v/>
      </c>
      <c r="F73" s="75" t="str">
        <f>IFERROR(IF(OR(B73="",B73="(BLANK)"),"",SUMIFS('Enter Invoices'!G:G,'Enter Invoices'!D:D,B73,'Enter Invoices'!J:J,"C")),"")</f>
        <v/>
      </c>
      <c r="G73" s="46" t="str">
        <f>IFERROR(IF(OR(B73="",B73="(BLANK)"),"",SUMIFS('Enter Invoices'!G:G,'Enter Invoices'!D:D,B73,'Enter Invoices'!J:J,"D")),"")</f>
        <v/>
      </c>
      <c r="H73" s="47" t="str">
        <f t="shared" si="3"/>
        <v/>
      </c>
    </row>
    <row r="74" spans="3:8" s="43" customFormat="1" ht="15" customHeight="1" x14ac:dyDescent="0.25">
      <c r="C74" s="75" t="str">
        <f>IFERROR(VLOOKUP(B74,'Open Invoices'!C:F,4,0),"")</f>
        <v/>
      </c>
      <c r="D74" s="75" t="str">
        <f>IFERROR(IF(OR(B74="",B74="(BLANK)"),"",SUMIFS('Enter Invoices'!G:G,'Enter Invoices'!D:D,B74,'Enter Invoices'!J:J,"A")),"")</f>
        <v/>
      </c>
      <c r="E74" s="75" t="str">
        <f>IFERROR(IF(OR(B74="",B74="(BLANK)"),"",SUMIFS('Enter Invoices'!G:G,'Enter Invoices'!D:D,B74,'Enter Invoices'!J:J,"B")),"")</f>
        <v/>
      </c>
      <c r="F74" s="75" t="str">
        <f>IFERROR(IF(OR(B74="",B74="(BLANK)"),"",SUMIFS('Enter Invoices'!G:G,'Enter Invoices'!D:D,B74,'Enter Invoices'!J:J,"C")),"")</f>
        <v/>
      </c>
      <c r="G74" s="46" t="str">
        <f>IFERROR(IF(OR(B74="",B74="(BLANK)"),"",SUMIFS('Enter Invoices'!G:G,'Enter Invoices'!D:D,B74,'Enter Invoices'!J:J,"D")),"")</f>
        <v/>
      </c>
      <c r="H74" s="47" t="str">
        <f t="shared" si="3"/>
        <v/>
      </c>
    </row>
    <row r="75" spans="3:8" s="43" customFormat="1" ht="15" customHeight="1" x14ac:dyDescent="0.25">
      <c r="C75" s="75" t="str">
        <f>IFERROR(VLOOKUP(B75,'Open Invoices'!C:F,4,0),"")</f>
        <v/>
      </c>
      <c r="D75" s="75" t="str">
        <f>IFERROR(IF(OR(B75="",B75="(BLANK)"),"",SUMIFS('Enter Invoices'!G:G,'Enter Invoices'!D:D,B75,'Enter Invoices'!J:J,"A")),"")</f>
        <v/>
      </c>
      <c r="E75" s="75" t="str">
        <f>IFERROR(IF(OR(B75="",B75="(BLANK)"),"",SUMIFS('Enter Invoices'!G:G,'Enter Invoices'!D:D,B75,'Enter Invoices'!J:J,"B")),"")</f>
        <v/>
      </c>
      <c r="F75" s="75" t="str">
        <f>IFERROR(IF(OR(B75="",B75="(BLANK)"),"",SUMIFS('Enter Invoices'!G:G,'Enter Invoices'!D:D,B75,'Enter Invoices'!J:J,"C")),"")</f>
        <v/>
      </c>
      <c r="G75" s="46" t="str">
        <f>IFERROR(IF(OR(B75="",B75="(BLANK)"),"",SUMIFS('Enter Invoices'!G:G,'Enter Invoices'!D:D,B75,'Enter Invoices'!J:J,"D")),"")</f>
        <v/>
      </c>
      <c r="H75" s="47" t="str">
        <f t="shared" si="3"/>
        <v/>
      </c>
    </row>
    <row r="76" spans="3:8" s="43" customFormat="1" ht="15" customHeight="1" x14ac:dyDescent="0.25">
      <c r="C76" s="75" t="str">
        <f>IFERROR(VLOOKUP(B76,'Open Invoices'!C:F,4,0),"")</f>
        <v/>
      </c>
      <c r="D76" s="75" t="str">
        <f>IFERROR(IF(OR(B76="",B76="(BLANK)"),"",SUMIFS('Enter Invoices'!G:G,'Enter Invoices'!D:D,B76,'Enter Invoices'!J:J,"A")),"")</f>
        <v/>
      </c>
      <c r="E76" s="75" t="str">
        <f>IFERROR(IF(OR(B76="",B76="(BLANK)"),"",SUMIFS('Enter Invoices'!G:G,'Enter Invoices'!D:D,B76,'Enter Invoices'!J:J,"B")),"")</f>
        <v/>
      </c>
      <c r="F76" s="75" t="str">
        <f>IFERROR(IF(OR(B76="",B76="(BLANK)"),"",SUMIFS('Enter Invoices'!G:G,'Enter Invoices'!D:D,B76,'Enter Invoices'!J:J,"C")),"")</f>
        <v/>
      </c>
      <c r="G76" s="46" t="str">
        <f>IFERROR(IF(OR(B76="",B76="(BLANK)"),"",SUMIFS('Enter Invoices'!G:G,'Enter Invoices'!D:D,B76,'Enter Invoices'!J:J,"D")),"")</f>
        <v/>
      </c>
      <c r="H76" s="47" t="str">
        <f t="shared" si="3"/>
        <v/>
      </c>
    </row>
    <row r="77" spans="3:8" s="43" customFormat="1" ht="15" customHeight="1" x14ac:dyDescent="0.25">
      <c r="C77" s="75" t="str">
        <f>IFERROR(VLOOKUP(B77,'Open Invoices'!C:F,4,0),"")</f>
        <v/>
      </c>
      <c r="D77" s="75" t="str">
        <f>IFERROR(IF(OR(B77="",B77="(BLANK)"),"",SUMIFS('Enter Invoices'!G:G,'Enter Invoices'!D:D,B77,'Enter Invoices'!J:J,"A")),"")</f>
        <v/>
      </c>
      <c r="E77" s="75" t="str">
        <f>IFERROR(IF(OR(B77="",B77="(BLANK)"),"",SUMIFS('Enter Invoices'!G:G,'Enter Invoices'!D:D,B77,'Enter Invoices'!J:J,"B")),"")</f>
        <v/>
      </c>
      <c r="F77" s="75" t="str">
        <f>IFERROR(IF(OR(B77="",B77="(BLANK)"),"",SUMIFS('Enter Invoices'!G:G,'Enter Invoices'!D:D,B77,'Enter Invoices'!J:J,"C")),"")</f>
        <v/>
      </c>
      <c r="G77" s="46" t="str">
        <f>IFERROR(IF(OR(B77="",B77="(BLANK)"),"",SUMIFS('Enter Invoices'!G:G,'Enter Invoices'!D:D,B77,'Enter Invoices'!J:J,"D")),"")</f>
        <v/>
      </c>
      <c r="H77" s="47" t="str">
        <f t="shared" si="3"/>
        <v/>
      </c>
    </row>
    <row r="78" spans="3:8" s="43" customFormat="1" ht="15" customHeight="1" x14ac:dyDescent="0.25">
      <c r="C78" s="75" t="str">
        <f>IFERROR(VLOOKUP(B78,'Open Invoices'!C:F,4,0),"")</f>
        <v/>
      </c>
      <c r="D78" s="75" t="str">
        <f>IFERROR(IF(OR(B78="",B78="(BLANK)"),"",SUMIFS('Enter Invoices'!G:G,'Enter Invoices'!D:D,B78,'Enter Invoices'!J:J,"A")),"")</f>
        <v/>
      </c>
      <c r="E78" s="75" t="str">
        <f>IFERROR(IF(OR(B78="",B78="(BLANK)"),"",SUMIFS('Enter Invoices'!G:G,'Enter Invoices'!D:D,B78,'Enter Invoices'!J:J,"B")),"")</f>
        <v/>
      </c>
      <c r="F78" s="75" t="str">
        <f>IFERROR(IF(OR(B78="",B78="(BLANK)"),"",SUMIFS('Enter Invoices'!G:G,'Enter Invoices'!D:D,B78,'Enter Invoices'!J:J,"C")),"")</f>
        <v/>
      </c>
      <c r="G78" s="46" t="str">
        <f>IFERROR(IF(OR(B78="",B78="(BLANK)"),"",SUMIFS('Enter Invoices'!G:G,'Enter Invoices'!D:D,B78,'Enter Invoices'!J:J,"D")),"")</f>
        <v/>
      </c>
      <c r="H78" s="47" t="str">
        <f t="shared" si="3"/>
        <v/>
      </c>
    </row>
    <row r="79" spans="3:8" s="43" customFormat="1" ht="15" customHeight="1" x14ac:dyDescent="0.25">
      <c r="C79" s="75" t="str">
        <f>IFERROR(VLOOKUP(B79,'Open Invoices'!C:F,4,0),"")</f>
        <v/>
      </c>
      <c r="D79" s="75" t="str">
        <f>IFERROR(IF(OR(B79="",B79="(BLANK)"),"",SUMIFS('Enter Invoices'!G:G,'Enter Invoices'!D:D,B79,'Enter Invoices'!J:J,"A")),"")</f>
        <v/>
      </c>
      <c r="E79" s="75" t="str">
        <f>IFERROR(IF(OR(B79="",B79="(BLANK)"),"",SUMIFS('Enter Invoices'!G:G,'Enter Invoices'!D:D,B79,'Enter Invoices'!J:J,"B")),"")</f>
        <v/>
      </c>
      <c r="F79" s="75" t="str">
        <f>IFERROR(IF(OR(B79="",B79="(BLANK)"),"",SUMIFS('Enter Invoices'!G:G,'Enter Invoices'!D:D,B79,'Enter Invoices'!J:J,"C")),"")</f>
        <v/>
      </c>
      <c r="G79" s="46" t="str">
        <f>IFERROR(IF(OR(B79="",B79="(BLANK)"),"",SUMIFS('Enter Invoices'!G:G,'Enter Invoices'!D:D,B79,'Enter Invoices'!J:J,"D")),"")</f>
        <v/>
      </c>
      <c r="H79" s="47" t="str">
        <f t="shared" si="3"/>
        <v/>
      </c>
    </row>
    <row r="80" spans="3:8" s="43" customFormat="1" ht="15" customHeight="1" x14ac:dyDescent="0.25">
      <c r="C80" s="75" t="str">
        <f>IFERROR(VLOOKUP(B80,'Open Invoices'!C:F,4,0),"")</f>
        <v/>
      </c>
      <c r="D80" s="75" t="str">
        <f>IFERROR(IF(OR(B80="",B80="(BLANK)"),"",SUMIFS('Enter Invoices'!G:G,'Enter Invoices'!D:D,B80,'Enter Invoices'!J:J,"A")),"")</f>
        <v/>
      </c>
      <c r="E80" s="75" t="str">
        <f>IFERROR(IF(OR(B80="",B80="(BLANK)"),"",SUMIFS('Enter Invoices'!G:G,'Enter Invoices'!D:D,B80,'Enter Invoices'!J:J,"B")),"")</f>
        <v/>
      </c>
      <c r="F80" s="75" t="str">
        <f>IFERROR(IF(OR(B80="",B80="(BLANK)"),"",SUMIFS('Enter Invoices'!G:G,'Enter Invoices'!D:D,B80,'Enter Invoices'!J:J,"C")),"")</f>
        <v/>
      </c>
      <c r="G80" s="46" t="str">
        <f>IFERROR(IF(OR(B80="",B80="(BLANK)"),"",SUMIFS('Enter Invoices'!G:G,'Enter Invoices'!D:D,B80,'Enter Invoices'!J:J,"D")),"")</f>
        <v/>
      </c>
      <c r="H80" s="47" t="str">
        <f t="shared" si="3"/>
        <v/>
      </c>
    </row>
    <row r="81" spans="3:8" s="43" customFormat="1" ht="15" customHeight="1" x14ac:dyDescent="0.25">
      <c r="C81" s="75" t="str">
        <f>IFERROR(VLOOKUP(B81,'Open Invoices'!C:F,4,0),"")</f>
        <v/>
      </c>
      <c r="D81" s="75" t="str">
        <f>IFERROR(IF(OR(B81="",B81="(BLANK)"),"",SUMIFS('Enter Invoices'!G:G,'Enter Invoices'!D:D,B81,'Enter Invoices'!J:J,"A")),"")</f>
        <v/>
      </c>
      <c r="E81" s="75" t="str">
        <f>IFERROR(IF(OR(B81="",B81="(BLANK)"),"",SUMIFS('Enter Invoices'!G:G,'Enter Invoices'!D:D,B81,'Enter Invoices'!J:J,"B")),"")</f>
        <v/>
      </c>
      <c r="F81" s="75" t="str">
        <f>IFERROR(IF(OR(B81="",B81="(BLANK)"),"",SUMIFS('Enter Invoices'!G:G,'Enter Invoices'!D:D,B81,'Enter Invoices'!J:J,"C")),"")</f>
        <v/>
      </c>
      <c r="G81" s="46" t="str">
        <f>IFERROR(IF(OR(B81="",B81="(BLANK)"),"",SUMIFS('Enter Invoices'!G:G,'Enter Invoices'!D:D,B81,'Enter Invoices'!J:J,"D")),"")</f>
        <v/>
      </c>
      <c r="H81" s="47" t="str">
        <f t="shared" si="3"/>
        <v/>
      </c>
    </row>
    <row r="82" spans="3:8" s="43" customFormat="1" ht="15" customHeight="1" x14ac:dyDescent="0.25">
      <c r="C82" s="75" t="str">
        <f>IFERROR(VLOOKUP(B82,'Open Invoices'!C:F,4,0),"")</f>
        <v/>
      </c>
      <c r="D82" s="75" t="str">
        <f>IFERROR(IF(OR(B82="",B82="(BLANK)"),"",SUMIFS('Enter Invoices'!G:G,'Enter Invoices'!D:D,B82,'Enter Invoices'!J:J,"A")),"")</f>
        <v/>
      </c>
      <c r="E82" s="75" t="str">
        <f>IFERROR(IF(OR(B82="",B82="(BLANK)"),"",SUMIFS('Enter Invoices'!G:G,'Enter Invoices'!D:D,B82,'Enter Invoices'!J:J,"B")),"")</f>
        <v/>
      </c>
      <c r="F82" s="75" t="str">
        <f>IFERROR(IF(OR(B82="",B82="(BLANK)"),"",SUMIFS('Enter Invoices'!G:G,'Enter Invoices'!D:D,B82,'Enter Invoices'!J:J,"C")),"")</f>
        <v/>
      </c>
      <c r="G82" s="46" t="str">
        <f>IFERROR(IF(OR(B82="",B82="(BLANK)"),"",SUMIFS('Enter Invoices'!G:G,'Enter Invoices'!D:D,B82,'Enter Invoices'!J:J,"D")),"")</f>
        <v/>
      </c>
      <c r="H82" s="47" t="str">
        <f t="shared" si="3"/>
        <v/>
      </c>
    </row>
    <row r="83" spans="3:8" s="43" customFormat="1" ht="15" customHeight="1" x14ac:dyDescent="0.25">
      <c r="C83" s="75" t="str">
        <f>IFERROR(VLOOKUP(B83,'Open Invoices'!C:F,4,0),"")</f>
        <v/>
      </c>
      <c r="D83" s="75" t="str">
        <f>IFERROR(IF(OR(B83="",B83="(BLANK)"),"",SUMIFS('Enter Invoices'!G:G,'Enter Invoices'!D:D,B83,'Enter Invoices'!J:J,"A")),"")</f>
        <v/>
      </c>
      <c r="E83" s="75" t="str">
        <f>IFERROR(IF(OR(B83="",B83="(BLANK)"),"",SUMIFS('Enter Invoices'!G:G,'Enter Invoices'!D:D,B83,'Enter Invoices'!J:J,"B")),"")</f>
        <v/>
      </c>
      <c r="F83" s="75" t="str">
        <f>IFERROR(IF(OR(B83="",B83="(BLANK)"),"",SUMIFS('Enter Invoices'!G:G,'Enter Invoices'!D:D,B83,'Enter Invoices'!J:J,"C")),"")</f>
        <v/>
      </c>
      <c r="G83" s="46" t="str">
        <f>IFERROR(IF(OR(B83="",B83="(BLANK)"),"",SUMIFS('Enter Invoices'!G:G,'Enter Invoices'!D:D,B83,'Enter Invoices'!J:J,"D")),"")</f>
        <v/>
      </c>
      <c r="H83" s="47" t="str">
        <f t="shared" si="3"/>
        <v/>
      </c>
    </row>
    <row r="84" spans="3:8" s="43" customFormat="1" ht="15" customHeight="1" x14ac:dyDescent="0.25">
      <c r="C84" s="75" t="str">
        <f>IFERROR(VLOOKUP(B84,'Open Invoices'!C:F,4,0),"")</f>
        <v/>
      </c>
      <c r="D84" s="75" t="str">
        <f>IFERROR(IF(OR(B84="",B84="(BLANK)"),"",SUMIFS('Enter Invoices'!G:G,'Enter Invoices'!D:D,B84,'Enter Invoices'!J:J,"A")),"")</f>
        <v/>
      </c>
      <c r="E84" s="75" t="str">
        <f>IFERROR(IF(OR(B84="",B84="(BLANK)"),"",SUMIFS('Enter Invoices'!G:G,'Enter Invoices'!D:D,B84,'Enter Invoices'!J:J,"B")),"")</f>
        <v/>
      </c>
      <c r="F84" s="75" t="str">
        <f>IFERROR(IF(OR(B84="",B84="(BLANK)"),"",SUMIFS('Enter Invoices'!G:G,'Enter Invoices'!D:D,B84,'Enter Invoices'!J:J,"C")),"")</f>
        <v/>
      </c>
      <c r="G84" s="46" t="str">
        <f>IFERROR(IF(OR(B84="",B84="(BLANK)"),"",SUMIFS('Enter Invoices'!G:G,'Enter Invoices'!D:D,B84,'Enter Invoices'!J:J,"D")),"")</f>
        <v/>
      </c>
      <c r="H84" s="47" t="str">
        <f t="shared" si="3"/>
        <v/>
      </c>
    </row>
    <row r="85" spans="3:8" s="43" customFormat="1" ht="15" customHeight="1" x14ac:dyDescent="0.25">
      <c r="C85" s="75" t="str">
        <f>IFERROR(VLOOKUP(B85,'Open Invoices'!C:F,4,0),"")</f>
        <v/>
      </c>
      <c r="D85" s="75" t="str">
        <f>IFERROR(IF(OR(B85="",B85="(BLANK)"),"",SUMIFS('Enter Invoices'!G:G,'Enter Invoices'!D:D,B85,'Enter Invoices'!J:J,"A")),"")</f>
        <v/>
      </c>
      <c r="E85" s="75" t="str">
        <f>IFERROR(IF(OR(B85="",B85="(BLANK)"),"",SUMIFS('Enter Invoices'!G:G,'Enter Invoices'!D:D,B85,'Enter Invoices'!J:J,"B")),"")</f>
        <v/>
      </c>
      <c r="F85" s="75" t="str">
        <f>IFERROR(IF(OR(B85="",B85="(BLANK)"),"",SUMIFS('Enter Invoices'!G:G,'Enter Invoices'!D:D,B85,'Enter Invoices'!J:J,"C")),"")</f>
        <v/>
      </c>
      <c r="G85" s="46" t="str">
        <f>IFERROR(IF(OR(B85="",B85="(BLANK)"),"",SUMIFS('Enter Invoices'!G:G,'Enter Invoices'!D:D,B85,'Enter Invoices'!J:J,"D")),"")</f>
        <v/>
      </c>
      <c r="H85" s="47" t="str">
        <f t="shared" si="3"/>
        <v/>
      </c>
    </row>
    <row r="86" spans="3:8" s="43" customFormat="1" ht="15" customHeight="1" x14ac:dyDescent="0.25">
      <c r="C86" s="75" t="str">
        <f>IFERROR(VLOOKUP(B86,'Open Invoices'!C:F,4,0),"")</f>
        <v/>
      </c>
      <c r="D86" s="75" t="str">
        <f>IFERROR(IF(OR(B86="",B86="(BLANK)"),"",SUMIFS('Enter Invoices'!G:G,'Enter Invoices'!D:D,B86,'Enter Invoices'!J:J,"A")),"")</f>
        <v/>
      </c>
      <c r="E86" s="75" t="str">
        <f>IFERROR(IF(OR(B86="",B86="(BLANK)"),"",SUMIFS('Enter Invoices'!G:G,'Enter Invoices'!D:D,B86,'Enter Invoices'!J:J,"B")),"")</f>
        <v/>
      </c>
      <c r="F86" s="75" t="str">
        <f>IFERROR(IF(OR(B86="",B86="(BLANK)"),"",SUMIFS('Enter Invoices'!G:G,'Enter Invoices'!D:D,B86,'Enter Invoices'!J:J,"C")),"")</f>
        <v/>
      </c>
      <c r="G86" s="46" t="str">
        <f>IFERROR(IF(OR(B86="",B86="(BLANK)"),"",SUMIFS('Enter Invoices'!G:G,'Enter Invoices'!D:D,B86,'Enter Invoices'!J:J,"D")),"")</f>
        <v/>
      </c>
      <c r="H86" s="47" t="str">
        <f t="shared" si="3"/>
        <v/>
      </c>
    </row>
    <row r="87" spans="3:8" s="43" customFormat="1" ht="15" customHeight="1" x14ac:dyDescent="0.25">
      <c r="C87" s="75" t="str">
        <f>IFERROR(VLOOKUP(B87,'Open Invoices'!C:F,4,0),"")</f>
        <v/>
      </c>
      <c r="D87" s="75" t="str">
        <f>IFERROR(IF(OR(B87="",B87="(BLANK)"),"",SUMIFS('Enter Invoices'!G:G,'Enter Invoices'!D:D,B87,'Enter Invoices'!J:J,"A")),"")</f>
        <v/>
      </c>
      <c r="E87" s="75" t="str">
        <f>IFERROR(IF(OR(B87="",B87="(BLANK)"),"",SUMIFS('Enter Invoices'!G:G,'Enter Invoices'!D:D,B87,'Enter Invoices'!J:J,"B")),"")</f>
        <v/>
      </c>
      <c r="F87" s="75" t="str">
        <f>IFERROR(IF(OR(B87="",B87="(BLANK)"),"",SUMIFS('Enter Invoices'!G:G,'Enter Invoices'!D:D,B87,'Enter Invoices'!J:J,"C")),"")</f>
        <v/>
      </c>
      <c r="G87" s="46" t="str">
        <f>IFERROR(IF(OR(B87="",B87="(BLANK)"),"",SUMIFS('Enter Invoices'!G:G,'Enter Invoices'!D:D,B87,'Enter Invoices'!J:J,"D")),"")</f>
        <v/>
      </c>
      <c r="H87" s="47" t="str">
        <f t="shared" si="3"/>
        <v/>
      </c>
    </row>
    <row r="88" spans="3:8" s="43" customFormat="1" ht="15" customHeight="1" x14ac:dyDescent="0.25">
      <c r="C88" s="75" t="str">
        <f>IFERROR(VLOOKUP(B88,'Open Invoices'!C:F,4,0),"")</f>
        <v/>
      </c>
      <c r="D88" s="75" t="str">
        <f>IFERROR(IF(OR(B88="",B88="(BLANK)"),"",SUMIFS('Enter Invoices'!G:G,'Enter Invoices'!D:D,B88,'Enter Invoices'!J:J,"A")),"")</f>
        <v/>
      </c>
      <c r="E88" s="75" t="str">
        <f>IFERROR(IF(OR(B88="",B88="(BLANK)"),"",SUMIFS('Enter Invoices'!G:G,'Enter Invoices'!D:D,B88,'Enter Invoices'!J:J,"B")),"")</f>
        <v/>
      </c>
      <c r="F88" s="75" t="str">
        <f>IFERROR(IF(OR(B88="",B88="(BLANK)"),"",SUMIFS('Enter Invoices'!G:G,'Enter Invoices'!D:D,B88,'Enter Invoices'!J:J,"C")),"")</f>
        <v/>
      </c>
      <c r="G88" s="46" t="str">
        <f>IFERROR(IF(OR(B88="",B88="(BLANK)"),"",SUMIFS('Enter Invoices'!G:G,'Enter Invoices'!D:D,B88,'Enter Invoices'!J:J,"D")),"")</f>
        <v/>
      </c>
      <c r="H88" s="47" t="str">
        <f t="shared" si="3"/>
        <v/>
      </c>
    </row>
    <row r="89" spans="3:8" s="43" customFormat="1" ht="15" customHeight="1" x14ac:dyDescent="0.25">
      <c r="C89" s="75" t="str">
        <f>IFERROR(VLOOKUP(B89,'Open Invoices'!C:F,4,0),"")</f>
        <v/>
      </c>
      <c r="D89" s="75" t="str">
        <f>IFERROR(IF(OR(B89="",B89="(BLANK)"),"",SUMIFS('Enter Invoices'!G:G,'Enter Invoices'!D:D,B89,'Enter Invoices'!J:J,"A")),"")</f>
        <v/>
      </c>
      <c r="E89" s="75" t="str">
        <f>IFERROR(IF(OR(B89="",B89="(BLANK)"),"",SUMIFS('Enter Invoices'!G:G,'Enter Invoices'!D:D,B89,'Enter Invoices'!J:J,"B")),"")</f>
        <v/>
      </c>
      <c r="F89" s="75" t="str">
        <f>IFERROR(IF(OR(B89="",B89="(BLANK)"),"",SUMIFS('Enter Invoices'!G:G,'Enter Invoices'!D:D,B89,'Enter Invoices'!J:J,"C")),"")</f>
        <v/>
      </c>
      <c r="G89" s="46" t="str">
        <f>IFERROR(IF(OR(B89="",B89="(BLANK)"),"",SUMIFS('Enter Invoices'!G:G,'Enter Invoices'!D:D,B89,'Enter Invoices'!J:J,"D")),"")</f>
        <v/>
      </c>
      <c r="H89" s="47" t="str">
        <f t="shared" si="3"/>
        <v/>
      </c>
    </row>
    <row r="90" spans="3:8" s="43" customFormat="1" ht="15" customHeight="1" x14ac:dyDescent="0.25">
      <c r="C90" s="75" t="str">
        <f>IFERROR(VLOOKUP(B90,'Open Invoices'!C:F,4,0),"")</f>
        <v/>
      </c>
      <c r="D90" s="75" t="str">
        <f>IFERROR(IF(OR(B90="",B90="(BLANK)"),"",SUMIFS('Enter Invoices'!G:G,'Enter Invoices'!D:D,B90,'Enter Invoices'!J:J,"A")),"")</f>
        <v/>
      </c>
      <c r="E90" s="75" t="str">
        <f>IFERROR(IF(OR(B90="",B90="(BLANK)"),"",SUMIFS('Enter Invoices'!G:G,'Enter Invoices'!D:D,B90,'Enter Invoices'!J:J,"B")),"")</f>
        <v/>
      </c>
      <c r="F90" s="75" t="str">
        <f>IFERROR(IF(OR(B90="",B90="(BLANK)"),"",SUMIFS('Enter Invoices'!G:G,'Enter Invoices'!D:D,B90,'Enter Invoices'!J:J,"C")),"")</f>
        <v/>
      </c>
      <c r="G90" s="46" t="str">
        <f>IFERROR(IF(OR(B90="",B90="(BLANK)"),"",SUMIFS('Enter Invoices'!G:G,'Enter Invoices'!D:D,B90,'Enter Invoices'!J:J,"D")),"")</f>
        <v/>
      </c>
      <c r="H90" s="47" t="str">
        <f t="shared" si="3"/>
        <v/>
      </c>
    </row>
    <row r="91" spans="3:8" s="43" customFormat="1" ht="15" customHeight="1" x14ac:dyDescent="0.25">
      <c r="C91" s="75" t="str">
        <f>IFERROR(VLOOKUP(B91,'Open Invoices'!C:F,4,0),"")</f>
        <v/>
      </c>
      <c r="D91" s="75" t="str">
        <f>IFERROR(IF(OR(B91="",B91="(BLANK)"),"",SUMIFS('Enter Invoices'!G:G,'Enter Invoices'!D:D,B91,'Enter Invoices'!J:J,"A")),"")</f>
        <v/>
      </c>
      <c r="E91" s="75" t="str">
        <f>IFERROR(IF(OR(B91="",B91="(BLANK)"),"",SUMIFS('Enter Invoices'!G:G,'Enter Invoices'!D:D,B91,'Enter Invoices'!J:J,"B")),"")</f>
        <v/>
      </c>
      <c r="F91" s="75" t="str">
        <f>IFERROR(IF(OR(B91="",B91="(BLANK)"),"",SUMIFS('Enter Invoices'!G:G,'Enter Invoices'!D:D,B91,'Enter Invoices'!J:J,"C")),"")</f>
        <v/>
      </c>
      <c r="G91" s="46" t="str">
        <f>IFERROR(IF(OR(B91="",B91="(BLANK)"),"",SUMIFS('Enter Invoices'!G:G,'Enter Invoices'!D:D,B91,'Enter Invoices'!J:J,"D")),"")</f>
        <v/>
      </c>
      <c r="H91" s="47" t="str">
        <f t="shared" si="3"/>
        <v/>
      </c>
    </row>
    <row r="92" spans="3:8" s="43" customFormat="1" ht="15" customHeight="1" x14ac:dyDescent="0.25">
      <c r="C92" s="75" t="str">
        <f>IFERROR(VLOOKUP(B92,'Open Invoices'!C:F,4,0),"")</f>
        <v/>
      </c>
      <c r="D92" s="75" t="str">
        <f>IFERROR(IF(OR(B92="",B92="(BLANK)"),"",SUMIFS('Enter Invoices'!G:G,'Enter Invoices'!D:D,B92,'Enter Invoices'!J:J,"A")),"")</f>
        <v/>
      </c>
      <c r="E92" s="75" t="str">
        <f>IFERROR(IF(OR(B92="",B92="(BLANK)"),"",SUMIFS('Enter Invoices'!G:G,'Enter Invoices'!D:D,B92,'Enter Invoices'!J:J,"B")),"")</f>
        <v/>
      </c>
      <c r="F92" s="75" t="str">
        <f>IFERROR(IF(OR(B92="",B92="(BLANK)"),"",SUMIFS('Enter Invoices'!G:G,'Enter Invoices'!D:D,B92,'Enter Invoices'!J:J,"C")),"")</f>
        <v/>
      </c>
      <c r="G92" s="46" t="str">
        <f>IFERROR(IF(OR(B92="",B92="(BLANK)"),"",SUMIFS('Enter Invoices'!G:G,'Enter Invoices'!D:D,B92,'Enter Invoices'!J:J,"D")),"")</f>
        <v/>
      </c>
      <c r="H92" s="47" t="str">
        <f t="shared" si="3"/>
        <v/>
      </c>
    </row>
    <row r="93" spans="3:8" s="43" customFormat="1" ht="15" customHeight="1" x14ac:dyDescent="0.25">
      <c r="C93" s="75" t="str">
        <f>IFERROR(VLOOKUP(B93,'Open Invoices'!C:F,4,0),"")</f>
        <v/>
      </c>
      <c r="D93" s="75" t="str">
        <f>IFERROR(IF(OR(B93="",B93="(BLANK)"),"",SUMIFS('Enter Invoices'!G:G,'Enter Invoices'!D:D,B93,'Enter Invoices'!J:J,"A")),"")</f>
        <v/>
      </c>
      <c r="E93" s="75" t="str">
        <f>IFERROR(IF(OR(B93="",B93="(BLANK)"),"",SUMIFS('Enter Invoices'!G:G,'Enter Invoices'!D:D,B93,'Enter Invoices'!J:J,"B")),"")</f>
        <v/>
      </c>
      <c r="F93" s="75" t="str">
        <f>IFERROR(IF(OR(B93="",B93="(BLANK)"),"",SUMIFS('Enter Invoices'!G:G,'Enter Invoices'!D:D,B93,'Enter Invoices'!J:J,"C")),"")</f>
        <v/>
      </c>
      <c r="G93" s="46" t="str">
        <f>IFERROR(IF(OR(B93="",B93="(BLANK)"),"",SUMIFS('Enter Invoices'!G:G,'Enter Invoices'!D:D,B93,'Enter Invoices'!J:J,"D")),"")</f>
        <v/>
      </c>
      <c r="H93" s="47" t="str">
        <f t="shared" si="3"/>
        <v/>
      </c>
    </row>
    <row r="94" spans="3:8" s="43" customFormat="1" ht="15" customHeight="1" x14ac:dyDescent="0.25">
      <c r="C94" s="75" t="str">
        <f>IFERROR(VLOOKUP(B94,'Open Invoices'!C:F,4,0),"")</f>
        <v/>
      </c>
      <c r="D94" s="75" t="str">
        <f>IFERROR(IF(OR(B94="",B94="(BLANK)"),"",SUMIFS('Enter Invoices'!G:G,'Enter Invoices'!D:D,B94,'Enter Invoices'!J:J,"A")),"")</f>
        <v/>
      </c>
      <c r="E94" s="75" t="str">
        <f>IFERROR(IF(OR(B94="",B94="(BLANK)"),"",SUMIFS('Enter Invoices'!G:G,'Enter Invoices'!D:D,B94,'Enter Invoices'!J:J,"B")),"")</f>
        <v/>
      </c>
      <c r="F94" s="75" t="str">
        <f>IFERROR(IF(OR(B94="",B94="(BLANK)"),"",SUMIFS('Enter Invoices'!G:G,'Enter Invoices'!D:D,B94,'Enter Invoices'!J:J,"C")),"")</f>
        <v/>
      </c>
      <c r="G94" s="46" t="str">
        <f>IFERROR(IF(OR(B94="",B94="(BLANK)"),"",SUMIFS('Enter Invoices'!G:G,'Enter Invoices'!D:D,B94,'Enter Invoices'!J:J,"D")),"")</f>
        <v/>
      </c>
      <c r="H94" s="47" t="str">
        <f t="shared" si="3"/>
        <v/>
      </c>
    </row>
    <row r="95" spans="3:8" s="43" customFormat="1" ht="15" customHeight="1" x14ac:dyDescent="0.25">
      <c r="C95" s="75" t="str">
        <f>IFERROR(VLOOKUP(B95,'Open Invoices'!C:F,4,0),"")</f>
        <v/>
      </c>
      <c r="D95" s="75" t="str">
        <f>IFERROR(IF(OR(B95="",B95="(BLANK)"),"",SUMIFS('Enter Invoices'!G:G,'Enter Invoices'!D:D,B95,'Enter Invoices'!J:J,"A")),"")</f>
        <v/>
      </c>
      <c r="E95" s="75" t="str">
        <f>IFERROR(IF(OR(B95="",B95="(BLANK)"),"",SUMIFS('Enter Invoices'!G:G,'Enter Invoices'!D:D,B95,'Enter Invoices'!J:J,"B")),"")</f>
        <v/>
      </c>
      <c r="F95" s="75" t="str">
        <f>IFERROR(IF(OR(B95="",B95="(BLANK)"),"",SUMIFS('Enter Invoices'!G:G,'Enter Invoices'!D:D,B95,'Enter Invoices'!J:J,"C")),"")</f>
        <v/>
      </c>
      <c r="G95" s="46" t="str">
        <f>IFERROR(IF(OR(B95="",B95="(BLANK)"),"",SUMIFS('Enter Invoices'!G:G,'Enter Invoices'!D:D,B95,'Enter Invoices'!J:J,"D")),"")</f>
        <v/>
      </c>
      <c r="H95" s="47" t="str">
        <f t="shared" si="3"/>
        <v/>
      </c>
    </row>
    <row r="96" spans="3:8" s="43" customFormat="1" ht="15" customHeight="1" x14ac:dyDescent="0.25">
      <c r="C96" s="75" t="str">
        <f>IFERROR(VLOOKUP(B96,'Open Invoices'!C:F,4,0),"")</f>
        <v/>
      </c>
      <c r="D96" s="75" t="str">
        <f>IFERROR(IF(OR(B96="",B96="(BLANK)"),"",SUMIFS('Enter Invoices'!G:G,'Enter Invoices'!D:D,B96,'Enter Invoices'!J:J,"A")),"")</f>
        <v/>
      </c>
      <c r="E96" s="75" t="str">
        <f>IFERROR(IF(OR(B96="",B96="(BLANK)"),"",SUMIFS('Enter Invoices'!G:G,'Enter Invoices'!D:D,B96,'Enter Invoices'!J:J,"B")),"")</f>
        <v/>
      </c>
      <c r="F96" s="75" t="str">
        <f>IFERROR(IF(OR(B96="",B96="(BLANK)"),"",SUMIFS('Enter Invoices'!G:G,'Enter Invoices'!D:D,B96,'Enter Invoices'!J:J,"C")),"")</f>
        <v/>
      </c>
      <c r="G96" s="46" t="str">
        <f>IFERROR(IF(OR(B96="",B96="(BLANK)"),"",SUMIFS('Enter Invoices'!G:G,'Enter Invoices'!D:D,B96,'Enter Invoices'!J:J,"D")),"")</f>
        <v/>
      </c>
      <c r="H96" s="47" t="str">
        <f t="shared" si="3"/>
        <v/>
      </c>
    </row>
    <row r="97" spans="3:8" s="43" customFormat="1" ht="15" customHeight="1" x14ac:dyDescent="0.25">
      <c r="C97" s="75" t="str">
        <f>IFERROR(VLOOKUP(B97,'Open Invoices'!C:F,4,0),"")</f>
        <v/>
      </c>
      <c r="D97" s="75" t="str">
        <f>IFERROR(IF(OR(B97="",B97="(BLANK)"),"",SUMIFS('Enter Invoices'!G:G,'Enter Invoices'!D:D,B97,'Enter Invoices'!J:J,"A")),"")</f>
        <v/>
      </c>
      <c r="E97" s="75" t="str">
        <f>IFERROR(IF(OR(B97="",B97="(BLANK)"),"",SUMIFS('Enter Invoices'!G:G,'Enter Invoices'!D:D,B97,'Enter Invoices'!J:J,"B")),"")</f>
        <v/>
      </c>
      <c r="F97" s="75" t="str">
        <f>IFERROR(IF(OR(B97="",B97="(BLANK)"),"",SUMIFS('Enter Invoices'!G:G,'Enter Invoices'!D:D,B97,'Enter Invoices'!J:J,"C")),"")</f>
        <v/>
      </c>
      <c r="G97" s="46" t="str">
        <f>IFERROR(IF(OR(B97="",B97="(BLANK)"),"",SUMIFS('Enter Invoices'!G:G,'Enter Invoices'!D:D,B97,'Enter Invoices'!J:J,"D")),"")</f>
        <v/>
      </c>
      <c r="H97" s="47" t="str">
        <f t="shared" si="3"/>
        <v/>
      </c>
    </row>
    <row r="98" spans="3:8" s="43" customFormat="1" ht="15" customHeight="1" x14ac:dyDescent="0.25">
      <c r="C98" s="75" t="str">
        <f>IFERROR(VLOOKUP(B98,'Open Invoices'!C:F,4,0),"")</f>
        <v/>
      </c>
      <c r="D98" s="75" t="str">
        <f>IFERROR(IF(OR(B98="",B98="(BLANK)"),"",SUMIFS('Enter Invoices'!G:G,'Enter Invoices'!D:D,B98,'Enter Invoices'!J:J,"A")),"")</f>
        <v/>
      </c>
      <c r="E98" s="75" t="str">
        <f>IFERROR(IF(OR(B98="",B98="(BLANK)"),"",SUMIFS('Enter Invoices'!G:G,'Enter Invoices'!D:D,B98,'Enter Invoices'!J:J,"B")),"")</f>
        <v/>
      </c>
      <c r="F98" s="75" t="str">
        <f>IFERROR(IF(OR(B98="",B98="(BLANK)"),"",SUMIFS('Enter Invoices'!G:G,'Enter Invoices'!D:D,B98,'Enter Invoices'!J:J,"C")),"")</f>
        <v/>
      </c>
      <c r="G98" s="46" t="str">
        <f>IFERROR(IF(OR(B98="",B98="(BLANK)"),"",SUMIFS('Enter Invoices'!G:G,'Enter Invoices'!D:D,B98,'Enter Invoices'!J:J,"D")),"")</f>
        <v/>
      </c>
      <c r="H98" s="47" t="str">
        <f t="shared" si="3"/>
        <v/>
      </c>
    </row>
    <row r="99" spans="3:8" s="43" customFormat="1" ht="15" customHeight="1" x14ac:dyDescent="0.25">
      <c r="C99" s="75" t="str">
        <f>IFERROR(VLOOKUP(B99,'Open Invoices'!C:F,4,0),"")</f>
        <v/>
      </c>
      <c r="D99" s="75" t="str">
        <f>IFERROR(IF(OR(B99="",B99="(BLANK)"),"",SUMIFS('Enter Invoices'!G:G,'Enter Invoices'!D:D,B99,'Enter Invoices'!J:J,"A")),"")</f>
        <v/>
      </c>
      <c r="E99" s="75" t="str">
        <f>IFERROR(IF(OR(B99="",B99="(BLANK)"),"",SUMIFS('Enter Invoices'!G:G,'Enter Invoices'!D:D,B99,'Enter Invoices'!J:J,"B")),"")</f>
        <v/>
      </c>
      <c r="F99" s="75" t="str">
        <f>IFERROR(IF(OR(B99="",B99="(BLANK)"),"",SUMIFS('Enter Invoices'!G:G,'Enter Invoices'!D:D,B99,'Enter Invoices'!J:J,"C")),"")</f>
        <v/>
      </c>
      <c r="G99" s="46" t="str">
        <f>IFERROR(IF(OR(B99="",B99="(BLANK)"),"",SUMIFS('Enter Invoices'!G:G,'Enter Invoices'!D:D,B99,'Enter Invoices'!J:J,"D")),"")</f>
        <v/>
      </c>
      <c r="H99" s="47" t="str">
        <f t="shared" si="3"/>
        <v/>
      </c>
    </row>
    <row r="100" spans="3:8" s="43" customFormat="1" ht="15" customHeight="1" x14ac:dyDescent="0.25">
      <c r="C100" s="75" t="str">
        <f>IFERROR(VLOOKUP(B100,'Open Invoices'!C:F,4,0),"")</f>
        <v/>
      </c>
      <c r="D100" s="75" t="str">
        <f>IFERROR(IF(OR(B100="",B100="(BLANK)"),"",SUMIFS('Enter Invoices'!G:G,'Enter Invoices'!D:D,B100,'Enter Invoices'!J:J,"A")),"")</f>
        <v/>
      </c>
      <c r="E100" s="75" t="str">
        <f>IFERROR(IF(OR(B100="",B100="(BLANK)"),"",SUMIFS('Enter Invoices'!G:G,'Enter Invoices'!D:D,B100,'Enter Invoices'!J:J,"B")),"")</f>
        <v/>
      </c>
      <c r="F100" s="75" t="str">
        <f>IFERROR(IF(OR(B100="",B100="(BLANK)"),"",SUMIFS('Enter Invoices'!G:G,'Enter Invoices'!D:D,B100,'Enter Invoices'!J:J,"C")),"")</f>
        <v/>
      </c>
      <c r="G100" s="46" t="str">
        <f>IFERROR(IF(OR(B100="",B100="(BLANK)"),"",SUMIFS('Enter Invoices'!G:G,'Enter Invoices'!D:D,B100,'Enter Invoices'!J:J,"D")),"")</f>
        <v/>
      </c>
      <c r="H100" s="47" t="str">
        <f t="shared" si="3"/>
        <v/>
      </c>
    </row>
    <row r="101" spans="3:8" s="43" customFormat="1" ht="15" customHeight="1" x14ac:dyDescent="0.25">
      <c r="C101" s="75" t="str">
        <f>IFERROR(VLOOKUP(B101,'Open Invoices'!C:F,4,0),"")</f>
        <v/>
      </c>
      <c r="D101" s="75" t="str">
        <f>IFERROR(IF(OR(B101="",B101="(BLANK)"),"",SUMIFS('Enter Invoices'!G:G,'Enter Invoices'!D:D,B101,'Enter Invoices'!J:J,"A")),"")</f>
        <v/>
      </c>
      <c r="E101" s="75" t="str">
        <f>IFERROR(IF(OR(B101="",B101="(BLANK)"),"",SUMIFS('Enter Invoices'!G:G,'Enter Invoices'!D:D,B101,'Enter Invoices'!J:J,"B")),"")</f>
        <v/>
      </c>
      <c r="F101" s="75" t="str">
        <f>IFERROR(IF(OR(B101="",B101="(BLANK)"),"",SUMIFS('Enter Invoices'!G:G,'Enter Invoices'!D:D,B101,'Enter Invoices'!J:J,"C")),"")</f>
        <v/>
      </c>
      <c r="G101" s="46" t="str">
        <f>IFERROR(IF(OR(B101="",B101="(BLANK)"),"",SUMIFS('Enter Invoices'!G:G,'Enter Invoices'!D:D,B101,'Enter Invoices'!J:J,"D")),"")</f>
        <v/>
      </c>
      <c r="H101" s="47" t="str">
        <f t="shared" si="3"/>
        <v/>
      </c>
    </row>
    <row r="102" spans="3:8" s="43" customFormat="1" ht="15" customHeight="1" x14ac:dyDescent="0.25">
      <c r="C102" s="75" t="str">
        <f>IFERROR(VLOOKUP(B102,'Open Invoices'!C:F,4,0),"")</f>
        <v/>
      </c>
      <c r="D102" s="75" t="str">
        <f>IFERROR(IF(OR(B102="",B102="(BLANK)"),"",SUMIFS('Enter Invoices'!G:G,'Enter Invoices'!D:D,B102,'Enter Invoices'!J:J,"A")),"")</f>
        <v/>
      </c>
      <c r="E102" s="75" t="str">
        <f>IFERROR(IF(OR(B102="",B102="(BLANK)"),"",SUMIFS('Enter Invoices'!G:G,'Enter Invoices'!D:D,B102,'Enter Invoices'!J:J,"B")),"")</f>
        <v/>
      </c>
      <c r="F102" s="75" t="str">
        <f>IFERROR(IF(OR(B102="",B102="(BLANK)"),"",SUMIFS('Enter Invoices'!G:G,'Enter Invoices'!D:D,B102,'Enter Invoices'!J:J,"C")),"")</f>
        <v/>
      </c>
      <c r="G102" s="46" t="str">
        <f>IFERROR(IF(OR(B102="",B102="(BLANK)"),"",SUMIFS('Enter Invoices'!G:G,'Enter Invoices'!D:D,B102,'Enter Invoices'!J:J,"D")),"")</f>
        <v/>
      </c>
      <c r="H102" s="47" t="str">
        <f t="shared" si="3"/>
        <v/>
      </c>
    </row>
    <row r="103" spans="3:8" s="43" customFormat="1" ht="15" customHeight="1" x14ac:dyDescent="0.25">
      <c r="C103" s="75" t="str">
        <f>IFERROR(VLOOKUP(B103,'Open Invoices'!C:F,4,0),"")</f>
        <v/>
      </c>
      <c r="D103" s="75" t="str">
        <f>IFERROR(IF(OR(B103="",B103="(BLANK)"),"",SUMIFS('Enter Invoices'!G:G,'Enter Invoices'!D:D,B103,'Enter Invoices'!J:J,"A")),"")</f>
        <v/>
      </c>
      <c r="E103" s="75" t="str">
        <f>IFERROR(IF(OR(B103="",B103="(BLANK)"),"",SUMIFS('Enter Invoices'!G:G,'Enter Invoices'!D:D,B103,'Enter Invoices'!J:J,"B")),"")</f>
        <v/>
      </c>
      <c r="F103" s="75" t="str">
        <f>IFERROR(IF(OR(B103="",B103="(BLANK)"),"",SUMIFS('Enter Invoices'!G:G,'Enter Invoices'!D:D,B103,'Enter Invoices'!J:J,"C")),"")</f>
        <v/>
      </c>
      <c r="G103" s="46" t="str">
        <f>IFERROR(IF(OR(B103="",B103="(BLANK)"),"",SUMIFS('Enter Invoices'!G:G,'Enter Invoices'!D:D,B103,'Enter Invoices'!J:J,"D")),"")</f>
        <v/>
      </c>
      <c r="H103" s="47" t="str">
        <f t="shared" si="3"/>
        <v/>
      </c>
    </row>
    <row r="104" spans="3:8" s="43" customFormat="1" ht="15" customHeight="1" x14ac:dyDescent="0.25">
      <c r="C104" s="75" t="str">
        <f>IFERROR(VLOOKUP(B104,'Open Invoices'!C:F,4,0),"")</f>
        <v/>
      </c>
      <c r="D104" s="75" t="str">
        <f>IFERROR(IF(OR(B104="",B104="(BLANK)"),"",SUMIFS('Enter Invoices'!G:G,'Enter Invoices'!D:D,B104,'Enter Invoices'!J:J,"A")),"")</f>
        <v/>
      </c>
      <c r="E104" s="75" t="str">
        <f>IFERROR(IF(OR(B104="",B104="(BLANK)"),"",SUMIFS('Enter Invoices'!G:G,'Enter Invoices'!D:D,B104,'Enter Invoices'!J:J,"B")),"")</f>
        <v/>
      </c>
      <c r="F104" s="75" t="str">
        <f>IFERROR(IF(OR(B104="",B104="(BLANK)"),"",SUMIFS('Enter Invoices'!G:G,'Enter Invoices'!D:D,B104,'Enter Invoices'!J:J,"C")),"")</f>
        <v/>
      </c>
      <c r="G104" s="46" t="str">
        <f>IFERROR(IF(OR(B104="",B104="(BLANK)"),"",SUMIFS('Enter Invoices'!G:G,'Enter Invoices'!D:D,B104,'Enter Invoices'!J:J,"D")),"")</f>
        <v/>
      </c>
      <c r="H104" s="47" t="str">
        <f t="shared" si="3"/>
        <v/>
      </c>
    </row>
    <row r="105" spans="3:8" s="43" customFormat="1" ht="15" customHeight="1" x14ac:dyDescent="0.25">
      <c r="C105" s="75" t="str">
        <f>IFERROR(VLOOKUP(B105,'Open Invoices'!C:F,4,0),"")</f>
        <v/>
      </c>
      <c r="D105" s="75" t="str">
        <f>IFERROR(IF(OR(B105="",B105="(BLANK)"),"",SUMIFS('Enter Invoices'!G:G,'Enter Invoices'!D:D,B105,'Enter Invoices'!J:J,"A")),"")</f>
        <v/>
      </c>
      <c r="E105" s="75" t="str">
        <f>IFERROR(IF(OR(B105="",B105="(BLANK)"),"",SUMIFS('Enter Invoices'!G:G,'Enter Invoices'!D:D,B105,'Enter Invoices'!J:J,"B")),"")</f>
        <v/>
      </c>
      <c r="F105" s="75" t="str">
        <f>IFERROR(IF(OR(B105="",B105="(BLANK)"),"",SUMIFS('Enter Invoices'!G:G,'Enter Invoices'!D:D,B105,'Enter Invoices'!J:J,"C")),"")</f>
        <v/>
      </c>
      <c r="G105" s="46" t="str">
        <f>IFERROR(IF(OR(B105="",B105="(BLANK)"),"",SUMIFS('Enter Invoices'!G:G,'Enter Invoices'!D:D,B105,'Enter Invoices'!J:J,"D")),"")</f>
        <v/>
      </c>
      <c r="H105" s="47" t="str">
        <f t="shared" si="3"/>
        <v/>
      </c>
    </row>
    <row r="106" spans="3:8" s="43" customFormat="1" ht="15" customHeight="1" x14ac:dyDescent="0.25">
      <c r="C106" s="75" t="str">
        <f>IFERROR(VLOOKUP(B106,'Open Invoices'!C:F,4,0),"")</f>
        <v/>
      </c>
      <c r="D106" s="75" t="str">
        <f>IFERROR(IF(OR(B106="",B106="(BLANK)"),"",SUMIFS('Enter Invoices'!G:G,'Enter Invoices'!D:D,B106,'Enter Invoices'!J:J,"A")),"")</f>
        <v/>
      </c>
      <c r="E106" s="75" t="str">
        <f>IFERROR(IF(OR(B106="",B106="(BLANK)"),"",SUMIFS('Enter Invoices'!G:G,'Enter Invoices'!D:D,B106,'Enter Invoices'!J:J,"B")),"")</f>
        <v/>
      </c>
      <c r="F106" s="75" t="str">
        <f>IFERROR(IF(OR(B106="",B106="(BLANK)"),"",SUMIFS('Enter Invoices'!G:G,'Enter Invoices'!D:D,B106,'Enter Invoices'!J:J,"C")),"")</f>
        <v/>
      </c>
      <c r="G106" s="46" t="str">
        <f>IFERROR(IF(OR(B106="",B106="(BLANK)"),"",SUMIFS('Enter Invoices'!G:G,'Enter Invoices'!D:D,B106,'Enter Invoices'!J:J,"D")),"")</f>
        <v/>
      </c>
      <c r="H106" s="47" t="str">
        <f t="shared" si="3"/>
        <v/>
      </c>
    </row>
    <row r="107" spans="3:8" s="43" customFormat="1" ht="15" customHeight="1" x14ac:dyDescent="0.25">
      <c r="C107" s="75" t="str">
        <f>IFERROR(VLOOKUP(B107,'Open Invoices'!C:F,4,0),"")</f>
        <v/>
      </c>
      <c r="D107" s="75" t="str">
        <f>IFERROR(IF(OR(B107="",B107="(BLANK)"),"",SUMIFS('Enter Invoices'!G:G,'Enter Invoices'!D:D,B107,'Enter Invoices'!J:J,"A")),"")</f>
        <v/>
      </c>
      <c r="E107" s="75" t="str">
        <f>IFERROR(IF(OR(B107="",B107="(BLANK)"),"",SUMIFS('Enter Invoices'!G:G,'Enter Invoices'!D:D,B107,'Enter Invoices'!J:J,"B")),"")</f>
        <v/>
      </c>
      <c r="F107" s="75" t="str">
        <f>IFERROR(IF(OR(B107="",B107="(BLANK)"),"",SUMIFS('Enter Invoices'!G:G,'Enter Invoices'!D:D,B107,'Enter Invoices'!J:J,"C")),"")</f>
        <v/>
      </c>
      <c r="G107" s="46" t="str">
        <f>IFERROR(IF(OR(B107="",B107="(BLANK)"),"",SUMIFS('Enter Invoices'!G:G,'Enter Invoices'!D:D,B107,'Enter Invoices'!J:J,"D")),"")</f>
        <v/>
      </c>
      <c r="H107" s="47" t="str">
        <f t="shared" si="3"/>
        <v/>
      </c>
    </row>
    <row r="108" spans="3:8" s="43" customFormat="1" ht="15" customHeight="1" x14ac:dyDescent="0.25">
      <c r="C108" s="75" t="str">
        <f>IFERROR(VLOOKUP(B108,'Open Invoices'!C:F,4,0),"")</f>
        <v/>
      </c>
      <c r="D108" s="75" t="str">
        <f>IFERROR(IF(OR(B108="",B108="(BLANK)"),"",SUMIFS('Enter Invoices'!G:G,'Enter Invoices'!D:D,B108,'Enter Invoices'!J:J,"A")),"")</f>
        <v/>
      </c>
      <c r="E108" s="75" t="str">
        <f>IFERROR(IF(OR(B108="",B108="(BLANK)"),"",SUMIFS('Enter Invoices'!G:G,'Enter Invoices'!D:D,B108,'Enter Invoices'!J:J,"B")),"")</f>
        <v/>
      </c>
      <c r="F108" s="75" t="str">
        <f>IFERROR(IF(OR(B108="",B108="(BLANK)"),"",SUMIFS('Enter Invoices'!G:G,'Enter Invoices'!D:D,B108,'Enter Invoices'!J:J,"C")),"")</f>
        <v/>
      </c>
      <c r="G108" s="46" t="str">
        <f>IFERROR(IF(OR(B108="",B108="(BLANK)"),"",SUMIFS('Enter Invoices'!G:G,'Enter Invoices'!D:D,B108,'Enter Invoices'!J:J,"D")),"")</f>
        <v/>
      </c>
      <c r="H108" s="47" t="str">
        <f t="shared" si="3"/>
        <v/>
      </c>
    </row>
    <row r="109" spans="3:8" s="43" customFormat="1" ht="15" customHeight="1" x14ac:dyDescent="0.25">
      <c r="C109" s="75" t="str">
        <f>IFERROR(VLOOKUP(B109,'Open Invoices'!C:F,4,0),"")</f>
        <v/>
      </c>
      <c r="D109" s="75" t="str">
        <f>IFERROR(IF(OR(B109="",B109="(BLANK)"),"",SUMIFS('Enter Invoices'!G:G,'Enter Invoices'!D:D,B109,'Enter Invoices'!J:J,"A")),"")</f>
        <v/>
      </c>
      <c r="E109" s="75" t="str">
        <f>IFERROR(IF(OR(B109="",B109="(BLANK)"),"",SUMIFS('Enter Invoices'!G:G,'Enter Invoices'!D:D,B109,'Enter Invoices'!J:J,"B")),"")</f>
        <v/>
      </c>
      <c r="F109" s="75" t="str">
        <f>IFERROR(IF(OR(B109="",B109="(BLANK)"),"",SUMIFS('Enter Invoices'!G:G,'Enter Invoices'!D:D,B109,'Enter Invoices'!J:J,"C")),"")</f>
        <v/>
      </c>
      <c r="G109" s="46" t="str">
        <f>IFERROR(IF(OR(B109="",B109="(BLANK)"),"",SUMIFS('Enter Invoices'!G:G,'Enter Invoices'!D:D,B109,'Enter Invoices'!J:J,"D")),"")</f>
        <v/>
      </c>
      <c r="H109" s="47" t="str">
        <f t="shared" si="3"/>
        <v/>
      </c>
    </row>
    <row r="110" spans="3:8" s="43" customFormat="1" ht="15" customHeight="1" x14ac:dyDescent="0.25">
      <c r="C110" s="75" t="str">
        <f>IFERROR(VLOOKUP(B110,'Open Invoices'!C:F,4,0),"")</f>
        <v/>
      </c>
      <c r="D110" s="75" t="str">
        <f>IFERROR(IF(OR(B110="",B110="(BLANK)"),"",SUMIFS('Enter Invoices'!G:G,'Enter Invoices'!D:D,B110,'Enter Invoices'!J:J,"A")),"")</f>
        <v/>
      </c>
      <c r="E110" s="75" t="str">
        <f>IFERROR(IF(OR(B110="",B110="(BLANK)"),"",SUMIFS('Enter Invoices'!G:G,'Enter Invoices'!D:D,B110,'Enter Invoices'!J:J,"B")),"")</f>
        <v/>
      </c>
      <c r="F110" s="75" t="str">
        <f>IFERROR(IF(OR(B110="",B110="(BLANK)"),"",SUMIFS('Enter Invoices'!G:G,'Enter Invoices'!D:D,B110,'Enter Invoices'!J:J,"C")),"")</f>
        <v/>
      </c>
      <c r="G110" s="46" t="str">
        <f>IFERROR(IF(OR(B110="",B110="(BLANK)"),"",SUMIFS('Enter Invoices'!G:G,'Enter Invoices'!D:D,B110,'Enter Invoices'!J:J,"D")),"")</f>
        <v/>
      </c>
      <c r="H110" s="47" t="str">
        <f t="shared" si="3"/>
        <v/>
      </c>
    </row>
    <row r="111" spans="3:8" s="43" customFormat="1" ht="15" customHeight="1" x14ac:dyDescent="0.25">
      <c r="C111" s="75" t="str">
        <f>IFERROR(VLOOKUP(B111,'Open Invoices'!C:F,4,0),"")</f>
        <v/>
      </c>
      <c r="D111" s="75" t="str">
        <f>IFERROR(IF(OR(B111="",B111="(BLANK)"),"",SUMIFS('Enter Invoices'!G:G,'Enter Invoices'!D:D,B111,'Enter Invoices'!J:J,"A")),"")</f>
        <v/>
      </c>
      <c r="E111" s="75" t="str">
        <f>IFERROR(IF(OR(B111="",B111="(BLANK)"),"",SUMIFS('Enter Invoices'!G:G,'Enter Invoices'!D:D,B111,'Enter Invoices'!J:J,"B")),"")</f>
        <v/>
      </c>
      <c r="F111" s="75" t="str">
        <f>IFERROR(IF(OR(B111="",B111="(BLANK)"),"",SUMIFS('Enter Invoices'!G:G,'Enter Invoices'!D:D,B111,'Enter Invoices'!J:J,"C")),"")</f>
        <v/>
      </c>
      <c r="G111" s="46" t="str">
        <f>IFERROR(IF(OR(B111="",B111="(BLANK)"),"",SUMIFS('Enter Invoices'!G:G,'Enter Invoices'!D:D,B111,'Enter Invoices'!J:J,"D")),"")</f>
        <v/>
      </c>
      <c r="H111" s="47" t="str">
        <f t="shared" si="3"/>
        <v/>
      </c>
    </row>
    <row r="112" spans="3:8" s="43" customFormat="1" ht="15" customHeight="1" x14ac:dyDescent="0.25">
      <c r="C112" s="75" t="str">
        <f>IFERROR(VLOOKUP(B112,'Open Invoices'!C:F,4,0),"")</f>
        <v/>
      </c>
      <c r="D112" s="75" t="str">
        <f>IFERROR(IF(OR(B112="",B112="(BLANK)"),"",SUMIFS('Enter Invoices'!G:G,'Enter Invoices'!D:D,B112,'Enter Invoices'!J:J,"A")),"")</f>
        <v/>
      </c>
      <c r="E112" s="75" t="str">
        <f>IFERROR(IF(OR(B112="",B112="(BLANK)"),"",SUMIFS('Enter Invoices'!G:G,'Enter Invoices'!D:D,B112,'Enter Invoices'!J:J,"B")),"")</f>
        <v/>
      </c>
      <c r="F112" s="75" t="str">
        <f>IFERROR(IF(OR(B112="",B112="(BLANK)"),"",SUMIFS('Enter Invoices'!G:G,'Enter Invoices'!D:D,B112,'Enter Invoices'!J:J,"C")),"")</f>
        <v/>
      </c>
      <c r="G112" s="46" t="str">
        <f>IFERROR(IF(OR(B112="",B112="(BLANK)"),"",SUMIFS('Enter Invoices'!G:G,'Enter Invoices'!D:D,B112,'Enter Invoices'!J:J,"D")),"")</f>
        <v/>
      </c>
      <c r="H112" s="47" t="str">
        <f t="shared" si="3"/>
        <v/>
      </c>
    </row>
    <row r="113" spans="3:8" s="43" customFormat="1" ht="15" customHeight="1" x14ac:dyDescent="0.25">
      <c r="C113" s="75" t="str">
        <f>IFERROR(VLOOKUP(B113,'Open Invoices'!C:F,4,0),"")</f>
        <v/>
      </c>
      <c r="D113" s="75" t="str">
        <f>IFERROR(IF(OR(B113="",B113="(BLANK)"),"",SUMIFS('Enter Invoices'!G:G,'Enter Invoices'!D:D,B113,'Enter Invoices'!J:J,"A")),"")</f>
        <v/>
      </c>
      <c r="E113" s="75" t="str">
        <f>IFERROR(IF(OR(B113="",B113="(BLANK)"),"",SUMIFS('Enter Invoices'!G:G,'Enter Invoices'!D:D,B113,'Enter Invoices'!J:J,"B")),"")</f>
        <v/>
      </c>
      <c r="F113" s="75" t="str">
        <f>IFERROR(IF(OR(B113="",B113="(BLANK)"),"",SUMIFS('Enter Invoices'!G:G,'Enter Invoices'!D:D,B113,'Enter Invoices'!J:J,"C")),"")</f>
        <v/>
      </c>
      <c r="G113" s="46" t="str">
        <f>IFERROR(IF(OR(B113="",B113="(BLANK)"),"",SUMIFS('Enter Invoices'!G:G,'Enter Invoices'!D:D,B113,'Enter Invoices'!J:J,"D")),"")</f>
        <v/>
      </c>
      <c r="H113" s="47" t="str">
        <f t="shared" si="3"/>
        <v/>
      </c>
    </row>
    <row r="114" spans="3:8" s="43" customFormat="1" ht="15" customHeight="1" x14ac:dyDescent="0.25">
      <c r="C114" s="75" t="str">
        <f>IFERROR(VLOOKUP(B114,'Open Invoices'!C:F,4,0),"")</f>
        <v/>
      </c>
      <c r="D114" s="75" t="str">
        <f>IFERROR(IF(OR(B114="",B114="(BLANK)"),"",SUMIFS('Enter Invoices'!G:G,'Enter Invoices'!D:D,B114,'Enter Invoices'!J:J,"A")),"")</f>
        <v/>
      </c>
      <c r="E114" s="75" t="str">
        <f>IFERROR(IF(OR(B114="",B114="(BLANK)"),"",SUMIFS('Enter Invoices'!G:G,'Enter Invoices'!D:D,B114,'Enter Invoices'!J:J,"B")),"")</f>
        <v/>
      </c>
      <c r="F114" s="75" t="str">
        <f>IFERROR(IF(OR(B114="",B114="(BLANK)"),"",SUMIFS('Enter Invoices'!G:G,'Enter Invoices'!D:D,B114,'Enter Invoices'!J:J,"C")),"")</f>
        <v/>
      </c>
      <c r="G114" s="46" t="str">
        <f>IFERROR(IF(OR(B114="",B114="(BLANK)"),"",SUMIFS('Enter Invoices'!G:G,'Enter Invoices'!D:D,B114,'Enter Invoices'!J:J,"D")),"")</f>
        <v/>
      </c>
      <c r="H114" s="47" t="str">
        <f t="shared" si="3"/>
        <v/>
      </c>
    </row>
    <row r="115" spans="3:8" s="43" customFormat="1" ht="15" customHeight="1" x14ac:dyDescent="0.25">
      <c r="C115" s="75" t="str">
        <f>IFERROR(VLOOKUP(B115,'Open Invoices'!C:F,4,0),"")</f>
        <v/>
      </c>
      <c r="D115" s="75" t="str">
        <f>IFERROR(IF(OR(B115="",B115="(BLANK)"),"",SUMIFS('Enter Invoices'!G:G,'Enter Invoices'!D:D,B115,'Enter Invoices'!J:J,"A")),"")</f>
        <v/>
      </c>
      <c r="E115" s="75" t="str">
        <f>IFERROR(IF(OR(B115="",B115="(BLANK)"),"",SUMIFS('Enter Invoices'!G:G,'Enter Invoices'!D:D,B115,'Enter Invoices'!J:J,"B")),"")</f>
        <v/>
      </c>
      <c r="F115" s="75" t="str">
        <f>IFERROR(IF(OR(B115="",B115="(BLANK)"),"",SUMIFS('Enter Invoices'!G:G,'Enter Invoices'!D:D,B115,'Enter Invoices'!J:J,"C")),"")</f>
        <v/>
      </c>
      <c r="G115" s="46" t="str">
        <f>IFERROR(IF(OR(B115="",B115="(BLANK)"),"",SUMIFS('Enter Invoices'!G:G,'Enter Invoices'!D:D,B115,'Enter Invoices'!J:J,"D")),"")</f>
        <v/>
      </c>
      <c r="H115" s="47" t="str">
        <f t="shared" si="3"/>
        <v/>
      </c>
    </row>
    <row r="116" spans="3:8" s="43" customFormat="1" ht="15" customHeight="1" x14ac:dyDescent="0.25">
      <c r="C116" s="75" t="str">
        <f>IFERROR(VLOOKUP(B116,'Open Invoices'!C:F,4,0),"")</f>
        <v/>
      </c>
      <c r="D116" s="75" t="str">
        <f>IFERROR(IF(OR(B116="",B116="(BLANK)"),"",SUMIFS('Enter Invoices'!G:G,'Enter Invoices'!D:D,B116,'Enter Invoices'!J:J,"A")),"")</f>
        <v/>
      </c>
      <c r="E116" s="75" t="str">
        <f>IFERROR(IF(OR(B116="",B116="(BLANK)"),"",SUMIFS('Enter Invoices'!G:G,'Enter Invoices'!D:D,B116,'Enter Invoices'!J:J,"B")),"")</f>
        <v/>
      </c>
      <c r="F116" s="75" t="str">
        <f>IFERROR(IF(OR(B116="",B116="(BLANK)"),"",SUMIFS('Enter Invoices'!G:G,'Enter Invoices'!D:D,B116,'Enter Invoices'!J:J,"C")),"")</f>
        <v/>
      </c>
      <c r="G116" s="46" t="str">
        <f>IFERROR(IF(OR(B116="",B116="(BLANK)"),"",SUMIFS('Enter Invoices'!G:G,'Enter Invoices'!D:D,B116,'Enter Invoices'!J:J,"D")),"")</f>
        <v/>
      </c>
      <c r="H116" s="47" t="str">
        <f t="shared" si="3"/>
        <v/>
      </c>
    </row>
    <row r="117" spans="3:8" s="43" customFormat="1" ht="15" customHeight="1" x14ac:dyDescent="0.25">
      <c r="C117" s="75" t="str">
        <f>IFERROR(VLOOKUP(B117,'Open Invoices'!C:F,4,0),"")</f>
        <v/>
      </c>
      <c r="D117" s="75" t="str">
        <f>IFERROR(IF(OR(B117="",B117="(BLANK)"),"",SUMIFS('Enter Invoices'!G:G,'Enter Invoices'!D:D,B117,'Enter Invoices'!J:J,"A")),"")</f>
        <v/>
      </c>
      <c r="E117" s="75" t="str">
        <f>IFERROR(IF(OR(B117="",B117="(BLANK)"),"",SUMIFS('Enter Invoices'!G:G,'Enter Invoices'!D:D,B117,'Enter Invoices'!J:J,"B")),"")</f>
        <v/>
      </c>
      <c r="F117" s="75" t="str">
        <f>IFERROR(IF(OR(B117="",B117="(BLANK)"),"",SUMIFS('Enter Invoices'!G:G,'Enter Invoices'!D:D,B117,'Enter Invoices'!J:J,"C")),"")</f>
        <v/>
      </c>
      <c r="G117" s="46" t="str">
        <f>IFERROR(IF(OR(B117="",B117="(BLANK)"),"",SUMIFS('Enter Invoices'!G:G,'Enter Invoices'!D:D,B117,'Enter Invoices'!J:J,"D")),"")</f>
        <v/>
      </c>
      <c r="H117" s="47" t="str">
        <f t="shared" si="3"/>
        <v/>
      </c>
    </row>
    <row r="118" spans="3:8" s="43" customFormat="1" ht="15" customHeight="1" x14ac:dyDescent="0.25">
      <c r="C118" s="75" t="str">
        <f>IFERROR(VLOOKUP(B118,'Open Invoices'!C:F,4,0),"")</f>
        <v/>
      </c>
      <c r="D118" s="75" t="str">
        <f>IFERROR(IF(OR(B118="",B118="(BLANK)"),"",SUMIFS('Enter Invoices'!G:G,'Enter Invoices'!D:D,B118,'Enter Invoices'!J:J,"A")),"")</f>
        <v/>
      </c>
      <c r="E118" s="75" t="str">
        <f>IFERROR(IF(OR(B118="",B118="(BLANK)"),"",SUMIFS('Enter Invoices'!G:G,'Enter Invoices'!D:D,B118,'Enter Invoices'!J:J,"B")),"")</f>
        <v/>
      </c>
      <c r="F118" s="75" t="str">
        <f>IFERROR(IF(OR(B118="",B118="(BLANK)"),"",SUMIFS('Enter Invoices'!G:G,'Enter Invoices'!D:D,B118,'Enter Invoices'!J:J,"C")),"")</f>
        <v/>
      </c>
      <c r="G118" s="46" t="str">
        <f>IFERROR(IF(OR(B118="",B118="(BLANK)"),"",SUMIFS('Enter Invoices'!G:G,'Enter Invoices'!D:D,B118,'Enter Invoices'!J:J,"D")),"")</f>
        <v/>
      </c>
      <c r="H118" s="47" t="str">
        <f t="shared" si="3"/>
        <v/>
      </c>
    </row>
    <row r="119" spans="3:8" s="43" customFormat="1" ht="15" customHeight="1" x14ac:dyDescent="0.25">
      <c r="C119" s="75" t="str">
        <f>IFERROR(VLOOKUP(B119,'Open Invoices'!C:F,4,0),"")</f>
        <v/>
      </c>
      <c r="D119" s="75" t="str">
        <f>IFERROR(IF(OR(B119="",B119="(BLANK)"),"",SUMIFS('Enter Invoices'!G:G,'Enter Invoices'!D:D,B119,'Enter Invoices'!J:J,"A")),"")</f>
        <v/>
      </c>
      <c r="E119" s="75" t="str">
        <f>IFERROR(IF(OR(B119="",B119="(BLANK)"),"",SUMIFS('Enter Invoices'!G:G,'Enter Invoices'!D:D,B119,'Enter Invoices'!J:J,"B")),"")</f>
        <v/>
      </c>
      <c r="F119" s="75" t="str">
        <f>IFERROR(IF(OR(B119="",B119="(BLANK)"),"",SUMIFS('Enter Invoices'!G:G,'Enter Invoices'!D:D,B119,'Enter Invoices'!J:J,"C")),"")</f>
        <v/>
      </c>
      <c r="G119" s="46" t="str">
        <f>IFERROR(IF(OR(B119="",B119="(BLANK)"),"",SUMIFS('Enter Invoices'!G:G,'Enter Invoices'!D:D,B119,'Enter Invoices'!J:J,"D")),"")</f>
        <v/>
      </c>
      <c r="H119" s="47" t="str">
        <f t="shared" si="3"/>
        <v/>
      </c>
    </row>
    <row r="120" spans="3:8" s="43" customFormat="1" ht="15" customHeight="1" x14ac:dyDescent="0.25">
      <c r="C120" s="75" t="str">
        <f>IFERROR(VLOOKUP(B120,'Open Invoices'!C:F,4,0),"")</f>
        <v/>
      </c>
      <c r="D120" s="75" t="str">
        <f>IFERROR(IF(OR(B120="",B120="(BLANK)"),"",SUMIFS('Enter Invoices'!G:G,'Enter Invoices'!D:D,B120,'Enter Invoices'!J:J,"A")),"")</f>
        <v/>
      </c>
      <c r="E120" s="75" t="str">
        <f>IFERROR(IF(OR(B120="",B120="(BLANK)"),"",SUMIFS('Enter Invoices'!G:G,'Enter Invoices'!D:D,B120,'Enter Invoices'!J:J,"B")),"")</f>
        <v/>
      </c>
      <c r="F120" s="75" t="str">
        <f>IFERROR(IF(OR(B120="",B120="(BLANK)"),"",SUMIFS('Enter Invoices'!G:G,'Enter Invoices'!D:D,B120,'Enter Invoices'!J:J,"C")),"")</f>
        <v/>
      </c>
      <c r="G120" s="46" t="str">
        <f>IFERROR(IF(OR(B120="",B120="(BLANK)"),"",SUMIFS('Enter Invoices'!G:G,'Enter Invoices'!D:D,B120,'Enter Invoices'!J:J,"D")),"")</f>
        <v/>
      </c>
      <c r="H120" s="47" t="str">
        <f t="shared" si="3"/>
        <v/>
      </c>
    </row>
    <row r="121" spans="3:8" s="43" customFormat="1" ht="15" customHeight="1" x14ac:dyDescent="0.25">
      <c r="C121" s="75" t="str">
        <f>IFERROR(VLOOKUP(B121,'Open Invoices'!C:F,4,0),"")</f>
        <v/>
      </c>
      <c r="D121" s="75" t="str">
        <f>IFERROR(IF(OR(B121="",B121="(BLANK)"),"",SUMIFS('Enter Invoices'!G:G,'Enter Invoices'!D:D,B121,'Enter Invoices'!J:J,"A")),"")</f>
        <v/>
      </c>
      <c r="E121" s="75" t="str">
        <f>IFERROR(IF(OR(B121="",B121="(BLANK)"),"",SUMIFS('Enter Invoices'!G:G,'Enter Invoices'!D:D,B121,'Enter Invoices'!J:J,"B")),"")</f>
        <v/>
      </c>
      <c r="F121" s="75" t="str">
        <f>IFERROR(IF(OR(B121="",B121="(BLANK)"),"",SUMIFS('Enter Invoices'!G:G,'Enter Invoices'!D:D,B121,'Enter Invoices'!J:J,"C")),"")</f>
        <v/>
      </c>
      <c r="G121" s="46" t="str">
        <f>IFERROR(IF(OR(B121="",B121="(BLANK)"),"",SUMIFS('Enter Invoices'!G:G,'Enter Invoices'!D:D,B121,'Enter Invoices'!J:J,"D")),"")</f>
        <v/>
      </c>
      <c r="H121" s="47" t="str">
        <f t="shared" si="3"/>
        <v/>
      </c>
    </row>
    <row r="122" spans="3:8" s="43" customFormat="1" ht="15" customHeight="1" x14ac:dyDescent="0.25">
      <c r="C122" s="75" t="str">
        <f>IFERROR(VLOOKUP(B122,'Open Invoices'!C:F,4,0),"")</f>
        <v/>
      </c>
      <c r="D122" s="75" t="str">
        <f>IFERROR(IF(OR(B122="",B122="(BLANK)"),"",SUMIFS('Enter Invoices'!G:G,'Enter Invoices'!D:D,B122,'Enter Invoices'!J:J,"A")),"")</f>
        <v/>
      </c>
      <c r="E122" s="75" t="str">
        <f>IFERROR(IF(OR(B122="",B122="(BLANK)"),"",SUMIFS('Enter Invoices'!G:G,'Enter Invoices'!D:D,B122,'Enter Invoices'!J:J,"B")),"")</f>
        <v/>
      </c>
      <c r="F122" s="75" t="str">
        <f>IFERROR(IF(OR(B122="",B122="(BLANK)"),"",SUMIFS('Enter Invoices'!G:G,'Enter Invoices'!D:D,B122,'Enter Invoices'!J:J,"C")),"")</f>
        <v/>
      </c>
      <c r="G122" s="46" t="str">
        <f>IFERROR(IF(OR(B122="",B122="(BLANK)"),"",SUMIFS('Enter Invoices'!G:G,'Enter Invoices'!D:D,B122,'Enter Invoices'!J:J,"D")),"")</f>
        <v/>
      </c>
      <c r="H122" s="47" t="str">
        <f t="shared" si="3"/>
        <v/>
      </c>
    </row>
    <row r="123" spans="3:8" s="43" customFormat="1" ht="15" customHeight="1" x14ac:dyDescent="0.25">
      <c r="C123" s="75" t="str">
        <f>IFERROR(VLOOKUP(B123,'Open Invoices'!C:F,4,0),"")</f>
        <v/>
      </c>
      <c r="D123" s="75" t="str">
        <f>IFERROR(IF(OR(B123="",B123="(BLANK)"),"",SUMIFS('Enter Invoices'!G:G,'Enter Invoices'!D:D,B123,'Enter Invoices'!J:J,"A")),"")</f>
        <v/>
      </c>
      <c r="E123" s="75" t="str">
        <f>IFERROR(IF(OR(B123="",B123="(BLANK)"),"",SUMIFS('Enter Invoices'!G:G,'Enter Invoices'!D:D,B123,'Enter Invoices'!J:J,"B")),"")</f>
        <v/>
      </c>
      <c r="F123" s="75" t="str">
        <f>IFERROR(IF(OR(B123="",B123="(BLANK)"),"",SUMIFS('Enter Invoices'!G:G,'Enter Invoices'!D:D,B123,'Enter Invoices'!J:J,"C")),"")</f>
        <v/>
      </c>
      <c r="G123" s="46" t="str">
        <f>IFERROR(IF(OR(B123="",B123="(BLANK)"),"",SUMIFS('Enter Invoices'!G:G,'Enter Invoices'!D:D,B123,'Enter Invoices'!J:J,"D")),"")</f>
        <v/>
      </c>
      <c r="H123" s="47" t="str">
        <f t="shared" si="3"/>
        <v/>
      </c>
    </row>
    <row r="124" spans="3:8" s="43" customFormat="1" ht="15" customHeight="1" x14ac:dyDescent="0.25">
      <c r="C124" s="75" t="str">
        <f>IFERROR(VLOOKUP(B124,'Open Invoices'!C:F,4,0),"")</f>
        <v/>
      </c>
      <c r="D124" s="75" t="str">
        <f>IFERROR(IF(OR(B124="",B124="(BLANK)"),"",SUMIFS('Enter Invoices'!G:G,'Enter Invoices'!D:D,B124,'Enter Invoices'!J:J,"A")),"")</f>
        <v/>
      </c>
      <c r="E124" s="75" t="str">
        <f>IFERROR(IF(OR(B124="",B124="(BLANK)"),"",SUMIFS('Enter Invoices'!G:G,'Enter Invoices'!D:D,B124,'Enter Invoices'!J:J,"B")),"")</f>
        <v/>
      </c>
      <c r="F124" s="75" t="str">
        <f>IFERROR(IF(OR(B124="",B124="(BLANK)"),"",SUMIFS('Enter Invoices'!G:G,'Enter Invoices'!D:D,B124,'Enter Invoices'!J:J,"C")),"")</f>
        <v/>
      </c>
      <c r="G124" s="46" t="str">
        <f>IFERROR(IF(OR(B124="",B124="(BLANK)"),"",SUMIFS('Enter Invoices'!G:G,'Enter Invoices'!D:D,B124,'Enter Invoices'!J:J,"D")),"")</f>
        <v/>
      </c>
      <c r="H124" s="47" t="str">
        <f t="shared" si="3"/>
        <v/>
      </c>
    </row>
    <row r="125" spans="3:8" s="43" customFormat="1" ht="15" customHeight="1" x14ac:dyDescent="0.25">
      <c r="C125" s="75" t="str">
        <f>IFERROR(VLOOKUP(B125,'Open Invoices'!C:F,4,0),"")</f>
        <v/>
      </c>
      <c r="D125" s="75" t="str">
        <f>IFERROR(IF(OR(B125="",B125="(BLANK)"),"",SUMIFS('Enter Invoices'!G:G,'Enter Invoices'!D:D,B125,'Enter Invoices'!J:J,"A")),"")</f>
        <v/>
      </c>
      <c r="E125" s="75" t="str">
        <f>IFERROR(IF(OR(B125="",B125="(BLANK)"),"",SUMIFS('Enter Invoices'!G:G,'Enter Invoices'!D:D,B125,'Enter Invoices'!J:J,"B")),"")</f>
        <v/>
      </c>
      <c r="F125" s="75" t="str">
        <f>IFERROR(IF(OR(B125="",B125="(BLANK)"),"",SUMIFS('Enter Invoices'!G:G,'Enter Invoices'!D:D,B125,'Enter Invoices'!J:J,"C")),"")</f>
        <v/>
      </c>
      <c r="G125" s="46" t="str">
        <f>IFERROR(IF(OR(B125="",B125="(BLANK)"),"",SUMIFS('Enter Invoices'!G:G,'Enter Invoices'!D:D,B125,'Enter Invoices'!J:J,"D")),"")</f>
        <v/>
      </c>
      <c r="H125" s="47" t="str">
        <f t="shared" si="3"/>
        <v/>
      </c>
    </row>
    <row r="126" spans="3:8" s="43" customFormat="1" ht="15" customHeight="1" x14ac:dyDescent="0.25">
      <c r="C126" s="75" t="str">
        <f>IFERROR(VLOOKUP(B126,'Open Invoices'!C:F,4,0),"")</f>
        <v/>
      </c>
      <c r="D126" s="75" t="str">
        <f>IFERROR(IF(OR(B126="",B126="(BLANK)"),"",SUMIFS('Enter Invoices'!G:G,'Enter Invoices'!D:D,B126,'Enter Invoices'!J:J,"A")),"")</f>
        <v/>
      </c>
      <c r="E126" s="75" t="str">
        <f>IFERROR(IF(OR(B126="",B126="(BLANK)"),"",SUMIFS('Enter Invoices'!G:G,'Enter Invoices'!D:D,B126,'Enter Invoices'!J:J,"B")),"")</f>
        <v/>
      </c>
      <c r="F126" s="75" t="str">
        <f>IFERROR(IF(OR(B126="",B126="(BLANK)"),"",SUMIFS('Enter Invoices'!G:G,'Enter Invoices'!D:D,B126,'Enter Invoices'!J:J,"C")),"")</f>
        <v/>
      </c>
      <c r="G126" s="46" t="str">
        <f>IFERROR(IF(OR(B126="",B126="(BLANK)"),"",SUMIFS('Enter Invoices'!G:G,'Enter Invoices'!D:D,B126,'Enter Invoices'!J:J,"D")),"")</f>
        <v/>
      </c>
      <c r="H126" s="47" t="str">
        <f t="shared" si="3"/>
        <v/>
      </c>
    </row>
    <row r="127" spans="3:8" s="43" customFormat="1" ht="15" customHeight="1" x14ac:dyDescent="0.25">
      <c r="C127" s="75" t="str">
        <f>IFERROR(VLOOKUP(B127,'Open Invoices'!C:F,4,0),"")</f>
        <v/>
      </c>
      <c r="D127" s="75" t="str">
        <f>IFERROR(IF(OR(B127="",B127="(BLANK)"),"",SUMIFS('Enter Invoices'!G:G,'Enter Invoices'!D:D,B127,'Enter Invoices'!J:J,"A")),"")</f>
        <v/>
      </c>
      <c r="E127" s="75" t="str">
        <f>IFERROR(IF(OR(B127="",B127="(BLANK)"),"",SUMIFS('Enter Invoices'!G:G,'Enter Invoices'!D:D,B127,'Enter Invoices'!J:J,"B")),"")</f>
        <v/>
      </c>
      <c r="F127" s="75" t="str">
        <f>IFERROR(IF(OR(B127="",B127="(BLANK)"),"",SUMIFS('Enter Invoices'!G:G,'Enter Invoices'!D:D,B127,'Enter Invoices'!J:J,"C")),"")</f>
        <v/>
      </c>
      <c r="G127" s="46" t="str">
        <f>IFERROR(IF(OR(B127="",B127="(BLANK)"),"",SUMIFS('Enter Invoices'!G:G,'Enter Invoices'!D:D,B127,'Enter Invoices'!J:J,"D")),"")</f>
        <v/>
      </c>
      <c r="H127" s="47" t="str">
        <f t="shared" si="3"/>
        <v/>
      </c>
    </row>
    <row r="128" spans="3:8" s="43" customFormat="1" ht="15" customHeight="1" x14ac:dyDescent="0.25">
      <c r="C128" s="75" t="str">
        <f>IFERROR(VLOOKUP(B128,'Open Invoices'!C:F,4,0),"")</f>
        <v/>
      </c>
      <c r="D128" s="75" t="str">
        <f>IFERROR(IF(OR(B128="",B128="(BLANK)"),"",SUMIFS('Enter Invoices'!G:G,'Enter Invoices'!D:D,B128,'Enter Invoices'!J:J,"A")),"")</f>
        <v/>
      </c>
      <c r="E128" s="75" t="str">
        <f>IFERROR(IF(OR(B128="",B128="(BLANK)"),"",SUMIFS('Enter Invoices'!G:G,'Enter Invoices'!D:D,B128,'Enter Invoices'!J:J,"B")),"")</f>
        <v/>
      </c>
      <c r="F128" s="75" t="str">
        <f>IFERROR(IF(OR(B128="",B128="(BLANK)"),"",SUMIFS('Enter Invoices'!G:G,'Enter Invoices'!D:D,B128,'Enter Invoices'!J:J,"C")),"")</f>
        <v/>
      </c>
      <c r="G128" s="46" t="str">
        <f>IFERROR(IF(OR(B128="",B128="(BLANK)"),"",SUMIFS('Enter Invoices'!G:G,'Enter Invoices'!D:D,B128,'Enter Invoices'!J:J,"D")),"")</f>
        <v/>
      </c>
      <c r="H128" s="47" t="str">
        <f t="shared" si="3"/>
        <v/>
      </c>
    </row>
    <row r="129" spans="3:8" s="43" customFormat="1" ht="15" customHeight="1" x14ac:dyDescent="0.25">
      <c r="C129" s="75" t="str">
        <f>IFERROR(VLOOKUP(B129,'Open Invoices'!C:F,4,0),"")</f>
        <v/>
      </c>
      <c r="D129" s="75" t="str">
        <f>IFERROR(IF(OR(B129="",B129="(BLANK)"),"",SUMIFS('Enter Invoices'!G:G,'Enter Invoices'!D:D,B129,'Enter Invoices'!J:J,"A")),"")</f>
        <v/>
      </c>
      <c r="E129" s="75" t="str">
        <f>IFERROR(IF(OR(B129="",B129="(BLANK)"),"",SUMIFS('Enter Invoices'!G:G,'Enter Invoices'!D:D,B129,'Enter Invoices'!J:J,"B")),"")</f>
        <v/>
      </c>
      <c r="F129" s="75" t="str">
        <f>IFERROR(IF(OR(B129="",B129="(BLANK)"),"",SUMIFS('Enter Invoices'!G:G,'Enter Invoices'!D:D,B129,'Enter Invoices'!J:J,"C")),"")</f>
        <v/>
      </c>
      <c r="G129" s="46" t="str">
        <f>IFERROR(IF(OR(B129="",B129="(BLANK)"),"",SUMIFS('Enter Invoices'!G:G,'Enter Invoices'!D:D,B129,'Enter Invoices'!J:J,"D")),"")</f>
        <v/>
      </c>
      <c r="H129" s="47" t="str">
        <f t="shared" si="3"/>
        <v/>
      </c>
    </row>
    <row r="130" spans="3:8" s="43" customFormat="1" ht="15" customHeight="1" x14ac:dyDescent="0.25">
      <c r="C130" s="75" t="str">
        <f>IFERROR(VLOOKUP(B130,'Open Invoices'!C:F,4,0),"")</f>
        <v/>
      </c>
      <c r="D130" s="75" t="str">
        <f>IFERROR(IF(OR(B130="",B130="(BLANK)"),"",SUMIFS('Enter Invoices'!G:G,'Enter Invoices'!D:D,B130,'Enter Invoices'!J:J,"A")),"")</f>
        <v/>
      </c>
      <c r="E130" s="75" t="str">
        <f>IFERROR(IF(OR(B130="",B130="(BLANK)"),"",SUMIFS('Enter Invoices'!G:G,'Enter Invoices'!D:D,B130,'Enter Invoices'!J:J,"B")),"")</f>
        <v/>
      </c>
      <c r="F130" s="75" t="str">
        <f>IFERROR(IF(OR(B130="",B130="(BLANK)"),"",SUMIFS('Enter Invoices'!G:G,'Enter Invoices'!D:D,B130,'Enter Invoices'!J:J,"C")),"")</f>
        <v/>
      </c>
      <c r="G130" s="46" t="str">
        <f>IFERROR(IF(OR(B130="",B130="(BLANK)"),"",SUMIFS('Enter Invoices'!G:G,'Enter Invoices'!D:D,B130,'Enter Invoices'!J:J,"D")),"")</f>
        <v/>
      </c>
      <c r="H130" s="47" t="str">
        <f t="shared" si="3"/>
        <v/>
      </c>
    </row>
    <row r="131" spans="3:8" s="43" customFormat="1" ht="15" customHeight="1" x14ac:dyDescent="0.25">
      <c r="C131" s="75" t="str">
        <f>IFERROR(VLOOKUP(B131,'Open Invoices'!C:F,4,0),"")</f>
        <v/>
      </c>
      <c r="D131" s="75" t="str">
        <f>IFERROR(IF(OR(B131="",B131="(BLANK)"),"",SUMIFS('Enter Invoices'!G:G,'Enter Invoices'!D:D,B131,'Enter Invoices'!J:J,"A")),"")</f>
        <v/>
      </c>
      <c r="E131" s="75" t="str">
        <f>IFERROR(IF(OR(B131="",B131="(BLANK)"),"",SUMIFS('Enter Invoices'!G:G,'Enter Invoices'!D:D,B131,'Enter Invoices'!J:J,"B")),"")</f>
        <v/>
      </c>
      <c r="F131" s="75" t="str">
        <f>IFERROR(IF(OR(B131="",B131="(BLANK)"),"",SUMIFS('Enter Invoices'!G:G,'Enter Invoices'!D:D,B131,'Enter Invoices'!J:J,"C")),"")</f>
        <v/>
      </c>
      <c r="G131" s="46" t="str">
        <f>IFERROR(IF(OR(B131="",B131="(BLANK)"),"",SUMIFS('Enter Invoices'!G:G,'Enter Invoices'!D:D,B131,'Enter Invoices'!J:J,"D")),"")</f>
        <v/>
      </c>
      <c r="H131" s="47" t="str">
        <f t="shared" si="3"/>
        <v/>
      </c>
    </row>
    <row r="132" spans="3:8" s="43" customFormat="1" ht="15" customHeight="1" x14ac:dyDescent="0.25">
      <c r="C132" s="75" t="str">
        <f>IFERROR(VLOOKUP(B132,'Open Invoices'!C:F,4,0),"")</f>
        <v/>
      </c>
      <c r="D132" s="75" t="str">
        <f>IFERROR(IF(OR(B132="",B132="(BLANK)"),"",SUMIFS('Enter Invoices'!G:G,'Enter Invoices'!D:D,B132,'Enter Invoices'!J:J,"A")),"")</f>
        <v/>
      </c>
      <c r="E132" s="75" t="str">
        <f>IFERROR(IF(OR(B132="",B132="(BLANK)"),"",SUMIFS('Enter Invoices'!G:G,'Enter Invoices'!D:D,B132,'Enter Invoices'!J:J,"B")),"")</f>
        <v/>
      </c>
      <c r="F132" s="75" t="str">
        <f>IFERROR(IF(OR(B132="",B132="(BLANK)"),"",SUMIFS('Enter Invoices'!G:G,'Enter Invoices'!D:D,B132,'Enter Invoices'!J:J,"C")),"")</f>
        <v/>
      </c>
      <c r="G132" s="46" t="str">
        <f>IFERROR(IF(OR(B132="",B132="(BLANK)"),"",SUMIFS('Enter Invoices'!G:G,'Enter Invoices'!D:D,B132,'Enter Invoices'!J:J,"D")),"")</f>
        <v/>
      </c>
      <c r="H132" s="47" t="str">
        <f t="shared" si="3"/>
        <v/>
      </c>
    </row>
    <row r="133" spans="3:8" s="43" customFormat="1" ht="15" customHeight="1" x14ac:dyDescent="0.25">
      <c r="C133" s="75" t="str">
        <f>IFERROR(VLOOKUP(B133,'Open Invoices'!C:F,4,0),"")</f>
        <v/>
      </c>
      <c r="D133" s="75" t="str">
        <f>IFERROR(IF(OR(B133="",B133="(BLANK)"),"",SUMIFS('Enter Invoices'!G:G,'Enter Invoices'!D:D,B133,'Enter Invoices'!J:J,"A")),"")</f>
        <v/>
      </c>
      <c r="E133" s="75" t="str">
        <f>IFERROR(IF(OR(B133="",B133="(BLANK)"),"",SUMIFS('Enter Invoices'!G:G,'Enter Invoices'!D:D,B133,'Enter Invoices'!J:J,"B")),"")</f>
        <v/>
      </c>
      <c r="F133" s="75" t="str">
        <f>IFERROR(IF(OR(B133="",B133="(BLANK)"),"",SUMIFS('Enter Invoices'!G:G,'Enter Invoices'!D:D,B133,'Enter Invoices'!J:J,"C")),"")</f>
        <v/>
      </c>
      <c r="G133" s="46" t="str">
        <f>IFERROR(IF(OR(B133="",B133="(BLANK)"),"",SUMIFS('Enter Invoices'!G:G,'Enter Invoices'!D:D,B133,'Enter Invoices'!J:J,"D")),"")</f>
        <v/>
      </c>
      <c r="H133" s="47" t="str">
        <f t="shared" si="3"/>
        <v/>
      </c>
    </row>
    <row r="134" spans="3:8" s="43" customFormat="1" ht="15" customHeight="1" x14ac:dyDescent="0.25">
      <c r="C134" s="75" t="str">
        <f>IFERROR(VLOOKUP(B134,'Open Invoices'!C:F,4,0),"")</f>
        <v/>
      </c>
      <c r="D134" s="75" t="str">
        <f>IFERROR(IF(OR(B134="",B134="(BLANK)"),"",SUMIFS('Enter Invoices'!G:G,'Enter Invoices'!D:D,B134,'Enter Invoices'!J:J,"A")),"")</f>
        <v/>
      </c>
      <c r="E134" s="75" t="str">
        <f>IFERROR(IF(OR(B134="",B134="(BLANK)"),"",SUMIFS('Enter Invoices'!G:G,'Enter Invoices'!D:D,B134,'Enter Invoices'!J:J,"B")),"")</f>
        <v/>
      </c>
      <c r="F134" s="75" t="str">
        <f>IFERROR(IF(OR(B134="",B134="(BLANK)"),"",SUMIFS('Enter Invoices'!G:G,'Enter Invoices'!D:D,B134,'Enter Invoices'!J:J,"C")),"")</f>
        <v/>
      </c>
      <c r="G134" s="46" t="str">
        <f>IFERROR(IF(OR(B134="",B134="(BLANK)"),"",SUMIFS('Enter Invoices'!G:G,'Enter Invoices'!D:D,B134,'Enter Invoices'!J:J,"D")),"")</f>
        <v/>
      </c>
      <c r="H134" s="47" t="str">
        <f t="shared" si="3"/>
        <v/>
      </c>
    </row>
    <row r="135" spans="3:8" s="43" customFormat="1" ht="15" customHeight="1" x14ac:dyDescent="0.25">
      <c r="C135" s="75" t="str">
        <f>IFERROR(VLOOKUP(B135,'Open Invoices'!C:F,4,0),"")</f>
        <v/>
      </c>
      <c r="D135" s="75" t="str">
        <f>IFERROR(IF(OR(B135="",B135="(BLANK)"),"",SUMIFS('Enter Invoices'!G:G,'Enter Invoices'!D:D,B135,'Enter Invoices'!J:J,"A")),"")</f>
        <v/>
      </c>
      <c r="E135" s="75" t="str">
        <f>IFERROR(IF(OR(B135="",B135="(BLANK)"),"",SUMIFS('Enter Invoices'!G:G,'Enter Invoices'!D:D,B135,'Enter Invoices'!J:J,"B")),"")</f>
        <v/>
      </c>
      <c r="F135" s="75" t="str">
        <f>IFERROR(IF(OR(B135="",B135="(BLANK)"),"",SUMIFS('Enter Invoices'!G:G,'Enter Invoices'!D:D,B135,'Enter Invoices'!J:J,"C")),"")</f>
        <v/>
      </c>
      <c r="G135" s="46" t="str">
        <f>IFERROR(IF(OR(B135="",B135="(BLANK)"),"",SUMIFS('Enter Invoices'!G:G,'Enter Invoices'!D:D,B135,'Enter Invoices'!J:J,"D")),"")</f>
        <v/>
      </c>
      <c r="H135" s="47" t="str">
        <f t="shared" si="3"/>
        <v/>
      </c>
    </row>
    <row r="136" spans="3:8" s="43" customFormat="1" ht="15" customHeight="1" x14ac:dyDescent="0.25">
      <c r="C136" s="75" t="str">
        <f>IFERROR(VLOOKUP(B136,'Open Invoices'!C:F,4,0),"")</f>
        <v/>
      </c>
      <c r="D136" s="75" t="str">
        <f>IFERROR(IF(OR(B136="",B136="(BLANK)"),"",SUMIFS('Enter Invoices'!G:G,'Enter Invoices'!D:D,B136,'Enter Invoices'!J:J,"A")),"")</f>
        <v/>
      </c>
      <c r="E136" s="75" t="str">
        <f>IFERROR(IF(OR(B136="",B136="(BLANK)"),"",SUMIFS('Enter Invoices'!G:G,'Enter Invoices'!D:D,B136,'Enter Invoices'!J:J,"B")),"")</f>
        <v/>
      </c>
      <c r="F136" s="75" t="str">
        <f>IFERROR(IF(OR(B136="",B136="(BLANK)"),"",SUMIFS('Enter Invoices'!G:G,'Enter Invoices'!D:D,B136,'Enter Invoices'!J:J,"C")),"")</f>
        <v/>
      </c>
      <c r="G136" s="46" t="str">
        <f>IFERROR(IF(OR(B136="",B136="(BLANK)"),"",SUMIFS('Enter Invoices'!G:G,'Enter Invoices'!D:D,B136,'Enter Invoices'!J:J,"D")),"")</f>
        <v/>
      </c>
      <c r="H136" s="47" t="str">
        <f t="shared" ref="H136:H199" si="4">IF(COUNT(D136:G136)=0,"",SUM(D136:G136))</f>
        <v/>
      </c>
    </row>
    <row r="137" spans="3:8" s="43" customFormat="1" ht="15" customHeight="1" x14ac:dyDescent="0.25">
      <c r="C137" s="75" t="str">
        <f>IFERROR(VLOOKUP(B137,'Open Invoices'!C:F,4,0),"")</f>
        <v/>
      </c>
      <c r="D137" s="75" t="str">
        <f>IFERROR(IF(OR(B137="",B137="(BLANK)"),"",SUMIFS('Enter Invoices'!G:G,'Enter Invoices'!D:D,B137,'Enter Invoices'!J:J,"A")),"")</f>
        <v/>
      </c>
      <c r="E137" s="75" t="str">
        <f>IFERROR(IF(OR(B137="",B137="(BLANK)"),"",SUMIFS('Enter Invoices'!G:G,'Enter Invoices'!D:D,B137,'Enter Invoices'!J:J,"B")),"")</f>
        <v/>
      </c>
      <c r="F137" s="75" t="str">
        <f>IFERROR(IF(OR(B137="",B137="(BLANK)"),"",SUMIFS('Enter Invoices'!G:G,'Enter Invoices'!D:D,B137,'Enter Invoices'!J:J,"C")),"")</f>
        <v/>
      </c>
      <c r="G137" s="46" t="str">
        <f>IFERROR(IF(OR(B137="",B137="(BLANK)"),"",SUMIFS('Enter Invoices'!G:G,'Enter Invoices'!D:D,B137,'Enter Invoices'!J:J,"D")),"")</f>
        <v/>
      </c>
      <c r="H137" s="47" t="str">
        <f t="shared" si="4"/>
        <v/>
      </c>
    </row>
    <row r="138" spans="3:8" s="43" customFormat="1" ht="15" customHeight="1" x14ac:dyDescent="0.25">
      <c r="C138" s="75" t="str">
        <f>IFERROR(VLOOKUP(B138,'Open Invoices'!C:F,4,0),"")</f>
        <v/>
      </c>
      <c r="D138" s="75" t="str">
        <f>IFERROR(IF(OR(B138="",B138="(BLANK)"),"",SUMIFS('Enter Invoices'!G:G,'Enter Invoices'!D:D,B138,'Enter Invoices'!J:J,"A")),"")</f>
        <v/>
      </c>
      <c r="E138" s="75" t="str">
        <f>IFERROR(IF(OR(B138="",B138="(BLANK)"),"",SUMIFS('Enter Invoices'!G:G,'Enter Invoices'!D:D,B138,'Enter Invoices'!J:J,"B")),"")</f>
        <v/>
      </c>
      <c r="F138" s="75" t="str">
        <f>IFERROR(IF(OR(B138="",B138="(BLANK)"),"",SUMIFS('Enter Invoices'!G:G,'Enter Invoices'!D:D,B138,'Enter Invoices'!J:J,"C")),"")</f>
        <v/>
      </c>
      <c r="G138" s="46" t="str">
        <f>IFERROR(IF(OR(B138="",B138="(BLANK)"),"",SUMIFS('Enter Invoices'!G:G,'Enter Invoices'!D:D,B138,'Enter Invoices'!J:J,"D")),"")</f>
        <v/>
      </c>
      <c r="H138" s="47" t="str">
        <f t="shared" si="4"/>
        <v/>
      </c>
    </row>
    <row r="139" spans="3:8" s="43" customFormat="1" ht="15" customHeight="1" x14ac:dyDescent="0.25">
      <c r="C139" s="75" t="str">
        <f>IFERROR(VLOOKUP(B139,'Open Invoices'!C:F,4,0),"")</f>
        <v/>
      </c>
      <c r="D139" s="75" t="str">
        <f>IFERROR(IF(OR(B139="",B139="(BLANK)"),"",SUMIFS('Enter Invoices'!G:G,'Enter Invoices'!D:D,B139,'Enter Invoices'!J:J,"A")),"")</f>
        <v/>
      </c>
      <c r="E139" s="75" t="str">
        <f>IFERROR(IF(OR(B139="",B139="(BLANK)"),"",SUMIFS('Enter Invoices'!G:G,'Enter Invoices'!D:D,B139,'Enter Invoices'!J:J,"B")),"")</f>
        <v/>
      </c>
      <c r="F139" s="75" t="str">
        <f>IFERROR(IF(OR(B139="",B139="(BLANK)"),"",SUMIFS('Enter Invoices'!G:G,'Enter Invoices'!D:D,B139,'Enter Invoices'!J:J,"C")),"")</f>
        <v/>
      </c>
      <c r="G139" s="46" t="str">
        <f>IFERROR(IF(OR(B139="",B139="(BLANK)"),"",SUMIFS('Enter Invoices'!G:G,'Enter Invoices'!D:D,B139,'Enter Invoices'!J:J,"D")),"")</f>
        <v/>
      </c>
      <c r="H139" s="47" t="str">
        <f t="shared" si="4"/>
        <v/>
      </c>
    </row>
    <row r="140" spans="3:8" s="43" customFormat="1" ht="15" customHeight="1" x14ac:dyDescent="0.25">
      <c r="C140" s="75" t="str">
        <f>IFERROR(VLOOKUP(B140,'Open Invoices'!C:F,4,0),"")</f>
        <v/>
      </c>
      <c r="D140" s="75" t="str">
        <f>IFERROR(IF(OR(B140="",B140="(BLANK)"),"",SUMIFS('Enter Invoices'!G:G,'Enter Invoices'!D:D,B140,'Enter Invoices'!J:J,"A")),"")</f>
        <v/>
      </c>
      <c r="E140" s="75" t="str">
        <f>IFERROR(IF(OR(B140="",B140="(BLANK)"),"",SUMIFS('Enter Invoices'!G:G,'Enter Invoices'!D:D,B140,'Enter Invoices'!J:J,"B")),"")</f>
        <v/>
      </c>
      <c r="F140" s="75" t="str">
        <f>IFERROR(IF(OR(B140="",B140="(BLANK)"),"",SUMIFS('Enter Invoices'!G:G,'Enter Invoices'!D:D,B140,'Enter Invoices'!J:J,"C")),"")</f>
        <v/>
      </c>
      <c r="G140" s="46" t="str">
        <f>IFERROR(IF(OR(B140="",B140="(BLANK)"),"",SUMIFS('Enter Invoices'!G:G,'Enter Invoices'!D:D,B140,'Enter Invoices'!J:J,"D")),"")</f>
        <v/>
      </c>
      <c r="H140" s="47" t="str">
        <f t="shared" si="4"/>
        <v/>
      </c>
    </row>
    <row r="141" spans="3:8" s="43" customFormat="1" ht="15" customHeight="1" x14ac:dyDescent="0.25">
      <c r="C141" s="75" t="str">
        <f>IFERROR(VLOOKUP(B141,'Open Invoices'!C:F,4,0),"")</f>
        <v/>
      </c>
      <c r="D141" s="75" t="str">
        <f>IFERROR(IF(OR(B141="",B141="(BLANK)"),"",SUMIFS('Enter Invoices'!G:G,'Enter Invoices'!D:D,B141,'Enter Invoices'!J:J,"A")),"")</f>
        <v/>
      </c>
      <c r="E141" s="75" t="str">
        <f>IFERROR(IF(OR(B141="",B141="(BLANK)"),"",SUMIFS('Enter Invoices'!G:G,'Enter Invoices'!D:D,B141,'Enter Invoices'!J:J,"B")),"")</f>
        <v/>
      </c>
      <c r="F141" s="75" t="str">
        <f>IFERROR(IF(OR(B141="",B141="(BLANK)"),"",SUMIFS('Enter Invoices'!G:G,'Enter Invoices'!D:D,B141,'Enter Invoices'!J:J,"C")),"")</f>
        <v/>
      </c>
      <c r="G141" s="46" t="str">
        <f>IFERROR(IF(OR(B141="",B141="(BLANK)"),"",SUMIFS('Enter Invoices'!G:G,'Enter Invoices'!D:D,B141,'Enter Invoices'!J:J,"D")),"")</f>
        <v/>
      </c>
      <c r="H141" s="47" t="str">
        <f t="shared" si="4"/>
        <v/>
      </c>
    </row>
    <row r="142" spans="3:8" s="43" customFormat="1" ht="15" customHeight="1" x14ac:dyDescent="0.25">
      <c r="C142" s="75" t="str">
        <f>IFERROR(VLOOKUP(B142,'Open Invoices'!C:F,4,0),"")</f>
        <v/>
      </c>
      <c r="D142" s="75" t="str">
        <f>IFERROR(IF(OR(B142="",B142="(BLANK)"),"",SUMIFS('Enter Invoices'!G:G,'Enter Invoices'!D:D,B142,'Enter Invoices'!J:J,"A")),"")</f>
        <v/>
      </c>
      <c r="E142" s="75" t="str">
        <f>IFERROR(IF(OR(B142="",B142="(BLANK)"),"",SUMIFS('Enter Invoices'!G:G,'Enter Invoices'!D:D,B142,'Enter Invoices'!J:J,"B")),"")</f>
        <v/>
      </c>
      <c r="F142" s="75" t="str">
        <f>IFERROR(IF(OR(B142="",B142="(BLANK)"),"",SUMIFS('Enter Invoices'!G:G,'Enter Invoices'!D:D,B142,'Enter Invoices'!J:J,"C")),"")</f>
        <v/>
      </c>
      <c r="G142" s="46" t="str">
        <f>IFERROR(IF(OR(B142="",B142="(BLANK)"),"",SUMIFS('Enter Invoices'!G:G,'Enter Invoices'!D:D,B142,'Enter Invoices'!J:J,"D")),"")</f>
        <v/>
      </c>
      <c r="H142" s="47" t="str">
        <f t="shared" si="4"/>
        <v/>
      </c>
    </row>
    <row r="143" spans="3:8" s="43" customFormat="1" ht="15" customHeight="1" x14ac:dyDescent="0.25">
      <c r="C143" s="75" t="str">
        <f>IFERROR(VLOOKUP(B143,'Open Invoices'!C:F,4,0),"")</f>
        <v/>
      </c>
      <c r="D143" s="75" t="str">
        <f>IFERROR(IF(OR(B143="",B143="(BLANK)"),"",SUMIFS('Enter Invoices'!G:G,'Enter Invoices'!D:D,B143,'Enter Invoices'!J:J,"A")),"")</f>
        <v/>
      </c>
      <c r="E143" s="75" t="str">
        <f>IFERROR(IF(OR(B143="",B143="(BLANK)"),"",SUMIFS('Enter Invoices'!G:G,'Enter Invoices'!D:D,B143,'Enter Invoices'!J:J,"B")),"")</f>
        <v/>
      </c>
      <c r="F143" s="75" t="str">
        <f>IFERROR(IF(OR(B143="",B143="(BLANK)"),"",SUMIFS('Enter Invoices'!G:G,'Enter Invoices'!D:D,B143,'Enter Invoices'!J:J,"C")),"")</f>
        <v/>
      </c>
      <c r="G143" s="46" t="str">
        <f>IFERROR(IF(OR(B143="",B143="(BLANK)"),"",SUMIFS('Enter Invoices'!G:G,'Enter Invoices'!D:D,B143,'Enter Invoices'!J:J,"D")),"")</f>
        <v/>
      </c>
      <c r="H143" s="47" t="str">
        <f t="shared" si="4"/>
        <v/>
      </c>
    </row>
    <row r="144" spans="3:8" s="43" customFormat="1" ht="15" customHeight="1" x14ac:dyDescent="0.25">
      <c r="C144" s="75" t="str">
        <f>IFERROR(VLOOKUP(B144,'Open Invoices'!C:F,4,0),"")</f>
        <v/>
      </c>
      <c r="D144" s="75" t="str">
        <f>IFERROR(IF(OR(B144="",B144="(BLANK)"),"",SUMIFS('Enter Invoices'!G:G,'Enter Invoices'!D:D,B144,'Enter Invoices'!J:J,"A")),"")</f>
        <v/>
      </c>
      <c r="E144" s="75" t="str">
        <f>IFERROR(IF(OR(B144="",B144="(BLANK)"),"",SUMIFS('Enter Invoices'!G:G,'Enter Invoices'!D:D,B144,'Enter Invoices'!J:J,"B")),"")</f>
        <v/>
      </c>
      <c r="F144" s="75" t="str">
        <f>IFERROR(IF(OR(B144="",B144="(BLANK)"),"",SUMIFS('Enter Invoices'!G:G,'Enter Invoices'!D:D,B144,'Enter Invoices'!J:J,"C")),"")</f>
        <v/>
      </c>
      <c r="G144" s="46" t="str">
        <f>IFERROR(IF(OR(B144="",B144="(BLANK)"),"",SUMIFS('Enter Invoices'!G:G,'Enter Invoices'!D:D,B144,'Enter Invoices'!J:J,"D")),"")</f>
        <v/>
      </c>
      <c r="H144" s="47" t="str">
        <f t="shared" si="4"/>
        <v/>
      </c>
    </row>
    <row r="145" spans="3:8" s="43" customFormat="1" ht="15" customHeight="1" x14ac:dyDescent="0.25">
      <c r="C145" s="75" t="str">
        <f>IFERROR(VLOOKUP(B145,'Open Invoices'!C:F,4,0),"")</f>
        <v/>
      </c>
      <c r="D145" s="75" t="str">
        <f>IFERROR(IF(OR(B145="",B145="(BLANK)"),"",SUMIFS('Enter Invoices'!G:G,'Enter Invoices'!D:D,B145,'Enter Invoices'!J:J,"A")),"")</f>
        <v/>
      </c>
      <c r="E145" s="75" t="str">
        <f>IFERROR(IF(OR(B145="",B145="(BLANK)"),"",SUMIFS('Enter Invoices'!G:G,'Enter Invoices'!D:D,B145,'Enter Invoices'!J:J,"B")),"")</f>
        <v/>
      </c>
      <c r="F145" s="75" t="str">
        <f>IFERROR(IF(OR(B145="",B145="(BLANK)"),"",SUMIFS('Enter Invoices'!G:G,'Enter Invoices'!D:D,B145,'Enter Invoices'!J:J,"C")),"")</f>
        <v/>
      </c>
      <c r="G145" s="46" t="str">
        <f>IFERROR(IF(OR(B145="",B145="(BLANK)"),"",SUMIFS('Enter Invoices'!G:G,'Enter Invoices'!D:D,B145,'Enter Invoices'!J:J,"D")),"")</f>
        <v/>
      </c>
      <c r="H145" s="47" t="str">
        <f t="shared" si="4"/>
        <v/>
      </c>
    </row>
    <row r="146" spans="3:8" s="43" customFormat="1" ht="15" customHeight="1" x14ac:dyDescent="0.25">
      <c r="C146" s="75" t="str">
        <f>IFERROR(VLOOKUP(B146,'Open Invoices'!C:F,4,0),"")</f>
        <v/>
      </c>
      <c r="D146" s="75" t="str">
        <f>IFERROR(IF(OR(B146="",B146="(BLANK)"),"",SUMIFS('Enter Invoices'!G:G,'Enter Invoices'!D:D,B146,'Enter Invoices'!J:J,"A")),"")</f>
        <v/>
      </c>
      <c r="E146" s="75" t="str">
        <f>IFERROR(IF(OR(B146="",B146="(BLANK)"),"",SUMIFS('Enter Invoices'!G:G,'Enter Invoices'!D:D,B146,'Enter Invoices'!J:J,"B")),"")</f>
        <v/>
      </c>
      <c r="F146" s="75" t="str">
        <f>IFERROR(IF(OR(B146="",B146="(BLANK)"),"",SUMIFS('Enter Invoices'!G:G,'Enter Invoices'!D:D,B146,'Enter Invoices'!J:J,"C")),"")</f>
        <v/>
      </c>
      <c r="G146" s="46" t="str">
        <f>IFERROR(IF(OR(B146="",B146="(BLANK)"),"",SUMIFS('Enter Invoices'!G:G,'Enter Invoices'!D:D,B146,'Enter Invoices'!J:J,"D")),"")</f>
        <v/>
      </c>
      <c r="H146" s="47" t="str">
        <f t="shared" si="4"/>
        <v/>
      </c>
    </row>
    <row r="147" spans="3:8" s="43" customFormat="1" ht="15" customHeight="1" x14ac:dyDescent="0.25">
      <c r="C147" s="75" t="str">
        <f>IFERROR(VLOOKUP(B147,'Open Invoices'!C:F,4,0),"")</f>
        <v/>
      </c>
      <c r="D147" s="75" t="str">
        <f>IFERROR(IF(OR(B147="",B147="(BLANK)"),"",SUMIFS('Enter Invoices'!G:G,'Enter Invoices'!D:D,B147,'Enter Invoices'!J:J,"A")),"")</f>
        <v/>
      </c>
      <c r="E147" s="75" t="str">
        <f>IFERROR(IF(OR(B147="",B147="(BLANK)"),"",SUMIFS('Enter Invoices'!G:G,'Enter Invoices'!D:D,B147,'Enter Invoices'!J:J,"B")),"")</f>
        <v/>
      </c>
      <c r="F147" s="75" t="str">
        <f>IFERROR(IF(OR(B147="",B147="(BLANK)"),"",SUMIFS('Enter Invoices'!G:G,'Enter Invoices'!D:D,B147,'Enter Invoices'!J:J,"C")),"")</f>
        <v/>
      </c>
      <c r="G147" s="46" t="str">
        <f>IFERROR(IF(OR(B147="",B147="(BLANK)"),"",SUMIFS('Enter Invoices'!G:G,'Enter Invoices'!D:D,B147,'Enter Invoices'!J:J,"D")),"")</f>
        <v/>
      </c>
      <c r="H147" s="47" t="str">
        <f t="shared" si="4"/>
        <v/>
      </c>
    </row>
    <row r="148" spans="3:8" s="43" customFormat="1" ht="15" customHeight="1" x14ac:dyDescent="0.25">
      <c r="C148" s="75" t="str">
        <f>IFERROR(VLOOKUP(B148,'Open Invoices'!C:F,4,0),"")</f>
        <v/>
      </c>
      <c r="D148" s="75" t="str">
        <f>IFERROR(IF(OR(B148="",B148="(BLANK)"),"",SUMIFS('Enter Invoices'!G:G,'Enter Invoices'!D:D,B148,'Enter Invoices'!J:J,"A")),"")</f>
        <v/>
      </c>
      <c r="E148" s="75" t="str">
        <f>IFERROR(IF(OR(B148="",B148="(BLANK)"),"",SUMIFS('Enter Invoices'!G:G,'Enter Invoices'!D:D,B148,'Enter Invoices'!J:J,"B")),"")</f>
        <v/>
      </c>
      <c r="F148" s="75" t="str">
        <f>IFERROR(IF(OR(B148="",B148="(BLANK)"),"",SUMIFS('Enter Invoices'!G:G,'Enter Invoices'!D:D,B148,'Enter Invoices'!J:J,"C")),"")</f>
        <v/>
      </c>
      <c r="G148" s="46" t="str">
        <f>IFERROR(IF(OR(B148="",B148="(BLANK)"),"",SUMIFS('Enter Invoices'!G:G,'Enter Invoices'!D:D,B148,'Enter Invoices'!J:J,"D")),"")</f>
        <v/>
      </c>
      <c r="H148" s="47" t="str">
        <f t="shared" si="4"/>
        <v/>
      </c>
    </row>
    <row r="149" spans="3:8" s="43" customFormat="1" ht="15" customHeight="1" x14ac:dyDescent="0.25">
      <c r="C149" s="75" t="str">
        <f>IFERROR(VLOOKUP(B149,'Open Invoices'!C:F,4,0),"")</f>
        <v/>
      </c>
      <c r="D149" s="75" t="str">
        <f>IFERROR(IF(OR(B149="",B149="(BLANK)"),"",SUMIFS('Enter Invoices'!G:G,'Enter Invoices'!D:D,B149,'Enter Invoices'!J:J,"A")),"")</f>
        <v/>
      </c>
      <c r="E149" s="75" t="str">
        <f>IFERROR(IF(OR(B149="",B149="(BLANK)"),"",SUMIFS('Enter Invoices'!G:G,'Enter Invoices'!D:D,B149,'Enter Invoices'!J:J,"B")),"")</f>
        <v/>
      </c>
      <c r="F149" s="75" t="str">
        <f>IFERROR(IF(OR(B149="",B149="(BLANK)"),"",SUMIFS('Enter Invoices'!G:G,'Enter Invoices'!D:D,B149,'Enter Invoices'!J:J,"C")),"")</f>
        <v/>
      </c>
      <c r="G149" s="46" t="str">
        <f>IFERROR(IF(OR(B149="",B149="(BLANK)"),"",SUMIFS('Enter Invoices'!G:G,'Enter Invoices'!D:D,B149,'Enter Invoices'!J:J,"D")),"")</f>
        <v/>
      </c>
      <c r="H149" s="47" t="str">
        <f t="shared" si="4"/>
        <v/>
      </c>
    </row>
    <row r="150" spans="3:8" s="43" customFormat="1" ht="15" customHeight="1" x14ac:dyDescent="0.25">
      <c r="C150" s="75" t="str">
        <f>IFERROR(VLOOKUP(B150,'Open Invoices'!C:F,4,0),"")</f>
        <v/>
      </c>
      <c r="D150" s="75" t="str">
        <f>IFERROR(IF(OR(B150="",B150="(BLANK)"),"",SUMIFS('Enter Invoices'!G:G,'Enter Invoices'!D:D,B150,'Enter Invoices'!J:J,"A")),"")</f>
        <v/>
      </c>
      <c r="E150" s="75" t="str">
        <f>IFERROR(IF(OR(B150="",B150="(BLANK)"),"",SUMIFS('Enter Invoices'!G:G,'Enter Invoices'!D:D,B150,'Enter Invoices'!J:J,"B")),"")</f>
        <v/>
      </c>
      <c r="F150" s="75" t="str">
        <f>IFERROR(IF(OR(B150="",B150="(BLANK)"),"",SUMIFS('Enter Invoices'!G:G,'Enter Invoices'!D:D,B150,'Enter Invoices'!J:J,"C")),"")</f>
        <v/>
      </c>
      <c r="G150" s="46" t="str">
        <f>IFERROR(IF(OR(B150="",B150="(BLANK)"),"",SUMIFS('Enter Invoices'!G:G,'Enter Invoices'!D:D,B150,'Enter Invoices'!J:J,"D")),"")</f>
        <v/>
      </c>
      <c r="H150" s="47" t="str">
        <f t="shared" si="4"/>
        <v/>
      </c>
    </row>
    <row r="151" spans="3:8" s="43" customFormat="1" ht="15" customHeight="1" x14ac:dyDescent="0.25">
      <c r="C151" s="75" t="str">
        <f>IFERROR(VLOOKUP(B151,'Open Invoices'!C:F,4,0),"")</f>
        <v/>
      </c>
      <c r="D151" s="75" t="str">
        <f>IFERROR(IF(OR(B151="",B151="(BLANK)"),"",SUMIFS('Enter Invoices'!G:G,'Enter Invoices'!D:D,B151,'Enter Invoices'!J:J,"A")),"")</f>
        <v/>
      </c>
      <c r="E151" s="75" t="str">
        <f>IFERROR(IF(OR(B151="",B151="(BLANK)"),"",SUMIFS('Enter Invoices'!G:G,'Enter Invoices'!D:D,B151,'Enter Invoices'!J:J,"B")),"")</f>
        <v/>
      </c>
      <c r="F151" s="75" t="str">
        <f>IFERROR(IF(OR(B151="",B151="(BLANK)"),"",SUMIFS('Enter Invoices'!G:G,'Enter Invoices'!D:D,B151,'Enter Invoices'!J:J,"C")),"")</f>
        <v/>
      </c>
      <c r="G151" s="46" t="str">
        <f>IFERROR(IF(OR(B151="",B151="(BLANK)"),"",SUMIFS('Enter Invoices'!G:G,'Enter Invoices'!D:D,B151,'Enter Invoices'!J:J,"D")),"")</f>
        <v/>
      </c>
      <c r="H151" s="47" t="str">
        <f t="shared" si="4"/>
        <v/>
      </c>
    </row>
    <row r="152" spans="3:8" s="43" customFormat="1" ht="15" customHeight="1" x14ac:dyDescent="0.25">
      <c r="C152" s="75" t="str">
        <f>IFERROR(VLOOKUP(B152,'Open Invoices'!C:F,4,0),"")</f>
        <v/>
      </c>
      <c r="D152" s="75" t="str">
        <f>IFERROR(IF(OR(B152="",B152="(BLANK)"),"",SUMIFS('Enter Invoices'!G:G,'Enter Invoices'!D:D,B152,'Enter Invoices'!J:J,"A")),"")</f>
        <v/>
      </c>
      <c r="E152" s="75" t="str">
        <f>IFERROR(IF(OR(B152="",B152="(BLANK)"),"",SUMIFS('Enter Invoices'!G:G,'Enter Invoices'!D:D,B152,'Enter Invoices'!J:J,"B")),"")</f>
        <v/>
      </c>
      <c r="F152" s="75" t="str">
        <f>IFERROR(IF(OR(B152="",B152="(BLANK)"),"",SUMIFS('Enter Invoices'!G:G,'Enter Invoices'!D:D,B152,'Enter Invoices'!J:J,"C")),"")</f>
        <v/>
      </c>
      <c r="G152" s="46" t="str">
        <f>IFERROR(IF(OR(B152="",B152="(BLANK)"),"",SUMIFS('Enter Invoices'!G:G,'Enter Invoices'!D:D,B152,'Enter Invoices'!J:J,"D")),"")</f>
        <v/>
      </c>
      <c r="H152" s="47" t="str">
        <f t="shared" si="4"/>
        <v/>
      </c>
    </row>
    <row r="153" spans="3:8" s="43" customFormat="1" ht="15" customHeight="1" x14ac:dyDescent="0.25">
      <c r="C153" s="75" t="str">
        <f>IFERROR(VLOOKUP(B153,'Open Invoices'!C:F,4,0),"")</f>
        <v/>
      </c>
      <c r="D153" s="75" t="str">
        <f>IFERROR(IF(OR(B153="",B153="(BLANK)"),"",SUMIFS('Enter Invoices'!G:G,'Enter Invoices'!D:D,B153,'Enter Invoices'!J:J,"A")),"")</f>
        <v/>
      </c>
      <c r="E153" s="75" t="str">
        <f>IFERROR(IF(OR(B153="",B153="(BLANK)"),"",SUMIFS('Enter Invoices'!G:G,'Enter Invoices'!D:D,B153,'Enter Invoices'!J:J,"B")),"")</f>
        <v/>
      </c>
      <c r="F153" s="75" t="str">
        <f>IFERROR(IF(OR(B153="",B153="(BLANK)"),"",SUMIFS('Enter Invoices'!G:G,'Enter Invoices'!D:D,B153,'Enter Invoices'!J:J,"C")),"")</f>
        <v/>
      </c>
      <c r="G153" s="46" t="str">
        <f>IFERROR(IF(OR(B153="",B153="(BLANK)"),"",SUMIFS('Enter Invoices'!G:G,'Enter Invoices'!D:D,B153,'Enter Invoices'!J:J,"D")),"")</f>
        <v/>
      </c>
      <c r="H153" s="47" t="str">
        <f t="shared" si="4"/>
        <v/>
      </c>
    </row>
    <row r="154" spans="3:8" s="43" customFormat="1" ht="15" customHeight="1" x14ac:dyDescent="0.25">
      <c r="C154" s="75" t="str">
        <f>IFERROR(VLOOKUP(B154,'Open Invoices'!C:F,4,0),"")</f>
        <v/>
      </c>
      <c r="D154" s="75" t="str">
        <f>IFERROR(IF(OR(B154="",B154="(BLANK)"),"",SUMIFS('Enter Invoices'!G:G,'Enter Invoices'!D:D,B154,'Enter Invoices'!J:J,"A")),"")</f>
        <v/>
      </c>
      <c r="E154" s="75" t="str">
        <f>IFERROR(IF(OR(B154="",B154="(BLANK)"),"",SUMIFS('Enter Invoices'!G:G,'Enter Invoices'!D:D,B154,'Enter Invoices'!J:J,"B")),"")</f>
        <v/>
      </c>
      <c r="F154" s="75" t="str">
        <f>IFERROR(IF(OR(B154="",B154="(BLANK)"),"",SUMIFS('Enter Invoices'!G:G,'Enter Invoices'!D:D,B154,'Enter Invoices'!J:J,"C")),"")</f>
        <v/>
      </c>
      <c r="G154" s="46" t="str">
        <f>IFERROR(IF(OR(B154="",B154="(BLANK)"),"",SUMIFS('Enter Invoices'!G:G,'Enter Invoices'!D:D,B154,'Enter Invoices'!J:J,"D")),"")</f>
        <v/>
      </c>
      <c r="H154" s="47" t="str">
        <f t="shared" si="4"/>
        <v/>
      </c>
    </row>
    <row r="155" spans="3:8" s="43" customFormat="1" ht="15" customHeight="1" x14ac:dyDescent="0.25">
      <c r="C155" s="75" t="str">
        <f>IFERROR(VLOOKUP(B155,'Open Invoices'!C:F,4,0),"")</f>
        <v/>
      </c>
      <c r="D155" s="75" t="str">
        <f>IFERROR(IF(OR(B155="",B155="(BLANK)"),"",SUMIFS('Enter Invoices'!G:G,'Enter Invoices'!D:D,B155,'Enter Invoices'!J:J,"A")),"")</f>
        <v/>
      </c>
      <c r="E155" s="75" t="str">
        <f>IFERROR(IF(OR(B155="",B155="(BLANK)"),"",SUMIFS('Enter Invoices'!G:G,'Enter Invoices'!D:D,B155,'Enter Invoices'!J:J,"B")),"")</f>
        <v/>
      </c>
      <c r="F155" s="75" t="str">
        <f>IFERROR(IF(OR(B155="",B155="(BLANK)"),"",SUMIFS('Enter Invoices'!G:G,'Enter Invoices'!D:D,B155,'Enter Invoices'!J:J,"C")),"")</f>
        <v/>
      </c>
      <c r="G155" s="46" t="str">
        <f>IFERROR(IF(OR(B155="",B155="(BLANK)"),"",SUMIFS('Enter Invoices'!G:G,'Enter Invoices'!D:D,B155,'Enter Invoices'!J:J,"D")),"")</f>
        <v/>
      </c>
      <c r="H155" s="47" t="str">
        <f t="shared" si="4"/>
        <v/>
      </c>
    </row>
    <row r="156" spans="3:8" s="43" customFormat="1" ht="15" customHeight="1" x14ac:dyDescent="0.25">
      <c r="C156" s="75" t="str">
        <f>IFERROR(VLOOKUP(B156,'Open Invoices'!C:F,4,0),"")</f>
        <v/>
      </c>
      <c r="D156" s="75" t="str">
        <f>IFERROR(IF(OR(B156="",B156="(BLANK)"),"",SUMIFS('Enter Invoices'!G:G,'Enter Invoices'!D:D,B156,'Enter Invoices'!J:J,"A")),"")</f>
        <v/>
      </c>
      <c r="E156" s="75" t="str">
        <f>IFERROR(IF(OR(B156="",B156="(BLANK)"),"",SUMIFS('Enter Invoices'!G:G,'Enter Invoices'!D:D,B156,'Enter Invoices'!J:J,"B")),"")</f>
        <v/>
      </c>
      <c r="F156" s="75" t="str">
        <f>IFERROR(IF(OR(B156="",B156="(BLANK)"),"",SUMIFS('Enter Invoices'!G:G,'Enter Invoices'!D:D,B156,'Enter Invoices'!J:J,"C")),"")</f>
        <v/>
      </c>
      <c r="G156" s="46" t="str">
        <f>IFERROR(IF(OR(B156="",B156="(BLANK)"),"",SUMIFS('Enter Invoices'!G:G,'Enter Invoices'!D:D,B156,'Enter Invoices'!J:J,"D")),"")</f>
        <v/>
      </c>
      <c r="H156" s="47" t="str">
        <f t="shared" si="4"/>
        <v/>
      </c>
    </row>
    <row r="157" spans="3:8" s="43" customFormat="1" ht="15" customHeight="1" x14ac:dyDescent="0.25">
      <c r="C157" s="75" t="str">
        <f>IFERROR(VLOOKUP(B157,'Open Invoices'!C:F,4,0),"")</f>
        <v/>
      </c>
      <c r="D157" s="75" t="str">
        <f>IFERROR(IF(OR(B157="",B157="(BLANK)"),"",SUMIFS('Enter Invoices'!G:G,'Enter Invoices'!D:D,B157,'Enter Invoices'!J:J,"A")),"")</f>
        <v/>
      </c>
      <c r="E157" s="75" t="str">
        <f>IFERROR(IF(OR(B157="",B157="(BLANK)"),"",SUMIFS('Enter Invoices'!G:G,'Enter Invoices'!D:D,B157,'Enter Invoices'!J:J,"B")),"")</f>
        <v/>
      </c>
      <c r="F157" s="75" t="str">
        <f>IFERROR(IF(OR(B157="",B157="(BLANK)"),"",SUMIFS('Enter Invoices'!G:G,'Enter Invoices'!D:D,B157,'Enter Invoices'!J:J,"C")),"")</f>
        <v/>
      </c>
      <c r="G157" s="46" t="str">
        <f>IFERROR(IF(OR(B157="",B157="(BLANK)"),"",SUMIFS('Enter Invoices'!G:G,'Enter Invoices'!D:D,B157,'Enter Invoices'!J:J,"D")),"")</f>
        <v/>
      </c>
      <c r="H157" s="47" t="str">
        <f t="shared" si="4"/>
        <v/>
      </c>
    </row>
    <row r="158" spans="3:8" s="43" customFormat="1" ht="15" customHeight="1" x14ac:dyDescent="0.25">
      <c r="C158" s="75" t="str">
        <f>IFERROR(VLOOKUP(B158,'Open Invoices'!C:F,4,0),"")</f>
        <v/>
      </c>
      <c r="D158" s="75" t="str">
        <f>IFERROR(IF(OR(B158="",B158="(BLANK)"),"",SUMIFS('Enter Invoices'!G:G,'Enter Invoices'!D:D,B158,'Enter Invoices'!J:J,"A")),"")</f>
        <v/>
      </c>
      <c r="E158" s="75" t="str">
        <f>IFERROR(IF(OR(B158="",B158="(BLANK)"),"",SUMIFS('Enter Invoices'!G:G,'Enter Invoices'!D:D,B158,'Enter Invoices'!J:J,"B")),"")</f>
        <v/>
      </c>
      <c r="F158" s="75" t="str">
        <f>IFERROR(IF(OR(B158="",B158="(BLANK)"),"",SUMIFS('Enter Invoices'!G:G,'Enter Invoices'!D:D,B158,'Enter Invoices'!J:J,"C")),"")</f>
        <v/>
      </c>
      <c r="G158" s="46" t="str">
        <f>IFERROR(IF(OR(B158="",B158="(BLANK)"),"",SUMIFS('Enter Invoices'!G:G,'Enter Invoices'!D:D,B158,'Enter Invoices'!J:J,"D")),"")</f>
        <v/>
      </c>
      <c r="H158" s="47" t="str">
        <f t="shared" si="4"/>
        <v/>
      </c>
    </row>
    <row r="159" spans="3:8" s="43" customFormat="1" ht="15" customHeight="1" x14ac:dyDescent="0.25">
      <c r="C159" s="75" t="str">
        <f>IFERROR(VLOOKUP(B159,'Open Invoices'!C:F,4,0),"")</f>
        <v/>
      </c>
      <c r="D159" s="75" t="str">
        <f>IFERROR(IF(OR(B159="",B159="(BLANK)"),"",SUMIFS('Enter Invoices'!G:G,'Enter Invoices'!D:D,B159,'Enter Invoices'!J:J,"A")),"")</f>
        <v/>
      </c>
      <c r="E159" s="75" t="str">
        <f>IFERROR(IF(OR(B159="",B159="(BLANK)"),"",SUMIFS('Enter Invoices'!G:G,'Enter Invoices'!D:D,B159,'Enter Invoices'!J:J,"B")),"")</f>
        <v/>
      </c>
      <c r="F159" s="75" t="str">
        <f>IFERROR(IF(OR(B159="",B159="(BLANK)"),"",SUMIFS('Enter Invoices'!G:G,'Enter Invoices'!D:D,B159,'Enter Invoices'!J:J,"C")),"")</f>
        <v/>
      </c>
      <c r="G159" s="46" t="str">
        <f>IFERROR(IF(OR(B159="",B159="(BLANK)"),"",SUMIFS('Enter Invoices'!G:G,'Enter Invoices'!D:D,B159,'Enter Invoices'!J:J,"D")),"")</f>
        <v/>
      </c>
      <c r="H159" s="47" t="str">
        <f t="shared" si="4"/>
        <v/>
      </c>
    </row>
    <row r="160" spans="3:8" s="43" customFormat="1" ht="15" customHeight="1" x14ac:dyDescent="0.25">
      <c r="C160" s="75" t="str">
        <f>IFERROR(VLOOKUP(B160,'Open Invoices'!C:F,4,0),"")</f>
        <v/>
      </c>
      <c r="D160" s="75" t="str">
        <f>IFERROR(IF(OR(B160="",B160="(BLANK)"),"",SUMIFS('Enter Invoices'!G:G,'Enter Invoices'!D:D,B160,'Enter Invoices'!J:J,"A")),"")</f>
        <v/>
      </c>
      <c r="E160" s="75" t="str">
        <f>IFERROR(IF(OR(B160="",B160="(BLANK)"),"",SUMIFS('Enter Invoices'!G:G,'Enter Invoices'!D:D,B160,'Enter Invoices'!J:J,"B")),"")</f>
        <v/>
      </c>
      <c r="F160" s="75" t="str">
        <f>IFERROR(IF(OR(B160="",B160="(BLANK)"),"",SUMIFS('Enter Invoices'!G:G,'Enter Invoices'!D:D,B160,'Enter Invoices'!J:J,"C")),"")</f>
        <v/>
      </c>
      <c r="G160" s="46" t="str">
        <f>IFERROR(IF(OR(B160="",B160="(BLANK)"),"",SUMIFS('Enter Invoices'!G:G,'Enter Invoices'!D:D,B160,'Enter Invoices'!J:J,"D")),"")</f>
        <v/>
      </c>
      <c r="H160" s="47" t="str">
        <f t="shared" si="4"/>
        <v/>
      </c>
    </row>
    <row r="161" spans="3:8" s="43" customFormat="1" ht="15" customHeight="1" x14ac:dyDescent="0.25">
      <c r="C161" s="75" t="str">
        <f>IFERROR(VLOOKUP(B161,'Open Invoices'!C:F,4,0),"")</f>
        <v/>
      </c>
      <c r="D161" s="75" t="str">
        <f>IFERROR(IF(OR(B161="",B161="(BLANK)"),"",SUMIFS('Enter Invoices'!G:G,'Enter Invoices'!D:D,B161,'Enter Invoices'!J:J,"A")),"")</f>
        <v/>
      </c>
      <c r="E161" s="75" t="str">
        <f>IFERROR(IF(OR(B161="",B161="(BLANK)"),"",SUMIFS('Enter Invoices'!G:G,'Enter Invoices'!D:D,B161,'Enter Invoices'!J:J,"B")),"")</f>
        <v/>
      </c>
      <c r="F161" s="75" t="str">
        <f>IFERROR(IF(OR(B161="",B161="(BLANK)"),"",SUMIFS('Enter Invoices'!G:G,'Enter Invoices'!D:D,B161,'Enter Invoices'!J:J,"C")),"")</f>
        <v/>
      </c>
      <c r="G161" s="46" t="str">
        <f>IFERROR(IF(OR(B161="",B161="(BLANK)"),"",SUMIFS('Enter Invoices'!G:G,'Enter Invoices'!D:D,B161,'Enter Invoices'!J:J,"D")),"")</f>
        <v/>
      </c>
      <c r="H161" s="47" t="str">
        <f t="shared" si="4"/>
        <v/>
      </c>
    </row>
    <row r="162" spans="3:8" s="43" customFormat="1" ht="15" customHeight="1" x14ac:dyDescent="0.25">
      <c r="C162" s="75" t="str">
        <f>IFERROR(VLOOKUP(B162,'Open Invoices'!C:F,4,0),"")</f>
        <v/>
      </c>
      <c r="D162" s="75" t="str">
        <f>IFERROR(IF(OR(B162="",B162="(BLANK)"),"",SUMIFS('Enter Invoices'!G:G,'Enter Invoices'!D:D,B162,'Enter Invoices'!J:J,"A")),"")</f>
        <v/>
      </c>
      <c r="E162" s="75" t="str">
        <f>IFERROR(IF(OR(B162="",B162="(BLANK)"),"",SUMIFS('Enter Invoices'!G:G,'Enter Invoices'!D:D,B162,'Enter Invoices'!J:J,"B")),"")</f>
        <v/>
      </c>
      <c r="F162" s="75" t="str">
        <f>IFERROR(IF(OR(B162="",B162="(BLANK)"),"",SUMIFS('Enter Invoices'!G:G,'Enter Invoices'!D:D,B162,'Enter Invoices'!J:J,"C")),"")</f>
        <v/>
      </c>
      <c r="G162" s="46" t="str">
        <f>IFERROR(IF(OR(B162="",B162="(BLANK)"),"",SUMIFS('Enter Invoices'!G:G,'Enter Invoices'!D:D,B162,'Enter Invoices'!J:J,"D")),"")</f>
        <v/>
      </c>
      <c r="H162" s="47" t="str">
        <f t="shared" si="4"/>
        <v/>
      </c>
    </row>
    <row r="163" spans="3:8" s="43" customFormat="1" ht="15" customHeight="1" x14ac:dyDescent="0.25">
      <c r="C163" s="75" t="str">
        <f>IFERROR(VLOOKUP(B163,'Open Invoices'!C:F,4,0),"")</f>
        <v/>
      </c>
      <c r="D163" s="75" t="str">
        <f>IFERROR(IF(OR(B163="",B163="(BLANK)"),"",SUMIFS('Enter Invoices'!G:G,'Enter Invoices'!D:D,B163,'Enter Invoices'!J:J,"A")),"")</f>
        <v/>
      </c>
      <c r="E163" s="75" t="str">
        <f>IFERROR(IF(OR(B163="",B163="(BLANK)"),"",SUMIFS('Enter Invoices'!G:G,'Enter Invoices'!D:D,B163,'Enter Invoices'!J:J,"B")),"")</f>
        <v/>
      </c>
      <c r="F163" s="75" t="str">
        <f>IFERROR(IF(OR(B163="",B163="(BLANK)"),"",SUMIFS('Enter Invoices'!G:G,'Enter Invoices'!D:D,B163,'Enter Invoices'!J:J,"C")),"")</f>
        <v/>
      </c>
      <c r="G163" s="46" t="str">
        <f>IFERROR(IF(OR(B163="",B163="(BLANK)"),"",SUMIFS('Enter Invoices'!G:G,'Enter Invoices'!D:D,B163,'Enter Invoices'!J:J,"D")),"")</f>
        <v/>
      </c>
      <c r="H163" s="47" t="str">
        <f t="shared" si="4"/>
        <v/>
      </c>
    </row>
    <row r="164" spans="3:8" s="43" customFormat="1" ht="15" customHeight="1" x14ac:dyDescent="0.25">
      <c r="C164" s="75" t="str">
        <f>IFERROR(VLOOKUP(B164,'Open Invoices'!C:F,4,0),"")</f>
        <v/>
      </c>
      <c r="D164" s="75" t="str">
        <f>IFERROR(IF(OR(B164="",B164="(BLANK)"),"",SUMIFS('Enter Invoices'!G:G,'Enter Invoices'!D:D,B164,'Enter Invoices'!J:J,"A")),"")</f>
        <v/>
      </c>
      <c r="E164" s="75" t="str">
        <f>IFERROR(IF(OR(B164="",B164="(BLANK)"),"",SUMIFS('Enter Invoices'!G:G,'Enter Invoices'!D:D,B164,'Enter Invoices'!J:J,"B")),"")</f>
        <v/>
      </c>
      <c r="F164" s="75" t="str">
        <f>IFERROR(IF(OR(B164="",B164="(BLANK)"),"",SUMIFS('Enter Invoices'!G:G,'Enter Invoices'!D:D,B164,'Enter Invoices'!J:J,"C")),"")</f>
        <v/>
      </c>
      <c r="G164" s="46" t="str">
        <f>IFERROR(IF(OR(B164="",B164="(BLANK)"),"",SUMIFS('Enter Invoices'!G:G,'Enter Invoices'!D:D,B164,'Enter Invoices'!J:J,"D")),"")</f>
        <v/>
      </c>
      <c r="H164" s="47" t="str">
        <f t="shared" si="4"/>
        <v/>
      </c>
    </row>
    <row r="165" spans="3:8" s="43" customFormat="1" ht="15" customHeight="1" x14ac:dyDescent="0.25">
      <c r="C165" s="75" t="str">
        <f>IFERROR(VLOOKUP(B165,'Open Invoices'!C:F,4,0),"")</f>
        <v/>
      </c>
      <c r="D165" s="75" t="str">
        <f>IFERROR(IF(OR(B165="",B165="(BLANK)"),"",SUMIFS('Enter Invoices'!G:G,'Enter Invoices'!D:D,B165,'Enter Invoices'!J:J,"A")),"")</f>
        <v/>
      </c>
      <c r="E165" s="75" t="str">
        <f>IFERROR(IF(OR(B165="",B165="(BLANK)"),"",SUMIFS('Enter Invoices'!G:G,'Enter Invoices'!D:D,B165,'Enter Invoices'!J:J,"B")),"")</f>
        <v/>
      </c>
      <c r="F165" s="75" t="str">
        <f>IFERROR(IF(OR(B165="",B165="(BLANK)"),"",SUMIFS('Enter Invoices'!G:G,'Enter Invoices'!D:D,B165,'Enter Invoices'!J:J,"C")),"")</f>
        <v/>
      </c>
      <c r="G165" s="46" t="str">
        <f>IFERROR(IF(OR(B165="",B165="(BLANK)"),"",SUMIFS('Enter Invoices'!G:G,'Enter Invoices'!D:D,B165,'Enter Invoices'!J:J,"D")),"")</f>
        <v/>
      </c>
      <c r="H165" s="47" t="str">
        <f t="shared" si="4"/>
        <v/>
      </c>
    </row>
    <row r="166" spans="3:8" s="43" customFormat="1" ht="15" customHeight="1" x14ac:dyDescent="0.25">
      <c r="C166" s="75" t="str">
        <f>IFERROR(VLOOKUP(B166,'Open Invoices'!C:F,4,0),"")</f>
        <v/>
      </c>
      <c r="D166" s="75" t="str">
        <f>IFERROR(IF(OR(B166="",B166="(BLANK)"),"",SUMIFS('Enter Invoices'!G:G,'Enter Invoices'!D:D,B166,'Enter Invoices'!J:J,"A")),"")</f>
        <v/>
      </c>
      <c r="E166" s="75" t="str">
        <f>IFERROR(IF(OR(B166="",B166="(BLANK)"),"",SUMIFS('Enter Invoices'!G:G,'Enter Invoices'!D:D,B166,'Enter Invoices'!J:J,"B")),"")</f>
        <v/>
      </c>
      <c r="F166" s="75" t="str">
        <f>IFERROR(IF(OR(B166="",B166="(BLANK)"),"",SUMIFS('Enter Invoices'!G:G,'Enter Invoices'!D:D,B166,'Enter Invoices'!J:J,"C")),"")</f>
        <v/>
      </c>
      <c r="G166" s="46" t="str">
        <f>IFERROR(IF(OR(B166="",B166="(BLANK)"),"",SUMIFS('Enter Invoices'!G:G,'Enter Invoices'!D:D,B166,'Enter Invoices'!J:J,"D")),"")</f>
        <v/>
      </c>
      <c r="H166" s="47" t="str">
        <f t="shared" si="4"/>
        <v/>
      </c>
    </row>
    <row r="167" spans="3:8" s="43" customFormat="1" ht="15" customHeight="1" x14ac:dyDescent="0.25">
      <c r="C167" s="75" t="str">
        <f>IFERROR(VLOOKUP(B167,'Open Invoices'!C:F,4,0),"")</f>
        <v/>
      </c>
      <c r="D167" s="75" t="str">
        <f>IFERROR(IF(OR(B167="",B167="(BLANK)"),"",SUMIFS('Enter Invoices'!G:G,'Enter Invoices'!D:D,B167,'Enter Invoices'!J:J,"A")),"")</f>
        <v/>
      </c>
      <c r="E167" s="75" t="str">
        <f>IFERROR(IF(OR(B167="",B167="(BLANK)"),"",SUMIFS('Enter Invoices'!G:G,'Enter Invoices'!D:D,B167,'Enter Invoices'!J:J,"B")),"")</f>
        <v/>
      </c>
      <c r="F167" s="75" t="str">
        <f>IFERROR(IF(OR(B167="",B167="(BLANK)"),"",SUMIFS('Enter Invoices'!G:G,'Enter Invoices'!D:D,B167,'Enter Invoices'!J:J,"C")),"")</f>
        <v/>
      </c>
      <c r="G167" s="46" t="str">
        <f>IFERROR(IF(OR(B167="",B167="(BLANK)"),"",SUMIFS('Enter Invoices'!G:G,'Enter Invoices'!D:D,B167,'Enter Invoices'!J:J,"D")),"")</f>
        <v/>
      </c>
      <c r="H167" s="47" t="str">
        <f t="shared" si="4"/>
        <v/>
      </c>
    </row>
    <row r="168" spans="3:8" s="43" customFormat="1" ht="15" customHeight="1" x14ac:dyDescent="0.25">
      <c r="C168" s="75" t="str">
        <f>IFERROR(VLOOKUP(B168,'Open Invoices'!C:F,4,0),"")</f>
        <v/>
      </c>
      <c r="D168" s="75" t="str">
        <f>IFERROR(IF(OR(B168="",B168="(BLANK)"),"",SUMIFS('Enter Invoices'!G:G,'Enter Invoices'!D:D,B168,'Enter Invoices'!J:J,"A")),"")</f>
        <v/>
      </c>
      <c r="E168" s="75" t="str">
        <f>IFERROR(IF(OR(B168="",B168="(BLANK)"),"",SUMIFS('Enter Invoices'!G:G,'Enter Invoices'!D:D,B168,'Enter Invoices'!J:J,"B")),"")</f>
        <v/>
      </c>
      <c r="F168" s="75" t="str">
        <f>IFERROR(IF(OR(B168="",B168="(BLANK)"),"",SUMIFS('Enter Invoices'!G:G,'Enter Invoices'!D:D,B168,'Enter Invoices'!J:J,"C")),"")</f>
        <v/>
      </c>
      <c r="G168" s="46" t="str">
        <f>IFERROR(IF(OR(B168="",B168="(BLANK)"),"",SUMIFS('Enter Invoices'!G:G,'Enter Invoices'!D:D,B168,'Enter Invoices'!J:J,"D")),"")</f>
        <v/>
      </c>
      <c r="H168" s="47" t="str">
        <f t="shared" si="4"/>
        <v/>
      </c>
    </row>
    <row r="169" spans="3:8" s="43" customFormat="1" ht="15" customHeight="1" x14ac:dyDescent="0.25">
      <c r="C169" s="75" t="str">
        <f>IFERROR(VLOOKUP(B169,'Open Invoices'!C:F,4,0),"")</f>
        <v/>
      </c>
      <c r="D169" s="75" t="str">
        <f>IFERROR(IF(OR(B169="",B169="(BLANK)"),"",SUMIFS('Enter Invoices'!G:G,'Enter Invoices'!D:D,B169,'Enter Invoices'!J:J,"A")),"")</f>
        <v/>
      </c>
      <c r="E169" s="75" t="str">
        <f>IFERROR(IF(OR(B169="",B169="(BLANK)"),"",SUMIFS('Enter Invoices'!G:G,'Enter Invoices'!D:D,B169,'Enter Invoices'!J:J,"B")),"")</f>
        <v/>
      </c>
      <c r="F169" s="75" t="str">
        <f>IFERROR(IF(OR(B169="",B169="(BLANK)"),"",SUMIFS('Enter Invoices'!G:G,'Enter Invoices'!D:D,B169,'Enter Invoices'!J:J,"C")),"")</f>
        <v/>
      </c>
      <c r="G169" s="46" t="str">
        <f>IFERROR(IF(OR(B169="",B169="(BLANK)"),"",SUMIFS('Enter Invoices'!G:G,'Enter Invoices'!D:D,B169,'Enter Invoices'!J:J,"D")),"")</f>
        <v/>
      </c>
      <c r="H169" s="47" t="str">
        <f t="shared" si="4"/>
        <v/>
      </c>
    </row>
    <row r="170" spans="3:8" s="43" customFormat="1" ht="15" customHeight="1" x14ac:dyDescent="0.25">
      <c r="C170" s="75" t="str">
        <f>IFERROR(VLOOKUP(B170,'Open Invoices'!C:F,4,0),"")</f>
        <v/>
      </c>
      <c r="D170" s="75" t="str">
        <f>IFERROR(IF(OR(B170="",B170="(BLANK)"),"",SUMIFS('Enter Invoices'!G:G,'Enter Invoices'!D:D,B170,'Enter Invoices'!J:J,"A")),"")</f>
        <v/>
      </c>
      <c r="E170" s="75" t="str">
        <f>IFERROR(IF(OR(B170="",B170="(BLANK)"),"",SUMIFS('Enter Invoices'!G:G,'Enter Invoices'!D:D,B170,'Enter Invoices'!J:J,"B")),"")</f>
        <v/>
      </c>
      <c r="F170" s="75" t="str">
        <f>IFERROR(IF(OR(B170="",B170="(BLANK)"),"",SUMIFS('Enter Invoices'!G:G,'Enter Invoices'!D:D,B170,'Enter Invoices'!J:J,"C")),"")</f>
        <v/>
      </c>
      <c r="G170" s="46" t="str">
        <f>IFERROR(IF(OR(B170="",B170="(BLANK)"),"",SUMIFS('Enter Invoices'!G:G,'Enter Invoices'!D:D,B170,'Enter Invoices'!J:J,"D")),"")</f>
        <v/>
      </c>
      <c r="H170" s="47" t="str">
        <f t="shared" si="4"/>
        <v/>
      </c>
    </row>
    <row r="171" spans="3:8" s="43" customFormat="1" ht="15" customHeight="1" x14ac:dyDescent="0.25">
      <c r="C171" s="75" t="str">
        <f>IFERROR(VLOOKUP(B171,'Open Invoices'!C:F,4,0),"")</f>
        <v/>
      </c>
      <c r="D171" s="75" t="str">
        <f>IFERROR(IF(OR(B171="",B171="(BLANK)"),"",SUMIFS('Enter Invoices'!G:G,'Enter Invoices'!D:D,B171,'Enter Invoices'!J:J,"A")),"")</f>
        <v/>
      </c>
      <c r="E171" s="75" t="str">
        <f>IFERROR(IF(OR(B171="",B171="(BLANK)"),"",SUMIFS('Enter Invoices'!G:G,'Enter Invoices'!D:D,B171,'Enter Invoices'!J:J,"B")),"")</f>
        <v/>
      </c>
      <c r="F171" s="75" t="str">
        <f>IFERROR(IF(OR(B171="",B171="(BLANK)"),"",SUMIFS('Enter Invoices'!G:G,'Enter Invoices'!D:D,B171,'Enter Invoices'!J:J,"C")),"")</f>
        <v/>
      </c>
      <c r="G171" s="46" t="str">
        <f>IFERROR(IF(OR(B171="",B171="(BLANK)"),"",SUMIFS('Enter Invoices'!G:G,'Enter Invoices'!D:D,B171,'Enter Invoices'!J:J,"D")),"")</f>
        <v/>
      </c>
      <c r="H171" s="47" t="str">
        <f t="shared" si="4"/>
        <v/>
      </c>
    </row>
    <row r="172" spans="3:8" s="43" customFormat="1" ht="15" customHeight="1" x14ac:dyDescent="0.25">
      <c r="C172" s="75" t="str">
        <f>IFERROR(VLOOKUP(B172,'Open Invoices'!C:F,4,0),"")</f>
        <v/>
      </c>
      <c r="D172" s="75" t="str">
        <f>IFERROR(IF(OR(B172="",B172="(BLANK)"),"",SUMIFS('Enter Invoices'!G:G,'Enter Invoices'!D:D,B172,'Enter Invoices'!J:J,"A")),"")</f>
        <v/>
      </c>
      <c r="E172" s="75" t="str">
        <f>IFERROR(IF(OR(B172="",B172="(BLANK)"),"",SUMIFS('Enter Invoices'!G:G,'Enter Invoices'!D:D,B172,'Enter Invoices'!J:J,"B")),"")</f>
        <v/>
      </c>
      <c r="F172" s="75" t="str">
        <f>IFERROR(IF(OR(B172="",B172="(BLANK)"),"",SUMIFS('Enter Invoices'!G:G,'Enter Invoices'!D:D,B172,'Enter Invoices'!J:J,"C")),"")</f>
        <v/>
      </c>
      <c r="G172" s="46" t="str">
        <f>IFERROR(IF(OR(B172="",B172="(BLANK)"),"",SUMIFS('Enter Invoices'!G:G,'Enter Invoices'!D:D,B172,'Enter Invoices'!J:J,"D")),"")</f>
        <v/>
      </c>
      <c r="H172" s="47" t="str">
        <f t="shared" si="4"/>
        <v/>
      </c>
    </row>
    <row r="173" spans="3:8" s="43" customFormat="1" ht="15" customHeight="1" x14ac:dyDescent="0.25">
      <c r="C173" s="75" t="str">
        <f>IFERROR(VLOOKUP(B173,'Open Invoices'!C:F,4,0),"")</f>
        <v/>
      </c>
      <c r="D173" s="75" t="str">
        <f>IFERROR(IF(OR(B173="",B173="(BLANK)"),"",SUMIFS('Enter Invoices'!G:G,'Enter Invoices'!D:D,B173,'Enter Invoices'!J:J,"A")),"")</f>
        <v/>
      </c>
      <c r="E173" s="75" t="str">
        <f>IFERROR(IF(OR(B173="",B173="(BLANK)"),"",SUMIFS('Enter Invoices'!G:G,'Enter Invoices'!D:D,B173,'Enter Invoices'!J:J,"B")),"")</f>
        <v/>
      </c>
      <c r="F173" s="75" t="str">
        <f>IFERROR(IF(OR(B173="",B173="(BLANK)"),"",SUMIFS('Enter Invoices'!G:G,'Enter Invoices'!D:D,B173,'Enter Invoices'!J:J,"C")),"")</f>
        <v/>
      </c>
      <c r="G173" s="46" t="str">
        <f>IFERROR(IF(OR(B173="",B173="(BLANK)"),"",SUMIFS('Enter Invoices'!G:G,'Enter Invoices'!D:D,B173,'Enter Invoices'!J:J,"D")),"")</f>
        <v/>
      </c>
      <c r="H173" s="47" t="str">
        <f t="shared" si="4"/>
        <v/>
      </c>
    </row>
    <row r="174" spans="3:8" s="43" customFormat="1" ht="15" customHeight="1" x14ac:dyDescent="0.25">
      <c r="C174" s="75" t="str">
        <f>IFERROR(VLOOKUP(B174,'Open Invoices'!C:F,4,0),"")</f>
        <v/>
      </c>
      <c r="D174" s="75" t="str">
        <f>IFERROR(IF(OR(B174="",B174="(BLANK)"),"",SUMIFS('Enter Invoices'!G:G,'Enter Invoices'!D:D,B174,'Enter Invoices'!J:J,"A")),"")</f>
        <v/>
      </c>
      <c r="E174" s="75" t="str">
        <f>IFERROR(IF(OR(B174="",B174="(BLANK)"),"",SUMIFS('Enter Invoices'!G:G,'Enter Invoices'!D:D,B174,'Enter Invoices'!J:J,"B")),"")</f>
        <v/>
      </c>
      <c r="F174" s="75" t="str">
        <f>IFERROR(IF(OR(B174="",B174="(BLANK)"),"",SUMIFS('Enter Invoices'!G:G,'Enter Invoices'!D:D,B174,'Enter Invoices'!J:J,"C")),"")</f>
        <v/>
      </c>
      <c r="G174" s="46" t="str">
        <f>IFERROR(IF(OR(B174="",B174="(BLANK)"),"",SUMIFS('Enter Invoices'!G:G,'Enter Invoices'!D:D,B174,'Enter Invoices'!J:J,"D")),"")</f>
        <v/>
      </c>
      <c r="H174" s="47" t="str">
        <f t="shared" si="4"/>
        <v/>
      </c>
    </row>
    <row r="175" spans="3:8" s="43" customFormat="1" ht="15" customHeight="1" x14ac:dyDescent="0.25">
      <c r="C175" s="75" t="str">
        <f>IFERROR(VLOOKUP(B175,'Open Invoices'!C:F,4,0),"")</f>
        <v/>
      </c>
      <c r="D175" s="75" t="str">
        <f>IFERROR(IF(OR(B175="",B175="(BLANK)"),"",SUMIFS('Enter Invoices'!G:G,'Enter Invoices'!D:D,B175,'Enter Invoices'!J:J,"A")),"")</f>
        <v/>
      </c>
      <c r="E175" s="75" t="str">
        <f>IFERROR(IF(OR(B175="",B175="(BLANK)"),"",SUMIFS('Enter Invoices'!G:G,'Enter Invoices'!D:D,B175,'Enter Invoices'!J:J,"B")),"")</f>
        <v/>
      </c>
      <c r="F175" s="75" t="str">
        <f>IFERROR(IF(OR(B175="",B175="(BLANK)"),"",SUMIFS('Enter Invoices'!G:G,'Enter Invoices'!D:D,B175,'Enter Invoices'!J:J,"C")),"")</f>
        <v/>
      </c>
      <c r="G175" s="46" t="str">
        <f>IFERROR(IF(OR(B175="",B175="(BLANK)"),"",SUMIFS('Enter Invoices'!G:G,'Enter Invoices'!D:D,B175,'Enter Invoices'!J:J,"D")),"")</f>
        <v/>
      </c>
      <c r="H175" s="47" t="str">
        <f t="shared" si="4"/>
        <v/>
      </c>
    </row>
    <row r="176" spans="3:8" s="43" customFormat="1" ht="15" customHeight="1" x14ac:dyDescent="0.25">
      <c r="C176" s="75" t="str">
        <f>IFERROR(VLOOKUP(B176,'Open Invoices'!C:F,4,0),"")</f>
        <v/>
      </c>
      <c r="D176" s="75" t="str">
        <f>IFERROR(IF(OR(B176="",B176="(BLANK)"),"",SUMIFS('Enter Invoices'!G:G,'Enter Invoices'!D:D,B176,'Enter Invoices'!J:J,"A")),"")</f>
        <v/>
      </c>
      <c r="E176" s="75" t="str">
        <f>IFERROR(IF(OR(B176="",B176="(BLANK)"),"",SUMIFS('Enter Invoices'!G:G,'Enter Invoices'!D:D,B176,'Enter Invoices'!J:J,"B")),"")</f>
        <v/>
      </c>
      <c r="F176" s="75" t="str">
        <f>IFERROR(IF(OR(B176="",B176="(BLANK)"),"",SUMIFS('Enter Invoices'!G:G,'Enter Invoices'!D:D,B176,'Enter Invoices'!J:J,"C")),"")</f>
        <v/>
      </c>
      <c r="G176" s="46" t="str">
        <f>IFERROR(IF(OR(B176="",B176="(BLANK)"),"",SUMIFS('Enter Invoices'!G:G,'Enter Invoices'!D:D,B176,'Enter Invoices'!J:J,"D")),"")</f>
        <v/>
      </c>
      <c r="H176" s="47" t="str">
        <f t="shared" si="4"/>
        <v/>
      </c>
    </row>
    <row r="177" spans="3:8" s="43" customFormat="1" ht="15" customHeight="1" x14ac:dyDescent="0.25">
      <c r="C177" s="75" t="str">
        <f>IFERROR(VLOOKUP(B177,'Open Invoices'!C:F,4,0),"")</f>
        <v/>
      </c>
      <c r="D177" s="75" t="str">
        <f>IFERROR(IF(OR(B177="",B177="(BLANK)"),"",SUMIFS('Enter Invoices'!G:G,'Enter Invoices'!D:D,B177,'Enter Invoices'!J:J,"A")),"")</f>
        <v/>
      </c>
      <c r="E177" s="75" t="str">
        <f>IFERROR(IF(OR(B177="",B177="(BLANK)"),"",SUMIFS('Enter Invoices'!G:G,'Enter Invoices'!D:D,B177,'Enter Invoices'!J:J,"B")),"")</f>
        <v/>
      </c>
      <c r="F177" s="75" t="str">
        <f>IFERROR(IF(OR(B177="",B177="(BLANK)"),"",SUMIFS('Enter Invoices'!G:G,'Enter Invoices'!D:D,B177,'Enter Invoices'!J:J,"C")),"")</f>
        <v/>
      </c>
      <c r="G177" s="46" t="str">
        <f>IFERROR(IF(OR(B177="",B177="(BLANK)"),"",SUMIFS('Enter Invoices'!G:G,'Enter Invoices'!D:D,B177,'Enter Invoices'!J:J,"D")),"")</f>
        <v/>
      </c>
      <c r="H177" s="47" t="str">
        <f t="shared" si="4"/>
        <v/>
      </c>
    </row>
    <row r="178" spans="3:8" s="43" customFormat="1" ht="15" customHeight="1" x14ac:dyDescent="0.25">
      <c r="C178" s="75" t="str">
        <f>IFERROR(VLOOKUP(B178,'Open Invoices'!C:F,4,0),"")</f>
        <v/>
      </c>
      <c r="D178" s="75" t="str">
        <f>IFERROR(IF(OR(B178="",B178="(BLANK)"),"",SUMIFS('Enter Invoices'!G:G,'Enter Invoices'!D:D,B178,'Enter Invoices'!J:J,"A")),"")</f>
        <v/>
      </c>
      <c r="E178" s="75" t="str">
        <f>IFERROR(IF(OR(B178="",B178="(BLANK)"),"",SUMIFS('Enter Invoices'!G:G,'Enter Invoices'!D:D,B178,'Enter Invoices'!J:J,"B")),"")</f>
        <v/>
      </c>
      <c r="F178" s="75" t="str">
        <f>IFERROR(IF(OR(B178="",B178="(BLANK)"),"",SUMIFS('Enter Invoices'!G:G,'Enter Invoices'!D:D,B178,'Enter Invoices'!J:J,"C")),"")</f>
        <v/>
      </c>
      <c r="G178" s="46" t="str">
        <f>IFERROR(IF(OR(B178="",B178="(BLANK)"),"",SUMIFS('Enter Invoices'!G:G,'Enter Invoices'!D:D,B178,'Enter Invoices'!J:J,"D")),"")</f>
        <v/>
      </c>
      <c r="H178" s="47" t="str">
        <f t="shared" si="4"/>
        <v/>
      </c>
    </row>
    <row r="179" spans="3:8" s="43" customFormat="1" ht="15" customHeight="1" x14ac:dyDescent="0.25">
      <c r="C179" s="75" t="str">
        <f>IFERROR(VLOOKUP(B179,'Open Invoices'!C:F,4,0),"")</f>
        <v/>
      </c>
      <c r="D179" s="75" t="str">
        <f>IFERROR(IF(OR(B179="",B179="(BLANK)"),"",SUMIFS('Enter Invoices'!G:G,'Enter Invoices'!D:D,B179,'Enter Invoices'!J:J,"A")),"")</f>
        <v/>
      </c>
      <c r="E179" s="75" t="str">
        <f>IFERROR(IF(OR(B179="",B179="(BLANK)"),"",SUMIFS('Enter Invoices'!G:G,'Enter Invoices'!D:D,B179,'Enter Invoices'!J:J,"B")),"")</f>
        <v/>
      </c>
      <c r="F179" s="75" t="str">
        <f>IFERROR(IF(OR(B179="",B179="(BLANK)"),"",SUMIFS('Enter Invoices'!G:G,'Enter Invoices'!D:D,B179,'Enter Invoices'!J:J,"C")),"")</f>
        <v/>
      </c>
      <c r="G179" s="46" t="str">
        <f>IFERROR(IF(OR(B179="",B179="(BLANK)"),"",SUMIFS('Enter Invoices'!G:G,'Enter Invoices'!D:D,B179,'Enter Invoices'!J:J,"D")),"")</f>
        <v/>
      </c>
      <c r="H179" s="47" t="str">
        <f t="shared" si="4"/>
        <v/>
      </c>
    </row>
    <row r="180" spans="3:8" s="43" customFormat="1" ht="15" customHeight="1" x14ac:dyDescent="0.25">
      <c r="C180" s="75" t="str">
        <f>IFERROR(VLOOKUP(B180,'Open Invoices'!C:F,4,0),"")</f>
        <v/>
      </c>
      <c r="D180" s="75" t="str">
        <f>IFERROR(IF(OR(B180="",B180="(BLANK)"),"",SUMIFS('Enter Invoices'!G:G,'Enter Invoices'!D:D,B180,'Enter Invoices'!J:J,"A")),"")</f>
        <v/>
      </c>
      <c r="E180" s="75" t="str">
        <f>IFERROR(IF(OR(B180="",B180="(BLANK)"),"",SUMIFS('Enter Invoices'!G:G,'Enter Invoices'!D:D,B180,'Enter Invoices'!J:J,"B")),"")</f>
        <v/>
      </c>
      <c r="F180" s="75" t="str">
        <f>IFERROR(IF(OR(B180="",B180="(BLANK)"),"",SUMIFS('Enter Invoices'!G:G,'Enter Invoices'!D:D,B180,'Enter Invoices'!J:J,"C")),"")</f>
        <v/>
      </c>
      <c r="G180" s="46" t="str">
        <f>IFERROR(IF(OR(B180="",B180="(BLANK)"),"",SUMIFS('Enter Invoices'!G:G,'Enter Invoices'!D:D,B180,'Enter Invoices'!J:J,"D")),"")</f>
        <v/>
      </c>
      <c r="H180" s="47" t="str">
        <f t="shared" si="4"/>
        <v/>
      </c>
    </row>
    <row r="181" spans="3:8" s="43" customFormat="1" ht="15" customHeight="1" x14ac:dyDescent="0.25">
      <c r="C181" s="75" t="str">
        <f>IFERROR(VLOOKUP(B181,'Open Invoices'!C:F,4,0),"")</f>
        <v/>
      </c>
      <c r="D181" s="75" t="str">
        <f>IFERROR(IF(OR(B181="",B181="(BLANK)"),"",SUMIFS('Enter Invoices'!G:G,'Enter Invoices'!D:D,B181,'Enter Invoices'!J:J,"A")),"")</f>
        <v/>
      </c>
      <c r="E181" s="75" t="str">
        <f>IFERROR(IF(OR(B181="",B181="(BLANK)"),"",SUMIFS('Enter Invoices'!G:G,'Enter Invoices'!D:D,B181,'Enter Invoices'!J:J,"B")),"")</f>
        <v/>
      </c>
      <c r="F181" s="75" t="str">
        <f>IFERROR(IF(OR(B181="",B181="(BLANK)"),"",SUMIFS('Enter Invoices'!G:G,'Enter Invoices'!D:D,B181,'Enter Invoices'!J:J,"C")),"")</f>
        <v/>
      </c>
      <c r="G181" s="46" t="str">
        <f>IFERROR(IF(OR(B181="",B181="(BLANK)"),"",SUMIFS('Enter Invoices'!G:G,'Enter Invoices'!D:D,B181,'Enter Invoices'!J:J,"D")),"")</f>
        <v/>
      </c>
      <c r="H181" s="47" t="str">
        <f t="shared" si="4"/>
        <v/>
      </c>
    </row>
    <row r="182" spans="3:8" s="43" customFormat="1" ht="15" customHeight="1" x14ac:dyDescent="0.25">
      <c r="C182" s="75" t="str">
        <f>IFERROR(VLOOKUP(B182,'Open Invoices'!C:F,4,0),"")</f>
        <v/>
      </c>
      <c r="D182" s="75" t="str">
        <f>IFERROR(IF(OR(B182="",B182="(BLANK)"),"",SUMIFS('Enter Invoices'!G:G,'Enter Invoices'!D:D,B182,'Enter Invoices'!J:J,"A")),"")</f>
        <v/>
      </c>
      <c r="E182" s="75" t="str">
        <f>IFERROR(IF(OR(B182="",B182="(BLANK)"),"",SUMIFS('Enter Invoices'!G:G,'Enter Invoices'!D:D,B182,'Enter Invoices'!J:J,"B")),"")</f>
        <v/>
      </c>
      <c r="F182" s="75" t="str">
        <f>IFERROR(IF(OR(B182="",B182="(BLANK)"),"",SUMIFS('Enter Invoices'!G:G,'Enter Invoices'!D:D,B182,'Enter Invoices'!J:J,"C")),"")</f>
        <v/>
      </c>
      <c r="G182" s="46" t="str">
        <f>IFERROR(IF(OR(B182="",B182="(BLANK)"),"",SUMIFS('Enter Invoices'!G:G,'Enter Invoices'!D:D,B182,'Enter Invoices'!J:J,"D")),"")</f>
        <v/>
      </c>
      <c r="H182" s="47" t="str">
        <f t="shared" si="4"/>
        <v/>
      </c>
    </row>
    <row r="183" spans="3:8" s="43" customFormat="1" ht="15" customHeight="1" x14ac:dyDescent="0.25">
      <c r="C183" s="75" t="str">
        <f>IFERROR(VLOOKUP(B183,'Open Invoices'!C:F,4,0),"")</f>
        <v/>
      </c>
      <c r="D183" s="75" t="str">
        <f>IFERROR(IF(OR(B183="",B183="(BLANK)"),"",SUMIFS('Enter Invoices'!G:G,'Enter Invoices'!D:D,B183,'Enter Invoices'!J:J,"A")),"")</f>
        <v/>
      </c>
      <c r="E183" s="75" t="str">
        <f>IFERROR(IF(OR(B183="",B183="(BLANK)"),"",SUMIFS('Enter Invoices'!G:G,'Enter Invoices'!D:D,B183,'Enter Invoices'!J:J,"B")),"")</f>
        <v/>
      </c>
      <c r="F183" s="75" t="str">
        <f>IFERROR(IF(OR(B183="",B183="(BLANK)"),"",SUMIFS('Enter Invoices'!G:G,'Enter Invoices'!D:D,B183,'Enter Invoices'!J:J,"C")),"")</f>
        <v/>
      </c>
      <c r="G183" s="46" t="str">
        <f>IFERROR(IF(OR(B183="",B183="(BLANK)"),"",SUMIFS('Enter Invoices'!G:G,'Enter Invoices'!D:D,B183,'Enter Invoices'!J:J,"D")),"")</f>
        <v/>
      </c>
      <c r="H183" s="47" t="str">
        <f t="shared" si="4"/>
        <v/>
      </c>
    </row>
    <row r="184" spans="3:8" s="43" customFormat="1" ht="15" customHeight="1" x14ac:dyDescent="0.25">
      <c r="C184" s="75" t="str">
        <f>IFERROR(VLOOKUP(B184,'Open Invoices'!C:F,4,0),"")</f>
        <v/>
      </c>
      <c r="D184" s="75" t="str">
        <f>IFERROR(IF(OR(B184="",B184="(BLANK)"),"",SUMIFS('Enter Invoices'!G:G,'Enter Invoices'!D:D,B184,'Enter Invoices'!J:J,"A")),"")</f>
        <v/>
      </c>
      <c r="E184" s="75" t="str">
        <f>IFERROR(IF(OR(B184="",B184="(BLANK)"),"",SUMIFS('Enter Invoices'!G:G,'Enter Invoices'!D:D,B184,'Enter Invoices'!J:J,"B")),"")</f>
        <v/>
      </c>
      <c r="F184" s="75" t="str">
        <f>IFERROR(IF(OR(B184="",B184="(BLANK)"),"",SUMIFS('Enter Invoices'!G:G,'Enter Invoices'!D:D,B184,'Enter Invoices'!J:J,"C")),"")</f>
        <v/>
      </c>
      <c r="G184" s="46" t="str">
        <f>IFERROR(IF(OR(B184="",B184="(BLANK)"),"",SUMIFS('Enter Invoices'!G:G,'Enter Invoices'!D:D,B184,'Enter Invoices'!J:J,"D")),"")</f>
        <v/>
      </c>
      <c r="H184" s="47" t="str">
        <f t="shared" si="4"/>
        <v/>
      </c>
    </row>
    <row r="185" spans="3:8" s="43" customFormat="1" ht="15" customHeight="1" x14ac:dyDescent="0.25">
      <c r="C185" s="75" t="str">
        <f>IFERROR(VLOOKUP(B185,'Open Invoices'!C:F,4,0),"")</f>
        <v/>
      </c>
      <c r="D185" s="75" t="str">
        <f>IFERROR(IF(OR(B185="",B185="(BLANK)"),"",SUMIFS('Enter Invoices'!G:G,'Enter Invoices'!D:D,B185,'Enter Invoices'!J:J,"A")),"")</f>
        <v/>
      </c>
      <c r="E185" s="75" t="str">
        <f>IFERROR(IF(OR(B185="",B185="(BLANK)"),"",SUMIFS('Enter Invoices'!G:G,'Enter Invoices'!D:D,B185,'Enter Invoices'!J:J,"B")),"")</f>
        <v/>
      </c>
      <c r="F185" s="75" t="str">
        <f>IFERROR(IF(OR(B185="",B185="(BLANK)"),"",SUMIFS('Enter Invoices'!G:G,'Enter Invoices'!D:D,B185,'Enter Invoices'!J:J,"C")),"")</f>
        <v/>
      </c>
      <c r="G185" s="46" t="str">
        <f>IFERROR(IF(OR(B185="",B185="(BLANK)"),"",SUMIFS('Enter Invoices'!G:G,'Enter Invoices'!D:D,B185,'Enter Invoices'!J:J,"D")),"")</f>
        <v/>
      </c>
      <c r="H185" s="47" t="str">
        <f t="shared" si="4"/>
        <v/>
      </c>
    </row>
    <row r="186" spans="3:8" s="43" customFormat="1" ht="15" customHeight="1" x14ac:dyDescent="0.25">
      <c r="C186" s="75" t="str">
        <f>IFERROR(VLOOKUP(B186,'Open Invoices'!C:F,4,0),"")</f>
        <v/>
      </c>
      <c r="D186" s="75" t="str">
        <f>IFERROR(IF(OR(B186="",B186="(BLANK)"),"",SUMIFS('Enter Invoices'!G:G,'Enter Invoices'!D:D,B186,'Enter Invoices'!J:J,"A")),"")</f>
        <v/>
      </c>
      <c r="E186" s="75" t="str">
        <f>IFERROR(IF(OR(B186="",B186="(BLANK)"),"",SUMIFS('Enter Invoices'!G:G,'Enter Invoices'!D:D,B186,'Enter Invoices'!J:J,"B")),"")</f>
        <v/>
      </c>
      <c r="F186" s="75" t="str">
        <f>IFERROR(IF(OR(B186="",B186="(BLANK)"),"",SUMIFS('Enter Invoices'!G:G,'Enter Invoices'!D:D,B186,'Enter Invoices'!J:J,"C")),"")</f>
        <v/>
      </c>
      <c r="G186" s="46" t="str">
        <f>IFERROR(IF(OR(B186="",B186="(BLANK)"),"",SUMIFS('Enter Invoices'!G:G,'Enter Invoices'!D:D,B186,'Enter Invoices'!J:J,"D")),"")</f>
        <v/>
      </c>
      <c r="H186" s="47" t="str">
        <f t="shared" si="4"/>
        <v/>
      </c>
    </row>
    <row r="187" spans="3:8" s="43" customFormat="1" ht="15" customHeight="1" x14ac:dyDescent="0.25">
      <c r="C187" s="75" t="str">
        <f>IFERROR(VLOOKUP(B187,'Open Invoices'!C:F,4,0),"")</f>
        <v/>
      </c>
      <c r="D187" s="75" t="str">
        <f>IFERROR(IF(OR(B187="",B187="(BLANK)"),"",SUMIFS('Enter Invoices'!G:G,'Enter Invoices'!D:D,B187,'Enter Invoices'!J:J,"A")),"")</f>
        <v/>
      </c>
      <c r="E187" s="75" t="str">
        <f>IFERROR(IF(OR(B187="",B187="(BLANK)"),"",SUMIFS('Enter Invoices'!G:G,'Enter Invoices'!D:D,B187,'Enter Invoices'!J:J,"B")),"")</f>
        <v/>
      </c>
      <c r="F187" s="75" t="str">
        <f>IFERROR(IF(OR(B187="",B187="(BLANK)"),"",SUMIFS('Enter Invoices'!G:G,'Enter Invoices'!D:D,B187,'Enter Invoices'!J:J,"C")),"")</f>
        <v/>
      </c>
      <c r="G187" s="46" t="str">
        <f>IFERROR(IF(OR(B187="",B187="(BLANK)"),"",SUMIFS('Enter Invoices'!G:G,'Enter Invoices'!D:D,B187,'Enter Invoices'!J:J,"D")),"")</f>
        <v/>
      </c>
      <c r="H187" s="47" t="str">
        <f t="shared" si="4"/>
        <v/>
      </c>
    </row>
    <row r="188" spans="3:8" s="43" customFormat="1" ht="15" customHeight="1" x14ac:dyDescent="0.25">
      <c r="C188" s="75" t="str">
        <f>IFERROR(VLOOKUP(B188,'Open Invoices'!C:F,4,0),"")</f>
        <v/>
      </c>
      <c r="D188" s="75" t="str">
        <f>IFERROR(IF(OR(B188="",B188="(BLANK)"),"",SUMIFS('Enter Invoices'!G:G,'Enter Invoices'!D:D,B188,'Enter Invoices'!J:J,"A")),"")</f>
        <v/>
      </c>
      <c r="E188" s="75" t="str">
        <f>IFERROR(IF(OR(B188="",B188="(BLANK)"),"",SUMIFS('Enter Invoices'!G:G,'Enter Invoices'!D:D,B188,'Enter Invoices'!J:J,"B")),"")</f>
        <v/>
      </c>
      <c r="F188" s="75" t="str">
        <f>IFERROR(IF(OR(B188="",B188="(BLANK)"),"",SUMIFS('Enter Invoices'!G:G,'Enter Invoices'!D:D,B188,'Enter Invoices'!J:J,"C")),"")</f>
        <v/>
      </c>
      <c r="G188" s="46" t="str">
        <f>IFERROR(IF(OR(B188="",B188="(BLANK)"),"",SUMIFS('Enter Invoices'!G:G,'Enter Invoices'!D:D,B188,'Enter Invoices'!J:J,"D")),"")</f>
        <v/>
      </c>
      <c r="H188" s="47" t="str">
        <f t="shared" si="4"/>
        <v/>
      </c>
    </row>
    <row r="189" spans="3:8" s="43" customFormat="1" ht="15" customHeight="1" x14ac:dyDescent="0.25">
      <c r="C189" s="75" t="str">
        <f>IFERROR(VLOOKUP(B189,'Open Invoices'!C:F,4,0),"")</f>
        <v/>
      </c>
      <c r="D189" s="75" t="str">
        <f>IFERROR(IF(OR(B189="",B189="(BLANK)"),"",SUMIFS('Enter Invoices'!G:G,'Enter Invoices'!D:D,B189,'Enter Invoices'!J:J,"A")),"")</f>
        <v/>
      </c>
      <c r="E189" s="75" t="str">
        <f>IFERROR(IF(OR(B189="",B189="(BLANK)"),"",SUMIFS('Enter Invoices'!G:G,'Enter Invoices'!D:D,B189,'Enter Invoices'!J:J,"B")),"")</f>
        <v/>
      </c>
      <c r="F189" s="75" t="str">
        <f>IFERROR(IF(OR(B189="",B189="(BLANK)"),"",SUMIFS('Enter Invoices'!G:G,'Enter Invoices'!D:D,B189,'Enter Invoices'!J:J,"C")),"")</f>
        <v/>
      </c>
      <c r="G189" s="46" t="str">
        <f>IFERROR(IF(OR(B189="",B189="(BLANK)"),"",SUMIFS('Enter Invoices'!G:G,'Enter Invoices'!D:D,B189,'Enter Invoices'!J:J,"D")),"")</f>
        <v/>
      </c>
      <c r="H189" s="47" t="str">
        <f t="shared" si="4"/>
        <v/>
      </c>
    </row>
    <row r="190" spans="3:8" s="43" customFormat="1" ht="15" customHeight="1" x14ac:dyDescent="0.25">
      <c r="C190" s="75" t="str">
        <f>IFERROR(VLOOKUP(B190,'Open Invoices'!C:F,4,0),"")</f>
        <v/>
      </c>
      <c r="D190" s="75" t="str">
        <f>IFERROR(IF(OR(B190="",B190="(BLANK)"),"",SUMIFS('Enter Invoices'!G:G,'Enter Invoices'!D:D,B190,'Enter Invoices'!J:J,"A")),"")</f>
        <v/>
      </c>
      <c r="E190" s="75" t="str">
        <f>IFERROR(IF(OR(B190="",B190="(BLANK)"),"",SUMIFS('Enter Invoices'!G:G,'Enter Invoices'!D:D,B190,'Enter Invoices'!J:J,"B")),"")</f>
        <v/>
      </c>
      <c r="F190" s="75" t="str">
        <f>IFERROR(IF(OR(B190="",B190="(BLANK)"),"",SUMIFS('Enter Invoices'!G:G,'Enter Invoices'!D:D,B190,'Enter Invoices'!J:J,"C")),"")</f>
        <v/>
      </c>
      <c r="G190" s="46" t="str">
        <f>IFERROR(IF(OR(B190="",B190="(BLANK)"),"",SUMIFS('Enter Invoices'!G:G,'Enter Invoices'!D:D,B190,'Enter Invoices'!J:J,"D")),"")</f>
        <v/>
      </c>
      <c r="H190" s="47" t="str">
        <f t="shared" si="4"/>
        <v/>
      </c>
    </row>
    <row r="191" spans="3:8" s="43" customFormat="1" ht="15" customHeight="1" x14ac:dyDescent="0.25">
      <c r="C191" s="75" t="str">
        <f>IFERROR(VLOOKUP(B191,'Open Invoices'!C:F,4,0),"")</f>
        <v/>
      </c>
      <c r="D191" s="75" t="str">
        <f>IFERROR(IF(OR(B191="",B191="(BLANK)"),"",SUMIFS('Enter Invoices'!G:G,'Enter Invoices'!D:D,B191,'Enter Invoices'!J:J,"A")),"")</f>
        <v/>
      </c>
      <c r="E191" s="75" t="str">
        <f>IFERROR(IF(OR(B191="",B191="(BLANK)"),"",SUMIFS('Enter Invoices'!G:G,'Enter Invoices'!D:D,B191,'Enter Invoices'!J:J,"B")),"")</f>
        <v/>
      </c>
      <c r="F191" s="75" t="str">
        <f>IFERROR(IF(OR(B191="",B191="(BLANK)"),"",SUMIFS('Enter Invoices'!G:G,'Enter Invoices'!D:D,B191,'Enter Invoices'!J:J,"C")),"")</f>
        <v/>
      </c>
      <c r="G191" s="46" t="str">
        <f>IFERROR(IF(OR(B191="",B191="(BLANK)"),"",SUMIFS('Enter Invoices'!G:G,'Enter Invoices'!D:D,B191,'Enter Invoices'!J:J,"D")),"")</f>
        <v/>
      </c>
      <c r="H191" s="47" t="str">
        <f t="shared" si="4"/>
        <v/>
      </c>
    </row>
    <row r="192" spans="3:8" s="43" customFormat="1" ht="15" customHeight="1" x14ac:dyDescent="0.25">
      <c r="C192" s="75" t="str">
        <f>IFERROR(VLOOKUP(B192,'Open Invoices'!C:F,4,0),"")</f>
        <v/>
      </c>
      <c r="D192" s="75" t="str">
        <f>IFERROR(IF(OR(B192="",B192="(BLANK)"),"",SUMIFS('Enter Invoices'!G:G,'Enter Invoices'!D:D,B192,'Enter Invoices'!J:J,"A")),"")</f>
        <v/>
      </c>
      <c r="E192" s="75" t="str">
        <f>IFERROR(IF(OR(B192="",B192="(BLANK)"),"",SUMIFS('Enter Invoices'!G:G,'Enter Invoices'!D:D,B192,'Enter Invoices'!J:J,"B")),"")</f>
        <v/>
      </c>
      <c r="F192" s="75" t="str">
        <f>IFERROR(IF(OR(B192="",B192="(BLANK)"),"",SUMIFS('Enter Invoices'!G:G,'Enter Invoices'!D:D,B192,'Enter Invoices'!J:J,"C")),"")</f>
        <v/>
      </c>
      <c r="G192" s="46" t="str">
        <f>IFERROR(IF(OR(B192="",B192="(BLANK)"),"",SUMIFS('Enter Invoices'!G:G,'Enter Invoices'!D:D,B192,'Enter Invoices'!J:J,"D")),"")</f>
        <v/>
      </c>
      <c r="H192" s="47" t="str">
        <f t="shared" si="4"/>
        <v/>
      </c>
    </row>
    <row r="193" spans="3:8" s="43" customFormat="1" ht="15" customHeight="1" x14ac:dyDescent="0.25">
      <c r="C193" s="75" t="str">
        <f>IFERROR(VLOOKUP(B193,'Open Invoices'!C:F,4,0),"")</f>
        <v/>
      </c>
      <c r="D193" s="75" t="str">
        <f>IFERROR(IF(OR(B193="",B193="(BLANK)"),"",SUMIFS('Enter Invoices'!G:G,'Enter Invoices'!D:D,B193,'Enter Invoices'!J:J,"A")),"")</f>
        <v/>
      </c>
      <c r="E193" s="75" t="str">
        <f>IFERROR(IF(OR(B193="",B193="(BLANK)"),"",SUMIFS('Enter Invoices'!G:G,'Enter Invoices'!D:D,B193,'Enter Invoices'!J:J,"B")),"")</f>
        <v/>
      </c>
      <c r="F193" s="75" t="str">
        <f>IFERROR(IF(OR(B193="",B193="(BLANK)"),"",SUMIFS('Enter Invoices'!G:G,'Enter Invoices'!D:D,B193,'Enter Invoices'!J:J,"C")),"")</f>
        <v/>
      </c>
      <c r="G193" s="46" t="str">
        <f>IFERROR(IF(OR(B193="",B193="(BLANK)"),"",SUMIFS('Enter Invoices'!G:G,'Enter Invoices'!D:D,B193,'Enter Invoices'!J:J,"D")),"")</f>
        <v/>
      </c>
      <c r="H193" s="47" t="str">
        <f t="shared" si="4"/>
        <v/>
      </c>
    </row>
    <row r="194" spans="3:8" s="43" customFormat="1" ht="15" customHeight="1" x14ac:dyDescent="0.25">
      <c r="C194" s="75" t="str">
        <f>IFERROR(VLOOKUP(B194,'Open Invoices'!C:F,4,0),"")</f>
        <v/>
      </c>
      <c r="D194" s="75" t="str">
        <f>IFERROR(IF(OR(B194="",B194="(BLANK)"),"",SUMIFS('Enter Invoices'!G:G,'Enter Invoices'!D:D,B194,'Enter Invoices'!J:J,"A")),"")</f>
        <v/>
      </c>
      <c r="E194" s="75" t="str">
        <f>IFERROR(IF(OR(B194="",B194="(BLANK)"),"",SUMIFS('Enter Invoices'!G:G,'Enter Invoices'!D:D,B194,'Enter Invoices'!J:J,"B")),"")</f>
        <v/>
      </c>
      <c r="F194" s="75" t="str">
        <f>IFERROR(IF(OR(B194="",B194="(BLANK)"),"",SUMIFS('Enter Invoices'!G:G,'Enter Invoices'!D:D,B194,'Enter Invoices'!J:J,"C")),"")</f>
        <v/>
      </c>
      <c r="G194" s="46" t="str">
        <f>IFERROR(IF(OR(B194="",B194="(BLANK)"),"",SUMIFS('Enter Invoices'!G:G,'Enter Invoices'!D:D,B194,'Enter Invoices'!J:J,"D")),"")</f>
        <v/>
      </c>
      <c r="H194" s="47" t="str">
        <f t="shared" si="4"/>
        <v/>
      </c>
    </row>
    <row r="195" spans="3:8" s="43" customFormat="1" ht="15" customHeight="1" x14ac:dyDescent="0.25">
      <c r="C195" s="75" t="str">
        <f>IFERROR(VLOOKUP(B195,'Open Invoices'!C:F,4,0),"")</f>
        <v/>
      </c>
      <c r="D195" s="75" t="str">
        <f>IFERROR(IF(OR(B195="",B195="(BLANK)"),"",SUMIFS('Enter Invoices'!G:G,'Enter Invoices'!D:D,B195,'Enter Invoices'!J:J,"A")),"")</f>
        <v/>
      </c>
      <c r="E195" s="75" t="str">
        <f>IFERROR(IF(OR(B195="",B195="(BLANK)"),"",SUMIFS('Enter Invoices'!G:G,'Enter Invoices'!D:D,B195,'Enter Invoices'!J:J,"B")),"")</f>
        <v/>
      </c>
      <c r="F195" s="75" t="str">
        <f>IFERROR(IF(OR(B195="",B195="(BLANK)"),"",SUMIFS('Enter Invoices'!G:G,'Enter Invoices'!D:D,B195,'Enter Invoices'!J:J,"C")),"")</f>
        <v/>
      </c>
      <c r="G195" s="46" t="str">
        <f>IFERROR(IF(OR(B195="",B195="(BLANK)"),"",SUMIFS('Enter Invoices'!G:G,'Enter Invoices'!D:D,B195,'Enter Invoices'!J:J,"D")),"")</f>
        <v/>
      </c>
      <c r="H195" s="47" t="str">
        <f t="shared" si="4"/>
        <v/>
      </c>
    </row>
    <row r="196" spans="3:8" s="43" customFormat="1" ht="15" customHeight="1" x14ac:dyDescent="0.25">
      <c r="C196" s="75" t="str">
        <f>IFERROR(VLOOKUP(B196,'Open Invoices'!C:F,4,0),"")</f>
        <v/>
      </c>
      <c r="D196" s="75" t="str">
        <f>IFERROR(IF(OR(B196="",B196="(BLANK)"),"",SUMIFS('Enter Invoices'!G:G,'Enter Invoices'!D:D,B196,'Enter Invoices'!J:J,"A")),"")</f>
        <v/>
      </c>
      <c r="E196" s="75" t="str">
        <f>IFERROR(IF(OR(B196="",B196="(BLANK)"),"",SUMIFS('Enter Invoices'!G:G,'Enter Invoices'!D:D,B196,'Enter Invoices'!J:J,"B")),"")</f>
        <v/>
      </c>
      <c r="F196" s="75" t="str">
        <f>IFERROR(IF(OR(B196="",B196="(BLANK)"),"",SUMIFS('Enter Invoices'!G:G,'Enter Invoices'!D:D,B196,'Enter Invoices'!J:J,"C")),"")</f>
        <v/>
      </c>
      <c r="G196" s="46" t="str">
        <f>IFERROR(IF(OR(B196="",B196="(BLANK)"),"",SUMIFS('Enter Invoices'!G:G,'Enter Invoices'!D:D,B196,'Enter Invoices'!J:J,"D")),"")</f>
        <v/>
      </c>
      <c r="H196" s="47" t="str">
        <f t="shared" si="4"/>
        <v/>
      </c>
    </row>
    <row r="197" spans="3:8" s="43" customFormat="1" ht="15" customHeight="1" x14ac:dyDescent="0.25">
      <c r="C197" s="75" t="str">
        <f>IFERROR(VLOOKUP(B197,'Open Invoices'!C:F,4,0),"")</f>
        <v/>
      </c>
      <c r="D197" s="75" t="str">
        <f>IFERROR(IF(OR(B197="",B197="(BLANK)"),"",SUMIFS('Enter Invoices'!G:G,'Enter Invoices'!D:D,B197,'Enter Invoices'!J:J,"A")),"")</f>
        <v/>
      </c>
      <c r="E197" s="75" t="str">
        <f>IFERROR(IF(OR(B197="",B197="(BLANK)"),"",SUMIFS('Enter Invoices'!G:G,'Enter Invoices'!D:D,B197,'Enter Invoices'!J:J,"B")),"")</f>
        <v/>
      </c>
      <c r="F197" s="75" t="str">
        <f>IFERROR(IF(OR(B197="",B197="(BLANK)"),"",SUMIFS('Enter Invoices'!G:G,'Enter Invoices'!D:D,B197,'Enter Invoices'!J:J,"C")),"")</f>
        <v/>
      </c>
      <c r="G197" s="46" t="str">
        <f>IFERROR(IF(OR(B197="",B197="(BLANK)"),"",SUMIFS('Enter Invoices'!G:G,'Enter Invoices'!D:D,B197,'Enter Invoices'!J:J,"D")),"")</f>
        <v/>
      </c>
      <c r="H197" s="47" t="str">
        <f t="shared" si="4"/>
        <v/>
      </c>
    </row>
    <row r="198" spans="3:8" s="43" customFormat="1" ht="15" customHeight="1" x14ac:dyDescent="0.25">
      <c r="C198" s="75" t="str">
        <f>IFERROR(VLOOKUP(B198,'Open Invoices'!C:F,4,0),"")</f>
        <v/>
      </c>
      <c r="D198" s="75" t="str">
        <f>IFERROR(IF(OR(B198="",B198="(BLANK)"),"",SUMIFS('Enter Invoices'!G:G,'Enter Invoices'!D:D,B198,'Enter Invoices'!J:J,"A")),"")</f>
        <v/>
      </c>
      <c r="E198" s="75" t="str">
        <f>IFERROR(IF(OR(B198="",B198="(BLANK)"),"",SUMIFS('Enter Invoices'!G:G,'Enter Invoices'!D:D,B198,'Enter Invoices'!J:J,"B")),"")</f>
        <v/>
      </c>
      <c r="F198" s="75" t="str">
        <f>IFERROR(IF(OR(B198="",B198="(BLANK)"),"",SUMIFS('Enter Invoices'!G:G,'Enter Invoices'!D:D,B198,'Enter Invoices'!J:J,"C")),"")</f>
        <v/>
      </c>
      <c r="G198" s="46" t="str">
        <f>IFERROR(IF(OR(B198="",B198="(BLANK)"),"",SUMIFS('Enter Invoices'!G:G,'Enter Invoices'!D:D,B198,'Enter Invoices'!J:J,"D")),"")</f>
        <v/>
      </c>
      <c r="H198" s="47" t="str">
        <f t="shared" si="4"/>
        <v/>
      </c>
    </row>
    <row r="199" spans="3:8" s="43" customFormat="1" ht="15" customHeight="1" x14ac:dyDescent="0.25">
      <c r="C199" s="75" t="str">
        <f>IFERROR(VLOOKUP(B199,'Open Invoices'!C:F,4,0),"")</f>
        <v/>
      </c>
      <c r="D199" s="75" t="str">
        <f>IFERROR(IF(OR(B199="",B199="(BLANK)"),"",SUMIFS('Enter Invoices'!G:G,'Enter Invoices'!D:D,B199,'Enter Invoices'!J:J,"A")),"")</f>
        <v/>
      </c>
      <c r="E199" s="75" t="str">
        <f>IFERROR(IF(OR(B199="",B199="(BLANK)"),"",SUMIFS('Enter Invoices'!G:G,'Enter Invoices'!D:D,B199,'Enter Invoices'!J:J,"B")),"")</f>
        <v/>
      </c>
      <c r="F199" s="75" t="str">
        <f>IFERROR(IF(OR(B199="",B199="(BLANK)"),"",SUMIFS('Enter Invoices'!G:G,'Enter Invoices'!D:D,B199,'Enter Invoices'!J:J,"C")),"")</f>
        <v/>
      </c>
      <c r="G199" s="46" t="str">
        <f>IFERROR(IF(OR(B199="",B199="(BLANK)"),"",SUMIFS('Enter Invoices'!G:G,'Enter Invoices'!D:D,B199,'Enter Invoices'!J:J,"D")),"")</f>
        <v/>
      </c>
      <c r="H199" s="47" t="str">
        <f t="shared" si="4"/>
        <v/>
      </c>
    </row>
    <row r="200" spans="3:8" s="43" customFormat="1" ht="15" customHeight="1" x14ac:dyDescent="0.25">
      <c r="C200" s="75" t="str">
        <f>IFERROR(VLOOKUP(B200,'Open Invoices'!C:F,4,0),"")</f>
        <v/>
      </c>
      <c r="D200" s="75" t="str">
        <f>IFERROR(IF(OR(B200="",B200="(BLANK)"),"",SUMIFS('Enter Invoices'!G:G,'Enter Invoices'!D:D,B200,'Enter Invoices'!J:J,"A")),"")</f>
        <v/>
      </c>
      <c r="E200" s="75" t="str">
        <f>IFERROR(IF(OR(B200="",B200="(BLANK)"),"",SUMIFS('Enter Invoices'!G:G,'Enter Invoices'!D:D,B200,'Enter Invoices'!J:J,"B")),"")</f>
        <v/>
      </c>
      <c r="F200" s="75" t="str">
        <f>IFERROR(IF(OR(B200="",B200="(BLANK)"),"",SUMIFS('Enter Invoices'!G:G,'Enter Invoices'!D:D,B200,'Enter Invoices'!J:J,"C")),"")</f>
        <v/>
      </c>
      <c r="G200" s="46" t="str">
        <f>IFERROR(IF(OR(B200="",B200="(BLANK)"),"",SUMIFS('Enter Invoices'!G:G,'Enter Invoices'!D:D,B200,'Enter Invoices'!J:J,"D")),"")</f>
        <v/>
      </c>
      <c r="H200" s="47" t="str">
        <f t="shared" ref="H200:H263" si="5">IF(COUNT(D200:G200)=0,"",SUM(D200:G200))</f>
        <v/>
      </c>
    </row>
    <row r="201" spans="3:8" s="43" customFormat="1" ht="15" customHeight="1" x14ac:dyDescent="0.25">
      <c r="C201" s="75" t="str">
        <f>IFERROR(VLOOKUP(B201,'Open Invoices'!C:F,4,0),"")</f>
        <v/>
      </c>
      <c r="D201" s="75" t="str">
        <f>IFERROR(IF(OR(B201="",B201="(BLANK)"),"",SUMIFS('Enter Invoices'!G:G,'Enter Invoices'!D:D,B201,'Enter Invoices'!J:J,"A")),"")</f>
        <v/>
      </c>
      <c r="E201" s="75" t="str">
        <f>IFERROR(IF(OR(B201="",B201="(BLANK)"),"",SUMIFS('Enter Invoices'!G:G,'Enter Invoices'!D:D,B201,'Enter Invoices'!J:J,"B")),"")</f>
        <v/>
      </c>
      <c r="F201" s="75" t="str">
        <f>IFERROR(IF(OR(B201="",B201="(BLANK)"),"",SUMIFS('Enter Invoices'!G:G,'Enter Invoices'!D:D,B201,'Enter Invoices'!J:J,"C")),"")</f>
        <v/>
      </c>
      <c r="G201" s="46" t="str">
        <f>IFERROR(IF(OR(B201="",B201="(BLANK)"),"",SUMIFS('Enter Invoices'!G:G,'Enter Invoices'!D:D,B201,'Enter Invoices'!J:J,"D")),"")</f>
        <v/>
      </c>
      <c r="H201" s="47" t="str">
        <f t="shared" si="5"/>
        <v/>
      </c>
    </row>
    <row r="202" spans="3:8" s="43" customFormat="1" ht="15" customHeight="1" x14ac:dyDescent="0.25">
      <c r="C202" s="75" t="str">
        <f>IFERROR(VLOOKUP(B202,'Open Invoices'!C:F,4,0),"")</f>
        <v/>
      </c>
      <c r="D202" s="75" t="str">
        <f>IFERROR(IF(OR(B202="",B202="(BLANK)"),"",SUMIFS('Enter Invoices'!G:G,'Enter Invoices'!D:D,B202,'Enter Invoices'!J:J,"A")),"")</f>
        <v/>
      </c>
      <c r="E202" s="75" t="str">
        <f>IFERROR(IF(OR(B202="",B202="(BLANK)"),"",SUMIFS('Enter Invoices'!G:G,'Enter Invoices'!D:D,B202,'Enter Invoices'!J:J,"B")),"")</f>
        <v/>
      </c>
      <c r="F202" s="75" t="str">
        <f>IFERROR(IF(OR(B202="",B202="(BLANK)"),"",SUMIFS('Enter Invoices'!G:G,'Enter Invoices'!D:D,B202,'Enter Invoices'!J:J,"C")),"")</f>
        <v/>
      </c>
      <c r="G202" s="46" t="str">
        <f>IFERROR(IF(OR(B202="",B202="(BLANK)"),"",SUMIFS('Enter Invoices'!G:G,'Enter Invoices'!D:D,B202,'Enter Invoices'!J:J,"D")),"")</f>
        <v/>
      </c>
      <c r="H202" s="47" t="str">
        <f t="shared" si="5"/>
        <v/>
      </c>
    </row>
    <row r="203" spans="3:8" s="43" customFormat="1" ht="15" customHeight="1" x14ac:dyDescent="0.25">
      <c r="C203" s="75" t="str">
        <f>IFERROR(VLOOKUP(B203,'Open Invoices'!C:F,4,0),"")</f>
        <v/>
      </c>
      <c r="D203" s="75" t="str">
        <f>IFERROR(IF(OR(B203="",B203="(BLANK)"),"",SUMIFS('Enter Invoices'!G:G,'Enter Invoices'!D:D,B203,'Enter Invoices'!J:J,"A")),"")</f>
        <v/>
      </c>
      <c r="E203" s="75" t="str">
        <f>IFERROR(IF(OR(B203="",B203="(BLANK)"),"",SUMIFS('Enter Invoices'!G:G,'Enter Invoices'!D:D,B203,'Enter Invoices'!J:J,"B")),"")</f>
        <v/>
      </c>
      <c r="F203" s="75" t="str">
        <f>IFERROR(IF(OR(B203="",B203="(BLANK)"),"",SUMIFS('Enter Invoices'!G:G,'Enter Invoices'!D:D,B203,'Enter Invoices'!J:J,"C")),"")</f>
        <v/>
      </c>
      <c r="G203" s="46" t="str">
        <f>IFERROR(IF(OR(B203="",B203="(BLANK)"),"",SUMIFS('Enter Invoices'!G:G,'Enter Invoices'!D:D,B203,'Enter Invoices'!J:J,"D")),"")</f>
        <v/>
      </c>
      <c r="H203" s="47" t="str">
        <f t="shared" si="5"/>
        <v/>
      </c>
    </row>
    <row r="204" spans="3:8" s="43" customFormat="1" ht="15" customHeight="1" x14ac:dyDescent="0.25">
      <c r="C204" s="75" t="str">
        <f>IFERROR(VLOOKUP(B204,'Open Invoices'!C:F,4,0),"")</f>
        <v/>
      </c>
      <c r="D204" s="75" t="str">
        <f>IFERROR(IF(OR(B204="",B204="(BLANK)"),"",SUMIFS('Enter Invoices'!G:G,'Enter Invoices'!D:D,B204,'Enter Invoices'!J:J,"A")),"")</f>
        <v/>
      </c>
      <c r="E204" s="75" t="str">
        <f>IFERROR(IF(OR(B204="",B204="(BLANK)"),"",SUMIFS('Enter Invoices'!G:G,'Enter Invoices'!D:D,B204,'Enter Invoices'!J:J,"B")),"")</f>
        <v/>
      </c>
      <c r="F204" s="75" t="str">
        <f>IFERROR(IF(OR(B204="",B204="(BLANK)"),"",SUMIFS('Enter Invoices'!G:G,'Enter Invoices'!D:D,B204,'Enter Invoices'!J:J,"C")),"")</f>
        <v/>
      </c>
      <c r="G204" s="46" t="str">
        <f>IFERROR(IF(OR(B204="",B204="(BLANK)"),"",SUMIFS('Enter Invoices'!G:G,'Enter Invoices'!D:D,B204,'Enter Invoices'!J:J,"D")),"")</f>
        <v/>
      </c>
      <c r="H204" s="47" t="str">
        <f t="shared" si="5"/>
        <v/>
      </c>
    </row>
    <row r="205" spans="3:8" s="43" customFormat="1" ht="15" customHeight="1" x14ac:dyDescent="0.25">
      <c r="C205" s="75" t="str">
        <f>IFERROR(VLOOKUP(B205,'Open Invoices'!C:F,4,0),"")</f>
        <v/>
      </c>
      <c r="D205" s="75" t="str">
        <f>IFERROR(IF(OR(B205="",B205="(BLANK)"),"",SUMIFS('Enter Invoices'!G:G,'Enter Invoices'!D:D,B205,'Enter Invoices'!J:J,"A")),"")</f>
        <v/>
      </c>
      <c r="E205" s="75" t="str">
        <f>IFERROR(IF(OR(B205="",B205="(BLANK)"),"",SUMIFS('Enter Invoices'!G:G,'Enter Invoices'!D:D,B205,'Enter Invoices'!J:J,"B")),"")</f>
        <v/>
      </c>
      <c r="F205" s="75" t="str">
        <f>IFERROR(IF(OR(B205="",B205="(BLANK)"),"",SUMIFS('Enter Invoices'!G:G,'Enter Invoices'!D:D,B205,'Enter Invoices'!J:J,"C")),"")</f>
        <v/>
      </c>
      <c r="G205" s="46" t="str">
        <f>IFERROR(IF(OR(B205="",B205="(BLANK)"),"",SUMIFS('Enter Invoices'!G:G,'Enter Invoices'!D:D,B205,'Enter Invoices'!J:J,"D")),"")</f>
        <v/>
      </c>
      <c r="H205" s="47" t="str">
        <f t="shared" si="5"/>
        <v/>
      </c>
    </row>
    <row r="206" spans="3:8" s="43" customFormat="1" ht="15" customHeight="1" x14ac:dyDescent="0.25">
      <c r="C206" s="75" t="str">
        <f>IFERROR(VLOOKUP(B206,'Open Invoices'!C:F,4,0),"")</f>
        <v/>
      </c>
      <c r="D206" s="75" t="str">
        <f>IFERROR(IF(OR(B206="",B206="(BLANK)"),"",SUMIFS('Enter Invoices'!G:G,'Enter Invoices'!D:D,B206,'Enter Invoices'!J:J,"A")),"")</f>
        <v/>
      </c>
      <c r="E206" s="75" t="str">
        <f>IFERROR(IF(OR(B206="",B206="(BLANK)"),"",SUMIFS('Enter Invoices'!G:G,'Enter Invoices'!D:D,B206,'Enter Invoices'!J:J,"B")),"")</f>
        <v/>
      </c>
      <c r="F206" s="75" t="str">
        <f>IFERROR(IF(OR(B206="",B206="(BLANK)"),"",SUMIFS('Enter Invoices'!G:G,'Enter Invoices'!D:D,B206,'Enter Invoices'!J:J,"C")),"")</f>
        <v/>
      </c>
      <c r="G206" s="46" t="str">
        <f>IFERROR(IF(OR(B206="",B206="(BLANK)"),"",SUMIFS('Enter Invoices'!G:G,'Enter Invoices'!D:D,B206,'Enter Invoices'!J:J,"D")),"")</f>
        <v/>
      </c>
      <c r="H206" s="47" t="str">
        <f t="shared" si="5"/>
        <v/>
      </c>
    </row>
    <row r="207" spans="3:8" s="43" customFormat="1" ht="15" customHeight="1" x14ac:dyDescent="0.25">
      <c r="C207" s="75" t="str">
        <f>IFERROR(VLOOKUP(B207,'Open Invoices'!C:F,4,0),"")</f>
        <v/>
      </c>
      <c r="D207" s="75" t="str">
        <f>IFERROR(IF(OR(B207="",B207="(BLANK)"),"",SUMIFS('Enter Invoices'!G:G,'Enter Invoices'!D:D,B207,'Enter Invoices'!J:J,"A")),"")</f>
        <v/>
      </c>
      <c r="E207" s="75" t="str">
        <f>IFERROR(IF(OR(B207="",B207="(BLANK)"),"",SUMIFS('Enter Invoices'!G:G,'Enter Invoices'!D:D,B207,'Enter Invoices'!J:J,"B")),"")</f>
        <v/>
      </c>
      <c r="F207" s="75" t="str">
        <f>IFERROR(IF(OR(B207="",B207="(BLANK)"),"",SUMIFS('Enter Invoices'!G:G,'Enter Invoices'!D:D,B207,'Enter Invoices'!J:J,"C")),"")</f>
        <v/>
      </c>
      <c r="G207" s="46" t="str">
        <f>IFERROR(IF(OR(B207="",B207="(BLANK)"),"",SUMIFS('Enter Invoices'!G:G,'Enter Invoices'!D:D,B207,'Enter Invoices'!J:J,"D")),"")</f>
        <v/>
      </c>
      <c r="H207" s="47" t="str">
        <f t="shared" si="5"/>
        <v/>
      </c>
    </row>
    <row r="208" spans="3:8" s="43" customFormat="1" ht="15" customHeight="1" x14ac:dyDescent="0.25">
      <c r="C208" s="75" t="str">
        <f>IFERROR(VLOOKUP(B208,'Open Invoices'!C:F,4,0),"")</f>
        <v/>
      </c>
      <c r="D208" s="75" t="str">
        <f>IFERROR(IF(OR(B208="",B208="(BLANK)"),"",SUMIFS('Enter Invoices'!G:G,'Enter Invoices'!D:D,B208,'Enter Invoices'!J:J,"A")),"")</f>
        <v/>
      </c>
      <c r="E208" s="75" t="str">
        <f>IFERROR(IF(OR(B208="",B208="(BLANK)"),"",SUMIFS('Enter Invoices'!G:G,'Enter Invoices'!D:D,B208,'Enter Invoices'!J:J,"B")),"")</f>
        <v/>
      </c>
      <c r="F208" s="75" t="str">
        <f>IFERROR(IF(OR(B208="",B208="(BLANK)"),"",SUMIFS('Enter Invoices'!G:G,'Enter Invoices'!D:D,B208,'Enter Invoices'!J:J,"C")),"")</f>
        <v/>
      </c>
      <c r="G208" s="46" t="str">
        <f>IFERROR(IF(OR(B208="",B208="(BLANK)"),"",SUMIFS('Enter Invoices'!G:G,'Enter Invoices'!D:D,B208,'Enter Invoices'!J:J,"D")),"")</f>
        <v/>
      </c>
      <c r="H208" s="47" t="str">
        <f t="shared" si="5"/>
        <v/>
      </c>
    </row>
    <row r="209" spans="3:8" s="43" customFormat="1" ht="15" customHeight="1" x14ac:dyDescent="0.25">
      <c r="C209" s="75" t="str">
        <f>IFERROR(VLOOKUP(B209,'Open Invoices'!C:F,4,0),"")</f>
        <v/>
      </c>
      <c r="D209" s="75" t="str">
        <f>IFERROR(IF(OR(B209="",B209="(BLANK)"),"",SUMIFS('Enter Invoices'!G:G,'Enter Invoices'!D:D,B209,'Enter Invoices'!J:J,"A")),"")</f>
        <v/>
      </c>
      <c r="E209" s="75" t="str">
        <f>IFERROR(IF(OR(B209="",B209="(BLANK)"),"",SUMIFS('Enter Invoices'!G:G,'Enter Invoices'!D:D,B209,'Enter Invoices'!J:J,"B")),"")</f>
        <v/>
      </c>
      <c r="F209" s="75" t="str">
        <f>IFERROR(IF(OR(B209="",B209="(BLANK)"),"",SUMIFS('Enter Invoices'!G:G,'Enter Invoices'!D:D,B209,'Enter Invoices'!J:J,"C")),"")</f>
        <v/>
      </c>
      <c r="G209" s="46" t="str">
        <f>IFERROR(IF(OR(B209="",B209="(BLANK)"),"",SUMIFS('Enter Invoices'!G:G,'Enter Invoices'!D:D,B209,'Enter Invoices'!J:J,"D")),"")</f>
        <v/>
      </c>
      <c r="H209" s="47" t="str">
        <f t="shared" si="5"/>
        <v/>
      </c>
    </row>
    <row r="210" spans="3:8" s="43" customFormat="1" ht="15" customHeight="1" x14ac:dyDescent="0.25">
      <c r="C210" s="75" t="str">
        <f>IFERROR(VLOOKUP(B210,'Open Invoices'!C:F,4,0),"")</f>
        <v/>
      </c>
      <c r="D210" s="75" t="str">
        <f>IFERROR(IF(OR(B210="",B210="(BLANK)"),"",SUMIFS('Enter Invoices'!G:G,'Enter Invoices'!D:D,B210,'Enter Invoices'!J:J,"A")),"")</f>
        <v/>
      </c>
      <c r="E210" s="75" t="str">
        <f>IFERROR(IF(OR(B210="",B210="(BLANK)"),"",SUMIFS('Enter Invoices'!G:G,'Enter Invoices'!D:D,B210,'Enter Invoices'!J:J,"B")),"")</f>
        <v/>
      </c>
      <c r="F210" s="75" t="str">
        <f>IFERROR(IF(OR(B210="",B210="(BLANK)"),"",SUMIFS('Enter Invoices'!G:G,'Enter Invoices'!D:D,B210,'Enter Invoices'!J:J,"C")),"")</f>
        <v/>
      </c>
      <c r="G210" s="46" t="str">
        <f>IFERROR(IF(OR(B210="",B210="(BLANK)"),"",SUMIFS('Enter Invoices'!G:G,'Enter Invoices'!D:D,B210,'Enter Invoices'!J:J,"D")),"")</f>
        <v/>
      </c>
      <c r="H210" s="47" t="str">
        <f t="shared" si="5"/>
        <v/>
      </c>
    </row>
    <row r="211" spans="3:8" s="43" customFormat="1" ht="15" customHeight="1" x14ac:dyDescent="0.25">
      <c r="C211" s="75" t="str">
        <f>IFERROR(VLOOKUP(B211,'Open Invoices'!C:F,4,0),"")</f>
        <v/>
      </c>
      <c r="D211" s="75" t="str">
        <f>IFERROR(IF(OR(B211="",B211="(BLANK)"),"",SUMIFS('Enter Invoices'!G:G,'Enter Invoices'!D:D,B211,'Enter Invoices'!J:J,"A")),"")</f>
        <v/>
      </c>
      <c r="E211" s="75" t="str">
        <f>IFERROR(IF(OR(B211="",B211="(BLANK)"),"",SUMIFS('Enter Invoices'!G:G,'Enter Invoices'!D:D,B211,'Enter Invoices'!J:J,"B")),"")</f>
        <v/>
      </c>
      <c r="F211" s="75" t="str">
        <f>IFERROR(IF(OR(B211="",B211="(BLANK)"),"",SUMIFS('Enter Invoices'!G:G,'Enter Invoices'!D:D,B211,'Enter Invoices'!J:J,"C")),"")</f>
        <v/>
      </c>
      <c r="G211" s="46" t="str">
        <f>IFERROR(IF(OR(B211="",B211="(BLANK)"),"",SUMIFS('Enter Invoices'!G:G,'Enter Invoices'!D:D,B211,'Enter Invoices'!J:J,"D")),"")</f>
        <v/>
      </c>
      <c r="H211" s="47" t="str">
        <f t="shared" si="5"/>
        <v/>
      </c>
    </row>
    <row r="212" spans="3:8" s="43" customFormat="1" ht="15" customHeight="1" x14ac:dyDescent="0.25">
      <c r="C212" s="75" t="str">
        <f>IFERROR(VLOOKUP(B212,'Open Invoices'!C:F,4,0),"")</f>
        <v/>
      </c>
      <c r="D212" s="75" t="str">
        <f>IFERROR(IF(OR(B212="",B212="(BLANK)"),"",SUMIFS('Enter Invoices'!G:G,'Enter Invoices'!D:D,B212,'Enter Invoices'!J:J,"A")),"")</f>
        <v/>
      </c>
      <c r="E212" s="75" t="str">
        <f>IFERROR(IF(OR(B212="",B212="(BLANK)"),"",SUMIFS('Enter Invoices'!G:G,'Enter Invoices'!D:D,B212,'Enter Invoices'!J:J,"B")),"")</f>
        <v/>
      </c>
      <c r="F212" s="75" t="str">
        <f>IFERROR(IF(OR(B212="",B212="(BLANK)"),"",SUMIFS('Enter Invoices'!G:G,'Enter Invoices'!D:D,B212,'Enter Invoices'!J:J,"C")),"")</f>
        <v/>
      </c>
      <c r="G212" s="46" t="str">
        <f>IFERROR(IF(OR(B212="",B212="(BLANK)"),"",SUMIFS('Enter Invoices'!G:G,'Enter Invoices'!D:D,B212,'Enter Invoices'!J:J,"D")),"")</f>
        <v/>
      </c>
      <c r="H212" s="47" t="str">
        <f t="shared" si="5"/>
        <v/>
      </c>
    </row>
    <row r="213" spans="3:8" s="43" customFormat="1" ht="15" customHeight="1" x14ac:dyDescent="0.25">
      <c r="C213" s="75" t="str">
        <f>IFERROR(VLOOKUP(B213,'Open Invoices'!C:F,4,0),"")</f>
        <v/>
      </c>
      <c r="D213" s="75" t="str">
        <f>IFERROR(IF(OR(B213="",B213="(BLANK)"),"",SUMIFS('Enter Invoices'!G:G,'Enter Invoices'!D:D,B213,'Enter Invoices'!J:J,"A")),"")</f>
        <v/>
      </c>
      <c r="E213" s="75" t="str">
        <f>IFERROR(IF(OR(B213="",B213="(BLANK)"),"",SUMIFS('Enter Invoices'!G:G,'Enter Invoices'!D:D,B213,'Enter Invoices'!J:J,"B")),"")</f>
        <v/>
      </c>
      <c r="F213" s="75" t="str">
        <f>IFERROR(IF(OR(B213="",B213="(BLANK)"),"",SUMIFS('Enter Invoices'!G:G,'Enter Invoices'!D:D,B213,'Enter Invoices'!J:J,"C")),"")</f>
        <v/>
      </c>
      <c r="G213" s="46" t="str">
        <f>IFERROR(IF(OR(B213="",B213="(BLANK)"),"",SUMIFS('Enter Invoices'!G:G,'Enter Invoices'!D:D,B213,'Enter Invoices'!J:J,"D")),"")</f>
        <v/>
      </c>
      <c r="H213" s="47" t="str">
        <f t="shared" si="5"/>
        <v/>
      </c>
    </row>
    <row r="214" spans="3:8" s="43" customFormat="1" ht="15" customHeight="1" x14ac:dyDescent="0.25">
      <c r="C214" s="75" t="str">
        <f>IFERROR(VLOOKUP(B214,'Open Invoices'!C:F,4,0),"")</f>
        <v/>
      </c>
      <c r="D214" s="75" t="str">
        <f>IFERROR(IF(OR(B214="",B214="(BLANK)"),"",SUMIFS('Enter Invoices'!G:G,'Enter Invoices'!D:D,B214,'Enter Invoices'!J:J,"A")),"")</f>
        <v/>
      </c>
      <c r="E214" s="75" t="str">
        <f>IFERROR(IF(OR(B214="",B214="(BLANK)"),"",SUMIFS('Enter Invoices'!G:G,'Enter Invoices'!D:D,B214,'Enter Invoices'!J:J,"B")),"")</f>
        <v/>
      </c>
      <c r="F214" s="75" t="str">
        <f>IFERROR(IF(OR(B214="",B214="(BLANK)"),"",SUMIFS('Enter Invoices'!G:G,'Enter Invoices'!D:D,B214,'Enter Invoices'!J:J,"C")),"")</f>
        <v/>
      </c>
      <c r="G214" s="46" t="str">
        <f>IFERROR(IF(OR(B214="",B214="(BLANK)"),"",SUMIFS('Enter Invoices'!G:G,'Enter Invoices'!D:D,B214,'Enter Invoices'!J:J,"D")),"")</f>
        <v/>
      </c>
      <c r="H214" s="47" t="str">
        <f t="shared" si="5"/>
        <v/>
      </c>
    </row>
    <row r="215" spans="3:8" s="43" customFormat="1" ht="15" customHeight="1" x14ac:dyDescent="0.25">
      <c r="C215" s="75" t="str">
        <f>IFERROR(VLOOKUP(B215,'Open Invoices'!C:F,4,0),"")</f>
        <v/>
      </c>
      <c r="D215" s="75" t="str">
        <f>IFERROR(IF(OR(B215="",B215="(BLANK)"),"",SUMIFS('Enter Invoices'!G:G,'Enter Invoices'!D:D,B215,'Enter Invoices'!J:J,"A")),"")</f>
        <v/>
      </c>
      <c r="E215" s="75" t="str">
        <f>IFERROR(IF(OR(B215="",B215="(BLANK)"),"",SUMIFS('Enter Invoices'!G:G,'Enter Invoices'!D:D,B215,'Enter Invoices'!J:J,"B")),"")</f>
        <v/>
      </c>
      <c r="F215" s="75" t="str">
        <f>IFERROR(IF(OR(B215="",B215="(BLANK)"),"",SUMIFS('Enter Invoices'!G:G,'Enter Invoices'!D:D,B215,'Enter Invoices'!J:J,"C")),"")</f>
        <v/>
      </c>
      <c r="G215" s="46" t="str">
        <f>IFERROR(IF(OR(B215="",B215="(BLANK)"),"",SUMIFS('Enter Invoices'!G:G,'Enter Invoices'!D:D,B215,'Enter Invoices'!J:J,"D")),"")</f>
        <v/>
      </c>
      <c r="H215" s="47" t="str">
        <f t="shared" si="5"/>
        <v/>
      </c>
    </row>
    <row r="216" spans="3:8" s="43" customFormat="1" ht="15" customHeight="1" x14ac:dyDescent="0.25">
      <c r="C216" s="75" t="str">
        <f>IFERROR(VLOOKUP(B216,'Open Invoices'!C:F,4,0),"")</f>
        <v/>
      </c>
      <c r="D216" s="75" t="str">
        <f>IFERROR(IF(OR(B216="",B216="(BLANK)"),"",SUMIFS('Enter Invoices'!G:G,'Enter Invoices'!D:D,B216,'Enter Invoices'!J:J,"A")),"")</f>
        <v/>
      </c>
      <c r="E216" s="75" t="str">
        <f>IFERROR(IF(OR(B216="",B216="(BLANK)"),"",SUMIFS('Enter Invoices'!G:G,'Enter Invoices'!D:D,B216,'Enter Invoices'!J:J,"B")),"")</f>
        <v/>
      </c>
      <c r="F216" s="75" t="str">
        <f>IFERROR(IF(OR(B216="",B216="(BLANK)"),"",SUMIFS('Enter Invoices'!G:G,'Enter Invoices'!D:D,B216,'Enter Invoices'!J:J,"C")),"")</f>
        <v/>
      </c>
      <c r="G216" s="46" t="str">
        <f>IFERROR(IF(OR(B216="",B216="(BLANK)"),"",SUMIFS('Enter Invoices'!G:G,'Enter Invoices'!D:D,B216,'Enter Invoices'!J:J,"D")),"")</f>
        <v/>
      </c>
      <c r="H216" s="47" t="str">
        <f t="shared" si="5"/>
        <v/>
      </c>
    </row>
    <row r="217" spans="3:8" s="43" customFormat="1" ht="15" customHeight="1" x14ac:dyDescent="0.25">
      <c r="C217" s="75" t="str">
        <f>IFERROR(VLOOKUP(B217,'Open Invoices'!C:F,4,0),"")</f>
        <v/>
      </c>
      <c r="D217" s="75" t="str">
        <f>IFERROR(IF(OR(B217="",B217="(BLANK)"),"",SUMIFS('Enter Invoices'!G:G,'Enter Invoices'!D:D,B217,'Enter Invoices'!J:J,"A")),"")</f>
        <v/>
      </c>
      <c r="E217" s="75" t="str">
        <f>IFERROR(IF(OR(B217="",B217="(BLANK)"),"",SUMIFS('Enter Invoices'!G:G,'Enter Invoices'!D:D,B217,'Enter Invoices'!J:J,"B")),"")</f>
        <v/>
      </c>
      <c r="F217" s="75" t="str">
        <f>IFERROR(IF(OR(B217="",B217="(BLANK)"),"",SUMIFS('Enter Invoices'!G:G,'Enter Invoices'!D:D,B217,'Enter Invoices'!J:J,"C")),"")</f>
        <v/>
      </c>
      <c r="G217" s="46" t="str">
        <f>IFERROR(IF(OR(B217="",B217="(BLANK)"),"",SUMIFS('Enter Invoices'!G:G,'Enter Invoices'!D:D,B217,'Enter Invoices'!J:J,"D")),"")</f>
        <v/>
      </c>
      <c r="H217" s="47" t="str">
        <f t="shared" si="5"/>
        <v/>
      </c>
    </row>
    <row r="218" spans="3:8" s="43" customFormat="1" ht="15" customHeight="1" x14ac:dyDescent="0.25">
      <c r="C218" s="75" t="str">
        <f>IFERROR(VLOOKUP(B218,'Open Invoices'!C:F,4,0),"")</f>
        <v/>
      </c>
      <c r="D218" s="75" t="str">
        <f>IFERROR(IF(OR(B218="",B218="(BLANK)"),"",SUMIFS('Enter Invoices'!G:G,'Enter Invoices'!D:D,B218,'Enter Invoices'!J:J,"A")),"")</f>
        <v/>
      </c>
      <c r="E218" s="75" t="str">
        <f>IFERROR(IF(OR(B218="",B218="(BLANK)"),"",SUMIFS('Enter Invoices'!G:G,'Enter Invoices'!D:D,B218,'Enter Invoices'!J:J,"B")),"")</f>
        <v/>
      </c>
      <c r="F218" s="75" t="str">
        <f>IFERROR(IF(OR(B218="",B218="(BLANK)"),"",SUMIFS('Enter Invoices'!G:G,'Enter Invoices'!D:D,B218,'Enter Invoices'!J:J,"C")),"")</f>
        <v/>
      </c>
      <c r="G218" s="46" t="str">
        <f>IFERROR(IF(OR(B218="",B218="(BLANK)"),"",SUMIFS('Enter Invoices'!G:G,'Enter Invoices'!D:D,B218,'Enter Invoices'!J:J,"D")),"")</f>
        <v/>
      </c>
      <c r="H218" s="47" t="str">
        <f t="shared" si="5"/>
        <v/>
      </c>
    </row>
    <row r="219" spans="3:8" s="43" customFormat="1" ht="15" customHeight="1" x14ac:dyDescent="0.25">
      <c r="C219" s="75" t="str">
        <f>IFERROR(VLOOKUP(B219,'Open Invoices'!C:F,4,0),"")</f>
        <v/>
      </c>
      <c r="D219" s="75" t="str">
        <f>IFERROR(IF(OR(B219="",B219="(BLANK)"),"",SUMIFS('Enter Invoices'!G:G,'Enter Invoices'!D:D,B219,'Enter Invoices'!J:J,"A")),"")</f>
        <v/>
      </c>
      <c r="E219" s="75" t="str">
        <f>IFERROR(IF(OR(B219="",B219="(BLANK)"),"",SUMIFS('Enter Invoices'!G:G,'Enter Invoices'!D:D,B219,'Enter Invoices'!J:J,"B")),"")</f>
        <v/>
      </c>
      <c r="F219" s="75" t="str">
        <f>IFERROR(IF(OR(B219="",B219="(BLANK)"),"",SUMIFS('Enter Invoices'!G:G,'Enter Invoices'!D:D,B219,'Enter Invoices'!J:J,"C")),"")</f>
        <v/>
      </c>
      <c r="G219" s="46" t="str">
        <f>IFERROR(IF(OR(B219="",B219="(BLANK)"),"",SUMIFS('Enter Invoices'!G:G,'Enter Invoices'!D:D,B219,'Enter Invoices'!J:J,"D")),"")</f>
        <v/>
      </c>
      <c r="H219" s="47" t="str">
        <f t="shared" si="5"/>
        <v/>
      </c>
    </row>
    <row r="220" spans="3:8" s="43" customFormat="1" ht="15" customHeight="1" x14ac:dyDescent="0.25">
      <c r="C220" s="75" t="str">
        <f>IFERROR(VLOOKUP(B220,'Open Invoices'!C:F,4,0),"")</f>
        <v/>
      </c>
      <c r="D220" s="75" t="str">
        <f>IFERROR(IF(OR(B220="",B220="(BLANK)"),"",SUMIFS('Enter Invoices'!G:G,'Enter Invoices'!D:D,B220,'Enter Invoices'!J:J,"A")),"")</f>
        <v/>
      </c>
      <c r="E220" s="75" t="str">
        <f>IFERROR(IF(OR(B220="",B220="(BLANK)"),"",SUMIFS('Enter Invoices'!G:G,'Enter Invoices'!D:D,B220,'Enter Invoices'!J:J,"B")),"")</f>
        <v/>
      </c>
      <c r="F220" s="75" t="str">
        <f>IFERROR(IF(OR(B220="",B220="(BLANK)"),"",SUMIFS('Enter Invoices'!G:G,'Enter Invoices'!D:D,B220,'Enter Invoices'!J:J,"C")),"")</f>
        <v/>
      </c>
      <c r="G220" s="46" t="str">
        <f>IFERROR(IF(OR(B220="",B220="(BLANK)"),"",SUMIFS('Enter Invoices'!G:G,'Enter Invoices'!D:D,B220,'Enter Invoices'!J:J,"D")),"")</f>
        <v/>
      </c>
      <c r="H220" s="47" t="str">
        <f t="shared" si="5"/>
        <v/>
      </c>
    </row>
    <row r="221" spans="3:8" s="43" customFormat="1" ht="15" customHeight="1" x14ac:dyDescent="0.25">
      <c r="C221" s="75" t="str">
        <f>IFERROR(VLOOKUP(B221,'Open Invoices'!C:F,4,0),"")</f>
        <v/>
      </c>
      <c r="D221" s="75" t="str">
        <f>IFERROR(IF(OR(B221="",B221="(BLANK)"),"",SUMIFS('Enter Invoices'!G:G,'Enter Invoices'!D:D,B221,'Enter Invoices'!J:J,"A")),"")</f>
        <v/>
      </c>
      <c r="E221" s="75" t="str">
        <f>IFERROR(IF(OR(B221="",B221="(BLANK)"),"",SUMIFS('Enter Invoices'!G:G,'Enter Invoices'!D:D,B221,'Enter Invoices'!J:J,"B")),"")</f>
        <v/>
      </c>
      <c r="F221" s="75" t="str">
        <f>IFERROR(IF(OR(B221="",B221="(BLANK)"),"",SUMIFS('Enter Invoices'!G:G,'Enter Invoices'!D:D,B221,'Enter Invoices'!J:J,"C")),"")</f>
        <v/>
      </c>
      <c r="G221" s="46" t="str">
        <f>IFERROR(IF(OR(B221="",B221="(BLANK)"),"",SUMIFS('Enter Invoices'!G:G,'Enter Invoices'!D:D,B221,'Enter Invoices'!J:J,"D")),"")</f>
        <v/>
      </c>
      <c r="H221" s="47" t="str">
        <f t="shared" si="5"/>
        <v/>
      </c>
    </row>
    <row r="222" spans="3:8" s="43" customFormat="1" ht="15" customHeight="1" x14ac:dyDescent="0.25">
      <c r="C222" s="75" t="str">
        <f>IFERROR(VLOOKUP(B222,'Open Invoices'!C:F,4,0),"")</f>
        <v/>
      </c>
      <c r="D222" s="75" t="str">
        <f>IFERROR(IF(OR(B222="",B222="(BLANK)"),"",SUMIFS('Enter Invoices'!G:G,'Enter Invoices'!D:D,B222,'Enter Invoices'!J:J,"A")),"")</f>
        <v/>
      </c>
      <c r="E222" s="75" t="str">
        <f>IFERROR(IF(OR(B222="",B222="(BLANK)"),"",SUMIFS('Enter Invoices'!G:G,'Enter Invoices'!D:D,B222,'Enter Invoices'!J:J,"B")),"")</f>
        <v/>
      </c>
      <c r="F222" s="75" t="str">
        <f>IFERROR(IF(OR(B222="",B222="(BLANK)"),"",SUMIFS('Enter Invoices'!G:G,'Enter Invoices'!D:D,B222,'Enter Invoices'!J:J,"C")),"")</f>
        <v/>
      </c>
      <c r="G222" s="46" t="str">
        <f>IFERROR(IF(OR(B222="",B222="(BLANK)"),"",SUMIFS('Enter Invoices'!G:G,'Enter Invoices'!D:D,B222,'Enter Invoices'!J:J,"D")),"")</f>
        <v/>
      </c>
      <c r="H222" s="47" t="str">
        <f t="shared" si="5"/>
        <v/>
      </c>
    </row>
    <row r="223" spans="3:8" s="43" customFormat="1" ht="15" customHeight="1" x14ac:dyDescent="0.25">
      <c r="C223" s="75" t="str">
        <f>IFERROR(VLOOKUP(B223,'Open Invoices'!C:F,4,0),"")</f>
        <v/>
      </c>
      <c r="D223" s="75" t="str">
        <f>IFERROR(IF(OR(B223="",B223="(BLANK)"),"",SUMIFS('Enter Invoices'!G:G,'Enter Invoices'!D:D,B223,'Enter Invoices'!J:J,"A")),"")</f>
        <v/>
      </c>
      <c r="E223" s="75" t="str">
        <f>IFERROR(IF(OR(B223="",B223="(BLANK)"),"",SUMIFS('Enter Invoices'!G:G,'Enter Invoices'!D:D,B223,'Enter Invoices'!J:J,"B")),"")</f>
        <v/>
      </c>
      <c r="F223" s="75" t="str">
        <f>IFERROR(IF(OR(B223="",B223="(BLANK)"),"",SUMIFS('Enter Invoices'!G:G,'Enter Invoices'!D:D,B223,'Enter Invoices'!J:J,"C")),"")</f>
        <v/>
      </c>
      <c r="G223" s="46" t="str">
        <f>IFERROR(IF(OR(B223="",B223="(BLANK)"),"",SUMIFS('Enter Invoices'!G:G,'Enter Invoices'!D:D,B223,'Enter Invoices'!J:J,"D")),"")</f>
        <v/>
      </c>
      <c r="H223" s="47" t="str">
        <f t="shared" si="5"/>
        <v/>
      </c>
    </row>
    <row r="224" spans="3:8" s="43" customFormat="1" ht="15" customHeight="1" x14ac:dyDescent="0.25">
      <c r="C224" s="75" t="str">
        <f>IFERROR(VLOOKUP(B224,'Open Invoices'!C:F,4,0),"")</f>
        <v/>
      </c>
      <c r="D224" s="75" t="str">
        <f>IFERROR(IF(OR(B224="",B224="(BLANK)"),"",SUMIFS('Enter Invoices'!G:G,'Enter Invoices'!D:D,B224,'Enter Invoices'!J:J,"A")),"")</f>
        <v/>
      </c>
      <c r="E224" s="75" t="str">
        <f>IFERROR(IF(OR(B224="",B224="(BLANK)"),"",SUMIFS('Enter Invoices'!G:G,'Enter Invoices'!D:D,B224,'Enter Invoices'!J:J,"B")),"")</f>
        <v/>
      </c>
      <c r="F224" s="75" t="str">
        <f>IFERROR(IF(OR(B224="",B224="(BLANK)"),"",SUMIFS('Enter Invoices'!G:G,'Enter Invoices'!D:D,B224,'Enter Invoices'!J:J,"C")),"")</f>
        <v/>
      </c>
      <c r="G224" s="46" t="str">
        <f>IFERROR(IF(OR(B224="",B224="(BLANK)"),"",SUMIFS('Enter Invoices'!G:G,'Enter Invoices'!D:D,B224,'Enter Invoices'!J:J,"D")),"")</f>
        <v/>
      </c>
      <c r="H224" s="47" t="str">
        <f t="shared" si="5"/>
        <v/>
      </c>
    </row>
    <row r="225" spans="3:8" s="43" customFormat="1" ht="15" customHeight="1" x14ac:dyDescent="0.25">
      <c r="C225" s="75" t="str">
        <f>IFERROR(VLOOKUP(B225,'Open Invoices'!C:F,4,0),"")</f>
        <v/>
      </c>
      <c r="D225" s="75" t="str">
        <f>IFERROR(IF(OR(B225="",B225="(BLANK)"),"",SUMIFS('Enter Invoices'!G:G,'Enter Invoices'!D:D,B225,'Enter Invoices'!J:J,"A")),"")</f>
        <v/>
      </c>
      <c r="E225" s="75" t="str">
        <f>IFERROR(IF(OR(B225="",B225="(BLANK)"),"",SUMIFS('Enter Invoices'!G:G,'Enter Invoices'!D:D,B225,'Enter Invoices'!J:J,"B")),"")</f>
        <v/>
      </c>
      <c r="F225" s="75" t="str">
        <f>IFERROR(IF(OR(B225="",B225="(BLANK)"),"",SUMIFS('Enter Invoices'!G:G,'Enter Invoices'!D:D,B225,'Enter Invoices'!J:J,"C")),"")</f>
        <v/>
      </c>
      <c r="G225" s="46" t="str">
        <f>IFERROR(IF(OR(B225="",B225="(BLANK)"),"",SUMIFS('Enter Invoices'!G:G,'Enter Invoices'!D:D,B225,'Enter Invoices'!J:J,"D")),"")</f>
        <v/>
      </c>
      <c r="H225" s="47" t="str">
        <f t="shared" si="5"/>
        <v/>
      </c>
    </row>
    <row r="226" spans="3:8" s="43" customFormat="1" ht="15" customHeight="1" x14ac:dyDescent="0.25">
      <c r="C226" s="75" t="str">
        <f>IFERROR(VLOOKUP(B226,'Open Invoices'!C:F,4,0),"")</f>
        <v/>
      </c>
      <c r="D226" s="75" t="str">
        <f>IFERROR(IF(OR(B226="",B226="(BLANK)"),"",SUMIFS('Enter Invoices'!G:G,'Enter Invoices'!D:D,B226,'Enter Invoices'!J:J,"A")),"")</f>
        <v/>
      </c>
      <c r="E226" s="75" t="str">
        <f>IFERROR(IF(OR(B226="",B226="(BLANK)"),"",SUMIFS('Enter Invoices'!G:G,'Enter Invoices'!D:D,B226,'Enter Invoices'!J:J,"B")),"")</f>
        <v/>
      </c>
      <c r="F226" s="75" t="str">
        <f>IFERROR(IF(OR(B226="",B226="(BLANK)"),"",SUMIFS('Enter Invoices'!G:G,'Enter Invoices'!D:D,B226,'Enter Invoices'!J:J,"C")),"")</f>
        <v/>
      </c>
      <c r="G226" s="46" t="str">
        <f>IFERROR(IF(OR(B226="",B226="(BLANK)"),"",SUMIFS('Enter Invoices'!G:G,'Enter Invoices'!D:D,B226,'Enter Invoices'!J:J,"D")),"")</f>
        <v/>
      </c>
      <c r="H226" s="47" t="str">
        <f t="shared" si="5"/>
        <v/>
      </c>
    </row>
    <row r="227" spans="3:8" s="43" customFormat="1" ht="15" customHeight="1" x14ac:dyDescent="0.25">
      <c r="C227" s="75" t="str">
        <f>IFERROR(VLOOKUP(B227,'Open Invoices'!C:F,4,0),"")</f>
        <v/>
      </c>
      <c r="D227" s="75" t="str">
        <f>IFERROR(IF(OR(B227="",B227="(BLANK)"),"",SUMIFS('Enter Invoices'!G:G,'Enter Invoices'!D:D,B227,'Enter Invoices'!J:J,"A")),"")</f>
        <v/>
      </c>
      <c r="E227" s="75" t="str">
        <f>IFERROR(IF(OR(B227="",B227="(BLANK)"),"",SUMIFS('Enter Invoices'!G:G,'Enter Invoices'!D:D,B227,'Enter Invoices'!J:J,"B")),"")</f>
        <v/>
      </c>
      <c r="F227" s="75" t="str">
        <f>IFERROR(IF(OR(B227="",B227="(BLANK)"),"",SUMIFS('Enter Invoices'!G:G,'Enter Invoices'!D:D,B227,'Enter Invoices'!J:J,"C")),"")</f>
        <v/>
      </c>
      <c r="G227" s="46" t="str">
        <f>IFERROR(IF(OR(B227="",B227="(BLANK)"),"",SUMIFS('Enter Invoices'!G:G,'Enter Invoices'!D:D,B227,'Enter Invoices'!J:J,"D")),"")</f>
        <v/>
      </c>
      <c r="H227" s="47" t="str">
        <f t="shared" si="5"/>
        <v/>
      </c>
    </row>
    <row r="228" spans="3:8" s="43" customFormat="1" ht="15" customHeight="1" x14ac:dyDescent="0.25">
      <c r="C228" s="75" t="str">
        <f>IFERROR(VLOOKUP(B228,'Open Invoices'!C:F,4,0),"")</f>
        <v/>
      </c>
      <c r="D228" s="75" t="str">
        <f>IFERROR(IF(OR(B228="",B228="(BLANK)"),"",SUMIFS('Enter Invoices'!G:G,'Enter Invoices'!D:D,B228,'Enter Invoices'!J:J,"A")),"")</f>
        <v/>
      </c>
      <c r="E228" s="75" t="str">
        <f>IFERROR(IF(OR(B228="",B228="(BLANK)"),"",SUMIFS('Enter Invoices'!G:G,'Enter Invoices'!D:D,B228,'Enter Invoices'!J:J,"B")),"")</f>
        <v/>
      </c>
      <c r="F228" s="75" t="str">
        <f>IFERROR(IF(OR(B228="",B228="(BLANK)"),"",SUMIFS('Enter Invoices'!G:G,'Enter Invoices'!D:D,B228,'Enter Invoices'!J:J,"C")),"")</f>
        <v/>
      </c>
      <c r="G228" s="46" t="str">
        <f>IFERROR(IF(OR(B228="",B228="(BLANK)"),"",SUMIFS('Enter Invoices'!G:G,'Enter Invoices'!D:D,B228,'Enter Invoices'!J:J,"D")),"")</f>
        <v/>
      </c>
      <c r="H228" s="47" t="str">
        <f t="shared" si="5"/>
        <v/>
      </c>
    </row>
    <row r="229" spans="3:8" s="43" customFormat="1" ht="15" customHeight="1" x14ac:dyDescent="0.25">
      <c r="C229" s="75" t="str">
        <f>IFERROR(VLOOKUP(B229,'Open Invoices'!C:F,4,0),"")</f>
        <v/>
      </c>
      <c r="D229" s="75" t="str">
        <f>IFERROR(IF(OR(B229="",B229="(BLANK)"),"",SUMIFS('Enter Invoices'!G:G,'Enter Invoices'!D:D,B229,'Enter Invoices'!J:J,"A")),"")</f>
        <v/>
      </c>
      <c r="E229" s="75" t="str">
        <f>IFERROR(IF(OR(B229="",B229="(BLANK)"),"",SUMIFS('Enter Invoices'!G:G,'Enter Invoices'!D:D,B229,'Enter Invoices'!J:J,"B")),"")</f>
        <v/>
      </c>
      <c r="F229" s="75" t="str">
        <f>IFERROR(IF(OR(B229="",B229="(BLANK)"),"",SUMIFS('Enter Invoices'!G:G,'Enter Invoices'!D:D,B229,'Enter Invoices'!J:J,"C")),"")</f>
        <v/>
      </c>
      <c r="G229" s="46" t="str">
        <f>IFERROR(IF(OR(B229="",B229="(BLANK)"),"",SUMIFS('Enter Invoices'!G:G,'Enter Invoices'!D:D,B229,'Enter Invoices'!J:J,"D")),"")</f>
        <v/>
      </c>
      <c r="H229" s="47" t="str">
        <f t="shared" si="5"/>
        <v/>
      </c>
    </row>
    <row r="230" spans="3:8" s="43" customFormat="1" ht="15" customHeight="1" x14ac:dyDescent="0.25">
      <c r="C230" s="75" t="str">
        <f>IFERROR(VLOOKUP(B230,'Open Invoices'!C:F,4,0),"")</f>
        <v/>
      </c>
      <c r="D230" s="75" t="str">
        <f>IFERROR(IF(OR(B230="",B230="(BLANK)"),"",SUMIFS('Enter Invoices'!G:G,'Enter Invoices'!D:D,B230,'Enter Invoices'!J:J,"A")),"")</f>
        <v/>
      </c>
      <c r="E230" s="75" t="str">
        <f>IFERROR(IF(OR(B230="",B230="(BLANK)"),"",SUMIFS('Enter Invoices'!G:G,'Enter Invoices'!D:D,B230,'Enter Invoices'!J:J,"B")),"")</f>
        <v/>
      </c>
      <c r="F230" s="75" t="str">
        <f>IFERROR(IF(OR(B230="",B230="(BLANK)"),"",SUMIFS('Enter Invoices'!G:G,'Enter Invoices'!D:D,B230,'Enter Invoices'!J:J,"C")),"")</f>
        <v/>
      </c>
      <c r="G230" s="46" t="str">
        <f>IFERROR(IF(OR(B230="",B230="(BLANK)"),"",SUMIFS('Enter Invoices'!G:G,'Enter Invoices'!D:D,B230,'Enter Invoices'!J:J,"D")),"")</f>
        <v/>
      </c>
      <c r="H230" s="47" t="str">
        <f t="shared" si="5"/>
        <v/>
      </c>
    </row>
    <row r="231" spans="3:8" s="43" customFormat="1" ht="15" customHeight="1" x14ac:dyDescent="0.25">
      <c r="C231" s="75" t="str">
        <f>IFERROR(VLOOKUP(B231,'Open Invoices'!C:F,4,0),"")</f>
        <v/>
      </c>
      <c r="D231" s="75" t="str">
        <f>IFERROR(IF(OR(B231="",B231="(BLANK)"),"",SUMIFS('Enter Invoices'!G:G,'Enter Invoices'!D:D,B231,'Enter Invoices'!J:J,"A")),"")</f>
        <v/>
      </c>
      <c r="E231" s="75" t="str">
        <f>IFERROR(IF(OR(B231="",B231="(BLANK)"),"",SUMIFS('Enter Invoices'!G:G,'Enter Invoices'!D:D,B231,'Enter Invoices'!J:J,"B")),"")</f>
        <v/>
      </c>
      <c r="F231" s="75" t="str">
        <f>IFERROR(IF(OR(B231="",B231="(BLANK)"),"",SUMIFS('Enter Invoices'!G:G,'Enter Invoices'!D:D,B231,'Enter Invoices'!J:J,"C")),"")</f>
        <v/>
      </c>
      <c r="G231" s="46" t="str">
        <f>IFERROR(IF(OR(B231="",B231="(BLANK)"),"",SUMIFS('Enter Invoices'!G:G,'Enter Invoices'!D:D,B231,'Enter Invoices'!J:J,"D")),"")</f>
        <v/>
      </c>
      <c r="H231" s="47" t="str">
        <f t="shared" si="5"/>
        <v/>
      </c>
    </row>
    <row r="232" spans="3:8" s="43" customFormat="1" ht="15" customHeight="1" x14ac:dyDescent="0.25">
      <c r="C232" s="75" t="str">
        <f>IFERROR(VLOOKUP(B232,'Open Invoices'!C:F,4,0),"")</f>
        <v/>
      </c>
      <c r="D232" s="75" t="str">
        <f>IFERROR(IF(OR(B232="",B232="(BLANK)"),"",SUMIFS('Enter Invoices'!G:G,'Enter Invoices'!D:D,B232,'Enter Invoices'!J:J,"A")),"")</f>
        <v/>
      </c>
      <c r="E232" s="75" t="str">
        <f>IFERROR(IF(OR(B232="",B232="(BLANK)"),"",SUMIFS('Enter Invoices'!G:G,'Enter Invoices'!D:D,B232,'Enter Invoices'!J:J,"B")),"")</f>
        <v/>
      </c>
      <c r="F232" s="75" t="str">
        <f>IFERROR(IF(OR(B232="",B232="(BLANK)"),"",SUMIFS('Enter Invoices'!G:G,'Enter Invoices'!D:D,B232,'Enter Invoices'!J:J,"C")),"")</f>
        <v/>
      </c>
      <c r="G232" s="46" t="str">
        <f>IFERROR(IF(OR(B232="",B232="(BLANK)"),"",SUMIFS('Enter Invoices'!G:G,'Enter Invoices'!D:D,B232,'Enter Invoices'!J:J,"D")),"")</f>
        <v/>
      </c>
      <c r="H232" s="47" t="str">
        <f t="shared" si="5"/>
        <v/>
      </c>
    </row>
    <row r="233" spans="3:8" s="43" customFormat="1" ht="15" customHeight="1" x14ac:dyDescent="0.25">
      <c r="C233" s="75" t="str">
        <f>IFERROR(VLOOKUP(B233,'Open Invoices'!C:F,4,0),"")</f>
        <v/>
      </c>
      <c r="D233" s="75" t="str">
        <f>IFERROR(IF(OR(B233="",B233="(BLANK)"),"",SUMIFS('Enter Invoices'!G:G,'Enter Invoices'!D:D,B233,'Enter Invoices'!J:J,"A")),"")</f>
        <v/>
      </c>
      <c r="E233" s="75" t="str">
        <f>IFERROR(IF(OR(B233="",B233="(BLANK)"),"",SUMIFS('Enter Invoices'!G:G,'Enter Invoices'!D:D,B233,'Enter Invoices'!J:J,"B")),"")</f>
        <v/>
      </c>
      <c r="F233" s="75" t="str">
        <f>IFERROR(IF(OR(B233="",B233="(BLANK)"),"",SUMIFS('Enter Invoices'!G:G,'Enter Invoices'!D:D,B233,'Enter Invoices'!J:J,"C")),"")</f>
        <v/>
      </c>
      <c r="G233" s="46" t="str">
        <f>IFERROR(IF(OR(B233="",B233="(BLANK)"),"",SUMIFS('Enter Invoices'!G:G,'Enter Invoices'!D:D,B233,'Enter Invoices'!J:J,"D")),"")</f>
        <v/>
      </c>
      <c r="H233" s="47" t="str">
        <f t="shared" si="5"/>
        <v/>
      </c>
    </row>
    <row r="234" spans="3:8" s="43" customFormat="1" ht="15" customHeight="1" x14ac:dyDescent="0.25">
      <c r="C234" s="75" t="str">
        <f>IFERROR(VLOOKUP(B234,'Open Invoices'!C:F,4,0),"")</f>
        <v/>
      </c>
      <c r="D234" s="75" t="str">
        <f>IFERROR(IF(OR(B234="",B234="(BLANK)"),"",SUMIFS('Enter Invoices'!G:G,'Enter Invoices'!D:D,B234,'Enter Invoices'!J:J,"A")),"")</f>
        <v/>
      </c>
      <c r="E234" s="75" t="str">
        <f>IFERROR(IF(OR(B234="",B234="(BLANK)"),"",SUMIFS('Enter Invoices'!G:G,'Enter Invoices'!D:D,B234,'Enter Invoices'!J:J,"B")),"")</f>
        <v/>
      </c>
      <c r="F234" s="75" t="str">
        <f>IFERROR(IF(OR(B234="",B234="(BLANK)"),"",SUMIFS('Enter Invoices'!G:G,'Enter Invoices'!D:D,B234,'Enter Invoices'!J:J,"C")),"")</f>
        <v/>
      </c>
      <c r="G234" s="46" t="str">
        <f>IFERROR(IF(OR(B234="",B234="(BLANK)"),"",SUMIFS('Enter Invoices'!G:G,'Enter Invoices'!D:D,B234,'Enter Invoices'!J:J,"D")),"")</f>
        <v/>
      </c>
      <c r="H234" s="47" t="str">
        <f t="shared" si="5"/>
        <v/>
      </c>
    </row>
    <row r="235" spans="3:8" s="43" customFormat="1" ht="15" customHeight="1" x14ac:dyDescent="0.25">
      <c r="C235" s="75" t="str">
        <f>IFERROR(VLOOKUP(B235,'Open Invoices'!C:F,4,0),"")</f>
        <v/>
      </c>
      <c r="D235" s="75" t="str">
        <f>IFERROR(IF(OR(B235="",B235="(BLANK)"),"",SUMIFS('Enter Invoices'!G:G,'Enter Invoices'!D:D,B235,'Enter Invoices'!J:J,"A")),"")</f>
        <v/>
      </c>
      <c r="E235" s="75" t="str">
        <f>IFERROR(IF(OR(B235="",B235="(BLANK)"),"",SUMIFS('Enter Invoices'!G:G,'Enter Invoices'!D:D,B235,'Enter Invoices'!J:J,"B")),"")</f>
        <v/>
      </c>
      <c r="F235" s="75" t="str">
        <f>IFERROR(IF(OR(B235="",B235="(BLANK)"),"",SUMIFS('Enter Invoices'!G:G,'Enter Invoices'!D:D,B235,'Enter Invoices'!J:J,"C")),"")</f>
        <v/>
      </c>
      <c r="G235" s="46" t="str">
        <f>IFERROR(IF(OR(B235="",B235="(BLANK)"),"",SUMIFS('Enter Invoices'!G:G,'Enter Invoices'!D:D,B235,'Enter Invoices'!J:J,"D")),"")</f>
        <v/>
      </c>
      <c r="H235" s="47" t="str">
        <f t="shared" si="5"/>
        <v/>
      </c>
    </row>
    <row r="236" spans="3:8" s="43" customFormat="1" ht="15" customHeight="1" x14ac:dyDescent="0.25">
      <c r="C236" s="75" t="str">
        <f>IFERROR(VLOOKUP(B236,'Open Invoices'!C:F,4,0),"")</f>
        <v/>
      </c>
      <c r="D236" s="75" t="str">
        <f>IFERROR(IF(OR(B236="",B236="(BLANK)"),"",SUMIFS('Enter Invoices'!G:G,'Enter Invoices'!D:D,B236,'Enter Invoices'!J:J,"A")),"")</f>
        <v/>
      </c>
      <c r="E236" s="75" t="str">
        <f>IFERROR(IF(OR(B236="",B236="(BLANK)"),"",SUMIFS('Enter Invoices'!G:G,'Enter Invoices'!D:D,B236,'Enter Invoices'!J:J,"B")),"")</f>
        <v/>
      </c>
      <c r="F236" s="75" t="str">
        <f>IFERROR(IF(OR(B236="",B236="(BLANK)"),"",SUMIFS('Enter Invoices'!G:G,'Enter Invoices'!D:D,B236,'Enter Invoices'!J:J,"C")),"")</f>
        <v/>
      </c>
      <c r="G236" s="46" t="str">
        <f>IFERROR(IF(OR(B236="",B236="(BLANK)"),"",SUMIFS('Enter Invoices'!G:G,'Enter Invoices'!D:D,B236,'Enter Invoices'!J:J,"D")),"")</f>
        <v/>
      </c>
      <c r="H236" s="47" t="str">
        <f t="shared" si="5"/>
        <v/>
      </c>
    </row>
    <row r="237" spans="3:8" s="43" customFormat="1" ht="15" customHeight="1" x14ac:dyDescent="0.25">
      <c r="C237" s="75" t="str">
        <f>IFERROR(VLOOKUP(B237,'Open Invoices'!C:F,4,0),"")</f>
        <v/>
      </c>
      <c r="D237" s="75" t="str">
        <f>IFERROR(IF(OR(B237="",B237="(BLANK)"),"",SUMIFS('Enter Invoices'!G:G,'Enter Invoices'!D:D,B237,'Enter Invoices'!J:J,"A")),"")</f>
        <v/>
      </c>
      <c r="E237" s="75" t="str">
        <f>IFERROR(IF(OR(B237="",B237="(BLANK)"),"",SUMIFS('Enter Invoices'!G:G,'Enter Invoices'!D:D,B237,'Enter Invoices'!J:J,"B")),"")</f>
        <v/>
      </c>
      <c r="F237" s="75" t="str">
        <f>IFERROR(IF(OR(B237="",B237="(BLANK)"),"",SUMIFS('Enter Invoices'!G:G,'Enter Invoices'!D:D,B237,'Enter Invoices'!J:J,"C")),"")</f>
        <v/>
      </c>
      <c r="G237" s="46" t="str">
        <f>IFERROR(IF(OR(B237="",B237="(BLANK)"),"",SUMIFS('Enter Invoices'!G:G,'Enter Invoices'!D:D,B237,'Enter Invoices'!J:J,"D")),"")</f>
        <v/>
      </c>
      <c r="H237" s="47" t="str">
        <f t="shared" si="5"/>
        <v/>
      </c>
    </row>
    <row r="238" spans="3:8" s="43" customFormat="1" ht="15" customHeight="1" x14ac:dyDescent="0.25">
      <c r="C238" s="75" t="str">
        <f>IFERROR(VLOOKUP(B238,'Open Invoices'!C:F,4,0),"")</f>
        <v/>
      </c>
      <c r="D238" s="75" t="str">
        <f>IFERROR(IF(OR(B238="",B238="(BLANK)"),"",SUMIFS('Enter Invoices'!G:G,'Enter Invoices'!D:D,B238,'Enter Invoices'!J:J,"A")),"")</f>
        <v/>
      </c>
      <c r="E238" s="75" t="str">
        <f>IFERROR(IF(OR(B238="",B238="(BLANK)"),"",SUMIFS('Enter Invoices'!G:G,'Enter Invoices'!D:D,B238,'Enter Invoices'!J:J,"B")),"")</f>
        <v/>
      </c>
      <c r="F238" s="75" t="str">
        <f>IFERROR(IF(OR(B238="",B238="(BLANK)"),"",SUMIFS('Enter Invoices'!G:G,'Enter Invoices'!D:D,B238,'Enter Invoices'!J:J,"C")),"")</f>
        <v/>
      </c>
      <c r="G238" s="46" t="str">
        <f>IFERROR(IF(OR(B238="",B238="(BLANK)"),"",SUMIFS('Enter Invoices'!G:G,'Enter Invoices'!D:D,B238,'Enter Invoices'!J:J,"D")),"")</f>
        <v/>
      </c>
      <c r="H238" s="47" t="str">
        <f t="shared" si="5"/>
        <v/>
      </c>
    </row>
    <row r="239" spans="3:8" s="43" customFormat="1" ht="15" customHeight="1" x14ac:dyDescent="0.25">
      <c r="C239" s="75" t="str">
        <f>IFERROR(VLOOKUP(B239,'Open Invoices'!C:F,4,0),"")</f>
        <v/>
      </c>
      <c r="D239" s="75" t="str">
        <f>IFERROR(IF(OR(B239="",B239="(BLANK)"),"",SUMIFS('Enter Invoices'!G:G,'Enter Invoices'!D:D,B239,'Enter Invoices'!J:J,"A")),"")</f>
        <v/>
      </c>
      <c r="E239" s="75" t="str">
        <f>IFERROR(IF(OR(B239="",B239="(BLANK)"),"",SUMIFS('Enter Invoices'!G:G,'Enter Invoices'!D:D,B239,'Enter Invoices'!J:J,"B")),"")</f>
        <v/>
      </c>
      <c r="F239" s="75" t="str">
        <f>IFERROR(IF(OR(B239="",B239="(BLANK)"),"",SUMIFS('Enter Invoices'!G:G,'Enter Invoices'!D:D,B239,'Enter Invoices'!J:J,"C")),"")</f>
        <v/>
      </c>
      <c r="G239" s="46" t="str">
        <f>IFERROR(IF(OR(B239="",B239="(BLANK)"),"",SUMIFS('Enter Invoices'!G:G,'Enter Invoices'!D:D,B239,'Enter Invoices'!J:J,"D")),"")</f>
        <v/>
      </c>
      <c r="H239" s="47" t="str">
        <f t="shared" si="5"/>
        <v/>
      </c>
    </row>
    <row r="240" spans="3:8" s="43" customFormat="1" ht="15" customHeight="1" x14ac:dyDescent="0.25">
      <c r="C240" s="75" t="str">
        <f>IFERROR(VLOOKUP(B240,'Open Invoices'!C:F,4,0),"")</f>
        <v/>
      </c>
      <c r="D240" s="75" t="str">
        <f>IFERROR(IF(OR(B240="",B240="(BLANK)"),"",SUMIFS('Enter Invoices'!G:G,'Enter Invoices'!D:D,B240,'Enter Invoices'!J:J,"A")),"")</f>
        <v/>
      </c>
      <c r="E240" s="75" t="str">
        <f>IFERROR(IF(OR(B240="",B240="(BLANK)"),"",SUMIFS('Enter Invoices'!G:G,'Enter Invoices'!D:D,B240,'Enter Invoices'!J:J,"B")),"")</f>
        <v/>
      </c>
      <c r="F240" s="75" t="str">
        <f>IFERROR(IF(OR(B240="",B240="(BLANK)"),"",SUMIFS('Enter Invoices'!G:G,'Enter Invoices'!D:D,B240,'Enter Invoices'!J:J,"C")),"")</f>
        <v/>
      </c>
      <c r="G240" s="46" t="str">
        <f>IFERROR(IF(OR(B240="",B240="(BLANK)"),"",SUMIFS('Enter Invoices'!G:G,'Enter Invoices'!D:D,B240,'Enter Invoices'!J:J,"D")),"")</f>
        <v/>
      </c>
      <c r="H240" s="47" t="str">
        <f t="shared" si="5"/>
        <v/>
      </c>
    </row>
    <row r="241" spans="3:8" s="43" customFormat="1" ht="15" customHeight="1" x14ac:dyDescent="0.25">
      <c r="C241" s="75" t="str">
        <f>IFERROR(VLOOKUP(B241,'Open Invoices'!C:F,4,0),"")</f>
        <v/>
      </c>
      <c r="D241" s="75" t="str">
        <f>IFERROR(IF(OR(B241="",B241="(BLANK)"),"",SUMIFS('Enter Invoices'!G:G,'Enter Invoices'!D:D,B241,'Enter Invoices'!J:J,"A")),"")</f>
        <v/>
      </c>
      <c r="E241" s="75" t="str">
        <f>IFERROR(IF(OR(B241="",B241="(BLANK)"),"",SUMIFS('Enter Invoices'!G:G,'Enter Invoices'!D:D,B241,'Enter Invoices'!J:J,"B")),"")</f>
        <v/>
      </c>
      <c r="F241" s="75" t="str">
        <f>IFERROR(IF(OR(B241="",B241="(BLANK)"),"",SUMIFS('Enter Invoices'!G:G,'Enter Invoices'!D:D,B241,'Enter Invoices'!J:J,"C")),"")</f>
        <v/>
      </c>
      <c r="G241" s="46" t="str">
        <f>IFERROR(IF(OR(B241="",B241="(BLANK)"),"",SUMIFS('Enter Invoices'!G:G,'Enter Invoices'!D:D,B241,'Enter Invoices'!J:J,"D")),"")</f>
        <v/>
      </c>
      <c r="H241" s="47" t="str">
        <f t="shared" si="5"/>
        <v/>
      </c>
    </row>
    <row r="242" spans="3:8" s="43" customFormat="1" ht="15" customHeight="1" x14ac:dyDescent="0.25">
      <c r="C242" s="75" t="str">
        <f>IFERROR(VLOOKUP(B242,'Open Invoices'!C:F,4,0),"")</f>
        <v/>
      </c>
      <c r="D242" s="75" t="str">
        <f>IFERROR(IF(OR(B242="",B242="(BLANK)"),"",SUMIFS('Enter Invoices'!G:G,'Enter Invoices'!D:D,B242,'Enter Invoices'!J:J,"A")),"")</f>
        <v/>
      </c>
      <c r="E242" s="75" t="str">
        <f>IFERROR(IF(OR(B242="",B242="(BLANK)"),"",SUMIFS('Enter Invoices'!G:G,'Enter Invoices'!D:D,B242,'Enter Invoices'!J:J,"B")),"")</f>
        <v/>
      </c>
      <c r="F242" s="75" t="str">
        <f>IFERROR(IF(OR(B242="",B242="(BLANK)"),"",SUMIFS('Enter Invoices'!G:G,'Enter Invoices'!D:D,B242,'Enter Invoices'!J:J,"C")),"")</f>
        <v/>
      </c>
      <c r="G242" s="46" t="str">
        <f>IFERROR(IF(OR(B242="",B242="(BLANK)"),"",SUMIFS('Enter Invoices'!G:G,'Enter Invoices'!D:D,B242,'Enter Invoices'!J:J,"D")),"")</f>
        <v/>
      </c>
      <c r="H242" s="47" t="str">
        <f t="shared" si="5"/>
        <v/>
      </c>
    </row>
    <row r="243" spans="3:8" s="43" customFormat="1" ht="15" customHeight="1" x14ac:dyDescent="0.25">
      <c r="C243" s="75" t="str">
        <f>IFERROR(VLOOKUP(B243,'Open Invoices'!C:F,4,0),"")</f>
        <v/>
      </c>
      <c r="D243" s="75" t="str">
        <f>IFERROR(IF(OR(B243="",B243="(BLANK)"),"",SUMIFS('Enter Invoices'!G:G,'Enter Invoices'!D:D,B243,'Enter Invoices'!J:J,"A")),"")</f>
        <v/>
      </c>
      <c r="E243" s="75" t="str">
        <f>IFERROR(IF(OR(B243="",B243="(BLANK)"),"",SUMIFS('Enter Invoices'!G:G,'Enter Invoices'!D:D,B243,'Enter Invoices'!J:J,"B")),"")</f>
        <v/>
      </c>
      <c r="F243" s="75" t="str">
        <f>IFERROR(IF(OR(B243="",B243="(BLANK)"),"",SUMIFS('Enter Invoices'!G:G,'Enter Invoices'!D:D,B243,'Enter Invoices'!J:J,"C")),"")</f>
        <v/>
      </c>
      <c r="G243" s="46" t="str">
        <f>IFERROR(IF(OR(B243="",B243="(BLANK)"),"",SUMIFS('Enter Invoices'!G:G,'Enter Invoices'!D:D,B243,'Enter Invoices'!J:J,"D")),"")</f>
        <v/>
      </c>
      <c r="H243" s="47" t="str">
        <f t="shared" si="5"/>
        <v/>
      </c>
    </row>
    <row r="244" spans="3:8" s="43" customFormat="1" ht="15" customHeight="1" x14ac:dyDescent="0.25">
      <c r="C244" s="75" t="str">
        <f>IFERROR(VLOOKUP(B244,'Open Invoices'!C:F,4,0),"")</f>
        <v/>
      </c>
      <c r="D244" s="75" t="str">
        <f>IFERROR(IF(OR(B244="",B244="(BLANK)"),"",SUMIFS('Enter Invoices'!G:G,'Enter Invoices'!D:D,B244,'Enter Invoices'!J:J,"A")),"")</f>
        <v/>
      </c>
      <c r="E244" s="75" t="str">
        <f>IFERROR(IF(OR(B244="",B244="(BLANK)"),"",SUMIFS('Enter Invoices'!G:G,'Enter Invoices'!D:D,B244,'Enter Invoices'!J:J,"B")),"")</f>
        <v/>
      </c>
      <c r="F244" s="75" t="str">
        <f>IFERROR(IF(OR(B244="",B244="(BLANK)"),"",SUMIFS('Enter Invoices'!G:G,'Enter Invoices'!D:D,B244,'Enter Invoices'!J:J,"C")),"")</f>
        <v/>
      </c>
      <c r="G244" s="46" t="str">
        <f>IFERROR(IF(OR(B244="",B244="(BLANK)"),"",SUMIFS('Enter Invoices'!G:G,'Enter Invoices'!D:D,B244,'Enter Invoices'!J:J,"D")),"")</f>
        <v/>
      </c>
      <c r="H244" s="47" t="str">
        <f t="shared" si="5"/>
        <v/>
      </c>
    </row>
    <row r="245" spans="3:8" s="43" customFormat="1" ht="15" customHeight="1" x14ac:dyDescent="0.25">
      <c r="C245" s="75" t="str">
        <f>IFERROR(VLOOKUP(B245,'Open Invoices'!C:F,4,0),"")</f>
        <v/>
      </c>
      <c r="D245" s="75" t="str">
        <f>IFERROR(IF(OR(B245="",B245="(BLANK)"),"",SUMIFS('Enter Invoices'!G:G,'Enter Invoices'!D:D,B245,'Enter Invoices'!J:J,"A")),"")</f>
        <v/>
      </c>
      <c r="E245" s="75" t="str">
        <f>IFERROR(IF(OR(B245="",B245="(BLANK)"),"",SUMIFS('Enter Invoices'!G:G,'Enter Invoices'!D:D,B245,'Enter Invoices'!J:J,"B")),"")</f>
        <v/>
      </c>
      <c r="F245" s="75" t="str">
        <f>IFERROR(IF(OR(B245="",B245="(BLANK)"),"",SUMIFS('Enter Invoices'!G:G,'Enter Invoices'!D:D,B245,'Enter Invoices'!J:J,"C")),"")</f>
        <v/>
      </c>
      <c r="G245" s="46" t="str">
        <f>IFERROR(IF(OR(B245="",B245="(BLANK)"),"",SUMIFS('Enter Invoices'!G:G,'Enter Invoices'!D:D,B245,'Enter Invoices'!J:J,"D")),"")</f>
        <v/>
      </c>
      <c r="H245" s="47" t="str">
        <f t="shared" si="5"/>
        <v/>
      </c>
    </row>
    <row r="246" spans="3:8" s="43" customFormat="1" ht="15" customHeight="1" x14ac:dyDescent="0.25">
      <c r="C246" s="75" t="str">
        <f>IFERROR(VLOOKUP(B246,'Open Invoices'!C:F,4,0),"")</f>
        <v/>
      </c>
      <c r="D246" s="75" t="str">
        <f>IFERROR(IF(OR(B246="",B246="(BLANK)"),"",SUMIFS('Enter Invoices'!G:G,'Enter Invoices'!D:D,B246,'Enter Invoices'!J:J,"A")),"")</f>
        <v/>
      </c>
      <c r="E246" s="75" t="str">
        <f>IFERROR(IF(OR(B246="",B246="(BLANK)"),"",SUMIFS('Enter Invoices'!G:G,'Enter Invoices'!D:D,B246,'Enter Invoices'!J:J,"B")),"")</f>
        <v/>
      </c>
      <c r="F246" s="75" t="str">
        <f>IFERROR(IF(OR(B246="",B246="(BLANK)"),"",SUMIFS('Enter Invoices'!G:G,'Enter Invoices'!D:D,B246,'Enter Invoices'!J:J,"C")),"")</f>
        <v/>
      </c>
      <c r="G246" s="46" t="str">
        <f>IFERROR(IF(OR(B246="",B246="(BLANK)"),"",SUMIFS('Enter Invoices'!G:G,'Enter Invoices'!D:D,B246,'Enter Invoices'!J:J,"D")),"")</f>
        <v/>
      </c>
      <c r="H246" s="47" t="str">
        <f t="shared" si="5"/>
        <v/>
      </c>
    </row>
    <row r="247" spans="3:8" s="43" customFormat="1" ht="15" customHeight="1" x14ac:dyDescent="0.25">
      <c r="C247" s="75" t="str">
        <f>IFERROR(VLOOKUP(B247,'Open Invoices'!C:F,4,0),"")</f>
        <v/>
      </c>
      <c r="D247" s="75" t="str">
        <f>IFERROR(IF(OR(B247="",B247="(BLANK)"),"",SUMIFS('Enter Invoices'!G:G,'Enter Invoices'!D:D,B247,'Enter Invoices'!J:J,"A")),"")</f>
        <v/>
      </c>
      <c r="E247" s="75" t="str">
        <f>IFERROR(IF(OR(B247="",B247="(BLANK)"),"",SUMIFS('Enter Invoices'!G:G,'Enter Invoices'!D:D,B247,'Enter Invoices'!J:J,"B")),"")</f>
        <v/>
      </c>
      <c r="F247" s="75" t="str">
        <f>IFERROR(IF(OR(B247="",B247="(BLANK)"),"",SUMIFS('Enter Invoices'!G:G,'Enter Invoices'!D:D,B247,'Enter Invoices'!J:J,"C")),"")</f>
        <v/>
      </c>
      <c r="G247" s="46" t="str">
        <f>IFERROR(IF(OR(B247="",B247="(BLANK)"),"",SUMIFS('Enter Invoices'!G:G,'Enter Invoices'!D:D,B247,'Enter Invoices'!J:J,"D")),"")</f>
        <v/>
      </c>
      <c r="H247" s="47" t="str">
        <f t="shared" si="5"/>
        <v/>
      </c>
    </row>
    <row r="248" spans="3:8" s="43" customFormat="1" ht="15" customHeight="1" x14ac:dyDescent="0.25">
      <c r="C248" s="75" t="str">
        <f>IFERROR(VLOOKUP(B248,'Open Invoices'!C:F,4,0),"")</f>
        <v/>
      </c>
      <c r="D248" s="75" t="str">
        <f>IFERROR(IF(OR(B248="",B248="(BLANK)"),"",SUMIFS('Enter Invoices'!G:G,'Enter Invoices'!D:D,B248,'Enter Invoices'!J:J,"A")),"")</f>
        <v/>
      </c>
      <c r="E248" s="75" t="str">
        <f>IFERROR(IF(OR(B248="",B248="(BLANK)"),"",SUMIFS('Enter Invoices'!G:G,'Enter Invoices'!D:D,B248,'Enter Invoices'!J:J,"B")),"")</f>
        <v/>
      </c>
      <c r="F248" s="75" t="str">
        <f>IFERROR(IF(OR(B248="",B248="(BLANK)"),"",SUMIFS('Enter Invoices'!G:G,'Enter Invoices'!D:D,B248,'Enter Invoices'!J:J,"C")),"")</f>
        <v/>
      </c>
      <c r="G248" s="46" t="str">
        <f>IFERROR(IF(OR(B248="",B248="(BLANK)"),"",SUMIFS('Enter Invoices'!G:G,'Enter Invoices'!D:D,B248,'Enter Invoices'!J:J,"D")),"")</f>
        <v/>
      </c>
      <c r="H248" s="47" t="str">
        <f t="shared" si="5"/>
        <v/>
      </c>
    </row>
    <row r="249" spans="3:8" s="43" customFormat="1" ht="15" customHeight="1" x14ac:dyDescent="0.25">
      <c r="C249" s="75" t="str">
        <f>IFERROR(VLOOKUP(B249,'Open Invoices'!C:F,4,0),"")</f>
        <v/>
      </c>
      <c r="D249" s="75" t="str">
        <f>IFERROR(IF(OR(B249="",B249="(BLANK)"),"",SUMIFS('Enter Invoices'!G:G,'Enter Invoices'!D:D,B249,'Enter Invoices'!J:J,"A")),"")</f>
        <v/>
      </c>
      <c r="E249" s="75" t="str">
        <f>IFERROR(IF(OR(B249="",B249="(BLANK)"),"",SUMIFS('Enter Invoices'!G:G,'Enter Invoices'!D:D,B249,'Enter Invoices'!J:J,"B")),"")</f>
        <v/>
      </c>
      <c r="F249" s="75" t="str">
        <f>IFERROR(IF(OR(B249="",B249="(BLANK)"),"",SUMIFS('Enter Invoices'!G:G,'Enter Invoices'!D:D,B249,'Enter Invoices'!J:J,"C")),"")</f>
        <v/>
      </c>
      <c r="G249" s="46" t="str">
        <f>IFERROR(IF(OR(B249="",B249="(BLANK)"),"",SUMIFS('Enter Invoices'!G:G,'Enter Invoices'!D:D,B249,'Enter Invoices'!J:J,"D")),"")</f>
        <v/>
      </c>
      <c r="H249" s="47" t="str">
        <f t="shared" si="5"/>
        <v/>
      </c>
    </row>
    <row r="250" spans="3:8" s="43" customFormat="1" ht="15" customHeight="1" x14ac:dyDescent="0.25">
      <c r="C250" s="75" t="str">
        <f>IFERROR(VLOOKUP(B250,'Open Invoices'!C:F,4,0),"")</f>
        <v/>
      </c>
      <c r="D250" s="75" t="str">
        <f>IFERROR(IF(OR(B250="",B250="(BLANK)"),"",SUMIFS('Enter Invoices'!G:G,'Enter Invoices'!D:D,B250,'Enter Invoices'!J:J,"A")),"")</f>
        <v/>
      </c>
      <c r="E250" s="75" t="str">
        <f>IFERROR(IF(OR(B250="",B250="(BLANK)"),"",SUMIFS('Enter Invoices'!G:G,'Enter Invoices'!D:D,B250,'Enter Invoices'!J:J,"B")),"")</f>
        <v/>
      </c>
      <c r="F250" s="75" t="str">
        <f>IFERROR(IF(OR(B250="",B250="(BLANK)"),"",SUMIFS('Enter Invoices'!G:G,'Enter Invoices'!D:D,B250,'Enter Invoices'!J:J,"C")),"")</f>
        <v/>
      </c>
      <c r="G250" s="46" t="str">
        <f>IFERROR(IF(OR(B250="",B250="(BLANK)"),"",SUMIFS('Enter Invoices'!G:G,'Enter Invoices'!D:D,B250,'Enter Invoices'!J:J,"D")),"")</f>
        <v/>
      </c>
      <c r="H250" s="47" t="str">
        <f t="shared" si="5"/>
        <v/>
      </c>
    </row>
    <row r="251" spans="3:8" s="43" customFormat="1" ht="15" customHeight="1" x14ac:dyDescent="0.25">
      <c r="C251" s="75" t="str">
        <f>IFERROR(VLOOKUP(B251,'Open Invoices'!C:F,4,0),"")</f>
        <v/>
      </c>
      <c r="D251" s="75" t="str">
        <f>IFERROR(IF(OR(B251="",B251="(BLANK)"),"",SUMIFS('Enter Invoices'!G:G,'Enter Invoices'!D:D,B251,'Enter Invoices'!J:J,"A")),"")</f>
        <v/>
      </c>
      <c r="E251" s="75" t="str">
        <f>IFERROR(IF(OR(B251="",B251="(BLANK)"),"",SUMIFS('Enter Invoices'!G:G,'Enter Invoices'!D:D,B251,'Enter Invoices'!J:J,"B")),"")</f>
        <v/>
      </c>
      <c r="F251" s="75" t="str">
        <f>IFERROR(IF(OR(B251="",B251="(BLANK)"),"",SUMIFS('Enter Invoices'!G:G,'Enter Invoices'!D:D,B251,'Enter Invoices'!J:J,"C")),"")</f>
        <v/>
      </c>
      <c r="G251" s="46" t="str">
        <f>IFERROR(IF(OR(B251="",B251="(BLANK)"),"",SUMIFS('Enter Invoices'!G:G,'Enter Invoices'!D:D,B251,'Enter Invoices'!J:J,"D")),"")</f>
        <v/>
      </c>
      <c r="H251" s="47" t="str">
        <f t="shared" si="5"/>
        <v/>
      </c>
    </row>
    <row r="252" spans="3:8" s="43" customFormat="1" ht="15" customHeight="1" x14ac:dyDescent="0.25">
      <c r="C252" s="75" t="str">
        <f>IFERROR(VLOOKUP(B252,'Open Invoices'!C:F,4,0),"")</f>
        <v/>
      </c>
      <c r="D252" s="75" t="str">
        <f>IFERROR(IF(OR(B252="",B252="(BLANK)"),"",SUMIFS('Enter Invoices'!G:G,'Enter Invoices'!D:D,B252,'Enter Invoices'!J:J,"A")),"")</f>
        <v/>
      </c>
      <c r="E252" s="75" t="str">
        <f>IFERROR(IF(OR(B252="",B252="(BLANK)"),"",SUMIFS('Enter Invoices'!G:G,'Enter Invoices'!D:D,B252,'Enter Invoices'!J:J,"B")),"")</f>
        <v/>
      </c>
      <c r="F252" s="75" t="str">
        <f>IFERROR(IF(OR(B252="",B252="(BLANK)"),"",SUMIFS('Enter Invoices'!G:G,'Enter Invoices'!D:D,B252,'Enter Invoices'!J:J,"C")),"")</f>
        <v/>
      </c>
      <c r="G252" s="46" t="str">
        <f>IFERROR(IF(OR(B252="",B252="(BLANK)"),"",SUMIFS('Enter Invoices'!G:G,'Enter Invoices'!D:D,B252,'Enter Invoices'!J:J,"D")),"")</f>
        <v/>
      </c>
      <c r="H252" s="47" t="str">
        <f t="shared" si="5"/>
        <v/>
      </c>
    </row>
    <row r="253" spans="3:8" s="43" customFormat="1" ht="15" customHeight="1" x14ac:dyDescent="0.25">
      <c r="C253" s="75" t="str">
        <f>IFERROR(VLOOKUP(B253,'Open Invoices'!C:F,4,0),"")</f>
        <v/>
      </c>
      <c r="D253" s="75" t="str">
        <f>IFERROR(IF(OR(B253="",B253="(BLANK)"),"",SUMIFS('Enter Invoices'!G:G,'Enter Invoices'!D:D,B253,'Enter Invoices'!J:J,"A")),"")</f>
        <v/>
      </c>
      <c r="E253" s="75" t="str">
        <f>IFERROR(IF(OR(B253="",B253="(BLANK)"),"",SUMIFS('Enter Invoices'!G:G,'Enter Invoices'!D:D,B253,'Enter Invoices'!J:J,"B")),"")</f>
        <v/>
      </c>
      <c r="F253" s="75" t="str">
        <f>IFERROR(IF(OR(B253="",B253="(BLANK)"),"",SUMIFS('Enter Invoices'!G:G,'Enter Invoices'!D:D,B253,'Enter Invoices'!J:J,"C")),"")</f>
        <v/>
      </c>
      <c r="G253" s="46" t="str">
        <f>IFERROR(IF(OR(B253="",B253="(BLANK)"),"",SUMIFS('Enter Invoices'!G:G,'Enter Invoices'!D:D,B253,'Enter Invoices'!J:J,"D")),"")</f>
        <v/>
      </c>
      <c r="H253" s="47" t="str">
        <f t="shared" si="5"/>
        <v/>
      </c>
    </row>
    <row r="254" spans="3:8" s="43" customFormat="1" ht="15" customHeight="1" x14ac:dyDescent="0.25">
      <c r="C254" s="75" t="str">
        <f>IFERROR(VLOOKUP(B254,'Open Invoices'!C:F,4,0),"")</f>
        <v/>
      </c>
      <c r="D254" s="75" t="str">
        <f>IFERROR(IF(OR(B254="",B254="(BLANK)"),"",SUMIFS('Enter Invoices'!G:G,'Enter Invoices'!D:D,B254,'Enter Invoices'!J:J,"A")),"")</f>
        <v/>
      </c>
      <c r="E254" s="75" t="str">
        <f>IFERROR(IF(OR(B254="",B254="(BLANK)"),"",SUMIFS('Enter Invoices'!G:G,'Enter Invoices'!D:D,B254,'Enter Invoices'!J:J,"B")),"")</f>
        <v/>
      </c>
      <c r="F254" s="75" t="str">
        <f>IFERROR(IF(OR(B254="",B254="(BLANK)"),"",SUMIFS('Enter Invoices'!G:G,'Enter Invoices'!D:D,B254,'Enter Invoices'!J:J,"C")),"")</f>
        <v/>
      </c>
      <c r="G254" s="46" t="str">
        <f>IFERROR(IF(OR(B254="",B254="(BLANK)"),"",SUMIFS('Enter Invoices'!G:G,'Enter Invoices'!D:D,B254,'Enter Invoices'!J:J,"D")),"")</f>
        <v/>
      </c>
      <c r="H254" s="47" t="str">
        <f t="shared" si="5"/>
        <v/>
      </c>
    </row>
    <row r="255" spans="3:8" s="43" customFormat="1" ht="15" customHeight="1" x14ac:dyDescent="0.25">
      <c r="C255" s="75" t="str">
        <f>IFERROR(VLOOKUP(B255,'Open Invoices'!C:F,4,0),"")</f>
        <v/>
      </c>
      <c r="D255" s="75" t="str">
        <f>IFERROR(IF(OR(B255="",B255="(BLANK)"),"",SUMIFS('Enter Invoices'!G:G,'Enter Invoices'!D:D,B255,'Enter Invoices'!J:J,"A")),"")</f>
        <v/>
      </c>
      <c r="E255" s="75" t="str">
        <f>IFERROR(IF(OR(B255="",B255="(BLANK)"),"",SUMIFS('Enter Invoices'!G:G,'Enter Invoices'!D:D,B255,'Enter Invoices'!J:J,"B")),"")</f>
        <v/>
      </c>
      <c r="F255" s="75" t="str">
        <f>IFERROR(IF(OR(B255="",B255="(BLANK)"),"",SUMIFS('Enter Invoices'!G:G,'Enter Invoices'!D:D,B255,'Enter Invoices'!J:J,"C")),"")</f>
        <v/>
      </c>
      <c r="G255" s="46" t="str">
        <f>IFERROR(IF(OR(B255="",B255="(BLANK)"),"",SUMIFS('Enter Invoices'!G:G,'Enter Invoices'!D:D,B255,'Enter Invoices'!J:J,"D")),"")</f>
        <v/>
      </c>
      <c r="H255" s="47" t="str">
        <f t="shared" si="5"/>
        <v/>
      </c>
    </row>
    <row r="256" spans="3:8" s="43" customFormat="1" ht="15" customHeight="1" x14ac:dyDescent="0.25">
      <c r="C256" s="75" t="str">
        <f>IFERROR(VLOOKUP(B256,'Open Invoices'!C:F,4,0),"")</f>
        <v/>
      </c>
      <c r="D256" s="75" t="str">
        <f>IFERROR(IF(OR(B256="",B256="(BLANK)"),"",SUMIFS('Enter Invoices'!G:G,'Enter Invoices'!D:D,B256,'Enter Invoices'!J:J,"A")),"")</f>
        <v/>
      </c>
      <c r="E256" s="75" t="str">
        <f>IFERROR(IF(OR(B256="",B256="(BLANK)"),"",SUMIFS('Enter Invoices'!G:G,'Enter Invoices'!D:D,B256,'Enter Invoices'!J:J,"B")),"")</f>
        <v/>
      </c>
      <c r="F256" s="75" t="str">
        <f>IFERROR(IF(OR(B256="",B256="(BLANK)"),"",SUMIFS('Enter Invoices'!G:G,'Enter Invoices'!D:D,B256,'Enter Invoices'!J:J,"C")),"")</f>
        <v/>
      </c>
      <c r="G256" s="46" t="str">
        <f>IFERROR(IF(OR(B256="",B256="(BLANK)"),"",SUMIFS('Enter Invoices'!G:G,'Enter Invoices'!D:D,B256,'Enter Invoices'!J:J,"D")),"")</f>
        <v/>
      </c>
      <c r="H256" s="47" t="str">
        <f t="shared" si="5"/>
        <v/>
      </c>
    </row>
    <row r="257" spans="3:8" s="43" customFormat="1" ht="15" customHeight="1" x14ac:dyDescent="0.25">
      <c r="C257" s="75" t="str">
        <f>IFERROR(VLOOKUP(B257,'Open Invoices'!C:F,4,0),"")</f>
        <v/>
      </c>
      <c r="D257" s="75" t="str">
        <f>IFERROR(IF(OR(B257="",B257="(BLANK)"),"",SUMIFS('Enter Invoices'!G:G,'Enter Invoices'!D:D,B257,'Enter Invoices'!J:J,"A")),"")</f>
        <v/>
      </c>
      <c r="E257" s="75" t="str">
        <f>IFERROR(IF(OR(B257="",B257="(BLANK)"),"",SUMIFS('Enter Invoices'!G:G,'Enter Invoices'!D:D,B257,'Enter Invoices'!J:J,"B")),"")</f>
        <v/>
      </c>
      <c r="F257" s="75" t="str">
        <f>IFERROR(IF(OR(B257="",B257="(BLANK)"),"",SUMIFS('Enter Invoices'!G:G,'Enter Invoices'!D:D,B257,'Enter Invoices'!J:J,"C")),"")</f>
        <v/>
      </c>
      <c r="G257" s="46" t="str">
        <f>IFERROR(IF(OR(B257="",B257="(BLANK)"),"",SUMIFS('Enter Invoices'!G:G,'Enter Invoices'!D:D,B257,'Enter Invoices'!J:J,"D")),"")</f>
        <v/>
      </c>
      <c r="H257" s="47" t="str">
        <f t="shared" si="5"/>
        <v/>
      </c>
    </row>
    <row r="258" spans="3:8" s="43" customFormat="1" ht="15" customHeight="1" x14ac:dyDescent="0.25">
      <c r="C258" s="75" t="str">
        <f>IFERROR(VLOOKUP(B258,'Open Invoices'!C:F,4,0),"")</f>
        <v/>
      </c>
      <c r="D258" s="75" t="str">
        <f>IFERROR(IF(OR(B258="",B258="(BLANK)"),"",SUMIFS('Enter Invoices'!G:G,'Enter Invoices'!D:D,B258,'Enter Invoices'!J:J,"A")),"")</f>
        <v/>
      </c>
      <c r="E258" s="75" t="str">
        <f>IFERROR(IF(OR(B258="",B258="(BLANK)"),"",SUMIFS('Enter Invoices'!G:G,'Enter Invoices'!D:D,B258,'Enter Invoices'!J:J,"B")),"")</f>
        <v/>
      </c>
      <c r="F258" s="75" t="str">
        <f>IFERROR(IF(OR(B258="",B258="(BLANK)"),"",SUMIFS('Enter Invoices'!G:G,'Enter Invoices'!D:D,B258,'Enter Invoices'!J:J,"C")),"")</f>
        <v/>
      </c>
      <c r="G258" s="46" t="str">
        <f>IFERROR(IF(OR(B258="",B258="(BLANK)"),"",SUMIFS('Enter Invoices'!G:G,'Enter Invoices'!D:D,B258,'Enter Invoices'!J:J,"D")),"")</f>
        <v/>
      </c>
      <c r="H258" s="47" t="str">
        <f t="shared" si="5"/>
        <v/>
      </c>
    </row>
    <row r="259" spans="3:8" s="43" customFormat="1" ht="15" customHeight="1" x14ac:dyDescent="0.25">
      <c r="C259" s="75" t="str">
        <f>IFERROR(VLOOKUP(B259,'Open Invoices'!C:F,4,0),"")</f>
        <v/>
      </c>
      <c r="D259" s="75" t="str">
        <f>IFERROR(IF(OR(B259="",B259="(BLANK)"),"",SUMIFS('Enter Invoices'!G:G,'Enter Invoices'!D:D,B259,'Enter Invoices'!J:J,"A")),"")</f>
        <v/>
      </c>
      <c r="E259" s="75" t="str">
        <f>IFERROR(IF(OR(B259="",B259="(BLANK)"),"",SUMIFS('Enter Invoices'!G:G,'Enter Invoices'!D:D,B259,'Enter Invoices'!J:J,"B")),"")</f>
        <v/>
      </c>
      <c r="F259" s="75" t="str">
        <f>IFERROR(IF(OR(B259="",B259="(BLANK)"),"",SUMIFS('Enter Invoices'!G:G,'Enter Invoices'!D:D,B259,'Enter Invoices'!J:J,"C")),"")</f>
        <v/>
      </c>
      <c r="G259" s="46" t="str">
        <f>IFERROR(IF(OR(B259="",B259="(BLANK)"),"",SUMIFS('Enter Invoices'!G:G,'Enter Invoices'!D:D,B259,'Enter Invoices'!J:J,"D")),"")</f>
        <v/>
      </c>
      <c r="H259" s="47" t="str">
        <f t="shared" si="5"/>
        <v/>
      </c>
    </row>
    <row r="260" spans="3:8" s="43" customFormat="1" ht="15" customHeight="1" x14ac:dyDescent="0.25">
      <c r="C260" s="75" t="str">
        <f>IFERROR(VLOOKUP(B260,'Open Invoices'!C:F,4,0),"")</f>
        <v/>
      </c>
      <c r="D260" s="75" t="str">
        <f>IFERROR(IF(OR(B260="",B260="(BLANK)"),"",SUMIFS('Enter Invoices'!G:G,'Enter Invoices'!D:D,B260,'Enter Invoices'!J:J,"A")),"")</f>
        <v/>
      </c>
      <c r="E260" s="75" t="str">
        <f>IFERROR(IF(OR(B260="",B260="(BLANK)"),"",SUMIFS('Enter Invoices'!G:G,'Enter Invoices'!D:D,B260,'Enter Invoices'!J:J,"B")),"")</f>
        <v/>
      </c>
      <c r="F260" s="75" t="str">
        <f>IFERROR(IF(OR(B260="",B260="(BLANK)"),"",SUMIFS('Enter Invoices'!G:G,'Enter Invoices'!D:D,B260,'Enter Invoices'!J:J,"C")),"")</f>
        <v/>
      </c>
      <c r="G260" s="46" t="str">
        <f>IFERROR(IF(OR(B260="",B260="(BLANK)"),"",SUMIFS('Enter Invoices'!G:G,'Enter Invoices'!D:D,B260,'Enter Invoices'!J:J,"D")),"")</f>
        <v/>
      </c>
      <c r="H260" s="47" t="str">
        <f t="shared" si="5"/>
        <v/>
      </c>
    </row>
    <row r="261" spans="3:8" s="43" customFormat="1" ht="15" customHeight="1" x14ac:dyDescent="0.25">
      <c r="C261" s="75" t="str">
        <f>IFERROR(VLOOKUP(B261,'Open Invoices'!C:F,4,0),"")</f>
        <v/>
      </c>
      <c r="D261" s="75" t="str">
        <f>IFERROR(IF(OR(B261="",B261="(BLANK)"),"",SUMIFS('Enter Invoices'!G:G,'Enter Invoices'!D:D,B261,'Enter Invoices'!J:J,"A")),"")</f>
        <v/>
      </c>
      <c r="E261" s="75" t="str">
        <f>IFERROR(IF(OR(B261="",B261="(BLANK)"),"",SUMIFS('Enter Invoices'!G:G,'Enter Invoices'!D:D,B261,'Enter Invoices'!J:J,"B")),"")</f>
        <v/>
      </c>
      <c r="F261" s="75" t="str">
        <f>IFERROR(IF(OR(B261="",B261="(BLANK)"),"",SUMIFS('Enter Invoices'!G:G,'Enter Invoices'!D:D,B261,'Enter Invoices'!J:J,"C")),"")</f>
        <v/>
      </c>
      <c r="G261" s="46" t="str">
        <f>IFERROR(IF(OR(B261="",B261="(BLANK)"),"",SUMIFS('Enter Invoices'!G:G,'Enter Invoices'!D:D,B261,'Enter Invoices'!J:J,"D")),"")</f>
        <v/>
      </c>
      <c r="H261" s="47" t="str">
        <f t="shared" si="5"/>
        <v/>
      </c>
    </row>
    <row r="262" spans="3:8" s="43" customFormat="1" ht="15" customHeight="1" x14ac:dyDescent="0.25">
      <c r="C262" s="75" t="str">
        <f>IFERROR(VLOOKUP(B262,'Open Invoices'!C:F,4,0),"")</f>
        <v/>
      </c>
      <c r="D262" s="75" t="str">
        <f>IFERROR(IF(OR(B262="",B262="(BLANK)"),"",SUMIFS('Enter Invoices'!G:G,'Enter Invoices'!D:D,B262,'Enter Invoices'!J:J,"A")),"")</f>
        <v/>
      </c>
      <c r="E262" s="75" t="str">
        <f>IFERROR(IF(OR(B262="",B262="(BLANK)"),"",SUMIFS('Enter Invoices'!G:G,'Enter Invoices'!D:D,B262,'Enter Invoices'!J:J,"B")),"")</f>
        <v/>
      </c>
      <c r="F262" s="75" t="str">
        <f>IFERROR(IF(OR(B262="",B262="(BLANK)"),"",SUMIFS('Enter Invoices'!G:G,'Enter Invoices'!D:D,B262,'Enter Invoices'!J:J,"C")),"")</f>
        <v/>
      </c>
      <c r="G262" s="46" t="str">
        <f>IFERROR(IF(OR(B262="",B262="(BLANK)"),"",SUMIFS('Enter Invoices'!G:G,'Enter Invoices'!D:D,B262,'Enter Invoices'!J:J,"D")),"")</f>
        <v/>
      </c>
      <c r="H262" s="47" t="str">
        <f t="shared" si="5"/>
        <v/>
      </c>
    </row>
    <row r="263" spans="3:8" s="43" customFormat="1" ht="15" customHeight="1" x14ac:dyDescent="0.25">
      <c r="C263" s="75" t="str">
        <f>IFERROR(VLOOKUP(B263,'Open Invoices'!C:F,4,0),"")</f>
        <v/>
      </c>
      <c r="D263" s="75" t="str">
        <f>IFERROR(IF(OR(B263="",B263="(BLANK)"),"",SUMIFS('Enter Invoices'!G:G,'Enter Invoices'!D:D,B263,'Enter Invoices'!J:J,"A")),"")</f>
        <v/>
      </c>
      <c r="E263" s="75" t="str">
        <f>IFERROR(IF(OR(B263="",B263="(BLANK)"),"",SUMIFS('Enter Invoices'!G:G,'Enter Invoices'!D:D,B263,'Enter Invoices'!J:J,"B")),"")</f>
        <v/>
      </c>
      <c r="F263" s="75" t="str">
        <f>IFERROR(IF(OR(B263="",B263="(BLANK)"),"",SUMIFS('Enter Invoices'!G:G,'Enter Invoices'!D:D,B263,'Enter Invoices'!J:J,"C")),"")</f>
        <v/>
      </c>
      <c r="G263" s="46" t="str">
        <f>IFERROR(IF(OR(B263="",B263="(BLANK)"),"",SUMIFS('Enter Invoices'!G:G,'Enter Invoices'!D:D,B263,'Enter Invoices'!J:J,"D")),"")</f>
        <v/>
      </c>
      <c r="H263" s="47" t="str">
        <f t="shared" si="5"/>
        <v/>
      </c>
    </row>
    <row r="264" spans="3:8" s="43" customFormat="1" ht="15" customHeight="1" x14ac:dyDescent="0.25">
      <c r="C264" s="75" t="str">
        <f>IFERROR(VLOOKUP(B264,'Open Invoices'!C:F,4,0),"")</f>
        <v/>
      </c>
      <c r="D264" s="75" t="str">
        <f>IFERROR(IF(OR(B264="",B264="(BLANK)"),"",SUMIFS('Enter Invoices'!G:G,'Enter Invoices'!D:D,B264,'Enter Invoices'!J:J,"A")),"")</f>
        <v/>
      </c>
      <c r="E264" s="75" t="str">
        <f>IFERROR(IF(OR(B264="",B264="(BLANK)"),"",SUMIFS('Enter Invoices'!G:G,'Enter Invoices'!D:D,B264,'Enter Invoices'!J:J,"B")),"")</f>
        <v/>
      </c>
      <c r="F264" s="75" t="str">
        <f>IFERROR(IF(OR(B264="",B264="(BLANK)"),"",SUMIFS('Enter Invoices'!G:G,'Enter Invoices'!D:D,B264,'Enter Invoices'!J:J,"C")),"")</f>
        <v/>
      </c>
      <c r="G264" s="46" t="str">
        <f>IFERROR(IF(OR(B264="",B264="(BLANK)"),"",SUMIFS('Enter Invoices'!G:G,'Enter Invoices'!D:D,B264,'Enter Invoices'!J:J,"D")),"")</f>
        <v/>
      </c>
      <c r="H264" s="47" t="str">
        <f t="shared" ref="H264:H327" si="6">IF(COUNT(D264:G264)=0,"",SUM(D264:G264))</f>
        <v/>
      </c>
    </row>
    <row r="265" spans="3:8" s="43" customFormat="1" ht="15" customHeight="1" x14ac:dyDescent="0.25">
      <c r="C265" s="75" t="str">
        <f>IFERROR(VLOOKUP(B265,'Open Invoices'!C:F,4,0),"")</f>
        <v/>
      </c>
      <c r="D265" s="75" t="str">
        <f>IFERROR(IF(OR(B265="",B265="(BLANK)"),"",SUMIFS('Enter Invoices'!G:G,'Enter Invoices'!D:D,B265,'Enter Invoices'!J:J,"A")),"")</f>
        <v/>
      </c>
      <c r="E265" s="75" t="str">
        <f>IFERROR(IF(OR(B265="",B265="(BLANK)"),"",SUMIFS('Enter Invoices'!G:G,'Enter Invoices'!D:D,B265,'Enter Invoices'!J:J,"B")),"")</f>
        <v/>
      </c>
      <c r="F265" s="75" t="str">
        <f>IFERROR(IF(OR(B265="",B265="(BLANK)"),"",SUMIFS('Enter Invoices'!G:G,'Enter Invoices'!D:D,B265,'Enter Invoices'!J:J,"C")),"")</f>
        <v/>
      </c>
      <c r="G265" s="46" t="str">
        <f>IFERROR(IF(OR(B265="",B265="(BLANK)"),"",SUMIFS('Enter Invoices'!G:G,'Enter Invoices'!D:D,B265,'Enter Invoices'!J:J,"D")),"")</f>
        <v/>
      </c>
      <c r="H265" s="47" t="str">
        <f t="shared" si="6"/>
        <v/>
      </c>
    </row>
    <row r="266" spans="3:8" s="43" customFormat="1" ht="15" customHeight="1" x14ac:dyDescent="0.25">
      <c r="C266" s="75" t="str">
        <f>IFERROR(VLOOKUP(B266,'Open Invoices'!C:F,4,0),"")</f>
        <v/>
      </c>
      <c r="D266" s="75" t="str">
        <f>IFERROR(IF(OR(B266="",B266="(BLANK)"),"",SUMIFS('Enter Invoices'!G:G,'Enter Invoices'!D:D,B266,'Enter Invoices'!J:J,"A")),"")</f>
        <v/>
      </c>
      <c r="E266" s="75" t="str">
        <f>IFERROR(IF(OR(B266="",B266="(BLANK)"),"",SUMIFS('Enter Invoices'!G:G,'Enter Invoices'!D:D,B266,'Enter Invoices'!J:J,"B")),"")</f>
        <v/>
      </c>
      <c r="F266" s="75" t="str">
        <f>IFERROR(IF(OR(B266="",B266="(BLANK)"),"",SUMIFS('Enter Invoices'!G:G,'Enter Invoices'!D:D,B266,'Enter Invoices'!J:J,"C")),"")</f>
        <v/>
      </c>
      <c r="G266" s="46" t="str">
        <f>IFERROR(IF(OR(B266="",B266="(BLANK)"),"",SUMIFS('Enter Invoices'!G:G,'Enter Invoices'!D:D,B266,'Enter Invoices'!J:J,"D")),"")</f>
        <v/>
      </c>
      <c r="H266" s="47" t="str">
        <f t="shared" si="6"/>
        <v/>
      </c>
    </row>
    <row r="267" spans="3:8" s="43" customFormat="1" ht="15" customHeight="1" x14ac:dyDescent="0.25">
      <c r="C267" s="75" t="str">
        <f>IFERROR(VLOOKUP(B267,'Open Invoices'!C:F,4,0),"")</f>
        <v/>
      </c>
      <c r="D267" s="75" t="str">
        <f>IFERROR(IF(OR(B267="",B267="(BLANK)"),"",SUMIFS('Enter Invoices'!G:G,'Enter Invoices'!D:D,B267,'Enter Invoices'!J:J,"A")),"")</f>
        <v/>
      </c>
      <c r="E267" s="75" t="str">
        <f>IFERROR(IF(OR(B267="",B267="(BLANK)"),"",SUMIFS('Enter Invoices'!G:G,'Enter Invoices'!D:D,B267,'Enter Invoices'!J:J,"B")),"")</f>
        <v/>
      </c>
      <c r="F267" s="75" t="str">
        <f>IFERROR(IF(OR(B267="",B267="(BLANK)"),"",SUMIFS('Enter Invoices'!G:G,'Enter Invoices'!D:D,B267,'Enter Invoices'!J:J,"C")),"")</f>
        <v/>
      </c>
      <c r="G267" s="46" t="str">
        <f>IFERROR(IF(OR(B267="",B267="(BLANK)"),"",SUMIFS('Enter Invoices'!G:G,'Enter Invoices'!D:D,B267,'Enter Invoices'!J:J,"D")),"")</f>
        <v/>
      </c>
      <c r="H267" s="47" t="str">
        <f t="shared" si="6"/>
        <v/>
      </c>
    </row>
    <row r="268" spans="3:8" s="43" customFormat="1" ht="15" customHeight="1" x14ac:dyDescent="0.25">
      <c r="C268" s="75" t="str">
        <f>IFERROR(VLOOKUP(B268,'Open Invoices'!C:F,4,0),"")</f>
        <v/>
      </c>
      <c r="D268" s="75" t="str">
        <f>IFERROR(IF(OR(B268="",B268="(BLANK)"),"",SUMIFS('Enter Invoices'!G:G,'Enter Invoices'!D:D,B268,'Enter Invoices'!J:J,"A")),"")</f>
        <v/>
      </c>
      <c r="E268" s="75" t="str">
        <f>IFERROR(IF(OR(B268="",B268="(BLANK)"),"",SUMIFS('Enter Invoices'!G:G,'Enter Invoices'!D:D,B268,'Enter Invoices'!J:J,"B")),"")</f>
        <v/>
      </c>
      <c r="F268" s="75" t="str">
        <f>IFERROR(IF(OR(B268="",B268="(BLANK)"),"",SUMIFS('Enter Invoices'!G:G,'Enter Invoices'!D:D,B268,'Enter Invoices'!J:J,"C")),"")</f>
        <v/>
      </c>
      <c r="G268" s="46" t="str">
        <f>IFERROR(IF(OR(B268="",B268="(BLANK)"),"",SUMIFS('Enter Invoices'!G:G,'Enter Invoices'!D:D,B268,'Enter Invoices'!J:J,"D")),"")</f>
        <v/>
      </c>
      <c r="H268" s="47" t="str">
        <f t="shared" si="6"/>
        <v/>
      </c>
    </row>
    <row r="269" spans="3:8" s="43" customFormat="1" ht="15" customHeight="1" x14ac:dyDescent="0.25">
      <c r="C269" s="75" t="str">
        <f>IFERROR(VLOOKUP(B269,'Open Invoices'!C:F,4,0),"")</f>
        <v/>
      </c>
      <c r="D269" s="75" t="str">
        <f>IFERROR(IF(OR(B269="",B269="(BLANK)"),"",SUMIFS('Enter Invoices'!G:G,'Enter Invoices'!D:D,B269,'Enter Invoices'!J:J,"A")),"")</f>
        <v/>
      </c>
      <c r="E269" s="75" t="str">
        <f>IFERROR(IF(OR(B269="",B269="(BLANK)"),"",SUMIFS('Enter Invoices'!G:G,'Enter Invoices'!D:D,B269,'Enter Invoices'!J:J,"B")),"")</f>
        <v/>
      </c>
      <c r="F269" s="75" t="str">
        <f>IFERROR(IF(OR(B269="",B269="(BLANK)"),"",SUMIFS('Enter Invoices'!G:G,'Enter Invoices'!D:D,B269,'Enter Invoices'!J:J,"C")),"")</f>
        <v/>
      </c>
      <c r="G269" s="46" t="str">
        <f>IFERROR(IF(OR(B269="",B269="(BLANK)"),"",SUMIFS('Enter Invoices'!G:G,'Enter Invoices'!D:D,B269,'Enter Invoices'!J:J,"D")),"")</f>
        <v/>
      </c>
      <c r="H269" s="47" t="str">
        <f t="shared" si="6"/>
        <v/>
      </c>
    </row>
    <row r="270" spans="3:8" s="43" customFormat="1" ht="15" customHeight="1" x14ac:dyDescent="0.25">
      <c r="C270" s="75" t="str">
        <f>IFERROR(VLOOKUP(B270,'Open Invoices'!C:F,4,0),"")</f>
        <v/>
      </c>
      <c r="D270" s="75" t="str">
        <f>IFERROR(IF(OR(B270="",B270="(BLANK)"),"",SUMIFS('Enter Invoices'!G:G,'Enter Invoices'!D:D,B270,'Enter Invoices'!J:J,"A")),"")</f>
        <v/>
      </c>
      <c r="E270" s="75" t="str">
        <f>IFERROR(IF(OR(B270="",B270="(BLANK)"),"",SUMIFS('Enter Invoices'!G:G,'Enter Invoices'!D:D,B270,'Enter Invoices'!J:J,"B")),"")</f>
        <v/>
      </c>
      <c r="F270" s="75" t="str">
        <f>IFERROR(IF(OR(B270="",B270="(BLANK)"),"",SUMIFS('Enter Invoices'!G:G,'Enter Invoices'!D:D,B270,'Enter Invoices'!J:J,"C")),"")</f>
        <v/>
      </c>
      <c r="G270" s="46" t="str">
        <f>IFERROR(IF(OR(B270="",B270="(BLANK)"),"",SUMIFS('Enter Invoices'!G:G,'Enter Invoices'!D:D,B270,'Enter Invoices'!J:J,"D")),"")</f>
        <v/>
      </c>
      <c r="H270" s="47" t="str">
        <f t="shared" si="6"/>
        <v/>
      </c>
    </row>
    <row r="271" spans="3:8" s="43" customFormat="1" ht="15" customHeight="1" x14ac:dyDescent="0.25">
      <c r="C271" s="75" t="str">
        <f>IFERROR(VLOOKUP(B271,'Open Invoices'!C:F,4,0),"")</f>
        <v/>
      </c>
      <c r="D271" s="75" t="str">
        <f>IFERROR(IF(OR(B271="",B271="(BLANK)"),"",SUMIFS('Enter Invoices'!G:G,'Enter Invoices'!D:D,B271,'Enter Invoices'!J:J,"A")),"")</f>
        <v/>
      </c>
      <c r="E271" s="75" t="str">
        <f>IFERROR(IF(OR(B271="",B271="(BLANK)"),"",SUMIFS('Enter Invoices'!G:G,'Enter Invoices'!D:D,B271,'Enter Invoices'!J:J,"B")),"")</f>
        <v/>
      </c>
      <c r="F271" s="75" t="str">
        <f>IFERROR(IF(OR(B271="",B271="(BLANK)"),"",SUMIFS('Enter Invoices'!G:G,'Enter Invoices'!D:D,B271,'Enter Invoices'!J:J,"C")),"")</f>
        <v/>
      </c>
      <c r="G271" s="46" t="str">
        <f>IFERROR(IF(OR(B271="",B271="(BLANK)"),"",SUMIFS('Enter Invoices'!G:G,'Enter Invoices'!D:D,B271,'Enter Invoices'!J:J,"D")),"")</f>
        <v/>
      </c>
      <c r="H271" s="47" t="str">
        <f t="shared" si="6"/>
        <v/>
      </c>
    </row>
    <row r="272" spans="3:8" s="43" customFormat="1" ht="15" customHeight="1" x14ac:dyDescent="0.25">
      <c r="C272" s="75" t="str">
        <f>IFERROR(VLOOKUP(B272,'Open Invoices'!C:F,4,0),"")</f>
        <v/>
      </c>
      <c r="D272" s="75" t="str">
        <f>IFERROR(IF(OR(B272="",B272="(BLANK)"),"",SUMIFS('Enter Invoices'!G:G,'Enter Invoices'!D:D,B272,'Enter Invoices'!J:J,"A")),"")</f>
        <v/>
      </c>
      <c r="E272" s="75" t="str">
        <f>IFERROR(IF(OR(B272="",B272="(BLANK)"),"",SUMIFS('Enter Invoices'!G:G,'Enter Invoices'!D:D,B272,'Enter Invoices'!J:J,"B")),"")</f>
        <v/>
      </c>
      <c r="F272" s="75" t="str">
        <f>IFERROR(IF(OR(B272="",B272="(BLANK)"),"",SUMIFS('Enter Invoices'!G:G,'Enter Invoices'!D:D,B272,'Enter Invoices'!J:J,"C")),"")</f>
        <v/>
      </c>
      <c r="G272" s="46" t="str">
        <f>IFERROR(IF(OR(B272="",B272="(BLANK)"),"",SUMIFS('Enter Invoices'!G:G,'Enter Invoices'!D:D,B272,'Enter Invoices'!J:J,"D")),"")</f>
        <v/>
      </c>
      <c r="H272" s="47" t="str">
        <f t="shared" si="6"/>
        <v/>
      </c>
    </row>
    <row r="273" spans="3:8" s="43" customFormat="1" ht="15" customHeight="1" x14ac:dyDescent="0.25">
      <c r="C273" s="75" t="str">
        <f>IFERROR(VLOOKUP(B273,'Open Invoices'!C:F,4,0),"")</f>
        <v/>
      </c>
      <c r="D273" s="75" t="str">
        <f>IFERROR(IF(OR(B273="",B273="(BLANK)"),"",SUMIFS('Enter Invoices'!G:G,'Enter Invoices'!D:D,B273,'Enter Invoices'!J:J,"A")),"")</f>
        <v/>
      </c>
      <c r="E273" s="75" t="str">
        <f>IFERROR(IF(OR(B273="",B273="(BLANK)"),"",SUMIFS('Enter Invoices'!G:G,'Enter Invoices'!D:D,B273,'Enter Invoices'!J:J,"B")),"")</f>
        <v/>
      </c>
      <c r="F273" s="75" t="str">
        <f>IFERROR(IF(OR(B273="",B273="(BLANK)"),"",SUMIFS('Enter Invoices'!G:G,'Enter Invoices'!D:D,B273,'Enter Invoices'!J:J,"C")),"")</f>
        <v/>
      </c>
      <c r="G273" s="46" t="str">
        <f>IFERROR(IF(OR(B273="",B273="(BLANK)"),"",SUMIFS('Enter Invoices'!G:G,'Enter Invoices'!D:D,B273,'Enter Invoices'!J:J,"D")),"")</f>
        <v/>
      </c>
      <c r="H273" s="47" t="str">
        <f t="shared" si="6"/>
        <v/>
      </c>
    </row>
    <row r="274" spans="3:8" s="43" customFormat="1" ht="15" customHeight="1" x14ac:dyDescent="0.25">
      <c r="C274" s="75" t="str">
        <f>IFERROR(VLOOKUP(B274,'Open Invoices'!C:F,4,0),"")</f>
        <v/>
      </c>
      <c r="D274" s="75" t="str">
        <f>IFERROR(IF(OR(B274="",B274="(BLANK)"),"",SUMIFS('Enter Invoices'!G:G,'Enter Invoices'!D:D,B274,'Enter Invoices'!J:J,"A")),"")</f>
        <v/>
      </c>
      <c r="E274" s="75" t="str">
        <f>IFERROR(IF(OR(B274="",B274="(BLANK)"),"",SUMIFS('Enter Invoices'!G:G,'Enter Invoices'!D:D,B274,'Enter Invoices'!J:J,"B")),"")</f>
        <v/>
      </c>
      <c r="F274" s="75" t="str">
        <f>IFERROR(IF(OR(B274="",B274="(BLANK)"),"",SUMIFS('Enter Invoices'!G:G,'Enter Invoices'!D:D,B274,'Enter Invoices'!J:J,"C")),"")</f>
        <v/>
      </c>
      <c r="G274" s="46" t="str">
        <f>IFERROR(IF(OR(B274="",B274="(BLANK)"),"",SUMIFS('Enter Invoices'!G:G,'Enter Invoices'!D:D,B274,'Enter Invoices'!J:J,"D")),"")</f>
        <v/>
      </c>
      <c r="H274" s="47" t="str">
        <f t="shared" si="6"/>
        <v/>
      </c>
    </row>
    <row r="275" spans="3:8" s="43" customFormat="1" ht="15" customHeight="1" x14ac:dyDescent="0.25">
      <c r="C275" s="75" t="str">
        <f>IFERROR(VLOOKUP(B275,'Open Invoices'!C:F,4,0),"")</f>
        <v/>
      </c>
      <c r="D275" s="75" t="str">
        <f>IFERROR(IF(OR(B275="",B275="(BLANK)"),"",SUMIFS('Enter Invoices'!G:G,'Enter Invoices'!D:D,B275,'Enter Invoices'!J:J,"A")),"")</f>
        <v/>
      </c>
      <c r="E275" s="75" t="str">
        <f>IFERROR(IF(OR(B275="",B275="(BLANK)"),"",SUMIFS('Enter Invoices'!G:G,'Enter Invoices'!D:D,B275,'Enter Invoices'!J:J,"B")),"")</f>
        <v/>
      </c>
      <c r="F275" s="75" t="str">
        <f>IFERROR(IF(OR(B275="",B275="(BLANK)"),"",SUMIFS('Enter Invoices'!G:G,'Enter Invoices'!D:D,B275,'Enter Invoices'!J:J,"C")),"")</f>
        <v/>
      </c>
      <c r="G275" s="46" t="str">
        <f>IFERROR(IF(OR(B275="",B275="(BLANK)"),"",SUMIFS('Enter Invoices'!G:G,'Enter Invoices'!D:D,B275,'Enter Invoices'!J:J,"D")),"")</f>
        <v/>
      </c>
      <c r="H275" s="47" t="str">
        <f t="shared" si="6"/>
        <v/>
      </c>
    </row>
    <row r="276" spans="3:8" s="43" customFormat="1" ht="15" customHeight="1" x14ac:dyDescent="0.25">
      <c r="C276" s="75" t="str">
        <f>IFERROR(VLOOKUP(B276,'Open Invoices'!C:F,4,0),"")</f>
        <v/>
      </c>
      <c r="D276" s="75" t="str">
        <f>IFERROR(IF(OR(B276="",B276="(BLANK)"),"",SUMIFS('Enter Invoices'!G:G,'Enter Invoices'!D:D,B276,'Enter Invoices'!J:J,"A")),"")</f>
        <v/>
      </c>
      <c r="E276" s="75" t="str">
        <f>IFERROR(IF(OR(B276="",B276="(BLANK)"),"",SUMIFS('Enter Invoices'!G:G,'Enter Invoices'!D:D,B276,'Enter Invoices'!J:J,"B")),"")</f>
        <v/>
      </c>
      <c r="F276" s="75" t="str">
        <f>IFERROR(IF(OR(B276="",B276="(BLANK)"),"",SUMIFS('Enter Invoices'!G:G,'Enter Invoices'!D:D,B276,'Enter Invoices'!J:J,"C")),"")</f>
        <v/>
      </c>
      <c r="G276" s="46" t="str">
        <f>IFERROR(IF(OR(B276="",B276="(BLANK)"),"",SUMIFS('Enter Invoices'!G:G,'Enter Invoices'!D:D,B276,'Enter Invoices'!J:J,"D")),"")</f>
        <v/>
      </c>
      <c r="H276" s="47" t="str">
        <f t="shared" si="6"/>
        <v/>
      </c>
    </row>
    <row r="277" spans="3:8" s="43" customFormat="1" ht="15" customHeight="1" x14ac:dyDescent="0.25">
      <c r="C277" s="75" t="str">
        <f>IFERROR(VLOOKUP(B277,'Open Invoices'!C:F,4,0),"")</f>
        <v/>
      </c>
      <c r="D277" s="75" t="str">
        <f>IFERROR(IF(OR(B277="",B277="(BLANK)"),"",SUMIFS('Enter Invoices'!G:G,'Enter Invoices'!D:D,B277,'Enter Invoices'!J:J,"A")),"")</f>
        <v/>
      </c>
      <c r="E277" s="75" t="str">
        <f>IFERROR(IF(OR(B277="",B277="(BLANK)"),"",SUMIFS('Enter Invoices'!G:G,'Enter Invoices'!D:D,B277,'Enter Invoices'!J:J,"B")),"")</f>
        <v/>
      </c>
      <c r="F277" s="75" t="str">
        <f>IFERROR(IF(OR(B277="",B277="(BLANK)"),"",SUMIFS('Enter Invoices'!G:G,'Enter Invoices'!D:D,B277,'Enter Invoices'!J:J,"C")),"")</f>
        <v/>
      </c>
      <c r="G277" s="46" t="str">
        <f>IFERROR(IF(OR(B277="",B277="(BLANK)"),"",SUMIFS('Enter Invoices'!G:G,'Enter Invoices'!D:D,B277,'Enter Invoices'!J:J,"D")),"")</f>
        <v/>
      </c>
      <c r="H277" s="47" t="str">
        <f t="shared" si="6"/>
        <v/>
      </c>
    </row>
    <row r="278" spans="3:8" s="43" customFormat="1" ht="15" customHeight="1" x14ac:dyDescent="0.25">
      <c r="C278" s="75" t="str">
        <f>IFERROR(VLOOKUP(B278,'Open Invoices'!C:F,4,0),"")</f>
        <v/>
      </c>
      <c r="D278" s="75" t="str">
        <f>IFERROR(IF(OR(B278="",B278="(BLANK)"),"",SUMIFS('Enter Invoices'!G:G,'Enter Invoices'!D:D,B278,'Enter Invoices'!J:J,"A")),"")</f>
        <v/>
      </c>
      <c r="E278" s="75" t="str">
        <f>IFERROR(IF(OR(B278="",B278="(BLANK)"),"",SUMIFS('Enter Invoices'!G:G,'Enter Invoices'!D:D,B278,'Enter Invoices'!J:J,"B")),"")</f>
        <v/>
      </c>
      <c r="F278" s="75" t="str">
        <f>IFERROR(IF(OR(B278="",B278="(BLANK)"),"",SUMIFS('Enter Invoices'!G:G,'Enter Invoices'!D:D,B278,'Enter Invoices'!J:J,"C")),"")</f>
        <v/>
      </c>
      <c r="G278" s="46" t="str">
        <f>IFERROR(IF(OR(B278="",B278="(BLANK)"),"",SUMIFS('Enter Invoices'!G:G,'Enter Invoices'!D:D,B278,'Enter Invoices'!J:J,"D")),"")</f>
        <v/>
      </c>
      <c r="H278" s="47" t="str">
        <f t="shared" si="6"/>
        <v/>
      </c>
    </row>
    <row r="279" spans="3:8" s="43" customFormat="1" ht="15" customHeight="1" x14ac:dyDescent="0.25">
      <c r="C279" s="75" t="str">
        <f>IFERROR(VLOOKUP(B279,'Open Invoices'!C:F,4,0),"")</f>
        <v/>
      </c>
      <c r="D279" s="75" t="str">
        <f>IFERROR(IF(OR(B279="",B279="(BLANK)"),"",SUMIFS('Enter Invoices'!G:G,'Enter Invoices'!D:D,B279,'Enter Invoices'!J:J,"A")),"")</f>
        <v/>
      </c>
      <c r="E279" s="75" t="str">
        <f>IFERROR(IF(OR(B279="",B279="(BLANK)"),"",SUMIFS('Enter Invoices'!G:G,'Enter Invoices'!D:D,B279,'Enter Invoices'!J:J,"B")),"")</f>
        <v/>
      </c>
      <c r="F279" s="75" t="str">
        <f>IFERROR(IF(OR(B279="",B279="(BLANK)"),"",SUMIFS('Enter Invoices'!G:G,'Enter Invoices'!D:D,B279,'Enter Invoices'!J:J,"C")),"")</f>
        <v/>
      </c>
      <c r="G279" s="46" t="str">
        <f>IFERROR(IF(OR(B279="",B279="(BLANK)"),"",SUMIFS('Enter Invoices'!G:G,'Enter Invoices'!D:D,B279,'Enter Invoices'!J:J,"D")),"")</f>
        <v/>
      </c>
      <c r="H279" s="47" t="str">
        <f t="shared" si="6"/>
        <v/>
      </c>
    </row>
    <row r="280" spans="3:8" s="43" customFormat="1" ht="15" customHeight="1" x14ac:dyDescent="0.25">
      <c r="C280" s="75" t="str">
        <f>IFERROR(VLOOKUP(B280,'Open Invoices'!C:F,4,0),"")</f>
        <v/>
      </c>
      <c r="D280" s="75" t="str">
        <f>IFERROR(IF(OR(B280="",B280="(BLANK)"),"",SUMIFS('Enter Invoices'!G:G,'Enter Invoices'!D:D,B280,'Enter Invoices'!J:J,"A")),"")</f>
        <v/>
      </c>
      <c r="E280" s="75" t="str">
        <f>IFERROR(IF(OR(B280="",B280="(BLANK)"),"",SUMIFS('Enter Invoices'!G:G,'Enter Invoices'!D:D,B280,'Enter Invoices'!J:J,"B")),"")</f>
        <v/>
      </c>
      <c r="F280" s="75" t="str">
        <f>IFERROR(IF(OR(B280="",B280="(BLANK)"),"",SUMIFS('Enter Invoices'!G:G,'Enter Invoices'!D:D,B280,'Enter Invoices'!J:J,"C")),"")</f>
        <v/>
      </c>
      <c r="G280" s="46" t="str">
        <f>IFERROR(IF(OR(B280="",B280="(BLANK)"),"",SUMIFS('Enter Invoices'!G:G,'Enter Invoices'!D:D,B280,'Enter Invoices'!J:J,"D")),"")</f>
        <v/>
      </c>
      <c r="H280" s="47" t="str">
        <f t="shared" si="6"/>
        <v/>
      </c>
    </row>
    <row r="281" spans="3:8" s="43" customFormat="1" ht="15" customHeight="1" x14ac:dyDescent="0.25">
      <c r="C281" s="75" t="str">
        <f>IFERROR(VLOOKUP(B281,'Open Invoices'!C:F,4,0),"")</f>
        <v/>
      </c>
      <c r="D281" s="75" t="str">
        <f>IFERROR(IF(OR(B281="",B281="(BLANK)"),"",SUMIFS('Enter Invoices'!G:G,'Enter Invoices'!D:D,B281,'Enter Invoices'!J:J,"A")),"")</f>
        <v/>
      </c>
      <c r="E281" s="75" t="str">
        <f>IFERROR(IF(OR(B281="",B281="(BLANK)"),"",SUMIFS('Enter Invoices'!G:G,'Enter Invoices'!D:D,B281,'Enter Invoices'!J:J,"B")),"")</f>
        <v/>
      </c>
      <c r="F281" s="75" t="str">
        <f>IFERROR(IF(OR(B281="",B281="(BLANK)"),"",SUMIFS('Enter Invoices'!G:G,'Enter Invoices'!D:D,B281,'Enter Invoices'!J:J,"C")),"")</f>
        <v/>
      </c>
      <c r="G281" s="46" t="str">
        <f>IFERROR(IF(OR(B281="",B281="(BLANK)"),"",SUMIFS('Enter Invoices'!G:G,'Enter Invoices'!D:D,B281,'Enter Invoices'!J:J,"D")),"")</f>
        <v/>
      </c>
      <c r="H281" s="47" t="str">
        <f t="shared" si="6"/>
        <v/>
      </c>
    </row>
    <row r="282" spans="3:8" s="43" customFormat="1" ht="15" customHeight="1" x14ac:dyDescent="0.25">
      <c r="C282" s="75" t="str">
        <f>IFERROR(VLOOKUP(B282,'Open Invoices'!C:F,4,0),"")</f>
        <v/>
      </c>
      <c r="D282" s="75" t="str">
        <f>IFERROR(IF(OR(B282="",B282="(BLANK)"),"",SUMIFS('Enter Invoices'!G:G,'Enter Invoices'!D:D,B282,'Enter Invoices'!J:J,"A")),"")</f>
        <v/>
      </c>
      <c r="E282" s="75" t="str">
        <f>IFERROR(IF(OR(B282="",B282="(BLANK)"),"",SUMIFS('Enter Invoices'!G:G,'Enter Invoices'!D:D,B282,'Enter Invoices'!J:J,"B")),"")</f>
        <v/>
      </c>
      <c r="F282" s="75" t="str">
        <f>IFERROR(IF(OR(B282="",B282="(BLANK)"),"",SUMIFS('Enter Invoices'!G:G,'Enter Invoices'!D:D,B282,'Enter Invoices'!J:J,"C")),"")</f>
        <v/>
      </c>
      <c r="G282" s="46" t="str">
        <f>IFERROR(IF(OR(B282="",B282="(BLANK)"),"",SUMIFS('Enter Invoices'!G:G,'Enter Invoices'!D:D,B282,'Enter Invoices'!J:J,"D")),"")</f>
        <v/>
      </c>
      <c r="H282" s="47" t="str">
        <f t="shared" si="6"/>
        <v/>
      </c>
    </row>
    <row r="283" spans="3:8" s="43" customFormat="1" ht="15" customHeight="1" x14ac:dyDescent="0.25">
      <c r="C283" s="75" t="str">
        <f>IFERROR(VLOOKUP(B283,'Open Invoices'!C:F,4,0),"")</f>
        <v/>
      </c>
      <c r="D283" s="75" t="str">
        <f>IFERROR(IF(OR(B283="",B283="(BLANK)"),"",SUMIFS('Enter Invoices'!G:G,'Enter Invoices'!D:D,B283,'Enter Invoices'!J:J,"A")),"")</f>
        <v/>
      </c>
      <c r="E283" s="75" t="str">
        <f>IFERROR(IF(OR(B283="",B283="(BLANK)"),"",SUMIFS('Enter Invoices'!G:G,'Enter Invoices'!D:D,B283,'Enter Invoices'!J:J,"B")),"")</f>
        <v/>
      </c>
      <c r="F283" s="75" t="str">
        <f>IFERROR(IF(OR(B283="",B283="(BLANK)"),"",SUMIFS('Enter Invoices'!G:G,'Enter Invoices'!D:D,B283,'Enter Invoices'!J:J,"C")),"")</f>
        <v/>
      </c>
      <c r="G283" s="46" t="str">
        <f>IFERROR(IF(OR(B283="",B283="(BLANK)"),"",SUMIFS('Enter Invoices'!G:G,'Enter Invoices'!D:D,B283,'Enter Invoices'!J:J,"D")),"")</f>
        <v/>
      </c>
      <c r="H283" s="47" t="str">
        <f t="shared" si="6"/>
        <v/>
      </c>
    </row>
    <row r="284" spans="3:8" s="43" customFormat="1" ht="15" customHeight="1" x14ac:dyDescent="0.25">
      <c r="C284" s="75" t="str">
        <f>IFERROR(VLOOKUP(B284,'Open Invoices'!C:F,4,0),"")</f>
        <v/>
      </c>
      <c r="D284" s="75" t="str">
        <f>IFERROR(IF(OR(B284="",B284="(BLANK)"),"",SUMIFS('Enter Invoices'!G:G,'Enter Invoices'!D:D,B284,'Enter Invoices'!J:J,"A")),"")</f>
        <v/>
      </c>
      <c r="E284" s="75" t="str">
        <f>IFERROR(IF(OR(B284="",B284="(BLANK)"),"",SUMIFS('Enter Invoices'!G:G,'Enter Invoices'!D:D,B284,'Enter Invoices'!J:J,"B")),"")</f>
        <v/>
      </c>
      <c r="F284" s="75" t="str">
        <f>IFERROR(IF(OR(B284="",B284="(BLANK)"),"",SUMIFS('Enter Invoices'!G:G,'Enter Invoices'!D:D,B284,'Enter Invoices'!J:J,"C")),"")</f>
        <v/>
      </c>
      <c r="G284" s="46" t="str">
        <f>IFERROR(IF(OR(B284="",B284="(BLANK)"),"",SUMIFS('Enter Invoices'!G:G,'Enter Invoices'!D:D,B284,'Enter Invoices'!J:J,"D")),"")</f>
        <v/>
      </c>
      <c r="H284" s="47" t="str">
        <f t="shared" si="6"/>
        <v/>
      </c>
    </row>
    <row r="285" spans="3:8" s="43" customFormat="1" ht="15" customHeight="1" x14ac:dyDescent="0.25">
      <c r="C285" s="75" t="str">
        <f>IFERROR(VLOOKUP(B285,'Open Invoices'!C:F,4,0),"")</f>
        <v/>
      </c>
      <c r="D285" s="75" t="str">
        <f>IFERROR(IF(OR(B285="",B285="(BLANK)"),"",SUMIFS('Enter Invoices'!G:G,'Enter Invoices'!D:D,B285,'Enter Invoices'!J:J,"A")),"")</f>
        <v/>
      </c>
      <c r="E285" s="75" t="str">
        <f>IFERROR(IF(OR(B285="",B285="(BLANK)"),"",SUMIFS('Enter Invoices'!G:G,'Enter Invoices'!D:D,B285,'Enter Invoices'!J:J,"B")),"")</f>
        <v/>
      </c>
      <c r="F285" s="75" t="str">
        <f>IFERROR(IF(OR(B285="",B285="(BLANK)"),"",SUMIFS('Enter Invoices'!G:G,'Enter Invoices'!D:D,B285,'Enter Invoices'!J:J,"C")),"")</f>
        <v/>
      </c>
      <c r="G285" s="46" t="str">
        <f>IFERROR(IF(OR(B285="",B285="(BLANK)"),"",SUMIFS('Enter Invoices'!G:G,'Enter Invoices'!D:D,B285,'Enter Invoices'!J:J,"D")),"")</f>
        <v/>
      </c>
      <c r="H285" s="47" t="str">
        <f t="shared" si="6"/>
        <v/>
      </c>
    </row>
    <row r="286" spans="3:8" s="43" customFormat="1" ht="15" customHeight="1" x14ac:dyDescent="0.25">
      <c r="C286" s="75" t="str">
        <f>IFERROR(VLOOKUP(B286,'Open Invoices'!C:F,4,0),"")</f>
        <v/>
      </c>
      <c r="D286" s="75" t="str">
        <f>IFERROR(IF(OR(B286="",B286="(BLANK)"),"",SUMIFS('Enter Invoices'!G:G,'Enter Invoices'!D:D,B286,'Enter Invoices'!J:J,"A")),"")</f>
        <v/>
      </c>
      <c r="E286" s="75" t="str">
        <f>IFERROR(IF(OR(B286="",B286="(BLANK)"),"",SUMIFS('Enter Invoices'!G:G,'Enter Invoices'!D:D,B286,'Enter Invoices'!J:J,"B")),"")</f>
        <v/>
      </c>
      <c r="F286" s="75" t="str">
        <f>IFERROR(IF(OR(B286="",B286="(BLANK)"),"",SUMIFS('Enter Invoices'!G:G,'Enter Invoices'!D:D,B286,'Enter Invoices'!J:J,"C")),"")</f>
        <v/>
      </c>
      <c r="G286" s="46" t="str">
        <f>IFERROR(IF(OR(B286="",B286="(BLANK)"),"",SUMIFS('Enter Invoices'!G:G,'Enter Invoices'!D:D,B286,'Enter Invoices'!J:J,"D")),"")</f>
        <v/>
      </c>
      <c r="H286" s="47" t="str">
        <f t="shared" si="6"/>
        <v/>
      </c>
    </row>
    <row r="287" spans="3:8" s="43" customFormat="1" ht="15" customHeight="1" x14ac:dyDescent="0.25">
      <c r="C287" s="75" t="str">
        <f>IFERROR(VLOOKUP(B287,'Open Invoices'!C:F,4,0),"")</f>
        <v/>
      </c>
      <c r="D287" s="75" t="str">
        <f>IFERROR(IF(OR(B287="",B287="(BLANK)"),"",SUMIFS('Enter Invoices'!G:G,'Enter Invoices'!D:D,B287,'Enter Invoices'!J:J,"A")),"")</f>
        <v/>
      </c>
      <c r="E287" s="75" t="str">
        <f>IFERROR(IF(OR(B287="",B287="(BLANK)"),"",SUMIFS('Enter Invoices'!G:G,'Enter Invoices'!D:D,B287,'Enter Invoices'!J:J,"B")),"")</f>
        <v/>
      </c>
      <c r="F287" s="75" t="str">
        <f>IFERROR(IF(OR(B287="",B287="(BLANK)"),"",SUMIFS('Enter Invoices'!G:G,'Enter Invoices'!D:D,B287,'Enter Invoices'!J:J,"C")),"")</f>
        <v/>
      </c>
      <c r="G287" s="46" t="str">
        <f>IFERROR(IF(OR(B287="",B287="(BLANK)"),"",SUMIFS('Enter Invoices'!G:G,'Enter Invoices'!D:D,B287,'Enter Invoices'!J:J,"D")),"")</f>
        <v/>
      </c>
      <c r="H287" s="47" t="str">
        <f t="shared" si="6"/>
        <v/>
      </c>
    </row>
    <row r="288" spans="3:8" s="43" customFormat="1" ht="15" customHeight="1" x14ac:dyDescent="0.25">
      <c r="C288" s="75" t="str">
        <f>IFERROR(VLOOKUP(B288,'Open Invoices'!C:F,4,0),"")</f>
        <v/>
      </c>
      <c r="D288" s="75" t="str">
        <f>IFERROR(IF(OR(B288="",B288="(BLANK)"),"",SUMIFS('Enter Invoices'!G:G,'Enter Invoices'!D:D,B288,'Enter Invoices'!J:J,"A")),"")</f>
        <v/>
      </c>
      <c r="E288" s="75" t="str">
        <f>IFERROR(IF(OR(B288="",B288="(BLANK)"),"",SUMIFS('Enter Invoices'!G:G,'Enter Invoices'!D:D,B288,'Enter Invoices'!J:J,"B")),"")</f>
        <v/>
      </c>
      <c r="F288" s="75" t="str">
        <f>IFERROR(IF(OR(B288="",B288="(BLANK)"),"",SUMIFS('Enter Invoices'!G:G,'Enter Invoices'!D:D,B288,'Enter Invoices'!J:J,"C")),"")</f>
        <v/>
      </c>
      <c r="G288" s="46" t="str">
        <f>IFERROR(IF(OR(B288="",B288="(BLANK)"),"",SUMIFS('Enter Invoices'!G:G,'Enter Invoices'!D:D,B288,'Enter Invoices'!J:J,"D")),"")</f>
        <v/>
      </c>
      <c r="H288" s="47" t="str">
        <f t="shared" si="6"/>
        <v/>
      </c>
    </row>
    <row r="289" spans="3:8" s="43" customFormat="1" ht="15" customHeight="1" x14ac:dyDescent="0.25">
      <c r="C289" s="75" t="str">
        <f>IFERROR(VLOOKUP(B289,'Open Invoices'!C:F,4,0),"")</f>
        <v/>
      </c>
      <c r="D289" s="75" t="str">
        <f>IFERROR(IF(OR(B289="",B289="(BLANK)"),"",SUMIFS('Enter Invoices'!G:G,'Enter Invoices'!D:D,B289,'Enter Invoices'!J:J,"A")),"")</f>
        <v/>
      </c>
      <c r="E289" s="75" t="str">
        <f>IFERROR(IF(OR(B289="",B289="(BLANK)"),"",SUMIFS('Enter Invoices'!G:G,'Enter Invoices'!D:D,B289,'Enter Invoices'!J:J,"B")),"")</f>
        <v/>
      </c>
      <c r="F289" s="75" t="str">
        <f>IFERROR(IF(OR(B289="",B289="(BLANK)"),"",SUMIFS('Enter Invoices'!G:G,'Enter Invoices'!D:D,B289,'Enter Invoices'!J:J,"C")),"")</f>
        <v/>
      </c>
      <c r="G289" s="46" t="str">
        <f>IFERROR(IF(OR(B289="",B289="(BLANK)"),"",SUMIFS('Enter Invoices'!G:G,'Enter Invoices'!D:D,B289,'Enter Invoices'!J:J,"D")),"")</f>
        <v/>
      </c>
      <c r="H289" s="47" t="str">
        <f t="shared" si="6"/>
        <v/>
      </c>
    </row>
    <row r="290" spans="3:8" s="43" customFormat="1" ht="15" customHeight="1" x14ac:dyDescent="0.25">
      <c r="C290" s="75" t="str">
        <f>IFERROR(VLOOKUP(B290,'Open Invoices'!C:F,4,0),"")</f>
        <v/>
      </c>
      <c r="D290" s="75" t="str">
        <f>IFERROR(IF(OR(B290="",B290="(BLANK)"),"",SUMIFS('Enter Invoices'!G:G,'Enter Invoices'!D:D,B290,'Enter Invoices'!J:J,"A")),"")</f>
        <v/>
      </c>
      <c r="E290" s="75" t="str">
        <f>IFERROR(IF(OR(B290="",B290="(BLANK)"),"",SUMIFS('Enter Invoices'!G:G,'Enter Invoices'!D:D,B290,'Enter Invoices'!J:J,"B")),"")</f>
        <v/>
      </c>
      <c r="F290" s="75" t="str">
        <f>IFERROR(IF(OR(B290="",B290="(BLANK)"),"",SUMIFS('Enter Invoices'!G:G,'Enter Invoices'!D:D,B290,'Enter Invoices'!J:J,"C")),"")</f>
        <v/>
      </c>
      <c r="G290" s="46" t="str">
        <f>IFERROR(IF(OR(B290="",B290="(BLANK)"),"",SUMIFS('Enter Invoices'!G:G,'Enter Invoices'!D:D,B290,'Enter Invoices'!J:J,"D")),"")</f>
        <v/>
      </c>
      <c r="H290" s="47" t="str">
        <f t="shared" si="6"/>
        <v/>
      </c>
    </row>
    <row r="291" spans="3:8" s="43" customFormat="1" ht="15" customHeight="1" x14ac:dyDescent="0.25">
      <c r="C291" s="75" t="str">
        <f>IFERROR(VLOOKUP(B291,'Open Invoices'!C:F,4,0),"")</f>
        <v/>
      </c>
      <c r="D291" s="75" t="str">
        <f>IFERROR(IF(OR(B291="",B291="(BLANK)"),"",SUMIFS('Enter Invoices'!G:G,'Enter Invoices'!D:D,B291,'Enter Invoices'!J:J,"A")),"")</f>
        <v/>
      </c>
      <c r="E291" s="75" t="str">
        <f>IFERROR(IF(OR(B291="",B291="(BLANK)"),"",SUMIFS('Enter Invoices'!G:G,'Enter Invoices'!D:D,B291,'Enter Invoices'!J:J,"B")),"")</f>
        <v/>
      </c>
      <c r="F291" s="75" t="str">
        <f>IFERROR(IF(OR(B291="",B291="(BLANK)"),"",SUMIFS('Enter Invoices'!G:G,'Enter Invoices'!D:D,B291,'Enter Invoices'!J:J,"C")),"")</f>
        <v/>
      </c>
      <c r="G291" s="46" t="str">
        <f>IFERROR(IF(OR(B291="",B291="(BLANK)"),"",SUMIFS('Enter Invoices'!G:G,'Enter Invoices'!D:D,B291,'Enter Invoices'!J:J,"D")),"")</f>
        <v/>
      </c>
      <c r="H291" s="47" t="str">
        <f t="shared" si="6"/>
        <v/>
      </c>
    </row>
    <row r="292" spans="3:8" s="43" customFormat="1" ht="15" customHeight="1" x14ac:dyDescent="0.25">
      <c r="C292" s="75" t="str">
        <f>IFERROR(VLOOKUP(B292,'Open Invoices'!C:F,4,0),"")</f>
        <v/>
      </c>
      <c r="D292" s="75" t="str">
        <f>IFERROR(IF(OR(B292="",B292="(BLANK)"),"",SUMIFS('Enter Invoices'!G:G,'Enter Invoices'!D:D,B292,'Enter Invoices'!J:J,"A")),"")</f>
        <v/>
      </c>
      <c r="E292" s="75" t="str">
        <f>IFERROR(IF(OR(B292="",B292="(BLANK)"),"",SUMIFS('Enter Invoices'!G:G,'Enter Invoices'!D:D,B292,'Enter Invoices'!J:J,"B")),"")</f>
        <v/>
      </c>
      <c r="F292" s="75" t="str">
        <f>IFERROR(IF(OR(B292="",B292="(BLANK)"),"",SUMIFS('Enter Invoices'!G:G,'Enter Invoices'!D:D,B292,'Enter Invoices'!J:J,"C")),"")</f>
        <v/>
      </c>
      <c r="G292" s="46" t="str">
        <f>IFERROR(IF(OR(B292="",B292="(BLANK)"),"",SUMIFS('Enter Invoices'!G:G,'Enter Invoices'!D:D,B292,'Enter Invoices'!J:J,"D")),"")</f>
        <v/>
      </c>
      <c r="H292" s="47" t="str">
        <f t="shared" si="6"/>
        <v/>
      </c>
    </row>
    <row r="293" spans="3:8" s="43" customFormat="1" ht="15" customHeight="1" x14ac:dyDescent="0.25">
      <c r="C293" s="75" t="str">
        <f>IFERROR(VLOOKUP(B293,'Open Invoices'!C:F,4,0),"")</f>
        <v/>
      </c>
      <c r="D293" s="75" t="str">
        <f>IFERROR(IF(OR(B293="",B293="(BLANK)"),"",SUMIFS('Enter Invoices'!G:G,'Enter Invoices'!D:D,B293,'Enter Invoices'!J:J,"A")),"")</f>
        <v/>
      </c>
      <c r="E293" s="75" t="str">
        <f>IFERROR(IF(OR(B293="",B293="(BLANK)"),"",SUMIFS('Enter Invoices'!G:G,'Enter Invoices'!D:D,B293,'Enter Invoices'!J:J,"B")),"")</f>
        <v/>
      </c>
      <c r="F293" s="75" t="str">
        <f>IFERROR(IF(OR(B293="",B293="(BLANK)"),"",SUMIFS('Enter Invoices'!G:G,'Enter Invoices'!D:D,B293,'Enter Invoices'!J:J,"C")),"")</f>
        <v/>
      </c>
      <c r="G293" s="46" t="str">
        <f>IFERROR(IF(OR(B293="",B293="(BLANK)"),"",SUMIFS('Enter Invoices'!G:G,'Enter Invoices'!D:D,B293,'Enter Invoices'!J:J,"D")),"")</f>
        <v/>
      </c>
      <c r="H293" s="47" t="str">
        <f t="shared" si="6"/>
        <v/>
      </c>
    </row>
    <row r="294" spans="3:8" s="43" customFormat="1" ht="15" customHeight="1" x14ac:dyDescent="0.25">
      <c r="C294" s="75" t="str">
        <f>IFERROR(VLOOKUP(B294,'Open Invoices'!C:F,4,0),"")</f>
        <v/>
      </c>
      <c r="D294" s="75" t="str">
        <f>IFERROR(IF(OR(B294="",B294="(BLANK)"),"",SUMIFS('Enter Invoices'!G:G,'Enter Invoices'!D:D,B294,'Enter Invoices'!J:J,"A")),"")</f>
        <v/>
      </c>
      <c r="E294" s="75" t="str">
        <f>IFERROR(IF(OR(B294="",B294="(BLANK)"),"",SUMIFS('Enter Invoices'!G:G,'Enter Invoices'!D:D,B294,'Enter Invoices'!J:J,"B")),"")</f>
        <v/>
      </c>
      <c r="F294" s="75" t="str">
        <f>IFERROR(IF(OR(B294="",B294="(BLANK)"),"",SUMIFS('Enter Invoices'!G:G,'Enter Invoices'!D:D,B294,'Enter Invoices'!J:J,"C")),"")</f>
        <v/>
      </c>
      <c r="G294" s="46" t="str">
        <f>IFERROR(IF(OR(B294="",B294="(BLANK)"),"",SUMIFS('Enter Invoices'!G:G,'Enter Invoices'!D:D,B294,'Enter Invoices'!J:J,"D")),"")</f>
        <v/>
      </c>
      <c r="H294" s="47" t="str">
        <f t="shared" si="6"/>
        <v/>
      </c>
    </row>
    <row r="295" spans="3:8" s="43" customFormat="1" ht="15" customHeight="1" x14ac:dyDescent="0.25">
      <c r="C295" s="75" t="str">
        <f>IFERROR(VLOOKUP(B295,'Open Invoices'!C:F,4,0),"")</f>
        <v/>
      </c>
      <c r="D295" s="75" t="str">
        <f>IFERROR(IF(OR(B295="",B295="(BLANK)"),"",SUMIFS('Enter Invoices'!G:G,'Enter Invoices'!D:D,B295,'Enter Invoices'!J:J,"A")),"")</f>
        <v/>
      </c>
      <c r="E295" s="75" t="str">
        <f>IFERROR(IF(OR(B295="",B295="(BLANK)"),"",SUMIFS('Enter Invoices'!G:G,'Enter Invoices'!D:D,B295,'Enter Invoices'!J:J,"B")),"")</f>
        <v/>
      </c>
      <c r="F295" s="75" t="str">
        <f>IFERROR(IF(OR(B295="",B295="(BLANK)"),"",SUMIFS('Enter Invoices'!G:G,'Enter Invoices'!D:D,B295,'Enter Invoices'!J:J,"C")),"")</f>
        <v/>
      </c>
      <c r="G295" s="46" t="str">
        <f>IFERROR(IF(OR(B295="",B295="(BLANK)"),"",SUMIFS('Enter Invoices'!G:G,'Enter Invoices'!D:D,B295,'Enter Invoices'!J:J,"D")),"")</f>
        <v/>
      </c>
      <c r="H295" s="47" t="str">
        <f t="shared" si="6"/>
        <v/>
      </c>
    </row>
    <row r="296" spans="3:8" s="43" customFormat="1" ht="15" customHeight="1" x14ac:dyDescent="0.25">
      <c r="C296" s="75" t="str">
        <f>IFERROR(VLOOKUP(B296,'Open Invoices'!C:F,4,0),"")</f>
        <v/>
      </c>
      <c r="D296" s="75" t="str">
        <f>IFERROR(IF(OR(B296="",B296="(BLANK)"),"",SUMIFS('Enter Invoices'!G:G,'Enter Invoices'!D:D,B296,'Enter Invoices'!J:J,"A")),"")</f>
        <v/>
      </c>
      <c r="E296" s="75" t="str">
        <f>IFERROR(IF(OR(B296="",B296="(BLANK)"),"",SUMIFS('Enter Invoices'!G:G,'Enter Invoices'!D:D,B296,'Enter Invoices'!J:J,"B")),"")</f>
        <v/>
      </c>
      <c r="F296" s="75" t="str">
        <f>IFERROR(IF(OR(B296="",B296="(BLANK)"),"",SUMIFS('Enter Invoices'!G:G,'Enter Invoices'!D:D,B296,'Enter Invoices'!J:J,"C")),"")</f>
        <v/>
      </c>
      <c r="G296" s="46" t="str">
        <f>IFERROR(IF(OR(B296="",B296="(BLANK)"),"",SUMIFS('Enter Invoices'!G:G,'Enter Invoices'!D:D,B296,'Enter Invoices'!J:J,"D")),"")</f>
        <v/>
      </c>
      <c r="H296" s="47" t="str">
        <f t="shared" si="6"/>
        <v/>
      </c>
    </row>
    <row r="297" spans="3:8" s="43" customFormat="1" ht="15" customHeight="1" x14ac:dyDescent="0.25">
      <c r="C297" s="75" t="str">
        <f>IFERROR(VLOOKUP(B297,'Open Invoices'!C:F,4,0),"")</f>
        <v/>
      </c>
      <c r="D297" s="75" t="str">
        <f>IFERROR(IF(OR(B297="",B297="(BLANK)"),"",SUMIFS('Enter Invoices'!G:G,'Enter Invoices'!D:D,B297,'Enter Invoices'!J:J,"A")),"")</f>
        <v/>
      </c>
      <c r="E297" s="75" t="str">
        <f>IFERROR(IF(OR(B297="",B297="(BLANK)"),"",SUMIFS('Enter Invoices'!G:G,'Enter Invoices'!D:D,B297,'Enter Invoices'!J:J,"B")),"")</f>
        <v/>
      </c>
      <c r="F297" s="75" t="str">
        <f>IFERROR(IF(OR(B297="",B297="(BLANK)"),"",SUMIFS('Enter Invoices'!G:G,'Enter Invoices'!D:D,B297,'Enter Invoices'!J:J,"C")),"")</f>
        <v/>
      </c>
      <c r="G297" s="46" t="str">
        <f>IFERROR(IF(OR(B297="",B297="(BLANK)"),"",SUMIFS('Enter Invoices'!G:G,'Enter Invoices'!D:D,B297,'Enter Invoices'!J:J,"D")),"")</f>
        <v/>
      </c>
      <c r="H297" s="47" t="str">
        <f t="shared" si="6"/>
        <v/>
      </c>
    </row>
    <row r="298" spans="3:8" s="43" customFormat="1" ht="15" customHeight="1" x14ac:dyDescent="0.25">
      <c r="C298" s="75" t="str">
        <f>IFERROR(VLOOKUP(B298,'Open Invoices'!C:F,4,0),"")</f>
        <v/>
      </c>
      <c r="D298" s="75" t="str">
        <f>IFERROR(IF(OR(B298="",B298="(BLANK)"),"",SUMIFS('Enter Invoices'!G:G,'Enter Invoices'!D:D,B298,'Enter Invoices'!J:J,"A")),"")</f>
        <v/>
      </c>
      <c r="E298" s="75" t="str">
        <f>IFERROR(IF(OR(B298="",B298="(BLANK)"),"",SUMIFS('Enter Invoices'!G:G,'Enter Invoices'!D:D,B298,'Enter Invoices'!J:J,"B")),"")</f>
        <v/>
      </c>
      <c r="F298" s="75" t="str">
        <f>IFERROR(IF(OR(B298="",B298="(BLANK)"),"",SUMIFS('Enter Invoices'!G:G,'Enter Invoices'!D:D,B298,'Enter Invoices'!J:J,"C")),"")</f>
        <v/>
      </c>
      <c r="G298" s="46" t="str">
        <f>IFERROR(IF(OR(B298="",B298="(BLANK)"),"",SUMIFS('Enter Invoices'!G:G,'Enter Invoices'!D:D,B298,'Enter Invoices'!J:J,"D")),"")</f>
        <v/>
      </c>
      <c r="H298" s="47" t="str">
        <f t="shared" si="6"/>
        <v/>
      </c>
    </row>
    <row r="299" spans="3:8" s="43" customFormat="1" ht="15" customHeight="1" x14ac:dyDescent="0.25">
      <c r="C299" s="75" t="str">
        <f>IFERROR(VLOOKUP(B299,'Open Invoices'!C:F,4,0),"")</f>
        <v/>
      </c>
      <c r="D299" s="75" t="str">
        <f>IFERROR(IF(OR(B299="",B299="(BLANK)"),"",SUMIFS('Enter Invoices'!G:G,'Enter Invoices'!D:D,B299,'Enter Invoices'!J:J,"A")),"")</f>
        <v/>
      </c>
      <c r="E299" s="75" t="str">
        <f>IFERROR(IF(OR(B299="",B299="(BLANK)"),"",SUMIFS('Enter Invoices'!G:G,'Enter Invoices'!D:D,B299,'Enter Invoices'!J:J,"B")),"")</f>
        <v/>
      </c>
      <c r="F299" s="75" t="str">
        <f>IFERROR(IF(OR(B299="",B299="(BLANK)"),"",SUMIFS('Enter Invoices'!G:G,'Enter Invoices'!D:D,B299,'Enter Invoices'!J:J,"C")),"")</f>
        <v/>
      </c>
      <c r="G299" s="46" t="str">
        <f>IFERROR(IF(OR(B299="",B299="(BLANK)"),"",SUMIFS('Enter Invoices'!G:G,'Enter Invoices'!D:D,B299,'Enter Invoices'!J:J,"D")),"")</f>
        <v/>
      </c>
      <c r="H299" s="47" t="str">
        <f t="shared" si="6"/>
        <v/>
      </c>
    </row>
    <row r="300" spans="3:8" s="43" customFormat="1" ht="15" customHeight="1" x14ac:dyDescent="0.25">
      <c r="C300" s="75" t="str">
        <f>IFERROR(VLOOKUP(B300,'Open Invoices'!C:F,4,0),"")</f>
        <v/>
      </c>
      <c r="D300" s="75" t="str">
        <f>IFERROR(IF(OR(B300="",B300="(BLANK)"),"",SUMIFS('Enter Invoices'!G:G,'Enter Invoices'!D:D,B300,'Enter Invoices'!J:J,"A")),"")</f>
        <v/>
      </c>
      <c r="E300" s="75" t="str">
        <f>IFERROR(IF(OR(B300="",B300="(BLANK)"),"",SUMIFS('Enter Invoices'!G:G,'Enter Invoices'!D:D,B300,'Enter Invoices'!J:J,"B")),"")</f>
        <v/>
      </c>
      <c r="F300" s="75" t="str">
        <f>IFERROR(IF(OR(B300="",B300="(BLANK)"),"",SUMIFS('Enter Invoices'!G:G,'Enter Invoices'!D:D,B300,'Enter Invoices'!J:J,"C")),"")</f>
        <v/>
      </c>
      <c r="G300" s="46" t="str">
        <f>IFERROR(IF(OR(B300="",B300="(BLANK)"),"",SUMIFS('Enter Invoices'!G:G,'Enter Invoices'!D:D,B300,'Enter Invoices'!J:J,"D")),"")</f>
        <v/>
      </c>
      <c r="H300" s="47" t="str">
        <f t="shared" si="6"/>
        <v/>
      </c>
    </row>
    <row r="301" spans="3:8" s="43" customFormat="1" ht="15" customHeight="1" x14ac:dyDescent="0.25">
      <c r="C301" s="75" t="str">
        <f>IFERROR(VLOOKUP(B301,'Open Invoices'!C:F,4,0),"")</f>
        <v/>
      </c>
      <c r="D301" s="75" t="str">
        <f>IFERROR(IF(OR(B301="",B301="(BLANK)"),"",SUMIFS('Enter Invoices'!G:G,'Enter Invoices'!D:D,B301,'Enter Invoices'!J:J,"A")),"")</f>
        <v/>
      </c>
      <c r="E301" s="75" t="str">
        <f>IFERROR(IF(OR(B301="",B301="(BLANK)"),"",SUMIFS('Enter Invoices'!G:G,'Enter Invoices'!D:D,B301,'Enter Invoices'!J:J,"B")),"")</f>
        <v/>
      </c>
      <c r="F301" s="75" t="str">
        <f>IFERROR(IF(OR(B301="",B301="(BLANK)"),"",SUMIFS('Enter Invoices'!G:G,'Enter Invoices'!D:D,B301,'Enter Invoices'!J:J,"C")),"")</f>
        <v/>
      </c>
      <c r="G301" s="46" t="str">
        <f>IFERROR(IF(OR(B301="",B301="(BLANK)"),"",SUMIFS('Enter Invoices'!G:G,'Enter Invoices'!D:D,B301,'Enter Invoices'!J:J,"D")),"")</f>
        <v/>
      </c>
      <c r="H301" s="47" t="str">
        <f t="shared" si="6"/>
        <v/>
      </c>
    </row>
    <row r="302" spans="3:8" s="43" customFormat="1" ht="15" customHeight="1" x14ac:dyDescent="0.25">
      <c r="C302" s="75" t="str">
        <f>IFERROR(VLOOKUP(B302,'Open Invoices'!C:F,4,0),"")</f>
        <v/>
      </c>
      <c r="D302" s="75" t="str">
        <f>IFERROR(IF(OR(B302="",B302="(BLANK)"),"",SUMIFS('Enter Invoices'!G:G,'Enter Invoices'!D:D,B302,'Enter Invoices'!J:J,"A")),"")</f>
        <v/>
      </c>
      <c r="E302" s="75" t="str">
        <f>IFERROR(IF(OR(B302="",B302="(BLANK)"),"",SUMIFS('Enter Invoices'!G:G,'Enter Invoices'!D:D,B302,'Enter Invoices'!J:J,"B")),"")</f>
        <v/>
      </c>
      <c r="F302" s="75" t="str">
        <f>IFERROR(IF(OR(B302="",B302="(BLANK)"),"",SUMIFS('Enter Invoices'!G:G,'Enter Invoices'!D:D,B302,'Enter Invoices'!J:J,"C")),"")</f>
        <v/>
      </c>
      <c r="G302" s="46" t="str">
        <f>IFERROR(IF(OR(B302="",B302="(BLANK)"),"",SUMIFS('Enter Invoices'!G:G,'Enter Invoices'!D:D,B302,'Enter Invoices'!J:J,"D")),"")</f>
        <v/>
      </c>
      <c r="H302" s="47" t="str">
        <f t="shared" si="6"/>
        <v/>
      </c>
    </row>
    <row r="303" spans="3:8" s="43" customFormat="1" ht="15" customHeight="1" x14ac:dyDescent="0.25">
      <c r="C303" s="75" t="str">
        <f>IFERROR(VLOOKUP(B303,'Open Invoices'!C:F,4,0),"")</f>
        <v/>
      </c>
      <c r="D303" s="75" t="str">
        <f>IFERROR(IF(OR(B303="",B303="(BLANK)"),"",SUMIFS('Enter Invoices'!G:G,'Enter Invoices'!D:D,B303,'Enter Invoices'!J:J,"A")),"")</f>
        <v/>
      </c>
      <c r="E303" s="75" t="str">
        <f>IFERROR(IF(OR(B303="",B303="(BLANK)"),"",SUMIFS('Enter Invoices'!G:G,'Enter Invoices'!D:D,B303,'Enter Invoices'!J:J,"B")),"")</f>
        <v/>
      </c>
      <c r="F303" s="75" t="str">
        <f>IFERROR(IF(OR(B303="",B303="(BLANK)"),"",SUMIFS('Enter Invoices'!G:G,'Enter Invoices'!D:D,B303,'Enter Invoices'!J:J,"C")),"")</f>
        <v/>
      </c>
      <c r="G303" s="46" t="str">
        <f>IFERROR(IF(OR(B303="",B303="(BLANK)"),"",SUMIFS('Enter Invoices'!G:G,'Enter Invoices'!D:D,B303,'Enter Invoices'!J:J,"D")),"")</f>
        <v/>
      </c>
      <c r="H303" s="47" t="str">
        <f t="shared" si="6"/>
        <v/>
      </c>
    </row>
    <row r="304" spans="3:8" s="43" customFormat="1" ht="15" customHeight="1" x14ac:dyDescent="0.25">
      <c r="C304" s="75" t="str">
        <f>IFERROR(VLOOKUP(B304,'Open Invoices'!C:F,4,0),"")</f>
        <v/>
      </c>
      <c r="D304" s="75" t="str">
        <f>IFERROR(IF(OR(B304="",B304="(BLANK)"),"",SUMIFS('Enter Invoices'!G:G,'Enter Invoices'!D:D,B304,'Enter Invoices'!J:J,"A")),"")</f>
        <v/>
      </c>
      <c r="E304" s="75" t="str">
        <f>IFERROR(IF(OR(B304="",B304="(BLANK)"),"",SUMIFS('Enter Invoices'!G:G,'Enter Invoices'!D:D,B304,'Enter Invoices'!J:J,"B")),"")</f>
        <v/>
      </c>
      <c r="F304" s="75" t="str">
        <f>IFERROR(IF(OR(B304="",B304="(BLANK)"),"",SUMIFS('Enter Invoices'!G:G,'Enter Invoices'!D:D,B304,'Enter Invoices'!J:J,"C")),"")</f>
        <v/>
      </c>
      <c r="G304" s="46" t="str">
        <f>IFERROR(IF(OR(B304="",B304="(BLANK)"),"",SUMIFS('Enter Invoices'!G:G,'Enter Invoices'!D:D,B304,'Enter Invoices'!J:J,"D")),"")</f>
        <v/>
      </c>
      <c r="H304" s="47" t="str">
        <f t="shared" si="6"/>
        <v/>
      </c>
    </row>
    <row r="305" spans="3:8" s="43" customFormat="1" ht="15" customHeight="1" x14ac:dyDescent="0.25">
      <c r="C305" s="75" t="str">
        <f>IFERROR(VLOOKUP(B305,'Open Invoices'!C:F,4,0),"")</f>
        <v/>
      </c>
      <c r="D305" s="75" t="str">
        <f>IFERROR(IF(OR(B305="",B305="(BLANK)"),"",SUMIFS('Enter Invoices'!G:G,'Enter Invoices'!D:D,B305,'Enter Invoices'!J:J,"A")),"")</f>
        <v/>
      </c>
      <c r="E305" s="75" t="str">
        <f>IFERROR(IF(OR(B305="",B305="(BLANK)"),"",SUMIFS('Enter Invoices'!G:G,'Enter Invoices'!D:D,B305,'Enter Invoices'!J:J,"B")),"")</f>
        <v/>
      </c>
      <c r="F305" s="75" t="str">
        <f>IFERROR(IF(OR(B305="",B305="(BLANK)"),"",SUMIFS('Enter Invoices'!G:G,'Enter Invoices'!D:D,B305,'Enter Invoices'!J:J,"C")),"")</f>
        <v/>
      </c>
      <c r="G305" s="46" t="str">
        <f>IFERROR(IF(OR(B305="",B305="(BLANK)"),"",SUMIFS('Enter Invoices'!G:G,'Enter Invoices'!D:D,B305,'Enter Invoices'!J:J,"D")),"")</f>
        <v/>
      </c>
      <c r="H305" s="47" t="str">
        <f t="shared" si="6"/>
        <v/>
      </c>
    </row>
    <row r="306" spans="3:8" s="43" customFormat="1" ht="15" customHeight="1" x14ac:dyDescent="0.25">
      <c r="C306" s="75" t="str">
        <f>IFERROR(VLOOKUP(B306,'Open Invoices'!C:F,4,0),"")</f>
        <v/>
      </c>
      <c r="D306" s="75" t="str">
        <f>IFERROR(IF(OR(B306="",B306="(BLANK)"),"",SUMIFS('Enter Invoices'!G:G,'Enter Invoices'!D:D,B306,'Enter Invoices'!J:J,"A")),"")</f>
        <v/>
      </c>
      <c r="E306" s="75" t="str">
        <f>IFERROR(IF(OR(B306="",B306="(BLANK)"),"",SUMIFS('Enter Invoices'!G:G,'Enter Invoices'!D:D,B306,'Enter Invoices'!J:J,"B")),"")</f>
        <v/>
      </c>
      <c r="F306" s="75" t="str">
        <f>IFERROR(IF(OR(B306="",B306="(BLANK)"),"",SUMIFS('Enter Invoices'!G:G,'Enter Invoices'!D:D,B306,'Enter Invoices'!J:J,"C")),"")</f>
        <v/>
      </c>
      <c r="G306" s="46" t="str">
        <f>IFERROR(IF(OR(B306="",B306="(BLANK)"),"",SUMIFS('Enter Invoices'!G:G,'Enter Invoices'!D:D,B306,'Enter Invoices'!J:J,"D")),"")</f>
        <v/>
      </c>
      <c r="H306" s="47" t="str">
        <f t="shared" si="6"/>
        <v/>
      </c>
    </row>
    <row r="307" spans="3:8" s="43" customFormat="1" ht="15" customHeight="1" x14ac:dyDescent="0.25">
      <c r="C307" s="75" t="str">
        <f>IFERROR(VLOOKUP(B307,'Open Invoices'!C:F,4,0),"")</f>
        <v/>
      </c>
      <c r="D307" s="75" t="str">
        <f>IFERROR(IF(OR(B307="",B307="(BLANK)"),"",SUMIFS('Enter Invoices'!G:G,'Enter Invoices'!D:D,B307,'Enter Invoices'!J:J,"A")),"")</f>
        <v/>
      </c>
      <c r="E307" s="75" t="str">
        <f>IFERROR(IF(OR(B307="",B307="(BLANK)"),"",SUMIFS('Enter Invoices'!G:G,'Enter Invoices'!D:D,B307,'Enter Invoices'!J:J,"B")),"")</f>
        <v/>
      </c>
      <c r="F307" s="75" t="str">
        <f>IFERROR(IF(OR(B307="",B307="(BLANK)"),"",SUMIFS('Enter Invoices'!G:G,'Enter Invoices'!D:D,B307,'Enter Invoices'!J:J,"C")),"")</f>
        <v/>
      </c>
      <c r="G307" s="46" t="str">
        <f>IFERROR(IF(OR(B307="",B307="(BLANK)"),"",SUMIFS('Enter Invoices'!G:G,'Enter Invoices'!D:D,B307,'Enter Invoices'!J:J,"D")),"")</f>
        <v/>
      </c>
      <c r="H307" s="47" t="str">
        <f t="shared" si="6"/>
        <v/>
      </c>
    </row>
    <row r="308" spans="3:8" s="43" customFormat="1" ht="15" customHeight="1" x14ac:dyDescent="0.25">
      <c r="C308" s="75" t="str">
        <f>IFERROR(VLOOKUP(B308,'Open Invoices'!C:F,4,0),"")</f>
        <v/>
      </c>
      <c r="D308" s="75" t="str">
        <f>IFERROR(IF(OR(B308="",B308="(BLANK)"),"",SUMIFS('Enter Invoices'!G:G,'Enter Invoices'!D:D,B308,'Enter Invoices'!J:J,"A")),"")</f>
        <v/>
      </c>
      <c r="E308" s="75" t="str">
        <f>IFERROR(IF(OR(B308="",B308="(BLANK)"),"",SUMIFS('Enter Invoices'!G:G,'Enter Invoices'!D:D,B308,'Enter Invoices'!J:J,"B")),"")</f>
        <v/>
      </c>
      <c r="F308" s="75" t="str">
        <f>IFERROR(IF(OR(B308="",B308="(BLANK)"),"",SUMIFS('Enter Invoices'!G:G,'Enter Invoices'!D:D,B308,'Enter Invoices'!J:J,"C")),"")</f>
        <v/>
      </c>
      <c r="G308" s="46" t="str">
        <f>IFERROR(IF(OR(B308="",B308="(BLANK)"),"",SUMIFS('Enter Invoices'!G:G,'Enter Invoices'!D:D,B308,'Enter Invoices'!J:J,"D")),"")</f>
        <v/>
      </c>
      <c r="H308" s="47" t="str">
        <f t="shared" si="6"/>
        <v/>
      </c>
    </row>
    <row r="309" spans="3:8" s="43" customFormat="1" ht="15" customHeight="1" x14ac:dyDescent="0.25">
      <c r="C309" s="75" t="str">
        <f>IFERROR(VLOOKUP(B309,'Open Invoices'!C:F,4,0),"")</f>
        <v/>
      </c>
      <c r="D309" s="75" t="str">
        <f>IFERROR(IF(OR(B309="",B309="(BLANK)"),"",SUMIFS('Enter Invoices'!G:G,'Enter Invoices'!D:D,B309,'Enter Invoices'!J:J,"A")),"")</f>
        <v/>
      </c>
      <c r="E309" s="75" t="str">
        <f>IFERROR(IF(OR(B309="",B309="(BLANK)"),"",SUMIFS('Enter Invoices'!G:G,'Enter Invoices'!D:D,B309,'Enter Invoices'!J:J,"B")),"")</f>
        <v/>
      </c>
      <c r="F309" s="75" t="str">
        <f>IFERROR(IF(OR(B309="",B309="(BLANK)"),"",SUMIFS('Enter Invoices'!G:G,'Enter Invoices'!D:D,B309,'Enter Invoices'!J:J,"C")),"")</f>
        <v/>
      </c>
      <c r="G309" s="46" t="str">
        <f>IFERROR(IF(OR(B309="",B309="(BLANK)"),"",SUMIFS('Enter Invoices'!G:G,'Enter Invoices'!D:D,B309,'Enter Invoices'!J:J,"D")),"")</f>
        <v/>
      </c>
      <c r="H309" s="47" t="str">
        <f t="shared" si="6"/>
        <v/>
      </c>
    </row>
    <row r="310" spans="3:8" s="43" customFormat="1" ht="15" customHeight="1" x14ac:dyDescent="0.25">
      <c r="C310" s="75" t="str">
        <f>IFERROR(VLOOKUP(B310,'Open Invoices'!C:F,4,0),"")</f>
        <v/>
      </c>
      <c r="D310" s="75" t="str">
        <f>IFERROR(IF(OR(B310="",B310="(BLANK)"),"",SUMIFS('Enter Invoices'!G:G,'Enter Invoices'!D:D,B310,'Enter Invoices'!J:J,"A")),"")</f>
        <v/>
      </c>
      <c r="E310" s="75" t="str">
        <f>IFERROR(IF(OR(B310="",B310="(BLANK)"),"",SUMIFS('Enter Invoices'!G:G,'Enter Invoices'!D:D,B310,'Enter Invoices'!J:J,"B")),"")</f>
        <v/>
      </c>
      <c r="F310" s="75" t="str">
        <f>IFERROR(IF(OR(B310="",B310="(BLANK)"),"",SUMIFS('Enter Invoices'!G:G,'Enter Invoices'!D:D,B310,'Enter Invoices'!J:J,"C")),"")</f>
        <v/>
      </c>
      <c r="G310" s="46" t="str">
        <f>IFERROR(IF(OR(B310="",B310="(BLANK)"),"",SUMIFS('Enter Invoices'!G:G,'Enter Invoices'!D:D,B310,'Enter Invoices'!J:J,"D")),"")</f>
        <v/>
      </c>
      <c r="H310" s="47" t="str">
        <f t="shared" si="6"/>
        <v/>
      </c>
    </row>
    <row r="311" spans="3:8" s="43" customFormat="1" ht="15" customHeight="1" x14ac:dyDescent="0.25">
      <c r="C311" s="75" t="str">
        <f>IFERROR(VLOOKUP(B311,'Open Invoices'!C:F,4,0),"")</f>
        <v/>
      </c>
      <c r="D311" s="75" t="str">
        <f>IFERROR(IF(OR(B311="",B311="(BLANK)"),"",SUMIFS('Enter Invoices'!G:G,'Enter Invoices'!D:D,B311,'Enter Invoices'!J:J,"A")),"")</f>
        <v/>
      </c>
      <c r="E311" s="75" t="str">
        <f>IFERROR(IF(OR(B311="",B311="(BLANK)"),"",SUMIFS('Enter Invoices'!G:G,'Enter Invoices'!D:D,B311,'Enter Invoices'!J:J,"B")),"")</f>
        <v/>
      </c>
      <c r="F311" s="75" t="str">
        <f>IFERROR(IF(OR(B311="",B311="(BLANK)"),"",SUMIFS('Enter Invoices'!G:G,'Enter Invoices'!D:D,B311,'Enter Invoices'!J:J,"C")),"")</f>
        <v/>
      </c>
      <c r="G311" s="46" t="str">
        <f>IFERROR(IF(OR(B311="",B311="(BLANK)"),"",SUMIFS('Enter Invoices'!G:G,'Enter Invoices'!D:D,B311,'Enter Invoices'!J:J,"D")),"")</f>
        <v/>
      </c>
      <c r="H311" s="47" t="str">
        <f t="shared" si="6"/>
        <v/>
      </c>
    </row>
    <row r="312" spans="3:8" s="43" customFormat="1" ht="15" customHeight="1" x14ac:dyDescent="0.25">
      <c r="C312" s="75" t="str">
        <f>IFERROR(VLOOKUP(B312,'Open Invoices'!C:F,4,0),"")</f>
        <v/>
      </c>
      <c r="D312" s="75" t="str">
        <f>IFERROR(IF(OR(B312="",B312="(BLANK)"),"",SUMIFS('Enter Invoices'!G:G,'Enter Invoices'!D:D,B312,'Enter Invoices'!J:J,"A")),"")</f>
        <v/>
      </c>
      <c r="E312" s="75" t="str">
        <f>IFERROR(IF(OR(B312="",B312="(BLANK)"),"",SUMIFS('Enter Invoices'!G:G,'Enter Invoices'!D:D,B312,'Enter Invoices'!J:J,"B")),"")</f>
        <v/>
      </c>
      <c r="F312" s="75" t="str">
        <f>IFERROR(IF(OR(B312="",B312="(BLANK)"),"",SUMIFS('Enter Invoices'!G:G,'Enter Invoices'!D:D,B312,'Enter Invoices'!J:J,"C")),"")</f>
        <v/>
      </c>
      <c r="G312" s="46" t="str">
        <f>IFERROR(IF(OR(B312="",B312="(BLANK)"),"",SUMIFS('Enter Invoices'!G:G,'Enter Invoices'!D:D,B312,'Enter Invoices'!J:J,"D")),"")</f>
        <v/>
      </c>
      <c r="H312" s="47" t="str">
        <f t="shared" si="6"/>
        <v/>
      </c>
    </row>
    <row r="313" spans="3:8" s="43" customFormat="1" ht="15" customHeight="1" x14ac:dyDescent="0.25">
      <c r="C313" s="75" t="str">
        <f>IFERROR(VLOOKUP(B313,'Open Invoices'!C:F,4,0),"")</f>
        <v/>
      </c>
      <c r="D313" s="75" t="str">
        <f>IFERROR(IF(OR(B313="",B313="(BLANK)"),"",SUMIFS('Enter Invoices'!G:G,'Enter Invoices'!D:D,B313,'Enter Invoices'!J:J,"A")),"")</f>
        <v/>
      </c>
      <c r="E313" s="75" t="str">
        <f>IFERROR(IF(OR(B313="",B313="(BLANK)"),"",SUMIFS('Enter Invoices'!G:G,'Enter Invoices'!D:D,B313,'Enter Invoices'!J:J,"B")),"")</f>
        <v/>
      </c>
      <c r="F313" s="75" t="str">
        <f>IFERROR(IF(OR(B313="",B313="(BLANK)"),"",SUMIFS('Enter Invoices'!G:G,'Enter Invoices'!D:D,B313,'Enter Invoices'!J:J,"C")),"")</f>
        <v/>
      </c>
      <c r="G313" s="46" t="str">
        <f>IFERROR(IF(OR(B313="",B313="(BLANK)"),"",SUMIFS('Enter Invoices'!G:G,'Enter Invoices'!D:D,B313,'Enter Invoices'!J:J,"D")),"")</f>
        <v/>
      </c>
      <c r="H313" s="47" t="str">
        <f t="shared" si="6"/>
        <v/>
      </c>
    </row>
    <row r="314" spans="3:8" s="43" customFormat="1" ht="15" customHeight="1" x14ac:dyDescent="0.25">
      <c r="C314" s="75" t="str">
        <f>IFERROR(VLOOKUP(B314,'Open Invoices'!C:F,4,0),"")</f>
        <v/>
      </c>
      <c r="D314" s="75" t="str">
        <f>IFERROR(IF(OR(B314="",B314="(BLANK)"),"",SUMIFS('Enter Invoices'!G:G,'Enter Invoices'!D:D,B314,'Enter Invoices'!J:J,"A")),"")</f>
        <v/>
      </c>
      <c r="E314" s="75" t="str">
        <f>IFERROR(IF(OR(B314="",B314="(BLANK)"),"",SUMIFS('Enter Invoices'!G:G,'Enter Invoices'!D:D,B314,'Enter Invoices'!J:J,"B")),"")</f>
        <v/>
      </c>
      <c r="F314" s="75" t="str">
        <f>IFERROR(IF(OR(B314="",B314="(BLANK)"),"",SUMIFS('Enter Invoices'!G:G,'Enter Invoices'!D:D,B314,'Enter Invoices'!J:J,"C")),"")</f>
        <v/>
      </c>
      <c r="G314" s="46" t="str">
        <f>IFERROR(IF(OR(B314="",B314="(BLANK)"),"",SUMIFS('Enter Invoices'!G:G,'Enter Invoices'!D:D,B314,'Enter Invoices'!J:J,"D")),"")</f>
        <v/>
      </c>
      <c r="H314" s="47" t="str">
        <f t="shared" si="6"/>
        <v/>
      </c>
    </row>
    <row r="315" spans="3:8" s="43" customFormat="1" ht="15" customHeight="1" x14ac:dyDescent="0.25">
      <c r="C315" s="75" t="str">
        <f>IFERROR(VLOOKUP(B315,'Open Invoices'!C:F,4,0),"")</f>
        <v/>
      </c>
      <c r="D315" s="75" t="str">
        <f>IFERROR(IF(OR(B315="",B315="(BLANK)"),"",SUMIFS('Enter Invoices'!G:G,'Enter Invoices'!D:D,B315,'Enter Invoices'!J:J,"A")),"")</f>
        <v/>
      </c>
      <c r="E315" s="75" t="str">
        <f>IFERROR(IF(OR(B315="",B315="(BLANK)"),"",SUMIFS('Enter Invoices'!G:G,'Enter Invoices'!D:D,B315,'Enter Invoices'!J:J,"B")),"")</f>
        <v/>
      </c>
      <c r="F315" s="75" t="str">
        <f>IFERROR(IF(OR(B315="",B315="(BLANK)"),"",SUMIFS('Enter Invoices'!G:G,'Enter Invoices'!D:D,B315,'Enter Invoices'!J:J,"C")),"")</f>
        <v/>
      </c>
      <c r="G315" s="46" t="str">
        <f>IFERROR(IF(OR(B315="",B315="(BLANK)"),"",SUMIFS('Enter Invoices'!G:G,'Enter Invoices'!D:D,B315,'Enter Invoices'!J:J,"D")),"")</f>
        <v/>
      </c>
      <c r="H315" s="47" t="str">
        <f t="shared" si="6"/>
        <v/>
      </c>
    </row>
    <row r="316" spans="3:8" s="43" customFormat="1" ht="15" customHeight="1" x14ac:dyDescent="0.25">
      <c r="C316" s="75" t="str">
        <f>IFERROR(VLOOKUP(B316,'Open Invoices'!C:F,4,0),"")</f>
        <v/>
      </c>
      <c r="D316" s="75" t="str">
        <f>IFERROR(IF(OR(B316="",B316="(BLANK)"),"",SUMIFS('Enter Invoices'!G:G,'Enter Invoices'!D:D,B316,'Enter Invoices'!J:J,"A")),"")</f>
        <v/>
      </c>
      <c r="E316" s="75" t="str">
        <f>IFERROR(IF(OR(B316="",B316="(BLANK)"),"",SUMIFS('Enter Invoices'!G:G,'Enter Invoices'!D:D,B316,'Enter Invoices'!J:J,"B")),"")</f>
        <v/>
      </c>
      <c r="F316" s="75" t="str">
        <f>IFERROR(IF(OR(B316="",B316="(BLANK)"),"",SUMIFS('Enter Invoices'!G:G,'Enter Invoices'!D:D,B316,'Enter Invoices'!J:J,"C")),"")</f>
        <v/>
      </c>
      <c r="G316" s="46" t="str">
        <f>IFERROR(IF(OR(B316="",B316="(BLANK)"),"",SUMIFS('Enter Invoices'!G:G,'Enter Invoices'!D:D,B316,'Enter Invoices'!J:J,"D")),"")</f>
        <v/>
      </c>
      <c r="H316" s="47" t="str">
        <f t="shared" si="6"/>
        <v/>
      </c>
    </row>
    <row r="317" spans="3:8" s="43" customFormat="1" ht="15" customHeight="1" x14ac:dyDescent="0.25">
      <c r="C317" s="75" t="str">
        <f>IFERROR(VLOOKUP(B317,'Open Invoices'!C:F,4,0),"")</f>
        <v/>
      </c>
      <c r="D317" s="75" t="str">
        <f>IFERROR(IF(OR(B317="",B317="(BLANK)"),"",SUMIFS('Enter Invoices'!G:G,'Enter Invoices'!D:D,B317,'Enter Invoices'!J:J,"A")),"")</f>
        <v/>
      </c>
      <c r="E317" s="75" t="str">
        <f>IFERROR(IF(OR(B317="",B317="(BLANK)"),"",SUMIFS('Enter Invoices'!G:G,'Enter Invoices'!D:D,B317,'Enter Invoices'!J:J,"B")),"")</f>
        <v/>
      </c>
      <c r="F317" s="75" t="str">
        <f>IFERROR(IF(OR(B317="",B317="(BLANK)"),"",SUMIFS('Enter Invoices'!G:G,'Enter Invoices'!D:D,B317,'Enter Invoices'!J:J,"C")),"")</f>
        <v/>
      </c>
      <c r="G317" s="46" t="str">
        <f>IFERROR(IF(OR(B317="",B317="(BLANK)"),"",SUMIFS('Enter Invoices'!G:G,'Enter Invoices'!D:D,B317,'Enter Invoices'!J:J,"D")),"")</f>
        <v/>
      </c>
      <c r="H317" s="47" t="str">
        <f t="shared" si="6"/>
        <v/>
      </c>
    </row>
    <row r="318" spans="3:8" s="43" customFormat="1" ht="15" customHeight="1" x14ac:dyDescent="0.25">
      <c r="C318" s="75" t="str">
        <f>IFERROR(VLOOKUP(B318,'Open Invoices'!C:F,4,0),"")</f>
        <v/>
      </c>
      <c r="D318" s="75" t="str">
        <f>IFERROR(IF(OR(B318="",B318="(BLANK)"),"",SUMIFS('Enter Invoices'!G:G,'Enter Invoices'!D:D,B318,'Enter Invoices'!J:J,"A")),"")</f>
        <v/>
      </c>
      <c r="E318" s="75" t="str">
        <f>IFERROR(IF(OR(B318="",B318="(BLANK)"),"",SUMIFS('Enter Invoices'!G:G,'Enter Invoices'!D:D,B318,'Enter Invoices'!J:J,"B")),"")</f>
        <v/>
      </c>
      <c r="F318" s="75" t="str">
        <f>IFERROR(IF(OR(B318="",B318="(BLANK)"),"",SUMIFS('Enter Invoices'!G:G,'Enter Invoices'!D:D,B318,'Enter Invoices'!J:J,"C")),"")</f>
        <v/>
      </c>
      <c r="G318" s="46" t="str">
        <f>IFERROR(IF(OR(B318="",B318="(BLANK)"),"",SUMIFS('Enter Invoices'!G:G,'Enter Invoices'!D:D,B318,'Enter Invoices'!J:J,"D")),"")</f>
        <v/>
      </c>
      <c r="H318" s="47" t="str">
        <f t="shared" si="6"/>
        <v/>
      </c>
    </row>
    <row r="319" spans="3:8" s="43" customFormat="1" ht="15" customHeight="1" x14ac:dyDescent="0.25">
      <c r="C319" s="75" t="str">
        <f>IFERROR(VLOOKUP(B319,'Open Invoices'!C:F,4,0),"")</f>
        <v/>
      </c>
      <c r="D319" s="75" t="str">
        <f>IFERROR(IF(OR(B319="",B319="(BLANK)"),"",SUMIFS('Enter Invoices'!G:G,'Enter Invoices'!D:D,B319,'Enter Invoices'!J:J,"A")),"")</f>
        <v/>
      </c>
      <c r="E319" s="75" t="str">
        <f>IFERROR(IF(OR(B319="",B319="(BLANK)"),"",SUMIFS('Enter Invoices'!G:G,'Enter Invoices'!D:D,B319,'Enter Invoices'!J:J,"B")),"")</f>
        <v/>
      </c>
      <c r="F319" s="75" t="str">
        <f>IFERROR(IF(OR(B319="",B319="(BLANK)"),"",SUMIFS('Enter Invoices'!G:G,'Enter Invoices'!D:D,B319,'Enter Invoices'!J:J,"C")),"")</f>
        <v/>
      </c>
      <c r="G319" s="46" t="str">
        <f>IFERROR(IF(OR(B319="",B319="(BLANK)"),"",SUMIFS('Enter Invoices'!G:G,'Enter Invoices'!D:D,B319,'Enter Invoices'!J:J,"D")),"")</f>
        <v/>
      </c>
      <c r="H319" s="47" t="str">
        <f t="shared" si="6"/>
        <v/>
      </c>
    </row>
    <row r="320" spans="3:8" s="43" customFormat="1" ht="15" customHeight="1" x14ac:dyDescent="0.25">
      <c r="C320" s="75" t="str">
        <f>IFERROR(VLOOKUP(B320,'Open Invoices'!C:F,4,0),"")</f>
        <v/>
      </c>
      <c r="D320" s="75" t="str">
        <f>IFERROR(IF(OR(B320="",B320="(BLANK)"),"",SUMIFS('Enter Invoices'!G:G,'Enter Invoices'!D:D,B320,'Enter Invoices'!J:J,"A")),"")</f>
        <v/>
      </c>
      <c r="E320" s="75" t="str">
        <f>IFERROR(IF(OR(B320="",B320="(BLANK)"),"",SUMIFS('Enter Invoices'!G:G,'Enter Invoices'!D:D,B320,'Enter Invoices'!J:J,"B")),"")</f>
        <v/>
      </c>
      <c r="F320" s="75" t="str">
        <f>IFERROR(IF(OR(B320="",B320="(BLANK)"),"",SUMIFS('Enter Invoices'!G:G,'Enter Invoices'!D:D,B320,'Enter Invoices'!J:J,"C")),"")</f>
        <v/>
      </c>
      <c r="G320" s="46" t="str">
        <f>IFERROR(IF(OR(B320="",B320="(BLANK)"),"",SUMIFS('Enter Invoices'!G:G,'Enter Invoices'!D:D,B320,'Enter Invoices'!J:J,"D")),"")</f>
        <v/>
      </c>
      <c r="H320" s="47" t="str">
        <f t="shared" si="6"/>
        <v/>
      </c>
    </row>
    <row r="321" spans="3:8" s="43" customFormat="1" ht="15" customHeight="1" x14ac:dyDescent="0.25">
      <c r="C321" s="75" t="str">
        <f>IFERROR(VLOOKUP(B321,'Open Invoices'!C:F,4,0),"")</f>
        <v/>
      </c>
      <c r="D321" s="75" t="str">
        <f>IFERROR(IF(OR(B321="",B321="(BLANK)"),"",SUMIFS('Enter Invoices'!G:G,'Enter Invoices'!D:D,B321,'Enter Invoices'!J:J,"A")),"")</f>
        <v/>
      </c>
      <c r="E321" s="75" t="str">
        <f>IFERROR(IF(OR(B321="",B321="(BLANK)"),"",SUMIFS('Enter Invoices'!G:G,'Enter Invoices'!D:D,B321,'Enter Invoices'!J:J,"B")),"")</f>
        <v/>
      </c>
      <c r="F321" s="75" t="str">
        <f>IFERROR(IF(OR(B321="",B321="(BLANK)"),"",SUMIFS('Enter Invoices'!G:G,'Enter Invoices'!D:D,B321,'Enter Invoices'!J:J,"C")),"")</f>
        <v/>
      </c>
      <c r="G321" s="46" t="str">
        <f>IFERROR(IF(OR(B321="",B321="(BLANK)"),"",SUMIFS('Enter Invoices'!G:G,'Enter Invoices'!D:D,B321,'Enter Invoices'!J:J,"D")),"")</f>
        <v/>
      </c>
      <c r="H321" s="47" t="str">
        <f t="shared" si="6"/>
        <v/>
      </c>
    </row>
    <row r="322" spans="3:8" s="43" customFormat="1" ht="15" customHeight="1" x14ac:dyDescent="0.25">
      <c r="C322" s="75" t="str">
        <f>IFERROR(VLOOKUP(B322,'Open Invoices'!C:F,4,0),"")</f>
        <v/>
      </c>
      <c r="D322" s="75" t="str">
        <f>IFERROR(IF(OR(B322="",B322="(BLANK)"),"",SUMIFS('Enter Invoices'!G:G,'Enter Invoices'!D:D,B322,'Enter Invoices'!J:J,"A")),"")</f>
        <v/>
      </c>
      <c r="E322" s="75" t="str">
        <f>IFERROR(IF(OR(B322="",B322="(BLANK)"),"",SUMIFS('Enter Invoices'!G:G,'Enter Invoices'!D:D,B322,'Enter Invoices'!J:J,"B")),"")</f>
        <v/>
      </c>
      <c r="F322" s="75" t="str">
        <f>IFERROR(IF(OR(B322="",B322="(BLANK)"),"",SUMIFS('Enter Invoices'!G:G,'Enter Invoices'!D:D,B322,'Enter Invoices'!J:J,"C")),"")</f>
        <v/>
      </c>
      <c r="G322" s="46" t="str">
        <f>IFERROR(IF(OR(B322="",B322="(BLANK)"),"",SUMIFS('Enter Invoices'!G:G,'Enter Invoices'!D:D,B322,'Enter Invoices'!J:J,"D")),"")</f>
        <v/>
      </c>
      <c r="H322" s="47" t="str">
        <f t="shared" si="6"/>
        <v/>
      </c>
    </row>
    <row r="323" spans="3:8" s="43" customFormat="1" ht="15" customHeight="1" x14ac:dyDescent="0.25">
      <c r="C323" s="75" t="str">
        <f>IFERROR(VLOOKUP(B323,'Open Invoices'!C:F,4,0),"")</f>
        <v/>
      </c>
      <c r="D323" s="75" t="str">
        <f>IFERROR(IF(OR(B323="",B323="(BLANK)"),"",SUMIFS('Enter Invoices'!G:G,'Enter Invoices'!D:D,B323,'Enter Invoices'!J:J,"A")),"")</f>
        <v/>
      </c>
      <c r="E323" s="75" t="str">
        <f>IFERROR(IF(OR(B323="",B323="(BLANK)"),"",SUMIFS('Enter Invoices'!G:G,'Enter Invoices'!D:D,B323,'Enter Invoices'!J:J,"B")),"")</f>
        <v/>
      </c>
      <c r="F323" s="75" t="str">
        <f>IFERROR(IF(OR(B323="",B323="(BLANK)"),"",SUMIFS('Enter Invoices'!G:G,'Enter Invoices'!D:D,B323,'Enter Invoices'!J:J,"C")),"")</f>
        <v/>
      </c>
      <c r="G323" s="46" t="str">
        <f>IFERROR(IF(OR(B323="",B323="(BLANK)"),"",SUMIFS('Enter Invoices'!G:G,'Enter Invoices'!D:D,B323,'Enter Invoices'!J:J,"D")),"")</f>
        <v/>
      </c>
      <c r="H323" s="47" t="str">
        <f t="shared" si="6"/>
        <v/>
      </c>
    </row>
    <row r="324" spans="3:8" s="43" customFormat="1" ht="15" customHeight="1" x14ac:dyDescent="0.25">
      <c r="C324" s="75" t="str">
        <f>IFERROR(VLOOKUP(B324,'Open Invoices'!C:F,4,0),"")</f>
        <v/>
      </c>
      <c r="D324" s="75" t="str">
        <f>IFERROR(IF(OR(B324="",B324="(BLANK)"),"",SUMIFS('Enter Invoices'!G:G,'Enter Invoices'!D:D,B324,'Enter Invoices'!J:J,"A")),"")</f>
        <v/>
      </c>
      <c r="E324" s="75" t="str">
        <f>IFERROR(IF(OR(B324="",B324="(BLANK)"),"",SUMIFS('Enter Invoices'!G:G,'Enter Invoices'!D:D,B324,'Enter Invoices'!J:J,"B")),"")</f>
        <v/>
      </c>
      <c r="F324" s="75" t="str">
        <f>IFERROR(IF(OR(B324="",B324="(BLANK)"),"",SUMIFS('Enter Invoices'!G:G,'Enter Invoices'!D:D,B324,'Enter Invoices'!J:J,"C")),"")</f>
        <v/>
      </c>
      <c r="G324" s="46" t="str">
        <f>IFERROR(IF(OR(B324="",B324="(BLANK)"),"",SUMIFS('Enter Invoices'!G:G,'Enter Invoices'!D:D,B324,'Enter Invoices'!J:J,"D")),"")</f>
        <v/>
      </c>
      <c r="H324" s="47" t="str">
        <f t="shared" si="6"/>
        <v/>
      </c>
    </row>
    <row r="325" spans="3:8" s="43" customFormat="1" ht="15" customHeight="1" x14ac:dyDescent="0.25">
      <c r="C325" s="75" t="str">
        <f>IFERROR(VLOOKUP(B325,'Open Invoices'!C:F,4,0),"")</f>
        <v/>
      </c>
      <c r="D325" s="75" t="str">
        <f>IFERROR(IF(OR(B325="",B325="(BLANK)"),"",SUMIFS('Enter Invoices'!G:G,'Enter Invoices'!D:D,B325,'Enter Invoices'!J:J,"A")),"")</f>
        <v/>
      </c>
      <c r="E325" s="75" t="str">
        <f>IFERROR(IF(OR(B325="",B325="(BLANK)"),"",SUMIFS('Enter Invoices'!G:G,'Enter Invoices'!D:D,B325,'Enter Invoices'!J:J,"B")),"")</f>
        <v/>
      </c>
      <c r="F325" s="75" t="str">
        <f>IFERROR(IF(OR(B325="",B325="(BLANK)"),"",SUMIFS('Enter Invoices'!G:G,'Enter Invoices'!D:D,B325,'Enter Invoices'!J:J,"C")),"")</f>
        <v/>
      </c>
      <c r="G325" s="46" t="str">
        <f>IFERROR(IF(OR(B325="",B325="(BLANK)"),"",SUMIFS('Enter Invoices'!G:G,'Enter Invoices'!D:D,B325,'Enter Invoices'!J:J,"D")),"")</f>
        <v/>
      </c>
      <c r="H325" s="47" t="str">
        <f t="shared" si="6"/>
        <v/>
      </c>
    </row>
    <row r="326" spans="3:8" s="43" customFormat="1" ht="15" customHeight="1" x14ac:dyDescent="0.25">
      <c r="C326" s="75" t="str">
        <f>IFERROR(VLOOKUP(B326,'Open Invoices'!C:F,4,0),"")</f>
        <v/>
      </c>
      <c r="D326" s="75" t="str">
        <f>IFERROR(IF(OR(B326="",B326="(BLANK)"),"",SUMIFS('Enter Invoices'!G:G,'Enter Invoices'!D:D,B326,'Enter Invoices'!J:J,"A")),"")</f>
        <v/>
      </c>
      <c r="E326" s="75" t="str">
        <f>IFERROR(IF(OR(B326="",B326="(BLANK)"),"",SUMIFS('Enter Invoices'!G:G,'Enter Invoices'!D:D,B326,'Enter Invoices'!J:J,"B")),"")</f>
        <v/>
      </c>
      <c r="F326" s="75" t="str">
        <f>IFERROR(IF(OR(B326="",B326="(BLANK)"),"",SUMIFS('Enter Invoices'!G:G,'Enter Invoices'!D:D,B326,'Enter Invoices'!J:J,"C")),"")</f>
        <v/>
      </c>
      <c r="G326" s="46" t="str">
        <f>IFERROR(IF(OR(B326="",B326="(BLANK)"),"",SUMIFS('Enter Invoices'!G:G,'Enter Invoices'!D:D,B326,'Enter Invoices'!J:J,"D")),"")</f>
        <v/>
      </c>
      <c r="H326" s="47" t="str">
        <f t="shared" si="6"/>
        <v/>
      </c>
    </row>
    <row r="327" spans="3:8" s="43" customFormat="1" ht="15" customHeight="1" x14ac:dyDescent="0.25">
      <c r="C327" s="75" t="str">
        <f>IFERROR(VLOOKUP(B327,'Open Invoices'!C:F,4,0),"")</f>
        <v/>
      </c>
      <c r="D327" s="75" t="str">
        <f>IFERROR(IF(OR(B327="",B327="(BLANK)"),"",SUMIFS('Enter Invoices'!G:G,'Enter Invoices'!D:D,B327,'Enter Invoices'!J:J,"A")),"")</f>
        <v/>
      </c>
      <c r="E327" s="75" t="str">
        <f>IFERROR(IF(OR(B327="",B327="(BLANK)"),"",SUMIFS('Enter Invoices'!G:G,'Enter Invoices'!D:D,B327,'Enter Invoices'!J:J,"B")),"")</f>
        <v/>
      </c>
      <c r="F327" s="75" t="str">
        <f>IFERROR(IF(OR(B327="",B327="(BLANK)"),"",SUMIFS('Enter Invoices'!G:G,'Enter Invoices'!D:D,B327,'Enter Invoices'!J:J,"C")),"")</f>
        <v/>
      </c>
      <c r="G327" s="46" t="str">
        <f>IFERROR(IF(OR(B327="",B327="(BLANK)"),"",SUMIFS('Enter Invoices'!G:G,'Enter Invoices'!D:D,B327,'Enter Invoices'!J:J,"D")),"")</f>
        <v/>
      </c>
      <c r="H327" s="47" t="str">
        <f t="shared" si="6"/>
        <v/>
      </c>
    </row>
    <row r="328" spans="3:8" s="43" customFormat="1" ht="15" customHeight="1" x14ac:dyDescent="0.25">
      <c r="C328" s="75" t="str">
        <f>IFERROR(VLOOKUP(B328,'Open Invoices'!C:F,4,0),"")</f>
        <v/>
      </c>
      <c r="D328" s="75" t="str">
        <f>IFERROR(IF(OR(B328="",B328="(BLANK)"),"",SUMIFS('Enter Invoices'!G:G,'Enter Invoices'!D:D,B328,'Enter Invoices'!J:J,"A")),"")</f>
        <v/>
      </c>
      <c r="E328" s="75" t="str">
        <f>IFERROR(IF(OR(B328="",B328="(BLANK)"),"",SUMIFS('Enter Invoices'!G:G,'Enter Invoices'!D:D,B328,'Enter Invoices'!J:J,"B")),"")</f>
        <v/>
      </c>
      <c r="F328" s="75" t="str">
        <f>IFERROR(IF(OR(B328="",B328="(BLANK)"),"",SUMIFS('Enter Invoices'!G:G,'Enter Invoices'!D:D,B328,'Enter Invoices'!J:J,"C")),"")</f>
        <v/>
      </c>
      <c r="G328" s="46" t="str">
        <f>IFERROR(IF(OR(B328="",B328="(BLANK)"),"",SUMIFS('Enter Invoices'!G:G,'Enter Invoices'!D:D,B328,'Enter Invoices'!J:J,"D")),"")</f>
        <v/>
      </c>
      <c r="H328" s="47" t="str">
        <f t="shared" ref="H328:H391" si="7">IF(COUNT(D328:G328)=0,"",SUM(D328:G328))</f>
        <v/>
      </c>
    </row>
    <row r="329" spans="3:8" s="43" customFormat="1" ht="15" customHeight="1" x14ac:dyDescent="0.25">
      <c r="C329" s="75" t="str">
        <f>IFERROR(VLOOKUP(B329,'Open Invoices'!C:F,4,0),"")</f>
        <v/>
      </c>
      <c r="D329" s="75" t="str">
        <f>IFERROR(IF(OR(B329="",B329="(BLANK)"),"",SUMIFS('Enter Invoices'!G:G,'Enter Invoices'!D:D,B329,'Enter Invoices'!J:J,"A")),"")</f>
        <v/>
      </c>
      <c r="E329" s="75" t="str">
        <f>IFERROR(IF(OR(B329="",B329="(BLANK)"),"",SUMIFS('Enter Invoices'!G:G,'Enter Invoices'!D:D,B329,'Enter Invoices'!J:J,"B")),"")</f>
        <v/>
      </c>
      <c r="F329" s="75" t="str">
        <f>IFERROR(IF(OR(B329="",B329="(BLANK)"),"",SUMIFS('Enter Invoices'!G:G,'Enter Invoices'!D:D,B329,'Enter Invoices'!J:J,"C")),"")</f>
        <v/>
      </c>
      <c r="G329" s="46" t="str">
        <f>IFERROR(IF(OR(B329="",B329="(BLANK)"),"",SUMIFS('Enter Invoices'!G:G,'Enter Invoices'!D:D,B329,'Enter Invoices'!J:J,"D")),"")</f>
        <v/>
      </c>
      <c r="H329" s="47" t="str">
        <f t="shared" si="7"/>
        <v/>
      </c>
    </row>
    <row r="330" spans="3:8" s="43" customFormat="1" ht="15" customHeight="1" x14ac:dyDescent="0.25">
      <c r="C330" s="75" t="str">
        <f>IFERROR(VLOOKUP(B330,'Open Invoices'!C:F,4,0),"")</f>
        <v/>
      </c>
      <c r="D330" s="75" t="str">
        <f>IFERROR(IF(OR(B330="",B330="(BLANK)"),"",SUMIFS('Enter Invoices'!G:G,'Enter Invoices'!D:D,B330,'Enter Invoices'!J:J,"A")),"")</f>
        <v/>
      </c>
      <c r="E330" s="75" t="str">
        <f>IFERROR(IF(OR(B330="",B330="(BLANK)"),"",SUMIFS('Enter Invoices'!G:G,'Enter Invoices'!D:D,B330,'Enter Invoices'!J:J,"B")),"")</f>
        <v/>
      </c>
      <c r="F330" s="75" t="str">
        <f>IFERROR(IF(OR(B330="",B330="(BLANK)"),"",SUMIFS('Enter Invoices'!G:G,'Enter Invoices'!D:D,B330,'Enter Invoices'!J:J,"C")),"")</f>
        <v/>
      </c>
      <c r="G330" s="46" t="str">
        <f>IFERROR(IF(OR(B330="",B330="(BLANK)"),"",SUMIFS('Enter Invoices'!G:G,'Enter Invoices'!D:D,B330,'Enter Invoices'!J:J,"D")),"")</f>
        <v/>
      </c>
      <c r="H330" s="47" t="str">
        <f t="shared" si="7"/>
        <v/>
      </c>
    </row>
    <row r="331" spans="3:8" s="43" customFormat="1" ht="15" customHeight="1" x14ac:dyDescent="0.25">
      <c r="C331" s="75" t="str">
        <f>IFERROR(VLOOKUP(B331,'Open Invoices'!C:F,4,0),"")</f>
        <v/>
      </c>
      <c r="D331" s="75" t="str">
        <f>IFERROR(IF(OR(B331="",B331="(BLANK)"),"",SUMIFS('Enter Invoices'!G:G,'Enter Invoices'!D:D,B331,'Enter Invoices'!J:J,"A")),"")</f>
        <v/>
      </c>
      <c r="E331" s="75" t="str">
        <f>IFERROR(IF(OR(B331="",B331="(BLANK)"),"",SUMIFS('Enter Invoices'!G:G,'Enter Invoices'!D:D,B331,'Enter Invoices'!J:J,"B")),"")</f>
        <v/>
      </c>
      <c r="F331" s="75" t="str">
        <f>IFERROR(IF(OR(B331="",B331="(BLANK)"),"",SUMIFS('Enter Invoices'!G:G,'Enter Invoices'!D:D,B331,'Enter Invoices'!J:J,"C")),"")</f>
        <v/>
      </c>
      <c r="G331" s="46" t="str">
        <f>IFERROR(IF(OR(B331="",B331="(BLANK)"),"",SUMIFS('Enter Invoices'!G:G,'Enter Invoices'!D:D,B331,'Enter Invoices'!J:J,"D")),"")</f>
        <v/>
      </c>
      <c r="H331" s="47" t="str">
        <f t="shared" si="7"/>
        <v/>
      </c>
    </row>
    <row r="332" spans="3:8" s="43" customFormat="1" ht="15" customHeight="1" x14ac:dyDescent="0.25">
      <c r="C332" s="75" t="str">
        <f>IFERROR(VLOOKUP(B332,'Open Invoices'!C:F,4,0),"")</f>
        <v/>
      </c>
      <c r="D332" s="75" t="str">
        <f>IFERROR(IF(OR(B332="",B332="(BLANK)"),"",SUMIFS('Enter Invoices'!G:G,'Enter Invoices'!D:D,B332,'Enter Invoices'!J:J,"A")),"")</f>
        <v/>
      </c>
      <c r="E332" s="75" t="str">
        <f>IFERROR(IF(OR(B332="",B332="(BLANK)"),"",SUMIFS('Enter Invoices'!G:G,'Enter Invoices'!D:D,B332,'Enter Invoices'!J:J,"B")),"")</f>
        <v/>
      </c>
      <c r="F332" s="75" t="str">
        <f>IFERROR(IF(OR(B332="",B332="(BLANK)"),"",SUMIFS('Enter Invoices'!G:G,'Enter Invoices'!D:D,B332,'Enter Invoices'!J:J,"C")),"")</f>
        <v/>
      </c>
      <c r="G332" s="46" t="str">
        <f>IFERROR(IF(OR(B332="",B332="(BLANK)"),"",SUMIFS('Enter Invoices'!G:G,'Enter Invoices'!D:D,B332,'Enter Invoices'!J:J,"D")),"")</f>
        <v/>
      </c>
      <c r="H332" s="47" t="str">
        <f t="shared" si="7"/>
        <v/>
      </c>
    </row>
    <row r="333" spans="3:8" s="43" customFormat="1" ht="15" customHeight="1" x14ac:dyDescent="0.25">
      <c r="C333" s="75" t="str">
        <f>IFERROR(VLOOKUP(B333,'Open Invoices'!C:F,4,0),"")</f>
        <v/>
      </c>
      <c r="D333" s="75" t="str">
        <f>IFERROR(IF(OR(B333="",B333="(BLANK)"),"",SUMIFS('Enter Invoices'!G:G,'Enter Invoices'!D:D,B333,'Enter Invoices'!J:J,"A")),"")</f>
        <v/>
      </c>
      <c r="E333" s="75" t="str">
        <f>IFERROR(IF(OR(B333="",B333="(BLANK)"),"",SUMIFS('Enter Invoices'!G:G,'Enter Invoices'!D:D,B333,'Enter Invoices'!J:J,"B")),"")</f>
        <v/>
      </c>
      <c r="F333" s="75" t="str">
        <f>IFERROR(IF(OR(B333="",B333="(BLANK)"),"",SUMIFS('Enter Invoices'!G:G,'Enter Invoices'!D:D,B333,'Enter Invoices'!J:J,"C")),"")</f>
        <v/>
      </c>
      <c r="G333" s="46" t="str">
        <f>IFERROR(IF(OR(B333="",B333="(BLANK)"),"",SUMIFS('Enter Invoices'!G:G,'Enter Invoices'!D:D,B333,'Enter Invoices'!J:J,"D")),"")</f>
        <v/>
      </c>
      <c r="H333" s="47" t="str">
        <f t="shared" si="7"/>
        <v/>
      </c>
    </row>
    <row r="334" spans="3:8" s="43" customFormat="1" ht="15" customHeight="1" x14ac:dyDescent="0.25">
      <c r="C334" s="75" t="str">
        <f>IFERROR(VLOOKUP(B334,'Open Invoices'!C:F,4,0),"")</f>
        <v/>
      </c>
      <c r="D334" s="75" t="str">
        <f>IFERROR(IF(OR(B334="",B334="(BLANK)"),"",SUMIFS('Enter Invoices'!G:G,'Enter Invoices'!D:D,B334,'Enter Invoices'!J:J,"A")),"")</f>
        <v/>
      </c>
      <c r="E334" s="75" t="str">
        <f>IFERROR(IF(OR(B334="",B334="(BLANK)"),"",SUMIFS('Enter Invoices'!G:G,'Enter Invoices'!D:D,B334,'Enter Invoices'!J:J,"B")),"")</f>
        <v/>
      </c>
      <c r="F334" s="75" t="str">
        <f>IFERROR(IF(OR(B334="",B334="(BLANK)"),"",SUMIFS('Enter Invoices'!G:G,'Enter Invoices'!D:D,B334,'Enter Invoices'!J:J,"C")),"")</f>
        <v/>
      </c>
      <c r="G334" s="46" t="str">
        <f>IFERROR(IF(OR(B334="",B334="(BLANK)"),"",SUMIFS('Enter Invoices'!G:G,'Enter Invoices'!D:D,B334,'Enter Invoices'!J:J,"D")),"")</f>
        <v/>
      </c>
      <c r="H334" s="47" t="str">
        <f t="shared" si="7"/>
        <v/>
      </c>
    </row>
    <row r="335" spans="3:8" s="43" customFormat="1" ht="15" customHeight="1" x14ac:dyDescent="0.25">
      <c r="C335" s="75" t="str">
        <f>IFERROR(VLOOKUP(B335,'Open Invoices'!C:F,4,0),"")</f>
        <v/>
      </c>
      <c r="D335" s="75" t="str">
        <f>IFERROR(IF(OR(B335="",B335="(BLANK)"),"",SUMIFS('Enter Invoices'!G:G,'Enter Invoices'!D:D,B335,'Enter Invoices'!J:J,"A")),"")</f>
        <v/>
      </c>
      <c r="E335" s="75" t="str">
        <f>IFERROR(IF(OR(B335="",B335="(BLANK)"),"",SUMIFS('Enter Invoices'!G:G,'Enter Invoices'!D:D,B335,'Enter Invoices'!J:J,"B")),"")</f>
        <v/>
      </c>
      <c r="F335" s="75" t="str">
        <f>IFERROR(IF(OR(B335="",B335="(BLANK)"),"",SUMIFS('Enter Invoices'!G:G,'Enter Invoices'!D:D,B335,'Enter Invoices'!J:J,"C")),"")</f>
        <v/>
      </c>
      <c r="G335" s="46" t="str">
        <f>IFERROR(IF(OR(B335="",B335="(BLANK)"),"",SUMIFS('Enter Invoices'!G:G,'Enter Invoices'!D:D,B335,'Enter Invoices'!J:J,"D")),"")</f>
        <v/>
      </c>
      <c r="H335" s="47" t="str">
        <f t="shared" si="7"/>
        <v/>
      </c>
    </row>
    <row r="336" spans="3:8" s="43" customFormat="1" ht="15" customHeight="1" x14ac:dyDescent="0.25">
      <c r="C336" s="75" t="str">
        <f>IFERROR(VLOOKUP(B336,'Open Invoices'!C:F,4,0),"")</f>
        <v/>
      </c>
      <c r="D336" s="75" t="str">
        <f>IFERROR(IF(OR(B336="",B336="(BLANK)"),"",SUMIFS('Enter Invoices'!G:G,'Enter Invoices'!D:D,B336,'Enter Invoices'!J:J,"A")),"")</f>
        <v/>
      </c>
      <c r="E336" s="75" t="str">
        <f>IFERROR(IF(OR(B336="",B336="(BLANK)"),"",SUMIFS('Enter Invoices'!G:G,'Enter Invoices'!D:D,B336,'Enter Invoices'!J:J,"B")),"")</f>
        <v/>
      </c>
      <c r="F336" s="75" t="str">
        <f>IFERROR(IF(OR(B336="",B336="(BLANK)"),"",SUMIFS('Enter Invoices'!G:G,'Enter Invoices'!D:D,B336,'Enter Invoices'!J:J,"C")),"")</f>
        <v/>
      </c>
      <c r="G336" s="46" t="str">
        <f>IFERROR(IF(OR(B336="",B336="(BLANK)"),"",SUMIFS('Enter Invoices'!G:G,'Enter Invoices'!D:D,B336,'Enter Invoices'!J:J,"D")),"")</f>
        <v/>
      </c>
      <c r="H336" s="47" t="str">
        <f t="shared" si="7"/>
        <v/>
      </c>
    </row>
    <row r="337" spans="3:8" s="43" customFormat="1" ht="15" customHeight="1" x14ac:dyDescent="0.25">
      <c r="C337" s="75" t="str">
        <f>IFERROR(VLOOKUP(B337,'Open Invoices'!C:F,4,0),"")</f>
        <v/>
      </c>
      <c r="D337" s="75" t="str">
        <f>IFERROR(IF(OR(B337="",B337="(BLANK)"),"",SUMIFS('Enter Invoices'!G:G,'Enter Invoices'!D:D,B337,'Enter Invoices'!J:J,"A")),"")</f>
        <v/>
      </c>
      <c r="E337" s="75" t="str">
        <f>IFERROR(IF(OR(B337="",B337="(BLANK)"),"",SUMIFS('Enter Invoices'!G:G,'Enter Invoices'!D:D,B337,'Enter Invoices'!J:J,"B")),"")</f>
        <v/>
      </c>
      <c r="F337" s="75" t="str">
        <f>IFERROR(IF(OR(B337="",B337="(BLANK)"),"",SUMIFS('Enter Invoices'!G:G,'Enter Invoices'!D:D,B337,'Enter Invoices'!J:J,"C")),"")</f>
        <v/>
      </c>
      <c r="G337" s="46" t="str">
        <f>IFERROR(IF(OR(B337="",B337="(BLANK)"),"",SUMIFS('Enter Invoices'!G:G,'Enter Invoices'!D:D,B337,'Enter Invoices'!J:J,"D")),"")</f>
        <v/>
      </c>
      <c r="H337" s="47" t="str">
        <f t="shared" si="7"/>
        <v/>
      </c>
    </row>
    <row r="338" spans="3:8" s="43" customFormat="1" ht="15" customHeight="1" x14ac:dyDescent="0.25">
      <c r="C338" s="75" t="str">
        <f>IFERROR(VLOOKUP(B338,'Open Invoices'!C:F,4,0),"")</f>
        <v/>
      </c>
      <c r="D338" s="75" t="str">
        <f>IFERROR(IF(OR(B338="",B338="(BLANK)"),"",SUMIFS('Enter Invoices'!G:G,'Enter Invoices'!D:D,B338,'Enter Invoices'!J:J,"A")),"")</f>
        <v/>
      </c>
      <c r="E338" s="75" t="str">
        <f>IFERROR(IF(OR(B338="",B338="(BLANK)"),"",SUMIFS('Enter Invoices'!G:G,'Enter Invoices'!D:D,B338,'Enter Invoices'!J:J,"B")),"")</f>
        <v/>
      </c>
      <c r="F338" s="75" t="str">
        <f>IFERROR(IF(OR(B338="",B338="(BLANK)"),"",SUMIFS('Enter Invoices'!G:G,'Enter Invoices'!D:D,B338,'Enter Invoices'!J:J,"C")),"")</f>
        <v/>
      </c>
      <c r="G338" s="46" t="str">
        <f>IFERROR(IF(OR(B338="",B338="(BLANK)"),"",SUMIFS('Enter Invoices'!G:G,'Enter Invoices'!D:D,B338,'Enter Invoices'!J:J,"D")),"")</f>
        <v/>
      </c>
      <c r="H338" s="47" t="str">
        <f t="shared" si="7"/>
        <v/>
      </c>
    </row>
    <row r="339" spans="3:8" s="43" customFormat="1" ht="15" customHeight="1" x14ac:dyDescent="0.25">
      <c r="C339" s="75" t="str">
        <f>IFERROR(VLOOKUP(B339,'Open Invoices'!C:F,4,0),"")</f>
        <v/>
      </c>
      <c r="D339" s="75" t="str">
        <f>IFERROR(IF(OR(B339="",B339="(BLANK)"),"",SUMIFS('Enter Invoices'!G:G,'Enter Invoices'!D:D,B339,'Enter Invoices'!J:J,"A")),"")</f>
        <v/>
      </c>
      <c r="E339" s="75" t="str">
        <f>IFERROR(IF(OR(B339="",B339="(BLANK)"),"",SUMIFS('Enter Invoices'!G:G,'Enter Invoices'!D:D,B339,'Enter Invoices'!J:J,"B")),"")</f>
        <v/>
      </c>
      <c r="F339" s="75" t="str">
        <f>IFERROR(IF(OR(B339="",B339="(BLANK)"),"",SUMIFS('Enter Invoices'!G:G,'Enter Invoices'!D:D,B339,'Enter Invoices'!J:J,"C")),"")</f>
        <v/>
      </c>
      <c r="G339" s="46" t="str">
        <f>IFERROR(IF(OR(B339="",B339="(BLANK)"),"",SUMIFS('Enter Invoices'!G:G,'Enter Invoices'!D:D,B339,'Enter Invoices'!J:J,"D")),"")</f>
        <v/>
      </c>
      <c r="H339" s="47" t="str">
        <f t="shared" si="7"/>
        <v/>
      </c>
    </row>
    <row r="340" spans="3:8" s="43" customFormat="1" ht="15" customHeight="1" x14ac:dyDescent="0.25">
      <c r="C340" s="75" t="str">
        <f>IFERROR(VLOOKUP(B340,'Open Invoices'!C:F,4,0),"")</f>
        <v/>
      </c>
      <c r="D340" s="75" t="str">
        <f>IFERROR(IF(OR(B340="",B340="(BLANK)"),"",SUMIFS('Enter Invoices'!G:G,'Enter Invoices'!D:D,B340,'Enter Invoices'!J:J,"A")),"")</f>
        <v/>
      </c>
      <c r="E340" s="75" t="str">
        <f>IFERROR(IF(OR(B340="",B340="(BLANK)"),"",SUMIFS('Enter Invoices'!G:G,'Enter Invoices'!D:D,B340,'Enter Invoices'!J:J,"B")),"")</f>
        <v/>
      </c>
      <c r="F340" s="75" t="str">
        <f>IFERROR(IF(OR(B340="",B340="(BLANK)"),"",SUMIFS('Enter Invoices'!G:G,'Enter Invoices'!D:D,B340,'Enter Invoices'!J:J,"C")),"")</f>
        <v/>
      </c>
      <c r="G340" s="46" t="str">
        <f>IFERROR(IF(OR(B340="",B340="(BLANK)"),"",SUMIFS('Enter Invoices'!G:G,'Enter Invoices'!D:D,B340,'Enter Invoices'!J:J,"D")),"")</f>
        <v/>
      </c>
      <c r="H340" s="47" t="str">
        <f t="shared" si="7"/>
        <v/>
      </c>
    </row>
    <row r="341" spans="3:8" s="43" customFormat="1" ht="15" customHeight="1" x14ac:dyDescent="0.25">
      <c r="C341" s="75" t="str">
        <f>IFERROR(VLOOKUP(B341,'Open Invoices'!C:F,4,0),"")</f>
        <v/>
      </c>
      <c r="D341" s="75" t="str">
        <f>IFERROR(IF(OR(B341="",B341="(BLANK)"),"",SUMIFS('Enter Invoices'!G:G,'Enter Invoices'!D:D,B341,'Enter Invoices'!J:J,"A")),"")</f>
        <v/>
      </c>
      <c r="E341" s="75" t="str">
        <f>IFERROR(IF(OR(B341="",B341="(BLANK)"),"",SUMIFS('Enter Invoices'!G:G,'Enter Invoices'!D:D,B341,'Enter Invoices'!J:J,"B")),"")</f>
        <v/>
      </c>
      <c r="F341" s="75" t="str">
        <f>IFERROR(IF(OR(B341="",B341="(BLANK)"),"",SUMIFS('Enter Invoices'!G:G,'Enter Invoices'!D:D,B341,'Enter Invoices'!J:J,"C")),"")</f>
        <v/>
      </c>
      <c r="G341" s="46" t="str">
        <f>IFERROR(IF(OR(B341="",B341="(BLANK)"),"",SUMIFS('Enter Invoices'!G:G,'Enter Invoices'!D:D,B341,'Enter Invoices'!J:J,"D")),"")</f>
        <v/>
      </c>
      <c r="H341" s="47" t="str">
        <f t="shared" si="7"/>
        <v/>
      </c>
    </row>
    <row r="342" spans="3:8" s="43" customFormat="1" ht="15" customHeight="1" x14ac:dyDescent="0.25">
      <c r="C342" s="75" t="str">
        <f>IFERROR(VLOOKUP(B342,'Open Invoices'!C:F,4,0),"")</f>
        <v/>
      </c>
      <c r="D342" s="75" t="str">
        <f>IFERROR(IF(OR(B342="",B342="(BLANK)"),"",SUMIFS('Enter Invoices'!G:G,'Enter Invoices'!D:D,B342,'Enter Invoices'!J:J,"A")),"")</f>
        <v/>
      </c>
      <c r="E342" s="75" t="str">
        <f>IFERROR(IF(OR(B342="",B342="(BLANK)"),"",SUMIFS('Enter Invoices'!G:G,'Enter Invoices'!D:D,B342,'Enter Invoices'!J:J,"B")),"")</f>
        <v/>
      </c>
      <c r="F342" s="75" t="str">
        <f>IFERROR(IF(OR(B342="",B342="(BLANK)"),"",SUMIFS('Enter Invoices'!G:G,'Enter Invoices'!D:D,B342,'Enter Invoices'!J:J,"C")),"")</f>
        <v/>
      </c>
      <c r="G342" s="46" t="str">
        <f>IFERROR(IF(OR(B342="",B342="(BLANK)"),"",SUMIFS('Enter Invoices'!G:G,'Enter Invoices'!D:D,B342,'Enter Invoices'!J:J,"D")),"")</f>
        <v/>
      </c>
      <c r="H342" s="47" t="str">
        <f t="shared" si="7"/>
        <v/>
      </c>
    </row>
    <row r="343" spans="3:8" s="43" customFormat="1" ht="15" customHeight="1" x14ac:dyDescent="0.25">
      <c r="C343" s="75" t="str">
        <f>IFERROR(VLOOKUP(B343,'Open Invoices'!C:F,4,0),"")</f>
        <v/>
      </c>
      <c r="D343" s="75" t="str">
        <f>IFERROR(IF(OR(B343="",B343="(BLANK)"),"",SUMIFS('Enter Invoices'!G:G,'Enter Invoices'!D:D,B343,'Enter Invoices'!J:J,"A")),"")</f>
        <v/>
      </c>
      <c r="E343" s="75" t="str">
        <f>IFERROR(IF(OR(B343="",B343="(BLANK)"),"",SUMIFS('Enter Invoices'!G:G,'Enter Invoices'!D:D,B343,'Enter Invoices'!J:J,"B")),"")</f>
        <v/>
      </c>
      <c r="F343" s="75" t="str">
        <f>IFERROR(IF(OR(B343="",B343="(BLANK)"),"",SUMIFS('Enter Invoices'!G:G,'Enter Invoices'!D:D,B343,'Enter Invoices'!J:J,"C")),"")</f>
        <v/>
      </c>
      <c r="G343" s="46" t="str">
        <f>IFERROR(IF(OR(B343="",B343="(BLANK)"),"",SUMIFS('Enter Invoices'!G:G,'Enter Invoices'!D:D,B343,'Enter Invoices'!J:J,"D")),"")</f>
        <v/>
      </c>
      <c r="H343" s="47" t="str">
        <f t="shared" si="7"/>
        <v/>
      </c>
    </row>
    <row r="344" spans="3:8" s="43" customFormat="1" ht="15" customHeight="1" x14ac:dyDescent="0.25">
      <c r="C344" s="75" t="str">
        <f>IFERROR(VLOOKUP(B344,'Open Invoices'!C:F,4,0),"")</f>
        <v/>
      </c>
      <c r="D344" s="75" t="str">
        <f>IFERROR(IF(OR(B344="",B344="(BLANK)"),"",SUMIFS('Enter Invoices'!G:G,'Enter Invoices'!D:D,B344,'Enter Invoices'!J:J,"A")),"")</f>
        <v/>
      </c>
      <c r="E344" s="75" t="str">
        <f>IFERROR(IF(OR(B344="",B344="(BLANK)"),"",SUMIFS('Enter Invoices'!G:G,'Enter Invoices'!D:D,B344,'Enter Invoices'!J:J,"B")),"")</f>
        <v/>
      </c>
      <c r="F344" s="75" t="str">
        <f>IFERROR(IF(OR(B344="",B344="(BLANK)"),"",SUMIFS('Enter Invoices'!G:G,'Enter Invoices'!D:D,B344,'Enter Invoices'!J:J,"C")),"")</f>
        <v/>
      </c>
      <c r="G344" s="46" t="str">
        <f>IFERROR(IF(OR(B344="",B344="(BLANK)"),"",SUMIFS('Enter Invoices'!G:G,'Enter Invoices'!D:D,B344,'Enter Invoices'!J:J,"D")),"")</f>
        <v/>
      </c>
      <c r="H344" s="47" t="str">
        <f t="shared" si="7"/>
        <v/>
      </c>
    </row>
    <row r="345" spans="3:8" s="43" customFormat="1" ht="15" customHeight="1" x14ac:dyDescent="0.25">
      <c r="C345" s="75" t="str">
        <f>IFERROR(VLOOKUP(B345,'Open Invoices'!C:F,4,0),"")</f>
        <v/>
      </c>
      <c r="D345" s="75" t="str">
        <f>IFERROR(IF(OR(B345="",B345="(BLANK)"),"",SUMIFS('Enter Invoices'!G:G,'Enter Invoices'!D:D,B345,'Enter Invoices'!J:J,"A")),"")</f>
        <v/>
      </c>
      <c r="E345" s="75" t="str">
        <f>IFERROR(IF(OR(B345="",B345="(BLANK)"),"",SUMIFS('Enter Invoices'!G:G,'Enter Invoices'!D:D,B345,'Enter Invoices'!J:J,"B")),"")</f>
        <v/>
      </c>
      <c r="F345" s="75" t="str">
        <f>IFERROR(IF(OR(B345="",B345="(BLANK)"),"",SUMIFS('Enter Invoices'!G:G,'Enter Invoices'!D:D,B345,'Enter Invoices'!J:J,"C")),"")</f>
        <v/>
      </c>
      <c r="G345" s="46" t="str">
        <f>IFERROR(IF(OR(B345="",B345="(BLANK)"),"",SUMIFS('Enter Invoices'!G:G,'Enter Invoices'!D:D,B345,'Enter Invoices'!J:J,"D")),"")</f>
        <v/>
      </c>
      <c r="H345" s="47" t="str">
        <f t="shared" si="7"/>
        <v/>
      </c>
    </row>
    <row r="346" spans="3:8" s="43" customFormat="1" ht="15" customHeight="1" x14ac:dyDescent="0.25">
      <c r="C346" s="75" t="str">
        <f>IFERROR(VLOOKUP(B346,'Open Invoices'!C:F,4,0),"")</f>
        <v/>
      </c>
      <c r="D346" s="75" t="str">
        <f>IFERROR(IF(OR(B346="",B346="(BLANK)"),"",SUMIFS('Enter Invoices'!G:G,'Enter Invoices'!D:D,B346,'Enter Invoices'!J:J,"A")),"")</f>
        <v/>
      </c>
      <c r="E346" s="75" t="str">
        <f>IFERROR(IF(OR(B346="",B346="(BLANK)"),"",SUMIFS('Enter Invoices'!G:G,'Enter Invoices'!D:D,B346,'Enter Invoices'!J:J,"B")),"")</f>
        <v/>
      </c>
      <c r="F346" s="75" t="str">
        <f>IFERROR(IF(OR(B346="",B346="(BLANK)"),"",SUMIFS('Enter Invoices'!G:G,'Enter Invoices'!D:D,B346,'Enter Invoices'!J:J,"C")),"")</f>
        <v/>
      </c>
      <c r="G346" s="46" t="str">
        <f>IFERROR(IF(OR(B346="",B346="(BLANK)"),"",SUMIFS('Enter Invoices'!G:G,'Enter Invoices'!D:D,B346,'Enter Invoices'!J:J,"D")),"")</f>
        <v/>
      </c>
      <c r="H346" s="47" t="str">
        <f t="shared" si="7"/>
        <v/>
      </c>
    </row>
    <row r="347" spans="3:8" s="43" customFormat="1" ht="15" customHeight="1" x14ac:dyDescent="0.25">
      <c r="C347" s="75" t="str">
        <f>IFERROR(VLOOKUP(B347,'Open Invoices'!C:F,4,0),"")</f>
        <v/>
      </c>
      <c r="D347" s="75" t="str">
        <f>IFERROR(IF(OR(B347="",B347="(BLANK)"),"",SUMIFS('Enter Invoices'!G:G,'Enter Invoices'!D:D,B347,'Enter Invoices'!J:J,"A")),"")</f>
        <v/>
      </c>
      <c r="E347" s="75" t="str">
        <f>IFERROR(IF(OR(B347="",B347="(BLANK)"),"",SUMIFS('Enter Invoices'!G:G,'Enter Invoices'!D:D,B347,'Enter Invoices'!J:J,"B")),"")</f>
        <v/>
      </c>
      <c r="F347" s="75" t="str">
        <f>IFERROR(IF(OR(B347="",B347="(BLANK)"),"",SUMIFS('Enter Invoices'!G:G,'Enter Invoices'!D:D,B347,'Enter Invoices'!J:J,"C")),"")</f>
        <v/>
      </c>
      <c r="G347" s="46" t="str">
        <f>IFERROR(IF(OR(B347="",B347="(BLANK)"),"",SUMIFS('Enter Invoices'!G:G,'Enter Invoices'!D:D,B347,'Enter Invoices'!J:J,"D")),"")</f>
        <v/>
      </c>
      <c r="H347" s="47" t="str">
        <f t="shared" si="7"/>
        <v/>
      </c>
    </row>
    <row r="348" spans="3:8" s="43" customFormat="1" ht="15" customHeight="1" x14ac:dyDescent="0.25">
      <c r="C348" s="75" t="str">
        <f>IFERROR(VLOOKUP(B348,'Open Invoices'!C:F,4,0),"")</f>
        <v/>
      </c>
      <c r="D348" s="75" t="str">
        <f>IFERROR(IF(OR(B348="",B348="(BLANK)"),"",SUMIFS('Enter Invoices'!G:G,'Enter Invoices'!D:D,B348,'Enter Invoices'!J:J,"A")),"")</f>
        <v/>
      </c>
      <c r="E348" s="75" t="str">
        <f>IFERROR(IF(OR(B348="",B348="(BLANK)"),"",SUMIFS('Enter Invoices'!G:G,'Enter Invoices'!D:D,B348,'Enter Invoices'!J:J,"B")),"")</f>
        <v/>
      </c>
      <c r="F348" s="75" t="str">
        <f>IFERROR(IF(OR(B348="",B348="(BLANK)"),"",SUMIFS('Enter Invoices'!G:G,'Enter Invoices'!D:D,B348,'Enter Invoices'!J:J,"C")),"")</f>
        <v/>
      </c>
      <c r="G348" s="46" t="str">
        <f>IFERROR(IF(OR(B348="",B348="(BLANK)"),"",SUMIFS('Enter Invoices'!G:G,'Enter Invoices'!D:D,B348,'Enter Invoices'!J:J,"D")),"")</f>
        <v/>
      </c>
      <c r="H348" s="47" t="str">
        <f t="shared" si="7"/>
        <v/>
      </c>
    </row>
    <row r="349" spans="3:8" s="43" customFormat="1" ht="15" customHeight="1" x14ac:dyDescent="0.25">
      <c r="C349" s="75" t="str">
        <f>IFERROR(VLOOKUP(B349,'Open Invoices'!C:F,4,0),"")</f>
        <v/>
      </c>
      <c r="D349" s="75" t="str">
        <f>IFERROR(IF(OR(B349="",B349="(BLANK)"),"",SUMIFS('Enter Invoices'!G:G,'Enter Invoices'!D:D,B349,'Enter Invoices'!J:J,"A")),"")</f>
        <v/>
      </c>
      <c r="E349" s="75" t="str">
        <f>IFERROR(IF(OR(B349="",B349="(BLANK)"),"",SUMIFS('Enter Invoices'!G:G,'Enter Invoices'!D:D,B349,'Enter Invoices'!J:J,"B")),"")</f>
        <v/>
      </c>
      <c r="F349" s="75" t="str">
        <f>IFERROR(IF(OR(B349="",B349="(BLANK)"),"",SUMIFS('Enter Invoices'!G:G,'Enter Invoices'!D:D,B349,'Enter Invoices'!J:J,"C")),"")</f>
        <v/>
      </c>
      <c r="G349" s="46" t="str">
        <f>IFERROR(IF(OR(B349="",B349="(BLANK)"),"",SUMIFS('Enter Invoices'!G:G,'Enter Invoices'!D:D,B349,'Enter Invoices'!J:J,"D")),"")</f>
        <v/>
      </c>
      <c r="H349" s="47" t="str">
        <f t="shared" si="7"/>
        <v/>
      </c>
    </row>
    <row r="350" spans="3:8" s="43" customFormat="1" ht="15" customHeight="1" x14ac:dyDescent="0.25">
      <c r="C350" s="75" t="str">
        <f>IFERROR(VLOOKUP(B350,'Open Invoices'!C:F,4,0),"")</f>
        <v/>
      </c>
      <c r="D350" s="75" t="str">
        <f>IFERROR(IF(OR(B350="",B350="(BLANK)"),"",SUMIFS('Enter Invoices'!G:G,'Enter Invoices'!D:D,B350,'Enter Invoices'!J:J,"A")),"")</f>
        <v/>
      </c>
      <c r="E350" s="75" t="str">
        <f>IFERROR(IF(OR(B350="",B350="(BLANK)"),"",SUMIFS('Enter Invoices'!G:G,'Enter Invoices'!D:D,B350,'Enter Invoices'!J:J,"B")),"")</f>
        <v/>
      </c>
      <c r="F350" s="75" t="str">
        <f>IFERROR(IF(OR(B350="",B350="(BLANK)"),"",SUMIFS('Enter Invoices'!G:G,'Enter Invoices'!D:D,B350,'Enter Invoices'!J:J,"C")),"")</f>
        <v/>
      </c>
      <c r="G350" s="46" t="str">
        <f>IFERROR(IF(OR(B350="",B350="(BLANK)"),"",SUMIFS('Enter Invoices'!G:G,'Enter Invoices'!D:D,B350,'Enter Invoices'!J:J,"D")),"")</f>
        <v/>
      </c>
      <c r="H350" s="47" t="str">
        <f t="shared" si="7"/>
        <v/>
      </c>
    </row>
    <row r="351" spans="3:8" s="43" customFormat="1" ht="15" customHeight="1" x14ac:dyDescent="0.25">
      <c r="C351" s="75" t="str">
        <f>IFERROR(VLOOKUP(B351,'Open Invoices'!C:F,4,0),"")</f>
        <v/>
      </c>
      <c r="D351" s="75" t="str">
        <f>IFERROR(IF(OR(B351="",B351="(BLANK)"),"",SUMIFS('Enter Invoices'!G:G,'Enter Invoices'!D:D,B351,'Enter Invoices'!J:J,"A")),"")</f>
        <v/>
      </c>
      <c r="E351" s="75" t="str">
        <f>IFERROR(IF(OR(B351="",B351="(BLANK)"),"",SUMIFS('Enter Invoices'!G:G,'Enter Invoices'!D:D,B351,'Enter Invoices'!J:J,"B")),"")</f>
        <v/>
      </c>
      <c r="F351" s="75" t="str">
        <f>IFERROR(IF(OR(B351="",B351="(BLANK)"),"",SUMIFS('Enter Invoices'!G:G,'Enter Invoices'!D:D,B351,'Enter Invoices'!J:J,"C")),"")</f>
        <v/>
      </c>
      <c r="G351" s="46" t="str">
        <f>IFERROR(IF(OR(B351="",B351="(BLANK)"),"",SUMIFS('Enter Invoices'!G:G,'Enter Invoices'!D:D,B351,'Enter Invoices'!J:J,"D")),"")</f>
        <v/>
      </c>
      <c r="H351" s="47" t="str">
        <f t="shared" si="7"/>
        <v/>
      </c>
    </row>
    <row r="352" spans="3:8" s="43" customFormat="1" ht="15" customHeight="1" x14ac:dyDescent="0.25">
      <c r="C352" s="75" t="str">
        <f>IFERROR(VLOOKUP(B352,'Open Invoices'!C:F,4,0),"")</f>
        <v/>
      </c>
      <c r="D352" s="75" t="str">
        <f>IFERROR(IF(OR(B352="",B352="(BLANK)"),"",SUMIFS('Enter Invoices'!G:G,'Enter Invoices'!D:D,B352,'Enter Invoices'!J:J,"A")),"")</f>
        <v/>
      </c>
      <c r="E352" s="75" t="str">
        <f>IFERROR(IF(OR(B352="",B352="(BLANK)"),"",SUMIFS('Enter Invoices'!G:G,'Enter Invoices'!D:D,B352,'Enter Invoices'!J:J,"B")),"")</f>
        <v/>
      </c>
      <c r="F352" s="75" t="str">
        <f>IFERROR(IF(OR(B352="",B352="(BLANK)"),"",SUMIFS('Enter Invoices'!G:G,'Enter Invoices'!D:D,B352,'Enter Invoices'!J:J,"C")),"")</f>
        <v/>
      </c>
      <c r="G352" s="46" t="str">
        <f>IFERROR(IF(OR(B352="",B352="(BLANK)"),"",SUMIFS('Enter Invoices'!G:G,'Enter Invoices'!D:D,B352,'Enter Invoices'!J:J,"D")),"")</f>
        <v/>
      </c>
      <c r="H352" s="47" t="str">
        <f t="shared" si="7"/>
        <v/>
      </c>
    </row>
    <row r="353" spans="3:8" s="43" customFormat="1" ht="15" customHeight="1" x14ac:dyDescent="0.25">
      <c r="C353" s="75" t="str">
        <f>IFERROR(VLOOKUP(B353,'Open Invoices'!C:F,4,0),"")</f>
        <v/>
      </c>
      <c r="D353" s="75" t="str">
        <f>IFERROR(IF(OR(B353="",B353="(BLANK)"),"",SUMIFS('Enter Invoices'!G:G,'Enter Invoices'!D:D,B353,'Enter Invoices'!J:J,"A")),"")</f>
        <v/>
      </c>
      <c r="E353" s="75" t="str">
        <f>IFERROR(IF(OR(B353="",B353="(BLANK)"),"",SUMIFS('Enter Invoices'!G:G,'Enter Invoices'!D:D,B353,'Enter Invoices'!J:J,"B")),"")</f>
        <v/>
      </c>
      <c r="F353" s="75" t="str">
        <f>IFERROR(IF(OR(B353="",B353="(BLANK)"),"",SUMIFS('Enter Invoices'!G:G,'Enter Invoices'!D:D,B353,'Enter Invoices'!J:J,"C")),"")</f>
        <v/>
      </c>
      <c r="G353" s="46" t="str">
        <f>IFERROR(IF(OR(B353="",B353="(BLANK)"),"",SUMIFS('Enter Invoices'!G:G,'Enter Invoices'!D:D,B353,'Enter Invoices'!J:J,"D")),"")</f>
        <v/>
      </c>
      <c r="H353" s="47" t="str">
        <f t="shared" si="7"/>
        <v/>
      </c>
    </row>
    <row r="354" spans="3:8" s="43" customFormat="1" ht="15" customHeight="1" x14ac:dyDescent="0.25">
      <c r="C354" s="75" t="str">
        <f>IFERROR(VLOOKUP(B354,'Open Invoices'!C:F,4,0),"")</f>
        <v/>
      </c>
      <c r="D354" s="75" t="str">
        <f>IFERROR(IF(OR(B354="",B354="(BLANK)"),"",SUMIFS('Enter Invoices'!G:G,'Enter Invoices'!D:D,B354,'Enter Invoices'!J:J,"A")),"")</f>
        <v/>
      </c>
      <c r="E354" s="75" t="str">
        <f>IFERROR(IF(OR(B354="",B354="(BLANK)"),"",SUMIFS('Enter Invoices'!G:G,'Enter Invoices'!D:D,B354,'Enter Invoices'!J:J,"B")),"")</f>
        <v/>
      </c>
      <c r="F354" s="75" t="str">
        <f>IFERROR(IF(OR(B354="",B354="(BLANK)"),"",SUMIFS('Enter Invoices'!G:G,'Enter Invoices'!D:D,B354,'Enter Invoices'!J:J,"C")),"")</f>
        <v/>
      </c>
      <c r="G354" s="46" t="str">
        <f>IFERROR(IF(OR(B354="",B354="(BLANK)"),"",SUMIFS('Enter Invoices'!G:G,'Enter Invoices'!D:D,B354,'Enter Invoices'!J:J,"D")),"")</f>
        <v/>
      </c>
      <c r="H354" s="47" t="str">
        <f t="shared" si="7"/>
        <v/>
      </c>
    </row>
    <row r="355" spans="3:8" s="43" customFormat="1" ht="15" customHeight="1" x14ac:dyDescent="0.25">
      <c r="C355" s="75" t="str">
        <f>IFERROR(VLOOKUP(B355,'Open Invoices'!C:F,4,0),"")</f>
        <v/>
      </c>
      <c r="D355" s="75" t="str">
        <f>IFERROR(IF(OR(B355="",B355="(BLANK)"),"",SUMIFS('Enter Invoices'!G:G,'Enter Invoices'!D:D,B355,'Enter Invoices'!J:J,"A")),"")</f>
        <v/>
      </c>
      <c r="E355" s="75" t="str">
        <f>IFERROR(IF(OR(B355="",B355="(BLANK)"),"",SUMIFS('Enter Invoices'!G:G,'Enter Invoices'!D:D,B355,'Enter Invoices'!J:J,"B")),"")</f>
        <v/>
      </c>
      <c r="F355" s="75" t="str">
        <f>IFERROR(IF(OR(B355="",B355="(BLANK)"),"",SUMIFS('Enter Invoices'!G:G,'Enter Invoices'!D:D,B355,'Enter Invoices'!J:J,"C")),"")</f>
        <v/>
      </c>
      <c r="G355" s="46" t="str">
        <f>IFERROR(IF(OR(B355="",B355="(BLANK)"),"",SUMIFS('Enter Invoices'!G:G,'Enter Invoices'!D:D,B355,'Enter Invoices'!J:J,"D")),"")</f>
        <v/>
      </c>
      <c r="H355" s="47" t="str">
        <f t="shared" si="7"/>
        <v/>
      </c>
    </row>
    <row r="356" spans="3:8" s="43" customFormat="1" ht="15" customHeight="1" x14ac:dyDescent="0.25">
      <c r="C356" s="75" t="str">
        <f>IFERROR(VLOOKUP(B356,'Open Invoices'!C:F,4,0),"")</f>
        <v/>
      </c>
      <c r="D356" s="75" t="str">
        <f>IFERROR(IF(OR(B356="",B356="(BLANK)"),"",SUMIFS('Enter Invoices'!G:G,'Enter Invoices'!D:D,B356,'Enter Invoices'!J:J,"A")),"")</f>
        <v/>
      </c>
      <c r="E356" s="75" t="str">
        <f>IFERROR(IF(OR(B356="",B356="(BLANK)"),"",SUMIFS('Enter Invoices'!G:G,'Enter Invoices'!D:D,B356,'Enter Invoices'!J:J,"B")),"")</f>
        <v/>
      </c>
      <c r="F356" s="75" t="str">
        <f>IFERROR(IF(OR(B356="",B356="(BLANK)"),"",SUMIFS('Enter Invoices'!G:G,'Enter Invoices'!D:D,B356,'Enter Invoices'!J:J,"C")),"")</f>
        <v/>
      </c>
      <c r="G356" s="46" t="str">
        <f>IFERROR(IF(OR(B356="",B356="(BLANK)"),"",SUMIFS('Enter Invoices'!G:G,'Enter Invoices'!D:D,B356,'Enter Invoices'!J:J,"D")),"")</f>
        <v/>
      </c>
      <c r="H356" s="47" t="str">
        <f t="shared" si="7"/>
        <v/>
      </c>
    </row>
    <row r="357" spans="3:8" s="43" customFormat="1" ht="15" customHeight="1" x14ac:dyDescent="0.25">
      <c r="C357" s="75" t="str">
        <f>IFERROR(VLOOKUP(B357,'Open Invoices'!C:F,4,0),"")</f>
        <v/>
      </c>
      <c r="D357" s="75" t="str">
        <f>IFERROR(IF(OR(B357="",B357="(BLANK)"),"",SUMIFS('Enter Invoices'!G:G,'Enter Invoices'!D:D,B357,'Enter Invoices'!J:J,"A")),"")</f>
        <v/>
      </c>
      <c r="E357" s="75" t="str">
        <f>IFERROR(IF(OR(B357="",B357="(BLANK)"),"",SUMIFS('Enter Invoices'!G:G,'Enter Invoices'!D:D,B357,'Enter Invoices'!J:J,"B")),"")</f>
        <v/>
      </c>
      <c r="F357" s="75" t="str">
        <f>IFERROR(IF(OR(B357="",B357="(BLANK)"),"",SUMIFS('Enter Invoices'!G:G,'Enter Invoices'!D:D,B357,'Enter Invoices'!J:J,"C")),"")</f>
        <v/>
      </c>
      <c r="G357" s="46" t="str">
        <f>IFERROR(IF(OR(B357="",B357="(BLANK)"),"",SUMIFS('Enter Invoices'!G:G,'Enter Invoices'!D:D,B357,'Enter Invoices'!J:J,"D")),"")</f>
        <v/>
      </c>
      <c r="H357" s="47" t="str">
        <f t="shared" si="7"/>
        <v/>
      </c>
    </row>
    <row r="358" spans="3:8" s="43" customFormat="1" ht="15" customHeight="1" x14ac:dyDescent="0.25">
      <c r="C358" s="75" t="str">
        <f>IFERROR(VLOOKUP(B358,'Open Invoices'!C:F,4,0),"")</f>
        <v/>
      </c>
      <c r="D358" s="75" t="str">
        <f>IFERROR(IF(OR(B358="",B358="(BLANK)"),"",SUMIFS('Enter Invoices'!G:G,'Enter Invoices'!D:D,B358,'Enter Invoices'!J:J,"A")),"")</f>
        <v/>
      </c>
      <c r="E358" s="75" t="str">
        <f>IFERROR(IF(OR(B358="",B358="(BLANK)"),"",SUMIFS('Enter Invoices'!G:G,'Enter Invoices'!D:D,B358,'Enter Invoices'!J:J,"B")),"")</f>
        <v/>
      </c>
      <c r="F358" s="75" t="str">
        <f>IFERROR(IF(OR(B358="",B358="(BLANK)"),"",SUMIFS('Enter Invoices'!G:G,'Enter Invoices'!D:D,B358,'Enter Invoices'!J:J,"C")),"")</f>
        <v/>
      </c>
      <c r="G358" s="46" t="str">
        <f>IFERROR(IF(OR(B358="",B358="(BLANK)"),"",SUMIFS('Enter Invoices'!G:G,'Enter Invoices'!D:D,B358,'Enter Invoices'!J:J,"D")),"")</f>
        <v/>
      </c>
      <c r="H358" s="47" t="str">
        <f t="shared" si="7"/>
        <v/>
      </c>
    </row>
    <row r="359" spans="3:8" s="43" customFormat="1" ht="15" customHeight="1" x14ac:dyDescent="0.25">
      <c r="C359" s="75" t="str">
        <f>IFERROR(VLOOKUP(B359,'Open Invoices'!C:F,4,0),"")</f>
        <v/>
      </c>
      <c r="D359" s="75" t="str">
        <f>IFERROR(IF(OR(B359="",B359="(BLANK)"),"",SUMIFS('Enter Invoices'!G:G,'Enter Invoices'!D:D,B359,'Enter Invoices'!J:J,"A")),"")</f>
        <v/>
      </c>
      <c r="E359" s="75" t="str">
        <f>IFERROR(IF(OR(B359="",B359="(BLANK)"),"",SUMIFS('Enter Invoices'!G:G,'Enter Invoices'!D:D,B359,'Enter Invoices'!J:J,"B")),"")</f>
        <v/>
      </c>
      <c r="F359" s="75" t="str">
        <f>IFERROR(IF(OR(B359="",B359="(BLANK)"),"",SUMIFS('Enter Invoices'!G:G,'Enter Invoices'!D:D,B359,'Enter Invoices'!J:J,"C")),"")</f>
        <v/>
      </c>
      <c r="G359" s="46" t="str">
        <f>IFERROR(IF(OR(B359="",B359="(BLANK)"),"",SUMIFS('Enter Invoices'!G:G,'Enter Invoices'!D:D,B359,'Enter Invoices'!J:J,"D")),"")</f>
        <v/>
      </c>
      <c r="H359" s="47" t="str">
        <f t="shared" si="7"/>
        <v/>
      </c>
    </row>
    <row r="360" spans="3:8" s="43" customFormat="1" ht="15" customHeight="1" x14ac:dyDescent="0.25">
      <c r="C360" s="75" t="str">
        <f>IFERROR(VLOOKUP(B360,'Open Invoices'!C:F,4,0),"")</f>
        <v/>
      </c>
      <c r="D360" s="75" t="str">
        <f>IFERROR(IF(OR(B360="",B360="(BLANK)"),"",SUMIFS('Enter Invoices'!G:G,'Enter Invoices'!D:D,B360,'Enter Invoices'!J:J,"A")),"")</f>
        <v/>
      </c>
      <c r="E360" s="75" t="str">
        <f>IFERROR(IF(OR(B360="",B360="(BLANK)"),"",SUMIFS('Enter Invoices'!G:G,'Enter Invoices'!D:D,B360,'Enter Invoices'!J:J,"B")),"")</f>
        <v/>
      </c>
      <c r="F360" s="75" t="str">
        <f>IFERROR(IF(OR(B360="",B360="(BLANK)"),"",SUMIFS('Enter Invoices'!G:G,'Enter Invoices'!D:D,B360,'Enter Invoices'!J:J,"C")),"")</f>
        <v/>
      </c>
      <c r="G360" s="46" t="str">
        <f>IFERROR(IF(OR(B360="",B360="(BLANK)"),"",SUMIFS('Enter Invoices'!G:G,'Enter Invoices'!D:D,B360,'Enter Invoices'!J:J,"D")),"")</f>
        <v/>
      </c>
      <c r="H360" s="47" t="str">
        <f t="shared" si="7"/>
        <v/>
      </c>
    </row>
    <row r="361" spans="3:8" s="43" customFormat="1" ht="15" customHeight="1" x14ac:dyDescent="0.25">
      <c r="C361" s="75" t="str">
        <f>IFERROR(VLOOKUP(B361,'Open Invoices'!C:F,4,0),"")</f>
        <v/>
      </c>
      <c r="D361" s="75" t="str">
        <f>IFERROR(IF(OR(B361="",B361="(BLANK)"),"",SUMIFS('Enter Invoices'!G:G,'Enter Invoices'!D:D,B361,'Enter Invoices'!J:J,"A")),"")</f>
        <v/>
      </c>
      <c r="E361" s="75" t="str">
        <f>IFERROR(IF(OR(B361="",B361="(BLANK)"),"",SUMIFS('Enter Invoices'!G:G,'Enter Invoices'!D:D,B361,'Enter Invoices'!J:J,"B")),"")</f>
        <v/>
      </c>
      <c r="F361" s="75" t="str">
        <f>IFERROR(IF(OR(B361="",B361="(BLANK)"),"",SUMIFS('Enter Invoices'!G:G,'Enter Invoices'!D:D,B361,'Enter Invoices'!J:J,"C")),"")</f>
        <v/>
      </c>
      <c r="G361" s="46" t="str">
        <f>IFERROR(IF(OR(B361="",B361="(BLANK)"),"",SUMIFS('Enter Invoices'!G:G,'Enter Invoices'!D:D,B361,'Enter Invoices'!J:J,"D")),"")</f>
        <v/>
      </c>
      <c r="H361" s="47" t="str">
        <f t="shared" si="7"/>
        <v/>
      </c>
    </row>
    <row r="362" spans="3:8" s="43" customFormat="1" ht="15" customHeight="1" x14ac:dyDescent="0.25">
      <c r="C362" s="75" t="str">
        <f>IFERROR(VLOOKUP(B362,'Open Invoices'!C:F,4,0),"")</f>
        <v/>
      </c>
      <c r="D362" s="75" t="str">
        <f>IFERROR(IF(OR(B362="",B362="(BLANK)"),"",SUMIFS('Enter Invoices'!G:G,'Enter Invoices'!D:D,B362,'Enter Invoices'!J:J,"A")),"")</f>
        <v/>
      </c>
      <c r="E362" s="75" t="str">
        <f>IFERROR(IF(OR(B362="",B362="(BLANK)"),"",SUMIFS('Enter Invoices'!G:G,'Enter Invoices'!D:D,B362,'Enter Invoices'!J:J,"B")),"")</f>
        <v/>
      </c>
      <c r="F362" s="75" t="str">
        <f>IFERROR(IF(OR(B362="",B362="(BLANK)"),"",SUMIFS('Enter Invoices'!G:G,'Enter Invoices'!D:D,B362,'Enter Invoices'!J:J,"C")),"")</f>
        <v/>
      </c>
      <c r="G362" s="46" t="str">
        <f>IFERROR(IF(OR(B362="",B362="(BLANK)"),"",SUMIFS('Enter Invoices'!G:G,'Enter Invoices'!D:D,B362,'Enter Invoices'!J:J,"D")),"")</f>
        <v/>
      </c>
      <c r="H362" s="47" t="str">
        <f t="shared" si="7"/>
        <v/>
      </c>
    </row>
    <row r="363" spans="3:8" s="43" customFormat="1" ht="15" customHeight="1" x14ac:dyDescent="0.25">
      <c r="C363" s="75" t="str">
        <f>IFERROR(VLOOKUP(B363,'Open Invoices'!C:F,4,0),"")</f>
        <v/>
      </c>
      <c r="D363" s="75" t="str">
        <f>IFERROR(IF(OR(B363="",B363="(BLANK)"),"",SUMIFS('Enter Invoices'!G:G,'Enter Invoices'!D:D,B363,'Enter Invoices'!J:J,"A")),"")</f>
        <v/>
      </c>
      <c r="E363" s="75" t="str">
        <f>IFERROR(IF(OR(B363="",B363="(BLANK)"),"",SUMIFS('Enter Invoices'!G:G,'Enter Invoices'!D:D,B363,'Enter Invoices'!J:J,"B")),"")</f>
        <v/>
      </c>
      <c r="F363" s="75" t="str">
        <f>IFERROR(IF(OR(B363="",B363="(BLANK)"),"",SUMIFS('Enter Invoices'!G:G,'Enter Invoices'!D:D,B363,'Enter Invoices'!J:J,"C")),"")</f>
        <v/>
      </c>
      <c r="G363" s="46" t="str">
        <f>IFERROR(IF(OR(B363="",B363="(BLANK)"),"",SUMIFS('Enter Invoices'!G:G,'Enter Invoices'!D:D,B363,'Enter Invoices'!J:J,"D")),"")</f>
        <v/>
      </c>
      <c r="H363" s="47" t="str">
        <f t="shared" si="7"/>
        <v/>
      </c>
    </row>
    <row r="364" spans="3:8" s="43" customFormat="1" ht="15" customHeight="1" x14ac:dyDescent="0.25">
      <c r="C364" s="75" t="str">
        <f>IFERROR(VLOOKUP(B364,'Open Invoices'!C:F,4,0),"")</f>
        <v/>
      </c>
      <c r="D364" s="75" t="str">
        <f>IFERROR(IF(OR(B364="",B364="(BLANK)"),"",SUMIFS('Enter Invoices'!G:G,'Enter Invoices'!D:D,B364,'Enter Invoices'!J:J,"A")),"")</f>
        <v/>
      </c>
      <c r="E364" s="75" t="str">
        <f>IFERROR(IF(OR(B364="",B364="(BLANK)"),"",SUMIFS('Enter Invoices'!G:G,'Enter Invoices'!D:D,B364,'Enter Invoices'!J:J,"B")),"")</f>
        <v/>
      </c>
      <c r="F364" s="75" t="str">
        <f>IFERROR(IF(OR(B364="",B364="(BLANK)"),"",SUMIFS('Enter Invoices'!G:G,'Enter Invoices'!D:D,B364,'Enter Invoices'!J:J,"C")),"")</f>
        <v/>
      </c>
      <c r="G364" s="46" t="str">
        <f>IFERROR(IF(OR(B364="",B364="(BLANK)"),"",SUMIFS('Enter Invoices'!G:G,'Enter Invoices'!D:D,B364,'Enter Invoices'!J:J,"D")),"")</f>
        <v/>
      </c>
      <c r="H364" s="47" t="str">
        <f t="shared" si="7"/>
        <v/>
      </c>
    </row>
    <row r="365" spans="3:8" s="43" customFormat="1" ht="15" customHeight="1" x14ac:dyDescent="0.25">
      <c r="C365" s="75" t="str">
        <f>IFERROR(VLOOKUP(B365,'Open Invoices'!C:F,4,0),"")</f>
        <v/>
      </c>
      <c r="D365" s="75" t="str">
        <f>IFERROR(IF(OR(B365="",B365="(BLANK)"),"",SUMIFS('Enter Invoices'!G:G,'Enter Invoices'!D:D,B365,'Enter Invoices'!J:J,"A")),"")</f>
        <v/>
      </c>
      <c r="E365" s="75" t="str">
        <f>IFERROR(IF(OR(B365="",B365="(BLANK)"),"",SUMIFS('Enter Invoices'!G:G,'Enter Invoices'!D:D,B365,'Enter Invoices'!J:J,"B")),"")</f>
        <v/>
      </c>
      <c r="F365" s="75" t="str">
        <f>IFERROR(IF(OR(B365="",B365="(BLANK)"),"",SUMIFS('Enter Invoices'!G:G,'Enter Invoices'!D:D,B365,'Enter Invoices'!J:J,"C")),"")</f>
        <v/>
      </c>
      <c r="G365" s="46" t="str">
        <f>IFERROR(IF(OR(B365="",B365="(BLANK)"),"",SUMIFS('Enter Invoices'!G:G,'Enter Invoices'!D:D,B365,'Enter Invoices'!J:J,"D")),"")</f>
        <v/>
      </c>
      <c r="H365" s="47" t="str">
        <f t="shared" si="7"/>
        <v/>
      </c>
    </row>
    <row r="366" spans="3:8" s="43" customFormat="1" ht="15" customHeight="1" x14ac:dyDescent="0.25">
      <c r="C366" s="75" t="str">
        <f>IFERROR(VLOOKUP(B366,'Open Invoices'!C:F,4,0),"")</f>
        <v/>
      </c>
      <c r="D366" s="75" t="str">
        <f>IFERROR(IF(OR(B366="",B366="(BLANK)"),"",SUMIFS('Enter Invoices'!G:G,'Enter Invoices'!D:D,B366,'Enter Invoices'!J:J,"A")),"")</f>
        <v/>
      </c>
      <c r="E366" s="75" t="str">
        <f>IFERROR(IF(OR(B366="",B366="(BLANK)"),"",SUMIFS('Enter Invoices'!G:G,'Enter Invoices'!D:D,B366,'Enter Invoices'!J:J,"B")),"")</f>
        <v/>
      </c>
      <c r="F366" s="75" t="str">
        <f>IFERROR(IF(OR(B366="",B366="(BLANK)"),"",SUMIFS('Enter Invoices'!G:G,'Enter Invoices'!D:D,B366,'Enter Invoices'!J:J,"C")),"")</f>
        <v/>
      </c>
      <c r="G366" s="46" t="str">
        <f>IFERROR(IF(OR(B366="",B366="(BLANK)"),"",SUMIFS('Enter Invoices'!G:G,'Enter Invoices'!D:D,B366,'Enter Invoices'!J:J,"D")),"")</f>
        <v/>
      </c>
      <c r="H366" s="47" t="str">
        <f t="shared" si="7"/>
        <v/>
      </c>
    </row>
    <row r="367" spans="3:8" s="43" customFormat="1" ht="15" customHeight="1" x14ac:dyDescent="0.25">
      <c r="C367" s="75" t="str">
        <f>IFERROR(VLOOKUP(B367,'Open Invoices'!C:F,4,0),"")</f>
        <v/>
      </c>
      <c r="D367" s="75" t="str">
        <f>IFERROR(IF(OR(B367="",B367="(BLANK)"),"",SUMIFS('Enter Invoices'!G:G,'Enter Invoices'!D:D,B367,'Enter Invoices'!J:J,"A")),"")</f>
        <v/>
      </c>
      <c r="E367" s="75" t="str">
        <f>IFERROR(IF(OR(B367="",B367="(BLANK)"),"",SUMIFS('Enter Invoices'!G:G,'Enter Invoices'!D:D,B367,'Enter Invoices'!J:J,"B")),"")</f>
        <v/>
      </c>
      <c r="F367" s="75" t="str">
        <f>IFERROR(IF(OR(B367="",B367="(BLANK)"),"",SUMIFS('Enter Invoices'!G:G,'Enter Invoices'!D:D,B367,'Enter Invoices'!J:J,"C")),"")</f>
        <v/>
      </c>
      <c r="G367" s="46" t="str">
        <f>IFERROR(IF(OR(B367="",B367="(BLANK)"),"",SUMIFS('Enter Invoices'!G:G,'Enter Invoices'!D:D,B367,'Enter Invoices'!J:J,"D")),"")</f>
        <v/>
      </c>
      <c r="H367" s="47" t="str">
        <f t="shared" si="7"/>
        <v/>
      </c>
    </row>
    <row r="368" spans="3:8" s="43" customFormat="1" ht="15" customHeight="1" x14ac:dyDescent="0.25">
      <c r="C368" s="75" t="str">
        <f>IFERROR(VLOOKUP(B368,'Open Invoices'!C:F,4,0),"")</f>
        <v/>
      </c>
      <c r="D368" s="75" t="str">
        <f>IFERROR(IF(OR(B368="",B368="(BLANK)"),"",SUMIFS('Enter Invoices'!G:G,'Enter Invoices'!D:D,B368,'Enter Invoices'!J:J,"A")),"")</f>
        <v/>
      </c>
      <c r="E368" s="75" t="str">
        <f>IFERROR(IF(OR(B368="",B368="(BLANK)"),"",SUMIFS('Enter Invoices'!G:G,'Enter Invoices'!D:D,B368,'Enter Invoices'!J:J,"B")),"")</f>
        <v/>
      </c>
      <c r="F368" s="75" t="str">
        <f>IFERROR(IF(OR(B368="",B368="(BLANK)"),"",SUMIFS('Enter Invoices'!G:G,'Enter Invoices'!D:D,B368,'Enter Invoices'!J:J,"C")),"")</f>
        <v/>
      </c>
      <c r="G368" s="46" t="str">
        <f>IFERROR(IF(OR(B368="",B368="(BLANK)"),"",SUMIFS('Enter Invoices'!G:G,'Enter Invoices'!D:D,B368,'Enter Invoices'!J:J,"D")),"")</f>
        <v/>
      </c>
      <c r="H368" s="47" t="str">
        <f t="shared" si="7"/>
        <v/>
      </c>
    </row>
    <row r="369" spans="3:8" s="43" customFormat="1" ht="15" customHeight="1" x14ac:dyDescent="0.25">
      <c r="C369" s="75" t="str">
        <f>IFERROR(VLOOKUP(B369,'Open Invoices'!C:F,4,0),"")</f>
        <v/>
      </c>
      <c r="D369" s="75" t="str">
        <f>IFERROR(IF(OR(B369="",B369="(BLANK)"),"",SUMIFS('Enter Invoices'!G:G,'Enter Invoices'!D:D,B369,'Enter Invoices'!J:J,"A")),"")</f>
        <v/>
      </c>
      <c r="E369" s="75" t="str">
        <f>IFERROR(IF(OR(B369="",B369="(BLANK)"),"",SUMIFS('Enter Invoices'!G:G,'Enter Invoices'!D:D,B369,'Enter Invoices'!J:J,"B")),"")</f>
        <v/>
      </c>
      <c r="F369" s="75" t="str">
        <f>IFERROR(IF(OR(B369="",B369="(BLANK)"),"",SUMIFS('Enter Invoices'!G:G,'Enter Invoices'!D:D,B369,'Enter Invoices'!J:J,"C")),"")</f>
        <v/>
      </c>
      <c r="G369" s="46" t="str">
        <f>IFERROR(IF(OR(B369="",B369="(BLANK)"),"",SUMIFS('Enter Invoices'!G:G,'Enter Invoices'!D:D,B369,'Enter Invoices'!J:J,"D")),"")</f>
        <v/>
      </c>
      <c r="H369" s="47" t="str">
        <f t="shared" si="7"/>
        <v/>
      </c>
    </row>
    <row r="370" spans="3:8" s="43" customFormat="1" ht="15" customHeight="1" x14ac:dyDescent="0.25">
      <c r="C370" s="75" t="str">
        <f>IFERROR(VLOOKUP(B370,'Open Invoices'!C:F,4,0),"")</f>
        <v/>
      </c>
      <c r="D370" s="75" t="str">
        <f>IFERROR(IF(OR(B370="",B370="(BLANK)"),"",SUMIFS('Enter Invoices'!G:G,'Enter Invoices'!D:D,B370,'Enter Invoices'!J:J,"A")),"")</f>
        <v/>
      </c>
      <c r="E370" s="75" t="str">
        <f>IFERROR(IF(OR(B370="",B370="(BLANK)"),"",SUMIFS('Enter Invoices'!G:G,'Enter Invoices'!D:D,B370,'Enter Invoices'!J:J,"B")),"")</f>
        <v/>
      </c>
      <c r="F370" s="75" t="str">
        <f>IFERROR(IF(OR(B370="",B370="(BLANK)"),"",SUMIFS('Enter Invoices'!G:G,'Enter Invoices'!D:D,B370,'Enter Invoices'!J:J,"C")),"")</f>
        <v/>
      </c>
      <c r="G370" s="46" t="str">
        <f>IFERROR(IF(OR(B370="",B370="(BLANK)"),"",SUMIFS('Enter Invoices'!G:G,'Enter Invoices'!D:D,B370,'Enter Invoices'!J:J,"D")),"")</f>
        <v/>
      </c>
      <c r="H370" s="47" t="str">
        <f t="shared" si="7"/>
        <v/>
      </c>
    </row>
    <row r="371" spans="3:8" s="43" customFormat="1" ht="15" customHeight="1" x14ac:dyDescent="0.25">
      <c r="C371" s="75" t="str">
        <f>IFERROR(VLOOKUP(B371,'Open Invoices'!C:F,4,0),"")</f>
        <v/>
      </c>
      <c r="D371" s="75" t="str">
        <f>IFERROR(IF(OR(B371="",B371="(BLANK)"),"",SUMIFS('Enter Invoices'!G:G,'Enter Invoices'!D:D,B371,'Enter Invoices'!J:J,"A")),"")</f>
        <v/>
      </c>
      <c r="E371" s="75" t="str">
        <f>IFERROR(IF(OR(B371="",B371="(BLANK)"),"",SUMIFS('Enter Invoices'!G:G,'Enter Invoices'!D:D,B371,'Enter Invoices'!J:J,"B")),"")</f>
        <v/>
      </c>
      <c r="F371" s="75" t="str">
        <f>IFERROR(IF(OR(B371="",B371="(BLANK)"),"",SUMIFS('Enter Invoices'!G:G,'Enter Invoices'!D:D,B371,'Enter Invoices'!J:J,"C")),"")</f>
        <v/>
      </c>
      <c r="G371" s="46" t="str">
        <f>IFERROR(IF(OR(B371="",B371="(BLANK)"),"",SUMIFS('Enter Invoices'!G:G,'Enter Invoices'!D:D,B371,'Enter Invoices'!J:J,"D")),"")</f>
        <v/>
      </c>
      <c r="H371" s="47" t="str">
        <f t="shared" si="7"/>
        <v/>
      </c>
    </row>
    <row r="372" spans="3:8" s="43" customFormat="1" ht="15" customHeight="1" x14ac:dyDescent="0.25">
      <c r="C372" s="75" t="str">
        <f>IFERROR(VLOOKUP(B372,'Open Invoices'!C:F,4,0),"")</f>
        <v/>
      </c>
      <c r="D372" s="75" t="str">
        <f>IFERROR(IF(OR(B372="",B372="(BLANK)"),"",SUMIFS('Enter Invoices'!G:G,'Enter Invoices'!D:D,B372,'Enter Invoices'!J:J,"A")),"")</f>
        <v/>
      </c>
      <c r="E372" s="75" t="str">
        <f>IFERROR(IF(OR(B372="",B372="(BLANK)"),"",SUMIFS('Enter Invoices'!G:G,'Enter Invoices'!D:D,B372,'Enter Invoices'!J:J,"B")),"")</f>
        <v/>
      </c>
      <c r="F372" s="75" t="str">
        <f>IFERROR(IF(OR(B372="",B372="(BLANK)"),"",SUMIFS('Enter Invoices'!G:G,'Enter Invoices'!D:D,B372,'Enter Invoices'!J:J,"C")),"")</f>
        <v/>
      </c>
      <c r="G372" s="46" t="str">
        <f>IFERROR(IF(OR(B372="",B372="(BLANK)"),"",SUMIFS('Enter Invoices'!G:G,'Enter Invoices'!D:D,B372,'Enter Invoices'!J:J,"D")),"")</f>
        <v/>
      </c>
      <c r="H372" s="47" t="str">
        <f t="shared" si="7"/>
        <v/>
      </c>
    </row>
    <row r="373" spans="3:8" s="43" customFormat="1" ht="15" customHeight="1" x14ac:dyDescent="0.25">
      <c r="C373" s="75" t="str">
        <f>IFERROR(VLOOKUP(B373,'Open Invoices'!C:F,4,0),"")</f>
        <v/>
      </c>
      <c r="D373" s="75" t="str">
        <f>IFERROR(IF(OR(B373="",B373="(BLANK)"),"",SUMIFS('Enter Invoices'!G:G,'Enter Invoices'!D:D,B373,'Enter Invoices'!J:J,"A")),"")</f>
        <v/>
      </c>
      <c r="E373" s="75" t="str">
        <f>IFERROR(IF(OR(B373="",B373="(BLANK)"),"",SUMIFS('Enter Invoices'!G:G,'Enter Invoices'!D:D,B373,'Enter Invoices'!J:J,"B")),"")</f>
        <v/>
      </c>
      <c r="F373" s="75" t="str">
        <f>IFERROR(IF(OR(B373="",B373="(BLANK)"),"",SUMIFS('Enter Invoices'!G:G,'Enter Invoices'!D:D,B373,'Enter Invoices'!J:J,"C")),"")</f>
        <v/>
      </c>
      <c r="G373" s="46" t="str">
        <f>IFERROR(IF(OR(B373="",B373="(BLANK)"),"",SUMIFS('Enter Invoices'!G:G,'Enter Invoices'!D:D,B373,'Enter Invoices'!J:J,"D")),"")</f>
        <v/>
      </c>
      <c r="H373" s="47" t="str">
        <f t="shared" si="7"/>
        <v/>
      </c>
    </row>
    <row r="374" spans="3:8" s="43" customFormat="1" ht="15" customHeight="1" x14ac:dyDescent="0.25">
      <c r="C374" s="75" t="str">
        <f>IFERROR(VLOOKUP(B374,'Open Invoices'!C:F,4,0),"")</f>
        <v/>
      </c>
      <c r="D374" s="75" t="str">
        <f>IFERROR(IF(OR(B374="",B374="(BLANK)"),"",SUMIFS('Enter Invoices'!G:G,'Enter Invoices'!D:D,B374,'Enter Invoices'!J:J,"A")),"")</f>
        <v/>
      </c>
      <c r="E374" s="75" t="str">
        <f>IFERROR(IF(OR(B374="",B374="(BLANK)"),"",SUMIFS('Enter Invoices'!G:G,'Enter Invoices'!D:D,B374,'Enter Invoices'!J:J,"B")),"")</f>
        <v/>
      </c>
      <c r="F374" s="75" t="str">
        <f>IFERROR(IF(OR(B374="",B374="(BLANK)"),"",SUMIFS('Enter Invoices'!G:G,'Enter Invoices'!D:D,B374,'Enter Invoices'!J:J,"C")),"")</f>
        <v/>
      </c>
      <c r="G374" s="46" t="str">
        <f>IFERROR(IF(OR(B374="",B374="(BLANK)"),"",SUMIFS('Enter Invoices'!G:G,'Enter Invoices'!D:D,B374,'Enter Invoices'!J:J,"D")),"")</f>
        <v/>
      </c>
      <c r="H374" s="47" t="str">
        <f t="shared" si="7"/>
        <v/>
      </c>
    </row>
    <row r="375" spans="3:8" s="43" customFormat="1" ht="15" customHeight="1" x14ac:dyDescent="0.25">
      <c r="C375" s="75" t="str">
        <f>IFERROR(VLOOKUP(B375,'Open Invoices'!C:F,4,0),"")</f>
        <v/>
      </c>
      <c r="D375" s="75" t="str">
        <f>IFERROR(IF(OR(B375="",B375="(BLANK)"),"",SUMIFS('Enter Invoices'!G:G,'Enter Invoices'!D:D,B375,'Enter Invoices'!J:J,"A")),"")</f>
        <v/>
      </c>
      <c r="E375" s="75" t="str">
        <f>IFERROR(IF(OR(B375="",B375="(BLANK)"),"",SUMIFS('Enter Invoices'!G:G,'Enter Invoices'!D:D,B375,'Enter Invoices'!J:J,"B")),"")</f>
        <v/>
      </c>
      <c r="F375" s="75" t="str">
        <f>IFERROR(IF(OR(B375="",B375="(BLANK)"),"",SUMIFS('Enter Invoices'!G:G,'Enter Invoices'!D:D,B375,'Enter Invoices'!J:J,"C")),"")</f>
        <v/>
      </c>
      <c r="G375" s="46" t="str">
        <f>IFERROR(IF(OR(B375="",B375="(BLANK)"),"",SUMIFS('Enter Invoices'!G:G,'Enter Invoices'!D:D,B375,'Enter Invoices'!J:J,"D")),"")</f>
        <v/>
      </c>
      <c r="H375" s="47" t="str">
        <f t="shared" si="7"/>
        <v/>
      </c>
    </row>
    <row r="376" spans="3:8" s="43" customFormat="1" ht="15" customHeight="1" x14ac:dyDescent="0.25">
      <c r="C376" s="75" t="str">
        <f>IFERROR(VLOOKUP(B376,'Open Invoices'!C:F,4,0),"")</f>
        <v/>
      </c>
      <c r="D376" s="75" t="str">
        <f>IFERROR(IF(OR(B376="",B376="(BLANK)"),"",SUMIFS('Enter Invoices'!G:G,'Enter Invoices'!D:D,B376,'Enter Invoices'!J:J,"A")),"")</f>
        <v/>
      </c>
      <c r="E376" s="75" t="str">
        <f>IFERROR(IF(OR(B376="",B376="(BLANK)"),"",SUMIFS('Enter Invoices'!G:G,'Enter Invoices'!D:D,B376,'Enter Invoices'!J:J,"B")),"")</f>
        <v/>
      </c>
      <c r="F376" s="75" t="str">
        <f>IFERROR(IF(OR(B376="",B376="(BLANK)"),"",SUMIFS('Enter Invoices'!G:G,'Enter Invoices'!D:D,B376,'Enter Invoices'!J:J,"C")),"")</f>
        <v/>
      </c>
      <c r="G376" s="46" t="str">
        <f>IFERROR(IF(OR(B376="",B376="(BLANK)"),"",SUMIFS('Enter Invoices'!G:G,'Enter Invoices'!D:D,B376,'Enter Invoices'!J:J,"D")),"")</f>
        <v/>
      </c>
      <c r="H376" s="47" t="str">
        <f t="shared" si="7"/>
        <v/>
      </c>
    </row>
    <row r="377" spans="3:8" s="43" customFormat="1" ht="15" customHeight="1" x14ac:dyDescent="0.25">
      <c r="C377" s="75" t="str">
        <f>IFERROR(VLOOKUP(B377,'Open Invoices'!C:F,4,0),"")</f>
        <v/>
      </c>
      <c r="D377" s="75" t="str">
        <f>IFERROR(IF(OR(B377="",B377="(BLANK)"),"",SUMIFS('Enter Invoices'!G:G,'Enter Invoices'!D:D,B377,'Enter Invoices'!J:J,"A")),"")</f>
        <v/>
      </c>
      <c r="E377" s="75" t="str">
        <f>IFERROR(IF(OR(B377="",B377="(BLANK)"),"",SUMIFS('Enter Invoices'!G:G,'Enter Invoices'!D:D,B377,'Enter Invoices'!J:J,"B")),"")</f>
        <v/>
      </c>
      <c r="F377" s="75" t="str">
        <f>IFERROR(IF(OR(B377="",B377="(BLANK)"),"",SUMIFS('Enter Invoices'!G:G,'Enter Invoices'!D:D,B377,'Enter Invoices'!J:J,"C")),"")</f>
        <v/>
      </c>
      <c r="G377" s="46" t="str">
        <f>IFERROR(IF(OR(B377="",B377="(BLANK)"),"",SUMIFS('Enter Invoices'!G:G,'Enter Invoices'!D:D,B377,'Enter Invoices'!J:J,"D")),"")</f>
        <v/>
      </c>
      <c r="H377" s="47" t="str">
        <f t="shared" si="7"/>
        <v/>
      </c>
    </row>
    <row r="378" spans="3:8" s="43" customFormat="1" ht="15" customHeight="1" x14ac:dyDescent="0.25">
      <c r="C378" s="75" t="str">
        <f>IFERROR(VLOOKUP(B378,'Open Invoices'!C:F,4,0),"")</f>
        <v/>
      </c>
      <c r="D378" s="75" t="str">
        <f>IFERROR(IF(OR(B378="",B378="(BLANK)"),"",SUMIFS('Enter Invoices'!G:G,'Enter Invoices'!D:D,B378,'Enter Invoices'!J:J,"A")),"")</f>
        <v/>
      </c>
      <c r="E378" s="75" t="str">
        <f>IFERROR(IF(OR(B378="",B378="(BLANK)"),"",SUMIFS('Enter Invoices'!G:G,'Enter Invoices'!D:D,B378,'Enter Invoices'!J:J,"B")),"")</f>
        <v/>
      </c>
      <c r="F378" s="75" t="str">
        <f>IFERROR(IF(OR(B378="",B378="(BLANK)"),"",SUMIFS('Enter Invoices'!G:G,'Enter Invoices'!D:D,B378,'Enter Invoices'!J:J,"C")),"")</f>
        <v/>
      </c>
      <c r="G378" s="46" t="str">
        <f>IFERROR(IF(OR(B378="",B378="(BLANK)"),"",SUMIFS('Enter Invoices'!G:G,'Enter Invoices'!D:D,B378,'Enter Invoices'!J:J,"D")),"")</f>
        <v/>
      </c>
      <c r="H378" s="47" t="str">
        <f t="shared" si="7"/>
        <v/>
      </c>
    </row>
    <row r="379" spans="3:8" s="43" customFormat="1" ht="15" customHeight="1" x14ac:dyDescent="0.25">
      <c r="C379" s="75" t="str">
        <f>IFERROR(VLOOKUP(B379,'Open Invoices'!C:F,4,0),"")</f>
        <v/>
      </c>
      <c r="D379" s="75" t="str">
        <f>IFERROR(IF(OR(B379="",B379="(BLANK)"),"",SUMIFS('Enter Invoices'!G:G,'Enter Invoices'!D:D,B379,'Enter Invoices'!J:J,"A")),"")</f>
        <v/>
      </c>
      <c r="E379" s="75" t="str">
        <f>IFERROR(IF(OR(B379="",B379="(BLANK)"),"",SUMIFS('Enter Invoices'!G:G,'Enter Invoices'!D:D,B379,'Enter Invoices'!J:J,"B")),"")</f>
        <v/>
      </c>
      <c r="F379" s="75" t="str">
        <f>IFERROR(IF(OR(B379="",B379="(BLANK)"),"",SUMIFS('Enter Invoices'!G:G,'Enter Invoices'!D:D,B379,'Enter Invoices'!J:J,"C")),"")</f>
        <v/>
      </c>
      <c r="G379" s="46" t="str">
        <f>IFERROR(IF(OR(B379="",B379="(BLANK)"),"",SUMIFS('Enter Invoices'!G:G,'Enter Invoices'!D:D,B379,'Enter Invoices'!J:J,"D")),"")</f>
        <v/>
      </c>
      <c r="H379" s="47" t="str">
        <f t="shared" si="7"/>
        <v/>
      </c>
    </row>
    <row r="380" spans="3:8" s="43" customFormat="1" ht="15" customHeight="1" x14ac:dyDescent="0.25">
      <c r="C380" s="75" t="str">
        <f>IFERROR(VLOOKUP(B380,'Open Invoices'!C:F,4,0),"")</f>
        <v/>
      </c>
      <c r="D380" s="75" t="str">
        <f>IFERROR(IF(OR(B380="",B380="(BLANK)"),"",SUMIFS('Enter Invoices'!G:G,'Enter Invoices'!D:D,B380,'Enter Invoices'!J:J,"A")),"")</f>
        <v/>
      </c>
      <c r="E380" s="75" t="str">
        <f>IFERROR(IF(OR(B380="",B380="(BLANK)"),"",SUMIFS('Enter Invoices'!G:G,'Enter Invoices'!D:D,B380,'Enter Invoices'!J:J,"B")),"")</f>
        <v/>
      </c>
      <c r="F380" s="75" t="str">
        <f>IFERROR(IF(OR(B380="",B380="(BLANK)"),"",SUMIFS('Enter Invoices'!G:G,'Enter Invoices'!D:D,B380,'Enter Invoices'!J:J,"C")),"")</f>
        <v/>
      </c>
      <c r="G380" s="46" t="str">
        <f>IFERROR(IF(OR(B380="",B380="(BLANK)"),"",SUMIFS('Enter Invoices'!G:G,'Enter Invoices'!D:D,B380,'Enter Invoices'!J:J,"D")),"")</f>
        <v/>
      </c>
      <c r="H380" s="47" t="str">
        <f t="shared" si="7"/>
        <v/>
      </c>
    </row>
    <row r="381" spans="3:8" s="43" customFormat="1" ht="15" customHeight="1" x14ac:dyDescent="0.25">
      <c r="C381" s="75" t="str">
        <f>IFERROR(VLOOKUP(B381,'Open Invoices'!C:F,4,0),"")</f>
        <v/>
      </c>
      <c r="D381" s="75" t="str">
        <f>IFERROR(IF(OR(B381="",B381="(BLANK)"),"",SUMIFS('Enter Invoices'!G:G,'Enter Invoices'!D:D,B381,'Enter Invoices'!J:J,"A")),"")</f>
        <v/>
      </c>
      <c r="E381" s="75" t="str">
        <f>IFERROR(IF(OR(B381="",B381="(BLANK)"),"",SUMIFS('Enter Invoices'!G:G,'Enter Invoices'!D:D,B381,'Enter Invoices'!J:J,"B")),"")</f>
        <v/>
      </c>
      <c r="F381" s="75" t="str">
        <f>IFERROR(IF(OR(B381="",B381="(BLANK)"),"",SUMIFS('Enter Invoices'!G:G,'Enter Invoices'!D:D,B381,'Enter Invoices'!J:J,"C")),"")</f>
        <v/>
      </c>
      <c r="G381" s="46" t="str">
        <f>IFERROR(IF(OR(B381="",B381="(BLANK)"),"",SUMIFS('Enter Invoices'!G:G,'Enter Invoices'!D:D,B381,'Enter Invoices'!J:J,"D")),"")</f>
        <v/>
      </c>
      <c r="H381" s="47" t="str">
        <f t="shared" si="7"/>
        <v/>
      </c>
    </row>
    <row r="382" spans="3:8" s="43" customFormat="1" ht="15" customHeight="1" x14ac:dyDescent="0.25">
      <c r="C382" s="75" t="str">
        <f>IFERROR(VLOOKUP(B382,'Open Invoices'!C:F,4,0),"")</f>
        <v/>
      </c>
      <c r="D382" s="75" t="str">
        <f>IFERROR(IF(OR(B382="",B382="(BLANK)"),"",SUMIFS('Enter Invoices'!G:G,'Enter Invoices'!D:D,B382,'Enter Invoices'!J:J,"A")),"")</f>
        <v/>
      </c>
      <c r="E382" s="75" t="str">
        <f>IFERROR(IF(OR(B382="",B382="(BLANK)"),"",SUMIFS('Enter Invoices'!G:G,'Enter Invoices'!D:D,B382,'Enter Invoices'!J:J,"B")),"")</f>
        <v/>
      </c>
      <c r="F382" s="75" t="str">
        <f>IFERROR(IF(OR(B382="",B382="(BLANK)"),"",SUMIFS('Enter Invoices'!G:G,'Enter Invoices'!D:D,B382,'Enter Invoices'!J:J,"C")),"")</f>
        <v/>
      </c>
      <c r="G382" s="46" t="str">
        <f>IFERROR(IF(OR(B382="",B382="(BLANK)"),"",SUMIFS('Enter Invoices'!G:G,'Enter Invoices'!D:D,B382,'Enter Invoices'!J:J,"D")),"")</f>
        <v/>
      </c>
      <c r="H382" s="47" t="str">
        <f t="shared" si="7"/>
        <v/>
      </c>
    </row>
    <row r="383" spans="3:8" s="43" customFormat="1" ht="15" customHeight="1" x14ac:dyDescent="0.25">
      <c r="C383" s="75" t="str">
        <f>IFERROR(VLOOKUP(B383,'Open Invoices'!C:F,4,0),"")</f>
        <v/>
      </c>
      <c r="D383" s="75" t="str">
        <f>IFERROR(IF(OR(B383="",B383="(BLANK)"),"",SUMIFS('Enter Invoices'!G:G,'Enter Invoices'!D:D,B383,'Enter Invoices'!J:J,"A")),"")</f>
        <v/>
      </c>
      <c r="E383" s="75" t="str">
        <f>IFERROR(IF(OR(B383="",B383="(BLANK)"),"",SUMIFS('Enter Invoices'!G:G,'Enter Invoices'!D:D,B383,'Enter Invoices'!J:J,"B")),"")</f>
        <v/>
      </c>
      <c r="F383" s="75" t="str">
        <f>IFERROR(IF(OR(B383="",B383="(BLANK)"),"",SUMIFS('Enter Invoices'!G:G,'Enter Invoices'!D:D,B383,'Enter Invoices'!J:J,"C")),"")</f>
        <v/>
      </c>
      <c r="G383" s="46" t="str">
        <f>IFERROR(IF(OR(B383="",B383="(BLANK)"),"",SUMIFS('Enter Invoices'!G:G,'Enter Invoices'!D:D,B383,'Enter Invoices'!J:J,"D")),"")</f>
        <v/>
      </c>
      <c r="H383" s="47" t="str">
        <f t="shared" si="7"/>
        <v/>
      </c>
    </row>
    <row r="384" spans="3:8" s="43" customFormat="1" ht="15" customHeight="1" x14ac:dyDescent="0.25">
      <c r="C384" s="75" t="str">
        <f>IFERROR(VLOOKUP(B384,'Open Invoices'!C:F,4,0),"")</f>
        <v/>
      </c>
      <c r="D384" s="75" t="str">
        <f>IFERROR(IF(OR(B384="",B384="(BLANK)"),"",SUMIFS('Enter Invoices'!G:G,'Enter Invoices'!D:D,B384,'Enter Invoices'!J:J,"A")),"")</f>
        <v/>
      </c>
      <c r="E384" s="75" t="str">
        <f>IFERROR(IF(OR(B384="",B384="(BLANK)"),"",SUMIFS('Enter Invoices'!G:G,'Enter Invoices'!D:D,B384,'Enter Invoices'!J:J,"B")),"")</f>
        <v/>
      </c>
      <c r="F384" s="75" t="str">
        <f>IFERROR(IF(OR(B384="",B384="(BLANK)"),"",SUMIFS('Enter Invoices'!G:G,'Enter Invoices'!D:D,B384,'Enter Invoices'!J:J,"C")),"")</f>
        <v/>
      </c>
      <c r="G384" s="46" t="str">
        <f>IFERROR(IF(OR(B384="",B384="(BLANK)"),"",SUMIFS('Enter Invoices'!G:G,'Enter Invoices'!D:D,B384,'Enter Invoices'!J:J,"D")),"")</f>
        <v/>
      </c>
      <c r="H384" s="47" t="str">
        <f t="shared" si="7"/>
        <v/>
      </c>
    </row>
    <row r="385" spans="3:8" s="43" customFormat="1" ht="15" customHeight="1" x14ac:dyDescent="0.25">
      <c r="C385" s="75" t="str">
        <f>IFERROR(VLOOKUP(B385,'Open Invoices'!C:F,4,0),"")</f>
        <v/>
      </c>
      <c r="D385" s="75" t="str">
        <f>IFERROR(IF(OR(B385="",B385="(BLANK)"),"",SUMIFS('Enter Invoices'!G:G,'Enter Invoices'!D:D,B385,'Enter Invoices'!J:J,"A")),"")</f>
        <v/>
      </c>
      <c r="E385" s="75" t="str">
        <f>IFERROR(IF(OR(B385="",B385="(BLANK)"),"",SUMIFS('Enter Invoices'!G:G,'Enter Invoices'!D:D,B385,'Enter Invoices'!J:J,"B")),"")</f>
        <v/>
      </c>
      <c r="F385" s="75" t="str">
        <f>IFERROR(IF(OR(B385="",B385="(BLANK)"),"",SUMIFS('Enter Invoices'!G:G,'Enter Invoices'!D:D,B385,'Enter Invoices'!J:J,"C")),"")</f>
        <v/>
      </c>
      <c r="G385" s="46" t="str">
        <f>IFERROR(IF(OR(B385="",B385="(BLANK)"),"",SUMIFS('Enter Invoices'!G:G,'Enter Invoices'!D:D,B385,'Enter Invoices'!J:J,"D")),"")</f>
        <v/>
      </c>
      <c r="H385" s="47" t="str">
        <f t="shared" si="7"/>
        <v/>
      </c>
    </row>
    <row r="386" spans="3:8" s="43" customFormat="1" ht="15" customHeight="1" x14ac:dyDescent="0.25">
      <c r="C386" s="75" t="str">
        <f>IFERROR(VLOOKUP(B386,'Open Invoices'!C:F,4,0),"")</f>
        <v/>
      </c>
      <c r="D386" s="75" t="str">
        <f>IFERROR(IF(OR(B386="",B386="(BLANK)"),"",SUMIFS('Enter Invoices'!G:G,'Enter Invoices'!D:D,B386,'Enter Invoices'!J:J,"A")),"")</f>
        <v/>
      </c>
      <c r="E386" s="75" t="str">
        <f>IFERROR(IF(OR(B386="",B386="(BLANK)"),"",SUMIFS('Enter Invoices'!G:G,'Enter Invoices'!D:D,B386,'Enter Invoices'!J:J,"B")),"")</f>
        <v/>
      </c>
      <c r="F386" s="75" t="str">
        <f>IFERROR(IF(OR(B386="",B386="(BLANK)"),"",SUMIFS('Enter Invoices'!G:G,'Enter Invoices'!D:D,B386,'Enter Invoices'!J:J,"C")),"")</f>
        <v/>
      </c>
      <c r="G386" s="46" t="str">
        <f>IFERROR(IF(OR(B386="",B386="(BLANK)"),"",SUMIFS('Enter Invoices'!G:G,'Enter Invoices'!D:D,B386,'Enter Invoices'!J:J,"D")),"")</f>
        <v/>
      </c>
      <c r="H386" s="47" t="str">
        <f t="shared" si="7"/>
        <v/>
      </c>
    </row>
    <row r="387" spans="3:8" s="43" customFormat="1" ht="15" customHeight="1" x14ac:dyDescent="0.25">
      <c r="C387" s="75" t="str">
        <f>IFERROR(VLOOKUP(B387,'Open Invoices'!C:F,4,0),"")</f>
        <v/>
      </c>
      <c r="D387" s="75" t="str">
        <f>IFERROR(IF(OR(B387="",B387="(BLANK)"),"",SUMIFS('Enter Invoices'!G:G,'Enter Invoices'!D:D,B387,'Enter Invoices'!J:J,"A")),"")</f>
        <v/>
      </c>
      <c r="E387" s="75" t="str">
        <f>IFERROR(IF(OR(B387="",B387="(BLANK)"),"",SUMIFS('Enter Invoices'!G:G,'Enter Invoices'!D:D,B387,'Enter Invoices'!J:J,"B")),"")</f>
        <v/>
      </c>
      <c r="F387" s="75" t="str">
        <f>IFERROR(IF(OR(B387="",B387="(BLANK)"),"",SUMIFS('Enter Invoices'!G:G,'Enter Invoices'!D:D,B387,'Enter Invoices'!J:J,"C")),"")</f>
        <v/>
      </c>
      <c r="G387" s="46" t="str">
        <f>IFERROR(IF(OR(B387="",B387="(BLANK)"),"",SUMIFS('Enter Invoices'!G:G,'Enter Invoices'!D:D,B387,'Enter Invoices'!J:J,"D")),"")</f>
        <v/>
      </c>
      <c r="H387" s="47" t="str">
        <f t="shared" si="7"/>
        <v/>
      </c>
    </row>
    <row r="388" spans="3:8" s="43" customFormat="1" ht="15" customHeight="1" x14ac:dyDescent="0.25">
      <c r="C388" s="75" t="str">
        <f>IFERROR(VLOOKUP(B388,'Open Invoices'!C:F,4,0),"")</f>
        <v/>
      </c>
      <c r="D388" s="75" t="str">
        <f>IFERROR(IF(OR(B388="",B388="(BLANK)"),"",SUMIFS('Enter Invoices'!G:G,'Enter Invoices'!D:D,B388,'Enter Invoices'!J:J,"A")),"")</f>
        <v/>
      </c>
      <c r="E388" s="75" t="str">
        <f>IFERROR(IF(OR(B388="",B388="(BLANK)"),"",SUMIFS('Enter Invoices'!G:G,'Enter Invoices'!D:D,B388,'Enter Invoices'!J:J,"B")),"")</f>
        <v/>
      </c>
      <c r="F388" s="75" t="str">
        <f>IFERROR(IF(OR(B388="",B388="(BLANK)"),"",SUMIFS('Enter Invoices'!G:G,'Enter Invoices'!D:D,B388,'Enter Invoices'!J:J,"C")),"")</f>
        <v/>
      </c>
      <c r="G388" s="46" t="str">
        <f>IFERROR(IF(OR(B388="",B388="(BLANK)"),"",SUMIFS('Enter Invoices'!G:G,'Enter Invoices'!D:D,B388,'Enter Invoices'!J:J,"D")),"")</f>
        <v/>
      </c>
      <c r="H388" s="47" t="str">
        <f t="shared" si="7"/>
        <v/>
      </c>
    </row>
    <row r="389" spans="3:8" s="43" customFormat="1" ht="15" customHeight="1" x14ac:dyDescent="0.25">
      <c r="C389" s="75" t="str">
        <f>IFERROR(VLOOKUP(B389,'Open Invoices'!C:F,4,0),"")</f>
        <v/>
      </c>
      <c r="D389" s="75" t="str">
        <f>IFERROR(IF(OR(B389="",B389="(BLANK)"),"",SUMIFS('Enter Invoices'!G:G,'Enter Invoices'!D:D,B389,'Enter Invoices'!J:J,"A")),"")</f>
        <v/>
      </c>
      <c r="E389" s="75" t="str">
        <f>IFERROR(IF(OR(B389="",B389="(BLANK)"),"",SUMIFS('Enter Invoices'!G:G,'Enter Invoices'!D:D,B389,'Enter Invoices'!J:J,"B")),"")</f>
        <v/>
      </c>
      <c r="F389" s="75" t="str">
        <f>IFERROR(IF(OR(B389="",B389="(BLANK)"),"",SUMIFS('Enter Invoices'!G:G,'Enter Invoices'!D:D,B389,'Enter Invoices'!J:J,"C")),"")</f>
        <v/>
      </c>
      <c r="G389" s="46" t="str">
        <f>IFERROR(IF(OR(B389="",B389="(BLANK)"),"",SUMIFS('Enter Invoices'!G:G,'Enter Invoices'!D:D,B389,'Enter Invoices'!J:J,"D")),"")</f>
        <v/>
      </c>
      <c r="H389" s="47" t="str">
        <f t="shared" si="7"/>
        <v/>
      </c>
    </row>
    <row r="390" spans="3:8" s="43" customFormat="1" ht="15" customHeight="1" x14ac:dyDescent="0.25">
      <c r="C390" s="75" t="str">
        <f>IFERROR(VLOOKUP(B390,'Open Invoices'!C:F,4,0),"")</f>
        <v/>
      </c>
      <c r="D390" s="75" t="str">
        <f>IFERROR(IF(OR(B390="",B390="(BLANK)"),"",SUMIFS('Enter Invoices'!G:G,'Enter Invoices'!D:D,B390,'Enter Invoices'!J:J,"A")),"")</f>
        <v/>
      </c>
      <c r="E390" s="75" t="str">
        <f>IFERROR(IF(OR(B390="",B390="(BLANK)"),"",SUMIFS('Enter Invoices'!G:G,'Enter Invoices'!D:D,B390,'Enter Invoices'!J:J,"B")),"")</f>
        <v/>
      </c>
      <c r="F390" s="75" t="str">
        <f>IFERROR(IF(OR(B390="",B390="(BLANK)"),"",SUMIFS('Enter Invoices'!G:G,'Enter Invoices'!D:D,B390,'Enter Invoices'!J:J,"C")),"")</f>
        <v/>
      </c>
      <c r="G390" s="46" t="str">
        <f>IFERROR(IF(OR(B390="",B390="(BLANK)"),"",SUMIFS('Enter Invoices'!G:G,'Enter Invoices'!D:D,B390,'Enter Invoices'!J:J,"D")),"")</f>
        <v/>
      </c>
      <c r="H390" s="47" t="str">
        <f t="shared" si="7"/>
        <v/>
      </c>
    </row>
    <row r="391" spans="3:8" s="43" customFormat="1" ht="15" customHeight="1" x14ac:dyDescent="0.25">
      <c r="C391" s="75" t="str">
        <f>IFERROR(VLOOKUP(B391,'Open Invoices'!C:F,4,0),"")</f>
        <v/>
      </c>
      <c r="D391" s="75" t="str">
        <f>IFERROR(IF(OR(B391="",B391="(BLANK)"),"",SUMIFS('Enter Invoices'!G:G,'Enter Invoices'!D:D,B391,'Enter Invoices'!J:J,"A")),"")</f>
        <v/>
      </c>
      <c r="E391" s="75" t="str">
        <f>IFERROR(IF(OR(B391="",B391="(BLANK)"),"",SUMIFS('Enter Invoices'!G:G,'Enter Invoices'!D:D,B391,'Enter Invoices'!J:J,"B")),"")</f>
        <v/>
      </c>
      <c r="F391" s="75" t="str">
        <f>IFERROR(IF(OR(B391="",B391="(BLANK)"),"",SUMIFS('Enter Invoices'!G:G,'Enter Invoices'!D:D,B391,'Enter Invoices'!J:J,"C")),"")</f>
        <v/>
      </c>
      <c r="G391" s="46" t="str">
        <f>IFERROR(IF(OR(B391="",B391="(BLANK)"),"",SUMIFS('Enter Invoices'!G:G,'Enter Invoices'!D:D,B391,'Enter Invoices'!J:J,"D")),"")</f>
        <v/>
      </c>
      <c r="H391" s="47" t="str">
        <f t="shared" si="7"/>
        <v/>
      </c>
    </row>
    <row r="392" spans="3:8" s="43" customFormat="1" ht="15" customHeight="1" x14ac:dyDescent="0.25">
      <c r="C392" s="75" t="str">
        <f>IFERROR(VLOOKUP(B392,'Open Invoices'!C:F,4,0),"")</f>
        <v/>
      </c>
      <c r="D392" s="75" t="str">
        <f>IFERROR(IF(OR(B392="",B392="(BLANK)"),"",SUMIFS('Enter Invoices'!G:G,'Enter Invoices'!D:D,B392,'Enter Invoices'!J:J,"A")),"")</f>
        <v/>
      </c>
      <c r="E392" s="75" t="str">
        <f>IFERROR(IF(OR(B392="",B392="(BLANK)"),"",SUMIFS('Enter Invoices'!G:G,'Enter Invoices'!D:D,B392,'Enter Invoices'!J:J,"B")),"")</f>
        <v/>
      </c>
      <c r="F392" s="75" t="str">
        <f>IFERROR(IF(OR(B392="",B392="(BLANK)"),"",SUMIFS('Enter Invoices'!G:G,'Enter Invoices'!D:D,B392,'Enter Invoices'!J:J,"C")),"")</f>
        <v/>
      </c>
      <c r="G392" s="46" t="str">
        <f>IFERROR(IF(OR(B392="",B392="(BLANK)"),"",SUMIFS('Enter Invoices'!G:G,'Enter Invoices'!D:D,B392,'Enter Invoices'!J:J,"D")),"")</f>
        <v/>
      </c>
      <c r="H392" s="47" t="str">
        <f t="shared" ref="H392:H455" si="8">IF(COUNT(D392:G392)=0,"",SUM(D392:G392))</f>
        <v/>
      </c>
    </row>
    <row r="393" spans="3:8" s="43" customFormat="1" ht="15" customHeight="1" x14ac:dyDescent="0.25">
      <c r="C393" s="75" t="str">
        <f>IFERROR(VLOOKUP(B393,'Open Invoices'!C:F,4,0),"")</f>
        <v/>
      </c>
      <c r="D393" s="75" t="str">
        <f>IFERROR(IF(OR(B393="",B393="(BLANK)"),"",SUMIFS('Enter Invoices'!G:G,'Enter Invoices'!D:D,B393,'Enter Invoices'!J:J,"A")),"")</f>
        <v/>
      </c>
      <c r="E393" s="75" t="str">
        <f>IFERROR(IF(OR(B393="",B393="(BLANK)"),"",SUMIFS('Enter Invoices'!G:G,'Enter Invoices'!D:D,B393,'Enter Invoices'!J:J,"B")),"")</f>
        <v/>
      </c>
      <c r="F393" s="75" t="str">
        <f>IFERROR(IF(OR(B393="",B393="(BLANK)"),"",SUMIFS('Enter Invoices'!G:G,'Enter Invoices'!D:D,B393,'Enter Invoices'!J:J,"C")),"")</f>
        <v/>
      </c>
      <c r="G393" s="46" t="str">
        <f>IFERROR(IF(OR(B393="",B393="(BLANK)"),"",SUMIFS('Enter Invoices'!G:G,'Enter Invoices'!D:D,B393,'Enter Invoices'!J:J,"D")),"")</f>
        <v/>
      </c>
      <c r="H393" s="47" t="str">
        <f t="shared" si="8"/>
        <v/>
      </c>
    </row>
    <row r="394" spans="3:8" s="43" customFormat="1" ht="15" customHeight="1" x14ac:dyDescent="0.25">
      <c r="C394" s="75" t="str">
        <f>IFERROR(VLOOKUP(B394,'Open Invoices'!C:F,4,0),"")</f>
        <v/>
      </c>
      <c r="D394" s="75" t="str">
        <f>IFERROR(IF(OR(B394="",B394="(BLANK)"),"",SUMIFS('Enter Invoices'!G:G,'Enter Invoices'!D:D,B394,'Enter Invoices'!J:J,"A")),"")</f>
        <v/>
      </c>
      <c r="E394" s="75" t="str">
        <f>IFERROR(IF(OR(B394="",B394="(BLANK)"),"",SUMIFS('Enter Invoices'!G:G,'Enter Invoices'!D:D,B394,'Enter Invoices'!J:J,"B")),"")</f>
        <v/>
      </c>
      <c r="F394" s="75" t="str">
        <f>IFERROR(IF(OR(B394="",B394="(BLANK)"),"",SUMIFS('Enter Invoices'!G:G,'Enter Invoices'!D:D,B394,'Enter Invoices'!J:J,"C")),"")</f>
        <v/>
      </c>
      <c r="G394" s="46" t="str">
        <f>IFERROR(IF(OR(B394="",B394="(BLANK)"),"",SUMIFS('Enter Invoices'!G:G,'Enter Invoices'!D:D,B394,'Enter Invoices'!J:J,"D")),"")</f>
        <v/>
      </c>
      <c r="H394" s="47" t="str">
        <f t="shared" si="8"/>
        <v/>
      </c>
    </row>
    <row r="395" spans="3:8" s="43" customFormat="1" ht="15" customHeight="1" x14ac:dyDescent="0.25">
      <c r="C395" s="75" t="str">
        <f>IFERROR(VLOOKUP(B395,'Open Invoices'!C:F,4,0),"")</f>
        <v/>
      </c>
      <c r="D395" s="75" t="str">
        <f>IFERROR(IF(OR(B395="",B395="(BLANK)"),"",SUMIFS('Enter Invoices'!G:G,'Enter Invoices'!D:D,B395,'Enter Invoices'!J:J,"A")),"")</f>
        <v/>
      </c>
      <c r="E395" s="75" t="str">
        <f>IFERROR(IF(OR(B395="",B395="(BLANK)"),"",SUMIFS('Enter Invoices'!G:G,'Enter Invoices'!D:D,B395,'Enter Invoices'!J:J,"B")),"")</f>
        <v/>
      </c>
      <c r="F395" s="75" t="str">
        <f>IFERROR(IF(OR(B395="",B395="(BLANK)"),"",SUMIFS('Enter Invoices'!G:G,'Enter Invoices'!D:D,B395,'Enter Invoices'!J:J,"C")),"")</f>
        <v/>
      </c>
      <c r="G395" s="46" t="str">
        <f>IFERROR(IF(OR(B395="",B395="(BLANK)"),"",SUMIFS('Enter Invoices'!G:G,'Enter Invoices'!D:D,B395,'Enter Invoices'!J:J,"D")),"")</f>
        <v/>
      </c>
      <c r="H395" s="47" t="str">
        <f t="shared" si="8"/>
        <v/>
      </c>
    </row>
    <row r="396" spans="3:8" s="43" customFormat="1" ht="15" customHeight="1" x14ac:dyDescent="0.25">
      <c r="C396" s="75" t="str">
        <f>IFERROR(VLOOKUP(B396,'Open Invoices'!C:F,4,0),"")</f>
        <v/>
      </c>
      <c r="D396" s="75" t="str">
        <f>IFERROR(IF(OR(B396="",B396="(BLANK)"),"",SUMIFS('Enter Invoices'!G:G,'Enter Invoices'!D:D,B396,'Enter Invoices'!J:J,"A")),"")</f>
        <v/>
      </c>
      <c r="E396" s="75" t="str">
        <f>IFERROR(IF(OR(B396="",B396="(BLANK)"),"",SUMIFS('Enter Invoices'!G:G,'Enter Invoices'!D:D,B396,'Enter Invoices'!J:J,"B")),"")</f>
        <v/>
      </c>
      <c r="F396" s="75" t="str">
        <f>IFERROR(IF(OR(B396="",B396="(BLANK)"),"",SUMIFS('Enter Invoices'!G:G,'Enter Invoices'!D:D,B396,'Enter Invoices'!J:J,"C")),"")</f>
        <v/>
      </c>
      <c r="G396" s="46" t="str">
        <f>IFERROR(IF(OR(B396="",B396="(BLANK)"),"",SUMIFS('Enter Invoices'!G:G,'Enter Invoices'!D:D,B396,'Enter Invoices'!J:J,"D")),"")</f>
        <v/>
      </c>
      <c r="H396" s="47" t="str">
        <f t="shared" si="8"/>
        <v/>
      </c>
    </row>
    <row r="397" spans="3:8" s="43" customFormat="1" ht="15" customHeight="1" x14ac:dyDescent="0.25">
      <c r="C397" s="75" t="str">
        <f>IFERROR(VLOOKUP(B397,'Open Invoices'!C:F,4,0),"")</f>
        <v/>
      </c>
      <c r="D397" s="75" t="str">
        <f>IFERROR(IF(OR(B397="",B397="(BLANK)"),"",SUMIFS('Enter Invoices'!G:G,'Enter Invoices'!D:D,B397,'Enter Invoices'!J:J,"A")),"")</f>
        <v/>
      </c>
      <c r="E397" s="75" t="str">
        <f>IFERROR(IF(OR(B397="",B397="(BLANK)"),"",SUMIFS('Enter Invoices'!G:G,'Enter Invoices'!D:D,B397,'Enter Invoices'!J:J,"B")),"")</f>
        <v/>
      </c>
      <c r="F397" s="75" t="str">
        <f>IFERROR(IF(OR(B397="",B397="(BLANK)"),"",SUMIFS('Enter Invoices'!G:G,'Enter Invoices'!D:D,B397,'Enter Invoices'!J:J,"C")),"")</f>
        <v/>
      </c>
      <c r="G397" s="46" t="str">
        <f>IFERROR(IF(OR(B397="",B397="(BLANK)"),"",SUMIFS('Enter Invoices'!G:G,'Enter Invoices'!D:D,B397,'Enter Invoices'!J:J,"D")),"")</f>
        <v/>
      </c>
      <c r="H397" s="47" t="str">
        <f t="shared" si="8"/>
        <v/>
      </c>
    </row>
    <row r="398" spans="3:8" s="43" customFormat="1" ht="15" customHeight="1" x14ac:dyDescent="0.25">
      <c r="C398" s="75" t="str">
        <f>IFERROR(VLOOKUP(B398,'Open Invoices'!C:F,4,0),"")</f>
        <v/>
      </c>
      <c r="D398" s="75" t="str">
        <f>IFERROR(IF(OR(B398="",B398="(BLANK)"),"",SUMIFS('Enter Invoices'!G:G,'Enter Invoices'!D:D,B398,'Enter Invoices'!J:J,"A")),"")</f>
        <v/>
      </c>
      <c r="E398" s="75" t="str">
        <f>IFERROR(IF(OR(B398="",B398="(BLANK)"),"",SUMIFS('Enter Invoices'!G:G,'Enter Invoices'!D:D,B398,'Enter Invoices'!J:J,"B")),"")</f>
        <v/>
      </c>
      <c r="F398" s="75" t="str">
        <f>IFERROR(IF(OR(B398="",B398="(BLANK)"),"",SUMIFS('Enter Invoices'!G:G,'Enter Invoices'!D:D,B398,'Enter Invoices'!J:J,"C")),"")</f>
        <v/>
      </c>
      <c r="G398" s="46" t="str">
        <f>IFERROR(IF(OR(B398="",B398="(BLANK)"),"",SUMIFS('Enter Invoices'!G:G,'Enter Invoices'!D:D,B398,'Enter Invoices'!J:J,"D")),"")</f>
        <v/>
      </c>
      <c r="H398" s="47" t="str">
        <f t="shared" si="8"/>
        <v/>
      </c>
    </row>
    <row r="399" spans="3:8" s="43" customFormat="1" ht="15" customHeight="1" x14ac:dyDescent="0.25">
      <c r="C399" s="75" t="str">
        <f>IFERROR(VLOOKUP(B399,'Open Invoices'!C:F,4,0),"")</f>
        <v/>
      </c>
      <c r="D399" s="75" t="str">
        <f>IFERROR(IF(OR(B399="",B399="(BLANK)"),"",SUMIFS('Enter Invoices'!G:G,'Enter Invoices'!D:D,B399,'Enter Invoices'!J:J,"A")),"")</f>
        <v/>
      </c>
      <c r="E399" s="75" t="str">
        <f>IFERROR(IF(OR(B399="",B399="(BLANK)"),"",SUMIFS('Enter Invoices'!G:G,'Enter Invoices'!D:D,B399,'Enter Invoices'!J:J,"B")),"")</f>
        <v/>
      </c>
      <c r="F399" s="75" t="str">
        <f>IFERROR(IF(OR(B399="",B399="(BLANK)"),"",SUMIFS('Enter Invoices'!G:G,'Enter Invoices'!D:D,B399,'Enter Invoices'!J:J,"C")),"")</f>
        <v/>
      </c>
      <c r="G399" s="46" t="str">
        <f>IFERROR(IF(OR(B399="",B399="(BLANK)"),"",SUMIFS('Enter Invoices'!G:G,'Enter Invoices'!D:D,B399,'Enter Invoices'!J:J,"D")),"")</f>
        <v/>
      </c>
      <c r="H399" s="47" t="str">
        <f t="shared" si="8"/>
        <v/>
      </c>
    </row>
    <row r="400" spans="3:8" s="43" customFormat="1" ht="15" customHeight="1" x14ac:dyDescent="0.25">
      <c r="C400" s="75" t="str">
        <f>IFERROR(VLOOKUP(B400,'Open Invoices'!C:F,4,0),"")</f>
        <v/>
      </c>
      <c r="D400" s="75" t="str">
        <f>IFERROR(IF(OR(B400="",B400="(BLANK)"),"",SUMIFS('Enter Invoices'!G:G,'Enter Invoices'!D:D,B400,'Enter Invoices'!J:J,"A")),"")</f>
        <v/>
      </c>
      <c r="E400" s="75" t="str">
        <f>IFERROR(IF(OR(B400="",B400="(BLANK)"),"",SUMIFS('Enter Invoices'!G:G,'Enter Invoices'!D:D,B400,'Enter Invoices'!J:J,"B")),"")</f>
        <v/>
      </c>
      <c r="F400" s="75" t="str">
        <f>IFERROR(IF(OR(B400="",B400="(BLANK)"),"",SUMIFS('Enter Invoices'!G:G,'Enter Invoices'!D:D,B400,'Enter Invoices'!J:J,"C")),"")</f>
        <v/>
      </c>
      <c r="G400" s="46" t="str">
        <f>IFERROR(IF(OR(B400="",B400="(BLANK)"),"",SUMIFS('Enter Invoices'!G:G,'Enter Invoices'!D:D,B400,'Enter Invoices'!J:J,"D")),"")</f>
        <v/>
      </c>
      <c r="H400" s="47" t="str">
        <f t="shared" si="8"/>
        <v/>
      </c>
    </row>
    <row r="401" spans="3:8" s="43" customFormat="1" ht="15" customHeight="1" x14ac:dyDescent="0.25">
      <c r="C401" s="75" t="str">
        <f>IFERROR(VLOOKUP(B401,'Open Invoices'!C:F,4,0),"")</f>
        <v/>
      </c>
      <c r="D401" s="75" t="str">
        <f>IFERROR(IF(OR(B401="",B401="(BLANK)"),"",SUMIFS('Enter Invoices'!G:G,'Enter Invoices'!D:D,B401,'Enter Invoices'!J:J,"A")),"")</f>
        <v/>
      </c>
      <c r="E401" s="75" t="str">
        <f>IFERROR(IF(OR(B401="",B401="(BLANK)"),"",SUMIFS('Enter Invoices'!G:G,'Enter Invoices'!D:D,B401,'Enter Invoices'!J:J,"B")),"")</f>
        <v/>
      </c>
      <c r="F401" s="75" t="str">
        <f>IFERROR(IF(OR(B401="",B401="(BLANK)"),"",SUMIFS('Enter Invoices'!G:G,'Enter Invoices'!D:D,B401,'Enter Invoices'!J:J,"C")),"")</f>
        <v/>
      </c>
      <c r="G401" s="46" t="str">
        <f>IFERROR(IF(OR(B401="",B401="(BLANK)"),"",SUMIFS('Enter Invoices'!G:G,'Enter Invoices'!D:D,B401,'Enter Invoices'!J:J,"D")),"")</f>
        <v/>
      </c>
      <c r="H401" s="47" t="str">
        <f t="shared" si="8"/>
        <v/>
      </c>
    </row>
    <row r="402" spans="3:8" s="43" customFormat="1" ht="15" customHeight="1" x14ac:dyDescent="0.25">
      <c r="C402" s="75" t="str">
        <f>IFERROR(VLOOKUP(B402,'Open Invoices'!C:F,4,0),"")</f>
        <v/>
      </c>
      <c r="D402" s="75" t="str">
        <f>IFERROR(IF(OR(B402="",B402="(BLANK)"),"",SUMIFS('Enter Invoices'!G:G,'Enter Invoices'!D:D,B402,'Enter Invoices'!J:J,"A")),"")</f>
        <v/>
      </c>
      <c r="E402" s="75" t="str">
        <f>IFERROR(IF(OR(B402="",B402="(BLANK)"),"",SUMIFS('Enter Invoices'!G:G,'Enter Invoices'!D:D,B402,'Enter Invoices'!J:J,"B")),"")</f>
        <v/>
      </c>
      <c r="F402" s="75" t="str">
        <f>IFERROR(IF(OR(B402="",B402="(BLANK)"),"",SUMIFS('Enter Invoices'!G:G,'Enter Invoices'!D:D,B402,'Enter Invoices'!J:J,"C")),"")</f>
        <v/>
      </c>
      <c r="G402" s="46" t="str">
        <f>IFERROR(IF(OR(B402="",B402="(BLANK)"),"",SUMIFS('Enter Invoices'!G:G,'Enter Invoices'!D:D,B402,'Enter Invoices'!J:J,"D")),"")</f>
        <v/>
      </c>
      <c r="H402" s="47" t="str">
        <f t="shared" si="8"/>
        <v/>
      </c>
    </row>
    <row r="403" spans="3:8" s="43" customFormat="1" ht="15" customHeight="1" x14ac:dyDescent="0.25">
      <c r="C403" s="75" t="str">
        <f>IFERROR(VLOOKUP(B403,'Open Invoices'!C:F,4,0),"")</f>
        <v/>
      </c>
      <c r="D403" s="75" t="str">
        <f>IFERROR(IF(OR(B403="",B403="(BLANK)"),"",SUMIFS('Enter Invoices'!G:G,'Enter Invoices'!D:D,B403,'Enter Invoices'!J:J,"A")),"")</f>
        <v/>
      </c>
      <c r="E403" s="75" t="str">
        <f>IFERROR(IF(OR(B403="",B403="(BLANK)"),"",SUMIFS('Enter Invoices'!G:G,'Enter Invoices'!D:D,B403,'Enter Invoices'!J:J,"B")),"")</f>
        <v/>
      </c>
      <c r="F403" s="75" t="str">
        <f>IFERROR(IF(OR(B403="",B403="(BLANK)"),"",SUMIFS('Enter Invoices'!G:G,'Enter Invoices'!D:D,B403,'Enter Invoices'!J:J,"C")),"")</f>
        <v/>
      </c>
      <c r="G403" s="46" t="str">
        <f>IFERROR(IF(OR(B403="",B403="(BLANK)"),"",SUMIFS('Enter Invoices'!G:G,'Enter Invoices'!D:D,B403,'Enter Invoices'!J:J,"D")),"")</f>
        <v/>
      </c>
      <c r="H403" s="47" t="str">
        <f t="shared" si="8"/>
        <v/>
      </c>
    </row>
    <row r="404" spans="3:8" s="43" customFormat="1" ht="15" customHeight="1" x14ac:dyDescent="0.25">
      <c r="C404" s="75" t="str">
        <f>IFERROR(VLOOKUP(B404,'Open Invoices'!C:F,4,0),"")</f>
        <v/>
      </c>
      <c r="D404" s="75" t="str">
        <f>IFERROR(IF(OR(B404="",B404="(BLANK)"),"",SUMIFS('Enter Invoices'!G:G,'Enter Invoices'!D:D,B404,'Enter Invoices'!J:J,"A")),"")</f>
        <v/>
      </c>
      <c r="E404" s="75" t="str">
        <f>IFERROR(IF(OR(B404="",B404="(BLANK)"),"",SUMIFS('Enter Invoices'!G:G,'Enter Invoices'!D:D,B404,'Enter Invoices'!J:J,"B")),"")</f>
        <v/>
      </c>
      <c r="F404" s="75" t="str">
        <f>IFERROR(IF(OR(B404="",B404="(BLANK)"),"",SUMIFS('Enter Invoices'!G:G,'Enter Invoices'!D:D,B404,'Enter Invoices'!J:J,"C")),"")</f>
        <v/>
      </c>
      <c r="G404" s="46" t="str">
        <f>IFERROR(IF(OR(B404="",B404="(BLANK)"),"",SUMIFS('Enter Invoices'!G:G,'Enter Invoices'!D:D,B404,'Enter Invoices'!J:J,"D")),"")</f>
        <v/>
      </c>
      <c r="H404" s="47" t="str">
        <f t="shared" si="8"/>
        <v/>
      </c>
    </row>
    <row r="405" spans="3:8" s="43" customFormat="1" ht="15" customHeight="1" x14ac:dyDescent="0.25">
      <c r="C405" s="75" t="str">
        <f>IFERROR(VLOOKUP(B405,'Open Invoices'!C:F,4,0),"")</f>
        <v/>
      </c>
      <c r="D405" s="75" t="str">
        <f>IFERROR(IF(OR(B405="",B405="(BLANK)"),"",SUMIFS('Enter Invoices'!G:G,'Enter Invoices'!D:D,B405,'Enter Invoices'!J:J,"A")),"")</f>
        <v/>
      </c>
      <c r="E405" s="75" t="str">
        <f>IFERROR(IF(OR(B405="",B405="(BLANK)"),"",SUMIFS('Enter Invoices'!G:G,'Enter Invoices'!D:D,B405,'Enter Invoices'!J:J,"B")),"")</f>
        <v/>
      </c>
      <c r="F405" s="75" t="str">
        <f>IFERROR(IF(OR(B405="",B405="(BLANK)"),"",SUMIFS('Enter Invoices'!G:G,'Enter Invoices'!D:D,B405,'Enter Invoices'!J:J,"C")),"")</f>
        <v/>
      </c>
      <c r="G405" s="46" t="str">
        <f>IFERROR(IF(OR(B405="",B405="(BLANK)"),"",SUMIFS('Enter Invoices'!G:G,'Enter Invoices'!D:D,B405,'Enter Invoices'!J:J,"D")),"")</f>
        <v/>
      </c>
      <c r="H405" s="47" t="str">
        <f t="shared" si="8"/>
        <v/>
      </c>
    </row>
    <row r="406" spans="3:8" s="43" customFormat="1" ht="15" customHeight="1" x14ac:dyDescent="0.25">
      <c r="C406" s="75" t="str">
        <f>IFERROR(VLOOKUP(B406,'Open Invoices'!C:F,4,0),"")</f>
        <v/>
      </c>
      <c r="D406" s="75" t="str">
        <f>IFERROR(IF(OR(B406="",B406="(BLANK)"),"",SUMIFS('Enter Invoices'!G:G,'Enter Invoices'!D:D,B406,'Enter Invoices'!J:J,"A")),"")</f>
        <v/>
      </c>
      <c r="E406" s="75" t="str">
        <f>IFERROR(IF(OR(B406="",B406="(BLANK)"),"",SUMIFS('Enter Invoices'!G:G,'Enter Invoices'!D:D,B406,'Enter Invoices'!J:J,"B")),"")</f>
        <v/>
      </c>
      <c r="F406" s="75" t="str">
        <f>IFERROR(IF(OR(B406="",B406="(BLANK)"),"",SUMIFS('Enter Invoices'!G:G,'Enter Invoices'!D:D,B406,'Enter Invoices'!J:J,"C")),"")</f>
        <v/>
      </c>
      <c r="G406" s="46" t="str">
        <f>IFERROR(IF(OR(B406="",B406="(BLANK)"),"",SUMIFS('Enter Invoices'!G:G,'Enter Invoices'!D:D,B406,'Enter Invoices'!J:J,"D")),"")</f>
        <v/>
      </c>
      <c r="H406" s="47" t="str">
        <f t="shared" si="8"/>
        <v/>
      </c>
    </row>
    <row r="407" spans="3:8" s="43" customFormat="1" ht="15" customHeight="1" x14ac:dyDescent="0.25">
      <c r="C407" s="75" t="str">
        <f>IFERROR(VLOOKUP(B407,'Open Invoices'!C:F,4,0),"")</f>
        <v/>
      </c>
      <c r="D407" s="75" t="str">
        <f>IFERROR(IF(OR(B407="",B407="(BLANK)"),"",SUMIFS('Enter Invoices'!G:G,'Enter Invoices'!D:D,B407,'Enter Invoices'!J:J,"A")),"")</f>
        <v/>
      </c>
      <c r="E407" s="75" t="str">
        <f>IFERROR(IF(OR(B407="",B407="(BLANK)"),"",SUMIFS('Enter Invoices'!G:G,'Enter Invoices'!D:D,B407,'Enter Invoices'!J:J,"B")),"")</f>
        <v/>
      </c>
      <c r="F407" s="75" t="str">
        <f>IFERROR(IF(OR(B407="",B407="(BLANK)"),"",SUMIFS('Enter Invoices'!G:G,'Enter Invoices'!D:D,B407,'Enter Invoices'!J:J,"C")),"")</f>
        <v/>
      </c>
      <c r="G407" s="46" t="str">
        <f>IFERROR(IF(OR(B407="",B407="(BLANK)"),"",SUMIFS('Enter Invoices'!G:G,'Enter Invoices'!D:D,B407,'Enter Invoices'!J:J,"D")),"")</f>
        <v/>
      </c>
      <c r="H407" s="47" t="str">
        <f t="shared" si="8"/>
        <v/>
      </c>
    </row>
    <row r="408" spans="3:8" s="43" customFormat="1" ht="15" customHeight="1" x14ac:dyDescent="0.25">
      <c r="C408" s="75" t="str">
        <f>IFERROR(VLOOKUP(B408,'Open Invoices'!C:F,4,0),"")</f>
        <v/>
      </c>
      <c r="D408" s="75" t="str">
        <f>IFERROR(IF(OR(B408="",B408="(BLANK)"),"",SUMIFS('Enter Invoices'!G:G,'Enter Invoices'!D:D,B408,'Enter Invoices'!J:J,"A")),"")</f>
        <v/>
      </c>
      <c r="E408" s="75" t="str">
        <f>IFERROR(IF(OR(B408="",B408="(BLANK)"),"",SUMIFS('Enter Invoices'!G:G,'Enter Invoices'!D:D,B408,'Enter Invoices'!J:J,"B")),"")</f>
        <v/>
      </c>
      <c r="F408" s="75" t="str">
        <f>IFERROR(IF(OR(B408="",B408="(BLANK)"),"",SUMIFS('Enter Invoices'!G:G,'Enter Invoices'!D:D,B408,'Enter Invoices'!J:J,"C")),"")</f>
        <v/>
      </c>
      <c r="G408" s="46" t="str">
        <f>IFERROR(IF(OR(B408="",B408="(BLANK)"),"",SUMIFS('Enter Invoices'!G:G,'Enter Invoices'!D:D,B408,'Enter Invoices'!J:J,"D")),"")</f>
        <v/>
      </c>
      <c r="H408" s="47" t="str">
        <f t="shared" si="8"/>
        <v/>
      </c>
    </row>
    <row r="409" spans="3:8" s="43" customFormat="1" ht="15" customHeight="1" x14ac:dyDescent="0.25">
      <c r="C409" s="75" t="str">
        <f>IFERROR(VLOOKUP(B409,'Open Invoices'!C:F,4,0),"")</f>
        <v/>
      </c>
      <c r="D409" s="75" t="str">
        <f>IFERROR(IF(OR(B409="",B409="(BLANK)"),"",SUMIFS('Enter Invoices'!G:G,'Enter Invoices'!D:D,B409,'Enter Invoices'!J:J,"A")),"")</f>
        <v/>
      </c>
      <c r="E409" s="75" t="str">
        <f>IFERROR(IF(OR(B409="",B409="(BLANK)"),"",SUMIFS('Enter Invoices'!G:G,'Enter Invoices'!D:D,B409,'Enter Invoices'!J:J,"B")),"")</f>
        <v/>
      </c>
      <c r="F409" s="75" t="str">
        <f>IFERROR(IF(OR(B409="",B409="(BLANK)"),"",SUMIFS('Enter Invoices'!G:G,'Enter Invoices'!D:D,B409,'Enter Invoices'!J:J,"C")),"")</f>
        <v/>
      </c>
      <c r="G409" s="46" t="str">
        <f>IFERROR(IF(OR(B409="",B409="(BLANK)"),"",SUMIFS('Enter Invoices'!G:G,'Enter Invoices'!D:D,B409,'Enter Invoices'!J:J,"D")),"")</f>
        <v/>
      </c>
      <c r="H409" s="47" t="str">
        <f t="shared" si="8"/>
        <v/>
      </c>
    </row>
    <row r="410" spans="3:8" s="43" customFormat="1" ht="15" customHeight="1" x14ac:dyDescent="0.25">
      <c r="C410" s="75" t="str">
        <f>IFERROR(VLOOKUP(B410,'Open Invoices'!C:F,4,0),"")</f>
        <v/>
      </c>
      <c r="D410" s="75" t="str">
        <f>IFERROR(IF(OR(B410="",B410="(BLANK)"),"",SUMIFS('Enter Invoices'!G:G,'Enter Invoices'!D:D,B410,'Enter Invoices'!J:J,"A")),"")</f>
        <v/>
      </c>
      <c r="E410" s="75" t="str">
        <f>IFERROR(IF(OR(B410="",B410="(BLANK)"),"",SUMIFS('Enter Invoices'!G:G,'Enter Invoices'!D:D,B410,'Enter Invoices'!J:J,"B")),"")</f>
        <v/>
      </c>
      <c r="F410" s="75" t="str">
        <f>IFERROR(IF(OR(B410="",B410="(BLANK)"),"",SUMIFS('Enter Invoices'!G:G,'Enter Invoices'!D:D,B410,'Enter Invoices'!J:J,"C")),"")</f>
        <v/>
      </c>
      <c r="G410" s="46" t="str">
        <f>IFERROR(IF(OR(B410="",B410="(BLANK)"),"",SUMIFS('Enter Invoices'!G:G,'Enter Invoices'!D:D,B410,'Enter Invoices'!J:J,"D")),"")</f>
        <v/>
      </c>
      <c r="H410" s="47" t="str">
        <f t="shared" si="8"/>
        <v/>
      </c>
    </row>
    <row r="411" spans="3:8" s="43" customFormat="1" ht="15" customHeight="1" x14ac:dyDescent="0.25">
      <c r="C411" s="75" t="str">
        <f>IFERROR(VLOOKUP(B411,'Open Invoices'!C:F,4,0),"")</f>
        <v/>
      </c>
      <c r="D411" s="75" t="str">
        <f>IFERROR(IF(OR(B411="",B411="(BLANK)"),"",SUMIFS('Enter Invoices'!G:G,'Enter Invoices'!D:D,B411,'Enter Invoices'!J:J,"A")),"")</f>
        <v/>
      </c>
      <c r="E411" s="75" t="str">
        <f>IFERROR(IF(OR(B411="",B411="(BLANK)"),"",SUMIFS('Enter Invoices'!G:G,'Enter Invoices'!D:D,B411,'Enter Invoices'!J:J,"B")),"")</f>
        <v/>
      </c>
      <c r="F411" s="75" t="str">
        <f>IFERROR(IF(OR(B411="",B411="(BLANK)"),"",SUMIFS('Enter Invoices'!G:G,'Enter Invoices'!D:D,B411,'Enter Invoices'!J:J,"C")),"")</f>
        <v/>
      </c>
      <c r="G411" s="46" t="str">
        <f>IFERROR(IF(OR(B411="",B411="(BLANK)"),"",SUMIFS('Enter Invoices'!G:G,'Enter Invoices'!D:D,B411,'Enter Invoices'!J:J,"D")),"")</f>
        <v/>
      </c>
      <c r="H411" s="47" t="str">
        <f t="shared" si="8"/>
        <v/>
      </c>
    </row>
    <row r="412" spans="3:8" s="43" customFormat="1" ht="15" customHeight="1" x14ac:dyDescent="0.25">
      <c r="C412" s="75" t="str">
        <f>IFERROR(VLOOKUP(B412,'Open Invoices'!C:F,4,0),"")</f>
        <v/>
      </c>
      <c r="D412" s="75" t="str">
        <f>IFERROR(IF(OR(B412="",B412="(BLANK)"),"",SUMIFS('Enter Invoices'!G:G,'Enter Invoices'!D:D,B412,'Enter Invoices'!J:J,"A")),"")</f>
        <v/>
      </c>
      <c r="E412" s="75" t="str">
        <f>IFERROR(IF(OR(B412="",B412="(BLANK)"),"",SUMIFS('Enter Invoices'!G:G,'Enter Invoices'!D:D,B412,'Enter Invoices'!J:J,"B")),"")</f>
        <v/>
      </c>
      <c r="F412" s="75" t="str">
        <f>IFERROR(IF(OR(B412="",B412="(BLANK)"),"",SUMIFS('Enter Invoices'!G:G,'Enter Invoices'!D:D,B412,'Enter Invoices'!J:J,"C")),"")</f>
        <v/>
      </c>
      <c r="G412" s="46" t="str">
        <f>IFERROR(IF(OR(B412="",B412="(BLANK)"),"",SUMIFS('Enter Invoices'!G:G,'Enter Invoices'!D:D,B412,'Enter Invoices'!J:J,"D")),"")</f>
        <v/>
      </c>
      <c r="H412" s="47" t="str">
        <f t="shared" si="8"/>
        <v/>
      </c>
    </row>
    <row r="413" spans="3:8" s="43" customFormat="1" ht="15" customHeight="1" x14ac:dyDescent="0.25">
      <c r="C413" s="75" t="str">
        <f>IFERROR(VLOOKUP(B413,'Open Invoices'!C:F,4,0),"")</f>
        <v/>
      </c>
      <c r="D413" s="75" t="str">
        <f>IFERROR(IF(OR(B413="",B413="(BLANK)"),"",SUMIFS('Enter Invoices'!G:G,'Enter Invoices'!D:D,B413,'Enter Invoices'!J:J,"A")),"")</f>
        <v/>
      </c>
      <c r="E413" s="75" t="str">
        <f>IFERROR(IF(OR(B413="",B413="(BLANK)"),"",SUMIFS('Enter Invoices'!G:G,'Enter Invoices'!D:D,B413,'Enter Invoices'!J:J,"B")),"")</f>
        <v/>
      </c>
      <c r="F413" s="75" t="str">
        <f>IFERROR(IF(OR(B413="",B413="(BLANK)"),"",SUMIFS('Enter Invoices'!G:G,'Enter Invoices'!D:D,B413,'Enter Invoices'!J:J,"C")),"")</f>
        <v/>
      </c>
      <c r="G413" s="46" t="str">
        <f>IFERROR(IF(OR(B413="",B413="(BLANK)"),"",SUMIFS('Enter Invoices'!G:G,'Enter Invoices'!D:D,B413,'Enter Invoices'!J:J,"D")),"")</f>
        <v/>
      </c>
      <c r="H413" s="47" t="str">
        <f t="shared" si="8"/>
        <v/>
      </c>
    </row>
    <row r="414" spans="3:8" s="43" customFormat="1" ht="15" customHeight="1" x14ac:dyDescent="0.25">
      <c r="C414" s="75" t="str">
        <f>IFERROR(VLOOKUP(B414,'Open Invoices'!C:F,4,0),"")</f>
        <v/>
      </c>
      <c r="D414" s="75" t="str">
        <f>IFERROR(IF(OR(B414="",B414="(BLANK)"),"",SUMIFS('Enter Invoices'!G:G,'Enter Invoices'!D:D,B414,'Enter Invoices'!J:J,"A")),"")</f>
        <v/>
      </c>
      <c r="E414" s="75" t="str">
        <f>IFERROR(IF(OR(B414="",B414="(BLANK)"),"",SUMIFS('Enter Invoices'!G:G,'Enter Invoices'!D:D,B414,'Enter Invoices'!J:J,"B")),"")</f>
        <v/>
      </c>
      <c r="F414" s="75" t="str">
        <f>IFERROR(IF(OR(B414="",B414="(BLANK)"),"",SUMIFS('Enter Invoices'!G:G,'Enter Invoices'!D:D,B414,'Enter Invoices'!J:J,"C")),"")</f>
        <v/>
      </c>
      <c r="G414" s="46" t="str">
        <f>IFERROR(IF(OR(B414="",B414="(BLANK)"),"",SUMIFS('Enter Invoices'!G:G,'Enter Invoices'!D:D,B414,'Enter Invoices'!J:J,"D")),"")</f>
        <v/>
      </c>
      <c r="H414" s="47" t="str">
        <f t="shared" si="8"/>
        <v/>
      </c>
    </row>
    <row r="415" spans="3:8" s="43" customFormat="1" ht="15" customHeight="1" x14ac:dyDescent="0.25">
      <c r="C415" s="75" t="str">
        <f>IFERROR(VLOOKUP(B415,'Open Invoices'!C:F,4,0),"")</f>
        <v/>
      </c>
      <c r="D415" s="75" t="str">
        <f>IFERROR(IF(OR(B415="",B415="(BLANK)"),"",SUMIFS('Enter Invoices'!G:G,'Enter Invoices'!D:D,B415,'Enter Invoices'!J:J,"A")),"")</f>
        <v/>
      </c>
      <c r="E415" s="75" t="str">
        <f>IFERROR(IF(OR(B415="",B415="(BLANK)"),"",SUMIFS('Enter Invoices'!G:G,'Enter Invoices'!D:D,B415,'Enter Invoices'!J:J,"B")),"")</f>
        <v/>
      </c>
      <c r="F415" s="75" t="str">
        <f>IFERROR(IF(OR(B415="",B415="(BLANK)"),"",SUMIFS('Enter Invoices'!G:G,'Enter Invoices'!D:D,B415,'Enter Invoices'!J:J,"C")),"")</f>
        <v/>
      </c>
      <c r="G415" s="46" t="str">
        <f>IFERROR(IF(OR(B415="",B415="(BLANK)"),"",SUMIFS('Enter Invoices'!G:G,'Enter Invoices'!D:D,B415,'Enter Invoices'!J:J,"D")),"")</f>
        <v/>
      </c>
      <c r="H415" s="47" t="str">
        <f t="shared" si="8"/>
        <v/>
      </c>
    </row>
    <row r="416" spans="3:8" s="43" customFormat="1" ht="15" customHeight="1" x14ac:dyDescent="0.25">
      <c r="C416" s="75" t="str">
        <f>IFERROR(VLOOKUP(B416,'Open Invoices'!C:F,4,0),"")</f>
        <v/>
      </c>
      <c r="D416" s="75" t="str">
        <f>IFERROR(IF(OR(B416="",B416="(BLANK)"),"",SUMIFS('Enter Invoices'!G:G,'Enter Invoices'!D:D,B416,'Enter Invoices'!J:J,"A")),"")</f>
        <v/>
      </c>
      <c r="E416" s="75" t="str">
        <f>IFERROR(IF(OR(B416="",B416="(BLANK)"),"",SUMIFS('Enter Invoices'!G:G,'Enter Invoices'!D:D,B416,'Enter Invoices'!J:J,"B")),"")</f>
        <v/>
      </c>
      <c r="F416" s="75" t="str">
        <f>IFERROR(IF(OR(B416="",B416="(BLANK)"),"",SUMIFS('Enter Invoices'!G:G,'Enter Invoices'!D:D,B416,'Enter Invoices'!J:J,"C")),"")</f>
        <v/>
      </c>
      <c r="G416" s="46" t="str">
        <f>IFERROR(IF(OR(B416="",B416="(BLANK)"),"",SUMIFS('Enter Invoices'!G:G,'Enter Invoices'!D:D,B416,'Enter Invoices'!J:J,"D")),"")</f>
        <v/>
      </c>
      <c r="H416" s="47" t="str">
        <f t="shared" si="8"/>
        <v/>
      </c>
    </row>
    <row r="417" spans="3:8" s="43" customFormat="1" ht="15" customHeight="1" x14ac:dyDescent="0.25">
      <c r="C417" s="75" t="str">
        <f>IFERROR(VLOOKUP(B417,'Open Invoices'!C:F,4,0),"")</f>
        <v/>
      </c>
      <c r="D417" s="75" t="str">
        <f>IFERROR(IF(OR(B417="",B417="(BLANK)"),"",SUMIFS('Enter Invoices'!G:G,'Enter Invoices'!D:D,B417,'Enter Invoices'!J:J,"A")),"")</f>
        <v/>
      </c>
      <c r="E417" s="75" t="str">
        <f>IFERROR(IF(OR(B417="",B417="(BLANK)"),"",SUMIFS('Enter Invoices'!G:G,'Enter Invoices'!D:D,B417,'Enter Invoices'!J:J,"B")),"")</f>
        <v/>
      </c>
      <c r="F417" s="75" t="str">
        <f>IFERROR(IF(OR(B417="",B417="(BLANK)"),"",SUMIFS('Enter Invoices'!G:G,'Enter Invoices'!D:D,B417,'Enter Invoices'!J:J,"C")),"")</f>
        <v/>
      </c>
      <c r="G417" s="46" t="str">
        <f>IFERROR(IF(OR(B417="",B417="(BLANK)"),"",SUMIFS('Enter Invoices'!G:G,'Enter Invoices'!D:D,B417,'Enter Invoices'!J:J,"D")),"")</f>
        <v/>
      </c>
      <c r="H417" s="47" t="str">
        <f t="shared" si="8"/>
        <v/>
      </c>
    </row>
    <row r="418" spans="3:8" s="43" customFormat="1" ht="15" customHeight="1" x14ac:dyDescent="0.25">
      <c r="C418" s="75" t="str">
        <f>IFERROR(VLOOKUP(B418,'Open Invoices'!C:F,4,0),"")</f>
        <v/>
      </c>
      <c r="D418" s="75" t="str">
        <f>IFERROR(IF(OR(B418="",B418="(BLANK)"),"",SUMIFS('Enter Invoices'!G:G,'Enter Invoices'!D:D,B418,'Enter Invoices'!J:J,"A")),"")</f>
        <v/>
      </c>
      <c r="E418" s="75" t="str">
        <f>IFERROR(IF(OR(B418="",B418="(BLANK)"),"",SUMIFS('Enter Invoices'!G:G,'Enter Invoices'!D:D,B418,'Enter Invoices'!J:J,"B")),"")</f>
        <v/>
      </c>
      <c r="F418" s="75" t="str">
        <f>IFERROR(IF(OR(B418="",B418="(BLANK)"),"",SUMIFS('Enter Invoices'!G:G,'Enter Invoices'!D:D,B418,'Enter Invoices'!J:J,"C")),"")</f>
        <v/>
      </c>
      <c r="G418" s="46" t="str">
        <f>IFERROR(IF(OR(B418="",B418="(BLANK)"),"",SUMIFS('Enter Invoices'!G:G,'Enter Invoices'!D:D,B418,'Enter Invoices'!J:J,"D")),"")</f>
        <v/>
      </c>
      <c r="H418" s="47" t="str">
        <f t="shared" si="8"/>
        <v/>
      </c>
    </row>
    <row r="419" spans="3:8" s="43" customFormat="1" ht="15" customHeight="1" x14ac:dyDescent="0.25">
      <c r="C419" s="75" t="str">
        <f>IFERROR(VLOOKUP(B419,'Open Invoices'!C:F,4,0),"")</f>
        <v/>
      </c>
      <c r="D419" s="75" t="str">
        <f>IFERROR(IF(OR(B419="",B419="(BLANK)"),"",SUMIFS('Enter Invoices'!G:G,'Enter Invoices'!D:D,B419,'Enter Invoices'!J:J,"A")),"")</f>
        <v/>
      </c>
      <c r="E419" s="75" t="str">
        <f>IFERROR(IF(OR(B419="",B419="(BLANK)"),"",SUMIFS('Enter Invoices'!G:G,'Enter Invoices'!D:D,B419,'Enter Invoices'!J:J,"B")),"")</f>
        <v/>
      </c>
      <c r="F419" s="75" t="str">
        <f>IFERROR(IF(OR(B419="",B419="(BLANK)"),"",SUMIFS('Enter Invoices'!G:G,'Enter Invoices'!D:D,B419,'Enter Invoices'!J:J,"C")),"")</f>
        <v/>
      </c>
      <c r="G419" s="46" t="str">
        <f>IFERROR(IF(OR(B419="",B419="(BLANK)"),"",SUMIFS('Enter Invoices'!G:G,'Enter Invoices'!D:D,B419,'Enter Invoices'!J:J,"D")),"")</f>
        <v/>
      </c>
      <c r="H419" s="47" t="str">
        <f t="shared" si="8"/>
        <v/>
      </c>
    </row>
    <row r="420" spans="3:8" s="43" customFormat="1" ht="15" customHeight="1" x14ac:dyDescent="0.25">
      <c r="C420" s="75" t="str">
        <f>IFERROR(VLOOKUP(B420,'Open Invoices'!C:F,4,0),"")</f>
        <v/>
      </c>
      <c r="D420" s="75" t="str">
        <f>IFERROR(IF(OR(B420="",B420="(BLANK)"),"",SUMIFS('Enter Invoices'!G:G,'Enter Invoices'!D:D,B420,'Enter Invoices'!J:J,"A")),"")</f>
        <v/>
      </c>
      <c r="E420" s="75" t="str">
        <f>IFERROR(IF(OR(B420="",B420="(BLANK)"),"",SUMIFS('Enter Invoices'!G:G,'Enter Invoices'!D:D,B420,'Enter Invoices'!J:J,"B")),"")</f>
        <v/>
      </c>
      <c r="F420" s="75" t="str">
        <f>IFERROR(IF(OR(B420="",B420="(BLANK)"),"",SUMIFS('Enter Invoices'!G:G,'Enter Invoices'!D:D,B420,'Enter Invoices'!J:J,"C")),"")</f>
        <v/>
      </c>
      <c r="G420" s="46" t="str">
        <f>IFERROR(IF(OR(B420="",B420="(BLANK)"),"",SUMIFS('Enter Invoices'!G:G,'Enter Invoices'!D:D,B420,'Enter Invoices'!J:J,"D")),"")</f>
        <v/>
      </c>
      <c r="H420" s="47" t="str">
        <f t="shared" si="8"/>
        <v/>
      </c>
    </row>
    <row r="421" spans="3:8" s="43" customFormat="1" ht="15" customHeight="1" x14ac:dyDescent="0.25">
      <c r="C421" s="75" t="str">
        <f>IFERROR(VLOOKUP(B421,'Open Invoices'!C:F,4,0),"")</f>
        <v/>
      </c>
      <c r="D421" s="75" t="str">
        <f>IFERROR(IF(OR(B421="",B421="(BLANK)"),"",SUMIFS('Enter Invoices'!G:G,'Enter Invoices'!D:D,B421,'Enter Invoices'!J:J,"A")),"")</f>
        <v/>
      </c>
      <c r="E421" s="75" t="str">
        <f>IFERROR(IF(OR(B421="",B421="(BLANK)"),"",SUMIFS('Enter Invoices'!G:G,'Enter Invoices'!D:D,B421,'Enter Invoices'!J:J,"B")),"")</f>
        <v/>
      </c>
      <c r="F421" s="75" t="str">
        <f>IFERROR(IF(OR(B421="",B421="(BLANK)"),"",SUMIFS('Enter Invoices'!G:G,'Enter Invoices'!D:D,B421,'Enter Invoices'!J:J,"C")),"")</f>
        <v/>
      </c>
      <c r="G421" s="46" t="str">
        <f>IFERROR(IF(OR(B421="",B421="(BLANK)"),"",SUMIFS('Enter Invoices'!G:G,'Enter Invoices'!D:D,B421,'Enter Invoices'!J:J,"D")),"")</f>
        <v/>
      </c>
      <c r="H421" s="47" t="str">
        <f t="shared" si="8"/>
        <v/>
      </c>
    </row>
    <row r="422" spans="3:8" s="43" customFormat="1" ht="15" customHeight="1" x14ac:dyDescent="0.25">
      <c r="C422" s="75" t="str">
        <f>IFERROR(VLOOKUP(B422,'Open Invoices'!C:F,4,0),"")</f>
        <v/>
      </c>
      <c r="D422" s="75" t="str">
        <f>IFERROR(IF(OR(B422="",B422="(BLANK)"),"",SUMIFS('Enter Invoices'!G:G,'Enter Invoices'!D:D,B422,'Enter Invoices'!J:J,"A")),"")</f>
        <v/>
      </c>
      <c r="E422" s="75" t="str">
        <f>IFERROR(IF(OR(B422="",B422="(BLANK)"),"",SUMIFS('Enter Invoices'!G:G,'Enter Invoices'!D:D,B422,'Enter Invoices'!J:J,"B")),"")</f>
        <v/>
      </c>
      <c r="F422" s="75" t="str">
        <f>IFERROR(IF(OR(B422="",B422="(BLANK)"),"",SUMIFS('Enter Invoices'!G:G,'Enter Invoices'!D:D,B422,'Enter Invoices'!J:J,"C")),"")</f>
        <v/>
      </c>
      <c r="G422" s="46" t="str">
        <f>IFERROR(IF(OR(B422="",B422="(BLANK)"),"",SUMIFS('Enter Invoices'!G:G,'Enter Invoices'!D:D,B422,'Enter Invoices'!J:J,"D")),"")</f>
        <v/>
      </c>
      <c r="H422" s="47" t="str">
        <f t="shared" si="8"/>
        <v/>
      </c>
    </row>
    <row r="423" spans="3:8" s="43" customFormat="1" ht="15" customHeight="1" x14ac:dyDescent="0.25">
      <c r="C423" s="75" t="str">
        <f>IFERROR(VLOOKUP(B423,'Open Invoices'!C:F,4,0),"")</f>
        <v/>
      </c>
      <c r="D423" s="75" t="str">
        <f>IFERROR(IF(OR(B423="",B423="(BLANK)"),"",SUMIFS('Enter Invoices'!G:G,'Enter Invoices'!D:D,B423,'Enter Invoices'!J:J,"A")),"")</f>
        <v/>
      </c>
      <c r="E423" s="75" t="str">
        <f>IFERROR(IF(OR(B423="",B423="(BLANK)"),"",SUMIFS('Enter Invoices'!G:G,'Enter Invoices'!D:D,B423,'Enter Invoices'!J:J,"B")),"")</f>
        <v/>
      </c>
      <c r="F423" s="75" t="str">
        <f>IFERROR(IF(OR(B423="",B423="(BLANK)"),"",SUMIFS('Enter Invoices'!G:G,'Enter Invoices'!D:D,B423,'Enter Invoices'!J:J,"C")),"")</f>
        <v/>
      </c>
      <c r="G423" s="46" t="str">
        <f>IFERROR(IF(OR(B423="",B423="(BLANK)"),"",SUMIFS('Enter Invoices'!G:G,'Enter Invoices'!D:D,B423,'Enter Invoices'!J:J,"D")),"")</f>
        <v/>
      </c>
      <c r="H423" s="47" t="str">
        <f t="shared" si="8"/>
        <v/>
      </c>
    </row>
    <row r="424" spans="3:8" s="43" customFormat="1" ht="15" customHeight="1" x14ac:dyDescent="0.25">
      <c r="C424" s="75" t="str">
        <f>IFERROR(VLOOKUP(B424,'Open Invoices'!C:F,4,0),"")</f>
        <v/>
      </c>
      <c r="D424" s="75" t="str">
        <f>IFERROR(IF(OR(B424="",B424="(BLANK)"),"",SUMIFS('Enter Invoices'!G:G,'Enter Invoices'!D:D,B424,'Enter Invoices'!J:J,"A")),"")</f>
        <v/>
      </c>
      <c r="E424" s="75" t="str">
        <f>IFERROR(IF(OR(B424="",B424="(BLANK)"),"",SUMIFS('Enter Invoices'!G:G,'Enter Invoices'!D:D,B424,'Enter Invoices'!J:J,"B")),"")</f>
        <v/>
      </c>
      <c r="F424" s="75" t="str">
        <f>IFERROR(IF(OR(B424="",B424="(BLANK)"),"",SUMIFS('Enter Invoices'!G:G,'Enter Invoices'!D:D,B424,'Enter Invoices'!J:J,"C")),"")</f>
        <v/>
      </c>
      <c r="G424" s="46" t="str">
        <f>IFERROR(IF(OR(B424="",B424="(BLANK)"),"",SUMIFS('Enter Invoices'!G:G,'Enter Invoices'!D:D,B424,'Enter Invoices'!J:J,"D")),"")</f>
        <v/>
      </c>
      <c r="H424" s="47" t="str">
        <f t="shared" si="8"/>
        <v/>
      </c>
    </row>
    <row r="425" spans="3:8" s="43" customFormat="1" ht="15" customHeight="1" x14ac:dyDescent="0.25">
      <c r="C425" s="75" t="str">
        <f>IFERROR(VLOOKUP(B425,'Open Invoices'!C:F,4,0),"")</f>
        <v/>
      </c>
      <c r="D425" s="75" t="str">
        <f>IFERROR(IF(OR(B425="",B425="(BLANK)"),"",SUMIFS('Enter Invoices'!G:G,'Enter Invoices'!D:D,B425,'Enter Invoices'!J:J,"A")),"")</f>
        <v/>
      </c>
      <c r="E425" s="75" t="str">
        <f>IFERROR(IF(OR(B425="",B425="(BLANK)"),"",SUMIFS('Enter Invoices'!G:G,'Enter Invoices'!D:D,B425,'Enter Invoices'!J:J,"B")),"")</f>
        <v/>
      </c>
      <c r="F425" s="75" t="str">
        <f>IFERROR(IF(OR(B425="",B425="(BLANK)"),"",SUMIFS('Enter Invoices'!G:G,'Enter Invoices'!D:D,B425,'Enter Invoices'!J:J,"C")),"")</f>
        <v/>
      </c>
      <c r="G425" s="46" t="str">
        <f>IFERROR(IF(OR(B425="",B425="(BLANK)"),"",SUMIFS('Enter Invoices'!G:G,'Enter Invoices'!D:D,B425,'Enter Invoices'!J:J,"D")),"")</f>
        <v/>
      </c>
      <c r="H425" s="47" t="str">
        <f t="shared" si="8"/>
        <v/>
      </c>
    </row>
    <row r="426" spans="3:8" s="43" customFormat="1" ht="15" customHeight="1" x14ac:dyDescent="0.25">
      <c r="C426" s="75" t="str">
        <f>IFERROR(VLOOKUP(B426,'Open Invoices'!C:F,4,0),"")</f>
        <v/>
      </c>
      <c r="D426" s="75" t="str">
        <f>IFERROR(IF(OR(B426="",B426="(BLANK)"),"",SUMIFS('Enter Invoices'!G:G,'Enter Invoices'!D:D,B426,'Enter Invoices'!J:J,"A")),"")</f>
        <v/>
      </c>
      <c r="E426" s="75" t="str">
        <f>IFERROR(IF(OR(B426="",B426="(BLANK)"),"",SUMIFS('Enter Invoices'!G:G,'Enter Invoices'!D:D,B426,'Enter Invoices'!J:J,"B")),"")</f>
        <v/>
      </c>
      <c r="F426" s="75" t="str">
        <f>IFERROR(IF(OR(B426="",B426="(BLANK)"),"",SUMIFS('Enter Invoices'!G:G,'Enter Invoices'!D:D,B426,'Enter Invoices'!J:J,"C")),"")</f>
        <v/>
      </c>
      <c r="G426" s="46" t="str">
        <f>IFERROR(IF(OR(B426="",B426="(BLANK)"),"",SUMIFS('Enter Invoices'!G:G,'Enter Invoices'!D:D,B426,'Enter Invoices'!J:J,"D")),"")</f>
        <v/>
      </c>
      <c r="H426" s="47" t="str">
        <f t="shared" si="8"/>
        <v/>
      </c>
    </row>
    <row r="427" spans="3:8" s="43" customFormat="1" ht="15" customHeight="1" x14ac:dyDescent="0.25">
      <c r="C427" s="75" t="str">
        <f>IFERROR(VLOOKUP(B427,'Open Invoices'!C:F,4,0),"")</f>
        <v/>
      </c>
      <c r="D427" s="75" t="str">
        <f>IFERROR(IF(OR(B427="",B427="(BLANK)"),"",SUMIFS('Enter Invoices'!G:G,'Enter Invoices'!D:D,B427,'Enter Invoices'!J:J,"A")),"")</f>
        <v/>
      </c>
      <c r="E427" s="75" t="str">
        <f>IFERROR(IF(OR(B427="",B427="(BLANK)"),"",SUMIFS('Enter Invoices'!G:G,'Enter Invoices'!D:D,B427,'Enter Invoices'!J:J,"B")),"")</f>
        <v/>
      </c>
      <c r="F427" s="75" t="str">
        <f>IFERROR(IF(OR(B427="",B427="(BLANK)"),"",SUMIFS('Enter Invoices'!G:G,'Enter Invoices'!D:D,B427,'Enter Invoices'!J:J,"C")),"")</f>
        <v/>
      </c>
      <c r="G427" s="46" t="str">
        <f>IFERROR(IF(OR(B427="",B427="(BLANK)"),"",SUMIFS('Enter Invoices'!G:G,'Enter Invoices'!D:D,B427,'Enter Invoices'!J:J,"D")),"")</f>
        <v/>
      </c>
      <c r="H427" s="47" t="str">
        <f t="shared" si="8"/>
        <v/>
      </c>
    </row>
    <row r="428" spans="3:8" s="43" customFormat="1" ht="15" customHeight="1" x14ac:dyDescent="0.25">
      <c r="C428" s="75" t="str">
        <f>IFERROR(VLOOKUP(B428,'Open Invoices'!C:F,4,0),"")</f>
        <v/>
      </c>
      <c r="D428" s="75" t="str">
        <f>IFERROR(IF(OR(B428="",B428="(BLANK)"),"",SUMIFS('Enter Invoices'!G:G,'Enter Invoices'!D:D,B428,'Enter Invoices'!J:J,"A")),"")</f>
        <v/>
      </c>
      <c r="E428" s="75" t="str">
        <f>IFERROR(IF(OR(B428="",B428="(BLANK)"),"",SUMIFS('Enter Invoices'!G:G,'Enter Invoices'!D:D,B428,'Enter Invoices'!J:J,"B")),"")</f>
        <v/>
      </c>
      <c r="F428" s="75" t="str">
        <f>IFERROR(IF(OR(B428="",B428="(BLANK)"),"",SUMIFS('Enter Invoices'!G:G,'Enter Invoices'!D:D,B428,'Enter Invoices'!J:J,"C")),"")</f>
        <v/>
      </c>
      <c r="G428" s="46" t="str">
        <f>IFERROR(IF(OR(B428="",B428="(BLANK)"),"",SUMIFS('Enter Invoices'!G:G,'Enter Invoices'!D:D,B428,'Enter Invoices'!J:J,"D")),"")</f>
        <v/>
      </c>
      <c r="H428" s="47" t="str">
        <f t="shared" si="8"/>
        <v/>
      </c>
    </row>
    <row r="429" spans="3:8" s="43" customFormat="1" ht="15" customHeight="1" x14ac:dyDescent="0.25">
      <c r="C429" s="75" t="str">
        <f>IFERROR(VLOOKUP(B429,'Open Invoices'!C:F,4,0),"")</f>
        <v/>
      </c>
      <c r="D429" s="75" t="str">
        <f>IFERROR(IF(OR(B429="",B429="(BLANK)"),"",SUMIFS('Enter Invoices'!G:G,'Enter Invoices'!D:D,B429,'Enter Invoices'!J:J,"A")),"")</f>
        <v/>
      </c>
      <c r="E429" s="75" t="str">
        <f>IFERROR(IF(OR(B429="",B429="(BLANK)"),"",SUMIFS('Enter Invoices'!G:G,'Enter Invoices'!D:D,B429,'Enter Invoices'!J:J,"B")),"")</f>
        <v/>
      </c>
      <c r="F429" s="75" t="str">
        <f>IFERROR(IF(OR(B429="",B429="(BLANK)"),"",SUMIFS('Enter Invoices'!G:G,'Enter Invoices'!D:D,B429,'Enter Invoices'!J:J,"C")),"")</f>
        <v/>
      </c>
      <c r="G429" s="46" t="str">
        <f>IFERROR(IF(OR(B429="",B429="(BLANK)"),"",SUMIFS('Enter Invoices'!G:G,'Enter Invoices'!D:D,B429,'Enter Invoices'!J:J,"D")),"")</f>
        <v/>
      </c>
      <c r="H429" s="47" t="str">
        <f t="shared" si="8"/>
        <v/>
      </c>
    </row>
    <row r="430" spans="3:8" s="43" customFormat="1" ht="15" customHeight="1" x14ac:dyDescent="0.25">
      <c r="C430" s="75" t="str">
        <f>IFERROR(VLOOKUP(B430,'Open Invoices'!C:F,4,0),"")</f>
        <v/>
      </c>
      <c r="D430" s="75" t="str">
        <f>IFERROR(IF(OR(B430="",B430="(BLANK)"),"",SUMIFS('Enter Invoices'!G:G,'Enter Invoices'!D:D,B430,'Enter Invoices'!J:J,"A")),"")</f>
        <v/>
      </c>
      <c r="E430" s="75" t="str">
        <f>IFERROR(IF(OR(B430="",B430="(BLANK)"),"",SUMIFS('Enter Invoices'!G:G,'Enter Invoices'!D:D,B430,'Enter Invoices'!J:J,"B")),"")</f>
        <v/>
      </c>
      <c r="F430" s="75" t="str">
        <f>IFERROR(IF(OR(B430="",B430="(BLANK)"),"",SUMIFS('Enter Invoices'!G:G,'Enter Invoices'!D:D,B430,'Enter Invoices'!J:J,"C")),"")</f>
        <v/>
      </c>
      <c r="G430" s="46" t="str">
        <f>IFERROR(IF(OR(B430="",B430="(BLANK)"),"",SUMIFS('Enter Invoices'!G:G,'Enter Invoices'!D:D,B430,'Enter Invoices'!J:J,"D")),"")</f>
        <v/>
      </c>
      <c r="H430" s="47" t="str">
        <f t="shared" si="8"/>
        <v/>
      </c>
    </row>
    <row r="431" spans="3:8" s="43" customFormat="1" ht="15" customHeight="1" x14ac:dyDescent="0.25">
      <c r="C431" s="75" t="str">
        <f>IFERROR(VLOOKUP(B431,'Open Invoices'!C:F,4,0),"")</f>
        <v/>
      </c>
      <c r="D431" s="75" t="str">
        <f>IFERROR(IF(OR(B431="",B431="(BLANK)"),"",SUMIFS('Enter Invoices'!G:G,'Enter Invoices'!D:D,B431,'Enter Invoices'!J:J,"A")),"")</f>
        <v/>
      </c>
      <c r="E431" s="75" t="str">
        <f>IFERROR(IF(OR(B431="",B431="(BLANK)"),"",SUMIFS('Enter Invoices'!G:G,'Enter Invoices'!D:D,B431,'Enter Invoices'!J:J,"B")),"")</f>
        <v/>
      </c>
      <c r="F431" s="75" t="str">
        <f>IFERROR(IF(OR(B431="",B431="(BLANK)"),"",SUMIFS('Enter Invoices'!G:G,'Enter Invoices'!D:D,B431,'Enter Invoices'!J:J,"C")),"")</f>
        <v/>
      </c>
      <c r="G431" s="46" t="str">
        <f>IFERROR(IF(OR(B431="",B431="(BLANK)"),"",SUMIFS('Enter Invoices'!G:G,'Enter Invoices'!D:D,B431,'Enter Invoices'!J:J,"D")),"")</f>
        <v/>
      </c>
      <c r="H431" s="47" t="str">
        <f t="shared" si="8"/>
        <v/>
      </c>
    </row>
    <row r="432" spans="3:8" s="43" customFormat="1" ht="15" customHeight="1" x14ac:dyDescent="0.25">
      <c r="C432" s="75" t="str">
        <f>IFERROR(VLOOKUP(B432,'Open Invoices'!C:F,4,0),"")</f>
        <v/>
      </c>
      <c r="D432" s="75" t="str">
        <f>IFERROR(IF(OR(B432="",B432="(BLANK)"),"",SUMIFS('Enter Invoices'!G:G,'Enter Invoices'!D:D,B432,'Enter Invoices'!J:J,"A")),"")</f>
        <v/>
      </c>
      <c r="E432" s="75" t="str">
        <f>IFERROR(IF(OR(B432="",B432="(BLANK)"),"",SUMIFS('Enter Invoices'!G:G,'Enter Invoices'!D:D,B432,'Enter Invoices'!J:J,"B")),"")</f>
        <v/>
      </c>
      <c r="F432" s="75" t="str">
        <f>IFERROR(IF(OR(B432="",B432="(BLANK)"),"",SUMIFS('Enter Invoices'!G:G,'Enter Invoices'!D:D,B432,'Enter Invoices'!J:J,"C")),"")</f>
        <v/>
      </c>
      <c r="G432" s="46" t="str">
        <f>IFERROR(IF(OR(B432="",B432="(BLANK)"),"",SUMIFS('Enter Invoices'!G:G,'Enter Invoices'!D:D,B432,'Enter Invoices'!J:J,"D")),"")</f>
        <v/>
      </c>
      <c r="H432" s="47" t="str">
        <f t="shared" si="8"/>
        <v/>
      </c>
    </row>
    <row r="433" spans="3:8" s="43" customFormat="1" ht="15" customHeight="1" x14ac:dyDescent="0.25">
      <c r="C433" s="75" t="str">
        <f>IFERROR(VLOOKUP(B433,'Open Invoices'!C:F,4,0),"")</f>
        <v/>
      </c>
      <c r="D433" s="75" t="str">
        <f>IFERROR(IF(OR(B433="",B433="(BLANK)"),"",SUMIFS('Enter Invoices'!G:G,'Enter Invoices'!D:D,B433,'Enter Invoices'!J:J,"A")),"")</f>
        <v/>
      </c>
      <c r="E433" s="75" t="str">
        <f>IFERROR(IF(OR(B433="",B433="(BLANK)"),"",SUMIFS('Enter Invoices'!G:G,'Enter Invoices'!D:D,B433,'Enter Invoices'!J:J,"B")),"")</f>
        <v/>
      </c>
      <c r="F433" s="75" t="str">
        <f>IFERROR(IF(OR(B433="",B433="(BLANK)"),"",SUMIFS('Enter Invoices'!G:G,'Enter Invoices'!D:D,B433,'Enter Invoices'!J:J,"C")),"")</f>
        <v/>
      </c>
      <c r="G433" s="46" t="str">
        <f>IFERROR(IF(OR(B433="",B433="(BLANK)"),"",SUMIFS('Enter Invoices'!G:G,'Enter Invoices'!D:D,B433,'Enter Invoices'!J:J,"D")),"")</f>
        <v/>
      </c>
      <c r="H433" s="47" t="str">
        <f t="shared" si="8"/>
        <v/>
      </c>
    </row>
    <row r="434" spans="3:8" s="43" customFormat="1" ht="15" customHeight="1" x14ac:dyDescent="0.25">
      <c r="C434" s="75" t="str">
        <f>IFERROR(VLOOKUP(B434,'Open Invoices'!C:F,4,0),"")</f>
        <v/>
      </c>
      <c r="D434" s="75" t="str">
        <f>IFERROR(IF(OR(B434="",B434="(BLANK)"),"",SUMIFS('Enter Invoices'!G:G,'Enter Invoices'!D:D,B434,'Enter Invoices'!J:J,"A")),"")</f>
        <v/>
      </c>
      <c r="E434" s="75" t="str">
        <f>IFERROR(IF(OR(B434="",B434="(BLANK)"),"",SUMIFS('Enter Invoices'!G:G,'Enter Invoices'!D:D,B434,'Enter Invoices'!J:J,"B")),"")</f>
        <v/>
      </c>
      <c r="F434" s="75" t="str">
        <f>IFERROR(IF(OR(B434="",B434="(BLANK)"),"",SUMIFS('Enter Invoices'!G:G,'Enter Invoices'!D:D,B434,'Enter Invoices'!J:J,"C")),"")</f>
        <v/>
      </c>
      <c r="G434" s="46" t="str">
        <f>IFERROR(IF(OR(B434="",B434="(BLANK)"),"",SUMIFS('Enter Invoices'!G:G,'Enter Invoices'!D:D,B434,'Enter Invoices'!J:J,"D")),"")</f>
        <v/>
      </c>
      <c r="H434" s="47" t="str">
        <f t="shared" si="8"/>
        <v/>
      </c>
    </row>
    <row r="435" spans="3:8" s="43" customFormat="1" ht="15" customHeight="1" x14ac:dyDescent="0.25">
      <c r="C435" s="75" t="str">
        <f>IFERROR(VLOOKUP(B435,'Open Invoices'!C:F,4,0),"")</f>
        <v/>
      </c>
      <c r="D435" s="75" t="str">
        <f>IFERROR(IF(OR(B435="",B435="(BLANK)"),"",SUMIFS('Enter Invoices'!G:G,'Enter Invoices'!D:D,B435,'Enter Invoices'!J:J,"A")),"")</f>
        <v/>
      </c>
      <c r="E435" s="75" t="str">
        <f>IFERROR(IF(OR(B435="",B435="(BLANK)"),"",SUMIFS('Enter Invoices'!G:G,'Enter Invoices'!D:D,B435,'Enter Invoices'!J:J,"B")),"")</f>
        <v/>
      </c>
      <c r="F435" s="75" t="str">
        <f>IFERROR(IF(OR(B435="",B435="(BLANK)"),"",SUMIFS('Enter Invoices'!G:G,'Enter Invoices'!D:D,B435,'Enter Invoices'!J:J,"C")),"")</f>
        <v/>
      </c>
      <c r="G435" s="46" t="str">
        <f>IFERROR(IF(OR(B435="",B435="(BLANK)"),"",SUMIFS('Enter Invoices'!G:G,'Enter Invoices'!D:D,B435,'Enter Invoices'!J:J,"D")),"")</f>
        <v/>
      </c>
      <c r="H435" s="47" t="str">
        <f t="shared" si="8"/>
        <v/>
      </c>
    </row>
    <row r="436" spans="3:8" s="43" customFormat="1" ht="15" customHeight="1" x14ac:dyDescent="0.25">
      <c r="C436" s="75" t="str">
        <f>IFERROR(VLOOKUP(B436,'Open Invoices'!C:F,4,0),"")</f>
        <v/>
      </c>
      <c r="D436" s="75" t="str">
        <f>IFERROR(IF(OR(B436="",B436="(BLANK)"),"",SUMIFS('Enter Invoices'!G:G,'Enter Invoices'!D:D,B436,'Enter Invoices'!J:J,"A")),"")</f>
        <v/>
      </c>
      <c r="E436" s="75" t="str">
        <f>IFERROR(IF(OR(B436="",B436="(BLANK)"),"",SUMIFS('Enter Invoices'!G:G,'Enter Invoices'!D:D,B436,'Enter Invoices'!J:J,"B")),"")</f>
        <v/>
      </c>
      <c r="F436" s="75" t="str">
        <f>IFERROR(IF(OR(B436="",B436="(BLANK)"),"",SUMIFS('Enter Invoices'!G:G,'Enter Invoices'!D:D,B436,'Enter Invoices'!J:J,"C")),"")</f>
        <v/>
      </c>
      <c r="G436" s="46" t="str">
        <f>IFERROR(IF(OR(B436="",B436="(BLANK)"),"",SUMIFS('Enter Invoices'!G:G,'Enter Invoices'!D:D,B436,'Enter Invoices'!J:J,"D")),"")</f>
        <v/>
      </c>
      <c r="H436" s="47" t="str">
        <f t="shared" si="8"/>
        <v/>
      </c>
    </row>
    <row r="437" spans="3:8" s="43" customFormat="1" ht="15" customHeight="1" x14ac:dyDescent="0.25">
      <c r="C437" s="75" t="str">
        <f>IFERROR(VLOOKUP(B437,'Open Invoices'!C:F,4,0),"")</f>
        <v/>
      </c>
      <c r="D437" s="75" t="str">
        <f>IFERROR(IF(OR(B437="",B437="(BLANK)"),"",SUMIFS('Enter Invoices'!G:G,'Enter Invoices'!D:D,B437,'Enter Invoices'!J:J,"A")),"")</f>
        <v/>
      </c>
      <c r="E437" s="75" t="str">
        <f>IFERROR(IF(OR(B437="",B437="(BLANK)"),"",SUMIFS('Enter Invoices'!G:G,'Enter Invoices'!D:D,B437,'Enter Invoices'!J:J,"B")),"")</f>
        <v/>
      </c>
      <c r="F437" s="75" t="str">
        <f>IFERROR(IF(OR(B437="",B437="(BLANK)"),"",SUMIFS('Enter Invoices'!G:G,'Enter Invoices'!D:D,B437,'Enter Invoices'!J:J,"C")),"")</f>
        <v/>
      </c>
      <c r="G437" s="46" t="str">
        <f>IFERROR(IF(OR(B437="",B437="(BLANK)"),"",SUMIFS('Enter Invoices'!G:G,'Enter Invoices'!D:D,B437,'Enter Invoices'!J:J,"D")),"")</f>
        <v/>
      </c>
      <c r="H437" s="47" t="str">
        <f t="shared" si="8"/>
        <v/>
      </c>
    </row>
    <row r="438" spans="3:8" s="43" customFormat="1" ht="15" customHeight="1" x14ac:dyDescent="0.25">
      <c r="C438" s="75" t="str">
        <f>IFERROR(VLOOKUP(B438,'Open Invoices'!C:F,4,0),"")</f>
        <v/>
      </c>
      <c r="D438" s="75" t="str">
        <f>IFERROR(IF(OR(B438="",B438="(BLANK)"),"",SUMIFS('Enter Invoices'!G:G,'Enter Invoices'!D:D,B438,'Enter Invoices'!J:J,"A")),"")</f>
        <v/>
      </c>
      <c r="E438" s="75" t="str">
        <f>IFERROR(IF(OR(B438="",B438="(BLANK)"),"",SUMIFS('Enter Invoices'!G:G,'Enter Invoices'!D:D,B438,'Enter Invoices'!J:J,"B")),"")</f>
        <v/>
      </c>
      <c r="F438" s="75" t="str">
        <f>IFERROR(IF(OR(B438="",B438="(BLANK)"),"",SUMIFS('Enter Invoices'!G:G,'Enter Invoices'!D:D,B438,'Enter Invoices'!J:J,"C")),"")</f>
        <v/>
      </c>
      <c r="G438" s="46" t="str">
        <f>IFERROR(IF(OR(B438="",B438="(BLANK)"),"",SUMIFS('Enter Invoices'!G:G,'Enter Invoices'!D:D,B438,'Enter Invoices'!J:J,"D")),"")</f>
        <v/>
      </c>
      <c r="H438" s="47" t="str">
        <f t="shared" si="8"/>
        <v/>
      </c>
    </row>
    <row r="439" spans="3:8" s="43" customFormat="1" ht="15" customHeight="1" x14ac:dyDescent="0.25">
      <c r="C439" s="75" t="str">
        <f>IFERROR(VLOOKUP(B439,'Open Invoices'!C:F,4,0),"")</f>
        <v/>
      </c>
      <c r="D439" s="75" t="str">
        <f>IFERROR(IF(OR(B439="",B439="(BLANK)"),"",SUMIFS('Enter Invoices'!G:G,'Enter Invoices'!D:D,B439,'Enter Invoices'!J:J,"A")),"")</f>
        <v/>
      </c>
      <c r="E439" s="75" t="str">
        <f>IFERROR(IF(OR(B439="",B439="(BLANK)"),"",SUMIFS('Enter Invoices'!G:G,'Enter Invoices'!D:D,B439,'Enter Invoices'!J:J,"B")),"")</f>
        <v/>
      </c>
      <c r="F439" s="75" t="str">
        <f>IFERROR(IF(OR(B439="",B439="(BLANK)"),"",SUMIFS('Enter Invoices'!G:G,'Enter Invoices'!D:D,B439,'Enter Invoices'!J:J,"C")),"")</f>
        <v/>
      </c>
      <c r="G439" s="46" t="str">
        <f>IFERROR(IF(OR(B439="",B439="(BLANK)"),"",SUMIFS('Enter Invoices'!G:G,'Enter Invoices'!D:D,B439,'Enter Invoices'!J:J,"D")),"")</f>
        <v/>
      </c>
      <c r="H439" s="47" t="str">
        <f t="shared" si="8"/>
        <v/>
      </c>
    </row>
    <row r="440" spans="3:8" s="43" customFormat="1" ht="15" customHeight="1" x14ac:dyDescent="0.25">
      <c r="C440" s="75" t="str">
        <f>IFERROR(VLOOKUP(B440,'Open Invoices'!C:F,4,0),"")</f>
        <v/>
      </c>
      <c r="D440" s="75" t="str">
        <f>IFERROR(IF(OR(B440="",B440="(BLANK)"),"",SUMIFS('Enter Invoices'!G:G,'Enter Invoices'!D:D,B440,'Enter Invoices'!J:J,"A")),"")</f>
        <v/>
      </c>
      <c r="E440" s="75" t="str">
        <f>IFERROR(IF(OR(B440="",B440="(BLANK)"),"",SUMIFS('Enter Invoices'!G:G,'Enter Invoices'!D:D,B440,'Enter Invoices'!J:J,"B")),"")</f>
        <v/>
      </c>
      <c r="F440" s="75" t="str">
        <f>IFERROR(IF(OR(B440="",B440="(BLANK)"),"",SUMIFS('Enter Invoices'!G:G,'Enter Invoices'!D:D,B440,'Enter Invoices'!J:J,"C")),"")</f>
        <v/>
      </c>
      <c r="G440" s="46" t="str">
        <f>IFERROR(IF(OR(B440="",B440="(BLANK)"),"",SUMIFS('Enter Invoices'!G:G,'Enter Invoices'!D:D,B440,'Enter Invoices'!J:J,"D")),"")</f>
        <v/>
      </c>
      <c r="H440" s="47" t="str">
        <f t="shared" si="8"/>
        <v/>
      </c>
    </row>
    <row r="441" spans="3:8" s="43" customFormat="1" ht="15" customHeight="1" x14ac:dyDescent="0.25">
      <c r="C441" s="75" t="str">
        <f>IFERROR(VLOOKUP(B441,'Open Invoices'!C:F,4,0),"")</f>
        <v/>
      </c>
      <c r="D441" s="75" t="str">
        <f>IFERROR(IF(OR(B441="",B441="(BLANK)"),"",SUMIFS('Enter Invoices'!G:G,'Enter Invoices'!D:D,B441,'Enter Invoices'!J:J,"A")),"")</f>
        <v/>
      </c>
      <c r="E441" s="75" t="str">
        <f>IFERROR(IF(OR(B441="",B441="(BLANK)"),"",SUMIFS('Enter Invoices'!G:G,'Enter Invoices'!D:D,B441,'Enter Invoices'!J:J,"B")),"")</f>
        <v/>
      </c>
      <c r="F441" s="75" t="str">
        <f>IFERROR(IF(OR(B441="",B441="(BLANK)"),"",SUMIFS('Enter Invoices'!G:G,'Enter Invoices'!D:D,B441,'Enter Invoices'!J:J,"C")),"")</f>
        <v/>
      </c>
      <c r="G441" s="46" t="str">
        <f>IFERROR(IF(OR(B441="",B441="(BLANK)"),"",SUMIFS('Enter Invoices'!G:G,'Enter Invoices'!D:D,B441,'Enter Invoices'!J:J,"D")),"")</f>
        <v/>
      </c>
      <c r="H441" s="47" t="str">
        <f t="shared" si="8"/>
        <v/>
      </c>
    </row>
    <row r="442" spans="3:8" s="43" customFormat="1" ht="15" customHeight="1" x14ac:dyDescent="0.25">
      <c r="C442" s="75" t="str">
        <f>IFERROR(VLOOKUP(B442,'Open Invoices'!C:F,4,0),"")</f>
        <v/>
      </c>
      <c r="D442" s="75" t="str">
        <f>IFERROR(IF(OR(B442="",B442="(BLANK)"),"",SUMIFS('Enter Invoices'!G:G,'Enter Invoices'!D:D,B442,'Enter Invoices'!J:J,"A")),"")</f>
        <v/>
      </c>
      <c r="E442" s="75" t="str">
        <f>IFERROR(IF(OR(B442="",B442="(BLANK)"),"",SUMIFS('Enter Invoices'!G:G,'Enter Invoices'!D:D,B442,'Enter Invoices'!J:J,"B")),"")</f>
        <v/>
      </c>
      <c r="F442" s="75" t="str">
        <f>IFERROR(IF(OR(B442="",B442="(BLANK)"),"",SUMIFS('Enter Invoices'!G:G,'Enter Invoices'!D:D,B442,'Enter Invoices'!J:J,"C")),"")</f>
        <v/>
      </c>
      <c r="G442" s="46" t="str">
        <f>IFERROR(IF(OR(B442="",B442="(BLANK)"),"",SUMIFS('Enter Invoices'!G:G,'Enter Invoices'!D:D,B442,'Enter Invoices'!J:J,"D")),"")</f>
        <v/>
      </c>
      <c r="H442" s="47" t="str">
        <f t="shared" si="8"/>
        <v/>
      </c>
    </row>
    <row r="443" spans="3:8" s="43" customFormat="1" ht="15" customHeight="1" x14ac:dyDescent="0.25">
      <c r="C443" s="75" t="str">
        <f>IFERROR(VLOOKUP(B443,'Open Invoices'!C:F,4,0),"")</f>
        <v/>
      </c>
      <c r="D443" s="75" t="str">
        <f>IFERROR(IF(OR(B443="",B443="(BLANK)"),"",SUMIFS('Enter Invoices'!G:G,'Enter Invoices'!D:D,B443,'Enter Invoices'!J:J,"A")),"")</f>
        <v/>
      </c>
      <c r="E443" s="75" t="str">
        <f>IFERROR(IF(OR(B443="",B443="(BLANK)"),"",SUMIFS('Enter Invoices'!G:G,'Enter Invoices'!D:D,B443,'Enter Invoices'!J:J,"B")),"")</f>
        <v/>
      </c>
      <c r="F443" s="75" t="str">
        <f>IFERROR(IF(OR(B443="",B443="(BLANK)"),"",SUMIFS('Enter Invoices'!G:G,'Enter Invoices'!D:D,B443,'Enter Invoices'!J:J,"C")),"")</f>
        <v/>
      </c>
      <c r="G443" s="46" t="str">
        <f>IFERROR(IF(OR(B443="",B443="(BLANK)"),"",SUMIFS('Enter Invoices'!G:G,'Enter Invoices'!D:D,B443,'Enter Invoices'!J:J,"D")),"")</f>
        <v/>
      </c>
      <c r="H443" s="47" t="str">
        <f t="shared" si="8"/>
        <v/>
      </c>
    </row>
    <row r="444" spans="3:8" s="43" customFormat="1" ht="15" customHeight="1" x14ac:dyDescent="0.25">
      <c r="C444" s="75" t="str">
        <f>IFERROR(VLOOKUP(B444,'Open Invoices'!C:F,4,0),"")</f>
        <v/>
      </c>
      <c r="D444" s="75" t="str">
        <f>IFERROR(IF(OR(B444="",B444="(BLANK)"),"",SUMIFS('Enter Invoices'!G:G,'Enter Invoices'!D:D,B444,'Enter Invoices'!J:J,"A")),"")</f>
        <v/>
      </c>
      <c r="E444" s="75" t="str">
        <f>IFERROR(IF(OR(B444="",B444="(BLANK)"),"",SUMIFS('Enter Invoices'!G:G,'Enter Invoices'!D:D,B444,'Enter Invoices'!J:J,"B")),"")</f>
        <v/>
      </c>
      <c r="F444" s="75" t="str">
        <f>IFERROR(IF(OR(B444="",B444="(BLANK)"),"",SUMIFS('Enter Invoices'!G:G,'Enter Invoices'!D:D,B444,'Enter Invoices'!J:J,"C")),"")</f>
        <v/>
      </c>
      <c r="G444" s="46" t="str">
        <f>IFERROR(IF(OR(B444="",B444="(BLANK)"),"",SUMIFS('Enter Invoices'!G:G,'Enter Invoices'!D:D,B444,'Enter Invoices'!J:J,"D")),"")</f>
        <v/>
      </c>
      <c r="H444" s="47" t="str">
        <f t="shared" si="8"/>
        <v/>
      </c>
    </row>
    <row r="445" spans="3:8" s="43" customFormat="1" ht="15" customHeight="1" x14ac:dyDescent="0.25">
      <c r="C445" s="75" t="str">
        <f>IFERROR(VLOOKUP(B445,'Open Invoices'!C:F,4,0),"")</f>
        <v/>
      </c>
      <c r="D445" s="75" t="str">
        <f>IFERROR(IF(OR(B445="",B445="(BLANK)"),"",SUMIFS('Enter Invoices'!G:G,'Enter Invoices'!D:D,B445,'Enter Invoices'!J:J,"A")),"")</f>
        <v/>
      </c>
      <c r="E445" s="75" t="str">
        <f>IFERROR(IF(OR(B445="",B445="(BLANK)"),"",SUMIFS('Enter Invoices'!G:G,'Enter Invoices'!D:D,B445,'Enter Invoices'!J:J,"B")),"")</f>
        <v/>
      </c>
      <c r="F445" s="75" t="str">
        <f>IFERROR(IF(OR(B445="",B445="(BLANK)"),"",SUMIFS('Enter Invoices'!G:G,'Enter Invoices'!D:D,B445,'Enter Invoices'!J:J,"C")),"")</f>
        <v/>
      </c>
      <c r="G445" s="46" t="str">
        <f>IFERROR(IF(OR(B445="",B445="(BLANK)"),"",SUMIFS('Enter Invoices'!G:G,'Enter Invoices'!D:D,B445,'Enter Invoices'!J:J,"D")),"")</f>
        <v/>
      </c>
      <c r="H445" s="47" t="str">
        <f t="shared" si="8"/>
        <v/>
      </c>
    </row>
    <row r="446" spans="3:8" s="43" customFormat="1" ht="15" customHeight="1" x14ac:dyDescent="0.25">
      <c r="C446" s="75" t="str">
        <f>IFERROR(VLOOKUP(B446,'Open Invoices'!C:F,4,0),"")</f>
        <v/>
      </c>
      <c r="D446" s="75" t="str">
        <f>IFERROR(IF(OR(B446="",B446="(BLANK)"),"",SUMIFS('Enter Invoices'!G:G,'Enter Invoices'!D:D,B446,'Enter Invoices'!J:J,"A")),"")</f>
        <v/>
      </c>
      <c r="E446" s="75" t="str">
        <f>IFERROR(IF(OR(B446="",B446="(BLANK)"),"",SUMIFS('Enter Invoices'!G:G,'Enter Invoices'!D:D,B446,'Enter Invoices'!J:J,"B")),"")</f>
        <v/>
      </c>
      <c r="F446" s="75" t="str">
        <f>IFERROR(IF(OR(B446="",B446="(BLANK)"),"",SUMIFS('Enter Invoices'!G:G,'Enter Invoices'!D:D,B446,'Enter Invoices'!J:J,"C")),"")</f>
        <v/>
      </c>
      <c r="G446" s="46" t="str">
        <f>IFERROR(IF(OR(B446="",B446="(BLANK)"),"",SUMIFS('Enter Invoices'!G:G,'Enter Invoices'!D:D,B446,'Enter Invoices'!J:J,"D")),"")</f>
        <v/>
      </c>
      <c r="H446" s="47" t="str">
        <f t="shared" si="8"/>
        <v/>
      </c>
    </row>
    <row r="447" spans="3:8" s="43" customFormat="1" ht="15" customHeight="1" x14ac:dyDescent="0.25">
      <c r="C447" s="75" t="str">
        <f>IFERROR(VLOOKUP(B447,'Open Invoices'!C:F,4,0),"")</f>
        <v/>
      </c>
      <c r="D447" s="75" t="str">
        <f>IFERROR(IF(OR(B447="",B447="(BLANK)"),"",SUMIFS('Enter Invoices'!G:G,'Enter Invoices'!D:D,B447,'Enter Invoices'!J:J,"A")),"")</f>
        <v/>
      </c>
      <c r="E447" s="75" t="str">
        <f>IFERROR(IF(OR(B447="",B447="(BLANK)"),"",SUMIFS('Enter Invoices'!G:G,'Enter Invoices'!D:D,B447,'Enter Invoices'!J:J,"B")),"")</f>
        <v/>
      </c>
      <c r="F447" s="75" t="str">
        <f>IFERROR(IF(OR(B447="",B447="(BLANK)"),"",SUMIFS('Enter Invoices'!G:G,'Enter Invoices'!D:D,B447,'Enter Invoices'!J:J,"C")),"")</f>
        <v/>
      </c>
      <c r="G447" s="46" t="str">
        <f>IFERROR(IF(OR(B447="",B447="(BLANK)"),"",SUMIFS('Enter Invoices'!G:G,'Enter Invoices'!D:D,B447,'Enter Invoices'!J:J,"D")),"")</f>
        <v/>
      </c>
      <c r="H447" s="47" t="str">
        <f t="shared" si="8"/>
        <v/>
      </c>
    </row>
    <row r="448" spans="3:8" s="43" customFormat="1" ht="15" customHeight="1" x14ac:dyDescent="0.25">
      <c r="C448" s="75" t="str">
        <f>IFERROR(VLOOKUP(B448,'Open Invoices'!C:F,4,0),"")</f>
        <v/>
      </c>
      <c r="D448" s="75" t="str">
        <f>IFERROR(IF(OR(B448="",B448="(BLANK)"),"",SUMIFS('Enter Invoices'!G:G,'Enter Invoices'!D:D,B448,'Enter Invoices'!J:J,"A")),"")</f>
        <v/>
      </c>
      <c r="E448" s="75" t="str">
        <f>IFERROR(IF(OR(B448="",B448="(BLANK)"),"",SUMIFS('Enter Invoices'!G:G,'Enter Invoices'!D:D,B448,'Enter Invoices'!J:J,"B")),"")</f>
        <v/>
      </c>
      <c r="F448" s="75" t="str">
        <f>IFERROR(IF(OR(B448="",B448="(BLANK)"),"",SUMIFS('Enter Invoices'!G:G,'Enter Invoices'!D:D,B448,'Enter Invoices'!J:J,"C")),"")</f>
        <v/>
      </c>
      <c r="G448" s="46" t="str">
        <f>IFERROR(IF(OR(B448="",B448="(BLANK)"),"",SUMIFS('Enter Invoices'!G:G,'Enter Invoices'!D:D,B448,'Enter Invoices'!J:J,"D")),"")</f>
        <v/>
      </c>
      <c r="H448" s="47" t="str">
        <f t="shared" si="8"/>
        <v/>
      </c>
    </row>
    <row r="449" spans="3:8" s="43" customFormat="1" ht="15" customHeight="1" x14ac:dyDescent="0.25">
      <c r="C449" s="75" t="str">
        <f>IFERROR(VLOOKUP(B449,'Open Invoices'!C:F,4,0),"")</f>
        <v/>
      </c>
      <c r="D449" s="75" t="str">
        <f>IFERROR(IF(OR(B449="",B449="(BLANK)"),"",SUMIFS('Enter Invoices'!G:G,'Enter Invoices'!D:D,B449,'Enter Invoices'!J:J,"A")),"")</f>
        <v/>
      </c>
      <c r="E449" s="75" t="str">
        <f>IFERROR(IF(OR(B449="",B449="(BLANK)"),"",SUMIFS('Enter Invoices'!G:G,'Enter Invoices'!D:D,B449,'Enter Invoices'!J:J,"B")),"")</f>
        <v/>
      </c>
      <c r="F449" s="75" t="str">
        <f>IFERROR(IF(OR(B449="",B449="(BLANK)"),"",SUMIFS('Enter Invoices'!G:G,'Enter Invoices'!D:D,B449,'Enter Invoices'!J:J,"C")),"")</f>
        <v/>
      </c>
      <c r="G449" s="46" t="str">
        <f>IFERROR(IF(OR(B449="",B449="(BLANK)"),"",SUMIFS('Enter Invoices'!G:G,'Enter Invoices'!D:D,B449,'Enter Invoices'!J:J,"D")),"")</f>
        <v/>
      </c>
      <c r="H449" s="47" t="str">
        <f t="shared" si="8"/>
        <v/>
      </c>
    </row>
    <row r="450" spans="3:8" s="43" customFormat="1" ht="15" customHeight="1" x14ac:dyDescent="0.25">
      <c r="C450" s="75" t="str">
        <f>IFERROR(VLOOKUP(B450,'Open Invoices'!C:F,4,0),"")</f>
        <v/>
      </c>
      <c r="D450" s="75" t="str">
        <f>IFERROR(IF(OR(B450="",B450="(BLANK)"),"",SUMIFS('Enter Invoices'!G:G,'Enter Invoices'!D:D,B450,'Enter Invoices'!J:J,"A")),"")</f>
        <v/>
      </c>
      <c r="E450" s="75" t="str">
        <f>IFERROR(IF(OR(B450="",B450="(BLANK)"),"",SUMIFS('Enter Invoices'!G:G,'Enter Invoices'!D:D,B450,'Enter Invoices'!J:J,"B")),"")</f>
        <v/>
      </c>
      <c r="F450" s="75" t="str">
        <f>IFERROR(IF(OR(B450="",B450="(BLANK)"),"",SUMIFS('Enter Invoices'!G:G,'Enter Invoices'!D:D,B450,'Enter Invoices'!J:J,"C")),"")</f>
        <v/>
      </c>
      <c r="G450" s="46" t="str">
        <f>IFERROR(IF(OR(B450="",B450="(BLANK)"),"",SUMIFS('Enter Invoices'!G:G,'Enter Invoices'!D:D,B450,'Enter Invoices'!J:J,"D")),"")</f>
        <v/>
      </c>
      <c r="H450" s="47" t="str">
        <f t="shared" si="8"/>
        <v/>
      </c>
    </row>
    <row r="451" spans="3:8" s="43" customFormat="1" ht="15" customHeight="1" x14ac:dyDescent="0.25">
      <c r="C451" s="75" t="str">
        <f>IFERROR(VLOOKUP(B451,'Open Invoices'!C:F,4,0),"")</f>
        <v/>
      </c>
      <c r="D451" s="75" t="str">
        <f>IFERROR(IF(OR(B451="",B451="(BLANK)"),"",SUMIFS('Enter Invoices'!G:G,'Enter Invoices'!D:D,B451,'Enter Invoices'!J:J,"A")),"")</f>
        <v/>
      </c>
      <c r="E451" s="75" t="str">
        <f>IFERROR(IF(OR(B451="",B451="(BLANK)"),"",SUMIFS('Enter Invoices'!G:G,'Enter Invoices'!D:D,B451,'Enter Invoices'!J:J,"B")),"")</f>
        <v/>
      </c>
      <c r="F451" s="75" t="str">
        <f>IFERROR(IF(OR(B451="",B451="(BLANK)"),"",SUMIFS('Enter Invoices'!G:G,'Enter Invoices'!D:D,B451,'Enter Invoices'!J:J,"C")),"")</f>
        <v/>
      </c>
      <c r="G451" s="46" t="str">
        <f>IFERROR(IF(OR(B451="",B451="(BLANK)"),"",SUMIFS('Enter Invoices'!G:G,'Enter Invoices'!D:D,B451,'Enter Invoices'!J:J,"D")),"")</f>
        <v/>
      </c>
      <c r="H451" s="47" t="str">
        <f t="shared" si="8"/>
        <v/>
      </c>
    </row>
    <row r="452" spans="3:8" s="43" customFormat="1" ht="15" customHeight="1" x14ac:dyDescent="0.25">
      <c r="C452" s="75" t="str">
        <f>IFERROR(VLOOKUP(B452,'Open Invoices'!C:F,4,0),"")</f>
        <v/>
      </c>
      <c r="D452" s="75" t="str">
        <f>IFERROR(IF(OR(B452="",B452="(BLANK)"),"",SUMIFS('Enter Invoices'!G:G,'Enter Invoices'!D:D,B452,'Enter Invoices'!J:J,"A")),"")</f>
        <v/>
      </c>
      <c r="E452" s="75" t="str">
        <f>IFERROR(IF(OR(B452="",B452="(BLANK)"),"",SUMIFS('Enter Invoices'!G:G,'Enter Invoices'!D:D,B452,'Enter Invoices'!J:J,"B")),"")</f>
        <v/>
      </c>
      <c r="F452" s="75" t="str">
        <f>IFERROR(IF(OR(B452="",B452="(BLANK)"),"",SUMIFS('Enter Invoices'!G:G,'Enter Invoices'!D:D,B452,'Enter Invoices'!J:J,"C")),"")</f>
        <v/>
      </c>
      <c r="G452" s="46" t="str">
        <f>IFERROR(IF(OR(B452="",B452="(BLANK)"),"",SUMIFS('Enter Invoices'!G:G,'Enter Invoices'!D:D,B452,'Enter Invoices'!J:J,"D")),"")</f>
        <v/>
      </c>
      <c r="H452" s="47" t="str">
        <f t="shared" si="8"/>
        <v/>
      </c>
    </row>
    <row r="453" spans="3:8" s="43" customFormat="1" ht="15" customHeight="1" x14ac:dyDescent="0.25">
      <c r="C453" s="75" t="str">
        <f>IFERROR(VLOOKUP(B453,'Open Invoices'!C:F,4,0),"")</f>
        <v/>
      </c>
      <c r="D453" s="75" t="str">
        <f>IFERROR(IF(OR(B453="",B453="(BLANK)"),"",SUMIFS('Enter Invoices'!G:G,'Enter Invoices'!D:D,B453,'Enter Invoices'!J:J,"A")),"")</f>
        <v/>
      </c>
      <c r="E453" s="75" t="str">
        <f>IFERROR(IF(OR(B453="",B453="(BLANK)"),"",SUMIFS('Enter Invoices'!G:G,'Enter Invoices'!D:D,B453,'Enter Invoices'!J:J,"B")),"")</f>
        <v/>
      </c>
      <c r="F453" s="75" t="str">
        <f>IFERROR(IF(OR(B453="",B453="(BLANK)"),"",SUMIFS('Enter Invoices'!G:G,'Enter Invoices'!D:D,B453,'Enter Invoices'!J:J,"C")),"")</f>
        <v/>
      </c>
      <c r="G453" s="46" t="str">
        <f>IFERROR(IF(OR(B453="",B453="(BLANK)"),"",SUMIFS('Enter Invoices'!G:G,'Enter Invoices'!D:D,B453,'Enter Invoices'!J:J,"D")),"")</f>
        <v/>
      </c>
      <c r="H453" s="47" t="str">
        <f t="shared" si="8"/>
        <v/>
      </c>
    </row>
    <row r="454" spans="3:8" s="43" customFormat="1" ht="15" customHeight="1" x14ac:dyDescent="0.25">
      <c r="C454" s="75" t="str">
        <f>IFERROR(VLOOKUP(B454,'Open Invoices'!C:F,4,0),"")</f>
        <v/>
      </c>
      <c r="D454" s="75" t="str">
        <f>IFERROR(IF(OR(B454="",B454="(BLANK)"),"",SUMIFS('Enter Invoices'!G:G,'Enter Invoices'!D:D,B454,'Enter Invoices'!J:J,"A")),"")</f>
        <v/>
      </c>
      <c r="E454" s="75" t="str">
        <f>IFERROR(IF(OR(B454="",B454="(BLANK)"),"",SUMIFS('Enter Invoices'!G:G,'Enter Invoices'!D:D,B454,'Enter Invoices'!J:J,"B")),"")</f>
        <v/>
      </c>
      <c r="F454" s="75" t="str">
        <f>IFERROR(IF(OR(B454="",B454="(BLANK)"),"",SUMIFS('Enter Invoices'!G:G,'Enter Invoices'!D:D,B454,'Enter Invoices'!J:J,"C")),"")</f>
        <v/>
      </c>
      <c r="G454" s="46" t="str">
        <f>IFERROR(IF(OR(B454="",B454="(BLANK)"),"",SUMIFS('Enter Invoices'!G:G,'Enter Invoices'!D:D,B454,'Enter Invoices'!J:J,"D")),"")</f>
        <v/>
      </c>
      <c r="H454" s="47" t="str">
        <f t="shared" si="8"/>
        <v/>
      </c>
    </row>
    <row r="455" spans="3:8" s="43" customFormat="1" ht="15" customHeight="1" x14ac:dyDescent="0.25">
      <c r="C455" s="75" t="str">
        <f>IFERROR(VLOOKUP(B455,'Open Invoices'!C:F,4,0),"")</f>
        <v/>
      </c>
      <c r="D455" s="75" t="str">
        <f>IFERROR(IF(OR(B455="",B455="(BLANK)"),"",SUMIFS('Enter Invoices'!G:G,'Enter Invoices'!D:D,B455,'Enter Invoices'!J:J,"A")),"")</f>
        <v/>
      </c>
      <c r="E455" s="75" t="str">
        <f>IFERROR(IF(OR(B455="",B455="(BLANK)"),"",SUMIFS('Enter Invoices'!G:G,'Enter Invoices'!D:D,B455,'Enter Invoices'!J:J,"B")),"")</f>
        <v/>
      </c>
      <c r="F455" s="75" t="str">
        <f>IFERROR(IF(OR(B455="",B455="(BLANK)"),"",SUMIFS('Enter Invoices'!G:G,'Enter Invoices'!D:D,B455,'Enter Invoices'!J:J,"C")),"")</f>
        <v/>
      </c>
      <c r="G455" s="46" t="str">
        <f>IFERROR(IF(OR(B455="",B455="(BLANK)"),"",SUMIFS('Enter Invoices'!G:G,'Enter Invoices'!D:D,B455,'Enter Invoices'!J:J,"D")),"")</f>
        <v/>
      </c>
      <c r="H455" s="47" t="str">
        <f t="shared" si="8"/>
        <v/>
      </c>
    </row>
    <row r="456" spans="3:8" s="43" customFormat="1" ht="15" customHeight="1" x14ac:dyDescent="0.25">
      <c r="C456" s="75" t="str">
        <f>IFERROR(VLOOKUP(B456,'Open Invoices'!C:F,4,0),"")</f>
        <v/>
      </c>
      <c r="D456" s="75" t="str">
        <f>IFERROR(IF(OR(B456="",B456="(BLANK)"),"",SUMIFS('Enter Invoices'!G:G,'Enter Invoices'!D:D,B456,'Enter Invoices'!J:J,"A")),"")</f>
        <v/>
      </c>
      <c r="E456" s="75" t="str">
        <f>IFERROR(IF(OR(B456="",B456="(BLANK)"),"",SUMIFS('Enter Invoices'!G:G,'Enter Invoices'!D:D,B456,'Enter Invoices'!J:J,"B")),"")</f>
        <v/>
      </c>
      <c r="F456" s="75" t="str">
        <f>IFERROR(IF(OR(B456="",B456="(BLANK)"),"",SUMIFS('Enter Invoices'!G:G,'Enter Invoices'!D:D,B456,'Enter Invoices'!J:J,"C")),"")</f>
        <v/>
      </c>
      <c r="G456" s="46" t="str">
        <f>IFERROR(IF(OR(B456="",B456="(BLANK)"),"",SUMIFS('Enter Invoices'!G:G,'Enter Invoices'!D:D,B456,'Enter Invoices'!J:J,"D")),"")</f>
        <v/>
      </c>
      <c r="H456" s="47" t="str">
        <f t="shared" ref="H456:H500" si="9">IF(COUNT(D456:G456)=0,"",SUM(D456:G456))</f>
        <v/>
      </c>
    </row>
    <row r="457" spans="3:8" s="43" customFormat="1" ht="15" customHeight="1" x14ac:dyDescent="0.25">
      <c r="C457" s="75" t="str">
        <f>IFERROR(VLOOKUP(B457,'Open Invoices'!C:F,4,0),"")</f>
        <v/>
      </c>
      <c r="D457" s="75" t="str">
        <f>IFERROR(IF(OR(B457="",B457="(BLANK)"),"",SUMIFS('Enter Invoices'!G:G,'Enter Invoices'!D:D,B457,'Enter Invoices'!J:J,"A")),"")</f>
        <v/>
      </c>
      <c r="E457" s="75" t="str">
        <f>IFERROR(IF(OR(B457="",B457="(BLANK)"),"",SUMIFS('Enter Invoices'!G:G,'Enter Invoices'!D:D,B457,'Enter Invoices'!J:J,"B")),"")</f>
        <v/>
      </c>
      <c r="F457" s="75" t="str">
        <f>IFERROR(IF(OR(B457="",B457="(BLANK)"),"",SUMIFS('Enter Invoices'!G:G,'Enter Invoices'!D:D,B457,'Enter Invoices'!J:J,"C")),"")</f>
        <v/>
      </c>
      <c r="G457" s="46" t="str">
        <f>IFERROR(IF(OR(B457="",B457="(BLANK)"),"",SUMIFS('Enter Invoices'!G:G,'Enter Invoices'!D:D,B457,'Enter Invoices'!J:J,"D")),"")</f>
        <v/>
      </c>
      <c r="H457" s="47" t="str">
        <f t="shared" si="9"/>
        <v/>
      </c>
    </row>
    <row r="458" spans="3:8" s="43" customFormat="1" ht="15" customHeight="1" x14ac:dyDescent="0.25">
      <c r="C458" s="75" t="str">
        <f>IFERROR(VLOOKUP(B458,'Open Invoices'!C:F,4,0),"")</f>
        <v/>
      </c>
      <c r="D458" s="75" t="str">
        <f>IFERROR(IF(OR(B458="",B458="(BLANK)"),"",SUMIFS('Enter Invoices'!G:G,'Enter Invoices'!D:D,B458,'Enter Invoices'!J:J,"A")),"")</f>
        <v/>
      </c>
      <c r="E458" s="75" t="str">
        <f>IFERROR(IF(OR(B458="",B458="(BLANK)"),"",SUMIFS('Enter Invoices'!G:G,'Enter Invoices'!D:D,B458,'Enter Invoices'!J:J,"B")),"")</f>
        <v/>
      </c>
      <c r="F458" s="75" t="str">
        <f>IFERROR(IF(OR(B458="",B458="(BLANK)"),"",SUMIFS('Enter Invoices'!G:G,'Enter Invoices'!D:D,B458,'Enter Invoices'!J:J,"C")),"")</f>
        <v/>
      </c>
      <c r="G458" s="46" t="str">
        <f>IFERROR(IF(OR(B458="",B458="(BLANK)"),"",SUMIFS('Enter Invoices'!G:G,'Enter Invoices'!D:D,B458,'Enter Invoices'!J:J,"D")),"")</f>
        <v/>
      </c>
      <c r="H458" s="47" t="str">
        <f t="shared" si="9"/>
        <v/>
      </c>
    </row>
    <row r="459" spans="3:8" s="43" customFormat="1" ht="15" customHeight="1" x14ac:dyDescent="0.25">
      <c r="C459" s="75" t="str">
        <f>IFERROR(VLOOKUP(B459,'Open Invoices'!C:F,4,0),"")</f>
        <v/>
      </c>
      <c r="D459" s="75" t="str">
        <f>IFERROR(IF(OR(B459="",B459="(BLANK)"),"",SUMIFS('Enter Invoices'!G:G,'Enter Invoices'!D:D,B459,'Enter Invoices'!J:J,"A")),"")</f>
        <v/>
      </c>
      <c r="E459" s="75" t="str">
        <f>IFERROR(IF(OR(B459="",B459="(BLANK)"),"",SUMIFS('Enter Invoices'!G:G,'Enter Invoices'!D:D,B459,'Enter Invoices'!J:J,"B")),"")</f>
        <v/>
      </c>
      <c r="F459" s="75" t="str">
        <f>IFERROR(IF(OR(B459="",B459="(BLANK)"),"",SUMIFS('Enter Invoices'!G:G,'Enter Invoices'!D:D,B459,'Enter Invoices'!J:J,"C")),"")</f>
        <v/>
      </c>
      <c r="G459" s="46" t="str">
        <f>IFERROR(IF(OR(B459="",B459="(BLANK)"),"",SUMIFS('Enter Invoices'!G:G,'Enter Invoices'!D:D,B459,'Enter Invoices'!J:J,"D")),"")</f>
        <v/>
      </c>
      <c r="H459" s="47" t="str">
        <f t="shared" si="9"/>
        <v/>
      </c>
    </row>
    <row r="460" spans="3:8" s="43" customFormat="1" ht="15" customHeight="1" x14ac:dyDescent="0.25">
      <c r="C460" s="75" t="str">
        <f>IFERROR(VLOOKUP(B460,'Open Invoices'!C:F,4,0),"")</f>
        <v/>
      </c>
      <c r="D460" s="75" t="str">
        <f>IFERROR(IF(OR(B460="",B460="(BLANK)"),"",SUMIFS('Enter Invoices'!G:G,'Enter Invoices'!D:D,B460,'Enter Invoices'!J:J,"A")),"")</f>
        <v/>
      </c>
      <c r="E460" s="75" t="str">
        <f>IFERROR(IF(OR(B460="",B460="(BLANK)"),"",SUMIFS('Enter Invoices'!G:G,'Enter Invoices'!D:D,B460,'Enter Invoices'!J:J,"B")),"")</f>
        <v/>
      </c>
      <c r="F460" s="75" t="str">
        <f>IFERROR(IF(OR(B460="",B460="(BLANK)"),"",SUMIFS('Enter Invoices'!G:G,'Enter Invoices'!D:D,B460,'Enter Invoices'!J:J,"C")),"")</f>
        <v/>
      </c>
      <c r="G460" s="46" t="str">
        <f>IFERROR(IF(OR(B460="",B460="(BLANK)"),"",SUMIFS('Enter Invoices'!G:G,'Enter Invoices'!D:D,B460,'Enter Invoices'!J:J,"D")),"")</f>
        <v/>
      </c>
      <c r="H460" s="47" t="str">
        <f t="shared" si="9"/>
        <v/>
      </c>
    </row>
    <row r="461" spans="3:8" s="43" customFormat="1" ht="15" customHeight="1" x14ac:dyDescent="0.25">
      <c r="C461" s="75" t="str">
        <f>IFERROR(VLOOKUP(B461,'Open Invoices'!C:F,4,0),"")</f>
        <v/>
      </c>
      <c r="D461" s="75" t="str">
        <f>IFERROR(IF(OR(B461="",B461="(BLANK)"),"",SUMIFS('Enter Invoices'!G:G,'Enter Invoices'!D:D,B461,'Enter Invoices'!J:J,"A")),"")</f>
        <v/>
      </c>
      <c r="E461" s="75" t="str">
        <f>IFERROR(IF(OR(B461="",B461="(BLANK)"),"",SUMIFS('Enter Invoices'!G:G,'Enter Invoices'!D:D,B461,'Enter Invoices'!J:J,"B")),"")</f>
        <v/>
      </c>
      <c r="F461" s="75" t="str">
        <f>IFERROR(IF(OR(B461="",B461="(BLANK)"),"",SUMIFS('Enter Invoices'!G:G,'Enter Invoices'!D:D,B461,'Enter Invoices'!J:J,"C")),"")</f>
        <v/>
      </c>
      <c r="G461" s="46" t="str">
        <f>IFERROR(IF(OR(B461="",B461="(BLANK)"),"",SUMIFS('Enter Invoices'!G:G,'Enter Invoices'!D:D,B461,'Enter Invoices'!J:J,"D")),"")</f>
        <v/>
      </c>
      <c r="H461" s="47" t="str">
        <f t="shared" si="9"/>
        <v/>
      </c>
    </row>
    <row r="462" spans="3:8" s="43" customFormat="1" ht="15" customHeight="1" x14ac:dyDescent="0.25">
      <c r="C462" s="75" t="str">
        <f>IFERROR(VLOOKUP(B462,'Open Invoices'!C:F,4,0),"")</f>
        <v/>
      </c>
      <c r="D462" s="75" t="str">
        <f>IFERROR(IF(OR(B462="",B462="(BLANK)"),"",SUMIFS('Enter Invoices'!G:G,'Enter Invoices'!D:D,B462,'Enter Invoices'!J:J,"A")),"")</f>
        <v/>
      </c>
      <c r="E462" s="75" t="str">
        <f>IFERROR(IF(OR(B462="",B462="(BLANK)"),"",SUMIFS('Enter Invoices'!G:G,'Enter Invoices'!D:D,B462,'Enter Invoices'!J:J,"B")),"")</f>
        <v/>
      </c>
      <c r="F462" s="75" t="str">
        <f>IFERROR(IF(OR(B462="",B462="(BLANK)"),"",SUMIFS('Enter Invoices'!G:G,'Enter Invoices'!D:D,B462,'Enter Invoices'!J:J,"C")),"")</f>
        <v/>
      </c>
      <c r="G462" s="46" t="str">
        <f>IFERROR(IF(OR(B462="",B462="(BLANK)"),"",SUMIFS('Enter Invoices'!G:G,'Enter Invoices'!D:D,B462,'Enter Invoices'!J:J,"D")),"")</f>
        <v/>
      </c>
      <c r="H462" s="47" t="str">
        <f t="shared" si="9"/>
        <v/>
      </c>
    </row>
    <row r="463" spans="3:8" s="43" customFormat="1" ht="15" customHeight="1" x14ac:dyDescent="0.25">
      <c r="C463" s="75" t="str">
        <f>IFERROR(VLOOKUP(B463,'Open Invoices'!C:F,4,0),"")</f>
        <v/>
      </c>
      <c r="D463" s="75" t="str">
        <f>IFERROR(IF(OR(B463="",B463="(BLANK)"),"",SUMIFS('Enter Invoices'!G:G,'Enter Invoices'!D:D,B463,'Enter Invoices'!J:J,"A")),"")</f>
        <v/>
      </c>
      <c r="E463" s="75" t="str">
        <f>IFERROR(IF(OR(B463="",B463="(BLANK)"),"",SUMIFS('Enter Invoices'!G:G,'Enter Invoices'!D:D,B463,'Enter Invoices'!J:J,"B")),"")</f>
        <v/>
      </c>
      <c r="F463" s="75" t="str">
        <f>IFERROR(IF(OR(B463="",B463="(BLANK)"),"",SUMIFS('Enter Invoices'!G:G,'Enter Invoices'!D:D,B463,'Enter Invoices'!J:J,"C")),"")</f>
        <v/>
      </c>
      <c r="G463" s="46" t="str">
        <f>IFERROR(IF(OR(B463="",B463="(BLANK)"),"",SUMIFS('Enter Invoices'!G:G,'Enter Invoices'!D:D,B463,'Enter Invoices'!J:J,"D")),"")</f>
        <v/>
      </c>
      <c r="H463" s="47" t="str">
        <f t="shared" si="9"/>
        <v/>
      </c>
    </row>
    <row r="464" spans="3:8" s="43" customFormat="1" ht="15" customHeight="1" x14ac:dyDescent="0.25">
      <c r="C464" s="75" t="str">
        <f>IFERROR(VLOOKUP(B464,'Open Invoices'!C:F,4,0),"")</f>
        <v/>
      </c>
      <c r="D464" s="75" t="str">
        <f>IFERROR(IF(OR(B464="",B464="(BLANK)"),"",SUMIFS('Enter Invoices'!G:G,'Enter Invoices'!D:D,B464,'Enter Invoices'!J:J,"A")),"")</f>
        <v/>
      </c>
      <c r="E464" s="75" t="str">
        <f>IFERROR(IF(OR(B464="",B464="(BLANK)"),"",SUMIFS('Enter Invoices'!G:G,'Enter Invoices'!D:D,B464,'Enter Invoices'!J:J,"B")),"")</f>
        <v/>
      </c>
      <c r="F464" s="75" t="str">
        <f>IFERROR(IF(OR(B464="",B464="(BLANK)"),"",SUMIFS('Enter Invoices'!G:G,'Enter Invoices'!D:D,B464,'Enter Invoices'!J:J,"C")),"")</f>
        <v/>
      </c>
      <c r="G464" s="46" t="str">
        <f>IFERROR(IF(OR(B464="",B464="(BLANK)"),"",SUMIFS('Enter Invoices'!G:G,'Enter Invoices'!D:D,B464,'Enter Invoices'!J:J,"D")),"")</f>
        <v/>
      </c>
      <c r="H464" s="47" t="str">
        <f t="shared" si="9"/>
        <v/>
      </c>
    </row>
    <row r="465" spans="3:8" s="43" customFormat="1" ht="15" customHeight="1" x14ac:dyDescent="0.25">
      <c r="C465" s="75" t="str">
        <f>IFERROR(VLOOKUP(B465,'Open Invoices'!C:F,4,0),"")</f>
        <v/>
      </c>
      <c r="D465" s="75" t="str">
        <f>IFERROR(IF(OR(B465="",B465="(BLANK)"),"",SUMIFS('Enter Invoices'!G:G,'Enter Invoices'!D:D,B465,'Enter Invoices'!J:J,"A")),"")</f>
        <v/>
      </c>
      <c r="E465" s="75" t="str">
        <f>IFERROR(IF(OR(B465="",B465="(BLANK)"),"",SUMIFS('Enter Invoices'!G:G,'Enter Invoices'!D:D,B465,'Enter Invoices'!J:J,"B")),"")</f>
        <v/>
      </c>
      <c r="F465" s="75" t="str">
        <f>IFERROR(IF(OR(B465="",B465="(BLANK)"),"",SUMIFS('Enter Invoices'!G:G,'Enter Invoices'!D:D,B465,'Enter Invoices'!J:J,"C")),"")</f>
        <v/>
      </c>
      <c r="G465" s="46" t="str">
        <f>IFERROR(IF(OR(B465="",B465="(BLANK)"),"",SUMIFS('Enter Invoices'!G:G,'Enter Invoices'!D:D,B465,'Enter Invoices'!J:J,"D")),"")</f>
        <v/>
      </c>
      <c r="H465" s="47" t="str">
        <f t="shared" si="9"/>
        <v/>
      </c>
    </row>
    <row r="466" spans="3:8" s="43" customFormat="1" ht="15" customHeight="1" x14ac:dyDescent="0.25">
      <c r="C466" s="75" t="str">
        <f>IFERROR(VLOOKUP(B466,'Open Invoices'!C:F,4,0),"")</f>
        <v/>
      </c>
      <c r="D466" s="75" t="str">
        <f>IFERROR(IF(OR(B466="",B466="(BLANK)"),"",SUMIFS('Enter Invoices'!G:G,'Enter Invoices'!D:D,B466,'Enter Invoices'!J:J,"A")),"")</f>
        <v/>
      </c>
      <c r="E466" s="75" t="str">
        <f>IFERROR(IF(OR(B466="",B466="(BLANK)"),"",SUMIFS('Enter Invoices'!G:G,'Enter Invoices'!D:D,B466,'Enter Invoices'!J:J,"B")),"")</f>
        <v/>
      </c>
      <c r="F466" s="75" t="str">
        <f>IFERROR(IF(OR(B466="",B466="(BLANK)"),"",SUMIFS('Enter Invoices'!G:G,'Enter Invoices'!D:D,B466,'Enter Invoices'!J:J,"C")),"")</f>
        <v/>
      </c>
      <c r="G466" s="46" t="str">
        <f>IFERROR(IF(OR(B466="",B466="(BLANK)"),"",SUMIFS('Enter Invoices'!G:G,'Enter Invoices'!D:D,B466,'Enter Invoices'!J:J,"D")),"")</f>
        <v/>
      </c>
      <c r="H466" s="47" t="str">
        <f t="shared" si="9"/>
        <v/>
      </c>
    </row>
    <row r="467" spans="3:8" s="43" customFormat="1" ht="15" customHeight="1" x14ac:dyDescent="0.25">
      <c r="C467" s="75" t="str">
        <f>IFERROR(VLOOKUP(B467,'Open Invoices'!C:F,4,0),"")</f>
        <v/>
      </c>
      <c r="D467" s="75" t="str">
        <f>IFERROR(IF(OR(B467="",B467="(BLANK)"),"",SUMIFS('Enter Invoices'!G:G,'Enter Invoices'!D:D,B467,'Enter Invoices'!J:J,"A")),"")</f>
        <v/>
      </c>
      <c r="E467" s="75" t="str">
        <f>IFERROR(IF(OR(B467="",B467="(BLANK)"),"",SUMIFS('Enter Invoices'!G:G,'Enter Invoices'!D:D,B467,'Enter Invoices'!J:J,"B")),"")</f>
        <v/>
      </c>
      <c r="F467" s="75" t="str">
        <f>IFERROR(IF(OR(B467="",B467="(BLANK)"),"",SUMIFS('Enter Invoices'!G:G,'Enter Invoices'!D:D,B467,'Enter Invoices'!J:J,"C")),"")</f>
        <v/>
      </c>
      <c r="G467" s="46" t="str">
        <f>IFERROR(IF(OR(B467="",B467="(BLANK)"),"",SUMIFS('Enter Invoices'!G:G,'Enter Invoices'!D:D,B467,'Enter Invoices'!J:J,"D")),"")</f>
        <v/>
      </c>
      <c r="H467" s="47" t="str">
        <f t="shared" si="9"/>
        <v/>
      </c>
    </row>
    <row r="468" spans="3:8" s="43" customFormat="1" ht="15" customHeight="1" x14ac:dyDescent="0.25">
      <c r="C468" s="75" t="str">
        <f>IFERROR(VLOOKUP(B468,'Open Invoices'!C:F,4,0),"")</f>
        <v/>
      </c>
      <c r="D468" s="75" t="str">
        <f>IFERROR(IF(OR(B468="",B468="(BLANK)"),"",SUMIFS('Enter Invoices'!G:G,'Enter Invoices'!D:D,B468,'Enter Invoices'!J:J,"A")),"")</f>
        <v/>
      </c>
      <c r="E468" s="75" t="str">
        <f>IFERROR(IF(OR(B468="",B468="(BLANK)"),"",SUMIFS('Enter Invoices'!G:G,'Enter Invoices'!D:D,B468,'Enter Invoices'!J:J,"B")),"")</f>
        <v/>
      </c>
      <c r="F468" s="75" t="str">
        <f>IFERROR(IF(OR(B468="",B468="(BLANK)"),"",SUMIFS('Enter Invoices'!G:G,'Enter Invoices'!D:D,B468,'Enter Invoices'!J:J,"C")),"")</f>
        <v/>
      </c>
      <c r="G468" s="46" t="str">
        <f>IFERROR(IF(OR(B468="",B468="(BLANK)"),"",SUMIFS('Enter Invoices'!G:G,'Enter Invoices'!D:D,B468,'Enter Invoices'!J:J,"D")),"")</f>
        <v/>
      </c>
      <c r="H468" s="47" t="str">
        <f t="shared" si="9"/>
        <v/>
      </c>
    </row>
    <row r="469" spans="3:8" s="43" customFormat="1" ht="15" customHeight="1" x14ac:dyDescent="0.25">
      <c r="C469" s="75" t="str">
        <f>IFERROR(VLOOKUP(B469,'Open Invoices'!C:F,4,0),"")</f>
        <v/>
      </c>
      <c r="D469" s="75" t="str">
        <f>IFERROR(IF(OR(B469="",B469="(BLANK)"),"",SUMIFS('Enter Invoices'!G:G,'Enter Invoices'!D:D,B469,'Enter Invoices'!J:J,"A")),"")</f>
        <v/>
      </c>
      <c r="E469" s="75" t="str">
        <f>IFERROR(IF(OR(B469="",B469="(BLANK)"),"",SUMIFS('Enter Invoices'!G:G,'Enter Invoices'!D:D,B469,'Enter Invoices'!J:J,"B")),"")</f>
        <v/>
      </c>
      <c r="F469" s="75" t="str">
        <f>IFERROR(IF(OR(B469="",B469="(BLANK)"),"",SUMIFS('Enter Invoices'!G:G,'Enter Invoices'!D:D,B469,'Enter Invoices'!J:J,"C")),"")</f>
        <v/>
      </c>
      <c r="G469" s="46" t="str">
        <f>IFERROR(IF(OR(B469="",B469="(BLANK)"),"",SUMIFS('Enter Invoices'!G:G,'Enter Invoices'!D:D,B469,'Enter Invoices'!J:J,"D")),"")</f>
        <v/>
      </c>
      <c r="H469" s="47" t="str">
        <f t="shared" si="9"/>
        <v/>
      </c>
    </row>
    <row r="470" spans="3:8" s="43" customFormat="1" ht="15" customHeight="1" x14ac:dyDescent="0.25">
      <c r="C470" s="75" t="str">
        <f>IFERROR(VLOOKUP(B470,'Open Invoices'!C:F,4,0),"")</f>
        <v/>
      </c>
      <c r="D470" s="75" t="str">
        <f>IFERROR(IF(OR(B470="",B470="(BLANK)"),"",SUMIFS('Enter Invoices'!G:G,'Enter Invoices'!D:D,B470,'Enter Invoices'!J:J,"A")),"")</f>
        <v/>
      </c>
      <c r="E470" s="75" t="str">
        <f>IFERROR(IF(OR(B470="",B470="(BLANK)"),"",SUMIFS('Enter Invoices'!G:G,'Enter Invoices'!D:D,B470,'Enter Invoices'!J:J,"B")),"")</f>
        <v/>
      </c>
      <c r="F470" s="75" t="str">
        <f>IFERROR(IF(OR(B470="",B470="(BLANK)"),"",SUMIFS('Enter Invoices'!G:G,'Enter Invoices'!D:D,B470,'Enter Invoices'!J:J,"C")),"")</f>
        <v/>
      </c>
      <c r="G470" s="46" t="str">
        <f>IFERROR(IF(OR(B470="",B470="(BLANK)"),"",SUMIFS('Enter Invoices'!G:G,'Enter Invoices'!D:D,B470,'Enter Invoices'!J:J,"D")),"")</f>
        <v/>
      </c>
      <c r="H470" s="47" t="str">
        <f t="shared" si="9"/>
        <v/>
      </c>
    </row>
    <row r="471" spans="3:8" s="43" customFormat="1" ht="15" customHeight="1" x14ac:dyDescent="0.25">
      <c r="C471" s="75" t="str">
        <f>IFERROR(VLOOKUP(B471,'Open Invoices'!C:F,4,0),"")</f>
        <v/>
      </c>
      <c r="D471" s="75" t="str">
        <f>IFERROR(IF(OR(B471="",B471="(BLANK)"),"",SUMIFS('Enter Invoices'!G:G,'Enter Invoices'!D:D,B471,'Enter Invoices'!J:J,"A")),"")</f>
        <v/>
      </c>
      <c r="E471" s="75" t="str">
        <f>IFERROR(IF(OR(B471="",B471="(BLANK)"),"",SUMIFS('Enter Invoices'!G:G,'Enter Invoices'!D:D,B471,'Enter Invoices'!J:J,"B")),"")</f>
        <v/>
      </c>
      <c r="F471" s="75" t="str">
        <f>IFERROR(IF(OR(B471="",B471="(BLANK)"),"",SUMIFS('Enter Invoices'!G:G,'Enter Invoices'!D:D,B471,'Enter Invoices'!J:J,"C")),"")</f>
        <v/>
      </c>
      <c r="G471" s="46" t="str">
        <f>IFERROR(IF(OR(B471="",B471="(BLANK)"),"",SUMIFS('Enter Invoices'!G:G,'Enter Invoices'!D:D,B471,'Enter Invoices'!J:J,"D")),"")</f>
        <v/>
      </c>
      <c r="H471" s="47" t="str">
        <f t="shared" si="9"/>
        <v/>
      </c>
    </row>
    <row r="472" spans="3:8" s="43" customFormat="1" ht="15" customHeight="1" x14ac:dyDescent="0.25">
      <c r="C472" s="75" t="str">
        <f>IFERROR(VLOOKUP(B472,'Open Invoices'!C:F,4,0),"")</f>
        <v/>
      </c>
      <c r="D472" s="75" t="str">
        <f>IFERROR(IF(OR(B472="",B472="(BLANK)"),"",SUMIFS('Enter Invoices'!G:G,'Enter Invoices'!D:D,B472,'Enter Invoices'!J:J,"A")),"")</f>
        <v/>
      </c>
      <c r="E472" s="75" t="str">
        <f>IFERROR(IF(OR(B472="",B472="(BLANK)"),"",SUMIFS('Enter Invoices'!G:G,'Enter Invoices'!D:D,B472,'Enter Invoices'!J:J,"B")),"")</f>
        <v/>
      </c>
      <c r="F472" s="75" t="str">
        <f>IFERROR(IF(OR(B472="",B472="(BLANK)"),"",SUMIFS('Enter Invoices'!G:G,'Enter Invoices'!D:D,B472,'Enter Invoices'!J:J,"C")),"")</f>
        <v/>
      </c>
      <c r="G472" s="46" t="str">
        <f>IFERROR(IF(OR(B472="",B472="(BLANK)"),"",SUMIFS('Enter Invoices'!G:G,'Enter Invoices'!D:D,B472,'Enter Invoices'!J:J,"D")),"")</f>
        <v/>
      </c>
      <c r="H472" s="47" t="str">
        <f t="shared" si="9"/>
        <v/>
      </c>
    </row>
    <row r="473" spans="3:8" s="43" customFormat="1" ht="15" customHeight="1" x14ac:dyDescent="0.25">
      <c r="C473" s="75" t="str">
        <f>IFERROR(VLOOKUP(B473,'Open Invoices'!C:F,4,0),"")</f>
        <v/>
      </c>
      <c r="D473" s="75" t="str">
        <f>IFERROR(IF(OR(B473="",B473="(BLANK)"),"",SUMIFS('Enter Invoices'!G:G,'Enter Invoices'!D:D,B473,'Enter Invoices'!J:J,"A")),"")</f>
        <v/>
      </c>
      <c r="E473" s="75" t="str">
        <f>IFERROR(IF(OR(B473="",B473="(BLANK)"),"",SUMIFS('Enter Invoices'!G:G,'Enter Invoices'!D:D,B473,'Enter Invoices'!J:J,"B")),"")</f>
        <v/>
      </c>
      <c r="F473" s="75" t="str">
        <f>IFERROR(IF(OR(B473="",B473="(BLANK)"),"",SUMIFS('Enter Invoices'!G:G,'Enter Invoices'!D:D,B473,'Enter Invoices'!J:J,"C")),"")</f>
        <v/>
      </c>
      <c r="G473" s="46" t="str">
        <f>IFERROR(IF(OR(B473="",B473="(BLANK)"),"",SUMIFS('Enter Invoices'!G:G,'Enter Invoices'!D:D,B473,'Enter Invoices'!J:J,"D")),"")</f>
        <v/>
      </c>
      <c r="H473" s="47" t="str">
        <f t="shared" si="9"/>
        <v/>
      </c>
    </row>
    <row r="474" spans="3:8" s="43" customFormat="1" ht="15" customHeight="1" x14ac:dyDescent="0.25">
      <c r="C474" s="75" t="str">
        <f>IFERROR(VLOOKUP(B474,'Open Invoices'!C:F,4,0),"")</f>
        <v/>
      </c>
      <c r="D474" s="75" t="str">
        <f>IFERROR(IF(OR(B474="",B474="(BLANK)"),"",SUMIFS('Enter Invoices'!G:G,'Enter Invoices'!D:D,B474,'Enter Invoices'!J:J,"A")),"")</f>
        <v/>
      </c>
      <c r="E474" s="75" t="str">
        <f>IFERROR(IF(OR(B474="",B474="(BLANK)"),"",SUMIFS('Enter Invoices'!G:G,'Enter Invoices'!D:D,B474,'Enter Invoices'!J:J,"B")),"")</f>
        <v/>
      </c>
      <c r="F474" s="75" t="str">
        <f>IFERROR(IF(OR(B474="",B474="(BLANK)"),"",SUMIFS('Enter Invoices'!G:G,'Enter Invoices'!D:D,B474,'Enter Invoices'!J:J,"C")),"")</f>
        <v/>
      </c>
      <c r="G474" s="46" t="str">
        <f>IFERROR(IF(OR(B474="",B474="(BLANK)"),"",SUMIFS('Enter Invoices'!G:G,'Enter Invoices'!D:D,B474,'Enter Invoices'!J:J,"D")),"")</f>
        <v/>
      </c>
      <c r="H474" s="47" t="str">
        <f t="shared" si="9"/>
        <v/>
      </c>
    </row>
    <row r="475" spans="3:8" s="43" customFormat="1" ht="15" customHeight="1" x14ac:dyDescent="0.25">
      <c r="C475" s="75" t="str">
        <f>IFERROR(VLOOKUP(B475,'Open Invoices'!C:F,4,0),"")</f>
        <v/>
      </c>
      <c r="D475" s="75" t="str">
        <f>IFERROR(IF(OR(B475="",B475="(BLANK)"),"",SUMIFS('Enter Invoices'!G:G,'Enter Invoices'!D:D,B475,'Enter Invoices'!J:J,"A")),"")</f>
        <v/>
      </c>
      <c r="E475" s="75" t="str">
        <f>IFERROR(IF(OR(B475="",B475="(BLANK)"),"",SUMIFS('Enter Invoices'!G:G,'Enter Invoices'!D:D,B475,'Enter Invoices'!J:J,"B")),"")</f>
        <v/>
      </c>
      <c r="F475" s="75" t="str">
        <f>IFERROR(IF(OR(B475="",B475="(BLANK)"),"",SUMIFS('Enter Invoices'!G:G,'Enter Invoices'!D:D,B475,'Enter Invoices'!J:J,"C")),"")</f>
        <v/>
      </c>
      <c r="G475" s="46" t="str">
        <f>IFERROR(IF(OR(B475="",B475="(BLANK)"),"",SUMIFS('Enter Invoices'!G:G,'Enter Invoices'!D:D,B475,'Enter Invoices'!J:J,"D")),"")</f>
        <v/>
      </c>
      <c r="H475" s="47" t="str">
        <f t="shared" si="9"/>
        <v/>
      </c>
    </row>
    <row r="476" spans="3:8" s="43" customFormat="1" ht="15" customHeight="1" x14ac:dyDescent="0.25">
      <c r="C476" s="75" t="str">
        <f>IFERROR(VLOOKUP(B476,'Open Invoices'!C:F,4,0),"")</f>
        <v/>
      </c>
      <c r="D476" s="75" t="str">
        <f>IFERROR(IF(OR(B476="",B476="(BLANK)"),"",SUMIFS('Enter Invoices'!G:G,'Enter Invoices'!D:D,B476,'Enter Invoices'!J:J,"A")),"")</f>
        <v/>
      </c>
      <c r="E476" s="75" t="str">
        <f>IFERROR(IF(OR(B476="",B476="(BLANK)"),"",SUMIFS('Enter Invoices'!G:G,'Enter Invoices'!D:D,B476,'Enter Invoices'!J:J,"B")),"")</f>
        <v/>
      </c>
      <c r="F476" s="75" t="str">
        <f>IFERROR(IF(OR(B476="",B476="(BLANK)"),"",SUMIFS('Enter Invoices'!G:G,'Enter Invoices'!D:D,B476,'Enter Invoices'!J:J,"C")),"")</f>
        <v/>
      </c>
      <c r="G476" s="46" t="str">
        <f>IFERROR(IF(OR(B476="",B476="(BLANK)"),"",SUMIFS('Enter Invoices'!G:G,'Enter Invoices'!D:D,B476,'Enter Invoices'!J:J,"D")),"")</f>
        <v/>
      </c>
      <c r="H476" s="47" t="str">
        <f t="shared" si="9"/>
        <v/>
      </c>
    </row>
    <row r="477" spans="3:8" s="43" customFormat="1" ht="15" customHeight="1" x14ac:dyDescent="0.25">
      <c r="C477" s="75" t="str">
        <f>IFERROR(VLOOKUP(B477,'Open Invoices'!C:F,4,0),"")</f>
        <v/>
      </c>
      <c r="D477" s="75" t="str">
        <f>IFERROR(IF(OR(B477="",B477="(BLANK)"),"",SUMIFS('Enter Invoices'!G:G,'Enter Invoices'!D:D,B477,'Enter Invoices'!J:J,"A")),"")</f>
        <v/>
      </c>
      <c r="E477" s="75" t="str">
        <f>IFERROR(IF(OR(B477="",B477="(BLANK)"),"",SUMIFS('Enter Invoices'!G:G,'Enter Invoices'!D:D,B477,'Enter Invoices'!J:J,"B")),"")</f>
        <v/>
      </c>
      <c r="F477" s="75" t="str">
        <f>IFERROR(IF(OR(B477="",B477="(BLANK)"),"",SUMIFS('Enter Invoices'!G:G,'Enter Invoices'!D:D,B477,'Enter Invoices'!J:J,"C")),"")</f>
        <v/>
      </c>
      <c r="G477" s="46" t="str">
        <f>IFERROR(IF(OR(B477="",B477="(BLANK)"),"",SUMIFS('Enter Invoices'!G:G,'Enter Invoices'!D:D,B477,'Enter Invoices'!J:J,"D")),"")</f>
        <v/>
      </c>
      <c r="H477" s="47" t="str">
        <f t="shared" si="9"/>
        <v/>
      </c>
    </row>
    <row r="478" spans="3:8" s="43" customFormat="1" ht="15" customHeight="1" x14ac:dyDescent="0.25">
      <c r="C478" s="75" t="str">
        <f>IFERROR(VLOOKUP(B478,'Open Invoices'!C:F,4,0),"")</f>
        <v/>
      </c>
      <c r="D478" s="75" t="str">
        <f>IFERROR(IF(OR(B478="",B478="(BLANK)"),"",SUMIFS('Enter Invoices'!G:G,'Enter Invoices'!D:D,B478,'Enter Invoices'!J:J,"A")),"")</f>
        <v/>
      </c>
      <c r="E478" s="75" t="str">
        <f>IFERROR(IF(OR(B478="",B478="(BLANK)"),"",SUMIFS('Enter Invoices'!G:G,'Enter Invoices'!D:D,B478,'Enter Invoices'!J:J,"B")),"")</f>
        <v/>
      </c>
      <c r="F478" s="75" t="str">
        <f>IFERROR(IF(OR(B478="",B478="(BLANK)"),"",SUMIFS('Enter Invoices'!G:G,'Enter Invoices'!D:D,B478,'Enter Invoices'!J:J,"C")),"")</f>
        <v/>
      </c>
      <c r="G478" s="46" t="str">
        <f>IFERROR(IF(OR(B478="",B478="(BLANK)"),"",SUMIFS('Enter Invoices'!G:G,'Enter Invoices'!D:D,B478,'Enter Invoices'!J:J,"D")),"")</f>
        <v/>
      </c>
      <c r="H478" s="47" t="str">
        <f t="shared" si="9"/>
        <v/>
      </c>
    </row>
    <row r="479" spans="3:8" s="43" customFormat="1" ht="15" customHeight="1" x14ac:dyDescent="0.25">
      <c r="C479" s="75" t="str">
        <f>IFERROR(VLOOKUP(B479,'Open Invoices'!C:F,4,0),"")</f>
        <v/>
      </c>
      <c r="D479" s="75" t="str">
        <f>IFERROR(IF(OR(B479="",B479="(BLANK)"),"",SUMIFS('Enter Invoices'!G:G,'Enter Invoices'!D:D,B479,'Enter Invoices'!J:J,"A")),"")</f>
        <v/>
      </c>
      <c r="E479" s="75" t="str">
        <f>IFERROR(IF(OR(B479="",B479="(BLANK)"),"",SUMIFS('Enter Invoices'!G:G,'Enter Invoices'!D:D,B479,'Enter Invoices'!J:J,"B")),"")</f>
        <v/>
      </c>
      <c r="F479" s="75" t="str">
        <f>IFERROR(IF(OR(B479="",B479="(BLANK)"),"",SUMIFS('Enter Invoices'!G:G,'Enter Invoices'!D:D,B479,'Enter Invoices'!J:J,"C")),"")</f>
        <v/>
      </c>
      <c r="G479" s="46" t="str">
        <f>IFERROR(IF(OR(B479="",B479="(BLANK)"),"",SUMIFS('Enter Invoices'!G:G,'Enter Invoices'!D:D,B479,'Enter Invoices'!J:J,"D")),"")</f>
        <v/>
      </c>
      <c r="H479" s="47" t="str">
        <f t="shared" si="9"/>
        <v/>
      </c>
    </row>
    <row r="480" spans="3:8" s="43" customFormat="1" ht="15" customHeight="1" x14ac:dyDescent="0.25">
      <c r="C480" s="75" t="str">
        <f>IFERROR(VLOOKUP(B480,'Open Invoices'!C:F,4,0),"")</f>
        <v/>
      </c>
      <c r="D480" s="75" t="str">
        <f>IFERROR(IF(OR(B480="",B480="(BLANK)"),"",SUMIFS('Enter Invoices'!G:G,'Enter Invoices'!D:D,B480,'Enter Invoices'!J:J,"A")),"")</f>
        <v/>
      </c>
      <c r="E480" s="75" t="str">
        <f>IFERROR(IF(OR(B480="",B480="(BLANK)"),"",SUMIFS('Enter Invoices'!G:G,'Enter Invoices'!D:D,B480,'Enter Invoices'!J:J,"B")),"")</f>
        <v/>
      </c>
      <c r="F480" s="75" t="str">
        <f>IFERROR(IF(OR(B480="",B480="(BLANK)"),"",SUMIFS('Enter Invoices'!G:G,'Enter Invoices'!D:D,B480,'Enter Invoices'!J:J,"C")),"")</f>
        <v/>
      </c>
      <c r="G480" s="46" t="str">
        <f>IFERROR(IF(OR(B480="",B480="(BLANK)"),"",SUMIFS('Enter Invoices'!G:G,'Enter Invoices'!D:D,B480,'Enter Invoices'!J:J,"D")),"")</f>
        <v/>
      </c>
      <c r="H480" s="47" t="str">
        <f t="shared" si="9"/>
        <v/>
      </c>
    </row>
    <row r="481" spans="3:8" s="43" customFormat="1" ht="15" customHeight="1" x14ac:dyDescent="0.25">
      <c r="C481" s="75" t="str">
        <f>IFERROR(VLOOKUP(B481,'Open Invoices'!C:F,4,0),"")</f>
        <v/>
      </c>
      <c r="D481" s="75" t="str">
        <f>IFERROR(IF(OR(B481="",B481="(BLANK)"),"",SUMIFS('Enter Invoices'!G:G,'Enter Invoices'!D:D,B481,'Enter Invoices'!J:J,"A")),"")</f>
        <v/>
      </c>
      <c r="E481" s="75" t="str">
        <f>IFERROR(IF(OR(B481="",B481="(BLANK)"),"",SUMIFS('Enter Invoices'!G:G,'Enter Invoices'!D:D,B481,'Enter Invoices'!J:J,"B")),"")</f>
        <v/>
      </c>
      <c r="F481" s="75" t="str">
        <f>IFERROR(IF(OR(B481="",B481="(BLANK)"),"",SUMIFS('Enter Invoices'!G:G,'Enter Invoices'!D:D,B481,'Enter Invoices'!J:J,"C")),"")</f>
        <v/>
      </c>
      <c r="G481" s="46" t="str">
        <f>IFERROR(IF(OR(B481="",B481="(BLANK)"),"",SUMIFS('Enter Invoices'!G:G,'Enter Invoices'!D:D,B481,'Enter Invoices'!J:J,"D")),"")</f>
        <v/>
      </c>
      <c r="H481" s="47" t="str">
        <f t="shared" si="9"/>
        <v/>
      </c>
    </row>
    <row r="482" spans="3:8" s="43" customFormat="1" ht="15" customHeight="1" x14ac:dyDescent="0.25">
      <c r="C482" s="75" t="str">
        <f>IFERROR(VLOOKUP(B482,'Open Invoices'!C:F,4,0),"")</f>
        <v/>
      </c>
      <c r="D482" s="75" t="str">
        <f>IFERROR(IF(OR(B482="",B482="(BLANK)"),"",SUMIFS('Enter Invoices'!G:G,'Enter Invoices'!D:D,B482,'Enter Invoices'!J:J,"A")),"")</f>
        <v/>
      </c>
      <c r="E482" s="75" t="str">
        <f>IFERROR(IF(OR(B482="",B482="(BLANK)"),"",SUMIFS('Enter Invoices'!G:G,'Enter Invoices'!D:D,B482,'Enter Invoices'!J:J,"B")),"")</f>
        <v/>
      </c>
      <c r="F482" s="75" t="str">
        <f>IFERROR(IF(OR(B482="",B482="(BLANK)"),"",SUMIFS('Enter Invoices'!G:G,'Enter Invoices'!D:D,B482,'Enter Invoices'!J:J,"C")),"")</f>
        <v/>
      </c>
      <c r="G482" s="46" t="str">
        <f>IFERROR(IF(OR(B482="",B482="(BLANK)"),"",SUMIFS('Enter Invoices'!G:G,'Enter Invoices'!D:D,B482,'Enter Invoices'!J:J,"D")),"")</f>
        <v/>
      </c>
      <c r="H482" s="47" t="str">
        <f t="shared" si="9"/>
        <v/>
      </c>
    </row>
    <row r="483" spans="3:8" s="43" customFormat="1" ht="15" customHeight="1" x14ac:dyDescent="0.25">
      <c r="C483" s="75" t="str">
        <f>IFERROR(VLOOKUP(B483,'Open Invoices'!C:F,4,0),"")</f>
        <v/>
      </c>
      <c r="D483" s="75" t="str">
        <f>IFERROR(IF(OR(B483="",B483="(BLANK)"),"",SUMIFS('Enter Invoices'!G:G,'Enter Invoices'!D:D,B483,'Enter Invoices'!J:J,"A")),"")</f>
        <v/>
      </c>
      <c r="E483" s="75" t="str">
        <f>IFERROR(IF(OR(B483="",B483="(BLANK)"),"",SUMIFS('Enter Invoices'!G:G,'Enter Invoices'!D:D,B483,'Enter Invoices'!J:J,"B")),"")</f>
        <v/>
      </c>
      <c r="F483" s="75" t="str">
        <f>IFERROR(IF(OR(B483="",B483="(BLANK)"),"",SUMIFS('Enter Invoices'!G:G,'Enter Invoices'!D:D,B483,'Enter Invoices'!J:J,"C")),"")</f>
        <v/>
      </c>
      <c r="G483" s="46" t="str">
        <f>IFERROR(IF(OR(B483="",B483="(BLANK)"),"",SUMIFS('Enter Invoices'!G:G,'Enter Invoices'!D:D,B483,'Enter Invoices'!J:J,"D")),"")</f>
        <v/>
      </c>
      <c r="H483" s="47" t="str">
        <f t="shared" si="9"/>
        <v/>
      </c>
    </row>
    <row r="484" spans="3:8" s="43" customFormat="1" ht="15" customHeight="1" x14ac:dyDescent="0.25">
      <c r="C484" s="75" t="str">
        <f>IFERROR(VLOOKUP(B484,'Open Invoices'!C:F,4,0),"")</f>
        <v/>
      </c>
      <c r="D484" s="75" t="str">
        <f>IFERROR(IF(OR(B484="",B484="(BLANK)"),"",SUMIFS('Enter Invoices'!G:G,'Enter Invoices'!D:D,B484,'Enter Invoices'!J:J,"A")),"")</f>
        <v/>
      </c>
      <c r="E484" s="75" t="str">
        <f>IFERROR(IF(OR(B484="",B484="(BLANK)"),"",SUMIFS('Enter Invoices'!G:G,'Enter Invoices'!D:D,B484,'Enter Invoices'!J:J,"B")),"")</f>
        <v/>
      </c>
      <c r="F484" s="75" t="str">
        <f>IFERROR(IF(OR(B484="",B484="(BLANK)"),"",SUMIFS('Enter Invoices'!G:G,'Enter Invoices'!D:D,B484,'Enter Invoices'!J:J,"C")),"")</f>
        <v/>
      </c>
      <c r="G484" s="46" t="str">
        <f>IFERROR(IF(OR(B484="",B484="(BLANK)"),"",SUMIFS('Enter Invoices'!G:G,'Enter Invoices'!D:D,B484,'Enter Invoices'!J:J,"D")),"")</f>
        <v/>
      </c>
      <c r="H484" s="47" t="str">
        <f t="shared" si="9"/>
        <v/>
      </c>
    </row>
    <row r="485" spans="3:8" s="43" customFormat="1" ht="15" customHeight="1" x14ac:dyDescent="0.25">
      <c r="C485" s="75" t="str">
        <f>IFERROR(VLOOKUP(B485,'Open Invoices'!C:F,4,0),"")</f>
        <v/>
      </c>
      <c r="D485" s="75" t="str">
        <f>IFERROR(IF(OR(B485="",B485="(BLANK)"),"",SUMIFS('Enter Invoices'!G:G,'Enter Invoices'!D:D,B485,'Enter Invoices'!J:J,"A")),"")</f>
        <v/>
      </c>
      <c r="E485" s="75" t="str">
        <f>IFERROR(IF(OR(B485="",B485="(BLANK)"),"",SUMIFS('Enter Invoices'!G:G,'Enter Invoices'!D:D,B485,'Enter Invoices'!J:J,"B")),"")</f>
        <v/>
      </c>
      <c r="F485" s="75" t="str">
        <f>IFERROR(IF(OR(B485="",B485="(BLANK)"),"",SUMIFS('Enter Invoices'!G:G,'Enter Invoices'!D:D,B485,'Enter Invoices'!J:J,"C")),"")</f>
        <v/>
      </c>
      <c r="G485" s="46" t="str">
        <f>IFERROR(IF(OR(B485="",B485="(BLANK)"),"",SUMIFS('Enter Invoices'!G:G,'Enter Invoices'!D:D,B485,'Enter Invoices'!J:J,"D")),"")</f>
        <v/>
      </c>
      <c r="H485" s="47" t="str">
        <f t="shared" si="9"/>
        <v/>
      </c>
    </row>
    <row r="486" spans="3:8" s="43" customFormat="1" ht="15" customHeight="1" x14ac:dyDescent="0.25">
      <c r="C486" s="75" t="str">
        <f>IFERROR(VLOOKUP(B486,'Open Invoices'!C:F,4,0),"")</f>
        <v/>
      </c>
      <c r="D486" s="75" t="str">
        <f>IFERROR(IF(OR(B486="",B486="(BLANK)"),"",SUMIFS('Enter Invoices'!G:G,'Enter Invoices'!D:D,B486,'Enter Invoices'!J:J,"A")),"")</f>
        <v/>
      </c>
      <c r="E486" s="75" t="str">
        <f>IFERROR(IF(OR(B486="",B486="(BLANK)"),"",SUMIFS('Enter Invoices'!G:G,'Enter Invoices'!D:D,B486,'Enter Invoices'!J:J,"B")),"")</f>
        <v/>
      </c>
      <c r="F486" s="75" t="str">
        <f>IFERROR(IF(OR(B486="",B486="(BLANK)"),"",SUMIFS('Enter Invoices'!G:G,'Enter Invoices'!D:D,B486,'Enter Invoices'!J:J,"C")),"")</f>
        <v/>
      </c>
      <c r="G486" s="46" t="str">
        <f>IFERROR(IF(OR(B486="",B486="(BLANK)"),"",SUMIFS('Enter Invoices'!G:G,'Enter Invoices'!D:D,B486,'Enter Invoices'!J:J,"D")),"")</f>
        <v/>
      </c>
      <c r="H486" s="47" t="str">
        <f t="shared" si="9"/>
        <v/>
      </c>
    </row>
    <row r="487" spans="3:8" s="43" customFormat="1" ht="15" customHeight="1" x14ac:dyDescent="0.25">
      <c r="C487" s="75" t="str">
        <f>IFERROR(VLOOKUP(B487,'Open Invoices'!C:F,4,0),"")</f>
        <v/>
      </c>
      <c r="D487" s="75" t="str">
        <f>IFERROR(IF(OR(B487="",B487="(BLANK)"),"",SUMIFS('Enter Invoices'!G:G,'Enter Invoices'!D:D,B487,'Enter Invoices'!J:J,"A")),"")</f>
        <v/>
      </c>
      <c r="E487" s="75" t="str">
        <f>IFERROR(IF(OR(B487="",B487="(BLANK)"),"",SUMIFS('Enter Invoices'!G:G,'Enter Invoices'!D:D,B487,'Enter Invoices'!J:J,"B")),"")</f>
        <v/>
      </c>
      <c r="F487" s="75" t="str">
        <f>IFERROR(IF(OR(B487="",B487="(BLANK)"),"",SUMIFS('Enter Invoices'!G:G,'Enter Invoices'!D:D,B487,'Enter Invoices'!J:J,"C")),"")</f>
        <v/>
      </c>
      <c r="G487" s="46" t="str">
        <f>IFERROR(IF(OR(B487="",B487="(BLANK)"),"",SUMIFS('Enter Invoices'!G:G,'Enter Invoices'!D:D,B487,'Enter Invoices'!J:J,"D")),"")</f>
        <v/>
      </c>
      <c r="H487" s="47" t="str">
        <f t="shared" si="9"/>
        <v/>
      </c>
    </row>
    <row r="488" spans="3:8" s="43" customFormat="1" ht="15" customHeight="1" x14ac:dyDescent="0.25">
      <c r="C488" s="75" t="str">
        <f>IFERROR(VLOOKUP(B488,'Open Invoices'!C:F,4,0),"")</f>
        <v/>
      </c>
      <c r="D488" s="75" t="str">
        <f>IFERROR(IF(OR(B488="",B488="(BLANK)"),"",SUMIFS('Enter Invoices'!G:G,'Enter Invoices'!D:D,B488,'Enter Invoices'!J:J,"A")),"")</f>
        <v/>
      </c>
      <c r="E488" s="75" t="str">
        <f>IFERROR(IF(OR(B488="",B488="(BLANK)"),"",SUMIFS('Enter Invoices'!G:G,'Enter Invoices'!D:D,B488,'Enter Invoices'!J:J,"B")),"")</f>
        <v/>
      </c>
      <c r="F488" s="75" t="str">
        <f>IFERROR(IF(OR(B488="",B488="(BLANK)"),"",SUMIFS('Enter Invoices'!G:G,'Enter Invoices'!D:D,B488,'Enter Invoices'!J:J,"C")),"")</f>
        <v/>
      </c>
      <c r="G488" s="46" t="str">
        <f>IFERROR(IF(OR(B488="",B488="(BLANK)"),"",SUMIFS('Enter Invoices'!G:G,'Enter Invoices'!D:D,B488,'Enter Invoices'!J:J,"D")),"")</f>
        <v/>
      </c>
      <c r="H488" s="47" t="str">
        <f t="shared" si="9"/>
        <v/>
      </c>
    </row>
    <row r="489" spans="3:8" s="43" customFormat="1" ht="15" customHeight="1" x14ac:dyDescent="0.25">
      <c r="C489" s="75" t="str">
        <f>IFERROR(VLOOKUP(B489,'Open Invoices'!C:F,4,0),"")</f>
        <v/>
      </c>
      <c r="D489" s="75" t="str">
        <f>IFERROR(IF(OR(B489="",B489="(BLANK)"),"",SUMIFS('Enter Invoices'!G:G,'Enter Invoices'!D:D,B489,'Enter Invoices'!J:J,"A")),"")</f>
        <v/>
      </c>
      <c r="E489" s="75" t="str">
        <f>IFERROR(IF(OR(B489="",B489="(BLANK)"),"",SUMIFS('Enter Invoices'!G:G,'Enter Invoices'!D:D,B489,'Enter Invoices'!J:J,"B")),"")</f>
        <v/>
      </c>
      <c r="F489" s="75" t="str">
        <f>IFERROR(IF(OR(B489="",B489="(BLANK)"),"",SUMIFS('Enter Invoices'!G:G,'Enter Invoices'!D:D,B489,'Enter Invoices'!J:J,"C")),"")</f>
        <v/>
      </c>
      <c r="G489" s="46" t="str">
        <f>IFERROR(IF(OR(B489="",B489="(BLANK)"),"",SUMIFS('Enter Invoices'!G:G,'Enter Invoices'!D:D,B489,'Enter Invoices'!J:J,"D")),"")</f>
        <v/>
      </c>
      <c r="H489" s="47" t="str">
        <f t="shared" si="9"/>
        <v/>
      </c>
    </row>
    <row r="490" spans="3:8" s="43" customFormat="1" ht="15" customHeight="1" x14ac:dyDescent="0.25">
      <c r="C490" s="75" t="str">
        <f>IFERROR(VLOOKUP(B490,'Open Invoices'!C:F,4,0),"")</f>
        <v/>
      </c>
      <c r="D490" s="75" t="str">
        <f>IFERROR(IF(OR(B490="",B490="(BLANK)"),"",SUMIFS('Enter Invoices'!G:G,'Enter Invoices'!D:D,B490,'Enter Invoices'!J:J,"A")),"")</f>
        <v/>
      </c>
      <c r="E490" s="75" t="str">
        <f>IFERROR(IF(OR(B490="",B490="(BLANK)"),"",SUMIFS('Enter Invoices'!G:G,'Enter Invoices'!D:D,B490,'Enter Invoices'!J:J,"B")),"")</f>
        <v/>
      </c>
      <c r="F490" s="75" t="str">
        <f>IFERROR(IF(OR(B490="",B490="(BLANK)"),"",SUMIFS('Enter Invoices'!G:G,'Enter Invoices'!D:D,B490,'Enter Invoices'!J:J,"C")),"")</f>
        <v/>
      </c>
      <c r="G490" s="46" t="str">
        <f>IFERROR(IF(OR(B490="",B490="(BLANK)"),"",SUMIFS('Enter Invoices'!G:G,'Enter Invoices'!D:D,B490,'Enter Invoices'!J:J,"D")),"")</f>
        <v/>
      </c>
      <c r="H490" s="47" t="str">
        <f t="shared" si="9"/>
        <v/>
      </c>
    </row>
    <row r="491" spans="3:8" s="43" customFormat="1" ht="15" customHeight="1" x14ac:dyDescent="0.25">
      <c r="C491" s="75" t="str">
        <f>IFERROR(VLOOKUP(B491,'Open Invoices'!C:F,4,0),"")</f>
        <v/>
      </c>
      <c r="D491" s="75" t="str">
        <f>IFERROR(IF(OR(B491="",B491="(BLANK)"),"",SUMIFS('Enter Invoices'!G:G,'Enter Invoices'!D:D,B491,'Enter Invoices'!J:J,"A")),"")</f>
        <v/>
      </c>
      <c r="E491" s="75" t="str">
        <f>IFERROR(IF(OR(B491="",B491="(BLANK)"),"",SUMIFS('Enter Invoices'!G:G,'Enter Invoices'!D:D,B491,'Enter Invoices'!J:J,"B")),"")</f>
        <v/>
      </c>
      <c r="F491" s="75" t="str">
        <f>IFERROR(IF(OR(B491="",B491="(BLANK)"),"",SUMIFS('Enter Invoices'!G:G,'Enter Invoices'!D:D,B491,'Enter Invoices'!J:J,"C")),"")</f>
        <v/>
      </c>
      <c r="G491" s="46" t="str">
        <f>IFERROR(IF(OR(B491="",B491="(BLANK)"),"",SUMIFS('Enter Invoices'!G:G,'Enter Invoices'!D:D,B491,'Enter Invoices'!J:J,"D")),"")</f>
        <v/>
      </c>
      <c r="H491" s="47" t="str">
        <f t="shared" si="9"/>
        <v/>
      </c>
    </row>
    <row r="492" spans="3:8" s="43" customFormat="1" ht="15" customHeight="1" x14ac:dyDescent="0.25">
      <c r="C492" s="75" t="str">
        <f>IFERROR(VLOOKUP(B492,'Open Invoices'!C:F,4,0),"")</f>
        <v/>
      </c>
      <c r="D492" s="75" t="str">
        <f>IFERROR(IF(OR(B492="",B492="(BLANK)"),"",SUMIFS('Enter Invoices'!G:G,'Enter Invoices'!D:D,B492,'Enter Invoices'!J:J,"A")),"")</f>
        <v/>
      </c>
      <c r="E492" s="75" t="str">
        <f>IFERROR(IF(OR(B492="",B492="(BLANK)"),"",SUMIFS('Enter Invoices'!G:G,'Enter Invoices'!D:D,B492,'Enter Invoices'!J:J,"B")),"")</f>
        <v/>
      </c>
      <c r="F492" s="75" t="str">
        <f>IFERROR(IF(OR(B492="",B492="(BLANK)"),"",SUMIFS('Enter Invoices'!G:G,'Enter Invoices'!D:D,B492,'Enter Invoices'!J:J,"C")),"")</f>
        <v/>
      </c>
      <c r="G492" s="46" t="str">
        <f>IFERROR(IF(OR(B492="",B492="(BLANK)"),"",SUMIFS('Enter Invoices'!G:G,'Enter Invoices'!D:D,B492,'Enter Invoices'!J:J,"D")),"")</f>
        <v/>
      </c>
      <c r="H492" s="47" t="str">
        <f t="shared" si="9"/>
        <v/>
      </c>
    </row>
    <row r="493" spans="3:8" s="43" customFormat="1" ht="15" customHeight="1" x14ac:dyDescent="0.25">
      <c r="C493" s="75" t="str">
        <f>IFERROR(VLOOKUP(B493,'Open Invoices'!C:F,4,0),"")</f>
        <v/>
      </c>
      <c r="D493" s="75" t="str">
        <f>IFERROR(IF(OR(B493="",B493="(BLANK)"),"",SUMIFS('Enter Invoices'!G:G,'Enter Invoices'!D:D,B493,'Enter Invoices'!J:J,"A")),"")</f>
        <v/>
      </c>
      <c r="E493" s="75" t="str">
        <f>IFERROR(IF(OR(B493="",B493="(BLANK)"),"",SUMIFS('Enter Invoices'!G:G,'Enter Invoices'!D:D,B493,'Enter Invoices'!J:J,"B")),"")</f>
        <v/>
      </c>
      <c r="F493" s="75" t="str">
        <f>IFERROR(IF(OR(B493="",B493="(BLANK)"),"",SUMIFS('Enter Invoices'!G:G,'Enter Invoices'!D:D,B493,'Enter Invoices'!J:J,"C")),"")</f>
        <v/>
      </c>
      <c r="G493" s="46" t="str">
        <f>IFERROR(IF(OR(B493="",B493="(BLANK)"),"",SUMIFS('Enter Invoices'!G:G,'Enter Invoices'!D:D,B493,'Enter Invoices'!J:J,"D")),"")</f>
        <v/>
      </c>
      <c r="H493" s="47" t="str">
        <f t="shared" si="9"/>
        <v/>
      </c>
    </row>
    <row r="494" spans="3:8" s="43" customFormat="1" ht="15" customHeight="1" x14ac:dyDescent="0.25">
      <c r="C494" s="75" t="str">
        <f>IFERROR(VLOOKUP(B494,'Open Invoices'!C:F,4,0),"")</f>
        <v/>
      </c>
      <c r="D494" s="75" t="str">
        <f>IFERROR(IF(OR(B494="",B494="(BLANK)"),"",SUMIFS('Enter Invoices'!G:G,'Enter Invoices'!D:D,B494,'Enter Invoices'!J:J,"A")),"")</f>
        <v/>
      </c>
      <c r="E494" s="75" t="str">
        <f>IFERROR(IF(OR(B494="",B494="(BLANK)"),"",SUMIFS('Enter Invoices'!G:G,'Enter Invoices'!D:D,B494,'Enter Invoices'!J:J,"B")),"")</f>
        <v/>
      </c>
      <c r="F494" s="75" t="str">
        <f>IFERROR(IF(OR(B494="",B494="(BLANK)"),"",SUMIFS('Enter Invoices'!G:G,'Enter Invoices'!D:D,B494,'Enter Invoices'!J:J,"C")),"")</f>
        <v/>
      </c>
      <c r="G494" s="46" t="str">
        <f>IFERROR(IF(OR(B494="",B494="(BLANK)"),"",SUMIFS('Enter Invoices'!G:G,'Enter Invoices'!D:D,B494,'Enter Invoices'!J:J,"D")),"")</f>
        <v/>
      </c>
      <c r="H494" s="47" t="str">
        <f t="shared" si="9"/>
        <v/>
      </c>
    </row>
    <row r="495" spans="3:8" s="43" customFormat="1" ht="15" customHeight="1" x14ac:dyDescent="0.25">
      <c r="C495" s="75" t="str">
        <f>IFERROR(VLOOKUP(B495,'Open Invoices'!C:F,4,0),"")</f>
        <v/>
      </c>
      <c r="D495" s="75" t="str">
        <f>IFERROR(IF(OR(B495="",B495="(BLANK)"),"",SUMIFS('Enter Invoices'!G:G,'Enter Invoices'!D:D,B495,'Enter Invoices'!J:J,"A")),"")</f>
        <v/>
      </c>
      <c r="E495" s="75" t="str">
        <f>IFERROR(IF(OR(B495="",B495="(BLANK)"),"",SUMIFS('Enter Invoices'!G:G,'Enter Invoices'!D:D,B495,'Enter Invoices'!J:J,"B")),"")</f>
        <v/>
      </c>
      <c r="F495" s="75" t="str">
        <f>IFERROR(IF(OR(B495="",B495="(BLANK)"),"",SUMIFS('Enter Invoices'!G:G,'Enter Invoices'!D:D,B495,'Enter Invoices'!J:J,"C")),"")</f>
        <v/>
      </c>
      <c r="G495" s="46" t="str">
        <f>IFERROR(IF(OR(B495="",B495="(BLANK)"),"",SUMIFS('Enter Invoices'!G:G,'Enter Invoices'!D:D,B495,'Enter Invoices'!J:J,"D")),"")</f>
        <v/>
      </c>
      <c r="H495" s="47" t="str">
        <f t="shared" si="9"/>
        <v/>
      </c>
    </row>
    <row r="496" spans="3:8" s="43" customFormat="1" ht="15" customHeight="1" x14ac:dyDescent="0.25">
      <c r="C496" s="75" t="str">
        <f>IFERROR(VLOOKUP(B496,'Open Invoices'!C:F,4,0),"")</f>
        <v/>
      </c>
      <c r="D496" s="75" t="str">
        <f>IFERROR(IF(OR(B496="",B496="(BLANK)"),"",SUMIFS('Enter Invoices'!G:G,'Enter Invoices'!D:D,B496,'Enter Invoices'!J:J,"A")),"")</f>
        <v/>
      </c>
      <c r="E496" s="75" t="str">
        <f>IFERROR(IF(OR(B496="",B496="(BLANK)"),"",SUMIFS('Enter Invoices'!G:G,'Enter Invoices'!D:D,B496,'Enter Invoices'!J:J,"B")),"")</f>
        <v/>
      </c>
      <c r="F496" s="75" t="str">
        <f>IFERROR(IF(OR(B496="",B496="(BLANK)"),"",SUMIFS('Enter Invoices'!G:G,'Enter Invoices'!D:D,B496,'Enter Invoices'!J:J,"C")),"")</f>
        <v/>
      </c>
      <c r="G496" s="46" t="str">
        <f>IFERROR(IF(OR(B496="",B496="(BLANK)"),"",SUMIFS('Enter Invoices'!G:G,'Enter Invoices'!D:D,B496,'Enter Invoices'!J:J,"D")),"")</f>
        <v/>
      </c>
      <c r="H496" s="47" t="str">
        <f t="shared" si="9"/>
        <v/>
      </c>
    </row>
    <row r="497" spans="3:8" s="43" customFormat="1" ht="15" customHeight="1" x14ac:dyDescent="0.25">
      <c r="C497" s="75" t="str">
        <f>IFERROR(VLOOKUP(B497,'Open Invoices'!C:F,4,0),"")</f>
        <v/>
      </c>
      <c r="D497" s="75" t="str">
        <f>IFERROR(IF(OR(B497="",B497="(BLANK)"),"",SUMIFS('Enter Invoices'!G:G,'Enter Invoices'!D:D,B497,'Enter Invoices'!J:J,"A")),"")</f>
        <v/>
      </c>
      <c r="E497" s="75" t="str">
        <f>IFERROR(IF(OR(B497="",B497="(BLANK)"),"",SUMIFS('Enter Invoices'!G:G,'Enter Invoices'!D:D,B497,'Enter Invoices'!J:J,"B")),"")</f>
        <v/>
      </c>
      <c r="F497" s="75" t="str">
        <f>IFERROR(IF(OR(B497="",B497="(BLANK)"),"",SUMIFS('Enter Invoices'!G:G,'Enter Invoices'!D:D,B497,'Enter Invoices'!J:J,"C")),"")</f>
        <v/>
      </c>
      <c r="G497" s="46" t="str">
        <f>IFERROR(IF(OR(B497="",B497="(BLANK)"),"",SUMIFS('Enter Invoices'!G:G,'Enter Invoices'!D:D,B497,'Enter Invoices'!J:J,"D")),"")</f>
        <v/>
      </c>
      <c r="H497" s="47" t="str">
        <f t="shared" si="9"/>
        <v/>
      </c>
    </row>
    <row r="498" spans="3:8" s="43" customFormat="1" ht="15" customHeight="1" x14ac:dyDescent="0.25">
      <c r="C498" s="75" t="str">
        <f>IFERROR(VLOOKUP(B498,'Open Invoices'!C:F,4,0),"")</f>
        <v/>
      </c>
      <c r="D498" s="75" t="str">
        <f>IFERROR(IF(OR(B498="",B498="(BLANK)"),"",SUMIFS('Enter Invoices'!G:G,'Enter Invoices'!D:D,B498,'Enter Invoices'!J:J,"A")),"")</f>
        <v/>
      </c>
      <c r="E498" s="75" t="str">
        <f>IFERROR(IF(OR(B498="",B498="(BLANK)"),"",SUMIFS('Enter Invoices'!G:G,'Enter Invoices'!D:D,B498,'Enter Invoices'!J:J,"B")),"")</f>
        <v/>
      </c>
      <c r="F498" s="75" t="str">
        <f>IFERROR(IF(OR(B498="",B498="(BLANK)"),"",SUMIFS('Enter Invoices'!G:G,'Enter Invoices'!D:D,B498,'Enter Invoices'!J:J,"C")),"")</f>
        <v/>
      </c>
      <c r="G498" s="46" t="str">
        <f>IFERROR(IF(OR(B498="",B498="(BLANK)"),"",SUMIFS('Enter Invoices'!G:G,'Enter Invoices'!D:D,B498,'Enter Invoices'!J:J,"D")),"")</f>
        <v/>
      </c>
      <c r="H498" s="47" t="str">
        <f t="shared" si="9"/>
        <v/>
      </c>
    </row>
    <row r="499" spans="3:8" s="43" customFormat="1" ht="15" customHeight="1" x14ac:dyDescent="0.25">
      <c r="C499" s="75" t="str">
        <f>IFERROR(VLOOKUP(B499,'Open Invoices'!C:F,4,0),"")</f>
        <v/>
      </c>
      <c r="D499" s="75" t="str">
        <f>IFERROR(IF(OR(B499="",B499="(BLANK)"),"",SUMIFS('Enter Invoices'!G:G,'Enter Invoices'!D:D,B499,'Enter Invoices'!J:J,"A")),"")</f>
        <v/>
      </c>
      <c r="E499" s="75" t="str">
        <f>IFERROR(IF(OR(B499="",B499="(BLANK)"),"",SUMIFS('Enter Invoices'!G:G,'Enter Invoices'!D:D,B499,'Enter Invoices'!J:J,"B")),"")</f>
        <v/>
      </c>
      <c r="F499" s="75" t="str">
        <f>IFERROR(IF(OR(B499="",B499="(BLANK)"),"",SUMIFS('Enter Invoices'!G:G,'Enter Invoices'!D:D,B499,'Enter Invoices'!J:J,"C")),"")</f>
        <v/>
      </c>
      <c r="G499" s="46" t="str">
        <f>IFERROR(IF(OR(B499="",B499="(BLANK)"),"",SUMIFS('Enter Invoices'!G:G,'Enter Invoices'!D:D,B499,'Enter Invoices'!J:J,"D")),"")</f>
        <v/>
      </c>
      <c r="H499" s="47" t="str">
        <f t="shared" si="9"/>
        <v/>
      </c>
    </row>
    <row r="500" spans="3:8" s="43" customFormat="1" ht="15" customHeight="1" x14ac:dyDescent="0.25">
      <c r="C500" s="75" t="str">
        <f>IFERROR(VLOOKUP(B500,'Open Invoices'!C:F,4,0),"")</f>
        <v/>
      </c>
      <c r="D500" s="75" t="str">
        <f>IFERROR(IF(OR(B500="",B500="(BLANK)"),"",SUMIFS('Enter Invoices'!G:G,'Enter Invoices'!D:D,B500,'Enter Invoices'!J:J,"A")),"")</f>
        <v/>
      </c>
      <c r="E500" s="75" t="str">
        <f>IFERROR(IF(OR(B500="",B500="(BLANK)"),"",SUMIFS('Enter Invoices'!G:G,'Enter Invoices'!D:D,B500,'Enter Invoices'!J:J,"B")),"")</f>
        <v/>
      </c>
      <c r="F500" s="75" t="str">
        <f>IFERROR(IF(OR(B500="",B500="(BLANK)"),"",SUMIFS('Enter Invoices'!G:G,'Enter Invoices'!D:D,B500,'Enter Invoices'!J:J,"C")),"")</f>
        <v/>
      </c>
      <c r="G500" s="46" t="str">
        <f>IFERROR(IF(OR(B500="",B500="(BLANK)"),"",SUMIFS('Enter Invoices'!G:G,'Enter Invoices'!D:D,B500,'Enter Invoices'!J:J,"D")),"")</f>
        <v/>
      </c>
      <c r="H500" s="47" t="str">
        <f t="shared" si="9"/>
        <v/>
      </c>
    </row>
    <row r="501" spans="3:8" ht="15" customHeight="1" x14ac:dyDescent="0.2">
      <c r="C501" s="79"/>
    </row>
    <row r="502" spans="3:8" ht="15" customHeight="1" x14ac:dyDescent="0.2">
      <c r="F502" s="50"/>
    </row>
  </sheetData>
  <conditionalFormatting sqref="B7:B1048576">
    <cfRule type="containsText" dxfId="10" priority="3" operator="containsText" text="(blank)">
      <formula>NOT(ISERROR(SEARCH("(blank)",B7)))</formula>
    </cfRule>
  </conditionalFormatting>
  <conditionalFormatting sqref="C7:C1048576">
    <cfRule type="cellIs" dxfId="9" priority="2" operator="greaterThan">
      <formula>0</formula>
    </cfRule>
  </conditionalFormatting>
  <hyperlinks>
    <hyperlink ref="G1" location="'Enter Invoices'!A1" display="Record/view invoices" xr:uid="{0B55BFD4-A5AC-4689-BCB8-1702C27AF0B8}"/>
    <hyperlink ref="E1" location="'Record Customer Payments'!A1" display="Record/view payments" xr:uid="{02AF09E9-BBB8-4857-853D-A9201DA76CE8}"/>
    <hyperlink ref="C1" location="'Open Invoices'!A1" display="View open invoices" xr:uid="{ABEF5A90-C761-44A4-8A58-837E142DC82C}"/>
    <hyperlink ref="B1" location="Introduction!A1" display="Introduction" xr:uid="{68E258B4-DF27-4799-93C7-7661B0E58344}"/>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fresh">
                <anchor moveWithCells="1" sizeWithCells="1">
                  <from>
                    <xdr:col>1</xdr:col>
                    <xdr:colOff>0</xdr:colOff>
                    <xdr:row>1</xdr:row>
                    <xdr:rowOff>28575</xdr:rowOff>
                  </from>
                  <to>
                    <xdr:col>1</xdr:col>
                    <xdr:colOff>1038225</xdr:colOff>
                    <xdr:row>1</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F4987-B3B6-486E-92CF-B8EA8E74032D}">
  <sheetPr codeName="Sheet7"/>
  <dimension ref="A1:N237"/>
  <sheetViews>
    <sheetView showGridLines="0" showRowColHeaders="0" topLeftCell="B1" workbookViewId="0">
      <selection activeCell="G7" sqref="G7"/>
    </sheetView>
  </sheetViews>
  <sheetFormatPr defaultColWidth="0" defaultRowHeight="12.75" zeroHeight="1" x14ac:dyDescent="0.2"/>
  <cols>
    <col min="1" max="1" width="3.5703125" style="2" customWidth="1"/>
    <col min="2" max="2" width="17.5703125" style="2" customWidth="1"/>
    <col min="3" max="3" width="4.28515625" style="2" customWidth="1"/>
    <col min="4" max="4" width="17.5703125" style="11" customWidth="1"/>
    <col min="5" max="5" width="9" style="2" customWidth="1"/>
    <col min="6" max="6" width="9.5703125" style="2" customWidth="1"/>
    <col min="7" max="9" width="9" style="2" customWidth="1"/>
    <col min="10" max="10" width="11.7109375" style="2" customWidth="1"/>
    <col min="11" max="14" width="9" style="2" customWidth="1"/>
    <col min="15" max="16384" width="9" style="2" hidden="1"/>
  </cols>
  <sheetData>
    <row r="1" spans="2:14" s="8" customFormat="1" ht="16.5" customHeight="1" x14ac:dyDescent="0.25">
      <c r="B1" s="7" t="s">
        <v>39</v>
      </c>
      <c r="C1" s="87" t="s">
        <v>59</v>
      </c>
      <c r="D1" s="87"/>
      <c r="E1" s="87"/>
      <c r="F1" s="87" t="s">
        <v>40</v>
      </c>
      <c r="G1" s="87"/>
      <c r="H1" s="87"/>
      <c r="I1" s="87" t="s">
        <v>41</v>
      </c>
      <c r="J1" s="87"/>
      <c r="K1" s="87"/>
      <c r="L1" s="87" t="s">
        <v>64</v>
      </c>
      <c r="M1" s="87"/>
      <c r="N1" s="17"/>
    </row>
    <row r="2" spans="2:14" ht="6.95" customHeight="1" x14ac:dyDescent="0.2">
      <c r="B2" s="9"/>
    </row>
    <row r="3" spans="2:14" ht="14.1" customHeight="1" x14ac:dyDescent="0.2">
      <c r="B3" s="18" t="s">
        <v>46</v>
      </c>
      <c r="D3" s="62" t="s">
        <v>71</v>
      </c>
    </row>
    <row r="4" spans="2:14" ht="14.1" customHeight="1" x14ac:dyDescent="0.2">
      <c r="B4" s="11">
        <v>7</v>
      </c>
      <c r="D4" s="61">
        <v>14</v>
      </c>
    </row>
    <row r="5" spans="2:14" ht="14.1" customHeight="1" x14ac:dyDescent="0.2">
      <c r="B5" s="11">
        <v>30</v>
      </c>
      <c r="D5" s="2"/>
    </row>
    <row r="6" spans="2:14" ht="14.1" customHeight="1" x14ac:dyDescent="0.2">
      <c r="B6" s="11">
        <v>60</v>
      </c>
      <c r="D6" s="2"/>
    </row>
    <row r="7" spans="2:14" ht="14.1" customHeight="1" x14ac:dyDescent="0.2">
      <c r="B7" s="11">
        <v>90</v>
      </c>
      <c r="D7" s="2"/>
    </row>
    <row r="8" spans="2:14" ht="14.1" customHeight="1" x14ac:dyDescent="0.2">
      <c r="B8" s="11">
        <v>180</v>
      </c>
      <c r="D8" s="2"/>
    </row>
    <row r="9" spans="2:14" ht="14.1" customHeight="1" x14ac:dyDescent="0.2">
      <c r="B9" s="11"/>
      <c r="D9" s="2"/>
    </row>
    <row r="10" spans="2:14" ht="14.1" customHeight="1" x14ac:dyDescent="0.2">
      <c r="B10" s="11"/>
      <c r="D10" s="2"/>
    </row>
    <row r="11" spans="2:14" ht="14.1" customHeight="1" x14ac:dyDescent="0.2">
      <c r="B11" s="11"/>
      <c r="D11" s="2"/>
    </row>
    <row r="12" spans="2:14" ht="14.1" customHeight="1" x14ac:dyDescent="0.2">
      <c r="B12" s="11"/>
      <c r="D12" s="2"/>
    </row>
    <row r="13" spans="2:14" ht="14.1" customHeight="1" x14ac:dyDescent="0.2">
      <c r="B13" s="11"/>
      <c r="D13" s="2"/>
    </row>
    <row r="14" spans="2:14" ht="14.1" customHeight="1" x14ac:dyDescent="0.2">
      <c r="B14" s="11"/>
      <c r="D14" s="2"/>
    </row>
    <row r="15" spans="2:14" ht="14.1" customHeight="1" x14ac:dyDescent="0.2">
      <c r="B15" s="11"/>
      <c r="D15" s="2"/>
    </row>
    <row r="16" spans="2:14" ht="14.1" customHeight="1" x14ac:dyDescent="0.2">
      <c r="B16" s="11"/>
      <c r="D16" s="2"/>
    </row>
    <row r="17" spans="2:4" ht="14.1" hidden="1" customHeight="1" x14ac:dyDescent="0.2">
      <c r="B17" s="11"/>
      <c r="D17" s="2"/>
    </row>
    <row r="18" spans="2:4" ht="14.1" hidden="1" customHeight="1" x14ac:dyDescent="0.2">
      <c r="B18" s="11"/>
      <c r="D18" s="2"/>
    </row>
    <row r="19" spans="2:4" ht="14.1" hidden="1" customHeight="1" x14ac:dyDescent="0.2">
      <c r="B19" s="11"/>
      <c r="D19" s="2"/>
    </row>
    <row r="20" spans="2:4" ht="14.1" hidden="1" customHeight="1" x14ac:dyDescent="0.2">
      <c r="B20" s="11"/>
      <c r="D20" s="2"/>
    </row>
    <row r="21" spans="2:4" ht="14.1" hidden="1" customHeight="1" x14ac:dyDescent="0.2">
      <c r="B21" s="11"/>
      <c r="D21" s="2"/>
    </row>
    <row r="22" spans="2:4" ht="14.1" hidden="1" customHeight="1" x14ac:dyDescent="0.2">
      <c r="B22" s="11"/>
      <c r="D22" s="2"/>
    </row>
    <row r="23" spans="2:4" ht="14.1" hidden="1" customHeight="1" x14ac:dyDescent="0.2">
      <c r="B23" s="11"/>
      <c r="D23" s="2"/>
    </row>
    <row r="24" spans="2:4" ht="14.1" hidden="1" customHeight="1" x14ac:dyDescent="0.2">
      <c r="B24" s="11"/>
      <c r="D24" s="2"/>
    </row>
    <row r="25" spans="2:4" ht="14.1" hidden="1" customHeight="1" x14ac:dyDescent="0.2">
      <c r="B25" s="11"/>
      <c r="D25" s="2"/>
    </row>
    <row r="26" spans="2:4" ht="14.1" hidden="1" customHeight="1" x14ac:dyDescent="0.2">
      <c r="B26" s="11"/>
      <c r="D26" s="2"/>
    </row>
    <row r="27" spans="2:4" ht="14.1" hidden="1" customHeight="1" x14ac:dyDescent="0.2">
      <c r="B27" s="11"/>
      <c r="D27" s="2"/>
    </row>
    <row r="28" spans="2:4" ht="14.1" hidden="1" customHeight="1" x14ac:dyDescent="0.2">
      <c r="B28" s="11"/>
      <c r="D28" s="2"/>
    </row>
    <row r="29" spans="2:4" ht="14.1" hidden="1" customHeight="1" x14ac:dyDescent="0.2">
      <c r="B29" s="11"/>
      <c r="D29" s="2"/>
    </row>
    <row r="30" spans="2:4" ht="14.1" hidden="1" customHeight="1" x14ac:dyDescent="0.2"/>
    <row r="31" spans="2:4" ht="14.1" hidden="1" customHeight="1" x14ac:dyDescent="0.2"/>
    <row r="32" spans="2:4" ht="14.1" hidden="1" customHeight="1" x14ac:dyDescent="0.2"/>
    <row r="33" ht="14.1" hidden="1" customHeight="1" x14ac:dyDescent="0.2"/>
    <row r="34" ht="14.1" hidden="1" customHeight="1" x14ac:dyDescent="0.2"/>
    <row r="35" ht="14.1" hidden="1" customHeight="1" x14ac:dyDescent="0.2"/>
    <row r="36" ht="14.1" hidden="1" customHeight="1" x14ac:dyDescent="0.2"/>
    <row r="37" ht="14.1" hidden="1" customHeight="1" x14ac:dyDescent="0.2"/>
    <row r="38" ht="14.1" hidden="1" customHeight="1" x14ac:dyDescent="0.2"/>
    <row r="39" ht="14.1" hidden="1" customHeight="1" x14ac:dyDescent="0.2"/>
    <row r="40" ht="14.1" hidden="1" customHeight="1" x14ac:dyDescent="0.2"/>
    <row r="41" ht="14.1" hidden="1" customHeight="1" x14ac:dyDescent="0.2"/>
    <row r="42" ht="14.1" hidden="1" customHeight="1" x14ac:dyDescent="0.2"/>
    <row r="43" ht="14.1" hidden="1" customHeight="1" x14ac:dyDescent="0.2"/>
    <row r="44" ht="14.1" hidden="1" customHeight="1" x14ac:dyDescent="0.2"/>
    <row r="45" ht="14.1" hidden="1" customHeight="1" x14ac:dyDescent="0.2"/>
    <row r="46" ht="14.1" hidden="1" customHeight="1" x14ac:dyDescent="0.2"/>
    <row r="47" ht="14.1" hidden="1" customHeight="1" x14ac:dyDescent="0.2"/>
    <row r="48" ht="14.1" hidden="1" customHeight="1" x14ac:dyDescent="0.2"/>
    <row r="49" ht="14.1" hidden="1" customHeight="1" x14ac:dyDescent="0.2"/>
    <row r="50" ht="14.1" hidden="1" customHeight="1" x14ac:dyDescent="0.2"/>
    <row r="51" ht="14.1" hidden="1" customHeight="1" x14ac:dyDescent="0.2"/>
    <row r="52" ht="14.1" hidden="1" customHeight="1" x14ac:dyDescent="0.2"/>
    <row r="53" ht="14.1" hidden="1" customHeight="1" x14ac:dyDescent="0.2"/>
    <row r="54" ht="14.1" hidden="1" customHeight="1" x14ac:dyDescent="0.2"/>
    <row r="55" ht="14.1" hidden="1" customHeight="1" x14ac:dyDescent="0.2"/>
    <row r="56" ht="14.1" hidden="1" customHeight="1" x14ac:dyDescent="0.2"/>
    <row r="57" ht="14.1" hidden="1" customHeight="1" x14ac:dyDescent="0.2"/>
    <row r="58" ht="14.1" hidden="1" customHeight="1" x14ac:dyDescent="0.2"/>
    <row r="59" ht="14.1" hidden="1" customHeight="1" x14ac:dyDescent="0.2"/>
    <row r="60" ht="14.1" hidden="1" customHeight="1" x14ac:dyDescent="0.2"/>
    <row r="61" ht="14.1" hidden="1" customHeight="1" x14ac:dyDescent="0.2"/>
    <row r="62" ht="14.1" hidden="1" customHeight="1" x14ac:dyDescent="0.2"/>
    <row r="63" ht="14.1" hidden="1" customHeight="1" x14ac:dyDescent="0.2"/>
    <row r="64" ht="14.1" hidden="1" customHeight="1" x14ac:dyDescent="0.2"/>
    <row r="65" ht="14.1" hidden="1" customHeight="1" x14ac:dyDescent="0.2"/>
    <row r="66" ht="14.1" hidden="1" customHeight="1" x14ac:dyDescent="0.2"/>
    <row r="67" ht="14.1" hidden="1" customHeight="1" x14ac:dyDescent="0.2"/>
    <row r="68" ht="14.1" hidden="1" customHeight="1" x14ac:dyDescent="0.2"/>
    <row r="69" ht="14.1" hidden="1" customHeight="1" x14ac:dyDescent="0.2"/>
    <row r="70" ht="14.1" hidden="1" customHeight="1" x14ac:dyDescent="0.2"/>
    <row r="71" ht="14.1" hidden="1" customHeight="1" x14ac:dyDescent="0.2"/>
    <row r="72" ht="14.1" hidden="1" customHeight="1" x14ac:dyDescent="0.2"/>
    <row r="73" ht="14.1" hidden="1" customHeight="1" x14ac:dyDescent="0.2"/>
    <row r="74" ht="14.1" hidden="1" customHeight="1" x14ac:dyDescent="0.2"/>
    <row r="75" ht="14.1" hidden="1" customHeight="1" x14ac:dyDescent="0.2"/>
    <row r="76" ht="14.1" hidden="1" customHeight="1" x14ac:dyDescent="0.2"/>
    <row r="77" ht="14.1" hidden="1" customHeight="1" x14ac:dyDescent="0.2"/>
    <row r="78" ht="14.1" hidden="1" customHeight="1" x14ac:dyDescent="0.2"/>
    <row r="79" ht="14.1" hidden="1" customHeight="1" x14ac:dyDescent="0.2"/>
    <row r="80" ht="14.1" hidden="1" customHeight="1" x14ac:dyDescent="0.2"/>
    <row r="81" ht="14.1" hidden="1" customHeight="1" x14ac:dyDescent="0.2"/>
    <row r="82" ht="14.1" hidden="1" customHeight="1" x14ac:dyDescent="0.2"/>
    <row r="83" ht="14.1" hidden="1" customHeight="1" x14ac:dyDescent="0.2"/>
    <row r="84" ht="14.1" hidden="1" customHeight="1" x14ac:dyDescent="0.2"/>
    <row r="85" ht="14.1" hidden="1" customHeight="1" x14ac:dyDescent="0.2"/>
    <row r="86" ht="14.1" hidden="1" customHeight="1" x14ac:dyDescent="0.2"/>
    <row r="87" ht="14.1" hidden="1" customHeight="1" x14ac:dyDescent="0.2"/>
    <row r="88" ht="14.1" hidden="1" customHeight="1" x14ac:dyDescent="0.2"/>
    <row r="89" ht="14.1" hidden="1" customHeight="1" x14ac:dyDescent="0.2"/>
    <row r="90" ht="14.1" hidden="1" customHeight="1" x14ac:dyDescent="0.2"/>
    <row r="91" ht="14.1" hidden="1" customHeight="1" x14ac:dyDescent="0.2"/>
    <row r="92" ht="14.1" hidden="1" customHeight="1" x14ac:dyDescent="0.2"/>
    <row r="93" ht="14.1" hidden="1" customHeight="1" x14ac:dyDescent="0.2"/>
    <row r="94" ht="14.1" hidden="1" customHeight="1" x14ac:dyDescent="0.2"/>
    <row r="95" ht="14.1" hidden="1" customHeight="1" x14ac:dyDescent="0.2"/>
    <row r="96" ht="14.1" hidden="1" customHeight="1" x14ac:dyDescent="0.2"/>
    <row r="97" ht="14.1" hidden="1" customHeight="1" x14ac:dyDescent="0.2"/>
    <row r="98" ht="14.1" hidden="1" customHeight="1" x14ac:dyDescent="0.2"/>
    <row r="99" ht="14.1" hidden="1" customHeight="1" x14ac:dyDescent="0.2"/>
    <row r="100" ht="14.1" hidden="1" customHeight="1" x14ac:dyDescent="0.2"/>
    <row r="101" ht="14.1" hidden="1" customHeight="1" x14ac:dyDescent="0.2"/>
    <row r="102" ht="14.1" hidden="1" customHeight="1" x14ac:dyDescent="0.2"/>
    <row r="103" ht="14.1" hidden="1" customHeight="1" x14ac:dyDescent="0.2"/>
    <row r="104" ht="14.1" hidden="1" customHeight="1" x14ac:dyDescent="0.2"/>
    <row r="105" ht="14.1" hidden="1" customHeight="1" x14ac:dyDescent="0.2"/>
    <row r="106" ht="14.1" hidden="1" customHeight="1" x14ac:dyDescent="0.2"/>
    <row r="107" ht="14.1" hidden="1" customHeight="1" x14ac:dyDescent="0.2"/>
    <row r="108" ht="14.1" hidden="1" customHeight="1" x14ac:dyDescent="0.2"/>
    <row r="109" ht="14.1" hidden="1" customHeight="1" x14ac:dyDescent="0.2"/>
    <row r="110" ht="14.1" hidden="1" customHeight="1" x14ac:dyDescent="0.2"/>
    <row r="111" ht="14.1" hidden="1" customHeight="1" x14ac:dyDescent="0.2"/>
    <row r="112" ht="14.1" hidden="1" customHeight="1" x14ac:dyDescent="0.2"/>
    <row r="113" ht="14.1" hidden="1" customHeight="1" x14ac:dyDescent="0.2"/>
    <row r="114" ht="14.1" hidden="1" customHeight="1" x14ac:dyDescent="0.2"/>
    <row r="115" ht="14.1" hidden="1" customHeight="1" x14ac:dyDescent="0.2"/>
    <row r="116" ht="14.1" hidden="1" customHeight="1" x14ac:dyDescent="0.2"/>
    <row r="117" ht="14.1" hidden="1" customHeight="1" x14ac:dyDescent="0.2"/>
    <row r="118" ht="14.1" hidden="1" customHeight="1" x14ac:dyDescent="0.2"/>
    <row r="119" ht="14.1" hidden="1" customHeight="1" x14ac:dyDescent="0.2"/>
    <row r="120" ht="14.1" hidden="1" customHeight="1" x14ac:dyDescent="0.2"/>
    <row r="121" ht="14.1" hidden="1" customHeight="1" x14ac:dyDescent="0.2"/>
    <row r="122" ht="14.1" hidden="1" customHeight="1" x14ac:dyDescent="0.2"/>
    <row r="123" ht="14.1" hidden="1" customHeight="1" x14ac:dyDescent="0.2"/>
    <row r="124" ht="14.1" hidden="1" customHeight="1" x14ac:dyDescent="0.2"/>
    <row r="125" ht="14.1" hidden="1" customHeight="1" x14ac:dyDescent="0.2"/>
    <row r="126" ht="14.1" hidden="1" customHeight="1" x14ac:dyDescent="0.2"/>
    <row r="127" ht="14.1" hidden="1" customHeight="1" x14ac:dyDescent="0.2"/>
    <row r="128" ht="14.1" hidden="1" customHeight="1" x14ac:dyDescent="0.2"/>
    <row r="129" ht="14.1" hidden="1" customHeight="1" x14ac:dyDescent="0.2"/>
    <row r="130" ht="14.1" hidden="1" customHeight="1" x14ac:dyDescent="0.2"/>
    <row r="131" ht="14.1" hidden="1" customHeight="1" x14ac:dyDescent="0.2"/>
    <row r="132" ht="14.1" hidden="1" customHeight="1" x14ac:dyDescent="0.2"/>
    <row r="133" ht="14.1" hidden="1" customHeight="1" x14ac:dyDescent="0.2"/>
    <row r="134" ht="14.1" hidden="1" customHeight="1" x14ac:dyDescent="0.2"/>
    <row r="135" ht="14.1" hidden="1" customHeight="1" x14ac:dyDescent="0.2"/>
    <row r="136" ht="14.1" hidden="1" customHeight="1" x14ac:dyDescent="0.2"/>
    <row r="137" ht="14.1" hidden="1" customHeight="1" x14ac:dyDescent="0.2"/>
    <row r="138" ht="14.1" hidden="1" customHeight="1" x14ac:dyDescent="0.2"/>
    <row r="139" ht="14.1" hidden="1" customHeight="1" x14ac:dyDescent="0.2"/>
    <row r="140" ht="14.1" hidden="1" customHeight="1" x14ac:dyDescent="0.2"/>
    <row r="141" ht="14.1" hidden="1" customHeight="1" x14ac:dyDescent="0.2"/>
    <row r="142" ht="14.1" hidden="1" customHeight="1" x14ac:dyDescent="0.2"/>
    <row r="143" ht="14.1" hidden="1" customHeight="1" x14ac:dyDescent="0.2"/>
    <row r="144" ht="14.1" hidden="1" customHeight="1" x14ac:dyDescent="0.2"/>
    <row r="145" ht="14.1" hidden="1" customHeight="1" x14ac:dyDescent="0.2"/>
    <row r="146" ht="14.1" hidden="1" customHeight="1" x14ac:dyDescent="0.2"/>
    <row r="147" ht="14.1" hidden="1" customHeight="1" x14ac:dyDescent="0.2"/>
    <row r="148" ht="14.1" hidden="1" customHeight="1" x14ac:dyDescent="0.2"/>
    <row r="149" ht="14.1" hidden="1" customHeight="1" x14ac:dyDescent="0.2"/>
    <row r="150" ht="14.1" hidden="1" customHeight="1" x14ac:dyDescent="0.2"/>
    <row r="151" ht="14.1" hidden="1" customHeight="1" x14ac:dyDescent="0.2"/>
    <row r="152" ht="14.1" hidden="1" customHeight="1" x14ac:dyDescent="0.2"/>
    <row r="153" ht="14.1" hidden="1" customHeight="1" x14ac:dyDescent="0.2"/>
    <row r="154" ht="14.1" hidden="1" customHeight="1" x14ac:dyDescent="0.2"/>
    <row r="155" ht="14.1" hidden="1" customHeight="1" x14ac:dyDescent="0.2"/>
    <row r="156" ht="14.1" hidden="1" customHeight="1" x14ac:dyDescent="0.2"/>
    <row r="157" ht="14.1" hidden="1" customHeight="1" x14ac:dyDescent="0.2"/>
    <row r="158" ht="14.1" hidden="1" customHeight="1" x14ac:dyDescent="0.2"/>
    <row r="159" ht="14.1" hidden="1" customHeight="1" x14ac:dyDescent="0.2"/>
    <row r="160" ht="14.1" hidden="1" customHeight="1" x14ac:dyDescent="0.2"/>
    <row r="161" ht="14.1" hidden="1" customHeight="1" x14ac:dyDescent="0.2"/>
    <row r="162" ht="14.1" hidden="1" customHeight="1" x14ac:dyDescent="0.2"/>
    <row r="163" ht="14.1" hidden="1" customHeight="1" x14ac:dyDescent="0.2"/>
    <row r="164" ht="14.1" hidden="1" customHeight="1" x14ac:dyDescent="0.2"/>
    <row r="165" ht="14.1" hidden="1" customHeight="1" x14ac:dyDescent="0.2"/>
    <row r="166" ht="14.1" hidden="1" customHeight="1" x14ac:dyDescent="0.2"/>
    <row r="167" ht="14.1" hidden="1" customHeight="1" x14ac:dyDescent="0.2"/>
    <row r="168" ht="14.1" hidden="1" customHeight="1" x14ac:dyDescent="0.2"/>
    <row r="169" ht="14.1" hidden="1" customHeight="1" x14ac:dyDescent="0.2"/>
    <row r="170" ht="14.1" hidden="1" customHeight="1" x14ac:dyDescent="0.2"/>
    <row r="171" ht="14.1" hidden="1" customHeight="1" x14ac:dyDescent="0.2"/>
    <row r="172" ht="14.1" hidden="1" customHeight="1" x14ac:dyDescent="0.2"/>
    <row r="173" ht="14.1" hidden="1" customHeight="1" x14ac:dyDescent="0.2"/>
    <row r="174" ht="14.1" hidden="1" customHeight="1" x14ac:dyDescent="0.2"/>
    <row r="175" ht="14.1" hidden="1" customHeight="1" x14ac:dyDescent="0.2"/>
    <row r="176" ht="14.1" hidden="1" customHeight="1" x14ac:dyDescent="0.2"/>
    <row r="177" ht="14.1" hidden="1" customHeight="1" x14ac:dyDescent="0.2"/>
    <row r="178" ht="14.1" hidden="1" customHeight="1" x14ac:dyDescent="0.2"/>
    <row r="179" ht="14.1" hidden="1" customHeight="1" x14ac:dyDescent="0.2"/>
    <row r="180" ht="14.1" hidden="1" customHeight="1" x14ac:dyDescent="0.2"/>
    <row r="181" ht="14.1" hidden="1" customHeight="1" x14ac:dyDescent="0.2"/>
    <row r="182" ht="14.1" hidden="1" customHeight="1" x14ac:dyDescent="0.2"/>
    <row r="183" ht="14.1" hidden="1" customHeight="1" x14ac:dyDescent="0.2"/>
    <row r="184" ht="14.1" hidden="1" customHeight="1" x14ac:dyDescent="0.2"/>
    <row r="185" ht="14.1" hidden="1" customHeight="1" x14ac:dyDescent="0.2"/>
    <row r="186" ht="14.1" hidden="1" customHeight="1" x14ac:dyDescent="0.2"/>
    <row r="187" ht="14.1" hidden="1" customHeight="1" x14ac:dyDescent="0.2"/>
    <row r="188" ht="14.1" hidden="1" customHeight="1" x14ac:dyDescent="0.2"/>
    <row r="189" ht="14.1" hidden="1" customHeight="1" x14ac:dyDescent="0.2"/>
    <row r="190" ht="14.1" hidden="1" customHeight="1" x14ac:dyDescent="0.2"/>
    <row r="191" ht="14.1" hidden="1" customHeight="1" x14ac:dyDescent="0.2"/>
    <row r="192" ht="14.1" hidden="1" customHeight="1" x14ac:dyDescent="0.2"/>
    <row r="193" ht="14.1" hidden="1" customHeight="1" x14ac:dyDescent="0.2"/>
    <row r="194" ht="14.1" hidden="1" customHeight="1" x14ac:dyDescent="0.2"/>
    <row r="195" ht="14.1" hidden="1" customHeight="1" x14ac:dyDescent="0.2"/>
    <row r="196" ht="14.1" hidden="1" customHeight="1" x14ac:dyDescent="0.2"/>
    <row r="197" ht="14.1" hidden="1" customHeight="1" x14ac:dyDescent="0.2"/>
    <row r="198" ht="14.1" hidden="1" customHeight="1" x14ac:dyDescent="0.2"/>
    <row r="199" ht="14.1" hidden="1" customHeight="1" x14ac:dyDescent="0.2"/>
    <row r="200" ht="14.1" hidden="1" customHeight="1" x14ac:dyDescent="0.2"/>
    <row r="201" ht="14.1" hidden="1" customHeight="1" x14ac:dyDescent="0.2"/>
    <row r="202" ht="14.1" hidden="1" customHeight="1" x14ac:dyDescent="0.2"/>
    <row r="203" ht="14.1" hidden="1" customHeight="1" x14ac:dyDescent="0.2"/>
    <row r="204" ht="14.1" hidden="1" customHeight="1" x14ac:dyDescent="0.2"/>
    <row r="205" ht="14.1" hidden="1" customHeight="1" x14ac:dyDescent="0.2"/>
    <row r="206" ht="14.1" hidden="1" customHeight="1" x14ac:dyDescent="0.2"/>
    <row r="207" ht="14.1" hidden="1" customHeight="1" x14ac:dyDescent="0.2"/>
    <row r="208" ht="14.1" hidden="1" customHeight="1" x14ac:dyDescent="0.2"/>
    <row r="209" ht="14.1" hidden="1" customHeight="1" x14ac:dyDescent="0.2"/>
    <row r="210" ht="14.1" hidden="1" customHeight="1" x14ac:dyDescent="0.2"/>
    <row r="211" ht="14.1" hidden="1" customHeight="1" x14ac:dyDescent="0.2"/>
    <row r="212" ht="14.1" hidden="1" customHeight="1" x14ac:dyDescent="0.2"/>
    <row r="213" ht="14.1" hidden="1" customHeight="1" x14ac:dyDescent="0.2"/>
    <row r="214" ht="14.1" hidden="1" customHeight="1" x14ac:dyDescent="0.2"/>
    <row r="215" ht="14.1" hidden="1" customHeight="1" x14ac:dyDescent="0.2"/>
    <row r="216" ht="14.1" hidden="1" customHeight="1" x14ac:dyDescent="0.2"/>
    <row r="217" ht="14.1" hidden="1" customHeight="1" x14ac:dyDescent="0.2"/>
    <row r="218" ht="14.1" hidden="1" customHeight="1" x14ac:dyDescent="0.2"/>
    <row r="219" ht="14.1" hidden="1" customHeight="1" x14ac:dyDescent="0.2"/>
    <row r="220" ht="14.1" hidden="1" customHeight="1" x14ac:dyDescent="0.2"/>
    <row r="221" ht="14.1" hidden="1" customHeight="1" x14ac:dyDescent="0.2"/>
    <row r="222" ht="14.1" hidden="1" customHeight="1" x14ac:dyDescent="0.2"/>
    <row r="223" ht="14.1" hidden="1" customHeight="1" x14ac:dyDescent="0.2"/>
    <row r="224" ht="14.1" hidden="1" customHeight="1" x14ac:dyDescent="0.2"/>
    <row r="225" ht="14.1" hidden="1" customHeight="1" x14ac:dyDescent="0.2"/>
    <row r="226" ht="14.1" hidden="1" customHeight="1" x14ac:dyDescent="0.2"/>
    <row r="227" ht="14.1" hidden="1" customHeight="1" x14ac:dyDescent="0.2"/>
    <row r="228" ht="14.1" hidden="1" customHeight="1" x14ac:dyDescent="0.2"/>
    <row r="229" ht="14.1" hidden="1" customHeight="1" x14ac:dyDescent="0.2"/>
    <row r="230" ht="14.1" hidden="1" customHeight="1" x14ac:dyDescent="0.2"/>
    <row r="231" ht="14.1" hidden="1" customHeight="1" x14ac:dyDescent="0.2"/>
    <row r="232" ht="14.1" hidden="1" customHeight="1" x14ac:dyDescent="0.2"/>
    <row r="233" ht="14.1" hidden="1" customHeight="1" x14ac:dyDescent="0.2"/>
    <row r="234" ht="14.1" hidden="1" customHeight="1" x14ac:dyDescent="0.2"/>
    <row r="235" ht="14.1" hidden="1" customHeight="1" x14ac:dyDescent="0.2"/>
    <row r="236" ht="14.1" hidden="1" customHeight="1" x14ac:dyDescent="0.2"/>
    <row r="237" ht="14.1" hidden="1" customHeight="1" x14ac:dyDescent="0.2"/>
  </sheetData>
  <mergeCells count="4">
    <mergeCell ref="F1:H1"/>
    <mergeCell ref="C1:E1"/>
    <mergeCell ref="I1:K1"/>
    <mergeCell ref="L1:M1"/>
  </mergeCells>
  <hyperlinks>
    <hyperlink ref="I1" location="Schedule!A1" display="Go to Payment Schedule" xr:uid="{EE89DBE1-58A4-4C20-A567-A9C3CD7EA658}"/>
    <hyperlink ref="F1" location="'Payments Made'!A1" display="Record/View Payments" xr:uid="{09755224-3DC9-4C82-9EA3-383B46E38059}"/>
    <hyperlink ref="C1" location="'Enter Invoices'!A1" display="Record/view invoices" xr:uid="{A2D6A576-A9AC-4E93-9081-BAFA26353FCE}"/>
    <hyperlink ref="L1" location="'At a Glance'!A1" display="Due at a glance" xr:uid="{839C055D-74E2-4489-B2FD-1CADFD5EF465}"/>
    <hyperlink ref="B1" location="Introduction!A1" display="Introdution" xr:uid="{46B3A4C5-5112-4D2E-B138-14ED5EC58505}"/>
  </hyperlink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Enter Invoices</vt:lpstr>
      <vt:lpstr>Record Customer Payments</vt:lpstr>
      <vt:lpstr>Sheet2</vt:lpstr>
      <vt:lpstr>Open Invoices</vt:lpstr>
      <vt:lpstr>Aging Report</vt:lpstr>
      <vt:lpstr>Lists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Natalie</dc:creator>
  <cp:keywords/>
  <dc:description/>
  <cp:lastModifiedBy>QSK1184</cp:lastModifiedBy>
  <cp:revision/>
  <dcterms:created xsi:type="dcterms:W3CDTF">2020-07-20T20:32:32Z</dcterms:created>
  <dcterms:modified xsi:type="dcterms:W3CDTF">2024-09-20T12:09:07Z</dcterms:modified>
  <cp:category/>
  <cp:contentStatus/>
</cp:coreProperties>
</file>