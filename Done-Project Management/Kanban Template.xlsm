
<file path=[Content_Types].xml><?xml version="1.0" encoding="utf-8"?>
<Types xmlns="http://schemas.openxmlformats.org/package/2006/content-types">
  <Default Extension="bin" ContentType="application/vnd.openxmlformats-officedocument.spreadsheetml.printerSettings"/>
  <Default Extension="emf" ContentType="image/x-emf"/>
  <Default Extension="GIF" ContentType="image/gi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slicerCaches/slicerCache9.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tables/table1.xml" ContentType="application/vnd.openxmlformats-officedocument.spreadsheetml.table+xml"/>
  <Override PartName="/xl/drawings/drawing3.xml" ContentType="application/vnd.openxmlformats-officedocument.drawing+xml"/>
  <Override PartName="/xl/ctrlProps/ctrlProp1.xml" ContentType="application/vnd.ms-excel.controlproperties+xml"/>
  <Override PartName="/xl/slicers/slicer1.xml" ContentType="application/vnd.ms-excel.slicer+xml"/>
  <Override PartName="/xl/drawings/drawing4.xml" ContentType="application/vnd.openxmlformats-officedocument.drawing+xml"/>
  <Override PartName="/xl/slicers/slicer2.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theme/themeOverride1.xml" ContentType="application/vnd.openxmlformats-officedocument.themeOverrid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theme/themeOverride2.xml" ContentType="application/vnd.openxmlformats-officedocument.themeOverrid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tables/table2.xml" ContentType="application/vnd.openxmlformats-officedocument.spreadsheetml.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28" codeName="{4470D2CD-2249-CD33-4A35-6F278624656F}"/>
  <workbookPr codeName="ThisWorkbook" hidePivotFieldList="1" defaultThemeVersion="166925"/>
  <mc:AlternateContent xmlns:mc="http://schemas.openxmlformats.org/markup-compatibility/2006">
    <mc:Choice Requires="x15">
      <x15ac:absPath xmlns:x15ac="http://schemas.microsoft.com/office/spreadsheetml/2010/11/ac" url="D:\yash_jain_vesu\Future_Vision\books\advance_excel\NEW-FILES-PROJECTS\100+ Premium Excel Templates\Project Management\"/>
    </mc:Choice>
  </mc:AlternateContent>
  <xr:revisionPtr revIDLastSave="0" documentId="13_ncr:1_{1F03F98B-0151-4B92-8BC1-BC80BEF11FFD}" xr6:coauthVersionLast="47" xr6:coauthVersionMax="47" xr10:uidLastSave="{00000000-0000-0000-0000-000000000000}"/>
  <bookViews>
    <workbookView xWindow="-120" yWindow="-120" windowWidth="29040" windowHeight="15840" xr2:uid="{75E585BC-B0AA-4197-8BAF-48EA1ED8A7FA}"/>
  </bookViews>
  <sheets>
    <sheet name="Introduction" sheetId="9" r:id="rId1"/>
    <sheet name="Setup" sheetId="2" r:id="rId2"/>
    <sheet name="Projects &amp; Tasks" sheetId="3" r:id="rId3"/>
    <sheet name="Kanban" sheetId="1" r:id="rId4"/>
    <sheet name="Dashboard" sheetId="7" r:id="rId5"/>
    <sheet name="Pivots" sheetId="10" state="hidden" r:id="rId6"/>
    <sheet name="DataAgg" sheetId="5" state="hidden" r:id="rId7"/>
    <sheet name="KanbanPrep" sheetId="6" state="hidden" r:id="rId8"/>
    <sheet name="HiddenSht" sheetId="4" state="hidden" r:id="rId9"/>
  </sheets>
  <definedNames>
    <definedName name="Heading5" localSheetId="3">Kanban!$AB$6:$AG$6</definedName>
    <definedName name="Heading6" localSheetId="3">Kanban!$AH$6:$AM$6</definedName>
    <definedName name="Heading7" localSheetId="3">Kanban!$AN$6:$AS$6</definedName>
    <definedName name="Heading8" localSheetId="3">Kanban!$AT$6:$AY$6</definedName>
    <definedName name="Heading9" localSheetId="3">Kanban!$AZ$6:$BE$112</definedName>
    <definedName name="KanbanBoards">OFFSET(Setup!$D$3,0,0,COUNTA(Setup!$D:$D)-1,1)</definedName>
    <definedName name="PreviousColCount" localSheetId="1">Setup!$P$2</definedName>
    <definedName name="Priorities">HiddenSht!$A$2:$A$4</definedName>
    <definedName name="ProgressPercents">HiddenSht!$B$2:$B$12</definedName>
    <definedName name="Projects">OFFSET(Setup!$F$3,0,0,COUNTA(Setup!$F:$F)-1,1)</definedName>
    <definedName name="RowLookupTbl">HiddenSht!$G$3:$H$109</definedName>
    <definedName name="Slicer___Progress">#N/A</definedName>
    <definedName name="Slicer_Assigned_To">#N/A</definedName>
    <definedName name="Slicer_Assigned_To1">#N/A</definedName>
    <definedName name="Slicer_Kanban_Board">#N/A</definedName>
    <definedName name="Slicer_Kanban_Board1">#N/A</definedName>
    <definedName name="Slicer_Overdue">#N/A</definedName>
    <definedName name="Slicer_Priority">#N/A</definedName>
    <definedName name="Slicer_Project">#N/A</definedName>
    <definedName name="Slicer_Status">#N/A</definedName>
    <definedName name="Stat1Tasks">OFFSET(KanbanPrep!$A$5,0,0,COUNTA(KanbanPrep!$A:$A)-3,1)</definedName>
    <definedName name="Stat2Tasks">OFFSET(KanbanPrep!$C$5,0,0,COUNTA(KanbanPrep!$C:$C)-3,1)</definedName>
    <definedName name="Stat3Tasks">OFFSET(KanbanPrep!$E$5,0,0,COUNTA(KanbanPrep!$E:$E)-3,1)</definedName>
    <definedName name="Stat4Tasks">OFFSET(KanbanPrep!$G$5,0,0,COUNTA(KanbanPrep!$G:$G)-3,1)</definedName>
    <definedName name="StatusCountTbl">HiddenSht!$J$3:$K$12</definedName>
    <definedName name="StatusOptions">Setup!$B$3:$B$11</definedName>
    <definedName name="TeamMembers">OFFSET(Setup!$H$3,0,0,COUNTA(Setup!$H:$H)-1,1)</definedName>
  </definedNames>
  <calcPr calcId="191029"/>
  <pivotCaches>
    <pivotCache cacheId="2" r:id="rId10"/>
    <pivotCache cacheId="3" r:id="rId11"/>
  </pivotCaches>
  <extLst>
    <ext xmlns:x14="http://schemas.microsoft.com/office/spreadsheetml/2009/9/main" uri="{BBE1A952-AA13-448e-AADC-164F8A28A991}">
      <x14:slicerCaches>
        <x14:slicerCache r:id="rId12"/>
        <x14:slicerCache r:id="rId13"/>
        <x14:slicerCache r:id="rId14"/>
        <x14:slicerCache r:id="rId15"/>
        <x14:slicerCache r:id="rId16"/>
        <x14:slicerCache r:id="rId17"/>
        <x14:slicerCache r:id="rId18"/>
        <x14:slicerCache r:id="rId19"/>
        <x14:slicerCache r:id="rId20"/>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M101" i="5" l="1"/>
  <c r="N102" i="5"/>
  <c r="O103" i="5"/>
  <c r="Q105" i="5"/>
  <c r="R106" i="5"/>
  <c r="S107" i="5"/>
  <c r="T108" i="5"/>
  <c r="V110" i="5"/>
  <c r="P104" i="5"/>
  <c r="BX1" i="1" l="1"/>
  <c r="K4" i="4"/>
  <c r="K5" i="4"/>
  <c r="K6" i="4"/>
  <c r="K7" i="4"/>
  <c r="K8" i="4"/>
  <c r="K9" i="4"/>
  <c r="K10" i="4"/>
  <c r="K11" i="4"/>
  <c r="K12" i="4"/>
  <c r="K3" i="4"/>
  <c r="H4" i="4"/>
  <c r="H5" i="4" s="1"/>
  <c r="H6" i="4" s="1"/>
  <c r="H7" i="4" s="1"/>
  <c r="H8" i="4" s="1"/>
  <c r="H9" i="4" s="1"/>
  <c r="H10" i="4" s="1"/>
  <c r="H11" i="4" s="1"/>
  <c r="H12" i="4" s="1"/>
  <c r="H13" i="4" s="1"/>
  <c r="H14" i="4" s="1"/>
  <c r="H15" i="4" s="1"/>
  <c r="H16" i="4" s="1"/>
  <c r="H17" i="4" s="1"/>
  <c r="H18" i="4" s="1"/>
  <c r="H19" i="4" s="1"/>
  <c r="H20" i="4" s="1"/>
  <c r="H21" i="4" s="1"/>
  <c r="H22" i="4" s="1"/>
  <c r="H23" i="4" s="1"/>
  <c r="H24" i="4" s="1"/>
  <c r="H25" i="4" s="1"/>
  <c r="H26" i="4" s="1"/>
  <c r="H27" i="4" s="1"/>
  <c r="H28" i="4" s="1"/>
  <c r="H29" i="4" s="1"/>
  <c r="H30" i="4" s="1"/>
  <c r="H31" i="4" s="1"/>
  <c r="H32" i="4" s="1"/>
  <c r="H33" i="4" s="1"/>
  <c r="H34" i="4" s="1"/>
  <c r="H35" i="4" s="1"/>
  <c r="H36" i="4" s="1"/>
  <c r="H37" i="4" s="1"/>
  <c r="H38" i="4" s="1"/>
  <c r="H39" i="4" s="1"/>
  <c r="H40" i="4" s="1"/>
  <c r="H41" i="4" s="1"/>
  <c r="H42" i="4" s="1"/>
  <c r="H43" i="4" s="1"/>
  <c r="H44" i="4" s="1"/>
  <c r="H45" i="4" s="1"/>
  <c r="H46" i="4" s="1"/>
  <c r="H47" i="4" s="1"/>
  <c r="H48" i="4" s="1"/>
  <c r="H49" i="4" s="1"/>
  <c r="H50" i="4" s="1"/>
  <c r="H51" i="4" s="1"/>
  <c r="H52" i="4" s="1"/>
  <c r="H53" i="4" s="1"/>
  <c r="H54" i="4" s="1"/>
  <c r="H55" i="4" s="1"/>
  <c r="H56" i="4" s="1"/>
  <c r="H57" i="4" s="1"/>
  <c r="H58" i="4" s="1"/>
  <c r="H59" i="4" s="1"/>
  <c r="H60" i="4" s="1"/>
  <c r="H61" i="4" s="1"/>
  <c r="H62" i="4" s="1"/>
  <c r="H63" i="4" s="1"/>
  <c r="H64" i="4" s="1"/>
  <c r="H65" i="4" s="1"/>
  <c r="H66" i="4" s="1"/>
  <c r="H67" i="4" s="1"/>
  <c r="H68" i="4" s="1"/>
  <c r="H69" i="4" s="1"/>
  <c r="H70" i="4" s="1"/>
  <c r="H71" i="4" s="1"/>
  <c r="H72" i="4" s="1"/>
  <c r="H73" i="4" s="1"/>
  <c r="H74" i="4" s="1"/>
  <c r="H75" i="4" s="1"/>
  <c r="H76" i="4" s="1"/>
  <c r="H77" i="4" s="1"/>
  <c r="H78" i="4" s="1"/>
  <c r="H79" i="4" s="1"/>
  <c r="H80" i="4" s="1"/>
  <c r="H81" i="4" s="1"/>
  <c r="H82" i="4" s="1"/>
  <c r="H83" i="4" s="1"/>
  <c r="H84" i="4" s="1"/>
  <c r="H85" i="4" s="1"/>
  <c r="H86" i="4" s="1"/>
  <c r="H87" i="4" s="1"/>
  <c r="H88" i="4" s="1"/>
  <c r="H89" i="4" s="1"/>
  <c r="H90" i="4" s="1"/>
  <c r="H91" i="4" s="1"/>
  <c r="H92" i="4" s="1"/>
  <c r="H93" i="4" s="1"/>
  <c r="H94" i="4" s="1"/>
  <c r="H95" i="4" s="1"/>
  <c r="H96" i="4" s="1"/>
  <c r="H97" i="4" s="1"/>
  <c r="H98" i="4" s="1"/>
  <c r="H99" i="4" s="1"/>
  <c r="H100" i="4" s="1"/>
  <c r="H101" i="4" s="1"/>
  <c r="H102" i="4" s="1"/>
  <c r="H103" i="4" s="1"/>
  <c r="H104" i="4" s="1"/>
  <c r="H105" i="4" s="1"/>
  <c r="H106" i="4" s="1"/>
  <c r="H107" i="4" s="1"/>
  <c r="H108" i="4" s="1"/>
  <c r="H109" i="4" s="1"/>
  <c r="H3" i="4"/>
  <c r="G5" i="4"/>
  <c r="B110" i="5"/>
  <c r="J110" i="5" s="1"/>
  <c r="C110" i="5"/>
  <c r="K110" i="5" s="1"/>
  <c r="D110" i="5"/>
  <c r="L110" i="5" s="1"/>
  <c r="E110" i="5"/>
  <c r="F110" i="5"/>
  <c r="G110" i="5"/>
  <c r="I110" i="5"/>
  <c r="M110" i="5"/>
  <c r="N110" i="5"/>
  <c r="O110" i="5"/>
  <c r="P110" i="5"/>
  <c r="Q110" i="5"/>
  <c r="R110" i="5"/>
  <c r="S110" i="5"/>
  <c r="T110" i="5"/>
  <c r="U110" i="5"/>
  <c r="B109" i="5"/>
  <c r="J109" i="5" s="1"/>
  <c r="C109" i="5"/>
  <c r="K109" i="5" s="1"/>
  <c r="D109" i="5"/>
  <c r="L109" i="5" s="1"/>
  <c r="E109" i="5"/>
  <c r="F109" i="5"/>
  <c r="G109" i="5"/>
  <c r="I109" i="5"/>
  <c r="M109" i="5"/>
  <c r="N109" i="5"/>
  <c r="O109" i="5"/>
  <c r="P109" i="5"/>
  <c r="Q109" i="5"/>
  <c r="R109" i="5"/>
  <c r="S109" i="5"/>
  <c r="T109" i="5"/>
  <c r="V109" i="5"/>
  <c r="B108" i="5"/>
  <c r="J108" i="5" s="1"/>
  <c r="C108" i="5"/>
  <c r="K108" i="5" s="1"/>
  <c r="D108" i="5"/>
  <c r="L108" i="5" s="1"/>
  <c r="E108" i="5"/>
  <c r="F108" i="5"/>
  <c r="G108" i="5"/>
  <c r="I108" i="5"/>
  <c r="M108" i="5"/>
  <c r="N108" i="5"/>
  <c r="O108" i="5"/>
  <c r="P108" i="5"/>
  <c r="Q108" i="5"/>
  <c r="R108" i="5"/>
  <c r="S108" i="5"/>
  <c r="U108" i="5"/>
  <c r="V108" i="5"/>
  <c r="B107" i="5"/>
  <c r="J107" i="5" s="1"/>
  <c r="C107" i="5"/>
  <c r="K107" i="5" s="1"/>
  <c r="D107" i="5"/>
  <c r="L107" i="5" s="1"/>
  <c r="E107" i="5"/>
  <c r="F107" i="5"/>
  <c r="G107" i="5"/>
  <c r="I107" i="5"/>
  <c r="M107" i="5"/>
  <c r="N107" i="5"/>
  <c r="O107" i="5"/>
  <c r="P107" i="5"/>
  <c r="Q107" i="5"/>
  <c r="R107" i="5"/>
  <c r="T107" i="5"/>
  <c r="U107" i="5"/>
  <c r="V107" i="5"/>
  <c r="B106" i="5"/>
  <c r="J106" i="5" s="1"/>
  <c r="C106" i="5"/>
  <c r="K106" i="5" s="1"/>
  <c r="D106" i="5"/>
  <c r="L106" i="5" s="1"/>
  <c r="E106" i="5"/>
  <c r="F106" i="5"/>
  <c r="G106" i="5"/>
  <c r="I106" i="5"/>
  <c r="M106" i="5"/>
  <c r="N106" i="5"/>
  <c r="O106" i="5"/>
  <c r="P106" i="5"/>
  <c r="Q106" i="5"/>
  <c r="S106" i="5"/>
  <c r="T106" i="5"/>
  <c r="U106" i="5"/>
  <c r="V106" i="5"/>
  <c r="B105" i="5"/>
  <c r="J105" i="5" s="1"/>
  <c r="C105" i="5"/>
  <c r="K105" i="5" s="1"/>
  <c r="D105" i="5"/>
  <c r="L105" i="5" s="1"/>
  <c r="E105" i="5"/>
  <c r="F105" i="5"/>
  <c r="G105" i="5"/>
  <c r="I105" i="5"/>
  <c r="M105" i="5"/>
  <c r="N105" i="5"/>
  <c r="O105" i="5"/>
  <c r="P105" i="5"/>
  <c r="R105" i="5"/>
  <c r="S105" i="5"/>
  <c r="T105" i="5"/>
  <c r="U105" i="5"/>
  <c r="V105" i="5"/>
  <c r="B104" i="5"/>
  <c r="J104" i="5" s="1"/>
  <c r="C104" i="5"/>
  <c r="K104" i="5" s="1"/>
  <c r="D104" i="5"/>
  <c r="L104" i="5" s="1"/>
  <c r="E104" i="5"/>
  <c r="F104" i="5"/>
  <c r="G104" i="5"/>
  <c r="I104" i="5"/>
  <c r="M104" i="5"/>
  <c r="N104" i="5"/>
  <c r="O104" i="5"/>
  <c r="Q104" i="5"/>
  <c r="R104" i="5"/>
  <c r="S104" i="5"/>
  <c r="T104" i="5"/>
  <c r="U104" i="5"/>
  <c r="V104" i="5"/>
  <c r="B103" i="5"/>
  <c r="J103" i="5" s="1"/>
  <c r="C103" i="5"/>
  <c r="K103" i="5" s="1"/>
  <c r="D103" i="5"/>
  <c r="L103" i="5" s="1"/>
  <c r="E103" i="5"/>
  <c r="F103" i="5"/>
  <c r="G103" i="5"/>
  <c r="I103" i="5"/>
  <c r="M103" i="5"/>
  <c r="N103" i="5"/>
  <c r="P103" i="5"/>
  <c r="Q103" i="5"/>
  <c r="R103" i="5"/>
  <c r="S103" i="5"/>
  <c r="T103" i="5"/>
  <c r="U103" i="5"/>
  <c r="V103" i="5"/>
  <c r="B102" i="5"/>
  <c r="J102" i="5" s="1"/>
  <c r="C102" i="5"/>
  <c r="K102" i="5" s="1"/>
  <c r="D102" i="5"/>
  <c r="L102" i="5" s="1"/>
  <c r="E102" i="5"/>
  <c r="F102" i="5"/>
  <c r="G102" i="5"/>
  <c r="I102" i="5"/>
  <c r="M102" i="5"/>
  <c r="O102" i="5"/>
  <c r="P102" i="5"/>
  <c r="Q102" i="5"/>
  <c r="R102" i="5"/>
  <c r="S102" i="5"/>
  <c r="T102" i="5"/>
  <c r="U102" i="5"/>
  <c r="V102" i="5"/>
  <c r="B101" i="5"/>
  <c r="J101" i="5" s="1"/>
  <c r="C101" i="5"/>
  <c r="K101" i="5" s="1"/>
  <c r="D101" i="5"/>
  <c r="L101" i="5" s="1"/>
  <c r="E101" i="5"/>
  <c r="F101" i="5"/>
  <c r="G101" i="5"/>
  <c r="I101" i="5"/>
  <c r="N101" i="5"/>
  <c r="O101" i="5"/>
  <c r="P101" i="5"/>
  <c r="Q101" i="5"/>
  <c r="R101" i="5"/>
  <c r="S101" i="5"/>
  <c r="T101" i="5"/>
  <c r="U101" i="5"/>
  <c r="V101" i="5"/>
  <c r="P18" i="1" l="1"/>
  <c r="J18" i="1"/>
  <c r="AZ18" i="1"/>
  <c r="D18" i="1"/>
  <c r="AT18" i="1"/>
  <c r="AN18" i="1"/>
  <c r="AH18" i="1"/>
  <c r="AB18" i="1"/>
  <c r="V18" i="1"/>
  <c r="AB8" i="1"/>
  <c r="V8" i="1"/>
  <c r="J8" i="1"/>
  <c r="P8" i="1"/>
  <c r="AZ8" i="1"/>
  <c r="D8" i="1"/>
  <c r="AN8" i="1"/>
  <c r="AT8" i="1"/>
  <c r="AH8" i="1"/>
  <c r="V13" i="1"/>
  <c r="P13" i="1"/>
  <c r="J13" i="1"/>
  <c r="AZ13" i="1"/>
  <c r="AT13" i="1"/>
  <c r="AN13" i="1"/>
  <c r="AH13" i="1"/>
  <c r="AB13" i="1"/>
  <c r="D13" i="1"/>
  <c r="BM13" i="1" s="1"/>
  <c r="F13" i="1" s="1"/>
  <c r="G6" i="4"/>
  <c r="G7" i="4" s="1"/>
  <c r="G8" i="4" s="1"/>
  <c r="G9" i="4" s="1"/>
  <c r="G10" i="4" s="1"/>
  <c r="G11" i="4" s="1"/>
  <c r="G12" i="4" s="1"/>
  <c r="G13" i="4" s="1"/>
  <c r="G14" i="4" s="1"/>
  <c r="G15" i="4" s="1"/>
  <c r="G16" i="4" s="1"/>
  <c r="G17" i="4" s="1"/>
  <c r="G18" i="4" s="1"/>
  <c r="G19" i="4" s="1"/>
  <c r="G20" i="4" s="1"/>
  <c r="G21" i="4" s="1"/>
  <c r="G22" i="4" s="1"/>
  <c r="G23" i="4" s="1"/>
  <c r="G24" i="4" s="1"/>
  <c r="G25" i="4" s="1"/>
  <c r="G26" i="4" s="1"/>
  <c r="G27" i="4" s="1"/>
  <c r="G28" i="4" s="1"/>
  <c r="G29" i="4" s="1"/>
  <c r="G30" i="4" s="1"/>
  <c r="G31" i="4" s="1"/>
  <c r="G32" i="4" s="1"/>
  <c r="G33" i="4" s="1"/>
  <c r="G34" i="4" s="1"/>
  <c r="G35" i="4" s="1"/>
  <c r="G36" i="4" s="1"/>
  <c r="G37" i="4" s="1"/>
  <c r="G38" i="4" s="1"/>
  <c r="G39" i="4" s="1"/>
  <c r="G40" i="4" s="1"/>
  <c r="G41" i="4" s="1"/>
  <c r="G42" i="4" s="1"/>
  <c r="G43" i="4" s="1"/>
  <c r="G44" i="4" s="1"/>
  <c r="G45" i="4" s="1"/>
  <c r="G46" i="4" s="1"/>
  <c r="G47" i="4" s="1"/>
  <c r="G48" i="4" s="1"/>
  <c r="G49" i="4" s="1"/>
  <c r="G50" i="4" s="1"/>
  <c r="G51" i="4" s="1"/>
  <c r="G52" i="4" s="1"/>
  <c r="G53" i="4" s="1"/>
  <c r="G54" i="4" s="1"/>
  <c r="G55" i="4" s="1"/>
  <c r="G56" i="4" s="1"/>
  <c r="G57" i="4" s="1"/>
  <c r="G58" i="4" s="1"/>
  <c r="G59" i="4" s="1"/>
  <c r="G60" i="4" s="1"/>
  <c r="G61" i="4" s="1"/>
  <c r="G62" i="4" s="1"/>
  <c r="G63" i="4" s="1"/>
  <c r="G64" i="4" s="1"/>
  <c r="G65" i="4" s="1"/>
  <c r="G66" i="4" s="1"/>
  <c r="G67" i="4" s="1"/>
  <c r="G68" i="4" s="1"/>
  <c r="G69" i="4" s="1"/>
  <c r="G70" i="4" s="1"/>
  <c r="G71" i="4" s="1"/>
  <c r="G72" i="4" s="1"/>
  <c r="G73" i="4" s="1"/>
  <c r="G74" i="4" s="1"/>
  <c r="G75" i="4" s="1"/>
  <c r="G76" i="4" s="1"/>
  <c r="G77" i="4" s="1"/>
  <c r="G78" i="4" s="1"/>
  <c r="G79" i="4" s="1"/>
  <c r="G80" i="4" s="1"/>
  <c r="G81" i="4" s="1"/>
  <c r="G82" i="4" s="1"/>
  <c r="G83" i="4" s="1"/>
  <c r="G84" i="4" s="1"/>
  <c r="G85" i="4" s="1"/>
  <c r="G86" i="4" s="1"/>
  <c r="G87" i="4" s="1"/>
  <c r="G88" i="4" s="1"/>
  <c r="G89" i="4" s="1"/>
  <c r="G90" i="4" s="1"/>
  <c r="G91" i="4" s="1"/>
  <c r="G92" i="4" s="1"/>
  <c r="G93" i="4" s="1"/>
  <c r="G94" i="4" s="1"/>
  <c r="G95" i="4" s="1"/>
  <c r="G96" i="4" s="1"/>
  <c r="G97" i="4" s="1"/>
  <c r="G98" i="4" s="1"/>
  <c r="G99" i="4" s="1"/>
  <c r="G100" i="4" s="1"/>
  <c r="G101" i="4" s="1"/>
  <c r="G102" i="4" s="1"/>
  <c r="G103" i="4" s="1"/>
  <c r="G104" i="4" s="1"/>
  <c r="G105" i="4" s="1"/>
  <c r="G106" i="4" s="1"/>
  <c r="G107" i="4" s="1"/>
  <c r="G108" i="4" s="1"/>
  <c r="G109" i="4" s="1"/>
  <c r="Q15" i="1" l="1"/>
  <c r="CK13" i="1"/>
  <c r="R13" i="1" s="1"/>
  <c r="P15" i="1"/>
  <c r="P16" i="1"/>
  <c r="BA15" i="1"/>
  <c r="AZ16" i="1"/>
  <c r="FE13" i="1"/>
  <c r="BB13" i="1" s="1"/>
  <c r="AZ15" i="1"/>
  <c r="BA10" i="1"/>
  <c r="AZ10" i="1"/>
  <c r="AZ11" i="1"/>
  <c r="FE8" i="1"/>
  <c r="BB8" i="1" s="1"/>
  <c r="D33" i="1"/>
  <c r="J68" i="1"/>
  <c r="P103" i="1"/>
  <c r="AT43" i="1"/>
  <c r="AZ78" i="1"/>
  <c r="AB23" i="1"/>
  <c r="AH58" i="1"/>
  <c r="AN93" i="1"/>
  <c r="P38" i="1"/>
  <c r="V73" i="1"/>
  <c r="AB108" i="1"/>
  <c r="D53" i="1"/>
  <c r="J88" i="1"/>
  <c r="AT23" i="1"/>
  <c r="AZ58" i="1"/>
  <c r="D98" i="1"/>
  <c r="AN33" i="1"/>
  <c r="AT68" i="1"/>
  <c r="AZ103" i="1"/>
  <c r="AH43" i="1"/>
  <c r="AN78" i="1"/>
  <c r="K15" i="1"/>
  <c r="J16" i="1"/>
  <c r="J15" i="1"/>
  <c r="BY13" i="1"/>
  <c r="L13" i="1" s="1"/>
  <c r="Q10" i="1"/>
  <c r="CK8" i="1"/>
  <c r="R8" i="1" s="1"/>
  <c r="P10" i="1"/>
  <c r="P11" i="1"/>
  <c r="AZ33" i="1"/>
  <c r="D73" i="1"/>
  <c r="J108" i="1"/>
  <c r="AN48" i="1"/>
  <c r="AT83" i="1"/>
  <c r="V28" i="1"/>
  <c r="AB63" i="1"/>
  <c r="AH98" i="1"/>
  <c r="J43" i="1"/>
  <c r="P78" i="1"/>
  <c r="AU20" i="1"/>
  <c r="AT20" i="1"/>
  <c r="AT21" i="1"/>
  <c r="AZ53" i="1"/>
  <c r="D93" i="1"/>
  <c r="AN28" i="1"/>
  <c r="AT63" i="1"/>
  <c r="AZ98" i="1"/>
  <c r="AH38" i="1"/>
  <c r="AN73" i="1"/>
  <c r="AT108" i="1"/>
  <c r="AB48" i="1"/>
  <c r="AH83" i="1"/>
  <c r="K10" i="1"/>
  <c r="J10" i="1"/>
  <c r="J11" i="1"/>
  <c r="BY8" i="1"/>
  <c r="L8" i="1" s="1"/>
  <c r="AT38" i="1"/>
  <c r="AZ73" i="1"/>
  <c r="AH53" i="1"/>
  <c r="V68" i="1"/>
  <c r="AB103" i="1"/>
  <c r="AN23" i="1"/>
  <c r="AZ93" i="1"/>
  <c r="AH33" i="1"/>
  <c r="AT103" i="1"/>
  <c r="AB43" i="1"/>
  <c r="AH78" i="1"/>
  <c r="E15" i="1"/>
  <c r="D15" i="1"/>
  <c r="D16" i="1"/>
  <c r="W10" i="1"/>
  <c r="V10" i="1"/>
  <c r="V11" i="1"/>
  <c r="CW8" i="1"/>
  <c r="X8" i="1" s="1"/>
  <c r="AT78" i="1"/>
  <c r="AB58" i="1"/>
  <c r="AH93" i="1"/>
  <c r="P73" i="1"/>
  <c r="AZ48" i="1"/>
  <c r="AH28" i="1"/>
  <c r="AT98" i="1"/>
  <c r="AH73" i="1"/>
  <c r="V48" i="1"/>
  <c r="AB83" i="1"/>
  <c r="J23" i="1"/>
  <c r="P58" i="1"/>
  <c r="V93" i="1"/>
  <c r="AC10" i="1"/>
  <c r="DI8" i="1"/>
  <c r="AD8" i="1" s="1"/>
  <c r="AB10" i="1"/>
  <c r="AB11" i="1"/>
  <c r="AH48" i="1"/>
  <c r="AN83" i="1"/>
  <c r="P28" i="1"/>
  <c r="V63" i="1"/>
  <c r="AB98" i="1"/>
  <c r="D43" i="1"/>
  <c r="J78" i="1"/>
  <c r="AO20" i="1"/>
  <c r="AN21" i="1"/>
  <c r="AN20" i="1"/>
  <c r="AT53" i="1"/>
  <c r="AZ88" i="1"/>
  <c r="AB33" i="1"/>
  <c r="AH68" i="1"/>
  <c r="AN103" i="1"/>
  <c r="V43" i="1"/>
  <c r="AB78" i="1"/>
  <c r="K20" i="1"/>
  <c r="J20" i="1"/>
  <c r="J21" i="1"/>
  <c r="P53" i="1"/>
  <c r="V88" i="1"/>
  <c r="D28" i="1"/>
  <c r="J63" i="1"/>
  <c r="P98" i="1"/>
  <c r="AC20" i="1"/>
  <c r="AB20" i="1"/>
  <c r="AB21" i="1"/>
  <c r="AN88" i="1"/>
  <c r="P33" i="1"/>
  <c r="D48" i="1"/>
  <c r="J83" i="1"/>
  <c r="AT58" i="1"/>
  <c r="AN68" i="1"/>
  <c r="Q20" i="1"/>
  <c r="P20" i="1"/>
  <c r="P21" i="1"/>
  <c r="V53" i="1"/>
  <c r="AB88" i="1"/>
  <c r="W15" i="1"/>
  <c r="V16" i="1"/>
  <c r="CW13" i="1"/>
  <c r="X13" i="1" s="1"/>
  <c r="V15" i="1"/>
  <c r="AN43" i="1"/>
  <c r="V23" i="1"/>
  <c r="J38" i="1"/>
  <c r="V108" i="1"/>
  <c r="D88" i="1"/>
  <c r="AN63" i="1"/>
  <c r="AB38" i="1"/>
  <c r="AN108" i="1"/>
  <c r="AC15" i="1"/>
  <c r="AB15" i="1"/>
  <c r="DI13" i="1"/>
  <c r="AD13" i="1" s="1"/>
  <c r="AB16" i="1"/>
  <c r="AI10" i="1"/>
  <c r="AH11" i="1"/>
  <c r="AH10" i="1"/>
  <c r="DU8" i="1"/>
  <c r="AJ8" i="1" s="1"/>
  <c r="AI15" i="1"/>
  <c r="AH16" i="1"/>
  <c r="AH15" i="1"/>
  <c r="DU13" i="1"/>
  <c r="AJ13" i="1" s="1"/>
  <c r="AU10" i="1"/>
  <c r="AT11" i="1"/>
  <c r="ES8" i="1"/>
  <c r="AV8" i="1" s="1"/>
  <c r="AT10" i="1"/>
  <c r="W20" i="1"/>
  <c r="V20" i="1"/>
  <c r="V21" i="1"/>
  <c r="AB53" i="1"/>
  <c r="AH88" i="1"/>
  <c r="J33" i="1"/>
  <c r="P68" i="1"/>
  <c r="V103" i="1"/>
  <c r="AZ43" i="1"/>
  <c r="D83" i="1"/>
  <c r="AH23" i="1"/>
  <c r="AN58" i="1"/>
  <c r="AT93" i="1"/>
  <c r="V38" i="1"/>
  <c r="AB73" i="1"/>
  <c r="AH108" i="1"/>
  <c r="P48" i="1"/>
  <c r="V83" i="1"/>
  <c r="D23" i="1"/>
  <c r="J58" i="1"/>
  <c r="P93" i="1"/>
  <c r="AZ28" i="1"/>
  <c r="D68" i="1"/>
  <c r="J103" i="1"/>
  <c r="AO15" i="1"/>
  <c r="AN15" i="1"/>
  <c r="AN16" i="1"/>
  <c r="EG13" i="1"/>
  <c r="AP13" i="1" s="1"/>
  <c r="AO10" i="1"/>
  <c r="EG8" i="1"/>
  <c r="AP8" i="1" s="1"/>
  <c r="AN10" i="1"/>
  <c r="AN11" i="1"/>
  <c r="P23" i="1"/>
  <c r="V58" i="1"/>
  <c r="AB93" i="1"/>
  <c r="D38" i="1"/>
  <c r="J73" i="1"/>
  <c r="P108" i="1"/>
  <c r="AT48" i="1"/>
  <c r="AZ83" i="1"/>
  <c r="AB28" i="1"/>
  <c r="AH63" i="1"/>
  <c r="AN98" i="1"/>
  <c r="P43" i="1"/>
  <c r="V78" i="1"/>
  <c r="E20" i="1"/>
  <c r="D20" i="1"/>
  <c r="D21" i="1"/>
  <c r="J53" i="1"/>
  <c r="P88" i="1"/>
  <c r="AZ23" i="1"/>
  <c r="D63" i="1"/>
  <c r="J98" i="1"/>
  <c r="AT33" i="1"/>
  <c r="AZ68" i="1"/>
  <c r="D108" i="1"/>
  <c r="AU15" i="1"/>
  <c r="AT15" i="1"/>
  <c r="AT16" i="1"/>
  <c r="ES13" i="1"/>
  <c r="AV13" i="1" s="1"/>
  <c r="D10" i="1"/>
  <c r="BM8" i="1"/>
  <c r="F8" i="1" s="1"/>
  <c r="D11" i="1"/>
  <c r="E10" i="1"/>
  <c r="J28" i="1"/>
  <c r="P63" i="1"/>
  <c r="V98" i="1"/>
  <c r="AZ38" i="1"/>
  <c r="D78" i="1"/>
  <c r="AI20" i="1"/>
  <c r="AH20" i="1"/>
  <c r="AH21" i="1"/>
  <c r="AN53" i="1"/>
  <c r="AT88" i="1"/>
  <c r="V33" i="1"/>
  <c r="AB68" i="1"/>
  <c r="AH103" i="1"/>
  <c r="J48" i="1"/>
  <c r="P83" i="1"/>
  <c r="BA20" i="1"/>
  <c r="AZ21" i="1"/>
  <c r="AZ20" i="1"/>
  <c r="D58" i="1"/>
  <c r="J93" i="1"/>
  <c r="AT28" i="1"/>
  <c r="AZ63" i="1"/>
  <c r="D103" i="1"/>
  <c r="AN38" i="1"/>
  <c r="AT73" i="1"/>
  <c r="AZ108" i="1"/>
  <c r="FE18" i="1"/>
  <c r="BB18" i="1" s="1"/>
  <c r="ES18" i="1"/>
  <c r="AV18" i="1" s="1"/>
  <c r="EG18" i="1"/>
  <c r="AP18" i="1" s="1"/>
  <c r="DU18" i="1"/>
  <c r="AJ18" i="1" s="1"/>
  <c r="DI18" i="1"/>
  <c r="AD18" i="1" s="1"/>
  <c r="CW18" i="1"/>
  <c r="X18" i="1" s="1"/>
  <c r="CK18" i="1"/>
  <c r="R18" i="1" s="1"/>
  <c r="BY18" i="1"/>
  <c r="L18" i="1" s="1"/>
  <c r="BM18" i="1"/>
  <c r="F18" i="1" s="1"/>
  <c r="E65" i="1" l="1"/>
  <c r="D65" i="1"/>
  <c r="D66" i="1"/>
  <c r="AC55" i="1"/>
  <c r="AB55" i="1"/>
  <c r="AB56" i="1"/>
  <c r="AO105" i="1"/>
  <c r="AN105" i="1"/>
  <c r="AN106" i="1"/>
  <c r="AC45" i="1"/>
  <c r="AB46" i="1"/>
  <c r="AB45" i="1"/>
  <c r="K70" i="1"/>
  <c r="J70" i="1"/>
  <c r="J71" i="1"/>
  <c r="BA25" i="1"/>
  <c r="AZ26" i="1"/>
  <c r="AZ25" i="1"/>
  <c r="E110" i="1"/>
  <c r="D111" i="1"/>
  <c r="D110" i="1"/>
  <c r="W105" i="1"/>
  <c r="V105" i="1"/>
  <c r="V106" i="1"/>
  <c r="AU55" i="1"/>
  <c r="AT55" i="1"/>
  <c r="AT56" i="1"/>
  <c r="Q60" i="1"/>
  <c r="P60" i="1"/>
  <c r="P61" i="1"/>
  <c r="BA65" i="1"/>
  <c r="AZ66" i="1"/>
  <c r="AZ65" i="1"/>
  <c r="Q110" i="1"/>
  <c r="P110" i="1"/>
  <c r="P111" i="1"/>
  <c r="W40" i="1"/>
  <c r="V40" i="1"/>
  <c r="V41" i="1"/>
  <c r="K35" i="1"/>
  <c r="J36" i="1"/>
  <c r="J35" i="1"/>
  <c r="AN65" i="1"/>
  <c r="AN66" i="1"/>
  <c r="AO65" i="1"/>
  <c r="AU60" i="1"/>
  <c r="AT60" i="1"/>
  <c r="AT61" i="1"/>
  <c r="Q100" i="1"/>
  <c r="P100" i="1"/>
  <c r="P101" i="1"/>
  <c r="AC80" i="1"/>
  <c r="AB80" i="1"/>
  <c r="AB81" i="1"/>
  <c r="AH50" i="1"/>
  <c r="AH51" i="1"/>
  <c r="AI50" i="1"/>
  <c r="AC85" i="1"/>
  <c r="AB85" i="1"/>
  <c r="AB86" i="1"/>
  <c r="AC60" i="1"/>
  <c r="AB60" i="1"/>
  <c r="AB61" i="1"/>
  <c r="W70" i="1"/>
  <c r="V70" i="1"/>
  <c r="V71" i="1"/>
  <c r="AI85" i="1"/>
  <c r="AH85" i="1"/>
  <c r="AH86" i="1"/>
  <c r="E95" i="1"/>
  <c r="D96" i="1"/>
  <c r="D95" i="1"/>
  <c r="AC65" i="1"/>
  <c r="AB66" i="1"/>
  <c r="AB65" i="1"/>
  <c r="AI45" i="1"/>
  <c r="AH45" i="1"/>
  <c r="AH46" i="1"/>
  <c r="E55" i="1"/>
  <c r="D55" i="1"/>
  <c r="D56" i="1"/>
  <c r="AU45" i="1"/>
  <c r="AT46" i="1"/>
  <c r="AT45" i="1"/>
  <c r="AC70" i="1"/>
  <c r="AB70" i="1"/>
  <c r="AB71" i="1"/>
  <c r="E40" i="1"/>
  <c r="D41" i="1"/>
  <c r="D40" i="1"/>
  <c r="W110" i="1"/>
  <c r="V110" i="1"/>
  <c r="V111" i="1"/>
  <c r="AI75" i="1"/>
  <c r="AH75" i="1"/>
  <c r="AH76" i="1"/>
  <c r="AU85" i="1"/>
  <c r="AT85" i="1"/>
  <c r="AT86" i="1"/>
  <c r="E60" i="1"/>
  <c r="D61" i="1"/>
  <c r="D60" i="1"/>
  <c r="BA85" i="1"/>
  <c r="AZ86" i="1"/>
  <c r="AZ85" i="1"/>
  <c r="AO110" i="1"/>
  <c r="AN110" i="1"/>
  <c r="AN111" i="1"/>
  <c r="Q30" i="1"/>
  <c r="P31" i="1"/>
  <c r="P30" i="1"/>
  <c r="K50" i="1"/>
  <c r="J50" i="1"/>
  <c r="J51" i="1"/>
  <c r="AU35" i="1"/>
  <c r="AT35" i="1"/>
  <c r="AT36" i="1"/>
  <c r="BA30" i="1"/>
  <c r="AZ30" i="1"/>
  <c r="AZ31" i="1"/>
  <c r="AU30" i="1"/>
  <c r="AT31" i="1"/>
  <c r="AT30" i="1"/>
  <c r="AI105" i="1"/>
  <c r="AH105" i="1"/>
  <c r="AH106" i="1"/>
  <c r="E80" i="1"/>
  <c r="D80" i="1"/>
  <c r="D81" i="1"/>
  <c r="K100" i="1"/>
  <c r="J100" i="1"/>
  <c r="J101" i="1"/>
  <c r="W80" i="1"/>
  <c r="V80" i="1"/>
  <c r="V81" i="1"/>
  <c r="K75" i="1"/>
  <c r="J76" i="1"/>
  <c r="J75" i="1"/>
  <c r="Q95" i="1"/>
  <c r="P95" i="1"/>
  <c r="P96" i="1"/>
  <c r="AU95" i="1"/>
  <c r="AT95" i="1"/>
  <c r="AT96" i="1"/>
  <c r="AI90" i="1"/>
  <c r="AH90" i="1"/>
  <c r="AH91" i="1"/>
  <c r="E90" i="1"/>
  <c r="D91" i="1"/>
  <c r="D90" i="1"/>
  <c r="K85" i="1"/>
  <c r="J85" i="1"/>
  <c r="J86" i="1"/>
  <c r="K65" i="1"/>
  <c r="J66" i="1"/>
  <c r="J65" i="1"/>
  <c r="W45" i="1"/>
  <c r="V45" i="1"/>
  <c r="V46" i="1"/>
  <c r="W50" i="1"/>
  <c r="V50" i="1"/>
  <c r="V51" i="1"/>
  <c r="AU80" i="1"/>
  <c r="AT81" i="1"/>
  <c r="AT80" i="1"/>
  <c r="AI80" i="1"/>
  <c r="AH80" i="1"/>
  <c r="AH81" i="1"/>
  <c r="AI55" i="1"/>
  <c r="AH55" i="1"/>
  <c r="AH56" i="1"/>
  <c r="AC50" i="1"/>
  <c r="AB50" i="1"/>
  <c r="AB51" i="1"/>
  <c r="BA55" i="1"/>
  <c r="AZ56" i="1"/>
  <c r="AZ55" i="1"/>
  <c r="W30" i="1"/>
  <c r="V30" i="1"/>
  <c r="V31" i="1"/>
  <c r="BA105" i="1"/>
  <c r="AZ105" i="1"/>
  <c r="AZ106" i="1"/>
  <c r="AC110" i="1"/>
  <c r="AB110" i="1"/>
  <c r="AB111" i="1"/>
  <c r="Q105" i="1"/>
  <c r="P105" i="1"/>
  <c r="P106" i="1"/>
  <c r="K95" i="1"/>
  <c r="J96" i="1"/>
  <c r="J95" i="1"/>
  <c r="AO60" i="1"/>
  <c r="AN60" i="1"/>
  <c r="AN61" i="1"/>
  <c r="K80" i="1"/>
  <c r="J80" i="1"/>
  <c r="J81" i="1"/>
  <c r="AU70" i="1"/>
  <c r="AT71" i="1"/>
  <c r="AT70" i="1"/>
  <c r="W100" i="1"/>
  <c r="V100" i="1"/>
  <c r="V101" i="1"/>
  <c r="E25" i="1"/>
  <c r="D25" i="1"/>
  <c r="D26" i="1"/>
  <c r="K40" i="1"/>
  <c r="J40" i="1"/>
  <c r="J41" i="1"/>
  <c r="E45" i="1"/>
  <c r="D45" i="1"/>
  <c r="D46" i="1"/>
  <c r="E50" i="1"/>
  <c r="D51" i="1"/>
  <c r="D50" i="1"/>
  <c r="W75" i="1"/>
  <c r="V76" i="1"/>
  <c r="V75" i="1"/>
  <c r="W35" i="1"/>
  <c r="V36" i="1"/>
  <c r="V35" i="1"/>
  <c r="AC95" i="1"/>
  <c r="AB95" i="1"/>
  <c r="AB96" i="1"/>
  <c r="W55" i="1"/>
  <c r="V55" i="1"/>
  <c r="V56" i="1"/>
  <c r="AI70" i="1"/>
  <c r="AH70" i="1"/>
  <c r="AH71" i="1"/>
  <c r="AU40" i="1"/>
  <c r="AT40" i="1"/>
  <c r="AT41" i="1"/>
  <c r="AO50" i="1"/>
  <c r="AN50" i="1"/>
  <c r="AN51" i="1"/>
  <c r="AO35" i="1"/>
  <c r="AN35" i="1"/>
  <c r="AN36" i="1"/>
  <c r="E35" i="1"/>
  <c r="D35" i="1"/>
  <c r="D36" i="1"/>
  <c r="BA110" i="1"/>
  <c r="AZ111" i="1"/>
  <c r="AZ110" i="1"/>
  <c r="AU90" i="1"/>
  <c r="AT91" i="1"/>
  <c r="AT90" i="1"/>
  <c r="Q65" i="1"/>
  <c r="P65" i="1"/>
  <c r="P66" i="1"/>
  <c r="Q90" i="1"/>
  <c r="P90" i="1"/>
  <c r="P91" i="1"/>
  <c r="AI65" i="1"/>
  <c r="AH65" i="1"/>
  <c r="AH66" i="1"/>
  <c r="W60" i="1"/>
  <c r="V60" i="1"/>
  <c r="V61" i="1"/>
  <c r="W85" i="1"/>
  <c r="V85" i="1"/>
  <c r="V86" i="1"/>
  <c r="E85" i="1"/>
  <c r="D85" i="1"/>
  <c r="D86" i="1"/>
  <c r="W25" i="1"/>
  <c r="V25" i="1"/>
  <c r="V26" i="1"/>
  <c r="AO90" i="1"/>
  <c r="AN90" i="1"/>
  <c r="AN91" i="1"/>
  <c r="Q55" i="1"/>
  <c r="P55" i="1"/>
  <c r="P56" i="1"/>
  <c r="AC35" i="1"/>
  <c r="AB35" i="1"/>
  <c r="AB36" i="1"/>
  <c r="AC100" i="1"/>
  <c r="AB100" i="1"/>
  <c r="AB101" i="1"/>
  <c r="AH31" i="1"/>
  <c r="AI30" i="1"/>
  <c r="AH30" i="1"/>
  <c r="AI35" i="1"/>
  <c r="AH36" i="1"/>
  <c r="AH35" i="1"/>
  <c r="AI40" i="1"/>
  <c r="AH41" i="1"/>
  <c r="AH40" i="1"/>
  <c r="K110" i="1"/>
  <c r="J111" i="1"/>
  <c r="J110" i="1"/>
  <c r="E100" i="1"/>
  <c r="D101" i="1"/>
  <c r="D100" i="1"/>
  <c r="AO95" i="1"/>
  <c r="AN95" i="1"/>
  <c r="AN96" i="1"/>
  <c r="Q45" i="1"/>
  <c r="P45" i="1"/>
  <c r="P46" i="1"/>
  <c r="BA75" i="1"/>
  <c r="AZ76" i="1"/>
  <c r="AZ75" i="1"/>
  <c r="AO100" i="1"/>
  <c r="AN100" i="1"/>
  <c r="AN101" i="1"/>
  <c r="AI25" i="1"/>
  <c r="AH25" i="1"/>
  <c r="AH26" i="1"/>
  <c r="Q35" i="1"/>
  <c r="P35" i="1"/>
  <c r="P36" i="1"/>
  <c r="W90" i="1"/>
  <c r="V90" i="1"/>
  <c r="V91" i="1"/>
  <c r="AU100" i="1"/>
  <c r="AT101" i="1"/>
  <c r="AT100" i="1"/>
  <c r="AU105" i="1"/>
  <c r="AT106" i="1"/>
  <c r="AT105" i="1"/>
  <c r="AO75" i="1"/>
  <c r="AN75" i="1"/>
  <c r="AN76" i="1"/>
  <c r="Q40" i="1"/>
  <c r="P40" i="1"/>
  <c r="P41" i="1"/>
  <c r="AU75" i="1"/>
  <c r="AT75" i="1"/>
  <c r="AT76" i="1"/>
  <c r="AO55" i="1"/>
  <c r="AN56" i="1"/>
  <c r="AN55" i="1"/>
  <c r="K30" i="1"/>
  <c r="J31" i="1"/>
  <c r="J30" i="1"/>
  <c r="K55" i="1"/>
  <c r="J56" i="1"/>
  <c r="J55" i="1"/>
  <c r="AC30" i="1"/>
  <c r="AB30" i="1"/>
  <c r="AB31" i="1"/>
  <c r="Q25" i="1"/>
  <c r="P25" i="1"/>
  <c r="P26" i="1"/>
  <c r="Q50" i="1"/>
  <c r="P51" i="1"/>
  <c r="P50" i="1"/>
  <c r="BA45" i="1"/>
  <c r="AZ45" i="1"/>
  <c r="AZ46" i="1"/>
  <c r="AO45" i="1"/>
  <c r="AN46" i="1"/>
  <c r="AN45" i="1"/>
  <c r="BA90" i="1"/>
  <c r="AZ90" i="1"/>
  <c r="AZ91" i="1"/>
  <c r="W65" i="1"/>
  <c r="V65" i="1"/>
  <c r="V66" i="1"/>
  <c r="W95" i="1"/>
  <c r="V95" i="1"/>
  <c r="V96" i="1"/>
  <c r="BA50" i="1"/>
  <c r="AZ51" i="1"/>
  <c r="AZ50" i="1"/>
  <c r="BA95" i="1"/>
  <c r="AZ96" i="1"/>
  <c r="AZ95" i="1"/>
  <c r="BA100" i="1"/>
  <c r="AZ100" i="1"/>
  <c r="AZ101" i="1"/>
  <c r="Q80" i="1"/>
  <c r="P80" i="1"/>
  <c r="P81" i="1"/>
  <c r="E75" i="1"/>
  <c r="D75" i="1"/>
  <c r="D76" i="1"/>
  <c r="BA60" i="1"/>
  <c r="AZ61" i="1"/>
  <c r="AZ60" i="1"/>
  <c r="AH61" i="1"/>
  <c r="AH60" i="1"/>
  <c r="AI60" i="1"/>
  <c r="AC90" i="1"/>
  <c r="AB90" i="1"/>
  <c r="AB91" i="1"/>
  <c r="AI110" i="1"/>
  <c r="AH111" i="1"/>
  <c r="AH110" i="1"/>
  <c r="Q75" i="1"/>
  <c r="P75" i="1"/>
  <c r="P76" i="1"/>
  <c r="AU65" i="1"/>
  <c r="AT65" i="1"/>
  <c r="AT66" i="1"/>
  <c r="BA35" i="1"/>
  <c r="AZ36" i="1"/>
  <c r="AZ35" i="1"/>
  <c r="AU25" i="1"/>
  <c r="AT25" i="1"/>
  <c r="AT26" i="1"/>
  <c r="AC25" i="1"/>
  <c r="AB25" i="1"/>
  <c r="AB26" i="1"/>
  <c r="BA40" i="1"/>
  <c r="AZ41" i="1"/>
  <c r="AZ40" i="1"/>
  <c r="K60" i="1"/>
  <c r="J61" i="1"/>
  <c r="J60" i="1"/>
  <c r="E30" i="1"/>
  <c r="D31" i="1"/>
  <c r="D30" i="1"/>
  <c r="AU110" i="1"/>
  <c r="AT111" i="1"/>
  <c r="AT110" i="1"/>
  <c r="AO40" i="1"/>
  <c r="AN41" i="1"/>
  <c r="AN40" i="1"/>
  <c r="K105" i="1"/>
  <c r="J105" i="1"/>
  <c r="J106" i="1"/>
  <c r="AO25" i="1"/>
  <c r="AN25" i="1"/>
  <c r="AN26" i="1"/>
  <c r="K45" i="1"/>
  <c r="J46" i="1"/>
  <c r="J45" i="1"/>
  <c r="E105" i="1"/>
  <c r="D105" i="1"/>
  <c r="D106" i="1"/>
  <c r="Q85" i="1"/>
  <c r="P85" i="1"/>
  <c r="P86" i="1"/>
  <c r="BA70" i="1"/>
  <c r="AZ70" i="1"/>
  <c r="AZ71" i="1"/>
  <c r="AU50" i="1"/>
  <c r="AT51" i="1"/>
  <c r="AT50" i="1"/>
  <c r="E70" i="1"/>
  <c r="D71" i="1"/>
  <c r="D70" i="1"/>
  <c r="AC75" i="1"/>
  <c r="AB75" i="1"/>
  <c r="AB76" i="1"/>
  <c r="Q70" i="1"/>
  <c r="P70" i="1"/>
  <c r="P71" i="1"/>
  <c r="AC40" i="1"/>
  <c r="AB40" i="1"/>
  <c r="AB41" i="1"/>
  <c r="AO70" i="1"/>
  <c r="AN70" i="1"/>
  <c r="AN71" i="1"/>
  <c r="AO85" i="1"/>
  <c r="AN85" i="1"/>
  <c r="AN86" i="1"/>
  <c r="K25" i="1"/>
  <c r="J25" i="1"/>
  <c r="J26" i="1"/>
  <c r="AI95" i="1"/>
  <c r="AH95" i="1"/>
  <c r="AH96" i="1"/>
  <c r="AC105" i="1"/>
  <c r="AB105" i="1"/>
  <c r="AB106" i="1"/>
  <c r="AO30" i="1"/>
  <c r="AN31" i="1"/>
  <c r="AN30" i="1"/>
  <c r="AI100" i="1"/>
  <c r="AH100" i="1"/>
  <c r="AH101" i="1"/>
  <c r="AO80" i="1"/>
  <c r="AN80" i="1"/>
  <c r="AN81" i="1"/>
  <c r="K90" i="1"/>
  <c r="J90" i="1"/>
  <c r="J91" i="1"/>
  <c r="BA80" i="1"/>
  <c r="AZ80" i="1"/>
  <c r="AZ81" i="1"/>
  <c r="FE103" i="1"/>
  <c r="BB103" i="1" s="1"/>
  <c r="FE63" i="1"/>
  <c r="BB63" i="1" s="1"/>
  <c r="FE23" i="1"/>
  <c r="BB23" i="1" s="1"/>
  <c r="FE98" i="1"/>
  <c r="BB98" i="1" s="1"/>
  <c r="FE108" i="1"/>
  <c r="BB108" i="1" s="1"/>
  <c r="FE28" i="1"/>
  <c r="BB28" i="1" s="1"/>
  <c r="FE93" i="1"/>
  <c r="BB93" i="1" s="1"/>
  <c r="FE53" i="1"/>
  <c r="BB53" i="1" s="1"/>
  <c r="FE38" i="1"/>
  <c r="BB38" i="1" s="1"/>
  <c r="FE48" i="1"/>
  <c r="BB48" i="1" s="1"/>
  <c r="FE83" i="1"/>
  <c r="BB83" i="1" s="1"/>
  <c r="FE43" i="1"/>
  <c r="BB43" i="1" s="1"/>
  <c r="FE58" i="1"/>
  <c r="BB58" i="1" s="1"/>
  <c r="FE68" i="1"/>
  <c r="BB68" i="1" s="1"/>
  <c r="FE73" i="1"/>
  <c r="BB73" i="1" s="1"/>
  <c r="FE33" i="1"/>
  <c r="BB33" i="1" s="1"/>
  <c r="FE78" i="1"/>
  <c r="BB78" i="1" s="1"/>
  <c r="FE88" i="1"/>
  <c r="BB88" i="1" s="1"/>
  <c r="ES78" i="1"/>
  <c r="AV78" i="1" s="1"/>
  <c r="ES38" i="1"/>
  <c r="AV38" i="1" s="1"/>
  <c r="ES73" i="1"/>
  <c r="AV73" i="1" s="1"/>
  <c r="ES43" i="1"/>
  <c r="AV43" i="1" s="1"/>
  <c r="ES108" i="1"/>
  <c r="AV108" i="1" s="1"/>
  <c r="ES68" i="1"/>
  <c r="AV68" i="1" s="1"/>
  <c r="ES28" i="1"/>
  <c r="AV28" i="1" s="1"/>
  <c r="ES53" i="1"/>
  <c r="AV53" i="1" s="1"/>
  <c r="ES63" i="1"/>
  <c r="AV63" i="1" s="1"/>
  <c r="ES98" i="1"/>
  <c r="AV98" i="1" s="1"/>
  <c r="ES58" i="1"/>
  <c r="AV58" i="1" s="1"/>
  <c r="ES33" i="1"/>
  <c r="AV33" i="1" s="1"/>
  <c r="ES83" i="1"/>
  <c r="AV83" i="1" s="1"/>
  <c r="ES88" i="1"/>
  <c r="AV88" i="1" s="1"/>
  <c r="ES48" i="1"/>
  <c r="AV48" i="1" s="1"/>
  <c r="ES93" i="1"/>
  <c r="AV93" i="1" s="1"/>
  <c r="ES103" i="1"/>
  <c r="AV103" i="1" s="1"/>
  <c r="ES23" i="1"/>
  <c r="AV23" i="1" s="1"/>
  <c r="EG93" i="1"/>
  <c r="AP93" i="1" s="1"/>
  <c r="EG53" i="1"/>
  <c r="AP53" i="1" s="1"/>
  <c r="EG48" i="1"/>
  <c r="AP48" i="1" s="1"/>
  <c r="EG98" i="1"/>
  <c r="AP98" i="1" s="1"/>
  <c r="EG103" i="1"/>
  <c r="AP103" i="1" s="1"/>
  <c r="EG63" i="1"/>
  <c r="AP63" i="1" s="1"/>
  <c r="EG23" i="1"/>
  <c r="AP23" i="1" s="1"/>
  <c r="EG108" i="1"/>
  <c r="AP108" i="1" s="1"/>
  <c r="EG28" i="1"/>
  <c r="AP28" i="1" s="1"/>
  <c r="EG38" i="1"/>
  <c r="AP38" i="1" s="1"/>
  <c r="EG73" i="1"/>
  <c r="AP73" i="1" s="1"/>
  <c r="EG33" i="1"/>
  <c r="AP33" i="1" s="1"/>
  <c r="EG88" i="1"/>
  <c r="AP88" i="1" s="1"/>
  <c r="EG58" i="1"/>
  <c r="AP58" i="1" s="1"/>
  <c r="EG83" i="1"/>
  <c r="AP83" i="1" s="1"/>
  <c r="EG43" i="1"/>
  <c r="AP43" i="1" s="1"/>
  <c r="EG68" i="1"/>
  <c r="AP68" i="1" s="1"/>
  <c r="EG78" i="1"/>
  <c r="AP78" i="1" s="1"/>
  <c r="DU88" i="1"/>
  <c r="AJ88" i="1" s="1"/>
  <c r="DU48" i="1"/>
  <c r="AJ48" i="1" s="1"/>
  <c r="DU103" i="1"/>
  <c r="AJ103" i="1" s="1"/>
  <c r="DU23" i="1"/>
  <c r="AJ23" i="1" s="1"/>
  <c r="DU33" i="1"/>
  <c r="AJ33" i="1" s="1"/>
  <c r="DU98" i="1"/>
  <c r="AJ98" i="1" s="1"/>
  <c r="DU58" i="1"/>
  <c r="AJ58" i="1" s="1"/>
  <c r="DU83" i="1"/>
  <c r="AJ83" i="1" s="1"/>
  <c r="DU93" i="1"/>
  <c r="AJ93" i="1" s="1"/>
  <c r="DU108" i="1"/>
  <c r="AJ108" i="1" s="1"/>
  <c r="DU68" i="1"/>
  <c r="AJ68" i="1" s="1"/>
  <c r="DU28" i="1"/>
  <c r="AJ28" i="1" s="1"/>
  <c r="DU63" i="1"/>
  <c r="AJ63" i="1" s="1"/>
  <c r="DU73" i="1"/>
  <c r="AJ73" i="1" s="1"/>
  <c r="DU78" i="1"/>
  <c r="AJ78" i="1" s="1"/>
  <c r="DU38" i="1"/>
  <c r="AJ38" i="1" s="1"/>
  <c r="DU43" i="1"/>
  <c r="AJ43" i="1" s="1"/>
  <c r="DU53" i="1"/>
  <c r="AJ53" i="1" s="1"/>
  <c r="DI103" i="1"/>
  <c r="AD103" i="1" s="1"/>
  <c r="DI63" i="1"/>
  <c r="AD63" i="1" s="1"/>
  <c r="DI23" i="1"/>
  <c r="AD23" i="1" s="1"/>
  <c r="DI38" i="1"/>
  <c r="AD38" i="1" s="1"/>
  <c r="DI48" i="1"/>
  <c r="AD48" i="1" s="1"/>
  <c r="DI93" i="1"/>
  <c r="AD93" i="1" s="1"/>
  <c r="DI53" i="1"/>
  <c r="AD53" i="1" s="1"/>
  <c r="DI98" i="1"/>
  <c r="AD98" i="1" s="1"/>
  <c r="DI108" i="1"/>
  <c r="AD108" i="1" s="1"/>
  <c r="DI28" i="1"/>
  <c r="AD28" i="1" s="1"/>
  <c r="DI83" i="1"/>
  <c r="AD83" i="1" s="1"/>
  <c r="DI43" i="1"/>
  <c r="AD43" i="1" s="1"/>
  <c r="DI78" i="1"/>
  <c r="AD78" i="1" s="1"/>
  <c r="DI88" i="1"/>
  <c r="AD88" i="1" s="1"/>
  <c r="DI73" i="1"/>
  <c r="AD73" i="1" s="1"/>
  <c r="DI33" i="1"/>
  <c r="AD33" i="1" s="1"/>
  <c r="DI58" i="1"/>
  <c r="AD58" i="1" s="1"/>
  <c r="DI68" i="1"/>
  <c r="AD68" i="1" s="1"/>
  <c r="CW78" i="1"/>
  <c r="X78" i="1" s="1"/>
  <c r="CW38" i="1"/>
  <c r="X38" i="1" s="1"/>
  <c r="CW53" i="1"/>
  <c r="X53" i="1" s="1"/>
  <c r="CW63" i="1"/>
  <c r="X63" i="1" s="1"/>
  <c r="CW108" i="1"/>
  <c r="X108" i="1" s="1"/>
  <c r="CW68" i="1"/>
  <c r="X68" i="1" s="1"/>
  <c r="CW28" i="1"/>
  <c r="X28" i="1" s="1"/>
  <c r="CW73" i="1"/>
  <c r="X73" i="1" s="1"/>
  <c r="CW43" i="1"/>
  <c r="X43" i="1" s="1"/>
  <c r="CW98" i="1"/>
  <c r="X98" i="1" s="1"/>
  <c r="CW58" i="1"/>
  <c r="X58" i="1" s="1"/>
  <c r="CW93" i="1"/>
  <c r="X93" i="1" s="1"/>
  <c r="CW103" i="1"/>
  <c r="X103" i="1" s="1"/>
  <c r="CW23" i="1"/>
  <c r="X23" i="1" s="1"/>
  <c r="CW88" i="1"/>
  <c r="X88" i="1" s="1"/>
  <c r="CW48" i="1"/>
  <c r="X48" i="1" s="1"/>
  <c r="CW33" i="1"/>
  <c r="X33" i="1" s="1"/>
  <c r="CW83" i="1"/>
  <c r="X83" i="1" s="1"/>
  <c r="CK73" i="1"/>
  <c r="R73" i="1" s="1"/>
  <c r="CK33" i="1"/>
  <c r="R33" i="1" s="1"/>
  <c r="CK68" i="1"/>
  <c r="R68" i="1" s="1"/>
  <c r="CK78" i="1"/>
  <c r="R78" i="1" s="1"/>
  <c r="CK83" i="1"/>
  <c r="R83" i="1" s="1"/>
  <c r="CK43" i="1"/>
  <c r="R43" i="1" s="1"/>
  <c r="CK88" i="1"/>
  <c r="R88" i="1" s="1"/>
  <c r="CK58" i="1"/>
  <c r="R58" i="1" s="1"/>
  <c r="CK93" i="1"/>
  <c r="R93" i="1" s="1"/>
  <c r="CK53" i="1"/>
  <c r="R53" i="1" s="1"/>
  <c r="CK108" i="1"/>
  <c r="R108" i="1" s="1"/>
  <c r="CK28" i="1"/>
  <c r="R28" i="1" s="1"/>
  <c r="CK38" i="1"/>
  <c r="R38" i="1" s="1"/>
  <c r="CK103" i="1"/>
  <c r="R103" i="1" s="1"/>
  <c r="CK63" i="1"/>
  <c r="R63" i="1" s="1"/>
  <c r="CK23" i="1"/>
  <c r="R23" i="1" s="1"/>
  <c r="CK48" i="1"/>
  <c r="R48" i="1" s="1"/>
  <c r="CK98" i="1"/>
  <c r="R98" i="1" s="1"/>
  <c r="BY88" i="1"/>
  <c r="L88" i="1" s="1"/>
  <c r="BY48" i="1"/>
  <c r="L48" i="1" s="1"/>
  <c r="BM83" i="1"/>
  <c r="F83" i="1" s="1"/>
  <c r="BY83" i="1"/>
  <c r="L83" i="1" s="1"/>
  <c r="BY93" i="1"/>
  <c r="L93" i="1" s="1"/>
  <c r="BY98" i="1"/>
  <c r="L98" i="1" s="1"/>
  <c r="BY58" i="1"/>
  <c r="L58" i="1" s="1"/>
  <c r="BY103" i="1"/>
  <c r="L103" i="1" s="1"/>
  <c r="BY23" i="1"/>
  <c r="L23" i="1" s="1"/>
  <c r="BY33" i="1"/>
  <c r="L33" i="1" s="1"/>
  <c r="BY108" i="1"/>
  <c r="L108" i="1" s="1"/>
  <c r="BY68" i="1"/>
  <c r="L68" i="1" s="1"/>
  <c r="BY28" i="1"/>
  <c r="L28" i="1" s="1"/>
  <c r="BY43" i="1"/>
  <c r="L43" i="1" s="1"/>
  <c r="BY53" i="1"/>
  <c r="L53" i="1" s="1"/>
  <c r="BY78" i="1"/>
  <c r="L78" i="1" s="1"/>
  <c r="BY38" i="1"/>
  <c r="L38" i="1" s="1"/>
  <c r="BY63" i="1"/>
  <c r="L63" i="1" s="1"/>
  <c r="BY73" i="1"/>
  <c r="L73" i="1" s="1"/>
  <c r="BM68" i="1"/>
  <c r="F68" i="1" s="1"/>
  <c r="BM53" i="1"/>
  <c r="F53" i="1" s="1"/>
  <c r="BM38" i="1"/>
  <c r="F38" i="1" s="1"/>
  <c r="BM63" i="1"/>
  <c r="F63" i="1" s="1"/>
  <c r="BM108" i="1"/>
  <c r="F108" i="1" s="1"/>
  <c r="BM28" i="1"/>
  <c r="F28" i="1" s="1"/>
  <c r="BM43" i="1"/>
  <c r="F43" i="1" s="1"/>
  <c r="BM78" i="1"/>
  <c r="F78" i="1" s="1"/>
  <c r="BM73" i="1"/>
  <c r="F73" i="1" s="1"/>
  <c r="BM88" i="1"/>
  <c r="F88" i="1" s="1"/>
  <c r="BM48" i="1"/>
  <c r="F48" i="1" s="1"/>
  <c r="BM93" i="1"/>
  <c r="F93" i="1" s="1"/>
  <c r="BM98" i="1"/>
  <c r="F98" i="1" s="1"/>
  <c r="BM58" i="1"/>
  <c r="F58" i="1" s="1"/>
  <c r="BM103" i="1"/>
  <c r="F103" i="1" s="1"/>
  <c r="BM23" i="1"/>
  <c r="F23" i="1" s="1"/>
  <c r="BM33" i="1"/>
  <c r="F33" i="1" s="1"/>
  <c r="B3" i="5" l="1"/>
  <c r="J3" i="5" s="1"/>
  <c r="C3" i="5"/>
  <c r="K3" i="5" s="1"/>
  <c r="D3" i="5"/>
  <c r="L3" i="5" s="1"/>
  <c r="E3" i="5"/>
  <c r="F3" i="5"/>
  <c r="G3" i="5"/>
  <c r="H3" i="5"/>
  <c r="I3" i="5"/>
  <c r="B4" i="5"/>
  <c r="J4" i="5" s="1"/>
  <c r="C4" i="5"/>
  <c r="K4" i="5" s="1"/>
  <c r="D4" i="5"/>
  <c r="L4" i="5" s="1"/>
  <c r="E4" i="5"/>
  <c r="F4" i="5"/>
  <c r="G4" i="5"/>
  <c r="H4" i="5"/>
  <c r="I4" i="5"/>
  <c r="B5" i="5"/>
  <c r="J5" i="5" s="1"/>
  <c r="C5" i="5"/>
  <c r="K5" i="5" s="1"/>
  <c r="D5" i="5"/>
  <c r="L5" i="5" s="1"/>
  <c r="E5" i="5"/>
  <c r="F5" i="5"/>
  <c r="G5" i="5"/>
  <c r="H5" i="5"/>
  <c r="I5" i="5"/>
  <c r="B6" i="5"/>
  <c r="J6" i="5" s="1"/>
  <c r="C6" i="5"/>
  <c r="K6" i="5" s="1"/>
  <c r="D6" i="5"/>
  <c r="L6" i="5" s="1"/>
  <c r="E6" i="5"/>
  <c r="F6" i="5"/>
  <c r="G6" i="5"/>
  <c r="H6" i="5"/>
  <c r="I6" i="5"/>
  <c r="B7" i="5"/>
  <c r="J7" i="5" s="1"/>
  <c r="C7" i="5"/>
  <c r="K7" i="5" s="1"/>
  <c r="D7" i="5"/>
  <c r="L7" i="5" s="1"/>
  <c r="E7" i="5"/>
  <c r="F7" i="5"/>
  <c r="G7" i="5"/>
  <c r="H7" i="5"/>
  <c r="I7" i="5"/>
  <c r="B8" i="5"/>
  <c r="J8" i="5" s="1"/>
  <c r="C8" i="5"/>
  <c r="K8" i="5" s="1"/>
  <c r="D8" i="5"/>
  <c r="L8" i="5" s="1"/>
  <c r="E8" i="5"/>
  <c r="F8" i="5"/>
  <c r="G8" i="5"/>
  <c r="H8" i="5"/>
  <c r="I8" i="5"/>
  <c r="B9" i="5"/>
  <c r="J9" i="5" s="1"/>
  <c r="C9" i="5"/>
  <c r="K9" i="5" s="1"/>
  <c r="D9" i="5"/>
  <c r="L9" i="5" s="1"/>
  <c r="E9" i="5"/>
  <c r="F9" i="5"/>
  <c r="G9" i="5"/>
  <c r="H9" i="5"/>
  <c r="I9" i="5"/>
  <c r="B10" i="5"/>
  <c r="J10" i="5" s="1"/>
  <c r="C10" i="5"/>
  <c r="K10" i="5" s="1"/>
  <c r="D10" i="5"/>
  <c r="L10" i="5" s="1"/>
  <c r="E10" i="5"/>
  <c r="F10" i="5"/>
  <c r="G10" i="5"/>
  <c r="H10" i="5"/>
  <c r="I10" i="5"/>
  <c r="B11" i="5"/>
  <c r="J11" i="5" s="1"/>
  <c r="C11" i="5"/>
  <c r="K11" i="5" s="1"/>
  <c r="D11" i="5"/>
  <c r="L11" i="5" s="1"/>
  <c r="E11" i="5"/>
  <c r="F11" i="5"/>
  <c r="G11" i="5"/>
  <c r="H11" i="5"/>
  <c r="I11" i="5"/>
  <c r="B12" i="5"/>
  <c r="J12" i="5" s="1"/>
  <c r="C12" i="5"/>
  <c r="K12" i="5" s="1"/>
  <c r="D12" i="5"/>
  <c r="L12" i="5" s="1"/>
  <c r="E12" i="5"/>
  <c r="F12" i="5"/>
  <c r="G12" i="5"/>
  <c r="H12" i="5"/>
  <c r="I12" i="5"/>
  <c r="B13" i="5"/>
  <c r="J13" i="5" s="1"/>
  <c r="C13" i="5"/>
  <c r="K13" i="5" s="1"/>
  <c r="D13" i="5"/>
  <c r="L13" i="5" s="1"/>
  <c r="E13" i="5"/>
  <c r="F13" i="5"/>
  <c r="G13" i="5"/>
  <c r="H13" i="5"/>
  <c r="I13" i="5"/>
  <c r="B14" i="5"/>
  <c r="J14" i="5" s="1"/>
  <c r="C14" i="5"/>
  <c r="K14" i="5" s="1"/>
  <c r="D14" i="5"/>
  <c r="L14" i="5" s="1"/>
  <c r="E14" i="5"/>
  <c r="F14" i="5"/>
  <c r="G14" i="5"/>
  <c r="H14" i="5"/>
  <c r="I14" i="5"/>
  <c r="B15" i="5"/>
  <c r="J15" i="5" s="1"/>
  <c r="C15" i="5"/>
  <c r="K15" i="5" s="1"/>
  <c r="D15" i="5"/>
  <c r="L15" i="5" s="1"/>
  <c r="E15" i="5"/>
  <c r="F15" i="5"/>
  <c r="G15" i="5"/>
  <c r="H15" i="5"/>
  <c r="I15" i="5"/>
  <c r="B16" i="5"/>
  <c r="J16" i="5" s="1"/>
  <c r="C16" i="5"/>
  <c r="K16" i="5" s="1"/>
  <c r="D16" i="5"/>
  <c r="L16" i="5" s="1"/>
  <c r="E16" i="5"/>
  <c r="F16" i="5"/>
  <c r="G16" i="5"/>
  <c r="H16" i="5"/>
  <c r="I16" i="5"/>
  <c r="B17" i="5"/>
  <c r="J17" i="5" s="1"/>
  <c r="C17" i="5"/>
  <c r="K17" i="5" s="1"/>
  <c r="D17" i="5"/>
  <c r="L17" i="5" s="1"/>
  <c r="E17" i="5"/>
  <c r="F17" i="5"/>
  <c r="G17" i="5"/>
  <c r="H17" i="5"/>
  <c r="I17" i="5"/>
  <c r="B18" i="5"/>
  <c r="J18" i="5" s="1"/>
  <c r="C18" i="5"/>
  <c r="K18" i="5" s="1"/>
  <c r="D18" i="5"/>
  <c r="L18" i="5" s="1"/>
  <c r="E18" i="5"/>
  <c r="F18" i="5"/>
  <c r="G18" i="5"/>
  <c r="H18" i="5"/>
  <c r="I18" i="5"/>
  <c r="B19" i="5"/>
  <c r="J19" i="5" s="1"/>
  <c r="C19" i="5"/>
  <c r="K19" i="5" s="1"/>
  <c r="D19" i="5"/>
  <c r="L19" i="5" s="1"/>
  <c r="E19" i="5"/>
  <c r="F19" i="5"/>
  <c r="G19" i="5"/>
  <c r="H19" i="5"/>
  <c r="I19" i="5"/>
  <c r="B20" i="5"/>
  <c r="J20" i="5" s="1"/>
  <c r="C20" i="5"/>
  <c r="K20" i="5" s="1"/>
  <c r="D20" i="5"/>
  <c r="L20" i="5" s="1"/>
  <c r="E20" i="5"/>
  <c r="F20" i="5"/>
  <c r="G20" i="5"/>
  <c r="H20" i="5"/>
  <c r="I20" i="5"/>
  <c r="B21" i="5"/>
  <c r="J21" i="5" s="1"/>
  <c r="C21" i="5"/>
  <c r="K21" i="5" s="1"/>
  <c r="D21" i="5"/>
  <c r="L21" i="5" s="1"/>
  <c r="E21" i="5"/>
  <c r="F21" i="5"/>
  <c r="G21" i="5"/>
  <c r="H21" i="5"/>
  <c r="I21" i="5"/>
  <c r="B22" i="5"/>
  <c r="J22" i="5" s="1"/>
  <c r="C22" i="5"/>
  <c r="K22" i="5" s="1"/>
  <c r="D22" i="5"/>
  <c r="L22" i="5" s="1"/>
  <c r="E22" i="5"/>
  <c r="F22" i="5"/>
  <c r="G22" i="5"/>
  <c r="H22" i="5"/>
  <c r="I22" i="5"/>
  <c r="B23" i="5"/>
  <c r="J23" i="5" s="1"/>
  <c r="C23" i="5"/>
  <c r="K23" i="5" s="1"/>
  <c r="D23" i="5"/>
  <c r="L23" i="5" s="1"/>
  <c r="E23" i="5"/>
  <c r="F23" i="5"/>
  <c r="G23" i="5"/>
  <c r="H23" i="5"/>
  <c r="I23" i="5"/>
  <c r="B24" i="5"/>
  <c r="J24" i="5" s="1"/>
  <c r="C24" i="5"/>
  <c r="K24" i="5" s="1"/>
  <c r="D24" i="5"/>
  <c r="L24" i="5" s="1"/>
  <c r="E24" i="5"/>
  <c r="F24" i="5"/>
  <c r="G24" i="5"/>
  <c r="H24" i="5"/>
  <c r="I24" i="5"/>
  <c r="B25" i="5"/>
  <c r="J25" i="5" s="1"/>
  <c r="C25" i="5"/>
  <c r="K25" i="5" s="1"/>
  <c r="D25" i="5"/>
  <c r="L25" i="5" s="1"/>
  <c r="E25" i="5"/>
  <c r="F25" i="5"/>
  <c r="G25" i="5"/>
  <c r="H25" i="5"/>
  <c r="I25" i="5"/>
  <c r="B26" i="5"/>
  <c r="J26" i="5" s="1"/>
  <c r="C26" i="5"/>
  <c r="K26" i="5" s="1"/>
  <c r="D26" i="5"/>
  <c r="L26" i="5" s="1"/>
  <c r="E26" i="5"/>
  <c r="F26" i="5"/>
  <c r="G26" i="5"/>
  <c r="H26" i="5"/>
  <c r="I26" i="5"/>
  <c r="B27" i="5"/>
  <c r="J27" i="5" s="1"/>
  <c r="C27" i="5"/>
  <c r="K27" i="5" s="1"/>
  <c r="D27" i="5"/>
  <c r="L27" i="5" s="1"/>
  <c r="E27" i="5"/>
  <c r="F27" i="5"/>
  <c r="G27" i="5"/>
  <c r="H27" i="5"/>
  <c r="I27" i="5"/>
  <c r="B28" i="5"/>
  <c r="J28" i="5" s="1"/>
  <c r="C28" i="5"/>
  <c r="K28" i="5" s="1"/>
  <c r="D28" i="5"/>
  <c r="L28" i="5" s="1"/>
  <c r="E28" i="5"/>
  <c r="F28" i="5"/>
  <c r="G28" i="5"/>
  <c r="H28" i="5"/>
  <c r="I28" i="5"/>
  <c r="B29" i="5"/>
  <c r="J29" i="5" s="1"/>
  <c r="C29" i="5"/>
  <c r="K29" i="5" s="1"/>
  <c r="D29" i="5"/>
  <c r="L29" i="5" s="1"/>
  <c r="E29" i="5"/>
  <c r="F29" i="5"/>
  <c r="G29" i="5"/>
  <c r="H29" i="5"/>
  <c r="I29" i="5"/>
  <c r="B30" i="5"/>
  <c r="J30" i="5" s="1"/>
  <c r="C30" i="5"/>
  <c r="K30" i="5" s="1"/>
  <c r="D30" i="5"/>
  <c r="L30" i="5" s="1"/>
  <c r="E30" i="5"/>
  <c r="F30" i="5"/>
  <c r="G30" i="5"/>
  <c r="H30" i="5"/>
  <c r="I30" i="5"/>
  <c r="B31" i="5"/>
  <c r="J31" i="5" s="1"/>
  <c r="C31" i="5"/>
  <c r="K31" i="5" s="1"/>
  <c r="D31" i="5"/>
  <c r="L31" i="5" s="1"/>
  <c r="E31" i="5"/>
  <c r="F31" i="5"/>
  <c r="G31" i="5"/>
  <c r="H31" i="5"/>
  <c r="I31" i="5"/>
  <c r="B32" i="5"/>
  <c r="J32" i="5" s="1"/>
  <c r="C32" i="5"/>
  <c r="K32" i="5" s="1"/>
  <c r="D32" i="5"/>
  <c r="L32" i="5" s="1"/>
  <c r="E32" i="5"/>
  <c r="F32" i="5"/>
  <c r="G32" i="5"/>
  <c r="H32" i="5"/>
  <c r="I32" i="5"/>
  <c r="B33" i="5"/>
  <c r="J33" i="5" s="1"/>
  <c r="C33" i="5"/>
  <c r="K33" i="5" s="1"/>
  <c r="D33" i="5"/>
  <c r="L33" i="5" s="1"/>
  <c r="E33" i="5"/>
  <c r="F33" i="5"/>
  <c r="G33" i="5"/>
  <c r="H33" i="5"/>
  <c r="I33" i="5"/>
  <c r="B34" i="5"/>
  <c r="J34" i="5" s="1"/>
  <c r="C34" i="5"/>
  <c r="K34" i="5" s="1"/>
  <c r="D34" i="5"/>
  <c r="L34" i="5" s="1"/>
  <c r="E34" i="5"/>
  <c r="F34" i="5"/>
  <c r="G34" i="5"/>
  <c r="H34" i="5"/>
  <c r="I34" i="5"/>
  <c r="B35" i="5"/>
  <c r="J35" i="5" s="1"/>
  <c r="C35" i="5"/>
  <c r="K35" i="5" s="1"/>
  <c r="D35" i="5"/>
  <c r="L35" i="5" s="1"/>
  <c r="E35" i="5"/>
  <c r="F35" i="5"/>
  <c r="G35" i="5"/>
  <c r="H35" i="5"/>
  <c r="I35" i="5"/>
  <c r="B36" i="5"/>
  <c r="J36" i="5" s="1"/>
  <c r="C36" i="5"/>
  <c r="K36" i="5" s="1"/>
  <c r="D36" i="5"/>
  <c r="L36" i="5" s="1"/>
  <c r="E36" i="5"/>
  <c r="F36" i="5"/>
  <c r="G36" i="5"/>
  <c r="H36" i="5"/>
  <c r="I36" i="5"/>
  <c r="B37" i="5"/>
  <c r="J37" i="5" s="1"/>
  <c r="C37" i="5"/>
  <c r="K37" i="5" s="1"/>
  <c r="D37" i="5"/>
  <c r="L37" i="5" s="1"/>
  <c r="E37" i="5"/>
  <c r="F37" i="5"/>
  <c r="G37" i="5"/>
  <c r="H37" i="5"/>
  <c r="I37" i="5"/>
  <c r="B38" i="5"/>
  <c r="J38" i="5" s="1"/>
  <c r="C38" i="5"/>
  <c r="K38" i="5" s="1"/>
  <c r="D38" i="5"/>
  <c r="L38" i="5" s="1"/>
  <c r="E38" i="5"/>
  <c r="F38" i="5"/>
  <c r="G38" i="5"/>
  <c r="H38" i="5"/>
  <c r="I38" i="5"/>
  <c r="B39" i="5"/>
  <c r="J39" i="5" s="1"/>
  <c r="C39" i="5"/>
  <c r="K39" i="5" s="1"/>
  <c r="D39" i="5"/>
  <c r="L39" i="5" s="1"/>
  <c r="E39" i="5"/>
  <c r="F39" i="5"/>
  <c r="G39" i="5"/>
  <c r="H39" i="5"/>
  <c r="I39" i="5"/>
  <c r="B40" i="5"/>
  <c r="J40" i="5" s="1"/>
  <c r="C40" i="5"/>
  <c r="K40" i="5" s="1"/>
  <c r="D40" i="5"/>
  <c r="L40" i="5" s="1"/>
  <c r="E40" i="5"/>
  <c r="F40" i="5"/>
  <c r="G40" i="5"/>
  <c r="H40" i="5"/>
  <c r="I40" i="5"/>
  <c r="B41" i="5"/>
  <c r="J41" i="5" s="1"/>
  <c r="C41" i="5"/>
  <c r="K41" i="5" s="1"/>
  <c r="D41" i="5"/>
  <c r="L41" i="5" s="1"/>
  <c r="E41" i="5"/>
  <c r="F41" i="5"/>
  <c r="G41" i="5"/>
  <c r="H41" i="5"/>
  <c r="I41" i="5"/>
  <c r="B42" i="5"/>
  <c r="J42" i="5" s="1"/>
  <c r="C42" i="5"/>
  <c r="K42" i="5" s="1"/>
  <c r="D42" i="5"/>
  <c r="L42" i="5" s="1"/>
  <c r="E42" i="5"/>
  <c r="F42" i="5"/>
  <c r="G42" i="5"/>
  <c r="H42" i="5"/>
  <c r="I42" i="5"/>
  <c r="B43" i="5"/>
  <c r="J43" i="5" s="1"/>
  <c r="C43" i="5"/>
  <c r="K43" i="5" s="1"/>
  <c r="D43" i="5"/>
  <c r="L43" i="5" s="1"/>
  <c r="E43" i="5"/>
  <c r="F43" i="5"/>
  <c r="G43" i="5"/>
  <c r="H43" i="5"/>
  <c r="I43" i="5"/>
  <c r="B44" i="5"/>
  <c r="J44" i="5" s="1"/>
  <c r="C44" i="5"/>
  <c r="K44" i="5" s="1"/>
  <c r="D44" i="5"/>
  <c r="L44" i="5" s="1"/>
  <c r="E44" i="5"/>
  <c r="F44" i="5"/>
  <c r="G44" i="5"/>
  <c r="H44" i="5"/>
  <c r="I44" i="5"/>
  <c r="B45" i="5"/>
  <c r="J45" i="5" s="1"/>
  <c r="C45" i="5"/>
  <c r="K45" i="5" s="1"/>
  <c r="D45" i="5"/>
  <c r="L45" i="5" s="1"/>
  <c r="E45" i="5"/>
  <c r="F45" i="5"/>
  <c r="G45" i="5"/>
  <c r="H45" i="5"/>
  <c r="I45" i="5"/>
  <c r="B46" i="5"/>
  <c r="J46" i="5" s="1"/>
  <c r="C46" i="5"/>
  <c r="K46" i="5" s="1"/>
  <c r="D46" i="5"/>
  <c r="L46" i="5" s="1"/>
  <c r="E46" i="5"/>
  <c r="F46" i="5"/>
  <c r="G46" i="5"/>
  <c r="H46" i="5"/>
  <c r="I46" i="5"/>
  <c r="B47" i="5"/>
  <c r="J47" i="5" s="1"/>
  <c r="C47" i="5"/>
  <c r="K47" i="5" s="1"/>
  <c r="D47" i="5"/>
  <c r="L47" i="5" s="1"/>
  <c r="E47" i="5"/>
  <c r="F47" i="5"/>
  <c r="G47" i="5"/>
  <c r="H47" i="5"/>
  <c r="I47" i="5"/>
  <c r="B48" i="5"/>
  <c r="J48" i="5" s="1"/>
  <c r="C48" i="5"/>
  <c r="K48" i="5" s="1"/>
  <c r="D48" i="5"/>
  <c r="L48" i="5" s="1"/>
  <c r="E48" i="5"/>
  <c r="F48" i="5"/>
  <c r="G48" i="5"/>
  <c r="H48" i="5"/>
  <c r="I48" i="5"/>
  <c r="B49" i="5"/>
  <c r="J49" i="5" s="1"/>
  <c r="C49" i="5"/>
  <c r="K49" i="5" s="1"/>
  <c r="D49" i="5"/>
  <c r="L49" i="5" s="1"/>
  <c r="E49" i="5"/>
  <c r="F49" i="5"/>
  <c r="G49" i="5"/>
  <c r="H49" i="5"/>
  <c r="I49" i="5"/>
  <c r="B50" i="5"/>
  <c r="J50" i="5" s="1"/>
  <c r="C50" i="5"/>
  <c r="K50" i="5" s="1"/>
  <c r="D50" i="5"/>
  <c r="L50" i="5" s="1"/>
  <c r="E50" i="5"/>
  <c r="F50" i="5"/>
  <c r="G50" i="5"/>
  <c r="H50" i="5"/>
  <c r="I50" i="5"/>
  <c r="B51" i="5"/>
  <c r="J51" i="5" s="1"/>
  <c r="C51" i="5"/>
  <c r="K51" i="5" s="1"/>
  <c r="D51" i="5"/>
  <c r="L51" i="5" s="1"/>
  <c r="E51" i="5"/>
  <c r="F51" i="5"/>
  <c r="G51" i="5"/>
  <c r="H51" i="5"/>
  <c r="I51" i="5"/>
  <c r="B52" i="5"/>
  <c r="J52" i="5" s="1"/>
  <c r="C52" i="5"/>
  <c r="K52" i="5" s="1"/>
  <c r="D52" i="5"/>
  <c r="L52" i="5" s="1"/>
  <c r="E52" i="5"/>
  <c r="F52" i="5"/>
  <c r="G52" i="5"/>
  <c r="H52" i="5"/>
  <c r="I52" i="5"/>
  <c r="B53" i="5"/>
  <c r="J53" i="5" s="1"/>
  <c r="C53" i="5"/>
  <c r="K53" i="5" s="1"/>
  <c r="D53" i="5"/>
  <c r="L53" i="5" s="1"/>
  <c r="E53" i="5"/>
  <c r="F53" i="5"/>
  <c r="G53" i="5"/>
  <c r="H53" i="5"/>
  <c r="I53" i="5"/>
  <c r="B54" i="5"/>
  <c r="J54" i="5" s="1"/>
  <c r="C54" i="5"/>
  <c r="K54" i="5" s="1"/>
  <c r="D54" i="5"/>
  <c r="L54" i="5" s="1"/>
  <c r="E54" i="5"/>
  <c r="F54" i="5"/>
  <c r="G54" i="5"/>
  <c r="H54" i="5"/>
  <c r="I54" i="5"/>
  <c r="B55" i="5"/>
  <c r="J55" i="5" s="1"/>
  <c r="C55" i="5"/>
  <c r="K55" i="5" s="1"/>
  <c r="D55" i="5"/>
  <c r="L55" i="5" s="1"/>
  <c r="E55" i="5"/>
  <c r="F55" i="5"/>
  <c r="G55" i="5"/>
  <c r="H55" i="5"/>
  <c r="I55" i="5"/>
  <c r="B56" i="5"/>
  <c r="J56" i="5" s="1"/>
  <c r="C56" i="5"/>
  <c r="K56" i="5" s="1"/>
  <c r="D56" i="5"/>
  <c r="L56" i="5" s="1"/>
  <c r="E56" i="5"/>
  <c r="F56" i="5"/>
  <c r="G56" i="5"/>
  <c r="H56" i="5"/>
  <c r="I56" i="5"/>
  <c r="B57" i="5"/>
  <c r="J57" i="5" s="1"/>
  <c r="C57" i="5"/>
  <c r="K57" i="5" s="1"/>
  <c r="D57" i="5"/>
  <c r="L57" i="5" s="1"/>
  <c r="E57" i="5"/>
  <c r="F57" i="5"/>
  <c r="G57" i="5"/>
  <c r="H57" i="5"/>
  <c r="I57" i="5"/>
  <c r="B58" i="5"/>
  <c r="J58" i="5" s="1"/>
  <c r="C58" i="5"/>
  <c r="K58" i="5" s="1"/>
  <c r="D58" i="5"/>
  <c r="L58" i="5" s="1"/>
  <c r="E58" i="5"/>
  <c r="F58" i="5"/>
  <c r="G58" i="5"/>
  <c r="H58" i="5"/>
  <c r="I58" i="5"/>
  <c r="B59" i="5"/>
  <c r="J59" i="5" s="1"/>
  <c r="C59" i="5"/>
  <c r="K59" i="5" s="1"/>
  <c r="D59" i="5"/>
  <c r="L59" i="5" s="1"/>
  <c r="E59" i="5"/>
  <c r="F59" i="5"/>
  <c r="G59" i="5"/>
  <c r="H59" i="5"/>
  <c r="I59" i="5"/>
  <c r="B60" i="5"/>
  <c r="J60" i="5" s="1"/>
  <c r="C60" i="5"/>
  <c r="K60" i="5" s="1"/>
  <c r="D60" i="5"/>
  <c r="L60" i="5" s="1"/>
  <c r="E60" i="5"/>
  <c r="F60" i="5"/>
  <c r="G60" i="5"/>
  <c r="H60" i="5"/>
  <c r="I60" i="5"/>
  <c r="B61" i="5"/>
  <c r="J61" i="5" s="1"/>
  <c r="C61" i="5"/>
  <c r="K61" i="5" s="1"/>
  <c r="D61" i="5"/>
  <c r="L61" i="5" s="1"/>
  <c r="E61" i="5"/>
  <c r="F61" i="5"/>
  <c r="G61" i="5"/>
  <c r="H61" i="5"/>
  <c r="I61" i="5"/>
  <c r="B62" i="5"/>
  <c r="J62" i="5" s="1"/>
  <c r="C62" i="5"/>
  <c r="K62" i="5" s="1"/>
  <c r="D62" i="5"/>
  <c r="L62" i="5" s="1"/>
  <c r="E62" i="5"/>
  <c r="F62" i="5"/>
  <c r="G62" i="5"/>
  <c r="H62" i="5"/>
  <c r="I62" i="5"/>
  <c r="B63" i="5"/>
  <c r="J63" i="5" s="1"/>
  <c r="C63" i="5"/>
  <c r="K63" i="5" s="1"/>
  <c r="D63" i="5"/>
  <c r="L63" i="5" s="1"/>
  <c r="E63" i="5"/>
  <c r="F63" i="5"/>
  <c r="G63" i="5"/>
  <c r="H63" i="5"/>
  <c r="I63" i="5"/>
  <c r="B64" i="5"/>
  <c r="J64" i="5" s="1"/>
  <c r="C64" i="5"/>
  <c r="K64" i="5" s="1"/>
  <c r="D64" i="5"/>
  <c r="L64" i="5" s="1"/>
  <c r="E64" i="5"/>
  <c r="F64" i="5"/>
  <c r="G64" i="5"/>
  <c r="H64" i="5"/>
  <c r="I64" i="5"/>
  <c r="B65" i="5"/>
  <c r="J65" i="5" s="1"/>
  <c r="C65" i="5"/>
  <c r="K65" i="5" s="1"/>
  <c r="D65" i="5"/>
  <c r="L65" i="5" s="1"/>
  <c r="E65" i="5"/>
  <c r="F65" i="5"/>
  <c r="G65" i="5"/>
  <c r="H65" i="5"/>
  <c r="I65" i="5"/>
  <c r="B66" i="5"/>
  <c r="J66" i="5" s="1"/>
  <c r="C66" i="5"/>
  <c r="K66" i="5" s="1"/>
  <c r="D66" i="5"/>
  <c r="L66" i="5" s="1"/>
  <c r="E66" i="5"/>
  <c r="F66" i="5"/>
  <c r="G66" i="5"/>
  <c r="H66" i="5"/>
  <c r="I66" i="5"/>
  <c r="B67" i="5"/>
  <c r="J67" i="5" s="1"/>
  <c r="C67" i="5"/>
  <c r="K67" i="5" s="1"/>
  <c r="D67" i="5"/>
  <c r="L67" i="5" s="1"/>
  <c r="E67" i="5"/>
  <c r="F67" i="5"/>
  <c r="G67" i="5"/>
  <c r="H67" i="5"/>
  <c r="I67" i="5"/>
  <c r="B68" i="5"/>
  <c r="J68" i="5" s="1"/>
  <c r="C68" i="5"/>
  <c r="K68" i="5" s="1"/>
  <c r="D68" i="5"/>
  <c r="L68" i="5" s="1"/>
  <c r="E68" i="5"/>
  <c r="F68" i="5"/>
  <c r="G68" i="5"/>
  <c r="H68" i="5"/>
  <c r="I68" i="5"/>
  <c r="B69" i="5"/>
  <c r="J69" i="5" s="1"/>
  <c r="C69" i="5"/>
  <c r="K69" i="5" s="1"/>
  <c r="D69" i="5"/>
  <c r="L69" i="5" s="1"/>
  <c r="E69" i="5"/>
  <c r="F69" i="5"/>
  <c r="G69" i="5"/>
  <c r="H69" i="5"/>
  <c r="I69" i="5"/>
  <c r="B70" i="5"/>
  <c r="J70" i="5" s="1"/>
  <c r="C70" i="5"/>
  <c r="K70" i="5" s="1"/>
  <c r="D70" i="5"/>
  <c r="L70" i="5" s="1"/>
  <c r="E70" i="5"/>
  <c r="F70" i="5"/>
  <c r="G70" i="5"/>
  <c r="H70" i="5"/>
  <c r="I70" i="5"/>
  <c r="B71" i="5"/>
  <c r="J71" i="5" s="1"/>
  <c r="C71" i="5"/>
  <c r="K71" i="5" s="1"/>
  <c r="D71" i="5"/>
  <c r="L71" i="5" s="1"/>
  <c r="E71" i="5"/>
  <c r="F71" i="5"/>
  <c r="G71" i="5"/>
  <c r="H71" i="5"/>
  <c r="I71" i="5"/>
  <c r="B72" i="5"/>
  <c r="J72" i="5" s="1"/>
  <c r="C72" i="5"/>
  <c r="K72" i="5" s="1"/>
  <c r="D72" i="5"/>
  <c r="L72" i="5" s="1"/>
  <c r="E72" i="5"/>
  <c r="F72" i="5"/>
  <c r="G72" i="5"/>
  <c r="H72" i="5"/>
  <c r="I72" i="5"/>
  <c r="B73" i="5"/>
  <c r="J73" i="5" s="1"/>
  <c r="C73" i="5"/>
  <c r="K73" i="5" s="1"/>
  <c r="D73" i="5"/>
  <c r="L73" i="5" s="1"/>
  <c r="E73" i="5"/>
  <c r="F73" i="5"/>
  <c r="G73" i="5"/>
  <c r="H73" i="5"/>
  <c r="I73" i="5"/>
  <c r="B74" i="5"/>
  <c r="J74" i="5" s="1"/>
  <c r="C74" i="5"/>
  <c r="K74" i="5" s="1"/>
  <c r="D74" i="5"/>
  <c r="L74" i="5" s="1"/>
  <c r="E74" i="5"/>
  <c r="F74" i="5"/>
  <c r="G74" i="5"/>
  <c r="H74" i="5"/>
  <c r="I74" i="5"/>
  <c r="B75" i="5"/>
  <c r="J75" i="5" s="1"/>
  <c r="C75" i="5"/>
  <c r="K75" i="5" s="1"/>
  <c r="D75" i="5"/>
  <c r="L75" i="5" s="1"/>
  <c r="E75" i="5"/>
  <c r="F75" i="5"/>
  <c r="G75" i="5"/>
  <c r="H75" i="5"/>
  <c r="I75" i="5"/>
  <c r="B76" i="5"/>
  <c r="J76" i="5" s="1"/>
  <c r="C76" i="5"/>
  <c r="K76" i="5" s="1"/>
  <c r="D76" i="5"/>
  <c r="L76" i="5" s="1"/>
  <c r="E76" i="5"/>
  <c r="F76" i="5"/>
  <c r="G76" i="5"/>
  <c r="H76" i="5"/>
  <c r="I76" i="5"/>
  <c r="B77" i="5"/>
  <c r="J77" i="5" s="1"/>
  <c r="C77" i="5"/>
  <c r="K77" i="5" s="1"/>
  <c r="D77" i="5"/>
  <c r="L77" i="5" s="1"/>
  <c r="E77" i="5"/>
  <c r="F77" i="5"/>
  <c r="G77" i="5"/>
  <c r="H77" i="5"/>
  <c r="I77" i="5"/>
  <c r="B78" i="5"/>
  <c r="J78" i="5" s="1"/>
  <c r="C78" i="5"/>
  <c r="K78" i="5" s="1"/>
  <c r="D78" i="5"/>
  <c r="L78" i="5" s="1"/>
  <c r="E78" i="5"/>
  <c r="F78" i="5"/>
  <c r="G78" i="5"/>
  <c r="H78" i="5"/>
  <c r="I78" i="5"/>
  <c r="B79" i="5"/>
  <c r="J79" i="5" s="1"/>
  <c r="C79" i="5"/>
  <c r="K79" i="5" s="1"/>
  <c r="D79" i="5"/>
  <c r="L79" i="5" s="1"/>
  <c r="E79" i="5"/>
  <c r="F79" i="5"/>
  <c r="G79" i="5"/>
  <c r="H79" i="5"/>
  <c r="I79" i="5"/>
  <c r="B80" i="5"/>
  <c r="J80" i="5" s="1"/>
  <c r="C80" i="5"/>
  <c r="K80" i="5" s="1"/>
  <c r="D80" i="5"/>
  <c r="L80" i="5" s="1"/>
  <c r="E80" i="5"/>
  <c r="F80" i="5"/>
  <c r="G80" i="5"/>
  <c r="H80" i="5"/>
  <c r="I80" i="5"/>
  <c r="B81" i="5"/>
  <c r="J81" i="5" s="1"/>
  <c r="C81" i="5"/>
  <c r="K81" i="5" s="1"/>
  <c r="D81" i="5"/>
  <c r="L81" i="5" s="1"/>
  <c r="E81" i="5"/>
  <c r="F81" i="5"/>
  <c r="G81" i="5"/>
  <c r="H81" i="5"/>
  <c r="I81" i="5"/>
  <c r="B82" i="5"/>
  <c r="J82" i="5" s="1"/>
  <c r="C82" i="5"/>
  <c r="K82" i="5" s="1"/>
  <c r="D82" i="5"/>
  <c r="L82" i="5" s="1"/>
  <c r="E82" i="5"/>
  <c r="F82" i="5"/>
  <c r="G82" i="5"/>
  <c r="H82" i="5"/>
  <c r="I82" i="5"/>
  <c r="B83" i="5"/>
  <c r="J83" i="5" s="1"/>
  <c r="C83" i="5"/>
  <c r="K83" i="5" s="1"/>
  <c r="D83" i="5"/>
  <c r="L83" i="5" s="1"/>
  <c r="E83" i="5"/>
  <c r="F83" i="5"/>
  <c r="G83" i="5"/>
  <c r="H83" i="5"/>
  <c r="I83" i="5"/>
  <c r="B84" i="5"/>
  <c r="J84" i="5" s="1"/>
  <c r="C84" i="5"/>
  <c r="K84" i="5" s="1"/>
  <c r="D84" i="5"/>
  <c r="L84" i="5" s="1"/>
  <c r="E84" i="5"/>
  <c r="F84" i="5"/>
  <c r="G84" i="5"/>
  <c r="H84" i="5"/>
  <c r="I84" i="5"/>
  <c r="B85" i="5"/>
  <c r="J85" i="5" s="1"/>
  <c r="C85" i="5"/>
  <c r="K85" i="5" s="1"/>
  <c r="D85" i="5"/>
  <c r="L85" i="5" s="1"/>
  <c r="E85" i="5"/>
  <c r="F85" i="5"/>
  <c r="G85" i="5"/>
  <c r="H85" i="5"/>
  <c r="I85" i="5"/>
  <c r="B86" i="5"/>
  <c r="J86" i="5" s="1"/>
  <c r="C86" i="5"/>
  <c r="K86" i="5" s="1"/>
  <c r="D86" i="5"/>
  <c r="L86" i="5" s="1"/>
  <c r="E86" i="5"/>
  <c r="F86" i="5"/>
  <c r="G86" i="5"/>
  <c r="H86" i="5"/>
  <c r="I86" i="5"/>
  <c r="B87" i="5"/>
  <c r="J87" i="5" s="1"/>
  <c r="C87" i="5"/>
  <c r="K87" i="5" s="1"/>
  <c r="D87" i="5"/>
  <c r="L87" i="5" s="1"/>
  <c r="E87" i="5"/>
  <c r="F87" i="5"/>
  <c r="G87" i="5"/>
  <c r="H87" i="5"/>
  <c r="I87" i="5"/>
  <c r="B88" i="5"/>
  <c r="J88" i="5" s="1"/>
  <c r="C88" i="5"/>
  <c r="K88" i="5" s="1"/>
  <c r="D88" i="5"/>
  <c r="L88" i="5" s="1"/>
  <c r="E88" i="5"/>
  <c r="F88" i="5"/>
  <c r="G88" i="5"/>
  <c r="H88" i="5"/>
  <c r="I88" i="5"/>
  <c r="B89" i="5"/>
  <c r="J89" i="5" s="1"/>
  <c r="C89" i="5"/>
  <c r="K89" i="5" s="1"/>
  <c r="D89" i="5"/>
  <c r="L89" i="5" s="1"/>
  <c r="E89" i="5"/>
  <c r="F89" i="5"/>
  <c r="G89" i="5"/>
  <c r="H89" i="5"/>
  <c r="I89" i="5"/>
  <c r="B90" i="5"/>
  <c r="J90" i="5" s="1"/>
  <c r="C90" i="5"/>
  <c r="K90" i="5" s="1"/>
  <c r="D90" i="5"/>
  <c r="L90" i="5" s="1"/>
  <c r="E90" i="5"/>
  <c r="F90" i="5"/>
  <c r="G90" i="5"/>
  <c r="H90" i="5"/>
  <c r="I90" i="5"/>
  <c r="B91" i="5"/>
  <c r="J91" i="5" s="1"/>
  <c r="C91" i="5"/>
  <c r="K91" i="5" s="1"/>
  <c r="D91" i="5"/>
  <c r="L91" i="5" s="1"/>
  <c r="E91" i="5"/>
  <c r="F91" i="5"/>
  <c r="G91" i="5"/>
  <c r="H91" i="5"/>
  <c r="I91" i="5"/>
  <c r="B92" i="5"/>
  <c r="J92" i="5" s="1"/>
  <c r="C92" i="5"/>
  <c r="K92" i="5" s="1"/>
  <c r="D92" i="5"/>
  <c r="L92" i="5" s="1"/>
  <c r="E92" i="5"/>
  <c r="F92" i="5"/>
  <c r="G92" i="5"/>
  <c r="H92" i="5"/>
  <c r="I92" i="5"/>
  <c r="B93" i="5"/>
  <c r="J93" i="5" s="1"/>
  <c r="C93" i="5"/>
  <c r="K93" i="5" s="1"/>
  <c r="D93" i="5"/>
  <c r="L93" i="5" s="1"/>
  <c r="E93" i="5"/>
  <c r="F93" i="5"/>
  <c r="G93" i="5"/>
  <c r="H93" i="5"/>
  <c r="I93" i="5"/>
  <c r="B94" i="5"/>
  <c r="J94" i="5" s="1"/>
  <c r="C94" i="5"/>
  <c r="K94" i="5" s="1"/>
  <c r="D94" i="5"/>
  <c r="L94" i="5" s="1"/>
  <c r="E94" i="5"/>
  <c r="F94" i="5"/>
  <c r="G94" i="5"/>
  <c r="H94" i="5"/>
  <c r="I94" i="5"/>
  <c r="B95" i="5"/>
  <c r="J95" i="5" s="1"/>
  <c r="C95" i="5"/>
  <c r="K95" i="5" s="1"/>
  <c r="D95" i="5"/>
  <c r="L95" i="5" s="1"/>
  <c r="E95" i="5"/>
  <c r="F95" i="5"/>
  <c r="G95" i="5"/>
  <c r="H95" i="5"/>
  <c r="I95" i="5"/>
  <c r="B96" i="5"/>
  <c r="J96" i="5" s="1"/>
  <c r="C96" i="5"/>
  <c r="K96" i="5" s="1"/>
  <c r="D96" i="5"/>
  <c r="L96" i="5" s="1"/>
  <c r="E96" i="5"/>
  <c r="F96" i="5"/>
  <c r="G96" i="5"/>
  <c r="H96" i="5"/>
  <c r="I96" i="5"/>
  <c r="B97" i="5"/>
  <c r="J97" i="5" s="1"/>
  <c r="C97" i="5"/>
  <c r="K97" i="5" s="1"/>
  <c r="D97" i="5"/>
  <c r="L97" i="5" s="1"/>
  <c r="E97" i="5"/>
  <c r="F97" i="5"/>
  <c r="G97" i="5"/>
  <c r="H97" i="5"/>
  <c r="I97" i="5"/>
  <c r="B98" i="5"/>
  <c r="J98" i="5" s="1"/>
  <c r="C98" i="5"/>
  <c r="K98" i="5" s="1"/>
  <c r="D98" i="5"/>
  <c r="L98" i="5" s="1"/>
  <c r="E98" i="5"/>
  <c r="F98" i="5"/>
  <c r="G98" i="5"/>
  <c r="H98" i="5"/>
  <c r="I98" i="5"/>
  <c r="B99" i="5"/>
  <c r="J99" i="5" s="1"/>
  <c r="C99" i="5"/>
  <c r="K99" i="5" s="1"/>
  <c r="D99" i="5"/>
  <c r="L99" i="5" s="1"/>
  <c r="E99" i="5"/>
  <c r="F99" i="5"/>
  <c r="G99" i="5"/>
  <c r="H99" i="5"/>
  <c r="I99" i="5"/>
  <c r="B100" i="5"/>
  <c r="J100" i="5" s="1"/>
  <c r="C100" i="5"/>
  <c r="K100" i="5" s="1"/>
  <c r="D100" i="5"/>
  <c r="L100" i="5" s="1"/>
  <c r="E100" i="5"/>
  <c r="F100" i="5"/>
  <c r="G100" i="5"/>
  <c r="H100" i="5"/>
  <c r="I100" i="5"/>
  <c r="C2" i="5"/>
  <c r="K2" i="5" s="1"/>
  <c r="D2" i="5"/>
  <c r="L2" i="5" s="1"/>
  <c r="E2" i="5"/>
  <c r="F2" i="5"/>
  <c r="G2" i="5"/>
  <c r="H2" i="5"/>
  <c r="I2" i="5"/>
  <c r="B2" i="5"/>
  <c r="J2" i="5" s="1"/>
  <c r="A2" i="5"/>
  <c r="A34" i="5"/>
  <c r="X34" i="5" s="1"/>
  <c r="A35" i="5"/>
  <c r="X35" i="5" s="1"/>
  <c r="A36" i="5"/>
  <c r="A37" i="5"/>
  <c r="A38" i="5"/>
  <c r="A39" i="5"/>
  <c r="A40" i="5"/>
  <c r="A41" i="5"/>
  <c r="X41" i="5" s="1"/>
  <c r="A42" i="5"/>
  <c r="X42" i="5" s="1"/>
  <c r="A43" i="5"/>
  <c r="X43" i="5" s="1"/>
  <c r="A44" i="5"/>
  <c r="X44" i="5" s="1"/>
  <c r="A45" i="5"/>
  <c r="X45" i="5" s="1"/>
  <c r="A46" i="5"/>
  <c r="X46" i="5" s="1"/>
  <c r="A47" i="5"/>
  <c r="X47" i="5" s="1"/>
  <c r="A48" i="5"/>
  <c r="X48" i="5" s="1"/>
  <c r="A49" i="5"/>
  <c r="X49" i="5" s="1"/>
  <c r="A50" i="5"/>
  <c r="X50" i="5" s="1"/>
  <c r="A51" i="5"/>
  <c r="X51" i="5" s="1"/>
  <c r="A52" i="5"/>
  <c r="X52" i="5" s="1"/>
  <c r="A53" i="5"/>
  <c r="X53" i="5" s="1"/>
  <c r="A54" i="5"/>
  <c r="X54" i="5" s="1"/>
  <c r="A55" i="5"/>
  <c r="X55" i="5" s="1"/>
  <c r="A56" i="5"/>
  <c r="X56" i="5" s="1"/>
  <c r="A57" i="5"/>
  <c r="X57" i="5" s="1"/>
  <c r="A58" i="5"/>
  <c r="X58" i="5" s="1"/>
  <c r="A59" i="5"/>
  <c r="X59" i="5" s="1"/>
  <c r="A60" i="5"/>
  <c r="X60" i="5" s="1"/>
  <c r="A61" i="5"/>
  <c r="X61" i="5" s="1"/>
  <c r="A62" i="5"/>
  <c r="X62" i="5" s="1"/>
  <c r="A63" i="5"/>
  <c r="X63" i="5" s="1"/>
  <c r="A64" i="5"/>
  <c r="X64" i="5" s="1"/>
  <c r="A65" i="5"/>
  <c r="X65" i="5" s="1"/>
  <c r="A66" i="5"/>
  <c r="X66" i="5" s="1"/>
  <c r="A67" i="5"/>
  <c r="X67" i="5" s="1"/>
  <c r="A68" i="5"/>
  <c r="X68" i="5" s="1"/>
  <c r="A69" i="5"/>
  <c r="X69" i="5" s="1"/>
  <c r="A70" i="5"/>
  <c r="X70" i="5" s="1"/>
  <c r="A71" i="5"/>
  <c r="X71" i="5" s="1"/>
  <c r="A72" i="5"/>
  <c r="X72" i="5" s="1"/>
  <c r="A73" i="5"/>
  <c r="X73" i="5" s="1"/>
  <c r="A74" i="5"/>
  <c r="X74" i="5" s="1"/>
  <c r="A75" i="5"/>
  <c r="X75" i="5" s="1"/>
  <c r="A76" i="5"/>
  <c r="X76" i="5" s="1"/>
  <c r="A77" i="5"/>
  <c r="X77" i="5" s="1"/>
  <c r="A78" i="5"/>
  <c r="X78" i="5" s="1"/>
  <c r="A79" i="5"/>
  <c r="X79" i="5" s="1"/>
  <c r="A80" i="5"/>
  <c r="X80" i="5" s="1"/>
  <c r="A81" i="5"/>
  <c r="X81" i="5" s="1"/>
  <c r="A82" i="5"/>
  <c r="X82" i="5" s="1"/>
  <c r="A83" i="5"/>
  <c r="X83" i="5" s="1"/>
  <c r="A84" i="5"/>
  <c r="X84" i="5" s="1"/>
  <c r="A85" i="5"/>
  <c r="X85" i="5" s="1"/>
  <c r="A86" i="5"/>
  <c r="X86" i="5" s="1"/>
  <c r="A87" i="5"/>
  <c r="X87" i="5" s="1"/>
  <c r="A88" i="5"/>
  <c r="X88" i="5" s="1"/>
  <c r="A89" i="5"/>
  <c r="X89" i="5" s="1"/>
  <c r="A90" i="5"/>
  <c r="X90" i="5" s="1"/>
  <c r="A91" i="5"/>
  <c r="X91" i="5" s="1"/>
  <c r="A92" i="5"/>
  <c r="X92" i="5" s="1"/>
  <c r="A93" i="5"/>
  <c r="X93" i="5" s="1"/>
  <c r="A94" i="5"/>
  <c r="X94" i="5" s="1"/>
  <c r="A95" i="5"/>
  <c r="X95" i="5" s="1"/>
  <c r="A96" i="5"/>
  <c r="X96" i="5" s="1"/>
  <c r="A97" i="5"/>
  <c r="X97" i="5" s="1"/>
  <c r="A98" i="5"/>
  <c r="X98" i="5" s="1"/>
  <c r="A99" i="5"/>
  <c r="X99" i="5" s="1"/>
  <c r="A100" i="5"/>
  <c r="X100" i="5" s="1"/>
  <c r="A3" i="5"/>
  <c r="A4" i="5"/>
  <c r="A5" i="5"/>
  <c r="A6" i="5"/>
  <c r="A7" i="5"/>
  <c r="A8" i="5"/>
  <c r="A9" i="5"/>
  <c r="A10" i="5"/>
  <c r="A11" i="5"/>
  <c r="A12" i="5"/>
  <c r="A13" i="5"/>
  <c r="A14" i="5"/>
  <c r="A15" i="5"/>
  <c r="A16" i="5"/>
  <c r="A17" i="5"/>
  <c r="A18" i="5"/>
  <c r="A19" i="5"/>
  <c r="A20" i="5"/>
  <c r="A21" i="5"/>
  <c r="A22" i="5"/>
  <c r="A23" i="5"/>
  <c r="X23" i="5" s="1"/>
  <c r="A24" i="5"/>
  <c r="X24" i="5" s="1"/>
  <c r="A25" i="5"/>
  <c r="X25" i="5" s="1"/>
  <c r="A26" i="5"/>
  <c r="A27" i="5"/>
  <c r="A28" i="5"/>
  <c r="A29" i="5"/>
  <c r="A30" i="5"/>
  <c r="A31" i="5"/>
  <c r="X31" i="5" s="1"/>
  <c r="A32" i="5"/>
  <c r="X32" i="5" s="1"/>
  <c r="A33" i="5"/>
  <c r="X33" i="5" s="1"/>
  <c r="X39" i="5" l="1"/>
  <c r="X29" i="5"/>
  <c r="X30" i="5"/>
  <c r="X40" i="5"/>
  <c r="X28" i="5"/>
  <c r="X38" i="5"/>
  <c r="X37" i="5"/>
  <c r="X27" i="5"/>
  <c r="X26" i="5"/>
  <c r="X36" i="5"/>
  <c r="X22" i="5"/>
  <c r="X20" i="5"/>
  <c r="X21" i="5"/>
  <c r="X19" i="5"/>
  <c r="X14" i="5"/>
  <c r="X6" i="5"/>
  <c r="X4" i="5"/>
  <c r="X12" i="5"/>
  <c r="X9" i="5"/>
  <c r="X16" i="5"/>
  <c r="X8" i="5"/>
  <c r="X17" i="5"/>
  <c r="X15" i="5"/>
  <c r="X7" i="5"/>
  <c r="X13" i="5"/>
  <c r="X5" i="5"/>
  <c r="X11" i="5"/>
  <c r="X3" i="5"/>
  <c r="X18" i="5"/>
  <c r="X10" i="5"/>
  <c r="X2" i="5"/>
  <c r="P2" i="5"/>
  <c r="R2" i="5"/>
  <c r="T2" i="5"/>
  <c r="V2" i="5"/>
  <c r="O2" i="5"/>
  <c r="S2" i="5"/>
  <c r="Q2" i="5"/>
  <c r="U2" i="5"/>
  <c r="M100" i="5"/>
  <c r="N100" i="5"/>
  <c r="P100" i="5"/>
  <c r="R100" i="5"/>
  <c r="T100" i="5"/>
  <c r="V100" i="5"/>
  <c r="O100" i="5"/>
  <c r="S100" i="5"/>
  <c r="Q100" i="5"/>
  <c r="U100" i="5"/>
  <c r="M99" i="5"/>
  <c r="O99" i="5"/>
  <c r="Q99" i="5"/>
  <c r="S99" i="5"/>
  <c r="U99" i="5"/>
  <c r="P99" i="5"/>
  <c r="T99" i="5"/>
  <c r="N99" i="5"/>
  <c r="R99" i="5"/>
  <c r="V99" i="5"/>
  <c r="M98" i="5"/>
  <c r="N98" i="5"/>
  <c r="P98" i="5"/>
  <c r="R98" i="5"/>
  <c r="T98" i="5"/>
  <c r="V98" i="5"/>
  <c r="Q98" i="5"/>
  <c r="U98" i="5"/>
  <c r="O98" i="5"/>
  <c r="S98" i="5"/>
  <c r="M97" i="5"/>
  <c r="O97" i="5"/>
  <c r="Q97" i="5"/>
  <c r="S97" i="5"/>
  <c r="U97" i="5"/>
  <c r="N97" i="5"/>
  <c r="R97" i="5"/>
  <c r="V97" i="5"/>
  <c r="P97" i="5"/>
  <c r="T97" i="5"/>
  <c r="M96" i="5"/>
  <c r="N96" i="5"/>
  <c r="P96" i="5"/>
  <c r="R96" i="5"/>
  <c r="T96" i="5"/>
  <c r="V96" i="5"/>
  <c r="O96" i="5"/>
  <c r="S96" i="5"/>
  <c r="Q96" i="5"/>
  <c r="U96" i="5"/>
  <c r="M95" i="5"/>
  <c r="O95" i="5"/>
  <c r="Q95" i="5"/>
  <c r="S95" i="5"/>
  <c r="U95" i="5"/>
  <c r="P95" i="5"/>
  <c r="T95" i="5"/>
  <c r="N95" i="5"/>
  <c r="R95" i="5"/>
  <c r="V95" i="5"/>
  <c r="M94" i="5"/>
  <c r="N94" i="5"/>
  <c r="P94" i="5"/>
  <c r="R94" i="5"/>
  <c r="T94" i="5"/>
  <c r="V94" i="5"/>
  <c r="Q94" i="5"/>
  <c r="U94" i="5"/>
  <c r="O94" i="5"/>
  <c r="S94" i="5"/>
  <c r="M93" i="5"/>
  <c r="O93" i="5"/>
  <c r="Q93" i="5"/>
  <c r="S93" i="5"/>
  <c r="U93" i="5"/>
  <c r="N93" i="5"/>
  <c r="R93" i="5"/>
  <c r="V93" i="5"/>
  <c r="P93" i="5"/>
  <c r="T93" i="5"/>
  <c r="M92" i="5"/>
  <c r="N92" i="5"/>
  <c r="P92" i="5"/>
  <c r="R92" i="5"/>
  <c r="T92" i="5"/>
  <c r="V92" i="5"/>
  <c r="O92" i="5"/>
  <c r="S92" i="5"/>
  <c r="Q92" i="5"/>
  <c r="U92" i="5"/>
  <c r="M91" i="5"/>
  <c r="O91" i="5"/>
  <c r="Q91" i="5"/>
  <c r="S91" i="5"/>
  <c r="U91" i="5"/>
  <c r="P91" i="5"/>
  <c r="T91" i="5"/>
  <c r="N91" i="5"/>
  <c r="R91" i="5"/>
  <c r="V91" i="5"/>
  <c r="M90" i="5"/>
  <c r="N90" i="5"/>
  <c r="P90" i="5"/>
  <c r="R90" i="5"/>
  <c r="T90" i="5"/>
  <c r="V90" i="5"/>
  <c r="Q90" i="5"/>
  <c r="U90" i="5"/>
  <c r="O90" i="5"/>
  <c r="S90" i="5"/>
  <c r="M89" i="5"/>
  <c r="O89" i="5"/>
  <c r="Q89" i="5"/>
  <c r="S89" i="5"/>
  <c r="U89" i="5"/>
  <c r="N89" i="5"/>
  <c r="R89" i="5"/>
  <c r="V89" i="5"/>
  <c r="P89" i="5"/>
  <c r="T89" i="5"/>
  <c r="M88" i="5"/>
  <c r="N88" i="5"/>
  <c r="P88" i="5"/>
  <c r="R88" i="5"/>
  <c r="T88" i="5"/>
  <c r="V88" i="5"/>
  <c r="O88" i="5"/>
  <c r="S88" i="5"/>
  <c r="Q88" i="5"/>
  <c r="U88" i="5"/>
  <c r="M87" i="5"/>
  <c r="O87" i="5"/>
  <c r="Q87" i="5"/>
  <c r="S87" i="5"/>
  <c r="U87" i="5"/>
  <c r="P87" i="5"/>
  <c r="T87" i="5"/>
  <c r="N87" i="5"/>
  <c r="R87" i="5"/>
  <c r="V87" i="5"/>
  <c r="M86" i="5"/>
  <c r="N86" i="5"/>
  <c r="P86" i="5"/>
  <c r="R86" i="5"/>
  <c r="T86" i="5"/>
  <c r="V86" i="5"/>
  <c r="Q86" i="5"/>
  <c r="U86" i="5"/>
  <c r="O86" i="5"/>
  <c r="S86" i="5"/>
  <c r="M85" i="5"/>
  <c r="O85" i="5"/>
  <c r="Q85" i="5"/>
  <c r="S85" i="5"/>
  <c r="U85" i="5"/>
  <c r="N85" i="5"/>
  <c r="R85" i="5"/>
  <c r="V85" i="5"/>
  <c r="P85" i="5"/>
  <c r="T85" i="5"/>
  <c r="M84" i="5"/>
  <c r="N84" i="5"/>
  <c r="P84" i="5"/>
  <c r="R84" i="5"/>
  <c r="T84" i="5"/>
  <c r="V84" i="5"/>
  <c r="O84" i="5"/>
  <c r="S84" i="5"/>
  <c r="Q84" i="5"/>
  <c r="U84" i="5"/>
  <c r="M83" i="5"/>
  <c r="O83" i="5"/>
  <c r="Q83" i="5"/>
  <c r="S83" i="5"/>
  <c r="U83" i="5"/>
  <c r="P83" i="5"/>
  <c r="T83" i="5"/>
  <c r="N83" i="5"/>
  <c r="R83" i="5"/>
  <c r="V83" i="5"/>
  <c r="M82" i="5"/>
  <c r="N82" i="5"/>
  <c r="P82" i="5"/>
  <c r="R82" i="5"/>
  <c r="T82" i="5"/>
  <c r="V82" i="5"/>
  <c r="Q82" i="5"/>
  <c r="U82" i="5"/>
  <c r="O82" i="5"/>
  <c r="S82" i="5"/>
  <c r="M81" i="5"/>
  <c r="O81" i="5"/>
  <c r="Q81" i="5"/>
  <c r="S81" i="5"/>
  <c r="U81" i="5"/>
  <c r="N81" i="5"/>
  <c r="R81" i="5"/>
  <c r="V81" i="5"/>
  <c r="P81" i="5"/>
  <c r="T81" i="5"/>
  <c r="M80" i="5"/>
  <c r="N80" i="5"/>
  <c r="P80" i="5"/>
  <c r="R80" i="5"/>
  <c r="T80" i="5"/>
  <c r="V80" i="5"/>
  <c r="O80" i="5"/>
  <c r="S80" i="5"/>
  <c r="Q80" i="5"/>
  <c r="U80" i="5"/>
  <c r="M79" i="5"/>
  <c r="O79" i="5"/>
  <c r="Q79" i="5"/>
  <c r="S79" i="5"/>
  <c r="U79" i="5"/>
  <c r="P79" i="5"/>
  <c r="T79" i="5"/>
  <c r="N79" i="5"/>
  <c r="R79" i="5"/>
  <c r="V79" i="5"/>
  <c r="M78" i="5"/>
  <c r="N78" i="5"/>
  <c r="P78" i="5"/>
  <c r="R78" i="5"/>
  <c r="T78" i="5"/>
  <c r="V78" i="5"/>
  <c r="Q78" i="5"/>
  <c r="U78" i="5"/>
  <c r="O78" i="5"/>
  <c r="S78" i="5"/>
  <c r="M77" i="5"/>
  <c r="O77" i="5"/>
  <c r="Q77" i="5"/>
  <c r="S77" i="5"/>
  <c r="U77" i="5"/>
  <c r="N77" i="5"/>
  <c r="R77" i="5"/>
  <c r="V77" i="5"/>
  <c r="P77" i="5"/>
  <c r="T77" i="5"/>
  <c r="M76" i="5"/>
  <c r="N76" i="5"/>
  <c r="P76" i="5"/>
  <c r="R76" i="5"/>
  <c r="T76" i="5"/>
  <c r="V76" i="5"/>
  <c r="O76" i="5"/>
  <c r="S76" i="5"/>
  <c r="Q76" i="5"/>
  <c r="U76" i="5"/>
  <c r="M75" i="5"/>
  <c r="O75" i="5"/>
  <c r="Q75" i="5"/>
  <c r="S75" i="5"/>
  <c r="U75" i="5"/>
  <c r="P75" i="5"/>
  <c r="T75" i="5"/>
  <c r="N75" i="5"/>
  <c r="R75" i="5"/>
  <c r="V75" i="5"/>
  <c r="M74" i="5"/>
  <c r="N74" i="5"/>
  <c r="P74" i="5"/>
  <c r="R74" i="5"/>
  <c r="T74" i="5"/>
  <c r="V74" i="5"/>
  <c r="Q74" i="5"/>
  <c r="U74" i="5"/>
  <c r="O74" i="5"/>
  <c r="S74" i="5"/>
  <c r="M73" i="5"/>
  <c r="O73" i="5"/>
  <c r="Q73" i="5"/>
  <c r="S73" i="5"/>
  <c r="U73" i="5"/>
  <c r="N73" i="5"/>
  <c r="R73" i="5"/>
  <c r="V73" i="5"/>
  <c r="P73" i="5"/>
  <c r="T73" i="5"/>
  <c r="M72" i="5"/>
  <c r="N72" i="5"/>
  <c r="P72" i="5"/>
  <c r="R72" i="5"/>
  <c r="T72" i="5"/>
  <c r="V72" i="5"/>
  <c r="O72" i="5"/>
  <c r="S72" i="5"/>
  <c r="Q72" i="5"/>
  <c r="U72" i="5"/>
  <c r="M71" i="5"/>
  <c r="O71" i="5"/>
  <c r="Q71" i="5"/>
  <c r="S71" i="5"/>
  <c r="U71" i="5"/>
  <c r="P71" i="5"/>
  <c r="T71" i="5"/>
  <c r="N71" i="5"/>
  <c r="R71" i="5"/>
  <c r="V71" i="5"/>
  <c r="M70" i="5"/>
  <c r="N70" i="5"/>
  <c r="P70" i="5"/>
  <c r="R70" i="5"/>
  <c r="T70" i="5"/>
  <c r="V70" i="5"/>
  <c r="Q70" i="5"/>
  <c r="U70" i="5"/>
  <c r="O70" i="5"/>
  <c r="S70" i="5"/>
  <c r="M69" i="5"/>
  <c r="O69" i="5"/>
  <c r="Q69" i="5"/>
  <c r="S69" i="5"/>
  <c r="U69" i="5"/>
  <c r="N69" i="5"/>
  <c r="R69" i="5"/>
  <c r="V69" i="5"/>
  <c r="P69" i="5"/>
  <c r="T69" i="5"/>
  <c r="M68" i="5"/>
  <c r="N68" i="5"/>
  <c r="P68" i="5"/>
  <c r="R68" i="5"/>
  <c r="T68" i="5"/>
  <c r="V68" i="5"/>
  <c r="O68" i="5"/>
  <c r="S68" i="5"/>
  <c r="Q68" i="5"/>
  <c r="U68" i="5"/>
  <c r="M67" i="5"/>
  <c r="O67" i="5"/>
  <c r="Q67" i="5"/>
  <c r="S67" i="5"/>
  <c r="U67" i="5"/>
  <c r="P67" i="5"/>
  <c r="T67" i="5"/>
  <c r="N67" i="5"/>
  <c r="R67" i="5"/>
  <c r="V67" i="5"/>
  <c r="M66" i="5"/>
  <c r="N66" i="5"/>
  <c r="P66" i="5"/>
  <c r="R66" i="5"/>
  <c r="T66" i="5"/>
  <c r="V66" i="5"/>
  <c r="Q66" i="5"/>
  <c r="U66" i="5"/>
  <c r="O66" i="5"/>
  <c r="S66" i="5"/>
  <c r="M65" i="5"/>
  <c r="O65" i="5"/>
  <c r="Q65" i="5"/>
  <c r="S65" i="5"/>
  <c r="U65" i="5"/>
  <c r="N65" i="5"/>
  <c r="R65" i="5"/>
  <c r="V65" i="5"/>
  <c r="P65" i="5"/>
  <c r="T65" i="5"/>
  <c r="M64" i="5"/>
  <c r="N64" i="5"/>
  <c r="P64" i="5"/>
  <c r="R64" i="5"/>
  <c r="T64" i="5"/>
  <c r="V64" i="5"/>
  <c r="O64" i="5"/>
  <c r="S64" i="5"/>
  <c r="Q64" i="5"/>
  <c r="U64" i="5"/>
  <c r="M63" i="5"/>
  <c r="O63" i="5"/>
  <c r="Q63" i="5"/>
  <c r="S63" i="5"/>
  <c r="U63" i="5"/>
  <c r="P63" i="5"/>
  <c r="T63" i="5"/>
  <c r="N63" i="5"/>
  <c r="R63" i="5"/>
  <c r="V63" i="5"/>
  <c r="M62" i="5"/>
  <c r="N62" i="5"/>
  <c r="P62" i="5"/>
  <c r="R62" i="5"/>
  <c r="T62" i="5"/>
  <c r="V62" i="5"/>
  <c r="Q62" i="5"/>
  <c r="U62" i="5"/>
  <c r="O62" i="5"/>
  <c r="S62" i="5"/>
  <c r="M61" i="5"/>
  <c r="O61" i="5"/>
  <c r="Q61" i="5"/>
  <c r="S61" i="5"/>
  <c r="U61" i="5"/>
  <c r="N61" i="5"/>
  <c r="R61" i="5"/>
  <c r="V61" i="5"/>
  <c r="P61" i="5"/>
  <c r="T61" i="5"/>
  <c r="M60" i="5"/>
  <c r="N60" i="5"/>
  <c r="P60" i="5"/>
  <c r="R60" i="5"/>
  <c r="T60" i="5"/>
  <c r="V60" i="5"/>
  <c r="O60" i="5"/>
  <c r="S60" i="5"/>
  <c r="Q60" i="5"/>
  <c r="U60" i="5"/>
  <c r="M59" i="5"/>
  <c r="O59" i="5"/>
  <c r="N59" i="5"/>
  <c r="Q59" i="5"/>
  <c r="S59" i="5"/>
  <c r="U59" i="5"/>
  <c r="P59" i="5"/>
  <c r="T59" i="5"/>
  <c r="R59" i="5"/>
  <c r="V59" i="5"/>
  <c r="M58" i="5"/>
  <c r="N58" i="5"/>
  <c r="P58" i="5"/>
  <c r="R58" i="5"/>
  <c r="T58" i="5"/>
  <c r="V58" i="5"/>
  <c r="O58" i="5"/>
  <c r="S58" i="5"/>
  <c r="Q58" i="5"/>
  <c r="U58" i="5"/>
  <c r="M57" i="5"/>
  <c r="O57" i="5"/>
  <c r="Q57" i="5"/>
  <c r="S57" i="5"/>
  <c r="U57" i="5"/>
  <c r="P57" i="5"/>
  <c r="T57" i="5"/>
  <c r="R57" i="5"/>
  <c r="N57" i="5"/>
  <c r="V57" i="5"/>
  <c r="M56" i="5"/>
  <c r="N56" i="5"/>
  <c r="P56" i="5"/>
  <c r="R56" i="5"/>
  <c r="T56" i="5"/>
  <c r="V56" i="5"/>
  <c r="Q56" i="5"/>
  <c r="U56" i="5"/>
  <c r="S56" i="5"/>
  <c r="O56" i="5"/>
  <c r="M55" i="5"/>
  <c r="O55" i="5"/>
  <c r="Q55" i="5"/>
  <c r="S55" i="5"/>
  <c r="U55" i="5"/>
  <c r="N55" i="5"/>
  <c r="R55" i="5"/>
  <c r="V55" i="5"/>
  <c r="T55" i="5"/>
  <c r="P55" i="5"/>
  <c r="M54" i="5"/>
  <c r="N54" i="5"/>
  <c r="P54" i="5"/>
  <c r="R54" i="5"/>
  <c r="T54" i="5"/>
  <c r="V54" i="5"/>
  <c r="O54" i="5"/>
  <c r="S54" i="5"/>
  <c r="U54" i="5"/>
  <c r="Q54" i="5"/>
  <c r="M53" i="5"/>
  <c r="O53" i="5"/>
  <c r="Q53" i="5"/>
  <c r="S53" i="5"/>
  <c r="U53" i="5"/>
  <c r="P53" i="5"/>
  <c r="T53" i="5"/>
  <c r="N53" i="5"/>
  <c r="V53" i="5"/>
  <c r="R53" i="5"/>
  <c r="M52" i="5"/>
  <c r="N52" i="5"/>
  <c r="P52" i="5"/>
  <c r="R52" i="5"/>
  <c r="T52" i="5"/>
  <c r="V52" i="5"/>
  <c r="Q52" i="5"/>
  <c r="U52" i="5"/>
  <c r="O52" i="5"/>
  <c r="S52" i="5"/>
  <c r="M51" i="5"/>
  <c r="O51" i="5"/>
  <c r="Q51" i="5"/>
  <c r="S51" i="5"/>
  <c r="U51" i="5"/>
  <c r="N51" i="5"/>
  <c r="R51" i="5"/>
  <c r="V51" i="5"/>
  <c r="P51" i="5"/>
  <c r="T51" i="5"/>
  <c r="M50" i="5"/>
  <c r="N50" i="5"/>
  <c r="P50" i="5"/>
  <c r="R50" i="5"/>
  <c r="T50" i="5"/>
  <c r="V50" i="5"/>
  <c r="O50" i="5"/>
  <c r="S50" i="5"/>
  <c r="Q50" i="5"/>
  <c r="U50" i="5"/>
  <c r="M49" i="5"/>
  <c r="O49" i="5"/>
  <c r="Q49" i="5"/>
  <c r="S49" i="5"/>
  <c r="U49" i="5"/>
  <c r="P49" i="5"/>
  <c r="T49" i="5"/>
  <c r="N49" i="5"/>
  <c r="R49" i="5"/>
  <c r="V49" i="5"/>
  <c r="M48" i="5"/>
  <c r="N48" i="5"/>
  <c r="P48" i="5"/>
  <c r="R48" i="5"/>
  <c r="T48" i="5"/>
  <c r="V48" i="5"/>
  <c r="Q48" i="5"/>
  <c r="U48" i="5"/>
  <c r="O48" i="5"/>
  <c r="S48" i="5"/>
  <c r="M47" i="5"/>
  <c r="O47" i="5"/>
  <c r="Q47" i="5"/>
  <c r="S47" i="5"/>
  <c r="U47" i="5"/>
  <c r="N47" i="5"/>
  <c r="R47" i="5"/>
  <c r="V47" i="5"/>
  <c r="P47" i="5"/>
  <c r="T47" i="5"/>
  <c r="M46" i="5"/>
  <c r="N46" i="5"/>
  <c r="P46" i="5"/>
  <c r="R46" i="5"/>
  <c r="T46" i="5"/>
  <c r="V46" i="5"/>
  <c r="O46" i="5"/>
  <c r="S46" i="5"/>
  <c r="Q46" i="5"/>
  <c r="U46" i="5"/>
  <c r="M45" i="5"/>
  <c r="O45" i="5"/>
  <c r="Q45" i="5"/>
  <c r="S45" i="5"/>
  <c r="U45" i="5"/>
  <c r="P45" i="5"/>
  <c r="T45" i="5"/>
  <c r="N45" i="5"/>
  <c r="R45" i="5"/>
  <c r="V45" i="5"/>
  <c r="M44" i="5"/>
  <c r="N44" i="5"/>
  <c r="P44" i="5"/>
  <c r="R44" i="5"/>
  <c r="T44" i="5"/>
  <c r="V44" i="5"/>
  <c r="Q44" i="5"/>
  <c r="U44" i="5"/>
  <c r="O44" i="5"/>
  <c r="S44" i="5"/>
  <c r="M43" i="5"/>
  <c r="O43" i="5"/>
  <c r="Q43" i="5"/>
  <c r="S43" i="5"/>
  <c r="U43" i="5"/>
  <c r="N43" i="5"/>
  <c r="R43" i="5"/>
  <c r="V43" i="5"/>
  <c r="P43" i="5"/>
  <c r="T43" i="5"/>
  <c r="M42" i="5"/>
  <c r="N42" i="5"/>
  <c r="P42" i="5"/>
  <c r="R42" i="5"/>
  <c r="T42" i="5"/>
  <c r="V42" i="5"/>
  <c r="O42" i="5"/>
  <c r="S42" i="5"/>
  <c r="Q42" i="5"/>
  <c r="U42" i="5"/>
  <c r="M41" i="5"/>
  <c r="O41" i="5"/>
  <c r="Q41" i="5"/>
  <c r="S41" i="5"/>
  <c r="U41" i="5"/>
  <c r="P41" i="5"/>
  <c r="T41" i="5"/>
  <c r="N41" i="5"/>
  <c r="R41" i="5"/>
  <c r="V41" i="5"/>
  <c r="M40" i="5"/>
  <c r="N40" i="5"/>
  <c r="P40" i="5"/>
  <c r="R40" i="5"/>
  <c r="T40" i="5"/>
  <c r="V40" i="5"/>
  <c r="Q40" i="5"/>
  <c r="U40" i="5"/>
  <c r="O40" i="5"/>
  <c r="S40" i="5"/>
  <c r="M39" i="5"/>
  <c r="O39" i="5"/>
  <c r="Q39" i="5"/>
  <c r="S39" i="5"/>
  <c r="U39" i="5"/>
  <c r="N39" i="5"/>
  <c r="R39" i="5"/>
  <c r="V39" i="5"/>
  <c r="P39" i="5"/>
  <c r="T39" i="5"/>
  <c r="M38" i="5"/>
  <c r="N38" i="5"/>
  <c r="P38" i="5"/>
  <c r="R38" i="5"/>
  <c r="T38" i="5"/>
  <c r="V38" i="5"/>
  <c r="O38" i="5"/>
  <c r="S38" i="5"/>
  <c r="Q38" i="5"/>
  <c r="U38" i="5"/>
  <c r="M37" i="5"/>
  <c r="O37" i="5"/>
  <c r="Q37" i="5"/>
  <c r="S37" i="5"/>
  <c r="U37" i="5"/>
  <c r="P37" i="5"/>
  <c r="T37" i="5"/>
  <c r="N37" i="5"/>
  <c r="R37" i="5"/>
  <c r="V37" i="5"/>
  <c r="M36" i="5"/>
  <c r="N36" i="5"/>
  <c r="P36" i="5"/>
  <c r="R36" i="5"/>
  <c r="T36" i="5"/>
  <c r="V36" i="5"/>
  <c r="Q36" i="5"/>
  <c r="U36" i="5"/>
  <c r="O36" i="5"/>
  <c r="S36" i="5"/>
  <c r="M35" i="5"/>
  <c r="O35" i="5"/>
  <c r="Q35" i="5"/>
  <c r="S35" i="5"/>
  <c r="U35" i="5"/>
  <c r="N35" i="5"/>
  <c r="R35" i="5"/>
  <c r="V35" i="5"/>
  <c r="P35" i="5"/>
  <c r="T35" i="5"/>
  <c r="M34" i="5"/>
  <c r="N34" i="5"/>
  <c r="P34" i="5"/>
  <c r="R34" i="5"/>
  <c r="T34" i="5"/>
  <c r="V34" i="5"/>
  <c r="O34" i="5"/>
  <c r="S34" i="5"/>
  <c r="Q34" i="5"/>
  <c r="U34" i="5"/>
  <c r="M33" i="5"/>
  <c r="O33" i="5"/>
  <c r="Q33" i="5"/>
  <c r="S33" i="5"/>
  <c r="U33" i="5"/>
  <c r="P33" i="5"/>
  <c r="T33" i="5"/>
  <c r="N33" i="5"/>
  <c r="R33" i="5"/>
  <c r="V33" i="5"/>
  <c r="M32" i="5"/>
  <c r="N32" i="5"/>
  <c r="P32" i="5"/>
  <c r="R32" i="5"/>
  <c r="T32" i="5"/>
  <c r="V32" i="5"/>
  <c r="Q32" i="5"/>
  <c r="U32" i="5"/>
  <c r="O32" i="5"/>
  <c r="S32" i="5"/>
  <c r="M31" i="5"/>
  <c r="O31" i="5"/>
  <c r="Q31" i="5"/>
  <c r="S31" i="5"/>
  <c r="U31" i="5"/>
  <c r="N31" i="5"/>
  <c r="R31" i="5"/>
  <c r="V31" i="5"/>
  <c r="P31" i="5"/>
  <c r="T31" i="5"/>
  <c r="M30" i="5"/>
  <c r="N30" i="5"/>
  <c r="P30" i="5"/>
  <c r="R30" i="5"/>
  <c r="T30" i="5"/>
  <c r="V30" i="5"/>
  <c r="O30" i="5"/>
  <c r="S30" i="5"/>
  <c r="Q30" i="5"/>
  <c r="U30" i="5"/>
  <c r="M29" i="5"/>
  <c r="O29" i="5"/>
  <c r="Q29" i="5"/>
  <c r="S29" i="5"/>
  <c r="U29" i="5"/>
  <c r="P29" i="5"/>
  <c r="T29" i="5"/>
  <c r="N29" i="5"/>
  <c r="R29" i="5"/>
  <c r="V29" i="5"/>
  <c r="M28" i="5"/>
  <c r="N28" i="5"/>
  <c r="P28" i="5"/>
  <c r="R28" i="5"/>
  <c r="T28" i="5"/>
  <c r="V28" i="5"/>
  <c r="Q28" i="5"/>
  <c r="U28" i="5"/>
  <c r="O28" i="5"/>
  <c r="S28" i="5"/>
  <c r="M27" i="5"/>
  <c r="O27" i="5"/>
  <c r="Q27" i="5"/>
  <c r="S27" i="5"/>
  <c r="U27" i="5"/>
  <c r="N27" i="5"/>
  <c r="R27" i="5"/>
  <c r="V27" i="5"/>
  <c r="P27" i="5"/>
  <c r="T27" i="5"/>
  <c r="M26" i="5"/>
  <c r="N26" i="5"/>
  <c r="P26" i="5"/>
  <c r="R26" i="5"/>
  <c r="T26" i="5"/>
  <c r="V26" i="5"/>
  <c r="O26" i="5"/>
  <c r="S26" i="5"/>
  <c r="Q26" i="5"/>
  <c r="U26" i="5"/>
  <c r="M25" i="5"/>
  <c r="O25" i="5"/>
  <c r="Q25" i="5"/>
  <c r="S25" i="5"/>
  <c r="U25" i="5"/>
  <c r="P25" i="5"/>
  <c r="T25" i="5"/>
  <c r="N25" i="5"/>
  <c r="R25" i="5"/>
  <c r="V25" i="5"/>
  <c r="M24" i="5"/>
  <c r="N24" i="5"/>
  <c r="P24" i="5"/>
  <c r="R24" i="5"/>
  <c r="T24" i="5"/>
  <c r="V24" i="5"/>
  <c r="Q24" i="5"/>
  <c r="U24" i="5"/>
  <c r="O24" i="5"/>
  <c r="S24" i="5"/>
  <c r="M23" i="5"/>
  <c r="O23" i="5"/>
  <c r="Q23" i="5"/>
  <c r="S23" i="5"/>
  <c r="U23" i="5"/>
  <c r="N23" i="5"/>
  <c r="R23" i="5"/>
  <c r="V23" i="5"/>
  <c r="P23" i="5"/>
  <c r="T23" i="5"/>
  <c r="M22" i="5"/>
  <c r="N22" i="5"/>
  <c r="P22" i="5"/>
  <c r="R22" i="5"/>
  <c r="T22" i="5"/>
  <c r="V22" i="5"/>
  <c r="O22" i="5"/>
  <c r="S22" i="5"/>
  <c r="Q22" i="5"/>
  <c r="U22" i="5"/>
  <c r="M21" i="5"/>
  <c r="N21" i="5"/>
  <c r="P21" i="5"/>
  <c r="R21" i="5"/>
  <c r="T21" i="5"/>
  <c r="O21" i="5"/>
  <c r="Q21" i="5"/>
  <c r="U21" i="5"/>
  <c r="S21" i="5"/>
  <c r="V21" i="5"/>
  <c r="M20" i="5"/>
  <c r="O20" i="5"/>
  <c r="Q20" i="5"/>
  <c r="S20" i="5"/>
  <c r="U20" i="5"/>
  <c r="N20" i="5"/>
  <c r="P20" i="5"/>
  <c r="R20" i="5"/>
  <c r="T20" i="5"/>
  <c r="V20" i="5"/>
  <c r="M19" i="5"/>
  <c r="N19" i="5"/>
  <c r="P19" i="5"/>
  <c r="R19" i="5"/>
  <c r="T19" i="5"/>
  <c r="V19" i="5"/>
  <c r="O19" i="5"/>
  <c r="Q19" i="5"/>
  <c r="S19" i="5"/>
  <c r="U19" i="5"/>
  <c r="M18" i="5"/>
  <c r="O18" i="5"/>
  <c r="Q18" i="5"/>
  <c r="S18" i="5"/>
  <c r="U18" i="5"/>
  <c r="N18" i="5"/>
  <c r="P18" i="5"/>
  <c r="R18" i="5"/>
  <c r="T18" i="5"/>
  <c r="V18" i="5"/>
  <c r="M17" i="5"/>
  <c r="N17" i="5"/>
  <c r="P17" i="5"/>
  <c r="R17" i="5"/>
  <c r="T17" i="5"/>
  <c r="V17" i="5"/>
  <c r="O17" i="5"/>
  <c r="Q17" i="5"/>
  <c r="S17" i="5"/>
  <c r="U17" i="5"/>
  <c r="M16" i="5"/>
  <c r="O16" i="5"/>
  <c r="Q16" i="5"/>
  <c r="S16" i="5"/>
  <c r="U16" i="5"/>
  <c r="N16" i="5"/>
  <c r="P16" i="5"/>
  <c r="R16" i="5"/>
  <c r="T16" i="5"/>
  <c r="V16" i="5"/>
  <c r="M15" i="5"/>
  <c r="N15" i="5"/>
  <c r="P15" i="5"/>
  <c r="R15" i="5"/>
  <c r="T15" i="5"/>
  <c r="V15" i="5"/>
  <c r="O15" i="5"/>
  <c r="Q15" i="5"/>
  <c r="S15" i="5"/>
  <c r="U15" i="5"/>
  <c r="M14" i="5"/>
  <c r="O14" i="5"/>
  <c r="Q14" i="5"/>
  <c r="S14" i="5"/>
  <c r="U14" i="5"/>
  <c r="N14" i="5"/>
  <c r="P14" i="5"/>
  <c r="R14" i="5"/>
  <c r="T14" i="5"/>
  <c r="V14" i="5"/>
  <c r="M13" i="5"/>
  <c r="N13" i="5"/>
  <c r="P13" i="5"/>
  <c r="R13" i="5"/>
  <c r="T13" i="5"/>
  <c r="V13" i="5"/>
  <c r="O13" i="5"/>
  <c r="Q13" i="5"/>
  <c r="S13" i="5"/>
  <c r="U13" i="5"/>
  <c r="M12" i="5"/>
  <c r="O12" i="5"/>
  <c r="Q12" i="5"/>
  <c r="S12" i="5"/>
  <c r="U12" i="5"/>
  <c r="N12" i="5"/>
  <c r="P12" i="5"/>
  <c r="R12" i="5"/>
  <c r="T12" i="5"/>
  <c r="V12" i="5"/>
  <c r="M11" i="5"/>
  <c r="N11" i="5"/>
  <c r="P11" i="5"/>
  <c r="R11" i="5"/>
  <c r="T11" i="5"/>
  <c r="V11" i="5"/>
  <c r="O11" i="5"/>
  <c r="Q11" i="5"/>
  <c r="S11" i="5"/>
  <c r="U11" i="5"/>
  <c r="M10" i="5"/>
  <c r="O10" i="5"/>
  <c r="Q10" i="5"/>
  <c r="S10" i="5"/>
  <c r="U10" i="5"/>
  <c r="N10" i="5"/>
  <c r="P10" i="5"/>
  <c r="R10" i="5"/>
  <c r="T10" i="5"/>
  <c r="V10" i="5"/>
  <c r="M9" i="5"/>
  <c r="N9" i="5"/>
  <c r="P9" i="5"/>
  <c r="R9" i="5"/>
  <c r="T9" i="5"/>
  <c r="V9" i="5"/>
  <c r="O9" i="5"/>
  <c r="Q9" i="5"/>
  <c r="S9" i="5"/>
  <c r="U9" i="5"/>
  <c r="M8" i="5"/>
  <c r="O8" i="5"/>
  <c r="Q8" i="5"/>
  <c r="S8" i="5"/>
  <c r="U8" i="5"/>
  <c r="N8" i="5"/>
  <c r="P8" i="5"/>
  <c r="R8" i="5"/>
  <c r="T8" i="5"/>
  <c r="V8" i="5"/>
  <c r="M7" i="5"/>
  <c r="N7" i="5"/>
  <c r="P7" i="5"/>
  <c r="R7" i="5"/>
  <c r="T7" i="5"/>
  <c r="V7" i="5"/>
  <c r="O7" i="5"/>
  <c r="Q7" i="5"/>
  <c r="S7" i="5"/>
  <c r="U7" i="5"/>
  <c r="M6" i="5"/>
  <c r="O6" i="5"/>
  <c r="Q6" i="5"/>
  <c r="S6" i="5"/>
  <c r="U6" i="5"/>
  <c r="N6" i="5"/>
  <c r="P6" i="5"/>
  <c r="R6" i="5"/>
  <c r="T6" i="5"/>
  <c r="V6" i="5"/>
  <c r="M5" i="5"/>
  <c r="N5" i="5"/>
  <c r="P5" i="5"/>
  <c r="R5" i="5"/>
  <c r="T5" i="5"/>
  <c r="V5" i="5"/>
  <c r="O5" i="5"/>
  <c r="Q5" i="5"/>
  <c r="S5" i="5"/>
  <c r="U5" i="5"/>
  <c r="M4" i="5"/>
  <c r="O4" i="5"/>
  <c r="Q4" i="5"/>
  <c r="S4" i="5"/>
  <c r="U4" i="5"/>
  <c r="N4" i="5"/>
  <c r="P4" i="5"/>
  <c r="R4" i="5"/>
  <c r="T4" i="5"/>
  <c r="V4" i="5"/>
  <c r="N3" i="5"/>
  <c r="P3" i="5"/>
  <c r="R3" i="5"/>
  <c r="T3" i="5"/>
  <c r="V3" i="5"/>
  <c r="O3" i="5"/>
  <c r="Q3" i="5"/>
  <c r="S3" i="5"/>
  <c r="U3" i="5"/>
  <c r="M2" i="5"/>
  <c r="N2" i="5"/>
  <c r="M3" i="5"/>
  <c r="B4" i="4"/>
  <c r="B5" i="4" s="1"/>
  <c r="B6" i="4" s="1"/>
  <c r="B7" i="4" s="1"/>
  <c r="B8" i="4" s="1"/>
  <c r="B9" i="4" s="1"/>
  <c r="B10" i="4" s="1"/>
  <c r="B11" i="4" s="1"/>
  <c r="B12" i="4" s="1"/>
  <c r="CW14" i="1" l="1"/>
  <c r="W16" i="1" s="1"/>
  <c r="ES14" i="1"/>
  <c r="AU16" i="1" s="1"/>
  <c r="CW79" i="1"/>
  <c r="W81" i="1" s="1"/>
  <c r="CK99" i="1"/>
  <c r="Q101" i="1" s="1"/>
  <c r="CK49" i="1"/>
  <c r="Q51" i="1" s="1"/>
  <c r="DI79" i="1"/>
  <c r="AC81" i="1" s="1"/>
  <c r="CW59" i="1"/>
  <c r="W61" i="1" s="1"/>
  <c r="BY39" i="1"/>
  <c r="K41" i="1" s="1"/>
  <c r="BY29" i="1"/>
  <c r="K31" i="1" s="1"/>
  <c r="EG69" i="1"/>
  <c r="AO71" i="1" s="1"/>
  <c r="BY69" i="1"/>
  <c r="K71" i="1" s="1"/>
  <c r="EG24" i="1"/>
  <c r="AO26" i="1" s="1"/>
  <c r="CK84" i="1"/>
  <c r="Q86" i="1" s="1"/>
  <c r="BY59" i="1"/>
  <c r="K61" i="1" s="1"/>
  <c r="DI39" i="1"/>
  <c r="AC41" i="1" s="1"/>
  <c r="BY74" i="1"/>
  <c r="K76" i="1" s="1"/>
  <c r="CK74" i="1"/>
  <c r="Q76" i="1" s="1"/>
  <c r="BY64" i="1"/>
  <c r="K66" i="1" s="1"/>
  <c r="CK44" i="1"/>
  <c r="Q46" i="1" s="1"/>
  <c r="DI64" i="1"/>
  <c r="AC66" i="1" s="1"/>
  <c r="BY34" i="1"/>
  <c r="K36" i="1" s="1"/>
  <c r="CW29" i="1"/>
  <c r="W31" i="1" s="1"/>
  <c r="BY24" i="1"/>
  <c r="K26" i="1" s="1"/>
  <c r="CW94" i="1"/>
  <c r="W96" i="1" s="1"/>
  <c r="DU79" i="1"/>
  <c r="AI81" i="1" s="1"/>
  <c r="BY44" i="1"/>
  <c r="K46" i="1" s="1"/>
  <c r="CK104" i="1"/>
  <c r="Q106" i="1" s="1"/>
  <c r="DI34" i="1"/>
  <c r="AC36" i="1" s="1"/>
  <c r="BY109" i="1"/>
  <c r="K111" i="1" s="1"/>
  <c r="CK109" i="1"/>
  <c r="Q111" i="1" s="1"/>
  <c r="CW69" i="1"/>
  <c r="W71" i="1" s="1"/>
  <c r="DU29" i="1"/>
  <c r="AI31" i="1" s="1"/>
  <c r="BY54" i="1"/>
  <c r="K56" i="1" s="1"/>
  <c r="BY99" i="1"/>
  <c r="K101" i="1" s="1"/>
  <c r="CW84" i="1"/>
  <c r="W86" i="1" s="1"/>
  <c r="DI84" i="1"/>
  <c r="AC86" i="1" s="1"/>
  <c r="BY94" i="1"/>
  <c r="K96" i="1" s="1"/>
  <c r="CK54" i="1"/>
  <c r="Q56" i="1" s="1"/>
  <c r="CW49" i="1"/>
  <c r="W51" i="1" s="1"/>
  <c r="CW109" i="1"/>
  <c r="W111" i="1" s="1"/>
  <c r="DI109" i="1"/>
  <c r="AC111" i="1" s="1"/>
  <c r="DU109" i="1"/>
  <c r="AI111" i="1" s="1"/>
  <c r="EG94" i="1"/>
  <c r="AO96" i="1" s="1"/>
  <c r="BY84" i="1"/>
  <c r="K86" i="1" s="1"/>
  <c r="CK94" i="1"/>
  <c r="Q96" i="1" s="1"/>
  <c r="CW89" i="1"/>
  <c r="W91" i="1" s="1"/>
  <c r="CW54" i="1"/>
  <c r="W56" i="1" s="1"/>
  <c r="DI99" i="1"/>
  <c r="AC101" i="1" s="1"/>
  <c r="DU99" i="1"/>
  <c r="AI101" i="1" s="1"/>
  <c r="ES84" i="1"/>
  <c r="AU86" i="1" s="1"/>
  <c r="BY49" i="1"/>
  <c r="K51" i="1" s="1"/>
  <c r="CK89" i="1"/>
  <c r="Q91" i="1" s="1"/>
  <c r="CW24" i="1"/>
  <c r="W26" i="1" s="1"/>
  <c r="CW39" i="1"/>
  <c r="W41" i="1" s="1"/>
  <c r="DI49" i="1"/>
  <c r="AC51" i="1" s="1"/>
  <c r="DU34" i="1"/>
  <c r="AI36" i="1" s="1"/>
  <c r="ES39" i="1"/>
  <c r="AU41" i="1" s="1"/>
  <c r="EG84" i="1"/>
  <c r="AO86" i="1" s="1"/>
  <c r="BY79" i="1"/>
  <c r="K81" i="1" s="1"/>
  <c r="BY104" i="1"/>
  <c r="K106" i="1" s="1"/>
  <c r="CK64" i="1"/>
  <c r="Q66" i="1" s="1"/>
  <c r="CK69" i="1"/>
  <c r="Q71" i="1" s="1"/>
  <c r="CW99" i="1"/>
  <c r="W101" i="1" s="1"/>
  <c r="DI74" i="1"/>
  <c r="AC76" i="1" s="1"/>
  <c r="DU39" i="1"/>
  <c r="AI41" i="1" s="1"/>
  <c r="EG89" i="1"/>
  <c r="AO91" i="1" s="1"/>
  <c r="EG109" i="1"/>
  <c r="AO111" i="1" s="1"/>
  <c r="CK79" i="1"/>
  <c r="Q81" i="1" s="1"/>
  <c r="CW104" i="1"/>
  <c r="W106" i="1" s="1"/>
  <c r="CW64" i="1"/>
  <c r="W66" i="1" s="1"/>
  <c r="DI44" i="1"/>
  <c r="AC46" i="1" s="1"/>
  <c r="DU54" i="1"/>
  <c r="AI56" i="1" s="1"/>
  <c r="DU49" i="1"/>
  <c r="AI51" i="1" s="1"/>
  <c r="ES24" i="1"/>
  <c r="AU26" i="1" s="1"/>
  <c r="BY89" i="1"/>
  <c r="K91" i="1" s="1"/>
  <c r="CK59" i="1"/>
  <c r="Q61" i="1" s="1"/>
  <c r="CW34" i="1"/>
  <c r="W36" i="1" s="1"/>
  <c r="CW44" i="1"/>
  <c r="W46" i="1" s="1"/>
  <c r="DI59" i="1"/>
  <c r="AC61" i="1" s="1"/>
  <c r="DI54" i="1"/>
  <c r="AC56" i="1" s="1"/>
  <c r="DU69" i="1"/>
  <c r="AI71" i="1" s="1"/>
  <c r="EG29" i="1"/>
  <c r="AO31" i="1" s="1"/>
  <c r="DI89" i="1"/>
  <c r="AC91" i="1" s="1"/>
  <c r="BM84" i="1"/>
  <c r="E86" i="1" s="1"/>
  <c r="DU74" i="1"/>
  <c r="AI76" i="1" s="1"/>
  <c r="DU89" i="1"/>
  <c r="AI91" i="1" s="1"/>
  <c r="EG49" i="1"/>
  <c r="AO51" i="1" s="1"/>
  <c r="ES79" i="1"/>
  <c r="AU81" i="1" s="1"/>
  <c r="FE44" i="1"/>
  <c r="BA46" i="1" s="1"/>
  <c r="FE39" i="1"/>
  <c r="BA41" i="1" s="1"/>
  <c r="CW74" i="1"/>
  <c r="W76" i="1" s="1"/>
  <c r="DI69" i="1"/>
  <c r="AC71" i="1" s="1"/>
  <c r="DI29" i="1"/>
  <c r="AC31" i="1" s="1"/>
  <c r="DI104" i="1"/>
  <c r="AC106" i="1" s="1"/>
  <c r="DU59" i="1"/>
  <c r="AI61" i="1" s="1"/>
  <c r="EG34" i="1"/>
  <c r="AO36" i="1" s="1"/>
  <c r="ES59" i="1"/>
  <c r="AU61" i="1" s="1"/>
  <c r="ES64" i="1"/>
  <c r="AU66" i="1" s="1"/>
  <c r="ES29" i="1"/>
  <c r="AU31" i="1" s="1"/>
  <c r="DI24" i="1"/>
  <c r="AC26" i="1" s="1"/>
  <c r="DU64" i="1"/>
  <c r="AI66" i="1" s="1"/>
  <c r="DU104" i="1"/>
  <c r="AI106" i="1" s="1"/>
  <c r="EG74" i="1"/>
  <c r="AO76" i="1" s="1"/>
  <c r="ES104" i="1"/>
  <c r="AU106" i="1" s="1"/>
  <c r="FE79" i="1"/>
  <c r="BA81" i="1" s="1"/>
  <c r="DI94" i="1"/>
  <c r="AC96" i="1" s="1"/>
  <c r="DU44" i="1"/>
  <c r="AI46" i="1" s="1"/>
  <c r="DU94" i="1"/>
  <c r="AI96" i="1" s="1"/>
  <c r="EG44" i="1"/>
  <c r="AO46" i="1" s="1"/>
  <c r="EG99" i="1"/>
  <c r="AO101" i="1" s="1"/>
  <c r="ES54" i="1"/>
  <c r="AU56" i="1" s="1"/>
  <c r="DU24" i="1"/>
  <c r="AI26" i="1" s="1"/>
  <c r="EG59" i="1"/>
  <c r="AO61" i="1" s="1"/>
  <c r="EG64" i="1"/>
  <c r="AO66" i="1" s="1"/>
  <c r="ES94" i="1"/>
  <c r="AU96" i="1" s="1"/>
  <c r="ES109" i="1"/>
  <c r="AU111" i="1" s="1"/>
  <c r="FE24" i="1"/>
  <c r="BA26" i="1" s="1"/>
  <c r="EG104" i="1"/>
  <c r="AO106" i="1" s="1"/>
  <c r="ES49" i="1"/>
  <c r="AU51" i="1" s="1"/>
  <c r="ES74" i="1"/>
  <c r="AU76" i="1" s="1"/>
  <c r="DI19" i="1"/>
  <c r="AC21" i="1" s="1"/>
  <c r="DU84" i="1"/>
  <c r="AI86" i="1" s="1"/>
  <c r="EG79" i="1"/>
  <c r="AO81" i="1" s="1"/>
  <c r="EG39" i="1"/>
  <c r="AO41" i="1" s="1"/>
  <c r="EG54" i="1"/>
  <c r="AO56" i="1" s="1"/>
  <c r="ES99" i="1"/>
  <c r="AU101" i="1" s="1"/>
  <c r="FE89" i="1"/>
  <c r="BA91" i="1" s="1"/>
  <c r="BM89" i="1"/>
  <c r="E91" i="1" s="1"/>
  <c r="BM39" i="1"/>
  <c r="E41" i="1" s="1"/>
  <c r="FE94" i="1"/>
  <c r="BA96" i="1" s="1"/>
  <c r="FE109" i="1"/>
  <c r="BA111" i="1" s="1"/>
  <c r="FE84" i="1"/>
  <c r="BA86" i="1" s="1"/>
  <c r="BM79" i="1"/>
  <c r="E81" i="1" s="1"/>
  <c r="EG19" i="1"/>
  <c r="AO21" i="1" s="1"/>
  <c r="BM69" i="1"/>
  <c r="E71" i="1" s="1"/>
  <c r="FE19" i="1"/>
  <c r="BA21" i="1" s="1"/>
  <c r="BM104" i="1"/>
  <c r="E106" i="1" s="1"/>
  <c r="FE14" i="1"/>
  <c r="BA16" i="1" s="1"/>
  <c r="BM49" i="1"/>
  <c r="E51" i="1" s="1"/>
  <c r="BY9" i="1"/>
  <c r="K11" i="1" s="1"/>
  <c r="FE74" i="1"/>
  <c r="BA76" i="1" s="1"/>
  <c r="FE104" i="1"/>
  <c r="BA106" i="1" s="1"/>
  <c r="BM29" i="1"/>
  <c r="E31" i="1" s="1"/>
  <c r="FE59" i="1"/>
  <c r="BA61" i="1" s="1"/>
  <c r="BM59" i="1"/>
  <c r="E61" i="1" s="1"/>
  <c r="BM19" i="1"/>
  <c r="E21" i="1" s="1"/>
  <c r="ES34" i="1"/>
  <c r="AU36" i="1" s="1"/>
  <c r="ES44" i="1"/>
  <c r="AU46" i="1" s="1"/>
  <c r="FE69" i="1"/>
  <c r="BA71" i="1" s="1"/>
  <c r="FE29" i="1"/>
  <c r="BA31" i="1" s="1"/>
  <c r="BM94" i="1"/>
  <c r="E96" i="1" s="1"/>
  <c r="BM99" i="1"/>
  <c r="E101" i="1" s="1"/>
  <c r="CW19" i="1"/>
  <c r="W21" i="1" s="1"/>
  <c r="DU14" i="1"/>
  <c r="AI16" i="1" s="1"/>
  <c r="EG14" i="1"/>
  <c r="AO16" i="1" s="1"/>
  <c r="FE99" i="1"/>
  <c r="BA101" i="1" s="1"/>
  <c r="BM64" i="1"/>
  <c r="E66" i="1" s="1"/>
  <c r="BM74" i="1"/>
  <c r="E76" i="1" s="1"/>
  <c r="DU19" i="1"/>
  <c r="AI21" i="1" s="1"/>
  <c r="FE9" i="1"/>
  <c r="BA11" i="1" s="1"/>
  <c r="EG9" i="1"/>
  <c r="AO11" i="1" s="1"/>
  <c r="ES9" i="1"/>
  <c r="AU11" i="1" s="1"/>
  <c r="FE49" i="1"/>
  <c r="BA51" i="1" s="1"/>
  <c r="FE64" i="1"/>
  <c r="BA66" i="1" s="1"/>
  <c r="BM44" i="1"/>
  <c r="E46" i="1" s="1"/>
  <c r="BM54" i="1"/>
  <c r="E56" i="1" s="1"/>
  <c r="ES19" i="1"/>
  <c r="AU21" i="1" s="1"/>
  <c r="CW9" i="1"/>
  <c r="W11" i="1" s="1"/>
  <c r="BM14" i="1"/>
  <c r="E16" i="1" s="1"/>
  <c r="ES89" i="1"/>
  <c r="AU91" i="1" s="1"/>
  <c r="ES69" i="1"/>
  <c r="AU71" i="1" s="1"/>
  <c r="FE34" i="1"/>
  <c r="BA36" i="1" s="1"/>
  <c r="FE54" i="1"/>
  <c r="BA56" i="1" s="1"/>
  <c r="BM24" i="1"/>
  <c r="E26" i="1" s="1"/>
  <c r="BM34" i="1"/>
  <c r="E36" i="1" s="1"/>
  <c r="BM109" i="1"/>
  <c r="E111" i="1" s="1"/>
  <c r="DU9" i="1"/>
  <c r="AI11" i="1" s="1"/>
  <c r="BY19" i="1"/>
  <c r="K21" i="1" s="1"/>
  <c r="CK19" i="1"/>
  <c r="Q21" i="1" s="1"/>
  <c r="CK24" i="1"/>
  <c r="Q26" i="1" s="1"/>
  <c r="CK9" i="1"/>
  <c r="Q11" i="1" s="1"/>
  <c r="CK39" i="1"/>
  <c r="Q41" i="1" s="1"/>
  <c r="CK34" i="1"/>
  <c r="Q36" i="1" s="1"/>
  <c r="CK29" i="1"/>
  <c r="Q31" i="1" s="1"/>
  <c r="CK14" i="1"/>
  <c r="Q16" i="1" s="1"/>
  <c r="DI14" i="1"/>
  <c r="AC16" i="1" s="1"/>
  <c r="BY14" i="1"/>
  <c r="K16" i="1" s="1"/>
  <c r="DI9" i="1"/>
  <c r="AC11" i="1" s="1"/>
  <c r="BM9" i="1"/>
  <c r="E11" i="1" s="1"/>
</calcChain>
</file>

<file path=xl/sharedStrings.xml><?xml version="1.0" encoding="utf-8"?>
<sst xmlns="http://schemas.openxmlformats.org/spreadsheetml/2006/main" count="781" uniqueCount="170">
  <si>
    <t>Backlog</t>
  </si>
  <si>
    <t>In Progress</t>
  </si>
  <si>
    <t>Research</t>
  </si>
  <si>
    <t>Pending</t>
  </si>
  <si>
    <t>Cancelled</t>
  </si>
  <si>
    <t>Testing</t>
  </si>
  <si>
    <t>On Hold</t>
  </si>
  <si>
    <t>Completed</t>
  </si>
  <si>
    <t>Project</t>
  </si>
  <si>
    <t>Assigned To</t>
  </si>
  <si>
    <t>Priority</t>
  </si>
  <si>
    <t>Start Date</t>
  </si>
  <si>
    <t>Due Date</t>
  </si>
  <si>
    <t>Team Members</t>
  </si>
  <si>
    <t>Kanban Boards</t>
  </si>
  <si>
    <t>Projects</t>
  </si>
  <si>
    <t>% Progress</t>
  </si>
  <si>
    <t>Heading/Status Options</t>
  </si>
  <si>
    <t>Task Name</t>
  </si>
  <si>
    <t>Kanban Board</t>
  </si>
  <si>
    <t>General</t>
  </si>
  <si>
    <t>Priorities</t>
  </si>
  <si>
    <t>Low</t>
  </si>
  <si>
    <t>Medium</t>
  </si>
  <si>
    <t>High</t>
  </si>
  <si>
    <t>Progress Percents</t>
  </si>
  <si>
    <t>Status</t>
  </si>
  <si>
    <t>Count of Task Name</t>
  </si>
  <si>
    <t>Kanban Board Number</t>
  </si>
  <si>
    <t>Project Number</t>
  </si>
  <si>
    <t>Team Member Number</t>
  </si>
  <si>
    <t>New</t>
  </si>
  <si>
    <t>Status 1</t>
  </si>
  <si>
    <t>Status 2</t>
  </si>
  <si>
    <t>Status 3</t>
  </si>
  <si>
    <t>Status 4</t>
  </si>
  <si>
    <t>Status 5</t>
  </si>
  <si>
    <t>Status 6</t>
  </si>
  <si>
    <t>Status 7</t>
  </si>
  <si>
    <t>Status 8</t>
  </si>
  <si>
    <t>Status 9</t>
  </si>
  <si>
    <t>Status 10</t>
  </si>
  <si>
    <t>TRUE</t>
  </si>
  <si>
    <t>FALSE</t>
  </si>
  <si>
    <t>STATUSREF1</t>
  </si>
  <si>
    <t>STATUSREF2</t>
  </si>
  <si>
    <t>STATUSREF3</t>
  </si>
  <si>
    <t>STATUSREF4</t>
  </si>
  <si>
    <t>STATUSREF5</t>
  </si>
  <si>
    <t>STATUSREF6</t>
  </si>
  <si>
    <t>STATUSREF7</t>
  </si>
  <si>
    <t>STATUSREF8</t>
  </si>
  <si>
    <t>STATUSREF9</t>
  </si>
  <si>
    <t>STATUSREF10</t>
  </si>
  <si>
    <t>REFERENCE ENTRY?</t>
  </si>
  <si>
    <t>Kanban RowVlookup</t>
  </si>
  <si>
    <t>Kanban Sheet Row</t>
  </si>
  <si>
    <t>Actual Data Row in Kanban Prep</t>
  </si>
  <si>
    <t>Status #</t>
  </si>
  <si>
    <t>Task Entry Count</t>
  </si>
  <si>
    <t>Priority:</t>
  </si>
  <si>
    <t>Status Heading 1</t>
  </si>
  <si>
    <t>Status Heading 2</t>
  </si>
  <si>
    <t>Status Heading 3</t>
  </si>
  <si>
    <t>Status Heading 4</t>
  </si>
  <si>
    <t>Status Heading 5</t>
  </si>
  <si>
    <t>Status Heading 6</t>
  </si>
  <si>
    <t>Status Heading 7</t>
  </si>
  <si>
    <t>Status Heading 8</t>
  </si>
  <si>
    <t>Status Heading 9</t>
  </si>
  <si>
    <t>Overdue</t>
  </si>
  <si>
    <t>No</t>
  </si>
  <si>
    <t>Overdue:</t>
  </si>
  <si>
    <t>Heading/Status Columns</t>
  </si>
  <si>
    <t>Previous spin button value:</t>
  </si>
  <si>
    <t>Count of Project</t>
  </si>
  <si>
    <t>Title</t>
  </si>
  <si>
    <t>Content</t>
  </si>
  <si>
    <t>Customization difficulty (1-3)</t>
  </si>
  <si>
    <t>Explanation of sheets</t>
  </si>
  <si>
    <t>How to customize</t>
  </si>
  <si>
    <t>1)</t>
  </si>
  <si>
    <t>2)</t>
  </si>
  <si>
    <t>3)</t>
  </si>
  <si>
    <t>Navigation</t>
  </si>
  <si>
    <t>This workbook is intended to help organize, track, and visualize your workflow.</t>
  </si>
  <si>
    <t>Setup</t>
  </si>
  <si>
    <t>Projects &amp; Tasks</t>
  </si>
  <si>
    <t>Kanban</t>
  </si>
  <si>
    <t>Dashboard</t>
  </si>
  <si>
    <t>The first tab allows for the setup of groups, projects, team members, and the number of columns in the Kanban board.</t>
  </si>
  <si>
    <t>The third sheet is the Kanban board, where tasks can be visualized.</t>
  </si>
  <si>
    <t>Setup:</t>
  </si>
  <si>
    <t>Dashboard:</t>
  </si>
  <si>
    <t>To customize the number of columns in the Kanban board, use the arrow buttons to add or remove columns. The board cannot have more than 9 columns or fewer than 4 columns.</t>
  </si>
  <si>
    <t>Kanban:</t>
  </si>
  <si>
    <t>Projects &amp; Tasks:</t>
  </si>
  <si>
    <t>The second tab is where data is entered.</t>
  </si>
  <si>
    <t>The final tab (Dashboard) contains graphs providing summaries of the data.</t>
  </si>
  <si>
    <t>This sheet allows the user to enter the status drop-down menu options, Kanban boards, projects and employees and to select the number of boards to be displayed on the Kanban sheet.</t>
  </si>
  <si>
    <t>This is the Kanban board where tasks can be visualized. Tasks with green dots are low priority, tasks with yellow dots are medium priority, and tasks with red dots are high priority. This sheet also allows the user to quickly apply various filters to see only those tasks associated with certain teams, employees, etc.</t>
  </si>
  <si>
    <t>This sheet contains graphs to summarize the project &amp; task data visually and is fully automated.</t>
  </si>
  <si>
    <t>"Setup"</t>
  </si>
  <si>
    <t>In order to add new Kanban boards, projects, or team members, type in the next available cell in the applicable table.</t>
  </si>
  <si>
    <t>"Projects &amp; Tasks"</t>
  </si>
  <si>
    <t>This sheet is used to record and update all current tasks, along with their relevant parameters using drop-down menus based on the Setup sheet data for convenience.</t>
  </si>
  <si>
    <t>Enter tasks into the table and assign them to projects, team members, etc. Once a task is entered, the information about that task can be updated any time by changing the information in each field. To remove a task, select the row of data for that task by left-clicking and dragging. Then press the "delete" button on your keyboard.</t>
  </si>
  <si>
    <t>"Kanban"</t>
  </si>
  <si>
    <t>Any time data is entered/updated on the Projects &amp; Tasks sheet, the "Refresh Workbook" button must be clicked on the Kanban tab in order for the new data to be reflected throughout the workbook.</t>
  </si>
  <si>
    <t>Filters can be applied by clicking on any of the buttons in each area (Project, Assigned To, etc.). There is a button in the top right corner of each area with 3 check marks. Clicking this button will allow the user to select multiple items to include in the filter. For example, to select 3 of 5 projects to view.</t>
  </si>
  <si>
    <t xml:space="preserve"> If you would like to clear and of the filters, just click the button with the red x in in the upper right hand corner of each box containing filter options.</t>
  </si>
  <si>
    <t>"Dashboard"</t>
  </si>
  <si>
    <t>See instructions for "Kanban" sheet to see how to apply filters. All charts on this tab are automated, provided the "Refresh Workbook" button has been clicked on the Kanban tab after changes have been made to the Projects &amp; Tasks.</t>
  </si>
  <si>
    <r>
      <rPr>
        <u/>
        <sz val="10"/>
        <color theme="1"/>
        <rFont val="Arial"/>
        <family val="2"/>
        <charset val="161"/>
      </rPr>
      <t>The "Heading/Status" options table is limited to</t>
    </r>
    <r>
      <rPr>
        <u/>
        <sz val="10"/>
        <color rgb="FFFF0000"/>
        <rFont val="Arial"/>
        <family val="2"/>
        <charset val="161"/>
      </rPr>
      <t xml:space="preserve"> 9</t>
    </r>
    <r>
      <rPr>
        <u/>
        <sz val="10"/>
        <color theme="1"/>
        <rFont val="Arial"/>
        <family val="2"/>
        <charset val="161"/>
      </rPr>
      <t xml:space="preserve"> total entries</t>
    </r>
    <r>
      <rPr>
        <sz val="10"/>
        <color theme="1"/>
        <rFont val="Arial"/>
        <family val="2"/>
      </rPr>
      <t>, but the other tables don't have an entry limit. The "Status/Heading Columns" button changes the number of columns visible in the Kanban board.</t>
    </r>
  </si>
  <si>
    <t>Team #1</t>
  </si>
  <si>
    <t>Team #2</t>
  </si>
  <si>
    <t>Team #3</t>
  </si>
  <si>
    <t>Team #4</t>
  </si>
  <si>
    <t>Team #5</t>
  </si>
  <si>
    <t>Project #1</t>
  </si>
  <si>
    <t>Project #2</t>
  </si>
  <si>
    <t>Project #3</t>
  </si>
  <si>
    <t>Project #4</t>
  </si>
  <si>
    <t>Project #5</t>
  </si>
  <si>
    <t>Project #6</t>
  </si>
  <si>
    <t>Project #7</t>
  </si>
  <si>
    <t>Project #8</t>
  </si>
  <si>
    <t>Joe</t>
  </si>
  <si>
    <t>Sam</t>
  </si>
  <si>
    <t>Brenda</t>
  </si>
  <si>
    <t>David</t>
  </si>
  <si>
    <t>Michael</t>
  </si>
  <si>
    <t>Elizabeth</t>
  </si>
  <si>
    <t>Task 1</t>
  </si>
  <si>
    <t>Task 2</t>
  </si>
  <si>
    <t>Special Task 1</t>
  </si>
  <si>
    <t>Special Task 2</t>
  </si>
  <si>
    <t>Task 4</t>
  </si>
  <si>
    <t>Task 5</t>
  </si>
  <si>
    <t>Special Task 3</t>
  </si>
  <si>
    <t>Task 7</t>
  </si>
  <si>
    <t>Task 8</t>
  </si>
  <si>
    <t>Task 9</t>
  </si>
  <si>
    <t>Task 10</t>
  </si>
  <si>
    <t>Task 11</t>
  </si>
  <si>
    <t>Task 12</t>
  </si>
  <si>
    <t>Task 13</t>
  </si>
  <si>
    <t>Task 14</t>
  </si>
  <si>
    <t>Task 15</t>
  </si>
  <si>
    <t>Special Task 4</t>
  </si>
  <si>
    <t>Task 16</t>
  </si>
  <si>
    <t>Task 17</t>
  </si>
  <si>
    <t>Task 18</t>
  </si>
  <si>
    <t>Task 19</t>
  </si>
  <si>
    <t>Ετικέτες γραμμής</t>
  </si>
  <si>
    <t>Γενικό Άθροισμα</t>
  </si>
  <si>
    <t>Ετικέτες στήλης</t>
  </si>
  <si>
    <t>Row Labels</t>
  </si>
  <si>
    <t>#N/A</t>
  </si>
  <si>
    <t>Related To Online Templates</t>
  </si>
  <si>
    <t>Our templates is compatible with online service but some templates that including macros feature is still not supported with Excel Online</t>
  </si>
  <si>
    <t>Here is some hints that replace our macros in case of using Online Template</t>
  </si>
  <si>
    <t>Referesh / Update Data</t>
  </si>
  <si>
    <r>
      <t xml:space="preserve">Some of our templates include </t>
    </r>
    <r>
      <rPr>
        <b/>
        <sz val="10"/>
        <color theme="1"/>
        <rFont val="Arial"/>
        <family val="2"/>
      </rPr>
      <t xml:space="preserve">Referesh/Update data </t>
    </r>
    <r>
      <rPr>
        <sz val="10"/>
        <color theme="1"/>
        <rFont val="Arial"/>
        <family val="2"/>
      </rPr>
      <t>macro button that can be replaced with Referesh All tool in Excel Online ribbon</t>
    </r>
  </si>
  <si>
    <t>Full Screen</t>
  </si>
  <si>
    <r>
      <t xml:space="preserve">Some of our templates have </t>
    </r>
    <r>
      <rPr>
        <b/>
        <sz val="10"/>
        <color theme="1"/>
        <rFont val="Arial"/>
        <family val="2"/>
      </rPr>
      <t xml:space="preserve">Full Screen </t>
    </r>
    <r>
      <rPr>
        <sz val="10"/>
        <color theme="1"/>
        <rFont val="Arial"/>
        <family val="2"/>
      </rPr>
      <t xml:space="preserve">macro button that can be replaced with the itself web browser full screen tool </t>
    </r>
  </si>
  <si>
    <t>Other Macros / Buttons</t>
  </si>
  <si>
    <r>
      <t xml:space="preserve">Other macros is applied on less than ~15% of our templats can be overcome by transferring to Desktop App </t>
    </r>
    <r>
      <rPr>
        <b/>
        <sz val="10"/>
        <color theme="1"/>
        <rFont val="Arial"/>
        <family val="2"/>
      </rPr>
      <t>"Open in Desktop App"</t>
    </r>
    <r>
      <rPr>
        <sz val="10"/>
        <color theme="1"/>
        <rFont val="Arial"/>
        <family val="2"/>
      </rPr>
      <t xml:space="preserve"> button</t>
    </r>
  </si>
  <si>
    <t>Open in Desktop App</t>
  </si>
  <si>
    <t>To open online template using Desktop App be sure that you signed in to your Microsoft account / Onedrive account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</si>
</sst>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29" x14ac:knownFonts="1">
    <font>
      <sz val="11"/>
      <color theme="1"/>
      <name val="Calibri"/>
      <family val="2"/>
      <scheme val="minor"/>
    </font>
    <font>
      <sz val="11"/>
      <color theme="1"/>
      <name val="Calibri"/>
      <family val="2"/>
      <scheme val="minor"/>
    </font>
    <font>
      <sz val="14"/>
      <color theme="1" tint="0.249977111117893"/>
      <name val="Calibri"/>
      <family val="2"/>
      <scheme val="minor"/>
    </font>
    <font>
      <sz val="11"/>
      <color theme="1" tint="0.249977111117893"/>
      <name val="Calibri"/>
      <family val="2"/>
      <scheme val="minor"/>
    </font>
    <font>
      <b/>
      <u/>
      <sz val="11"/>
      <color theme="1"/>
      <name val="Calibri"/>
      <family val="2"/>
      <scheme val="minor"/>
    </font>
    <font>
      <sz val="8"/>
      <name val="Calibri"/>
      <family val="2"/>
      <scheme val="minor"/>
    </font>
    <font>
      <b/>
      <sz val="9"/>
      <color theme="1" tint="0.249977111117893"/>
      <name val="Calibri"/>
      <family val="2"/>
      <scheme val="minor"/>
    </font>
    <font>
      <sz val="9"/>
      <color theme="1" tint="0.249977111117893"/>
      <name val="Calibri"/>
      <family val="2"/>
      <scheme val="minor"/>
    </font>
    <font>
      <b/>
      <sz val="11"/>
      <color theme="1"/>
      <name val="Calibri"/>
      <family val="2"/>
      <scheme val="minor"/>
    </font>
    <font>
      <u/>
      <sz val="11"/>
      <color theme="10"/>
      <name val="Calibri"/>
      <family val="2"/>
      <scheme val="minor"/>
    </font>
    <font>
      <b/>
      <sz val="10"/>
      <color theme="0"/>
      <name val="Arial"/>
      <family val="2"/>
    </font>
    <font>
      <sz val="10"/>
      <color theme="1"/>
      <name val="Arial"/>
      <family val="2"/>
    </font>
    <font>
      <sz val="10"/>
      <color theme="1" tint="0.249977111117893"/>
      <name val="Arial"/>
      <family val="2"/>
    </font>
    <font>
      <b/>
      <sz val="10"/>
      <color theme="1" tint="0.249977111117893"/>
      <name val="Arial"/>
      <family val="2"/>
    </font>
    <font>
      <b/>
      <sz val="10"/>
      <color rgb="FFE8E8E8"/>
      <name val="Arial"/>
      <family val="2"/>
    </font>
    <font>
      <b/>
      <sz val="11"/>
      <color theme="0"/>
      <name val="Arial"/>
      <family val="2"/>
    </font>
    <font>
      <sz val="10"/>
      <color theme="0"/>
      <name val="Arial"/>
      <family val="2"/>
    </font>
    <font>
      <b/>
      <sz val="10"/>
      <color theme="1"/>
      <name val="Arial"/>
      <family val="2"/>
    </font>
    <font>
      <sz val="11"/>
      <color theme="1"/>
      <name val="Arial"/>
      <family val="2"/>
    </font>
    <font>
      <sz val="12"/>
      <color theme="1"/>
      <name val="Calibri"/>
      <family val="2"/>
      <scheme val="minor"/>
    </font>
    <font>
      <b/>
      <u/>
      <sz val="11"/>
      <color theme="1"/>
      <name val="Arial"/>
      <family val="2"/>
    </font>
    <font>
      <b/>
      <u/>
      <sz val="10"/>
      <color theme="0"/>
      <name val="Arial"/>
      <family val="2"/>
    </font>
    <font>
      <b/>
      <i/>
      <sz val="10"/>
      <color theme="0"/>
      <name val="Arial"/>
      <family val="2"/>
    </font>
    <font>
      <b/>
      <u/>
      <sz val="11"/>
      <color theme="0"/>
      <name val="Calibri"/>
      <family val="2"/>
      <scheme val="minor"/>
    </font>
    <font>
      <sz val="11"/>
      <color rgb="FFFF0000"/>
      <name val="Calibri"/>
      <family val="2"/>
      <scheme val="minor"/>
    </font>
    <font>
      <u/>
      <sz val="10"/>
      <color theme="1"/>
      <name val="Arial"/>
      <family val="2"/>
      <charset val="161"/>
    </font>
    <font>
      <u/>
      <sz val="10"/>
      <color rgb="FFFF0000"/>
      <name val="Arial"/>
      <family val="2"/>
      <charset val="161"/>
    </font>
    <font>
      <sz val="10"/>
      <color theme="1"/>
      <name val="Arial"/>
      <family val="2"/>
      <charset val="161"/>
    </font>
    <font>
      <i/>
      <sz val="10"/>
      <color rgb="FF000000"/>
      <name val="Arial"/>
      <family val="2"/>
    </font>
  </fonts>
  <fills count="7">
    <fill>
      <patternFill patternType="none"/>
    </fill>
    <fill>
      <patternFill patternType="gray125"/>
    </fill>
    <fill>
      <patternFill patternType="solid">
        <fgColor theme="0" tint="-4.9989318521683403E-2"/>
        <bgColor indexed="64"/>
      </patternFill>
    </fill>
    <fill>
      <patternFill patternType="solid">
        <fgColor rgb="FFE8E8E8"/>
        <bgColor indexed="64"/>
      </patternFill>
    </fill>
    <fill>
      <patternFill patternType="solid">
        <fgColor theme="0"/>
        <bgColor indexed="64"/>
      </patternFill>
    </fill>
    <fill>
      <patternFill patternType="solid">
        <fgColor rgb="FF50B47F"/>
        <bgColor indexed="64"/>
      </patternFill>
    </fill>
    <fill>
      <patternFill patternType="solid">
        <fgColor rgb="FF8FCFAD"/>
        <bgColor indexed="64"/>
      </patternFill>
    </fill>
  </fills>
  <borders count="11">
    <border>
      <left/>
      <right/>
      <top/>
      <bottom/>
      <diagonal/>
    </border>
    <border>
      <left/>
      <right/>
      <top/>
      <bottom style="medium">
        <color auto="1"/>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top/>
      <bottom style="thin">
        <color indexed="64"/>
      </bottom>
      <diagonal/>
    </border>
    <border>
      <left style="thin">
        <color indexed="64"/>
      </left>
      <right style="thin">
        <color indexed="64"/>
      </right>
      <top style="thin">
        <color indexed="64"/>
      </top>
      <bottom/>
      <diagonal/>
    </border>
    <border>
      <left/>
      <right/>
      <top/>
      <bottom style="double">
        <color theme="0"/>
      </bottom>
      <diagonal/>
    </border>
    <border>
      <left style="thin">
        <color indexed="64"/>
      </left>
      <right/>
      <top/>
      <bottom style="thin">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s>
  <cellStyleXfs count="4">
    <xf numFmtId="0" fontId="0" fillId="0" borderId="0"/>
    <xf numFmtId="9" fontId="1" fillId="0" borderId="0" applyFont="0" applyFill="0" applyBorder="0" applyAlignment="0" applyProtection="0"/>
    <xf numFmtId="0" fontId="9" fillId="0" borderId="0" applyNumberFormat="0" applyFill="0" applyBorder="0" applyAlignment="0" applyProtection="0"/>
    <xf numFmtId="0" fontId="11" fillId="0" borderId="0"/>
  </cellStyleXfs>
  <cellXfs count="78">
    <xf numFmtId="0" fontId="0" fillId="0" borderId="0" xfId="0"/>
    <xf numFmtId="0" fontId="3" fillId="0" borderId="0" xfId="0" applyFont="1" applyAlignment="1" applyProtection="1">
      <alignment vertical="center"/>
      <protection hidden="1"/>
    </xf>
    <xf numFmtId="0" fontId="3" fillId="2" borderId="0" xfId="0" applyFont="1" applyFill="1" applyAlignment="1" applyProtection="1">
      <alignment vertical="center"/>
      <protection hidden="1"/>
    </xf>
    <xf numFmtId="0" fontId="4" fillId="0" borderId="0" xfId="0" applyFont="1"/>
    <xf numFmtId="0" fontId="4" fillId="0" borderId="0" xfId="0" applyFont="1" applyAlignment="1">
      <alignment horizontal="center" vertical="center"/>
    </xf>
    <xf numFmtId="0" fontId="0" fillId="0" borderId="0" xfId="0" applyAlignment="1">
      <alignment horizontal="center" vertical="center"/>
    </xf>
    <xf numFmtId="9" fontId="0" fillId="0" borderId="0" xfId="0" applyNumberFormat="1"/>
    <xf numFmtId="0" fontId="7" fillId="0" borderId="0" xfId="0" applyFont="1" applyAlignment="1" applyProtection="1">
      <alignment horizontal="left" vertical="center"/>
      <protection hidden="1"/>
    </xf>
    <xf numFmtId="14" fontId="7" fillId="0" borderId="0" xfId="1" applyNumberFormat="1" applyFont="1" applyFill="1" applyAlignment="1" applyProtection="1">
      <alignment horizontal="left" vertical="center"/>
      <protection hidden="1"/>
    </xf>
    <xf numFmtId="0" fontId="0" fillId="0" borderId="2" xfId="0" applyBorder="1" applyAlignment="1">
      <alignment horizontal="center" vertical="center"/>
    </xf>
    <xf numFmtId="14" fontId="0" fillId="0" borderId="0" xfId="1" applyNumberFormat="1" applyFont="1"/>
    <xf numFmtId="0" fontId="0" fillId="0" borderId="0" xfId="0" pivotButton="1"/>
    <xf numFmtId="0" fontId="0" fillId="0" borderId="0" xfId="0" applyAlignment="1">
      <alignment horizontal="left"/>
    </xf>
    <xf numFmtId="0" fontId="6" fillId="0" borderId="0" xfId="0" applyFont="1" applyAlignment="1" applyProtection="1">
      <alignment vertical="center" wrapText="1"/>
      <protection hidden="1"/>
    </xf>
    <xf numFmtId="0" fontId="0" fillId="0" borderId="3" xfId="0" applyBorder="1"/>
    <xf numFmtId="0" fontId="0" fillId="0" borderId="4" xfId="0" applyBorder="1"/>
    <xf numFmtId="14" fontId="0" fillId="0" borderId="4" xfId="1" applyNumberFormat="1" applyFont="1" applyBorder="1"/>
    <xf numFmtId="0" fontId="8" fillId="0" borderId="5" xfId="0" applyFont="1" applyBorder="1" applyAlignment="1">
      <alignment horizontal="center" vertical="center"/>
    </xf>
    <xf numFmtId="0" fontId="11" fillId="0" borderId="0" xfId="0" applyFont="1"/>
    <xf numFmtId="0" fontId="12" fillId="0" borderId="0" xfId="0" applyFont="1" applyAlignment="1" applyProtection="1">
      <alignment vertical="center"/>
      <protection hidden="1"/>
    </xf>
    <xf numFmtId="0" fontId="12" fillId="0" borderId="0" xfId="0" applyFont="1" applyAlignment="1" applyProtection="1">
      <alignment horizontal="left" vertical="center"/>
      <protection hidden="1"/>
    </xf>
    <xf numFmtId="14" fontId="12" fillId="0" borderId="0" xfId="1" applyNumberFormat="1" applyFont="1" applyFill="1" applyAlignment="1" applyProtection="1">
      <alignment horizontal="left" vertical="center"/>
      <protection hidden="1"/>
    </xf>
    <xf numFmtId="0" fontId="0" fillId="6" borderId="0" xfId="0" applyFill="1"/>
    <xf numFmtId="0" fontId="0" fillId="4" borderId="0" xfId="0" applyFill="1"/>
    <xf numFmtId="0" fontId="18" fillId="0" borderId="0" xfId="0" applyFont="1" applyAlignment="1">
      <alignment horizontal="center" vertical="center"/>
    </xf>
    <xf numFmtId="0" fontId="11" fillId="0" borderId="0" xfId="0" applyFont="1" applyAlignment="1">
      <alignment horizontal="center" vertical="center"/>
    </xf>
    <xf numFmtId="0" fontId="18" fillId="0" borderId="0" xfId="0" applyFont="1" applyAlignment="1">
      <alignment vertical="center"/>
    </xf>
    <xf numFmtId="0" fontId="11" fillId="0" borderId="0" xfId="0" applyFont="1" applyAlignment="1">
      <alignment horizontal="left"/>
    </xf>
    <xf numFmtId="0" fontId="15" fillId="4" borderId="0" xfId="0" applyFont="1" applyFill="1" applyAlignment="1" applyProtection="1">
      <alignment horizontal="center" vertical="center"/>
      <protection hidden="1"/>
    </xf>
    <xf numFmtId="0" fontId="11" fillId="0" borderId="2" xfId="0" applyFont="1" applyBorder="1" applyAlignment="1">
      <alignment horizontal="center" vertical="center"/>
    </xf>
    <xf numFmtId="0" fontId="10" fillId="5" borderId="2" xfId="0" applyFont="1" applyFill="1" applyBorder="1" applyAlignment="1" applyProtection="1">
      <alignment horizontal="center" vertical="center"/>
      <protection hidden="1"/>
    </xf>
    <xf numFmtId="0" fontId="10" fillId="5" borderId="6" xfId="0" applyFont="1" applyFill="1" applyBorder="1" applyAlignment="1" applyProtection="1">
      <alignment horizontal="center" vertical="center"/>
      <protection hidden="1"/>
    </xf>
    <xf numFmtId="0" fontId="20" fillId="0" borderId="0" xfId="0" applyFont="1" applyAlignment="1">
      <alignment horizontal="center" vertical="center"/>
    </xf>
    <xf numFmtId="0" fontId="17" fillId="0" borderId="0" xfId="0" applyFont="1"/>
    <xf numFmtId="0" fontId="11" fillId="0" borderId="0" xfId="0" applyFont="1" applyAlignment="1">
      <alignment wrapText="1"/>
    </xf>
    <xf numFmtId="0" fontId="17" fillId="0" borderId="0" xfId="0" quotePrefix="1" applyFont="1" applyAlignment="1">
      <alignment horizontal="right" vertical="top"/>
    </xf>
    <xf numFmtId="0" fontId="11" fillId="0" borderId="0" xfId="0" applyFont="1" applyAlignment="1">
      <alignment vertical="top" wrapText="1"/>
    </xf>
    <xf numFmtId="0" fontId="17" fillId="0" borderId="0" xfId="0" applyFont="1" applyAlignment="1">
      <alignment horizontal="right" vertical="top"/>
    </xf>
    <xf numFmtId="0" fontId="17" fillId="0" borderId="0" xfId="0" applyFont="1" applyAlignment="1">
      <alignment vertical="top"/>
    </xf>
    <xf numFmtId="0" fontId="11" fillId="0" borderId="0" xfId="0" quotePrefix="1" applyFont="1" applyAlignment="1">
      <alignment horizontal="right" vertical="top"/>
    </xf>
    <xf numFmtId="0" fontId="11" fillId="0" borderId="0" xfId="0" applyFont="1" applyAlignment="1">
      <alignment horizontal="right" vertical="top"/>
    </xf>
    <xf numFmtId="0" fontId="22" fillId="5" borderId="0" xfId="0" applyFont="1" applyFill="1" applyAlignment="1">
      <alignment horizontal="center" vertical="center"/>
    </xf>
    <xf numFmtId="0" fontId="16" fillId="5" borderId="0" xfId="0" applyFont="1" applyFill="1"/>
    <xf numFmtId="0" fontId="21" fillId="5" borderId="0" xfId="2" applyFont="1" applyFill="1" applyAlignment="1">
      <alignment vertical="center"/>
    </xf>
    <xf numFmtId="0" fontId="16" fillId="5" borderId="0" xfId="0" applyFont="1" applyFill="1" applyAlignment="1">
      <alignment vertical="center"/>
    </xf>
    <xf numFmtId="0" fontId="11" fillId="0" borderId="0" xfId="0" applyFont="1" applyAlignment="1">
      <alignment horizontal="right"/>
    </xf>
    <xf numFmtId="0" fontId="23" fillId="5" borderId="0" xfId="2" applyFont="1" applyFill="1" applyAlignment="1">
      <alignment vertical="center"/>
    </xf>
    <xf numFmtId="14" fontId="11" fillId="0" borderId="0" xfId="0" applyNumberFormat="1" applyFont="1" applyAlignment="1">
      <alignment horizontal="center" vertical="center"/>
    </xf>
    <xf numFmtId="9" fontId="11" fillId="0" borderId="0" xfId="1" applyFont="1" applyBorder="1" applyAlignment="1">
      <alignment horizontal="center" vertical="center"/>
    </xf>
    <xf numFmtId="0" fontId="24" fillId="0" borderId="0" xfId="0" applyFont="1"/>
    <xf numFmtId="0" fontId="11" fillId="0" borderId="0" xfId="3"/>
    <xf numFmtId="0" fontId="17" fillId="0" borderId="0" xfId="0" applyFont="1" applyAlignment="1">
      <alignment horizontal="right"/>
    </xf>
    <xf numFmtId="0" fontId="9" fillId="0" borderId="0" xfId="2"/>
    <xf numFmtId="0" fontId="17" fillId="0" borderId="0" xfId="0" applyFont="1" applyAlignment="1">
      <alignment horizontal="right" vertical="top"/>
    </xf>
    <xf numFmtId="0" fontId="11" fillId="0" borderId="0" xfId="0" applyFont="1" applyAlignment="1">
      <alignment horizontal="left" vertical="top" wrapText="1"/>
    </xf>
    <xf numFmtId="0" fontId="11" fillId="0" borderId="0" xfId="0" applyFont="1" applyAlignment="1">
      <alignment vertical="top" wrapText="1"/>
    </xf>
    <xf numFmtId="0" fontId="27" fillId="0" borderId="0" xfId="0" applyFont="1" applyAlignment="1">
      <alignment vertical="top" wrapText="1"/>
    </xf>
    <xf numFmtId="0" fontId="11" fillId="0" borderId="0" xfId="0" applyFont="1" applyAlignment="1">
      <alignment wrapText="1"/>
    </xf>
    <xf numFmtId="0" fontId="17" fillId="0" borderId="0" xfId="0" applyFont="1" applyAlignment="1">
      <alignment vertical="top" wrapText="1"/>
    </xf>
    <xf numFmtId="0" fontId="10" fillId="5" borderId="8" xfId="0" applyFont="1" applyFill="1" applyBorder="1" applyAlignment="1" applyProtection="1">
      <alignment horizontal="center" vertical="center"/>
      <protection hidden="1"/>
    </xf>
    <xf numFmtId="0" fontId="10" fillId="5" borderId="5" xfId="0" applyFont="1" applyFill="1" applyBorder="1" applyAlignment="1" applyProtection="1">
      <alignment horizontal="center" vertical="center"/>
      <protection hidden="1"/>
    </xf>
    <xf numFmtId="0" fontId="19" fillId="0" borderId="6" xfId="0" applyFont="1" applyBorder="1" applyAlignment="1">
      <alignment horizontal="center" vertical="center"/>
    </xf>
    <xf numFmtId="0" fontId="19" fillId="0" borderId="9" xfId="0" applyFont="1" applyBorder="1" applyAlignment="1">
      <alignment horizontal="center" vertical="center"/>
    </xf>
    <xf numFmtId="0" fontId="19" fillId="0" borderId="10" xfId="0" applyFont="1" applyBorder="1" applyAlignment="1">
      <alignment horizontal="center" vertical="center"/>
    </xf>
    <xf numFmtId="0" fontId="0" fillId="0" borderId="6" xfId="0" applyBorder="1" applyAlignment="1">
      <alignment horizontal="center"/>
    </xf>
    <xf numFmtId="0" fontId="0" fillId="0" borderId="9" xfId="0" applyBorder="1" applyAlignment="1">
      <alignment horizontal="center"/>
    </xf>
    <xf numFmtId="0" fontId="0" fillId="0" borderId="10" xfId="0" applyBorder="1" applyAlignment="1">
      <alignment horizontal="center"/>
    </xf>
    <xf numFmtId="0" fontId="11" fillId="6" borderId="0" xfId="0" applyFont="1" applyFill="1" applyAlignment="1" applyProtection="1">
      <alignment horizontal="center" vertical="center"/>
      <protection hidden="1"/>
    </xf>
    <xf numFmtId="0" fontId="15" fillId="5" borderId="7" xfId="0" applyFont="1" applyFill="1" applyBorder="1" applyAlignment="1" applyProtection="1">
      <alignment horizontal="left" vertical="center"/>
      <protection hidden="1"/>
    </xf>
    <xf numFmtId="0" fontId="13" fillId="0" borderId="0" xfId="0" applyFont="1" applyAlignment="1" applyProtection="1">
      <alignment horizontal="center" vertical="center" wrapText="1"/>
      <protection hidden="1"/>
    </xf>
    <xf numFmtId="0" fontId="14" fillId="3" borderId="0" xfId="0" applyFont="1" applyFill="1" applyAlignment="1" applyProtection="1">
      <alignment horizontal="center" vertical="center" wrapText="1"/>
      <protection hidden="1"/>
    </xf>
    <xf numFmtId="0" fontId="13" fillId="0" borderId="0" xfId="0" applyFont="1" applyAlignment="1" applyProtection="1">
      <alignment horizontal="left" vertical="center"/>
      <protection hidden="1"/>
    </xf>
    <xf numFmtId="14" fontId="13" fillId="0" borderId="0" xfId="0" applyNumberFormat="1" applyFont="1" applyAlignment="1" applyProtection="1">
      <alignment horizontal="center" vertical="center"/>
      <protection hidden="1"/>
    </xf>
    <xf numFmtId="0" fontId="6" fillId="0" borderId="0" xfId="0" applyFont="1" applyAlignment="1" applyProtection="1">
      <alignment horizontal="center" vertical="center" wrapText="1"/>
      <protection hidden="1"/>
    </xf>
    <xf numFmtId="14" fontId="6" fillId="0" borderId="0" xfId="0" applyNumberFormat="1" applyFont="1" applyAlignment="1" applyProtection="1">
      <alignment horizontal="center" vertical="center"/>
      <protection hidden="1"/>
    </xf>
    <xf numFmtId="0" fontId="6" fillId="0" borderId="0" xfId="0" applyFont="1" applyAlignment="1" applyProtection="1">
      <alignment horizontal="left" vertical="center"/>
      <protection hidden="1"/>
    </xf>
    <xf numFmtId="0" fontId="2" fillId="2" borderId="1" xfId="0" applyFont="1" applyFill="1" applyBorder="1" applyAlignment="1" applyProtection="1">
      <alignment horizontal="left" vertical="center"/>
      <protection hidden="1"/>
    </xf>
    <xf numFmtId="0" fontId="4" fillId="0" borderId="0" xfId="0" applyFont="1" applyAlignment="1">
      <alignment horizontal="center"/>
    </xf>
  </cellXfs>
  <cellStyles count="4">
    <cellStyle name="Hyperlink" xfId="2" builtinId="8"/>
    <cellStyle name="Normal" xfId="0" builtinId="0"/>
    <cellStyle name="Normal 2 2" xfId="3" xr:uid="{1F748CBE-887D-49FE-8648-85E7CCABA8FE}"/>
    <cellStyle name="Percent" xfId="1" builtinId="5"/>
  </cellStyles>
  <dxfs count="1163">
    <dxf>
      <numFmt numFmtId="0" formatCode="General"/>
    </dxf>
    <dxf>
      <numFmt numFmtId="0" formatCode="General"/>
    </dxf>
    <dxf>
      <font>
        <b val="0"/>
        <i val="0"/>
        <strike val="0"/>
        <condense val="0"/>
        <extend val="0"/>
        <outline val="0"/>
        <shadow val="0"/>
        <u val="none"/>
        <vertAlign val="baseline"/>
        <sz val="11"/>
        <color theme="1"/>
        <name val="Calibri"/>
        <family val="2"/>
        <scheme val="minor"/>
      </font>
      <numFmt numFmtId="164" formatCode="m/d/yyyy"/>
    </dxf>
    <dxf>
      <font>
        <b val="0"/>
        <i val="0"/>
        <strike val="0"/>
        <condense val="0"/>
        <extend val="0"/>
        <outline val="0"/>
        <shadow val="0"/>
        <u val="none"/>
        <vertAlign val="baseline"/>
        <sz val="11"/>
        <color theme="1"/>
        <name val="Calibri"/>
        <family val="2"/>
        <scheme val="minor"/>
      </font>
      <numFmt numFmtId="164" formatCode="m/d/yyyy"/>
    </dxf>
    <dxf>
      <font>
        <b/>
        <i val="0"/>
        <strike val="0"/>
        <condense val="0"/>
        <extend val="0"/>
        <outline val="0"/>
        <shadow val="0"/>
        <u/>
        <vertAlign val="baseline"/>
        <sz val="11"/>
        <color theme="1"/>
        <name val="Calibri"/>
        <family val="2"/>
        <scheme val="minor"/>
      </font>
    </dxf>
    <dxf>
      <font>
        <b/>
        <i val="0"/>
        <color rgb="FF480000"/>
      </font>
      <fill>
        <patternFill>
          <bgColor rgb="FFFFDA65"/>
        </patternFill>
      </fill>
    </dxf>
    <dxf>
      <font>
        <b/>
        <i val="0"/>
        <color rgb="FF480000"/>
      </font>
      <fill>
        <patternFill>
          <bgColor rgb="FFFFDA65"/>
        </patternFill>
      </fill>
    </dxf>
    <dxf>
      <fill>
        <patternFill>
          <bgColor theme="0"/>
        </patternFill>
      </fill>
    </dxf>
    <dxf>
      <fill>
        <patternFill>
          <bgColor theme="0"/>
        </patternFill>
      </fill>
    </dxf>
    <dxf>
      <font>
        <color theme="0"/>
      </font>
      <fill>
        <patternFill>
          <bgColor theme="0"/>
        </patternFill>
      </fill>
    </dxf>
    <dxf>
      <fill>
        <patternFill>
          <bgColor rgb="FFE8E8E8"/>
        </patternFill>
      </fill>
    </dxf>
    <dxf>
      <font>
        <b/>
        <i val="0"/>
        <color rgb="FF480000"/>
      </font>
      <fill>
        <patternFill>
          <bgColor rgb="FFFFDA65"/>
        </patternFill>
      </fill>
    </dxf>
    <dxf>
      <font>
        <b/>
        <i val="0"/>
        <color rgb="FF480000"/>
      </font>
      <fill>
        <patternFill>
          <bgColor rgb="FFFFDA65"/>
        </patternFill>
      </fill>
    </dxf>
    <dxf>
      <fill>
        <patternFill>
          <bgColor theme="0"/>
        </patternFill>
      </fill>
    </dxf>
    <dxf>
      <fill>
        <patternFill>
          <bgColor theme="0"/>
        </patternFill>
      </fill>
    </dxf>
    <dxf>
      <font>
        <color theme="0"/>
      </font>
      <fill>
        <patternFill>
          <bgColor theme="0"/>
        </patternFill>
      </fill>
    </dxf>
    <dxf>
      <fill>
        <patternFill>
          <bgColor rgb="FFE8E8E8"/>
        </patternFill>
      </fill>
    </dxf>
    <dxf>
      <font>
        <b/>
        <i val="0"/>
        <color rgb="FF480000"/>
      </font>
      <fill>
        <patternFill>
          <bgColor rgb="FFFFDA65"/>
        </patternFill>
      </fill>
    </dxf>
    <dxf>
      <font>
        <b/>
        <i val="0"/>
        <color rgb="FF480000"/>
      </font>
      <fill>
        <patternFill>
          <bgColor rgb="FFFFDA65"/>
        </patternFill>
      </fill>
    </dxf>
    <dxf>
      <fill>
        <patternFill>
          <bgColor theme="0"/>
        </patternFill>
      </fill>
    </dxf>
    <dxf>
      <fill>
        <patternFill>
          <bgColor theme="0"/>
        </patternFill>
      </fill>
    </dxf>
    <dxf>
      <font>
        <color theme="0"/>
      </font>
      <fill>
        <patternFill>
          <bgColor theme="0"/>
        </patternFill>
      </fill>
    </dxf>
    <dxf>
      <fill>
        <patternFill>
          <bgColor rgb="FFE8E8E8"/>
        </patternFill>
      </fill>
    </dxf>
    <dxf>
      <font>
        <b/>
        <i val="0"/>
        <color rgb="FF480000"/>
      </font>
      <fill>
        <patternFill>
          <bgColor rgb="FFFFDA65"/>
        </patternFill>
      </fill>
    </dxf>
    <dxf>
      <font>
        <b/>
        <i val="0"/>
        <color rgb="FF480000"/>
      </font>
      <fill>
        <patternFill>
          <bgColor rgb="FFFFDA65"/>
        </patternFill>
      </fill>
    </dxf>
    <dxf>
      <fill>
        <patternFill>
          <bgColor theme="0"/>
        </patternFill>
      </fill>
    </dxf>
    <dxf>
      <fill>
        <patternFill>
          <bgColor theme="0"/>
        </patternFill>
      </fill>
    </dxf>
    <dxf>
      <font>
        <color theme="0"/>
      </font>
      <fill>
        <patternFill>
          <bgColor theme="0"/>
        </patternFill>
      </fill>
    </dxf>
    <dxf>
      <fill>
        <patternFill>
          <bgColor rgb="FFE8E8E8"/>
        </patternFill>
      </fill>
    </dxf>
    <dxf>
      <font>
        <b/>
        <i val="0"/>
        <color rgb="FF480000"/>
      </font>
      <fill>
        <patternFill>
          <bgColor rgb="FFFFDA65"/>
        </patternFill>
      </fill>
    </dxf>
    <dxf>
      <font>
        <b/>
        <i val="0"/>
        <color rgb="FF480000"/>
      </font>
      <fill>
        <patternFill>
          <bgColor rgb="FFFFDA65"/>
        </patternFill>
      </fill>
    </dxf>
    <dxf>
      <fill>
        <patternFill>
          <bgColor theme="0"/>
        </patternFill>
      </fill>
    </dxf>
    <dxf>
      <fill>
        <patternFill>
          <bgColor theme="0"/>
        </patternFill>
      </fill>
    </dxf>
    <dxf>
      <font>
        <color theme="0"/>
      </font>
      <fill>
        <patternFill>
          <bgColor theme="0"/>
        </patternFill>
      </fill>
    </dxf>
    <dxf>
      <fill>
        <patternFill>
          <bgColor rgb="FFE8E8E8"/>
        </patternFill>
      </fill>
    </dxf>
    <dxf>
      <font>
        <b/>
        <i val="0"/>
        <color rgb="FF480000"/>
      </font>
      <fill>
        <patternFill>
          <bgColor rgb="FFFFDA65"/>
        </patternFill>
      </fill>
    </dxf>
    <dxf>
      <font>
        <b/>
        <i val="0"/>
        <color rgb="FF480000"/>
      </font>
      <fill>
        <patternFill>
          <bgColor rgb="FFFFDA65"/>
        </patternFill>
      </fill>
    </dxf>
    <dxf>
      <fill>
        <patternFill>
          <bgColor theme="0"/>
        </patternFill>
      </fill>
    </dxf>
    <dxf>
      <fill>
        <patternFill>
          <bgColor theme="0"/>
        </patternFill>
      </fill>
    </dxf>
    <dxf>
      <font>
        <color theme="0"/>
      </font>
      <fill>
        <patternFill>
          <bgColor theme="0"/>
        </patternFill>
      </fill>
    </dxf>
    <dxf>
      <fill>
        <patternFill>
          <bgColor rgb="FFE8E8E8"/>
        </patternFill>
      </fill>
    </dxf>
    <dxf>
      <font>
        <b/>
        <i val="0"/>
        <color rgb="FF480000"/>
      </font>
      <fill>
        <patternFill>
          <bgColor rgb="FFFFDA65"/>
        </patternFill>
      </fill>
    </dxf>
    <dxf>
      <font>
        <b/>
        <i val="0"/>
        <color rgb="FF480000"/>
      </font>
      <fill>
        <patternFill>
          <bgColor rgb="FFFFDA65"/>
        </patternFill>
      </fill>
    </dxf>
    <dxf>
      <fill>
        <patternFill>
          <bgColor theme="0"/>
        </patternFill>
      </fill>
    </dxf>
    <dxf>
      <fill>
        <patternFill>
          <bgColor theme="0"/>
        </patternFill>
      </fill>
    </dxf>
    <dxf>
      <font>
        <color theme="0"/>
      </font>
      <fill>
        <patternFill>
          <bgColor theme="0"/>
        </patternFill>
      </fill>
    </dxf>
    <dxf>
      <fill>
        <patternFill>
          <bgColor rgb="FFE8E8E8"/>
        </patternFill>
      </fill>
    </dxf>
    <dxf>
      <font>
        <b/>
        <i val="0"/>
        <color rgb="FF480000"/>
      </font>
      <fill>
        <patternFill>
          <bgColor rgb="FFFFDA65"/>
        </patternFill>
      </fill>
    </dxf>
    <dxf>
      <font>
        <b/>
        <i val="0"/>
        <color rgb="FF480000"/>
      </font>
      <fill>
        <patternFill>
          <bgColor rgb="FFFFDA65"/>
        </patternFill>
      </fill>
    </dxf>
    <dxf>
      <fill>
        <patternFill>
          <bgColor theme="0"/>
        </patternFill>
      </fill>
    </dxf>
    <dxf>
      <fill>
        <patternFill>
          <bgColor theme="0"/>
        </patternFill>
      </fill>
    </dxf>
    <dxf>
      <font>
        <color theme="0"/>
      </font>
      <fill>
        <patternFill>
          <bgColor theme="0"/>
        </patternFill>
      </fill>
    </dxf>
    <dxf>
      <fill>
        <patternFill>
          <bgColor rgb="FFE8E8E8"/>
        </patternFill>
      </fill>
    </dxf>
    <dxf>
      <font>
        <b/>
        <i val="0"/>
        <color rgb="FF480000"/>
      </font>
      <fill>
        <patternFill>
          <bgColor rgb="FFFFDA65"/>
        </patternFill>
      </fill>
    </dxf>
    <dxf>
      <font>
        <b/>
        <i val="0"/>
        <color rgb="FF480000"/>
      </font>
      <fill>
        <patternFill>
          <bgColor rgb="FFFFDA65"/>
        </patternFill>
      </fill>
    </dxf>
    <dxf>
      <fill>
        <patternFill>
          <bgColor theme="0"/>
        </patternFill>
      </fill>
    </dxf>
    <dxf>
      <fill>
        <patternFill>
          <bgColor theme="0"/>
        </patternFill>
      </fill>
    </dxf>
    <dxf>
      <font>
        <color theme="0"/>
      </font>
      <fill>
        <patternFill>
          <bgColor theme="0"/>
        </patternFill>
      </fill>
    </dxf>
    <dxf>
      <fill>
        <patternFill>
          <bgColor rgb="FFE8E8E8"/>
        </patternFill>
      </fill>
    </dxf>
    <dxf>
      <font>
        <b/>
        <i val="0"/>
        <color rgb="FF480000"/>
      </font>
      <fill>
        <patternFill>
          <bgColor rgb="FFFFDA65"/>
        </patternFill>
      </fill>
    </dxf>
    <dxf>
      <font>
        <b/>
        <i val="0"/>
        <color rgb="FF480000"/>
      </font>
      <fill>
        <patternFill>
          <bgColor rgb="FFFFDA65"/>
        </patternFill>
      </fill>
    </dxf>
    <dxf>
      <fill>
        <patternFill>
          <bgColor theme="0"/>
        </patternFill>
      </fill>
    </dxf>
    <dxf>
      <fill>
        <patternFill>
          <bgColor theme="0"/>
        </patternFill>
      </fill>
    </dxf>
    <dxf>
      <font>
        <color theme="0"/>
      </font>
      <fill>
        <patternFill>
          <bgColor theme="0"/>
        </patternFill>
      </fill>
    </dxf>
    <dxf>
      <fill>
        <patternFill>
          <bgColor rgb="FFE8E8E8"/>
        </patternFill>
      </fill>
    </dxf>
    <dxf>
      <font>
        <b/>
        <i val="0"/>
        <color rgb="FF480000"/>
      </font>
      <fill>
        <patternFill>
          <bgColor rgb="FFFFDA65"/>
        </patternFill>
      </fill>
    </dxf>
    <dxf>
      <font>
        <b/>
        <i val="0"/>
        <color rgb="FF480000"/>
      </font>
      <fill>
        <patternFill>
          <bgColor rgb="FFFFDA65"/>
        </patternFill>
      </fill>
    </dxf>
    <dxf>
      <fill>
        <patternFill>
          <bgColor theme="0"/>
        </patternFill>
      </fill>
    </dxf>
    <dxf>
      <fill>
        <patternFill>
          <bgColor theme="0"/>
        </patternFill>
      </fill>
    </dxf>
    <dxf>
      <font>
        <color theme="0"/>
      </font>
      <fill>
        <patternFill>
          <bgColor theme="0"/>
        </patternFill>
      </fill>
    </dxf>
    <dxf>
      <fill>
        <patternFill>
          <bgColor rgb="FFE8E8E8"/>
        </patternFill>
      </fill>
    </dxf>
    <dxf>
      <font>
        <b/>
        <i val="0"/>
        <color rgb="FF480000"/>
      </font>
      <fill>
        <patternFill>
          <bgColor rgb="FFFFDA65"/>
        </patternFill>
      </fill>
    </dxf>
    <dxf>
      <font>
        <b/>
        <i val="0"/>
        <color rgb="FF480000"/>
      </font>
      <fill>
        <patternFill>
          <bgColor rgb="FFFFDA65"/>
        </patternFill>
      </fill>
    </dxf>
    <dxf>
      <fill>
        <patternFill>
          <bgColor theme="0"/>
        </patternFill>
      </fill>
    </dxf>
    <dxf>
      <fill>
        <patternFill>
          <bgColor theme="0"/>
        </patternFill>
      </fill>
    </dxf>
    <dxf>
      <font>
        <color theme="0"/>
      </font>
      <fill>
        <patternFill>
          <bgColor theme="0"/>
        </patternFill>
      </fill>
    </dxf>
    <dxf>
      <fill>
        <patternFill>
          <bgColor rgb="FFE8E8E8"/>
        </patternFill>
      </fill>
    </dxf>
    <dxf>
      <font>
        <b/>
        <i val="0"/>
        <color rgb="FF480000"/>
      </font>
      <fill>
        <patternFill>
          <bgColor rgb="FFFFDA65"/>
        </patternFill>
      </fill>
    </dxf>
    <dxf>
      <font>
        <b/>
        <i val="0"/>
        <color rgb="FF480000"/>
      </font>
      <fill>
        <patternFill>
          <bgColor rgb="FFFFDA65"/>
        </patternFill>
      </fill>
    </dxf>
    <dxf>
      <fill>
        <patternFill>
          <bgColor theme="0"/>
        </patternFill>
      </fill>
    </dxf>
    <dxf>
      <fill>
        <patternFill>
          <bgColor theme="0"/>
        </patternFill>
      </fill>
    </dxf>
    <dxf>
      <font>
        <color theme="0"/>
      </font>
      <fill>
        <patternFill>
          <bgColor theme="0"/>
        </patternFill>
      </fill>
    </dxf>
    <dxf>
      <fill>
        <patternFill>
          <bgColor rgb="FFE8E8E8"/>
        </patternFill>
      </fill>
    </dxf>
    <dxf>
      <font>
        <b/>
        <i val="0"/>
        <color rgb="FF480000"/>
      </font>
      <fill>
        <patternFill>
          <bgColor rgb="FFFFDA65"/>
        </patternFill>
      </fill>
    </dxf>
    <dxf>
      <font>
        <b/>
        <i val="0"/>
        <color rgb="FF480000"/>
      </font>
      <fill>
        <patternFill>
          <bgColor rgb="FFFFDA65"/>
        </patternFill>
      </fill>
    </dxf>
    <dxf>
      <fill>
        <patternFill>
          <bgColor theme="0"/>
        </patternFill>
      </fill>
    </dxf>
    <dxf>
      <fill>
        <patternFill>
          <bgColor theme="0"/>
        </patternFill>
      </fill>
    </dxf>
    <dxf>
      <font>
        <color theme="0"/>
      </font>
      <fill>
        <patternFill>
          <bgColor theme="0"/>
        </patternFill>
      </fill>
    </dxf>
    <dxf>
      <fill>
        <patternFill>
          <bgColor rgb="FFE8E8E8"/>
        </patternFill>
      </fill>
    </dxf>
    <dxf>
      <font>
        <b/>
        <i val="0"/>
        <color rgb="FF480000"/>
      </font>
      <fill>
        <patternFill>
          <bgColor rgb="FFFFDA65"/>
        </patternFill>
      </fill>
    </dxf>
    <dxf>
      <font>
        <b/>
        <i val="0"/>
        <color rgb="FF480000"/>
      </font>
      <fill>
        <patternFill>
          <bgColor rgb="FFFFDA65"/>
        </patternFill>
      </fill>
    </dxf>
    <dxf>
      <fill>
        <patternFill>
          <bgColor theme="0"/>
        </patternFill>
      </fill>
    </dxf>
    <dxf>
      <fill>
        <patternFill>
          <bgColor theme="0"/>
        </patternFill>
      </fill>
    </dxf>
    <dxf>
      <font>
        <color theme="0"/>
      </font>
      <fill>
        <patternFill>
          <bgColor theme="0"/>
        </patternFill>
      </fill>
    </dxf>
    <dxf>
      <fill>
        <patternFill>
          <bgColor rgb="FFE8E8E8"/>
        </patternFill>
      </fill>
    </dxf>
    <dxf>
      <font>
        <b/>
        <i val="0"/>
        <color rgb="FF480000"/>
      </font>
      <fill>
        <patternFill>
          <bgColor rgb="FFFFDA65"/>
        </patternFill>
      </fill>
    </dxf>
    <dxf>
      <font>
        <b/>
        <i val="0"/>
        <color rgb="FF480000"/>
      </font>
      <fill>
        <patternFill>
          <bgColor rgb="FFFFDA65"/>
        </patternFill>
      </fill>
    </dxf>
    <dxf>
      <fill>
        <patternFill>
          <bgColor theme="0"/>
        </patternFill>
      </fill>
    </dxf>
    <dxf>
      <font>
        <b/>
        <i val="0"/>
        <color rgb="FF480000"/>
      </font>
      <fill>
        <patternFill>
          <bgColor rgb="FFFFDA65"/>
        </patternFill>
      </fill>
    </dxf>
    <dxf>
      <font>
        <b/>
        <i val="0"/>
        <color rgb="FF480000"/>
      </font>
      <fill>
        <patternFill>
          <bgColor rgb="FFFFDA65"/>
        </patternFill>
      </fill>
    </dxf>
    <dxf>
      <fill>
        <patternFill>
          <bgColor theme="0"/>
        </patternFill>
      </fill>
    </dxf>
    <dxf>
      <fill>
        <patternFill>
          <bgColor theme="0"/>
        </patternFill>
      </fill>
    </dxf>
    <dxf>
      <font>
        <color theme="0"/>
      </font>
      <fill>
        <patternFill>
          <bgColor theme="0"/>
        </patternFill>
      </fill>
    </dxf>
    <dxf>
      <fill>
        <patternFill>
          <bgColor rgb="FFE8E8E8"/>
        </patternFill>
      </fill>
    </dxf>
    <dxf>
      <font>
        <b/>
        <i val="0"/>
        <color rgb="FF480000"/>
      </font>
      <fill>
        <patternFill>
          <bgColor rgb="FFFFDA65"/>
        </patternFill>
      </fill>
    </dxf>
    <dxf>
      <font>
        <b/>
        <i val="0"/>
        <color rgb="FF480000"/>
      </font>
      <fill>
        <patternFill>
          <bgColor rgb="FFFFDA65"/>
        </patternFill>
      </fill>
    </dxf>
    <dxf>
      <fill>
        <patternFill>
          <bgColor theme="0"/>
        </patternFill>
      </fill>
    </dxf>
    <dxf>
      <font>
        <b/>
        <i val="0"/>
        <color rgb="FF480000"/>
      </font>
      <fill>
        <patternFill>
          <bgColor rgb="FFFFDA65"/>
        </patternFill>
      </fill>
    </dxf>
    <dxf>
      <font>
        <b/>
        <i val="0"/>
        <color rgb="FF480000"/>
      </font>
      <fill>
        <patternFill>
          <bgColor rgb="FFFFDA65"/>
        </patternFill>
      </fill>
    </dxf>
    <dxf>
      <fill>
        <patternFill>
          <bgColor theme="0"/>
        </patternFill>
      </fill>
    </dxf>
    <dxf>
      <fill>
        <patternFill>
          <bgColor theme="0"/>
        </patternFill>
      </fill>
    </dxf>
    <dxf>
      <font>
        <color theme="0"/>
      </font>
      <fill>
        <patternFill>
          <bgColor theme="0"/>
        </patternFill>
      </fill>
    </dxf>
    <dxf>
      <fill>
        <patternFill>
          <bgColor rgb="FFE8E8E8"/>
        </patternFill>
      </fill>
    </dxf>
    <dxf>
      <font>
        <b/>
        <i val="0"/>
        <color rgb="FF480000"/>
      </font>
      <fill>
        <patternFill>
          <bgColor rgb="FFFFDA65"/>
        </patternFill>
      </fill>
    </dxf>
    <dxf>
      <font>
        <b/>
        <i val="0"/>
        <color rgb="FF480000"/>
      </font>
      <fill>
        <patternFill>
          <bgColor rgb="FFFFDA65"/>
        </patternFill>
      </fill>
    </dxf>
    <dxf>
      <fill>
        <patternFill>
          <bgColor theme="0"/>
        </patternFill>
      </fill>
    </dxf>
    <dxf>
      <font>
        <b/>
        <i val="0"/>
        <color rgb="FF480000"/>
      </font>
      <fill>
        <patternFill>
          <bgColor rgb="FFFFDA65"/>
        </patternFill>
      </fill>
    </dxf>
    <dxf>
      <font>
        <b/>
        <i val="0"/>
        <color rgb="FF480000"/>
      </font>
      <fill>
        <patternFill>
          <bgColor rgb="FFFFDA65"/>
        </patternFill>
      </fill>
    </dxf>
    <dxf>
      <fill>
        <patternFill>
          <bgColor theme="0"/>
        </patternFill>
      </fill>
    </dxf>
    <dxf>
      <fill>
        <patternFill>
          <bgColor theme="0"/>
        </patternFill>
      </fill>
    </dxf>
    <dxf>
      <font>
        <color theme="0"/>
      </font>
      <fill>
        <patternFill>
          <bgColor theme="0"/>
        </patternFill>
      </fill>
    </dxf>
    <dxf>
      <fill>
        <patternFill>
          <bgColor rgb="FFE8E8E8"/>
        </patternFill>
      </fill>
    </dxf>
    <dxf>
      <font>
        <b/>
        <i val="0"/>
        <color rgb="FF480000"/>
      </font>
      <fill>
        <patternFill>
          <bgColor rgb="FFFFDA65"/>
        </patternFill>
      </fill>
    </dxf>
    <dxf>
      <font>
        <b/>
        <i val="0"/>
        <color rgb="FF480000"/>
      </font>
      <fill>
        <patternFill>
          <bgColor rgb="FFFFDA65"/>
        </patternFill>
      </fill>
    </dxf>
    <dxf>
      <fill>
        <patternFill>
          <bgColor theme="0"/>
        </patternFill>
      </fill>
    </dxf>
    <dxf>
      <fill>
        <patternFill>
          <bgColor theme="0"/>
        </patternFill>
      </fill>
    </dxf>
    <dxf>
      <font>
        <color theme="0"/>
      </font>
      <fill>
        <patternFill>
          <bgColor theme="0"/>
        </patternFill>
      </fill>
    </dxf>
    <dxf>
      <fill>
        <patternFill>
          <bgColor rgb="FFE8E8E8"/>
        </patternFill>
      </fill>
    </dxf>
    <dxf>
      <font>
        <b/>
        <i val="0"/>
        <color rgb="FF480000"/>
      </font>
      <fill>
        <patternFill>
          <bgColor rgb="FFFFDA65"/>
        </patternFill>
      </fill>
    </dxf>
    <dxf>
      <font>
        <b/>
        <i val="0"/>
        <color rgb="FF480000"/>
      </font>
      <fill>
        <patternFill>
          <bgColor rgb="FFFFDA65"/>
        </patternFill>
      </fill>
    </dxf>
    <dxf>
      <fill>
        <patternFill>
          <bgColor theme="0"/>
        </patternFill>
      </fill>
    </dxf>
    <dxf>
      <fill>
        <patternFill>
          <bgColor theme="0"/>
        </patternFill>
      </fill>
    </dxf>
    <dxf>
      <font>
        <color theme="0"/>
      </font>
      <fill>
        <patternFill>
          <bgColor theme="0"/>
        </patternFill>
      </fill>
    </dxf>
    <dxf>
      <fill>
        <patternFill>
          <bgColor rgb="FFE8E8E8"/>
        </patternFill>
      </fill>
    </dxf>
    <dxf>
      <font>
        <b/>
        <i val="0"/>
        <color rgb="FF480000"/>
      </font>
      <fill>
        <patternFill>
          <bgColor rgb="FFFFDA65"/>
        </patternFill>
      </fill>
    </dxf>
    <dxf>
      <font>
        <b/>
        <i val="0"/>
        <color rgb="FF480000"/>
      </font>
      <fill>
        <patternFill>
          <bgColor rgb="FFFFDA65"/>
        </patternFill>
      </fill>
    </dxf>
    <dxf>
      <fill>
        <patternFill>
          <bgColor theme="0"/>
        </patternFill>
      </fill>
    </dxf>
    <dxf>
      <fill>
        <patternFill>
          <bgColor theme="0"/>
        </patternFill>
      </fill>
    </dxf>
    <dxf>
      <font>
        <color theme="0"/>
      </font>
      <fill>
        <patternFill>
          <bgColor theme="0"/>
        </patternFill>
      </fill>
    </dxf>
    <dxf>
      <fill>
        <patternFill>
          <bgColor rgb="FFE8E8E8"/>
        </patternFill>
      </fill>
    </dxf>
    <dxf>
      <font>
        <b/>
        <i val="0"/>
        <color rgb="FF480000"/>
      </font>
      <fill>
        <patternFill>
          <bgColor rgb="FFFFDA65"/>
        </patternFill>
      </fill>
    </dxf>
    <dxf>
      <font>
        <b/>
        <i val="0"/>
        <color rgb="FF480000"/>
      </font>
      <fill>
        <patternFill>
          <bgColor rgb="FFFFDA65"/>
        </patternFill>
      </fill>
    </dxf>
    <dxf>
      <fill>
        <patternFill>
          <bgColor theme="0"/>
        </patternFill>
      </fill>
    </dxf>
    <dxf>
      <fill>
        <patternFill>
          <bgColor theme="0"/>
        </patternFill>
      </fill>
    </dxf>
    <dxf>
      <font>
        <color theme="0"/>
      </font>
      <fill>
        <patternFill>
          <bgColor theme="0"/>
        </patternFill>
      </fill>
    </dxf>
    <dxf>
      <fill>
        <patternFill>
          <bgColor rgb="FFE8E8E8"/>
        </patternFill>
      </fill>
    </dxf>
    <dxf>
      <font>
        <b/>
        <i val="0"/>
        <color rgb="FF480000"/>
      </font>
      <fill>
        <patternFill>
          <bgColor rgb="FFFFDA65"/>
        </patternFill>
      </fill>
    </dxf>
    <dxf>
      <font>
        <b/>
        <i val="0"/>
        <color rgb="FF480000"/>
      </font>
      <fill>
        <patternFill>
          <bgColor rgb="FFFFDA65"/>
        </patternFill>
      </fill>
    </dxf>
    <dxf>
      <fill>
        <patternFill>
          <bgColor theme="0"/>
        </patternFill>
      </fill>
    </dxf>
    <dxf>
      <fill>
        <patternFill>
          <bgColor theme="0"/>
        </patternFill>
      </fill>
    </dxf>
    <dxf>
      <font>
        <color theme="0"/>
      </font>
      <fill>
        <patternFill>
          <bgColor theme="0"/>
        </patternFill>
      </fill>
    </dxf>
    <dxf>
      <fill>
        <patternFill>
          <bgColor rgb="FFE8E8E8"/>
        </patternFill>
      </fill>
    </dxf>
    <dxf>
      <font>
        <b/>
        <i val="0"/>
        <color rgb="FF480000"/>
      </font>
      <fill>
        <patternFill>
          <bgColor rgb="FFFFDA65"/>
        </patternFill>
      </fill>
    </dxf>
    <dxf>
      <font>
        <b/>
        <i val="0"/>
        <color rgb="FF480000"/>
      </font>
      <fill>
        <patternFill>
          <bgColor rgb="FFFFDA65"/>
        </patternFill>
      </fill>
    </dxf>
    <dxf>
      <fill>
        <patternFill>
          <bgColor theme="0"/>
        </patternFill>
      </fill>
    </dxf>
    <dxf>
      <fill>
        <patternFill>
          <bgColor theme="0"/>
        </patternFill>
      </fill>
    </dxf>
    <dxf>
      <font>
        <color theme="0"/>
      </font>
      <fill>
        <patternFill>
          <bgColor theme="0"/>
        </patternFill>
      </fill>
    </dxf>
    <dxf>
      <fill>
        <patternFill>
          <bgColor rgb="FFE8E8E8"/>
        </patternFill>
      </fill>
    </dxf>
    <dxf>
      <font>
        <b/>
        <i val="0"/>
        <color rgb="FF480000"/>
      </font>
      <fill>
        <patternFill>
          <bgColor rgb="FFFFDA65"/>
        </patternFill>
      </fill>
    </dxf>
    <dxf>
      <font>
        <b/>
        <i val="0"/>
        <color rgb="FF480000"/>
      </font>
      <fill>
        <patternFill>
          <bgColor rgb="FFFFDA65"/>
        </patternFill>
      </fill>
    </dxf>
    <dxf>
      <fill>
        <patternFill>
          <bgColor theme="0"/>
        </patternFill>
      </fill>
    </dxf>
    <dxf>
      <fill>
        <patternFill>
          <bgColor theme="0"/>
        </patternFill>
      </fill>
    </dxf>
    <dxf>
      <font>
        <color theme="0"/>
      </font>
      <fill>
        <patternFill>
          <bgColor theme="0"/>
        </patternFill>
      </fill>
    </dxf>
    <dxf>
      <fill>
        <patternFill>
          <bgColor rgb="FFE8E8E8"/>
        </patternFill>
      </fill>
    </dxf>
    <dxf>
      <font>
        <b/>
        <i val="0"/>
        <color rgb="FF480000"/>
      </font>
      <fill>
        <patternFill>
          <bgColor rgb="FFFFDA65"/>
        </patternFill>
      </fill>
    </dxf>
    <dxf>
      <font>
        <b/>
        <i val="0"/>
        <color rgb="FF480000"/>
      </font>
      <fill>
        <patternFill>
          <bgColor rgb="FFFFDA65"/>
        </patternFill>
      </fill>
    </dxf>
    <dxf>
      <fill>
        <patternFill>
          <bgColor theme="0"/>
        </patternFill>
      </fill>
    </dxf>
    <dxf>
      <fill>
        <patternFill>
          <bgColor theme="0"/>
        </patternFill>
      </fill>
    </dxf>
    <dxf>
      <font>
        <color theme="0"/>
      </font>
      <fill>
        <patternFill>
          <bgColor theme="0"/>
        </patternFill>
      </fill>
    </dxf>
    <dxf>
      <fill>
        <patternFill>
          <bgColor rgb="FFE8E8E8"/>
        </patternFill>
      </fill>
    </dxf>
    <dxf>
      <font>
        <b/>
        <i val="0"/>
        <color rgb="FF480000"/>
      </font>
      <fill>
        <patternFill>
          <bgColor rgb="FFFFDA65"/>
        </patternFill>
      </fill>
    </dxf>
    <dxf>
      <font>
        <b/>
        <i val="0"/>
        <color rgb="FF480000"/>
      </font>
      <fill>
        <patternFill>
          <bgColor rgb="FFFFDA65"/>
        </patternFill>
      </fill>
    </dxf>
    <dxf>
      <fill>
        <patternFill>
          <bgColor theme="0"/>
        </patternFill>
      </fill>
    </dxf>
    <dxf>
      <fill>
        <patternFill>
          <bgColor theme="0"/>
        </patternFill>
      </fill>
    </dxf>
    <dxf>
      <font>
        <color theme="0"/>
      </font>
      <fill>
        <patternFill>
          <bgColor theme="0"/>
        </patternFill>
      </fill>
    </dxf>
    <dxf>
      <fill>
        <patternFill>
          <bgColor rgb="FFE8E8E8"/>
        </patternFill>
      </fill>
    </dxf>
    <dxf>
      <font>
        <b/>
        <i val="0"/>
        <color rgb="FF480000"/>
      </font>
      <fill>
        <patternFill>
          <bgColor rgb="FFFFDA65"/>
        </patternFill>
      </fill>
    </dxf>
    <dxf>
      <font>
        <b/>
        <i val="0"/>
        <color rgb="FF480000"/>
      </font>
      <fill>
        <patternFill>
          <bgColor rgb="FFFFDA65"/>
        </patternFill>
      </fill>
    </dxf>
    <dxf>
      <fill>
        <patternFill>
          <bgColor theme="0"/>
        </patternFill>
      </fill>
    </dxf>
    <dxf>
      <fill>
        <patternFill>
          <bgColor theme="0"/>
        </patternFill>
      </fill>
    </dxf>
    <dxf>
      <font>
        <color theme="0"/>
      </font>
      <fill>
        <patternFill>
          <bgColor theme="0"/>
        </patternFill>
      </fill>
    </dxf>
    <dxf>
      <fill>
        <patternFill>
          <bgColor rgb="FFE8E8E8"/>
        </patternFill>
      </fill>
    </dxf>
    <dxf>
      <font>
        <b/>
        <i val="0"/>
        <color rgb="FF480000"/>
      </font>
      <fill>
        <patternFill>
          <bgColor rgb="FFFFDA65"/>
        </patternFill>
      </fill>
    </dxf>
    <dxf>
      <font>
        <b/>
        <i val="0"/>
        <color rgb="FF480000"/>
      </font>
      <fill>
        <patternFill>
          <bgColor rgb="FFFFDA65"/>
        </patternFill>
      </fill>
    </dxf>
    <dxf>
      <fill>
        <patternFill>
          <bgColor theme="0"/>
        </patternFill>
      </fill>
    </dxf>
    <dxf>
      <fill>
        <patternFill>
          <bgColor theme="0"/>
        </patternFill>
      </fill>
    </dxf>
    <dxf>
      <font>
        <color theme="0"/>
      </font>
      <fill>
        <patternFill>
          <bgColor theme="0"/>
        </patternFill>
      </fill>
    </dxf>
    <dxf>
      <fill>
        <patternFill>
          <bgColor rgb="FFE8E8E8"/>
        </patternFill>
      </fill>
    </dxf>
    <dxf>
      <font>
        <b/>
        <i val="0"/>
        <color rgb="FF480000"/>
      </font>
      <fill>
        <patternFill>
          <bgColor rgb="FFFFDA65"/>
        </patternFill>
      </fill>
    </dxf>
    <dxf>
      <font>
        <b/>
        <i val="0"/>
        <color rgb="FF480000"/>
      </font>
      <fill>
        <patternFill>
          <bgColor rgb="FFFFDA65"/>
        </patternFill>
      </fill>
    </dxf>
    <dxf>
      <fill>
        <patternFill>
          <bgColor theme="0"/>
        </patternFill>
      </fill>
    </dxf>
    <dxf>
      <fill>
        <patternFill>
          <bgColor theme="0"/>
        </patternFill>
      </fill>
    </dxf>
    <dxf>
      <font>
        <color theme="0"/>
      </font>
      <fill>
        <patternFill>
          <bgColor theme="0"/>
        </patternFill>
      </fill>
    </dxf>
    <dxf>
      <fill>
        <patternFill>
          <bgColor rgb="FFE8E8E8"/>
        </patternFill>
      </fill>
    </dxf>
    <dxf>
      <font>
        <b/>
        <i val="0"/>
        <color rgb="FF480000"/>
      </font>
      <fill>
        <patternFill>
          <bgColor rgb="FFFFDA65"/>
        </patternFill>
      </fill>
    </dxf>
    <dxf>
      <font>
        <b/>
        <i val="0"/>
        <color rgb="FF480000"/>
      </font>
      <fill>
        <patternFill>
          <bgColor rgb="FFFFDA65"/>
        </patternFill>
      </fill>
    </dxf>
    <dxf>
      <fill>
        <patternFill>
          <bgColor theme="0"/>
        </patternFill>
      </fill>
    </dxf>
    <dxf>
      <fill>
        <patternFill>
          <bgColor theme="0"/>
        </patternFill>
      </fill>
    </dxf>
    <dxf>
      <font>
        <color theme="0"/>
      </font>
      <fill>
        <patternFill>
          <bgColor theme="0"/>
        </patternFill>
      </fill>
    </dxf>
    <dxf>
      <fill>
        <patternFill>
          <bgColor rgb="FFE8E8E8"/>
        </patternFill>
      </fill>
    </dxf>
    <dxf>
      <font>
        <b/>
        <i val="0"/>
        <color rgb="FF480000"/>
      </font>
      <fill>
        <patternFill>
          <bgColor rgb="FFFFDA65"/>
        </patternFill>
      </fill>
    </dxf>
    <dxf>
      <font>
        <b/>
        <i val="0"/>
        <color rgb="FF480000"/>
      </font>
      <fill>
        <patternFill>
          <bgColor rgb="FFFFDA65"/>
        </patternFill>
      </fill>
    </dxf>
    <dxf>
      <fill>
        <patternFill>
          <bgColor theme="0"/>
        </patternFill>
      </fill>
    </dxf>
    <dxf>
      <fill>
        <patternFill>
          <bgColor theme="0"/>
        </patternFill>
      </fill>
    </dxf>
    <dxf>
      <font>
        <color theme="0"/>
      </font>
      <fill>
        <patternFill>
          <bgColor theme="0"/>
        </patternFill>
      </fill>
    </dxf>
    <dxf>
      <fill>
        <patternFill>
          <bgColor rgb="FFE8E8E8"/>
        </patternFill>
      </fill>
    </dxf>
    <dxf>
      <font>
        <b/>
        <i val="0"/>
        <color rgb="FF480000"/>
      </font>
      <fill>
        <patternFill>
          <bgColor rgb="FFFFDA65"/>
        </patternFill>
      </fill>
    </dxf>
    <dxf>
      <font>
        <b/>
        <i val="0"/>
        <color rgb="FF480000"/>
      </font>
      <fill>
        <patternFill>
          <bgColor rgb="FFFFDA65"/>
        </patternFill>
      </fill>
    </dxf>
    <dxf>
      <fill>
        <patternFill>
          <bgColor theme="0"/>
        </patternFill>
      </fill>
    </dxf>
    <dxf>
      <fill>
        <patternFill>
          <bgColor theme="0"/>
        </patternFill>
      </fill>
    </dxf>
    <dxf>
      <font>
        <color theme="0"/>
      </font>
      <fill>
        <patternFill>
          <bgColor theme="0"/>
        </patternFill>
      </fill>
    </dxf>
    <dxf>
      <fill>
        <patternFill>
          <bgColor rgb="FFE8E8E8"/>
        </patternFill>
      </fill>
    </dxf>
    <dxf>
      <font>
        <b/>
        <i val="0"/>
        <color rgb="FF480000"/>
      </font>
      <fill>
        <patternFill>
          <bgColor rgb="FFFFDA65"/>
        </patternFill>
      </fill>
    </dxf>
    <dxf>
      <font>
        <b/>
        <i val="0"/>
        <color rgb="FF480000"/>
      </font>
      <fill>
        <patternFill>
          <bgColor rgb="FFFFDA65"/>
        </patternFill>
      </fill>
    </dxf>
    <dxf>
      <fill>
        <patternFill>
          <bgColor theme="0"/>
        </patternFill>
      </fill>
    </dxf>
    <dxf>
      <fill>
        <patternFill>
          <bgColor theme="0"/>
        </patternFill>
      </fill>
    </dxf>
    <dxf>
      <font>
        <color theme="0"/>
      </font>
      <fill>
        <patternFill>
          <bgColor theme="0"/>
        </patternFill>
      </fill>
    </dxf>
    <dxf>
      <fill>
        <patternFill>
          <bgColor rgb="FFE8E8E8"/>
        </patternFill>
      </fill>
    </dxf>
    <dxf>
      <font>
        <b/>
        <i val="0"/>
        <color rgb="FF480000"/>
      </font>
      <fill>
        <patternFill>
          <bgColor rgb="FFFFDA65"/>
        </patternFill>
      </fill>
    </dxf>
    <dxf>
      <font>
        <b/>
        <i val="0"/>
        <color rgb="FF480000"/>
      </font>
      <fill>
        <patternFill>
          <bgColor rgb="FFFFDA65"/>
        </patternFill>
      </fill>
    </dxf>
    <dxf>
      <fill>
        <patternFill>
          <bgColor theme="0"/>
        </patternFill>
      </fill>
    </dxf>
    <dxf>
      <fill>
        <patternFill>
          <bgColor theme="0"/>
        </patternFill>
      </fill>
    </dxf>
    <dxf>
      <font>
        <color theme="0"/>
      </font>
      <fill>
        <patternFill>
          <bgColor theme="0"/>
        </patternFill>
      </fill>
    </dxf>
    <dxf>
      <fill>
        <patternFill>
          <bgColor rgb="FFE8E8E8"/>
        </patternFill>
      </fill>
    </dxf>
    <dxf>
      <font>
        <b/>
        <i val="0"/>
        <color rgb="FF480000"/>
      </font>
      <fill>
        <patternFill>
          <bgColor rgb="FFFFDA65"/>
        </patternFill>
      </fill>
    </dxf>
    <dxf>
      <font>
        <b/>
        <i val="0"/>
        <color rgb="FF480000"/>
      </font>
      <fill>
        <patternFill>
          <bgColor rgb="FFFFDA65"/>
        </patternFill>
      </fill>
    </dxf>
    <dxf>
      <fill>
        <patternFill>
          <bgColor theme="0"/>
        </patternFill>
      </fill>
    </dxf>
    <dxf>
      <fill>
        <patternFill>
          <bgColor theme="0"/>
        </patternFill>
      </fill>
    </dxf>
    <dxf>
      <font>
        <color theme="0"/>
      </font>
      <fill>
        <patternFill>
          <bgColor theme="0"/>
        </patternFill>
      </fill>
    </dxf>
    <dxf>
      <fill>
        <patternFill>
          <bgColor rgb="FFE8E8E8"/>
        </patternFill>
      </fill>
    </dxf>
    <dxf>
      <font>
        <b/>
        <i val="0"/>
        <color rgb="FF480000"/>
      </font>
      <fill>
        <patternFill>
          <bgColor rgb="FFFFDA65"/>
        </patternFill>
      </fill>
    </dxf>
    <dxf>
      <font>
        <b/>
        <i val="0"/>
        <color rgb="FF480000"/>
      </font>
      <fill>
        <patternFill>
          <bgColor rgb="FFFFDA65"/>
        </patternFill>
      </fill>
    </dxf>
    <dxf>
      <fill>
        <patternFill>
          <bgColor theme="0"/>
        </patternFill>
      </fill>
    </dxf>
    <dxf>
      <fill>
        <patternFill>
          <bgColor theme="0"/>
        </patternFill>
      </fill>
    </dxf>
    <dxf>
      <font>
        <color theme="0"/>
      </font>
      <fill>
        <patternFill>
          <bgColor theme="0"/>
        </patternFill>
      </fill>
    </dxf>
    <dxf>
      <fill>
        <patternFill>
          <bgColor rgb="FFE8E8E8"/>
        </patternFill>
      </fill>
    </dxf>
    <dxf>
      <font>
        <b/>
        <i val="0"/>
        <color rgb="FF480000"/>
      </font>
      <fill>
        <patternFill>
          <bgColor rgb="FFFFDA65"/>
        </patternFill>
      </fill>
    </dxf>
    <dxf>
      <font>
        <b/>
        <i val="0"/>
        <color rgb="FF480000"/>
      </font>
      <fill>
        <patternFill>
          <bgColor rgb="FFFFDA65"/>
        </patternFill>
      </fill>
    </dxf>
    <dxf>
      <fill>
        <patternFill>
          <bgColor theme="0"/>
        </patternFill>
      </fill>
    </dxf>
    <dxf>
      <fill>
        <patternFill>
          <bgColor theme="0"/>
        </patternFill>
      </fill>
    </dxf>
    <dxf>
      <font>
        <color theme="0"/>
      </font>
      <fill>
        <patternFill>
          <bgColor theme="0"/>
        </patternFill>
      </fill>
    </dxf>
    <dxf>
      <fill>
        <patternFill>
          <bgColor rgb="FFE8E8E8"/>
        </patternFill>
      </fill>
    </dxf>
    <dxf>
      <font>
        <b/>
        <i val="0"/>
        <color rgb="FF480000"/>
      </font>
      <fill>
        <patternFill>
          <bgColor rgb="FFFFDA65"/>
        </patternFill>
      </fill>
    </dxf>
    <dxf>
      <font>
        <b/>
        <i val="0"/>
        <color rgb="FF480000"/>
      </font>
      <fill>
        <patternFill>
          <bgColor rgb="FFFFDA65"/>
        </patternFill>
      </fill>
    </dxf>
    <dxf>
      <fill>
        <patternFill>
          <bgColor theme="0"/>
        </patternFill>
      </fill>
    </dxf>
    <dxf>
      <fill>
        <patternFill>
          <bgColor theme="0"/>
        </patternFill>
      </fill>
    </dxf>
    <dxf>
      <font>
        <color theme="0"/>
      </font>
      <fill>
        <patternFill>
          <bgColor theme="0"/>
        </patternFill>
      </fill>
    </dxf>
    <dxf>
      <fill>
        <patternFill>
          <bgColor rgb="FFE8E8E8"/>
        </patternFill>
      </fill>
    </dxf>
    <dxf>
      <font>
        <b/>
        <i val="0"/>
        <color rgb="FF480000"/>
      </font>
      <fill>
        <patternFill>
          <bgColor rgb="FFFFDA65"/>
        </patternFill>
      </fill>
    </dxf>
    <dxf>
      <font>
        <b/>
        <i val="0"/>
        <color rgb="FF480000"/>
      </font>
      <fill>
        <patternFill>
          <bgColor rgb="FFFFDA65"/>
        </patternFill>
      </fill>
    </dxf>
    <dxf>
      <fill>
        <patternFill>
          <bgColor theme="0"/>
        </patternFill>
      </fill>
    </dxf>
    <dxf>
      <fill>
        <patternFill>
          <bgColor theme="0"/>
        </patternFill>
      </fill>
    </dxf>
    <dxf>
      <font>
        <color theme="0"/>
      </font>
      <fill>
        <patternFill>
          <bgColor theme="0"/>
        </patternFill>
      </fill>
    </dxf>
    <dxf>
      <fill>
        <patternFill>
          <bgColor rgb="FFE8E8E8"/>
        </patternFill>
      </fill>
    </dxf>
    <dxf>
      <font>
        <b/>
        <i val="0"/>
        <color rgb="FF480000"/>
      </font>
      <fill>
        <patternFill>
          <bgColor rgb="FFFFDA65"/>
        </patternFill>
      </fill>
    </dxf>
    <dxf>
      <font>
        <b/>
        <i val="0"/>
        <color rgb="FF480000"/>
      </font>
      <fill>
        <patternFill>
          <bgColor rgb="FFFFDA65"/>
        </patternFill>
      </fill>
    </dxf>
    <dxf>
      <fill>
        <patternFill>
          <bgColor theme="0"/>
        </patternFill>
      </fill>
    </dxf>
    <dxf>
      <fill>
        <patternFill>
          <bgColor theme="0"/>
        </patternFill>
      </fill>
    </dxf>
    <dxf>
      <font>
        <color theme="0"/>
      </font>
      <fill>
        <patternFill>
          <bgColor theme="0"/>
        </patternFill>
      </fill>
    </dxf>
    <dxf>
      <fill>
        <patternFill>
          <bgColor rgb="FFE8E8E8"/>
        </patternFill>
      </fill>
    </dxf>
    <dxf>
      <font>
        <b/>
        <i val="0"/>
        <color rgb="FF480000"/>
      </font>
      <fill>
        <patternFill>
          <bgColor rgb="FFFFDA65"/>
        </patternFill>
      </fill>
    </dxf>
    <dxf>
      <font>
        <b/>
        <i val="0"/>
        <color rgb="FF480000"/>
      </font>
      <fill>
        <patternFill>
          <bgColor rgb="FFFFDA65"/>
        </patternFill>
      </fill>
    </dxf>
    <dxf>
      <fill>
        <patternFill>
          <bgColor theme="0"/>
        </patternFill>
      </fill>
    </dxf>
    <dxf>
      <fill>
        <patternFill>
          <bgColor theme="0"/>
        </patternFill>
      </fill>
    </dxf>
    <dxf>
      <font>
        <color theme="0"/>
      </font>
      <fill>
        <patternFill>
          <bgColor theme="0"/>
        </patternFill>
      </fill>
    </dxf>
    <dxf>
      <fill>
        <patternFill>
          <bgColor rgb="FFE8E8E8"/>
        </patternFill>
      </fill>
    </dxf>
    <dxf>
      <font>
        <b/>
        <i val="0"/>
        <color rgb="FF480000"/>
      </font>
      <fill>
        <patternFill>
          <bgColor rgb="FFFFDA65"/>
        </patternFill>
      </fill>
    </dxf>
    <dxf>
      <font>
        <b/>
        <i val="0"/>
        <color rgb="FF480000"/>
      </font>
      <fill>
        <patternFill>
          <bgColor rgb="FFFFDA65"/>
        </patternFill>
      </fill>
    </dxf>
    <dxf>
      <fill>
        <patternFill>
          <bgColor theme="0"/>
        </patternFill>
      </fill>
    </dxf>
    <dxf>
      <fill>
        <patternFill>
          <bgColor theme="0"/>
        </patternFill>
      </fill>
    </dxf>
    <dxf>
      <font>
        <color theme="0"/>
      </font>
      <fill>
        <patternFill>
          <bgColor theme="0"/>
        </patternFill>
      </fill>
    </dxf>
    <dxf>
      <fill>
        <patternFill>
          <bgColor rgb="FFE8E8E8"/>
        </patternFill>
      </fill>
    </dxf>
    <dxf>
      <font>
        <b/>
        <i val="0"/>
        <color rgb="FF480000"/>
      </font>
      <fill>
        <patternFill>
          <bgColor rgb="FFFFDA65"/>
        </patternFill>
      </fill>
    </dxf>
    <dxf>
      <font>
        <b/>
        <i val="0"/>
        <color rgb="FF480000"/>
      </font>
      <fill>
        <patternFill>
          <bgColor rgb="FFFFDA65"/>
        </patternFill>
      </fill>
    </dxf>
    <dxf>
      <fill>
        <patternFill>
          <bgColor theme="0"/>
        </patternFill>
      </fill>
    </dxf>
    <dxf>
      <fill>
        <patternFill>
          <bgColor theme="0"/>
        </patternFill>
      </fill>
    </dxf>
    <dxf>
      <font>
        <color theme="0"/>
      </font>
      <fill>
        <patternFill>
          <bgColor theme="0"/>
        </patternFill>
      </fill>
    </dxf>
    <dxf>
      <fill>
        <patternFill>
          <bgColor rgb="FFE8E8E8"/>
        </patternFill>
      </fill>
    </dxf>
    <dxf>
      <font>
        <b/>
        <i val="0"/>
        <color rgb="FF480000"/>
      </font>
      <fill>
        <patternFill>
          <bgColor rgb="FFFFDA65"/>
        </patternFill>
      </fill>
    </dxf>
    <dxf>
      <font>
        <b/>
        <i val="0"/>
        <color rgb="FF480000"/>
      </font>
      <fill>
        <patternFill>
          <bgColor rgb="FFFFDA65"/>
        </patternFill>
      </fill>
    </dxf>
    <dxf>
      <fill>
        <patternFill>
          <bgColor theme="0"/>
        </patternFill>
      </fill>
    </dxf>
    <dxf>
      <fill>
        <patternFill>
          <bgColor theme="0"/>
        </patternFill>
      </fill>
    </dxf>
    <dxf>
      <font>
        <color theme="0"/>
      </font>
      <fill>
        <patternFill>
          <bgColor theme="0"/>
        </patternFill>
      </fill>
    </dxf>
    <dxf>
      <fill>
        <patternFill>
          <bgColor rgb="FFE8E8E8"/>
        </patternFill>
      </fill>
    </dxf>
    <dxf>
      <font>
        <b/>
        <i val="0"/>
        <color rgb="FF480000"/>
      </font>
      <fill>
        <patternFill>
          <bgColor rgb="FFFFDA65"/>
        </patternFill>
      </fill>
    </dxf>
    <dxf>
      <font>
        <b/>
        <i val="0"/>
        <color rgb="FF480000"/>
      </font>
      <fill>
        <patternFill>
          <bgColor rgb="FFFFDA65"/>
        </patternFill>
      </fill>
    </dxf>
    <dxf>
      <fill>
        <patternFill>
          <bgColor theme="0"/>
        </patternFill>
      </fill>
    </dxf>
    <dxf>
      <fill>
        <patternFill>
          <bgColor theme="0"/>
        </patternFill>
      </fill>
    </dxf>
    <dxf>
      <font>
        <color theme="0"/>
      </font>
      <fill>
        <patternFill>
          <bgColor theme="0"/>
        </patternFill>
      </fill>
    </dxf>
    <dxf>
      <fill>
        <patternFill>
          <bgColor rgb="FFE8E8E8"/>
        </patternFill>
      </fill>
    </dxf>
    <dxf>
      <font>
        <b/>
        <i val="0"/>
        <color rgb="FF480000"/>
      </font>
      <fill>
        <patternFill>
          <bgColor rgb="FFFFDA65"/>
        </patternFill>
      </fill>
    </dxf>
    <dxf>
      <font>
        <b/>
        <i val="0"/>
        <color rgb="FF480000"/>
      </font>
      <fill>
        <patternFill>
          <bgColor rgb="FFFFDA65"/>
        </patternFill>
      </fill>
    </dxf>
    <dxf>
      <fill>
        <patternFill>
          <bgColor theme="0"/>
        </patternFill>
      </fill>
    </dxf>
    <dxf>
      <fill>
        <patternFill>
          <bgColor theme="0"/>
        </patternFill>
      </fill>
    </dxf>
    <dxf>
      <font>
        <color theme="0"/>
      </font>
      <fill>
        <patternFill>
          <bgColor theme="0"/>
        </patternFill>
      </fill>
    </dxf>
    <dxf>
      <fill>
        <patternFill>
          <bgColor rgb="FFE8E8E8"/>
        </patternFill>
      </fill>
    </dxf>
    <dxf>
      <font>
        <b/>
        <i val="0"/>
        <color rgb="FF480000"/>
      </font>
      <fill>
        <patternFill>
          <bgColor rgb="FFFFDA65"/>
        </patternFill>
      </fill>
    </dxf>
    <dxf>
      <font>
        <b/>
        <i val="0"/>
        <color rgb="FF480000"/>
      </font>
      <fill>
        <patternFill>
          <bgColor rgb="FFFFDA65"/>
        </patternFill>
      </fill>
    </dxf>
    <dxf>
      <fill>
        <patternFill>
          <bgColor theme="0"/>
        </patternFill>
      </fill>
    </dxf>
    <dxf>
      <fill>
        <patternFill>
          <bgColor theme="0"/>
        </patternFill>
      </fill>
    </dxf>
    <dxf>
      <font>
        <color theme="0"/>
      </font>
      <fill>
        <patternFill>
          <bgColor theme="0"/>
        </patternFill>
      </fill>
    </dxf>
    <dxf>
      <fill>
        <patternFill>
          <bgColor rgb="FFE8E8E8"/>
        </patternFill>
      </fill>
    </dxf>
    <dxf>
      <font>
        <b/>
        <i val="0"/>
        <color rgb="FF480000"/>
      </font>
      <fill>
        <patternFill>
          <bgColor rgb="FFFFDA65"/>
        </patternFill>
      </fill>
    </dxf>
    <dxf>
      <font>
        <b/>
        <i val="0"/>
        <color rgb="FF480000"/>
      </font>
      <fill>
        <patternFill>
          <bgColor rgb="FFFFDA65"/>
        </patternFill>
      </fill>
    </dxf>
    <dxf>
      <fill>
        <patternFill>
          <bgColor theme="0"/>
        </patternFill>
      </fill>
    </dxf>
    <dxf>
      <fill>
        <patternFill>
          <bgColor theme="0"/>
        </patternFill>
      </fill>
    </dxf>
    <dxf>
      <font>
        <color theme="0"/>
      </font>
      <fill>
        <patternFill>
          <bgColor theme="0"/>
        </patternFill>
      </fill>
    </dxf>
    <dxf>
      <fill>
        <patternFill>
          <bgColor rgb="FFE8E8E8"/>
        </patternFill>
      </fill>
    </dxf>
    <dxf>
      <font>
        <b/>
        <i val="0"/>
        <color rgb="FF480000"/>
      </font>
      <fill>
        <patternFill>
          <bgColor rgb="FFFFDA65"/>
        </patternFill>
      </fill>
    </dxf>
    <dxf>
      <font>
        <b/>
        <i val="0"/>
        <color rgb="FF480000"/>
      </font>
      <fill>
        <patternFill>
          <bgColor rgb="FFFFDA65"/>
        </patternFill>
      </fill>
    </dxf>
    <dxf>
      <fill>
        <patternFill>
          <bgColor theme="0"/>
        </patternFill>
      </fill>
    </dxf>
    <dxf>
      <fill>
        <patternFill>
          <bgColor theme="0"/>
        </patternFill>
      </fill>
    </dxf>
    <dxf>
      <font>
        <color theme="0"/>
      </font>
      <fill>
        <patternFill>
          <bgColor theme="0"/>
        </patternFill>
      </fill>
    </dxf>
    <dxf>
      <fill>
        <patternFill>
          <bgColor rgb="FFE8E8E8"/>
        </patternFill>
      </fill>
    </dxf>
    <dxf>
      <font>
        <b/>
        <i val="0"/>
        <color rgb="FF480000"/>
      </font>
      <fill>
        <patternFill>
          <bgColor rgb="FFFFDA65"/>
        </patternFill>
      </fill>
    </dxf>
    <dxf>
      <font>
        <b/>
        <i val="0"/>
        <color rgb="FF480000"/>
      </font>
      <fill>
        <patternFill>
          <bgColor rgb="FFFFDA65"/>
        </patternFill>
      </fill>
    </dxf>
    <dxf>
      <fill>
        <patternFill>
          <bgColor theme="0"/>
        </patternFill>
      </fill>
    </dxf>
    <dxf>
      <fill>
        <patternFill>
          <bgColor theme="0"/>
        </patternFill>
      </fill>
    </dxf>
    <dxf>
      <font>
        <color theme="0"/>
      </font>
      <fill>
        <patternFill>
          <bgColor theme="0"/>
        </patternFill>
      </fill>
    </dxf>
    <dxf>
      <fill>
        <patternFill>
          <bgColor rgb="FFE8E8E8"/>
        </patternFill>
      </fill>
    </dxf>
    <dxf>
      <font>
        <b/>
        <i val="0"/>
        <color rgb="FF480000"/>
      </font>
      <fill>
        <patternFill>
          <bgColor rgb="FFFFDA65"/>
        </patternFill>
      </fill>
    </dxf>
    <dxf>
      <font>
        <b/>
        <i val="0"/>
        <color rgb="FF480000"/>
      </font>
      <fill>
        <patternFill>
          <bgColor rgb="FFFFDA65"/>
        </patternFill>
      </fill>
    </dxf>
    <dxf>
      <fill>
        <patternFill>
          <bgColor theme="0"/>
        </patternFill>
      </fill>
    </dxf>
    <dxf>
      <fill>
        <patternFill>
          <bgColor theme="0"/>
        </patternFill>
      </fill>
    </dxf>
    <dxf>
      <font>
        <color theme="0"/>
      </font>
      <fill>
        <patternFill>
          <bgColor theme="0"/>
        </patternFill>
      </fill>
    </dxf>
    <dxf>
      <fill>
        <patternFill>
          <bgColor rgb="FFE8E8E8"/>
        </patternFill>
      </fill>
    </dxf>
    <dxf>
      <font>
        <b/>
        <i val="0"/>
        <color rgb="FF480000"/>
      </font>
      <fill>
        <patternFill>
          <bgColor rgb="FFFFDA65"/>
        </patternFill>
      </fill>
    </dxf>
    <dxf>
      <font>
        <b/>
        <i val="0"/>
        <color rgb="FF480000"/>
      </font>
      <fill>
        <patternFill>
          <bgColor rgb="FFFFDA65"/>
        </patternFill>
      </fill>
    </dxf>
    <dxf>
      <fill>
        <patternFill>
          <bgColor theme="0"/>
        </patternFill>
      </fill>
    </dxf>
    <dxf>
      <fill>
        <patternFill>
          <bgColor theme="0"/>
        </patternFill>
      </fill>
    </dxf>
    <dxf>
      <font>
        <color theme="0"/>
      </font>
      <fill>
        <patternFill>
          <bgColor theme="0"/>
        </patternFill>
      </fill>
    </dxf>
    <dxf>
      <fill>
        <patternFill>
          <bgColor rgb="FFE8E8E8"/>
        </patternFill>
      </fill>
    </dxf>
    <dxf>
      <font>
        <b/>
        <i val="0"/>
        <color rgb="FF480000"/>
      </font>
      <fill>
        <patternFill>
          <bgColor rgb="FFFFDA65"/>
        </patternFill>
      </fill>
    </dxf>
    <dxf>
      <font>
        <b/>
        <i val="0"/>
        <color rgb="FF480000"/>
      </font>
      <fill>
        <patternFill>
          <bgColor rgb="FFFFDA65"/>
        </patternFill>
      </fill>
    </dxf>
    <dxf>
      <fill>
        <patternFill>
          <bgColor theme="0"/>
        </patternFill>
      </fill>
    </dxf>
    <dxf>
      <fill>
        <patternFill>
          <bgColor theme="0"/>
        </patternFill>
      </fill>
    </dxf>
    <dxf>
      <font>
        <color theme="0"/>
      </font>
      <fill>
        <patternFill>
          <bgColor theme="0"/>
        </patternFill>
      </fill>
    </dxf>
    <dxf>
      <fill>
        <patternFill>
          <bgColor rgb="FFE8E8E8"/>
        </patternFill>
      </fill>
    </dxf>
    <dxf>
      <font>
        <b/>
        <i val="0"/>
        <color rgb="FF480000"/>
      </font>
      <fill>
        <patternFill>
          <bgColor rgb="FFFFDA65"/>
        </patternFill>
      </fill>
    </dxf>
    <dxf>
      <font>
        <b/>
        <i val="0"/>
        <color rgb="FF480000"/>
      </font>
      <fill>
        <patternFill>
          <bgColor rgb="FFFFDA65"/>
        </patternFill>
      </fill>
    </dxf>
    <dxf>
      <fill>
        <patternFill>
          <bgColor theme="0"/>
        </patternFill>
      </fill>
    </dxf>
    <dxf>
      <fill>
        <patternFill>
          <bgColor theme="0"/>
        </patternFill>
      </fill>
    </dxf>
    <dxf>
      <font>
        <color theme="0"/>
      </font>
      <fill>
        <patternFill>
          <bgColor theme="0"/>
        </patternFill>
      </fill>
    </dxf>
    <dxf>
      <fill>
        <patternFill>
          <bgColor rgb="FFE8E8E8"/>
        </patternFill>
      </fill>
    </dxf>
    <dxf>
      <font>
        <b/>
        <i val="0"/>
        <color rgb="FF480000"/>
      </font>
      <fill>
        <patternFill>
          <bgColor rgb="FFFFDA65"/>
        </patternFill>
      </fill>
    </dxf>
    <dxf>
      <font>
        <b/>
        <i val="0"/>
        <color rgb="FF480000"/>
      </font>
      <fill>
        <patternFill>
          <bgColor rgb="FFFFDA65"/>
        </patternFill>
      </fill>
    </dxf>
    <dxf>
      <fill>
        <patternFill>
          <bgColor theme="0"/>
        </patternFill>
      </fill>
    </dxf>
    <dxf>
      <fill>
        <patternFill>
          <bgColor theme="0"/>
        </patternFill>
      </fill>
    </dxf>
    <dxf>
      <font>
        <color theme="0"/>
      </font>
      <fill>
        <patternFill>
          <bgColor theme="0"/>
        </patternFill>
      </fill>
    </dxf>
    <dxf>
      <fill>
        <patternFill>
          <bgColor rgb="FFE8E8E8"/>
        </patternFill>
      </fill>
    </dxf>
    <dxf>
      <font>
        <b/>
        <i val="0"/>
        <color rgb="FF480000"/>
      </font>
      <fill>
        <patternFill>
          <bgColor rgb="FFFFDA65"/>
        </patternFill>
      </fill>
    </dxf>
    <dxf>
      <font>
        <b/>
        <i val="0"/>
        <color rgb="FF480000"/>
      </font>
      <fill>
        <patternFill>
          <bgColor rgb="FFFFDA65"/>
        </patternFill>
      </fill>
    </dxf>
    <dxf>
      <fill>
        <patternFill>
          <bgColor theme="0"/>
        </patternFill>
      </fill>
    </dxf>
    <dxf>
      <fill>
        <patternFill>
          <bgColor theme="0"/>
        </patternFill>
      </fill>
    </dxf>
    <dxf>
      <font>
        <color theme="0"/>
      </font>
      <fill>
        <patternFill>
          <bgColor theme="0"/>
        </patternFill>
      </fill>
    </dxf>
    <dxf>
      <fill>
        <patternFill>
          <bgColor rgb="FFE8E8E8"/>
        </patternFill>
      </fill>
    </dxf>
    <dxf>
      <font>
        <b/>
        <i val="0"/>
        <color rgb="FF480000"/>
      </font>
      <fill>
        <patternFill>
          <bgColor rgb="FFFFDA65"/>
        </patternFill>
      </fill>
    </dxf>
    <dxf>
      <font>
        <b/>
        <i val="0"/>
        <color rgb="FF480000"/>
      </font>
      <fill>
        <patternFill>
          <bgColor rgb="FFFFDA65"/>
        </patternFill>
      </fill>
    </dxf>
    <dxf>
      <fill>
        <patternFill>
          <bgColor theme="0"/>
        </patternFill>
      </fill>
    </dxf>
    <dxf>
      <fill>
        <patternFill>
          <bgColor theme="0"/>
        </patternFill>
      </fill>
    </dxf>
    <dxf>
      <font>
        <color theme="0"/>
      </font>
      <fill>
        <patternFill>
          <bgColor theme="0"/>
        </patternFill>
      </fill>
    </dxf>
    <dxf>
      <fill>
        <patternFill>
          <bgColor rgb="FFE8E8E8"/>
        </patternFill>
      </fill>
    </dxf>
    <dxf>
      <font>
        <b/>
        <i val="0"/>
        <color rgb="FF480000"/>
      </font>
      <fill>
        <patternFill>
          <bgColor rgb="FFFFDA65"/>
        </patternFill>
      </fill>
    </dxf>
    <dxf>
      <font>
        <b/>
        <i val="0"/>
        <color rgb="FF480000"/>
      </font>
      <fill>
        <patternFill>
          <bgColor rgb="FFFFDA65"/>
        </patternFill>
      </fill>
    </dxf>
    <dxf>
      <fill>
        <patternFill>
          <bgColor theme="0"/>
        </patternFill>
      </fill>
    </dxf>
    <dxf>
      <fill>
        <patternFill>
          <bgColor theme="0"/>
        </patternFill>
      </fill>
    </dxf>
    <dxf>
      <font>
        <color theme="0"/>
      </font>
      <fill>
        <patternFill>
          <bgColor theme="0"/>
        </patternFill>
      </fill>
    </dxf>
    <dxf>
      <fill>
        <patternFill>
          <bgColor rgb="FFE8E8E8"/>
        </patternFill>
      </fill>
    </dxf>
    <dxf>
      <font>
        <b/>
        <i val="0"/>
        <color rgb="FF480000"/>
      </font>
      <fill>
        <patternFill>
          <bgColor rgb="FFFFDA65"/>
        </patternFill>
      </fill>
    </dxf>
    <dxf>
      <font>
        <b/>
        <i val="0"/>
        <color rgb="FF480000"/>
      </font>
      <fill>
        <patternFill>
          <bgColor rgb="FFFFDA65"/>
        </patternFill>
      </fill>
    </dxf>
    <dxf>
      <fill>
        <patternFill>
          <bgColor theme="0"/>
        </patternFill>
      </fill>
    </dxf>
    <dxf>
      <fill>
        <patternFill>
          <bgColor theme="0"/>
        </patternFill>
      </fill>
    </dxf>
    <dxf>
      <font>
        <color theme="0"/>
      </font>
      <fill>
        <patternFill>
          <bgColor theme="0"/>
        </patternFill>
      </fill>
    </dxf>
    <dxf>
      <fill>
        <patternFill>
          <bgColor rgb="FFE8E8E8"/>
        </patternFill>
      </fill>
    </dxf>
    <dxf>
      <font>
        <b/>
        <i val="0"/>
        <color rgb="FF480000"/>
      </font>
      <fill>
        <patternFill>
          <bgColor rgb="FFFFDA65"/>
        </patternFill>
      </fill>
    </dxf>
    <dxf>
      <font>
        <b/>
        <i val="0"/>
        <color rgb="FF480000"/>
      </font>
      <fill>
        <patternFill>
          <bgColor rgb="FFFFDA65"/>
        </patternFill>
      </fill>
    </dxf>
    <dxf>
      <fill>
        <patternFill>
          <bgColor theme="0"/>
        </patternFill>
      </fill>
    </dxf>
    <dxf>
      <fill>
        <patternFill>
          <bgColor theme="0"/>
        </patternFill>
      </fill>
    </dxf>
    <dxf>
      <font>
        <color theme="0"/>
      </font>
      <fill>
        <patternFill>
          <bgColor theme="0"/>
        </patternFill>
      </fill>
    </dxf>
    <dxf>
      <fill>
        <patternFill>
          <bgColor rgb="FFE8E8E8"/>
        </patternFill>
      </fill>
    </dxf>
    <dxf>
      <font>
        <b/>
        <i val="0"/>
        <color rgb="FF480000"/>
      </font>
      <fill>
        <patternFill>
          <bgColor rgb="FFFFDA65"/>
        </patternFill>
      </fill>
    </dxf>
    <dxf>
      <font>
        <b/>
        <i val="0"/>
        <color rgb="FF480000"/>
      </font>
      <fill>
        <patternFill>
          <bgColor rgb="FFFFDA65"/>
        </patternFill>
      </fill>
    </dxf>
    <dxf>
      <fill>
        <patternFill>
          <bgColor theme="0"/>
        </patternFill>
      </fill>
    </dxf>
    <dxf>
      <fill>
        <patternFill>
          <bgColor theme="0"/>
        </patternFill>
      </fill>
    </dxf>
    <dxf>
      <font>
        <color theme="0"/>
      </font>
      <fill>
        <patternFill>
          <bgColor theme="0"/>
        </patternFill>
      </fill>
    </dxf>
    <dxf>
      <fill>
        <patternFill>
          <bgColor rgb="FFE8E8E8"/>
        </patternFill>
      </fill>
    </dxf>
    <dxf>
      <font>
        <b/>
        <i val="0"/>
        <color rgb="FF480000"/>
      </font>
      <fill>
        <patternFill>
          <bgColor rgb="FFFFDA65"/>
        </patternFill>
      </fill>
    </dxf>
    <dxf>
      <font>
        <b/>
        <i val="0"/>
        <color rgb="FF480000"/>
      </font>
      <fill>
        <patternFill>
          <bgColor rgb="FFFFDA65"/>
        </patternFill>
      </fill>
    </dxf>
    <dxf>
      <fill>
        <patternFill>
          <bgColor theme="0"/>
        </patternFill>
      </fill>
    </dxf>
    <dxf>
      <fill>
        <patternFill>
          <bgColor theme="0"/>
        </patternFill>
      </fill>
    </dxf>
    <dxf>
      <font>
        <color theme="0"/>
      </font>
      <fill>
        <patternFill>
          <bgColor theme="0"/>
        </patternFill>
      </fill>
    </dxf>
    <dxf>
      <fill>
        <patternFill>
          <bgColor rgb="FFE8E8E8"/>
        </patternFill>
      </fill>
    </dxf>
    <dxf>
      <font>
        <b/>
        <i val="0"/>
        <color rgb="FF480000"/>
      </font>
      <fill>
        <patternFill>
          <bgColor rgb="FFFFDA65"/>
        </patternFill>
      </fill>
    </dxf>
    <dxf>
      <font>
        <b/>
        <i val="0"/>
        <color rgb="FF480000"/>
      </font>
      <fill>
        <patternFill>
          <bgColor rgb="FFFFDA65"/>
        </patternFill>
      </fill>
    </dxf>
    <dxf>
      <fill>
        <patternFill>
          <bgColor theme="0"/>
        </patternFill>
      </fill>
    </dxf>
    <dxf>
      <fill>
        <patternFill>
          <bgColor theme="0"/>
        </patternFill>
      </fill>
    </dxf>
    <dxf>
      <font>
        <color theme="0"/>
      </font>
      <fill>
        <patternFill>
          <bgColor theme="0"/>
        </patternFill>
      </fill>
    </dxf>
    <dxf>
      <fill>
        <patternFill>
          <bgColor rgb="FFE8E8E8"/>
        </patternFill>
      </fill>
    </dxf>
    <dxf>
      <font>
        <b/>
        <i val="0"/>
        <color rgb="FF480000"/>
      </font>
      <fill>
        <patternFill>
          <bgColor rgb="FFFFDA65"/>
        </patternFill>
      </fill>
    </dxf>
    <dxf>
      <font>
        <b/>
        <i val="0"/>
        <color rgb="FF480000"/>
      </font>
      <fill>
        <patternFill>
          <bgColor rgb="FFFFDA65"/>
        </patternFill>
      </fill>
    </dxf>
    <dxf>
      <fill>
        <patternFill>
          <bgColor theme="0"/>
        </patternFill>
      </fill>
    </dxf>
    <dxf>
      <fill>
        <patternFill>
          <bgColor theme="0"/>
        </patternFill>
      </fill>
    </dxf>
    <dxf>
      <font>
        <color theme="0"/>
      </font>
      <fill>
        <patternFill>
          <bgColor theme="0"/>
        </patternFill>
      </fill>
    </dxf>
    <dxf>
      <fill>
        <patternFill>
          <bgColor rgb="FFE8E8E8"/>
        </patternFill>
      </fill>
    </dxf>
    <dxf>
      <font>
        <b/>
        <i val="0"/>
        <color rgb="FF480000"/>
      </font>
      <fill>
        <patternFill>
          <bgColor rgb="FFFFDA65"/>
        </patternFill>
      </fill>
    </dxf>
    <dxf>
      <font>
        <b/>
        <i val="0"/>
        <color rgb="FF480000"/>
      </font>
      <fill>
        <patternFill>
          <bgColor rgb="FFFFDA65"/>
        </patternFill>
      </fill>
    </dxf>
    <dxf>
      <fill>
        <patternFill>
          <bgColor theme="0"/>
        </patternFill>
      </fill>
    </dxf>
    <dxf>
      <fill>
        <patternFill>
          <bgColor theme="0"/>
        </patternFill>
      </fill>
    </dxf>
    <dxf>
      <font>
        <color theme="0"/>
      </font>
      <fill>
        <patternFill>
          <bgColor theme="0"/>
        </patternFill>
      </fill>
    </dxf>
    <dxf>
      <fill>
        <patternFill>
          <bgColor rgb="FFE8E8E8"/>
        </patternFill>
      </fill>
    </dxf>
    <dxf>
      <font>
        <b/>
        <i val="0"/>
        <color rgb="FF480000"/>
      </font>
      <fill>
        <patternFill>
          <bgColor rgb="FFFFDA65"/>
        </patternFill>
      </fill>
    </dxf>
    <dxf>
      <font>
        <b/>
        <i val="0"/>
        <color rgb="FF480000"/>
      </font>
      <fill>
        <patternFill>
          <bgColor rgb="FFFFDA65"/>
        </patternFill>
      </fill>
    </dxf>
    <dxf>
      <fill>
        <patternFill>
          <bgColor theme="0"/>
        </patternFill>
      </fill>
    </dxf>
    <dxf>
      <fill>
        <patternFill>
          <bgColor theme="0"/>
        </patternFill>
      </fill>
    </dxf>
    <dxf>
      <font>
        <color theme="0"/>
      </font>
      <fill>
        <patternFill>
          <bgColor theme="0"/>
        </patternFill>
      </fill>
    </dxf>
    <dxf>
      <fill>
        <patternFill>
          <bgColor rgb="FFE8E8E8"/>
        </patternFill>
      </fill>
    </dxf>
    <dxf>
      <font>
        <b/>
        <i val="0"/>
        <color rgb="FF480000"/>
      </font>
      <fill>
        <patternFill>
          <bgColor rgb="FFFFDA65"/>
        </patternFill>
      </fill>
    </dxf>
    <dxf>
      <font>
        <b/>
        <i val="0"/>
        <color rgb="FF480000"/>
      </font>
      <fill>
        <patternFill>
          <bgColor rgb="FFFFDA65"/>
        </patternFill>
      </fill>
    </dxf>
    <dxf>
      <fill>
        <patternFill>
          <bgColor theme="0"/>
        </patternFill>
      </fill>
    </dxf>
    <dxf>
      <fill>
        <patternFill>
          <bgColor theme="0"/>
        </patternFill>
      </fill>
    </dxf>
    <dxf>
      <font>
        <color theme="0"/>
      </font>
      <fill>
        <patternFill>
          <bgColor theme="0"/>
        </patternFill>
      </fill>
    </dxf>
    <dxf>
      <fill>
        <patternFill>
          <bgColor rgb="FFE8E8E8"/>
        </patternFill>
      </fill>
    </dxf>
    <dxf>
      <font>
        <b/>
        <i val="0"/>
        <color rgb="FF480000"/>
      </font>
      <fill>
        <patternFill>
          <bgColor rgb="FFFFDA65"/>
        </patternFill>
      </fill>
    </dxf>
    <dxf>
      <font>
        <b/>
        <i val="0"/>
        <color rgb="FF480000"/>
      </font>
      <fill>
        <patternFill>
          <bgColor rgb="FFFFDA65"/>
        </patternFill>
      </fill>
    </dxf>
    <dxf>
      <fill>
        <patternFill>
          <bgColor theme="0"/>
        </patternFill>
      </fill>
    </dxf>
    <dxf>
      <fill>
        <patternFill>
          <bgColor theme="0"/>
        </patternFill>
      </fill>
    </dxf>
    <dxf>
      <font>
        <color theme="0"/>
      </font>
      <fill>
        <patternFill>
          <bgColor theme="0"/>
        </patternFill>
      </fill>
    </dxf>
    <dxf>
      <fill>
        <patternFill>
          <bgColor rgb="FFE8E8E8"/>
        </patternFill>
      </fill>
    </dxf>
    <dxf>
      <font>
        <b/>
        <i val="0"/>
        <color rgb="FF480000"/>
      </font>
      <fill>
        <patternFill>
          <bgColor rgb="FFFFDA65"/>
        </patternFill>
      </fill>
    </dxf>
    <dxf>
      <font>
        <b/>
        <i val="0"/>
        <color rgb="FF480000"/>
      </font>
      <fill>
        <patternFill>
          <bgColor rgb="FFFFDA65"/>
        </patternFill>
      </fill>
    </dxf>
    <dxf>
      <fill>
        <patternFill>
          <bgColor theme="0"/>
        </patternFill>
      </fill>
    </dxf>
    <dxf>
      <fill>
        <patternFill>
          <bgColor theme="0"/>
        </patternFill>
      </fill>
    </dxf>
    <dxf>
      <font>
        <color theme="0"/>
      </font>
      <fill>
        <patternFill>
          <bgColor theme="0"/>
        </patternFill>
      </fill>
    </dxf>
    <dxf>
      <fill>
        <patternFill>
          <bgColor rgb="FFE8E8E8"/>
        </patternFill>
      </fill>
    </dxf>
    <dxf>
      <font>
        <b/>
        <i val="0"/>
        <color rgb="FF480000"/>
      </font>
      <fill>
        <patternFill>
          <bgColor rgb="FFFFDA65"/>
        </patternFill>
      </fill>
    </dxf>
    <dxf>
      <font>
        <b/>
        <i val="0"/>
        <color rgb="FF480000"/>
      </font>
      <fill>
        <patternFill>
          <bgColor rgb="FFFFDA65"/>
        </patternFill>
      </fill>
    </dxf>
    <dxf>
      <fill>
        <patternFill>
          <bgColor theme="0"/>
        </patternFill>
      </fill>
    </dxf>
    <dxf>
      <fill>
        <patternFill>
          <bgColor theme="0"/>
        </patternFill>
      </fill>
    </dxf>
    <dxf>
      <font>
        <color theme="0"/>
      </font>
      <fill>
        <patternFill>
          <bgColor theme="0"/>
        </patternFill>
      </fill>
    </dxf>
    <dxf>
      <fill>
        <patternFill>
          <bgColor rgb="FFE8E8E8"/>
        </patternFill>
      </fill>
    </dxf>
    <dxf>
      <font>
        <b/>
        <i val="0"/>
        <color rgb="FF480000"/>
      </font>
      <fill>
        <patternFill>
          <bgColor rgb="FFFFDA65"/>
        </patternFill>
      </fill>
    </dxf>
    <dxf>
      <font>
        <b/>
        <i val="0"/>
        <color rgb="FF480000"/>
      </font>
      <fill>
        <patternFill>
          <bgColor rgb="FFFFDA65"/>
        </patternFill>
      </fill>
    </dxf>
    <dxf>
      <fill>
        <patternFill>
          <bgColor theme="0"/>
        </patternFill>
      </fill>
    </dxf>
    <dxf>
      <fill>
        <patternFill>
          <bgColor theme="0"/>
        </patternFill>
      </fill>
    </dxf>
    <dxf>
      <font>
        <color theme="0"/>
      </font>
      <fill>
        <patternFill>
          <bgColor theme="0"/>
        </patternFill>
      </fill>
    </dxf>
    <dxf>
      <fill>
        <patternFill>
          <bgColor rgb="FFE8E8E8"/>
        </patternFill>
      </fill>
    </dxf>
    <dxf>
      <font>
        <b/>
        <i val="0"/>
        <color rgb="FF480000"/>
      </font>
      <fill>
        <patternFill>
          <bgColor rgb="FFFFDA65"/>
        </patternFill>
      </fill>
    </dxf>
    <dxf>
      <font>
        <b/>
        <i val="0"/>
        <color rgb="FF480000"/>
      </font>
      <fill>
        <patternFill>
          <bgColor rgb="FFFFDA65"/>
        </patternFill>
      </fill>
    </dxf>
    <dxf>
      <fill>
        <patternFill>
          <bgColor theme="0"/>
        </patternFill>
      </fill>
    </dxf>
    <dxf>
      <fill>
        <patternFill>
          <bgColor theme="0"/>
        </patternFill>
      </fill>
    </dxf>
    <dxf>
      <font>
        <color theme="0"/>
      </font>
      <fill>
        <patternFill>
          <bgColor theme="0"/>
        </patternFill>
      </fill>
    </dxf>
    <dxf>
      <fill>
        <patternFill>
          <bgColor rgb="FFE8E8E8"/>
        </patternFill>
      </fill>
    </dxf>
    <dxf>
      <font>
        <b/>
        <i val="0"/>
        <color rgb="FF480000"/>
      </font>
      <fill>
        <patternFill>
          <bgColor rgb="FFFFDA65"/>
        </patternFill>
      </fill>
    </dxf>
    <dxf>
      <font>
        <b/>
        <i val="0"/>
        <color rgb="FF480000"/>
      </font>
      <fill>
        <patternFill>
          <bgColor rgb="FFFFDA65"/>
        </patternFill>
      </fill>
    </dxf>
    <dxf>
      <fill>
        <patternFill>
          <bgColor theme="0"/>
        </patternFill>
      </fill>
    </dxf>
    <dxf>
      <fill>
        <patternFill>
          <bgColor theme="0"/>
        </patternFill>
      </fill>
    </dxf>
    <dxf>
      <font>
        <color theme="0"/>
      </font>
      <fill>
        <patternFill>
          <bgColor theme="0"/>
        </patternFill>
      </fill>
    </dxf>
    <dxf>
      <fill>
        <patternFill>
          <bgColor rgb="FFE8E8E8"/>
        </patternFill>
      </fill>
    </dxf>
    <dxf>
      <font>
        <b/>
        <i val="0"/>
        <color rgb="FF480000"/>
      </font>
      <fill>
        <patternFill>
          <bgColor rgb="FFFFDA65"/>
        </patternFill>
      </fill>
    </dxf>
    <dxf>
      <font>
        <b/>
        <i val="0"/>
        <color rgb="FF480000"/>
      </font>
      <fill>
        <patternFill>
          <bgColor rgb="FFFFDA65"/>
        </patternFill>
      </fill>
    </dxf>
    <dxf>
      <fill>
        <patternFill>
          <bgColor theme="0"/>
        </patternFill>
      </fill>
    </dxf>
    <dxf>
      <fill>
        <patternFill>
          <bgColor theme="0"/>
        </patternFill>
      </fill>
    </dxf>
    <dxf>
      <font>
        <color theme="0"/>
      </font>
      <fill>
        <patternFill>
          <bgColor theme="0"/>
        </patternFill>
      </fill>
    </dxf>
    <dxf>
      <fill>
        <patternFill>
          <bgColor rgb="FFE8E8E8"/>
        </patternFill>
      </fill>
    </dxf>
    <dxf>
      <font>
        <b/>
        <i val="0"/>
        <color rgb="FF480000"/>
      </font>
      <fill>
        <patternFill>
          <bgColor rgb="FFFFDA65"/>
        </patternFill>
      </fill>
    </dxf>
    <dxf>
      <font>
        <b/>
        <i val="0"/>
        <color rgb="FF480000"/>
      </font>
      <fill>
        <patternFill>
          <bgColor rgb="FFFFDA65"/>
        </patternFill>
      </fill>
    </dxf>
    <dxf>
      <fill>
        <patternFill>
          <bgColor theme="0"/>
        </patternFill>
      </fill>
    </dxf>
    <dxf>
      <fill>
        <patternFill>
          <bgColor theme="0"/>
        </patternFill>
      </fill>
    </dxf>
    <dxf>
      <font>
        <color theme="0"/>
      </font>
      <fill>
        <patternFill>
          <bgColor theme="0"/>
        </patternFill>
      </fill>
    </dxf>
    <dxf>
      <fill>
        <patternFill>
          <bgColor rgb="FFE8E8E8"/>
        </patternFill>
      </fill>
    </dxf>
    <dxf>
      <font>
        <b/>
        <i val="0"/>
        <color rgb="FF480000"/>
      </font>
      <fill>
        <patternFill>
          <bgColor rgb="FFFFDA65"/>
        </patternFill>
      </fill>
    </dxf>
    <dxf>
      <font>
        <b/>
        <i val="0"/>
        <color rgb="FF480000"/>
      </font>
      <fill>
        <patternFill>
          <bgColor rgb="FFFFDA65"/>
        </patternFill>
      </fill>
    </dxf>
    <dxf>
      <fill>
        <patternFill>
          <bgColor theme="0"/>
        </patternFill>
      </fill>
    </dxf>
    <dxf>
      <fill>
        <patternFill>
          <bgColor theme="0"/>
        </patternFill>
      </fill>
    </dxf>
    <dxf>
      <font>
        <color theme="0"/>
      </font>
      <fill>
        <patternFill>
          <bgColor theme="0"/>
        </patternFill>
      </fill>
    </dxf>
    <dxf>
      <fill>
        <patternFill>
          <bgColor rgb="FFE8E8E8"/>
        </patternFill>
      </fill>
    </dxf>
    <dxf>
      <font>
        <b/>
        <i val="0"/>
        <color rgb="FF480000"/>
      </font>
      <fill>
        <patternFill>
          <bgColor rgb="FFFFDA65"/>
        </patternFill>
      </fill>
    </dxf>
    <dxf>
      <font>
        <b/>
        <i val="0"/>
        <color rgb="FF480000"/>
      </font>
      <fill>
        <patternFill>
          <bgColor rgb="FFFFDA65"/>
        </patternFill>
      </fill>
    </dxf>
    <dxf>
      <fill>
        <patternFill>
          <bgColor theme="0"/>
        </patternFill>
      </fill>
    </dxf>
    <dxf>
      <fill>
        <patternFill>
          <bgColor theme="0"/>
        </patternFill>
      </fill>
    </dxf>
    <dxf>
      <font>
        <color theme="0"/>
      </font>
      <fill>
        <patternFill>
          <bgColor theme="0"/>
        </patternFill>
      </fill>
    </dxf>
    <dxf>
      <fill>
        <patternFill>
          <bgColor rgb="FFE8E8E8"/>
        </patternFill>
      </fill>
    </dxf>
    <dxf>
      <font>
        <b/>
        <i val="0"/>
        <color rgb="FF480000"/>
      </font>
      <fill>
        <patternFill>
          <bgColor rgb="FFFFDA65"/>
        </patternFill>
      </fill>
    </dxf>
    <dxf>
      <font>
        <b/>
        <i val="0"/>
        <color rgb="FF480000"/>
      </font>
      <fill>
        <patternFill>
          <bgColor rgb="FFFFDA65"/>
        </patternFill>
      </fill>
    </dxf>
    <dxf>
      <fill>
        <patternFill>
          <bgColor theme="0"/>
        </patternFill>
      </fill>
    </dxf>
    <dxf>
      <fill>
        <patternFill>
          <bgColor theme="0"/>
        </patternFill>
      </fill>
    </dxf>
    <dxf>
      <font>
        <color theme="0"/>
      </font>
      <fill>
        <patternFill>
          <bgColor theme="0"/>
        </patternFill>
      </fill>
    </dxf>
    <dxf>
      <fill>
        <patternFill>
          <bgColor rgb="FFE8E8E8"/>
        </patternFill>
      </fill>
    </dxf>
    <dxf>
      <font>
        <b/>
        <i val="0"/>
        <color rgb="FF480000"/>
      </font>
      <fill>
        <patternFill>
          <bgColor rgb="FFFFDA65"/>
        </patternFill>
      </fill>
    </dxf>
    <dxf>
      <font>
        <b/>
        <i val="0"/>
        <color rgb="FF480000"/>
      </font>
      <fill>
        <patternFill>
          <bgColor rgb="FFFFDA65"/>
        </patternFill>
      </fill>
    </dxf>
    <dxf>
      <fill>
        <patternFill>
          <bgColor theme="0"/>
        </patternFill>
      </fill>
    </dxf>
    <dxf>
      <fill>
        <patternFill>
          <bgColor theme="0"/>
        </patternFill>
      </fill>
    </dxf>
    <dxf>
      <font>
        <color theme="0"/>
      </font>
      <fill>
        <patternFill>
          <bgColor theme="0"/>
        </patternFill>
      </fill>
    </dxf>
    <dxf>
      <fill>
        <patternFill>
          <bgColor rgb="FFE8E8E8"/>
        </patternFill>
      </fill>
    </dxf>
    <dxf>
      <font>
        <b/>
        <i val="0"/>
        <color rgb="FF480000"/>
      </font>
      <fill>
        <patternFill>
          <bgColor rgb="FFFFDA65"/>
        </patternFill>
      </fill>
    </dxf>
    <dxf>
      <font>
        <b/>
        <i val="0"/>
        <color rgb="FF480000"/>
      </font>
      <fill>
        <patternFill>
          <bgColor rgb="FFFFDA65"/>
        </patternFill>
      </fill>
    </dxf>
    <dxf>
      <fill>
        <patternFill>
          <bgColor theme="0"/>
        </patternFill>
      </fill>
    </dxf>
    <dxf>
      <fill>
        <patternFill>
          <bgColor theme="0"/>
        </patternFill>
      </fill>
    </dxf>
    <dxf>
      <font>
        <color theme="0"/>
      </font>
      <fill>
        <patternFill>
          <bgColor theme="0"/>
        </patternFill>
      </fill>
    </dxf>
    <dxf>
      <fill>
        <patternFill>
          <bgColor rgb="FFE8E8E8"/>
        </patternFill>
      </fill>
    </dxf>
    <dxf>
      <font>
        <b/>
        <i val="0"/>
        <color rgb="FF480000"/>
      </font>
      <fill>
        <patternFill>
          <bgColor rgb="FFFFDA65"/>
        </patternFill>
      </fill>
    </dxf>
    <dxf>
      <font>
        <b/>
        <i val="0"/>
        <color rgb="FF480000"/>
      </font>
      <fill>
        <patternFill>
          <bgColor rgb="FFFFDA65"/>
        </patternFill>
      </fill>
    </dxf>
    <dxf>
      <fill>
        <patternFill>
          <bgColor theme="0"/>
        </patternFill>
      </fill>
    </dxf>
    <dxf>
      <fill>
        <patternFill>
          <bgColor theme="0"/>
        </patternFill>
      </fill>
    </dxf>
    <dxf>
      <font>
        <color theme="0"/>
      </font>
      <fill>
        <patternFill>
          <bgColor theme="0"/>
        </patternFill>
      </fill>
    </dxf>
    <dxf>
      <fill>
        <patternFill>
          <bgColor rgb="FFE8E8E8"/>
        </patternFill>
      </fill>
    </dxf>
    <dxf>
      <font>
        <b/>
        <i val="0"/>
        <color rgb="FF480000"/>
      </font>
      <fill>
        <patternFill>
          <bgColor rgb="FFFFDA65"/>
        </patternFill>
      </fill>
    </dxf>
    <dxf>
      <font>
        <b/>
        <i val="0"/>
        <color rgb="FF480000"/>
      </font>
      <fill>
        <patternFill>
          <bgColor rgb="FFFFDA65"/>
        </patternFill>
      </fill>
    </dxf>
    <dxf>
      <fill>
        <patternFill>
          <bgColor theme="0"/>
        </patternFill>
      </fill>
    </dxf>
    <dxf>
      <fill>
        <patternFill>
          <bgColor theme="0"/>
        </patternFill>
      </fill>
    </dxf>
    <dxf>
      <font>
        <color theme="0"/>
      </font>
      <fill>
        <patternFill>
          <bgColor theme="0"/>
        </patternFill>
      </fill>
    </dxf>
    <dxf>
      <fill>
        <patternFill>
          <bgColor rgb="FFE8E8E8"/>
        </patternFill>
      </fill>
    </dxf>
    <dxf>
      <font>
        <b/>
        <i val="0"/>
        <color rgb="FF480000"/>
      </font>
      <fill>
        <patternFill>
          <bgColor rgb="FFFFDA65"/>
        </patternFill>
      </fill>
    </dxf>
    <dxf>
      <font>
        <b/>
        <i val="0"/>
        <color rgb="FF480000"/>
      </font>
      <fill>
        <patternFill>
          <bgColor rgb="FFFFDA65"/>
        </patternFill>
      </fill>
    </dxf>
    <dxf>
      <fill>
        <patternFill>
          <bgColor theme="0"/>
        </patternFill>
      </fill>
    </dxf>
    <dxf>
      <fill>
        <patternFill>
          <bgColor theme="0"/>
        </patternFill>
      </fill>
    </dxf>
    <dxf>
      <font>
        <color theme="0"/>
      </font>
      <fill>
        <patternFill>
          <bgColor theme="0"/>
        </patternFill>
      </fill>
    </dxf>
    <dxf>
      <fill>
        <patternFill>
          <bgColor rgb="FFE8E8E8"/>
        </patternFill>
      </fill>
    </dxf>
    <dxf>
      <font>
        <b/>
        <i val="0"/>
        <color rgb="FF480000"/>
      </font>
      <fill>
        <patternFill>
          <bgColor rgb="FFFFDA65"/>
        </patternFill>
      </fill>
    </dxf>
    <dxf>
      <font>
        <b/>
        <i val="0"/>
        <color rgb="FF480000"/>
      </font>
      <fill>
        <patternFill>
          <bgColor rgb="FFFFDA65"/>
        </patternFill>
      </fill>
    </dxf>
    <dxf>
      <fill>
        <patternFill>
          <bgColor theme="0"/>
        </patternFill>
      </fill>
    </dxf>
    <dxf>
      <fill>
        <patternFill>
          <bgColor theme="0"/>
        </patternFill>
      </fill>
    </dxf>
    <dxf>
      <font>
        <color theme="0"/>
      </font>
      <fill>
        <patternFill>
          <bgColor theme="0"/>
        </patternFill>
      </fill>
    </dxf>
    <dxf>
      <fill>
        <patternFill>
          <bgColor rgb="FFE8E8E8"/>
        </patternFill>
      </fill>
    </dxf>
    <dxf>
      <font>
        <b/>
        <i val="0"/>
        <color rgb="FF480000"/>
      </font>
      <fill>
        <patternFill>
          <bgColor rgb="FFFFDA65"/>
        </patternFill>
      </fill>
    </dxf>
    <dxf>
      <font>
        <b/>
        <i val="0"/>
        <color rgb="FF480000"/>
      </font>
      <fill>
        <patternFill>
          <bgColor rgb="FFFFDA65"/>
        </patternFill>
      </fill>
    </dxf>
    <dxf>
      <fill>
        <patternFill>
          <bgColor theme="0"/>
        </patternFill>
      </fill>
    </dxf>
    <dxf>
      <fill>
        <patternFill>
          <bgColor theme="0"/>
        </patternFill>
      </fill>
    </dxf>
    <dxf>
      <font>
        <color theme="0"/>
      </font>
      <fill>
        <patternFill>
          <bgColor theme="0"/>
        </patternFill>
      </fill>
    </dxf>
    <dxf>
      <fill>
        <patternFill>
          <bgColor rgb="FFE8E8E8"/>
        </patternFill>
      </fill>
    </dxf>
    <dxf>
      <font>
        <b/>
        <i val="0"/>
        <color rgb="FF480000"/>
      </font>
      <fill>
        <patternFill>
          <bgColor rgb="FFFFDA65"/>
        </patternFill>
      </fill>
    </dxf>
    <dxf>
      <font>
        <b/>
        <i val="0"/>
        <color rgb="FF480000"/>
      </font>
      <fill>
        <patternFill>
          <bgColor rgb="FFFFDA65"/>
        </patternFill>
      </fill>
    </dxf>
    <dxf>
      <fill>
        <patternFill>
          <bgColor theme="0"/>
        </patternFill>
      </fill>
    </dxf>
    <dxf>
      <fill>
        <patternFill>
          <bgColor theme="0"/>
        </patternFill>
      </fill>
    </dxf>
    <dxf>
      <font>
        <color theme="0"/>
      </font>
      <fill>
        <patternFill>
          <bgColor theme="0"/>
        </patternFill>
      </fill>
    </dxf>
    <dxf>
      <fill>
        <patternFill>
          <bgColor rgb="FFE8E8E8"/>
        </patternFill>
      </fill>
    </dxf>
    <dxf>
      <font>
        <b/>
        <i val="0"/>
        <color rgb="FF480000"/>
      </font>
      <fill>
        <patternFill>
          <bgColor rgb="FFFFDA65"/>
        </patternFill>
      </fill>
    </dxf>
    <dxf>
      <font>
        <b/>
        <i val="0"/>
        <color rgb="FF480000"/>
      </font>
      <fill>
        <patternFill>
          <bgColor rgb="FFFFDA65"/>
        </patternFill>
      </fill>
    </dxf>
    <dxf>
      <fill>
        <patternFill>
          <bgColor theme="0"/>
        </patternFill>
      </fill>
    </dxf>
    <dxf>
      <fill>
        <patternFill>
          <bgColor theme="0"/>
        </patternFill>
      </fill>
    </dxf>
    <dxf>
      <font>
        <color theme="0"/>
      </font>
      <fill>
        <patternFill>
          <bgColor theme="0"/>
        </patternFill>
      </fill>
    </dxf>
    <dxf>
      <fill>
        <patternFill>
          <bgColor rgb="FFE8E8E8"/>
        </patternFill>
      </fill>
    </dxf>
    <dxf>
      <font>
        <b/>
        <i val="0"/>
        <color rgb="FF480000"/>
      </font>
      <fill>
        <patternFill>
          <bgColor rgb="FFFFDA65"/>
        </patternFill>
      </fill>
    </dxf>
    <dxf>
      <font>
        <b/>
        <i val="0"/>
        <color rgb="FF480000"/>
      </font>
      <fill>
        <patternFill>
          <bgColor rgb="FFFFDA65"/>
        </patternFill>
      </fill>
    </dxf>
    <dxf>
      <fill>
        <patternFill>
          <bgColor theme="0"/>
        </patternFill>
      </fill>
    </dxf>
    <dxf>
      <fill>
        <patternFill>
          <bgColor theme="0"/>
        </patternFill>
      </fill>
    </dxf>
    <dxf>
      <font>
        <color theme="0"/>
      </font>
      <fill>
        <patternFill>
          <bgColor theme="0"/>
        </patternFill>
      </fill>
    </dxf>
    <dxf>
      <fill>
        <patternFill>
          <bgColor rgb="FFE8E8E8"/>
        </patternFill>
      </fill>
    </dxf>
    <dxf>
      <font>
        <b/>
        <i val="0"/>
        <color rgb="FF480000"/>
      </font>
      <fill>
        <patternFill>
          <bgColor rgb="FFFFDA65"/>
        </patternFill>
      </fill>
    </dxf>
    <dxf>
      <font>
        <b/>
        <i val="0"/>
        <color rgb="FF480000"/>
      </font>
      <fill>
        <patternFill>
          <bgColor rgb="FFFFDA65"/>
        </patternFill>
      </fill>
    </dxf>
    <dxf>
      <fill>
        <patternFill>
          <bgColor theme="0"/>
        </patternFill>
      </fill>
    </dxf>
    <dxf>
      <fill>
        <patternFill>
          <bgColor theme="0"/>
        </patternFill>
      </fill>
    </dxf>
    <dxf>
      <font>
        <color theme="0"/>
      </font>
      <fill>
        <patternFill>
          <bgColor theme="0"/>
        </patternFill>
      </fill>
    </dxf>
    <dxf>
      <fill>
        <patternFill>
          <bgColor rgb="FFE8E8E8"/>
        </patternFill>
      </fill>
    </dxf>
    <dxf>
      <font>
        <b/>
        <i val="0"/>
        <color rgb="FF480000"/>
      </font>
      <fill>
        <patternFill>
          <bgColor rgb="FFFFDA65"/>
        </patternFill>
      </fill>
    </dxf>
    <dxf>
      <font>
        <b/>
        <i val="0"/>
        <color rgb="FF480000"/>
      </font>
      <fill>
        <patternFill>
          <bgColor rgb="FFFFDA65"/>
        </patternFill>
      </fill>
    </dxf>
    <dxf>
      <fill>
        <patternFill>
          <bgColor theme="0"/>
        </patternFill>
      </fill>
    </dxf>
    <dxf>
      <fill>
        <patternFill>
          <bgColor theme="0"/>
        </patternFill>
      </fill>
    </dxf>
    <dxf>
      <font>
        <color theme="0"/>
      </font>
      <fill>
        <patternFill>
          <bgColor theme="0"/>
        </patternFill>
      </fill>
    </dxf>
    <dxf>
      <fill>
        <patternFill>
          <bgColor rgb="FFE8E8E8"/>
        </patternFill>
      </fill>
    </dxf>
    <dxf>
      <font>
        <b/>
        <i val="0"/>
        <color rgb="FF480000"/>
      </font>
      <fill>
        <patternFill>
          <bgColor rgb="FFFFDA65"/>
        </patternFill>
      </fill>
    </dxf>
    <dxf>
      <font>
        <b/>
        <i val="0"/>
        <color rgb="FF480000"/>
      </font>
      <fill>
        <patternFill>
          <bgColor rgb="FFFFDA65"/>
        </patternFill>
      </fill>
    </dxf>
    <dxf>
      <fill>
        <patternFill>
          <bgColor theme="0"/>
        </patternFill>
      </fill>
    </dxf>
    <dxf>
      <fill>
        <patternFill>
          <bgColor theme="0"/>
        </patternFill>
      </fill>
    </dxf>
    <dxf>
      <font>
        <color theme="0"/>
      </font>
      <fill>
        <patternFill>
          <bgColor theme="0"/>
        </patternFill>
      </fill>
    </dxf>
    <dxf>
      <fill>
        <patternFill>
          <bgColor rgb="FFE8E8E8"/>
        </patternFill>
      </fill>
    </dxf>
    <dxf>
      <font>
        <b/>
        <i val="0"/>
        <color rgb="FF480000"/>
      </font>
      <fill>
        <patternFill>
          <bgColor rgb="FFFFDA65"/>
        </patternFill>
      </fill>
    </dxf>
    <dxf>
      <font>
        <b/>
        <i val="0"/>
        <color rgb="FF480000"/>
      </font>
      <fill>
        <patternFill>
          <bgColor rgb="FFFFDA65"/>
        </patternFill>
      </fill>
    </dxf>
    <dxf>
      <fill>
        <patternFill>
          <bgColor theme="0"/>
        </patternFill>
      </fill>
    </dxf>
    <dxf>
      <fill>
        <patternFill>
          <bgColor theme="0"/>
        </patternFill>
      </fill>
    </dxf>
    <dxf>
      <font>
        <color theme="0"/>
      </font>
      <fill>
        <patternFill>
          <bgColor theme="0"/>
        </patternFill>
      </fill>
    </dxf>
    <dxf>
      <fill>
        <patternFill>
          <bgColor rgb="FFE8E8E8"/>
        </patternFill>
      </fill>
    </dxf>
    <dxf>
      <font>
        <b/>
        <i val="0"/>
        <color rgb="FF480000"/>
      </font>
      <fill>
        <patternFill>
          <bgColor rgb="FFFFDA65"/>
        </patternFill>
      </fill>
    </dxf>
    <dxf>
      <font>
        <b/>
        <i val="0"/>
        <color rgb="FF480000"/>
      </font>
      <fill>
        <patternFill>
          <bgColor rgb="FFFFDA65"/>
        </patternFill>
      </fill>
    </dxf>
    <dxf>
      <fill>
        <patternFill>
          <bgColor theme="0"/>
        </patternFill>
      </fill>
    </dxf>
    <dxf>
      <fill>
        <patternFill>
          <bgColor theme="0"/>
        </patternFill>
      </fill>
    </dxf>
    <dxf>
      <font>
        <color theme="0"/>
      </font>
      <fill>
        <patternFill>
          <bgColor theme="0"/>
        </patternFill>
      </fill>
    </dxf>
    <dxf>
      <fill>
        <patternFill>
          <bgColor rgb="FFE8E8E8"/>
        </patternFill>
      </fill>
    </dxf>
    <dxf>
      <font>
        <b/>
        <i val="0"/>
        <color rgb="FF480000"/>
      </font>
      <fill>
        <patternFill>
          <bgColor rgb="FFFFDA65"/>
        </patternFill>
      </fill>
    </dxf>
    <dxf>
      <font>
        <b/>
        <i val="0"/>
        <color rgb="FF480000"/>
      </font>
      <fill>
        <patternFill>
          <bgColor rgb="FFFFDA65"/>
        </patternFill>
      </fill>
    </dxf>
    <dxf>
      <fill>
        <patternFill>
          <bgColor theme="0"/>
        </patternFill>
      </fill>
    </dxf>
    <dxf>
      <fill>
        <patternFill>
          <bgColor theme="0"/>
        </patternFill>
      </fill>
    </dxf>
    <dxf>
      <font>
        <color theme="0"/>
      </font>
      <fill>
        <patternFill>
          <bgColor theme="0"/>
        </patternFill>
      </fill>
    </dxf>
    <dxf>
      <fill>
        <patternFill>
          <bgColor rgb="FFE8E8E8"/>
        </patternFill>
      </fill>
    </dxf>
    <dxf>
      <font>
        <b/>
        <i val="0"/>
        <color rgb="FF480000"/>
      </font>
      <fill>
        <patternFill>
          <bgColor rgb="FFFFDA65"/>
        </patternFill>
      </fill>
    </dxf>
    <dxf>
      <font>
        <b/>
        <i val="0"/>
        <color rgb="FF480000"/>
      </font>
      <fill>
        <patternFill>
          <bgColor rgb="FFFFDA65"/>
        </patternFill>
      </fill>
    </dxf>
    <dxf>
      <fill>
        <patternFill>
          <bgColor theme="0"/>
        </patternFill>
      </fill>
    </dxf>
    <dxf>
      <fill>
        <patternFill>
          <bgColor theme="0"/>
        </patternFill>
      </fill>
    </dxf>
    <dxf>
      <font>
        <color theme="0"/>
      </font>
      <fill>
        <patternFill>
          <bgColor theme="0"/>
        </patternFill>
      </fill>
    </dxf>
    <dxf>
      <fill>
        <patternFill>
          <bgColor rgb="FFE8E8E8"/>
        </patternFill>
      </fill>
    </dxf>
    <dxf>
      <font>
        <b/>
        <i val="0"/>
        <color rgb="FF480000"/>
      </font>
      <fill>
        <patternFill>
          <bgColor rgb="FFFFDA65"/>
        </patternFill>
      </fill>
    </dxf>
    <dxf>
      <font>
        <b/>
        <i val="0"/>
        <color rgb="FF480000"/>
      </font>
      <fill>
        <patternFill>
          <bgColor rgb="FFFFDA65"/>
        </patternFill>
      </fill>
    </dxf>
    <dxf>
      <fill>
        <patternFill>
          <bgColor theme="0"/>
        </patternFill>
      </fill>
    </dxf>
    <dxf>
      <fill>
        <patternFill>
          <bgColor theme="0"/>
        </patternFill>
      </fill>
    </dxf>
    <dxf>
      <font>
        <color theme="0"/>
      </font>
      <fill>
        <patternFill>
          <bgColor theme="0"/>
        </patternFill>
      </fill>
    </dxf>
    <dxf>
      <fill>
        <patternFill>
          <bgColor rgb="FFE8E8E8"/>
        </patternFill>
      </fill>
    </dxf>
    <dxf>
      <font>
        <b/>
        <i val="0"/>
        <color rgb="FF480000"/>
      </font>
      <fill>
        <patternFill>
          <bgColor rgb="FFFFDA65"/>
        </patternFill>
      </fill>
    </dxf>
    <dxf>
      <font>
        <b/>
        <i val="0"/>
        <color rgb="FF480000"/>
      </font>
      <fill>
        <patternFill>
          <bgColor rgb="FFFFDA65"/>
        </patternFill>
      </fill>
    </dxf>
    <dxf>
      <fill>
        <patternFill>
          <bgColor theme="0"/>
        </patternFill>
      </fill>
    </dxf>
    <dxf>
      <fill>
        <patternFill>
          <bgColor theme="0"/>
        </patternFill>
      </fill>
    </dxf>
    <dxf>
      <font>
        <color theme="0"/>
      </font>
      <fill>
        <patternFill>
          <bgColor theme="0"/>
        </patternFill>
      </fill>
    </dxf>
    <dxf>
      <fill>
        <patternFill>
          <bgColor rgb="FFE8E8E8"/>
        </patternFill>
      </fill>
    </dxf>
    <dxf>
      <font>
        <b/>
        <i val="0"/>
        <color rgb="FF480000"/>
      </font>
      <fill>
        <patternFill>
          <bgColor rgb="FFFFDA65"/>
        </patternFill>
      </fill>
    </dxf>
    <dxf>
      <font>
        <b/>
        <i val="0"/>
        <color rgb="FF480000"/>
      </font>
      <fill>
        <patternFill>
          <bgColor rgb="FFFFDA65"/>
        </patternFill>
      </fill>
    </dxf>
    <dxf>
      <fill>
        <patternFill>
          <bgColor theme="0"/>
        </patternFill>
      </fill>
    </dxf>
    <dxf>
      <fill>
        <patternFill>
          <bgColor theme="0"/>
        </patternFill>
      </fill>
    </dxf>
    <dxf>
      <font>
        <color theme="0"/>
      </font>
      <fill>
        <patternFill>
          <bgColor theme="0"/>
        </patternFill>
      </fill>
    </dxf>
    <dxf>
      <fill>
        <patternFill>
          <bgColor rgb="FFE8E8E8"/>
        </patternFill>
      </fill>
    </dxf>
    <dxf>
      <font>
        <b/>
        <i val="0"/>
        <color rgb="FF480000"/>
      </font>
      <fill>
        <patternFill>
          <bgColor rgb="FFFFDA65"/>
        </patternFill>
      </fill>
    </dxf>
    <dxf>
      <font>
        <b/>
        <i val="0"/>
        <color rgb="FF480000"/>
      </font>
      <fill>
        <patternFill>
          <bgColor rgb="FFFFDA65"/>
        </patternFill>
      </fill>
    </dxf>
    <dxf>
      <fill>
        <patternFill>
          <bgColor theme="0"/>
        </patternFill>
      </fill>
    </dxf>
    <dxf>
      <fill>
        <patternFill>
          <bgColor theme="0"/>
        </patternFill>
      </fill>
    </dxf>
    <dxf>
      <font>
        <color theme="0"/>
      </font>
      <fill>
        <patternFill>
          <bgColor theme="0"/>
        </patternFill>
      </fill>
    </dxf>
    <dxf>
      <fill>
        <patternFill>
          <bgColor rgb="FFE8E8E8"/>
        </patternFill>
      </fill>
    </dxf>
    <dxf>
      <font>
        <b/>
        <i val="0"/>
        <color rgb="FF480000"/>
      </font>
      <fill>
        <patternFill>
          <bgColor rgb="FFFFDA65"/>
        </patternFill>
      </fill>
    </dxf>
    <dxf>
      <font>
        <b/>
        <i val="0"/>
        <color rgb="FF480000"/>
      </font>
      <fill>
        <patternFill>
          <bgColor rgb="FFFFDA65"/>
        </patternFill>
      </fill>
    </dxf>
    <dxf>
      <fill>
        <patternFill>
          <bgColor theme="0"/>
        </patternFill>
      </fill>
    </dxf>
    <dxf>
      <fill>
        <patternFill>
          <bgColor theme="0"/>
        </patternFill>
      </fill>
    </dxf>
    <dxf>
      <font>
        <color theme="0"/>
      </font>
      <fill>
        <patternFill>
          <bgColor theme="0"/>
        </patternFill>
      </fill>
    </dxf>
    <dxf>
      <fill>
        <patternFill>
          <bgColor rgb="FFE8E8E8"/>
        </patternFill>
      </fill>
    </dxf>
    <dxf>
      <font>
        <b/>
        <i val="0"/>
        <color rgb="FF480000"/>
      </font>
      <fill>
        <patternFill>
          <bgColor rgb="FFFFDA65"/>
        </patternFill>
      </fill>
    </dxf>
    <dxf>
      <font>
        <b/>
        <i val="0"/>
        <color rgb="FF480000"/>
      </font>
      <fill>
        <patternFill>
          <bgColor rgb="FFFFDA65"/>
        </patternFill>
      </fill>
    </dxf>
    <dxf>
      <fill>
        <patternFill>
          <bgColor theme="0"/>
        </patternFill>
      </fill>
    </dxf>
    <dxf>
      <fill>
        <patternFill>
          <bgColor theme="0"/>
        </patternFill>
      </fill>
    </dxf>
    <dxf>
      <font>
        <color theme="0"/>
      </font>
      <fill>
        <patternFill>
          <bgColor theme="0"/>
        </patternFill>
      </fill>
    </dxf>
    <dxf>
      <fill>
        <patternFill>
          <bgColor rgb="FFE8E8E8"/>
        </patternFill>
      </fill>
    </dxf>
    <dxf>
      <font>
        <b/>
        <i val="0"/>
        <color rgb="FF480000"/>
      </font>
      <fill>
        <patternFill>
          <bgColor rgb="FFFFDA65"/>
        </patternFill>
      </fill>
    </dxf>
    <dxf>
      <font>
        <b/>
        <i val="0"/>
        <color rgb="FF480000"/>
      </font>
      <fill>
        <patternFill>
          <bgColor rgb="FFFFDA65"/>
        </patternFill>
      </fill>
    </dxf>
    <dxf>
      <fill>
        <patternFill>
          <bgColor theme="0"/>
        </patternFill>
      </fill>
    </dxf>
    <dxf>
      <fill>
        <patternFill>
          <bgColor theme="0"/>
        </patternFill>
      </fill>
    </dxf>
    <dxf>
      <font>
        <color theme="0"/>
      </font>
      <fill>
        <patternFill>
          <bgColor theme="0"/>
        </patternFill>
      </fill>
    </dxf>
    <dxf>
      <fill>
        <patternFill>
          <bgColor rgb="FFE8E8E8"/>
        </patternFill>
      </fill>
    </dxf>
    <dxf>
      <font>
        <b/>
        <i val="0"/>
        <color rgb="FF480000"/>
      </font>
      <fill>
        <patternFill>
          <bgColor rgb="FFFFDA65"/>
        </patternFill>
      </fill>
    </dxf>
    <dxf>
      <font>
        <b/>
        <i val="0"/>
        <color rgb="FF480000"/>
      </font>
      <fill>
        <patternFill>
          <bgColor rgb="FFFFDA65"/>
        </patternFill>
      </fill>
    </dxf>
    <dxf>
      <fill>
        <patternFill>
          <bgColor theme="0"/>
        </patternFill>
      </fill>
    </dxf>
    <dxf>
      <fill>
        <patternFill>
          <bgColor theme="0"/>
        </patternFill>
      </fill>
    </dxf>
    <dxf>
      <font>
        <color theme="0"/>
      </font>
      <fill>
        <patternFill>
          <bgColor theme="0"/>
        </patternFill>
      </fill>
    </dxf>
    <dxf>
      <fill>
        <patternFill>
          <bgColor rgb="FFE8E8E8"/>
        </patternFill>
      </fill>
    </dxf>
    <dxf>
      <font>
        <b/>
        <i val="0"/>
        <color rgb="FF480000"/>
      </font>
      <fill>
        <patternFill>
          <bgColor rgb="FFFFDA65"/>
        </patternFill>
      </fill>
    </dxf>
    <dxf>
      <font>
        <b/>
        <i val="0"/>
        <color rgb="FF480000"/>
      </font>
      <fill>
        <patternFill>
          <bgColor rgb="FFFFDA65"/>
        </patternFill>
      </fill>
    </dxf>
    <dxf>
      <fill>
        <patternFill>
          <bgColor theme="0"/>
        </patternFill>
      </fill>
    </dxf>
    <dxf>
      <fill>
        <patternFill>
          <bgColor theme="0"/>
        </patternFill>
      </fill>
    </dxf>
    <dxf>
      <font>
        <color theme="0"/>
      </font>
      <fill>
        <patternFill>
          <bgColor theme="0"/>
        </patternFill>
      </fill>
    </dxf>
    <dxf>
      <fill>
        <patternFill>
          <bgColor rgb="FFE8E8E8"/>
        </patternFill>
      </fill>
    </dxf>
    <dxf>
      <font>
        <b/>
        <i val="0"/>
        <color rgb="FF480000"/>
      </font>
      <fill>
        <patternFill>
          <bgColor rgb="FFFFDA65"/>
        </patternFill>
      </fill>
    </dxf>
    <dxf>
      <font>
        <b/>
        <i val="0"/>
        <color rgb="FF480000"/>
      </font>
      <fill>
        <patternFill>
          <bgColor rgb="FFFFDA65"/>
        </patternFill>
      </fill>
    </dxf>
    <dxf>
      <fill>
        <patternFill>
          <bgColor theme="0"/>
        </patternFill>
      </fill>
    </dxf>
    <dxf>
      <fill>
        <patternFill>
          <bgColor theme="0"/>
        </patternFill>
      </fill>
    </dxf>
    <dxf>
      <font>
        <color theme="0"/>
      </font>
      <fill>
        <patternFill>
          <bgColor theme="0"/>
        </patternFill>
      </fill>
    </dxf>
    <dxf>
      <fill>
        <patternFill>
          <bgColor rgb="FFE8E8E8"/>
        </patternFill>
      </fill>
    </dxf>
    <dxf>
      <font>
        <b/>
        <i val="0"/>
        <color rgb="FF480000"/>
      </font>
      <fill>
        <patternFill>
          <bgColor rgb="FFFFDA65"/>
        </patternFill>
      </fill>
    </dxf>
    <dxf>
      <font>
        <b/>
        <i val="0"/>
        <color rgb="FF480000"/>
      </font>
      <fill>
        <patternFill>
          <bgColor rgb="FFFFDA65"/>
        </patternFill>
      </fill>
    </dxf>
    <dxf>
      <fill>
        <patternFill>
          <bgColor theme="0"/>
        </patternFill>
      </fill>
    </dxf>
    <dxf>
      <fill>
        <patternFill>
          <bgColor theme="0"/>
        </patternFill>
      </fill>
    </dxf>
    <dxf>
      <font>
        <color theme="0"/>
      </font>
      <fill>
        <patternFill>
          <bgColor theme="0"/>
        </patternFill>
      </fill>
    </dxf>
    <dxf>
      <fill>
        <patternFill>
          <bgColor rgb="FFE8E8E8"/>
        </patternFill>
      </fill>
    </dxf>
    <dxf>
      <font>
        <b/>
        <i val="0"/>
        <color rgb="FF480000"/>
      </font>
      <fill>
        <patternFill>
          <bgColor rgb="FFFFDA65"/>
        </patternFill>
      </fill>
    </dxf>
    <dxf>
      <font>
        <b/>
        <i val="0"/>
        <color rgb="FF480000"/>
      </font>
      <fill>
        <patternFill>
          <bgColor rgb="FFFFDA65"/>
        </patternFill>
      </fill>
    </dxf>
    <dxf>
      <fill>
        <patternFill>
          <bgColor theme="0"/>
        </patternFill>
      </fill>
    </dxf>
    <dxf>
      <fill>
        <patternFill>
          <bgColor theme="0"/>
        </patternFill>
      </fill>
    </dxf>
    <dxf>
      <font>
        <color theme="0"/>
      </font>
      <fill>
        <patternFill>
          <bgColor theme="0"/>
        </patternFill>
      </fill>
    </dxf>
    <dxf>
      <fill>
        <patternFill>
          <bgColor rgb="FFE8E8E8"/>
        </patternFill>
      </fill>
    </dxf>
    <dxf>
      <font>
        <b/>
        <i val="0"/>
        <color rgb="FF480000"/>
      </font>
      <fill>
        <patternFill>
          <bgColor rgb="FFFFDA65"/>
        </patternFill>
      </fill>
    </dxf>
    <dxf>
      <font>
        <b/>
        <i val="0"/>
        <color rgb="FF480000"/>
      </font>
      <fill>
        <patternFill>
          <bgColor rgb="FFFFDA65"/>
        </patternFill>
      </fill>
    </dxf>
    <dxf>
      <fill>
        <patternFill>
          <bgColor theme="0"/>
        </patternFill>
      </fill>
    </dxf>
    <dxf>
      <fill>
        <patternFill>
          <bgColor theme="0"/>
        </patternFill>
      </fill>
    </dxf>
    <dxf>
      <font>
        <color theme="0"/>
      </font>
      <fill>
        <patternFill>
          <bgColor theme="0"/>
        </patternFill>
      </fill>
    </dxf>
    <dxf>
      <fill>
        <patternFill>
          <bgColor rgb="FFE8E8E8"/>
        </patternFill>
      </fill>
    </dxf>
    <dxf>
      <font>
        <b/>
        <i val="0"/>
        <color rgb="FF480000"/>
      </font>
      <fill>
        <patternFill>
          <bgColor rgb="FFFFDA65"/>
        </patternFill>
      </fill>
    </dxf>
    <dxf>
      <font>
        <b/>
        <i val="0"/>
        <color rgb="FF480000"/>
      </font>
      <fill>
        <patternFill>
          <bgColor rgb="FFFFDA65"/>
        </patternFill>
      </fill>
    </dxf>
    <dxf>
      <fill>
        <patternFill>
          <bgColor theme="0"/>
        </patternFill>
      </fill>
    </dxf>
    <dxf>
      <fill>
        <patternFill>
          <bgColor theme="0"/>
        </patternFill>
      </fill>
    </dxf>
    <dxf>
      <font>
        <color theme="0"/>
      </font>
      <fill>
        <patternFill>
          <bgColor theme="0"/>
        </patternFill>
      </fill>
    </dxf>
    <dxf>
      <fill>
        <patternFill>
          <bgColor rgb="FFE8E8E8"/>
        </patternFill>
      </fill>
    </dxf>
    <dxf>
      <font>
        <b/>
        <i val="0"/>
        <color rgb="FF480000"/>
      </font>
      <fill>
        <patternFill>
          <bgColor rgb="FFFFDA65"/>
        </patternFill>
      </fill>
    </dxf>
    <dxf>
      <font>
        <b/>
        <i val="0"/>
        <color rgb="FF480000"/>
      </font>
      <fill>
        <patternFill>
          <bgColor rgb="FFFFDA65"/>
        </patternFill>
      </fill>
    </dxf>
    <dxf>
      <fill>
        <patternFill>
          <bgColor theme="0"/>
        </patternFill>
      </fill>
    </dxf>
    <dxf>
      <fill>
        <patternFill>
          <bgColor theme="0"/>
        </patternFill>
      </fill>
    </dxf>
    <dxf>
      <font>
        <color theme="0"/>
      </font>
      <fill>
        <patternFill>
          <bgColor theme="0"/>
        </patternFill>
      </fill>
    </dxf>
    <dxf>
      <fill>
        <patternFill>
          <bgColor rgb="FFE8E8E8"/>
        </patternFill>
      </fill>
    </dxf>
    <dxf>
      <font>
        <b/>
        <i val="0"/>
        <color rgb="FF480000"/>
      </font>
      <fill>
        <patternFill>
          <bgColor rgb="FFFFDA65"/>
        </patternFill>
      </fill>
    </dxf>
    <dxf>
      <font>
        <b/>
        <i val="0"/>
        <color rgb="FF480000"/>
      </font>
      <fill>
        <patternFill>
          <bgColor rgb="FFFFDA65"/>
        </patternFill>
      </fill>
    </dxf>
    <dxf>
      <fill>
        <patternFill>
          <bgColor theme="0"/>
        </patternFill>
      </fill>
    </dxf>
    <dxf>
      <fill>
        <patternFill>
          <bgColor theme="0"/>
        </patternFill>
      </fill>
    </dxf>
    <dxf>
      <font>
        <color theme="0"/>
      </font>
      <fill>
        <patternFill>
          <bgColor theme="0"/>
        </patternFill>
      </fill>
    </dxf>
    <dxf>
      <fill>
        <patternFill>
          <bgColor rgb="FFE8E8E8"/>
        </patternFill>
      </fill>
    </dxf>
    <dxf>
      <font>
        <b/>
        <i val="0"/>
        <color rgb="FF480000"/>
      </font>
      <fill>
        <patternFill>
          <bgColor rgb="FFFFDA65"/>
        </patternFill>
      </fill>
    </dxf>
    <dxf>
      <font>
        <b/>
        <i val="0"/>
        <color rgb="FF480000"/>
      </font>
      <fill>
        <patternFill>
          <bgColor rgb="FFFFDA65"/>
        </patternFill>
      </fill>
    </dxf>
    <dxf>
      <fill>
        <patternFill>
          <bgColor theme="0"/>
        </patternFill>
      </fill>
    </dxf>
    <dxf>
      <fill>
        <patternFill>
          <bgColor theme="0"/>
        </patternFill>
      </fill>
    </dxf>
    <dxf>
      <font>
        <color theme="0"/>
      </font>
      <fill>
        <patternFill>
          <bgColor theme="0"/>
        </patternFill>
      </fill>
    </dxf>
    <dxf>
      <fill>
        <patternFill>
          <bgColor rgb="FFE8E8E8"/>
        </patternFill>
      </fill>
    </dxf>
    <dxf>
      <font>
        <b/>
        <i val="0"/>
        <color rgb="FF480000"/>
      </font>
      <fill>
        <patternFill>
          <bgColor rgb="FFFFDA65"/>
        </patternFill>
      </fill>
    </dxf>
    <dxf>
      <font>
        <b/>
        <i val="0"/>
        <color rgb="FF480000"/>
      </font>
      <fill>
        <patternFill>
          <bgColor rgb="FFFFDA65"/>
        </patternFill>
      </fill>
    </dxf>
    <dxf>
      <fill>
        <patternFill>
          <bgColor theme="0"/>
        </patternFill>
      </fill>
    </dxf>
    <dxf>
      <fill>
        <patternFill>
          <bgColor theme="0"/>
        </patternFill>
      </fill>
    </dxf>
    <dxf>
      <font>
        <color theme="0"/>
      </font>
      <fill>
        <patternFill>
          <bgColor theme="0"/>
        </patternFill>
      </fill>
    </dxf>
    <dxf>
      <fill>
        <patternFill>
          <bgColor rgb="FFE8E8E8"/>
        </patternFill>
      </fill>
    </dxf>
    <dxf>
      <font>
        <b/>
        <i val="0"/>
        <color rgb="FF480000"/>
      </font>
      <fill>
        <patternFill>
          <bgColor rgb="FFFFDA65"/>
        </patternFill>
      </fill>
    </dxf>
    <dxf>
      <font>
        <b/>
        <i val="0"/>
        <color rgb="FF480000"/>
      </font>
      <fill>
        <patternFill>
          <bgColor rgb="FFFFDA65"/>
        </patternFill>
      </fill>
    </dxf>
    <dxf>
      <fill>
        <patternFill>
          <bgColor theme="0"/>
        </patternFill>
      </fill>
    </dxf>
    <dxf>
      <fill>
        <patternFill>
          <bgColor theme="0"/>
        </patternFill>
      </fill>
    </dxf>
    <dxf>
      <font>
        <color theme="0"/>
      </font>
      <fill>
        <patternFill>
          <bgColor theme="0"/>
        </patternFill>
      </fill>
    </dxf>
    <dxf>
      <fill>
        <patternFill>
          <bgColor rgb="FFE8E8E8"/>
        </patternFill>
      </fill>
    </dxf>
    <dxf>
      <font>
        <b/>
        <i val="0"/>
        <color rgb="FF480000"/>
      </font>
      <fill>
        <patternFill>
          <bgColor rgb="FFFFDA65"/>
        </patternFill>
      </fill>
    </dxf>
    <dxf>
      <font>
        <b/>
        <i val="0"/>
        <color rgb="FF480000"/>
      </font>
      <fill>
        <patternFill>
          <bgColor rgb="FFFFDA65"/>
        </patternFill>
      </fill>
    </dxf>
    <dxf>
      <fill>
        <patternFill>
          <bgColor theme="0"/>
        </patternFill>
      </fill>
    </dxf>
    <dxf>
      <fill>
        <patternFill>
          <bgColor theme="0"/>
        </patternFill>
      </fill>
    </dxf>
    <dxf>
      <font>
        <color theme="0"/>
      </font>
      <fill>
        <patternFill>
          <bgColor theme="0"/>
        </patternFill>
      </fill>
    </dxf>
    <dxf>
      <fill>
        <patternFill>
          <bgColor rgb="FFE8E8E8"/>
        </patternFill>
      </fill>
    </dxf>
    <dxf>
      <font>
        <b/>
        <i val="0"/>
        <color rgb="FF480000"/>
      </font>
      <fill>
        <patternFill>
          <bgColor rgb="FFFFDA65"/>
        </patternFill>
      </fill>
    </dxf>
    <dxf>
      <font>
        <b/>
        <i val="0"/>
        <color rgb="FF480000"/>
      </font>
      <fill>
        <patternFill>
          <bgColor rgb="FFFFDA65"/>
        </patternFill>
      </fill>
    </dxf>
    <dxf>
      <fill>
        <patternFill>
          <bgColor theme="0"/>
        </patternFill>
      </fill>
    </dxf>
    <dxf>
      <fill>
        <patternFill>
          <bgColor theme="0"/>
        </patternFill>
      </fill>
    </dxf>
    <dxf>
      <font>
        <color theme="0"/>
      </font>
      <fill>
        <patternFill>
          <bgColor theme="0"/>
        </patternFill>
      </fill>
    </dxf>
    <dxf>
      <fill>
        <patternFill>
          <bgColor rgb="FFE8E8E8"/>
        </patternFill>
      </fill>
    </dxf>
    <dxf>
      <font>
        <b/>
        <i val="0"/>
        <color rgb="FF480000"/>
      </font>
      <fill>
        <patternFill>
          <bgColor rgb="FFFFDA65"/>
        </patternFill>
      </fill>
    </dxf>
    <dxf>
      <font>
        <b/>
        <i val="0"/>
        <color rgb="FF480000"/>
      </font>
      <fill>
        <patternFill>
          <bgColor rgb="FFFFDA65"/>
        </patternFill>
      </fill>
    </dxf>
    <dxf>
      <fill>
        <patternFill>
          <bgColor theme="0"/>
        </patternFill>
      </fill>
    </dxf>
    <dxf>
      <fill>
        <patternFill>
          <bgColor theme="0"/>
        </patternFill>
      </fill>
    </dxf>
    <dxf>
      <font>
        <color theme="0"/>
      </font>
      <fill>
        <patternFill>
          <bgColor theme="0"/>
        </patternFill>
      </fill>
    </dxf>
    <dxf>
      <fill>
        <patternFill>
          <bgColor rgb="FFE8E8E8"/>
        </patternFill>
      </fill>
    </dxf>
    <dxf>
      <font>
        <b/>
        <i val="0"/>
        <color rgb="FF480000"/>
      </font>
      <fill>
        <patternFill>
          <bgColor rgb="FFFFDA65"/>
        </patternFill>
      </fill>
    </dxf>
    <dxf>
      <font>
        <b/>
        <i val="0"/>
        <color rgb="FF480000"/>
      </font>
      <fill>
        <patternFill>
          <bgColor rgb="FFFFDA65"/>
        </patternFill>
      </fill>
    </dxf>
    <dxf>
      <fill>
        <patternFill>
          <bgColor theme="0"/>
        </patternFill>
      </fill>
    </dxf>
    <dxf>
      <fill>
        <patternFill>
          <bgColor theme="0"/>
        </patternFill>
      </fill>
    </dxf>
    <dxf>
      <font>
        <color theme="0"/>
      </font>
      <fill>
        <patternFill>
          <bgColor theme="0"/>
        </patternFill>
      </fill>
    </dxf>
    <dxf>
      <fill>
        <patternFill>
          <bgColor rgb="FFE8E8E8"/>
        </patternFill>
      </fill>
    </dxf>
    <dxf>
      <font>
        <b/>
        <i val="0"/>
        <color rgb="FF480000"/>
      </font>
      <fill>
        <patternFill>
          <bgColor rgb="FFFFDA65"/>
        </patternFill>
      </fill>
    </dxf>
    <dxf>
      <font>
        <b/>
        <i val="0"/>
        <color rgb="FF480000"/>
      </font>
      <fill>
        <patternFill>
          <bgColor rgb="FFFFDA65"/>
        </patternFill>
      </fill>
    </dxf>
    <dxf>
      <fill>
        <patternFill>
          <bgColor theme="0"/>
        </patternFill>
      </fill>
    </dxf>
    <dxf>
      <fill>
        <patternFill>
          <bgColor theme="0"/>
        </patternFill>
      </fill>
    </dxf>
    <dxf>
      <font>
        <color theme="0"/>
      </font>
      <fill>
        <patternFill>
          <bgColor theme="0"/>
        </patternFill>
      </fill>
    </dxf>
    <dxf>
      <fill>
        <patternFill>
          <bgColor rgb="FFE8E8E8"/>
        </patternFill>
      </fill>
    </dxf>
    <dxf>
      <font>
        <b/>
        <i val="0"/>
        <color rgb="FF480000"/>
      </font>
      <fill>
        <patternFill>
          <bgColor rgb="FFFFDA65"/>
        </patternFill>
      </fill>
    </dxf>
    <dxf>
      <font>
        <b/>
        <i val="0"/>
        <color rgb="FF480000"/>
      </font>
      <fill>
        <patternFill>
          <bgColor rgb="FFFFDA65"/>
        </patternFill>
      </fill>
    </dxf>
    <dxf>
      <fill>
        <patternFill>
          <bgColor theme="0"/>
        </patternFill>
      </fill>
    </dxf>
    <dxf>
      <fill>
        <patternFill>
          <bgColor theme="0"/>
        </patternFill>
      </fill>
    </dxf>
    <dxf>
      <font>
        <color theme="0"/>
      </font>
      <fill>
        <patternFill>
          <bgColor theme="0"/>
        </patternFill>
      </fill>
    </dxf>
    <dxf>
      <fill>
        <patternFill>
          <bgColor rgb="FFE8E8E8"/>
        </patternFill>
      </fill>
    </dxf>
    <dxf>
      <font>
        <b/>
        <i val="0"/>
        <color rgb="FF480000"/>
      </font>
      <fill>
        <patternFill>
          <bgColor rgb="FFFFDA65"/>
        </patternFill>
      </fill>
    </dxf>
    <dxf>
      <font>
        <b/>
        <i val="0"/>
        <color rgb="FF480000"/>
      </font>
      <fill>
        <patternFill>
          <bgColor rgb="FFFFDA65"/>
        </patternFill>
      </fill>
    </dxf>
    <dxf>
      <fill>
        <patternFill>
          <bgColor theme="0"/>
        </patternFill>
      </fill>
    </dxf>
    <dxf>
      <fill>
        <patternFill>
          <bgColor theme="0"/>
        </patternFill>
      </fill>
    </dxf>
    <dxf>
      <font>
        <color theme="0"/>
      </font>
      <fill>
        <patternFill>
          <bgColor theme="0"/>
        </patternFill>
      </fill>
    </dxf>
    <dxf>
      <fill>
        <patternFill>
          <bgColor rgb="FFE8E8E8"/>
        </patternFill>
      </fill>
    </dxf>
    <dxf>
      <font>
        <b/>
        <i val="0"/>
        <color rgb="FF480000"/>
      </font>
      <fill>
        <patternFill>
          <bgColor rgb="FFFFDA65"/>
        </patternFill>
      </fill>
    </dxf>
    <dxf>
      <font>
        <b/>
        <i val="0"/>
        <color rgb="FF480000"/>
      </font>
      <fill>
        <patternFill>
          <bgColor rgb="FFFFDA65"/>
        </patternFill>
      </fill>
    </dxf>
    <dxf>
      <fill>
        <patternFill>
          <bgColor theme="0"/>
        </patternFill>
      </fill>
    </dxf>
    <dxf>
      <fill>
        <patternFill>
          <bgColor theme="0"/>
        </patternFill>
      </fill>
    </dxf>
    <dxf>
      <font>
        <color theme="0"/>
      </font>
      <fill>
        <patternFill>
          <bgColor theme="0"/>
        </patternFill>
      </fill>
    </dxf>
    <dxf>
      <fill>
        <patternFill>
          <bgColor rgb="FFE8E8E8"/>
        </patternFill>
      </fill>
    </dxf>
    <dxf>
      <font>
        <b/>
        <i val="0"/>
        <color rgb="FF480000"/>
      </font>
      <fill>
        <patternFill>
          <bgColor rgb="FFFFDA65"/>
        </patternFill>
      </fill>
    </dxf>
    <dxf>
      <font>
        <b/>
        <i val="0"/>
        <color rgb="FF480000"/>
      </font>
      <fill>
        <patternFill>
          <bgColor rgb="FFFFDA65"/>
        </patternFill>
      </fill>
    </dxf>
    <dxf>
      <fill>
        <patternFill>
          <bgColor theme="0"/>
        </patternFill>
      </fill>
    </dxf>
    <dxf>
      <fill>
        <patternFill>
          <bgColor theme="0"/>
        </patternFill>
      </fill>
    </dxf>
    <dxf>
      <font>
        <color theme="0"/>
      </font>
      <fill>
        <patternFill>
          <bgColor theme="0"/>
        </patternFill>
      </fill>
    </dxf>
    <dxf>
      <fill>
        <patternFill>
          <bgColor rgb="FFE8E8E8"/>
        </patternFill>
      </fill>
    </dxf>
    <dxf>
      <font>
        <b/>
        <i val="0"/>
        <color rgb="FF480000"/>
      </font>
      <fill>
        <patternFill>
          <bgColor rgb="FFFFDA65"/>
        </patternFill>
      </fill>
    </dxf>
    <dxf>
      <font>
        <b/>
        <i val="0"/>
        <color rgb="FF480000"/>
      </font>
      <fill>
        <patternFill>
          <bgColor rgb="FFFFDA65"/>
        </patternFill>
      </fill>
    </dxf>
    <dxf>
      <fill>
        <patternFill>
          <bgColor theme="0"/>
        </patternFill>
      </fill>
    </dxf>
    <dxf>
      <fill>
        <patternFill>
          <bgColor theme="0"/>
        </patternFill>
      </fill>
    </dxf>
    <dxf>
      <font>
        <color theme="0"/>
      </font>
      <fill>
        <patternFill>
          <bgColor theme="0"/>
        </patternFill>
      </fill>
    </dxf>
    <dxf>
      <fill>
        <patternFill>
          <bgColor rgb="FFE8E8E8"/>
        </patternFill>
      </fill>
    </dxf>
    <dxf>
      <font>
        <b/>
        <i val="0"/>
        <color rgb="FF480000"/>
      </font>
      <fill>
        <patternFill>
          <bgColor rgb="FFFFDA65"/>
        </patternFill>
      </fill>
    </dxf>
    <dxf>
      <font>
        <b/>
        <i val="0"/>
        <color rgb="FF480000"/>
      </font>
      <fill>
        <patternFill>
          <bgColor rgb="FFFFDA65"/>
        </patternFill>
      </fill>
    </dxf>
    <dxf>
      <fill>
        <patternFill>
          <bgColor theme="0"/>
        </patternFill>
      </fill>
    </dxf>
    <dxf>
      <fill>
        <patternFill>
          <bgColor theme="0"/>
        </patternFill>
      </fill>
    </dxf>
    <dxf>
      <font>
        <color theme="0"/>
      </font>
      <fill>
        <patternFill>
          <bgColor theme="0"/>
        </patternFill>
      </fill>
    </dxf>
    <dxf>
      <fill>
        <patternFill>
          <bgColor rgb="FFE8E8E8"/>
        </patternFill>
      </fill>
    </dxf>
    <dxf>
      <font>
        <b/>
        <i val="0"/>
        <color rgb="FF480000"/>
      </font>
      <fill>
        <patternFill>
          <bgColor rgb="FFFFDA65"/>
        </patternFill>
      </fill>
    </dxf>
    <dxf>
      <font>
        <b/>
        <i val="0"/>
        <color rgb="FF480000"/>
      </font>
      <fill>
        <patternFill>
          <bgColor rgb="FFFFDA65"/>
        </patternFill>
      </fill>
    </dxf>
    <dxf>
      <fill>
        <patternFill>
          <bgColor theme="0"/>
        </patternFill>
      </fill>
    </dxf>
    <dxf>
      <fill>
        <patternFill>
          <bgColor theme="0"/>
        </patternFill>
      </fill>
    </dxf>
    <dxf>
      <font>
        <color theme="0"/>
      </font>
      <fill>
        <patternFill>
          <bgColor theme="0"/>
        </patternFill>
      </fill>
    </dxf>
    <dxf>
      <fill>
        <patternFill>
          <bgColor rgb="FFE8E8E8"/>
        </patternFill>
      </fill>
    </dxf>
    <dxf>
      <font>
        <b/>
        <i val="0"/>
        <color rgb="FF480000"/>
      </font>
      <fill>
        <patternFill>
          <bgColor rgb="FFFFDA65"/>
        </patternFill>
      </fill>
    </dxf>
    <dxf>
      <font>
        <b/>
        <i val="0"/>
        <color rgb="FF480000"/>
      </font>
      <fill>
        <patternFill>
          <bgColor rgb="FFFFDA65"/>
        </patternFill>
      </fill>
    </dxf>
    <dxf>
      <fill>
        <patternFill>
          <bgColor theme="0"/>
        </patternFill>
      </fill>
    </dxf>
    <dxf>
      <fill>
        <patternFill>
          <bgColor theme="0"/>
        </patternFill>
      </fill>
    </dxf>
    <dxf>
      <font>
        <color theme="0"/>
      </font>
      <fill>
        <patternFill>
          <bgColor theme="0"/>
        </patternFill>
      </fill>
    </dxf>
    <dxf>
      <fill>
        <patternFill>
          <bgColor rgb="FFE8E8E8"/>
        </patternFill>
      </fill>
    </dxf>
    <dxf>
      <font>
        <b/>
        <i val="0"/>
        <color rgb="FF480000"/>
      </font>
      <fill>
        <patternFill>
          <bgColor rgb="FFFFDA65"/>
        </patternFill>
      </fill>
    </dxf>
    <dxf>
      <font>
        <b/>
        <i val="0"/>
        <color rgb="FF480000"/>
      </font>
      <fill>
        <patternFill>
          <bgColor rgb="FFFFDA65"/>
        </patternFill>
      </fill>
    </dxf>
    <dxf>
      <fill>
        <patternFill>
          <bgColor theme="0"/>
        </patternFill>
      </fill>
    </dxf>
    <dxf>
      <fill>
        <patternFill>
          <bgColor theme="0"/>
        </patternFill>
      </fill>
    </dxf>
    <dxf>
      <font>
        <color theme="0"/>
      </font>
      <fill>
        <patternFill>
          <bgColor theme="0"/>
        </patternFill>
      </fill>
    </dxf>
    <dxf>
      <fill>
        <patternFill>
          <bgColor rgb="FFE8E8E8"/>
        </patternFill>
      </fill>
    </dxf>
    <dxf>
      <font>
        <b/>
        <i val="0"/>
        <color rgb="FF480000"/>
      </font>
      <fill>
        <patternFill>
          <bgColor rgb="FFFFDA65"/>
        </patternFill>
      </fill>
    </dxf>
    <dxf>
      <font>
        <b/>
        <i val="0"/>
        <color rgb="FF480000"/>
      </font>
      <fill>
        <patternFill>
          <bgColor rgb="FFFFDA65"/>
        </patternFill>
      </fill>
    </dxf>
    <dxf>
      <fill>
        <patternFill>
          <bgColor theme="0"/>
        </patternFill>
      </fill>
    </dxf>
    <dxf>
      <fill>
        <patternFill>
          <bgColor theme="0"/>
        </patternFill>
      </fill>
    </dxf>
    <dxf>
      <font>
        <color theme="0"/>
      </font>
      <fill>
        <patternFill>
          <bgColor theme="0"/>
        </patternFill>
      </fill>
    </dxf>
    <dxf>
      <fill>
        <patternFill>
          <bgColor rgb="FFE8E8E8"/>
        </patternFill>
      </fill>
    </dxf>
    <dxf>
      <font>
        <b/>
        <i val="0"/>
        <color rgb="FF480000"/>
      </font>
      <fill>
        <patternFill>
          <bgColor rgb="FFFFDA65"/>
        </patternFill>
      </fill>
    </dxf>
    <dxf>
      <font>
        <b/>
        <i val="0"/>
        <color rgb="FF480000"/>
      </font>
      <fill>
        <patternFill>
          <bgColor rgb="FFFFDA65"/>
        </patternFill>
      </fill>
    </dxf>
    <dxf>
      <fill>
        <patternFill>
          <bgColor theme="0"/>
        </patternFill>
      </fill>
    </dxf>
    <dxf>
      <fill>
        <patternFill>
          <bgColor theme="0"/>
        </patternFill>
      </fill>
    </dxf>
    <dxf>
      <font>
        <color theme="0"/>
      </font>
      <fill>
        <patternFill>
          <bgColor theme="0"/>
        </patternFill>
      </fill>
    </dxf>
    <dxf>
      <fill>
        <patternFill>
          <bgColor rgb="FFE8E8E8"/>
        </patternFill>
      </fill>
    </dxf>
    <dxf>
      <font>
        <b/>
        <i val="0"/>
        <color rgb="FF480000"/>
      </font>
      <fill>
        <patternFill>
          <bgColor rgb="FFFFDA65"/>
        </patternFill>
      </fill>
    </dxf>
    <dxf>
      <font>
        <b/>
        <i val="0"/>
        <color rgb="FF480000"/>
      </font>
      <fill>
        <patternFill>
          <bgColor rgb="FFFFDA65"/>
        </patternFill>
      </fill>
    </dxf>
    <dxf>
      <fill>
        <patternFill>
          <bgColor theme="0"/>
        </patternFill>
      </fill>
    </dxf>
    <dxf>
      <fill>
        <patternFill>
          <bgColor theme="0"/>
        </patternFill>
      </fill>
    </dxf>
    <dxf>
      <font>
        <color theme="0"/>
      </font>
      <fill>
        <patternFill>
          <bgColor theme="0"/>
        </patternFill>
      </fill>
    </dxf>
    <dxf>
      <fill>
        <patternFill>
          <bgColor rgb="FFE8E8E8"/>
        </patternFill>
      </fill>
    </dxf>
    <dxf>
      <font>
        <b/>
        <i val="0"/>
        <color rgb="FF480000"/>
      </font>
      <fill>
        <patternFill>
          <bgColor rgb="FFFFDA65"/>
        </patternFill>
      </fill>
    </dxf>
    <dxf>
      <font>
        <b/>
        <i val="0"/>
        <color rgb="FF480000"/>
      </font>
      <fill>
        <patternFill>
          <bgColor rgb="FFFFDA65"/>
        </patternFill>
      </fill>
    </dxf>
    <dxf>
      <fill>
        <patternFill>
          <bgColor theme="0"/>
        </patternFill>
      </fill>
    </dxf>
    <dxf>
      <fill>
        <patternFill>
          <bgColor theme="0"/>
        </patternFill>
      </fill>
    </dxf>
    <dxf>
      <font>
        <color theme="0"/>
      </font>
      <fill>
        <patternFill>
          <bgColor theme="0"/>
        </patternFill>
      </fill>
    </dxf>
    <dxf>
      <fill>
        <patternFill>
          <bgColor rgb="FFE8E8E8"/>
        </patternFill>
      </fill>
    </dxf>
    <dxf>
      <font>
        <b/>
        <i val="0"/>
        <color rgb="FF480000"/>
      </font>
      <fill>
        <patternFill>
          <bgColor rgb="FFFFDA65"/>
        </patternFill>
      </fill>
    </dxf>
    <dxf>
      <font>
        <b/>
        <i val="0"/>
        <color rgb="FF480000"/>
      </font>
      <fill>
        <patternFill>
          <bgColor rgb="FFFFDA65"/>
        </patternFill>
      </fill>
    </dxf>
    <dxf>
      <fill>
        <patternFill>
          <bgColor theme="0"/>
        </patternFill>
      </fill>
    </dxf>
    <dxf>
      <fill>
        <patternFill>
          <bgColor theme="0"/>
        </patternFill>
      </fill>
    </dxf>
    <dxf>
      <font>
        <color theme="0"/>
      </font>
      <fill>
        <patternFill>
          <bgColor theme="0"/>
        </patternFill>
      </fill>
    </dxf>
    <dxf>
      <fill>
        <patternFill>
          <bgColor rgb="FFE8E8E8"/>
        </patternFill>
      </fill>
    </dxf>
    <dxf>
      <font>
        <b/>
        <i val="0"/>
        <color rgb="FF480000"/>
      </font>
      <fill>
        <patternFill>
          <bgColor rgb="FFFFDA65"/>
        </patternFill>
      </fill>
    </dxf>
    <dxf>
      <font>
        <b/>
        <i val="0"/>
        <color rgb="FF480000"/>
      </font>
      <fill>
        <patternFill>
          <bgColor rgb="FFFFDA65"/>
        </patternFill>
      </fill>
    </dxf>
    <dxf>
      <fill>
        <patternFill>
          <bgColor theme="0"/>
        </patternFill>
      </fill>
    </dxf>
    <dxf>
      <fill>
        <patternFill>
          <bgColor theme="0"/>
        </patternFill>
      </fill>
    </dxf>
    <dxf>
      <font>
        <color theme="0"/>
      </font>
      <fill>
        <patternFill>
          <bgColor theme="0"/>
        </patternFill>
      </fill>
    </dxf>
    <dxf>
      <fill>
        <patternFill>
          <bgColor rgb="FFE8E8E8"/>
        </patternFill>
      </fill>
    </dxf>
    <dxf>
      <font>
        <b/>
        <i val="0"/>
        <color rgb="FF480000"/>
      </font>
      <fill>
        <patternFill>
          <bgColor rgb="FFFFDA65"/>
        </patternFill>
      </fill>
    </dxf>
    <dxf>
      <font>
        <b/>
        <i val="0"/>
        <color rgb="FF480000"/>
      </font>
      <fill>
        <patternFill>
          <bgColor rgb="FFFFDA65"/>
        </patternFill>
      </fill>
    </dxf>
    <dxf>
      <fill>
        <patternFill>
          <bgColor theme="0"/>
        </patternFill>
      </fill>
    </dxf>
    <dxf>
      <fill>
        <patternFill>
          <bgColor theme="0"/>
        </patternFill>
      </fill>
    </dxf>
    <dxf>
      <font>
        <color theme="0"/>
      </font>
      <fill>
        <patternFill>
          <bgColor theme="0"/>
        </patternFill>
      </fill>
    </dxf>
    <dxf>
      <fill>
        <patternFill>
          <bgColor rgb="FFE8E8E8"/>
        </patternFill>
      </fill>
    </dxf>
    <dxf>
      <font>
        <b/>
        <i val="0"/>
        <color rgb="FF480000"/>
      </font>
      <fill>
        <patternFill>
          <bgColor rgb="FFFFDA65"/>
        </patternFill>
      </fill>
    </dxf>
    <dxf>
      <font>
        <b/>
        <i val="0"/>
        <color rgb="FF480000"/>
      </font>
      <fill>
        <patternFill>
          <bgColor rgb="FFFFDA65"/>
        </patternFill>
      </fill>
    </dxf>
    <dxf>
      <fill>
        <patternFill>
          <bgColor theme="0"/>
        </patternFill>
      </fill>
    </dxf>
    <dxf>
      <fill>
        <patternFill>
          <bgColor theme="0"/>
        </patternFill>
      </fill>
    </dxf>
    <dxf>
      <font>
        <color theme="0"/>
      </font>
      <fill>
        <patternFill>
          <bgColor theme="0"/>
        </patternFill>
      </fill>
    </dxf>
    <dxf>
      <fill>
        <patternFill>
          <bgColor rgb="FFE8E8E8"/>
        </patternFill>
      </fill>
    </dxf>
    <dxf>
      <font>
        <b/>
        <i val="0"/>
        <color rgb="FF480000"/>
      </font>
      <fill>
        <patternFill>
          <bgColor rgb="FFFFDA65"/>
        </patternFill>
      </fill>
    </dxf>
    <dxf>
      <font>
        <b/>
        <i val="0"/>
        <color rgb="FF480000"/>
      </font>
      <fill>
        <patternFill>
          <bgColor rgb="FFFFDA65"/>
        </patternFill>
      </fill>
    </dxf>
    <dxf>
      <fill>
        <patternFill>
          <bgColor theme="0"/>
        </patternFill>
      </fill>
    </dxf>
    <dxf>
      <font>
        <b/>
        <i val="0"/>
        <color rgb="FF480000"/>
      </font>
      <fill>
        <patternFill>
          <bgColor rgb="FFFFDA65"/>
        </patternFill>
      </fill>
    </dxf>
    <dxf>
      <font>
        <b/>
        <i val="0"/>
        <color rgb="FF480000"/>
      </font>
      <fill>
        <patternFill>
          <bgColor rgb="FFFFDA65"/>
        </patternFill>
      </fill>
    </dxf>
    <dxf>
      <fill>
        <patternFill>
          <bgColor theme="0"/>
        </patternFill>
      </fill>
    </dxf>
    <dxf>
      <fill>
        <patternFill>
          <bgColor theme="0"/>
        </patternFill>
      </fill>
    </dxf>
    <dxf>
      <font>
        <color theme="0"/>
      </font>
      <fill>
        <patternFill>
          <bgColor theme="0"/>
        </patternFill>
      </fill>
    </dxf>
    <dxf>
      <fill>
        <patternFill>
          <bgColor rgb="FFE8E8E8"/>
        </patternFill>
      </fill>
    </dxf>
    <dxf>
      <font>
        <b/>
        <i val="0"/>
        <color rgb="FF480000"/>
      </font>
      <fill>
        <patternFill>
          <bgColor rgb="FFFFDA65"/>
        </patternFill>
      </fill>
    </dxf>
    <dxf>
      <font>
        <b/>
        <i val="0"/>
        <color rgb="FF480000"/>
      </font>
      <fill>
        <patternFill>
          <bgColor rgb="FFFFDA65"/>
        </patternFill>
      </fill>
    </dxf>
    <dxf>
      <fill>
        <patternFill>
          <bgColor theme="0"/>
        </patternFill>
      </fill>
    </dxf>
    <dxf>
      <fill>
        <patternFill>
          <bgColor theme="0"/>
        </patternFill>
      </fill>
    </dxf>
    <dxf>
      <font>
        <color theme="0"/>
      </font>
      <fill>
        <patternFill>
          <bgColor theme="0"/>
        </patternFill>
      </fill>
    </dxf>
    <dxf>
      <fill>
        <patternFill>
          <bgColor rgb="FFE8E8E8"/>
        </patternFill>
      </fill>
    </dxf>
    <dxf>
      <font>
        <b/>
        <i val="0"/>
        <color rgb="FF480000"/>
      </font>
      <fill>
        <patternFill>
          <bgColor rgb="FFFFDA65"/>
        </patternFill>
      </fill>
    </dxf>
    <dxf>
      <font>
        <b/>
        <i val="0"/>
        <color rgb="FF480000"/>
      </font>
      <fill>
        <patternFill>
          <bgColor rgb="FFFFDA65"/>
        </patternFill>
      </fill>
    </dxf>
    <dxf>
      <fill>
        <patternFill>
          <bgColor theme="0"/>
        </patternFill>
      </fill>
    </dxf>
    <dxf>
      <fill>
        <patternFill>
          <bgColor theme="0"/>
        </patternFill>
      </fill>
    </dxf>
    <dxf>
      <font>
        <color theme="0"/>
      </font>
      <fill>
        <patternFill>
          <bgColor theme="0"/>
        </patternFill>
      </fill>
    </dxf>
    <dxf>
      <fill>
        <patternFill>
          <bgColor rgb="FFE8E8E8"/>
        </patternFill>
      </fill>
    </dxf>
    <dxf>
      <font>
        <b/>
        <i val="0"/>
        <color rgb="FF480000"/>
      </font>
      <fill>
        <patternFill>
          <bgColor rgb="FFFFDA65"/>
        </patternFill>
      </fill>
    </dxf>
    <dxf>
      <font>
        <b/>
        <i val="0"/>
        <color rgb="FF480000"/>
      </font>
      <fill>
        <patternFill>
          <bgColor rgb="FFFFDA65"/>
        </patternFill>
      </fill>
    </dxf>
    <dxf>
      <fill>
        <patternFill>
          <bgColor theme="0"/>
        </patternFill>
      </fill>
    </dxf>
    <dxf>
      <fill>
        <patternFill>
          <bgColor theme="0"/>
        </patternFill>
      </fill>
    </dxf>
    <dxf>
      <font>
        <color theme="0"/>
      </font>
      <fill>
        <patternFill>
          <bgColor theme="0"/>
        </patternFill>
      </fill>
    </dxf>
    <dxf>
      <fill>
        <patternFill>
          <bgColor rgb="FFE8E8E8"/>
        </patternFill>
      </fill>
    </dxf>
    <dxf>
      <font>
        <b/>
        <i val="0"/>
        <color rgb="FF480000"/>
      </font>
      <fill>
        <patternFill>
          <bgColor rgb="FFFFDA65"/>
        </patternFill>
      </fill>
    </dxf>
    <dxf>
      <font>
        <b/>
        <i val="0"/>
        <color rgb="FF480000"/>
      </font>
      <fill>
        <patternFill>
          <bgColor rgb="FFFFDA65"/>
        </patternFill>
      </fill>
    </dxf>
    <dxf>
      <fill>
        <patternFill>
          <bgColor theme="0"/>
        </patternFill>
      </fill>
    </dxf>
    <dxf>
      <font>
        <b/>
        <i val="0"/>
        <color rgb="FF480000"/>
      </font>
      <fill>
        <patternFill>
          <bgColor rgb="FFFFDA65"/>
        </patternFill>
      </fill>
    </dxf>
    <dxf>
      <font>
        <b/>
        <i val="0"/>
        <color rgb="FF480000"/>
      </font>
      <fill>
        <patternFill>
          <bgColor rgb="FFFFDA65"/>
        </patternFill>
      </fill>
    </dxf>
    <dxf>
      <fill>
        <patternFill>
          <bgColor theme="0"/>
        </patternFill>
      </fill>
    </dxf>
    <dxf>
      <font>
        <b/>
        <i val="0"/>
        <color rgb="FF480000"/>
      </font>
      <fill>
        <patternFill>
          <bgColor rgb="FFFFDA65"/>
        </patternFill>
      </fill>
    </dxf>
    <dxf>
      <font>
        <b/>
        <i val="0"/>
        <color rgb="FF480000"/>
      </font>
      <fill>
        <patternFill>
          <bgColor rgb="FFFFDA65"/>
        </patternFill>
      </fill>
    </dxf>
    <dxf>
      <fill>
        <patternFill>
          <bgColor theme="0"/>
        </patternFill>
      </fill>
    </dxf>
    <dxf>
      <fill>
        <patternFill>
          <bgColor theme="0"/>
        </patternFill>
      </fill>
    </dxf>
    <dxf>
      <font>
        <color theme="0"/>
      </font>
      <fill>
        <patternFill>
          <bgColor theme="0"/>
        </patternFill>
      </fill>
    </dxf>
    <dxf>
      <fill>
        <patternFill>
          <bgColor rgb="FFE8E8E8"/>
        </patternFill>
      </fill>
    </dxf>
    <dxf>
      <font>
        <b/>
        <i val="0"/>
        <color rgb="FF480000"/>
      </font>
      <fill>
        <patternFill>
          <bgColor rgb="FFFFDA65"/>
        </patternFill>
      </fill>
    </dxf>
    <dxf>
      <font>
        <b/>
        <i val="0"/>
        <color rgb="FF480000"/>
      </font>
      <fill>
        <patternFill>
          <bgColor rgb="FFFFDA65"/>
        </patternFill>
      </fill>
    </dxf>
    <dxf>
      <fill>
        <patternFill>
          <bgColor theme="0"/>
        </patternFill>
      </fill>
    </dxf>
    <dxf>
      <fill>
        <patternFill>
          <bgColor theme="0"/>
        </patternFill>
      </fill>
    </dxf>
    <dxf>
      <font>
        <color theme="0"/>
      </font>
      <fill>
        <patternFill>
          <bgColor theme="0"/>
        </patternFill>
      </fill>
    </dxf>
    <dxf>
      <fill>
        <patternFill>
          <bgColor rgb="FFE8E8E8"/>
        </patternFill>
      </fill>
    </dxf>
    <dxf>
      <font>
        <b/>
        <i val="0"/>
        <color rgb="FF480000"/>
      </font>
      <fill>
        <patternFill>
          <bgColor rgb="FFFFDA65"/>
        </patternFill>
      </fill>
    </dxf>
    <dxf>
      <font>
        <b/>
        <i val="0"/>
        <color rgb="FF480000"/>
      </font>
      <fill>
        <patternFill>
          <bgColor rgb="FFFFDA65"/>
        </patternFill>
      </fill>
    </dxf>
    <dxf>
      <fill>
        <patternFill>
          <bgColor theme="0"/>
        </patternFill>
      </fill>
    </dxf>
    <dxf>
      <fill>
        <patternFill>
          <bgColor theme="0"/>
        </patternFill>
      </fill>
    </dxf>
    <dxf>
      <font>
        <color theme="0"/>
      </font>
      <fill>
        <patternFill>
          <bgColor theme="0"/>
        </patternFill>
      </fill>
    </dxf>
    <dxf>
      <fill>
        <patternFill>
          <bgColor rgb="FFE8E8E8"/>
        </patternFill>
      </fill>
    </dxf>
    <dxf>
      <font>
        <b/>
        <i val="0"/>
        <color rgb="FF480000"/>
      </font>
      <fill>
        <patternFill>
          <bgColor rgb="FFFFDA65"/>
        </patternFill>
      </fill>
    </dxf>
    <dxf>
      <font>
        <b/>
        <i val="0"/>
        <color rgb="FF480000"/>
      </font>
      <fill>
        <patternFill>
          <bgColor rgb="FFFFDA65"/>
        </patternFill>
      </fill>
    </dxf>
    <dxf>
      <fill>
        <patternFill>
          <bgColor theme="0"/>
        </patternFill>
      </fill>
    </dxf>
    <dxf>
      <font>
        <b/>
        <i val="0"/>
        <color rgb="FF480000"/>
      </font>
      <fill>
        <patternFill>
          <bgColor rgb="FFFFDA65"/>
        </patternFill>
      </fill>
    </dxf>
    <dxf>
      <font>
        <b/>
        <i val="0"/>
        <color rgb="FF480000"/>
      </font>
      <fill>
        <patternFill>
          <bgColor rgb="FFFFDA65"/>
        </patternFill>
      </fill>
    </dxf>
    <dxf>
      <fill>
        <patternFill>
          <bgColor theme="0"/>
        </patternFill>
      </fill>
    </dxf>
    <dxf>
      <font>
        <b/>
        <i val="0"/>
        <color rgb="FF480000"/>
      </font>
      <fill>
        <patternFill>
          <bgColor rgb="FFFFDA65"/>
        </patternFill>
      </fill>
    </dxf>
    <dxf>
      <font>
        <b/>
        <i val="0"/>
        <color rgb="FF480000"/>
      </font>
      <fill>
        <patternFill>
          <bgColor rgb="FFFFDA65"/>
        </patternFill>
      </fill>
    </dxf>
    <dxf>
      <fill>
        <patternFill>
          <bgColor theme="0"/>
        </patternFill>
      </fill>
    </dxf>
    <dxf>
      <font>
        <b/>
        <i val="0"/>
        <color rgb="FF480000"/>
      </font>
      <fill>
        <patternFill>
          <bgColor rgb="FFFFDA65"/>
        </patternFill>
      </fill>
    </dxf>
    <dxf>
      <font>
        <b/>
        <i val="0"/>
        <color rgb="FF480000"/>
      </font>
      <fill>
        <patternFill>
          <bgColor rgb="FFFFDA65"/>
        </patternFill>
      </fill>
    </dxf>
    <dxf>
      <fill>
        <patternFill>
          <bgColor theme="0"/>
        </patternFill>
      </fill>
    </dxf>
    <dxf>
      <fill>
        <patternFill>
          <bgColor theme="0"/>
        </patternFill>
      </fill>
    </dxf>
    <dxf>
      <font>
        <color theme="0"/>
      </font>
      <fill>
        <patternFill>
          <bgColor theme="0"/>
        </patternFill>
      </fill>
    </dxf>
    <dxf>
      <fill>
        <patternFill>
          <bgColor rgb="FFE8E8E8"/>
        </patternFill>
      </fill>
    </dxf>
    <dxf>
      <font>
        <b/>
        <i val="0"/>
        <color rgb="FF480000"/>
      </font>
      <fill>
        <patternFill>
          <bgColor rgb="FFFFDA65"/>
        </patternFill>
      </fill>
    </dxf>
    <dxf>
      <font>
        <b/>
        <i val="0"/>
        <color rgb="FF480000"/>
      </font>
      <fill>
        <patternFill>
          <bgColor rgb="FFFFDA65"/>
        </patternFill>
      </fill>
    </dxf>
    <dxf>
      <fill>
        <patternFill>
          <bgColor theme="0"/>
        </patternFill>
      </fill>
    </dxf>
    <dxf>
      <fill>
        <patternFill>
          <bgColor theme="0"/>
        </patternFill>
      </fill>
    </dxf>
    <dxf>
      <font>
        <color theme="0"/>
      </font>
      <fill>
        <patternFill>
          <bgColor theme="0"/>
        </patternFill>
      </fill>
    </dxf>
    <dxf>
      <fill>
        <patternFill>
          <bgColor rgb="FFE8E8E8"/>
        </patternFill>
      </fill>
    </dxf>
    <dxf>
      <font>
        <b/>
        <i val="0"/>
        <color rgb="FF480000"/>
      </font>
      <fill>
        <patternFill>
          <bgColor rgb="FFFFDA65"/>
        </patternFill>
      </fill>
    </dxf>
    <dxf>
      <font>
        <b/>
        <i val="0"/>
        <color rgb="FF480000"/>
      </font>
      <fill>
        <patternFill>
          <bgColor rgb="FFFFDA65"/>
        </patternFill>
      </fill>
    </dxf>
    <dxf>
      <fill>
        <patternFill>
          <bgColor theme="0"/>
        </patternFill>
      </fill>
    </dxf>
    <dxf>
      <fill>
        <patternFill>
          <bgColor theme="0"/>
        </patternFill>
      </fill>
    </dxf>
    <dxf>
      <font>
        <color theme="0"/>
      </font>
      <fill>
        <patternFill>
          <bgColor theme="0"/>
        </patternFill>
      </fill>
    </dxf>
    <dxf>
      <fill>
        <patternFill>
          <bgColor rgb="FFE8E8E8"/>
        </patternFill>
      </fill>
    </dxf>
    <dxf>
      <font>
        <b/>
        <i val="0"/>
        <color rgb="FF480000"/>
      </font>
      <fill>
        <patternFill>
          <bgColor rgb="FFFFDA65"/>
        </patternFill>
      </fill>
    </dxf>
    <dxf>
      <font>
        <b/>
        <i val="0"/>
        <color rgb="FF480000"/>
      </font>
      <fill>
        <patternFill>
          <bgColor rgb="FFFFDA65"/>
        </patternFill>
      </fill>
    </dxf>
    <dxf>
      <fill>
        <patternFill>
          <bgColor theme="0"/>
        </patternFill>
      </fill>
    </dxf>
    <dxf>
      <font>
        <b/>
        <i val="0"/>
        <color rgb="FF480000"/>
      </font>
      <fill>
        <patternFill>
          <bgColor rgb="FFFFDA65"/>
        </patternFill>
      </fill>
    </dxf>
    <dxf>
      <font>
        <b/>
        <i val="0"/>
        <color rgb="FF480000"/>
      </font>
      <fill>
        <patternFill>
          <bgColor rgb="FFFFDA65"/>
        </patternFill>
      </fill>
    </dxf>
    <dxf>
      <fill>
        <patternFill>
          <bgColor theme="0"/>
        </patternFill>
      </fill>
    </dxf>
    <dxf>
      <font>
        <b/>
        <i val="0"/>
        <color rgb="FF480000"/>
      </font>
      <fill>
        <patternFill>
          <bgColor rgb="FFFFDA65"/>
        </patternFill>
      </fill>
    </dxf>
    <dxf>
      <font>
        <b/>
        <i val="0"/>
        <color rgb="FF480000"/>
      </font>
      <fill>
        <patternFill>
          <bgColor rgb="FFFFDA65"/>
        </patternFill>
      </fill>
    </dxf>
    <dxf>
      <fill>
        <patternFill>
          <bgColor theme="0"/>
        </patternFill>
      </fill>
    </dxf>
    <dxf>
      <font>
        <b/>
        <i val="0"/>
        <color rgb="FF480000"/>
      </font>
      <fill>
        <patternFill>
          <bgColor rgb="FFFFDA65"/>
        </patternFill>
      </fill>
    </dxf>
    <dxf>
      <font>
        <b/>
        <i val="0"/>
        <color rgb="FF480000"/>
      </font>
      <fill>
        <patternFill>
          <bgColor rgb="FFFFDA65"/>
        </patternFill>
      </fill>
    </dxf>
    <dxf>
      <fill>
        <patternFill>
          <bgColor theme="0"/>
        </patternFill>
      </fill>
    </dxf>
    <dxf>
      <fill>
        <patternFill>
          <bgColor theme="0"/>
        </patternFill>
      </fill>
    </dxf>
    <dxf>
      <font>
        <color theme="0"/>
      </font>
      <fill>
        <patternFill>
          <bgColor theme="0"/>
        </patternFill>
      </fill>
    </dxf>
    <dxf>
      <fill>
        <patternFill>
          <bgColor rgb="FFE8E8E8"/>
        </patternFill>
      </fill>
    </dxf>
    <dxf>
      <font>
        <b/>
        <i val="0"/>
        <color rgb="FF480000"/>
      </font>
      <fill>
        <patternFill>
          <bgColor rgb="FFFFDA65"/>
        </patternFill>
      </fill>
    </dxf>
    <dxf>
      <font>
        <b/>
        <i val="0"/>
        <color rgb="FF480000"/>
      </font>
      <fill>
        <patternFill>
          <bgColor rgb="FFFFDA65"/>
        </patternFill>
      </fill>
    </dxf>
    <dxf>
      <fill>
        <patternFill>
          <bgColor theme="0"/>
        </patternFill>
      </fill>
    </dxf>
    <dxf>
      <fill>
        <patternFill>
          <bgColor theme="0"/>
        </patternFill>
      </fill>
    </dxf>
    <dxf>
      <font>
        <color theme="0"/>
      </font>
      <fill>
        <patternFill>
          <bgColor theme="0"/>
        </patternFill>
      </fill>
    </dxf>
    <dxf>
      <fill>
        <patternFill>
          <bgColor rgb="FFE8E8E8"/>
        </patternFill>
      </fill>
    </dxf>
    <dxf>
      <font>
        <b/>
        <i val="0"/>
        <color rgb="FF480000"/>
      </font>
      <fill>
        <patternFill>
          <bgColor rgb="FFFFDA65"/>
        </patternFill>
      </fill>
    </dxf>
    <dxf>
      <font>
        <b/>
        <i val="0"/>
        <color rgb="FF480000"/>
      </font>
      <fill>
        <patternFill>
          <bgColor rgb="FFFFDA65"/>
        </patternFill>
      </fill>
    </dxf>
    <dxf>
      <fill>
        <patternFill>
          <bgColor theme="0"/>
        </patternFill>
      </fill>
    </dxf>
    <dxf>
      <fill>
        <patternFill>
          <bgColor theme="0"/>
        </patternFill>
      </fill>
    </dxf>
    <dxf>
      <font>
        <color theme="0"/>
      </font>
      <fill>
        <patternFill>
          <bgColor theme="0"/>
        </patternFill>
      </fill>
    </dxf>
    <dxf>
      <fill>
        <patternFill>
          <bgColor rgb="FFE8E8E8"/>
        </patternFill>
      </fill>
    </dxf>
    <dxf>
      <font>
        <b/>
        <i val="0"/>
        <color rgb="FF480000"/>
      </font>
      <fill>
        <patternFill>
          <bgColor rgb="FFFFDA65"/>
        </patternFill>
      </fill>
    </dxf>
    <dxf>
      <font>
        <b/>
        <i val="0"/>
        <color rgb="FF480000"/>
      </font>
      <fill>
        <patternFill>
          <bgColor rgb="FFFFDA65"/>
        </patternFill>
      </fill>
    </dxf>
    <dxf>
      <fill>
        <patternFill>
          <bgColor theme="0"/>
        </patternFill>
      </fill>
    </dxf>
    <dxf>
      <font>
        <b/>
        <i val="0"/>
        <color rgb="FF480000"/>
      </font>
      <fill>
        <patternFill>
          <bgColor rgb="FFFFDA65"/>
        </patternFill>
      </fill>
    </dxf>
    <dxf>
      <font>
        <b/>
        <i val="0"/>
        <color rgb="FF480000"/>
      </font>
      <fill>
        <patternFill>
          <bgColor rgb="FFFFDA65"/>
        </patternFill>
      </fill>
    </dxf>
    <dxf>
      <fill>
        <patternFill>
          <bgColor theme="0"/>
        </patternFill>
      </fill>
    </dxf>
    <dxf>
      <font>
        <b/>
        <i val="0"/>
        <color rgb="FF480000"/>
      </font>
      <fill>
        <patternFill>
          <bgColor rgb="FFFFDA65"/>
        </patternFill>
      </fill>
    </dxf>
    <dxf>
      <font>
        <b/>
        <i val="0"/>
        <color rgb="FF480000"/>
      </font>
      <fill>
        <patternFill>
          <bgColor rgb="FFFFDA65"/>
        </patternFill>
      </fill>
    </dxf>
    <dxf>
      <fill>
        <patternFill>
          <bgColor theme="0"/>
        </patternFill>
      </fill>
    </dxf>
    <dxf>
      <font>
        <b/>
        <i val="0"/>
        <color rgb="FF480000"/>
      </font>
      <fill>
        <patternFill>
          <bgColor rgb="FFFFDA65"/>
        </patternFill>
      </fill>
    </dxf>
    <dxf>
      <font>
        <b/>
        <i val="0"/>
        <color rgb="FF480000"/>
      </font>
      <fill>
        <patternFill>
          <bgColor rgb="FFFFDA65"/>
        </patternFill>
      </fill>
    </dxf>
    <dxf>
      <fill>
        <patternFill>
          <bgColor theme="0"/>
        </patternFill>
      </fill>
    </dxf>
    <dxf>
      <fill>
        <patternFill>
          <bgColor theme="0"/>
        </patternFill>
      </fill>
    </dxf>
    <dxf>
      <font>
        <color theme="0"/>
      </font>
      <fill>
        <patternFill>
          <bgColor theme="0"/>
        </patternFill>
      </fill>
    </dxf>
    <dxf>
      <fill>
        <patternFill>
          <bgColor rgb="FFE8E8E8"/>
        </patternFill>
      </fill>
    </dxf>
    <dxf>
      <font>
        <b/>
        <i val="0"/>
        <color rgb="FF480000"/>
      </font>
      <fill>
        <patternFill>
          <bgColor rgb="FFFFDA65"/>
        </patternFill>
      </fill>
    </dxf>
    <dxf>
      <font>
        <b/>
        <i val="0"/>
        <color rgb="FF480000"/>
      </font>
      <fill>
        <patternFill>
          <bgColor rgb="FFFFDA65"/>
        </patternFill>
      </fill>
    </dxf>
    <dxf>
      <fill>
        <patternFill>
          <bgColor theme="0"/>
        </patternFill>
      </fill>
    </dxf>
    <dxf>
      <fill>
        <patternFill>
          <bgColor theme="0"/>
        </patternFill>
      </fill>
    </dxf>
    <dxf>
      <font>
        <color theme="0"/>
      </font>
      <fill>
        <patternFill>
          <bgColor theme="0"/>
        </patternFill>
      </fill>
    </dxf>
    <dxf>
      <fill>
        <patternFill>
          <bgColor rgb="FFE8E8E8"/>
        </patternFill>
      </fill>
    </dxf>
    <dxf>
      <font>
        <b/>
        <i val="0"/>
        <color rgb="FF480000"/>
      </font>
      <fill>
        <patternFill>
          <bgColor rgb="FFFFDA65"/>
        </patternFill>
      </fill>
    </dxf>
    <dxf>
      <font>
        <b/>
        <i val="0"/>
        <color rgb="FF480000"/>
      </font>
      <fill>
        <patternFill>
          <bgColor rgb="FFFFDA65"/>
        </patternFill>
      </fill>
    </dxf>
    <dxf>
      <fill>
        <patternFill>
          <bgColor theme="0"/>
        </patternFill>
      </fill>
    </dxf>
    <dxf>
      <fill>
        <patternFill>
          <bgColor theme="0"/>
        </patternFill>
      </fill>
    </dxf>
    <dxf>
      <font>
        <color theme="0"/>
      </font>
      <fill>
        <patternFill>
          <bgColor theme="0"/>
        </patternFill>
      </fill>
    </dxf>
    <dxf>
      <fill>
        <patternFill>
          <bgColor rgb="FFE8E8E8"/>
        </patternFill>
      </fill>
    </dxf>
    <dxf>
      <font>
        <b/>
        <i val="0"/>
        <color rgb="FF480000"/>
      </font>
      <fill>
        <patternFill>
          <bgColor rgb="FFFFDA65"/>
        </patternFill>
      </fill>
    </dxf>
    <dxf>
      <font>
        <b/>
        <i val="0"/>
        <color rgb="FF480000"/>
      </font>
      <fill>
        <patternFill>
          <bgColor rgb="FFFFDA65"/>
        </patternFill>
      </fill>
    </dxf>
    <dxf>
      <fill>
        <patternFill>
          <bgColor theme="0"/>
        </patternFill>
      </fill>
    </dxf>
    <dxf>
      <font>
        <b/>
        <i val="0"/>
        <color rgb="FF480000"/>
      </font>
      <fill>
        <patternFill>
          <bgColor rgb="FFFFDA65"/>
        </patternFill>
      </fill>
    </dxf>
    <dxf>
      <font>
        <b/>
        <i val="0"/>
        <color rgb="FF480000"/>
      </font>
      <fill>
        <patternFill>
          <bgColor rgb="FFFFDA65"/>
        </patternFill>
      </fill>
    </dxf>
    <dxf>
      <fill>
        <patternFill>
          <bgColor theme="0"/>
        </patternFill>
      </fill>
    </dxf>
    <dxf>
      <font>
        <b/>
        <i val="0"/>
        <color rgb="FF480000"/>
      </font>
      <fill>
        <patternFill>
          <bgColor rgb="FFFFDA65"/>
        </patternFill>
      </fill>
    </dxf>
    <dxf>
      <font>
        <b/>
        <i val="0"/>
        <color rgb="FF480000"/>
      </font>
      <fill>
        <patternFill>
          <bgColor rgb="FFFFDA65"/>
        </patternFill>
      </fill>
    </dxf>
    <dxf>
      <fill>
        <patternFill>
          <bgColor theme="0"/>
        </patternFill>
      </fill>
    </dxf>
    <dxf>
      <font>
        <b/>
        <i val="0"/>
        <color rgb="FF480000"/>
      </font>
      <fill>
        <patternFill>
          <bgColor rgb="FFFFDA65"/>
        </patternFill>
      </fill>
    </dxf>
    <dxf>
      <font>
        <b/>
        <i val="0"/>
        <color rgb="FF480000"/>
      </font>
      <fill>
        <patternFill>
          <bgColor rgb="FFFFDA65"/>
        </patternFill>
      </fill>
    </dxf>
    <dxf>
      <fill>
        <patternFill>
          <bgColor theme="0"/>
        </patternFill>
      </fill>
    </dxf>
    <dxf>
      <fill>
        <patternFill>
          <bgColor theme="0"/>
        </patternFill>
      </fill>
    </dxf>
    <dxf>
      <font>
        <color theme="0"/>
      </font>
      <fill>
        <patternFill>
          <bgColor theme="0"/>
        </patternFill>
      </fill>
    </dxf>
    <dxf>
      <fill>
        <patternFill>
          <bgColor rgb="FFE8E8E8"/>
        </patternFill>
      </fill>
    </dxf>
    <dxf>
      <font>
        <b/>
        <i val="0"/>
        <color rgb="FF480000"/>
      </font>
      <fill>
        <patternFill>
          <bgColor rgb="FFFFDA65"/>
        </patternFill>
      </fill>
    </dxf>
    <dxf>
      <font>
        <b/>
        <i val="0"/>
        <color rgb="FF480000"/>
      </font>
      <fill>
        <patternFill>
          <bgColor rgb="FFFFDA65"/>
        </patternFill>
      </fill>
    </dxf>
    <dxf>
      <fill>
        <patternFill>
          <bgColor theme="0"/>
        </patternFill>
      </fill>
    </dxf>
    <dxf>
      <fill>
        <patternFill>
          <bgColor theme="0"/>
        </patternFill>
      </fill>
    </dxf>
    <dxf>
      <font>
        <color theme="0"/>
      </font>
      <fill>
        <patternFill>
          <bgColor theme="0"/>
        </patternFill>
      </fill>
    </dxf>
    <dxf>
      <fill>
        <patternFill>
          <bgColor rgb="FFE8E8E8"/>
        </patternFill>
      </fill>
    </dxf>
    <dxf>
      <font>
        <b/>
        <i val="0"/>
        <color rgb="FF480000"/>
      </font>
      <fill>
        <patternFill>
          <bgColor rgb="FFFFDA65"/>
        </patternFill>
      </fill>
    </dxf>
    <dxf>
      <font>
        <b/>
        <i val="0"/>
        <color rgb="FF480000"/>
      </font>
      <fill>
        <patternFill>
          <bgColor rgb="FFFFDA65"/>
        </patternFill>
      </fill>
    </dxf>
    <dxf>
      <fill>
        <patternFill>
          <bgColor theme="0"/>
        </patternFill>
      </fill>
    </dxf>
    <dxf>
      <fill>
        <patternFill>
          <bgColor theme="0"/>
        </patternFill>
      </fill>
    </dxf>
    <dxf>
      <font>
        <color theme="0"/>
      </font>
      <fill>
        <patternFill>
          <bgColor theme="0"/>
        </patternFill>
      </fill>
    </dxf>
    <dxf>
      <fill>
        <patternFill>
          <bgColor rgb="FFE8E8E8"/>
        </patternFill>
      </fill>
    </dxf>
    <dxf>
      <font>
        <b/>
        <i val="0"/>
        <color rgb="FF480000"/>
      </font>
      <fill>
        <patternFill>
          <bgColor rgb="FFFFDA65"/>
        </patternFill>
      </fill>
    </dxf>
    <dxf>
      <font>
        <b/>
        <i val="0"/>
        <color rgb="FF480000"/>
      </font>
      <fill>
        <patternFill>
          <bgColor rgb="FFFFDA65"/>
        </patternFill>
      </fill>
    </dxf>
    <dxf>
      <fill>
        <patternFill>
          <bgColor theme="0"/>
        </patternFill>
      </fill>
    </dxf>
    <dxf>
      <font>
        <b/>
        <i val="0"/>
        <color rgb="FF480000"/>
      </font>
      <fill>
        <patternFill>
          <bgColor rgb="FFFFDA65"/>
        </patternFill>
      </fill>
    </dxf>
    <dxf>
      <font>
        <b/>
        <i val="0"/>
        <color rgb="FF480000"/>
      </font>
      <fill>
        <patternFill>
          <bgColor rgb="FFFFDA65"/>
        </patternFill>
      </fill>
    </dxf>
    <dxf>
      <fill>
        <patternFill>
          <bgColor theme="0"/>
        </patternFill>
      </fill>
    </dxf>
    <dxf>
      <font>
        <b/>
        <i val="0"/>
        <color rgb="FF480000"/>
      </font>
      <fill>
        <patternFill>
          <bgColor rgb="FFFFDA65"/>
        </patternFill>
      </fill>
    </dxf>
    <dxf>
      <font>
        <b/>
        <i val="0"/>
        <color rgb="FF480000"/>
      </font>
      <fill>
        <patternFill>
          <bgColor rgb="FFFFDA65"/>
        </patternFill>
      </fill>
    </dxf>
    <dxf>
      <fill>
        <patternFill>
          <bgColor theme="0"/>
        </patternFill>
      </fill>
    </dxf>
    <dxf>
      <font>
        <b/>
        <i val="0"/>
        <color rgb="FF480000"/>
      </font>
      <fill>
        <patternFill>
          <bgColor rgb="FFFFDA65"/>
        </patternFill>
      </fill>
    </dxf>
    <dxf>
      <font>
        <b/>
        <i val="0"/>
        <color rgb="FF480000"/>
      </font>
      <fill>
        <patternFill>
          <bgColor rgb="FFFFDA65"/>
        </patternFill>
      </fill>
    </dxf>
    <dxf>
      <fill>
        <patternFill>
          <bgColor theme="0"/>
        </patternFill>
      </fill>
    </dxf>
    <dxf>
      <fill>
        <patternFill>
          <bgColor theme="0"/>
        </patternFill>
      </fill>
    </dxf>
    <dxf>
      <font>
        <color theme="0"/>
      </font>
      <fill>
        <patternFill>
          <bgColor theme="0"/>
        </patternFill>
      </fill>
    </dxf>
    <dxf>
      <fill>
        <patternFill>
          <bgColor rgb="FFE8E8E8"/>
        </patternFill>
      </fill>
    </dxf>
    <dxf>
      <font>
        <b/>
        <i val="0"/>
        <color rgb="FF480000"/>
      </font>
      <fill>
        <patternFill>
          <bgColor rgb="FFFFDA65"/>
        </patternFill>
      </fill>
    </dxf>
    <dxf>
      <font>
        <b/>
        <i val="0"/>
        <color rgb="FF480000"/>
      </font>
      <fill>
        <patternFill>
          <bgColor rgb="FFFFDA65"/>
        </patternFill>
      </fill>
    </dxf>
    <dxf>
      <fill>
        <patternFill>
          <bgColor theme="0"/>
        </patternFill>
      </fill>
    </dxf>
    <dxf>
      <fill>
        <patternFill>
          <bgColor theme="0"/>
        </patternFill>
      </fill>
    </dxf>
    <dxf>
      <font>
        <color theme="0"/>
      </font>
      <fill>
        <patternFill>
          <bgColor theme="0"/>
        </patternFill>
      </fill>
    </dxf>
    <dxf>
      <fill>
        <patternFill>
          <bgColor rgb="FFE8E8E8"/>
        </patternFill>
      </fill>
    </dxf>
    <dxf>
      <font>
        <b/>
        <i val="0"/>
        <color rgb="FF480000"/>
      </font>
      <fill>
        <patternFill>
          <bgColor rgb="FFFFDA65"/>
        </patternFill>
      </fill>
    </dxf>
    <dxf>
      <font>
        <b/>
        <i val="0"/>
        <color rgb="FF480000"/>
      </font>
      <fill>
        <patternFill>
          <bgColor rgb="FFFFDA65"/>
        </patternFill>
      </fill>
    </dxf>
    <dxf>
      <fill>
        <patternFill>
          <bgColor theme="0"/>
        </patternFill>
      </fill>
    </dxf>
    <dxf>
      <fill>
        <patternFill>
          <bgColor theme="0"/>
        </patternFill>
      </fill>
    </dxf>
    <dxf>
      <font>
        <color theme="0"/>
      </font>
      <fill>
        <patternFill>
          <bgColor theme="0"/>
        </patternFill>
      </fill>
    </dxf>
    <dxf>
      <fill>
        <patternFill>
          <bgColor rgb="FFE8E8E8"/>
        </patternFill>
      </fill>
    </dxf>
    <dxf>
      <font>
        <b/>
        <i val="0"/>
        <color rgb="FF480000"/>
      </font>
      <fill>
        <patternFill>
          <bgColor rgb="FFFFDA65"/>
        </patternFill>
      </fill>
    </dxf>
    <dxf>
      <font>
        <b/>
        <i val="0"/>
        <color rgb="FF480000"/>
      </font>
      <fill>
        <patternFill>
          <bgColor rgb="FFFFDA65"/>
        </patternFill>
      </fill>
    </dxf>
    <dxf>
      <fill>
        <patternFill>
          <bgColor theme="0"/>
        </patternFill>
      </fill>
    </dxf>
    <dxf>
      <font>
        <b/>
        <i val="0"/>
        <color rgb="FF480000"/>
      </font>
      <fill>
        <patternFill>
          <bgColor rgb="FFFFDA65"/>
        </patternFill>
      </fill>
    </dxf>
    <dxf>
      <font>
        <b/>
        <i val="0"/>
        <color rgb="FF480000"/>
      </font>
      <fill>
        <patternFill>
          <bgColor rgb="FFFFDA65"/>
        </patternFill>
      </fill>
    </dxf>
    <dxf>
      <fill>
        <patternFill>
          <bgColor theme="0"/>
        </patternFill>
      </fill>
    </dxf>
    <dxf>
      <font>
        <b/>
        <i val="0"/>
        <color rgb="FF480000"/>
      </font>
      <fill>
        <patternFill>
          <bgColor rgb="FFFFDA65"/>
        </patternFill>
      </fill>
    </dxf>
    <dxf>
      <font>
        <b/>
        <i val="0"/>
        <color rgb="FF480000"/>
      </font>
      <fill>
        <patternFill>
          <bgColor rgb="FFFFDA65"/>
        </patternFill>
      </fill>
    </dxf>
    <dxf>
      <fill>
        <patternFill>
          <bgColor theme="0"/>
        </patternFill>
      </fill>
    </dxf>
    <dxf>
      <font>
        <b/>
        <i val="0"/>
        <color rgb="FF480000"/>
      </font>
      <fill>
        <patternFill>
          <bgColor rgb="FFFFDA65"/>
        </patternFill>
      </fill>
    </dxf>
    <dxf>
      <font>
        <b/>
        <i val="0"/>
        <color rgb="FF480000"/>
      </font>
      <fill>
        <patternFill>
          <bgColor rgb="FFFFDA65"/>
        </patternFill>
      </fill>
    </dxf>
    <dxf>
      <fill>
        <patternFill>
          <bgColor theme="0"/>
        </patternFill>
      </fill>
    </dxf>
    <dxf>
      <fill>
        <patternFill>
          <bgColor theme="0"/>
        </patternFill>
      </fill>
    </dxf>
    <dxf>
      <font>
        <color theme="0"/>
      </font>
      <fill>
        <patternFill>
          <bgColor theme="0"/>
        </patternFill>
      </fill>
    </dxf>
    <dxf>
      <fill>
        <patternFill>
          <bgColor rgb="FFE8E8E8"/>
        </patternFill>
      </fill>
    </dxf>
    <dxf>
      <font>
        <b/>
        <i val="0"/>
        <color rgb="FF480000"/>
      </font>
      <fill>
        <patternFill>
          <bgColor rgb="FFFFDA65"/>
        </patternFill>
      </fill>
    </dxf>
    <dxf>
      <font>
        <b/>
        <i val="0"/>
        <color rgb="FF480000"/>
      </font>
      <fill>
        <patternFill>
          <bgColor rgb="FFFFDA65"/>
        </patternFill>
      </fill>
    </dxf>
    <dxf>
      <fill>
        <patternFill>
          <bgColor theme="0"/>
        </patternFill>
      </fill>
    </dxf>
    <dxf>
      <fill>
        <patternFill>
          <bgColor theme="0"/>
        </patternFill>
      </fill>
    </dxf>
    <dxf>
      <font>
        <color theme="0"/>
      </font>
      <fill>
        <patternFill>
          <bgColor theme="0"/>
        </patternFill>
      </fill>
    </dxf>
    <dxf>
      <fill>
        <patternFill>
          <bgColor rgb="FFE8E8E8"/>
        </patternFill>
      </fill>
    </dxf>
    <dxf>
      <font>
        <b/>
        <i val="0"/>
        <color rgb="FF480000"/>
      </font>
      <fill>
        <patternFill>
          <bgColor rgb="FFFFDA65"/>
        </patternFill>
      </fill>
    </dxf>
    <dxf>
      <font>
        <b/>
        <i val="0"/>
        <color rgb="FF480000"/>
      </font>
      <fill>
        <patternFill>
          <bgColor rgb="FFFFDA65"/>
        </patternFill>
      </fill>
    </dxf>
    <dxf>
      <fill>
        <patternFill>
          <bgColor theme="0"/>
        </patternFill>
      </fill>
    </dxf>
    <dxf>
      <fill>
        <patternFill>
          <bgColor theme="0"/>
        </patternFill>
      </fill>
    </dxf>
    <dxf>
      <font>
        <color theme="0"/>
      </font>
      <fill>
        <patternFill>
          <bgColor theme="0"/>
        </patternFill>
      </fill>
    </dxf>
    <dxf>
      <fill>
        <patternFill>
          <bgColor rgb="FFE8E8E8"/>
        </patternFill>
      </fill>
    </dxf>
    <dxf>
      <font>
        <b/>
        <i val="0"/>
        <color rgb="FF480000"/>
      </font>
      <fill>
        <patternFill>
          <bgColor rgb="FFFFDA65"/>
        </patternFill>
      </fill>
    </dxf>
    <dxf>
      <font>
        <b/>
        <i val="0"/>
        <color rgb="FF480000"/>
      </font>
      <fill>
        <patternFill>
          <bgColor rgb="FFFFDA65"/>
        </patternFill>
      </fill>
    </dxf>
    <dxf>
      <fill>
        <patternFill>
          <bgColor theme="0"/>
        </patternFill>
      </fill>
    </dxf>
    <dxf>
      <font>
        <b/>
        <i val="0"/>
        <color rgb="FF480000"/>
      </font>
      <fill>
        <patternFill>
          <bgColor rgb="FFFFDA65"/>
        </patternFill>
      </fill>
    </dxf>
    <dxf>
      <font>
        <b/>
        <i val="0"/>
        <color rgb="FF480000"/>
      </font>
      <fill>
        <patternFill>
          <bgColor rgb="FFFFDA65"/>
        </patternFill>
      </fill>
    </dxf>
    <dxf>
      <fill>
        <patternFill>
          <bgColor theme="0"/>
        </patternFill>
      </fill>
    </dxf>
    <dxf>
      <font>
        <b/>
        <i val="0"/>
        <color rgb="FF480000"/>
      </font>
      <fill>
        <patternFill>
          <bgColor rgb="FFFFDA65"/>
        </patternFill>
      </fill>
    </dxf>
    <dxf>
      <font>
        <b/>
        <i val="0"/>
        <color rgb="FF480000"/>
      </font>
      <fill>
        <patternFill>
          <bgColor rgb="FFFFDA65"/>
        </patternFill>
      </fill>
    </dxf>
    <dxf>
      <fill>
        <patternFill>
          <bgColor theme="0"/>
        </patternFill>
      </fill>
    </dxf>
    <dxf>
      <font>
        <color theme="0"/>
      </font>
      <fill>
        <patternFill>
          <bgColor theme="0"/>
        </patternFill>
      </fill>
    </dxf>
    <dxf>
      <fill>
        <patternFill>
          <bgColor rgb="FFE8E8E8"/>
        </patternFill>
      </fill>
    </dxf>
    <dxf>
      <fill>
        <patternFill>
          <bgColor theme="0"/>
        </patternFill>
      </fill>
    </dxf>
    <dxf>
      <font>
        <color theme="0"/>
      </font>
      <fill>
        <patternFill>
          <bgColor theme="0"/>
        </patternFill>
      </fill>
    </dxf>
    <dxf>
      <fill>
        <patternFill>
          <bgColor rgb="FFE8E8E8"/>
        </patternFill>
      </fill>
    </dxf>
    <dxf>
      <fill>
        <patternFill>
          <bgColor theme="0"/>
        </patternFill>
      </fill>
    </dxf>
    <dxf>
      <font>
        <color theme="0"/>
      </font>
      <fill>
        <patternFill>
          <bgColor theme="0"/>
        </patternFill>
      </fill>
    </dxf>
    <dxf>
      <fill>
        <patternFill>
          <bgColor rgb="FFE8E8E8"/>
        </patternFill>
      </fill>
    </dxf>
    <dxf>
      <fill>
        <patternFill>
          <bgColor theme="0"/>
        </patternFill>
      </fill>
    </dxf>
    <dxf>
      <fill>
        <patternFill>
          <bgColor theme="0"/>
        </patternFill>
      </fill>
    </dxf>
    <dxf>
      <font>
        <color theme="0"/>
      </font>
      <fill>
        <patternFill>
          <bgColor theme="0"/>
        </patternFill>
      </fill>
    </dxf>
    <dxf>
      <fill>
        <patternFill>
          <bgColor rgb="FFE8E8E8"/>
        </patternFill>
      </fill>
    </dxf>
    <dxf>
      <fill>
        <patternFill>
          <bgColor theme="0"/>
        </patternFill>
      </fill>
    </dxf>
    <dxf>
      <font>
        <color theme="0"/>
      </font>
      <fill>
        <patternFill>
          <bgColor theme="0"/>
        </patternFill>
      </fill>
    </dxf>
    <dxf>
      <fill>
        <patternFill>
          <bgColor rgb="FFE8E8E8"/>
        </patternFill>
      </fill>
    </dxf>
    <dxf>
      <fill>
        <patternFill>
          <bgColor theme="0"/>
        </patternFill>
      </fill>
    </dxf>
    <dxf>
      <font>
        <color theme="0"/>
      </font>
      <fill>
        <patternFill>
          <bgColor theme="0"/>
        </patternFill>
      </fill>
    </dxf>
    <dxf>
      <fill>
        <patternFill>
          <bgColor rgb="FFE8E8E8"/>
        </patternFill>
      </fill>
    </dxf>
    <dxf>
      <fill>
        <patternFill>
          <bgColor theme="0"/>
        </patternFill>
      </fill>
    </dxf>
    <dxf>
      <font>
        <color theme="0"/>
      </font>
      <fill>
        <patternFill>
          <bgColor theme="0"/>
        </patternFill>
      </fill>
    </dxf>
    <dxf>
      <fill>
        <patternFill>
          <bgColor rgb="FFE8E8E8"/>
        </patternFill>
      </fill>
    </dxf>
    <dxf>
      <fill>
        <patternFill>
          <bgColor theme="0"/>
        </patternFill>
      </fill>
    </dxf>
    <dxf>
      <font>
        <color theme="0"/>
      </font>
      <fill>
        <patternFill>
          <bgColor theme="0"/>
        </patternFill>
      </fill>
    </dxf>
    <dxf>
      <fill>
        <patternFill>
          <bgColor rgb="FFE8E8E8"/>
        </patternFill>
      </fill>
    </dxf>
    <dxf>
      <fill>
        <patternFill>
          <bgColor theme="0"/>
        </patternFill>
      </fill>
    </dxf>
    <dxf>
      <font>
        <color theme="0"/>
      </font>
      <fill>
        <patternFill>
          <bgColor theme="0"/>
        </patternFill>
      </fill>
    </dxf>
    <dxf>
      <fill>
        <patternFill>
          <bgColor rgb="FFE8E8E8"/>
        </patternFill>
      </fill>
    </dxf>
    <dxf>
      <fill>
        <patternFill>
          <bgColor theme="0"/>
        </patternFill>
      </fill>
    </dxf>
    <dxf>
      <font>
        <color theme="0"/>
      </font>
      <fill>
        <patternFill>
          <bgColor theme="0"/>
        </patternFill>
      </fill>
    </dxf>
    <dxf>
      <fill>
        <patternFill>
          <bgColor rgb="FFE8E8E8"/>
        </patternFill>
      </fill>
    </dxf>
    <dxf>
      <fill>
        <patternFill>
          <bgColor theme="0"/>
        </patternFill>
      </fill>
    </dxf>
    <dxf>
      <font>
        <color theme="0"/>
      </font>
      <fill>
        <patternFill>
          <bgColor theme="0"/>
        </patternFill>
      </fill>
    </dxf>
    <dxf>
      <fill>
        <patternFill>
          <bgColor rgb="FFE8E8E8"/>
        </patternFill>
      </fill>
    </dxf>
    <dxf>
      <fill>
        <patternFill>
          <bgColor theme="0"/>
        </patternFill>
      </fill>
    </dxf>
    <dxf>
      <font>
        <color theme="0"/>
      </font>
      <fill>
        <patternFill>
          <bgColor theme="0"/>
        </patternFill>
      </fill>
    </dxf>
    <dxf>
      <fill>
        <patternFill>
          <bgColor rgb="FFE8E8E8"/>
        </patternFill>
      </fill>
    </dxf>
    <dxf>
      <fill>
        <patternFill>
          <bgColor theme="0"/>
        </patternFill>
      </fill>
    </dxf>
    <dxf>
      <font>
        <color theme="0"/>
      </font>
      <fill>
        <patternFill>
          <bgColor theme="0"/>
        </patternFill>
      </fill>
    </dxf>
    <dxf>
      <fill>
        <patternFill>
          <bgColor rgb="FFE8E8E8"/>
        </patternFill>
      </fill>
    </dxf>
    <dxf>
      <fill>
        <patternFill>
          <bgColor theme="0"/>
        </patternFill>
      </fill>
    </dxf>
    <dxf>
      <font>
        <color theme="0"/>
      </font>
      <fill>
        <patternFill>
          <bgColor theme="0"/>
        </patternFill>
      </fill>
    </dxf>
    <dxf>
      <fill>
        <patternFill>
          <bgColor rgb="FFE8E8E8"/>
        </patternFill>
      </fill>
    </dxf>
    <dxf>
      <fill>
        <patternFill>
          <bgColor theme="0"/>
        </patternFill>
      </fill>
    </dxf>
    <dxf>
      <font>
        <color theme="0"/>
      </font>
      <fill>
        <patternFill>
          <bgColor theme="0"/>
        </patternFill>
      </fill>
    </dxf>
    <dxf>
      <fill>
        <patternFill>
          <bgColor rgb="FFE8E8E8"/>
        </patternFill>
      </fill>
    </dxf>
    <dxf>
      <fill>
        <patternFill>
          <bgColor theme="0"/>
        </patternFill>
      </fill>
    </dxf>
    <dxf>
      <font>
        <color theme="0"/>
      </font>
      <fill>
        <patternFill>
          <bgColor theme="0"/>
        </patternFill>
      </fill>
    </dxf>
    <dxf>
      <fill>
        <patternFill>
          <bgColor rgb="FFE8E8E8"/>
        </patternFill>
      </fill>
    </dxf>
    <dxf>
      <fill>
        <patternFill>
          <bgColor theme="0"/>
        </patternFill>
      </fill>
    </dxf>
    <dxf>
      <font>
        <color theme="0"/>
      </font>
      <fill>
        <patternFill>
          <bgColor theme="0"/>
        </patternFill>
      </fill>
    </dxf>
    <dxf>
      <fill>
        <patternFill>
          <bgColor rgb="FFE8E8E8"/>
        </patternFill>
      </fill>
    </dxf>
    <dxf>
      <fill>
        <patternFill>
          <bgColor theme="0"/>
        </patternFill>
      </fill>
    </dxf>
    <dxf>
      <font>
        <color theme="0"/>
      </font>
      <fill>
        <patternFill>
          <bgColor theme="0"/>
        </patternFill>
      </fill>
    </dxf>
    <dxf>
      <fill>
        <patternFill>
          <bgColor rgb="FFE8E8E8"/>
        </patternFill>
      </fill>
    </dxf>
    <dxf>
      <fill>
        <patternFill>
          <bgColor theme="0"/>
        </patternFill>
      </fill>
    </dxf>
    <dxf>
      <font>
        <color theme="0"/>
      </font>
      <fill>
        <patternFill>
          <bgColor theme="0"/>
        </patternFill>
      </fill>
    </dxf>
    <dxf>
      <fill>
        <patternFill>
          <bgColor rgb="FFE8E8E8"/>
        </patternFill>
      </fill>
    </dxf>
    <dxf>
      <fill>
        <patternFill>
          <bgColor theme="0"/>
        </patternFill>
      </fill>
    </dxf>
    <dxf>
      <font>
        <color theme="0"/>
      </font>
      <fill>
        <patternFill>
          <bgColor theme="0"/>
        </patternFill>
      </fill>
    </dxf>
    <dxf>
      <fill>
        <patternFill>
          <bgColor rgb="FFE8E8E8"/>
        </patternFill>
      </fill>
    </dxf>
    <dxf>
      <fill>
        <patternFill>
          <bgColor theme="0"/>
        </patternFill>
      </fill>
    </dxf>
    <dxf>
      <font>
        <color theme="0"/>
      </font>
      <fill>
        <patternFill>
          <bgColor theme="0"/>
        </patternFill>
      </fill>
    </dxf>
    <dxf>
      <fill>
        <patternFill>
          <bgColor rgb="FFE8E8E8"/>
        </patternFill>
      </fill>
    </dxf>
    <dxf>
      <fill>
        <patternFill>
          <bgColor theme="0"/>
        </patternFill>
      </fill>
    </dxf>
    <dxf>
      <font>
        <color theme="0"/>
      </font>
      <fill>
        <patternFill>
          <bgColor theme="0"/>
        </patternFill>
      </fill>
    </dxf>
    <dxf>
      <fill>
        <patternFill>
          <bgColor rgb="FFE8E8E8"/>
        </patternFill>
      </fill>
    </dxf>
    <dxf>
      <fill>
        <patternFill>
          <bgColor theme="0"/>
        </patternFill>
      </fill>
    </dxf>
    <dxf>
      <font>
        <color theme="0"/>
      </font>
      <fill>
        <patternFill>
          <bgColor theme="0"/>
        </patternFill>
      </fill>
    </dxf>
    <dxf>
      <fill>
        <patternFill>
          <bgColor rgb="FFE8E8E8"/>
        </patternFill>
      </fill>
    </dxf>
    <dxf>
      <fill>
        <patternFill>
          <bgColor theme="0"/>
        </patternFill>
      </fill>
    </dxf>
    <dxf>
      <font>
        <color theme="0"/>
      </font>
      <fill>
        <patternFill>
          <bgColor theme="0"/>
        </patternFill>
      </fill>
    </dxf>
    <dxf>
      <fill>
        <patternFill>
          <bgColor rgb="FFE8E8E8"/>
        </patternFill>
      </fill>
    </dxf>
    <dxf>
      <fill>
        <patternFill>
          <bgColor theme="0"/>
        </patternFill>
      </fill>
    </dxf>
    <dxf>
      <font>
        <color theme="0"/>
      </font>
      <fill>
        <patternFill>
          <bgColor theme="0"/>
        </patternFill>
      </fill>
    </dxf>
    <dxf>
      <fill>
        <patternFill>
          <bgColor rgb="FFE8E8E8"/>
        </patternFill>
      </fill>
    </dxf>
    <dxf>
      <fill>
        <patternFill>
          <bgColor theme="0"/>
        </patternFill>
      </fill>
    </dxf>
    <dxf>
      <font>
        <color theme="0"/>
      </font>
      <fill>
        <patternFill>
          <bgColor theme="0"/>
        </patternFill>
      </fill>
    </dxf>
    <dxf>
      <fill>
        <patternFill>
          <bgColor rgb="FFE8E8E8"/>
        </patternFill>
      </fill>
    </dxf>
    <dxf>
      <fill>
        <patternFill>
          <bgColor theme="0"/>
        </patternFill>
      </fill>
    </dxf>
    <dxf>
      <font>
        <color theme="0"/>
      </font>
      <fill>
        <patternFill>
          <bgColor theme="0"/>
        </patternFill>
      </fill>
    </dxf>
    <dxf>
      <fill>
        <patternFill>
          <bgColor rgb="FFE8E8E8"/>
        </patternFill>
      </fill>
    </dxf>
    <dxf>
      <font>
        <b val="0"/>
        <i val="0"/>
        <strike val="0"/>
        <condense val="0"/>
        <extend val="0"/>
        <outline val="0"/>
        <shadow val="0"/>
        <u val="none"/>
        <vertAlign val="baseline"/>
        <sz val="10"/>
        <color theme="1"/>
        <name val="Arial"/>
        <family val="2"/>
        <scheme val="none"/>
      </font>
      <alignment horizontal="center" vertical="center" textRotation="0" wrapText="0" indent="0" justifyLastLine="0" shrinkToFit="0" readingOrder="0"/>
    </dxf>
    <dxf>
      <font>
        <strike val="0"/>
        <outline val="0"/>
        <shadow val="0"/>
        <vertAlign val="baseline"/>
        <sz val="10"/>
        <color theme="1"/>
        <name val="Arial"/>
        <family val="2"/>
        <scheme val="none"/>
      </font>
      <numFmt numFmtId="164" formatCode="m/d/yyyy"/>
      <alignment horizontal="center" vertical="center" textRotation="0" wrapText="0" indent="0" justifyLastLine="0" shrinkToFit="0" readingOrder="0"/>
    </dxf>
    <dxf>
      <font>
        <strike val="0"/>
        <outline val="0"/>
        <shadow val="0"/>
        <vertAlign val="baseline"/>
        <sz val="10"/>
        <color theme="1"/>
        <name val="Arial"/>
        <family val="2"/>
        <scheme val="none"/>
      </font>
      <numFmt numFmtId="164" formatCode="m/d/yyyy"/>
      <alignment horizontal="center" vertical="center" textRotation="0" wrapText="0" indent="0" justifyLastLine="0" shrinkToFit="0" readingOrder="0"/>
    </dxf>
    <dxf>
      <font>
        <strike val="0"/>
        <outline val="0"/>
        <shadow val="0"/>
        <vertAlign val="baseline"/>
        <sz val="10"/>
        <color theme="1"/>
        <name val="Arial"/>
        <family val="2"/>
        <scheme val="none"/>
      </font>
      <numFmt numFmtId="164" formatCode="m/d/yyyy"/>
      <alignment horizontal="center" vertical="center" textRotation="0" wrapText="0" indent="0" justifyLastLine="0" shrinkToFit="0" readingOrder="0"/>
    </dxf>
    <dxf>
      <font>
        <strike val="0"/>
        <outline val="0"/>
        <shadow val="0"/>
        <vertAlign val="baseline"/>
        <sz val="10"/>
        <color theme="1"/>
        <name val="Arial"/>
        <family val="2"/>
        <scheme val="none"/>
      </font>
      <alignment horizontal="center" vertical="center" textRotation="0" wrapText="0" indent="0" justifyLastLine="0" shrinkToFit="0" readingOrder="0"/>
    </dxf>
    <dxf>
      <font>
        <strike val="0"/>
        <outline val="0"/>
        <shadow val="0"/>
        <vertAlign val="baseline"/>
        <sz val="10"/>
        <color theme="1"/>
        <name val="Arial"/>
        <family val="2"/>
        <scheme val="none"/>
      </font>
      <alignment horizontal="center" vertical="center" textRotation="0" wrapText="0" indent="0" justifyLastLine="0" shrinkToFit="0" readingOrder="0"/>
    </dxf>
    <dxf>
      <font>
        <strike val="0"/>
        <outline val="0"/>
        <shadow val="0"/>
        <vertAlign val="baseline"/>
        <sz val="10"/>
        <color theme="1"/>
        <name val="Arial"/>
        <family val="2"/>
        <scheme val="none"/>
      </font>
      <alignment horizontal="center" vertical="center" textRotation="0" wrapText="0" indent="0" justifyLastLine="0" shrinkToFit="0" readingOrder="0"/>
    </dxf>
    <dxf>
      <font>
        <strike val="0"/>
        <outline val="0"/>
        <shadow val="0"/>
        <vertAlign val="baseline"/>
        <sz val="10"/>
        <color theme="1"/>
        <name val="Arial"/>
        <family val="2"/>
        <scheme val="none"/>
      </font>
      <alignment horizontal="center" vertical="center" textRotation="0" wrapText="0" indent="0" justifyLastLine="0" shrinkToFit="0" readingOrder="0"/>
    </dxf>
    <dxf>
      <font>
        <strike val="0"/>
        <outline val="0"/>
        <shadow val="0"/>
        <vertAlign val="baseline"/>
        <sz val="10"/>
        <color theme="1"/>
        <name val="Arial"/>
        <family val="2"/>
        <scheme val="none"/>
      </font>
      <alignment horizontal="center" vertical="center" textRotation="0" wrapText="0" indent="0" justifyLastLine="0" shrinkToFit="0" readingOrder="0"/>
    </dxf>
    <dxf>
      <font>
        <strike val="0"/>
        <outline val="0"/>
        <shadow val="0"/>
        <vertAlign val="baseline"/>
        <sz val="10"/>
        <color theme="1"/>
        <name val="Arial"/>
        <family val="2"/>
        <scheme val="none"/>
      </font>
    </dxf>
    <dxf>
      <font>
        <b/>
        <i val="0"/>
        <strike val="0"/>
        <condense val="0"/>
        <extend val="0"/>
        <outline val="0"/>
        <shadow val="0"/>
        <u/>
        <vertAlign val="baseline"/>
        <sz val="11"/>
        <color theme="1"/>
        <name val="Arial"/>
        <family val="2"/>
        <scheme val="none"/>
      </font>
      <alignment horizontal="center" vertical="center" textRotation="0" wrapText="0" indent="0" justifyLastLine="0" shrinkToFit="0" readingOrder="0"/>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fill>
        <patternFill patternType="solid">
          <fgColor rgb="FF8FCFAD"/>
          <bgColor rgb="FF8FCFAD"/>
        </patternFill>
      </fill>
    </dxf>
    <dxf>
      <fill>
        <patternFill patternType="solid">
          <fgColor rgb="FF8FCFAD"/>
          <bgColor rgb="FFC4E6D4"/>
        </patternFill>
      </fill>
    </dxf>
    <dxf>
      <font>
        <b/>
        <color theme="1"/>
      </font>
    </dxf>
    <dxf>
      <font>
        <b/>
        <color theme="1"/>
      </font>
    </dxf>
    <dxf>
      <font>
        <b/>
        <color theme="1"/>
      </font>
      <border>
        <top style="double">
          <color theme="9"/>
        </top>
      </border>
    </dxf>
    <dxf>
      <font>
        <b/>
        <color theme="0"/>
      </font>
      <fill>
        <patternFill patternType="solid">
          <fgColor rgb="FF50B47F"/>
          <bgColor rgb="FF50B47F"/>
        </patternFill>
      </fill>
    </dxf>
    <dxf>
      <font>
        <color theme="1"/>
      </font>
      <border>
        <left style="thin">
          <color theme="1" tint="0.499984740745262"/>
        </left>
        <right style="thin">
          <color theme="1" tint="0.499984740745262"/>
        </right>
        <top style="thin">
          <color theme="1" tint="0.499984740745262"/>
        </top>
        <bottom style="thin">
          <color theme="1" tint="0.499984740745262"/>
        </bottom>
        <vertical style="thin">
          <color theme="1" tint="0.499984740745262"/>
        </vertical>
        <horizontal style="thin">
          <color theme="1" tint="0.499984740745262"/>
        </horizontal>
      </border>
    </dxf>
    <dxf>
      <font>
        <b val="0"/>
        <i/>
        <sz val="12"/>
        <color theme="1"/>
        <name val="Arial"/>
        <family val="2"/>
        <scheme val="none"/>
      </font>
      <border>
        <bottom style="thin">
          <color theme="9"/>
        </bottom>
        <vertical/>
        <horizontal/>
      </border>
    </dxf>
    <dxf>
      <font>
        <b val="0"/>
        <i val="0"/>
        <sz val="10"/>
        <color theme="0"/>
        <name val="Arial"/>
        <family val="2"/>
        <scheme val="none"/>
      </font>
      <border>
        <left style="thin">
          <color rgb="FF8FCFAD"/>
        </left>
        <right style="thin">
          <color rgb="FF8FCFAD"/>
        </right>
        <top style="thin">
          <color rgb="FF8FCFAD"/>
        </top>
        <bottom style="thin">
          <color rgb="FF8FCFAD"/>
        </bottom>
        <vertical/>
        <horizontal/>
      </border>
    </dxf>
    <dxf>
      <font>
        <b val="0"/>
        <i/>
        <sz val="12"/>
        <color theme="1"/>
        <name val="Arial"/>
        <family val="2"/>
        <scheme val="none"/>
      </font>
      <border>
        <bottom style="thin">
          <color theme="9"/>
        </bottom>
        <vertical/>
        <horizontal/>
      </border>
    </dxf>
    <dxf>
      <font>
        <b val="0"/>
        <i val="0"/>
        <sz val="10"/>
        <color theme="0" tint="-0.24994659260841701"/>
        <name val="Arial"/>
        <family val="2"/>
        <scheme val="none"/>
      </font>
      <fill>
        <patternFill>
          <bgColor rgb="FFFDFDFD"/>
        </patternFill>
      </fill>
      <border>
        <left style="thin">
          <color rgb="FF50B47F"/>
        </left>
        <right style="thin">
          <color rgb="FF50B47F"/>
        </right>
        <top style="thin">
          <color rgb="FF50B47F"/>
        </top>
        <bottom style="thin">
          <color rgb="FF50B47F"/>
        </bottom>
        <vertical/>
        <horizontal/>
      </border>
    </dxf>
  </dxfs>
  <tableStyles count="4" defaultTableStyle="TableStyleMedium2" defaultPivotStyle="PivotStyleLight16">
    <tableStyle name="CESSlicer" pivot="0" table="0" count="10" xr9:uid="{A287680A-F050-4FB1-92C6-12D9ADE26796}">
      <tableStyleElement type="wholeTable" dxfId="1162"/>
      <tableStyleElement type="headerRow" dxfId="1161"/>
    </tableStyle>
    <tableStyle name="CESSlicer #2" pivot="0" table="0" count="10" xr9:uid="{82996A48-BC3C-4DB7-A9A6-B76D518DA308}">
      <tableStyleElement type="wholeTable" dxfId="1160"/>
      <tableStyleElement type="headerRow" dxfId="1159"/>
    </tableStyle>
    <tableStyle name="Invisible" pivot="0" table="0" count="0" xr9:uid="{5341255F-FC10-4327-AC65-594CC8290BB7}"/>
    <tableStyle name="TableStyleMedium7 2" pivot="0" count="7" xr9:uid="{057BE9BC-CA49-441E-A4F5-5443EEBEE110}">
      <tableStyleElement type="wholeTable" dxfId="1158"/>
      <tableStyleElement type="headerRow" dxfId="1157"/>
      <tableStyleElement type="totalRow" dxfId="1156"/>
      <tableStyleElement type="firstColumn" dxfId="1155"/>
      <tableStyleElement type="lastColumn" dxfId="1154"/>
      <tableStyleElement type="firstRowStripe" dxfId="1153"/>
      <tableStyleElement type="firstColumnStripe" dxfId="1152"/>
    </tableStyle>
  </tableStyles>
  <colors>
    <mruColors>
      <color rgb="FFC4E6D4"/>
      <color rgb="FF50B47F"/>
      <color rgb="FF8FCFAD"/>
      <color rgb="FFFFDA65"/>
      <color rgb="FFE25C5C"/>
      <color rgb="FFB00000"/>
      <color rgb="FFFF6969"/>
      <color rgb="FFEEA964"/>
      <color rgb="FFFFC50D"/>
      <color rgb="FFD6EEE1"/>
    </mruColors>
  </colors>
  <extLst>
    <ext xmlns:x14="http://schemas.microsoft.com/office/spreadsheetml/2009/9/main" uri="{46F421CA-312F-682f-3DD2-61675219B42D}">
      <x14:dxfs count="16">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50B47F"/>
          </font>
          <fill>
            <patternFill patternType="solid">
              <fgColor rgb="FF8FCFAD"/>
              <bgColor theme="9" tint="0.59999389629810485"/>
            </patternFill>
          </fill>
          <border>
            <left style="thin">
              <color theme="9" tint="0.59999389629810485"/>
            </left>
            <right style="thin">
              <color theme="9" tint="0.59999389629810485"/>
            </right>
            <top style="thin">
              <color theme="9" tint="0.59999389629810485"/>
            </top>
            <bottom style="thin">
              <color theme="9" tint="0.59999389629810485"/>
            </bottom>
            <vertical/>
            <horizontal/>
          </border>
        </dxf>
        <dxf>
          <font>
            <color theme="0"/>
          </font>
          <fill>
            <patternFill patternType="solid">
              <fgColor rgb="FF8FCFAD"/>
              <bgColor rgb="FF8FCFAD"/>
            </patternFill>
          </fill>
          <border>
            <left style="thin">
              <color rgb="FF8FCFAD"/>
            </left>
            <right style="thin">
              <color rgb="FF8FCFAD"/>
            </right>
            <top style="thin">
              <color rgb="FF8FCFAD"/>
            </top>
            <bottom style="thin">
              <color rgb="FF8FCFAD"/>
            </bottom>
            <vertical/>
            <horizontal/>
          </border>
        </dxf>
        <dxf>
          <font>
            <color rgb="FF959595"/>
          </font>
          <fill>
            <patternFill patternType="solid">
              <fgColor rgb="FFDFDFDF"/>
              <bgColor rgb="FFDFDFDF"/>
            </patternFill>
          </fill>
          <border>
            <left style="thin">
              <color rgb="FFDFDFDF"/>
            </left>
            <right style="thin">
              <color rgb="FFDFDFDF"/>
            </right>
            <top style="thin">
              <color rgb="FFDFDFDF"/>
            </top>
            <bottom style="thin">
              <color rgb="FFDFDFDF"/>
            </bottom>
            <vertical/>
            <horizontal/>
          </border>
        </dxf>
        <dxf>
          <font>
            <color rgb="FF000000"/>
          </font>
          <fill>
            <patternFill patternType="solid">
              <fgColor rgb="FFC0C0C0"/>
              <bgColor rgb="FFC0C0C0"/>
            </patternFill>
          </fill>
          <border>
            <left style="thin">
              <color rgb="FFC0C0C0"/>
            </left>
            <right style="thin">
              <color rgb="FFC0C0C0"/>
            </right>
            <top style="thin">
              <color rgb="FFC0C0C0"/>
            </top>
            <bottom style="thin">
              <color rgb="FFC0C0C0"/>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2" tint="-0.24994659260841701"/>
          </font>
          <fill>
            <patternFill patternType="solid">
              <fgColor rgb="FF8FCFAD"/>
              <bgColor rgb="FFDFF1E8"/>
            </patternFill>
          </fill>
          <border>
            <left style="thin">
              <color rgb="FF8FCFAD"/>
            </left>
            <right style="thin">
              <color rgb="FF8FCFAD"/>
            </right>
            <top style="thin">
              <color rgb="FF8FCFAD"/>
            </top>
            <bottom style="thin">
              <color rgb="FF8FCFAD"/>
            </bottom>
            <vertical/>
            <horizontal/>
          </border>
        </dxf>
        <dxf>
          <font>
            <color theme="0"/>
          </font>
          <fill>
            <patternFill patternType="solid">
              <fgColor rgb="FF50B47F"/>
              <bgColor rgb="FF50B47F"/>
            </patternFill>
          </fill>
          <border>
            <left style="thin">
              <color theme="9"/>
            </left>
            <right style="thin">
              <color theme="9"/>
            </right>
            <top style="thin">
              <color theme="9"/>
            </top>
            <bottom style="thin">
              <color theme="9"/>
            </bottom>
            <vertical/>
            <horizontal/>
          </border>
        </dxf>
        <dxf>
          <font>
            <color rgb="FF959595"/>
          </font>
          <fill>
            <patternFill patternType="solid">
              <fgColor rgb="FFDFDFDF"/>
              <bgColor rgb="FFDFDFDF"/>
            </patternFill>
          </fill>
          <border>
            <left style="thin">
              <color rgb="FFDFDFDF"/>
            </left>
            <right style="thin">
              <color rgb="FFDFDFDF"/>
            </right>
            <top style="thin">
              <color rgb="FFDFDFDF"/>
            </top>
            <bottom style="thin">
              <color rgb="FFDFDFDF"/>
            </bottom>
            <vertical/>
            <horizontal/>
          </border>
        </dxf>
        <dxf>
          <font>
            <color rgb="FF000000"/>
          </font>
          <fill>
            <patternFill patternType="solid">
              <fgColor rgb="FFC0C0C0"/>
              <bgColor rgb="FFC0C0C0"/>
            </patternFill>
          </fill>
          <border>
            <left style="thin">
              <color rgb="FFC0C0C0"/>
            </left>
            <right style="thin">
              <color rgb="FFC0C0C0"/>
            </right>
            <top style="thin">
              <color rgb="FFC0C0C0"/>
            </top>
            <bottom style="thin">
              <color rgb="FFC0C0C0"/>
            </bottom>
            <vertical/>
            <horizontal/>
          </border>
        </dxf>
      </x14:dxfs>
    </ext>
    <ext xmlns:x14="http://schemas.microsoft.com/office/spreadsheetml/2009/9/main" uri="{EB79DEF2-80B8-43e5-95BD-54CBDDF9020C}">
      <x14:slicerStyles defaultSlicerStyle="CESSlicer">
        <x14:slicerStyle name="CESSlicer">
          <x14:slicerStyleElements>
            <x14:slicerStyleElement type="unselectedItemWithData" dxfId="15"/>
            <x14:slicerStyleElement type="unselectedItemWithNoData" dxfId="14"/>
            <x14:slicerStyleElement type="selectedItemWithData" dxfId="13"/>
            <x14:slicerStyleElement type="selectedItemWithNoData" dxfId="12"/>
            <x14:slicerStyleElement type="hoveredUnselectedItemWithData" dxfId="11"/>
            <x14:slicerStyleElement type="hoveredSelectedItemWithData" dxfId="10"/>
            <x14:slicerStyleElement type="hoveredUnselectedItemWithNoData" dxfId="9"/>
            <x14:slicerStyleElement type="hoveredSelectedItemWithNoData" dxfId="8"/>
          </x14:slicerStyleElements>
        </x14:slicerStyle>
        <x14:slicerStyle name="CESSlicer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7/relationships/slicerCache" Target="slicerCaches/slicerCache2.xml"/><Relationship Id="rId18" Type="http://schemas.microsoft.com/office/2007/relationships/slicerCache" Target="slicerCaches/slicerCache7.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microsoft.com/office/2007/relationships/slicerCache" Target="slicerCaches/slicerCache1.xml"/><Relationship Id="rId17" Type="http://schemas.microsoft.com/office/2007/relationships/slicerCache" Target="slicerCaches/slicerCache6.xml"/><Relationship Id="rId25" Type="http://schemas.microsoft.com/office/2006/relationships/vbaProject" Target="vbaProject.bin"/><Relationship Id="rId2" Type="http://schemas.openxmlformats.org/officeDocument/2006/relationships/worksheet" Target="worksheets/sheet2.xml"/><Relationship Id="rId16" Type="http://schemas.microsoft.com/office/2007/relationships/slicerCache" Target="slicerCaches/slicerCache5.xml"/><Relationship Id="rId20" Type="http://schemas.microsoft.com/office/2007/relationships/slicerCache" Target="slicerCaches/slicerCache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2.xml"/><Relationship Id="rId24" Type="http://schemas.openxmlformats.org/officeDocument/2006/relationships/calcChain" Target="calcChain.xml"/><Relationship Id="rId5" Type="http://schemas.openxmlformats.org/officeDocument/2006/relationships/worksheet" Target="worksheets/sheet5.xml"/><Relationship Id="rId15" Type="http://schemas.microsoft.com/office/2007/relationships/slicerCache" Target="slicerCaches/slicerCache4.xml"/><Relationship Id="rId23" Type="http://schemas.openxmlformats.org/officeDocument/2006/relationships/sharedStrings" Target="sharedStrings.xml"/><Relationship Id="rId10" Type="http://schemas.openxmlformats.org/officeDocument/2006/relationships/pivotCacheDefinition" Target="pivotCache/pivotCacheDefinition1.xml"/><Relationship Id="rId19" Type="http://schemas.microsoft.com/office/2007/relationships/slicerCache" Target="slicerCaches/slicerCache8.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7/relationships/slicerCache" Target="slicerCaches/slicerCache3.xml"/><Relationship Id="rId22"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79176FB0-B7F2-11CE-97EF-00AA006D2776}" r:id="rId1"/>
</file>

<file path=xl/charts/_rels/chart1.xml.rels><?xml version="1.0" encoding="UTF-8" standalone="yes"?>
<Relationships xmlns="http://schemas.openxmlformats.org/package/2006/relationships"><Relationship Id="rId3" Type="http://schemas.openxmlformats.org/officeDocument/2006/relationships/themeOverride" Target="../theme/themeOverride1.xml"/><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3" Type="http://schemas.openxmlformats.org/officeDocument/2006/relationships/themeOverride" Target="../theme/themeOverride2.xml"/><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pivotSource>
    <c:name>[Kanban Template.xlsm]Pivots!PivotTable17</c:name>
    <c:fmtId val="0"/>
  </c:pivotSource>
  <c:chart>
    <c:title>
      <c:tx>
        <c:rich>
          <a:bodyPr rot="0" spcFirstLastPara="1" vertOverflow="ellipsis" vert="horz" wrap="square" anchor="ctr" anchorCtr="1"/>
          <a:lstStyle/>
          <a:p>
            <a:pPr>
              <a:defRPr lang="en-US" sz="1080" b="0" i="0" u="none" strike="noStrike" kern="1200" spc="0" baseline="0">
                <a:solidFill>
                  <a:sysClr val="windowText" lastClr="000000">
                    <a:lumMod val="65000"/>
                    <a:lumOff val="35000"/>
                  </a:sysClr>
                </a:solidFill>
                <a:latin typeface="+mn-lt"/>
                <a:ea typeface="+mn-ea"/>
                <a:cs typeface="+mn-cs"/>
              </a:defRPr>
            </a:pPr>
            <a:r>
              <a:rPr lang="en-US" sz="1400" b="1"/>
              <a:t>Tasks by Kanban Group</a:t>
            </a:r>
          </a:p>
        </c:rich>
      </c:tx>
      <c:overlay val="0"/>
      <c:spPr>
        <a:noFill/>
        <a:ln>
          <a:noFill/>
        </a:ln>
        <a:effectLst/>
      </c:spPr>
      <c:txPr>
        <a:bodyPr rot="0" spcFirstLastPara="1" vertOverflow="ellipsis" vert="horz" wrap="square" anchor="ctr" anchorCtr="1"/>
        <a:lstStyle/>
        <a:p>
          <a:pPr>
            <a:defRPr lang="en-US" sz="1080" b="0" i="0" u="none" strike="noStrike" kern="1200" spc="0" baseline="0">
              <a:solidFill>
                <a:sysClr val="windowText" lastClr="000000">
                  <a:lumMod val="65000"/>
                  <a:lumOff val="35000"/>
                </a:sys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spc="0" baseline="0">
                  <a:solidFill>
                    <a:sysClr val="windowText" lastClr="000000">
                      <a:lumMod val="65000"/>
                      <a:lumOff val="35000"/>
                    </a:sys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spc="0" baseline="0">
                  <a:solidFill>
                    <a:sysClr val="windowText" lastClr="000000">
                      <a:lumMod val="65000"/>
                      <a:lumOff val="35000"/>
                    </a:sys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6">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spc="0" baseline="0">
                  <a:solidFill>
                    <a:sysClr val="windowText" lastClr="000000">
                      <a:lumMod val="65000"/>
                      <a:lumOff val="35000"/>
                    </a:sys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4">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spc="0" baseline="0">
                  <a:solidFill>
                    <a:sysClr val="windowText" lastClr="000000">
                      <a:lumMod val="65000"/>
                      <a:lumOff val="35000"/>
                    </a:sys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
        <c:spPr>
          <a:solidFill>
            <a:srgbClr val="E25C5C"/>
          </a:solidFill>
          <a:ln>
            <a:noFill/>
          </a:ln>
          <a:effectLst/>
        </c:spPr>
        <c:marker>
          <c:symbol val="none"/>
        </c:marker>
        <c:dLbl>
          <c:idx val="0"/>
          <c:spPr>
            <a:noFill/>
            <a:ln>
              <a:noFill/>
            </a:ln>
            <a:effectLst/>
          </c:spPr>
          <c:txPr>
            <a:bodyPr rot="0" spcFirstLastPara="1" vertOverflow="ellipsis" vert="horz" wrap="square" anchor="ctr" anchorCtr="1"/>
            <a:lstStyle/>
            <a:p>
              <a:pPr>
                <a:defRPr lang="en-US" sz="900" b="0" i="0" u="none" strike="noStrike" kern="1200" spc="0" baseline="0">
                  <a:solidFill>
                    <a:sysClr val="windowText" lastClr="000000">
                      <a:lumMod val="65000"/>
                      <a:lumOff val="35000"/>
                    </a:sys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rgbClr val="E25C5C"/>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spc="0" baseline="0">
                  <a:solidFill>
                    <a:sysClr val="windowText" lastClr="000000">
                      <a:lumMod val="65000"/>
                      <a:lumOff val="35000"/>
                    </a:sys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6">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spc="0" baseline="0">
                  <a:solidFill>
                    <a:sysClr val="windowText" lastClr="000000">
                      <a:lumMod val="65000"/>
                      <a:lumOff val="35000"/>
                    </a:sys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4">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spc="0" baseline="0">
                  <a:solidFill>
                    <a:sysClr val="windowText" lastClr="000000">
                      <a:lumMod val="65000"/>
                      <a:lumOff val="35000"/>
                    </a:sys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spc="0" baseline="0">
                  <a:solidFill>
                    <a:sysClr val="windowText" lastClr="000000">
                      <a:lumMod val="65000"/>
                      <a:lumOff val="35000"/>
                    </a:sys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stacked"/>
        <c:varyColors val="0"/>
        <c:ser>
          <c:idx val="0"/>
          <c:order val="0"/>
          <c:tx>
            <c:strRef>
              <c:f>Pivots!$C$3:$C$4</c:f>
              <c:strCache>
                <c:ptCount val="1"/>
                <c:pt idx="0">
                  <c:v>High</c:v>
                </c:pt>
              </c:strCache>
            </c:strRef>
          </c:tx>
          <c:spPr>
            <a:solidFill>
              <a:srgbClr val="E25C5C"/>
            </a:solidFill>
            <a:ln>
              <a:noFill/>
            </a:ln>
            <a:effectLst/>
          </c:spPr>
          <c:invertIfNegative val="0"/>
          <c:cat>
            <c:strRef>
              <c:f>Pivots!$B$5:$B$11</c:f>
              <c:strCache>
                <c:ptCount val="6"/>
                <c:pt idx="0">
                  <c:v>General</c:v>
                </c:pt>
                <c:pt idx="1">
                  <c:v>Team #1</c:v>
                </c:pt>
                <c:pt idx="2">
                  <c:v>Team #2</c:v>
                </c:pt>
                <c:pt idx="3">
                  <c:v>Team #3</c:v>
                </c:pt>
                <c:pt idx="4">
                  <c:v>Team #5</c:v>
                </c:pt>
                <c:pt idx="5">
                  <c:v>Team #4</c:v>
                </c:pt>
              </c:strCache>
            </c:strRef>
          </c:cat>
          <c:val>
            <c:numRef>
              <c:f>Pivots!$C$5:$C$11</c:f>
              <c:numCache>
                <c:formatCode>General</c:formatCode>
                <c:ptCount val="6"/>
                <c:pt idx="1">
                  <c:v>1</c:v>
                </c:pt>
                <c:pt idx="2">
                  <c:v>1</c:v>
                </c:pt>
                <c:pt idx="3">
                  <c:v>2</c:v>
                </c:pt>
                <c:pt idx="4">
                  <c:v>1</c:v>
                </c:pt>
                <c:pt idx="5">
                  <c:v>1</c:v>
                </c:pt>
              </c:numCache>
            </c:numRef>
          </c:val>
          <c:extLst>
            <c:ext xmlns:c16="http://schemas.microsoft.com/office/drawing/2014/chart" uri="{C3380CC4-5D6E-409C-BE32-E72D297353CC}">
              <c16:uniqueId val="{00000002-59B5-4029-92D0-A42DFADCFBF9}"/>
            </c:ext>
          </c:extLst>
        </c:ser>
        <c:ser>
          <c:idx val="1"/>
          <c:order val="1"/>
          <c:tx>
            <c:strRef>
              <c:f>Pivots!$D$3:$D$4</c:f>
              <c:strCache>
                <c:ptCount val="1"/>
                <c:pt idx="0">
                  <c:v>Low</c:v>
                </c:pt>
              </c:strCache>
            </c:strRef>
          </c:tx>
          <c:spPr>
            <a:solidFill>
              <a:schemeClr val="accent6">
                <a:lumMod val="60000"/>
                <a:lumOff val="40000"/>
              </a:schemeClr>
            </a:solidFill>
            <a:ln>
              <a:noFill/>
            </a:ln>
            <a:effectLst/>
          </c:spPr>
          <c:invertIfNegative val="0"/>
          <c:cat>
            <c:strRef>
              <c:f>Pivots!$B$5:$B$11</c:f>
              <c:strCache>
                <c:ptCount val="6"/>
                <c:pt idx="0">
                  <c:v>General</c:v>
                </c:pt>
                <c:pt idx="1">
                  <c:v>Team #1</c:v>
                </c:pt>
                <c:pt idx="2">
                  <c:v>Team #2</c:v>
                </c:pt>
                <c:pt idx="3">
                  <c:v>Team #3</c:v>
                </c:pt>
                <c:pt idx="4">
                  <c:v>Team #5</c:v>
                </c:pt>
                <c:pt idx="5">
                  <c:v>Team #4</c:v>
                </c:pt>
              </c:strCache>
            </c:strRef>
          </c:cat>
          <c:val>
            <c:numRef>
              <c:f>Pivots!$D$5:$D$11</c:f>
              <c:numCache>
                <c:formatCode>General</c:formatCode>
                <c:ptCount val="6"/>
                <c:pt idx="0">
                  <c:v>2</c:v>
                </c:pt>
                <c:pt idx="1">
                  <c:v>2</c:v>
                </c:pt>
                <c:pt idx="2">
                  <c:v>1</c:v>
                </c:pt>
                <c:pt idx="3">
                  <c:v>1</c:v>
                </c:pt>
                <c:pt idx="4">
                  <c:v>1</c:v>
                </c:pt>
              </c:numCache>
            </c:numRef>
          </c:val>
          <c:extLst>
            <c:ext xmlns:c16="http://schemas.microsoft.com/office/drawing/2014/chart" uri="{C3380CC4-5D6E-409C-BE32-E72D297353CC}">
              <c16:uniqueId val="{00000003-59B5-4029-92D0-A42DFADCFBF9}"/>
            </c:ext>
          </c:extLst>
        </c:ser>
        <c:ser>
          <c:idx val="2"/>
          <c:order val="2"/>
          <c:tx>
            <c:strRef>
              <c:f>Pivots!$E$3:$E$4</c:f>
              <c:strCache>
                <c:ptCount val="1"/>
                <c:pt idx="0">
                  <c:v>Medium</c:v>
                </c:pt>
              </c:strCache>
            </c:strRef>
          </c:tx>
          <c:spPr>
            <a:solidFill>
              <a:schemeClr val="accent4">
                <a:lumMod val="60000"/>
                <a:lumOff val="40000"/>
              </a:schemeClr>
            </a:solidFill>
            <a:ln>
              <a:noFill/>
            </a:ln>
            <a:effectLst/>
          </c:spPr>
          <c:invertIfNegative val="0"/>
          <c:cat>
            <c:strRef>
              <c:f>Pivots!$B$5:$B$11</c:f>
              <c:strCache>
                <c:ptCount val="6"/>
                <c:pt idx="0">
                  <c:v>General</c:v>
                </c:pt>
                <c:pt idx="1">
                  <c:v>Team #1</c:v>
                </c:pt>
                <c:pt idx="2">
                  <c:v>Team #2</c:v>
                </c:pt>
                <c:pt idx="3">
                  <c:v>Team #3</c:v>
                </c:pt>
                <c:pt idx="4">
                  <c:v>Team #5</c:v>
                </c:pt>
                <c:pt idx="5">
                  <c:v>Team #4</c:v>
                </c:pt>
              </c:strCache>
            </c:strRef>
          </c:cat>
          <c:val>
            <c:numRef>
              <c:f>Pivots!$E$5:$E$11</c:f>
              <c:numCache>
                <c:formatCode>General</c:formatCode>
                <c:ptCount val="6"/>
                <c:pt idx="0">
                  <c:v>2</c:v>
                </c:pt>
                <c:pt idx="1">
                  <c:v>2</c:v>
                </c:pt>
                <c:pt idx="2">
                  <c:v>2</c:v>
                </c:pt>
                <c:pt idx="5">
                  <c:v>2</c:v>
                </c:pt>
              </c:numCache>
            </c:numRef>
          </c:val>
          <c:extLst>
            <c:ext xmlns:c16="http://schemas.microsoft.com/office/drawing/2014/chart" uri="{C3380CC4-5D6E-409C-BE32-E72D297353CC}">
              <c16:uniqueId val="{00000004-59B5-4029-92D0-A42DFADCFBF9}"/>
            </c:ext>
          </c:extLst>
        </c:ser>
        <c:dLbls>
          <c:showLegendKey val="0"/>
          <c:showVal val="0"/>
          <c:showCatName val="0"/>
          <c:showSerName val="0"/>
          <c:showPercent val="0"/>
          <c:showBubbleSize val="0"/>
        </c:dLbls>
        <c:gapWidth val="219"/>
        <c:overlap val="100"/>
        <c:axId val="1275921951"/>
        <c:axId val="1270891487"/>
      </c:barChart>
      <c:catAx>
        <c:axId val="1275921951"/>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lang="en-US" sz="900" b="0" i="0" u="none" strike="noStrike" kern="1200" spc="0" baseline="0">
                <a:solidFill>
                  <a:sysClr val="windowText" lastClr="000000">
                    <a:lumMod val="65000"/>
                    <a:lumOff val="35000"/>
                  </a:sysClr>
                </a:solidFill>
                <a:latin typeface="+mn-lt"/>
                <a:ea typeface="+mn-ea"/>
                <a:cs typeface="+mn-cs"/>
              </a:defRPr>
            </a:pPr>
            <a:endParaRPr lang="en-US"/>
          </a:p>
        </c:txPr>
        <c:crossAx val="1270891487"/>
        <c:crosses val="autoZero"/>
        <c:auto val="1"/>
        <c:lblAlgn val="ctr"/>
        <c:lblOffset val="100"/>
        <c:noMultiLvlLbl val="0"/>
      </c:catAx>
      <c:valAx>
        <c:axId val="1270891487"/>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lang="en-US" sz="900" b="0" i="1" u="none" strike="noStrike" kern="1200" spc="0" baseline="0">
                    <a:solidFill>
                      <a:sysClr val="windowText" lastClr="000000">
                        <a:lumMod val="65000"/>
                        <a:lumOff val="35000"/>
                      </a:sysClr>
                    </a:solidFill>
                    <a:latin typeface="+mn-lt"/>
                    <a:ea typeface="+mn-ea"/>
                    <a:cs typeface="+mn-cs"/>
                  </a:defRPr>
                </a:pPr>
                <a:r>
                  <a:rPr lang="en-US" sz="900" b="0" i="1" u="none"/>
                  <a:t>Task Count</a:t>
                </a:r>
              </a:p>
            </c:rich>
          </c:tx>
          <c:overlay val="0"/>
          <c:spPr>
            <a:noFill/>
            <a:ln>
              <a:noFill/>
            </a:ln>
            <a:effectLst/>
          </c:spPr>
          <c:txPr>
            <a:bodyPr rot="0" spcFirstLastPara="1" vertOverflow="ellipsis" vert="horz" wrap="square" anchor="ctr" anchorCtr="1"/>
            <a:lstStyle/>
            <a:p>
              <a:pPr>
                <a:defRPr lang="en-US" sz="900" b="0" i="1" u="none" strike="noStrike" kern="1200" spc="0" baseline="0">
                  <a:solidFill>
                    <a:sysClr val="windowText" lastClr="000000">
                      <a:lumMod val="65000"/>
                      <a:lumOff val="35000"/>
                    </a:sys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lang="en-US" sz="900" b="0" i="0" u="none" strike="noStrike" kern="1200" spc="0" baseline="0">
                <a:solidFill>
                  <a:sysClr val="windowText" lastClr="000000">
                    <a:lumMod val="65000"/>
                    <a:lumOff val="35000"/>
                  </a:sysClr>
                </a:solidFill>
                <a:latin typeface="+mn-lt"/>
                <a:ea typeface="+mn-ea"/>
                <a:cs typeface="+mn-cs"/>
              </a:defRPr>
            </a:pPr>
            <a:endParaRPr lang="en-US"/>
          </a:p>
        </c:txPr>
        <c:crossAx val="1275921951"/>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lang="en-US" sz="900" b="0" i="0" u="none" strike="noStrike" kern="1200" spc="0" baseline="0">
              <a:solidFill>
                <a:sysClr val="windowText" lastClr="000000">
                  <a:lumMod val="65000"/>
                  <a:lumOff val="35000"/>
                </a:sysClr>
              </a:solidFill>
              <a:latin typeface="+mn-lt"/>
              <a:ea typeface="+mn-ea"/>
              <a:cs typeface="+mn-cs"/>
            </a:defRPr>
          </a:pPr>
          <a:endParaRPr lang="en-US"/>
        </a:p>
      </c:txPr>
    </c:legend>
    <c:plotVisOnly val="1"/>
    <c:dispBlanksAs val="gap"/>
    <c:showDLblsOverMax val="0"/>
    <c:extLst/>
  </c:chart>
  <c:spPr>
    <a:solidFill>
      <a:schemeClr val="bg1"/>
    </a:solidFill>
    <a:ln w="9525" cap="flat" cmpd="sng" algn="ctr">
      <a:solidFill>
        <a:schemeClr val="tx1">
          <a:lumMod val="15000"/>
          <a:lumOff val="85000"/>
        </a:schemeClr>
      </a:solidFill>
      <a:round/>
    </a:ln>
    <a:effectLst/>
  </c:spPr>
  <c:txPr>
    <a:bodyPr/>
    <a:lstStyle/>
    <a:p>
      <a:pPr algn="ctr" rtl="0">
        <a:defRPr lang="en-US" sz="900" b="0" i="0" u="none" strike="noStrike" kern="1200" spc="0" baseline="0">
          <a:solidFill>
            <a:sysClr val="windowText" lastClr="000000">
              <a:lumMod val="65000"/>
              <a:lumOff val="35000"/>
            </a:sysClr>
          </a:solidFill>
          <a:latin typeface="+mn-lt"/>
          <a:ea typeface="+mn-ea"/>
          <a:cs typeface="+mn-cs"/>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pivotSource>
    <c:name>[Kanban Template.xlsm]Pivots!PivotTable18</c:name>
    <c:fmtId val="0"/>
  </c:pivotSource>
  <c:chart>
    <c:title>
      <c:tx>
        <c:rich>
          <a:bodyPr rot="0" spcFirstLastPara="1" vertOverflow="ellipsis" vert="horz" wrap="square" anchor="ctr" anchorCtr="1"/>
          <a:lstStyle/>
          <a:p>
            <a:pPr>
              <a:defRPr lang="en-US" sz="1080" b="0" i="0" u="none" strike="noStrike" kern="1200" spc="0" baseline="0">
                <a:solidFill>
                  <a:sysClr val="windowText" lastClr="000000">
                    <a:lumMod val="65000"/>
                    <a:lumOff val="35000"/>
                  </a:sysClr>
                </a:solidFill>
                <a:latin typeface="+mn-lt"/>
                <a:ea typeface="+mn-ea"/>
                <a:cs typeface="+mn-cs"/>
              </a:defRPr>
            </a:pPr>
            <a:r>
              <a:rPr lang="en-US" sz="1400" b="1"/>
              <a:t>Tasks by Status</a:t>
            </a:r>
          </a:p>
        </c:rich>
      </c:tx>
      <c:overlay val="0"/>
      <c:spPr>
        <a:noFill/>
        <a:ln>
          <a:noFill/>
        </a:ln>
        <a:effectLst/>
      </c:spPr>
      <c:txPr>
        <a:bodyPr rot="0" spcFirstLastPara="1" vertOverflow="ellipsis" vert="horz" wrap="square" anchor="ctr" anchorCtr="1"/>
        <a:lstStyle/>
        <a:p>
          <a:pPr>
            <a:defRPr lang="en-US" sz="1080" b="0" i="0" u="none" strike="noStrike" kern="1200" spc="0" baseline="0">
              <a:solidFill>
                <a:sysClr val="windowText" lastClr="000000">
                  <a:lumMod val="65000"/>
                  <a:lumOff val="35000"/>
                </a:sys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spc="0" baseline="0">
                  <a:solidFill>
                    <a:sysClr val="windowText" lastClr="000000">
                      <a:lumMod val="65000"/>
                      <a:lumOff val="35000"/>
                    </a:sys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spc="0" baseline="0">
                  <a:solidFill>
                    <a:sysClr val="windowText" lastClr="000000">
                      <a:lumMod val="65000"/>
                      <a:lumOff val="35000"/>
                    </a:sys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6">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spc="0" baseline="0">
                  <a:solidFill>
                    <a:sysClr val="windowText" lastClr="000000">
                      <a:lumMod val="65000"/>
                      <a:lumOff val="35000"/>
                    </a:sys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4">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spc="0" baseline="0">
                  <a:solidFill>
                    <a:sysClr val="windowText" lastClr="000000">
                      <a:lumMod val="65000"/>
                      <a:lumOff val="35000"/>
                    </a:sys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
        <c:spPr>
          <a:solidFill>
            <a:srgbClr val="E25C5C"/>
          </a:solidFill>
          <a:ln>
            <a:noFill/>
          </a:ln>
          <a:effectLst/>
        </c:spPr>
        <c:marker>
          <c:symbol val="none"/>
        </c:marker>
        <c:dLbl>
          <c:idx val="0"/>
          <c:spPr>
            <a:noFill/>
            <a:ln>
              <a:noFill/>
            </a:ln>
            <a:effectLst/>
          </c:spPr>
          <c:txPr>
            <a:bodyPr rot="0" spcFirstLastPara="1" vertOverflow="ellipsis" vert="horz" wrap="square" anchor="ctr" anchorCtr="1"/>
            <a:lstStyle/>
            <a:p>
              <a:pPr>
                <a:defRPr lang="en-US" sz="900" b="0" i="0" u="none" strike="noStrike" kern="1200" spc="0" baseline="0">
                  <a:solidFill>
                    <a:sysClr val="windowText" lastClr="000000">
                      <a:lumMod val="65000"/>
                      <a:lumOff val="35000"/>
                    </a:sys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rgbClr val="E25C5C"/>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spc="0" baseline="0">
                  <a:solidFill>
                    <a:sysClr val="windowText" lastClr="000000">
                      <a:lumMod val="65000"/>
                      <a:lumOff val="35000"/>
                    </a:sys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6">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spc="0" baseline="0">
                  <a:solidFill>
                    <a:sysClr val="windowText" lastClr="000000">
                      <a:lumMod val="65000"/>
                      <a:lumOff val="35000"/>
                    </a:sys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4">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spc="0" baseline="0">
                  <a:solidFill>
                    <a:sysClr val="windowText" lastClr="000000">
                      <a:lumMod val="65000"/>
                      <a:lumOff val="35000"/>
                    </a:sys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spc="0" baseline="0">
                  <a:solidFill>
                    <a:sysClr val="windowText" lastClr="000000">
                      <a:lumMod val="65000"/>
                      <a:lumOff val="35000"/>
                    </a:sys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Pivots!$AA$35:$AA$36</c:f>
              <c:strCache>
                <c:ptCount val="1"/>
                <c:pt idx="0">
                  <c:v>High</c:v>
                </c:pt>
              </c:strCache>
            </c:strRef>
          </c:tx>
          <c:spPr>
            <a:solidFill>
              <a:srgbClr val="E25C5C"/>
            </a:solidFill>
            <a:ln>
              <a:noFill/>
            </a:ln>
            <a:effectLst/>
          </c:spPr>
          <c:invertIfNegative val="0"/>
          <c:cat>
            <c:strRef>
              <c:f>Pivots!$Z$37:$Z$46</c:f>
              <c:strCache>
                <c:ptCount val="9"/>
                <c:pt idx="0">
                  <c:v>Backlog</c:v>
                </c:pt>
                <c:pt idx="1">
                  <c:v>Cancelled</c:v>
                </c:pt>
                <c:pt idx="2">
                  <c:v>Completed</c:v>
                </c:pt>
                <c:pt idx="3">
                  <c:v>In Progress</c:v>
                </c:pt>
                <c:pt idx="4">
                  <c:v>New</c:v>
                </c:pt>
                <c:pt idx="5">
                  <c:v>On Hold</c:v>
                </c:pt>
                <c:pt idx="6">
                  <c:v>Pending</c:v>
                </c:pt>
                <c:pt idx="7">
                  <c:v>Research</c:v>
                </c:pt>
                <c:pt idx="8">
                  <c:v>Testing</c:v>
                </c:pt>
              </c:strCache>
            </c:strRef>
          </c:cat>
          <c:val>
            <c:numRef>
              <c:f>Pivots!$AA$37:$AA$46</c:f>
              <c:numCache>
                <c:formatCode>General</c:formatCode>
                <c:ptCount val="9"/>
                <c:pt idx="2">
                  <c:v>1</c:v>
                </c:pt>
                <c:pt idx="3">
                  <c:v>1</c:v>
                </c:pt>
                <c:pt idx="4">
                  <c:v>1</c:v>
                </c:pt>
                <c:pt idx="5">
                  <c:v>1</c:v>
                </c:pt>
                <c:pt idx="6">
                  <c:v>2</c:v>
                </c:pt>
              </c:numCache>
            </c:numRef>
          </c:val>
          <c:extLst>
            <c:ext xmlns:c16="http://schemas.microsoft.com/office/drawing/2014/chart" uri="{C3380CC4-5D6E-409C-BE32-E72D297353CC}">
              <c16:uniqueId val="{00000002-59B5-4029-92D0-A42DFADCFBF9}"/>
            </c:ext>
          </c:extLst>
        </c:ser>
        <c:ser>
          <c:idx val="1"/>
          <c:order val="1"/>
          <c:tx>
            <c:strRef>
              <c:f>Pivots!$AB$35:$AB$36</c:f>
              <c:strCache>
                <c:ptCount val="1"/>
                <c:pt idx="0">
                  <c:v>Low</c:v>
                </c:pt>
              </c:strCache>
            </c:strRef>
          </c:tx>
          <c:spPr>
            <a:solidFill>
              <a:schemeClr val="accent6">
                <a:lumMod val="60000"/>
                <a:lumOff val="40000"/>
              </a:schemeClr>
            </a:solidFill>
            <a:ln>
              <a:noFill/>
            </a:ln>
            <a:effectLst/>
          </c:spPr>
          <c:invertIfNegative val="0"/>
          <c:cat>
            <c:strRef>
              <c:f>Pivots!$Z$37:$Z$46</c:f>
              <c:strCache>
                <c:ptCount val="9"/>
                <c:pt idx="0">
                  <c:v>Backlog</c:v>
                </c:pt>
                <c:pt idx="1">
                  <c:v>Cancelled</c:v>
                </c:pt>
                <c:pt idx="2">
                  <c:v>Completed</c:v>
                </c:pt>
                <c:pt idx="3">
                  <c:v>In Progress</c:v>
                </c:pt>
                <c:pt idx="4">
                  <c:v>New</c:v>
                </c:pt>
                <c:pt idx="5">
                  <c:v>On Hold</c:v>
                </c:pt>
                <c:pt idx="6">
                  <c:v>Pending</c:v>
                </c:pt>
                <c:pt idx="7">
                  <c:v>Research</c:v>
                </c:pt>
                <c:pt idx="8">
                  <c:v>Testing</c:v>
                </c:pt>
              </c:strCache>
            </c:strRef>
          </c:cat>
          <c:val>
            <c:numRef>
              <c:f>Pivots!$AB$37:$AB$46</c:f>
              <c:numCache>
                <c:formatCode>General</c:formatCode>
                <c:ptCount val="9"/>
                <c:pt idx="0">
                  <c:v>2</c:v>
                </c:pt>
                <c:pt idx="1">
                  <c:v>1</c:v>
                </c:pt>
                <c:pt idx="3">
                  <c:v>1</c:v>
                </c:pt>
                <c:pt idx="7">
                  <c:v>3</c:v>
                </c:pt>
              </c:numCache>
            </c:numRef>
          </c:val>
          <c:extLst>
            <c:ext xmlns:c16="http://schemas.microsoft.com/office/drawing/2014/chart" uri="{C3380CC4-5D6E-409C-BE32-E72D297353CC}">
              <c16:uniqueId val="{00000001-7732-4338-A33E-0E6C4C03ECE9}"/>
            </c:ext>
          </c:extLst>
        </c:ser>
        <c:ser>
          <c:idx val="2"/>
          <c:order val="2"/>
          <c:tx>
            <c:strRef>
              <c:f>Pivots!$AC$35:$AC$36</c:f>
              <c:strCache>
                <c:ptCount val="1"/>
                <c:pt idx="0">
                  <c:v>Medium</c:v>
                </c:pt>
              </c:strCache>
            </c:strRef>
          </c:tx>
          <c:spPr>
            <a:solidFill>
              <a:schemeClr val="accent4">
                <a:lumMod val="60000"/>
                <a:lumOff val="40000"/>
              </a:schemeClr>
            </a:solidFill>
            <a:ln>
              <a:noFill/>
            </a:ln>
            <a:effectLst/>
          </c:spPr>
          <c:invertIfNegative val="0"/>
          <c:cat>
            <c:strRef>
              <c:f>Pivots!$Z$37:$Z$46</c:f>
              <c:strCache>
                <c:ptCount val="9"/>
                <c:pt idx="0">
                  <c:v>Backlog</c:v>
                </c:pt>
                <c:pt idx="1">
                  <c:v>Cancelled</c:v>
                </c:pt>
                <c:pt idx="2">
                  <c:v>Completed</c:v>
                </c:pt>
                <c:pt idx="3">
                  <c:v>In Progress</c:v>
                </c:pt>
                <c:pt idx="4">
                  <c:v>New</c:v>
                </c:pt>
                <c:pt idx="5">
                  <c:v>On Hold</c:v>
                </c:pt>
                <c:pt idx="6">
                  <c:v>Pending</c:v>
                </c:pt>
                <c:pt idx="7">
                  <c:v>Research</c:v>
                </c:pt>
                <c:pt idx="8">
                  <c:v>Testing</c:v>
                </c:pt>
              </c:strCache>
            </c:strRef>
          </c:cat>
          <c:val>
            <c:numRef>
              <c:f>Pivots!$AC$37:$AC$46</c:f>
              <c:numCache>
                <c:formatCode>General</c:formatCode>
                <c:ptCount val="9"/>
                <c:pt idx="2">
                  <c:v>1</c:v>
                </c:pt>
                <c:pt idx="3">
                  <c:v>5</c:v>
                </c:pt>
                <c:pt idx="4">
                  <c:v>1</c:v>
                </c:pt>
                <c:pt idx="8">
                  <c:v>1</c:v>
                </c:pt>
              </c:numCache>
            </c:numRef>
          </c:val>
          <c:extLst>
            <c:ext xmlns:c16="http://schemas.microsoft.com/office/drawing/2014/chart" uri="{C3380CC4-5D6E-409C-BE32-E72D297353CC}">
              <c16:uniqueId val="{00000002-7732-4338-A33E-0E6C4C03ECE9}"/>
            </c:ext>
          </c:extLst>
        </c:ser>
        <c:dLbls>
          <c:showLegendKey val="0"/>
          <c:showVal val="0"/>
          <c:showCatName val="0"/>
          <c:showSerName val="0"/>
          <c:showPercent val="0"/>
          <c:showBubbleSize val="0"/>
        </c:dLbls>
        <c:gapWidth val="219"/>
        <c:overlap val="100"/>
        <c:axId val="1275921951"/>
        <c:axId val="1270891487"/>
      </c:barChart>
      <c:catAx>
        <c:axId val="127592195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lang="en-US" sz="900" b="0" i="0" u="none" strike="noStrike" kern="1200" spc="0" baseline="0">
                <a:solidFill>
                  <a:sysClr val="windowText" lastClr="000000">
                    <a:lumMod val="65000"/>
                    <a:lumOff val="35000"/>
                  </a:sysClr>
                </a:solidFill>
                <a:latin typeface="+mn-lt"/>
                <a:ea typeface="+mn-ea"/>
                <a:cs typeface="+mn-cs"/>
              </a:defRPr>
            </a:pPr>
            <a:endParaRPr lang="en-US"/>
          </a:p>
        </c:txPr>
        <c:crossAx val="1270891487"/>
        <c:crosses val="autoZero"/>
        <c:auto val="1"/>
        <c:lblAlgn val="ctr"/>
        <c:lblOffset val="100"/>
        <c:noMultiLvlLbl val="0"/>
      </c:catAx>
      <c:valAx>
        <c:axId val="1270891487"/>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lang="en-US" sz="900" b="0" i="1" u="none" strike="noStrike" kern="1200" spc="0" baseline="0">
                    <a:solidFill>
                      <a:sysClr val="windowText" lastClr="000000">
                        <a:lumMod val="65000"/>
                        <a:lumOff val="35000"/>
                      </a:sysClr>
                    </a:solidFill>
                    <a:latin typeface="+mn-lt"/>
                    <a:ea typeface="+mn-ea"/>
                    <a:cs typeface="+mn-cs"/>
                  </a:defRPr>
                </a:pPr>
                <a:r>
                  <a:rPr lang="en-US" i="1"/>
                  <a:t>Task Count</a:t>
                </a:r>
              </a:p>
            </c:rich>
          </c:tx>
          <c:overlay val="0"/>
          <c:spPr>
            <a:noFill/>
            <a:ln>
              <a:noFill/>
            </a:ln>
            <a:effectLst/>
          </c:spPr>
          <c:txPr>
            <a:bodyPr rot="-5400000" spcFirstLastPara="1" vertOverflow="ellipsis" vert="horz" wrap="square" anchor="ctr" anchorCtr="1"/>
            <a:lstStyle/>
            <a:p>
              <a:pPr>
                <a:defRPr lang="en-US" sz="900" b="0" i="1" u="none" strike="noStrike" kern="1200" spc="0" baseline="0">
                  <a:solidFill>
                    <a:sysClr val="windowText" lastClr="000000">
                      <a:lumMod val="65000"/>
                      <a:lumOff val="35000"/>
                    </a:sys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lang="en-US" sz="900" b="0" i="0" u="none" strike="noStrike" kern="1200" spc="0" baseline="0">
                <a:solidFill>
                  <a:sysClr val="windowText" lastClr="000000">
                    <a:lumMod val="65000"/>
                    <a:lumOff val="35000"/>
                  </a:sysClr>
                </a:solidFill>
                <a:latin typeface="+mn-lt"/>
                <a:ea typeface="+mn-ea"/>
                <a:cs typeface="+mn-cs"/>
              </a:defRPr>
            </a:pPr>
            <a:endParaRPr lang="en-US"/>
          </a:p>
        </c:txPr>
        <c:crossAx val="1275921951"/>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lang="en-US" sz="900" b="0" i="0" u="none" strike="noStrike" kern="1200" spc="0" baseline="0">
              <a:solidFill>
                <a:sysClr val="windowText" lastClr="000000">
                  <a:lumMod val="65000"/>
                  <a:lumOff val="35000"/>
                </a:sysClr>
              </a:solidFill>
              <a:latin typeface="+mn-lt"/>
              <a:ea typeface="+mn-ea"/>
              <a:cs typeface="+mn-cs"/>
            </a:defRPr>
          </a:pPr>
          <a:endParaRPr lang="en-US"/>
        </a:p>
      </c:txPr>
    </c:legend>
    <c:plotVisOnly val="1"/>
    <c:dispBlanksAs val="gap"/>
    <c:showDLblsOverMax val="0"/>
    <c:extLst/>
  </c:chart>
  <c:spPr>
    <a:solidFill>
      <a:schemeClr val="bg1"/>
    </a:solidFill>
    <a:ln w="9525" cap="flat" cmpd="sng" algn="ctr">
      <a:solidFill>
        <a:schemeClr val="tx1">
          <a:lumMod val="15000"/>
          <a:lumOff val="85000"/>
        </a:schemeClr>
      </a:solidFill>
      <a:round/>
    </a:ln>
    <a:effectLst/>
  </c:spPr>
  <c:txPr>
    <a:bodyPr/>
    <a:lstStyle/>
    <a:p>
      <a:pPr algn="ctr" rtl="0">
        <a:defRPr lang="en-US" sz="900" b="0" i="0" u="none" strike="noStrike" kern="1200" spc="0" baseline="0">
          <a:solidFill>
            <a:sysClr val="windowText" lastClr="000000">
              <a:lumMod val="65000"/>
              <a:lumOff val="35000"/>
            </a:sysClr>
          </a:solidFill>
          <a:latin typeface="+mn-lt"/>
          <a:ea typeface="+mn-ea"/>
          <a:cs typeface="+mn-cs"/>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[Kanban Template.xlsm]Pivots!PivotTable19</c:name>
    <c:fmtId val="0"/>
  </c:pivotSource>
  <c:chart>
    <c:title>
      <c:tx>
        <c:rich>
          <a:bodyPr rot="0" spcFirstLastPara="1" vertOverflow="ellipsis" vert="horz" wrap="square" anchor="ctr" anchorCtr="1"/>
          <a:lstStyle/>
          <a:p>
            <a:pPr>
              <a:defRPr lang="en-US" sz="1080" b="0" i="0" u="none" strike="noStrike" kern="1200" spc="0" baseline="0">
                <a:solidFill>
                  <a:sysClr val="windowText" lastClr="000000">
                    <a:lumMod val="65000"/>
                    <a:lumOff val="35000"/>
                  </a:sysClr>
                </a:solidFill>
                <a:latin typeface="+mn-lt"/>
                <a:ea typeface="+mn-ea"/>
                <a:cs typeface="+mn-cs"/>
              </a:defRPr>
            </a:pPr>
            <a:r>
              <a:rPr lang="en-US" sz="1400" b="1"/>
              <a:t>Tasks by Assigned Team Member</a:t>
            </a:r>
          </a:p>
        </c:rich>
      </c:tx>
      <c:overlay val="0"/>
      <c:spPr>
        <a:noFill/>
        <a:ln>
          <a:noFill/>
        </a:ln>
        <a:effectLst/>
      </c:spPr>
      <c:txPr>
        <a:bodyPr rot="0" spcFirstLastPara="1" vertOverflow="ellipsis" vert="horz" wrap="square" anchor="ctr" anchorCtr="1"/>
        <a:lstStyle/>
        <a:p>
          <a:pPr>
            <a:defRPr lang="en-US" sz="1080" b="0" i="0" u="none" strike="noStrike" kern="1200" spc="0" baseline="0">
              <a:solidFill>
                <a:sysClr val="windowText" lastClr="000000">
                  <a:lumMod val="65000"/>
                  <a:lumOff val="35000"/>
                </a:sys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spc="0" baseline="0">
                  <a:solidFill>
                    <a:sysClr val="windowText" lastClr="000000">
                      <a:lumMod val="65000"/>
                      <a:lumOff val="35000"/>
                    </a:sys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spc="0" baseline="0">
                  <a:solidFill>
                    <a:sysClr val="windowText" lastClr="000000">
                      <a:lumMod val="65000"/>
                      <a:lumOff val="35000"/>
                    </a:sys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6">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spc="0" baseline="0">
                  <a:solidFill>
                    <a:sysClr val="windowText" lastClr="000000">
                      <a:lumMod val="65000"/>
                      <a:lumOff val="35000"/>
                    </a:sys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4">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spc="0" baseline="0">
                  <a:solidFill>
                    <a:sysClr val="windowText" lastClr="000000">
                      <a:lumMod val="65000"/>
                      <a:lumOff val="35000"/>
                    </a:sys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spc="0" baseline="0">
                  <a:solidFill>
                    <a:sysClr val="windowText" lastClr="000000">
                      <a:lumMod val="65000"/>
                      <a:lumOff val="35000"/>
                    </a:sys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rgbClr val="E25C5C"/>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spc="0" baseline="0">
                  <a:solidFill>
                    <a:sysClr val="windowText" lastClr="000000">
                      <a:lumMod val="65000"/>
                      <a:lumOff val="35000"/>
                    </a:sys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stacked"/>
        <c:varyColors val="0"/>
        <c:ser>
          <c:idx val="0"/>
          <c:order val="0"/>
          <c:tx>
            <c:strRef>
              <c:f>Pivots!$BE$63:$BE$64</c:f>
              <c:strCache>
                <c:ptCount val="1"/>
                <c:pt idx="0">
                  <c:v>High</c:v>
                </c:pt>
              </c:strCache>
            </c:strRef>
          </c:tx>
          <c:spPr>
            <a:solidFill>
              <a:srgbClr val="E25C5C"/>
            </a:solidFill>
            <a:ln>
              <a:noFill/>
            </a:ln>
            <a:effectLst/>
          </c:spPr>
          <c:invertIfNegative val="0"/>
          <c:cat>
            <c:strRef>
              <c:f>Pivots!$BD$65:$BD$71</c:f>
              <c:strCache>
                <c:ptCount val="6"/>
                <c:pt idx="0">
                  <c:v>Joe</c:v>
                </c:pt>
                <c:pt idx="1">
                  <c:v>Sam</c:v>
                </c:pt>
                <c:pt idx="2">
                  <c:v>David</c:v>
                </c:pt>
                <c:pt idx="3">
                  <c:v>Michael</c:v>
                </c:pt>
                <c:pt idx="4">
                  <c:v>Elizabeth</c:v>
                </c:pt>
                <c:pt idx="5">
                  <c:v>Brenda</c:v>
                </c:pt>
              </c:strCache>
            </c:strRef>
          </c:cat>
          <c:val>
            <c:numRef>
              <c:f>Pivots!$BE$65:$BE$71</c:f>
              <c:numCache>
                <c:formatCode>General</c:formatCode>
                <c:ptCount val="6"/>
                <c:pt idx="0">
                  <c:v>1</c:v>
                </c:pt>
                <c:pt idx="3">
                  <c:v>3</c:v>
                </c:pt>
                <c:pt idx="4">
                  <c:v>1</c:v>
                </c:pt>
                <c:pt idx="5">
                  <c:v>1</c:v>
                </c:pt>
              </c:numCache>
            </c:numRef>
          </c:val>
          <c:extLst>
            <c:ext xmlns:c16="http://schemas.microsoft.com/office/drawing/2014/chart" uri="{C3380CC4-5D6E-409C-BE32-E72D297353CC}">
              <c16:uniqueId val="{00000002-59B5-4029-92D0-A42DFADCFBF9}"/>
            </c:ext>
          </c:extLst>
        </c:ser>
        <c:ser>
          <c:idx val="1"/>
          <c:order val="1"/>
          <c:tx>
            <c:strRef>
              <c:f>Pivots!$BF$63:$BF$64</c:f>
              <c:strCache>
                <c:ptCount val="1"/>
                <c:pt idx="0">
                  <c:v>Low</c:v>
                </c:pt>
              </c:strCache>
            </c:strRef>
          </c:tx>
          <c:spPr>
            <a:solidFill>
              <a:schemeClr val="accent6">
                <a:lumMod val="60000"/>
                <a:lumOff val="40000"/>
              </a:schemeClr>
            </a:solidFill>
            <a:ln>
              <a:noFill/>
            </a:ln>
            <a:effectLst/>
          </c:spPr>
          <c:invertIfNegative val="0"/>
          <c:cat>
            <c:strRef>
              <c:f>Pivots!$BD$65:$BD$71</c:f>
              <c:strCache>
                <c:ptCount val="6"/>
                <c:pt idx="0">
                  <c:v>Joe</c:v>
                </c:pt>
                <c:pt idx="1">
                  <c:v>Sam</c:v>
                </c:pt>
                <c:pt idx="2">
                  <c:v>David</c:v>
                </c:pt>
                <c:pt idx="3">
                  <c:v>Michael</c:v>
                </c:pt>
                <c:pt idx="4">
                  <c:v>Elizabeth</c:v>
                </c:pt>
                <c:pt idx="5">
                  <c:v>Brenda</c:v>
                </c:pt>
              </c:strCache>
            </c:strRef>
          </c:cat>
          <c:val>
            <c:numRef>
              <c:f>Pivots!$BF$65:$BF$71</c:f>
              <c:numCache>
                <c:formatCode>General</c:formatCode>
                <c:ptCount val="6"/>
                <c:pt idx="0">
                  <c:v>2</c:v>
                </c:pt>
                <c:pt idx="1">
                  <c:v>3</c:v>
                </c:pt>
                <c:pt idx="2">
                  <c:v>2</c:v>
                </c:pt>
              </c:numCache>
            </c:numRef>
          </c:val>
          <c:extLst>
            <c:ext xmlns:c16="http://schemas.microsoft.com/office/drawing/2014/chart" uri="{C3380CC4-5D6E-409C-BE32-E72D297353CC}">
              <c16:uniqueId val="{00000001-932E-42D2-80D9-F640F2E464BA}"/>
            </c:ext>
          </c:extLst>
        </c:ser>
        <c:ser>
          <c:idx val="2"/>
          <c:order val="2"/>
          <c:tx>
            <c:strRef>
              <c:f>Pivots!$BG$63:$BG$64</c:f>
              <c:strCache>
                <c:ptCount val="1"/>
                <c:pt idx="0">
                  <c:v>Medium</c:v>
                </c:pt>
              </c:strCache>
            </c:strRef>
          </c:tx>
          <c:spPr>
            <a:solidFill>
              <a:schemeClr val="accent4">
                <a:lumMod val="60000"/>
                <a:lumOff val="40000"/>
              </a:schemeClr>
            </a:solidFill>
            <a:ln>
              <a:noFill/>
            </a:ln>
            <a:effectLst/>
          </c:spPr>
          <c:invertIfNegative val="0"/>
          <c:cat>
            <c:strRef>
              <c:f>Pivots!$BD$65:$BD$71</c:f>
              <c:strCache>
                <c:ptCount val="6"/>
                <c:pt idx="0">
                  <c:v>Joe</c:v>
                </c:pt>
                <c:pt idx="1">
                  <c:v>Sam</c:v>
                </c:pt>
                <c:pt idx="2">
                  <c:v>David</c:v>
                </c:pt>
                <c:pt idx="3">
                  <c:v>Michael</c:v>
                </c:pt>
                <c:pt idx="4">
                  <c:v>Elizabeth</c:v>
                </c:pt>
                <c:pt idx="5">
                  <c:v>Brenda</c:v>
                </c:pt>
              </c:strCache>
            </c:strRef>
          </c:cat>
          <c:val>
            <c:numRef>
              <c:f>Pivots!$BG$65:$BG$71</c:f>
              <c:numCache>
                <c:formatCode>General</c:formatCode>
                <c:ptCount val="6"/>
                <c:pt idx="0">
                  <c:v>1</c:v>
                </c:pt>
                <c:pt idx="1">
                  <c:v>2</c:v>
                </c:pt>
                <c:pt idx="2">
                  <c:v>2</c:v>
                </c:pt>
                <c:pt idx="3">
                  <c:v>1</c:v>
                </c:pt>
                <c:pt idx="4">
                  <c:v>1</c:v>
                </c:pt>
                <c:pt idx="5">
                  <c:v>1</c:v>
                </c:pt>
              </c:numCache>
            </c:numRef>
          </c:val>
          <c:extLst>
            <c:ext xmlns:c16="http://schemas.microsoft.com/office/drawing/2014/chart" uri="{C3380CC4-5D6E-409C-BE32-E72D297353CC}">
              <c16:uniqueId val="{00000002-932E-42D2-80D9-F640F2E464BA}"/>
            </c:ext>
          </c:extLst>
        </c:ser>
        <c:dLbls>
          <c:showLegendKey val="0"/>
          <c:showVal val="0"/>
          <c:showCatName val="0"/>
          <c:showSerName val="0"/>
          <c:showPercent val="0"/>
          <c:showBubbleSize val="0"/>
        </c:dLbls>
        <c:gapWidth val="219"/>
        <c:overlap val="100"/>
        <c:axId val="1275921951"/>
        <c:axId val="1270891487"/>
      </c:barChart>
      <c:catAx>
        <c:axId val="1275921951"/>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lang="en-US" sz="900" b="0" i="0" u="none" strike="noStrike" kern="1200" spc="0" baseline="0">
                <a:solidFill>
                  <a:sysClr val="windowText" lastClr="000000">
                    <a:lumMod val="65000"/>
                    <a:lumOff val="35000"/>
                  </a:sysClr>
                </a:solidFill>
                <a:latin typeface="+mn-lt"/>
                <a:ea typeface="+mn-ea"/>
                <a:cs typeface="+mn-cs"/>
              </a:defRPr>
            </a:pPr>
            <a:endParaRPr lang="en-US"/>
          </a:p>
        </c:txPr>
        <c:crossAx val="1270891487"/>
        <c:crosses val="autoZero"/>
        <c:auto val="1"/>
        <c:lblAlgn val="ctr"/>
        <c:lblOffset val="100"/>
        <c:noMultiLvlLbl val="0"/>
      </c:catAx>
      <c:valAx>
        <c:axId val="1270891487"/>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lang="en-US" sz="900" b="0" i="1" u="none" strike="noStrike" kern="1200" spc="0" baseline="0">
                    <a:solidFill>
                      <a:sysClr val="windowText" lastClr="000000">
                        <a:lumMod val="65000"/>
                        <a:lumOff val="35000"/>
                      </a:sysClr>
                    </a:solidFill>
                    <a:latin typeface="+mn-lt"/>
                    <a:ea typeface="+mn-ea"/>
                    <a:cs typeface="+mn-cs"/>
                  </a:defRPr>
                </a:pPr>
                <a:r>
                  <a:rPr lang="en-US" i="1" u="none"/>
                  <a:t>Task Count</a:t>
                </a:r>
              </a:p>
            </c:rich>
          </c:tx>
          <c:overlay val="0"/>
          <c:spPr>
            <a:noFill/>
            <a:ln>
              <a:noFill/>
            </a:ln>
            <a:effectLst/>
          </c:spPr>
          <c:txPr>
            <a:bodyPr rot="0" spcFirstLastPara="1" vertOverflow="ellipsis" vert="horz" wrap="square" anchor="ctr" anchorCtr="1"/>
            <a:lstStyle/>
            <a:p>
              <a:pPr>
                <a:defRPr lang="en-US" sz="900" b="0" i="1" u="none" strike="noStrike" kern="1200" spc="0" baseline="0">
                  <a:solidFill>
                    <a:sysClr val="windowText" lastClr="000000">
                      <a:lumMod val="65000"/>
                      <a:lumOff val="35000"/>
                    </a:sys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lang="en-US" sz="900" b="0" i="0" u="none" strike="noStrike" kern="1200" spc="0" baseline="0">
                <a:solidFill>
                  <a:sysClr val="windowText" lastClr="000000">
                    <a:lumMod val="65000"/>
                    <a:lumOff val="35000"/>
                  </a:sysClr>
                </a:solidFill>
                <a:latin typeface="+mn-lt"/>
                <a:ea typeface="+mn-ea"/>
                <a:cs typeface="+mn-cs"/>
              </a:defRPr>
            </a:pPr>
            <a:endParaRPr lang="en-US"/>
          </a:p>
        </c:txPr>
        <c:crossAx val="1275921951"/>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lang="en-US" sz="900" b="0" i="0" u="none" strike="noStrike" kern="1200" spc="0" baseline="0">
              <a:solidFill>
                <a:sysClr val="windowText" lastClr="000000">
                  <a:lumMod val="65000"/>
                  <a:lumOff val="35000"/>
                </a:sys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lgn="ctr" rtl="0">
        <a:defRPr lang="en-US" sz="900" b="0" i="0" u="none" strike="noStrike" kern="1200" spc="0" baseline="0">
          <a:solidFill>
            <a:sysClr val="windowText" lastClr="000000">
              <a:lumMod val="65000"/>
              <a:lumOff val="35000"/>
            </a:sysClr>
          </a:solidFill>
          <a:latin typeface="+mn-lt"/>
          <a:ea typeface="+mn-ea"/>
          <a:cs typeface="+mn-cs"/>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[Kanban Template.xlsm]Pivots!PivotTable20</c:name>
    <c:fmtId val="0"/>
  </c:pivotSource>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b="1"/>
              <a:t>Tasks by Priority</a:t>
            </a:r>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105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
        <c:spPr>
          <a:solidFill>
            <a:srgbClr val="E25C5C"/>
          </a:solidFill>
          <a:ln>
            <a:noFill/>
          </a:ln>
          <a:effectLst/>
        </c:spPr>
      </c:pivotFmt>
      <c:pivotFmt>
        <c:idx val="2"/>
        <c:spPr>
          <a:solidFill>
            <a:srgbClr val="FFDA65"/>
          </a:solidFill>
          <a:ln>
            <a:noFill/>
          </a:ln>
          <a:effectLst/>
        </c:spPr>
      </c:pivotFmt>
      <c:pivotFmt>
        <c:idx val="3"/>
        <c:spPr>
          <a:solidFill>
            <a:schemeClr val="accent6">
              <a:lumMod val="60000"/>
              <a:lumOff val="40000"/>
            </a:schemeClr>
          </a:solidFill>
          <a:ln>
            <a:noFill/>
          </a:ln>
          <a:effectLst/>
        </c:spPr>
      </c:pivotFmt>
    </c:pivotFmts>
    <c:plotArea>
      <c:layout/>
      <c:pieChart>
        <c:varyColors val="1"/>
        <c:ser>
          <c:idx val="0"/>
          <c:order val="0"/>
          <c:tx>
            <c:strRef>
              <c:f>Pivots!$CL$110</c:f>
              <c:strCache>
                <c:ptCount val="1"/>
                <c:pt idx="0">
                  <c:v>Total</c:v>
                </c:pt>
              </c:strCache>
            </c:strRef>
          </c:tx>
          <c:dPt>
            <c:idx val="0"/>
            <c:bubble3D val="0"/>
            <c:spPr>
              <a:solidFill>
                <a:srgbClr val="E25C5C"/>
              </a:solidFill>
              <a:ln>
                <a:noFill/>
              </a:ln>
              <a:effectLst/>
            </c:spPr>
            <c:extLst>
              <c:ext xmlns:c16="http://schemas.microsoft.com/office/drawing/2014/chart" uri="{C3380CC4-5D6E-409C-BE32-E72D297353CC}">
                <c16:uniqueId val="{00000002-1836-4907-B5E0-A3FFE20E1BD1}"/>
              </c:ext>
            </c:extLst>
          </c:dPt>
          <c:dPt>
            <c:idx val="1"/>
            <c:bubble3D val="0"/>
            <c:spPr>
              <a:solidFill>
                <a:srgbClr val="FFDA65"/>
              </a:solidFill>
              <a:ln>
                <a:noFill/>
              </a:ln>
              <a:effectLst/>
            </c:spPr>
            <c:extLst>
              <c:ext xmlns:c16="http://schemas.microsoft.com/office/drawing/2014/chart" uri="{C3380CC4-5D6E-409C-BE32-E72D297353CC}">
                <c16:uniqueId val="{00000003-1836-4907-B5E0-A3FFE20E1BD1}"/>
              </c:ext>
            </c:extLst>
          </c:dPt>
          <c:dPt>
            <c:idx val="2"/>
            <c:bubble3D val="0"/>
            <c:spPr>
              <a:solidFill>
                <a:schemeClr val="accent6">
                  <a:lumMod val="60000"/>
                  <a:lumOff val="40000"/>
                </a:schemeClr>
              </a:solidFill>
              <a:ln>
                <a:noFill/>
              </a:ln>
              <a:effectLst/>
            </c:spPr>
            <c:extLst>
              <c:ext xmlns:c16="http://schemas.microsoft.com/office/drawing/2014/chart" uri="{C3380CC4-5D6E-409C-BE32-E72D297353CC}">
                <c16:uniqueId val="{00000004-1836-4907-B5E0-A3FFE20E1BD1}"/>
              </c:ext>
            </c:extLst>
          </c:dPt>
          <c:dLbls>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105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15:spPr xmlns:c15="http://schemas.microsoft.com/office/drawing/2012/chart">
                  <a:prstGeom prst="wedgeRectCallout">
                    <a:avLst/>
                  </a:prstGeom>
                  <a:noFill/>
                  <a:ln>
                    <a:noFill/>
                  </a:ln>
                </c15:spPr>
              </c:ext>
            </c:extLst>
          </c:dLbls>
          <c:cat>
            <c:strRef>
              <c:f>Pivots!$CK$111:$CK$114</c:f>
              <c:strCache>
                <c:ptCount val="3"/>
                <c:pt idx="0">
                  <c:v>High</c:v>
                </c:pt>
                <c:pt idx="1">
                  <c:v>Low</c:v>
                </c:pt>
                <c:pt idx="2">
                  <c:v>Medium</c:v>
                </c:pt>
              </c:strCache>
            </c:strRef>
          </c:cat>
          <c:val>
            <c:numRef>
              <c:f>Pivots!$CL$111:$CL$114</c:f>
              <c:numCache>
                <c:formatCode>0%</c:formatCode>
                <c:ptCount val="3"/>
                <c:pt idx="0">
                  <c:v>0.2857142857142857</c:v>
                </c:pt>
                <c:pt idx="1">
                  <c:v>0.33333333333333331</c:v>
                </c:pt>
                <c:pt idx="2">
                  <c:v>0.38095238095238093</c:v>
                </c:pt>
              </c:numCache>
            </c:numRef>
          </c:val>
          <c:extLst>
            <c:ext xmlns:c16="http://schemas.microsoft.com/office/drawing/2014/chart" uri="{C3380CC4-5D6E-409C-BE32-E72D297353CC}">
              <c16:uniqueId val="{00000001-1836-4907-B5E0-A3FFE20E1BD1}"/>
            </c:ext>
          </c:extLst>
        </c:ser>
        <c:dLbls>
          <c:showLegendKey val="0"/>
          <c:showVal val="0"/>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GIF"/><Relationship Id="rId1" Type="http://schemas.openxmlformats.org/officeDocument/2006/relationships/image" Target="../media/image1.GIF"/></Relationships>
</file>

<file path=xl/drawings/_rels/drawing4.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xdr:twoCellAnchor>
    <xdr:from>
      <xdr:col>7</xdr:col>
      <xdr:colOff>47625</xdr:colOff>
      <xdr:row>41</xdr:row>
      <xdr:rowOff>19050</xdr:rowOff>
    </xdr:from>
    <xdr:to>
      <xdr:col>8</xdr:col>
      <xdr:colOff>6067426</xdr:colOff>
      <xdr:row>45</xdr:row>
      <xdr:rowOff>38100</xdr:rowOff>
    </xdr:to>
    <xdr:grpSp>
      <xdr:nvGrpSpPr>
        <xdr:cNvPr id="2" name="Group 1">
          <a:extLst>
            <a:ext uri="{FF2B5EF4-FFF2-40B4-BE49-F238E27FC236}">
              <a16:creationId xmlns:a16="http://schemas.microsoft.com/office/drawing/2014/main" id="{5CB3E3D5-2ED0-4123-9A03-0E25E57023A7}"/>
            </a:ext>
          </a:extLst>
        </xdr:cNvPr>
        <xdr:cNvGrpSpPr/>
      </xdr:nvGrpSpPr>
      <xdr:grpSpPr>
        <a:xfrm>
          <a:off x="4257675" y="9915525"/>
          <a:ext cx="6467476" cy="666750"/>
          <a:chOff x="4257674" y="8324850"/>
          <a:chExt cx="7353301" cy="666750"/>
        </a:xfrm>
      </xdr:grpSpPr>
      <xdr:pic>
        <xdr:nvPicPr>
          <xdr:cNvPr id="3" name="Picture 2">
            <a:extLst>
              <a:ext uri="{FF2B5EF4-FFF2-40B4-BE49-F238E27FC236}">
                <a16:creationId xmlns:a16="http://schemas.microsoft.com/office/drawing/2014/main" id="{4A023BAF-850C-4B41-8EB6-DB2C53CB37C5}"/>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257674" y="8324850"/>
            <a:ext cx="7353301" cy="666750"/>
          </a:xfrm>
          <a:prstGeom prst="rect">
            <a:avLst/>
          </a:prstGeom>
        </xdr:spPr>
      </xdr:pic>
      <xdr:sp macro="" textlink="">
        <xdr:nvSpPr>
          <xdr:cNvPr id="4" name="Rectangle 3">
            <a:extLst>
              <a:ext uri="{FF2B5EF4-FFF2-40B4-BE49-F238E27FC236}">
                <a16:creationId xmlns:a16="http://schemas.microsoft.com/office/drawing/2014/main" id="{A45D2603-9993-466B-AC41-E687044F986A}"/>
              </a:ext>
            </a:extLst>
          </xdr:cNvPr>
          <xdr:cNvSpPr/>
        </xdr:nvSpPr>
        <xdr:spPr>
          <a:xfrm>
            <a:off x="4333875" y="8572500"/>
            <a:ext cx="819150" cy="209550"/>
          </a:xfrm>
          <a:prstGeom prst="rect">
            <a:avLst/>
          </a:prstGeom>
          <a:noFill/>
          <a:ln w="190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5" name="Rectangle 4">
            <a:extLst>
              <a:ext uri="{FF2B5EF4-FFF2-40B4-BE49-F238E27FC236}">
                <a16:creationId xmlns:a16="http://schemas.microsoft.com/office/drawing/2014/main" id="{512A9352-64BE-49A8-93EF-191178328BCA}"/>
              </a:ext>
            </a:extLst>
          </xdr:cNvPr>
          <xdr:cNvSpPr/>
        </xdr:nvSpPr>
        <xdr:spPr>
          <a:xfrm>
            <a:off x="7248525" y="8429625"/>
            <a:ext cx="361950" cy="171450"/>
          </a:xfrm>
          <a:prstGeom prst="rect">
            <a:avLst/>
          </a:prstGeom>
          <a:noFill/>
          <a:ln w="190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7</xdr:col>
      <xdr:colOff>66675</xdr:colOff>
      <xdr:row>49</xdr:row>
      <xdr:rowOff>95250</xdr:rowOff>
    </xdr:from>
    <xdr:to>
      <xdr:col>8</xdr:col>
      <xdr:colOff>6086476</xdr:colOff>
      <xdr:row>53</xdr:row>
      <xdr:rowOff>114300</xdr:rowOff>
    </xdr:to>
    <xdr:grpSp>
      <xdr:nvGrpSpPr>
        <xdr:cNvPr id="6" name="Group 5">
          <a:extLst>
            <a:ext uri="{FF2B5EF4-FFF2-40B4-BE49-F238E27FC236}">
              <a16:creationId xmlns:a16="http://schemas.microsoft.com/office/drawing/2014/main" id="{A9E25685-F34B-48BE-B20D-FA4B533A915B}"/>
            </a:ext>
          </a:extLst>
        </xdr:cNvPr>
        <xdr:cNvGrpSpPr/>
      </xdr:nvGrpSpPr>
      <xdr:grpSpPr>
        <a:xfrm>
          <a:off x="4276725" y="11287125"/>
          <a:ext cx="6467476" cy="666750"/>
          <a:chOff x="4276724" y="9696450"/>
          <a:chExt cx="7353301" cy="666750"/>
        </a:xfrm>
      </xdr:grpSpPr>
      <xdr:pic>
        <xdr:nvPicPr>
          <xdr:cNvPr id="7" name="Picture 6">
            <a:extLst>
              <a:ext uri="{FF2B5EF4-FFF2-40B4-BE49-F238E27FC236}">
                <a16:creationId xmlns:a16="http://schemas.microsoft.com/office/drawing/2014/main" id="{9AE108C7-7980-4984-93A6-0E610A8B8C08}"/>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276724" y="9696450"/>
            <a:ext cx="7353301" cy="666750"/>
          </a:xfrm>
          <a:prstGeom prst="rect">
            <a:avLst/>
          </a:prstGeom>
        </xdr:spPr>
      </xdr:pic>
      <xdr:sp macro="" textlink="">
        <xdr:nvSpPr>
          <xdr:cNvPr id="8" name="Rectangle 7">
            <a:extLst>
              <a:ext uri="{FF2B5EF4-FFF2-40B4-BE49-F238E27FC236}">
                <a16:creationId xmlns:a16="http://schemas.microsoft.com/office/drawing/2014/main" id="{A86E4438-E097-43B8-AC67-D489AEC87A7F}"/>
              </a:ext>
            </a:extLst>
          </xdr:cNvPr>
          <xdr:cNvSpPr/>
        </xdr:nvSpPr>
        <xdr:spPr>
          <a:xfrm>
            <a:off x="9782174" y="9791700"/>
            <a:ext cx="923926" cy="180975"/>
          </a:xfrm>
          <a:prstGeom prst="rect">
            <a:avLst/>
          </a:prstGeom>
          <a:noFill/>
          <a:ln w="190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7</xdr:col>
      <xdr:colOff>85725</xdr:colOff>
      <xdr:row>55</xdr:row>
      <xdr:rowOff>47625</xdr:rowOff>
    </xdr:from>
    <xdr:to>
      <xdr:col>8</xdr:col>
      <xdr:colOff>6073515</xdr:colOff>
      <xdr:row>59</xdr:row>
      <xdr:rowOff>133350</xdr:rowOff>
    </xdr:to>
    <xdr:grpSp>
      <xdr:nvGrpSpPr>
        <xdr:cNvPr id="9" name="Group 8">
          <a:extLst>
            <a:ext uri="{FF2B5EF4-FFF2-40B4-BE49-F238E27FC236}">
              <a16:creationId xmlns:a16="http://schemas.microsoft.com/office/drawing/2014/main" id="{4F14FE6D-DDF1-40F5-A7F1-218ADC8BAF38}"/>
            </a:ext>
          </a:extLst>
        </xdr:cNvPr>
        <xdr:cNvGrpSpPr/>
      </xdr:nvGrpSpPr>
      <xdr:grpSpPr>
        <a:xfrm>
          <a:off x="4295775" y="12211050"/>
          <a:ext cx="6435465" cy="733425"/>
          <a:chOff x="4295775" y="10620375"/>
          <a:chExt cx="7334250" cy="733425"/>
        </a:xfrm>
      </xdr:grpSpPr>
      <xdr:pic>
        <xdr:nvPicPr>
          <xdr:cNvPr id="10" name="Picture 9">
            <a:extLst>
              <a:ext uri="{FF2B5EF4-FFF2-40B4-BE49-F238E27FC236}">
                <a16:creationId xmlns:a16="http://schemas.microsoft.com/office/drawing/2014/main" id="{D8511E68-63C6-4E6A-BA47-8BA1A01577CD}"/>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b="8333"/>
          <a:stretch/>
        </xdr:blipFill>
        <xdr:spPr>
          <a:xfrm>
            <a:off x="4295775" y="10620375"/>
            <a:ext cx="7334250" cy="733425"/>
          </a:xfrm>
          <a:prstGeom prst="rect">
            <a:avLst/>
          </a:prstGeom>
        </xdr:spPr>
      </xdr:pic>
      <xdr:sp macro="" textlink="">
        <xdr:nvSpPr>
          <xdr:cNvPr id="11" name="Rectangle 10">
            <a:extLst>
              <a:ext uri="{FF2B5EF4-FFF2-40B4-BE49-F238E27FC236}">
                <a16:creationId xmlns:a16="http://schemas.microsoft.com/office/drawing/2014/main" id="{E8D07D9A-A926-4BC0-AD95-2D966B216E30}"/>
              </a:ext>
            </a:extLst>
          </xdr:cNvPr>
          <xdr:cNvSpPr/>
        </xdr:nvSpPr>
        <xdr:spPr>
          <a:xfrm>
            <a:off x="10848975" y="10648949"/>
            <a:ext cx="762000" cy="238125"/>
          </a:xfrm>
          <a:prstGeom prst="rect">
            <a:avLst/>
          </a:prstGeom>
          <a:no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152400</xdr:colOff>
          <xdr:row>2</xdr:row>
          <xdr:rowOff>114300</xdr:rowOff>
        </xdr:from>
        <xdr:to>
          <xdr:col>10</xdr:col>
          <xdr:colOff>628650</xdr:colOff>
          <xdr:row>4</xdr:row>
          <xdr:rowOff>76200</xdr:rowOff>
        </xdr:to>
        <xdr:sp macro="" textlink="">
          <xdr:nvSpPr>
            <xdr:cNvPr id="2052" name="HeadingBtn" hidden="1">
              <a:extLst>
                <a:ext uri="{63B3BB69-23CF-44E3-9099-C40C66FF867C}">
                  <a14:compatExt spid="_x0000_s2052"/>
                </a:ext>
                <a:ext uri="{FF2B5EF4-FFF2-40B4-BE49-F238E27FC236}">
                  <a16:creationId xmlns:a16="http://schemas.microsoft.com/office/drawing/2014/main" id="{00000000-0008-0000-0100-000004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3</xdr:col>
      <xdr:colOff>42598</xdr:colOff>
      <xdr:row>1</xdr:row>
      <xdr:rowOff>63802</xdr:rowOff>
    </xdr:from>
    <xdr:to>
      <xdr:col>16</xdr:col>
      <xdr:colOff>434764</xdr:colOff>
      <xdr:row>1</xdr:row>
      <xdr:rowOff>1009227</xdr:rowOff>
    </xdr:to>
    <mc:AlternateContent xmlns:mc="http://schemas.openxmlformats.org/markup-compatibility/2006" xmlns:a14="http://schemas.microsoft.com/office/drawing/2010/main">
      <mc:Choice Requires="a14">
        <xdr:graphicFrame macro="">
          <xdr:nvGraphicFramePr>
            <xdr:cNvPr id="4" name="Kanban Board">
              <a:extLst>
                <a:ext uri="{FF2B5EF4-FFF2-40B4-BE49-F238E27FC236}">
                  <a16:creationId xmlns:a16="http://schemas.microsoft.com/office/drawing/2014/main" id="{00000000-0008-0000-0300-000004000000}"/>
                </a:ext>
              </a:extLst>
            </xdr:cNvPr>
            <xdr:cNvGraphicFramePr/>
          </xdr:nvGraphicFramePr>
          <xdr:xfrm>
            <a:off x="0" y="0"/>
            <a:ext cx="0" cy="0"/>
          </xdr:xfrm>
          <a:graphic>
            <a:graphicData uri="http://schemas.microsoft.com/office/drawing/2010/slicer">
              <sle:slicer xmlns:sle="http://schemas.microsoft.com/office/drawing/2010/slicer" name="Kanban Board"/>
            </a:graphicData>
          </a:graphic>
        </xdr:graphicFrame>
      </mc:Choice>
      <mc:Fallback xmlns="">
        <xdr:sp macro="" textlink="">
          <xdr:nvSpPr>
            <xdr:cNvPr id="0" name=""/>
            <xdr:cNvSpPr>
              <a:spLocks noTextEdit="1"/>
            </xdr:cNvSpPr>
          </xdr:nvSpPr>
          <xdr:spPr>
            <a:xfrm>
              <a:off x="442648" y="692452"/>
              <a:ext cx="5905236" cy="94161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3</xdr:col>
      <xdr:colOff>42598</xdr:colOff>
      <xdr:row>1</xdr:row>
      <xdr:rowOff>1160233</xdr:rowOff>
    </xdr:from>
    <xdr:to>
      <xdr:col>16</xdr:col>
      <xdr:colOff>423333</xdr:colOff>
      <xdr:row>4</xdr:row>
      <xdr:rowOff>308698</xdr:rowOff>
    </xdr:to>
    <xdr:grpSp>
      <xdr:nvGrpSpPr>
        <xdr:cNvPr id="16" name="Group 15">
          <a:extLst>
            <a:ext uri="{FF2B5EF4-FFF2-40B4-BE49-F238E27FC236}">
              <a16:creationId xmlns:a16="http://schemas.microsoft.com/office/drawing/2014/main" id="{00000000-0008-0000-0300-000010000000}"/>
            </a:ext>
          </a:extLst>
        </xdr:cNvPr>
        <xdr:cNvGrpSpPr/>
      </xdr:nvGrpSpPr>
      <xdr:grpSpPr>
        <a:xfrm>
          <a:off x="442648" y="1788883"/>
          <a:ext cx="5905235" cy="1463040"/>
          <a:chOff x="455348" y="1784650"/>
          <a:chExt cx="5915819" cy="1466215"/>
        </a:xfrm>
      </xdr:grpSpPr>
      <mc:AlternateContent xmlns:mc="http://schemas.openxmlformats.org/markup-compatibility/2006" xmlns:a14="http://schemas.microsoft.com/office/drawing/2010/main">
        <mc:Choice Requires="a14">
          <xdr:graphicFrame macro="">
            <xdr:nvGraphicFramePr>
              <xdr:cNvPr id="5" name="Project">
                <a:extLst>
                  <a:ext uri="{FF2B5EF4-FFF2-40B4-BE49-F238E27FC236}">
                    <a16:creationId xmlns:a16="http://schemas.microsoft.com/office/drawing/2014/main" id="{00000000-0008-0000-0300-000005000000}"/>
                  </a:ext>
                </a:extLst>
              </xdr:cNvPr>
              <xdr:cNvGraphicFramePr/>
            </xdr:nvGraphicFramePr>
            <xdr:xfrm>
              <a:off x="455348" y="1784650"/>
              <a:ext cx="2687901" cy="1466215"/>
            </xdr:xfrm>
            <a:graphic>
              <a:graphicData uri="http://schemas.microsoft.com/office/drawing/2010/slicer">
                <sle:slicer xmlns:sle="http://schemas.microsoft.com/office/drawing/2010/slicer" name="Project"/>
              </a:graphicData>
            </a:graphic>
          </xdr:graphicFrame>
        </mc:Choice>
        <mc:Fallback xmlns="">
          <xdr:sp macro="" textlink="">
            <xdr:nvSpPr>
              <xdr:cNvPr id="0" name=""/>
              <xdr:cNvSpPr>
                <a:spLocks noTextEdit="1"/>
              </xdr:cNvSpPr>
            </xdr:nvSpPr>
            <xdr:spPr>
              <a:xfrm>
                <a:off x="442648" y="1788883"/>
                <a:ext cx="2683092" cy="146304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6" name="Assigned To">
                <a:extLst>
                  <a:ext uri="{FF2B5EF4-FFF2-40B4-BE49-F238E27FC236}">
                    <a16:creationId xmlns:a16="http://schemas.microsoft.com/office/drawing/2014/main" id="{00000000-0008-0000-0300-000006000000}"/>
                  </a:ext>
                </a:extLst>
              </xdr:cNvPr>
              <xdr:cNvGraphicFramePr/>
            </xdr:nvGraphicFramePr>
            <xdr:xfrm>
              <a:off x="3643315" y="1784650"/>
              <a:ext cx="2727852" cy="1466215"/>
            </xdr:xfrm>
            <a:graphic>
              <a:graphicData uri="http://schemas.microsoft.com/office/drawing/2010/slicer">
                <sle:slicer xmlns:sle="http://schemas.microsoft.com/office/drawing/2010/slicer" name="Assigned To"/>
              </a:graphicData>
            </a:graphic>
          </xdr:graphicFrame>
        </mc:Choice>
        <mc:Fallback xmlns="">
          <xdr:sp macro="" textlink="">
            <xdr:nvSpPr>
              <xdr:cNvPr id="0" name=""/>
              <xdr:cNvSpPr>
                <a:spLocks noTextEdit="1"/>
              </xdr:cNvSpPr>
            </xdr:nvSpPr>
            <xdr:spPr>
              <a:xfrm>
                <a:off x="3624911" y="1788883"/>
                <a:ext cx="2722972" cy="146304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xdr:clientData/>
  </xdr:twoCellAnchor>
  <xdr:twoCellAnchor>
    <xdr:from>
      <xdr:col>21</xdr:col>
      <xdr:colOff>66674</xdr:colOff>
      <xdr:row>1</xdr:row>
      <xdr:rowOff>63802</xdr:rowOff>
    </xdr:from>
    <xdr:to>
      <xdr:col>23</xdr:col>
      <xdr:colOff>272414</xdr:colOff>
      <xdr:row>1</xdr:row>
      <xdr:rowOff>1301750</xdr:rowOff>
    </xdr:to>
    <mc:AlternateContent xmlns:mc="http://schemas.openxmlformats.org/markup-compatibility/2006" xmlns:a14="http://schemas.microsoft.com/office/drawing/2010/main">
      <mc:Choice Requires="a14">
        <xdr:graphicFrame macro="">
          <xdr:nvGraphicFramePr>
            <xdr:cNvPr id="9" name="Priority">
              <a:extLst>
                <a:ext uri="{FF2B5EF4-FFF2-40B4-BE49-F238E27FC236}">
                  <a16:creationId xmlns:a16="http://schemas.microsoft.com/office/drawing/2014/main" id="{00000000-0008-0000-0300-000009000000}"/>
                </a:ext>
              </a:extLst>
            </xdr:cNvPr>
            <xdr:cNvGraphicFramePr/>
          </xdr:nvGraphicFramePr>
          <xdr:xfrm>
            <a:off x="0" y="0"/>
            <a:ext cx="0" cy="0"/>
          </xdr:xfrm>
          <a:graphic>
            <a:graphicData uri="http://schemas.microsoft.com/office/drawing/2010/slicer">
              <sle:slicer xmlns:sle="http://schemas.microsoft.com/office/drawing/2010/slicer" name="Priority"/>
            </a:graphicData>
          </a:graphic>
        </xdr:graphicFrame>
      </mc:Choice>
      <mc:Fallback xmlns="">
        <xdr:sp macro="" textlink="">
          <xdr:nvSpPr>
            <xdr:cNvPr id="0" name=""/>
            <xdr:cNvSpPr>
              <a:spLocks noTextEdit="1"/>
            </xdr:cNvSpPr>
          </xdr:nvSpPr>
          <xdr:spPr>
            <a:xfrm>
              <a:off x="7439024" y="692452"/>
              <a:ext cx="1920240" cy="1237948"/>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21</xdr:col>
      <xdr:colOff>66674</xdr:colOff>
      <xdr:row>1</xdr:row>
      <xdr:rowOff>1434763</xdr:rowOff>
    </xdr:from>
    <xdr:to>
      <xdr:col>23</xdr:col>
      <xdr:colOff>272414</xdr:colOff>
      <xdr:row>4</xdr:row>
      <xdr:rowOff>308698</xdr:rowOff>
    </xdr:to>
    <mc:AlternateContent xmlns:mc="http://schemas.openxmlformats.org/markup-compatibility/2006" xmlns:a14="http://schemas.microsoft.com/office/drawing/2010/main">
      <mc:Choice Requires="a14">
        <xdr:graphicFrame macro="">
          <xdr:nvGraphicFramePr>
            <xdr:cNvPr id="10" name="Overdue">
              <a:extLst>
                <a:ext uri="{FF2B5EF4-FFF2-40B4-BE49-F238E27FC236}">
                  <a16:creationId xmlns:a16="http://schemas.microsoft.com/office/drawing/2014/main" id="{00000000-0008-0000-0300-00000A000000}"/>
                </a:ext>
              </a:extLst>
            </xdr:cNvPr>
            <xdr:cNvGraphicFramePr/>
          </xdr:nvGraphicFramePr>
          <xdr:xfrm>
            <a:off x="0" y="0"/>
            <a:ext cx="0" cy="0"/>
          </xdr:xfrm>
          <a:graphic>
            <a:graphicData uri="http://schemas.microsoft.com/office/drawing/2010/slicer">
              <sle:slicer xmlns:sle="http://schemas.microsoft.com/office/drawing/2010/slicer" name="Overdue"/>
            </a:graphicData>
          </a:graphic>
        </xdr:graphicFrame>
      </mc:Choice>
      <mc:Fallback xmlns="">
        <xdr:sp macro="" textlink="">
          <xdr:nvSpPr>
            <xdr:cNvPr id="0" name=""/>
            <xdr:cNvSpPr>
              <a:spLocks noTextEdit="1"/>
            </xdr:cNvSpPr>
          </xdr:nvSpPr>
          <xdr:spPr>
            <a:xfrm>
              <a:off x="7439024" y="2063413"/>
              <a:ext cx="1920240" cy="118851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3</xdr:col>
          <xdr:colOff>47625</xdr:colOff>
          <xdr:row>0</xdr:row>
          <xdr:rowOff>171450</xdr:rowOff>
        </xdr:from>
        <xdr:to>
          <xdr:col>16</xdr:col>
          <xdr:colOff>409575</xdr:colOff>
          <xdr:row>0</xdr:row>
          <xdr:rowOff>504825</xdr:rowOff>
        </xdr:to>
        <xdr:sp macro="" textlink="">
          <xdr:nvSpPr>
            <xdr:cNvPr id="1092" name="Button 68" hidden="1">
              <a:extLst>
                <a:ext uri="{63B3BB69-23CF-44E3-9099-C40C66FF867C}">
                  <a14:compatExt spid="_x0000_s1092"/>
                </a:ext>
                <a:ext uri="{FF2B5EF4-FFF2-40B4-BE49-F238E27FC236}">
                  <a16:creationId xmlns:a16="http://schemas.microsoft.com/office/drawing/2014/main" id="{00000000-0008-0000-0300-000044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1" u="none" strike="noStrike" baseline="0">
                  <a:solidFill>
                    <a:srgbClr val="000000"/>
                  </a:solidFill>
                  <a:latin typeface="Arial"/>
                  <a:cs typeface="Arial"/>
                </a:rPr>
                <a:t>Refresh Workbook</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6</xdr:col>
      <xdr:colOff>400050</xdr:colOff>
      <xdr:row>16</xdr:row>
      <xdr:rowOff>42862</xdr:rowOff>
    </xdr:from>
    <xdr:to>
      <xdr:col>14</xdr:col>
      <xdr:colOff>43815</xdr:colOff>
      <xdr:row>30</xdr:row>
      <xdr:rowOff>119062</xdr:rowOff>
    </xdr:to>
    <xdr:graphicFrame macro="">
      <xdr:nvGraphicFramePr>
        <xdr:cNvPr id="2" name="Chart 1">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400050</xdr:colOff>
      <xdr:row>31</xdr:row>
      <xdr:rowOff>157162</xdr:rowOff>
    </xdr:from>
    <xdr:to>
      <xdr:col>14</xdr:col>
      <xdr:colOff>43815</xdr:colOff>
      <xdr:row>46</xdr:row>
      <xdr:rowOff>42862</xdr:rowOff>
    </xdr:to>
    <xdr:graphicFrame macro="">
      <xdr:nvGraphicFramePr>
        <xdr:cNvPr id="4" name="Chart 3">
          <a:extLst>
            <a:ext uri="{FF2B5EF4-FFF2-40B4-BE49-F238E27FC236}">
              <a16:creationId xmlns:a16="http://schemas.microsoft.com/office/drawing/2014/main" id="{00000000-0008-0000-04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15</xdr:col>
      <xdr:colOff>271461</xdr:colOff>
      <xdr:row>16</xdr:row>
      <xdr:rowOff>42862</xdr:rowOff>
    </xdr:from>
    <xdr:to>
      <xdr:col>23</xdr:col>
      <xdr:colOff>123824</xdr:colOff>
      <xdr:row>30</xdr:row>
      <xdr:rowOff>119062</xdr:rowOff>
    </xdr:to>
    <xdr:graphicFrame macro="">
      <xdr:nvGraphicFramePr>
        <xdr:cNvPr id="5" name="Chart 4">
          <a:extLst>
            <a:ext uri="{FF2B5EF4-FFF2-40B4-BE49-F238E27FC236}">
              <a16:creationId xmlns:a16="http://schemas.microsoft.com/office/drawing/2014/main" id="{00000000-0008-0000-04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15</xdr:col>
      <xdr:colOff>295275</xdr:colOff>
      <xdr:row>32</xdr:row>
      <xdr:rowOff>42862</xdr:rowOff>
    </xdr:from>
    <xdr:to>
      <xdr:col>23</xdr:col>
      <xdr:colOff>123824</xdr:colOff>
      <xdr:row>46</xdr:row>
      <xdr:rowOff>119062</xdr:rowOff>
    </xdr:to>
    <xdr:graphicFrame macro="">
      <xdr:nvGraphicFramePr>
        <xdr:cNvPr id="6" name="Chart 5">
          <a:extLst>
            <a:ext uri="{FF2B5EF4-FFF2-40B4-BE49-F238E27FC236}">
              <a16:creationId xmlns:a16="http://schemas.microsoft.com/office/drawing/2014/main" id="{00000000-0008-0000-04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12</xdr:col>
      <xdr:colOff>457200</xdr:colOff>
      <xdr:row>6</xdr:row>
      <xdr:rowOff>66675</xdr:rowOff>
    </xdr:from>
    <xdr:to>
      <xdr:col>17</xdr:col>
      <xdr:colOff>47626</xdr:colOff>
      <xdr:row>14</xdr:row>
      <xdr:rowOff>47625</xdr:rowOff>
    </xdr:to>
    <mc:AlternateContent xmlns:mc="http://schemas.openxmlformats.org/markup-compatibility/2006" xmlns:a14="http://schemas.microsoft.com/office/drawing/2010/main">
      <mc:Choice Requires="a14">
        <xdr:graphicFrame macro="">
          <xdr:nvGraphicFramePr>
            <xdr:cNvPr id="7" name="Assigned To 1">
              <a:extLst>
                <a:ext uri="{FF2B5EF4-FFF2-40B4-BE49-F238E27FC236}">
                  <a16:creationId xmlns:a16="http://schemas.microsoft.com/office/drawing/2014/main" id="{00000000-0008-0000-0400-000007000000}"/>
                </a:ext>
              </a:extLst>
            </xdr:cNvPr>
            <xdr:cNvGraphicFramePr/>
          </xdr:nvGraphicFramePr>
          <xdr:xfrm>
            <a:off x="0" y="0"/>
            <a:ext cx="0" cy="0"/>
          </xdr:xfrm>
          <a:graphic>
            <a:graphicData uri="http://schemas.microsoft.com/office/drawing/2010/slicer">
              <sle:slicer xmlns:sle="http://schemas.microsoft.com/office/drawing/2010/slicer" name="Assigned To 1"/>
            </a:graphicData>
          </a:graphic>
        </xdr:graphicFrame>
      </mc:Choice>
      <mc:Fallback xmlns="">
        <xdr:sp macro="" textlink="">
          <xdr:nvSpPr>
            <xdr:cNvPr id="0" name=""/>
            <xdr:cNvSpPr>
              <a:spLocks noTextEdit="1"/>
            </xdr:cNvSpPr>
          </xdr:nvSpPr>
          <xdr:spPr>
            <a:xfrm>
              <a:off x="4257675" y="1209675"/>
              <a:ext cx="2638426" cy="15049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17</xdr:col>
      <xdr:colOff>576262</xdr:colOff>
      <xdr:row>6</xdr:row>
      <xdr:rowOff>66675</xdr:rowOff>
    </xdr:from>
    <xdr:to>
      <xdr:col>23</xdr:col>
      <xdr:colOff>109537</xdr:colOff>
      <xdr:row>14</xdr:row>
      <xdr:rowOff>38100</xdr:rowOff>
    </xdr:to>
    <mc:AlternateContent xmlns:mc="http://schemas.openxmlformats.org/markup-compatibility/2006" xmlns:a14="http://schemas.microsoft.com/office/drawing/2010/main">
      <mc:Choice Requires="a14">
        <xdr:graphicFrame macro="">
          <xdr:nvGraphicFramePr>
            <xdr:cNvPr id="9" name="Status">
              <a:extLst>
                <a:ext uri="{FF2B5EF4-FFF2-40B4-BE49-F238E27FC236}">
                  <a16:creationId xmlns:a16="http://schemas.microsoft.com/office/drawing/2014/main" id="{00000000-0008-0000-0400-000009000000}"/>
                </a:ext>
              </a:extLst>
            </xdr:cNvPr>
            <xdr:cNvGraphicFramePr/>
          </xdr:nvGraphicFramePr>
          <xdr:xfrm>
            <a:off x="0" y="0"/>
            <a:ext cx="0" cy="0"/>
          </xdr:xfrm>
          <a:graphic>
            <a:graphicData uri="http://schemas.microsoft.com/office/drawing/2010/slicer">
              <sle:slicer xmlns:sle="http://schemas.microsoft.com/office/drawing/2010/slicer" name="Status"/>
            </a:graphicData>
          </a:graphic>
        </xdr:graphicFrame>
      </mc:Choice>
      <mc:Fallback xmlns="">
        <xdr:sp macro="" textlink="">
          <xdr:nvSpPr>
            <xdr:cNvPr id="0" name=""/>
            <xdr:cNvSpPr>
              <a:spLocks noTextEdit="1"/>
            </xdr:cNvSpPr>
          </xdr:nvSpPr>
          <xdr:spPr>
            <a:xfrm>
              <a:off x="7424737" y="1209675"/>
              <a:ext cx="3190875" cy="14954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6</xdr:col>
      <xdr:colOff>110490</xdr:colOff>
      <xdr:row>6</xdr:row>
      <xdr:rowOff>66675</xdr:rowOff>
    </xdr:from>
    <xdr:to>
      <xdr:col>11</xdr:col>
      <xdr:colOff>556260</xdr:colOff>
      <xdr:row>14</xdr:row>
      <xdr:rowOff>28574</xdr:rowOff>
    </xdr:to>
    <mc:AlternateContent xmlns:mc="http://schemas.openxmlformats.org/markup-compatibility/2006" xmlns:a14="http://schemas.microsoft.com/office/drawing/2010/main">
      <mc:Choice Requires="a14">
        <xdr:graphicFrame macro="">
          <xdr:nvGraphicFramePr>
            <xdr:cNvPr id="10" name="% Progress">
              <a:extLst>
                <a:ext uri="{FF2B5EF4-FFF2-40B4-BE49-F238E27FC236}">
                  <a16:creationId xmlns:a16="http://schemas.microsoft.com/office/drawing/2014/main" id="{00000000-0008-0000-0400-00000A000000}"/>
                </a:ext>
              </a:extLst>
            </xdr:cNvPr>
            <xdr:cNvGraphicFramePr/>
          </xdr:nvGraphicFramePr>
          <xdr:xfrm>
            <a:off x="0" y="0"/>
            <a:ext cx="0" cy="0"/>
          </xdr:xfrm>
          <a:graphic>
            <a:graphicData uri="http://schemas.microsoft.com/office/drawing/2010/slicer">
              <sle:slicer xmlns:sle="http://schemas.microsoft.com/office/drawing/2010/slicer" name="% Progress"/>
            </a:graphicData>
          </a:graphic>
        </xdr:graphicFrame>
      </mc:Choice>
      <mc:Fallback xmlns="">
        <xdr:sp macro="" textlink="">
          <xdr:nvSpPr>
            <xdr:cNvPr id="0" name=""/>
            <xdr:cNvSpPr>
              <a:spLocks noTextEdit="1"/>
            </xdr:cNvSpPr>
          </xdr:nvSpPr>
          <xdr:spPr>
            <a:xfrm>
              <a:off x="400050" y="1209675"/>
              <a:ext cx="3562351" cy="148589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6</xdr:col>
      <xdr:colOff>400050</xdr:colOff>
      <xdr:row>0</xdr:row>
      <xdr:rowOff>142875</xdr:rowOff>
    </xdr:from>
    <xdr:to>
      <xdr:col>23</xdr:col>
      <xdr:colOff>506730</xdr:colOff>
      <xdr:row>5</xdr:row>
      <xdr:rowOff>104775</xdr:rowOff>
    </xdr:to>
    <mc:AlternateContent xmlns:mc="http://schemas.openxmlformats.org/markup-compatibility/2006" xmlns:a14="http://schemas.microsoft.com/office/drawing/2010/main">
      <mc:Choice Requires="a14">
        <xdr:graphicFrame macro="">
          <xdr:nvGraphicFramePr>
            <xdr:cNvPr id="11" name="Kanban Board 1">
              <a:extLst>
                <a:ext uri="{FF2B5EF4-FFF2-40B4-BE49-F238E27FC236}">
                  <a16:creationId xmlns:a16="http://schemas.microsoft.com/office/drawing/2014/main" id="{00000000-0008-0000-0400-00000B000000}"/>
                </a:ext>
              </a:extLst>
            </xdr:cNvPr>
            <xdr:cNvGraphicFramePr/>
          </xdr:nvGraphicFramePr>
          <xdr:xfrm>
            <a:off x="0" y="0"/>
            <a:ext cx="0" cy="0"/>
          </xdr:xfrm>
          <a:graphic>
            <a:graphicData uri="http://schemas.microsoft.com/office/drawing/2010/slicer">
              <sle:slicer xmlns:sle="http://schemas.microsoft.com/office/drawing/2010/slicer" name="Kanban Board 1"/>
            </a:graphicData>
          </a:graphic>
        </xdr:graphicFrame>
      </mc:Choice>
      <mc:Fallback xmlns="">
        <xdr:sp macro="" textlink="">
          <xdr:nvSpPr>
            <xdr:cNvPr id="0" name=""/>
            <xdr:cNvSpPr>
              <a:spLocks noTextEdit="1"/>
            </xdr:cNvSpPr>
          </xdr:nvSpPr>
          <xdr:spPr>
            <a:xfrm>
              <a:off x="400050" y="142875"/>
              <a:ext cx="10239375" cy="9144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Christos Galousis" refreshedDate="44266.830543750002" createdVersion="6" refreshedVersion="7" minRefreshableVersion="3" recordCount="109" xr:uid="{67410590-64D5-434C-A436-5C4186E44BB3}">
  <cacheSource type="worksheet">
    <worksheetSource name="DataTbl"/>
  </cacheSource>
  <cacheFields count="24">
    <cacheField name="Task Name" numFmtId="0">
      <sharedItems containsMixedTypes="1" containsNumber="1" containsInteger="1" minValue="0" maxValue="0" count="32">
        <s v="Task 1"/>
        <s v="Task 2"/>
        <s v="Special Task 1"/>
        <s v="Special Task 2"/>
        <s v="Task 4"/>
        <s v="Task 5"/>
        <s v="Special Task 3"/>
        <s v="Task 7"/>
        <s v="Task 8"/>
        <s v="Task 9"/>
        <s v="Task 10"/>
        <s v="Task 11"/>
        <s v="Task 12"/>
        <s v="Task 13"/>
        <s v="Task 14"/>
        <s v="Task 15"/>
        <s v="Special Task 4"/>
        <s v="Task 16"/>
        <s v="Task 17"/>
        <s v="Task 18"/>
        <s v="Task 19"/>
        <n v="0"/>
        <s v="STATUSREF1"/>
        <s v="STATUSREF2"/>
        <s v="STATUSREF3"/>
        <s v="STATUSREF4"/>
        <s v="STATUSREF5"/>
        <s v="STATUSREF6"/>
        <s v="STATUSREF7"/>
        <s v="STATUSREF8"/>
        <s v="STATUSREF9"/>
        <s v="STATUSREF10"/>
      </sharedItems>
    </cacheField>
    <cacheField name="Kanban Board" numFmtId="0">
      <sharedItems containsMixedTypes="1" containsNumber="1" containsInteger="1" minValue="0" maxValue="0" count="8">
        <s v="General"/>
        <s v="Team #1"/>
        <s v="Team #3"/>
        <s v="Team #4"/>
        <s v="Team #5"/>
        <s v="Team #2"/>
        <n v="0"/>
        <e v="#REF!"/>
      </sharedItems>
    </cacheField>
    <cacheField name="Project" numFmtId="0">
      <sharedItems containsMixedTypes="1" containsNumber="1" containsInteger="1" minValue="0" maxValue="0" count="7">
        <s v="Project #4"/>
        <s v="Project #3"/>
        <s v="Project #1"/>
        <s v="Project #2"/>
        <s v="Project #5"/>
        <n v="0"/>
        <e v="#REF!"/>
      </sharedItems>
    </cacheField>
    <cacheField name="Assigned To" numFmtId="0">
      <sharedItems containsMixedTypes="1" containsNumber="1" containsInteger="1" minValue="0" maxValue="0" count="8">
        <s v="Joe"/>
        <s v="Sam"/>
        <s v="David"/>
        <s v="Brenda"/>
        <s v="Michael"/>
        <s v="Elizabeth"/>
        <n v="0"/>
        <e v="#REF!"/>
      </sharedItems>
    </cacheField>
    <cacheField name="Priority" numFmtId="0">
      <sharedItems containsMixedTypes="1" containsNumber="1" containsInteger="1" minValue="0" maxValue="0" count="5">
        <s v="Low"/>
        <s v="Medium"/>
        <s v="High"/>
        <n v="0"/>
        <e v="#REF!"/>
      </sharedItems>
    </cacheField>
    <cacheField name="Start Date" numFmtId="14">
      <sharedItems containsDate="1" containsMixedTypes="1" minDate="1899-12-30T00:00:00" maxDate="2020-05-18T00:00:00"/>
    </cacheField>
    <cacheField name="Due Date" numFmtId="14">
      <sharedItems containsDate="1" containsMixedTypes="1" minDate="1899-12-30T00:00:00" maxDate="2021-03-06T00:00:00"/>
    </cacheField>
    <cacheField name="Status" numFmtId="0">
      <sharedItems containsMixedTypes="1" containsNumber="1" containsInteger="1" minValue="0" maxValue="10"/>
    </cacheField>
    <cacheField name="% Progress" numFmtId="0">
      <sharedItems containsMixedTypes="1" containsNumber="1" minValue="0" maxValue="0.99999999999999989"/>
    </cacheField>
    <cacheField name="Kanban Board Number" numFmtId="0">
      <sharedItems containsMixedTypes="1" containsNumber="1" containsInteger="1" minValue="1" maxValue="6"/>
    </cacheField>
    <cacheField name="Project Number" numFmtId="0">
      <sharedItems containsMixedTypes="1" containsNumber="1" containsInteger="1" minValue="1" maxValue="5"/>
    </cacheField>
    <cacheField name="Team Member Number" numFmtId="0">
      <sharedItems containsMixedTypes="1" containsNumber="1" containsInteger="1" minValue="1" maxValue="6"/>
    </cacheField>
    <cacheField name="Status 1" numFmtId="0">
      <sharedItems count="4">
        <s v="FALSE"/>
        <s v="TRUE"/>
        <e v="#N/A"/>
        <b v="1" u="1"/>
      </sharedItems>
    </cacheField>
    <cacheField name="Status 2" numFmtId="0">
      <sharedItems count="4">
        <s v="FALSE"/>
        <s v="TRUE"/>
        <e v="#N/A"/>
        <b v="1" u="1"/>
      </sharedItems>
    </cacheField>
    <cacheField name="Status 3" numFmtId="0">
      <sharedItems count="4">
        <s v="TRUE"/>
        <s v="FALSE"/>
        <e v="#N/A"/>
        <b v="1" u="1"/>
      </sharedItems>
    </cacheField>
    <cacheField name="Status 4" numFmtId="0">
      <sharedItems count="4">
        <s v="FALSE"/>
        <s v="TRUE"/>
        <e v="#N/A"/>
        <b v="1" u="1"/>
      </sharedItems>
    </cacheField>
    <cacheField name="Status 5" numFmtId="0">
      <sharedItems count="4">
        <s v="FALSE"/>
        <s v="TRUE"/>
        <e v="#N/A"/>
        <b v="1" u="1"/>
      </sharedItems>
    </cacheField>
    <cacheField name="Status 6" numFmtId="0">
      <sharedItems count="4">
        <s v="FALSE"/>
        <s v="TRUE"/>
        <e v="#N/A"/>
        <b v="1" u="1"/>
      </sharedItems>
    </cacheField>
    <cacheField name="Status 7" numFmtId="0">
      <sharedItems count="4">
        <s v="FALSE"/>
        <s v="TRUE"/>
        <e v="#N/A"/>
        <b v="1" u="1"/>
      </sharedItems>
    </cacheField>
    <cacheField name="Status 8" numFmtId="0">
      <sharedItems count="4">
        <s v="FALSE"/>
        <s v="TRUE"/>
        <e v="#N/A"/>
        <b v="1" u="1"/>
      </sharedItems>
    </cacheField>
    <cacheField name="Status 9" numFmtId="0">
      <sharedItems count="4">
        <s v="FALSE"/>
        <s v="TRUE"/>
        <e v="#N/A"/>
        <b v="1"/>
      </sharedItems>
    </cacheField>
    <cacheField name="Status 10" numFmtId="0">
      <sharedItems count="3">
        <s v="FALSE"/>
        <e v="#N/A"/>
        <b v="1" u="1"/>
      </sharedItems>
    </cacheField>
    <cacheField name="REFERENCE ENTRY?" numFmtId="0">
      <sharedItems count="2">
        <b v="0"/>
        <b v="1"/>
      </sharedItems>
    </cacheField>
    <cacheField name="Overdue" numFmtId="0">
      <sharedItems count="2">
        <s v="Yes"/>
        <s v="No"/>
      </sharedItems>
    </cacheField>
  </cacheFields>
  <extLst>
    <ext xmlns:x14="http://schemas.microsoft.com/office/spreadsheetml/2009/9/main" uri="{725AE2AE-9491-48be-B2B4-4EB974FC3084}">
      <x14:pivotCacheDefinition pivotCacheId="1976311902"/>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Christos Galousis" refreshedDate="44266.830561458337" createdVersion="6" refreshedVersion="7" minRefreshableVersion="3" recordCount="99" xr:uid="{99A9F0D4-4BDD-4F37-B6FD-E171CFE5D951}">
  <cacheSource type="worksheet">
    <worksheetSource name="InputTbl"/>
  </cacheSource>
  <cacheFields count="9">
    <cacheField name="Task Name" numFmtId="0">
      <sharedItems containsBlank="1"/>
    </cacheField>
    <cacheField name="Kanban Board" numFmtId="0">
      <sharedItems containsBlank="1" count="17">
        <s v="General"/>
        <s v="Team #1"/>
        <s v="Team #3"/>
        <s v="Team #4"/>
        <s v="Team #5"/>
        <s v="Team #2"/>
        <m/>
        <s v="HR" u="1"/>
        <s v="Team #6" u="1"/>
        <s v="Team #7" u="1"/>
        <s v="ORG Culture" u="1"/>
        <s v="board1" u="1"/>
        <s v="board2" u="1"/>
        <s v="board3" u="1"/>
        <s v="Analytics" u="1"/>
        <s v="board4" u="1"/>
        <s v="L&amp;D" u="1"/>
      </sharedItems>
    </cacheField>
    <cacheField name="Project" numFmtId="0">
      <sharedItems containsBlank="1"/>
    </cacheField>
    <cacheField name="Assigned To" numFmtId="0">
      <sharedItems containsBlank="1" count="25">
        <s v="Joe"/>
        <s v="Sam"/>
        <s v="David"/>
        <s v="Brenda"/>
        <s v="Michael"/>
        <s v="Elizabeth"/>
        <m/>
        <s v="Ex. Member #2" u="1"/>
        <s v="Lisa" u="1"/>
        <s v="Laura" u="1"/>
        <s v="Lacey" u="1"/>
        <s v="Kindra" u="1"/>
        <s v="Tina" u="1"/>
        <s v="Ex. Member #3" u="1"/>
        <s v="Stephenie" u="1"/>
        <s v="Alec" u="1"/>
        <s v="Shannon" u="1"/>
        <s v="Ex. Member #1" u="1"/>
        <s v="Jessica" u="1"/>
        <s v="Michelle" u="1"/>
        <s v="Josue" u="1"/>
        <s v="Ex. Member #4" u="1"/>
        <s v="Claire" u="1"/>
        <s v="Leah" u="1"/>
        <s v="Rogelio" u="1"/>
      </sharedItems>
    </cacheField>
    <cacheField name="Priority" numFmtId="0">
      <sharedItems containsBlank="1" count="4">
        <s v="Low"/>
        <s v="Medium"/>
        <s v="High"/>
        <m/>
      </sharedItems>
    </cacheField>
    <cacheField name="Start Date" numFmtId="14">
      <sharedItems containsNonDate="0" containsDate="1" containsString="0" containsBlank="1" minDate="2020-01-10T00:00:00" maxDate="2020-05-18T00:00:00"/>
    </cacheField>
    <cacheField name="Due Date" numFmtId="14">
      <sharedItems containsNonDate="0" containsDate="1" containsString="0" containsBlank="1" minDate="2020-07-15T00:00:00" maxDate="2021-03-06T00:00:00"/>
    </cacheField>
    <cacheField name="Status" numFmtId="14">
      <sharedItems containsBlank="1" count="12">
        <s v="Research"/>
        <s v="Testing"/>
        <s v="Pending"/>
        <s v="In Progress"/>
        <s v="On Hold"/>
        <s v="Cancelled"/>
        <s v="Backlog"/>
        <s v="Completed"/>
        <s v="New"/>
        <m/>
        <s v="Not Started" u="1"/>
        <s v="In Review" u="1"/>
      </sharedItems>
    </cacheField>
    <cacheField name="% Progress" numFmtId="9">
      <sharedItems containsString="0" containsBlank="1" containsNumber="1" minValue="0" maxValue="0.99999999999999989" count="12">
        <n v="0.1"/>
        <n v="0.5"/>
        <n v="0"/>
        <n v="0.6"/>
        <n v="0.89999999999999991"/>
        <n v="0.30000000000000004"/>
        <n v="0.7"/>
        <n v="0.79999999999999993"/>
        <n v="0.99999999999999989"/>
        <n v="0.4"/>
        <n v="0.2"/>
        <m/>
      </sharedItems>
    </cacheField>
  </cacheFields>
  <extLst>
    <ext xmlns:x14="http://schemas.microsoft.com/office/spreadsheetml/2009/9/main" uri="{725AE2AE-9491-48be-B2B4-4EB974FC3084}">
      <x14:pivotCacheDefinition pivotCacheId="1686832097"/>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9">
  <r>
    <x v="0"/>
    <x v="0"/>
    <x v="0"/>
    <x v="0"/>
    <x v="0"/>
    <d v="2020-04-02T00:00:00"/>
    <d v="2021-01-14T00:00:00"/>
    <s v="Research"/>
    <n v="0.1"/>
    <n v="1"/>
    <n v="4"/>
    <n v="1"/>
    <x v="0"/>
    <x v="0"/>
    <x v="0"/>
    <x v="0"/>
    <x v="0"/>
    <x v="0"/>
    <x v="0"/>
    <x v="0"/>
    <x v="0"/>
    <x v="0"/>
    <x v="0"/>
    <x v="0"/>
  </r>
  <r>
    <x v="1"/>
    <x v="1"/>
    <x v="1"/>
    <x v="1"/>
    <x v="1"/>
    <d v="2020-01-21T00:00:00"/>
    <d v="2020-10-31T00:00:00"/>
    <s v="Testing"/>
    <n v="0.5"/>
    <n v="2"/>
    <n v="3"/>
    <n v="2"/>
    <x v="0"/>
    <x v="0"/>
    <x v="1"/>
    <x v="0"/>
    <x v="0"/>
    <x v="0"/>
    <x v="1"/>
    <x v="0"/>
    <x v="0"/>
    <x v="0"/>
    <x v="0"/>
    <x v="0"/>
  </r>
  <r>
    <x v="2"/>
    <x v="2"/>
    <x v="0"/>
    <x v="0"/>
    <x v="2"/>
    <d v="2020-04-19T00:00:00"/>
    <d v="2020-08-01T00:00:00"/>
    <s v="Pending"/>
    <n v="0"/>
    <n v="4"/>
    <n v="4"/>
    <n v="1"/>
    <x v="0"/>
    <x v="1"/>
    <x v="1"/>
    <x v="0"/>
    <x v="0"/>
    <x v="0"/>
    <x v="0"/>
    <x v="0"/>
    <x v="0"/>
    <x v="0"/>
    <x v="0"/>
    <x v="0"/>
  </r>
  <r>
    <x v="3"/>
    <x v="1"/>
    <x v="0"/>
    <x v="2"/>
    <x v="0"/>
    <d v="2020-01-10T00:00:00"/>
    <d v="2020-11-19T00:00:00"/>
    <s v="In Progress"/>
    <n v="0.6"/>
    <n v="2"/>
    <n v="4"/>
    <n v="4"/>
    <x v="0"/>
    <x v="0"/>
    <x v="1"/>
    <x v="1"/>
    <x v="0"/>
    <x v="0"/>
    <x v="0"/>
    <x v="0"/>
    <x v="0"/>
    <x v="0"/>
    <x v="0"/>
    <x v="0"/>
  </r>
  <r>
    <x v="4"/>
    <x v="3"/>
    <x v="1"/>
    <x v="3"/>
    <x v="1"/>
    <d v="2020-05-17T00:00:00"/>
    <d v="2020-11-09T00:00:00"/>
    <s v="In Progress"/>
    <n v="0.89999999999999991"/>
    <n v="5"/>
    <n v="3"/>
    <n v="3"/>
    <x v="0"/>
    <x v="0"/>
    <x v="1"/>
    <x v="1"/>
    <x v="0"/>
    <x v="0"/>
    <x v="0"/>
    <x v="0"/>
    <x v="0"/>
    <x v="0"/>
    <x v="0"/>
    <x v="0"/>
  </r>
  <r>
    <x v="5"/>
    <x v="3"/>
    <x v="0"/>
    <x v="4"/>
    <x v="2"/>
    <d v="2020-02-18T00:00:00"/>
    <d v="2020-09-14T00:00:00"/>
    <s v="On Hold"/>
    <n v="0.30000000000000004"/>
    <n v="5"/>
    <n v="4"/>
    <n v="5"/>
    <x v="0"/>
    <x v="0"/>
    <x v="1"/>
    <x v="0"/>
    <x v="0"/>
    <x v="0"/>
    <x v="0"/>
    <x v="1"/>
    <x v="0"/>
    <x v="0"/>
    <x v="0"/>
    <x v="0"/>
  </r>
  <r>
    <x v="6"/>
    <x v="0"/>
    <x v="2"/>
    <x v="1"/>
    <x v="0"/>
    <d v="2020-02-02T00:00:00"/>
    <d v="2020-12-01T00:00:00"/>
    <s v="Cancelled"/>
    <n v="0.7"/>
    <n v="1"/>
    <n v="1"/>
    <n v="2"/>
    <x v="1"/>
    <x v="0"/>
    <x v="1"/>
    <x v="0"/>
    <x v="0"/>
    <x v="0"/>
    <x v="0"/>
    <x v="0"/>
    <x v="0"/>
    <x v="0"/>
    <x v="0"/>
    <x v="0"/>
  </r>
  <r>
    <x v="7"/>
    <x v="1"/>
    <x v="3"/>
    <x v="0"/>
    <x v="0"/>
    <d v="2020-04-09T00:00:00"/>
    <d v="2021-02-16T00:00:00"/>
    <s v="Backlog"/>
    <n v="0.79999999999999993"/>
    <n v="2"/>
    <n v="2"/>
    <n v="1"/>
    <x v="0"/>
    <x v="0"/>
    <x v="1"/>
    <x v="0"/>
    <x v="0"/>
    <x v="1"/>
    <x v="0"/>
    <x v="0"/>
    <x v="0"/>
    <x v="0"/>
    <x v="0"/>
    <x v="0"/>
  </r>
  <r>
    <x v="8"/>
    <x v="4"/>
    <x v="4"/>
    <x v="4"/>
    <x v="2"/>
    <d v="2020-05-07T00:00:00"/>
    <d v="2021-02-06T00:00:00"/>
    <s v="Completed"/>
    <n v="0.99999999999999989"/>
    <n v="6"/>
    <n v="5"/>
    <n v="5"/>
    <x v="0"/>
    <x v="0"/>
    <x v="1"/>
    <x v="0"/>
    <x v="1"/>
    <x v="0"/>
    <x v="0"/>
    <x v="0"/>
    <x v="0"/>
    <x v="0"/>
    <x v="0"/>
    <x v="1"/>
  </r>
  <r>
    <x v="9"/>
    <x v="1"/>
    <x v="2"/>
    <x v="4"/>
    <x v="1"/>
    <d v="2020-04-01T00:00:00"/>
    <d v="2020-07-24T00:00:00"/>
    <s v="Completed"/>
    <n v="0.99999999999999989"/>
    <n v="2"/>
    <n v="1"/>
    <n v="5"/>
    <x v="0"/>
    <x v="0"/>
    <x v="1"/>
    <x v="0"/>
    <x v="1"/>
    <x v="0"/>
    <x v="0"/>
    <x v="0"/>
    <x v="0"/>
    <x v="0"/>
    <x v="0"/>
    <x v="1"/>
  </r>
  <r>
    <x v="10"/>
    <x v="5"/>
    <x v="3"/>
    <x v="2"/>
    <x v="1"/>
    <d v="2020-03-20T00:00:00"/>
    <d v="2021-02-07T00:00:00"/>
    <s v="In Progress"/>
    <n v="0.4"/>
    <n v="3"/>
    <n v="2"/>
    <n v="4"/>
    <x v="0"/>
    <x v="0"/>
    <x v="1"/>
    <x v="1"/>
    <x v="0"/>
    <x v="0"/>
    <x v="0"/>
    <x v="0"/>
    <x v="0"/>
    <x v="0"/>
    <x v="0"/>
    <x v="0"/>
  </r>
  <r>
    <x v="11"/>
    <x v="5"/>
    <x v="4"/>
    <x v="1"/>
    <x v="1"/>
    <d v="2020-01-12T00:00:00"/>
    <d v="2020-12-12T00:00:00"/>
    <s v="In Progress"/>
    <n v="0.2"/>
    <n v="3"/>
    <n v="5"/>
    <n v="2"/>
    <x v="0"/>
    <x v="0"/>
    <x v="1"/>
    <x v="1"/>
    <x v="0"/>
    <x v="0"/>
    <x v="0"/>
    <x v="0"/>
    <x v="0"/>
    <x v="0"/>
    <x v="0"/>
    <x v="0"/>
  </r>
  <r>
    <x v="12"/>
    <x v="0"/>
    <x v="3"/>
    <x v="0"/>
    <x v="1"/>
    <d v="2020-02-19T00:00:00"/>
    <d v="2020-07-15T00:00:00"/>
    <s v="New"/>
    <n v="0.5"/>
    <n v="1"/>
    <n v="2"/>
    <n v="1"/>
    <x v="0"/>
    <x v="0"/>
    <x v="1"/>
    <x v="0"/>
    <x v="0"/>
    <x v="0"/>
    <x v="0"/>
    <x v="0"/>
    <x v="1"/>
    <x v="0"/>
    <x v="0"/>
    <x v="0"/>
  </r>
  <r>
    <x v="13"/>
    <x v="0"/>
    <x v="4"/>
    <x v="5"/>
    <x v="1"/>
    <d v="2020-01-28T00:00:00"/>
    <d v="2020-10-13T00:00:00"/>
    <s v="In Progress"/>
    <n v="0.30000000000000004"/>
    <n v="1"/>
    <n v="5"/>
    <n v="6"/>
    <x v="0"/>
    <x v="0"/>
    <x v="1"/>
    <x v="1"/>
    <x v="0"/>
    <x v="0"/>
    <x v="0"/>
    <x v="0"/>
    <x v="0"/>
    <x v="0"/>
    <x v="0"/>
    <x v="0"/>
  </r>
  <r>
    <x v="14"/>
    <x v="2"/>
    <x v="2"/>
    <x v="1"/>
    <x v="0"/>
    <d v="2020-03-12T00:00:00"/>
    <d v="2020-12-28T00:00:00"/>
    <s v="Research"/>
    <n v="0.2"/>
    <n v="4"/>
    <n v="1"/>
    <n v="2"/>
    <x v="0"/>
    <x v="0"/>
    <x v="0"/>
    <x v="0"/>
    <x v="0"/>
    <x v="0"/>
    <x v="0"/>
    <x v="0"/>
    <x v="0"/>
    <x v="0"/>
    <x v="0"/>
    <x v="0"/>
  </r>
  <r>
    <x v="15"/>
    <x v="1"/>
    <x v="3"/>
    <x v="3"/>
    <x v="2"/>
    <d v="2020-04-06T00:00:00"/>
    <d v="2020-12-05T00:00:00"/>
    <s v="Pending"/>
    <n v="0.1"/>
    <n v="2"/>
    <n v="2"/>
    <n v="3"/>
    <x v="0"/>
    <x v="1"/>
    <x v="1"/>
    <x v="0"/>
    <x v="0"/>
    <x v="0"/>
    <x v="0"/>
    <x v="0"/>
    <x v="0"/>
    <x v="0"/>
    <x v="0"/>
    <x v="0"/>
  </r>
  <r>
    <x v="16"/>
    <x v="5"/>
    <x v="4"/>
    <x v="5"/>
    <x v="2"/>
    <d v="2020-05-14T00:00:00"/>
    <d v="2021-03-05T00:00:00"/>
    <s v="In Progress"/>
    <n v="0.79999999999999993"/>
    <n v="3"/>
    <n v="5"/>
    <n v="6"/>
    <x v="0"/>
    <x v="0"/>
    <x v="1"/>
    <x v="1"/>
    <x v="0"/>
    <x v="0"/>
    <x v="0"/>
    <x v="0"/>
    <x v="0"/>
    <x v="0"/>
    <x v="0"/>
    <x v="0"/>
  </r>
  <r>
    <x v="17"/>
    <x v="4"/>
    <x v="3"/>
    <x v="2"/>
    <x v="0"/>
    <d v="2020-02-12T00:00:00"/>
    <d v="2020-09-01T00:00:00"/>
    <s v="Research"/>
    <n v="0.1"/>
    <n v="6"/>
    <n v="2"/>
    <n v="4"/>
    <x v="0"/>
    <x v="0"/>
    <x v="0"/>
    <x v="0"/>
    <x v="0"/>
    <x v="0"/>
    <x v="0"/>
    <x v="0"/>
    <x v="0"/>
    <x v="0"/>
    <x v="0"/>
    <x v="0"/>
  </r>
  <r>
    <x v="18"/>
    <x v="3"/>
    <x v="1"/>
    <x v="2"/>
    <x v="1"/>
    <d v="2020-03-07T00:00:00"/>
    <d v="2020-10-05T00:00:00"/>
    <s v="In Progress"/>
    <n v="0.4"/>
    <n v="5"/>
    <n v="3"/>
    <n v="4"/>
    <x v="0"/>
    <x v="0"/>
    <x v="1"/>
    <x v="1"/>
    <x v="0"/>
    <x v="0"/>
    <x v="0"/>
    <x v="0"/>
    <x v="0"/>
    <x v="0"/>
    <x v="0"/>
    <x v="0"/>
  </r>
  <r>
    <x v="19"/>
    <x v="2"/>
    <x v="1"/>
    <x v="4"/>
    <x v="2"/>
    <d v="2020-01-16T00:00:00"/>
    <d v="2020-12-01T00:00:00"/>
    <s v="New"/>
    <n v="0.2"/>
    <n v="4"/>
    <n v="3"/>
    <n v="5"/>
    <x v="0"/>
    <x v="0"/>
    <x v="1"/>
    <x v="0"/>
    <x v="0"/>
    <x v="0"/>
    <x v="0"/>
    <x v="0"/>
    <x v="1"/>
    <x v="0"/>
    <x v="0"/>
    <x v="0"/>
  </r>
  <r>
    <x v="20"/>
    <x v="5"/>
    <x v="0"/>
    <x v="1"/>
    <x v="0"/>
    <d v="2020-04-01T00:00:00"/>
    <d v="2020-11-20T00:00:00"/>
    <s v="Backlog"/>
    <n v="0.6"/>
    <n v="3"/>
    <n v="4"/>
    <n v="2"/>
    <x v="0"/>
    <x v="0"/>
    <x v="1"/>
    <x v="0"/>
    <x v="0"/>
    <x v="1"/>
    <x v="0"/>
    <x v="0"/>
    <x v="0"/>
    <x v="0"/>
    <x v="0"/>
    <x v="0"/>
  </r>
  <r>
    <x v="21"/>
    <x v="6"/>
    <x v="5"/>
    <x v="6"/>
    <x v="3"/>
    <d v="1899-12-30T00:00:00"/>
    <d v="1899-12-30T00:00:00"/>
    <n v="0"/>
    <n v="0"/>
    <e v="#N/A"/>
    <e v="#N/A"/>
    <e v="#N/A"/>
    <x v="2"/>
    <x v="2"/>
    <x v="2"/>
    <x v="2"/>
    <x v="2"/>
    <x v="2"/>
    <x v="2"/>
    <x v="2"/>
    <x v="2"/>
    <x v="1"/>
    <x v="0"/>
    <x v="1"/>
  </r>
  <r>
    <x v="21"/>
    <x v="6"/>
    <x v="5"/>
    <x v="6"/>
    <x v="3"/>
    <d v="1899-12-30T00:00:00"/>
    <d v="1899-12-30T00:00:00"/>
    <n v="0"/>
    <n v="0"/>
    <e v="#N/A"/>
    <e v="#N/A"/>
    <e v="#N/A"/>
    <x v="2"/>
    <x v="2"/>
    <x v="2"/>
    <x v="2"/>
    <x v="2"/>
    <x v="2"/>
    <x v="2"/>
    <x v="2"/>
    <x v="2"/>
    <x v="1"/>
    <x v="0"/>
    <x v="1"/>
  </r>
  <r>
    <x v="21"/>
    <x v="6"/>
    <x v="5"/>
    <x v="6"/>
    <x v="3"/>
    <d v="1899-12-30T00:00:00"/>
    <d v="1899-12-30T00:00:00"/>
    <n v="0"/>
    <n v="0"/>
    <e v="#N/A"/>
    <e v="#N/A"/>
    <e v="#N/A"/>
    <x v="2"/>
    <x v="2"/>
    <x v="2"/>
    <x v="2"/>
    <x v="2"/>
    <x v="2"/>
    <x v="2"/>
    <x v="2"/>
    <x v="2"/>
    <x v="1"/>
    <x v="0"/>
    <x v="1"/>
  </r>
  <r>
    <x v="21"/>
    <x v="6"/>
    <x v="5"/>
    <x v="6"/>
    <x v="3"/>
    <d v="1899-12-30T00:00:00"/>
    <d v="1899-12-30T00:00:00"/>
    <n v="0"/>
    <n v="0"/>
    <e v="#N/A"/>
    <e v="#N/A"/>
    <e v="#N/A"/>
    <x v="2"/>
    <x v="2"/>
    <x v="2"/>
    <x v="2"/>
    <x v="2"/>
    <x v="2"/>
    <x v="2"/>
    <x v="2"/>
    <x v="2"/>
    <x v="1"/>
    <x v="0"/>
    <x v="1"/>
  </r>
  <r>
    <x v="21"/>
    <x v="6"/>
    <x v="5"/>
    <x v="6"/>
    <x v="3"/>
    <d v="1899-12-30T00:00:00"/>
    <d v="1899-12-30T00:00:00"/>
    <n v="0"/>
    <n v="0"/>
    <e v="#N/A"/>
    <e v="#N/A"/>
    <e v="#N/A"/>
    <x v="2"/>
    <x v="2"/>
    <x v="2"/>
    <x v="2"/>
    <x v="2"/>
    <x v="2"/>
    <x v="2"/>
    <x v="2"/>
    <x v="2"/>
    <x v="1"/>
    <x v="0"/>
    <x v="1"/>
  </r>
  <r>
    <x v="21"/>
    <x v="6"/>
    <x v="5"/>
    <x v="6"/>
    <x v="3"/>
    <d v="1899-12-30T00:00:00"/>
    <d v="1899-12-30T00:00:00"/>
    <n v="0"/>
    <n v="0"/>
    <e v="#N/A"/>
    <e v="#N/A"/>
    <e v="#N/A"/>
    <x v="2"/>
    <x v="2"/>
    <x v="2"/>
    <x v="2"/>
    <x v="2"/>
    <x v="2"/>
    <x v="2"/>
    <x v="2"/>
    <x v="2"/>
    <x v="1"/>
    <x v="0"/>
    <x v="1"/>
  </r>
  <r>
    <x v="21"/>
    <x v="6"/>
    <x v="5"/>
    <x v="6"/>
    <x v="3"/>
    <d v="1899-12-30T00:00:00"/>
    <d v="1899-12-30T00:00:00"/>
    <n v="0"/>
    <n v="0"/>
    <e v="#N/A"/>
    <e v="#N/A"/>
    <e v="#N/A"/>
    <x v="2"/>
    <x v="2"/>
    <x v="2"/>
    <x v="2"/>
    <x v="2"/>
    <x v="2"/>
    <x v="2"/>
    <x v="2"/>
    <x v="2"/>
    <x v="1"/>
    <x v="0"/>
    <x v="1"/>
  </r>
  <r>
    <x v="21"/>
    <x v="6"/>
    <x v="5"/>
    <x v="6"/>
    <x v="3"/>
    <d v="1899-12-30T00:00:00"/>
    <d v="1899-12-30T00:00:00"/>
    <n v="0"/>
    <n v="0"/>
    <e v="#N/A"/>
    <e v="#N/A"/>
    <e v="#N/A"/>
    <x v="2"/>
    <x v="2"/>
    <x v="2"/>
    <x v="2"/>
    <x v="2"/>
    <x v="2"/>
    <x v="2"/>
    <x v="2"/>
    <x v="2"/>
    <x v="1"/>
    <x v="0"/>
    <x v="1"/>
  </r>
  <r>
    <x v="21"/>
    <x v="6"/>
    <x v="5"/>
    <x v="6"/>
    <x v="3"/>
    <d v="1899-12-30T00:00:00"/>
    <d v="1899-12-30T00:00:00"/>
    <n v="0"/>
    <n v="0"/>
    <e v="#N/A"/>
    <e v="#N/A"/>
    <e v="#N/A"/>
    <x v="2"/>
    <x v="2"/>
    <x v="2"/>
    <x v="2"/>
    <x v="2"/>
    <x v="2"/>
    <x v="2"/>
    <x v="2"/>
    <x v="2"/>
    <x v="1"/>
    <x v="0"/>
    <x v="1"/>
  </r>
  <r>
    <x v="21"/>
    <x v="6"/>
    <x v="5"/>
    <x v="6"/>
    <x v="3"/>
    <d v="1899-12-30T00:00:00"/>
    <d v="1899-12-30T00:00:00"/>
    <n v="0"/>
    <n v="0"/>
    <e v="#N/A"/>
    <e v="#N/A"/>
    <e v="#N/A"/>
    <x v="2"/>
    <x v="2"/>
    <x v="2"/>
    <x v="2"/>
    <x v="2"/>
    <x v="2"/>
    <x v="2"/>
    <x v="2"/>
    <x v="2"/>
    <x v="1"/>
    <x v="0"/>
    <x v="1"/>
  </r>
  <r>
    <x v="21"/>
    <x v="6"/>
    <x v="5"/>
    <x v="6"/>
    <x v="3"/>
    <d v="1899-12-30T00:00:00"/>
    <d v="1899-12-30T00:00:00"/>
    <n v="0"/>
    <n v="0"/>
    <e v="#N/A"/>
    <e v="#N/A"/>
    <e v="#N/A"/>
    <x v="2"/>
    <x v="2"/>
    <x v="2"/>
    <x v="2"/>
    <x v="2"/>
    <x v="2"/>
    <x v="2"/>
    <x v="2"/>
    <x v="2"/>
    <x v="1"/>
    <x v="0"/>
    <x v="1"/>
  </r>
  <r>
    <x v="21"/>
    <x v="6"/>
    <x v="5"/>
    <x v="6"/>
    <x v="3"/>
    <d v="1899-12-30T00:00:00"/>
    <d v="1899-12-30T00:00:00"/>
    <n v="0"/>
    <n v="0"/>
    <e v="#N/A"/>
    <e v="#N/A"/>
    <e v="#N/A"/>
    <x v="2"/>
    <x v="2"/>
    <x v="2"/>
    <x v="2"/>
    <x v="2"/>
    <x v="2"/>
    <x v="2"/>
    <x v="2"/>
    <x v="2"/>
    <x v="1"/>
    <x v="0"/>
    <x v="1"/>
  </r>
  <r>
    <x v="21"/>
    <x v="6"/>
    <x v="5"/>
    <x v="6"/>
    <x v="3"/>
    <d v="1899-12-30T00:00:00"/>
    <d v="1899-12-30T00:00:00"/>
    <n v="0"/>
    <n v="0"/>
    <e v="#N/A"/>
    <e v="#N/A"/>
    <e v="#N/A"/>
    <x v="2"/>
    <x v="2"/>
    <x v="2"/>
    <x v="2"/>
    <x v="2"/>
    <x v="2"/>
    <x v="2"/>
    <x v="2"/>
    <x v="2"/>
    <x v="1"/>
    <x v="0"/>
    <x v="1"/>
  </r>
  <r>
    <x v="21"/>
    <x v="6"/>
    <x v="5"/>
    <x v="6"/>
    <x v="3"/>
    <d v="1899-12-30T00:00:00"/>
    <d v="1899-12-30T00:00:00"/>
    <n v="0"/>
    <n v="0"/>
    <e v="#N/A"/>
    <e v="#N/A"/>
    <e v="#N/A"/>
    <x v="2"/>
    <x v="2"/>
    <x v="2"/>
    <x v="2"/>
    <x v="2"/>
    <x v="2"/>
    <x v="2"/>
    <x v="2"/>
    <x v="2"/>
    <x v="1"/>
    <x v="0"/>
    <x v="1"/>
  </r>
  <r>
    <x v="21"/>
    <x v="6"/>
    <x v="5"/>
    <x v="6"/>
    <x v="3"/>
    <d v="1899-12-30T00:00:00"/>
    <d v="1899-12-30T00:00:00"/>
    <n v="0"/>
    <n v="0"/>
    <e v="#N/A"/>
    <e v="#N/A"/>
    <e v="#N/A"/>
    <x v="2"/>
    <x v="2"/>
    <x v="2"/>
    <x v="2"/>
    <x v="2"/>
    <x v="2"/>
    <x v="2"/>
    <x v="2"/>
    <x v="2"/>
    <x v="1"/>
    <x v="0"/>
    <x v="1"/>
  </r>
  <r>
    <x v="21"/>
    <x v="6"/>
    <x v="5"/>
    <x v="6"/>
    <x v="3"/>
    <d v="1899-12-30T00:00:00"/>
    <d v="1899-12-30T00:00:00"/>
    <n v="0"/>
    <n v="0"/>
    <e v="#N/A"/>
    <e v="#N/A"/>
    <e v="#N/A"/>
    <x v="2"/>
    <x v="2"/>
    <x v="2"/>
    <x v="2"/>
    <x v="2"/>
    <x v="2"/>
    <x v="2"/>
    <x v="2"/>
    <x v="2"/>
    <x v="1"/>
    <x v="0"/>
    <x v="1"/>
  </r>
  <r>
    <x v="21"/>
    <x v="6"/>
    <x v="5"/>
    <x v="6"/>
    <x v="3"/>
    <d v="1899-12-30T00:00:00"/>
    <d v="1899-12-30T00:00:00"/>
    <n v="0"/>
    <n v="0"/>
    <e v="#N/A"/>
    <e v="#N/A"/>
    <e v="#N/A"/>
    <x v="2"/>
    <x v="2"/>
    <x v="2"/>
    <x v="2"/>
    <x v="2"/>
    <x v="2"/>
    <x v="2"/>
    <x v="2"/>
    <x v="2"/>
    <x v="1"/>
    <x v="0"/>
    <x v="1"/>
  </r>
  <r>
    <x v="21"/>
    <x v="6"/>
    <x v="5"/>
    <x v="6"/>
    <x v="3"/>
    <d v="1899-12-30T00:00:00"/>
    <d v="1899-12-30T00:00:00"/>
    <n v="0"/>
    <n v="0"/>
    <e v="#N/A"/>
    <e v="#N/A"/>
    <e v="#N/A"/>
    <x v="2"/>
    <x v="2"/>
    <x v="2"/>
    <x v="2"/>
    <x v="2"/>
    <x v="2"/>
    <x v="2"/>
    <x v="2"/>
    <x v="2"/>
    <x v="1"/>
    <x v="0"/>
    <x v="1"/>
  </r>
  <r>
    <x v="21"/>
    <x v="6"/>
    <x v="5"/>
    <x v="6"/>
    <x v="3"/>
    <d v="1899-12-30T00:00:00"/>
    <d v="1899-12-30T00:00:00"/>
    <n v="0"/>
    <n v="0"/>
    <e v="#N/A"/>
    <e v="#N/A"/>
    <e v="#N/A"/>
    <x v="2"/>
    <x v="2"/>
    <x v="2"/>
    <x v="2"/>
    <x v="2"/>
    <x v="2"/>
    <x v="2"/>
    <x v="2"/>
    <x v="2"/>
    <x v="1"/>
    <x v="0"/>
    <x v="1"/>
  </r>
  <r>
    <x v="21"/>
    <x v="6"/>
    <x v="5"/>
    <x v="6"/>
    <x v="3"/>
    <d v="1899-12-30T00:00:00"/>
    <d v="1899-12-30T00:00:00"/>
    <n v="0"/>
    <n v="0"/>
    <e v="#N/A"/>
    <e v="#N/A"/>
    <e v="#N/A"/>
    <x v="2"/>
    <x v="2"/>
    <x v="2"/>
    <x v="2"/>
    <x v="2"/>
    <x v="2"/>
    <x v="2"/>
    <x v="2"/>
    <x v="2"/>
    <x v="1"/>
    <x v="0"/>
    <x v="1"/>
  </r>
  <r>
    <x v="21"/>
    <x v="6"/>
    <x v="5"/>
    <x v="6"/>
    <x v="3"/>
    <d v="1899-12-30T00:00:00"/>
    <d v="1899-12-30T00:00:00"/>
    <n v="0"/>
    <n v="0"/>
    <e v="#N/A"/>
    <e v="#N/A"/>
    <e v="#N/A"/>
    <x v="2"/>
    <x v="2"/>
    <x v="2"/>
    <x v="2"/>
    <x v="2"/>
    <x v="2"/>
    <x v="2"/>
    <x v="2"/>
    <x v="2"/>
    <x v="1"/>
    <x v="0"/>
    <x v="1"/>
  </r>
  <r>
    <x v="21"/>
    <x v="6"/>
    <x v="5"/>
    <x v="6"/>
    <x v="3"/>
    <d v="1899-12-30T00:00:00"/>
    <d v="1899-12-30T00:00:00"/>
    <n v="0"/>
    <n v="0"/>
    <e v="#N/A"/>
    <e v="#N/A"/>
    <e v="#N/A"/>
    <x v="2"/>
    <x v="2"/>
    <x v="2"/>
    <x v="2"/>
    <x v="2"/>
    <x v="2"/>
    <x v="2"/>
    <x v="2"/>
    <x v="2"/>
    <x v="1"/>
    <x v="0"/>
    <x v="1"/>
  </r>
  <r>
    <x v="21"/>
    <x v="6"/>
    <x v="5"/>
    <x v="6"/>
    <x v="3"/>
    <d v="1899-12-30T00:00:00"/>
    <d v="1899-12-30T00:00:00"/>
    <n v="0"/>
    <n v="0"/>
    <e v="#N/A"/>
    <e v="#N/A"/>
    <e v="#N/A"/>
    <x v="2"/>
    <x v="2"/>
    <x v="2"/>
    <x v="2"/>
    <x v="2"/>
    <x v="2"/>
    <x v="2"/>
    <x v="2"/>
    <x v="2"/>
    <x v="1"/>
    <x v="0"/>
    <x v="1"/>
  </r>
  <r>
    <x v="21"/>
    <x v="6"/>
    <x v="5"/>
    <x v="6"/>
    <x v="3"/>
    <d v="1899-12-30T00:00:00"/>
    <d v="1899-12-30T00:00:00"/>
    <n v="0"/>
    <n v="0"/>
    <e v="#N/A"/>
    <e v="#N/A"/>
    <e v="#N/A"/>
    <x v="2"/>
    <x v="2"/>
    <x v="2"/>
    <x v="2"/>
    <x v="2"/>
    <x v="2"/>
    <x v="2"/>
    <x v="2"/>
    <x v="2"/>
    <x v="1"/>
    <x v="0"/>
    <x v="1"/>
  </r>
  <r>
    <x v="21"/>
    <x v="6"/>
    <x v="5"/>
    <x v="6"/>
    <x v="3"/>
    <d v="1899-12-30T00:00:00"/>
    <d v="1899-12-30T00:00:00"/>
    <n v="0"/>
    <n v="0"/>
    <e v="#N/A"/>
    <e v="#N/A"/>
    <e v="#N/A"/>
    <x v="2"/>
    <x v="2"/>
    <x v="2"/>
    <x v="2"/>
    <x v="2"/>
    <x v="2"/>
    <x v="2"/>
    <x v="2"/>
    <x v="2"/>
    <x v="1"/>
    <x v="0"/>
    <x v="1"/>
  </r>
  <r>
    <x v="21"/>
    <x v="6"/>
    <x v="5"/>
    <x v="6"/>
    <x v="3"/>
    <d v="1899-12-30T00:00:00"/>
    <d v="1899-12-30T00:00:00"/>
    <n v="0"/>
    <n v="0"/>
    <e v="#N/A"/>
    <e v="#N/A"/>
    <e v="#N/A"/>
    <x v="2"/>
    <x v="2"/>
    <x v="2"/>
    <x v="2"/>
    <x v="2"/>
    <x v="2"/>
    <x v="2"/>
    <x v="2"/>
    <x v="2"/>
    <x v="1"/>
    <x v="0"/>
    <x v="1"/>
  </r>
  <r>
    <x v="21"/>
    <x v="6"/>
    <x v="5"/>
    <x v="6"/>
    <x v="3"/>
    <d v="1899-12-30T00:00:00"/>
    <d v="1899-12-30T00:00:00"/>
    <n v="0"/>
    <n v="0"/>
    <e v="#N/A"/>
    <e v="#N/A"/>
    <e v="#N/A"/>
    <x v="2"/>
    <x v="2"/>
    <x v="2"/>
    <x v="2"/>
    <x v="2"/>
    <x v="2"/>
    <x v="2"/>
    <x v="2"/>
    <x v="2"/>
    <x v="1"/>
    <x v="0"/>
    <x v="1"/>
  </r>
  <r>
    <x v="21"/>
    <x v="6"/>
    <x v="5"/>
    <x v="6"/>
    <x v="3"/>
    <d v="1899-12-30T00:00:00"/>
    <d v="1899-12-30T00:00:00"/>
    <n v="0"/>
    <n v="0"/>
    <e v="#N/A"/>
    <e v="#N/A"/>
    <e v="#N/A"/>
    <x v="2"/>
    <x v="2"/>
    <x v="2"/>
    <x v="2"/>
    <x v="2"/>
    <x v="2"/>
    <x v="2"/>
    <x v="2"/>
    <x v="2"/>
    <x v="1"/>
    <x v="0"/>
    <x v="1"/>
  </r>
  <r>
    <x v="21"/>
    <x v="6"/>
    <x v="5"/>
    <x v="6"/>
    <x v="3"/>
    <d v="1899-12-30T00:00:00"/>
    <d v="1899-12-30T00:00:00"/>
    <n v="0"/>
    <n v="0"/>
    <e v="#N/A"/>
    <e v="#N/A"/>
    <e v="#N/A"/>
    <x v="2"/>
    <x v="2"/>
    <x v="2"/>
    <x v="2"/>
    <x v="2"/>
    <x v="2"/>
    <x v="2"/>
    <x v="2"/>
    <x v="2"/>
    <x v="1"/>
    <x v="0"/>
    <x v="1"/>
  </r>
  <r>
    <x v="21"/>
    <x v="6"/>
    <x v="5"/>
    <x v="6"/>
    <x v="3"/>
    <d v="1899-12-30T00:00:00"/>
    <d v="1899-12-30T00:00:00"/>
    <n v="0"/>
    <n v="0"/>
    <e v="#N/A"/>
    <e v="#N/A"/>
    <e v="#N/A"/>
    <x v="2"/>
    <x v="2"/>
    <x v="2"/>
    <x v="2"/>
    <x v="2"/>
    <x v="2"/>
    <x v="2"/>
    <x v="2"/>
    <x v="2"/>
    <x v="1"/>
    <x v="0"/>
    <x v="1"/>
  </r>
  <r>
    <x v="21"/>
    <x v="6"/>
    <x v="5"/>
    <x v="6"/>
    <x v="3"/>
    <d v="1899-12-30T00:00:00"/>
    <d v="1899-12-30T00:00:00"/>
    <n v="0"/>
    <n v="0"/>
    <e v="#N/A"/>
    <e v="#N/A"/>
    <e v="#N/A"/>
    <x v="2"/>
    <x v="2"/>
    <x v="2"/>
    <x v="2"/>
    <x v="2"/>
    <x v="2"/>
    <x v="2"/>
    <x v="2"/>
    <x v="2"/>
    <x v="1"/>
    <x v="0"/>
    <x v="1"/>
  </r>
  <r>
    <x v="21"/>
    <x v="6"/>
    <x v="5"/>
    <x v="6"/>
    <x v="3"/>
    <d v="1899-12-30T00:00:00"/>
    <d v="1899-12-30T00:00:00"/>
    <n v="0"/>
    <n v="0"/>
    <e v="#N/A"/>
    <e v="#N/A"/>
    <e v="#N/A"/>
    <x v="2"/>
    <x v="2"/>
    <x v="2"/>
    <x v="2"/>
    <x v="2"/>
    <x v="2"/>
    <x v="2"/>
    <x v="2"/>
    <x v="2"/>
    <x v="1"/>
    <x v="0"/>
    <x v="1"/>
  </r>
  <r>
    <x v="21"/>
    <x v="6"/>
    <x v="5"/>
    <x v="6"/>
    <x v="3"/>
    <d v="1899-12-30T00:00:00"/>
    <d v="1899-12-30T00:00:00"/>
    <n v="0"/>
    <n v="0"/>
    <e v="#N/A"/>
    <e v="#N/A"/>
    <e v="#N/A"/>
    <x v="2"/>
    <x v="2"/>
    <x v="2"/>
    <x v="2"/>
    <x v="2"/>
    <x v="2"/>
    <x v="2"/>
    <x v="2"/>
    <x v="2"/>
    <x v="1"/>
    <x v="0"/>
    <x v="1"/>
  </r>
  <r>
    <x v="21"/>
    <x v="6"/>
    <x v="5"/>
    <x v="6"/>
    <x v="3"/>
    <d v="1899-12-30T00:00:00"/>
    <d v="1899-12-30T00:00:00"/>
    <n v="0"/>
    <n v="0"/>
    <e v="#N/A"/>
    <e v="#N/A"/>
    <e v="#N/A"/>
    <x v="2"/>
    <x v="2"/>
    <x v="2"/>
    <x v="2"/>
    <x v="2"/>
    <x v="2"/>
    <x v="2"/>
    <x v="2"/>
    <x v="2"/>
    <x v="1"/>
    <x v="0"/>
    <x v="1"/>
  </r>
  <r>
    <x v="21"/>
    <x v="6"/>
    <x v="5"/>
    <x v="6"/>
    <x v="3"/>
    <d v="1899-12-30T00:00:00"/>
    <d v="1899-12-30T00:00:00"/>
    <n v="0"/>
    <n v="0"/>
    <e v="#N/A"/>
    <e v="#N/A"/>
    <e v="#N/A"/>
    <x v="2"/>
    <x v="2"/>
    <x v="2"/>
    <x v="2"/>
    <x v="2"/>
    <x v="2"/>
    <x v="2"/>
    <x v="2"/>
    <x v="2"/>
    <x v="1"/>
    <x v="0"/>
    <x v="1"/>
  </r>
  <r>
    <x v="21"/>
    <x v="6"/>
    <x v="5"/>
    <x v="6"/>
    <x v="3"/>
    <d v="1899-12-30T00:00:00"/>
    <d v="1899-12-30T00:00:00"/>
    <n v="0"/>
    <n v="0"/>
    <e v="#N/A"/>
    <e v="#N/A"/>
    <e v="#N/A"/>
    <x v="2"/>
    <x v="2"/>
    <x v="2"/>
    <x v="2"/>
    <x v="2"/>
    <x v="2"/>
    <x v="2"/>
    <x v="2"/>
    <x v="2"/>
    <x v="1"/>
    <x v="0"/>
    <x v="1"/>
  </r>
  <r>
    <x v="21"/>
    <x v="6"/>
    <x v="5"/>
    <x v="6"/>
    <x v="3"/>
    <d v="1899-12-30T00:00:00"/>
    <d v="1899-12-30T00:00:00"/>
    <n v="0"/>
    <n v="0"/>
    <e v="#N/A"/>
    <e v="#N/A"/>
    <e v="#N/A"/>
    <x v="2"/>
    <x v="2"/>
    <x v="2"/>
    <x v="2"/>
    <x v="2"/>
    <x v="2"/>
    <x v="2"/>
    <x v="2"/>
    <x v="2"/>
    <x v="1"/>
    <x v="0"/>
    <x v="1"/>
  </r>
  <r>
    <x v="21"/>
    <x v="6"/>
    <x v="5"/>
    <x v="6"/>
    <x v="3"/>
    <d v="1899-12-30T00:00:00"/>
    <d v="1899-12-30T00:00:00"/>
    <n v="0"/>
    <n v="0"/>
    <e v="#N/A"/>
    <e v="#N/A"/>
    <e v="#N/A"/>
    <x v="2"/>
    <x v="2"/>
    <x v="2"/>
    <x v="2"/>
    <x v="2"/>
    <x v="2"/>
    <x v="2"/>
    <x v="2"/>
    <x v="2"/>
    <x v="1"/>
    <x v="0"/>
    <x v="1"/>
  </r>
  <r>
    <x v="21"/>
    <x v="6"/>
    <x v="5"/>
    <x v="6"/>
    <x v="3"/>
    <d v="1899-12-30T00:00:00"/>
    <d v="1899-12-30T00:00:00"/>
    <n v="0"/>
    <n v="0"/>
    <e v="#N/A"/>
    <e v="#N/A"/>
    <e v="#N/A"/>
    <x v="2"/>
    <x v="2"/>
    <x v="2"/>
    <x v="2"/>
    <x v="2"/>
    <x v="2"/>
    <x v="2"/>
    <x v="2"/>
    <x v="2"/>
    <x v="1"/>
    <x v="0"/>
    <x v="1"/>
  </r>
  <r>
    <x v="21"/>
    <x v="6"/>
    <x v="5"/>
    <x v="6"/>
    <x v="3"/>
    <d v="1899-12-30T00:00:00"/>
    <d v="1899-12-30T00:00:00"/>
    <n v="0"/>
    <n v="0"/>
    <e v="#N/A"/>
    <e v="#N/A"/>
    <e v="#N/A"/>
    <x v="2"/>
    <x v="2"/>
    <x v="2"/>
    <x v="2"/>
    <x v="2"/>
    <x v="2"/>
    <x v="2"/>
    <x v="2"/>
    <x v="2"/>
    <x v="1"/>
    <x v="0"/>
    <x v="1"/>
  </r>
  <r>
    <x v="21"/>
    <x v="6"/>
    <x v="5"/>
    <x v="6"/>
    <x v="3"/>
    <d v="1899-12-30T00:00:00"/>
    <d v="1899-12-30T00:00:00"/>
    <n v="0"/>
    <n v="0"/>
    <e v="#N/A"/>
    <e v="#N/A"/>
    <e v="#N/A"/>
    <x v="2"/>
    <x v="2"/>
    <x v="2"/>
    <x v="2"/>
    <x v="2"/>
    <x v="2"/>
    <x v="2"/>
    <x v="2"/>
    <x v="2"/>
    <x v="1"/>
    <x v="0"/>
    <x v="1"/>
  </r>
  <r>
    <x v="21"/>
    <x v="6"/>
    <x v="5"/>
    <x v="6"/>
    <x v="3"/>
    <d v="1899-12-30T00:00:00"/>
    <d v="1899-12-30T00:00:00"/>
    <n v="0"/>
    <n v="0"/>
    <e v="#N/A"/>
    <e v="#N/A"/>
    <e v="#N/A"/>
    <x v="2"/>
    <x v="2"/>
    <x v="2"/>
    <x v="2"/>
    <x v="2"/>
    <x v="2"/>
    <x v="2"/>
    <x v="2"/>
    <x v="2"/>
    <x v="1"/>
    <x v="0"/>
    <x v="1"/>
  </r>
  <r>
    <x v="21"/>
    <x v="6"/>
    <x v="5"/>
    <x v="6"/>
    <x v="3"/>
    <d v="1899-12-30T00:00:00"/>
    <d v="1899-12-30T00:00:00"/>
    <n v="0"/>
    <n v="0"/>
    <e v="#N/A"/>
    <e v="#N/A"/>
    <e v="#N/A"/>
    <x v="2"/>
    <x v="2"/>
    <x v="2"/>
    <x v="2"/>
    <x v="2"/>
    <x v="2"/>
    <x v="2"/>
    <x v="2"/>
    <x v="2"/>
    <x v="1"/>
    <x v="0"/>
    <x v="1"/>
  </r>
  <r>
    <x v="21"/>
    <x v="6"/>
    <x v="5"/>
    <x v="6"/>
    <x v="3"/>
    <d v="1899-12-30T00:00:00"/>
    <d v="1899-12-30T00:00:00"/>
    <n v="0"/>
    <n v="0"/>
    <e v="#N/A"/>
    <e v="#N/A"/>
    <e v="#N/A"/>
    <x v="2"/>
    <x v="2"/>
    <x v="2"/>
    <x v="2"/>
    <x v="2"/>
    <x v="2"/>
    <x v="2"/>
    <x v="2"/>
    <x v="2"/>
    <x v="1"/>
    <x v="0"/>
    <x v="1"/>
  </r>
  <r>
    <x v="21"/>
    <x v="6"/>
    <x v="5"/>
    <x v="6"/>
    <x v="3"/>
    <d v="1899-12-30T00:00:00"/>
    <d v="1899-12-30T00:00:00"/>
    <n v="0"/>
    <n v="0"/>
    <e v="#N/A"/>
    <e v="#N/A"/>
    <e v="#N/A"/>
    <x v="2"/>
    <x v="2"/>
    <x v="2"/>
    <x v="2"/>
    <x v="2"/>
    <x v="2"/>
    <x v="2"/>
    <x v="2"/>
    <x v="2"/>
    <x v="1"/>
    <x v="0"/>
    <x v="1"/>
  </r>
  <r>
    <x v="21"/>
    <x v="6"/>
    <x v="5"/>
    <x v="6"/>
    <x v="3"/>
    <d v="1899-12-30T00:00:00"/>
    <d v="1899-12-30T00:00:00"/>
    <n v="0"/>
    <n v="0"/>
    <e v="#N/A"/>
    <e v="#N/A"/>
    <e v="#N/A"/>
    <x v="2"/>
    <x v="2"/>
    <x v="2"/>
    <x v="2"/>
    <x v="2"/>
    <x v="2"/>
    <x v="2"/>
    <x v="2"/>
    <x v="2"/>
    <x v="1"/>
    <x v="0"/>
    <x v="1"/>
  </r>
  <r>
    <x v="21"/>
    <x v="6"/>
    <x v="5"/>
    <x v="6"/>
    <x v="3"/>
    <d v="1899-12-30T00:00:00"/>
    <d v="1899-12-30T00:00:00"/>
    <n v="0"/>
    <n v="0"/>
    <e v="#N/A"/>
    <e v="#N/A"/>
    <e v="#N/A"/>
    <x v="2"/>
    <x v="2"/>
    <x v="2"/>
    <x v="2"/>
    <x v="2"/>
    <x v="2"/>
    <x v="2"/>
    <x v="2"/>
    <x v="2"/>
    <x v="1"/>
    <x v="0"/>
    <x v="1"/>
  </r>
  <r>
    <x v="21"/>
    <x v="6"/>
    <x v="5"/>
    <x v="6"/>
    <x v="3"/>
    <d v="1899-12-30T00:00:00"/>
    <d v="1899-12-30T00:00:00"/>
    <n v="0"/>
    <n v="0"/>
    <e v="#N/A"/>
    <e v="#N/A"/>
    <e v="#N/A"/>
    <x v="2"/>
    <x v="2"/>
    <x v="2"/>
    <x v="2"/>
    <x v="2"/>
    <x v="2"/>
    <x v="2"/>
    <x v="2"/>
    <x v="2"/>
    <x v="1"/>
    <x v="0"/>
    <x v="1"/>
  </r>
  <r>
    <x v="21"/>
    <x v="6"/>
    <x v="5"/>
    <x v="6"/>
    <x v="3"/>
    <d v="1899-12-30T00:00:00"/>
    <d v="1899-12-30T00:00:00"/>
    <n v="0"/>
    <n v="0"/>
    <e v="#N/A"/>
    <e v="#N/A"/>
    <e v="#N/A"/>
    <x v="2"/>
    <x v="2"/>
    <x v="2"/>
    <x v="2"/>
    <x v="2"/>
    <x v="2"/>
    <x v="2"/>
    <x v="2"/>
    <x v="2"/>
    <x v="1"/>
    <x v="0"/>
    <x v="1"/>
  </r>
  <r>
    <x v="21"/>
    <x v="6"/>
    <x v="5"/>
    <x v="6"/>
    <x v="3"/>
    <d v="1899-12-30T00:00:00"/>
    <d v="1899-12-30T00:00:00"/>
    <n v="0"/>
    <n v="0"/>
    <e v="#N/A"/>
    <e v="#N/A"/>
    <e v="#N/A"/>
    <x v="2"/>
    <x v="2"/>
    <x v="2"/>
    <x v="2"/>
    <x v="2"/>
    <x v="2"/>
    <x v="2"/>
    <x v="2"/>
    <x v="2"/>
    <x v="1"/>
    <x v="0"/>
    <x v="1"/>
  </r>
  <r>
    <x v="21"/>
    <x v="6"/>
    <x v="5"/>
    <x v="6"/>
    <x v="3"/>
    <d v="1899-12-30T00:00:00"/>
    <d v="1899-12-30T00:00:00"/>
    <n v="0"/>
    <n v="0"/>
    <e v="#N/A"/>
    <e v="#N/A"/>
    <e v="#N/A"/>
    <x v="2"/>
    <x v="2"/>
    <x v="2"/>
    <x v="2"/>
    <x v="2"/>
    <x v="2"/>
    <x v="2"/>
    <x v="2"/>
    <x v="2"/>
    <x v="1"/>
    <x v="0"/>
    <x v="1"/>
  </r>
  <r>
    <x v="21"/>
    <x v="6"/>
    <x v="5"/>
    <x v="6"/>
    <x v="3"/>
    <d v="1899-12-30T00:00:00"/>
    <d v="1899-12-30T00:00:00"/>
    <n v="0"/>
    <n v="0"/>
    <e v="#N/A"/>
    <e v="#N/A"/>
    <e v="#N/A"/>
    <x v="2"/>
    <x v="2"/>
    <x v="2"/>
    <x v="2"/>
    <x v="2"/>
    <x v="2"/>
    <x v="2"/>
    <x v="2"/>
    <x v="2"/>
    <x v="1"/>
    <x v="0"/>
    <x v="1"/>
  </r>
  <r>
    <x v="21"/>
    <x v="6"/>
    <x v="5"/>
    <x v="6"/>
    <x v="3"/>
    <d v="1899-12-30T00:00:00"/>
    <d v="1899-12-30T00:00:00"/>
    <n v="0"/>
    <n v="0"/>
    <e v="#N/A"/>
    <e v="#N/A"/>
    <e v="#N/A"/>
    <x v="2"/>
    <x v="2"/>
    <x v="2"/>
    <x v="2"/>
    <x v="2"/>
    <x v="2"/>
    <x v="2"/>
    <x v="2"/>
    <x v="2"/>
    <x v="1"/>
    <x v="0"/>
    <x v="1"/>
  </r>
  <r>
    <x v="21"/>
    <x v="6"/>
    <x v="5"/>
    <x v="6"/>
    <x v="3"/>
    <d v="1899-12-30T00:00:00"/>
    <d v="1899-12-30T00:00:00"/>
    <n v="0"/>
    <n v="0"/>
    <e v="#N/A"/>
    <e v="#N/A"/>
    <e v="#N/A"/>
    <x v="2"/>
    <x v="2"/>
    <x v="2"/>
    <x v="2"/>
    <x v="2"/>
    <x v="2"/>
    <x v="2"/>
    <x v="2"/>
    <x v="2"/>
    <x v="1"/>
    <x v="0"/>
    <x v="1"/>
  </r>
  <r>
    <x v="21"/>
    <x v="6"/>
    <x v="5"/>
    <x v="6"/>
    <x v="3"/>
    <d v="1899-12-30T00:00:00"/>
    <d v="1899-12-30T00:00:00"/>
    <n v="0"/>
    <n v="0"/>
    <e v="#N/A"/>
    <e v="#N/A"/>
    <e v="#N/A"/>
    <x v="2"/>
    <x v="2"/>
    <x v="2"/>
    <x v="2"/>
    <x v="2"/>
    <x v="2"/>
    <x v="2"/>
    <x v="2"/>
    <x v="2"/>
    <x v="1"/>
    <x v="0"/>
    <x v="1"/>
  </r>
  <r>
    <x v="21"/>
    <x v="6"/>
    <x v="5"/>
    <x v="6"/>
    <x v="3"/>
    <d v="1899-12-30T00:00:00"/>
    <d v="1899-12-30T00:00:00"/>
    <n v="0"/>
    <n v="0"/>
    <e v="#N/A"/>
    <e v="#N/A"/>
    <e v="#N/A"/>
    <x v="2"/>
    <x v="2"/>
    <x v="2"/>
    <x v="2"/>
    <x v="2"/>
    <x v="2"/>
    <x v="2"/>
    <x v="2"/>
    <x v="2"/>
    <x v="1"/>
    <x v="0"/>
    <x v="1"/>
  </r>
  <r>
    <x v="21"/>
    <x v="6"/>
    <x v="5"/>
    <x v="6"/>
    <x v="3"/>
    <d v="1899-12-30T00:00:00"/>
    <d v="1899-12-30T00:00:00"/>
    <n v="0"/>
    <n v="0"/>
    <e v="#N/A"/>
    <e v="#N/A"/>
    <e v="#N/A"/>
    <x v="2"/>
    <x v="2"/>
    <x v="2"/>
    <x v="2"/>
    <x v="2"/>
    <x v="2"/>
    <x v="2"/>
    <x v="2"/>
    <x v="2"/>
    <x v="1"/>
    <x v="0"/>
    <x v="1"/>
  </r>
  <r>
    <x v="21"/>
    <x v="6"/>
    <x v="5"/>
    <x v="6"/>
    <x v="3"/>
    <d v="1899-12-30T00:00:00"/>
    <d v="1899-12-30T00:00:00"/>
    <n v="0"/>
    <n v="0"/>
    <e v="#N/A"/>
    <e v="#N/A"/>
    <e v="#N/A"/>
    <x v="2"/>
    <x v="2"/>
    <x v="2"/>
    <x v="2"/>
    <x v="2"/>
    <x v="2"/>
    <x v="2"/>
    <x v="2"/>
    <x v="2"/>
    <x v="1"/>
    <x v="0"/>
    <x v="1"/>
  </r>
  <r>
    <x v="21"/>
    <x v="6"/>
    <x v="5"/>
    <x v="6"/>
    <x v="3"/>
    <d v="1899-12-30T00:00:00"/>
    <d v="1899-12-30T00:00:00"/>
    <n v="0"/>
    <n v="0"/>
    <e v="#N/A"/>
    <e v="#N/A"/>
    <e v="#N/A"/>
    <x v="2"/>
    <x v="2"/>
    <x v="2"/>
    <x v="2"/>
    <x v="2"/>
    <x v="2"/>
    <x v="2"/>
    <x v="2"/>
    <x v="2"/>
    <x v="1"/>
    <x v="0"/>
    <x v="1"/>
  </r>
  <r>
    <x v="21"/>
    <x v="6"/>
    <x v="5"/>
    <x v="6"/>
    <x v="3"/>
    <d v="1899-12-30T00:00:00"/>
    <d v="1899-12-30T00:00:00"/>
    <n v="0"/>
    <n v="0"/>
    <e v="#N/A"/>
    <e v="#N/A"/>
    <e v="#N/A"/>
    <x v="2"/>
    <x v="2"/>
    <x v="2"/>
    <x v="2"/>
    <x v="2"/>
    <x v="2"/>
    <x v="2"/>
    <x v="2"/>
    <x v="2"/>
    <x v="1"/>
    <x v="0"/>
    <x v="1"/>
  </r>
  <r>
    <x v="21"/>
    <x v="6"/>
    <x v="5"/>
    <x v="6"/>
    <x v="3"/>
    <d v="1899-12-30T00:00:00"/>
    <d v="1899-12-30T00:00:00"/>
    <n v="0"/>
    <n v="0"/>
    <e v="#N/A"/>
    <e v="#N/A"/>
    <e v="#N/A"/>
    <x v="2"/>
    <x v="2"/>
    <x v="2"/>
    <x v="2"/>
    <x v="2"/>
    <x v="2"/>
    <x v="2"/>
    <x v="2"/>
    <x v="2"/>
    <x v="1"/>
    <x v="0"/>
    <x v="1"/>
  </r>
  <r>
    <x v="21"/>
    <x v="6"/>
    <x v="5"/>
    <x v="6"/>
    <x v="3"/>
    <d v="1899-12-30T00:00:00"/>
    <d v="1899-12-30T00:00:00"/>
    <n v="0"/>
    <n v="0"/>
    <e v="#N/A"/>
    <e v="#N/A"/>
    <e v="#N/A"/>
    <x v="2"/>
    <x v="2"/>
    <x v="2"/>
    <x v="2"/>
    <x v="2"/>
    <x v="2"/>
    <x v="2"/>
    <x v="2"/>
    <x v="2"/>
    <x v="1"/>
    <x v="0"/>
    <x v="1"/>
  </r>
  <r>
    <x v="21"/>
    <x v="6"/>
    <x v="5"/>
    <x v="6"/>
    <x v="3"/>
    <d v="1899-12-30T00:00:00"/>
    <d v="1899-12-30T00:00:00"/>
    <n v="0"/>
    <n v="0"/>
    <e v="#N/A"/>
    <e v="#N/A"/>
    <e v="#N/A"/>
    <x v="2"/>
    <x v="2"/>
    <x v="2"/>
    <x v="2"/>
    <x v="2"/>
    <x v="2"/>
    <x v="2"/>
    <x v="2"/>
    <x v="2"/>
    <x v="1"/>
    <x v="0"/>
    <x v="1"/>
  </r>
  <r>
    <x v="21"/>
    <x v="6"/>
    <x v="5"/>
    <x v="6"/>
    <x v="3"/>
    <d v="1899-12-30T00:00:00"/>
    <d v="1899-12-30T00:00:00"/>
    <n v="0"/>
    <n v="0"/>
    <e v="#N/A"/>
    <e v="#N/A"/>
    <e v="#N/A"/>
    <x v="2"/>
    <x v="2"/>
    <x v="2"/>
    <x v="2"/>
    <x v="2"/>
    <x v="2"/>
    <x v="2"/>
    <x v="2"/>
    <x v="2"/>
    <x v="1"/>
    <x v="0"/>
    <x v="1"/>
  </r>
  <r>
    <x v="21"/>
    <x v="6"/>
    <x v="5"/>
    <x v="6"/>
    <x v="3"/>
    <d v="1899-12-30T00:00:00"/>
    <d v="1899-12-30T00:00:00"/>
    <n v="0"/>
    <n v="0"/>
    <e v="#N/A"/>
    <e v="#N/A"/>
    <e v="#N/A"/>
    <x v="2"/>
    <x v="2"/>
    <x v="2"/>
    <x v="2"/>
    <x v="2"/>
    <x v="2"/>
    <x v="2"/>
    <x v="2"/>
    <x v="2"/>
    <x v="1"/>
    <x v="0"/>
    <x v="1"/>
  </r>
  <r>
    <x v="21"/>
    <x v="6"/>
    <x v="5"/>
    <x v="6"/>
    <x v="3"/>
    <d v="1899-12-30T00:00:00"/>
    <d v="1899-12-30T00:00:00"/>
    <n v="0"/>
    <n v="0"/>
    <e v="#N/A"/>
    <e v="#N/A"/>
    <e v="#N/A"/>
    <x v="2"/>
    <x v="2"/>
    <x v="2"/>
    <x v="2"/>
    <x v="2"/>
    <x v="2"/>
    <x v="2"/>
    <x v="2"/>
    <x v="2"/>
    <x v="1"/>
    <x v="0"/>
    <x v="1"/>
  </r>
  <r>
    <x v="21"/>
    <x v="6"/>
    <x v="5"/>
    <x v="6"/>
    <x v="3"/>
    <d v="1899-12-30T00:00:00"/>
    <d v="1899-12-30T00:00:00"/>
    <n v="0"/>
    <n v="0"/>
    <e v="#N/A"/>
    <e v="#N/A"/>
    <e v="#N/A"/>
    <x v="2"/>
    <x v="2"/>
    <x v="2"/>
    <x v="2"/>
    <x v="2"/>
    <x v="2"/>
    <x v="2"/>
    <x v="2"/>
    <x v="2"/>
    <x v="1"/>
    <x v="0"/>
    <x v="1"/>
  </r>
  <r>
    <x v="21"/>
    <x v="6"/>
    <x v="5"/>
    <x v="6"/>
    <x v="3"/>
    <d v="1899-12-30T00:00:00"/>
    <d v="1899-12-30T00:00:00"/>
    <n v="0"/>
    <n v="0"/>
    <e v="#N/A"/>
    <e v="#N/A"/>
    <e v="#N/A"/>
    <x v="2"/>
    <x v="2"/>
    <x v="2"/>
    <x v="2"/>
    <x v="2"/>
    <x v="2"/>
    <x v="2"/>
    <x v="2"/>
    <x v="2"/>
    <x v="1"/>
    <x v="0"/>
    <x v="1"/>
  </r>
  <r>
    <x v="21"/>
    <x v="6"/>
    <x v="5"/>
    <x v="6"/>
    <x v="3"/>
    <d v="1899-12-30T00:00:00"/>
    <d v="1899-12-30T00:00:00"/>
    <n v="0"/>
    <n v="0"/>
    <e v="#N/A"/>
    <e v="#N/A"/>
    <e v="#N/A"/>
    <x v="2"/>
    <x v="2"/>
    <x v="2"/>
    <x v="2"/>
    <x v="2"/>
    <x v="2"/>
    <x v="2"/>
    <x v="2"/>
    <x v="2"/>
    <x v="1"/>
    <x v="0"/>
    <x v="1"/>
  </r>
  <r>
    <x v="21"/>
    <x v="6"/>
    <x v="5"/>
    <x v="6"/>
    <x v="3"/>
    <d v="1899-12-30T00:00:00"/>
    <d v="1899-12-30T00:00:00"/>
    <n v="0"/>
    <n v="0"/>
    <e v="#N/A"/>
    <e v="#N/A"/>
    <e v="#N/A"/>
    <x v="2"/>
    <x v="2"/>
    <x v="2"/>
    <x v="2"/>
    <x v="2"/>
    <x v="2"/>
    <x v="2"/>
    <x v="2"/>
    <x v="2"/>
    <x v="1"/>
    <x v="0"/>
    <x v="1"/>
  </r>
  <r>
    <x v="21"/>
    <x v="6"/>
    <x v="5"/>
    <x v="6"/>
    <x v="3"/>
    <d v="1899-12-30T00:00:00"/>
    <d v="1899-12-30T00:00:00"/>
    <n v="0"/>
    <n v="0"/>
    <e v="#N/A"/>
    <e v="#N/A"/>
    <e v="#N/A"/>
    <x v="2"/>
    <x v="2"/>
    <x v="2"/>
    <x v="2"/>
    <x v="2"/>
    <x v="2"/>
    <x v="2"/>
    <x v="2"/>
    <x v="2"/>
    <x v="1"/>
    <x v="0"/>
    <x v="1"/>
  </r>
  <r>
    <x v="21"/>
    <x v="6"/>
    <x v="5"/>
    <x v="6"/>
    <x v="3"/>
    <d v="1899-12-30T00:00:00"/>
    <d v="1899-12-30T00:00:00"/>
    <n v="0"/>
    <n v="0"/>
    <e v="#N/A"/>
    <e v="#N/A"/>
    <e v="#N/A"/>
    <x v="2"/>
    <x v="2"/>
    <x v="2"/>
    <x v="2"/>
    <x v="2"/>
    <x v="2"/>
    <x v="2"/>
    <x v="2"/>
    <x v="2"/>
    <x v="1"/>
    <x v="0"/>
    <x v="1"/>
  </r>
  <r>
    <x v="21"/>
    <x v="6"/>
    <x v="5"/>
    <x v="6"/>
    <x v="3"/>
    <d v="1899-12-30T00:00:00"/>
    <d v="1899-12-30T00:00:00"/>
    <n v="0"/>
    <n v="0"/>
    <e v="#N/A"/>
    <e v="#N/A"/>
    <e v="#N/A"/>
    <x v="2"/>
    <x v="2"/>
    <x v="2"/>
    <x v="2"/>
    <x v="2"/>
    <x v="2"/>
    <x v="2"/>
    <x v="2"/>
    <x v="2"/>
    <x v="1"/>
    <x v="0"/>
    <x v="1"/>
  </r>
  <r>
    <x v="21"/>
    <x v="6"/>
    <x v="5"/>
    <x v="6"/>
    <x v="3"/>
    <d v="1899-12-30T00:00:00"/>
    <d v="1899-12-30T00:00:00"/>
    <n v="0"/>
    <n v="0"/>
    <e v="#N/A"/>
    <e v="#N/A"/>
    <e v="#N/A"/>
    <x v="2"/>
    <x v="2"/>
    <x v="2"/>
    <x v="2"/>
    <x v="2"/>
    <x v="2"/>
    <x v="2"/>
    <x v="2"/>
    <x v="2"/>
    <x v="1"/>
    <x v="0"/>
    <x v="1"/>
  </r>
  <r>
    <x v="21"/>
    <x v="6"/>
    <x v="5"/>
    <x v="6"/>
    <x v="3"/>
    <d v="1899-12-30T00:00:00"/>
    <d v="1899-12-30T00:00:00"/>
    <n v="0"/>
    <n v="0"/>
    <e v="#N/A"/>
    <e v="#N/A"/>
    <e v="#N/A"/>
    <x v="2"/>
    <x v="2"/>
    <x v="2"/>
    <x v="2"/>
    <x v="2"/>
    <x v="2"/>
    <x v="2"/>
    <x v="2"/>
    <x v="2"/>
    <x v="1"/>
    <x v="0"/>
    <x v="1"/>
  </r>
  <r>
    <x v="21"/>
    <x v="6"/>
    <x v="5"/>
    <x v="6"/>
    <x v="3"/>
    <d v="1899-12-30T00:00:00"/>
    <d v="1899-12-30T00:00:00"/>
    <n v="0"/>
    <n v="0"/>
    <e v="#N/A"/>
    <e v="#N/A"/>
    <e v="#N/A"/>
    <x v="2"/>
    <x v="2"/>
    <x v="2"/>
    <x v="2"/>
    <x v="2"/>
    <x v="2"/>
    <x v="2"/>
    <x v="2"/>
    <x v="2"/>
    <x v="1"/>
    <x v="0"/>
    <x v="1"/>
  </r>
  <r>
    <x v="21"/>
    <x v="6"/>
    <x v="5"/>
    <x v="6"/>
    <x v="3"/>
    <d v="1899-12-30T00:00:00"/>
    <d v="1899-12-30T00:00:00"/>
    <n v="0"/>
    <n v="0"/>
    <e v="#N/A"/>
    <e v="#N/A"/>
    <e v="#N/A"/>
    <x v="2"/>
    <x v="2"/>
    <x v="2"/>
    <x v="2"/>
    <x v="2"/>
    <x v="2"/>
    <x v="2"/>
    <x v="2"/>
    <x v="2"/>
    <x v="1"/>
    <x v="0"/>
    <x v="1"/>
  </r>
  <r>
    <x v="21"/>
    <x v="6"/>
    <x v="5"/>
    <x v="6"/>
    <x v="3"/>
    <d v="1899-12-30T00:00:00"/>
    <d v="1899-12-30T00:00:00"/>
    <n v="0"/>
    <n v="0"/>
    <e v="#N/A"/>
    <e v="#N/A"/>
    <e v="#N/A"/>
    <x v="2"/>
    <x v="2"/>
    <x v="2"/>
    <x v="2"/>
    <x v="2"/>
    <x v="2"/>
    <x v="2"/>
    <x v="2"/>
    <x v="2"/>
    <x v="1"/>
    <x v="0"/>
    <x v="1"/>
  </r>
  <r>
    <x v="22"/>
    <x v="7"/>
    <x v="6"/>
    <x v="7"/>
    <x v="4"/>
    <e v="#REF!"/>
    <e v="#REF!"/>
    <n v="1"/>
    <e v="#REF!"/>
    <e v="#REF!"/>
    <e v="#REF!"/>
    <e v="#REF!"/>
    <x v="2"/>
    <x v="2"/>
    <x v="2"/>
    <x v="2"/>
    <x v="2"/>
    <x v="2"/>
    <x v="2"/>
    <x v="2"/>
    <x v="2"/>
    <x v="1"/>
    <x v="1"/>
    <x v="1"/>
  </r>
  <r>
    <x v="23"/>
    <x v="7"/>
    <x v="6"/>
    <x v="7"/>
    <x v="4"/>
    <e v="#REF!"/>
    <e v="#REF!"/>
    <n v="2"/>
    <e v="#REF!"/>
    <e v="#REF!"/>
    <e v="#REF!"/>
    <e v="#REF!"/>
    <x v="2"/>
    <x v="2"/>
    <x v="2"/>
    <x v="2"/>
    <x v="2"/>
    <x v="2"/>
    <x v="2"/>
    <x v="2"/>
    <x v="2"/>
    <x v="1"/>
    <x v="1"/>
    <x v="1"/>
  </r>
  <r>
    <x v="24"/>
    <x v="7"/>
    <x v="6"/>
    <x v="7"/>
    <x v="4"/>
    <e v="#REF!"/>
    <e v="#REF!"/>
    <n v="4"/>
    <e v="#REF!"/>
    <e v="#REF!"/>
    <e v="#REF!"/>
    <e v="#REF!"/>
    <x v="2"/>
    <x v="2"/>
    <x v="2"/>
    <x v="2"/>
    <x v="2"/>
    <x v="2"/>
    <x v="2"/>
    <x v="2"/>
    <x v="2"/>
    <x v="1"/>
    <x v="1"/>
    <x v="1"/>
  </r>
  <r>
    <x v="25"/>
    <x v="7"/>
    <x v="6"/>
    <x v="7"/>
    <x v="4"/>
    <e v="#REF!"/>
    <e v="#REF!"/>
    <n v="4"/>
    <e v="#REF!"/>
    <e v="#REF!"/>
    <e v="#REF!"/>
    <e v="#REF!"/>
    <x v="2"/>
    <x v="2"/>
    <x v="2"/>
    <x v="2"/>
    <x v="2"/>
    <x v="2"/>
    <x v="2"/>
    <x v="2"/>
    <x v="2"/>
    <x v="1"/>
    <x v="1"/>
    <x v="1"/>
  </r>
  <r>
    <x v="26"/>
    <x v="7"/>
    <x v="6"/>
    <x v="7"/>
    <x v="4"/>
    <e v="#REF!"/>
    <e v="#REF!"/>
    <n v="5"/>
    <e v="#REF!"/>
    <e v="#REF!"/>
    <e v="#REF!"/>
    <e v="#REF!"/>
    <x v="2"/>
    <x v="2"/>
    <x v="2"/>
    <x v="2"/>
    <x v="2"/>
    <x v="2"/>
    <x v="2"/>
    <x v="2"/>
    <x v="2"/>
    <x v="1"/>
    <x v="1"/>
    <x v="1"/>
  </r>
  <r>
    <x v="27"/>
    <x v="7"/>
    <x v="6"/>
    <x v="7"/>
    <x v="4"/>
    <e v="#REF!"/>
    <e v="#REF!"/>
    <n v="6"/>
    <e v="#REF!"/>
    <e v="#REF!"/>
    <e v="#REF!"/>
    <e v="#REF!"/>
    <x v="2"/>
    <x v="2"/>
    <x v="2"/>
    <x v="2"/>
    <x v="2"/>
    <x v="2"/>
    <x v="2"/>
    <x v="2"/>
    <x v="2"/>
    <x v="1"/>
    <x v="1"/>
    <x v="1"/>
  </r>
  <r>
    <x v="28"/>
    <x v="7"/>
    <x v="6"/>
    <x v="7"/>
    <x v="4"/>
    <e v="#REF!"/>
    <e v="#REF!"/>
    <n v="7"/>
    <e v="#REF!"/>
    <e v="#REF!"/>
    <e v="#REF!"/>
    <e v="#REF!"/>
    <x v="2"/>
    <x v="2"/>
    <x v="2"/>
    <x v="2"/>
    <x v="2"/>
    <x v="2"/>
    <x v="2"/>
    <x v="2"/>
    <x v="2"/>
    <x v="1"/>
    <x v="1"/>
    <x v="1"/>
  </r>
  <r>
    <x v="29"/>
    <x v="7"/>
    <x v="6"/>
    <x v="7"/>
    <x v="4"/>
    <e v="#REF!"/>
    <e v="#REF!"/>
    <n v="8"/>
    <e v="#REF!"/>
    <e v="#REF!"/>
    <e v="#REF!"/>
    <e v="#REF!"/>
    <x v="2"/>
    <x v="2"/>
    <x v="2"/>
    <x v="2"/>
    <x v="2"/>
    <x v="2"/>
    <x v="2"/>
    <x v="2"/>
    <x v="2"/>
    <x v="1"/>
    <x v="1"/>
    <x v="1"/>
  </r>
  <r>
    <x v="30"/>
    <x v="7"/>
    <x v="6"/>
    <x v="7"/>
    <x v="4"/>
    <e v="#REF!"/>
    <e v="#REF!"/>
    <n v="9"/>
    <e v="#REF!"/>
    <e v="#REF!"/>
    <e v="#REF!"/>
    <e v="#REF!"/>
    <x v="2"/>
    <x v="2"/>
    <x v="2"/>
    <x v="2"/>
    <x v="2"/>
    <x v="2"/>
    <x v="2"/>
    <x v="2"/>
    <x v="3"/>
    <x v="1"/>
    <x v="1"/>
    <x v="1"/>
  </r>
  <r>
    <x v="31"/>
    <x v="7"/>
    <x v="6"/>
    <x v="7"/>
    <x v="4"/>
    <e v="#REF!"/>
    <e v="#REF!"/>
    <n v="10"/>
    <e v="#REF!"/>
    <e v="#REF!"/>
    <e v="#REF!"/>
    <e v="#REF!"/>
    <x v="2"/>
    <x v="2"/>
    <x v="2"/>
    <x v="2"/>
    <x v="2"/>
    <x v="2"/>
    <x v="2"/>
    <x v="2"/>
    <x v="2"/>
    <x v="1"/>
    <x v="1"/>
    <x v="1"/>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99">
  <r>
    <s v="Task 1"/>
    <x v="0"/>
    <s v="Project #4"/>
    <x v="0"/>
    <x v="0"/>
    <d v="2020-04-02T00:00:00"/>
    <d v="2021-01-14T00:00:00"/>
    <x v="0"/>
    <x v="0"/>
  </r>
  <r>
    <s v="Task 2"/>
    <x v="1"/>
    <s v="Project #3"/>
    <x v="1"/>
    <x v="1"/>
    <d v="2020-01-21T00:00:00"/>
    <d v="2020-10-31T00:00:00"/>
    <x v="1"/>
    <x v="1"/>
  </r>
  <r>
    <s v="Special Task 1"/>
    <x v="2"/>
    <s v="Project #4"/>
    <x v="0"/>
    <x v="2"/>
    <d v="2020-04-19T00:00:00"/>
    <d v="2020-08-01T00:00:00"/>
    <x v="2"/>
    <x v="2"/>
  </r>
  <r>
    <s v="Special Task 2"/>
    <x v="1"/>
    <s v="Project #4"/>
    <x v="2"/>
    <x v="0"/>
    <d v="2020-01-10T00:00:00"/>
    <d v="2020-11-19T00:00:00"/>
    <x v="3"/>
    <x v="3"/>
  </r>
  <r>
    <s v="Task 4"/>
    <x v="3"/>
    <s v="Project #3"/>
    <x v="3"/>
    <x v="1"/>
    <d v="2020-05-17T00:00:00"/>
    <d v="2020-11-09T00:00:00"/>
    <x v="3"/>
    <x v="4"/>
  </r>
  <r>
    <s v="Task 5"/>
    <x v="3"/>
    <s v="Project #4"/>
    <x v="4"/>
    <x v="2"/>
    <d v="2020-02-18T00:00:00"/>
    <d v="2020-09-14T00:00:00"/>
    <x v="4"/>
    <x v="5"/>
  </r>
  <r>
    <s v="Special Task 3"/>
    <x v="0"/>
    <s v="Project #1"/>
    <x v="1"/>
    <x v="0"/>
    <d v="2020-02-02T00:00:00"/>
    <d v="2020-12-01T00:00:00"/>
    <x v="5"/>
    <x v="6"/>
  </r>
  <r>
    <s v="Task 7"/>
    <x v="1"/>
    <s v="Project #2"/>
    <x v="0"/>
    <x v="0"/>
    <d v="2020-04-09T00:00:00"/>
    <d v="2021-02-16T00:00:00"/>
    <x v="6"/>
    <x v="7"/>
  </r>
  <r>
    <s v="Task 8"/>
    <x v="4"/>
    <s v="Project #5"/>
    <x v="4"/>
    <x v="2"/>
    <d v="2020-05-07T00:00:00"/>
    <d v="2021-02-06T00:00:00"/>
    <x v="7"/>
    <x v="8"/>
  </r>
  <r>
    <s v="Task 9"/>
    <x v="1"/>
    <s v="Project #1"/>
    <x v="4"/>
    <x v="1"/>
    <d v="2020-04-01T00:00:00"/>
    <d v="2020-07-24T00:00:00"/>
    <x v="7"/>
    <x v="8"/>
  </r>
  <r>
    <s v="Task 10"/>
    <x v="5"/>
    <s v="Project #2"/>
    <x v="2"/>
    <x v="1"/>
    <d v="2020-03-20T00:00:00"/>
    <d v="2021-02-07T00:00:00"/>
    <x v="3"/>
    <x v="9"/>
  </r>
  <r>
    <s v="Task 11"/>
    <x v="5"/>
    <s v="Project #5"/>
    <x v="1"/>
    <x v="1"/>
    <d v="2020-01-12T00:00:00"/>
    <d v="2020-12-12T00:00:00"/>
    <x v="3"/>
    <x v="10"/>
  </r>
  <r>
    <s v="Task 12"/>
    <x v="0"/>
    <s v="Project #2"/>
    <x v="0"/>
    <x v="1"/>
    <d v="2020-02-19T00:00:00"/>
    <d v="2020-07-15T00:00:00"/>
    <x v="8"/>
    <x v="1"/>
  </r>
  <r>
    <s v="Task 13"/>
    <x v="0"/>
    <s v="Project #5"/>
    <x v="5"/>
    <x v="1"/>
    <d v="2020-01-28T00:00:00"/>
    <d v="2020-10-13T00:00:00"/>
    <x v="3"/>
    <x v="5"/>
  </r>
  <r>
    <s v="Task 14"/>
    <x v="2"/>
    <s v="Project #1"/>
    <x v="1"/>
    <x v="0"/>
    <d v="2020-03-12T00:00:00"/>
    <d v="2020-12-28T00:00:00"/>
    <x v="0"/>
    <x v="10"/>
  </r>
  <r>
    <s v="Task 15"/>
    <x v="1"/>
    <s v="Project #2"/>
    <x v="3"/>
    <x v="2"/>
    <d v="2020-04-06T00:00:00"/>
    <d v="2020-12-05T00:00:00"/>
    <x v="2"/>
    <x v="0"/>
  </r>
  <r>
    <s v="Special Task 4"/>
    <x v="5"/>
    <s v="Project #5"/>
    <x v="5"/>
    <x v="2"/>
    <d v="2020-05-14T00:00:00"/>
    <d v="2021-03-05T00:00:00"/>
    <x v="3"/>
    <x v="7"/>
  </r>
  <r>
    <s v="Task 16"/>
    <x v="4"/>
    <s v="Project #2"/>
    <x v="2"/>
    <x v="0"/>
    <d v="2020-02-12T00:00:00"/>
    <d v="2020-09-01T00:00:00"/>
    <x v="0"/>
    <x v="0"/>
  </r>
  <r>
    <s v="Task 17"/>
    <x v="3"/>
    <s v="Project #3"/>
    <x v="2"/>
    <x v="1"/>
    <d v="2020-03-07T00:00:00"/>
    <d v="2020-10-05T00:00:00"/>
    <x v="3"/>
    <x v="9"/>
  </r>
  <r>
    <s v="Task 18"/>
    <x v="2"/>
    <s v="Project #3"/>
    <x v="4"/>
    <x v="2"/>
    <d v="2020-01-16T00:00:00"/>
    <d v="2020-12-01T00:00:00"/>
    <x v="8"/>
    <x v="10"/>
  </r>
  <r>
    <s v="Task 19"/>
    <x v="5"/>
    <s v="Project #4"/>
    <x v="1"/>
    <x v="0"/>
    <d v="2020-04-01T00:00:00"/>
    <d v="2020-11-20T00:00:00"/>
    <x v="6"/>
    <x v="3"/>
  </r>
  <r>
    <m/>
    <x v="6"/>
    <m/>
    <x v="6"/>
    <x v="3"/>
    <m/>
    <m/>
    <x v="9"/>
    <x v="11"/>
  </r>
  <r>
    <m/>
    <x v="6"/>
    <m/>
    <x v="6"/>
    <x v="3"/>
    <m/>
    <m/>
    <x v="9"/>
    <x v="11"/>
  </r>
  <r>
    <m/>
    <x v="6"/>
    <m/>
    <x v="6"/>
    <x v="3"/>
    <m/>
    <m/>
    <x v="9"/>
    <x v="11"/>
  </r>
  <r>
    <m/>
    <x v="6"/>
    <m/>
    <x v="6"/>
    <x v="3"/>
    <m/>
    <m/>
    <x v="9"/>
    <x v="11"/>
  </r>
  <r>
    <m/>
    <x v="6"/>
    <m/>
    <x v="6"/>
    <x v="3"/>
    <m/>
    <m/>
    <x v="9"/>
    <x v="11"/>
  </r>
  <r>
    <m/>
    <x v="6"/>
    <m/>
    <x v="6"/>
    <x v="3"/>
    <m/>
    <m/>
    <x v="9"/>
    <x v="11"/>
  </r>
  <r>
    <m/>
    <x v="6"/>
    <m/>
    <x v="6"/>
    <x v="3"/>
    <m/>
    <m/>
    <x v="9"/>
    <x v="11"/>
  </r>
  <r>
    <m/>
    <x v="6"/>
    <m/>
    <x v="6"/>
    <x v="3"/>
    <m/>
    <m/>
    <x v="9"/>
    <x v="11"/>
  </r>
  <r>
    <m/>
    <x v="6"/>
    <m/>
    <x v="6"/>
    <x v="3"/>
    <m/>
    <m/>
    <x v="9"/>
    <x v="11"/>
  </r>
  <r>
    <m/>
    <x v="6"/>
    <m/>
    <x v="6"/>
    <x v="3"/>
    <m/>
    <m/>
    <x v="9"/>
    <x v="11"/>
  </r>
  <r>
    <m/>
    <x v="6"/>
    <m/>
    <x v="6"/>
    <x v="3"/>
    <m/>
    <m/>
    <x v="9"/>
    <x v="11"/>
  </r>
  <r>
    <m/>
    <x v="6"/>
    <m/>
    <x v="6"/>
    <x v="3"/>
    <m/>
    <m/>
    <x v="9"/>
    <x v="11"/>
  </r>
  <r>
    <m/>
    <x v="6"/>
    <m/>
    <x v="6"/>
    <x v="3"/>
    <m/>
    <m/>
    <x v="9"/>
    <x v="11"/>
  </r>
  <r>
    <m/>
    <x v="6"/>
    <m/>
    <x v="6"/>
    <x v="3"/>
    <m/>
    <m/>
    <x v="9"/>
    <x v="11"/>
  </r>
  <r>
    <m/>
    <x v="6"/>
    <m/>
    <x v="6"/>
    <x v="3"/>
    <m/>
    <m/>
    <x v="9"/>
    <x v="11"/>
  </r>
  <r>
    <m/>
    <x v="6"/>
    <m/>
    <x v="6"/>
    <x v="3"/>
    <m/>
    <m/>
    <x v="9"/>
    <x v="11"/>
  </r>
  <r>
    <m/>
    <x v="6"/>
    <m/>
    <x v="6"/>
    <x v="3"/>
    <m/>
    <m/>
    <x v="9"/>
    <x v="11"/>
  </r>
  <r>
    <m/>
    <x v="6"/>
    <m/>
    <x v="6"/>
    <x v="3"/>
    <m/>
    <m/>
    <x v="9"/>
    <x v="11"/>
  </r>
  <r>
    <m/>
    <x v="6"/>
    <m/>
    <x v="6"/>
    <x v="3"/>
    <m/>
    <m/>
    <x v="9"/>
    <x v="11"/>
  </r>
  <r>
    <m/>
    <x v="6"/>
    <m/>
    <x v="6"/>
    <x v="3"/>
    <m/>
    <m/>
    <x v="9"/>
    <x v="11"/>
  </r>
  <r>
    <m/>
    <x v="6"/>
    <m/>
    <x v="6"/>
    <x v="3"/>
    <m/>
    <m/>
    <x v="9"/>
    <x v="11"/>
  </r>
  <r>
    <m/>
    <x v="6"/>
    <m/>
    <x v="6"/>
    <x v="3"/>
    <m/>
    <m/>
    <x v="9"/>
    <x v="11"/>
  </r>
  <r>
    <m/>
    <x v="6"/>
    <m/>
    <x v="6"/>
    <x v="3"/>
    <m/>
    <m/>
    <x v="9"/>
    <x v="11"/>
  </r>
  <r>
    <m/>
    <x v="6"/>
    <m/>
    <x v="6"/>
    <x v="3"/>
    <m/>
    <m/>
    <x v="9"/>
    <x v="11"/>
  </r>
  <r>
    <m/>
    <x v="6"/>
    <m/>
    <x v="6"/>
    <x v="3"/>
    <m/>
    <m/>
    <x v="9"/>
    <x v="11"/>
  </r>
  <r>
    <m/>
    <x v="6"/>
    <m/>
    <x v="6"/>
    <x v="3"/>
    <m/>
    <m/>
    <x v="9"/>
    <x v="11"/>
  </r>
  <r>
    <m/>
    <x v="6"/>
    <m/>
    <x v="6"/>
    <x v="3"/>
    <m/>
    <m/>
    <x v="9"/>
    <x v="11"/>
  </r>
  <r>
    <m/>
    <x v="6"/>
    <m/>
    <x v="6"/>
    <x v="3"/>
    <m/>
    <m/>
    <x v="9"/>
    <x v="11"/>
  </r>
  <r>
    <m/>
    <x v="6"/>
    <m/>
    <x v="6"/>
    <x v="3"/>
    <m/>
    <m/>
    <x v="9"/>
    <x v="11"/>
  </r>
  <r>
    <m/>
    <x v="6"/>
    <m/>
    <x v="6"/>
    <x v="3"/>
    <m/>
    <m/>
    <x v="9"/>
    <x v="11"/>
  </r>
  <r>
    <m/>
    <x v="6"/>
    <m/>
    <x v="6"/>
    <x v="3"/>
    <m/>
    <m/>
    <x v="9"/>
    <x v="11"/>
  </r>
  <r>
    <m/>
    <x v="6"/>
    <m/>
    <x v="6"/>
    <x v="3"/>
    <m/>
    <m/>
    <x v="9"/>
    <x v="11"/>
  </r>
  <r>
    <m/>
    <x v="6"/>
    <m/>
    <x v="6"/>
    <x v="3"/>
    <m/>
    <m/>
    <x v="9"/>
    <x v="11"/>
  </r>
  <r>
    <m/>
    <x v="6"/>
    <m/>
    <x v="6"/>
    <x v="3"/>
    <m/>
    <m/>
    <x v="9"/>
    <x v="11"/>
  </r>
  <r>
    <m/>
    <x v="6"/>
    <m/>
    <x v="6"/>
    <x v="3"/>
    <m/>
    <m/>
    <x v="9"/>
    <x v="11"/>
  </r>
  <r>
    <m/>
    <x v="6"/>
    <m/>
    <x v="6"/>
    <x v="3"/>
    <m/>
    <m/>
    <x v="9"/>
    <x v="11"/>
  </r>
  <r>
    <m/>
    <x v="6"/>
    <m/>
    <x v="6"/>
    <x v="3"/>
    <m/>
    <m/>
    <x v="9"/>
    <x v="11"/>
  </r>
  <r>
    <m/>
    <x v="6"/>
    <m/>
    <x v="6"/>
    <x v="3"/>
    <m/>
    <m/>
    <x v="9"/>
    <x v="11"/>
  </r>
  <r>
    <m/>
    <x v="6"/>
    <m/>
    <x v="6"/>
    <x v="3"/>
    <m/>
    <m/>
    <x v="9"/>
    <x v="11"/>
  </r>
  <r>
    <m/>
    <x v="6"/>
    <m/>
    <x v="6"/>
    <x v="3"/>
    <m/>
    <m/>
    <x v="9"/>
    <x v="11"/>
  </r>
  <r>
    <m/>
    <x v="6"/>
    <m/>
    <x v="6"/>
    <x v="3"/>
    <m/>
    <m/>
    <x v="9"/>
    <x v="11"/>
  </r>
  <r>
    <m/>
    <x v="6"/>
    <m/>
    <x v="6"/>
    <x v="3"/>
    <m/>
    <m/>
    <x v="9"/>
    <x v="11"/>
  </r>
  <r>
    <m/>
    <x v="6"/>
    <m/>
    <x v="6"/>
    <x v="3"/>
    <m/>
    <m/>
    <x v="9"/>
    <x v="11"/>
  </r>
  <r>
    <m/>
    <x v="6"/>
    <m/>
    <x v="6"/>
    <x v="3"/>
    <m/>
    <m/>
    <x v="9"/>
    <x v="11"/>
  </r>
  <r>
    <m/>
    <x v="6"/>
    <m/>
    <x v="6"/>
    <x v="3"/>
    <m/>
    <m/>
    <x v="9"/>
    <x v="11"/>
  </r>
  <r>
    <m/>
    <x v="6"/>
    <m/>
    <x v="6"/>
    <x v="3"/>
    <m/>
    <m/>
    <x v="9"/>
    <x v="11"/>
  </r>
  <r>
    <m/>
    <x v="6"/>
    <m/>
    <x v="6"/>
    <x v="3"/>
    <m/>
    <m/>
    <x v="9"/>
    <x v="11"/>
  </r>
  <r>
    <m/>
    <x v="6"/>
    <m/>
    <x v="6"/>
    <x v="3"/>
    <m/>
    <m/>
    <x v="9"/>
    <x v="11"/>
  </r>
  <r>
    <m/>
    <x v="6"/>
    <m/>
    <x v="6"/>
    <x v="3"/>
    <m/>
    <m/>
    <x v="9"/>
    <x v="11"/>
  </r>
  <r>
    <m/>
    <x v="6"/>
    <m/>
    <x v="6"/>
    <x v="3"/>
    <m/>
    <m/>
    <x v="9"/>
    <x v="11"/>
  </r>
  <r>
    <m/>
    <x v="6"/>
    <m/>
    <x v="6"/>
    <x v="3"/>
    <m/>
    <m/>
    <x v="9"/>
    <x v="11"/>
  </r>
  <r>
    <m/>
    <x v="6"/>
    <m/>
    <x v="6"/>
    <x v="3"/>
    <m/>
    <m/>
    <x v="9"/>
    <x v="11"/>
  </r>
  <r>
    <m/>
    <x v="6"/>
    <m/>
    <x v="6"/>
    <x v="3"/>
    <m/>
    <m/>
    <x v="9"/>
    <x v="11"/>
  </r>
  <r>
    <m/>
    <x v="6"/>
    <m/>
    <x v="6"/>
    <x v="3"/>
    <m/>
    <m/>
    <x v="9"/>
    <x v="11"/>
  </r>
  <r>
    <m/>
    <x v="6"/>
    <m/>
    <x v="6"/>
    <x v="3"/>
    <m/>
    <m/>
    <x v="9"/>
    <x v="11"/>
  </r>
  <r>
    <m/>
    <x v="6"/>
    <m/>
    <x v="6"/>
    <x v="3"/>
    <m/>
    <m/>
    <x v="9"/>
    <x v="11"/>
  </r>
  <r>
    <m/>
    <x v="6"/>
    <m/>
    <x v="6"/>
    <x v="3"/>
    <m/>
    <m/>
    <x v="9"/>
    <x v="11"/>
  </r>
  <r>
    <m/>
    <x v="6"/>
    <m/>
    <x v="6"/>
    <x v="3"/>
    <m/>
    <m/>
    <x v="9"/>
    <x v="11"/>
  </r>
  <r>
    <m/>
    <x v="6"/>
    <m/>
    <x v="6"/>
    <x v="3"/>
    <m/>
    <m/>
    <x v="9"/>
    <x v="11"/>
  </r>
  <r>
    <m/>
    <x v="6"/>
    <m/>
    <x v="6"/>
    <x v="3"/>
    <m/>
    <m/>
    <x v="9"/>
    <x v="11"/>
  </r>
  <r>
    <m/>
    <x v="6"/>
    <m/>
    <x v="6"/>
    <x v="3"/>
    <m/>
    <m/>
    <x v="9"/>
    <x v="11"/>
  </r>
  <r>
    <m/>
    <x v="6"/>
    <m/>
    <x v="6"/>
    <x v="3"/>
    <m/>
    <m/>
    <x v="9"/>
    <x v="11"/>
  </r>
  <r>
    <m/>
    <x v="6"/>
    <m/>
    <x v="6"/>
    <x v="3"/>
    <m/>
    <m/>
    <x v="9"/>
    <x v="11"/>
  </r>
  <r>
    <m/>
    <x v="6"/>
    <m/>
    <x v="6"/>
    <x v="3"/>
    <m/>
    <m/>
    <x v="9"/>
    <x v="11"/>
  </r>
  <r>
    <m/>
    <x v="6"/>
    <m/>
    <x v="6"/>
    <x v="3"/>
    <m/>
    <m/>
    <x v="9"/>
    <x v="11"/>
  </r>
  <r>
    <m/>
    <x v="6"/>
    <m/>
    <x v="6"/>
    <x v="3"/>
    <m/>
    <m/>
    <x v="9"/>
    <x v="11"/>
  </r>
  <r>
    <m/>
    <x v="6"/>
    <m/>
    <x v="6"/>
    <x v="3"/>
    <m/>
    <m/>
    <x v="9"/>
    <x v="11"/>
  </r>
  <r>
    <m/>
    <x v="6"/>
    <m/>
    <x v="6"/>
    <x v="3"/>
    <m/>
    <m/>
    <x v="9"/>
    <x v="11"/>
  </r>
  <r>
    <m/>
    <x v="6"/>
    <m/>
    <x v="6"/>
    <x v="3"/>
    <m/>
    <m/>
    <x v="9"/>
    <x v="11"/>
  </r>
  <r>
    <m/>
    <x v="6"/>
    <m/>
    <x v="6"/>
    <x v="3"/>
    <m/>
    <m/>
    <x v="9"/>
    <x v="11"/>
  </r>
  <r>
    <m/>
    <x v="6"/>
    <m/>
    <x v="6"/>
    <x v="3"/>
    <m/>
    <m/>
    <x v="9"/>
    <x v="11"/>
  </r>
  <r>
    <m/>
    <x v="6"/>
    <m/>
    <x v="6"/>
    <x v="3"/>
    <m/>
    <m/>
    <x v="9"/>
    <x v="11"/>
  </r>
  <r>
    <m/>
    <x v="6"/>
    <m/>
    <x v="6"/>
    <x v="3"/>
    <m/>
    <m/>
    <x v="9"/>
    <x v="11"/>
  </r>
  <r>
    <m/>
    <x v="6"/>
    <m/>
    <x v="6"/>
    <x v="3"/>
    <m/>
    <m/>
    <x v="9"/>
    <x v="11"/>
  </r>
  <r>
    <m/>
    <x v="6"/>
    <m/>
    <x v="6"/>
    <x v="3"/>
    <m/>
    <m/>
    <x v="9"/>
    <x v="11"/>
  </r>
  <r>
    <m/>
    <x v="6"/>
    <m/>
    <x v="6"/>
    <x v="3"/>
    <m/>
    <m/>
    <x v="9"/>
    <x v="11"/>
  </r>
  <r>
    <m/>
    <x v="6"/>
    <m/>
    <x v="6"/>
    <x v="3"/>
    <m/>
    <m/>
    <x v="9"/>
    <x v="11"/>
  </r>
  <r>
    <m/>
    <x v="6"/>
    <m/>
    <x v="6"/>
    <x v="3"/>
    <m/>
    <m/>
    <x v="9"/>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931362DB-C5E8-406C-A71D-C508C6C19927}" name="PivotTable19" cacheId="3"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chartFormat="1">
  <location ref="BD63:BH71" firstHeaderRow="1" firstDataRow="2" firstDataCol="1"/>
  <pivotFields count="9">
    <pivotField dataField="1" showAll="0"/>
    <pivotField showAll="0">
      <items count="18">
        <item m="1" x="14"/>
        <item m="1" x="11"/>
        <item m="1" x="12"/>
        <item m="1" x="13"/>
        <item m="1" x="15"/>
        <item x="0"/>
        <item m="1" x="7"/>
        <item m="1" x="16"/>
        <item m="1" x="10"/>
        <item x="1"/>
        <item x="5"/>
        <item x="2"/>
        <item x="3"/>
        <item x="4"/>
        <item m="1" x="8"/>
        <item m="1" x="9"/>
        <item x="6"/>
        <item t="default"/>
      </items>
    </pivotField>
    <pivotField showAll="0"/>
    <pivotField axis="axisRow" showAll="0" includeNewItemsInFilter="1">
      <items count="26">
        <item m="1" x="17"/>
        <item m="1" x="7"/>
        <item m="1" x="13"/>
        <item m="1" x="21"/>
        <item h="1" x="6"/>
        <item x="0"/>
        <item x="1"/>
        <item x="2"/>
        <item x="4"/>
        <item x="5"/>
        <item x="3"/>
        <item m="1" x="20"/>
        <item m="1" x="19"/>
        <item m="1" x="14"/>
        <item m="1" x="8"/>
        <item m="1" x="10"/>
        <item m="1" x="22"/>
        <item m="1" x="12"/>
        <item m="1" x="23"/>
        <item m="1" x="24"/>
        <item m="1" x="11"/>
        <item m="1" x="16"/>
        <item m="1" x="18"/>
        <item m="1" x="15"/>
        <item m="1" x="9"/>
        <item t="default"/>
      </items>
    </pivotField>
    <pivotField axis="axisCol" showAll="0">
      <items count="5">
        <item x="2"/>
        <item x="0"/>
        <item x="1"/>
        <item x="3"/>
        <item t="default"/>
      </items>
    </pivotField>
    <pivotField showAll="0"/>
    <pivotField showAll="0"/>
    <pivotField showAll="0">
      <items count="13">
        <item x="6"/>
        <item x="5"/>
        <item x="7"/>
        <item x="3"/>
        <item m="1" x="11"/>
        <item x="8"/>
        <item m="1" x="10"/>
        <item x="4"/>
        <item x="2"/>
        <item x="0"/>
        <item x="1"/>
        <item x="9"/>
        <item t="default"/>
      </items>
    </pivotField>
    <pivotField showAll="0">
      <items count="13">
        <item x="2"/>
        <item x="0"/>
        <item x="10"/>
        <item x="5"/>
        <item x="9"/>
        <item x="1"/>
        <item x="3"/>
        <item x="6"/>
        <item x="7"/>
        <item x="4"/>
        <item x="8"/>
        <item x="11"/>
        <item t="default"/>
      </items>
    </pivotField>
  </pivotFields>
  <rowFields count="1">
    <field x="3"/>
  </rowFields>
  <rowItems count="7">
    <i>
      <x v="5"/>
    </i>
    <i>
      <x v="6"/>
    </i>
    <i>
      <x v="7"/>
    </i>
    <i>
      <x v="8"/>
    </i>
    <i>
      <x v="9"/>
    </i>
    <i>
      <x v="10"/>
    </i>
    <i t="grand">
      <x/>
    </i>
  </rowItems>
  <colFields count="1">
    <field x="4"/>
  </colFields>
  <colItems count="4">
    <i>
      <x/>
    </i>
    <i>
      <x v="1"/>
    </i>
    <i>
      <x v="2"/>
    </i>
    <i t="grand">
      <x/>
    </i>
  </colItems>
  <dataFields count="1">
    <dataField name="Count of Task Name" fld="0" subtotal="count" baseField="0" baseItem="0"/>
  </dataFields>
  <chartFormats count="5">
    <chartFormat chart="0" format="1" series="1">
      <pivotArea type="data" outline="0" fieldPosition="0">
        <references count="1">
          <reference field="4294967294" count="1" selected="0">
            <x v="0"/>
          </reference>
        </references>
      </pivotArea>
    </chartFormat>
    <chartFormat chart="0" format="2" series="1">
      <pivotArea type="data" outline="0" fieldPosition="0">
        <references count="2">
          <reference field="4294967294" count="1" selected="0">
            <x v="0"/>
          </reference>
          <reference field="4" count="1" selected="0">
            <x v="1"/>
          </reference>
        </references>
      </pivotArea>
    </chartFormat>
    <chartFormat chart="0" format="3" series="1">
      <pivotArea type="data" outline="0" fieldPosition="0">
        <references count="2">
          <reference field="4294967294" count="1" selected="0">
            <x v="0"/>
          </reference>
          <reference field="4" count="1" selected="0">
            <x v="2"/>
          </reference>
        </references>
      </pivotArea>
    </chartFormat>
    <chartFormat chart="0" format="4" series="1">
      <pivotArea type="data" outline="0" fieldPosition="0">
        <references count="2">
          <reference field="4294967294" count="1" selected="0">
            <x v="0"/>
          </reference>
          <reference field="4" count="1" selected="0">
            <x v="3"/>
          </reference>
        </references>
      </pivotArea>
    </chartFormat>
    <chartFormat chart="0" format="5" series="1">
      <pivotArea type="data" outline="0" fieldPosition="0">
        <references count="2">
          <reference field="4294967294" count="1" selected="0">
            <x v="0"/>
          </reference>
          <reference field="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2407182A-0BDE-4C5D-90ED-D010615F5AC8}" name="PivotTable18" cacheId="3"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chartFormat="1">
  <location ref="Z35:AD46" firstHeaderRow="1" firstDataRow="2" firstDataCol="1"/>
  <pivotFields count="9">
    <pivotField showAll="0"/>
    <pivotField showAll="0">
      <items count="18">
        <item m="1" x="14"/>
        <item m="1" x="11"/>
        <item m="1" x="12"/>
        <item m="1" x="13"/>
        <item m="1" x="15"/>
        <item x="0"/>
        <item m="1" x="7"/>
        <item m="1" x="16"/>
        <item m="1" x="10"/>
        <item x="1"/>
        <item x="5"/>
        <item x="2"/>
        <item x="3"/>
        <item x="4"/>
        <item m="1" x="8"/>
        <item m="1" x="9"/>
        <item x="6"/>
        <item t="default"/>
      </items>
    </pivotField>
    <pivotField dataField="1" showAll="0"/>
    <pivotField showAll="0">
      <items count="26">
        <item m="1" x="15"/>
        <item x="3"/>
        <item m="1" x="22"/>
        <item x="2"/>
        <item x="5"/>
        <item m="1" x="17"/>
        <item m="1" x="7"/>
        <item m="1" x="13"/>
        <item m="1" x="21"/>
        <item m="1" x="18"/>
        <item x="0"/>
        <item m="1" x="20"/>
        <item m="1" x="11"/>
        <item m="1" x="10"/>
        <item m="1" x="9"/>
        <item m="1" x="23"/>
        <item m="1" x="8"/>
        <item x="4"/>
        <item m="1" x="19"/>
        <item m="1" x="24"/>
        <item x="1"/>
        <item m="1" x="16"/>
        <item m="1" x="14"/>
        <item m="1" x="12"/>
        <item x="6"/>
        <item t="default"/>
      </items>
    </pivotField>
    <pivotField axis="axisCol" showAll="0">
      <items count="5">
        <item x="2"/>
        <item x="0"/>
        <item x="1"/>
        <item x="3"/>
        <item t="default"/>
      </items>
    </pivotField>
    <pivotField showAll="0"/>
    <pivotField showAll="0"/>
    <pivotField axis="axisRow" showAll="0" includeNewItemsInFilter="1">
      <items count="13">
        <item x="6"/>
        <item x="5"/>
        <item x="7"/>
        <item x="3"/>
        <item x="8"/>
        <item x="4"/>
        <item x="2"/>
        <item x="0"/>
        <item x="1"/>
        <item h="1" x="9"/>
        <item m="1" x="10"/>
        <item m="1" x="11"/>
        <item t="default"/>
      </items>
    </pivotField>
    <pivotField showAll="0">
      <items count="13">
        <item x="2"/>
        <item x="0"/>
        <item x="10"/>
        <item x="5"/>
        <item x="9"/>
        <item x="1"/>
        <item x="3"/>
        <item x="6"/>
        <item x="7"/>
        <item x="4"/>
        <item x="8"/>
        <item x="11"/>
        <item t="default"/>
      </items>
    </pivotField>
  </pivotFields>
  <rowFields count="1">
    <field x="7"/>
  </rowFields>
  <rowItems count="10">
    <i>
      <x/>
    </i>
    <i>
      <x v="1"/>
    </i>
    <i>
      <x v="2"/>
    </i>
    <i>
      <x v="3"/>
    </i>
    <i>
      <x v="4"/>
    </i>
    <i>
      <x v="5"/>
    </i>
    <i>
      <x v="6"/>
    </i>
    <i>
      <x v="7"/>
    </i>
    <i>
      <x v="8"/>
    </i>
    <i t="grand">
      <x/>
    </i>
  </rowItems>
  <colFields count="1">
    <field x="4"/>
  </colFields>
  <colItems count="4">
    <i>
      <x/>
    </i>
    <i>
      <x v="1"/>
    </i>
    <i>
      <x v="2"/>
    </i>
    <i t="grand">
      <x/>
    </i>
  </colItems>
  <dataFields count="1">
    <dataField name="Count of Project" fld="2" subtotal="count" baseField="0" baseItem="0"/>
  </dataFields>
  <chartFormats count="4">
    <chartFormat chart="0" format="6" series="1">
      <pivotArea type="data" outline="0" fieldPosition="0">
        <references count="2">
          <reference field="4294967294" count="1" selected="0">
            <x v="0"/>
          </reference>
          <reference field="4" count="1" selected="0">
            <x v="0"/>
          </reference>
        </references>
      </pivotArea>
    </chartFormat>
    <chartFormat chart="0" format="7" series="1">
      <pivotArea type="data" outline="0" fieldPosition="0">
        <references count="2">
          <reference field="4294967294" count="1" selected="0">
            <x v="0"/>
          </reference>
          <reference field="4" count="1" selected="0">
            <x v="1"/>
          </reference>
        </references>
      </pivotArea>
    </chartFormat>
    <chartFormat chart="0" format="8" series="1">
      <pivotArea type="data" outline="0" fieldPosition="0">
        <references count="2">
          <reference field="4294967294" count="1" selected="0">
            <x v="0"/>
          </reference>
          <reference field="4" count="1" selected="0">
            <x v="2"/>
          </reference>
        </references>
      </pivotArea>
    </chartFormat>
    <chartFormat chart="0" format="9" series="1">
      <pivotArea type="data" outline="0" fieldPosition="0">
        <references count="2">
          <reference field="4294967294" count="1" selected="0">
            <x v="0"/>
          </reference>
          <reference field="4"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2BAB37B6-317B-4703-8690-75E05E656F0A}" name="PivotTable17" cacheId="3"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chartFormat="1">
  <location ref="B3:F11" firstHeaderRow="1" firstDataRow="2" firstDataCol="1"/>
  <pivotFields count="9">
    <pivotField showAll="0"/>
    <pivotField axis="axisRow" showAll="0" includeNewItemsInFilter="1">
      <items count="18">
        <item x="0"/>
        <item x="1"/>
        <item x="5"/>
        <item x="2"/>
        <item h="1" x="6"/>
        <item x="4"/>
        <item m="1" x="8"/>
        <item m="1" x="9"/>
        <item x="3"/>
        <item m="1" x="11"/>
        <item m="1" x="12"/>
        <item m="1" x="13"/>
        <item m="1" x="15"/>
        <item m="1" x="10"/>
        <item m="1" x="7"/>
        <item m="1" x="16"/>
        <item m="1" x="14"/>
        <item t="default"/>
      </items>
    </pivotField>
    <pivotField dataField="1" showAll="0"/>
    <pivotField showAll="0">
      <items count="26">
        <item m="1" x="15"/>
        <item x="3"/>
        <item m="1" x="22"/>
        <item x="2"/>
        <item x="5"/>
        <item m="1" x="17"/>
        <item m="1" x="7"/>
        <item m="1" x="13"/>
        <item m="1" x="21"/>
        <item m="1" x="18"/>
        <item x="0"/>
        <item m="1" x="20"/>
        <item m="1" x="11"/>
        <item m="1" x="10"/>
        <item m="1" x="9"/>
        <item m="1" x="23"/>
        <item m="1" x="8"/>
        <item x="4"/>
        <item m="1" x="19"/>
        <item m="1" x="24"/>
        <item x="1"/>
        <item m="1" x="16"/>
        <item m="1" x="14"/>
        <item m="1" x="12"/>
        <item x="6"/>
        <item t="default"/>
      </items>
    </pivotField>
    <pivotField axis="axisCol" showAll="0">
      <items count="5">
        <item x="2"/>
        <item x="0"/>
        <item x="1"/>
        <item x="3"/>
        <item t="default"/>
      </items>
    </pivotField>
    <pivotField showAll="0"/>
    <pivotField showAll="0"/>
    <pivotField showAll="0">
      <items count="13">
        <item x="6"/>
        <item x="5"/>
        <item x="7"/>
        <item x="3"/>
        <item m="1" x="11"/>
        <item x="8"/>
        <item m="1" x="10"/>
        <item x="4"/>
        <item x="2"/>
        <item x="0"/>
        <item x="1"/>
        <item x="9"/>
        <item t="default"/>
      </items>
    </pivotField>
    <pivotField showAll="0">
      <items count="13">
        <item x="2"/>
        <item x="0"/>
        <item x="10"/>
        <item x="5"/>
        <item x="9"/>
        <item x="1"/>
        <item x="3"/>
        <item x="6"/>
        <item x="7"/>
        <item x="4"/>
        <item x="8"/>
        <item x="11"/>
        <item t="default"/>
      </items>
    </pivotField>
  </pivotFields>
  <rowFields count="1">
    <field x="1"/>
  </rowFields>
  <rowItems count="7">
    <i>
      <x/>
    </i>
    <i>
      <x v="1"/>
    </i>
    <i>
      <x v="2"/>
    </i>
    <i>
      <x v="3"/>
    </i>
    <i>
      <x v="5"/>
    </i>
    <i>
      <x v="8"/>
    </i>
    <i t="grand">
      <x/>
    </i>
  </rowItems>
  <colFields count="1">
    <field x="4"/>
  </colFields>
  <colItems count="4">
    <i>
      <x/>
    </i>
    <i>
      <x v="1"/>
    </i>
    <i>
      <x v="2"/>
    </i>
    <i t="grand">
      <x/>
    </i>
  </colItems>
  <dataFields count="1">
    <dataField name="Count of Project" fld="2" subtotal="count" baseField="1" baseItem="0"/>
  </dataFields>
  <chartFormats count="4">
    <chartFormat chart="0" format="6" series="1">
      <pivotArea type="data" outline="0" fieldPosition="0">
        <references count="2">
          <reference field="4294967294" count="1" selected="0">
            <x v="0"/>
          </reference>
          <reference field="4" count="1" selected="0">
            <x v="0"/>
          </reference>
        </references>
      </pivotArea>
    </chartFormat>
    <chartFormat chart="0" format="7" series="1">
      <pivotArea type="data" outline="0" fieldPosition="0">
        <references count="2">
          <reference field="4294967294" count="1" selected="0">
            <x v="0"/>
          </reference>
          <reference field="4" count="1" selected="0">
            <x v="1"/>
          </reference>
        </references>
      </pivotArea>
    </chartFormat>
    <chartFormat chart="0" format="8" series="1">
      <pivotArea type="data" outline="0" fieldPosition="0">
        <references count="2">
          <reference field="4294967294" count="1" selected="0">
            <x v="0"/>
          </reference>
          <reference field="4" count="1" selected="0">
            <x v="2"/>
          </reference>
        </references>
      </pivotArea>
    </chartFormat>
    <chartFormat chart="0" format="9" series="1">
      <pivotArea type="data" outline="0" fieldPosition="0">
        <references count="2">
          <reference field="4294967294" count="1" selected="0">
            <x v="0"/>
          </reference>
          <reference field="4"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B58EF0B7-2C58-4B9C-8813-6D916C348BE3}" name="PivotTable20" cacheId="3"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chartFormat="1">
  <location ref="CK110:CL114" firstHeaderRow="1" firstDataRow="1" firstDataCol="1"/>
  <pivotFields count="9">
    <pivotField dataField="1" showAll="0"/>
    <pivotField showAll="0">
      <items count="18">
        <item m="1" x="14"/>
        <item m="1" x="11"/>
        <item m="1" x="12"/>
        <item m="1" x="13"/>
        <item m="1" x="15"/>
        <item x="0"/>
        <item m="1" x="7"/>
        <item m="1" x="16"/>
        <item m="1" x="10"/>
        <item x="1"/>
        <item x="5"/>
        <item x="2"/>
        <item x="3"/>
        <item x="4"/>
        <item m="1" x="8"/>
        <item m="1" x="9"/>
        <item x="6"/>
        <item t="default"/>
      </items>
    </pivotField>
    <pivotField showAll="0"/>
    <pivotField showAll="0">
      <items count="26">
        <item m="1" x="15"/>
        <item x="3"/>
        <item m="1" x="22"/>
        <item x="2"/>
        <item x="5"/>
        <item m="1" x="17"/>
        <item m="1" x="7"/>
        <item m="1" x="13"/>
        <item m="1" x="21"/>
        <item m="1" x="18"/>
        <item x="0"/>
        <item m="1" x="20"/>
        <item m="1" x="11"/>
        <item m="1" x="10"/>
        <item m="1" x="9"/>
        <item m="1" x="23"/>
        <item m="1" x="8"/>
        <item x="4"/>
        <item m="1" x="19"/>
        <item m="1" x="24"/>
        <item x="1"/>
        <item m="1" x="16"/>
        <item m="1" x="14"/>
        <item m="1" x="12"/>
        <item x="6"/>
        <item t="default"/>
      </items>
    </pivotField>
    <pivotField axis="axisRow" showAll="0" includeNewItemsInFilter="1">
      <items count="5">
        <item x="2"/>
        <item x="0"/>
        <item x="1"/>
        <item h="1" x="3"/>
        <item t="default"/>
      </items>
    </pivotField>
    <pivotField showAll="0"/>
    <pivotField showAll="0"/>
    <pivotField showAll="0">
      <items count="13">
        <item x="6"/>
        <item x="5"/>
        <item x="7"/>
        <item x="3"/>
        <item m="1" x="11"/>
        <item x="8"/>
        <item m="1" x="10"/>
        <item x="4"/>
        <item x="2"/>
        <item x="0"/>
        <item x="1"/>
        <item x="9"/>
        <item t="default"/>
      </items>
    </pivotField>
    <pivotField showAll="0">
      <items count="13">
        <item x="2"/>
        <item x="0"/>
        <item x="10"/>
        <item x="5"/>
        <item x="9"/>
        <item x="1"/>
        <item x="3"/>
        <item x="6"/>
        <item x="7"/>
        <item x="4"/>
        <item x="8"/>
        <item x="11"/>
        <item t="default"/>
      </items>
    </pivotField>
  </pivotFields>
  <rowFields count="1">
    <field x="4"/>
  </rowFields>
  <rowItems count="4">
    <i>
      <x/>
    </i>
    <i>
      <x v="1"/>
    </i>
    <i>
      <x v="2"/>
    </i>
    <i t="grand">
      <x/>
    </i>
  </rowItems>
  <colItems count="1">
    <i/>
  </colItems>
  <dataFields count="1">
    <dataField name="Count of Task Name" fld="0" subtotal="count" showDataAs="percentOfTotal" baseField="4" baseItem="0" numFmtId="9"/>
  </dataFields>
  <chartFormats count="4">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4" count="1" selected="0">
            <x v="0"/>
          </reference>
        </references>
      </pivotArea>
    </chartFormat>
    <chartFormat chart="0" format="2">
      <pivotArea type="data" outline="0" fieldPosition="0">
        <references count="2">
          <reference field="4294967294" count="1" selected="0">
            <x v="0"/>
          </reference>
          <reference field="4" count="1" selected="0">
            <x v="1"/>
          </reference>
        </references>
      </pivotArea>
    </chartFormat>
    <chartFormat chart="0" format="3">
      <pivotArea type="data" outline="0" fieldPosition="0">
        <references count="2">
          <reference field="4294967294" count="1" selected="0">
            <x v="0"/>
          </reference>
          <reference field="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DDF2065F-EC70-43D5-9E0B-194E75BDFB74}" name="StatPiv1" cacheId="2" applyNumberFormats="0" applyBorderFormats="0" applyFontFormats="0" applyPatternFormats="0" applyAlignmentFormats="0" applyWidthHeightFormats="1" dataCaption="Values" updatedVersion="7" minRefreshableVersion="3" useAutoFormatting="1" rowGrandTotals="0" colGrandTotals="0" itemPrintTitles="1" createdVersion="6" indent="0" outline="1" outlineData="1" multipleFieldFilters="0">
  <location ref="A4:A5" firstHeaderRow="1" firstDataRow="1" firstDataCol="1" rowPageCount="2" colPageCount="1"/>
  <pivotFields count="24">
    <pivotField axis="axisRow" showAll="0">
      <items count="33">
        <item x="21"/>
        <item x="22"/>
        <item x="31"/>
        <item x="23"/>
        <item x="24"/>
        <item x="25"/>
        <item x="26"/>
        <item x="27"/>
        <item x="28"/>
        <item x="29"/>
        <item x="30"/>
        <item x="0"/>
        <item x="1"/>
        <item x="2"/>
        <item x="3"/>
        <item x="4"/>
        <item x="5"/>
        <item x="6"/>
        <item x="7"/>
        <item x="8"/>
        <item x="9"/>
        <item x="10"/>
        <item x="11"/>
        <item x="12"/>
        <item x="13"/>
        <item x="14"/>
        <item x="15"/>
        <item x="16"/>
        <item x="17"/>
        <item x="18"/>
        <item x="19"/>
        <item x="20"/>
        <item t="default"/>
      </items>
    </pivotField>
    <pivotField showAll="0"/>
    <pivotField showAll="0"/>
    <pivotField showAll="0"/>
    <pivotField showAll="0"/>
    <pivotField showAll="0"/>
    <pivotField showAll="0"/>
    <pivotField showAll="0"/>
    <pivotField showAll="0"/>
    <pivotField showAll="0"/>
    <pivotField showAll="0"/>
    <pivotField showAll="0"/>
    <pivotField axis="axisPage" showAll="0">
      <items count="5">
        <item x="0"/>
        <item x="1"/>
        <item m="1" x="3"/>
        <item x="2"/>
        <item t="default"/>
      </items>
    </pivotField>
    <pivotField showAll="0"/>
    <pivotField showAll="0"/>
    <pivotField showAll="0"/>
    <pivotField showAll="0"/>
    <pivotField showAll="0"/>
    <pivotField showAll="0"/>
    <pivotField showAll="0"/>
    <pivotField showAll="0"/>
    <pivotField showAll="0"/>
    <pivotField axis="axisPage" showAll="0">
      <items count="3">
        <item x="0"/>
        <item x="1"/>
        <item t="default"/>
      </items>
    </pivotField>
    <pivotField showAll="0"/>
  </pivotFields>
  <rowFields count="1">
    <field x="0"/>
  </rowFields>
  <rowItems count="1">
    <i>
      <x v="17"/>
    </i>
  </rowItems>
  <colItems count="1">
    <i/>
  </colItems>
  <pageFields count="2">
    <pageField fld="12" item="1" hier="-1"/>
    <pageField fld="22" item="0" hier="-1"/>
  </page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AEC39DAC-87C5-4134-AB52-BC0DAB28AD9A}" name="StatPiv7" cacheId="2" applyNumberFormats="0" applyBorderFormats="0" applyFontFormats="0" applyPatternFormats="0" applyAlignmentFormats="0" applyWidthHeightFormats="1" dataCaption="Values" updatedVersion="7" minRefreshableVersion="3" useAutoFormatting="1" rowGrandTotals="0" colGrandTotals="0" itemPrintTitles="1" createdVersion="6" indent="0" outline="1" outlineData="1" multipleFieldFilters="0">
  <location ref="M4" firstHeaderRow="1" firstDataRow="1" firstDataCol="1" rowPageCount="2" colPageCount="1"/>
  <pivotFields count="24">
    <pivotField axis="axisRow" showAll="0">
      <items count="33">
        <item x="21"/>
        <item x="22"/>
        <item x="23"/>
        <item x="24"/>
        <item x="25"/>
        <item x="26"/>
        <item x="27"/>
        <item x="28"/>
        <item x="29"/>
        <item x="30"/>
        <item x="31"/>
        <item x="0"/>
        <item x="1"/>
        <item x="2"/>
        <item x="3"/>
        <item x="4"/>
        <item x="5"/>
        <item x="6"/>
        <item x="7"/>
        <item x="8"/>
        <item x="9"/>
        <item x="10"/>
        <item x="11"/>
        <item x="12"/>
        <item x="13"/>
        <item x="14"/>
        <item x="15"/>
        <item x="16"/>
        <item x="17"/>
        <item x="18"/>
        <item x="19"/>
        <item x="20"/>
        <item t="default"/>
      </items>
    </pivotField>
    <pivotField showAll="0">
      <items count="9">
        <item x="6"/>
        <item x="0"/>
        <item x="1"/>
        <item x="5"/>
        <item x="2"/>
        <item x="3"/>
        <item x="4"/>
        <item x="7"/>
        <item t="default"/>
      </items>
    </pivotField>
    <pivotField showAll="0">
      <items count="8">
        <item h="1" x="5"/>
        <item h="1" x="2"/>
        <item h="1" x="3"/>
        <item h="1" x="1"/>
        <item h="1" x="0"/>
        <item x="4"/>
        <item h="1" x="6"/>
        <item t="default"/>
      </items>
    </pivotField>
    <pivotField showAll="0">
      <items count="9">
        <item x="6"/>
        <item x="3"/>
        <item x="2"/>
        <item x="5"/>
        <item x="0"/>
        <item x="4"/>
        <item x="1"/>
        <item x="7"/>
        <item t="default"/>
      </items>
    </pivotField>
    <pivotField showAll="0">
      <items count="6">
        <item x="3"/>
        <item x="2"/>
        <item x="0"/>
        <item x="1"/>
        <item x="4"/>
        <item t="default"/>
      </items>
    </pivotField>
    <pivotField numFmtId="14" showAll="0"/>
    <pivotField numFmtId="14" showAll="0"/>
    <pivotField showAll="0"/>
    <pivotField showAll="0"/>
    <pivotField showAll="0"/>
    <pivotField showAll="0"/>
    <pivotField showAll="0"/>
    <pivotField showAll="0"/>
    <pivotField showAll="0"/>
    <pivotField showAll="0"/>
    <pivotField showAll="0"/>
    <pivotField showAll="0"/>
    <pivotField showAll="0"/>
    <pivotField axis="axisPage" showAll="0">
      <items count="5">
        <item x="0"/>
        <item x="1"/>
        <item x="2"/>
        <item m="1" x="3"/>
        <item t="default"/>
      </items>
    </pivotField>
    <pivotField showAll="0"/>
    <pivotField showAll="0"/>
    <pivotField showAll="0"/>
    <pivotField axis="axisPage" showAll="0">
      <items count="3">
        <item x="0"/>
        <item x="1"/>
        <item t="default"/>
      </items>
    </pivotField>
    <pivotField showAll="0">
      <items count="3">
        <item x="1"/>
        <item x="0"/>
        <item t="default"/>
      </items>
    </pivotField>
  </pivotFields>
  <rowFields count="1">
    <field x="0"/>
  </rowFields>
  <colItems count="1">
    <i/>
  </colItems>
  <pageFields count="2">
    <pageField fld="18" item="1" hier="-1"/>
    <pageField fld="22" item="0" hier="-1"/>
  </page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11CD29DB-6B8C-476B-BB7F-03500D177CD0}" name="StatPiv2" cacheId="2" applyNumberFormats="0" applyBorderFormats="0" applyFontFormats="0" applyPatternFormats="0" applyAlignmentFormats="0" applyWidthHeightFormats="1" dataCaption="Values" updatedVersion="7" minRefreshableVersion="3" useAutoFormatting="1" rowGrandTotals="0" colGrandTotals="0" itemPrintTitles="1" createdVersion="6" indent="0" outline="1" outlineData="1" multipleFieldFilters="0">
  <location ref="C4" firstHeaderRow="1" firstDataRow="1" firstDataCol="1" rowPageCount="2" colPageCount="1"/>
  <pivotFields count="24">
    <pivotField axis="axisRow" showAll="0">
      <items count="33">
        <item x="21"/>
        <item x="22"/>
        <item x="23"/>
        <item x="24"/>
        <item x="25"/>
        <item x="26"/>
        <item x="27"/>
        <item x="28"/>
        <item x="29"/>
        <item x="30"/>
        <item x="31"/>
        <item x="0"/>
        <item x="1"/>
        <item x="2"/>
        <item x="3"/>
        <item x="4"/>
        <item x="5"/>
        <item x="6"/>
        <item x="7"/>
        <item x="8"/>
        <item x="9"/>
        <item x="10"/>
        <item x="11"/>
        <item x="12"/>
        <item x="13"/>
        <item x="14"/>
        <item x="15"/>
        <item x="16"/>
        <item x="17"/>
        <item x="18"/>
        <item x="19"/>
        <item x="20"/>
        <item t="default"/>
      </items>
    </pivotField>
    <pivotField showAll="0">
      <items count="9">
        <item x="6"/>
        <item x="0"/>
        <item x="1"/>
        <item x="5"/>
        <item x="2"/>
        <item x="3"/>
        <item x="4"/>
        <item x="7"/>
        <item t="default"/>
      </items>
    </pivotField>
    <pivotField showAll="0">
      <items count="8">
        <item h="1" x="5"/>
        <item h="1" x="2"/>
        <item h="1" x="3"/>
        <item h="1" x="1"/>
        <item h="1" x="0"/>
        <item x="4"/>
        <item h="1" x="6"/>
        <item t="default"/>
      </items>
    </pivotField>
    <pivotField showAll="0">
      <items count="9">
        <item x="6"/>
        <item x="3"/>
        <item x="2"/>
        <item x="5"/>
        <item x="0"/>
        <item x="4"/>
        <item x="1"/>
        <item x="7"/>
        <item t="default"/>
      </items>
    </pivotField>
    <pivotField showAll="0">
      <items count="6">
        <item x="3"/>
        <item x="2"/>
        <item x="0"/>
        <item x="1"/>
        <item x="4"/>
        <item t="default"/>
      </items>
    </pivotField>
    <pivotField numFmtId="14" showAll="0"/>
    <pivotField numFmtId="14" showAll="0"/>
    <pivotField showAll="0"/>
    <pivotField showAll="0"/>
    <pivotField showAll="0"/>
    <pivotField showAll="0"/>
    <pivotField showAll="0"/>
    <pivotField showAll="0"/>
    <pivotField axis="axisPage" showAll="0">
      <items count="5">
        <item x="0"/>
        <item x="1"/>
        <item x="2"/>
        <item m="1" x="3"/>
        <item t="default"/>
      </items>
    </pivotField>
    <pivotField showAll="0"/>
    <pivotField showAll="0"/>
    <pivotField showAll="0"/>
    <pivotField showAll="0"/>
    <pivotField showAll="0"/>
    <pivotField showAll="0"/>
    <pivotField showAll="0"/>
    <pivotField showAll="0"/>
    <pivotField axis="axisPage" showAll="0">
      <items count="3">
        <item x="0"/>
        <item x="1"/>
        <item t="default"/>
      </items>
    </pivotField>
    <pivotField showAll="0">
      <items count="3">
        <item x="1"/>
        <item x="0"/>
        <item t="default"/>
      </items>
    </pivotField>
  </pivotFields>
  <rowFields count="1">
    <field x="0"/>
  </rowFields>
  <colItems count="1">
    <i/>
  </colItems>
  <pageFields count="2">
    <pageField fld="13" item="1" hier="-1"/>
    <pageField fld="22" item="0" hier="-1"/>
  </page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1F08CBC2-AC60-45A8-A3E1-63F1BB1E60DD}" name="StatPiv3" cacheId="2" applyNumberFormats="0" applyBorderFormats="0" applyFontFormats="0" applyPatternFormats="0" applyAlignmentFormats="0" applyWidthHeightFormats="1" dataCaption="Values" updatedVersion="7" minRefreshableVersion="3" useAutoFormatting="1" rowGrandTotals="0" colGrandTotals="0" itemPrintTitles="1" createdVersion="6" indent="0" outline="1" outlineData="1" multipleFieldFilters="0">
  <location ref="E4" firstHeaderRow="1" firstDataRow="1" firstDataCol="1" rowPageCount="2" colPageCount="1"/>
  <pivotFields count="24">
    <pivotField axis="axisRow" showAll="0">
      <items count="33">
        <item x="21"/>
        <item x="22"/>
        <item x="23"/>
        <item x="24"/>
        <item x="25"/>
        <item x="26"/>
        <item x="27"/>
        <item x="28"/>
        <item x="29"/>
        <item x="30"/>
        <item x="31"/>
        <item x="0"/>
        <item x="1"/>
        <item x="2"/>
        <item x="3"/>
        <item x="4"/>
        <item x="5"/>
        <item x="6"/>
        <item x="7"/>
        <item x="8"/>
        <item x="9"/>
        <item x="10"/>
        <item x="11"/>
        <item x="12"/>
        <item x="13"/>
        <item x="14"/>
        <item x="15"/>
        <item x="16"/>
        <item x="17"/>
        <item x="18"/>
        <item x="19"/>
        <item x="20"/>
        <item t="default"/>
      </items>
    </pivotField>
    <pivotField showAll="0">
      <items count="9">
        <item x="6"/>
        <item x="0"/>
        <item x="1"/>
        <item x="5"/>
        <item x="2"/>
        <item x="3"/>
        <item x="4"/>
        <item x="7"/>
        <item t="default"/>
      </items>
    </pivotField>
    <pivotField showAll="0">
      <items count="8">
        <item h="1" x="5"/>
        <item h="1" x="2"/>
        <item h="1" x="3"/>
        <item h="1" x="1"/>
        <item h="1" x="0"/>
        <item x="4"/>
        <item h="1" x="6"/>
        <item t="default"/>
      </items>
    </pivotField>
    <pivotField showAll="0">
      <items count="9">
        <item x="6"/>
        <item x="3"/>
        <item x="2"/>
        <item x="5"/>
        <item x="0"/>
        <item x="4"/>
        <item x="1"/>
        <item x="7"/>
        <item t="default"/>
      </items>
    </pivotField>
    <pivotField showAll="0">
      <items count="6">
        <item x="3"/>
        <item x="2"/>
        <item x="0"/>
        <item x="1"/>
        <item x="4"/>
        <item t="default"/>
      </items>
    </pivotField>
    <pivotField numFmtId="14" showAll="0"/>
    <pivotField numFmtId="14" showAll="0"/>
    <pivotField showAll="0"/>
    <pivotField showAll="0"/>
    <pivotField showAll="0"/>
    <pivotField showAll="0"/>
    <pivotField showAll="0"/>
    <pivotField showAll="0"/>
    <pivotField showAll="0"/>
    <pivotField axis="axisPage" showAll="0">
      <items count="5">
        <item x="1"/>
        <item x="0"/>
        <item x="2"/>
        <item m="1" x="3"/>
        <item t="default"/>
      </items>
    </pivotField>
    <pivotField showAll="0"/>
    <pivotField showAll="0"/>
    <pivotField showAll="0"/>
    <pivotField showAll="0"/>
    <pivotField showAll="0"/>
    <pivotField showAll="0"/>
    <pivotField showAll="0"/>
    <pivotField axis="axisPage" showAll="0">
      <items count="3">
        <item x="0"/>
        <item x="1"/>
        <item t="default"/>
      </items>
    </pivotField>
    <pivotField showAll="0">
      <items count="3">
        <item x="1"/>
        <item x="0"/>
        <item t="default"/>
      </items>
    </pivotField>
  </pivotFields>
  <rowFields count="1">
    <field x="0"/>
  </rowFields>
  <colItems count="1">
    <i/>
  </colItems>
  <pageFields count="2">
    <pageField fld="14" item="1" hier="-1"/>
    <pageField fld="22" item="0" hier="-1"/>
  </page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2964FBB4-2BA0-4555-BC78-4CDDAF23C1DB}" name="StatPiv10" cacheId="2" applyNumberFormats="0" applyBorderFormats="0" applyFontFormats="0" applyPatternFormats="0" applyAlignmentFormats="0" applyWidthHeightFormats="1" dataCaption="Values" updatedVersion="7" minRefreshableVersion="3" useAutoFormatting="1" rowGrandTotals="0" colGrandTotals="0" itemPrintTitles="1" createdVersion="6" indent="0" outline="1" outlineData="1" multipleFieldFilters="0">
  <location ref="S4" firstHeaderRow="1" firstDataRow="1" firstDataCol="1" rowPageCount="2" colPageCount="1"/>
  <pivotFields count="24">
    <pivotField axis="axisRow" showAll="0">
      <items count="33">
        <item x="21"/>
        <item x="22"/>
        <item x="23"/>
        <item x="24"/>
        <item x="25"/>
        <item x="26"/>
        <item x="27"/>
        <item x="28"/>
        <item x="29"/>
        <item x="30"/>
        <item x="31"/>
        <item x="0"/>
        <item x="1"/>
        <item x="2"/>
        <item x="3"/>
        <item x="4"/>
        <item x="5"/>
        <item x="6"/>
        <item x="7"/>
        <item x="8"/>
        <item x="9"/>
        <item x="10"/>
        <item x="11"/>
        <item x="12"/>
        <item x="13"/>
        <item x="14"/>
        <item x="15"/>
        <item x="16"/>
        <item x="17"/>
        <item x="18"/>
        <item x="19"/>
        <item x="20"/>
        <item t="default"/>
      </items>
    </pivotField>
    <pivotField showAll="0">
      <items count="9">
        <item x="6"/>
        <item x="0"/>
        <item x="1"/>
        <item x="5"/>
        <item x="2"/>
        <item x="3"/>
        <item x="4"/>
        <item x="7"/>
        <item t="default"/>
      </items>
    </pivotField>
    <pivotField showAll="0">
      <items count="8">
        <item h="1" x="5"/>
        <item h="1" x="2"/>
        <item h="1" x="3"/>
        <item h="1" x="1"/>
        <item h="1" x="0"/>
        <item x="4"/>
        <item h="1" x="6"/>
        <item t="default"/>
      </items>
    </pivotField>
    <pivotField showAll="0">
      <items count="9">
        <item x="6"/>
        <item x="3"/>
        <item x="2"/>
        <item x="5"/>
        <item x="0"/>
        <item x="4"/>
        <item x="1"/>
        <item x="7"/>
        <item t="default"/>
      </items>
    </pivotField>
    <pivotField showAll="0">
      <items count="6">
        <item x="3"/>
        <item x="2"/>
        <item x="0"/>
        <item x="1"/>
        <item x="4"/>
        <item t="default"/>
      </items>
    </pivotField>
    <pivotField numFmtId="14" showAll="0"/>
    <pivotField numFmtId="14"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Page" showAll="0">
      <items count="4">
        <item x="0"/>
        <item x="1"/>
        <item m="1" x="2"/>
        <item t="default"/>
      </items>
    </pivotField>
    <pivotField axis="axisPage" showAll="0">
      <items count="3">
        <item x="0"/>
        <item x="1"/>
        <item t="default"/>
      </items>
    </pivotField>
    <pivotField showAll="0">
      <items count="3">
        <item x="1"/>
        <item x="0"/>
        <item t="default"/>
      </items>
    </pivotField>
  </pivotFields>
  <rowFields count="1">
    <field x="0"/>
  </rowFields>
  <colItems count="1">
    <i/>
  </colItems>
  <pageFields count="2">
    <pageField fld="21" item="1" hier="-1"/>
    <pageField fld="22" item="0" hier="-1"/>
  </page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2967756F-D953-43CF-897D-8B978B25076E}" name="StatPiv5" cacheId="2" applyNumberFormats="0" applyBorderFormats="0" applyFontFormats="0" applyPatternFormats="0" applyAlignmentFormats="0" applyWidthHeightFormats="1" dataCaption="Values" updatedVersion="7" minRefreshableVersion="3" useAutoFormatting="1" rowGrandTotals="0" colGrandTotals="0" itemPrintTitles="1" createdVersion="6" indent="0" outline="1" outlineData="1" multipleFieldFilters="0">
  <location ref="I4:I5" firstHeaderRow="1" firstDataRow="1" firstDataCol="1" rowPageCount="2" colPageCount="1"/>
  <pivotFields count="24">
    <pivotField axis="axisRow" showAll="0">
      <items count="33">
        <item x="21"/>
        <item x="22"/>
        <item x="23"/>
        <item x="24"/>
        <item x="25"/>
        <item x="26"/>
        <item x="27"/>
        <item x="28"/>
        <item x="29"/>
        <item x="30"/>
        <item x="31"/>
        <item x="0"/>
        <item x="1"/>
        <item x="2"/>
        <item x="3"/>
        <item x="4"/>
        <item x="5"/>
        <item x="6"/>
        <item x="7"/>
        <item x="8"/>
        <item x="9"/>
        <item x="10"/>
        <item x="11"/>
        <item x="12"/>
        <item x="13"/>
        <item x="14"/>
        <item x="15"/>
        <item x="16"/>
        <item x="17"/>
        <item x="18"/>
        <item x="19"/>
        <item x="20"/>
        <item t="default"/>
      </items>
    </pivotField>
    <pivotField showAll="0">
      <items count="9">
        <item x="6"/>
        <item x="0"/>
        <item x="1"/>
        <item x="5"/>
        <item x="2"/>
        <item x="3"/>
        <item x="4"/>
        <item x="7"/>
        <item t="default"/>
      </items>
    </pivotField>
    <pivotField showAll="0">
      <items count="8">
        <item h="1" x="5"/>
        <item h="1" x="2"/>
        <item h="1" x="3"/>
        <item h="1" x="1"/>
        <item h="1" x="0"/>
        <item x="4"/>
        <item h="1" x="6"/>
        <item t="default"/>
      </items>
    </pivotField>
    <pivotField showAll="0">
      <items count="9">
        <item x="6"/>
        <item x="3"/>
        <item x="2"/>
        <item x="5"/>
        <item x="0"/>
        <item x="4"/>
        <item x="1"/>
        <item x="7"/>
        <item t="default"/>
      </items>
    </pivotField>
    <pivotField showAll="0">
      <items count="6">
        <item x="3"/>
        <item x="2"/>
        <item x="0"/>
        <item x="1"/>
        <item x="4"/>
        <item t="default"/>
      </items>
    </pivotField>
    <pivotField numFmtId="14" showAll="0"/>
    <pivotField numFmtId="14" showAll="0"/>
    <pivotField showAll="0"/>
    <pivotField showAll="0"/>
    <pivotField showAll="0"/>
    <pivotField showAll="0"/>
    <pivotField showAll="0"/>
    <pivotField showAll="0"/>
    <pivotField showAll="0"/>
    <pivotField showAll="0"/>
    <pivotField showAll="0"/>
    <pivotField axis="axisPage" showAll="0">
      <items count="5">
        <item x="0"/>
        <item x="1"/>
        <item x="2"/>
        <item m="1" x="3"/>
        <item t="default"/>
      </items>
    </pivotField>
    <pivotField showAll="0"/>
    <pivotField showAll="0"/>
    <pivotField showAll="0"/>
    <pivotField showAll="0"/>
    <pivotField showAll="0"/>
    <pivotField axis="axisPage" showAll="0">
      <items count="3">
        <item x="0"/>
        <item x="1"/>
        <item t="default"/>
      </items>
    </pivotField>
    <pivotField showAll="0">
      <items count="3">
        <item x="1"/>
        <item x="0"/>
        <item t="default"/>
      </items>
    </pivotField>
  </pivotFields>
  <rowFields count="1">
    <field x="0"/>
  </rowFields>
  <rowItems count="1">
    <i>
      <x v="19"/>
    </i>
  </rowItems>
  <colItems count="1">
    <i/>
  </colItems>
  <pageFields count="2">
    <pageField fld="16" item="1" hier="-1"/>
    <pageField fld="22" item="0" hier="-1"/>
  </page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CDCF472E-216C-41C3-9F82-CA4436BBED27}" name="StatPiv8" cacheId="2" applyNumberFormats="0" applyBorderFormats="0" applyFontFormats="0" applyPatternFormats="0" applyAlignmentFormats="0" applyWidthHeightFormats="1" dataCaption="Values" updatedVersion="7" minRefreshableVersion="3" useAutoFormatting="1" rowGrandTotals="0" colGrandTotals="0" itemPrintTitles="1" createdVersion="6" indent="0" outline="1" outlineData="1" multipleFieldFilters="0">
  <location ref="O4" firstHeaderRow="1" firstDataRow="1" firstDataCol="1" rowPageCount="2" colPageCount="1"/>
  <pivotFields count="24">
    <pivotField axis="axisRow" showAll="0">
      <items count="33">
        <item x="21"/>
        <item x="22"/>
        <item x="23"/>
        <item x="24"/>
        <item x="25"/>
        <item x="26"/>
        <item x="27"/>
        <item x="28"/>
        <item x="29"/>
        <item x="30"/>
        <item x="31"/>
        <item x="0"/>
        <item x="1"/>
        <item x="2"/>
        <item x="3"/>
        <item x="4"/>
        <item x="5"/>
        <item x="6"/>
        <item x="7"/>
        <item x="8"/>
        <item x="9"/>
        <item x="10"/>
        <item x="11"/>
        <item x="12"/>
        <item x="13"/>
        <item x="14"/>
        <item x="15"/>
        <item x="16"/>
        <item x="17"/>
        <item x="18"/>
        <item x="19"/>
        <item x="20"/>
        <item t="default"/>
      </items>
    </pivotField>
    <pivotField showAll="0">
      <items count="9">
        <item x="6"/>
        <item x="0"/>
        <item x="1"/>
        <item x="5"/>
        <item x="2"/>
        <item x="3"/>
        <item x="4"/>
        <item x="7"/>
        <item t="default"/>
      </items>
    </pivotField>
    <pivotField showAll="0">
      <items count="8">
        <item h="1" x="5"/>
        <item h="1" x="2"/>
        <item h="1" x="3"/>
        <item h="1" x="1"/>
        <item h="1" x="0"/>
        <item x="4"/>
        <item h="1" x="6"/>
        <item t="default"/>
      </items>
    </pivotField>
    <pivotField showAll="0">
      <items count="9">
        <item x="6"/>
        <item x="3"/>
        <item x="2"/>
        <item x="5"/>
        <item x="0"/>
        <item x="4"/>
        <item x="1"/>
        <item x="7"/>
        <item t="default"/>
      </items>
    </pivotField>
    <pivotField showAll="0">
      <items count="6">
        <item x="3"/>
        <item x="2"/>
        <item x="0"/>
        <item x="1"/>
        <item x="4"/>
        <item t="default"/>
      </items>
    </pivotField>
    <pivotField numFmtId="14" showAll="0"/>
    <pivotField numFmtId="14" showAll="0"/>
    <pivotField showAll="0"/>
    <pivotField showAll="0"/>
    <pivotField showAll="0"/>
    <pivotField showAll="0"/>
    <pivotField showAll="0"/>
    <pivotField showAll="0"/>
    <pivotField showAll="0"/>
    <pivotField showAll="0"/>
    <pivotField showAll="0"/>
    <pivotField showAll="0"/>
    <pivotField showAll="0"/>
    <pivotField showAll="0"/>
    <pivotField axis="axisPage" showAll="0">
      <items count="5">
        <item x="0"/>
        <item x="1"/>
        <item x="2"/>
        <item m="1" x="3"/>
        <item t="default"/>
      </items>
    </pivotField>
    <pivotField showAll="0"/>
    <pivotField showAll="0"/>
    <pivotField axis="axisPage" showAll="0">
      <items count="3">
        <item x="0"/>
        <item x="1"/>
        <item t="default"/>
      </items>
    </pivotField>
    <pivotField showAll="0">
      <items count="3">
        <item x="1"/>
        <item x="0"/>
        <item t="default"/>
      </items>
    </pivotField>
  </pivotFields>
  <rowFields count="1">
    <field x="0"/>
  </rowFields>
  <colItems count="1">
    <i/>
  </colItems>
  <pageFields count="2">
    <pageField fld="19" item="1" hier="-1"/>
    <pageField fld="22" item="0" hier="-1"/>
  </page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5CD2F283-492E-4C90-9CBB-5650888C485C}" name="StatPiv6" cacheId="2" applyNumberFormats="0" applyBorderFormats="0" applyFontFormats="0" applyPatternFormats="0" applyAlignmentFormats="0" applyWidthHeightFormats="1" dataCaption="Values" updatedVersion="7" minRefreshableVersion="3" useAutoFormatting="1" rowGrandTotals="0" colGrandTotals="0" itemPrintTitles="1" createdVersion="6" indent="0" outline="1" outlineData="1" multipleFieldFilters="0">
  <location ref="K4" firstHeaderRow="1" firstDataRow="1" firstDataCol="1" rowPageCount="2" colPageCount="1"/>
  <pivotFields count="24">
    <pivotField axis="axisRow" showAll="0">
      <items count="33">
        <item x="21"/>
        <item x="22"/>
        <item x="23"/>
        <item x="24"/>
        <item x="25"/>
        <item x="26"/>
        <item x="27"/>
        <item x="28"/>
        <item x="29"/>
        <item x="30"/>
        <item x="31"/>
        <item x="0"/>
        <item x="1"/>
        <item x="2"/>
        <item x="3"/>
        <item x="4"/>
        <item x="5"/>
        <item x="6"/>
        <item x="7"/>
        <item x="8"/>
        <item x="9"/>
        <item x="10"/>
        <item x="11"/>
        <item x="12"/>
        <item x="13"/>
        <item x="14"/>
        <item x="15"/>
        <item x="16"/>
        <item x="17"/>
        <item x="18"/>
        <item x="19"/>
        <item x="20"/>
        <item t="default"/>
      </items>
    </pivotField>
    <pivotField showAll="0">
      <items count="9">
        <item x="6"/>
        <item x="0"/>
        <item x="1"/>
        <item x="5"/>
        <item x="2"/>
        <item x="3"/>
        <item x="4"/>
        <item x="7"/>
        <item t="default"/>
      </items>
    </pivotField>
    <pivotField showAll="0">
      <items count="8">
        <item h="1" x="5"/>
        <item h="1" x="2"/>
        <item h="1" x="3"/>
        <item h="1" x="1"/>
        <item h="1" x="0"/>
        <item x="4"/>
        <item h="1" x="6"/>
        <item t="default"/>
      </items>
    </pivotField>
    <pivotField showAll="0">
      <items count="9">
        <item x="6"/>
        <item x="3"/>
        <item x="2"/>
        <item x="5"/>
        <item x="0"/>
        <item x="4"/>
        <item x="1"/>
        <item x="7"/>
        <item t="default"/>
      </items>
    </pivotField>
    <pivotField showAll="0">
      <items count="6">
        <item x="3"/>
        <item x="2"/>
        <item x="0"/>
        <item x="1"/>
        <item x="4"/>
        <item t="default"/>
      </items>
    </pivotField>
    <pivotField numFmtId="14" showAll="0"/>
    <pivotField numFmtId="14" showAll="0"/>
    <pivotField showAll="0"/>
    <pivotField showAll="0"/>
    <pivotField showAll="0"/>
    <pivotField showAll="0"/>
    <pivotField showAll="0"/>
    <pivotField showAll="0"/>
    <pivotField showAll="0"/>
    <pivotField showAll="0"/>
    <pivotField showAll="0"/>
    <pivotField showAll="0"/>
    <pivotField axis="axisPage" showAll="0">
      <items count="5">
        <item x="0"/>
        <item x="1"/>
        <item x="2"/>
        <item m="1" x="3"/>
        <item t="default"/>
      </items>
    </pivotField>
    <pivotField showAll="0"/>
    <pivotField showAll="0"/>
    <pivotField showAll="0"/>
    <pivotField showAll="0"/>
    <pivotField axis="axisPage" showAll="0">
      <items count="3">
        <item x="0"/>
        <item x="1"/>
        <item t="default"/>
      </items>
    </pivotField>
    <pivotField showAll="0">
      <items count="3">
        <item x="1"/>
        <item x="0"/>
        <item t="default"/>
      </items>
    </pivotField>
  </pivotFields>
  <rowFields count="1">
    <field x="0"/>
  </rowFields>
  <colItems count="1">
    <i/>
  </colItems>
  <pageFields count="2">
    <pageField fld="17" item="1" hier="-1"/>
    <pageField fld="22" item="0" hier="-1"/>
  </page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6461A2F2-5808-4BD8-9E64-A33116998318}" name="StatPiv9" cacheId="2" applyNumberFormats="0" applyBorderFormats="0" applyFontFormats="0" applyPatternFormats="0" applyAlignmentFormats="0" applyWidthHeightFormats="1" dataCaption="Values" updatedVersion="7" minRefreshableVersion="3" useAutoFormatting="1" rowGrandTotals="0" colGrandTotals="0" itemPrintTitles="1" createdVersion="6" indent="0" outline="1" outlineData="1" multipleFieldFilters="0">
  <location ref="Q4" firstHeaderRow="1" firstDataRow="1" firstDataCol="1" rowPageCount="2" colPageCount="1"/>
  <pivotFields count="24">
    <pivotField axis="axisRow" showAll="0">
      <items count="33">
        <item x="21"/>
        <item x="22"/>
        <item x="23"/>
        <item x="24"/>
        <item x="25"/>
        <item x="26"/>
        <item x="27"/>
        <item x="28"/>
        <item x="29"/>
        <item x="30"/>
        <item x="31"/>
        <item x="0"/>
        <item x="1"/>
        <item x="2"/>
        <item x="3"/>
        <item x="4"/>
        <item x="5"/>
        <item x="6"/>
        <item x="7"/>
        <item x="8"/>
        <item x="9"/>
        <item x="10"/>
        <item x="11"/>
        <item x="12"/>
        <item x="13"/>
        <item x="14"/>
        <item x="15"/>
        <item x="16"/>
        <item x="17"/>
        <item x="18"/>
        <item x="19"/>
        <item x="20"/>
        <item t="default"/>
      </items>
    </pivotField>
    <pivotField showAll="0">
      <items count="9">
        <item x="6"/>
        <item x="0"/>
        <item x="1"/>
        <item x="5"/>
        <item x="2"/>
        <item x="3"/>
        <item x="4"/>
        <item x="7"/>
        <item t="default"/>
      </items>
    </pivotField>
    <pivotField showAll="0">
      <items count="8">
        <item h="1" x="5"/>
        <item h="1" x="2"/>
        <item h="1" x="3"/>
        <item h="1" x="1"/>
        <item h="1" x="0"/>
        <item x="4"/>
        <item h="1" x="6"/>
        <item t="default"/>
      </items>
    </pivotField>
    <pivotField showAll="0">
      <items count="9">
        <item x="6"/>
        <item x="3"/>
        <item x="2"/>
        <item x="5"/>
        <item x="0"/>
        <item x="4"/>
        <item x="1"/>
        <item x="7"/>
        <item t="default"/>
      </items>
    </pivotField>
    <pivotField showAll="0">
      <items count="6">
        <item x="3"/>
        <item x="2"/>
        <item x="0"/>
        <item x="1"/>
        <item x="4"/>
        <item t="default"/>
      </items>
    </pivotField>
    <pivotField numFmtId="14" showAll="0"/>
    <pivotField numFmtId="14"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Page" showAll="0">
      <items count="5">
        <item x="0"/>
        <item x="1"/>
        <item x="2"/>
        <item x="3"/>
        <item t="default"/>
      </items>
    </pivotField>
    <pivotField showAll="0"/>
    <pivotField axis="axisPage" showAll="0">
      <items count="3">
        <item x="0"/>
        <item x="1"/>
        <item t="default"/>
      </items>
    </pivotField>
    <pivotField showAll="0">
      <items count="3">
        <item x="1"/>
        <item x="0"/>
        <item t="default"/>
      </items>
    </pivotField>
  </pivotFields>
  <rowFields count="1">
    <field x="0"/>
  </rowFields>
  <colItems count="1">
    <i/>
  </colItems>
  <pageFields count="2">
    <pageField fld="20" item="1" hier="-1"/>
    <pageField fld="22" item="0" hier="-1"/>
  </page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xml><?xml version="1.0" encoding="utf-8"?>
<pivotTableDefinition xmlns="http://schemas.openxmlformats.org/spreadsheetml/2006/main" xmlns:mc="http://schemas.openxmlformats.org/markup-compatibility/2006" xmlns:xr="http://schemas.microsoft.com/office/spreadsheetml/2014/revision" mc:Ignorable="xr" xr:uid="{C1264F6A-1A86-4202-8A49-4CEBD7C8FB22}" name="StatPiv4" cacheId="2" applyNumberFormats="0" applyBorderFormats="0" applyFontFormats="0" applyPatternFormats="0" applyAlignmentFormats="0" applyWidthHeightFormats="1" dataCaption="Values" updatedVersion="7" minRefreshableVersion="3" useAutoFormatting="1" rowGrandTotals="0" colGrandTotals="0" itemPrintTitles="1" createdVersion="6" indent="0" outline="1" outlineData="1" multipleFieldFilters="0">
  <location ref="G4:G7" firstHeaderRow="1" firstDataRow="1" firstDataCol="1" rowPageCount="2" colPageCount="1"/>
  <pivotFields count="24">
    <pivotField axis="axisRow" showAll="0">
      <items count="33">
        <item x="21"/>
        <item x="22"/>
        <item x="23"/>
        <item x="24"/>
        <item x="25"/>
        <item x="26"/>
        <item x="27"/>
        <item x="28"/>
        <item x="29"/>
        <item x="30"/>
        <item x="31"/>
        <item x="0"/>
        <item x="1"/>
        <item x="2"/>
        <item x="3"/>
        <item x="4"/>
        <item x="5"/>
        <item x="6"/>
        <item x="7"/>
        <item x="8"/>
        <item x="9"/>
        <item x="10"/>
        <item x="11"/>
        <item x="12"/>
        <item x="13"/>
        <item x="14"/>
        <item x="15"/>
        <item x="16"/>
        <item x="17"/>
        <item x="18"/>
        <item x="19"/>
        <item x="20"/>
        <item t="default"/>
      </items>
    </pivotField>
    <pivotField showAll="0">
      <items count="9">
        <item x="6"/>
        <item x="0"/>
        <item x="1"/>
        <item x="5"/>
        <item x="2"/>
        <item x="3"/>
        <item x="4"/>
        <item x="7"/>
        <item t="default"/>
      </items>
    </pivotField>
    <pivotField showAll="0">
      <items count="8">
        <item h="1" x="5"/>
        <item h="1" x="2"/>
        <item h="1" x="3"/>
        <item h="1" x="1"/>
        <item h="1" x="0"/>
        <item x="4"/>
        <item h="1" x="6"/>
        <item t="default"/>
      </items>
    </pivotField>
    <pivotField showAll="0">
      <items count="9">
        <item x="6"/>
        <item x="3"/>
        <item x="2"/>
        <item x="5"/>
        <item x="0"/>
        <item x="4"/>
        <item x="1"/>
        <item x="7"/>
        <item t="default"/>
      </items>
    </pivotField>
    <pivotField showAll="0">
      <items count="6">
        <item x="3"/>
        <item x="2"/>
        <item x="0"/>
        <item x="1"/>
        <item x="4"/>
        <item t="default"/>
      </items>
    </pivotField>
    <pivotField numFmtId="14" showAll="0"/>
    <pivotField numFmtId="14" showAll="0"/>
    <pivotField showAll="0"/>
    <pivotField showAll="0"/>
    <pivotField showAll="0"/>
    <pivotField showAll="0"/>
    <pivotField showAll="0"/>
    <pivotField showAll="0"/>
    <pivotField showAll="0"/>
    <pivotField showAll="0"/>
    <pivotField axis="axisPage" showAll="0">
      <items count="5">
        <item x="0"/>
        <item x="1"/>
        <item x="2"/>
        <item m="1" x="3"/>
        <item t="default"/>
      </items>
    </pivotField>
    <pivotField showAll="0"/>
    <pivotField showAll="0"/>
    <pivotField showAll="0"/>
    <pivotField showAll="0"/>
    <pivotField showAll="0"/>
    <pivotField showAll="0"/>
    <pivotField axis="axisPage" showAll="0">
      <items count="3">
        <item x="0"/>
        <item x="1"/>
        <item t="default"/>
      </items>
    </pivotField>
    <pivotField showAll="0">
      <items count="3">
        <item x="1"/>
        <item x="0"/>
        <item t="default"/>
      </items>
    </pivotField>
  </pivotFields>
  <rowFields count="1">
    <field x="0"/>
  </rowFields>
  <rowItems count="3">
    <i>
      <x v="22"/>
    </i>
    <i>
      <x v="24"/>
    </i>
    <i>
      <x v="27"/>
    </i>
  </rowItems>
  <colItems count="1">
    <i/>
  </colItems>
  <pageFields count="2">
    <pageField fld="15" item="1" hier="-1"/>
    <pageField fld="22" item="0" hier="-1"/>
  </page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Kanban_Board" xr10:uid="{10210654-BECF-4944-9E73-17F4B0F1A07E}" sourceName="Kanban Board">
  <pivotTables>
    <pivotTable tabId="6" name="StatPiv3"/>
    <pivotTable tabId="6" name="StatPiv10"/>
    <pivotTable tabId="6" name="StatPiv2"/>
    <pivotTable tabId="6" name="StatPiv4"/>
    <pivotTable tabId="6" name="StatPiv5"/>
    <pivotTable tabId="6" name="StatPiv6"/>
    <pivotTable tabId="6" name="StatPiv7"/>
    <pivotTable tabId="6" name="StatPiv8"/>
    <pivotTable tabId="6" name="StatPiv9"/>
  </pivotTables>
  <data>
    <tabular pivotCacheId="1976311902">
      <items count="8">
        <i x="0" s="1"/>
        <i x="5" s="1"/>
        <i x="4" s="1"/>
        <i x="6" s="1" nd="1"/>
        <i x="1" s="1" nd="1"/>
        <i x="2" s="1" nd="1"/>
        <i x="3" s="1" nd="1"/>
        <i x="7" s="1" nd="1"/>
      </items>
    </tabular>
  </data>
  <extLs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oject" xr10:uid="{9124146B-6C02-4921-B40F-0AE744548028}" sourceName="Project">
  <pivotTables>
    <pivotTable tabId="6" name="StatPiv3"/>
    <pivotTable tabId="6" name="StatPiv10"/>
    <pivotTable tabId="6" name="StatPiv2"/>
    <pivotTable tabId="6" name="StatPiv4"/>
    <pivotTable tabId="6" name="StatPiv5"/>
    <pivotTable tabId="6" name="StatPiv6"/>
    <pivotTable tabId="6" name="StatPiv7"/>
    <pivotTable tabId="6" name="StatPiv8"/>
    <pivotTable tabId="6" name="StatPiv9"/>
  </pivotTables>
  <data>
    <tabular pivotCacheId="1976311902">
      <items count="7">
        <i x="5"/>
        <i x="2"/>
        <i x="3"/>
        <i x="1"/>
        <i x="0"/>
        <i x="4" s="1"/>
        <i x="6" nd="1"/>
      </items>
    </tabular>
  </data>
  <extLst>
    <x:ext xmlns:x15="http://schemas.microsoft.com/office/spreadsheetml/2010/11/main" uri="{470722E0-AACD-4C17-9CDC-17EF765DBC7E}">
      <x15:slicerCacheHideItemsWithNoData/>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ssigned_To" xr10:uid="{4655A883-C1BA-4A1C-AE0F-A1BA84744E8E}" sourceName="Assigned To">
  <pivotTables>
    <pivotTable tabId="6" name="StatPiv4"/>
    <pivotTable tabId="6" name="StatPiv10"/>
    <pivotTable tabId="6" name="StatPiv2"/>
    <pivotTable tabId="6" name="StatPiv3"/>
    <pivotTable tabId="6" name="StatPiv5"/>
    <pivotTable tabId="6" name="StatPiv6"/>
    <pivotTable tabId="6" name="StatPiv7"/>
    <pivotTable tabId="6" name="StatPiv8"/>
    <pivotTable tabId="6" name="StatPiv9"/>
  </pivotTables>
  <data>
    <tabular pivotCacheId="1976311902">
      <items count="8">
        <i x="5" s="1"/>
        <i x="4" s="1"/>
        <i x="1" s="1"/>
        <i x="6" s="1" nd="1"/>
        <i x="3" s="1" nd="1"/>
        <i x="2" s="1" nd="1"/>
        <i x="0" s="1" nd="1"/>
        <i x="7" s="1" nd="1"/>
      </items>
    </tabular>
  </data>
  <extLst>
    <x:ext xmlns:x15="http://schemas.microsoft.com/office/spreadsheetml/2010/11/main" uri="{470722E0-AACD-4C17-9CDC-17EF765DBC7E}">
      <x15:slicerCacheHideItemsWithNoData/>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iority" xr10:uid="{F3F46111-00D2-4E8A-9207-92EB741E9944}" sourceName="Priority">
  <pivotTables>
    <pivotTable tabId="6" name="StatPiv4"/>
    <pivotTable tabId="6" name="StatPiv10"/>
    <pivotTable tabId="6" name="StatPiv2"/>
    <pivotTable tabId="6" name="StatPiv3"/>
    <pivotTable tabId="6" name="StatPiv5"/>
    <pivotTable tabId="6" name="StatPiv6"/>
    <pivotTable tabId="6" name="StatPiv7"/>
    <pivotTable tabId="6" name="StatPiv8"/>
    <pivotTable tabId="6" name="StatPiv9"/>
  </pivotTables>
  <data>
    <tabular pivotCacheId="1976311902">
      <items count="5">
        <i x="2" s="1"/>
        <i x="1" s="1"/>
        <i x="3" s="1" nd="1"/>
        <i x="0" s="1" nd="1"/>
        <i x="4" s="1" nd="1"/>
      </items>
    </tabular>
  </data>
  <extLst>
    <x:ext xmlns:x15="http://schemas.microsoft.com/office/spreadsheetml/2010/11/main" uri="{470722E0-AACD-4C17-9CDC-17EF765DBC7E}">
      <x15:slicerCacheHideItemsWithNoData/>
    </x:ext>
  </extLst>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Overdue" xr10:uid="{C3900294-7C97-4089-AC38-9550AB23CF62}" sourceName="Overdue">
  <pivotTables>
    <pivotTable tabId="6" name="StatPiv3"/>
    <pivotTable tabId="6" name="StatPiv10"/>
    <pivotTable tabId="6" name="StatPiv2"/>
    <pivotTable tabId="6" name="StatPiv4"/>
    <pivotTable tabId="6" name="StatPiv5"/>
    <pivotTable tabId="6" name="StatPiv6"/>
    <pivotTable tabId="6" name="StatPiv7"/>
    <pivotTable tabId="6" name="StatPiv8"/>
    <pivotTable tabId="6" name="StatPiv9"/>
  </pivotTables>
  <data>
    <tabular pivotCacheId="1976311902">
      <items count="2">
        <i x="1" s="1"/>
        <i x="0" s="1"/>
      </items>
    </tabular>
  </data>
  <extLst>
    <x:ext xmlns:x15="http://schemas.microsoft.com/office/spreadsheetml/2010/11/main" uri="{470722E0-AACD-4C17-9CDC-17EF765DBC7E}">
      <x15:slicerCacheHideItemsWithNoData/>
    </x:ext>
  </extLst>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ssigned_To1" xr10:uid="{C2355B47-1471-4D0A-9B19-D59A87BCBDD1}" sourceName="Assigned To">
  <pivotTables>
    <pivotTable tabId="10" name="PivotTable17"/>
    <pivotTable tabId="10" name="PivotTable18"/>
    <pivotTable tabId="10" name="PivotTable20"/>
  </pivotTables>
  <data>
    <tabular pivotCacheId="1686832097">
      <items count="25">
        <i x="3" s="1"/>
        <i x="2" s="1"/>
        <i x="5" s="1"/>
        <i x="0" s="1"/>
        <i x="4" s="1"/>
        <i x="1" s="1"/>
        <i x="15" s="1" nd="1"/>
        <i x="22" s="1" nd="1"/>
        <i x="17" s="1" nd="1"/>
        <i x="7" s="1" nd="1"/>
        <i x="13" s="1" nd="1"/>
        <i x="21" s="1" nd="1"/>
        <i x="18" s="1" nd="1"/>
        <i x="20" s="1" nd="1"/>
        <i x="11" s="1" nd="1"/>
        <i x="10" s="1" nd="1"/>
        <i x="9" s="1" nd="1"/>
        <i x="23" s="1" nd="1"/>
        <i x="8" s="1" nd="1"/>
        <i x="19" s="1" nd="1"/>
        <i x="24" s="1" nd="1"/>
        <i x="16" s="1" nd="1"/>
        <i x="14" s="1" nd="1"/>
        <i x="12" s="1" nd="1"/>
        <i x="6" s="1" nd="1"/>
      </items>
    </tabular>
  </data>
  <extLst>
    <x:ext xmlns:x15="http://schemas.microsoft.com/office/spreadsheetml/2010/11/main" uri="{470722E0-AACD-4C17-9CDC-17EF765DBC7E}">
      <x15:slicerCacheHideItemsWithNoData/>
    </x:ext>
  </extLst>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tatus" xr10:uid="{B1052A28-9D10-442C-85D7-9F1962CCC6BE}" sourceName="Status">
  <pivotTables>
    <pivotTable tabId="10" name="PivotTable17"/>
    <pivotTable tabId="10" name="PivotTable19"/>
    <pivotTable tabId="10" name="PivotTable20"/>
  </pivotTables>
  <data>
    <tabular pivotCacheId="1686832097">
      <items count="12">
        <i x="6" s="1"/>
        <i x="5" s="1"/>
        <i x="7" s="1"/>
        <i x="3" s="1"/>
        <i x="8" s="1"/>
        <i x="4" s="1"/>
        <i x="2" s="1"/>
        <i x="0" s="1"/>
        <i x="1" s="1"/>
        <i x="11" s="1" nd="1"/>
        <i x="10" s="1" nd="1"/>
        <i x="9" s="1" nd="1"/>
      </items>
    </tabular>
  </data>
  <extLst>
    <x:ext xmlns:x15="http://schemas.microsoft.com/office/spreadsheetml/2010/11/main" uri="{470722E0-AACD-4C17-9CDC-17EF765DBC7E}">
      <x15:slicerCacheHideItemsWithNoData/>
    </x:ext>
  </extLst>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__Progress" xr10:uid="{9486B236-603B-484A-9983-A63D0475967A}" sourceName="% Progress">
  <pivotTables>
    <pivotTable tabId="10" name="PivotTable17"/>
    <pivotTable tabId="10" name="PivotTable18"/>
    <pivotTable tabId="10" name="PivotTable19"/>
    <pivotTable tabId="10" name="PivotTable20"/>
  </pivotTables>
  <data>
    <tabular pivotCacheId="1686832097">
      <items count="12">
        <i x="2" s="1"/>
        <i x="0" s="1"/>
        <i x="10" s="1"/>
        <i x="5" s="1"/>
        <i x="9" s="1"/>
        <i x="1" s="1"/>
        <i x="3" s="1"/>
        <i x="6" s="1"/>
        <i x="7" s="1"/>
        <i x="4" s="1"/>
        <i x="8" s="1"/>
        <i x="11" s="1" nd="1"/>
      </items>
    </tabular>
  </data>
  <extLst>
    <x:ext xmlns:x15="http://schemas.microsoft.com/office/spreadsheetml/2010/11/main" uri="{470722E0-AACD-4C17-9CDC-17EF765DBC7E}">
      <x15:slicerCacheHideItemsWithNoData/>
    </x:ext>
  </extLst>
</slicerCacheDefinition>
</file>

<file path=xl/slicerCaches/slicerCache9.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Kanban_Board1" xr10:uid="{1DF4C3F8-33B2-491E-833D-A67217D80F27}" sourceName="Kanban Board">
  <pivotTables>
    <pivotTable tabId="10" name="PivotTable18"/>
    <pivotTable tabId="10" name="PivotTable19"/>
    <pivotTable tabId="10" name="PivotTable20"/>
  </pivotTables>
  <data>
    <tabular pivotCacheId="1686832097">
      <items count="17">
        <i x="0" s="1"/>
        <i x="1" s="1"/>
        <i x="5" s="1"/>
        <i x="2" s="1"/>
        <i x="3" s="1"/>
        <i x="4" s="1"/>
        <i x="14" s="1" nd="1"/>
        <i x="11" s="1" nd="1"/>
        <i x="12" s="1" nd="1"/>
        <i x="13" s="1" nd="1"/>
        <i x="15" s="1" nd="1"/>
        <i x="7" s="1" nd="1"/>
        <i x="16" s="1" nd="1"/>
        <i x="10" s="1" nd="1"/>
        <i x="8" s="1" nd="1"/>
        <i x="9" s="1" nd="1"/>
        <i x="6" s="1" nd="1"/>
      </items>
    </tabular>
  </data>
  <extLs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Kanban Board" xr10:uid="{4A81298F-9DFD-4DAA-AA56-953FFCCE1FB5}" cache="Slicer_Kanban_Board" caption="Kanban Board" columnCount="3" rowHeight="241300"/>
  <slicer name="Project" xr10:uid="{9E307829-955A-451A-BBAF-DA88BD257577}" cache="Slicer_Project" caption="Project" columnCount="2" rowHeight="241300"/>
  <slicer name="Assigned To" xr10:uid="{F4D68966-D964-4F53-AA4B-175AA5057D6D}" cache="Slicer_Assigned_To" caption="Assigned To" rowHeight="241300"/>
  <slicer name="Priority" xr10:uid="{F9CFA7DB-4F83-481E-99B6-A8F41FA456B7}" cache="Slicer_Priority" caption="Priority" rowHeight="241300"/>
  <slicer name="Overdue" xr10:uid="{DDAA82A6-86ED-4152-9D2A-E8771855E976}" cache="Slicer_Overdue" caption="Overdue" rowHeight="356616"/>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ssigned To 1" xr10:uid="{F8E17EE6-F226-41F1-8F9C-329F14FEF7FC}" cache="Slicer_Assigned_To1" caption="Responsible Party" startItem="1" rowHeight="225425"/>
  <slicer name="Status" xr10:uid="{20E59131-A836-4F4B-AAB4-FD6B876821F0}" cache="Slicer_Status" caption="Status" columnCount="2" rowHeight="225425"/>
  <slicer name="% Progress" xr10:uid="{ACEB9568-A333-45D7-BDCD-AE3F629CB633}" cache="Slicer___Progress" caption="Task Progress %" columnCount="2" rowHeight="225425"/>
  <slicer name="Kanban Board 1" xr10:uid="{81EE7D69-2E64-41E9-B084-5C6C186628E9}" cache="Slicer_Kanban_Board1" caption="Kanban Board" columnCount="3" rowHeight="225425"/>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64A98B73-A728-4D29-8077-AD06E52C7F59}" name="InputTbl" displayName="InputTbl" ref="B1:J100" totalsRowShown="0" headerRowDxfId="1149" dataDxfId="1148">
  <autoFilter ref="B1:J100" xr:uid="{723D93F9-0A70-4603-BBD0-93028BFB6B10}"/>
  <tableColumns count="9">
    <tableColumn id="1" xr3:uid="{44F7E477-65F5-4B21-87DE-19F4344BF344}" name="Task Name" dataDxfId="1147"/>
    <tableColumn id="2" xr3:uid="{499F14E8-7806-4A34-B84E-940814265899}" name="Kanban Board" dataDxfId="1146"/>
    <tableColumn id="3" xr3:uid="{9A193761-32A1-4F2F-BDD2-4554E88E6E6D}" name="Project" dataDxfId="1145"/>
    <tableColumn id="4" xr3:uid="{CFC2E32B-3ACC-4BC7-9C7A-A3F623C9CE11}" name="Assigned To" dataDxfId="1144"/>
    <tableColumn id="5" xr3:uid="{0778F774-4A80-4172-B4C1-344F1DD88F53}" name="Priority" dataDxfId="1143"/>
    <tableColumn id="6" xr3:uid="{471C109A-43B7-42A2-A88A-D9C909E5D91C}" name="Start Date" dataDxfId="1142"/>
    <tableColumn id="7" xr3:uid="{1BA78E9A-F595-401A-A0AB-F1F686B018A8}" name="Due Date" dataDxfId="1141"/>
    <tableColumn id="9" xr3:uid="{1AD8F4EB-C074-4FB9-A371-79E45010E6C6}" name="Status" dataDxfId="1140"/>
    <tableColumn id="8" xr3:uid="{E84EDBB3-5346-4FB4-A59D-6582B378234A}" name="% Progress" dataDxfId="1139"/>
  </tableColumns>
  <tableStyleInfo name="TableStyleMedium7 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976AC1D7-A1BA-4427-BC07-B3CBA4592563}" name="DataTbl" displayName="DataTbl" ref="A1:X110" totalsRowShown="0" headerRowDxfId="4">
  <autoFilter ref="A1:X110" xr:uid="{46D4BD19-09DD-45C3-ABE7-3217D36EA6D7}"/>
  <tableColumns count="24">
    <tableColumn id="1" xr3:uid="{779166E6-598E-4DDB-AA9C-E18873FC1905}" name="Task Name">
      <calculatedColumnFormula>INDEX(InputTbl[],ROW(DataAgg!A1),MATCH($A$1,InputTbl[#Headers],0))</calculatedColumnFormula>
    </tableColumn>
    <tableColumn id="2" xr3:uid="{B47BE244-16EB-4A90-AA15-2DC1B0E3ABB7}" name="Kanban Board">
      <calculatedColumnFormula>INDEX(InputTbl[],ROW(DataAgg!B1),MATCH(B$1,InputTbl[#Headers],0))</calculatedColumnFormula>
    </tableColumn>
    <tableColumn id="3" xr3:uid="{D0248F69-EEF9-4780-B36B-DA32ACECA58B}" name="Project">
      <calculatedColumnFormula>INDEX(InputTbl[],ROW(DataAgg!C1),MATCH(C$1,InputTbl[#Headers],0))</calculatedColumnFormula>
    </tableColumn>
    <tableColumn id="4" xr3:uid="{FD33FFC0-6373-4484-87C1-793E63766CA3}" name="Assigned To">
      <calculatedColumnFormula>INDEX(InputTbl[],ROW(DataAgg!D1),MATCH(D$1,InputTbl[#Headers],0))</calculatedColumnFormula>
    </tableColumn>
    <tableColumn id="5" xr3:uid="{18FD754F-A36E-4EC9-8E66-11809B836418}" name="Priority">
      <calculatedColumnFormula>INDEX(InputTbl[],ROW(DataAgg!E1),MATCH(E$1,InputTbl[#Headers],0))</calculatedColumnFormula>
    </tableColumn>
    <tableColumn id="6" xr3:uid="{1810641E-FC44-446A-83FF-46B977170EE8}" name="Start Date" dataDxfId="3">
      <calculatedColumnFormula>INDEX(InputTbl[],ROW(DataAgg!F1),MATCH(F$1,InputTbl[#Headers],0))</calculatedColumnFormula>
    </tableColumn>
    <tableColumn id="7" xr3:uid="{65FC2F09-A42C-4BB5-A98D-BD24D9EE36F5}" name="Due Date" dataDxfId="2">
      <calculatedColumnFormula>INDEX(InputTbl[],ROW(DataAgg!G1),MATCH(G$1,InputTbl[#Headers],0))</calculatedColumnFormula>
    </tableColumn>
    <tableColumn id="8" xr3:uid="{C208DE24-6936-43AB-8726-7385DCADC311}" name="Status">
      <calculatedColumnFormula>INDEX(InputTbl[],ROW(DataAgg!H1),MATCH(H$1,InputTbl[#Headers],0))</calculatedColumnFormula>
    </tableColumn>
    <tableColumn id="9" xr3:uid="{C70AE6A1-45D7-4C6F-BA83-B8B28AA9FEDB}" name="% Progress">
      <calculatedColumnFormula>INDEX(InputTbl[],ROW(DataAgg!I1),MATCH(I$1,InputTbl[#Headers],0))</calculatedColumnFormula>
    </tableColumn>
    <tableColumn id="10" xr3:uid="{9F30F7AE-EA04-41A4-B2F3-2E67D25FDBAD}" name="Kanban Board Number">
      <calculatedColumnFormula>MATCH(B2,KanbanBoards,0)</calculatedColumnFormula>
    </tableColumn>
    <tableColumn id="11" xr3:uid="{836BE190-286C-471B-B17A-D34DFFD905A5}" name="Project Number">
      <calculatedColumnFormula>MATCH(C2,Projects,0)</calculatedColumnFormula>
    </tableColumn>
    <tableColumn id="12" xr3:uid="{FD313023-B356-475A-8499-22AF8CA51E29}" name="Team Member Number">
      <calculatedColumnFormula>MATCH(D2,TeamMembers,0)</calculatedColumnFormula>
    </tableColumn>
    <tableColumn id="13" xr3:uid="{906E5FF2-1CF0-4F6F-B5D3-F48501E81477}" name="Status 1" dataDxfId="1">
      <calculatedColumnFormula>IF(MATCH($H2,StatusOptions,0)=COLUMN(M:M)-12,"TRUE","FALSE")</calculatedColumnFormula>
    </tableColumn>
    <tableColumn id="14" xr3:uid="{EFD3DE25-EF52-4C54-84C4-4747A1160665}" name="Status 2">
      <calculatedColumnFormula>IF(MATCH($H2,StatusOptions,0)=COLUMN(N:N)-12,"TRUE","FALSE")</calculatedColumnFormula>
    </tableColumn>
    <tableColumn id="15" xr3:uid="{4BDA6443-C26E-40B2-8B8C-37BC43CBE475}" name="Status 3">
      <calculatedColumnFormula>IF(MATCH($H2,StatusOptions,0)=COLUMN(O:O)-12,"TRUE","FALSE")</calculatedColumnFormula>
    </tableColumn>
    <tableColumn id="16" xr3:uid="{E53A61CF-6C53-4522-9623-C027189416E7}" name="Status 4">
      <calculatedColumnFormula>IF(MATCH($H2,StatusOptions,0)=COLUMN(P:P)-12,"TRUE","FALSE")</calculatedColumnFormula>
    </tableColumn>
    <tableColumn id="17" xr3:uid="{4C265F65-FBA9-4230-95FD-D7C1DEB1089F}" name="Status 5">
      <calculatedColumnFormula>IF(MATCH($H2,StatusOptions,0)=COLUMN(Q:Q)-12,"TRUE","FALSE")</calculatedColumnFormula>
    </tableColumn>
    <tableColumn id="18" xr3:uid="{6FAB85DA-8FB7-4504-A785-87B4A15B751E}" name="Status 6">
      <calculatedColumnFormula>IF(MATCH($H2,StatusOptions,0)=COLUMN(R:R)-12,"TRUE","FALSE")</calculatedColumnFormula>
    </tableColumn>
    <tableColumn id="19" xr3:uid="{42515E5B-8591-46CB-BFAD-ADFCB997145D}" name="Status 7">
      <calculatedColumnFormula>IF(MATCH($H2,StatusOptions,0)=COLUMN(S:S)-12,"TRUE","FALSE")</calculatedColumnFormula>
    </tableColumn>
    <tableColumn id="20" xr3:uid="{E42CCE97-63F7-445F-894C-68D34193E60D}" name="Status 8">
      <calculatedColumnFormula>IF(MATCH($H2,StatusOptions,0)=COLUMN(T:T)-12,"TRUE","FALSE")</calculatedColumnFormula>
    </tableColumn>
    <tableColumn id="21" xr3:uid="{D2FCCB79-7946-4E6D-BCF8-CBB94020B089}" name="Status 9">
      <calculatedColumnFormula>IF(MATCH($H2,StatusOptions,0)=COLUMN(U:U)-12,"TRUE","FALSE")</calculatedColumnFormula>
    </tableColumn>
    <tableColumn id="22" xr3:uid="{7ADDE19C-660E-4F74-B882-2EBA2B25F093}" name="Status 10">
      <calculatedColumnFormula>IF(MATCH($H2,StatusOptions,0)=COLUMN(V:V)-12,"TRUE","FALSE")</calculatedColumnFormula>
    </tableColumn>
    <tableColumn id="23" xr3:uid="{F217FA49-2227-4C8E-BB7A-7EFFD847F217}" name="REFERENCE ENTRY?"/>
    <tableColumn id="24" xr3:uid="{7052D8BD-6044-46A8-9A36-57A2FBDBBCD8}" name="Overdue" dataDxfId="0">
      <calculatedColumnFormula>IF(DataTbl[[#This Row],[Task Name]]&lt;&gt;0,IF(AND(DataTbl[[#This Row],[Due Date]]&lt;NOW(),OR(DataTbl[[#This Row],[% Progress]]&lt;&gt;1,DataTbl[[#This Row],[Status]]&lt;&gt;"Completed")),"Yes","No"),"No")</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heme/themeOverride1.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3.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5" Type="http://schemas.microsoft.com/office/2007/relationships/slicer" Target="../slicers/slicer1.xml"/><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2" Type="http://schemas.microsoft.com/office/2007/relationships/slicer" Target="../slicers/slicer2.xml"/><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pivotTable" Target="../pivotTables/pivotTable4.xml"/></Relationships>
</file>

<file path=xl/worksheets/_rels/sheet7.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8" Type="http://schemas.openxmlformats.org/officeDocument/2006/relationships/pivotTable" Target="../pivotTables/pivotTable12.xml"/><Relationship Id="rId3" Type="http://schemas.openxmlformats.org/officeDocument/2006/relationships/pivotTable" Target="../pivotTables/pivotTable7.xml"/><Relationship Id="rId7" Type="http://schemas.openxmlformats.org/officeDocument/2006/relationships/pivotTable" Target="../pivotTables/pivotTable11.xml"/><Relationship Id="rId2" Type="http://schemas.openxmlformats.org/officeDocument/2006/relationships/pivotTable" Target="../pivotTables/pivotTable6.xml"/><Relationship Id="rId1" Type="http://schemas.openxmlformats.org/officeDocument/2006/relationships/pivotTable" Target="../pivotTables/pivotTable5.xml"/><Relationship Id="rId6" Type="http://schemas.openxmlformats.org/officeDocument/2006/relationships/pivotTable" Target="../pivotTables/pivotTable10.xml"/><Relationship Id="rId11" Type="http://schemas.openxmlformats.org/officeDocument/2006/relationships/printerSettings" Target="../printerSettings/printerSettings6.bin"/><Relationship Id="rId5" Type="http://schemas.openxmlformats.org/officeDocument/2006/relationships/pivotTable" Target="../pivotTables/pivotTable9.xml"/><Relationship Id="rId10" Type="http://schemas.openxmlformats.org/officeDocument/2006/relationships/pivotTable" Target="../pivotTables/pivotTable14.xml"/><Relationship Id="rId4" Type="http://schemas.openxmlformats.org/officeDocument/2006/relationships/pivotTable" Target="../pivotTables/pivotTable8.xml"/><Relationship Id="rId9" Type="http://schemas.openxmlformats.org/officeDocument/2006/relationships/pivotTable" Target="../pivotTables/pivotTable13.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5CEFB5-8F00-4B0C-B0A2-4B7A4E0A8543}">
  <sheetPr codeName="Sheet1"/>
  <dimension ref="B2:R67"/>
  <sheetViews>
    <sheetView showGridLines="0" showRowColHeaders="0" tabSelected="1" topLeftCell="A40" zoomScaleNormal="100" workbookViewId="0">
      <selection activeCell="G62" sqref="G62:I70"/>
    </sheetView>
  </sheetViews>
  <sheetFormatPr defaultColWidth="9" defaultRowHeight="12.75" x14ac:dyDescent="0.2"/>
  <cols>
    <col min="1" max="1" width="3.5703125" style="18" customWidth="1"/>
    <col min="2" max="2" width="0.85546875" style="42" customWidth="1"/>
    <col min="3" max="3" width="22.5703125" style="42" customWidth="1"/>
    <col min="4" max="4" width="0.85546875" style="42" customWidth="1"/>
    <col min="5" max="5" width="3.5703125" style="18" customWidth="1"/>
    <col min="6" max="6" width="17.5703125" style="18" customWidth="1"/>
    <col min="7" max="7" width="14.140625" style="18" customWidth="1"/>
    <col min="8" max="8" width="6.7109375" style="18" customWidth="1"/>
    <col min="9" max="9" width="91.42578125" style="18" customWidth="1"/>
    <col min="10" max="16384" width="9" style="18"/>
  </cols>
  <sheetData>
    <row r="2" spans="3:9" x14ac:dyDescent="0.2">
      <c r="C2" s="41" t="s">
        <v>84</v>
      </c>
      <c r="F2" s="33" t="s">
        <v>76</v>
      </c>
      <c r="H2" s="33"/>
    </row>
    <row r="4" spans="3:9" ht="14.45" customHeight="1" x14ac:dyDescent="0.2">
      <c r="C4" s="46" t="s">
        <v>86</v>
      </c>
      <c r="F4" s="33" t="s">
        <v>77</v>
      </c>
      <c r="H4" s="57" t="s">
        <v>85</v>
      </c>
      <c r="I4" s="57"/>
    </row>
    <row r="5" spans="3:9" ht="26.1" customHeight="1" x14ac:dyDescent="0.2">
      <c r="C5" s="46" t="s">
        <v>87</v>
      </c>
      <c r="H5" s="57" t="s">
        <v>90</v>
      </c>
      <c r="I5" s="57"/>
    </row>
    <row r="6" spans="3:9" ht="14.45" customHeight="1" x14ac:dyDescent="0.2">
      <c r="C6" s="46" t="s">
        <v>88</v>
      </c>
      <c r="H6" s="57" t="s">
        <v>97</v>
      </c>
      <c r="I6" s="57"/>
    </row>
    <row r="7" spans="3:9" ht="14.45" customHeight="1" x14ac:dyDescent="0.2">
      <c r="C7" s="46" t="s">
        <v>89</v>
      </c>
      <c r="H7" s="57" t="s">
        <v>91</v>
      </c>
      <c r="I7" s="57"/>
    </row>
    <row r="8" spans="3:9" ht="13.15" customHeight="1" x14ac:dyDescent="0.2">
      <c r="C8" s="43"/>
      <c r="H8" s="57" t="s">
        <v>98</v>
      </c>
      <c r="I8" s="57"/>
    </row>
    <row r="9" spans="3:9" x14ac:dyDescent="0.2">
      <c r="C9" s="44"/>
      <c r="H9" s="34"/>
      <c r="I9" s="34"/>
    </row>
    <row r="11" spans="3:9" x14ac:dyDescent="0.2">
      <c r="F11" s="33" t="s">
        <v>78</v>
      </c>
      <c r="H11" s="18">
        <v>3</v>
      </c>
    </row>
    <row r="13" spans="3:9" x14ac:dyDescent="0.2">
      <c r="F13" s="33" t="s">
        <v>79</v>
      </c>
    </row>
    <row r="14" spans="3:9" ht="30" customHeight="1" x14ac:dyDescent="0.2">
      <c r="G14" s="35" t="s">
        <v>92</v>
      </c>
      <c r="H14" s="55" t="s">
        <v>99</v>
      </c>
      <c r="I14" s="55"/>
    </row>
    <row r="15" spans="3:9" ht="30" customHeight="1" x14ac:dyDescent="0.2">
      <c r="G15" s="37" t="s">
        <v>96</v>
      </c>
      <c r="H15" s="55" t="s">
        <v>105</v>
      </c>
      <c r="I15" s="55"/>
    </row>
    <row r="16" spans="3:9" ht="15" customHeight="1" x14ac:dyDescent="0.2">
      <c r="G16" s="53" t="s">
        <v>95</v>
      </c>
      <c r="H16" s="54" t="s">
        <v>100</v>
      </c>
      <c r="I16" s="54"/>
    </row>
    <row r="17" spans="6:9" ht="15" customHeight="1" x14ac:dyDescent="0.2">
      <c r="G17" s="53"/>
      <c r="H17" s="54"/>
      <c r="I17" s="54"/>
    </row>
    <row r="18" spans="6:9" ht="15" customHeight="1" x14ac:dyDescent="0.2">
      <c r="H18" s="54"/>
      <c r="I18" s="54"/>
    </row>
    <row r="19" spans="6:9" ht="26.1" customHeight="1" x14ac:dyDescent="0.2">
      <c r="G19" s="37" t="s">
        <v>93</v>
      </c>
      <c r="H19" s="55" t="s">
        <v>101</v>
      </c>
      <c r="I19" s="55"/>
    </row>
    <row r="20" spans="6:9" ht="20.100000000000001" customHeight="1" x14ac:dyDescent="0.2">
      <c r="G20" s="37"/>
      <c r="H20" s="55"/>
      <c r="I20" s="55"/>
    </row>
    <row r="21" spans="6:9" ht="18.75" customHeight="1" x14ac:dyDescent="0.2">
      <c r="F21" s="38" t="s">
        <v>80</v>
      </c>
      <c r="G21" s="37"/>
      <c r="H21" s="38" t="s">
        <v>102</v>
      </c>
      <c r="I21" s="36"/>
    </row>
    <row r="22" spans="6:9" ht="30" customHeight="1" x14ac:dyDescent="0.2">
      <c r="G22" s="39" t="s">
        <v>81</v>
      </c>
      <c r="H22" s="56" t="s">
        <v>113</v>
      </c>
      <c r="I22" s="56"/>
    </row>
    <row r="23" spans="6:9" ht="20.100000000000001" customHeight="1" x14ac:dyDescent="0.2">
      <c r="G23" s="39" t="s">
        <v>82</v>
      </c>
      <c r="H23" s="55" t="s">
        <v>103</v>
      </c>
      <c r="I23" s="55"/>
    </row>
    <row r="24" spans="6:9" ht="30" customHeight="1" x14ac:dyDescent="0.2">
      <c r="G24" s="39" t="s">
        <v>83</v>
      </c>
      <c r="H24" s="55" t="s">
        <v>94</v>
      </c>
      <c r="I24" s="55"/>
    </row>
    <row r="25" spans="6:9" x14ac:dyDescent="0.2">
      <c r="G25" s="39"/>
      <c r="H25" s="55"/>
      <c r="I25" s="55"/>
    </row>
    <row r="26" spans="6:9" ht="13.15" customHeight="1" x14ac:dyDescent="0.2">
      <c r="G26" s="39"/>
      <c r="H26" s="58" t="s">
        <v>104</v>
      </c>
      <c r="I26" s="58"/>
    </row>
    <row r="27" spans="6:9" ht="45" customHeight="1" x14ac:dyDescent="0.2">
      <c r="G27" s="39" t="s">
        <v>81</v>
      </c>
      <c r="H27" s="55" t="s">
        <v>106</v>
      </c>
      <c r="I27" s="55"/>
    </row>
    <row r="28" spans="6:9" x14ac:dyDescent="0.2">
      <c r="G28" s="39"/>
      <c r="H28" s="55"/>
      <c r="I28" s="55"/>
    </row>
    <row r="29" spans="6:9" ht="13.15" customHeight="1" x14ac:dyDescent="0.2">
      <c r="G29" s="39"/>
      <c r="H29" s="58" t="s">
        <v>107</v>
      </c>
      <c r="I29" s="58"/>
    </row>
    <row r="30" spans="6:9" ht="30" customHeight="1" x14ac:dyDescent="0.2">
      <c r="G30" s="39" t="s">
        <v>81</v>
      </c>
      <c r="H30" s="55" t="s">
        <v>108</v>
      </c>
      <c r="I30" s="55"/>
    </row>
    <row r="31" spans="6:9" ht="45" customHeight="1" x14ac:dyDescent="0.2">
      <c r="G31" s="39" t="s">
        <v>82</v>
      </c>
      <c r="H31" s="55" t="s">
        <v>109</v>
      </c>
      <c r="I31" s="55"/>
    </row>
    <row r="32" spans="6:9" ht="30" customHeight="1" x14ac:dyDescent="0.2">
      <c r="G32" s="39" t="s">
        <v>83</v>
      </c>
      <c r="H32" s="55" t="s">
        <v>110</v>
      </c>
      <c r="I32" s="55"/>
    </row>
    <row r="33" spans="6:18" x14ac:dyDescent="0.2">
      <c r="H33" s="38"/>
    </row>
    <row r="34" spans="6:18" x14ac:dyDescent="0.2">
      <c r="H34" s="38" t="s">
        <v>111</v>
      </c>
    </row>
    <row r="35" spans="6:18" ht="45" customHeight="1" x14ac:dyDescent="0.2">
      <c r="G35" s="40" t="s">
        <v>81</v>
      </c>
      <c r="H35" s="55" t="s">
        <v>112</v>
      </c>
      <c r="I35" s="55"/>
    </row>
    <row r="36" spans="6:18" x14ac:dyDescent="0.2">
      <c r="H36" s="45"/>
    </row>
    <row r="37" spans="6:18" x14ac:dyDescent="0.2">
      <c r="H37" s="45"/>
    </row>
    <row r="38" spans="6:18" x14ac:dyDescent="0.2">
      <c r="F38" s="33" t="s">
        <v>159</v>
      </c>
      <c r="G38" s="45"/>
      <c r="H38" s="27" t="s">
        <v>160</v>
      </c>
      <c r="L38" s="50"/>
      <c r="M38" s="50"/>
      <c r="N38" s="50"/>
      <c r="O38" s="50"/>
      <c r="P38" s="50"/>
      <c r="Q38" s="50"/>
      <c r="R38" s="50"/>
    </row>
    <row r="39" spans="6:18" x14ac:dyDescent="0.2">
      <c r="H39" s="27" t="s">
        <v>161</v>
      </c>
      <c r="L39" s="50"/>
      <c r="M39" s="50"/>
      <c r="N39" s="50"/>
      <c r="O39" s="50"/>
      <c r="P39" s="50"/>
      <c r="Q39" s="50"/>
      <c r="R39" s="50"/>
    </row>
    <row r="40" spans="6:18" x14ac:dyDescent="0.2">
      <c r="L40" s="50"/>
      <c r="M40" s="50"/>
      <c r="N40" s="50"/>
      <c r="O40" s="50"/>
      <c r="P40" s="50"/>
      <c r="Q40" s="50"/>
      <c r="R40" s="50"/>
    </row>
    <row r="41" spans="6:18" x14ac:dyDescent="0.2">
      <c r="G41" s="51" t="s">
        <v>162</v>
      </c>
      <c r="H41" s="18" t="s">
        <v>163</v>
      </c>
      <c r="L41" s="50"/>
      <c r="M41" s="50"/>
      <c r="N41" s="50"/>
      <c r="O41" s="50"/>
      <c r="P41" s="50"/>
      <c r="Q41" s="50"/>
      <c r="R41" s="50"/>
    </row>
    <row r="42" spans="6:18" x14ac:dyDescent="0.2">
      <c r="H42" s="45"/>
      <c r="L42" s="50"/>
      <c r="M42" s="50"/>
      <c r="N42" s="50"/>
      <c r="O42" s="50"/>
      <c r="P42" s="50"/>
      <c r="Q42" s="50"/>
      <c r="R42" s="50"/>
    </row>
    <row r="43" spans="6:18" x14ac:dyDescent="0.2">
      <c r="H43" s="45"/>
      <c r="L43" s="50"/>
      <c r="M43" s="50"/>
      <c r="N43" s="50"/>
      <c r="O43" s="50"/>
      <c r="P43" s="50"/>
      <c r="Q43" s="50"/>
      <c r="R43" s="50"/>
    </row>
    <row r="44" spans="6:18" x14ac:dyDescent="0.2">
      <c r="H44" s="45"/>
      <c r="L44" s="50"/>
      <c r="M44" s="50"/>
      <c r="N44" s="50"/>
      <c r="O44" s="50"/>
      <c r="P44" s="50"/>
      <c r="Q44" s="50"/>
      <c r="R44" s="50"/>
    </row>
    <row r="45" spans="6:18" x14ac:dyDescent="0.2">
      <c r="H45" s="45"/>
      <c r="L45" s="50"/>
      <c r="M45" s="50"/>
      <c r="N45" s="50"/>
      <c r="O45" s="50"/>
      <c r="P45" s="50"/>
      <c r="Q45" s="50"/>
      <c r="R45" s="50"/>
    </row>
    <row r="46" spans="6:18" x14ac:dyDescent="0.2">
      <c r="H46" s="45"/>
      <c r="L46" s="50"/>
      <c r="M46" s="50"/>
      <c r="N46" s="50"/>
      <c r="O46" s="50"/>
      <c r="P46" s="50"/>
      <c r="Q46" s="50"/>
      <c r="R46" s="50"/>
    </row>
    <row r="47" spans="6:18" x14ac:dyDescent="0.2">
      <c r="G47" s="51" t="s">
        <v>164</v>
      </c>
      <c r="H47" s="18" t="s">
        <v>165</v>
      </c>
      <c r="L47" s="50"/>
      <c r="M47" s="50"/>
      <c r="N47" s="50"/>
      <c r="O47" s="50"/>
      <c r="P47" s="50"/>
      <c r="Q47" s="50"/>
      <c r="R47" s="50"/>
    </row>
    <row r="48" spans="6:18" x14ac:dyDescent="0.2">
      <c r="L48" s="50"/>
      <c r="M48" s="50"/>
      <c r="N48" s="50"/>
      <c r="O48" s="50"/>
      <c r="P48" s="50"/>
      <c r="Q48" s="50"/>
      <c r="R48" s="50"/>
    </row>
    <row r="49" spans="7:18" x14ac:dyDescent="0.2">
      <c r="G49" s="51" t="s">
        <v>166</v>
      </c>
      <c r="H49" s="18" t="s">
        <v>167</v>
      </c>
      <c r="L49" s="50"/>
      <c r="M49" s="50"/>
      <c r="N49" s="50"/>
      <c r="O49" s="50"/>
      <c r="P49" s="50"/>
      <c r="Q49" s="50"/>
      <c r="R49" s="50"/>
    </row>
    <row r="50" spans="7:18" x14ac:dyDescent="0.2">
      <c r="L50" s="50"/>
      <c r="M50" s="50"/>
      <c r="N50" s="50"/>
      <c r="O50" s="50"/>
      <c r="P50" s="50"/>
      <c r="Q50" s="50"/>
      <c r="R50" s="50"/>
    </row>
    <row r="51" spans="7:18" x14ac:dyDescent="0.2">
      <c r="L51" s="50"/>
      <c r="M51" s="50"/>
      <c r="N51" s="50"/>
      <c r="O51" s="50"/>
      <c r="P51" s="50"/>
      <c r="Q51" s="50"/>
      <c r="R51" s="50"/>
    </row>
    <row r="52" spans="7:18" x14ac:dyDescent="0.2">
      <c r="L52" s="50"/>
      <c r="M52" s="50"/>
      <c r="N52" s="50"/>
      <c r="O52" s="50"/>
      <c r="P52" s="50"/>
      <c r="Q52" s="50"/>
      <c r="R52" s="50"/>
    </row>
    <row r="53" spans="7:18" x14ac:dyDescent="0.2">
      <c r="L53" s="50"/>
      <c r="M53" s="50"/>
      <c r="N53" s="50"/>
      <c r="O53" s="50"/>
      <c r="P53" s="50"/>
      <c r="Q53" s="50"/>
      <c r="R53" s="50"/>
    </row>
    <row r="54" spans="7:18" x14ac:dyDescent="0.2">
      <c r="L54" s="50"/>
      <c r="M54" s="50"/>
      <c r="N54" s="50"/>
      <c r="O54" s="50"/>
      <c r="P54" s="50"/>
      <c r="Q54" s="50"/>
      <c r="R54" s="50"/>
    </row>
    <row r="55" spans="7:18" x14ac:dyDescent="0.2">
      <c r="G55" s="51" t="s">
        <v>168</v>
      </c>
      <c r="H55" s="18" t="s">
        <v>169</v>
      </c>
      <c r="L55" s="50"/>
      <c r="M55" s="50"/>
      <c r="N55" s="50"/>
      <c r="O55" s="50"/>
      <c r="P55" s="50"/>
      <c r="Q55" s="50"/>
      <c r="R55" s="50"/>
    </row>
    <row r="56" spans="7:18" x14ac:dyDescent="0.2">
      <c r="L56" s="50"/>
      <c r="M56" s="50"/>
      <c r="N56" s="50"/>
      <c r="O56" s="50"/>
      <c r="P56" s="50"/>
      <c r="Q56" s="50"/>
      <c r="R56" s="50"/>
    </row>
    <row r="57" spans="7:18" x14ac:dyDescent="0.2">
      <c r="L57" s="50"/>
      <c r="M57" s="50"/>
      <c r="N57" s="50"/>
      <c r="O57" s="50"/>
      <c r="P57" s="50"/>
      <c r="Q57" s="50"/>
      <c r="R57" s="50"/>
    </row>
    <row r="58" spans="7:18" x14ac:dyDescent="0.2">
      <c r="L58" s="50"/>
      <c r="M58" s="50"/>
      <c r="N58" s="50"/>
      <c r="O58" s="50"/>
      <c r="P58" s="50"/>
      <c r="Q58" s="50"/>
      <c r="R58" s="50"/>
    </row>
    <row r="59" spans="7:18" x14ac:dyDescent="0.2">
      <c r="L59" s="50"/>
      <c r="M59" s="50"/>
      <c r="N59" s="50"/>
      <c r="O59" s="50"/>
      <c r="P59" s="50"/>
      <c r="Q59" s="50"/>
      <c r="R59" s="50"/>
    </row>
    <row r="60" spans="7:18" x14ac:dyDescent="0.2">
      <c r="L60" s="50"/>
      <c r="M60" s="50"/>
      <c r="N60" s="50"/>
      <c r="O60" s="50"/>
      <c r="P60" s="50"/>
      <c r="Q60" s="50"/>
      <c r="R60" s="50"/>
    </row>
    <row r="61" spans="7:18" x14ac:dyDescent="0.2">
      <c r="H61" s="27"/>
      <c r="L61" s="50"/>
      <c r="M61" s="50"/>
      <c r="N61" s="50"/>
      <c r="O61" s="50"/>
      <c r="P61" s="50"/>
      <c r="Q61" s="50"/>
      <c r="R61" s="50"/>
    </row>
    <row r="62" spans="7:18" x14ac:dyDescent="0.2">
      <c r="H62" s="50"/>
      <c r="L62" s="50"/>
      <c r="M62" s="50"/>
      <c r="N62" s="50"/>
      <c r="O62" s="50"/>
      <c r="P62" s="50"/>
      <c r="Q62" s="50"/>
      <c r="R62" s="50"/>
    </row>
    <row r="63" spans="7:18" ht="15" x14ac:dyDescent="0.25">
      <c r="H63" s="52"/>
      <c r="L63" s="50"/>
      <c r="M63" s="50"/>
      <c r="N63" s="50"/>
      <c r="O63" s="50"/>
      <c r="P63" s="50"/>
      <c r="Q63" s="50"/>
      <c r="R63" s="50"/>
    </row>
    <row r="64" spans="7:18" x14ac:dyDescent="0.2">
      <c r="H64" s="50"/>
      <c r="L64" s="50"/>
      <c r="M64" s="50"/>
      <c r="N64" s="50"/>
      <c r="O64" s="50"/>
      <c r="P64" s="50"/>
      <c r="Q64" s="50"/>
      <c r="R64" s="50"/>
    </row>
    <row r="65" spans="6:18" x14ac:dyDescent="0.2">
      <c r="H65" s="50"/>
      <c r="L65" s="50"/>
      <c r="M65" s="50"/>
      <c r="N65" s="50"/>
      <c r="O65" s="50"/>
      <c r="P65" s="50"/>
      <c r="Q65" s="50"/>
      <c r="R65" s="50"/>
    </row>
    <row r="66" spans="6:18" x14ac:dyDescent="0.2">
      <c r="H66" s="50"/>
      <c r="L66" s="50"/>
      <c r="M66" s="50"/>
      <c r="N66" s="50"/>
      <c r="O66" s="50"/>
      <c r="P66" s="50"/>
      <c r="Q66" s="50"/>
      <c r="R66" s="50"/>
    </row>
    <row r="67" spans="6:18" x14ac:dyDescent="0.2">
      <c r="F67" s="50"/>
      <c r="G67" s="50"/>
      <c r="H67" s="50"/>
      <c r="I67" s="50"/>
      <c r="J67" s="50"/>
      <c r="K67" s="50"/>
      <c r="L67" s="50"/>
      <c r="M67" s="50"/>
      <c r="N67" s="50"/>
      <c r="O67" s="50"/>
      <c r="P67" s="50"/>
      <c r="Q67" s="50"/>
      <c r="R67" s="50"/>
    </row>
  </sheetData>
  <mergeCells count="23">
    <mergeCell ref="H31:I31"/>
    <mergeCell ref="H32:I32"/>
    <mergeCell ref="H35:I35"/>
    <mergeCell ref="H28:I28"/>
    <mergeCell ref="H23:I23"/>
    <mergeCell ref="H24:I24"/>
    <mergeCell ref="H29:I29"/>
    <mergeCell ref="H30:I30"/>
    <mergeCell ref="H26:I26"/>
    <mergeCell ref="H27:I27"/>
    <mergeCell ref="H15:I15"/>
    <mergeCell ref="H19:I19"/>
    <mergeCell ref="H4:I4"/>
    <mergeCell ref="H5:I5"/>
    <mergeCell ref="H6:I6"/>
    <mergeCell ref="H7:I7"/>
    <mergeCell ref="H8:I8"/>
    <mergeCell ref="H14:I14"/>
    <mergeCell ref="G16:G17"/>
    <mergeCell ref="H16:I18"/>
    <mergeCell ref="H20:I20"/>
    <mergeCell ref="H22:I22"/>
    <mergeCell ref="H25:I25"/>
  </mergeCells>
  <conditionalFormatting sqref="H11">
    <cfRule type="iconSet" priority="1">
      <iconSet reverse="1">
        <cfvo type="percent" val="0"/>
        <cfvo type="num" val="2"/>
        <cfvo type="num" val="3"/>
      </iconSet>
    </cfRule>
  </conditionalFormatting>
  <hyperlinks>
    <hyperlink ref="C4" location="Setup!A1" display="Setup" xr:uid="{489B7117-4056-4FDB-83BB-BE7F46208830}"/>
    <hyperlink ref="C5" location="'Projects &amp; Tasks'!A1" display="Projects &amp; Tasks" xr:uid="{88609262-D941-484F-8FCC-496AF7765FBF}"/>
    <hyperlink ref="C6" location="Kanban!A1" display="Kanban" xr:uid="{0AE726A9-0065-4315-B07E-2397BFE7CC1B}"/>
    <hyperlink ref="C7" location="Dashboard!A1" display="Dashboard" xr:uid="{69222653-AD73-4F85-8CF4-801D70C907B2}"/>
  </hyperlinks>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385977-47CC-4774-BA27-2658F2544EA3}">
  <sheetPr codeName="SetupSht">
    <tabColor rgb="FF50B47F"/>
  </sheetPr>
  <dimension ref="A1:P43"/>
  <sheetViews>
    <sheetView showGridLines="0" showRowColHeaders="0" workbookViewId="0">
      <selection activeCell="B3" sqref="B3"/>
    </sheetView>
  </sheetViews>
  <sheetFormatPr defaultColWidth="0" defaultRowHeight="15" x14ac:dyDescent="0.25"/>
  <cols>
    <col min="1" max="1" width="2.42578125" customWidth="1"/>
    <col min="2" max="2" width="35.7109375" customWidth="1"/>
    <col min="3" max="3" width="3.7109375" customWidth="1"/>
    <col min="4" max="4" width="35.7109375" style="26" customWidth="1"/>
    <col min="5" max="5" width="3.7109375" customWidth="1"/>
    <col min="6" max="6" width="35.7109375" customWidth="1"/>
    <col min="7" max="7" width="3.7109375" customWidth="1"/>
    <col min="8" max="8" width="20.7109375" customWidth="1"/>
    <col min="9" max="9" width="3.7109375" customWidth="1"/>
    <col min="10" max="10" width="15.7109375" customWidth="1"/>
    <col min="11" max="11" width="11.140625" customWidth="1"/>
    <col min="12" max="12" width="5.7109375" customWidth="1"/>
    <col min="13" max="14" width="9.140625" hidden="1" customWidth="1"/>
    <col min="15" max="15" width="25" hidden="1" customWidth="1"/>
    <col min="16" max="16" width="0" hidden="1" customWidth="1"/>
    <col min="17" max="16384" width="9.140625" hidden="1"/>
  </cols>
  <sheetData>
    <row r="1" spans="1:16" x14ac:dyDescent="0.25">
      <c r="B1" s="26"/>
    </row>
    <row r="2" spans="1:16" ht="26.25" customHeight="1" x14ac:dyDescent="0.25">
      <c r="B2" s="30" t="s">
        <v>17</v>
      </c>
      <c r="C2" s="28"/>
      <c r="D2" s="31" t="s">
        <v>14</v>
      </c>
      <c r="E2" s="5"/>
      <c r="F2" s="30" t="s">
        <v>15</v>
      </c>
      <c r="G2" s="5"/>
      <c r="H2" s="30" t="s">
        <v>13</v>
      </c>
      <c r="J2" s="59" t="s">
        <v>73</v>
      </c>
      <c r="K2" s="60"/>
      <c r="O2" s="4" t="s">
        <v>74</v>
      </c>
      <c r="P2">
        <v>6</v>
      </c>
    </row>
    <row r="3" spans="1:16" ht="14.45" customHeight="1" x14ac:dyDescent="0.25">
      <c r="A3" s="49">
        <v>1</v>
      </c>
      <c r="B3" s="29" t="s">
        <v>4</v>
      </c>
      <c r="C3" s="5"/>
      <c r="D3" s="25" t="s">
        <v>20</v>
      </c>
      <c r="E3" s="5"/>
      <c r="F3" s="29" t="s">
        <v>119</v>
      </c>
      <c r="G3" s="5"/>
      <c r="H3" s="9" t="s">
        <v>127</v>
      </c>
      <c r="J3" s="61">
        <v>6</v>
      </c>
      <c r="K3" s="64"/>
    </row>
    <row r="4" spans="1:16" ht="14.45" customHeight="1" x14ac:dyDescent="0.25">
      <c r="A4" s="49">
        <v>2</v>
      </c>
      <c r="B4" s="29" t="s">
        <v>3</v>
      </c>
      <c r="C4" s="5"/>
      <c r="D4" s="25" t="s">
        <v>114</v>
      </c>
      <c r="E4" s="5"/>
      <c r="F4" s="29" t="s">
        <v>120</v>
      </c>
      <c r="G4" s="5"/>
      <c r="H4" s="9" t="s">
        <v>128</v>
      </c>
      <c r="J4" s="62"/>
      <c r="K4" s="65"/>
    </row>
    <row r="5" spans="1:16" ht="14.45" customHeight="1" x14ac:dyDescent="0.25">
      <c r="A5" s="49">
        <v>3</v>
      </c>
      <c r="B5" s="29" t="s">
        <v>2</v>
      </c>
      <c r="C5" s="5"/>
      <c r="D5" s="25" t="s">
        <v>115</v>
      </c>
      <c r="E5" s="5"/>
      <c r="F5" s="29" t="s">
        <v>121</v>
      </c>
      <c r="G5" s="5"/>
      <c r="H5" s="9" t="s">
        <v>129</v>
      </c>
      <c r="J5" s="63"/>
      <c r="K5" s="66"/>
    </row>
    <row r="6" spans="1:16" x14ac:dyDescent="0.25">
      <c r="A6" s="49">
        <v>4</v>
      </c>
      <c r="B6" s="29" t="s">
        <v>1</v>
      </c>
      <c r="C6" s="5"/>
      <c r="D6" s="25" t="s">
        <v>116</v>
      </c>
      <c r="E6" s="5"/>
      <c r="F6" s="29" t="s">
        <v>122</v>
      </c>
      <c r="G6" s="5"/>
      <c r="H6" s="9" t="s">
        <v>130</v>
      </c>
    </row>
    <row r="7" spans="1:16" x14ac:dyDescent="0.25">
      <c r="A7" s="49">
        <v>5</v>
      </c>
      <c r="B7" s="29" t="s">
        <v>7</v>
      </c>
      <c r="C7" s="5"/>
      <c r="D7" s="25" t="s">
        <v>117</v>
      </c>
      <c r="E7" s="5"/>
      <c r="F7" s="29" t="s">
        <v>123</v>
      </c>
      <c r="G7" s="5"/>
      <c r="H7" s="9" t="s">
        <v>131</v>
      </c>
      <c r="J7" s="5"/>
    </row>
    <row r="8" spans="1:16" x14ac:dyDescent="0.25">
      <c r="A8" s="49">
        <v>6</v>
      </c>
      <c r="B8" s="29" t="s">
        <v>0</v>
      </c>
      <c r="C8" s="5"/>
      <c r="D8" s="25" t="s">
        <v>118</v>
      </c>
      <c r="E8" s="5"/>
      <c r="F8" s="29" t="s">
        <v>124</v>
      </c>
      <c r="G8" s="5"/>
      <c r="H8" s="9" t="s">
        <v>132</v>
      </c>
      <c r="J8" s="5"/>
    </row>
    <row r="9" spans="1:16" x14ac:dyDescent="0.25">
      <c r="A9" s="49">
        <v>7</v>
      </c>
      <c r="B9" s="29" t="s">
        <v>5</v>
      </c>
      <c r="C9" s="5"/>
      <c r="D9" s="25"/>
      <c r="E9" s="5"/>
      <c r="F9" s="29" t="s">
        <v>125</v>
      </c>
      <c r="G9" s="5"/>
      <c r="H9" s="9"/>
      <c r="J9" s="5"/>
    </row>
    <row r="10" spans="1:16" x14ac:dyDescent="0.25">
      <c r="A10" s="49">
        <v>8</v>
      </c>
      <c r="B10" s="29" t="s">
        <v>6</v>
      </c>
      <c r="C10" s="5"/>
      <c r="D10" s="25"/>
      <c r="E10" s="5"/>
      <c r="F10" s="29" t="s">
        <v>126</v>
      </c>
      <c r="G10" s="5"/>
      <c r="H10" s="9"/>
      <c r="J10" s="5"/>
    </row>
    <row r="11" spans="1:16" x14ac:dyDescent="0.25">
      <c r="A11" s="49">
        <v>9</v>
      </c>
      <c r="B11" s="29" t="s">
        <v>31</v>
      </c>
      <c r="C11" s="5"/>
      <c r="D11" s="25"/>
      <c r="E11" s="5"/>
      <c r="F11" s="29"/>
      <c r="G11" s="5"/>
      <c r="H11" s="9"/>
      <c r="J11" s="5"/>
    </row>
    <row r="12" spans="1:16" x14ac:dyDescent="0.25">
      <c r="B12" s="25"/>
      <c r="C12" s="5"/>
      <c r="D12" s="25"/>
      <c r="E12" s="5"/>
      <c r="F12" s="29"/>
      <c r="G12" s="5"/>
      <c r="H12" s="9"/>
      <c r="J12" s="5"/>
    </row>
    <row r="13" spans="1:16" x14ac:dyDescent="0.25">
      <c r="B13" s="5"/>
      <c r="C13" s="5"/>
      <c r="D13" s="24"/>
      <c r="E13" s="5"/>
      <c r="F13" s="29"/>
      <c r="G13" s="5"/>
      <c r="H13" s="9"/>
      <c r="J13" s="5"/>
    </row>
    <row r="14" spans="1:16" x14ac:dyDescent="0.25">
      <c r="B14" s="5"/>
      <c r="C14" s="5"/>
      <c r="D14" s="24"/>
      <c r="E14" s="5"/>
      <c r="F14" s="29"/>
      <c r="G14" s="5"/>
      <c r="H14" s="9"/>
      <c r="J14" s="5"/>
    </row>
    <row r="15" spans="1:16" x14ac:dyDescent="0.25">
      <c r="B15" s="5"/>
      <c r="C15" s="5"/>
      <c r="D15" s="24"/>
      <c r="E15" s="5"/>
      <c r="F15" s="29"/>
      <c r="G15" s="5"/>
      <c r="H15" s="9"/>
      <c r="J15" s="5"/>
    </row>
    <row r="16" spans="1:16" x14ac:dyDescent="0.25">
      <c r="B16" s="5"/>
      <c r="C16" s="5"/>
      <c r="D16" s="24"/>
      <c r="E16" s="5"/>
      <c r="F16" s="29"/>
      <c r="G16" s="5"/>
      <c r="H16" s="9"/>
      <c r="J16" s="5"/>
    </row>
    <row r="17" spans="2:10" x14ac:dyDescent="0.25">
      <c r="B17" s="5"/>
      <c r="C17" s="5"/>
      <c r="D17" s="24"/>
      <c r="E17" s="5"/>
      <c r="F17" s="29"/>
      <c r="G17" s="5"/>
      <c r="H17" s="9"/>
      <c r="J17" s="5"/>
    </row>
    <row r="18" spans="2:10" x14ac:dyDescent="0.25">
      <c r="B18" s="5"/>
      <c r="C18" s="5"/>
      <c r="D18" s="24"/>
      <c r="E18" s="5"/>
      <c r="F18" s="29"/>
      <c r="G18" s="5"/>
      <c r="H18" s="9"/>
      <c r="J18" s="5"/>
    </row>
    <row r="19" spans="2:10" x14ac:dyDescent="0.25">
      <c r="C19" s="5"/>
      <c r="D19" s="24"/>
      <c r="E19" s="5"/>
      <c r="F19" s="25"/>
      <c r="G19" s="5"/>
      <c r="H19" s="5"/>
      <c r="J19" s="5"/>
    </row>
    <row r="20" spans="2:10" x14ac:dyDescent="0.25">
      <c r="C20" s="5"/>
      <c r="D20" s="24"/>
      <c r="E20" s="5"/>
      <c r="F20" s="25"/>
      <c r="G20" s="5"/>
      <c r="H20" s="5"/>
      <c r="J20" s="5"/>
    </row>
    <row r="21" spans="2:10" x14ac:dyDescent="0.25">
      <c r="C21" s="5"/>
      <c r="D21" s="24"/>
      <c r="E21" s="5"/>
      <c r="F21" s="25"/>
      <c r="G21" s="5"/>
      <c r="H21" s="5"/>
      <c r="J21" s="5"/>
    </row>
    <row r="22" spans="2:10" x14ac:dyDescent="0.25">
      <c r="C22" s="5"/>
      <c r="D22" s="24"/>
      <c r="E22" s="5"/>
      <c r="F22" s="25"/>
      <c r="G22" s="5"/>
      <c r="H22" s="5"/>
      <c r="J22" s="5"/>
    </row>
    <row r="23" spans="2:10" x14ac:dyDescent="0.25">
      <c r="C23" s="5"/>
      <c r="D23" s="24"/>
      <c r="E23" s="5"/>
      <c r="F23" s="25"/>
      <c r="G23" s="5"/>
      <c r="H23" s="5"/>
      <c r="J23" s="5"/>
    </row>
    <row r="24" spans="2:10" x14ac:dyDescent="0.25">
      <c r="C24" s="5"/>
      <c r="D24" s="24"/>
      <c r="E24" s="5"/>
      <c r="F24" s="25"/>
      <c r="G24" s="5"/>
      <c r="H24" s="5"/>
      <c r="J24" s="5"/>
    </row>
    <row r="25" spans="2:10" x14ac:dyDescent="0.25">
      <c r="C25" s="5"/>
      <c r="D25" s="24"/>
      <c r="E25" s="5"/>
      <c r="F25" s="25"/>
      <c r="G25" s="5"/>
      <c r="H25" s="5"/>
      <c r="J25" s="5"/>
    </row>
    <row r="26" spans="2:10" x14ac:dyDescent="0.25">
      <c r="C26" s="5"/>
      <c r="D26" s="24"/>
      <c r="E26" s="5"/>
      <c r="F26" s="25"/>
      <c r="G26" s="5"/>
      <c r="H26" s="5"/>
      <c r="J26" s="5"/>
    </row>
    <row r="27" spans="2:10" x14ac:dyDescent="0.25">
      <c r="C27" s="5"/>
      <c r="D27" s="24"/>
      <c r="E27" s="5"/>
      <c r="F27" s="25"/>
      <c r="G27" s="5"/>
      <c r="H27" s="5"/>
      <c r="J27" s="5"/>
    </row>
    <row r="28" spans="2:10" x14ac:dyDescent="0.25">
      <c r="C28" s="5"/>
      <c r="D28" s="24"/>
      <c r="E28" s="5"/>
      <c r="F28" s="25"/>
      <c r="G28" s="5"/>
      <c r="H28" s="5"/>
      <c r="J28" s="5"/>
    </row>
    <row r="29" spans="2:10" x14ac:dyDescent="0.25">
      <c r="C29" s="5"/>
      <c r="D29" s="24"/>
      <c r="E29" s="5"/>
      <c r="F29" s="25"/>
      <c r="G29" s="5"/>
      <c r="H29" s="5"/>
      <c r="J29" s="5"/>
    </row>
    <row r="30" spans="2:10" x14ac:dyDescent="0.25">
      <c r="B30" s="5"/>
      <c r="C30" s="5"/>
      <c r="D30" s="24"/>
      <c r="E30" s="5"/>
      <c r="F30" s="25"/>
      <c r="G30" s="5"/>
      <c r="H30" s="5"/>
      <c r="J30" s="5"/>
    </row>
    <row r="31" spans="2:10" x14ac:dyDescent="0.25">
      <c r="B31" s="5"/>
      <c r="C31" s="5"/>
      <c r="D31" s="24"/>
      <c r="E31" s="5"/>
      <c r="F31" s="25"/>
      <c r="G31" s="5"/>
      <c r="H31" s="5"/>
      <c r="J31" s="5"/>
    </row>
    <row r="32" spans="2:10" x14ac:dyDescent="0.25">
      <c r="B32" s="5"/>
      <c r="C32" s="5"/>
      <c r="D32" s="24"/>
      <c r="E32" s="5"/>
      <c r="F32" s="25"/>
      <c r="G32" s="5"/>
      <c r="H32" s="5"/>
      <c r="J32" s="5"/>
    </row>
    <row r="33" spans="3:10" x14ac:dyDescent="0.25">
      <c r="C33" s="5"/>
      <c r="D33" s="24"/>
      <c r="E33" s="5"/>
      <c r="F33" s="25"/>
      <c r="G33" s="5"/>
      <c r="H33" s="5"/>
      <c r="J33" s="5"/>
    </row>
    <row r="34" spans="3:10" x14ac:dyDescent="0.25">
      <c r="C34" s="5"/>
      <c r="D34" s="24"/>
      <c r="E34" s="5"/>
      <c r="F34" s="25"/>
      <c r="G34" s="5"/>
      <c r="H34" s="5"/>
      <c r="J34" s="5"/>
    </row>
    <row r="35" spans="3:10" x14ac:dyDescent="0.25">
      <c r="C35" s="5"/>
      <c r="D35" s="24"/>
      <c r="E35" s="5"/>
      <c r="F35" s="25"/>
      <c r="G35" s="5"/>
      <c r="H35" s="5"/>
      <c r="J35" s="5"/>
    </row>
    <row r="36" spans="3:10" x14ac:dyDescent="0.25">
      <c r="C36" s="5"/>
      <c r="D36" s="24"/>
      <c r="E36" s="5"/>
      <c r="F36" s="25"/>
      <c r="G36" s="5"/>
      <c r="H36" s="5"/>
      <c r="J36" s="5"/>
    </row>
    <row r="37" spans="3:10" x14ac:dyDescent="0.25">
      <c r="C37" s="5"/>
      <c r="D37" s="24"/>
      <c r="E37" s="5"/>
      <c r="F37" s="25"/>
      <c r="G37" s="5"/>
      <c r="H37" s="5"/>
      <c r="J37" s="5"/>
    </row>
    <row r="38" spans="3:10" x14ac:dyDescent="0.25">
      <c r="C38" s="5"/>
      <c r="D38" s="24"/>
      <c r="E38" s="5"/>
      <c r="F38" s="25"/>
      <c r="G38" s="5"/>
      <c r="H38" s="5"/>
      <c r="J38" s="5"/>
    </row>
    <row r="39" spans="3:10" x14ac:dyDescent="0.25">
      <c r="C39" s="5"/>
      <c r="D39" s="24"/>
      <c r="E39" s="5"/>
      <c r="F39" s="25"/>
      <c r="G39" s="5"/>
      <c r="H39" s="5"/>
      <c r="J39" s="5"/>
    </row>
    <row r="40" spans="3:10" x14ac:dyDescent="0.25">
      <c r="C40" s="5"/>
      <c r="D40" s="24"/>
      <c r="E40" s="5"/>
      <c r="F40" s="25"/>
      <c r="G40" s="5"/>
      <c r="H40" s="5"/>
      <c r="J40" s="5"/>
    </row>
    <row r="41" spans="3:10" x14ac:dyDescent="0.25">
      <c r="C41" s="5"/>
      <c r="D41" s="24"/>
      <c r="E41" s="5"/>
      <c r="F41" s="25"/>
      <c r="G41" s="5"/>
      <c r="H41" s="5"/>
      <c r="J41" s="5"/>
    </row>
    <row r="42" spans="3:10" x14ac:dyDescent="0.25">
      <c r="C42" s="5"/>
      <c r="D42" s="24"/>
      <c r="E42" s="5"/>
      <c r="F42" s="25"/>
      <c r="G42" s="5"/>
      <c r="H42" s="5"/>
      <c r="J42" s="5"/>
    </row>
    <row r="43" spans="3:10" x14ac:dyDescent="0.25">
      <c r="C43" s="5"/>
      <c r="D43" s="24"/>
      <c r="E43" s="5"/>
      <c r="F43" s="25"/>
      <c r="G43" s="5"/>
      <c r="H43" s="5"/>
      <c r="J43" s="5"/>
    </row>
  </sheetData>
  <mergeCells count="3">
    <mergeCell ref="J2:K2"/>
    <mergeCell ref="J3:J5"/>
    <mergeCell ref="K3:K5"/>
  </mergeCells>
  <phoneticPr fontId="5" type="noConversion"/>
  <conditionalFormatting sqref="D3:D1048576">
    <cfRule type="notContainsBlanks" dxfId="1151" priority="2">
      <formula>LEN(TRIM(D3))&gt;0</formula>
    </cfRule>
  </conditionalFormatting>
  <conditionalFormatting sqref="F3:F1048576">
    <cfRule type="notContainsBlanks" dxfId="1150" priority="1">
      <formula>LEN(TRIM(F3))&gt;0</formula>
    </cfRule>
  </conditionalFormatting>
  <pageMargins left="0.7" right="0.7" top="0.75" bottom="0.75" header="0.3" footer="0.3"/>
  <pageSetup orientation="portrait" r:id="rId1"/>
  <drawing r:id="rId2"/>
  <legacyDrawing r:id="rId3"/>
  <controls>
    <mc:AlternateContent xmlns:mc="http://schemas.openxmlformats.org/markup-compatibility/2006">
      <mc:Choice Requires="x14">
        <control shapeId="2052" r:id="rId4" name="HeadingBtn">
          <controlPr defaultSize="0" autoLine="0" linkedCell="J3" r:id="rId5">
            <anchor moveWithCells="1">
              <from>
                <xdr:col>10</xdr:col>
                <xdr:colOff>152400</xdr:colOff>
                <xdr:row>2</xdr:row>
                <xdr:rowOff>114300</xdr:rowOff>
              </from>
              <to>
                <xdr:col>10</xdr:col>
                <xdr:colOff>628650</xdr:colOff>
                <xdr:row>4</xdr:row>
                <xdr:rowOff>76200</xdr:rowOff>
              </to>
            </anchor>
          </controlPr>
        </control>
      </mc:Choice>
      <mc:Fallback>
        <control shapeId="2052" r:id="rId4" name="HeadingBtn"/>
      </mc:Fallback>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6061E7-778E-4B90-8887-C488C679D048}">
  <sheetPr codeName="Sheet6">
    <tabColor rgb="FF50B47F"/>
  </sheetPr>
  <dimension ref="A1:K101"/>
  <sheetViews>
    <sheetView showGridLines="0" showRowColHeaders="0" workbookViewId="0">
      <selection activeCell="D25" sqref="D25"/>
    </sheetView>
  </sheetViews>
  <sheetFormatPr defaultColWidth="0" defaultRowHeight="15" zeroHeight="1" x14ac:dyDescent="0.25"/>
  <cols>
    <col min="1" max="1" width="1.85546875" customWidth="1"/>
    <col min="2" max="2" width="16.7109375" bestFit="1" customWidth="1"/>
    <col min="3" max="3" width="20.140625" bestFit="1" customWidth="1"/>
    <col min="4" max="4" width="47.5703125" customWidth="1"/>
    <col min="5" max="5" width="18.28515625" bestFit="1" customWidth="1"/>
    <col min="6" max="6" width="12.85546875" bestFit="1" customWidth="1"/>
    <col min="7" max="7" width="15.7109375" bestFit="1" customWidth="1"/>
    <col min="8" max="8" width="15" bestFit="1" customWidth="1"/>
    <col min="9" max="9" width="12" bestFit="1" customWidth="1"/>
    <col min="10" max="10" width="17.28515625" bestFit="1" customWidth="1"/>
    <col min="11" max="11" width="4.85546875" customWidth="1"/>
    <col min="12" max="16384" width="9.140625" hidden="1"/>
  </cols>
  <sheetData>
    <row r="1" spans="2:10" x14ac:dyDescent="0.25">
      <c r="B1" s="32" t="s">
        <v>18</v>
      </c>
      <c r="C1" s="32" t="s">
        <v>19</v>
      </c>
      <c r="D1" s="32" t="s">
        <v>8</v>
      </c>
      <c r="E1" s="32" t="s">
        <v>9</v>
      </c>
      <c r="F1" s="32" t="s">
        <v>10</v>
      </c>
      <c r="G1" s="32" t="s">
        <v>11</v>
      </c>
      <c r="H1" s="32" t="s">
        <v>12</v>
      </c>
      <c r="I1" s="32" t="s">
        <v>26</v>
      </c>
      <c r="J1" s="32" t="s">
        <v>16</v>
      </c>
    </row>
    <row r="2" spans="2:10" x14ac:dyDescent="0.25">
      <c r="B2" s="25" t="s">
        <v>133</v>
      </c>
      <c r="C2" s="25" t="s">
        <v>20</v>
      </c>
      <c r="D2" s="25" t="s">
        <v>122</v>
      </c>
      <c r="E2" s="25" t="s">
        <v>127</v>
      </c>
      <c r="F2" s="25" t="s">
        <v>22</v>
      </c>
      <c r="G2" s="47">
        <v>43923</v>
      </c>
      <c r="H2" s="47">
        <v>44210</v>
      </c>
      <c r="I2" s="47" t="s">
        <v>2</v>
      </c>
      <c r="J2" s="48">
        <v>0.1</v>
      </c>
    </row>
    <row r="3" spans="2:10" x14ac:dyDescent="0.25">
      <c r="B3" s="25" t="s">
        <v>134</v>
      </c>
      <c r="C3" s="25" t="s">
        <v>114</v>
      </c>
      <c r="D3" s="25" t="s">
        <v>121</v>
      </c>
      <c r="E3" s="25" t="s">
        <v>128</v>
      </c>
      <c r="F3" s="25" t="s">
        <v>23</v>
      </c>
      <c r="G3" s="47">
        <v>43851</v>
      </c>
      <c r="H3" s="47">
        <v>44135</v>
      </c>
      <c r="I3" s="47" t="s">
        <v>5</v>
      </c>
      <c r="J3" s="48">
        <v>0.5</v>
      </c>
    </row>
    <row r="4" spans="2:10" x14ac:dyDescent="0.25">
      <c r="B4" s="25" t="s">
        <v>135</v>
      </c>
      <c r="C4" s="25" t="s">
        <v>116</v>
      </c>
      <c r="D4" s="25" t="s">
        <v>122</v>
      </c>
      <c r="E4" s="25" t="s">
        <v>127</v>
      </c>
      <c r="F4" s="25" t="s">
        <v>24</v>
      </c>
      <c r="G4" s="47">
        <v>43940</v>
      </c>
      <c r="H4" s="47">
        <v>44044</v>
      </c>
      <c r="I4" s="47" t="s">
        <v>3</v>
      </c>
      <c r="J4" s="48">
        <v>0</v>
      </c>
    </row>
    <row r="5" spans="2:10" x14ac:dyDescent="0.25">
      <c r="B5" s="25" t="s">
        <v>136</v>
      </c>
      <c r="C5" s="25" t="s">
        <v>114</v>
      </c>
      <c r="D5" s="25" t="s">
        <v>122</v>
      </c>
      <c r="E5" s="25" t="s">
        <v>130</v>
      </c>
      <c r="F5" s="25" t="s">
        <v>22</v>
      </c>
      <c r="G5" s="47">
        <v>43840</v>
      </c>
      <c r="H5" s="47">
        <v>44154</v>
      </c>
      <c r="I5" s="47" t="s">
        <v>1</v>
      </c>
      <c r="J5" s="48">
        <v>0.6</v>
      </c>
    </row>
    <row r="6" spans="2:10" x14ac:dyDescent="0.25">
      <c r="B6" s="25" t="s">
        <v>137</v>
      </c>
      <c r="C6" s="25" t="s">
        <v>117</v>
      </c>
      <c r="D6" s="25" t="s">
        <v>121</v>
      </c>
      <c r="E6" s="25" t="s">
        <v>129</v>
      </c>
      <c r="F6" s="25" t="s">
        <v>23</v>
      </c>
      <c r="G6" s="47">
        <v>43968</v>
      </c>
      <c r="H6" s="47">
        <v>44144</v>
      </c>
      <c r="I6" s="47" t="s">
        <v>1</v>
      </c>
      <c r="J6" s="48">
        <v>0.89999999999999991</v>
      </c>
    </row>
    <row r="7" spans="2:10" x14ac:dyDescent="0.25">
      <c r="B7" s="25" t="s">
        <v>138</v>
      </c>
      <c r="C7" s="25" t="s">
        <v>117</v>
      </c>
      <c r="D7" s="25" t="s">
        <v>122</v>
      </c>
      <c r="E7" s="25" t="s">
        <v>131</v>
      </c>
      <c r="F7" s="25" t="s">
        <v>24</v>
      </c>
      <c r="G7" s="47">
        <v>43879</v>
      </c>
      <c r="H7" s="47">
        <v>44088</v>
      </c>
      <c r="I7" s="47" t="s">
        <v>6</v>
      </c>
      <c r="J7" s="48">
        <v>0.30000000000000004</v>
      </c>
    </row>
    <row r="8" spans="2:10" x14ac:dyDescent="0.25">
      <c r="B8" s="25" t="s">
        <v>139</v>
      </c>
      <c r="C8" s="25" t="s">
        <v>20</v>
      </c>
      <c r="D8" s="25" t="s">
        <v>119</v>
      </c>
      <c r="E8" s="25" t="s">
        <v>128</v>
      </c>
      <c r="F8" s="25" t="s">
        <v>22</v>
      </c>
      <c r="G8" s="47">
        <v>43863</v>
      </c>
      <c r="H8" s="47">
        <v>44166</v>
      </c>
      <c r="I8" s="47" t="s">
        <v>4</v>
      </c>
      <c r="J8" s="48">
        <v>0.7</v>
      </c>
    </row>
    <row r="9" spans="2:10" x14ac:dyDescent="0.25">
      <c r="B9" s="25" t="s">
        <v>140</v>
      </c>
      <c r="C9" s="25" t="s">
        <v>114</v>
      </c>
      <c r="D9" s="25" t="s">
        <v>120</v>
      </c>
      <c r="E9" s="25" t="s">
        <v>127</v>
      </c>
      <c r="F9" s="25" t="s">
        <v>22</v>
      </c>
      <c r="G9" s="47">
        <v>43930</v>
      </c>
      <c r="H9" s="47">
        <v>44243</v>
      </c>
      <c r="I9" s="47" t="s">
        <v>0</v>
      </c>
      <c r="J9" s="48">
        <v>0.79999999999999993</v>
      </c>
    </row>
    <row r="10" spans="2:10" x14ac:dyDescent="0.25">
      <c r="B10" s="25" t="s">
        <v>141</v>
      </c>
      <c r="C10" s="25" t="s">
        <v>118</v>
      </c>
      <c r="D10" s="25" t="s">
        <v>123</v>
      </c>
      <c r="E10" s="25" t="s">
        <v>131</v>
      </c>
      <c r="F10" s="25" t="s">
        <v>24</v>
      </c>
      <c r="G10" s="47">
        <v>43958</v>
      </c>
      <c r="H10" s="47">
        <v>44233</v>
      </c>
      <c r="I10" s="47" t="s">
        <v>7</v>
      </c>
      <c r="J10" s="48">
        <v>0.99999999999999989</v>
      </c>
    </row>
    <row r="11" spans="2:10" x14ac:dyDescent="0.25">
      <c r="B11" s="25" t="s">
        <v>142</v>
      </c>
      <c r="C11" s="25" t="s">
        <v>114</v>
      </c>
      <c r="D11" s="25" t="s">
        <v>119</v>
      </c>
      <c r="E11" s="25" t="s">
        <v>131</v>
      </c>
      <c r="F11" s="25" t="s">
        <v>23</v>
      </c>
      <c r="G11" s="47">
        <v>43922</v>
      </c>
      <c r="H11" s="47">
        <v>44036</v>
      </c>
      <c r="I11" s="47" t="s">
        <v>7</v>
      </c>
      <c r="J11" s="48">
        <v>0.99999999999999989</v>
      </c>
    </row>
    <row r="12" spans="2:10" x14ac:dyDescent="0.25">
      <c r="B12" s="25" t="s">
        <v>143</v>
      </c>
      <c r="C12" s="25" t="s">
        <v>115</v>
      </c>
      <c r="D12" s="25" t="s">
        <v>120</v>
      </c>
      <c r="E12" s="25" t="s">
        <v>130</v>
      </c>
      <c r="F12" s="25" t="s">
        <v>23</v>
      </c>
      <c r="G12" s="47">
        <v>43910</v>
      </c>
      <c r="H12" s="47">
        <v>44234</v>
      </c>
      <c r="I12" s="47" t="s">
        <v>1</v>
      </c>
      <c r="J12" s="48">
        <v>0.4</v>
      </c>
    </row>
    <row r="13" spans="2:10" x14ac:dyDescent="0.25">
      <c r="B13" s="25" t="s">
        <v>144</v>
      </c>
      <c r="C13" s="25" t="s">
        <v>115</v>
      </c>
      <c r="D13" s="25" t="s">
        <v>123</v>
      </c>
      <c r="E13" s="25" t="s">
        <v>128</v>
      </c>
      <c r="F13" s="25" t="s">
        <v>23</v>
      </c>
      <c r="G13" s="47">
        <v>43842</v>
      </c>
      <c r="H13" s="47">
        <v>44177</v>
      </c>
      <c r="I13" s="47" t="s">
        <v>1</v>
      </c>
      <c r="J13" s="48">
        <v>0.2</v>
      </c>
    </row>
    <row r="14" spans="2:10" x14ac:dyDescent="0.25">
      <c r="B14" s="25" t="s">
        <v>145</v>
      </c>
      <c r="C14" s="25" t="s">
        <v>20</v>
      </c>
      <c r="D14" s="25" t="s">
        <v>120</v>
      </c>
      <c r="E14" s="25" t="s">
        <v>127</v>
      </c>
      <c r="F14" s="25" t="s">
        <v>23</v>
      </c>
      <c r="G14" s="47">
        <v>43880</v>
      </c>
      <c r="H14" s="47">
        <v>44027</v>
      </c>
      <c r="I14" s="47" t="s">
        <v>31</v>
      </c>
      <c r="J14" s="48">
        <v>0.5</v>
      </c>
    </row>
    <row r="15" spans="2:10" x14ac:dyDescent="0.25">
      <c r="B15" s="25" t="s">
        <v>146</v>
      </c>
      <c r="C15" s="25" t="s">
        <v>20</v>
      </c>
      <c r="D15" s="25" t="s">
        <v>123</v>
      </c>
      <c r="E15" s="25" t="s">
        <v>132</v>
      </c>
      <c r="F15" s="25" t="s">
        <v>23</v>
      </c>
      <c r="G15" s="47">
        <v>43858</v>
      </c>
      <c r="H15" s="47">
        <v>44117</v>
      </c>
      <c r="I15" s="47" t="s">
        <v>1</v>
      </c>
      <c r="J15" s="48">
        <v>0.30000000000000004</v>
      </c>
    </row>
    <row r="16" spans="2:10" x14ac:dyDescent="0.25">
      <c r="B16" s="25" t="s">
        <v>147</v>
      </c>
      <c r="C16" s="25" t="s">
        <v>116</v>
      </c>
      <c r="D16" s="25" t="s">
        <v>119</v>
      </c>
      <c r="E16" s="25" t="s">
        <v>128</v>
      </c>
      <c r="F16" s="25" t="s">
        <v>22</v>
      </c>
      <c r="G16" s="47">
        <v>43902</v>
      </c>
      <c r="H16" s="47">
        <v>44193</v>
      </c>
      <c r="I16" s="47" t="s">
        <v>2</v>
      </c>
      <c r="J16" s="48">
        <v>0.2</v>
      </c>
    </row>
    <row r="17" spans="2:10" x14ac:dyDescent="0.25">
      <c r="B17" s="25" t="s">
        <v>148</v>
      </c>
      <c r="C17" s="25" t="s">
        <v>114</v>
      </c>
      <c r="D17" s="25" t="s">
        <v>120</v>
      </c>
      <c r="E17" s="25" t="s">
        <v>129</v>
      </c>
      <c r="F17" s="25" t="s">
        <v>24</v>
      </c>
      <c r="G17" s="47">
        <v>43927</v>
      </c>
      <c r="H17" s="47">
        <v>44170</v>
      </c>
      <c r="I17" s="47" t="s">
        <v>3</v>
      </c>
      <c r="J17" s="48">
        <v>0.1</v>
      </c>
    </row>
    <row r="18" spans="2:10" x14ac:dyDescent="0.25">
      <c r="B18" s="25" t="s">
        <v>149</v>
      </c>
      <c r="C18" s="25" t="s">
        <v>115</v>
      </c>
      <c r="D18" s="25" t="s">
        <v>123</v>
      </c>
      <c r="E18" s="25" t="s">
        <v>132</v>
      </c>
      <c r="F18" s="25" t="s">
        <v>24</v>
      </c>
      <c r="G18" s="47">
        <v>43965</v>
      </c>
      <c r="H18" s="47">
        <v>44260</v>
      </c>
      <c r="I18" s="47" t="s">
        <v>1</v>
      </c>
      <c r="J18" s="48">
        <v>0.79999999999999993</v>
      </c>
    </row>
    <row r="19" spans="2:10" x14ac:dyDescent="0.25">
      <c r="B19" s="25" t="s">
        <v>150</v>
      </c>
      <c r="C19" s="25" t="s">
        <v>118</v>
      </c>
      <c r="D19" s="25" t="s">
        <v>120</v>
      </c>
      <c r="E19" s="25" t="s">
        <v>130</v>
      </c>
      <c r="F19" s="25" t="s">
        <v>22</v>
      </c>
      <c r="G19" s="47">
        <v>43873</v>
      </c>
      <c r="H19" s="47">
        <v>44075</v>
      </c>
      <c r="I19" s="47" t="s">
        <v>2</v>
      </c>
      <c r="J19" s="48">
        <v>0.1</v>
      </c>
    </row>
    <row r="20" spans="2:10" x14ac:dyDescent="0.25">
      <c r="B20" s="25" t="s">
        <v>151</v>
      </c>
      <c r="C20" s="25" t="s">
        <v>117</v>
      </c>
      <c r="D20" s="25" t="s">
        <v>121</v>
      </c>
      <c r="E20" s="25" t="s">
        <v>130</v>
      </c>
      <c r="F20" s="25" t="s">
        <v>23</v>
      </c>
      <c r="G20" s="47">
        <v>43897</v>
      </c>
      <c r="H20" s="47">
        <v>44109</v>
      </c>
      <c r="I20" s="47" t="s">
        <v>1</v>
      </c>
      <c r="J20" s="48">
        <v>0.4</v>
      </c>
    </row>
    <row r="21" spans="2:10" x14ac:dyDescent="0.25">
      <c r="B21" s="25" t="s">
        <v>152</v>
      </c>
      <c r="C21" s="25" t="s">
        <v>116</v>
      </c>
      <c r="D21" s="25" t="s">
        <v>121</v>
      </c>
      <c r="E21" s="25" t="s">
        <v>131</v>
      </c>
      <c r="F21" s="25" t="s">
        <v>24</v>
      </c>
      <c r="G21" s="47">
        <v>43846</v>
      </c>
      <c r="H21" s="47">
        <v>44166</v>
      </c>
      <c r="I21" s="47" t="s">
        <v>31</v>
      </c>
      <c r="J21" s="48">
        <v>0.2</v>
      </c>
    </row>
    <row r="22" spans="2:10" x14ac:dyDescent="0.25">
      <c r="B22" s="25" t="s">
        <v>153</v>
      </c>
      <c r="C22" s="25" t="s">
        <v>115</v>
      </c>
      <c r="D22" s="25" t="s">
        <v>122</v>
      </c>
      <c r="E22" s="25" t="s">
        <v>128</v>
      </c>
      <c r="F22" s="25" t="s">
        <v>22</v>
      </c>
      <c r="G22" s="47">
        <v>43922</v>
      </c>
      <c r="H22" s="47">
        <v>44155</v>
      </c>
      <c r="I22" s="47" t="s">
        <v>0</v>
      </c>
      <c r="J22" s="48">
        <v>0.6</v>
      </c>
    </row>
    <row r="23" spans="2:10" x14ac:dyDescent="0.25">
      <c r="B23" s="25"/>
      <c r="C23" s="25"/>
      <c r="D23" s="25"/>
      <c r="E23" s="25"/>
      <c r="F23" s="25"/>
      <c r="G23" s="47"/>
      <c r="H23" s="47"/>
      <c r="I23" s="47"/>
      <c r="J23" s="48"/>
    </row>
    <row r="24" spans="2:10" x14ac:dyDescent="0.25">
      <c r="B24" s="25"/>
      <c r="C24" s="25"/>
      <c r="D24" s="25"/>
      <c r="E24" s="25"/>
      <c r="F24" s="25"/>
      <c r="G24" s="47"/>
      <c r="H24" s="47"/>
      <c r="I24" s="47"/>
      <c r="J24" s="48"/>
    </row>
    <row r="25" spans="2:10" x14ac:dyDescent="0.25">
      <c r="B25" s="25"/>
      <c r="C25" s="25"/>
      <c r="D25" s="25"/>
      <c r="E25" s="25"/>
      <c r="F25" s="25"/>
      <c r="G25" s="47"/>
      <c r="H25" s="47"/>
      <c r="I25" s="47"/>
      <c r="J25" s="48"/>
    </row>
    <row r="26" spans="2:10" x14ac:dyDescent="0.25">
      <c r="B26" s="25"/>
      <c r="C26" s="25"/>
      <c r="D26" s="25"/>
      <c r="E26" s="25"/>
      <c r="F26" s="25"/>
      <c r="G26" s="47"/>
      <c r="H26" s="47"/>
      <c r="I26" s="47"/>
      <c r="J26" s="48"/>
    </row>
    <row r="27" spans="2:10" x14ac:dyDescent="0.25">
      <c r="B27" s="25"/>
      <c r="C27" s="25"/>
      <c r="D27" s="25"/>
      <c r="E27" s="25"/>
      <c r="F27" s="25"/>
      <c r="G27" s="47"/>
      <c r="H27" s="47"/>
      <c r="I27" s="47"/>
      <c r="J27" s="48"/>
    </row>
    <row r="28" spans="2:10" x14ac:dyDescent="0.25">
      <c r="B28" s="25"/>
      <c r="C28" s="25"/>
      <c r="D28" s="25"/>
      <c r="E28" s="25"/>
      <c r="F28" s="25"/>
      <c r="G28" s="47"/>
      <c r="H28" s="47"/>
      <c r="I28" s="47"/>
      <c r="J28" s="48"/>
    </row>
    <row r="29" spans="2:10" x14ac:dyDescent="0.25">
      <c r="B29" s="25"/>
      <c r="C29" s="25"/>
      <c r="D29" s="25"/>
      <c r="E29" s="25"/>
      <c r="F29" s="25"/>
      <c r="G29" s="47"/>
      <c r="H29" s="47"/>
      <c r="I29" s="47"/>
      <c r="J29" s="48"/>
    </row>
    <row r="30" spans="2:10" x14ac:dyDescent="0.25">
      <c r="B30" s="25"/>
      <c r="C30" s="25"/>
      <c r="D30" s="25"/>
      <c r="E30" s="25"/>
      <c r="F30" s="25"/>
      <c r="G30" s="47"/>
      <c r="H30" s="47"/>
      <c r="I30" s="47"/>
      <c r="J30" s="48"/>
    </row>
    <row r="31" spans="2:10" x14ac:dyDescent="0.25">
      <c r="B31" s="25"/>
      <c r="C31" s="25"/>
      <c r="D31" s="25"/>
      <c r="E31" s="25"/>
      <c r="F31" s="25"/>
      <c r="G31" s="47"/>
      <c r="H31" s="47"/>
      <c r="I31" s="47"/>
      <c r="J31" s="48"/>
    </row>
    <row r="32" spans="2:10" x14ac:dyDescent="0.25">
      <c r="B32" s="25"/>
      <c r="C32" s="25"/>
      <c r="D32" s="25"/>
      <c r="E32" s="25"/>
      <c r="F32" s="25"/>
      <c r="G32" s="47"/>
      <c r="H32" s="47"/>
      <c r="I32" s="47"/>
      <c r="J32" s="48"/>
    </row>
    <row r="33" spans="2:10" x14ac:dyDescent="0.25">
      <c r="B33" s="25"/>
      <c r="C33" s="25"/>
      <c r="D33" s="25"/>
      <c r="E33" s="25"/>
      <c r="F33" s="25"/>
      <c r="G33" s="47"/>
      <c r="H33" s="47"/>
      <c r="I33" s="47"/>
      <c r="J33" s="48"/>
    </row>
    <row r="34" spans="2:10" x14ac:dyDescent="0.25">
      <c r="B34" s="25"/>
      <c r="C34" s="25"/>
      <c r="D34" s="25"/>
      <c r="E34" s="25"/>
      <c r="F34" s="25"/>
      <c r="G34" s="47"/>
      <c r="H34" s="47"/>
      <c r="I34" s="47"/>
      <c r="J34" s="48"/>
    </row>
    <row r="35" spans="2:10" x14ac:dyDescent="0.25">
      <c r="B35" s="25"/>
      <c r="C35" s="25"/>
      <c r="D35" s="25"/>
      <c r="E35" s="25"/>
      <c r="F35" s="25"/>
      <c r="G35" s="47"/>
      <c r="H35" s="47"/>
      <c r="I35" s="47"/>
      <c r="J35" s="48"/>
    </row>
    <row r="36" spans="2:10" x14ac:dyDescent="0.25">
      <c r="B36" s="25"/>
      <c r="C36" s="25"/>
      <c r="D36" s="25"/>
      <c r="E36" s="25"/>
      <c r="F36" s="25"/>
      <c r="G36" s="47"/>
      <c r="H36" s="47"/>
      <c r="I36" s="47"/>
      <c r="J36" s="48"/>
    </row>
    <row r="37" spans="2:10" x14ac:dyDescent="0.25">
      <c r="B37" s="25"/>
      <c r="C37" s="25"/>
      <c r="D37" s="25"/>
      <c r="E37" s="25"/>
      <c r="F37" s="25"/>
      <c r="G37" s="47"/>
      <c r="H37" s="47"/>
      <c r="I37" s="47"/>
      <c r="J37" s="48"/>
    </row>
    <row r="38" spans="2:10" x14ac:dyDescent="0.25">
      <c r="B38" s="25"/>
      <c r="C38" s="25"/>
      <c r="D38" s="25"/>
      <c r="E38" s="25"/>
      <c r="F38" s="25"/>
      <c r="G38" s="47"/>
      <c r="H38" s="47"/>
      <c r="I38" s="47"/>
      <c r="J38" s="48"/>
    </row>
    <row r="39" spans="2:10" x14ac:dyDescent="0.25">
      <c r="B39" s="25"/>
      <c r="C39" s="25"/>
      <c r="D39" s="25"/>
      <c r="E39" s="25"/>
      <c r="F39" s="25"/>
      <c r="G39" s="47"/>
      <c r="H39" s="47"/>
      <c r="I39" s="47"/>
      <c r="J39" s="48"/>
    </row>
    <row r="40" spans="2:10" x14ac:dyDescent="0.25">
      <c r="B40" s="25"/>
      <c r="C40" s="25"/>
      <c r="D40" s="25"/>
      <c r="E40" s="25"/>
      <c r="F40" s="25"/>
      <c r="G40" s="47"/>
      <c r="H40" s="47"/>
      <c r="I40" s="47"/>
      <c r="J40" s="48"/>
    </row>
    <row r="41" spans="2:10" x14ac:dyDescent="0.25">
      <c r="B41" s="25"/>
      <c r="C41" s="25"/>
      <c r="D41" s="25"/>
      <c r="E41" s="25"/>
      <c r="F41" s="25"/>
      <c r="G41" s="47"/>
      <c r="H41" s="47"/>
      <c r="I41" s="47"/>
      <c r="J41" s="48"/>
    </row>
    <row r="42" spans="2:10" x14ac:dyDescent="0.25">
      <c r="B42" s="25"/>
      <c r="C42" s="25"/>
      <c r="D42" s="25"/>
      <c r="E42" s="25"/>
      <c r="F42" s="25"/>
      <c r="G42" s="47"/>
      <c r="H42" s="47"/>
      <c r="I42" s="47"/>
      <c r="J42" s="48"/>
    </row>
    <row r="43" spans="2:10" x14ac:dyDescent="0.25">
      <c r="B43" s="25"/>
      <c r="C43" s="25"/>
      <c r="D43" s="25"/>
      <c r="E43" s="25"/>
      <c r="F43" s="25"/>
      <c r="G43" s="47"/>
      <c r="H43" s="47"/>
      <c r="I43" s="47"/>
      <c r="J43" s="48"/>
    </row>
    <row r="44" spans="2:10" x14ac:dyDescent="0.25">
      <c r="B44" s="25"/>
      <c r="C44" s="25"/>
      <c r="D44" s="25"/>
      <c r="E44" s="25"/>
      <c r="F44" s="25"/>
      <c r="G44" s="47"/>
      <c r="H44" s="47"/>
      <c r="I44" s="47"/>
      <c r="J44" s="48"/>
    </row>
    <row r="45" spans="2:10" x14ac:dyDescent="0.25">
      <c r="B45" s="25"/>
      <c r="C45" s="25"/>
      <c r="D45" s="25"/>
      <c r="E45" s="25"/>
      <c r="F45" s="25"/>
      <c r="G45" s="47"/>
      <c r="H45" s="47"/>
      <c r="I45" s="47"/>
      <c r="J45" s="48"/>
    </row>
    <row r="46" spans="2:10" x14ac:dyDescent="0.25">
      <c r="B46" s="25"/>
      <c r="C46" s="25"/>
      <c r="D46" s="25"/>
      <c r="E46" s="25"/>
      <c r="F46" s="25"/>
      <c r="G46" s="47"/>
      <c r="H46" s="47"/>
      <c r="I46" s="47"/>
      <c r="J46" s="48"/>
    </row>
    <row r="47" spans="2:10" x14ac:dyDescent="0.25">
      <c r="B47" s="25"/>
      <c r="C47" s="25"/>
      <c r="D47" s="25"/>
      <c r="E47" s="25"/>
      <c r="F47" s="25"/>
      <c r="G47" s="47"/>
      <c r="H47" s="47"/>
      <c r="I47" s="47"/>
      <c r="J47" s="48"/>
    </row>
    <row r="48" spans="2:10" x14ac:dyDescent="0.25">
      <c r="B48" s="25"/>
      <c r="C48" s="25"/>
      <c r="D48" s="25"/>
      <c r="E48" s="25"/>
      <c r="F48" s="25"/>
      <c r="G48" s="47"/>
      <c r="H48" s="47"/>
      <c r="I48" s="47"/>
      <c r="J48" s="48"/>
    </row>
    <row r="49" spans="2:10" x14ac:dyDescent="0.25">
      <c r="B49" s="25"/>
      <c r="C49" s="25"/>
      <c r="D49" s="25"/>
      <c r="E49" s="25"/>
      <c r="F49" s="25"/>
      <c r="G49" s="47"/>
      <c r="H49" s="47"/>
      <c r="I49" s="47"/>
      <c r="J49" s="48"/>
    </row>
    <row r="50" spans="2:10" x14ac:dyDescent="0.25">
      <c r="B50" s="25"/>
      <c r="C50" s="25"/>
      <c r="D50" s="25"/>
      <c r="E50" s="25"/>
      <c r="F50" s="25"/>
      <c r="G50" s="47"/>
      <c r="H50" s="47"/>
      <c r="I50" s="47"/>
      <c r="J50" s="48"/>
    </row>
    <row r="51" spans="2:10" x14ac:dyDescent="0.25">
      <c r="B51" s="25"/>
      <c r="C51" s="25"/>
      <c r="D51" s="25"/>
      <c r="E51" s="25"/>
      <c r="F51" s="25"/>
      <c r="G51" s="47"/>
      <c r="H51" s="47"/>
      <c r="I51" s="47"/>
      <c r="J51" s="48"/>
    </row>
    <row r="52" spans="2:10" x14ac:dyDescent="0.25">
      <c r="B52" s="25"/>
      <c r="C52" s="25"/>
      <c r="D52" s="25"/>
      <c r="E52" s="25"/>
      <c r="F52" s="25"/>
      <c r="G52" s="47"/>
      <c r="H52" s="47"/>
      <c r="I52" s="47"/>
      <c r="J52" s="48"/>
    </row>
    <row r="53" spans="2:10" x14ac:dyDescent="0.25">
      <c r="B53" s="25"/>
      <c r="C53" s="25"/>
      <c r="D53" s="25"/>
      <c r="E53" s="25"/>
      <c r="F53" s="25"/>
      <c r="G53" s="47"/>
      <c r="H53" s="47"/>
      <c r="I53" s="47"/>
      <c r="J53" s="48"/>
    </row>
    <row r="54" spans="2:10" x14ac:dyDescent="0.25">
      <c r="B54" s="25"/>
      <c r="C54" s="25"/>
      <c r="D54" s="25"/>
      <c r="E54" s="25"/>
      <c r="F54" s="25"/>
      <c r="G54" s="47"/>
      <c r="H54" s="47"/>
      <c r="I54" s="47"/>
      <c r="J54" s="48"/>
    </row>
    <row r="55" spans="2:10" x14ac:dyDescent="0.25">
      <c r="B55" s="25"/>
      <c r="C55" s="25"/>
      <c r="D55" s="25"/>
      <c r="E55" s="25"/>
      <c r="F55" s="25"/>
      <c r="G55" s="47"/>
      <c r="H55" s="47"/>
      <c r="I55" s="47"/>
      <c r="J55" s="48"/>
    </row>
    <row r="56" spans="2:10" x14ac:dyDescent="0.25">
      <c r="B56" s="25"/>
      <c r="C56" s="25"/>
      <c r="D56" s="25"/>
      <c r="E56" s="25"/>
      <c r="F56" s="25"/>
      <c r="G56" s="47"/>
      <c r="H56" s="47"/>
      <c r="I56" s="47"/>
      <c r="J56" s="48"/>
    </row>
    <row r="57" spans="2:10" x14ac:dyDescent="0.25">
      <c r="B57" s="25"/>
      <c r="C57" s="25"/>
      <c r="D57" s="25"/>
      <c r="E57" s="25"/>
      <c r="F57" s="25"/>
      <c r="G57" s="47"/>
      <c r="H57" s="47"/>
      <c r="I57" s="47"/>
      <c r="J57" s="48"/>
    </row>
    <row r="58" spans="2:10" x14ac:dyDescent="0.25">
      <c r="B58" s="25"/>
      <c r="C58" s="25"/>
      <c r="D58" s="25"/>
      <c r="E58" s="25"/>
      <c r="F58" s="25"/>
      <c r="G58" s="47"/>
      <c r="H58" s="47"/>
      <c r="I58" s="47"/>
      <c r="J58" s="48"/>
    </row>
    <row r="59" spans="2:10" x14ac:dyDescent="0.25">
      <c r="B59" s="25"/>
      <c r="C59" s="25"/>
      <c r="D59" s="25"/>
      <c r="E59" s="25"/>
      <c r="F59" s="25"/>
      <c r="G59" s="47"/>
      <c r="H59" s="47"/>
      <c r="I59" s="47"/>
      <c r="J59" s="48"/>
    </row>
    <row r="60" spans="2:10" x14ac:dyDescent="0.25">
      <c r="B60" s="25"/>
      <c r="C60" s="25"/>
      <c r="D60" s="25"/>
      <c r="E60" s="25"/>
      <c r="F60" s="25"/>
      <c r="G60" s="47"/>
      <c r="H60" s="47"/>
      <c r="I60" s="47"/>
      <c r="J60" s="48"/>
    </row>
    <row r="61" spans="2:10" x14ac:dyDescent="0.25">
      <c r="B61" s="25"/>
      <c r="C61" s="25"/>
      <c r="D61" s="25"/>
      <c r="E61" s="25"/>
      <c r="F61" s="25"/>
      <c r="G61" s="47"/>
      <c r="H61" s="47"/>
      <c r="I61" s="47"/>
      <c r="J61" s="48"/>
    </row>
    <row r="62" spans="2:10" x14ac:dyDescent="0.25">
      <c r="B62" s="25"/>
      <c r="C62" s="25"/>
      <c r="D62" s="25"/>
      <c r="E62" s="25"/>
      <c r="F62" s="25"/>
      <c r="G62" s="47"/>
      <c r="H62" s="47"/>
      <c r="I62" s="47"/>
      <c r="J62" s="48"/>
    </row>
    <row r="63" spans="2:10" x14ac:dyDescent="0.25">
      <c r="B63" s="25"/>
      <c r="C63" s="25"/>
      <c r="D63" s="25"/>
      <c r="E63" s="25"/>
      <c r="F63" s="25"/>
      <c r="G63" s="47"/>
      <c r="H63" s="47"/>
      <c r="I63" s="47"/>
      <c r="J63" s="48"/>
    </row>
    <row r="64" spans="2:10" x14ac:dyDescent="0.25">
      <c r="B64" s="25"/>
      <c r="C64" s="25"/>
      <c r="D64" s="25"/>
      <c r="E64" s="25"/>
      <c r="F64" s="25"/>
      <c r="G64" s="47"/>
      <c r="H64" s="47"/>
      <c r="I64" s="47"/>
      <c r="J64" s="48"/>
    </row>
    <row r="65" spans="2:10" x14ac:dyDescent="0.25">
      <c r="B65" s="25"/>
      <c r="C65" s="25"/>
      <c r="D65" s="25"/>
      <c r="E65" s="25"/>
      <c r="F65" s="25"/>
      <c r="G65" s="47"/>
      <c r="H65" s="47"/>
      <c r="I65" s="47"/>
      <c r="J65" s="48"/>
    </row>
    <row r="66" spans="2:10" x14ac:dyDescent="0.25">
      <c r="B66" s="25"/>
      <c r="C66" s="25"/>
      <c r="D66" s="25"/>
      <c r="E66" s="25"/>
      <c r="F66" s="25"/>
      <c r="G66" s="47"/>
      <c r="H66" s="47"/>
      <c r="I66" s="47"/>
      <c r="J66" s="48"/>
    </row>
    <row r="67" spans="2:10" x14ac:dyDescent="0.25">
      <c r="B67" s="25"/>
      <c r="C67" s="25"/>
      <c r="D67" s="25"/>
      <c r="E67" s="25"/>
      <c r="F67" s="25"/>
      <c r="G67" s="47"/>
      <c r="H67" s="47"/>
      <c r="I67" s="47"/>
      <c r="J67" s="48"/>
    </row>
    <row r="68" spans="2:10" x14ac:dyDescent="0.25">
      <c r="B68" s="25"/>
      <c r="C68" s="25"/>
      <c r="D68" s="25"/>
      <c r="E68" s="25"/>
      <c r="F68" s="25"/>
      <c r="G68" s="47"/>
      <c r="H68" s="47"/>
      <c r="I68" s="47"/>
      <c r="J68" s="48"/>
    </row>
    <row r="69" spans="2:10" x14ac:dyDescent="0.25">
      <c r="B69" s="25"/>
      <c r="C69" s="25"/>
      <c r="D69" s="25"/>
      <c r="E69" s="25"/>
      <c r="F69" s="25"/>
      <c r="G69" s="47"/>
      <c r="H69" s="47"/>
      <c r="I69" s="47"/>
      <c r="J69" s="48"/>
    </row>
    <row r="70" spans="2:10" x14ac:dyDescent="0.25">
      <c r="B70" s="25"/>
      <c r="C70" s="25"/>
      <c r="D70" s="25"/>
      <c r="E70" s="25"/>
      <c r="F70" s="25"/>
      <c r="G70" s="47"/>
      <c r="H70" s="47"/>
      <c r="I70" s="47"/>
      <c r="J70" s="48"/>
    </row>
    <row r="71" spans="2:10" x14ac:dyDescent="0.25">
      <c r="B71" s="25"/>
      <c r="C71" s="25"/>
      <c r="D71" s="25"/>
      <c r="E71" s="25"/>
      <c r="F71" s="25"/>
      <c r="G71" s="47"/>
      <c r="H71" s="47"/>
      <c r="I71" s="47"/>
      <c r="J71" s="48"/>
    </row>
    <row r="72" spans="2:10" x14ac:dyDescent="0.25">
      <c r="B72" s="25"/>
      <c r="C72" s="25"/>
      <c r="D72" s="25"/>
      <c r="E72" s="25"/>
      <c r="F72" s="25"/>
      <c r="G72" s="47"/>
      <c r="H72" s="47"/>
      <c r="I72" s="47"/>
      <c r="J72" s="48"/>
    </row>
    <row r="73" spans="2:10" x14ac:dyDescent="0.25">
      <c r="B73" s="25"/>
      <c r="C73" s="25"/>
      <c r="D73" s="25"/>
      <c r="E73" s="25"/>
      <c r="F73" s="25"/>
      <c r="G73" s="47"/>
      <c r="H73" s="47"/>
      <c r="I73" s="47"/>
      <c r="J73" s="48"/>
    </row>
    <row r="74" spans="2:10" x14ac:dyDescent="0.25">
      <c r="B74" s="25"/>
      <c r="C74" s="25"/>
      <c r="D74" s="25"/>
      <c r="E74" s="25"/>
      <c r="F74" s="25"/>
      <c r="G74" s="47"/>
      <c r="H74" s="47"/>
      <c r="I74" s="47"/>
      <c r="J74" s="48"/>
    </row>
    <row r="75" spans="2:10" x14ac:dyDescent="0.25">
      <c r="B75" s="25"/>
      <c r="C75" s="25"/>
      <c r="D75" s="25"/>
      <c r="E75" s="25"/>
      <c r="F75" s="25"/>
      <c r="G75" s="47"/>
      <c r="H75" s="47"/>
      <c r="I75" s="47"/>
      <c r="J75" s="48"/>
    </row>
    <row r="76" spans="2:10" x14ac:dyDescent="0.25">
      <c r="B76" s="25"/>
      <c r="C76" s="25"/>
      <c r="D76" s="25"/>
      <c r="E76" s="25"/>
      <c r="F76" s="25"/>
      <c r="G76" s="47"/>
      <c r="H76" s="47"/>
      <c r="I76" s="47"/>
      <c r="J76" s="48"/>
    </row>
    <row r="77" spans="2:10" x14ac:dyDescent="0.25">
      <c r="B77" s="25"/>
      <c r="C77" s="25"/>
      <c r="D77" s="25"/>
      <c r="E77" s="25"/>
      <c r="F77" s="25"/>
      <c r="G77" s="47"/>
      <c r="H77" s="47"/>
      <c r="I77" s="47"/>
      <c r="J77" s="48"/>
    </row>
    <row r="78" spans="2:10" x14ac:dyDescent="0.25">
      <c r="B78" s="25"/>
      <c r="C78" s="25"/>
      <c r="D78" s="25"/>
      <c r="E78" s="25"/>
      <c r="F78" s="25"/>
      <c r="G78" s="47"/>
      <c r="H78" s="47"/>
      <c r="I78" s="47"/>
      <c r="J78" s="48"/>
    </row>
    <row r="79" spans="2:10" x14ac:dyDescent="0.25">
      <c r="B79" s="25"/>
      <c r="C79" s="25"/>
      <c r="D79" s="25"/>
      <c r="E79" s="25"/>
      <c r="F79" s="25"/>
      <c r="G79" s="47"/>
      <c r="H79" s="47"/>
      <c r="I79" s="47"/>
      <c r="J79" s="48"/>
    </row>
    <row r="80" spans="2:10" x14ac:dyDescent="0.25">
      <c r="B80" s="25"/>
      <c r="C80" s="25"/>
      <c r="D80" s="25"/>
      <c r="E80" s="25"/>
      <c r="F80" s="25"/>
      <c r="G80" s="47"/>
      <c r="H80" s="47"/>
      <c r="I80" s="47"/>
      <c r="J80" s="48"/>
    </row>
    <row r="81" spans="2:10" x14ac:dyDescent="0.25">
      <c r="B81" s="25"/>
      <c r="C81" s="25"/>
      <c r="D81" s="25"/>
      <c r="E81" s="25"/>
      <c r="F81" s="25"/>
      <c r="G81" s="47"/>
      <c r="H81" s="47"/>
      <c r="I81" s="47"/>
      <c r="J81" s="48"/>
    </row>
    <row r="82" spans="2:10" x14ac:dyDescent="0.25">
      <c r="B82" s="25"/>
      <c r="C82" s="25"/>
      <c r="D82" s="25"/>
      <c r="E82" s="25"/>
      <c r="F82" s="25"/>
      <c r="G82" s="47"/>
      <c r="H82" s="47"/>
      <c r="I82" s="47"/>
      <c r="J82" s="48"/>
    </row>
    <row r="83" spans="2:10" x14ac:dyDescent="0.25">
      <c r="B83" s="25"/>
      <c r="C83" s="25"/>
      <c r="D83" s="25"/>
      <c r="E83" s="25"/>
      <c r="F83" s="25"/>
      <c r="G83" s="47"/>
      <c r="H83" s="47"/>
      <c r="I83" s="47"/>
      <c r="J83" s="48"/>
    </row>
    <row r="84" spans="2:10" x14ac:dyDescent="0.25">
      <c r="B84" s="25"/>
      <c r="C84" s="25"/>
      <c r="D84" s="25"/>
      <c r="E84" s="25"/>
      <c r="F84" s="25"/>
      <c r="G84" s="47"/>
      <c r="H84" s="47"/>
      <c r="I84" s="47"/>
      <c r="J84" s="48"/>
    </row>
    <row r="85" spans="2:10" x14ac:dyDescent="0.25">
      <c r="B85" s="25"/>
      <c r="C85" s="25"/>
      <c r="D85" s="25"/>
      <c r="E85" s="25"/>
      <c r="F85" s="25"/>
      <c r="G85" s="47"/>
      <c r="H85" s="47"/>
      <c r="I85" s="47"/>
      <c r="J85" s="48"/>
    </row>
    <row r="86" spans="2:10" x14ac:dyDescent="0.25">
      <c r="B86" s="25"/>
      <c r="C86" s="25"/>
      <c r="D86" s="25"/>
      <c r="E86" s="25"/>
      <c r="F86" s="25"/>
      <c r="G86" s="47"/>
      <c r="H86" s="47"/>
      <c r="I86" s="47"/>
      <c r="J86" s="48"/>
    </row>
    <row r="87" spans="2:10" x14ac:dyDescent="0.25">
      <c r="B87" s="25"/>
      <c r="C87" s="25"/>
      <c r="D87" s="25"/>
      <c r="E87" s="25"/>
      <c r="F87" s="25"/>
      <c r="G87" s="47"/>
      <c r="H87" s="47"/>
      <c r="I87" s="47"/>
      <c r="J87" s="48"/>
    </row>
    <row r="88" spans="2:10" x14ac:dyDescent="0.25">
      <c r="B88" s="25"/>
      <c r="C88" s="25"/>
      <c r="D88" s="25"/>
      <c r="E88" s="25"/>
      <c r="F88" s="25"/>
      <c r="G88" s="47"/>
      <c r="H88" s="47"/>
      <c r="I88" s="47"/>
      <c r="J88" s="48"/>
    </row>
    <row r="89" spans="2:10" x14ac:dyDescent="0.25">
      <c r="B89" s="25"/>
      <c r="C89" s="25"/>
      <c r="D89" s="25"/>
      <c r="E89" s="25"/>
      <c r="F89" s="25"/>
      <c r="G89" s="47"/>
      <c r="H89" s="47"/>
      <c r="I89" s="47"/>
      <c r="J89" s="48"/>
    </row>
    <row r="90" spans="2:10" x14ac:dyDescent="0.25">
      <c r="B90" s="25"/>
      <c r="C90" s="25"/>
      <c r="D90" s="25"/>
      <c r="E90" s="25"/>
      <c r="F90" s="25"/>
      <c r="G90" s="47"/>
      <c r="H90" s="47"/>
      <c r="I90" s="47"/>
      <c r="J90" s="48"/>
    </row>
    <row r="91" spans="2:10" x14ac:dyDescent="0.25">
      <c r="B91" s="25"/>
      <c r="C91" s="25"/>
      <c r="D91" s="25"/>
      <c r="E91" s="25"/>
      <c r="F91" s="25"/>
      <c r="G91" s="47"/>
      <c r="H91" s="47"/>
      <c r="I91" s="47"/>
      <c r="J91" s="48"/>
    </row>
    <row r="92" spans="2:10" x14ac:dyDescent="0.25">
      <c r="B92" s="25"/>
      <c r="C92" s="25"/>
      <c r="D92" s="25"/>
      <c r="E92" s="25"/>
      <c r="F92" s="25"/>
      <c r="G92" s="47"/>
      <c r="H92" s="47"/>
      <c r="I92" s="47"/>
      <c r="J92" s="48"/>
    </row>
    <row r="93" spans="2:10" x14ac:dyDescent="0.25">
      <c r="B93" s="25"/>
      <c r="C93" s="25"/>
      <c r="D93" s="25"/>
      <c r="E93" s="25"/>
      <c r="F93" s="25"/>
      <c r="G93" s="47"/>
      <c r="H93" s="47"/>
      <c r="I93" s="47"/>
      <c r="J93" s="48"/>
    </row>
    <row r="94" spans="2:10" x14ac:dyDescent="0.25">
      <c r="B94" s="25"/>
      <c r="C94" s="25"/>
      <c r="D94" s="25"/>
      <c r="E94" s="25"/>
      <c r="F94" s="25"/>
      <c r="G94" s="47"/>
      <c r="H94" s="47"/>
      <c r="I94" s="47"/>
      <c r="J94" s="48"/>
    </row>
    <row r="95" spans="2:10" x14ac:dyDescent="0.25">
      <c r="B95" s="25"/>
      <c r="C95" s="25"/>
      <c r="D95" s="25"/>
      <c r="E95" s="25"/>
      <c r="F95" s="25"/>
      <c r="G95" s="47"/>
      <c r="H95" s="47"/>
      <c r="I95" s="47"/>
      <c r="J95" s="48"/>
    </row>
    <row r="96" spans="2:10" x14ac:dyDescent="0.25">
      <c r="B96" s="25"/>
      <c r="C96" s="25"/>
      <c r="D96" s="25"/>
      <c r="E96" s="25"/>
      <c r="F96" s="25"/>
      <c r="G96" s="47"/>
      <c r="H96" s="47"/>
      <c r="I96" s="47"/>
      <c r="J96" s="48"/>
    </row>
    <row r="97" spans="2:10" x14ac:dyDescent="0.25">
      <c r="B97" s="25"/>
      <c r="C97" s="25"/>
      <c r="D97" s="25"/>
      <c r="E97" s="25"/>
      <c r="F97" s="25"/>
      <c r="G97" s="47"/>
      <c r="H97" s="47"/>
      <c r="I97" s="47"/>
      <c r="J97" s="48"/>
    </row>
    <row r="98" spans="2:10" x14ac:dyDescent="0.25">
      <c r="B98" s="25"/>
      <c r="C98" s="25"/>
      <c r="D98" s="25"/>
      <c r="E98" s="25"/>
      <c r="F98" s="25"/>
      <c r="G98" s="47"/>
      <c r="H98" s="47"/>
      <c r="I98" s="47"/>
      <c r="J98" s="48"/>
    </row>
    <row r="99" spans="2:10" x14ac:dyDescent="0.25">
      <c r="B99" s="25"/>
      <c r="C99" s="25"/>
      <c r="D99" s="25"/>
      <c r="E99" s="25"/>
      <c r="F99" s="25"/>
      <c r="G99" s="47"/>
      <c r="H99" s="47"/>
      <c r="I99" s="47"/>
      <c r="J99" s="48"/>
    </row>
    <row r="100" spans="2:10" x14ac:dyDescent="0.25">
      <c r="B100" s="25"/>
      <c r="C100" s="25"/>
      <c r="D100" s="25"/>
      <c r="E100" s="25"/>
      <c r="F100" s="25"/>
      <c r="G100" s="47"/>
      <c r="H100" s="47"/>
      <c r="I100" s="47"/>
      <c r="J100" s="48"/>
    </row>
    <row r="101" spans="2:10" x14ac:dyDescent="0.25"/>
  </sheetData>
  <phoneticPr fontId="5" type="noConversion"/>
  <conditionalFormatting sqref="J2:J100">
    <cfRule type="dataBar" priority="1">
      <dataBar>
        <cfvo type="min"/>
        <cfvo type="max"/>
        <color theme="5" tint="0.59999389629810485"/>
      </dataBar>
      <extLst>
        <ext xmlns:x14="http://schemas.microsoft.com/office/spreadsheetml/2009/9/main" uri="{B025F937-C7B1-47D3-B67F-A62EFF666E3E}">
          <x14:id>{FBF13118-894E-466E-B693-3BE477F8BE20}</x14:id>
        </ext>
      </extLst>
    </cfRule>
  </conditionalFormatting>
  <dataValidations count="7">
    <dataValidation type="list" allowBlank="1" showInputMessage="1" showErrorMessage="1" sqref="C2:C100" xr:uid="{D6CE883E-01A8-4594-BD3F-1DF002F3A5CA}">
      <formula1>KanbanBoards</formula1>
    </dataValidation>
    <dataValidation type="list" allowBlank="1" showInputMessage="1" showErrorMessage="1" sqref="D2:D100" xr:uid="{BE511D8D-3AB1-4AA5-B2A5-E99059C0516D}">
      <formula1>Projects</formula1>
    </dataValidation>
    <dataValidation type="list" allowBlank="1" showInputMessage="1" showErrorMessage="1" sqref="F2:F100" xr:uid="{935E13E8-1CAA-4E7C-A377-610BB29DD621}">
      <formula1>Priorities</formula1>
    </dataValidation>
    <dataValidation type="custom" allowBlank="1" showInputMessage="1" showErrorMessage="1" errorTitle="Invalid Date" error="A valid date is required in this cell." sqref="G2:H100" xr:uid="{0DF31608-A50C-481B-9827-F591E3DE0559}">
      <formula1>AND(ISNUMBER(G2),LEFT(CELL("format",G2),1)="D")</formula1>
    </dataValidation>
    <dataValidation type="list" allowBlank="1" showInputMessage="1" showErrorMessage="1" sqref="J2:J100" xr:uid="{D96D4B67-D93D-4F69-BC47-6853C37E8426}">
      <formula1>ProgressPercents</formula1>
    </dataValidation>
    <dataValidation type="list" allowBlank="1" showInputMessage="1" showErrorMessage="1" sqref="E2:E100" xr:uid="{B7DF6603-64E1-47BE-8264-89951237D420}">
      <formula1>TeamMembers</formula1>
    </dataValidation>
    <dataValidation type="list" allowBlank="1" showInputMessage="1" showErrorMessage="1" errorTitle="Invalid Date" error="A valid date is required in this cell." sqref="I2:I100" xr:uid="{A4FD7DCF-2267-426E-8ADF-FE067C9690DC}">
      <formula1>StatusOptions</formula1>
    </dataValidation>
  </dataValidations>
  <pageMargins left="0.7" right="0.7" top="0.75" bottom="0.75" header="0.3" footer="0.3"/>
  <pageSetup orientation="portrait" r:id="rId1"/>
  <tableParts count="1">
    <tablePart r:id="rId2"/>
  </tableParts>
  <extLst>
    <ext xmlns:x14="http://schemas.microsoft.com/office/spreadsheetml/2009/9/main" uri="{78C0D931-6437-407d-A8EE-F0AAD7539E65}">
      <x14:conditionalFormattings>
        <x14:conditionalFormatting xmlns:xm="http://schemas.microsoft.com/office/excel/2006/main">
          <x14:cfRule type="dataBar" id="{FBF13118-894E-466E-B693-3BE477F8BE20}">
            <x14:dataBar minLength="0" maxLength="100" gradient="0">
              <x14:cfvo type="autoMin"/>
              <x14:cfvo type="autoMax"/>
              <x14:negativeFillColor rgb="FFFF0000"/>
              <x14:axisColor rgb="FF000000"/>
            </x14:dataBar>
          </x14:cfRule>
          <xm:sqref>J2:J100</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3692B2-99A1-4FB0-8810-CF961F6CD206}">
  <sheetPr codeName="KanbanSht">
    <tabColor rgb="FF50B47F"/>
  </sheetPr>
  <dimension ref="A1:XFC112"/>
  <sheetViews>
    <sheetView showGridLines="0" showRowColHeaders="0" zoomScaleNormal="100" workbookViewId="0">
      <selection activeCell="AN6" sqref="AN6:AP6"/>
    </sheetView>
  </sheetViews>
  <sheetFormatPr defaultColWidth="0" defaultRowHeight="15" x14ac:dyDescent="0.25"/>
  <cols>
    <col min="1" max="1" width="3.7109375" customWidth="1"/>
    <col min="2" max="2" width="0.5703125" customWidth="1"/>
    <col min="3" max="3" width="1.7109375" customWidth="1"/>
    <col min="4" max="4" width="13.140625" customWidth="1"/>
    <col min="5" max="5" width="12.5703125" customWidth="1"/>
    <col min="6" max="6" width="5.140625" customWidth="1"/>
    <col min="7" max="7" width="1.7109375" customWidth="1"/>
    <col min="8" max="8" width="0.5703125" customWidth="1"/>
    <col min="9" max="9" width="1.7109375" customWidth="1"/>
    <col min="10" max="10" width="13.140625" customWidth="1"/>
    <col min="11" max="11" width="12.5703125" customWidth="1"/>
    <col min="12" max="12" width="5.140625" customWidth="1"/>
    <col min="13" max="13" width="1.7109375" customWidth="1"/>
    <col min="14" max="14" width="0.5703125" customWidth="1"/>
    <col min="15" max="15" width="1.7109375" customWidth="1"/>
    <col min="16" max="16" width="13.140625" customWidth="1"/>
    <col min="17" max="17" width="12.5703125" customWidth="1"/>
    <col min="18" max="18" width="5.140625" customWidth="1"/>
    <col min="19" max="19" width="1.7109375" customWidth="1"/>
    <col min="20" max="20" width="0.5703125" customWidth="1"/>
    <col min="21" max="21" width="1.7109375" customWidth="1"/>
    <col min="22" max="22" width="13.140625" customWidth="1"/>
    <col min="23" max="23" width="12.5703125" customWidth="1"/>
    <col min="24" max="24" width="5.140625" customWidth="1"/>
    <col min="25" max="25" width="1.7109375" customWidth="1"/>
    <col min="26" max="26" width="0.5703125" customWidth="1"/>
    <col min="27" max="27" width="1.7109375" customWidth="1"/>
    <col min="28" max="28" width="13.140625" customWidth="1"/>
    <col min="29" max="29" width="12.5703125" customWidth="1"/>
    <col min="30" max="30" width="5.140625" customWidth="1"/>
    <col min="31" max="31" width="1.7109375" customWidth="1"/>
    <col min="32" max="32" width="0.5703125" customWidth="1"/>
    <col min="33" max="33" width="1.7109375" customWidth="1"/>
    <col min="34" max="34" width="13.140625" customWidth="1"/>
    <col min="35" max="35" width="12.5703125" customWidth="1"/>
    <col min="36" max="36" width="5.140625" customWidth="1"/>
    <col min="37" max="37" width="1.7109375" customWidth="1"/>
    <col min="38" max="38" width="0.5703125" customWidth="1"/>
    <col min="39" max="39" width="1.7109375" customWidth="1"/>
    <col min="40" max="40" width="13.140625" hidden="1" customWidth="1"/>
    <col min="41" max="41" width="12.5703125" hidden="1" customWidth="1"/>
    <col min="42" max="42" width="5.140625" hidden="1" customWidth="1"/>
    <col min="43" max="43" width="1.7109375" hidden="1" customWidth="1"/>
    <col min="44" max="44" width="0.5703125" hidden="1" customWidth="1"/>
    <col min="45" max="45" width="1.7109375" hidden="1" customWidth="1"/>
    <col min="46" max="46" width="13.140625" hidden="1" customWidth="1"/>
    <col min="47" max="47" width="12.5703125" hidden="1" customWidth="1"/>
    <col min="48" max="48" width="5.140625" hidden="1" customWidth="1"/>
    <col min="49" max="49" width="1.7109375" hidden="1" customWidth="1"/>
    <col min="50" max="50" width="0.5703125" hidden="1" customWidth="1"/>
    <col min="51" max="51" width="1.7109375" hidden="1" customWidth="1"/>
    <col min="52" max="52" width="13.140625" hidden="1" customWidth="1"/>
    <col min="53" max="53" width="12.5703125" hidden="1" customWidth="1"/>
    <col min="54" max="54" width="5.140625" hidden="1" customWidth="1"/>
    <col min="55" max="55" width="1.7109375" hidden="1" customWidth="1"/>
    <col min="56" max="56" width="0.5703125" hidden="1" customWidth="1"/>
    <col min="57" max="57" width="1.7109375" hidden="1" customWidth="1"/>
    <col min="58" max="58" width="3.7109375" customWidth="1"/>
    <col min="59" max="63" width="9.140625" hidden="1"/>
    <col min="64" max="64" width="16.28515625" hidden="1"/>
    <col min="65" max="65" width="9.140625" hidden="1"/>
    <col min="66" max="66" width="8.42578125" hidden="1"/>
    <col min="67" max="67" width="9.140625" hidden="1"/>
    <col min="68" max="68" width="4.5703125" hidden="1"/>
    <col min="69" max="72" width="9.140625" hidden="1"/>
    <col min="73" max="75" width="1.7109375" hidden="1"/>
    <col min="76" max="77" width="9.140625" hidden="1"/>
    <col min="78" max="78" width="8.42578125" hidden="1"/>
    <col min="79" max="79" width="9.140625" hidden="1"/>
    <col min="80" max="80" width="4.5703125" hidden="1"/>
    <col min="81" max="84" width="9.140625" hidden="1"/>
    <col min="85" max="87" width="1.7109375" hidden="1"/>
    <col min="88" max="89" width="9.140625" hidden="1"/>
    <col min="90" max="90" width="8.42578125" hidden="1"/>
    <col min="91" max="91" width="9.140625" hidden="1"/>
    <col min="92" max="92" width="4.5703125" hidden="1"/>
    <col min="93" max="96" width="9.140625" hidden="1"/>
    <col min="97" max="99" width="1.7109375" hidden="1"/>
    <col min="100" max="101" width="9.140625" hidden="1"/>
    <col min="102" max="102" width="8.42578125" hidden="1"/>
    <col min="103" max="103" width="9.140625" hidden="1"/>
    <col min="104" max="104" width="4.5703125" hidden="1"/>
    <col min="105" max="108" width="9.140625" hidden="1"/>
    <col min="109" max="111" width="1.7109375" hidden="1"/>
    <col min="112" max="113" width="9.140625" hidden="1"/>
    <col min="114" max="114" width="8.42578125" hidden="1"/>
    <col min="115" max="115" width="9.140625" hidden="1"/>
    <col min="116" max="116" width="4.5703125" hidden="1"/>
    <col min="117" max="120" width="9.140625" hidden="1"/>
    <col min="121" max="123" width="1.7109375" hidden="1"/>
    <col min="124" max="125" width="9.140625" hidden="1"/>
    <col min="126" max="126" width="8.42578125" hidden="1"/>
    <col min="127" max="127" width="9.140625" hidden="1"/>
    <col min="128" max="128" width="4.5703125" hidden="1"/>
    <col min="129" max="132" width="9.140625" hidden="1"/>
    <col min="133" max="135" width="1.7109375" hidden="1"/>
    <col min="136" max="137" width="9.140625" hidden="1"/>
    <col min="138" max="138" width="8.42578125" hidden="1"/>
    <col min="139" max="139" width="9.140625" hidden="1"/>
    <col min="140" max="140" width="4.5703125" hidden="1"/>
    <col min="141" max="144" width="9.140625" hidden="1"/>
    <col min="145" max="147" width="1.7109375" hidden="1"/>
    <col min="148" max="149" width="9.140625" hidden="1"/>
    <col min="150" max="150" width="8.42578125" hidden="1"/>
    <col min="151" max="151" width="9.140625" hidden="1"/>
    <col min="152" max="152" width="4.5703125" hidden="1"/>
    <col min="153" max="156" width="9.140625" hidden="1"/>
    <col min="157" max="159" width="1.7109375" hidden="1"/>
    <col min="160" max="161" width="9.140625" hidden="1"/>
    <col min="162" max="162" width="8.42578125" hidden="1"/>
    <col min="163" max="163" width="9.140625" hidden="1"/>
    <col min="164" max="164" width="4.5703125" hidden="1"/>
    <col min="165" max="168" width="9.140625" hidden="1"/>
    <col min="169" max="170" width="1.7109375" hidden="1"/>
    <col min="171" max="174" width="9.140625" hidden="1"/>
    <col min="175" max="176" width="1.7109375" hidden="1"/>
    <col min="177" max="180" width="9.140625" hidden="1"/>
    <col min="181" max="182" width="1.7109375" hidden="1"/>
    <col min="183" max="186" width="9.140625" hidden="1"/>
    <col min="187" max="188" width="1.7109375" hidden="1"/>
    <col min="189" max="192" width="9.140625" hidden="1"/>
    <col min="193" max="194" width="1.7109375" hidden="1"/>
    <col min="195" max="198" width="9.140625" hidden="1"/>
    <col min="199" max="200" width="1.7109375" hidden="1"/>
    <col min="201" max="204" width="9.140625" hidden="1"/>
    <col min="205" max="206" width="1.7109375" hidden="1"/>
    <col min="207" max="210" width="9.140625" hidden="1"/>
    <col min="211" max="212" width="1.7109375" hidden="1"/>
    <col min="213" max="216" width="9.140625" hidden="1"/>
    <col min="217" max="218" width="1.7109375" hidden="1"/>
    <col min="219" max="222" width="9.140625" hidden="1"/>
    <col min="223" max="224" width="1.7109375" hidden="1"/>
    <col min="225" max="16383" width="9.140625" hidden="1"/>
    <col min="16384" max="16384" width="1.42578125" hidden="1" customWidth="1"/>
  </cols>
  <sheetData>
    <row r="1" spans="1:169" ht="49.5" customHeight="1" x14ac:dyDescent="0.25">
      <c r="B1" s="22"/>
      <c r="BX1">
        <f>SMALL({1,5,3,4},2)</f>
        <v>3</v>
      </c>
    </row>
    <row r="2" spans="1:169" ht="121.5" customHeight="1" x14ac:dyDescent="0.25">
      <c r="B2" s="22"/>
    </row>
    <row r="3" spans="1:169" ht="60.75" customHeight="1" x14ac:dyDescent="0.25">
      <c r="B3" s="22"/>
    </row>
    <row r="4" spans="1:169" s="22" customFormat="1" ht="16.5" hidden="1" customHeight="1" x14ac:dyDescent="0.25">
      <c r="A4" s="23"/>
    </row>
    <row r="5" spans="1:169" ht="82.5" customHeight="1" x14ac:dyDescent="0.25">
      <c r="B5" s="22"/>
    </row>
    <row r="6" spans="1:169" ht="23.25" customHeight="1" thickBot="1" x14ac:dyDescent="0.3">
      <c r="A6" s="19"/>
      <c r="B6" s="67"/>
      <c r="C6" s="19"/>
      <c r="D6" s="68" t="s">
        <v>1</v>
      </c>
      <c r="E6" s="68"/>
      <c r="F6" s="68"/>
      <c r="G6" s="19"/>
      <c r="H6" s="67"/>
      <c r="I6" s="19"/>
      <c r="J6" s="68" t="s">
        <v>3</v>
      </c>
      <c r="K6" s="68"/>
      <c r="L6" s="68"/>
      <c r="M6" s="19"/>
      <c r="N6" s="67"/>
      <c r="O6" s="19"/>
      <c r="P6" s="68" t="s">
        <v>31</v>
      </c>
      <c r="Q6" s="68"/>
      <c r="R6" s="68"/>
      <c r="S6" s="19"/>
      <c r="T6" s="67"/>
      <c r="U6" s="19"/>
      <c r="V6" s="68" t="s">
        <v>7</v>
      </c>
      <c r="W6" s="68"/>
      <c r="X6" s="68"/>
      <c r="Y6" s="19"/>
      <c r="Z6" s="67"/>
      <c r="AA6" s="19"/>
      <c r="AB6" s="68" t="s">
        <v>3</v>
      </c>
      <c r="AC6" s="68"/>
      <c r="AD6" s="68"/>
      <c r="AE6" s="19"/>
      <c r="AF6" s="67"/>
      <c r="AG6" s="19"/>
      <c r="AH6" s="68" t="s">
        <v>5</v>
      </c>
      <c r="AI6" s="68"/>
      <c r="AJ6" s="68"/>
      <c r="AK6" s="19"/>
      <c r="AL6" s="67"/>
      <c r="AM6" s="19"/>
      <c r="AN6" s="68" t="s">
        <v>6</v>
      </c>
      <c r="AO6" s="68"/>
      <c r="AP6" s="68"/>
      <c r="AQ6" s="19"/>
      <c r="AR6" s="67"/>
      <c r="AS6" s="19"/>
      <c r="AT6" s="68" t="s">
        <v>31</v>
      </c>
      <c r="AU6" s="68"/>
      <c r="AV6" s="68"/>
      <c r="AW6" s="19"/>
      <c r="AX6" s="67"/>
      <c r="AY6" s="19"/>
      <c r="AZ6" s="68" t="s">
        <v>0</v>
      </c>
      <c r="BA6" s="68"/>
      <c r="BB6" s="68"/>
      <c r="BC6" s="19"/>
      <c r="BD6" s="67"/>
      <c r="BE6" s="19"/>
      <c r="BL6" s="76" t="s">
        <v>61</v>
      </c>
      <c r="BM6" s="76"/>
      <c r="BN6" s="76"/>
      <c r="BO6" s="76"/>
      <c r="BP6" s="76"/>
      <c r="BQ6" s="76"/>
      <c r="BR6" s="76"/>
      <c r="BS6" s="76"/>
      <c r="BT6" s="76"/>
      <c r="BU6" s="1"/>
      <c r="BV6" s="2"/>
      <c r="BW6" s="1"/>
      <c r="BX6" s="76" t="s">
        <v>62</v>
      </c>
      <c r="BY6" s="76"/>
      <c r="BZ6" s="76"/>
      <c r="CA6" s="76"/>
      <c r="CB6" s="76"/>
      <c r="CC6" s="76"/>
      <c r="CD6" s="76"/>
      <c r="CE6" s="76"/>
      <c r="CF6" s="76"/>
      <c r="CG6" s="1"/>
      <c r="CH6" s="2"/>
      <c r="CI6" s="1"/>
      <c r="CJ6" s="76" t="s">
        <v>63</v>
      </c>
      <c r="CK6" s="76"/>
      <c r="CL6" s="76"/>
      <c r="CM6" s="76"/>
      <c r="CN6" s="76"/>
      <c r="CO6" s="76"/>
      <c r="CP6" s="76"/>
      <c r="CQ6" s="76"/>
      <c r="CR6" s="76"/>
      <c r="CS6" s="1"/>
      <c r="CT6" s="2"/>
      <c r="CU6" s="1"/>
      <c r="CV6" s="76" t="s">
        <v>64</v>
      </c>
      <c r="CW6" s="76"/>
      <c r="CX6" s="76"/>
      <c r="CY6" s="76"/>
      <c r="CZ6" s="76"/>
      <c r="DA6" s="76"/>
      <c r="DB6" s="76"/>
      <c r="DC6" s="76"/>
      <c r="DD6" s="76"/>
      <c r="DE6" s="1"/>
      <c r="DF6" s="2"/>
      <c r="DG6" s="1"/>
      <c r="DH6" s="76" t="s">
        <v>65</v>
      </c>
      <c r="DI6" s="76"/>
      <c r="DJ6" s="76"/>
      <c r="DK6" s="76"/>
      <c r="DL6" s="76"/>
      <c r="DM6" s="76"/>
      <c r="DN6" s="76"/>
      <c r="DO6" s="76"/>
      <c r="DP6" s="76"/>
      <c r="DQ6" s="1"/>
      <c r="DR6" s="2"/>
      <c r="DS6" s="1"/>
      <c r="DT6" s="76" t="s">
        <v>66</v>
      </c>
      <c r="DU6" s="76"/>
      <c r="DV6" s="76"/>
      <c r="DW6" s="76"/>
      <c r="DX6" s="76"/>
      <c r="DY6" s="76"/>
      <c r="DZ6" s="76"/>
      <c r="EA6" s="76"/>
      <c r="EB6" s="76"/>
      <c r="EC6" s="1"/>
      <c r="ED6" s="2"/>
      <c r="EE6" s="1"/>
      <c r="EF6" s="76" t="s">
        <v>67</v>
      </c>
      <c r="EG6" s="76"/>
      <c r="EH6" s="76"/>
      <c r="EI6" s="76"/>
      <c r="EJ6" s="76"/>
      <c r="EK6" s="76"/>
      <c r="EL6" s="76"/>
      <c r="EM6" s="76"/>
      <c r="EN6" s="76"/>
      <c r="EO6" s="1"/>
      <c r="EP6" s="2"/>
      <c r="EQ6" s="1"/>
      <c r="ER6" s="76" t="s">
        <v>68</v>
      </c>
      <c r="ES6" s="76"/>
      <c r="ET6" s="76"/>
      <c r="EU6" s="76"/>
      <c r="EV6" s="76"/>
      <c r="EW6" s="76"/>
      <c r="EX6" s="76"/>
      <c r="EY6" s="76"/>
      <c r="EZ6" s="76"/>
      <c r="FA6" s="1"/>
      <c r="FB6" s="2"/>
      <c r="FC6" s="1"/>
      <c r="FD6" s="76" t="s">
        <v>69</v>
      </c>
      <c r="FE6" s="76"/>
      <c r="FF6" s="76"/>
      <c r="FG6" s="76"/>
      <c r="FH6" s="76"/>
      <c r="FI6" s="76"/>
      <c r="FJ6" s="76"/>
      <c r="FK6" s="76"/>
      <c r="FL6" s="76"/>
      <c r="FM6" s="1"/>
    </row>
    <row r="7" spans="1:169" ht="14.25" customHeight="1" thickTop="1" x14ac:dyDescent="0.25">
      <c r="A7" s="18"/>
      <c r="B7" s="67"/>
      <c r="C7" s="18"/>
      <c r="D7" s="18"/>
      <c r="E7" s="18"/>
      <c r="F7" s="18"/>
      <c r="G7" s="18"/>
      <c r="H7" s="67"/>
      <c r="I7" s="18"/>
      <c r="J7" s="18"/>
      <c r="K7" s="18"/>
      <c r="L7" s="18"/>
      <c r="M7" s="18"/>
      <c r="N7" s="67"/>
      <c r="O7" s="18"/>
      <c r="P7" s="18"/>
      <c r="Q7" s="18"/>
      <c r="R7" s="18"/>
      <c r="S7" s="18"/>
      <c r="T7" s="67"/>
      <c r="U7" s="18"/>
      <c r="V7" s="18"/>
      <c r="W7" s="18"/>
      <c r="X7" s="18"/>
      <c r="Y7" s="18"/>
      <c r="Z7" s="67"/>
      <c r="AA7" s="18"/>
      <c r="AB7" s="18"/>
      <c r="AC7" s="18"/>
      <c r="AD7" s="18"/>
      <c r="AE7" s="18"/>
      <c r="AF7" s="67"/>
      <c r="AG7" s="18"/>
      <c r="AH7" s="18"/>
      <c r="AI7" s="18"/>
      <c r="AJ7" s="18"/>
      <c r="AK7" s="18"/>
      <c r="AL7" s="67"/>
      <c r="AM7" s="18"/>
      <c r="AN7" s="18"/>
      <c r="AO7" s="18"/>
      <c r="AP7" s="18"/>
      <c r="AQ7" s="18"/>
      <c r="AR7" s="67"/>
      <c r="AS7" s="18"/>
      <c r="AT7" s="18"/>
      <c r="AU7" s="18"/>
      <c r="AV7" s="18"/>
      <c r="AW7" s="18"/>
      <c r="AX7" s="67"/>
      <c r="AY7" s="18"/>
      <c r="AZ7" s="18"/>
      <c r="BA7" s="18"/>
      <c r="BB7" s="18"/>
      <c r="BC7" s="18"/>
      <c r="BD7" s="67"/>
      <c r="BE7" s="18"/>
    </row>
    <row r="8" spans="1:169" ht="15" customHeight="1" x14ac:dyDescent="0.25">
      <c r="A8" s="18"/>
      <c r="B8" s="67"/>
      <c r="C8" s="18"/>
      <c r="D8" s="69" t="str">
        <f>INDEX(KanbanPrep!$A$5:$S$189,VLOOKUP(ROW(),RowLookupTbl,2,FALSE),SMALL({1,3,5,7,9,11,13,15,17,19},MATCH(D$6,StatusOptions,0)))</f>
        <v>Task 11</v>
      </c>
      <c r="E8" s="69"/>
      <c r="F8" s="70">
        <f>IFERROR(IF(BM8="Low",2,IF(BM8="Medium",1,0)),"")</f>
        <v>1</v>
      </c>
      <c r="G8" s="18"/>
      <c r="H8" s="67"/>
      <c r="I8" s="18"/>
      <c r="J8" s="69">
        <f>INDEX(KanbanPrep!$A$5:$S$189,VLOOKUP(ROW(),RowLookupTbl,2,FALSE),SMALL({1,3,5,7,9,11,13,15,17,19},MATCH(J$6,StatusOptions,0)))</f>
        <v>0</v>
      </c>
      <c r="K8" s="69"/>
      <c r="L8" s="70" t="str">
        <f>IFERROR(IF(BY8="Low",2,IF(BY8="Medium",1,0)),"")</f>
        <v/>
      </c>
      <c r="M8" s="18"/>
      <c r="N8" s="67"/>
      <c r="O8" s="18"/>
      <c r="P8" s="69">
        <f>INDEX(KanbanPrep!$A$5:$S$189,VLOOKUP(ROW(),RowLookupTbl,2,FALSE),SMALL({1,3,5,7,9,11,13,15,17,19},MATCH(P$6,StatusOptions,0)))</f>
        <v>0</v>
      </c>
      <c r="Q8" s="69"/>
      <c r="R8" s="70" t="str">
        <f>IFERROR(IF(CK8="Low",2,IF(CK8="Medium",1,0)),"")</f>
        <v/>
      </c>
      <c r="S8" s="18"/>
      <c r="T8" s="67"/>
      <c r="U8" s="18"/>
      <c r="V8" s="69" t="str">
        <f>INDEX(KanbanPrep!$A$5:$S$189,VLOOKUP(ROW(),RowLookupTbl,2,FALSE),SMALL({1,3,5,7,9,11,13,15,17,19},MATCH(V$6,StatusOptions,0)))</f>
        <v>Task 8</v>
      </c>
      <c r="W8" s="69"/>
      <c r="X8" s="70">
        <f>IFERROR(IF(CW8="Low",2,IF(CW8="Medium",1,0)),"")</f>
        <v>0</v>
      </c>
      <c r="Y8" s="18"/>
      <c r="Z8" s="67"/>
      <c r="AA8" s="18"/>
      <c r="AB8" s="69">
        <f>INDEX(KanbanPrep!$A$5:$S$189,VLOOKUP(ROW(),RowLookupTbl,2,FALSE),SMALL({1,3,5,7,9,11,13,15,17,19},MATCH(AB$6,StatusOptions,0)))</f>
        <v>0</v>
      </c>
      <c r="AC8" s="69"/>
      <c r="AD8" s="70" t="str">
        <f>IFERROR(IF(DI8="Low",2,IF(DI8="Medium",1,0)),"")</f>
        <v/>
      </c>
      <c r="AE8" s="18"/>
      <c r="AF8" s="67"/>
      <c r="AG8" s="18"/>
      <c r="AH8" s="69">
        <f>INDEX(KanbanPrep!$A$5:$S$189,VLOOKUP(ROW(),RowLookupTbl,2,FALSE),SMALL({1,3,5,7,9,11,13,15,17,19},MATCH(AH$6,StatusOptions,0)))</f>
        <v>0</v>
      </c>
      <c r="AI8" s="69"/>
      <c r="AJ8" s="70" t="str">
        <f>IFERROR(IF(DU8="Low",2,IF(DU8="Medium",1,0)),"")</f>
        <v/>
      </c>
      <c r="AK8" s="18"/>
      <c r="AL8" s="67"/>
      <c r="AM8" s="18"/>
      <c r="AN8" s="69">
        <f>INDEX(KanbanPrep!$A$5:$S$189,VLOOKUP(ROW(),RowLookupTbl,2,FALSE),SMALL({1,3,5,7,9,11,13,15,17,19},MATCH(AN$6,StatusOptions,0)))</f>
        <v>0</v>
      </c>
      <c r="AO8" s="69"/>
      <c r="AP8" s="70" t="str">
        <f>IFERROR(IF(EG8="Low",2,IF(EG8="Medium",1,0)),"")</f>
        <v/>
      </c>
      <c r="AQ8" s="18"/>
      <c r="AR8" s="67"/>
      <c r="AS8" s="18"/>
      <c r="AT8" s="69">
        <f>INDEX(KanbanPrep!$A$5:$S$189,VLOOKUP(ROW(),RowLookupTbl,2,FALSE),SMALL({1,3,5,7,9,11,13,15,17,19},MATCH(AT$6,StatusOptions,0)))</f>
        <v>0</v>
      </c>
      <c r="AU8" s="69"/>
      <c r="AV8" s="70" t="str">
        <f>IFERROR(IF(ES8="Low",2,IF(ES8="Medium",1,0)),"")</f>
        <v/>
      </c>
      <c r="AW8" s="18"/>
      <c r="AX8" s="67"/>
      <c r="AY8" s="18"/>
      <c r="AZ8" s="69">
        <f>INDEX(KanbanPrep!$A$5:$S$189,VLOOKUP(ROW(),RowLookupTbl,2,FALSE),SMALL({1,3,5,7,9,11,13,15,17,19},MATCH(AZ$6,StatusOptions,0)))</f>
        <v>0</v>
      </c>
      <c r="BA8" s="69"/>
      <c r="BB8" s="70" t="str">
        <f>IFERROR(IF(FE8="Low",2,IF(FE8="Medium",1,0)),"")</f>
        <v/>
      </c>
      <c r="BC8" s="18"/>
      <c r="BD8" s="67"/>
      <c r="BE8" s="18"/>
      <c r="BL8" s="13" t="s">
        <v>60</v>
      </c>
      <c r="BM8" s="13" t="str">
        <f>INDEX(InputTbl[],MATCH(D8,InputTbl[Task Name],0),MATCH("Priority",InputTbl[#Headers],0))</f>
        <v>Medium</v>
      </c>
      <c r="BN8" s="73"/>
      <c r="BX8" s="13" t="s">
        <v>60</v>
      </c>
      <c r="BY8" s="13" t="e">
        <f>INDEX(InputTbl[],MATCH(J8,InputTbl[Task Name],0),MATCH("Priority",InputTbl[#Headers],0))</f>
        <v>#N/A</v>
      </c>
      <c r="BZ8" s="73"/>
      <c r="CJ8" s="13" t="s">
        <v>60</v>
      </c>
      <c r="CK8" s="13" t="e">
        <f>INDEX(InputTbl[],MATCH(P8,InputTbl[Task Name],0),MATCH("Priority",InputTbl[#Headers],0))</f>
        <v>#N/A</v>
      </c>
      <c r="CL8" s="73"/>
      <c r="CV8" s="13" t="s">
        <v>60</v>
      </c>
      <c r="CW8" s="13" t="str">
        <f>INDEX(InputTbl[],MATCH(V8,InputTbl[Task Name],0),MATCH("Priority",InputTbl[#Headers],0))</f>
        <v>High</v>
      </c>
      <c r="CX8" s="73"/>
      <c r="DH8" s="13" t="s">
        <v>60</v>
      </c>
      <c r="DI8" s="13" t="e">
        <f>INDEX(InputTbl[],MATCH(AB8,InputTbl[Task Name],0),MATCH("Priority",InputTbl[#Headers],0))</f>
        <v>#N/A</v>
      </c>
      <c r="DJ8" s="73"/>
      <c r="DT8" s="13" t="s">
        <v>60</v>
      </c>
      <c r="DU8" s="13" t="e">
        <f>INDEX(InputTbl[],MATCH(AH8,InputTbl[Task Name],0),MATCH("Priority",InputTbl[#Headers],0))</f>
        <v>#N/A</v>
      </c>
      <c r="DV8" s="73"/>
      <c r="EF8" s="13" t="s">
        <v>60</v>
      </c>
      <c r="EG8" s="13" t="e">
        <f>INDEX(InputTbl[],MATCH(AN8,InputTbl[Task Name],0),MATCH("Priority",InputTbl[#Headers],0))</f>
        <v>#N/A</v>
      </c>
      <c r="EH8" s="73"/>
      <c r="ER8" s="13" t="s">
        <v>60</v>
      </c>
      <c r="ES8" s="13" t="e">
        <f>INDEX(InputTbl[],MATCH(AT8,InputTbl[Task Name],0),MATCH("Priority",InputTbl[#Headers],0))</f>
        <v>#N/A</v>
      </c>
      <c r="ET8" s="73"/>
      <c r="FD8" s="13" t="s">
        <v>60</v>
      </c>
      <c r="FE8" s="13" t="e">
        <f>INDEX(InputTbl[],MATCH(AZ8,InputTbl[Task Name],0),MATCH("Priority",InputTbl[#Headers],0))</f>
        <v>#N/A</v>
      </c>
      <c r="FF8" s="73"/>
    </row>
    <row r="9" spans="1:169" ht="15" customHeight="1" x14ac:dyDescent="0.25">
      <c r="A9" s="18"/>
      <c r="B9" s="67"/>
      <c r="C9" s="18"/>
      <c r="D9" s="69"/>
      <c r="E9" s="69"/>
      <c r="F9" s="70"/>
      <c r="G9" s="18"/>
      <c r="H9" s="67"/>
      <c r="I9" s="18"/>
      <c r="J9" s="69"/>
      <c r="K9" s="69"/>
      <c r="L9" s="70"/>
      <c r="M9" s="18"/>
      <c r="N9" s="67"/>
      <c r="O9" s="18"/>
      <c r="P9" s="69"/>
      <c r="Q9" s="69"/>
      <c r="R9" s="70"/>
      <c r="S9" s="18"/>
      <c r="T9" s="67"/>
      <c r="U9" s="18"/>
      <c r="V9" s="69"/>
      <c r="W9" s="69"/>
      <c r="X9" s="70"/>
      <c r="Y9" s="18"/>
      <c r="Z9" s="67"/>
      <c r="AA9" s="18"/>
      <c r="AB9" s="69"/>
      <c r="AC9" s="69"/>
      <c r="AD9" s="70"/>
      <c r="AE9" s="18"/>
      <c r="AF9" s="67"/>
      <c r="AG9" s="18"/>
      <c r="AH9" s="69"/>
      <c r="AI9" s="69"/>
      <c r="AJ9" s="70"/>
      <c r="AK9" s="18"/>
      <c r="AL9" s="67"/>
      <c r="AM9" s="18"/>
      <c r="AN9" s="69"/>
      <c r="AO9" s="69"/>
      <c r="AP9" s="70"/>
      <c r="AQ9" s="18"/>
      <c r="AR9" s="67"/>
      <c r="AS9" s="18"/>
      <c r="AT9" s="69"/>
      <c r="AU9" s="69"/>
      <c r="AV9" s="70"/>
      <c r="AW9" s="18"/>
      <c r="AX9" s="67"/>
      <c r="AY9" s="18"/>
      <c r="AZ9" s="69"/>
      <c r="BA9" s="69"/>
      <c r="BB9" s="70"/>
      <c r="BC9" s="18"/>
      <c r="BD9" s="67"/>
      <c r="BE9" s="18"/>
      <c r="BL9" s="13" t="s">
        <v>72</v>
      </c>
      <c r="BM9" s="13" t="str">
        <f ca="1">INDEX(DataTbl[],MATCH(D8,DataTbl[Task Name],0),MATCH("Overdue",DataTbl[#Headers],0))</f>
        <v>Yes</v>
      </c>
      <c r="BN9" s="73"/>
      <c r="BX9" s="13" t="s">
        <v>72</v>
      </c>
      <c r="BY9" s="13" t="str">
        <f ca="1">INDEX(DataTbl[],MATCH(J8,DataTbl[Task Name],0),MATCH("Overdue",DataTbl[#Headers],0))</f>
        <v>No</v>
      </c>
      <c r="BZ9" s="73"/>
      <c r="CJ9" s="13" t="s">
        <v>72</v>
      </c>
      <c r="CK9" s="13" t="str">
        <f ca="1">INDEX(DataTbl[],MATCH(P8,DataTbl[Task Name],0),MATCH("Overdue",DataTbl[#Headers],0))</f>
        <v>No</v>
      </c>
      <c r="CL9" s="73"/>
      <c r="CV9" s="13" t="s">
        <v>72</v>
      </c>
      <c r="CW9" s="13" t="str">
        <f ca="1">INDEX(DataTbl[],MATCH(V8,DataTbl[Task Name],0),MATCH("Overdue",DataTbl[#Headers],0))</f>
        <v>No</v>
      </c>
      <c r="CX9" s="73"/>
      <c r="DH9" s="13" t="s">
        <v>72</v>
      </c>
      <c r="DI9" s="13" t="str">
        <f ca="1">INDEX(DataTbl[],MATCH(AB8,DataTbl[Task Name],0),MATCH("Overdue",DataTbl[#Headers],0))</f>
        <v>No</v>
      </c>
      <c r="DJ9" s="73"/>
      <c r="DT9" s="13" t="s">
        <v>72</v>
      </c>
      <c r="DU9" s="13" t="str">
        <f ca="1">INDEX(DataTbl[],MATCH(AH8,DataTbl[Task Name],0),MATCH("Overdue",DataTbl[#Headers],0))</f>
        <v>No</v>
      </c>
      <c r="DV9" s="73"/>
      <c r="EF9" s="13" t="s">
        <v>72</v>
      </c>
      <c r="EG9" s="13" t="str">
        <f ca="1">INDEX(DataTbl[],MATCH(AN8,DataTbl[Task Name],0),MATCH("Overdue",DataTbl[#Headers],0))</f>
        <v>No</v>
      </c>
      <c r="EH9" s="73"/>
      <c r="ER9" s="13" t="s">
        <v>72</v>
      </c>
      <c r="ES9" s="13" t="str">
        <f ca="1">INDEX(DataTbl[],MATCH(AT8,DataTbl[Task Name],0),MATCH("Overdue",DataTbl[#Headers],0))</f>
        <v>No</v>
      </c>
      <c r="ET9" s="73"/>
      <c r="FD9" s="13" t="s">
        <v>72</v>
      </c>
      <c r="FE9" s="13" t="str">
        <f ca="1">INDEX(DataTbl[],MATCH(AZ8,DataTbl[Task Name],0),MATCH("Overdue",DataTbl[#Headers],0))</f>
        <v>No</v>
      </c>
      <c r="FF9" s="73"/>
    </row>
    <row r="10" spans="1:169" ht="15" customHeight="1" x14ac:dyDescent="0.25">
      <c r="A10" s="18"/>
      <c r="B10" s="67"/>
      <c r="C10" s="18"/>
      <c r="D10" s="20" t="str">
        <f>IF(D8=0,""," "&amp;"Assigned To"&amp;": ")</f>
        <v xml:space="preserve"> Assigned To: </v>
      </c>
      <c r="E10" s="71" t="str">
        <f>IFERROR(INDEX(InputTbl[],MATCH(D8,InputTbl[Task Name],0),MATCH("Assigned To",InputTbl[#Headers],0)),"")</f>
        <v>Sam</v>
      </c>
      <c r="F10" s="71"/>
      <c r="G10" s="18"/>
      <c r="H10" s="67"/>
      <c r="I10" s="18"/>
      <c r="J10" s="20" t="str">
        <f>IF(J8=0,""," "&amp;"Assigned To"&amp;": ")</f>
        <v/>
      </c>
      <c r="K10" s="71" t="str">
        <f>IFERROR(INDEX(InputTbl[],MATCH(J8,InputTbl[Task Name],0),MATCH("Assigned To",InputTbl[#Headers],0)),"")</f>
        <v/>
      </c>
      <c r="L10" s="71"/>
      <c r="M10" s="18"/>
      <c r="N10" s="67"/>
      <c r="O10" s="18"/>
      <c r="P10" s="20" t="str">
        <f>IF(P8=0,""," "&amp;"Assigned To"&amp;": ")</f>
        <v/>
      </c>
      <c r="Q10" s="71" t="str">
        <f>IFERROR(INDEX(InputTbl[],MATCH(P8,InputTbl[Task Name],0),MATCH("Assigned To",InputTbl[#Headers],0)),"")</f>
        <v/>
      </c>
      <c r="R10" s="71"/>
      <c r="S10" s="18"/>
      <c r="T10" s="67"/>
      <c r="U10" s="18"/>
      <c r="V10" s="20" t="str">
        <f>IF(V8=0,""," "&amp;"Assigned To"&amp;": ")</f>
        <v xml:space="preserve"> Assigned To: </v>
      </c>
      <c r="W10" s="71" t="str">
        <f>IFERROR(INDEX(InputTbl[],MATCH(V8,InputTbl[Task Name],0),MATCH("Assigned To",InputTbl[#Headers],0)),"")</f>
        <v>Michael</v>
      </c>
      <c r="X10" s="71"/>
      <c r="Y10" s="18"/>
      <c r="Z10" s="67"/>
      <c r="AA10" s="18"/>
      <c r="AB10" s="20" t="str">
        <f>IF(AB8=0,""," "&amp;"Assigned To"&amp;": ")</f>
        <v/>
      </c>
      <c r="AC10" s="71" t="str">
        <f>IFERROR(INDEX(InputTbl[],MATCH(AB8,InputTbl[Task Name],0),MATCH("Assigned To",InputTbl[#Headers],0)),"")</f>
        <v/>
      </c>
      <c r="AD10" s="71"/>
      <c r="AE10" s="18"/>
      <c r="AF10" s="67"/>
      <c r="AG10" s="18"/>
      <c r="AH10" s="20" t="str">
        <f>IF(AH8=0,""," "&amp;"Assigned To"&amp;": ")</f>
        <v/>
      </c>
      <c r="AI10" s="71" t="str">
        <f>IFERROR(INDEX(InputTbl[],MATCH(AH8,InputTbl[Task Name],0),MATCH("Assigned To",InputTbl[#Headers],0)),"")</f>
        <v/>
      </c>
      <c r="AJ10" s="71"/>
      <c r="AK10" s="18"/>
      <c r="AL10" s="67"/>
      <c r="AM10" s="18"/>
      <c r="AN10" s="20" t="str">
        <f>IF(AN8=0,""," "&amp;"Assigned To"&amp;": ")</f>
        <v/>
      </c>
      <c r="AO10" s="71" t="str">
        <f>IFERROR(INDEX(InputTbl[],MATCH(AN8,InputTbl[Task Name],0),MATCH("Assigned To",InputTbl[#Headers],0)),"")</f>
        <v/>
      </c>
      <c r="AP10" s="71"/>
      <c r="AQ10" s="18"/>
      <c r="AR10" s="67"/>
      <c r="AS10" s="18"/>
      <c r="AT10" s="20" t="str">
        <f>IF(AT8=0,""," "&amp;"Assigned To"&amp;": ")</f>
        <v/>
      </c>
      <c r="AU10" s="71" t="str">
        <f>IFERROR(INDEX(InputTbl[],MATCH(AT8,InputTbl[Task Name],0),MATCH("Assigned To",InputTbl[#Headers],0)),"")</f>
        <v/>
      </c>
      <c r="AV10" s="71"/>
      <c r="AW10" s="18"/>
      <c r="AX10" s="67"/>
      <c r="AY10" s="18"/>
      <c r="AZ10" s="20" t="str">
        <f>IF(AZ8=0,""," "&amp;"Assigned To"&amp;": ")</f>
        <v/>
      </c>
      <c r="BA10" s="71" t="str">
        <f>IFERROR(INDEX(InputTbl[],MATCH(AZ8,InputTbl[Task Name],0),MATCH("Assigned To",InputTbl[#Headers],0)),"")</f>
        <v/>
      </c>
      <c r="BB10" s="71"/>
      <c r="BC10" s="18"/>
      <c r="BD10" s="67"/>
      <c r="BE10" s="18"/>
      <c r="BL10" s="7"/>
      <c r="BM10" s="75"/>
      <c r="BN10" s="75"/>
      <c r="BX10" s="7"/>
      <c r="BY10" s="75"/>
      <c r="BZ10" s="75"/>
      <c r="CJ10" s="7"/>
      <c r="CK10" s="75"/>
      <c r="CL10" s="75"/>
      <c r="CV10" s="7"/>
      <c r="CW10" s="75"/>
      <c r="CX10" s="75"/>
      <c r="DH10" s="7"/>
      <c r="DI10" s="75"/>
      <c r="DJ10" s="75"/>
      <c r="DT10" s="7"/>
      <c r="DU10" s="75"/>
      <c r="DV10" s="75"/>
      <c r="EF10" s="7"/>
      <c r="EG10" s="75"/>
      <c r="EH10" s="75"/>
      <c r="ER10" s="7"/>
      <c r="ES10" s="75"/>
      <c r="ET10" s="75"/>
      <c r="FD10" s="7"/>
      <c r="FE10" s="75"/>
      <c r="FF10" s="75"/>
    </row>
    <row r="11" spans="1:169" ht="15" customHeight="1" x14ac:dyDescent="0.25">
      <c r="A11" s="18"/>
      <c r="B11" s="67"/>
      <c r="C11" s="18"/>
      <c r="D11" s="21" t="str">
        <f>IF(D8=0,""," "&amp;"Date Due"&amp;": ")</f>
        <v xml:space="preserve"> Date Due: </v>
      </c>
      <c r="E11" s="72" t="str">
        <f ca="1">IFERROR(IF(BM9="Yes",_xlfn.CONCAT("⚠"," ",TEXT(INDEX(InputTbl[],MATCH(D8,InputTbl[Task Name],0),MATCH("Due Date",InputTbl[#Headers],0)),"mm/dd/yyyy")," ","⚠"),INDEX(InputTbl[],MATCH(D8,InputTbl[Task Name],0),MATCH("Due Date",InputTbl[#Headers],0))),"")</f>
        <v>⚠ 12/12/2020 ⚠</v>
      </c>
      <c r="F11" s="72"/>
      <c r="G11" s="18"/>
      <c r="H11" s="67"/>
      <c r="I11" s="18"/>
      <c r="J11" s="21" t="str">
        <f>IF(J8=0,""," "&amp;"Date Due"&amp;": ")</f>
        <v/>
      </c>
      <c r="K11" s="72" t="str">
        <f ca="1">IFERROR(IF(BY9="Yes",_xlfn.CONCAT("⚠"," ",TEXT(INDEX(InputTbl[],MATCH(J8,InputTbl[Task Name],0),MATCH("Due Date",InputTbl[#Headers],0)),"mm/dd/yyyy")," ","⚠"),INDEX(InputTbl[],MATCH(J8,InputTbl[Task Name],0),MATCH("Due Date",InputTbl[#Headers],0))),"")</f>
        <v/>
      </c>
      <c r="L11" s="72"/>
      <c r="M11" s="18"/>
      <c r="N11" s="67"/>
      <c r="O11" s="18"/>
      <c r="P11" s="21" t="str">
        <f>IF(P8=0,""," "&amp;"Date Due"&amp;": ")</f>
        <v/>
      </c>
      <c r="Q11" s="72" t="str">
        <f ca="1">IFERROR(IF(CK9="Yes",_xlfn.CONCAT("⚠"," ",TEXT(INDEX(InputTbl[],MATCH(P8,InputTbl[Task Name],0),MATCH("Due Date",InputTbl[#Headers],0)),"mm/dd/yyyy")," ","⚠"),INDEX(InputTbl[],MATCH(P8,InputTbl[Task Name],0),MATCH("Due Date",InputTbl[#Headers],0))),"")</f>
        <v/>
      </c>
      <c r="R11" s="72"/>
      <c r="S11" s="18"/>
      <c r="T11" s="67"/>
      <c r="U11" s="18"/>
      <c r="V11" s="21" t="str">
        <f>IF(V8=0,""," "&amp;"Date Due"&amp;": ")</f>
        <v xml:space="preserve"> Date Due: </v>
      </c>
      <c r="W11" s="72">
        <f ca="1">IFERROR(IF(CW9="Yes",_xlfn.CONCAT("⚠"," ",TEXT(INDEX(InputTbl[],MATCH(V8,InputTbl[Task Name],0),MATCH("Due Date",InputTbl[#Headers],0)),"mm/dd/yyyy")," ","⚠"),INDEX(InputTbl[],MATCH(V8,InputTbl[Task Name],0),MATCH("Due Date",InputTbl[#Headers],0))),"")</f>
        <v>44233</v>
      </c>
      <c r="X11" s="72"/>
      <c r="Y11" s="18"/>
      <c r="Z11" s="67"/>
      <c r="AA11" s="18"/>
      <c r="AB11" s="21" t="str">
        <f>IF(AB8=0,""," "&amp;"Date Due"&amp;": ")</f>
        <v/>
      </c>
      <c r="AC11" s="72" t="str">
        <f ca="1">IFERROR(IF(DI9="Yes",_xlfn.CONCAT("⚠"," ",TEXT(INDEX(InputTbl[],MATCH(AB8,InputTbl[Task Name],0),MATCH("Due Date",InputTbl[#Headers],0)),"mm/dd/yyyy")," ","⚠"),INDEX(InputTbl[],MATCH(AB8,InputTbl[Task Name],0),MATCH("Due Date",InputTbl[#Headers],0))),"")</f>
        <v/>
      </c>
      <c r="AD11" s="72"/>
      <c r="AE11" s="18"/>
      <c r="AF11" s="67"/>
      <c r="AG11" s="18"/>
      <c r="AH11" s="21" t="str">
        <f>IF(AH8=0,""," "&amp;"Date Due"&amp;": ")</f>
        <v/>
      </c>
      <c r="AI11" s="72" t="str">
        <f ca="1">IFERROR(IF(DU9="Yes",_xlfn.CONCAT("⚠"," ",TEXT(INDEX(InputTbl[],MATCH(AH8,InputTbl[Task Name],0),MATCH("Due Date",InputTbl[#Headers],0)),"mm/dd/yyyy")," ","⚠"),INDEX(InputTbl[],MATCH(AH8,InputTbl[Task Name],0),MATCH("Due Date",InputTbl[#Headers],0))),"")</f>
        <v/>
      </c>
      <c r="AJ11" s="72"/>
      <c r="AK11" s="18"/>
      <c r="AL11" s="67"/>
      <c r="AM11" s="18"/>
      <c r="AN11" s="21" t="str">
        <f>IF(AN8=0,""," "&amp;"Date Due"&amp;": ")</f>
        <v/>
      </c>
      <c r="AO11" s="72" t="str">
        <f ca="1">IFERROR(IF(EG9="Yes",_xlfn.CONCAT("⚠"," ",TEXT(INDEX(InputTbl[],MATCH(AN8,InputTbl[Task Name],0),MATCH("Due Date",InputTbl[#Headers],0)),"mm/dd/yyyy")," ","⚠"),INDEX(InputTbl[],MATCH(AN8,InputTbl[Task Name],0),MATCH("Due Date",InputTbl[#Headers],0))),"")</f>
        <v/>
      </c>
      <c r="AP11" s="72"/>
      <c r="AQ11" s="18"/>
      <c r="AR11" s="67"/>
      <c r="AS11" s="18"/>
      <c r="AT11" s="21" t="str">
        <f>IF(AT8=0,""," "&amp;"Date Due"&amp;": ")</f>
        <v/>
      </c>
      <c r="AU11" s="72" t="str">
        <f ca="1">IFERROR(IF(ES9="Yes",_xlfn.CONCAT("⚠"," ",TEXT(INDEX(InputTbl[],MATCH(AT8,InputTbl[Task Name],0),MATCH("Due Date",InputTbl[#Headers],0)),"mm/dd/yyyy")," ","⚠"),INDEX(InputTbl[],MATCH(AT8,InputTbl[Task Name],0),MATCH("Due Date",InputTbl[#Headers],0))),"")</f>
        <v/>
      </c>
      <c r="AV11" s="72"/>
      <c r="AW11" s="18"/>
      <c r="AX11" s="67"/>
      <c r="AY11" s="18"/>
      <c r="AZ11" s="21" t="str">
        <f>IF(AZ8=0,""," "&amp;"Date Due"&amp;": ")</f>
        <v/>
      </c>
      <c r="BA11" s="72" t="str">
        <f ca="1">IFERROR(IF(FE9="Yes",_xlfn.CONCAT("⚠"," ",TEXT(INDEX(InputTbl[],MATCH(AZ8,InputTbl[Task Name],0),MATCH("Due Date",InputTbl[#Headers],0)),"mm/dd/yyyy")," ","⚠"),INDEX(InputTbl[],MATCH(AZ8,InputTbl[Task Name],0),MATCH("Due Date",InputTbl[#Headers],0))),"")</f>
        <v/>
      </c>
      <c r="BB11" s="72"/>
      <c r="BC11" s="18"/>
      <c r="BD11" s="67"/>
      <c r="BE11" s="18"/>
      <c r="BL11" s="8"/>
      <c r="BM11" s="74"/>
      <c r="BN11" s="74"/>
      <c r="BX11" s="8"/>
      <c r="BY11" s="74"/>
      <c r="BZ11" s="74"/>
      <c r="CJ11" s="8"/>
      <c r="CK11" s="74"/>
      <c r="CL11" s="74"/>
      <c r="CV11" s="8"/>
      <c r="CW11" s="74"/>
      <c r="CX11" s="74"/>
      <c r="DH11" s="8"/>
      <c r="DI11" s="74"/>
      <c r="DJ11" s="74"/>
      <c r="DT11" s="8"/>
      <c r="DU11" s="74"/>
      <c r="DV11" s="74"/>
      <c r="EF11" s="8"/>
      <c r="EG11" s="74"/>
      <c r="EH11" s="74"/>
      <c r="ER11" s="8"/>
      <c r="ES11" s="74"/>
      <c r="ET11" s="74"/>
      <c r="FD11" s="8"/>
      <c r="FE11" s="74"/>
      <c r="FF11" s="74"/>
    </row>
    <row r="12" spans="1:169" ht="15" customHeight="1" x14ac:dyDescent="0.25">
      <c r="A12" s="18"/>
      <c r="B12" s="67"/>
      <c r="C12" s="18"/>
      <c r="D12" s="18"/>
      <c r="E12" s="18"/>
      <c r="F12" s="18"/>
      <c r="G12" s="18"/>
      <c r="H12" s="67"/>
      <c r="I12" s="18"/>
      <c r="J12" s="18"/>
      <c r="K12" s="18"/>
      <c r="L12" s="18"/>
      <c r="M12" s="18"/>
      <c r="N12" s="67"/>
      <c r="O12" s="18"/>
      <c r="P12" s="18"/>
      <c r="Q12" s="18"/>
      <c r="R12" s="18"/>
      <c r="S12" s="18"/>
      <c r="T12" s="67"/>
      <c r="U12" s="18"/>
      <c r="V12" s="18"/>
      <c r="W12" s="18"/>
      <c r="X12" s="18"/>
      <c r="Y12" s="18"/>
      <c r="Z12" s="67"/>
      <c r="AA12" s="18"/>
      <c r="AB12" s="18"/>
      <c r="AC12" s="18"/>
      <c r="AD12" s="18"/>
      <c r="AE12" s="18"/>
      <c r="AF12" s="67"/>
      <c r="AG12" s="18"/>
      <c r="AH12" s="18"/>
      <c r="AI12" s="18"/>
      <c r="AJ12" s="18"/>
      <c r="AK12" s="18"/>
      <c r="AL12" s="67"/>
      <c r="AM12" s="18"/>
      <c r="AN12" s="18"/>
      <c r="AO12" s="18"/>
      <c r="AP12" s="18"/>
      <c r="AQ12" s="18"/>
      <c r="AR12" s="67"/>
      <c r="AS12" s="18"/>
      <c r="AT12" s="18"/>
      <c r="AU12" s="18"/>
      <c r="AV12" s="18"/>
      <c r="AW12" s="18"/>
      <c r="AX12" s="67"/>
      <c r="AY12" s="18"/>
      <c r="AZ12" s="18"/>
      <c r="BA12" s="18"/>
      <c r="BB12" s="18"/>
      <c r="BC12" s="18"/>
      <c r="BD12" s="67"/>
      <c r="BE12" s="18"/>
    </row>
    <row r="13" spans="1:169" ht="15" customHeight="1" x14ac:dyDescent="0.25">
      <c r="A13" s="18"/>
      <c r="B13" s="67"/>
      <c r="C13" s="18"/>
      <c r="D13" s="69" t="str">
        <f>INDEX(KanbanPrep!$A$5:$S$189,VLOOKUP(ROW(),RowLookupTbl,2,FALSE),SMALL({1,3,5,7,9,11,13,15,17,19},MATCH(D$6,StatusOptions,0)))</f>
        <v>Task 13</v>
      </c>
      <c r="E13" s="69"/>
      <c r="F13" s="70">
        <f>IFERROR(IF(BM13="Low",2,IF(BM13="Medium",1,0)),"")</f>
        <v>1</v>
      </c>
      <c r="G13" s="18"/>
      <c r="H13" s="67"/>
      <c r="I13" s="18"/>
      <c r="J13" s="69">
        <f>INDEX(KanbanPrep!$A$5:$S$189,VLOOKUP(ROW(),RowLookupTbl,2,FALSE),SMALL({1,3,5,7,9,11,13,15,17,19},MATCH(J$6,StatusOptions,0)))</f>
        <v>0</v>
      </c>
      <c r="K13" s="69"/>
      <c r="L13" s="70" t="str">
        <f>IFERROR(IF(BY13="Low",2,IF(BY13="Medium",1,0)),"")</f>
        <v/>
      </c>
      <c r="M13" s="18"/>
      <c r="N13" s="67"/>
      <c r="O13" s="18"/>
      <c r="P13" s="69">
        <f>INDEX(KanbanPrep!$A$5:$S$189,VLOOKUP(ROW(),RowLookupTbl,2,FALSE),SMALL({1,3,5,7,9,11,13,15,17,19},MATCH(P$6,StatusOptions,0)))</f>
        <v>0</v>
      </c>
      <c r="Q13" s="69"/>
      <c r="R13" s="70" t="str">
        <f>IFERROR(IF(CK13="Low",2,IF(CK13="Medium",1,0)),"")</f>
        <v/>
      </c>
      <c r="S13" s="18"/>
      <c r="T13" s="67"/>
      <c r="U13" s="18"/>
      <c r="V13" s="69">
        <f>INDEX(KanbanPrep!$A$5:$S$189,VLOOKUP(ROW(),RowLookupTbl,2,FALSE),SMALL({1,3,5,7,9,11,13,15,17,19},MATCH(V$6,StatusOptions,0)))</f>
        <v>0</v>
      </c>
      <c r="W13" s="69"/>
      <c r="X13" s="70" t="str">
        <f>IFERROR(IF(CW13="Low",2,IF(CW13="Medium",1,0)),"")</f>
        <v/>
      </c>
      <c r="Y13" s="18"/>
      <c r="Z13" s="67"/>
      <c r="AA13" s="18"/>
      <c r="AB13" s="69">
        <f>INDEX(KanbanPrep!$A$5:$S$189,VLOOKUP(ROW(),RowLookupTbl,2,FALSE),SMALL({1,3,5,7,9,11,13,15,17,19},MATCH(AB$6,StatusOptions,0)))</f>
        <v>0</v>
      </c>
      <c r="AC13" s="69"/>
      <c r="AD13" s="70" t="str">
        <f>IFERROR(IF(DI13="Low",2,IF(DI13="Medium",1,0)),"")</f>
        <v/>
      </c>
      <c r="AE13" s="18"/>
      <c r="AF13" s="67"/>
      <c r="AG13" s="18"/>
      <c r="AH13" s="69">
        <f>INDEX(KanbanPrep!$A$5:$S$189,VLOOKUP(ROW(),RowLookupTbl,2,FALSE),SMALL({1,3,5,7,9,11,13,15,17,19},MATCH(AH$6,StatusOptions,0)))</f>
        <v>0</v>
      </c>
      <c r="AI13" s="69"/>
      <c r="AJ13" s="70" t="str">
        <f>IFERROR(IF(DU13="Low",2,IF(DU13="Medium",1,0)),"")</f>
        <v/>
      </c>
      <c r="AK13" s="18"/>
      <c r="AL13" s="67"/>
      <c r="AM13" s="18"/>
      <c r="AN13" s="69">
        <f>INDEX(KanbanPrep!$A$5:$S$189,VLOOKUP(ROW(),RowLookupTbl,2,FALSE),SMALL({1,3,5,7,9,11,13,15,17,19},MATCH(AN$6,StatusOptions,0)))</f>
        <v>0</v>
      </c>
      <c r="AO13" s="69"/>
      <c r="AP13" s="70" t="str">
        <f>IFERROR(IF(EG13="Low",2,IF(EG13="Medium",1,0)),"")</f>
        <v/>
      </c>
      <c r="AQ13" s="18"/>
      <c r="AR13" s="67"/>
      <c r="AS13" s="18"/>
      <c r="AT13" s="69">
        <f>INDEX(KanbanPrep!$A$5:$S$189,VLOOKUP(ROW(),RowLookupTbl,2,FALSE),SMALL({1,3,5,7,9,11,13,15,17,19},MATCH(AT$6,StatusOptions,0)))</f>
        <v>0</v>
      </c>
      <c r="AU13" s="69"/>
      <c r="AV13" s="70" t="str">
        <f>IFERROR(IF(ES13="Low",2,IF(ES13="Medium",1,0)),"")</f>
        <v/>
      </c>
      <c r="AW13" s="18"/>
      <c r="AX13" s="67"/>
      <c r="AY13" s="18"/>
      <c r="AZ13" s="69">
        <f>INDEX(KanbanPrep!$A$5:$S$189,VLOOKUP(ROW(),RowLookupTbl,2,FALSE),SMALL({1,3,5,7,9,11,13,15,17,19},MATCH(AZ$6,StatusOptions,0)))</f>
        <v>0</v>
      </c>
      <c r="BA13" s="69"/>
      <c r="BB13" s="70" t="str">
        <f>IFERROR(IF(FE13="Low",2,IF(FE13="Medium",1,0)),"")</f>
        <v/>
      </c>
      <c r="BC13" s="18"/>
      <c r="BD13" s="67"/>
      <c r="BE13" s="18"/>
      <c r="BL13" s="13" t="s">
        <v>60</v>
      </c>
      <c r="BM13" s="13" t="str">
        <f>INDEX(InputTbl[],MATCH(D13,InputTbl[Task Name],0),MATCH("Priority",InputTbl[#Headers],0))</f>
        <v>Medium</v>
      </c>
      <c r="BN13" s="73"/>
      <c r="BX13" s="13" t="s">
        <v>60</v>
      </c>
      <c r="BY13" s="13" t="e">
        <f>INDEX(InputTbl[],MATCH(J13,InputTbl[Task Name],0),MATCH("Priority",InputTbl[#Headers],0))</f>
        <v>#N/A</v>
      </c>
      <c r="BZ13" s="73"/>
      <c r="CJ13" s="13" t="s">
        <v>60</v>
      </c>
      <c r="CK13" s="13" t="e">
        <f>INDEX(InputTbl[],MATCH(P13,InputTbl[Task Name],0),MATCH("Priority",InputTbl[#Headers],0))</f>
        <v>#N/A</v>
      </c>
      <c r="CL13" s="73"/>
      <c r="CV13" s="13" t="s">
        <v>60</v>
      </c>
      <c r="CW13" s="13" t="e">
        <f>INDEX(InputTbl[],MATCH(V13,InputTbl[Task Name],0),MATCH("Priority",InputTbl[#Headers],0))</f>
        <v>#N/A</v>
      </c>
      <c r="CX13" s="73"/>
      <c r="DH13" s="13" t="s">
        <v>60</v>
      </c>
      <c r="DI13" s="13" t="e">
        <f>INDEX(InputTbl[],MATCH(AB13,InputTbl[Task Name],0),MATCH("Priority",InputTbl[#Headers],0))</f>
        <v>#N/A</v>
      </c>
      <c r="DJ13" s="73"/>
      <c r="DT13" s="13" t="s">
        <v>60</v>
      </c>
      <c r="DU13" s="13" t="e">
        <f>INDEX(InputTbl[],MATCH(AH13,InputTbl[Task Name],0),MATCH("Priority",InputTbl[#Headers],0))</f>
        <v>#N/A</v>
      </c>
      <c r="DV13" s="73"/>
      <c r="EF13" s="13" t="s">
        <v>60</v>
      </c>
      <c r="EG13" s="13" t="e">
        <f>INDEX(InputTbl[],MATCH(AN13,InputTbl[Task Name],0),MATCH("Priority",InputTbl[#Headers],0))</f>
        <v>#N/A</v>
      </c>
      <c r="EH13" s="73"/>
      <c r="ER13" s="13" t="s">
        <v>60</v>
      </c>
      <c r="ES13" s="13" t="e">
        <f>INDEX(InputTbl[],MATCH(AT13,InputTbl[Task Name],0),MATCH("Priority",InputTbl[#Headers],0))</f>
        <v>#N/A</v>
      </c>
      <c r="ET13" s="73"/>
      <c r="FD13" s="13" t="s">
        <v>60</v>
      </c>
      <c r="FE13" s="13" t="e">
        <f>INDEX(InputTbl[],MATCH(AZ13,InputTbl[Task Name],0),MATCH("Priority",InputTbl[#Headers],0))</f>
        <v>#N/A</v>
      </c>
      <c r="FF13" s="73"/>
    </row>
    <row r="14" spans="1:169" ht="15" customHeight="1" x14ac:dyDescent="0.25">
      <c r="A14" s="18"/>
      <c r="B14" s="67"/>
      <c r="C14" s="18"/>
      <c r="D14" s="69"/>
      <c r="E14" s="69"/>
      <c r="F14" s="70"/>
      <c r="G14" s="18"/>
      <c r="H14" s="67"/>
      <c r="I14" s="18"/>
      <c r="J14" s="69"/>
      <c r="K14" s="69"/>
      <c r="L14" s="70"/>
      <c r="M14" s="18"/>
      <c r="N14" s="67"/>
      <c r="O14" s="18"/>
      <c r="P14" s="69"/>
      <c r="Q14" s="69"/>
      <c r="R14" s="70"/>
      <c r="S14" s="18"/>
      <c r="T14" s="67"/>
      <c r="U14" s="18"/>
      <c r="V14" s="69"/>
      <c r="W14" s="69"/>
      <c r="X14" s="70"/>
      <c r="Y14" s="18"/>
      <c r="Z14" s="67"/>
      <c r="AA14" s="18"/>
      <c r="AB14" s="69"/>
      <c r="AC14" s="69"/>
      <c r="AD14" s="70"/>
      <c r="AE14" s="18"/>
      <c r="AF14" s="67"/>
      <c r="AG14" s="18"/>
      <c r="AH14" s="69"/>
      <c r="AI14" s="69"/>
      <c r="AJ14" s="70"/>
      <c r="AK14" s="18"/>
      <c r="AL14" s="67"/>
      <c r="AM14" s="18"/>
      <c r="AN14" s="69"/>
      <c r="AO14" s="69"/>
      <c r="AP14" s="70"/>
      <c r="AQ14" s="18"/>
      <c r="AR14" s="67"/>
      <c r="AS14" s="18"/>
      <c r="AT14" s="69"/>
      <c r="AU14" s="69"/>
      <c r="AV14" s="70"/>
      <c r="AW14" s="18"/>
      <c r="AX14" s="67"/>
      <c r="AY14" s="18"/>
      <c r="AZ14" s="69"/>
      <c r="BA14" s="69"/>
      <c r="BB14" s="70"/>
      <c r="BC14" s="18"/>
      <c r="BD14" s="67"/>
      <c r="BE14" s="18"/>
      <c r="BL14" s="13" t="s">
        <v>72</v>
      </c>
      <c r="BM14" s="13" t="str">
        <f ca="1">INDEX(DataTbl[],MATCH(D13,DataTbl[Task Name],0),MATCH("Overdue",DataTbl[#Headers],0))</f>
        <v>Yes</v>
      </c>
      <c r="BN14" s="73"/>
      <c r="BX14" s="13" t="s">
        <v>72</v>
      </c>
      <c r="BY14" s="13" t="str">
        <f ca="1">INDEX(DataTbl[],MATCH(J13,DataTbl[Task Name],0),MATCH("Overdue",DataTbl[#Headers],0))</f>
        <v>No</v>
      </c>
      <c r="BZ14" s="73"/>
      <c r="CJ14" s="13" t="s">
        <v>72</v>
      </c>
      <c r="CK14" s="13" t="str">
        <f ca="1">INDEX(DataTbl[],MATCH(P13,DataTbl[Task Name],0),MATCH("Overdue",DataTbl[#Headers],0))</f>
        <v>No</v>
      </c>
      <c r="CL14" s="73"/>
      <c r="CV14" s="13" t="s">
        <v>72</v>
      </c>
      <c r="CW14" s="13" t="str">
        <f ca="1">INDEX(DataTbl[],MATCH(V13,DataTbl[Task Name],0),MATCH("Overdue",DataTbl[#Headers],0))</f>
        <v>No</v>
      </c>
      <c r="CX14" s="73"/>
      <c r="DH14" s="13" t="s">
        <v>72</v>
      </c>
      <c r="DI14" s="13" t="str">
        <f ca="1">INDEX(DataTbl[],MATCH(AB13,DataTbl[Task Name],0),MATCH("Overdue",DataTbl[#Headers],0))</f>
        <v>No</v>
      </c>
      <c r="DJ14" s="73"/>
      <c r="DT14" s="13" t="s">
        <v>72</v>
      </c>
      <c r="DU14" s="13" t="str">
        <f ca="1">INDEX(DataTbl[],MATCH(AH13,DataTbl[Task Name],0),MATCH("Overdue",DataTbl[#Headers],0))</f>
        <v>No</v>
      </c>
      <c r="DV14" s="73"/>
      <c r="EF14" s="13" t="s">
        <v>72</v>
      </c>
      <c r="EG14" s="13" t="str">
        <f ca="1">INDEX(DataTbl[],MATCH(AN13,DataTbl[Task Name],0),MATCH("Overdue",DataTbl[#Headers],0))</f>
        <v>No</v>
      </c>
      <c r="EH14" s="73"/>
      <c r="ER14" s="13" t="s">
        <v>72</v>
      </c>
      <c r="ES14" s="13" t="str">
        <f ca="1">INDEX(DataTbl[],MATCH(AT13,DataTbl[Task Name],0),MATCH("Overdue",DataTbl[#Headers],0))</f>
        <v>No</v>
      </c>
      <c r="ET14" s="73"/>
      <c r="FD14" s="13" t="s">
        <v>72</v>
      </c>
      <c r="FE14" s="13" t="str">
        <f ca="1">INDEX(DataTbl[],MATCH(AZ13,DataTbl[Task Name],0),MATCH("Overdue",DataTbl[#Headers],0))</f>
        <v>No</v>
      </c>
      <c r="FF14" s="73"/>
    </row>
    <row r="15" spans="1:169" ht="15" customHeight="1" x14ac:dyDescent="0.25">
      <c r="A15" s="18"/>
      <c r="B15" s="67"/>
      <c r="C15" s="18"/>
      <c r="D15" s="20" t="str">
        <f>IF(D13=0,""," "&amp;"Assigned To"&amp;": ")</f>
        <v xml:space="preserve"> Assigned To: </v>
      </c>
      <c r="E15" s="71" t="str">
        <f>IFERROR(INDEX(InputTbl[],MATCH(D13,InputTbl[Task Name],0),MATCH("Assigned To",InputTbl[#Headers],0)),"")</f>
        <v>Elizabeth</v>
      </c>
      <c r="F15" s="71"/>
      <c r="G15" s="18"/>
      <c r="H15" s="67"/>
      <c r="I15" s="18"/>
      <c r="J15" s="20" t="str">
        <f>IF(J13=0,""," "&amp;"Assigned To"&amp;": ")</f>
        <v/>
      </c>
      <c r="K15" s="71" t="str">
        <f>IFERROR(INDEX(InputTbl[],MATCH(J13,InputTbl[Task Name],0),MATCH("Assigned To",InputTbl[#Headers],0)),"")</f>
        <v/>
      </c>
      <c r="L15" s="71"/>
      <c r="M15" s="18"/>
      <c r="N15" s="67"/>
      <c r="O15" s="18"/>
      <c r="P15" s="20" t="str">
        <f>IF(P13=0,""," "&amp;"Assigned To"&amp;": ")</f>
        <v/>
      </c>
      <c r="Q15" s="71" t="str">
        <f>IFERROR(INDEX(InputTbl[],MATCH(P13,InputTbl[Task Name],0),MATCH("Assigned To",InputTbl[#Headers],0)),"")</f>
        <v/>
      </c>
      <c r="R15" s="71"/>
      <c r="S15" s="18"/>
      <c r="T15" s="67"/>
      <c r="U15" s="18"/>
      <c r="V15" s="20" t="str">
        <f>IF(V13=0,""," "&amp;"Assigned To"&amp;": ")</f>
        <v/>
      </c>
      <c r="W15" s="71" t="str">
        <f>IFERROR(INDEX(InputTbl[],MATCH(V13,InputTbl[Task Name],0),MATCH("Assigned To",InputTbl[#Headers],0)),"")</f>
        <v/>
      </c>
      <c r="X15" s="71"/>
      <c r="Y15" s="18"/>
      <c r="Z15" s="67"/>
      <c r="AA15" s="18"/>
      <c r="AB15" s="20" t="str">
        <f>IF(AB13=0,""," "&amp;"Assigned To"&amp;": ")</f>
        <v/>
      </c>
      <c r="AC15" s="71" t="str">
        <f>IFERROR(INDEX(InputTbl[],MATCH(AB13,InputTbl[Task Name],0),MATCH("Assigned To",InputTbl[#Headers],0)),"")</f>
        <v/>
      </c>
      <c r="AD15" s="71"/>
      <c r="AE15" s="18"/>
      <c r="AF15" s="67"/>
      <c r="AG15" s="18"/>
      <c r="AH15" s="20" t="str">
        <f>IF(AH13=0,""," "&amp;"Assigned To"&amp;": ")</f>
        <v/>
      </c>
      <c r="AI15" s="71" t="str">
        <f>IFERROR(INDEX(InputTbl[],MATCH(AH13,InputTbl[Task Name],0),MATCH("Assigned To",InputTbl[#Headers],0)),"")</f>
        <v/>
      </c>
      <c r="AJ15" s="71"/>
      <c r="AK15" s="18"/>
      <c r="AL15" s="67"/>
      <c r="AM15" s="18"/>
      <c r="AN15" s="20" t="str">
        <f>IF(AN13=0,""," "&amp;"Assigned To"&amp;": ")</f>
        <v/>
      </c>
      <c r="AO15" s="71" t="str">
        <f>IFERROR(INDEX(InputTbl[],MATCH(AN13,InputTbl[Task Name],0),MATCH("Assigned To",InputTbl[#Headers],0)),"")</f>
        <v/>
      </c>
      <c r="AP15" s="71"/>
      <c r="AQ15" s="18"/>
      <c r="AR15" s="67"/>
      <c r="AS15" s="18"/>
      <c r="AT15" s="20" t="str">
        <f>IF(AT13=0,""," "&amp;"Assigned To"&amp;": ")</f>
        <v/>
      </c>
      <c r="AU15" s="71" t="str">
        <f>IFERROR(INDEX(InputTbl[],MATCH(AT13,InputTbl[Task Name],0),MATCH("Assigned To",InputTbl[#Headers],0)),"")</f>
        <v/>
      </c>
      <c r="AV15" s="71"/>
      <c r="AW15" s="18"/>
      <c r="AX15" s="67"/>
      <c r="AY15" s="18"/>
      <c r="AZ15" s="20" t="str">
        <f>IF(AZ13=0,""," "&amp;"Assigned To"&amp;": ")</f>
        <v/>
      </c>
      <c r="BA15" s="71" t="str">
        <f>IFERROR(INDEX(InputTbl[],MATCH(AZ13,InputTbl[Task Name],0),MATCH("Assigned To",InputTbl[#Headers],0)),"")</f>
        <v/>
      </c>
      <c r="BB15" s="71"/>
      <c r="BC15" s="18"/>
      <c r="BD15" s="67"/>
      <c r="BE15" s="18"/>
      <c r="BL15" s="7"/>
      <c r="BM15" s="75"/>
      <c r="BN15" s="75"/>
      <c r="BX15" s="7"/>
      <c r="BY15" s="75"/>
      <c r="BZ15" s="75"/>
      <c r="CJ15" s="7"/>
      <c r="CK15" s="75"/>
      <c r="CL15" s="75"/>
      <c r="CV15" s="7"/>
      <c r="CW15" s="75"/>
      <c r="CX15" s="75"/>
      <c r="DH15" s="7"/>
      <c r="DI15" s="75"/>
      <c r="DJ15" s="75"/>
      <c r="DT15" s="7"/>
      <c r="DU15" s="75"/>
      <c r="DV15" s="75"/>
      <c r="EF15" s="7"/>
      <c r="EG15" s="75"/>
      <c r="EH15" s="75"/>
      <c r="ER15" s="7"/>
      <c r="ES15" s="75"/>
      <c r="ET15" s="75"/>
      <c r="FD15" s="7"/>
      <c r="FE15" s="75"/>
      <c r="FF15" s="75"/>
    </row>
    <row r="16" spans="1:169" ht="15" customHeight="1" x14ac:dyDescent="0.25">
      <c r="A16" s="18"/>
      <c r="B16" s="67"/>
      <c r="C16" s="18"/>
      <c r="D16" s="21" t="str">
        <f>IF(D13=0,""," "&amp;"Date Due"&amp;": ")</f>
        <v xml:space="preserve"> Date Due: </v>
      </c>
      <c r="E16" s="72" t="str">
        <f ca="1">IFERROR(IF(BM14="Yes",_xlfn.CONCAT("⚠"," ",TEXT(INDEX(InputTbl[],MATCH(D13,InputTbl[Task Name],0),MATCH("Due Date",InputTbl[#Headers],0)),"mm/dd/yyyy")," ","⚠"),INDEX(InputTbl[],MATCH(D13,InputTbl[Task Name],0),MATCH("Due Date",InputTbl[#Headers],0))),"")</f>
        <v>⚠ 10/13/2020 ⚠</v>
      </c>
      <c r="F16" s="72"/>
      <c r="G16" s="18"/>
      <c r="H16" s="67"/>
      <c r="I16" s="18"/>
      <c r="J16" s="21" t="str">
        <f>IF(J13=0,""," "&amp;"Date Due"&amp;": ")</f>
        <v/>
      </c>
      <c r="K16" s="72" t="str">
        <f ca="1">IFERROR(IF(BY14="Yes",_xlfn.CONCAT("⚠"," ",TEXT(INDEX(InputTbl[],MATCH(J13,InputTbl[Task Name],0),MATCH("Due Date",InputTbl[#Headers],0)),"mm/dd/yyyy")," ","⚠"),INDEX(InputTbl[],MATCH(J13,InputTbl[Task Name],0),MATCH("Due Date",InputTbl[#Headers],0))),"")</f>
        <v/>
      </c>
      <c r="L16" s="72"/>
      <c r="M16" s="18"/>
      <c r="N16" s="67"/>
      <c r="O16" s="18"/>
      <c r="P16" s="21" t="str">
        <f>IF(P13=0,""," "&amp;"Date Due"&amp;": ")</f>
        <v/>
      </c>
      <c r="Q16" s="72" t="str">
        <f ca="1">IFERROR(IF(CK14="Yes",_xlfn.CONCAT("⚠"," ",TEXT(INDEX(InputTbl[],MATCH(P13,InputTbl[Task Name],0),MATCH("Due Date",InputTbl[#Headers],0)),"mm/dd/yyyy")," ","⚠"),INDEX(InputTbl[],MATCH(P13,InputTbl[Task Name],0),MATCH("Due Date",InputTbl[#Headers],0))),"")</f>
        <v/>
      </c>
      <c r="R16" s="72"/>
      <c r="S16" s="18"/>
      <c r="T16" s="67"/>
      <c r="U16" s="18"/>
      <c r="V16" s="21" t="str">
        <f>IF(V13=0,""," "&amp;"Date Due"&amp;": ")</f>
        <v/>
      </c>
      <c r="W16" s="72" t="str">
        <f ca="1">IFERROR(IF(CW14="Yes",_xlfn.CONCAT("⚠"," ",TEXT(INDEX(InputTbl[],MATCH(V13,InputTbl[Task Name],0),MATCH("Due Date",InputTbl[#Headers],0)),"mm/dd/yyyy")," ","⚠"),INDEX(InputTbl[],MATCH(V13,InputTbl[Task Name],0),MATCH("Due Date",InputTbl[#Headers],0))),"")</f>
        <v/>
      </c>
      <c r="X16" s="72"/>
      <c r="Y16" s="18"/>
      <c r="Z16" s="67"/>
      <c r="AA16" s="18"/>
      <c r="AB16" s="21" t="str">
        <f>IF(AB13=0,""," "&amp;"Date Due"&amp;": ")</f>
        <v/>
      </c>
      <c r="AC16" s="72" t="str">
        <f ca="1">IFERROR(IF(DI14="Yes",_xlfn.CONCAT("⚠"," ",TEXT(INDEX(InputTbl[],MATCH(AB13,InputTbl[Task Name],0),MATCH("Due Date",InputTbl[#Headers],0)),"mm/dd/yyyy")," ","⚠"),INDEX(InputTbl[],MATCH(AB13,InputTbl[Task Name],0),MATCH("Due Date",InputTbl[#Headers],0))),"")</f>
        <v/>
      </c>
      <c r="AD16" s="72"/>
      <c r="AE16" s="18"/>
      <c r="AF16" s="67"/>
      <c r="AG16" s="18"/>
      <c r="AH16" s="21" t="str">
        <f>IF(AH13=0,""," "&amp;"Date Due"&amp;": ")</f>
        <v/>
      </c>
      <c r="AI16" s="72" t="str">
        <f ca="1">IFERROR(IF(DU14="Yes",_xlfn.CONCAT("⚠"," ",TEXT(INDEX(InputTbl[],MATCH(AH13,InputTbl[Task Name],0),MATCH("Due Date",InputTbl[#Headers],0)),"mm/dd/yyyy")," ","⚠"),INDEX(InputTbl[],MATCH(AH13,InputTbl[Task Name],0),MATCH("Due Date",InputTbl[#Headers],0))),"")</f>
        <v/>
      </c>
      <c r="AJ16" s="72"/>
      <c r="AK16" s="18"/>
      <c r="AL16" s="67"/>
      <c r="AM16" s="18"/>
      <c r="AN16" s="21" t="str">
        <f>IF(AN13=0,""," "&amp;"Date Due"&amp;": ")</f>
        <v/>
      </c>
      <c r="AO16" s="72" t="str">
        <f ca="1">IFERROR(IF(EG14="Yes",_xlfn.CONCAT("⚠"," ",TEXT(INDEX(InputTbl[],MATCH(AN13,InputTbl[Task Name],0),MATCH("Due Date",InputTbl[#Headers],0)),"mm/dd/yyyy")," ","⚠"),INDEX(InputTbl[],MATCH(AN13,InputTbl[Task Name],0),MATCH("Due Date",InputTbl[#Headers],0))),"")</f>
        <v/>
      </c>
      <c r="AP16" s="72"/>
      <c r="AQ16" s="18"/>
      <c r="AR16" s="67"/>
      <c r="AS16" s="18"/>
      <c r="AT16" s="21" t="str">
        <f>IF(AT13=0,""," "&amp;"Date Due"&amp;": ")</f>
        <v/>
      </c>
      <c r="AU16" s="72" t="str">
        <f ca="1">IFERROR(IF(ES14="Yes",_xlfn.CONCAT("⚠"," ",TEXT(INDEX(InputTbl[],MATCH(AT13,InputTbl[Task Name],0),MATCH("Due Date",InputTbl[#Headers],0)),"mm/dd/yyyy")," ","⚠"),INDEX(InputTbl[],MATCH(AT13,InputTbl[Task Name],0),MATCH("Due Date",InputTbl[#Headers],0))),"")</f>
        <v/>
      </c>
      <c r="AV16" s="72"/>
      <c r="AW16" s="18"/>
      <c r="AX16" s="67"/>
      <c r="AY16" s="18"/>
      <c r="AZ16" s="21" t="str">
        <f>IF(AZ13=0,""," "&amp;"Date Due"&amp;": ")</f>
        <v/>
      </c>
      <c r="BA16" s="72" t="str">
        <f ca="1">IFERROR(IF(FE14="Yes",_xlfn.CONCAT("⚠"," ",TEXT(INDEX(InputTbl[],MATCH(AZ13,InputTbl[Task Name],0),MATCH("Due Date",InputTbl[#Headers],0)),"mm/dd/yyyy")," ","⚠"),INDEX(InputTbl[],MATCH(AZ13,InputTbl[Task Name],0),MATCH("Due Date",InputTbl[#Headers],0))),"")</f>
        <v/>
      </c>
      <c r="BB16" s="72"/>
      <c r="BC16" s="18"/>
      <c r="BD16" s="67"/>
      <c r="BE16" s="18"/>
      <c r="BL16" s="8"/>
      <c r="BM16" s="74"/>
      <c r="BN16" s="74"/>
      <c r="BX16" s="8"/>
      <c r="BY16" s="74"/>
      <c r="BZ16" s="74"/>
      <c r="CJ16" s="8"/>
      <c r="CK16" s="74"/>
      <c r="CL16" s="74"/>
      <c r="CV16" s="8"/>
      <c r="CW16" s="74"/>
      <c r="CX16" s="74"/>
      <c r="DH16" s="8"/>
      <c r="DI16" s="74"/>
      <c r="DJ16" s="74"/>
      <c r="DT16" s="8"/>
      <c r="DU16" s="74"/>
      <c r="DV16" s="74"/>
      <c r="EF16" s="8"/>
      <c r="EG16" s="74"/>
      <c r="EH16" s="74"/>
      <c r="ER16" s="8"/>
      <c r="ES16" s="74"/>
      <c r="ET16" s="74"/>
      <c r="FD16" s="8"/>
      <c r="FE16" s="74"/>
      <c r="FF16" s="74"/>
    </row>
    <row r="17" spans="1:162" ht="15" customHeight="1" x14ac:dyDescent="0.25">
      <c r="A17" s="18"/>
      <c r="B17" s="67"/>
      <c r="C17" s="18"/>
      <c r="D17" s="18"/>
      <c r="E17" s="18"/>
      <c r="F17" s="18"/>
      <c r="G17" s="18"/>
      <c r="H17" s="67"/>
      <c r="I17" s="18"/>
      <c r="J17" s="18"/>
      <c r="K17" s="18"/>
      <c r="L17" s="18"/>
      <c r="M17" s="18"/>
      <c r="N17" s="67"/>
      <c r="O17" s="18"/>
      <c r="P17" s="18"/>
      <c r="Q17" s="18"/>
      <c r="R17" s="18"/>
      <c r="S17" s="18"/>
      <c r="T17" s="67"/>
      <c r="U17" s="18"/>
      <c r="V17" s="18"/>
      <c r="W17" s="18"/>
      <c r="X17" s="18"/>
      <c r="Y17" s="18"/>
      <c r="Z17" s="67"/>
      <c r="AA17" s="18"/>
      <c r="AB17" s="18"/>
      <c r="AC17" s="18"/>
      <c r="AD17" s="18"/>
      <c r="AE17" s="18"/>
      <c r="AF17" s="67"/>
      <c r="AG17" s="18"/>
      <c r="AH17" s="18"/>
      <c r="AI17" s="18"/>
      <c r="AJ17" s="18"/>
      <c r="AK17" s="18"/>
      <c r="AL17" s="67"/>
      <c r="AM17" s="18"/>
      <c r="AN17" s="18"/>
      <c r="AO17" s="18"/>
      <c r="AP17" s="18"/>
      <c r="AQ17" s="18"/>
      <c r="AR17" s="67"/>
      <c r="AS17" s="18"/>
      <c r="AT17" s="18"/>
      <c r="AU17" s="18"/>
      <c r="AV17" s="18"/>
      <c r="AW17" s="18"/>
      <c r="AX17" s="67"/>
      <c r="AY17" s="18"/>
      <c r="AZ17" s="18"/>
      <c r="BA17" s="18"/>
      <c r="BB17" s="18"/>
      <c r="BC17" s="18"/>
      <c r="BD17" s="67"/>
      <c r="BE17" s="18"/>
    </row>
    <row r="18" spans="1:162" x14ac:dyDescent="0.25">
      <c r="A18" s="18"/>
      <c r="B18" s="67"/>
      <c r="C18" s="18"/>
      <c r="D18" s="69" t="str">
        <f>INDEX(KanbanPrep!$A$5:$S$189,VLOOKUP(ROW(),RowLookupTbl,2,FALSE),SMALL({1,3,5,7,9,11,13,15,17,19},MATCH(D$6,StatusOptions,0)))</f>
        <v>Special Task 4</v>
      </c>
      <c r="E18" s="69"/>
      <c r="F18" s="70">
        <f>IFERROR(IF(BM18="Low",2,IF(BM18="Medium",1,0)),"")</f>
        <v>0</v>
      </c>
      <c r="G18" s="18"/>
      <c r="H18" s="67"/>
      <c r="I18" s="18"/>
      <c r="J18" s="69">
        <f>INDEX(KanbanPrep!$A$5:$S$189,VLOOKUP(ROW(),RowLookupTbl,2,FALSE),SMALL({1,3,5,7,9,11,13,15,17,19},MATCH(J$6,StatusOptions,0)))</f>
        <v>0</v>
      </c>
      <c r="K18" s="69"/>
      <c r="L18" s="70" t="str">
        <f>IFERROR(IF(BY18="Low",2,IF(BY18="Medium",1,0)),"")</f>
        <v/>
      </c>
      <c r="M18" s="18"/>
      <c r="N18" s="67"/>
      <c r="O18" s="18"/>
      <c r="P18" s="69">
        <f>INDEX(KanbanPrep!$A$5:$S$189,VLOOKUP(ROW(),RowLookupTbl,2,FALSE),SMALL({1,3,5,7,9,11,13,15,17,19},MATCH(P$6,StatusOptions,0)))</f>
        <v>0</v>
      </c>
      <c r="Q18" s="69"/>
      <c r="R18" s="70" t="str">
        <f>IFERROR(IF(CK18="Low",2,IF(CK18="Medium",1,0)),"")</f>
        <v/>
      </c>
      <c r="S18" s="18"/>
      <c r="T18" s="67"/>
      <c r="U18" s="18"/>
      <c r="V18" s="69">
        <f>INDEX(KanbanPrep!$A$5:$S$189,VLOOKUP(ROW(),RowLookupTbl,2,FALSE),SMALL({1,3,5,7,9,11,13,15,17,19},MATCH(V$6,StatusOptions,0)))</f>
        <v>0</v>
      </c>
      <c r="W18" s="69"/>
      <c r="X18" s="70" t="str">
        <f>IFERROR(IF(CW18="Low",2,IF(CW18="Medium",1,0)),"")</f>
        <v/>
      </c>
      <c r="Y18" s="18"/>
      <c r="Z18" s="67"/>
      <c r="AA18" s="18"/>
      <c r="AB18" s="69">
        <f>INDEX(KanbanPrep!$A$5:$S$189,VLOOKUP(ROW(),RowLookupTbl,2,FALSE),SMALL({1,3,5,7,9,11,13,15,17,19},MATCH(AB$6,StatusOptions,0)))</f>
        <v>0</v>
      </c>
      <c r="AC18" s="69"/>
      <c r="AD18" s="70" t="str">
        <f>IFERROR(IF(DI18="Low",2,IF(DI18="Medium",1,0)),"")</f>
        <v/>
      </c>
      <c r="AE18" s="18"/>
      <c r="AF18" s="67"/>
      <c r="AG18" s="18"/>
      <c r="AH18" s="69">
        <f>INDEX(KanbanPrep!$A$5:$S$189,VLOOKUP(ROW(),RowLookupTbl,2,FALSE),SMALL({1,3,5,7,9,11,13,15,17,19},MATCH(AH$6,StatusOptions,0)))</f>
        <v>0</v>
      </c>
      <c r="AI18" s="69"/>
      <c r="AJ18" s="70" t="str">
        <f>IFERROR(IF(DU18="Low",2,IF(DU18="Medium",1,0)),"")</f>
        <v/>
      </c>
      <c r="AK18" s="18"/>
      <c r="AL18" s="67"/>
      <c r="AM18" s="18"/>
      <c r="AN18" s="69">
        <f>INDEX(KanbanPrep!$A$5:$S$189,VLOOKUP(ROW(),RowLookupTbl,2,FALSE),SMALL({1,3,5,7,9,11,13,15,17,19},MATCH(AN$6,StatusOptions,0)))</f>
        <v>0</v>
      </c>
      <c r="AO18" s="69"/>
      <c r="AP18" s="70" t="str">
        <f>IFERROR(IF(EG18="Low",2,IF(EG18="Medium",1,0)),"")</f>
        <v/>
      </c>
      <c r="AQ18" s="18"/>
      <c r="AR18" s="67"/>
      <c r="AS18" s="18"/>
      <c r="AT18" s="69">
        <f>INDEX(KanbanPrep!$A$5:$S$189,VLOOKUP(ROW(),RowLookupTbl,2,FALSE),SMALL({1,3,5,7,9,11,13,15,17,19},MATCH(AT$6,StatusOptions,0)))</f>
        <v>0</v>
      </c>
      <c r="AU18" s="69"/>
      <c r="AV18" s="70" t="str">
        <f>IFERROR(IF(ES18="Low",2,IF(ES18="Medium",1,0)),"")</f>
        <v/>
      </c>
      <c r="AW18" s="18"/>
      <c r="AX18" s="67"/>
      <c r="AY18" s="18"/>
      <c r="AZ18" s="69">
        <f>INDEX(KanbanPrep!$A$5:$S$189,VLOOKUP(ROW(),RowLookupTbl,2,FALSE),SMALL({1,3,5,7,9,11,13,15,17,19},MATCH(AZ$6,StatusOptions,0)))</f>
        <v>0</v>
      </c>
      <c r="BA18" s="69"/>
      <c r="BB18" s="70" t="str">
        <f>IFERROR(IF(FE18="Low",2,IF(FE18="Medium",1,0)),"")</f>
        <v/>
      </c>
      <c r="BC18" s="18"/>
      <c r="BD18" s="67"/>
      <c r="BE18" s="18"/>
      <c r="BL18" s="13" t="s">
        <v>60</v>
      </c>
      <c r="BM18" s="13" t="str">
        <f>INDEX(InputTbl[],MATCH(D18,InputTbl[Task Name],0),MATCH("Priority",InputTbl[#Headers],0))</f>
        <v>High</v>
      </c>
      <c r="BN18" s="73"/>
      <c r="BX18" s="13" t="s">
        <v>60</v>
      </c>
      <c r="BY18" s="13" t="e">
        <f>INDEX(InputTbl[],MATCH(J18,InputTbl[Task Name],0),MATCH("Priority",InputTbl[#Headers],0))</f>
        <v>#N/A</v>
      </c>
      <c r="BZ18" s="73"/>
      <c r="CJ18" s="13" t="s">
        <v>60</v>
      </c>
      <c r="CK18" s="13" t="e">
        <f>INDEX(InputTbl[],MATCH(P18,InputTbl[Task Name],0),MATCH("Priority",InputTbl[#Headers],0))</f>
        <v>#N/A</v>
      </c>
      <c r="CL18" s="73"/>
      <c r="CV18" s="13" t="s">
        <v>60</v>
      </c>
      <c r="CW18" s="13" t="e">
        <f>INDEX(InputTbl[],MATCH(V18,InputTbl[Task Name],0),MATCH("Priority",InputTbl[#Headers],0))</f>
        <v>#N/A</v>
      </c>
      <c r="CX18" s="73"/>
      <c r="DH18" s="13" t="s">
        <v>60</v>
      </c>
      <c r="DI18" s="13" t="e">
        <f>INDEX(InputTbl[],MATCH(AB18,InputTbl[Task Name],0),MATCH("Priority",InputTbl[#Headers],0))</f>
        <v>#N/A</v>
      </c>
      <c r="DJ18" s="73"/>
      <c r="DT18" s="13" t="s">
        <v>60</v>
      </c>
      <c r="DU18" s="13" t="e">
        <f>INDEX(InputTbl[],MATCH(AH18,InputTbl[Task Name],0),MATCH("Priority",InputTbl[#Headers],0))</f>
        <v>#N/A</v>
      </c>
      <c r="DV18" s="73"/>
      <c r="EF18" s="13" t="s">
        <v>60</v>
      </c>
      <c r="EG18" s="13" t="e">
        <f>INDEX(InputTbl[],MATCH(AN18,InputTbl[Task Name],0),MATCH("Priority",InputTbl[#Headers],0))</f>
        <v>#N/A</v>
      </c>
      <c r="EH18" s="73"/>
      <c r="ER18" s="13" t="s">
        <v>60</v>
      </c>
      <c r="ES18" s="13" t="e">
        <f>INDEX(InputTbl[],MATCH(AT18,InputTbl[Task Name],0),MATCH("Priority",InputTbl[#Headers],0))</f>
        <v>#N/A</v>
      </c>
      <c r="ET18" s="73"/>
      <c r="FD18" s="13" t="s">
        <v>60</v>
      </c>
      <c r="FE18" s="13" t="e">
        <f>INDEX(InputTbl[],MATCH(AZ18,InputTbl[Task Name],0),MATCH("Priority",InputTbl[#Headers],0))</f>
        <v>#N/A</v>
      </c>
      <c r="FF18" s="73"/>
    </row>
    <row r="19" spans="1:162" x14ac:dyDescent="0.25">
      <c r="A19" s="18"/>
      <c r="B19" s="67"/>
      <c r="C19" s="18"/>
      <c r="D19" s="69"/>
      <c r="E19" s="69"/>
      <c r="F19" s="70"/>
      <c r="G19" s="18"/>
      <c r="H19" s="67"/>
      <c r="I19" s="18"/>
      <c r="J19" s="69"/>
      <c r="K19" s="69"/>
      <c r="L19" s="70"/>
      <c r="M19" s="18"/>
      <c r="N19" s="67"/>
      <c r="O19" s="18"/>
      <c r="P19" s="69"/>
      <c r="Q19" s="69"/>
      <c r="R19" s="70"/>
      <c r="S19" s="18"/>
      <c r="T19" s="67"/>
      <c r="U19" s="18"/>
      <c r="V19" s="69"/>
      <c r="W19" s="69"/>
      <c r="X19" s="70"/>
      <c r="Y19" s="18"/>
      <c r="Z19" s="67"/>
      <c r="AA19" s="18"/>
      <c r="AB19" s="69"/>
      <c r="AC19" s="69"/>
      <c r="AD19" s="70"/>
      <c r="AE19" s="18"/>
      <c r="AF19" s="67"/>
      <c r="AG19" s="18"/>
      <c r="AH19" s="69"/>
      <c r="AI19" s="69"/>
      <c r="AJ19" s="70"/>
      <c r="AK19" s="18"/>
      <c r="AL19" s="67"/>
      <c r="AM19" s="18"/>
      <c r="AN19" s="69"/>
      <c r="AO19" s="69"/>
      <c r="AP19" s="70"/>
      <c r="AQ19" s="18"/>
      <c r="AR19" s="67"/>
      <c r="AS19" s="18"/>
      <c r="AT19" s="69"/>
      <c r="AU19" s="69"/>
      <c r="AV19" s="70"/>
      <c r="AW19" s="18"/>
      <c r="AX19" s="67"/>
      <c r="AY19" s="18"/>
      <c r="AZ19" s="69"/>
      <c r="BA19" s="69"/>
      <c r="BB19" s="70"/>
      <c r="BC19" s="18"/>
      <c r="BD19" s="67"/>
      <c r="BE19" s="18"/>
      <c r="BL19" s="13" t="s">
        <v>72</v>
      </c>
      <c r="BM19" s="13" t="str">
        <f ca="1">INDEX(DataTbl[],MATCH(D18,DataTbl[Task Name],0),MATCH("Overdue",DataTbl[#Headers],0))</f>
        <v>Yes</v>
      </c>
      <c r="BN19" s="73"/>
      <c r="BX19" s="13" t="s">
        <v>72</v>
      </c>
      <c r="BY19" s="13" t="str">
        <f ca="1">INDEX(DataTbl[],MATCH(J18,DataTbl[Task Name],0),MATCH("Overdue",DataTbl[#Headers],0))</f>
        <v>No</v>
      </c>
      <c r="BZ19" s="73"/>
      <c r="CJ19" s="13" t="s">
        <v>72</v>
      </c>
      <c r="CK19" s="13" t="str">
        <f ca="1">INDEX(DataTbl[],MATCH(P18,DataTbl[Task Name],0),MATCH("Overdue",DataTbl[#Headers],0))</f>
        <v>No</v>
      </c>
      <c r="CL19" s="73"/>
      <c r="CV19" s="13" t="s">
        <v>72</v>
      </c>
      <c r="CW19" s="13" t="str">
        <f ca="1">INDEX(DataTbl[],MATCH(V18,DataTbl[Task Name],0),MATCH("Overdue",DataTbl[#Headers],0))</f>
        <v>No</v>
      </c>
      <c r="CX19" s="73"/>
      <c r="DH19" s="13" t="s">
        <v>72</v>
      </c>
      <c r="DI19" s="13" t="str">
        <f ca="1">INDEX(DataTbl[],MATCH(AB18,DataTbl[Task Name],0),MATCH("Overdue",DataTbl[#Headers],0))</f>
        <v>No</v>
      </c>
      <c r="DJ19" s="73"/>
      <c r="DT19" s="13" t="s">
        <v>72</v>
      </c>
      <c r="DU19" s="13" t="str">
        <f ca="1">INDEX(DataTbl[],MATCH(AH18,DataTbl[Task Name],0),MATCH("Overdue",DataTbl[#Headers],0))</f>
        <v>No</v>
      </c>
      <c r="DV19" s="73"/>
      <c r="EF19" s="13" t="s">
        <v>72</v>
      </c>
      <c r="EG19" s="13" t="str">
        <f ca="1">INDEX(DataTbl[],MATCH(AN18,DataTbl[Task Name],0),MATCH("Overdue",DataTbl[#Headers],0))</f>
        <v>No</v>
      </c>
      <c r="EH19" s="73"/>
      <c r="ER19" s="13" t="s">
        <v>72</v>
      </c>
      <c r="ES19" s="13" t="str">
        <f ca="1">INDEX(DataTbl[],MATCH(AT18,DataTbl[Task Name],0),MATCH("Overdue",DataTbl[#Headers],0))</f>
        <v>No</v>
      </c>
      <c r="ET19" s="73"/>
      <c r="FD19" s="13" t="s">
        <v>72</v>
      </c>
      <c r="FE19" s="13" t="str">
        <f ca="1">INDEX(DataTbl[],MATCH(AZ18,DataTbl[Task Name],0),MATCH("Overdue",DataTbl[#Headers],0))</f>
        <v>No</v>
      </c>
      <c r="FF19" s="73"/>
    </row>
    <row r="20" spans="1:162" x14ac:dyDescent="0.25">
      <c r="A20" s="18"/>
      <c r="B20" s="67"/>
      <c r="C20" s="18"/>
      <c r="D20" s="20" t="str">
        <f>IF(D18=0,""," "&amp;"Assigned To"&amp;": ")</f>
        <v xml:space="preserve"> Assigned To: </v>
      </c>
      <c r="E20" s="71" t="str">
        <f>IFERROR(INDEX(InputTbl[],MATCH(D18,InputTbl[Task Name],0),MATCH("Assigned To",InputTbl[#Headers],0)),"")</f>
        <v>Elizabeth</v>
      </c>
      <c r="F20" s="71"/>
      <c r="G20" s="18"/>
      <c r="H20" s="67"/>
      <c r="I20" s="18"/>
      <c r="J20" s="20" t="str">
        <f>IF(J18=0,""," "&amp;"Assigned To"&amp;": ")</f>
        <v/>
      </c>
      <c r="K20" s="71" t="str">
        <f>IFERROR(INDEX(InputTbl[],MATCH(J18,InputTbl[Task Name],0),MATCH("Assigned To",InputTbl[#Headers],0)),"")</f>
        <v/>
      </c>
      <c r="L20" s="71"/>
      <c r="M20" s="18"/>
      <c r="N20" s="67"/>
      <c r="O20" s="18"/>
      <c r="P20" s="20" t="str">
        <f>IF(P18=0,""," "&amp;"Assigned To"&amp;": ")</f>
        <v/>
      </c>
      <c r="Q20" s="71" t="str">
        <f>IFERROR(INDEX(InputTbl[],MATCH(P18,InputTbl[Task Name],0),MATCH("Assigned To",InputTbl[#Headers],0)),"")</f>
        <v/>
      </c>
      <c r="R20" s="71"/>
      <c r="S20" s="18"/>
      <c r="T20" s="67"/>
      <c r="U20" s="18"/>
      <c r="V20" s="20" t="str">
        <f>IF(V18=0,""," "&amp;"Assigned To"&amp;": ")</f>
        <v/>
      </c>
      <c r="W20" s="71" t="str">
        <f>IFERROR(INDEX(InputTbl[],MATCH(V18,InputTbl[Task Name],0),MATCH("Assigned To",InputTbl[#Headers],0)),"")</f>
        <v/>
      </c>
      <c r="X20" s="71"/>
      <c r="Y20" s="18"/>
      <c r="Z20" s="67"/>
      <c r="AA20" s="18"/>
      <c r="AB20" s="20" t="str">
        <f>IF(AB18=0,""," "&amp;"Assigned To"&amp;": ")</f>
        <v/>
      </c>
      <c r="AC20" s="71" t="str">
        <f>IFERROR(INDEX(InputTbl[],MATCH(AB18,InputTbl[Task Name],0),MATCH("Assigned To",InputTbl[#Headers],0)),"")</f>
        <v/>
      </c>
      <c r="AD20" s="71"/>
      <c r="AE20" s="18"/>
      <c r="AF20" s="67"/>
      <c r="AG20" s="18"/>
      <c r="AH20" s="20" t="str">
        <f>IF(AH18=0,""," "&amp;"Assigned To"&amp;": ")</f>
        <v/>
      </c>
      <c r="AI20" s="71" t="str">
        <f>IFERROR(INDEX(InputTbl[],MATCH(AH18,InputTbl[Task Name],0),MATCH("Assigned To",InputTbl[#Headers],0)),"")</f>
        <v/>
      </c>
      <c r="AJ20" s="71"/>
      <c r="AK20" s="18"/>
      <c r="AL20" s="67"/>
      <c r="AM20" s="18"/>
      <c r="AN20" s="20" t="str">
        <f>IF(AN18=0,""," "&amp;"Assigned To"&amp;": ")</f>
        <v/>
      </c>
      <c r="AO20" s="71" t="str">
        <f>IFERROR(INDEX(InputTbl[],MATCH(AN18,InputTbl[Task Name],0),MATCH("Assigned To",InputTbl[#Headers],0)),"")</f>
        <v/>
      </c>
      <c r="AP20" s="71"/>
      <c r="AQ20" s="18"/>
      <c r="AR20" s="67"/>
      <c r="AS20" s="18"/>
      <c r="AT20" s="20" t="str">
        <f>IF(AT18=0,""," "&amp;"Assigned To"&amp;": ")</f>
        <v/>
      </c>
      <c r="AU20" s="71" t="str">
        <f>IFERROR(INDEX(InputTbl[],MATCH(AT18,InputTbl[Task Name],0),MATCH("Assigned To",InputTbl[#Headers],0)),"")</f>
        <v/>
      </c>
      <c r="AV20" s="71"/>
      <c r="AW20" s="18"/>
      <c r="AX20" s="67"/>
      <c r="AY20" s="18"/>
      <c r="AZ20" s="20" t="str">
        <f>IF(AZ18=0,""," "&amp;"Assigned To"&amp;": ")</f>
        <v/>
      </c>
      <c r="BA20" s="71" t="str">
        <f>IFERROR(INDEX(InputTbl[],MATCH(AZ18,InputTbl[Task Name],0),MATCH("Assigned To",InputTbl[#Headers],0)),"")</f>
        <v/>
      </c>
      <c r="BB20" s="71"/>
      <c r="BC20" s="18"/>
      <c r="BD20" s="67"/>
      <c r="BE20" s="18"/>
      <c r="BL20" s="7"/>
      <c r="BM20" s="75"/>
      <c r="BN20" s="75"/>
      <c r="BX20" s="7"/>
      <c r="BY20" s="75"/>
      <c r="BZ20" s="75"/>
      <c r="CJ20" s="7"/>
      <c r="CK20" s="75"/>
      <c r="CL20" s="75"/>
      <c r="CV20" s="7"/>
      <c r="CW20" s="75"/>
      <c r="CX20" s="75"/>
      <c r="DH20" s="7"/>
      <c r="DI20" s="75"/>
      <c r="DJ20" s="75"/>
      <c r="DT20" s="7"/>
      <c r="DU20" s="75"/>
      <c r="DV20" s="75"/>
      <c r="EF20" s="7"/>
      <c r="EG20" s="75"/>
      <c r="EH20" s="75"/>
      <c r="ER20" s="7"/>
      <c r="ES20" s="75"/>
      <c r="ET20" s="75"/>
      <c r="FD20" s="7"/>
      <c r="FE20" s="75"/>
      <c r="FF20" s="75"/>
    </row>
    <row r="21" spans="1:162" x14ac:dyDescent="0.25">
      <c r="A21" s="18"/>
      <c r="B21" s="67"/>
      <c r="C21" s="18"/>
      <c r="D21" s="21" t="str">
        <f>IF(D18=0,""," "&amp;"Date Due"&amp;": ")</f>
        <v xml:space="preserve"> Date Due: </v>
      </c>
      <c r="E21" s="72" t="str">
        <f ca="1">IFERROR(IF(BM19="Yes",_xlfn.CONCAT("⚠"," ",TEXT(INDEX(InputTbl[],MATCH(D18,InputTbl[Task Name],0),MATCH("Due Date",InputTbl[#Headers],0)),"mm/dd/yyyy")," ","⚠"),INDEX(InputTbl[],MATCH(D18,InputTbl[Task Name],0),MATCH("Due Date",InputTbl[#Headers],0))),"")</f>
        <v>⚠ 03/05/2021 ⚠</v>
      </c>
      <c r="F21" s="72"/>
      <c r="G21" s="18"/>
      <c r="H21" s="67"/>
      <c r="I21" s="18"/>
      <c r="J21" s="21" t="str">
        <f>IF(J18=0,""," "&amp;"Date Due"&amp;": ")</f>
        <v/>
      </c>
      <c r="K21" s="72" t="str">
        <f ca="1">IFERROR(IF(BY19="Yes",_xlfn.CONCAT("⚠"," ",TEXT(INDEX(InputTbl[],MATCH(J18,InputTbl[Task Name],0),MATCH("Due Date",InputTbl[#Headers],0)),"mm/dd/yyyy")," ","⚠"),INDEX(InputTbl[],MATCH(J18,InputTbl[Task Name],0),MATCH("Due Date",InputTbl[#Headers],0))),"")</f>
        <v/>
      </c>
      <c r="L21" s="72"/>
      <c r="M21" s="18"/>
      <c r="N21" s="67"/>
      <c r="O21" s="18"/>
      <c r="P21" s="21" t="str">
        <f>IF(P18=0,""," "&amp;"Date Due"&amp;": ")</f>
        <v/>
      </c>
      <c r="Q21" s="72" t="str">
        <f ca="1">IFERROR(IF(CK19="Yes",_xlfn.CONCAT("⚠"," ",TEXT(INDEX(InputTbl[],MATCH(P18,InputTbl[Task Name],0),MATCH("Due Date",InputTbl[#Headers],0)),"mm/dd/yyyy")," ","⚠"),INDEX(InputTbl[],MATCH(P18,InputTbl[Task Name],0),MATCH("Due Date",InputTbl[#Headers],0))),"")</f>
        <v/>
      </c>
      <c r="R21" s="72"/>
      <c r="S21" s="18"/>
      <c r="T21" s="67"/>
      <c r="U21" s="18"/>
      <c r="V21" s="21" t="str">
        <f>IF(V18=0,""," "&amp;"Date Due"&amp;": ")</f>
        <v/>
      </c>
      <c r="W21" s="72" t="str">
        <f ca="1">IFERROR(IF(CW19="Yes",_xlfn.CONCAT("⚠"," ",TEXT(INDEX(InputTbl[],MATCH(V18,InputTbl[Task Name],0),MATCH("Due Date",InputTbl[#Headers],0)),"mm/dd/yyyy")," ","⚠"),INDEX(InputTbl[],MATCH(V18,InputTbl[Task Name],0),MATCH("Due Date",InputTbl[#Headers],0))),"")</f>
        <v/>
      </c>
      <c r="X21" s="72"/>
      <c r="Y21" s="18"/>
      <c r="Z21" s="67"/>
      <c r="AA21" s="18"/>
      <c r="AB21" s="21" t="str">
        <f>IF(AB18=0,""," "&amp;"Date Due"&amp;": ")</f>
        <v/>
      </c>
      <c r="AC21" s="72" t="str">
        <f ca="1">IFERROR(IF(DI19="Yes",_xlfn.CONCAT("⚠"," ",TEXT(INDEX(InputTbl[],MATCH(AB18,InputTbl[Task Name],0),MATCH("Due Date",InputTbl[#Headers],0)),"mm/dd/yyyy")," ","⚠"),INDEX(InputTbl[],MATCH(AB18,InputTbl[Task Name],0),MATCH("Due Date",InputTbl[#Headers],0))),"")</f>
        <v/>
      </c>
      <c r="AD21" s="72"/>
      <c r="AE21" s="18"/>
      <c r="AF21" s="67"/>
      <c r="AG21" s="18"/>
      <c r="AH21" s="21" t="str">
        <f>IF(AH18=0,""," "&amp;"Date Due"&amp;": ")</f>
        <v/>
      </c>
      <c r="AI21" s="72" t="str">
        <f ca="1">IFERROR(IF(DU19="Yes",_xlfn.CONCAT("⚠"," ",TEXT(INDEX(InputTbl[],MATCH(AH18,InputTbl[Task Name],0),MATCH("Due Date",InputTbl[#Headers],0)),"mm/dd/yyyy")," ","⚠"),INDEX(InputTbl[],MATCH(AH18,InputTbl[Task Name],0),MATCH("Due Date",InputTbl[#Headers],0))),"")</f>
        <v/>
      </c>
      <c r="AJ21" s="72"/>
      <c r="AK21" s="18"/>
      <c r="AL21" s="67"/>
      <c r="AM21" s="18"/>
      <c r="AN21" s="21" t="str">
        <f>IF(AN18=0,""," "&amp;"Date Due"&amp;": ")</f>
        <v/>
      </c>
      <c r="AO21" s="72" t="str">
        <f ca="1">IFERROR(IF(EG19="Yes",_xlfn.CONCAT("⚠"," ",TEXT(INDEX(InputTbl[],MATCH(AN18,InputTbl[Task Name],0),MATCH("Due Date",InputTbl[#Headers],0)),"mm/dd/yyyy")," ","⚠"),INDEX(InputTbl[],MATCH(AN18,InputTbl[Task Name],0),MATCH("Due Date",InputTbl[#Headers],0))),"")</f>
        <v/>
      </c>
      <c r="AP21" s="72"/>
      <c r="AQ21" s="18"/>
      <c r="AR21" s="67"/>
      <c r="AS21" s="18"/>
      <c r="AT21" s="21" t="str">
        <f>IF(AT18=0,""," "&amp;"Date Due"&amp;": ")</f>
        <v/>
      </c>
      <c r="AU21" s="72" t="str">
        <f ca="1">IFERROR(IF(ES19="Yes",_xlfn.CONCAT("⚠"," ",TEXT(INDEX(InputTbl[],MATCH(AT18,InputTbl[Task Name],0),MATCH("Due Date",InputTbl[#Headers],0)),"mm/dd/yyyy")," ","⚠"),INDEX(InputTbl[],MATCH(AT18,InputTbl[Task Name],0),MATCH("Due Date",InputTbl[#Headers],0))),"")</f>
        <v/>
      </c>
      <c r="AV21" s="72"/>
      <c r="AW21" s="18"/>
      <c r="AX21" s="67"/>
      <c r="AY21" s="18"/>
      <c r="AZ21" s="21" t="str">
        <f>IF(AZ18=0,""," "&amp;"Date Due"&amp;": ")</f>
        <v/>
      </c>
      <c r="BA21" s="72" t="str">
        <f ca="1">IFERROR(IF(FE19="Yes",_xlfn.CONCAT("⚠"," ",TEXT(INDEX(InputTbl[],MATCH(AZ18,InputTbl[Task Name],0),MATCH("Due Date",InputTbl[#Headers],0)),"mm/dd/yyyy")," ","⚠"),INDEX(InputTbl[],MATCH(AZ18,InputTbl[Task Name],0),MATCH("Due Date",InputTbl[#Headers],0))),"")</f>
        <v/>
      </c>
      <c r="BB21" s="72"/>
      <c r="BC21" s="18"/>
      <c r="BD21" s="67"/>
      <c r="BE21" s="18"/>
      <c r="BL21" s="8"/>
      <c r="BM21" s="74"/>
      <c r="BN21" s="74"/>
      <c r="BX21" s="8"/>
      <c r="BY21" s="74"/>
      <c r="BZ21" s="74"/>
      <c r="CJ21" s="8"/>
      <c r="CK21" s="74"/>
      <c r="CL21" s="74"/>
      <c r="CV21" s="8"/>
      <c r="CW21" s="74"/>
      <c r="CX21" s="74"/>
      <c r="DH21" s="8"/>
      <c r="DI21" s="74"/>
      <c r="DJ21" s="74"/>
      <c r="DT21" s="8"/>
      <c r="DU21" s="74"/>
      <c r="DV21" s="74"/>
      <c r="EF21" s="8"/>
      <c r="EG21" s="74"/>
      <c r="EH21" s="74"/>
      <c r="ER21" s="8"/>
      <c r="ES21" s="74"/>
      <c r="ET21" s="74"/>
      <c r="FD21" s="8"/>
      <c r="FE21" s="74"/>
      <c r="FF21" s="74"/>
    </row>
    <row r="22" spans="1:162" ht="15" customHeight="1" x14ac:dyDescent="0.25">
      <c r="A22" s="18"/>
      <c r="B22" s="67"/>
      <c r="C22" s="18"/>
      <c r="D22" s="18"/>
      <c r="E22" s="18"/>
      <c r="F22" s="18"/>
      <c r="G22" s="18"/>
      <c r="H22" s="67"/>
      <c r="I22" s="18"/>
      <c r="J22" s="18"/>
      <c r="K22" s="18"/>
      <c r="L22" s="18"/>
      <c r="M22" s="18"/>
      <c r="N22" s="67"/>
      <c r="O22" s="18"/>
      <c r="P22" s="18"/>
      <c r="Q22" s="18"/>
      <c r="R22" s="18"/>
      <c r="S22" s="18"/>
      <c r="T22" s="67"/>
      <c r="U22" s="18"/>
      <c r="V22" s="18"/>
      <c r="W22" s="18"/>
      <c r="X22" s="18"/>
      <c r="Y22" s="18"/>
      <c r="Z22" s="67"/>
      <c r="AA22" s="18"/>
      <c r="AB22" s="18"/>
      <c r="AC22" s="18"/>
      <c r="AD22" s="18"/>
      <c r="AE22" s="18"/>
      <c r="AF22" s="67"/>
      <c r="AG22" s="18"/>
      <c r="AH22" s="18"/>
      <c r="AI22" s="18"/>
      <c r="AJ22" s="18"/>
      <c r="AK22" s="18"/>
      <c r="AL22" s="67"/>
      <c r="AM22" s="18"/>
      <c r="AN22" s="18"/>
      <c r="AO22" s="18"/>
      <c r="AP22" s="18"/>
      <c r="AQ22" s="18"/>
      <c r="AR22" s="67"/>
      <c r="AS22" s="18"/>
      <c r="AT22" s="18"/>
      <c r="AU22" s="18"/>
      <c r="AV22" s="18"/>
      <c r="AW22" s="18"/>
      <c r="AX22" s="67"/>
      <c r="AY22" s="18"/>
      <c r="AZ22" s="18"/>
      <c r="BA22" s="18"/>
      <c r="BB22" s="18"/>
      <c r="BC22" s="18"/>
      <c r="BD22" s="67"/>
      <c r="BE22" s="18"/>
    </row>
    <row r="23" spans="1:162" x14ac:dyDescent="0.25">
      <c r="A23" s="18"/>
      <c r="B23" s="67"/>
      <c r="C23" s="18"/>
      <c r="D23" s="69">
        <f>INDEX(KanbanPrep!$A$5:$S$189,VLOOKUP(ROW(),RowLookupTbl,2,FALSE),SMALL({1,3,5,7,9,11,13,15,17,19},MATCH(D$6,StatusOptions,0)))</f>
        <v>0</v>
      </c>
      <c r="E23" s="69"/>
      <c r="F23" s="70" t="str">
        <f>IFERROR(IF(BM23="Low",2,IF(BM23="Medium",1,0)),"")</f>
        <v/>
      </c>
      <c r="G23" s="18"/>
      <c r="H23" s="67"/>
      <c r="I23" s="18"/>
      <c r="J23" s="69">
        <f>INDEX(KanbanPrep!$A$5:$S$189,VLOOKUP(ROW(),RowLookupTbl,2,FALSE),SMALL({1,3,5,7,9,11,13,15,17,19},MATCH(J$6,StatusOptions,0)))</f>
        <v>0</v>
      </c>
      <c r="K23" s="69"/>
      <c r="L23" s="70" t="str">
        <f>IFERROR(IF(BY23="Low",2,IF(BY23="Medium",1,0)),"")</f>
        <v/>
      </c>
      <c r="M23" s="18"/>
      <c r="N23" s="67"/>
      <c r="O23" s="18"/>
      <c r="P23" s="69">
        <f>INDEX(KanbanPrep!$A$5:$S$189,VLOOKUP(ROW(),RowLookupTbl,2,FALSE),SMALL({1,3,5,7,9,11,13,15,17,19},MATCH(P$6,StatusOptions,0)))</f>
        <v>0</v>
      </c>
      <c r="Q23" s="69"/>
      <c r="R23" s="70" t="str">
        <f>IFERROR(IF(CK23="Low",2,IF(CK23="Medium",1,0)),"")</f>
        <v/>
      </c>
      <c r="S23" s="18"/>
      <c r="T23" s="67"/>
      <c r="U23" s="18"/>
      <c r="V23" s="69">
        <f>INDEX(KanbanPrep!$A$5:$S$189,VLOOKUP(ROW(),RowLookupTbl,2,FALSE),SMALL({1,3,5,7,9,11,13,15,17,19},MATCH(V$6,StatusOptions,0)))</f>
        <v>0</v>
      </c>
      <c r="W23" s="69"/>
      <c r="X23" s="70" t="str">
        <f>IFERROR(IF(CW23="Low",2,IF(CW23="Medium",1,0)),"")</f>
        <v/>
      </c>
      <c r="Y23" s="18"/>
      <c r="Z23" s="67"/>
      <c r="AA23" s="18"/>
      <c r="AB23" s="69">
        <f>INDEX(KanbanPrep!$A$5:$S$189,VLOOKUP(ROW(),RowLookupTbl,2,FALSE),SMALL({1,3,5,7,9,11,13,15,17,19},MATCH(AB$6,StatusOptions,0)))</f>
        <v>0</v>
      </c>
      <c r="AC23" s="69"/>
      <c r="AD23" s="70" t="str">
        <f>IFERROR(IF(DI23="Low",2,IF(DI23="Medium",1,0)),"")</f>
        <v/>
      </c>
      <c r="AE23" s="18"/>
      <c r="AF23" s="67"/>
      <c r="AG23" s="18"/>
      <c r="AH23" s="69">
        <f>INDEX(KanbanPrep!$A$5:$S$189,VLOOKUP(ROW(),RowLookupTbl,2,FALSE),SMALL({1,3,5,7,9,11,13,15,17,19},MATCH(AH$6,StatusOptions,0)))</f>
        <v>0</v>
      </c>
      <c r="AI23" s="69"/>
      <c r="AJ23" s="70" t="str">
        <f>IFERROR(IF(DU23="Low",2,IF(DU23="Medium",1,0)),"")</f>
        <v/>
      </c>
      <c r="AK23" s="18"/>
      <c r="AL23" s="67"/>
      <c r="AM23" s="18"/>
      <c r="AN23" s="69">
        <f>INDEX(KanbanPrep!$A$5:$S$189,VLOOKUP(ROW(),RowLookupTbl,2,FALSE),SMALL({1,3,5,7,9,11,13,15,17,19},MATCH(AN$6,StatusOptions,0)))</f>
        <v>0</v>
      </c>
      <c r="AO23" s="69"/>
      <c r="AP23" s="70" t="str">
        <f>IFERROR(IF(EG23="Low",2,IF(EG23="Medium",1,0)),"")</f>
        <v/>
      </c>
      <c r="AQ23" s="18"/>
      <c r="AR23" s="67"/>
      <c r="AS23" s="18"/>
      <c r="AT23" s="69">
        <f>INDEX(KanbanPrep!$A$5:$S$189,VLOOKUP(ROW(),RowLookupTbl,2,FALSE),SMALL({1,3,5,7,9,11,13,15,17,19},MATCH(AT$6,StatusOptions,0)))</f>
        <v>0</v>
      </c>
      <c r="AU23" s="69"/>
      <c r="AV23" s="70" t="str">
        <f>IFERROR(IF(ES23="Low",2,IF(ES23="Medium",1,0)),"")</f>
        <v/>
      </c>
      <c r="AW23" s="18"/>
      <c r="AX23" s="67"/>
      <c r="AY23" s="18"/>
      <c r="AZ23" s="69">
        <f>INDEX(KanbanPrep!$A$5:$S$189,VLOOKUP(ROW(),RowLookupTbl,2,FALSE),SMALL({1,3,5,7,9,11,13,15,17,19},MATCH(AZ$6,StatusOptions,0)))</f>
        <v>0</v>
      </c>
      <c r="BA23" s="69"/>
      <c r="BB23" s="70" t="str">
        <f>IFERROR(IF(FE23="Low",2,IF(FE23="Medium",1,0)),"")</f>
        <v/>
      </c>
      <c r="BC23" s="18"/>
      <c r="BD23" s="67"/>
      <c r="BE23" s="18"/>
      <c r="BL23" s="13" t="s">
        <v>60</v>
      </c>
      <c r="BM23" s="13" t="e">
        <f>INDEX(InputTbl[],MATCH(D23,InputTbl[Task Name],0),MATCH("Priority",InputTbl[#Headers],0))</f>
        <v>#N/A</v>
      </c>
      <c r="BN23" s="73"/>
      <c r="BX23" s="13" t="s">
        <v>60</v>
      </c>
      <c r="BY23" s="13" t="e">
        <f>INDEX(InputTbl[],MATCH(J23,InputTbl[Task Name],0),MATCH("Priority",InputTbl[#Headers],0))</f>
        <v>#N/A</v>
      </c>
      <c r="BZ23" s="73"/>
      <c r="CJ23" s="13" t="s">
        <v>60</v>
      </c>
      <c r="CK23" s="13" t="e">
        <f>INDEX(InputTbl[],MATCH(P23,InputTbl[Task Name],0),MATCH("Priority",InputTbl[#Headers],0))</f>
        <v>#N/A</v>
      </c>
      <c r="CL23" s="73"/>
      <c r="CV23" s="13" t="s">
        <v>60</v>
      </c>
      <c r="CW23" s="13" t="e">
        <f>INDEX(InputTbl[],MATCH(V23,InputTbl[Task Name],0),MATCH("Priority",InputTbl[#Headers],0))</f>
        <v>#N/A</v>
      </c>
      <c r="CX23" s="73"/>
      <c r="DH23" s="13" t="s">
        <v>60</v>
      </c>
      <c r="DI23" s="13" t="e">
        <f>INDEX(InputTbl[],MATCH(AB23,InputTbl[Task Name],0),MATCH("Priority",InputTbl[#Headers],0))</f>
        <v>#N/A</v>
      </c>
      <c r="DJ23" s="73"/>
      <c r="DT23" s="13" t="s">
        <v>60</v>
      </c>
      <c r="DU23" s="13" t="e">
        <f>INDEX(InputTbl[],MATCH(AH23,InputTbl[Task Name],0),MATCH("Priority",InputTbl[#Headers],0))</f>
        <v>#N/A</v>
      </c>
      <c r="DV23" s="73"/>
      <c r="EF23" s="13" t="s">
        <v>60</v>
      </c>
      <c r="EG23" s="13" t="e">
        <f>INDEX(InputTbl[],MATCH(AN23,InputTbl[Task Name],0),MATCH("Priority",InputTbl[#Headers],0))</f>
        <v>#N/A</v>
      </c>
      <c r="EH23" s="73"/>
      <c r="ER23" s="13" t="s">
        <v>60</v>
      </c>
      <c r="ES23" s="13" t="e">
        <f>INDEX(InputTbl[],MATCH(AT23,InputTbl[Task Name],0),MATCH("Priority",InputTbl[#Headers],0))</f>
        <v>#N/A</v>
      </c>
      <c r="ET23" s="73"/>
      <c r="FD23" s="13" t="s">
        <v>60</v>
      </c>
      <c r="FE23" s="13" t="e">
        <f>INDEX(InputTbl[],MATCH(AZ23,InputTbl[Task Name],0),MATCH("Priority",InputTbl[#Headers],0))</f>
        <v>#N/A</v>
      </c>
      <c r="FF23" s="73"/>
    </row>
    <row r="24" spans="1:162" x14ac:dyDescent="0.25">
      <c r="A24" s="18"/>
      <c r="B24" s="67"/>
      <c r="C24" s="18"/>
      <c r="D24" s="69"/>
      <c r="E24" s="69"/>
      <c r="F24" s="70"/>
      <c r="G24" s="18"/>
      <c r="H24" s="67"/>
      <c r="I24" s="18"/>
      <c r="J24" s="69"/>
      <c r="K24" s="69"/>
      <c r="L24" s="70"/>
      <c r="M24" s="18"/>
      <c r="N24" s="67"/>
      <c r="O24" s="18"/>
      <c r="P24" s="69"/>
      <c r="Q24" s="69"/>
      <c r="R24" s="70"/>
      <c r="S24" s="18"/>
      <c r="T24" s="67"/>
      <c r="U24" s="18"/>
      <c r="V24" s="69"/>
      <c r="W24" s="69"/>
      <c r="X24" s="70"/>
      <c r="Y24" s="18"/>
      <c r="Z24" s="67"/>
      <c r="AA24" s="18"/>
      <c r="AB24" s="69"/>
      <c r="AC24" s="69"/>
      <c r="AD24" s="70"/>
      <c r="AE24" s="18"/>
      <c r="AF24" s="67"/>
      <c r="AG24" s="18"/>
      <c r="AH24" s="69"/>
      <c r="AI24" s="69"/>
      <c r="AJ24" s="70"/>
      <c r="AK24" s="18"/>
      <c r="AL24" s="67"/>
      <c r="AM24" s="18"/>
      <c r="AN24" s="69"/>
      <c r="AO24" s="69"/>
      <c r="AP24" s="70"/>
      <c r="AQ24" s="18"/>
      <c r="AR24" s="67"/>
      <c r="AS24" s="18"/>
      <c r="AT24" s="69"/>
      <c r="AU24" s="69"/>
      <c r="AV24" s="70"/>
      <c r="AW24" s="18"/>
      <c r="AX24" s="67"/>
      <c r="AY24" s="18"/>
      <c r="AZ24" s="69"/>
      <c r="BA24" s="69"/>
      <c r="BB24" s="70"/>
      <c r="BC24" s="18"/>
      <c r="BD24" s="67"/>
      <c r="BE24" s="18"/>
      <c r="BL24" s="13" t="s">
        <v>72</v>
      </c>
      <c r="BM24" s="13" t="str">
        <f ca="1">INDEX(DataTbl[],MATCH(D23,DataTbl[Task Name],0),MATCH("Overdue",DataTbl[#Headers],0))</f>
        <v>No</v>
      </c>
      <c r="BN24" s="73"/>
      <c r="BX24" s="13" t="s">
        <v>72</v>
      </c>
      <c r="BY24" s="13" t="str">
        <f ca="1">INDEX(DataTbl[],MATCH(J23,DataTbl[Task Name],0),MATCH("Overdue",DataTbl[#Headers],0))</f>
        <v>No</v>
      </c>
      <c r="BZ24" s="73"/>
      <c r="CJ24" s="13" t="s">
        <v>72</v>
      </c>
      <c r="CK24" s="13" t="str">
        <f ca="1">INDEX(DataTbl[],MATCH(P23,DataTbl[Task Name],0),MATCH("Overdue",DataTbl[#Headers],0))</f>
        <v>No</v>
      </c>
      <c r="CL24" s="73"/>
      <c r="CV24" s="13" t="s">
        <v>72</v>
      </c>
      <c r="CW24" s="13" t="str">
        <f ca="1">INDEX(DataTbl[],MATCH(V23,DataTbl[Task Name],0),MATCH("Overdue",DataTbl[#Headers],0))</f>
        <v>No</v>
      </c>
      <c r="CX24" s="73"/>
      <c r="DH24" s="13" t="s">
        <v>72</v>
      </c>
      <c r="DI24" s="13" t="str">
        <f ca="1">INDEX(DataTbl[],MATCH(AB23,DataTbl[Task Name],0),MATCH("Overdue",DataTbl[#Headers],0))</f>
        <v>No</v>
      </c>
      <c r="DJ24" s="73"/>
      <c r="DT24" s="13" t="s">
        <v>72</v>
      </c>
      <c r="DU24" s="13" t="str">
        <f ca="1">INDEX(DataTbl[],MATCH(AH23,DataTbl[Task Name],0),MATCH("Overdue",DataTbl[#Headers],0))</f>
        <v>No</v>
      </c>
      <c r="DV24" s="73"/>
      <c r="EF24" s="13" t="s">
        <v>72</v>
      </c>
      <c r="EG24" s="13" t="str">
        <f ca="1">INDEX(DataTbl[],MATCH(AN23,DataTbl[Task Name],0),MATCH("Overdue",DataTbl[#Headers],0))</f>
        <v>No</v>
      </c>
      <c r="EH24" s="73"/>
      <c r="ER24" s="13" t="s">
        <v>72</v>
      </c>
      <c r="ES24" s="13" t="str">
        <f ca="1">INDEX(DataTbl[],MATCH(AT23,DataTbl[Task Name],0),MATCH("Overdue",DataTbl[#Headers],0))</f>
        <v>No</v>
      </c>
      <c r="ET24" s="73"/>
      <c r="FD24" s="13" t="s">
        <v>72</v>
      </c>
      <c r="FE24" s="13" t="str">
        <f ca="1">INDEX(DataTbl[],MATCH(AZ23,DataTbl[Task Name],0),MATCH("Overdue",DataTbl[#Headers],0))</f>
        <v>No</v>
      </c>
      <c r="FF24" s="73"/>
    </row>
    <row r="25" spans="1:162" x14ac:dyDescent="0.25">
      <c r="A25" s="18"/>
      <c r="B25" s="67"/>
      <c r="C25" s="18"/>
      <c r="D25" s="20" t="str">
        <f>IF(D23=0,""," "&amp;"Assigned To"&amp;": ")</f>
        <v/>
      </c>
      <c r="E25" s="71" t="str">
        <f>IFERROR(INDEX(InputTbl[],MATCH(D23,InputTbl[Task Name],0),MATCH("Assigned To",InputTbl[#Headers],0)),"")</f>
        <v/>
      </c>
      <c r="F25" s="71"/>
      <c r="G25" s="18"/>
      <c r="H25" s="67"/>
      <c r="I25" s="18"/>
      <c r="J25" s="20" t="str">
        <f>IF(J23=0,""," "&amp;"Assigned To"&amp;": ")</f>
        <v/>
      </c>
      <c r="K25" s="71" t="str">
        <f>IFERROR(INDEX(InputTbl[],MATCH(J23,InputTbl[Task Name],0),MATCH("Assigned To",InputTbl[#Headers],0)),"")</f>
        <v/>
      </c>
      <c r="L25" s="71"/>
      <c r="M25" s="18"/>
      <c r="N25" s="67"/>
      <c r="O25" s="18"/>
      <c r="P25" s="20" t="str">
        <f>IF(P23=0,""," "&amp;"Assigned To"&amp;": ")</f>
        <v/>
      </c>
      <c r="Q25" s="71" t="str">
        <f>IFERROR(INDEX(InputTbl[],MATCH(P23,InputTbl[Task Name],0),MATCH("Assigned To",InputTbl[#Headers],0)),"")</f>
        <v/>
      </c>
      <c r="R25" s="71"/>
      <c r="S25" s="18"/>
      <c r="T25" s="67"/>
      <c r="U25" s="18"/>
      <c r="V25" s="20" t="str">
        <f>IF(V23=0,""," "&amp;"Assigned To"&amp;": ")</f>
        <v/>
      </c>
      <c r="W25" s="71" t="str">
        <f>IFERROR(INDEX(InputTbl[],MATCH(V23,InputTbl[Task Name],0),MATCH("Assigned To",InputTbl[#Headers],0)),"")</f>
        <v/>
      </c>
      <c r="X25" s="71"/>
      <c r="Y25" s="18"/>
      <c r="Z25" s="67"/>
      <c r="AA25" s="18"/>
      <c r="AB25" s="20" t="str">
        <f>IF(AB23=0,""," "&amp;"Assigned To"&amp;": ")</f>
        <v/>
      </c>
      <c r="AC25" s="71" t="str">
        <f>IFERROR(INDEX(InputTbl[],MATCH(AB23,InputTbl[Task Name],0),MATCH("Assigned To",InputTbl[#Headers],0)),"")</f>
        <v/>
      </c>
      <c r="AD25" s="71"/>
      <c r="AE25" s="18"/>
      <c r="AF25" s="67"/>
      <c r="AG25" s="18"/>
      <c r="AH25" s="20" t="str">
        <f>IF(AH23=0,""," "&amp;"Assigned To"&amp;": ")</f>
        <v/>
      </c>
      <c r="AI25" s="71" t="str">
        <f>IFERROR(INDEX(InputTbl[],MATCH(AH23,InputTbl[Task Name],0),MATCH("Assigned To",InputTbl[#Headers],0)),"")</f>
        <v/>
      </c>
      <c r="AJ25" s="71"/>
      <c r="AK25" s="18"/>
      <c r="AL25" s="67"/>
      <c r="AM25" s="18"/>
      <c r="AN25" s="20" t="str">
        <f>IF(AN23=0,""," "&amp;"Assigned To"&amp;": ")</f>
        <v/>
      </c>
      <c r="AO25" s="71" t="str">
        <f>IFERROR(INDEX(InputTbl[],MATCH(AN23,InputTbl[Task Name],0),MATCH("Assigned To",InputTbl[#Headers],0)),"")</f>
        <v/>
      </c>
      <c r="AP25" s="71"/>
      <c r="AQ25" s="18"/>
      <c r="AR25" s="67"/>
      <c r="AS25" s="18"/>
      <c r="AT25" s="20" t="str">
        <f>IF(AT23=0,""," "&amp;"Assigned To"&amp;": ")</f>
        <v/>
      </c>
      <c r="AU25" s="71" t="str">
        <f>IFERROR(INDEX(InputTbl[],MATCH(AT23,InputTbl[Task Name],0),MATCH("Assigned To",InputTbl[#Headers],0)),"")</f>
        <v/>
      </c>
      <c r="AV25" s="71"/>
      <c r="AW25" s="18"/>
      <c r="AX25" s="67"/>
      <c r="AY25" s="18"/>
      <c r="AZ25" s="20" t="str">
        <f>IF(AZ23=0,""," "&amp;"Assigned To"&amp;": ")</f>
        <v/>
      </c>
      <c r="BA25" s="71" t="str">
        <f>IFERROR(INDEX(InputTbl[],MATCH(AZ23,InputTbl[Task Name],0),MATCH("Assigned To",InputTbl[#Headers],0)),"")</f>
        <v/>
      </c>
      <c r="BB25" s="71"/>
      <c r="BC25" s="18"/>
      <c r="BD25" s="67"/>
      <c r="BE25" s="18"/>
      <c r="BL25" s="7"/>
      <c r="BM25" s="75"/>
      <c r="BN25" s="75"/>
      <c r="BX25" s="7"/>
      <c r="BY25" s="75"/>
      <c r="BZ25" s="75"/>
      <c r="CJ25" s="7"/>
      <c r="CK25" s="75"/>
      <c r="CL25" s="75"/>
      <c r="CV25" s="7"/>
      <c r="CW25" s="75"/>
      <c r="CX25" s="75"/>
      <c r="DH25" s="7"/>
      <c r="DI25" s="75"/>
      <c r="DJ25" s="75"/>
      <c r="DT25" s="7"/>
      <c r="DU25" s="75"/>
      <c r="DV25" s="75"/>
      <c r="EF25" s="7"/>
      <c r="EG25" s="75"/>
      <c r="EH25" s="75"/>
      <c r="ER25" s="7"/>
      <c r="ES25" s="75"/>
      <c r="ET25" s="75"/>
      <c r="FD25" s="7"/>
      <c r="FE25" s="75"/>
      <c r="FF25" s="75"/>
    </row>
    <row r="26" spans="1:162" x14ac:dyDescent="0.25">
      <c r="A26" s="18"/>
      <c r="B26" s="67"/>
      <c r="C26" s="18"/>
      <c r="D26" s="21" t="str">
        <f>IF(D23=0,""," "&amp;"Date Due"&amp;": ")</f>
        <v/>
      </c>
      <c r="E26" s="72" t="str">
        <f ca="1">IFERROR(IF(BM24="Yes",_xlfn.CONCAT("⚠"," ",TEXT(INDEX(InputTbl[],MATCH(D23,InputTbl[Task Name],0),MATCH("Due Date",InputTbl[#Headers],0)),"mm/dd/yyyy")," ","⚠"),INDEX(InputTbl[],MATCH(D23,InputTbl[Task Name],0),MATCH("Due Date",InputTbl[#Headers],0))),"")</f>
        <v/>
      </c>
      <c r="F26" s="72"/>
      <c r="G26" s="18"/>
      <c r="H26" s="67"/>
      <c r="I26" s="18"/>
      <c r="J26" s="21" t="str">
        <f>IF(J23=0,""," "&amp;"Date Due"&amp;": ")</f>
        <v/>
      </c>
      <c r="K26" s="72" t="str">
        <f ca="1">IFERROR(IF(BY24="Yes",_xlfn.CONCAT("⚠"," ",TEXT(INDEX(InputTbl[],MATCH(J23,InputTbl[Task Name],0),MATCH("Due Date",InputTbl[#Headers],0)),"mm/dd/yyyy")," ","⚠"),INDEX(InputTbl[],MATCH(J23,InputTbl[Task Name],0),MATCH("Due Date",InputTbl[#Headers],0))),"")</f>
        <v/>
      </c>
      <c r="L26" s="72"/>
      <c r="M26" s="18"/>
      <c r="N26" s="67"/>
      <c r="O26" s="18"/>
      <c r="P26" s="21" t="str">
        <f>IF(P23=0,""," "&amp;"Date Due"&amp;": ")</f>
        <v/>
      </c>
      <c r="Q26" s="72" t="str">
        <f ca="1">IFERROR(IF(CK24="Yes",_xlfn.CONCAT("⚠"," ",TEXT(INDEX(InputTbl[],MATCH(P23,InputTbl[Task Name],0),MATCH("Due Date",InputTbl[#Headers],0)),"mm/dd/yyyy")," ","⚠"),INDEX(InputTbl[],MATCH(P23,InputTbl[Task Name],0),MATCH("Due Date",InputTbl[#Headers],0))),"")</f>
        <v/>
      </c>
      <c r="R26" s="72"/>
      <c r="S26" s="18"/>
      <c r="T26" s="67"/>
      <c r="U26" s="18"/>
      <c r="V26" s="21" t="str">
        <f>IF(V23=0,""," "&amp;"Date Due"&amp;": ")</f>
        <v/>
      </c>
      <c r="W26" s="72" t="str">
        <f ca="1">IFERROR(IF(CW24="Yes",_xlfn.CONCAT("⚠"," ",TEXT(INDEX(InputTbl[],MATCH(V23,InputTbl[Task Name],0),MATCH("Due Date",InputTbl[#Headers],0)),"mm/dd/yyyy")," ","⚠"),INDEX(InputTbl[],MATCH(V23,InputTbl[Task Name],0),MATCH("Due Date",InputTbl[#Headers],0))),"")</f>
        <v/>
      </c>
      <c r="X26" s="72"/>
      <c r="Y26" s="18"/>
      <c r="Z26" s="67"/>
      <c r="AA26" s="18"/>
      <c r="AB26" s="21" t="str">
        <f>IF(AB23=0,""," "&amp;"Date Due"&amp;": ")</f>
        <v/>
      </c>
      <c r="AC26" s="72" t="str">
        <f ca="1">IFERROR(IF(DI24="Yes",_xlfn.CONCAT("⚠"," ",TEXT(INDEX(InputTbl[],MATCH(AB23,InputTbl[Task Name],0),MATCH("Due Date",InputTbl[#Headers],0)),"mm/dd/yyyy")," ","⚠"),INDEX(InputTbl[],MATCH(AB23,InputTbl[Task Name],0),MATCH("Due Date",InputTbl[#Headers],0))),"")</f>
        <v/>
      </c>
      <c r="AD26" s="72"/>
      <c r="AE26" s="18"/>
      <c r="AF26" s="67"/>
      <c r="AG26" s="18"/>
      <c r="AH26" s="21" t="str">
        <f>IF(AH23=0,""," "&amp;"Date Due"&amp;": ")</f>
        <v/>
      </c>
      <c r="AI26" s="72" t="str">
        <f ca="1">IFERROR(IF(DU24="Yes",_xlfn.CONCAT("⚠"," ",TEXT(INDEX(InputTbl[],MATCH(AH23,InputTbl[Task Name],0),MATCH("Due Date",InputTbl[#Headers],0)),"mm/dd/yyyy")," ","⚠"),INDEX(InputTbl[],MATCH(AH23,InputTbl[Task Name],0),MATCH("Due Date",InputTbl[#Headers],0))),"")</f>
        <v/>
      </c>
      <c r="AJ26" s="72"/>
      <c r="AK26" s="18"/>
      <c r="AL26" s="67"/>
      <c r="AM26" s="18"/>
      <c r="AN26" s="21" t="str">
        <f>IF(AN23=0,""," "&amp;"Date Due"&amp;": ")</f>
        <v/>
      </c>
      <c r="AO26" s="72" t="str">
        <f ca="1">IFERROR(IF(EG24="Yes",_xlfn.CONCAT("⚠"," ",TEXT(INDEX(InputTbl[],MATCH(AN23,InputTbl[Task Name],0),MATCH("Due Date",InputTbl[#Headers],0)),"mm/dd/yyyy")," ","⚠"),INDEX(InputTbl[],MATCH(AN23,InputTbl[Task Name],0),MATCH("Due Date",InputTbl[#Headers],0))),"")</f>
        <v/>
      </c>
      <c r="AP26" s="72"/>
      <c r="AQ26" s="18"/>
      <c r="AR26" s="67"/>
      <c r="AS26" s="18"/>
      <c r="AT26" s="21" t="str">
        <f>IF(AT23=0,""," "&amp;"Date Due"&amp;": ")</f>
        <v/>
      </c>
      <c r="AU26" s="72" t="str">
        <f ca="1">IFERROR(IF(ES24="Yes",_xlfn.CONCAT("⚠"," ",TEXT(INDEX(InputTbl[],MATCH(AT23,InputTbl[Task Name],0),MATCH("Due Date",InputTbl[#Headers],0)),"mm/dd/yyyy")," ","⚠"),INDEX(InputTbl[],MATCH(AT23,InputTbl[Task Name],0),MATCH("Due Date",InputTbl[#Headers],0))),"")</f>
        <v/>
      </c>
      <c r="AV26" s="72"/>
      <c r="AW26" s="18"/>
      <c r="AX26" s="67"/>
      <c r="AY26" s="18"/>
      <c r="AZ26" s="21" t="str">
        <f>IF(AZ23=0,""," "&amp;"Date Due"&amp;": ")</f>
        <v/>
      </c>
      <c r="BA26" s="72" t="str">
        <f ca="1">IFERROR(IF(FE24="Yes",_xlfn.CONCAT("⚠"," ",TEXT(INDEX(InputTbl[],MATCH(AZ23,InputTbl[Task Name],0),MATCH("Due Date",InputTbl[#Headers],0)),"mm/dd/yyyy")," ","⚠"),INDEX(InputTbl[],MATCH(AZ23,InputTbl[Task Name],0),MATCH("Due Date",InputTbl[#Headers],0))),"")</f>
        <v/>
      </c>
      <c r="BB26" s="72"/>
      <c r="BC26" s="18"/>
      <c r="BD26" s="67"/>
      <c r="BE26" s="18"/>
      <c r="BL26" s="8"/>
      <c r="BM26" s="74"/>
      <c r="BN26" s="74"/>
      <c r="BX26" s="8"/>
      <c r="BY26" s="74"/>
      <c r="BZ26" s="74"/>
      <c r="CJ26" s="8"/>
      <c r="CK26" s="74"/>
      <c r="CL26" s="74"/>
      <c r="CV26" s="8"/>
      <c r="CW26" s="74"/>
      <c r="CX26" s="74"/>
      <c r="DH26" s="8"/>
      <c r="DI26" s="74"/>
      <c r="DJ26" s="74"/>
      <c r="DT26" s="8"/>
      <c r="DU26" s="74"/>
      <c r="DV26" s="74"/>
      <c r="EF26" s="8"/>
      <c r="EG26" s="74"/>
      <c r="EH26" s="74"/>
      <c r="ER26" s="8"/>
      <c r="ES26" s="74"/>
      <c r="ET26" s="74"/>
      <c r="FD26" s="8"/>
      <c r="FE26" s="74"/>
      <c r="FF26" s="74"/>
    </row>
    <row r="27" spans="1:162" ht="15" customHeight="1" x14ac:dyDescent="0.25">
      <c r="A27" s="18"/>
      <c r="B27" s="67"/>
      <c r="C27" s="18"/>
      <c r="D27" s="18"/>
      <c r="E27" s="18"/>
      <c r="F27" s="18"/>
      <c r="G27" s="18"/>
      <c r="H27" s="67"/>
      <c r="I27" s="18"/>
      <c r="J27" s="18"/>
      <c r="K27" s="18"/>
      <c r="L27" s="18"/>
      <c r="M27" s="18"/>
      <c r="N27" s="67"/>
      <c r="O27" s="18"/>
      <c r="P27" s="18"/>
      <c r="Q27" s="18"/>
      <c r="R27" s="18"/>
      <c r="S27" s="18"/>
      <c r="T27" s="67"/>
      <c r="U27" s="18"/>
      <c r="V27" s="18"/>
      <c r="W27" s="18"/>
      <c r="X27" s="18"/>
      <c r="Y27" s="18"/>
      <c r="Z27" s="67"/>
      <c r="AA27" s="18"/>
      <c r="AB27" s="18"/>
      <c r="AC27" s="18"/>
      <c r="AD27" s="18"/>
      <c r="AE27" s="18"/>
      <c r="AF27" s="67"/>
      <c r="AG27" s="18"/>
      <c r="AH27" s="18"/>
      <c r="AI27" s="18"/>
      <c r="AJ27" s="18"/>
      <c r="AK27" s="18"/>
      <c r="AL27" s="67"/>
      <c r="AM27" s="18"/>
      <c r="AN27" s="18"/>
      <c r="AO27" s="18"/>
      <c r="AP27" s="18"/>
      <c r="AQ27" s="18"/>
      <c r="AR27" s="67"/>
      <c r="AS27" s="18"/>
      <c r="AT27" s="18"/>
      <c r="AU27" s="18"/>
      <c r="AV27" s="18"/>
      <c r="AW27" s="18"/>
      <c r="AX27" s="67"/>
      <c r="AY27" s="18"/>
      <c r="AZ27" s="18"/>
      <c r="BA27" s="18"/>
      <c r="BB27" s="18"/>
      <c r="BC27" s="18"/>
      <c r="BD27" s="67"/>
      <c r="BE27" s="18"/>
    </row>
    <row r="28" spans="1:162" x14ac:dyDescent="0.25">
      <c r="A28" s="18"/>
      <c r="B28" s="67"/>
      <c r="C28" s="18"/>
      <c r="D28" s="69">
        <f>INDEX(KanbanPrep!$A$5:$S$189,VLOOKUP(ROW(),RowLookupTbl,2,FALSE),SMALL({1,3,5,7,9,11,13,15,17,19},MATCH(D$6,StatusOptions,0)))</f>
        <v>0</v>
      </c>
      <c r="E28" s="69"/>
      <c r="F28" s="70" t="str">
        <f>IFERROR(IF(BM28="Low",2,IF(BM28="Medium",1,0)),"")</f>
        <v/>
      </c>
      <c r="G28" s="18"/>
      <c r="H28" s="67"/>
      <c r="I28" s="18"/>
      <c r="J28" s="69">
        <f>INDEX(KanbanPrep!$A$5:$S$189,VLOOKUP(ROW(),RowLookupTbl,2,FALSE),SMALL({1,3,5,7,9,11,13,15,17,19},MATCH(J$6,StatusOptions,0)))</f>
        <v>0</v>
      </c>
      <c r="K28" s="69"/>
      <c r="L28" s="70" t="str">
        <f>IFERROR(IF(BY28="Low",2,IF(BY28="Medium",1,0)),"")</f>
        <v/>
      </c>
      <c r="M28" s="18"/>
      <c r="N28" s="67"/>
      <c r="O28" s="18"/>
      <c r="P28" s="69">
        <f>INDEX(KanbanPrep!$A$5:$S$189,VLOOKUP(ROW(),RowLookupTbl,2,FALSE),SMALL({1,3,5,7,9,11,13,15,17,19},MATCH(P$6,StatusOptions,0)))</f>
        <v>0</v>
      </c>
      <c r="Q28" s="69"/>
      <c r="R28" s="70" t="str">
        <f>IFERROR(IF(CK28="Low",2,IF(CK28="Medium",1,0)),"")</f>
        <v/>
      </c>
      <c r="S28" s="18"/>
      <c r="T28" s="67"/>
      <c r="U28" s="18"/>
      <c r="V28" s="69">
        <f>INDEX(KanbanPrep!$A$5:$S$189,VLOOKUP(ROW(),RowLookupTbl,2,FALSE),SMALL({1,3,5,7,9,11,13,15,17,19},MATCH(V$6,StatusOptions,0)))</f>
        <v>0</v>
      </c>
      <c r="W28" s="69"/>
      <c r="X28" s="70" t="str">
        <f>IFERROR(IF(CW28="Low",2,IF(CW28="Medium",1,0)),"")</f>
        <v/>
      </c>
      <c r="Y28" s="18"/>
      <c r="Z28" s="67"/>
      <c r="AA28" s="18"/>
      <c r="AB28" s="69">
        <f>INDEX(KanbanPrep!$A$5:$S$189,VLOOKUP(ROW(),RowLookupTbl,2,FALSE),SMALL({1,3,5,7,9,11,13,15,17,19},MATCH(AB$6,StatusOptions,0)))</f>
        <v>0</v>
      </c>
      <c r="AC28" s="69"/>
      <c r="AD28" s="70" t="str">
        <f>IFERROR(IF(DI28="Low",2,IF(DI28="Medium",1,0)),"")</f>
        <v/>
      </c>
      <c r="AE28" s="18"/>
      <c r="AF28" s="67"/>
      <c r="AG28" s="18"/>
      <c r="AH28" s="69">
        <f>INDEX(KanbanPrep!$A$5:$S$189,VLOOKUP(ROW(),RowLookupTbl,2,FALSE),SMALL({1,3,5,7,9,11,13,15,17,19},MATCH(AH$6,StatusOptions,0)))</f>
        <v>0</v>
      </c>
      <c r="AI28" s="69"/>
      <c r="AJ28" s="70" t="str">
        <f>IFERROR(IF(DU28="Low",2,IF(DU28="Medium",1,0)),"")</f>
        <v/>
      </c>
      <c r="AK28" s="18"/>
      <c r="AL28" s="67"/>
      <c r="AM28" s="18"/>
      <c r="AN28" s="69">
        <f>INDEX(KanbanPrep!$A$5:$S$189,VLOOKUP(ROW(),RowLookupTbl,2,FALSE),SMALL({1,3,5,7,9,11,13,15,17,19},MATCH(AN$6,StatusOptions,0)))</f>
        <v>0</v>
      </c>
      <c r="AO28" s="69"/>
      <c r="AP28" s="70" t="str">
        <f>IFERROR(IF(EG28="Low",2,IF(EG28="Medium",1,0)),"")</f>
        <v/>
      </c>
      <c r="AQ28" s="18"/>
      <c r="AR28" s="67"/>
      <c r="AS28" s="18"/>
      <c r="AT28" s="69">
        <f>INDEX(KanbanPrep!$A$5:$S$189,VLOOKUP(ROW(),RowLookupTbl,2,FALSE),SMALL({1,3,5,7,9,11,13,15,17,19},MATCH(AT$6,StatusOptions,0)))</f>
        <v>0</v>
      </c>
      <c r="AU28" s="69"/>
      <c r="AV28" s="70" t="str">
        <f>IFERROR(IF(ES28="Low",2,IF(ES28="Medium",1,0)),"")</f>
        <v/>
      </c>
      <c r="AW28" s="18"/>
      <c r="AX28" s="67"/>
      <c r="AY28" s="18"/>
      <c r="AZ28" s="69">
        <f>INDEX(KanbanPrep!$A$5:$S$189,VLOOKUP(ROW(),RowLookupTbl,2,FALSE),SMALL({1,3,5,7,9,11,13,15,17,19},MATCH(AZ$6,StatusOptions,0)))</f>
        <v>0</v>
      </c>
      <c r="BA28" s="69"/>
      <c r="BB28" s="70" t="str">
        <f>IFERROR(IF(FE28="Low",2,IF(FE28="Medium",1,0)),"")</f>
        <v/>
      </c>
      <c r="BC28" s="18"/>
      <c r="BD28" s="67"/>
      <c r="BE28" s="18"/>
      <c r="BL28" s="13" t="s">
        <v>60</v>
      </c>
      <c r="BM28" s="13" t="e">
        <f>INDEX(InputTbl[],MATCH(D28,InputTbl[Task Name],0),MATCH("Priority",InputTbl[#Headers],0))</f>
        <v>#N/A</v>
      </c>
      <c r="BN28" s="73"/>
      <c r="BX28" s="13" t="s">
        <v>60</v>
      </c>
      <c r="BY28" s="13" t="e">
        <f>INDEX(InputTbl[],MATCH(J28,InputTbl[Task Name],0),MATCH("Priority",InputTbl[#Headers],0))</f>
        <v>#N/A</v>
      </c>
      <c r="BZ28" s="73"/>
      <c r="CJ28" s="13" t="s">
        <v>60</v>
      </c>
      <c r="CK28" s="13" t="e">
        <f>INDEX(InputTbl[],MATCH(P28,InputTbl[Task Name],0),MATCH("Priority",InputTbl[#Headers],0))</f>
        <v>#N/A</v>
      </c>
      <c r="CL28" s="73"/>
      <c r="CV28" s="13" t="s">
        <v>60</v>
      </c>
      <c r="CW28" s="13" t="e">
        <f>INDEX(InputTbl[],MATCH(V28,InputTbl[Task Name],0),MATCH("Priority",InputTbl[#Headers],0))</f>
        <v>#N/A</v>
      </c>
      <c r="CX28" s="73"/>
      <c r="DH28" s="13" t="s">
        <v>60</v>
      </c>
      <c r="DI28" s="13" t="e">
        <f>INDEX(InputTbl[],MATCH(AB28,InputTbl[Task Name],0),MATCH("Priority",InputTbl[#Headers],0))</f>
        <v>#N/A</v>
      </c>
      <c r="DJ28" s="73"/>
      <c r="DT28" s="13" t="s">
        <v>60</v>
      </c>
      <c r="DU28" s="13" t="e">
        <f>INDEX(InputTbl[],MATCH(AH28,InputTbl[Task Name],0),MATCH("Priority",InputTbl[#Headers],0))</f>
        <v>#N/A</v>
      </c>
      <c r="DV28" s="73"/>
      <c r="EF28" s="13" t="s">
        <v>60</v>
      </c>
      <c r="EG28" s="13" t="e">
        <f>INDEX(InputTbl[],MATCH(AN28,InputTbl[Task Name],0),MATCH("Priority",InputTbl[#Headers],0))</f>
        <v>#N/A</v>
      </c>
      <c r="EH28" s="73"/>
      <c r="ER28" s="13" t="s">
        <v>60</v>
      </c>
      <c r="ES28" s="13" t="e">
        <f>INDEX(InputTbl[],MATCH(AT28,InputTbl[Task Name],0),MATCH("Priority",InputTbl[#Headers],0))</f>
        <v>#N/A</v>
      </c>
      <c r="ET28" s="73"/>
      <c r="FD28" s="13" t="s">
        <v>60</v>
      </c>
      <c r="FE28" s="13" t="e">
        <f>INDEX(InputTbl[],MATCH(AZ28,InputTbl[Task Name],0),MATCH("Priority",InputTbl[#Headers],0))</f>
        <v>#N/A</v>
      </c>
      <c r="FF28" s="73"/>
    </row>
    <row r="29" spans="1:162" x14ac:dyDescent="0.25">
      <c r="A29" s="18"/>
      <c r="B29" s="67"/>
      <c r="C29" s="18"/>
      <c r="D29" s="69"/>
      <c r="E29" s="69"/>
      <c r="F29" s="70"/>
      <c r="G29" s="18"/>
      <c r="H29" s="67"/>
      <c r="I29" s="18"/>
      <c r="J29" s="69"/>
      <c r="K29" s="69"/>
      <c r="L29" s="70"/>
      <c r="M29" s="18"/>
      <c r="N29" s="67"/>
      <c r="O29" s="18"/>
      <c r="P29" s="69"/>
      <c r="Q29" s="69"/>
      <c r="R29" s="70"/>
      <c r="S29" s="18"/>
      <c r="T29" s="67"/>
      <c r="U29" s="18"/>
      <c r="V29" s="69"/>
      <c r="W29" s="69"/>
      <c r="X29" s="70"/>
      <c r="Y29" s="18"/>
      <c r="Z29" s="67"/>
      <c r="AA29" s="18"/>
      <c r="AB29" s="69"/>
      <c r="AC29" s="69"/>
      <c r="AD29" s="70"/>
      <c r="AE29" s="18"/>
      <c r="AF29" s="67"/>
      <c r="AG29" s="18"/>
      <c r="AH29" s="69"/>
      <c r="AI29" s="69"/>
      <c r="AJ29" s="70"/>
      <c r="AK29" s="18"/>
      <c r="AL29" s="67"/>
      <c r="AM29" s="18"/>
      <c r="AN29" s="69"/>
      <c r="AO29" s="69"/>
      <c r="AP29" s="70"/>
      <c r="AQ29" s="18"/>
      <c r="AR29" s="67"/>
      <c r="AS29" s="18"/>
      <c r="AT29" s="69"/>
      <c r="AU29" s="69"/>
      <c r="AV29" s="70"/>
      <c r="AW29" s="18"/>
      <c r="AX29" s="67"/>
      <c r="AY29" s="18"/>
      <c r="AZ29" s="69"/>
      <c r="BA29" s="69"/>
      <c r="BB29" s="70"/>
      <c r="BC29" s="18"/>
      <c r="BD29" s="67"/>
      <c r="BE29" s="18"/>
      <c r="BL29" s="13" t="s">
        <v>72</v>
      </c>
      <c r="BM29" s="13" t="str">
        <f ca="1">INDEX(DataTbl[],MATCH(D28,DataTbl[Task Name],0),MATCH("Overdue",DataTbl[#Headers],0))</f>
        <v>No</v>
      </c>
      <c r="BN29" s="73"/>
      <c r="BX29" s="13" t="s">
        <v>72</v>
      </c>
      <c r="BY29" s="13" t="str">
        <f ca="1">INDEX(DataTbl[],MATCH(J28,DataTbl[Task Name],0),MATCH("Overdue",DataTbl[#Headers],0))</f>
        <v>No</v>
      </c>
      <c r="BZ29" s="73"/>
      <c r="CJ29" s="13" t="s">
        <v>72</v>
      </c>
      <c r="CK29" s="13" t="str">
        <f ca="1">INDEX(DataTbl[],MATCH(P28,DataTbl[Task Name],0),MATCH("Overdue",DataTbl[#Headers],0))</f>
        <v>No</v>
      </c>
      <c r="CL29" s="73"/>
      <c r="CV29" s="13" t="s">
        <v>72</v>
      </c>
      <c r="CW29" s="13" t="str">
        <f ca="1">INDEX(DataTbl[],MATCH(V28,DataTbl[Task Name],0),MATCH("Overdue",DataTbl[#Headers],0))</f>
        <v>No</v>
      </c>
      <c r="CX29" s="73"/>
      <c r="DH29" s="13" t="s">
        <v>72</v>
      </c>
      <c r="DI29" s="13" t="str">
        <f ca="1">INDEX(DataTbl[],MATCH(AB28,DataTbl[Task Name],0),MATCH("Overdue",DataTbl[#Headers],0))</f>
        <v>No</v>
      </c>
      <c r="DJ29" s="73"/>
      <c r="DT29" s="13" t="s">
        <v>72</v>
      </c>
      <c r="DU29" s="13" t="str">
        <f ca="1">INDEX(DataTbl[],MATCH(AH28,DataTbl[Task Name],0),MATCH("Overdue",DataTbl[#Headers],0))</f>
        <v>No</v>
      </c>
      <c r="DV29" s="73"/>
      <c r="EF29" s="13" t="s">
        <v>72</v>
      </c>
      <c r="EG29" s="13" t="str">
        <f ca="1">INDEX(DataTbl[],MATCH(AN28,DataTbl[Task Name],0),MATCH("Overdue",DataTbl[#Headers],0))</f>
        <v>No</v>
      </c>
      <c r="EH29" s="73"/>
      <c r="ER29" s="13" t="s">
        <v>72</v>
      </c>
      <c r="ES29" s="13" t="str">
        <f ca="1">INDEX(DataTbl[],MATCH(AT28,DataTbl[Task Name],0),MATCH("Overdue",DataTbl[#Headers],0))</f>
        <v>No</v>
      </c>
      <c r="ET29" s="73"/>
      <c r="FD29" s="13" t="s">
        <v>72</v>
      </c>
      <c r="FE29" s="13" t="str">
        <f ca="1">INDEX(DataTbl[],MATCH(AZ28,DataTbl[Task Name],0),MATCH("Overdue",DataTbl[#Headers],0))</f>
        <v>No</v>
      </c>
      <c r="FF29" s="73"/>
    </row>
    <row r="30" spans="1:162" x14ac:dyDescent="0.25">
      <c r="A30" s="18"/>
      <c r="B30" s="67"/>
      <c r="C30" s="18"/>
      <c r="D30" s="20" t="str">
        <f>IF(D28=0,""," "&amp;"Assigned To"&amp;": ")</f>
        <v/>
      </c>
      <c r="E30" s="71" t="str">
        <f>IFERROR(INDEX(InputTbl[],MATCH(D28,InputTbl[Task Name],0),MATCH("Assigned To",InputTbl[#Headers],0)),"")</f>
        <v/>
      </c>
      <c r="F30" s="71"/>
      <c r="G30" s="18"/>
      <c r="H30" s="67"/>
      <c r="I30" s="18"/>
      <c r="J30" s="20" t="str">
        <f>IF(J28=0,""," "&amp;"Assigned To"&amp;": ")</f>
        <v/>
      </c>
      <c r="K30" s="71" t="str">
        <f>IFERROR(INDEX(InputTbl[],MATCH(J28,InputTbl[Task Name],0),MATCH("Assigned To",InputTbl[#Headers],0)),"")</f>
        <v/>
      </c>
      <c r="L30" s="71"/>
      <c r="M30" s="18"/>
      <c r="N30" s="67"/>
      <c r="O30" s="18"/>
      <c r="P30" s="20" t="str">
        <f>IF(P28=0,""," "&amp;"Assigned To"&amp;": ")</f>
        <v/>
      </c>
      <c r="Q30" s="71" t="str">
        <f>IFERROR(INDEX(InputTbl[],MATCH(P28,InputTbl[Task Name],0),MATCH("Assigned To",InputTbl[#Headers],0)),"")</f>
        <v/>
      </c>
      <c r="R30" s="71"/>
      <c r="S30" s="18"/>
      <c r="T30" s="67"/>
      <c r="U30" s="18"/>
      <c r="V30" s="20" t="str">
        <f>IF(V28=0,""," "&amp;"Assigned To"&amp;": ")</f>
        <v/>
      </c>
      <c r="W30" s="71" t="str">
        <f>IFERROR(INDEX(InputTbl[],MATCH(V28,InputTbl[Task Name],0),MATCH("Assigned To",InputTbl[#Headers],0)),"")</f>
        <v/>
      </c>
      <c r="X30" s="71"/>
      <c r="Y30" s="18"/>
      <c r="Z30" s="67"/>
      <c r="AA30" s="18"/>
      <c r="AB30" s="20" t="str">
        <f>IF(AB28=0,""," "&amp;"Assigned To"&amp;": ")</f>
        <v/>
      </c>
      <c r="AC30" s="71" t="str">
        <f>IFERROR(INDEX(InputTbl[],MATCH(AB28,InputTbl[Task Name],0),MATCH("Assigned To",InputTbl[#Headers],0)),"")</f>
        <v/>
      </c>
      <c r="AD30" s="71"/>
      <c r="AE30" s="18"/>
      <c r="AF30" s="67"/>
      <c r="AG30" s="18"/>
      <c r="AH30" s="20" t="str">
        <f>IF(AH28=0,""," "&amp;"Assigned To"&amp;": ")</f>
        <v/>
      </c>
      <c r="AI30" s="71" t="str">
        <f>IFERROR(INDEX(InputTbl[],MATCH(AH28,InputTbl[Task Name],0),MATCH("Assigned To",InputTbl[#Headers],0)),"")</f>
        <v/>
      </c>
      <c r="AJ30" s="71"/>
      <c r="AK30" s="18"/>
      <c r="AL30" s="67"/>
      <c r="AM30" s="18"/>
      <c r="AN30" s="20" t="str">
        <f>IF(AN28=0,""," "&amp;"Assigned To"&amp;": ")</f>
        <v/>
      </c>
      <c r="AO30" s="71" t="str">
        <f>IFERROR(INDEX(InputTbl[],MATCH(AN28,InputTbl[Task Name],0),MATCH("Assigned To",InputTbl[#Headers],0)),"")</f>
        <v/>
      </c>
      <c r="AP30" s="71"/>
      <c r="AQ30" s="18"/>
      <c r="AR30" s="67"/>
      <c r="AS30" s="18"/>
      <c r="AT30" s="20" t="str">
        <f>IF(AT28=0,""," "&amp;"Assigned To"&amp;": ")</f>
        <v/>
      </c>
      <c r="AU30" s="71" t="str">
        <f>IFERROR(INDEX(InputTbl[],MATCH(AT28,InputTbl[Task Name],0),MATCH("Assigned To",InputTbl[#Headers],0)),"")</f>
        <v/>
      </c>
      <c r="AV30" s="71"/>
      <c r="AW30" s="18"/>
      <c r="AX30" s="67"/>
      <c r="AY30" s="18"/>
      <c r="AZ30" s="20" t="str">
        <f>IF(AZ28=0,""," "&amp;"Assigned To"&amp;": ")</f>
        <v/>
      </c>
      <c r="BA30" s="71" t="str">
        <f>IFERROR(INDEX(InputTbl[],MATCH(AZ28,InputTbl[Task Name],0),MATCH("Assigned To",InputTbl[#Headers],0)),"")</f>
        <v/>
      </c>
      <c r="BB30" s="71"/>
      <c r="BC30" s="18"/>
      <c r="BD30" s="67"/>
      <c r="BE30" s="18"/>
      <c r="BL30" s="7"/>
      <c r="BM30" s="75"/>
      <c r="BN30" s="75"/>
      <c r="BX30" s="7"/>
      <c r="BY30" s="75"/>
      <c r="BZ30" s="75"/>
      <c r="CJ30" s="7"/>
      <c r="CK30" s="75"/>
      <c r="CL30" s="75"/>
      <c r="CV30" s="7"/>
      <c r="CW30" s="75"/>
      <c r="CX30" s="75"/>
      <c r="DH30" s="7"/>
      <c r="DI30" s="75"/>
      <c r="DJ30" s="75"/>
      <c r="DT30" s="7"/>
      <c r="DU30" s="75"/>
      <c r="DV30" s="75"/>
      <c r="EF30" s="7"/>
      <c r="EG30" s="75"/>
      <c r="EH30" s="75"/>
      <c r="ER30" s="7"/>
      <c r="ES30" s="75"/>
      <c r="ET30" s="75"/>
      <c r="FD30" s="7"/>
      <c r="FE30" s="75"/>
      <c r="FF30" s="75"/>
    </row>
    <row r="31" spans="1:162" x14ac:dyDescent="0.25">
      <c r="A31" s="18"/>
      <c r="B31" s="67"/>
      <c r="C31" s="18"/>
      <c r="D31" s="21" t="str">
        <f>IF(D28=0,""," "&amp;"Date Due"&amp;": ")</f>
        <v/>
      </c>
      <c r="E31" s="72" t="str">
        <f ca="1">IFERROR(IF(BM29="Yes",_xlfn.CONCAT("⚠"," ",TEXT(INDEX(InputTbl[],MATCH(D28,InputTbl[Task Name],0),MATCH("Due Date",InputTbl[#Headers],0)),"mm/dd/yyyy")," ","⚠"),INDEX(InputTbl[],MATCH(D28,InputTbl[Task Name],0),MATCH("Due Date",InputTbl[#Headers],0))),"")</f>
        <v/>
      </c>
      <c r="F31" s="72"/>
      <c r="G31" s="18"/>
      <c r="H31" s="67"/>
      <c r="I31" s="18"/>
      <c r="J31" s="21" t="str">
        <f>IF(J28=0,""," "&amp;"Date Due"&amp;": ")</f>
        <v/>
      </c>
      <c r="K31" s="72" t="str">
        <f ca="1">IFERROR(IF(BY29="Yes",_xlfn.CONCAT("⚠"," ",TEXT(INDEX(InputTbl[],MATCH(J28,InputTbl[Task Name],0),MATCH("Due Date",InputTbl[#Headers],0)),"mm/dd/yyyy")," ","⚠"),INDEX(InputTbl[],MATCH(J28,InputTbl[Task Name],0),MATCH("Due Date",InputTbl[#Headers],0))),"")</f>
        <v/>
      </c>
      <c r="L31" s="72"/>
      <c r="M31" s="18"/>
      <c r="N31" s="67"/>
      <c r="O31" s="18"/>
      <c r="P31" s="21" t="str">
        <f>IF(P28=0,""," "&amp;"Date Due"&amp;": ")</f>
        <v/>
      </c>
      <c r="Q31" s="72" t="str">
        <f ca="1">IFERROR(IF(CK29="Yes",_xlfn.CONCAT("⚠"," ",TEXT(INDEX(InputTbl[],MATCH(P28,InputTbl[Task Name],0),MATCH("Due Date",InputTbl[#Headers],0)),"mm/dd/yyyy")," ","⚠"),INDEX(InputTbl[],MATCH(P28,InputTbl[Task Name],0),MATCH("Due Date",InputTbl[#Headers],0))),"")</f>
        <v/>
      </c>
      <c r="R31" s="72"/>
      <c r="S31" s="18"/>
      <c r="T31" s="67"/>
      <c r="U31" s="18"/>
      <c r="V31" s="21" t="str">
        <f>IF(V28=0,""," "&amp;"Date Due"&amp;": ")</f>
        <v/>
      </c>
      <c r="W31" s="72" t="str">
        <f ca="1">IFERROR(IF(CW29="Yes",_xlfn.CONCAT("⚠"," ",TEXT(INDEX(InputTbl[],MATCH(V28,InputTbl[Task Name],0),MATCH("Due Date",InputTbl[#Headers],0)),"mm/dd/yyyy")," ","⚠"),INDEX(InputTbl[],MATCH(V28,InputTbl[Task Name],0),MATCH("Due Date",InputTbl[#Headers],0))),"")</f>
        <v/>
      </c>
      <c r="X31" s="72"/>
      <c r="Y31" s="18"/>
      <c r="Z31" s="67"/>
      <c r="AA31" s="18"/>
      <c r="AB31" s="21" t="str">
        <f>IF(AB28=0,""," "&amp;"Date Due"&amp;": ")</f>
        <v/>
      </c>
      <c r="AC31" s="72" t="str">
        <f ca="1">IFERROR(IF(DI29="Yes",_xlfn.CONCAT("⚠"," ",TEXT(INDEX(InputTbl[],MATCH(AB28,InputTbl[Task Name],0),MATCH("Due Date",InputTbl[#Headers],0)),"mm/dd/yyyy")," ","⚠"),INDEX(InputTbl[],MATCH(AB28,InputTbl[Task Name],0),MATCH("Due Date",InputTbl[#Headers],0))),"")</f>
        <v/>
      </c>
      <c r="AD31" s="72"/>
      <c r="AE31" s="18"/>
      <c r="AF31" s="67"/>
      <c r="AG31" s="18"/>
      <c r="AH31" s="21" t="str">
        <f>IF(AH28=0,""," "&amp;"Date Due"&amp;": ")</f>
        <v/>
      </c>
      <c r="AI31" s="72" t="str">
        <f ca="1">IFERROR(IF(DU29="Yes",_xlfn.CONCAT("⚠"," ",TEXT(INDEX(InputTbl[],MATCH(AH28,InputTbl[Task Name],0),MATCH("Due Date",InputTbl[#Headers],0)),"mm/dd/yyyy")," ","⚠"),INDEX(InputTbl[],MATCH(AH28,InputTbl[Task Name],0),MATCH("Due Date",InputTbl[#Headers],0))),"")</f>
        <v/>
      </c>
      <c r="AJ31" s="72"/>
      <c r="AK31" s="18"/>
      <c r="AL31" s="67"/>
      <c r="AM31" s="18"/>
      <c r="AN31" s="21" t="str">
        <f>IF(AN28=0,""," "&amp;"Date Due"&amp;": ")</f>
        <v/>
      </c>
      <c r="AO31" s="72" t="str">
        <f ca="1">IFERROR(IF(EG29="Yes",_xlfn.CONCAT("⚠"," ",TEXT(INDEX(InputTbl[],MATCH(AN28,InputTbl[Task Name],0),MATCH("Due Date",InputTbl[#Headers],0)),"mm/dd/yyyy")," ","⚠"),INDEX(InputTbl[],MATCH(AN28,InputTbl[Task Name],0),MATCH("Due Date",InputTbl[#Headers],0))),"")</f>
        <v/>
      </c>
      <c r="AP31" s="72"/>
      <c r="AQ31" s="18"/>
      <c r="AR31" s="67"/>
      <c r="AS31" s="18"/>
      <c r="AT31" s="21" t="str">
        <f>IF(AT28=0,""," "&amp;"Date Due"&amp;": ")</f>
        <v/>
      </c>
      <c r="AU31" s="72" t="str">
        <f ca="1">IFERROR(IF(ES29="Yes",_xlfn.CONCAT("⚠"," ",TEXT(INDEX(InputTbl[],MATCH(AT28,InputTbl[Task Name],0),MATCH("Due Date",InputTbl[#Headers],0)),"mm/dd/yyyy")," ","⚠"),INDEX(InputTbl[],MATCH(AT28,InputTbl[Task Name],0),MATCH("Due Date",InputTbl[#Headers],0))),"")</f>
        <v/>
      </c>
      <c r="AV31" s="72"/>
      <c r="AW31" s="18"/>
      <c r="AX31" s="67"/>
      <c r="AY31" s="18"/>
      <c r="AZ31" s="21" t="str">
        <f>IF(AZ28=0,""," "&amp;"Date Due"&amp;": ")</f>
        <v/>
      </c>
      <c r="BA31" s="72" t="str">
        <f ca="1">IFERROR(IF(FE29="Yes",_xlfn.CONCAT("⚠"," ",TEXT(INDEX(InputTbl[],MATCH(AZ28,InputTbl[Task Name],0),MATCH("Due Date",InputTbl[#Headers],0)),"mm/dd/yyyy")," ","⚠"),INDEX(InputTbl[],MATCH(AZ28,InputTbl[Task Name],0),MATCH("Due Date",InputTbl[#Headers],0))),"")</f>
        <v/>
      </c>
      <c r="BB31" s="72"/>
      <c r="BC31" s="18"/>
      <c r="BD31" s="67"/>
      <c r="BE31" s="18"/>
      <c r="BL31" s="8"/>
      <c r="BM31" s="74"/>
      <c r="BN31" s="74"/>
      <c r="BX31" s="8"/>
      <c r="BY31" s="74"/>
      <c r="BZ31" s="74"/>
      <c r="CJ31" s="8"/>
      <c r="CK31" s="74"/>
      <c r="CL31" s="74"/>
      <c r="CV31" s="8"/>
      <c r="CW31" s="74"/>
      <c r="CX31" s="74"/>
      <c r="DH31" s="8"/>
      <c r="DI31" s="74"/>
      <c r="DJ31" s="74"/>
      <c r="DT31" s="8"/>
      <c r="DU31" s="74"/>
      <c r="DV31" s="74"/>
      <c r="EF31" s="8"/>
      <c r="EG31" s="74"/>
      <c r="EH31" s="74"/>
      <c r="ER31" s="8"/>
      <c r="ES31" s="74"/>
      <c r="ET31" s="74"/>
      <c r="FD31" s="8"/>
      <c r="FE31" s="74"/>
      <c r="FF31" s="74"/>
    </row>
    <row r="32" spans="1:162" ht="15" customHeight="1" x14ac:dyDescent="0.25">
      <c r="A32" s="18"/>
      <c r="B32" s="67"/>
      <c r="C32" s="18"/>
      <c r="D32" s="18"/>
      <c r="E32" s="18"/>
      <c r="F32" s="18"/>
      <c r="G32" s="18"/>
      <c r="H32" s="67"/>
      <c r="I32" s="18"/>
      <c r="J32" s="18"/>
      <c r="K32" s="18"/>
      <c r="L32" s="18"/>
      <c r="M32" s="18"/>
      <c r="N32" s="67"/>
      <c r="O32" s="18"/>
      <c r="P32" s="18"/>
      <c r="Q32" s="18"/>
      <c r="R32" s="18"/>
      <c r="S32" s="18"/>
      <c r="T32" s="67"/>
      <c r="U32" s="18"/>
      <c r="V32" s="18"/>
      <c r="W32" s="18"/>
      <c r="X32" s="18"/>
      <c r="Y32" s="18"/>
      <c r="Z32" s="67"/>
      <c r="AA32" s="18"/>
      <c r="AB32" s="18"/>
      <c r="AC32" s="18"/>
      <c r="AD32" s="18"/>
      <c r="AE32" s="18"/>
      <c r="AF32" s="67"/>
      <c r="AG32" s="18"/>
      <c r="AH32" s="18"/>
      <c r="AI32" s="18"/>
      <c r="AJ32" s="18"/>
      <c r="AK32" s="18"/>
      <c r="AL32" s="67"/>
      <c r="AM32" s="18"/>
      <c r="AN32" s="18"/>
      <c r="AO32" s="18"/>
      <c r="AP32" s="18"/>
      <c r="AQ32" s="18"/>
      <c r="AR32" s="67"/>
      <c r="AS32" s="18"/>
      <c r="AT32" s="18"/>
      <c r="AU32" s="18"/>
      <c r="AV32" s="18"/>
      <c r="AW32" s="18"/>
      <c r="AX32" s="67"/>
      <c r="AY32" s="18"/>
      <c r="AZ32" s="18"/>
      <c r="BA32" s="18"/>
      <c r="BB32" s="18"/>
      <c r="BC32" s="18"/>
      <c r="BD32" s="67"/>
      <c r="BE32" s="18"/>
    </row>
    <row r="33" spans="1:162" ht="14.45" customHeight="1" x14ac:dyDescent="0.25">
      <c r="A33" s="18"/>
      <c r="B33" s="67"/>
      <c r="C33" s="18"/>
      <c r="D33" s="69">
        <f>INDEX(KanbanPrep!$A$5:$S$189,VLOOKUP(ROW(),RowLookupTbl,2,FALSE),SMALL({1,3,5,7,9,11,13,15,17,19},MATCH(D$6,StatusOptions,0)))</f>
        <v>0</v>
      </c>
      <c r="E33" s="69"/>
      <c r="F33" s="70" t="str">
        <f>IFERROR(IF(BM33="Low",2,IF(BM33="Medium",1,0)),"")</f>
        <v/>
      </c>
      <c r="G33" s="18"/>
      <c r="H33" s="67"/>
      <c r="I33" s="18"/>
      <c r="J33" s="69">
        <f>INDEX(KanbanPrep!$A$5:$S$189,VLOOKUP(ROW(),RowLookupTbl,2,FALSE),SMALL({1,3,5,7,9,11,13,15,17,19},MATCH(J$6,StatusOptions,0)))</f>
        <v>0</v>
      </c>
      <c r="K33" s="69"/>
      <c r="L33" s="70" t="str">
        <f>IFERROR(IF(BY33="Low",2,IF(BY33="Medium",1,0)),"")</f>
        <v/>
      </c>
      <c r="M33" s="18"/>
      <c r="N33" s="67"/>
      <c r="O33" s="18"/>
      <c r="P33" s="69">
        <f>INDEX(KanbanPrep!$A$5:$S$189,VLOOKUP(ROW(),RowLookupTbl,2,FALSE),SMALL({1,3,5,7,9,11,13,15,17,19},MATCH(P$6,StatusOptions,0)))</f>
        <v>0</v>
      </c>
      <c r="Q33" s="69"/>
      <c r="R33" s="70" t="str">
        <f>IFERROR(IF(CK33="Low",2,IF(CK33="Medium",1,0)),"")</f>
        <v/>
      </c>
      <c r="S33" s="18"/>
      <c r="T33" s="67"/>
      <c r="U33" s="18"/>
      <c r="V33" s="69">
        <f>INDEX(KanbanPrep!$A$5:$S$189,VLOOKUP(ROW(),RowLookupTbl,2,FALSE),SMALL({1,3,5,7,9,11,13,15,17,19},MATCH(V$6,StatusOptions,0)))</f>
        <v>0</v>
      </c>
      <c r="W33" s="69"/>
      <c r="X33" s="70" t="str">
        <f>IFERROR(IF(CW33="Low",2,IF(CW33="Medium",1,0)),"")</f>
        <v/>
      </c>
      <c r="Y33" s="18"/>
      <c r="Z33" s="67"/>
      <c r="AA33" s="18"/>
      <c r="AB33" s="69">
        <f>INDEX(KanbanPrep!$A$5:$S$189,VLOOKUP(ROW(),RowLookupTbl,2,FALSE),SMALL({1,3,5,7,9,11,13,15,17,19},MATCH(AB$6,StatusOptions,0)))</f>
        <v>0</v>
      </c>
      <c r="AC33" s="69"/>
      <c r="AD33" s="70" t="str">
        <f>IFERROR(IF(DI33="Low",2,IF(DI33="Medium",1,0)),"")</f>
        <v/>
      </c>
      <c r="AE33" s="18"/>
      <c r="AF33" s="67"/>
      <c r="AG33" s="18"/>
      <c r="AH33" s="69">
        <f>INDEX(KanbanPrep!$A$5:$S$189,VLOOKUP(ROW(),RowLookupTbl,2,FALSE),SMALL({1,3,5,7,9,11,13,15,17,19},MATCH(AH$6,StatusOptions,0)))</f>
        <v>0</v>
      </c>
      <c r="AI33" s="69"/>
      <c r="AJ33" s="70" t="str">
        <f>IFERROR(IF(DU33="Low",2,IF(DU33="Medium",1,0)),"")</f>
        <v/>
      </c>
      <c r="AK33" s="18"/>
      <c r="AL33" s="67"/>
      <c r="AM33" s="18"/>
      <c r="AN33" s="69">
        <f>INDEX(KanbanPrep!$A$5:$S$189,VLOOKUP(ROW(),RowLookupTbl,2,FALSE),SMALL({1,3,5,7,9,11,13,15,17,19},MATCH(AN$6,StatusOptions,0)))</f>
        <v>0</v>
      </c>
      <c r="AO33" s="69"/>
      <c r="AP33" s="70" t="str">
        <f>IFERROR(IF(EG33="Low",2,IF(EG33="Medium",1,0)),"")</f>
        <v/>
      </c>
      <c r="AQ33" s="18"/>
      <c r="AR33" s="67"/>
      <c r="AS33" s="18"/>
      <c r="AT33" s="69">
        <f>INDEX(KanbanPrep!$A$5:$S$189,VLOOKUP(ROW(),RowLookupTbl,2,FALSE),SMALL({1,3,5,7,9,11,13,15,17,19},MATCH(AT$6,StatusOptions,0)))</f>
        <v>0</v>
      </c>
      <c r="AU33" s="69"/>
      <c r="AV33" s="70" t="str">
        <f>IFERROR(IF(ES33="Low",2,IF(ES33="Medium",1,0)),"")</f>
        <v/>
      </c>
      <c r="AW33" s="18"/>
      <c r="AX33" s="67"/>
      <c r="AY33" s="18"/>
      <c r="AZ33" s="69">
        <f>INDEX(KanbanPrep!$A$5:$S$189,VLOOKUP(ROW(),RowLookupTbl,2,FALSE),SMALL({1,3,5,7,9,11,13,15,17,19},MATCH(AZ$6,StatusOptions,0)))</f>
        <v>0</v>
      </c>
      <c r="BA33" s="69"/>
      <c r="BB33" s="70" t="str">
        <f>IFERROR(IF(FE33="Low",2,IF(FE33="Medium",1,0)),"")</f>
        <v/>
      </c>
      <c r="BC33" s="18"/>
      <c r="BD33" s="67"/>
      <c r="BE33" s="18"/>
      <c r="BL33" s="13" t="s">
        <v>60</v>
      </c>
      <c r="BM33" s="13" t="e">
        <f>INDEX(InputTbl[],MATCH(D33,InputTbl[Task Name],0),MATCH("Priority",InputTbl[#Headers],0))</f>
        <v>#N/A</v>
      </c>
      <c r="BN33" s="73"/>
      <c r="BX33" s="13" t="s">
        <v>60</v>
      </c>
      <c r="BY33" s="13" t="e">
        <f>INDEX(InputTbl[],MATCH(J33,InputTbl[Task Name],0),MATCH("Priority",InputTbl[#Headers],0))</f>
        <v>#N/A</v>
      </c>
      <c r="BZ33" s="73"/>
      <c r="CJ33" s="13" t="s">
        <v>60</v>
      </c>
      <c r="CK33" s="13" t="e">
        <f>INDEX(InputTbl[],MATCH(P33,InputTbl[Task Name],0),MATCH("Priority",InputTbl[#Headers],0))</f>
        <v>#N/A</v>
      </c>
      <c r="CL33" s="73"/>
      <c r="CV33" s="13" t="s">
        <v>60</v>
      </c>
      <c r="CW33" s="13" t="e">
        <f>INDEX(InputTbl[],MATCH(V33,InputTbl[Task Name],0),MATCH("Priority",InputTbl[#Headers],0))</f>
        <v>#N/A</v>
      </c>
      <c r="CX33" s="73"/>
      <c r="DH33" s="13" t="s">
        <v>60</v>
      </c>
      <c r="DI33" s="13" t="e">
        <f>INDEX(InputTbl[],MATCH(AB33,InputTbl[Task Name],0),MATCH("Priority",InputTbl[#Headers],0))</f>
        <v>#N/A</v>
      </c>
      <c r="DJ33" s="73"/>
      <c r="DT33" s="13" t="s">
        <v>60</v>
      </c>
      <c r="DU33" s="13" t="e">
        <f>INDEX(InputTbl[],MATCH(AH33,InputTbl[Task Name],0),MATCH("Priority",InputTbl[#Headers],0))</f>
        <v>#N/A</v>
      </c>
      <c r="DV33" s="73"/>
      <c r="EF33" s="13" t="s">
        <v>60</v>
      </c>
      <c r="EG33" s="13" t="e">
        <f>INDEX(InputTbl[],MATCH(AN33,InputTbl[Task Name],0),MATCH("Priority",InputTbl[#Headers],0))</f>
        <v>#N/A</v>
      </c>
      <c r="EH33" s="73"/>
      <c r="ER33" s="13" t="s">
        <v>60</v>
      </c>
      <c r="ES33" s="13" t="e">
        <f>INDEX(InputTbl[],MATCH(AT33,InputTbl[Task Name],0),MATCH("Priority",InputTbl[#Headers],0))</f>
        <v>#N/A</v>
      </c>
      <c r="ET33" s="73"/>
      <c r="FD33" s="13" t="s">
        <v>60</v>
      </c>
      <c r="FE33" s="13" t="e">
        <f>INDEX(InputTbl[],MATCH(AZ33,InputTbl[Task Name],0),MATCH("Priority",InputTbl[#Headers],0))</f>
        <v>#N/A</v>
      </c>
      <c r="FF33" s="73"/>
    </row>
    <row r="34" spans="1:162" x14ac:dyDescent="0.25">
      <c r="A34" s="18"/>
      <c r="B34" s="67"/>
      <c r="C34" s="18"/>
      <c r="D34" s="69"/>
      <c r="E34" s="69"/>
      <c r="F34" s="70"/>
      <c r="G34" s="18"/>
      <c r="H34" s="67"/>
      <c r="I34" s="18"/>
      <c r="J34" s="69"/>
      <c r="K34" s="69"/>
      <c r="L34" s="70"/>
      <c r="M34" s="18"/>
      <c r="N34" s="67"/>
      <c r="O34" s="18"/>
      <c r="P34" s="69"/>
      <c r="Q34" s="69"/>
      <c r="R34" s="70"/>
      <c r="S34" s="18"/>
      <c r="T34" s="67"/>
      <c r="U34" s="18"/>
      <c r="V34" s="69"/>
      <c r="W34" s="69"/>
      <c r="X34" s="70"/>
      <c r="Y34" s="18"/>
      <c r="Z34" s="67"/>
      <c r="AA34" s="18"/>
      <c r="AB34" s="69"/>
      <c r="AC34" s="69"/>
      <c r="AD34" s="70"/>
      <c r="AE34" s="18"/>
      <c r="AF34" s="67"/>
      <c r="AG34" s="18"/>
      <c r="AH34" s="69"/>
      <c r="AI34" s="69"/>
      <c r="AJ34" s="70"/>
      <c r="AK34" s="18"/>
      <c r="AL34" s="67"/>
      <c r="AM34" s="18"/>
      <c r="AN34" s="69"/>
      <c r="AO34" s="69"/>
      <c r="AP34" s="70"/>
      <c r="AQ34" s="18"/>
      <c r="AR34" s="67"/>
      <c r="AS34" s="18"/>
      <c r="AT34" s="69"/>
      <c r="AU34" s="69"/>
      <c r="AV34" s="70"/>
      <c r="AW34" s="18"/>
      <c r="AX34" s="67"/>
      <c r="AY34" s="18"/>
      <c r="AZ34" s="69"/>
      <c r="BA34" s="69"/>
      <c r="BB34" s="70"/>
      <c r="BC34" s="18"/>
      <c r="BD34" s="67"/>
      <c r="BE34" s="18"/>
      <c r="BL34" s="13" t="s">
        <v>72</v>
      </c>
      <c r="BM34" s="13" t="str">
        <f ca="1">INDEX(DataTbl[],MATCH(D33,DataTbl[Task Name],0),MATCH("Overdue",DataTbl[#Headers],0))</f>
        <v>No</v>
      </c>
      <c r="BN34" s="73"/>
      <c r="BX34" s="13" t="s">
        <v>72</v>
      </c>
      <c r="BY34" s="13" t="str">
        <f ca="1">INDEX(DataTbl[],MATCH(J33,DataTbl[Task Name],0),MATCH("Overdue",DataTbl[#Headers],0))</f>
        <v>No</v>
      </c>
      <c r="BZ34" s="73"/>
      <c r="CJ34" s="13" t="s">
        <v>72</v>
      </c>
      <c r="CK34" s="13" t="str">
        <f ca="1">INDEX(DataTbl[],MATCH(P33,DataTbl[Task Name],0),MATCH("Overdue",DataTbl[#Headers],0))</f>
        <v>No</v>
      </c>
      <c r="CL34" s="73"/>
      <c r="CV34" s="13" t="s">
        <v>72</v>
      </c>
      <c r="CW34" s="13" t="str">
        <f ca="1">INDEX(DataTbl[],MATCH(V33,DataTbl[Task Name],0),MATCH("Overdue",DataTbl[#Headers],0))</f>
        <v>No</v>
      </c>
      <c r="CX34" s="73"/>
      <c r="DH34" s="13" t="s">
        <v>72</v>
      </c>
      <c r="DI34" s="13" t="str">
        <f ca="1">INDEX(DataTbl[],MATCH(AB33,DataTbl[Task Name],0),MATCH("Overdue",DataTbl[#Headers],0))</f>
        <v>No</v>
      </c>
      <c r="DJ34" s="73"/>
      <c r="DT34" s="13" t="s">
        <v>72</v>
      </c>
      <c r="DU34" s="13" t="str">
        <f ca="1">INDEX(DataTbl[],MATCH(AH33,DataTbl[Task Name],0),MATCH("Overdue",DataTbl[#Headers],0))</f>
        <v>No</v>
      </c>
      <c r="DV34" s="73"/>
      <c r="EF34" s="13" t="s">
        <v>72</v>
      </c>
      <c r="EG34" s="13" t="str">
        <f ca="1">INDEX(DataTbl[],MATCH(AN33,DataTbl[Task Name],0),MATCH("Overdue",DataTbl[#Headers],0))</f>
        <v>No</v>
      </c>
      <c r="EH34" s="73"/>
      <c r="ER34" s="13" t="s">
        <v>72</v>
      </c>
      <c r="ES34" s="13" t="str">
        <f ca="1">INDEX(DataTbl[],MATCH(AT33,DataTbl[Task Name],0),MATCH("Overdue",DataTbl[#Headers],0))</f>
        <v>No</v>
      </c>
      <c r="ET34" s="73"/>
      <c r="FD34" s="13" t="s">
        <v>72</v>
      </c>
      <c r="FE34" s="13" t="str">
        <f ca="1">INDEX(DataTbl[],MATCH(AZ33,DataTbl[Task Name],0),MATCH("Overdue",DataTbl[#Headers],0))</f>
        <v>No</v>
      </c>
      <c r="FF34" s="73"/>
    </row>
    <row r="35" spans="1:162" x14ac:dyDescent="0.25">
      <c r="A35" s="18"/>
      <c r="B35" s="67"/>
      <c r="C35" s="18"/>
      <c r="D35" s="20" t="str">
        <f>IF(D33=0,""," "&amp;"Assigned To"&amp;": ")</f>
        <v/>
      </c>
      <c r="E35" s="71" t="str">
        <f>IFERROR(INDEX(InputTbl[],MATCH(D33,InputTbl[Task Name],0),MATCH("Assigned To",InputTbl[#Headers],0)),"")</f>
        <v/>
      </c>
      <c r="F35" s="71"/>
      <c r="G35" s="18"/>
      <c r="H35" s="67"/>
      <c r="I35" s="18"/>
      <c r="J35" s="20" t="str">
        <f>IF(J33=0,""," "&amp;"Assigned To"&amp;": ")</f>
        <v/>
      </c>
      <c r="K35" s="71" t="str">
        <f>IFERROR(INDEX(InputTbl[],MATCH(J33,InputTbl[Task Name],0),MATCH("Assigned To",InputTbl[#Headers],0)),"")</f>
        <v/>
      </c>
      <c r="L35" s="71"/>
      <c r="M35" s="18"/>
      <c r="N35" s="67"/>
      <c r="O35" s="18"/>
      <c r="P35" s="20" t="str">
        <f>IF(P33=0,""," "&amp;"Assigned To"&amp;": ")</f>
        <v/>
      </c>
      <c r="Q35" s="71" t="str">
        <f>IFERROR(INDEX(InputTbl[],MATCH(P33,InputTbl[Task Name],0),MATCH("Assigned To",InputTbl[#Headers],0)),"")</f>
        <v/>
      </c>
      <c r="R35" s="71"/>
      <c r="S35" s="18"/>
      <c r="T35" s="67"/>
      <c r="U35" s="18"/>
      <c r="V35" s="20" t="str">
        <f>IF(V33=0,""," "&amp;"Assigned To"&amp;": ")</f>
        <v/>
      </c>
      <c r="W35" s="71" t="str">
        <f>IFERROR(INDEX(InputTbl[],MATCH(V33,InputTbl[Task Name],0),MATCH("Assigned To",InputTbl[#Headers],0)),"")</f>
        <v/>
      </c>
      <c r="X35" s="71"/>
      <c r="Y35" s="18"/>
      <c r="Z35" s="67"/>
      <c r="AA35" s="18"/>
      <c r="AB35" s="20" t="str">
        <f>IF(AB33=0,""," "&amp;"Assigned To"&amp;": ")</f>
        <v/>
      </c>
      <c r="AC35" s="71" t="str">
        <f>IFERROR(INDEX(InputTbl[],MATCH(AB33,InputTbl[Task Name],0),MATCH("Assigned To",InputTbl[#Headers],0)),"")</f>
        <v/>
      </c>
      <c r="AD35" s="71"/>
      <c r="AE35" s="18"/>
      <c r="AF35" s="67"/>
      <c r="AG35" s="18"/>
      <c r="AH35" s="20" t="str">
        <f>IF(AH33=0,""," "&amp;"Assigned To"&amp;": ")</f>
        <v/>
      </c>
      <c r="AI35" s="71" t="str">
        <f>IFERROR(INDEX(InputTbl[],MATCH(AH33,InputTbl[Task Name],0),MATCH("Assigned To",InputTbl[#Headers],0)),"")</f>
        <v/>
      </c>
      <c r="AJ35" s="71"/>
      <c r="AK35" s="18"/>
      <c r="AL35" s="67"/>
      <c r="AM35" s="18"/>
      <c r="AN35" s="20" t="str">
        <f>IF(AN33=0,""," "&amp;"Assigned To"&amp;": ")</f>
        <v/>
      </c>
      <c r="AO35" s="71" t="str">
        <f>IFERROR(INDEX(InputTbl[],MATCH(AN33,InputTbl[Task Name],0),MATCH("Assigned To",InputTbl[#Headers],0)),"")</f>
        <v/>
      </c>
      <c r="AP35" s="71"/>
      <c r="AQ35" s="18"/>
      <c r="AR35" s="67"/>
      <c r="AS35" s="18"/>
      <c r="AT35" s="20" t="str">
        <f>IF(AT33=0,""," "&amp;"Assigned To"&amp;": ")</f>
        <v/>
      </c>
      <c r="AU35" s="71" t="str">
        <f>IFERROR(INDEX(InputTbl[],MATCH(AT33,InputTbl[Task Name],0),MATCH("Assigned To",InputTbl[#Headers],0)),"")</f>
        <v/>
      </c>
      <c r="AV35" s="71"/>
      <c r="AW35" s="18"/>
      <c r="AX35" s="67"/>
      <c r="AY35" s="18"/>
      <c r="AZ35" s="20" t="str">
        <f>IF(AZ33=0,""," "&amp;"Assigned To"&amp;": ")</f>
        <v/>
      </c>
      <c r="BA35" s="71" t="str">
        <f>IFERROR(INDEX(InputTbl[],MATCH(AZ33,InputTbl[Task Name],0),MATCH("Assigned To",InputTbl[#Headers],0)),"")</f>
        <v/>
      </c>
      <c r="BB35" s="71"/>
      <c r="BC35" s="18"/>
      <c r="BD35" s="67"/>
      <c r="BE35" s="18"/>
      <c r="BL35" s="7"/>
      <c r="BM35" s="75"/>
      <c r="BN35" s="75"/>
      <c r="BX35" s="7"/>
      <c r="BY35" s="75"/>
      <c r="BZ35" s="75"/>
      <c r="CJ35" s="7"/>
      <c r="CK35" s="75"/>
      <c r="CL35" s="75"/>
      <c r="CV35" s="7"/>
      <c r="CW35" s="75"/>
      <c r="CX35" s="75"/>
      <c r="DH35" s="7"/>
      <c r="DI35" s="75"/>
      <c r="DJ35" s="75"/>
      <c r="DT35" s="7"/>
      <c r="DU35" s="75"/>
      <c r="DV35" s="75"/>
      <c r="EF35" s="7"/>
      <c r="EG35" s="75"/>
      <c r="EH35" s="75"/>
      <c r="ER35" s="7"/>
      <c r="ES35" s="75"/>
      <c r="ET35" s="75"/>
      <c r="FD35" s="7"/>
      <c r="FE35" s="75"/>
      <c r="FF35" s="75"/>
    </row>
    <row r="36" spans="1:162" x14ac:dyDescent="0.25">
      <c r="A36" s="18"/>
      <c r="B36" s="67"/>
      <c r="C36" s="18"/>
      <c r="D36" s="21" t="str">
        <f>IF(D33=0,""," "&amp;"Date Due"&amp;": ")</f>
        <v/>
      </c>
      <c r="E36" s="72" t="str">
        <f ca="1">IFERROR(IF(BM34="Yes",_xlfn.CONCAT("⚠"," ",TEXT(INDEX(InputTbl[],MATCH(D33,InputTbl[Task Name],0),MATCH("Due Date",InputTbl[#Headers],0)),"mm/dd/yyyy")," ","⚠"),INDEX(InputTbl[],MATCH(D33,InputTbl[Task Name],0),MATCH("Due Date",InputTbl[#Headers],0))),"")</f>
        <v/>
      </c>
      <c r="F36" s="72"/>
      <c r="G36" s="18"/>
      <c r="H36" s="67"/>
      <c r="I36" s="18"/>
      <c r="J36" s="21" t="str">
        <f>IF(J33=0,""," "&amp;"Date Due"&amp;": ")</f>
        <v/>
      </c>
      <c r="K36" s="72" t="str">
        <f ca="1">IFERROR(IF(BY34="Yes",_xlfn.CONCAT("⚠"," ",TEXT(INDEX(InputTbl[],MATCH(J33,InputTbl[Task Name],0),MATCH("Due Date",InputTbl[#Headers],0)),"mm/dd/yyyy")," ","⚠"),INDEX(InputTbl[],MATCH(J33,InputTbl[Task Name],0),MATCH("Due Date",InputTbl[#Headers],0))),"")</f>
        <v/>
      </c>
      <c r="L36" s="72"/>
      <c r="M36" s="18"/>
      <c r="N36" s="67"/>
      <c r="O36" s="18"/>
      <c r="P36" s="21" t="str">
        <f>IF(P33=0,""," "&amp;"Date Due"&amp;": ")</f>
        <v/>
      </c>
      <c r="Q36" s="72" t="str">
        <f ca="1">IFERROR(IF(CK34="Yes",_xlfn.CONCAT("⚠"," ",TEXT(INDEX(InputTbl[],MATCH(P33,InputTbl[Task Name],0),MATCH("Due Date",InputTbl[#Headers],0)),"mm/dd/yyyy")," ","⚠"),INDEX(InputTbl[],MATCH(P33,InputTbl[Task Name],0),MATCH("Due Date",InputTbl[#Headers],0))),"")</f>
        <v/>
      </c>
      <c r="R36" s="72"/>
      <c r="S36" s="18"/>
      <c r="T36" s="67"/>
      <c r="U36" s="18"/>
      <c r="V36" s="21" t="str">
        <f>IF(V33=0,""," "&amp;"Date Due"&amp;": ")</f>
        <v/>
      </c>
      <c r="W36" s="72" t="str">
        <f ca="1">IFERROR(IF(CW34="Yes",_xlfn.CONCAT("⚠"," ",TEXT(INDEX(InputTbl[],MATCH(V33,InputTbl[Task Name],0),MATCH("Due Date",InputTbl[#Headers],0)),"mm/dd/yyyy")," ","⚠"),INDEX(InputTbl[],MATCH(V33,InputTbl[Task Name],0),MATCH("Due Date",InputTbl[#Headers],0))),"")</f>
        <v/>
      </c>
      <c r="X36" s="72"/>
      <c r="Y36" s="18"/>
      <c r="Z36" s="67"/>
      <c r="AA36" s="18"/>
      <c r="AB36" s="21" t="str">
        <f>IF(AB33=0,""," "&amp;"Date Due"&amp;": ")</f>
        <v/>
      </c>
      <c r="AC36" s="72" t="str">
        <f ca="1">IFERROR(IF(DI34="Yes",_xlfn.CONCAT("⚠"," ",TEXT(INDEX(InputTbl[],MATCH(AB33,InputTbl[Task Name],0),MATCH("Due Date",InputTbl[#Headers],0)),"mm/dd/yyyy")," ","⚠"),INDEX(InputTbl[],MATCH(AB33,InputTbl[Task Name],0),MATCH("Due Date",InputTbl[#Headers],0))),"")</f>
        <v/>
      </c>
      <c r="AD36" s="72"/>
      <c r="AE36" s="18"/>
      <c r="AF36" s="67"/>
      <c r="AG36" s="18"/>
      <c r="AH36" s="21" t="str">
        <f>IF(AH33=0,""," "&amp;"Date Due"&amp;": ")</f>
        <v/>
      </c>
      <c r="AI36" s="72" t="str">
        <f ca="1">IFERROR(IF(DU34="Yes",_xlfn.CONCAT("⚠"," ",TEXT(INDEX(InputTbl[],MATCH(AH33,InputTbl[Task Name],0),MATCH("Due Date",InputTbl[#Headers],0)),"mm/dd/yyyy")," ","⚠"),INDEX(InputTbl[],MATCH(AH33,InputTbl[Task Name],0),MATCH("Due Date",InputTbl[#Headers],0))),"")</f>
        <v/>
      </c>
      <c r="AJ36" s="72"/>
      <c r="AK36" s="18"/>
      <c r="AL36" s="67"/>
      <c r="AM36" s="18"/>
      <c r="AN36" s="21" t="str">
        <f>IF(AN33=0,""," "&amp;"Date Due"&amp;": ")</f>
        <v/>
      </c>
      <c r="AO36" s="72" t="str">
        <f ca="1">IFERROR(IF(EG34="Yes",_xlfn.CONCAT("⚠"," ",TEXT(INDEX(InputTbl[],MATCH(AN33,InputTbl[Task Name],0),MATCH("Due Date",InputTbl[#Headers],0)),"mm/dd/yyyy")," ","⚠"),INDEX(InputTbl[],MATCH(AN33,InputTbl[Task Name],0),MATCH("Due Date",InputTbl[#Headers],0))),"")</f>
        <v/>
      </c>
      <c r="AP36" s="72"/>
      <c r="AQ36" s="18"/>
      <c r="AR36" s="67"/>
      <c r="AS36" s="18"/>
      <c r="AT36" s="21" t="str">
        <f>IF(AT33=0,""," "&amp;"Date Due"&amp;": ")</f>
        <v/>
      </c>
      <c r="AU36" s="72" t="str">
        <f ca="1">IFERROR(IF(ES34="Yes",_xlfn.CONCAT("⚠"," ",TEXT(INDEX(InputTbl[],MATCH(AT33,InputTbl[Task Name],0),MATCH("Due Date",InputTbl[#Headers],0)),"mm/dd/yyyy")," ","⚠"),INDEX(InputTbl[],MATCH(AT33,InputTbl[Task Name],0),MATCH("Due Date",InputTbl[#Headers],0))),"")</f>
        <v/>
      </c>
      <c r="AV36" s="72"/>
      <c r="AW36" s="18"/>
      <c r="AX36" s="67"/>
      <c r="AY36" s="18"/>
      <c r="AZ36" s="21" t="str">
        <f>IF(AZ33=0,""," "&amp;"Date Due"&amp;": ")</f>
        <v/>
      </c>
      <c r="BA36" s="72" t="str">
        <f ca="1">IFERROR(IF(FE34="Yes",_xlfn.CONCAT("⚠"," ",TEXT(INDEX(InputTbl[],MATCH(AZ33,InputTbl[Task Name],0),MATCH("Due Date",InputTbl[#Headers],0)),"mm/dd/yyyy")," ","⚠"),INDEX(InputTbl[],MATCH(AZ33,InputTbl[Task Name],0),MATCH("Due Date",InputTbl[#Headers],0))),"")</f>
        <v/>
      </c>
      <c r="BB36" s="72"/>
      <c r="BC36" s="18"/>
      <c r="BD36" s="67"/>
      <c r="BE36" s="18"/>
      <c r="BL36" s="8"/>
      <c r="BM36" s="74"/>
      <c r="BN36" s="74"/>
      <c r="BX36" s="8"/>
      <c r="BY36" s="74"/>
      <c r="BZ36" s="74"/>
      <c r="CJ36" s="8"/>
      <c r="CK36" s="74"/>
      <c r="CL36" s="74"/>
      <c r="CV36" s="8"/>
      <c r="CW36" s="74"/>
      <c r="CX36" s="74"/>
      <c r="DH36" s="8"/>
      <c r="DI36" s="74"/>
      <c r="DJ36" s="74"/>
      <c r="DT36" s="8"/>
      <c r="DU36" s="74"/>
      <c r="DV36" s="74"/>
      <c r="EF36" s="8"/>
      <c r="EG36" s="74"/>
      <c r="EH36" s="74"/>
      <c r="ER36" s="8"/>
      <c r="ES36" s="74"/>
      <c r="ET36" s="74"/>
      <c r="FD36" s="8"/>
      <c r="FE36" s="74"/>
      <c r="FF36" s="74"/>
    </row>
    <row r="37" spans="1:162" ht="15" customHeight="1" x14ac:dyDescent="0.25">
      <c r="A37" s="18"/>
      <c r="B37" s="67"/>
      <c r="C37" s="18"/>
      <c r="D37" s="18"/>
      <c r="E37" s="18"/>
      <c r="F37" s="18"/>
      <c r="G37" s="18"/>
      <c r="H37" s="67"/>
      <c r="I37" s="18"/>
      <c r="J37" s="18"/>
      <c r="K37" s="18"/>
      <c r="L37" s="18"/>
      <c r="M37" s="18"/>
      <c r="N37" s="67"/>
      <c r="O37" s="18"/>
      <c r="P37" s="18"/>
      <c r="Q37" s="18"/>
      <c r="R37" s="18"/>
      <c r="S37" s="18"/>
      <c r="T37" s="67"/>
      <c r="U37" s="18"/>
      <c r="V37" s="18"/>
      <c r="W37" s="18"/>
      <c r="X37" s="18"/>
      <c r="Y37" s="18"/>
      <c r="Z37" s="67"/>
      <c r="AA37" s="18"/>
      <c r="AB37" s="18"/>
      <c r="AC37" s="18"/>
      <c r="AD37" s="18"/>
      <c r="AE37" s="18"/>
      <c r="AF37" s="67"/>
      <c r="AG37" s="18"/>
      <c r="AH37" s="18"/>
      <c r="AI37" s="18"/>
      <c r="AJ37" s="18"/>
      <c r="AK37" s="18"/>
      <c r="AL37" s="67"/>
      <c r="AM37" s="18"/>
      <c r="AN37" s="18"/>
      <c r="AO37" s="18"/>
      <c r="AP37" s="18"/>
      <c r="AQ37" s="18"/>
      <c r="AR37" s="67"/>
      <c r="AS37" s="18"/>
      <c r="AT37" s="18"/>
      <c r="AU37" s="18"/>
      <c r="AV37" s="18"/>
      <c r="AW37" s="18"/>
      <c r="AX37" s="67"/>
      <c r="AY37" s="18"/>
      <c r="AZ37" s="18"/>
      <c r="BA37" s="18"/>
      <c r="BB37" s="18"/>
      <c r="BC37" s="18"/>
      <c r="BD37" s="67"/>
      <c r="BE37" s="18"/>
    </row>
    <row r="38" spans="1:162" x14ac:dyDescent="0.25">
      <c r="A38" s="18"/>
      <c r="B38" s="67"/>
      <c r="C38" s="18"/>
      <c r="D38" s="69">
        <f>INDEX(KanbanPrep!$A$5:$S$189,VLOOKUP(ROW(),RowLookupTbl,2,FALSE),SMALL({1,3,5,7,9,11,13,15,17,19},MATCH(D$6,StatusOptions,0)))</f>
        <v>0</v>
      </c>
      <c r="E38" s="69"/>
      <c r="F38" s="70" t="str">
        <f>IFERROR(IF(BM38="Low",2,IF(BM38="Medium",1,0)),"")</f>
        <v/>
      </c>
      <c r="G38" s="18"/>
      <c r="H38" s="67"/>
      <c r="I38" s="18"/>
      <c r="J38" s="69">
        <f>INDEX(KanbanPrep!$A$5:$S$189,VLOOKUP(ROW(),RowLookupTbl,2,FALSE),SMALL({1,3,5,7,9,11,13,15,17,19},MATCH(J$6,StatusOptions,0)))</f>
        <v>0</v>
      </c>
      <c r="K38" s="69"/>
      <c r="L38" s="70" t="str">
        <f>IFERROR(IF(BY38="Low",2,IF(BY38="Medium",1,0)),"")</f>
        <v/>
      </c>
      <c r="M38" s="18"/>
      <c r="N38" s="67"/>
      <c r="O38" s="18"/>
      <c r="P38" s="69">
        <f>INDEX(KanbanPrep!$A$5:$S$189,VLOOKUP(ROW(),RowLookupTbl,2,FALSE),SMALL({1,3,5,7,9,11,13,15,17,19},MATCH(P$6,StatusOptions,0)))</f>
        <v>0</v>
      </c>
      <c r="Q38" s="69"/>
      <c r="R38" s="70" t="str">
        <f>IFERROR(IF(CK38="Low",2,IF(CK38="Medium",1,0)),"")</f>
        <v/>
      </c>
      <c r="S38" s="18"/>
      <c r="T38" s="67"/>
      <c r="U38" s="18"/>
      <c r="V38" s="69">
        <f>INDEX(KanbanPrep!$A$5:$S$189,VLOOKUP(ROW(),RowLookupTbl,2,FALSE),SMALL({1,3,5,7,9,11,13,15,17,19},MATCH(V$6,StatusOptions,0)))</f>
        <v>0</v>
      </c>
      <c r="W38" s="69"/>
      <c r="X38" s="70" t="str">
        <f>IFERROR(IF(CW38="Low",2,IF(CW38="Medium",1,0)),"")</f>
        <v/>
      </c>
      <c r="Y38" s="18"/>
      <c r="Z38" s="67"/>
      <c r="AA38" s="18"/>
      <c r="AB38" s="69">
        <f>INDEX(KanbanPrep!$A$5:$S$189,VLOOKUP(ROW(),RowLookupTbl,2,FALSE),SMALL({1,3,5,7,9,11,13,15,17,19},MATCH(AB$6,StatusOptions,0)))</f>
        <v>0</v>
      </c>
      <c r="AC38" s="69"/>
      <c r="AD38" s="70" t="str">
        <f>IFERROR(IF(DI38="Low",2,IF(DI38="Medium",1,0)),"")</f>
        <v/>
      </c>
      <c r="AE38" s="18"/>
      <c r="AF38" s="67"/>
      <c r="AG38" s="18"/>
      <c r="AH38" s="69">
        <f>INDEX(KanbanPrep!$A$5:$S$189,VLOOKUP(ROW(),RowLookupTbl,2,FALSE),SMALL({1,3,5,7,9,11,13,15,17,19},MATCH(AH$6,StatusOptions,0)))</f>
        <v>0</v>
      </c>
      <c r="AI38" s="69"/>
      <c r="AJ38" s="70" t="str">
        <f>IFERROR(IF(DU38="Low",2,IF(DU38="Medium",1,0)),"")</f>
        <v/>
      </c>
      <c r="AK38" s="18"/>
      <c r="AL38" s="67"/>
      <c r="AM38" s="18"/>
      <c r="AN38" s="69">
        <f>INDEX(KanbanPrep!$A$5:$S$189,VLOOKUP(ROW(),RowLookupTbl,2,FALSE),SMALL({1,3,5,7,9,11,13,15,17,19},MATCH(AN$6,StatusOptions,0)))</f>
        <v>0</v>
      </c>
      <c r="AO38" s="69"/>
      <c r="AP38" s="70" t="str">
        <f>IFERROR(IF(EG38="Low",2,IF(EG38="Medium",1,0)),"")</f>
        <v/>
      </c>
      <c r="AQ38" s="18"/>
      <c r="AR38" s="67"/>
      <c r="AS38" s="18"/>
      <c r="AT38" s="69">
        <f>INDEX(KanbanPrep!$A$5:$S$189,VLOOKUP(ROW(),RowLookupTbl,2,FALSE),SMALL({1,3,5,7,9,11,13,15,17,19},MATCH(AT$6,StatusOptions,0)))</f>
        <v>0</v>
      </c>
      <c r="AU38" s="69"/>
      <c r="AV38" s="70" t="str">
        <f>IFERROR(IF(ES38="Low",2,IF(ES38="Medium",1,0)),"")</f>
        <v/>
      </c>
      <c r="AW38" s="18"/>
      <c r="AX38" s="67"/>
      <c r="AY38" s="18"/>
      <c r="AZ38" s="69">
        <f>INDEX(KanbanPrep!$A$5:$S$189,VLOOKUP(ROW(),RowLookupTbl,2,FALSE),SMALL({1,3,5,7,9,11,13,15,17,19},MATCH(AZ$6,StatusOptions,0)))</f>
        <v>0</v>
      </c>
      <c r="BA38" s="69"/>
      <c r="BB38" s="70" t="str">
        <f>IFERROR(IF(FE38="Low",2,IF(FE38="Medium",1,0)),"")</f>
        <v/>
      </c>
      <c r="BC38" s="18"/>
      <c r="BD38" s="67"/>
      <c r="BE38" s="18"/>
      <c r="BL38" s="13" t="s">
        <v>60</v>
      </c>
      <c r="BM38" s="13" t="e">
        <f>INDEX(InputTbl[],MATCH(D38,InputTbl[Task Name],0),MATCH("Priority",InputTbl[#Headers],0))</f>
        <v>#N/A</v>
      </c>
      <c r="BN38" s="73"/>
      <c r="BX38" s="13" t="s">
        <v>60</v>
      </c>
      <c r="BY38" s="13" t="e">
        <f>INDEX(InputTbl[],MATCH(J38,InputTbl[Task Name],0),MATCH("Priority",InputTbl[#Headers],0))</f>
        <v>#N/A</v>
      </c>
      <c r="BZ38" s="73"/>
      <c r="CJ38" s="13" t="s">
        <v>60</v>
      </c>
      <c r="CK38" s="13" t="e">
        <f>INDEX(InputTbl[],MATCH(P38,InputTbl[Task Name],0),MATCH("Priority",InputTbl[#Headers],0))</f>
        <v>#N/A</v>
      </c>
      <c r="CL38" s="73"/>
      <c r="CV38" s="13" t="s">
        <v>60</v>
      </c>
      <c r="CW38" s="13" t="e">
        <f>INDEX(InputTbl[],MATCH(V38,InputTbl[Task Name],0),MATCH("Priority",InputTbl[#Headers],0))</f>
        <v>#N/A</v>
      </c>
      <c r="CX38" s="73"/>
      <c r="DH38" s="13" t="s">
        <v>60</v>
      </c>
      <c r="DI38" s="13" t="e">
        <f>INDEX(InputTbl[],MATCH(AB38,InputTbl[Task Name],0),MATCH("Priority",InputTbl[#Headers],0))</f>
        <v>#N/A</v>
      </c>
      <c r="DJ38" s="73"/>
      <c r="DT38" s="13" t="s">
        <v>60</v>
      </c>
      <c r="DU38" s="13" t="e">
        <f>INDEX(InputTbl[],MATCH(AH38,InputTbl[Task Name],0),MATCH("Priority",InputTbl[#Headers],0))</f>
        <v>#N/A</v>
      </c>
      <c r="DV38" s="73"/>
      <c r="EF38" s="13" t="s">
        <v>60</v>
      </c>
      <c r="EG38" s="13" t="e">
        <f>INDEX(InputTbl[],MATCH(AN38,InputTbl[Task Name],0),MATCH("Priority",InputTbl[#Headers],0))</f>
        <v>#N/A</v>
      </c>
      <c r="EH38" s="73"/>
      <c r="ER38" s="13" t="s">
        <v>60</v>
      </c>
      <c r="ES38" s="13" t="e">
        <f>INDEX(InputTbl[],MATCH(AT38,InputTbl[Task Name],0),MATCH("Priority",InputTbl[#Headers],0))</f>
        <v>#N/A</v>
      </c>
      <c r="ET38" s="73"/>
      <c r="FD38" s="13" t="s">
        <v>60</v>
      </c>
      <c r="FE38" s="13" t="e">
        <f>INDEX(InputTbl[],MATCH(AZ38,InputTbl[Task Name],0),MATCH("Priority",InputTbl[#Headers],0))</f>
        <v>#N/A</v>
      </c>
      <c r="FF38" s="73"/>
    </row>
    <row r="39" spans="1:162" x14ac:dyDescent="0.25">
      <c r="A39" s="18"/>
      <c r="B39" s="67"/>
      <c r="C39" s="18"/>
      <c r="D39" s="69"/>
      <c r="E39" s="69"/>
      <c r="F39" s="70"/>
      <c r="G39" s="18"/>
      <c r="H39" s="67"/>
      <c r="I39" s="18"/>
      <c r="J39" s="69"/>
      <c r="K39" s="69"/>
      <c r="L39" s="70"/>
      <c r="M39" s="18"/>
      <c r="N39" s="67"/>
      <c r="O39" s="18"/>
      <c r="P39" s="69"/>
      <c r="Q39" s="69"/>
      <c r="R39" s="70"/>
      <c r="S39" s="18"/>
      <c r="T39" s="67"/>
      <c r="U39" s="18"/>
      <c r="V39" s="69"/>
      <c r="W39" s="69"/>
      <c r="X39" s="70"/>
      <c r="Y39" s="18"/>
      <c r="Z39" s="67"/>
      <c r="AA39" s="18"/>
      <c r="AB39" s="69"/>
      <c r="AC39" s="69"/>
      <c r="AD39" s="70"/>
      <c r="AE39" s="18"/>
      <c r="AF39" s="67"/>
      <c r="AG39" s="18"/>
      <c r="AH39" s="69"/>
      <c r="AI39" s="69"/>
      <c r="AJ39" s="70"/>
      <c r="AK39" s="18"/>
      <c r="AL39" s="67"/>
      <c r="AM39" s="18"/>
      <c r="AN39" s="69"/>
      <c r="AO39" s="69"/>
      <c r="AP39" s="70"/>
      <c r="AQ39" s="18"/>
      <c r="AR39" s="67"/>
      <c r="AS39" s="18"/>
      <c r="AT39" s="69"/>
      <c r="AU39" s="69"/>
      <c r="AV39" s="70"/>
      <c r="AW39" s="18"/>
      <c r="AX39" s="67"/>
      <c r="AY39" s="18"/>
      <c r="AZ39" s="69"/>
      <c r="BA39" s="69"/>
      <c r="BB39" s="70"/>
      <c r="BC39" s="18"/>
      <c r="BD39" s="67"/>
      <c r="BE39" s="18"/>
      <c r="BL39" s="13" t="s">
        <v>72</v>
      </c>
      <c r="BM39" s="13" t="str">
        <f ca="1">INDEX(DataTbl[],MATCH(D38,DataTbl[Task Name],0),MATCH("Overdue",DataTbl[#Headers],0))</f>
        <v>No</v>
      </c>
      <c r="BN39" s="73"/>
      <c r="BX39" s="13" t="s">
        <v>72</v>
      </c>
      <c r="BY39" s="13" t="str">
        <f ca="1">INDEX(DataTbl[],MATCH(J38,DataTbl[Task Name],0),MATCH("Overdue",DataTbl[#Headers],0))</f>
        <v>No</v>
      </c>
      <c r="BZ39" s="73"/>
      <c r="CJ39" s="13" t="s">
        <v>72</v>
      </c>
      <c r="CK39" s="13" t="str">
        <f ca="1">INDEX(DataTbl[],MATCH(P38,DataTbl[Task Name],0),MATCH("Overdue",DataTbl[#Headers],0))</f>
        <v>No</v>
      </c>
      <c r="CL39" s="73"/>
      <c r="CV39" s="13" t="s">
        <v>72</v>
      </c>
      <c r="CW39" s="13" t="str">
        <f ca="1">INDEX(DataTbl[],MATCH(V38,DataTbl[Task Name],0),MATCH("Overdue",DataTbl[#Headers],0))</f>
        <v>No</v>
      </c>
      <c r="CX39" s="73"/>
      <c r="DH39" s="13" t="s">
        <v>72</v>
      </c>
      <c r="DI39" s="13" t="str">
        <f ca="1">INDEX(DataTbl[],MATCH(AB38,DataTbl[Task Name],0),MATCH("Overdue",DataTbl[#Headers],0))</f>
        <v>No</v>
      </c>
      <c r="DJ39" s="73"/>
      <c r="DT39" s="13" t="s">
        <v>72</v>
      </c>
      <c r="DU39" s="13" t="str">
        <f ca="1">INDEX(DataTbl[],MATCH(AH38,DataTbl[Task Name],0),MATCH("Overdue",DataTbl[#Headers],0))</f>
        <v>No</v>
      </c>
      <c r="DV39" s="73"/>
      <c r="EF39" s="13" t="s">
        <v>72</v>
      </c>
      <c r="EG39" s="13" t="str">
        <f ca="1">INDEX(DataTbl[],MATCH(AN38,DataTbl[Task Name],0),MATCH("Overdue",DataTbl[#Headers],0))</f>
        <v>No</v>
      </c>
      <c r="EH39" s="73"/>
      <c r="ER39" s="13" t="s">
        <v>72</v>
      </c>
      <c r="ES39" s="13" t="str">
        <f ca="1">INDEX(DataTbl[],MATCH(AT38,DataTbl[Task Name],0),MATCH("Overdue",DataTbl[#Headers],0))</f>
        <v>No</v>
      </c>
      <c r="ET39" s="73"/>
      <c r="FD39" s="13" t="s">
        <v>72</v>
      </c>
      <c r="FE39" s="13" t="str">
        <f ca="1">INDEX(DataTbl[],MATCH(AZ38,DataTbl[Task Name],0),MATCH("Overdue",DataTbl[#Headers],0))</f>
        <v>No</v>
      </c>
      <c r="FF39" s="73"/>
    </row>
    <row r="40" spans="1:162" x14ac:dyDescent="0.25">
      <c r="A40" s="18"/>
      <c r="B40" s="67"/>
      <c r="C40" s="18"/>
      <c r="D40" s="20" t="str">
        <f>IF(D38=0,""," "&amp;"Assigned To"&amp;": ")</f>
        <v/>
      </c>
      <c r="E40" s="71" t="str">
        <f>IFERROR(INDEX(InputTbl[],MATCH(D38,InputTbl[Task Name],0),MATCH("Assigned To",InputTbl[#Headers],0)),"")</f>
        <v/>
      </c>
      <c r="F40" s="71"/>
      <c r="G40" s="18"/>
      <c r="H40" s="67"/>
      <c r="I40" s="18"/>
      <c r="J40" s="20" t="str">
        <f>IF(J38=0,""," "&amp;"Assigned To"&amp;": ")</f>
        <v/>
      </c>
      <c r="K40" s="71" t="str">
        <f>IFERROR(INDEX(InputTbl[],MATCH(J38,InputTbl[Task Name],0),MATCH("Assigned To",InputTbl[#Headers],0)),"")</f>
        <v/>
      </c>
      <c r="L40" s="71"/>
      <c r="M40" s="18"/>
      <c r="N40" s="67"/>
      <c r="O40" s="18"/>
      <c r="P40" s="20" t="str">
        <f>IF(P38=0,""," "&amp;"Assigned To"&amp;": ")</f>
        <v/>
      </c>
      <c r="Q40" s="71" t="str">
        <f>IFERROR(INDEX(InputTbl[],MATCH(P38,InputTbl[Task Name],0),MATCH("Assigned To",InputTbl[#Headers],0)),"")</f>
        <v/>
      </c>
      <c r="R40" s="71"/>
      <c r="S40" s="18"/>
      <c r="T40" s="67"/>
      <c r="U40" s="18"/>
      <c r="V40" s="20" t="str">
        <f>IF(V38=0,""," "&amp;"Assigned To"&amp;": ")</f>
        <v/>
      </c>
      <c r="W40" s="71" t="str">
        <f>IFERROR(INDEX(InputTbl[],MATCH(V38,InputTbl[Task Name],0),MATCH("Assigned To",InputTbl[#Headers],0)),"")</f>
        <v/>
      </c>
      <c r="X40" s="71"/>
      <c r="Y40" s="18"/>
      <c r="Z40" s="67"/>
      <c r="AA40" s="18"/>
      <c r="AB40" s="20" t="str">
        <f>IF(AB38=0,""," "&amp;"Assigned To"&amp;": ")</f>
        <v/>
      </c>
      <c r="AC40" s="71" t="str">
        <f>IFERROR(INDEX(InputTbl[],MATCH(AB38,InputTbl[Task Name],0),MATCH("Assigned To",InputTbl[#Headers],0)),"")</f>
        <v/>
      </c>
      <c r="AD40" s="71"/>
      <c r="AE40" s="18"/>
      <c r="AF40" s="67"/>
      <c r="AG40" s="18"/>
      <c r="AH40" s="20" t="str">
        <f>IF(AH38=0,""," "&amp;"Assigned To"&amp;": ")</f>
        <v/>
      </c>
      <c r="AI40" s="71" t="str">
        <f>IFERROR(INDEX(InputTbl[],MATCH(AH38,InputTbl[Task Name],0),MATCH("Assigned To",InputTbl[#Headers],0)),"")</f>
        <v/>
      </c>
      <c r="AJ40" s="71"/>
      <c r="AK40" s="18"/>
      <c r="AL40" s="67"/>
      <c r="AM40" s="18"/>
      <c r="AN40" s="20" t="str">
        <f>IF(AN38=0,""," "&amp;"Assigned To"&amp;": ")</f>
        <v/>
      </c>
      <c r="AO40" s="71" t="str">
        <f>IFERROR(INDEX(InputTbl[],MATCH(AN38,InputTbl[Task Name],0),MATCH("Assigned To",InputTbl[#Headers],0)),"")</f>
        <v/>
      </c>
      <c r="AP40" s="71"/>
      <c r="AQ40" s="18"/>
      <c r="AR40" s="67"/>
      <c r="AS40" s="18"/>
      <c r="AT40" s="20" t="str">
        <f>IF(AT38=0,""," "&amp;"Assigned To"&amp;": ")</f>
        <v/>
      </c>
      <c r="AU40" s="71" t="str">
        <f>IFERROR(INDEX(InputTbl[],MATCH(AT38,InputTbl[Task Name],0),MATCH("Assigned To",InputTbl[#Headers],0)),"")</f>
        <v/>
      </c>
      <c r="AV40" s="71"/>
      <c r="AW40" s="18"/>
      <c r="AX40" s="67"/>
      <c r="AY40" s="18"/>
      <c r="AZ40" s="20" t="str">
        <f>IF(AZ38=0,""," "&amp;"Assigned To"&amp;": ")</f>
        <v/>
      </c>
      <c r="BA40" s="71" t="str">
        <f>IFERROR(INDEX(InputTbl[],MATCH(AZ38,InputTbl[Task Name],0),MATCH("Assigned To",InputTbl[#Headers],0)),"")</f>
        <v/>
      </c>
      <c r="BB40" s="71"/>
      <c r="BC40" s="18"/>
      <c r="BD40" s="67"/>
      <c r="BE40" s="18"/>
      <c r="BL40" s="7"/>
      <c r="BM40" s="75"/>
      <c r="BN40" s="75"/>
      <c r="BX40" s="7"/>
      <c r="BY40" s="75"/>
      <c r="BZ40" s="75"/>
      <c r="CJ40" s="7"/>
      <c r="CK40" s="75"/>
      <c r="CL40" s="75"/>
      <c r="CV40" s="7"/>
      <c r="CW40" s="75"/>
      <c r="CX40" s="75"/>
      <c r="DH40" s="7"/>
      <c r="DI40" s="75"/>
      <c r="DJ40" s="75"/>
      <c r="DT40" s="7"/>
      <c r="DU40" s="75"/>
      <c r="DV40" s="75"/>
      <c r="EF40" s="7"/>
      <c r="EG40" s="75"/>
      <c r="EH40" s="75"/>
      <c r="ER40" s="7"/>
      <c r="ES40" s="75"/>
      <c r="ET40" s="75"/>
      <c r="FD40" s="7"/>
      <c r="FE40" s="75"/>
      <c r="FF40" s="75"/>
    </row>
    <row r="41" spans="1:162" x14ac:dyDescent="0.25">
      <c r="A41" s="18"/>
      <c r="B41" s="67"/>
      <c r="C41" s="18"/>
      <c r="D41" s="21" t="str">
        <f>IF(D38=0,""," "&amp;"Date Due"&amp;": ")</f>
        <v/>
      </c>
      <c r="E41" s="72" t="str">
        <f ca="1">IFERROR(IF(BM39="Yes",_xlfn.CONCAT("⚠"," ",TEXT(INDEX(InputTbl[],MATCH(D38,InputTbl[Task Name],0),MATCH("Due Date",InputTbl[#Headers],0)),"mm/dd/yyyy")," ","⚠"),INDEX(InputTbl[],MATCH(D38,InputTbl[Task Name],0),MATCH("Due Date",InputTbl[#Headers],0))),"")</f>
        <v/>
      </c>
      <c r="F41" s="72"/>
      <c r="G41" s="18"/>
      <c r="H41" s="67"/>
      <c r="I41" s="18"/>
      <c r="J41" s="21" t="str">
        <f>IF(J38=0,""," "&amp;"Date Due"&amp;": ")</f>
        <v/>
      </c>
      <c r="K41" s="72" t="str">
        <f ca="1">IFERROR(IF(BY39="Yes",_xlfn.CONCAT("⚠"," ",TEXT(INDEX(InputTbl[],MATCH(J38,InputTbl[Task Name],0),MATCH("Due Date",InputTbl[#Headers],0)),"mm/dd/yyyy")," ","⚠"),INDEX(InputTbl[],MATCH(J38,InputTbl[Task Name],0),MATCH("Due Date",InputTbl[#Headers],0))),"")</f>
        <v/>
      </c>
      <c r="L41" s="72"/>
      <c r="M41" s="18"/>
      <c r="N41" s="67"/>
      <c r="O41" s="18"/>
      <c r="P41" s="21" t="str">
        <f>IF(P38=0,""," "&amp;"Date Due"&amp;": ")</f>
        <v/>
      </c>
      <c r="Q41" s="72" t="str">
        <f ca="1">IFERROR(IF(CK39="Yes",_xlfn.CONCAT("⚠"," ",TEXT(INDEX(InputTbl[],MATCH(P38,InputTbl[Task Name],0),MATCH("Due Date",InputTbl[#Headers],0)),"mm/dd/yyyy")," ","⚠"),INDEX(InputTbl[],MATCH(P38,InputTbl[Task Name],0),MATCH("Due Date",InputTbl[#Headers],0))),"")</f>
        <v/>
      </c>
      <c r="R41" s="72"/>
      <c r="S41" s="18"/>
      <c r="T41" s="67"/>
      <c r="U41" s="18"/>
      <c r="V41" s="21" t="str">
        <f>IF(V38=0,""," "&amp;"Date Due"&amp;": ")</f>
        <v/>
      </c>
      <c r="W41" s="72" t="str">
        <f ca="1">IFERROR(IF(CW39="Yes",_xlfn.CONCAT("⚠"," ",TEXT(INDEX(InputTbl[],MATCH(V38,InputTbl[Task Name],0),MATCH("Due Date",InputTbl[#Headers],0)),"mm/dd/yyyy")," ","⚠"),INDEX(InputTbl[],MATCH(V38,InputTbl[Task Name],0),MATCH("Due Date",InputTbl[#Headers],0))),"")</f>
        <v/>
      </c>
      <c r="X41" s="72"/>
      <c r="Y41" s="18"/>
      <c r="Z41" s="67"/>
      <c r="AA41" s="18"/>
      <c r="AB41" s="21" t="str">
        <f>IF(AB38=0,""," "&amp;"Date Due"&amp;": ")</f>
        <v/>
      </c>
      <c r="AC41" s="72" t="str">
        <f ca="1">IFERROR(IF(DI39="Yes",_xlfn.CONCAT("⚠"," ",TEXT(INDEX(InputTbl[],MATCH(AB38,InputTbl[Task Name],0),MATCH("Due Date",InputTbl[#Headers],0)),"mm/dd/yyyy")," ","⚠"),INDEX(InputTbl[],MATCH(AB38,InputTbl[Task Name],0),MATCH("Due Date",InputTbl[#Headers],0))),"")</f>
        <v/>
      </c>
      <c r="AD41" s="72"/>
      <c r="AE41" s="18"/>
      <c r="AF41" s="67"/>
      <c r="AG41" s="18"/>
      <c r="AH41" s="21" t="str">
        <f>IF(AH38=0,""," "&amp;"Date Due"&amp;": ")</f>
        <v/>
      </c>
      <c r="AI41" s="72" t="str">
        <f ca="1">IFERROR(IF(DU39="Yes",_xlfn.CONCAT("⚠"," ",TEXT(INDEX(InputTbl[],MATCH(AH38,InputTbl[Task Name],0),MATCH("Due Date",InputTbl[#Headers],0)),"mm/dd/yyyy")," ","⚠"),INDEX(InputTbl[],MATCH(AH38,InputTbl[Task Name],0),MATCH("Due Date",InputTbl[#Headers],0))),"")</f>
        <v/>
      </c>
      <c r="AJ41" s="72"/>
      <c r="AK41" s="18"/>
      <c r="AL41" s="67"/>
      <c r="AM41" s="18"/>
      <c r="AN41" s="21" t="str">
        <f>IF(AN38=0,""," "&amp;"Date Due"&amp;": ")</f>
        <v/>
      </c>
      <c r="AO41" s="72" t="str">
        <f ca="1">IFERROR(IF(EG39="Yes",_xlfn.CONCAT("⚠"," ",TEXT(INDEX(InputTbl[],MATCH(AN38,InputTbl[Task Name],0),MATCH("Due Date",InputTbl[#Headers],0)),"mm/dd/yyyy")," ","⚠"),INDEX(InputTbl[],MATCH(AN38,InputTbl[Task Name],0),MATCH("Due Date",InputTbl[#Headers],0))),"")</f>
        <v/>
      </c>
      <c r="AP41" s="72"/>
      <c r="AQ41" s="18"/>
      <c r="AR41" s="67"/>
      <c r="AS41" s="18"/>
      <c r="AT41" s="21" t="str">
        <f>IF(AT38=0,""," "&amp;"Date Due"&amp;": ")</f>
        <v/>
      </c>
      <c r="AU41" s="72" t="str">
        <f ca="1">IFERROR(IF(ES39="Yes",_xlfn.CONCAT("⚠"," ",TEXT(INDEX(InputTbl[],MATCH(AT38,InputTbl[Task Name],0),MATCH("Due Date",InputTbl[#Headers],0)),"mm/dd/yyyy")," ","⚠"),INDEX(InputTbl[],MATCH(AT38,InputTbl[Task Name],0),MATCH("Due Date",InputTbl[#Headers],0))),"")</f>
        <v/>
      </c>
      <c r="AV41" s="72"/>
      <c r="AW41" s="18"/>
      <c r="AX41" s="67"/>
      <c r="AY41" s="18"/>
      <c r="AZ41" s="21" t="str">
        <f>IF(AZ38=0,""," "&amp;"Date Due"&amp;": ")</f>
        <v/>
      </c>
      <c r="BA41" s="72" t="str">
        <f ca="1">IFERROR(IF(FE39="Yes",_xlfn.CONCAT("⚠"," ",TEXT(INDEX(InputTbl[],MATCH(AZ38,InputTbl[Task Name],0),MATCH("Due Date",InputTbl[#Headers],0)),"mm/dd/yyyy")," ","⚠"),INDEX(InputTbl[],MATCH(AZ38,InputTbl[Task Name],0),MATCH("Due Date",InputTbl[#Headers],0))),"")</f>
        <v/>
      </c>
      <c r="BB41" s="72"/>
      <c r="BC41" s="18"/>
      <c r="BD41" s="67"/>
      <c r="BE41" s="18"/>
      <c r="BL41" s="8"/>
      <c r="BM41" s="74"/>
      <c r="BN41" s="74"/>
      <c r="BX41" s="8"/>
      <c r="BY41" s="74"/>
      <c r="BZ41" s="74"/>
      <c r="CJ41" s="8"/>
      <c r="CK41" s="74"/>
      <c r="CL41" s="74"/>
      <c r="CV41" s="8"/>
      <c r="CW41" s="74"/>
      <c r="CX41" s="74"/>
      <c r="DH41" s="8"/>
      <c r="DI41" s="74"/>
      <c r="DJ41" s="74"/>
      <c r="DT41" s="8"/>
      <c r="DU41" s="74"/>
      <c r="DV41" s="74"/>
      <c r="EF41" s="8"/>
      <c r="EG41" s="74"/>
      <c r="EH41" s="74"/>
      <c r="ER41" s="8"/>
      <c r="ES41" s="74"/>
      <c r="ET41" s="74"/>
      <c r="FD41" s="8"/>
      <c r="FE41" s="74"/>
      <c r="FF41" s="74"/>
    </row>
    <row r="42" spans="1:162" ht="15" customHeight="1" x14ac:dyDescent="0.25">
      <c r="A42" s="18"/>
      <c r="B42" s="67"/>
      <c r="C42" s="18"/>
      <c r="D42" s="18"/>
      <c r="E42" s="18"/>
      <c r="F42" s="18"/>
      <c r="G42" s="18"/>
      <c r="H42" s="67"/>
      <c r="I42" s="18"/>
      <c r="J42" s="18"/>
      <c r="K42" s="18"/>
      <c r="L42" s="18"/>
      <c r="M42" s="18"/>
      <c r="N42" s="67"/>
      <c r="O42" s="18"/>
      <c r="P42" s="18"/>
      <c r="Q42" s="18"/>
      <c r="R42" s="18"/>
      <c r="S42" s="18"/>
      <c r="T42" s="67"/>
      <c r="U42" s="18"/>
      <c r="V42" s="18"/>
      <c r="W42" s="18"/>
      <c r="X42" s="18"/>
      <c r="Y42" s="18"/>
      <c r="Z42" s="67"/>
      <c r="AA42" s="18"/>
      <c r="AB42" s="18"/>
      <c r="AC42" s="18"/>
      <c r="AD42" s="18"/>
      <c r="AE42" s="18"/>
      <c r="AF42" s="67"/>
      <c r="AG42" s="18"/>
      <c r="AH42" s="18"/>
      <c r="AI42" s="18"/>
      <c r="AJ42" s="18"/>
      <c r="AK42" s="18"/>
      <c r="AL42" s="67"/>
      <c r="AM42" s="18"/>
      <c r="AN42" s="18"/>
      <c r="AO42" s="18"/>
      <c r="AP42" s="18"/>
      <c r="AQ42" s="18"/>
      <c r="AR42" s="67"/>
      <c r="AS42" s="18"/>
      <c r="AT42" s="18"/>
      <c r="AU42" s="18"/>
      <c r="AV42" s="18"/>
      <c r="AW42" s="18"/>
      <c r="AX42" s="67"/>
      <c r="AY42" s="18"/>
      <c r="AZ42" s="18"/>
      <c r="BA42" s="18"/>
      <c r="BB42" s="18"/>
      <c r="BC42" s="18"/>
      <c r="BD42" s="67"/>
      <c r="BE42" s="18"/>
    </row>
    <row r="43" spans="1:162" x14ac:dyDescent="0.25">
      <c r="A43" s="18"/>
      <c r="B43" s="67"/>
      <c r="C43" s="18"/>
      <c r="D43" s="69">
        <f>INDEX(KanbanPrep!$A$5:$S$189,VLOOKUP(ROW(),RowLookupTbl,2,FALSE),SMALL({1,3,5,7,9,11,13,15,17,19},MATCH(D$6,StatusOptions,0)))</f>
        <v>0</v>
      </c>
      <c r="E43" s="69"/>
      <c r="F43" s="70" t="str">
        <f>IFERROR(IF(BM43="Low",2,IF(BM43="Medium",1,0)),"")</f>
        <v/>
      </c>
      <c r="G43" s="18"/>
      <c r="H43" s="67"/>
      <c r="I43" s="18"/>
      <c r="J43" s="69">
        <f>INDEX(KanbanPrep!$A$5:$S$189,VLOOKUP(ROW(),RowLookupTbl,2,FALSE),SMALL({1,3,5,7,9,11,13,15,17,19},MATCH(J$6,StatusOptions,0)))</f>
        <v>0</v>
      </c>
      <c r="K43" s="69"/>
      <c r="L43" s="70" t="str">
        <f>IFERROR(IF(BY43="Low",2,IF(BY43="Medium",1,0)),"")</f>
        <v/>
      </c>
      <c r="M43" s="18"/>
      <c r="N43" s="67"/>
      <c r="O43" s="18"/>
      <c r="P43" s="69">
        <f>INDEX(KanbanPrep!$A$5:$S$189,VLOOKUP(ROW(),RowLookupTbl,2,FALSE),SMALL({1,3,5,7,9,11,13,15,17,19},MATCH(P$6,StatusOptions,0)))</f>
        <v>0</v>
      </c>
      <c r="Q43" s="69"/>
      <c r="R43" s="70" t="str">
        <f>IFERROR(IF(CK43="Low",2,IF(CK43="Medium",1,0)),"")</f>
        <v/>
      </c>
      <c r="S43" s="18"/>
      <c r="T43" s="67"/>
      <c r="U43" s="18"/>
      <c r="V43" s="69">
        <f>INDEX(KanbanPrep!$A$5:$S$189,VLOOKUP(ROW(),RowLookupTbl,2,FALSE),SMALL({1,3,5,7,9,11,13,15,17,19},MATCH(V$6,StatusOptions,0)))</f>
        <v>0</v>
      </c>
      <c r="W43" s="69"/>
      <c r="X43" s="70" t="str">
        <f>IFERROR(IF(CW43="Low",2,IF(CW43="Medium",1,0)),"")</f>
        <v/>
      </c>
      <c r="Y43" s="18"/>
      <c r="Z43" s="67"/>
      <c r="AA43" s="18"/>
      <c r="AB43" s="69">
        <f>INDEX(KanbanPrep!$A$5:$S$189,VLOOKUP(ROW(),RowLookupTbl,2,FALSE),SMALL({1,3,5,7,9,11,13,15,17,19},MATCH(AB$6,StatusOptions,0)))</f>
        <v>0</v>
      </c>
      <c r="AC43" s="69"/>
      <c r="AD43" s="70" t="str">
        <f>IFERROR(IF(DI43="Low",2,IF(DI43="Medium",1,0)),"")</f>
        <v/>
      </c>
      <c r="AE43" s="18"/>
      <c r="AF43" s="67"/>
      <c r="AG43" s="18"/>
      <c r="AH43" s="69">
        <f>INDEX(KanbanPrep!$A$5:$S$189,VLOOKUP(ROW(),RowLookupTbl,2,FALSE),SMALL({1,3,5,7,9,11,13,15,17,19},MATCH(AH$6,StatusOptions,0)))</f>
        <v>0</v>
      </c>
      <c r="AI43" s="69"/>
      <c r="AJ43" s="70" t="str">
        <f>IFERROR(IF(DU43="Low",2,IF(DU43="Medium",1,0)),"")</f>
        <v/>
      </c>
      <c r="AK43" s="18"/>
      <c r="AL43" s="67"/>
      <c r="AM43" s="18"/>
      <c r="AN43" s="69">
        <f>INDEX(KanbanPrep!$A$5:$S$189,VLOOKUP(ROW(),RowLookupTbl,2,FALSE),SMALL({1,3,5,7,9,11,13,15,17,19},MATCH(AN$6,StatusOptions,0)))</f>
        <v>0</v>
      </c>
      <c r="AO43" s="69"/>
      <c r="AP43" s="70" t="str">
        <f>IFERROR(IF(EG43="Low",2,IF(EG43="Medium",1,0)),"")</f>
        <v/>
      </c>
      <c r="AQ43" s="18"/>
      <c r="AR43" s="67"/>
      <c r="AS43" s="18"/>
      <c r="AT43" s="69">
        <f>INDEX(KanbanPrep!$A$5:$S$189,VLOOKUP(ROW(),RowLookupTbl,2,FALSE),SMALL({1,3,5,7,9,11,13,15,17,19},MATCH(AT$6,StatusOptions,0)))</f>
        <v>0</v>
      </c>
      <c r="AU43" s="69"/>
      <c r="AV43" s="70" t="str">
        <f>IFERROR(IF(ES43="Low",2,IF(ES43="Medium",1,0)),"")</f>
        <v/>
      </c>
      <c r="AW43" s="18"/>
      <c r="AX43" s="67"/>
      <c r="AY43" s="18"/>
      <c r="AZ43" s="69">
        <f>INDEX(KanbanPrep!$A$5:$S$189,VLOOKUP(ROW(),RowLookupTbl,2,FALSE),SMALL({1,3,5,7,9,11,13,15,17,19},MATCH(AZ$6,StatusOptions,0)))</f>
        <v>0</v>
      </c>
      <c r="BA43" s="69"/>
      <c r="BB43" s="70" t="str">
        <f>IFERROR(IF(FE43="Low",2,IF(FE43="Medium",1,0)),"")</f>
        <v/>
      </c>
      <c r="BC43" s="18"/>
      <c r="BD43" s="67"/>
      <c r="BE43" s="18"/>
      <c r="BL43" s="13" t="s">
        <v>60</v>
      </c>
      <c r="BM43" s="13" t="e">
        <f>INDEX(InputTbl[],MATCH(D43,InputTbl[Task Name],0),MATCH("Priority",InputTbl[#Headers],0))</f>
        <v>#N/A</v>
      </c>
      <c r="BN43" s="73"/>
      <c r="BX43" s="13" t="s">
        <v>60</v>
      </c>
      <c r="BY43" s="13" t="e">
        <f>INDEX(InputTbl[],MATCH(J43,InputTbl[Task Name],0),MATCH("Priority",InputTbl[#Headers],0))</f>
        <v>#N/A</v>
      </c>
      <c r="BZ43" s="73"/>
      <c r="CJ43" s="13" t="s">
        <v>60</v>
      </c>
      <c r="CK43" s="13" t="e">
        <f>INDEX(InputTbl[],MATCH(P43,InputTbl[Task Name],0),MATCH("Priority",InputTbl[#Headers],0))</f>
        <v>#N/A</v>
      </c>
      <c r="CL43" s="73"/>
      <c r="CV43" s="13" t="s">
        <v>60</v>
      </c>
      <c r="CW43" s="13" t="e">
        <f>INDEX(InputTbl[],MATCH(V43,InputTbl[Task Name],0),MATCH("Priority",InputTbl[#Headers],0))</f>
        <v>#N/A</v>
      </c>
      <c r="CX43" s="73"/>
      <c r="DH43" s="13" t="s">
        <v>60</v>
      </c>
      <c r="DI43" s="13" t="e">
        <f>INDEX(InputTbl[],MATCH(AB43,InputTbl[Task Name],0),MATCH("Priority",InputTbl[#Headers],0))</f>
        <v>#N/A</v>
      </c>
      <c r="DJ43" s="73"/>
      <c r="DT43" s="13" t="s">
        <v>60</v>
      </c>
      <c r="DU43" s="13" t="e">
        <f>INDEX(InputTbl[],MATCH(AH43,InputTbl[Task Name],0),MATCH("Priority",InputTbl[#Headers],0))</f>
        <v>#N/A</v>
      </c>
      <c r="DV43" s="73"/>
      <c r="EF43" s="13" t="s">
        <v>60</v>
      </c>
      <c r="EG43" s="13" t="e">
        <f>INDEX(InputTbl[],MATCH(AN43,InputTbl[Task Name],0),MATCH("Priority",InputTbl[#Headers],0))</f>
        <v>#N/A</v>
      </c>
      <c r="EH43" s="73"/>
      <c r="ER43" s="13" t="s">
        <v>60</v>
      </c>
      <c r="ES43" s="13" t="e">
        <f>INDEX(InputTbl[],MATCH(AT43,InputTbl[Task Name],0),MATCH("Priority",InputTbl[#Headers],0))</f>
        <v>#N/A</v>
      </c>
      <c r="ET43" s="73"/>
      <c r="FD43" s="13" t="s">
        <v>60</v>
      </c>
      <c r="FE43" s="13" t="e">
        <f>INDEX(InputTbl[],MATCH(AZ43,InputTbl[Task Name],0),MATCH("Priority",InputTbl[#Headers],0))</f>
        <v>#N/A</v>
      </c>
      <c r="FF43" s="73"/>
    </row>
    <row r="44" spans="1:162" x14ac:dyDescent="0.25">
      <c r="A44" s="18"/>
      <c r="B44" s="67"/>
      <c r="C44" s="18"/>
      <c r="D44" s="69"/>
      <c r="E44" s="69"/>
      <c r="F44" s="70"/>
      <c r="G44" s="18"/>
      <c r="H44" s="67"/>
      <c r="I44" s="18"/>
      <c r="J44" s="69"/>
      <c r="K44" s="69"/>
      <c r="L44" s="70"/>
      <c r="M44" s="18"/>
      <c r="N44" s="67"/>
      <c r="O44" s="18"/>
      <c r="P44" s="69"/>
      <c r="Q44" s="69"/>
      <c r="R44" s="70"/>
      <c r="S44" s="18"/>
      <c r="T44" s="67"/>
      <c r="U44" s="18"/>
      <c r="V44" s="69"/>
      <c r="W44" s="69"/>
      <c r="X44" s="70"/>
      <c r="Y44" s="18"/>
      <c r="Z44" s="67"/>
      <c r="AA44" s="18"/>
      <c r="AB44" s="69"/>
      <c r="AC44" s="69"/>
      <c r="AD44" s="70"/>
      <c r="AE44" s="18"/>
      <c r="AF44" s="67"/>
      <c r="AG44" s="18"/>
      <c r="AH44" s="69"/>
      <c r="AI44" s="69"/>
      <c r="AJ44" s="70"/>
      <c r="AK44" s="18"/>
      <c r="AL44" s="67"/>
      <c r="AM44" s="18"/>
      <c r="AN44" s="69"/>
      <c r="AO44" s="69"/>
      <c r="AP44" s="70"/>
      <c r="AQ44" s="18"/>
      <c r="AR44" s="67"/>
      <c r="AS44" s="18"/>
      <c r="AT44" s="69"/>
      <c r="AU44" s="69"/>
      <c r="AV44" s="70"/>
      <c r="AW44" s="18"/>
      <c r="AX44" s="67"/>
      <c r="AY44" s="18"/>
      <c r="AZ44" s="69"/>
      <c r="BA44" s="69"/>
      <c r="BB44" s="70"/>
      <c r="BC44" s="18"/>
      <c r="BD44" s="67"/>
      <c r="BE44" s="18"/>
      <c r="BL44" s="13" t="s">
        <v>72</v>
      </c>
      <c r="BM44" s="13" t="str">
        <f ca="1">INDEX(DataTbl[],MATCH(D43,DataTbl[Task Name],0),MATCH("Overdue",DataTbl[#Headers],0))</f>
        <v>No</v>
      </c>
      <c r="BN44" s="73"/>
      <c r="BX44" s="13" t="s">
        <v>72</v>
      </c>
      <c r="BY44" s="13" t="str">
        <f ca="1">INDEX(DataTbl[],MATCH(J43,DataTbl[Task Name],0),MATCH("Overdue",DataTbl[#Headers],0))</f>
        <v>No</v>
      </c>
      <c r="BZ44" s="73"/>
      <c r="CJ44" s="13" t="s">
        <v>72</v>
      </c>
      <c r="CK44" s="13" t="str">
        <f ca="1">INDEX(DataTbl[],MATCH(P43,DataTbl[Task Name],0),MATCH("Overdue",DataTbl[#Headers],0))</f>
        <v>No</v>
      </c>
      <c r="CL44" s="73"/>
      <c r="CV44" s="13" t="s">
        <v>72</v>
      </c>
      <c r="CW44" s="13" t="str">
        <f ca="1">INDEX(DataTbl[],MATCH(V43,DataTbl[Task Name],0),MATCH("Overdue",DataTbl[#Headers],0))</f>
        <v>No</v>
      </c>
      <c r="CX44" s="73"/>
      <c r="DH44" s="13" t="s">
        <v>72</v>
      </c>
      <c r="DI44" s="13" t="str">
        <f ca="1">INDEX(DataTbl[],MATCH(AB43,DataTbl[Task Name],0),MATCH("Overdue",DataTbl[#Headers],0))</f>
        <v>No</v>
      </c>
      <c r="DJ44" s="73"/>
      <c r="DT44" s="13" t="s">
        <v>72</v>
      </c>
      <c r="DU44" s="13" t="str">
        <f ca="1">INDEX(DataTbl[],MATCH(AH43,DataTbl[Task Name],0),MATCH("Overdue",DataTbl[#Headers],0))</f>
        <v>No</v>
      </c>
      <c r="DV44" s="73"/>
      <c r="EF44" s="13" t="s">
        <v>72</v>
      </c>
      <c r="EG44" s="13" t="str">
        <f ca="1">INDEX(DataTbl[],MATCH(AN43,DataTbl[Task Name],0),MATCH("Overdue",DataTbl[#Headers],0))</f>
        <v>No</v>
      </c>
      <c r="EH44" s="73"/>
      <c r="ER44" s="13" t="s">
        <v>72</v>
      </c>
      <c r="ES44" s="13" t="str">
        <f ca="1">INDEX(DataTbl[],MATCH(AT43,DataTbl[Task Name],0),MATCH("Overdue",DataTbl[#Headers],0))</f>
        <v>No</v>
      </c>
      <c r="ET44" s="73"/>
      <c r="FD44" s="13" t="s">
        <v>72</v>
      </c>
      <c r="FE44" s="13" t="str">
        <f ca="1">INDEX(DataTbl[],MATCH(AZ43,DataTbl[Task Name],0),MATCH("Overdue",DataTbl[#Headers],0))</f>
        <v>No</v>
      </c>
      <c r="FF44" s="73"/>
    </row>
    <row r="45" spans="1:162" x14ac:dyDescent="0.25">
      <c r="A45" s="18"/>
      <c r="B45" s="67"/>
      <c r="C45" s="18"/>
      <c r="D45" s="20" t="str">
        <f>IF(D43=0,""," "&amp;"Assigned To"&amp;": ")</f>
        <v/>
      </c>
      <c r="E45" s="71" t="str">
        <f>IFERROR(INDEX(InputTbl[],MATCH(D43,InputTbl[Task Name],0),MATCH("Assigned To",InputTbl[#Headers],0)),"")</f>
        <v/>
      </c>
      <c r="F45" s="71"/>
      <c r="G45" s="18"/>
      <c r="H45" s="67"/>
      <c r="I45" s="18"/>
      <c r="J45" s="20" t="str">
        <f>IF(J43=0,""," "&amp;"Assigned To"&amp;": ")</f>
        <v/>
      </c>
      <c r="K45" s="71" t="str">
        <f>IFERROR(INDEX(InputTbl[],MATCH(J43,InputTbl[Task Name],0),MATCH("Assigned To",InputTbl[#Headers],0)),"")</f>
        <v/>
      </c>
      <c r="L45" s="71"/>
      <c r="M45" s="18"/>
      <c r="N45" s="67"/>
      <c r="O45" s="18"/>
      <c r="P45" s="20" t="str">
        <f>IF(P43=0,""," "&amp;"Assigned To"&amp;": ")</f>
        <v/>
      </c>
      <c r="Q45" s="71" t="str">
        <f>IFERROR(INDEX(InputTbl[],MATCH(P43,InputTbl[Task Name],0),MATCH("Assigned To",InputTbl[#Headers],0)),"")</f>
        <v/>
      </c>
      <c r="R45" s="71"/>
      <c r="S45" s="18"/>
      <c r="T45" s="67"/>
      <c r="U45" s="18"/>
      <c r="V45" s="20" t="str">
        <f>IF(V43=0,""," "&amp;"Assigned To"&amp;": ")</f>
        <v/>
      </c>
      <c r="W45" s="71" t="str">
        <f>IFERROR(INDEX(InputTbl[],MATCH(V43,InputTbl[Task Name],0),MATCH("Assigned To",InputTbl[#Headers],0)),"")</f>
        <v/>
      </c>
      <c r="X45" s="71"/>
      <c r="Y45" s="18"/>
      <c r="Z45" s="67"/>
      <c r="AA45" s="18"/>
      <c r="AB45" s="20" t="str">
        <f>IF(AB43=0,""," "&amp;"Assigned To"&amp;": ")</f>
        <v/>
      </c>
      <c r="AC45" s="71" t="str">
        <f>IFERROR(INDEX(InputTbl[],MATCH(AB43,InputTbl[Task Name],0),MATCH("Assigned To",InputTbl[#Headers],0)),"")</f>
        <v/>
      </c>
      <c r="AD45" s="71"/>
      <c r="AE45" s="18"/>
      <c r="AF45" s="67"/>
      <c r="AG45" s="18"/>
      <c r="AH45" s="20" t="str">
        <f>IF(AH43=0,""," "&amp;"Assigned To"&amp;": ")</f>
        <v/>
      </c>
      <c r="AI45" s="71" t="str">
        <f>IFERROR(INDEX(InputTbl[],MATCH(AH43,InputTbl[Task Name],0),MATCH("Assigned To",InputTbl[#Headers],0)),"")</f>
        <v/>
      </c>
      <c r="AJ45" s="71"/>
      <c r="AK45" s="18"/>
      <c r="AL45" s="67"/>
      <c r="AM45" s="18"/>
      <c r="AN45" s="20" t="str">
        <f>IF(AN43=0,""," "&amp;"Assigned To"&amp;": ")</f>
        <v/>
      </c>
      <c r="AO45" s="71" t="str">
        <f>IFERROR(INDEX(InputTbl[],MATCH(AN43,InputTbl[Task Name],0),MATCH("Assigned To",InputTbl[#Headers],0)),"")</f>
        <v/>
      </c>
      <c r="AP45" s="71"/>
      <c r="AQ45" s="18"/>
      <c r="AR45" s="67"/>
      <c r="AS45" s="18"/>
      <c r="AT45" s="20" t="str">
        <f>IF(AT43=0,""," "&amp;"Assigned To"&amp;": ")</f>
        <v/>
      </c>
      <c r="AU45" s="71" t="str">
        <f>IFERROR(INDEX(InputTbl[],MATCH(AT43,InputTbl[Task Name],0),MATCH("Assigned To",InputTbl[#Headers],0)),"")</f>
        <v/>
      </c>
      <c r="AV45" s="71"/>
      <c r="AW45" s="18"/>
      <c r="AX45" s="67"/>
      <c r="AY45" s="18"/>
      <c r="AZ45" s="20" t="str">
        <f>IF(AZ43=0,""," "&amp;"Assigned To"&amp;": ")</f>
        <v/>
      </c>
      <c r="BA45" s="71" t="str">
        <f>IFERROR(INDEX(InputTbl[],MATCH(AZ43,InputTbl[Task Name],0),MATCH("Assigned To",InputTbl[#Headers],0)),"")</f>
        <v/>
      </c>
      <c r="BB45" s="71"/>
      <c r="BC45" s="18"/>
      <c r="BD45" s="67"/>
      <c r="BE45" s="18"/>
      <c r="BL45" s="7"/>
      <c r="BM45" s="75"/>
      <c r="BN45" s="75"/>
      <c r="BX45" s="7"/>
      <c r="BY45" s="75"/>
      <c r="BZ45" s="75"/>
      <c r="CJ45" s="7"/>
      <c r="CK45" s="75"/>
      <c r="CL45" s="75"/>
      <c r="CV45" s="7"/>
      <c r="CW45" s="75"/>
      <c r="CX45" s="75"/>
      <c r="DH45" s="7"/>
      <c r="DI45" s="75"/>
      <c r="DJ45" s="75"/>
      <c r="DT45" s="7"/>
      <c r="DU45" s="75"/>
      <c r="DV45" s="75"/>
      <c r="EF45" s="7"/>
      <c r="EG45" s="75"/>
      <c r="EH45" s="75"/>
      <c r="ER45" s="7"/>
      <c r="ES45" s="75"/>
      <c r="ET45" s="75"/>
      <c r="FD45" s="7"/>
      <c r="FE45" s="75"/>
      <c r="FF45" s="75"/>
    </row>
    <row r="46" spans="1:162" x14ac:dyDescent="0.25">
      <c r="A46" s="18"/>
      <c r="B46" s="67"/>
      <c r="C46" s="18"/>
      <c r="D46" s="21" t="str">
        <f>IF(D43=0,""," "&amp;"Date Due"&amp;": ")</f>
        <v/>
      </c>
      <c r="E46" s="72" t="str">
        <f ca="1">IFERROR(IF(BM44="Yes",_xlfn.CONCAT("⚠"," ",TEXT(INDEX(InputTbl[],MATCH(D43,InputTbl[Task Name],0),MATCH("Due Date",InputTbl[#Headers],0)),"mm/dd/yyyy")," ","⚠"),INDEX(InputTbl[],MATCH(D43,InputTbl[Task Name],0),MATCH("Due Date",InputTbl[#Headers],0))),"")</f>
        <v/>
      </c>
      <c r="F46" s="72"/>
      <c r="G46" s="18"/>
      <c r="H46" s="67"/>
      <c r="I46" s="18"/>
      <c r="J46" s="21" t="str">
        <f>IF(J43=0,""," "&amp;"Date Due"&amp;": ")</f>
        <v/>
      </c>
      <c r="K46" s="72" t="str">
        <f ca="1">IFERROR(IF(BY44="Yes",_xlfn.CONCAT("⚠"," ",TEXT(INDEX(InputTbl[],MATCH(J43,InputTbl[Task Name],0),MATCH("Due Date",InputTbl[#Headers],0)),"mm/dd/yyyy")," ","⚠"),INDEX(InputTbl[],MATCH(J43,InputTbl[Task Name],0),MATCH("Due Date",InputTbl[#Headers],0))),"")</f>
        <v/>
      </c>
      <c r="L46" s="72"/>
      <c r="M46" s="18"/>
      <c r="N46" s="67"/>
      <c r="O46" s="18"/>
      <c r="P46" s="21" t="str">
        <f>IF(P43=0,""," "&amp;"Date Due"&amp;": ")</f>
        <v/>
      </c>
      <c r="Q46" s="72" t="str">
        <f ca="1">IFERROR(IF(CK44="Yes",_xlfn.CONCAT("⚠"," ",TEXT(INDEX(InputTbl[],MATCH(P43,InputTbl[Task Name],0),MATCH("Due Date",InputTbl[#Headers],0)),"mm/dd/yyyy")," ","⚠"),INDEX(InputTbl[],MATCH(P43,InputTbl[Task Name],0),MATCH("Due Date",InputTbl[#Headers],0))),"")</f>
        <v/>
      </c>
      <c r="R46" s="72"/>
      <c r="S46" s="18"/>
      <c r="T46" s="67"/>
      <c r="U46" s="18"/>
      <c r="V46" s="21" t="str">
        <f>IF(V43=0,""," "&amp;"Date Due"&amp;": ")</f>
        <v/>
      </c>
      <c r="W46" s="72" t="str">
        <f ca="1">IFERROR(IF(CW44="Yes",_xlfn.CONCAT("⚠"," ",TEXT(INDEX(InputTbl[],MATCH(V43,InputTbl[Task Name],0),MATCH("Due Date",InputTbl[#Headers],0)),"mm/dd/yyyy")," ","⚠"),INDEX(InputTbl[],MATCH(V43,InputTbl[Task Name],0),MATCH("Due Date",InputTbl[#Headers],0))),"")</f>
        <v/>
      </c>
      <c r="X46" s="72"/>
      <c r="Y46" s="18"/>
      <c r="Z46" s="67"/>
      <c r="AA46" s="18"/>
      <c r="AB46" s="21" t="str">
        <f>IF(AB43=0,""," "&amp;"Date Due"&amp;": ")</f>
        <v/>
      </c>
      <c r="AC46" s="72" t="str">
        <f ca="1">IFERROR(IF(DI44="Yes",_xlfn.CONCAT("⚠"," ",TEXT(INDEX(InputTbl[],MATCH(AB43,InputTbl[Task Name],0),MATCH("Due Date",InputTbl[#Headers],0)),"mm/dd/yyyy")," ","⚠"),INDEX(InputTbl[],MATCH(AB43,InputTbl[Task Name],0),MATCH("Due Date",InputTbl[#Headers],0))),"")</f>
        <v/>
      </c>
      <c r="AD46" s="72"/>
      <c r="AE46" s="18"/>
      <c r="AF46" s="67"/>
      <c r="AG46" s="18"/>
      <c r="AH46" s="21" t="str">
        <f>IF(AH43=0,""," "&amp;"Date Due"&amp;": ")</f>
        <v/>
      </c>
      <c r="AI46" s="72" t="str">
        <f ca="1">IFERROR(IF(DU44="Yes",_xlfn.CONCAT("⚠"," ",TEXT(INDEX(InputTbl[],MATCH(AH43,InputTbl[Task Name],0),MATCH("Due Date",InputTbl[#Headers],0)),"mm/dd/yyyy")," ","⚠"),INDEX(InputTbl[],MATCH(AH43,InputTbl[Task Name],0),MATCH("Due Date",InputTbl[#Headers],0))),"")</f>
        <v/>
      </c>
      <c r="AJ46" s="72"/>
      <c r="AK46" s="18"/>
      <c r="AL46" s="67"/>
      <c r="AM46" s="18"/>
      <c r="AN46" s="21" t="str">
        <f>IF(AN43=0,""," "&amp;"Date Due"&amp;": ")</f>
        <v/>
      </c>
      <c r="AO46" s="72" t="str">
        <f ca="1">IFERROR(IF(EG44="Yes",_xlfn.CONCAT("⚠"," ",TEXT(INDEX(InputTbl[],MATCH(AN43,InputTbl[Task Name],0),MATCH("Due Date",InputTbl[#Headers],0)),"mm/dd/yyyy")," ","⚠"),INDEX(InputTbl[],MATCH(AN43,InputTbl[Task Name],0),MATCH("Due Date",InputTbl[#Headers],0))),"")</f>
        <v/>
      </c>
      <c r="AP46" s="72"/>
      <c r="AQ46" s="18"/>
      <c r="AR46" s="67"/>
      <c r="AS46" s="18"/>
      <c r="AT46" s="21" t="str">
        <f>IF(AT43=0,""," "&amp;"Date Due"&amp;": ")</f>
        <v/>
      </c>
      <c r="AU46" s="72" t="str">
        <f ca="1">IFERROR(IF(ES44="Yes",_xlfn.CONCAT("⚠"," ",TEXT(INDEX(InputTbl[],MATCH(AT43,InputTbl[Task Name],0),MATCH("Due Date",InputTbl[#Headers],0)),"mm/dd/yyyy")," ","⚠"),INDEX(InputTbl[],MATCH(AT43,InputTbl[Task Name],0),MATCH("Due Date",InputTbl[#Headers],0))),"")</f>
        <v/>
      </c>
      <c r="AV46" s="72"/>
      <c r="AW46" s="18"/>
      <c r="AX46" s="67"/>
      <c r="AY46" s="18"/>
      <c r="AZ46" s="21" t="str">
        <f>IF(AZ43=0,""," "&amp;"Date Due"&amp;": ")</f>
        <v/>
      </c>
      <c r="BA46" s="72" t="str">
        <f ca="1">IFERROR(IF(FE44="Yes",_xlfn.CONCAT("⚠"," ",TEXT(INDEX(InputTbl[],MATCH(AZ43,InputTbl[Task Name],0),MATCH("Due Date",InputTbl[#Headers],0)),"mm/dd/yyyy")," ","⚠"),INDEX(InputTbl[],MATCH(AZ43,InputTbl[Task Name],0),MATCH("Due Date",InputTbl[#Headers],0))),"")</f>
        <v/>
      </c>
      <c r="BB46" s="72"/>
      <c r="BC46" s="18"/>
      <c r="BD46" s="67"/>
      <c r="BE46" s="18"/>
      <c r="BL46" s="8"/>
      <c r="BM46" s="74"/>
      <c r="BN46" s="74"/>
      <c r="BX46" s="8"/>
      <c r="BY46" s="74"/>
      <c r="BZ46" s="74"/>
      <c r="CJ46" s="8"/>
      <c r="CK46" s="74"/>
      <c r="CL46" s="74"/>
      <c r="CV46" s="8"/>
      <c r="CW46" s="74"/>
      <c r="CX46" s="74"/>
      <c r="DH46" s="8"/>
      <c r="DI46" s="74"/>
      <c r="DJ46" s="74"/>
      <c r="DT46" s="8"/>
      <c r="DU46" s="74"/>
      <c r="DV46" s="74"/>
      <c r="EF46" s="8"/>
      <c r="EG46" s="74"/>
      <c r="EH46" s="74"/>
      <c r="ER46" s="8"/>
      <c r="ES46" s="74"/>
      <c r="ET46" s="74"/>
      <c r="FD46" s="8"/>
      <c r="FE46" s="74"/>
      <c r="FF46" s="74"/>
    </row>
    <row r="47" spans="1:162" ht="15" customHeight="1" x14ac:dyDescent="0.25">
      <c r="A47" s="18"/>
      <c r="B47" s="67"/>
      <c r="C47" s="18"/>
      <c r="D47" s="18"/>
      <c r="E47" s="18"/>
      <c r="F47" s="18"/>
      <c r="G47" s="18"/>
      <c r="H47" s="67"/>
      <c r="I47" s="18"/>
      <c r="J47" s="18"/>
      <c r="K47" s="18"/>
      <c r="L47" s="18"/>
      <c r="M47" s="18"/>
      <c r="N47" s="67"/>
      <c r="O47" s="18"/>
      <c r="P47" s="18"/>
      <c r="Q47" s="18"/>
      <c r="R47" s="18"/>
      <c r="S47" s="18"/>
      <c r="T47" s="67"/>
      <c r="U47" s="18"/>
      <c r="V47" s="18"/>
      <c r="W47" s="18"/>
      <c r="X47" s="18"/>
      <c r="Y47" s="18"/>
      <c r="Z47" s="67"/>
      <c r="AA47" s="18"/>
      <c r="AB47" s="18"/>
      <c r="AC47" s="18"/>
      <c r="AD47" s="18"/>
      <c r="AE47" s="18"/>
      <c r="AF47" s="67"/>
      <c r="AG47" s="18"/>
      <c r="AH47" s="18"/>
      <c r="AI47" s="18"/>
      <c r="AJ47" s="18"/>
      <c r="AK47" s="18"/>
      <c r="AL47" s="67"/>
      <c r="AM47" s="18"/>
      <c r="AN47" s="18"/>
      <c r="AO47" s="18"/>
      <c r="AP47" s="18"/>
      <c r="AQ47" s="18"/>
      <c r="AR47" s="67"/>
      <c r="AS47" s="18"/>
      <c r="AT47" s="18"/>
      <c r="AU47" s="18"/>
      <c r="AV47" s="18"/>
      <c r="AW47" s="18"/>
      <c r="AX47" s="67"/>
      <c r="AY47" s="18"/>
      <c r="AZ47" s="18"/>
      <c r="BA47" s="18"/>
      <c r="BB47" s="18"/>
      <c r="BC47" s="18"/>
      <c r="BD47" s="67"/>
      <c r="BE47" s="18"/>
    </row>
    <row r="48" spans="1:162" x14ac:dyDescent="0.25">
      <c r="A48" s="18"/>
      <c r="B48" s="67"/>
      <c r="C48" s="18"/>
      <c r="D48" s="69">
        <f>INDEX(KanbanPrep!$A$5:$S$189,VLOOKUP(ROW(),RowLookupTbl,2,FALSE),SMALL({1,3,5,7,9,11,13,15,17,19},MATCH(D$6,StatusOptions,0)))</f>
        <v>0</v>
      </c>
      <c r="E48" s="69"/>
      <c r="F48" s="70" t="str">
        <f>IFERROR(IF(BM48="Low",2,IF(BM48="Medium",1,0)),"")</f>
        <v/>
      </c>
      <c r="G48" s="18"/>
      <c r="H48" s="67"/>
      <c r="I48" s="18"/>
      <c r="J48" s="69">
        <f>INDEX(KanbanPrep!$A$5:$S$189,VLOOKUP(ROW(),RowLookupTbl,2,FALSE),SMALL({1,3,5,7,9,11,13,15,17,19},MATCH(J$6,StatusOptions,0)))</f>
        <v>0</v>
      </c>
      <c r="K48" s="69"/>
      <c r="L48" s="70" t="str">
        <f>IFERROR(IF(BY48="Low",2,IF(BY48="Medium",1,0)),"")</f>
        <v/>
      </c>
      <c r="M48" s="18"/>
      <c r="N48" s="67"/>
      <c r="O48" s="18"/>
      <c r="P48" s="69">
        <f>INDEX(KanbanPrep!$A$5:$S$189,VLOOKUP(ROW(),RowLookupTbl,2,FALSE),SMALL({1,3,5,7,9,11,13,15,17,19},MATCH(P$6,StatusOptions,0)))</f>
        <v>0</v>
      </c>
      <c r="Q48" s="69"/>
      <c r="R48" s="70" t="str">
        <f>IFERROR(IF(CK48="Low",2,IF(CK48="Medium",1,0)),"")</f>
        <v/>
      </c>
      <c r="S48" s="18"/>
      <c r="T48" s="67"/>
      <c r="U48" s="18"/>
      <c r="V48" s="69">
        <f>INDEX(KanbanPrep!$A$5:$S$189,VLOOKUP(ROW(),RowLookupTbl,2,FALSE),SMALL({1,3,5,7,9,11,13,15,17,19},MATCH(V$6,StatusOptions,0)))</f>
        <v>0</v>
      </c>
      <c r="W48" s="69"/>
      <c r="X48" s="70" t="str">
        <f>IFERROR(IF(CW48="Low",2,IF(CW48="Medium",1,0)),"")</f>
        <v/>
      </c>
      <c r="Y48" s="18"/>
      <c r="Z48" s="67"/>
      <c r="AA48" s="18"/>
      <c r="AB48" s="69">
        <f>INDEX(KanbanPrep!$A$5:$S$189,VLOOKUP(ROW(),RowLookupTbl,2,FALSE),SMALL({1,3,5,7,9,11,13,15,17,19},MATCH(AB$6,StatusOptions,0)))</f>
        <v>0</v>
      </c>
      <c r="AC48" s="69"/>
      <c r="AD48" s="70" t="str">
        <f>IFERROR(IF(DI48="Low",2,IF(DI48="Medium",1,0)),"")</f>
        <v/>
      </c>
      <c r="AE48" s="18"/>
      <c r="AF48" s="67"/>
      <c r="AG48" s="18"/>
      <c r="AH48" s="69">
        <f>INDEX(KanbanPrep!$A$5:$S$189,VLOOKUP(ROW(),RowLookupTbl,2,FALSE),SMALL({1,3,5,7,9,11,13,15,17,19},MATCH(AH$6,StatusOptions,0)))</f>
        <v>0</v>
      </c>
      <c r="AI48" s="69"/>
      <c r="AJ48" s="70" t="str">
        <f>IFERROR(IF(DU48="Low",2,IF(DU48="Medium",1,0)),"")</f>
        <v/>
      </c>
      <c r="AK48" s="18"/>
      <c r="AL48" s="67"/>
      <c r="AM48" s="18"/>
      <c r="AN48" s="69">
        <f>INDEX(KanbanPrep!$A$5:$S$189,VLOOKUP(ROW(),RowLookupTbl,2,FALSE),SMALL({1,3,5,7,9,11,13,15,17,19},MATCH(AN$6,StatusOptions,0)))</f>
        <v>0</v>
      </c>
      <c r="AO48" s="69"/>
      <c r="AP48" s="70" t="str">
        <f>IFERROR(IF(EG48="Low",2,IF(EG48="Medium",1,0)),"")</f>
        <v/>
      </c>
      <c r="AQ48" s="18"/>
      <c r="AR48" s="67"/>
      <c r="AS48" s="18"/>
      <c r="AT48" s="69">
        <f>INDEX(KanbanPrep!$A$5:$S$189,VLOOKUP(ROW(),RowLookupTbl,2,FALSE),SMALL({1,3,5,7,9,11,13,15,17,19},MATCH(AT$6,StatusOptions,0)))</f>
        <v>0</v>
      </c>
      <c r="AU48" s="69"/>
      <c r="AV48" s="70" t="str">
        <f>IFERROR(IF(ES48="Low",2,IF(ES48="Medium",1,0)),"")</f>
        <v/>
      </c>
      <c r="AW48" s="18"/>
      <c r="AX48" s="67"/>
      <c r="AY48" s="18"/>
      <c r="AZ48" s="69">
        <f>INDEX(KanbanPrep!$A$5:$S$189,VLOOKUP(ROW(),RowLookupTbl,2,FALSE),SMALL({1,3,5,7,9,11,13,15,17,19},MATCH(AZ$6,StatusOptions,0)))</f>
        <v>0</v>
      </c>
      <c r="BA48" s="69"/>
      <c r="BB48" s="70" t="str">
        <f>IFERROR(IF(FE48="Low",2,IF(FE48="Medium",1,0)),"")</f>
        <v/>
      </c>
      <c r="BC48" s="18"/>
      <c r="BD48" s="67"/>
      <c r="BE48" s="18"/>
      <c r="BL48" s="13" t="s">
        <v>60</v>
      </c>
      <c r="BM48" s="13" t="e">
        <f>INDEX(InputTbl[],MATCH(D48,InputTbl[Task Name],0),MATCH("Priority",InputTbl[#Headers],0))</f>
        <v>#N/A</v>
      </c>
      <c r="BN48" s="73"/>
      <c r="BX48" s="13" t="s">
        <v>60</v>
      </c>
      <c r="BY48" s="13" t="e">
        <f>INDEX(InputTbl[],MATCH(J48,InputTbl[Task Name],0),MATCH("Priority",InputTbl[#Headers],0))</f>
        <v>#N/A</v>
      </c>
      <c r="BZ48" s="73"/>
      <c r="CJ48" s="13" t="s">
        <v>60</v>
      </c>
      <c r="CK48" s="13" t="e">
        <f>INDEX(InputTbl[],MATCH(P48,InputTbl[Task Name],0),MATCH("Priority",InputTbl[#Headers],0))</f>
        <v>#N/A</v>
      </c>
      <c r="CL48" s="73"/>
      <c r="CV48" s="13" t="s">
        <v>60</v>
      </c>
      <c r="CW48" s="13" t="e">
        <f>INDEX(InputTbl[],MATCH(V48,InputTbl[Task Name],0),MATCH("Priority",InputTbl[#Headers],0))</f>
        <v>#N/A</v>
      </c>
      <c r="CX48" s="73"/>
      <c r="DH48" s="13" t="s">
        <v>60</v>
      </c>
      <c r="DI48" s="13" t="e">
        <f>INDEX(InputTbl[],MATCH(AB48,InputTbl[Task Name],0),MATCH("Priority",InputTbl[#Headers],0))</f>
        <v>#N/A</v>
      </c>
      <c r="DJ48" s="73"/>
      <c r="DT48" s="13" t="s">
        <v>60</v>
      </c>
      <c r="DU48" s="13" t="e">
        <f>INDEX(InputTbl[],MATCH(AH48,InputTbl[Task Name],0),MATCH("Priority",InputTbl[#Headers],0))</f>
        <v>#N/A</v>
      </c>
      <c r="DV48" s="73"/>
      <c r="EF48" s="13" t="s">
        <v>60</v>
      </c>
      <c r="EG48" s="13" t="e">
        <f>INDEX(InputTbl[],MATCH(AN48,InputTbl[Task Name],0),MATCH("Priority",InputTbl[#Headers],0))</f>
        <v>#N/A</v>
      </c>
      <c r="EH48" s="73"/>
      <c r="ER48" s="13" t="s">
        <v>60</v>
      </c>
      <c r="ES48" s="13" t="e">
        <f>INDEX(InputTbl[],MATCH(AT48,InputTbl[Task Name],0),MATCH("Priority",InputTbl[#Headers],0))</f>
        <v>#N/A</v>
      </c>
      <c r="ET48" s="73"/>
      <c r="FD48" s="13" t="s">
        <v>60</v>
      </c>
      <c r="FE48" s="13" t="e">
        <f>INDEX(InputTbl[],MATCH(AZ48,InputTbl[Task Name],0),MATCH("Priority",InputTbl[#Headers],0))</f>
        <v>#N/A</v>
      </c>
      <c r="FF48" s="73"/>
    </row>
    <row r="49" spans="1:162" x14ac:dyDescent="0.25">
      <c r="A49" s="18"/>
      <c r="B49" s="67"/>
      <c r="C49" s="18"/>
      <c r="D49" s="69"/>
      <c r="E49" s="69"/>
      <c r="F49" s="70"/>
      <c r="G49" s="18"/>
      <c r="H49" s="67"/>
      <c r="I49" s="18"/>
      <c r="J49" s="69"/>
      <c r="K49" s="69"/>
      <c r="L49" s="70"/>
      <c r="M49" s="18"/>
      <c r="N49" s="67"/>
      <c r="O49" s="18"/>
      <c r="P49" s="69"/>
      <c r="Q49" s="69"/>
      <c r="R49" s="70"/>
      <c r="S49" s="18"/>
      <c r="T49" s="67"/>
      <c r="U49" s="18"/>
      <c r="V49" s="69"/>
      <c r="W49" s="69"/>
      <c r="X49" s="70"/>
      <c r="Y49" s="18"/>
      <c r="Z49" s="67"/>
      <c r="AA49" s="18"/>
      <c r="AB49" s="69"/>
      <c r="AC49" s="69"/>
      <c r="AD49" s="70"/>
      <c r="AE49" s="18"/>
      <c r="AF49" s="67"/>
      <c r="AG49" s="18"/>
      <c r="AH49" s="69"/>
      <c r="AI49" s="69"/>
      <c r="AJ49" s="70"/>
      <c r="AK49" s="18"/>
      <c r="AL49" s="67"/>
      <c r="AM49" s="18"/>
      <c r="AN49" s="69"/>
      <c r="AO49" s="69"/>
      <c r="AP49" s="70"/>
      <c r="AQ49" s="18"/>
      <c r="AR49" s="67"/>
      <c r="AS49" s="18"/>
      <c r="AT49" s="69"/>
      <c r="AU49" s="69"/>
      <c r="AV49" s="70"/>
      <c r="AW49" s="18"/>
      <c r="AX49" s="67"/>
      <c r="AY49" s="18"/>
      <c r="AZ49" s="69"/>
      <c r="BA49" s="69"/>
      <c r="BB49" s="70"/>
      <c r="BC49" s="18"/>
      <c r="BD49" s="67"/>
      <c r="BE49" s="18"/>
      <c r="BL49" s="13" t="s">
        <v>72</v>
      </c>
      <c r="BM49" s="13" t="str">
        <f ca="1">INDEX(DataTbl[],MATCH(D48,DataTbl[Task Name],0),MATCH("Overdue",DataTbl[#Headers],0))</f>
        <v>No</v>
      </c>
      <c r="BN49" s="73"/>
      <c r="BX49" s="13" t="s">
        <v>72</v>
      </c>
      <c r="BY49" s="13" t="str">
        <f ca="1">INDEX(DataTbl[],MATCH(J48,DataTbl[Task Name],0),MATCH("Overdue",DataTbl[#Headers],0))</f>
        <v>No</v>
      </c>
      <c r="BZ49" s="73"/>
      <c r="CJ49" s="13" t="s">
        <v>72</v>
      </c>
      <c r="CK49" s="13" t="str">
        <f ca="1">INDEX(DataTbl[],MATCH(P48,DataTbl[Task Name],0),MATCH("Overdue",DataTbl[#Headers],0))</f>
        <v>No</v>
      </c>
      <c r="CL49" s="73"/>
      <c r="CV49" s="13" t="s">
        <v>72</v>
      </c>
      <c r="CW49" s="13" t="str">
        <f ca="1">INDEX(DataTbl[],MATCH(V48,DataTbl[Task Name],0),MATCH("Overdue",DataTbl[#Headers],0))</f>
        <v>No</v>
      </c>
      <c r="CX49" s="73"/>
      <c r="DH49" s="13" t="s">
        <v>72</v>
      </c>
      <c r="DI49" s="13" t="str">
        <f ca="1">INDEX(DataTbl[],MATCH(AB48,DataTbl[Task Name],0),MATCH("Overdue",DataTbl[#Headers],0))</f>
        <v>No</v>
      </c>
      <c r="DJ49" s="73"/>
      <c r="DT49" s="13" t="s">
        <v>72</v>
      </c>
      <c r="DU49" s="13" t="str">
        <f ca="1">INDEX(DataTbl[],MATCH(AH48,DataTbl[Task Name],0),MATCH("Overdue",DataTbl[#Headers],0))</f>
        <v>No</v>
      </c>
      <c r="DV49" s="73"/>
      <c r="EF49" s="13" t="s">
        <v>72</v>
      </c>
      <c r="EG49" s="13" t="str">
        <f ca="1">INDEX(DataTbl[],MATCH(AN48,DataTbl[Task Name],0),MATCH("Overdue",DataTbl[#Headers],0))</f>
        <v>No</v>
      </c>
      <c r="EH49" s="73"/>
      <c r="ER49" s="13" t="s">
        <v>72</v>
      </c>
      <c r="ES49" s="13" t="str">
        <f ca="1">INDEX(DataTbl[],MATCH(AT48,DataTbl[Task Name],0),MATCH("Overdue",DataTbl[#Headers],0))</f>
        <v>No</v>
      </c>
      <c r="ET49" s="73"/>
      <c r="FD49" s="13" t="s">
        <v>72</v>
      </c>
      <c r="FE49" s="13" t="str">
        <f ca="1">INDEX(DataTbl[],MATCH(AZ48,DataTbl[Task Name],0),MATCH("Overdue",DataTbl[#Headers],0))</f>
        <v>No</v>
      </c>
      <c r="FF49" s="73"/>
    </row>
    <row r="50" spans="1:162" x14ac:dyDescent="0.25">
      <c r="A50" s="18"/>
      <c r="B50" s="67"/>
      <c r="C50" s="18"/>
      <c r="D50" s="20" t="str">
        <f>IF(D48=0,""," "&amp;"Assigned To"&amp;": ")</f>
        <v/>
      </c>
      <c r="E50" s="71" t="str">
        <f>IFERROR(INDEX(InputTbl[],MATCH(D48,InputTbl[Task Name],0),MATCH("Assigned To",InputTbl[#Headers],0)),"")</f>
        <v/>
      </c>
      <c r="F50" s="71"/>
      <c r="G50" s="18"/>
      <c r="H50" s="67"/>
      <c r="I50" s="18"/>
      <c r="J50" s="20" t="str">
        <f>IF(J48=0,""," "&amp;"Assigned To"&amp;": ")</f>
        <v/>
      </c>
      <c r="K50" s="71" t="str">
        <f>IFERROR(INDEX(InputTbl[],MATCH(J48,InputTbl[Task Name],0),MATCH("Assigned To",InputTbl[#Headers],0)),"")</f>
        <v/>
      </c>
      <c r="L50" s="71"/>
      <c r="M50" s="18"/>
      <c r="N50" s="67"/>
      <c r="O50" s="18"/>
      <c r="P50" s="20" t="str">
        <f>IF(P48=0,""," "&amp;"Assigned To"&amp;": ")</f>
        <v/>
      </c>
      <c r="Q50" s="71" t="str">
        <f>IFERROR(INDEX(InputTbl[],MATCH(P48,InputTbl[Task Name],0),MATCH("Assigned To",InputTbl[#Headers],0)),"")</f>
        <v/>
      </c>
      <c r="R50" s="71"/>
      <c r="S50" s="18"/>
      <c r="T50" s="67"/>
      <c r="U50" s="18"/>
      <c r="V50" s="20" t="str">
        <f>IF(V48=0,""," "&amp;"Assigned To"&amp;": ")</f>
        <v/>
      </c>
      <c r="W50" s="71" t="str">
        <f>IFERROR(INDEX(InputTbl[],MATCH(V48,InputTbl[Task Name],0),MATCH("Assigned To",InputTbl[#Headers],0)),"")</f>
        <v/>
      </c>
      <c r="X50" s="71"/>
      <c r="Y50" s="18"/>
      <c r="Z50" s="67"/>
      <c r="AA50" s="18"/>
      <c r="AB50" s="20" t="str">
        <f>IF(AB48=0,""," "&amp;"Assigned To"&amp;": ")</f>
        <v/>
      </c>
      <c r="AC50" s="71" t="str">
        <f>IFERROR(INDEX(InputTbl[],MATCH(AB48,InputTbl[Task Name],0),MATCH("Assigned To",InputTbl[#Headers],0)),"")</f>
        <v/>
      </c>
      <c r="AD50" s="71"/>
      <c r="AE50" s="18"/>
      <c r="AF50" s="67"/>
      <c r="AG50" s="18"/>
      <c r="AH50" s="20" t="str">
        <f>IF(AH48=0,""," "&amp;"Assigned To"&amp;": ")</f>
        <v/>
      </c>
      <c r="AI50" s="71" t="str">
        <f>IFERROR(INDEX(InputTbl[],MATCH(AH48,InputTbl[Task Name],0),MATCH("Assigned To",InputTbl[#Headers],0)),"")</f>
        <v/>
      </c>
      <c r="AJ50" s="71"/>
      <c r="AK50" s="18"/>
      <c r="AL50" s="67"/>
      <c r="AM50" s="18"/>
      <c r="AN50" s="20" t="str">
        <f>IF(AN48=0,""," "&amp;"Assigned To"&amp;": ")</f>
        <v/>
      </c>
      <c r="AO50" s="71" t="str">
        <f>IFERROR(INDEX(InputTbl[],MATCH(AN48,InputTbl[Task Name],0),MATCH("Assigned To",InputTbl[#Headers],0)),"")</f>
        <v/>
      </c>
      <c r="AP50" s="71"/>
      <c r="AQ50" s="18"/>
      <c r="AR50" s="67"/>
      <c r="AS50" s="18"/>
      <c r="AT50" s="20" t="str">
        <f>IF(AT48=0,""," "&amp;"Assigned To"&amp;": ")</f>
        <v/>
      </c>
      <c r="AU50" s="71" t="str">
        <f>IFERROR(INDEX(InputTbl[],MATCH(AT48,InputTbl[Task Name],0),MATCH("Assigned To",InputTbl[#Headers],0)),"")</f>
        <v/>
      </c>
      <c r="AV50" s="71"/>
      <c r="AW50" s="18"/>
      <c r="AX50" s="67"/>
      <c r="AY50" s="18"/>
      <c r="AZ50" s="20" t="str">
        <f>IF(AZ48=0,""," "&amp;"Assigned To"&amp;": ")</f>
        <v/>
      </c>
      <c r="BA50" s="71" t="str">
        <f>IFERROR(INDEX(InputTbl[],MATCH(AZ48,InputTbl[Task Name],0),MATCH("Assigned To",InputTbl[#Headers],0)),"")</f>
        <v/>
      </c>
      <c r="BB50" s="71"/>
      <c r="BC50" s="18"/>
      <c r="BD50" s="67"/>
      <c r="BE50" s="18"/>
      <c r="BL50" s="7"/>
      <c r="BM50" s="75"/>
      <c r="BN50" s="75"/>
      <c r="BX50" s="7"/>
      <c r="BY50" s="75"/>
      <c r="BZ50" s="75"/>
      <c r="CJ50" s="7"/>
      <c r="CK50" s="75"/>
      <c r="CL50" s="75"/>
      <c r="CV50" s="7"/>
      <c r="CW50" s="75"/>
      <c r="CX50" s="75"/>
      <c r="DH50" s="7"/>
      <c r="DI50" s="75"/>
      <c r="DJ50" s="75"/>
      <c r="DT50" s="7"/>
      <c r="DU50" s="75"/>
      <c r="DV50" s="75"/>
      <c r="EF50" s="7"/>
      <c r="EG50" s="75"/>
      <c r="EH50" s="75"/>
      <c r="ER50" s="7"/>
      <c r="ES50" s="75"/>
      <c r="ET50" s="75"/>
      <c r="FD50" s="7"/>
      <c r="FE50" s="75"/>
      <c r="FF50" s="75"/>
    </row>
    <row r="51" spans="1:162" x14ac:dyDescent="0.25">
      <c r="A51" s="18"/>
      <c r="B51" s="67"/>
      <c r="C51" s="18"/>
      <c r="D51" s="21" t="str">
        <f>IF(D48=0,""," "&amp;"Date Due"&amp;": ")</f>
        <v/>
      </c>
      <c r="E51" s="72" t="str">
        <f ca="1">IFERROR(IF(BM49="Yes",_xlfn.CONCAT("⚠"," ",TEXT(INDEX(InputTbl[],MATCH(D48,InputTbl[Task Name],0),MATCH("Due Date",InputTbl[#Headers],0)),"mm/dd/yyyy")," ","⚠"),INDEX(InputTbl[],MATCH(D48,InputTbl[Task Name],0),MATCH("Due Date",InputTbl[#Headers],0))),"")</f>
        <v/>
      </c>
      <c r="F51" s="72"/>
      <c r="G51" s="18"/>
      <c r="H51" s="67"/>
      <c r="I51" s="18"/>
      <c r="J51" s="21" t="str">
        <f>IF(J48=0,""," "&amp;"Date Due"&amp;": ")</f>
        <v/>
      </c>
      <c r="K51" s="72" t="str">
        <f ca="1">IFERROR(IF(BY49="Yes",_xlfn.CONCAT("⚠"," ",TEXT(INDEX(InputTbl[],MATCH(J48,InputTbl[Task Name],0),MATCH("Due Date",InputTbl[#Headers],0)),"mm/dd/yyyy")," ","⚠"),INDEX(InputTbl[],MATCH(J48,InputTbl[Task Name],0),MATCH("Due Date",InputTbl[#Headers],0))),"")</f>
        <v/>
      </c>
      <c r="L51" s="72"/>
      <c r="M51" s="18"/>
      <c r="N51" s="67"/>
      <c r="O51" s="18"/>
      <c r="P51" s="21" t="str">
        <f>IF(P48=0,""," "&amp;"Date Due"&amp;": ")</f>
        <v/>
      </c>
      <c r="Q51" s="72" t="str">
        <f ca="1">IFERROR(IF(CK49="Yes",_xlfn.CONCAT("⚠"," ",TEXT(INDEX(InputTbl[],MATCH(P48,InputTbl[Task Name],0),MATCH("Due Date",InputTbl[#Headers],0)),"mm/dd/yyyy")," ","⚠"),INDEX(InputTbl[],MATCH(P48,InputTbl[Task Name],0),MATCH("Due Date",InputTbl[#Headers],0))),"")</f>
        <v/>
      </c>
      <c r="R51" s="72"/>
      <c r="S51" s="18"/>
      <c r="T51" s="67"/>
      <c r="U51" s="18"/>
      <c r="V51" s="21" t="str">
        <f>IF(V48=0,""," "&amp;"Date Due"&amp;": ")</f>
        <v/>
      </c>
      <c r="W51" s="72" t="str">
        <f ca="1">IFERROR(IF(CW49="Yes",_xlfn.CONCAT("⚠"," ",TEXT(INDEX(InputTbl[],MATCH(V48,InputTbl[Task Name],0),MATCH("Due Date",InputTbl[#Headers],0)),"mm/dd/yyyy")," ","⚠"),INDEX(InputTbl[],MATCH(V48,InputTbl[Task Name],0),MATCH("Due Date",InputTbl[#Headers],0))),"")</f>
        <v/>
      </c>
      <c r="X51" s="72"/>
      <c r="Y51" s="18"/>
      <c r="Z51" s="67"/>
      <c r="AA51" s="18"/>
      <c r="AB51" s="21" t="str">
        <f>IF(AB48=0,""," "&amp;"Date Due"&amp;": ")</f>
        <v/>
      </c>
      <c r="AC51" s="72" t="str">
        <f ca="1">IFERROR(IF(DI49="Yes",_xlfn.CONCAT("⚠"," ",TEXT(INDEX(InputTbl[],MATCH(AB48,InputTbl[Task Name],0),MATCH("Due Date",InputTbl[#Headers],0)),"mm/dd/yyyy")," ","⚠"),INDEX(InputTbl[],MATCH(AB48,InputTbl[Task Name],0),MATCH("Due Date",InputTbl[#Headers],0))),"")</f>
        <v/>
      </c>
      <c r="AD51" s="72"/>
      <c r="AE51" s="18"/>
      <c r="AF51" s="67"/>
      <c r="AG51" s="18"/>
      <c r="AH51" s="21" t="str">
        <f>IF(AH48=0,""," "&amp;"Date Due"&amp;": ")</f>
        <v/>
      </c>
      <c r="AI51" s="72" t="str">
        <f ca="1">IFERROR(IF(DU49="Yes",_xlfn.CONCAT("⚠"," ",TEXT(INDEX(InputTbl[],MATCH(AH48,InputTbl[Task Name],0),MATCH("Due Date",InputTbl[#Headers],0)),"mm/dd/yyyy")," ","⚠"),INDEX(InputTbl[],MATCH(AH48,InputTbl[Task Name],0),MATCH("Due Date",InputTbl[#Headers],0))),"")</f>
        <v/>
      </c>
      <c r="AJ51" s="72"/>
      <c r="AK51" s="18"/>
      <c r="AL51" s="67"/>
      <c r="AM51" s="18"/>
      <c r="AN51" s="21" t="str">
        <f>IF(AN48=0,""," "&amp;"Date Due"&amp;": ")</f>
        <v/>
      </c>
      <c r="AO51" s="72" t="str">
        <f ca="1">IFERROR(IF(EG49="Yes",_xlfn.CONCAT("⚠"," ",TEXT(INDEX(InputTbl[],MATCH(AN48,InputTbl[Task Name],0),MATCH("Due Date",InputTbl[#Headers],0)),"mm/dd/yyyy")," ","⚠"),INDEX(InputTbl[],MATCH(AN48,InputTbl[Task Name],0),MATCH("Due Date",InputTbl[#Headers],0))),"")</f>
        <v/>
      </c>
      <c r="AP51" s="72"/>
      <c r="AQ51" s="18"/>
      <c r="AR51" s="67"/>
      <c r="AS51" s="18"/>
      <c r="AT51" s="21" t="str">
        <f>IF(AT48=0,""," "&amp;"Date Due"&amp;": ")</f>
        <v/>
      </c>
      <c r="AU51" s="72" t="str">
        <f ca="1">IFERROR(IF(ES49="Yes",_xlfn.CONCAT("⚠"," ",TEXT(INDEX(InputTbl[],MATCH(AT48,InputTbl[Task Name],0),MATCH("Due Date",InputTbl[#Headers],0)),"mm/dd/yyyy")," ","⚠"),INDEX(InputTbl[],MATCH(AT48,InputTbl[Task Name],0),MATCH("Due Date",InputTbl[#Headers],0))),"")</f>
        <v/>
      </c>
      <c r="AV51" s="72"/>
      <c r="AW51" s="18"/>
      <c r="AX51" s="67"/>
      <c r="AY51" s="18"/>
      <c r="AZ51" s="21" t="str">
        <f>IF(AZ48=0,""," "&amp;"Date Due"&amp;": ")</f>
        <v/>
      </c>
      <c r="BA51" s="72" t="str">
        <f ca="1">IFERROR(IF(FE49="Yes",_xlfn.CONCAT("⚠"," ",TEXT(INDEX(InputTbl[],MATCH(AZ48,InputTbl[Task Name],0),MATCH("Due Date",InputTbl[#Headers],0)),"mm/dd/yyyy")," ","⚠"),INDEX(InputTbl[],MATCH(AZ48,InputTbl[Task Name],0),MATCH("Due Date",InputTbl[#Headers],0))),"")</f>
        <v/>
      </c>
      <c r="BB51" s="72"/>
      <c r="BC51" s="18"/>
      <c r="BD51" s="67"/>
      <c r="BE51" s="18"/>
      <c r="BL51" s="8"/>
      <c r="BM51" s="74"/>
      <c r="BN51" s="74"/>
      <c r="BX51" s="8"/>
      <c r="BY51" s="74"/>
      <c r="BZ51" s="74"/>
      <c r="CJ51" s="8"/>
      <c r="CK51" s="74"/>
      <c r="CL51" s="74"/>
      <c r="CV51" s="8"/>
      <c r="CW51" s="74"/>
      <c r="CX51" s="74"/>
      <c r="DH51" s="8"/>
      <c r="DI51" s="74"/>
      <c r="DJ51" s="74"/>
      <c r="DT51" s="8"/>
      <c r="DU51" s="74"/>
      <c r="DV51" s="74"/>
      <c r="EF51" s="8"/>
      <c r="EG51" s="74"/>
      <c r="EH51" s="74"/>
      <c r="ER51" s="8"/>
      <c r="ES51" s="74"/>
      <c r="ET51" s="74"/>
      <c r="FD51" s="8"/>
      <c r="FE51" s="74"/>
      <c r="FF51" s="74"/>
    </row>
    <row r="52" spans="1:162" ht="15" customHeight="1" x14ac:dyDescent="0.25">
      <c r="A52" s="18"/>
      <c r="B52" s="67"/>
      <c r="C52" s="18"/>
      <c r="D52" s="18"/>
      <c r="E52" s="18"/>
      <c r="F52" s="18"/>
      <c r="G52" s="18"/>
      <c r="H52" s="67"/>
      <c r="I52" s="18"/>
      <c r="J52" s="18"/>
      <c r="K52" s="18"/>
      <c r="L52" s="18"/>
      <c r="M52" s="18"/>
      <c r="N52" s="67"/>
      <c r="O52" s="18"/>
      <c r="P52" s="18"/>
      <c r="Q52" s="18"/>
      <c r="R52" s="18"/>
      <c r="S52" s="18"/>
      <c r="T52" s="67"/>
      <c r="U52" s="18"/>
      <c r="V52" s="18"/>
      <c r="W52" s="18"/>
      <c r="X52" s="18"/>
      <c r="Y52" s="18"/>
      <c r="Z52" s="67"/>
      <c r="AA52" s="18"/>
      <c r="AB52" s="18"/>
      <c r="AC52" s="18"/>
      <c r="AD52" s="18"/>
      <c r="AE52" s="18"/>
      <c r="AF52" s="67"/>
      <c r="AG52" s="18"/>
      <c r="AH52" s="18"/>
      <c r="AI52" s="18"/>
      <c r="AJ52" s="18"/>
      <c r="AK52" s="18"/>
      <c r="AL52" s="67"/>
      <c r="AM52" s="18"/>
      <c r="AN52" s="18"/>
      <c r="AO52" s="18"/>
      <c r="AP52" s="18"/>
      <c r="AQ52" s="18"/>
      <c r="AR52" s="67"/>
      <c r="AS52" s="18"/>
      <c r="AT52" s="18"/>
      <c r="AU52" s="18"/>
      <c r="AV52" s="18"/>
      <c r="AW52" s="18"/>
      <c r="AX52" s="67"/>
      <c r="AY52" s="18"/>
      <c r="AZ52" s="18"/>
      <c r="BA52" s="18"/>
      <c r="BB52" s="18"/>
      <c r="BC52" s="18"/>
      <c r="BD52" s="67"/>
      <c r="BE52" s="18"/>
    </row>
    <row r="53" spans="1:162" x14ac:dyDescent="0.25">
      <c r="A53" s="18"/>
      <c r="B53" s="67"/>
      <c r="C53" s="18"/>
      <c r="D53" s="69">
        <f>INDEX(KanbanPrep!$A$5:$S$189,VLOOKUP(ROW(),RowLookupTbl,2,FALSE),SMALL({1,3,5,7,9,11,13,15,17,19},MATCH(D$6,StatusOptions,0)))</f>
        <v>0</v>
      </c>
      <c r="E53" s="69"/>
      <c r="F53" s="70" t="str">
        <f>IFERROR(IF(BM53="Low",2,IF(BM53="Medium",1,0)),"")</f>
        <v/>
      </c>
      <c r="G53" s="18"/>
      <c r="H53" s="67"/>
      <c r="I53" s="18"/>
      <c r="J53" s="69">
        <f>INDEX(KanbanPrep!$A$5:$S$189,VLOOKUP(ROW(),RowLookupTbl,2,FALSE),SMALL({1,3,5,7,9,11,13,15,17,19},MATCH(J$6,StatusOptions,0)))</f>
        <v>0</v>
      </c>
      <c r="K53" s="69"/>
      <c r="L53" s="70" t="str">
        <f>IFERROR(IF(BY53="Low",2,IF(BY53="Medium",1,0)),"")</f>
        <v/>
      </c>
      <c r="M53" s="18"/>
      <c r="N53" s="67"/>
      <c r="O53" s="18"/>
      <c r="P53" s="69">
        <f>INDEX(KanbanPrep!$A$5:$S$189,VLOOKUP(ROW(),RowLookupTbl,2,FALSE),SMALL({1,3,5,7,9,11,13,15,17,19},MATCH(P$6,StatusOptions,0)))</f>
        <v>0</v>
      </c>
      <c r="Q53" s="69"/>
      <c r="R53" s="70" t="str">
        <f>IFERROR(IF(CK53="Low",2,IF(CK53="Medium",1,0)),"")</f>
        <v/>
      </c>
      <c r="S53" s="18"/>
      <c r="T53" s="67"/>
      <c r="U53" s="18"/>
      <c r="V53" s="69">
        <f>INDEX(KanbanPrep!$A$5:$S$189,VLOOKUP(ROW(),RowLookupTbl,2,FALSE),SMALL({1,3,5,7,9,11,13,15,17,19},MATCH(V$6,StatusOptions,0)))</f>
        <v>0</v>
      </c>
      <c r="W53" s="69"/>
      <c r="X53" s="70" t="str">
        <f>IFERROR(IF(CW53="Low",2,IF(CW53="Medium",1,0)),"")</f>
        <v/>
      </c>
      <c r="Y53" s="18"/>
      <c r="Z53" s="67"/>
      <c r="AA53" s="18"/>
      <c r="AB53" s="69">
        <f>INDEX(KanbanPrep!$A$5:$S$189,VLOOKUP(ROW(),RowLookupTbl,2,FALSE),SMALL({1,3,5,7,9,11,13,15,17,19},MATCH(AB$6,StatusOptions,0)))</f>
        <v>0</v>
      </c>
      <c r="AC53" s="69"/>
      <c r="AD53" s="70" t="str">
        <f>IFERROR(IF(DI53="Low",2,IF(DI53="Medium",1,0)),"")</f>
        <v/>
      </c>
      <c r="AE53" s="18"/>
      <c r="AF53" s="67"/>
      <c r="AG53" s="18"/>
      <c r="AH53" s="69">
        <f>INDEX(KanbanPrep!$A$5:$S$189,VLOOKUP(ROW(),RowLookupTbl,2,FALSE),SMALL({1,3,5,7,9,11,13,15,17,19},MATCH(AH$6,StatusOptions,0)))</f>
        <v>0</v>
      </c>
      <c r="AI53" s="69"/>
      <c r="AJ53" s="70" t="str">
        <f>IFERROR(IF(DU53="Low",2,IF(DU53="Medium",1,0)),"")</f>
        <v/>
      </c>
      <c r="AK53" s="18"/>
      <c r="AL53" s="67"/>
      <c r="AM53" s="18"/>
      <c r="AN53" s="69">
        <f>INDEX(KanbanPrep!$A$5:$S$189,VLOOKUP(ROW(),RowLookupTbl,2,FALSE),SMALL({1,3,5,7,9,11,13,15,17,19},MATCH(AN$6,StatusOptions,0)))</f>
        <v>0</v>
      </c>
      <c r="AO53" s="69"/>
      <c r="AP53" s="70" t="str">
        <f>IFERROR(IF(EG53="Low",2,IF(EG53="Medium",1,0)),"")</f>
        <v/>
      </c>
      <c r="AQ53" s="18"/>
      <c r="AR53" s="67"/>
      <c r="AS53" s="18"/>
      <c r="AT53" s="69">
        <f>INDEX(KanbanPrep!$A$5:$S$189,VLOOKUP(ROW(),RowLookupTbl,2,FALSE),SMALL({1,3,5,7,9,11,13,15,17,19},MATCH(AT$6,StatusOptions,0)))</f>
        <v>0</v>
      </c>
      <c r="AU53" s="69"/>
      <c r="AV53" s="70" t="str">
        <f>IFERROR(IF(ES53="Low",2,IF(ES53="Medium",1,0)),"")</f>
        <v/>
      </c>
      <c r="AW53" s="18"/>
      <c r="AX53" s="67"/>
      <c r="AY53" s="18"/>
      <c r="AZ53" s="69">
        <f>INDEX(KanbanPrep!$A$5:$S$189,VLOOKUP(ROW(),RowLookupTbl,2,FALSE),SMALL({1,3,5,7,9,11,13,15,17,19},MATCH(AZ$6,StatusOptions,0)))</f>
        <v>0</v>
      </c>
      <c r="BA53" s="69"/>
      <c r="BB53" s="70" t="str">
        <f>IFERROR(IF(FE53="Low",2,IF(FE53="Medium",1,0)),"")</f>
        <v/>
      </c>
      <c r="BC53" s="18"/>
      <c r="BD53" s="67"/>
      <c r="BE53" s="18"/>
      <c r="BL53" s="13" t="s">
        <v>60</v>
      </c>
      <c r="BM53" s="13" t="e">
        <f>INDEX(InputTbl[],MATCH(D53,InputTbl[Task Name],0),MATCH("Priority",InputTbl[#Headers],0))</f>
        <v>#N/A</v>
      </c>
      <c r="BN53" s="73"/>
      <c r="BX53" s="13" t="s">
        <v>60</v>
      </c>
      <c r="BY53" s="13" t="e">
        <f>INDEX(InputTbl[],MATCH(J53,InputTbl[Task Name],0),MATCH("Priority",InputTbl[#Headers],0))</f>
        <v>#N/A</v>
      </c>
      <c r="BZ53" s="73"/>
      <c r="CJ53" s="13" t="s">
        <v>60</v>
      </c>
      <c r="CK53" s="13" t="e">
        <f>INDEX(InputTbl[],MATCH(P53,InputTbl[Task Name],0),MATCH("Priority",InputTbl[#Headers],0))</f>
        <v>#N/A</v>
      </c>
      <c r="CL53" s="73"/>
      <c r="CV53" s="13" t="s">
        <v>60</v>
      </c>
      <c r="CW53" s="13" t="e">
        <f>INDEX(InputTbl[],MATCH(V53,InputTbl[Task Name],0),MATCH("Priority",InputTbl[#Headers],0))</f>
        <v>#N/A</v>
      </c>
      <c r="CX53" s="73"/>
      <c r="DH53" s="13" t="s">
        <v>60</v>
      </c>
      <c r="DI53" s="13" t="e">
        <f>INDEX(InputTbl[],MATCH(AB53,InputTbl[Task Name],0),MATCH("Priority",InputTbl[#Headers],0))</f>
        <v>#N/A</v>
      </c>
      <c r="DJ53" s="73"/>
      <c r="DT53" s="13" t="s">
        <v>60</v>
      </c>
      <c r="DU53" s="13" t="e">
        <f>INDEX(InputTbl[],MATCH(AH53,InputTbl[Task Name],0),MATCH("Priority",InputTbl[#Headers],0))</f>
        <v>#N/A</v>
      </c>
      <c r="DV53" s="73"/>
      <c r="EF53" s="13" t="s">
        <v>60</v>
      </c>
      <c r="EG53" s="13" t="e">
        <f>INDEX(InputTbl[],MATCH(AN53,InputTbl[Task Name],0),MATCH("Priority",InputTbl[#Headers],0))</f>
        <v>#N/A</v>
      </c>
      <c r="EH53" s="73"/>
      <c r="ER53" s="13" t="s">
        <v>60</v>
      </c>
      <c r="ES53" s="13" t="e">
        <f>INDEX(InputTbl[],MATCH(AT53,InputTbl[Task Name],0),MATCH("Priority",InputTbl[#Headers],0))</f>
        <v>#N/A</v>
      </c>
      <c r="ET53" s="73"/>
      <c r="FD53" s="13" t="s">
        <v>60</v>
      </c>
      <c r="FE53" s="13" t="e">
        <f>INDEX(InputTbl[],MATCH(AZ53,InputTbl[Task Name],0),MATCH("Priority",InputTbl[#Headers],0))</f>
        <v>#N/A</v>
      </c>
      <c r="FF53" s="73"/>
    </row>
    <row r="54" spans="1:162" x14ac:dyDescent="0.25">
      <c r="A54" s="18"/>
      <c r="B54" s="67"/>
      <c r="C54" s="18"/>
      <c r="D54" s="69"/>
      <c r="E54" s="69"/>
      <c r="F54" s="70"/>
      <c r="G54" s="18"/>
      <c r="H54" s="67"/>
      <c r="I54" s="18"/>
      <c r="J54" s="69"/>
      <c r="K54" s="69"/>
      <c r="L54" s="70"/>
      <c r="M54" s="18"/>
      <c r="N54" s="67"/>
      <c r="O54" s="18"/>
      <c r="P54" s="69"/>
      <c r="Q54" s="69"/>
      <c r="R54" s="70"/>
      <c r="S54" s="18"/>
      <c r="T54" s="67"/>
      <c r="U54" s="18"/>
      <c r="V54" s="69"/>
      <c r="W54" s="69"/>
      <c r="X54" s="70"/>
      <c r="Y54" s="18"/>
      <c r="Z54" s="67"/>
      <c r="AA54" s="18"/>
      <c r="AB54" s="69"/>
      <c r="AC54" s="69"/>
      <c r="AD54" s="70"/>
      <c r="AE54" s="18"/>
      <c r="AF54" s="67"/>
      <c r="AG54" s="18"/>
      <c r="AH54" s="69"/>
      <c r="AI54" s="69"/>
      <c r="AJ54" s="70"/>
      <c r="AK54" s="18"/>
      <c r="AL54" s="67"/>
      <c r="AM54" s="18"/>
      <c r="AN54" s="69"/>
      <c r="AO54" s="69"/>
      <c r="AP54" s="70"/>
      <c r="AQ54" s="18"/>
      <c r="AR54" s="67"/>
      <c r="AS54" s="18"/>
      <c r="AT54" s="69"/>
      <c r="AU54" s="69"/>
      <c r="AV54" s="70"/>
      <c r="AW54" s="18"/>
      <c r="AX54" s="67"/>
      <c r="AY54" s="18"/>
      <c r="AZ54" s="69"/>
      <c r="BA54" s="69"/>
      <c r="BB54" s="70"/>
      <c r="BC54" s="18"/>
      <c r="BD54" s="67"/>
      <c r="BE54" s="18"/>
      <c r="BL54" s="13" t="s">
        <v>72</v>
      </c>
      <c r="BM54" s="13" t="str">
        <f ca="1">INDEX(DataTbl[],MATCH(D53,DataTbl[Task Name],0),MATCH("Overdue",DataTbl[#Headers],0))</f>
        <v>No</v>
      </c>
      <c r="BN54" s="73"/>
      <c r="BX54" s="13" t="s">
        <v>72</v>
      </c>
      <c r="BY54" s="13" t="str">
        <f ca="1">INDEX(DataTbl[],MATCH(J53,DataTbl[Task Name],0),MATCH("Overdue",DataTbl[#Headers],0))</f>
        <v>No</v>
      </c>
      <c r="BZ54" s="73"/>
      <c r="CJ54" s="13" t="s">
        <v>72</v>
      </c>
      <c r="CK54" s="13" t="str">
        <f ca="1">INDEX(DataTbl[],MATCH(P53,DataTbl[Task Name],0),MATCH("Overdue",DataTbl[#Headers],0))</f>
        <v>No</v>
      </c>
      <c r="CL54" s="73"/>
      <c r="CV54" s="13" t="s">
        <v>72</v>
      </c>
      <c r="CW54" s="13" t="str">
        <f ca="1">INDEX(DataTbl[],MATCH(V53,DataTbl[Task Name],0),MATCH("Overdue",DataTbl[#Headers],0))</f>
        <v>No</v>
      </c>
      <c r="CX54" s="73"/>
      <c r="DH54" s="13" t="s">
        <v>72</v>
      </c>
      <c r="DI54" s="13" t="str">
        <f ca="1">INDEX(DataTbl[],MATCH(AB53,DataTbl[Task Name],0),MATCH("Overdue",DataTbl[#Headers],0))</f>
        <v>No</v>
      </c>
      <c r="DJ54" s="73"/>
      <c r="DT54" s="13" t="s">
        <v>72</v>
      </c>
      <c r="DU54" s="13" t="str">
        <f ca="1">INDEX(DataTbl[],MATCH(AH53,DataTbl[Task Name],0),MATCH("Overdue",DataTbl[#Headers],0))</f>
        <v>No</v>
      </c>
      <c r="DV54" s="73"/>
      <c r="EF54" s="13" t="s">
        <v>72</v>
      </c>
      <c r="EG54" s="13" t="str">
        <f ca="1">INDEX(DataTbl[],MATCH(AN53,DataTbl[Task Name],0),MATCH("Overdue",DataTbl[#Headers],0))</f>
        <v>No</v>
      </c>
      <c r="EH54" s="73"/>
      <c r="ER54" s="13" t="s">
        <v>72</v>
      </c>
      <c r="ES54" s="13" t="str">
        <f ca="1">INDEX(DataTbl[],MATCH(AT53,DataTbl[Task Name],0),MATCH("Overdue",DataTbl[#Headers],0))</f>
        <v>No</v>
      </c>
      <c r="ET54" s="73"/>
      <c r="FD54" s="13" t="s">
        <v>72</v>
      </c>
      <c r="FE54" s="13" t="str">
        <f ca="1">INDEX(DataTbl[],MATCH(AZ53,DataTbl[Task Name],0),MATCH("Overdue",DataTbl[#Headers],0))</f>
        <v>No</v>
      </c>
      <c r="FF54" s="73"/>
    </row>
    <row r="55" spans="1:162" x14ac:dyDescent="0.25">
      <c r="A55" s="18"/>
      <c r="B55" s="67"/>
      <c r="C55" s="18"/>
      <c r="D55" s="20" t="str">
        <f>IF(D53=0,""," "&amp;"Assigned To"&amp;": ")</f>
        <v/>
      </c>
      <c r="E55" s="71" t="str">
        <f>IFERROR(INDEX(InputTbl[],MATCH(D53,InputTbl[Task Name],0),MATCH("Assigned To",InputTbl[#Headers],0)),"")</f>
        <v/>
      </c>
      <c r="F55" s="71"/>
      <c r="G55" s="18"/>
      <c r="H55" s="67"/>
      <c r="I55" s="18"/>
      <c r="J55" s="20" t="str">
        <f>IF(J53=0,""," "&amp;"Assigned To"&amp;": ")</f>
        <v/>
      </c>
      <c r="K55" s="71" t="str">
        <f>IFERROR(INDEX(InputTbl[],MATCH(J53,InputTbl[Task Name],0),MATCH("Assigned To",InputTbl[#Headers],0)),"")</f>
        <v/>
      </c>
      <c r="L55" s="71"/>
      <c r="M55" s="18"/>
      <c r="N55" s="67"/>
      <c r="O55" s="18"/>
      <c r="P55" s="20" t="str">
        <f>IF(P53=0,""," "&amp;"Assigned To"&amp;": ")</f>
        <v/>
      </c>
      <c r="Q55" s="71" t="str">
        <f>IFERROR(INDEX(InputTbl[],MATCH(P53,InputTbl[Task Name],0),MATCH("Assigned To",InputTbl[#Headers],0)),"")</f>
        <v/>
      </c>
      <c r="R55" s="71"/>
      <c r="S55" s="18"/>
      <c r="T55" s="67"/>
      <c r="U55" s="18"/>
      <c r="V55" s="20" t="str">
        <f>IF(V53=0,""," "&amp;"Assigned To"&amp;": ")</f>
        <v/>
      </c>
      <c r="W55" s="71" t="str">
        <f>IFERROR(INDEX(InputTbl[],MATCH(V53,InputTbl[Task Name],0),MATCH("Assigned To",InputTbl[#Headers],0)),"")</f>
        <v/>
      </c>
      <c r="X55" s="71"/>
      <c r="Y55" s="18"/>
      <c r="Z55" s="67"/>
      <c r="AA55" s="18"/>
      <c r="AB55" s="20" t="str">
        <f>IF(AB53=0,""," "&amp;"Assigned To"&amp;": ")</f>
        <v/>
      </c>
      <c r="AC55" s="71" t="str">
        <f>IFERROR(INDEX(InputTbl[],MATCH(AB53,InputTbl[Task Name],0),MATCH("Assigned To",InputTbl[#Headers],0)),"")</f>
        <v/>
      </c>
      <c r="AD55" s="71"/>
      <c r="AE55" s="18"/>
      <c r="AF55" s="67"/>
      <c r="AG55" s="18"/>
      <c r="AH55" s="20" t="str">
        <f>IF(AH53=0,""," "&amp;"Assigned To"&amp;": ")</f>
        <v/>
      </c>
      <c r="AI55" s="71" t="str">
        <f>IFERROR(INDEX(InputTbl[],MATCH(AH53,InputTbl[Task Name],0),MATCH("Assigned To",InputTbl[#Headers],0)),"")</f>
        <v/>
      </c>
      <c r="AJ55" s="71"/>
      <c r="AK55" s="18"/>
      <c r="AL55" s="67"/>
      <c r="AM55" s="18"/>
      <c r="AN55" s="20" t="str">
        <f>IF(AN53=0,""," "&amp;"Assigned To"&amp;": ")</f>
        <v/>
      </c>
      <c r="AO55" s="71" t="str">
        <f>IFERROR(INDEX(InputTbl[],MATCH(AN53,InputTbl[Task Name],0),MATCH("Assigned To",InputTbl[#Headers],0)),"")</f>
        <v/>
      </c>
      <c r="AP55" s="71"/>
      <c r="AQ55" s="18"/>
      <c r="AR55" s="67"/>
      <c r="AS55" s="18"/>
      <c r="AT55" s="20" t="str">
        <f>IF(AT53=0,""," "&amp;"Assigned To"&amp;": ")</f>
        <v/>
      </c>
      <c r="AU55" s="71" t="str">
        <f>IFERROR(INDEX(InputTbl[],MATCH(AT53,InputTbl[Task Name],0),MATCH("Assigned To",InputTbl[#Headers],0)),"")</f>
        <v/>
      </c>
      <c r="AV55" s="71"/>
      <c r="AW55" s="18"/>
      <c r="AX55" s="67"/>
      <c r="AY55" s="18"/>
      <c r="AZ55" s="20" t="str">
        <f>IF(AZ53=0,""," "&amp;"Assigned To"&amp;": ")</f>
        <v/>
      </c>
      <c r="BA55" s="71" t="str">
        <f>IFERROR(INDEX(InputTbl[],MATCH(AZ53,InputTbl[Task Name],0),MATCH("Assigned To",InputTbl[#Headers],0)),"")</f>
        <v/>
      </c>
      <c r="BB55" s="71"/>
      <c r="BC55" s="18"/>
      <c r="BD55" s="67"/>
      <c r="BE55" s="18"/>
      <c r="BL55" s="7"/>
      <c r="BM55" s="75"/>
      <c r="BN55" s="75"/>
      <c r="BX55" s="7"/>
      <c r="BY55" s="75"/>
      <c r="BZ55" s="75"/>
      <c r="CJ55" s="7"/>
      <c r="CK55" s="75"/>
      <c r="CL55" s="75"/>
      <c r="CV55" s="7"/>
      <c r="CW55" s="75"/>
      <c r="CX55" s="75"/>
      <c r="DH55" s="7"/>
      <c r="DI55" s="75"/>
      <c r="DJ55" s="75"/>
      <c r="DT55" s="7"/>
      <c r="DU55" s="75"/>
      <c r="DV55" s="75"/>
      <c r="EF55" s="7"/>
      <c r="EG55" s="75"/>
      <c r="EH55" s="75"/>
      <c r="ER55" s="7"/>
      <c r="ES55" s="75"/>
      <c r="ET55" s="75"/>
      <c r="FD55" s="7"/>
      <c r="FE55" s="75"/>
      <c r="FF55" s="75"/>
    </row>
    <row r="56" spans="1:162" x14ac:dyDescent="0.25">
      <c r="A56" s="18"/>
      <c r="B56" s="67"/>
      <c r="C56" s="18"/>
      <c r="D56" s="21" t="str">
        <f>IF(D53=0,""," "&amp;"Date Due"&amp;": ")</f>
        <v/>
      </c>
      <c r="E56" s="72" t="str">
        <f ca="1">IFERROR(IF(BM54="Yes",_xlfn.CONCAT("⚠"," ",TEXT(INDEX(InputTbl[],MATCH(D53,InputTbl[Task Name],0),MATCH("Due Date",InputTbl[#Headers],0)),"mm/dd/yyyy")," ","⚠"),INDEX(InputTbl[],MATCH(D53,InputTbl[Task Name],0),MATCH("Due Date",InputTbl[#Headers],0))),"")</f>
        <v/>
      </c>
      <c r="F56" s="72"/>
      <c r="G56" s="18"/>
      <c r="H56" s="67"/>
      <c r="I56" s="18"/>
      <c r="J56" s="21" t="str">
        <f>IF(J53=0,""," "&amp;"Date Due"&amp;": ")</f>
        <v/>
      </c>
      <c r="K56" s="72" t="str">
        <f ca="1">IFERROR(IF(BY54="Yes",_xlfn.CONCAT("⚠"," ",TEXT(INDEX(InputTbl[],MATCH(J53,InputTbl[Task Name],0),MATCH("Due Date",InputTbl[#Headers],0)),"mm/dd/yyyy")," ","⚠"),INDEX(InputTbl[],MATCH(J53,InputTbl[Task Name],0),MATCH("Due Date",InputTbl[#Headers],0))),"")</f>
        <v/>
      </c>
      <c r="L56" s="72"/>
      <c r="M56" s="18"/>
      <c r="N56" s="67"/>
      <c r="O56" s="18"/>
      <c r="P56" s="21" t="str">
        <f>IF(P53=0,""," "&amp;"Date Due"&amp;": ")</f>
        <v/>
      </c>
      <c r="Q56" s="72" t="str">
        <f ca="1">IFERROR(IF(CK54="Yes",_xlfn.CONCAT("⚠"," ",TEXT(INDEX(InputTbl[],MATCH(P53,InputTbl[Task Name],0),MATCH("Due Date",InputTbl[#Headers],0)),"mm/dd/yyyy")," ","⚠"),INDEX(InputTbl[],MATCH(P53,InputTbl[Task Name],0),MATCH("Due Date",InputTbl[#Headers],0))),"")</f>
        <v/>
      </c>
      <c r="R56" s="72"/>
      <c r="S56" s="18"/>
      <c r="T56" s="67"/>
      <c r="U56" s="18"/>
      <c r="V56" s="21" t="str">
        <f>IF(V53=0,""," "&amp;"Date Due"&amp;": ")</f>
        <v/>
      </c>
      <c r="W56" s="72" t="str">
        <f ca="1">IFERROR(IF(CW54="Yes",_xlfn.CONCAT("⚠"," ",TEXT(INDEX(InputTbl[],MATCH(V53,InputTbl[Task Name],0),MATCH("Due Date",InputTbl[#Headers],0)),"mm/dd/yyyy")," ","⚠"),INDEX(InputTbl[],MATCH(V53,InputTbl[Task Name],0),MATCH("Due Date",InputTbl[#Headers],0))),"")</f>
        <v/>
      </c>
      <c r="X56" s="72"/>
      <c r="Y56" s="18"/>
      <c r="Z56" s="67"/>
      <c r="AA56" s="18"/>
      <c r="AB56" s="21" t="str">
        <f>IF(AB53=0,""," "&amp;"Date Due"&amp;": ")</f>
        <v/>
      </c>
      <c r="AC56" s="72" t="str">
        <f ca="1">IFERROR(IF(DI54="Yes",_xlfn.CONCAT("⚠"," ",TEXT(INDEX(InputTbl[],MATCH(AB53,InputTbl[Task Name],0),MATCH("Due Date",InputTbl[#Headers],0)),"mm/dd/yyyy")," ","⚠"),INDEX(InputTbl[],MATCH(AB53,InputTbl[Task Name],0),MATCH("Due Date",InputTbl[#Headers],0))),"")</f>
        <v/>
      </c>
      <c r="AD56" s="72"/>
      <c r="AE56" s="18"/>
      <c r="AF56" s="67"/>
      <c r="AG56" s="18"/>
      <c r="AH56" s="21" t="str">
        <f>IF(AH53=0,""," "&amp;"Date Due"&amp;": ")</f>
        <v/>
      </c>
      <c r="AI56" s="72" t="str">
        <f ca="1">IFERROR(IF(DU54="Yes",_xlfn.CONCAT("⚠"," ",TEXT(INDEX(InputTbl[],MATCH(AH53,InputTbl[Task Name],0),MATCH("Due Date",InputTbl[#Headers],0)),"mm/dd/yyyy")," ","⚠"),INDEX(InputTbl[],MATCH(AH53,InputTbl[Task Name],0),MATCH("Due Date",InputTbl[#Headers],0))),"")</f>
        <v/>
      </c>
      <c r="AJ56" s="72"/>
      <c r="AK56" s="18"/>
      <c r="AL56" s="67"/>
      <c r="AM56" s="18"/>
      <c r="AN56" s="21" t="str">
        <f>IF(AN53=0,""," "&amp;"Date Due"&amp;": ")</f>
        <v/>
      </c>
      <c r="AO56" s="72" t="str">
        <f ca="1">IFERROR(IF(EG54="Yes",_xlfn.CONCAT("⚠"," ",TEXT(INDEX(InputTbl[],MATCH(AN53,InputTbl[Task Name],0),MATCH("Due Date",InputTbl[#Headers],0)),"mm/dd/yyyy")," ","⚠"),INDEX(InputTbl[],MATCH(AN53,InputTbl[Task Name],0),MATCH("Due Date",InputTbl[#Headers],0))),"")</f>
        <v/>
      </c>
      <c r="AP56" s="72"/>
      <c r="AQ56" s="18"/>
      <c r="AR56" s="67"/>
      <c r="AS56" s="18"/>
      <c r="AT56" s="21" t="str">
        <f>IF(AT53=0,""," "&amp;"Date Due"&amp;": ")</f>
        <v/>
      </c>
      <c r="AU56" s="72" t="str">
        <f ca="1">IFERROR(IF(ES54="Yes",_xlfn.CONCAT("⚠"," ",TEXT(INDEX(InputTbl[],MATCH(AT53,InputTbl[Task Name],0),MATCH("Due Date",InputTbl[#Headers],0)),"mm/dd/yyyy")," ","⚠"),INDEX(InputTbl[],MATCH(AT53,InputTbl[Task Name],0),MATCH("Due Date",InputTbl[#Headers],0))),"")</f>
        <v/>
      </c>
      <c r="AV56" s="72"/>
      <c r="AW56" s="18"/>
      <c r="AX56" s="67"/>
      <c r="AY56" s="18"/>
      <c r="AZ56" s="21" t="str">
        <f>IF(AZ53=0,""," "&amp;"Date Due"&amp;": ")</f>
        <v/>
      </c>
      <c r="BA56" s="72" t="str">
        <f ca="1">IFERROR(IF(FE54="Yes",_xlfn.CONCAT("⚠"," ",TEXT(INDEX(InputTbl[],MATCH(AZ53,InputTbl[Task Name],0),MATCH("Due Date",InputTbl[#Headers],0)),"mm/dd/yyyy")," ","⚠"),INDEX(InputTbl[],MATCH(AZ53,InputTbl[Task Name],0),MATCH("Due Date",InputTbl[#Headers],0))),"")</f>
        <v/>
      </c>
      <c r="BB56" s="72"/>
      <c r="BC56" s="18"/>
      <c r="BD56" s="67"/>
      <c r="BE56" s="18"/>
      <c r="BL56" s="8"/>
      <c r="BM56" s="74"/>
      <c r="BN56" s="74"/>
      <c r="BX56" s="8"/>
      <c r="BY56" s="74"/>
      <c r="BZ56" s="74"/>
      <c r="CJ56" s="8"/>
      <c r="CK56" s="74"/>
      <c r="CL56" s="74"/>
      <c r="CV56" s="8"/>
      <c r="CW56" s="74"/>
      <c r="CX56" s="74"/>
      <c r="DH56" s="8"/>
      <c r="DI56" s="74"/>
      <c r="DJ56" s="74"/>
      <c r="DT56" s="8"/>
      <c r="DU56" s="74"/>
      <c r="DV56" s="74"/>
      <c r="EF56" s="8"/>
      <c r="EG56" s="74"/>
      <c r="EH56" s="74"/>
      <c r="ER56" s="8"/>
      <c r="ES56" s="74"/>
      <c r="ET56" s="74"/>
      <c r="FD56" s="8"/>
      <c r="FE56" s="74"/>
      <c r="FF56" s="74"/>
    </row>
    <row r="57" spans="1:162" ht="15" customHeight="1" x14ac:dyDescent="0.25">
      <c r="A57" s="18"/>
      <c r="B57" s="67"/>
      <c r="C57" s="18"/>
      <c r="D57" s="18"/>
      <c r="E57" s="18"/>
      <c r="F57" s="18"/>
      <c r="G57" s="18"/>
      <c r="H57" s="67"/>
      <c r="I57" s="18"/>
      <c r="J57" s="18"/>
      <c r="K57" s="18"/>
      <c r="L57" s="18"/>
      <c r="M57" s="18"/>
      <c r="N57" s="67"/>
      <c r="O57" s="18"/>
      <c r="P57" s="18"/>
      <c r="Q57" s="18"/>
      <c r="R57" s="18"/>
      <c r="S57" s="18"/>
      <c r="T57" s="67"/>
      <c r="U57" s="18"/>
      <c r="V57" s="18"/>
      <c r="W57" s="18"/>
      <c r="X57" s="18"/>
      <c r="Y57" s="18"/>
      <c r="Z57" s="67"/>
      <c r="AA57" s="18"/>
      <c r="AB57" s="18"/>
      <c r="AC57" s="18"/>
      <c r="AD57" s="18"/>
      <c r="AE57" s="18"/>
      <c r="AF57" s="67"/>
      <c r="AG57" s="18"/>
      <c r="AH57" s="18"/>
      <c r="AI57" s="18"/>
      <c r="AJ57" s="18"/>
      <c r="AK57" s="18"/>
      <c r="AL57" s="67"/>
      <c r="AM57" s="18"/>
      <c r="AN57" s="18"/>
      <c r="AO57" s="18"/>
      <c r="AP57" s="18"/>
      <c r="AQ57" s="18"/>
      <c r="AR57" s="67"/>
      <c r="AS57" s="18"/>
      <c r="AT57" s="18"/>
      <c r="AU57" s="18"/>
      <c r="AV57" s="18"/>
      <c r="AW57" s="18"/>
      <c r="AX57" s="67"/>
      <c r="AY57" s="18"/>
      <c r="AZ57" s="18"/>
      <c r="BA57" s="18"/>
      <c r="BB57" s="18"/>
      <c r="BC57" s="18"/>
      <c r="BD57" s="67"/>
      <c r="BE57" s="18"/>
    </row>
    <row r="58" spans="1:162" x14ac:dyDescent="0.25">
      <c r="A58" s="18"/>
      <c r="B58" s="67"/>
      <c r="C58" s="18"/>
      <c r="D58" s="69">
        <f>INDEX(KanbanPrep!$A$5:$S$189,VLOOKUP(ROW(),RowLookupTbl,2,FALSE),SMALL({1,3,5,7,9,11,13,15,17,19},MATCH(D$6,StatusOptions,0)))</f>
        <v>0</v>
      </c>
      <c r="E58" s="69"/>
      <c r="F58" s="70" t="str">
        <f>IFERROR(IF(BM58="Low",2,IF(BM58="Medium",1,0)),"")</f>
        <v/>
      </c>
      <c r="G58" s="18"/>
      <c r="H58" s="67"/>
      <c r="I58" s="18"/>
      <c r="J58" s="69">
        <f>INDEX(KanbanPrep!$A$5:$S$189,VLOOKUP(ROW(),RowLookupTbl,2,FALSE),SMALL({1,3,5,7,9,11,13,15,17,19},MATCH(J$6,StatusOptions,0)))</f>
        <v>0</v>
      </c>
      <c r="K58" s="69"/>
      <c r="L58" s="70" t="str">
        <f>IFERROR(IF(BY58="Low",2,IF(BY58="Medium",1,0)),"")</f>
        <v/>
      </c>
      <c r="M58" s="18"/>
      <c r="N58" s="67"/>
      <c r="O58" s="18"/>
      <c r="P58" s="69">
        <f>INDEX(KanbanPrep!$A$5:$S$189,VLOOKUP(ROW(),RowLookupTbl,2,FALSE),SMALL({1,3,5,7,9,11,13,15,17,19},MATCH(P$6,StatusOptions,0)))</f>
        <v>0</v>
      </c>
      <c r="Q58" s="69"/>
      <c r="R58" s="70" t="str">
        <f>IFERROR(IF(CK58="Low",2,IF(CK58="Medium",1,0)),"")</f>
        <v/>
      </c>
      <c r="S58" s="18"/>
      <c r="T58" s="67"/>
      <c r="U58" s="18"/>
      <c r="V58" s="69">
        <f>INDEX(KanbanPrep!$A$5:$S$189,VLOOKUP(ROW(),RowLookupTbl,2,FALSE),SMALL({1,3,5,7,9,11,13,15,17,19},MATCH(V$6,StatusOptions,0)))</f>
        <v>0</v>
      </c>
      <c r="W58" s="69"/>
      <c r="X58" s="70" t="str">
        <f>IFERROR(IF(CW58="Low",2,IF(CW58="Medium",1,0)),"")</f>
        <v/>
      </c>
      <c r="Y58" s="18"/>
      <c r="Z58" s="67"/>
      <c r="AA58" s="18"/>
      <c r="AB58" s="69">
        <f>INDEX(KanbanPrep!$A$5:$S$189,VLOOKUP(ROW(),RowLookupTbl,2,FALSE),SMALL({1,3,5,7,9,11,13,15,17,19},MATCH(AB$6,StatusOptions,0)))</f>
        <v>0</v>
      </c>
      <c r="AC58" s="69"/>
      <c r="AD58" s="70" t="str">
        <f>IFERROR(IF(DI58="Low",2,IF(DI58="Medium",1,0)),"")</f>
        <v/>
      </c>
      <c r="AE58" s="18"/>
      <c r="AF58" s="67"/>
      <c r="AG58" s="18"/>
      <c r="AH58" s="69">
        <f>INDEX(KanbanPrep!$A$5:$S$189,VLOOKUP(ROW(),RowLookupTbl,2,FALSE),SMALL({1,3,5,7,9,11,13,15,17,19},MATCH(AH$6,StatusOptions,0)))</f>
        <v>0</v>
      </c>
      <c r="AI58" s="69"/>
      <c r="AJ58" s="70" t="str">
        <f>IFERROR(IF(DU58="Low",2,IF(DU58="Medium",1,0)),"")</f>
        <v/>
      </c>
      <c r="AK58" s="18"/>
      <c r="AL58" s="67"/>
      <c r="AM58" s="18"/>
      <c r="AN58" s="69">
        <f>INDEX(KanbanPrep!$A$5:$S$189,VLOOKUP(ROW(),RowLookupTbl,2,FALSE),SMALL({1,3,5,7,9,11,13,15,17,19},MATCH(AN$6,StatusOptions,0)))</f>
        <v>0</v>
      </c>
      <c r="AO58" s="69"/>
      <c r="AP58" s="70" t="str">
        <f>IFERROR(IF(EG58="Low",2,IF(EG58="Medium",1,0)),"")</f>
        <v/>
      </c>
      <c r="AQ58" s="18"/>
      <c r="AR58" s="67"/>
      <c r="AS58" s="18"/>
      <c r="AT58" s="69">
        <f>INDEX(KanbanPrep!$A$5:$S$189,VLOOKUP(ROW(),RowLookupTbl,2,FALSE),SMALL({1,3,5,7,9,11,13,15,17,19},MATCH(AT$6,StatusOptions,0)))</f>
        <v>0</v>
      </c>
      <c r="AU58" s="69"/>
      <c r="AV58" s="70" t="str">
        <f>IFERROR(IF(ES58="Low",2,IF(ES58="Medium",1,0)),"")</f>
        <v/>
      </c>
      <c r="AW58" s="18"/>
      <c r="AX58" s="67"/>
      <c r="AY58" s="18"/>
      <c r="AZ58" s="69">
        <f>INDEX(KanbanPrep!$A$5:$S$189,VLOOKUP(ROW(),RowLookupTbl,2,FALSE),SMALL({1,3,5,7,9,11,13,15,17,19},MATCH(AZ$6,StatusOptions,0)))</f>
        <v>0</v>
      </c>
      <c r="BA58" s="69"/>
      <c r="BB58" s="70" t="str">
        <f>IFERROR(IF(FE58="Low",2,IF(FE58="Medium",1,0)),"")</f>
        <v/>
      </c>
      <c r="BC58" s="18"/>
      <c r="BD58" s="67"/>
      <c r="BE58" s="18"/>
      <c r="BL58" s="13" t="s">
        <v>60</v>
      </c>
      <c r="BM58" s="13" t="e">
        <f>INDEX(InputTbl[],MATCH(D58,InputTbl[Task Name],0),MATCH("Priority",InputTbl[#Headers],0))</f>
        <v>#N/A</v>
      </c>
      <c r="BN58" s="73"/>
      <c r="BX58" s="13" t="s">
        <v>60</v>
      </c>
      <c r="BY58" s="13" t="e">
        <f>INDEX(InputTbl[],MATCH(J58,InputTbl[Task Name],0),MATCH("Priority",InputTbl[#Headers],0))</f>
        <v>#N/A</v>
      </c>
      <c r="BZ58" s="73"/>
      <c r="CJ58" s="13" t="s">
        <v>60</v>
      </c>
      <c r="CK58" s="13" t="e">
        <f>INDEX(InputTbl[],MATCH(P58,InputTbl[Task Name],0),MATCH("Priority",InputTbl[#Headers],0))</f>
        <v>#N/A</v>
      </c>
      <c r="CL58" s="73"/>
      <c r="CV58" s="13" t="s">
        <v>60</v>
      </c>
      <c r="CW58" s="13" t="e">
        <f>INDEX(InputTbl[],MATCH(V58,InputTbl[Task Name],0),MATCH("Priority",InputTbl[#Headers],0))</f>
        <v>#N/A</v>
      </c>
      <c r="CX58" s="73"/>
      <c r="DH58" s="13" t="s">
        <v>60</v>
      </c>
      <c r="DI58" s="13" t="e">
        <f>INDEX(InputTbl[],MATCH(AB58,InputTbl[Task Name],0),MATCH("Priority",InputTbl[#Headers],0))</f>
        <v>#N/A</v>
      </c>
      <c r="DJ58" s="73"/>
      <c r="DT58" s="13" t="s">
        <v>60</v>
      </c>
      <c r="DU58" s="13" t="e">
        <f>INDEX(InputTbl[],MATCH(AH58,InputTbl[Task Name],0),MATCH("Priority",InputTbl[#Headers],0))</f>
        <v>#N/A</v>
      </c>
      <c r="DV58" s="73"/>
      <c r="EF58" s="13" t="s">
        <v>60</v>
      </c>
      <c r="EG58" s="13" t="e">
        <f>INDEX(InputTbl[],MATCH(AN58,InputTbl[Task Name],0),MATCH("Priority",InputTbl[#Headers],0))</f>
        <v>#N/A</v>
      </c>
      <c r="EH58" s="73"/>
      <c r="ER58" s="13" t="s">
        <v>60</v>
      </c>
      <c r="ES58" s="13" t="e">
        <f>INDEX(InputTbl[],MATCH(AT58,InputTbl[Task Name],0),MATCH("Priority",InputTbl[#Headers],0))</f>
        <v>#N/A</v>
      </c>
      <c r="ET58" s="73"/>
      <c r="FD58" s="13" t="s">
        <v>60</v>
      </c>
      <c r="FE58" s="13" t="e">
        <f>INDEX(InputTbl[],MATCH(AZ58,InputTbl[Task Name],0),MATCH("Priority",InputTbl[#Headers],0))</f>
        <v>#N/A</v>
      </c>
      <c r="FF58" s="73"/>
    </row>
    <row r="59" spans="1:162" x14ac:dyDescent="0.25">
      <c r="A59" s="18"/>
      <c r="B59" s="67"/>
      <c r="C59" s="18"/>
      <c r="D59" s="69"/>
      <c r="E59" s="69"/>
      <c r="F59" s="70"/>
      <c r="G59" s="18"/>
      <c r="H59" s="67"/>
      <c r="I59" s="18"/>
      <c r="J59" s="69"/>
      <c r="K59" s="69"/>
      <c r="L59" s="70"/>
      <c r="M59" s="18"/>
      <c r="N59" s="67"/>
      <c r="O59" s="18"/>
      <c r="P59" s="69"/>
      <c r="Q59" s="69"/>
      <c r="R59" s="70"/>
      <c r="S59" s="18"/>
      <c r="T59" s="67"/>
      <c r="U59" s="18"/>
      <c r="V59" s="69"/>
      <c r="W59" s="69"/>
      <c r="X59" s="70"/>
      <c r="Y59" s="18"/>
      <c r="Z59" s="67"/>
      <c r="AA59" s="18"/>
      <c r="AB59" s="69"/>
      <c r="AC59" s="69"/>
      <c r="AD59" s="70"/>
      <c r="AE59" s="18"/>
      <c r="AF59" s="67"/>
      <c r="AG59" s="18"/>
      <c r="AH59" s="69"/>
      <c r="AI59" s="69"/>
      <c r="AJ59" s="70"/>
      <c r="AK59" s="18"/>
      <c r="AL59" s="67"/>
      <c r="AM59" s="18"/>
      <c r="AN59" s="69"/>
      <c r="AO59" s="69"/>
      <c r="AP59" s="70"/>
      <c r="AQ59" s="18"/>
      <c r="AR59" s="67"/>
      <c r="AS59" s="18"/>
      <c r="AT59" s="69"/>
      <c r="AU59" s="69"/>
      <c r="AV59" s="70"/>
      <c r="AW59" s="18"/>
      <c r="AX59" s="67"/>
      <c r="AY59" s="18"/>
      <c r="AZ59" s="69"/>
      <c r="BA59" s="69"/>
      <c r="BB59" s="70"/>
      <c r="BC59" s="18"/>
      <c r="BD59" s="67"/>
      <c r="BE59" s="18"/>
      <c r="BL59" s="13" t="s">
        <v>72</v>
      </c>
      <c r="BM59" s="13" t="str">
        <f ca="1">INDEX(DataTbl[],MATCH(D58,DataTbl[Task Name],0),MATCH("Overdue",DataTbl[#Headers],0))</f>
        <v>No</v>
      </c>
      <c r="BN59" s="73"/>
      <c r="BX59" s="13" t="s">
        <v>72</v>
      </c>
      <c r="BY59" s="13" t="str">
        <f ca="1">INDEX(DataTbl[],MATCH(J58,DataTbl[Task Name],0),MATCH("Overdue",DataTbl[#Headers],0))</f>
        <v>No</v>
      </c>
      <c r="BZ59" s="73"/>
      <c r="CJ59" s="13" t="s">
        <v>72</v>
      </c>
      <c r="CK59" s="13" t="str">
        <f ca="1">INDEX(DataTbl[],MATCH(P58,DataTbl[Task Name],0),MATCH("Overdue",DataTbl[#Headers],0))</f>
        <v>No</v>
      </c>
      <c r="CL59" s="73"/>
      <c r="CV59" s="13" t="s">
        <v>72</v>
      </c>
      <c r="CW59" s="13" t="str">
        <f ca="1">INDEX(DataTbl[],MATCH(V58,DataTbl[Task Name],0),MATCH("Overdue",DataTbl[#Headers],0))</f>
        <v>No</v>
      </c>
      <c r="CX59" s="73"/>
      <c r="DH59" s="13" t="s">
        <v>72</v>
      </c>
      <c r="DI59" s="13" t="str">
        <f ca="1">INDEX(DataTbl[],MATCH(AB58,DataTbl[Task Name],0),MATCH("Overdue",DataTbl[#Headers],0))</f>
        <v>No</v>
      </c>
      <c r="DJ59" s="73"/>
      <c r="DT59" s="13" t="s">
        <v>72</v>
      </c>
      <c r="DU59" s="13" t="str">
        <f ca="1">INDEX(DataTbl[],MATCH(AH58,DataTbl[Task Name],0),MATCH("Overdue",DataTbl[#Headers],0))</f>
        <v>No</v>
      </c>
      <c r="DV59" s="73"/>
      <c r="EF59" s="13" t="s">
        <v>72</v>
      </c>
      <c r="EG59" s="13" t="str">
        <f ca="1">INDEX(DataTbl[],MATCH(AN58,DataTbl[Task Name],0),MATCH("Overdue",DataTbl[#Headers],0))</f>
        <v>No</v>
      </c>
      <c r="EH59" s="73"/>
      <c r="ER59" s="13" t="s">
        <v>72</v>
      </c>
      <c r="ES59" s="13" t="str">
        <f ca="1">INDEX(DataTbl[],MATCH(AT58,DataTbl[Task Name],0),MATCH("Overdue",DataTbl[#Headers],0))</f>
        <v>No</v>
      </c>
      <c r="ET59" s="73"/>
      <c r="FD59" s="13" t="s">
        <v>72</v>
      </c>
      <c r="FE59" s="13" t="str">
        <f ca="1">INDEX(DataTbl[],MATCH(AZ58,DataTbl[Task Name],0),MATCH("Overdue",DataTbl[#Headers],0))</f>
        <v>No</v>
      </c>
      <c r="FF59" s="73"/>
    </row>
    <row r="60" spans="1:162" x14ac:dyDescent="0.25">
      <c r="A60" s="18"/>
      <c r="B60" s="67"/>
      <c r="C60" s="18"/>
      <c r="D60" s="20" t="str">
        <f>IF(D58=0,""," "&amp;"Assigned To"&amp;": ")</f>
        <v/>
      </c>
      <c r="E60" s="71" t="str">
        <f>IFERROR(INDEX(InputTbl[],MATCH(D58,InputTbl[Task Name],0),MATCH("Assigned To",InputTbl[#Headers],0)),"")</f>
        <v/>
      </c>
      <c r="F60" s="71"/>
      <c r="G60" s="18"/>
      <c r="H60" s="67"/>
      <c r="I60" s="18"/>
      <c r="J60" s="20" t="str">
        <f>IF(J58=0,""," "&amp;"Assigned To"&amp;": ")</f>
        <v/>
      </c>
      <c r="K60" s="71" t="str">
        <f>IFERROR(INDEX(InputTbl[],MATCH(J58,InputTbl[Task Name],0),MATCH("Assigned To",InputTbl[#Headers],0)),"")</f>
        <v/>
      </c>
      <c r="L60" s="71"/>
      <c r="M60" s="18"/>
      <c r="N60" s="67"/>
      <c r="O60" s="18"/>
      <c r="P60" s="20" t="str">
        <f>IF(P58=0,""," "&amp;"Assigned To"&amp;": ")</f>
        <v/>
      </c>
      <c r="Q60" s="71" t="str">
        <f>IFERROR(INDEX(InputTbl[],MATCH(P58,InputTbl[Task Name],0),MATCH("Assigned To",InputTbl[#Headers],0)),"")</f>
        <v/>
      </c>
      <c r="R60" s="71"/>
      <c r="S60" s="18"/>
      <c r="T60" s="67"/>
      <c r="U60" s="18"/>
      <c r="V60" s="20" t="str">
        <f>IF(V58=0,""," "&amp;"Assigned To"&amp;": ")</f>
        <v/>
      </c>
      <c r="W60" s="71" t="str">
        <f>IFERROR(INDEX(InputTbl[],MATCH(V58,InputTbl[Task Name],0),MATCH("Assigned To",InputTbl[#Headers],0)),"")</f>
        <v/>
      </c>
      <c r="X60" s="71"/>
      <c r="Y60" s="18"/>
      <c r="Z60" s="67"/>
      <c r="AA60" s="18"/>
      <c r="AB60" s="20" t="str">
        <f>IF(AB58=0,""," "&amp;"Assigned To"&amp;": ")</f>
        <v/>
      </c>
      <c r="AC60" s="71" t="str">
        <f>IFERROR(INDEX(InputTbl[],MATCH(AB58,InputTbl[Task Name],0),MATCH("Assigned To",InputTbl[#Headers],0)),"")</f>
        <v/>
      </c>
      <c r="AD60" s="71"/>
      <c r="AE60" s="18"/>
      <c r="AF60" s="67"/>
      <c r="AG60" s="18"/>
      <c r="AH60" s="20" t="str">
        <f>IF(AH58=0,""," "&amp;"Assigned To"&amp;": ")</f>
        <v/>
      </c>
      <c r="AI60" s="71" t="str">
        <f>IFERROR(INDEX(InputTbl[],MATCH(AH58,InputTbl[Task Name],0),MATCH("Assigned To",InputTbl[#Headers],0)),"")</f>
        <v/>
      </c>
      <c r="AJ60" s="71"/>
      <c r="AK60" s="18"/>
      <c r="AL60" s="67"/>
      <c r="AM60" s="18"/>
      <c r="AN60" s="20" t="str">
        <f>IF(AN58=0,""," "&amp;"Assigned To"&amp;": ")</f>
        <v/>
      </c>
      <c r="AO60" s="71" t="str">
        <f>IFERROR(INDEX(InputTbl[],MATCH(AN58,InputTbl[Task Name],0),MATCH("Assigned To",InputTbl[#Headers],0)),"")</f>
        <v/>
      </c>
      <c r="AP60" s="71"/>
      <c r="AQ60" s="18"/>
      <c r="AR60" s="67"/>
      <c r="AS60" s="18"/>
      <c r="AT60" s="20" t="str">
        <f>IF(AT58=0,""," "&amp;"Assigned To"&amp;": ")</f>
        <v/>
      </c>
      <c r="AU60" s="71" t="str">
        <f>IFERROR(INDEX(InputTbl[],MATCH(AT58,InputTbl[Task Name],0),MATCH("Assigned To",InputTbl[#Headers],0)),"")</f>
        <v/>
      </c>
      <c r="AV60" s="71"/>
      <c r="AW60" s="18"/>
      <c r="AX60" s="67"/>
      <c r="AY60" s="18"/>
      <c r="AZ60" s="20" t="str">
        <f>IF(AZ58=0,""," "&amp;"Assigned To"&amp;": ")</f>
        <v/>
      </c>
      <c r="BA60" s="71" t="str">
        <f>IFERROR(INDEX(InputTbl[],MATCH(AZ58,InputTbl[Task Name],0),MATCH("Assigned To",InputTbl[#Headers],0)),"")</f>
        <v/>
      </c>
      <c r="BB60" s="71"/>
      <c r="BC60" s="18"/>
      <c r="BD60" s="67"/>
      <c r="BE60" s="18"/>
      <c r="BL60" s="7"/>
      <c r="BM60" s="75"/>
      <c r="BN60" s="75"/>
      <c r="BX60" s="7"/>
      <c r="BY60" s="75"/>
      <c r="BZ60" s="75"/>
      <c r="CJ60" s="7"/>
      <c r="CK60" s="75"/>
      <c r="CL60" s="75"/>
      <c r="CV60" s="7"/>
      <c r="CW60" s="75"/>
      <c r="CX60" s="75"/>
      <c r="DH60" s="7"/>
      <c r="DI60" s="75"/>
      <c r="DJ60" s="75"/>
      <c r="DT60" s="7"/>
      <c r="DU60" s="75"/>
      <c r="DV60" s="75"/>
      <c r="EF60" s="7"/>
      <c r="EG60" s="75"/>
      <c r="EH60" s="75"/>
      <c r="ER60" s="7"/>
      <c r="ES60" s="75"/>
      <c r="ET60" s="75"/>
      <c r="FD60" s="7"/>
      <c r="FE60" s="75"/>
      <c r="FF60" s="75"/>
    </row>
    <row r="61" spans="1:162" x14ac:dyDescent="0.25">
      <c r="A61" s="18"/>
      <c r="B61" s="67"/>
      <c r="C61" s="18"/>
      <c r="D61" s="21" t="str">
        <f>IF(D58=0,""," "&amp;"Date Due"&amp;": ")</f>
        <v/>
      </c>
      <c r="E61" s="72" t="str">
        <f ca="1">IFERROR(IF(BM59="Yes",_xlfn.CONCAT("⚠"," ",TEXT(INDEX(InputTbl[],MATCH(D58,InputTbl[Task Name],0),MATCH("Due Date",InputTbl[#Headers],0)),"mm/dd/yyyy")," ","⚠"),INDEX(InputTbl[],MATCH(D58,InputTbl[Task Name],0),MATCH("Due Date",InputTbl[#Headers],0))),"")</f>
        <v/>
      </c>
      <c r="F61" s="72"/>
      <c r="G61" s="18"/>
      <c r="H61" s="67"/>
      <c r="I61" s="18"/>
      <c r="J61" s="21" t="str">
        <f>IF(J58=0,""," "&amp;"Date Due"&amp;": ")</f>
        <v/>
      </c>
      <c r="K61" s="72" t="str">
        <f ca="1">IFERROR(IF(BY59="Yes",_xlfn.CONCAT("⚠"," ",TEXT(INDEX(InputTbl[],MATCH(J58,InputTbl[Task Name],0),MATCH("Due Date",InputTbl[#Headers],0)),"mm/dd/yyyy")," ","⚠"),INDEX(InputTbl[],MATCH(J58,InputTbl[Task Name],0),MATCH("Due Date",InputTbl[#Headers],0))),"")</f>
        <v/>
      </c>
      <c r="L61" s="72"/>
      <c r="M61" s="18"/>
      <c r="N61" s="67"/>
      <c r="O61" s="18"/>
      <c r="P61" s="21" t="str">
        <f>IF(P58=0,""," "&amp;"Date Due"&amp;": ")</f>
        <v/>
      </c>
      <c r="Q61" s="72" t="str">
        <f ca="1">IFERROR(IF(CK59="Yes",_xlfn.CONCAT("⚠"," ",TEXT(INDEX(InputTbl[],MATCH(P58,InputTbl[Task Name],0),MATCH("Due Date",InputTbl[#Headers],0)),"mm/dd/yyyy")," ","⚠"),INDEX(InputTbl[],MATCH(P58,InputTbl[Task Name],0),MATCH("Due Date",InputTbl[#Headers],0))),"")</f>
        <v/>
      </c>
      <c r="R61" s="72"/>
      <c r="S61" s="18"/>
      <c r="T61" s="67"/>
      <c r="U61" s="18"/>
      <c r="V61" s="21" t="str">
        <f>IF(V58=0,""," "&amp;"Date Due"&amp;": ")</f>
        <v/>
      </c>
      <c r="W61" s="72" t="str">
        <f ca="1">IFERROR(IF(CW59="Yes",_xlfn.CONCAT("⚠"," ",TEXT(INDEX(InputTbl[],MATCH(V58,InputTbl[Task Name],0),MATCH("Due Date",InputTbl[#Headers],0)),"mm/dd/yyyy")," ","⚠"),INDEX(InputTbl[],MATCH(V58,InputTbl[Task Name],0),MATCH("Due Date",InputTbl[#Headers],0))),"")</f>
        <v/>
      </c>
      <c r="X61" s="72"/>
      <c r="Y61" s="18"/>
      <c r="Z61" s="67"/>
      <c r="AA61" s="18"/>
      <c r="AB61" s="21" t="str">
        <f>IF(AB58=0,""," "&amp;"Date Due"&amp;": ")</f>
        <v/>
      </c>
      <c r="AC61" s="72" t="str">
        <f ca="1">IFERROR(IF(DI59="Yes",_xlfn.CONCAT("⚠"," ",TEXT(INDEX(InputTbl[],MATCH(AB58,InputTbl[Task Name],0),MATCH("Due Date",InputTbl[#Headers],0)),"mm/dd/yyyy")," ","⚠"),INDEX(InputTbl[],MATCH(AB58,InputTbl[Task Name],0),MATCH("Due Date",InputTbl[#Headers],0))),"")</f>
        <v/>
      </c>
      <c r="AD61" s="72"/>
      <c r="AE61" s="18"/>
      <c r="AF61" s="67"/>
      <c r="AG61" s="18"/>
      <c r="AH61" s="21" t="str">
        <f>IF(AH58=0,""," "&amp;"Date Due"&amp;": ")</f>
        <v/>
      </c>
      <c r="AI61" s="72" t="str">
        <f ca="1">IFERROR(IF(DU59="Yes",_xlfn.CONCAT("⚠"," ",TEXT(INDEX(InputTbl[],MATCH(AH58,InputTbl[Task Name],0),MATCH("Due Date",InputTbl[#Headers],0)),"mm/dd/yyyy")," ","⚠"),INDEX(InputTbl[],MATCH(AH58,InputTbl[Task Name],0),MATCH("Due Date",InputTbl[#Headers],0))),"")</f>
        <v/>
      </c>
      <c r="AJ61" s="72"/>
      <c r="AK61" s="18"/>
      <c r="AL61" s="67"/>
      <c r="AM61" s="18"/>
      <c r="AN61" s="21" t="str">
        <f>IF(AN58=0,""," "&amp;"Date Due"&amp;": ")</f>
        <v/>
      </c>
      <c r="AO61" s="72" t="str">
        <f ca="1">IFERROR(IF(EG59="Yes",_xlfn.CONCAT("⚠"," ",TEXT(INDEX(InputTbl[],MATCH(AN58,InputTbl[Task Name],0),MATCH("Due Date",InputTbl[#Headers],0)),"mm/dd/yyyy")," ","⚠"),INDEX(InputTbl[],MATCH(AN58,InputTbl[Task Name],0),MATCH("Due Date",InputTbl[#Headers],0))),"")</f>
        <v/>
      </c>
      <c r="AP61" s="72"/>
      <c r="AQ61" s="18"/>
      <c r="AR61" s="67"/>
      <c r="AS61" s="18"/>
      <c r="AT61" s="21" t="str">
        <f>IF(AT58=0,""," "&amp;"Date Due"&amp;": ")</f>
        <v/>
      </c>
      <c r="AU61" s="72" t="str">
        <f ca="1">IFERROR(IF(ES59="Yes",_xlfn.CONCAT("⚠"," ",TEXT(INDEX(InputTbl[],MATCH(AT58,InputTbl[Task Name],0),MATCH("Due Date",InputTbl[#Headers],0)),"mm/dd/yyyy")," ","⚠"),INDEX(InputTbl[],MATCH(AT58,InputTbl[Task Name],0),MATCH("Due Date",InputTbl[#Headers],0))),"")</f>
        <v/>
      </c>
      <c r="AV61" s="72"/>
      <c r="AW61" s="18"/>
      <c r="AX61" s="67"/>
      <c r="AY61" s="18"/>
      <c r="AZ61" s="21" t="str">
        <f>IF(AZ58=0,""," "&amp;"Date Due"&amp;": ")</f>
        <v/>
      </c>
      <c r="BA61" s="72" t="str">
        <f ca="1">IFERROR(IF(FE59="Yes",_xlfn.CONCAT("⚠"," ",TEXT(INDEX(InputTbl[],MATCH(AZ58,InputTbl[Task Name],0),MATCH("Due Date",InputTbl[#Headers],0)),"mm/dd/yyyy")," ","⚠"),INDEX(InputTbl[],MATCH(AZ58,InputTbl[Task Name],0),MATCH("Due Date",InputTbl[#Headers],0))),"")</f>
        <v/>
      </c>
      <c r="BB61" s="72"/>
      <c r="BC61" s="18"/>
      <c r="BD61" s="67"/>
      <c r="BE61" s="18"/>
      <c r="BL61" s="8"/>
      <c r="BM61" s="74"/>
      <c r="BN61" s="74"/>
      <c r="BX61" s="8"/>
      <c r="BY61" s="74"/>
      <c r="BZ61" s="74"/>
      <c r="CJ61" s="8"/>
      <c r="CK61" s="74"/>
      <c r="CL61" s="74"/>
      <c r="CV61" s="8"/>
      <c r="CW61" s="74"/>
      <c r="CX61" s="74"/>
      <c r="DH61" s="8"/>
      <c r="DI61" s="74"/>
      <c r="DJ61" s="74"/>
      <c r="DT61" s="8"/>
      <c r="DU61" s="74"/>
      <c r="DV61" s="74"/>
      <c r="EF61" s="8"/>
      <c r="EG61" s="74"/>
      <c r="EH61" s="74"/>
      <c r="ER61" s="8"/>
      <c r="ES61" s="74"/>
      <c r="ET61" s="74"/>
      <c r="FD61" s="8"/>
      <c r="FE61" s="74"/>
      <c r="FF61" s="74"/>
    </row>
    <row r="62" spans="1:162" ht="15" customHeight="1" x14ac:dyDescent="0.25">
      <c r="A62" s="18"/>
      <c r="B62" s="67"/>
      <c r="C62" s="18"/>
      <c r="D62" s="18"/>
      <c r="E62" s="18"/>
      <c r="F62" s="18"/>
      <c r="G62" s="18"/>
      <c r="H62" s="67"/>
      <c r="I62" s="18"/>
      <c r="J62" s="18"/>
      <c r="K62" s="18"/>
      <c r="L62" s="18"/>
      <c r="M62" s="18"/>
      <c r="N62" s="67"/>
      <c r="O62" s="18"/>
      <c r="P62" s="18"/>
      <c r="Q62" s="18"/>
      <c r="R62" s="18"/>
      <c r="S62" s="18"/>
      <c r="T62" s="67"/>
      <c r="U62" s="18"/>
      <c r="V62" s="18"/>
      <c r="W62" s="18"/>
      <c r="X62" s="18"/>
      <c r="Y62" s="18"/>
      <c r="Z62" s="67"/>
      <c r="AA62" s="18"/>
      <c r="AB62" s="18"/>
      <c r="AC62" s="18"/>
      <c r="AD62" s="18"/>
      <c r="AE62" s="18"/>
      <c r="AF62" s="67"/>
      <c r="AG62" s="18"/>
      <c r="AH62" s="18"/>
      <c r="AI62" s="18"/>
      <c r="AJ62" s="18"/>
      <c r="AK62" s="18"/>
      <c r="AL62" s="67"/>
      <c r="AM62" s="18"/>
      <c r="AN62" s="18"/>
      <c r="AO62" s="18"/>
      <c r="AP62" s="18"/>
      <c r="AQ62" s="18"/>
      <c r="AR62" s="67"/>
      <c r="AS62" s="18"/>
      <c r="AT62" s="18"/>
      <c r="AU62" s="18"/>
      <c r="AV62" s="18"/>
      <c r="AW62" s="18"/>
      <c r="AX62" s="67"/>
      <c r="AY62" s="18"/>
      <c r="AZ62" s="18"/>
      <c r="BA62" s="18"/>
      <c r="BB62" s="18"/>
      <c r="BC62" s="18"/>
      <c r="BD62" s="67"/>
      <c r="BE62" s="18"/>
    </row>
    <row r="63" spans="1:162" x14ac:dyDescent="0.25">
      <c r="A63" s="18"/>
      <c r="B63" s="67"/>
      <c r="C63" s="18"/>
      <c r="D63" s="69">
        <f>INDEX(KanbanPrep!$A$5:$S$189,VLOOKUP(ROW(),RowLookupTbl,2,FALSE),SMALL({1,3,5,7,9,11,13,15,17,19},MATCH(D$6,StatusOptions,0)))</f>
        <v>0</v>
      </c>
      <c r="E63" s="69"/>
      <c r="F63" s="70" t="str">
        <f>IFERROR(IF(BM63="Low",2,IF(BM63="Medium",1,0)),"")</f>
        <v/>
      </c>
      <c r="G63" s="18"/>
      <c r="H63" s="67"/>
      <c r="I63" s="18"/>
      <c r="J63" s="69">
        <f>INDEX(KanbanPrep!$A$5:$S$189,VLOOKUP(ROW(),RowLookupTbl,2,FALSE),SMALL({1,3,5,7,9,11,13,15,17,19},MATCH(J$6,StatusOptions,0)))</f>
        <v>0</v>
      </c>
      <c r="K63" s="69"/>
      <c r="L63" s="70" t="str">
        <f>IFERROR(IF(BY63="Low",2,IF(BY63="Medium",1,0)),"")</f>
        <v/>
      </c>
      <c r="M63" s="18"/>
      <c r="N63" s="67"/>
      <c r="O63" s="18"/>
      <c r="P63" s="69">
        <f>INDEX(KanbanPrep!$A$5:$S$189,VLOOKUP(ROW(),RowLookupTbl,2,FALSE),SMALL({1,3,5,7,9,11,13,15,17,19},MATCH(P$6,StatusOptions,0)))</f>
        <v>0</v>
      </c>
      <c r="Q63" s="69"/>
      <c r="R63" s="70" t="str">
        <f>IFERROR(IF(CK63="Low",2,IF(CK63="Medium",1,0)),"")</f>
        <v/>
      </c>
      <c r="S63" s="18"/>
      <c r="T63" s="67"/>
      <c r="U63" s="18"/>
      <c r="V63" s="69">
        <f>INDEX(KanbanPrep!$A$5:$S$189,VLOOKUP(ROW(),RowLookupTbl,2,FALSE),SMALL({1,3,5,7,9,11,13,15,17,19},MATCH(V$6,StatusOptions,0)))</f>
        <v>0</v>
      </c>
      <c r="W63" s="69"/>
      <c r="X63" s="70" t="str">
        <f>IFERROR(IF(CW63="Low",2,IF(CW63="Medium",1,0)),"")</f>
        <v/>
      </c>
      <c r="Y63" s="18"/>
      <c r="Z63" s="67"/>
      <c r="AA63" s="18"/>
      <c r="AB63" s="69">
        <f>INDEX(KanbanPrep!$A$5:$S$189,VLOOKUP(ROW(),RowLookupTbl,2,FALSE),SMALL({1,3,5,7,9,11,13,15,17,19},MATCH(AB$6,StatusOptions,0)))</f>
        <v>0</v>
      </c>
      <c r="AC63" s="69"/>
      <c r="AD63" s="70" t="str">
        <f>IFERROR(IF(DI63="Low",2,IF(DI63="Medium",1,0)),"")</f>
        <v/>
      </c>
      <c r="AE63" s="18"/>
      <c r="AF63" s="67"/>
      <c r="AG63" s="18"/>
      <c r="AH63" s="69">
        <f>INDEX(KanbanPrep!$A$5:$S$189,VLOOKUP(ROW(),RowLookupTbl,2,FALSE),SMALL({1,3,5,7,9,11,13,15,17,19},MATCH(AH$6,StatusOptions,0)))</f>
        <v>0</v>
      </c>
      <c r="AI63" s="69"/>
      <c r="AJ63" s="70" t="str">
        <f>IFERROR(IF(DU63="Low",2,IF(DU63="Medium",1,0)),"")</f>
        <v/>
      </c>
      <c r="AK63" s="18"/>
      <c r="AL63" s="67"/>
      <c r="AM63" s="18"/>
      <c r="AN63" s="69">
        <f>INDEX(KanbanPrep!$A$5:$S$189,VLOOKUP(ROW(),RowLookupTbl,2,FALSE),SMALL({1,3,5,7,9,11,13,15,17,19},MATCH(AN$6,StatusOptions,0)))</f>
        <v>0</v>
      </c>
      <c r="AO63" s="69"/>
      <c r="AP63" s="70" t="str">
        <f>IFERROR(IF(EG63="Low",2,IF(EG63="Medium",1,0)),"")</f>
        <v/>
      </c>
      <c r="AQ63" s="18"/>
      <c r="AR63" s="67"/>
      <c r="AS63" s="18"/>
      <c r="AT63" s="69">
        <f>INDEX(KanbanPrep!$A$5:$S$189,VLOOKUP(ROW(),RowLookupTbl,2,FALSE),SMALL({1,3,5,7,9,11,13,15,17,19},MATCH(AT$6,StatusOptions,0)))</f>
        <v>0</v>
      </c>
      <c r="AU63" s="69"/>
      <c r="AV63" s="70" t="str">
        <f>IFERROR(IF(ES63="Low",2,IF(ES63="Medium",1,0)),"")</f>
        <v/>
      </c>
      <c r="AW63" s="18"/>
      <c r="AX63" s="67"/>
      <c r="AY63" s="18"/>
      <c r="AZ63" s="69">
        <f>INDEX(KanbanPrep!$A$5:$S$189,VLOOKUP(ROW(),RowLookupTbl,2,FALSE),SMALL({1,3,5,7,9,11,13,15,17,19},MATCH(AZ$6,StatusOptions,0)))</f>
        <v>0</v>
      </c>
      <c r="BA63" s="69"/>
      <c r="BB63" s="70" t="str">
        <f>IFERROR(IF(FE63="Low",2,IF(FE63="Medium",1,0)),"")</f>
        <v/>
      </c>
      <c r="BC63" s="18"/>
      <c r="BD63" s="67"/>
      <c r="BE63" s="18"/>
      <c r="BL63" s="13" t="s">
        <v>60</v>
      </c>
      <c r="BM63" s="13" t="e">
        <f>INDEX(InputTbl[],MATCH(D63,InputTbl[Task Name],0),MATCH("Priority",InputTbl[#Headers],0))</f>
        <v>#N/A</v>
      </c>
      <c r="BN63" s="73"/>
      <c r="BX63" s="13" t="s">
        <v>60</v>
      </c>
      <c r="BY63" s="13" t="e">
        <f>INDEX(InputTbl[],MATCH(J63,InputTbl[Task Name],0),MATCH("Priority",InputTbl[#Headers],0))</f>
        <v>#N/A</v>
      </c>
      <c r="BZ63" s="73"/>
      <c r="CJ63" s="13" t="s">
        <v>60</v>
      </c>
      <c r="CK63" s="13" t="e">
        <f>INDEX(InputTbl[],MATCH(P63,InputTbl[Task Name],0),MATCH("Priority",InputTbl[#Headers],0))</f>
        <v>#N/A</v>
      </c>
      <c r="CL63" s="73"/>
      <c r="CV63" s="13" t="s">
        <v>60</v>
      </c>
      <c r="CW63" s="13" t="e">
        <f>INDEX(InputTbl[],MATCH(V63,InputTbl[Task Name],0),MATCH("Priority",InputTbl[#Headers],0))</f>
        <v>#N/A</v>
      </c>
      <c r="CX63" s="73"/>
      <c r="DH63" s="13" t="s">
        <v>60</v>
      </c>
      <c r="DI63" s="13" t="e">
        <f>INDEX(InputTbl[],MATCH(AB63,InputTbl[Task Name],0),MATCH("Priority",InputTbl[#Headers],0))</f>
        <v>#N/A</v>
      </c>
      <c r="DJ63" s="73"/>
      <c r="DT63" s="13" t="s">
        <v>60</v>
      </c>
      <c r="DU63" s="13" t="e">
        <f>INDEX(InputTbl[],MATCH(AH63,InputTbl[Task Name],0),MATCH("Priority",InputTbl[#Headers],0))</f>
        <v>#N/A</v>
      </c>
      <c r="DV63" s="73"/>
      <c r="EF63" s="13" t="s">
        <v>60</v>
      </c>
      <c r="EG63" s="13" t="e">
        <f>INDEX(InputTbl[],MATCH(AN63,InputTbl[Task Name],0),MATCH("Priority",InputTbl[#Headers],0))</f>
        <v>#N/A</v>
      </c>
      <c r="EH63" s="73"/>
      <c r="ER63" s="13" t="s">
        <v>60</v>
      </c>
      <c r="ES63" s="13" t="e">
        <f>INDEX(InputTbl[],MATCH(AT63,InputTbl[Task Name],0),MATCH("Priority",InputTbl[#Headers],0))</f>
        <v>#N/A</v>
      </c>
      <c r="ET63" s="73"/>
      <c r="FD63" s="13" t="s">
        <v>60</v>
      </c>
      <c r="FE63" s="13" t="e">
        <f>INDEX(InputTbl[],MATCH(AZ63,InputTbl[Task Name],0),MATCH("Priority",InputTbl[#Headers],0))</f>
        <v>#N/A</v>
      </c>
      <c r="FF63" s="73"/>
    </row>
    <row r="64" spans="1:162" x14ac:dyDescent="0.25">
      <c r="A64" s="18"/>
      <c r="B64" s="67"/>
      <c r="C64" s="18"/>
      <c r="D64" s="69"/>
      <c r="E64" s="69"/>
      <c r="F64" s="70"/>
      <c r="G64" s="18"/>
      <c r="H64" s="67"/>
      <c r="I64" s="18"/>
      <c r="J64" s="69"/>
      <c r="K64" s="69"/>
      <c r="L64" s="70"/>
      <c r="M64" s="18"/>
      <c r="N64" s="67"/>
      <c r="O64" s="18"/>
      <c r="P64" s="69"/>
      <c r="Q64" s="69"/>
      <c r="R64" s="70"/>
      <c r="S64" s="18"/>
      <c r="T64" s="67"/>
      <c r="U64" s="18"/>
      <c r="V64" s="69"/>
      <c r="W64" s="69"/>
      <c r="X64" s="70"/>
      <c r="Y64" s="18"/>
      <c r="Z64" s="67"/>
      <c r="AA64" s="18"/>
      <c r="AB64" s="69"/>
      <c r="AC64" s="69"/>
      <c r="AD64" s="70"/>
      <c r="AE64" s="18"/>
      <c r="AF64" s="67"/>
      <c r="AG64" s="18"/>
      <c r="AH64" s="69"/>
      <c r="AI64" s="69"/>
      <c r="AJ64" s="70"/>
      <c r="AK64" s="18"/>
      <c r="AL64" s="67"/>
      <c r="AM64" s="18"/>
      <c r="AN64" s="69"/>
      <c r="AO64" s="69"/>
      <c r="AP64" s="70"/>
      <c r="AQ64" s="18"/>
      <c r="AR64" s="67"/>
      <c r="AS64" s="18"/>
      <c r="AT64" s="69"/>
      <c r="AU64" s="69"/>
      <c r="AV64" s="70"/>
      <c r="AW64" s="18"/>
      <c r="AX64" s="67"/>
      <c r="AY64" s="18"/>
      <c r="AZ64" s="69"/>
      <c r="BA64" s="69"/>
      <c r="BB64" s="70"/>
      <c r="BC64" s="18"/>
      <c r="BD64" s="67"/>
      <c r="BE64" s="18"/>
      <c r="BL64" s="13" t="s">
        <v>72</v>
      </c>
      <c r="BM64" s="13" t="str">
        <f ca="1">INDEX(DataTbl[],MATCH(D63,DataTbl[Task Name],0),MATCH("Overdue",DataTbl[#Headers],0))</f>
        <v>No</v>
      </c>
      <c r="BN64" s="73"/>
      <c r="BX64" s="13" t="s">
        <v>72</v>
      </c>
      <c r="BY64" s="13" t="str">
        <f ca="1">INDEX(DataTbl[],MATCH(J63,DataTbl[Task Name],0),MATCH("Overdue",DataTbl[#Headers],0))</f>
        <v>No</v>
      </c>
      <c r="BZ64" s="73"/>
      <c r="CJ64" s="13" t="s">
        <v>72</v>
      </c>
      <c r="CK64" s="13" t="str">
        <f ca="1">INDEX(DataTbl[],MATCH(P63,DataTbl[Task Name],0),MATCH("Overdue",DataTbl[#Headers],0))</f>
        <v>No</v>
      </c>
      <c r="CL64" s="73"/>
      <c r="CV64" s="13" t="s">
        <v>72</v>
      </c>
      <c r="CW64" s="13" t="str">
        <f ca="1">INDEX(DataTbl[],MATCH(V63,DataTbl[Task Name],0),MATCH("Overdue",DataTbl[#Headers],0))</f>
        <v>No</v>
      </c>
      <c r="CX64" s="73"/>
      <c r="DH64" s="13" t="s">
        <v>72</v>
      </c>
      <c r="DI64" s="13" t="str">
        <f ca="1">INDEX(DataTbl[],MATCH(AB63,DataTbl[Task Name],0),MATCH("Overdue",DataTbl[#Headers],0))</f>
        <v>No</v>
      </c>
      <c r="DJ64" s="73"/>
      <c r="DT64" s="13" t="s">
        <v>72</v>
      </c>
      <c r="DU64" s="13" t="str">
        <f ca="1">INDEX(DataTbl[],MATCH(AH63,DataTbl[Task Name],0),MATCH("Overdue",DataTbl[#Headers],0))</f>
        <v>No</v>
      </c>
      <c r="DV64" s="73"/>
      <c r="EF64" s="13" t="s">
        <v>72</v>
      </c>
      <c r="EG64" s="13" t="str">
        <f ca="1">INDEX(DataTbl[],MATCH(AN63,DataTbl[Task Name],0),MATCH("Overdue",DataTbl[#Headers],0))</f>
        <v>No</v>
      </c>
      <c r="EH64" s="73"/>
      <c r="ER64" s="13" t="s">
        <v>72</v>
      </c>
      <c r="ES64" s="13" t="str">
        <f ca="1">INDEX(DataTbl[],MATCH(AT63,DataTbl[Task Name],0),MATCH("Overdue",DataTbl[#Headers],0))</f>
        <v>No</v>
      </c>
      <c r="ET64" s="73"/>
      <c r="FD64" s="13" t="s">
        <v>72</v>
      </c>
      <c r="FE64" s="13" t="str">
        <f ca="1">INDEX(DataTbl[],MATCH(AZ63,DataTbl[Task Name],0),MATCH("Overdue",DataTbl[#Headers],0))</f>
        <v>No</v>
      </c>
      <c r="FF64" s="73"/>
    </row>
    <row r="65" spans="1:162" x14ac:dyDescent="0.25">
      <c r="A65" s="18"/>
      <c r="B65" s="67"/>
      <c r="C65" s="18"/>
      <c r="D65" s="20" t="str">
        <f>IF(D63=0,""," "&amp;"Assigned To"&amp;": ")</f>
        <v/>
      </c>
      <c r="E65" s="71" t="str">
        <f>IFERROR(INDEX(InputTbl[],MATCH(D63,InputTbl[Task Name],0),MATCH("Assigned To",InputTbl[#Headers],0)),"")</f>
        <v/>
      </c>
      <c r="F65" s="71"/>
      <c r="G65" s="18"/>
      <c r="H65" s="67"/>
      <c r="I65" s="18"/>
      <c r="J65" s="20" t="str">
        <f>IF(J63=0,""," "&amp;"Assigned To"&amp;": ")</f>
        <v/>
      </c>
      <c r="K65" s="71" t="str">
        <f>IFERROR(INDEX(InputTbl[],MATCH(J63,InputTbl[Task Name],0),MATCH("Assigned To",InputTbl[#Headers],0)),"")</f>
        <v/>
      </c>
      <c r="L65" s="71"/>
      <c r="M65" s="18"/>
      <c r="N65" s="67"/>
      <c r="O65" s="18"/>
      <c r="P65" s="20" t="str">
        <f>IF(P63=0,""," "&amp;"Assigned To"&amp;": ")</f>
        <v/>
      </c>
      <c r="Q65" s="71" t="str">
        <f>IFERROR(INDEX(InputTbl[],MATCH(P63,InputTbl[Task Name],0),MATCH("Assigned To",InputTbl[#Headers],0)),"")</f>
        <v/>
      </c>
      <c r="R65" s="71"/>
      <c r="S65" s="18"/>
      <c r="T65" s="67"/>
      <c r="U65" s="18"/>
      <c r="V65" s="20" t="str">
        <f>IF(V63=0,""," "&amp;"Assigned To"&amp;": ")</f>
        <v/>
      </c>
      <c r="W65" s="71" t="str">
        <f>IFERROR(INDEX(InputTbl[],MATCH(V63,InputTbl[Task Name],0),MATCH("Assigned To",InputTbl[#Headers],0)),"")</f>
        <v/>
      </c>
      <c r="X65" s="71"/>
      <c r="Y65" s="18"/>
      <c r="Z65" s="67"/>
      <c r="AA65" s="18"/>
      <c r="AB65" s="20" t="str">
        <f>IF(AB63=0,""," "&amp;"Assigned To"&amp;": ")</f>
        <v/>
      </c>
      <c r="AC65" s="71" t="str">
        <f>IFERROR(INDEX(InputTbl[],MATCH(AB63,InputTbl[Task Name],0),MATCH("Assigned To",InputTbl[#Headers],0)),"")</f>
        <v/>
      </c>
      <c r="AD65" s="71"/>
      <c r="AE65" s="18"/>
      <c r="AF65" s="67"/>
      <c r="AG65" s="18"/>
      <c r="AH65" s="20" t="str">
        <f>IF(AH63=0,""," "&amp;"Assigned To"&amp;": ")</f>
        <v/>
      </c>
      <c r="AI65" s="71" t="str">
        <f>IFERROR(INDEX(InputTbl[],MATCH(AH63,InputTbl[Task Name],0),MATCH("Assigned To",InputTbl[#Headers],0)),"")</f>
        <v/>
      </c>
      <c r="AJ65" s="71"/>
      <c r="AK65" s="18"/>
      <c r="AL65" s="67"/>
      <c r="AM65" s="18"/>
      <c r="AN65" s="20" t="str">
        <f>IF(AN63=0,""," "&amp;"Assigned To"&amp;": ")</f>
        <v/>
      </c>
      <c r="AO65" s="71" t="str">
        <f>IFERROR(INDEX(InputTbl[],MATCH(AN63,InputTbl[Task Name],0),MATCH("Assigned To",InputTbl[#Headers],0)),"")</f>
        <v/>
      </c>
      <c r="AP65" s="71"/>
      <c r="AQ65" s="18"/>
      <c r="AR65" s="67"/>
      <c r="AS65" s="18"/>
      <c r="AT65" s="20" t="str">
        <f>IF(AT63=0,""," "&amp;"Assigned To"&amp;": ")</f>
        <v/>
      </c>
      <c r="AU65" s="71" t="str">
        <f>IFERROR(INDEX(InputTbl[],MATCH(AT63,InputTbl[Task Name],0),MATCH("Assigned To",InputTbl[#Headers],0)),"")</f>
        <v/>
      </c>
      <c r="AV65" s="71"/>
      <c r="AW65" s="18"/>
      <c r="AX65" s="67"/>
      <c r="AY65" s="18"/>
      <c r="AZ65" s="20" t="str">
        <f>IF(AZ63=0,""," "&amp;"Assigned To"&amp;": ")</f>
        <v/>
      </c>
      <c r="BA65" s="71" t="str">
        <f>IFERROR(INDEX(InputTbl[],MATCH(AZ63,InputTbl[Task Name],0),MATCH("Assigned To",InputTbl[#Headers],0)),"")</f>
        <v/>
      </c>
      <c r="BB65" s="71"/>
      <c r="BC65" s="18"/>
      <c r="BD65" s="67"/>
      <c r="BE65" s="18"/>
      <c r="BL65" s="7"/>
      <c r="BM65" s="75"/>
      <c r="BN65" s="75"/>
      <c r="BX65" s="7"/>
      <c r="BY65" s="75"/>
      <c r="BZ65" s="75"/>
      <c r="CJ65" s="7"/>
      <c r="CK65" s="75"/>
      <c r="CL65" s="75"/>
      <c r="CV65" s="7"/>
      <c r="CW65" s="75"/>
      <c r="CX65" s="75"/>
      <c r="DH65" s="7"/>
      <c r="DI65" s="75"/>
      <c r="DJ65" s="75"/>
      <c r="DT65" s="7"/>
      <c r="DU65" s="75"/>
      <c r="DV65" s="75"/>
      <c r="EF65" s="7"/>
      <c r="EG65" s="75"/>
      <c r="EH65" s="75"/>
      <c r="ER65" s="7"/>
      <c r="ES65" s="75"/>
      <c r="ET65" s="75"/>
      <c r="FD65" s="7"/>
      <c r="FE65" s="75"/>
      <c r="FF65" s="75"/>
    </row>
    <row r="66" spans="1:162" x14ac:dyDescent="0.25">
      <c r="A66" s="18"/>
      <c r="B66" s="67"/>
      <c r="C66" s="18"/>
      <c r="D66" s="21" t="str">
        <f>IF(D63=0,""," "&amp;"Date Due"&amp;": ")</f>
        <v/>
      </c>
      <c r="E66" s="72" t="str">
        <f ca="1">IFERROR(IF(BM64="Yes",_xlfn.CONCAT("⚠"," ",TEXT(INDEX(InputTbl[],MATCH(D63,InputTbl[Task Name],0),MATCH("Due Date",InputTbl[#Headers],0)),"mm/dd/yyyy")," ","⚠"),INDEX(InputTbl[],MATCH(D63,InputTbl[Task Name],0),MATCH("Due Date",InputTbl[#Headers],0))),"")</f>
        <v/>
      </c>
      <c r="F66" s="72"/>
      <c r="G66" s="18"/>
      <c r="H66" s="67"/>
      <c r="I66" s="18"/>
      <c r="J66" s="21" t="str">
        <f>IF(J63=0,""," "&amp;"Date Due"&amp;": ")</f>
        <v/>
      </c>
      <c r="K66" s="72" t="str">
        <f ca="1">IFERROR(IF(BY64="Yes",_xlfn.CONCAT("⚠"," ",TEXT(INDEX(InputTbl[],MATCH(J63,InputTbl[Task Name],0),MATCH("Due Date",InputTbl[#Headers],0)),"mm/dd/yyyy")," ","⚠"),INDEX(InputTbl[],MATCH(J63,InputTbl[Task Name],0),MATCH("Due Date",InputTbl[#Headers],0))),"")</f>
        <v/>
      </c>
      <c r="L66" s="72"/>
      <c r="M66" s="18"/>
      <c r="N66" s="67"/>
      <c r="O66" s="18"/>
      <c r="P66" s="21" t="str">
        <f>IF(P63=0,""," "&amp;"Date Due"&amp;": ")</f>
        <v/>
      </c>
      <c r="Q66" s="72" t="str">
        <f ca="1">IFERROR(IF(CK64="Yes",_xlfn.CONCAT("⚠"," ",TEXT(INDEX(InputTbl[],MATCH(P63,InputTbl[Task Name],0),MATCH("Due Date",InputTbl[#Headers],0)),"mm/dd/yyyy")," ","⚠"),INDEX(InputTbl[],MATCH(P63,InputTbl[Task Name],0),MATCH("Due Date",InputTbl[#Headers],0))),"")</f>
        <v/>
      </c>
      <c r="R66" s="72"/>
      <c r="S66" s="18"/>
      <c r="T66" s="67"/>
      <c r="U66" s="18"/>
      <c r="V66" s="21" t="str">
        <f>IF(V63=0,""," "&amp;"Date Due"&amp;": ")</f>
        <v/>
      </c>
      <c r="W66" s="72" t="str">
        <f ca="1">IFERROR(IF(CW64="Yes",_xlfn.CONCAT("⚠"," ",TEXT(INDEX(InputTbl[],MATCH(V63,InputTbl[Task Name],0),MATCH("Due Date",InputTbl[#Headers],0)),"mm/dd/yyyy")," ","⚠"),INDEX(InputTbl[],MATCH(V63,InputTbl[Task Name],0),MATCH("Due Date",InputTbl[#Headers],0))),"")</f>
        <v/>
      </c>
      <c r="X66" s="72"/>
      <c r="Y66" s="18"/>
      <c r="Z66" s="67"/>
      <c r="AA66" s="18"/>
      <c r="AB66" s="21" t="str">
        <f>IF(AB63=0,""," "&amp;"Date Due"&amp;": ")</f>
        <v/>
      </c>
      <c r="AC66" s="72" t="str">
        <f ca="1">IFERROR(IF(DI64="Yes",_xlfn.CONCAT("⚠"," ",TEXT(INDEX(InputTbl[],MATCH(AB63,InputTbl[Task Name],0),MATCH("Due Date",InputTbl[#Headers],0)),"mm/dd/yyyy")," ","⚠"),INDEX(InputTbl[],MATCH(AB63,InputTbl[Task Name],0),MATCH("Due Date",InputTbl[#Headers],0))),"")</f>
        <v/>
      </c>
      <c r="AD66" s="72"/>
      <c r="AE66" s="18"/>
      <c r="AF66" s="67"/>
      <c r="AG66" s="18"/>
      <c r="AH66" s="21" t="str">
        <f>IF(AH63=0,""," "&amp;"Date Due"&amp;": ")</f>
        <v/>
      </c>
      <c r="AI66" s="72" t="str">
        <f ca="1">IFERROR(IF(DU64="Yes",_xlfn.CONCAT("⚠"," ",TEXT(INDEX(InputTbl[],MATCH(AH63,InputTbl[Task Name],0),MATCH("Due Date",InputTbl[#Headers],0)),"mm/dd/yyyy")," ","⚠"),INDEX(InputTbl[],MATCH(AH63,InputTbl[Task Name],0),MATCH("Due Date",InputTbl[#Headers],0))),"")</f>
        <v/>
      </c>
      <c r="AJ66" s="72"/>
      <c r="AK66" s="18"/>
      <c r="AL66" s="67"/>
      <c r="AM66" s="18"/>
      <c r="AN66" s="21" t="str">
        <f>IF(AN63=0,""," "&amp;"Date Due"&amp;": ")</f>
        <v/>
      </c>
      <c r="AO66" s="72" t="str">
        <f ca="1">IFERROR(IF(EG64="Yes",_xlfn.CONCAT("⚠"," ",TEXT(INDEX(InputTbl[],MATCH(AN63,InputTbl[Task Name],0),MATCH("Due Date",InputTbl[#Headers],0)),"mm/dd/yyyy")," ","⚠"),INDEX(InputTbl[],MATCH(AN63,InputTbl[Task Name],0),MATCH("Due Date",InputTbl[#Headers],0))),"")</f>
        <v/>
      </c>
      <c r="AP66" s="72"/>
      <c r="AQ66" s="18"/>
      <c r="AR66" s="67"/>
      <c r="AS66" s="18"/>
      <c r="AT66" s="21" t="str">
        <f>IF(AT63=0,""," "&amp;"Date Due"&amp;": ")</f>
        <v/>
      </c>
      <c r="AU66" s="72" t="str">
        <f ca="1">IFERROR(IF(ES64="Yes",_xlfn.CONCAT("⚠"," ",TEXT(INDEX(InputTbl[],MATCH(AT63,InputTbl[Task Name],0),MATCH("Due Date",InputTbl[#Headers],0)),"mm/dd/yyyy")," ","⚠"),INDEX(InputTbl[],MATCH(AT63,InputTbl[Task Name],0),MATCH("Due Date",InputTbl[#Headers],0))),"")</f>
        <v/>
      </c>
      <c r="AV66" s="72"/>
      <c r="AW66" s="18"/>
      <c r="AX66" s="67"/>
      <c r="AY66" s="18"/>
      <c r="AZ66" s="21" t="str">
        <f>IF(AZ63=0,""," "&amp;"Date Due"&amp;": ")</f>
        <v/>
      </c>
      <c r="BA66" s="72" t="str">
        <f ca="1">IFERROR(IF(FE64="Yes",_xlfn.CONCAT("⚠"," ",TEXT(INDEX(InputTbl[],MATCH(AZ63,InputTbl[Task Name],0),MATCH("Due Date",InputTbl[#Headers],0)),"mm/dd/yyyy")," ","⚠"),INDEX(InputTbl[],MATCH(AZ63,InputTbl[Task Name],0),MATCH("Due Date",InputTbl[#Headers],0))),"")</f>
        <v/>
      </c>
      <c r="BB66" s="72"/>
      <c r="BC66" s="18"/>
      <c r="BD66" s="67"/>
      <c r="BE66" s="18"/>
      <c r="BL66" s="8"/>
      <c r="BM66" s="74"/>
      <c r="BN66" s="74"/>
      <c r="BX66" s="8"/>
      <c r="BY66" s="74"/>
      <c r="BZ66" s="74"/>
      <c r="CJ66" s="8"/>
      <c r="CK66" s="74"/>
      <c r="CL66" s="74"/>
      <c r="CV66" s="8"/>
      <c r="CW66" s="74"/>
      <c r="CX66" s="74"/>
      <c r="DH66" s="8"/>
      <c r="DI66" s="74"/>
      <c r="DJ66" s="74"/>
      <c r="DT66" s="8"/>
      <c r="DU66" s="74"/>
      <c r="DV66" s="74"/>
      <c r="EF66" s="8"/>
      <c r="EG66" s="74"/>
      <c r="EH66" s="74"/>
      <c r="ER66" s="8"/>
      <c r="ES66" s="74"/>
      <c r="ET66" s="74"/>
      <c r="FD66" s="8"/>
      <c r="FE66" s="74"/>
      <c r="FF66" s="74"/>
    </row>
    <row r="67" spans="1:162" ht="15" customHeight="1" x14ac:dyDescent="0.25">
      <c r="A67" s="18"/>
      <c r="B67" s="67"/>
      <c r="C67" s="18"/>
      <c r="D67" s="18"/>
      <c r="E67" s="18"/>
      <c r="F67" s="18"/>
      <c r="G67" s="18"/>
      <c r="H67" s="67"/>
      <c r="I67" s="18"/>
      <c r="J67" s="18"/>
      <c r="K67" s="18"/>
      <c r="L67" s="18"/>
      <c r="M67" s="18"/>
      <c r="N67" s="67"/>
      <c r="O67" s="18"/>
      <c r="P67" s="18"/>
      <c r="Q67" s="18"/>
      <c r="R67" s="18"/>
      <c r="S67" s="18"/>
      <c r="T67" s="67"/>
      <c r="U67" s="18"/>
      <c r="V67" s="18"/>
      <c r="W67" s="18"/>
      <c r="X67" s="18"/>
      <c r="Y67" s="18"/>
      <c r="Z67" s="67"/>
      <c r="AA67" s="18"/>
      <c r="AB67" s="18"/>
      <c r="AC67" s="18"/>
      <c r="AD67" s="18"/>
      <c r="AE67" s="18"/>
      <c r="AF67" s="67"/>
      <c r="AG67" s="18"/>
      <c r="AH67" s="18"/>
      <c r="AI67" s="18"/>
      <c r="AJ67" s="18"/>
      <c r="AK67" s="18"/>
      <c r="AL67" s="67"/>
      <c r="AM67" s="18"/>
      <c r="AN67" s="18"/>
      <c r="AO67" s="18"/>
      <c r="AP67" s="18"/>
      <c r="AQ67" s="18"/>
      <c r="AR67" s="67"/>
      <c r="AS67" s="18"/>
      <c r="AT67" s="18"/>
      <c r="AU67" s="18"/>
      <c r="AV67" s="18"/>
      <c r="AW67" s="18"/>
      <c r="AX67" s="67"/>
      <c r="AY67" s="18"/>
      <c r="AZ67" s="18"/>
      <c r="BA67" s="18"/>
      <c r="BB67" s="18"/>
      <c r="BC67" s="18"/>
      <c r="BD67" s="67"/>
      <c r="BE67" s="18"/>
    </row>
    <row r="68" spans="1:162" x14ac:dyDescent="0.25">
      <c r="A68" s="18"/>
      <c r="B68" s="67"/>
      <c r="C68" s="18"/>
      <c r="D68" s="69">
        <f>INDEX(KanbanPrep!$A$5:$S$189,VLOOKUP(ROW(),RowLookupTbl,2,FALSE),SMALL({1,3,5,7,9,11,13,15,17,19},MATCH(D$6,StatusOptions,0)))</f>
        <v>0</v>
      </c>
      <c r="E68" s="69"/>
      <c r="F68" s="70" t="str">
        <f>IFERROR(IF(BM68="Low",2,IF(BM68="Medium",1,0)),"")</f>
        <v/>
      </c>
      <c r="G68" s="18"/>
      <c r="H68" s="67"/>
      <c r="I68" s="18"/>
      <c r="J68" s="69">
        <f>INDEX(KanbanPrep!$A$5:$S$189,VLOOKUP(ROW(),RowLookupTbl,2,FALSE),SMALL({1,3,5,7,9,11,13,15,17,19},MATCH(J$6,StatusOptions,0)))</f>
        <v>0</v>
      </c>
      <c r="K68" s="69"/>
      <c r="L68" s="70" t="str">
        <f>IFERROR(IF(BY68="Low",2,IF(BY68="Medium",1,0)),"")</f>
        <v/>
      </c>
      <c r="M68" s="18"/>
      <c r="N68" s="67"/>
      <c r="O68" s="18"/>
      <c r="P68" s="69">
        <f>INDEX(KanbanPrep!$A$5:$S$189,VLOOKUP(ROW(),RowLookupTbl,2,FALSE),SMALL({1,3,5,7,9,11,13,15,17,19},MATCH(P$6,StatusOptions,0)))</f>
        <v>0</v>
      </c>
      <c r="Q68" s="69"/>
      <c r="R68" s="70" t="str">
        <f>IFERROR(IF(CK68="Low",2,IF(CK68="Medium",1,0)),"")</f>
        <v/>
      </c>
      <c r="S68" s="18"/>
      <c r="T68" s="67"/>
      <c r="U68" s="18"/>
      <c r="V68" s="69">
        <f>INDEX(KanbanPrep!$A$5:$S$189,VLOOKUP(ROW(),RowLookupTbl,2,FALSE),SMALL({1,3,5,7,9,11,13,15,17,19},MATCH(V$6,StatusOptions,0)))</f>
        <v>0</v>
      </c>
      <c r="W68" s="69"/>
      <c r="X68" s="70" t="str">
        <f>IFERROR(IF(CW68="Low",2,IF(CW68="Medium",1,0)),"")</f>
        <v/>
      </c>
      <c r="Y68" s="18"/>
      <c r="Z68" s="67"/>
      <c r="AA68" s="18"/>
      <c r="AB68" s="69">
        <f>INDEX(KanbanPrep!$A$5:$S$189,VLOOKUP(ROW(),RowLookupTbl,2,FALSE),SMALL({1,3,5,7,9,11,13,15,17,19},MATCH(AB$6,StatusOptions,0)))</f>
        <v>0</v>
      </c>
      <c r="AC68" s="69"/>
      <c r="AD68" s="70" t="str">
        <f>IFERROR(IF(DI68="Low",2,IF(DI68="Medium",1,0)),"")</f>
        <v/>
      </c>
      <c r="AE68" s="18"/>
      <c r="AF68" s="67"/>
      <c r="AG68" s="18"/>
      <c r="AH68" s="69">
        <f>INDEX(KanbanPrep!$A$5:$S$189,VLOOKUP(ROW(),RowLookupTbl,2,FALSE),SMALL({1,3,5,7,9,11,13,15,17,19},MATCH(AH$6,StatusOptions,0)))</f>
        <v>0</v>
      </c>
      <c r="AI68" s="69"/>
      <c r="AJ68" s="70" t="str">
        <f>IFERROR(IF(DU68="Low",2,IF(DU68="Medium",1,0)),"")</f>
        <v/>
      </c>
      <c r="AK68" s="18"/>
      <c r="AL68" s="67"/>
      <c r="AM68" s="18"/>
      <c r="AN68" s="69">
        <f>INDEX(KanbanPrep!$A$5:$S$189,VLOOKUP(ROW(),RowLookupTbl,2,FALSE),SMALL({1,3,5,7,9,11,13,15,17,19},MATCH(AN$6,StatusOptions,0)))</f>
        <v>0</v>
      </c>
      <c r="AO68" s="69"/>
      <c r="AP68" s="70" t="str">
        <f>IFERROR(IF(EG68="Low",2,IF(EG68="Medium",1,0)),"")</f>
        <v/>
      </c>
      <c r="AQ68" s="18"/>
      <c r="AR68" s="67"/>
      <c r="AS68" s="18"/>
      <c r="AT68" s="69">
        <f>INDEX(KanbanPrep!$A$5:$S$189,VLOOKUP(ROW(),RowLookupTbl,2,FALSE),SMALL({1,3,5,7,9,11,13,15,17,19},MATCH(AT$6,StatusOptions,0)))</f>
        <v>0</v>
      </c>
      <c r="AU68" s="69"/>
      <c r="AV68" s="70" t="str">
        <f>IFERROR(IF(ES68="Low",2,IF(ES68="Medium",1,0)),"")</f>
        <v/>
      </c>
      <c r="AW68" s="18"/>
      <c r="AX68" s="67"/>
      <c r="AY68" s="18"/>
      <c r="AZ68" s="69">
        <f>INDEX(KanbanPrep!$A$5:$S$189,VLOOKUP(ROW(),RowLookupTbl,2,FALSE),SMALL({1,3,5,7,9,11,13,15,17,19},MATCH(AZ$6,StatusOptions,0)))</f>
        <v>0</v>
      </c>
      <c r="BA68" s="69"/>
      <c r="BB68" s="70" t="str">
        <f>IFERROR(IF(FE68="Low",2,IF(FE68="Medium",1,0)),"")</f>
        <v/>
      </c>
      <c r="BC68" s="18"/>
      <c r="BD68" s="67"/>
      <c r="BE68" s="18"/>
      <c r="BL68" s="13" t="s">
        <v>60</v>
      </c>
      <c r="BM68" s="13" t="e">
        <f>INDEX(InputTbl[],MATCH(D68,InputTbl[Task Name],0),MATCH("Priority",InputTbl[#Headers],0))</f>
        <v>#N/A</v>
      </c>
      <c r="BN68" s="73"/>
      <c r="BX68" s="13" t="s">
        <v>60</v>
      </c>
      <c r="BY68" s="13" t="e">
        <f>INDEX(InputTbl[],MATCH(J68,InputTbl[Task Name],0),MATCH("Priority",InputTbl[#Headers],0))</f>
        <v>#N/A</v>
      </c>
      <c r="BZ68" s="73"/>
      <c r="CJ68" s="13" t="s">
        <v>60</v>
      </c>
      <c r="CK68" s="13" t="e">
        <f>INDEX(InputTbl[],MATCH(P68,InputTbl[Task Name],0),MATCH("Priority",InputTbl[#Headers],0))</f>
        <v>#N/A</v>
      </c>
      <c r="CL68" s="73"/>
      <c r="CV68" s="13" t="s">
        <v>60</v>
      </c>
      <c r="CW68" s="13" t="e">
        <f>INDEX(InputTbl[],MATCH(V68,InputTbl[Task Name],0),MATCH("Priority",InputTbl[#Headers],0))</f>
        <v>#N/A</v>
      </c>
      <c r="CX68" s="73"/>
      <c r="DH68" s="13" t="s">
        <v>60</v>
      </c>
      <c r="DI68" s="13" t="e">
        <f>INDEX(InputTbl[],MATCH(AB68,InputTbl[Task Name],0),MATCH("Priority",InputTbl[#Headers],0))</f>
        <v>#N/A</v>
      </c>
      <c r="DJ68" s="73"/>
      <c r="DT68" s="13" t="s">
        <v>60</v>
      </c>
      <c r="DU68" s="13" t="e">
        <f>INDEX(InputTbl[],MATCH(AH68,InputTbl[Task Name],0),MATCH("Priority",InputTbl[#Headers],0))</f>
        <v>#N/A</v>
      </c>
      <c r="DV68" s="73"/>
      <c r="EF68" s="13" t="s">
        <v>60</v>
      </c>
      <c r="EG68" s="13" t="e">
        <f>INDEX(InputTbl[],MATCH(AN68,InputTbl[Task Name],0),MATCH("Priority",InputTbl[#Headers],0))</f>
        <v>#N/A</v>
      </c>
      <c r="EH68" s="73"/>
      <c r="ER68" s="13" t="s">
        <v>60</v>
      </c>
      <c r="ES68" s="13" t="e">
        <f>INDEX(InputTbl[],MATCH(AT68,InputTbl[Task Name],0),MATCH("Priority",InputTbl[#Headers],0))</f>
        <v>#N/A</v>
      </c>
      <c r="ET68" s="73"/>
      <c r="FD68" s="13" t="s">
        <v>60</v>
      </c>
      <c r="FE68" s="13" t="e">
        <f>INDEX(InputTbl[],MATCH(AZ68,InputTbl[Task Name],0),MATCH("Priority",InputTbl[#Headers],0))</f>
        <v>#N/A</v>
      </c>
      <c r="FF68" s="73"/>
    </row>
    <row r="69" spans="1:162" x14ac:dyDescent="0.25">
      <c r="A69" s="18"/>
      <c r="B69" s="67"/>
      <c r="C69" s="18"/>
      <c r="D69" s="69"/>
      <c r="E69" s="69"/>
      <c r="F69" s="70"/>
      <c r="G69" s="18"/>
      <c r="H69" s="67"/>
      <c r="I69" s="18"/>
      <c r="J69" s="69"/>
      <c r="K69" s="69"/>
      <c r="L69" s="70"/>
      <c r="M69" s="18"/>
      <c r="N69" s="67"/>
      <c r="O69" s="18"/>
      <c r="P69" s="69"/>
      <c r="Q69" s="69"/>
      <c r="R69" s="70"/>
      <c r="S69" s="18"/>
      <c r="T69" s="67"/>
      <c r="U69" s="18"/>
      <c r="V69" s="69"/>
      <c r="W69" s="69"/>
      <c r="X69" s="70"/>
      <c r="Y69" s="18"/>
      <c r="Z69" s="67"/>
      <c r="AA69" s="18"/>
      <c r="AB69" s="69"/>
      <c r="AC69" s="69"/>
      <c r="AD69" s="70"/>
      <c r="AE69" s="18"/>
      <c r="AF69" s="67"/>
      <c r="AG69" s="18"/>
      <c r="AH69" s="69"/>
      <c r="AI69" s="69"/>
      <c r="AJ69" s="70"/>
      <c r="AK69" s="18"/>
      <c r="AL69" s="67"/>
      <c r="AM69" s="18"/>
      <c r="AN69" s="69"/>
      <c r="AO69" s="69"/>
      <c r="AP69" s="70"/>
      <c r="AQ69" s="18"/>
      <c r="AR69" s="67"/>
      <c r="AS69" s="18"/>
      <c r="AT69" s="69"/>
      <c r="AU69" s="69"/>
      <c r="AV69" s="70"/>
      <c r="AW69" s="18"/>
      <c r="AX69" s="67"/>
      <c r="AY69" s="18"/>
      <c r="AZ69" s="69"/>
      <c r="BA69" s="69"/>
      <c r="BB69" s="70"/>
      <c r="BC69" s="18"/>
      <c r="BD69" s="67"/>
      <c r="BE69" s="18"/>
      <c r="BL69" s="13" t="s">
        <v>72</v>
      </c>
      <c r="BM69" s="13" t="str">
        <f ca="1">INDEX(DataTbl[],MATCH(D68,DataTbl[Task Name],0),MATCH("Overdue",DataTbl[#Headers],0))</f>
        <v>No</v>
      </c>
      <c r="BN69" s="73"/>
      <c r="BX69" s="13" t="s">
        <v>72</v>
      </c>
      <c r="BY69" s="13" t="str">
        <f ca="1">INDEX(DataTbl[],MATCH(J68,DataTbl[Task Name],0),MATCH("Overdue",DataTbl[#Headers],0))</f>
        <v>No</v>
      </c>
      <c r="BZ69" s="73"/>
      <c r="CJ69" s="13" t="s">
        <v>72</v>
      </c>
      <c r="CK69" s="13" t="str">
        <f ca="1">INDEX(DataTbl[],MATCH(P68,DataTbl[Task Name],0),MATCH("Overdue",DataTbl[#Headers],0))</f>
        <v>No</v>
      </c>
      <c r="CL69" s="73"/>
      <c r="CV69" s="13" t="s">
        <v>72</v>
      </c>
      <c r="CW69" s="13" t="str">
        <f ca="1">INDEX(DataTbl[],MATCH(V68,DataTbl[Task Name],0),MATCH("Overdue",DataTbl[#Headers],0))</f>
        <v>No</v>
      </c>
      <c r="CX69" s="73"/>
      <c r="DH69" s="13" t="s">
        <v>72</v>
      </c>
      <c r="DI69" s="13" t="str">
        <f ca="1">INDEX(DataTbl[],MATCH(AB68,DataTbl[Task Name],0),MATCH("Overdue",DataTbl[#Headers],0))</f>
        <v>No</v>
      </c>
      <c r="DJ69" s="73"/>
      <c r="DT69" s="13" t="s">
        <v>72</v>
      </c>
      <c r="DU69" s="13" t="str">
        <f ca="1">INDEX(DataTbl[],MATCH(AH68,DataTbl[Task Name],0),MATCH("Overdue",DataTbl[#Headers],0))</f>
        <v>No</v>
      </c>
      <c r="DV69" s="73"/>
      <c r="EF69" s="13" t="s">
        <v>72</v>
      </c>
      <c r="EG69" s="13" t="str">
        <f ca="1">INDEX(DataTbl[],MATCH(AN68,DataTbl[Task Name],0),MATCH("Overdue",DataTbl[#Headers],0))</f>
        <v>No</v>
      </c>
      <c r="EH69" s="73"/>
      <c r="ER69" s="13" t="s">
        <v>72</v>
      </c>
      <c r="ES69" s="13" t="str">
        <f ca="1">INDEX(DataTbl[],MATCH(AT68,DataTbl[Task Name],0),MATCH("Overdue",DataTbl[#Headers],0))</f>
        <v>No</v>
      </c>
      <c r="ET69" s="73"/>
      <c r="FD69" s="13" t="s">
        <v>72</v>
      </c>
      <c r="FE69" s="13" t="str">
        <f ca="1">INDEX(DataTbl[],MATCH(AZ68,DataTbl[Task Name],0),MATCH("Overdue",DataTbl[#Headers],0))</f>
        <v>No</v>
      </c>
      <c r="FF69" s="73"/>
    </row>
    <row r="70" spans="1:162" x14ac:dyDescent="0.25">
      <c r="A70" s="18"/>
      <c r="B70" s="67"/>
      <c r="C70" s="18"/>
      <c r="D70" s="20" t="str">
        <f>IF(D68=0,""," "&amp;"Assigned To"&amp;": ")</f>
        <v/>
      </c>
      <c r="E70" s="71" t="str">
        <f>IFERROR(INDEX(InputTbl[],MATCH(D68,InputTbl[Task Name],0),MATCH("Assigned To",InputTbl[#Headers],0)),"")</f>
        <v/>
      </c>
      <c r="F70" s="71"/>
      <c r="G70" s="18"/>
      <c r="H70" s="67"/>
      <c r="I70" s="18"/>
      <c r="J70" s="20" t="str">
        <f>IF(J68=0,""," "&amp;"Assigned To"&amp;": ")</f>
        <v/>
      </c>
      <c r="K70" s="71" t="str">
        <f>IFERROR(INDEX(InputTbl[],MATCH(J68,InputTbl[Task Name],0),MATCH("Assigned To",InputTbl[#Headers],0)),"")</f>
        <v/>
      </c>
      <c r="L70" s="71"/>
      <c r="M70" s="18"/>
      <c r="N70" s="67"/>
      <c r="O70" s="18"/>
      <c r="P70" s="20" t="str">
        <f>IF(P68=0,""," "&amp;"Assigned To"&amp;": ")</f>
        <v/>
      </c>
      <c r="Q70" s="71" t="str">
        <f>IFERROR(INDEX(InputTbl[],MATCH(P68,InputTbl[Task Name],0),MATCH("Assigned To",InputTbl[#Headers],0)),"")</f>
        <v/>
      </c>
      <c r="R70" s="71"/>
      <c r="S70" s="18"/>
      <c r="T70" s="67"/>
      <c r="U70" s="18"/>
      <c r="V70" s="20" t="str">
        <f>IF(V68=0,""," "&amp;"Assigned To"&amp;": ")</f>
        <v/>
      </c>
      <c r="W70" s="71" t="str">
        <f>IFERROR(INDEX(InputTbl[],MATCH(V68,InputTbl[Task Name],0),MATCH("Assigned To",InputTbl[#Headers],0)),"")</f>
        <v/>
      </c>
      <c r="X70" s="71"/>
      <c r="Y70" s="18"/>
      <c r="Z70" s="67"/>
      <c r="AA70" s="18"/>
      <c r="AB70" s="20" t="str">
        <f>IF(AB68=0,""," "&amp;"Assigned To"&amp;": ")</f>
        <v/>
      </c>
      <c r="AC70" s="71" t="str">
        <f>IFERROR(INDEX(InputTbl[],MATCH(AB68,InputTbl[Task Name],0),MATCH("Assigned To",InputTbl[#Headers],0)),"")</f>
        <v/>
      </c>
      <c r="AD70" s="71"/>
      <c r="AE70" s="18"/>
      <c r="AF70" s="67"/>
      <c r="AG70" s="18"/>
      <c r="AH70" s="20" t="str">
        <f>IF(AH68=0,""," "&amp;"Assigned To"&amp;": ")</f>
        <v/>
      </c>
      <c r="AI70" s="71" t="str">
        <f>IFERROR(INDEX(InputTbl[],MATCH(AH68,InputTbl[Task Name],0),MATCH("Assigned To",InputTbl[#Headers],0)),"")</f>
        <v/>
      </c>
      <c r="AJ70" s="71"/>
      <c r="AK70" s="18"/>
      <c r="AL70" s="67"/>
      <c r="AM70" s="18"/>
      <c r="AN70" s="20" t="str">
        <f>IF(AN68=0,""," "&amp;"Assigned To"&amp;": ")</f>
        <v/>
      </c>
      <c r="AO70" s="71" t="str">
        <f>IFERROR(INDEX(InputTbl[],MATCH(AN68,InputTbl[Task Name],0),MATCH("Assigned To",InputTbl[#Headers],0)),"")</f>
        <v/>
      </c>
      <c r="AP70" s="71"/>
      <c r="AQ70" s="18"/>
      <c r="AR70" s="67"/>
      <c r="AS70" s="18"/>
      <c r="AT70" s="20" t="str">
        <f>IF(AT68=0,""," "&amp;"Assigned To"&amp;": ")</f>
        <v/>
      </c>
      <c r="AU70" s="71" t="str">
        <f>IFERROR(INDEX(InputTbl[],MATCH(AT68,InputTbl[Task Name],0),MATCH("Assigned To",InputTbl[#Headers],0)),"")</f>
        <v/>
      </c>
      <c r="AV70" s="71"/>
      <c r="AW70" s="18"/>
      <c r="AX70" s="67"/>
      <c r="AY70" s="18"/>
      <c r="AZ70" s="20" t="str">
        <f>IF(AZ68=0,""," "&amp;"Assigned To"&amp;": ")</f>
        <v/>
      </c>
      <c r="BA70" s="71" t="str">
        <f>IFERROR(INDEX(InputTbl[],MATCH(AZ68,InputTbl[Task Name],0),MATCH("Assigned To",InputTbl[#Headers],0)),"")</f>
        <v/>
      </c>
      <c r="BB70" s="71"/>
      <c r="BC70" s="18"/>
      <c r="BD70" s="67"/>
      <c r="BE70" s="18"/>
      <c r="BL70" s="7"/>
      <c r="BM70" s="75"/>
      <c r="BN70" s="75"/>
      <c r="BX70" s="7"/>
      <c r="BY70" s="75"/>
      <c r="BZ70" s="75"/>
      <c r="CJ70" s="7"/>
      <c r="CK70" s="75"/>
      <c r="CL70" s="75"/>
      <c r="CV70" s="7"/>
      <c r="CW70" s="75"/>
      <c r="CX70" s="75"/>
      <c r="DH70" s="7"/>
      <c r="DI70" s="75"/>
      <c r="DJ70" s="75"/>
      <c r="DT70" s="7"/>
      <c r="DU70" s="75"/>
      <c r="DV70" s="75"/>
      <c r="EF70" s="7"/>
      <c r="EG70" s="75"/>
      <c r="EH70" s="75"/>
      <c r="ER70" s="7"/>
      <c r="ES70" s="75"/>
      <c r="ET70" s="75"/>
      <c r="FD70" s="7"/>
      <c r="FE70" s="75"/>
      <c r="FF70" s="75"/>
    </row>
    <row r="71" spans="1:162" x14ac:dyDescent="0.25">
      <c r="A71" s="18"/>
      <c r="B71" s="67"/>
      <c r="C71" s="18"/>
      <c r="D71" s="21" t="str">
        <f>IF(D68=0,""," "&amp;"Date Due"&amp;": ")</f>
        <v/>
      </c>
      <c r="E71" s="72" t="str">
        <f ca="1">IFERROR(IF(BM69="Yes",_xlfn.CONCAT("⚠"," ",TEXT(INDEX(InputTbl[],MATCH(D68,InputTbl[Task Name],0),MATCH("Due Date",InputTbl[#Headers],0)),"mm/dd/yyyy")," ","⚠"),INDEX(InputTbl[],MATCH(D68,InputTbl[Task Name],0),MATCH("Due Date",InputTbl[#Headers],0))),"")</f>
        <v/>
      </c>
      <c r="F71" s="72"/>
      <c r="G71" s="18"/>
      <c r="H71" s="67"/>
      <c r="I71" s="18"/>
      <c r="J71" s="21" t="str">
        <f>IF(J68=0,""," "&amp;"Date Due"&amp;": ")</f>
        <v/>
      </c>
      <c r="K71" s="72" t="str">
        <f ca="1">IFERROR(IF(BY69="Yes",_xlfn.CONCAT("⚠"," ",TEXT(INDEX(InputTbl[],MATCH(J68,InputTbl[Task Name],0),MATCH("Due Date",InputTbl[#Headers],0)),"mm/dd/yyyy")," ","⚠"),INDEX(InputTbl[],MATCH(J68,InputTbl[Task Name],0),MATCH("Due Date",InputTbl[#Headers],0))),"")</f>
        <v/>
      </c>
      <c r="L71" s="72"/>
      <c r="M71" s="18"/>
      <c r="N71" s="67"/>
      <c r="O71" s="18"/>
      <c r="P71" s="21" t="str">
        <f>IF(P68=0,""," "&amp;"Date Due"&amp;": ")</f>
        <v/>
      </c>
      <c r="Q71" s="72" t="str">
        <f ca="1">IFERROR(IF(CK69="Yes",_xlfn.CONCAT("⚠"," ",TEXT(INDEX(InputTbl[],MATCH(P68,InputTbl[Task Name],0),MATCH("Due Date",InputTbl[#Headers],0)),"mm/dd/yyyy")," ","⚠"),INDEX(InputTbl[],MATCH(P68,InputTbl[Task Name],0),MATCH("Due Date",InputTbl[#Headers],0))),"")</f>
        <v/>
      </c>
      <c r="R71" s="72"/>
      <c r="S71" s="18"/>
      <c r="T71" s="67"/>
      <c r="U71" s="18"/>
      <c r="V71" s="21" t="str">
        <f>IF(V68=0,""," "&amp;"Date Due"&amp;": ")</f>
        <v/>
      </c>
      <c r="W71" s="72" t="str">
        <f ca="1">IFERROR(IF(CW69="Yes",_xlfn.CONCAT("⚠"," ",TEXT(INDEX(InputTbl[],MATCH(V68,InputTbl[Task Name],0),MATCH("Due Date",InputTbl[#Headers],0)),"mm/dd/yyyy")," ","⚠"),INDEX(InputTbl[],MATCH(V68,InputTbl[Task Name],0),MATCH("Due Date",InputTbl[#Headers],0))),"")</f>
        <v/>
      </c>
      <c r="X71" s="72"/>
      <c r="Y71" s="18"/>
      <c r="Z71" s="67"/>
      <c r="AA71" s="18"/>
      <c r="AB71" s="21" t="str">
        <f>IF(AB68=0,""," "&amp;"Date Due"&amp;": ")</f>
        <v/>
      </c>
      <c r="AC71" s="72" t="str">
        <f ca="1">IFERROR(IF(DI69="Yes",_xlfn.CONCAT("⚠"," ",TEXT(INDEX(InputTbl[],MATCH(AB68,InputTbl[Task Name],0),MATCH("Due Date",InputTbl[#Headers],0)),"mm/dd/yyyy")," ","⚠"),INDEX(InputTbl[],MATCH(AB68,InputTbl[Task Name],0),MATCH("Due Date",InputTbl[#Headers],0))),"")</f>
        <v/>
      </c>
      <c r="AD71" s="72"/>
      <c r="AE71" s="18"/>
      <c r="AF71" s="67"/>
      <c r="AG71" s="18"/>
      <c r="AH71" s="21" t="str">
        <f>IF(AH68=0,""," "&amp;"Date Due"&amp;": ")</f>
        <v/>
      </c>
      <c r="AI71" s="72" t="str">
        <f ca="1">IFERROR(IF(DU69="Yes",_xlfn.CONCAT("⚠"," ",TEXT(INDEX(InputTbl[],MATCH(AH68,InputTbl[Task Name],0),MATCH("Due Date",InputTbl[#Headers],0)),"mm/dd/yyyy")," ","⚠"),INDEX(InputTbl[],MATCH(AH68,InputTbl[Task Name],0),MATCH("Due Date",InputTbl[#Headers],0))),"")</f>
        <v/>
      </c>
      <c r="AJ71" s="72"/>
      <c r="AK71" s="18"/>
      <c r="AL71" s="67"/>
      <c r="AM71" s="18"/>
      <c r="AN71" s="21" t="str">
        <f>IF(AN68=0,""," "&amp;"Date Due"&amp;": ")</f>
        <v/>
      </c>
      <c r="AO71" s="72" t="str">
        <f ca="1">IFERROR(IF(EG69="Yes",_xlfn.CONCAT("⚠"," ",TEXT(INDEX(InputTbl[],MATCH(AN68,InputTbl[Task Name],0),MATCH("Due Date",InputTbl[#Headers],0)),"mm/dd/yyyy")," ","⚠"),INDEX(InputTbl[],MATCH(AN68,InputTbl[Task Name],0),MATCH("Due Date",InputTbl[#Headers],0))),"")</f>
        <v/>
      </c>
      <c r="AP71" s="72"/>
      <c r="AQ71" s="18"/>
      <c r="AR71" s="67"/>
      <c r="AS71" s="18"/>
      <c r="AT71" s="21" t="str">
        <f>IF(AT68=0,""," "&amp;"Date Due"&amp;": ")</f>
        <v/>
      </c>
      <c r="AU71" s="72" t="str">
        <f ca="1">IFERROR(IF(ES69="Yes",_xlfn.CONCAT("⚠"," ",TEXT(INDEX(InputTbl[],MATCH(AT68,InputTbl[Task Name],0),MATCH("Due Date",InputTbl[#Headers],0)),"mm/dd/yyyy")," ","⚠"),INDEX(InputTbl[],MATCH(AT68,InputTbl[Task Name],0),MATCH("Due Date",InputTbl[#Headers],0))),"")</f>
        <v/>
      </c>
      <c r="AV71" s="72"/>
      <c r="AW71" s="18"/>
      <c r="AX71" s="67"/>
      <c r="AY71" s="18"/>
      <c r="AZ71" s="21" t="str">
        <f>IF(AZ68=0,""," "&amp;"Date Due"&amp;": ")</f>
        <v/>
      </c>
      <c r="BA71" s="72" t="str">
        <f ca="1">IFERROR(IF(FE69="Yes",_xlfn.CONCAT("⚠"," ",TEXT(INDEX(InputTbl[],MATCH(AZ68,InputTbl[Task Name],0),MATCH("Due Date",InputTbl[#Headers],0)),"mm/dd/yyyy")," ","⚠"),INDEX(InputTbl[],MATCH(AZ68,InputTbl[Task Name],0),MATCH("Due Date",InputTbl[#Headers],0))),"")</f>
        <v/>
      </c>
      <c r="BB71" s="72"/>
      <c r="BC71" s="18"/>
      <c r="BD71" s="67"/>
      <c r="BE71" s="18"/>
      <c r="BL71" s="8"/>
      <c r="BM71" s="74"/>
      <c r="BN71" s="74"/>
      <c r="BX71" s="8"/>
      <c r="BY71" s="74"/>
      <c r="BZ71" s="74"/>
      <c r="CJ71" s="8"/>
      <c r="CK71" s="74"/>
      <c r="CL71" s="74"/>
      <c r="CV71" s="8"/>
      <c r="CW71" s="74"/>
      <c r="CX71" s="74"/>
      <c r="DH71" s="8"/>
      <c r="DI71" s="74"/>
      <c r="DJ71" s="74"/>
      <c r="DT71" s="8"/>
      <c r="DU71" s="74"/>
      <c r="DV71" s="74"/>
      <c r="EF71" s="8"/>
      <c r="EG71" s="74"/>
      <c r="EH71" s="74"/>
      <c r="ER71" s="8"/>
      <c r="ES71" s="74"/>
      <c r="ET71" s="74"/>
      <c r="FD71" s="8"/>
      <c r="FE71" s="74"/>
      <c r="FF71" s="74"/>
    </row>
    <row r="72" spans="1:162" ht="15" customHeight="1" x14ac:dyDescent="0.25">
      <c r="A72" s="18"/>
      <c r="B72" s="67"/>
      <c r="C72" s="18"/>
      <c r="D72" s="18"/>
      <c r="E72" s="18"/>
      <c r="F72" s="18"/>
      <c r="G72" s="18"/>
      <c r="H72" s="67"/>
      <c r="I72" s="18"/>
      <c r="J72" s="18"/>
      <c r="K72" s="18"/>
      <c r="L72" s="18"/>
      <c r="M72" s="18"/>
      <c r="N72" s="67"/>
      <c r="O72" s="18"/>
      <c r="P72" s="18"/>
      <c r="Q72" s="18"/>
      <c r="R72" s="18"/>
      <c r="S72" s="18"/>
      <c r="T72" s="67"/>
      <c r="U72" s="18"/>
      <c r="V72" s="18"/>
      <c r="W72" s="18"/>
      <c r="X72" s="18"/>
      <c r="Y72" s="18"/>
      <c r="Z72" s="67"/>
      <c r="AA72" s="18"/>
      <c r="AB72" s="18"/>
      <c r="AC72" s="18"/>
      <c r="AD72" s="18"/>
      <c r="AE72" s="18"/>
      <c r="AF72" s="67"/>
      <c r="AG72" s="18"/>
      <c r="AH72" s="18"/>
      <c r="AI72" s="18"/>
      <c r="AJ72" s="18"/>
      <c r="AK72" s="18"/>
      <c r="AL72" s="67"/>
      <c r="AM72" s="18"/>
      <c r="AN72" s="18"/>
      <c r="AO72" s="18"/>
      <c r="AP72" s="18"/>
      <c r="AQ72" s="18"/>
      <c r="AR72" s="67"/>
      <c r="AS72" s="18"/>
      <c r="AT72" s="18"/>
      <c r="AU72" s="18"/>
      <c r="AV72" s="18"/>
      <c r="AW72" s="18"/>
      <c r="AX72" s="67"/>
      <c r="AY72" s="18"/>
      <c r="AZ72" s="18"/>
      <c r="BA72" s="18"/>
      <c r="BB72" s="18"/>
      <c r="BC72" s="18"/>
      <c r="BD72" s="67"/>
      <c r="BE72" s="18"/>
    </row>
    <row r="73" spans="1:162" x14ac:dyDescent="0.25">
      <c r="A73" s="18"/>
      <c r="B73" s="67"/>
      <c r="C73" s="18"/>
      <c r="D73" s="69">
        <f>INDEX(KanbanPrep!$A$5:$S$189,VLOOKUP(ROW(),RowLookupTbl,2,FALSE),SMALL({1,3,5,7,9,11,13,15,17,19},MATCH(D$6,StatusOptions,0)))</f>
        <v>0</v>
      </c>
      <c r="E73" s="69"/>
      <c r="F73" s="70" t="str">
        <f>IFERROR(IF(BM73="Low",2,IF(BM73="Medium",1,0)),"")</f>
        <v/>
      </c>
      <c r="G73" s="18"/>
      <c r="H73" s="67"/>
      <c r="I73" s="18"/>
      <c r="J73" s="69">
        <f>INDEX(KanbanPrep!$A$5:$S$189,VLOOKUP(ROW(),RowLookupTbl,2,FALSE),SMALL({1,3,5,7,9,11,13,15,17,19},MATCH(J$6,StatusOptions,0)))</f>
        <v>0</v>
      </c>
      <c r="K73" s="69"/>
      <c r="L73" s="70" t="str">
        <f>IFERROR(IF(BY73="Low",2,IF(BY73="Medium",1,0)),"")</f>
        <v/>
      </c>
      <c r="M73" s="18"/>
      <c r="N73" s="67"/>
      <c r="O73" s="18"/>
      <c r="P73" s="69">
        <f>INDEX(KanbanPrep!$A$5:$S$189,VLOOKUP(ROW(),RowLookupTbl,2,FALSE),SMALL({1,3,5,7,9,11,13,15,17,19},MATCH(P$6,StatusOptions,0)))</f>
        <v>0</v>
      </c>
      <c r="Q73" s="69"/>
      <c r="R73" s="70" t="str">
        <f>IFERROR(IF(CK73="Low",2,IF(CK73="Medium",1,0)),"")</f>
        <v/>
      </c>
      <c r="S73" s="18"/>
      <c r="T73" s="67"/>
      <c r="U73" s="18"/>
      <c r="V73" s="69">
        <f>INDEX(KanbanPrep!$A$5:$S$189,VLOOKUP(ROW(),RowLookupTbl,2,FALSE),SMALL({1,3,5,7,9,11,13,15,17,19},MATCH(V$6,StatusOptions,0)))</f>
        <v>0</v>
      </c>
      <c r="W73" s="69"/>
      <c r="X73" s="70" t="str">
        <f>IFERROR(IF(CW73="Low",2,IF(CW73="Medium",1,0)),"")</f>
        <v/>
      </c>
      <c r="Y73" s="18"/>
      <c r="Z73" s="67"/>
      <c r="AA73" s="18"/>
      <c r="AB73" s="69">
        <f>INDEX(KanbanPrep!$A$5:$S$189,VLOOKUP(ROW(),RowLookupTbl,2,FALSE),SMALL({1,3,5,7,9,11,13,15,17,19},MATCH(AB$6,StatusOptions,0)))</f>
        <v>0</v>
      </c>
      <c r="AC73" s="69"/>
      <c r="AD73" s="70" t="str">
        <f>IFERROR(IF(DI73="Low",2,IF(DI73="Medium",1,0)),"")</f>
        <v/>
      </c>
      <c r="AE73" s="18"/>
      <c r="AF73" s="67"/>
      <c r="AG73" s="18"/>
      <c r="AH73" s="69">
        <f>INDEX(KanbanPrep!$A$5:$S$189,VLOOKUP(ROW(),RowLookupTbl,2,FALSE),SMALL({1,3,5,7,9,11,13,15,17,19},MATCH(AH$6,StatusOptions,0)))</f>
        <v>0</v>
      </c>
      <c r="AI73" s="69"/>
      <c r="AJ73" s="70" t="str">
        <f>IFERROR(IF(DU73="Low",2,IF(DU73="Medium",1,0)),"")</f>
        <v/>
      </c>
      <c r="AK73" s="18"/>
      <c r="AL73" s="67"/>
      <c r="AM73" s="18"/>
      <c r="AN73" s="69">
        <f>INDEX(KanbanPrep!$A$5:$S$189,VLOOKUP(ROW(),RowLookupTbl,2,FALSE),SMALL({1,3,5,7,9,11,13,15,17,19},MATCH(AN$6,StatusOptions,0)))</f>
        <v>0</v>
      </c>
      <c r="AO73" s="69"/>
      <c r="AP73" s="70" t="str">
        <f>IFERROR(IF(EG73="Low",2,IF(EG73="Medium",1,0)),"")</f>
        <v/>
      </c>
      <c r="AQ73" s="18"/>
      <c r="AR73" s="67"/>
      <c r="AS73" s="18"/>
      <c r="AT73" s="69">
        <f>INDEX(KanbanPrep!$A$5:$S$189,VLOOKUP(ROW(),RowLookupTbl,2,FALSE),SMALL({1,3,5,7,9,11,13,15,17,19},MATCH(AT$6,StatusOptions,0)))</f>
        <v>0</v>
      </c>
      <c r="AU73" s="69"/>
      <c r="AV73" s="70" t="str">
        <f>IFERROR(IF(ES73="Low",2,IF(ES73="Medium",1,0)),"")</f>
        <v/>
      </c>
      <c r="AW73" s="18"/>
      <c r="AX73" s="67"/>
      <c r="AY73" s="18"/>
      <c r="AZ73" s="69">
        <f>INDEX(KanbanPrep!$A$5:$S$189,VLOOKUP(ROW(),RowLookupTbl,2,FALSE),SMALL({1,3,5,7,9,11,13,15,17,19},MATCH(AZ$6,StatusOptions,0)))</f>
        <v>0</v>
      </c>
      <c r="BA73" s="69"/>
      <c r="BB73" s="70" t="str">
        <f>IFERROR(IF(FE73="Low",2,IF(FE73="Medium",1,0)),"")</f>
        <v/>
      </c>
      <c r="BC73" s="18"/>
      <c r="BD73" s="67"/>
      <c r="BE73" s="18"/>
      <c r="BL73" s="13" t="s">
        <v>60</v>
      </c>
      <c r="BM73" s="13" t="e">
        <f>INDEX(InputTbl[],MATCH(D73,InputTbl[Task Name],0),MATCH("Priority",InputTbl[#Headers],0))</f>
        <v>#N/A</v>
      </c>
      <c r="BN73" s="73"/>
      <c r="BX73" s="13" t="s">
        <v>60</v>
      </c>
      <c r="BY73" s="13" t="e">
        <f>INDEX(InputTbl[],MATCH(J73,InputTbl[Task Name],0),MATCH("Priority",InputTbl[#Headers],0))</f>
        <v>#N/A</v>
      </c>
      <c r="BZ73" s="73"/>
      <c r="CJ73" s="13" t="s">
        <v>60</v>
      </c>
      <c r="CK73" s="13" t="e">
        <f>INDEX(InputTbl[],MATCH(P73,InputTbl[Task Name],0),MATCH("Priority",InputTbl[#Headers],0))</f>
        <v>#N/A</v>
      </c>
      <c r="CL73" s="73"/>
      <c r="CV73" s="13" t="s">
        <v>60</v>
      </c>
      <c r="CW73" s="13" t="e">
        <f>INDEX(InputTbl[],MATCH(V73,InputTbl[Task Name],0),MATCH("Priority",InputTbl[#Headers],0))</f>
        <v>#N/A</v>
      </c>
      <c r="CX73" s="73"/>
      <c r="DH73" s="13" t="s">
        <v>60</v>
      </c>
      <c r="DI73" s="13" t="e">
        <f>INDEX(InputTbl[],MATCH(AB73,InputTbl[Task Name],0),MATCH("Priority",InputTbl[#Headers],0))</f>
        <v>#N/A</v>
      </c>
      <c r="DJ73" s="73"/>
      <c r="DT73" s="13" t="s">
        <v>60</v>
      </c>
      <c r="DU73" s="13" t="e">
        <f>INDEX(InputTbl[],MATCH(AH73,InputTbl[Task Name],0),MATCH("Priority",InputTbl[#Headers],0))</f>
        <v>#N/A</v>
      </c>
      <c r="DV73" s="73"/>
      <c r="EF73" s="13" t="s">
        <v>60</v>
      </c>
      <c r="EG73" s="13" t="e">
        <f>INDEX(InputTbl[],MATCH(AN73,InputTbl[Task Name],0),MATCH("Priority",InputTbl[#Headers],0))</f>
        <v>#N/A</v>
      </c>
      <c r="EH73" s="73"/>
      <c r="ER73" s="13" t="s">
        <v>60</v>
      </c>
      <c r="ES73" s="13" t="e">
        <f>INDEX(InputTbl[],MATCH(AT73,InputTbl[Task Name],0),MATCH("Priority",InputTbl[#Headers],0))</f>
        <v>#N/A</v>
      </c>
      <c r="ET73" s="73"/>
      <c r="FD73" s="13" t="s">
        <v>60</v>
      </c>
      <c r="FE73" s="13" t="e">
        <f>INDEX(InputTbl[],MATCH(AZ73,InputTbl[Task Name],0),MATCH("Priority",InputTbl[#Headers],0))</f>
        <v>#N/A</v>
      </c>
      <c r="FF73" s="73"/>
    </row>
    <row r="74" spans="1:162" x14ac:dyDescent="0.25">
      <c r="A74" s="18"/>
      <c r="B74" s="67"/>
      <c r="C74" s="18"/>
      <c r="D74" s="69"/>
      <c r="E74" s="69"/>
      <c r="F74" s="70"/>
      <c r="G74" s="18"/>
      <c r="H74" s="67"/>
      <c r="I74" s="18"/>
      <c r="J74" s="69"/>
      <c r="K74" s="69"/>
      <c r="L74" s="70"/>
      <c r="M74" s="18"/>
      <c r="N74" s="67"/>
      <c r="O74" s="18"/>
      <c r="P74" s="69"/>
      <c r="Q74" s="69"/>
      <c r="R74" s="70"/>
      <c r="S74" s="18"/>
      <c r="T74" s="67"/>
      <c r="U74" s="18"/>
      <c r="V74" s="69"/>
      <c r="W74" s="69"/>
      <c r="X74" s="70"/>
      <c r="Y74" s="18"/>
      <c r="Z74" s="67"/>
      <c r="AA74" s="18"/>
      <c r="AB74" s="69"/>
      <c r="AC74" s="69"/>
      <c r="AD74" s="70"/>
      <c r="AE74" s="18"/>
      <c r="AF74" s="67"/>
      <c r="AG74" s="18"/>
      <c r="AH74" s="69"/>
      <c r="AI74" s="69"/>
      <c r="AJ74" s="70"/>
      <c r="AK74" s="18"/>
      <c r="AL74" s="67"/>
      <c r="AM74" s="18"/>
      <c r="AN74" s="69"/>
      <c r="AO74" s="69"/>
      <c r="AP74" s="70"/>
      <c r="AQ74" s="18"/>
      <c r="AR74" s="67"/>
      <c r="AS74" s="18"/>
      <c r="AT74" s="69"/>
      <c r="AU74" s="69"/>
      <c r="AV74" s="70"/>
      <c r="AW74" s="18"/>
      <c r="AX74" s="67"/>
      <c r="AY74" s="18"/>
      <c r="AZ74" s="69"/>
      <c r="BA74" s="69"/>
      <c r="BB74" s="70"/>
      <c r="BC74" s="18"/>
      <c r="BD74" s="67"/>
      <c r="BE74" s="18"/>
      <c r="BL74" s="13" t="s">
        <v>72</v>
      </c>
      <c r="BM74" s="13" t="str">
        <f ca="1">INDEX(DataTbl[],MATCH(D73,DataTbl[Task Name],0),MATCH("Overdue",DataTbl[#Headers],0))</f>
        <v>No</v>
      </c>
      <c r="BN74" s="73"/>
      <c r="BX74" s="13" t="s">
        <v>72</v>
      </c>
      <c r="BY74" s="13" t="str">
        <f ca="1">INDEX(DataTbl[],MATCH(J73,DataTbl[Task Name],0),MATCH("Overdue",DataTbl[#Headers],0))</f>
        <v>No</v>
      </c>
      <c r="BZ74" s="73"/>
      <c r="CJ74" s="13" t="s">
        <v>72</v>
      </c>
      <c r="CK74" s="13" t="str">
        <f ca="1">INDEX(DataTbl[],MATCH(P73,DataTbl[Task Name],0),MATCH("Overdue",DataTbl[#Headers],0))</f>
        <v>No</v>
      </c>
      <c r="CL74" s="73"/>
      <c r="CV74" s="13" t="s">
        <v>72</v>
      </c>
      <c r="CW74" s="13" t="str">
        <f ca="1">INDEX(DataTbl[],MATCH(V73,DataTbl[Task Name],0),MATCH("Overdue",DataTbl[#Headers],0))</f>
        <v>No</v>
      </c>
      <c r="CX74" s="73"/>
      <c r="DH74" s="13" t="s">
        <v>72</v>
      </c>
      <c r="DI74" s="13" t="str">
        <f ca="1">INDEX(DataTbl[],MATCH(AB73,DataTbl[Task Name],0),MATCH("Overdue",DataTbl[#Headers],0))</f>
        <v>No</v>
      </c>
      <c r="DJ74" s="73"/>
      <c r="DT74" s="13" t="s">
        <v>72</v>
      </c>
      <c r="DU74" s="13" t="str">
        <f ca="1">INDEX(DataTbl[],MATCH(AH73,DataTbl[Task Name],0),MATCH("Overdue",DataTbl[#Headers],0))</f>
        <v>No</v>
      </c>
      <c r="DV74" s="73"/>
      <c r="EF74" s="13" t="s">
        <v>72</v>
      </c>
      <c r="EG74" s="13" t="str">
        <f ca="1">INDEX(DataTbl[],MATCH(AN73,DataTbl[Task Name],0),MATCH("Overdue",DataTbl[#Headers],0))</f>
        <v>No</v>
      </c>
      <c r="EH74" s="73"/>
      <c r="ER74" s="13" t="s">
        <v>72</v>
      </c>
      <c r="ES74" s="13" t="str">
        <f ca="1">INDEX(DataTbl[],MATCH(AT73,DataTbl[Task Name],0),MATCH("Overdue",DataTbl[#Headers],0))</f>
        <v>No</v>
      </c>
      <c r="ET74" s="73"/>
      <c r="FD74" s="13" t="s">
        <v>72</v>
      </c>
      <c r="FE74" s="13" t="str">
        <f ca="1">INDEX(DataTbl[],MATCH(AZ73,DataTbl[Task Name],0),MATCH("Overdue",DataTbl[#Headers],0))</f>
        <v>No</v>
      </c>
      <c r="FF74" s="73"/>
    </row>
    <row r="75" spans="1:162" x14ac:dyDescent="0.25">
      <c r="A75" s="18"/>
      <c r="B75" s="67"/>
      <c r="C75" s="18"/>
      <c r="D75" s="20" t="str">
        <f>IF(D73=0,""," "&amp;"Assigned To"&amp;": ")</f>
        <v/>
      </c>
      <c r="E75" s="71" t="str">
        <f>IFERROR(INDEX(InputTbl[],MATCH(D73,InputTbl[Task Name],0),MATCH("Assigned To",InputTbl[#Headers],0)),"")</f>
        <v/>
      </c>
      <c r="F75" s="71"/>
      <c r="G75" s="18"/>
      <c r="H75" s="67"/>
      <c r="I75" s="18"/>
      <c r="J75" s="20" t="str">
        <f>IF(J73=0,""," "&amp;"Assigned To"&amp;": ")</f>
        <v/>
      </c>
      <c r="K75" s="71" t="str">
        <f>IFERROR(INDEX(InputTbl[],MATCH(J73,InputTbl[Task Name],0),MATCH("Assigned To",InputTbl[#Headers],0)),"")</f>
        <v/>
      </c>
      <c r="L75" s="71"/>
      <c r="M75" s="18"/>
      <c r="N75" s="67"/>
      <c r="O75" s="18"/>
      <c r="P75" s="20" t="str">
        <f>IF(P73=0,""," "&amp;"Assigned To"&amp;": ")</f>
        <v/>
      </c>
      <c r="Q75" s="71" t="str">
        <f>IFERROR(INDEX(InputTbl[],MATCH(P73,InputTbl[Task Name],0),MATCH("Assigned To",InputTbl[#Headers],0)),"")</f>
        <v/>
      </c>
      <c r="R75" s="71"/>
      <c r="S75" s="18"/>
      <c r="T75" s="67"/>
      <c r="U75" s="18"/>
      <c r="V75" s="20" t="str">
        <f>IF(V73=0,""," "&amp;"Assigned To"&amp;": ")</f>
        <v/>
      </c>
      <c r="W75" s="71" t="str">
        <f>IFERROR(INDEX(InputTbl[],MATCH(V73,InputTbl[Task Name],0),MATCH("Assigned To",InputTbl[#Headers],0)),"")</f>
        <v/>
      </c>
      <c r="X75" s="71"/>
      <c r="Y75" s="18"/>
      <c r="Z75" s="67"/>
      <c r="AA75" s="18"/>
      <c r="AB75" s="20" t="str">
        <f>IF(AB73=0,""," "&amp;"Assigned To"&amp;": ")</f>
        <v/>
      </c>
      <c r="AC75" s="71" t="str">
        <f>IFERROR(INDEX(InputTbl[],MATCH(AB73,InputTbl[Task Name],0),MATCH("Assigned To",InputTbl[#Headers],0)),"")</f>
        <v/>
      </c>
      <c r="AD75" s="71"/>
      <c r="AE75" s="18"/>
      <c r="AF75" s="67"/>
      <c r="AG75" s="18"/>
      <c r="AH75" s="20" t="str">
        <f>IF(AH73=0,""," "&amp;"Assigned To"&amp;": ")</f>
        <v/>
      </c>
      <c r="AI75" s="71" t="str">
        <f>IFERROR(INDEX(InputTbl[],MATCH(AH73,InputTbl[Task Name],0),MATCH("Assigned To",InputTbl[#Headers],0)),"")</f>
        <v/>
      </c>
      <c r="AJ75" s="71"/>
      <c r="AK75" s="18"/>
      <c r="AL75" s="67"/>
      <c r="AM75" s="18"/>
      <c r="AN75" s="20" t="str">
        <f>IF(AN73=0,""," "&amp;"Assigned To"&amp;": ")</f>
        <v/>
      </c>
      <c r="AO75" s="71" t="str">
        <f>IFERROR(INDEX(InputTbl[],MATCH(AN73,InputTbl[Task Name],0),MATCH("Assigned To",InputTbl[#Headers],0)),"")</f>
        <v/>
      </c>
      <c r="AP75" s="71"/>
      <c r="AQ75" s="18"/>
      <c r="AR75" s="67"/>
      <c r="AS75" s="18"/>
      <c r="AT75" s="20" t="str">
        <f>IF(AT73=0,""," "&amp;"Assigned To"&amp;": ")</f>
        <v/>
      </c>
      <c r="AU75" s="71" t="str">
        <f>IFERROR(INDEX(InputTbl[],MATCH(AT73,InputTbl[Task Name],0),MATCH("Assigned To",InputTbl[#Headers],0)),"")</f>
        <v/>
      </c>
      <c r="AV75" s="71"/>
      <c r="AW75" s="18"/>
      <c r="AX75" s="67"/>
      <c r="AY75" s="18"/>
      <c r="AZ75" s="20" t="str">
        <f>IF(AZ73=0,""," "&amp;"Assigned To"&amp;": ")</f>
        <v/>
      </c>
      <c r="BA75" s="71" t="str">
        <f>IFERROR(INDEX(InputTbl[],MATCH(AZ73,InputTbl[Task Name],0),MATCH("Assigned To",InputTbl[#Headers],0)),"")</f>
        <v/>
      </c>
      <c r="BB75" s="71"/>
      <c r="BC75" s="18"/>
      <c r="BD75" s="67"/>
      <c r="BE75" s="18"/>
      <c r="BL75" s="7"/>
      <c r="BM75" s="75"/>
      <c r="BN75" s="75"/>
      <c r="BX75" s="7"/>
      <c r="BY75" s="75"/>
      <c r="BZ75" s="75"/>
      <c r="CJ75" s="7"/>
      <c r="CK75" s="75"/>
      <c r="CL75" s="75"/>
      <c r="CV75" s="7"/>
      <c r="CW75" s="75"/>
      <c r="CX75" s="75"/>
      <c r="DH75" s="7"/>
      <c r="DI75" s="75"/>
      <c r="DJ75" s="75"/>
      <c r="DT75" s="7"/>
      <c r="DU75" s="75"/>
      <c r="DV75" s="75"/>
      <c r="EF75" s="7"/>
      <c r="EG75" s="75"/>
      <c r="EH75" s="75"/>
      <c r="ER75" s="7"/>
      <c r="ES75" s="75"/>
      <c r="ET75" s="75"/>
      <c r="FD75" s="7"/>
      <c r="FE75" s="75"/>
      <c r="FF75" s="75"/>
    </row>
    <row r="76" spans="1:162" x14ac:dyDescent="0.25">
      <c r="A76" s="18"/>
      <c r="B76" s="67"/>
      <c r="C76" s="18"/>
      <c r="D76" s="21" t="str">
        <f>IF(D73=0,""," "&amp;"Date Due"&amp;": ")</f>
        <v/>
      </c>
      <c r="E76" s="72" t="str">
        <f ca="1">IFERROR(IF(BM74="Yes",_xlfn.CONCAT("⚠"," ",TEXT(INDEX(InputTbl[],MATCH(D73,InputTbl[Task Name],0),MATCH("Due Date",InputTbl[#Headers],0)),"mm/dd/yyyy")," ","⚠"),INDEX(InputTbl[],MATCH(D73,InputTbl[Task Name],0),MATCH("Due Date",InputTbl[#Headers],0))),"")</f>
        <v/>
      </c>
      <c r="F76" s="72"/>
      <c r="G76" s="18"/>
      <c r="H76" s="67"/>
      <c r="I76" s="18"/>
      <c r="J76" s="21" t="str">
        <f>IF(J73=0,""," "&amp;"Date Due"&amp;": ")</f>
        <v/>
      </c>
      <c r="K76" s="72" t="str">
        <f ca="1">IFERROR(IF(BY74="Yes",_xlfn.CONCAT("⚠"," ",TEXT(INDEX(InputTbl[],MATCH(J73,InputTbl[Task Name],0),MATCH("Due Date",InputTbl[#Headers],0)),"mm/dd/yyyy")," ","⚠"),INDEX(InputTbl[],MATCH(J73,InputTbl[Task Name],0),MATCH("Due Date",InputTbl[#Headers],0))),"")</f>
        <v/>
      </c>
      <c r="L76" s="72"/>
      <c r="M76" s="18"/>
      <c r="N76" s="67"/>
      <c r="O76" s="18"/>
      <c r="P76" s="21" t="str">
        <f>IF(P73=0,""," "&amp;"Date Due"&amp;": ")</f>
        <v/>
      </c>
      <c r="Q76" s="72" t="str">
        <f ca="1">IFERROR(IF(CK74="Yes",_xlfn.CONCAT("⚠"," ",TEXT(INDEX(InputTbl[],MATCH(P73,InputTbl[Task Name],0),MATCH("Due Date",InputTbl[#Headers],0)),"mm/dd/yyyy")," ","⚠"),INDEX(InputTbl[],MATCH(P73,InputTbl[Task Name],0),MATCH("Due Date",InputTbl[#Headers],0))),"")</f>
        <v/>
      </c>
      <c r="R76" s="72"/>
      <c r="S76" s="18"/>
      <c r="T76" s="67"/>
      <c r="U76" s="18"/>
      <c r="V76" s="21" t="str">
        <f>IF(V73=0,""," "&amp;"Date Due"&amp;": ")</f>
        <v/>
      </c>
      <c r="W76" s="72" t="str">
        <f ca="1">IFERROR(IF(CW74="Yes",_xlfn.CONCAT("⚠"," ",TEXT(INDEX(InputTbl[],MATCH(V73,InputTbl[Task Name],0),MATCH("Due Date",InputTbl[#Headers],0)),"mm/dd/yyyy")," ","⚠"),INDEX(InputTbl[],MATCH(V73,InputTbl[Task Name],0),MATCH("Due Date",InputTbl[#Headers],0))),"")</f>
        <v/>
      </c>
      <c r="X76" s="72"/>
      <c r="Y76" s="18"/>
      <c r="Z76" s="67"/>
      <c r="AA76" s="18"/>
      <c r="AB76" s="21" t="str">
        <f>IF(AB73=0,""," "&amp;"Date Due"&amp;": ")</f>
        <v/>
      </c>
      <c r="AC76" s="72" t="str">
        <f ca="1">IFERROR(IF(DI74="Yes",_xlfn.CONCAT("⚠"," ",TEXT(INDEX(InputTbl[],MATCH(AB73,InputTbl[Task Name],0),MATCH("Due Date",InputTbl[#Headers],0)),"mm/dd/yyyy")," ","⚠"),INDEX(InputTbl[],MATCH(AB73,InputTbl[Task Name],0),MATCH("Due Date",InputTbl[#Headers],0))),"")</f>
        <v/>
      </c>
      <c r="AD76" s="72"/>
      <c r="AE76" s="18"/>
      <c r="AF76" s="67"/>
      <c r="AG76" s="18"/>
      <c r="AH76" s="21" t="str">
        <f>IF(AH73=0,""," "&amp;"Date Due"&amp;": ")</f>
        <v/>
      </c>
      <c r="AI76" s="72" t="str">
        <f ca="1">IFERROR(IF(DU74="Yes",_xlfn.CONCAT("⚠"," ",TEXT(INDEX(InputTbl[],MATCH(AH73,InputTbl[Task Name],0),MATCH("Due Date",InputTbl[#Headers],0)),"mm/dd/yyyy")," ","⚠"),INDEX(InputTbl[],MATCH(AH73,InputTbl[Task Name],0),MATCH("Due Date",InputTbl[#Headers],0))),"")</f>
        <v/>
      </c>
      <c r="AJ76" s="72"/>
      <c r="AK76" s="18"/>
      <c r="AL76" s="67"/>
      <c r="AM76" s="18"/>
      <c r="AN76" s="21" t="str">
        <f>IF(AN73=0,""," "&amp;"Date Due"&amp;": ")</f>
        <v/>
      </c>
      <c r="AO76" s="72" t="str">
        <f ca="1">IFERROR(IF(EG74="Yes",_xlfn.CONCAT("⚠"," ",TEXT(INDEX(InputTbl[],MATCH(AN73,InputTbl[Task Name],0),MATCH("Due Date",InputTbl[#Headers],0)),"mm/dd/yyyy")," ","⚠"),INDEX(InputTbl[],MATCH(AN73,InputTbl[Task Name],0),MATCH("Due Date",InputTbl[#Headers],0))),"")</f>
        <v/>
      </c>
      <c r="AP76" s="72"/>
      <c r="AQ76" s="18"/>
      <c r="AR76" s="67"/>
      <c r="AS76" s="18"/>
      <c r="AT76" s="21" t="str">
        <f>IF(AT73=0,""," "&amp;"Date Due"&amp;": ")</f>
        <v/>
      </c>
      <c r="AU76" s="72" t="str">
        <f ca="1">IFERROR(IF(ES74="Yes",_xlfn.CONCAT("⚠"," ",TEXT(INDEX(InputTbl[],MATCH(AT73,InputTbl[Task Name],0),MATCH("Due Date",InputTbl[#Headers],0)),"mm/dd/yyyy")," ","⚠"),INDEX(InputTbl[],MATCH(AT73,InputTbl[Task Name],0),MATCH("Due Date",InputTbl[#Headers],0))),"")</f>
        <v/>
      </c>
      <c r="AV76" s="72"/>
      <c r="AW76" s="18"/>
      <c r="AX76" s="67"/>
      <c r="AY76" s="18"/>
      <c r="AZ76" s="21" t="str">
        <f>IF(AZ73=0,""," "&amp;"Date Due"&amp;": ")</f>
        <v/>
      </c>
      <c r="BA76" s="72" t="str">
        <f ca="1">IFERROR(IF(FE74="Yes",_xlfn.CONCAT("⚠"," ",TEXT(INDEX(InputTbl[],MATCH(AZ73,InputTbl[Task Name],0),MATCH("Due Date",InputTbl[#Headers],0)),"mm/dd/yyyy")," ","⚠"),INDEX(InputTbl[],MATCH(AZ73,InputTbl[Task Name],0),MATCH("Due Date",InputTbl[#Headers],0))),"")</f>
        <v/>
      </c>
      <c r="BB76" s="72"/>
      <c r="BC76" s="18"/>
      <c r="BD76" s="67"/>
      <c r="BE76" s="18"/>
      <c r="BL76" s="8"/>
      <c r="BM76" s="74"/>
      <c r="BN76" s="74"/>
      <c r="BX76" s="8"/>
      <c r="BY76" s="74"/>
      <c r="BZ76" s="74"/>
      <c r="CJ76" s="8"/>
      <c r="CK76" s="74"/>
      <c r="CL76" s="74"/>
      <c r="CV76" s="8"/>
      <c r="CW76" s="74"/>
      <c r="CX76" s="74"/>
      <c r="DH76" s="8"/>
      <c r="DI76" s="74"/>
      <c r="DJ76" s="74"/>
      <c r="DT76" s="8"/>
      <c r="DU76" s="74"/>
      <c r="DV76" s="74"/>
      <c r="EF76" s="8"/>
      <c r="EG76" s="74"/>
      <c r="EH76" s="74"/>
      <c r="ER76" s="8"/>
      <c r="ES76" s="74"/>
      <c r="ET76" s="74"/>
      <c r="FD76" s="8"/>
      <c r="FE76" s="74"/>
      <c r="FF76" s="74"/>
    </row>
    <row r="77" spans="1:162" ht="15" customHeight="1" x14ac:dyDescent="0.25">
      <c r="A77" s="18"/>
      <c r="B77" s="67"/>
      <c r="C77" s="18"/>
      <c r="D77" s="18"/>
      <c r="E77" s="18"/>
      <c r="F77" s="18"/>
      <c r="G77" s="18"/>
      <c r="H77" s="67"/>
      <c r="I77" s="18"/>
      <c r="J77" s="18"/>
      <c r="K77" s="18"/>
      <c r="L77" s="18"/>
      <c r="M77" s="18"/>
      <c r="N77" s="67"/>
      <c r="O77" s="18"/>
      <c r="P77" s="18"/>
      <c r="Q77" s="18"/>
      <c r="R77" s="18"/>
      <c r="S77" s="18"/>
      <c r="T77" s="67"/>
      <c r="U77" s="18"/>
      <c r="V77" s="18"/>
      <c r="W77" s="18"/>
      <c r="X77" s="18"/>
      <c r="Y77" s="18"/>
      <c r="Z77" s="67"/>
      <c r="AA77" s="18"/>
      <c r="AB77" s="18"/>
      <c r="AC77" s="18"/>
      <c r="AD77" s="18"/>
      <c r="AE77" s="18"/>
      <c r="AF77" s="67"/>
      <c r="AG77" s="18"/>
      <c r="AH77" s="18"/>
      <c r="AI77" s="18"/>
      <c r="AJ77" s="18"/>
      <c r="AK77" s="18"/>
      <c r="AL77" s="67"/>
      <c r="AM77" s="18"/>
      <c r="AN77" s="18"/>
      <c r="AO77" s="18"/>
      <c r="AP77" s="18"/>
      <c r="AQ77" s="18"/>
      <c r="AR77" s="67"/>
      <c r="AS77" s="18"/>
      <c r="AT77" s="18"/>
      <c r="AU77" s="18"/>
      <c r="AV77" s="18"/>
      <c r="AW77" s="18"/>
      <c r="AX77" s="67"/>
      <c r="AY77" s="18"/>
      <c r="AZ77" s="18"/>
      <c r="BA77" s="18"/>
      <c r="BB77" s="18"/>
      <c r="BC77" s="18"/>
      <c r="BD77" s="67"/>
      <c r="BE77" s="18"/>
    </row>
    <row r="78" spans="1:162" x14ac:dyDescent="0.25">
      <c r="A78" s="18"/>
      <c r="B78" s="67"/>
      <c r="C78" s="18"/>
      <c r="D78" s="69">
        <f>INDEX(KanbanPrep!$A$5:$S$189,VLOOKUP(ROW(),RowLookupTbl,2,FALSE),SMALL({1,3,5,7,9,11,13,15,17,19},MATCH(D$6,StatusOptions,0)))</f>
        <v>0</v>
      </c>
      <c r="E78" s="69"/>
      <c r="F78" s="70" t="str">
        <f>IFERROR(IF(BM78="Low",2,IF(BM78="Medium",1,0)),"")</f>
        <v/>
      </c>
      <c r="G78" s="18"/>
      <c r="H78" s="67"/>
      <c r="I78" s="18"/>
      <c r="J78" s="69">
        <f>INDEX(KanbanPrep!$A$5:$S$189,VLOOKUP(ROW(),RowLookupTbl,2,FALSE),SMALL({1,3,5,7,9,11,13,15,17,19},MATCH(J$6,StatusOptions,0)))</f>
        <v>0</v>
      </c>
      <c r="K78" s="69"/>
      <c r="L78" s="70" t="str">
        <f>IFERROR(IF(BY78="Low",2,IF(BY78="Medium",1,0)),"")</f>
        <v/>
      </c>
      <c r="M78" s="18"/>
      <c r="N78" s="67"/>
      <c r="O78" s="18"/>
      <c r="P78" s="69">
        <f>INDEX(KanbanPrep!$A$5:$S$189,VLOOKUP(ROW(),RowLookupTbl,2,FALSE),SMALL({1,3,5,7,9,11,13,15,17,19},MATCH(P$6,StatusOptions,0)))</f>
        <v>0</v>
      </c>
      <c r="Q78" s="69"/>
      <c r="R78" s="70" t="str">
        <f>IFERROR(IF(CK78="Low",2,IF(CK78="Medium",1,0)),"")</f>
        <v/>
      </c>
      <c r="S78" s="18"/>
      <c r="T78" s="67"/>
      <c r="U78" s="18"/>
      <c r="V78" s="69">
        <f>INDEX(KanbanPrep!$A$5:$S$189,VLOOKUP(ROW(),RowLookupTbl,2,FALSE),SMALL({1,3,5,7,9,11,13,15,17,19},MATCH(V$6,StatusOptions,0)))</f>
        <v>0</v>
      </c>
      <c r="W78" s="69"/>
      <c r="X78" s="70" t="str">
        <f>IFERROR(IF(CW78="Low",2,IF(CW78="Medium",1,0)),"")</f>
        <v/>
      </c>
      <c r="Y78" s="18"/>
      <c r="Z78" s="67"/>
      <c r="AA78" s="18"/>
      <c r="AB78" s="69">
        <f>INDEX(KanbanPrep!$A$5:$S$189,VLOOKUP(ROW(),RowLookupTbl,2,FALSE),SMALL({1,3,5,7,9,11,13,15,17,19},MATCH(AB$6,StatusOptions,0)))</f>
        <v>0</v>
      </c>
      <c r="AC78" s="69"/>
      <c r="AD78" s="70" t="str">
        <f>IFERROR(IF(DI78="Low",2,IF(DI78="Medium",1,0)),"")</f>
        <v/>
      </c>
      <c r="AE78" s="18"/>
      <c r="AF78" s="67"/>
      <c r="AG78" s="18"/>
      <c r="AH78" s="69">
        <f>INDEX(KanbanPrep!$A$5:$S$189,VLOOKUP(ROW(),RowLookupTbl,2,FALSE),SMALL({1,3,5,7,9,11,13,15,17,19},MATCH(AH$6,StatusOptions,0)))</f>
        <v>0</v>
      </c>
      <c r="AI78" s="69"/>
      <c r="AJ78" s="70" t="str">
        <f>IFERROR(IF(DU78="Low",2,IF(DU78="Medium",1,0)),"")</f>
        <v/>
      </c>
      <c r="AK78" s="18"/>
      <c r="AL78" s="67"/>
      <c r="AM78" s="18"/>
      <c r="AN78" s="69">
        <f>INDEX(KanbanPrep!$A$5:$S$189,VLOOKUP(ROW(),RowLookupTbl,2,FALSE),SMALL({1,3,5,7,9,11,13,15,17,19},MATCH(AN$6,StatusOptions,0)))</f>
        <v>0</v>
      </c>
      <c r="AO78" s="69"/>
      <c r="AP78" s="70" t="str">
        <f>IFERROR(IF(EG78="Low",2,IF(EG78="Medium",1,0)),"")</f>
        <v/>
      </c>
      <c r="AQ78" s="18"/>
      <c r="AR78" s="67"/>
      <c r="AS78" s="18"/>
      <c r="AT78" s="69">
        <f>INDEX(KanbanPrep!$A$5:$S$189,VLOOKUP(ROW(),RowLookupTbl,2,FALSE),SMALL({1,3,5,7,9,11,13,15,17,19},MATCH(AT$6,StatusOptions,0)))</f>
        <v>0</v>
      </c>
      <c r="AU78" s="69"/>
      <c r="AV78" s="70" t="str">
        <f>IFERROR(IF(ES78="Low",2,IF(ES78="Medium",1,0)),"")</f>
        <v/>
      </c>
      <c r="AW78" s="18"/>
      <c r="AX78" s="67"/>
      <c r="AY78" s="18"/>
      <c r="AZ78" s="69">
        <f>INDEX(KanbanPrep!$A$5:$S$189,VLOOKUP(ROW(),RowLookupTbl,2,FALSE),SMALL({1,3,5,7,9,11,13,15,17,19},MATCH(AZ$6,StatusOptions,0)))</f>
        <v>0</v>
      </c>
      <c r="BA78" s="69"/>
      <c r="BB78" s="70" t="str">
        <f>IFERROR(IF(FE78="Low",2,IF(FE78="Medium",1,0)),"")</f>
        <v/>
      </c>
      <c r="BC78" s="18"/>
      <c r="BD78" s="67"/>
      <c r="BE78" s="18"/>
      <c r="BL78" s="13" t="s">
        <v>60</v>
      </c>
      <c r="BM78" s="13" t="e">
        <f>INDEX(InputTbl[],MATCH(D78,InputTbl[Task Name],0),MATCH("Priority",InputTbl[#Headers],0))</f>
        <v>#N/A</v>
      </c>
      <c r="BN78" s="73"/>
      <c r="BX78" s="13" t="s">
        <v>60</v>
      </c>
      <c r="BY78" s="13" t="e">
        <f>INDEX(InputTbl[],MATCH(J78,InputTbl[Task Name],0),MATCH("Priority",InputTbl[#Headers],0))</f>
        <v>#N/A</v>
      </c>
      <c r="BZ78" s="73"/>
      <c r="CJ78" s="13" t="s">
        <v>60</v>
      </c>
      <c r="CK78" s="13" t="e">
        <f>INDEX(InputTbl[],MATCH(P78,InputTbl[Task Name],0),MATCH("Priority",InputTbl[#Headers],0))</f>
        <v>#N/A</v>
      </c>
      <c r="CL78" s="73"/>
      <c r="CV78" s="13" t="s">
        <v>60</v>
      </c>
      <c r="CW78" s="13" t="e">
        <f>INDEX(InputTbl[],MATCH(V78,InputTbl[Task Name],0),MATCH("Priority",InputTbl[#Headers],0))</f>
        <v>#N/A</v>
      </c>
      <c r="CX78" s="73"/>
      <c r="DH78" s="13" t="s">
        <v>60</v>
      </c>
      <c r="DI78" s="13" t="e">
        <f>INDEX(InputTbl[],MATCH(AB78,InputTbl[Task Name],0),MATCH("Priority",InputTbl[#Headers],0))</f>
        <v>#N/A</v>
      </c>
      <c r="DJ78" s="73"/>
      <c r="DT78" s="13" t="s">
        <v>60</v>
      </c>
      <c r="DU78" s="13" t="e">
        <f>INDEX(InputTbl[],MATCH(AH78,InputTbl[Task Name],0),MATCH("Priority",InputTbl[#Headers],0))</f>
        <v>#N/A</v>
      </c>
      <c r="DV78" s="73"/>
      <c r="EF78" s="13" t="s">
        <v>60</v>
      </c>
      <c r="EG78" s="13" t="e">
        <f>INDEX(InputTbl[],MATCH(AN78,InputTbl[Task Name],0),MATCH("Priority",InputTbl[#Headers],0))</f>
        <v>#N/A</v>
      </c>
      <c r="EH78" s="73"/>
      <c r="ER78" s="13" t="s">
        <v>60</v>
      </c>
      <c r="ES78" s="13" t="e">
        <f>INDEX(InputTbl[],MATCH(AT78,InputTbl[Task Name],0),MATCH("Priority",InputTbl[#Headers],0))</f>
        <v>#N/A</v>
      </c>
      <c r="ET78" s="73"/>
      <c r="FD78" s="13" t="s">
        <v>60</v>
      </c>
      <c r="FE78" s="13" t="e">
        <f>INDEX(InputTbl[],MATCH(AZ78,InputTbl[Task Name],0),MATCH("Priority",InputTbl[#Headers],0))</f>
        <v>#N/A</v>
      </c>
      <c r="FF78" s="73"/>
    </row>
    <row r="79" spans="1:162" x14ac:dyDescent="0.25">
      <c r="A79" s="18"/>
      <c r="B79" s="67"/>
      <c r="C79" s="18"/>
      <c r="D79" s="69"/>
      <c r="E79" s="69"/>
      <c r="F79" s="70"/>
      <c r="G79" s="18"/>
      <c r="H79" s="67"/>
      <c r="I79" s="18"/>
      <c r="J79" s="69"/>
      <c r="K79" s="69"/>
      <c r="L79" s="70"/>
      <c r="M79" s="18"/>
      <c r="N79" s="67"/>
      <c r="O79" s="18"/>
      <c r="P79" s="69"/>
      <c r="Q79" s="69"/>
      <c r="R79" s="70"/>
      <c r="S79" s="18"/>
      <c r="T79" s="67"/>
      <c r="U79" s="18"/>
      <c r="V79" s="69"/>
      <c r="W79" s="69"/>
      <c r="X79" s="70"/>
      <c r="Y79" s="18"/>
      <c r="Z79" s="67"/>
      <c r="AA79" s="18"/>
      <c r="AB79" s="69"/>
      <c r="AC79" s="69"/>
      <c r="AD79" s="70"/>
      <c r="AE79" s="18"/>
      <c r="AF79" s="67"/>
      <c r="AG79" s="18"/>
      <c r="AH79" s="69"/>
      <c r="AI79" s="69"/>
      <c r="AJ79" s="70"/>
      <c r="AK79" s="18"/>
      <c r="AL79" s="67"/>
      <c r="AM79" s="18"/>
      <c r="AN79" s="69"/>
      <c r="AO79" s="69"/>
      <c r="AP79" s="70"/>
      <c r="AQ79" s="18"/>
      <c r="AR79" s="67"/>
      <c r="AS79" s="18"/>
      <c r="AT79" s="69"/>
      <c r="AU79" s="69"/>
      <c r="AV79" s="70"/>
      <c r="AW79" s="18"/>
      <c r="AX79" s="67"/>
      <c r="AY79" s="18"/>
      <c r="AZ79" s="69"/>
      <c r="BA79" s="69"/>
      <c r="BB79" s="70"/>
      <c r="BC79" s="18"/>
      <c r="BD79" s="67"/>
      <c r="BE79" s="18"/>
      <c r="BL79" s="13" t="s">
        <v>72</v>
      </c>
      <c r="BM79" s="13" t="str">
        <f ca="1">INDEX(DataTbl[],MATCH(D78,DataTbl[Task Name],0),MATCH("Overdue",DataTbl[#Headers],0))</f>
        <v>No</v>
      </c>
      <c r="BN79" s="73"/>
      <c r="BX79" s="13" t="s">
        <v>72</v>
      </c>
      <c r="BY79" s="13" t="str">
        <f ca="1">INDEX(DataTbl[],MATCH(J78,DataTbl[Task Name],0),MATCH("Overdue",DataTbl[#Headers],0))</f>
        <v>No</v>
      </c>
      <c r="BZ79" s="73"/>
      <c r="CJ79" s="13" t="s">
        <v>72</v>
      </c>
      <c r="CK79" s="13" t="str">
        <f ca="1">INDEX(DataTbl[],MATCH(P78,DataTbl[Task Name],0),MATCH("Overdue",DataTbl[#Headers],0))</f>
        <v>No</v>
      </c>
      <c r="CL79" s="73"/>
      <c r="CV79" s="13" t="s">
        <v>72</v>
      </c>
      <c r="CW79" s="13" t="str">
        <f ca="1">INDEX(DataTbl[],MATCH(V78,DataTbl[Task Name],0),MATCH("Overdue",DataTbl[#Headers],0))</f>
        <v>No</v>
      </c>
      <c r="CX79" s="73"/>
      <c r="DH79" s="13" t="s">
        <v>72</v>
      </c>
      <c r="DI79" s="13" t="str">
        <f ca="1">INDEX(DataTbl[],MATCH(AB78,DataTbl[Task Name],0),MATCH("Overdue",DataTbl[#Headers],0))</f>
        <v>No</v>
      </c>
      <c r="DJ79" s="73"/>
      <c r="DT79" s="13" t="s">
        <v>72</v>
      </c>
      <c r="DU79" s="13" t="str">
        <f ca="1">INDEX(DataTbl[],MATCH(AH78,DataTbl[Task Name],0),MATCH("Overdue",DataTbl[#Headers],0))</f>
        <v>No</v>
      </c>
      <c r="DV79" s="73"/>
      <c r="EF79" s="13" t="s">
        <v>72</v>
      </c>
      <c r="EG79" s="13" t="str">
        <f ca="1">INDEX(DataTbl[],MATCH(AN78,DataTbl[Task Name],0),MATCH("Overdue",DataTbl[#Headers],0))</f>
        <v>No</v>
      </c>
      <c r="EH79" s="73"/>
      <c r="ER79" s="13" t="s">
        <v>72</v>
      </c>
      <c r="ES79" s="13" t="str">
        <f ca="1">INDEX(DataTbl[],MATCH(AT78,DataTbl[Task Name],0),MATCH("Overdue",DataTbl[#Headers],0))</f>
        <v>No</v>
      </c>
      <c r="ET79" s="73"/>
      <c r="FD79" s="13" t="s">
        <v>72</v>
      </c>
      <c r="FE79" s="13" t="str">
        <f ca="1">INDEX(DataTbl[],MATCH(AZ78,DataTbl[Task Name],0),MATCH("Overdue",DataTbl[#Headers],0))</f>
        <v>No</v>
      </c>
      <c r="FF79" s="73"/>
    </row>
    <row r="80" spans="1:162" x14ac:dyDescent="0.25">
      <c r="A80" s="18"/>
      <c r="B80" s="67"/>
      <c r="C80" s="18"/>
      <c r="D80" s="20" t="str">
        <f>IF(D78=0,""," "&amp;"Assigned To"&amp;": ")</f>
        <v/>
      </c>
      <c r="E80" s="71" t="str">
        <f>IFERROR(INDEX(InputTbl[],MATCH(D78,InputTbl[Task Name],0),MATCH("Assigned To",InputTbl[#Headers],0)),"")</f>
        <v/>
      </c>
      <c r="F80" s="71"/>
      <c r="G80" s="18"/>
      <c r="H80" s="67"/>
      <c r="I80" s="18"/>
      <c r="J80" s="20" t="str">
        <f>IF(J78=0,""," "&amp;"Assigned To"&amp;": ")</f>
        <v/>
      </c>
      <c r="K80" s="71" t="str">
        <f>IFERROR(INDEX(InputTbl[],MATCH(J78,InputTbl[Task Name],0),MATCH("Assigned To",InputTbl[#Headers],0)),"")</f>
        <v/>
      </c>
      <c r="L80" s="71"/>
      <c r="M80" s="18"/>
      <c r="N80" s="67"/>
      <c r="O80" s="18"/>
      <c r="P80" s="20" t="str">
        <f>IF(P78=0,""," "&amp;"Assigned To"&amp;": ")</f>
        <v/>
      </c>
      <c r="Q80" s="71" t="str">
        <f>IFERROR(INDEX(InputTbl[],MATCH(P78,InputTbl[Task Name],0),MATCH("Assigned To",InputTbl[#Headers],0)),"")</f>
        <v/>
      </c>
      <c r="R80" s="71"/>
      <c r="S80" s="18"/>
      <c r="T80" s="67"/>
      <c r="U80" s="18"/>
      <c r="V80" s="20" t="str">
        <f>IF(V78=0,""," "&amp;"Assigned To"&amp;": ")</f>
        <v/>
      </c>
      <c r="W80" s="71" t="str">
        <f>IFERROR(INDEX(InputTbl[],MATCH(V78,InputTbl[Task Name],0),MATCH("Assigned To",InputTbl[#Headers],0)),"")</f>
        <v/>
      </c>
      <c r="X80" s="71"/>
      <c r="Y80" s="18"/>
      <c r="Z80" s="67"/>
      <c r="AA80" s="18"/>
      <c r="AB80" s="20" t="str">
        <f>IF(AB78=0,""," "&amp;"Assigned To"&amp;": ")</f>
        <v/>
      </c>
      <c r="AC80" s="71" t="str">
        <f>IFERROR(INDEX(InputTbl[],MATCH(AB78,InputTbl[Task Name],0),MATCH("Assigned To",InputTbl[#Headers],0)),"")</f>
        <v/>
      </c>
      <c r="AD80" s="71"/>
      <c r="AE80" s="18"/>
      <c r="AF80" s="67"/>
      <c r="AG80" s="18"/>
      <c r="AH80" s="20" t="str">
        <f>IF(AH78=0,""," "&amp;"Assigned To"&amp;": ")</f>
        <v/>
      </c>
      <c r="AI80" s="71" t="str">
        <f>IFERROR(INDEX(InputTbl[],MATCH(AH78,InputTbl[Task Name],0),MATCH("Assigned To",InputTbl[#Headers],0)),"")</f>
        <v/>
      </c>
      <c r="AJ80" s="71"/>
      <c r="AK80" s="18"/>
      <c r="AL80" s="67"/>
      <c r="AM80" s="18"/>
      <c r="AN80" s="20" t="str">
        <f>IF(AN78=0,""," "&amp;"Assigned To"&amp;": ")</f>
        <v/>
      </c>
      <c r="AO80" s="71" t="str">
        <f>IFERROR(INDEX(InputTbl[],MATCH(AN78,InputTbl[Task Name],0),MATCH("Assigned To",InputTbl[#Headers],0)),"")</f>
        <v/>
      </c>
      <c r="AP80" s="71"/>
      <c r="AQ80" s="18"/>
      <c r="AR80" s="67"/>
      <c r="AS80" s="18"/>
      <c r="AT80" s="20" t="str">
        <f>IF(AT78=0,""," "&amp;"Assigned To"&amp;": ")</f>
        <v/>
      </c>
      <c r="AU80" s="71" t="str">
        <f>IFERROR(INDEX(InputTbl[],MATCH(AT78,InputTbl[Task Name],0),MATCH("Assigned To",InputTbl[#Headers],0)),"")</f>
        <v/>
      </c>
      <c r="AV80" s="71"/>
      <c r="AW80" s="18"/>
      <c r="AX80" s="67"/>
      <c r="AY80" s="18"/>
      <c r="AZ80" s="20" t="str">
        <f>IF(AZ78=0,""," "&amp;"Assigned To"&amp;": ")</f>
        <v/>
      </c>
      <c r="BA80" s="71" t="str">
        <f>IFERROR(INDEX(InputTbl[],MATCH(AZ78,InputTbl[Task Name],0),MATCH("Assigned To",InputTbl[#Headers],0)),"")</f>
        <v/>
      </c>
      <c r="BB80" s="71"/>
      <c r="BC80" s="18"/>
      <c r="BD80" s="67"/>
      <c r="BE80" s="18"/>
      <c r="BL80" s="7"/>
      <c r="BM80" s="75"/>
      <c r="BN80" s="75"/>
      <c r="BX80" s="7"/>
      <c r="BY80" s="75"/>
      <c r="BZ80" s="75"/>
      <c r="CJ80" s="7"/>
      <c r="CK80" s="75"/>
      <c r="CL80" s="75"/>
      <c r="CV80" s="7"/>
      <c r="CW80" s="75"/>
      <c r="CX80" s="75"/>
      <c r="DH80" s="7"/>
      <c r="DI80" s="75"/>
      <c r="DJ80" s="75"/>
      <c r="DT80" s="7"/>
      <c r="DU80" s="75"/>
      <c r="DV80" s="75"/>
      <c r="EF80" s="7"/>
      <c r="EG80" s="75"/>
      <c r="EH80" s="75"/>
      <c r="ER80" s="7"/>
      <c r="ES80" s="75"/>
      <c r="ET80" s="75"/>
      <c r="FD80" s="7"/>
      <c r="FE80" s="75"/>
      <c r="FF80" s="75"/>
    </row>
    <row r="81" spans="1:162" x14ac:dyDescent="0.25">
      <c r="A81" s="18"/>
      <c r="B81" s="67"/>
      <c r="C81" s="18"/>
      <c r="D81" s="21" t="str">
        <f>IF(D78=0,""," "&amp;"Date Due"&amp;": ")</f>
        <v/>
      </c>
      <c r="E81" s="72" t="str">
        <f ca="1">IFERROR(IF(BM79="Yes",_xlfn.CONCAT("⚠"," ",TEXT(INDEX(InputTbl[],MATCH(D78,InputTbl[Task Name],0),MATCH("Due Date",InputTbl[#Headers],0)),"mm/dd/yyyy")," ","⚠"),INDEX(InputTbl[],MATCH(D78,InputTbl[Task Name],0),MATCH("Due Date",InputTbl[#Headers],0))),"")</f>
        <v/>
      </c>
      <c r="F81" s="72"/>
      <c r="G81" s="18"/>
      <c r="H81" s="67"/>
      <c r="I81" s="18"/>
      <c r="J81" s="21" t="str">
        <f>IF(J78=0,""," "&amp;"Date Due"&amp;": ")</f>
        <v/>
      </c>
      <c r="K81" s="72" t="str">
        <f ca="1">IFERROR(IF(BY79="Yes",_xlfn.CONCAT("⚠"," ",TEXT(INDEX(InputTbl[],MATCH(J78,InputTbl[Task Name],0),MATCH("Due Date",InputTbl[#Headers],0)),"mm/dd/yyyy")," ","⚠"),INDEX(InputTbl[],MATCH(J78,InputTbl[Task Name],0),MATCH("Due Date",InputTbl[#Headers],0))),"")</f>
        <v/>
      </c>
      <c r="L81" s="72"/>
      <c r="M81" s="18"/>
      <c r="N81" s="67"/>
      <c r="O81" s="18"/>
      <c r="P81" s="21" t="str">
        <f>IF(P78=0,""," "&amp;"Date Due"&amp;": ")</f>
        <v/>
      </c>
      <c r="Q81" s="72" t="str">
        <f ca="1">IFERROR(IF(CK79="Yes",_xlfn.CONCAT("⚠"," ",TEXT(INDEX(InputTbl[],MATCH(P78,InputTbl[Task Name],0),MATCH("Due Date",InputTbl[#Headers],0)),"mm/dd/yyyy")," ","⚠"),INDEX(InputTbl[],MATCH(P78,InputTbl[Task Name],0),MATCH("Due Date",InputTbl[#Headers],0))),"")</f>
        <v/>
      </c>
      <c r="R81" s="72"/>
      <c r="S81" s="18"/>
      <c r="T81" s="67"/>
      <c r="U81" s="18"/>
      <c r="V81" s="21" t="str">
        <f>IF(V78=0,""," "&amp;"Date Due"&amp;": ")</f>
        <v/>
      </c>
      <c r="W81" s="72" t="str">
        <f ca="1">IFERROR(IF(CW79="Yes",_xlfn.CONCAT("⚠"," ",TEXT(INDEX(InputTbl[],MATCH(V78,InputTbl[Task Name],0),MATCH("Due Date",InputTbl[#Headers],0)),"mm/dd/yyyy")," ","⚠"),INDEX(InputTbl[],MATCH(V78,InputTbl[Task Name],0),MATCH("Due Date",InputTbl[#Headers],0))),"")</f>
        <v/>
      </c>
      <c r="X81" s="72"/>
      <c r="Y81" s="18"/>
      <c r="Z81" s="67"/>
      <c r="AA81" s="18"/>
      <c r="AB81" s="21" t="str">
        <f>IF(AB78=0,""," "&amp;"Date Due"&amp;": ")</f>
        <v/>
      </c>
      <c r="AC81" s="72" t="str">
        <f ca="1">IFERROR(IF(DI79="Yes",_xlfn.CONCAT("⚠"," ",TEXT(INDEX(InputTbl[],MATCH(AB78,InputTbl[Task Name],0),MATCH("Due Date",InputTbl[#Headers],0)),"mm/dd/yyyy")," ","⚠"),INDEX(InputTbl[],MATCH(AB78,InputTbl[Task Name],0),MATCH("Due Date",InputTbl[#Headers],0))),"")</f>
        <v/>
      </c>
      <c r="AD81" s="72"/>
      <c r="AE81" s="18"/>
      <c r="AF81" s="67"/>
      <c r="AG81" s="18"/>
      <c r="AH81" s="21" t="str">
        <f>IF(AH78=0,""," "&amp;"Date Due"&amp;": ")</f>
        <v/>
      </c>
      <c r="AI81" s="72" t="str">
        <f ca="1">IFERROR(IF(DU79="Yes",_xlfn.CONCAT("⚠"," ",TEXT(INDEX(InputTbl[],MATCH(AH78,InputTbl[Task Name],0),MATCH("Due Date",InputTbl[#Headers],0)),"mm/dd/yyyy")," ","⚠"),INDEX(InputTbl[],MATCH(AH78,InputTbl[Task Name],0),MATCH("Due Date",InputTbl[#Headers],0))),"")</f>
        <v/>
      </c>
      <c r="AJ81" s="72"/>
      <c r="AK81" s="18"/>
      <c r="AL81" s="67"/>
      <c r="AM81" s="18"/>
      <c r="AN81" s="21" t="str">
        <f>IF(AN78=0,""," "&amp;"Date Due"&amp;": ")</f>
        <v/>
      </c>
      <c r="AO81" s="72" t="str">
        <f ca="1">IFERROR(IF(EG79="Yes",_xlfn.CONCAT("⚠"," ",TEXT(INDEX(InputTbl[],MATCH(AN78,InputTbl[Task Name],0),MATCH("Due Date",InputTbl[#Headers],0)),"mm/dd/yyyy")," ","⚠"),INDEX(InputTbl[],MATCH(AN78,InputTbl[Task Name],0),MATCH("Due Date",InputTbl[#Headers],0))),"")</f>
        <v/>
      </c>
      <c r="AP81" s="72"/>
      <c r="AQ81" s="18"/>
      <c r="AR81" s="67"/>
      <c r="AS81" s="18"/>
      <c r="AT81" s="21" t="str">
        <f>IF(AT78=0,""," "&amp;"Date Due"&amp;": ")</f>
        <v/>
      </c>
      <c r="AU81" s="72" t="str">
        <f ca="1">IFERROR(IF(ES79="Yes",_xlfn.CONCAT("⚠"," ",TEXT(INDEX(InputTbl[],MATCH(AT78,InputTbl[Task Name],0),MATCH("Due Date",InputTbl[#Headers],0)),"mm/dd/yyyy")," ","⚠"),INDEX(InputTbl[],MATCH(AT78,InputTbl[Task Name],0),MATCH("Due Date",InputTbl[#Headers],0))),"")</f>
        <v/>
      </c>
      <c r="AV81" s="72"/>
      <c r="AW81" s="18"/>
      <c r="AX81" s="67"/>
      <c r="AY81" s="18"/>
      <c r="AZ81" s="21" t="str">
        <f>IF(AZ78=0,""," "&amp;"Date Due"&amp;": ")</f>
        <v/>
      </c>
      <c r="BA81" s="72" t="str">
        <f ca="1">IFERROR(IF(FE79="Yes",_xlfn.CONCAT("⚠"," ",TEXT(INDEX(InputTbl[],MATCH(AZ78,InputTbl[Task Name],0),MATCH("Due Date",InputTbl[#Headers],0)),"mm/dd/yyyy")," ","⚠"),INDEX(InputTbl[],MATCH(AZ78,InputTbl[Task Name],0),MATCH("Due Date",InputTbl[#Headers],0))),"")</f>
        <v/>
      </c>
      <c r="BB81" s="72"/>
      <c r="BC81" s="18"/>
      <c r="BD81" s="67"/>
      <c r="BE81" s="18"/>
      <c r="BL81" s="8"/>
      <c r="BM81" s="74"/>
      <c r="BN81" s="74"/>
      <c r="BX81" s="8"/>
      <c r="BY81" s="74"/>
      <c r="BZ81" s="74"/>
      <c r="CJ81" s="8"/>
      <c r="CK81" s="74"/>
      <c r="CL81" s="74"/>
      <c r="CV81" s="8"/>
      <c r="CW81" s="74"/>
      <c r="CX81" s="74"/>
      <c r="DH81" s="8"/>
      <c r="DI81" s="74"/>
      <c r="DJ81" s="74"/>
      <c r="DT81" s="8"/>
      <c r="DU81" s="74"/>
      <c r="DV81" s="74"/>
      <c r="EF81" s="8"/>
      <c r="EG81" s="74"/>
      <c r="EH81" s="74"/>
      <c r="ER81" s="8"/>
      <c r="ES81" s="74"/>
      <c r="ET81" s="74"/>
      <c r="FD81" s="8"/>
      <c r="FE81" s="74"/>
      <c r="FF81" s="74"/>
    </row>
    <row r="82" spans="1:162" ht="15" customHeight="1" x14ac:dyDescent="0.25">
      <c r="A82" s="18"/>
      <c r="B82" s="67"/>
      <c r="C82" s="18"/>
      <c r="D82" s="18"/>
      <c r="E82" s="18"/>
      <c r="F82" s="18"/>
      <c r="G82" s="18"/>
      <c r="H82" s="67"/>
      <c r="I82" s="18"/>
      <c r="J82" s="18"/>
      <c r="K82" s="18"/>
      <c r="L82" s="18"/>
      <c r="M82" s="18"/>
      <c r="N82" s="67"/>
      <c r="O82" s="18"/>
      <c r="P82" s="18"/>
      <c r="Q82" s="18"/>
      <c r="R82" s="18"/>
      <c r="S82" s="18"/>
      <c r="T82" s="67"/>
      <c r="U82" s="18"/>
      <c r="V82" s="18"/>
      <c r="W82" s="18"/>
      <c r="X82" s="18"/>
      <c r="Y82" s="18"/>
      <c r="Z82" s="67"/>
      <c r="AA82" s="18"/>
      <c r="AB82" s="18"/>
      <c r="AC82" s="18"/>
      <c r="AD82" s="18"/>
      <c r="AE82" s="18"/>
      <c r="AF82" s="67"/>
      <c r="AG82" s="18"/>
      <c r="AH82" s="18"/>
      <c r="AI82" s="18"/>
      <c r="AJ82" s="18"/>
      <c r="AK82" s="18"/>
      <c r="AL82" s="67"/>
      <c r="AM82" s="18"/>
      <c r="AN82" s="18"/>
      <c r="AO82" s="18"/>
      <c r="AP82" s="18"/>
      <c r="AQ82" s="18"/>
      <c r="AR82" s="67"/>
      <c r="AS82" s="18"/>
      <c r="AT82" s="18"/>
      <c r="AU82" s="18"/>
      <c r="AV82" s="18"/>
      <c r="AW82" s="18"/>
      <c r="AX82" s="67"/>
      <c r="AY82" s="18"/>
      <c r="AZ82" s="18"/>
      <c r="BA82" s="18"/>
      <c r="BB82" s="18"/>
      <c r="BC82" s="18"/>
      <c r="BD82" s="67"/>
      <c r="BE82" s="18"/>
    </row>
    <row r="83" spans="1:162" x14ac:dyDescent="0.25">
      <c r="A83" s="18"/>
      <c r="B83" s="67"/>
      <c r="C83" s="18"/>
      <c r="D83" s="69">
        <f>INDEX(KanbanPrep!$A$5:$S$189,VLOOKUP(ROW(),RowLookupTbl,2,FALSE),SMALL({1,3,5,7,9,11,13,15,17,19},MATCH(D$6,StatusOptions,0)))</f>
        <v>0</v>
      </c>
      <c r="E83" s="69"/>
      <c r="F83" s="70" t="str">
        <f>IFERROR(IF(BM83="Low",2,IF(BM83="Medium",1,0)),"")</f>
        <v/>
      </c>
      <c r="G83" s="18"/>
      <c r="H83" s="67"/>
      <c r="I83" s="18"/>
      <c r="J83" s="69">
        <f>INDEX(KanbanPrep!$A$5:$S$189,VLOOKUP(ROW(),RowLookupTbl,2,FALSE),SMALL({1,3,5,7,9,11,13,15,17,19},MATCH(J$6,StatusOptions,0)))</f>
        <v>0</v>
      </c>
      <c r="K83" s="69"/>
      <c r="L83" s="70" t="str">
        <f>IFERROR(IF(BY83="Low",2,IF(BY83="Medium",1,0)),"")</f>
        <v/>
      </c>
      <c r="M83" s="18"/>
      <c r="N83" s="67"/>
      <c r="O83" s="18"/>
      <c r="P83" s="69">
        <f>INDEX(KanbanPrep!$A$5:$S$189,VLOOKUP(ROW(),RowLookupTbl,2,FALSE),SMALL({1,3,5,7,9,11,13,15,17,19},MATCH(P$6,StatusOptions,0)))</f>
        <v>0</v>
      </c>
      <c r="Q83" s="69"/>
      <c r="R83" s="70" t="str">
        <f>IFERROR(IF(CK83="Low",2,IF(CK83="Medium",1,0)),"")</f>
        <v/>
      </c>
      <c r="S83" s="18"/>
      <c r="T83" s="67"/>
      <c r="U83" s="18"/>
      <c r="V83" s="69">
        <f>INDEX(KanbanPrep!$A$5:$S$189,VLOOKUP(ROW(),RowLookupTbl,2,FALSE),SMALL({1,3,5,7,9,11,13,15,17,19},MATCH(V$6,StatusOptions,0)))</f>
        <v>0</v>
      </c>
      <c r="W83" s="69"/>
      <c r="X83" s="70" t="str">
        <f>IFERROR(IF(CW83="Low",2,IF(CW83="Medium",1,0)),"")</f>
        <v/>
      </c>
      <c r="Y83" s="18"/>
      <c r="Z83" s="67"/>
      <c r="AA83" s="18"/>
      <c r="AB83" s="69">
        <f>INDEX(KanbanPrep!$A$5:$S$189,VLOOKUP(ROW(),RowLookupTbl,2,FALSE),SMALL({1,3,5,7,9,11,13,15,17,19},MATCH(AB$6,StatusOptions,0)))</f>
        <v>0</v>
      </c>
      <c r="AC83" s="69"/>
      <c r="AD83" s="70" t="str">
        <f>IFERROR(IF(DI83="Low",2,IF(DI83="Medium",1,0)),"")</f>
        <v/>
      </c>
      <c r="AE83" s="18"/>
      <c r="AF83" s="67"/>
      <c r="AG83" s="18"/>
      <c r="AH83" s="69">
        <f>INDEX(KanbanPrep!$A$5:$S$189,VLOOKUP(ROW(),RowLookupTbl,2,FALSE),SMALL({1,3,5,7,9,11,13,15,17,19},MATCH(AH$6,StatusOptions,0)))</f>
        <v>0</v>
      </c>
      <c r="AI83" s="69"/>
      <c r="AJ83" s="70" t="str">
        <f>IFERROR(IF(DU83="Low",2,IF(DU83="Medium",1,0)),"")</f>
        <v/>
      </c>
      <c r="AK83" s="18"/>
      <c r="AL83" s="67"/>
      <c r="AM83" s="18"/>
      <c r="AN83" s="69">
        <f>INDEX(KanbanPrep!$A$5:$S$189,VLOOKUP(ROW(),RowLookupTbl,2,FALSE),SMALL({1,3,5,7,9,11,13,15,17,19},MATCH(AN$6,StatusOptions,0)))</f>
        <v>0</v>
      </c>
      <c r="AO83" s="69"/>
      <c r="AP83" s="70" t="str">
        <f>IFERROR(IF(EG83="Low",2,IF(EG83="Medium",1,0)),"")</f>
        <v/>
      </c>
      <c r="AQ83" s="18"/>
      <c r="AR83" s="67"/>
      <c r="AS83" s="18"/>
      <c r="AT83" s="69">
        <f>INDEX(KanbanPrep!$A$5:$S$189,VLOOKUP(ROW(),RowLookupTbl,2,FALSE),SMALL({1,3,5,7,9,11,13,15,17,19},MATCH(AT$6,StatusOptions,0)))</f>
        <v>0</v>
      </c>
      <c r="AU83" s="69"/>
      <c r="AV83" s="70" t="str">
        <f>IFERROR(IF(ES83="Low",2,IF(ES83="Medium",1,0)),"")</f>
        <v/>
      </c>
      <c r="AW83" s="18"/>
      <c r="AX83" s="67"/>
      <c r="AY83" s="18"/>
      <c r="AZ83" s="69">
        <f>INDEX(KanbanPrep!$A$5:$S$189,VLOOKUP(ROW(),RowLookupTbl,2,FALSE),SMALL({1,3,5,7,9,11,13,15,17,19},MATCH(AZ$6,StatusOptions,0)))</f>
        <v>0</v>
      </c>
      <c r="BA83" s="69"/>
      <c r="BB83" s="70" t="str">
        <f>IFERROR(IF(FE83="Low",2,IF(FE83="Medium",1,0)),"")</f>
        <v/>
      </c>
      <c r="BC83" s="18"/>
      <c r="BD83" s="67"/>
      <c r="BE83" s="18"/>
      <c r="BL83" s="13" t="s">
        <v>60</v>
      </c>
      <c r="BM83" s="13" t="e">
        <f>INDEX(InputTbl[],MATCH(D83,InputTbl[Task Name],0),MATCH("Priority",InputTbl[#Headers],0))</f>
        <v>#N/A</v>
      </c>
      <c r="BN83" s="73"/>
      <c r="BX83" s="13" t="s">
        <v>60</v>
      </c>
      <c r="BY83" s="13" t="e">
        <f>INDEX(InputTbl[],MATCH(J83,InputTbl[Task Name],0),MATCH("Priority",InputTbl[#Headers],0))</f>
        <v>#N/A</v>
      </c>
      <c r="BZ83" s="73"/>
      <c r="CJ83" s="13" t="s">
        <v>60</v>
      </c>
      <c r="CK83" s="13" t="e">
        <f>INDEX(InputTbl[],MATCH(P83,InputTbl[Task Name],0),MATCH("Priority",InputTbl[#Headers],0))</f>
        <v>#N/A</v>
      </c>
      <c r="CL83" s="73"/>
      <c r="CV83" s="13" t="s">
        <v>60</v>
      </c>
      <c r="CW83" s="13" t="e">
        <f>INDEX(InputTbl[],MATCH(V83,InputTbl[Task Name],0),MATCH("Priority",InputTbl[#Headers],0))</f>
        <v>#N/A</v>
      </c>
      <c r="CX83" s="73"/>
      <c r="DH83" s="13" t="s">
        <v>60</v>
      </c>
      <c r="DI83" s="13" t="e">
        <f>INDEX(InputTbl[],MATCH(AB83,InputTbl[Task Name],0),MATCH("Priority",InputTbl[#Headers],0))</f>
        <v>#N/A</v>
      </c>
      <c r="DJ83" s="73"/>
      <c r="DT83" s="13" t="s">
        <v>60</v>
      </c>
      <c r="DU83" s="13" t="e">
        <f>INDEX(InputTbl[],MATCH(AH83,InputTbl[Task Name],0),MATCH("Priority",InputTbl[#Headers],0))</f>
        <v>#N/A</v>
      </c>
      <c r="DV83" s="73"/>
      <c r="EF83" s="13" t="s">
        <v>60</v>
      </c>
      <c r="EG83" s="13" t="e">
        <f>INDEX(InputTbl[],MATCH(AN83,InputTbl[Task Name],0),MATCH("Priority",InputTbl[#Headers],0))</f>
        <v>#N/A</v>
      </c>
      <c r="EH83" s="73"/>
      <c r="ER83" s="13" t="s">
        <v>60</v>
      </c>
      <c r="ES83" s="13" t="e">
        <f>INDEX(InputTbl[],MATCH(AT83,InputTbl[Task Name],0),MATCH("Priority",InputTbl[#Headers],0))</f>
        <v>#N/A</v>
      </c>
      <c r="ET83" s="73"/>
      <c r="FD83" s="13" t="s">
        <v>60</v>
      </c>
      <c r="FE83" s="13" t="e">
        <f>INDEX(InputTbl[],MATCH(AZ83,InputTbl[Task Name],0),MATCH("Priority",InputTbl[#Headers],0))</f>
        <v>#N/A</v>
      </c>
      <c r="FF83" s="73"/>
    </row>
    <row r="84" spans="1:162" x14ac:dyDescent="0.25">
      <c r="A84" s="18"/>
      <c r="B84" s="67"/>
      <c r="C84" s="18"/>
      <c r="D84" s="69"/>
      <c r="E84" s="69"/>
      <c r="F84" s="70"/>
      <c r="G84" s="18"/>
      <c r="H84" s="67"/>
      <c r="I84" s="18"/>
      <c r="J84" s="69"/>
      <c r="K84" s="69"/>
      <c r="L84" s="70"/>
      <c r="M84" s="18"/>
      <c r="N84" s="67"/>
      <c r="O84" s="18"/>
      <c r="P84" s="69"/>
      <c r="Q84" s="69"/>
      <c r="R84" s="70"/>
      <c r="S84" s="18"/>
      <c r="T84" s="67"/>
      <c r="U84" s="18"/>
      <c r="V84" s="69"/>
      <c r="W84" s="69"/>
      <c r="X84" s="70"/>
      <c r="Y84" s="18"/>
      <c r="Z84" s="67"/>
      <c r="AA84" s="18"/>
      <c r="AB84" s="69"/>
      <c r="AC84" s="69"/>
      <c r="AD84" s="70"/>
      <c r="AE84" s="18"/>
      <c r="AF84" s="67"/>
      <c r="AG84" s="18"/>
      <c r="AH84" s="69"/>
      <c r="AI84" s="69"/>
      <c r="AJ84" s="70"/>
      <c r="AK84" s="18"/>
      <c r="AL84" s="67"/>
      <c r="AM84" s="18"/>
      <c r="AN84" s="69"/>
      <c r="AO84" s="69"/>
      <c r="AP84" s="70"/>
      <c r="AQ84" s="18"/>
      <c r="AR84" s="67"/>
      <c r="AS84" s="18"/>
      <c r="AT84" s="69"/>
      <c r="AU84" s="69"/>
      <c r="AV84" s="70"/>
      <c r="AW84" s="18"/>
      <c r="AX84" s="67"/>
      <c r="AY84" s="18"/>
      <c r="AZ84" s="69"/>
      <c r="BA84" s="69"/>
      <c r="BB84" s="70"/>
      <c r="BC84" s="18"/>
      <c r="BD84" s="67"/>
      <c r="BE84" s="18"/>
      <c r="BL84" s="13" t="s">
        <v>72</v>
      </c>
      <c r="BM84" s="13" t="str">
        <f ca="1">INDEX(DataTbl[],MATCH(D83,DataTbl[Task Name],0),MATCH("Overdue",DataTbl[#Headers],0))</f>
        <v>No</v>
      </c>
      <c r="BN84" s="73"/>
      <c r="BX84" s="13" t="s">
        <v>72</v>
      </c>
      <c r="BY84" s="13" t="str">
        <f ca="1">INDEX(DataTbl[],MATCH(J83,DataTbl[Task Name],0),MATCH("Overdue",DataTbl[#Headers],0))</f>
        <v>No</v>
      </c>
      <c r="BZ84" s="73"/>
      <c r="CJ84" s="13" t="s">
        <v>72</v>
      </c>
      <c r="CK84" s="13" t="str">
        <f ca="1">INDEX(DataTbl[],MATCH(P83,DataTbl[Task Name],0),MATCH("Overdue",DataTbl[#Headers],0))</f>
        <v>No</v>
      </c>
      <c r="CL84" s="73"/>
      <c r="CV84" s="13" t="s">
        <v>72</v>
      </c>
      <c r="CW84" s="13" t="str">
        <f ca="1">INDEX(DataTbl[],MATCH(V83,DataTbl[Task Name],0),MATCH("Overdue",DataTbl[#Headers],0))</f>
        <v>No</v>
      </c>
      <c r="CX84" s="73"/>
      <c r="DH84" s="13" t="s">
        <v>72</v>
      </c>
      <c r="DI84" s="13" t="str">
        <f ca="1">INDEX(DataTbl[],MATCH(AB83,DataTbl[Task Name],0),MATCH("Overdue",DataTbl[#Headers],0))</f>
        <v>No</v>
      </c>
      <c r="DJ84" s="73"/>
      <c r="DT84" s="13" t="s">
        <v>72</v>
      </c>
      <c r="DU84" s="13" t="str">
        <f ca="1">INDEX(DataTbl[],MATCH(AH83,DataTbl[Task Name],0),MATCH("Overdue",DataTbl[#Headers],0))</f>
        <v>No</v>
      </c>
      <c r="DV84" s="73"/>
      <c r="EF84" s="13" t="s">
        <v>72</v>
      </c>
      <c r="EG84" s="13" t="str">
        <f ca="1">INDEX(DataTbl[],MATCH(AN83,DataTbl[Task Name],0),MATCH("Overdue",DataTbl[#Headers],0))</f>
        <v>No</v>
      </c>
      <c r="EH84" s="73"/>
      <c r="ER84" s="13" t="s">
        <v>72</v>
      </c>
      <c r="ES84" s="13" t="str">
        <f ca="1">INDEX(DataTbl[],MATCH(AT83,DataTbl[Task Name],0),MATCH("Overdue",DataTbl[#Headers],0))</f>
        <v>No</v>
      </c>
      <c r="ET84" s="73"/>
      <c r="FD84" s="13" t="s">
        <v>72</v>
      </c>
      <c r="FE84" s="13" t="str">
        <f ca="1">INDEX(DataTbl[],MATCH(AZ83,DataTbl[Task Name],0),MATCH("Overdue",DataTbl[#Headers],0))</f>
        <v>No</v>
      </c>
      <c r="FF84" s="73"/>
    </row>
    <row r="85" spans="1:162" x14ac:dyDescent="0.25">
      <c r="A85" s="18"/>
      <c r="B85" s="67"/>
      <c r="C85" s="18"/>
      <c r="D85" s="20" t="str">
        <f>IF(D83=0,""," "&amp;"Assigned To"&amp;": ")</f>
        <v/>
      </c>
      <c r="E85" s="71" t="str">
        <f>IFERROR(INDEX(InputTbl[],MATCH(D83,InputTbl[Task Name],0),MATCH("Assigned To",InputTbl[#Headers],0)),"")</f>
        <v/>
      </c>
      <c r="F85" s="71"/>
      <c r="G85" s="18"/>
      <c r="H85" s="67"/>
      <c r="I85" s="18"/>
      <c r="J85" s="20" t="str">
        <f>IF(J83=0,""," "&amp;"Assigned To"&amp;": ")</f>
        <v/>
      </c>
      <c r="K85" s="71" t="str">
        <f>IFERROR(INDEX(InputTbl[],MATCH(J83,InputTbl[Task Name],0),MATCH("Assigned To",InputTbl[#Headers],0)),"")</f>
        <v/>
      </c>
      <c r="L85" s="71"/>
      <c r="M85" s="18"/>
      <c r="N85" s="67"/>
      <c r="O85" s="18"/>
      <c r="P85" s="20" t="str">
        <f>IF(P83=0,""," "&amp;"Assigned To"&amp;": ")</f>
        <v/>
      </c>
      <c r="Q85" s="71" t="str">
        <f>IFERROR(INDEX(InputTbl[],MATCH(P83,InputTbl[Task Name],0),MATCH("Assigned To",InputTbl[#Headers],0)),"")</f>
        <v/>
      </c>
      <c r="R85" s="71"/>
      <c r="S85" s="18"/>
      <c r="T85" s="67"/>
      <c r="U85" s="18"/>
      <c r="V85" s="20" t="str">
        <f>IF(V83=0,""," "&amp;"Assigned To"&amp;": ")</f>
        <v/>
      </c>
      <c r="W85" s="71" t="str">
        <f>IFERROR(INDEX(InputTbl[],MATCH(V83,InputTbl[Task Name],0),MATCH("Assigned To",InputTbl[#Headers],0)),"")</f>
        <v/>
      </c>
      <c r="X85" s="71"/>
      <c r="Y85" s="18"/>
      <c r="Z85" s="67"/>
      <c r="AA85" s="18"/>
      <c r="AB85" s="20" t="str">
        <f>IF(AB83=0,""," "&amp;"Assigned To"&amp;": ")</f>
        <v/>
      </c>
      <c r="AC85" s="71" t="str">
        <f>IFERROR(INDEX(InputTbl[],MATCH(AB83,InputTbl[Task Name],0),MATCH("Assigned To",InputTbl[#Headers],0)),"")</f>
        <v/>
      </c>
      <c r="AD85" s="71"/>
      <c r="AE85" s="18"/>
      <c r="AF85" s="67"/>
      <c r="AG85" s="18"/>
      <c r="AH85" s="20" t="str">
        <f>IF(AH83=0,""," "&amp;"Assigned To"&amp;": ")</f>
        <v/>
      </c>
      <c r="AI85" s="71" t="str">
        <f>IFERROR(INDEX(InputTbl[],MATCH(AH83,InputTbl[Task Name],0),MATCH("Assigned To",InputTbl[#Headers],0)),"")</f>
        <v/>
      </c>
      <c r="AJ85" s="71"/>
      <c r="AK85" s="18"/>
      <c r="AL85" s="67"/>
      <c r="AM85" s="18"/>
      <c r="AN85" s="20" t="str">
        <f>IF(AN83=0,""," "&amp;"Assigned To"&amp;": ")</f>
        <v/>
      </c>
      <c r="AO85" s="71" t="str">
        <f>IFERROR(INDEX(InputTbl[],MATCH(AN83,InputTbl[Task Name],0),MATCH("Assigned To",InputTbl[#Headers],0)),"")</f>
        <v/>
      </c>
      <c r="AP85" s="71"/>
      <c r="AQ85" s="18"/>
      <c r="AR85" s="67"/>
      <c r="AS85" s="18"/>
      <c r="AT85" s="20" t="str">
        <f>IF(AT83=0,""," "&amp;"Assigned To"&amp;": ")</f>
        <v/>
      </c>
      <c r="AU85" s="71" t="str">
        <f>IFERROR(INDEX(InputTbl[],MATCH(AT83,InputTbl[Task Name],0),MATCH("Assigned To",InputTbl[#Headers],0)),"")</f>
        <v/>
      </c>
      <c r="AV85" s="71"/>
      <c r="AW85" s="18"/>
      <c r="AX85" s="67"/>
      <c r="AY85" s="18"/>
      <c r="AZ85" s="20" t="str">
        <f>IF(AZ83=0,""," "&amp;"Assigned To"&amp;": ")</f>
        <v/>
      </c>
      <c r="BA85" s="71" t="str">
        <f>IFERROR(INDEX(InputTbl[],MATCH(AZ83,InputTbl[Task Name],0),MATCH("Assigned To",InputTbl[#Headers],0)),"")</f>
        <v/>
      </c>
      <c r="BB85" s="71"/>
      <c r="BC85" s="18"/>
      <c r="BD85" s="67"/>
      <c r="BE85" s="18"/>
      <c r="BL85" s="7"/>
      <c r="BM85" s="75"/>
      <c r="BN85" s="75"/>
      <c r="BX85" s="7"/>
      <c r="BY85" s="75"/>
      <c r="BZ85" s="75"/>
      <c r="CJ85" s="7"/>
      <c r="CK85" s="75"/>
      <c r="CL85" s="75"/>
      <c r="CV85" s="7"/>
      <c r="CW85" s="75"/>
      <c r="CX85" s="75"/>
      <c r="DH85" s="7"/>
      <c r="DI85" s="75"/>
      <c r="DJ85" s="75"/>
      <c r="DT85" s="7"/>
      <c r="DU85" s="75"/>
      <c r="DV85" s="75"/>
      <c r="EF85" s="7"/>
      <c r="EG85" s="75"/>
      <c r="EH85" s="75"/>
      <c r="ER85" s="7"/>
      <c r="ES85" s="75"/>
      <c r="ET85" s="75"/>
      <c r="FD85" s="7"/>
      <c r="FE85" s="75"/>
      <c r="FF85" s="75"/>
    </row>
    <row r="86" spans="1:162" x14ac:dyDescent="0.25">
      <c r="A86" s="18"/>
      <c r="B86" s="67"/>
      <c r="C86" s="18"/>
      <c r="D86" s="21" t="str">
        <f>IF(D83=0,""," "&amp;"Date Due"&amp;": ")</f>
        <v/>
      </c>
      <c r="E86" s="72" t="str">
        <f ca="1">IFERROR(IF(BM84="Yes",_xlfn.CONCAT("⚠"," ",TEXT(INDEX(InputTbl[],MATCH(D83,InputTbl[Task Name],0),MATCH("Due Date",InputTbl[#Headers],0)),"mm/dd/yyyy")," ","⚠"),INDEX(InputTbl[],MATCH(D83,InputTbl[Task Name],0),MATCH("Due Date",InputTbl[#Headers],0))),"")</f>
        <v/>
      </c>
      <c r="F86" s="72"/>
      <c r="G86" s="18"/>
      <c r="H86" s="67"/>
      <c r="I86" s="18"/>
      <c r="J86" s="21" t="str">
        <f>IF(J83=0,""," "&amp;"Date Due"&amp;": ")</f>
        <v/>
      </c>
      <c r="K86" s="72" t="str">
        <f ca="1">IFERROR(IF(BY84="Yes",_xlfn.CONCAT("⚠"," ",TEXT(INDEX(InputTbl[],MATCH(J83,InputTbl[Task Name],0),MATCH("Due Date",InputTbl[#Headers],0)),"mm/dd/yyyy")," ","⚠"),INDEX(InputTbl[],MATCH(J83,InputTbl[Task Name],0),MATCH("Due Date",InputTbl[#Headers],0))),"")</f>
        <v/>
      </c>
      <c r="L86" s="72"/>
      <c r="M86" s="18"/>
      <c r="N86" s="67"/>
      <c r="O86" s="18"/>
      <c r="P86" s="21" t="str">
        <f>IF(P83=0,""," "&amp;"Date Due"&amp;": ")</f>
        <v/>
      </c>
      <c r="Q86" s="72" t="str">
        <f ca="1">IFERROR(IF(CK84="Yes",_xlfn.CONCAT("⚠"," ",TEXT(INDEX(InputTbl[],MATCH(P83,InputTbl[Task Name],0),MATCH("Due Date",InputTbl[#Headers],0)),"mm/dd/yyyy")," ","⚠"),INDEX(InputTbl[],MATCH(P83,InputTbl[Task Name],0),MATCH("Due Date",InputTbl[#Headers],0))),"")</f>
        <v/>
      </c>
      <c r="R86" s="72"/>
      <c r="S86" s="18"/>
      <c r="T86" s="67"/>
      <c r="U86" s="18"/>
      <c r="V86" s="21" t="str">
        <f>IF(V83=0,""," "&amp;"Date Due"&amp;": ")</f>
        <v/>
      </c>
      <c r="W86" s="72" t="str">
        <f ca="1">IFERROR(IF(CW84="Yes",_xlfn.CONCAT("⚠"," ",TEXT(INDEX(InputTbl[],MATCH(V83,InputTbl[Task Name],0),MATCH("Due Date",InputTbl[#Headers],0)),"mm/dd/yyyy")," ","⚠"),INDEX(InputTbl[],MATCH(V83,InputTbl[Task Name],0),MATCH("Due Date",InputTbl[#Headers],0))),"")</f>
        <v/>
      </c>
      <c r="X86" s="72"/>
      <c r="Y86" s="18"/>
      <c r="Z86" s="67"/>
      <c r="AA86" s="18"/>
      <c r="AB86" s="21" t="str">
        <f>IF(AB83=0,""," "&amp;"Date Due"&amp;": ")</f>
        <v/>
      </c>
      <c r="AC86" s="72" t="str">
        <f ca="1">IFERROR(IF(DI84="Yes",_xlfn.CONCAT("⚠"," ",TEXT(INDEX(InputTbl[],MATCH(AB83,InputTbl[Task Name],0),MATCH("Due Date",InputTbl[#Headers],0)),"mm/dd/yyyy")," ","⚠"),INDEX(InputTbl[],MATCH(AB83,InputTbl[Task Name],0),MATCH("Due Date",InputTbl[#Headers],0))),"")</f>
        <v/>
      </c>
      <c r="AD86" s="72"/>
      <c r="AE86" s="18"/>
      <c r="AF86" s="67"/>
      <c r="AG86" s="18"/>
      <c r="AH86" s="21" t="str">
        <f>IF(AH83=0,""," "&amp;"Date Due"&amp;": ")</f>
        <v/>
      </c>
      <c r="AI86" s="72" t="str">
        <f ca="1">IFERROR(IF(DU84="Yes",_xlfn.CONCAT("⚠"," ",TEXT(INDEX(InputTbl[],MATCH(AH83,InputTbl[Task Name],0),MATCH("Due Date",InputTbl[#Headers],0)),"mm/dd/yyyy")," ","⚠"),INDEX(InputTbl[],MATCH(AH83,InputTbl[Task Name],0),MATCH("Due Date",InputTbl[#Headers],0))),"")</f>
        <v/>
      </c>
      <c r="AJ86" s="72"/>
      <c r="AK86" s="18"/>
      <c r="AL86" s="67"/>
      <c r="AM86" s="18"/>
      <c r="AN86" s="21" t="str">
        <f>IF(AN83=0,""," "&amp;"Date Due"&amp;": ")</f>
        <v/>
      </c>
      <c r="AO86" s="72" t="str">
        <f ca="1">IFERROR(IF(EG84="Yes",_xlfn.CONCAT("⚠"," ",TEXT(INDEX(InputTbl[],MATCH(AN83,InputTbl[Task Name],0),MATCH("Due Date",InputTbl[#Headers],0)),"mm/dd/yyyy")," ","⚠"),INDEX(InputTbl[],MATCH(AN83,InputTbl[Task Name],0),MATCH("Due Date",InputTbl[#Headers],0))),"")</f>
        <v/>
      </c>
      <c r="AP86" s="72"/>
      <c r="AQ86" s="18"/>
      <c r="AR86" s="67"/>
      <c r="AS86" s="18"/>
      <c r="AT86" s="21" t="str">
        <f>IF(AT83=0,""," "&amp;"Date Due"&amp;": ")</f>
        <v/>
      </c>
      <c r="AU86" s="72" t="str">
        <f ca="1">IFERROR(IF(ES84="Yes",_xlfn.CONCAT("⚠"," ",TEXT(INDEX(InputTbl[],MATCH(AT83,InputTbl[Task Name],0),MATCH("Due Date",InputTbl[#Headers],0)),"mm/dd/yyyy")," ","⚠"),INDEX(InputTbl[],MATCH(AT83,InputTbl[Task Name],0),MATCH("Due Date",InputTbl[#Headers],0))),"")</f>
        <v/>
      </c>
      <c r="AV86" s="72"/>
      <c r="AW86" s="18"/>
      <c r="AX86" s="67"/>
      <c r="AY86" s="18"/>
      <c r="AZ86" s="21" t="str">
        <f>IF(AZ83=0,""," "&amp;"Date Due"&amp;": ")</f>
        <v/>
      </c>
      <c r="BA86" s="72" t="str">
        <f ca="1">IFERROR(IF(FE84="Yes",_xlfn.CONCAT("⚠"," ",TEXT(INDEX(InputTbl[],MATCH(AZ83,InputTbl[Task Name],0),MATCH("Due Date",InputTbl[#Headers],0)),"mm/dd/yyyy")," ","⚠"),INDEX(InputTbl[],MATCH(AZ83,InputTbl[Task Name],0),MATCH("Due Date",InputTbl[#Headers],0))),"")</f>
        <v/>
      </c>
      <c r="BB86" s="72"/>
      <c r="BC86" s="18"/>
      <c r="BD86" s="67"/>
      <c r="BE86" s="18"/>
      <c r="BL86" s="8"/>
      <c r="BM86" s="74"/>
      <c r="BN86" s="74"/>
      <c r="BX86" s="8"/>
      <c r="BY86" s="74"/>
      <c r="BZ86" s="74"/>
      <c r="CJ86" s="8"/>
      <c r="CK86" s="74"/>
      <c r="CL86" s="74"/>
      <c r="CV86" s="8"/>
      <c r="CW86" s="74"/>
      <c r="CX86" s="74"/>
      <c r="DH86" s="8"/>
      <c r="DI86" s="74"/>
      <c r="DJ86" s="74"/>
      <c r="DT86" s="8"/>
      <c r="DU86" s="74"/>
      <c r="DV86" s="74"/>
      <c r="EF86" s="8"/>
      <c r="EG86" s="74"/>
      <c r="EH86" s="74"/>
      <c r="ER86" s="8"/>
      <c r="ES86" s="74"/>
      <c r="ET86" s="74"/>
      <c r="FD86" s="8"/>
      <c r="FE86" s="74"/>
      <c r="FF86" s="74"/>
    </row>
    <row r="87" spans="1:162" ht="15" customHeight="1" x14ac:dyDescent="0.25">
      <c r="A87" s="18"/>
      <c r="B87" s="67"/>
      <c r="C87" s="18"/>
      <c r="D87" s="18"/>
      <c r="E87" s="18"/>
      <c r="F87" s="18"/>
      <c r="G87" s="18"/>
      <c r="H87" s="67"/>
      <c r="I87" s="18"/>
      <c r="J87" s="18"/>
      <c r="K87" s="18"/>
      <c r="L87" s="18"/>
      <c r="M87" s="18"/>
      <c r="N87" s="67"/>
      <c r="O87" s="18"/>
      <c r="P87" s="18"/>
      <c r="Q87" s="18"/>
      <c r="R87" s="18"/>
      <c r="S87" s="18"/>
      <c r="T87" s="67"/>
      <c r="U87" s="18"/>
      <c r="V87" s="18"/>
      <c r="W87" s="18"/>
      <c r="X87" s="18"/>
      <c r="Y87" s="18"/>
      <c r="Z87" s="67"/>
      <c r="AA87" s="18"/>
      <c r="AB87" s="18"/>
      <c r="AC87" s="18"/>
      <c r="AD87" s="18"/>
      <c r="AE87" s="18"/>
      <c r="AF87" s="67"/>
      <c r="AG87" s="18"/>
      <c r="AH87" s="18"/>
      <c r="AI87" s="18"/>
      <c r="AJ87" s="18"/>
      <c r="AK87" s="18"/>
      <c r="AL87" s="67"/>
      <c r="AM87" s="18"/>
      <c r="AN87" s="18"/>
      <c r="AO87" s="18"/>
      <c r="AP87" s="18"/>
      <c r="AQ87" s="18"/>
      <c r="AR87" s="67"/>
      <c r="AS87" s="18"/>
      <c r="AT87" s="18"/>
      <c r="AU87" s="18"/>
      <c r="AV87" s="18"/>
      <c r="AW87" s="18"/>
      <c r="AX87" s="67"/>
      <c r="AY87" s="18"/>
      <c r="AZ87" s="18"/>
      <c r="BA87" s="18"/>
      <c r="BB87" s="18"/>
      <c r="BC87" s="18"/>
      <c r="BD87" s="67"/>
      <c r="BE87" s="18"/>
    </row>
    <row r="88" spans="1:162" x14ac:dyDescent="0.25">
      <c r="A88" s="18"/>
      <c r="B88" s="67"/>
      <c r="C88" s="18"/>
      <c r="D88" s="69">
        <f>INDEX(KanbanPrep!$A$5:$S$189,VLOOKUP(ROW(),RowLookupTbl,2,FALSE),SMALL({1,3,5,7,9,11,13,15,17,19},MATCH(D$6,StatusOptions,0)))</f>
        <v>0</v>
      </c>
      <c r="E88" s="69"/>
      <c r="F88" s="70" t="str">
        <f>IFERROR(IF(BM88="Low",2,IF(BM88="Medium",1,0)),"")</f>
        <v/>
      </c>
      <c r="G88" s="18"/>
      <c r="H88" s="67"/>
      <c r="I88" s="18"/>
      <c r="J88" s="69">
        <f>INDEX(KanbanPrep!$A$5:$S$189,VLOOKUP(ROW(),RowLookupTbl,2,FALSE),SMALL({1,3,5,7,9,11,13,15,17,19},MATCH(J$6,StatusOptions,0)))</f>
        <v>0</v>
      </c>
      <c r="K88" s="69"/>
      <c r="L88" s="70" t="str">
        <f>IFERROR(IF(BY88="Low",2,IF(BY88="Medium",1,0)),"")</f>
        <v/>
      </c>
      <c r="M88" s="18"/>
      <c r="N88" s="67"/>
      <c r="O88" s="18"/>
      <c r="P88" s="69">
        <f>INDEX(KanbanPrep!$A$5:$S$189,VLOOKUP(ROW(),RowLookupTbl,2,FALSE),SMALL({1,3,5,7,9,11,13,15,17,19},MATCH(P$6,StatusOptions,0)))</f>
        <v>0</v>
      </c>
      <c r="Q88" s="69"/>
      <c r="R88" s="70" t="str">
        <f>IFERROR(IF(CK88="Low",2,IF(CK88="Medium",1,0)),"")</f>
        <v/>
      </c>
      <c r="S88" s="18"/>
      <c r="T88" s="67"/>
      <c r="U88" s="18"/>
      <c r="V88" s="69">
        <f>INDEX(KanbanPrep!$A$5:$S$189,VLOOKUP(ROW(),RowLookupTbl,2,FALSE),SMALL({1,3,5,7,9,11,13,15,17,19},MATCH(V$6,StatusOptions,0)))</f>
        <v>0</v>
      </c>
      <c r="W88" s="69"/>
      <c r="X88" s="70" t="str">
        <f>IFERROR(IF(CW88="Low",2,IF(CW88="Medium",1,0)),"")</f>
        <v/>
      </c>
      <c r="Y88" s="18"/>
      <c r="Z88" s="67"/>
      <c r="AA88" s="18"/>
      <c r="AB88" s="69">
        <f>INDEX(KanbanPrep!$A$5:$S$189,VLOOKUP(ROW(),RowLookupTbl,2,FALSE),SMALL({1,3,5,7,9,11,13,15,17,19},MATCH(AB$6,StatusOptions,0)))</f>
        <v>0</v>
      </c>
      <c r="AC88" s="69"/>
      <c r="AD88" s="70" t="str">
        <f>IFERROR(IF(DI88="Low",2,IF(DI88="Medium",1,0)),"")</f>
        <v/>
      </c>
      <c r="AE88" s="18"/>
      <c r="AF88" s="67"/>
      <c r="AG88" s="18"/>
      <c r="AH88" s="69">
        <f>INDEX(KanbanPrep!$A$5:$S$189,VLOOKUP(ROW(),RowLookupTbl,2,FALSE),SMALL({1,3,5,7,9,11,13,15,17,19},MATCH(AH$6,StatusOptions,0)))</f>
        <v>0</v>
      </c>
      <c r="AI88" s="69"/>
      <c r="AJ88" s="70" t="str">
        <f>IFERROR(IF(DU88="Low",2,IF(DU88="Medium",1,0)),"")</f>
        <v/>
      </c>
      <c r="AK88" s="18"/>
      <c r="AL88" s="67"/>
      <c r="AM88" s="18"/>
      <c r="AN88" s="69">
        <f>INDEX(KanbanPrep!$A$5:$S$189,VLOOKUP(ROW(),RowLookupTbl,2,FALSE),SMALL({1,3,5,7,9,11,13,15,17,19},MATCH(AN$6,StatusOptions,0)))</f>
        <v>0</v>
      </c>
      <c r="AO88" s="69"/>
      <c r="AP88" s="70" t="str">
        <f>IFERROR(IF(EG88="Low",2,IF(EG88="Medium",1,0)),"")</f>
        <v/>
      </c>
      <c r="AQ88" s="18"/>
      <c r="AR88" s="67"/>
      <c r="AS88" s="18"/>
      <c r="AT88" s="69">
        <f>INDEX(KanbanPrep!$A$5:$S$189,VLOOKUP(ROW(),RowLookupTbl,2,FALSE),SMALL({1,3,5,7,9,11,13,15,17,19},MATCH(AT$6,StatusOptions,0)))</f>
        <v>0</v>
      </c>
      <c r="AU88" s="69"/>
      <c r="AV88" s="70" t="str">
        <f>IFERROR(IF(ES88="Low",2,IF(ES88="Medium",1,0)),"")</f>
        <v/>
      </c>
      <c r="AW88" s="18"/>
      <c r="AX88" s="67"/>
      <c r="AY88" s="18"/>
      <c r="AZ88" s="69">
        <f>INDEX(KanbanPrep!$A$5:$S$189,VLOOKUP(ROW(),RowLookupTbl,2,FALSE),SMALL({1,3,5,7,9,11,13,15,17,19},MATCH(AZ$6,StatusOptions,0)))</f>
        <v>0</v>
      </c>
      <c r="BA88" s="69"/>
      <c r="BB88" s="70" t="str">
        <f>IFERROR(IF(FE88="Low",2,IF(FE88="Medium",1,0)),"")</f>
        <v/>
      </c>
      <c r="BC88" s="18"/>
      <c r="BD88" s="67"/>
      <c r="BE88" s="18"/>
      <c r="BL88" s="13" t="s">
        <v>60</v>
      </c>
      <c r="BM88" s="13" t="e">
        <f>INDEX(InputTbl[],MATCH(D88,InputTbl[Task Name],0),MATCH("Priority",InputTbl[#Headers],0))</f>
        <v>#N/A</v>
      </c>
      <c r="BN88" s="73"/>
      <c r="BX88" s="13" t="s">
        <v>60</v>
      </c>
      <c r="BY88" s="13" t="e">
        <f>INDEX(InputTbl[],MATCH(J88,InputTbl[Task Name],0),MATCH("Priority",InputTbl[#Headers],0))</f>
        <v>#N/A</v>
      </c>
      <c r="BZ88" s="73"/>
      <c r="CJ88" s="13" t="s">
        <v>60</v>
      </c>
      <c r="CK88" s="13" t="e">
        <f>INDEX(InputTbl[],MATCH(P88,InputTbl[Task Name],0),MATCH("Priority",InputTbl[#Headers],0))</f>
        <v>#N/A</v>
      </c>
      <c r="CL88" s="73"/>
      <c r="CV88" s="13" t="s">
        <v>60</v>
      </c>
      <c r="CW88" s="13" t="e">
        <f>INDEX(InputTbl[],MATCH(V88,InputTbl[Task Name],0),MATCH("Priority",InputTbl[#Headers],0))</f>
        <v>#N/A</v>
      </c>
      <c r="CX88" s="73"/>
      <c r="DH88" s="13" t="s">
        <v>60</v>
      </c>
      <c r="DI88" s="13" t="e">
        <f>INDEX(InputTbl[],MATCH(AB88,InputTbl[Task Name],0),MATCH("Priority",InputTbl[#Headers],0))</f>
        <v>#N/A</v>
      </c>
      <c r="DJ88" s="73"/>
      <c r="DT88" s="13" t="s">
        <v>60</v>
      </c>
      <c r="DU88" s="13" t="e">
        <f>INDEX(InputTbl[],MATCH(AH88,InputTbl[Task Name],0),MATCH("Priority",InputTbl[#Headers],0))</f>
        <v>#N/A</v>
      </c>
      <c r="DV88" s="73"/>
      <c r="EF88" s="13" t="s">
        <v>60</v>
      </c>
      <c r="EG88" s="13" t="e">
        <f>INDEX(InputTbl[],MATCH(AN88,InputTbl[Task Name],0),MATCH("Priority",InputTbl[#Headers],0))</f>
        <v>#N/A</v>
      </c>
      <c r="EH88" s="73"/>
      <c r="ER88" s="13" t="s">
        <v>60</v>
      </c>
      <c r="ES88" s="13" t="e">
        <f>INDEX(InputTbl[],MATCH(AT88,InputTbl[Task Name],0),MATCH("Priority",InputTbl[#Headers],0))</f>
        <v>#N/A</v>
      </c>
      <c r="ET88" s="73"/>
      <c r="FD88" s="13" t="s">
        <v>60</v>
      </c>
      <c r="FE88" s="13" t="e">
        <f>INDEX(InputTbl[],MATCH(AZ88,InputTbl[Task Name],0),MATCH("Priority",InputTbl[#Headers],0))</f>
        <v>#N/A</v>
      </c>
      <c r="FF88" s="73"/>
    </row>
    <row r="89" spans="1:162" x14ac:dyDescent="0.25">
      <c r="A89" s="18"/>
      <c r="B89" s="67"/>
      <c r="C89" s="18"/>
      <c r="D89" s="69"/>
      <c r="E89" s="69"/>
      <c r="F89" s="70"/>
      <c r="G89" s="18"/>
      <c r="H89" s="67"/>
      <c r="I89" s="18"/>
      <c r="J89" s="69"/>
      <c r="K89" s="69"/>
      <c r="L89" s="70"/>
      <c r="M89" s="18"/>
      <c r="N89" s="67"/>
      <c r="O89" s="18"/>
      <c r="P89" s="69"/>
      <c r="Q89" s="69"/>
      <c r="R89" s="70"/>
      <c r="S89" s="18"/>
      <c r="T89" s="67"/>
      <c r="U89" s="18"/>
      <c r="V89" s="69"/>
      <c r="W89" s="69"/>
      <c r="X89" s="70"/>
      <c r="Y89" s="18"/>
      <c r="Z89" s="67"/>
      <c r="AA89" s="18"/>
      <c r="AB89" s="69"/>
      <c r="AC89" s="69"/>
      <c r="AD89" s="70"/>
      <c r="AE89" s="18"/>
      <c r="AF89" s="67"/>
      <c r="AG89" s="18"/>
      <c r="AH89" s="69"/>
      <c r="AI89" s="69"/>
      <c r="AJ89" s="70"/>
      <c r="AK89" s="18"/>
      <c r="AL89" s="67"/>
      <c r="AM89" s="18"/>
      <c r="AN89" s="69"/>
      <c r="AO89" s="69"/>
      <c r="AP89" s="70"/>
      <c r="AQ89" s="18"/>
      <c r="AR89" s="67"/>
      <c r="AS89" s="18"/>
      <c r="AT89" s="69"/>
      <c r="AU89" s="69"/>
      <c r="AV89" s="70"/>
      <c r="AW89" s="18"/>
      <c r="AX89" s="67"/>
      <c r="AY89" s="18"/>
      <c r="AZ89" s="69"/>
      <c r="BA89" s="69"/>
      <c r="BB89" s="70"/>
      <c r="BC89" s="18"/>
      <c r="BD89" s="67"/>
      <c r="BE89" s="18"/>
      <c r="BL89" s="13" t="s">
        <v>72</v>
      </c>
      <c r="BM89" s="13" t="str">
        <f ca="1">INDEX(DataTbl[],MATCH(D88,DataTbl[Task Name],0),MATCH("Overdue",DataTbl[#Headers],0))</f>
        <v>No</v>
      </c>
      <c r="BN89" s="73"/>
      <c r="BX89" s="13" t="s">
        <v>72</v>
      </c>
      <c r="BY89" s="13" t="str">
        <f ca="1">INDEX(DataTbl[],MATCH(J88,DataTbl[Task Name],0),MATCH("Overdue",DataTbl[#Headers],0))</f>
        <v>No</v>
      </c>
      <c r="BZ89" s="73"/>
      <c r="CJ89" s="13" t="s">
        <v>72</v>
      </c>
      <c r="CK89" s="13" t="str">
        <f ca="1">INDEX(DataTbl[],MATCH(P88,DataTbl[Task Name],0),MATCH("Overdue",DataTbl[#Headers],0))</f>
        <v>No</v>
      </c>
      <c r="CL89" s="73"/>
      <c r="CV89" s="13" t="s">
        <v>72</v>
      </c>
      <c r="CW89" s="13" t="str">
        <f ca="1">INDEX(DataTbl[],MATCH(V88,DataTbl[Task Name],0),MATCH("Overdue",DataTbl[#Headers],0))</f>
        <v>No</v>
      </c>
      <c r="CX89" s="73"/>
      <c r="DH89" s="13" t="s">
        <v>72</v>
      </c>
      <c r="DI89" s="13" t="str">
        <f ca="1">INDEX(DataTbl[],MATCH(AB88,DataTbl[Task Name],0),MATCH("Overdue",DataTbl[#Headers],0))</f>
        <v>No</v>
      </c>
      <c r="DJ89" s="73"/>
      <c r="DT89" s="13" t="s">
        <v>72</v>
      </c>
      <c r="DU89" s="13" t="str">
        <f ca="1">INDEX(DataTbl[],MATCH(AH88,DataTbl[Task Name],0),MATCH("Overdue",DataTbl[#Headers],0))</f>
        <v>No</v>
      </c>
      <c r="DV89" s="73"/>
      <c r="EF89" s="13" t="s">
        <v>72</v>
      </c>
      <c r="EG89" s="13" t="str">
        <f ca="1">INDEX(DataTbl[],MATCH(AN88,DataTbl[Task Name],0),MATCH("Overdue",DataTbl[#Headers],0))</f>
        <v>No</v>
      </c>
      <c r="EH89" s="73"/>
      <c r="ER89" s="13" t="s">
        <v>72</v>
      </c>
      <c r="ES89" s="13" t="str">
        <f ca="1">INDEX(DataTbl[],MATCH(AT88,DataTbl[Task Name],0),MATCH("Overdue",DataTbl[#Headers],0))</f>
        <v>No</v>
      </c>
      <c r="ET89" s="73"/>
      <c r="FD89" s="13" t="s">
        <v>72</v>
      </c>
      <c r="FE89" s="13" t="str">
        <f ca="1">INDEX(DataTbl[],MATCH(AZ88,DataTbl[Task Name],0),MATCH("Overdue",DataTbl[#Headers],0))</f>
        <v>No</v>
      </c>
      <c r="FF89" s="73"/>
    </row>
    <row r="90" spans="1:162" x14ac:dyDescent="0.25">
      <c r="A90" s="18"/>
      <c r="B90" s="67"/>
      <c r="C90" s="18"/>
      <c r="D90" s="20" t="str">
        <f>IF(D88=0,""," "&amp;"Assigned To"&amp;": ")</f>
        <v/>
      </c>
      <c r="E90" s="71" t="str">
        <f>IFERROR(INDEX(InputTbl[],MATCH(D88,InputTbl[Task Name],0),MATCH("Assigned To",InputTbl[#Headers],0)),"")</f>
        <v/>
      </c>
      <c r="F90" s="71"/>
      <c r="G90" s="18"/>
      <c r="H90" s="67"/>
      <c r="I90" s="18"/>
      <c r="J90" s="20" t="str">
        <f>IF(J88=0,""," "&amp;"Assigned To"&amp;": ")</f>
        <v/>
      </c>
      <c r="K90" s="71" t="str">
        <f>IFERROR(INDEX(InputTbl[],MATCH(J88,InputTbl[Task Name],0),MATCH("Assigned To",InputTbl[#Headers],0)),"")</f>
        <v/>
      </c>
      <c r="L90" s="71"/>
      <c r="M90" s="18"/>
      <c r="N90" s="67"/>
      <c r="O90" s="18"/>
      <c r="P90" s="20" t="str">
        <f>IF(P88=0,""," "&amp;"Assigned To"&amp;": ")</f>
        <v/>
      </c>
      <c r="Q90" s="71" t="str">
        <f>IFERROR(INDEX(InputTbl[],MATCH(P88,InputTbl[Task Name],0),MATCH("Assigned To",InputTbl[#Headers],0)),"")</f>
        <v/>
      </c>
      <c r="R90" s="71"/>
      <c r="S90" s="18"/>
      <c r="T90" s="67"/>
      <c r="U90" s="18"/>
      <c r="V90" s="20" t="str">
        <f>IF(V88=0,""," "&amp;"Assigned To"&amp;": ")</f>
        <v/>
      </c>
      <c r="W90" s="71" t="str">
        <f>IFERROR(INDEX(InputTbl[],MATCH(V88,InputTbl[Task Name],0),MATCH("Assigned To",InputTbl[#Headers],0)),"")</f>
        <v/>
      </c>
      <c r="X90" s="71"/>
      <c r="Y90" s="18"/>
      <c r="Z90" s="67"/>
      <c r="AA90" s="18"/>
      <c r="AB90" s="20" t="str">
        <f>IF(AB88=0,""," "&amp;"Assigned To"&amp;": ")</f>
        <v/>
      </c>
      <c r="AC90" s="71" t="str">
        <f>IFERROR(INDEX(InputTbl[],MATCH(AB88,InputTbl[Task Name],0),MATCH("Assigned To",InputTbl[#Headers],0)),"")</f>
        <v/>
      </c>
      <c r="AD90" s="71"/>
      <c r="AE90" s="18"/>
      <c r="AF90" s="67"/>
      <c r="AG90" s="18"/>
      <c r="AH90" s="20" t="str">
        <f>IF(AH88=0,""," "&amp;"Assigned To"&amp;": ")</f>
        <v/>
      </c>
      <c r="AI90" s="71" t="str">
        <f>IFERROR(INDEX(InputTbl[],MATCH(AH88,InputTbl[Task Name],0),MATCH("Assigned To",InputTbl[#Headers],0)),"")</f>
        <v/>
      </c>
      <c r="AJ90" s="71"/>
      <c r="AK90" s="18"/>
      <c r="AL90" s="67"/>
      <c r="AM90" s="18"/>
      <c r="AN90" s="20" t="str">
        <f>IF(AN88=0,""," "&amp;"Assigned To"&amp;": ")</f>
        <v/>
      </c>
      <c r="AO90" s="71" t="str">
        <f>IFERROR(INDEX(InputTbl[],MATCH(AN88,InputTbl[Task Name],0),MATCH("Assigned To",InputTbl[#Headers],0)),"")</f>
        <v/>
      </c>
      <c r="AP90" s="71"/>
      <c r="AQ90" s="18"/>
      <c r="AR90" s="67"/>
      <c r="AS90" s="18"/>
      <c r="AT90" s="20" t="str">
        <f>IF(AT88=0,""," "&amp;"Assigned To"&amp;": ")</f>
        <v/>
      </c>
      <c r="AU90" s="71" t="str">
        <f>IFERROR(INDEX(InputTbl[],MATCH(AT88,InputTbl[Task Name],0),MATCH("Assigned To",InputTbl[#Headers],0)),"")</f>
        <v/>
      </c>
      <c r="AV90" s="71"/>
      <c r="AW90" s="18"/>
      <c r="AX90" s="67"/>
      <c r="AY90" s="18"/>
      <c r="AZ90" s="20" t="str">
        <f>IF(AZ88=0,""," "&amp;"Assigned To"&amp;": ")</f>
        <v/>
      </c>
      <c r="BA90" s="71" t="str">
        <f>IFERROR(INDEX(InputTbl[],MATCH(AZ88,InputTbl[Task Name],0),MATCH("Assigned To",InputTbl[#Headers],0)),"")</f>
        <v/>
      </c>
      <c r="BB90" s="71"/>
      <c r="BC90" s="18"/>
      <c r="BD90" s="67"/>
      <c r="BE90" s="18"/>
      <c r="BL90" s="7"/>
      <c r="BM90" s="75"/>
      <c r="BN90" s="75"/>
      <c r="BX90" s="7"/>
      <c r="BY90" s="75"/>
      <c r="BZ90" s="75"/>
      <c r="CJ90" s="7"/>
      <c r="CK90" s="75"/>
      <c r="CL90" s="75"/>
      <c r="CV90" s="7"/>
      <c r="CW90" s="75"/>
      <c r="CX90" s="75"/>
      <c r="DH90" s="7"/>
      <c r="DI90" s="75"/>
      <c r="DJ90" s="75"/>
      <c r="DT90" s="7"/>
      <c r="DU90" s="75"/>
      <c r="DV90" s="75"/>
      <c r="EF90" s="7"/>
      <c r="EG90" s="75"/>
      <c r="EH90" s="75"/>
      <c r="ER90" s="7"/>
      <c r="ES90" s="75"/>
      <c r="ET90" s="75"/>
      <c r="FD90" s="7"/>
      <c r="FE90" s="75"/>
      <c r="FF90" s="75"/>
    </row>
    <row r="91" spans="1:162" x14ac:dyDescent="0.25">
      <c r="A91" s="18"/>
      <c r="B91" s="67"/>
      <c r="C91" s="18"/>
      <c r="D91" s="21" t="str">
        <f>IF(D88=0,""," "&amp;"Date Due"&amp;": ")</f>
        <v/>
      </c>
      <c r="E91" s="72" t="str">
        <f ca="1">IFERROR(IF(BM89="Yes",_xlfn.CONCAT("⚠"," ",TEXT(INDEX(InputTbl[],MATCH(D88,InputTbl[Task Name],0),MATCH("Due Date",InputTbl[#Headers],0)),"mm/dd/yyyy")," ","⚠"),INDEX(InputTbl[],MATCH(D88,InputTbl[Task Name],0),MATCH("Due Date",InputTbl[#Headers],0))),"")</f>
        <v/>
      </c>
      <c r="F91" s="72"/>
      <c r="G91" s="18"/>
      <c r="H91" s="67"/>
      <c r="I91" s="18"/>
      <c r="J91" s="21" t="str">
        <f>IF(J88=0,""," "&amp;"Date Due"&amp;": ")</f>
        <v/>
      </c>
      <c r="K91" s="72" t="str">
        <f ca="1">IFERROR(IF(BY89="Yes",_xlfn.CONCAT("⚠"," ",TEXT(INDEX(InputTbl[],MATCH(J88,InputTbl[Task Name],0),MATCH("Due Date",InputTbl[#Headers],0)),"mm/dd/yyyy")," ","⚠"),INDEX(InputTbl[],MATCH(J88,InputTbl[Task Name],0),MATCH("Due Date",InputTbl[#Headers],0))),"")</f>
        <v/>
      </c>
      <c r="L91" s="72"/>
      <c r="M91" s="18"/>
      <c r="N91" s="67"/>
      <c r="O91" s="18"/>
      <c r="P91" s="21" t="str">
        <f>IF(P88=0,""," "&amp;"Date Due"&amp;": ")</f>
        <v/>
      </c>
      <c r="Q91" s="72" t="str">
        <f ca="1">IFERROR(IF(CK89="Yes",_xlfn.CONCAT("⚠"," ",TEXT(INDEX(InputTbl[],MATCH(P88,InputTbl[Task Name],0),MATCH("Due Date",InputTbl[#Headers],0)),"mm/dd/yyyy")," ","⚠"),INDEX(InputTbl[],MATCH(P88,InputTbl[Task Name],0),MATCH("Due Date",InputTbl[#Headers],0))),"")</f>
        <v/>
      </c>
      <c r="R91" s="72"/>
      <c r="S91" s="18"/>
      <c r="T91" s="67"/>
      <c r="U91" s="18"/>
      <c r="V91" s="21" t="str">
        <f>IF(V88=0,""," "&amp;"Date Due"&amp;": ")</f>
        <v/>
      </c>
      <c r="W91" s="72" t="str">
        <f ca="1">IFERROR(IF(CW89="Yes",_xlfn.CONCAT("⚠"," ",TEXT(INDEX(InputTbl[],MATCH(V88,InputTbl[Task Name],0),MATCH("Due Date",InputTbl[#Headers],0)),"mm/dd/yyyy")," ","⚠"),INDEX(InputTbl[],MATCH(V88,InputTbl[Task Name],0),MATCH("Due Date",InputTbl[#Headers],0))),"")</f>
        <v/>
      </c>
      <c r="X91" s="72"/>
      <c r="Y91" s="18"/>
      <c r="Z91" s="67"/>
      <c r="AA91" s="18"/>
      <c r="AB91" s="21" t="str">
        <f>IF(AB88=0,""," "&amp;"Date Due"&amp;": ")</f>
        <v/>
      </c>
      <c r="AC91" s="72" t="str">
        <f ca="1">IFERROR(IF(DI89="Yes",_xlfn.CONCAT("⚠"," ",TEXT(INDEX(InputTbl[],MATCH(AB88,InputTbl[Task Name],0),MATCH("Due Date",InputTbl[#Headers],0)),"mm/dd/yyyy")," ","⚠"),INDEX(InputTbl[],MATCH(AB88,InputTbl[Task Name],0),MATCH("Due Date",InputTbl[#Headers],0))),"")</f>
        <v/>
      </c>
      <c r="AD91" s="72"/>
      <c r="AE91" s="18"/>
      <c r="AF91" s="67"/>
      <c r="AG91" s="18"/>
      <c r="AH91" s="21" t="str">
        <f>IF(AH88=0,""," "&amp;"Date Due"&amp;": ")</f>
        <v/>
      </c>
      <c r="AI91" s="72" t="str">
        <f ca="1">IFERROR(IF(DU89="Yes",_xlfn.CONCAT("⚠"," ",TEXT(INDEX(InputTbl[],MATCH(AH88,InputTbl[Task Name],0),MATCH("Due Date",InputTbl[#Headers],0)),"mm/dd/yyyy")," ","⚠"),INDEX(InputTbl[],MATCH(AH88,InputTbl[Task Name],0),MATCH("Due Date",InputTbl[#Headers],0))),"")</f>
        <v/>
      </c>
      <c r="AJ91" s="72"/>
      <c r="AK91" s="18"/>
      <c r="AL91" s="67"/>
      <c r="AM91" s="18"/>
      <c r="AN91" s="21" t="str">
        <f>IF(AN88=0,""," "&amp;"Date Due"&amp;": ")</f>
        <v/>
      </c>
      <c r="AO91" s="72" t="str">
        <f ca="1">IFERROR(IF(EG89="Yes",_xlfn.CONCAT("⚠"," ",TEXT(INDEX(InputTbl[],MATCH(AN88,InputTbl[Task Name],0),MATCH("Due Date",InputTbl[#Headers],0)),"mm/dd/yyyy")," ","⚠"),INDEX(InputTbl[],MATCH(AN88,InputTbl[Task Name],0),MATCH("Due Date",InputTbl[#Headers],0))),"")</f>
        <v/>
      </c>
      <c r="AP91" s="72"/>
      <c r="AQ91" s="18"/>
      <c r="AR91" s="67"/>
      <c r="AS91" s="18"/>
      <c r="AT91" s="21" t="str">
        <f>IF(AT88=0,""," "&amp;"Date Due"&amp;": ")</f>
        <v/>
      </c>
      <c r="AU91" s="72" t="str">
        <f ca="1">IFERROR(IF(ES89="Yes",_xlfn.CONCAT("⚠"," ",TEXT(INDEX(InputTbl[],MATCH(AT88,InputTbl[Task Name],0),MATCH("Due Date",InputTbl[#Headers],0)),"mm/dd/yyyy")," ","⚠"),INDEX(InputTbl[],MATCH(AT88,InputTbl[Task Name],0),MATCH("Due Date",InputTbl[#Headers],0))),"")</f>
        <v/>
      </c>
      <c r="AV91" s="72"/>
      <c r="AW91" s="18"/>
      <c r="AX91" s="67"/>
      <c r="AY91" s="18"/>
      <c r="AZ91" s="21" t="str">
        <f>IF(AZ88=0,""," "&amp;"Date Due"&amp;": ")</f>
        <v/>
      </c>
      <c r="BA91" s="72" t="str">
        <f ca="1">IFERROR(IF(FE89="Yes",_xlfn.CONCAT("⚠"," ",TEXT(INDEX(InputTbl[],MATCH(AZ88,InputTbl[Task Name],0),MATCH("Due Date",InputTbl[#Headers],0)),"mm/dd/yyyy")," ","⚠"),INDEX(InputTbl[],MATCH(AZ88,InputTbl[Task Name],0),MATCH("Due Date",InputTbl[#Headers],0))),"")</f>
        <v/>
      </c>
      <c r="BB91" s="72"/>
      <c r="BC91" s="18"/>
      <c r="BD91" s="67"/>
      <c r="BE91" s="18"/>
      <c r="BL91" s="8"/>
      <c r="BM91" s="74"/>
      <c r="BN91" s="74"/>
      <c r="BX91" s="8"/>
      <c r="BY91" s="74"/>
      <c r="BZ91" s="74"/>
      <c r="CJ91" s="8"/>
      <c r="CK91" s="74"/>
      <c r="CL91" s="74"/>
      <c r="CV91" s="8"/>
      <c r="CW91" s="74"/>
      <c r="CX91" s="74"/>
      <c r="DH91" s="8"/>
      <c r="DI91" s="74"/>
      <c r="DJ91" s="74"/>
      <c r="DT91" s="8"/>
      <c r="DU91" s="74"/>
      <c r="DV91" s="74"/>
      <c r="EF91" s="8"/>
      <c r="EG91" s="74"/>
      <c r="EH91" s="74"/>
      <c r="ER91" s="8"/>
      <c r="ES91" s="74"/>
      <c r="ET91" s="74"/>
      <c r="FD91" s="8"/>
      <c r="FE91" s="74"/>
      <c r="FF91" s="74"/>
    </row>
    <row r="92" spans="1:162" ht="15" customHeight="1" x14ac:dyDescent="0.25">
      <c r="A92" s="18"/>
      <c r="B92" s="67"/>
      <c r="C92" s="18"/>
      <c r="D92" s="18"/>
      <c r="E92" s="18"/>
      <c r="F92" s="18"/>
      <c r="G92" s="18"/>
      <c r="H92" s="67"/>
      <c r="I92" s="18"/>
      <c r="J92" s="18"/>
      <c r="K92" s="18"/>
      <c r="L92" s="18"/>
      <c r="M92" s="18"/>
      <c r="N92" s="67"/>
      <c r="O92" s="18"/>
      <c r="P92" s="18"/>
      <c r="Q92" s="18"/>
      <c r="R92" s="18"/>
      <c r="S92" s="18"/>
      <c r="T92" s="67"/>
      <c r="U92" s="18"/>
      <c r="V92" s="18"/>
      <c r="W92" s="18"/>
      <c r="X92" s="18"/>
      <c r="Y92" s="18"/>
      <c r="Z92" s="67"/>
      <c r="AA92" s="18"/>
      <c r="AB92" s="18"/>
      <c r="AC92" s="18"/>
      <c r="AD92" s="18"/>
      <c r="AE92" s="18"/>
      <c r="AF92" s="67"/>
      <c r="AG92" s="18"/>
      <c r="AH92" s="18"/>
      <c r="AI92" s="18"/>
      <c r="AJ92" s="18"/>
      <c r="AK92" s="18"/>
      <c r="AL92" s="67"/>
      <c r="AM92" s="18"/>
      <c r="AN92" s="18"/>
      <c r="AO92" s="18"/>
      <c r="AP92" s="18"/>
      <c r="AQ92" s="18"/>
      <c r="AR92" s="67"/>
      <c r="AS92" s="18"/>
      <c r="AT92" s="18"/>
      <c r="AU92" s="18"/>
      <c r="AV92" s="18"/>
      <c r="AW92" s="18"/>
      <c r="AX92" s="67"/>
      <c r="AY92" s="18"/>
      <c r="AZ92" s="18"/>
      <c r="BA92" s="18"/>
      <c r="BB92" s="18"/>
      <c r="BC92" s="18"/>
      <c r="BD92" s="67"/>
      <c r="BE92" s="18"/>
    </row>
    <row r="93" spans="1:162" x14ac:dyDescent="0.25">
      <c r="A93" s="18"/>
      <c r="B93" s="67"/>
      <c r="C93" s="18"/>
      <c r="D93" s="69">
        <f>INDEX(KanbanPrep!$A$5:$S$189,VLOOKUP(ROW(),RowLookupTbl,2,FALSE),SMALL({1,3,5,7,9,11,13,15,17,19},MATCH(D$6,StatusOptions,0)))</f>
        <v>0</v>
      </c>
      <c r="E93" s="69"/>
      <c r="F93" s="70" t="str">
        <f>IFERROR(IF(BM93="Low",2,IF(BM93="Medium",1,0)),"")</f>
        <v/>
      </c>
      <c r="G93" s="18"/>
      <c r="H93" s="67"/>
      <c r="I93" s="18"/>
      <c r="J93" s="69">
        <f>INDEX(KanbanPrep!$A$5:$S$189,VLOOKUP(ROW(),RowLookupTbl,2,FALSE),SMALL({1,3,5,7,9,11,13,15,17,19},MATCH(J$6,StatusOptions,0)))</f>
        <v>0</v>
      </c>
      <c r="K93" s="69"/>
      <c r="L93" s="70" t="str">
        <f>IFERROR(IF(BY93="Low",2,IF(BY93="Medium",1,0)),"")</f>
        <v/>
      </c>
      <c r="M93" s="18"/>
      <c r="N93" s="67"/>
      <c r="O93" s="18"/>
      <c r="P93" s="69">
        <f>INDEX(KanbanPrep!$A$5:$S$189,VLOOKUP(ROW(),RowLookupTbl,2,FALSE),SMALL({1,3,5,7,9,11,13,15,17,19},MATCH(P$6,StatusOptions,0)))</f>
        <v>0</v>
      </c>
      <c r="Q93" s="69"/>
      <c r="R93" s="70" t="str">
        <f>IFERROR(IF(CK93="Low",2,IF(CK93="Medium",1,0)),"")</f>
        <v/>
      </c>
      <c r="S93" s="18"/>
      <c r="T93" s="67"/>
      <c r="U93" s="18"/>
      <c r="V93" s="69">
        <f>INDEX(KanbanPrep!$A$5:$S$189,VLOOKUP(ROW(),RowLookupTbl,2,FALSE),SMALL({1,3,5,7,9,11,13,15,17,19},MATCH(V$6,StatusOptions,0)))</f>
        <v>0</v>
      </c>
      <c r="W93" s="69"/>
      <c r="X93" s="70" t="str">
        <f>IFERROR(IF(CW93="Low",2,IF(CW93="Medium",1,0)),"")</f>
        <v/>
      </c>
      <c r="Y93" s="18"/>
      <c r="Z93" s="67"/>
      <c r="AA93" s="18"/>
      <c r="AB93" s="69">
        <f>INDEX(KanbanPrep!$A$5:$S$189,VLOOKUP(ROW(),RowLookupTbl,2,FALSE),SMALL({1,3,5,7,9,11,13,15,17,19},MATCH(AB$6,StatusOptions,0)))</f>
        <v>0</v>
      </c>
      <c r="AC93" s="69"/>
      <c r="AD93" s="70" t="str">
        <f>IFERROR(IF(DI93="Low",2,IF(DI93="Medium",1,0)),"")</f>
        <v/>
      </c>
      <c r="AE93" s="18"/>
      <c r="AF93" s="67"/>
      <c r="AG93" s="18"/>
      <c r="AH93" s="69">
        <f>INDEX(KanbanPrep!$A$5:$S$189,VLOOKUP(ROW(),RowLookupTbl,2,FALSE),SMALL({1,3,5,7,9,11,13,15,17,19},MATCH(AH$6,StatusOptions,0)))</f>
        <v>0</v>
      </c>
      <c r="AI93" s="69"/>
      <c r="AJ93" s="70" t="str">
        <f>IFERROR(IF(DU93="Low",2,IF(DU93="Medium",1,0)),"")</f>
        <v/>
      </c>
      <c r="AK93" s="18"/>
      <c r="AL93" s="67"/>
      <c r="AM93" s="18"/>
      <c r="AN93" s="69">
        <f>INDEX(KanbanPrep!$A$5:$S$189,VLOOKUP(ROW(),RowLookupTbl,2,FALSE),SMALL({1,3,5,7,9,11,13,15,17,19},MATCH(AN$6,StatusOptions,0)))</f>
        <v>0</v>
      </c>
      <c r="AO93" s="69"/>
      <c r="AP93" s="70" t="str">
        <f>IFERROR(IF(EG93="Low",2,IF(EG93="Medium",1,0)),"")</f>
        <v/>
      </c>
      <c r="AQ93" s="18"/>
      <c r="AR93" s="67"/>
      <c r="AS93" s="18"/>
      <c r="AT93" s="69">
        <f>INDEX(KanbanPrep!$A$5:$S$189,VLOOKUP(ROW(),RowLookupTbl,2,FALSE),SMALL({1,3,5,7,9,11,13,15,17,19},MATCH(AT$6,StatusOptions,0)))</f>
        <v>0</v>
      </c>
      <c r="AU93" s="69"/>
      <c r="AV93" s="70" t="str">
        <f>IFERROR(IF(ES93="Low",2,IF(ES93="Medium",1,0)),"")</f>
        <v/>
      </c>
      <c r="AW93" s="18"/>
      <c r="AX93" s="67"/>
      <c r="AY93" s="18"/>
      <c r="AZ93" s="69">
        <f>INDEX(KanbanPrep!$A$5:$S$189,VLOOKUP(ROW(),RowLookupTbl,2,FALSE),SMALL({1,3,5,7,9,11,13,15,17,19},MATCH(AZ$6,StatusOptions,0)))</f>
        <v>0</v>
      </c>
      <c r="BA93" s="69"/>
      <c r="BB93" s="70" t="str">
        <f>IFERROR(IF(FE93="Low",2,IF(FE93="Medium",1,0)),"")</f>
        <v/>
      </c>
      <c r="BC93" s="18"/>
      <c r="BD93" s="67"/>
      <c r="BE93" s="18"/>
      <c r="BL93" s="13" t="s">
        <v>60</v>
      </c>
      <c r="BM93" s="13" t="e">
        <f>INDEX(InputTbl[],MATCH(D93,InputTbl[Task Name],0),MATCH("Priority",InputTbl[#Headers],0))</f>
        <v>#N/A</v>
      </c>
      <c r="BN93" s="73"/>
      <c r="BX93" s="13" t="s">
        <v>60</v>
      </c>
      <c r="BY93" s="13" t="e">
        <f>INDEX(InputTbl[],MATCH(J93,InputTbl[Task Name],0),MATCH("Priority",InputTbl[#Headers],0))</f>
        <v>#N/A</v>
      </c>
      <c r="BZ93" s="73"/>
      <c r="CJ93" s="13" t="s">
        <v>60</v>
      </c>
      <c r="CK93" s="13" t="e">
        <f>INDEX(InputTbl[],MATCH(P93,InputTbl[Task Name],0),MATCH("Priority",InputTbl[#Headers],0))</f>
        <v>#N/A</v>
      </c>
      <c r="CL93" s="73"/>
      <c r="CV93" s="13" t="s">
        <v>60</v>
      </c>
      <c r="CW93" s="13" t="e">
        <f>INDEX(InputTbl[],MATCH(V93,InputTbl[Task Name],0),MATCH("Priority",InputTbl[#Headers],0))</f>
        <v>#N/A</v>
      </c>
      <c r="CX93" s="73"/>
      <c r="DH93" s="13" t="s">
        <v>60</v>
      </c>
      <c r="DI93" s="13" t="e">
        <f>INDEX(InputTbl[],MATCH(AB93,InputTbl[Task Name],0),MATCH("Priority",InputTbl[#Headers],0))</f>
        <v>#N/A</v>
      </c>
      <c r="DJ93" s="73"/>
      <c r="DT93" s="13" t="s">
        <v>60</v>
      </c>
      <c r="DU93" s="13" t="e">
        <f>INDEX(InputTbl[],MATCH(AH93,InputTbl[Task Name],0),MATCH("Priority",InputTbl[#Headers],0))</f>
        <v>#N/A</v>
      </c>
      <c r="DV93" s="73"/>
      <c r="EF93" s="13" t="s">
        <v>60</v>
      </c>
      <c r="EG93" s="13" t="e">
        <f>INDEX(InputTbl[],MATCH(AN93,InputTbl[Task Name],0),MATCH("Priority",InputTbl[#Headers],0))</f>
        <v>#N/A</v>
      </c>
      <c r="EH93" s="73"/>
      <c r="ER93" s="13" t="s">
        <v>60</v>
      </c>
      <c r="ES93" s="13" t="e">
        <f>INDEX(InputTbl[],MATCH(AT93,InputTbl[Task Name],0),MATCH("Priority",InputTbl[#Headers],0))</f>
        <v>#N/A</v>
      </c>
      <c r="ET93" s="73"/>
      <c r="FD93" s="13" t="s">
        <v>60</v>
      </c>
      <c r="FE93" s="13" t="e">
        <f>INDEX(InputTbl[],MATCH(AZ93,InputTbl[Task Name],0),MATCH("Priority",InputTbl[#Headers],0))</f>
        <v>#N/A</v>
      </c>
      <c r="FF93" s="73"/>
    </row>
    <row r="94" spans="1:162" x14ac:dyDescent="0.25">
      <c r="A94" s="18"/>
      <c r="B94" s="67"/>
      <c r="C94" s="18"/>
      <c r="D94" s="69"/>
      <c r="E94" s="69"/>
      <c r="F94" s="70"/>
      <c r="G94" s="18"/>
      <c r="H94" s="67"/>
      <c r="I94" s="18"/>
      <c r="J94" s="69"/>
      <c r="K94" s="69"/>
      <c r="L94" s="70"/>
      <c r="M94" s="18"/>
      <c r="N94" s="67"/>
      <c r="O94" s="18"/>
      <c r="P94" s="69"/>
      <c r="Q94" s="69"/>
      <c r="R94" s="70"/>
      <c r="S94" s="18"/>
      <c r="T94" s="67"/>
      <c r="U94" s="18"/>
      <c r="V94" s="69"/>
      <c r="W94" s="69"/>
      <c r="X94" s="70"/>
      <c r="Y94" s="18"/>
      <c r="Z94" s="67"/>
      <c r="AA94" s="18"/>
      <c r="AB94" s="69"/>
      <c r="AC94" s="69"/>
      <c r="AD94" s="70"/>
      <c r="AE94" s="18"/>
      <c r="AF94" s="67"/>
      <c r="AG94" s="18"/>
      <c r="AH94" s="69"/>
      <c r="AI94" s="69"/>
      <c r="AJ94" s="70"/>
      <c r="AK94" s="18"/>
      <c r="AL94" s="67"/>
      <c r="AM94" s="18"/>
      <c r="AN94" s="69"/>
      <c r="AO94" s="69"/>
      <c r="AP94" s="70"/>
      <c r="AQ94" s="18"/>
      <c r="AR94" s="67"/>
      <c r="AS94" s="18"/>
      <c r="AT94" s="69"/>
      <c r="AU94" s="69"/>
      <c r="AV94" s="70"/>
      <c r="AW94" s="18"/>
      <c r="AX94" s="67"/>
      <c r="AY94" s="18"/>
      <c r="AZ94" s="69"/>
      <c r="BA94" s="69"/>
      <c r="BB94" s="70"/>
      <c r="BC94" s="18"/>
      <c r="BD94" s="67"/>
      <c r="BE94" s="18"/>
      <c r="BL94" s="13" t="s">
        <v>72</v>
      </c>
      <c r="BM94" s="13" t="str">
        <f ca="1">INDEX(DataTbl[],MATCH(D93,DataTbl[Task Name],0),MATCH("Overdue",DataTbl[#Headers],0))</f>
        <v>No</v>
      </c>
      <c r="BN94" s="73"/>
      <c r="BX94" s="13" t="s">
        <v>72</v>
      </c>
      <c r="BY94" s="13" t="str">
        <f ca="1">INDEX(DataTbl[],MATCH(J93,DataTbl[Task Name],0),MATCH("Overdue",DataTbl[#Headers],0))</f>
        <v>No</v>
      </c>
      <c r="BZ94" s="73"/>
      <c r="CJ94" s="13" t="s">
        <v>72</v>
      </c>
      <c r="CK94" s="13" t="str">
        <f ca="1">INDEX(DataTbl[],MATCH(P93,DataTbl[Task Name],0),MATCH("Overdue",DataTbl[#Headers],0))</f>
        <v>No</v>
      </c>
      <c r="CL94" s="73"/>
      <c r="CV94" s="13" t="s">
        <v>72</v>
      </c>
      <c r="CW94" s="13" t="str">
        <f ca="1">INDEX(DataTbl[],MATCH(V93,DataTbl[Task Name],0),MATCH("Overdue",DataTbl[#Headers],0))</f>
        <v>No</v>
      </c>
      <c r="CX94" s="73"/>
      <c r="DH94" s="13" t="s">
        <v>72</v>
      </c>
      <c r="DI94" s="13" t="str">
        <f ca="1">INDEX(DataTbl[],MATCH(AB93,DataTbl[Task Name],0),MATCH("Overdue",DataTbl[#Headers],0))</f>
        <v>No</v>
      </c>
      <c r="DJ94" s="73"/>
      <c r="DT94" s="13" t="s">
        <v>72</v>
      </c>
      <c r="DU94" s="13" t="str">
        <f ca="1">INDEX(DataTbl[],MATCH(AH93,DataTbl[Task Name],0),MATCH("Overdue",DataTbl[#Headers],0))</f>
        <v>No</v>
      </c>
      <c r="DV94" s="73"/>
      <c r="EF94" s="13" t="s">
        <v>72</v>
      </c>
      <c r="EG94" s="13" t="str">
        <f ca="1">INDEX(DataTbl[],MATCH(AN93,DataTbl[Task Name],0),MATCH("Overdue",DataTbl[#Headers],0))</f>
        <v>No</v>
      </c>
      <c r="EH94" s="73"/>
      <c r="ER94" s="13" t="s">
        <v>72</v>
      </c>
      <c r="ES94" s="13" t="str">
        <f ca="1">INDEX(DataTbl[],MATCH(AT93,DataTbl[Task Name],0),MATCH("Overdue",DataTbl[#Headers],0))</f>
        <v>No</v>
      </c>
      <c r="ET94" s="73"/>
      <c r="FD94" s="13" t="s">
        <v>72</v>
      </c>
      <c r="FE94" s="13" t="str">
        <f ca="1">INDEX(DataTbl[],MATCH(AZ93,DataTbl[Task Name],0),MATCH("Overdue",DataTbl[#Headers],0))</f>
        <v>No</v>
      </c>
      <c r="FF94" s="73"/>
    </row>
    <row r="95" spans="1:162" x14ac:dyDescent="0.25">
      <c r="A95" s="18"/>
      <c r="B95" s="67"/>
      <c r="C95" s="18"/>
      <c r="D95" s="20" t="str">
        <f>IF(D93=0,""," "&amp;"Assigned To"&amp;": ")</f>
        <v/>
      </c>
      <c r="E95" s="71" t="str">
        <f>IFERROR(INDEX(InputTbl[],MATCH(D93,InputTbl[Task Name],0),MATCH("Assigned To",InputTbl[#Headers],0)),"")</f>
        <v/>
      </c>
      <c r="F95" s="71"/>
      <c r="G95" s="18"/>
      <c r="H95" s="67"/>
      <c r="I95" s="18"/>
      <c r="J95" s="20" t="str">
        <f>IF(J93=0,""," "&amp;"Assigned To"&amp;": ")</f>
        <v/>
      </c>
      <c r="K95" s="71" t="str">
        <f>IFERROR(INDEX(InputTbl[],MATCH(J93,InputTbl[Task Name],0),MATCH("Assigned To",InputTbl[#Headers],0)),"")</f>
        <v/>
      </c>
      <c r="L95" s="71"/>
      <c r="M95" s="18"/>
      <c r="N95" s="67"/>
      <c r="O95" s="18"/>
      <c r="P95" s="20" t="str">
        <f>IF(P93=0,""," "&amp;"Assigned To"&amp;": ")</f>
        <v/>
      </c>
      <c r="Q95" s="71" t="str">
        <f>IFERROR(INDEX(InputTbl[],MATCH(P93,InputTbl[Task Name],0),MATCH("Assigned To",InputTbl[#Headers],0)),"")</f>
        <v/>
      </c>
      <c r="R95" s="71"/>
      <c r="S95" s="18"/>
      <c r="T95" s="67"/>
      <c r="U95" s="18"/>
      <c r="V95" s="20" t="str">
        <f>IF(V93=0,""," "&amp;"Assigned To"&amp;": ")</f>
        <v/>
      </c>
      <c r="W95" s="71" t="str">
        <f>IFERROR(INDEX(InputTbl[],MATCH(V93,InputTbl[Task Name],0),MATCH("Assigned To",InputTbl[#Headers],0)),"")</f>
        <v/>
      </c>
      <c r="X95" s="71"/>
      <c r="Y95" s="18"/>
      <c r="Z95" s="67"/>
      <c r="AA95" s="18"/>
      <c r="AB95" s="20" t="str">
        <f>IF(AB93=0,""," "&amp;"Assigned To"&amp;": ")</f>
        <v/>
      </c>
      <c r="AC95" s="71" t="str">
        <f>IFERROR(INDEX(InputTbl[],MATCH(AB93,InputTbl[Task Name],0),MATCH("Assigned To",InputTbl[#Headers],0)),"")</f>
        <v/>
      </c>
      <c r="AD95" s="71"/>
      <c r="AE95" s="18"/>
      <c r="AF95" s="67"/>
      <c r="AG95" s="18"/>
      <c r="AH95" s="20" t="str">
        <f>IF(AH93=0,""," "&amp;"Assigned To"&amp;": ")</f>
        <v/>
      </c>
      <c r="AI95" s="71" t="str">
        <f>IFERROR(INDEX(InputTbl[],MATCH(AH93,InputTbl[Task Name],0),MATCH("Assigned To",InputTbl[#Headers],0)),"")</f>
        <v/>
      </c>
      <c r="AJ95" s="71"/>
      <c r="AK95" s="18"/>
      <c r="AL95" s="67"/>
      <c r="AM95" s="18"/>
      <c r="AN95" s="20" t="str">
        <f>IF(AN93=0,""," "&amp;"Assigned To"&amp;": ")</f>
        <v/>
      </c>
      <c r="AO95" s="71" t="str">
        <f>IFERROR(INDEX(InputTbl[],MATCH(AN93,InputTbl[Task Name],0),MATCH("Assigned To",InputTbl[#Headers],0)),"")</f>
        <v/>
      </c>
      <c r="AP95" s="71"/>
      <c r="AQ95" s="18"/>
      <c r="AR95" s="67"/>
      <c r="AS95" s="18"/>
      <c r="AT95" s="20" t="str">
        <f>IF(AT93=0,""," "&amp;"Assigned To"&amp;": ")</f>
        <v/>
      </c>
      <c r="AU95" s="71" t="str">
        <f>IFERROR(INDEX(InputTbl[],MATCH(AT93,InputTbl[Task Name],0),MATCH("Assigned To",InputTbl[#Headers],0)),"")</f>
        <v/>
      </c>
      <c r="AV95" s="71"/>
      <c r="AW95" s="18"/>
      <c r="AX95" s="67"/>
      <c r="AY95" s="18"/>
      <c r="AZ95" s="20" t="str">
        <f>IF(AZ93=0,""," "&amp;"Assigned To"&amp;": ")</f>
        <v/>
      </c>
      <c r="BA95" s="71" t="str">
        <f>IFERROR(INDEX(InputTbl[],MATCH(AZ93,InputTbl[Task Name],0),MATCH("Assigned To",InputTbl[#Headers],0)),"")</f>
        <v/>
      </c>
      <c r="BB95" s="71"/>
      <c r="BC95" s="18"/>
      <c r="BD95" s="67"/>
      <c r="BE95" s="18"/>
      <c r="BL95" s="7"/>
      <c r="BM95" s="75"/>
      <c r="BN95" s="75"/>
      <c r="BX95" s="7"/>
      <c r="BY95" s="75"/>
      <c r="BZ95" s="75"/>
      <c r="CJ95" s="7"/>
      <c r="CK95" s="75"/>
      <c r="CL95" s="75"/>
      <c r="CV95" s="7"/>
      <c r="CW95" s="75"/>
      <c r="CX95" s="75"/>
      <c r="DH95" s="7"/>
      <c r="DI95" s="75"/>
      <c r="DJ95" s="75"/>
      <c r="DT95" s="7"/>
      <c r="DU95" s="75"/>
      <c r="DV95" s="75"/>
      <c r="EF95" s="7"/>
      <c r="EG95" s="75"/>
      <c r="EH95" s="75"/>
      <c r="ER95" s="7"/>
      <c r="ES95" s="75"/>
      <c r="ET95" s="75"/>
      <c r="FD95" s="7"/>
      <c r="FE95" s="75"/>
      <c r="FF95" s="75"/>
    </row>
    <row r="96" spans="1:162" x14ac:dyDescent="0.25">
      <c r="A96" s="18"/>
      <c r="B96" s="67"/>
      <c r="C96" s="18"/>
      <c r="D96" s="21" t="str">
        <f>IF(D93=0,""," "&amp;"Date Due"&amp;": ")</f>
        <v/>
      </c>
      <c r="E96" s="72" t="str">
        <f ca="1">IFERROR(IF(BM94="Yes",_xlfn.CONCAT("⚠"," ",TEXT(INDEX(InputTbl[],MATCH(D93,InputTbl[Task Name],0),MATCH("Due Date",InputTbl[#Headers],0)),"mm/dd/yyyy")," ","⚠"),INDEX(InputTbl[],MATCH(D93,InputTbl[Task Name],0),MATCH("Due Date",InputTbl[#Headers],0))),"")</f>
        <v/>
      </c>
      <c r="F96" s="72"/>
      <c r="G96" s="18"/>
      <c r="H96" s="67"/>
      <c r="I96" s="18"/>
      <c r="J96" s="21" t="str">
        <f>IF(J93=0,""," "&amp;"Date Due"&amp;": ")</f>
        <v/>
      </c>
      <c r="K96" s="72" t="str">
        <f ca="1">IFERROR(IF(BY94="Yes",_xlfn.CONCAT("⚠"," ",TEXT(INDEX(InputTbl[],MATCH(J93,InputTbl[Task Name],0),MATCH("Due Date",InputTbl[#Headers],0)),"mm/dd/yyyy")," ","⚠"),INDEX(InputTbl[],MATCH(J93,InputTbl[Task Name],0),MATCH("Due Date",InputTbl[#Headers],0))),"")</f>
        <v/>
      </c>
      <c r="L96" s="72"/>
      <c r="M96" s="18"/>
      <c r="N96" s="67"/>
      <c r="O96" s="18"/>
      <c r="P96" s="21" t="str">
        <f>IF(P93=0,""," "&amp;"Date Due"&amp;": ")</f>
        <v/>
      </c>
      <c r="Q96" s="72" t="str">
        <f ca="1">IFERROR(IF(CK94="Yes",_xlfn.CONCAT("⚠"," ",TEXT(INDEX(InputTbl[],MATCH(P93,InputTbl[Task Name],0),MATCH("Due Date",InputTbl[#Headers],0)),"mm/dd/yyyy")," ","⚠"),INDEX(InputTbl[],MATCH(P93,InputTbl[Task Name],0),MATCH("Due Date",InputTbl[#Headers],0))),"")</f>
        <v/>
      </c>
      <c r="R96" s="72"/>
      <c r="S96" s="18"/>
      <c r="T96" s="67"/>
      <c r="U96" s="18"/>
      <c r="V96" s="21" t="str">
        <f>IF(V93=0,""," "&amp;"Date Due"&amp;": ")</f>
        <v/>
      </c>
      <c r="W96" s="72" t="str">
        <f ca="1">IFERROR(IF(CW94="Yes",_xlfn.CONCAT("⚠"," ",TEXT(INDEX(InputTbl[],MATCH(V93,InputTbl[Task Name],0),MATCH("Due Date",InputTbl[#Headers],0)),"mm/dd/yyyy")," ","⚠"),INDEX(InputTbl[],MATCH(V93,InputTbl[Task Name],0),MATCH("Due Date",InputTbl[#Headers],0))),"")</f>
        <v/>
      </c>
      <c r="X96" s="72"/>
      <c r="Y96" s="18"/>
      <c r="Z96" s="67"/>
      <c r="AA96" s="18"/>
      <c r="AB96" s="21" t="str">
        <f>IF(AB93=0,""," "&amp;"Date Due"&amp;": ")</f>
        <v/>
      </c>
      <c r="AC96" s="72" t="str">
        <f ca="1">IFERROR(IF(DI94="Yes",_xlfn.CONCAT("⚠"," ",TEXT(INDEX(InputTbl[],MATCH(AB93,InputTbl[Task Name],0),MATCH("Due Date",InputTbl[#Headers],0)),"mm/dd/yyyy")," ","⚠"),INDEX(InputTbl[],MATCH(AB93,InputTbl[Task Name],0),MATCH("Due Date",InputTbl[#Headers],0))),"")</f>
        <v/>
      </c>
      <c r="AD96" s="72"/>
      <c r="AE96" s="18"/>
      <c r="AF96" s="67"/>
      <c r="AG96" s="18"/>
      <c r="AH96" s="21" t="str">
        <f>IF(AH93=0,""," "&amp;"Date Due"&amp;": ")</f>
        <v/>
      </c>
      <c r="AI96" s="72" t="str">
        <f ca="1">IFERROR(IF(DU94="Yes",_xlfn.CONCAT("⚠"," ",TEXT(INDEX(InputTbl[],MATCH(AH93,InputTbl[Task Name],0),MATCH("Due Date",InputTbl[#Headers],0)),"mm/dd/yyyy")," ","⚠"),INDEX(InputTbl[],MATCH(AH93,InputTbl[Task Name],0),MATCH("Due Date",InputTbl[#Headers],0))),"")</f>
        <v/>
      </c>
      <c r="AJ96" s="72"/>
      <c r="AK96" s="18"/>
      <c r="AL96" s="67"/>
      <c r="AM96" s="18"/>
      <c r="AN96" s="21" t="str">
        <f>IF(AN93=0,""," "&amp;"Date Due"&amp;": ")</f>
        <v/>
      </c>
      <c r="AO96" s="72" t="str">
        <f ca="1">IFERROR(IF(EG94="Yes",_xlfn.CONCAT("⚠"," ",TEXT(INDEX(InputTbl[],MATCH(AN93,InputTbl[Task Name],0),MATCH("Due Date",InputTbl[#Headers],0)),"mm/dd/yyyy")," ","⚠"),INDEX(InputTbl[],MATCH(AN93,InputTbl[Task Name],0),MATCH("Due Date",InputTbl[#Headers],0))),"")</f>
        <v/>
      </c>
      <c r="AP96" s="72"/>
      <c r="AQ96" s="18"/>
      <c r="AR96" s="67"/>
      <c r="AS96" s="18"/>
      <c r="AT96" s="21" t="str">
        <f>IF(AT93=0,""," "&amp;"Date Due"&amp;": ")</f>
        <v/>
      </c>
      <c r="AU96" s="72" t="str">
        <f ca="1">IFERROR(IF(ES94="Yes",_xlfn.CONCAT("⚠"," ",TEXT(INDEX(InputTbl[],MATCH(AT93,InputTbl[Task Name],0),MATCH("Due Date",InputTbl[#Headers],0)),"mm/dd/yyyy")," ","⚠"),INDEX(InputTbl[],MATCH(AT93,InputTbl[Task Name],0),MATCH("Due Date",InputTbl[#Headers],0))),"")</f>
        <v/>
      </c>
      <c r="AV96" s="72"/>
      <c r="AW96" s="18"/>
      <c r="AX96" s="67"/>
      <c r="AY96" s="18"/>
      <c r="AZ96" s="21" t="str">
        <f>IF(AZ93=0,""," "&amp;"Date Due"&amp;": ")</f>
        <v/>
      </c>
      <c r="BA96" s="72" t="str">
        <f ca="1">IFERROR(IF(FE94="Yes",_xlfn.CONCAT("⚠"," ",TEXT(INDEX(InputTbl[],MATCH(AZ93,InputTbl[Task Name],0),MATCH("Due Date",InputTbl[#Headers],0)),"mm/dd/yyyy")," ","⚠"),INDEX(InputTbl[],MATCH(AZ93,InputTbl[Task Name],0),MATCH("Due Date",InputTbl[#Headers],0))),"")</f>
        <v/>
      </c>
      <c r="BB96" s="72"/>
      <c r="BC96" s="18"/>
      <c r="BD96" s="67"/>
      <c r="BE96" s="18"/>
      <c r="BL96" s="8"/>
      <c r="BM96" s="74"/>
      <c r="BN96" s="74"/>
      <c r="BX96" s="8"/>
      <c r="BY96" s="74"/>
      <c r="BZ96" s="74"/>
      <c r="CJ96" s="8"/>
      <c r="CK96" s="74"/>
      <c r="CL96" s="74"/>
      <c r="CV96" s="8"/>
      <c r="CW96" s="74"/>
      <c r="CX96" s="74"/>
      <c r="DH96" s="8"/>
      <c r="DI96" s="74"/>
      <c r="DJ96" s="74"/>
      <c r="DT96" s="8"/>
      <c r="DU96" s="74"/>
      <c r="DV96" s="74"/>
      <c r="EF96" s="8"/>
      <c r="EG96" s="74"/>
      <c r="EH96" s="74"/>
      <c r="ER96" s="8"/>
      <c r="ES96" s="74"/>
      <c r="ET96" s="74"/>
      <c r="FD96" s="8"/>
      <c r="FE96" s="74"/>
      <c r="FF96" s="74"/>
    </row>
    <row r="97" spans="1:162" ht="15" customHeight="1" x14ac:dyDescent="0.25">
      <c r="A97" s="18"/>
      <c r="B97" s="67"/>
      <c r="C97" s="18"/>
      <c r="D97" s="18"/>
      <c r="E97" s="18"/>
      <c r="F97" s="18"/>
      <c r="G97" s="18"/>
      <c r="H97" s="67"/>
      <c r="I97" s="18"/>
      <c r="J97" s="18"/>
      <c r="K97" s="18"/>
      <c r="L97" s="18"/>
      <c r="M97" s="18"/>
      <c r="N97" s="67"/>
      <c r="O97" s="18"/>
      <c r="P97" s="18"/>
      <c r="Q97" s="18"/>
      <c r="R97" s="18"/>
      <c r="S97" s="18"/>
      <c r="T97" s="67"/>
      <c r="U97" s="18"/>
      <c r="V97" s="18"/>
      <c r="W97" s="18"/>
      <c r="X97" s="18"/>
      <c r="Y97" s="18"/>
      <c r="Z97" s="67"/>
      <c r="AA97" s="18"/>
      <c r="AB97" s="18"/>
      <c r="AC97" s="18"/>
      <c r="AD97" s="18"/>
      <c r="AE97" s="18"/>
      <c r="AF97" s="67"/>
      <c r="AG97" s="18"/>
      <c r="AH97" s="18"/>
      <c r="AI97" s="18"/>
      <c r="AJ97" s="18"/>
      <c r="AK97" s="18"/>
      <c r="AL97" s="67"/>
      <c r="AM97" s="18"/>
      <c r="AN97" s="18"/>
      <c r="AO97" s="18"/>
      <c r="AP97" s="18"/>
      <c r="AQ97" s="18"/>
      <c r="AR97" s="67"/>
      <c r="AS97" s="18"/>
      <c r="AT97" s="18"/>
      <c r="AU97" s="18"/>
      <c r="AV97" s="18"/>
      <c r="AW97" s="18"/>
      <c r="AX97" s="67"/>
      <c r="AY97" s="18"/>
      <c r="AZ97" s="18"/>
      <c r="BA97" s="18"/>
      <c r="BB97" s="18"/>
      <c r="BC97" s="18"/>
      <c r="BD97" s="67"/>
      <c r="BE97" s="18"/>
    </row>
    <row r="98" spans="1:162" x14ac:dyDescent="0.25">
      <c r="A98" s="18"/>
      <c r="B98" s="67"/>
      <c r="C98" s="18"/>
      <c r="D98" s="69">
        <f>INDEX(KanbanPrep!$A$5:$S$189,VLOOKUP(ROW(),RowLookupTbl,2,FALSE),SMALL({1,3,5,7,9,11,13,15,17,19},MATCH(D$6,StatusOptions,0)))</f>
        <v>0</v>
      </c>
      <c r="E98" s="69"/>
      <c r="F98" s="70" t="str">
        <f>IFERROR(IF(BM98="Low",2,IF(BM98="Medium",1,0)),"")</f>
        <v/>
      </c>
      <c r="G98" s="18"/>
      <c r="H98" s="67"/>
      <c r="I98" s="18"/>
      <c r="J98" s="69">
        <f>INDEX(KanbanPrep!$A$5:$S$189,VLOOKUP(ROW(),RowLookupTbl,2,FALSE),SMALL({1,3,5,7,9,11,13,15,17,19},MATCH(J$6,StatusOptions,0)))</f>
        <v>0</v>
      </c>
      <c r="K98" s="69"/>
      <c r="L98" s="70" t="str">
        <f>IFERROR(IF(BY98="Low",2,IF(BY98="Medium",1,0)),"")</f>
        <v/>
      </c>
      <c r="M98" s="18"/>
      <c r="N98" s="67"/>
      <c r="O98" s="18"/>
      <c r="P98" s="69">
        <f>INDEX(KanbanPrep!$A$5:$S$189,VLOOKUP(ROW(),RowLookupTbl,2,FALSE),SMALL({1,3,5,7,9,11,13,15,17,19},MATCH(P$6,StatusOptions,0)))</f>
        <v>0</v>
      </c>
      <c r="Q98" s="69"/>
      <c r="R98" s="70" t="str">
        <f>IFERROR(IF(CK98="Low",2,IF(CK98="Medium",1,0)),"")</f>
        <v/>
      </c>
      <c r="S98" s="18"/>
      <c r="T98" s="67"/>
      <c r="U98" s="18"/>
      <c r="V98" s="69">
        <f>INDEX(KanbanPrep!$A$5:$S$189,VLOOKUP(ROW(),RowLookupTbl,2,FALSE),SMALL({1,3,5,7,9,11,13,15,17,19},MATCH(V$6,StatusOptions,0)))</f>
        <v>0</v>
      </c>
      <c r="W98" s="69"/>
      <c r="X98" s="70" t="str">
        <f>IFERROR(IF(CW98="Low",2,IF(CW98="Medium",1,0)),"")</f>
        <v/>
      </c>
      <c r="Y98" s="18"/>
      <c r="Z98" s="67"/>
      <c r="AA98" s="18"/>
      <c r="AB98" s="69">
        <f>INDEX(KanbanPrep!$A$5:$S$189,VLOOKUP(ROW(),RowLookupTbl,2,FALSE),SMALL({1,3,5,7,9,11,13,15,17,19},MATCH(AB$6,StatusOptions,0)))</f>
        <v>0</v>
      </c>
      <c r="AC98" s="69"/>
      <c r="AD98" s="70" t="str">
        <f>IFERROR(IF(DI98="Low",2,IF(DI98="Medium",1,0)),"")</f>
        <v/>
      </c>
      <c r="AE98" s="18"/>
      <c r="AF98" s="67"/>
      <c r="AG98" s="18"/>
      <c r="AH98" s="69">
        <f>INDEX(KanbanPrep!$A$5:$S$189,VLOOKUP(ROW(),RowLookupTbl,2,FALSE),SMALL({1,3,5,7,9,11,13,15,17,19},MATCH(AH$6,StatusOptions,0)))</f>
        <v>0</v>
      </c>
      <c r="AI98" s="69"/>
      <c r="AJ98" s="70" t="str">
        <f>IFERROR(IF(DU98="Low",2,IF(DU98="Medium",1,0)),"")</f>
        <v/>
      </c>
      <c r="AK98" s="18"/>
      <c r="AL98" s="67"/>
      <c r="AM98" s="18"/>
      <c r="AN98" s="69">
        <f>INDEX(KanbanPrep!$A$5:$S$189,VLOOKUP(ROW(),RowLookupTbl,2,FALSE),SMALL({1,3,5,7,9,11,13,15,17,19},MATCH(AN$6,StatusOptions,0)))</f>
        <v>0</v>
      </c>
      <c r="AO98" s="69"/>
      <c r="AP98" s="70" t="str">
        <f>IFERROR(IF(EG98="Low",2,IF(EG98="Medium",1,0)),"")</f>
        <v/>
      </c>
      <c r="AQ98" s="18"/>
      <c r="AR98" s="67"/>
      <c r="AS98" s="18"/>
      <c r="AT98" s="69">
        <f>INDEX(KanbanPrep!$A$5:$S$189,VLOOKUP(ROW(),RowLookupTbl,2,FALSE),SMALL({1,3,5,7,9,11,13,15,17,19},MATCH(AT$6,StatusOptions,0)))</f>
        <v>0</v>
      </c>
      <c r="AU98" s="69"/>
      <c r="AV98" s="70" t="str">
        <f>IFERROR(IF(ES98="Low",2,IF(ES98="Medium",1,0)),"")</f>
        <v/>
      </c>
      <c r="AW98" s="18"/>
      <c r="AX98" s="67"/>
      <c r="AY98" s="18"/>
      <c r="AZ98" s="69">
        <f>INDEX(KanbanPrep!$A$5:$S$189,VLOOKUP(ROW(),RowLookupTbl,2,FALSE),SMALL({1,3,5,7,9,11,13,15,17,19},MATCH(AZ$6,StatusOptions,0)))</f>
        <v>0</v>
      </c>
      <c r="BA98" s="69"/>
      <c r="BB98" s="70" t="str">
        <f>IFERROR(IF(FE98="Low",2,IF(FE98="Medium",1,0)),"")</f>
        <v/>
      </c>
      <c r="BC98" s="18"/>
      <c r="BD98" s="67"/>
      <c r="BE98" s="18"/>
      <c r="BL98" s="13" t="s">
        <v>60</v>
      </c>
      <c r="BM98" s="13" t="e">
        <f>INDEX(InputTbl[],MATCH(D98,InputTbl[Task Name],0),MATCH("Priority",InputTbl[#Headers],0))</f>
        <v>#N/A</v>
      </c>
      <c r="BN98" s="73"/>
      <c r="BX98" s="13" t="s">
        <v>60</v>
      </c>
      <c r="BY98" s="13" t="e">
        <f>INDEX(InputTbl[],MATCH(J98,InputTbl[Task Name],0),MATCH("Priority",InputTbl[#Headers],0))</f>
        <v>#N/A</v>
      </c>
      <c r="BZ98" s="73"/>
      <c r="CJ98" s="13" t="s">
        <v>60</v>
      </c>
      <c r="CK98" s="13" t="e">
        <f>INDEX(InputTbl[],MATCH(P98,InputTbl[Task Name],0),MATCH("Priority",InputTbl[#Headers],0))</f>
        <v>#N/A</v>
      </c>
      <c r="CL98" s="73"/>
      <c r="CV98" s="13" t="s">
        <v>60</v>
      </c>
      <c r="CW98" s="13" t="e">
        <f>INDEX(InputTbl[],MATCH(V98,InputTbl[Task Name],0),MATCH("Priority",InputTbl[#Headers],0))</f>
        <v>#N/A</v>
      </c>
      <c r="CX98" s="73"/>
      <c r="DH98" s="13" t="s">
        <v>60</v>
      </c>
      <c r="DI98" s="13" t="e">
        <f>INDEX(InputTbl[],MATCH(AB98,InputTbl[Task Name],0),MATCH("Priority",InputTbl[#Headers],0))</f>
        <v>#N/A</v>
      </c>
      <c r="DJ98" s="73"/>
      <c r="DT98" s="13" t="s">
        <v>60</v>
      </c>
      <c r="DU98" s="13" t="e">
        <f>INDEX(InputTbl[],MATCH(AH98,InputTbl[Task Name],0),MATCH("Priority",InputTbl[#Headers],0))</f>
        <v>#N/A</v>
      </c>
      <c r="DV98" s="73"/>
      <c r="EF98" s="13" t="s">
        <v>60</v>
      </c>
      <c r="EG98" s="13" t="e">
        <f>INDEX(InputTbl[],MATCH(AN98,InputTbl[Task Name],0),MATCH("Priority",InputTbl[#Headers],0))</f>
        <v>#N/A</v>
      </c>
      <c r="EH98" s="73"/>
      <c r="ER98" s="13" t="s">
        <v>60</v>
      </c>
      <c r="ES98" s="13" t="e">
        <f>INDEX(InputTbl[],MATCH(AT98,InputTbl[Task Name],0),MATCH("Priority",InputTbl[#Headers],0))</f>
        <v>#N/A</v>
      </c>
      <c r="ET98" s="73"/>
      <c r="FD98" s="13" t="s">
        <v>60</v>
      </c>
      <c r="FE98" s="13" t="e">
        <f>INDEX(InputTbl[],MATCH(AZ98,InputTbl[Task Name],0),MATCH("Priority",InputTbl[#Headers],0))</f>
        <v>#N/A</v>
      </c>
      <c r="FF98" s="73"/>
    </row>
    <row r="99" spans="1:162" x14ac:dyDescent="0.25">
      <c r="A99" s="18"/>
      <c r="B99" s="67"/>
      <c r="C99" s="18"/>
      <c r="D99" s="69"/>
      <c r="E99" s="69"/>
      <c r="F99" s="70"/>
      <c r="G99" s="18"/>
      <c r="H99" s="67"/>
      <c r="I99" s="18"/>
      <c r="J99" s="69"/>
      <c r="K99" s="69"/>
      <c r="L99" s="70"/>
      <c r="M99" s="18"/>
      <c r="N99" s="67"/>
      <c r="O99" s="18"/>
      <c r="P99" s="69"/>
      <c r="Q99" s="69"/>
      <c r="R99" s="70"/>
      <c r="S99" s="18"/>
      <c r="T99" s="67"/>
      <c r="U99" s="18"/>
      <c r="V99" s="69"/>
      <c r="W99" s="69"/>
      <c r="X99" s="70"/>
      <c r="Y99" s="18"/>
      <c r="Z99" s="67"/>
      <c r="AA99" s="18"/>
      <c r="AB99" s="69"/>
      <c r="AC99" s="69"/>
      <c r="AD99" s="70"/>
      <c r="AE99" s="18"/>
      <c r="AF99" s="67"/>
      <c r="AG99" s="18"/>
      <c r="AH99" s="69"/>
      <c r="AI99" s="69"/>
      <c r="AJ99" s="70"/>
      <c r="AK99" s="18"/>
      <c r="AL99" s="67"/>
      <c r="AM99" s="18"/>
      <c r="AN99" s="69"/>
      <c r="AO99" s="69"/>
      <c r="AP99" s="70"/>
      <c r="AQ99" s="18"/>
      <c r="AR99" s="67"/>
      <c r="AS99" s="18"/>
      <c r="AT99" s="69"/>
      <c r="AU99" s="69"/>
      <c r="AV99" s="70"/>
      <c r="AW99" s="18"/>
      <c r="AX99" s="67"/>
      <c r="AY99" s="18"/>
      <c r="AZ99" s="69"/>
      <c r="BA99" s="69"/>
      <c r="BB99" s="70"/>
      <c r="BC99" s="18"/>
      <c r="BD99" s="67"/>
      <c r="BE99" s="18"/>
      <c r="BL99" s="13" t="s">
        <v>72</v>
      </c>
      <c r="BM99" s="13" t="str">
        <f ca="1">INDEX(DataTbl[],MATCH(D98,DataTbl[Task Name],0),MATCH("Overdue",DataTbl[#Headers],0))</f>
        <v>No</v>
      </c>
      <c r="BN99" s="73"/>
      <c r="BX99" s="13" t="s">
        <v>72</v>
      </c>
      <c r="BY99" s="13" t="str">
        <f ca="1">INDEX(DataTbl[],MATCH(J98,DataTbl[Task Name],0),MATCH("Overdue",DataTbl[#Headers],0))</f>
        <v>No</v>
      </c>
      <c r="BZ99" s="73"/>
      <c r="CJ99" s="13" t="s">
        <v>72</v>
      </c>
      <c r="CK99" s="13" t="str">
        <f ca="1">INDEX(DataTbl[],MATCH(P98,DataTbl[Task Name],0),MATCH("Overdue",DataTbl[#Headers],0))</f>
        <v>No</v>
      </c>
      <c r="CL99" s="73"/>
      <c r="CV99" s="13" t="s">
        <v>72</v>
      </c>
      <c r="CW99" s="13" t="str">
        <f ca="1">INDEX(DataTbl[],MATCH(V98,DataTbl[Task Name],0),MATCH("Overdue",DataTbl[#Headers],0))</f>
        <v>No</v>
      </c>
      <c r="CX99" s="73"/>
      <c r="DH99" s="13" t="s">
        <v>72</v>
      </c>
      <c r="DI99" s="13" t="str">
        <f ca="1">INDEX(DataTbl[],MATCH(AB98,DataTbl[Task Name],0),MATCH("Overdue",DataTbl[#Headers],0))</f>
        <v>No</v>
      </c>
      <c r="DJ99" s="73"/>
      <c r="DT99" s="13" t="s">
        <v>72</v>
      </c>
      <c r="DU99" s="13" t="str">
        <f ca="1">INDEX(DataTbl[],MATCH(AH98,DataTbl[Task Name],0),MATCH("Overdue",DataTbl[#Headers],0))</f>
        <v>No</v>
      </c>
      <c r="DV99" s="73"/>
      <c r="EF99" s="13" t="s">
        <v>72</v>
      </c>
      <c r="EG99" s="13" t="str">
        <f ca="1">INDEX(DataTbl[],MATCH(AN98,DataTbl[Task Name],0),MATCH("Overdue",DataTbl[#Headers],0))</f>
        <v>No</v>
      </c>
      <c r="EH99" s="73"/>
      <c r="ER99" s="13" t="s">
        <v>72</v>
      </c>
      <c r="ES99" s="13" t="str">
        <f ca="1">INDEX(DataTbl[],MATCH(AT98,DataTbl[Task Name],0),MATCH("Overdue",DataTbl[#Headers],0))</f>
        <v>No</v>
      </c>
      <c r="ET99" s="73"/>
      <c r="FD99" s="13" t="s">
        <v>72</v>
      </c>
      <c r="FE99" s="13" t="str">
        <f ca="1">INDEX(DataTbl[],MATCH(AZ98,DataTbl[Task Name],0),MATCH("Overdue",DataTbl[#Headers],0))</f>
        <v>No</v>
      </c>
      <c r="FF99" s="73"/>
    </row>
    <row r="100" spans="1:162" x14ac:dyDescent="0.25">
      <c r="A100" s="18"/>
      <c r="B100" s="67"/>
      <c r="C100" s="18"/>
      <c r="D100" s="20" t="str">
        <f>IF(D98=0,""," "&amp;"Assigned To"&amp;": ")</f>
        <v/>
      </c>
      <c r="E100" s="71" t="str">
        <f>IFERROR(INDEX(InputTbl[],MATCH(D98,InputTbl[Task Name],0),MATCH("Assigned To",InputTbl[#Headers],0)),"")</f>
        <v/>
      </c>
      <c r="F100" s="71"/>
      <c r="G100" s="18"/>
      <c r="H100" s="67"/>
      <c r="I100" s="18"/>
      <c r="J100" s="20" t="str">
        <f>IF(J98=0,""," "&amp;"Assigned To"&amp;": ")</f>
        <v/>
      </c>
      <c r="K100" s="71" t="str">
        <f>IFERROR(INDEX(InputTbl[],MATCH(J98,InputTbl[Task Name],0),MATCH("Assigned To",InputTbl[#Headers],0)),"")</f>
        <v/>
      </c>
      <c r="L100" s="71"/>
      <c r="M100" s="18"/>
      <c r="N100" s="67"/>
      <c r="O100" s="18"/>
      <c r="P100" s="20" t="str">
        <f>IF(P98=0,""," "&amp;"Assigned To"&amp;": ")</f>
        <v/>
      </c>
      <c r="Q100" s="71" t="str">
        <f>IFERROR(INDEX(InputTbl[],MATCH(P98,InputTbl[Task Name],0),MATCH("Assigned To",InputTbl[#Headers],0)),"")</f>
        <v/>
      </c>
      <c r="R100" s="71"/>
      <c r="S100" s="18"/>
      <c r="T100" s="67"/>
      <c r="U100" s="18"/>
      <c r="V100" s="20" t="str">
        <f>IF(V98=0,""," "&amp;"Assigned To"&amp;": ")</f>
        <v/>
      </c>
      <c r="W100" s="71" t="str">
        <f>IFERROR(INDEX(InputTbl[],MATCH(V98,InputTbl[Task Name],0),MATCH("Assigned To",InputTbl[#Headers],0)),"")</f>
        <v/>
      </c>
      <c r="X100" s="71"/>
      <c r="Y100" s="18"/>
      <c r="Z100" s="67"/>
      <c r="AA100" s="18"/>
      <c r="AB100" s="20" t="str">
        <f>IF(AB98=0,""," "&amp;"Assigned To"&amp;": ")</f>
        <v/>
      </c>
      <c r="AC100" s="71" t="str">
        <f>IFERROR(INDEX(InputTbl[],MATCH(AB98,InputTbl[Task Name],0),MATCH("Assigned To",InputTbl[#Headers],0)),"")</f>
        <v/>
      </c>
      <c r="AD100" s="71"/>
      <c r="AE100" s="18"/>
      <c r="AF100" s="67"/>
      <c r="AG100" s="18"/>
      <c r="AH100" s="20" t="str">
        <f>IF(AH98=0,""," "&amp;"Assigned To"&amp;": ")</f>
        <v/>
      </c>
      <c r="AI100" s="71" t="str">
        <f>IFERROR(INDEX(InputTbl[],MATCH(AH98,InputTbl[Task Name],0),MATCH("Assigned To",InputTbl[#Headers],0)),"")</f>
        <v/>
      </c>
      <c r="AJ100" s="71"/>
      <c r="AK100" s="18"/>
      <c r="AL100" s="67"/>
      <c r="AM100" s="18"/>
      <c r="AN100" s="20" t="str">
        <f>IF(AN98=0,""," "&amp;"Assigned To"&amp;": ")</f>
        <v/>
      </c>
      <c r="AO100" s="71" t="str">
        <f>IFERROR(INDEX(InputTbl[],MATCH(AN98,InputTbl[Task Name],0),MATCH("Assigned To",InputTbl[#Headers],0)),"")</f>
        <v/>
      </c>
      <c r="AP100" s="71"/>
      <c r="AQ100" s="18"/>
      <c r="AR100" s="67"/>
      <c r="AS100" s="18"/>
      <c r="AT100" s="20" t="str">
        <f>IF(AT98=0,""," "&amp;"Assigned To"&amp;": ")</f>
        <v/>
      </c>
      <c r="AU100" s="71" t="str">
        <f>IFERROR(INDEX(InputTbl[],MATCH(AT98,InputTbl[Task Name],0),MATCH("Assigned To",InputTbl[#Headers],0)),"")</f>
        <v/>
      </c>
      <c r="AV100" s="71"/>
      <c r="AW100" s="18"/>
      <c r="AX100" s="67"/>
      <c r="AY100" s="18"/>
      <c r="AZ100" s="20" t="str">
        <f>IF(AZ98=0,""," "&amp;"Assigned To"&amp;": ")</f>
        <v/>
      </c>
      <c r="BA100" s="71" t="str">
        <f>IFERROR(INDEX(InputTbl[],MATCH(AZ98,InputTbl[Task Name],0),MATCH("Assigned To",InputTbl[#Headers],0)),"")</f>
        <v/>
      </c>
      <c r="BB100" s="71"/>
      <c r="BC100" s="18"/>
      <c r="BD100" s="67"/>
      <c r="BE100" s="18"/>
      <c r="BL100" s="7"/>
      <c r="BM100" s="75"/>
      <c r="BN100" s="75"/>
      <c r="BX100" s="7"/>
      <c r="BY100" s="75"/>
      <c r="BZ100" s="75"/>
      <c r="CJ100" s="7"/>
      <c r="CK100" s="75"/>
      <c r="CL100" s="75"/>
      <c r="CV100" s="7"/>
      <c r="CW100" s="75"/>
      <c r="CX100" s="75"/>
      <c r="DH100" s="7"/>
      <c r="DI100" s="75"/>
      <c r="DJ100" s="75"/>
      <c r="DT100" s="7"/>
      <c r="DU100" s="75"/>
      <c r="DV100" s="75"/>
      <c r="EF100" s="7"/>
      <c r="EG100" s="75"/>
      <c r="EH100" s="75"/>
      <c r="ER100" s="7"/>
      <c r="ES100" s="75"/>
      <c r="ET100" s="75"/>
      <c r="FD100" s="7"/>
      <c r="FE100" s="75"/>
      <c r="FF100" s="75"/>
    </row>
    <row r="101" spans="1:162" x14ac:dyDescent="0.25">
      <c r="A101" s="18"/>
      <c r="B101" s="67"/>
      <c r="C101" s="18"/>
      <c r="D101" s="21" t="str">
        <f>IF(D98=0,""," "&amp;"Date Due"&amp;": ")</f>
        <v/>
      </c>
      <c r="E101" s="72" t="str">
        <f ca="1">IFERROR(IF(BM99="Yes",_xlfn.CONCAT("⚠"," ",TEXT(INDEX(InputTbl[],MATCH(D98,InputTbl[Task Name],0),MATCH("Due Date",InputTbl[#Headers],0)),"mm/dd/yyyy")," ","⚠"),INDEX(InputTbl[],MATCH(D98,InputTbl[Task Name],0),MATCH("Due Date",InputTbl[#Headers],0))),"")</f>
        <v/>
      </c>
      <c r="F101" s="72"/>
      <c r="G101" s="18"/>
      <c r="H101" s="67"/>
      <c r="I101" s="18"/>
      <c r="J101" s="21" t="str">
        <f>IF(J98=0,""," "&amp;"Date Due"&amp;": ")</f>
        <v/>
      </c>
      <c r="K101" s="72" t="str">
        <f ca="1">IFERROR(IF(BY99="Yes",_xlfn.CONCAT("⚠"," ",TEXT(INDEX(InputTbl[],MATCH(J98,InputTbl[Task Name],0),MATCH("Due Date",InputTbl[#Headers],0)),"mm/dd/yyyy")," ","⚠"),INDEX(InputTbl[],MATCH(J98,InputTbl[Task Name],0),MATCH("Due Date",InputTbl[#Headers],0))),"")</f>
        <v/>
      </c>
      <c r="L101" s="72"/>
      <c r="M101" s="18"/>
      <c r="N101" s="67"/>
      <c r="O101" s="18"/>
      <c r="P101" s="21" t="str">
        <f>IF(P98=0,""," "&amp;"Date Due"&amp;": ")</f>
        <v/>
      </c>
      <c r="Q101" s="72" t="str">
        <f ca="1">IFERROR(IF(CK99="Yes",_xlfn.CONCAT("⚠"," ",TEXT(INDEX(InputTbl[],MATCH(P98,InputTbl[Task Name],0),MATCH("Due Date",InputTbl[#Headers],0)),"mm/dd/yyyy")," ","⚠"),INDEX(InputTbl[],MATCH(P98,InputTbl[Task Name],0),MATCH("Due Date",InputTbl[#Headers],0))),"")</f>
        <v/>
      </c>
      <c r="R101" s="72"/>
      <c r="S101" s="18"/>
      <c r="T101" s="67"/>
      <c r="U101" s="18"/>
      <c r="V101" s="21" t="str">
        <f>IF(V98=0,""," "&amp;"Date Due"&amp;": ")</f>
        <v/>
      </c>
      <c r="W101" s="72" t="str">
        <f ca="1">IFERROR(IF(CW99="Yes",_xlfn.CONCAT("⚠"," ",TEXT(INDEX(InputTbl[],MATCH(V98,InputTbl[Task Name],0),MATCH("Due Date",InputTbl[#Headers],0)),"mm/dd/yyyy")," ","⚠"),INDEX(InputTbl[],MATCH(V98,InputTbl[Task Name],0),MATCH("Due Date",InputTbl[#Headers],0))),"")</f>
        <v/>
      </c>
      <c r="X101" s="72"/>
      <c r="Y101" s="18"/>
      <c r="Z101" s="67"/>
      <c r="AA101" s="18"/>
      <c r="AB101" s="21" t="str">
        <f>IF(AB98=0,""," "&amp;"Date Due"&amp;": ")</f>
        <v/>
      </c>
      <c r="AC101" s="72" t="str">
        <f ca="1">IFERROR(IF(DI99="Yes",_xlfn.CONCAT("⚠"," ",TEXT(INDEX(InputTbl[],MATCH(AB98,InputTbl[Task Name],0),MATCH("Due Date",InputTbl[#Headers],0)),"mm/dd/yyyy")," ","⚠"),INDEX(InputTbl[],MATCH(AB98,InputTbl[Task Name],0),MATCH("Due Date",InputTbl[#Headers],0))),"")</f>
        <v/>
      </c>
      <c r="AD101" s="72"/>
      <c r="AE101" s="18"/>
      <c r="AF101" s="67"/>
      <c r="AG101" s="18"/>
      <c r="AH101" s="21" t="str">
        <f>IF(AH98=0,""," "&amp;"Date Due"&amp;": ")</f>
        <v/>
      </c>
      <c r="AI101" s="72" t="str">
        <f ca="1">IFERROR(IF(DU99="Yes",_xlfn.CONCAT("⚠"," ",TEXT(INDEX(InputTbl[],MATCH(AH98,InputTbl[Task Name],0),MATCH("Due Date",InputTbl[#Headers],0)),"mm/dd/yyyy")," ","⚠"),INDEX(InputTbl[],MATCH(AH98,InputTbl[Task Name],0),MATCH("Due Date",InputTbl[#Headers],0))),"")</f>
        <v/>
      </c>
      <c r="AJ101" s="72"/>
      <c r="AK101" s="18"/>
      <c r="AL101" s="67"/>
      <c r="AM101" s="18"/>
      <c r="AN101" s="21" t="str">
        <f>IF(AN98=0,""," "&amp;"Date Due"&amp;": ")</f>
        <v/>
      </c>
      <c r="AO101" s="72" t="str">
        <f ca="1">IFERROR(IF(EG99="Yes",_xlfn.CONCAT("⚠"," ",TEXT(INDEX(InputTbl[],MATCH(AN98,InputTbl[Task Name],0),MATCH("Due Date",InputTbl[#Headers],0)),"mm/dd/yyyy")," ","⚠"),INDEX(InputTbl[],MATCH(AN98,InputTbl[Task Name],0),MATCH("Due Date",InputTbl[#Headers],0))),"")</f>
        <v/>
      </c>
      <c r="AP101" s="72"/>
      <c r="AQ101" s="18"/>
      <c r="AR101" s="67"/>
      <c r="AS101" s="18"/>
      <c r="AT101" s="21" t="str">
        <f>IF(AT98=0,""," "&amp;"Date Due"&amp;": ")</f>
        <v/>
      </c>
      <c r="AU101" s="72" t="str">
        <f ca="1">IFERROR(IF(ES99="Yes",_xlfn.CONCAT("⚠"," ",TEXT(INDEX(InputTbl[],MATCH(AT98,InputTbl[Task Name],0),MATCH("Due Date",InputTbl[#Headers],0)),"mm/dd/yyyy")," ","⚠"),INDEX(InputTbl[],MATCH(AT98,InputTbl[Task Name],0),MATCH("Due Date",InputTbl[#Headers],0))),"")</f>
        <v/>
      </c>
      <c r="AV101" s="72"/>
      <c r="AW101" s="18"/>
      <c r="AX101" s="67"/>
      <c r="AY101" s="18"/>
      <c r="AZ101" s="21" t="str">
        <f>IF(AZ98=0,""," "&amp;"Date Due"&amp;": ")</f>
        <v/>
      </c>
      <c r="BA101" s="72" t="str">
        <f ca="1">IFERROR(IF(FE99="Yes",_xlfn.CONCAT("⚠"," ",TEXT(INDEX(InputTbl[],MATCH(AZ98,InputTbl[Task Name],0),MATCH("Due Date",InputTbl[#Headers],0)),"mm/dd/yyyy")," ","⚠"),INDEX(InputTbl[],MATCH(AZ98,InputTbl[Task Name],0),MATCH("Due Date",InputTbl[#Headers],0))),"")</f>
        <v/>
      </c>
      <c r="BB101" s="72"/>
      <c r="BC101" s="18"/>
      <c r="BD101" s="67"/>
      <c r="BE101" s="18"/>
      <c r="BL101" s="8"/>
      <c r="BM101" s="74"/>
      <c r="BN101" s="74"/>
      <c r="BX101" s="8"/>
      <c r="BY101" s="74"/>
      <c r="BZ101" s="74"/>
      <c r="CJ101" s="8"/>
      <c r="CK101" s="74"/>
      <c r="CL101" s="74"/>
      <c r="CV101" s="8"/>
      <c r="CW101" s="74"/>
      <c r="CX101" s="74"/>
      <c r="DH101" s="8"/>
      <c r="DI101" s="74"/>
      <c r="DJ101" s="74"/>
      <c r="DT101" s="8"/>
      <c r="DU101" s="74"/>
      <c r="DV101" s="74"/>
      <c r="EF101" s="8"/>
      <c r="EG101" s="74"/>
      <c r="EH101" s="74"/>
      <c r="ER101" s="8"/>
      <c r="ES101" s="74"/>
      <c r="ET101" s="74"/>
      <c r="FD101" s="8"/>
      <c r="FE101" s="74"/>
      <c r="FF101" s="74"/>
    </row>
    <row r="102" spans="1:162" ht="15" customHeight="1" x14ac:dyDescent="0.25">
      <c r="A102" s="18"/>
      <c r="B102" s="67"/>
      <c r="C102" s="18"/>
      <c r="D102" s="18"/>
      <c r="E102" s="18"/>
      <c r="F102" s="18"/>
      <c r="G102" s="18"/>
      <c r="H102" s="67"/>
      <c r="I102" s="18"/>
      <c r="J102" s="18"/>
      <c r="K102" s="18"/>
      <c r="L102" s="18"/>
      <c r="M102" s="18"/>
      <c r="N102" s="67"/>
      <c r="O102" s="18"/>
      <c r="P102" s="18"/>
      <c r="Q102" s="18"/>
      <c r="R102" s="18"/>
      <c r="S102" s="18"/>
      <c r="T102" s="67"/>
      <c r="U102" s="18"/>
      <c r="V102" s="18"/>
      <c r="W102" s="18"/>
      <c r="X102" s="18"/>
      <c r="Y102" s="18"/>
      <c r="Z102" s="67"/>
      <c r="AA102" s="18"/>
      <c r="AB102" s="18"/>
      <c r="AC102" s="18"/>
      <c r="AD102" s="18"/>
      <c r="AE102" s="18"/>
      <c r="AF102" s="67"/>
      <c r="AG102" s="18"/>
      <c r="AH102" s="18"/>
      <c r="AI102" s="18"/>
      <c r="AJ102" s="18"/>
      <c r="AK102" s="18"/>
      <c r="AL102" s="67"/>
      <c r="AM102" s="18"/>
      <c r="AN102" s="18"/>
      <c r="AO102" s="18"/>
      <c r="AP102" s="18"/>
      <c r="AQ102" s="18"/>
      <c r="AR102" s="67"/>
      <c r="AS102" s="18"/>
      <c r="AT102" s="18"/>
      <c r="AU102" s="18"/>
      <c r="AV102" s="18"/>
      <c r="AW102" s="18"/>
      <c r="AX102" s="67"/>
      <c r="AY102" s="18"/>
      <c r="AZ102" s="18"/>
      <c r="BA102" s="18"/>
      <c r="BB102" s="18"/>
      <c r="BC102" s="18"/>
      <c r="BD102" s="67"/>
      <c r="BE102" s="18"/>
    </row>
    <row r="103" spans="1:162" x14ac:dyDescent="0.25">
      <c r="A103" s="18"/>
      <c r="B103" s="67"/>
      <c r="C103" s="18"/>
      <c r="D103" s="69">
        <f>INDEX(KanbanPrep!$A$5:$S$189,VLOOKUP(ROW(),RowLookupTbl,2,FALSE),SMALL({1,3,5,7,9,11,13,15,17,19},MATCH(D$6,StatusOptions,0)))</f>
        <v>0</v>
      </c>
      <c r="E103" s="69"/>
      <c r="F103" s="70" t="str">
        <f>IFERROR(IF(BM103="Low",2,IF(BM103="Medium",1,0)),"")</f>
        <v/>
      </c>
      <c r="G103" s="18"/>
      <c r="H103" s="67"/>
      <c r="I103" s="18"/>
      <c r="J103" s="69">
        <f>INDEX(KanbanPrep!$A$5:$S$189,VLOOKUP(ROW(),RowLookupTbl,2,FALSE),SMALL({1,3,5,7,9,11,13,15,17,19},MATCH(J$6,StatusOptions,0)))</f>
        <v>0</v>
      </c>
      <c r="K103" s="69"/>
      <c r="L103" s="70" t="str">
        <f>IFERROR(IF(BY103="Low",2,IF(BY103="Medium",1,0)),"")</f>
        <v/>
      </c>
      <c r="M103" s="18"/>
      <c r="N103" s="67"/>
      <c r="O103" s="18"/>
      <c r="P103" s="69">
        <f>INDEX(KanbanPrep!$A$5:$S$189,VLOOKUP(ROW(),RowLookupTbl,2,FALSE),SMALL({1,3,5,7,9,11,13,15,17,19},MATCH(P$6,StatusOptions,0)))</f>
        <v>0</v>
      </c>
      <c r="Q103" s="69"/>
      <c r="R103" s="70" t="str">
        <f>IFERROR(IF(CK103="Low",2,IF(CK103="Medium",1,0)),"")</f>
        <v/>
      </c>
      <c r="S103" s="18"/>
      <c r="T103" s="67"/>
      <c r="U103" s="18"/>
      <c r="V103" s="69">
        <f>INDEX(KanbanPrep!$A$5:$S$189,VLOOKUP(ROW(),RowLookupTbl,2,FALSE),SMALL({1,3,5,7,9,11,13,15,17,19},MATCH(V$6,StatusOptions,0)))</f>
        <v>0</v>
      </c>
      <c r="W103" s="69"/>
      <c r="X103" s="70" t="str">
        <f>IFERROR(IF(CW103="Low",2,IF(CW103="Medium",1,0)),"")</f>
        <v/>
      </c>
      <c r="Y103" s="18"/>
      <c r="Z103" s="67"/>
      <c r="AA103" s="18"/>
      <c r="AB103" s="69">
        <f>INDEX(KanbanPrep!$A$5:$S$189,VLOOKUP(ROW(),RowLookupTbl,2,FALSE),SMALL({1,3,5,7,9,11,13,15,17,19},MATCH(AB$6,StatusOptions,0)))</f>
        <v>0</v>
      </c>
      <c r="AC103" s="69"/>
      <c r="AD103" s="70" t="str">
        <f>IFERROR(IF(DI103="Low",2,IF(DI103="Medium",1,0)),"")</f>
        <v/>
      </c>
      <c r="AE103" s="18"/>
      <c r="AF103" s="67"/>
      <c r="AG103" s="18"/>
      <c r="AH103" s="69">
        <f>INDEX(KanbanPrep!$A$5:$S$189,VLOOKUP(ROW(),RowLookupTbl,2,FALSE),SMALL({1,3,5,7,9,11,13,15,17,19},MATCH(AH$6,StatusOptions,0)))</f>
        <v>0</v>
      </c>
      <c r="AI103" s="69"/>
      <c r="AJ103" s="70" t="str">
        <f>IFERROR(IF(DU103="Low",2,IF(DU103="Medium",1,0)),"")</f>
        <v/>
      </c>
      <c r="AK103" s="18"/>
      <c r="AL103" s="67"/>
      <c r="AM103" s="18"/>
      <c r="AN103" s="69">
        <f>INDEX(KanbanPrep!$A$5:$S$189,VLOOKUP(ROW(),RowLookupTbl,2,FALSE),SMALL({1,3,5,7,9,11,13,15,17,19},MATCH(AN$6,StatusOptions,0)))</f>
        <v>0</v>
      </c>
      <c r="AO103" s="69"/>
      <c r="AP103" s="70" t="str">
        <f>IFERROR(IF(EG103="Low",2,IF(EG103="Medium",1,0)),"")</f>
        <v/>
      </c>
      <c r="AQ103" s="18"/>
      <c r="AR103" s="67"/>
      <c r="AS103" s="18"/>
      <c r="AT103" s="69">
        <f>INDEX(KanbanPrep!$A$5:$S$189,VLOOKUP(ROW(),RowLookupTbl,2,FALSE),SMALL({1,3,5,7,9,11,13,15,17,19},MATCH(AT$6,StatusOptions,0)))</f>
        <v>0</v>
      </c>
      <c r="AU103" s="69"/>
      <c r="AV103" s="70" t="str">
        <f>IFERROR(IF(ES103="Low",2,IF(ES103="Medium",1,0)),"")</f>
        <v/>
      </c>
      <c r="AW103" s="18"/>
      <c r="AX103" s="67"/>
      <c r="AY103" s="18"/>
      <c r="AZ103" s="69">
        <f>INDEX(KanbanPrep!$A$5:$S$189,VLOOKUP(ROW(),RowLookupTbl,2,FALSE),SMALL({1,3,5,7,9,11,13,15,17,19},MATCH(AZ$6,StatusOptions,0)))</f>
        <v>0</v>
      </c>
      <c r="BA103" s="69"/>
      <c r="BB103" s="70" t="str">
        <f>IFERROR(IF(FE103="Low",2,IF(FE103="Medium",1,0)),"")</f>
        <v/>
      </c>
      <c r="BC103" s="18"/>
      <c r="BD103" s="67"/>
      <c r="BE103" s="18"/>
      <c r="BL103" s="13" t="s">
        <v>60</v>
      </c>
      <c r="BM103" s="13" t="e">
        <f>INDEX(InputTbl[],MATCH(D103,InputTbl[Task Name],0),MATCH("Priority",InputTbl[#Headers],0))</f>
        <v>#N/A</v>
      </c>
      <c r="BN103" s="73"/>
      <c r="BX103" s="13" t="s">
        <v>60</v>
      </c>
      <c r="BY103" s="13" t="e">
        <f>INDEX(InputTbl[],MATCH(J103,InputTbl[Task Name],0),MATCH("Priority",InputTbl[#Headers],0))</f>
        <v>#N/A</v>
      </c>
      <c r="BZ103" s="73"/>
      <c r="CJ103" s="13" t="s">
        <v>60</v>
      </c>
      <c r="CK103" s="13" t="e">
        <f>INDEX(InputTbl[],MATCH(P103,InputTbl[Task Name],0),MATCH("Priority",InputTbl[#Headers],0))</f>
        <v>#N/A</v>
      </c>
      <c r="CL103" s="73"/>
      <c r="CV103" s="13" t="s">
        <v>60</v>
      </c>
      <c r="CW103" s="13" t="e">
        <f>INDEX(InputTbl[],MATCH(V103,InputTbl[Task Name],0),MATCH("Priority",InputTbl[#Headers],0))</f>
        <v>#N/A</v>
      </c>
      <c r="CX103" s="73"/>
      <c r="DH103" s="13" t="s">
        <v>60</v>
      </c>
      <c r="DI103" s="13" t="e">
        <f>INDEX(InputTbl[],MATCH(AB103,InputTbl[Task Name],0),MATCH("Priority",InputTbl[#Headers],0))</f>
        <v>#N/A</v>
      </c>
      <c r="DJ103" s="73"/>
      <c r="DT103" s="13" t="s">
        <v>60</v>
      </c>
      <c r="DU103" s="13" t="e">
        <f>INDEX(InputTbl[],MATCH(AH103,InputTbl[Task Name],0),MATCH("Priority",InputTbl[#Headers],0))</f>
        <v>#N/A</v>
      </c>
      <c r="DV103" s="73"/>
      <c r="EF103" s="13" t="s">
        <v>60</v>
      </c>
      <c r="EG103" s="13" t="e">
        <f>INDEX(InputTbl[],MATCH(AN103,InputTbl[Task Name],0),MATCH("Priority",InputTbl[#Headers],0))</f>
        <v>#N/A</v>
      </c>
      <c r="EH103" s="73"/>
      <c r="ER103" s="13" t="s">
        <v>60</v>
      </c>
      <c r="ES103" s="13" t="e">
        <f>INDEX(InputTbl[],MATCH(AT103,InputTbl[Task Name],0),MATCH("Priority",InputTbl[#Headers],0))</f>
        <v>#N/A</v>
      </c>
      <c r="ET103" s="73"/>
      <c r="FD103" s="13" t="s">
        <v>60</v>
      </c>
      <c r="FE103" s="13" t="e">
        <f>INDEX(InputTbl[],MATCH(AZ103,InputTbl[Task Name],0),MATCH("Priority",InputTbl[#Headers],0))</f>
        <v>#N/A</v>
      </c>
      <c r="FF103" s="73"/>
    </row>
    <row r="104" spans="1:162" x14ac:dyDescent="0.25">
      <c r="A104" s="18"/>
      <c r="B104" s="67"/>
      <c r="C104" s="18"/>
      <c r="D104" s="69"/>
      <c r="E104" s="69"/>
      <c r="F104" s="70"/>
      <c r="G104" s="18"/>
      <c r="H104" s="67"/>
      <c r="I104" s="18"/>
      <c r="J104" s="69"/>
      <c r="K104" s="69"/>
      <c r="L104" s="70"/>
      <c r="M104" s="18"/>
      <c r="N104" s="67"/>
      <c r="O104" s="18"/>
      <c r="P104" s="69"/>
      <c r="Q104" s="69"/>
      <c r="R104" s="70"/>
      <c r="S104" s="18"/>
      <c r="T104" s="67"/>
      <c r="U104" s="18"/>
      <c r="V104" s="69"/>
      <c r="W104" s="69"/>
      <c r="X104" s="70"/>
      <c r="Y104" s="18"/>
      <c r="Z104" s="67"/>
      <c r="AA104" s="18"/>
      <c r="AB104" s="69"/>
      <c r="AC104" s="69"/>
      <c r="AD104" s="70"/>
      <c r="AE104" s="18"/>
      <c r="AF104" s="67"/>
      <c r="AG104" s="18"/>
      <c r="AH104" s="69"/>
      <c r="AI104" s="69"/>
      <c r="AJ104" s="70"/>
      <c r="AK104" s="18"/>
      <c r="AL104" s="67"/>
      <c r="AM104" s="18"/>
      <c r="AN104" s="69"/>
      <c r="AO104" s="69"/>
      <c r="AP104" s="70"/>
      <c r="AQ104" s="18"/>
      <c r="AR104" s="67"/>
      <c r="AS104" s="18"/>
      <c r="AT104" s="69"/>
      <c r="AU104" s="69"/>
      <c r="AV104" s="70"/>
      <c r="AW104" s="18"/>
      <c r="AX104" s="67"/>
      <c r="AY104" s="18"/>
      <c r="AZ104" s="69"/>
      <c r="BA104" s="69"/>
      <c r="BB104" s="70"/>
      <c r="BC104" s="18"/>
      <c r="BD104" s="67"/>
      <c r="BE104" s="18"/>
      <c r="BL104" s="13" t="s">
        <v>72</v>
      </c>
      <c r="BM104" s="13" t="str">
        <f ca="1">INDEX(DataTbl[],MATCH(D103,DataTbl[Task Name],0),MATCH("Overdue",DataTbl[#Headers],0))</f>
        <v>No</v>
      </c>
      <c r="BN104" s="73"/>
      <c r="BX104" s="13" t="s">
        <v>72</v>
      </c>
      <c r="BY104" s="13" t="str">
        <f ca="1">INDEX(DataTbl[],MATCH(J103,DataTbl[Task Name],0),MATCH("Overdue",DataTbl[#Headers],0))</f>
        <v>No</v>
      </c>
      <c r="BZ104" s="73"/>
      <c r="CJ104" s="13" t="s">
        <v>72</v>
      </c>
      <c r="CK104" s="13" t="str">
        <f ca="1">INDEX(DataTbl[],MATCH(P103,DataTbl[Task Name],0),MATCH("Overdue",DataTbl[#Headers],0))</f>
        <v>No</v>
      </c>
      <c r="CL104" s="73"/>
      <c r="CV104" s="13" t="s">
        <v>72</v>
      </c>
      <c r="CW104" s="13" t="str">
        <f ca="1">INDEX(DataTbl[],MATCH(V103,DataTbl[Task Name],0),MATCH("Overdue",DataTbl[#Headers],0))</f>
        <v>No</v>
      </c>
      <c r="CX104" s="73"/>
      <c r="DH104" s="13" t="s">
        <v>72</v>
      </c>
      <c r="DI104" s="13" t="str">
        <f ca="1">INDEX(DataTbl[],MATCH(AB103,DataTbl[Task Name],0),MATCH("Overdue",DataTbl[#Headers],0))</f>
        <v>No</v>
      </c>
      <c r="DJ104" s="73"/>
      <c r="DT104" s="13" t="s">
        <v>72</v>
      </c>
      <c r="DU104" s="13" t="str">
        <f ca="1">INDEX(DataTbl[],MATCH(AH103,DataTbl[Task Name],0),MATCH("Overdue",DataTbl[#Headers],0))</f>
        <v>No</v>
      </c>
      <c r="DV104" s="73"/>
      <c r="EF104" s="13" t="s">
        <v>72</v>
      </c>
      <c r="EG104" s="13" t="str">
        <f ca="1">INDEX(DataTbl[],MATCH(AN103,DataTbl[Task Name],0),MATCH("Overdue",DataTbl[#Headers],0))</f>
        <v>No</v>
      </c>
      <c r="EH104" s="73"/>
      <c r="ER104" s="13" t="s">
        <v>72</v>
      </c>
      <c r="ES104" s="13" t="str">
        <f ca="1">INDEX(DataTbl[],MATCH(AT103,DataTbl[Task Name],0),MATCH("Overdue",DataTbl[#Headers],0))</f>
        <v>No</v>
      </c>
      <c r="ET104" s="73"/>
      <c r="FD104" s="13" t="s">
        <v>72</v>
      </c>
      <c r="FE104" s="13" t="str">
        <f ca="1">INDEX(DataTbl[],MATCH(AZ103,DataTbl[Task Name],0),MATCH("Overdue",DataTbl[#Headers],0))</f>
        <v>No</v>
      </c>
      <c r="FF104" s="73"/>
    </row>
    <row r="105" spans="1:162" x14ac:dyDescent="0.25">
      <c r="A105" s="18"/>
      <c r="B105" s="67"/>
      <c r="C105" s="18"/>
      <c r="D105" s="20" t="str">
        <f>IF(D103=0,""," "&amp;"Assigned To"&amp;": ")</f>
        <v/>
      </c>
      <c r="E105" s="71" t="str">
        <f>IFERROR(INDEX(InputTbl[],MATCH(D103,InputTbl[Task Name],0),MATCH("Assigned To",InputTbl[#Headers],0)),"")</f>
        <v/>
      </c>
      <c r="F105" s="71"/>
      <c r="G105" s="18"/>
      <c r="H105" s="67"/>
      <c r="I105" s="18"/>
      <c r="J105" s="20" t="str">
        <f>IF(J103=0,""," "&amp;"Assigned To"&amp;": ")</f>
        <v/>
      </c>
      <c r="K105" s="71" t="str">
        <f>IFERROR(INDEX(InputTbl[],MATCH(J103,InputTbl[Task Name],0),MATCH("Assigned To",InputTbl[#Headers],0)),"")</f>
        <v/>
      </c>
      <c r="L105" s="71"/>
      <c r="M105" s="18"/>
      <c r="N105" s="67"/>
      <c r="O105" s="18"/>
      <c r="P105" s="20" t="str">
        <f>IF(P103=0,""," "&amp;"Assigned To"&amp;": ")</f>
        <v/>
      </c>
      <c r="Q105" s="71" t="str">
        <f>IFERROR(INDEX(InputTbl[],MATCH(P103,InputTbl[Task Name],0),MATCH("Assigned To",InputTbl[#Headers],0)),"")</f>
        <v/>
      </c>
      <c r="R105" s="71"/>
      <c r="S105" s="18"/>
      <c r="T105" s="67"/>
      <c r="U105" s="18"/>
      <c r="V105" s="20" t="str">
        <f>IF(V103=0,""," "&amp;"Assigned To"&amp;": ")</f>
        <v/>
      </c>
      <c r="W105" s="71" t="str">
        <f>IFERROR(INDEX(InputTbl[],MATCH(V103,InputTbl[Task Name],0),MATCH("Assigned To",InputTbl[#Headers],0)),"")</f>
        <v/>
      </c>
      <c r="X105" s="71"/>
      <c r="Y105" s="18"/>
      <c r="Z105" s="67"/>
      <c r="AA105" s="18"/>
      <c r="AB105" s="20" t="str">
        <f>IF(AB103=0,""," "&amp;"Assigned To"&amp;": ")</f>
        <v/>
      </c>
      <c r="AC105" s="71" t="str">
        <f>IFERROR(INDEX(InputTbl[],MATCH(AB103,InputTbl[Task Name],0),MATCH("Assigned To",InputTbl[#Headers],0)),"")</f>
        <v/>
      </c>
      <c r="AD105" s="71"/>
      <c r="AE105" s="18"/>
      <c r="AF105" s="67"/>
      <c r="AG105" s="18"/>
      <c r="AH105" s="20" t="str">
        <f>IF(AH103=0,""," "&amp;"Assigned To"&amp;": ")</f>
        <v/>
      </c>
      <c r="AI105" s="71" t="str">
        <f>IFERROR(INDEX(InputTbl[],MATCH(AH103,InputTbl[Task Name],0),MATCH("Assigned To",InputTbl[#Headers],0)),"")</f>
        <v/>
      </c>
      <c r="AJ105" s="71"/>
      <c r="AK105" s="18"/>
      <c r="AL105" s="67"/>
      <c r="AM105" s="18"/>
      <c r="AN105" s="20" t="str">
        <f>IF(AN103=0,""," "&amp;"Assigned To"&amp;": ")</f>
        <v/>
      </c>
      <c r="AO105" s="71" t="str">
        <f>IFERROR(INDEX(InputTbl[],MATCH(AN103,InputTbl[Task Name],0),MATCH("Assigned To",InputTbl[#Headers],0)),"")</f>
        <v/>
      </c>
      <c r="AP105" s="71"/>
      <c r="AQ105" s="18"/>
      <c r="AR105" s="67"/>
      <c r="AS105" s="18"/>
      <c r="AT105" s="20" t="str">
        <f>IF(AT103=0,""," "&amp;"Assigned To"&amp;": ")</f>
        <v/>
      </c>
      <c r="AU105" s="71" t="str">
        <f>IFERROR(INDEX(InputTbl[],MATCH(AT103,InputTbl[Task Name],0),MATCH("Assigned To",InputTbl[#Headers],0)),"")</f>
        <v/>
      </c>
      <c r="AV105" s="71"/>
      <c r="AW105" s="18"/>
      <c r="AX105" s="67"/>
      <c r="AY105" s="18"/>
      <c r="AZ105" s="20" t="str">
        <f>IF(AZ103=0,""," "&amp;"Assigned To"&amp;": ")</f>
        <v/>
      </c>
      <c r="BA105" s="71" t="str">
        <f>IFERROR(INDEX(InputTbl[],MATCH(AZ103,InputTbl[Task Name],0),MATCH("Assigned To",InputTbl[#Headers],0)),"")</f>
        <v/>
      </c>
      <c r="BB105" s="71"/>
      <c r="BC105" s="18"/>
      <c r="BD105" s="67"/>
      <c r="BE105" s="18"/>
      <c r="BL105" s="7"/>
      <c r="BM105" s="75"/>
      <c r="BN105" s="75"/>
      <c r="BX105" s="7"/>
      <c r="BY105" s="75"/>
      <c r="BZ105" s="75"/>
      <c r="CJ105" s="7"/>
      <c r="CK105" s="75"/>
      <c r="CL105" s="75"/>
      <c r="CV105" s="7"/>
      <c r="CW105" s="75"/>
      <c r="CX105" s="75"/>
      <c r="DH105" s="7"/>
      <c r="DI105" s="75"/>
      <c r="DJ105" s="75"/>
      <c r="DT105" s="7"/>
      <c r="DU105" s="75"/>
      <c r="DV105" s="75"/>
      <c r="EF105" s="7"/>
      <c r="EG105" s="75"/>
      <c r="EH105" s="75"/>
      <c r="ER105" s="7"/>
      <c r="ES105" s="75"/>
      <c r="ET105" s="75"/>
      <c r="FD105" s="7"/>
      <c r="FE105" s="75"/>
      <c r="FF105" s="75"/>
    </row>
    <row r="106" spans="1:162" x14ac:dyDescent="0.25">
      <c r="A106" s="18"/>
      <c r="B106" s="67"/>
      <c r="C106" s="18"/>
      <c r="D106" s="21" t="str">
        <f>IF(D103=0,""," "&amp;"Date Due"&amp;": ")</f>
        <v/>
      </c>
      <c r="E106" s="72" t="str">
        <f ca="1">IFERROR(IF(BM104="Yes",_xlfn.CONCAT("⚠"," ",TEXT(INDEX(InputTbl[],MATCH(D103,InputTbl[Task Name],0),MATCH("Due Date",InputTbl[#Headers],0)),"mm/dd/yyyy")," ","⚠"),INDEX(InputTbl[],MATCH(D103,InputTbl[Task Name],0),MATCH("Due Date",InputTbl[#Headers],0))),"")</f>
        <v/>
      </c>
      <c r="F106" s="72"/>
      <c r="G106" s="18"/>
      <c r="H106" s="67"/>
      <c r="I106" s="18"/>
      <c r="J106" s="21" t="str">
        <f>IF(J103=0,""," "&amp;"Date Due"&amp;": ")</f>
        <v/>
      </c>
      <c r="K106" s="72" t="str">
        <f ca="1">IFERROR(IF(BY104="Yes",_xlfn.CONCAT("⚠"," ",TEXT(INDEX(InputTbl[],MATCH(J103,InputTbl[Task Name],0),MATCH("Due Date",InputTbl[#Headers],0)),"mm/dd/yyyy")," ","⚠"),INDEX(InputTbl[],MATCH(J103,InputTbl[Task Name],0),MATCH("Due Date",InputTbl[#Headers],0))),"")</f>
        <v/>
      </c>
      <c r="L106" s="72"/>
      <c r="M106" s="18"/>
      <c r="N106" s="67"/>
      <c r="O106" s="18"/>
      <c r="P106" s="21" t="str">
        <f>IF(P103=0,""," "&amp;"Date Due"&amp;": ")</f>
        <v/>
      </c>
      <c r="Q106" s="72" t="str">
        <f ca="1">IFERROR(IF(CK104="Yes",_xlfn.CONCAT("⚠"," ",TEXT(INDEX(InputTbl[],MATCH(P103,InputTbl[Task Name],0),MATCH("Due Date",InputTbl[#Headers],0)),"mm/dd/yyyy")," ","⚠"),INDEX(InputTbl[],MATCH(P103,InputTbl[Task Name],0),MATCH("Due Date",InputTbl[#Headers],0))),"")</f>
        <v/>
      </c>
      <c r="R106" s="72"/>
      <c r="S106" s="18"/>
      <c r="T106" s="67"/>
      <c r="U106" s="18"/>
      <c r="V106" s="21" t="str">
        <f>IF(V103=0,""," "&amp;"Date Due"&amp;": ")</f>
        <v/>
      </c>
      <c r="W106" s="72" t="str">
        <f ca="1">IFERROR(IF(CW104="Yes",_xlfn.CONCAT("⚠"," ",TEXT(INDEX(InputTbl[],MATCH(V103,InputTbl[Task Name],0),MATCH("Due Date",InputTbl[#Headers],0)),"mm/dd/yyyy")," ","⚠"),INDEX(InputTbl[],MATCH(V103,InputTbl[Task Name],0),MATCH("Due Date",InputTbl[#Headers],0))),"")</f>
        <v/>
      </c>
      <c r="X106" s="72"/>
      <c r="Y106" s="18"/>
      <c r="Z106" s="67"/>
      <c r="AA106" s="18"/>
      <c r="AB106" s="21" t="str">
        <f>IF(AB103=0,""," "&amp;"Date Due"&amp;": ")</f>
        <v/>
      </c>
      <c r="AC106" s="72" t="str">
        <f ca="1">IFERROR(IF(DI104="Yes",_xlfn.CONCAT("⚠"," ",TEXT(INDEX(InputTbl[],MATCH(AB103,InputTbl[Task Name],0),MATCH("Due Date",InputTbl[#Headers],0)),"mm/dd/yyyy")," ","⚠"),INDEX(InputTbl[],MATCH(AB103,InputTbl[Task Name],0),MATCH("Due Date",InputTbl[#Headers],0))),"")</f>
        <v/>
      </c>
      <c r="AD106" s="72"/>
      <c r="AE106" s="18"/>
      <c r="AF106" s="67"/>
      <c r="AG106" s="18"/>
      <c r="AH106" s="21" t="str">
        <f>IF(AH103=0,""," "&amp;"Date Due"&amp;": ")</f>
        <v/>
      </c>
      <c r="AI106" s="72" t="str">
        <f ca="1">IFERROR(IF(DU104="Yes",_xlfn.CONCAT("⚠"," ",TEXT(INDEX(InputTbl[],MATCH(AH103,InputTbl[Task Name],0),MATCH("Due Date",InputTbl[#Headers],0)),"mm/dd/yyyy")," ","⚠"),INDEX(InputTbl[],MATCH(AH103,InputTbl[Task Name],0),MATCH("Due Date",InputTbl[#Headers],0))),"")</f>
        <v/>
      </c>
      <c r="AJ106" s="72"/>
      <c r="AK106" s="18"/>
      <c r="AL106" s="67"/>
      <c r="AM106" s="18"/>
      <c r="AN106" s="21" t="str">
        <f>IF(AN103=0,""," "&amp;"Date Due"&amp;": ")</f>
        <v/>
      </c>
      <c r="AO106" s="72" t="str">
        <f ca="1">IFERROR(IF(EG104="Yes",_xlfn.CONCAT("⚠"," ",TEXT(INDEX(InputTbl[],MATCH(AN103,InputTbl[Task Name],0),MATCH("Due Date",InputTbl[#Headers],0)),"mm/dd/yyyy")," ","⚠"),INDEX(InputTbl[],MATCH(AN103,InputTbl[Task Name],0),MATCH("Due Date",InputTbl[#Headers],0))),"")</f>
        <v/>
      </c>
      <c r="AP106" s="72"/>
      <c r="AQ106" s="18"/>
      <c r="AR106" s="67"/>
      <c r="AS106" s="18"/>
      <c r="AT106" s="21" t="str">
        <f>IF(AT103=0,""," "&amp;"Date Due"&amp;": ")</f>
        <v/>
      </c>
      <c r="AU106" s="72" t="str">
        <f ca="1">IFERROR(IF(ES104="Yes",_xlfn.CONCAT("⚠"," ",TEXT(INDEX(InputTbl[],MATCH(AT103,InputTbl[Task Name],0),MATCH("Due Date",InputTbl[#Headers],0)),"mm/dd/yyyy")," ","⚠"),INDEX(InputTbl[],MATCH(AT103,InputTbl[Task Name],0),MATCH("Due Date",InputTbl[#Headers],0))),"")</f>
        <v/>
      </c>
      <c r="AV106" s="72"/>
      <c r="AW106" s="18"/>
      <c r="AX106" s="67"/>
      <c r="AY106" s="18"/>
      <c r="AZ106" s="21" t="str">
        <f>IF(AZ103=0,""," "&amp;"Date Due"&amp;": ")</f>
        <v/>
      </c>
      <c r="BA106" s="72" t="str">
        <f ca="1">IFERROR(IF(FE104="Yes",_xlfn.CONCAT("⚠"," ",TEXT(INDEX(InputTbl[],MATCH(AZ103,InputTbl[Task Name],0),MATCH("Due Date",InputTbl[#Headers],0)),"mm/dd/yyyy")," ","⚠"),INDEX(InputTbl[],MATCH(AZ103,InputTbl[Task Name],0),MATCH("Due Date",InputTbl[#Headers],0))),"")</f>
        <v/>
      </c>
      <c r="BB106" s="72"/>
      <c r="BC106" s="18"/>
      <c r="BD106" s="67"/>
      <c r="BE106" s="18"/>
      <c r="BL106" s="8"/>
      <c r="BM106" s="74"/>
      <c r="BN106" s="74"/>
      <c r="BX106" s="8"/>
      <c r="BY106" s="74"/>
      <c r="BZ106" s="74"/>
      <c r="CJ106" s="8"/>
      <c r="CK106" s="74"/>
      <c r="CL106" s="74"/>
      <c r="CV106" s="8"/>
      <c r="CW106" s="74"/>
      <c r="CX106" s="74"/>
      <c r="DH106" s="8"/>
      <c r="DI106" s="74"/>
      <c r="DJ106" s="74"/>
      <c r="DT106" s="8"/>
      <c r="DU106" s="74"/>
      <c r="DV106" s="74"/>
      <c r="EF106" s="8"/>
      <c r="EG106" s="74"/>
      <c r="EH106" s="74"/>
      <c r="ER106" s="8"/>
      <c r="ES106" s="74"/>
      <c r="ET106" s="74"/>
      <c r="FD106" s="8"/>
      <c r="FE106" s="74"/>
      <c r="FF106" s="74"/>
    </row>
    <row r="107" spans="1:162" ht="15" customHeight="1" x14ac:dyDescent="0.25">
      <c r="A107" s="18"/>
      <c r="B107" s="67"/>
      <c r="C107" s="18"/>
      <c r="D107" s="18"/>
      <c r="E107" s="18"/>
      <c r="F107" s="18"/>
      <c r="G107" s="18"/>
      <c r="H107" s="67"/>
      <c r="I107" s="18"/>
      <c r="J107" s="18"/>
      <c r="K107" s="18"/>
      <c r="L107" s="18"/>
      <c r="M107" s="18"/>
      <c r="N107" s="67"/>
      <c r="O107" s="18"/>
      <c r="P107" s="18"/>
      <c r="Q107" s="18"/>
      <c r="R107" s="18"/>
      <c r="S107" s="18"/>
      <c r="T107" s="67"/>
      <c r="U107" s="18"/>
      <c r="V107" s="18"/>
      <c r="W107" s="18"/>
      <c r="X107" s="18"/>
      <c r="Y107" s="18"/>
      <c r="Z107" s="67"/>
      <c r="AA107" s="18"/>
      <c r="AB107" s="18"/>
      <c r="AC107" s="18"/>
      <c r="AD107" s="18"/>
      <c r="AE107" s="18"/>
      <c r="AF107" s="67"/>
      <c r="AG107" s="18"/>
      <c r="AH107" s="18"/>
      <c r="AI107" s="18"/>
      <c r="AJ107" s="18"/>
      <c r="AK107" s="18"/>
      <c r="AL107" s="67"/>
      <c r="AM107" s="18"/>
      <c r="AN107" s="18"/>
      <c r="AO107" s="18"/>
      <c r="AP107" s="18"/>
      <c r="AQ107" s="18"/>
      <c r="AR107" s="67"/>
      <c r="AS107" s="18"/>
      <c r="AT107" s="18"/>
      <c r="AU107" s="18"/>
      <c r="AV107" s="18"/>
      <c r="AW107" s="18"/>
      <c r="AX107" s="67"/>
      <c r="AY107" s="18"/>
      <c r="AZ107" s="18"/>
      <c r="BA107" s="18"/>
      <c r="BB107" s="18"/>
      <c r="BC107" s="18"/>
      <c r="BD107" s="67"/>
      <c r="BE107" s="18"/>
    </row>
    <row r="108" spans="1:162" x14ac:dyDescent="0.25">
      <c r="A108" s="18"/>
      <c r="B108" s="67"/>
      <c r="C108" s="18"/>
      <c r="D108" s="69">
        <f>INDEX(KanbanPrep!$A$5:$S$189,VLOOKUP(ROW(),RowLookupTbl,2,FALSE),SMALL({1,3,5,7,9,11,13,15,17,19},MATCH(D$6,StatusOptions,0)))</f>
        <v>0</v>
      </c>
      <c r="E108" s="69"/>
      <c r="F108" s="70" t="str">
        <f>IFERROR(IF(BM108="Low",2,IF(BM108="Medium",1,0)),"")</f>
        <v/>
      </c>
      <c r="G108" s="18"/>
      <c r="H108" s="67"/>
      <c r="I108" s="18"/>
      <c r="J108" s="69">
        <f>INDEX(KanbanPrep!$A$5:$S$189,VLOOKUP(ROW(),RowLookupTbl,2,FALSE),SMALL({1,3,5,7,9,11,13,15,17,19},MATCH(J$6,StatusOptions,0)))</f>
        <v>0</v>
      </c>
      <c r="K108" s="69"/>
      <c r="L108" s="70" t="str">
        <f>IFERROR(IF(BY108="Low",2,IF(BY108="Medium",1,0)),"")</f>
        <v/>
      </c>
      <c r="M108" s="18"/>
      <c r="N108" s="67"/>
      <c r="O108" s="18"/>
      <c r="P108" s="69">
        <f>INDEX(KanbanPrep!$A$5:$S$189,VLOOKUP(ROW(),RowLookupTbl,2,FALSE),SMALL({1,3,5,7,9,11,13,15,17,19},MATCH(P$6,StatusOptions,0)))</f>
        <v>0</v>
      </c>
      <c r="Q108" s="69"/>
      <c r="R108" s="70" t="str">
        <f>IFERROR(IF(CK108="Low",2,IF(CK108="Medium",1,0)),"")</f>
        <v/>
      </c>
      <c r="S108" s="18"/>
      <c r="T108" s="67"/>
      <c r="U108" s="18"/>
      <c r="V108" s="69">
        <f>INDEX(KanbanPrep!$A$5:$S$189,VLOOKUP(ROW(),RowLookupTbl,2,FALSE),SMALL({1,3,5,7,9,11,13,15,17,19},MATCH(V$6,StatusOptions,0)))</f>
        <v>0</v>
      </c>
      <c r="W108" s="69"/>
      <c r="X108" s="70" t="str">
        <f>IFERROR(IF(CW108="Low",2,IF(CW108="Medium",1,0)),"")</f>
        <v/>
      </c>
      <c r="Y108" s="18"/>
      <c r="Z108" s="67"/>
      <c r="AA108" s="18"/>
      <c r="AB108" s="69">
        <f>INDEX(KanbanPrep!$A$5:$S$189,VLOOKUP(ROW(),RowLookupTbl,2,FALSE),SMALL({1,3,5,7,9,11,13,15,17,19},MATCH(AB$6,StatusOptions,0)))</f>
        <v>0</v>
      </c>
      <c r="AC108" s="69"/>
      <c r="AD108" s="70" t="str">
        <f>IFERROR(IF(DI108="Low",2,IF(DI108="Medium",1,0)),"")</f>
        <v/>
      </c>
      <c r="AE108" s="18"/>
      <c r="AF108" s="67"/>
      <c r="AG108" s="18"/>
      <c r="AH108" s="69">
        <f>INDEX(KanbanPrep!$A$5:$S$189,VLOOKUP(ROW(),RowLookupTbl,2,FALSE),SMALL({1,3,5,7,9,11,13,15,17,19},MATCH(AH$6,StatusOptions,0)))</f>
        <v>0</v>
      </c>
      <c r="AI108" s="69"/>
      <c r="AJ108" s="70" t="str">
        <f>IFERROR(IF(DU108="Low",2,IF(DU108="Medium",1,0)),"")</f>
        <v/>
      </c>
      <c r="AK108" s="18"/>
      <c r="AL108" s="67"/>
      <c r="AM108" s="18"/>
      <c r="AN108" s="69">
        <f>INDEX(KanbanPrep!$A$5:$S$189,VLOOKUP(ROW(),RowLookupTbl,2,FALSE),SMALL({1,3,5,7,9,11,13,15,17,19},MATCH(AN$6,StatusOptions,0)))</f>
        <v>0</v>
      </c>
      <c r="AO108" s="69"/>
      <c r="AP108" s="70" t="str">
        <f>IFERROR(IF(EG108="Low",2,IF(EG108="Medium",1,0)),"")</f>
        <v/>
      </c>
      <c r="AQ108" s="18"/>
      <c r="AR108" s="67"/>
      <c r="AS108" s="18"/>
      <c r="AT108" s="69">
        <f>INDEX(KanbanPrep!$A$5:$S$189,VLOOKUP(ROW(),RowLookupTbl,2,FALSE),SMALL({1,3,5,7,9,11,13,15,17,19},MATCH(AT$6,StatusOptions,0)))</f>
        <v>0</v>
      </c>
      <c r="AU108" s="69"/>
      <c r="AV108" s="70" t="str">
        <f>IFERROR(IF(ES108="Low",2,IF(ES108="Medium",1,0)),"")</f>
        <v/>
      </c>
      <c r="AW108" s="18"/>
      <c r="AX108" s="67"/>
      <c r="AY108" s="18"/>
      <c r="AZ108" s="69">
        <f>INDEX(KanbanPrep!$A$5:$S$189,VLOOKUP(ROW(),RowLookupTbl,2,FALSE),SMALL({1,3,5,7,9,11,13,15,17,19},MATCH(AZ$6,StatusOptions,0)))</f>
        <v>0</v>
      </c>
      <c r="BA108" s="69"/>
      <c r="BB108" s="70" t="str">
        <f>IFERROR(IF(FE108="Low",2,IF(FE108="Medium",1,0)),"")</f>
        <v/>
      </c>
      <c r="BC108" s="18"/>
      <c r="BD108" s="67"/>
      <c r="BE108" s="18"/>
      <c r="BL108" s="13" t="s">
        <v>60</v>
      </c>
      <c r="BM108" s="13" t="e">
        <f>INDEX(InputTbl[],MATCH(D108,InputTbl[Task Name],0),MATCH("Priority",InputTbl[#Headers],0))</f>
        <v>#N/A</v>
      </c>
      <c r="BN108" s="73"/>
      <c r="BX108" s="13" t="s">
        <v>60</v>
      </c>
      <c r="BY108" s="13" t="e">
        <f>INDEX(InputTbl[],MATCH(J108,InputTbl[Task Name],0),MATCH("Priority",InputTbl[#Headers],0))</f>
        <v>#N/A</v>
      </c>
      <c r="BZ108" s="73"/>
      <c r="CJ108" s="13" t="s">
        <v>60</v>
      </c>
      <c r="CK108" s="13" t="e">
        <f>INDEX(InputTbl[],MATCH(P108,InputTbl[Task Name],0),MATCH("Priority",InputTbl[#Headers],0))</f>
        <v>#N/A</v>
      </c>
      <c r="CL108" s="73"/>
      <c r="CV108" s="13" t="s">
        <v>60</v>
      </c>
      <c r="CW108" s="13" t="e">
        <f>INDEX(InputTbl[],MATCH(V108,InputTbl[Task Name],0),MATCH("Priority",InputTbl[#Headers],0))</f>
        <v>#N/A</v>
      </c>
      <c r="CX108" s="73"/>
      <c r="DH108" s="13" t="s">
        <v>60</v>
      </c>
      <c r="DI108" s="13" t="e">
        <f>INDEX(InputTbl[],MATCH(AB108,InputTbl[Task Name],0),MATCH("Priority",InputTbl[#Headers],0))</f>
        <v>#N/A</v>
      </c>
      <c r="DJ108" s="73"/>
      <c r="DT108" s="13" t="s">
        <v>60</v>
      </c>
      <c r="DU108" s="13" t="e">
        <f>INDEX(InputTbl[],MATCH(AH108,InputTbl[Task Name],0),MATCH("Priority",InputTbl[#Headers],0))</f>
        <v>#N/A</v>
      </c>
      <c r="DV108" s="73"/>
      <c r="EF108" s="13" t="s">
        <v>60</v>
      </c>
      <c r="EG108" s="13" t="e">
        <f>INDEX(InputTbl[],MATCH(AN108,InputTbl[Task Name],0),MATCH("Priority",InputTbl[#Headers],0))</f>
        <v>#N/A</v>
      </c>
      <c r="EH108" s="73"/>
      <c r="ER108" s="13" t="s">
        <v>60</v>
      </c>
      <c r="ES108" s="13" t="e">
        <f>INDEX(InputTbl[],MATCH(AT108,InputTbl[Task Name],0),MATCH("Priority",InputTbl[#Headers],0))</f>
        <v>#N/A</v>
      </c>
      <c r="ET108" s="73"/>
      <c r="FD108" s="13" t="s">
        <v>60</v>
      </c>
      <c r="FE108" s="13" t="e">
        <f>INDEX(InputTbl[],MATCH(AZ108,InputTbl[Task Name],0),MATCH("Priority",InputTbl[#Headers],0))</f>
        <v>#N/A</v>
      </c>
      <c r="FF108" s="73"/>
    </row>
    <row r="109" spans="1:162" x14ac:dyDescent="0.25">
      <c r="A109" s="18"/>
      <c r="B109" s="67"/>
      <c r="C109" s="18"/>
      <c r="D109" s="69"/>
      <c r="E109" s="69"/>
      <c r="F109" s="70"/>
      <c r="G109" s="18"/>
      <c r="H109" s="67"/>
      <c r="I109" s="18"/>
      <c r="J109" s="69"/>
      <c r="K109" s="69"/>
      <c r="L109" s="70"/>
      <c r="M109" s="18"/>
      <c r="N109" s="67"/>
      <c r="O109" s="18"/>
      <c r="P109" s="69"/>
      <c r="Q109" s="69"/>
      <c r="R109" s="70"/>
      <c r="S109" s="18"/>
      <c r="T109" s="67"/>
      <c r="U109" s="18"/>
      <c r="V109" s="69"/>
      <c r="W109" s="69"/>
      <c r="X109" s="70"/>
      <c r="Y109" s="18"/>
      <c r="Z109" s="67"/>
      <c r="AA109" s="18"/>
      <c r="AB109" s="69"/>
      <c r="AC109" s="69"/>
      <c r="AD109" s="70"/>
      <c r="AE109" s="18"/>
      <c r="AF109" s="67"/>
      <c r="AG109" s="18"/>
      <c r="AH109" s="69"/>
      <c r="AI109" s="69"/>
      <c r="AJ109" s="70"/>
      <c r="AK109" s="18"/>
      <c r="AL109" s="67"/>
      <c r="AM109" s="18"/>
      <c r="AN109" s="69"/>
      <c r="AO109" s="69"/>
      <c r="AP109" s="70"/>
      <c r="AQ109" s="18"/>
      <c r="AR109" s="67"/>
      <c r="AS109" s="18"/>
      <c r="AT109" s="69"/>
      <c r="AU109" s="69"/>
      <c r="AV109" s="70"/>
      <c r="AW109" s="18"/>
      <c r="AX109" s="67"/>
      <c r="AY109" s="18"/>
      <c r="AZ109" s="69"/>
      <c r="BA109" s="69"/>
      <c r="BB109" s="70"/>
      <c r="BC109" s="18"/>
      <c r="BD109" s="67"/>
      <c r="BE109" s="18"/>
      <c r="BL109" s="13" t="s">
        <v>72</v>
      </c>
      <c r="BM109" s="13" t="str">
        <f ca="1">INDEX(DataTbl[],MATCH(D108,DataTbl[Task Name],0),MATCH("Overdue",DataTbl[#Headers],0))</f>
        <v>No</v>
      </c>
      <c r="BN109" s="73"/>
      <c r="BX109" s="13" t="s">
        <v>72</v>
      </c>
      <c r="BY109" s="13" t="str">
        <f ca="1">INDEX(DataTbl[],MATCH(J108,DataTbl[Task Name],0),MATCH("Overdue",DataTbl[#Headers],0))</f>
        <v>No</v>
      </c>
      <c r="BZ109" s="73"/>
      <c r="CJ109" s="13" t="s">
        <v>72</v>
      </c>
      <c r="CK109" s="13" t="str">
        <f ca="1">INDEX(DataTbl[],MATCH(P108,DataTbl[Task Name],0),MATCH("Overdue",DataTbl[#Headers],0))</f>
        <v>No</v>
      </c>
      <c r="CL109" s="73"/>
      <c r="CV109" s="13" t="s">
        <v>72</v>
      </c>
      <c r="CW109" s="13" t="str">
        <f ca="1">INDEX(DataTbl[],MATCH(V108,DataTbl[Task Name],0),MATCH("Overdue",DataTbl[#Headers],0))</f>
        <v>No</v>
      </c>
      <c r="CX109" s="73"/>
      <c r="DH109" s="13" t="s">
        <v>72</v>
      </c>
      <c r="DI109" s="13" t="str">
        <f ca="1">INDEX(DataTbl[],MATCH(AB108,DataTbl[Task Name],0),MATCH("Overdue",DataTbl[#Headers],0))</f>
        <v>No</v>
      </c>
      <c r="DJ109" s="73"/>
      <c r="DT109" s="13" t="s">
        <v>72</v>
      </c>
      <c r="DU109" s="13" t="str">
        <f ca="1">INDEX(DataTbl[],MATCH(AH108,DataTbl[Task Name],0),MATCH("Overdue",DataTbl[#Headers],0))</f>
        <v>No</v>
      </c>
      <c r="DV109" s="73"/>
      <c r="EF109" s="13" t="s">
        <v>72</v>
      </c>
      <c r="EG109" s="13" t="str">
        <f ca="1">INDEX(DataTbl[],MATCH(AN108,DataTbl[Task Name],0),MATCH("Overdue",DataTbl[#Headers],0))</f>
        <v>No</v>
      </c>
      <c r="EH109" s="73"/>
      <c r="ER109" s="13" t="s">
        <v>72</v>
      </c>
      <c r="ES109" s="13" t="str">
        <f ca="1">INDEX(DataTbl[],MATCH(AT108,DataTbl[Task Name],0),MATCH("Overdue",DataTbl[#Headers],0))</f>
        <v>No</v>
      </c>
      <c r="ET109" s="73"/>
      <c r="FD109" s="13" t="s">
        <v>72</v>
      </c>
      <c r="FE109" s="13" t="str">
        <f ca="1">INDEX(DataTbl[],MATCH(AZ108,DataTbl[Task Name],0),MATCH("Overdue",DataTbl[#Headers],0))</f>
        <v>No</v>
      </c>
      <c r="FF109" s="73"/>
    </row>
    <row r="110" spans="1:162" x14ac:dyDescent="0.25">
      <c r="A110" s="18"/>
      <c r="B110" s="67"/>
      <c r="C110" s="18"/>
      <c r="D110" s="20" t="str">
        <f>IF(D108=0,""," "&amp;"Assigned To"&amp;": ")</f>
        <v/>
      </c>
      <c r="E110" s="71" t="str">
        <f>IFERROR(INDEX(InputTbl[],MATCH(D108,InputTbl[Task Name],0),MATCH("Assigned To",InputTbl[#Headers],0)),"")</f>
        <v/>
      </c>
      <c r="F110" s="71"/>
      <c r="G110" s="18"/>
      <c r="H110" s="67"/>
      <c r="I110" s="18"/>
      <c r="J110" s="20" t="str">
        <f>IF(J108=0,""," "&amp;"Assigned To"&amp;": ")</f>
        <v/>
      </c>
      <c r="K110" s="71" t="str">
        <f>IFERROR(INDEX(InputTbl[],MATCH(J108,InputTbl[Task Name],0),MATCH("Assigned To",InputTbl[#Headers],0)),"")</f>
        <v/>
      </c>
      <c r="L110" s="71"/>
      <c r="M110" s="18"/>
      <c r="N110" s="67"/>
      <c r="O110" s="18"/>
      <c r="P110" s="20" t="str">
        <f>IF(P108=0,""," "&amp;"Assigned To"&amp;": ")</f>
        <v/>
      </c>
      <c r="Q110" s="71" t="str">
        <f>IFERROR(INDEX(InputTbl[],MATCH(P108,InputTbl[Task Name],0),MATCH("Assigned To",InputTbl[#Headers],0)),"")</f>
        <v/>
      </c>
      <c r="R110" s="71"/>
      <c r="S110" s="18"/>
      <c r="T110" s="67"/>
      <c r="U110" s="18"/>
      <c r="V110" s="20" t="str">
        <f>IF(V108=0,""," "&amp;"Assigned To"&amp;": ")</f>
        <v/>
      </c>
      <c r="W110" s="71" t="str">
        <f>IFERROR(INDEX(InputTbl[],MATCH(V108,InputTbl[Task Name],0),MATCH("Assigned To",InputTbl[#Headers],0)),"")</f>
        <v/>
      </c>
      <c r="X110" s="71"/>
      <c r="Y110" s="18"/>
      <c r="Z110" s="67"/>
      <c r="AA110" s="18"/>
      <c r="AB110" s="20" t="str">
        <f>IF(AB108=0,""," "&amp;"Assigned To"&amp;": ")</f>
        <v/>
      </c>
      <c r="AC110" s="71" t="str">
        <f>IFERROR(INDEX(InputTbl[],MATCH(AB108,InputTbl[Task Name],0),MATCH("Assigned To",InputTbl[#Headers],0)),"")</f>
        <v/>
      </c>
      <c r="AD110" s="71"/>
      <c r="AE110" s="18"/>
      <c r="AF110" s="67"/>
      <c r="AG110" s="18"/>
      <c r="AH110" s="20" t="str">
        <f>IF(AH108=0,""," "&amp;"Assigned To"&amp;": ")</f>
        <v/>
      </c>
      <c r="AI110" s="71" t="str">
        <f>IFERROR(INDEX(InputTbl[],MATCH(AH108,InputTbl[Task Name],0),MATCH("Assigned To",InputTbl[#Headers],0)),"")</f>
        <v/>
      </c>
      <c r="AJ110" s="71"/>
      <c r="AK110" s="18"/>
      <c r="AL110" s="67"/>
      <c r="AM110" s="18"/>
      <c r="AN110" s="20" t="str">
        <f>IF(AN108=0,""," "&amp;"Assigned To"&amp;": ")</f>
        <v/>
      </c>
      <c r="AO110" s="71" t="str">
        <f>IFERROR(INDEX(InputTbl[],MATCH(AN108,InputTbl[Task Name],0),MATCH("Assigned To",InputTbl[#Headers],0)),"")</f>
        <v/>
      </c>
      <c r="AP110" s="71"/>
      <c r="AQ110" s="18"/>
      <c r="AR110" s="67"/>
      <c r="AS110" s="18"/>
      <c r="AT110" s="20" t="str">
        <f>IF(AT108=0,""," "&amp;"Assigned To"&amp;": ")</f>
        <v/>
      </c>
      <c r="AU110" s="71" t="str">
        <f>IFERROR(INDEX(InputTbl[],MATCH(AT108,InputTbl[Task Name],0),MATCH("Assigned To",InputTbl[#Headers],0)),"")</f>
        <v/>
      </c>
      <c r="AV110" s="71"/>
      <c r="AW110" s="18"/>
      <c r="AX110" s="67"/>
      <c r="AY110" s="18"/>
      <c r="AZ110" s="20" t="str">
        <f>IF(AZ108=0,""," "&amp;"Assigned To"&amp;": ")</f>
        <v/>
      </c>
      <c r="BA110" s="71" t="str">
        <f>IFERROR(INDEX(InputTbl[],MATCH(AZ108,InputTbl[Task Name],0),MATCH("Assigned To",InputTbl[#Headers],0)),"")</f>
        <v/>
      </c>
      <c r="BB110" s="71"/>
      <c r="BC110" s="18"/>
      <c r="BD110" s="67"/>
      <c r="BE110" s="18"/>
      <c r="BL110" s="7"/>
      <c r="BM110" s="75"/>
      <c r="BN110" s="75"/>
      <c r="BX110" s="7"/>
      <c r="BY110" s="75"/>
      <c r="BZ110" s="75"/>
      <c r="CJ110" s="7"/>
      <c r="CK110" s="75"/>
      <c r="CL110" s="75"/>
      <c r="CV110" s="7"/>
      <c r="CW110" s="75"/>
      <c r="CX110" s="75"/>
      <c r="DH110" s="7"/>
      <c r="DI110" s="75"/>
      <c r="DJ110" s="75"/>
      <c r="DT110" s="7"/>
      <c r="DU110" s="75"/>
      <c r="DV110" s="75"/>
      <c r="EF110" s="7"/>
      <c r="EG110" s="75"/>
      <c r="EH110" s="75"/>
      <c r="ER110" s="7"/>
      <c r="ES110" s="75"/>
      <c r="ET110" s="75"/>
      <c r="FD110" s="7"/>
      <c r="FE110" s="75"/>
      <c r="FF110" s="75"/>
    </row>
    <row r="111" spans="1:162" x14ac:dyDescent="0.25">
      <c r="A111" s="18"/>
      <c r="B111" s="67"/>
      <c r="C111" s="18"/>
      <c r="D111" s="21" t="str">
        <f>IF(D108=0,""," "&amp;"Date Due"&amp;": ")</f>
        <v/>
      </c>
      <c r="E111" s="72" t="str">
        <f ca="1">IFERROR(IF(BM109="Yes",_xlfn.CONCAT("⚠"," ",TEXT(INDEX(InputTbl[],MATCH(D108,InputTbl[Task Name],0),MATCH("Due Date",InputTbl[#Headers],0)),"mm/dd/yyyy")," ","⚠"),INDEX(InputTbl[],MATCH(D108,InputTbl[Task Name],0),MATCH("Due Date",InputTbl[#Headers],0))),"")</f>
        <v/>
      </c>
      <c r="F111" s="72"/>
      <c r="G111" s="18"/>
      <c r="H111" s="67"/>
      <c r="I111" s="18"/>
      <c r="J111" s="21" t="str">
        <f>IF(J108=0,""," "&amp;"Date Due"&amp;": ")</f>
        <v/>
      </c>
      <c r="K111" s="72" t="str">
        <f ca="1">IFERROR(IF(BY109="Yes",_xlfn.CONCAT("⚠"," ",TEXT(INDEX(InputTbl[],MATCH(J108,InputTbl[Task Name],0),MATCH("Due Date",InputTbl[#Headers],0)),"mm/dd/yyyy")," ","⚠"),INDEX(InputTbl[],MATCH(J108,InputTbl[Task Name],0),MATCH("Due Date",InputTbl[#Headers],0))),"")</f>
        <v/>
      </c>
      <c r="L111" s="72"/>
      <c r="M111" s="18"/>
      <c r="N111" s="67"/>
      <c r="O111" s="18"/>
      <c r="P111" s="21" t="str">
        <f>IF(P108=0,""," "&amp;"Date Due"&amp;": ")</f>
        <v/>
      </c>
      <c r="Q111" s="72" t="str">
        <f ca="1">IFERROR(IF(CK109="Yes",_xlfn.CONCAT("⚠"," ",TEXT(INDEX(InputTbl[],MATCH(P108,InputTbl[Task Name],0),MATCH("Due Date",InputTbl[#Headers],0)),"mm/dd/yyyy")," ","⚠"),INDEX(InputTbl[],MATCH(P108,InputTbl[Task Name],0),MATCH("Due Date",InputTbl[#Headers],0))),"")</f>
        <v/>
      </c>
      <c r="R111" s="72"/>
      <c r="S111" s="18"/>
      <c r="T111" s="67"/>
      <c r="U111" s="18"/>
      <c r="V111" s="21" t="str">
        <f>IF(V108=0,""," "&amp;"Date Due"&amp;": ")</f>
        <v/>
      </c>
      <c r="W111" s="72" t="str">
        <f ca="1">IFERROR(IF(CW109="Yes",_xlfn.CONCAT("⚠"," ",TEXT(INDEX(InputTbl[],MATCH(V108,InputTbl[Task Name],0),MATCH("Due Date",InputTbl[#Headers],0)),"mm/dd/yyyy")," ","⚠"),INDEX(InputTbl[],MATCH(V108,InputTbl[Task Name],0),MATCH("Due Date",InputTbl[#Headers],0))),"")</f>
        <v/>
      </c>
      <c r="X111" s="72"/>
      <c r="Y111" s="18"/>
      <c r="Z111" s="67"/>
      <c r="AA111" s="18"/>
      <c r="AB111" s="21" t="str">
        <f>IF(AB108=0,""," "&amp;"Date Due"&amp;": ")</f>
        <v/>
      </c>
      <c r="AC111" s="72" t="str">
        <f ca="1">IFERROR(IF(DI109="Yes",_xlfn.CONCAT("⚠"," ",TEXT(INDEX(InputTbl[],MATCH(AB108,InputTbl[Task Name],0),MATCH("Due Date",InputTbl[#Headers],0)),"mm/dd/yyyy")," ","⚠"),INDEX(InputTbl[],MATCH(AB108,InputTbl[Task Name],0),MATCH("Due Date",InputTbl[#Headers],0))),"")</f>
        <v/>
      </c>
      <c r="AD111" s="72"/>
      <c r="AE111" s="18"/>
      <c r="AF111" s="67"/>
      <c r="AG111" s="18"/>
      <c r="AH111" s="21" t="str">
        <f>IF(AH108=0,""," "&amp;"Date Due"&amp;": ")</f>
        <v/>
      </c>
      <c r="AI111" s="72" t="str">
        <f ca="1">IFERROR(IF(DU109="Yes",_xlfn.CONCAT("⚠"," ",TEXT(INDEX(InputTbl[],MATCH(AH108,InputTbl[Task Name],0),MATCH("Due Date",InputTbl[#Headers],0)),"mm/dd/yyyy")," ","⚠"),INDEX(InputTbl[],MATCH(AH108,InputTbl[Task Name],0),MATCH("Due Date",InputTbl[#Headers],0))),"")</f>
        <v/>
      </c>
      <c r="AJ111" s="72"/>
      <c r="AK111" s="18"/>
      <c r="AL111" s="67"/>
      <c r="AM111" s="18"/>
      <c r="AN111" s="21" t="str">
        <f>IF(AN108=0,""," "&amp;"Date Due"&amp;": ")</f>
        <v/>
      </c>
      <c r="AO111" s="72" t="str">
        <f ca="1">IFERROR(IF(EG109="Yes",_xlfn.CONCAT("⚠"," ",TEXT(INDEX(InputTbl[],MATCH(AN108,InputTbl[Task Name],0),MATCH("Due Date",InputTbl[#Headers],0)),"mm/dd/yyyy")," ","⚠"),INDEX(InputTbl[],MATCH(AN108,InputTbl[Task Name],0),MATCH("Due Date",InputTbl[#Headers],0))),"")</f>
        <v/>
      </c>
      <c r="AP111" s="72"/>
      <c r="AQ111" s="18"/>
      <c r="AR111" s="67"/>
      <c r="AS111" s="18"/>
      <c r="AT111" s="21" t="str">
        <f>IF(AT108=0,""," "&amp;"Date Due"&amp;": ")</f>
        <v/>
      </c>
      <c r="AU111" s="72" t="str">
        <f ca="1">IFERROR(IF(ES109="Yes",_xlfn.CONCAT("⚠"," ",TEXT(INDEX(InputTbl[],MATCH(AT108,InputTbl[Task Name],0),MATCH("Due Date",InputTbl[#Headers],0)),"mm/dd/yyyy")," ","⚠"),INDEX(InputTbl[],MATCH(AT108,InputTbl[Task Name],0),MATCH("Due Date",InputTbl[#Headers],0))),"")</f>
        <v/>
      </c>
      <c r="AV111" s="72"/>
      <c r="AW111" s="18"/>
      <c r="AX111" s="67"/>
      <c r="AY111" s="18"/>
      <c r="AZ111" s="21" t="str">
        <f>IF(AZ108=0,""," "&amp;"Date Due"&amp;": ")</f>
        <v/>
      </c>
      <c r="BA111" s="72" t="str">
        <f ca="1">IFERROR(IF(FE109="Yes",_xlfn.CONCAT("⚠"," ",TEXT(INDEX(InputTbl[],MATCH(AZ108,InputTbl[Task Name],0),MATCH("Due Date",InputTbl[#Headers],0)),"mm/dd/yyyy")," ","⚠"),INDEX(InputTbl[],MATCH(AZ108,InputTbl[Task Name],0),MATCH("Due Date",InputTbl[#Headers],0))),"")</f>
        <v/>
      </c>
      <c r="BB111" s="72"/>
      <c r="BC111" s="18"/>
      <c r="BD111" s="67"/>
      <c r="BE111" s="18"/>
      <c r="BL111" s="8"/>
      <c r="BM111" s="74"/>
      <c r="BN111" s="74"/>
      <c r="BX111" s="8"/>
      <c r="BY111" s="74"/>
      <c r="BZ111" s="74"/>
      <c r="CJ111" s="8"/>
      <c r="CK111" s="74"/>
      <c r="CL111" s="74"/>
      <c r="CV111" s="8"/>
      <c r="CW111" s="74"/>
      <c r="CX111" s="74"/>
      <c r="DH111" s="8"/>
      <c r="DI111" s="74"/>
      <c r="DJ111" s="74"/>
      <c r="DT111" s="8"/>
      <c r="DU111" s="74"/>
      <c r="DV111" s="74"/>
      <c r="EF111" s="8"/>
      <c r="EG111" s="74"/>
      <c r="EH111" s="74"/>
      <c r="ER111" s="8"/>
      <c r="ES111" s="74"/>
      <c r="ET111" s="74"/>
      <c r="FD111" s="8"/>
      <c r="FE111" s="74"/>
      <c r="FF111" s="74"/>
    </row>
    <row r="112" spans="1:162" ht="15" customHeight="1" x14ac:dyDescent="0.25">
      <c r="A112" s="18"/>
      <c r="B112" s="67"/>
      <c r="C112" s="18"/>
      <c r="D112" s="18"/>
      <c r="E112" s="18"/>
      <c r="F112" s="18"/>
      <c r="G112" s="18"/>
      <c r="H112" s="67"/>
      <c r="I112" s="18"/>
      <c r="J112" s="18"/>
      <c r="K112" s="18"/>
      <c r="L112" s="18"/>
      <c r="M112" s="18"/>
      <c r="N112" s="67"/>
      <c r="O112" s="18"/>
      <c r="P112" s="18"/>
      <c r="Q112" s="18"/>
      <c r="R112" s="18"/>
      <c r="S112" s="18"/>
      <c r="T112" s="67"/>
      <c r="U112" s="18"/>
      <c r="V112" s="18"/>
      <c r="W112" s="18"/>
      <c r="X112" s="18"/>
      <c r="Y112" s="18"/>
      <c r="Z112" s="67"/>
      <c r="AA112" s="18"/>
      <c r="AB112" s="18"/>
      <c r="AC112" s="18"/>
      <c r="AD112" s="18"/>
      <c r="AE112" s="18"/>
      <c r="AF112" s="67"/>
      <c r="AG112" s="18"/>
      <c r="AH112" s="18"/>
      <c r="AI112" s="18"/>
      <c r="AJ112" s="18"/>
      <c r="AK112" s="18"/>
      <c r="AL112" s="67"/>
      <c r="AM112" s="18"/>
      <c r="AN112" s="18"/>
      <c r="AO112" s="18"/>
      <c r="AP112" s="18"/>
      <c r="AQ112" s="18"/>
      <c r="AR112" s="67"/>
      <c r="AS112" s="18"/>
      <c r="AT112" s="18"/>
      <c r="AU112" s="18"/>
      <c r="AV112" s="18"/>
      <c r="AW112" s="18"/>
      <c r="AX112" s="67"/>
      <c r="AY112" s="18"/>
      <c r="AZ112" s="18"/>
      <c r="BA112" s="18"/>
      <c r="BB112" s="18"/>
      <c r="BC112" s="18"/>
      <c r="BD112" s="67"/>
      <c r="BE112" s="18"/>
    </row>
  </sheetData>
  <mergeCells count="1351">
    <mergeCell ref="D13:E14"/>
    <mergeCell ref="F13:F14"/>
    <mergeCell ref="D18:E19"/>
    <mergeCell ref="F18:F19"/>
    <mergeCell ref="AH6:AJ6"/>
    <mergeCell ref="AL6:AL112"/>
    <mergeCell ref="AN6:AP6"/>
    <mergeCell ref="AR6:AR112"/>
    <mergeCell ref="AT6:AV6"/>
    <mergeCell ref="AX6:AX112"/>
    <mergeCell ref="AZ6:BB6"/>
    <mergeCell ref="E11:F11"/>
    <mergeCell ref="D8:E9"/>
    <mergeCell ref="F8:F9"/>
    <mergeCell ref="E10:F10"/>
    <mergeCell ref="K10:L10"/>
    <mergeCell ref="K11:L11"/>
    <mergeCell ref="Q10:R10"/>
    <mergeCell ref="Q11:R11"/>
    <mergeCell ref="E40:F40"/>
    <mergeCell ref="E41:F41"/>
    <mergeCell ref="E45:F45"/>
    <mergeCell ref="D38:E39"/>
    <mergeCell ref="F38:F39"/>
    <mergeCell ref="D43:E44"/>
    <mergeCell ref="F43:F44"/>
    <mergeCell ref="E30:F30"/>
    <mergeCell ref="E31:F31"/>
    <mergeCell ref="E35:F35"/>
    <mergeCell ref="E36:F36"/>
    <mergeCell ref="D33:E34"/>
    <mergeCell ref="F33:F34"/>
    <mergeCell ref="E21:F21"/>
    <mergeCell ref="E25:F25"/>
    <mergeCell ref="E26:F26"/>
    <mergeCell ref="E15:F15"/>
    <mergeCell ref="E16:F16"/>
    <mergeCell ref="E20:F20"/>
    <mergeCell ref="D78:E79"/>
    <mergeCell ref="F78:F79"/>
    <mergeCell ref="E65:F65"/>
    <mergeCell ref="E66:F66"/>
    <mergeCell ref="E70:F70"/>
    <mergeCell ref="D63:E64"/>
    <mergeCell ref="F63:F64"/>
    <mergeCell ref="D68:E69"/>
    <mergeCell ref="F68:F69"/>
    <mergeCell ref="E55:F55"/>
    <mergeCell ref="E56:F56"/>
    <mergeCell ref="E60:F60"/>
    <mergeCell ref="E61:F61"/>
    <mergeCell ref="D58:E59"/>
    <mergeCell ref="F58:F59"/>
    <mergeCell ref="E46:F46"/>
    <mergeCell ref="E50:F50"/>
    <mergeCell ref="E51:F51"/>
    <mergeCell ref="D48:E49"/>
    <mergeCell ref="F48:F49"/>
    <mergeCell ref="D53:E54"/>
    <mergeCell ref="F53:F54"/>
    <mergeCell ref="D23:E24"/>
    <mergeCell ref="F23:F24"/>
    <mergeCell ref="D28:E29"/>
    <mergeCell ref="F28:F29"/>
    <mergeCell ref="K20:L20"/>
    <mergeCell ref="E105:F105"/>
    <mergeCell ref="E106:F106"/>
    <mergeCell ref="E110:F110"/>
    <mergeCell ref="E111:F111"/>
    <mergeCell ref="D108:E109"/>
    <mergeCell ref="F108:F109"/>
    <mergeCell ref="E96:F96"/>
    <mergeCell ref="E100:F100"/>
    <mergeCell ref="E101:F101"/>
    <mergeCell ref="D98:E99"/>
    <mergeCell ref="F98:F99"/>
    <mergeCell ref="D103:E104"/>
    <mergeCell ref="F103:F104"/>
    <mergeCell ref="E90:F90"/>
    <mergeCell ref="E91:F91"/>
    <mergeCell ref="E95:F95"/>
    <mergeCell ref="D88:E89"/>
    <mergeCell ref="F88:F89"/>
    <mergeCell ref="D93:E94"/>
    <mergeCell ref="F93:F94"/>
    <mergeCell ref="E80:F80"/>
    <mergeCell ref="E81:F81"/>
    <mergeCell ref="E85:F85"/>
    <mergeCell ref="E86:F86"/>
    <mergeCell ref="D83:E84"/>
    <mergeCell ref="F83:F84"/>
    <mergeCell ref="E71:F71"/>
    <mergeCell ref="E75:F75"/>
    <mergeCell ref="E76:F76"/>
    <mergeCell ref="D73:E74"/>
    <mergeCell ref="F73:F74"/>
    <mergeCell ref="K40:L40"/>
    <mergeCell ref="K41:L41"/>
    <mergeCell ref="K45:L45"/>
    <mergeCell ref="J38:K39"/>
    <mergeCell ref="L38:L39"/>
    <mergeCell ref="J43:K44"/>
    <mergeCell ref="L43:L44"/>
    <mergeCell ref="K30:L30"/>
    <mergeCell ref="K31:L31"/>
    <mergeCell ref="K35:L35"/>
    <mergeCell ref="K36:L36"/>
    <mergeCell ref="J33:K34"/>
    <mergeCell ref="L33:L34"/>
    <mergeCell ref="K21:L21"/>
    <mergeCell ref="K25:L25"/>
    <mergeCell ref="K26:L26"/>
    <mergeCell ref="J23:K24"/>
    <mergeCell ref="L23:L24"/>
    <mergeCell ref="J28:K29"/>
    <mergeCell ref="L28:L29"/>
    <mergeCell ref="J78:K79"/>
    <mergeCell ref="L78:L79"/>
    <mergeCell ref="K65:L65"/>
    <mergeCell ref="K66:L66"/>
    <mergeCell ref="K70:L70"/>
    <mergeCell ref="J63:K64"/>
    <mergeCell ref="L63:L64"/>
    <mergeCell ref="J68:K69"/>
    <mergeCell ref="L68:L69"/>
    <mergeCell ref="K55:L55"/>
    <mergeCell ref="K56:L56"/>
    <mergeCell ref="K60:L60"/>
    <mergeCell ref="K61:L61"/>
    <mergeCell ref="J58:K59"/>
    <mergeCell ref="L58:L59"/>
    <mergeCell ref="K46:L46"/>
    <mergeCell ref="K50:L50"/>
    <mergeCell ref="K51:L51"/>
    <mergeCell ref="J48:K49"/>
    <mergeCell ref="L48:L49"/>
    <mergeCell ref="J53:K54"/>
    <mergeCell ref="L53:L54"/>
    <mergeCell ref="Q20:R20"/>
    <mergeCell ref="K105:L105"/>
    <mergeCell ref="K106:L106"/>
    <mergeCell ref="K110:L110"/>
    <mergeCell ref="K111:L111"/>
    <mergeCell ref="J108:K109"/>
    <mergeCell ref="L108:L109"/>
    <mergeCell ref="K96:L96"/>
    <mergeCell ref="K100:L100"/>
    <mergeCell ref="K101:L101"/>
    <mergeCell ref="J98:K99"/>
    <mergeCell ref="L98:L99"/>
    <mergeCell ref="J103:K104"/>
    <mergeCell ref="L103:L104"/>
    <mergeCell ref="K90:L90"/>
    <mergeCell ref="K91:L91"/>
    <mergeCell ref="K95:L95"/>
    <mergeCell ref="J88:K89"/>
    <mergeCell ref="L88:L89"/>
    <mergeCell ref="J93:K94"/>
    <mergeCell ref="L93:L94"/>
    <mergeCell ref="K80:L80"/>
    <mergeCell ref="K81:L81"/>
    <mergeCell ref="K85:L85"/>
    <mergeCell ref="K86:L86"/>
    <mergeCell ref="J83:K84"/>
    <mergeCell ref="L83:L84"/>
    <mergeCell ref="K71:L71"/>
    <mergeCell ref="K75:L75"/>
    <mergeCell ref="K76:L76"/>
    <mergeCell ref="J73:K74"/>
    <mergeCell ref="L73:L74"/>
    <mergeCell ref="Q40:R40"/>
    <mergeCell ref="Q41:R41"/>
    <mergeCell ref="Q45:R45"/>
    <mergeCell ref="P38:Q39"/>
    <mergeCell ref="R38:R39"/>
    <mergeCell ref="P43:Q44"/>
    <mergeCell ref="R43:R44"/>
    <mergeCell ref="Q30:R30"/>
    <mergeCell ref="Q31:R31"/>
    <mergeCell ref="Q35:R35"/>
    <mergeCell ref="Q36:R36"/>
    <mergeCell ref="P33:Q34"/>
    <mergeCell ref="R33:R34"/>
    <mergeCell ref="Q21:R21"/>
    <mergeCell ref="Q25:R25"/>
    <mergeCell ref="Q26:R26"/>
    <mergeCell ref="P23:Q24"/>
    <mergeCell ref="R23:R24"/>
    <mergeCell ref="P28:Q29"/>
    <mergeCell ref="R28:R29"/>
    <mergeCell ref="Q70:R70"/>
    <mergeCell ref="P63:Q64"/>
    <mergeCell ref="R63:R64"/>
    <mergeCell ref="P68:Q69"/>
    <mergeCell ref="R68:R69"/>
    <mergeCell ref="Q55:R55"/>
    <mergeCell ref="Q56:R56"/>
    <mergeCell ref="Q60:R60"/>
    <mergeCell ref="Q61:R61"/>
    <mergeCell ref="P58:Q59"/>
    <mergeCell ref="R58:R59"/>
    <mergeCell ref="Q46:R46"/>
    <mergeCell ref="Q50:R50"/>
    <mergeCell ref="Q51:R51"/>
    <mergeCell ref="P48:Q49"/>
    <mergeCell ref="R48:R49"/>
    <mergeCell ref="P53:Q54"/>
    <mergeCell ref="R53:R54"/>
    <mergeCell ref="Q106:R106"/>
    <mergeCell ref="Q110:R110"/>
    <mergeCell ref="Q111:R111"/>
    <mergeCell ref="P108:Q109"/>
    <mergeCell ref="R108:R109"/>
    <mergeCell ref="Q96:R96"/>
    <mergeCell ref="Q100:R100"/>
    <mergeCell ref="Q101:R101"/>
    <mergeCell ref="P98:Q99"/>
    <mergeCell ref="R98:R99"/>
    <mergeCell ref="P103:Q104"/>
    <mergeCell ref="R103:R104"/>
    <mergeCell ref="Q90:R90"/>
    <mergeCell ref="Q91:R91"/>
    <mergeCell ref="Q95:R95"/>
    <mergeCell ref="P88:Q89"/>
    <mergeCell ref="R88:R89"/>
    <mergeCell ref="P93:Q94"/>
    <mergeCell ref="R93:R94"/>
    <mergeCell ref="W26:X26"/>
    <mergeCell ref="W30:X30"/>
    <mergeCell ref="W31:X31"/>
    <mergeCell ref="V28:W29"/>
    <mergeCell ref="X28:X29"/>
    <mergeCell ref="V33:W34"/>
    <mergeCell ref="X33:X34"/>
    <mergeCell ref="W20:X20"/>
    <mergeCell ref="W21:X21"/>
    <mergeCell ref="W25:X25"/>
    <mergeCell ref="V23:W24"/>
    <mergeCell ref="X23:X24"/>
    <mergeCell ref="W10:X10"/>
    <mergeCell ref="W11:X11"/>
    <mergeCell ref="W15:X15"/>
    <mergeCell ref="W16:X16"/>
    <mergeCell ref="Q105:R105"/>
    <mergeCell ref="Q80:R80"/>
    <mergeCell ref="Q81:R81"/>
    <mergeCell ref="Q85:R85"/>
    <mergeCell ref="Q86:R86"/>
    <mergeCell ref="P83:Q84"/>
    <mergeCell ref="R83:R84"/>
    <mergeCell ref="Q71:R71"/>
    <mergeCell ref="Q75:R75"/>
    <mergeCell ref="Q76:R76"/>
    <mergeCell ref="P73:Q74"/>
    <mergeCell ref="R73:R74"/>
    <mergeCell ref="P78:Q79"/>
    <mergeCell ref="R78:R79"/>
    <mergeCell ref="Q65:R65"/>
    <mergeCell ref="Q66:R66"/>
    <mergeCell ref="W51:X51"/>
    <mergeCell ref="W55:X55"/>
    <mergeCell ref="W56:X56"/>
    <mergeCell ref="V53:W54"/>
    <mergeCell ref="X53:X54"/>
    <mergeCell ref="V58:W59"/>
    <mergeCell ref="X58:X59"/>
    <mergeCell ref="W45:X45"/>
    <mergeCell ref="W46:X46"/>
    <mergeCell ref="W50:X50"/>
    <mergeCell ref="V43:W44"/>
    <mergeCell ref="X43:X44"/>
    <mergeCell ref="V48:W49"/>
    <mergeCell ref="X48:X49"/>
    <mergeCell ref="W35:X35"/>
    <mergeCell ref="W36:X36"/>
    <mergeCell ref="W40:X40"/>
    <mergeCell ref="W41:X41"/>
    <mergeCell ref="V38:W39"/>
    <mergeCell ref="X38:X39"/>
    <mergeCell ref="W80:X80"/>
    <mergeCell ref="W81:X81"/>
    <mergeCell ref="V78:W79"/>
    <mergeCell ref="X78:X79"/>
    <mergeCell ref="V83:W84"/>
    <mergeCell ref="X83:X84"/>
    <mergeCell ref="W70:X70"/>
    <mergeCell ref="W71:X71"/>
    <mergeCell ref="W75:X75"/>
    <mergeCell ref="V68:W69"/>
    <mergeCell ref="X68:X69"/>
    <mergeCell ref="V73:W74"/>
    <mergeCell ref="X73:X74"/>
    <mergeCell ref="W60:X60"/>
    <mergeCell ref="W61:X61"/>
    <mergeCell ref="W65:X65"/>
    <mergeCell ref="W66:X66"/>
    <mergeCell ref="V63:W64"/>
    <mergeCell ref="X63:X64"/>
    <mergeCell ref="W110:X110"/>
    <mergeCell ref="W111:X111"/>
    <mergeCell ref="AC10:AD10"/>
    <mergeCell ref="AC11:AD11"/>
    <mergeCell ref="AC15:AD15"/>
    <mergeCell ref="AC16:AD16"/>
    <mergeCell ref="AC20:AD20"/>
    <mergeCell ref="AC21:AD21"/>
    <mergeCell ref="AC25:AD25"/>
    <mergeCell ref="AC26:AD26"/>
    <mergeCell ref="AC30:AD30"/>
    <mergeCell ref="W101:X101"/>
    <mergeCell ref="W105:X105"/>
    <mergeCell ref="W106:X106"/>
    <mergeCell ref="V103:W104"/>
    <mergeCell ref="X103:X104"/>
    <mergeCell ref="V108:W109"/>
    <mergeCell ref="X108:X109"/>
    <mergeCell ref="W95:X95"/>
    <mergeCell ref="W96:X96"/>
    <mergeCell ref="W100:X100"/>
    <mergeCell ref="V93:W94"/>
    <mergeCell ref="X93:X94"/>
    <mergeCell ref="V98:W99"/>
    <mergeCell ref="X98:X99"/>
    <mergeCell ref="W85:X85"/>
    <mergeCell ref="W86:X86"/>
    <mergeCell ref="W90:X90"/>
    <mergeCell ref="W91:X91"/>
    <mergeCell ref="V88:W89"/>
    <mergeCell ref="X88:X89"/>
    <mergeCell ref="W76:X76"/>
    <mergeCell ref="AC50:AD50"/>
    <mergeCell ref="AC51:AD51"/>
    <mergeCell ref="AC55:AD55"/>
    <mergeCell ref="AB48:AC49"/>
    <mergeCell ref="AD48:AD49"/>
    <mergeCell ref="AB53:AC54"/>
    <mergeCell ref="AD53:AD54"/>
    <mergeCell ref="AC40:AD40"/>
    <mergeCell ref="AC41:AD41"/>
    <mergeCell ref="AC45:AD45"/>
    <mergeCell ref="AC46:AD46"/>
    <mergeCell ref="AB43:AC44"/>
    <mergeCell ref="AD43:AD44"/>
    <mergeCell ref="AC31:AD31"/>
    <mergeCell ref="AC35:AD35"/>
    <mergeCell ref="AC36:AD36"/>
    <mergeCell ref="AB38:AC39"/>
    <mergeCell ref="AD38:AD39"/>
    <mergeCell ref="AB88:AC89"/>
    <mergeCell ref="AD88:AD89"/>
    <mergeCell ref="AC75:AD75"/>
    <mergeCell ref="AC76:AD76"/>
    <mergeCell ref="AC80:AD80"/>
    <mergeCell ref="AB73:AC74"/>
    <mergeCell ref="AD73:AD74"/>
    <mergeCell ref="AB78:AC79"/>
    <mergeCell ref="AD78:AD79"/>
    <mergeCell ref="AC65:AD65"/>
    <mergeCell ref="AC66:AD66"/>
    <mergeCell ref="AC70:AD70"/>
    <mergeCell ref="AC71:AD71"/>
    <mergeCell ref="AB68:AC69"/>
    <mergeCell ref="AD68:AD69"/>
    <mergeCell ref="AC56:AD56"/>
    <mergeCell ref="AC60:AD60"/>
    <mergeCell ref="AC61:AD61"/>
    <mergeCell ref="AB58:AC59"/>
    <mergeCell ref="AD58:AD59"/>
    <mergeCell ref="AB63:AC64"/>
    <mergeCell ref="AD63:AD64"/>
    <mergeCell ref="AI30:AJ30"/>
    <mergeCell ref="AI31:AJ31"/>
    <mergeCell ref="AI35:AJ35"/>
    <mergeCell ref="AC106:AD106"/>
    <mergeCell ref="AC110:AD110"/>
    <mergeCell ref="AC111:AD111"/>
    <mergeCell ref="AI10:AJ10"/>
    <mergeCell ref="AI11:AJ11"/>
    <mergeCell ref="AI15:AJ15"/>
    <mergeCell ref="AI16:AJ16"/>
    <mergeCell ref="AI20:AJ20"/>
    <mergeCell ref="AI21:AJ21"/>
    <mergeCell ref="AI25:AJ25"/>
    <mergeCell ref="AI26:AJ26"/>
    <mergeCell ref="AC100:AD100"/>
    <mergeCell ref="AC101:AD101"/>
    <mergeCell ref="AC105:AD105"/>
    <mergeCell ref="AB98:AC99"/>
    <mergeCell ref="AD98:AD99"/>
    <mergeCell ref="AB103:AC104"/>
    <mergeCell ref="AD103:AD104"/>
    <mergeCell ref="AC90:AD90"/>
    <mergeCell ref="AC91:AD91"/>
    <mergeCell ref="AC95:AD95"/>
    <mergeCell ref="AC96:AD96"/>
    <mergeCell ref="AB93:AC94"/>
    <mergeCell ref="AD93:AD94"/>
    <mergeCell ref="AC81:AD81"/>
    <mergeCell ref="AC85:AD85"/>
    <mergeCell ref="AC86:AD86"/>
    <mergeCell ref="AB83:AC84"/>
    <mergeCell ref="AD83:AD84"/>
    <mergeCell ref="AI55:AJ55"/>
    <mergeCell ref="AI56:AJ56"/>
    <mergeCell ref="AI60:AJ60"/>
    <mergeCell ref="AH53:AI54"/>
    <mergeCell ref="AJ53:AJ54"/>
    <mergeCell ref="AH58:AI59"/>
    <mergeCell ref="AJ58:AJ59"/>
    <mergeCell ref="AI45:AJ45"/>
    <mergeCell ref="AI46:AJ46"/>
    <mergeCell ref="AI50:AJ50"/>
    <mergeCell ref="AI51:AJ51"/>
    <mergeCell ref="AH48:AI49"/>
    <mergeCell ref="AJ48:AJ49"/>
    <mergeCell ref="AI36:AJ36"/>
    <mergeCell ref="AI40:AJ40"/>
    <mergeCell ref="AI41:AJ41"/>
    <mergeCell ref="AH43:AI44"/>
    <mergeCell ref="AJ43:AJ44"/>
    <mergeCell ref="AI81:AJ81"/>
    <mergeCell ref="AI85:AJ85"/>
    <mergeCell ref="AH78:AI79"/>
    <mergeCell ref="AJ78:AJ79"/>
    <mergeCell ref="AH83:AI84"/>
    <mergeCell ref="AJ83:AJ84"/>
    <mergeCell ref="AI70:AJ70"/>
    <mergeCell ref="AI71:AJ71"/>
    <mergeCell ref="AI75:AJ75"/>
    <mergeCell ref="AI76:AJ76"/>
    <mergeCell ref="AH73:AI74"/>
    <mergeCell ref="AJ73:AJ74"/>
    <mergeCell ref="AI61:AJ61"/>
    <mergeCell ref="AI65:AJ65"/>
    <mergeCell ref="AI66:AJ66"/>
    <mergeCell ref="AH63:AI64"/>
    <mergeCell ref="AJ63:AJ64"/>
    <mergeCell ref="AH68:AI69"/>
    <mergeCell ref="AJ68:AJ69"/>
    <mergeCell ref="AI111:AJ111"/>
    <mergeCell ref="AO10:AP10"/>
    <mergeCell ref="AO11:AP11"/>
    <mergeCell ref="AO15:AP15"/>
    <mergeCell ref="AO16:AP16"/>
    <mergeCell ref="AO20:AP20"/>
    <mergeCell ref="AO21:AP21"/>
    <mergeCell ref="AO25:AP25"/>
    <mergeCell ref="AO26:AP26"/>
    <mergeCell ref="AO30:AP30"/>
    <mergeCell ref="AO31:AP31"/>
    <mergeCell ref="AI105:AJ105"/>
    <mergeCell ref="AI106:AJ106"/>
    <mergeCell ref="AI110:AJ110"/>
    <mergeCell ref="AH103:AI104"/>
    <mergeCell ref="AJ103:AJ104"/>
    <mergeCell ref="AH108:AI109"/>
    <mergeCell ref="AJ108:AJ109"/>
    <mergeCell ref="AI95:AJ95"/>
    <mergeCell ref="AI96:AJ96"/>
    <mergeCell ref="AI100:AJ100"/>
    <mergeCell ref="AI101:AJ101"/>
    <mergeCell ref="AH98:AI99"/>
    <mergeCell ref="AJ98:AJ99"/>
    <mergeCell ref="AI86:AJ86"/>
    <mergeCell ref="AI90:AJ90"/>
    <mergeCell ref="AI91:AJ91"/>
    <mergeCell ref="AH88:AI89"/>
    <mergeCell ref="AJ88:AJ89"/>
    <mergeCell ref="AH93:AI94"/>
    <mergeCell ref="AJ93:AJ94"/>
    <mergeCell ref="AI80:AJ80"/>
    <mergeCell ref="AN63:AO64"/>
    <mergeCell ref="AP63:AP64"/>
    <mergeCell ref="AO50:AP50"/>
    <mergeCell ref="AO51:AP51"/>
    <mergeCell ref="AO55:AP55"/>
    <mergeCell ref="AO56:AP56"/>
    <mergeCell ref="AN53:AO54"/>
    <mergeCell ref="AP53:AP54"/>
    <mergeCell ref="AO41:AP41"/>
    <mergeCell ref="AO45:AP45"/>
    <mergeCell ref="AO46:AP46"/>
    <mergeCell ref="AN43:AO44"/>
    <mergeCell ref="AP43:AP44"/>
    <mergeCell ref="AN48:AO49"/>
    <mergeCell ref="AP48:AP49"/>
    <mergeCell ref="AO35:AP35"/>
    <mergeCell ref="AO36:AP36"/>
    <mergeCell ref="AO40:AP40"/>
    <mergeCell ref="AN38:AO39"/>
    <mergeCell ref="AP38:AP39"/>
    <mergeCell ref="AO111:AP111"/>
    <mergeCell ref="AU10:AV10"/>
    <mergeCell ref="AU11:AV11"/>
    <mergeCell ref="AU15:AV15"/>
    <mergeCell ref="AU16:AV16"/>
    <mergeCell ref="AU20:AV20"/>
    <mergeCell ref="AU21:AV21"/>
    <mergeCell ref="AU25:AV25"/>
    <mergeCell ref="AU26:AV26"/>
    <mergeCell ref="AO100:AP100"/>
    <mergeCell ref="AO101:AP101"/>
    <mergeCell ref="AO105:AP105"/>
    <mergeCell ref="AO106:AP106"/>
    <mergeCell ref="AN103:AO104"/>
    <mergeCell ref="AP103:AP104"/>
    <mergeCell ref="AO91:AP91"/>
    <mergeCell ref="AO95:AP95"/>
    <mergeCell ref="AO96:AP96"/>
    <mergeCell ref="AN93:AO94"/>
    <mergeCell ref="AP93:AP94"/>
    <mergeCell ref="AN98:AO99"/>
    <mergeCell ref="AP98:AP99"/>
    <mergeCell ref="AO85:AP85"/>
    <mergeCell ref="AO86:AP86"/>
    <mergeCell ref="AO90:AP90"/>
    <mergeCell ref="AN83:AO84"/>
    <mergeCell ref="AP83:AP84"/>
    <mergeCell ref="AN88:AO89"/>
    <mergeCell ref="AP88:AP89"/>
    <mergeCell ref="AO75:AP75"/>
    <mergeCell ref="AO76:AP76"/>
    <mergeCell ref="AO80:AP80"/>
    <mergeCell ref="AU46:AV46"/>
    <mergeCell ref="AU50:AV50"/>
    <mergeCell ref="AU51:AV51"/>
    <mergeCell ref="AT48:AU49"/>
    <mergeCell ref="AV48:AV49"/>
    <mergeCell ref="AT53:AU54"/>
    <mergeCell ref="AV53:AV54"/>
    <mergeCell ref="AU40:AV40"/>
    <mergeCell ref="AU41:AV41"/>
    <mergeCell ref="AU45:AV45"/>
    <mergeCell ref="AT43:AU44"/>
    <mergeCell ref="AV43:AV44"/>
    <mergeCell ref="AU30:AV30"/>
    <mergeCell ref="AU31:AV31"/>
    <mergeCell ref="AU35:AV35"/>
    <mergeCell ref="AU36:AV36"/>
    <mergeCell ref="AO110:AP110"/>
    <mergeCell ref="AO81:AP81"/>
    <mergeCell ref="AN78:AO79"/>
    <mergeCell ref="AP78:AP79"/>
    <mergeCell ref="AO66:AP66"/>
    <mergeCell ref="AO70:AP70"/>
    <mergeCell ref="AO71:AP71"/>
    <mergeCell ref="AN68:AO69"/>
    <mergeCell ref="AP68:AP69"/>
    <mergeCell ref="AN73:AO74"/>
    <mergeCell ref="AP73:AP74"/>
    <mergeCell ref="AO60:AP60"/>
    <mergeCell ref="AO61:AP61"/>
    <mergeCell ref="AO65:AP65"/>
    <mergeCell ref="AN58:AO59"/>
    <mergeCell ref="AP58:AP59"/>
    <mergeCell ref="AV83:AV84"/>
    <mergeCell ref="AU71:AV71"/>
    <mergeCell ref="AU75:AV75"/>
    <mergeCell ref="AU76:AV76"/>
    <mergeCell ref="AT73:AU74"/>
    <mergeCell ref="AV73:AV74"/>
    <mergeCell ref="AT78:AU79"/>
    <mergeCell ref="AV78:AV79"/>
    <mergeCell ref="AU65:AV65"/>
    <mergeCell ref="AU66:AV66"/>
    <mergeCell ref="AU70:AV70"/>
    <mergeCell ref="AT63:AU64"/>
    <mergeCell ref="AV63:AV64"/>
    <mergeCell ref="AT68:AU69"/>
    <mergeCell ref="AV68:AV69"/>
    <mergeCell ref="AU55:AV55"/>
    <mergeCell ref="AU56:AV56"/>
    <mergeCell ref="AU60:AV60"/>
    <mergeCell ref="AU61:AV61"/>
    <mergeCell ref="AT58:AU59"/>
    <mergeCell ref="AV58:AV59"/>
    <mergeCell ref="BA10:BB10"/>
    <mergeCell ref="BA11:BB11"/>
    <mergeCell ref="BA15:BB15"/>
    <mergeCell ref="AZ8:BA9"/>
    <mergeCell ref="BB8:BB9"/>
    <mergeCell ref="AZ13:BA14"/>
    <mergeCell ref="BB13:BB14"/>
    <mergeCell ref="AU105:AV105"/>
    <mergeCell ref="AU106:AV106"/>
    <mergeCell ref="AU110:AV110"/>
    <mergeCell ref="AU111:AV111"/>
    <mergeCell ref="AT108:AU109"/>
    <mergeCell ref="AV108:AV109"/>
    <mergeCell ref="AU96:AV96"/>
    <mergeCell ref="AU100:AV100"/>
    <mergeCell ref="AU101:AV101"/>
    <mergeCell ref="AT98:AU99"/>
    <mergeCell ref="AV98:AV99"/>
    <mergeCell ref="AT103:AU104"/>
    <mergeCell ref="AV103:AV104"/>
    <mergeCell ref="AU90:AV90"/>
    <mergeCell ref="AU91:AV91"/>
    <mergeCell ref="AU95:AV95"/>
    <mergeCell ref="AT88:AU89"/>
    <mergeCell ref="AV88:AV89"/>
    <mergeCell ref="AT93:AU94"/>
    <mergeCell ref="AV93:AV94"/>
    <mergeCell ref="AU80:AV80"/>
    <mergeCell ref="AU81:AV81"/>
    <mergeCell ref="AU85:AV85"/>
    <mergeCell ref="AU86:AV86"/>
    <mergeCell ref="AT83:AU84"/>
    <mergeCell ref="BA35:BB35"/>
    <mergeCell ref="BA36:BB36"/>
    <mergeCell ref="BA40:BB40"/>
    <mergeCell ref="AZ33:BA34"/>
    <mergeCell ref="BB33:BB34"/>
    <mergeCell ref="AZ38:BA39"/>
    <mergeCell ref="BB38:BB39"/>
    <mergeCell ref="BA25:BB25"/>
    <mergeCell ref="BA26:BB26"/>
    <mergeCell ref="BA30:BB30"/>
    <mergeCell ref="BA31:BB31"/>
    <mergeCell ref="AZ28:BA29"/>
    <mergeCell ref="BB28:BB29"/>
    <mergeCell ref="BA16:BB16"/>
    <mergeCell ref="BA20:BB20"/>
    <mergeCell ref="BA21:BB21"/>
    <mergeCell ref="AZ18:BA19"/>
    <mergeCell ref="BB18:BB19"/>
    <mergeCell ref="AZ23:BA24"/>
    <mergeCell ref="BB23:BB24"/>
    <mergeCell ref="BA60:BB60"/>
    <mergeCell ref="BA61:BB61"/>
    <mergeCell ref="BA65:BB65"/>
    <mergeCell ref="AZ58:BA59"/>
    <mergeCell ref="BB58:BB59"/>
    <mergeCell ref="AZ63:BA64"/>
    <mergeCell ref="BB63:BB64"/>
    <mergeCell ref="BA50:BB50"/>
    <mergeCell ref="BA51:BB51"/>
    <mergeCell ref="BA55:BB55"/>
    <mergeCell ref="BA56:BB56"/>
    <mergeCell ref="AZ53:BA54"/>
    <mergeCell ref="BB53:BB54"/>
    <mergeCell ref="BA41:BB41"/>
    <mergeCell ref="BA45:BB45"/>
    <mergeCell ref="BA46:BB46"/>
    <mergeCell ref="AZ43:BA44"/>
    <mergeCell ref="BB43:BB44"/>
    <mergeCell ref="AZ48:BA49"/>
    <mergeCell ref="BB48:BB49"/>
    <mergeCell ref="BA85:BB85"/>
    <mergeCell ref="BA86:BB86"/>
    <mergeCell ref="BA90:BB90"/>
    <mergeCell ref="AZ83:BA84"/>
    <mergeCell ref="BB83:BB84"/>
    <mergeCell ref="AZ88:BA89"/>
    <mergeCell ref="BB88:BB89"/>
    <mergeCell ref="BA75:BB75"/>
    <mergeCell ref="BA76:BB76"/>
    <mergeCell ref="BA80:BB80"/>
    <mergeCell ref="BA81:BB81"/>
    <mergeCell ref="AZ78:BA79"/>
    <mergeCell ref="BB78:BB79"/>
    <mergeCell ref="BA66:BB66"/>
    <mergeCell ref="BA70:BB70"/>
    <mergeCell ref="BA71:BB71"/>
    <mergeCell ref="AZ68:BA69"/>
    <mergeCell ref="BB68:BB69"/>
    <mergeCell ref="AZ73:BA74"/>
    <mergeCell ref="BB73:BB74"/>
    <mergeCell ref="BA110:BB110"/>
    <mergeCell ref="BA111:BB111"/>
    <mergeCell ref="AZ108:BA109"/>
    <mergeCell ref="BB108:BB109"/>
    <mergeCell ref="BA100:BB100"/>
    <mergeCell ref="BA101:BB101"/>
    <mergeCell ref="BA105:BB105"/>
    <mergeCell ref="BA106:BB106"/>
    <mergeCell ref="AZ103:BA104"/>
    <mergeCell ref="BB103:BB104"/>
    <mergeCell ref="BA91:BB91"/>
    <mergeCell ref="BA95:BB95"/>
    <mergeCell ref="BA96:BB96"/>
    <mergeCell ref="AZ93:BA94"/>
    <mergeCell ref="BB93:BB94"/>
    <mergeCell ref="AZ98:BA99"/>
    <mergeCell ref="BB98:BB99"/>
    <mergeCell ref="DV8:DV9"/>
    <mergeCell ref="EH8:EH9"/>
    <mergeCell ref="ET8:ET9"/>
    <mergeCell ref="FF8:FF9"/>
    <mergeCell ref="BN8:BN9"/>
    <mergeCell ref="BZ8:BZ9"/>
    <mergeCell ref="CL8:CL9"/>
    <mergeCell ref="CX8:CX9"/>
    <mergeCell ref="BL6:BT6"/>
    <mergeCell ref="BX6:CF6"/>
    <mergeCell ref="CJ6:CR6"/>
    <mergeCell ref="CV6:DD6"/>
    <mergeCell ref="DH6:DP6"/>
    <mergeCell ref="DT6:EB6"/>
    <mergeCell ref="EF6:EN6"/>
    <mergeCell ref="ER6:EZ6"/>
    <mergeCell ref="FD6:FL6"/>
    <mergeCell ref="BN13:BN14"/>
    <mergeCell ref="BZ13:BZ14"/>
    <mergeCell ref="CL13:CL14"/>
    <mergeCell ref="CX13:CX14"/>
    <mergeCell ref="DU10:DV10"/>
    <mergeCell ref="EG10:EH10"/>
    <mergeCell ref="ES10:ET10"/>
    <mergeCell ref="FE10:FF10"/>
    <mergeCell ref="BM11:BN11"/>
    <mergeCell ref="BY11:BZ11"/>
    <mergeCell ref="CK11:CL11"/>
    <mergeCell ref="CW11:CX11"/>
    <mergeCell ref="DI11:DJ11"/>
    <mergeCell ref="DU11:DV11"/>
    <mergeCell ref="EG11:EH11"/>
    <mergeCell ref="ES11:ET11"/>
    <mergeCell ref="FE11:FF11"/>
    <mergeCell ref="BM10:BN10"/>
    <mergeCell ref="BY10:BZ10"/>
    <mergeCell ref="CK10:CL10"/>
    <mergeCell ref="CW10:CX10"/>
    <mergeCell ref="DI10:DJ10"/>
    <mergeCell ref="EH13:EH14"/>
    <mergeCell ref="FF13:FF14"/>
    <mergeCell ref="ET13:ET14"/>
    <mergeCell ref="EG16:EH16"/>
    <mergeCell ref="ES16:ET16"/>
    <mergeCell ref="FE16:FF16"/>
    <mergeCell ref="BN18:BN19"/>
    <mergeCell ref="BZ18:BZ19"/>
    <mergeCell ref="CL18:CL19"/>
    <mergeCell ref="BM16:BN16"/>
    <mergeCell ref="BY16:BZ16"/>
    <mergeCell ref="CK16:CL16"/>
    <mergeCell ref="CW16:CX16"/>
    <mergeCell ref="DI16:DJ16"/>
    <mergeCell ref="BM15:BN15"/>
    <mergeCell ref="BY15:BZ15"/>
    <mergeCell ref="CK15:CL15"/>
    <mergeCell ref="CW15:CX15"/>
    <mergeCell ref="DI15:DJ15"/>
    <mergeCell ref="DU15:DV15"/>
    <mergeCell ref="EG15:EH15"/>
    <mergeCell ref="ES15:ET15"/>
    <mergeCell ref="FE15:FF15"/>
    <mergeCell ref="CX18:CX19"/>
    <mergeCell ref="EH18:EH19"/>
    <mergeCell ref="FF18:FF19"/>
    <mergeCell ref="ET18:ET19"/>
    <mergeCell ref="BN23:BN24"/>
    <mergeCell ref="BZ23:BZ24"/>
    <mergeCell ref="CL23:CL24"/>
    <mergeCell ref="DU20:DV20"/>
    <mergeCell ref="EG20:EH20"/>
    <mergeCell ref="ES20:ET20"/>
    <mergeCell ref="FE20:FF20"/>
    <mergeCell ref="BM21:BN21"/>
    <mergeCell ref="BY21:BZ21"/>
    <mergeCell ref="CK21:CL21"/>
    <mergeCell ref="CW21:CX21"/>
    <mergeCell ref="DI21:DJ21"/>
    <mergeCell ref="DU21:DV21"/>
    <mergeCell ref="EG21:EH21"/>
    <mergeCell ref="ES21:ET21"/>
    <mergeCell ref="FE21:FF21"/>
    <mergeCell ref="BM20:BN20"/>
    <mergeCell ref="BY20:BZ20"/>
    <mergeCell ref="CK20:CL20"/>
    <mergeCell ref="CW20:CX20"/>
    <mergeCell ref="DI20:DJ20"/>
    <mergeCell ref="CX23:CX24"/>
    <mergeCell ref="EH23:EH24"/>
    <mergeCell ref="FF23:FF24"/>
    <mergeCell ref="ET23:ET24"/>
    <mergeCell ref="EG26:EH26"/>
    <mergeCell ref="ES26:ET26"/>
    <mergeCell ref="FE26:FF26"/>
    <mergeCell ref="BN28:BN29"/>
    <mergeCell ref="BZ28:BZ29"/>
    <mergeCell ref="CL28:CL29"/>
    <mergeCell ref="BM26:BN26"/>
    <mergeCell ref="BY26:BZ26"/>
    <mergeCell ref="CK26:CL26"/>
    <mergeCell ref="CW26:CX26"/>
    <mergeCell ref="DI26:DJ26"/>
    <mergeCell ref="BM25:BN25"/>
    <mergeCell ref="BY25:BZ25"/>
    <mergeCell ref="CK25:CL25"/>
    <mergeCell ref="CW25:CX25"/>
    <mergeCell ref="DI25:DJ25"/>
    <mergeCell ref="DU25:DV25"/>
    <mergeCell ref="EG25:EH25"/>
    <mergeCell ref="ES25:ET25"/>
    <mergeCell ref="FE25:FF25"/>
    <mergeCell ref="CX28:CX29"/>
    <mergeCell ref="EH28:EH29"/>
    <mergeCell ref="FF28:FF29"/>
    <mergeCell ref="ET28:ET29"/>
    <mergeCell ref="BN33:BN34"/>
    <mergeCell ref="BZ33:BZ34"/>
    <mergeCell ref="CL33:CL34"/>
    <mergeCell ref="DU30:DV30"/>
    <mergeCell ref="EG30:EH30"/>
    <mergeCell ref="ES30:ET30"/>
    <mergeCell ref="FE30:FF30"/>
    <mergeCell ref="BM31:BN31"/>
    <mergeCell ref="BY31:BZ31"/>
    <mergeCell ref="CK31:CL31"/>
    <mergeCell ref="CW31:CX31"/>
    <mergeCell ref="DI31:DJ31"/>
    <mergeCell ref="DU31:DV31"/>
    <mergeCell ref="EG31:EH31"/>
    <mergeCell ref="ES31:ET31"/>
    <mergeCell ref="FE31:FF31"/>
    <mergeCell ref="BM30:BN30"/>
    <mergeCell ref="BY30:BZ30"/>
    <mergeCell ref="CK30:CL30"/>
    <mergeCell ref="CW30:CX30"/>
    <mergeCell ref="DI30:DJ30"/>
    <mergeCell ref="CX33:CX34"/>
    <mergeCell ref="EH33:EH34"/>
    <mergeCell ref="FF33:FF34"/>
    <mergeCell ref="ET33:ET34"/>
    <mergeCell ref="EG36:EH36"/>
    <mergeCell ref="ES36:ET36"/>
    <mergeCell ref="FE36:FF36"/>
    <mergeCell ref="BN38:BN39"/>
    <mergeCell ref="BZ38:BZ39"/>
    <mergeCell ref="CL38:CL39"/>
    <mergeCell ref="BM36:BN36"/>
    <mergeCell ref="BY36:BZ36"/>
    <mergeCell ref="CK36:CL36"/>
    <mergeCell ref="CW36:CX36"/>
    <mergeCell ref="DI36:DJ36"/>
    <mergeCell ref="BM35:BN35"/>
    <mergeCell ref="BY35:BZ35"/>
    <mergeCell ref="CK35:CL35"/>
    <mergeCell ref="CW35:CX35"/>
    <mergeCell ref="DI35:DJ35"/>
    <mergeCell ref="DU35:DV35"/>
    <mergeCell ref="EG35:EH35"/>
    <mergeCell ref="ES35:ET35"/>
    <mergeCell ref="FE35:FF35"/>
    <mergeCell ref="CX38:CX39"/>
    <mergeCell ref="ET38:ET39"/>
    <mergeCell ref="BN43:BN44"/>
    <mergeCell ref="BZ43:BZ44"/>
    <mergeCell ref="CL43:CL44"/>
    <mergeCell ref="CX43:CX44"/>
    <mergeCell ref="DU40:DV40"/>
    <mergeCell ref="EG40:EH40"/>
    <mergeCell ref="ES40:ET40"/>
    <mergeCell ref="FE40:FF40"/>
    <mergeCell ref="BM41:BN41"/>
    <mergeCell ref="BY41:BZ41"/>
    <mergeCell ref="CK41:CL41"/>
    <mergeCell ref="CW41:CX41"/>
    <mergeCell ref="DI41:DJ41"/>
    <mergeCell ref="DU41:DV41"/>
    <mergeCell ref="EG41:EH41"/>
    <mergeCell ref="ES41:ET41"/>
    <mergeCell ref="FE41:FF41"/>
    <mergeCell ref="BM40:BN40"/>
    <mergeCell ref="BY40:BZ40"/>
    <mergeCell ref="CK40:CL40"/>
    <mergeCell ref="CW40:CX40"/>
    <mergeCell ref="DI40:DJ40"/>
    <mergeCell ref="ET43:ET44"/>
    <mergeCell ref="EG46:EH46"/>
    <mergeCell ref="ES46:ET46"/>
    <mergeCell ref="FE46:FF46"/>
    <mergeCell ref="BN48:BN49"/>
    <mergeCell ref="BZ48:BZ49"/>
    <mergeCell ref="CL48:CL49"/>
    <mergeCell ref="BM46:BN46"/>
    <mergeCell ref="BY46:BZ46"/>
    <mergeCell ref="CK46:CL46"/>
    <mergeCell ref="CW46:CX46"/>
    <mergeCell ref="DI46:DJ46"/>
    <mergeCell ref="BM45:BN45"/>
    <mergeCell ref="BY45:BZ45"/>
    <mergeCell ref="CK45:CL45"/>
    <mergeCell ref="CW45:CX45"/>
    <mergeCell ref="DI45:DJ45"/>
    <mergeCell ref="DU45:DV45"/>
    <mergeCell ref="EG45:EH45"/>
    <mergeCell ref="ES45:ET45"/>
    <mergeCell ref="FE45:FF45"/>
    <mergeCell ref="CX48:CX49"/>
    <mergeCell ref="ET48:ET49"/>
    <mergeCell ref="BN53:BN54"/>
    <mergeCell ref="BZ53:BZ54"/>
    <mergeCell ref="CL53:CL54"/>
    <mergeCell ref="DU50:DV50"/>
    <mergeCell ref="EG50:EH50"/>
    <mergeCell ref="ES50:ET50"/>
    <mergeCell ref="FE50:FF50"/>
    <mergeCell ref="BM51:BN51"/>
    <mergeCell ref="BY51:BZ51"/>
    <mergeCell ref="CK51:CL51"/>
    <mergeCell ref="CW51:CX51"/>
    <mergeCell ref="DI51:DJ51"/>
    <mergeCell ref="DU51:DV51"/>
    <mergeCell ref="EG51:EH51"/>
    <mergeCell ref="ES51:ET51"/>
    <mergeCell ref="FE51:FF51"/>
    <mergeCell ref="BM50:BN50"/>
    <mergeCell ref="BY50:BZ50"/>
    <mergeCell ref="CK50:CL50"/>
    <mergeCell ref="CW50:CX50"/>
    <mergeCell ref="DI50:DJ50"/>
    <mergeCell ref="CX53:CX54"/>
    <mergeCell ref="EH53:EH54"/>
    <mergeCell ref="ET53:ET54"/>
    <mergeCell ref="EG56:EH56"/>
    <mergeCell ref="ES56:ET56"/>
    <mergeCell ref="FE56:FF56"/>
    <mergeCell ref="BN58:BN59"/>
    <mergeCell ref="BZ58:BZ59"/>
    <mergeCell ref="CL58:CL59"/>
    <mergeCell ref="BM56:BN56"/>
    <mergeCell ref="BY56:BZ56"/>
    <mergeCell ref="CK56:CL56"/>
    <mergeCell ref="CW56:CX56"/>
    <mergeCell ref="DI56:DJ56"/>
    <mergeCell ref="BM55:BN55"/>
    <mergeCell ref="BY55:BZ55"/>
    <mergeCell ref="CK55:CL55"/>
    <mergeCell ref="CW55:CX55"/>
    <mergeCell ref="DI55:DJ55"/>
    <mergeCell ref="DU55:DV55"/>
    <mergeCell ref="EG55:EH55"/>
    <mergeCell ref="ES55:ET55"/>
    <mergeCell ref="FE55:FF55"/>
    <mergeCell ref="CX58:CX59"/>
    <mergeCell ref="EH58:EH59"/>
    <mergeCell ref="ET58:ET59"/>
    <mergeCell ref="BN63:BN64"/>
    <mergeCell ref="BZ63:BZ64"/>
    <mergeCell ref="CL63:CL64"/>
    <mergeCell ref="DU60:DV60"/>
    <mergeCell ref="EG60:EH60"/>
    <mergeCell ref="ES60:ET60"/>
    <mergeCell ref="FE60:FF60"/>
    <mergeCell ref="BM61:BN61"/>
    <mergeCell ref="BY61:BZ61"/>
    <mergeCell ref="CK61:CL61"/>
    <mergeCell ref="CW61:CX61"/>
    <mergeCell ref="DI61:DJ61"/>
    <mergeCell ref="DU61:DV61"/>
    <mergeCell ref="EG61:EH61"/>
    <mergeCell ref="ES61:ET61"/>
    <mergeCell ref="FE61:FF61"/>
    <mergeCell ref="BM60:BN60"/>
    <mergeCell ref="BY60:BZ60"/>
    <mergeCell ref="CK60:CL60"/>
    <mergeCell ref="CW60:CX60"/>
    <mergeCell ref="DI60:DJ60"/>
    <mergeCell ref="CX63:CX64"/>
    <mergeCell ref="EG66:EH66"/>
    <mergeCell ref="ES66:ET66"/>
    <mergeCell ref="FE66:FF66"/>
    <mergeCell ref="BN68:BN69"/>
    <mergeCell ref="BZ68:BZ69"/>
    <mergeCell ref="CL68:CL69"/>
    <mergeCell ref="BM66:BN66"/>
    <mergeCell ref="BY66:BZ66"/>
    <mergeCell ref="CK66:CL66"/>
    <mergeCell ref="CW66:CX66"/>
    <mergeCell ref="DI66:DJ66"/>
    <mergeCell ref="BM65:BN65"/>
    <mergeCell ref="BY65:BZ65"/>
    <mergeCell ref="CK65:CL65"/>
    <mergeCell ref="CW65:CX65"/>
    <mergeCell ref="DI65:DJ65"/>
    <mergeCell ref="DU65:DV65"/>
    <mergeCell ref="EG65:EH65"/>
    <mergeCell ref="ES65:ET65"/>
    <mergeCell ref="FE65:FF65"/>
    <mergeCell ref="CX68:CX69"/>
    <mergeCell ref="BN73:BN74"/>
    <mergeCell ref="BZ73:BZ74"/>
    <mergeCell ref="CL73:CL74"/>
    <mergeCell ref="CX73:CX74"/>
    <mergeCell ref="DU70:DV70"/>
    <mergeCell ref="EG70:EH70"/>
    <mergeCell ref="ES70:ET70"/>
    <mergeCell ref="FE70:FF70"/>
    <mergeCell ref="BM71:BN71"/>
    <mergeCell ref="BY71:BZ71"/>
    <mergeCell ref="CK71:CL71"/>
    <mergeCell ref="CW71:CX71"/>
    <mergeCell ref="DI71:DJ71"/>
    <mergeCell ref="DU71:DV71"/>
    <mergeCell ref="EG71:EH71"/>
    <mergeCell ref="ES71:ET71"/>
    <mergeCell ref="FE71:FF71"/>
    <mergeCell ref="BM70:BN70"/>
    <mergeCell ref="BY70:BZ70"/>
    <mergeCell ref="CK70:CL70"/>
    <mergeCell ref="CW70:CX70"/>
    <mergeCell ref="DI70:DJ70"/>
    <mergeCell ref="BN78:BN79"/>
    <mergeCell ref="BZ78:BZ79"/>
    <mergeCell ref="CL78:CL79"/>
    <mergeCell ref="BM76:BN76"/>
    <mergeCell ref="BY76:BZ76"/>
    <mergeCell ref="CK76:CL76"/>
    <mergeCell ref="CW76:CX76"/>
    <mergeCell ref="DI76:DJ76"/>
    <mergeCell ref="BM75:BN75"/>
    <mergeCell ref="BY75:BZ75"/>
    <mergeCell ref="CK75:CL75"/>
    <mergeCell ref="CW75:CX75"/>
    <mergeCell ref="DI75:DJ75"/>
    <mergeCell ref="DU75:DV75"/>
    <mergeCell ref="EG75:EH75"/>
    <mergeCell ref="ES75:ET75"/>
    <mergeCell ref="FE75:FF75"/>
    <mergeCell ref="EG76:EH76"/>
    <mergeCell ref="FE76:FF76"/>
    <mergeCell ref="ES76:ET76"/>
    <mergeCell ref="BN83:BN84"/>
    <mergeCell ref="BZ83:BZ84"/>
    <mergeCell ref="CL83:CL84"/>
    <mergeCell ref="DJ83:DJ84"/>
    <mergeCell ref="DU80:DV80"/>
    <mergeCell ref="EG80:EH80"/>
    <mergeCell ref="ES80:ET80"/>
    <mergeCell ref="FE80:FF80"/>
    <mergeCell ref="BM81:BN81"/>
    <mergeCell ref="BY81:BZ81"/>
    <mergeCell ref="CK81:CL81"/>
    <mergeCell ref="CW81:CX81"/>
    <mergeCell ref="DI81:DJ81"/>
    <mergeCell ref="DU81:DV81"/>
    <mergeCell ref="EG81:EH81"/>
    <mergeCell ref="ES81:ET81"/>
    <mergeCell ref="FE81:FF81"/>
    <mergeCell ref="BM80:BN80"/>
    <mergeCell ref="BY80:BZ80"/>
    <mergeCell ref="CK80:CL80"/>
    <mergeCell ref="CW80:CX80"/>
    <mergeCell ref="DI80:DJ80"/>
    <mergeCell ref="CX83:CX84"/>
    <mergeCell ref="BN88:BN89"/>
    <mergeCell ref="BZ88:BZ89"/>
    <mergeCell ref="CL88:CL89"/>
    <mergeCell ref="BM86:BN86"/>
    <mergeCell ref="BY86:BZ86"/>
    <mergeCell ref="CK86:CL86"/>
    <mergeCell ref="CW86:CX86"/>
    <mergeCell ref="DI86:DJ86"/>
    <mergeCell ref="BM85:BN85"/>
    <mergeCell ref="BY85:BZ85"/>
    <mergeCell ref="CK85:CL85"/>
    <mergeCell ref="CW85:CX85"/>
    <mergeCell ref="DI85:DJ85"/>
    <mergeCell ref="DU85:DV85"/>
    <mergeCell ref="EG85:EH85"/>
    <mergeCell ref="ES85:ET85"/>
    <mergeCell ref="FE85:FF85"/>
    <mergeCell ref="CX88:CX89"/>
    <mergeCell ref="DV88:DV89"/>
    <mergeCell ref="EG86:EH86"/>
    <mergeCell ref="ET88:ET89"/>
    <mergeCell ref="FE86:FF86"/>
    <mergeCell ref="FF88:FF89"/>
    <mergeCell ref="ES86:ET86"/>
    <mergeCell ref="BN93:BN94"/>
    <mergeCell ref="BZ93:BZ94"/>
    <mergeCell ref="CL93:CL94"/>
    <mergeCell ref="DU90:DV90"/>
    <mergeCell ref="EG90:EH90"/>
    <mergeCell ref="ES90:ET90"/>
    <mergeCell ref="FE90:FF90"/>
    <mergeCell ref="BM91:BN91"/>
    <mergeCell ref="BY91:BZ91"/>
    <mergeCell ref="CK91:CL91"/>
    <mergeCell ref="CW91:CX91"/>
    <mergeCell ref="DI91:DJ91"/>
    <mergeCell ref="DU91:DV91"/>
    <mergeCell ref="EG91:EH91"/>
    <mergeCell ref="ES91:ET91"/>
    <mergeCell ref="FE91:FF91"/>
    <mergeCell ref="BM90:BN90"/>
    <mergeCell ref="BY90:BZ90"/>
    <mergeCell ref="CK90:CL90"/>
    <mergeCell ref="CW90:CX90"/>
    <mergeCell ref="DI90:DJ90"/>
    <mergeCell ref="CX93:CX94"/>
    <mergeCell ref="DV93:DV94"/>
    <mergeCell ref="ET93:ET94"/>
    <mergeCell ref="FF93:FF94"/>
    <mergeCell ref="EG96:EH96"/>
    <mergeCell ref="ES96:ET96"/>
    <mergeCell ref="FE96:FF96"/>
    <mergeCell ref="BN98:BN99"/>
    <mergeCell ref="BZ98:BZ99"/>
    <mergeCell ref="CL98:CL99"/>
    <mergeCell ref="BM96:BN96"/>
    <mergeCell ref="BY96:BZ96"/>
    <mergeCell ref="CK96:CL96"/>
    <mergeCell ref="CW96:CX96"/>
    <mergeCell ref="DI96:DJ96"/>
    <mergeCell ref="BM95:BN95"/>
    <mergeCell ref="BY95:BZ95"/>
    <mergeCell ref="CK95:CL95"/>
    <mergeCell ref="CW95:CX95"/>
    <mergeCell ref="DI95:DJ95"/>
    <mergeCell ref="DU95:DV95"/>
    <mergeCell ref="EG95:EH95"/>
    <mergeCell ref="ES95:ET95"/>
    <mergeCell ref="FE95:FF95"/>
    <mergeCell ref="CX98:CX99"/>
    <mergeCell ref="DV98:DV99"/>
    <mergeCell ref="ET98:ET99"/>
    <mergeCell ref="FF98:FF99"/>
    <mergeCell ref="DI106:DJ106"/>
    <mergeCell ref="BM105:BN105"/>
    <mergeCell ref="BY105:BZ105"/>
    <mergeCell ref="CK105:CL105"/>
    <mergeCell ref="CW105:CX105"/>
    <mergeCell ref="DI105:DJ105"/>
    <mergeCell ref="DU105:DV105"/>
    <mergeCell ref="EG105:EH105"/>
    <mergeCell ref="ES105:ET105"/>
    <mergeCell ref="FE105:FF105"/>
    <mergeCell ref="BN103:BN104"/>
    <mergeCell ref="BZ103:BZ104"/>
    <mergeCell ref="CL103:CL104"/>
    <mergeCell ref="CX103:CX104"/>
    <mergeCell ref="DU100:DV100"/>
    <mergeCell ref="EG100:EH100"/>
    <mergeCell ref="ES100:ET100"/>
    <mergeCell ref="FE100:FF100"/>
    <mergeCell ref="BM101:BN101"/>
    <mergeCell ref="BY101:BZ101"/>
    <mergeCell ref="CK101:CL101"/>
    <mergeCell ref="CW101:CX101"/>
    <mergeCell ref="DI101:DJ101"/>
    <mergeCell ref="DU101:DV101"/>
    <mergeCell ref="EG101:EH101"/>
    <mergeCell ref="ES101:ET101"/>
    <mergeCell ref="FE101:FF101"/>
    <mergeCell ref="BM100:BN100"/>
    <mergeCell ref="BY100:BZ100"/>
    <mergeCell ref="CK100:CL100"/>
    <mergeCell ref="CW100:CX100"/>
    <mergeCell ref="DI100:DJ100"/>
    <mergeCell ref="DU110:DV110"/>
    <mergeCell ref="EG110:EH110"/>
    <mergeCell ref="ES110:ET110"/>
    <mergeCell ref="FE110:FF110"/>
    <mergeCell ref="BM111:BN111"/>
    <mergeCell ref="BY111:BZ111"/>
    <mergeCell ref="CK111:CL111"/>
    <mergeCell ref="CW111:CX111"/>
    <mergeCell ref="DI111:DJ111"/>
    <mergeCell ref="DU111:DV111"/>
    <mergeCell ref="EG111:EH111"/>
    <mergeCell ref="ES111:ET111"/>
    <mergeCell ref="FE111:FF111"/>
    <mergeCell ref="BM110:BN110"/>
    <mergeCell ref="BY110:BZ110"/>
    <mergeCell ref="CK110:CL110"/>
    <mergeCell ref="CW110:CX110"/>
    <mergeCell ref="DI110:DJ110"/>
    <mergeCell ref="EG106:EH106"/>
    <mergeCell ref="ES106:ET106"/>
    <mergeCell ref="FE106:FF106"/>
    <mergeCell ref="BN108:BN109"/>
    <mergeCell ref="BZ108:BZ109"/>
    <mergeCell ref="CL108:CL109"/>
    <mergeCell ref="BM106:BN106"/>
    <mergeCell ref="BY106:BZ106"/>
    <mergeCell ref="CK106:CL106"/>
    <mergeCell ref="DJ88:DJ89"/>
    <mergeCell ref="DJ93:DJ94"/>
    <mergeCell ref="DJ98:DJ99"/>
    <mergeCell ref="DJ103:DJ104"/>
    <mergeCell ref="DJ108:DJ109"/>
    <mergeCell ref="CX108:CX109"/>
    <mergeCell ref="DJ8:DJ9"/>
    <mergeCell ref="DJ13:DJ14"/>
    <mergeCell ref="DJ18:DJ19"/>
    <mergeCell ref="DJ23:DJ24"/>
    <mergeCell ref="DJ28:DJ29"/>
    <mergeCell ref="DJ33:DJ34"/>
    <mergeCell ref="DJ38:DJ39"/>
    <mergeCell ref="DJ43:DJ44"/>
    <mergeCell ref="DJ48:DJ49"/>
    <mergeCell ref="DJ53:DJ54"/>
    <mergeCell ref="DJ58:DJ59"/>
    <mergeCell ref="DJ63:DJ64"/>
    <mergeCell ref="DJ68:DJ69"/>
    <mergeCell ref="DJ73:DJ74"/>
    <mergeCell ref="DJ78:DJ79"/>
    <mergeCell ref="CX78:CX79"/>
    <mergeCell ref="CW106:CX106"/>
    <mergeCell ref="DV103:DV104"/>
    <mergeCell ref="DV108:DV109"/>
    <mergeCell ref="DV63:DV64"/>
    <mergeCell ref="DV68:DV69"/>
    <mergeCell ref="DV73:DV74"/>
    <mergeCell ref="DV78:DV79"/>
    <mergeCell ref="DV83:DV84"/>
    <mergeCell ref="DV38:DV39"/>
    <mergeCell ref="DV43:DV44"/>
    <mergeCell ref="DV48:DV49"/>
    <mergeCell ref="DV53:DV54"/>
    <mergeCell ref="DV58:DV59"/>
    <mergeCell ref="DV13:DV14"/>
    <mergeCell ref="DV18:DV19"/>
    <mergeCell ref="DV23:DV24"/>
    <mergeCell ref="DV28:DV29"/>
    <mergeCell ref="DV33:DV34"/>
    <mergeCell ref="DU86:DV86"/>
    <mergeCell ref="DU76:DV76"/>
    <mergeCell ref="DU66:DV66"/>
    <mergeCell ref="DU106:DV106"/>
    <mergeCell ref="DU96:DV96"/>
    <mergeCell ref="DU56:DV56"/>
    <mergeCell ref="DU46:DV46"/>
    <mergeCell ref="DU36:DV36"/>
    <mergeCell ref="DU26:DV26"/>
    <mergeCell ref="DU16:DV16"/>
    <mergeCell ref="FF103:FF104"/>
    <mergeCell ref="FF108:FF109"/>
    <mergeCell ref="FF63:FF64"/>
    <mergeCell ref="FF68:FF69"/>
    <mergeCell ref="FF73:FF74"/>
    <mergeCell ref="FF78:FF79"/>
    <mergeCell ref="FF83:FF84"/>
    <mergeCell ref="FF38:FF39"/>
    <mergeCell ref="FF43:FF44"/>
    <mergeCell ref="FF48:FF49"/>
    <mergeCell ref="FF53:FF54"/>
    <mergeCell ref="FF58:FF59"/>
    <mergeCell ref="EH88:EH89"/>
    <mergeCell ref="EH93:EH94"/>
    <mergeCell ref="EH98:EH99"/>
    <mergeCell ref="EH103:EH104"/>
    <mergeCell ref="EH108:EH109"/>
    <mergeCell ref="EH63:EH64"/>
    <mergeCell ref="EH68:EH69"/>
    <mergeCell ref="EH73:EH74"/>
    <mergeCell ref="EH78:EH79"/>
    <mergeCell ref="EH83:EH84"/>
    <mergeCell ref="EH38:EH39"/>
    <mergeCell ref="EH43:EH44"/>
    <mergeCell ref="EH48:EH49"/>
    <mergeCell ref="ET103:ET104"/>
    <mergeCell ref="ET108:ET109"/>
    <mergeCell ref="ET63:ET64"/>
    <mergeCell ref="ET68:ET69"/>
    <mergeCell ref="ET73:ET74"/>
    <mergeCell ref="ET78:ET79"/>
    <mergeCell ref="ET83:ET84"/>
    <mergeCell ref="AB13:AC14"/>
    <mergeCell ref="AD13:AD14"/>
    <mergeCell ref="AB18:AC19"/>
    <mergeCell ref="AD18:AD19"/>
    <mergeCell ref="V8:W9"/>
    <mergeCell ref="X8:X9"/>
    <mergeCell ref="V13:W14"/>
    <mergeCell ref="X13:X14"/>
    <mergeCell ref="V18:W19"/>
    <mergeCell ref="X18:X19"/>
    <mergeCell ref="P8:Q9"/>
    <mergeCell ref="R8:R9"/>
    <mergeCell ref="P13:Q14"/>
    <mergeCell ref="R13:R14"/>
    <mergeCell ref="P18:Q19"/>
    <mergeCell ref="R18:R19"/>
    <mergeCell ref="J8:K9"/>
    <mergeCell ref="L8:L9"/>
    <mergeCell ref="J13:K14"/>
    <mergeCell ref="L13:L14"/>
    <mergeCell ref="J18:K19"/>
    <mergeCell ref="L18:L19"/>
    <mergeCell ref="Q15:R15"/>
    <mergeCell ref="Q16:R16"/>
    <mergeCell ref="K15:L15"/>
    <mergeCell ref="K16:L16"/>
    <mergeCell ref="AN33:AO34"/>
    <mergeCell ref="AP33:AP34"/>
    <mergeCell ref="AN8:AO9"/>
    <mergeCell ref="AP8:AP9"/>
    <mergeCell ref="AN13:AO14"/>
    <mergeCell ref="AP13:AP14"/>
    <mergeCell ref="AN18:AO19"/>
    <mergeCell ref="AP18:AP19"/>
    <mergeCell ref="AB108:AC109"/>
    <mergeCell ref="AD108:AD109"/>
    <mergeCell ref="AH8:AI9"/>
    <mergeCell ref="AJ8:AJ9"/>
    <mergeCell ref="AH13:AI14"/>
    <mergeCell ref="AJ13:AJ14"/>
    <mergeCell ref="AH18:AI19"/>
    <mergeCell ref="AJ18:AJ19"/>
    <mergeCell ref="AH23:AI24"/>
    <mergeCell ref="AJ23:AJ24"/>
    <mergeCell ref="AH28:AI29"/>
    <mergeCell ref="AJ28:AJ29"/>
    <mergeCell ref="AH33:AI34"/>
    <mergeCell ref="AJ33:AJ34"/>
    <mergeCell ref="AH38:AI39"/>
    <mergeCell ref="AJ38:AJ39"/>
    <mergeCell ref="AB23:AC24"/>
    <mergeCell ref="AD23:AD24"/>
    <mergeCell ref="AB28:AC29"/>
    <mergeCell ref="AD28:AD29"/>
    <mergeCell ref="AB33:AC34"/>
    <mergeCell ref="AD33:AD34"/>
    <mergeCell ref="AB8:AC9"/>
    <mergeCell ref="AD8:AD9"/>
    <mergeCell ref="BD6:BD112"/>
    <mergeCell ref="B6:B112"/>
    <mergeCell ref="T6:T112"/>
    <mergeCell ref="V6:X6"/>
    <mergeCell ref="Z6:Z112"/>
    <mergeCell ref="AB6:AD6"/>
    <mergeCell ref="AF6:AF112"/>
    <mergeCell ref="H6:H112"/>
    <mergeCell ref="D6:F6"/>
    <mergeCell ref="J6:L6"/>
    <mergeCell ref="N6:N112"/>
    <mergeCell ref="P6:R6"/>
    <mergeCell ref="AN108:AO109"/>
    <mergeCell ref="AP108:AP109"/>
    <mergeCell ref="AT8:AU9"/>
    <mergeCell ref="AV8:AV9"/>
    <mergeCell ref="AT13:AU14"/>
    <mergeCell ref="AV13:AV14"/>
    <mergeCell ref="AT18:AU19"/>
    <mergeCell ref="AV18:AV19"/>
    <mergeCell ref="AT23:AU24"/>
    <mergeCell ref="AV23:AV24"/>
    <mergeCell ref="AT28:AU29"/>
    <mergeCell ref="AV28:AV29"/>
    <mergeCell ref="AT33:AU34"/>
    <mergeCell ref="AV33:AV34"/>
    <mergeCell ref="AT38:AU39"/>
    <mergeCell ref="AV38:AV39"/>
    <mergeCell ref="AN23:AO24"/>
    <mergeCell ref="AP23:AP24"/>
    <mergeCell ref="AN28:AO29"/>
    <mergeCell ref="AP28:AP29"/>
  </mergeCells>
  <conditionalFormatting sqref="J63 L63 J65:K66">
    <cfRule type="expression" dxfId="1138" priority="1099">
      <formula>J63&lt;&gt;0</formula>
    </cfRule>
  </conditionalFormatting>
  <conditionalFormatting sqref="J63">
    <cfRule type="expression" dxfId="1137" priority="1097" stopIfTrue="1">
      <formula>J63=0</formula>
    </cfRule>
  </conditionalFormatting>
  <conditionalFormatting sqref="J65:K66">
    <cfRule type="containsBlanks" dxfId="1136" priority="1095">
      <formula>LEN(TRIM(J65))=0</formula>
    </cfRule>
  </conditionalFormatting>
  <conditionalFormatting sqref="J88 L88 J90:K91">
    <cfRule type="expression" dxfId="1135" priority="1064">
      <formula>J88&lt;&gt;0</formula>
    </cfRule>
  </conditionalFormatting>
  <conditionalFormatting sqref="J88">
    <cfRule type="expression" dxfId="1134" priority="1062" stopIfTrue="1">
      <formula>J88=0</formula>
    </cfRule>
  </conditionalFormatting>
  <conditionalFormatting sqref="J90:K91">
    <cfRule type="containsBlanks" dxfId="1133" priority="1060">
      <formula>LEN(TRIM(J90))=0</formula>
    </cfRule>
  </conditionalFormatting>
  <conditionalFormatting sqref="P8 R8 P10:Q11">
    <cfRule type="expression" dxfId="1132" priority="1029">
      <formula>P8&lt;&gt;0</formula>
    </cfRule>
  </conditionalFormatting>
  <conditionalFormatting sqref="P8">
    <cfRule type="expression" dxfId="1131" priority="1027" stopIfTrue="1">
      <formula>P8=0</formula>
    </cfRule>
  </conditionalFormatting>
  <conditionalFormatting sqref="P10:Q11">
    <cfRule type="containsBlanks" dxfId="1130" priority="1025">
      <formula>LEN(TRIM(P10))=0</formula>
    </cfRule>
  </conditionalFormatting>
  <conditionalFormatting sqref="D78 F78 D80:E81">
    <cfRule type="expression" dxfId="1129" priority="1225">
      <formula>D78&lt;&gt;0</formula>
    </cfRule>
  </conditionalFormatting>
  <conditionalFormatting sqref="D78">
    <cfRule type="expression" dxfId="1128" priority="1223" stopIfTrue="1">
      <formula>D78=0</formula>
    </cfRule>
  </conditionalFormatting>
  <conditionalFormatting sqref="D80:E81">
    <cfRule type="containsBlanks" dxfId="1127" priority="1221">
      <formula>LEN(TRIM(D80))=0</formula>
    </cfRule>
  </conditionalFormatting>
  <conditionalFormatting sqref="D103 F103 D105:E106">
    <cfRule type="expression" dxfId="1126" priority="1190">
      <formula>D103&lt;&gt;0</formula>
    </cfRule>
  </conditionalFormatting>
  <conditionalFormatting sqref="D103">
    <cfRule type="expression" dxfId="1125" priority="1188" stopIfTrue="1">
      <formula>D103=0</formula>
    </cfRule>
  </conditionalFormatting>
  <conditionalFormatting sqref="D105:E106">
    <cfRule type="containsBlanks" dxfId="1124" priority="1186">
      <formula>LEN(TRIM(D105))=0</formula>
    </cfRule>
  </conditionalFormatting>
  <conditionalFormatting sqref="J23 L23 J25:K26">
    <cfRule type="expression" dxfId="1123" priority="1155">
      <formula>J23&lt;&gt;0</formula>
    </cfRule>
  </conditionalFormatting>
  <conditionalFormatting sqref="J23">
    <cfRule type="expression" dxfId="1122" priority="1153" stopIfTrue="1">
      <formula>J23=0</formula>
    </cfRule>
  </conditionalFormatting>
  <conditionalFormatting sqref="J25:K26">
    <cfRule type="containsBlanks" dxfId="1121" priority="1151">
      <formula>LEN(TRIM(J25))=0</formula>
    </cfRule>
  </conditionalFormatting>
  <conditionalFormatting sqref="J93 L93 J95:K96">
    <cfRule type="expression" dxfId="1120" priority="1057">
      <formula>J93&lt;&gt;0</formula>
    </cfRule>
  </conditionalFormatting>
  <conditionalFormatting sqref="J93">
    <cfRule type="expression" dxfId="1119" priority="1055" stopIfTrue="1">
      <formula>J93=0</formula>
    </cfRule>
  </conditionalFormatting>
  <conditionalFormatting sqref="J95:K96">
    <cfRule type="containsBlanks" dxfId="1118" priority="1053">
      <formula>LEN(TRIM(J95))=0</formula>
    </cfRule>
  </conditionalFormatting>
  <conditionalFormatting sqref="P13 R13 P15:Q16">
    <cfRule type="expression" dxfId="1117" priority="1022">
      <formula>P13&lt;&gt;0</formula>
    </cfRule>
  </conditionalFormatting>
  <conditionalFormatting sqref="P13">
    <cfRule type="expression" dxfId="1116" priority="1020" stopIfTrue="1">
      <formula>P13=0</formula>
    </cfRule>
  </conditionalFormatting>
  <conditionalFormatting sqref="P15:Q16">
    <cfRule type="containsBlanks" dxfId="1115" priority="1018">
      <formula>LEN(TRIM(P15))=0</formula>
    </cfRule>
  </conditionalFormatting>
  <conditionalFormatting sqref="P38 R38 P40:Q41">
    <cfRule type="expression" dxfId="1114" priority="987">
      <formula>P38&lt;&gt;0</formula>
    </cfRule>
  </conditionalFormatting>
  <conditionalFormatting sqref="P38">
    <cfRule type="expression" dxfId="1113" priority="985" stopIfTrue="1">
      <formula>P38=0</formula>
    </cfRule>
  </conditionalFormatting>
  <conditionalFormatting sqref="P40:Q41">
    <cfRule type="containsBlanks" dxfId="1112" priority="983">
      <formula>LEN(TRIM(P40))=0</formula>
    </cfRule>
  </conditionalFormatting>
  <conditionalFormatting sqref="J33 L33 J35:K36">
    <cfRule type="expression" dxfId="1111" priority="1141">
      <formula>J33&lt;&gt;0</formula>
    </cfRule>
  </conditionalFormatting>
  <conditionalFormatting sqref="J33">
    <cfRule type="expression" dxfId="1110" priority="1139" stopIfTrue="1">
      <formula>J33=0</formula>
    </cfRule>
  </conditionalFormatting>
  <conditionalFormatting sqref="J35:K36">
    <cfRule type="containsBlanks" dxfId="1109" priority="1137">
      <formula>LEN(TRIM(J35))=0</formula>
    </cfRule>
  </conditionalFormatting>
  <conditionalFormatting sqref="J58 L58 J60:K61">
    <cfRule type="expression" dxfId="1108" priority="1106">
      <formula>J58&lt;&gt;0</formula>
    </cfRule>
  </conditionalFormatting>
  <conditionalFormatting sqref="J58">
    <cfRule type="expression" dxfId="1107" priority="1104" stopIfTrue="1">
      <formula>J58=0</formula>
    </cfRule>
  </conditionalFormatting>
  <conditionalFormatting sqref="J60:K61">
    <cfRule type="containsBlanks" dxfId="1106" priority="1102">
      <formula>LEN(TRIM(J60))=0</formula>
    </cfRule>
  </conditionalFormatting>
  <conditionalFormatting sqref="J83 L83 J85:K86">
    <cfRule type="expression" dxfId="1105" priority="1071">
      <formula>J83&lt;&gt;0</formula>
    </cfRule>
  </conditionalFormatting>
  <conditionalFormatting sqref="J83">
    <cfRule type="expression" dxfId="1104" priority="1069" stopIfTrue="1">
      <formula>J83=0</formula>
    </cfRule>
  </conditionalFormatting>
  <conditionalFormatting sqref="J85:K86">
    <cfRule type="containsBlanks" dxfId="1103" priority="1067">
      <formula>LEN(TRIM(J85))=0</formula>
    </cfRule>
  </conditionalFormatting>
  <conditionalFormatting sqref="D108 F108 D110:E111">
    <cfRule type="expression" dxfId="1102" priority="1183">
      <formula>D108&lt;&gt;0</formula>
    </cfRule>
  </conditionalFormatting>
  <conditionalFormatting sqref="D108">
    <cfRule type="expression" dxfId="1101" priority="1181" stopIfTrue="1">
      <formula>D108=0</formula>
    </cfRule>
  </conditionalFormatting>
  <conditionalFormatting sqref="D110:E111">
    <cfRule type="containsBlanks" dxfId="1100" priority="1179">
      <formula>LEN(TRIM(D110))=0</formula>
    </cfRule>
  </conditionalFormatting>
  <conditionalFormatting sqref="J28 L28 J30:K31">
    <cfRule type="expression" dxfId="1099" priority="1148">
      <formula>J28&lt;&gt;0</formula>
    </cfRule>
  </conditionalFormatting>
  <conditionalFormatting sqref="J28">
    <cfRule type="expression" dxfId="1098" priority="1146" stopIfTrue="1">
      <formula>J28=0</formula>
    </cfRule>
  </conditionalFormatting>
  <conditionalFormatting sqref="J30:K31">
    <cfRule type="containsBlanks" dxfId="1097" priority="1144">
      <formula>LEN(TRIM(J30))=0</formula>
    </cfRule>
  </conditionalFormatting>
  <conditionalFormatting sqref="J53 L53 J55:K56">
    <cfRule type="expression" dxfId="1096" priority="1113">
      <formula>J53&lt;&gt;0</formula>
    </cfRule>
  </conditionalFormatting>
  <conditionalFormatting sqref="J53">
    <cfRule type="expression" dxfId="1095" priority="1111" stopIfTrue="1">
      <formula>J53=0</formula>
    </cfRule>
  </conditionalFormatting>
  <conditionalFormatting sqref="J55:K56">
    <cfRule type="containsBlanks" dxfId="1094" priority="1109">
      <formula>LEN(TRIM(J55))=0</formula>
    </cfRule>
  </conditionalFormatting>
  <conditionalFormatting sqref="D48 F48 D50:E51">
    <cfRule type="expression" dxfId="1093" priority="1267">
      <formula>D48&lt;&gt;0</formula>
    </cfRule>
  </conditionalFormatting>
  <conditionalFormatting sqref="D48">
    <cfRule type="expression" dxfId="1092" priority="1265" stopIfTrue="1">
      <formula>D48=0</formula>
    </cfRule>
  </conditionalFormatting>
  <conditionalFormatting sqref="D50:E51">
    <cfRule type="containsBlanks" dxfId="1091" priority="1263">
      <formula>LEN(TRIM(D50))=0</formula>
    </cfRule>
  </conditionalFormatting>
  <conditionalFormatting sqref="D73 F73 D75:E76">
    <cfRule type="expression" dxfId="1090" priority="1232">
      <formula>D73&lt;&gt;0</formula>
    </cfRule>
  </conditionalFormatting>
  <conditionalFormatting sqref="D73">
    <cfRule type="expression" dxfId="1089" priority="1230" stopIfTrue="1">
      <formula>D73=0</formula>
    </cfRule>
  </conditionalFormatting>
  <conditionalFormatting sqref="D75:E76">
    <cfRule type="containsBlanks" dxfId="1088" priority="1228">
      <formula>LEN(TRIM(D75))=0</formula>
    </cfRule>
  </conditionalFormatting>
  <conditionalFormatting sqref="D98 F98 D100:E101">
    <cfRule type="expression" dxfId="1087" priority="1197">
      <formula>D98&lt;&gt;0</formula>
    </cfRule>
  </conditionalFormatting>
  <conditionalFormatting sqref="D98">
    <cfRule type="expression" dxfId="1086" priority="1195" stopIfTrue="1">
      <formula>D98=0</formula>
    </cfRule>
  </conditionalFormatting>
  <conditionalFormatting sqref="D100:E101">
    <cfRule type="containsBlanks" dxfId="1085" priority="1193">
      <formula>LEN(TRIM(D100))=0</formula>
    </cfRule>
  </conditionalFormatting>
  <conditionalFormatting sqref="D18 F18 D20:E21">
    <cfRule type="expression" dxfId="1084" priority="1309">
      <formula>D18&lt;&gt;0</formula>
    </cfRule>
  </conditionalFormatting>
  <conditionalFormatting sqref="D18">
    <cfRule type="expression" dxfId="1083" priority="1307" stopIfTrue="1">
      <formula>D18=0</formula>
    </cfRule>
  </conditionalFormatting>
  <conditionalFormatting sqref="D20:E21">
    <cfRule type="containsBlanks" dxfId="1082" priority="1305">
      <formula>LEN(TRIM(D20))=0</formula>
    </cfRule>
  </conditionalFormatting>
  <conditionalFormatting sqref="D43 F43 D45:E46">
    <cfRule type="expression" dxfId="1081" priority="1274">
      <formula>D43&lt;&gt;0</formula>
    </cfRule>
  </conditionalFormatting>
  <conditionalFormatting sqref="D43">
    <cfRule type="expression" dxfId="1080" priority="1272" stopIfTrue="1">
      <formula>D43=0</formula>
    </cfRule>
  </conditionalFormatting>
  <conditionalFormatting sqref="D45:E46">
    <cfRule type="containsBlanks" dxfId="1079" priority="1270">
      <formula>LEN(TRIM(D45))=0</formula>
    </cfRule>
  </conditionalFormatting>
  <conditionalFormatting sqref="D68 F68 D70:E71">
    <cfRule type="expression" dxfId="1078" priority="1239">
      <formula>D68&lt;&gt;0</formula>
    </cfRule>
  </conditionalFormatting>
  <conditionalFormatting sqref="D68">
    <cfRule type="expression" dxfId="1077" priority="1237" stopIfTrue="1">
      <formula>D68=0</formula>
    </cfRule>
  </conditionalFormatting>
  <conditionalFormatting sqref="D70:E71">
    <cfRule type="containsBlanks" dxfId="1076" priority="1235">
      <formula>LEN(TRIM(D70))=0</formula>
    </cfRule>
  </conditionalFormatting>
  <conditionalFormatting sqref="D13 F13 D15:E16">
    <cfRule type="expression" dxfId="1075" priority="1316">
      <formula>D13&lt;&gt;0</formula>
    </cfRule>
  </conditionalFormatting>
  <conditionalFormatting sqref="D13">
    <cfRule type="expression" dxfId="1074" priority="1314" stopIfTrue="1">
      <formula>D13=0</formula>
    </cfRule>
  </conditionalFormatting>
  <conditionalFormatting sqref="D15:E16">
    <cfRule type="containsBlanks" dxfId="1073" priority="1312">
      <formula>LEN(TRIM(D15))=0</formula>
    </cfRule>
  </conditionalFormatting>
  <conditionalFormatting sqref="D38 F38 D40:E41">
    <cfRule type="expression" dxfId="1072" priority="1281">
      <formula>D38&lt;&gt;0</formula>
    </cfRule>
  </conditionalFormatting>
  <conditionalFormatting sqref="D38">
    <cfRule type="expression" dxfId="1071" priority="1279" stopIfTrue="1">
      <formula>D38=0</formula>
    </cfRule>
  </conditionalFormatting>
  <conditionalFormatting sqref="D40:E41">
    <cfRule type="containsBlanks" dxfId="1070" priority="1277">
      <formula>LEN(TRIM(D40))=0</formula>
    </cfRule>
  </conditionalFormatting>
  <conditionalFormatting sqref="D8 F8 D10:E11">
    <cfRule type="expression" dxfId="1069" priority="1423">
      <formula>D8&lt;&gt;0</formula>
    </cfRule>
  </conditionalFormatting>
  <conditionalFormatting sqref="D8">
    <cfRule type="expression" dxfId="1068" priority="1421" stopIfTrue="1">
      <formula>D8=0</formula>
    </cfRule>
  </conditionalFormatting>
  <conditionalFormatting sqref="D10:E11">
    <cfRule type="containsBlanks" dxfId="1067" priority="1419">
      <formula>LEN(TRIM(D10))=0</formula>
    </cfRule>
  </conditionalFormatting>
  <conditionalFormatting sqref="F8">
    <cfRule type="expression" dxfId="1066" priority="1420">
      <formula>D8=0</formula>
    </cfRule>
    <cfRule type="iconSet" priority="1422">
      <iconSet>
        <cfvo type="percent" val="0"/>
        <cfvo type="num" val="1"/>
        <cfvo type="num" val="2"/>
      </iconSet>
    </cfRule>
  </conditionalFormatting>
  <conditionalFormatting sqref="AZ33 BB33 AZ35:BA36">
    <cfRule type="expression" dxfId="1065" priority="112">
      <formula>AZ33&lt;&gt;0</formula>
    </cfRule>
  </conditionalFormatting>
  <conditionalFormatting sqref="AZ33">
    <cfRule type="expression" dxfId="1064" priority="110" stopIfTrue="1">
      <formula>AZ33=0</formula>
    </cfRule>
  </conditionalFormatting>
  <conditionalFormatting sqref="AZ35:BA36">
    <cfRule type="containsBlanks" dxfId="1063" priority="108">
      <formula>LEN(TRIM(AZ35))=0</formula>
    </cfRule>
  </conditionalFormatting>
  <conditionalFormatting sqref="AZ23 BB23 AZ25:BA26">
    <cfRule type="expression" dxfId="1062" priority="126">
      <formula>AZ23&lt;&gt;0</formula>
    </cfRule>
  </conditionalFormatting>
  <conditionalFormatting sqref="AZ23">
    <cfRule type="expression" dxfId="1061" priority="124" stopIfTrue="1">
      <formula>AZ23=0</formula>
    </cfRule>
  </conditionalFormatting>
  <conditionalFormatting sqref="AZ25:BA26">
    <cfRule type="containsBlanks" dxfId="1060" priority="122">
      <formula>LEN(TRIM(AZ25))=0</formula>
    </cfRule>
  </conditionalFormatting>
  <conditionalFormatting sqref="AZ13 BB13 AZ15:BA16">
    <cfRule type="expression" dxfId="1059" priority="140">
      <formula>AZ13&lt;&gt;0</formula>
    </cfRule>
  </conditionalFormatting>
  <conditionalFormatting sqref="AZ13">
    <cfRule type="expression" dxfId="1058" priority="138" stopIfTrue="1">
      <formula>AZ13=0</formula>
    </cfRule>
  </conditionalFormatting>
  <conditionalFormatting sqref="AZ15:BA16">
    <cfRule type="containsBlanks" dxfId="1057" priority="136">
      <formula>LEN(TRIM(AZ15))=0</formula>
    </cfRule>
  </conditionalFormatting>
  <conditionalFormatting sqref="E11">
    <cfRule type="containsText" dxfId="1056" priority="1318" operator="containsText" text="⚠">
      <formula>NOT(ISERROR(SEARCH("⚠",E11)))</formula>
    </cfRule>
  </conditionalFormatting>
  <conditionalFormatting sqref="D11">
    <cfRule type="expression" dxfId="1055" priority="1317">
      <formula>LEN(FIND("⚠",E11))&gt;0</formula>
    </cfRule>
  </conditionalFormatting>
  <conditionalFormatting sqref="F13">
    <cfRule type="expression" dxfId="1054" priority="1313">
      <formula>D13=0</formula>
    </cfRule>
    <cfRule type="iconSet" priority="1315">
      <iconSet>
        <cfvo type="percent" val="0"/>
        <cfvo type="num" val="1"/>
        <cfvo type="num" val="2"/>
      </iconSet>
    </cfRule>
  </conditionalFormatting>
  <conditionalFormatting sqref="E16">
    <cfRule type="containsText" dxfId="1053" priority="1311" operator="containsText" text="⚠">
      <formula>NOT(ISERROR(SEARCH("⚠",E16)))</formula>
    </cfRule>
  </conditionalFormatting>
  <conditionalFormatting sqref="D16">
    <cfRule type="expression" dxfId="1052" priority="1310">
      <formula>LEN(FIND("⚠",E16))&gt;0</formula>
    </cfRule>
  </conditionalFormatting>
  <conditionalFormatting sqref="F18">
    <cfRule type="expression" dxfId="1051" priority="1306">
      <formula>D18=0</formula>
    </cfRule>
    <cfRule type="iconSet" priority="1308">
      <iconSet>
        <cfvo type="percent" val="0"/>
        <cfvo type="num" val="1"/>
        <cfvo type="num" val="2"/>
      </iconSet>
    </cfRule>
  </conditionalFormatting>
  <conditionalFormatting sqref="E21">
    <cfRule type="containsText" dxfId="1050" priority="1304" operator="containsText" text="⚠">
      <formula>NOT(ISERROR(SEARCH("⚠",E21)))</formula>
    </cfRule>
  </conditionalFormatting>
  <conditionalFormatting sqref="D21">
    <cfRule type="expression" dxfId="1049" priority="1303">
      <formula>LEN(FIND("⚠",E21))&gt;0</formula>
    </cfRule>
  </conditionalFormatting>
  <conditionalFormatting sqref="D23 F23 D25:E26">
    <cfRule type="expression" dxfId="1048" priority="1302">
      <formula>D23&lt;&gt;0</formula>
    </cfRule>
  </conditionalFormatting>
  <conditionalFormatting sqref="D23">
    <cfRule type="expression" dxfId="1047" priority="1300" stopIfTrue="1">
      <formula>D23=0</formula>
    </cfRule>
  </conditionalFormatting>
  <conditionalFormatting sqref="D25:E26">
    <cfRule type="containsBlanks" dxfId="1046" priority="1298">
      <formula>LEN(TRIM(D25))=0</formula>
    </cfRule>
  </conditionalFormatting>
  <conditionalFormatting sqref="F23">
    <cfRule type="expression" dxfId="1045" priority="1299">
      <formula>D23=0</formula>
    </cfRule>
    <cfRule type="iconSet" priority="1301">
      <iconSet>
        <cfvo type="percent" val="0"/>
        <cfvo type="num" val="1"/>
        <cfvo type="num" val="2"/>
      </iconSet>
    </cfRule>
  </conditionalFormatting>
  <conditionalFormatting sqref="E26">
    <cfRule type="containsText" dxfId="1044" priority="1297" operator="containsText" text="⚠">
      <formula>NOT(ISERROR(SEARCH("⚠",E26)))</formula>
    </cfRule>
  </conditionalFormatting>
  <conditionalFormatting sqref="D26">
    <cfRule type="expression" dxfId="1043" priority="1296">
      <formula>LEN(FIND("⚠",E26))&gt;0</formula>
    </cfRule>
  </conditionalFormatting>
  <conditionalFormatting sqref="D28 F28 D30:E31">
    <cfRule type="expression" dxfId="1042" priority="1295">
      <formula>D28&lt;&gt;0</formula>
    </cfRule>
  </conditionalFormatting>
  <conditionalFormatting sqref="D28">
    <cfRule type="expression" dxfId="1041" priority="1293" stopIfTrue="1">
      <formula>D28=0</formula>
    </cfRule>
  </conditionalFormatting>
  <conditionalFormatting sqref="D30:E31">
    <cfRule type="containsBlanks" dxfId="1040" priority="1291">
      <formula>LEN(TRIM(D30))=0</formula>
    </cfRule>
  </conditionalFormatting>
  <conditionalFormatting sqref="F28">
    <cfRule type="expression" dxfId="1039" priority="1292">
      <formula>D28=0</formula>
    </cfRule>
    <cfRule type="iconSet" priority="1294">
      <iconSet>
        <cfvo type="percent" val="0"/>
        <cfvo type="num" val="1"/>
        <cfvo type="num" val="2"/>
      </iconSet>
    </cfRule>
  </conditionalFormatting>
  <conditionalFormatting sqref="E31">
    <cfRule type="containsText" dxfId="1038" priority="1290" operator="containsText" text="⚠">
      <formula>NOT(ISERROR(SEARCH("⚠",E31)))</formula>
    </cfRule>
  </conditionalFormatting>
  <conditionalFormatting sqref="D31">
    <cfRule type="expression" dxfId="1037" priority="1289">
      <formula>LEN(FIND("⚠",E31))&gt;0</formula>
    </cfRule>
  </conditionalFormatting>
  <conditionalFormatting sqref="D33 F33 D35:E36">
    <cfRule type="expression" dxfId="1036" priority="1288">
      <formula>D33&lt;&gt;0</formula>
    </cfRule>
  </conditionalFormatting>
  <conditionalFormatting sqref="D33">
    <cfRule type="expression" dxfId="1035" priority="1286" stopIfTrue="1">
      <formula>D33=0</formula>
    </cfRule>
  </conditionalFormatting>
  <conditionalFormatting sqref="D35:E36">
    <cfRule type="containsBlanks" dxfId="1034" priority="1284">
      <formula>LEN(TRIM(D35))=0</formula>
    </cfRule>
  </conditionalFormatting>
  <conditionalFormatting sqref="F33">
    <cfRule type="expression" dxfId="1033" priority="1285">
      <formula>D33=0</formula>
    </cfRule>
    <cfRule type="iconSet" priority="1287">
      <iconSet>
        <cfvo type="percent" val="0"/>
        <cfvo type="num" val="1"/>
        <cfvo type="num" val="2"/>
      </iconSet>
    </cfRule>
  </conditionalFormatting>
  <conditionalFormatting sqref="E36">
    <cfRule type="containsText" dxfId="1032" priority="1283" operator="containsText" text="⚠">
      <formula>NOT(ISERROR(SEARCH("⚠",E36)))</formula>
    </cfRule>
  </conditionalFormatting>
  <conditionalFormatting sqref="D36">
    <cfRule type="expression" dxfId="1031" priority="1282">
      <formula>LEN(FIND("⚠",E36))&gt;0</formula>
    </cfRule>
  </conditionalFormatting>
  <conditionalFormatting sqref="F38">
    <cfRule type="expression" dxfId="1030" priority="1278">
      <formula>D38=0</formula>
    </cfRule>
    <cfRule type="iconSet" priority="1280">
      <iconSet>
        <cfvo type="percent" val="0"/>
        <cfvo type="num" val="1"/>
        <cfvo type="num" val="2"/>
      </iconSet>
    </cfRule>
  </conditionalFormatting>
  <conditionalFormatting sqref="E41">
    <cfRule type="containsText" dxfId="1029" priority="1276" operator="containsText" text="⚠">
      <formula>NOT(ISERROR(SEARCH("⚠",E41)))</formula>
    </cfRule>
  </conditionalFormatting>
  <conditionalFormatting sqref="D41">
    <cfRule type="expression" dxfId="1028" priority="1275">
      <formula>LEN(FIND("⚠",E41))&gt;0</formula>
    </cfRule>
  </conditionalFormatting>
  <conditionalFormatting sqref="F43">
    <cfRule type="expression" dxfId="1027" priority="1271">
      <formula>D43=0</formula>
    </cfRule>
    <cfRule type="iconSet" priority="1273">
      <iconSet>
        <cfvo type="percent" val="0"/>
        <cfvo type="num" val="1"/>
        <cfvo type="num" val="2"/>
      </iconSet>
    </cfRule>
  </conditionalFormatting>
  <conditionalFormatting sqref="E46">
    <cfRule type="containsText" dxfId="1026" priority="1269" operator="containsText" text="⚠">
      <formula>NOT(ISERROR(SEARCH("⚠",E46)))</formula>
    </cfRule>
  </conditionalFormatting>
  <conditionalFormatting sqref="D46">
    <cfRule type="expression" dxfId="1025" priority="1268">
      <formula>LEN(FIND("⚠",E46))&gt;0</formula>
    </cfRule>
  </conditionalFormatting>
  <conditionalFormatting sqref="F48">
    <cfRule type="expression" dxfId="1024" priority="1264">
      <formula>D48=0</formula>
    </cfRule>
    <cfRule type="iconSet" priority="1266">
      <iconSet>
        <cfvo type="percent" val="0"/>
        <cfvo type="num" val="1"/>
        <cfvo type="num" val="2"/>
      </iconSet>
    </cfRule>
  </conditionalFormatting>
  <conditionalFormatting sqref="E51">
    <cfRule type="containsText" dxfId="1023" priority="1262" operator="containsText" text="⚠">
      <formula>NOT(ISERROR(SEARCH("⚠",E51)))</formula>
    </cfRule>
  </conditionalFormatting>
  <conditionalFormatting sqref="D51">
    <cfRule type="expression" dxfId="1022" priority="1261">
      <formula>LEN(FIND("⚠",E51))&gt;0</formula>
    </cfRule>
  </conditionalFormatting>
  <conditionalFormatting sqref="D53 F53 D55:E56">
    <cfRule type="expression" dxfId="1021" priority="1260">
      <formula>D53&lt;&gt;0</formula>
    </cfRule>
  </conditionalFormatting>
  <conditionalFormatting sqref="D53">
    <cfRule type="expression" dxfId="1020" priority="1258" stopIfTrue="1">
      <formula>D53=0</formula>
    </cfRule>
  </conditionalFormatting>
  <conditionalFormatting sqref="D55:E56">
    <cfRule type="containsBlanks" dxfId="1019" priority="1256">
      <formula>LEN(TRIM(D55))=0</formula>
    </cfRule>
  </conditionalFormatting>
  <conditionalFormatting sqref="F53">
    <cfRule type="expression" dxfId="1018" priority="1257">
      <formula>D53=0</formula>
    </cfRule>
    <cfRule type="iconSet" priority="1259">
      <iconSet>
        <cfvo type="percent" val="0"/>
        <cfvo type="num" val="1"/>
        <cfvo type="num" val="2"/>
      </iconSet>
    </cfRule>
  </conditionalFormatting>
  <conditionalFormatting sqref="E56">
    <cfRule type="containsText" dxfId="1017" priority="1255" operator="containsText" text="⚠">
      <formula>NOT(ISERROR(SEARCH("⚠",E56)))</formula>
    </cfRule>
  </conditionalFormatting>
  <conditionalFormatting sqref="D56">
    <cfRule type="expression" dxfId="1016" priority="1254">
      <formula>LEN(FIND("⚠",E56))&gt;0</formula>
    </cfRule>
  </conditionalFormatting>
  <conditionalFormatting sqref="D58 F58 D60:E61">
    <cfRule type="expression" dxfId="1015" priority="1253">
      <formula>D58&lt;&gt;0</formula>
    </cfRule>
  </conditionalFormatting>
  <conditionalFormatting sqref="D58">
    <cfRule type="expression" dxfId="1014" priority="1251" stopIfTrue="1">
      <formula>D58=0</formula>
    </cfRule>
  </conditionalFormatting>
  <conditionalFormatting sqref="D60:E61">
    <cfRule type="containsBlanks" dxfId="1013" priority="1249">
      <formula>LEN(TRIM(D60))=0</formula>
    </cfRule>
  </conditionalFormatting>
  <conditionalFormatting sqref="F58">
    <cfRule type="expression" dxfId="1012" priority="1250">
      <formula>D58=0</formula>
    </cfRule>
    <cfRule type="iconSet" priority="1252">
      <iconSet>
        <cfvo type="percent" val="0"/>
        <cfvo type="num" val="1"/>
        <cfvo type="num" val="2"/>
      </iconSet>
    </cfRule>
  </conditionalFormatting>
  <conditionalFormatting sqref="E61">
    <cfRule type="containsText" dxfId="1011" priority="1248" operator="containsText" text="⚠">
      <formula>NOT(ISERROR(SEARCH("⚠",E61)))</formula>
    </cfRule>
  </conditionalFormatting>
  <conditionalFormatting sqref="D61">
    <cfRule type="expression" dxfId="1010" priority="1247">
      <formula>LEN(FIND("⚠",E61))&gt;0</formula>
    </cfRule>
  </conditionalFormatting>
  <conditionalFormatting sqref="D63 F63 D65:E66">
    <cfRule type="expression" dxfId="1009" priority="1246">
      <formula>D63&lt;&gt;0</formula>
    </cfRule>
  </conditionalFormatting>
  <conditionalFormatting sqref="D63">
    <cfRule type="expression" dxfId="1008" priority="1244" stopIfTrue="1">
      <formula>D63=0</formula>
    </cfRule>
  </conditionalFormatting>
  <conditionalFormatting sqref="D65:E66">
    <cfRule type="containsBlanks" dxfId="1007" priority="1242">
      <formula>LEN(TRIM(D65))=0</formula>
    </cfRule>
  </conditionalFormatting>
  <conditionalFormatting sqref="F63">
    <cfRule type="expression" dxfId="1006" priority="1243">
      <formula>D63=0</formula>
    </cfRule>
    <cfRule type="iconSet" priority="1245">
      <iconSet>
        <cfvo type="percent" val="0"/>
        <cfvo type="num" val="1"/>
        <cfvo type="num" val="2"/>
      </iconSet>
    </cfRule>
  </conditionalFormatting>
  <conditionalFormatting sqref="E66">
    <cfRule type="containsText" dxfId="1005" priority="1241" operator="containsText" text="⚠">
      <formula>NOT(ISERROR(SEARCH("⚠",E66)))</formula>
    </cfRule>
  </conditionalFormatting>
  <conditionalFormatting sqref="D66">
    <cfRule type="expression" dxfId="1004" priority="1240">
      <formula>LEN(FIND("⚠",E66))&gt;0</formula>
    </cfRule>
  </conditionalFormatting>
  <conditionalFormatting sqref="F68">
    <cfRule type="expression" dxfId="1003" priority="1236">
      <formula>D68=0</formula>
    </cfRule>
    <cfRule type="iconSet" priority="1238">
      <iconSet>
        <cfvo type="percent" val="0"/>
        <cfvo type="num" val="1"/>
        <cfvo type="num" val="2"/>
      </iconSet>
    </cfRule>
  </conditionalFormatting>
  <conditionalFormatting sqref="E71">
    <cfRule type="containsText" dxfId="1002" priority="1234" operator="containsText" text="⚠">
      <formula>NOT(ISERROR(SEARCH("⚠",E71)))</formula>
    </cfRule>
  </conditionalFormatting>
  <conditionalFormatting sqref="D71">
    <cfRule type="expression" dxfId="1001" priority="1233">
      <formula>LEN(FIND("⚠",E71))&gt;0</formula>
    </cfRule>
  </conditionalFormatting>
  <conditionalFormatting sqref="F73">
    <cfRule type="expression" dxfId="1000" priority="1229">
      <formula>D73=0</formula>
    </cfRule>
    <cfRule type="iconSet" priority="1231">
      <iconSet>
        <cfvo type="percent" val="0"/>
        <cfvo type="num" val="1"/>
        <cfvo type="num" val="2"/>
      </iconSet>
    </cfRule>
  </conditionalFormatting>
  <conditionalFormatting sqref="E76">
    <cfRule type="containsText" dxfId="999" priority="1227" operator="containsText" text="⚠">
      <formula>NOT(ISERROR(SEARCH("⚠",E76)))</formula>
    </cfRule>
  </conditionalFormatting>
  <conditionalFormatting sqref="D76">
    <cfRule type="expression" dxfId="998" priority="1226">
      <formula>LEN(FIND("⚠",E76))&gt;0</formula>
    </cfRule>
  </conditionalFormatting>
  <conditionalFormatting sqref="F78">
    <cfRule type="expression" dxfId="997" priority="1222">
      <formula>D78=0</formula>
    </cfRule>
    <cfRule type="iconSet" priority="1224">
      <iconSet>
        <cfvo type="percent" val="0"/>
        <cfvo type="num" val="1"/>
        <cfvo type="num" val="2"/>
      </iconSet>
    </cfRule>
  </conditionalFormatting>
  <conditionalFormatting sqref="E81">
    <cfRule type="containsText" dxfId="996" priority="1220" operator="containsText" text="⚠">
      <formula>NOT(ISERROR(SEARCH("⚠",E81)))</formula>
    </cfRule>
  </conditionalFormatting>
  <conditionalFormatting sqref="D81">
    <cfRule type="expression" dxfId="995" priority="1219">
      <formula>LEN(FIND("⚠",E81))&gt;0</formula>
    </cfRule>
  </conditionalFormatting>
  <conditionalFormatting sqref="D83 F83 D85:E86">
    <cfRule type="expression" dxfId="994" priority="1218">
      <formula>D83&lt;&gt;0</formula>
    </cfRule>
  </conditionalFormatting>
  <conditionalFormatting sqref="D83">
    <cfRule type="expression" dxfId="993" priority="1216" stopIfTrue="1">
      <formula>D83=0</formula>
    </cfRule>
  </conditionalFormatting>
  <conditionalFormatting sqref="D85:E86">
    <cfRule type="containsBlanks" dxfId="992" priority="1214">
      <formula>LEN(TRIM(D85))=0</formula>
    </cfRule>
  </conditionalFormatting>
  <conditionalFormatting sqref="F83">
    <cfRule type="expression" dxfId="991" priority="1215">
      <formula>D83=0</formula>
    </cfRule>
    <cfRule type="iconSet" priority="1217">
      <iconSet>
        <cfvo type="percent" val="0"/>
        <cfvo type="num" val="1"/>
        <cfvo type="num" val="2"/>
      </iconSet>
    </cfRule>
  </conditionalFormatting>
  <conditionalFormatting sqref="E86">
    <cfRule type="containsText" dxfId="990" priority="1213" operator="containsText" text="⚠">
      <formula>NOT(ISERROR(SEARCH("⚠",E86)))</formula>
    </cfRule>
  </conditionalFormatting>
  <conditionalFormatting sqref="D86">
    <cfRule type="expression" dxfId="989" priority="1212">
      <formula>LEN(FIND("⚠",E86))&gt;0</formula>
    </cfRule>
  </conditionalFormatting>
  <conditionalFormatting sqref="D88 F88 D90:E91">
    <cfRule type="expression" dxfId="988" priority="1211">
      <formula>D88&lt;&gt;0</formula>
    </cfRule>
  </conditionalFormatting>
  <conditionalFormatting sqref="D88">
    <cfRule type="expression" dxfId="987" priority="1209" stopIfTrue="1">
      <formula>D88=0</formula>
    </cfRule>
  </conditionalFormatting>
  <conditionalFormatting sqref="D90:E91">
    <cfRule type="containsBlanks" dxfId="986" priority="1207">
      <formula>LEN(TRIM(D90))=0</formula>
    </cfRule>
  </conditionalFormatting>
  <conditionalFormatting sqref="F88">
    <cfRule type="expression" dxfId="985" priority="1208">
      <formula>D88=0</formula>
    </cfRule>
    <cfRule type="iconSet" priority="1210">
      <iconSet>
        <cfvo type="percent" val="0"/>
        <cfvo type="num" val="1"/>
        <cfvo type="num" val="2"/>
      </iconSet>
    </cfRule>
  </conditionalFormatting>
  <conditionalFormatting sqref="E91">
    <cfRule type="containsText" dxfId="984" priority="1206" operator="containsText" text="⚠">
      <formula>NOT(ISERROR(SEARCH("⚠",E91)))</formula>
    </cfRule>
  </conditionalFormatting>
  <conditionalFormatting sqref="D91">
    <cfRule type="expression" dxfId="983" priority="1205">
      <formula>LEN(FIND("⚠",E91))&gt;0</formula>
    </cfRule>
  </conditionalFormatting>
  <conditionalFormatting sqref="D93 F93 D95:E96">
    <cfRule type="expression" dxfId="982" priority="1204">
      <formula>D93&lt;&gt;0</formula>
    </cfRule>
  </conditionalFormatting>
  <conditionalFormatting sqref="D93">
    <cfRule type="expression" dxfId="981" priority="1202" stopIfTrue="1">
      <formula>D93=0</formula>
    </cfRule>
  </conditionalFormatting>
  <conditionalFormatting sqref="D95:E96">
    <cfRule type="containsBlanks" dxfId="980" priority="1200">
      <formula>LEN(TRIM(D95))=0</formula>
    </cfRule>
  </conditionalFormatting>
  <conditionalFormatting sqref="F93">
    <cfRule type="expression" dxfId="979" priority="1201">
      <formula>D93=0</formula>
    </cfRule>
    <cfRule type="iconSet" priority="1203">
      <iconSet>
        <cfvo type="percent" val="0"/>
        <cfvo type="num" val="1"/>
        <cfvo type="num" val="2"/>
      </iconSet>
    </cfRule>
  </conditionalFormatting>
  <conditionalFormatting sqref="E96">
    <cfRule type="containsText" dxfId="978" priority="1199" operator="containsText" text="⚠">
      <formula>NOT(ISERROR(SEARCH("⚠",E96)))</formula>
    </cfRule>
  </conditionalFormatting>
  <conditionalFormatting sqref="D96">
    <cfRule type="expression" dxfId="977" priority="1198">
      <formula>LEN(FIND("⚠",E96))&gt;0</formula>
    </cfRule>
  </conditionalFormatting>
  <conditionalFormatting sqref="F98">
    <cfRule type="expression" dxfId="976" priority="1194">
      <formula>D98=0</formula>
    </cfRule>
    <cfRule type="iconSet" priority="1196">
      <iconSet>
        <cfvo type="percent" val="0"/>
        <cfvo type="num" val="1"/>
        <cfvo type="num" val="2"/>
      </iconSet>
    </cfRule>
  </conditionalFormatting>
  <conditionalFormatting sqref="E101">
    <cfRule type="containsText" dxfId="975" priority="1192" operator="containsText" text="⚠">
      <formula>NOT(ISERROR(SEARCH("⚠",E101)))</formula>
    </cfRule>
  </conditionalFormatting>
  <conditionalFormatting sqref="D101">
    <cfRule type="expression" dxfId="974" priority="1191">
      <formula>LEN(FIND("⚠",E101))&gt;0</formula>
    </cfRule>
  </conditionalFormatting>
  <conditionalFormatting sqref="F103">
    <cfRule type="expression" dxfId="973" priority="1187">
      <formula>D103=0</formula>
    </cfRule>
    <cfRule type="iconSet" priority="1189">
      <iconSet>
        <cfvo type="percent" val="0"/>
        <cfvo type="num" val="1"/>
        <cfvo type="num" val="2"/>
      </iconSet>
    </cfRule>
  </conditionalFormatting>
  <conditionalFormatting sqref="E106">
    <cfRule type="containsText" dxfId="972" priority="1185" operator="containsText" text="⚠">
      <formula>NOT(ISERROR(SEARCH("⚠",E106)))</formula>
    </cfRule>
  </conditionalFormatting>
  <conditionalFormatting sqref="D106">
    <cfRule type="expression" dxfId="971" priority="1184">
      <formula>LEN(FIND("⚠",E106))&gt;0</formula>
    </cfRule>
  </conditionalFormatting>
  <conditionalFormatting sqref="F108">
    <cfRule type="expression" dxfId="970" priority="1180">
      <formula>D108=0</formula>
    </cfRule>
    <cfRule type="iconSet" priority="1182">
      <iconSet>
        <cfvo type="percent" val="0"/>
        <cfvo type="num" val="1"/>
        <cfvo type="num" val="2"/>
      </iconSet>
    </cfRule>
  </conditionalFormatting>
  <conditionalFormatting sqref="E111">
    <cfRule type="containsText" dxfId="969" priority="1178" operator="containsText" text="⚠">
      <formula>NOT(ISERROR(SEARCH("⚠",E111)))</formula>
    </cfRule>
  </conditionalFormatting>
  <conditionalFormatting sqref="D111">
    <cfRule type="expression" dxfId="968" priority="1177">
      <formula>LEN(FIND("⚠",E111))&gt;0</formula>
    </cfRule>
  </conditionalFormatting>
  <conditionalFormatting sqref="J8 L8 J10:K11">
    <cfRule type="expression" dxfId="967" priority="1176">
      <formula>J8&lt;&gt;0</formula>
    </cfRule>
  </conditionalFormatting>
  <conditionalFormatting sqref="J8">
    <cfRule type="expression" dxfId="966" priority="1174" stopIfTrue="1">
      <formula>J8=0</formula>
    </cfRule>
  </conditionalFormatting>
  <conditionalFormatting sqref="J10:K11">
    <cfRule type="containsBlanks" dxfId="965" priority="1172">
      <formula>LEN(TRIM(J10))=0</formula>
    </cfRule>
  </conditionalFormatting>
  <conditionalFormatting sqref="L8">
    <cfRule type="expression" dxfId="964" priority="1173">
      <formula>J8=0</formula>
    </cfRule>
    <cfRule type="iconSet" priority="1175">
      <iconSet>
        <cfvo type="percent" val="0"/>
        <cfvo type="num" val="1"/>
        <cfvo type="num" val="2"/>
      </iconSet>
    </cfRule>
  </conditionalFormatting>
  <conditionalFormatting sqref="K11">
    <cfRule type="containsText" dxfId="963" priority="1171" operator="containsText" text="⚠">
      <formula>NOT(ISERROR(SEARCH("⚠",K11)))</formula>
    </cfRule>
  </conditionalFormatting>
  <conditionalFormatting sqref="J11">
    <cfRule type="expression" dxfId="962" priority="1170">
      <formula>LEN(FIND("⚠",K11))&gt;0</formula>
    </cfRule>
  </conditionalFormatting>
  <conditionalFormatting sqref="J13 L13 J15:K16">
    <cfRule type="expression" dxfId="961" priority="1169">
      <formula>J13&lt;&gt;0</formula>
    </cfRule>
  </conditionalFormatting>
  <conditionalFormatting sqref="J13">
    <cfRule type="expression" dxfId="960" priority="1167" stopIfTrue="1">
      <formula>J13=0</formula>
    </cfRule>
  </conditionalFormatting>
  <conditionalFormatting sqref="J15:K16">
    <cfRule type="containsBlanks" dxfId="959" priority="1165">
      <formula>LEN(TRIM(J15))=0</formula>
    </cfRule>
  </conditionalFormatting>
  <conditionalFormatting sqref="L13">
    <cfRule type="expression" dxfId="958" priority="1166">
      <formula>J13=0</formula>
    </cfRule>
    <cfRule type="iconSet" priority="1168">
      <iconSet>
        <cfvo type="percent" val="0"/>
        <cfvo type="num" val="1"/>
        <cfvo type="num" val="2"/>
      </iconSet>
    </cfRule>
  </conditionalFormatting>
  <conditionalFormatting sqref="K16">
    <cfRule type="containsText" dxfId="957" priority="1164" operator="containsText" text="⚠">
      <formula>NOT(ISERROR(SEARCH("⚠",K16)))</formula>
    </cfRule>
  </conditionalFormatting>
  <conditionalFormatting sqref="J16">
    <cfRule type="expression" dxfId="956" priority="1163">
      <formula>LEN(FIND("⚠",K16))&gt;0</formula>
    </cfRule>
  </conditionalFormatting>
  <conditionalFormatting sqref="J18 L18 J20:K21">
    <cfRule type="expression" dxfId="955" priority="1162">
      <formula>J18&lt;&gt;0</formula>
    </cfRule>
  </conditionalFormatting>
  <conditionalFormatting sqref="J18">
    <cfRule type="expression" dxfId="954" priority="1160" stopIfTrue="1">
      <formula>J18=0</formula>
    </cfRule>
  </conditionalFormatting>
  <conditionalFormatting sqref="J20:K21">
    <cfRule type="containsBlanks" dxfId="953" priority="1158">
      <formula>LEN(TRIM(J20))=0</formula>
    </cfRule>
  </conditionalFormatting>
  <conditionalFormatting sqref="L18">
    <cfRule type="expression" dxfId="952" priority="1159">
      <formula>J18=0</formula>
    </cfRule>
    <cfRule type="iconSet" priority="1161">
      <iconSet>
        <cfvo type="percent" val="0"/>
        <cfvo type="num" val="1"/>
        <cfvo type="num" val="2"/>
      </iconSet>
    </cfRule>
  </conditionalFormatting>
  <conditionalFormatting sqref="K21">
    <cfRule type="containsText" dxfId="951" priority="1157" operator="containsText" text="⚠">
      <formula>NOT(ISERROR(SEARCH("⚠",K21)))</formula>
    </cfRule>
  </conditionalFormatting>
  <conditionalFormatting sqref="J21">
    <cfRule type="expression" dxfId="950" priority="1156">
      <formula>LEN(FIND("⚠",K21))&gt;0</formula>
    </cfRule>
  </conditionalFormatting>
  <conditionalFormatting sqref="L23">
    <cfRule type="expression" dxfId="949" priority="1152">
      <formula>J23=0</formula>
    </cfRule>
    <cfRule type="iconSet" priority="1154">
      <iconSet>
        <cfvo type="percent" val="0"/>
        <cfvo type="num" val="1"/>
        <cfvo type="num" val="2"/>
      </iconSet>
    </cfRule>
  </conditionalFormatting>
  <conditionalFormatting sqref="K26">
    <cfRule type="containsText" dxfId="948" priority="1150" operator="containsText" text="⚠">
      <formula>NOT(ISERROR(SEARCH("⚠",K26)))</formula>
    </cfRule>
  </conditionalFormatting>
  <conditionalFormatting sqref="J26">
    <cfRule type="expression" dxfId="947" priority="1149">
      <formula>LEN(FIND("⚠",K26))&gt;0</formula>
    </cfRule>
  </conditionalFormatting>
  <conditionalFormatting sqref="L28">
    <cfRule type="expression" dxfId="946" priority="1145">
      <formula>J28=0</formula>
    </cfRule>
    <cfRule type="iconSet" priority="1147">
      <iconSet>
        <cfvo type="percent" val="0"/>
        <cfvo type="num" val="1"/>
        <cfvo type="num" val="2"/>
      </iconSet>
    </cfRule>
  </conditionalFormatting>
  <conditionalFormatting sqref="K31">
    <cfRule type="containsText" dxfId="945" priority="1143" operator="containsText" text="⚠">
      <formula>NOT(ISERROR(SEARCH("⚠",K31)))</formula>
    </cfRule>
  </conditionalFormatting>
  <conditionalFormatting sqref="J31">
    <cfRule type="expression" dxfId="944" priority="1142">
      <formula>LEN(FIND("⚠",K31))&gt;0</formula>
    </cfRule>
  </conditionalFormatting>
  <conditionalFormatting sqref="L33">
    <cfRule type="expression" dxfId="943" priority="1138">
      <formula>J33=0</formula>
    </cfRule>
    <cfRule type="iconSet" priority="1140">
      <iconSet>
        <cfvo type="percent" val="0"/>
        <cfvo type="num" val="1"/>
        <cfvo type="num" val="2"/>
      </iconSet>
    </cfRule>
  </conditionalFormatting>
  <conditionalFormatting sqref="K36">
    <cfRule type="containsText" dxfId="942" priority="1136" operator="containsText" text="⚠">
      <formula>NOT(ISERROR(SEARCH("⚠",K36)))</formula>
    </cfRule>
  </conditionalFormatting>
  <conditionalFormatting sqref="J36">
    <cfRule type="expression" dxfId="941" priority="1135">
      <formula>LEN(FIND("⚠",K36))&gt;0</formula>
    </cfRule>
  </conditionalFormatting>
  <conditionalFormatting sqref="J38 L38 J40:K41">
    <cfRule type="expression" dxfId="940" priority="1134">
      <formula>J38&lt;&gt;0</formula>
    </cfRule>
  </conditionalFormatting>
  <conditionalFormatting sqref="J38">
    <cfRule type="expression" dxfId="939" priority="1132" stopIfTrue="1">
      <formula>J38=0</formula>
    </cfRule>
  </conditionalFormatting>
  <conditionalFormatting sqref="J40:K41">
    <cfRule type="containsBlanks" dxfId="938" priority="1130">
      <formula>LEN(TRIM(J40))=0</formula>
    </cfRule>
  </conditionalFormatting>
  <conditionalFormatting sqref="L38">
    <cfRule type="expression" dxfId="937" priority="1131">
      <formula>J38=0</formula>
    </cfRule>
    <cfRule type="iconSet" priority="1133">
      <iconSet>
        <cfvo type="percent" val="0"/>
        <cfvo type="num" val="1"/>
        <cfvo type="num" val="2"/>
      </iconSet>
    </cfRule>
  </conditionalFormatting>
  <conditionalFormatting sqref="K41">
    <cfRule type="containsText" dxfId="936" priority="1129" operator="containsText" text="⚠">
      <formula>NOT(ISERROR(SEARCH("⚠",K41)))</formula>
    </cfRule>
  </conditionalFormatting>
  <conditionalFormatting sqref="J41">
    <cfRule type="expression" dxfId="935" priority="1128">
      <formula>LEN(FIND("⚠",K41))&gt;0</formula>
    </cfRule>
  </conditionalFormatting>
  <conditionalFormatting sqref="J43 L43 J45:K46">
    <cfRule type="expression" dxfId="934" priority="1127">
      <formula>J43&lt;&gt;0</formula>
    </cfRule>
  </conditionalFormatting>
  <conditionalFormatting sqref="J43">
    <cfRule type="expression" dxfId="933" priority="1125" stopIfTrue="1">
      <formula>J43=0</formula>
    </cfRule>
  </conditionalFormatting>
  <conditionalFormatting sqref="J45:K46">
    <cfRule type="containsBlanks" dxfId="932" priority="1123">
      <formula>LEN(TRIM(J45))=0</formula>
    </cfRule>
  </conditionalFormatting>
  <conditionalFormatting sqref="L43">
    <cfRule type="expression" dxfId="931" priority="1124">
      <formula>J43=0</formula>
    </cfRule>
    <cfRule type="iconSet" priority="1126">
      <iconSet>
        <cfvo type="percent" val="0"/>
        <cfvo type="num" val="1"/>
        <cfvo type="num" val="2"/>
      </iconSet>
    </cfRule>
  </conditionalFormatting>
  <conditionalFormatting sqref="K46">
    <cfRule type="containsText" dxfId="930" priority="1122" operator="containsText" text="⚠">
      <formula>NOT(ISERROR(SEARCH("⚠",K46)))</formula>
    </cfRule>
  </conditionalFormatting>
  <conditionalFormatting sqref="J46">
    <cfRule type="expression" dxfId="929" priority="1121">
      <formula>LEN(FIND("⚠",K46))&gt;0</formula>
    </cfRule>
  </conditionalFormatting>
  <conditionalFormatting sqref="J48 L48 J50:K51">
    <cfRule type="expression" dxfId="928" priority="1120">
      <formula>J48&lt;&gt;0</formula>
    </cfRule>
  </conditionalFormatting>
  <conditionalFormatting sqref="J48">
    <cfRule type="expression" dxfId="927" priority="1118" stopIfTrue="1">
      <formula>J48=0</formula>
    </cfRule>
  </conditionalFormatting>
  <conditionalFormatting sqref="J50:K51">
    <cfRule type="containsBlanks" dxfId="926" priority="1116">
      <formula>LEN(TRIM(J50))=0</formula>
    </cfRule>
  </conditionalFormatting>
  <conditionalFormatting sqref="L48">
    <cfRule type="expression" dxfId="925" priority="1117">
      <formula>J48=0</formula>
    </cfRule>
    <cfRule type="iconSet" priority="1119">
      <iconSet>
        <cfvo type="percent" val="0"/>
        <cfvo type="num" val="1"/>
        <cfvo type="num" val="2"/>
      </iconSet>
    </cfRule>
  </conditionalFormatting>
  <conditionalFormatting sqref="K51">
    <cfRule type="containsText" dxfId="924" priority="1115" operator="containsText" text="⚠">
      <formula>NOT(ISERROR(SEARCH("⚠",K51)))</formula>
    </cfRule>
  </conditionalFormatting>
  <conditionalFormatting sqref="J51">
    <cfRule type="expression" dxfId="923" priority="1114">
      <formula>LEN(FIND("⚠",K51))&gt;0</formula>
    </cfRule>
  </conditionalFormatting>
  <conditionalFormatting sqref="L53">
    <cfRule type="expression" dxfId="922" priority="1110">
      <formula>J53=0</formula>
    </cfRule>
    <cfRule type="iconSet" priority="1112">
      <iconSet>
        <cfvo type="percent" val="0"/>
        <cfvo type="num" val="1"/>
        <cfvo type="num" val="2"/>
      </iconSet>
    </cfRule>
  </conditionalFormatting>
  <conditionalFormatting sqref="K56">
    <cfRule type="containsText" dxfId="921" priority="1108" operator="containsText" text="⚠">
      <formula>NOT(ISERROR(SEARCH("⚠",K56)))</formula>
    </cfRule>
  </conditionalFormatting>
  <conditionalFormatting sqref="J56">
    <cfRule type="expression" dxfId="920" priority="1107">
      <formula>LEN(FIND("⚠",K56))&gt;0</formula>
    </cfRule>
  </conditionalFormatting>
  <conditionalFormatting sqref="L58">
    <cfRule type="expression" dxfId="919" priority="1103">
      <formula>J58=0</formula>
    </cfRule>
    <cfRule type="iconSet" priority="1105">
      <iconSet>
        <cfvo type="percent" val="0"/>
        <cfvo type="num" val="1"/>
        <cfvo type="num" val="2"/>
      </iconSet>
    </cfRule>
  </conditionalFormatting>
  <conditionalFormatting sqref="K61">
    <cfRule type="containsText" dxfId="918" priority="1101" operator="containsText" text="⚠">
      <formula>NOT(ISERROR(SEARCH("⚠",K61)))</formula>
    </cfRule>
  </conditionalFormatting>
  <conditionalFormatting sqref="J61">
    <cfRule type="expression" dxfId="917" priority="1100">
      <formula>LEN(FIND("⚠",K61))&gt;0</formula>
    </cfRule>
  </conditionalFormatting>
  <conditionalFormatting sqref="L63">
    <cfRule type="expression" dxfId="916" priority="1096">
      <formula>J63=0</formula>
    </cfRule>
    <cfRule type="iconSet" priority="1098">
      <iconSet>
        <cfvo type="percent" val="0"/>
        <cfvo type="num" val="1"/>
        <cfvo type="num" val="2"/>
      </iconSet>
    </cfRule>
  </conditionalFormatting>
  <conditionalFormatting sqref="K66">
    <cfRule type="containsText" dxfId="915" priority="1094" operator="containsText" text="⚠">
      <formula>NOT(ISERROR(SEARCH("⚠",K66)))</formula>
    </cfRule>
  </conditionalFormatting>
  <conditionalFormatting sqref="J66">
    <cfRule type="expression" dxfId="914" priority="1093">
      <formula>LEN(FIND("⚠",K66))&gt;0</formula>
    </cfRule>
  </conditionalFormatting>
  <conditionalFormatting sqref="J68 L68 J70:K71">
    <cfRule type="expression" dxfId="913" priority="1092">
      <formula>J68&lt;&gt;0</formula>
    </cfRule>
  </conditionalFormatting>
  <conditionalFormatting sqref="J68">
    <cfRule type="expression" dxfId="912" priority="1090" stopIfTrue="1">
      <formula>J68=0</formula>
    </cfRule>
  </conditionalFormatting>
  <conditionalFormatting sqref="J70:K71">
    <cfRule type="containsBlanks" dxfId="911" priority="1088">
      <formula>LEN(TRIM(J70))=0</formula>
    </cfRule>
  </conditionalFormatting>
  <conditionalFormatting sqref="L68">
    <cfRule type="expression" dxfId="910" priority="1089">
      <formula>J68=0</formula>
    </cfRule>
    <cfRule type="iconSet" priority="1091">
      <iconSet>
        <cfvo type="percent" val="0"/>
        <cfvo type="num" val="1"/>
        <cfvo type="num" val="2"/>
      </iconSet>
    </cfRule>
  </conditionalFormatting>
  <conditionalFormatting sqref="K71">
    <cfRule type="containsText" dxfId="909" priority="1087" operator="containsText" text="⚠">
      <formula>NOT(ISERROR(SEARCH("⚠",K71)))</formula>
    </cfRule>
  </conditionalFormatting>
  <conditionalFormatting sqref="J71">
    <cfRule type="expression" dxfId="908" priority="1086">
      <formula>LEN(FIND("⚠",K71))&gt;0</formula>
    </cfRule>
  </conditionalFormatting>
  <conditionalFormatting sqref="J73 L73 J75:K76">
    <cfRule type="expression" dxfId="907" priority="1085">
      <formula>J73&lt;&gt;0</formula>
    </cfRule>
  </conditionalFormatting>
  <conditionalFormatting sqref="J73">
    <cfRule type="expression" dxfId="906" priority="1083" stopIfTrue="1">
      <formula>J73=0</formula>
    </cfRule>
  </conditionalFormatting>
  <conditionalFormatting sqref="J75:K76">
    <cfRule type="containsBlanks" dxfId="905" priority="1081">
      <formula>LEN(TRIM(J75))=0</formula>
    </cfRule>
  </conditionalFormatting>
  <conditionalFormatting sqref="L73">
    <cfRule type="expression" dxfId="904" priority="1082">
      <formula>J73=0</formula>
    </cfRule>
    <cfRule type="iconSet" priority="1084">
      <iconSet>
        <cfvo type="percent" val="0"/>
        <cfvo type="num" val="1"/>
        <cfvo type="num" val="2"/>
      </iconSet>
    </cfRule>
  </conditionalFormatting>
  <conditionalFormatting sqref="K76">
    <cfRule type="containsText" dxfId="903" priority="1080" operator="containsText" text="⚠">
      <formula>NOT(ISERROR(SEARCH("⚠",K76)))</formula>
    </cfRule>
  </conditionalFormatting>
  <conditionalFormatting sqref="J76">
    <cfRule type="expression" dxfId="902" priority="1079">
      <formula>LEN(FIND("⚠",K76))&gt;0</formula>
    </cfRule>
  </conditionalFormatting>
  <conditionalFormatting sqref="J78 L78 J80:K81">
    <cfRule type="expression" dxfId="901" priority="1078">
      <formula>J78&lt;&gt;0</formula>
    </cfRule>
  </conditionalFormatting>
  <conditionalFormatting sqref="J78">
    <cfRule type="expression" dxfId="900" priority="1076" stopIfTrue="1">
      <formula>J78=0</formula>
    </cfRule>
  </conditionalFormatting>
  <conditionalFormatting sqref="J80:K81">
    <cfRule type="containsBlanks" dxfId="899" priority="1074">
      <formula>LEN(TRIM(J80))=0</formula>
    </cfRule>
  </conditionalFormatting>
  <conditionalFormatting sqref="L78">
    <cfRule type="expression" dxfId="898" priority="1075">
      <formula>J78=0</formula>
    </cfRule>
    <cfRule type="iconSet" priority="1077">
      <iconSet>
        <cfvo type="percent" val="0"/>
        <cfvo type="num" val="1"/>
        <cfvo type="num" val="2"/>
      </iconSet>
    </cfRule>
  </conditionalFormatting>
  <conditionalFormatting sqref="K81">
    <cfRule type="containsText" dxfId="897" priority="1073" operator="containsText" text="⚠">
      <formula>NOT(ISERROR(SEARCH("⚠",K81)))</formula>
    </cfRule>
  </conditionalFormatting>
  <conditionalFormatting sqref="J81">
    <cfRule type="expression" dxfId="896" priority="1072">
      <formula>LEN(FIND("⚠",K81))&gt;0</formula>
    </cfRule>
  </conditionalFormatting>
  <conditionalFormatting sqref="L83">
    <cfRule type="expression" dxfId="895" priority="1068">
      <formula>J83=0</formula>
    </cfRule>
    <cfRule type="iconSet" priority="1070">
      <iconSet>
        <cfvo type="percent" val="0"/>
        <cfvo type="num" val="1"/>
        <cfvo type="num" val="2"/>
      </iconSet>
    </cfRule>
  </conditionalFormatting>
  <conditionalFormatting sqref="K86">
    <cfRule type="containsText" dxfId="894" priority="1066" operator="containsText" text="⚠">
      <formula>NOT(ISERROR(SEARCH("⚠",K86)))</formula>
    </cfRule>
  </conditionalFormatting>
  <conditionalFormatting sqref="J86">
    <cfRule type="expression" dxfId="893" priority="1065">
      <formula>LEN(FIND("⚠",K86))&gt;0</formula>
    </cfRule>
  </conditionalFormatting>
  <conditionalFormatting sqref="L88">
    <cfRule type="expression" dxfId="892" priority="1061">
      <formula>J88=0</formula>
    </cfRule>
    <cfRule type="iconSet" priority="1063">
      <iconSet>
        <cfvo type="percent" val="0"/>
        <cfvo type="num" val="1"/>
        <cfvo type="num" val="2"/>
      </iconSet>
    </cfRule>
  </conditionalFormatting>
  <conditionalFormatting sqref="K91">
    <cfRule type="containsText" dxfId="891" priority="1059" operator="containsText" text="⚠">
      <formula>NOT(ISERROR(SEARCH("⚠",K91)))</formula>
    </cfRule>
  </conditionalFormatting>
  <conditionalFormatting sqref="J91">
    <cfRule type="expression" dxfId="890" priority="1058">
      <formula>LEN(FIND("⚠",K91))&gt;0</formula>
    </cfRule>
  </conditionalFormatting>
  <conditionalFormatting sqref="L93">
    <cfRule type="expression" dxfId="889" priority="1054">
      <formula>J93=0</formula>
    </cfRule>
    <cfRule type="iconSet" priority="1056">
      <iconSet>
        <cfvo type="percent" val="0"/>
        <cfvo type="num" val="1"/>
        <cfvo type="num" val="2"/>
      </iconSet>
    </cfRule>
  </conditionalFormatting>
  <conditionalFormatting sqref="K96">
    <cfRule type="containsText" dxfId="888" priority="1052" operator="containsText" text="⚠">
      <formula>NOT(ISERROR(SEARCH("⚠",K96)))</formula>
    </cfRule>
  </conditionalFormatting>
  <conditionalFormatting sqref="J96">
    <cfRule type="expression" dxfId="887" priority="1051">
      <formula>LEN(FIND("⚠",K96))&gt;0</formula>
    </cfRule>
  </conditionalFormatting>
  <conditionalFormatting sqref="J98 L98 J100:K101">
    <cfRule type="expression" dxfId="886" priority="1050">
      <formula>J98&lt;&gt;0</formula>
    </cfRule>
  </conditionalFormatting>
  <conditionalFormatting sqref="J98">
    <cfRule type="expression" dxfId="885" priority="1048" stopIfTrue="1">
      <formula>J98=0</formula>
    </cfRule>
  </conditionalFormatting>
  <conditionalFormatting sqref="J100:K101">
    <cfRule type="containsBlanks" dxfId="884" priority="1046">
      <formula>LEN(TRIM(J100))=0</formula>
    </cfRule>
  </conditionalFormatting>
  <conditionalFormatting sqref="L98">
    <cfRule type="expression" dxfId="883" priority="1047">
      <formula>J98=0</formula>
    </cfRule>
    <cfRule type="iconSet" priority="1049">
      <iconSet>
        <cfvo type="percent" val="0"/>
        <cfvo type="num" val="1"/>
        <cfvo type="num" val="2"/>
      </iconSet>
    </cfRule>
  </conditionalFormatting>
  <conditionalFormatting sqref="K101">
    <cfRule type="containsText" dxfId="882" priority="1045" operator="containsText" text="⚠">
      <formula>NOT(ISERROR(SEARCH("⚠",K101)))</formula>
    </cfRule>
  </conditionalFormatting>
  <conditionalFormatting sqref="J101">
    <cfRule type="expression" dxfId="881" priority="1044">
      <formula>LEN(FIND("⚠",K101))&gt;0</formula>
    </cfRule>
  </conditionalFormatting>
  <conditionalFormatting sqref="J103 L103 J105:K106">
    <cfRule type="expression" dxfId="880" priority="1043">
      <formula>J103&lt;&gt;0</formula>
    </cfRule>
  </conditionalFormatting>
  <conditionalFormatting sqref="J103">
    <cfRule type="expression" dxfId="879" priority="1041" stopIfTrue="1">
      <formula>J103=0</formula>
    </cfRule>
  </conditionalFormatting>
  <conditionalFormatting sqref="J105:K106">
    <cfRule type="containsBlanks" dxfId="878" priority="1039">
      <formula>LEN(TRIM(J105))=0</formula>
    </cfRule>
  </conditionalFormatting>
  <conditionalFormatting sqref="L103">
    <cfRule type="expression" dxfId="877" priority="1040">
      <formula>J103=0</formula>
    </cfRule>
    <cfRule type="iconSet" priority="1042">
      <iconSet>
        <cfvo type="percent" val="0"/>
        <cfvo type="num" val="1"/>
        <cfvo type="num" val="2"/>
      </iconSet>
    </cfRule>
  </conditionalFormatting>
  <conditionalFormatting sqref="K106">
    <cfRule type="containsText" dxfId="876" priority="1038" operator="containsText" text="⚠">
      <formula>NOT(ISERROR(SEARCH("⚠",K106)))</formula>
    </cfRule>
  </conditionalFormatting>
  <conditionalFormatting sqref="J106">
    <cfRule type="expression" dxfId="875" priority="1037">
      <formula>LEN(FIND("⚠",K106))&gt;0</formula>
    </cfRule>
  </conditionalFormatting>
  <conditionalFormatting sqref="J108 L108 J110:K111">
    <cfRule type="expression" dxfId="874" priority="1036">
      <formula>J108&lt;&gt;0</formula>
    </cfRule>
  </conditionalFormatting>
  <conditionalFormatting sqref="J108">
    <cfRule type="expression" dxfId="873" priority="1034" stopIfTrue="1">
      <formula>J108=0</formula>
    </cfRule>
  </conditionalFormatting>
  <conditionalFormatting sqref="J110:K111">
    <cfRule type="containsBlanks" dxfId="872" priority="1032">
      <formula>LEN(TRIM(J110))=0</formula>
    </cfRule>
  </conditionalFormatting>
  <conditionalFormatting sqref="L108">
    <cfRule type="expression" dxfId="871" priority="1033">
      <formula>J108=0</formula>
    </cfRule>
    <cfRule type="iconSet" priority="1035">
      <iconSet>
        <cfvo type="percent" val="0"/>
        <cfvo type="num" val="1"/>
        <cfvo type="num" val="2"/>
      </iconSet>
    </cfRule>
  </conditionalFormatting>
  <conditionalFormatting sqref="K111">
    <cfRule type="containsText" dxfId="870" priority="1031" operator="containsText" text="⚠">
      <formula>NOT(ISERROR(SEARCH("⚠",K111)))</formula>
    </cfRule>
  </conditionalFormatting>
  <conditionalFormatting sqref="J111">
    <cfRule type="expression" dxfId="869" priority="1030">
      <formula>LEN(FIND("⚠",K111))&gt;0</formula>
    </cfRule>
  </conditionalFormatting>
  <conditionalFormatting sqref="R8">
    <cfRule type="expression" dxfId="868" priority="1026">
      <formula>P8=0</formula>
    </cfRule>
    <cfRule type="iconSet" priority="1028">
      <iconSet>
        <cfvo type="percent" val="0"/>
        <cfvo type="num" val="1"/>
        <cfvo type="num" val="2"/>
      </iconSet>
    </cfRule>
  </conditionalFormatting>
  <conditionalFormatting sqref="Q11">
    <cfRule type="containsText" dxfId="867" priority="1024" operator="containsText" text="⚠">
      <formula>NOT(ISERROR(SEARCH("⚠",Q11)))</formula>
    </cfRule>
  </conditionalFormatting>
  <conditionalFormatting sqref="P11">
    <cfRule type="expression" dxfId="866" priority="1023">
      <formula>LEN(FIND("⚠",Q11))&gt;0</formula>
    </cfRule>
  </conditionalFormatting>
  <conditionalFormatting sqref="R13">
    <cfRule type="expression" dxfId="865" priority="1019">
      <formula>P13=0</formula>
    </cfRule>
    <cfRule type="iconSet" priority="1021">
      <iconSet>
        <cfvo type="percent" val="0"/>
        <cfvo type="num" val="1"/>
        <cfvo type="num" val="2"/>
      </iconSet>
    </cfRule>
  </conditionalFormatting>
  <conditionalFormatting sqref="Q16">
    <cfRule type="containsText" dxfId="864" priority="1017" operator="containsText" text="⚠">
      <formula>NOT(ISERROR(SEARCH("⚠",Q16)))</formula>
    </cfRule>
  </conditionalFormatting>
  <conditionalFormatting sqref="P16">
    <cfRule type="expression" dxfId="863" priority="1016">
      <formula>LEN(FIND("⚠",Q16))&gt;0</formula>
    </cfRule>
  </conditionalFormatting>
  <conditionalFormatting sqref="P18 R18 P20:Q21">
    <cfRule type="expression" dxfId="862" priority="1015">
      <formula>P18&lt;&gt;0</formula>
    </cfRule>
  </conditionalFormatting>
  <conditionalFormatting sqref="P18">
    <cfRule type="expression" dxfId="861" priority="1013" stopIfTrue="1">
      <formula>P18=0</formula>
    </cfRule>
  </conditionalFormatting>
  <conditionalFormatting sqref="P20:Q21">
    <cfRule type="containsBlanks" dxfId="860" priority="1011">
      <formula>LEN(TRIM(P20))=0</formula>
    </cfRule>
  </conditionalFormatting>
  <conditionalFormatting sqref="R18">
    <cfRule type="expression" dxfId="859" priority="1012">
      <formula>P18=0</formula>
    </cfRule>
    <cfRule type="iconSet" priority="1014">
      <iconSet>
        <cfvo type="percent" val="0"/>
        <cfvo type="num" val="1"/>
        <cfvo type="num" val="2"/>
      </iconSet>
    </cfRule>
  </conditionalFormatting>
  <conditionalFormatting sqref="Q21">
    <cfRule type="containsText" dxfId="858" priority="1010" operator="containsText" text="⚠">
      <formula>NOT(ISERROR(SEARCH("⚠",Q21)))</formula>
    </cfRule>
  </conditionalFormatting>
  <conditionalFormatting sqref="P21">
    <cfRule type="expression" dxfId="857" priority="1009">
      <formula>LEN(FIND("⚠",Q21))&gt;0</formula>
    </cfRule>
  </conditionalFormatting>
  <conditionalFormatting sqref="P23 R23 P25:Q26">
    <cfRule type="expression" dxfId="856" priority="1008">
      <formula>P23&lt;&gt;0</formula>
    </cfRule>
  </conditionalFormatting>
  <conditionalFormatting sqref="P23">
    <cfRule type="expression" dxfId="855" priority="1006" stopIfTrue="1">
      <formula>P23=0</formula>
    </cfRule>
  </conditionalFormatting>
  <conditionalFormatting sqref="P25:Q26">
    <cfRule type="containsBlanks" dxfId="854" priority="1004">
      <formula>LEN(TRIM(P25))=0</formula>
    </cfRule>
  </conditionalFormatting>
  <conditionalFormatting sqref="R23">
    <cfRule type="expression" dxfId="853" priority="1005">
      <formula>P23=0</formula>
    </cfRule>
    <cfRule type="iconSet" priority="1007">
      <iconSet>
        <cfvo type="percent" val="0"/>
        <cfvo type="num" val="1"/>
        <cfvo type="num" val="2"/>
      </iconSet>
    </cfRule>
  </conditionalFormatting>
  <conditionalFormatting sqref="Q26">
    <cfRule type="containsText" dxfId="852" priority="1003" operator="containsText" text="⚠">
      <formula>NOT(ISERROR(SEARCH("⚠",Q26)))</formula>
    </cfRule>
  </conditionalFormatting>
  <conditionalFormatting sqref="P26">
    <cfRule type="expression" dxfId="851" priority="1002">
      <formula>LEN(FIND("⚠",Q26))&gt;0</formula>
    </cfRule>
  </conditionalFormatting>
  <conditionalFormatting sqref="P28 R28 P30:Q31">
    <cfRule type="expression" dxfId="850" priority="1001">
      <formula>P28&lt;&gt;0</formula>
    </cfRule>
  </conditionalFormatting>
  <conditionalFormatting sqref="P28">
    <cfRule type="expression" dxfId="849" priority="999" stopIfTrue="1">
      <formula>P28=0</formula>
    </cfRule>
  </conditionalFormatting>
  <conditionalFormatting sqref="P30:Q31">
    <cfRule type="containsBlanks" dxfId="848" priority="997">
      <formula>LEN(TRIM(P30))=0</formula>
    </cfRule>
  </conditionalFormatting>
  <conditionalFormatting sqref="R28">
    <cfRule type="expression" dxfId="847" priority="998">
      <formula>P28=0</formula>
    </cfRule>
    <cfRule type="iconSet" priority="1000">
      <iconSet>
        <cfvo type="percent" val="0"/>
        <cfvo type="num" val="1"/>
        <cfvo type="num" val="2"/>
      </iconSet>
    </cfRule>
  </conditionalFormatting>
  <conditionalFormatting sqref="Q31">
    <cfRule type="containsText" dxfId="846" priority="996" operator="containsText" text="⚠">
      <formula>NOT(ISERROR(SEARCH("⚠",Q31)))</formula>
    </cfRule>
  </conditionalFormatting>
  <conditionalFormatting sqref="P31">
    <cfRule type="expression" dxfId="845" priority="995">
      <formula>LEN(FIND("⚠",Q31))&gt;0</formula>
    </cfRule>
  </conditionalFormatting>
  <conditionalFormatting sqref="P33 R33 P35:Q36">
    <cfRule type="expression" dxfId="844" priority="994">
      <formula>P33&lt;&gt;0</formula>
    </cfRule>
  </conditionalFormatting>
  <conditionalFormatting sqref="P33">
    <cfRule type="expression" dxfId="843" priority="992" stopIfTrue="1">
      <formula>P33=0</formula>
    </cfRule>
  </conditionalFormatting>
  <conditionalFormatting sqref="P35:Q36">
    <cfRule type="containsBlanks" dxfId="842" priority="990">
      <formula>LEN(TRIM(P35))=0</formula>
    </cfRule>
  </conditionalFormatting>
  <conditionalFormatting sqref="R33">
    <cfRule type="expression" dxfId="841" priority="991">
      <formula>P33=0</formula>
    </cfRule>
    <cfRule type="iconSet" priority="993">
      <iconSet>
        <cfvo type="percent" val="0"/>
        <cfvo type="num" val="1"/>
        <cfvo type="num" val="2"/>
      </iconSet>
    </cfRule>
  </conditionalFormatting>
  <conditionalFormatting sqref="Q36">
    <cfRule type="containsText" dxfId="840" priority="989" operator="containsText" text="⚠">
      <formula>NOT(ISERROR(SEARCH("⚠",Q36)))</formula>
    </cfRule>
  </conditionalFormatting>
  <conditionalFormatting sqref="P36">
    <cfRule type="expression" dxfId="839" priority="988">
      <formula>LEN(FIND("⚠",Q36))&gt;0</formula>
    </cfRule>
  </conditionalFormatting>
  <conditionalFormatting sqref="R38">
    <cfRule type="expression" dxfId="838" priority="984">
      <formula>P38=0</formula>
    </cfRule>
    <cfRule type="iconSet" priority="986">
      <iconSet>
        <cfvo type="percent" val="0"/>
        <cfvo type="num" val="1"/>
        <cfvo type="num" val="2"/>
      </iconSet>
    </cfRule>
  </conditionalFormatting>
  <conditionalFormatting sqref="Q41">
    <cfRule type="containsText" dxfId="837" priority="982" operator="containsText" text="⚠">
      <formula>NOT(ISERROR(SEARCH("⚠",Q41)))</formula>
    </cfRule>
  </conditionalFormatting>
  <conditionalFormatting sqref="P41">
    <cfRule type="expression" dxfId="836" priority="981">
      <formula>LEN(FIND("⚠",Q41))&gt;0</formula>
    </cfRule>
  </conditionalFormatting>
  <conditionalFormatting sqref="P43 R43 P45:Q46">
    <cfRule type="expression" dxfId="835" priority="980">
      <formula>P43&lt;&gt;0</formula>
    </cfRule>
  </conditionalFormatting>
  <conditionalFormatting sqref="P43">
    <cfRule type="expression" dxfId="834" priority="978" stopIfTrue="1">
      <formula>P43=0</formula>
    </cfRule>
  </conditionalFormatting>
  <conditionalFormatting sqref="P45:Q46">
    <cfRule type="containsBlanks" dxfId="833" priority="976">
      <formula>LEN(TRIM(P45))=0</formula>
    </cfRule>
  </conditionalFormatting>
  <conditionalFormatting sqref="R43">
    <cfRule type="expression" dxfId="832" priority="977">
      <formula>P43=0</formula>
    </cfRule>
    <cfRule type="iconSet" priority="979">
      <iconSet>
        <cfvo type="percent" val="0"/>
        <cfvo type="num" val="1"/>
        <cfvo type="num" val="2"/>
      </iconSet>
    </cfRule>
  </conditionalFormatting>
  <conditionalFormatting sqref="Q46">
    <cfRule type="containsText" dxfId="831" priority="975" operator="containsText" text="⚠">
      <formula>NOT(ISERROR(SEARCH("⚠",Q46)))</formula>
    </cfRule>
  </conditionalFormatting>
  <conditionalFormatting sqref="P46">
    <cfRule type="expression" dxfId="830" priority="974">
      <formula>LEN(FIND("⚠",Q46))&gt;0</formula>
    </cfRule>
  </conditionalFormatting>
  <conditionalFormatting sqref="P48 R48 P50:Q51">
    <cfRule type="expression" dxfId="829" priority="973">
      <formula>P48&lt;&gt;0</formula>
    </cfRule>
  </conditionalFormatting>
  <conditionalFormatting sqref="P48">
    <cfRule type="expression" dxfId="828" priority="971" stopIfTrue="1">
      <formula>P48=0</formula>
    </cfRule>
  </conditionalFormatting>
  <conditionalFormatting sqref="P50:Q51">
    <cfRule type="containsBlanks" dxfId="827" priority="969">
      <formula>LEN(TRIM(P50))=0</formula>
    </cfRule>
  </conditionalFormatting>
  <conditionalFormatting sqref="R48">
    <cfRule type="expression" dxfId="826" priority="970">
      <formula>P48=0</formula>
    </cfRule>
    <cfRule type="iconSet" priority="972">
      <iconSet>
        <cfvo type="percent" val="0"/>
        <cfvo type="num" val="1"/>
        <cfvo type="num" val="2"/>
      </iconSet>
    </cfRule>
  </conditionalFormatting>
  <conditionalFormatting sqref="Q51">
    <cfRule type="containsText" dxfId="825" priority="968" operator="containsText" text="⚠">
      <formula>NOT(ISERROR(SEARCH("⚠",Q51)))</formula>
    </cfRule>
  </conditionalFormatting>
  <conditionalFormatting sqref="P51">
    <cfRule type="expression" dxfId="824" priority="967">
      <formula>LEN(FIND("⚠",Q51))&gt;0</formula>
    </cfRule>
  </conditionalFormatting>
  <conditionalFormatting sqref="P53 R53 P55:Q56">
    <cfRule type="expression" dxfId="823" priority="966">
      <formula>P53&lt;&gt;0</formula>
    </cfRule>
  </conditionalFormatting>
  <conditionalFormatting sqref="P53">
    <cfRule type="expression" dxfId="822" priority="964" stopIfTrue="1">
      <formula>P53=0</formula>
    </cfRule>
  </conditionalFormatting>
  <conditionalFormatting sqref="P55:Q56">
    <cfRule type="containsBlanks" dxfId="821" priority="962">
      <formula>LEN(TRIM(P55))=0</formula>
    </cfRule>
  </conditionalFormatting>
  <conditionalFormatting sqref="R53">
    <cfRule type="expression" dxfId="820" priority="963">
      <formula>P53=0</formula>
    </cfRule>
    <cfRule type="iconSet" priority="965">
      <iconSet>
        <cfvo type="percent" val="0"/>
        <cfvo type="num" val="1"/>
        <cfvo type="num" val="2"/>
      </iconSet>
    </cfRule>
  </conditionalFormatting>
  <conditionalFormatting sqref="Q56">
    <cfRule type="containsText" dxfId="819" priority="961" operator="containsText" text="⚠">
      <formula>NOT(ISERROR(SEARCH("⚠",Q56)))</formula>
    </cfRule>
  </conditionalFormatting>
  <conditionalFormatting sqref="P56">
    <cfRule type="expression" dxfId="818" priority="960">
      <formula>LEN(FIND("⚠",Q56))&gt;0</formula>
    </cfRule>
  </conditionalFormatting>
  <conditionalFormatting sqref="P58 R58 P60:Q61">
    <cfRule type="expression" dxfId="817" priority="959">
      <formula>P58&lt;&gt;0</formula>
    </cfRule>
  </conditionalFormatting>
  <conditionalFormatting sqref="P58">
    <cfRule type="expression" dxfId="816" priority="957" stopIfTrue="1">
      <formula>P58=0</formula>
    </cfRule>
  </conditionalFormatting>
  <conditionalFormatting sqref="P60:Q61">
    <cfRule type="containsBlanks" dxfId="815" priority="955">
      <formula>LEN(TRIM(P60))=0</formula>
    </cfRule>
  </conditionalFormatting>
  <conditionalFormatting sqref="R58">
    <cfRule type="expression" dxfId="814" priority="956">
      <formula>P58=0</formula>
    </cfRule>
    <cfRule type="iconSet" priority="958">
      <iconSet>
        <cfvo type="percent" val="0"/>
        <cfvo type="num" val="1"/>
        <cfvo type="num" val="2"/>
      </iconSet>
    </cfRule>
  </conditionalFormatting>
  <conditionalFormatting sqref="Q61">
    <cfRule type="containsText" dxfId="813" priority="954" operator="containsText" text="⚠">
      <formula>NOT(ISERROR(SEARCH("⚠",Q61)))</formula>
    </cfRule>
  </conditionalFormatting>
  <conditionalFormatting sqref="P61">
    <cfRule type="expression" dxfId="812" priority="953">
      <formula>LEN(FIND("⚠",Q61))&gt;0</formula>
    </cfRule>
  </conditionalFormatting>
  <conditionalFormatting sqref="P63 R63 P65:Q66">
    <cfRule type="expression" dxfId="811" priority="952">
      <formula>P63&lt;&gt;0</formula>
    </cfRule>
  </conditionalFormatting>
  <conditionalFormatting sqref="P63">
    <cfRule type="expression" dxfId="810" priority="950" stopIfTrue="1">
      <formula>P63=0</formula>
    </cfRule>
  </conditionalFormatting>
  <conditionalFormatting sqref="P65:Q66">
    <cfRule type="containsBlanks" dxfId="809" priority="948">
      <formula>LEN(TRIM(P65))=0</formula>
    </cfRule>
  </conditionalFormatting>
  <conditionalFormatting sqref="R63">
    <cfRule type="expression" dxfId="808" priority="949">
      <formula>P63=0</formula>
    </cfRule>
    <cfRule type="iconSet" priority="951">
      <iconSet>
        <cfvo type="percent" val="0"/>
        <cfvo type="num" val="1"/>
        <cfvo type="num" val="2"/>
      </iconSet>
    </cfRule>
  </conditionalFormatting>
  <conditionalFormatting sqref="Q66">
    <cfRule type="containsText" dxfId="807" priority="947" operator="containsText" text="⚠">
      <formula>NOT(ISERROR(SEARCH("⚠",Q66)))</formula>
    </cfRule>
  </conditionalFormatting>
  <conditionalFormatting sqref="P66">
    <cfRule type="expression" dxfId="806" priority="946">
      <formula>LEN(FIND("⚠",Q66))&gt;0</formula>
    </cfRule>
  </conditionalFormatting>
  <conditionalFormatting sqref="P68 R68 P70:Q71">
    <cfRule type="expression" dxfId="805" priority="945">
      <formula>P68&lt;&gt;0</formula>
    </cfRule>
  </conditionalFormatting>
  <conditionalFormatting sqref="P68">
    <cfRule type="expression" dxfId="804" priority="943" stopIfTrue="1">
      <formula>P68=0</formula>
    </cfRule>
  </conditionalFormatting>
  <conditionalFormatting sqref="P70:Q71">
    <cfRule type="containsBlanks" dxfId="803" priority="941">
      <formula>LEN(TRIM(P70))=0</formula>
    </cfRule>
  </conditionalFormatting>
  <conditionalFormatting sqref="R68">
    <cfRule type="expression" dxfId="802" priority="942">
      <formula>P68=0</formula>
    </cfRule>
    <cfRule type="iconSet" priority="944">
      <iconSet>
        <cfvo type="percent" val="0"/>
        <cfvo type="num" val="1"/>
        <cfvo type="num" val="2"/>
      </iconSet>
    </cfRule>
  </conditionalFormatting>
  <conditionalFormatting sqref="Q71">
    <cfRule type="containsText" dxfId="801" priority="940" operator="containsText" text="⚠">
      <formula>NOT(ISERROR(SEARCH("⚠",Q71)))</formula>
    </cfRule>
  </conditionalFormatting>
  <conditionalFormatting sqref="P71">
    <cfRule type="expression" dxfId="800" priority="939">
      <formula>LEN(FIND("⚠",Q71))&gt;0</formula>
    </cfRule>
  </conditionalFormatting>
  <conditionalFormatting sqref="P73 R73 P75:Q76">
    <cfRule type="expression" dxfId="799" priority="938">
      <formula>P73&lt;&gt;0</formula>
    </cfRule>
  </conditionalFormatting>
  <conditionalFormatting sqref="P73">
    <cfRule type="expression" dxfId="798" priority="936" stopIfTrue="1">
      <formula>P73=0</formula>
    </cfRule>
  </conditionalFormatting>
  <conditionalFormatting sqref="P75:Q76">
    <cfRule type="containsBlanks" dxfId="797" priority="934">
      <formula>LEN(TRIM(P75))=0</formula>
    </cfRule>
  </conditionalFormatting>
  <conditionalFormatting sqref="R73">
    <cfRule type="expression" dxfId="796" priority="935">
      <formula>P73=0</formula>
    </cfRule>
    <cfRule type="iconSet" priority="937">
      <iconSet>
        <cfvo type="percent" val="0"/>
        <cfvo type="num" val="1"/>
        <cfvo type="num" val="2"/>
      </iconSet>
    </cfRule>
  </conditionalFormatting>
  <conditionalFormatting sqref="Q76">
    <cfRule type="containsText" dxfId="795" priority="933" operator="containsText" text="⚠">
      <formula>NOT(ISERROR(SEARCH("⚠",Q76)))</formula>
    </cfRule>
  </conditionalFormatting>
  <conditionalFormatting sqref="P76">
    <cfRule type="expression" dxfId="794" priority="932">
      <formula>LEN(FIND("⚠",Q76))&gt;0</formula>
    </cfRule>
  </conditionalFormatting>
  <conditionalFormatting sqref="P78 R78 P80:Q81">
    <cfRule type="expression" dxfId="793" priority="931">
      <formula>P78&lt;&gt;0</formula>
    </cfRule>
  </conditionalFormatting>
  <conditionalFormatting sqref="P78">
    <cfRule type="expression" dxfId="792" priority="929" stopIfTrue="1">
      <formula>P78=0</formula>
    </cfRule>
  </conditionalFormatting>
  <conditionalFormatting sqref="P80:Q81">
    <cfRule type="containsBlanks" dxfId="791" priority="927">
      <formula>LEN(TRIM(P80))=0</formula>
    </cfRule>
  </conditionalFormatting>
  <conditionalFormatting sqref="R78">
    <cfRule type="expression" dxfId="790" priority="928">
      <formula>P78=0</formula>
    </cfRule>
    <cfRule type="iconSet" priority="930">
      <iconSet>
        <cfvo type="percent" val="0"/>
        <cfvo type="num" val="1"/>
        <cfvo type="num" val="2"/>
      </iconSet>
    </cfRule>
  </conditionalFormatting>
  <conditionalFormatting sqref="Q81">
    <cfRule type="containsText" dxfId="789" priority="926" operator="containsText" text="⚠">
      <formula>NOT(ISERROR(SEARCH("⚠",Q81)))</formula>
    </cfRule>
  </conditionalFormatting>
  <conditionalFormatting sqref="P81">
    <cfRule type="expression" dxfId="788" priority="925">
      <formula>LEN(FIND("⚠",Q81))&gt;0</formula>
    </cfRule>
  </conditionalFormatting>
  <conditionalFormatting sqref="P83 R83 P85:Q86">
    <cfRule type="expression" dxfId="787" priority="924">
      <formula>P83&lt;&gt;0</formula>
    </cfRule>
  </conditionalFormatting>
  <conditionalFormatting sqref="P83">
    <cfRule type="expression" dxfId="786" priority="922" stopIfTrue="1">
      <formula>P83=0</formula>
    </cfRule>
  </conditionalFormatting>
  <conditionalFormatting sqref="P85:Q86">
    <cfRule type="containsBlanks" dxfId="785" priority="920">
      <formula>LEN(TRIM(P85))=0</formula>
    </cfRule>
  </conditionalFormatting>
  <conditionalFormatting sqref="R83">
    <cfRule type="expression" dxfId="784" priority="921">
      <formula>P83=0</formula>
    </cfRule>
    <cfRule type="iconSet" priority="923">
      <iconSet>
        <cfvo type="percent" val="0"/>
        <cfvo type="num" val="1"/>
        <cfvo type="num" val="2"/>
      </iconSet>
    </cfRule>
  </conditionalFormatting>
  <conditionalFormatting sqref="Q86">
    <cfRule type="containsText" dxfId="783" priority="919" operator="containsText" text="⚠">
      <formula>NOT(ISERROR(SEARCH("⚠",Q86)))</formula>
    </cfRule>
  </conditionalFormatting>
  <conditionalFormatting sqref="P86">
    <cfRule type="expression" dxfId="782" priority="918">
      <formula>LEN(FIND("⚠",Q86))&gt;0</formula>
    </cfRule>
  </conditionalFormatting>
  <conditionalFormatting sqref="P88 R88 P90:Q91">
    <cfRule type="expression" dxfId="781" priority="917">
      <formula>P88&lt;&gt;0</formula>
    </cfRule>
  </conditionalFormatting>
  <conditionalFormatting sqref="P88">
    <cfRule type="expression" dxfId="780" priority="915" stopIfTrue="1">
      <formula>P88=0</formula>
    </cfRule>
  </conditionalFormatting>
  <conditionalFormatting sqref="P90:Q91">
    <cfRule type="containsBlanks" dxfId="779" priority="913">
      <formula>LEN(TRIM(P90))=0</formula>
    </cfRule>
  </conditionalFormatting>
  <conditionalFormatting sqref="R88">
    <cfRule type="expression" dxfId="778" priority="914">
      <formula>P88=0</formula>
    </cfRule>
    <cfRule type="iconSet" priority="916">
      <iconSet>
        <cfvo type="percent" val="0"/>
        <cfvo type="num" val="1"/>
        <cfvo type="num" val="2"/>
      </iconSet>
    </cfRule>
  </conditionalFormatting>
  <conditionalFormatting sqref="Q91">
    <cfRule type="containsText" dxfId="777" priority="912" operator="containsText" text="⚠">
      <formula>NOT(ISERROR(SEARCH("⚠",Q91)))</formula>
    </cfRule>
  </conditionalFormatting>
  <conditionalFormatting sqref="P91">
    <cfRule type="expression" dxfId="776" priority="911">
      <formula>LEN(FIND("⚠",Q91))&gt;0</formula>
    </cfRule>
  </conditionalFormatting>
  <conditionalFormatting sqref="P93 R93 P95:Q96">
    <cfRule type="expression" dxfId="775" priority="910">
      <formula>P93&lt;&gt;0</formula>
    </cfRule>
  </conditionalFormatting>
  <conditionalFormatting sqref="P93">
    <cfRule type="expression" dxfId="774" priority="908" stopIfTrue="1">
      <formula>P93=0</formula>
    </cfRule>
  </conditionalFormatting>
  <conditionalFormatting sqref="P95:Q96">
    <cfRule type="containsBlanks" dxfId="773" priority="906">
      <formula>LEN(TRIM(P95))=0</formula>
    </cfRule>
  </conditionalFormatting>
  <conditionalFormatting sqref="R93">
    <cfRule type="expression" dxfId="772" priority="907">
      <formula>P93=0</formula>
    </cfRule>
    <cfRule type="iconSet" priority="909">
      <iconSet>
        <cfvo type="percent" val="0"/>
        <cfvo type="num" val="1"/>
        <cfvo type="num" val="2"/>
      </iconSet>
    </cfRule>
  </conditionalFormatting>
  <conditionalFormatting sqref="Q96">
    <cfRule type="containsText" dxfId="771" priority="905" operator="containsText" text="⚠">
      <formula>NOT(ISERROR(SEARCH("⚠",Q96)))</formula>
    </cfRule>
  </conditionalFormatting>
  <conditionalFormatting sqref="P96">
    <cfRule type="expression" dxfId="770" priority="904">
      <formula>LEN(FIND("⚠",Q96))&gt;0</formula>
    </cfRule>
  </conditionalFormatting>
  <conditionalFormatting sqref="P98 R98 P100:Q101">
    <cfRule type="expression" dxfId="769" priority="903">
      <formula>P98&lt;&gt;0</formula>
    </cfRule>
  </conditionalFormatting>
  <conditionalFormatting sqref="P98">
    <cfRule type="expression" dxfId="768" priority="901" stopIfTrue="1">
      <formula>P98=0</formula>
    </cfRule>
  </conditionalFormatting>
  <conditionalFormatting sqref="P100:Q101">
    <cfRule type="containsBlanks" dxfId="767" priority="899">
      <formula>LEN(TRIM(P100))=0</formula>
    </cfRule>
  </conditionalFormatting>
  <conditionalFormatting sqref="R98">
    <cfRule type="expression" dxfId="766" priority="900">
      <formula>P98=0</formula>
    </cfRule>
    <cfRule type="iconSet" priority="902">
      <iconSet>
        <cfvo type="percent" val="0"/>
        <cfvo type="num" val="1"/>
        <cfvo type="num" val="2"/>
      </iconSet>
    </cfRule>
  </conditionalFormatting>
  <conditionalFormatting sqref="Q101">
    <cfRule type="containsText" dxfId="765" priority="898" operator="containsText" text="⚠">
      <formula>NOT(ISERROR(SEARCH("⚠",Q101)))</formula>
    </cfRule>
  </conditionalFormatting>
  <conditionalFormatting sqref="P101">
    <cfRule type="expression" dxfId="764" priority="897">
      <formula>LEN(FIND("⚠",Q101))&gt;0</formula>
    </cfRule>
  </conditionalFormatting>
  <conditionalFormatting sqref="P103 R103 P105:Q106">
    <cfRule type="expression" dxfId="763" priority="896">
      <formula>P103&lt;&gt;0</formula>
    </cfRule>
  </conditionalFormatting>
  <conditionalFormatting sqref="P103">
    <cfRule type="expression" dxfId="762" priority="894" stopIfTrue="1">
      <formula>P103=0</formula>
    </cfRule>
  </conditionalFormatting>
  <conditionalFormatting sqref="P105:Q106">
    <cfRule type="containsBlanks" dxfId="761" priority="892">
      <formula>LEN(TRIM(P105))=0</formula>
    </cfRule>
  </conditionalFormatting>
  <conditionalFormatting sqref="R103">
    <cfRule type="expression" dxfId="760" priority="893">
      <formula>P103=0</formula>
    </cfRule>
    <cfRule type="iconSet" priority="895">
      <iconSet>
        <cfvo type="percent" val="0"/>
        <cfvo type="num" val="1"/>
        <cfvo type="num" val="2"/>
      </iconSet>
    </cfRule>
  </conditionalFormatting>
  <conditionalFormatting sqref="Q106">
    <cfRule type="containsText" dxfId="759" priority="891" operator="containsText" text="⚠">
      <formula>NOT(ISERROR(SEARCH("⚠",Q106)))</formula>
    </cfRule>
  </conditionalFormatting>
  <conditionalFormatting sqref="P106">
    <cfRule type="expression" dxfId="758" priority="890">
      <formula>LEN(FIND("⚠",Q106))&gt;0</formula>
    </cfRule>
  </conditionalFormatting>
  <conditionalFormatting sqref="P108 R108 P110:Q111">
    <cfRule type="expression" dxfId="757" priority="889">
      <formula>P108&lt;&gt;0</formula>
    </cfRule>
  </conditionalFormatting>
  <conditionalFormatting sqref="P108">
    <cfRule type="expression" dxfId="756" priority="887" stopIfTrue="1">
      <formula>P108=0</formula>
    </cfRule>
  </conditionalFormatting>
  <conditionalFormatting sqref="P110:Q111">
    <cfRule type="containsBlanks" dxfId="755" priority="885">
      <formula>LEN(TRIM(P110))=0</formula>
    </cfRule>
  </conditionalFormatting>
  <conditionalFormatting sqref="R108">
    <cfRule type="expression" dxfId="754" priority="886">
      <formula>P108=0</formula>
    </cfRule>
    <cfRule type="iconSet" priority="888">
      <iconSet>
        <cfvo type="percent" val="0"/>
        <cfvo type="num" val="1"/>
        <cfvo type="num" val="2"/>
      </iconSet>
    </cfRule>
  </conditionalFormatting>
  <conditionalFormatting sqref="Q111">
    <cfRule type="containsText" dxfId="753" priority="884" operator="containsText" text="⚠">
      <formula>NOT(ISERROR(SEARCH("⚠",Q111)))</formula>
    </cfRule>
  </conditionalFormatting>
  <conditionalFormatting sqref="P111">
    <cfRule type="expression" dxfId="752" priority="883">
      <formula>LEN(FIND("⚠",Q111))&gt;0</formula>
    </cfRule>
  </conditionalFormatting>
  <conditionalFormatting sqref="V8 X8 V10:W11">
    <cfRule type="expression" dxfId="751" priority="882">
      <formula>V8&lt;&gt;0</formula>
    </cfRule>
  </conditionalFormatting>
  <conditionalFormatting sqref="V8">
    <cfRule type="expression" dxfId="750" priority="880" stopIfTrue="1">
      <formula>V8=0</formula>
    </cfRule>
  </conditionalFormatting>
  <conditionalFormatting sqref="V10:W11">
    <cfRule type="containsBlanks" dxfId="749" priority="878">
      <formula>LEN(TRIM(V10))=0</formula>
    </cfRule>
  </conditionalFormatting>
  <conditionalFormatting sqref="X8">
    <cfRule type="expression" dxfId="748" priority="879">
      <formula>V8=0</formula>
    </cfRule>
    <cfRule type="iconSet" priority="881">
      <iconSet>
        <cfvo type="percent" val="0"/>
        <cfvo type="num" val="1"/>
        <cfvo type="num" val="2"/>
      </iconSet>
    </cfRule>
  </conditionalFormatting>
  <conditionalFormatting sqref="W11">
    <cfRule type="containsText" dxfId="747" priority="877" operator="containsText" text="⚠">
      <formula>NOT(ISERROR(SEARCH("⚠",W11)))</formula>
    </cfRule>
  </conditionalFormatting>
  <conditionalFormatting sqref="V11">
    <cfRule type="expression" dxfId="746" priority="876">
      <formula>LEN(FIND("⚠",W11))&gt;0</formula>
    </cfRule>
  </conditionalFormatting>
  <conditionalFormatting sqref="V13 X13 V15:W16">
    <cfRule type="expression" dxfId="745" priority="875">
      <formula>V13&lt;&gt;0</formula>
    </cfRule>
  </conditionalFormatting>
  <conditionalFormatting sqref="V13">
    <cfRule type="expression" dxfId="744" priority="873" stopIfTrue="1">
      <formula>V13=0</formula>
    </cfRule>
  </conditionalFormatting>
  <conditionalFormatting sqref="V15:W16">
    <cfRule type="containsBlanks" dxfId="743" priority="871">
      <formula>LEN(TRIM(V15))=0</formula>
    </cfRule>
  </conditionalFormatting>
  <conditionalFormatting sqref="X13">
    <cfRule type="expression" dxfId="742" priority="872">
      <formula>V13=0</formula>
    </cfRule>
    <cfRule type="iconSet" priority="874">
      <iconSet>
        <cfvo type="percent" val="0"/>
        <cfvo type="num" val="1"/>
        <cfvo type="num" val="2"/>
      </iconSet>
    </cfRule>
  </conditionalFormatting>
  <conditionalFormatting sqref="W16">
    <cfRule type="containsText" dxfId="741" priority="870" operator="containsText" text="⚠">
      <formula>NOT(ISERROR(SEARCH("⚠",W16)))</formula>
    </cfRule>
  </conditionalFormatting>
  <conditionalFormatting sqref="V16">
    <cfRule type="expression" dxfId="740" priority="869">
      <formula>LEN(FIND("⚠",W16))&gt;0</formula>
    </cfRule>
  </conditionalFormatting>
  <conditionalFormatting sqref="V18 X18 V20:W21">
    <cfRule type="expression" dxfId="739" priority="868">
      <formula>V18&lt;&gt;0</formula>
    </cfRule>
  </conditionalFormatting>
  <conditionalFormatting sqref="V18">
    <cfRule type="expression" dxfId="738" priority="866" stopIfTrue="1">
      <formula>V18=0</formula>
    </cfRule>
  </conditionalFormatting>
  <conditionalFormatting sqref="V20:W21">
    <cfRule type="containsBlanks" dxfId="737" priority="864">
      <formula>LEN(TRIM(V20))=0</formula>
    </cfRule>
  </conditionalFormatting>
  <conditionalFormatting sqref="X18">
    <cfRule type="expression" dxfId="736" priority="865">
      <formula>V18=0</formula>
    </cfRule>
    <cfRule type="iconSet" priority="867">
      <iconSet>
        <cfvo type="percent" val="0"/>
        <cfvo type="num" val="1"/>
        <cfvo type="num" val="2"/>
      </iconSet>
    </cfRule>
  </conditionalFormatting>
  <conditionalFormatting sqref="W21">
    <cfRule type="containsText" dxfId="735" priority="863" operator="containsText" text="⚠">
      <formula>NOT(ISERROR(SEARCH("⚠",W21)))</formula>
    </cfRule>
  </conditionalFormatting>
  <conditionalFormatting sqref="V21">
    <cfRule type="expression" dxfId="734" priority="862">
      <formula>LEN(FIND("⚠",W21))&gt;0</formula>
    </cfRule>
  </conditionalFormatting>
  <conditionalFormatting sqref="V23 X23 V25:W26">
    <cfRule type="expression" dxfId="733" priority="861">
      <formula>V23&lt;&gt;0</formula>
    </cfRule>
  </conditionalFormatting>
  <conditionalFormatting sqref="V23">
    <cfRule type="expression" dxfId="732" priority="859" stopIfTrue="1">
      <formula>V23=0</formula>
    </cfRule>
  </conditionalFormatting>
  <conditionalFormatting sqref="V25:W26">
    <cfRule type="containsBlanks" dxfId="731" priority="857">
      <formula>LEN(TRIM(V25))=0</formula>
    </cfRule>
  </conditionalFormatting>
  <conditionalFormatting sqref="X23">
    <cfRule type="expression" dxfId="730" priority="858">
      <formula>V23=0</formula>
    </cfRule>
    <cfRule type="iconSet" priority="860">
      <iconSet>
        <cfvo type="percent" val="0"/>
        <cfvo type="num" val="1"/>
        <cfvo type="num" val="2"/>
      </iconSet>
    </cfRule>
  </conditionalFormatting>
  <conditionalFormatting sqref="W26">
    <cfRule type="containsText" dxfId="729" priority="856" operator="containsText" text="⚠">
      <formula>NOT(ISERROR(SEARCH("⚠",W26)))</formula>
    </cfRule>
  </conditionalFormatting>
  <conditionalFormatting sqref="V26">
    <cfRule type="expression" dxfId="728" priority="855">
      <formula>LEN(FIND("⚠",W26))&gt;0</formula>
    </cfRule>
  </conditionalFormatting>
  <conditionalFormatting sqref="V28 X28 V30:W31">
    <cfRule type="expression" dxfId="727" priority="854">
      <formula>V28&lt;&gt;0</formula>
    </cfRule>
  </conditionalFormatting>
  <conditionalFormatting sqref="V28">
    <cfRule type="expression" dxfId="726" priority="852" stopIfTrue="1">
      <formula>V28=0</formula>
    </cfRule>
  </conditionalFormatting>
  <conditionalFormatting sqref="V30:W31">
    <cfRule type="containsBlanks" dxfId="725" priority="850">
      <formula>LEN(TRIM(V30))=0</formula>
    </cfRule>
  </conditionalFormatting>
  <conditionalFormatting sqref="X28">
    <cfRule type="expression" dxfId="724" priority="851">
      <formula>V28=0</formula>
    </cfRule>
    <cfRule type="iconSet" priority="853">
      <iconSet>
        <cfvo type="percent" val="0"/>
        <cfvo type="num" val="1"/>
        <cfvo type="num" val="2"/>
      </iconSet>
    </cfRule>
  </conditionalFormatting>
  <conditionalFormatting sqref="W31">
    <cfRule type="containsText" dxfId="723" priority="849" operator="containsText" text="⚠">
      <formula>NOT(ISERROR(SEARCH("⚠",W31)))</formula>
    </cfRule>
  </conditionalFormatting>
  <conditionalFormatting sqref="V31">
    <cfRule type="expression" dxfId="722" priority="848">
      <formula>LEN(FIND("⚠",W31))&gt;0</formula>
    </cfRule>
  </conditionalFormatting>
  <conditionalFormatting sqref="V33 X33 V35:W36">
    <cfRule type="expression" dxfId="721" priority="847">
      <formula>V33&lt;&gt;0</formula>
    </cfRule>
  </conditionalFormatting>
  <conditionalFormatting sqref="V33">
    <cfRule type="expression" dxfId="720" priority="845" stopIfTrue="1">
      <formula>V33=0</formula>
    </cfRule>
  </conditionalFormatting>
  <conditionalFormatting sqref="V35:W36">
    <cfRule type="containsBlanks" dxfId="719" priority="843">
      <formula>LEN(TRIM(V35))=0</formula>
    </cfRule>
  </conditionalFormatting>
  <conditionalFormatting sqref="X33">
    <cfRule type="expression" dxfId="718" priority="844">
      <formula>V33=0</formula>
    </cfRule>
    <cfRule type="iconSet" priority="846">
      <iconSet>
        <cfvo type="percent" val="0"/>
        <cfvo type="num" val="1"/>
        <cfvo type="num" val="2"/>
      </iconSet>
    </cfRule>
  </conditionalFormatting>
  <conditionalFormatting sqref="W36">
    <cfRule type="containsText" dxfId="717" priority="842" operator="containsText" text="⚠">
      <formula>NOT(ISERROR(SEARCH("⚠",W36)))</formula>
    </cfRule>
  </conditionalFormatting>
  <conditionalFormatting sqref="V36">
    <cfRule type="expression" dxfId="716" priority="841">
      <formula>LEN(FIND("⚠",W36))&gt;0</formula>
    </cfRule>
  </conditionalFormatting>
  <conditionalFormatting sqref="V38 X38 V40:W41">
    <cfRule type="expression" dxfId="715" priority="840">
      <formula>V38&lt;&gt;0</formula>
    </cfRule>
  </conditionalFormatting>
  <conditionalFormatting sqref="V38">
    <cfRule type="expression" dxfId="714" priority="838" stopIfTrue="1">
      <formula>V38=0</formula>
    </cfRule>
  </conditionalFormatting>
  <conditionalFormatting sqref="V40:W41">
    <cfRule type="containsBlanks" dxfId="713" priority="836">
      <formula>LEN(TRIM(V40))=0</formula>
    </cfRule>
  </conditionalFormatting>
  <conditionalFormatting sqref="X38">
    <cfRule type="expression" dxfId="712" priority="837">
      <formula>V38=0</formula>
    </cfRule>
    <cfRule type="iconSet" priority="839">
      <iconSet>
        <cfvo type="percent" val="0"/>
        <cfvo type="num" val="1"/>
        <cfvo type="num" val="2"/>
      </iconSet>
    </cfRule>
  </conditionalFormatting>
  <conditionalFormatting sqref="W41">
    <cfRule type="containsText" dxfId="711" priority="835" operator="containsText" text="⚠">
      <formula>NOT(ISERROR(SEARCH("⚠",W41)))</formula>
    </cfRule>
  </conditionalFormatting>
  <conditionalFormatting sqref="V41">
    <cfRule type="expression" dxfId="710" priority="834">
      <formula>LEN(FIND("⚠",W41))&gt;0</formula>
    </cfRule>
  </conditionalFormatting>
  <conditionalFormatting sqref="V43 X43 V45:W46">
    <cfRule type="expression" dxfId="709" priority="833">
      <formula>V43&lt;&gt;0</formula>
    </cfRule>
  </conditionalFormatting>
  <conditionalFormatting sqref="V43">
    <cfRule type="expression" dxfId="708" priority="831" stopIfTrue="1">
      <formula>V43=0</formula>
    </cfRule>
  </conditionalFormatting>
  <conditionalFormatting sqref="V45:W46">
    <cfRule type="containsBlanks" dxfId="707" priority="829">
      <formula>LEN(TRIM(V45))=0</formula>
    </cfRule>
  </conditionalFormatting>
  <conditionalFormatting sqref="X43">
    <cfRule type="expression" dxfId="706" priority="830">
      <formula>V43=0</formula>
    </cfRule>
    <cfRule type="iconSet" priority="832">
      <iconSet>
        <cfvo type="percent" val="0"/>
        <cfvo type="num" val="1"/>
        <cfvo type="num" val="2"/>
      </iconSet>
    </cfRule>
  </conditionalFormatting>
  <conditionalFormatting sqref="W46">
    <cfRule type="containsText" dxfId="705" priority="828" operator="containsText" text="⚠">
      <formula>NOT(ISERROR(SEARCH("⚠",W46)))</formula>
    </cfRule>
  </conditionalFormatting>
  <conditionalFormatting sqref="V46">
    <cfRule type="expression" dxfId="704" priority="827">
      <formula>LEN(FIND("⚠",W46))&gt;0</formula>
    </cfRule>
  </conditionalFormatting>
  <conditionalFormatting sqref="V48 X48 V50:W51">
    <cfRule type="expression" dxfId="703" priority="826">
      <formula>V48&lt;&gt;0</formula>
    </cfRule>
  </conditionalFormatting>
  <conditionalFormatting sqref="V48">
    <cfRule type="expression" dxfId="702" priority="824" stopIfTrue="1">
      <formula>V48=0</formula>
    </cfRule>
  </conditionalFormatting>
  <conditionalFormatting sqref="V50:W51">
    <cfRule type="containsBlanks" dxfId="701" priority="822">
      <formula>LEN(TRIM(V50))=0</formula>
    </cfRule>
  </conditionalFormatting>
  <conditionalFormatting sqref="X48">
    <cfRule type="expression" dxfId="700" priority="823">
      <formula>V48=0</formula>
    </cfRule>
    <cfRule type="iconSet" priority="825">
      <iconSet>
        <cfvo type="percent" val="0"/>
        <cfvo type="num" val="1"/>
        <cfvo type="num" val="2"/>
      </iconSet>
    </cfRule>
  </conditionalFormatting>
  <conditionalFormatting sqref="W51">
    <cfRule type="containsText" dxfId="699" priority="821" operator="containsText" text="⚠">
      <formula>NOT(ISERROR(SEARCH("⚠",W51)))</formula>
    </cfRule>
  </conditionalFormatting>
  <conditionalFormatting sqref="V51">
    <cfRule type="expression" dxfId="698" priority="820">
      <formula>LEN(FIND("⚠",W51))&gt;0</formula>
    </cfRule>
  </conditionalFormatting>
  <conditionalFormatting sqref="V53 X53 V55:W56">
    <cfRule type="expression" dxfId="697" priority="819">
      <formula>V53&lt;&gt;0</formula>
    </cfRule>
  </conditionalFormatting>
  <conditionalFormatting sqref="V53">
    <cfRule type="expression" dxfId="696" priority="817" stopIfTrue="1">
      <formula>V53=0</formula>
    </cfRule>
  </conditionalFormatting>
  <conditionalFormatting sqref="V55:W56">
    <cfRule type="containsBlanks" dxfId="695" priority="815">
      <formula>LEN(TRIM(V55))=0</formula>
    </cfRule>
  </conditionalFormatting>
  <conditionalFormatting sqref="X53">
    <cfRule type="expression" dxfId="694" priority="816">
      <formula>V53=0</formula>
    </cfRule>
    <cfRule type="iconSet" priority="818">
      <iconSet>
        <cfvo type="percent" val="0"/>
        <cfvo type="num" val="1"/>
        <cfvo type="num" val="2"/>
      </iconSet>
    </cfRule>
  </conditionalFormatting>
  <conditionalFormatting sqref="W56">
    <cfRule type="containsText" dxfId="693" priority="814" operator="containsText" text="⚠">
      <formula>NOT(ISERROR(SEARCH("⚠",W56)))</formula>
    </cfRule>
  </conditionalFormatting>
  <conditionalFormatting sqref="V56">
    <cfRule type="expression" dxfId="692" priority="813">
      <formula>LEN(FIND("⚠",W56))&gt;0</formula>
    </cfRule>
  </conditionalFormatting>
  <conditionalFormatting sqref="V58 X58 V60:W61">
    <cfRule type="expression" dxfId="691" priority="812">
      <formula>V58&lt;&gt;0</formula>
    </cfRule>
  </conditionalFormatting>
  <conditionalFormatting sqref="V58">
    <cfRule type="expression" dxfId="690" priority="810" stopIfTrue="1">
      <formula>V58=0</formula>
    </cfRule>
  </conditionalFormatting>
  <conditionalFormatting sqref="V60:W61">
    <cfRule type="containsBlanks" dxfId="689" priority="808">
      <formula>LEN(TRIM(V60))=0</formula>
    </cfRule>
  </conditionalFormatting>
  <conditionalFormatting sqref="X58">
    <cfRule type="expression" dxfId="688" priority="809">
      <formula>V58=0</formula>
    </cfRule>
    <cfRule type="iconSet" priority="811">
      <iconSet>
        <cfvo type="percent" val="0"/>
        <cfvo type="num" val="1"/>
        <cfvo type="num" val="2"/>
      </iconSet>
    </cfRule>
  </conditionalFormatting>
  <conditionalFormatting sqref="W61">
    <cfRule type="containsText" dxfId="687" priority="807" operator="containsText" text="⚠">
      <formula>NOT(ISERROR(SEARCH("⚠",W61)))</formula>
    </cfRule>
  </conditionalFormatting>
  <conditionalFormatting sqref="V61">
    <cfRule type="expression" dxfId="686" priority="806">
      <formula>LEN(FIND("⚠",W61))&gt;0</formula>
    </cfRule>
  </conditionalFormatting>
  <conditionalFormatting sqref="V63 X63 V65:W66">
    <cfRule type="expression" dxfId="685" priority="805">
      <formula>V63&lt;&gt;0</formula>
    </cfRule>
  </conditionalFormatting>
  <conditionalFormatting sqref="V63">
    <cfRule type="expression" dxfId="684" priority="803" stopIfTrue="1">
      <formula>V63=0</formula>
    </cfRule>
  </conditionalFormatting>
  <conditionalFormatting sqref="V65:W66">
    <cfRule type="containsBlanks" dxfId="683" priority="801">
      <formula>LEN(TRIM(V65))=0</formula>
    </cfRule>
  </conditionalFormatting>
  <conditionalFormatting sqref="X63">
    <cfRule type="expression" dxfId="682" priority="802">
      <formula>V63=0</formula>
    </cfRule>
    <cfRule type="iconSet" priority="804">
      <iconSet>
        <cfvo type="percent" val="0"/>
        <cfvo type="num" val="1"/>
        <cfvo type="num" val="2"/>
      </iconSet>
    </cfRule>
  </conditionalFormatting>
  <conditionalFormatting sqref="W66">
    <cfRule type="containsText" dxfId="681" priority="800" operator="containsText" text="⚠">
      <formula>NOT(ISERROR(SEARCH("⚠",W66)))</formula>
    </cfRule>
  </conditionalFormatting>
  <conditionalFormatting sqref="V66">
    <cfRule type="expression" dxfId="680" priority="799">
      <formula>LEN(FIND("⚠",W66))&gt;0</formula>
    </cfRule>
  </conditionalFormatting>
  <conditionalFormatting sqref="V68 X68 V70:W71">
    <cfRule type="expression" dxfId="679" priority="798">
      <formula>V68&lt;&gt;0</formula>
    </cfRule>
  </conditionalFormatting>
  <conditionalFormatting sqref="V68">
    <cfRule type="expression" dxfId="678" priority="796" stopIfTrue="1">
      <formula>V68=0</formula>
    </cfRule>
  </conditionalFormatting>
  <conditionalFormatting sqref="V70:W71">
    <cfRule type="containsBlanks" dxfId="677" priority="794">
      <formula>LEN(TRIM(V70))=0</formula>
    </cfRule>
  </conditionalFormatting>
  <conditionalFormatting sqref="X68">
    <cfRule type="expression" dxfId="676" priority="795">
      <formula>V68=0</formula>
    </cfRule>
    <cfRule type="iconSet" priority="797">
      <iconSet>
        <cfvo type="percent" val="0"/>
        <cfvo type="num" val="1"/>
        <cfvo type="num" val="2"/>
      </iconSet>
    </cfRule>
  </conditionalFormatting>
  <conditionalFormatting sqref="W71">
    <cfRule type="containsText" dxfId="675" priority="793" operator="containsText" text="⚠">
      <formula>NOT(ISERROR(SEARCH("⚠",W71)))</formula>
    </cfRule>
  </conditionalFormatting>
  <conditionalFormatting sqref="V71">
    <cfRule type="expression" dxfId="674" priority="792">
      <formula>LEN(FIND("⚠",W71))&gt;0</formula>
    </cfRule>
  </conditionalFormatting>
  <conditionalFormatting sqref="V73 X73 V75:W76">
    <cfRule type="expression" dxfId="673" priority="791">
      <formula>V73&lt;&gt;0</formula>
    </cfRule>
  </conditionalFormatting>
  <conditionalFormatting sqref="V73">
    <cfRule type="expression" dxfId="672" priority="789" stopIfTrue="1">
      <formula>V73=0</formula>
    </cfRule>
  </conditionalFormatting>
  <conditionalFormatting sqref="V75:W76">
    <cfRule type="containsBlanks" dxfId="671" priority="787">
      <formula>LEN(TRIM(V75))=0</formula>
    </cfRule>
  </conditionalFormatting>
  <conditionalFormatting sqref="X73">
    <cfRule type="expression" dxfId="670" priority="788">
      <formula>V73=0</formula>
    </cfRule>
    <cfRule type="iconSet" priority="790">
      <iconSet>
        <cfvo type="percent" val="0"/>
        <cfvo type="num" val="1"/>
        <cfvo type="num" val="2"/>
      </iconSet>
    </cfRule>
  </conditionalFormatting>
  <conditionalFormatting sqref="W76">
    <cfRule type="containsText" dxfId="669" priority="786" operator="containsText" text="⚠">
      <formula>NOT(ISERROR(SEARCH("⚠",W76)))</formula>
    </cfRule>
  </conditionalFormatting>
  <conditionalFormatting sqref="V76">
    <cfRule type="expression" dxfId="668" priority="785">
      <formula>LEN(FIND("⚠",W76))&gt;0</formula>
    </cfRule>
  </conditionalFormatting>
  <conditionalFormatting sqref="V78 X78 V80:W81">
    <cfRule type="expression" dxfId="667" priority="784">
      <formula>V78&lt;&gt;0</formula>
    </cfRule>
  </conditionalFormatting>
  <conditionalFormatting sqref="V78">
    <cfRule type="expression" dxfId="666" priority="782" stopIfTrue="1">
      <formula>V78=0</formula>
    </cfRule>
  </conditionalFormatting>
  <conditionalFormatting sqref="V80:W81">
    <cfRule type="containsBlanks" dxfId="665" priority="780">
      <formula>LEN(TRIM(V80))=0</formula>
    </cfRule>
  </conditionalFormatting>
  <conditionalFormatting sqref="X78">
    <cfRule type="expression" dxfId="664" priority="781">
      <formula>V78=0</formula>
    </cfRule>
    <cfRule type="iconSet" priority="783">
      <iconSet>
        <cfvo type="percent" val="0"/>
        <cfvo type="num" val="1"/>
        <cfvo type="num" val="2"/>
      </iconSet>
    </cfRule>
  </conditionalFormatting>
  <conditionalFormatting sqref="W81">
    <cfRule type="containsText" dxfId="663" priority="779" operator="containsText" text="⚠">
      <formula>NOT(ISERROR(SEARCH("⚠",W81)))</formula>
    </cfRule>
  </conditionalFormatting>
  <conditionalFormatting sqref="V81">
    <cfRule type="expression" dxfId="662" priority="778">
      <formula>LEN(FIND("⚠",W81))&gt;0</formula>
    </cfRule>
  </conditionalFormatting>
  <conditionalFormatting sqref="V83 X83 V85:W86">
    <cfRule type="expression" dxfId="661" priority="777">
      <formula>V83&lt;&gt;0</formula>
    </cfRule>
  </conditionalFormatting>
  <conditionalFormatting sqref="V83">
    <cfRule type="expression" dxfId="660" priority="775" stopIfTrue="1">
      <formula>V83=0</formula>
    </cfRule>
  </conditionalFormatting>
  <conditionalFormatting sqref="V85:W86">
    <cfRule type="containsBlanks" dxfId="659" priority="773">
      <formula>LEN(TRIM(V85))=0</formula>
    </cfRule>
  </conditionalFormatting>
  <conditionalFormatting sqref="X83">
    <cfRule type="expression" dxfId="658" priority="774">
      <formula>V83=0</formula>
    </cfRule>
    <cfRule type="iconSet" priority="776">
      <iconSet>
        <cfvo type="percent" val="0"/>
        <cfvo type="num" val="1"/>
        <cfvo type="num" val="2"/>
      </iconSet>
    </cfRule>
  </conditionalFormatting>
  <conditionalFormatting sqref="W86">
    <cfRule type="containsText" dxfId="657" priority="772" operator="containsText" text="⚠">
      <formula>NOT(ISERROR(SEARCH("⚠",W86)))</formula>
    </cfRule>
  </conditionalFormatting>
  <conditionalFormatting sqref="V86">
    <cfRule type="expression" dxfId="656" priority="771">
      <formula>LEN(FIND("⚠",W86))&gt;0</formula>
    </cfRule>
  </conditionalFormatting>
  <conditionalFormatting sqref="V88 X88 V90:W91">
    <cfRule type="expression" dxfId="655" priority="770">
      <formula>V88&lt;&gt;0</formula>
    </cfRule>
  </conditionalFormatting>
  <conditionalFormatting sqref="V88">
    <cfRule type="expression" dxfId="654" priority="768" stopIfTrue="1">
      <formula>V88=0</formula>
    </cfRule>
  </conditionalFormatting>
  <conditionalFormatting sqref="V90:W91">
    <cfRule type="containsBlanks" dxfId="653" priority="766">
      <formula>LEN(TRIM(V90))=0</formula>
    </cfRule>
  </conditionalFormatting>
  <conditionalFormatting sqref="X88">
    <cfRule type="expression" dxfId="652" priority="767">
      <formula>V88=0</formula>
    </cfRule>
    <cfRule type="iconSet" priority="769">
      <iconSet>
        <cfvo type="percent" val="0"/>
        <cfvo type="num" val="1"/>
        <cfvo type="num" val="2"/>
      </iconSet>
    </cfRule>
  </conditionalFormatting>
  <conditionalFormatting sqref="W91">
    <cfRule type="containsText" dxfId="651" priority="765" operator="containsText" text="⚠">
      <formula>NOT(ISERROR(SEARCH("⚠",W91)))</formula>
    </cfRule>
  </conditionalFormatting>
  <conditionalFormatting sqref="V91">
    <cfRule type="expression" dxfId="650" priority="764">
      <formula>LEN(FIND("⚠",W91))&gt;0</formula>
    </cfRule>
  </conditionalFormatting>
  <conditionalFormatting sqref="V93 X93 V95:W96">
    <cfRule type="expression" dxfId="649" priority="763">
      <formula>V93&lt;&gt;0</formula>
    </cfRule>
  </conditionalFormatting>
  <conditionalFormatting sqref="V93">
    <cfRule type="expression" dxfId="648" priority="761" stopIfTrue="1">
      <formula>V93=0</formula>
    </cfRule>
  </conditionalFormatting>
  <conditionalFormatting sqref="V95:W96">
    <cfRule type="containsBlanks" dxfId="647" priority="759">
      <formula>LEN(TRIM(V95))=0</formula>
    </cfRule>
  </conditionalFormatting>
  <conditionalFormatting sqref="X93">
    <cfRule type="expression" dxfId="646" priority="760">
      <formula>V93=0</formula>
    </cfRule>
    <cfRule type="iconSet" priority="762">
      <iconSet>
        <cfvo type="percent" val="0"/>
        <cfvo type="num" val="1"/>
        <cfvo type="num" val="2"/>
      </iconSet>
    </cfRule>
  </conditionalFormatting>
  <conditionalFormatting sqref="W96">
    <cfRule type="containsText" dxfId="645" priority="758" operator="containsText" text="⚠">
      <formula>NOT(ISERROR(SEARCH("⚠",W96)))</formula>
    </cfRule>
  </conditionalFormatting>
  <conditionalFormatting sqref="V96">
    <cfRule type="expression" dxfId="644" priority="757">
      <formula>LEN(FIND("⚠",W96))&gt;0</formula>
    </cfRule>
  </conditionalFormatting>
  <conditionalFormatting sqref="V98 X98 V100:W101">
    <cfRule type="expression" dxfId="643" priority="756">
      <formula>V98&lt;&gt;0</formula>
    </cfRule>
  </conditionalFormatting>
  <conditionalFormatting sqref="V98">
    <cfRule type="expression" dxfId="642" priority="754" stopIfTrue="1">
      <formula>V98=0</formula>
    </cfRule>
  </conditionalFormatting>
  <conditionalFormatting sqref="V100:W101">
    <cfRule type="containsBlanks" dxfId="641" priority="752">
      <formula>LEN(TRIM(V100))=0</formula>
    </cfRule>
  </conditionalFormatting>
  <conditionalFormatting sqref="X98">
    <cfRule type="expression" dxfId="640" priority="753">
      <formula>V98=0</formula>
    </cfRule>
    <cfRule type="iconSet" priority="755">
      <iconSet>
        <cfvo type="percent" val="0"/>
        <cfvo type="num" val="1"/>
        <cfvo type="num" val="2"/>
      </iconSet>
    </cfRule>
  </conditionalFormatting>
  <conditionalFormatting sqref="W101">
    <cfRule type="containsText" dxfId="639" priority="751" operator="containsText" text="⚠">
      <formula>NOT(ISERROR(SEARCH("⚠",W101)))</formula>
    </cfRule>
  </conditionalFormatting>
  <conditionalFormatting sqref="V101">
    <cfRule type="expression" dxfId="638" priority="750">
      <formula>LEN(FIND("⚠",W101))&gt;0</formula>
    </cfRule>
  </conditionalFormatting>
  <conditionalFormatting sqref="V103 X103 V105:W106">
    <cfRule type="expression" dxfId="637" priority="749">
      <formula>V103&lt;&gt;0</formula>
    </cfRule>
  </conditionalFormatting>
  <conditionalFormatting sqref="V103">
    <cfRule type="expression" dxfId="636" priority="747" stopIfTrue="1">
      <formula>V103=0</formula>
    </cfRule>
  </conditionalFormatting>
  <conditionalFormatting sqref="V105:W106">
    <cfRule type="containsBlanks" dxfId="635" priority="745">
      <formula>LEN(TRIM(V105))=0</formula>
    </cfRule>
  </conditionalFormatting>
  <conditionalFormatting sqref="X103">
    <cfRule type="expression" dxfId="634" priority="746">
      <formula>V103=0</formula>
    </cfRule>
    <cfRule type="iconSet" priority="748">
      <iconSet>
        <cfvo type="percent" val="0"/>
        <cfvo type="num" val="1"/>
        <cfvo type="num" val="2"/>
      </iconSet>
    </cfRule>
  </conditionalFormatting>
  <conditionalFormatting sqref="W106">
    <cfRule type="containsText" dxfId="633" priority="744" operator="containsText" text="⚠">
      <formula>NOT(ISERROR(SEARCH("⚠",W106)))</formula>
    </cfRule>
  </conditionalFormatting>
  <conditionalFormatting sqref="V106">
    <cfRule type="expression" dxfId="632" priority="743">
      <formula>LEN(FIND("⚠",W106))&gt;0</formula>
    </cfRule>
  </conditionalFormatting>
  <conditionalFormatting sqref="V108 X108 V110:W111">
    <cfRule type="expression" dxfId="631" priority="742">
      <formula>V108&lt;&gt;0</formula>
    </cfRule>
  </conditionalFormatting>
  <conditionalFormatting sqref="V108">
    <cfRule type="expression" dxfId="630" priority="740" stopIfTrue="1">
      <formula>V108=0</formula>
    </cfRule>
  </conditionalFormatting>
  <conditionalFormatting sqref="V110:W111">
    <cfRule type="containsBlanks" dxfId="629" priority="738">
      <formula>LEN(TRIM(V110))=0</formula>
    </cfRule>
  </conditionalFormatting>
  <conditionalFormatting sqref="X108">
    <cfRule type="expression" dxfId="628" priority="739">
      <formula>V108=0</formula>
    </cfRule>
    <cfRule type="iconSet" priority="741">
      <iconSet>
        <cfvo type="percent" val="0"/>
        <cfvo type="num" val="1"/>
        <cfvo type="num" val="2"/>
      </iconSet>
    </cfRule>
  </conditionalFormatting>
  <conditionalFormatting sqref="W111">
    <cfRule type="containsText" dxfId="627" priority="737" operator="containsText" text="⚠">
      <formula>NOT(ISERROR(SEARCH("⚠",W111)))</formula>
    </cfRule>
  </conditionalFormatting>
  <conditionalFormatting sqref="V111">
    <cfRule type="expression" dxfId="626" priority="736">
      <formula>LEN(FIND("⚠",W111))&gt;0</formula>
    </cfRule>
  </conditionalFormatting>
  <conditionalFormatting sqref="AB8 AD8 AB10:AC11">
    <cfRule type="expression" dxfId="625" priority="735">
      <formula>AB8&lt;&gt;0</formula>
    </cfRule>
  </conditionalFormatting>
  <conditionalFormatting sqref="AB8">
    <cfRule type="expression" dxfId="624" priority="733" stopIfTrue="1">
      <formula>AB8=0</formula>
    </cfRule>
  </conditionalFormatting>
  <conditionalFormatting sqref="AB10:AC11">
    <cfRule type="containsBlanks" dxfId="623" priority="731">
      <formula>LEN(TRIM(AB10))=0</formula>
    </cfRule>
  </conditionalFormatting>
  <conditionalFormatting sqref="AD8">
    <cfRule type="expression" dxfId="622" priority="732">
      <formula>AB8=0</formula>
    </cfRule>
    <cfRule type="iconSet" priority="734">
      <iconSet>
        <cfvo type="percent" val="0"/>
        <cfvo type="num" val="1"/>
        <cfvo type="num" val="2"/>
      </iconSet>
    </cfRule>
  </conditionalFormatting>
  <conditionalFormatting sqref="AC11">
    <cfRule type="containsText" dxfId="621" priority="730" operator="containsText" text="⚠">
      <formula>NOT(ISERROR(SEARCH("⚠",AC11)))</formula>
    </cfRule>
  </conditionalFormatting>
  <conditionalFormatting sqref="AB11">
    <cfRule type="expression" dxfId="620" priority="729">
      <formula>LEN(FIND("⚠",AC11))&gt;0</formula>
    </cfRule>
  </conditionalFormatting>
  <conditionalFormatting sqref="AB13 AD13 AB15:AC16">
    <cfRule type="expression" dxfId="619" priority="728">
      <formula>AB13&lt;&gt;0</formula>
    </cfRule>
  </conditionalFormatting>
  <conditionalFormatting sqref="AB13">
    <cfRule type="expression" dxfId="618" priority="726" stopIfTrue="1">
      <formula>AB13=0</formula>
    </cfRule>
  </conditionalFormatting>
  <conditionalFormatting sqref="AB15:AC16">
    <cfRule type="containsBlanks" dxfId="617" priority="724">
      <formula>LEN(TRIM(AB15))=0</formula>
    </cfRule>
  </conditionalFormatting>
  <conditionalFormatting sqref="AD13">
    <cfRule type="expression" dxfId="616" priority="725">
      <formula>AB13=0</formula>
    </cfRule>
    <cfRule type="iconSet" priority="727">
      <iconSet>
        <cfvo type="percent" val="0"/>
        <cfvo type="num" val="1"/>
        <cfvo type="num" val="2"/>
      </iconSet>
    </cfRule>
  </conditionalFormatting>
  <conditionalFormatting sqref="AC16">
    <cfRule type="containsText" dxfId="615" priority="723" operator="containsText" text="⚠">
      <formula>NOT(ISERROR(SEARCH("⚠",AC16)))</formula>
    </cfRule>
  </conditionalFormatting>
  <conditionalFormatting sqref="AB16">
    <cfRule type="expression" dxfId="614" priority="722">
      <formula>LEN(FIND("⚠",AC16))&gt;0</formula>
    </cfRule>
  </conditionalFormatting>
  <conditionalFormatting sqref="AB18 AD18 AB20:AC21">
    <cfRule type="expression" dxfId="613" priority="721">
      <formula>AB18&lt;&gt;0</formula>
    </cfRule>
  </conditionalFormatting>
  <conditionalFormatting sqref="AB18">
    <cfRule type="expression" dxfId="612" priority="719" stopIfTrue="1">
      <formula>AB18=0</formula>
    </cfRule>
  </conditionalFormatting>
  <conditionalFormatting sqref="AB20:AC21">
    <cfRule type="containsBlanks" dxfId="611" priority="717">
      <formula>LEN(TRIM(AB20))=0</formula>
    </cfRule>
  </conditionalFormatting>
  <conditionalFormatting sqref="AD18">
    <cfRule type="expression" dxfId="610" priority="718">
      <formula>AB18=0</formula>
    </cfRule>
    <cfRule type="iconSet" priority="720">
      <iconSet>
        <cfvo type="percent" val="0"/>
        <cfvo type="num" val="1"/>
        <cfvo type="num" val="2"/>
      </iconSet>
    </cfRule>
  </conditionalFormatting>
  <conditionalFormatting sqref="AC21">
    <cfRule type="containsText" dxfId="609" priority="716" operator="containsText" text="⚠">
      <formula>NOT(ISERROR(SEARCH("⚠",AC21)))</formula>
    </cfRule>
  </conditionalFormatting>
  <conditionalFormatting sqref="AB21">
    <cfRule type="expression" dxfId="608" priority="715">
      <formula>LEN(FIND("⚠",AC21))&gt;0</formula>
    </cfRule>
  </conditionalFormatting>
  <conditionalFormatting sqref="AB23 AD23 AB25:AC26">
    <cfRule type="expression" dxfId="607" priority="714">
      <formula>AB23&lt;&gt;0</formula>
    </cfRule>
  </conditionalFormatting>
  <conditionalFormatting sqref="AB23">
    <cfRule type="expression" dxfId="606" priority="712" stopIfTrue="1">
      <formula>AB23=0</formula>
    </cfRule>
  </conditionalFormatting>
  <conditionalFormatting sqref="AB25:AC26">
    <cfRule type="containsBlanks" dxfId="605" priority="710">
      <formula>LEN(TRIM(AB25))=0</formula>
    </cfRule>
  </conditionalFormatting>
  <conditionalFormatting sqref="AD23">
    <cfRule type="expression" dxfId="604" priority="711">
      <formula>AB23=0</formula>
    </cfRule>
    <cfRule type="iconSet" priority="713">
      <iconSet>
        <cfvo type="percent" val="0"/>
        <cfvo type="num" val="1"/>
        <cfvo type="num" val="2"/>
      </iconSet>
    </cfRule>
  </conditionalFormatting>
  <conditionalFormatting sqref="AC26">
    <cfRule type="containsText" dxfId="603" priority="709" operator="containsText" text="⚠">
      <formula>NOT(ISERROR(SEARCH("⚠",AC26)))</formula>
    </cfRule>
  </conditionalFormatting>
  <conditionalFormatting sqref="AB26">
    <cfRule type="expression" dxfId="602" priority="708">
      <formula>LEN(FIND("⚠",AC26))&gt;0</formula>
    </cfRule>
  </conditionalFormatting>
  <conditionalFormatting sqref="AB28 AD28 AB30:AC31">
    <cfRule type="expression" dxfId="601" priority="707">
      <formula>AB28&lt;&gt;0</formula>
    </cfRule>
  </conditionalFormatting>
  <conditionalFormatting sqref="AB28">
    <cfRule type="expression" dxfId="600" priority="705" stopIfTrue="1">
      <formula>AB28=0</formula>
    </cfRule>
  </conditionalFormatting>
  <conditionalFormatting sqref="AB30:AC31">
    <cfRule type="containsBlanks" dxfId="599" priority="703">
      <formula>LEN(TRIM(AB30))=0</formula>
    </cfRule>
  </conditionalFormatting>
  <conditionalFormatting sqref="AD28">
    <cfRule type="expression" dxfId="598" priority="704">
      <formula>AB28=0</formula>
    </cfRule>
    <cfRule type="iconSet" priority="706">
      <iconSet>
        <cfvo type="percent" val="0"/>
        <cfvo type="num" val="1"/>
        <cfvo type="num" val="2"/>
      </iconSet>
    </cfRule>
  </conditionalFormatting>
  <conditionalFormatting sqref="AC31">
    <cfRule type="containsText" dxfId="597" priority="702" operator="containsText" text="⚠">
      <formula>NOT(ISERROR(SEARCH("⚠",AC31)))</formula>
    </cfRule>
  </conditionalFormatting>
  <conditionalFormatting sqref="AB31">
    <cfRule type="expression" dxfId="596" priority="701">
      <formula>LEN(FIND("⚠",AC31))&gt;0</formula>
    </cfRule>
  </conditionalFormatting>
  <conditionalFormatting sqref="AB33 AD33 AB35:AC36">
    <cfRule type="expression" dxfId="595" priority="700">
      <formula>AB33&lt;&gt;0</formula>
    </cfRule>
  </conditionalFormatting>
  <conditionalFormatting sqref="AB33">
    <cfRule type="expression" dxfId="594" priority="698" stopIfTrue="1">
      <formula>AB33=0</formula>
    </cfRule>
  </conditionalFormatting>
  <conditionalFormatting sqref="AB35:AC36">
    <cfRule type="containsBlanks" dxfId="593" priority="696">
      <formula>LEN(TRIM(AB35))=0</formula>
    </cfRule>
  </conditionalFormatting>
  <conditionalFormatting sqref="AD33">
    <cfRule type="expression" dxfId="592" priority="697">
      <formula>AB33=0</formula>
    </cfRule>
    <cfRule type="iconSet" priority="699">
      <iconSet>
        <cfvo type="percent" val="0"/>
        <cfvo type="num" val="1"/>
        <cfvo type="num" val="2"/>
      </iconSet>
    </cfRule>
  </conditionalFormatting>
  <conditionalFormatting sqref="AC36">
    <cfRule type="containsText" dxfId="591" priority="695" operator="containsText" text="⚠">
      <formula>NOT(ISERROR(SEARCH("⚠",AC36)))</formula>
    </cfRule>
  </conditionalFormatting>
  <conditionalFormatting sqref="AB36">
    <cfRule type="expression" dxfId="590" priority="694">
      <formula>LEN(FIND("⚠",AC36))&gt;0</formula>
    </cfRule>
  </conditionalFormatting>
  <conditionalFormatting sqref="AB38 AD38 AB40:AC41">
    <cfRule type="expression" dxfId="589" priority="693">
      <formula>AB38&lt;&gt;0</formula>
    </cfRule>
  </conditionalFormatting>
  <conditionalFormatting sqref="AB38">
    <cfRule type="expression" dxfId="588" priority="691" stopIfTrue="1">
      <formula>AB38=0</formula>
    </cfRule>
  </conditionalFormatting>
  <conditionalFormatting sqref="AB40:AC41">
    <cfRule type="containsBlanks" dxfId="587" priority="689">
      <formula>LEN(TRIM(AB40))=0</formula>
    </cfRule>
  </conditionalFormatting>
  <conditionalFormatting sqref="AD38">
    <cfRule type="expression" dxfId="586" priority="690">
      <formula>AB38=0</formula>
    </cfRule>
    <cfRule type="iconSet" priority="692">
      <iconSet>
        <cfvo type="percent" val="0"/>
        <cfvo type="num" val="1"/>
        <cfvo type="num" val="2"/>
      </iconSet>
    </cfRule>
  </conditionalFormatting>
  <conditionalFormatting sqref="AC41">
    <cfRule type="containsText" dxfId="585" priority="688" operator="containsText" text="⚠">
      <formula>NOT(ISERROR(SEARCH("⚠",AC41)))</formula>
    </cfRule>
  </conditionalFormatting>
  <conditionalFormatting sqref="AB41">
    <cfRule type="expression" dxfId="584" priority="687">
      <formula>LEN(FIND("⚠",AC41))&gt;0</formula>
    </cfRule>
  </conditionalFormatting>
  <conditionalFormatting sqref="AB43 AD43 AB45:AC46">
    <cfRule type="expression" dxfId="583" priority="686">
      <formula>AB43&lt;&gt;0</formula>
    </cfRule>
  </conditionalFormatting>
  <conditionalFormatting sqref="AB43">
    <cfRule type="expression" dxfId="582" priority="684" stopIfTrue="1">
      <formula>AB43=0</formula>
    </cfRule>
  </conditionalFormatting>
  <conditionalFormatting sqref="AB45:AC46">
    <cfRule type="containsBlanks" dxfId="581" priority="682">
      <formula>LEN(TRIM(AB45))=0</formula>
    </cfRule>
  </conditionalFormatting>
  <conditionalFormatting sqref="AD43">
    <cfRule type="expression" dxfId="580" priority="683">
      <formula>AB43=0</formula>
    </cfRule>
    <cfRule type="iconSet" priority="685">
      <iconSet>
        <cfvo type="percent" val="0"/>
        <cfvo type="num" val="1"/>
        <cfvo type="num" val="2"/>
      </iconSet>
    </cfRule>
  </conditionalFormatting>
  <conditionalFormatting sqref="AC46">
    <cfRule type="containsText" dxfId="579" priority="681" operator="containsText" text="⚠">
      <formula>NOT(ISERROR(SEARCH("⚠",AC46)))</formula>
    </cfRule>
  </conditionalFormatting>
  <conditionalFormatting sqref="AB46">
    <cfRule type="expression" dxfId="578" priority="680">
      <formula>LEN(FIND("⚠",AC46))&gt;0</formula>
    </cfRule>
  </conditionalFormatting>
  <conditionalFormatting sqref="AB48 AD48 AB50:AC51">
    <cfRule type="expression" dxfId="577" priority="679">
      <formula>AB48&lt;&gt;0</formula>
    </cfRule>
  </conditionalFormatting>
  <conditionalFormatting sqref="AB48">
    <cfRule type="expression" dxfId="576" priority="677" stopIfTrue="1">
      <formula>AB48=0</formula>
    </cfRule>
  </conditionalFormatting>
  <conditionalFormatting sqref="AB50:AC51">
    <cfRule type="containsBlanks" dxfId="575" priority="675">
      <formula>LEN(TRIM(AB50))=0</formula>
    </cfRule>
  </conditionalFormatting>
  <conditionalFormatting sqref="AD48">
    <cfRule type="expression" dxfId="574" priority="676">
      <formula>AB48=0</formula>
    </cfRule>
    <cfRule type="iconSet" priority="678">
      <iconSet>
        <cfvo type="percent" val="0"/>
        <cfvo type="num" val="1"/>
        <cfvo type="num" val="2"/>
      </iconSet>
    </cfRule>
  </conditionalFormatting>
  <conditionalFormatting sqref="AC51">
    <cfRule type="containsText" dxfId="573" priority="674" operator="containsText" text="⚠">
      <formula>NOT(ISERROR(SEARCH("⚠",AC51)))</formula>
    </cfRule>
  </conditionalFormatting>
  <conditionalFormatting sqref="AB51">
    <cfRule type="expression" dxfId="572" priority="673">
      <formula>LEN(FIND("⚠",AC51))&gt;0</formula>
    </cfRule>
  </conditionalFormatting>
  <conditionalFormatting sqref="AB53 AD53 AB55:AC56">
    <cfRule type="expression" dxfId="571" priority="672">
      <formula>AB53&lt;&gt;0</formula>
    </cfRule>
  </conditionalFormatting>
  <conditionalFormatting sqref="AB53">
    <cfRule type="expression" dxfId="570" priority="670" stopIfTrue="1">
      <formula>AB53=0</formula>
    </cfRule>
  </conditionalFormatting>
  <conditionalFormatting sqref="AB55:AC56">
    <cfRule type="containsBlanks" dxfId="569" priority="668">
      <formula>LEN(TRIM(AB55))=0</formula>
    </cfRule>
  </conditionalFormatting>
  <conditionalFormatting sqref="AD53">
    <cfRule type="expression" dxfId="568" priority="669">
      <formula>AB53=0</formula>
    </cfRule>
    <cfRule type="iconSet" priority="671">
      <iconSet>
        <cfvo type="percent" val="0"/>
        <cfvo type="num" val="1"/>
        <cfvo type="num" val="2"/>
      </iconSet>
    </cfRule>
  </conditionalFormatting>
  <conditionalFormatting sqref="AC56">
    <cfRule type="containsText" dxfId="567" priority="667" operator="containsText" text="⚠">
      <formula>NOT(ISERROR(SEARCH("⚠",AC56)))</formula>
    </cfRule>
  </conditionalFormatting>
  <conditionalFormatting sqref="AB56">
    <cfRule type="expression" dxfId="566" priority="666">
      <formula>LEN(FIND("⚠",AC56))&gt;0</formula>
    </cfRule>
  </conditionalFormatting>
  <conditionalFormatting sqref="AB58 AD58 AB60:AC61">
    <cfRule type="expression" dxfId="565" priority="665">
      <formula>AB58&lt;&gt;0</formula>
    </cfRule>
  </conditionalFormatting>
  <conditionalFormatting sqref="AB58">
    <cfRule type="expression" dxfId="564" priority="663" stopIfTrue="1">
      <formula>AB58=0</formula>
    </cfRule>
  </conditionalFormatting>
  <conditionalFormatting sqref="AB60:AC61">
    <cfRule type="containsBlanks" dxfId="563" priority="661">
      <formula>LEN(TRIM(AB60))=0</formula>
    </cfRule>
  </conditionalFormatting>
  <conditionalFormatting sqref="AD58">
    <cfRule type="expression" dxfId="562" priority="662">
      <formula>AB58=0</formula>
    </cfRule>
    <cfRule type="iconSet" priority="664">
      <iconSet>
        <cfvo type="percent" val="0"/>
        <cfvo type="num" val="1"/>
        <cfvo type="num" val="2"/>
      </iconSet>
    </cfRule>
  </conditionalFormatting>
  <conditionalFormatting sqref="AC61">
    <cfRule type="containsText" dxfId="561" priority="660" operator="containsText" text="⚠">
      <formula>NOT(ISERROR(SEARCH("⚠",AC61)))</formula>
    </cfRule>
  </conditionalFormatting>
  <conditionalFormatting sqref="AB61">
    <cfRule type="expression" dxfId="560" priority="659">
      <formula>LEN(FIND("⚠",AC61))&gt;0</formula>
    </cfRule>
  </conditionalFormatting>
  <conditionalFormatting sqref="AB63 AD63 AB65:AC66">
    <cfRule type="expression" dxfId="559" priority="658">
      <formula>AB63&lt;&gt;0</formula>
    </cfRule>
  </conditionalFormatting>
  <conditionalFormatting sqref="AB63">
    <cfRule type="expression" dxfId="558" priority="656" stopIfTrue="1">
      <formula>AB63=0</formula>
    </cfRule>
  </conditionalFormatting>
  <conditionalFormatting sqref="AB65:AC66">
    <cfRule type="containsBlanks" dxfId="557" priority="654">
      <formula>LEN(TRIM(AB65))=0</formula>
    </cfRule>
  </conditionalFormatting>
  <conditionalFormatting sqref="AD63">
    <cfRule type="expression" dxfId="556" priority="655">
      <formula>AB63=0</formula>
    </cfRule>
    <cfRule type="iconSet" priority="657">
      <iconSet>
        <cfvo type="percent" val="0"/>
        <cfvo type="num" val="1"/>
        <cfvo type="num" val="2"/>
      </iconSet>
    </cfRule>
  </conditionalFormatting>
  <conditionalFormatting sqref="AC66">
    <cfRule type="containsText" dxfId="555" priority="653" operator="containsText" text="⚠">
      <formula>NOT(ISERROR(SEARCH("⚠",AC66)))</formula>
    </cfRule>
  </conditionalFormatting>
  <conditionalFormatting sqref="AB66">
    <cfRule type="expression" dxfId="554" priority="652">
      <formula>LEN(FIND("⚠",AC66))&gt;0</formula>
    </cfRule>
  </conditionalFormatting>
  <conditionalFormatting sqref="AB68 AD68 AB70:AC71">
    <cfRule type="expression" dxfId="553" priority="651">
      <formula>AB68&lt;&gt;0</formula>
    </cfRule>
  </conditionalFormatting>
  <conditionalFormatting sqref="AB68">
    <cfRule type="expression" dxfId="552" priority="649" stopIfTrue="1">
      <formula>AB68=0</formula>
    </cfRule>
  </conditionalFormatting>
  <conditionalFormatting sqref="AB70:AC71">
    <cfRule type="containsBlanks" dxfId="551" priority="647">
      <formula>LEN(TRIM(AB70))=0</formula>
    </cfRule>
  </conditionalFormatting>
  <conditionalFormatting sqref="AD68">
    <cfRule type="expression" dxfId="550" priority="648">
      <formula>AB68=0</formula>
    </cfRule>
    <cfRule type="iconSet" priority="650">
      <iconSet>
        <cfvo type="percent" val="0"/>
        <cfvo type="num" val="1"/>
        <cfvo type="num" val="2"/>
      </iconSet>
    </cfRule>
  </conditionalFormatting>
  <conditionalFormatting sqref="AC71">
    <cfRule type="containsText" dxfId="549" priority="646" operator="containsText" text="⚠">
      <formula>NOT(ISERROR(SEARCH("⚠",AC71)))</formula>
    </cfRule>
  </conditionalFormatting>
  <conditionalFormatting sqref="AB71">
    <cfRule type="expression" dxfId="548" priority="645">
      <formula>LEN(FIND("⚠",AC71))&gt;0</formula>
    </cfRule>
  </conditionalFormatting>
  <conditionalFormatting sqref="AB73 AD73 AB75:AC76">
    <cfRule type="expression" dxfId="547" priority="644">
      <formula>AB73&lt;&gt;0</formula>
    </cfRule>
  </conditionalFormatting>
  <conditionalFormatting sqref="AB73">
    <cfRule type="expression" dxfId="546" priority="642" stopIfTrue="1">
      <formula>AB73=0</formula>
    </cfRule>
  </conditionalFormatting>
  <conditionalFormatting sqref="AB75:AC76">
    <cfRule type="containsBlanks" dxfId="545" priority="640">
      <formula>LEN(TRIM(AB75))=0</formula>
    </cfRule>
  </conditionalFormatting>
  <conditionalFormatting sqref="AD73">
    <cfRule type="expression" dxfId="544" priority="641">
      <formula>AB73=0</formula>
    </cfRule>
    <cfRule type="iconSet" priority="643">
      <iconSet>
        <cfvo type="percent" val="0"/>
        <cfvo type="num" val="1"/>
        <cfvo type="num" val="2"/>
      </iconSet>
    </cfRule>
  </conditionalFormatting>
  <conditionalFormatting sqref="AC76">
    <cfRule type="containsText" dxfId="543" priority="639" operator="containsText" text="⚠">
      <formula>NOT(ISERROR(SEARCH("⚠",AC76)))</formula>
    </cfRule>
  </conditionalFormatting>
  <conditionalFormatting sqref="AB76">
    <cfRule type="expression" dxfId="542" priority="638">
      <formula>LEN(FIND("⚠",AC76))&gt;0</formula>
    </cfRule>
  </conditionalFormatting>
  <conditionalFormatting sqref="AB78 AD78 AB80:AC81">
    <cfRule type="expression" dxfId="541" priority="637">
      <formula>AB78&lt;&gt;0</formula>
    </cfRule>
  </conditionalFormatting>
  <conditionalFormatting sqref="AB78">
    <cfRule type="expression" dxfId="540" priority="635" stopIfTrue="1">
      <formula>AB78=0</formula>
    </cfRule>
  </conditionalFormatting>
  <conditionalFormatting sqref="AB80:AC81">
    <cfRule type="containsBlanks" dxfId="539" priority="633">
      <formula>LEN(TRIM(AB80))=0</formula>
    </cfRule>
  </conditionalFormatting>
  <conditionalFormatting sqref="AD78">
    <cfRule type="expression" dxfId="538" priority="634">
      <formula>AB78=0</formula>
    </cfRule>
    <cfRule type="iconSet" priority="636">
      <iconSet>
        <cfvo type="percent" val="0"/>
        <cfvo type="num" val="1"/>
        <cfvo type="num" val="2"/>
      </iconSet>
    </cfRule>
  </conditionalFormatting>
  <conditionalFormatting sqref="AC81">
    <cfRule type="containsText" dxfId="537" priority="632" operator="containsText" text="⚠">
      <formula>NOT(ISERROR(SEARCH("⚠",AC81)))</formula>
    </cfRule>
  </conditionalFormatting>
  <conditionalFormatting sqref="AB81">
    <cfRule type="expression" dxfId="536" priority="631">
      <formula>LEN(FIND("⚠",AC81))&gt;0</formula>
    </cfRule>
  </conditionalFormatting>
  <conditionalFormatting sqref="AB83 AD83 AB85:AC86">
    <cfRule type="expression" dxfId="535" priority="630">
      <formula>AB83&lt;&gt;0</formula>
    </cfRule>
  </conditionalFormatting>
  <conditionalFormatting sqref="AB83">
    <cfRule type="expression" dxfId="534" priority="628" stopIfTrue="1">
      <formula>AB83=0</formula>
    </cfRule>
  </conditionalFormatting>
  <conditionalFormatting sqref="AB85:AC86">
    <cfRule type="containsBlanks" dxfId="533" priority="626">
      <formula>LEN(TRIM(AB85))=0</formula>
    </cfRule>
  </conditionalFormatting>
  <conditionalFormatting sqref="AD83">
    <cfRule type="expression" dxfId="532" priority="627">
      <formula>AB83=0</formula>
    </cfRule>
    <cfRule type="iconSet" priority="629">
      <iconSet>
        <cfvo type="percent" val="0"/>
        <cfvo type="num" val="1"/>
        <cfvo type="num" val="2"/>
      </iconSet>
    </cfRule>
  </conditionalFormatting>
  <conditionalFormatting sqref="AC86">
    <cfRule type="containsText" dxfId="531" priority="625" operator="containsText" text="⚠">
      <formula>NOT(ISERROR(SEARCH("⚠",AC86)))</formula>
    </cfRule>
  </conditionalFormatting>
  <conditionalFormatting sqref="AB86">
    <cfRule type="expression" dxfId="530" priority="624">
      <formula>LEN(FIND("⚠",AC86))&gt;0</formula>
    </cfRule>
  </conditionalFormatting>
  <conditionalFormatting sqref="AB88 AD88 AB90:AC91">
    <cfRule type="expression" dxfId="529" priority="623">
      <formula>AB88&lt;&gt;0</formula>
    </cfRule>
  </conditionalFormatting>
  <conditionalFormatting sqref="AB88">
    <cfRule type="expression" dxfId="528" priority="621" stopIfTrue="1">
      <formula>AB88=0</formula>
    </cfRule>
  </conditionalFormatting>
  <conditionalFormatting sqref="AB90:AC91">
    <cfRule type="containsBlanks" dxfId="527" priority="619">
      <formula>LEN(TRIM(AB90))=0</formula>
    </cfRule>
  </conditionalFormatting>
  <conditionalFormatting sqref="AD88">
    <cfRule type="expression" dxfId="526" priority="620">
      <formula>AB88=0</formula>
    </cfRule>
    <cfRule type="iconSet" priority="622">
      <iconSet>
        <cfvo type="percent" val="0"/>
        <cfvo type="num" val="1"/>
        <cfvo type="num" val="2"/>
      </iconSet>
    </cfRule>
  </conditionalFormatting>
  <conditionalFormatting sqref="AC91">
    <cfRule type="containsText" dxfId="525" priority="618" operator="containsText" text="⚠">
      <formula>NOT(ISERROR(SEARCH("⚠",AC91)))</formula>
    </cfRule>
  </conditionalFormatting>
  <conditionalFormatting sqref="AB91">
    <cfRule type="expression" dxfId="524" priority="617">
      <formula>LEN(FIND("⚠",AC91))&gt;0</formula>
    </cfRule>
  </conditionalFormatting>
  <conditionalFormatting sqref="AB93 AD93 AB95:AC96">
    <cfRule type="expression" dxfId="523" priority="616">
      <formula>AB93&lt;&gt;0</formula>
    </cfRule>
  </conditionalFormatting>
  <conditionalFormatting sqref="AB93">
    <cfRule type="expression" dxfId="522" priority="614" stopIfTrue="1">
      <formula>AB93=0</formula>
    </cfRule>
  </conditionalFormatting>
  <conditionalFormatting sqref="AB95:AC96">
    <cfRule type="containsBlanks" dxfId="521" priority="612">
      <formula>LEN(TRIM(AB95))=0</formula>
    </cfRule>
  </conditionalFormatting>
  <conditionalFormatting sqref="AD93">
    <cfRule type="expression" dxfId="520" priority="613">
      <formula>AB93=0</formula>
    </cfRule>
    <cfRule type="iconSet" priority="615">
      <iconSet>
        <cfvo type="percent" val="0"/>
        <cfvo type="num" val="1"/>
        <cfvo type="num" val="2"/>
      </iconSet>
    </cfRule>
  </conditionalFormatting>
  <conditionalFormatting sqref="AC96">
    <cfRule type="containsText" dxfId="519" priority="611" operator="containsText" text="⚠">
      <formula>NOT(ISERROR(SEARCH("⚠",AC96)))</formula>
    </cfRule>
  </conditionalFormatting>
  <conditionalFormatting sqref="AB96">
    <cfRule type="expression" dxfId="518" priority="610">
      <formula>LEN(FIND("⚠",AC96))&gt;0</formula>
    </cfRule>
  </conditionalFormatting>
  <conditionalFormatting sqref="AB98 AD98 AB100:AC101">
    <cfRule type="expression" dxfId="517" priority="609">
      <formula>AB98&lt;&gt;0</formula>
    </cfRule>
  </conditionalFormatting>
  <conditionalFormatting sqref="AB98">
    <cfRule type="expression" dxfId="516" priority="607" stopIfTrue="1">
      <formula>AB98=0</formula>
    </cfRule>
  </conditionalFormatting>
  <conditionalFormatting sqref="AB100:AC101">
    <cfRule type="containsBlanks" dxfId="515" priority="605">
      <formula>LEN(TRIM(AB100))=0</formula>
    </cfRule>
  </conditionalFormatting>
  <conditionalFormatting sqref="AD98">
    <cfRule type="expression" dxfId="514" priority="606">
      <formula>AB98=0</formula>
    </cfRule>
    <cfRule type="iconSet" priority="608">
      <iconSet>
        <cfvo type="percent" val="0"/>
        <cfvo type="num" val="1"/>
        <cfvo type="num" val="2"/>
      </iconSet>
    </cfRule>
  </conditionalFormatting>
  <conditionalFormatting sqref="AC101">
    <cfRule type="containsText" dxfId="513" priority="604" operator="containsText" text="⚠">
      <formula>NOT(ISERROR(SEARCH("⚠",AC101)))</formula>
    </cfRule>
  </conditionalFormatting>
  <conditionalFormatting sqref="AB101">
    <cfRule type="expression" dxfId="512" priority="603">
      <formula>LEN(FIND("⚠",AC101))&gt;0</formula>
    </cfRule>
  </conditionalFormatting>
  <conditionalFormatting sqref="AB103 AD103 AB105:AC106">
    <cfRule type="expression" dxfId="511" priority="602">
      <formula>AB103&lt;&gt;0</formula>
    </cfRule>
  </conditionalFormatting>
  <conditionalFormatting sqref="AB103">
    <cfRule type="expression" dxfId="510" priority="600" stopIfTrue="1">
      <formula>AB103=0</formula>
    </cfRule>
  </conditionalFormatting>
  <conditionalFormatting sqref="AB105:AC106">
    <cfRule type="containsBlanks" dxfId="509" priority="598">
      <formula>LEN(TRIM(AB105))=0</formula>
    </cfRule>
  </conditionalFormatting>
  <conditionalFormatting sqref="AD103">
    <cfRule type="expression" dxfId="508" priority="599">
      <formula>AB103=0</formula>
    </cfRule>
    <cfRule type="iconSet" priority="601">
      <iconSet>
        <cfvo type="percent" val="0"/>
        <cfvo type="num" val="1"/>
        <cfvo type="num" val="2"/>
      </iconSet>
    </cfRule>
  </conditionalFormatting>
  <conditionalFormatting sqref="AC106">
    <cfRule type="containsText" dxfId="507" priority="597" operator="containsText" text="⚠">
      <formula>NOT(ISERROR(SEARCH("⚠",AC106)))</formula>
    </cfRule>
  </conditionalFormatting>
  <conditionalFormatting sqref="AB106">
    <cfRule type="expression" dxfId="506" priority="596">
      <formula>LEN(FIND("⚠",AC106))&gt;0</formula>
    </cfRule>
  </conditionalFormatting>
  <conditionalFormatting sqref="AB108 AD108 AB110:AC111">
    <cfRule type="expression" dxfId="505" priority="595">
      <formula>AB108&lt;&gt;0</formula>
    </cfRule>
  </conditionalFormatting>
  <conditionalFormatting sqref="AB108">
    <cfRule type="expression" dxfId="504" priority="593" stopIfTrue="1">
      <formula>AB108=0</formula>
    </cfRule>
  </conditionalFormatting>
  <conditionalFormatting sqref="AB110:AC111">
    <cfRule type="containsBlanks" dxfId="503" priority="591">
      <formula>LEN(TRIM(AB110))=0</formula>
    </cfRule>
  </conditionalFormatting>
  <conditionalFormatting sqref="AD108">
    <cfRule type="expression" dxfId="502" priority="592">
      <formula>AB108=0</formula>
    </cfRule>
    <cfRule type="iconSet" priority="594">
      <iconSet>
        <cfvo type="percent" val="0"/>
        <cfvo type="num" val="1"/>
        <cfvo type="num" val="2"/>
      </iconSet>
    </cfRule>
  </conditionalFormatting>
  <conditionalFormatting sqref="AC111">
    <cfRule type="containsText" dxfId="501" priority="590" operator="containsText" text="⚠">
      <formula>NOT(ISERROR(SEARCH("⚠",AC111)))</formula>
    </cfRule>
  </conditionalFormatting>
  <conditionalFormatting sqref="AB111">
    <cfRule type="expression" dxfId="500" priority="589">
      <formula>LEN(FIND("⚠",AC111))&gt;0</formula>
    </cfRule>
  </conditionalFormatting>
  <conditionalFormatting sqref="AH8 AJ8 AH10:AI11">
    <cfRule type="expression" dxfId="499" priority="588">
      <formula>AH8&lt;&gt;0</formula>
    </cfRule>
  </conditionalFormatting>
  <conditionalFormatting sqref="AH8">
    <cfRule type="expression" dxfId="498" priority="586" stopIfTrue="1">
      <formula>AH8=0</formula>
    </cfRule>
  </conditionalFormatting>
  <conditionalFormatting sqref="AH10:AI11">
    <cfRule type="containsBlanks" dxfId="497" priority="584">
      <formula>LEN(TRIM(AH10))=0</formula>
    </cfRule>
  </conditionalFormatting>
  <conditionalFormatting sqref="AJ8">
    <cfRule type="expression" dxfId="496" priority="585">
      <formula>AH8=0</formula>
    </cfRule>
    <cfRule type="iconSet" priority="587">
      <iconSet>
        <cfvo type="percent" val="0"/>
        <cfvo type="num" val="1"/>
        <cfvo type="num" val="2"/>
      </iconSet>
    </cfRule>
  </conditionalFormatting>
  <conditionalFormatting sqref="AI11">
    <cfRule type="containsText" dxfId="495" priority="583" operator="containsText" text="⚠">
      <formula>NOT(ISERROR(SEARCH("⚠",AI11)))</formula>
    </cfRule>
  </conditionalFormatting>
  <conditionalFormatting sqref="AH11">
    <cfRule type="expression" dxfId="494" priority="582">
      <formula>LEN(FIND("⚠",AI11))&gt;0</formula>
    </cfRule>
  </conditionalFormatting>
  <conditionalFormatting sqref="AH13 AJ13 AH15:AI16">
    <cfRule type="expression" dxfId="493" priority="581">
      <formula>AH13&lt;&gt;0</formula>
    </cfRule>
  </conditionalFormatting>
  <conditionalFormatting sqref="AH13">
    <cfRule type="expression" dxfId="492" priority="579" stopIfTrue="1">
      <formula>AH13=0</formula>
    </cfRule>
  </conditionalFormatting>
  <conditionalFormatting sqref="AH15:AI16">
    <cfRule type="containsBlanks" dxfId="491" priority="577">
      <formula>LEN(TRIM(AH15))=0</formula>
    </cfRule>
  </conditionalFormatting>
  <conditionalFormatting sqref="AJ13">
    <cfRule type="expression" dxfId="490" priority="578">
      <formula>AH13=0</formula>
    </cfRule>
    <cfRule type="iconSet" priority="580">
      <iconSet>
        <cfvo type="percent" val="0"/>
        <cfvo type="num" val="1"/>
        <cfvo type="num" val="2"/>
      </iconSet>
    </cfRule>
  </conditionalFormatting>
  <conditionalFormatting sqref="AI16">
    <cfRule type="containsText" dxfId="489" priority="576" operator="containsText" text="⚠">
      <formula>NOT(ISERROR(SEARCH("⚠",AI16)))</formula>
    </cfRule>
  </conditionalFormatting>
  <conditionalFormatting sqref="AH16">
    <cfRule type="expression" dxfId="488" priority="575">
      <formula>LEN(FIND("⚠",AI16))&gt;0</formula>
    </cfRule>
  </conditionalFormatting>
  <conditionalFormatting sqref="AH18 AJ18 AH20:AI21">
    <cfRule type="expression" dxfId="487" priority="574">
      <formula>AH18&lt;&gt;0</formula>
    </cfRule>
  </conditionalFormatting>
  <conditionalFormatting sqref="AH18">
    <cfRule type="expression" dxfId="486" priority="572" stopIfTrue="1">
      <formula>AH18=0</formula>
    </cfRule>
  </conditionalFormatting>
  <conditionalFormatting sqref="AH20:AI21">
    <cfRule type="containsBlanks" dxfId="485" priority="570">
      <formula>LEN(TRIM(AH20))=0</formula>
    </cfRule>
  </conditionalFormatting>
  <conditionalFormatting sqref="AJ18">
    <cfRule type="expression" dxfId="484" priority="571">
      <formula>AH18=0</formula>
    </cfRule>
    <cfRule type="iconSet" priority="573">
      <iconSet>
        <cfvo type="percent" val="0"/>
        <cfvo type="num" val="1"/>
        <cfvo type="num" val="2"/>
      </iconSet>
    </cfRule>
  </conditionalFormatting>
  <conditionalFormatting sqref="AI21">
    <cfRule type="containsText" dxfId="483" priority="569" operator="containsText" text="⚠">
      <formula>NOT(ISERROR(SEARCH("⚠",AI21)))</formula>
    </cfRule>
  </conditionalFormatting>
  <conditionalFormatting sqref="AH21">
    <cfRule type="expression" dxfId="482" priority="568">
      <formula>LEN(FIND("⚠",AI21))&gt;0</formula>
    </cfRule>
  </conditionalFormatting>
  <conditionalFormatting sqref="AH23 AJ23 AH25:AI26">
    <cfRule type="expression" dxfId="481" priority="567">
      <formula>AH23&lt;&gt;0</formula>
    </cfRule>
  </conditionalFormatting>
  <conditionalFormatting sqref="AH23">
    <cfRule type="expression" dxfId="480" priority="565" stopIfTrue="1">
      <formula>AH23=0</formula>
    </cfRule>
  </conditionalFormatting>
  <conditionalFormatting sqref="AH25:AI26">
    <cfRule type="containsBlanks" dxfId="479" priority="563">
      <formula>LEN(TRIM(AH25))=0</formula>
    </cfRule>
  </conditionalFormatting>
  <conditionalFormatting sqref="AJ23">
    <cfRule type="expression" dxfId="478" priority="564">
      <formula>AH23=0</formula>
    </cfRule>
    <cfRule type="iconSet" priority="566">
      <iconSet>
        <cfvo type="percent" val="0"/>
        <cfvo type="num" val="1"/>
        <cfvo type="num" val="2"/>
      </iconSet>
    </cfRule>
  </conditionalFormatting>
  <conditionalFormatting sqref="AI26">
    <cfRule type="containsText" dxfId="477" priority="562" operator="containsText" text="⚠">
      <formula>NOT(ISERROR(SEARCH("⚠",AI26)))</formula>
    </cfRule>
  </conditionalFormatting>
  <conditionalFormatting sqref="AH26">
    <cfRule type="expression" dxfId="476" priority="561">
      <formula>LEN(FIND("⚠",AI26))&gt;0</formula>
    </cfRule>
  </conditionalFormatting>
  <conditionalFormatting sqref="AH28 AJ28 AH30:AI31">
    <cfRule type="expression" dxfId="475" priority="560">
      <formula>AH28&lt;&gt;0</formula>
    </cfRule>
  </conditionalFormatting>
  <conditionalFormatting sqref="AH28">
    <cfRule type="expression" dxfId="474" priority="558" stopIfTrue="1">
      <formula>AH28=0</formula>
    </cfRule>
  </conditionalFormatting>
  <conditionalFormatting sqref="AH30:AI31">
    <cfRule type="containsBlanks" dxfId="473" priority="556">
      <formula>LEN(TRIM(AH30))=0</formula>
    </cfRule>
  </conditionalFormatting>
  <conditionalFormatting sqref="AJ28">
    <cfRule type="expression" dxfId="472" priority="557">
      <formula>AH28=0</formula>
    </cfRule>
    <cfRule type="iconSet" priority="559">
      <iconSet>
        <cfvo type="percent" val="0"/>
        <cfvo type="num" val="1"/>
        <cfvo type="num" val="2"/>
      </iconSet>
    </cfRule>
  </conditionalFormatting>
  <conditionalFormatting sqref="AI31">
    <cfRule type="containsText" dxfId="471" priority="555" operator="containsText" text="⚠">
      <formula>NOT(ISERROR(SEARCH("⚠",AI31)))</formula>
    </cfRule>
  </conditionalFormatting>
  <conditionalFormatting sqref="AH31">
    <cfRule type="expression" dxfId="470" priority="554">
      <formula>LEN(FIND("⚠",AI31))&gt;0</formula>
    </cfRule>
  </conditionalFormatting>
  <conditionalFormatting sqref="AH33 AJ33 AH35:AI36">
    <cfRule type="expression" dxfId="469" priority="553">
      <formula>AH33&lt;&gt;0</formula>
    </cfRule>
  </conditionalFormatting>
  <conditionalFormatting sqref="AH33">
    <cfRule type="expression" dxfId="468" priority="551" stopIfTrue="1">
      <formula>AH33=0</formula>
    </cfRule>
  </conditionalFormatting>
  <conditionalFormatting sqref="AH35:AI36">
    <cfRule type="containsBlanks" dxfId="467" priority="549">
      <formula>LEN(TRIM(AH35))=0</formula>
    </cfRule>
  </conditionalFormatting>
  <conditionalFormatting sqref="AJ33">
    <cfRule type="expression" dxfId="466" priority="550">
      <formula>AH33=0</formula>
    </cfRule>
    <cfRule type="iconSet" priority="552">
      <iconSet>
        <cfvo type="percent" val="0"/>
        <cfvo type="num" val="1"/>
        <cfvo type="num" val="2"/>
      </iconSet>
    </cfRule>
  </conditionalFormatting>
  <conditionalFormatting sqref="AI36">
    <cfRule type="containsText" dxfId="465" priority="548" operator="containsText" text="⚠">
      <formula>NOT(ISERROR(SEARCH("⚠",AI36)))</formula>
    </cfRule>
  </conditionalFormatting>
  <conditionalFormatting sqref="AH36">
    <cfRule type="expression" dxfId="464" priority="547">
      <formula>LEN(FIND("⚠",AI36))&gt;0</formula>
    </cfRule>
  </conditionalFormatting>
  <conditionalFormatting sqref="AH38 AJ38 AH40:AI41">
    <cfRule type="expression" dxfId="463" priority="546">
      <formula>AH38&lt;&gt;0</formula>
    </cfRule>
  </conditionalFormatting>
  <conditionalFormatting sqref="AH38">
    <cfRule type="expression" dxfId="462" priority="544" stopIfTrue="1">
      <formula>AH38=0</formula>
    </cfRule>
  </conditionalFormatting>
  <conditionalFormatting sqref="AH40:AI41">
    <cfRule type="containsBlanks" dxfId="461" priority="542">
      <formula>LEN(TRIM(AH40))=0</formula>
    </cfRule>
  </conditionalFormatting>
  <conditionalFormatting sqref="AJ38">
    <cfRule type="expression" dxfId="460" priority="543">
      <formula>AH38=0</formula>
    </cfRule>
    <cfRule type="iconSet" priority="545">
      <iconSet>
        <cfvo type="percent" val="0"/>
        <cfvo type="num" val="1"/>
        <cfvo type="num" val="2"/>
      </iconSet>
    </cfRule>
  </conditionalFormatting>
  <conditionalFormatting sqref="AI41">
    <cfRule type="containsText" dxfId="459" priority="541" operator="containsText" text="⚠">
      <formula>NOT(ISERROR(SEARCH("⚠",AI41)))</formula>
    </cfRule>
  </conditionalFormatting>
  <conditionalFormatting sqref="AH41">
    <cfRule type="expression" dxfId="458" priority="540">
      <formula>LEN(FIND("⚠",AI41))&gt;0</formula>
    </cfRule>
  </conditionalFormatting>
  <conditionalFormatting sqref="AH43 AJ43 AH45:AI46">
    <cfRule type="expression" dxfId="457" priority="539">
      <formula>AH43&lt;&gt;0</formula>
    </cfRule>
  </conditionalFormatting>
  <conditionalFormatting sqref="AH43">
    <cfRule type="expression" dxfId="456" priority="537" stopIfTrue="1">
      <formula>AH43=0</formula>
    </cfRule>
  </conditionalFormatting>
  <conditionalFormatting sqref="AH45:AI46">
    <cfRule type="containsBlanks" dxfId="455" priority="535">
      <formula>LEN(TRIM(AH45))=0</formula>
    </cfRule>
  </conditionalFormatting>
  <conditionalFormatting sqref="AJ43">
    <cfRule type="expression" dxfId="454" priority="536">
      <formula>AH43=0</formula>
    </cfRule>
    <cfRule type="iconSet" priority="538">
      <iconSet>
        <cfvo type="percent" val="0"/>
        <cfvo type="num" val="1"/>
        <cfvo type="num" val="2"/>
      </iconSet>
    </cfRule>
  </conditionalFormatting>
  <conditionalFormatting sqref="AI46">
    <cfRule type="containsText" dxfId="453" priority="534" operator="containsText" text="⚠">
      <formula>NOT(ISERROR(SEARCH("⚠",AI46)))</formula>
    </cfRule>
  </conditionalFormatting>
  <conditionalFormatting sqref="AH46">
    <cfRule type="expression" dxfId="452" priority="533">
      <formula>LEN(FIND("⚠",AI46))&gt;0</formula>
    </cfRule>
  </conditionalFormatting>
  <conditionalFormatting sqref="AH48 AJ48 AH50:AI51">
    <cfRule type="expression" dxfId="451" priority="532">
      <formula>AH48&lt;&gt;0</formula>
    </cfRule>
  </conditionalFormatting>
  <conditionalFormatting sqref="AH48">
    <cfRule type="expression" dxfId="450" priority="530" stopIfTrue="1">
      <formula>AH48=0</formula>
    </cfRule>
  </conditionalFormatting>
  <conditionalFormatting sqref="AH50:AI51">
    <cfRule type="containsBlanks" dxfId="449" priority="528">
      <formula>LEN(TRIM(AH50))=0</formula>
    </cfRule>
  </conditionalFormatting>
  <conditionalFormatting sqref="AJ48">
    <cfRule type="expression" dxfId="448" priority="529">
      <formula>AH48=0</formula>
    </cfRule>
    <cfRule type="iconSet" priority="531">
      <iconSet>
        <cfvo type="percent" val="0"/>
        <cfvo type="num" val="1"/>
        <cfvo type="num" val="2"/>
      </iconSet>
    </cfRule>
  </conditionalFormatting>
  <conditionalFormatting sqref="AI51">
    <cfRule type="containsText" dxfId="447" priority="527" operator="containsText" text="⚠">
      <formula>NOT(ISERROR(SEARCH("⚠",AI51)))</formula>
    </cfRule>
  </conditionalFormatting>
  <conditionalFormatting sqref="AH51">
    <cfRule type="expression" dxfId="446" priority="526">
      <formula>LEN(FIND("⚠",AI51))&gt;0</formula>
    </cfRule>
  </conditionalFormatting>
  <conditionalFormatting sqref="AH53 AJ53 AH55:AI56">
    <cfRule type="expression" dxfId="445" priority="525">
      <formula>AH53&lt;&gt;0</formula>
    </cfRule>
  </conditionalFormatting>
  <conditionalFormatting sqref="AH53">
    <cfRule type="expression" dxfId="444" priority="523" stopIfTrue="1">
      <formula>AH53=0</formula>
    </cfRule>
  </conditionalFormatting>
  <conditionalFormatting sqref="AH55:AI56">
    <cfRule type="containsBlanks" dxfId="443" priority="521">
      <formula>LEN(TRIM(AH55))=0</formula>
    </cfRule>
  </conditionalFormatting>
  <conditionalFormatting sqref="AJ53">
    <cfRule type="expression" dxfId="442" priority="522">
      <formula>AH53=0</formula>
    </cfRule>
    <cfRule type="iconSet" priority="524">
      <iconSet>
        <cfvo type="percent" val="0"/>
        <cfvo type="num" val="1"/>
        <cfvo type="num" val="2"/>
      </iconSet>
    </cfRule>
  </conditionalFormatting>
  <conditionalFormatting sqref="AI56">
    <cfRule type="containsText" dxfId="441" priority="520" operator="containsText" text="⚠">
      <formula>NOT(ISERROR(SEARCH("⚠",AI56)))</formula>
    </cfRule>
  </conditionalFormatting>
  <conditionalFormatting sqref="AH56">
    <cfRule type="expression" dxfId="440" priority="519">
      <formula>LEN(FIND("⚠",AI56))&gt;0</formula>
    </cfRule>
  </conditionalFormatting>
  <conditionalFormatting sqref="AH58 AJ58 AH60:AI61">
    <cfRule type="expression" dxfId="439" priority="518">
      <formula>AH58&lt;&gt;0</formula>
    </cfRule>
  </conditionalFormatting>
  <conditionalFormatting sqref="AH58">
    <cfRule type="expression" dxfId="438" priority="516" stopIfTrue="1">
      <formula>AH58=0</formula>
    </cfRule>
  </conditionalFormatting>
  <conditionalFormatting sqref="AH60:AI61">
    <cfRule type="containsBlanks" dxfId="437" priority="514">
      <formula>LEN(TRIM(AH60))=0</formula>
    </cfRule>
  </conditionalFormatting>
  <conditionalFormatting sqref="AJ58">
    <cfRule type="expression" dxfId="436" priority="515">
      <formula>AH58=0</formula>
    </cfRule>
    <cfRule type="iconSet" priority="517">
      <iconSet>
        <cfvo type="percent" val="0"/>
        <cfvo type="num" val="1"/>
        <cfvo type="num" val="2"/>
      </iconSet>
    </cfRule>
  </conditionalFormatting>
  <conditionalFormatting sqref="AI61">
    <cfRule type="containsText" dxfId="435" priority="513" operator="containsText" text="⚠">
      <formula>NOT(ISERROR(SEARCH("⚠",AI61)))</formula>
    </cfRule>
  </conditionalFormatting>
  <conditionalFormatting sqref="AH61">
    <cfRule type="expression" dxfId="434" priority="512">
      <formula>LEN(FIND("⚠",AI61))&gt;0</formula>
    </cfRule>
  </conditionalFormatting>
  <conditionalFormatting sqref="AH63 AJ63 AH65:AI66">
    <cfRule type="expression" dxfId="433" priority="511">
      <formula>AH63&lt;&gt;0</formula>
    </cfRule>
  </conditionalFormatting>
  <conditionalFormatting sqref="AH63">
    <cfRule type="expression" dxfId="432" priority="509" stopIfTrue="1">
      <formula>AH63=0</formula>
    </cfRule>
  </conditionalFormatting>
  <conditionalFormatting sqref="AH65:AI66">
    <cfRule type="containsBlanks" dxfId="431" priority="507">
      <formula>LEN(TRIM(AH65))=0</formula>
    </cfRule>
  </conditionalFormatting>
  <conditionalFormatting sqref="AJ63">
    <cfRule type="expression" dxfId="430" priority="508">
      <formula>AH63=0</formula>
    </cfRule>
    <cfRule type="iconSet" priority="510">
      <iconSet>
        <cfvo type="percent" val="0"/>
        <cfvo type="num" val="1"/>
        <cfvo type="num" val="2"/>
      </iconSet>
    </cfRule>
  </conditionalFormatting>
  <conditionalFormatting sqref="AI66">
    <cfRule type="containsText" dxfId="429" priority="506" operator="containsText" text="⚠">
      <formula>NOT(ISERROR(SEARCH("⚠",AI66)))</formula>
    </cfRule>
  </conditionalFormatting>
  <conditionalFormatting sqref="AH66">
    <cfRule type="expression" dxfId="428" priority="505">
      <formula>LEN(FIND("⚠",AI66))&gt;0</formula>
    </cfRule>
  </conditionalFormatting>
  <conditionalFormatting sqref="AH68 AJ68 AH70:AI71">
    <cfRule type="expression" dxfId="427" priority="504">
      <formula>AH68&lt;&gt;0</formula>
    </cfRule>
  </conditionalFormatting>
  <conditionalFormatting sqref="AH68">
    <cfRule type="expression" dxfId="426" priority="502" stopIfTrue="1">
      <formula>AH68=0</formula>
    </cfRule>
  </conditionalFormatting>
  <conditionalFormatting sqref="AH70:AI71">
    <cfRule type="containsBlanks" dxfId="425" priority="500">
      <formula>LEN(TRIM(AH70))=0</formula>
    </cfRule>
  </conditionalFormatting>
  <conditionalFormatting sqref="AJ68">
    <cfRule type="expression" dxfId="424" priority="501">
      <formula>AH68=0</formula>
    </cfRule>
    <cfRule type="iconSet" priority="503">
      <iconSet>
        <cfvo type="percent" val="0"/>
        <cfvo type="num" val="1"/>
        <cfvo type="num" val="2"/>
      </iconSet>
    </cfRule>
  </conditionalFormatting>
  <conditionalFormatting sqref="AI71">
    <cfRule type="containsText" dxfId="423" priority="499" operator="containsText" text="⚠">
      <formula>NOT(ISERROR(SEARCH("⚠",AI71)))</formula>
    </cfRule>
  </conditionalFormatting>
  <conditionalFormatting sqref="AH71">
    <cfRule type="expression" dxfId="422" priority="498">
      <formula>LEN(FIND("⚠",AI71))&gt;0</formula>
    </cfRule>
  </conditionalFormatting>
  <conditionalFormatting sqref="AH73 AJ73 AH75:AI76">
    <cfRule type="expression" dxfId="421" priority="497">
      <formula>AH73&lt;&gt;0</formula>
    </cfRule>
  </conditionalFormatting>
  <conditionalFormatting sqref="AH73">
    <cfRule type="expression" dxfId="420" priority="495" stopIfTrue="1">
      <formula>AH73=0</formula>
    </cfRule>
  </conditionalFormatting>
  <conditionalFormatting sqref="AH75:AI76">
    <cfRule type="containsBlanks" dxfId="419" priority="493">
      <formula>LEN(TRIM(AH75))=0</formula>
    </cfRule>
  </conditionalFormatting>
  <conditionalFormatting sqref="AJ73">
    <cfRule type="expression" dxfId="418" priority="494">
      <formula>AH73=0</formula>
    </cfRule>
    <cfRule type="iconSet" priority="496">
      <iconSet>
        <cfvo type="percent" val="0"/>
        <cfvo type="num" val="1"/>
        <cfvo type="num" val="2"/>
      </iconSet>
    </cfRule>
  </conditionalFormatting>
  <conditionalFormatting sqref="AI76">
    <cfRule type="containsText" dxfId="417" priority="492" operator="containsText" text="⚠">
      <formula>NOT(ISERROR(SEARCH("⚠",AI76)))</formula>
    </cfRule>
  </conditionalFormatting>
  <conditionalFormatting sqref="AH76">
    <cfRule type="expression" dxfId="416" priority="491">
      <formula>LEN(FIND("⚠",AI76))&gt;0</formula>
    </cfRule>
  </conditionalFormatting>
  <conditionalFormatting sqref="AH78 AJ78 AH80:AI81">
    <cfRule type="expression" dxfId="415" priority="490">
      <formula>AH78&lt;&gt;0</formula>
    </cfRule>
  </conditionalFormatting>
  <conditionalFormatting sqref="AH78">
    <cfRule type="expression" dxfId="414" priority="488" stopIfTrue="1">
      <formula>AH78=0</formula>
    </cfRule>
  </conditionalFormatting>
  <conditionalFormatting sqref="AH80:AI81">
    <cfRule type="containsBlanks" dxfId="413" priority="486">
      <formula>LEN(TRIM(AH80))=0</formula>
    </cfRule>
  </conditionalFormatting>
  <conditionalFormatting sqref="AJ78">
    <cfRule type="expression" dxfId="412" priority="487">
      <formula>AH78=0</formula>
    </cfRule>
    <cfRule type="iconSet" priority="489">
      <iconSet>
        <cfvo type="percent" val="0"/>
        <cfvo type="num" val="1"/>
        <cfvo type="num" val="2"/>
      </iconSet>
    </cfRule>
  </conditionalFormatting>
  <conditionalFormatting sqref="AI81">
    <cfRule type="containsText" dxfId="411" priority="485" operator="containsText" text="⚠">
      <formula>NOT(ISERROR(SEARCH("⚠",AI81)))</formula>
    </cfRule>
  </conditionalFormatting>
  <conditionalFormatting sqref="AH81">
    <cfRule type="expression" dxfId="410" priority="484">
      <formula>LEN(FIND("⚠",AI81))&gt;0</formula>
    </cfRule>
  </conditionalFormatting>
  <conditionalFormatting sqref="AH83 AJ83 AH85:AI86">
    <cfRule type="expression" dxfId="409" priority="483">
      <formula>AH83&lt;&gt;0</formula>
    </cfRule>
  </conditionalFormatting>
  <conditionalFormatting sqref="AH83">
    <cfRule type="expression" dxfId="408" priority="481" stopIfTrue="1">
      <formula>AH83=0</formula>
    </cfRule>
  </conditionalFormatting>
  <conditionalFormatting sqref="AH85:AI86">
    <cfRule type="containsBlanks" dxfId="407" priority="479">
      <formula>LEN(TRIM(AH85))=0</formula>
    </cfRule>
  </conditionalFormatting>
  <conditionalFormatting sqref="AJ83">
    <cfRule type="expression" dxfId="406" priority="480">
      <formula>AH83=0</formula>
    </cfRule>
    <cfRule type="iconSet" priority="482">
      <iconSet>
        <cfvo type="percent" val="0"/>
        <cfvo type="num" val="1"/>
        <cfvo type="num" val="2"/>
      </iconSet>
    </cfRule>
  </conditionalFormatting>
  <conditionalFormatting sqref="AI86">
    <cfRule type="containsText" dxfId="405" priority="478" operator="containsText" text="⚠">
      <formula>NOT(ISERROR(SEARCH("⚠",AI86)))</formula>
    </cfRule>
  </conditionalFormatting>
  <conditionalFormatting sqref="AH86">
    <cfRule type="expression" dxfId="404" priority="477">
      <formula>LEN(FIND("⚠",AI86))&gt;0</formula>
    </cfRule>
  </conditionalFormatting>
  <conditionalFormatting sqref="AH88 AJ88 AH90:AI91">
    <cfRule type="expression" dxfId="403" priority="476">
      <formula>AH88&lt;&gt;0</formula>
    </cfRule>
  </conditionalFormatting>
  <conditionalFormatting sqref="AH88">
    <cfRule type="expression" dxfId="402" priority="474" stopIfTrue="1">
      <formula>AH88=0</formula>
    </cfRule>
  </conditionalFormatting>
  <conditionalFormatting sqref="AH90:AI91">
    <cfRule type="containsBlanks" dxfId="401" priority="472">
      <formula>LEN(TRIM(AH90))=0</formula>
    </cfRule>
  </conditionalFormatting>
  <conditionalFormatting sqref="AJ88">
    <cfRule type="expression" dxfId="400" priority="473">
      <formula>AH88=0</formula>
    </cfRule>
    <cfRule type="iconSet" priority="475">
      <iconSet>
        <cfvo type="percent" val="0"/>
        <cfvo type="num" val="1"/>
        <cfvo type="num" val="2"/>
      </iconSet>
    </cfRule>
  </conditionalFormatting>
  <conditionalFormatting sqref="AI91">
    <cfRule type="containsText" dxfId="399" priority="471" operator="containsText" text="⚠">
      <formula>NOT(ISERROR(SEARCH("⚠",AI91)))</formula>
    </cfRule>
  </conditionalFormatting>
  <conditionalFormatting sqref="AH91">
    <cfRule type="expression" dxfId="398" priority="470">
      <formula>LEN(FIND("⚠",AI91))&gt;0</formula>
    </cfRule>
  </conditionalFormatting>
  <conditionalFormatting sqref="AH93 AJ93 AH95:AI96">
    <cfRule type="expression" dxfId="397" priority="469">
      <formula>AH93&lt;&gt;0</formula>
    </cfRule>
  </conditionalFormatting>
  <conditionalFormatting sqref="AH93">
    <cfRule type="expression" dxfId="396" priority="467" stopIfTrue="1">
      <formula>AH93=0</formula>
    </cfRule>
  </conditionalFormatting>
  <conditionalFormatting sqref="AH95:AI96">
    <cfRule type="containsBlanks" dxfId="395" priority="465">
      <formula>LEN(TRIM(AH95))=0</formula>
    </cfRule>
  </conditionalFormatting>
  <conditionalFormatting sqref="AJ93">
    <cfRule type="expression" dxfId="394" priority="466">
      <formula>AH93=0</formula>
    </cfRule>
    <cfRule type="iconSet" priority="468">
      <iconSet>
        <cfvo type="percent" val="0"/>
        <cfvo type="num" val="1"/>
        <cfvo type="num" val="2"/>
      </iconSet>
    </cfRule>
  </conditionalFormatting>
  <conditionalFormatting sqref="AI96">
    <cfRule type="containsText" dxfId="393" priority="464" operator="containsText" text="⚠">
      <formula>NOT(ISERROR(SEARCH("⚠",AI96)))</formula>
    </cfRule>
  </conditionalFormatting>
  <conditionalFormatting sqref="AH96">
    <cfRule type="expression" dxfId="392" priority="463">
      <formula>LEN(FIND("⚠",AI96))&gt;0</formula>
    </cfRule>
  </conditionalFormatting>
  <conditionalFormatting sqref="AH98 AJ98 AH100:AI101">
    <cfRule type="expression" dxfId="391" priority="462">
      <formula>AH98&lt;&gt;0</formula>
    </cfRule>
  </conditionalFormatting>
  <conditionalFormatting sqref="AH98">
    <cfRule type="expression" dxfId="390" priority="460" stopIfTrue="1">
      <formula>AH98=0</formula>
    </cfRule>
  </conditionalFormatting>
  <conditionalFormatting sqref="AH100:AI101">
    <cfRule type="containsBlanks" dxfId="389" priority="458">
      <formula>LEN(TRIM(AH100))=0</formula>
    </cfRule>
  </conditionalFormatting>
  <conditionalFormatting sqref="AJ98">
    <cfRule type="expression" dxfId="388" priority="459">
      <formula>AH98=0</formula>
    </cfRule>
    <cfRule type="iconSet" priority="461">
      <iconSet>
        <cfvo type="percent" val="0"/>
        <cfvo type="num" val="1"/>
        <cfvo type="num" val="2"/>
      </iconSet>
    </cfRule>
  </conditionalFormatting>
  <conditionalFormatting sqref="AI101">
    <cfRule type="containsText" dxfId="387" priority="457" operator="containsText" text="⚠">
      <formula>NOT(ISERROR(SEARCH("⚠",AI101)))</formula>
    </cfRule>
  </conditionalFormatting>
  <conditionalFormatting sqref="AH101">
    <cfRule type="expression" dxfId="386" priority="456">
      <formula>LEN(FIND("⚠",AI101))&gt;0</formula>
    </cfRule>
  </conditionalFormatting>
  <conditionalFormatting sqref="AH103 AJ103 AH105:AI106">
    <cfRule type="expression" dxfId="385" priority="455">
      <formula>AH103&lt;&gt;0</formula>
    </cfRule>
  </conditionalFormatting>
  <conditionalFormatting sqref="AH103">
    <cfRule type="expression" dxfId="384" priority="453" stopIfTrue="1">
      <formula>AH103=0</formula>
    </cfRule>
  </conditionalFormatting>
  <conditionalFormatting sqref="AH105:AI106">
    <cfRule type="containsBlanks" dxfId="383" priority="451">
      <formula>LEN(TRIM(AH105))=0</formula>
    </cfRule>
  </conditionalFormatting>
  <conditionalFormatting sqref="AJ103">
    <cfRule type="expression" dxfId="382" priority="452">
      <formula>AH103=0</formula>
    </cfRule>
    <cfRule type="iconSet" priority="454">
      <iconSet>
        <cfvo type="percent" val="0"/>
        <cfvo type="num" val="1"/>
        <cfvo type="num" val="2"/>
      </iconSet>
    </cfRule>
  </conditionalFormatting>
  <conditionalFormatting sqref="AI106">
    <cfRule type="containsText" dxfId="381" priority="450" operator="containsText" text="⚠">
      <formula>NOT(ISERROR(SEARCH("⚠",AI106)))</formula>
    </cfRule>
  </conditionalFormatting>
  <conditionalFormatting sqref="AH106">
    <cfRule type="expression" dxfId="380" priority="449">
      <formula>LEN(FIND("⚠",AI106))&gt;0</formula>
    </cfRule>
  </conditionalFormatting>
  <conditionalFormatting sqref="AH108 AJ108 AH110:AI111">
    <cfRule type="expression" dxfId="379" priority="448">
      <formula>AH108&lt;&gt;0</formula>
    </cfRule>
  </conditionalFormatting>
  <conditionalFormatting sqref="AH108">
    <cfRule type="expression" dxfId="378" priority="446" stopIfTrue="1">
      <formula>AH108=0</formula>
    </cfRule>
  </conditionalFormatting>
  <conditionalFormatting sqref="AH110:AI111">
    <cfRule type="containsBlanks" dxfId="377" priority="444">
      <formula>LEN(TRIM(AH110))=0</formula>
    </cfRule>
  </conditionalFormatting>
  <conditionalFormatting sqref="AJ108">
    <cfRule type="expression" dxfId="376" priority="445">
      <formula>AH108=0</formula>
    </cfRule>
    <cfRule type="iconSet" priority="447">
      <iconSet>
        <cfvo type="percent" val="0"/>
        <cfvo type="num" val="1"/>
        <cfvo type="num" val="2"/>
      </iconSet>
    </cfRule>
  </conditionalFormatting>
  <conditionalFormatting sqref="AI111">
    <cfRule type="containsText" dxfId="375" priority="443" operator="containsText" text="⚠">
      <formula>NOT(ISERROR(SEARCH("⚠",AI111)))</formula>
    </cfRule>
  </conditionalFormatting>
  <conditionalFormatting sqref="AH111">
    <cfRule type="expression" dxfId="374" priority="442">
      <formula>LEN(FIND("⚠",AI111))&gt;0</formula>
    </cfRule>
  </conditionalFormatting>
  <conditionalFormatting sqref="AN8 AP8 AN10:AO11">
    <cfRule type="expression" dxfId="373" priority="441">
      <formula>AN8&lt;&gt;0</formula>
    </cfRule>
  </conditionalFormatting>
  <conditionalFormatting sqref="AN8">
    <cfRule type="expression" dxfId="372" priority="439" stopIfTrue="1">
      <formula>AN8=0</formula>
    </cfRule>
  </conditionalFormatting>
  <conditionalFormatting sqref="AN10:AO11">
    <cfRule type="containsBlanks" dxfId="371" priority="437">
      <formula>LEN(TRIM(AN10))=0</formula>
    </cfRule>
  </conditionalFormatting>
  <conditionalFormatting sqref="AP8">
    <cfRule type="expression" dxfId="370" priority="438">
      <formula>AN8=0</formula>
    </cfRule>
    <cfRule type="iconSet" priority="440">
      <iconSet>
        <cfvo type="percent" val="0"/>
        <cfvo type="num" val="1"/>
        <cfvo type="num" val="2"/>
      </iconSet>
    </cfRule>
  </conditionalFormatting>
  <conditionalFormatting sqref="AO11">
    <cfRule type="containsText" dxfId="369" priority="436" operator="containsText" text="⚠">
      <formula>NOT(ISERROR(SEARCH("⚠",AO11)))</formula>
    </cfRule>
  </conditionalFormatting>
  <conditionalFormatting sqref="AN11">
    <cfRule type="expression" dxfId="368" priority="435">
      <formula>LEN(FIND("⚠",AO11))&gt;0</formula>
    </cfRule>
  </conditionalFormatting>
  <conditionalFormatting sqref="AN13 AP13 AN15:AO16">
    <cfRule type="expression" dxfId="367" priority="434">
      <formula>AN13&lt;&gt;0</formula>
    </cfRule>
  </conditionalFormatting>
  <conditionalFormatting sqref="AN13">
    <cfRule type="expression" dxfId="366" priority="432" stopIfTrue="1">
      <formula>AN13=0</formula>
    </cfRule>
  </conditionalFormatting>
  <conditionalFormatting sqref="AN15:AO16">
    <cfRule type="containsBlanks" dxfId="365" priority="430">
      <formula>LEN(TRIM(AN15))=0</formula>
    </cfRule>
  </conditionalFormatting>
  <conditionalFormatting sqref="AP13">
    <cfRule type="expression" dxfId="364" priority="431">
      <formula>AN13=0</formula>
    </cfRule>
    <cfRule type="iconSet" priority="433">
      <iconSet>
        <cfvo type="percent" val="0"/>
        <cfvo type="num" val="1"/>
        <cfvo type="num" val="2"/>
      </iconSet>
    </cfRule>
  </conditionalFormatting>
  <conditionalFormatting sqref="AO16">
    <cfRule type="containsText" dxfId="363" priority="429" operator="containsText" text="⚠">
      <formula>NOT(ISERROR(SEARCH("⚠",AO16)))</formula>
    </cfRule>
  </conditionalFormatting>
  <conditionalFormatting sqref="AN16">
    <cfRule type="expression" dxfId="362" priority="428">
      <formula>LEN(FIND("⚠",AO16))&gt;0</formula>
    </cfRule>
  </conditionalFormatting>
  <conditionalFormatting sqref="AN18 AP18 AN20:AO21">
    <cfRule type="expression" dxfId="361" priority="427">
      <formula>AN18&lt;&gt;0</formula>
    </cfRule>
  </conditionalFormatting>
  <conditionalFormatting sqref="AN18">
    <cfRule type="expression" dxfId="360" priority="425" stopIfTrue="1">
      <formula>AN18=0</formula>
    </cfRule>
  </conditionalFormatting>
  <conditionalFormatting sqref="AN20:AO21">
    <cfRule type="containsBlanks" dxfId="359" priority="423">
      <formula>LEN(TRIM(AN20))=0</formula>
    </cfRule>
  </conditionalFormatting>
  <conditionalFormatting sqref="AP18">
    <cfRule type="expression" dxfId="358" priority="424">
      <formula>AN18=0</formula>
    </cfRule>
    <cfRule type="iconSet" priority="426">
      <iconSet>
        <cfvo type="percent" val="0"/>
        <cfvo type="num" val="1"/>
        <cfvo type="num" val="2"/>
      </iconSet>
    </cfRule>
  </conditionalFormatting>
  <conditionalFormatting sqref="AO21">
    <cfRule type="containsText" dxfId="357" priority="422" operator="containsText" text="⚠">
      <formula>NOT(ISERROR(SEARCH("⚠",AO21)))</formula>
    </cfRule>
  </conditionalFormatting>
  <conditionalFormatting sqref="AN21">
    <cfRule type="expression" dxfId="356" priority="421">
      <formula>LEN(FIND("⚠",AO21))&gt;0</formula>
    </cfRule>
  </conditionalFormatting>
  <conditionalFormatting sqref="AN23 AP23 AN25:AO26">
    <cfRule type="expression" dxfId="355" priority="420">
      <formula>AN23&lt;&gt;0</formula>
    </cfRule>
  </conditionalFormatting>
  <conditionalFormatting sqref="AN23">
    <cfRule type="expression" dxfId="354" priority="418" stopIfTrue="1">
      <formula>AN23=0</formula>
    </cfRule>
  </conditionalFormatting>
  <conditionalFormatting sqref="AN25:AO26">
    <cfRule type="containsBlanks" dxfId="353" priority="416">
      <formula>LEN(TRIM(AN25))=0</formula>
    </cfRule>
  </conditionalFormatting>
  <conditionalFormatting sqref="AP23">
    <cfRule type="expression" dxfId="352" priority="417">
      <formula>AN23=0</formula>
    </cfRule>
    <cfRule type="iconSet" priority="419">
      <iconSet>
        <cfvo type="percent" val="0"/>
        <cfvo type="num" val="1"/>
        <cfvo type="num" val="2"/>
      </iconSet>
    </cfRule>
  </conditionalFormatting>
  <conditionalFormatting sqref="AO26">
    <cfRule type="containsText" dxfId="351" priority="415" operator="containsText" text="⚠">
      <formula>NOT(ISERROR(SEARCH("⚠",AO26)))</formula>
    </cfRule>
  </conditionalFormatting>
  <conditionalFormatting sqref="AN26">
    <cfRule type="expression" dxfId="350" priority="414">
      <formula>LEN(FIND("⚠",AO26))&gt;0</formula>
    </cfRule>
  </conditionalFormatting>
  <conditionalFormatting sqref="AN28 AP28 AN30:AO31">
    <cfRule type="expression" dxfId="349" priority="413">
      <formula>AN28&lt;&gt;0</formula>
    </cfRule>
  </conditionalFormatting>
  <conditionalFormatting sqref="AN28">
    <cfRule type="expression" dxfId="348" priority="411" stopIfTrue="1">
      <formula>AN28=0</formula>
    </cfRule>
  </conditionalFormatting>
  <conditionalFormatting sqref="AN30:AO31">
    <cfRule type="containsBlanks" dxfId="347" priority="409">
      <formula>LEN(TRIM(AN30))=0</formula>
    </cfRule>
  </conditionalFormatting>
  <conditionalFormatting sqref="AP28">
    <cfRule type="expression" dxfId="346" priority="410">
      <formula>AN28=0</formula>
    </cfRule>
    <cfRule type="iconSet" priority="412">
      <iconSet>
        <cfvo type="percent" val="0"/>
        <cfvo type="num" val="1"/>
        <cfvo type="num" val="2"/>
      </iconSet>
    </cfRule>
  </conditionalFormatting>
  <conditionalFormatting sqref="AO31">
    <cfRule type="containsText" dxfId="345" priority="408" operator="containsText" text="⚠">
      <formula>NOT(ISERROR(SEARCH("⚠",AO31)))</formula>
    </cfRule>
  </conditionalFormatting>
  <conditionalFormatting sqref="AN31">
    <cfRule type="expression" dxfId="344" priority="407">
      <formula>LEN(FIND("⚠",AO31))&gt;0</formula>
    </cfRule>
  </conditionalFormatting>
  <conditionalFormatting sqref="AN33 AP33 AN35:AO36">
    <cfRule type="expression" dxfId="343" priority="406">
      <formula>AN33&lt;&gt;0</formula>
    </cfRule>
  </conditionalFormatting>
  <conditionalFormatting sqref="AN33">
    <cfRule type="expression" dxfId="342" priority="404" stopIfTrue="1">
      <formula>AN33=0</formula>
    </cfRule>
  </conditionalFormatting>
  <conditionalFormatting sqref="AN35:AO36">
    <cfRule type="containsBlanks" dxfId="341" priority="402">
      <formula>LEN(TRIM(AN35))=0</formula>
    </cfRule>
  </conditionalFormatting>
  <conditionalFormatting sqref="AP33">
    <cfRule type="expression" dxfId="340" priority="403">
      <formula>AN33=0</formula>
    </cfRule>
    <cfRule type="iconSet" priority="405">
      <iconSet>
        <cfvo type="percent" val="0"/>
        <cfvo type="num" val="1"/>
        <cfvo type="num" val="2"/>
      </iconSet>
    </cfRule>
  </conditionalFormatting>
  <conditionalFormatting sqref="AO36">
    <cfRule type="containsText" dxfId="339" priority="401" operator="containsText" text="⚠">
      <formula>NOT(ISERROR(SEARCH("⚠",AO36)))</formula>
    </cfRule>
  </conditionalFormatting>
  <conditionalFormatting sqref="AN36">
    <cfRule type="expression" dxfId="338" priority="400">
      <formula>LEN(FIND("⚠",AO36))&gt;0</formula>
    </cfRule>
  </conditionalFormatting>
  <conditionalFormatting sqref="AN38 AP38 AN40:AO41">
    <cfRule type="expression" dxfId="337" priority="399">
      <formula>AN38&lt;&gt;0</formula>
    </cfRule>
  </conditionalFormatting>
  <conditionalFormatting sqref="AN38">
    <cfRule type="expression" dxfId="336" priority="397" stopIfTrue="1">
      <formula>AN38=0</formula>
    </cfRule>
  </conditionalFormatting>
  <conditionalFormatting sqref="AN40:AO41">
    <cfRule type="containsBlanks" dxfId="335" priority="395">
      <formula>LEN(TRIM(AN40))=0</formula>
    </cfRule>
  </conditionalFormatting>
  <conditionalFormatting sqref="AP38">
    <cfRule type="expression" dxfId="334" priority="396">
      <formula>AN38=0</formula>
    </cfRule>
    <cfRule type="iconSet" priority="398">
      <iconSet>
        <cfvo type="percent" val="0"/>
        <cfvo type="num" val="1"/>
        <cfvo type="num" val="2"/>
      </iconSet>
    </cfRule>
  </conditionalFormatting>
  <conditionalFormatting sqref="AO41">
    <cfRule type="containsText" dxfId="333" priority="394" operator="containsText" text="⚠">
      <formula>NOT(ISERROR(SEARCH("⚠",AO41)))</formula>
    </cfRule>
  </conditionalFormatting>
  <conditionalFormatting sqref="AN41">
    <cfRule type="expression" dxfId="332" priority="393">
      <formula>LEN(FIND("⚠",AO41))&gt;0</formula>
    </cfRule>
  </conditionalFormatting>
  <conditionalFormatting sqref="AN43 AP43 AN45:AO46">
    <cfRule type="expression" dxfId="331" priority="392">
      <formula>AN43&lt;&gt;0</formula>
    </cfRule>
  </conditionalFormatting>
  <conditionalFormatting sqref="AN43">
    <cfRule type="expression" dxfId="330" priority="390" stopIfTrue="1">
      <formula>AN43=0</formula>
    </cfRule>
  </conditionalFormatting>
  <conditionalFormatting sqref="AN45:AO46">
    <cfRule type="containsBlanks" dxfId="329" priority="388">
      <formula>LEN(TRIM(AN45))=0</formula>
    </cfRule>
  </conditionalFormatting>
  <conditionalFormatting sqref="AP43">
    <cfRule type="expression" dxfId="328" priority="389">
      <formula>AN43=0</formula>
    </cfRule>
    <cfRule type="iconSet" priority="391">
      <iconSet>
        <cfvo type="percent" val="0"/>
        <cfvo type="num" val="1"/>
        <cfvo type="num" val="2"/>
      </iconSet>
    </cfRule>
  </conditionalFormatting>
  <conditionalFormatting sqref="AO46">
    <cfRule type="containsText" dxfId="327" priority="387" operator="containsText" text="⚠">
      <formula>NOT(ISERROR(SEARCH("⚠",AO46)))</formula>
    </cfRule>
  </conditionalFormatting>
  <conditionalFormatting sqref="AN46">
    <cfRule type="expression" dxfId="326" priority="386">
      <formula>LEN(FIND("⚠",AO46))&gt;0</formula>
    </cfRule>
  </conditionalFormatting>
  <conditionalFormatting sqref="AN48 AP48 AN50:AO51">
    <cfRule type="expression" dxfId="325" priority="385">
      <formula>AN48&lt;&gt;0</formula>
    </cfRule>
  </conditionalFormatting>
  <conditionalFormatting sqref="AN48">
    <cfRule type="expression" dxfId="324" priority="383" stopIfTrue="1">
      <formula>AN48=0</formula>
    </cfRule>
  </conditionalFormatting>
  <conditionalFormatting sqref="AN50:AO51">
    <cfRule type="containsBlanks" dxfId="323" priority="381">
      <formula>LEN(TRIM(AN50))=0</formula>
    </cfRule>
  </conditionalFormatting>
  <conditionalFormatting sqref="AP48">
    <cfRule type="expression" dxfId="322" priority="382">
      <formula>AN48=0</formula>
    </cfRule>
    <cfRule type="iconSet" priority="384">
      <iconSet>
        <cfvo type="percent" val="0"/>
        <cfvo type="num" val="1"/>
        <cfvo type="num" val="2"/>
      </iconSet>
    </cfRule>
  </conditionalFormatting>
  <conditionalFormatting sqref="AO51">
    <cfRule type="containsText" dxfId="321" priority="380" operator="containsText" text="⚠">
      <formula>NOT(ISERROR(SEARCH("⚠",AO51)))</formula>
    </cfRule>
  </conditionalFormatting>
  <conditionalFormatting sqref="AN51">
    <cfRule type="expression" dxfId="320" priority="379">
      <formula>LEN(FIND("⚠",AO51))&gt;0</formula>
    </cfRule>
  </conditionalFormatting>
  <conditionalFormatting sqref="AN53 AP53 AN55:AO56">
    <cfRule type="expression" dxfId="319" priority="378">
      <formula>AN53&lt;&gt;0</formula>
    </cfRule>
  </conditionalFormatting>
  <conditionalFormatting sqref="AN53">
    <cfRule type="expression" dxfId="318" priority="376" stopIfTrue="1">
      <formula>AN53=0</formula>
    </cfRule>
  </conditionalFormatting>
  <conditionalFormatting sqref="AN55:AO56">
    <cfRule type="containsBlanks" dxfId="317" priority="374">
      <formula>LEN(TRIM(AN55))=0</formula>
    </cfRule>
  </conditionalFormatting>
  <conditionalFormatting sqref="AP53">
    <cfRule type="expression" dxfId="316" priority="375">
      <formula>AN53=0</formula>
    </cfRule>
    <cfRule type="iconSet" priority="377">
      <iconSet>
        <cfvo type="percent" val="0"/>
        <cfvo type="num" val="1"/>
        <cfvo type="num" val="2"/>
      </iconSet>
    </cfRule>
  </conditionalFormatting>
  <conditionalFormatting sqref="AO56">
    <cfRule type="containsText" dxfId="315" priority="373" operator="containsText" text="⚠">
      <formula>NOT(ISERROR(SEARCH("⚠",AO56)))</formula>
    </cfRule>
  </conditionalFormatting>
  <conditionalFormatting sqref="AN56">
    <cfRule type="expression" dxfId="314" priority="372">
      <formula>LEN(FIND("⚠",AO56))&gt;0</formula>
    </cfRule>
  </conditionalFormatting>
  <conditionalFormatting sqref="AN58 AP58 AN60:AO61">
    <cfRule type="expression" dxfId="313" priority="371">
      <formula>AN58&lt;&gt;0</formula>
    </cfRule>
  </conditionalFormatting>
  <conditionalFormatting sqref="AN58">
    <cfRule type="expression" dxfId="312" priority="369" stopIfTrue="1">
      <formula>AN58=0</formula>
    </cfRule>
  </conditionalFormatting>
  <conditionalFormatting sqref="AN60:AO61">
    <cfRule type="containsBlanks" dxfId="311" priority="367">
      <formula>LEN(TRIM(AN60))=0</formula>
    </cfRule>
  </conditionalFormatting>
  <conditionalFormatting sqref="AP58">
    <cfRule type="expression" dxfId="310" priority="368">
      <formula>AN58=0</formula>
    </cfRule>
    <cfRule type="iconSet" priority="370">
      <iconSet>
        <cfvo type="percent" val="0"/>
        <cfvo type="num" val="1"/>
        <cfvo type="num" val="2"/>
      </iconSet>
    </cfRule>
  </conditionalFormatting>
  <conditionalFormatting sqref="AO61">
    <cfRule type="containsText" dxfId="309" priority="366" operator="containsText" text="⚠">
      <formula>NOT(ISERROR(SEARCH("⚠",AO61)))</formula>
    </cfRule>
  </conditionalFormatting>
  <conditionalFormatting sqref="AN61">
    <cfRule type="expression" dxfId="308" priority="365">
      <formula>LEN(FIND("⚠",AO61))&gt;0</formula>
    </cfRule>
  </conditionalFormatting>
  <conditionalFormatting sqref="AN63 AP63 AN65:AO66">
    <cfRule type="expression" dxfId="307" priority="364">
      <formula>AN63&lt;&gt;0</formula>
    </cfRule>
  </conditionalFormatting>
  <conditionalFormatting sqref="AN63">
    <cfRule type="expression" dxfId="306" priority="362" stopIfTrue="1">
      <formula>AN63=0</formula>
    </cfRule>
  </conditionalFormatting>
  <conditionalFormatting sqref="AN65:AO66">
    <cfRule type="containsBlanks" dxfId="305" priority="360">
      <formula>LEN(TRIM(AN65))=0</formula>
    </cfRule>
  </conditionalFormatting>
  <conditionalFormatting sqref="AP63">
    <cfRule type="expression" dxfId="304" priority="361">
      <formula>AN63=0</formula>
    </cfRule>
    <cfRule type="iconSet" priority="363">
      <iconSet>
        <cfvo type="percent" val="0"/>
        <cfvo type="num" val="1"/>
        <cfvo type="num" val="2"/>
      </iconSet>
    </cfRule>
  </conditionalFormatting>
  <conditionalFormatting sqref="AO66">
    <cfRule type="containsText" dxfId="303" priority="359" operator="containsText" text="⚠">
      <formula>NOT(ISERROR(SEARCH("⚠",AO66)))</formula>
    </cfRule>
  </conditionalFormatting>
  <conditionalFormatting sqref="AN66">
    <cfRule type="expression" dxfId="302" priority="358">
      <formula>LEN(FIND("⚠",AO66))&gt;0</formula>
    </cfRule>
  </conditionalFormatting>
  <conditionalFormatting sqref="AN68 AP68 AN70:AO71">
    <cfRule type="expression" dxfId="301" priority="357">
      <formula>AN68&lt;&gt;0</formula>
    </cfRule>
  </conditionalFormatting>
  <conditionalFormatting sqref="AN68">
    <cfRule type="expression" dxfId="300" priority="355" stopIfTrue="1">
      <formula>AN68=0</formula>
    </cfRule>
  </conditionalFormatting>
  <conditionalFormatting sqref="AN70:AO71">
    <cfRule type="containsBlanks" dxfId="299" priority="353">
      <formula>LEN(TRIM(AN70))=0</formula>
    </cfRule>
  </conditionalFormatting>
  <conditionalFormatting sqref="AP68">
    <cfRule type="expression" dxfId="298" priority="354">
      <formula>AN68=0</formula>
    </cfRule>
    <cfRule type="iconSet" priority="356">
      <iconSet>
        <cfvo type="percent" val="0"/>
        <cfvo type="num" val="1"/>
        <cfvo type="num" val="2"/>
      </iconSet>
    </cfRule>
  </conditionalFormatting>
  <conditionalFormatting sqref="AO71">
    <cfRule type="containsText" dxfId="297" priority="352" operator="containsText" text="⚠">
      <formula>NOT(ISERROR(SEARCH("⚠",AO71)))</formula>
    </cfRule>
  </conditionalFormatting>
  <conditionalFormatting sqref="AN71">
    <cfRule type="expression" dxfId="296" priority="351">
      <formula>LEN(FIND("⚠",AO71))&gt;0</formula>
    </cfRule>
  </conditionalFormatting>
  <conditionalFormatting sqref="AN73 AP73 AN75:AO76">
    <cfRule type="expression" dxfId="295" priority="350">
      <formula>AN73&lt;&gt;0</formula>
    </cfRule>
  </conditionalFormatting>
  <conditionalFormatting sqref="AN73">
    <cfRule type="expression" dxfId="294" priority="348" stopIfTrue="1">
      <formula>AN73=0</formula>
    </cfRule>
  </conditionalFormatting>
  <conditionalFormatting sqref="AN75:AO76">
    <cfRule type="containsBlanks" dxfId="293" priority="346">
      <formula>LEN(TRIM(AN75))=0</formula>
    </cfRule>
  </conditionalFormatting>
  <conditionalFormatting sqref="AP73">
    <cfRule type="expression" dxfId="292" priority="347">
      <formula>AN73=0</formula>
    </cfRule>
    <cfRule type="iconSet" priority="349">
      <iconSet>
        <cfvo type="percent" val="0"/>
        <cfvo type="num" val="1"/>
        <cfvo type="num" val="2"/>
      </iconSet>
    </cfRule>
  </conditionalFormatting>
  <conditionalFormatting sqref="AO76">
    <cfRule type="containsText" dxfId="291" priority="345" operator="containsText" text="⚠">
      <formula>NOT(ISERROR(SEARCH("⚠",AO76)))</formula>
    </cfRule>
  </conditionalFormatting>
  <conditionalFormatting sqref="AN76">
    <cfRule type="expression" dxfId="290" priority="344">
      <formula>LEN(FIND("⚠",AO76))&gt;0</formula>
    </cfRule>
  </conditionalFormatting>
  <conditionalFormatting sqref="AN78 AP78 AN80:AO81">
    <cfRule type="expression" dxfId="289" priority="343">
      <formula>AN78&lt;&gt;0</formula>
    </cfRule>
  </conditionalFormatting>
  <conditionalFormatting sqref="AN78">
    <cfRule type="expression" dxfId="288" priority="341" stopIfTrue="1">
      <formula>AN78=0</formula>
    </cfRule>
  </conditionalFormatting>
  <conditionalFormatting sqref="AN80:AO81">
    <cfRule type="containsBlanks" dxfId="287" priority="339">
      <formula>LEN(TRIM(AN80))=0</formula>
    </cfRule>
  </conditionalFormatting>
  <conditionalFormatting sqref="AP78">
    <cfRule type="expression" dxfId="286" priority="340">
      <formula>AN78=0</formula>
    </cfRule>
    <cfRule type="iconSet" priority="342">
      <iconSet>
        <cfvo type="percent" val="0"/>
        <cfvo type="num" val="1"/>
        <cfvo type="num" val="2"/>
      </iconSet>
    </cfRule>
  </conditionalFormatting>
  <conditionalFormatting sqref="AO81">
    <cfRule type="containsText" dxfId="285" priority="338" operator="containsText" text="⚠">
      <formula>NOT(ISERROR(SEARCH("⚠",AO81)))</formula>
    </cfRule>
  </conditionalFormatting>
  <conditionalFormatting sqref="AN81">
    <cfRule type="expression" dxfId="284" priority="337">
      <formula>LEN(FIND("⚠",AO81))&gt;0</formula>
    </cfRule>
  </conditionalFormatting>
  <conditionalFormatting sqref="AN83 AP83 AN85:AO86">
    <cfRule type="expression" dxfId="283" priority="336">
      <formula>AN83&lt;&gt;0</formula>
    </cfRule>
  </conditionalFormatting>
  <conditionalFormatting sqref="AN83">
    <cfRule type="expression" dxfId="282" priority="334" stopIfTrue="1">
      <formula>AN83=0</formula>
    </cfRule>
  </conditionalFormatting>
  <conditionalFormatting sqref="AN85:AO86">
    <cfRule type="containsBlanks" dxfId="281" priority="332">
      <formula>LEN(TRIM(AN85))=0</formula>
    </cfRule>
  </conditionalFormatting>
  <conditionalFormatting sqref="AP83">
    <cfRule type="expression" dxfId="280" priority="333">
      <formula>AN83=0</formula>
    </cfRule>
    <cfRule type="iconSet" priority="335">
      <iconSet>
        <cfvo type="percent" val="0"/>
        <cfvo type="num" val="1"/>
        <cfvo type="num" val="2"/>
      </iconSet>
    </cfRule>
  </conditionalFormatting>
  <conditionalFormatting sqref="AO86">
    <cfRule type="containsText" dxfId="279" priority="331" operator="containsText" text="⚠">
      <formula>NOT(ISERROR(SEARCH("⚠",AO86)))</formula>
    </cfRule>
  </conditionalFormatting>
  <conditionalFormatting sqref="AN86">
    <cfRule type="expression" dxfId="278" priority="330">
      <formula>LEN(FIND("⚠",AO86))&gt;0</formula>
    </cfRule>
  </conditionalFormatting>
  <conditionalFormatting sqref="AN88 AP88 AN90:AO91">
    <cfRule type="expression" dxfId="277" priority="329">
      <formula>AN88&lt;&gt;0</formula>
    </cfRule>
  </conditionalFormatting>
  <conditionalFormatting sqref="AN88">
    <cfRule type="expression" dxfId="276" priority="327" stopIfTrue="1">
      <formula>AN88=0</formula>
    </cfRule>
  </conditionalFormatting>
  <conditionalFormatting sqref="AN90:AO91">
    <cfRule type="containsBlanks" dxfId="275" priority="325">
      <formula>LEN(TRIM(AN90))=0</formula>
    </cfRule>
  </conditionalFormatting>
  <conditionalFormatting sqref="AP88">
    <cfRule type="expression" dxfId="274" priority="326">
      <formula>AN88=0</formula>
    </cfRule>
    <cfRule type="iconSet" priority="328">
      <iconSet>
        <cfvo type="percent" val="0"/>
        <cfvo type="num" val="1"/>
        <cfvo type="num" val="2"/>
      </iconSet>
    </cfRule>
  </conditionalFormatting>
  <conditionalFormatting sqref="AO91">
    <cfRule type="containsText" dxfId="273" priority="324" operator="containsText" text="⚠">
      <formula>NOT(ISERROR(SEARCH("⚠",AO91)))</formula>
    </cfRule>
  </conditionalFormatting>
  <conditionalFormatting sqref="AN91">
    <cfRule type="expression" dxfId="272" priority="323">
      <formula>LEN(FIND("⚠",AO91))&gt;0</formula>
    </cfRule>
  </conditionalFormatting>
  <conditionalFormatting sqref="AN93 AP93 AN95:AO96">
    <cfRule type="expression" dxfId="271" priority="322">
      <formula>AN93&lt;&gt;0</formula>
    </cfRule>
  </conditionalFormatting>
  <conditionalFormatting sqref="AN93">
    <cfRule type="expression" dxfId="270" priority="320" stopIfTrue="1">
      <formula>AN93=0</formula>
    </cfRule>
  </conditionalFormatting>
  <conditionalFormatting sqref="AN95:AO96">
    <cfRule type="containsBlanks" dxfId="269" priority="318">
      <formula>LEN(TRIM(AN95))=0</formula>
    </cfRule>
  </conditionalFormatting>
  <conditionalFormatting sqref="AP93">
    <cfRule type="expression" dxfId="268" priority="319">
      <formula>AN93=0</formula>
    </cfRule>
    <cfRule type="iconSet" priority="321">
      <iconSet>
        <cfvo type="percent" val="0"/>
        <cfvo type="num" val="1"/>
        <cfvo type="num" val="2"/>
      </iconSet>
    </cfRule>
  </conditionalFormatting>
  <conditionalFormatting sqref="AO96">
    <cfRule type="containsText" dxfId="267" priority="317" operator="containsText" text="⚠">
      <formula>NOT(ISERROR(SEARCH("⚠",AO96)))</formula>
    </cfRule>
  </conditionalFormatting>
  <conditionalFormatting sqref="AN96">
    <cfRule type="expression" dxfId="266" priority="316">
      <formula>LEN(FIND("⚠",AO96))&gt;0</formula>
    </cfRule>
  </conditionalFormatting>
  <conditionalFormatting sqref="AN98 AP98 AN100:AO101">
    <cfRule type="expression" dxfId="265" priority="315">
      <formula>AN98&lt;&gt;0</formula>
    </cfRule>
  </conditionalFormatting>
  <conditionalFormatting sqref="AN98">
    <cfRule type="expression" dxfId="264" priority="313" stopIfTrue="1">
      <formula>AN98=0</formula>
    </cfRule>
  </conditionalFormatting>
  <conditionalFormatting sqref="AN100:AO101">
    <cfRule type="containsBlanks" dxfId="263" priority="311">
      <formula>LEN(TRIM(AN100))=0</formula>
    </cfRule>
  </conditionalFormatting>
  <conditionalFormatting sqref="AP98">
    <cfRule type="expression" dxfId="262" priority="312">
      <formula>AN98=0</formula>
    </cfRule>
    <cfRule type="iconSet" priority="314">
      <iconSet>
        <cfvo type="percent" val="0"/>
        <cfvo type="num" val="1"/>
        <cfvo type="num" val="2"/>
      </iconSet>
    </cfRule>
  </conditionalFormatting>
  <conditionalFormatting sqref="AO101">
    <cfRule type="containsText" dxfId="261" priority="310" operator="containsText" text="⚠">
      <formula>NOT(ISERROR(SEARCH("⚠",AO101)))</formula>
    </cfRule>
  </conditionalFormatting>
  <conditionalFormatting sqref="AN101">
    <cfRule type="expression" dxfId="260" priority="309">
      <formula>LEN(FIND("⚠",AO101))&gt;0</formula>
    </cfRule>
  </conditionalFormatting>
  <conditionalFormatting sqref="AN103 AP103 AN105:AO106">
    <cfRule type="expression" dxfId="259" priority="308">
      <formula>AN103&lt;&gt;0</formula>
    </cfRule>
  </conditionalFormatting>
  <conditionalFormatting sqref="AN103">
    <cfRule type="expression" dxfId="258" priority="306" stopIfTrue="1">
      <formula>AN103=0</formula>
    </cfRule>
  </conditionalFormatting>
  <conditionalFormatting sqref="AN105:AO106">
    <cfRule type="containsBlanks" dxfId="257" priority="304">
      <formula>LEN(TRIM(AN105))=0</formula>
    </cfRule>
  </conditionalFormatting>
  <conditionalFormatting sqref="AP103">
    <cfRule type="expression" dxfId="256" priority="305">
      <formula>AN103=0</formula>
    </cfRule>
    <cfRule type="iconSet" priority="307">
      <iconSet>
        <cfvo type="percent" val="0"/>
        <cfvo type="num" val="1"/>
        <cfvo type="num" val="2"/>
      </iconSet>
    </cfRule>
  </conditionalFormatting>
  <conditionalFormatting sqref="AO106">
    <cfRule type="containsText" dxfId="255" priority="303" operator="containsText" text="⚠">
      <formula>NOT(ISERROR(SEARCH("⚠",AO106)))</formula>
    </cfRule>
  </conditionalFormatting>
  <conditionalFormatting sqref="AN106">
    <cfRule type="expression" dxfId="254" priority="302">
      <formula>LEN(FIND("⚠",AO106))&gt;0</formula>
    </cfRule>
  </conditionalFormatting>
  <conditionalFormatting sqref="AN108 AP108 AN110:AO111">
    <cfRule type="expression" dxfId="253" priority="301">
      <formula>AN108&lt;&gt;0</formula>
    </cfRule>
  </conditionalFormatting>
  <conditionalFormatting sqref="AN108">
    <cfRule type="expression" dxfId="252" priority="299" stopIfTrue="1">
      <formula>AN108=0</formula>
    </cfRule>
  </conditionalFormatting>
  <conditionalFormatting sqref="AN110:AO111">
    <cfRule type="containsBlanks" dxfId="251" priority="297">
      <formula>LEN(TRIM(AN110))=0</formula>
    </cfRule>
  </conditionalFormatting>
  <conditionalFormatting sqref="AP108">
    <cfRule type="expression" dxfId="250" priority="298">
      <formula>AN108=0</formula>
    </cfRule>
    <cfRule type="iconSet" priority="300">
      <iconSet>
        <cfvo type="percent" val="0"/>
        <cfvo type="num" val="1"/>
        <cfvo type="num" val="2"/>
      </iconSet>
    </cfRule>
  </conditionalFormatting>
  <conditionalFormatting sqref="AO111">
    <cfRule type="containsText" dxfId="249" priority="296" operator="containsText" text="⚠">
      <formula>NOT(ISERROR(SEARCH("⚠",AO111)))</formula>
    </cfRule>
  </conditionalFormatting>
  <conditionalFormatting sqref="AN111">
    <cfRule type="expression" dxfId="248" priority="295">
      <formula>LEN(FIND("⚠",AO111))&gt;0</formula>
    </cfRule>
  </conditionalFormatting>
  <conditionalFormatting sqref="AT8 AV8 AT10:AU11">
    <cfRule type="expression" dxfId="247" priority="294">
      <formula>AT8&lt;&gt;0</formula>
    </cfRule>
  </conditionalFormatting>
  <conditionalFormatting sqref="AT8">
    <cfRule type="expression" dxfId="246" priority="292" stopIfTrue="1">
      <formula>AT8=0</formula>
    </cfRule>
  </conditionalFormatting>
  <conditionalFormatting sqref="AT10:AU11">
    <cfRule type="containsBlanks" dxfId="245" priority="290">
      <formula>LEN(TRIM(AT10))=0</formula>
    </cfRule>
  </conditionalFormatting>
  <conditionalFormatting sqref="AV8">
    <cfRule type="expression" dxfId="244" priority="291">
      <formula>AT8=0</formula>
    </cfRule>
    <cfRule type="iconSet" priority="293">
      <iconSet>
        <cfvo type="percent" val="0"/>
        <cfvo type="num" val="1"/>
        <cfvo type="num" val="2"/>
      </iconSet>
    </cfRule>
  </conditionalFormatting>
  <conditionalFormatting sqref="AU11">
    <cfRule type="containsText" dxfId="243" priority="289" operator="containsText" text="⚠">
      <formula>NOT(ISERROR(SEARCH("⚠",AU11)))</formula>
    </cfRule>
  </conditionalFormatting>
  <conditionalFormatting sqref="AT11">
    <cfRule type="expression" dxfId="242" priority="288">
      <formula>LEN(FIND("⚠",AU11))&gt;0</formula>
    </cfRule>
  </conditionalFormatting>
  <conditionalFormatting sqref="AT13 AV13 AT15:AU16">
    <cfRule type="expression" dxfId="241" priority="287">
      <formula>AT13&lt;&gt;0</formula>
    </cfRule>
  </conditionalFormatting>
  <conditionalFormatting sqref="AT13">
    <cfRule type="expression" dxfId="240" priority="285" stopIfTrue="1">
      <formula>AT13=0</formula>
    </cfRule>
  </conditionalFormatting>
  <conditionalFormatting sqref="AT15:AU16">
    <cfRule type="containsBlanks" dxfId="239" priority="283">
      <formula>LEN(TRIM(AT15))=0</formula>
    </cfRule>
  </conditionalFormatting>
  <conditionalFormatting sqref="AV13">
    <cfRule type="expression" dxfId="238" priority="284">
      <formula>AT13=0</formula>
    </cfRule>
    <cfRule type="iconSet" priority="286">
      <iconSet>
        <cfvo type="percent" val="0"/>
        <cfvo type="num" val="1"/>
        <cfvo type="num" val="2"/>
      </iconSet>
    </cfRule>
  </conditionalFormatting>
  <conditionalFormatting sqref="AU16">
    <cfRule type="containsText" dxfId="237" priority="282" operator="containsText" text="⚠">
      <formula>NOT(ISERROR(SEARCH("⚠",AU16)))</formula>
    </cfRule>
  </conditionalFormatting>
  <conditionalFormatting sqref="AT16">
    <cfRule type="expression" dxfId="236" priority="281">
      <formula>LEN(FIND("⚠",AU16))&gt;0</formula>
    </cfRule>
  </conditionalFormatting>
  <conditionalFormatting sqref="AT18 AV18 AT20:AU21">
    <cfRule type="expression" dxfId="235" priority="280">
      <formula>AT18&lt;&gt;0</formula>
    </cfRule>
  </conditionalFormatting>
  <conditionalFormatting sqref="AT18">
    <cfRule type="expression" dxfId="234" priority="278" stopIfTrue="1">
      <formula>AT18=0</formula>
    </cfRule>
  </conditionalFormatting>
  <conditionalFormatting sqref="AT20:AU21">
    <cfRule type="containsBlanks" dxfId="233" priority="276">
      <formula>LEN(TRIM(AT20))=0</formula>
    </cfRule>
  </conditionalFormatting>
  <conditionalFormatting sqref="AV18">
    <cfRule type="expression" dxfId="232" priority="277">
      <formula>AT18=0</formula>
    </cfRule>
    <cfRule type="iconSet" priority="279">
      <iconSet>
        <cfvo type="percent" val="0"/>
        <cfvo type="num" val="1"/>
        <cfvo type="num" val="2"/>
      </iconSet>
    </cfRule>
  </conditionalFormatting>
  <conditionalFormatting sqref="AU21">
    <cfRule type="containsText" dxfId="231" priority="275" operator="containsText" text="⚠">
      <formula>NOT(ISERROR(SEARCH("⚠",AU21)))</formula>
    </cfRule>
  </conditionalFormatting>
  <conditionalFormatting sqref="AT21">
    <cfRule type="expression" dxfId="230" priority="274">
      <formula>LEN(FIND("⚠",AU21))&gt;0</formula>
    </cfRule>
  </conditionalFormatting>
  <conditionalFormatting sqref="AT23 AV23 AT25:AU26">
    <cfRule type="expression" dxfId="229" priority="273">
      <formula>AT23&lt;&gt;0</formula>
    </cfRule>
  </conditionalFormatting>
  <conditionalFormatting sqref="AT23">
    <cfRule type="expression" dxfId="228" priority="271" stopIfTrue="1">
      <formula>AT23=0</formula>
    </cfRule>
  </conditionalFormatting>
  <conditionalFormatting sqref="AT25:AU26">
    <cfRule type="containsBlanks" dxfId="227" priority="269">
      <formula>LEN(TRIM(AT25))=0</formula>
    </cfRule>
  </conditionalFormatting>
  <conditionalFormatting sqref="AV23">
    <cfRule type="expression" dxfId="226" priority="270">
      <formula>AT23=0</formula>
    </cfRule>
    <cfRule type="iconSet" priority="272">
      <iconSet>
        <cfvo type="percent" val="0"/>
        <cfvo type="num" val="1"/>
        <cfvo type="num" val="2"/>
      </iconSet>
    </cfRule>
  </conditionalFormatting>
  <conditionalFormatting sqref="AU26">
    <cfRule type="containsText" dxfId="225" priority="268" operator="containsText" text="⚠">
      <formula>NOT(ISERROR(SEARCH("⚠",AU26)))</formula>
    </cfRule>
  </conditionalFormatting>
  <conditionalFormatting sqref="AT26">
    <cfRule type="expression" dxfId="224" priority="267">
      <formula>LEN(FIND("⚠",AU26))&gt;0</formula>
    </cfRule>
  </conditionalFormatting>
  <conditionalFormatting sqref="AT28 AV28 AT30:AU31">
    <cfRule type="expression" dxfId="223" priority="266">
      <formula>AT28&lt;&gt;0</formula>
    </cfRule>
  </conditionalFormatting>
  <conditionalFormatting sqref="AT28">
    <cfRule type="expression" dxfId="222" priority="264" stopIfTrue="1">
      <formula>AT28=0</formula>
    </cfRule>
  </conditionalFormatting>
  <conditionalFormatting sqref="AT30:AU31">
    <cfRule type="containsBlanks" dxfId="221" priority="262">
      <formula>LEN(TRIM(AT30))=0</formula>
    </cfRule>
  </conditionalFormatting>
  <conditionalFormatting sqref="AV28">
    <cfRule type="expression" dxfId="220" priority="263">
      <formula>AT28=0</formula>
    </cfRule>
    <cfRule type="iconSet" priority="265">
      <iconSet>
        <cfvo type="percent" val="0"/>
        <cfvo type="num" val="1"/>
        <cfvo type="num" val="2"/>
      </iconSet>
    </cfRule>
  </conditionalFormatting>
  <conditionalFormatting sqref="AU31">
    <cfRule type="containsText" dxfId="219" priority="261" operator="containsText" text="⚠">
      <formula>NOT(ISERROR(SEARCH("⚠",AU31)))</formula>
    </cfRule>
  </conditionalFormatting>
  <conditionalFormatting sqref="AT31">
    <cfRule type="expression" dxfId="218" priority="260">
      <formula>LEN(FIND("⚠",AU31))&gt;0</formula>
    </cfRule>
  </conditionalFormatting>
  <conditionalFormatting sqref="AT33 AV33 AT35:AU36">
    <cfRule type="expression" dxfId="217" priority="259">
      <formula>AT33&lt;&gt;0</formula>
    </cfRule>
  </conditionalFormatting>
  <conditionalFormatting sqref="AT33">
    <cfRule type="expression" dxfId="216" priority="257" stopIfTrue="1">
      <formula>AT33=0</formula>
    </cfRule>
  </conditionalFormatting>
  <conditionalFormatting sqref="AT35:AU36">
    <cfRule type="containsBlanks" dxfId="215" priority="255">
      <formula>LEN(TRIM(AT35))=0</formula>
    </cfRule>
  </conditionalFormatting>
  <conditionalFormatting sqref="AV33">
    <cfRule type="expression" dxfId="214" priority="256">
      <formula>AT33=0</formula>
    </cfRule>
    <cfRule type="iconSet" priority="258">
      <iconSet>
        <cfvo type="percent" val="0"/>
        <cfvo type="num" val="1"/>
        <cfvo type="num" val="2"/>
      </iconSet>
    </cfRule>
  </conditionalFormatting>
  <conditionalFormatting sqref="AU36">
    <cfRule type="containsText" dxfId="213" priority="254" operator="containsText" text="⚠">
      <formula>NOT(ISERROR(SEARCH("⚠",AU36)))</formula>
    </cfRule>
  </conditionalFormatting>
  <conditionalFormatting sqref="AT36">
    <cfRule type="expression" dxfId="212" priority="253">
      <formula>LEN(FIND("⚠",AU36))&gt;0</formula>
    </cfRule>
  </conditionalFormatting>
  <conditionalFormatting sqref="AT38 AV38 AT40:AU41">
    <cfRule type="expression" dxfId="211" priority="252">
      <formula>AT38&lt;&gt;0</formula>
    </cfRule>
  </conditionalFormatting>
  <conditionalFormatting sqref="AT38">
    <cfRule type="expression" dxfId="210" priority="250" stopIfTrue="1">
      <formula>AT38=0</formula>
    </cfRule>
  </conditionalFormatting>
  <conditionalFormatting sqref="AT40:AU41">
    <cfRule type="containsBlanks" dxfId="209" priority="248">
      <formula>LEN(TRIM(AT40))=0</formula>
    </cfRule>
  </conditionalFormatting>
  <conditionalFormatting sqref="AV38">
    <cfRule type="expression" dxfId="208" priority="249">
      <formula>AT38=0</formula>
    </cfRule>
    <cfRule type="iconSet" priority="251">
      <iconSet>
        <cfvo type="percent" val="0"/>
        <cfvo type="num" val="1"/>
        <cfvo type="num" val="2"/>
      </iconSet>
    </cfRule>
  </conditionalFormatting>
  <conditionalFormatting sqref="AU41">
    <cfRule type="containsText" dxfId="207" priority="247" operator="containsText" text="⚠">
      <formula>NOT(ISERROR(SEARCH("⚠",AU41)))</formula>
    </cfRule>
  </conditionalFormatting>
  <conditionalFormatting sqref="AT41">
    <cfRule type="expression" dxfId="206" priority="246">
      <formula>LEN(FIND("⚠",AU41))&gt;0</formula>
    </cfRule>
  </conditionalFormatting>
  <conditionalFormatting sqref="AT43 AV43 AT45:AU46">
    <cfRule type="expression" dxfId="205" priority="245">
      <formula>AT43&lt;&gt;0</formula>
    </cfRule>
  </conditionalFormatting>
  <conditionalFormatting sqref="AT43">
    <cfRule type="expression" dxfId="204" priority="243" stopIfTrue="1">
      <formula>AT43=0</formula>
    </cfRule>
  </conditionalFormatting>
  <conditionalFormatting sqref="AT45:AU46">
    <cfRule type="containsBlanks" dxfId="203" priority="241">
      <formula>LEN(TRIM(AT45))=0</formula>
    </cfRule>
  </conditionalFormatting>
  <conditionalFormatting sqref="AV43">
    <cfRule type="expression" dxfId="202" priority="242">
      <formula>AT43=0</formula>
    </cfRule>
    <cfRule type="iconSet" priority="244">
      <iconSet>
        <cfvo type="percent" val="0"/>
        <cfvo type="num" val="1"/>
        <cfvo type="num" val="2"/>
      </iconSet>
    </cfRule>
  </conditionalFormatting>
  <conditionalFormatting sqref="AU46">
    <cfRule type="containsText" dxfId="201" priority="240" operator="containsText" text="⚠">
      <formula>NOT(ISERROR(SEARCH("⚠",AU46)))</formula>
    </cfRule>
  </conditionalFormatting>
  <conditionalFormatting sqref="AT46">
    <cfRule type="expression" dxfId="200" priority="239">
      <formula>LEN(FIND("⚠",AU46))&gt;0</formula>
    </cfRule>
  </conditionalFormatting>
  <conditionalFormatting sqref="AT48 AV48 AT50:AU51">
    <cfRule type="expression" dxfId="199" priority="238">
      <formula>AT48&lt;&gt;0</formula>
    </cfRule>
  </conditionalFormatting>
  <conditionalFormatting sqref="AT48">
    <cfRule type="expression" dxfId="198" priority="236" stopIfTrue="1">
      <formula>AT48=0</formula>
    </cfRule>
  </conditionalFormatting>
  <conditionalFormatting sqref="AT50:AU51">
    <cfRule type="containsBlanks" dxfId="197" priority="234">
      <formula>LEN(TRIM(AT50))=0</formula>
    </cfRule>
  </conditionalFormatting>
  <conditionalFormatting sqref="AV48">
    <cfRule type="expression" dxfId="196" priority="235">
      <formula>AT48=0</formula>
    </cfRule>
    <cfRule type="iconSet" priority="237">
      <iconSet>
        <cfvo type="percent" val="0"/>
        <cfvo type="num" val="1"/>
        <cfvo type="num" val="2"/>
      </iconSet>
    </cfRule>
  </conditionalFormatting>
  <conditionalFormatting sqref="AU51">
    <cfRule type="containsText" dxfId="195" priority="233" operator="containsText" text="⚠">
      <formula>NOT(ISERROR(SEARCH("⚠",AU51)))</formula>
    </cfRule>
  </conditionalFormatting>
  <conditionalFormatting sqref="AT51">
    <cfRule type="expression" dxfId="194" priority="232">
      <formula>LEN(FIND("⚠",AU51))&gt;0</formula>
    </cfRule>
  </conditionalFormatting>
  <conditionalFormatting sqref="AT53 AV53 AT55:AU56">
    <cfRule type="expression" dxfId="193" priority="231">
      <formula>AT53&lt;&gt;0</formula>
    </cfRule>
  </conditionalFormatting>
  <conditionalFormatting sqref="AT53">
    <cfRule type="expression" dxfId="192" priority="229" stopIfTrue="1">
      <formula>AT53=0</formula>
    </cfRule>
  </conditionalFormatting>
  <conditionalFormatting sqref="AT55:AU56">
    <cfRule type="containsBlanks" dxfId="191" priority="227">
      <formula>LEN(TRIM(AT55))=0</formula>
    </cfRule>
  </conditionalFormatting>
  <conditionalFormatting sqref="AV53">
    <cfRule type="expression" dxfId="190" priority="228">
      <formula>AT53=0</formula>
    </cfRule>
    <cfRule type="iconSet" priority="230">
      <iconSet>
        <cfvo type="percent" val="0"/>
        <cfvo type="num" val="1"/>
        <cfvo type="num" val="2"/>
      </iconSet>
    </cfRule>
  </conditionalFormatting>
  <conditionalFormatting sqref="AU56">
    <cfRule type="containsText" dxfId="189" priority="226" operator="containsText" text="⚠">
      <formula>NOT(ISERROR(SEARCH("⚠",AU56)))</formula>
    </cfRule>
  </conditionalFormatting>
  <conditionalFormatting sqref="AT56">
    <cfRule type="expression" dxfId="188" priority="225">
      <formula>LEN(FIND("⚠",AU56))&gt;0</formula>
    </cfRule>
  </conditionalFormatting>
  <conditionalFormatting sqref="AT58 AV58 AT60:AU61">
    <cfRule type="expression" dxfId="187" priority="224">
      <formula>AT58&lt;&gt;0</formula>
    </cfRule>
  </conditionalFormatting>
  <conditionalFormatting sqref="AT58">
    <cfRule type="expression" dxfId="186" priority="222" stopIfTrue="1">
      <formula>AT58=0</formula>
    </cfRule>
  </conditionalFormatting>
  <conditionalFormatting sqref="AT60:AU61">
    <cfRule type="containsBlanks" dxfId="185" priority="220">
      <formula>LEN(TRIM(AT60))=0</formula>
    </cfRule>
  </conditionalFormatting>
  <conditionalFormatting sqref="AV58">
    <cfRule type="expression" dxfId="184" priority="221">
      <formula>AT58=0</formula>
    </cfRule>
    <cfRule type="iconSet" priority="223">
      <iconSet>
        <cfvo type="percent" val="0"/>
        <cfvo type="num" val="1"/>
        <cfvo type="num" val="2"/>
      </iconSet>
    </cfRule>
  </conditionalFormatting>
  <conditionalFormatting sqref="AU61">
    <cfRule type="containsText" dxfId="183" priority="219" operator="containsText" text="⚠">
      <formula>NOT(ISERROR(SEARCH("⚠",AU61)))</formula>
    </cfRule>
  </conditionalFormatting>
  <conditionalFormatting sqref="AT61">
    <cfRule type="expression" dxfId="182" priority="218">
      <formula>LEN(FIND("⚠",AU61))&gt;0</formula>
    </cfRule>
  </conditionalFormatting>
  <conditionalFormatting sqref="AT63 AV63 AT65:AU66">
    <cfRule type="expression" dxfId="181" priority="217">
      <formula>AT63&lt;&gt;0</formula>
    </cfRule>
  </conditionalFormatting>
  <conditionalFormatting sqref="AT63">
    <cfRule type="expression" dxfId="180" priority="215" stopIfTrue="1">
      <formula>AT63=0</formula>
    </cfRule>
  </conditionalFormatting>
  <conditionalFormatting sqref="AT65:AU66">
    <cfRule type="containsBlanks" dxfId="179" priority="213">
      <formula>LEN(TRIM(AT65))=0</formula>
    </cfRule>
  </conditionalFormatting>
  <conditionalFormatting sqref="AV63">
    <cfRule type="expression" dxfId="178" priority="214">
      <formula>AT63=0</formula>
    </cfRule>
    <cfRule type="iconSet" priority="216">
      <iconSet>
        <cfvo type="percent" val="0"/>
        <cfvo type="num" val="1"/>
        <cfvo type="num" val="2"/>
      </iconSet>
    </cfRule>
  </conditionalFormatting>
  <conditionalFormatting sqref="AU66">
    <cfRule type="containsText" dxfId="177" priority="212" operator="containsText" text="⚠">
      <formula>NOT(ISERROR(SEARCH("⚠",AU66)))</formula>
    </cfRule>
  </conditionalFormatting>
  <conditionalFormatting sqref="AT66">
    <cfRule type="expression" dxfId="176" priority="211">
      <formula>LEN(FIND("⚠",AU66))&gt;0</formula>
    </cfRule>
  </conditionalFormatting>
  <conditionalFormatting sqref="AT68 AV68 AT70:AU71">
    <cfRule type="expression" dxfId="175" priority="210">
      <formula>AT68&lt;&gt;0</formula>
    </cfRule>
  </conditionalFormatting>
  <conditionalFormatting sqref="AT68">
    <cfRule type="expression" dxfId="174" priority="208" stopIfTrue="1">
      <formula>AT68=0</formula>
    </cfRule>
  </conditionalFormatting>
  <conditionalFormatting sqref="AT70:AU71">
    <cfRule type="containsBlanks" dxfId="173" priority="206">
      <formula>LEN(TRIM(AT70))=0</formula>
    </cfRule>
  </conditionalFormatting>
  <conditionalFormatting sqref="AV68">
    <cfRule type="expression" dxfId="172" priority="207">
      <formula>AT68=0</formula>
    </cfRule>
    <cfRule type="iconSet" priority="209">
      <iconSet>
        <cfvo type="percent" val="0"/>
        <cfvo type="num" val="1"/>
        <cfvo type="num" val="2"/>
      </iconSet>
    </cfRule>
  </conditionalFormatting>
  <conditionalFormatting sqref="AU71">
    <cfRule type="containsText" dxfId="171" priority="205" operator="containsText" text="⚠">
      <formula>NOT(ISERROR(SEARCH("⚠",AU71)))</formula>
    </cfRule>
  </conditionalFormatting>
  <conditionalFormatting sqref="AT71">
    <cfRule type="expression" dxfId="170" priority="204">
      <formula>LEN(FIND("⚠",AU71))&gt;0</formula>
    </cfRule>
  </conditionalFormatting>
  <conditionalFormatting sqref="AT73 AV73 AT75:AU76">
    <cfRule type="expression" dxfId="169" priority="203">
      <formula>AT73&lt;&gt;0</formula>
    </cfRule>
  </conditionalFormatting>
  <conditionalFormatting sqref="AT73">
    <cfRule type="expression" dxfId="168" priority="201" stopIfTrue="1">
      <formula>AT73=0</formula>
    </cfRule>
  </conditionalFormatting>
  <conditionalFormatting sqref="AT75:AU76">
    <cfRule type="containsBlanks" dxfId="167" priority="199">
      <formula>LEN(TRIM(AT75))=0</formula>
    </cfRule>
  </conditionalFormatting>
  <conditionalFormatting sqref="AV73">
    <cfRule type="expression" dxfId="166" priority="200">
      <formula>AT73=0</formula>
    </cfRule>
    <cfRule type="iconSet" priority="202">
      <iconSet>
        <cfvo type="percent" val="0"/>
        <cfvo type="num" val="1"/>
        <cfvo type="num" val="2"/>
      </iconSet>
    </cfRule>
  </conditionalFormatting>
  <conditionalFormatting sqref="AU76">
    <cfRule type="containsText" dxfId="165" priority="198" operator="containsText" text="⚠">
      <formula>NOT(ISERROR(SEARCH("⚠",AU76)))</formula>
    </cfRule>
  </conditionalFormatting>
  <conditionalFormatting sqref="AT76">
    <cfRule type="expression" dxfId="164" priority="197">
      <formula>LEN(FIND("⚠",AU76))&gt;0</formula>
    </cfRule>
  </conditionalFormatting>
  <conditionalFormatting sqref="AT78 AV78 AT80:AU81">
    <cfRule type="expression" dxfId="163" priority="196">
      <formula>AT78&lt;&gt;0</formula>
    </cfRule>
  </conditionalFormatting>
  <conditionalFormatting sqref="AT78">
    <cfRule type="expression" dxfId="162" priority="194" stopIfTrue="1">
      <formula>AT78=0</formula>
    </cfRule>
  </conditionalFormatting>
  <conditionalFormatting sqref="AT80:AU81">
    <cfRule type="containsBlanks" dxfId="161" priority="192">
      <formula>LEN(TRIM(AT80))=0</formula>
    </cfRule>
  </conditionalFormatting>
  <conditionalFormatting sqref="AV78">
    <cfRule type="expression" dxfId="160" priority="193">
      <formula>AT78=0</formula>
    </cfRule>
    <cfRule type="iconSet" priority="195">
      <iconSet>
        <cfvo type="percent" val="0"/>
        <cfvo type="num" val="1"/>
        <cfvo type="num" val="2"/>
      </iconSet>
    </cfRule>
  </conditionalFormatting>
  <conditionalFormatting sqref="AU81">
    <cfRule type="containsText" dxfId="159" priority="191" operator="containsText" text="⚠">
      <formula>NOT(ISERROR(SEARCH("⚠",AU81)))</formula>
    </cfRule>
  </conditionalFormatting>
  <conditionalFormatting sqref="AT81">
    <cfRule type="expression" dxfId="158" priority="190">
      <formula>LEN(FIND("⚠",AU81))&gt;0</formula>
    </cfRule>
  </conditionalFormatting>
  <conditionalFormatting sqref="AT83 AV83 AT85:AU86">
    <cfRule type="expression" dxfId="157" priority="189">
      <formula>AT83&lt;&gt;0</formula>
    </cfRule>
  </conditionalFormatting>
  <conditionalFormatting sqref="AT83">
    <cfRule type="expression" dxfId="156" priority="187" stopIfTrue="1">
      <formula>AT83=0</formula>
    </cfRule>
  </conditionalFormatting>
  <conditionalFormatting sqref="AT85:AU86">
    <cfRule type="containsBlanks" dxfId="155" priority="185">
      <formula>LEN(TRIM(AT85))=0</formula>
    </cfRule>
  </conditionalFormatting>
  <conditionalFormatting sqref="AV83">
    <cfRule type="expression" dxfId="154" priority="186">
      <formula>AT83=0</formula>
    </cfRule>
    <cfRule type="iconSet" priority="188">
      <iconSet>
        <cfvo type="percent" val="0"/>
        <cfvo type="num" val="1"/>
        <cfvo type="num" val="2"/>
      </iconSet>
    </cfRule>
  </conditionalFormatting>
  <conditionalFormatting sqref="AU86">
    <cfRule type="containsText" dxfId="153" priority="184" operator="containsText" text="⚠">
      <formula>NOT(ISERROR(SEARCH("⚠",AU86)))</formula>
    </cfRule>
  </conditionalFormatting>
  <conditionalFormatting sqref="AT86">
    <cfRule type="expression" dxfId="152" priority="183">
      <formula>LEN(FIND("⚠",AU86))&gt;0</formula>
    </cfRule>
  </conditionalFormatting>
  <conditionalFormatting sqref="AT88 AV88 AT90:AU91">
    <cfRule type="expression" dxfId="151" priority="182">
      <formula>AT88&lt;&gt;0</formula>
    </cfRule>
  </conditionalFormatting>
  <conditionalFormatting sqref="AT88">
    <cfRule type="expression" dxfId="150" priority="180" stopIfTrue="1">
      <formula>AT88=0</formula>
    </cfRule>
  </conditionalFormatting>
  <conditionalFormatting sqref="AT90:AU91">
    <cfRule type="containsBlanks" dxfId="149" priority="178">
      <formula>LEN(TRIM(AT90))=0</formula>
    </cfRule>
  </conditionalFormatting>
  <conditionalFormatting sqref="AV88">
    <cfRule type="expression" dxfId="148" priority="179">
      <formula>AT88=0</formula>
    </cfRule>
    <cfRule type="iconSet" priority="181">
      <iconSet>
        <cfvo type="percent" val="0"/>
        <cfvo type="num" val="1"/>
        <cfvo type="num" val="2"/>
      </iconSet>
    </cfRule>
  </conditionalFormatting>
  <conditionalFormatting sqref="AU91">
    <cfRule type="containsText" dxfId="147" priority="177" operator="containsText" text="⚠">
      <formula>NOT(ISERROR(SEARCH("⚠",AU91)))</formula>
    </cfRule>
  </conditionalFormatting>
  <conditionalFormatting sqref="AT91">
    <cfRule type="expression" dxfId="146" priority="176">
      <formula>LEN(FIND("⚠",AU91))&gt;0</formula>
    </cfRule>
  </conditionalFormatting>
  <conditionalFormatting sqref="AT93 AV93 AT95:AU96">
    <cfRule type="expression" dxfId="145" priority="175">
      <formula>AT93&lt;&gt;0</formula>
    </cfRule>
  </conditionalFormatting>
  <conditionalFormatting sqref="AT93">
    <cfRule type="expression" dxfId="144" priority="173" stopIfTrue="1">
      <formula>AT93=0</formula>
    </cfRule>
  </conditionalFormatting>
  <conditionalFormatting sqref="AT95:AU96">
    <cfRule type="containsBlanks" dxfId="143" priority="171">
      <formula>LEN(TRIM(AT95))=0</formula>
    </cfRule>
  </conditionalFormatting>
  <conditionalFormatting sqref="AV93">
    <cfRule type="expression" dxfId="142" priority="172">
      <formula>AT93=0</formula>
    </cfRule>
    <cfRule type="iconSet" priority="174">
      <iconSet>
        <cfvo type="percent" val="0"/>
        <cfvo type="num" val="1"/>
        <cfvo type="num" val="2"/>
      </iconSet>
    </cfRule>
  </conditionalFormatting>
  <conditionalFormatting sqref="AU96">
    <cfRule type="containsText" dxfId="141" priority="170" operator="containsText" text="⚠">
      <formula>NOT(ISERROR(SEARCH("⚠",AU96)))</formula>
    </cfRule>
  </conditionalFormatting>
  <conditionalFormatting sqref="AT96">
    <cfRule type="expression" dxfId="140" priority="169">
      <formula>LEN(FIND("⚠",AU96))&gt;0</formula>
    </cfRule>
  </conditionalFormatting>
  <conditionalFormatting sqref="AT98 AV98 AT100:AU101">
    <cfRule type="expression" dxfId="139" priority="168">
      <formula>AT98&lt;&gt;0</formula>
    </cfRule>
  </conditionalFormatting>
  <conditionalFormatting sqref="AT98">
    <cfRule type="expression" dxfId="138" priority="166" stopIfTrue="1">
      <formula>AT98=0</formula>
    </cfRule>
  </conditionalFormatting>
  <conditionalFormatting sqref="AT100:AU101">
    <cfRule type="containsBlanks" dxfId="137" priority="164">
      <formula>LEN(TRIM(AT100))=0</formula>
    </cfRule>
  </conditionalFormatting>
  <conditionalFormatting sqref="AV98">
    <cfRule type="expression" dxfId="136" priority="165">
      <formula>AT98=0</formula>
    </cfRule>
    <cfRule type="iconSet" priority="167">
      <iconSet>
        <cfvo type="percent" val="0"/>
        <cfvo type="num" val="1"/>
        <cfvo type="num" val="2"/>
      </iconSet>
    </cfRule>
  </conditionalFormatting>
  <conditionalFormatting sqref="AU101">
    <cfRule type="containsText" dxfId="135" priority="163" operator="containsText" text="⚠">
      <formula>NOT(ISERROR(SEARCH("⚠",AU101)))</formula>
    </cfRule>
  </conditionalFormatting>
  <conditionalFormatting sqref="AT101">
    <cfRule type="expression" dxfId="134" priority="162">
      <formula>LEN(FIND("⚠",AU101))&gt;0</formula>
    </cfRule>
  </conditionalFormatting>
  <conditionalFormatting sqref="AT103 AV103 AT105:AU106">
    <cfRule type="expression" dxfId="133" priority="161">
      <formula>AT103&lt;&gt;0</formula>
    </cfRule>
  </conditionalFormatting>
  <conditionalFormatting sqref="AT103">
    <cfRule type="expression" dxfId="132" priority="159" stopIfTrue="1">
      <formula>AT103=0</formula>
    </cfRule>
  </conditionalFormatting>
  <conditionalFormatting sqref="AT105:AU106">
    <cfRule type="containsBlanks" dxfId="131" priority="157">
      <formula>LEN(TRIM(AT105))=0</formula>
    </cfRule>
  </conditionalFormatting>
  <conditionalFormatting sqref="AV103">
    <cfRule type="expression" dxfId="130" priority="158">
      <formula>AT103=0</formula>
    </cfRule>
    <cfRule type="iconSet" priority="160">
      <iconSet>
        <cfvo type="percent" val="0"/>
        <cfvo type="num" val="1"/>
        <cfvo type="num" val="2"/>
      </iconSet>
    </cfRule>
  </conditionalFormatting>
  <conditionalFormatting sqref="AU106">
    <cfRule type="containsText" dxfId="129" priority="156" operator="containsText" text="⚠">
      <formula>NOT(ISERROR(SEARCH("⚠",AU106)))</formula>
    </cfRule>
  </conditionalFormatting>
  <conditionalFormatting sqref="AT106">
    <cfRule type="expression" dxfId="128" priority="155">
      <formula>LEN(FIND("⚠",AU106))&gt;0</formula>
    </cfRule>
  </conditionalFormatting>
  <conditionalFormatting sqref="AT108 AV108 AT110:AU111">
    <cfRule type="expression" dxfId="127" priority="154">
      <formula>AT108&lt;&gt;0</formula>
    </cfRule>
  </conditionalFormatting>
  <conditionalFormatting sqref="AT108">
    <cfRule type="expression" dxfId="126" priority="152" stopIfTrue="1">
      <formula>AT108=0</formula>
    </cfRule>
  </conditionalFormatting>
  <conditionalFormatting sqref="AT110:AU111">
    <cfRule type="containsBlanks" dxfId="125" priority="150">
      <formula>LEN(TRIM(AT110))=0</formula>
    </cfRule>
  </conditionalFormatting>
  <conditionalFormatting sqref="AV108">
    <cfRule type="expression" dxfId="124" priority="151">
      <formula>AT108=0</formula>
    </cfRule>
    <cfRule type="iconSet" priority="153">
      <iconSet>
        <cfvo type="percent" val="0"/>
        <cfvo type="num" val="1"/>
        <cfvo type="num" val="2"/>
      </iconSet>
    </cfRule>
  </conditionalFormatting>
  <conditionalFormatting sqref="AU111">
    <cfRule type="containsText" dxfId="123" priority="149" operator="containsText" text="⚠">
      <formula>NOT(ISERROR(SEARCH("⚠",AU111)))</formula>
    </cfRule>
  </conditionalFormatting>
  <conditionalFormatting sqref="AT111">
    <cfRule type="expression" dxfId="122" priority="148">
      <formula>LEN(FIND("⚠",AU111))&gt;0</formula>
    </cfRule>
  </conditionalFormatting>
  <conditionalFormatting sqref="AZ8 BB8 AZ10:BA11">
    <cfRule type="expression" dxfId="121" priority="147">
      <formula>AZ8&lt;&gt;0</formula>
    </cfRule>
  </conditionalFormatting>
  <conditionalFormatting sqref="AZ8">
    <cfRule type="expression" dxfId="120" priority="145" stopIfTrue="1">
      <formula>AZ8=0</formula>
    </cfRule>
  </conditionalFormatting>
  <conditionalFormatting sqref="AZ10:BA11">
    <cfRule type="containsBlanks" dxfId="119" priority="143">
      <formula>LEN(TRIM(AZ10))=0</formula>
    </cfRule>
  </conditionalFormatting>
  <conditionalFormatting sqref="BB8">
    <cfRule type="expression" dxfId="118" priority="144">
      <formula>AZ8=0</formula>
    </cfRule>
    <cfRule type="iconSet" priority="146">
      <iconSet>
        <cfvo type="percent" val="0"/>
        <cfvo type="num" val="1"/>
        <cfvo type="num" val="2"/>
      </iconSet>
    </cfRule>
  </conditionalFormatting>
  <conditionalFormatting sqref="BA11">
    <cfRule type="containsText" dxfId="117" priority="142" operator="containsText" text="⚠">
      <formula>NOT(ISERROR(SEARCH("⚠",BA11)))</formula>
    </cfRule>
  </conditionalFormatting>
  <conditionalFormatting sqref="AZ11">
    <cfRule type="expression" dxfId="116" priority="141">
      <formula>LEN(FIND("⚠",BA11))&gt;0</formula>
    </cfRule>
  </conditionalFormatting>
  <conditionalFormatting sqref="BB13">
    <cfRule type="expression" dxfId="115" priority="137">
      <formula>AZ13=0</formula>
    </cfRule>
    <cfRule type="iconSet" priority="139">
      <iconSet>
        <cfvo type="percent" val="0"/>
        <cfvo type="num" val="1"/>
        <cfvo type="num" val="2"/>
      </iconSet>
    </cfRule>
  </conditionalFormatting>
  <conditionalFormatting sqref="BA16">
    <cfRule type="containsText" dxfId="114" priority="135" operator="containsText" text="⚠">
      <formula>NOT(ISERROR(SEARCH("⚠",BA16)))</formula>
    </cfRule>
  </conditionalFormatting>
  <conditionalFormatting sqref="AZ16">
    <cfRule type="expression" dxfId="113" priority="134">
      <formula>LEN(FIND("⚠",BA16))&gt;0</formula>
    </cfRule>
  </conditionalFormatting>
  <conditionalFormatting sqref="AZ18 BB18 AZ20:BA21">
    <cfRule type="expression" dxfId="112" priority="133">
      <formula>AZ18&lt;&gt;0</formula>
    </cfRule>
  </conditionalFormatting>
  <conditionalFormatting sqref="AZ18">
    <cfRule type="expression" dxfId="111" priority="131" stopIfTrue="1">
      <formula>AZ18=0</formula>
    </cfRule>
  </conditionalFormatting>
  <conditionalFormatting sqref="AZ20:BA21">
    <cfRule type="containsBlanks" dxfId="110" priority="129">
      <formula>LEN(TRIM(AZ20))=0</formula>
    </cfRule>
  </conditionalFormatting>
  <conditionalFormatting sqref="BB18">
    <cfRule type="expression" dxfId="109" priority="130">
      <formula>AZ18=0</formula>
    </cfRule>
    <cfRule type="iconSet" priority="132">
      <iconSet>
        <cfvo type="percent" val="0"/>
        <cfvo type="num" val="1"/>
        <cfvo type="num" val="2"/>
      </iconSet>
    </cfRule>
  </conditionalFormatting>
  <conditionalFormatting sqref="BA21">
    <cfRule type="containsText" dxfId="108" priority="128" operator="containsText" text="⚠">
      <formula>NOT(ISERROR(SEARCH("⚠",BA21)))</formula>
    </cfRule>
  </conditionalFormatting>
  <conditionalFormatting sqref="AZ21">
    <cfRule type="expression" dxfId="107" priority="127">
      <formula>LEN(FIND("⚠",BA21))&gt;0</formula>
    </cfRule>
  </conditionalFormatting>
  <conditionalFormatting sqref="BB23">
    <cfRule type="expression" dxfId="106" priority="123">
      <formula>AZ23=0</formula>
    </cfRule>
    <cfRule type="iconSet" priority="125">
      <iconSet>
        <cfvo type="percent" val="0"/>
        <cfvo type="num" val="1"/>
        <cfvo type="num" val="2"/>
      </iconSet>
    </cfRule>
  </conditionalFormatting>
  <conditionalFormatting sqref="BA26">
    <cfRule type="containsText" dxfId="105" priority="121" operator="containsText" text="⚠">
      <formula>NOT(ISERROR(SEARCH("⚠",BA26)))</formula>
    </cfRule>
  </conditionalFormatting>
  <conditionalFormatting sqref="AZ26">
    <cfRule type="expression" dxfId="104" priority="120">
      <formula>LEN(FIND("⚠",BA26))&gt;0</formula>
    </cfRule>
  </conditionalFormatting>
  <conditionalFormatting sqref="AZ28 BB28 AZ30:BA31">
    <cfRule type="expression" dxfId="103" priority="119">
      <formula>AZ28&lt;&gt;0</formula>
    </cfRule>
  </conditionalFormatting>
  <conditionalFormatting sqref="AZ28">
    <cfRule type="expression" dxfId="102" priority="117" stopIfTrue="1">
      <formula>AZ28=0</formula>
    </cfRule>
  </conditionalFormatting>
  <conditionalFormatting sqref="AZ30:BA31">
    <cfRule type="containsBlanks" dxfId="101" priority="115">
      <formula>LEN(TRIM(AZ30))=0</formula>
    </cfRule>
  </conditionalFormatting>
  <conditionalFormatting sqref="BB28">
    <cfRule type="expression" dxfId="100" priority="116">
      <formula>AZ28=0</formula>
    </cfRule>
    <cfRule type="iconSet" priority="118">
      <iconSet>
        <cfvo type="percent" val="0"/>
        <cfvo type="num" val="1"/>
        <cfvo type="num" val="2"/>
      </iconSet>
    </cfRule>
  </conditionalFormatting>
  <conditionalFormatting sqref="BA31">
    <cfRule type="containsText" dxfId="99" priority="114" operator="containsText" text="⚠">
      <formula>NOT(ISERROR(SEARCH("⚠",BA31)))</formula>
    </cfRule>
  </conditionalFormatting>
  <conditionalFormatting sqref="AZ31">
    <cfRule type="expression" dxfId="98" priority="113">
      <formula>LEN(FIND("⚠",BA31))&gt;0</formula>
    </cfRule>
  </conditionalFormatting>
  <conditionalFormatting sqref="BB33">
    <cfRule type="expression" dxfId="97" priority="109">
      <formula>AZ33=0</formula>
    </cfRule>
    <cfRule type="iconSet" priority="111">
      <iconSet>
        <cfvo type="percent" val="0"/>
        <cfvo type="num" val="1"/>
        <cfvo type="num" val="2"/>
      </iconSet>
    </cfRule>
  </conditionalFormatting>
  <conditionalFormatting sqref="BA36">
    <cfRule type="containsText" dxfId="96" priority="107" operator="containsText" text="⚠">
      <formula>NOT(ISERROR(SEARCH("⚠",BA36)))</formula>
    </cfRule>
  </conditionalFormatting>
  <conditionalFormatting sqref="AZ36">
    <cfRule type="expression" dxfId="95" priority="106">
      <formula>LEN(FIND("⚠",BA36))&gt;0</formula>
    </cfRule>
  </conditionalFormatting>
  <conditionalFormatting sqref="AZ38 BB38 AZ40:BA41">
    <cfRule type="expression" dxfId="94" priority="105">
      <formula>AZ38&lt;&gt;0</formula>
    </cfRule>
  </conditionalFormatting>
  <conditionalFormatting sqref="AZ38">
    <cfRule type="expression" dxfId="93" priority="103" stopIfTrue="1">
      <formula>AZ38=0</formula>
    </cfRule>
  </conditionalFormatting>
  <conditionalFormatting sqref="AZ40:BA41">
    <cfRule type="containsBlanks" dxfId="92" priority="101">
      <formula>LEN(TRIM(AZ40))=0</formula>
    </cfRule>
  </conditionalFormatting>
  <conditionalFormatting sqref="BB38">
    <cfRule type="expression" dxfId="91" priority="102">
      <formula>AZ38=0</formula>
    </cfRule>
    <cfRule type="iconSet" priority="104">
      <iconSet>
        <cfvo type="percent" val="0"/>
        <cfvo type="num" val="1"/>
        <cfvo type="num" val="2"/>
      </iconSet>
    </cfRule>
  </conditionalFormatting>
  <conditionalFormatting sqref="BA41">
    <cfRule type="containsText" dxfId="90" priority="100" operator="containsText" text="⚠">
      <formula>NOT(ISERROR(SEARCH("⚠",BA41)))</formula>
    </cfRule>
  </conditionalFormatting>
  <conditionalFormatting sqref="AZ41">
    <cfRule type="expression" dxfId="89" priority="99">
      <formula>LEN(FIND("⚠",BA41))&gt;0</formula>
    </cfRule>
  </conditionalFormatting>
  <conditionalFormatting sqref="AZ43 BB43 AZ45:BA46">
    <cfRule type="expression" dxfId="88" priority="98">
      <formula>AZ43&lt;&gt;0</formula>
    </cfRule>
  </conditionalFormatting>
  <conditionalFormatting sqref="AZ43">
    <cfRule type="expression" dxfId="87" priority="96" stopIfTrue="1">
      <formula>AZ43=0</formula>
    </cfRule>
  </conditionalFormatting>
  <conditionalFormatting sqref="AZ45:BA46">
    <cfRule type="containsBlanks" dxfId="86" priority="94">
      <formula>LEN(TRIM(AZ45))=0</formula>
    </cfRule>
  </conditionalFormatting>
  <conditionalFormatting sqref="BB43">
    <cfRule type="expression" dxfId="85" priority="95">
      <formula>AZ43=0</formula>
    </cfRule>
    <cfRule type="iconSet" priority="97">
      <iconSet>
        <cfvo type="percent" val="0"/>
        <cfvo type="num" val="1"/>
        <cfvo type="num" val="2"/>
      </iconSet>
    </cfRule>
  </conditionalFormatting>
  <conditionalFormatting sqref="BA46">
    <cfRule type="containsText" dxfId="84" priority="93" operator="containsText" text="⚠">
      <formula>NOT(ISERROR(SEARCH("⚠",BA46)))</formula>
    </cfRule>
  </conditionalFormatting>
  <conditionalFormatting sqref="AZ46">
    <cfRule type="expression" dxfId="83" priority="92">
      <formula>LEN(FIND("⚠",BA46))&gt;0</formula>
    </cfRule>
  </conditionalFormatting>
  <conditionalFormatting sqref="AZ48 BB48 AZ50:BA51">
    <cfRule type="expression" dxfId="82" priority="91">
      <formula>AZ48&lt;&gt;0</formula>
    </cfRule>
  </conditionalFormatting>
  <conditionalFormatting sqref="AZ48">
    <cfRule type="expression" dxfId="81" priority="89" stopIfTrue="1">
      <formula>AZ48=0</formula>
    </cfRule>
  </conditionalFormatting>
  <conditionalFormatting sqref="AZ50:BA51">
    <cfRule type="containsBlanks" dxfId="80" priority="87">
      <formula>LEN(TRIM(AZ50))=0</formula>
    </cfRule>
  </conditionalFormatting>
  <conditionalFormatting sqref="BB48">
    <cfRule type="expression" dxfId="79" priority="88">
      <formula>AZ48=0</formula>
    </cfRule>
    <cfRule type="iconSet" priority="90">
      <iconSet>
        <cfvo type="percent" val="0"/>
        <cfvo type="num" val="1"/>
        <cfvo type="num" val="2"/>
      </iconSet>
    </cfRule>
  </conditionalFormatting>
  <conditionalFormatting sqref="BA51">
    <cfRule type="containsText" dxfId="78" priority="86" operator="containsText" text="⚠">
      <formula>NOT(ISERROR(SEARCH("⚠",BA51)))</formula>
    </cfRule>
  </conditionalFormatting>
  <conditionalFormatting sqref="AZ51">
    <cfRule type="expression" dxfId="77" priority="85">
      <formula>LEN(FIND("⚠",BA51))&gt;0</formula>
    </cfRule>
  </conditionalFormatting>
  <conditionalFormatting sqref="AZ53 BB53 AZ55:BA56">
    <cfRule type="expression" dxfId="76" priority="84">
      <formula>AZ53&lt;&gt;0</formula>
    </cfRule>
  </conditionalFormatting>
  <conditionalFormatting sqref="AZ53">
    <cfRule type="expression" dxfId="75" priority="82" stopIfTrue="1">
      <formula>AZ53=0</formula>
    </cfRule>
  </conditionalFormatting>
  <conditionalFormatting sqref="AZ55:BA56">
    <cfRule type="containsBlanks" dxfId="74" priority="80">
      <formula>LEN(TRIM(AZ55))=0</formula>
    </cfRule>
  </conditionalFormatting>
  <conditionalFormatting sqref="BB53">
    <cfRule type="expression" dxfId="73" priority="81">
      <formula>AZ53=0</formula>
    </cfRule>
    <cfRule type="iconSet" priority="83">
      <iconSet>
        <cfvo type="percent" val="0"/>
        <cfvo type="num" val="1"/>
        <cfvo type="num" val="2"/>
      </iconSet>
    </cfRule>
  </conditionalFormatting>
  <conditionalFormatting sqref="BA56">
    <cfRule type="containsText" dxfId="72" priority="79" operator="containsText" text="⚠">
      <formula>NOT(ISERROR(SEARCH("⚠",BA56)))</formula>
    </cfRule>
  </conditionalFormatting>
  <conditionalFormatting sqref="AZ56">
    <cfRule type="expression" dxfId="71" priority="78">
      <formula>LEN(FIND("⚠",BA56))&gt;0</formula>
    </cfRule>
  </conditionalFormatting>
  <conditionalFormatting sqref="AZ58 BB58 AZ60:BA61">
    <cfRule type="expression" dxfId="70" priority="77">
      <formula>AZ58&lt;&gt;0</formula>
    </cfRule>
  </conditionalFormatting>
  <conditionalFormatting sqref="AZ58">
    <cfRule type="expression" dxfId="69" priority="75" stopIfTrue="1">
      <formula>AZ58=0</formula>
    </cfRule>
  </conditionalFormatting>
  <conditionalFormatting sqref="AZ60:BA61">
    <cfRule type="containsBlanks" dxfId="68" priority="73">
      <formula>LEN(TRIM(AZ60))=0</formula>
    </cfRule>
  </conditionalFormatting>
  <conditionalFormatting sqref="BB58">
    <cfRule type="expression" dxfId="67" priority="74">
      <formula>AZ58=0</formula>
    </cfRule>
    <cfRule type="iconSet" priority="76">
      <iconSet>
        <cfvo type="percent" val="0"/>
        <cfvo type="num" val="1"/>
        <cfvo type="num" val="2"/>
      </iconSet>
    </cfRule>
  </conditionalFormatting>
  <conditionalFormatting sqref="BA61">
    <cfRule type="containsText" dxfId="66" priority="72" operator="containsText" text="⚠">
      <formula>NOT(ISERROR(SEARCH("⚠",BA61)))</formula>
    </cfRule>
  </conditionalFormatting>
  <conditionalFormatting sqref="AZ61">
    <cfRule type="expression" dxfId="65" priority="71">
      <formula>LEN(FIND("⚠",BA61))&gt;0</formula>
    </cfRule>
  </conditionalFormatting>
  <conditionalFormatting sqref="AZ63 BB63 AZ65:BA66">
    <cfRule type="expression" dxfId="64" priority="70">
      <formula>AZ63&lt;&gt;0</formula>
    </cfRule>
  </conditionalFormatting>
  <conditionalFormatting sqref="AZ63">
    <cfRule type="expression" dxfId="63" priority="68" stopIfTrue="1">
      <formula>AZ63=0</formula>
    </cfRule>
  </conditionalFormatting>
  <conditionalFormatting sqref="AZ65:BA66">
    <cfRule type="containsBlanks" dxfId="62" priority="66">
      <formula>LEN(TRIM(AZ65))=0</formula>
    </cfRule>
  </conditionalFormatting>
  <conditionalFormatting sqref="BB63">
    <cfRule type="expression" dxfId="61" priority="67">
      <formula>AZ63=0</formula>
    </cfRule>
    <cfRule type="iconSet" priority="69">
      <iconSet>
        <cfvo type="percent" val="0"/>
        <cfvo type="num" val="1"/>
        <cfvo type="num" val="2"/>
      </iconSet>
    </cfRule>
  </conditionalFormatting>
  <conditionalFormatting sqref="BA66">
    <cfRule type="containsText" dxfId="60" priority="65" operator="containsText" text="⚠">
      <formula>NOT(ISERROR(SEARCH("⚠",BA66)))</formula>
    </cfRule>
  </conditionalFormatting>
  <conditionalFormatting sqref="AZ66">
    <cfRule type="expression" dxfId="59" priority="64">
      <formula>LEN(FIND("⚠",BA66))&gt;0</formula>
    </cfRule>
  </conditionalFormatting>
  <conditionalFormatting sqref="AZ68 BB68 AZ70:BA71">
    <cfRule type="expression" dxfId="58" priority="63">
      <formula>AZ68&lt;&gt;0</formula>
    </cfRule>
  </conditionalFormatting>
  <conditionalFormatting sqref="AZ68">
    <cfRule type="expression" dxfId="57" priority="61" stopIfTrue="1">
      <formula>AZ68=0</formula>
    </cfRule>
  </conditionalFormatting>
  <conditionalFormatting sqref="AZ70:BA71">
    <cfRule type="containsBlanks" dxfId="56" priority="59">
      <formula>LEN(TRIM(AZ70))=0</formula>
    </cfRule>
  </conditionalFormatting>
  <conditionalFormatting sqref="BB68">
    <cfRule type="expression" dxfId="55" priority="60">
      <formula>AZ68=0</formula>
    </cfRule>
    <cfRule type="iconSet" priority="62">
      <iconSet>
        <cfvo type="percent" val="0"/>
        <cfvo type="num" val="1"/>
        <cfvo type="num" val="2"/>
      </iconSet>
    </cfRule>
  </conditionalFormatting>
  <conditionalFormatting sqref="BA71">
    <cfRule type="containsText" dxfId="54" priority="58" operator="containsText" text="⚠">
      <formula>NOT(ISERROR(SEARCH("⚠",BA71)))</formula>
    </cfRule>
  </conditionalFormatting>
  <conditionalFormatting sqref="AZ71">
    <cfRule type="expression" dxfId="53" priority="57">
      <formula>LEN(FIND("⚠",BA71))&gt;0</formula>
    </cfRule>
  </conditionalFormatting>
  <conditionalFormatting sqref="AZ73 BB73 AZ75:BA76">
    <cfRule type="expression" dxfId="52" priority="56">
      <formula>AZ73&lt;&gt;0</formula>
    </cfRule>
  </conditionalFormatting>
  <conditionalFormatting sqref="AZ73">
    <cfRule type="expression" dxfId="51" priority="54" stopIfTrue="1">
      <formula>AZ73=0</formula>
    </cfRule>
  </conditionalFormatting>
  <conditionalFormatting sqref="AZ75:BA76">
    <cfRule type="containsBlanks" dxfId="50" priority="52">
      <formula>LEN(TRIM(AZ75))=0</formula>
    </cfRule>
  </conditionalFormatting>
  <conditionalFormatting sqref="BB73">
    <cfRule type="expression" dxfId="49" priority="53">
      <formula>AZ73=0</formula>
    </cfRule>
    <cfRule type="iconSet" priority="55">
      <iconSet>
        <cfvo type="percent" val="0"/>
        <cfvo type="num" val="1"/>
        <cfvo type="num" val="2"/>
      </iconSet>
    </cfRule>
  </conditionalFormatting>
  <conditionalFormatting sqref="BA76">
    <cfRule type="containsText" dxfId="48" priority="51" operator="containsText" text="⚠">
      <formula>NOT(ISERROR(SEARCH("⚠",BA76)))</formula>
    </cfRule>
  </conditionalFormatting>
  <conditionalFormatting sqref="AZ76">
    <cfRule type="expression" dxfId="47" priority="50">
      <formula>LEN(FIND("⚠",BA76))&gt;0</formula>
    </cfRule>
  </conditionalFormatting>
  <conditionalFormatting sqref="AZ78 BB78 AZ80:BA81">
    <cfRule type="expression" dxfId="46" priority="49">
      <formula>AZ78&lt;&gt;0</formula>
    </cfRule>
  </conditionalFormatting>
  <conditionalFormatting sqref="AZ78">
    <cfRule type="expression" dxfId="45" priority="47" stopIfTrue="1">
      <formula>AZ78=0</formula>
    </cfRule>
  </conditionalFormatting>
  <conditionalFormatting sqref="AZ80:BA81">
    <cfRule type="containsBlanks" dxfId="44" priority="45">
      <formula>LEN(TRIM(AZ80))=0</formula>
    </cfRule>
  </conditionalFormatting>
  <conditionalFormatting sqref="BB78">
    <cfRule type="expression" dxfId="43" priority="46">
      <formula>AZ78=0</formula>
    </cfRule>
    <cfRule type="iconSet" priority="48">
      <iconSet>
        <cfvo type="percent" val="0"/>
        <cfvo type="num" val="1"/>
        <cfvo type="num" val="2"/>
      </iconSet>
    </cfRule>
  </conditionalFormatting>
  <conditionalFormatting sqref="BA81">
    <cfRule type="containsText" dxfId="42" priority="44" operator="containsText" text="⚠">
      <formula>NOT(ISERROR(SEARCH("⚠",BA81)))</formula>
    </cfRule>
  </conditionalFormatting>
  <conditionalFormatting sqref="AZ81">
    <cfRule type="expression" dxfId="41" priority="43">
      <formula>LEN(FIND("⚠",BA81))&gt;0</formula>
    </cfRule>
  </conditionalFormatting>
  <conditionalFormatting sqref="AZ83 BB83 AZ85:BA86">
    <cfRule type="expression" dxfId="40" priority="42">
      <formula>AZ83&lt;&gt;0</formula>
    </cfRule>
  </conditionalFormatting>
  <conditionalFormatting sqref="AZ83">
    <cfRule type="expression" dxfId="39" priority="40" stopIfTrue="1">
      <formula>AZ83=0</formula>
    </cfRule>
  </conditionalFormatting>
  <conditionalFormatting sqref="AZ85:BA86">
    <cfRule type="containsBlanks" dxfId="38" priority="38">
      <formula>LEN(TRIM(AZ85))=0</formula>
    </cfRule>
  </conditionalFormatting>
  <conditionalFormatting sqref="BB83">
    <cfRule type="expression" dxfId="37" priority="39">
      <formula>AZ83=0</formula>
    </cfRule>
    <cfRule type="iconSet" priority="41">
      <iconSet>
        <cfvo type="percent" val="0"/>
        <cfvo type="num" val="1"/>
        <cfvo type="num" val="2"/>
      </iconSet>
    </cfRule>
  </conditionalFormatting>
  <conditionalFormatting sqref="BA86">
    <cfRule type="containsText" dxfId="36" priority="37" operator="containsText" text="⚠">
      <formula>NOT(ISERROR(SEARCH("⚠",BA86)))</formula>
    </cfRule>
  </conditionalFormatting>
  <conditionalFormatting sqref="AZ86">
    <cfRule type="expression" dxfId="35" priority="36">
      <formula>LEN(FIND("⚠",BA86))&gt;0</formula>
    </cfRule>
  </conditionalFormatting>
  <conditionalFormatting sqref="AZ88 BB88 AZ90:BA91">
    <cfRule type="expression" dxfId="34" priority="35">
      <formula>AZ88&lt;&gt;0</formula>
    </cfRule>
  </conditionalFormatting>
  <conditionalFormatting sqref="AZ88">
    <cfRule type="expression" dxfId="33" priority="33" stopIfTrue="1">
      <formula>AZ88=0</formula>
    </cfRule>
  </conditionalFormatting>
  <conditionalFormatting sqref="AZ90:BA91">
    <cfRule type="containsBlanks" dxfId="32" priority="31">
      <formula>LEN(TRIM(AZ90))=0</formula>
    </cfRule>
  </conditionalFormatting>
  <conditionalFormatting sqref="BB88">
    <cfRule type="expression" dxfId="31" priority="32">
      <formula>AZ88=0</formula>
    </cfRule>
    <cfRule type="iconSet" priority="34">
      <iconSet>
        <cfvo type="percent" val="0"/>
        <cfvo type="num" val="1"/>
        <cfvo type="num" val="2"/>
      </iconSet>
    </cfRule>
  </conditionalFormatting>
  <conditionalFormatting sqref="BA91">
    <cfRule type="containsText" dxfId="30" priority="30" operator="containsText" text="⚠">
      <formula>NOT(ISERROR(SEARCH("⚠",BA91)))</formula>
    </cfRule>
  </conditionalFormatting>
  <conditionalFormatting sqref="AZ91">
    <cfRule type="expression" dxfId="29" priority="29">
      <formula>LEN(FIND("⚠",BA91))&gt;0</formula>
    </cfRule>
  </conditionalFormatting>
  <conditionalFormatting sqref="AZ93 BB93 AZ95:BA96">
    <cfRule type="expression" dxfId="28" priority="28">
      <formula>AZ93&lt;&gt;0</formula>
    </cfRule>
  </conditionalFormatting>
  <conditionalFormatting sqref="AZ93">
    <cfRule type="expression" dxfId="27" priority="26" stopIfTrue="1">
      <formula>AZ93=0</formula>
    </cfRule>
  </conditionalFormatting>
  <conditionalFormatting sqref="AZ95:BA96">
    <cfRule type="containsBlanks" dxfId="26" priority="24">
      <formula>LEN(TRIM(AZ95))=0</formula>
    </cfRule>
  </conditionalFormatting>
  <conditionalFormatting sqref="BB93">
    <cfRule type="expression" dxfId="25" priority="25">
      <formula>AZ93=0</formula>
    </cfRule>
    <cfRule type="iconSet" priority="27">
      <iconSet>
        <cfvo type="percent" val="0"/>
        <cfvo type="num" val="1"/>
        <cfvo type="num" val="2"/>
      </iconSet>
    </cfRule>
  </conditionalFormatting>
  <conditionalFormatting sqref="BA96">
    <cfRule type="containsText" dxfId="24" priority="23" operator="containsText" text="⚠">
      <formula>NOT(ISERROR(SEARCH("⚠",BA96)))</formula>
    </cfRule>
  </conditionalFormatting>
  <conditionalFormatting sqref="AZ96">
    <cfRule type="expression" dxfId="23" priority="22">
      <formula>LEN(FIND("⚠",BA96))&gt;0</formula>
    </cfRule>
  </conditionalFormatting>
  <conditionalFormatting sqref="AZ98 BB98 AZ100:BA101">
    <cfRule type="expression" dxfId="22" priority="21">
      <formula>AZ98&lt;&gt;0</formula>
    </cfRule>
  </conditionalFormatting>
  <conditionalFormatting sqref="AZ98">
    <cfRule type="expression" dxfId="21" priority="19" stopIfTrue="1">
      <formula>AZ98=0</formula>
    </cfRule>
  </conditionalFormatting>
  <conditionalFormatting sqref="AZ100:BA101">
    <cfRule type="containsBlanks" dxfId="20" priority="17">
      <formula>LEN(TRIM(AZ100))=0</formula>
    </cfRule>
  </conditionalFormatting>
  <conditionalFormatting sqref="BB98">
    <cfRule type="expression" dxfId="19" priority="18">
      <formula>AZ98=0</formula>
    </cfRule>
    <cfRule type="iconSet" priority="20">
      <iconSet>
        <cfvo type="percent" val="0"/>
        <cfvo type="num" val="1"/>
        <cfvo type="num" val="2"/>
      </iconSet>
    </cfRule>
  </conditionalFormatting>
  <conditionalFormatting sqref="BA101">
    <cfRule type="containsText" dxfId="18" priority="16" operator="containsText" text="⚠">
      <formula>NOT(ISERROR(SEARCH("⚠",BA101)))</formula>
    </cfRule>
  </conditionalFormatting>
  <conditionalFormatting sqref="AZ101">
    <cfRule type="expression" dxfId="17" priority="15">
      <formula>LEN(FIND("⚠",BA101))&gt;0</formula>
    </cfRule>
  </conditionalFormatting>
  <conditionalFormatting sqref="AZ103 BB103 AZ105:BA106">
    <cfRule type="expression" dxfId="16" priority="14">
      <formula>AZ103&lt;&gt;0</formula>
    </cfRule>
  </conditionalFormatting>
  <conditionalFormatting sqref="AZ103">
    <cfRule type="expression" dxfId="15" priority="12" stopIfTrue="1">
      <formula>AZ103=0</formula>
    </cfRule>
  </conditionalFormatting>
  <conditionalFormatting sqref="AZ105:BA106">
    <cfRule type="containsBlanks" dxfId="14" priority="10">
      <formula>LEN(TRIM(AZ105))=0</formula>
    </cfRule>
  </conditionalFormatting>
  <conditionalFormatting sqref="BB103">
    <cfRule type="expression" dxfId="13" priority="11">
      <formula>AZ103=0</formula>
    </cfRule>
    <cfRule type="iconSet" priority="13">
      <iconSet>
        <cfvo type="percent" val="0"/>
        <cfvo type="num" val="1"/>
        <cfvo type="num" val="2"/>
      </iconSet>
    </cfRule>
  </conditionalFormatting>
  <conditionalFormatting sqref="BA106">
    <cfRule type="containsText" dxfId="12" priority="9" operator="containsText" text="⚠">
      <formula>NOT(ISERROR(SEARCH("⚠",BA106)))</formula>
    </cfRule>
  </conditionalFormatting>
  <conditionalFormatting sqref="AZ106">
    <cfRule type="expression" dxfId="11" priority="8">
      <formula>LEN(FIND("⚠",BA106))&gt;0</formula>
    </cfRule>
  </conditionalFormatting>
  <conditionalFormatting sqref="AZ108 BB108 AZ110:BA111">
    <cfRule type="expression" dxfId="10" priority="7">
      <formula>AZ108&lt;&gt;0</formula>
    </cfRule>
  </conditionalFormatting>
  <conditionalFormatting sqref="AZ108">
    <cfRule type="expression" dxfId="9" priority="5" stopIfTrue="1">
      <formula>AZ108=0</formula>
    </cfRule>
  </conditionalFormatting>
  <conditionalFormatting sqref="AZ110:BA111">
    <cfRule type="containsBlanks" dxfId="8" priority="3">
      <formula>LEN(TRIM(AZ110))=0</formula>
    </cfRule>
  </conditionalFormatting>
  <conditionalFormatting sqref="BB108">
    <cfRule type="expression" dxfId="7" priority="4">
      <formula>AZ108=0</formula>
    </cfRule>
    <cfRule type="iconSet" priority="6">
      <iconSet>
        <cfvo type="percent" val="0"/>
        <cfvo type="num" val="1"/>
        <cfvo type="num" val="2"/>
      </iconSet>
    </cfRule>
  </conditionalFormatting>
  <conditionalFormatting sqref="BA111">
    <cfRule type="containsText" dxfId="6" priority="2" operator="containsText" text="⚠">
      <formula>NOT(ISERROR(SEARCH("⚠",BA111)))</formula>
    </cfRule>
  </conditionalFormatting>
  <conditionalFormatting sqref="AZ111">
    <cfRule type="expression" dxfId="5" priority="1">
      <formula>LEN(FIND("⚠",BA111))&gt;0</formula>
    </cfRule>
  </conditionalFormatting>
  <dataValidations count="1">
    <dataValidation type="list" allowBlank="1" showInputMessage="1" showErrorMessage="1" sqref="AN6 AT6 V6 D6 J6 P6 AB6 AH6 AZ6" xr:uid="{410FE350-359F-4B21-AC97-D6BCDA7C8280}">
      <formula1>StatusOptions</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92" r:id="rId4" name="Button 68">
              <controlPr defaultSize="0" print="0" autoFill="0" autoPict="0" macro="[0]!refreshworkbook">
                <anchor moveWithCells="1" sizeWithCells="1">
                  <from>
                    <xdr:col>3</xdr:col>
                    <xdr:colOff>47625</xdr:colOff>
                    <xdr:row>0</xdr:row>
                    <xdr:rowOff>171450</xdr:rowOff>
                  </from>
                  <to>
                    <xdr:col>16</xdr:col>
                    <xdr:colOff>409575</xdr:colOff>
                    <xdr:row>0</xdr:row>
                    <xdr:rowOff>504825</xdr:rowOff>
                  </to>
                </anchor>
              </controlPr>
            </control>
          </mc:Choice>
        </mc:AlternateContent>
      </controls>
    </mc:Choice>
  </mc:AlternateContent>
  <extLst>
    <ext xmlns:x14="http://schemas.microsoft.com/office/spreadsheetml/2009/9/main" uri="{A8765BA9-456A-4dab-B4F3-ACF838C121DE}">
      <x14:slicerList>
        <x14:slicer r:id="rId5"/>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6FF6C3-B6F9-4B2D-8D82-58F81BE9841E}">
  <sheetPr codeName="Sheet7">
    <tabColor rgb="FF50B47F"/>
  </sheetPr>
  <dimension ref="A1:X49"/>
  <sheetViews>
    <sheetView showGridLines="0" topLeftCell="A16" workbookViewId="0">
      <selection activeCell="K48" sqref="K47:K48"/>
    </sheetView>
  </sheetViews>
  <sheetFormatPr defaultColWidth="0" defaultRowHeight="15" zeroHeight="1" x14ac:dyDescent="0.25"/>
  <cols>
    <col min="1" max="7" width="1.7109375" customWidth="1"/>
    <col min="8" max="24" width="9.140625" customWidth="1"/>
    <col min="25" max="16384" width="9.140625" hidden="1"/>
  </cols>
  <sheetData>
    <row r="1" x14ac:dyDescent="0.25"/>
    <row r="2" x14ac:dyDescent="0.25"/>
    <row r="3" x14ac:dyDescent="0.25"/>
    <row r="4" x14ac:dyDescent="0.25"/>
    <row r="5" x14ac:dyDescent="0.25"/>
    <row r="6" x14ac:dyDescent="0.25"/>
    <row r="7" x14ac:dyDescent="0.25"/>
    <row r="8" x14ac:dyDescent="0.25"/>
    <row r="9" x14ac:dyDescent="0.25"/>
    <row r="10" x14ac:dyDescent="0.25"/>
    <row r="11" x14ac:dyDescent="0.25"/>
    <row r="12" x14ac:dyDescent="0.25"/>
    <row r="13" x14ac:dyDescent="0.25"/>
    <row r="14" x14ac:dyDescent="0.25"/>
    <row r="15" x14ac:dyDescent="0.25"/>
    <row r="16" ht="27.75" customHeight="1" x14ac:dyDescent="0.25"/>
    <row r="17" x14ac:dyDescent="0.25"/>
    <row r="18" x14ac:dyDescent="0.25"/>
    <row r="19" x14ac:dyDescent="0.25"/>
    <row r="20" x14ac:dyDescent="0.25"/>
    <row r="21" x14ac:dyDescent="0.25"/>
    <row r="22" x14ac:dyDescent="0.25"/>
    <row r="23" x14ac:dyDescent="0.25"/>
    <row r="24" x14ac:dyDescent="0.25"/>
    <row r="25" x14ac:dyDescent="0.25"/>
    <row r="26" x14ac:dyDescent="0.25"/>
    <row r="27" x14ac:dyDescent="0.25"/>
    <row r="28" x14ac:dyDescent="0.25"/>
    <row r="29" x14ac:dyDescent="0.25"/>
    <row r="30" x14ac:dyDescent="0.25"/>
    <row r="31" x14ac:dyDescent="0.25"/>
    <row r="32" x14ac:dyDescent="0.25"/>
    <row r="33" x14ac:dyDescent="0.25"/>
    <row r="34" x14ac:dyDescent="0.25"/>
    <row r="35" x14ac:dyDescent="0.25"/>
    <row r="36" x14ac:dyDescent="0.25"/>
    <row r="37" x14ac:dyDescent="0.25"/>
    <row r="38" x14ac:dyDescent="0.25"/>
    <row r="39" x14ac:dyDescent="0.25"/>
    <row r="40" x14ac:dyDescent="0.25"/>
    <row r="41" x14ac:dyDescent="0.25"/>
    <row r="42" x14ac:dyDescent="0.25"/>
    <row r="43" x14ac:dyDescent="0.25"/>
    <row r="44" x14ac:dyDescent="0.25"/>
    <row r="45" x14ac:dyDescent="0.25"/>
    <row r="46" x14ac:dyDescent="0.25"/>
    <row r="47" x14ac:dyDescent="0.25"/>
    <row r="48" x14ac:dyDescent="0.25"/>
    <row r="49" x14ac:dyDescent="0.25"/>
  </sheetData>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A5E22B-CD69-4D76-B495-D49B1593929A}">
  <sheetPr codeName="Sheet2"/>
  <dimension ref="B3:CL114"/>
  <sheetViews>
    <sheetView zoomScale="60" zoomScaleNormal="60" workbookViewId="0">
      <selection activeCell="N41" sqref="N41"/>
    </sheetView>
  </sheetViews>
  <sheetFormatPr defaultRowHeight="15" x14ac:dyDescent="0.25"/>
  <cols>
    <col min="2" max="2" width="20.7109375" bestFit="1" customWidth="1"/>
    <col min="3" max="3" width="19.28515625" bestFit="1" customWidth="1"/>
    <col min="4" max="4" width="5.28515625" bestFit="1" customWidth="1"/>
    <col min="5" max="5" width="8.85546875" bestFit="1" customWidth="1"/>
    <col min="6" max="6" width="16.5703125" bestFit="1" customWidth="1"/>
    <col min="7" max="7" width="11" bestFit="1" customWidth="1"/>
    <col min="26" max="26" width="20.7109375" bestFit="1" customWidth="1"/>
    <col min="27" max="27" width="19.28515625" bestFit="1" customWidth="1"/>
    <col min="28" max="28" width="5.28515625" bestFit="1" customWidth="1"/>
    <col min="29" max="29" width="8.85546875" bestFit="1" customWidth="1"/>
    <col min="30" max="30" width="16.5703125" bestFit="1" customWidth="1"/>
    <col min="31" max="31" width="11" bestFit="1" customWidth="1"/>
    <col min="56" max="56" width="20.7109375" bestFit="1" customWidth="1"/>
    <col min="57" max="57" width="19.28515625" bestFit="1" customWidth="1"/>
    <col min="58" max="58" width="5.28515625" bestFit="1" customWidth="1"/>
    <col min="59" max="59" width="8.85546875" bestFit="1" customWidth="1"/>
    <col min="60" max="60" width="16.5703125" bestFit="1" customWidth="1"/>
    <col min="61" max="61" width="11" bestFit="1" customWidth="1"/>
    <col min="89" max="89" width="20.7109375" bestFit="1" customWidth="1"/>
    <col min="90" max="90" width="19.140625" bestFit="1" customWidth="1"/>
  </cols>
  <sheetData>
    <row r="3" spans="2:6" x14ac:dyDescent="0.25">
      <c r="B3" s="11" t="s">
        <v>75</v>
      </c>
      <c r="C3" s="11" t="s">
        <v>156</v>
      </c>
    </row>
    <row r="4" spans="2:6" x14ac:dyDescent="0.25">
      <c r="B4" s="11" t="s">
        <v>154</v>
      </c>
      <c r="C4" t="s">
        <v>24</v>
      </c>
      <c r="D4" t="s">
        <v>22</v>
      </c>
      <c r="E4" t="s">
        <v>23</v>
      </c>
      <c r="F4" t="s">
        <v>155</v>
      </c>
    </row>
    <row r="5" spans="2:6" x14ac:dyDescent="0.25">
      <c r="B5" s="12" t="s">
        <v>20</v>
      </c>
      <c r="D5">
        <v>2</v>
      </c>
      <c r="E5">
        <v>2</v>
      </c>
      <c r="F5">
        <v>4</v>
      </c>
    </row>
    <row r="6" spans="2:6" x14ac:dyDescent="0.25">
      <c r="B6" s="12" t="s">
        <v>114</v>
      </c>
      <c r="C6">
        <v>1</v>
      </c>
      <c r="D6">
        <v>2</v>
      </c>
      <c r="E6">
        <v>2</v>
      </c>
      <c r="F6">
        <v>5</v>
      </c>
    </row>
    <row r="7" spans="2:6" x14ac:dyDescent="0.25">
      <c r="B7" s="12" t="s">
        <v>115</v>
      </c>
      <c r="C7">
        <v>1</v>
      </c>
      <c r="D7">
        <v>1</v>
      </c>
      <c r="E7">
        <v>2</v>
      </c>
      <c r="F7">
        <v>4</v>
      </c>
    </row>
    <row r="8" spans="2:6" x14ac:dyDescent="0.25">
      <c r="B8" s="12" t="s">
        <v>116</v>
      </c>
      <c r="C8">
        <v>2</v>
      </c>
      <c r="D8">
        <v>1</v>
      </c>
      <c r="F8">
        <v>3</v>
      </c>
    </row>
    <row r="9" spans="2:6" x14ac:dyDescent="0.25">
      <c r="B9" s="12" t="s">
        <v>118</v>
      </c>
      <c r="C9">
        <v>1</v>
      </c>
      <c r="D9">
        <v>1</v>
      </c>
      <c r="F9">
        <v>2</v>
      </c>
    </row>
    <row r="10" spans="2:6" x14ac:dyDescent="0.25">
      <c r="B10" s="12" t="s">
        <v>117</v>
      </c>
      <c r="C10">
        <v>1</v>
      </c>
      <c r="E10">
        <v>2</v>
      </c>
      <c r="F10">
        <v>3</v>
      </c>
    </row>
    <row r="11" spans="2:6" x14ac:dyDescent="0.25">
      <c r="B11" s="12" t="s">
        <v>155</v>
      </c>
      <c r="C11">
        <v>6</v>
      </c>
      <c r="D11">
        <v>7</v>
      </c>
      <c r="E11">
        <v>8</v>
      </c>
      <c r="F11">
        <v>21</v>
      </c>
    </row>
    <row r="35" spans="26:30" x14ac:dyDescent="0.25">
      <c r="Z35" s="11" t="s">
        <v>75</v>
      </c>
      <c r="AA35" s="11" t="s">
        <v>156</v>
      </c>
    </row>
    <row r="36" spans="26:30" x14ac:dyDescent="0.25">
      <c r="Z36" s="11" t="s">
        <v>154</v>
      </c>
      <c r="AA36" t="s">
        <v>24</v>
      </c>
      <c r="AB36" t="s">
        <v>22</v>
      </c>
      <c r="AC36" t="s">
        <v>23</v>
      </c>
      <c r="AD36" t="s">
        <v>155</v>
      </c>
    </row>
    <row r="37" spans="26:30" x14ac:dyDescent="0.25">
      <c r="Z37" s="12" t="s">
        <v>0</v>
      </c>
      <c r="AB37">
        <v>2</v>
      </c>
      <c r="AD37">
        <v>2</v>
      </c>
    </row>
    <row r="38" spans="26:30" x14ac:dyDescent="0.25">
      <c r="Z38" s="12" t="s">
        <v>4</v>
      </c>
      <c r="AB38">
        <v>1</v>
      </c>
      <c r="AD38">
        <v>1</v>
      </c>
    </row>
    <row r="39" spans="26:30" x14ac:dyDescent="0.25">
      <c r="Z39" s="12" t="s">
        <v>7</v>
      </c>
      <c r="AA39">
        <v>1</v>
      </c>
      <c r="AC39">
        <v>1</v>
      </c>
      <c r="AD39">
        <v>2</v>
      </c>
    </row>
    <row r="40" spans="26:30" x14ac:dyDescent="0.25">
      <c r="Z40" s="12" t="s">
        <v>1</v>
      </c>
      <c r="AA40">
        <v>1</v>
      </c>
      <c r="AB40">
        <v>1</v>
      </c>
      <c r="AC40">
        <v>5</v>
      </c>
      <c r="AD40">
        <v>7</v>
      </c>
    </row>
    <row r="41" spans="26:30" x14ac:dyDescent="0.25">
      <c r="Z41" s="12" t="s">
        <v>31</v>
      </c>
      <c r="AA41">
        <v>1</v>
      </c>
      <c r="AC41">
        <v>1</v>
      </c>
      <c r="AD41">
        <v>2</v>
      </c>
    </row>
    <row r="42" spans="26:30" x14ac:dyDescent="0.25">
      <c r="Z42" s="12" t="s">
        <v>6</v>
      </c>
      <c r="AA42">
        <v>1</v>
      </c>
      <c r="AD42">
        <v>1</v>
      </c>
    </row>
    <row r="43" spans="26:30" x14ac:dyDescent="0.25">
      <c r="Z43" s="12" t="s">
        <v>3</v>
      </c>
      <c r="AA43">
        <v>2</v>
      </c>
      <c r="AD43">
        <v>2</v>
      </c>
    </row>
    <row r="44" spans="26:30" x14ac:dyDescent="0.25">
      <c r="Z44" s="12" t="s">
        <v>2</v>
      </c>
      <c r="AB44">
        <v>3</v>
      </c>
      <c r="AD44">
        <v>3</v>
      </c>
    </row>
    <row r="45" spans="26:30" x14ac:dyDescent="0.25">
      <c r="Z45" s="12" t="s">
        <v>5</v>
      </c>
      <c r="AC45">
        <v>1</v>
      </c>
      <c r="AD45">
        <v>1</v>
      </c>
    </row>
    <row r="46" spans="26:30" x14ac:dyDescent="0.25">
      <c r="Z46" s="12" t="s">
        <v>155</v>
      </c>
      <c r="AA46">
        <v>6</v>
      </c>
      <c r="AB46">
        <v>7</v>
      </c>
      <c r="AC46">
        <v>8</v>
      </c>
      <c r="AD46">
        <v>21</v>
      </c>
    </row>
    <row r="63" spans="56:60" x14ac:dyDescent="0.25">
      <c r="BD63" s="11" t="s">
        <v>27</v>
      </c>
      <c r="BE63" s="11" t="s">
        <v>156</v>
      </c>
    </row>
    <row r="64" spans="56:60" x14ac:dyDescent="0.25">
      <c r="BD64" s="11" t="s">
        <v>154</v>
      </c>
      <c r="BE64" t="s">
        <v>24</v>
      </c>
      <c r="BF64" t="s">
        <v>22</v>
      </c>
      <c r="BG64" t="s">
        <v>23</v>
      </c>
      <c r="BH64" t="s">
        <v>155</v>
      </c>
    </row>
    <row r="65" spans="56:60" x14ac:dyDescent="0.25">
      <c r="BD65" s="12" t="s">
        <v>127</v>
      </c>
      <c r="BE65">
        <v>1</v>
      </c>
      <c r="BF65">
        <v>2</v>
      </c>
      <c r="BG65">
        <v>1</v>
      </c>
      <c r="BH65">
        <v>4</v>
      </c>
    </row>
    <row r="66" spans="56:60" x14ac:dyDescent="0.25">
      <c r="BD66" s="12" t="s">
        <v>128</v>
      </c>
      <c r="BF66">
        <v>3</v>
      </c>
      <c r="BG66">
        <v>2</v>
      </c>
      <c r="BH66">
        <v>5</v>
      </c>
    </row>
    <row r="67" spans="56:60" x14ac:dyDescent="0.25">
      <c r="BD67" s="12" t="s">
        <v>130</v>
      </c>
      <c r="BF67">
        <v>2</v>
      </c>
      <c r="BG67">
        <v>2</v>
      </c>
      <c r="BH67">
        <v>4</v>
      </c>
    </row>
    <row r="68" spans="56:60" x14ac:dyDescent="0.25">
      <c r="BD68" s="12" t="s">
        <v>131</v>
      </c>
      <c r="BE68">
        <v>3</v>
      </c>
      <c r="BG68">
        <v>1</v>
      </c>
      <c r="BH68">
        <v>4</v>
      </c>
    </row>
    <row r="69" spans="56:60" x14ac:dyDescent="0.25">
      <c r="BD69" s="12" t="s">
        <v>132</v>
      </c>
      <c r="BE69">
        <v>1</v>
      </c>
      <c r="BG69">
        <v>1</v>
      </c>
      <c r="BH69">
        <v>2</v>
      </c>
    </row>
    <row r="70" spans="56:60" x14ac:dyDescent="0.25">
      <c r="BD70" s="12" t="s">
        <v>129</v>
      </c>
      <c r="BE70">
        <v>1</v>
      </c>
      <c r="BG70">
        <v>1</v>
      </c>
      <c r="BH70">
        <v>2</v>
      </c>
    </row>
    <row r="71" spans="56:60" x14ac:dyDescent="0.25">
      <c r="BD71" s="12" t="s">
        <v>155</v>
      </c>
      <c r="BE71">
        <v>6</v>
      </c>
      <c r="BF71">
        <v>7</v>
      </c>
      <c r="BG71">
        <v>8</v>
      </c>
      <c r="BH71">
        <v>21</v>
      </c>
    </row>
    <row r="110" spans="89:90" x14ac:dyDescent="0.25">
      <c r="CK110" s="11" t="s">
        <v>154</v>
      </c>
      <c r="CL110" t="s">
        <v>27</v>
      </c>
    </row>
    <row r="111" spans="89:90" x14ac:dyDescent="0.25">
      <c r="CK111" s="12" t="s">
        <v>24</v>
      </c>
      <c r="CL111" s="6">
        <v>0.2857142857142857</v>
      </c>
    </row>
    <row r="112" spans="89:90" x14ac:dyDescent="0.25">
      <c r="CK112" s="12" t="s">
        <v>22</v>
      </c>
      <c r="CL112" s="6">
        <v>0.33333333333333331</v>
      </c>
    </row>
    <row r="113" spans="89:90" x14ac:dyDescent="0.25">
      <c r="CK113" s="12" t="s">
        <v>23</v>
      </c>
      <c r="CL113" s="6">
        <v>0.38095238095238093</v>
      </c>
    </row>
    <row r="114" spans="89:90" x14ac:dyDescent="0.25">
      <c r="CK114" s="12" t="s">
        <v>155</v>
      </c>
      <c r="CL114" s="6">
        <v>1</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F7CF22-3AC2-45A1-8FDF-B4A107B2E826}">
  <sheetPr codeName="Sheet3"/>
  <dimension ref="A1:AA110"/>
  <sheetViews>
    <sheetView workbookViewId="0">
      <selection activeCell="N41" sqref="N41"/>
    </sheetView>
  </sheetViews>
  <sheetFormatPr defaultRowHeight="15" x14ac:dyDescent="0.25"/>
  <cols>
    <col min="1" max="1" width="13.28515625" bestFit="1" customWidth="1"/>
    <col min="2" max="2" width="30" customWidth="1"/>
    <col min="3" max="3" width="18.7109375" bestFit="1" customWidth="1"/>
    <col min="4" max="4" width="13.7109375" customWidth="1"/>
    <col min="5" max="5" width="9.7109375" bestFit="1" customWidth="1"/>
    <col min="6" max="6" width="11.85546875" customWidth="1"/>
    <col min="7" max="7" width="11.28515625" customWidth="1"/>
    <col min="8" max="8" width="25.85546875" bestFit="1" customWidth="1"/>
    <col min="9" max="9" width="12.7109375" customWidth="1"/>
    <col min="10" max="10" width="23" customWidth="1"/>
    <col min="11" max="11" width="17.140625" customWidth="1"/>
    <col min="12" max="12" width="23.85546875" customWidth="1"/>
    <col min="13" max="13" width="24.42578125" customWidth="1"/>
    <col min="14" max="14" width="16.28515625" bestFit="1" customWidth="1"/>
    <col min="15" max="15" width="15.7109375" bestFit="1" customWidth="1"/>
    <col min="16" max="16" width="14.140625" bestFit="1" customWidth="1"/>
    <col min="17" max="17" width="13.5703125" bestFit="1" customWidth="1"/>
    <col min="18" max="18" width="11.140625" customWidth="1"/>
  </cols>
  <sheetData>
    <row r="1" spans="1:27" x14ac:dyDescent="0.25">
      <c r="A1" s="3" t="s">
        <v>18</v>
      </c>
      <c r="B1" s="3" t="s">
        <v>19</v>
      </c>
      <c r="C1" s="3" t="s">
        <v>8</v>
      </c>
      <c r="D1" s="3" t="s">
        <v>9</v>
      </c>
      <c r="E1" s="3" t="s">
        <v>10</v>
      </c>
      <c r="F1" s="3" t="s">
        <v>11</v>
      </c>
      <c r="G1" s="3" t="s">
        <v>12</v>
      </c>
      <c r="H1" s="3" t="s">
        <v>26</v>
      </c>
      <c r="I1" s="3" t="s">
        <v>16</v>
      </c>
      <c r="J1" s="3" t="s">
        <v>28</v>
      </c>
      <c r="K1" s="3" t="s">
        <v>29</v>
      </c>
      <c r="L1" s="3" t="s">
        <v>30</v>
      </c>
      <c r="M1" s="3" t="s">
        <v>32</v>
      </c>
      <c r="N1" s="3" t="s">
        <v>33</v>
      </c>
      <c r="O1" s="3" t="s">
        <v>34</v>
      </c>
      <c r="P1" s="3" t="s">
        <v>35</v>
      </c>
      <c r="Q1" s="3" t="s">
        <v>36</v>
      </c>
      <c r="R1" s="3" t="s">
        <v>37</v>
      </c>
      <c r="S1" s="3" t="s">
        <v>38</v>
      </c>
      <c r="T1" s="3" t="s">
        <v>39</v>
      </c>
      <c r="U1" s="3" t="s">
        <v>40</v>
      </c>
      <c r="V1" s="3" t="s">
        <v>41</v>
      </c>
      <c r="W1" s="3" t="s">
        <v>54</v>
      </c>
      <c r="X1" s="3" t="s">
        <v>70</v>
      </c>
      <c r="Y1" s="3"/>
      <c r="Z1" s="3"/>
      <c r="AA1" s="3"/>
    </row>
    <row r="2" spans="1:27" x14ac:dyDescent="0.25">
      <c r="A2" t="str">
        <f>INDEX(InputTbl[],ROW(DataAgg!A1),MATCH(A$1,InputTbl[#Headers],0))</f>
        <v>Task 1</v>
      </c>
      <c r="B2" t="str">
        <f>INDEX(InputTbl[],ROW(DataAgg!B1),MATCH(B$1,InputTbl[#Headers],0))</f>
        <v>General</v>
      </c>
      <c r="C2" t="str">
        <f>INDEX(InputTbl[],ROW(DataAgg!C1),MATCH(C$1,InputTbl[#Headers],0))</f>
        <v>Project #4</v>
      </c>
      <c r="D2" t="str">
        <f>INDEX(InputTbl[],ROW(DataAgg!D1),MATCH(D$1,InputTbl[#Headers],0))</f>
        <v>Joe</v>
      </c>
      <c r="E2" t="str">
        <f>INDEX(InputTbl[],ROW(DataAgg!E1),MATCH(E$1,InputTbl[#Headers],0))</f>
        <v>Low</v>
      </c>
      <c r="F2" s="10">
        <f>INDEX(InputTbl[],ROW(DataAgg!F1),MATCH(F$1,InputTbl[#Headers],0))</f>
        <v>43923</v>
      </c>
      <c r="G2" s="10">
        <f>INDEX(InputTbl[],ROW(DataAgg!G1),MATCH(G$1,InputTbl[#Headers],0))</f>
        <v>44210</v>
      </c>
      <c r="H2" t="str">
        <f>INDEX(InputTbl[],ROW(DataAgg!H1),MATCH(H$1,InputTbl[#Headers],0))</f>
        <v>Research</v>
      </c>
      <c r="I2">
        <f>INDEX(InputTbl[],ROW(DataAgg!I1),MATCH(I$1,InputTbl[#Headers],0))</f>
        <v>0.1</v>
      </c>
      <c r="J2">
        <f t="shared" ref="J2:J33" ca="1" si="0">MATCH(B2,KanbanBoards,0)</f>
        <v>1</v>
      </c>
      <c r="K2">
        <f t="shared" ref="K2:K33" ca="1" si="1">MATCH(C2,Projects,0)</f>
        <v>4</v>
      </c>
      <c r="L2">
        <f t="shared" ref="L2:L33" ca="1" si="2">MATCH(D2,TeamMembers,0)</f>
        <v>1</v>
      </c>
      <c r="M2" t="str">
        <f t="shared" ref="M2:V11" si="3">IF(MATCH($H2,StatusOptions,0)=COLUMN(M:M)-12,"TRUE","FALSE")</f>
        <v>FALSE</v>
      </c>
      <c r="N2" t="str">
        <f t="shared" si="3"/>
        <v>FALSE</v>
      </c>
      <c r="O2" t="str">
        <f t="shared" si="3"/>
        <v>TRUE</v>
      </c>
      <c r="P2" t="str">
        <f t="shared" si="3"/>
        <v>FALSE</v>
      </c>
      <c r="Q2" t="str">
        <f t="shared" si="3"/>
        <v>FALSE</v>
      </c>
      <c r="R2" t="str">
        <f t="shared" si="3"/>
        <v>FALSE</v>
      </c>
      <c r="S2" t="str">
        <f t="shared" si="3"/>
        <v>FALSE</v>
      </c>
      <c r="T2" t="str">
        <f t="shared" si="3"/>
        <v>FALSE</v>
      </c>
      <c r="U2" t="str">
        <f t="shared" si="3"/>
        <v>FALSE</v>
      </c>
      <c r="V2" t="str">
        <f t="shared" si="3"/>
        <v>FALSE</v>
      </c>
      <c r="W2" t="b">
        <v>0</v>
      </c>
      <c r="X2" t="str">
        <f ca="1">IF(DataTbl[[#This Row],[Task Name]]&lt;&gt;0,IF(AND(DataTbl[[#This Row],[Due Date]]&lt;NOW(),OR(DataTbl[[#This Row],[% Progress]]&lt;&gt;1,DataTbl[[#This Row],[Status]]&lt;&gt;"Completed")),"Yes","No"),"No")</f>
        <v>Yes</v>
      </c>
    </row>
    <row r="3" spans="1:27" x14ac:dyDescent="0.25">
      <c r="A3" t="str">
        <f>INDEX(InputTbl[],ROW(DataAgg!A2),MATCH($A$1,InputTbl[#Headers],0))</f>
        <v>Task 2</v>
      </c>
      <c r="B3" t="str">
        <f>INDEX(InputTbl[],ROW(DataAgg!B2),MATCH(B$1,InputTbl[#Headers],0))</f>
        <v>Team #1</v>
      </c>
      <c r="C3" t="str">
        <f>INDEX(InputTbl[],ROW(DataAgg!C2),MATCH(C$1,InputTbl[#Headers],0))</f>
        <v>Project #3</v>
      </c>
      <c r="D3" t="str">
        <f>INDEX(InputTbl[],ROW(DataAgg!D2),MATCH(D$1,InputTbl[#Headers],0))</f>
        <v>Sam</v>
      </c>
      <c r="E3" t="str">
        <f>INDEX(InputTbl[],ROW(DataAgg!E2),MATCH(E$1,InputTbl[#Headers],0))</f>
        <v>Medium</v>
      </c>
      <c r="F3" s="10">
        <f>INDEX(InputTbl[],ROW(DataAgg!F2),MATCH(F$1,InputTbl[#Headers],0))</f>
        <v>43851</v>
      </c>
      <c r="G3" s="10">
        <f>INDEX(InputTbl[],ROW(DataAgg!G2),MATCH(G$1,InputTbl[#Headers],0))</f>
        <v>44135</v>
      </c>
      <c r="H3" t="str">
        <f>INDEX(InputTbl[],ROW(DataAgg!H2),MATCH(H$1,InputTbl[#Headers],0))</f>
        <v>Testing</v>
      </c>
      <c r="I3">
        <f>INDEX(InputTbl[],ROW(DataAgg!I2),MATCH(I$1,InputTbl[#Headers],0))</f>
        <v>0.5</v>
      </c>
      <c r="J3">
        <f t="shared" ca="1" si="0"/>
        <v>2</v>
      </c>
      <c r="K3">
        <f t="shared" ca="1" si="1"/>
        <v>3</v>
      </c>
      <c r="L3">
        <f t="shared" ca="1" si="2"/>
        <v>2</v>
      </c>
      <c r="M3" t="str">
        <f t="shared" si="3"/>
        <v>FALSE</v>
      </c>
      <c r="N3" t="str">
        <f t="shared" si="3"/>
        <v>FALSE</v>
      </c>
      <c r="O3" t="str">
        <f t="shared" si="3"/>
        <v>FALSE</v>
      </c>
      <c r="P3" t="str">
        <f t="shared" si="3"/>
        <v>FALSE</v>
      </c>
      <c r="Q3" t="str">
        <f t="shared" si="3"/>
        <v>FALSE</v>
      </c>
      <c r="R3" t="str">
        <f t="shared" si="3"/>
        <v>FALSE</v>
      </c>
      <c r="S3" t="str">
        <f t="shared" si="3"/>
        <v>TRUE</v>
      </c>
      <c r="T3" t="str">
        <f t="shared" si="3"/>
        <v>FALSE</v>
      </c>
      <c r="U3" t="str">
        <f t="shared" si="3"/>
        <v>FALSE</v>
      </c>
      <c r="V3" t="str">
        <f t="shared" si="3"/>
        <v>FALSE</v>
      </c>
      <c r="W3" t="b">
        <v>0</v>
      </c>
      <c r="X3" t="str">
        <f ca="1">IF(DataTbl[[#This Row],[Task Name]]&lt;&gt;0,IF(AND(DataTbl[[#This Row],[Due Date]]&lt;NOW(),OR(DataTbl[[#This Row],[% Progress]]&lt;&gt;1,DataTbl[[#This Row],[Status]]&lt;&gt;"Completed")),"Yes","No"),"No")</f>
        <v>Yes</v>
      </c>
    </row>
    <row r="4" spans="1:27" x14ac:dyDescent="0.25">
      <c r="A4" t="str">
        <f>INDEX(InputTbl[],ROW(DataAgg!A3),MATCH($A$1,InputTbl[#Headers],0))</f>
        <v>Special Task 1</v>
      </c>
      <c r="B4" t="str">
        <f>INDEX(InputTbl[],ROW(DataAgg!B3),MATCH(B$1,InputTbl[#Headers],0))</f>
        <v>Team #3</v>
      </c>
      <c r="C4" t="str">
        <f>INDEX(InputTbl[],ROW(DataAgg!C3),MATCH(C$1,InputTbl[#Headers],0))</f>
        <v>Project #4</v>
      </c>
      <c r="D4" t="str">
        <f>INDEX(InputTbl[],ROW(DataAgg!D3),MATCH(D$1,InputTbl[#Headers],0))</f>
        <v>Joe</v>
      </c>
      <c r="E4" t="str">
        <f>INDEX(InputTbl[],ROW(DataAgg!E3),MATCH(E$1,InputTbl[#Headers],0))</f>
        <v>High</v>
      </c>
      <c r="F4" s="10">
        <f>INDEX(InputTbl[],ROW(DataAgg!F3),MATCH(F$1,InputTbl[#Headers],0))</f>
        <v>43940</v>
      </c>
      <c r="G4" s="10">
        <f>INDEX(InputTbl[],ROW(DataAgg!G3),MATCH(G$1,InputTbl[#Headers],0))</f>
        <v>44044</v>
      </c>
      <c r="H4" t="str">
        <f>INDEX(InputTbl[],ROW(DataAgg!H3),MATCH(H$1,InputTbl[#Headers],0))</f>
        <v>Pending</v>
      </c>
      <c r="I4">
        <f>INDEX(InputTbl[],ROW(DataAgg!I3),MATCH(I$1,InputTbl[#Headers],0))</f>
        <v>0</v>
      </c>
      <c r="J4">
        <f t="shared" ca="1" si="0"/>
        <v>4</v>
      </c>
      <c r="K4">
        <f t="shared" ca="1" si="1"/>
        <v>4</v>
      </c>
      <c r="L4">
        <f t="shared" ca="1" si="2"/>
        <v>1</v>
      </c>
      <c r="M4" t="str">
        <f t="shared" si="3"/>
        <v>FALSE</v>
      </c>
      <c r="N4" t="str">
        <f t="shared" si="3"/>
        <v>TRUE</v>
      </c>
      <c r="O4" t="str">
        <f t="shared" si="3"/>
        <v>FALSE</v>
      </c>
      <c r="P4" t="str">
        <f t="shared" si="3"/>
        <v>FALSE</v>
      </c>
      <c r="Q4" t="str">
        <f t="shared" si="3"/>
        <v>FALSE</v>
      </c>
      <c r="R4" t="str">
        <f t="shared" si="3"/>
        <v>FALSE</v>
      </c>
      <c r="S4" t="str">
        <f t="shared" si="3"/>
        <v>FALSE</v>
      </c>
      <c r="T4" t="str">
        <f t="shared" si="3"/>
        <v>FALSE</v>
      </c>
      <c r="U4" t="str">
        <f t="shared" si="3"/>
        <v>FALSE</v>
      </c>
      <c r="V4" t="str">
        <f t="shared" si="3"/>
        <v>FALSE</v>
      </c>
      <c r="W4" t="b">
        <v>0</v>
      </c>
      <c r="X4" t="str">
        <f ca="1">IF(DataTbl[[#This Row],[Task Name]]&lt;&gt;0,IF(AND(DataTbl[[#This Row],[Due Date]]&lt;NOW(),OR(DataTbl[[#This Row],[% Progress]]&lt;&gt;1,DataTbl[[#This Row],[Status]]&lt;&gt;"Completed")),"Yes","No"),"No")</f>
        <v>Yes</v>
      </c>
    </row>
    <row r="5" spans="1:27" x14ac:dyDescent="0.25">
      <c r="A5" t="str">
        <f>INDEX(InputTbl[],ROW(DataAgg!A4),MATCH($A$1,InputTbl[#Headers],0))</f>
        <v>Special Task 2</v>
      </c>
      <c r="B5" t="str">
        <f>INDEX(InputTbl[],ROW(DataAgg!B4),MATCH(B$1,InputTbl[#Headers],0))</f>
        <v>Team #1</v>
      </c>
      <c r="C5" t="str">
        <f>INDEX(InputTbl[],ROW(DataAgg!C4),MATCH(C$1,InputTbl[#Headers],0))</f>
        <v>Project #4</v>
      </c>
      <c r="D5" t="str">
        <f>INDEX(InputTbl[],ROW(DataAgg!D4),MATCH(D$1,InputTbl[#Headers],0))</f>
        <v>David</v>
      </c>
      <c r="E5" t="str">
        <f>INDEX(InputTbl[],ROW(DataAgg!E4),MATCH(E$1,InputTbl[#Headers],0))</f>
        <v>Low</v>
      </c>
      <c r="F5" s="10">
        <f>INDEX(InputTbl[],ROW(DataAgg!F4),MATCH(F$1,InputTbl[#Headers],0))</f>
        <v>43840</v>
      </c>
      <c r="G5" s="10">
        <f>INDEX(InputTbl[],ROW(DataAgg!G4),MATCH(G$1,InputTbl[#Headers],0))</f>
        <v>44154</v>
      </c>
      <c r="H5" t="str">
        <f>INDEX(InputTbl[],ROW(DataAgg!H4),MATCH(H$1,InputTbl[#Headers],0))</f>
        <v>In Progress</v>
      </c>
      <c r="I5">
        <f>INDEX(InputTbl[],ROW(DataAgg!I4),MATCH(I$1,InputTbl[#Headers],0))</f>
        <v>0.6</v>
      </c>
      <c r="J5">
        <f t="shared" ca="1" si="0"/>
        <v>2</v>
      </c>
      <c r="K5">
        <f t="shared" ca="1" si="1"/>
        <v>4</v>
      </c>
      <c r="L5">
        <f t="shared" ca="1" si="2"/>
        <v>4</v>
      </c>
      <c r="M5" t="str">
        <f t="shared" si="3"/>
        <v>FALSE</v>
      </c>
      <c r="N5" t="str">
        <f t="shared" si="3"/>
        <v>FALSE</v>
      </c>
      <c r="O5" t="str">
        <f t="shared" si="3"/>
        <v>FALSE</v>
      </c>
      <c r="P5" t="str">
        <f t="shared" si="3"/>
        <v>TRUE</v>
      </c>
      <c r="Q5" t="str">
        <f t="shared" si="3"/>
        <v>FALSE</v>
      </c>
      <c r="R5" t="str">
        <f t="shared" si="3"/>
        <v>FALSE</v>
      </c>
      <c r="S5" t="str">
        <f t="shared" si="3"/>
        <v>FALSE</v>
      </c>
      <c r="T5" t="str">
        <f t="shared" si="3"/>
        <v>FALSE</v>
      </c>
      <c r="U5" t="str">
        <f t="shared" si="3"/>
        <v>FALSE</v>
      </c>
      <c r="V5" t="str">
        <f t="shared" si="3"/>
        <v>FALSE</v>
      </c>
      <c r="W5" t="b">
        <v>0</v>
      </c>
      <c r="X5" t="str">
        <f ca="1">IF(DataTbl[[#This Row],[Task Name]]&lt;&gt;0,IF(AND(DataTbl[[#This Row],[Due Date]]&lt;NOW(),OR(DataTbl[[#This Row],[% Progress]]&lt;&gt;1,DataTbl[[#This Row],[Status]]&lt;&gt;"Completed")),"Yes","No"),"No")</f>
        <v>Yes</v>
      </c>
    </row>
    <row r="6" spans="1:27" x14ac:dyDescent="0.25">
      <c r="A6" t="str">
        <f>INDEX(InputTbl[],ROW(DataAgg!A5),MATCH($A$1,InputTbl[#Headers],0))</f>
        <v>Task 4</v>
      </c>
      <c r="B6" t="str">
        <f>INDEX(InputTbl[],ROW(DataAgg!B5),MATCH(B$1,InputTbl[#Headers],0))</f>
        <v>Team #4</v>
      </c>
      <c r="C6" t="str">
        <f>INDEX(InputTbl[],ROW(DataAgg!C5),MATCH(C$1,InputTbl[#Headers],0))</f>
        <v>Project #3</v>
      </c>
      <c r="D6" t="str">
        <f>INDEX(InputTbl[],ROW(DataAgg!D5),MATCH(D$1,InputTbl[#Headers],0))</f>
        <v>Brenda</v>
      </c>
      <c r="E6" t="str">
        <f>INDEX(InputTbl[],ROW(DataAgg!E5),MATCH(E$1,InputTbl[#Headers],0))</f>
        <v>Medium</v>
      </c>
      <c r="F6" s="10">
        <f>INDEX(InputTbl[],ROW(DataAgg!F5),MATCH(F$1,InputTbl[#Headers],0))</f>
        <v>43968</v>
      </c>
      <c r="G6" s="10">
        <f>INDEX(InputTbl[],ROW(DataAgg!G5),MATCH(G$1,InputTbl[#Headers],0))</f>
        <v>44144</v>
      </c>
      <c r="H6" t="str">
        <f>INDEX(InputTbl[],ROW(DataAgg!H5),MATCH(H$1,InputTbl[#Headers],0))</f>
        <v>In Progress</v>
      </c>
      <c r="I6">
        <f>INDEX(InputTbl[],ROW(DataAgg!I5),MATCH(I$1,InputTbl[#Headers],0))</f>
        <v>0.89999999999999991</v>
      </c>
      <c r="J6">
        <f t="shared" ca="1" si="0"/>
        <v>5</v>
      </c>
      <c r="K6">
        <f t="shared" ca="1" si="1"/>
        <v>3</v>
      </c>
      <c r="L6">
        <f t="shared" ca="1" si="2"/>
        <v>3</v>
      </c>
      <c r="M6" t="str">
        <f t="shared" si="3"/>
        <v>FALSE</v>
      </c>
      <c r="N6" t="str">
        <f t="shared" si="3"/>
        <v>FALSE</v>
      </c>
      <c r="O6" t="str">
        <f t="shared" si="3"/>
        <v>FALSE</v>
      </c>
      <c r="P6" t="str">
        <f t="shared" si="3"/>
        <v>TRUE</v>
      </c>
      <c r="Q6" t="str">
        <f t="shared" si="3"/>
        <v>FALSE</v>
      </c>
      <c r="R6" t="str">
        <f t="shared" si="3"/>
        <v>FALSE</v>
      </c>
      <c r="S6" t="str">
        <f t="shared" si="3"/>
        <v>FALSE</v>
      </c>
      <c r="T6" t="str">
        <f t="shared" si="3"/>
        <v>FALSE</v>
      </c>
      <c r="U6" t="str">
        <f t="shared" si="3"/>
        <v>FALSE</v>
      </c>
      <c r="V6" t="str">
        <f t="shared" si="3"/>
        <v>FALSE</v>
      </c>
      <c r="W6" t="b">
        <v>0</v>
      </c>
      <c r="X6" t="str">
        <f ca="1">IF(DataTbl[[#This Row],[Task Name]]&lt;&gt;0,IF(AND(DataTbl[[#This Row],[Due Date]]&lt;NOW(),OR(DataTbl[[#This Row],[% Progress]]&lt;&gt;1,DataTbl[[#This Row],[Status]]&lt;&gt;"Completed")),"Yes","No"),"No")</f>
        <v>Yes</v>
      </c>
    </row>
    <row r="7" spans="1:27" x14ac:dyDescent="0.25">
      <c r="A7" t="str">
        <f>INDEX(InputTbl[],ROW(DataAgg!A6),MATCH($A$1,InputTbl[#Headers],0))</f>
        <v>Task 5</v>
      </c>
      <c r="B7" t="str">
        <f>INDEX(InputTbl[],ROW(DataAgg!B6),MATCH(B$1,InputTbl[#Headers],0))</f>
        <v>Team #4</v>
      </c>
      <c r="C7" t="str">
        <f>INDEX(InputTbl[],ROW(DataAgg!C6),MATCH(C$1,InputTbl[#Headers],0))</f>
        <v>Project #4</v>
      </c>
      <c r="D7" t="str">
        <f>INDEX(InputTbl[],ROW(DataAgg!D6),MATCH(D$1,InputTbl[#Headers],0))</f>
        <v>Michael</v>
      </c>
      <c r="E7" t="str">
        <f>INDEX(InputTbl[],ROW(DataAgg!E6),MATCH(E$1,InputTbl[#Headers],0))</f>
        <v>High</v>
      </c>
      <c r="F7" s="10">
        <f>INDEX(InputTbl[],ROW(DataAgg!F6),MATCH(F$1,InputTbl[#Headers],0))</f>
        <v>43879</v>
      </c>
      <c r="G7" s="10">
        <f>INDEX(InputTbl[],ROW(DataAgg!G6),MATCH(G$1,InputTbl[#Headers],0))</f>
        <v>44088</v>
      </c>
      <c r="H7" t="str">
        <f>INDEX(InputTbl[],ROW(DataAgg!H6),MATCH(H$1,InputTbl[#Headers],0))</f>
        <v>On Hold</v>
      </c>
      <c r="I7">
        <f>INDEX(InputTbl[],ROW(DataAgg!I6),MATCH(I$1,InputTbl[#Headers],0))</f>
        <v>0.30000000000000004</v>
      </c>
      <c r="J7">
        <f t="shared" ca="1" si="0"/>
        <v>5</v>
      </c>
      <c r="K7">
        <f t="shared" ca="1" si="1"/>
        <v>4</v>
      </c>
      <c r="L7">
        <f t="shared" ca="1" si="2"/>
        <v>5</v>
      </c>
      <c r="M7" t="str">
        <f t="shared" si="3"/>
        <v>FALSE</v>
      </c>
      <c r="N7" t="str">
        <f t="shared" si="3"/>
        <v>FALSE</v>
      </c>
      <c r="O7" t="str">
        <f t="shared" si="3"/>
        <v>FALSE</v>
      </c>
      <c r="P7" t="str">
        <f t="shared" si="3"/>
        <v>FALSE</v>
      </c>
      <c r="Q7" t="str">
        <f t="shared" si="3"/>
        <v>FALSE</v>
      </c>
      <c r="R7" t="str">
        <f t="shared" si="3"/>
        <v>FALSE</v>
      </c>
      <c r="S7" t="str">
        <f t="shared" si="3"/>
        <v>FALSE</v>
      </c>
      <c r="T7" t="str">
        <f t="shared" si="3"/>
        <v>TRUE</v>
      </c>
      <c r="U7" t="str">
        <f t="shared" si="3"/>
        <v>FALSE</v>
      </c>
      <c r="V7" t="str">
        <f t="shared" si="3"/>
        <v>FALSE</v>
      </c>
      <c r="W7" t="b">
        <v>0</v>
      </c>
      <c r="X7" t="str">
        <f ca="1">IF(DataTbl[[#This Row],[Task Name]]&lt;&gt;0,IF(AND(DataTbl[[#This Row],[Due Date]]&lt;NOW(),OR(DataTbl[[#This Row],[% Progress]]&lt;&gt;1,DataTbl[[#This Row],[Status]]&lt;&gt;"Completed")),"Yes","No"),"No")</f>
        <v>Yes</v>
      </c>
    </row>
    <row r="8" spans="1:27" x14ac:dyDescent="0.25">
      <c r="A8" t="str">
        <f>INDEX(InputTbl[],ROW(DataAgg!A7),MATCH($A$1,InputTbl[#Headers],0))</f>
        <v>Special Task 3</v>
      </c>
      <c r="B8" t="str">
        <f>INDEX(InputTbl[],ROW(DataAgg!B7),MATCH(B$1,InputTbl[#Headers],0))</f>
        <v>General</v>
      </c>
      <c r="C8" t="str">
        <f>INDEX(InputTbl[],ROW(DataAgg!C7),MATCH(C$1,InputTbl[#Headers],0))</f>
        <v>Project #1</v>
      </c>
      <c r="D8" t="str">
        <f>INDEX(InputTbl[],ROW(DataAgg!D7),MATCH(D$1,InputTbl[#Headers],0))</f>
        <v>Sam</v>
      </c>
      <c r="E8" t="str">
        <f>INDEX(InputTbl[],ROW(DataAgg!E7),MATCH(E$1,InputTbl[#Headers],0))</f>
        <v>Low</v>
      </c>
      <c r="F8" s="10">
        <f>INDEX(InputTbl[],ROW(DataAgg!F7),MATCH(F$1,InputTbl[#Headers],0))</f>
        <v>43863</v>
      </c>
      <c r="G8" s="10">
        <f>INDEX(InputTbl[],ROW(DataAgg!G7),MATCH(G$1,InputTbl[#Headers],0))</f>
        <v>44166</v>
      </c>
      <c r="H8" t="str">
        <f>INDEX(InputTbl[],ROW(DataAgg!H7),MATCH(H$1,InputTbl[#Headers],0))</f>
        <v>Cancelled</v>
      </c>
      <c r="I8">
        <f>INDEX(InputTbl[],ROW(DataAgg!I7),MATCH(I$1,InputTbl[#Headers],0))</f>
        <v>0.7</v>
      </c>
      <c r="J8">
        <f t="shared" ca="1" si="0"/>
        <v>1</v>
      </c>
      <c r="K8">
        <f t="shared" ca="1" si="1"/>
        <v>1</v>
      </c>
      <c r="L8">
        <f t="shared" ca="1" si="2"/>
        <v>2</v>
      </c>
      <c r="M8" t="str">
        <f t="shared" si="3"/>
        <v>TRUE</v>
      </c>
      <c r="N8" t="str">
        <f t="shared" si="3"/>
        <v>FALSE</v>
      </c>
      <c r="O8" t="str">
        <f t="shared" si="3"/>
        <v>FALSE</v>
      </c>
      <c r="P8" t="str">
        <f t="shared" si="3"/>
        <v>FALSE</v>
      </c>
      <c r="Q8" t="str">
        <f t="shared" si="3"/>
        <v>FALSE</v>
      </c>
      <c r="R8" t="str">
        <f t="shared" si="3"/>
        <v>FALSE</v>
      </c>
      <c r="S8" t="str">
        <f t="shared" si="3"/>
        <v>FALSE</v>
      </c>
      <c r="T8" t="str">
        <f t="shared" si="3"/>
        <v>FALSE</v>
      </c>
      <c r="U8" t="str">
        <f t="shared" si="3"/>
        <v>FALSE</v>
      </c>
      <c r="V8" t="str">
        <f t="shared" si="3"/>
        <v>FALSE</v>
      </c>
      <c r="W8" t="b">
        <v>0</v>
      </c>
      <c r="X8" t="str">
        <f ca="1">IF(DataTbl[[#This Row],[Task Name]]&lt;&gt;0,IF(AND(DataTbl[[#This Row],[Due Date]]&lt;NOW(),OR(DataTbl[[#This Row],[% Progress]]&lt;&gt;1,DataTbl[[#This Row],[Status]]&lt;&gt;"Completed")),"Yes","No"),"No")</f>
        <v>Yes</v>
      </c>
    </row>
    <row r="9" spans="1:27" x14ac:dyDescent="0.25">
      <c r="A9" t="str">
        <f>INDEX(InputTbl[],ROW(DataAgg!A8),MATCH($A$1,InputTbl[#Headers],0))</f>
        <v>Task 7</v>
      </c>
      <c r="B9" t="str">
        <f>INDEX(InputTbl[],ROW(DataAgg!B8),MATCH(B$1,InputTbl[#Headers],0))</f>
        <v>Team #1</v>
      </c>
      <c r="C9" t="str">
        <f>INDEX(InputTbl[],ROW(DataAgg!C8),MATCH(C$1,InputTbl[#Headers],0))</f>
        <v>Project #2</v>
      </c>
      <c r="D9" t="str">
        <f>INDEX(InputTbl[],ROW(DataAgg!D8),MATCH(D$1,InputTbl[#Headers],0))</f>
        <v>Joe</v>
      </c>
      <c r="E9" t="str">
        <f>INDEX(InputTbl[],ROW(DataAgg!E8),MATCH(E$1,InputTbl[#Headers],0))</f>
        <v>Low</v>
      </c>
      <c r="F9" s="10">
        <f>INDEX(InputTbl[],ROW(DataAgg!F8),MATCH(F$1,InputTbl[#Headers],0))</f>
        <v>43930</v>
      </c>
      <c r="G9" s="10">
        <f>INDEX(InputTbl[],ROW(DataAgg!G8),MATCH(G$1,InputTbl[#Headers],0))</f>
        <v>44243</v>
      </c>
      <c r="H9" t="str">
        <f>INDEX(InputTbl[],ROW(DataAgg!H8),MATCH(H$1,InputTbl[#Headers],0))</f>
        <v>Backlog</v>
      </c>
      <c r="I9">
        <f>INDEX(InputTbl[],ROW(DataAgg!I8),MATCH(I$1,InputTbl[#Headers],0))</f>
        <v>0.79999999999999993</v>
      </c>
      <c r="J9">
        <f t="shared" ca="1" si="0"/>
        <v>2</v>
      </c>
      <c r="K9">
        <f t="shared" ca="1" si="1"/>
        <v>2</v>
      </c>
      <c r="L9">
        <f t="shared" ca="1" si="2"/>
        <v>1</v>
      </c>
      <c r="M9" t="str">
        <f t="shared" si="3"/>
        <v>FALSE</v>
      </c>
      <c r="N9" t="str">
        <f t="shared" si="3"/>
        <v>FALSE</v>
      </c>
      <c r="O9" t="str">
        <f t="shared" si="3"/>
        <v>FALSE</v>
      </c>
      <c r="P9" t="str">
        <f t="shared" si="3"/>
        <v>FALSE</v>
      </c>
      <c r="Q9" t="str">
        <f t="shared" si="3"/>
        <v>FALSE</v>
      </c>
      <c r="R9" t="str">
        <f t="shared" si="3"/>
        <v>TRUE</v>
      </c>
      <c r="S9" t="str">
        <f t="shared" si="3"/>
        <v>FALSE</v>
      </c>
      <c r="T9" t="str">
        <f t="shared" si="3"/>
        <v>FALSE</v>
      </c>
      <c r="U9" t="str">
        <f t="shared" si="3"/>
        <v>FALSE</v>
      </c>
      <c r="V9" t="str">
        <f t="shared" si="3"/>
        <v>FALSE</v>
      </c>
      <c r="W9" t="b">
        <v>0</v>
      </c>
      <c r="X9" t="str">
        <f ca="1">IF(DataTbl[[#This Row],[Task Name]]&lt;&gt;0,IF(AND(DataTbl[[#This Row],[Due Date]]&lt;NOW(),OR(DataTbl[[#This Row],[% Progress]]&lt;&gt;1,DataTbl[[#This Row],[Status]]&lt;&gt;"Completed")),"Yes","No"),"No")</f>
        <v>Yes</v>
      </c>
    </row>
    <row r="10" spans="1:27" x14ac:dyDescent="0.25">
      <c r="A10" t="str">
        <f>INDEX(InputTbl[],ROW(DataAgg!A9),MATCH($A$1,InputTbl[#Headers],0))</f>
        <v>Task 8</v>
      </c>
      <c r="B10" t="str">
        <f>INDEX(InputTbl[],ROW(DataAgg!B9),MATCH(B$1,InputTbl[#Headers],0))</f>
        <v>Team #5</v>
      </c>
      <c r="C10" t="str">
        <f>INDEX(InputTbl[],ROW(DataAgg!C9),MATCH(C$1,InputTbl[#Headers],0))</f>
        <v>Project #5</v>
      </c>
      <c r="D10" t="str">
        <f>INDEX(InputTbl[],ROW(DataAgg!D9),MATCH(D$1,InputTbl[#Headers],0))</f>
        <v>Michael</v>
      </c>
      <c r="E10" t="str">
        <f>INDEX(InputTbl[],ROW(DataAgg!E9),MATCH(E$1,InputTbl[#Headers],0))</f>
        <v>High</v>
      </c>
      <c r="F10" s="10">
        <f>INDEX(InputTbl[],ROW(DataAgg!F9),MATCH(F$1,InputTbl[#Headers],0))</f>
        <v>43958</v>
      </c>
      <c r="G10" s="10">
        <f>INDEX(InputTbl[],ROW(DataAgg!G9),MATCH(G$1,InputTbl[#Headers],0))</f>
        <v>44233</v>
      </c>
      <c r="H10" t="str">
        <f>INDEX(InputTbl[],ROW(DataAgg!H9),MATCH(H$1,InputTbl[#Headers],0))</f>
        <v>Completed</v>
      </c>
      <c r="I10">
        <f>INDEX(InputTbl[],ROW(DataAgg!I9),MATCH(I$1,InputTbl[#Headers],0))</f>
        <v>0.99999999999999989</v>
      </c>
      <c r="J10">
        <f t="shared" ca="1" si="0"/>
        <v>6</v>
      </c>
      <c r="K10">
        <f t="shared" ca="1" si="1"/>
        <v>5</v>
      </c>
      <c r="L10">
        <f t="shared" ca="1" si="2"/>
        <v>5</v>
      </c>
      <c r="M10" t="str">
        <f t="shared" si="3"/>
        <v>FALSE</v>
      </c>
      <c r="N10" t="str">
        <f t="shared" si="3"/>
        <v>FALSE</v>
      </c>
      <c r="O10" t="str">
        <f t="shared" si="3"/>
        <v>FALSE</v>
      </c>
      <c r="P10" t="str">
        <f t="shared" si="3"/>
        <v>FALSE</v>
      </c>
      <c r="Q10" t="str">
        <f t="shared" si="3"/>
        <v>TRUE</v>
      </c>
      <c r="R10" t="str">
        <f t="shared" si="3"/>
        <v>FALSE</v>
      </c>
      <c r="S10" t="str">
        <f t="shared" si="3"/>
        <v>FALSE</v>
      </c>
      <c r="T10" t="str">
        <f t="shared" si="3"/>
        <v>FALSE</v>
      </c>
      <c r="U10" t="str">
        <f t="shared" si="3"/>
        <v>FALSE</v>
      </c>
      <c r="V10" t="str">
        <f t="shared" si="3"/>
        <v>FALSE</v>
      </c>
      <c r="W10" t="b">
        <v>0</v>
      </c>
      <c r="X10" t="str">
        <f ca="1">IF(DataTbl[[#This Row],[Task Name]]&lt;&gt;0,IF(AND(DataTbl[[#This Row],[Due Date]]&lt;NOW(),OR(DataTbl[[#This Row],[% Progress]]&lt;&gt;1,DataTbl[[#This Row],[Status]]&lt;&gt;"Completed")),"Yes","No"),"No")</f>
        <v>No</v>
      </c>
    </row>
    <row r="11" spans="1:27" x14ac:dyDescent="0.25">
      <c r="A11" t="str">
        <f>INDEX(InputTbl[],ROW(DataAgg!A10),MATCH($A$1,InputTbl[#Headers],0))</f>
        <v>Task 9</v>
      </c>
      <c r="B11" t="str">
        <f>INDEX(InputTbl[],ROW(DataAgg!B10),MATCH(B$1,InputTbl[#Headers],0))</f>
        <v>Team #1</v>
      </c>
      <c r="C11" t="str">
        <f>INDEX(InputTbl[],ROW(DataAgg!C10),MATCH(C$1,InputTbl[#Headers],0))</f>
        <v>Project #1</v>
      </c>
      <c r="D11" t="str">
        <f>INDEX(InputTbl[],ROW(DataAgg!D10),MATCH(D$1,InputTbl[#Headers],0))</f>
        <v>Michael</v>
      </c>
      <c r="E11" t="str">
        <f>INDEX(InputTbl[],ROW(DataAgg!E10),MATCH(E$1,InputTbl[#Headers],0))</f>
        <v>Medium</v>
      </c>
      <c r="F11" s="10">
        <f>INDEX(InputTbl[],ROW(DataAgg!F10),MATCH(F$1,InputTbl[#Headers],0))</f>
        <v>43922</v>
      </c>
      <c r="G11" s="10">
        <f>INDEX(InputTbl[],ROW(DataAgg!G10),MATCH(G$1,InputTbl[#Headers],0))</f>
        <v>44036</v>
      </c>
      <c r="H11" t="str">
        <f>INDEX(InputTbl[],ROW(DataAgg!H10),MATCH(H$1,InputTbl[#Headers],0))</f>
        <v>Completed</v>
      </c>
      <c r="I11">
        <f>INDEX(InputTbl[],ROW(DataAgg!I10),MATCH(I$1,InputTbl[#Headers],0))</f>
        <v>0.99999999999999989</v>
      </c>
      <c r="J11">
        <f t="shared" ca="1" si="0"/>
        <v>2</v>
      </c>
      <c r="K11">
        <f t="shared" ca="1" si="1"/>
        <v>1</v>
      </c>
      <c r="L11">
        <f t="shared" ca="1" si="2"/>
        <v>5</v>
      </c>
      <c r="M11" t="str">
        <f t="shared" si="3"/>
        <v>FALSE</v>
      </c>
      <c r="N11" t="str">
        <f t="shared" si="3"/>
        <v>FALSE</v>
      </c>
      <c r="O11" t="str">
        <f t="shared" si="3"/>
        <v>FALSE</v>
      </c>
      <c r="P11" t="str">
        <f t="shared" si="3"/>
        <v>FALSE</v>
      </c>
      <c r="Q11" t="str">
        <f t="shared" si="3"/>
        <v>TRUE</v>
      </c>
      <c r="R11" t="str">
        <f t="shared" si="3"/>
        <v>FALSE</v>
      </c>
      <c r="S11" t="str">
        <f t="shared" si="3"/>
        <v>FALSE</v>
      </c>
      <c r="T11" t="str">
        <f t="shared" si="3"/>
        <v>FALSE</v>
      </c>
      <c r="U11" t="str">
        <f t="shared" si="3"/>
        <v>FALSE</v>
      </c>
      <c r="V11" t="str">
        <f t="shared" si="3"/>
        <v>FALSE</v>
      </c>
      <c r="W11" t="b">
        <v>0</v>
      </c>
      <c r="X11" t="str">
        <f ca="1">IF(DataTbl[[#This Row],[Task Name]]&lt;&gt;0,IF(AND(DataTbl[[#This Row],[Due Date]]&lt;NOW(),OR(DataTbl[[#This Row],[% Progress]]&lt;&gt;1,DataTbl[[#This Row],[Status]]&lt;&gt;"Completed")),"Yes","No"),"No")</f>
        <v>No</v>
      </c>
    </row>
    <row r="12" spans="1:27" x14ac:dyDescent="0.25">
      <c r="A12" t="str">
        <f>INDEX(InputTbl[],ROW(DataAgg!A11),MATCH($A$1,InputTbl[#Headers],0))</f>
        <v>Task 10</v>
      </c>
      <c r="B12" t="str">
        <f>INDEX(InputTbl[],ROW(DataAgg!B11),MATCH(B$1,InputTbl[#Headers],0))</f>
        <v>Team #2</v>
      </c>
      <c r="C12" t="str">
        <f>INDEX(InputTbl[],ROW(DataAgg!C11),MATCH(C$1,InputTbl[#Headers],0))</f>
        <v>Project #2</v>
      </c>
      <c r="D12" t="str">
        <f>INDEX(InputTbl[],ROW(DataAgg!D11),MATCH(D$1,InputTbl[#Headers],0))</f>
        <v>David</v>
      </c>
      <c r="E12" t="str">
        <f>INDEX(InputTbl[],ROW(DataAgg!E11),MATCH(E$1,InputTbl[#Headers],0))</f>
        <v>Medium</v>
      </c>
      <c r="F12" s="10">
        <f>INDEX(InputTbl[],ROW(DataAgg!F11),MATCH(F$1,InputTbl[#Headers],0))</f>
        <v>43910</v>
      </c>
      <c r="G12" s="10">
        <f>INDEX(InputTbl[],ROW(DataAgg!G11),MATCH(G$1,InputTbl[#Headers],0))</f>
        <v>44234</v>
      </c>
      <c r="H12" t="str">
        <f>INDEX(InputTbl[],ROW(DataAgg!H11),MATCH(H$1,InputTbl[#Headers],0))</f>
        <v>In Progress</v>
      </c>
      <c r="I12">
        <f>INDEX(InputTbl[],ROW(DataAgg!I11),MATCH(I$1,InputTbl[#Headers],0))</f>
        <v>0.4</v>
      </c>
      <c r="J12">
        <f t="shared" ca="1" si="0"/>
        <v>3</v>
      </c>
      <c r="K12">
        <f t="shared" ca="1" si="1"/>
        <v>2</v>
      </c>
      <c r="L12">
        <f t="shared" ca="1" si="2"/>
        <v>4</v>
      </c>
      <c r="M12" t="str">
        <f t="shared" ref="M12:V21" si="4">IF(MATCH($H12,StatusOptions,0)=COLUMN(M:M)-12,"TRUE","FALSE")</f>
        <v>FALSE</v>
      </c>
      <c r="N12" t="str">
        <f t="shared" si="4"/>
        <v>FALSE</v>
      </c>
      <c r="O12" t="str">
        <f t="shared" si="4"/>
        <v>FALSE</v>
      </c>
      <c r="P12" t="str">
        <f t="shared" si="4"/>
        <v>TRUE</v>
      </c>
      <c r="Q12" t="str">
        <f t="shared" si="4"/>
        <v>FALSE</v>
      </c>
      <c r="R12" t="str">
        <f t="shared" si="4"/>
        <v>FALSE</v>
      </c>
      <c r="S12" t="str">
        <f t="shared" si="4"/>
        <v>FALSE</v>
      </c>
      <c r="T12" t="str">
        <f t="shared" si="4"/>
        <v>FALSE</v>
      </c>
      <c r="U12" t="str">
        <f t="shared" si="4"/>
        <v>FALSE</v>
      </c>
      <c r="V12" t="str">
        <f t="shared" si="4"/>
        <v>FALSE</v>
      </c>
      <c r="W12" t="b">
        <v>0</v>
      </c>
      <c r="X12" t="str">
        <f ca="1">IF(DataTbl[[#This Row],[Task Name]]&lt;&gt;0,IF(AND(DataTbl[[#This Row],[Due Date]]&lt;NOW(),OR(DataTbl[[#This Row],[% Progress]]&lt;&gt;1,DataTbl[[#This Row],[Status]]&lt;&gt;"Completed")),"Yes","No"),"No")</f>
        <v>Yes</v>
      </c>
    </row>
    <row r="13" spans="1:27" x14ac:dyDescent="0.25">
      <c r="A13" t="str">
        <f>INDEX(InputTbl[],ROW(DataAgg!A12),MATCH($A$1,InputTbl[#Headers],0))</f>
        <v>Task 11</v>
      </c>
      <c r="B13" t="str">
        <f>INDEX(InputTbl[],ROW(DataAgg!B12),MATCH(B$1,InputTbl[#Headers],0))</f>
        <v>Team #2</v>
      </c>
      <c r="C13" t="str">
        <f>INDEX(InputTbl[],ROW(DataAgg!C12),MATCH(C$1,InputTbl[#Headers],0))</f>
        <v>Project #5</v>
      </c>
      <c r="D13" t="str">
        <f>INDEX(InputTbl[],ROW(DataAgg!D12),MATCH(D$1,InputTbl[#Headers],0))</f>
        <v>Sam</v>
      </c>
      <c r="E13" t="str">
        <f>INDEX(InputTbl[],ROW(DataAgg!E12),MATCH(E$1,InputTbl[#Headers],0))</f>
        <v>Medium</v>
      </c>
      <c r="F13" s="10">
        <f>INDEX(InputTbl[],ROW(DataAgg!F12),MATCH(F$1,InputTbl[#Headers],0))</f>
        <v>43842</v>
      </c>
      <c r="G13" s="10">
        <f>INDEX(InputTbl[],ROW(DataAgg!G12),MATCH(G$1,InputTbl[#Headers],0))</f>
        <v>44177</v>
      </c>
      <c r="H13" t="str">
        <f>INDEX(InputTbl[],ROW(DataAgg!H12),MATCH(H$1,InputTbl[#Headers],0))</f>
        <v>In Progress</v>
      </c>
      <c r="I13">
        <f>INDEX(InputTbl[],ROW(DataAgg!I12),MATCH(I$1,InputTbl[#Headers],0))</f>
        <v>0.2</v>
      </c>
      <c r="J13">
        <f t="shared" ca="1" si="0"/>
        <v>3</v>
      </c>
      <c r="K13">
        <f t="shared" ca="1" si="1"/>
        <v>5</v>
      </c>
      <c r="L13">
        <f t="shared" ca="1" si="2"/>
        <v>2</v>
      </c>
      <c r="M13" t="str">
        <f t="shared" si="4"/>
        <v>FALSE</v>
      </c>
      <c r="N13" t="str">
        <f t="shared" si="4"/>
        <v>FALSE</v>
      </c>
      <c r="O13" t="str">
        <f t="shared" si="4"/>
        <v>FALSE</v>
      </c>
      <c r="P13" t="str">
        <f t="shared" si="4"/>
        <v>TRUE</v>
      </c>
      <c r="Q13" t="str">
        <f t="shared" si="4"/>
        <v>FALSE</v>
      </c>
      <c r="R13" t="str">
        <f t="shared" si="4"/>
        <v>FALSE</v>
      </c>
      <c r="S13" t="str">
        <f t="shared" si="4"/>
        <v>FALSE</v>
      </c>
      <c r="T13" t="str">
        <f t="shared" si="4"/>
        <v>FALSE</v>
      </c>
      <c r="U13" t="str">
        <f t="shared" si="4"/>
        <v>FALSE</v>
      </c>
      <c r="V13" t="str">
        <f t="shared" si="4"/>
        <v>FALSE</v>
      </c>
      <c r="W13" t="b">
        <v>0</v>
      </c>
      <c r="X13" t="str">
        <f ca="1">IF(DataTbl[[#This Row],[Task Name]]&lt;&gt;0,IF(AND(DataTbl[[#This Row],[Due Date]]&lt;NOW(),OR(DataTbl[[#This Row],[% Progress]]&lt;&gt;1,DataTbl[[#This Row],[Status]]&lt;&gt;"Completed")),"Yes","No"),"No")</f>
        <v>Yes</v>
      </c>
    </row>
    <row r="14" spans="1:27" x14ac:dyDescent="0.25">
      <c r="A14" t="str">
        <f>INDEX(InputTbl[],ROW(DataAgg!A13),MATCH($A$1,InputTbl[#Headers],0))</f>
        <v>Task 12</v>
      </c>
      <c r="B14" t="str">
        <f>INDEX(InputTbl[],ROW(DataAgg!B13),MATCH(B$1,InputTbl[#Headers],0))</f>
        <v>General</v>
      </c>
      <c r="C14" t="str">
        <f>INDEX(InputTbl[],ROW(DataAgg!C13),MATCH(C$1,InputTbl[#Headers],0))</f>
        <v>Project #2</v>
      </c>
      <c r="D14" t="str">
        <f>INDEX(InputTbl[],ROW(DataAgg!D13),MATCH(D$1,InputTbl[#Headers],0))</f>
        <v>Joe</v>
      </c>
      <c r="E14" t="str">
        <f>INDEX(InputTbl[],ROW(DataAgg!E13),MATCH(E$1,InputTbl[#Headers],0))</f>
        <v>Medium</v>
      </c>
      <c r="F14" s="10">
        <f>INDEX(InputTbl[],ROW(DataAgg!F13),MATCH(F$1,InputTbl[#Headers],0))</f>
        <v>43880</v>
      </c>
      <c r="G14" s="10">
        <f>INDEX(InputTbl[],ROW(DataAgg!G13),MATCH(G$1,InputTbl[#Headers],0))</f>
        <v>44027</v>
      </c>
      <c r="H14" t="str">
        <f>INDEX(InputTbl[],ROW(DataAgg!H13),MATCH(H$1,InputTbl[#Headers],0))</f>
        <v>New</v>
      </c>
      <c r="I14">
        <f>INDEX(InputTbl[],ROW(DataAgg!I13),MATCH(I$1,InputTbl[#Headers],0))</f>
        <v>0.5</v>
      </c>
      <c r="J14">
        <f t="shared" ca="1" si="0"/>
        <v>1</v>
      </c>
      <c r="K14">
        <f t="shared" ca="1" si="1"/>
        <v>2</v>
      </c>
      <c r="L14">
        <f t="shared" ca="1" si="2"/>
        <v>1</v>
      </c>
      <c r="M14" t="str">
        <f t="shared" si="4"/>
        <v>FALSE</v>
      </c>
      <c r="N14" t="str">
        <f t="shared" si="4"/>
        <v>FALSE</v>
      </c>
      <c r="O14" t="str">
        <f t="shared" si="4"/>
        <v>FALSE</v>
      </c>
      <c r="P14" t="str">
        <f t="shared" si="4"/>
        <v>FALSE</v>
      </c>
      <c r="Q14" t="str">
        <f t="shared" si="4"/>
        <v>FALSE</v>
      </c>
      <c r="R14" t="str">
        <f t="shared" si="4"/>
        <v>FALSE</v>
      </c>
      <c r="S14" t="str">
        <f t="shared" si="4"/>
        <v>FALSE</v>
      </c>
      <c r="T14" t="str">
        <f t="shared" si="4"/>
        <v>FALSE</v>
      </c>
      <c r="U14" t="str">
        <f t="shared" si="4"/>
        <v>TRUE</v>
      </c>
      <c r="V14" t="str">
        <f t="shared" si="4"/>
        <v>FALSE</v>
      </c>
      <c r="W14" t="b">
        <v>0</v>
      </c>
      <c r="X14" t="str">
        <f ca="1">IF(DataTbl[[#This Row],[Task Name]]&lt;&gt;0,IF(AND(DataTbl[[#This Row],[Due Date]]&lt;NOW(),OR(DataTbl[[#This Row],[% Progress]]&lt;&gt;1,DataTbl[[#This Row],[Status]]&lt;&gt;"Completed")),"Yes","No"),"No")</f>
        <v>Yes</v>
      </c>
    </row>
    <row r="15" spans="1:27" x14ac:dyDescent="0.25">
      <c r="A15" t="str">
        <f>INDEX(InputTbl[],ROW(DataAgg!A14),MATCH($A$1,InputTbl[#Headers],0))</f>
        <v>Task 13</v>
      </c>
      <c r="B15" t="str">
        <f>INDEX(InputTbl[],ROW(DataAgg!B14),MATCH(B$1,InputTbl[#Headers],0))</f>
        <v>General</v>
      </c>
      <c r="C15" t="str">
        <f>INDEX(InputTbl[],ROW(DataAgg!C14),MATCH(C$1,InputTbl[#Headers],0))</f>
        <v>Project #5</v>
      </c>
      <c r="D15" t="str">
        <f>INDEX(InputTbl[],ROW(DataAgg!D14),MATCH(D$1,InputTbl[#Headers],0))</f>
        <v>Elizabeth</v>
      </c>
      <c r="E15" t="str">
        <f>INDEX(InputTbl[],ROW(DataAgg!E14),MATCH(E$1,InputTbl[#Headers],0))</f>
        <v>Medium</v>
      </c>
      <c r="F15" s="10">
        <f>INDEX(InputTbl[],ROW(DataAgg!F14),MATCH(F$1,InputTbl[#Headers],0))</f>
        <v>43858</v>
      </c>
      <c r="G15" s="10">
        <f>INDEX(InputTbl[],ROW(DataAgg!G14),MATCH(G$1,InputTbl[#Headers],0))</f>
        <v>44117</v>
      </c>
      <c r="H15" t="str">
        <f>INDEX(InputTbl[],ROW(DataAgg!H14),MATCH(H$1,InputTbl[#Headers],0))</f>
        <v>In Progress</v>
      </c>
      <c r="I15">
        <f>INDEX(InputTbl[],ROW(DataAgg!I14),MATCH(I$1,InputTbl[#Headers],0))</f>
        <v>0.30000000000000004</v>
      </c>
      <c r="J15">
        <f t="shared" ca="1" si="0"/>
        <v>1</v>
      </c>
      <c r="K15">
        <f t="shared" ca="1" si="1"/>
        <v>5</v>
      </c>
      <c r="L15">
        <f t="shared" ca="1" si="2"/>
        <v>6</v>
      </c>
      <c r="M15" t="str">
        <f t="shared" si="4"/>
        <v>FALSE</v>
      </c>
      <c r="N15" t="str">
        <f t="shared" si="4"/>
        <v>FALSE</v>
      </c>
      <c r="O15" t="str">
        <f t="shared" si="4"/>
        <v>FALSE</v>
      </c>
      <c r="P15" t="str">
        <f t="shared" si="4"/>
        <v>TRUE</v>
      </c>
      <c r="Q15" t="str">
        <f t="shared" si="4"/>
        <v>FALSE</v>
      </c>
      <c r="R15" t="str">
        <f t="shared" si="4"/>
        <v>FALSE</v>
      </c>
      <c r="S15" t="str">
        <f t="shared" si="4"/>
        <v>FALSE</v>
      </c>
      <c r="T15" t="str">
        <f t="shared" si="4"/>
        <v>FALSE</v>
      </c>
      <c r="U15" t="str">
        <f t="shared" si="4"/>
        <v>FALSE</v>
      </c>
      <c r="V15" t="str">
        <f t="shared" si="4"/>
        <v>FALSE</v>
      </c>
      <c r="W15" t="b">
        <v>0</v>
      </c>
      <c r="X15" t="str">
        <f ca="1">IF(DataTbl[[#This Row],[Task Name]]&lt;&gt;0,IF(AND(DataTbl[[#This Row],[Due Date]]&lt;NOW(),OR(DataTbl[[#This Row],[% Progress]]&lt;&gt;1,DataTbl[[#This Row],[Status]]&lt;&gt;"Completed")),"Yes","No"),"No")</f>
        <v>Yes</v>
      </c>
    </row>
    <row r="16" spans="1:27" x14ac:dyDescent="0.25">
      <c r="A16" t="str">
        <f>INDEX(InputTbl[],ROW(DataAgg!A15),MATCH($A$1,InputTbl[#Headers],0))</f>
        <v>Task 14</v>
      </c>
      <c r="B16" t="str">
        <f>INDEX(InputTbl[],ROW(DataAgg!B15),MATCH(B$1,InputTbl[#Headers],0))</f>
        <v>Team #3</v>
      </c>
      <c r="C16" t="str">
        <f>INDEX(InputTbl[],ROW(DataAgg!C15),MATCH(C$1,InputTbl[#Headers],0))</f>
        <v>Project #1</v>
      </c>
      <c r="D16" t="str">
        <f>INDEX(InputTbl[],ROW(DataAgg!D15),MATCH(D$1,InputTbl[#Headers],0))</f>
        <v>Sam</v>
      </c>
      <c r="E16" t="str">
        <f>INDEX(InputTbl[],ROW(DataAgg!E15),MATCH(E$1,InputTbl[#Headers],0))</f>
        <v>Low</v>
      </c>
      <c r="F16" s="10">
        <f>INDEX(InputTbl[],ROW(DataAgg!F15),MATCH(F$1,InputTbl[#Headers],0))</f>
        <v>43902</v>
      </c>
      <c r="G16" s="10">
        <f>INDEX(InputTbl[],ROW(DataAgg!G15),MATCH(G$1,InputTbl[#Headers],0))</f>
        <v>44193</v>
      </c>
      <c r="H16" t="str">
        <f>INDEX(InputTbl[],ROW(DataAgg!H15),MATCH(H$1,InputTbl[#Headers],0))</f>
        <v>Research</v>
      </c>
      <c r="I16">
        <f>INDEX(InputTbl[],ROW(DataAgg!I15),MATCH(I$1,InputTbl[#Headers],0))</f>
        <v>0.2</v>
      </c>
      <c r="J16">
        <f t="shared" ca="1" si="0"/>
        <v>4</v>
      </c>
      <c r="K16">
        <f t="shared" ca="1" si="1"/>
        <v>1</v>
      </c>
      <c r="L16">
        <f t="shared" ca="1" si="2"/>
        <v>2</v>
      </c>
      <c r="M16" t="str">
        <f t="shared" si="4"/>
        <v>FALSE</v>
      </c>
      <c r="N16" t="str">
        <f t="shared" si="4"/>
        <v>FALSE</v>
      </c>
      <c r="O16" t="str">
        <f t="shared" si="4"/>
        <v>TRUE</v>
      </c>
      <c r="P16" t="str">
        <f t="shared" si="4"/>
        <v>FALSE</v>
      </c>
      <c r="Q16" t="str">
        <f t="shared" si="4"/>
        <v>FALSE</v>
      </c>
      <c r="R16" t="str">
        <f t="shared" si="4"/>
        <v>FALSE</v>
      </c>
      <c r="S16" t="str">
        <f t="shared" si="4"/>
        <v>FALSE</v>
      </c>
      <c r="T16" t="str">
        <f t="shared" si="4"/>
        <v>FALSE</v>
      </c>
      <c r="U16" t="str">
        <f t="shared" si="4"/>
        <v>FALSE</v>
      </c>
      <c r="V16" t="str">
        <f t="shared" si="4"/>
        <v>FALSE</v>
      </c>
      <c r="W16" t="b">
        <v>0</v>
      </c>
      <c r="X16" t="str">
        <f ca="1">IF(DataTbl[[#This Row],[Task Name]]&lt;&gt;0,IF(AND(DataTbl[[#This Row],[Due Date]]&lt;NOW(),OR(DataTbl[[#This Row],[% Progress]]&lt;&gt;1,DataTbl[[#This Row],[Status]]&lt;&gt;"Completed")),"Yes","No"),"No")</f>
        <v>Yes</v>
      </c>
    </row>
    <row r="17" spans="1:24" x14ac:dyDescent="0.25">
      <c r="A17" t="str">
        <f>INDEX(InputTbl[],ROW(DataAgg!A16),MATCH($A$1,InputTbl[#Headers],0))</f>
        <v>Task 15</v>
      </c>
      <c r="B17" t="str">
        <f>INDEX(InputTbl[],ROW(DataAgg!B16),MATCH(B$1,InputTbl[#Headers],0))</f>
        <v>Team #1</v>
      </c>
      <c r="C17" t="str">
        <f>INDEX(InputTbl[],ROW(DataAgg!C16),MATCH(C$1,InputTbl[#Headers],0))</f>
        <v>Project #2</v>
      </c>
      <c r="D17" t="str">
        <f>INDEX(InputTbl[],ROW(DataAgg!D16),MATCH(D$1,InputTbl[#Headers],0))</f>
        <v>Brenda</v>
      </c>
      <c r="E17" t="str">
        <f>INDEX(InputTbl[],ROW(DataAgg!E16),MATCH(E$1,InputTbl[#Headers],0))</f>
        <v>High</v>
      </c>
      <c r="F17" s="10">
        <f>INDEX(InputTbl[],ROW(DataAgg!F16),MATCH(F$1,InputTbl[#Headers],0))</f>
        <v>43927</v>
      </c>
      <c r="G17" s="10">
        <f>INDEX(InputTbl[],ROW(DataAgg!G16),MATCH(G$1,InputTbl[#Headers],0))</f>
        <v>44170</v>
      </c>
      <c r="H17" t="str">
        <f>INDEX(InputTbl[],ROW(DataAgg!H16),MATCH(H$1,InputTbl[#Headers],0))</f>
        <v>Pending</v>
      </c>
      <c r="I17">
        <f>INDEX(InputTbl[],ROW(DataAgg!I16),MATCH(I$1,InputTbl[#Headers],0))</f>
        <v>0.1</v>
      </c>
      <c r="J17">
        <f t="shared" ca="1" si="0"/>
        <v>2</v>
      </c>
      <c r="K17">
        <f t="shared" ca="1" si="1"/>
        <v>2</v>
      </c>
      <c r="L17">
        <f t="shared" ca="1" si="2"/>
        <v>3</v>
      </c>
      <c r="M17" t="str">
        <f t="shared" si="4"/>
        <v>FALSE</v>
      </c>
      <c r="N17" t="str">
        <f t="shared" si="4"/>
        <v>TRUE</v>
      </c>
      <c r="O17" t="str">
        <f t="shared" si="4"/>
        <v>FALSE</v>
      </c>
      <c r="P17" t="str">
        <f t="shared" si="4"/>
        <v>FALSE</v>
      </c>
      <c r="Q17" t="str">
        <f t="shared" si="4"/>
        <v>FALSE</v>
      </c>
      <c r="R17" t="str">
        <f t="shared" si="4"/>
        <v>FALSE</v>
      </c>
      <c r="S17" t="str">
        <f t="shared" si="4"/>
        <v>FALSE</v>
      </c>
      <c r="T17" t="str">
        <f t="shared" si="4"/>
        <v>FALSE</v>
      </c>
      <c r="U17" t="str">
        <f t="shared" si="4"/>
        <v>FALSE</v>
      </c>
      <c r="V17" t="str">
        <f t="shared" si="4"/>
        <v>FALSE</v>
      </c>
      <c r="W17" t="b">
        <v>0</v>
      </c>
      <c r="X17" t="str">
        <f ca="1">IF(DataTbl[[#This Row],[Task Name]]&lt;&gt;0,IF(AND(DataTbl[[#This Row],[Due Date]]&lt;NOW(),OR(DataTbl[[#This Row],[% Progress]]&lt;&gt;1,DataTbl[[#This Row],[Status]]&lt;&gt;"Completed")),"Yes","No"),"No")</f>
        <v>Yes</v>
      </c>
    </row>
    <row r="18" spans="1:24" x14ac:dyDescent="0.25">
      <c r="A18" t="str">
        <f>INDEX(InputTbl[],ROW(DataAgg!A17),MATCH($A$1,InputTbl[#Headers],0))</f>
        <v>Special Task 4</v>
      </c>
      <c r="B18" t="str">
        <f>INDEX(InputTbl[],ROW(DataAgg!B17),MATCH(B$1,InputTbl[#Headers],0))</f>
        <v>Team #2</v>
      </c>
      <c r="C18" t="str">
        <f>INDEX(InputTbl[],ROW(DataAgg!C17),MATCH(C$1,InputTbl[#Headers],0))</f>
        <v>Project #5</v>
      </c>
      <c r="D18" t="str">
        <f>INDEX(InputTbl[],ROW(DataAgg!D17),MATCH(D$1,InputTbl[#Headers],0))</f>
        <v>Elizabeth</v>
      </c>
      <c r="E18" t="str">
        <f>INDEX(InputTbl[],ROW(DataAgg!E17),MATCH(E$1,InputTbl[#Headers],0))</f>
        <v>High</v>
      </c>
      <c r="F18" s="10">
        <f>INDEX(InputTbl[],ROW(DataAgg!F17),MATCH(F$1,InputTbl[#Headers],0))</f>
        <v>43965</v>
      </c>
      <c r="G18" s="10">
        <f>INDEX(InputTbl[],ROW(DataAgg!G17),MATCH(G$1,InputTbl[#Headers],0))</f>
        <v>44260</v>
      </c>
      <c r="H18" t="str">
        <f>INDEX(InputTbl[],ROW(DataAgg!H17),MATCH(H$1,InputTbl[#Headers],0))</f>
        <v>In Progress</v>
      </c>
      <c r="I18">
        <f>INDEX(InputTbl[],ROW(DataAgg!I17),MATCH(I$1,InputTbl[#Headers],0))</f>
        <v>0.79999999999999993</v>
      </c>
      <c r="J18">
        <f t="shared" ca="1" si="0"/>
        <v>3</v>
      </c>
      <c r="K18">
        <f t="shared" ca="1" si="1"/>
        <v>5</v>
      </c>
      <c r="L18">
        <f t="shared" ca="1" si="2"/>
        <v>6</v>
      </c>
      <c r="M18" t="str">
        <f t="shared" si="4"/>
        <v>FALSE</v>
      </c>
      <c r="N18" t="str">
        <f t="shared" si="4"/>
        <v>FALSE</v>
      </c>
      <c r="O18" t="str">
        <f t="shared" si="4"/>
        <v>FALSE</v>
      </c>
      <c r="P18" t="str">
        <f t="shared" si="4"/>
        <v>TRUE</v>
      </c>
      <c r="Q18" t="str">
        <f t="shared" si="4"/>
        <v>FALSE</v>
      </c>
      <c r="R18" t="str">
        <f t="shared" si="4"/>
        <v>FALSE</v>
      </c>
      <c r="S18" t="str">
        <f t="shared" si="4"/>
        <v>FALSE</v>
      </c>
      <c r="T18" t="str">
        <f t="shared" si="4"/>
        <v>FALSE</v>
      </c>
      <c r="U18" t="str">
        <f t="shared" si="4"/>
        <v>FALSE</v>
      </c>
      <c r="V18" t="str">
        <f t="shared" si="4"/>
        <v>FALSE</v>
      </c>
      <c r="W18" t="b">
        <v>0</v>
      </c>
      <c r="X18" t="str">
        <f ca="1">IF(DataTbl[[#This Row],[Task Name]]&lt;&gt;0,IF(AND(DataTbl[[#This Row],[Due Date]]&lt;NOW(),OR(DataTbl[[#This Row],[% Progress]]&lt;&gt;1,DataTbl[[#This Row],[Status]]&lt;&gt;"Completed")),"Yes","No"),"No")</f>
        <v>Yes</v>
      </c>
    </row>
    <row r="19" spans="1:24" x14ac:dyDescent="0.25">
      <c r="A19" t="str">
        <f>INDEX(InputTbl[],ROW(DataAgg!A18),MATCH($A$1,InputTbl[#Headers],0))</f>
        <v>Task 16</v>
      </c>
      <c r="B19" t="str">
        <f>INDEX(InputTbl[],ROW(DataAgg!B18),MATCH(B$1,InputTbl[#Headers],0))</f>
        <v>Team #5</v>
      </c>
      <c r="C19" t="str">
        <f>INDEX(InputTbl[],ROW(DataAgg!C18),MATCH(C$1,InputTbl[#Headers],0))</f>
        <v>Project #2</v>
      </c>
      <c r="D19" t="str">
        <f>INDEX(InputTbl[],ROW(DataAgg!D18),MATCH(D$1,InputTbl[#Headers],0))</f>
        <v>David</v>
      </c>
      <c r="E19" t="str">
        <f>INDEX(InputTbl[],ROW(DataAgg!E18),MATCH(E$1,InputTbl[#Headers],0))</f>
        <v>Low</v>
      </c>
      <c r="F19" s="10">
        <f>INDEX(InputTbl[],ROW(DataAgg!F18),MATCH(F$1,InputTbl[#Headers],0))</f>
        <v>43873</v>
      </c>
      <c r="G19" s="10">
        <f>INDEX(InputTbl[],ROW(DataAgg!G18),MATCH(G$1,InputTbl[#Headers],0))</f>
        <v>44075</v>
      </c>
      <c r="H19" t="str">
        <f>INDEX(InputTbl[],ROW(DataAgg!H18),MATCH(H$1,InputTbl[#Headers],0))</f>
        <v>Research</v>
      </c>
      <c r="I19">
        <f>INDEX(InputTbl[],ROW(DataAgg!I18),MATCH(I$1,InputTbl[#Headers],0))</f>
        <v>0.1</v>
      </c>
      <c r="J19">
        <f t="shared" ca="1" si="0"/>
        <v>6</v>
      </c>
      <c r="K19">
        <f t="shared" ca="1" si="1"/>
        <v>2</v>
      </c>
      <c r="L19">
        <f t="shared" ca="1" si="2"/>
        <v>4</v>
      </c>
      <c r="M19" t="str">
        <f t="shared" si="4"/>
        <v>FALSE</v>
      </c>
      <c r="N19" t="str">
        <f t="shared" si="4"/>
        <v>FALSE</v>
      </c>
      <c r="O19" t="str">
        <f t="shared" si="4"/>
        <v>TRUE</v>
      </c>
      <c r="P19" t="str">
        <f t="shared" si="4"/>
        <v>FALSE</v>
      </c>
      <c r="Q19" t="str">
        <f t="shared" si="4"/>
        <v>FALSE</v>
      </c>
      <c r="R19" t="str">
        <f t="shared" si="4"/>
        <v>FALSE</v>
      </c>
      <c r="S19" t="str">
        <f t="shared" si="4"/>
        <v>FALSE</v>
      </c>
      <c r="T19" t="str">
        <f t="shared" si="4"/>
        <v>FALSE</v>
      </c>
      <c r="U19" t="str">
        <f t="shared" si="4"/>
        <v>FALSE</v>
      </c>
      <c r="V19" t="str">
        <f t="shared" si="4"/>
        <v>FALSE</v>
      </c>
      <c r="W19" t="b">
        <v>0</v>
      </c>
      <c r="X19" t="str">
        <f ca="1">IF(DataTbl[[#This Row],[Task Name]]&lt;&gt;0,IF(AND(DataTbl[[#This Row],[Due Date]]&lt;NOW(),OR(DataTbl[[#This Row],[% Progress]]&lt;&gt;1,DataTbl[[#This Row],[Status]]&lt;&gt;"Completed")),"Yes","No"),"No")</f>
        <v>Yes</v>
      </c>
    </row>
    <row r="20" spans="1:24" x14ac:dyDescent="0.25">
      <c r="A20" t="str">
        <f>INDEX(InputTbl[],ROW(DataAgg!A19),MATCH($A$1,InputTbl[#Headers],0))</f>
        <v>Task 17</v>
      </c>
      <c r="B20" t="str">
        <f>INDEX(InputTbl[],ROW(DataAgg!B19),MATCH(B$1,InputTbl[#Headers],0))</f>
        <v>Team #4</v>
      </c>
      <c r="C20" t="str">
        <f>INDEX(InputTbl[],ROW(DataAgg!C19),MATCH(C$1,InputTbl[#Headers],0))</f>
        <v>Project #3</v>
      </c>
      <c r="D20" t="str">
        <f>INDEX(InputTbl[],ROW(DataAgg!D19),MATCH(D$1,InputTbl[#Headers],0))</f>
        <v>David</v>
      </c>
      <c r="E20" t="str">
        <f>INDEX(InputTbl[],ROW(DataAgg!E19),MATCH(E$1,InputTbl[#Headers],0))</f>
        <v>Medium</v>
      </c>
      <c r="F20" s="10">
        <f>INDEX(InputTbl[],ROW(DataAgg!F19),MATCH(F$1,InputTbl[#Headers],0))</f>
        <v>43897</v>
      </c>
      <c r="G20" s="10">
        <f>INDEX(InputTbl[],ROW(DataAgg!G19),MATCH(G$1,InputTbl[#Headers],0))</f>
        <v>44109</v>
      </c>
      <c r="H20" t="str">
        <f>INDEX(InputTbl[],ROW(DataAgg!H19),MATCH(H$1,InputTbl[#Headers],0))</f>
        <v>In Progress</v>
      </c>
      <c r="I20">
        <f>INDEX(InputTbl[],ROW(DataAgg!I19),MATCH(I$1,InputTbl[#Headers],0))</f>
        <v>0.4</v>
      </c>
      <c r="J20">
        <f t="shared" ca="1" si="0"/>
        <v>5</v>
      </c>
      <c r="K20">
        <f t="shared" ca="1" si="1"/>
        <v>3</v>
      </c>
      <c r="L20">
        <f t="shared" ca="1" si="2"/>
        <v>4</v>
      </c>
      <c r="M20" t="str">
        <f t="shared" si="4"/>
        <v>FALSE</v>
      </c>
      <c r="N20" t="str">
        <f t="shared" si="4"/>
        <v>FALSE</v>
      </c>
      <c r="O20" t="str">
        <f t="shared" si="4"/>
        <v>FALSE</v>
      </c>
      <c r="P20" t="str">
        <f t="shared" si="4"/>
        <v>TRUE</v>
      </c>
      <c r="Q20" t="str">
        <f t="shared" si="4"/>
        <v>FALSE</v>
      </c>
      <c r="R20" t="str">
        <f t="shared" si="4"/>
        <v>FALSE</v>
      </c>
      <c r="S20" t="str">
        <f t="shared" si="4"/>
        <v>FALSE</v>
      </c>
      <c r="T20" t="str">
        <f t="shared" si="4"/>
        <v>FALSE</v>
      </c>
      <c r="U20" t="str">
        <f t="shared" si="4"/>
        <v>FALSE</v>
      </c>
      <c r="V20" t="str">
        <f t="shared" si="4"/>
        <v>FALSE</v>
      </c>
      <c r="W20" t="b">
        <v>0</v>
      </c>
      <c r="X20" t="str">
        <f ca="1">IF(DataTbl[[#This Row],[Task Name]]&lt;&gt;0,IF(AND(DataTbl[[#This Row],[Due Date]]&lt;NOW(),OR(DataTbl[[#This Row],[% Progress]]&lt;&gt;1,DataTbl[[#This Row],[Status]]&lt;&gt;"Completed")),"Yes","No"),"No")</f>
        <v>Yes</v>
      </c>
    </row>
    <row r="21" spans="1:24" x14ac:dyDescent="0.25">
      <c r="A21" t="str">
        <f>INDEX(InputTbl[],ROW(DataAgg!A20),MATCH($A$1,InputTbl[#Headers],0))</f>
        <v>Task 18</v>
      </c>
      <c r="B21" t="str">
        <f>INDEX(InputTbl[],ROW(DataAgg!B20),MATCH(B$1,InputTbl[#Headers],0))</f>
        <v>Team #3</v>
      </c>
      <c r="C21" t="str">
        <f>INDEX(InputTbl[],ROW(DataAgg!C20),MATCH(C$1,InputTbl[#Headers],0))</f>
        <v>Project #3</v>
      </c>
      <c r="D21" t="str">
        <f>INDEX(InputTbl[],ROW(DataAgg!D20),MATCH(D$1,InputTbl[#Headers],0))</f>
        <v>Michael</v>
      </c>
      <c r="E21" t="str">
        <f>INDEX(InputTbl[],ROW(DataAgg!E20),MATCH(E$1,InputTbl[#Headers],0))</f>
        <v>High</v>
      </c>
      <c r="F21" s="10">
        <f>INDEX(InputTbl[],ROW(DataAgg!F20),MATCH(F$1,InputTbl[#Headers],0))</f>
        <v>43846</v>
      </c>
      <c r="G21" s="10">
        <f>INDEX(InputTbl[],ROW(DataAgg!G20),MATCH(G$1,InputTbl[#Headers],0))</f>
        <v>44166</v>
      </c>
      <c r="H21" t="str">
        <f>INDEX(InputTbl[],ROW(DataAgg!H20),MATCH(H$1,InputTbl[#Headers],0))</f>
        <v>New</v>
      </c>
      <c r="I21">
        <f>INDEX(InputTbl[],ROW(DataAgg!I20),MATCH(I$1,InputTbl[#Headers],0))</f>
        <v>0.2</v>
      </c>
      <c r="J21">
        <f t="shared" ca="1" si="0"/>
        <v>4</v>
      </c>
      <c r="K21">
        <f t="shared" ca="1" si="1"/>
        <v>3</v>
      </c>
      <c r="L21">
        <f t="shared" ca="1" si="2"/>
        <v>5</v>
      </c>
      <c r="M21" t="str">
        <f t="shared" si="4"/>
        <v>FALSE</v>
      </c>
      <c r="N21" t="str">
        <f t="shared" si="4"/>
        <v>FALSE</v>
      </c>
      <c r="O21" t="str">
        <f t="shared" si="4"/>
        <v>FALSE</v>
      </c>
      <c r="P21" t="str">
        <f t="shared" si="4"/>
        <v>FALSE</v>
      </c>
      <c r="Q21" t="str">
        <f t="shared" si="4"/>
        <v>FALSE</v>
      </c>
      <c r="R21" t="str">
        <f t="shared" si="4"/>
        <v>FALSE</v>
      </c>
      <c r="S21" t="str">
        <f t="shared" si="4"/>
        <v>FALSE</v>
      </c>
      <c r="T21" t="str">
        <f t="shared" si="4"/>
        <v>FALSE</v>
      </c>
      <c r="U21" t="str">
        <f t="shared" si="4"/>
        <v>TRUE</v>
      </c>
      <c r="V21" t="str">
        <f t="shared" si="4"/>
        <v>FALSE</v>
      </c>
      <c r="W21" t="b">
        <v>0</v>
      </c>
      <c r="X21" t="str">
        <f ca="1">IF(DataTbl[[#This Row],[Task Name]]&lt;&gt;0,IF(AND(DataTbl[[#This Row],[Due Date]]&lt;NOW(),OR(DataTbl[[#This Row],[% Progress]]&lt;&gt;1,DataTbl[[#This Row],[Status]]&lt;&gt;"Completed")),"Yes","No"),"No")</f>
        <v>Yes</v>
      </c>
    </row>
    <row r="22" spans="1:24" x14ac:dyDescent="0.25">
      <c r="A22" t="str">
        <f>INDEX(InputTbl[],ROW(DataAgg!A21),MATCH($A$1,InputTbl[#Headers],0))</f>
        <v>Task 19</v>
      </c>
      <c r="B22" t="str">
        <f>INDEX(InputTbl[],ROW(DataAgg!B21),MATCH(B$1,InputTbl[#Headers],0))</f>
        <v>Team #2</v>
      </c>
      <c r="C22" t="str">
        <f>INDEX(InputTbl[],ROW(DataAgg!C21),MATCH(C$1,InputTbl[#Headers],0))</f>
        <v>Project #4</v>
      </c>
      <c r="D22" t="str">
        <f>INDEX(InputTbl[],ROW(DataAgg!D21),MATCH(D$1,InputTbl[#Headers],0))</f>
        <v>Sam</v>
      </c>
      <c r="E22" t="str">
        <f>INDEX(InputTbl[],ROW(DataAgg!E21),MATCH(E$1,InputTbl[#Headers],0))</f>
        <v>Low</v>
      </c>
      <c r="F22" s="10">
        <f>INDEX(InputTbl[],ROW(DataAgg!F21),MATCH(F$1,InputTbl[#Headers],0))</f>
        <v>43922</v>
      </c>
      <c r="G22" s="10">
        <f>INDEX(InputTbl[],ROW(DataAgg!G21),MATCH(G$1,InputTbl[#Headers],0))</f>
        <v>44155</v>
      </c>
      <c r="H22" t="str">
        <f>INDEX(InputTbl[],ROW(DataAgg!H21),MATCH(H$1,InputTbl[#Headers],0))</f>
        <v>Backlog</v>
      </c>
      <c r="I22">
        <f>INDEX(InputTbl[],ROW(DataAgg!I21),MATCH(I$1,InputTbl[#Headers],0))</f>
        <v>0.6</v>
      </c>
      <c r="J22">
        <f t="shared" ca="1" si="0"/>
        <v>3</v>
      </c>
      <c r="K22">
        <f t="shared" ca="1" si="1"/>
        <v>4</v>
      </c>
      <c r="L22">
        <f t="shared" ca="1" si="2"/>
        <v>2</v>
      </c>
      <c r="M22" t="str">
        <f t="shared" ref="M22:V31" si="5">IF(MATCH($H22,StatusOptions,0)=COLUMN(M:M)-12,"TRUE","FALSE")</f>
        <v>FALSE</v>
      </c>
      <c r="N22" t="str">
        <f t="shared" si="5"/>
        <v>FALSE</v>
      </c>
      <c r="O22" t="str">
        <f t="shared" si="5"/>
        <v>FALSE</v>
      </c>
      <c r="P22" t="str">
        <f t="shared" si="5"/>
        <v>FALSE</v>
      </c>
      <c r="Q22" t="str">
        <f t="shared" si="5"/>
        <v>FALSE</v>
      </c>
      <c r="R22" t="str">
        <f t="shared" si="5"/>
        <v>TRUE</v>
      </c>
      <c r="S22" t="str">
        <f t="shared" si="5"/>
        <v>FALSE</v>
      </c>
      <c r="T22" t="str">
        <f t="shared" si="5"/>
        <v>FALSE</v>
      </c>
      <c r="U22" t="str">
        <f t="shared" si="5"/>
        <v>FALSE</v>
      </c>
      <c r="V22" t="str">
        <f t="shared" si="5"/>
        <v>FALSE</v>
      </c>
      <c r="W22" t="b">
        <v>0</v>
      </c>
      <c r="X22" t="str">
        <f ca="1">IF(DataTbl[[#This Row],[Task Name]]&lt;&gt;0,IF(AND(DataTbl[[#This Row],[Due Date]]&lt;NOW(),OR(DataTbl[[#This Row],[% Progress]]&lt;&gt;1,DataTbl[[#This Row],[Status]]&lt;&gt;"Completed")),"Yes","No"),"No")</f>
        <v>Yes</v>
      </c>
    </row>
    <row r="23" spans="1:24" x14ac:dyDescent="0.25">
      <c r="A23">
        <f>INDEX(InputTbl[],ROW(DataAgg!A22),MATCH($A$1,InputTbl[#Headers],0))</f>
        <v>0</v>
      </c>
      <c r="B23">
        <f>INDEX(InputTbl[],ROW(DataAgg!B22),MATCH(B$1,InputTbl[#Headers],0))</f>
        <v>0</v>
      </c>
      <c r="C23">
        <f>INDEX(InputTbl[],ROW(DataAgg!C22),MATCH(C$1,InputTbl[#Headers],0))</f>
        <v>0</v>
      </c>
      <c r="D23">
        <f>INDEX(InputTbl[],ROW(DataAgg!D22),MATCH(D$1,InputTbl[#Headers],0))</f>
        <v>0</v>
      </c>
      <c r="E23">
        <f>INDEX(InputTbl[],ROW(DataAgg!E22),MATCH(E$1,InputTbl[#Headers],0))</f>
        <v>0</v>
      </c>
      <c r="F23" s="10">
        <f>INDEX(InputTbl[],ROW(DataAgg!F22),MATCH(F$1,InputTbl[#Headers],0))</f>
        <v>0</v>
      </c>
      <c r="G23" s="10">
        <f>INDEX(InputTbl[],ROW(DataAgg!G22),MATCH(G$1,InputTbl[#Headers],0))</f>
        <v>0</v>
      </c>
      <c r="H23">
        <f>INDEX(InputTbl[],ROW(DataAgg!H22),MATCH(H$1,InputTbl[#Headers],0))</f>
        <v>0</v>
      </c>
      <c r="I23">
        <f>INDEX(InputTbl[],ROW(DataAgg!I22),MATCH(I$1,InputTbl[#Headers],0))</f>
        <v>0</v>
      </c>
      <c r="J23" t="e">
        <f t="shared" ca="1" si="0"/>
        <v>#N/A</v>
      </c>
      <c r="K23" t="e">
        <f t="shared" ca="1" si="1"/>
        <v>#N/A</v>
      </c>
      <c r="L23" t="e">
        <f t="shared" ca="1" si="2"/>
        <v>#N/A</v>
      </c>
      <c r="M23" t="e">
        <f t="shared" si="5"/>
        <v>#N/A</v>
      </c>
      <c r="N23" t="e">
        <f t="shared" si="5"/>
        <v>#N/A</v>
      </c>
      <c r="O23" t="e">
        <f t="shared" si="5"/>
        <v>#N/A</v>
      </c>
      <c r="P23" t="e">
        <f t="shared" si="5"/>
        <v>#N/A</v>
      </c>
      <c r="Q23" t="e">
        <f t="shared" si="5"/>
        <v>#N/A</v>
      </c>
      <c r="R23" t="e">
        <f t="shared" si="5"/>
        <v>#N/A</v>
      </c>
      <c r="S23" t="e">
        <f t="shared" si="5"/>
        <v>#N/A</v>
      </c>
      <c r="T23" t="e">
        <f t="shared" si="5"/>
        <v>#N/A</v>
      </c>
      <c r="U23" t="e">
        <f t="shared" si="5"/>
        <v>#N/A</v>
      </c>
      <c r="V23" t="e">
        <f t="shared" si="5"/>
        <v>#N/A</v>
      </c>
      <c r="W23" t="b">
        <v>0</v>
      </c>
      <c r="X23" t="str">
        <f ca="1">IF(DataTbl[[#This Row],[Task Name]]&lt;&gt;0,IF(AND(DataTbl[[#This Row],[Due Date]]&lt;NOW(),OR(DataTbl[[#This Row],[% Progress]]&lt;&gt;1,DataTbl[[#This Row],[Status]]&lt;&gt;"Completed")),"Yes","No"),"No")</f>
        <v>No</v>
      </c>
    </row>
    <row r="24" spans="1:24" x14ac:dyDescent="0.25">
      <c r="A24">
        <f>INDEX(InputTbl[],ROW(DataAgg!A23),MATCH($A$1,InputTbl[#Headers],0))</f>
        <v>0</v>
      </c>
      <c r="B24">
        <f>INDEX(InputTbl[],ROW(DataAgg!B23),MATCH(B$1,InputTbl[#Headers],0))</f>
        <v>0</v>
      </c>
      <c r="C24">
        <f>INDEX(InputTbl[],ROW(DataAgg!C23),MATCH(C$1,InputTbl[#Headers],0))</f>
        <v>0</v>
      </c>
      <c r="D24">
        <f>INDEX(InputTbl[],ROW(DataAgg!D23),MATCH(D$1,InputTbl[#Headers],0))</f>
        <v>0</v>
      </c>
      <c r="E24">
        <f>INDEX(InputTbl[],ROW(DataAgg!E23),MATCH(E$1,InputTbl[#Headers],0))</f>
        <v>0</v>
      </c>
      <c r="F24" s="10">
        <f>INDEX(InputTbl[],ROW(DataAgg!F23),MATCH(F$1,InputTbl[#Headers],0))</f>
        <v>0</v>
      </c>
      <c r="G24" s="10">
        <f>INDEX(InputTbl[],ROW(DataAgg!G23),MATCH(G$1,InputTbl[#Headers],0))</f>
        <v>0</v>
      </c>
      <c r="H24">
        <f>INDEX(InputTbl[],ROW(DataAgg!H23),MATCH(H$1,InputTbl[#Headers],0))</f>
        <v>0</v>
      </c>
      <c r="I24">
        <f>INDEX(InputTbl[],ROW(DataAgg!I23),MATCH(I$1,InputTbl[#Headers],0))</f>
        <v>0</v>
      </c>
      <c r="J24" t="e">
        <f t="shared" ca="1" si="0"/>
        <v>#N/A</v>
      </c>
      <c r="K24" t="e">
        <f t="shared" ca="1" si="1"/>
        <v>#N/A</v>
      </c>
      <c r="L24" t="e">
        <f t="shared" ca="1" si="2"/>
        <v>#N/A</v>
      </c>
      <c r="M24" t="e">
        <f t="shared" si="5"/>
        <v>#N/A</v>
      </c>
      <c r="N24" t="e">
        <f t="shared" si="5"/>
        <v>#N/A</v>
      </c>
      <c r="O24" t="e">
        <f t="shared" si="5"/>
        <v>#N/A</v>
      </c>
      <c r="P24" t="e">
        <f t="shared" si="5"/>
        <v>#N/A</v>
      </c>
      <c r="Q24" t="e">
        <f t="shared" si="5"/>
        <v>#N/A</v>
      </c>
      <c r="R24" t="e">
        <f t="shared" si="5"/>
        <v>#N/A</v>
      </c>
      <c r="S24" t="e">
        <f t="shared" si="5"/>
        <v>#N/A</v>
      </c>
      <c r="T24" t="e">
        <f t="shared" si="5"/>
        <v>#N/A</v>
      </c>
      <c r="U24" t="e">
        <f t="shared" si="5"/>
        <v>#N/A</v>
      </c>
      <c r="V24" t="e">
        <f t="shared" si="5"/>
        <v>#N/A</v>
      </c>
      <c r="W24" t="b">
        <v>0</v>
      </c>
      <c r="X24" t="str">
        <f ca="1">IF(DataTbl[[#This Row],[Task Name]]&lt;&gt;0,IF(AND(DataTbl[[#This Row],[Due Date]]&lt;NOW(),OR(DataTbl[[#This Row],[% Progress]]&lt;&gt;1,DataTbl[[#This Row],[Status]]&lt;&gt;"Completed")),"Yes","No"),"No")</f>
        <v>No</v>
      </c>
    </row>
    <row r="25" spans="1:24" x14ac:dyDescent="0.25">
      <c r="A25">
        <f>INDEX(InputTbl[],ROW(DataAgg!A24),MATCH($A$1,InputTbl[#Headers],0))</f>
        <v>0</v>
      </c>
      <c r="B25">
        <f>INDEX(InputTbl[],ROW(DataAgg!B24),MATCH(B$1,InputTbl[#Headers],0))</f>
        <v>0</v>
      </c>
      <c r="C25">
        <f>INDEX(InputTbl[],ROW(DataAgg!C24),MATCH(C$1,InputTbl[#Headers],0))</f>
        <v>0</v>
      </c>
      <c r="D25">
        <f>INDEX(InputTbl[],ROW(DataAgg!D24),MATCH(D$1,InputTbl[#Headers],0))</f>
        <v>0</v>
      </c>
      <c r="E25">
        <f>INDEX(InputTbl[],ROW(DataAgg!E24),MATCH(E$1,InputTbl[#Headers],0))</f>
        <v>0</v>
      </c>
      <c r="F25" s="10">
        <f>INDEX(InputTbl[],ROW(DataAgg!F24),MATCH(F$1,InputTbl[#Headers],0))</f>
        <v>0</v>
      </c>
      <c r="G25" s="10">
        <f>INDEX(InputTbl[],ROW(DataAgg!G24),MATCH(G$1,InputTbl[#Headers],0))</f>
        <v>0</v>
      </c>
      <c r="H25">
        <f>INDEX(InputTbl[],ROW(DataAgg!H24),MATCH(H$1,InputTbl[#Headers],0))</f>
        <v>0</v>
      </c>
      <c r="I25">
        <f>INDEX(InputTbl[],ROW(DataAgg!I24),MATCH(I$1,InputTbl[#Headers],0))</f>
        <v>0</v>
      </c>
      <c r="J25" t="e">
        <f t="shared" ca="1" si="0"/>
        <v>#N/A</v>
      </c>
      <c r="K25" t="e">
        <f t="shared" ca="1" si="1"/>
        <v>#N/A</v>
      </c>
      <c r="L25" t="e">
        <f t="shared" ca="1" si="2"/>
        <v>#N/A</v>
      </c>
      <c r="M25" t="e">
        <f t="shared" si="5"/>
        <v>#N/A</v>
      </c>
      <c r="N25" t="e">
        <f t="shared" si="5"/>
        <v>#N/A</v>
      </c>
      <c r="O25" t="e">
        <f t="shared" si="5"/>
        <v>#N/A</v>
      </c>
      <c r="P25" t="e">
        <f t="shared" si="5"/>
        <v>#N/A</v>
      </c>
      <c r="Q25" t="e">
        <f t="shared" si="5"/>
        <v>#N/A</v>
      </c>
      <c r="R25" t="e">
        <f t="shared" si="5"/>
        <v>#N/A</v>
      </c>
      <c r="S25" t="e">
        <f t="shared" si="5"/>
        <v>#N/A</v>
      </c>
      <c r="T25" t="e">
        <f t="shared" si="5"/>
        <v>#N/A</v>
      </c>
      <c r="U25" t="e">
        <f t="shared" si="5"/>
        <v>#N/A</v>
      </c>
      <c r="V25" t="e">
        <f t="shared" si="5"/>
        <v>#N/A</v>
      </c>
      <c r="W25" t="b">
        <v>0</v>
      </c>
      <c r="X25" t="str">
        <f ca="1">IF(DataTbl[[#This Row],[Task Name]]&lt;&gt;0,IF(AND(DataTbl[[#This Row],[Due Date]]&lt;NOW(),OR(DataTbl[[#This Row],[% Progress]]&lt;&gt;1,DataTbl[[#This Row],[Status]]&lt;&gt;"Completed")),"Yes","No"),"No")</f>
        <v>No</v>
      </c>
    </row>
    <row r="26" spans="1:24" x14ac:dyDescent="0.25">
      <c r="A26">
        <f>INDEX(InputTbl[],ROW(DataAgg!A25),MATCH($A$1,InputTbl[#Headers],0))</f>
        <v>0</v>
      </c>
      <c r="B26">
        <f>INDEX(InputTbl[],ROW(DataAgg!B25),MATCH(B$1,InputTbl[#Headers],0))</f>
        <v>0</v>
      </c>
      <c r="C26">
        <f>INDEX(InputTbl[],ROW(DataAgg!C25),MATCH(C$1,InputTbl[#Headers],0))</f>
        <v>0</v>
      </c>
      <c r="D26">
        <f>INDEX(InputTbl[],ROW(DataAgg!D25),MATCH(D$1,InputTbl[#Headers],0))</f>
        <v>0</v>
      </c>
      <c r="E26">
        <f>INDEX(InputTbl[],ROW(DataAgg!E25),MATCH(E$1,InputTbl[#Headers],0))</f>
        <v>0</v>
      </c>
      <c r="F26" s="10">
        <f>INDEX(InputTbl[],ROW(DataAgg!F25),MATCH(F$1,InputTbl[#Headers],0))</f>
        <v>0</v>
      </c>
      <c r="G26" s="10">
        <f>INDEX(InputTbl[],ROW(DataAgg!G25),MATCH(G$1,InputTbl[#Headers],0))</f>
        <v>0</v>
      </c>
      <c r="H26">
        <f>INDEX(InputTbl[],ROW(DataAgg!H25),MATCH(H$1,InputTbl[#Headers],0))</f>
        <v>0</v>
      </c>
      <c r="I26">
        <f>INDEX(InputTbl[],ROW(DataAgg!I25),MATCH(I$1,InputTbl[#Headers],0))</f>
        <v>0</v>
      </c>
      <c r="J26" t="e">
        <f t="shared" ca="1" si="0"/>
        <v>#N/A</v>
      </c>
      <c r="K26" t="e">
        <f t="shared" ca="1" si="1"/>
        <v>#N/A</v>
      </c>
      <c r="L26" t="e">
        <f t="shared" ca="1" si="2"/>
        <v>#N/A</v>
      </c>
      <c r="M26" t="e">
        <f t="shared" si="5"/>
        <v>#N/A</v>
      </c>
      <c r="N26" t="e">
        <f t="shared" si="5"/>
        <v>#N/A</v>
      </c>
      <c r="O26" t="e">
        <f t="shared" si="5"/>
        <v>#N/A</v>
      </c>
      <c r="P26" t="e">
        <f t="shared" si="5"/>
        <v>#N/A</v>
      </c>
      <c r="Q26" t="e">
        <f t="shared" si="5"/>
        <v>#N/A</v>
      </c>
      <c r="R26" t="e">
        <f t="shared" si="5"/>
        <v>#N/A</v>
      </c>
      <c r="S26" t="e">
        <f t="shared" si="5"/>
        <v>#N/A</v>
      </c>
      <c r="T26" t="e">
        <f t="shared" si="5"/>
        <v>#N/A</v>
      </c>
      <c r="U26" t="e">
        <f t="shared" si="5"/>
        <v>#N/A</v>
      </c>
      <c r="V26" t="e">
        <f t="shared" si="5"/>
        <v>#N/A</v>
      </c>
      <c r="W26" t="b">
        <v>0</v>
      </c>
      <c r="X26" t="str">
        <f ca="1">IF(DataTbl[[#This Row],[Task Name]]&lt;&gt;0,IF(AND(DataTbl[[#This Row],[Due Date]]&lt;NOW(),OR(DataTbl[[#This Row],[% Progress]]&lt;&gt;1,DataTbl[[#This Row],[Status]]&lt;&gt;"Completed")),"Yes","No"),"No")</f>
        <v>No</v>
      </c>
    </row>
    <row r="27" spans="1:24" x14ac:dyDescent="0.25">
      <c r="A27">
        <f>INDEX(InputTbl[],ROW(DataAgg!A26),MATCH($A$1,InputTbl[#Headers],0))</f>
        <v>0</v>
      </c>
      <c r="B27">
        <f>INDEX(InputTbl[],ROW(DataAgg!B26),MATCH(B$1,InputTbl[#Headers],0))</f>
        <v>0</v>
      </c>
      <c r="C27">
        <f>INDEX(InputTbl[],ROW(DataAgg!C26),MATCH(C$1,InputTbl[#Headers],0))</f>
        <v>0</v>
      </c>
      <c r="D27">
        <f>INDEX(InputTbl[],ROW(DataAgg!D26),MATCH(D$1,InputTbl[#Headers],0))</f>
        <v>0</v>
      </c>
      <c r="E27">
        <f>INDEX(InputTbl[],ROW(DataAgg!E26),MATCH(E$1,InputTbl[#Headers],0))</f>
        <v>0</v>
      </c>
      <c r="F27" s="10">
        <f>INDEX(InputTbl[],ROW(DataAgg!F26),MATCH(F$1,InputTbl[#Headers],0))</f>
        <v>0</v>
      </c>
      <c r="G27" s="10">
        <f>INDEX(InputTbl[],ROW(DataAgg!G26),MATCH(G$1,InputTbl[#Headers],0))</f>
        <v>0</v>
      </c>
      <c r="H27">
        <f>INDEX(InputTbl[],ROW(DataAgg!H26),MATCH(H$1,InputTbl[#Headers],0))</f>
        <v>0</v>
      </c>
      <c r="I27">
        <f>INDEX(InputTbl[],ROW(DataAgg!I26),MATCH(I$1,InputTbl[#Headers],0))</f>
        <v>0</v>
      </c>
      <c r="J27" t="e">
        <f t="shared" ca="1" si="0"/>
        <v>#N/A</v>
      </c>
      <c r="K27" t="e">
        <f t="shared" ca="1" si="1"/>
        <v>#N/A</v>
      </c>
      <c r="L27" t="e">
        <f t="shared" ca="1" si="2"/>
        <v>#N/A</v>
      </c>
      <c r="M27" t="e">
        <f t="shared" si="5"/>
        <v>#N/A</v>
      </c>
      <c r="N27" t="e">
        <f t="shared" si="5"/>
        <v>#N/A</v>
      </c>
      <c r="O27" t="e">
        <f t="shared" si="5"/>
        <v>#N/A</v>
      </c>
      <c r="P27" t="e">
        <f t="shared" si="5"/>
        <v>#N/A</v>
      </c>
      <c r="Q27" t="e">
        <f t="shared" si="5"/>
        <v>#N/A</v>
      </c>
      <c r="R27" t="e">
        <f t="shared" si="5"/>
        <v>#N/A</v>
      </c>
      <c r="S27" t="e">
        <f t="shared" si="5"/>
        <v>#N/A</v>
      </c>
      <c r="T27" t="e">
        <f t="shared" si="5"/>
        <v>#N/A</v>
      </c>
      <c r="U27" t="e">
        <f t="shared" si="5"/>
        <v>#N/A</v>
      </c>
      <c r="V27" t="e">
        <f t="shared" si="5"/>
        <v>#N/A</v>
      </c>
      <c r="W27" t="b">
        <v>0</v>
      </c>
      <c r="X27" t="str">
        <f ca="1">IF(DataTbl[[#This Row],[Task Name]]&lt;&gt;0,IF(AND(DataTbl[[#This Row],[Due Date]]&lt;NOW(),OR(DataTbl[[#This Row],[% Progress]]&lt;&gt;1,DataTbl[[#This Row],[Status]]&lt;&gt;"Completed")),"Yes","No"),"No")</f>
        <v>No</v>
      </c>
    </row>
    <row r="28" spans="1:24" x14ac:dyDescent="0.25">
      <c r="A28">
        <f>INDEX(InputTbl[],ROW(DataAgg!A27),MATCH($A$1,InputTbl[#Headers],0))</f>
        <v>0</v>
      </c>
      <c r="B28">
        <f>INDEX(InputTbl[],ROW(DataAgg!B27),MATCH(B$1,InputTbl[#Headers],0))</f>
        <v>0</v>
      </c>
      <c r="C28">
        <f>INDEX(InputTbl[],ROW(DataAgg!C27),MATCH(C$1,InputTbl[#Headers],0))</f>
        <v>0</v>
      </c>
      <c r="D28">
        <f>INDEX(InputTbl[],ROW(DataAgg!D27),MATCH(D$1,InputTbl[#Headers],0))</f>
        <v>0</v>
      </c>
      <c r="E28">
        <f>INDEX(InputTbl[],ROW(DataAgg!E27),MATCH(E$1,InputTbl[#Headers],0))</f>
        <v>0</v>
      </c>
      <c r="F28" s="10">
        <f>INDEX(InputTbl[],ROW(DataAgg!F27),MATCH(F$1,InputTbl[#Headers],0))</f>
        <v>0</v>
      </c>
      <c r="G28" s="10">
        <f>INDEX(InputTbl[],ROW(DataAgg!G27),MATCH(G$1,InputTbl[#Headers],0))</f>
        <v>0</v>
      </c>
      <c r="H28">
        <f>INDEX(InputTbl[],ROW(DataAgg!H27),MATCH(H$1,InputTbl[#Headers],0))</f>
        <v>0</v>
      </c>
      <c r="I28">
        <f>INDEX(InputTbl[],ROW(DataAgg!I27),MATCH(I$1,InputTbl[#Headers],0))</f>
        <v>0</v>
      </c>
      <c r="J28" t="e">
        <f t="shared" ca="1" si="0"/>
        <v>#N/A</v>
      </c>
      <c r="K28" t="e">
        <f t="shared" ca="1" si="1"/>
        <v>#N/A</v>
      </c>
      <c r="L28" t="e">
        <f t="shared" ca="1" si="2"/>
        <v>#N/A</v>
      </c>
      <c r="M28" t="e">
        <f t="shared" si="5"/>
        <v>#N/A</v>
      </c>
      <c r="N28" t="e">
        <f t="shared" si="5"/>
        <v>#N/A</v>
      </c>
      <c r="O28" t="e">
        <f t="shared" si="5"/>
        <v>#N/A</v>
      </c>
      <c r="P28" t="e">
        <f t="shared" si="5"/>
        <v>#N/A</v>
      </c>
      <c r="Q28" t="e">
        <f t="shared" si="5"/>
        <v>#N/A</v>
      </c>
      <c r="R28" t="e">
        <f t="shared" si="5"/>
        <v>#N/A</v>
      </c>
      <c r="S28" t="e">
        <f t="shared" si="5"/>
        <v>#N/A</v>
      </c>
      <c r="T28" t="e">
        <f t="shared" si="5"/>
        <v>#N/A</v>
      </c>
      <c r="U28" t="e">
        <f t="shared" si="5"/>
        <v>#N/A</v>
      </c>
      <c r="V28" t="e">
        <f t="shared" si="5"/>
        <v>#N/A</v>
      </c>
      <c r="W28" t="b">
        <v>0</v>
      </c>
      <c r="X28" t="str">
        <f ca="1">IF(DataTbl[[#This Row],[Task Name]]&lt;&gt;0,IF(AND(DataTbl[[#This Row],[Due Date]]&lt;NOW(),OR(DataTbl[[#This Row],[% Progress]]&lt;&gt;1,DataTbl[[#This Row],[Status]]&lt;&gt;"Completed")),"Yes","No"),"No")</f>
        <v>No</v>
      </c>
    </row>
    <row r="29" spans="1:24" x14ac:dyDescent="0.25">
      <c r="A29">
        <f>INDEX(InputTbl[],ROW(DataAgg!A28),MATCH($A$1,InputTbl[#Headers],0))</f>
        <v>0</v>
      </c>
      <c r="B29">
        <f>INDEX(InputTbl[],ROW(DataAgg!B28),MATCH(B$1,InputTbl[#Headers],0))</f>
        <v>0</v>
      </c>
      <c r="C29">
        <f>INDEX(InputTbl[],ROW(DataAgg!C28),MATCH(C$1,InputTbl[#Headers],0))</f>
        <v>0</v>
      </c>
      <c r="D29">
        <f>INDEX(InputTbl[],ROW(DataAgg!D28),MATCH(D$1,InputTbl[#Headers],0))</f>
        <v>0</v>
      </c>
      <c r="E29">
        <f>INDEX(InputTbl[],ROW(DataAgg!E28),MATCH(E$1,InputTbl[#Headers],0))</f>
        <v>0</v>
      </c>
      <c r="F29" s="10">
        <f>INDEX(InputTbl[],ROW(DataAgg!F28),MATCH(F$1,InputTbl[#Headers],0))</f>
        <v>0</v>
      </c>
      <c r="G29" s="10">
        <f>INDEX(InputTbl[],ROW(DataAgg!G28),MATCH(G$1,InputTbl[#Headers],0))</f>
        <v>0</v>
      </c>
      <c r="H29">
        <f>INDEX(InputTbl[],ROW(DataAgg!H28),MATCH(H$1,InputTbl[#Headers],0))</f>
        <v>0</v>
      </c>
      <c r="I29">
        <f>INDEX(InputTbl[],ROW(DataAgg!I28),MATCH(I$1,InputTbl[#Headers],0))</f>
        <v>0</v>
      </c>
      <c r="J29" t="e">
        <f t="shared" ca="1" si="0"/>
        <v>#N/A</v>
      </c>
      <c r="K29" t="e">
        <f t="shared" ca="1" si="1"/>
        <v>#N/A</v>
      </c>
      <c r="L29" t="e">
        <f t="shared" ca="1" si="2"/>
        <v>#N/A</v>
      </c>
      <c r="M29" t="e">
        <f t="shared" si="5"/>
        <v>#N/A</v>
      </c>
      <c r="N29" t="e">
        <f t="shared" si="5"/>
        <v>#N/A</v>
      </c>
      <c r="O29" t="e">
        <f t="shared" si="5"/>
        <v>#N/A</v>
      </c>
      <c r="P29" t="e">
        <f t="shared" si="5"/>
        <v>#N/A</v>
      </c>
      <c r="Q29" t="e">
        <f t="shared" si="5"/>
        <v>#N/A</v>
      </c>
      <c r="R29" t="e">
        <f t="shared" si="5"/>
        <v>#N/A</v>
      </c>
      <c r="S29" t="e">
        <f t="shared" si="5"/>
        <v>#N/A</v>
      </c>
      <c r="T29" t="e">
        <f t="shared" si="5"/>
        <v>#N/A</v>
      </c>
      <c r="U29" t="e">
        <f t="shared" si="5"/>
        <v>#N/A</v>
      </c>
      <c r="V29" t="e">
        <f t="shared" si="5"/>
        <v>#N/A</v>
      </c>
      <c r="W29" t="b">
        <v>0</v>
      </c>
      <c r="X29" t="str">
        <f ca="1">IF(DataTbl[[#This Row],[Task Name]]&lt;&gt;0,IF(AND(DataTbl[[#This Row],[Due Date]]&lt;NOW(),OR(DataTbl[[#This Row],[% Progress]]&lt;&gt;1,DataTbl[[#This Row],[Status]]&lt;&gt;"Completed")),"Yes","No"),"No")</f>
        <v>No</v>
      </c>
    </row>
    <row r="30" spans="1:24" x14ac:dyDescent="0.25">
      <c r="A30">
        <f>INDEX(InputTbl[],ROW(DataAgg!A29),MATCH($A$1,InputTbl[#Headers],0))</f>
        <v>0</v>
      </c>
      <c r="B30">
        <f>INDEX(InputTbl[],ROW(DataAgg!B29),MATCH(B$1,InputTbl[#Headers],0))</f>
        <v>0</v>
      </c>
      <c r="C30">
        <f>INDEX(InputTbl[],ROW(DataAgg!C29),MATCH(C$1,InputTbl[#Headers],0))</f>
        <v>0</v>
      </c>
      <c r="D30">
        <f>INDEX(InputTbl[],ROW(DataAgg!D29),MATCH(D$1,InputTbl[#Headers],0))</f>
        <v>0</v>
      </c>
      <c r="E30">
        <f>INDEX(InputTbl[],ROW(DataAgg!E29),MATCH(E$1,InputTbl[#Headers],0))</f>
        <v>0</v>
      </c>
      <c r="F30" s="10">
        <f>INDEX(InputTbl[],ROW(DataAgg!F29),MATCH(F$1,InputTbl[#Headers],0))</f>
        <v>0</v>
      </c>
      <c r="G30" s="10">
        <f>INDEX(InputTbl[],ROW(DataAgg!G29),MATCH(G$1,InputTbl[#Headers],0))</f>
        <v>0</v>
      </c>
      <c r="H30">
        <f>INDEX(InputTbl[],ROW(DataAgg!H29),MATCH(H$1,InputTbl[#Headers],0))</f>
        <v>0</v>
      </c>
      <c r="I30">
        <f>INDEX(InputTbl[],ROW(DataAgg!I29),MATCH(I$1,InputTbl[#Headers],0))</f>
        <v>0</v>
      </c>
      <c r="J30" t="e">
        <f t="shared" ca="1" si="0"/>
        <v>#N/A</v>
      </c>
      <c r="K30" t="e">
        <f t="shared" ca="1" si="1"/>
        <v>#N/A</v>
      </c>
      <c r="L30" t="e">
        <f t="shared" ca="1" si="2"/>
        <v>#N/A</v>
      </c>
      <c r="M30" t="e">
        <f t="shared" si="5"/>
        <v>#N/A</v>
      </c>
      <c r="N30" t="e">
        <f t="shared" si="5"/>
        <v>#N/A</v>
      </c>
      <c r="O30" t="e">
        <f t="shared" si="5"/>
        <v>#N/A</v>
      </c>
      <c r="P30" t="e">
        <f t="shared" si="5"/>
        <v>#N/A</v>
      </c>
      <c r="Q30" t="e">
        <f t="shared" si="5"/>
        <v>#N/A</v>
      </c>
      <c r="R30" t="e">
        <f t="shared" si="5"/>
        <v>#N/A</v>
      </c>
      <c r="S30" t="e">
        <f t="shared" si="5"/>
        <v>#N/A</v>
      </c>
      <c r="T30" t="e">
        <f t="shared" si="5"/>
        <v>#N/A</v>
      </c>
      <c r="U30" t="e">
        <f t="shared" si="5"/>
        <v>#N/A</v>
      </c>
      <c r="V30" t="e">
        <f t="shared" si="5"/>
        <v>#N/A</v>
      </c>
      <c r="W30" t="b">
        <v>0</v>
      </c>
      <c r="X30" t="str">
        <f ca="1">IF(DataTbl[[#This Row],[Task Name]]&lt;&gt;0,IF(AND(DataTbl[[#This Row],[Due Date]]&lt;NOW(),OR(DataTbl[[#This Row],[% Progress]]&lt;&gt;1,DataTbl[[#This Row],[Status]]&lt;&gt;"Completed")),"Yes","No"),"No")</f>
        <v>No</v>
      </c>
    </row>
    <row r="31" spans="1:24" x14ac:dyDescent="0.25">
      <c r="A31">
        <f>INDEX(InputTbl[],ROW(DataAgg!A30),MATCH($A$1,InputTbl[#Headers],0))</f>
        <v>0</v>
      </c>
      <c r="B31">
        <f>INDEX(InputTbl[],ROW(DataAgg!B30),MATCH(B$1,InputTbl[#Headers],0))</f>
        <v>0</v>
      </c>
      <c r="C31">
        <f>INDEX(InputTbl[],ROW(DataAgg!C30),MATCH(C$1,InputTbl[#Headers],0))</f>
        <v>0</v>
      </c>
      <c r="D31">
        <f>INDEX(InputTbl[],ROW(DataAgg!D30),MATCH(D$1,InputTbl[#Headers],0))</f>
        <v>0</v>
      </c>
      <c r="E31">
        <f>INDEX(InputTbl[],ROW(DataAgg!E30),MATCH(E$1,InputTbl[#Headers],0))</f>
        <v>0</v>
      </c>
      <c r="F31" s="10">
        <f>INDEX(InputTbl[],ROW(DataAgg!F30),MATCH(F$1,InputTbl[#Headers],0))</f>
        <v>0</v>
      </c>
      <c r="G31" s="10">
        <f>INDEX(InputTbl[],ROW(DataAgg!G30),MATCH(G$1,InputTbl[#Headers],0))</f>
        <v>0</v>
      </c>
      <c r="H31">
        <f>INDEX(InputTbl[],ROW(DataAgg!H30),MATCH(H$1,InputTbl[#Headers],0))</f>
        <v>0</v>
      </c>
      <c r="I31">
        <f>INDEX(InputTbl[],ROW(DataAgg!I30),MATCH(I$1,InputTbl[#Headers],0))</f>
        <v>0</v>
      </c>
      <c r="J31" t="e">
        <f t="shared" ca="1" si="0"/>
        <v>#N/A</v>
      </c>
      <c r="K31" t="e">
        <f t="shared" ca="1" si="1"/>
        <v>#N/A</v>
      </c>
      <c r="L31" t="e">
        <f t="shared" ca="1" si="2"/>
        <v>#N/A</v>
      </c>
      <c r="M31" t="e">
        <f t="shared" si="5"/>
        <v>#N/A</v>
      </c>
      <c r="N31" t="e">
        <f t="shared" si="5"/>
        <v>#N/A</v>
      </c>
      <c r="O31" t="e">
        <f t="shared" si="5"/>
        <v>#N/A</v>
      </c>
      <c r="P31" t="e">
        <f t="shared" si="5"/>
        <v>#N/A</v>
      </c>
      <c r="Q31" t="e">
        <f t="shared" si="5"/>
        <v>#N/A</v>
      </c>
      <c r="R31" t="e">
        <f t="shared" si="5"/>
        <v>#N/A</v>
      </c>
      <c r="S31" t="e">
        <f t="shared" si="5"/>
        <v>#N/A</v>
      </c>
      <c r="T31" t="e">
        <f t="shared" si="5"/>
        <v>#N/A</v>
      </c>
      <c r="U31" t="e">
        <f t="shared" si="5"/>
        <v>#N/A</v>
      </c>
      <c r="V31" t="e">
        <f t="shared" si="5"/>
        <v>#N/A</v>
      </c>
      <c r="W31" t="b">
        <v>0</v>
      </c>
      <c r="X31" t="str">
        <f ca="1">IF(DataTbl[[#This Row],[Task Name]]&lt;&gt;0,IF(AND(DataTbl[[#This Row],[Due Date]]&lt;NOW(),OR(DataTbl[[#This Row],[% Progress]]&lt;&gt;1,DataTbl[[#This Row],[Status]]&lt;&gt;"Completed")),"Yes","No"),"No")</f>
        <v>No</v>
      </c>
    </row>
    <row r="32" spans="1:24" x14ac:dyDescent="0.25">
      <c r="A32">
        <f>INDEX(InputTbl[],ROW(DataAgg!A31),MATCH($A$1,InputTbl[#Headers],0))</f>
        <v>0</v>
      </c>
      <c r="B32">
        <f>INDEX(InputTbl[],ROW(DataAgg!B31),MATCH(B$1,InputTbl[#Headers],0))</f>
        <v>0</v>
      </c>
      <c r="C32">
        <f>INDEX(InputTbl[],ROW(DataAgg!C31),MATCH(C$1,InputTbl[#Headers],0))</f>
        <v>0</v>
      </c>
      <c r="D32">
        <f>INDEX(InputTbl[],ROW(DataAgg!D31),MATCH(D$1,InputTbl[#Headers],0))</f>
        <v>0</v>
      </c>
      <c r="E32">
        <f>INDEX(InputTbl[],ROW(DataAgg!E31),MATCH(E$1,InputTbl[#Headers],0))</f>
        <v>0</v>
      </c>
      <c r="F32" s="10">
        <f>INDEX(InputTbl[],ROW(DataAgg!F31),MATCH(F$1,InputTbl[#Headers],0))</f>
        <v>0</v>
      </c>
      <c r="G32" s="10">
        <f>INDEX(InputTbl[],ROW(DataAgg!G31),MATCH(G$1,InputTbl[#Headers],0))</f>
        <v>0</v>
      </c>
      <c r="H32">
        <f>INDEX(InputTbl[],ROW(DataAgg!H31),MATCH(H$1,InputTbl[#Headers],0))</f>
        <v>0</v>
      </c>
      <c r="I32">
        <f>INDEX(InputTbl[],ROW(DataAgg!I31),MATCH(I$1,InputTbl[#Headers],0))</f>
        <v>0</v>
      </c>
      <c r="J32" t="e">
        <f t="shared" ca="1" si="0"/>
        <v>#N/A</v>
      </c>
      <c r="K32" t="e">
        <f t="shared" ca="1" si="1"/>
        <v>#N/A</v>
      </c>
      <c r="L32" t="e">
        <f t="shared" ca="1" si="2"/>
        <v>#N/A</v>
      </c>
      <c r="M32" t="e">
        <f t="shared" ref="M32:V41" si="6">IF(MATCH($H32,StatusOptions,0)=COLUMN(M:M)-12,"TRUE","FALSE")</f>
        <v>#N/A</v>
      </c>
      <c r="N32" t="e">
        <f t="shared" si="6"/>
        <v>#N/A</v>
      </c>
      <c r="O32" t="e">
        <f t="shared" si="6"/>
        <v>#N/A</v>
      </c>
      <c r="P32" t="e">
        <f t="shared" si="6"/>
        <v>#N/A</v>
      </c>
      <c r="Q32" t="e">
        <f t="shared" si="6"/>
        <v>#N/A</v>
      </c>
      <c r="R32" t="e">
        <f t="shared" si="6"/>
        <v>#N/A</v>
      </c>
      <c r="S32" t="e">
        <f t="shared" si="6"/>
        <v>#N/A</v>
      </c>
      <c r="T32" t="e">
        <f t="shared" si="6"/>
        <v>#N/A</v>
      </c>
      <c r="U32" t="e">
        <f t="shared" si="6"/>
        <v>#N/A</v>
      </c>
      <c r="V32" t="e">
        <f t="shared" si="6"/>
        <v>#N/A</v>
      </c>
      <c r="W32" t="b">
        <v>0</v>
      </c>
      <c r="X32" t="str">
        <f ca="1">IF(DataTbl[[#This Row],[Task Name]]&lt;&gt;0,IF(AND(DataTbl[[#This Row],[Due Date]]&lt;NOW(),OR(DataTbl[[#This Row],[% Progress]]&lt;&gt;1,DataTbl[[#This Row],[Status]]&lt;&gt;"Completed")),"Yes","No"),"No")</f>
        <v>No</v>
      </c>
    </row>
    <row r="33" spans="1:24" x14ac:dyDescent="0.25">
      <c r="A33">
        <f>INDEX(InputTbl[],ROW(DataAgg!A32),MATCH($A$1,InputTbl[#Headers],0))</f>
        <v>0</v>
      </c>
      <c r="B33">
        <f>INDEX(InputTbl[],ROW(DataAgg!B32),MATCH(B$1,InputTbl[#Headers],0))</f>
        <v>0</v>
      </c>
      <c r="C33">
        <f>INDEX(InputTbl[],ROW(DataAgg!C32),MATCH(C$1,InputTbl[#Headers],0))</f>
        <v>0</v>
      </c>
      <c r="D33">
        <f>INDEX(InputTbl[],ROW(DataAgg!D32),MATCH(D$1,InputTbl[#Headers],0))</f>
        <v>0</v>
      </c>
      <c r="E33">
        <f>INDEX(InputTbl[],ROW(DataAgg!E32),MATCH(E$1,InputTbl[#Headers],0))</f>
        <v>0</v>
      </c>
      <c r="F33" s="10">
        <f>INDEX(InputTbl[],ROW(DataAgg!F32),MATCH(F$1,InputTbl[#Headers],0))</f>
        <v>0</v>
      </c>
      <c r="G33" s="10">
        <f>INDEX(InputTbl[],ROW(DataAgg!G32),MATCH(G$1,InputTbl[#Headers],0))</f>
        <v>0</v>
      </c>
      <c r="H33">
        <f>INDEX(InputTbl[],ROW(DataAgg!H32),MATCH(H$1,InputTbl[#Headers],0))</f>
        <v>0</v>
      </c>
      <c r="I33">
        <f>INDEX(InputTbl[],ROW(DataAgg!I32),MATCH(I$1,InputTbl[#Headers],0))</f>
        <v>0</v>
      </c>
      <c r="J33" t="e">
        <f t="shared" ca="1" si="0"/>
        <v>#N/A</v>
      </c>
      <c r="K33" t="e">
        <f t="shared" ca="1" si="1"/>
        <v>#N/A</v>
      </c>
      <c r="L33" t="e">
        <f t="shared" ca="1" si="2"/>
        <v>#N/A</v>
      </c>
      <c r="M33" t="e">
        <f t="shared" si="6"/>
        <v>#N/A</v>
      </c>
      <c r="N33" t="e">
        <f t="shared" si="6"/>
        <v>#N/A</v>
      </c>
      <c r="O33" t="e">
        <f t="shared" si="6"/>
        <v>#N/A</v>
      </c>
      <c r="P33" t="e">
        <f t="shared" si="6"/>
        <v>#N/A</v>
      </c>
      <c r="Q33" t="e">
        <f t="shared" si="6"/>
        <v>#N/A</v>
      </c>
      <c r="R33" t="e">
        <f t="shared" si="6"/>
        <v>#N/A</v>
      </c>
      <c r="S33" t="e">
        <f t="shared" si="6"/>
        <v>#N/A</v>
      </c>
      <c r="T33" t="e">
        <f t="shared" si="6"/>
        <v>#N/A</v>
      </c>
      <c r="U33" t="e">
        <f t="shared" si="6"/>
        <v>#N/A</v>
      </c>
      <c r="V33" t="e">
        <f t="shared" si="6"/>
        <v>#N/A</v>
      </c>
      <c r="W33" t="b">
        <v>0</v>
      </c>
      <c r="X33" t="str">
        <f ca="1">IF(DataTbl[[#This Row],[Task Name]]&lt;&gt;0,IF(AND(DataTbl[[#This Row],[Due Date]]&lt;NOW(),OR(DataTbl[[#This Row],[% Progress]]&lt;&gt;1,DataTbl[[#This Row],[Status]]&lt;&gt;"Completed")),"Yes","No"),"No")</f>
        <v>No</v>
      </c>
    </row>
    <row r="34" spans="1:24" x14ac:dyDescent="0.25">
      <c r="A34">
        <f>INDEX(InputTbl[],ROW(DataAgg!A33),MATCH($A$1,InputTbl[#Headers],0))</f>
        <v>0</v>
      </c>
      <c r="B34">
        <f>INDEX(InputTbl[],ROW(DataAgg!B33),MATCH(B$1,InputTbl[#Headers],0))</f>
        <v>0</v>
      </c>
      <c r="C34">
        <f>INDEX(InputTbl[],ROW(DataAgg!C33),MATCH(C$1,InputTbl[#Headers],0))</f>
        <v>0</v>
      </c>
      <c r="D34">
        <f>INDEX(InputTbl[],ROW(DataAgg!D33),MATCH(D$1,InputTbl[#Headers],0))</f>
        <v>0</v>
      </c>
      <c r="E34">
        <f>INDEX(InputTbl[],ROW(DataAgg!E33),MATCH(E$1,InputTbl[#Headers],0))</f>
        <v>0</v>
      </c>
      <c r="F34" s="10">
        <f>INDEX(InputTbl[],ROW(DataAgg!F33),MATCH(F$1,InputTbl[#Headers],0))</f>
        <v>0</v>
      </c>
      <c r="G34" s="10">
        <f>INDEX(InputTbl[],ROW(DataAgg!G33),MATCH(G$1,InputTbl[#Headers],0))</f>
        <v>0</v>
      </c>
      <c r="H34">
        <f>INDEX(InputTbl[],ROW(DataAgg!H33),MATCH(H$1,InputTbl[#Headers],0))</f>
        <v>0</v>
      </c>
      <c r="I34">
        <f>INDEX(InputTbl[],ROW(DataAgg!I33),MATCH(I$1,InputTbl[#Headers],0))</f>
        <v>0</v>
      </c>
      <c r="J34" t="e">
        <f t="shared" ref="J34:J65" ca="1" si="7">MATCH(B34,KanbanBoards,0)</f>
        <v>#N/A</v>
      </c>
      <c r="K34" t="e">
        <f t="shared" ref="K34:K65" ca="1" si="8">MATCH(C34,Projects,0)</f>
        <v>#N/A</v>
      </c>
      <c r="L34" t="e">
        <f t="shared" ref="L34:L65" ca="1" si="9">MATCH(D34,TeamMembers,0)</f>
        <v>#N/A</v>
      </c>
      <c r="M34" t="e">
        <f t="shared" si="6"/>
        <v>#N/A</v>
      </c>
      <c r="N34" t="e">
        <f t="shared" si="6"/>
        <v>#N/A</v>
      </c>
      <c r="O34" t="e">
        <f t="shared" si="6"/>
        <v>#N/A</v>
      </c>
      <c r="P34" t="e">
        <f t="shared" si="6"/>
        <v>#N/A</v>
      </c>
      <c r="Q34" t="e">
        <f t="shared" si="6"/>
        <v>#N/A</v>
      </c>
      <c r="R34" t="e">
        <f t="shared" si="6"/>
        <v>#N/A</v>
      </c>
      <c r="S34" t="e">
        <f t="shared" si="6"/>
        <v>#N/A</v>
      </c>
      <c r="T34" t="e">
        <f t="shared" si="6"/>
        <v>#N/A</v>
      </c>
      <c r="U34" t="e">
        <f t="shared" si="6"/>
        <v>#N/A</v>
      </c>
      <c r="V34" t="e">
        <f t="shared" si="6"/>
        <v>#N/A</v>
      </c>
      <c r="W34" t="b">
        <v>0</v>
      </c>
      <c r="X34" t="str">
        <f ca="1">IF(DataTbl[[#This Row],[Task Name]]&lt;&gt;0,IF(AND(DataTbl[[#This Row],[Due Date]]&lt;NOW(),OR(DataTbl[[#This Row],[% Progress]]&lt;&gt;1,DataTbl[[#This Row],[Status]]&lt;&gt;"Completed")),"Yes","No"),"No")</f>
        <v>No</v>
      </c>
    </row>
    <row r="35" spans="1:24" x14ac:dyDescent="0.25">
      <c r="A35">
        <f>INDEX(InputTbl[],ROW(DataAgg!A34),MATCH($A$1,InputTbl[#Headers],0))</f>
        <v>0</v>
      </c>
      <c r="B35">
        <f>INDEX(InputTbl[],ROW(DataAgg!B34),MATCH(B$1,InputTbl[#Headers],0))</f>
        <v>0</v>
      </c>
      <c r="C35">
        <f>INDEX(InputTbl[],ROW(DataAgg!C34),MATCH(C$1,InputTbl[#Headers],0))</f>
        <v>0</v>
      </c>
      <c r="D35">
        <f>INDEX(InputTbl[],ROW(DataAgg!D34),MATCH(D$1,InputTbl[#Headers],0))</f>
        <v>0</v>
      </c>
      <c r="E35">
        <f>INDEX(InputTbl[],ROW(DataAgg!E34),MATCH(E$1,InputTbl[#Headers],0))</f>
        <v>0</v>
      </c>
      <c r="F35" s="10">
        <f>INDEX(InputTbl[],ROW(DataAgg!F34),MATCH(F$1,InputTbl[#Headers],0))</f>
        <v>0</v>
      </c>
      <c r="G35" s="10">
        <f>INDEX(InputTbl[],ROW(DataAgg!G34),MATCH(G$1,InputTbl[#Headers],0))</f>
        <v>0</v>
      </c>
      <c r="H35">
        <f>INDEX(InputTbl[],ROW(DataAgg!H34),MATCH(H$1,InputTbl[#Headers],0))</f>
        <v>0</v>
      </c>
      <c r="I35">
        <f>INDEX(InputTbl[],ROW(DataAgg!I34),MATCH(I$1,InputTbl[#Headers],0))</f>
        <v>0</v>
      </c>
      <c r="J35" t="e">
        <f t="shared" ca="1" si="7"/>
        <v>#N/A</v>
      </c>
      <c r="K35" t="e">
        <f t="shared" ca="1" si="8"/>
        <v>#N/A</v>
      </c>
      <c r="L35" t="e">
        <f t="shared" ca="1" si="9"/>
        <v>#N/A</v>
      </c>
      <c r="M35" t="e">
        <f t="shared" si="6"/>
        <v>#N/A</v>
      </c>
      <c r="N35" t="e">
        <f t="shared" si="6"/>
        <v>#N/A</v>
      </c>
      <c r="O35" t="e">
        <f t="shared" si="6"/>
        <v>#N/A</v>
      </c>
      <c r="P35" t="e">
        <f t="shared" si="6"/>
        <v>#N/A</v>
      </c>
      <c r="Q35" t="e">
        <f t="shared" si="6"/>
        <v>#N/A</v>
      </c>
      <c r="R35" t="e">
        <f t="shared" si="6"/>
        <v>#N/A</v>
      </c>
      <c r="S35" t="e">
        <f t="shared" si="6"/>
        <v>#N/A</v>
      </c>
      <c r="T35" t="e">
        <f t="shared" si="6"/>
        <v>#N/A</v>
      </c>
      <c r="U35" t="e">
        <f t="shared" si="6"/>
        <v>#N/A</v>
      </c>
      <c r="V35" t="e">
        <f t="shared" si="6"/>
        <v>#N/A</v>
      </c>
      <c r="W35" t="b">
        <v>0</v>
      </c>
      <c r="X35" t="str">
        <f ca="1">IF(DataTbl[[#This Row],[Task Name]]&lt;&gt;0,IF(AND(DataTbl[[#This Row],[Due Date]]&lt;NOW(),OR(DataTbl[[#This Row],[% Progress]]&lt;&gt;1,DataTbl[[#This Row],[Status]]&lt;&gt;"Completed")),"Yes","No"),"No")</f>
        <v>No</v>
      </c>
    </row>
    <row r="36" spans="1:24" x14ac:dyDescent="0.25">
      <c r="A36">
        <f>INDEX(InputTbl[],ROW(DataAgg!A35),MATCH($A$1,InputTbl[#Headers],0))</f>
        <v>0</v>
      </c>
      <c r="B36">
        <f>INDEX(InputTbl[],ROW(DataAgg!B35),MATCH(B$1,InputTbl[#Headers],0))</f>
        <v>0</v>
      </c>
      <c r="C36">
        <f>INDEX(InputTbl[],ROW(DataAgg!C35),MATCH(C$1,InputTbl[#Headers],0))</f>
        <v>0</v>
      </c>
      <c r="D36">
        <f>INDEX(InputTbl[],ROW(DataAgg!D35),MATCH(D$1,InputTbl[#Headers],0))</f>
        <v>0</v>
      </c>
      <c r="E36">
        <f>INDEX(InputTbl[],ROW(DataAgg!E35),MATCH(E$1,InputTbl[#Headers],0))</f>
        <v>0</v>
      </c>
      <c r="F36" s="10">
        <f>INDEX(InputTbl[],ROW(DataAgg!F35),MATCH(F$1,InputTbl[#Headers],0))</f>
        <v>0</v>
      </c>
      <c r="G36" s="10">
        <f>INDEX(InputTbl[],ROW(DataAgg!G35),MATCH(G$1,InputTbl[#Headers],0))</f>
        <v>0</v>
      </c>
      <c r="H36">
        <f>INDEX(InputTbl[],ROW(DataAgg!H35),MATCH(H$1,InputTbl[#Headers],0))</f>
        <v>0</v>
      </c>
      <c r="I36">
        <f>INDEX(InputTbl[],ROW(DataAgg!I35),MATCH(I$1,InputTbl[#Headers],0))</f>
        <v>0</v>
      </c>
      <c r="J36" t="e">
        <f t="shared" ca="1" si="7"/>
        <v>#N/A</v>
      </c>
      <c r="K36" t="e">
        <f t="shared" ca="1" si="8"/>
        <v>#N/A</v>
      </c>
      <c r="L36" t="e">
        <f t="shared" ca="1" si="9"/>
        <v>#N/A</v>
      </c>
      <c r="M36" t="e">
        <f t="shared" si="6"/>
        <v>#N/A</v>
      </c>
      <c r="N36" t="e">
        <f t="shared" si="6"/>
        <v>#N/A</v>
      </c>
      <c r="O36" t="e">
        <f t="shared" si="6"/>
        <v>#N/A</v>
      </c>
      <c r="P36" t="e">
        <f t="shared" si="6"/>
        <v>#N/A</v>
      </c>
      <c r="Q36" t="e">
        <f t="shared" si="6"/>
        <v>#N/A</v>
      </c>
      <c r="R36" t="e">
        <f t="shared" si="6"/>
        <v>#N/A</v>
      </c>
      <c r="S36" t="e">
        <f t="shared" si="6"/>
        <v>#N/A</v>
      </c>
      <c r="T36" t="e">
        <f t="shared" si="6"/>
        <v>#N/A</v>
      </c>
      <c r="U36" t="e">
        <f t="shared" si="6"/>
        <v>#N/A</v>
      </c>
      <c r="V36" t="e">
        <f t="shared" si="6"/>
        <v>#N/A</v>
      </c>
      <c r="W36" t="b">
        <v>0</v>
      </c>
      <c r="X36" t="str">
        <f ca="1">IF(DataTbl[[#This Row],[Task Name]]&lt;&gt;0,IF(AND(DataTbl[[#This Row],[Due Date]]&lt;NOW(),OR(DataTbl[[#This Row],[% Progress]]&lt;&gt;1,DataTbl[[#This Row],[Status]]&lt;&gt;"Completed")),"Yes","No"),"No")</f>
        <v>No</v>
      </c>
    </row>
    <row r="37" spans="1:24" x14ac:dyDescent="0.25">
      <c r="A37">
        <f>INDEX(InputTbl[],ROW(DataAgg!A36),MATCH($A$1,InputTbl[#Headers],0))</f>
        <v>0</v>
      </c>
      <c r="B37">
        <f>INDEX(InputTbl[],ROW(DataAgg!B36),MATCH(B$1,InputTbl[#Headers],0))</f>
        <v>0</v>
      </c>
      <c r="C37">
        <f>INDEX(InputTbl[],ROW(DataAgg!C36),MATCH(C$1,InputTbl[#Headers],0))</f>
        <v>0</v>
      </c>
      <c r="D37">
        <f>INDEX(InputTbl[],ROW(DataAgg!D36),MATCH(D$1,InputTbl[#Headers],0))</f>
        <v>0</v>
      </c>
      <c r="E37">
        <f>INDEX(InputTbl[],ROW(DataAgg!E36),MATCH(E$1,InputTbl[#Headers],0))</f>
        <v>0</v>
      </c>
      <c r="F37" s="10">
        <f>INDEX(InputTbl[],ROW(DataAgg!F36),MATCH(F$1,InputTbl[#Headers],0))</f>
        <v>0</v>
      </c>
      <c r="G37" s="10">
        <f>INDEX(InputTbl[],ROW(DataAgg!G36),MATCH(G$1,InputTbl[#Headers],0))</f>
        <v>0</v>
      </c>
      <c r="H37">
        <f>INDEX(InputTbl[],ROW(DataAgg!H36),MATCH(H$1,InputTbl[#Headers],0))</f>
        <v>0</v>
      </c>
      <c r="I37">
        <f>INDEX(InputTbl[],ROW(DataAgg!I36),MATCH(I$1,InputTbl[#Headers],0))</f>
        <v>0</v>
      </c>
      <c r="J37" t="e">
        <f t="shared" ca="1" si="7"/>
        <v>#N/A</v>
      </c>
      <c r="K37" t="e">
        <f t="shared" ca="1" si="8"/>
        <v>#N/A</v>
      </c>
      <c r="L37" t="e">
        <f t="shared" ca="1" si="9"/>
        <v>#N/A</v>
      </c>
      <c r="M37" t="e">
        <f t="shared" si="6"/>
        <v>#N/A</v>
      </c>
      <c r="N37" t="e">
        <f t="shared" si="6"/>
        <v>#N/A</v>
      </c>
      <c r="O37" t="e">
        <f t="shared" si="6"/>
        <v>#N/A</v>
      </c>
      <c r="P37" t="e">
        <f t="shared" si="6"/>
        <v>#N/A</v>
      </c>
      <c r="Q37" t="e">
        <f t="shared" si="6"/>
        <v>#N/A</v>
      </c>
      <c r="R37" t="e">
        <f t="shared" si="6"/>
        <v>#N/A</v>
      </c>
      <c r="S37" t="e">
        <f t="shared" si="6"/>
        <v>#N/A</v>
      </c>
      <c r="T37" t="e">
        <f t="shared" si="6"/>
        <v>#N/A</v>
      </c>
      <c r="U37" t="e">
        <f t="shared" si="6"/>
        <v>#N/A</v>
      </c>
      <c r="V37" t="e">
        <f t="shared" si="6"/>
        <v>#N/A</v>
      </c>
      <c r="W37" t="b">
        <v>0</v>
      </c>
      <c r="X37" t="str">
        <f ca="1">IF(DataTbl[[#This Row],[Task Name]]&lt;&gt;0,IF(AND(DataTbl[[#This Row],[Due Date]]&lt;NOW(),OR(DataTbl[[#This Row],[% Progress]]&lt;&gt;1,DataTbl[[#This Row],[Status]]&lt;&gt;"Completed")),"Yes","No"),"No")</f>
        <v>No</v>
      </c>
    </row>
    <row r="38" spans="1:24" x14ac:dyDescent="0.25">
      <c r="A38">
        <f>INDEX(InputTbl[],ROW(DataAgg!A37),MATCH($A$1,InputTbl[#Headers],0))</f>
        <v>0</v>
      </c>
      <c r="B38">
        <f>INDEX(InputTbl[],ROW(DataAgg!B37),MATCH(B$1,InputTbl[#Headers],0))</f>
        <v>0</v>
      </c>
      <c r="C38">
        <f>INDEX(InputTbl[],ROW(DataAgg!C37),MATCH(C$1,InputTbl[#Headers],0))</f>
        <v>0</v>
      </c>
      <c r="D38">
        <f>INDEX(InputTbl[],ROW(DataAgg!D37),MATCH(D$1,InputTbl[#Headers],0))</f>
        <v>0</v>
      </c>
      <c r="E38">
        <f>INDEX(InputTbl[],ROW(DataAgg!E37),MATCH(E$1,InputTbl[#Headers],0))</f>
        <v>0</v>
      </c>
      <c r="F38" s="10">
        <f>INDEX(InputTbl[],ROW(DataAgg!F37),MATCH(F$1,InputTbl[#Headers],0))</f>
        <v>0</v>
      </c>
      <c r="G38" s="10">
        <f>INDEX(InputTbl[],ROW(DataAgg!G37),MATCH(G$1,InputTbl[#Headers],0))</f>
        <v>0</v>
      </c>
      <c r="H38">
        <f>INDEX(InputTbl[],ROW(DataAgg!H37),MATCH(H$1,InputTbl[#Headers],0))</f>
        <v>0</v>
      </c>
      <c r="I38">
        <f>INDEX(InputTbl[],ROW(DataAgg!I37),MATCH(I$1,InputTbl[#Headers],0))</f>
        <v>0</v>
      </c>
      <c r="J38" t="e">
        <f t="shared" ca="1" si="7"/>
        <v>#N/A</v>
      </c>
      <c r="K38" t="e">
        <f t="shared" ca="1" si="8"/>
        <v>#N/A</v>
      </c>
      <c r="L38" t="e">
        <f t="shared" ca="1" si="9"/>
        <v>#N/A</v>
      </c>
      <c r="M38" t="e">
        <f t="shared" si="6"/>
        <v>#N/A</v>
      </c>
      <c r="N38" t="e">
        <f t="shared" si="6"/>
        <v>#N/A</v>
      </c>
      <c r="O38" t="e">
        <f t="shared" si="6"/>
        <v>#N/A</v>
      </c>
      <c r="P38" t="e">
        <f t="shared" si="6"/>
        <v>#N/A</v>
      </c>
      <c r="Q38" t="e">
        <f t="shared" si="6"/>
        <v>#N/A</v>
      </c>
      <c r="R38" t="e">
        <f t="shared" si="6"/>
        <v>#N/A</v>
      </c>
      <c r="S38" t="e">
        <f t="shared" si="6"/>
        <v>#N/A</v>
      </c>
      <c r="T38" t="e">
        <f t="shared" si="6"/>
        <v>#N/A</v>
      </c>
      <c r="U38" t="e">
        <f t="shared" si="6"/>
        <v>#N/A</v>
      </c>
      <c r="V38" t="e">
        <f t="shared" si="6"/>
        <v>#N/A</v>
      </c>
      <c r="W38" t="b">
        <v>0</v>
      </c>
      <c r="X38" t="str">
        <f ca="1">IF(DataTbl[[#This Row],[Task Name]]&lt;&gt;0,IF(AND(DataTbl[[#This Row],[Due Date]]&lt;NOW(),OR(DataTbl[[#This Row],[% Progress]]&lt;&gt;1,DataTbl[[#This Row],[Status]]&lt;&gt;"Completed")),"Yes","No"),"No")</f>
        <v>No</v>
      </c>
    </row>
    <row r="39" spans="1:24" x14ac:dyDescent="0.25">
      <c r="A39">
        <f>INDEX(InputTbl[],ROW(DataAgg!A38),MATCH($A$1,InputTbl[#Headers],0))</f>
        <v>0</v>
      </c>
      <c r="B39">
        <f>INDEX(InputTbl[],ROW(DataAgg!B38),MATCH(B$1,InputTbl[#Headers],0))</f>
        <v>0</v>
      </c>
      <c r="C39">
        <f>INDEX(InputTbl[],ROW(DataAgg!C38),MATCH(C$1,InputTbl[#Headers],0))</f>
        <v>0</v>
      </c>
      <c r="D39">
        <f>INDEX(InputTbl[],ROW(DataAgg!D38),MATCH(D$1,InputTbl[#Headers],0))</f>
        <v>0</v>
      </c>
      <c r="E39">
        <f>INDEX(InputTbl[],ROW(DataAgg!E38),MATCH(E$1,InputTbl[#Headers],0))</f>
        <v>0</v>
      </c>
      <c r="F39" s="10">
        <f>INDEX(InputTbl[],ROW(DataAgg!F38),MATCH(F$1,InputTbl[#Headers],0))</f>
        <v>0</v>
      </c>
      <c r="G39" s="10">
        <f>INDEX(InputTbl[],ROW(DataAgg!G38),MATCH(G$1,InputTbl[#Headers],0))</f>
        <v>0</v>
      </c>
      <c r="H39">
        <f>INDEX(InputTbl[],ROW(DataAgg!H38),MATCH(H$1,InputTbl[#Headers],0))</f>
        <v>0</v>
      </c>
      <c r="I39">
        <f>INDEX(InputTbl[],ROW(DataAgg!I38),MATCH(I$1,InputTbl[#Headers],0))</f>
        <v>0</v>
      </c>
      <c r="J39" t="e">
        <f t="shared" ca="1" si="7"/>
        <v>#N/A</v>
      </c>
      <c r="K39" t="e">
        <f t="shared" ca="1" si="8"/>
        <v>#N/A</v>
      </c>
      <c r="L39" t="e">
        <f t="shared" ca="1" si="9"/>
        <v>#N/A</v>
      </c>
      <c r="M39" t="e">
        <f t="shared" si="6"/>
        <v>#N/A</v>
      </c>
      <c r="N39" t="e">
        <f t="shared" si="6"/>
        <v>#N/A</v>
      </c>
      <c r="O39" t="e">
        <f t="shared" si="6"/>
        <v>#N/A</v>
      </c>
      <c r="P39" t="e">
        <f t="shared" si="6"/>
        <v>#N/A</v>
      </c>
      <c r="Q39" t="e">
        <f t="shared" si="6"/>
        <v>#N/A</v>
      </c>
      <c r="R39" t="e">
        <f t="shared" si="6"/>
        <v>#N/A</v>
      </c>
      <c r="S39" t="e">
        <f t="shared" si="6"/>
        <v>#N/A</v>
      </c>
      <c r="T39" t="e">
        <f t="shared" si="6"/>
        <v>#N/A</v>
      </c>
      <c r="U39" t="e">
        <f t="shared" si="6"/>
        <v>#N/A</v>
      </c>
      <c r="V39" t="e">
        <f t="shared" si="6"/>
        <v>#N/A</v>
      </c>
      <c r="W39" t="b">
        <v>0</v>
      </c>
      <c r="X39" t="str">
        <f ca="1">IF(DataTbl[[#This Row],[Task Name]]&lt;&gt;0,IF(AND(DataTbl[[#This Row],[Due Date]]&lt;NOW(),OR(DataTbl[[#This Row],[% Progress]]&lt;&gt;1,DataTbl[[#This Row],[Status]]&lt;&gt;"Completed")),"Yes","No"),"No")</f>
        <v>No</v>
      </c>
    </row>
    <row r="40" spans="1:24" x14ac:dyDescent="0.25">
      <c r="A40">
        <f>INDEX(InputTbl[],ROW(DataAgg!A39),MATCH($A$1,InputTbl[#Headers],0))</f>
        <v>0</v>
      </c>
      <c r="B40">
        <f>INDEX(InputTbl[],ROW(DataAgg!B39),MATCH(B$1,InputTbl[#Headers],0))</f>
        <v>0</v>
      </c>
      <c r="C40">
        <f>INDEX(InputTbl[],ROW(DataAgg!C39),MATCH(C$1,InputTbl[#Headers],0))</f>
        <v>0</v>
      </c>
      <c r="D40">
        <f>INDEX(InputTbl[],ROW(DataAgg!D39),MATCH(D$1,InputTbl[#Headers],0))</f>
        <v>0</v>
      </c>
      <c r="E40">
        <f>INDEX(InputTbl[],ROW(DataAgg!E39),MATCH(E$1,InputTbl[#Headers],0))</f>
        <v>0</v>
      </c>
      <c r="F40" s="10">
        <f>INDEX(InputTbl[],ROW(DataAgg!F39),MATCH(F$1,InputTbl[#Headers],0))</f>
        <v>0</v>
      </c>
      <c r="G40" s="10">
        <f>INDEX(InputTbl[],ROW(DataAgg!G39),MATCH(G$1,InputTbl[#Headers],0))</f>
        <v>0</v>
      </c>
      <c r="H40">
        <f>INDEX(InputTbl[],ROW(DataAgg!H39),MATCH(H$1,InputTbl[#Headers],0))</f>
        <v>0</v>
      </c>
      <c r="I40">
        <f>INDEX(InputTbl[],ROW(DataAgg!I39),MATCH(I$1,InputTbl[#Headers],0))</f>
        <v>0</v>
      </c>
      <c r="J40" t="e">
        <f t="shared" ca="1" si="7"/>
        <v>#N/A</v>
      </c>
      <c r="K40" t="e">
        <f t="shared" ca="1" si="8"/>
        <v>#N/A</v>
      </c>
      <c r="L40" t="e">
        <f t="shared" ca="1" si="9"/>
        <v>#N/A</v>
      </c>
      <c r="M40" t="e">
        <f t="shared" si="6"/>
        <v>#N/A</v>
      </c>
      <c r="N40" t="e">
        <f t="shared" si="6"/>
        <v>#N/A</v>
      </c>
      <c r="O40" t="e">
        <f t="shared" si="6"/>
        <v>#N/A</v>
      </c>
      <c r="P40" t="e">
        <f t="shared" si="6"/>
        <v>#N/A</v>
      </c>
      <c r="Q40" t="e">
        <f t="shared" si="6"/>
        <v>#N/A</v>
      </c>
      <c r="R40" t="e">
        <f t="shared" si="6"/>
        <v>#N/A</v>
      </c>
      <c r="S40" t="e">
        <f t="shared" si="6"/>
        <v>#N/A</v>
      </c>
      <c r="T40" t="e">
        <f t="shared" si="6"/>
        <v>#N/A</v>
      </c>
      <c r="U40" t="e">
        <f t="shared" si="6"/>
        <v>#N/A</v>
      </c>
      <c r="V40" t="e">
        <f t="shared" si="6"/>
        <v>#N/A</v>
      </c>
      <c r="W40" t="b">
        <v>0</v>
      </c>
      <c r="X40" t="str">
        <f ca="1">IF(DataTbl[[#This Row],[Task Name]]&lt;&gt;0,IF(AND(DataTbl[[#This Row],[Due Date]]&lt;NOW(),OR(DataTbl[[#This Row],[% Progress]]&lt;&gt;1,DataTbl[[#This Row],[Status]]&lt;&gt;"Completed")),"Yes","No"),"No")</f>
        <v>No</v>
      </c>
    </row>
    <row r="41" spans="1:24" x14ac:dyDescent="0.25">
      <c r="A41">
        <f>INDEX(InputTbl[],ROW(DataAgg!A40),MATCH($A$1,InputTbl[#Headers],0))</f>
        <v>0</v>
      </c>
      <c r="B41">
        <f>INDEX(InputTbl[],ROW(DataAgg!B40),MATCH(B$1,InputTbl[#Headers],0))</f>
        <v>0</v>
      </c>
      <c r="C41">
        <f>INDEX(InputTbl[],ROW(DataAgg!C40),MATCH(C$1,InputTbl[#Headers],0))</f>
        <v>0</v>
      </c>
      <c r="D41">
        <f>INDEX(InputTbl[],ROW(DataAgg!D40),MATCH(D$1,InputTbl[#Headers],0))</f>
        <v>0</v>
      </c>
      <c r="E41">
        <f>INDEX(InputTbl[],ROW(DataAgg!E40),MATCH(E$1,InputTbl[#Headers],0))</f>
        <v>0</v>
      </c>
      <c r="F41" s="10">
        <f>INDEX(InputTbl[],ROW(DataAgg!F40),MATCH(F$1,InputTbl[#Headers],0))</f>
        <v>0</v>
      </c>
      <c r="G41" s="10">
        <f>INDEX(InputTbl[],ROW(DataAgg!G40),MATCH(G$1,InputTbl[#Headers],0))</f>
        <v>0</v>
      </c>
      <c r="H41">
        <f>INDEX(InputTbl[],ROW(DataAgg!H40),MATCH(H$1,InputTbl[#Headers],0))</f>
        <v>0</v>
      </c>
      <c r="I41">
        <f>INDEX(InputTbl[],ROW(DataAgg!I40),MATCH(I$1,InputTbl[#Headers],0))</f>
        <v>0</v>
      </c>
      <c r="J41" t="e">
        <f t="shared" ca="1" si="7"/>
        <v>#N/A</v>
      </c>
      <c r="K41" t="e">
        <f t="shared" ca="1" si="8"/>
        <v>#N/A</v>
      </c>
      <c r="L41" t="e">
        <f t="shared" ca="1" si="9"/>
        <v>#N/A</v>
      </c>
      <c r="M41" t="e">
        <f t="shared" si="6"/>
        <v>#N/A</v>
      </c>
      <c r="N41" t="e">
        <f t="shared" si="6"/>
        <v>#N/A</v>
      </c>
      <c r="O41" t="e">
        <f t="shared" si="6"/>
        <v>#N/A</v>
      </c>
      <c r="P41" t="e">
        <f t="shared" si="6"/>
        <v>#N/A</v>
      </c>
      <c r="Q41" t="e">
        <f t="shared" si="6"/>
        <v>#N/A</v>
      </c>
      <c r="R41" t="e">
        <f t="shared" si="6"/>
        <v>#N/A</v>
      </c>
      <c r="S41" t="e">
        <f t="shared" si="6"/>
        <v>#N/A</v>
      </c>
      <c r="T41" t="e">
        <f t="shared" si="6"/>
        <v>#N/A</v>
      </c>
      <c r="U41" t="e">
        <f t="shared" si="6"/>
        <v>#N/A</v>
      </c>
      <c r="V41" t="e">
        <f t="shared" si="6"/>
        <v>#N/A</v>
      </c>
      <c r="W41" t="b">
        <v>0</v>
      </c>
      <c r="X41" t="str">
        <f ca="1">IF(DataTbl[[#This Row],[Task Name]]&lt;&gt;0,IF(AND(DataTbl[[#This Row],[Due Date]]&lt;NOW(),OR(DataTbl[[#This Row],[% Progress]]&lt;&gt;1,DataTbl[[#This Row],[Status]]&lt;&gt;"Completed")),"Yes","No"),"No")</f>
        <v>No</v>
      </c>
    </row>
    <row r="42" spans="1:24" x14ac:dyDescent="0.25">
      <c r="A42">
        <f>INDEX(InputTbl[],ROW(DataAgg!A41),MATCH($A$1,InputTbl[#Headers],0))</f>
        <v>0</v>
      </c>
      <c r="B42">
        <f>INDEX(InputTbl[],ROW(DataAgg!B41),MATCH(B$1,InputTbl[#Headers],0))</f>
        <v>0</v>
      </c>
      <c r="C42">
        <f>INDEX(InputTbl[],ROW(DataAgg!C41),MATCH(C$1,InputTbl[#Headers],0))</f>
        <v>0</v>
      </c>
      <c r="D42">
        <f>INDEX(InputTbl[],ROW(DataAgg!D41),MATCH(D$1,InputTbl[#Headers],0))</f>
        <v>0</v>
      </c>
      <c r="E42">
        <f>INDEX(InputTbl[],ROW(DataAgg!E41),MATCH(E$1,InputTbl[#Headers],0))</f>
        <v>0</v>
      </c>
      <c r="F42" s="10">
        <f>INDEX(InputTbl[],ROW(DataAgg!F41),MATCH(F$1,InputTbl[#Headers],0))</f>
        <v>0</v>
      </c>
      <c r="G42" s="10">
        <f>INDEX(InputTbl[],ROW(DataAgg!G41),MATCH(G$1,InputTbl[#Headers],0))</f>
        <v>0</v>
      </c>
      <c r="H42">
        <f>INDEX(InputTbl[],ROW(DataAgg!H41),MATCH(H$1,InputTbl[#Headers],0))</f>
        <v>0</v>
      </c>
      <c r="I42">
        <f>INDEX(InputTbl[],ROW(DataAgg!I41),MATCH(I$1,InputTbl[#Headers],0))</f>
        <v>0</v>
      </c>
      <c r="J42" t="e">
        <f t="shared" ca="1" si="7"/>
        <v>#N/A</v>
      </c>
      <c r="K42" t="e">
        <f t="shared" ca="1" si="8"/>
        <v>#N/A</v>
      </c>
      <c r="L42" t="e">
        <f t="shared" ca="1" si="9"/>
        <v>#N/A</v>
      </c>
      <c r="M42" t="e">
        <f t="shared" ref="M42:V51" si="10">IF(MATCH($H42,StatusOptions,0)=COLUMN(M:M)-12,"TRUE","FALSE")</f>
        <v>#N/A</v>
      </c>
      <c r="N42" t="e">
        <f t="shared" si="10"/>
        <v>#N/A</v>
      </c>
      <c r="O42" t="e">
        <f t="shared" si="10"/>
        <v>#N/A</v>
      </c>
      <c r="P42" t="e">
        <f t="shared" si="10"/>
        <v>#N/A</v>
      </c>
      <c r="Q42" t="e">
        <f t="shared" si="10"/>
        <v>#N/A</v>
      </c>
      <c r="R42" t="e">
        <f t="shared" si="10"/>
        <v>#N/A</v>
      </c>
      <c r="S42" t="e">
        <f t="shared" si="10"/>
        <v>#N/A</v>
      </c>
      <c r="T42" t="e">
        <f t="shared" si="10"/>
        <v>#N/A</v>
      </c>
      <c r="U42" t="e">
        <f t="shared" si="10"/>
        <v>#N/A</v>
      </c>
      <c r="V42" t="e">
        <f t="shared" si="10"/>
        <v>#N/A</v>
      </c>
      <c r="W42" t="b">
        <v>0</v>
      </c>
      <c r="X42" t="str">
        <f ca="1">IF(DataTbl[[#This Row],[Task Name]]&lt;&gt;0,IF(AND(DataTbl[[#This Row],[Due Date]]&lt;NOW(),OR(DataTbl[[#This Row],[% Progress]]&lt;&gt;1,DataTbl[[#This Row],[Status]]&lt;&gt;"Completed")),"Yes","No"),"No")</f>
        <v>No</v>
      </c>
    </row>
    <row r="43" spans="1:24" x14ac:dyDescent="0.25">
      <c r="A43">
        <f>INDEX(InputTbl[],ROW(DataAgg!A42),MATCH($A$1,InputTbl[#Headers],0))</f>
        <v>0</v>
      </c>
      <c r="B43">
        <f>INDEX(InputTbl[],ROW(DataAgg!B42),MATCH(B$1,InputTbl[#Headers],0))</f>
        <v>0</v>
      </c>
      <c r="C43">
        <f>INDEX(InputTbl[],ROW(DataAgg!C42),MATCH(C$1,InputTbl[#Headers],0))</f>
        <v>0</v>
      </c>
      <c r="D43">
        <f>INDEX(InputTbl[],ROW(DataAgg!D42),MATCH(D$1,InputTbl[#Headers],0))</f>
        <v>0</v>
      </c>
      <c r="E43">
        <f>INDEX(InputTbl[],ROW(DataAgg!E42),MATCH(E$1,InputTbl[#Headers],0))</f>
        <v>0</v>
      </c>
      <c r="F43" s="10">
        <f>INDEX(InputTbl[],ROW(DataAgg!F42),MATCH(F$1,InputTbl[#Headers],0))</f>
        <v>0</v>
      </c>
      <c r="G43" s="10">
        <f>INDEX(InputTbl[],ROW(DataAgg!G42),MATCH(G$1,InputTbl[#Headers],0))</f>
        <v>0</v>
      </c>
      <c r="H43">
        <f>INDEX(InputTbl[],ROW(DataAgg!H42),MATCH(H$1,InputTbl[#Headers],0))</f>
        <v>0</v>
      </c>
      <c r="I43">
        <f>INDEX(InputTbl[],ROW(DataAgg!I42),MATCH(I$1,InputTbl[#Headers],0))</f>
        <v>0</v>
      </c>
      <c r="J43" t="e">
        <f t="shared" ca="1" si="7"/>
        <v>#N/A</v>
      </c>
      <c r="K43" t="e">
        <f t="shared" ca="1" si="8"/>
        <v>#N/A</v>
      </c>
      <c r="L43" t="e">
        <f t="shared" ca="1" si="9"/>
        <v>#N/A</v>
      </c>
      <c r="M43" t="e">
        <f t="shared" si="10"/>
        <v>#N/A</v>
      </c>
      <c r="N43" t="e">
        <f t="shared" si="10"/>
        <v>#N/A</v>
      </c>
      <c r="O43" t="e">
        <f t="shared" si="10"/>
        <v>#N/A</v>
      </c>
      <c r="P43" t="e">
        <f t="shared" si="10"/>
        <v>#N/A</v>
      </c>
      <c r="Q43" t="e">
        <f t="shared" si="10"/>
        <v>#N/A</v>
      </c>
      <c r="R43" t="e">
        <f t="shared" si="10"/>
        <v>#N/A</v>
      </c>
      <c r="S43" t="e">
        <f t="shared" si="10"/>
        <v>#N/A</v>
      </c>
      <c r="T43" t="e">
        <f t="shared" si="10"/>
        <v>#N/A</v>
      </c>
      <c r="U43" t="e">
        <f t="shared" si="10"/>
        <v>#N/A</v>
      </c>
      <c r="V43" t="e">
        <f t="shared" si="10"/>
        <v>#N/A</v>
      </c>
      <c r="W43" t="b">
        <v>0</v>
      </c>
      <c r="X43" t="str">
        <f ca="1">IF(DataTbl[[#This Row],[Task Name]]&lt;&gt;0,IF(AND(DataTbl[[#This Row],[Due Date]]&lt;NOW(),OR(DataTbl[[#This Row],[% Progress]]&lt;&gt;1,DataTbl[[#This Row],[Status]]&lt;&gt;"Completed")),"Yes","No"),"No")</f>
        <v>No</v>
      </c>
    </row>
    <row r="44" spans="1:24" x14ac:dyDescent="0.25">
      <c r="A44">
        <f>INDEX(InputTbl[],ROW(DataAgg!A43),MATCH($A$1,InputTbl[#Headers],0))</f>
        <v>0</v>
      </c>
      <c r="B44">
        <f>INDEX(InputTbl[],ROW(DataAgg!B43),MATCH(B$1,InputTbl[#Headers],0))</f>
        <v>0</v>
      </c>
      <c r="C44">
        <f>INDEX(InputTbl[],ROW(DataAgg!C43),MATCH(C$1,InputTbl[#Headers],0))</f>
        <v>0</v>
      </c>
      <c r="D44">
        <f>INDEX(InputTbl[],ROW(DataAgg!D43),MATCH(D$1,InputTbl[#Headers],0))</f>
        <v>0</v>
      </c>
      <c r="E44">
        <f>INDEX(InputTbl[],ROW(DataAgg!E43),MATCH(E$1,InputTbl[#Headers],0))</f>
        <v>0</v>
      </c>
      <c r="F44" s="10">
        <f>INDEX(InputTbl[],ROW(DataAgg!F43),MATCH(F$1,InputTbl[#Headers],0))</f>
        <v>0</v>
      </c>
      <c r="G44" s="10">
        <f>INDEX(InputTbl[],ROW(DataAgg!G43),MATCH(G$1,InputTbl[#Headers],0))</f>
        <v>0</v>
      </c>
      <c r="H44">
        <f>INDEX(InputTbl[],ROW(DataAgg!H43),MATCH(H$1,InputTbl[#Headers],0))</f>
        <v>0</v>
      </c>
      <c r="I44">
        <f>INDEX(InputTbl[],ROW(DataAgg!I43),MATCH(I$1,InputTbl[#Headers],0))</f>
        <v>0</v>
      </c>
      <c r="J44" t="e">
        <f t="shared" ca="1" si="7"/>
        <v>#N/A</v>
      </c>
      <c r="K44" t="e">
        <f t="shared" ca="1" si="8"/>
        <v>#N/A</v>
      </c>
      <c r="L44" t="e">
        <f t="shared" ca="1" si="9"/>
        <v>#N/A</v>
      </c>
      <c r="M44" t="e">
        <f t="shared" si="10"/>
        <v>#N/A</v>
      </c>
      <c r="N44" t="e">
        <f t="shared" si="10"/>
        <v>#N/A</v>
      </c>
      <c r="O44" t="e">
        <f t="shared" si="10"/>
        <v>#N/A</v>
      </c>
      <c r="P44" t="e">
        <f t="shared" si="10"/>
        <v>#N/A</v>
      </c>
      <c r="Q44" t="e">
        <f t="shared" si="10"/>
        <v>#N/A</v>
      </c>
      <c r="R44" t="e">
        <f t="shared" si="10"/>
        <v>#N/A</v>
      </c>
      <c r="S44" t="e">
        <f t="shared" si="10"/>
        <v>#N/A</v>
      </c>
      <c r="T44" t="e">
        <f t="shared" si="10"/>
        <v>#N/A</v>
      </c>
      <c r="U44" t="e">
        <f t="shared" si="10"/>
        <v>#N/A</v>
      </c>
      <c r="V44" t="e">
        <f t="shared" si="10"/>
        <v>#N/A</v>
      </c>
      <c r="W44" t="b">
        <v>0</v>
      </c>
      <c r="X44" t="str">
        <f ca="1">IF(DataTbl[[#This Row],[Task Name]]&lt;&gt;0,IF(AND(DataTbl[[#This Row],[Due Date]]&lt;NOW(),OR(DataTbl[[#This Row],[% Progress]]&lt;&gt;1,DataTbl[[#This Row],[Status]]&lt;&gt;"Completed")),"Yes","No"),"No")</f>
        <v>No</v>
      </c>
    </row>
    <row r="45" spans="1:24" x14ac:dyDescent="0.25">
      <c r="A45">
        <f>INDEX(InputTbl[],ROW(DataAgg!A44),MATCH($A$1,InputTbl[#Headers],0))</f>
        <v>0</v>
      </c>
      <c r="B45">
        <f>INDEX(InputTbl[],ROW(DataAgg!B44),MATCH(B$1,InputTbl[#Headers],0))</f>
        <v>0</v>
      </c>
      <c r="C45">
        <f>INDEX(InputTbl[],ROW(DataAgg!C44),MATCH(C$1,InputTbl[#Headers],0))</f>
        <v>0</v>
      </c>
      <c r="D45">
        <f>INDEX(InputTbl[],ROW(DataAgg!D44),MATCH(D$1,InputTbl[#Headers],0))</f>
        <v>0</v>
      </c>
      <c r="E45">
        <f>INDEX(InputTbl[],ROW(DataAgg!E44),MATCH(E$1,InputTbl[#Headers],0))</f>
        <v>0</v>
      </c>
      <c r="F45" s="10">
        <f>INDEX(InputTbl[],ROW(DataAgg!F44),MATCH(F$1,InputTbl[#Headers],0))</f>
        <v>0</v>
      </c>
      <c r="G45" s="10">
        <f>INDEX(InputTbl[],ROW(DataAgg!G44),MATCH(G$1,InputTbl[#Headers],0))</f>
        <v>0</v>
      </c>
      <c r="H45">
        <f>INDEX(InputTbl[],ROW(DataAgg!H44),MATCH(H$1,InputTbl[#Headers],0))</f>
        <v>0</v>
      </c>
      <c r="I45">
        <f>INDEX(InputTbl[],ROW(DataAgg!I44),MATCH(I$1,InputTbl[#Headers],0))</f>
        <v>0</v>
      </c>
      <c r="J45" t="e">
        <f t="shared" ca="1" si="7"/>
        <v>#N/A</v>
      </c>
      <c r="K45" t="e">
        <f t="shared" ca="1" si="8"/>
        <v>#N/A</v>
      </c>
      <c r="L45" t="e">
        <f t="shared" ca="1" si="9"/>
        <v>#N/A</v>
      </c>
      <c r="M45" t="e">
        <f t="shared" si="10"/>
        <v>#N/A</v>
      </c>
      <c r="N45" t="e">
        <f t="shared" si="10"/>
        <v>#N/A</v>
      </c>
      <c r="O45" t="e">
        <f t="shared" si="10"/>
        <v>#N/A</v>
      </c>
      <c r="P45" t="e">
        <f t="shared" si="10"/>
        <v>#N/A</v>
      </c>
      <c r="Q45" t="e">
        <f t="shared" si="10"/>
        <v>#N/A</v>
      </c>
      <c r="R45" t="e">
        <f t="shared" si="10"/>
        <v>#N/A</v>
      </c>
      <c r="S45" t="e">
        <f t="shared" si="10"/>
        <v>#N/A</v>
      </c>
      <c r="T45" t="e">
        <f t="shared" si="10"/>
        <v>#N/A</v>
      </c>
      <c r="U45" t="e">
        <f t="shared" si="10"/>
        <v>#N/A</v>
      </c>
      <c r="V45" t="e">
        <f t="shared" si="10"/>
        <v>#N/A</v>
      </c>
      <c r="W45" t="b">
        <v>0</v>
      </c>
      <c r="X45" t="str">
        <f ca="1">IF(DataTbl[[#This Row],[Task Name]]&lt;&gt;0,IF(AND(DataTbl[[#This Row],[Due Date]]&lt;NOW(),OR(DataTbl[[#This Row],[% Progress]]&lt;&gt;1,DataTbl[[#This Row],[Status]]&lt;&gt;"Completed")),"Yes","No"),"No")</f>
        <v>No</v>
      </c>
    </row>
    <row r="46" spans="1:24" x14ac:dyDescent="0.25">
      <c r="A46">
        <f>INDEX(InputTbl[],ROW(DataAgg!A45),MATCH($A$1,InputTbl[#Headers],0))</f>
        <v>0</v>
      </c>
      <c r="B46">
        <f>INDEX(InputTbl[],ROW(DataAgg!B45),MATCH(B$1,InputTbl[#Headers],0))</f>
        <v>0</v>
      </c>
      <c r="C46">
        <f>INDEX(InputTbl[],ROW(DataAgg!C45),MATCH(C$1,InputTbl[#Headers],0))</f>
        <v>0</v>
      </c>
      <c r="D46">
        <f>INDEX(InputTbl[],ROW(DataAgg!D45),MATCH(D$1,InputTbl[#Headers],0))</f>
        <v>0</v>
      </c>
      <c r="E46">
        <f>INDEX(InputTbl[],ROW(DataAgg!E45),MATCH(E$1,InputTbl[#Headers],0))</f>
        <v>0</v>
      </c>
      <c r="F46" s="10">
        <f>INDEX(InputTbl[],ROW(DataAgg!F45),MATCH(F$1,InputTbl[#Headers],0))</f>
        <v>0</v>
      </c>
      <c r="G46" s="10">
        <f>INDEX(InputTbl[],ROW(DataAgg!G45),MATCH(G$1,InputTbl[#Headers],0))</f>
        <v>0</v>
      </c>
      <c r="H46">
        <f>INDEX(InputTbl[],ROW(DataAgg!H45),MATCH(H$1,InputTbl[#Headers],0))</f>
        <v>0</v>
      </c>
      <c r="I46">
        <f>INDEX(InputTbl[],ROW(DataAgg!I45),MATCH(I$1,InputTbl[#Headers],0))</f>
        <v>0</v>
      </c>
      <c r="J46" t="e">
        <f t="shared" ca="1" si="7"/>
        <v>#N/A</v>
      </c>
      <c r="K46" t="e">
        <f t="shared" ca="1" si="8"/>
        <v>#N/A</v>
      </c>
      <c r="L46" t="e">
        <f t="shared" ca="1" si="9"/>
        <v>#N/A</v>
      </c>
      <c r="M46" t="e">
        <f t="shared" si="10"/>
        <v>#N/A</v>
      </c>
      <c r="N46" t="e">
        <f t="shared" si="10"/>
        <v>#N/A</v>
      </c>
      <c r="O46" t="e">
        <f t="shared" si="10"/>
        <v>#N/A</v>
      </c>
      <c r="P46" t="e">
        <f t="shared" si="10"/>
        <v>#N/A</v>
      </c>
      <c r="Q46" t="e">
        <f t="shared" si="10"/>
        <v>#N/A</v>
      </c>
      <c r="R46" t="e">
        <f t="shared" si="10"/>
        <v>#N/A</v>
      </c>
      <c r="S46" t="e">
        <f t="shared" si="10"/>
        <v>#N/A</v>
      </c>
      <c r="T46" t="e">
        <f t="shared" si="10"/>
        <v>#N/A</v>
      </c>
      <c r="U46" t="e">
        <f t="shared" si="10"/>
        <v>#N/A</v>
      </c>
      <c r="V46" t="e">
        <f t="shared" si="10"/>
        <v>#N/A</v>
      </c>
      <c r="W46" t="b">
        <v>0</v>
      </c>
      <c r="X46" t="str">
        <f ca="1">IF(DataTbl[[#This Row],[Task Name]]&lt;&gt;0,IF(AND(DataTbl[[#This Row],[Due Date]]&lt;NOW(),OR(DataTbl[[#This Row],[% Progress]]&lt;&gt;1,DataTbl[[#This Row],[Status]]&lt;&gt;"Completed")),"Yes","No"),"No")</f>
        <v>No</v>
      </c>
    </row>
    <row r="47" spans="1:24" x14ac:dyDescent="0.25">
      <c r="A47">
        <f>INDEX(InputTbl[],ROW(DataAgg!A46),MATCH($A$1,InputTbl[#Headers],0))</f>
        <v>0</v>
      </c>
      <c r="B47">
        <f>INDEX(InputTbl[],ROW(DataAgg!B46),MATCH(B$1,InputTbl[#Headers],0))</f>
        <v>0</v>
      </c>
      <c r="C47">
        <f>INDEX(InputTbl[],ROW(DataAgg!C46),MATCH(C$1,InputTbl[#Headers],0))</f>
        <v>0</v>
      </c>
      <c r="D47">
        <f>INDEX(InputTbl[],ROW(DataAgg!D46),MATCH(D$1,InputTbl[#Headers],0))</f>
        <v>0</v>
      </c>
      <c r="E47">
        <f>INDEX(InputTbl[],ROW(DataAgg!E46),MATCH(E$1,InputTbl[#Headers],0))</f>
        <v>0</v>
      </c>
      <c r="F47" s="10">
        <f>INDEX(InputTbl[],ROW(DataAgg!F46),MATCH(F$1,InputTbl[#Headers],0))</f>
        <v>0</v>
      </c>
      <c r="G47" s="10">
        <f>INDEX(InputTbl[],ROW(DataAgg!G46),MATCH(G$1,InputTbl[#Headers],0))</f>
        <v>0</v>
      </c>
      <c r="H47">
        <f>INDEX(InputTbl[],ROW(DataAgg!H46),MATCH(H$1,InputTbl[#Headers],0))</f>
        <v>0</v>
      </c>
      <c r="I47">
        <f>INDEX(InputTbl[],ROW(DataAgg!I46),MATCH(I$1,InputTbl[#Headers],0))</f>
        <v>0</v>
      </c>
      <c r="J47" t="e">
        <f t="shared" ca="1" si="7"/>
        <v>#N/A</v>
      </c>
      <c r="K47" t="e">
        <f t="shared" ca="1" si="8"/>
        <v>#N/A</v>
      </c>
      <c r="L47" t="e">
        <f t="shared" ca="1" si="9"/>
        <v>#N/A</v>
      </c>
      <c r="M47" t="e">
        <f t="shared" si="10"/>
        <v>#N/A</v>
      </c>
      <c r="N47" t="e">
        <f t="shared" si="10"/>
        <v>#N/A</v>
      </c>
      <c r="O47" t="e">
        <f t="shared" si="10"/>
        <v>#N/A</v>
      </c>
      <c r="P47" t="e">
        <f t="shared" si="10"/>
        <v>#N/A</v>
      </c>
      <c r="Q47" t="e">
        <f t="shared" si="10"/>
        <v>#N/A</v>
      </c>
      <c r="R47" t="e">
        <f t="shared" si="10"/>
        <v>#N/A</v>
      </c>
      <c r="S47" t="e">
        <f t="shared" si="10"/>
        <v>#N/A</v>
      </c>
      <c r="T47" t="e">
        <f t="shared" si="10"/>
        <v>#N/A</v>
      </c>
      <c r="U47" t="e">
        <f t="shared" si="10"/>
        <v>#N/A</v>
      </c>
      <c r="V47" t="e">
        <f t="shared" si="10"/>
        <v>#N/A</v>
      </c>
      <c r="W47" t="b">
        <v>0</v>
      </c>
      <c r="X47" t="str">
        <f ca="1">IF(DataTbl[[#This Row],[Task Name]]&lt;&gt;0,IF(AND(DataTbl[[#This Row],[Due Date]]&lt;NOW(),OR(DataTbl[[#This Row],[% Progress]]&lt;&gt;1,DataTbl[[#This Row],[Status]]&lt;&gt;"Completed")),"Yes","No"),"No")</f>
        <v>No</v>
      </c>
    </row>
    <row r="48" spans="1:24" x14ac:dyDescent="0.25">
      <c r="A48">
        <f>INDEX(InputTbl[],ROW(DataAgg!A47),MATCH($A$1,InputTbl[#Headers],0))</f>
        <v>0</v>
      </c>
      <c r="B48">
        <f>INDEX(InputTbl[],ROW(DataAgg!B47),MATCH(B$1,InputTbl[#Headers],0))</f>
        <v>0</v>
      </c>
      <c r="C48">
        <f>INDEX(InputTbl[],ROW(DataAgg!C47),MATCH(C$1,InputTbl[#Headers],0))</f>
        <v>0</v>
      </c>
      <c r="D48">
        <f>INDEX(InputTbl[],ROW(DataAgg!D47),MATCH(D$1,InputTbl[#Headers],0))</f>
        <v>0</v>
      </c>
      <c r="E48">
        <f>INDEX(InputTbl[],ROW(DataAgg!E47),MATCH(E$1,InputTbl[#Headers],0))</f>
        <v>0</v>
      </c>
      <c r="F48" s="10">
        <f>INDEX(InputTbl[],ROW(DataAgg!F47),MATCH(F$1,InputTbl[#Headers],0))</f>
        <v>0</v>
      </c>
      <c r="G48" s="10">
        <f>INDEX(InputTbl[],ROW(DataAgg!G47),MATCH(G$1,InputTbl[#Headers],0))</f>
        <v>0</v>
      </c>
      <c r="H48">
        <f>INDEX(InputTbl[],ROW(DataAgg!H47),MATCH(H$1,InputTbl[#Headers],0))</f>
        <v>0</v>
      </c>
      <c r="I48">
        <f>INDEX(InputTbl[],ROW(DataAgg!I47),MATCH(I$1,InputTbl[#Headers],0))</f>
        <v>0</v>
      </c>
      <c r="J48" t="e">
        <f t="shared" ca="1" si="7"/>
        <v>#N/A</v>
      </c>
      <c r="K48" t="e">
        <f t="shared" ca="1" si="8"/>
        <v>#N/A</v>
      </c>
      <c r="L48" t="e">
        <f t="shared" ca="1" si="9"/>
        <v>#N/A</v>
      </c>
      <c r="M48" t="e">
        <f t="shared" si="10"/>
        <v>#N/A</v>
      </c>
      <c r="N48" t="e">
        <f t="shared" si="10"/>
        <v>#N/A</v>
      </c>
      <c r="O48" t="e">
        <f t="shared" si="10"/>
        <v>#N/A</v>
      </c>
      <c r="P48" t="e">
        <f t="shared" si="10"/>
        <v>#N/A</v>
      </c>
      <c r="Q48" t="e">
        <f t="shared" si="10"/>
        <v>#N/A</v>
      </c>
      <c r="R48" t="e">
        <f t="shared" si="10"/>
        <v>#N/A</v>
      </c>
      <c r="S48" t="e">
        <f t="shared" si="10"/>
        <v>#N/A</v>
      </c>
      <c r="T48" t="e">
        <f t="shared" si="10"/>
        <v>#N/A</v>
      </c>
      <c r="U48" t="e">
        <f t="shared" si="10"/>
        <v>#N/A</v>
      </c>
      <c r="V48" t="e">
        <f t="shared" si="10"/>
        <v>#N/A</v>
      </c>
      <c r="W48" t="b">
        <v>0</v>
      </c>
      <c r="X48" t="str">
        <f ca="1">IF(DataTbl[[#This Row],[Task Name]]&lt;&gt;0,IF(AND(DataTbl[[#This Row],[Due Date]]&lt;NOW(),OR(DataTbl[[#This Row],[% Progress]]&lt;&gt;1,DataTbl[[#This Row],[Status]]&lt;&gt;"Completed")),"Yes","No"),"No")</f>
        <v>No</v>
      </c>
    </row>
    <row r="49" spans="1:24" x14ac:dyDescent="0.25">
      <c r="A49">
        <f>INDEX(InputTbl[],ROW(DataAgg!A48),MATCH($A$1,InputTbl[#Headers],0))</f>
        <v>0</v>
      </c>
      <c r="B49">
        <f>INDEX(InputTbl[],ROW(DataAgg!B48),MATCH(B$1,InputTbl[#Headers],0))</f>
        <v>0</v>
      </c>
      <c r="C49">
        <f>INDEX(InputTbl[],ROW(DataAgg!C48),MATCH(C$1,InputTbl[#Headers],0))</f>
        <v>0</v>
      </c>
      <c r="D49">
        <f>INDEX(InputTbl[],ROW(DataAgg!D48),MATCH(D$1,InputTbl[#Headers],0))</f>
        <v>0</v>
      </c>
      <c r="E49">
        <f>INDEX(InputTbl[],ROW(DataAgg!E48),MATCH(E$1,InputTbl[#Headers],0))</f>
        <v>0</v>
      </c>
      <c r="F49" s="10">
        <f>INDEX(InputTbl[],ROW(DataAgg!F48),MATCH(F$1,InputTbl[#Headers],0))</f>
        <v>0</v>
      </c>
      <c r="G49" s="10">
        <f>INDEX(InputTbl[],ROW(DataAgg!G48),MATCH(G$1,InputTbl[#Headers],0))</f>
        <v>0</v>
      </c>
      <c r="H49">
        <f>INDEX(InputTbl[],ROW(DataAgg!H48),MATCH(H$1,InputTbl[#Headers],0))</f>
        <v>0</v>
      </c>
      <c r="I49">
        <f>INDEX(InputTbl[],ROW(DataAgg!I48),MATCH(I$1,InputTbl[#Headers],0))</f>
        <v>0</v>
      </c>
      <c r="J49" t="e">
        <f t="shared" ca="1" si="7"/>
        <v>#N/A</v>
      </c>
      <c r="K49" t="e">
        <f t="shared" ca="1" si="8"/>
        <v>#N/A</v>
      </c>
      <c r="L49" t="e">
        <f t="shared" ca="1" si="9"/>
        <v>#N/A</v>
      </c>
      <c r="M49" t="e">
        <f t="shared" si="10"/>
        <v>#N/A</v>
      </c>
      <c r="N49" t="e">
        <f t="shared" si="10"/>
        <v>#N/A</v>
      </c>
      <c r="O49" t="e">
        <f t="shared" si="10"/>
        <v>#N/A</v>
      </c>
      <c r="P49" t="e">
        <f t="shared" si="10"/>
        <v>#N/A</v>
      </c>
      <c r="Q49" t="e">
        <f t="shared" si="10"/>
        <v>#N/A</v>
      </c>
      <c r="R49" t="e">
        <f t="shared" si="10"/>
        <v>#N/A</v>
      </c>
      <c r="S49" t="e">
        <f t="shared" si="10"/>
        <v>#N/A</v>
      </c>
      <c r="T49" t="e">
        <f t="shared" si="10"/>
        <v>#N/A</v>
      </c>
      <c r="U49" t="e">
        <f t="shared" si="10"/>
        <v>#N/A</v>
      </c>
      <c r="V49" t="e">
        <f t="shared" si="10"/>
        <v>#N/A</v>
      </c>
      <c r="W49" t="b">
        <v>0</v>
      </c>
      <c r="X49" t="str">
        <f ca="1">IF(DataTbl[[#This Row],[Task Name]]&lt;&gt;0,IF(AND(DataTbl[[#This Row],[Due Date]]&lt;NOW(),OR(DataTbl[[#This Row],[% Progress]]&lt;&gt;1,DataTbl[[#This Row],[Status]]&lt;&gt;"Completed")),"Yes","No"),"No")</f>
        <v>No</v>
      </c>
    </row>
    <row r="50" spans="1:24" x14ac:dyDescent="0.25">
      <c r="A50">
        <f>INDEX(InputTbl[],ROW(DataAgg!A49),MATCH($A$1,InputTbl[#Headers],0))</f>
        <v>0</v>
      </c>
      <c r="B50">
        <f>INDEX(InputTbl[],ROW(DataAgg!B49),MATCH(B$1,InputTbl[#Headers],0))</f>
        <v>0</v>
      </c>
      <c r="C50">
        <f>INDEX(InputTbl[],ROW(DataAgg!C49),MATCH(C$1,InputTbl[#Headers],0))</f>
        <v>0</v>
      </c>
      <c r="D50">
        <f>INDEX(InputTbl[],ROW(DataAgg!D49),MATCH(D$1,InputTbl[#Headers],0))</f>
        <v>0</v>
      </c>
      <c r="E50">
        <f>INDEX(InputTbl[],ROW(DataAgg!E49),MATCH(E$1,InputTbl[#Headers],0))</f>
        <v>0</v>
      </c>
      <c r="F50" s="10">
        <f>INDEX(InputTbl[],ROW(DataAgg!F49),MATCH(F$1,InputTbl[#Headers],0))</f>
        <v>0</v>
      </c>
      <c r="G50" s="10">
        <f>INDEX(InputTbl[],ROW(DataAgg!G49),MATCH(G$1,InputTbl[#Headers],0))</f>
        <v>0</v>
      </c>
      <c r="H50">
        <f>INDEX(InputTbl[],ROW(DataAgg!H49),MATCH(H$1,InputTbl[#Headers],0))</f>
        <v>0</v>
      </c>
      <c r="I50">
        <f>INDEX(InputTbl[],ROW(DataAgg!I49),MATCH(I$1,InputTbl[#Headers],0))</f>
        <v>0</v>
      </c>
      <c r="J50" t="e">
        <f t="shared" ca="1" si="7"/>
        <v>#N/A</v>
      </c>
      <c r="K50" t="e">
        <f t="shared" ca="1" si="8"/>
        <v>#N/A</v>
      </c>
      <c r="L50" t="e">
        <f t="shared" ca="1" si="9"/>
        <v>#N/A</v>
      </c>
      <c r="M50" t="e">
        <f t="shared" si="10"/>
        <v>#N/A</v>
      </c>
      <c r="N50" t="e">
        <f t="shared" si="10"/>
        <v>#N/A</v>
      </c>
      <c r="O50" t="e">
        <f t="shared" si="10"/>
        <v>#N/A</v>
      </c>
      <c r="P50" t="e">
        <f t="shared" si="10"/>
        <v>#N/A</v>
      </c>
      <c r="Q50" t="e">
        <f t="shared" si="10"/>
        <v>#N/A</v>
      </c>
      <c r="R50" t="e">
        <f t="shared" si="10"/>
        <v>#N/A</v>
      </c>
      <c r="S50" t="e">
        <f t="shared" si="10"/>
        <v>#N/A</v>
      </c>
      <c r="T50" t="e">
        <f t="shared" si="10"/>
        <v>#N/A</v>
      </c>
      <c r="U50" t="e">
        <f t="shared" si="10"/>
        <v>#N/A</v>
      </c>
      <c r="V50" t="e">
        <f t="shared" si="10"/>
        <v>#N/A</v>
      </c>
      <c r="W50" t="b">
        <v>0</v>
      </c>
      <c r="X50" t="str">
        <f ca="1">IF(DataTbl[[#This Row],[Task Name]]&lt;&gt;0,IF(AND(DataTbl[[#This Row],[Due Date]]&lt;NOW(),OR(DataTbl[[#This Row],[% Progress]]&lt;&gt;1,DataTbl[[#This Row],[Status]]&lt;&gt;"Completed")),"Yes","No"),"No")</f>
        <v>No</v>
      </c>
    </row>
    <row r="51" spans="1:24" x14ac:dyDescent="0.25">
      <c r="A51">
        <f>INDEX(InputTbl[],ROW(DataAgg!A50),MATCH($A$1,InputTbl[#Headers],0))</f>
        <v>0</v>
      </c>
      <c r="B51">
        <f>INDEX(InputTbl[],ROW(DataAgg!B50),MATCH(B$1,InputTbl[#Headers],0))</f>
        <v>0</v>
      </c>
      <c r="C51">
        <f>INDEX(InputTbl[],ROW(DataAgg!C50),MATCH(C$1,InputTbl[#Headers],0))</f>
        <v>0</v>
      </c>
      <c r="D51">
        <f>INDEX(InputTbl[],ROW(DataAgg!D50),MATCH(D$1,InputTbl[#Headers],0))</f>
        <v>0</v>
      </c>
      <c r="E51">
        <f>INDEX(InputTbl[],ROW(DataAgg!E50),MATCH(E$1,InputTbl[#Headers],0))</f>
        <v>0</v>
      </c>
      <c r="F51" s="10">
        <f>INDEX(InputTbl[],ROW(DataAgg!F50),MATCH(F$1,InputTbl[#Headers],0))</f>
        <v>0</v>
      </c>
      <c r="G51" s="10">
        <f>INDEX(InputTbl[],ROW(DataAgg!G50),MATCH(G$1,InputTbl[#Headers],0))</f>
        <v>0</v>
      </c>
      <c r="H51">
        <f>INDEX(InputTbl[],ROW(DataAgg!H50),MATCH(H$1,InputTbl[#Headers],0))</f>
        <v>0</v>
      </c>
      <c r="I51">
        <f>INDEX(InputTbl[],ROW(DataAgg!I50),MATCH(I$1,InputTbl[#Headers],0))</f>
        <v>0</v>
      </c>
      <c r="J51" t="e">
        <f t="shared" ca="1" si="7"/>
        <v>#N/A</v>
      </c>
      <c r="K51" t="e">
        <f t="shared" ca="1" si="8"/>
        <v>#N/A</v>
      </c>
      <c r="L51" t="e">
        <f t="shared" ca="1" si="9"/>
        <v>#N/A</v>
      </c>
      <c r="M51" t="e">
        <f t="shared" si="10"/>
        <v>#N/A</v>
      </c>
      <c r="N51" t="e">
        <f t="shared" si="10"/>
        <v>#N/A</v>
      </c>
      <c r="O51" t="e">
        <f t="shared" si="10"/>
        <v>#N/A</v>
      </c>
      <c r="P51" t="e">
        <f t="shared" si="10"/>
        <v>#N/A</v>
      </c>
      <c r="Q51" t="e">
        <f t="shared" si="10"/>
        <v>#N/A</v>
      </c>
      <c r="R51" t="e">
        <f t="shared" si="10"/>
        <v>#N/A</v>
      </c>
      <c r="S51" t="e">
        <f t="shared" si="10"/>
        <v>#N/A</v>
      </c>
      <c r="T51" t="e">
        <f t="shared" si="10"/>
        <v>#N/A</v>
      </c>
      <c r="U51" t="e">
        <f t="shared" si="10"/>
        <v>#N/A</v>
      </c>
      <c r="V51" t="e">
        <f t="shared" si="10"/>
        <v>#N/A</v>
      </c>
      <c r="W51" t="b">
        <v>0</v>
      </c>
      <c r="X51" t="str">
        <f ca="1">IF(DataTbl[[#This Row],[Task Name]]&lt;&gt;0,IF(AND(DataTbl[[#This Row],[Due Date]]&lt;NOW(),OR(DataTbl[[#This Row],[% Progress]]&lt;&gt;1,DataTbl[[#This Row],[Status]]&lt;&gt;"Completed")),"Yes","No"),"No")</f>
        <v>No</v>
      </c>
    </row>
    <row r="52" spans="1:24" x14ac:dyDescent="0.25">
      <c r="A52">
        <f>INDEX(InputTbl[],ROW(DataAgg!A51),MATCH($A$1,InputTbl[#Headers],0))</f>
        <v>0</v>
      </c>
      <c r="B52">
        <f>INDEX(InputTbl[],ROW(DataAgg!B51),MATCH(B$1,InputTbl[#Headers],0))</f>
        <v>0</v>
      </c>
      <c r="C52">
        <f>INDEX(InputTbl[],ROW(DataAgg!C51),MATCH(C$1,InputTbl[#Headers],0))</f>
        <v>0</v>
      </c>
      <c r="D52">
        <f>INDEX(InputTbl[],ROW(DataAgg!D51),MATCH(D$1,InputTbl[#Headers],0))</f>
        <v>0</v>
      </c>
      <c r="E52">
        <f>INDEX(InputTbl[],ROW(DataAgg!E51),MATCH(E$1,InputTbl[#Headers],0))</f>
        <v>0</v>
      </c>
      <c r="F52" s="10">
        <f>INDEX(InputTbl[],ROW(DataAgg!F51),MATCH(F$1,InputTbl[#Headers],0))</f>
        <v>0</v>
      </c>
      <c r="G52" s="10">
        <f>INDEX(InputTbl[],ROW(DataAgg!G51),MATCH(G$1,InputTbl[#Headers],0))</f>
        <v>0</v>
      </c>
      <c r="H52">
        <f>INDEX(InputTbl[],ROW(DataAgg!H51),MATCH(H$1,InputTbl[#Headers],0))</f>
        <v>0</v>
      </c>
      <c r="I52">
        <f>INDEX(InputTbl[],ROW(DataAgg!I51),MATCH(I$1,InputTbl[#Headers],0))</f>
        <v>0</v>
      </c>
      <c r="J52" t="e">
        <f t="shared" ca="1" si="7"/>
        <v>#N/A</v>
      </c>
      <c r="K52" t="e">
        <f t="shared" ca="1" si="8"/>
        <v>#N/A</v>
      </c>
      <c r="L52" t="e">
        <f t="shared" ca="1" si="9"/>
        <v>#N/A</v>
      </c>
      <c r="M52" t="e">
        <f t="shared" ref="M52:V61" si="11">IF(MATCH($H52,StatusOptions,0)=COLUMN(M:M)-12,"TRUE","FALSE")</f>
        <v>#N/A</v>
      </c>
      <c r="N52" t="e">
        <f t="shared" si="11"/>
        <v>#N/A</v>
      </c>
      <c r="O52" t="e">
        <f t="shared" si="11"/>
        <v>#N/A</v>
      </c>
      <c r="P52" t="e">
        <f t="shared" si="11"/>
        <v>#N/A</v>
      </c>
      <c r="Q52" t="e">
        <f t="shared" si="11"/>
        <v>#N/A</v>
      </c>
      <c r="R52" t="e">
        <f t="shared" si="11"/>
        <v>#N/A</v>
      </c>
      <c r="S52" t="e">
        <f t="shared" si="11"/>
        <v>#N/A</v>
      </c>
      <c r="T52" t="e">
        <f t="shared" si="11"/>
        <v>#N/A</v>
      </c>
      <c r="U52" t="e">
        <f t="shared" si="11"/>
        <v>#N/A</v>
      </c>
      <c r="V52" t="e">
        <f t="shared" si="11"/>
        <v>#N/A</v>
      </c>
      <c r="W52" t="b">
        <v>0</v>
      </c>
      <c r="X52" t="str">
        <f ca="1">IF(DataTbl[[#This Row],[Task Name]]&lt;&gt;0,IF(AND(DataTbl[[#This Row],[Due Date]]&lt;NOW(),OR(DataTbl[[#This Row],[% Progress]]&lt;&gt;1,DataTbl[[#This Row],[Status]]&lt;&gt;"Completed")),"Yes","No"),"No")</f>
        <v>No</v>
      </c>
    </row>
    <row r="53" spans="1:24" x14ac:dyDescent="0.25">
      <c r="A53">
        <f>INDEX(InputTbl[],ROW(DataAgg!A52),MATCH($A$1,InputTbl[#Headers],0))</f>
        <v>0</v>
      </c>
      <c r="B53">
        <f>INDEX(InputTbl[],ROW(DataAgg!B52),MATCH(B$1,InputTbl[#Headers],0))</f>
        <v>0</v>
      </c>
      <c r="C53">
        <f>INDEX(InputTbl[],ROW(DataAgg!C52),MATCH(C$1,InputTbl[#Headers],0))</f>
        <v>0</v>
      </c>
      <c r="D53">
        <f>INDEX(InputTbl[],ROW(DataAgg!D52),MATCH(D$1,InputTbl[#Headers],0))</f>
        <v>0</v>
      </c>
      <c r="E53">
        <f>INDEX(InputTbl[],ROW(DataAgg!E52),MATCH(E$1,InputTbl[#Headers],0))</f>
        <v>0</v>
      </c>
      <c r="F53" s="10">
        <f>INDEX(InputTbl[],ROW(DataAgg!F52),MATCH(F$1,InputTbl[#Headers],0))</f>
        <v>0</v>
      </c>
      <c r="G53" s="10">
        <f>INDEX(InputTbl[],ROW(DataAgg!G52),MATCH(G$1,InputTbl[#Headers],0))</f>
        <v>0</v>
      </c>
      <c r="H53">
        <f>INDEX(InputTbl[],ROW(DataAgg!H52),MATCH(H$1,InputTbl[#Headers],0))</f>
        <v>0</v>
      </c>
      <c r="I53">
        <f>INDEX(InputTbl[],ROW(DataAgg!I52),MATCH(I$1,InputTbl[#Headers],0))</f>
        <v>0</v>
      </c>
      <c r="J53" t="e">
        <f t="shared" ca="1" si="7"/>
        <v>#N/A</v>
      </c>
      <c r="K53" t="e">
        <f t="shared" ca="1" si="8"/>
        <v>#N/A</v>
      </c>
      <c r="L53" t="e">
        <f t="shared" ca="1" si="9"/>
        <v>#N/A</v>
      </c>
      <c r="M53" t="e">
        <f t="shared" si="11"/>
        <v>#N/A</v>
      </c>
      <c r="N53" t="e">
        <f t="shared" si="11"/>
        <v>#N/A</v>
      </c>
      <c r="O53" t="e">
        <f t="shared" si="11"/>
        <v>#N/A</v>
      </c>
      <c r="P53" t="e">
        <f t="shared" si="11"/>
        <v>#N/A</v>
      </c>
      <c r="Q53" t="e">
        <f t="shared" si="11"/>
        <v>#N/A</v>
      </c>
      <c r="R53" t="e">
        <f t="shared" si="11"/>
        <v>#N/A</v>
      </c>
      <c r="S53" t="e">
        <f t="shared" si="11"/>
        <v>#N/A</v>
      </c>
      <c r="T53" t="e">
        <f t="shared" si="11"/>
        <v>#N/A</v>
      </c>
      <c r="U53" t="e">
        <f t="shared" si="11"/>
        <v>#N/A</v>
      </c>
      <c r="V53" t="e">
        <f t="shared" si="11"/>
        <v>#N/A</v>
      </c>
      <c r="W53" t="b">
        <v>0</v>
      </c>
      <c r="X53" t="str">
        <f ca="1">IF(DataTbl[[#This Row],[Task Name]]&lt;&gt;0,IF(AND(DataTbl[[#This Row],[Due Date]]&lt;NOW(),OR(DataTbl[[#This Row],[% Progress]]&lt;&gt;1,DataTbl[[#This Row],[Status]]&lt;&gt;"Completed")),"Yes","No"),"No")</f>
        <v>No</v>
      </c>
    </row>
    <row r="54" spans="1:24" x14ac:dyDescent="0.25">
      <c r="A54">
        <f>INDEX(InputTbl[],ROW(DataAgg!A53),MATCH($A$1,InputTbl[#Headers],0))</f>
        <v>0</v>
      </c>
      <c r="B54">
        <f>INDEX(InputTbl[],ROW(DataAgg!B53),MATCH(B$1,InputTbl[#Headers],0))</f>
        <v>0</v>
      </c>
      <c r="C54">
        <f>INDEX(InputTbl[],ROW(DataAgg!C53),MATCH(C$1,InputTbl[#Headers],0))</f>
        <v>0</v>
      </c>
      <c r="D54">
        <f>INDEX(InputTbl[],ROW(DataAgg!D53),MATCH(D$1,InputTbl[#Headers],0))</f>
        <v>0</v>
      </c>
      <c r="E54">
        <f>INDEX(InputTbl[],ROW(DataAgg!E53),MATCH(E$1,InputTbl[#Headers],0))</f>
        <v>0</v>
      </c>
      <c r="F54" s="10">
        <f>INDEX(InputTbl[],ROW(DataAgg!F53),MATCH(F$1,InputTbl[#Headers],0))</f>
        <v>0</v>
      </c>
      <c r="G54" s="10">
        <f>INDEX(InputTbl[],ROW(DataAgg!G53),MATCH(G$1,InputTbl[#Headers],0))</f>
        <v>0</v>
      </c>
      <c r="H54">
        <f>INDEX(InputTbl[],ROW(DataAgg!H53),MATCH(H$1,InputTbl[#Headers],0))</f>
        <v>0</v>
      </c>
      <c r="I54">
        <f>INDEX(InputTbl[],ROW(DataAgg!I53),MATCH(I$1,InputTbl[#Headers],0))</f>
        <v>0</v>
      </c>
      <c r="J54" t="e">
        <f t="shared" ca="1" si="7"/>
        <v>#N/A</v>
      </c>
      <c r="K54" t="e">
        <f t="shared" ca="1" si="8"/>
        <v>#N/A</v>
      </c>
      <c r="L54" t="e">
        <f t="shared" ca="1" si="9"/>
        <v>#N/A</v>
      </c>
      <c r="M54" t="e">
        <f t="shared" si="11"/>
        <v>#N/A</v>
      </c>
      <c r="N54" t="e">
        <f t="shared" si="11"/>
        <v>#N/A</v>
      </c>
      <c r="O54" t="e">
        <f t="shared" si="11"/>
        <v>#N/A</v>
      </c>
      <c r="P54" t="e">
        <f t="shared" si="11"/>
        <v>#N/A</v>
      </c>
      <c r="Q54" t="e">
        <f t="shared" si="11"/>
        <v>#N/A</v>
      </c>
      <c r="R54" t="e">
        <f t="shared" si="11"/>
        <v>#N/A</v>
      </c>
      <c r="S54" t="e">
        <f t="shared" si="11"/>
        <v>#N/A</v>
      </c>
      <c r="T54" t="e">
        <f t="shared" si="11"/>
        <v>#N/A</v>
      </c>
      <c r="U54" t="e">
        <f t="shared" si="11"/>
        <v>#N/A</v>
      </c>
      <c r="V54" t="e">
        <f t="shared" si="11"/>
        <v>#N/A</v>
      </c>
      <c r="W54" t="b">
        <v>0</v>
      </c>
      <c r="X54" t="str">
        <f ca="1">IF(DataTbl[[#This Row],[Task Name]]&lt;&gt;0,IF(AND(DataTbl[[#This Row],[Due Date]]&lt;NOW(),OR(DataTbl[[#This Row],[% Progress]]&lt;&gt;1,DataTbl[[#This Row],[Status]]&lt;&gt;"Completed")),"Yes","No"),"No")</f>
        <v>No</v>
      </c>
    </row>
    <row r="55" spans="1:24" x14ac:dyDescent="0.25">
      <c r="A55">
        <f>INDEX(InputTbl[],ROW(DataAgg!A54),MATCH($A$1,InputTbl[#Headers],0))</f>
        <v>0</v>
      </c>
      <c r="B55">
        <f>INDEX(InputTbl[],ROW(DataAgg!B54),MATCH(B$1,InputTbl[#Headers],0))</f>
        <v>0</v>
      </c>
      <c r="C55">
        <f>INDEX(InputTbl[],ROW(DataAgg!C54),MATCH(C$1,InputTbl[#Headers],0))</f>
        <v>0</v>
      </c>
      <c r="D55">
        <f>INDEX(InputTbl[],ROW(DataAgg!D54),MATCH(D$1,InputTbl[#Headers],0))</f>
        <v>0</v>
      </c>
      <c r="E55">
        <f>INDEX(InputTbl[],ROW(DataAgg!E54),MATCH(E$1,InputTbl[#Headers],0))</f>
        <v>0</v>
      </c>
      <c r="F55" s="10">
        <f>INDEX(InputTbl[],ROW(DataAgg!F54),MATCH(F$1,InputTbl[#Headers],0))</f>
        <v>0</v>
      </c>
      <c r="G55" s="10">
        <f>INDEX(InputTbl[],ROW(DataAgg!G54),MATCH(G$1,InputTbl[#Headers],0))</f>
        <v>0</v>
      </c>
      <c r="H55">
        <f>INDEX(InputTbl[],ROW(DataAgg!H54),MATCH(H$1,InputTbl[#Headers],0))</f>
        <v>0</v>
      </c>
      <c r="I55">
        <f>INDEX(InputTbl[],ROW(DataAgg!I54),MATCH(I$1,InputTbl[#Headers],0))</f>
        <v>0</v>
      </c>
      <c r="J55" t="e">
        <f t="shared" ca="1" si="7"/>
        <v>#N/A</v>
      </c>
      <c r="K55" t="e">
        <f t="shared" ca="1" si="8"/>
        <v>#N/A</v>
      </c>
      <c r="L55" t="e">
        <f t="shared" ca="1" si="9"/>
        <v>#N/A</v>
      </c>
      <c r="M55" t="e">
        <f t="shared" si="11"/>
        <v>#N/A</v>
      </c>
      <c r="N55" t="e">
        <f t="shared" si="11"/>
        <v>#N/A</v>
      </c>
      <c r="O55" t="e">
        <f t="shared" si="11"/>
        <v>#N/A</v>
      </c>
      <c r="P55" t="e">
        <f t="shared" si="11"/>
        <v>#N/A</v>
      </c>
      <c r="Q55" t="e">
        <f t="shared" si="11"/>
        <v>#N/A</v>
      </c>
      <c r="R55" t="e">
        <f t="shared" si="11"/>
        <v>#N/A</v>
      </c>
      <c r="S55" t="e">
        <f t="shared" si="11"/>
        <v>#N/A</v>
      </c>
      <c r="T55" t="e">
        <f t="shared" si="11"/>
        <v>#N/A</v>
      </c>
      <c r="U55" t="e">
        <f t="shared" si="11"/>
        <v>#N/A</v>
      </c>
      <c r="V55" t="e">
        <f t="shared" si="11"/>
        <v>#N/A</v>
      </c>
      <c r="W55" t="b">
        <v>0</v>
      </c>
      <c r="X55" t="str">
        <f ca="1">IF(DataTbl[[#This Row],[Task Name]]&lt;&gt;0,IF(AND(DataTbl[[#This Row],[Due Date]]&lt;NOW(),OR(DataTbl[[#This Row],[% Progress]]&lt;&gt;1,DataTbl[[#This Row],[Status]]&lt;&gt;"Completed")),"Yes","No"),"No")</f>
        <v>No</v>
      </c>
    </row>
    <row r="56" spans="1:24" x14ac:dyDescent="0.25">
      <c r="A56">
        <f>INDEX(InputTbl[],ROW(DataAgg!A55),MATCH($A$1,InputTbl[#Headers],0))</f>
        <v>0</v>
      </c>
      <c r="B56">
        <f>INDEX(InputTbl[],ROW(DataAgg!B55),MATCH(B$1,InputTbl[#Headers],0))</f>
        <v>0</v>
      </c>
      <c r="C56">
        <f>INDEX(InputTbl[],ROW(DataAgg!C55),MATCH(C$1,InputTbl[#Headers],0))</f>
        <v>0</v>
      </c>
      <c r="D56">
        <f>INDEX(InputTbl[],ROW(DataAgg!D55),MATCH(D$1,InputTbl[#Headers],0))</f>
        <v>0</v>
      </c>
      <c r="E56">
        <f>INDEX(InputTbl[],ROW(DataAgg!E55),MATCH(E$1,InputTbl[#Headers],0))</f>
        <v>0</v>
      </c>
      <c r="F56" s="10">
        <f>INDEX(InputTbl[],ROW(DataAgg!F55),MATCH(F$1,InputTbl[#Headers],0))</f>
        <v>0</v>
      </c>
      <c r="G56" s="10">
        <f>INDEX(InputTbl[],ROW(DataAgg!G55),MATCH(G$1,InputTbl[#Headers],0))</f>
        <v>0</v>
      </c>
      <c r="H56">
        <f>INDEX(InputTbl[],ROW(DataAgg!H55),MATCH(H$1,InputTbl[#Headers],0))</f>
        <v>0</v>
      </c>
      <c r="I56">
        <f>INDEX(InputTbl[],ROW(DataAgg!I55),MATCH(I$1,InputTbl[#Headers],0))</f>
        <v>0</v>
      </c>
      <c r="J56" t="e">
        <f t="shared" ca="1" si="7"/>
        <v>#N/A</v>
      </c>
      <c r="K56" t="e">
        <f t="shared" ca="1" si="8"/>
        <v>#N/A</v>
      </c>
      <c r="L56" t="e">
        <f t="shared" ca="1" si="9"/>
        <v>#N/A</v>
      </c>
      <c r="M56" t="e">
        <f t="shared" si="11"/>
        <v>#N/A</v>
      </c>
      <c r="N56" t="e">
        <f t="shared" si="11"/>
        <v>#N/A</v>
      </c>
      <c r="O56" t="e">
        <f t="shared" si="11"/>
        <v>#N/A</v>
      </c>
      <c r="P56" t="e">
        <f t="shared" si="11"/>
        <v>#N/A</v>
      </c>
      <c r="Q56" t="e">
        <f t="shared" si="11"/>
        <v>#N/A</v>
      </c>
      <c r="R56" t="e">
        <f t="shared" si="11"/>
        <v>#N/A</v>
      </c>
      <c r="S56" t="e">
        <f t="shared" si="11"/>
        <v>#N/A</v>
      </c>
      <c r="T56" t="e">
        <f t="shared" si="11"/>
        <v>#N/A</v>
      </c>
      <c r="U56" t="e">
        <f t="shared" si="11"/>
        <v>#N/A</v>
      </c>
      <c r="V56" t="e">
        <f t="shared" si="11"/>
        <v>#N/A</v>
      </c>
      <c r="W56" t="b">
        <v>0</v>
      </c>
      <c r="X56" t="str">
        <f ca="1">IF(DataTbl[[#This Row],[Task Name]]&lt;&gt;0,IF(AND(DataTbl[[#This Row],[Due Date]]&lt;NOW(),OR(DataTbl[[#This Row],[% Progress]]&lt;&gt;1,DataTbl[[#This Row],[Status]]&lt;&gt;"Completed")),"Yes","No"),"No")</f>
        <v>No</v>
      </c>
    </row>
    <row r="57" spans="1:24" x14ac:dyDescent="0.25">
      <c r="A57">
        <f>INDEX(InputTbl[],ROW(DataAgg!A56),MATCH($A$1,InputTbl[#Headers],0))</f>
        <v>0</v>
      </c>
      <c r="B57">
        <f>INDEX(InputTbl[],ROW(DataAgg!B56),MATCH(B$1,InputTbl[#Headers],0))</f>
        <v>0</v>
      </c>
      <c r="C57">
        <f>INDEX(InputTbl[],ROW(DataAgg!C56),MATCH(C$1,InputTbl[#Headers],0))</f>
        <v>0</v>
      </c>
      <c r="D57">
        <f>INDEX(InputTbl[],ROW(DataAgg!D56),MATCH(D$1,InputTbl[#Headers],0))</f>
        <v>0</v>
      </c>
      <c r="E57">
        <f>INDEX(InputTbl[],ROW(DataAgg!E56),MATCH(E$1,InputTbl[#Headers],0))</f>
        <v>0</v>
      </c>
      <c r="F57" s="10">
        <f>INDEX(InputTbl[],ROW(DataAgg!F56),MATCH(F$1,InputTbl[#Headers],0))</f>
        <v>0</v>
      </c>
      <c r="G57" s="10">
        <f>INDEX(InputTbl[],ROW(DataAgg!G56),MATCH(G$1,InputTbl[#Headers],0))</f>
        <v>0</v>
      </c>
      <c r="H57">
        <f>INDEX(InputTbl[],ROW(DataAgg!H56),MATCH(H$1,InputTbl[#Headers],0))</f>
        <v>0</v>
      </c>
      <c r="I57">
        <f>INDEX(InputTbl[],ROW(DataAgg!I56),MATCH(I$1,InputTbl[#Headers],0))</f>
        <v>0</v>
      </c>
      <c r="J57" t="e">
        <f t="shared" ca="1" si="7"/>
        <v>#N/A</v>
      </c>
      <c r="K57" t="e">
        <f t="shared" ca="1" si="8"/>
        <v>#N/A</v>
      </c>
      <c r="L57" t="e">
        <f t="shared" ca="1" si="9"/>
        <v>#N/A</v>
      </c>
      <c r="M57" t="e">
        <f t="shared" si="11"/>
        <v>#N/A</v>
      </c>
      <c r="N57" t="e">
        <f t="shared" si="11"/>
        <v>#N/A</v>
      </c>
      <c r="O57" t="e">
        <f t="shared" si="11"/>
        <v>#N/A</v>
      </c>
      <c r="P57" t="e">
        <f t="shared" si="11"/>
        <v>#N/A</v>
      </c>
      <c r="Q57" t="e">
        <f t="shared" si="11"/>
        <v>#N/A</v>
      </c>
      <c r="R57" t="e">
        <f t="shared" si="11"/>
        <v>#N/A</v>
      </c>
      <c r="S57" t="e">
        <f t="shared" si="11"/>
        <v>#N/A</v>
      </c>
      <c r="T57" t="e">
        <f t="shared" si="11"/>
        <v>#N/A</v>
      </c>
      <c r="U57" t="e">
        <f t="shared" si="11"/>
        <v>#N/A</v>
      </c>
      <c r="V57" t="e">
        <f t="shared" si="11"/>
        <v>#N/A</v>
      </c>
      <c r="W57" t="b">
        <v>0</v>
      </c>
      <c r="X57" t="str">
        <f ca="1">IF(DataTbl[[#This Row],[Task Name]]&lt;&gt;0,IF(AND(DataTbl[[#This Row],[Due Date]]&lt;NOW(),OR(DataTbl[[#This Row],[% Progress]]&lt;&gt;1,DataTbl[[#This Row],[Status]]&lt;&gt;"Completed")),"Yes","No"),"No")</f>
        <v>No</v>
      </c>
    </row>
    <row r="58" spans="1:24" x14ac:dyDescent="0.25">
      <c r="A58">
        <f>INDEX(InputTbl[],ROW(DataAgg!A57),MATCH($A$1,InputTbl[#Headers],0))</f>
        <v>0</v>
      </c>
      <c r="B58">
        <f>INDEX(InputTbl[],ROW(DataAgg!B57),MATCH(B$1,InputTbl[#Headers],0))</f>
        <v>0</v>
      </c>
      <c r="C58">
        <f>INDEX(InputTbl[],ROW(DataAgg!C57),MATCH(C$1,InputTbl[#Headers],0))</f>
        <v>0</v>
      </c>
      <c r="D58">
        <f>INDEX(InputTbl[],ROW(DataAgg!D57),MATCH(D$1,InputTbl[#Headers],0))</f>
        <v>0</v>
      </c>
      <c r="E58">
        <f>INDEX(InputTbl[],ROW(DataAgg!E57),MATCH(E$1,InputTbl[#Headers],0))</f>
        <v>0</v>
      </c>
      <c r="F58" s="10">
        <f>INDEX(InputTbl[],ROW(DataAgg!F57),MATCH(F$1,InputTbl[#Headers],0))</f>
        <v>0</v>
      </c>
      <c r="G58" s="10">
        <f>INDEX(InputTbl[],ROW(DataAgg!G57),MATCH(G$1,InputTbl[#Headers],0))</f>
        <v>0</v>
      </c>
      <c r="H58">
        <f>INDEX(InputTbl[],ROW(DataAgg!H57),MATCH(H$1,InputTbl[#Headers],0))</f>
        <v>0</v>
      </c>
      <c r="I58">
        <f>INDEX(InputTbl[],ROW(DataAgg!I57),MATCH(I$1,InputTbl[#Headers],0))</f>
        <v>0</v>
      </c>
      <c r="J58" t="e">
        <f t="shared" ca="1" si="7"/>
        <v>#N/A</v>
      </c>
      <c r="K58" t="e">
        <f t="shared" ca="1" si="8"/>
        <v>#N/A</v>
      </c>
      <c r="L58" t="e">
        <f t="shared" ca="1" si="9"/>
        <v>#N/A</v>
      </c>
      <c r="M58" t="e">
        <f t="shared" si="11"/>
        <v>#N/A</v>
      </c>
      <c r="N58" t="e">
        <f t="shared" si="11"/>
        <v>#N/A</v>
      </c>
      <c r="O58" t="e">
        <f t="shared" si="11"/>
        <v>#N/A</v>
      </c>
      <c r="P58" t="e">
        <f t="shared" si="11"/>
        <v>#N/A</v>
      </c>
      <c r="Q58" t="e">
        <f t="shared" si="11"/>
        <v>#N/A</v>
      </c>
      <c r="R58" t="e">
        <f t="shared" si="11"/>
        <v>#N/A</v>
      </c>
      <c r="S58" t="e">
        <f t="shared" si="11"/>
        <v>#N/A</v>
      </c>
      <c r="T58" t="e">
        <f t="shared" si="11"/>
        <v>#N/A</v>
      </c>
      <c r="U58" t="e">
        <f t="shared" si="11"/>
        <v>#N/A</v>
      </c>
      <c r="V58" t="e">
        <f t="shared" si="11"/>
        <v>#N/A</v>
      </c>
      <c r="W58" t="b">
        <v>0</v>
      </c>
      <c r="X58" t="str">
        <f ca="1">IF(DataTbl[[#This Row],[Task Name]]&lt;&gt;0,IF(AND(DataTbl[[#This Row],[Due Date]]&lt;NOW(),OR(DataTbl[[#This Row],[% Progress]]&lt;&gt;1,DataTbl[[#This Row],[Status]]&lt;&gt;"Completed")),"Yes","No"),"No")</f>
        <v>No</v>
      </c>
    </row>
    <row r="59" spans="1:24" x14ac:dyDescent="0.25">
      <c r="A59">
        <f>INDEX(InputTbl[],ROW(DataAgg!A58),MATCH($A$1,InputTbl[#Headers],0))</f>
        <v>0</v>
      </c>
      <c r="B59">
        <f>INDEX(InputTbl[],ROW(DataAgg!B58),MATCH(B$1,InputTbl[#Headers],0))</f>
        <v>0</v>
      </c>
      <c r="C59">
        <f>INDEX(InputTbl[],ROW(DataAgg!C58),MATCH(C$1,InputTbl[#Headers],0))</f>
        <v>0</v>
      </c>
      <c r="D59">
        <f>INDEX(InputTbl[],ROW(DataAgg!D58),MATCH(D$1,InputTbl[#Headers],0))</f>
        <v>0</v>
      </c>
      <c r="E59">
        <f>INDEX(InputTbl[],ROW(DataAgg!E58),MATCH(E$1,InputTbl[#Headers],0))</f>
        <v>0</v>
      </c>
      <c r="F59" s="10">
        <f>INDEX(InputTbl[],ROW(DataAgg!F58),MATCH(F$1,InputTbl[#Headers],0))</f>
        <v>0</v>
      </c>
      <c r="G59" s="10">
        <f>INDEX(InputTbl[],ROW(DataAgg!G58),MATCH(G$1,InputTbl[#Headers],0))</f>
        <v>0</v>
      </c>
      <c r="H59">
        <f>INDEX(InputTbl[],ROW(DataAgg!H58),MATCH(H$1,InputTbl[#Headers],0))</f>
        <v>0</v>
      </c>
      <c r="I59">
        <f>INDEX(InputTbl[],ROW(DataAgg!I58),MATCH(I$1,InputTbl[#Headers],0))</f>
        <v>0</v>
      </c>
      <c r="J59" t="e">
        <f t="shared" ca="1" si="7"/>
        <v>#N/A</v>
      </c>
      <c r="K59" t="e">
        <f t="shared" ca="1" si="8"/>
        <v>#N/A</v>
      </c>
      <c r="L59" t="e">
        <f t="shared" ca="1" si="9"/>
        <v>#N/A</v>
      </c>
      <c r="M59" t="e">
        <f t="shared" si="11"/>
        <v>#N/A</v>
      </c>
      <c r="N59" t="e">
        <f t="shared" si="11"/>
        <v>#N/A</v>
      </c>
      <c r="O59" t="e">
        <f t="shared" si="11"/>
        <v>#N/A</v>
      </c>
      <c r="P59" t="e">
        <f t="shared" si="11"/>
        <v>#N/A</v>
      </c>
      <c r="Q59" t="e">
        <f t="shared" si="11"/>
        <v>#N/A</v>
      </c>
      <c r="R59" t="e">
        <f t="shared" si="11"/>
        <v>#N/A</v>
      </c>
      <c r="S59" t="e">
        <f t="shared" si="11"/>
        <v>#N/A</v>
      </c>
      <c r="T59" t="e">
        <f t="shared" si="11"/>
        <v>#N/A</v>
      </c>
      <c r="U59" t="e">
        <f t="shared" si="11"/>
        <v>#N/A</v>
      </c>
      <c r="V59" t="e">
        <f t="shared" si="11"/>
        <v>#N/A</v>
      </c>
      <c r="W59" t="b">
        <v>0</v>
      </c>
      <c r="X59" t="str">
        <f ca="1">IF(DataTbl[[#This Row],[Task Name]]&lt;&gt;0,IF(AND(DataTbl[[#This Row],[Due Date]]&lt;NOW(),OR(DataTbl[[#This Row],[% Progress]]&lt;&gt;1,DataTbl[[#This Row],[Status]]&lt;&gt;"Completed")),"Yes","No"),"No")</f>
        <v>No</v>
      </c>
    </row>
    <row r="60" spans="1:24" x14ac:dyDescent="0.25">
      <c r="A60">
        <f>INDEX(InputTbl[],ROW(DataAgg!A59),MATCH($A$1,InputTbl[#Headers],0))</f>
        <v>0</v>
      </c>
      <c r="B60">
        <f>INDEX(InputTbl[],ROW(DataAgg!B59),MATCH(B$1,InputTbl[#Headers],0))</f>
        <v>0</v>
      </c>
      <c r="C60">
        <f>INDEX(InputTbl[],ROW(DataAgg!C59),MATCH(C$1,InputTbl[#Headers],0))</f>
        <v>0</v>
      </c>
      <c r="D60">
        <f>INDEX(InputTbl[],ROW(DataAgg!D59),MATCH(D$1,InputTbl[#Headers],0))</f>
        <v>0</v>
      </c>
      <c r="E60">
        <f>INDEX(InputTbl[],ROW(DataAgg!E59),MATCH(E$1,InputTbl[#Headers],0))</f>
        <v>0</v>
      </c>
      <c r="F60" s="10">
        <f>INDEX(InputTbl[],ROW(DataAgg!F59),MATCH(F$1,InputTbl[#Headers],0))</f>
        <v>0</v>
      </c>
      <c r="G60" s="10">
        <f>INDEX(InputTbl[],ROW(DataAgg!G59),MATCH(G$1,InputTbl[#Headers],0))</f>
        <v>0</v>
      </c>
      <c r="H60">
        <f>INDEX(InputTbl[],ROW(DataAgg!H59),MATCH(H$1,InputTbl[#Headers],0))</f>
        <v>0</v>
      </c>
      <c r="I60">
        <f>INDEX(InputTbl[],ROW(DataAgg!I59),MATCH(I$1,InputTbl[#Headers],0))</f>
        <v>0</v>
      </c>
      <c r="J60" t="e">
        <f t="shared" ca="1" si="7"/>
        <v>#N/A</v>
      </c>
      <c r="K60" t="e">
        <f t="shared" ca="1" si="8"/>
        <v>#N/A</v>
      </c>
      <c r="L60" t="e">
        <f t="shared" ca="1" si="9"/>
        <v>#N/A</v>
      </c>
      <c r="M60" t="e">
        <f t="shared" si="11"/>
        <v>#N/A</v>
      </c>
      <c r="N60" t="e">
        <f t="shared" si="11"/>
        <v>#N/A</v>
      </c>
      <c r="O60" t="e">
        <f t="shared" si="11"/>
        <v>#N/A</v>
      </c>
      <c r="P60" t="e">
        <f t="shared" si="11"/>
        <v>#N/A</v>
      </c>
      <c r="Q60" t="e">
        <f t="shared" si="11"/>
        <v>#N/A</v>
      </c>
      <c r="R60" t="e">
        <f t="shared" si="11"/>
        <v>#N/A</v>
      </c>
      <c r="S60" t="e">
        <f t="shared" si="11"/>
        <v>#N/A</v>
      </c>
      <c r="T60" t="e">
        <f t="shared" si="11"/>
        <v>#N/A</v>
      </c>
      <c r="U60" t="e">
        <f t="shared" si="11"/>
        <v>#N/A</v>
      </c>
      <c r="V60" t="e">
        <f t="shared" si="11"/>
        <v>#N/A</v>
      </c>
      <c r="W60" t="b">
        <v>0</v>
      </c>
      <c r="X60" t="str">
        <f ca="1">IF(DataTbl[[#This Row],[Task Name]]&lt;&gt;0,IF(AND(DataTbl[[#This Row],[Due Date]]&lt;NOW(),OR(DataTbl[[#This Row],[% Progress]]&lt;&gt;1,DataTbl[[#This Row],[Status]]&lt;&gt;"Completed")),"Yes","No"),"No")</f>
        <v>No</v>
      </c>
    </row>
    <row r="61" spans="1:24" x14ac:dyDescent="0.25">
      <c r="A61">
        <f>INDEX(InputTbl[],ROW(DataAgg!A60),MATCH($A$1,InputTbl[#Headers],0))</f>
        <v>0</v>
      </c>
      <c r="B61">
        <f>INDEX(InputTbl[],ROW(DataAgg!B60),MATCH(B$1,InputTbl[#Headers],0))</f>
        <v>0</v>
      </c>
      <c r="C61">
        <f>INDEX(InputTbl[],ROW(DataAgg!C60),MATCH(C$1,InputTbl[#Headers],0))</f>
        <v>0</v>
      </c>
      <c r="D61">
        <f>INDEX(InputTbl[],ROW(DataAgg!D60),MATCH(D$1,InputTbl[#Headers],0))</f>
        <v>0</v>
      </c>
      <c r="E61">
        <f>INDEX(InputTbl[],ROW(DataAgg!E60),MATCH(E$1,InputTbl[#Headers],0))</f>
        <v>0</v>
      </c>
      <c r="F61" s="10">
        <f>INDEX(InputTbl[],ROW(DataAgg!F60),MATCH(F$1,InputTbl[#Headers],0))</f>
        <v>0</v>
      </c>
      <c r="G61" s="10">
        <f>INDEX(InputTbl[],ROW(DataAgg!G60),MATCH(G$1,InputTbl[#Headers],0))</f>
        <v>0</v>
      </c>
      <c r="H61">
        <f>INDEX(InputTbl[],ROW(DataAgg!H60),MATCH(H$1,InputTbl[#Headers],0))</f>
        <v>0</v>
      </c>
      <c r="I61">
        <f>INDEX(InputTbl[],ROW(DataAgg!I60),MATCH(I$1,InputTbl[#Headers],0))</f>
        <v>0</v>
      </c>
      <c r="J61" t="e">
        <f t="shared" ca="1" si="7"/>
        <v>#N/A</v>
      </c>
      <c r="K61" t="e">
        <f t="shared" ca="1" si="8"/>
        <v>#N/A</v>
      </c>
      <c r="L61" t="e">
        <f t="shared" ca="1" si="9"/>
        <v>#N/A</v>
      </c>
      <c r="M61" t="e">
        <f t="shared" si="11"/>
        <v>#N/A</v>
      </c>
      <c r="N61" t="e">
        <f t="shared" si="11"/>
        <v>#N/A</v>
      </c>
      <c r="O61" t="e">
        <f t="shared" si="11"/>
        <v>#N/A</v>
      </c>
      <c r="P61" t="e">
        <f t="shared" si="11"/>
        <v>#N/A</v>
      </c>
      <c r="Q61" t="e">
        <f t="shared" si="11"/>
        <v>#N/A</v>
      </c>
      <c r="R61" t="e">
        <f t="shared" si="11"/>
        <v>#N/A</v>
      </c>
      <c r="S61" t="e">
        <f t="shared" si="11"/>
        <v>#N/A</v>
      </c>
      <c r="T61" t="e">
        <f t="shared" si="11"/>
        <v>#N/A</v>
      </c>
      <c r="U61" t="e">
        <f t="shared" si="11"/>
        <v>#N/A</v>
      </c>
      <c r="V61" t="e">
        <f t="shared" si="11"/>
        <v>#N/A</v>
      </c>
      <c r="W61" t="b">
        <v>0</v>
      </c>
      <c r="X61" t="str">
        <f ca="1">IF(DataTbl[[#This Row],[Task Name]]&lt;&gt;0,IF(AND(DataTbl[[#This Row],[Due Date]]&lt;NOW(),OR(DataTbl[[#This Row],[% Progress]]&lt;&gt;1,DataTbl[[#This Row],[Status]]&lt;&gt;"Completed")),"Yes","No"),"No")</f>
        <v>No</v>
      </c>
    </row>
    <row r="62" spans="1:24" x14ac:dyDescent="0.25">
      <c r="A62">
        <f>INDEX(InputTbl[],ROW(DataAgg!A61),MATCH($A$1,InputTbl[#Headers],0))</f>
        <v>0</v>
      </c>
      <c r="B62">
        <f>INDEX(InputTbl[],ROW(DataAgg!B61),MATCH(B$1,InputTbl[#Headers],0))</f>
        <v>0</v>
      </c>
      <c r="C62">
        <f>INDEX(InputTbl[],ROW(DataAgg!C61),MATCH(C$1,InputTbl[#Headers],0))</f>
        <v>0</v>
      </c>
      <c r="D62">
        <f>INDEX(InputTbl[],ROW(DataAgg!D61),MATCH(D$1,InputTbl[#Headers],0))</f>
        <v>0</v>
      </c>
      <c r="E62">
        <f>INDEX(InputTbl[],ROW(DataAgg!E61),MATCH(E$1,InputTbl[#Headers],0))</f>
        <v>0</v>
      </c>
      <c r="F62" s="10">
        <f>INDEX(InputTbl[],ROW(DataAgg!F61),MATCH(F$1,InputTbl[#Headers],0))</f>
        <v>0</v>
      </c>
      <c r="G62" s="10">
        <f>INDEX(InputTbl[],ROW(DataAgg!G61),MATCH(G$1,InputTbl[#Headers],0))</f>
        <v>0</v>
      </c>
      <c r="H62">
        <f>INDEX(InputTbl[],ROW(DataAgg!H61),MATCH(H$1,InputTbl[#Headers],0))</f>
        <v>0</v>
      </c>
      <c r="I62">
        <f>INDEX(InputTbl[],ROW(DataAgg!I61),MATCH(I$1,InputTbl[#Headers],0))</f>
        <v>0</v>
      </c>
      <c r="J62" t="e">
        <f t="shared" ca="1" si="7"/>
        <v>#N/A</v>
      </c>
      <c r="K62" t="e">
        <f t="shared" ca="1" si="8"/>
        <v>#N/A</v>
      </c>
      <c r="L62" t="e">
        <f t="shared" ca="1" si="9"/>
        <v>#N/A</v>
      </c>
      <c r="M62" t="e">
        <f t="shared" ref="M62:V71" si="12">IF(MATCH($H62,StatusOptions,0)=COLUMN(M:M)-12,"TRUE","FALSE")</f>
        <v>#N/A</v>
      </c>
      <c r="N62" t="e">
        <f t="shared" si="12"/>
        <v>#N/A</v>
      </c>
      <c r="O62" t="e">
        <f t="shared" si="12"/>
        <v>#N/A</v>
      </c>
      <c r="P62" t="e">
        <f t="shared" si="12"/>
        <v>#N/A</v>
      </c>
      <c r="Q62" t="e">
        <f t="shared" si="12"/>
        <v>#N/A</v>
      </c>
      <c r="R62" t="e">
        <f t="shared" si="12"/>
        <v>#N/A</v>
      </c>
      <c r="S62" t="e">
        <f t="shared" si="12"/>
        <v>#N/A</v>
      </c>
      <c r="T62" t="e">
        <f t="shared" si="12"/>
        <v>#N/A</v>
      </c>
      <c r="U62" t="e">
        <f t="shared" si="12"/>
        <v>#N/A</v>
      </c>
      <c r="V62" t="e">
        <f t="shared" si="12"/>
        <v>#N/A</v>
      </c>
      <c r="W62" t="b">
        <v>0</v>
      </c>
      <c r="X62" t="str">
        <f ca="1">IF(DataTbl[[#This Row],[Task Name]]&lt;&gt;0,IF(AND(DataTbl[[#This Row],[Due Date]]&lt;NOW(),OR(DataTbl[[#This Row],[% Progress]]&lt;&gt;1,DataTbl[[#This Row],[Status]]&lt;&gt;"Completed")),"Yes","No"),"No")</f>
        <v>No</v>
      </c>
    </row>
    <row r="63" spans="1:24" x14ac:dyDescent="0.25">
      <c r="A63">
        <f>INDEX(InputTbl[],ROW(DataAgg!A62),MATCH($A$1,InputTbl[#Headers],0))</f>
        <v>0</v>
      </c>
      <c r="B63">
        <f>INDEX(InputTbl[],ROW(DataAgg!B62),MATCH(B$1,InputTbl[#Headers],0))</f>
        <v>0</v>
      </c>
      <c r="C63">
        <f>INDEX(InputTbl[],ROW(DataAgg!C62),MATCH(C$1,InputTbl[#Headers],0))</f>
        <v>0</v>
      </c>
      <c r="D63">
        <f>INDEX(InputTbl[],ROW(DataAgg!D62),MATCH(D$1,InputTbl[#Headers],0))</f>
        <v>0</v>
      </c>
      <c r="E63">
        <f>INDEX(InputTbl[],ROW(DataAgg!E62),MATCH(E$1,InputTbl[#Headers],0))</f>
        <v>0</v>
      </c>
      <c r="F63" s="10">
        <f>INDEX(InputTbl[],ROW(DataAgg!F62),MATCH(F$1,InputTbl[#Headers],0))</f>
        <v>0</v>
      </c>
      <c r="G63" s="10">
        <f>INDEX(InputTbl[],ROW(DataAgg!G62),MATCH(G$1,InputTbl[#Headers],0))</f>
        <v>0</v>
      </c>
      <c r="H63">
        <f>INDEX(InputTbl[],ROW(DataAgg!H62),MATCH(H$1,InputTbl[#Headers],0))</f>
        <v>0</v>
      </c>
      <c r="I63">
        <f>INDEX(InputTbl[],ROW(DataAgg!I62),MATCH(I$1,InputTbl[#Headers],0))</f>
        <v>0</v>
      </c>
      <c r="J63" t="e">
        <f t="shared" ca="1" si="7"/>
        <v>#N/A</v>
      </c>
      <c r="K63" t="e">
        <f t="shared" ca="1" si="8"/>
        <v>#N/A</v>
      </c>
      <c r="L63" t="e">
        <f t="shared" ca="1" si="9"/>
        <v>#N/A</v>
      </c>
      <c r="M63" t="e">
        <f t="shared" si="12"/>
        <v>#N/A</v>
      </c>
      <c r="N63" t="e">
        <f t="shared" si="12"/>
        <v>#N/A</v>
      </c>
      <c r="O63" t="e">
        <f t="shared" si="12"/>
        <v>#N/A</v>
      </c>
      <c r="P63" t="e">
        <f t="shared" si="12"/>
        <v>#N/A</v>
      </c>
      <c r="Q63" t="e">
        <f t="shared" si="12"/>
        <v>#N/A</v>
      </c>
      <c r="R63" t="e">
        <f t="shared" si="12"/>
        <v>#N/A</v>
      </c>
      <c r="S63" t="e">
        <f t="shared" si="12"/>
        <v>#N/A</v>
      </c>
      <c r="T63" t="e">
        <f t="shared" si="12"/>
        <v>#N/A</v>
      </c>
      <c r="U63" t="e">
        <f t="shared" si="12"/>
        <v>#N/A</v>
      </c>
      <c r="V63" t="e">
        <f t="shared" si="12"/>
        <v>#N/A</v>
      </c>
      <c r="W63" t="b">
        <v>0</v>
      </c>
      <c r="X63" t="str">
        <f ca="1">IF(DataTbl[[#This Row],[Task Name]]&lt;&gt;0,IF(AND(DataTbl[[#This Row],[Due Date]]&lt;NOW(),OR(DataTbl[[#This Row],[% Progress]]&lt;&gt;1,DataTbl[[#This Row],[Status]]&lt;&gt;"Completed")),"Yes","No"),"No")</f>
        <v>No</v>
      </c>
    </row>
    <row r="64" spans="1:24" x14ac:dyDescent="0.25">
      <c r="A64">
        <f>INDEX(InputTbl[],ROW(DataAgg!A63),MATCH($A$1,InputTbl[#Headers],0))</f>
        <v>0</v>
      </c>
      <c r="B64">
        <f>INDEX(InputTbl[],ROW(DataAgg!B63),MATCH(B$1,InputTbl[#Headers],0))</f>
        <v>0</v>
      </c>
      <c r="C64">
        <f>INDEX(InputTbl[],ROW(DataAgg!C63),MATCH(C$1,InputTbl[#Headers],0))</f>
        <v>0</v>
      </c>
      <c r="D64">
        <f>INDEX(InputTbl[],ROW(DataAgg!D63),MATCH(D$1,InputTbl[#Headers],0))</f>
        <v>0</v>
      </c>
      <c r="E64">
        <f>INDEX(InputTbl[],ROW(DataAgg!E63),MATCH(E$1,InputTbl[#Headers],0))</f>
        <v>0</v>
      </c>
      <c r="F64" s="10">
        <f>INDEX(InputTbl[],ROW(DataAgg!F63),MATCH(F$1,InputTbl[#Headers],0))</f>
        <v>0</v>
      </c>
      <c r="G64" s="10">
        <f>INDEX(InputTbl[],ROW(DataAgg!G63),MATCH(G$1,InputTbl[#Headers],0))</f>
        <v>0</v>
      </c>
      <c r="H64">
        <f>INDEX(InputTbl[],ROW(DataAgg!H63),MATCH(H$1,InputTbl[#Headers],0))</f>
        <v>0</v>
      </c>
      <c r="I64">
        <f>INDEX(InputTbl[],ROW(DataAgg!I63),MATCH(I$1,InputTbl[#Headers],0))</f>
        <v>0</v>
      </c>
      <c r="J64" t="e">
        <f t="shared" ca="1" si="7"/>
        <v>#N/A</v>
      </c>
      <c r="K64" t="e">
        <f t="shared" ca="1" si="8"/>
        <v>#N/A</v>
      </c>
      <c r="L64" t="e">
        <f t="shared" ca="1" si="9"/>
        <v>#N/A</v>
      </c>
      <c r="M64" t="e">
        <f t="shared" si="12"/>
        <v>#N/A</v>
      </c>
      <c r="N64" t="e">
        <f t="shared" si="12"/>
        <v>#N/A</v>
      </c>
      <c r="O64" t="e">
        <f t="shared" si="12"/>
        <v>#N/A</v>
      </c>
      <c r="P64" t="e">
        <f t="shared" si="12"/>
        <v>#N/A</v>
      </c>
      <c r="Q64" t="e">
        <f t="shared" si="12"/>
        <v>#N/A</v>
      </c>
      <c r="R64" t="e">
        <f t="shared" si="12"/>
        <v>#N/A</v>
      </c>
      <c r="S64" t="e">
        <f t="shared" si="12"/>
        <v>#N/A</v>
      </c>
      <c r="T64" t="e">
        <f t="shared" si="12"/>
        <v>#N/A</v>
      </c>
      <c r="U64" t="e">
        <f t="shared" si="12"/>
        <v>#N/A</v>
      </c>
      <c r="V64" t="e">
        <f t="shared" si="12"/>
        <v>#N/A</v>
      </c>
      <c r="W64" t="b">
        <v>0</v>
      </c>
      <c r="X64" t="str">
        <f ca="1">IF(DataTbl[[#This Row],[Task Name]]&lt;&gt;0,IF(AND(DataTbl[[#This Row],[Due Date]]&lt;NOW(),OR(DataTbl[[#This Row],[% Progress]]&lt;&gt;1,DataTbl[[#This Row],[Status]]&lt;&gt;"Completed")),"Yes","No"),"No")</f>
        <v>No</v>
      </c>
    </row>
    <row r="65" spans="1:24" x14ac:dyDescent="0.25">
      <c r="A65">
        <f>INDEX(InputTbl[],ROW(DataAgg!A64),MATCH($A$1,InputTbl[#Headers],0))</f>
        <v>0</v>
      </c>
      <c r="B65">
        <f>INDEX(InputTbl[],ROW(DataAgg!B64),MATCH(B$1,InputTbl[#Headers],0))</f>
        <v>0</v>
      </c>
      <c r="C65">
        <f>INDEX(InputTbl[],ROW(DataAgg!C64),MATCH(C$1,InputTbl[#Headers],0))</f>
        <v>0</v>
      </c>
      <c r="D65">
        <f>INDEX(InputTbl[],ROW(DataAgg!D64),MATCH(D$1,InputTbl[#Headers],0))</f>
        <v>0</v>
      </c>
      <c r="E65">
        <f>INDEX(InputTbl[],ROW(DataAgg!E64),MATCH(E$1,InputTbl[#Headers],0))</f>
        <v>0</v>
      </c>
      <c r="F65" s="10">
        <f>INDEX(InputTbl[],ROW(DataAgg!F64),MATCH(F$1,InputTbl[#Headers],0))</f>
        <v>0</v>
      </c>
      <c r="G65" s="10">
        <f>INDEX(InputTbl[],ROW(DataAgg!G64),MATCH(G$1,InputTbl[#Headers],0))</f>
        <v>0</v>
      </c>
      <c r="H65">
        <f>INDEX(InputTbl[],ROW(DataAgg!H64),MATCH(H$1,InputTbl[#Headers],0))</f>
        <v>0</v>
      </c>
      <c r="I65">
        <f>INDEX(InputTbl[],ROW(DataAgg!I64),MATCH(I$1,InputTbl[#Headers],0))</f>
        <v>0</v>
      </c>
      <c r="J65" t="e">
        <f t="shared" ca="1" si="7"/>
        <v>#N/A</v>
      </c>
      <c r="K65" t="e">
        <f t="shared" ca="1" si="8"/>
        <v>#N/A</v>
      </c>
      <c r="L65" t="e">
        <f t="shared" ca="1" si="9"/>
        <v>#N/A</v>
      </c>
      <c r="M65" t="e">
        <f t="shared" si="12"/>
        <v>#N/A</v>
      </c>
      <c r="N65" t="e">
        <f t="shared" si="12"/>
        <v>#N/A</v>
      </c>
      <c r="O65" t="e">
        <f t="shared" si="12"/>
        <v>#N/A</v>
      </c>
      <c r="P65" t="e">
        <f t="shared" si="12"/>
        <v>#N/A</v>
      </c>
      <c r="Q65" t="e">
        <f t="shared" si="12"/>
        <v>#N/A</v>
      </c>
      <c r="R65" t="e">
        <f t="shared" si="12"/>
        <v>#N/A</v>
      </c>
      <c r="S65" t="e">
        <f t="shared" si="12"/>
        <v>#N/A</v>
      </c>
      <c r="T65" t="e">
        <f t="shared" si="12"/>
        <v>#N/A</v>
      </c>
      <c r="U65" t="e">
        <f t="shared" si="12"/>
        <v>#N/A</v>
      </c>
      <c r="V65" t="e">
        <f t="shared" si="12"/>
        <v>#N/A</v>
      </c>
      <c r="W65" t="b">
        <v>0</v>
      </c>
      <c r="X65" t="str">
        <f ca="1">IF(DataTbl[[#This Row],[Task Name]]&lt;&gt;0,IF(AND(DataTbl[[#This Row],[Due Date]]&lt;NOW(),OR(DataTbl[[#This Row],[% Progress]]&lt;&gt;1,DataTbl[[#This Row],[Status]]&lt;&gt;"Completed")),"Yes","No"),"No")</f>
        <v>No</v>
      </c>
    </row>
    <row r="66" spans="1:24" x14ac:dyDescent="0.25">
      <c r="A66">
        <f>INDEX(InputTbl[],ROW(DataAgg!A65),MATCH($A$1,InputTbl[#Headers],0))</f>
        <v>0</v>
      </c>
      <c r="B66">
        <f>INDEX(InputTbl[],ROW(DataAgg!B65),MATCH(B$1,InputTbl[#Headers],0))</f>
        <v>0</v>
      </c>
      <c r="C66">
        <f>INDEX(InputTbl[],ROW(DataAgg!C65),MATCH(C$1,InputTbl[#Headers],0))</f>
        <v>0</v>
      </c>
      <c r="D66">
        <f>INDEX(InputTbl[],ROW(DataAgg!D65),MATCH(D$1,InputTbl[#Headers],0))</f>
        <v>0</v>
      </c>
      <c r="E66">
        <f>INDEX(InputTbl[],ROW(DataAgg!E65),MATCH(E$1,InputTbl[#Headers],0))</f>
        <v>0</v>
      </c>
      <c r="F66" s="10">
        <f>INDEX(InputTbl[],ROW(DataAgg!F65),MATCH(F$1,InputTbl[#Headers],0))</f>
        <v>0</v>
      </c>
      <c r="G66" s="10">
        <f>INDEX(InputTbl[],ROW(DataAgg!G65),MATCH(G$1,InputTbl[#Headers],0))</f>
        <v>0</v>
      </c>
      <c r="H66">
        <f>INDEX(InputTbl[],ROW(DataAgg!H65),MATCH(H$1,InputTbl[#Headers],0))</f>
        <v>0</v>
      </c>
      <c r="I66">
        <f>INDEX(InputTbl[],ROW(DataAgg!I65),MATCH(I$1,InputTbl[#Headers],0))</f>
        <v>0</v>
      </c>
      <c r="J66" t="e">
        <f t="shared" ref="J66:J97" ca="1" si="13">MATCH(B66,KanbanBoards,0)</f>
        <v>#N/A</v>
      </c>
      <c r="K66" t="e">
        <f t="shared" ref="K66:K97" ca="1" si="14">MATCH(C66,Projects,0)</f>
        <v>#N/A</v>
      </c>
      <c r="L66" t="e">
        <f t="shared" ref="L66:L97" ca="1" si="15">MATCH(D66,TeamMembers,0)</f>
        <v>#N/A</v>
      </c>
      <c r="M66" t="e">
        <f t="shared" si="12"/>
        <v>#N/A</v>
      </c>
      <c r="N66" t="e">
        <f t="shared" si="12"/>
        <v>#N/A</v>
      </c>
      <c r="O66" t="e">
        <f t="shared" si="12"/>
        <v>#N/A</v>
      </c>
      <c r="P66" t="e">
        <f t="shared" si="12"/>
        <v>#N/A</v>
      </c>
      <c r="Q66" t="e">
        <f t="shared" si="12"/>
        <v>#N/A</v>
      </c>
      <c r="R66" t="e">
        <f t="shared" si="12"/>
        <v>#N/A</v>
      </c>
      <c r="S66" t="e">
        <f t="shared" si="12"/>
        <v>#N/A</v>
      </c>
      <c r="T66" t="e">
        <f t="shared" si="12"/>
        <v>#N/A</v>
      </c>
      <c r="U66" t="e">
        <f t="shared" si="12"/>
        <v>#N/A</v>
      </c>
      <c r="V66" t="e">
        <f t="shared" si="12"/>
        <v>#N/A</v>
      </c>
      <c r="W66" t="b">
        <v>0</v>
      </c>
      <c r="X66" t="str">
        <f ca="1">IF(DataTbl[[#This Row],[Task Name]]&lt;&gt;0,IF(AND(DataTbl[[#This Row],[Due Date]]&lt;NOW(),OR(DataTbl[[#This Row],[% Progress]]&lt;&gt;1,DataTbl[[#This Row],[Status]]&lt;&gt;"Completed")),"Yes","No"),"No")</f>
        <v>No</v>
      </c>
    </row>
    <row r="67" spans="1:24" x14ac:dyDescent="0.25">
      <c r="A67">
        <f>INDEX(InputTbl[],ROW(DataAgg!A66),MATCH($A$1,InputTbl[#Headers],0))</f>
        <v>0</v>
      </c>
      <c r="B67">
        <f>INDEX(InputTbl[],ROW(DataAgg!B66),MATCH(B$1,InputTbl[#Headers],0))</f>
        <v>0</v>
      </c>
      <c r="C67">
        <f>INDEX(InputTbl[],ROW(DataAgg!C66),MATCH(C$1,InputTbl[#Headers],0))</f>
        <v>0</v>
      </c>
      <c r="D67">
        <f>INDEX(InputTbl[],ROW(DataAgg!D66),MATCH(D$1,InputTbl[#Headers],0))</f>
        <v>0</v>
      </c>
      <c r="E67">
        <f>INDEX(InputTbl[],ROW(DataAgg!E66),MATCH(E$1,InputTbl[#Headers],0))</f>
        <v>0</v>
      </c>
      <c r="F67" s="10">
        <f>INDEX(InputTbl[],ROW(DataAgg!F66),MATCH(F$1,InputTbl[#Headers],0))</f>
        <v>0</v>
      </c>
      <c r="G67" s="10">
        <f>INDEX(InputTbl[],ROW(DataAgg!G66),MATCH(G$1,InputTbl[#Headers],0))</f>
        <v>0</v>
      </c>
      <c r="H67">
        <f>INDEX(InputTbl[],ROW(DataAgg!H66),MATCH(H$1,InputTbl[#Headers],0))</f>
        <v>0</v>
      </c>
      <c r="I67">
        <f>INDEX(InputTbl[],ROW(DataAgg!I66),MATCH(I$1,InputTbl[#Headers],0))</f>
        <v>0</v>
      </c>
      <c r="J67" t="e">
        <f t="shared" ca="1" si="13"/>
        <v>#N/A</v>
      </c>
      <c r="K67" t="e">
        <f t="shared" ca="1" si="14"/>
        <v>#N/A</v>
      </c>
      <c r="L67" t="e">
        <f t="shared" ca="1" si="15"/>
        <v>#N/A</v>
      </c>
      <c r="M67" t="e">
        <f t="shared" si="12"/>
        <v>#N/A</v>
      </c>
      <c r="N67" t="e">
        <f t="shared" si="12"/>
        <v>#N/A</v>
      </c>
      <c r="O67" t="e">
        <f t="shared" si="12"/>
        <v>#N/A</v>
      </c>
      <c r="P67" t="e">
        <f t="shared" si="12"/>
        <v>#N/A</v>
      </c>
      <c r="Q67" t="e">
        <f t="shared" si="12"/>
        <v>#N/A</v>
      </c>
      <c r="R67" t="e">
        <f t="shared" si="12"/>
        <v>#N/A</v>
      </c>
      <c r="S67" t="e">
        <f t="shared" si="12"/>
        <v>#N/A</v>
      </c>
      <c r="T67" t="e">
        <f t="shared" si="12"/>
        <v>#N/A</v>
      </c>
      <c r="U67" t="e">
        <f t="shared" si="12"/>
        <v>#N/A</v>
      </c>
      <c r="V67" t="e">
        <f t="shared" si="12"/>
        <v>#N/A</v>
      </c>
      <c r="W67" t="b">
        <v>0</v>
      </c>
      <c r="X67" t="str">
        <f ca="1">IF(DataTbl[[#This Row],[Task Name]]&lt;&gt;0,IF(AND(DataTbl[[#This Row],[Due Date]]&lt;NOW(),OR(DataTbl[[#This Row],[% Progress]]&lt;&gt;1,DataTbl[[#This Row],[Status]]&lt;&gt;"Completed")),"Yes","No"),"No")</f>
        <v>No</v>
      </c>
    </row>
    <row r="68" spans="1:24" x14ac:dyDescent="0.25">
      <c r="A68">
        <f>INDEX(InputTbl[],ROW(DataAgg!A67),MATCH($A$1,InputTbl[#Headers],0))</f>
        <v>0</v>
      </c>
      <c r="B68">
        <f>INDEX(InputTbl[],ROW(DataAgg!B67),MATCH(B$1,InputTbl[#Headers],0))</f>
        <v>0</v>
      </c>
      <c r="C68">
        <f>INDEX(InputTbl[],ROW(DataAgg!C67),MATCH(C$1,InputTbl[#Headers],0))</f>
        <v>0</v>
      </c>
      <c r="D68">
        <f>INDEX(InputTbl[],ROW(DataAgg!D67),MATCH(D$1,InputTbl[#Headers],0))</f>
        <v>0</v>
      </c>
      <c r="E68">
        <f>INDEX(InputTbl[],ROW(DataAgg!E67),MATCH(E$1,InputTbl[#Headers],0))</f>
        <v>0</v>
      </c>
      <c r="F68" s="10">
        <f>INDEX(InputTbl[],ROW(DataAgg!F67),MATCH(F$1,InputTbl[#Headers],0))</f>
        <v>0</v>
      </c>
      <c r="G68" s="10">
        <f>INDEX(InputTbl[],ROW(DataAgg!G67),MATCH(G$1,InputTbl[#Headers],0))</f>
        <v>0</v>
      </c>
      <c r="H68">
        <f>INDEX(InputTbl[],ROW(DataAgg!H67),MATCH(H$1,InputTbl[#Headers],0))</f>
        <v>0</v>
      </c>
      <c r="I68">
        <f>INDEX(InputTbl[],ROW(DataAgg!I67),MATCH(I$1,InputTbl[#Headers],0))</f>
        <v>0</v>
      </c>
      <c r="J68" t="e">
        <f t="shared" ca="1" si="13"/>
        <v>#N/A</v>
      </c>
      <c r="K68" t="e">
        <f t="shared" ca="1" si="14"/>
        <v>#N/A</v>
      </c>
      <c r="L68" t="e">
        <f t="shared" ca="1" si="15"/>
        <v>#N/A</v>
      </c>
      <c r="M68" t="e">
        <f t="shared" si="12"/>
        <v>#N/A</v>
      </c>
      <c r="N68" t="e">
        <f t="shared" si="12"/>
        <v>#N/A</v>
      </c>
      <c r="O68" t="e">
        <f t="shared" si="12"/>
        <v>#N/A</v>
      </c>
      <c r="P68" t="e">
        <f t="shared" si="12"/>
        <v>#N/A</v>
      </c>
      <c r="Q68" t="e">
        <f t="shared" si="12"/>
        <v>#N/A</v>
      </c>
      <c r="R68" t="e">
        <f t="shared" si="12"/>
        <v>#N/A</v>
      </c>
      <c r="S68" t="e">
        <f t="shared" si="12"/>
        <v>#N/A</v>
      </c>
      <c r="T68" t="e">
        <f t="shared" si="12"/>
        <v>#N/A</v>
      </c>
      <c r="U68" t="e">
        <f t="shared" si="12"/>
        <v>#N/A</v>
      </c>
      <c r="V68" t="e">
        <f t="shared" si="12"/>
        <v>#N/A</v>
      </c>
      <c r="W68" t="b">
        <v>0</v>
      </c>
      <c r="X68" t="str">
        <f ca="1">IF(DataTbl[[#This Row],[Task Name]]&lt;&gt;0,IF(AND(DataTbl[[#This Row],[Due Date]]&lt;NOW(),OR(DataTbl[[#This Row],[% Progress]]&lt;&gt;1,DataTbl[[#This Row],[Status]]&lt;&gt;"Completed")),"Yes","No"),"No")</f>
        <v>No</v>
      </c>
    </row>
    <row r="69" spans="1:24" x14ac:dyDescent="0.25">
      <c r="A69">
        <f>INDEX(InputTbl[],ROW(DataAgg!A68),MATCH($A$1,InputTbl[#Headers],0))</f>
        <v>0</v>
      </c>
      <c r="B69">
        <f>INDEX(InputTbl[],ROW(DataAgg!B68),MATCH(B$1,InputTbl[#Headers],0))</f>
        <v>0</v>
      </c>
      <c r="C69">
        <f>INDEX(InputTbl[],ROW(DataAgg!C68),MATCH(C$1,InputTbl[#Headers],0))</f>
        <v>0</v>
      </c>
      <c r="D69">
        <f>INDEX(InputTbl[],ROW(DataAgg!D68),MATCH(D$1,InputTbl[#Headers],0))</f>
        <v>0</v>
      </c>
      <c r="E69">
        <f>INDEX(InputTbl[],ROW(DataAgg!E68),MATCH(E$1,InputTbl[#Headers],0))</f>
        <v>0</v>
      </c>
      <c r="F69" s="10">
        <f>INDEX(InputTbl[],ROW(DataAgg!F68),MATCH(F$1,InputTbl[#Headers],0))</f>
        <v>0</v>
      </c>
      <c r="G69" s="10">
        <f>INDEX(InputTbl[],ROW(DataAgg!G68),MATCH(G$1,InputTbl[#Headers],0))</f>
        <v>0</v>
      </c>
      <c r="H69">
        <f>INDEX(InputTbl[],ROW(DataAgg!H68),MATCH(H$1,InputTbl[#Headers],0))</f>
        <v>0</v>
      </c>
      <c r="I69">
        <f>INDEX(InputTbl[],ROW(DataAgg!I68),MATCH(I$1,InputTbl[#Headers],0))</f>
        <v>0</v>
      </c>
      <c r="J69" t="e">
        <f t="shared" ca="1" si="13"/>
        <v>#N/A</v>
      </c>
      <c r="K69" t="e">
        <f t="shared" ca="1" si="14"/>
        <v>#N/A</v>
      </c>
      <c r="L69" t="e">
        <f t="shared" ca="1" si="15"/>
        <v>#N/A</v>
      </c>
      <c r="M69" t="e">
        <f t="shared" si="12"/>
        <v>#N/A</v>
      </c>
      <c r="N69" t="e">
        <f t="shared" si="12"/>
        <v>#N/A</v>
      </c>
      <c r="O69" t="e">
        <f t="shared" si="12"/>
        <v>#N/A</v>
      </c>
      <c r="P69" t="e">
        <f t="shared" si="12"/>
        <v>#N/A</v>
      </c>
      <c r="Q69" t="e">
        <f t="shared" si="12"/>
        <v>#N/A</v>
      </c>
      <c r="R69" t="e">
        <f t="shared" si="12"/>
        <v>#N/A</v>
      </c>
      <c r="S69" t="e">
        <f t="shared" si="12"/>
        <v>#N/A</v>
      </c>
      <c r="T69" t="e">
        <f t="shared" si="12"/>
        <v>#N/A</v>
      </c>
      <c r="U69" t="e">
        <f t="shared" si="12"/>
        <v>#N/A</v>
      </c>
      <c r="V69" t="e">
        <f t="shared" si="12"/>
        <v>#N/A</v>
      </c>
      <c r="W69" t="b">
        <v>0</v>
      </c>
      <c r="X69" t="str">
        <f ca="1">IF(DataTbl[[#This Row],[Task Name]]&lt;&gt;0,IF(AND(DataTbl[[#This Row],[Due Date]]&lt;NOW(),OR(DataTbl[[#This Row],[% Progress]]&lt;&gt;1,DataTbl[[#This Row],[Status]]&lt;&gt;"Completed")),"Yes","No"),"No")</f>
        <v>No</v>
      </c>
    </row>
    <row r="70" spans="1:24" x14ac:dyDescent="0.25">
      <c r="A70">
        <f>INDEX(InputTbl[],ROW(DataAgg!A69),MATCH($A$1,InputTbl[#Headers],0))</f>
        <v>0</v>
      </c>
      <c r="B70">
        <f>INDEX(InputTbl[],ROW(DataAgg!B69),MATCH(B$1,InputTbl[#Headers],0))</f>
        <v>0</v>
      </c>
      <c r="C70">
        <f>INDEX(InputTbl[],ROW(DataAgg!C69),MATCH(C$1,InputTbl[#Headers],0))</f>
        <v>0</v>
      </c>
      <c r="D70">
        <f>INDEX(InputTbl[],ROW(DataAgg!D69),MATCH(D$1,InputTbl[#Headers],0))</f>
        <v>0</v>
      </c>
      <c r="E70">
        <f>INDEX(InputTbl[],ROW(DataAgg!E69),MATCH(E$1,InputTbl[#Headers],0))</f>
        <v>0</v>
      </c>
      <c r="F70" s="10">
        <f>INDEX(InputTbl[],ROW(DataAgg!F69),MATCH(F$1,InputTbl[#Headers],0))</f>
        <v>0</v>
      </c>
      <c r="G70" s="10">
        <f>INDEX(InputTbl[],ROW(DataAgg!G69),MATCH(G$1,InputTbl[#Headers],0))</f>
        <v>0</v>
      </c>
      <c r="H70">
        <f>INDEX(InputTbl[],ROW(DataAgg!H69),MATCH(H$1,InputTbl[#Headers],0))</f>
        <v>0</v>
      </c>
      <c r="I70">
        <f>INDEX(InputTbl[],ROW(DataAgg!I69),MATCH(I$1,InputTbl[#Headers],0))</f>
        <v>0</v>
      </c>
      <c r="J70" t="e">
        <f t="shared" ca="1" si="13"/>
        <v>#N/A</v>
      </c>
      <c r="K70" t="e">
        <f t="shared" ca="1" si="14"/>
        <v>#N/A</v>
      </c>
      <c r="L70" t="e">
        <f t="shared" ca="1" si="15"/>
        <v>#N/A</v>
      </c>
      <c r="M70" t="e">
        <f t="shared" si="12"/>
        <v>#N/A</v>
      </c>
      <c r="N70" t="e">
        <f t="shared" si="12"/>
        <v>#N/A</v>
      </c>
      <c r="O70" t="e">
        <f t="shared" si="12"/>
        <v>#N/A</v>
      </c>
      <c r="P70" t="e">
        <f t="shared" si="12"/>
        <v>#N/A</v>
      </c>
      <c r="Q70" t="e">
        <f t="shared" si="12"/>
        <v>#N/A</v>
      </c>
      <c r="R70" t="e">
        <f t="shared" si="12"/>
        <v>#N/A</v>
      </c>
      <c r="S70" t="e">
        <f t="shared" si="12"/>
        <v>#N/A</v>
      </c>
      <c r="T70" t="e">
        <f t="shared" si="12"/>
        <v>#N/A</v>
      </c>
      <c r="U70" t="e">
        <f t="shared" si="12"/>
        <v>#N/A</v>
      </c>
      <c r="V70" t="e">
        <f t="shared" si="12"/>
        <v>#N/A</v>
      </c>
      <c r="W70" t="b">
        <v>0</v>
      </c>
      <c r="X70" t="str">
        <f ca="1">IF(DataTbl[[#This Row],[Task Name]]&lt;&gt;0,IF(AND(DataTbl[[#This Row],[Due Date]]&lt;NOW(),OR(DataTbl[[#This Row],[% Progress]]&lt;&gt;1,DataTbl[[#This Row],[Status]]&lt;&gt;"Completed")),"Yes","No"),"No")</f>
        <v>No</v>
      </c>
    </row>
    <row r="71" spans="1:24" x14ac:dyDescent="0.25">
      <c r="A71">
        <f>INDEX(InputTbl[],ROW(DataAgg!A70),MATCH($A$1,InputTbl[#Headers],0))</f>
        <v>0</v>
      </c>
      <c r="B71">
        <f>INDEX(InputTbl[],ROW(DataAgg!B70),MATCH(B$1,InputTbl[#Headers],0))</f>
        <v>0</v>
      </c>
      <c r="C71">
        <f>INDEX(InputTbl[],ROW(DataAgg!C70),MATCH(C$1,InputTbl[#Headers],0))</f>
        <v>0</v>
      </c>
      <c r="D71">
        <f>INDEX(InputTbl[],ROW(DataAgg!D70),MATCH(D$1,InputTbl[#Headers],0))</f>
        <v>0</v>
      </c>
      <c r="E71">
        <f>INDEX(InputTbl[],ROW(DataAgg!E70),MATCH(E$1,InputTbl[#Headers],0))</f>
        <v>0</v>
      </c>
      <c r="F71" s="10">
        <f>INDEX(InputTbl[],ROW(DataAgg!F70),MATCH(F$1,InputTbl[#Headers],0))</f>
        <v>0</v>
      </c>
      <c r="G71" s="10">
        <f>INDEX(InputTbl[],ROW(DataAgg!G70),MATCH(G$1,InputTbl[#Headers],0))</f>
        <v>0</v>
      </c>
      <c r="H71">
        <f>INDEX(InputTbl[],ROW(DataAgg!H70),MATCH(H$1,InputTbl[#Headers],0))</f>
        <v>0</v>
      </c>
      <c r="I71">
        <f>INDEX(InputTbl[],ROW(DataAgg!I70),MATCH(I$1,InputTbl[#Headers],0))</f>
        <v>0</v>
      </c>
      <c r="J71" t="e">
        <f t="shared" ca="1" si="13"/>
        <v>#N/A</v>
      </c>
      <c r="K71" t="e">
        <f t="shared" ca="1" si="14"/>
        <v>#N/A</v>
      </c>
      <c r="L71" t="e">
        <f t="shared" ca="1" si="15"/>
        <v>#N/A</v>
      </c>
      <c r="M71" t="e">
        <f t="shared" si="12"/>
        <v>#N/A</v>
      </c>
      <c r="N71" t="e">
        <f t="shared" si="12"/>
        <v>#N/A</v>
      </c>
      <c r="O71" t="e">
        <f t="shared" si="12"/>
        <v>#N/A</v>
      </c>
      <c r="P71" t="e">
        <f t="shared" si="12"/>
        <v>#N/A</v>
      </c>
      <c r="Q71" t="e">
        <f t="shared" si="12"/>
        <v>#N/A</v>
      </c>
      <c r="R71" t="e">
        <f t="shared" si="12"/>
        <v>#N/A</v>
      </c>
      <c r="S71" t="e">
        <f t="shared" si="12"/>
        <v>#N/A</v>
      </c>
      <c r="T71" t="e">
        <f t="shared" si="12"/>
        <v>#N/A</v>
      </c>
      <c r="U71" t="e">
        <f t="shared" si="12"/>
        <v>#N/A</v>
      </c>
      <c r="V71" t="e">
        <f t="shared" si="12"/>
        <v>#N/A</v>
      </c>
      <c r="W71" t="b">
        <v>0</v>
      </c>
      <c r="X71" t="str">
        <f ca="1">IF(DataTbl[[#This Row],[Task Name]]&lt;&gt;0,IF(AND(DataTbl[[#This Row],[Due Date]]&lt;NOW(),OR(DataTbl[[#This Row],[% Progress]]&lt;&gt;1,DataTbl[[#This Row],[Status]]&lt;&gt;"Completed")),"Yes","No"),"No")</f>
        <v>No</v>
      </c>
    </row>
    <row r="72" spans="1:24" x14ac:dyDescent="0.25">
      <c r="A72">
        <f>INDEX(InputTbl[],ROW(DataAgg!A71),MATCH($A$1,InputTbl[#Headers],0))</f>
        <v>0</v>
      </c>
      <c r="B72">
        <f>INDEX(InputTbl[],ROW(DataAgg!B71),MATCH(B$1,InputTbl[#Headers],0))</f>
        <v>0</v>
      </c>
      <c r="C72">
        <f>INDEX(InputTbl[],ROW(DataAgg!C71),MATCH(C$1,InputTbl[#Headers],0))</f>
        <v>0</v>
      </c>
      <c r="D72">
        <f>INDEX(InputTbl[],ROW(DataAgg!D71),MATCH(D$1,InputTbl[#Headers],0))</f>
        <v>0</v>
      </c>
      <c r="E72">
        <f>INDEX(InputTbl[],ROW(DataAgg!E71),MATCH(E$1,InputTbl[#Headers],0))</f>
        <v>0</v>
      </c>
      <c r="F72" s="10">
        <f>INDEX(InputTbl[],ROW(DataAgg!F71),MATCH(F$1,InputTbl[#Headers],0))</f>
        <v>0</v>
      </c>
      <c r="G72" s="10">
        <f>INDEX(InputTbl[],ROW(DataAgg!G71),MATCH(G$1,InputTbl[#Headers],0))</f>
        <v>0</v>
      </c>
      <c r="H72">
        <f>INDEX(InputTbl[],ROW(DataAgg!H71),MATCH(H$1,InputTbl[#Headers],0))</f>
        <v>0</v>
      </c>
      <c r="I72">
        <f>INDEX(InputTbl[],ROW(DataAgg!I71),MATCH(I$1,InputTbl[#Headers],0))</f>
        <v>0</v>
      </c>
      <c r="J72" t="e">
        <f t="shared" ca="1" si="13"/>
        <v>#N/A</v>
      </c>
      <c r="K72" t="e">
        <f t="shared" ca="1" si="14"/>
        <v>#N/A</v>
      </c>
      <c r="L72" t="e">
        <f t="shared" ca="1" si="15"/>
        <v>#N/A</v>
      </c>
      <c r="M72" t="e">
        <f t="shared" ref="M72:V81" si="16">IF(MATCH($H72,StatusOptions,0)=COLUMN(M:M)-12,"TRUE","FALSE")</f>
        <v>#N/A</v>
      </c>
      <c r="N72" t="e">
        <f t="shared" si="16"/>
        <v>#N/A</v>
      </c>
      <c r="O72" t="e">
        <f t="shared" si="16"/>
        <v>#N/A</v>
      </c>
      <c r="P72" t="e">
        <f t="shared" si="16"/>
        <v>#N/A</v>
      </c>
      <c r="Q72" t="e">
        <f t="shared" si="16"/>
        <v>#N/A</v>
      </c>
      <c r="R72" t="e">
        <f t="shared" si="16"/>
        <v>#N/A</v>
      </c>
      <c r="S72" t="e">
        <f t="shared" si="16"/>
        <v>#N/A</v>
      </c>
      <c r="T72" t="e">
        <f t="shared" si="16"/>
        <v>#N/A</v>
      </c>
      <c r="U72" t="e">
        <f t="shared" si="16"/>
        <v>#N/A</v>
      </c>
      <c r="V72" t="e">
        <f t="shared" si="16"/>
        <v>#N/A</v>
      </c>
      <c r="W72" t="b">
        <v>0</v>
      </c>
      <c r="X72" t="str">
        <f ca="1">IF(DataTbl[[#This Row],[Task Name]]&lt;&gt;0,IF(AND(DataTbl[[#This Row],[Due Date]]&lt;NOW(),OR(DataTbl[[#This Row],[% Progress]]&lt;&gt;1,DataTbl[[#This Row],[Status]]&lt;&gt;"Completed")),"Yes","No"),"No")</f>
        <v>No</v>
      </c>
    </row>
    <row r="73" spans="1:24" x14ac:dyDescent="0.25">
      <c r="A73">
        <f>INDEX(InputTbl[],ROW(DataAgg!A72),MATCH($A$1,InputTbl[#Headers],0))</f>
        <v>0</v>
      </c>
      <c r="B73">
        <f>INDEX(InputTbl[],ROW(DataAgg!B72),MATCH(B$1,InputTbl[#Headers],0))</f>
        <v>0</v>
      </c>
      <c r="C73">
        <f>INDEX(InputTbl[],ROW(DataAgg!C72),MATCH(C$1,InputTbl[#Headers],0))</f>
        <v>0</v>
      </c>
      <c r="D73">
        <f>INDEX(InputTbl[],ROW(DataAgg!D72),MATCH(D$1,InputTbl[#Headers],0))</f>
        <v>0</v>
      </c>
      <c r="E73">
        <f>INDEX(InputTbl[],ROW(DataAgg!E72),MATCH(E$1,InputTbl[#Headers],0))</f>
        <v>0</v>
      </c>
      <c r="F73" s="10">
        <f>INDEX(InputTbl[],ROW(DataAgg!F72),MATCH(F$1,InputTbl[#Headers],0))</f>
        <v>0</v>
      </c>
      <c r="G73" s="10">
        <f>INDEX(InputTbl[],ROW(DataAgg!G72),MATCH(G$1,InputTbl[#Headers],0))</f>
        <v>0</v>
      </c>
      <c r="H73">
        <f>INDEX(InputTbl[],ROW(DataAgg!H72),MATCH(H$1,InputTbl[#Headers],0))</f>
        <v>0</v>
      </c>
      <c r="I73">
        <f>INDEX(InputTbl[],ROW(DataAgg!I72),MATCH(I$1,InputTbl[#Headers],0))</f>
        <v>0</v>
      </c>
      <c r="J73" t="e">
        <f t="shared" ca="1" si="13"/>
        <v>#N/A</v>
      </c>
      <c r="K73" t="e">
        <f t="shared" ca="1" si="14"/>
        <v>#N/A</v>
      </c>
      <c r="L73" t="e">
        <f t="shared" ca="1" si="15"/>
        <v>#N/A</v>
      </c>
      <c r="M73" t="e">
        <f t="shared" si="16"/>
        <v>#N/A</v>
      </c>
      <c r="N73" t="e">
        <f t="shared" si="16"/>
        <v>#N/A</v>
      </c>
      <c r="O73" t="e">
        <f t="shared" si="16"/>
        <v>#N/A</v>
      </c>
      <c r="P73" t="e">
        <f t="shared" si="16"/>
        <v>#N/A</v>
      </c>
      <c r="Q73" t="e">
        <f t="shared" si="16"/>
        <v>#N/A</v>
      </c>
      <c r="R73" t="e">
        <f t="shared" si="16"/>
        <v>#N/A</v>
      </c>
      <c r="S73" t="e">
        <f t="shared" si="16"/>
        <v>#N/A</v>
      </c>
      <c r="T73" t="e">
        <f t="shared" si="16"/>
        <v>#N/A</v>
      </c>
      <c r="U73" t="e">
        <f t="shared" si="16"/>
        <v>#N/A</v>
      </c>
      <c r="V73" t="e">
        <f t="shared" si="16"/>
        <v>#N/A</v>
      </c>
      <c r="W73" t="b">
        <v>0</v>
      </c>
      <c r="X73" t="str">
        <f ca="1">IF(DataTbl[[#This Row],[Task Name]]&lt;&gt;0,IF(AND(DataTbl[[#This Row],[Due Date]]&lt;NOW(),OR(DataTbl[[#This Row],[% Progress]]&lt;&gt;1,DataTbl[[#This Row],[Status]]&lt;&gt;"Completed")),"Yes","No"),"No")</f>
        <v>No</v>
      </c>
    </row>
    <row r="74" spans="1:24" x14ac:dyDescent="0.25">
      <c r="A74">
        <f>INDEX(InputTbl[],ROW(DataAgg!A73),MATCH($A$1,InputTbl[#Headers],0))</f>
        <v>0</v>
      </c>
      <c r="B74">
        <f>INDEX(InputTbl[],ROW(DataAgg!B73),MATCH(B$1,InputTbl[#Headers],0))</f>
        <v>0</v>
      </c>
      <c r="C74">
        <f>INDEX(InputTbl[],ROW(DataAgg!C73),MATCH(C$1,InputTbl[#Headers],0))</f>
        <v>0</v>
      </c>
      <c r="D74">
        <f>INDEX(InputTbl[],ROW(DataAgg!D73),MATCH(D$1,InputTbl[#Headers],0))</f>
        <v>0</v>
      </c>
      <c r="E74">
        <f>INDEX(InputTbl[],ROW(DataAgg!E73),MATCH(E$1,InputTbl[#Headers],0))</f>
        <v>0</v>
      </c>
      <c r="F74" s="10">
        <f>INDEX(InputTbl[],ROW(DataAgg!F73),MATCH(F$1,InputTbl[#Headers],0))</f>
        <v>0</v>
      </c>
      <c r="G74" s="10">
        <f>INDEX(InputTbl[],ROW(DataAgg!G73),MATCH(G$1,InputTbl[#Headers],0))</f>
        <v>0</v>
      </c>
      <c r="H74">
        <f>INDEX(InputTbl[],ROW(DataAgg!H73),MATCH(H$1,InputTbl[#Headers],0))</f>
        <v>0</v>
      </c>
      <c r="I74">
        <f>INDEX(InputTbl[],ROW(DataAgg!I73),MATCH(I$1,InputTbl[#Headers],0))</f>
        <v>0</v>
      </c>
      <c r="J74" t="e">
        <f t="shared" ca="1" si="13"/>
        <v>#N/A</v>
      </c>
      <c r="K74" t="e">
        <f t="shared" ca="1" si="14"/>
        <v>#N/A</v>
      </c>
      <c r="L74" t="e">
        <f t="shared" ca="1" si="15"/>
        <v>#N/A</v>
      </c>
      <c r="M74" t="e">
        <f t="shared" si="16"/>
        <v>#N/A</v>
      </c>
      <c r="N74" t="e">
        <f t="shared" si="16"/>
        <v>#N/A</v>
      </c>
      <c r="O74" t="e">
        <f t="shared" si="16"/>
        <v>#N/A</v>
      </c>
      <c r="P74" t="e">
        <f t="shared" si="16"/>
        <v>#N/A</v>
      </c>
      <c r="Q74" t="e">
        <f t="shared" si="16"/>
        <v>#N/A</v>
      </c>
      <c r="R74" t="e">
        <f t="shared" si="16"/>
        <v>#N/A</v>
      </c>
      <c r="S74" t="e">
        <f t="shared" si="16"/>
        <v>#N/A</v>
      </c>
      <c r="T74" t="e">
        <f t="shared" si="16"/>
        <v>#N/A</v>
      </c>
      <c r="U74" t="e">
        <f t="shared" si="16"/>
        <v>#N/A</v>
      </c>
      <c r="V74" t="e">
        <f t="shared" si="16"/>
        <v>#N/A</v>
      </c>
      <c r="W74" t="b">
        <v>0</v>
      </c>
      <c r="X74" t="str">
        <f ca="1">IF(DataTbl[[#This Row],[Task Name]]&lt;&gt;0,IF(AND(DataTbl[[#This Row],[Due Date]]&lt;NOW(),OR(DataTbl[[#This Row],[% Progress]]&lt;&gt;1,DataTbl[[#This Row],[Status]]&lt;&gt;"Completed")),"Yes","No"),"No")</f>
        <v>No</v>
      </c>
    </row>
    <row r="75" spans="1:24" x14ac:dyDescent="0.25">
      <c r="A75">
        <f>INDEX(InputTbl[],ROW(DataAgg!A74),MATCH($A$1,InputTbl[#Headers],0))</f>
        <v>0</v>
      </c>
      <c r="B75">
        <f>INDEX(InputTbl[],ROW(DataAgg!B74),MATCH(B$1,InputTbl[#Headers],0))</f>
        <v>0</v>
      </c>
      <c r="C75">
        <f>INDEX(InputTbl[],ROW(DataAgg!C74),MATCH(C$1,InputTbl[#Headers],0))</f>
        <v>0</v>
      </c>
      <c r="D75">
        <f>INDEX(InputTbl[],ROW(DataAgg!D74),MATCH(D$1,InputTbl[#Headers],0))</f>
        <v>0</v>
      </c>
      <c r="E75">
        <f>INDEX(InputTbl[],ROW(DataAgg!E74),MATCH(E$1,InputTbl[#Headers],0))</f>
        <v>0</v>
      </c>
      <c r="F75" s="10">
        <f>INDEX(InputTbl[],ROW(DataAgg!F74),MATCH(F$1,InputTbl[#Headers],0))</f>
        <v>0</v>
      </c>
      <c r="G75" s="10">
        <f>INDEX(InputTbl[],ROW(DataAgg!G74),MATCH(G$1,InputTbl[#Headers],0))</f>
        <v>0</v>
      </c>
      <c r="H75">
        <f>INDEX(InputTbl[],ROW(DataAgg!H74),MATCH(H$1,InputTbl[#Headers],0))</f>
        <v>0</v>
      </c>
      <c r="I75">
        <f>INDEX(InputTbl[],ROW(DataAgg!I74),MATCH(I$1,InputTbl[#Headers],0))</f>
        <v>0</v>
      </c>
      <c r="J75" t="e">
        <f t="shared" ca="1" si="13"/>
        <v>#N/A</v>
      </c>
      <c r="K75" t="e">
        <f t="shared" ca="1" si="14"/>
        <v>#N/A</v>
      </c>
      <c r="L75" t="e">
        <f t="shared" ca="1" si="15"/>
        <v>#N/A</v>
      </c>
      <c r="M75" t="e">
        <f t="shared" si="16"/>
        <v>#N/A</v>
      </c>
      <c r="N75" t="e">
        <f t="shared" si="16"/>
        <v>#N/A</v>
      </c>
      <c r="O75" t="e">
        <f t="shared" si="16"/>
        <v>#N/A</v>
      </c>
      <c r="P75" t="e">
        <f t="shared" si="16"/>
        <v>#N/A</v>
      </c>
      <c r="Q75" t="e">
        <f t="shared" si="16"/>
        <v>#N/A</v>
      </c>
      <c r="R75" t="e">
        <f t="shared" si="16"/>
        <v>#N/A</v>
      </c>
      <c r="S75" t="e">
        <f t="shared" si="16"/>
        <v>#N/A</v>
      </c>
      <c r="T75" t="e">
        <f t="shared" si="16"/>
        <v>#N/A</v>
      </c>
      <c r="U75" t="e">
        <f t="shared" si="16"/>
        <v>#N/A</v>
      </c>
      <c r="V75" t="e">
        <f t="shared" si="16"/>
        <v>#N/A</v>
      </c>
      <c r="W75" t="b">
        <v>0</v>
      </c>
      <c r="X75" t="str">
        <f ca="1">IF(DataTbl[[#This Row],[Task Name]]&lt;&gt;0,IF(AND(DataTbl[[#This Row],[Due Date]]&lt;NOW(),OR(DataTbl[[#This Row],[% Progress]]&lt;&gt;1,DataTbl[[#This Row],[Status]]&lt;&gt;"Completed")),"Yes","No"),"No")</f>
        <v>No</v>
      </c>
    </row>
    <row r="76" spans="1:24" x14ac:dyDescent="0.25">
      <c r="A76">
        <f>INDEX(InputTbl[],ROW(DataAgg!A75),MATCH($A$1,InputTbl[#Headers],0))</f>
        <v>0</v>
      </c>
      <c r="B76">
        <f>INDEX(InputTbl[],ROW(DataAgg!B75),MATCH(B$1,InputTbl[#Headers],0))</f>
        <v>0</v>
      </c>
      <c r="C76">
        <f>INDEX(InputTbl[],ROW(DataAgg!C75),MATCH(C$1,InputTbl[#Headers],0))</f>
        <v>0</v>
      </c>
      <c r="D76">
        <f>INDEX(InputTbl[],ROW(DataAgg!D75),MATCH(D$1,InputTbl[#Headers],0))</f>
        <v>0</v>
      </c>
      <c r="E76">
        <f>INDEX(InputTbl[],ROW(DataAgg!E75),MATCH(E$1,InputTbl[#Headers],0))</f>
        <v>0</v>
      </c>
      <c r="F76" s="10">
        <f>INDEX(InputTbl[],ROW(DataAgg!F75),MATCH(F$1,InputTbl[#Headers],0))</f>
        <v>0</v>
      </c>
      <c r="G76" s="10">
        <f>INDEX(InputTbl[],ROW(DataAgg!G75),MATCH(G$1,InputTbl[#Headers],0))</f>
        <v>0</v>
      </c>
      <c r="H76">
        <f>INDEX(InputTbl[],ROW(DataAgg!H75),MATCH(H$1,InputTbl[#Headers],0))</f>
        <v>0</v>
      </c>
      <c r="I76">
        <f>INDEX(InputTbl[],ROW(DataAgg!I75),MATCH(I$1,InputTbl[#Headers],0))</f>
        <v>0</v>
      </c>
      <c r="J76" t="e">
        <f t="shared" ca="1" si="13"/>
        <v>#N/A</v>
      </c>
      <c r="K76" t="e">
        <f t="shared" ca="1" si="14"/>
        <v>#N/A</v>
      </c>
      <c r="L76" t="e">
        <f t="shared" ca="1" si="15"/>
        <v>#N/A</v>
      </c>
      <c r="M76" t="e">
        <f t="shared" si="16"/>
        <v>#N/A</v>
      </c>
      <c r="N76" t="e">
        <f t="shared" si="16"/>
        <v>#N/A</v>
      </c>
      <c r="O76" t="e">
        <f t="shared" si="16"/>
        <v>#N/A</v>
      </c>
      <c r="P76" t="e">
        <f t="shared" si="16"/>
        <v>#N/A</v>
      </c>
      <c r="Q76" t="e">
        <f t="shared" si="16"/>
        <v>#N/A</v>
      </c>
      <c r="R76" t="e">
        <f t="shared" si="16"/>
        <v>#N/A</v>
      </c>
      <c r="S76" t="e">
        <f t="shared" si="16"/>
        <v>#N/A</v>
      </c>
      <c r="T76" t="e">
        <f t="shared" si="16"/>
        <v>#N/A</v>
      </c>
      <c r="U76" t="e">
        <f t="shared" si="16"/>
        <v>#N/A</v>
      </c>
      <c r="V76" t="e">
        <f t="shared" si="16"/>
        <v>#N/A</v>
      </c>
      <c r="W76" t="b">
        <v>0</v>
      </c>
      <c r="X76" t="str">
        <f ca="1">IF(DataTbl[[#This Row],[Task Name]]&lt;&gt;0,IF(AND(DataTbl[[#This Row],[Due Date]]&lt;NOW(),OR(DataTbl[[#This Row],[% Progress]]&lt;&gt;1,DataTbl[[#This Row],[Status]]&lt;&gt;"Completed")),"Yes","No"),"No")</f>
        <v>No</v>
      </c>
    </row>
    <row r="77" spans="1:24" x14ac:dyDescent="0.25">
      <c r="A77">
        <f>INDEX(InputTbl[],ROW(DataAgg!A76),MATCH($A$1,InputTbl[#Headers],0))</f>
        <v>0</v>
      </c>
      <c r="B77">
        <f>INDEX(InputTbl[],ROW(DataAgg!B76),MATCH(B$1,InputTbl[#Headers],0))</f>
        <v>0</v>
      </c>
      <c r="C77">
        <f>INDEX(InputTbl[],ROW(DataAgg!C76),MATCH(C$1,InputTbl[#Headers],0))</f>
        <v>0</v>
      </c>
      <c r="D77">
        <f>INDEX(InputTbl[],ROW(DataAgg!D76),MATCH(D$1,InputTbl[#Headers],0))</f>
        <v>0</v>
      </c>
      <c r="E77">
        <f>INDEX(InputTbl[],ROW(DataAgg!E76),MATCH(E$1,InputTbl[#Headers],0))</f>
        <v>0</v>
      </c>
      <c r="F77" s="10">
        <f>INDEX(InputTbl[],ROW(DataAgg!F76),MATCH(F$1,InputTbl[#Headers],0))</f>
        <v>0</v>
      </c>
      <c r="G77" s="10">
        <f>INDEX(InputTbl[],ROW(DataAgg!G76),MATCH(G$1,InputTbl[#Headers],0))</f>
        <v>0</v>
      </c>
      <c r="H77">
        <f>INDEX(InputTbl[],ROW(DataAgg!H76),MATCH(H$1,InputTbl[#Headers],0))</f>
        <v>0</v>
      </c>
      <c r="I77">
        <f>INDEX(InputTbl[],ROW(DataAgg!I76),MATCH(I$1,InputTbl[#Headers],0))</f>
        <v>0</v>
      </c>
      <c r="J77" t="e">
        <f t="shared" ca="1" si="13"/>
        <v>#N/A</v>
      </c>
      <c r="K77" t="e">
        <f t="shared" ca="1" si="14"/>
        <v>#N/A</v>
      </c>
      <c r="L77" t="e">
        <f t="shared" ca="1" si="15"/>
        <v>#N/A</v>
      </c>
      <c r="M77" t="e">
        <f t="shared" si="16"/>
        <v>#N/A</v>
      </c>
      <c r="N77" t="e">
        <f t="shared" si="16"/>
        <v>#N/A</v>
      </c>
      <c r="O77" t="e">
        <f t="shared" si="16"/>
        <v>#N/A</v>
      </c>
      <c r="P77" t="e">
        <f t="shared" si="16"/>
        <v>#N/A</v>
      </c>
      <c r="Q77" t="e">
        <f t="shared" si="16"/>
        <v>#N/A</v>
      </c>
      <c r="R77" t="e">
        <f t="shared" si="16"/>
        <v>#N/A</v>
      </c>
      <c r="S77" t="e">
        <f t="shared" si="16"/>
        <v>#N/A</v>
      </c>
      <c r="T77" t="e">
        <f t="shared" si="16"/>
        <v>#N/A</v>
      </c>
      <c r="U77" t="e">
        <f t="shared" si="16"/>
        <v>#N/A</v>
      </c>
      <c r="V77" t="e">
        <f t="shared" si="16"/>
        <v>#N/A</v>
      </c>
      <c r="W77" t="b">
        <v>0</v>
      </c>
      <c r="X77" t="str">
        <f ca="1">IF(DataTbl[[#This Row],[Task Name]]&lt;&gt;0,IF(AND(DataTbl[[#This Row],[Due Date]]&lt;NOW(),OR(DataTbl[[#This Row],[% Progress]]&lt;&gt;1,DataTbl[[#This Row],[Status]]&lt;&gt;"Completed")),"Yes","No"),"No")</f>
        <v>No</v>
      </c>
    </row>
    <row r="78" spans="1:24" x14ac:dyDescent="0.25">
      <c r="A78">
        <f>INDEX(InputTbl[],ROW(DataAgg!A77),MATCH($A$1,InputTbl[#Headers],0))</f>
        <v>0</v>
      </c>
      <c r="B78">
        <f>INDEX(InputTbl[],ROW(DataAgg!B77),MATCH(B$1,InputTbl[#Headers],0))</f>
        <v>0</v>
      </c>
      <c r="C78">
        <f>INDEX(InputTbl[],ROW(DataAgg!C77),MATCH(C$1,InputTbl[#Headers],0))</f>
        <v>0</v>
      </c>
      <c r="D78">
        <f>INDEX(InputTbl[],ROW(DataAgg!D77),MATCH(D$1,InputTbl[#Headers],0))</f>
        <v>0</v>
      </c>
      <c r="E78">
        <f>INDEX(InputTbl[],ROW(DataAgg!E77),MATCH(E$1,InputTbl[#Headers],0))</f>
        <v>0</v>
      </c>
      <c r="F78" s="10">
        <f>INDEX(InputTbl[],ROW(DataAgg!F77),MATCH(F$1,InputTbl[#Headers],0))</f>
        <v>0</v>
      </c>
      <c r="G78" s="10">
        <f>INDEX(InputTbl[],ROW(DataAgg!G77),MATCH(G$1,InputTbl[#Headers],0))</f>
        <v>0</v>
      </c>
      <c r="H78">
        <f>INDEX(InputTbl[],ROW(DataAgg!H77),MATCH(H$1,InputTbl[#Headers],0))</f>
        <v>0</v>
      </c>
      <c r="I78">
        <f>INDEX(InputTbl[],ROW(DataAgg!I77),MATCH(I$1,InputTbl[#Headers],0))</f>
        <v>0</v>
      </c>
      <c r="J78" t="e">
        <f t="shared" ca="1" si="13"/>
        <v>#N/A</v>
      </c>
      <c r="K78" t="e">
        <f t="shared" ca="1" si="14"/>
        <v>#N/A</v>
      </c>
      <c r="L78" t="e">
        <f t="shared" ca="1" si="15"/>
        <v>#N/A</v>
      </c>
      <c r="M78" t="e">
        <f t="shared" si="16"/>
        <v>#N/A</v>
      </c>
      <c r="N78" t="e">
        <f t="shared" si="16"/>
        <v>#N/A</v>
      </c>
      <c r="O78" t="e">
        <f t="shared" si="16"/>
        <v>#N/A</v>
      </c>
      <c r="P78" t="e">
        <f t="shared" si="16"/>
        <v>#N/A</v>
      </c>
      <c r="Q78" t="e">
        <f t="shared" si="16"/>
        <v>#N/A</v>
      </c>
      <c r="R78" t="e">
        <f t="shared" si="16"/>
        <v>#N/A</v>
      </c>
      <c r="S78" t="e">
        <f t="shared" si="16"/>
        <v>#N/A</v>
      </c>
      <c r="T78" t="e">
        <f t="shared" si="16"/>
        <v>#N/A</v>
      </c>
      <c r="U78" t="e">
        <f t="shared" si="16"/>
        <v>#N/A</v>
      </c>
      <c r="V78" t="e">
        <f t="shared" si="16"/>
        <v>#N/A</v>
      </c>
      <c r="W78" t="b">
        <v>0</v>
      </c>
      <c r="X78" t="str">
        <f ca="1">IF(DataTbl[[#This Row],[Task Name]]&lt;&gt;0,IF(AND(DataTbl[[#This Row],[Due Date]]&lt;NOW(),OR(DataTbl[[#This Row],[% Progress]]&lt;&gt;1,DataTbl[[#This Row],[Status]]&lt;&gt;"Completed")),"Yes","No"),"No")</f>
        <v>No</v>
      </c>
    </row>
    <row r="79" spans="1:24" x14ac:dyDescent="0.25">
      <c r="A79">
        <f>INDEX(InputTbl[],ROW(DataAgg!A78),MATCH($A$1,InputTbl[#Headers],0))</f>
        <v>0</v>
      </c>
      <c r="B79">
        <f>INDEX(InputTbl[],ROW(DataAgg!B78),MATCH(B$1,InputTbl[#Headers],0))</f>
        <v>0</v>
      </c>
      <c r="C79">
        <f>INDEX(InputTbl[],ROW(DataAgg!C78),MATCH(C$1,InputTbl[#Headers],0))</f>
        <v>0</v>
      </c>
      <c r="D79">
        <f>INDEX(InputTbl[],ROW(DataAgg!D78),MATCH(D$1,InputTbl[#Headers],0))</f>
        <v>0</v>
      </c>
      <c r="E79">
        <f>INDEX(InputTbl[],ROW(DataAgg!E78),MATCH(E$1,InputTbl[#Headers],0))</f>
        <v>0</v>
      </c>
      <c r="F79" s="10">
        <f>INDEX(InputTbl[],ROW(DataAgg!F78),MATCH(F$1,InputTbl[#Headers],0))</f>
        <v>0</v>
      </c>
      <c r="G79" s="10">
        <f>INDEX(InputTbl[],ROW(DataAgg!G78),MATCH(G$1,InputTbl[#Headers],0))</f>
        <v>0</v>
      </c>
      <c r="H79">
        <f>INDEX(InputTbl[],ROW(DataAgg!H78),MATCH(H$1,InputTbl[#Headers],0))</f>
        <v>0</v>
      </c>
      <c r="I79">
        <f>INDEX(InputTbl[],ROW(DataAgg!I78),MATCH(I$1,InputTbl[#Headers],0))</f>
        <v>0</v>
      </c>
      <c r="J79" t="e">
        <f t="shared" ca="1" si="13"/>
        <v>#N/A</v>
      </c>
      <c r="K79" t="e">
        <f t="shared" ca="1" si="14"/>
        <v>#N/A</v>
      </c>
      <c r="L79" t="e">
        <f t="shared" ca="1" si="15"/>
        <v>#N/A</v>
      </c>
      <c r="M79" t="e">
        <f t="shared" si="16"/>
        <v>#N/A</v>
      </c>
      <c r="N79" t="e">
        <f t="shared" si="16"/>
        <v>#N/A</v>
      </c>
      <c r="O79" t="e">
        <f t="shared" si="16"/>
        <v>#N/A</v>
      </c>
      <c r="P79" t="e">
        <f t="shared" si="16"/>
        <v>#N/A</v>
      </c>
      <c r="Q79" t="e">
        <f t="shared" si="16"/>
        <v>#N/A</v>
      </c>
      <c r="R79" t="e">
        <f t="shared" si="16"/>
        <v>#N/A</v>
      </c>
      <c r="S79" t="e">
        <f t="shared" si="16"/>
        <v>#N/A</v>
      </c>
      <c r="T79" t="e">
        <f t="shared" si="16"/>
        <v>#N/A</v>
      </c>
      <c r="U79" t="e">
        <f t="shared" si="16"/>
        <v>#N/A</v>
      </c>
      <c r="V79" t="e">
        <f t="shared" si="16"/>
        <v>#N/A</v>
      </c>
      <c r="W79" t="b">
        <v>0</v>
      </c>
      <c r="X79" t="str">
        <f ca="1">IF(DataTbl[[#This Row],[Task Name]]&lt;&gt;0,IF(AND(DataTbl[[#This Row],[Due Date]]&lt;NOW(),OR(DataTbl[[#This Row],[% Progress]]&lt;&gt;1,DataTbl[[#This Row],[Status]]&lt;&gt;"Completed")),"Yes","No"),"No")</f>
        <v>No</v>
      </c>
    </row>
    <row r="80" spans="1:24" x14ac:dyDescent="0.25">
      <c r="A80">
        <f>INDEX(InputTbl[],ROW(DataAgg!A79),MATCH($A$1,InputTbl[#Headers],0))</f>
        <v>0</v>
      </c>
      <c r="B80">
        <f>INDEX(InputTbl[],ROW(DataAgg!B79),MATCH(B$1,InputTbl[#Headers],0))</f>
        <v>0</v>
      </c>
      <c r="C80">
        <f>INDEX(InputTbl[],ROW(DataAgg!C79),MATCH(C$1,InputTbl[#Headers],0))</f>
        <v>0</v>
      </c>
      <c r="D80">
        <f>INDEX(InputTbl[],ROW(DataAgg!D79),MATCH(D$1,InputTbl[#Headers],0))</f>
        <v>0</v>
      </c>
      <c r="E80">
        <f>INDEX(InputTbl[],ROW(DataAgg!E79),MATCH(E$1,InputTbl[#Headers],0))</f>
        <v>0</v>
      </c>
      <c r="F80" s="10">
        <f>INDEX(InputTbl[],ROW(DataAgg!F79),MATCH(F$1,InputTbl[#Headers],0))</f>
        <v>0</v>
      </c>
      <c r="G80" s="10">
        <f>INDEX(InputTbl[],ROW(DataAgg!G79),MATCH(G$1,InputTbl[#Headers],0))</f>
        <v>0</v>
      </c>
      <c r="H80">
        <f>INDEX(InputTbl[],ROW(DataAgg!H79),MATCH(H$1,InputTbl[#Headers],0))</f>
        <v>0</v>
      </c>
      <c r="I80">
        <f>INDEX(InputTbl[],ROW(DataAgg!I79),MATCH(I$1,InputTbl[#Headers],0))</f>
        <v>0</v>
      </c>
      <c r="J80" t="e">
        <f t="shared" ca="1" si="13"/>
        <v>#N/A</v>
      </c>
      <c r="K80" t="e">
        <f t="shared" ca="1" si="14"/>
        <v>#N/A</v>
      </c>
      <c r="L80" t="e">
        <f t="shared" ca="1" si="15"/>
        <v>#N/A</v>
      </c>
      <c r="M80" t="e">
        <f t="shared" si="16"/>
        <v>#N/A</v>
      </c>
      <c r="N80" t="e">
        <f t="shared" si="16"/>
        <v>#N/A</v>
      </c>
      <c r="O80" t="e">
        <f t="shared" si="16"/>
        <v>#N/A</v>
      </c>
      <c r="P80" t="e">
        <f t="shared" si="16"/>
        <v>#N/A</v>
      </c>
      <c r="Q80" t="e">
        <f t="shared" si="16"/>
        <v>#N/A</v>
      </c>
      <c r="R80" t="e">
        <f t="shared" si="16"/>
        <v>#N/A</v>
      </c>
      <c r="S80" t="e">
        <f t="shared" si="16"/>
        <v>#N/A</v>
      </c>
      <c r="T80" t="e">
        <f t="shared" si="16"/>
        <v>#N/A</v>
      </c>
      <c r="U80" t="e">
        <f t="shared" si="16"/>
        <v>#N/A</v>
      </c>
      <c r="V80" t="e">
        <f t="shared" si="16"/>
        <v>#N/A</v>
      </c>
      <c r="W80" t="b">
        <v>0</v>
      </c>
      <c r="X80" t="str">
        <f ca="1">IF(DataTbl[[#This Row],[Task Name]]&lt;&gt;0,IF(AND(DataTbl[[#This Row],[Due Date]]&lt;NOW(),OR(DataTbl[[#This Row],[% Progress]]&lt;&gt;1,DataTbl[[#This Row],[Status]]&lt;&gt;"Completed")),"Yes","No"),"No")</f>
        <v>No</v>
      </c>
    </row>
    <row r="81" spans="1:24" x14ac:dyDescent="0.25">
      <c r="A81">
        <f>INDEX(InputTbl[],ROW(DataAgg!A80),MATCH($A$1,InputTbl[#Headers],0))</f>
        <v>0</v>
      </c>
      <c r="B81">
        <f>INDEX(InputTbl[],ROW(DataAgg!B80),MATCH(B$1,InputTbl[#Headers],0))</f>
        <v>0</v>
      </c>
      <c r="C81">
        <f>INDEX(InputTbl[],ROW(DataAgg!C80),MATCH(C$1,InputTbl[#Headers],0))</f>
        <v>0</v>
      </c>
      <c r="D81">
        <f>INDEX(InputTbl[],ROW(DataAgg!D80),MATCH(D$1,InputTbl[#Headers],0))</f>
        <v>0</v>
      </c>
      <c r="E81">
        <f>INDEX(InputTbl[],ROW(DataAgg!E80),MATCH(E$1,InputTbl[#Headers],0))</f>
        <v>0</v>
      </c>
      <c r="F81" s="10">
        <f>INDEX(InputTbl[],ROW(DataAgg!F80),MATCH(F$1,InputTbl[#Headers],0))</f>
        <v>0</v>
      </c>
      <c r="G81" s="10">
        <f>INDEX(InputTbl[],ROW(DataAgg!G80),MATCH(G$1,InputTbl[#Headers],0))</f>
        <v>0</v>
      </c>
      <c r="H81">
        <f>INDEX(InputTbl[],ROW(DataAgg!H80),MATCH(H$1,InputTbl[#Headers],0))</f>
        <v>0</v>
      </c>
      <c r="I81">
        <f>INDEX(InputTbl[],ROW(DataAgg!I80),MATCH(I$1,InputTbl[#Headers],0))</f>
        <v>0</v>
      </c>
      <c r="J81" t="e">
        <f t="shared" ca="1" si="13"/>
        <v>#N/A</v>
      </c>
      <c r="K81" t="e">
        <f t="shared" ca="1" si="14"/>
        <v>#N/A</v>
      </c>
      <c r="L81" t="e">
        <f t="shared" ca="1" si="15"/>
        <v>#N/A</v>
      </c>
      <c r="M81" t="e">
        <f t="shared" si="16"/>
        <v>#N/A</v>
      </c>
      <c r="N81" t="e">
        <f t="shared" si="16"/>
        <v>#N/A</v>
      </c>
      <c r="O81" t="e">
        <f t="shared" si="16"/>
        <v>#N/A</v>
      </c>
      <c r="P81" t="e">
        <f t="shared" si="16"/>
        <v>#N/A</v>
      </c>
      <c r="Q81" t="e">
        <f t="shared" si="16"/>
        <v>#N/A</v>
      </c>
      <c r="R81" t="e">
        <f t="shared" si="16"/>
        <v>#N/A</v>
      </c>
      <c r="S81" t="e">
        <f t="shared" si="16"/>
        <v>#N/A</v>
      </c>
      <c r="T81" t="e">
        <f t="shared" si="16"/>
        <v>#N/A</v>
      </c>
      <c r="U81" t="e">
        <f t="shared" si="16"/>
        <v>#N/A</v>
      </c>
      <c r="V81" t="e">
        <f t="shared" si="16"/>
        <v>#N/A</v>
      </c>
      <c r="W81" t="b">
        <v>0</v>
      </c>
      <c r="X81" t="str">
        <f ca="1">IF(DataTbl[[#This Row],[Task Name]]&lt;&gt;0,IF(AND(DataTbl[[#This Row],[Due Date]]&lt;NOW(),OR(DataTbl[[#This Row],[% Progress]]&lt;&gt;1,DataTbl[[#This Row],[Status]]&lt;&gt;"Completed")),"Yes","No"),"No")</f>
        <v>No</v>
      </c>
    </row>
    <row r="82" spans="1:24" x14ac:dyDescent="0.25">
      <c r="A82">
        <f>INDEX(InputTbl[],ROW(DataAgg!A81),MATCH($A$1,InputTbl[#Headers],0))</f>
        <v>0</v>
      </c>
      <c r="B82">
        <f>INDEX(InputTbl[],ROW(DataAgg!B81),MATCH(B$1,InputTbl[#Headers],0))</f>
        <v>0</v>
      </c>
      <c r="C82">
        <f>INDEX(InputTbl[],ROW(DataAgg!C81),MATCH(C$1,InputTbl[#Headers],0))</f>
        <v>0</v>
      </c>
      <c r="D82">
        <f>INDEX(InputTbl[],ROW(DataAgg!D81),MATCH(D$1,InputTbl[#Headers],0))</f>
        <v>0</v>
      </c>
      <c r="E82">
        <f>INDEX(InputTbl[],ROW(DataAgg!E81),MATCH(E$1,InputTbl[#Headers],0))</f>
        <v>0</v>
      </c>
      <c r="F82" s="10">
        <f>INDEX(InputTbl[],ROW(DataAgg!F81),MATCH(F$1,InputTbl[#Headers],0))</f>
        <v>0</v>
      </c>
      <c r="G82" s="10">
        <f>INDEX(InputTbl[],ROW(DataAgg!G81),MATCH(G$1,InputTbl[#Headers],0))</f>
        <v>0</v>
      </c>
      <c r="H82">
        <f>INDEX(InputTbl[],ROW(DataAgg!H81),MATCH(H$1,InputTbl[#Headers],0))</f>
        <v>0</v>
      </c>
      <c r="I82">
        <f>INDEX(InputTbl[],ROW(DataAgg!I81),MATCH(I$1,InputTbl[#Headers],0))</f>
        <v>0</v>
      </c>
      <c r="J82" t="e">
        <f t="shared" ca="1" si="13"/>
        <v>#N/A</v>
      </c>
      <c r="K82" t="e">
        <f t="shared" ca="1" si="14"/>
        <v>#N/A</v>
      </c>
      <c r="L82" t="e">
        <f t="shared" ca="1" si="15"/>
        <v>#N/A</v>
      </c>
      <c r="M82" t="e">
        <f t="shared" ref="M82:V91" si="17">IF(MATCH($H82,StatusOptions,0)=COLUMN(M:M)-12,"TRUE","FALSE")</f>
        <v>#N/A</v>
      </c>
      <c r="N82" t="e">
        <f t="shared" si="17"/>
        <v>#N/A</v>
      </c>
      <c r="O82" t="e">
        <f t="shared" si="17"/>
        <v>#N/A</v>
      </c>
      <c r="P82" t="e">
        <f t="shared" si="17"/>
        <v>#N/A</v>
      </c>
      <c r="Q82" t="e">
        <f t="shared" si="17"/>
        <v>#N/A</v>
      </c>
      <c r="R82" t="e">
        <f t="shared" si="17"/>
        <v>#N/A</v>
      </c>
      <c r="S82" t="e">
        <f t="shared" si="17"/>
        <v>#N/A</v>
      </c>
      <c r="T82" t="e">
        <f t="shared" si="17"/>
        <v>#N/A</v>
      </c>
      <c r="U82" t="e">
        <f t="shared" si="17"/>
        <v>#N/A</v>
      </c>
      <c r="V82" t="e">
        <f t="shared" si="17"/>
        <v>#N/A</v>
      </c>
      <c r="W82" t="b">
        <v>0</v>
      </c>
      <c r="X82" t="str">
        <f ca="1">IF(DataTbl[[#This Row],[Task Name]]&lt;&gt;0,IF(AND(DataTbl[[#This Row],[Due Date]]&lt;NOW(),OR(DataTbl[[#This Row],[% Progress]]&lt;&gt;1,DataTbl[[#This Row],[Status]]&lt;&gt;"Completed")),"Yes","No"),"No")</f>
        <v>No</v>
      </c>
    </row>
    <row r="83" spans="1:24" x14ac:dyDescent="0.25">
      <c r="A83">
        <f>INDEX(InputTbl[],ROW(DataAgg!A82),MATCH($A$1,InputTbl[#Headers],0))</f>
        <v>0</v>
      </c>
      <c r="B83">
        <f>INDEX(InputTbl[],ROW(DataAgg!B82),MATCH(B$1,InputTbl[#Headers],0))</f>
        <v>0</v>
      </c>
      <c r="C83">
        <f>INDEX(InputTbl[],ROW(DataAgg!C82),MATCH(C$1,InputTbl[#Headers],0))</f>
        <v>0</v>
      </c>
      <c r="D83">
        <f>INDEX(InputTbl[],ROW(DataAgg!D82),MATCH(D$1,InputTbl[#Headers],0))</f>
        <v>0</v>
      </c>
      <c r="E83">
        <f>INDEX(InputTbl[],ROW(DataAgg!E82),MATCH(E$1,InputTbl[#Headers],0))</f>
        <v>0</v>
      </c>
      <c r="F83" s="10">
        <f>INDEX(InputTbl[],ROW(DataAgg!F82),MATCH(F$1,InputTbl[#Headers],0))</f>
        <v>0</v>
      </c>
      <c r="G83" s="10">
        <f>INDEX(InputTbl[],ROW(DataAgg!G82),MATCH(G$1,InputTbl[#Headers],0))</f>
        <v>0</v>
      </c>
      <c r="H83">
        <f>INDEX(InputTbl[],ROW(DataAgg!H82),MATCH(H$1,InputTbl[#Headers],0))</f>
        <v>0</v>
      </c>
      <c r="I83">
        <f>INDEX(InputTbl[],ROW(DataAgg!I82),MATCH(I$1,InputTbl[#Headers],0))</f>
        <v>0</v>
      </c>
      <c r="J83" t="e">
        <f t="shared" ca="1" si="13"/>
        <v>#N/A</v>
      </c>
      <c r="K83" t="e">
        <f t="shared" ca="1" si="14"/>
        <v>#N/A</v>
      </c>
      <c r="L83" t="e">
        <f t="shared" ca="1" si="15"/>
        <v>#N/A</v>
      </c>
      <c r="M83" t="e">
        <f t="shared" si="17"/>
        <v>#N/A</v>
      </c>
      <c r="N83" t="e">
        <f t="shared" si="17"/>
        <v>#N/A</v>
      </c>
      <c r="O83" t="e">
        <f t="shared" si="17"/>
        <v>#N/A</v>
      </c>
      <c r="P83" t="e">
        <f t="shared" si="17"/>
        <v>#N/A</v>
      </c>
      <c r="Q83" t="e">
        <f t="shared" si="17"/>
        <v>#N/A</v>
      </c>
      <c r="R83" t="e">
        <f t="shared" si="17"/>
        <v>#N/A</v>
      </c>
      <c r="S83" t="e">
        <f t="shared" si="17"/>
        <v>#N/A</v>
      </c>
      <c r="T83" t="e">
        <f t="shared" si="17"/>
        <v>#N/A</v>
      </c>
      <c r="U83" t="e">
        <f t="shared" si="17"/>
        <v>#N/A</v>
      </c>
      <c r="V83" t="e">
        <f t="shared" si="17"/>
        <v>#N/A</v>
      </c>
      <c r="W83" t="b">
        <v>0</v>
      </c>
      <c r="X83" t="str">
        <f ca="1">IF(DataTbl[[#This Row],[Task Name]]&lt;&gt;0,IF(AND(DataTbl[[#This Row],[Due Date]]&lt;NOW(),OR(DataTbl[[#This Row],[% Progress]]&lt;&gt;1,DataTbl[[#This Row],[Status]]&lt;&gt;"Completed")),"Yes","No"),"No")</f>
        <v>No</v>
      </c>
    </row>
    <row r="84" spans="1:24" x14ac:dyDescent="0.25">
      <c r="A84">
        <f>INDEX(InputTbl[],ROW(DataAgg!A83),MATCH($A$1,InputTbl[#Headers],0))</f>
        <v>0</v>
      </c>
      <c r="B84">
        <f>INDEX(InputTbl[],ROW(DataAgg!B83),MATCH(B$1,InputTbl[#Headers],0))</f>
        <v>0</v>
      </c>
      <c r="C84">
        <f>INDEX(InputTbl[],ROW(DataAgg!C83),MATCH(C$1,InputTbl[#Headers],0))</f>
        <v>0</v>
      </c>
      <c r="D84">
        <f>INDEX(InputTbl[],ROW(DataAgg!D83),MATCH(D$1,InputTbl[#Headers],0))</f>
        <v>0</v>
      </c>
      <c r="E84">
        <f>INDEX(InputTbl[],ROW(DataAgg!E83),MATCH(E$1,InputTbl[#Headers],0))</f>
        <v>0</v>
      </c>
      <c r="F84" s="10">
        <f>INDEX(InputTbl[],ROW(DataAgg!F83),MATCH(F$1,InputTbl[#Headers],0))</f>
        <v>0</v>
      </c>
      <c r="G84" s="10">
        <f>INDEX(InputTbl[],ROW(DataAgg!G83),MATCH(G$1,InputTbl[#Headers],0))</f>
        <v>0</v>
      </c>
      <c r="H84">
        <f>INDEX(InputTbl[],ROW(DataAgg!H83),MATCH(H$1,InputTbl[#Headers],0))</f>
        <v>0</v>
      </c>
      <c r="I84">
        <f>INDEX(InputTbl[],ROW(DataAgg!I83),MATCH(I$1,InputTbl[#Headers],0))</f>
        <v>0</v>
      </c>
      <c r="J84" t="e">
        <f t="shared" ca="1" si="13"/>
        <v>#N/A</v>
      </c>
      <c r="K84" t="e">
        <f t="shared" ca="1" si="14"/>
        <v>#N/A</v>
      </c>
      <c r="L84" t="e">
        <f t="shared" ca="1" si="15"/>
        <v>#N/A</v>
      </c>
      <c r="M84" t="e">
        <f t="shared" si="17"/>
        <v>#N/A</v>
      </c>
      <c r="N84" t="e">
        <f t="shared" si="17"/>
        <v>#N/A</v>
      </c>
      <c r="O84" t="e">
        <f t="shared" si="17"/>
        <v>#N/A</v>
      </c>
      <c r="P84" t="e">
        <f t="shared" si="17"/>
        <v>#N/A</v>
      </c>
      <c r="Q84" t="e">
        <f t="shared" si="17"/>
        <v>#N/A</v>
      </c>
      <c r="R84" t="e">
        <f t="shared" si="17"/>
        <v>#N/A</v>
      </c>
      <c r="S84" t="e">
        <f t="shared" si="17"/>
        <v>#N/A</v>
      </c>
      <c r="T84" t="e">
        <f t="shared" si="17"/>
        <v>#N/A</v>
      </c>
      <c r="U84" t="e">
        <f t="shared" si="17"/>
        <v>#N/A</v>
      </c>
      <c r="V84" t="e">
        <f t="shared" si="17"/>
        <v>#N/A</v>
      </c>
      <c r="W84" t="b">
        <v>0</v>
      </c>
      <c r="X84" t="str">
        <f ca="1">IF(DataTbl[[#This Row],[Task Name]]&lt;&gt;0,IF(AND(DataTbl[[#This Row],[Due Date]]&lt;NOW(),OR(DataTbl[[#This Row],[% Progress]]&lt;&gt;1,DataTbl[[#This Row],[Status]]&lt;&gt;"Completed")),"Yes","No"),"No")</f>
        <v>No</v>
      </c>
    </row>
    <row r="85" spans="1:24" x14ac:dyDescent="0.25">
      <c r="A85">
        <f>INDEX(InputTbl[],ROW(DataAgg!A84),MATCH($A$1,InputTbl[#Headers],0))</f>
        <v>0</v>
      </c>
      <c r="B85">
        <f>INDEX(InputTbl[],ROW(DataAgg!B84),MATCH(B$1,InputTbl[#Headers],0))</f>
        <v>0</v>
      </c>
      <c r="C85">
        <f>INDEX(InputTbl[],ROW(DataAgg!C84),MATCH(C$1,InputTbl[#Headers],0))</f>
        <v>0</v>
      </c>
      <c r="D85">
        <f>INDEX(InputTbl[],ROW(DataAgg!D84),MATCH(D$1,InputTbl[#Headers],0))</f>
        <v>0</v>
      </c>
      <c r="E85">
        <f>INDEX(InputTbl[],ROW(DataAgg!E84),MATCH(E$1,InputTbl[#Headers],0))</f>
        <v>0</v>
      </c>
      <c r="F85" s="10">
        <f>INDEX(InputTbl[],ROW(DataAgg!F84),MATCH(F$1,InputTbl[#Headers],0))</f>
        <v>0</v>
      </c>
      <c r="G85" s="10">
        <f>INDEX(InputTbl[],ROW(DataAgg!G84),MATCH(G$1,InputTbl[#Headers],0))</f>
        <v>0</v>
      </c>
      <c r="H85">
        <f>INDEX(InputTbl[],ROW(DataAgg!H84),MATCH(H$1,InputTbl[#Headers],0))</f>
        <v>0</v>
      </c>
      <c r="I85">
        <f>INDEX(InputTbl[],ROW(DataAgg!I84),MATCH(I$1,InputTbl[#Headers],0))</f>
        <v>0</v>
      </c>
      <c r="J85" t="e">
        <f t="shared" ca="1" si="13"/>
        <v>#N/A</v>
      </c>
      <c r="K85" t="e">
        <f t="shared" ca="1" si="14"/>
        <v>#N/A</v>
      </c>
      <c r="L85" t="e">
        <f t="shared" ca="1" si="15"/>
        <v>#N/A</v>
      </c>
      <c r="M85" t="e">
        <f t="shared" si="17"/>
        <v>#N/A</v>
      </c>
      <c r="N85" t="e">
        <f t="shared" si="17"/>
        <v>#N/A</v>
      </c>
      <c r="O85" t="e">
        <f t="shared" si="17"/>
        <v>#N/A</v>
      </c>
      <c r="P85" t="e">
        <f t="shared" si="17"/>
        <v>#N/A</v>
      </c>
      <c r="Q85" t="e">
        <f t="shared" si="17"/>
        <v>#N/A</v>
      </c>
      <c r="R85" t="e">
        <f t="shared" si="17"/>
        <v>#N/A</v>
      </c>
      <c r="S85" t="e">
        <f t="shared" si="17"/>
        <v>#N/A</v>
      </c>
      <c r="T85" t="e">
        <f t="shared" si="17"/>
        <v>#N/A</v>
      </c>
      <c r="U85" t="e">
        <f t="shared" si="17"/>
        <v>#N/A</v>
      </c>
      <c r="V85" t="e">
        <f t="shared" si="17"/>
        <v>#N/A</v>
      </c>
      <c r="W85" t="b">
        <v>0</v>
      </c>
      <c r="X85" t="str">
        <f ca="1">IF(DataTbl[[#This Row],[Task Name]]&lt;&gt;0,IF(AND(DataTbl[[#This Row],[Due Date]]&lt;NOW(),OR(DataTbl[[#This Row],[% Progress]]&lt;&gt;1,DataTbl[[#This Row],[Status]]&lt;&gt;"Completed")),"Yes","No"),"No")</f>
        <v>No</v>
      </c>
    </row>
    <row r="86" spans="1:24" x14ac:dyDescent="0.25">
      <c r="A86">
        <f>INDEX(InputTbl[],ROW(DataAgg!A85),MATCH($A$1,InputTbl[#Headers],0))</f>
        <v>0</v>
      </c>
      <c r="B86">
        <f>INDEX(InputTbl[],ROW(DataAgg!B85),MATCH(B$1,InputTbl[#Headers],0))</f>
        <v>0</v>
      </c>
      <c r="C86">
        <f>INDEX(InputTbl[],ROW(DataAgg!C85),MATCH(C$1,InputTbl[#Headers],0))</f>
        <v>0</v>
      </c>
      <c r="D86">
        <f>INDEX(InputTbl[],ROW(DataAgg!D85),MATCH(D$1,InputTbl[#Headers],0))</f>
        <v>0</v>
      </c>
      <c r="E86">
        <f>INDEX(InputTbl[],ROW(DataAgg!E85),MATCH(E$1,InputTbl[#Headers],0))</f>
        <v>0</v>
      </c>
      <c r="F86" s="10">
        <f>INDEX(InputTbl[],ROW(DataAgg!F85),MATCH(F$1,InputTbl[#Headers],0))</f>
        <v>0</v>
      </c>
      <c r="G86" s="10">
        <f>INDEX(InputTbl[],ROW(DataAgg!G85),MATCH(G$1,InputTbl[#Headers],0))</f>
        <v>0</v>
      </c>
      <c r="H86">
        <f>INDEX(InputTbl[],ROW(DataAgg!H85),MATCH(H$1,InputTbl[#Headers],0))</f>
        <v>0</v>
      </c>
      <c r="I86">
        <f>INDEX(InputTbl[],ROW(DataAgg!I85),MATCH(I$1,InputTbl[#Headers],0))</f>
        <v>0</v>
      </c>
      <c r="J86" t="e">
        <f t="shared" ca="1" si="13"/>
        <v>#N/A</v>
      </c>
      <c r="K86" t="e">
        <f t="shared" ca="1" si="14"/>
        <v>#N/A</v>
      </c>
      <c r="L86" t="e">
        <f t="shared" ca="1" si="15"/>
        <v>#N/A</v>
      </c>
      <c r="M86" t="e">
        <f t="shared" si="17"/>
        <v>#N/A</v>
      </c>
      <c r="N86" t="e">
        <f t="shared" si="17"/>
        <v>#N/A</v>
      </c>
      <c r="O86" t="e">
        <f t="shared" si="17"/>
        <v>#N/A</v>
      </c>
      <c r="P86" t="e">
        <f t="shared" si="17"/>
        <v>#N/A</v>
      </c>
      <c r="Q86" t="e">
        <f t="shared" si="17"/>
        <v>#N/A</v>
      </c>
      <c r="R86" t="e">
        <f t="shared" si="17"/>
        <v>#N/A</v>
      </c>
      <c r="S86" t="e">
        <f t="shared" si="17"/>
        <v>#N/A</v>
      </c>
      <c r="T86" t="e">
        <f t="shared" si="17"/>
        <v>#N/A</v>
      </c>
      <c r="U86" t="e">
        <f t="shared" si="17"/>
        <v>#N/A</v>
      </c>
      <c r="V86" t="e">
        <f t="shared" si="17"/>
        <v>#N/A</v>
      </c>
      <c r="W86" t="b">
        <v>0</v>
      </c>
      <c r="X86" t="str">
        <f ca="1">IF(DataTbl[[#This Row],[Task Name]]&lt;&gt;0,IF(AND(DataTbl[[#This Row],[Due Date]]&lt;NOW(),OR(DataTbl[[#This Row],[% Progress]]&lt;&gt;1,DataTbl[[#This Row],[Status]]&lt;&gt;"Completed")),"Yes","No"),"No")</f>
        <v>No</v>
      </c>
    </row>
    <row r="87" spans="1:24" x14ac:dyDescent="0.25">
      <c r="A87">
        <f>INDEX(InputTbl[],ROW(DataAgg!A86),MATCH($A$1,InputTbl[#Headers],0))</f>
        <v>0</v>
      </c>
      <c r="B87">
        <f>INDEX(InputTbl[],ROW(DataAgg!B86),MATCH(B$1,InputTbl[#Headers],0))</f>
        <v>0</v>
      </c>
      <c r="C87">
        <f>INDEX(InputTbl[],ROW(DataAgg!C86),MATCH(C$1,InputTbl[#Headers],0))</f>
        <v>0</v>
      </c>
      <c r="D87">
        <f>INDEX(InputTbl[],ROW(DataAgg!D86),MATCH(D$1,InputTbl[#Headers],0))</f>
        <v>0</v>
      </c>
      <c r="E87">
        <f>INDEX(InputTbl[],ROW(DataAgg!E86),MATCH(E$1,InputTbl[#Headers],0))</f>
        <v>0</v>
      </c>
      <c r="F87" s="10">
        <f>INDEX(InputTbl[],ROW(DataAgg!F86),MATCH(F$1,InputTbl[#Headers],0))</f>
        <v>0</v>
      </c>
      <c r="G87" s="10">
        <f>INDEX(InputTbl[],ROW(DataAgg!G86),MATCH(G$1,InputTbl[#Headers],0))</f>
        <v>0</v>
      </c>
      <c r="H87">
        <f>INDEX(InputTbl[],ROW(DataAgg!H86),MATCH(H$1,InputTbl[#Headers],0))</f>
        <v>0</v>
      </c>
      <c r="I87">
        <f>INDEX(InputTbl[],ROW(DataAgg!I86),MATCH(I$1,InputTbl[#Headers],0))</f>
        <v>0</v>
      </c>
      <c r="J87" t="e">
        <f t="shared" ca="1" si="13"/>
        <v>#N/A</v>
      </c>
      <c r="K87" t="e">
        <f t="shared" ca="1" si="14"/>
        <v>#N/A</v>
      </c>
      <c r="L87" t="e">
        <f t="shared" ca="1" si="15"/>
        <v>#N/A</v>
      </c>
      <c r="M87" t="e">
        <f t="shared" si="17"/>
        <v>#N/A</v>
      </c>
      <c r="N87" t="e">
        <f t="shared" si="17"/>
        <v>#N/A</v>
      </c>
      <c r="O87" t="e">
        <f t="shared" si="17"/>
        <v>#N/A</v>
      </c>
      <c r="P87" t="e">
        <f t="shared" si="17"/>
        <v>#N/A</v>
      </c>
      <c r="Q87" t="e">
        <f t="shared" si="17"/>
        <v>#N/A</v>
      </c>
      <c r="R87" t="e">
        <f t="shared" si="17"/>
        <v>#N/A</v>
      </c>
      <c r="S87" t="e">
        <f t="shared" si="17"/>
        <v>#N/A</v>
      </c>
      <c r="T87" t="e">
        <f t="shared" si="17"/>
        <v>#N/A</v>
      </c>
      <c r="U87" t="e">
        <f t="shared" si="17"/>
        <v>#N/A</v>
      </c>
      <c r="V87" t="e">
        <f t="shared" si="17"/>
        <v>#N/A</v>
      </c>
      <c r="W87" t="b">
        <v>0</v>
      </c>
      <c r="X87" t="str">
        <f ca="1">IF(DataTbl[[#This Row],[Task Name]]&lt;&gt;0,IF(AND(DataTbl[[#This Row],[Due Date]]&lt;NOW(),OR(DataTbl[[#This Row],[% Progress]]&lt;&gt;1,DataTbl[[#This Row],[Status]]&lt;&gt;"Completed")),"Yes","No"),"No")</f>
        <v>No</v>
      </c>
    </row>
    <row r="88" spans="1:24" x14ac:dyDescent="0.25">
      <c r="A88">
        <f>INDEX(InputTbl[],ROW(DataAgg!A87),MATCH($A$1,InputTbl[#Headers],0))</f>
        <v>0</v>
      </c>
      <c r="B88">
        <f>INDEX(InputTbl[],ROW(DataAgg!B87),MATCH(B$1,InputTbl[#Headers],0))</f>
        <v>0</v>
      </c>
      <c r="C88">
        <f>INDEX(InputTbl[],ROW(DataAgg!C87),MATCH(C$1,InputTbl[#Headers],0))</f>
        <v>0</v>
      </c>
      <c r="D88">
        <f>INDEX(InputTbl[],ROW(DataAgg!D87),MATCH(D$1,InputTbl[#Headers],0))</f>
        <v>0</v>
      </c>
      <c r="E88">
        <f>INDEX(InputTbl[],ROW(DataAgg!E87),MATCH(E$1,InputTbl[#Headers],0))</f>
        <v>0</v>
      </c>
      <c r="F88" s="10">
        <f>INDEX(InputTbl[],ROW(DataAgg!F87),MATCH(F$1,InputTbl[#Headers],0))</f>
        <v>0</v>
      </c>
      <c r="G88" s="10">
        <f>INDEX(InputTbl[],ROW(DataAgg!G87),MATCH(G$1,InputTbl[#Headers],0))</f>
        <v>0</v>
      </c>
      <c r="H88">
        <f>INDEX(InputTbl[],ROW(DataAgg!H87),MATCH(H$1,InputTbl[#Headers],0))</f>
        <v>0</v>
      </c>
      <c r="I88">
        <f>INDEX(InputTbl[],ROW(DataAgg!I87),MATCH(I$1,InputTbl[#Headers],0))</f>
        <v>0</v>
      </c>
      <c r="J88" t="e">
        <f t="shared" ca="1" si="13"/>
        <v>#N/A</v>
      </c>
      <c r="K88" t="e">
        <f t="shared" ca="1" si="14"/>
        <v>#N/A</v>
      </c>
      <c r="L88" t="e">
        <f t="shared" ca="1" si="15"/>
        <v>#N/A</v>
      </c>
      <c r="M88" t="e">
        <f t="shared" si="17"/>
        <v>#N/A</v>
      </c>
      <c r="N88" t="e">
        <f t="shared" si="17"/>
        <v>#N/A</v>
      </c>
      <c r="O88" t="e">
        <f t="shared" si="17"/>
        <v>#N/A</v>
      </c>
      <c r="P88" t="e">
        <f t="shared" si="17"/>
        <v>#N/A</v>
      </c>
      <c r="Q88" t="e">
        <f t="shared" si="17"/>
        <v>#N/A</v>
      </c>
      <c r="R88" t="e">
        <f t="shared" si="17"/>
        <v>#N/A</v>
      </c>
      <c r="S88" t="e">
        <f t="shared" si="17"/>
        <v>#N/A</v>
      </c>
      <c r="T88" t="e">
        <f t="shared" si="17"/>
        <v>#N/A</v>
      </c>
      <c r="U88" t="e">
        <f t="shared" si="17"/>
        <v>#N/A</v>
      </c>
      <c r="V88" t="e">
        <f t="shared" si="17"/>
        <v>#N/A</v>
      </c>
      <c r="W88" t="b">
        <v>0</v>
      </c>
      <c r="X88" t="str">
        <f ca="1">IF(DataTbl[[#This Row],[Task Name]]&lt;&gt;0,IF(AND(DataTbl[[#This Row],[Due Date]]&lt;NOW(),OR(DataTbl[[#This Row],[% Progress]]&lt;&gt;1,DataTbl[[#This Row],[Status]]&lt;&gt;"Completed")),"Yes","No"),"No")</f>
        <v>No</v>
      </c>
    </row>
    <row r="89" spans="1:24" x14ac:dyDescent="0.25">
      <c r="A89">
        <f>INDEX(InputTbl[],ROW(DataAgg!A88),MATCH($A$1,InputTbl[#Headers],0))</f>
        <v>0</v>
      </c>
      <c r="B89">
        <f>INDEX(InputTbl[],ROW(DataAgg!B88),MATCH(B$1,InputTbl[#Headers],0))</f>
        <v>0</v>
      </c>
      <c r="C89">
        <f>INDEX(InputTbl[],ROW(DataAgg!C88),MATCH(C$1,InputTbl[#Headers],0))</f>
        <v>0</v>
      </c>
      <c r="D89">
        <f>INDEX(InputTbl[],ROW(DataAgg!D88),MATCH(D$1,InputTbl[#Headers],0))</f>
        <v>0</v>
      </c>
      <c r="E89">
        <f>INDEX(InputTbl[],ROW(DataAgg!E88),MATCH(E$1,InputTbl[#Headers],0))</f>
        <v>0</v>
      </c>
      <c r="F89" s="10">
        <f>INDEX(InputTbl[],ROW(DataAgg!F88),MATCH(F$1,InputTbl[#Headers],0))</f>
        <v>0</v>
      </c>
      <c r="G89" s="10">
        <f>INDEX(InputTbl[],ROW(DataAgg!G88),MATCH(G$1,InputTbl[#Headers],0))</f>
        <v>0</v>
      </c>
      <c r="H89">
        <f>INDEX(InputTbl[],ROW(DataAgg!H88),MATCH(H$1,InputTbl[#Headers],0))</f>
        <v>0</v>
      </c>
      <c r="I89">
        <f>INDEX(InputTbl[],ROW(DataAgg!I88),MATCH(I$1,InputTbl[#Headers],0))</f>
        <v>0</v>
      </c>
      <c r="J89" t="e">
        <f t="shared" ca="1" si="13"/>
        <v>#N/A</v>
      </c>
      <c r="K89" t="e">
        <f t="shared" ca="1" si="14"/>
        <v>#N/A</v>
      </c>
      <c r="L89" t="e">
        <f t="shared" ca="1" si="15"/>
        <v>#N/A</v>
      </c>
      <c r="M89" t="e">
        <f t="shared" si="17"/>
        <v>#N/A</v>
      </c>
      <c r="N89" t="e">
        <f t="shared" si="17"/>
        <v>#N/A</v>
      </c>
      <c r="O89" t="e">
        <f t="shared" si="17"/>
        <v>#N/A</v>
      </c>
      <c r="P89" t="e">
        <f t="shared" si="17"/>
        <v>#N/A</v>
      </c>
      <c r="Q89" t="e">
        <f t="shared" si="17"/>
        <v>#N/A</v>
      </c>
      <c r="R89" t="e">
        <f t="shared" si="17"/>
        <v>#N/A</v>
      </c>
      <c r="S89" t="e">
        <f t="shared" si="17"/>
        <v>#N/A</v>
      </c>
      <c r="T89" t="e">
        <f t="shared" si="17"/>
        <v>#N/A</v>
      </c>
      <c r="U89" t="e">
        <f t="shared" si="17"/>
        <v>#N/A</v>
      </c>
      <c r="V89" t="e">
        <f t="shared" si="17"/>
        <v>#N/A</v>
      </c>
      <c r="W89" t="b">
        <v>0</v>
      </c>
      <c r="X89" t="str">
        <f ca="1">IF(DataTbl[[#This Row],[Task Name]]&lt;&gt;0,IF(AND(DataTbl[[#This Row],[Due Date]]&lt;NOW(),OR(DataTbl[[#This Row],[% Progress]]&lt;&gt;1,DataTbl[[#This Row],[Status]]&lt;&gt;"Completed")),"Yes","No"),"No")</f>
        <v>No</v>
      </c>
    </row>
    <row r="90" spans="1:24" x14ac:dyDescent="0.25">
      <c r="A90">
        <f>INDEX(InputTbl[],ROW(DataAgg!A89),MATCH($A$1,InputTbl[#Headers],0))</f>
        <v>0</v>
      </c>
      <c r="B90">
        <f>INDEX(InputTbl[],ROW(DataAgg!B89),MATCH(B$1,InputTbl[#Headers],0))</f>
        <v>0</v>
      </c>
      <c r="C90">
        <f>INDEX(InputTbl[],ROW(DataAgg!C89),MATCH(C$1,InputTbl[#Headers],0))</f>
        <v>0</v>
      </c>
      <c r="D90">
        <f>INDEX(InputTbl[],ROW(DataAgg!D89),MATCH(D$1,InputTbl[#Headers],0))</f>
        <v>0</v>
      </c>
      <c r="E90">
        <f>INDEX(InputTbl[],ROW(DataAgg!E89),MATCH(E$1,InputTbl[#Headers],0))</f>
        <v>0</v>
      </c>
      <c r="F90" s="10">
        <f>INDEX(InputTbl[],ROW(DataAgg!F89),MATCH(F$1,InputTbl[#Headers],0))</f>
        <v>0</v>
      </c>
      <c r="G90" s="10">
        <f>INDEX(InputTbl[],ROW(DataAgg!G89),MATCH(G$1,InputTbl[#Headers],0))</f>
        <v>0</v>
      </c>
      <c r="H90">
        <f>INDEX(InputTbl[],ROW(DataAgg!H89),MATCH(H$1,InputTbl[#Headers],0))</f>
        <v>0</v>
      </c>
      <c r="I90">
        <f>INDEX(InputTbl[],ROW(DataAgg!I89),MATCH(I$1,InputTbl[#Headers],0))</f>
        <v>0</v>
      </c>
      <c r="J90" t="e">
        <f t="shared" ca="1" si="13"/>
        <v>#N/A</v>
      </c>
      <c r="K90" t="e">
        <f t="shared" ca="1" si="14"/>
        <v>#N/A</v>
      </c>
      <c r="L90" t="e">
        <f t="shared" ca="1" si="15"/>
        <v>#N/A</v>
      </c>
      <c r="M90" t="e">
        <f t="shared" si="17"/>
        <v>#N/A</v>
      </c>
      <c r="N90" t="e">
        <f t="shared" si="17"/>
        <v>#N/A</v>
      </c>
      <c r="O90" t="e">
        <f t="shared" si="17"/>
        <v>#N/A</v>
      </c>
      <c r="P90" t="e">
        <f t="shared" si="17"/>
        <v>#N/A</v>
      </c>
      <c r="Q90" t="e">
        <f t="shared" si="17"/>
        <v>#N/A</v>
      </c>
      <c r="R90" t="e">
        <f t="shared" si="17"/>
        <v>#N/A</v>
      </c>
      <c r="S90" t="e">
        <f t="shared" si="17"/>
        <v>#N/A</v>
      </c>
      <c r="T90" t="e">
        <f t="shared" si="17"/>
        <v>#N/A</v>
      </c>
      <c r="U90" t="e">
        <f t="shared" si="17"/>
        <v>#N/A</v>
      </c>
      <c r="V90" t="e">
        <f t="shared" si="17"/>
        <v>#N/A</v>
      </c>
      <c r="W90" t="b">
        <v>0</v>
      </c>
      <c r="X90" t="str">
        <f ca="1">IF(DataTbl[[#This Row],[Task Name]]&lt;&gt;0,IF(AND(DataTbl[[#This Row],[Due Date]]&lt;NOW(),OR(DataTbl[[#This Row],[% Progress]]&lt;&gt;1,DataTbl[[#This Row],[Status]]&lt;&gt;"Completed")),"Yes","No"),"No")</f>
        <v>No</v>
      </c>
    </row>
    <row r="91" spans="1:24" x14ac:dyDescent="0.25">
      <c r="A91">
        <f>INDEX(InputTbl[],ROW(DataAgg!A90),MATCH($A$1,InputTbl[#Headers],0))</f>
        <v>0</v>
      </c>
      <c r="B91">
        <f>INDEX(InputTbl[],ROW(DataAgg!B90),MATCH(B$1,InputTbl[#Headers],0))</f>
        <v>0</v>
      </c>
      <c r="C91">
        <f>INDEX(InputTbl[],ROW(DataAgg!C90),MATCH(C$1,InputTbl[#Headers],0))</f>
        <v>0</v>
      </c>
      <c r="D91">
        <f>INDEX(InputTbl[],ROW(DataAgg!D90),MATCH(D$1,InputTbl[#Headers],0))</f>
        <v>0</v>
      </c>
      <c r="E91">
        <f>INDEX(InputTbl[],ROW(DataAgg!E90),MATCH(E$1,InputTbl[#Headers],0))</f>
        <v>0</v>
      </c>
      <c r="F91" s="10">
        <f>INDEX(InputTbl[],ROW(DataAgg!F90),MATCH(F$1,InputTbl[#Headers],0))</f>
        <v>0</v>
      </c>
      <c r="G91" s="10">
        <f>INDEX(InputTbl[],ROW(DataAgg!G90),MATCH(G$1,InputTbl[#Headers],0))</f>
        <v>0</v>
      </c>
      <c r="H91">
        <f>INDEX(InputTbl[],ROW(DataAgg!H90),MATCH(H$1,InputTbl[#Headers],0))</f>
        <v>0</v>
      </c>
      <c r="I91">
        <f>INDEX(InputTbl[],ROW(DataAgg!I90),MATCH(I$1,InputTbl[#Headers],0))</f>
        <v>0</v>
      </c>
      <c r="J91" t="e">
        <f t="shared" ca="1" si="13"/>
        <v>#N/A</v>
      </c>
      <c r="K91" t="e">
        <f t="shared" ca="1" si="14"/>
        <v>#N/A</v>
      </c>
      <c r="L91" t="e">
        <f t="shared" ca="1" si="15"/>
        <v>#N/A</v>
      </c>
      <c r="M91" t="e">
        <f t="shared" si="17"/>
        <v>#N/A</v>
      </c>
      <c r="N91" t="e">
        <f t="shared" si="17"/>
        <v>#N/A</v>
      </c>
      <c r="O91" t="e">
        <f t="shared" si="17"/>
        <v>#N/A</v>
      </c>
      <c r="P91" t="e">
        <f t="shared" si="17"/>
        <v>#N/A</v>
      </c>
      <c r="Q91" t="e">
        <f t="shared" si="17"/>
        <v>#N/A</v>
      </c>
      <c r="R91" t="e">
        <f t="shared" si="17"/>
        <v>#N/A</v>
      </c>
      <c r="S91" t="e">
        <f t="shared" si="17"/>
        <v>#N/A</v>
      </c>
      <c r="T91" t="e">
        <f t="shared" si="17"/>
        <v>#N/A</v>
      </c>
      <c r="U91" t="e">
        <f t="shared" si="17"/>
        <v>#N/A</v>
      </c>
      <c r="V91" t="e">
        <f t="shared" si="17"/>
        <v>#N/A</v>
      </c>
      <c r="W91" t="b">
        <v>0</v>
      </c>
      <c r="X91" t="str">
        <f ca="1">IF(DataTbl[[#This Row],[Task Name]]&lt;&gt;0,IF(AND(DataTbl[[#This Row],[Due Date]]&lt;NOW(),OR(DataTbl[[#This Row],[% Progress]]&lt;&gt;1,DataTbl[[#This Row],[Status]]&lt;&gt;"Completed")),"Yes","No"),"No")</f>
        <v>No</v>
      </c>
    </row>
    <row r="92" spans="1:24" x14ac:dyDescent="0.25">
      <c r="A92">
        <f>INDEX(InputTbl[],ROW(DataAgg!A91),MATCH($A$1,InputTbl[#Headers],0))</f>
        <v>0</v>
      </c>
      <c r="B92">
        <f>INDEX(InputTbl[],ROW(DataAgg!B91),MATCH(B$1,InputTbl[#Headers],0))</f>
        <v>0</v>
      </c>
      <c r="C92">
        <f>INDEX(InputTbl[],ROW(DataAgg!C91),MATCH(C$1,InputTbl[#Headers],0))</f>
        <v>0</v>
      </c>
      <c r="D92">
        <f>INDEX(InputTbl[],ROW(DataAgg!D91),MATCH(D$1,InputTbl[#Headers],0))</f>
        <v>0</v>
      </c>
      <c r="E92">
        <f>INDEX(InputTbl[],ROW(DataAgg!E91),MATCH(E$1,InputTbl[#Headers],0))</f>
        <v>0</v>
      </c>
      <c r="F92" s="10">
        <f>INDEX(InputTbl[],ROW(DataAgg!F91),MATCH(F$1,InputTbl[#Headers],0))</f>
        <v>0</v>
      </c>
      <c r="G92" s="10">
        <f>INDEX(InputTbl[],ROW(DataAgg!G91),MATCH(G$1,InputTbl[#Headers],0))</f>
        <v>0</v>
      </c>
      <c r="H92">
        <f>INDEX(InputTbl[],ROW(DataAgg!H91),MATCH(H$1,InputTbl[#Headers],0))</f>
        <v>0</v>
      </c>
      <c r="I92">
        <f>INDEX(InputTbl[],ROW(DataAgg!I91),MATCH(I$1,InputTbl[#Headers],0))</f>
        <v>0</v>
      </c>
      <c r="J92" t="e">
        <f t="shared" ca="1" si="13"/>
        <v>#N/A</v>
      </c>
      <c r="K92" t="e">
        <f t="shared" ca="1" si="14"/>
        <v>#N/A</v>
      </c>
      <c r="L92" t="e">
        <f t="shared" ca="1" si="15"/>
        <v>#N/A</v>
      </c>
      <c r="M92" t="e">
        <f t="shared" ref="M92:V100" si="18">IF(MATCH($H92,StatusOptions,0)=COLUMN(M:M)-12,"TRUE","FALSE")</f>
        <v>#N/A</v>
      </c>
      <c r="N92" t="e">
        <f t="shared" si="18"/>
        <v>#N/A</v>
      </c>
      <c r="O92" t="e">
        <f t="shared" si="18"/>
        <v>#N/A</v>
      </c>
      <c r="P92" t="e">
        <f t="shared" si="18"/>
        <v>#N/A</v>
      </c>
      <c r="Q92" t="e">
        <f t="shared" si="18"/>
        <v>#N/A</v>
      </c>
      <c r="R92" t="e">
        <f t="shared" si="18"/>
        <v>#N/A</v>
      </c>
      <c r="S92" t="e">
        <f t="shared" si="18"/>
        <v>#N/A</v>
      </c>
      <c r="T92" t="e">
        <f t="shared" si="18"/>
        <v>#N/A</v>
      </c>
      <c r="U92" t="e">
        <f t="shared" si="18"/>
        <v>#N/A</v>
      </c>
      <c r="V92" t="e">
        <f t="shared" si="18"/>
        <v>#N/A</v>
      </c>
      <c r="W92" t="b">
        <v>0</v>
      </c>
      <c r="X92" t="str">
        <f ca="1">IF(DataTbl[[#This Row],[Task Name]]&lt;&gt;0,IF(AND(DataTbl[[#This Row],[Due Date]]&lt;NOW(),OR(DataTbl[[#This Row],[% Progress]]&lt;&gt;1,DataTbl[[#This Row],[Status]]&lt;&gt;"Completed")),"Yes","No"),"No")</f>
        <v>No</v>
      </c>
    </row>
    <row r="93" spans="1:24" x14ac:dyDescent="0.25">
      <c r="A93">
        <f>INDEX(InputTbl[],ROW(DataAgg!A92),MATCH($A$1,InputTbl[#Headers],0))</f>
        <v>0</v>
      </c>
      <c r="B93">
        <f>INDEX(InputTbl[],ROW(DataAgg!B92),MATCH(B$1,InputTbl[#Headers],0))</f>
        <v>0</v>
      </c>
      <c r="C93">
        <f>INDEX(InputTbl[],ROW(DataAgg!C92),MATCH(C$1,InputTbl[#Headers],0))</f>
        <v>0</v>
      </c>
      <c r="D93">
        <f>INDEX(InputTbl[],ROW(DataAgg!D92),MATCH(D$1,InputTbl[#Headers],0))</f>
        <v>0</v>
      </c>
      <c r="E93">
        <f>INDEX(InputTbl[],ROW(DataAgg!E92),MATCH(E$1,InputTbl[#Headers],0))</f>
        <v>0</v>
      </c>
      <c r="F93" s="10">
        <f>INDEX(InputTbl[],ROW(DataAgg!F92),MATCH(F$1,InputTbl[#Headers],0))</f>
        <v>0</v>
      </c>
      <c r="G93" s="10">
        <f>INDEX(InputTbl[],ROW(DataAgg!G92),MATCH(G$1,InputTbl[#Headers],0))</f>
        <v>0</v>
      </c>
      <c r="H93">
        <f>INDEX(InputTbl[],ROW(DataAgg!H92),MATCH(H$1,InputTbl[#Headers],0))</f>
        <v>0</v>
      </c>
      <c r="I93">
        <f>INDEX(InputTbl[],ROW(DataAgg!I92),MATCH(I$1,InputTbl[#Headers],0))</f>
        <v>0</v>
      </c>
      <c r="J93" t="e">
        <f t="shared" ca="1" si="13"/>
        <v>#N/A</v>
      </c>
      <c r="K93" t="e">
        <f t="shared" ca="1" si="14"/>
        <v>#N/A</v>
      </c>
      <c r="L93" t="e">
        <f t="shared" ca="1" si="15"/>
        <v>#N/A</v>
      </c>
      <c r="M93" t="e">
        <f t="shared" si="18"/>
        <v>#N/A</v>
      </c>
      <c r="N93" t="e">
        <f t="shared" si="18"/>
        <v>#N/A</v>
      </c>
      <c r="O93" t="e">
        <f t="shared" si="18"/>
        <v>#N/A</v>
      </c>
      <c r="P93" t="e">
        <f t="shared" si="18"/>
        <v>#N/A</v>
      </c>
      <c r="Q93" t="e">
        <f t="shared" si="18"/>
        <v>#N/A</v>
      </c>
      <c r="R93" t="e">
        <f t="shared" si="18"/>
        <v>#N/A</v>
      </c>
      <c r="S93" t="e">
        <f t="shared" si="18"/>
        <v>#N/A</v>
      </c>
      <c r="T93" t="e">
        <f t="shared" si="18"/>
        <v>#N/A</v>
      </c>
      <c r="U93" t="e">
        <f t="shared" si="18"/>
        <v>#N/A</v>
      </c>
      <c r="V93" t="e">
        <f t="shared" si="18"/>
        <v>#N/A</v>
      </c>
      <c r="W93" t="b">
        <v>0</v>
      </c>
      <c r="X93" t="str">
        <f ca="1">IF(DataTbl[[#This Row],[Task Name]]&lt;&gt;0,IF(AND(DataTbl[[#This Row],[Due Date]]&lt;NOW(),OR(DataTbl[[#This Row],[% Progress]]&lt;&gt;1,DataTbl[[#This Row],[Status]]&lt;&gt;"Completed")),"Yes","No"),"No")</f>
        <v>No</v>
      </c>
    </row>
    <row r="94" spans="1:24" x14ac:dyDescent="0.25">
      <c r="A94">
        <f>INDEX(InputTbl[],ROW(DataAgg!A93),MATCH($A$1,InputTbl[#Headers],0))</f>
        <v>0</v>
      </c>
      <c r="B94">
        <f>INDEX(InputTbl[],ROW(DataAgg!B93),MATCH(B$1,InputTbl[#Headers],0))</f>
        <v>0</v>
      </c>
      <c r="C94">
        <f>INDEX(InputTbl[],ROW(DataAgg!C93),MATCH(C$1,InputTbl[#Headers],0))</f>
        <v>0</v>
      </c>
      <c r="D94">
        <f>INDEX(InputTbl[],ROW(DataAgg!D93),MATCH(D$1,InputTbl[#Headers],0))</f>
        <v>0</v>
      </c>
      <c r="E94">
        <f>INDEX(InputTbl[],ROW(DataAgg!E93),MATCH(E$1,InputTbl[#Headers],0))</f>
        <v>0</v>
      </c>
      <c r="F94" s="10">
        <f>INDEX(InputTbl[],ROW(DataAgg!F93),MATCH(F$1,InputTbl[#Headers],0))</f>
        <v>0</v>
      </c>
      <c r="G94" s="10">
        <f>INDEX(InputTbl[],ROW(DataAgg!G93),MATCH(G$1,InputTbl[#Headers],0))</f>
        <v>0</v>
      </c>
      <c r="H94">
        <f>INDEX(InputTbl[],ROW(DataAgg!H93),MATCH(H$1,InputTbl[#Headers],0))</f>
        <v>0</v>
      </c>
      <c r="I94">
        <f>INDEX(InputTbl[],ROW(DataAgg!I93),MATCH(I$1,InputTbl[#Headers],0))</f>
        <v>0</v>
      </c>
      <c r="J94" t="e">
        <f t="shared" ca="1" si="13"/>
        <v>#N/A</v>
      </c>
      <c r="K94" t="e">
        <f t="shared" ca="1" si="14"/>
        <v>#N/A</v>
      </c>
      <c r="L94" t="e">
        <f t="shared" ca="1" si="15"/>
        <v>#N/A</v>
      </c>
      <c r="M94" t="e">
        <f t="shared" si="18"/>
        <v>#N/A</v>
      </c>
      <c r="N94" t="e">
        <f t="shared" si="18"/>
        <v>#N/A</v>
      </c>
      <c r="O94" t="e">
        <f t="shared" si="18"/>
        <v>#N/A</v>
      </c>
      <c r="P94" t="e">
        <f t="shared" si="18"/>
        <v>#N/A</v>
      </c>
      <c r="Q94" t="e">
        <f t="shared" si="18"/>
        <v>#N/A</v>
      </c>
      <c r="R94" t="e">
        <f t="shared" si="18"/>
        <v>#N/A</v>
      </c>
      <c r="S94" t="e">
        <f t="shared" si="18"/>
        <v>#N/A</v>
      </c>
      <c r="T94" t="e">
        <f t="shared" si="18"/>
        <v>#N/A</v>
      </c>
      <c r="U94" t="e">
        <f t="shared" si="18"/>
        <v>#N/A</v>
      </c>
      <c r="V94" t="e">
        <f t="shared" si="18"/>
        <v>#N/A</v>
      </c>
      <c r="W94" t="b">
        <v>0</v>
      </c>
      <c r="X94" t="str">
        <f ca="1">IF(DataTbl[[#This Row],[Task Name]]&lt;&gt;0,IF(AND(DataTbl[[#This Row],[Due Date]]&lt;NOW(),OR(DataTbl[[#This Row],[% Progress]]&lt;&gt;1,DataTbl[[#This Row],[Status]]&lt;&gt;"Completed")),"Yes","No"),"No")</f>
        <v>No</v>
      </c>
    </row>
    <row r="95" spans="1:24" x14ac:dyDescent="0.25">
      <c r="A95">
        <f>INDEX(InputTbl[],ROW(DataAgg!A94),MATCH($A$1,InputTbl[#Headers],0))</f>
        <v>0</v>
      </c>
      <c r="B95">
        <f>INDEX(InputTbl[],ROW(DataAgg!B94),MATCH(B$1,InputTbl[#Headers],0))</f>
        <v>0</v>
      </c>
      <c r="C95">
        <f>INDEX(InputTbl[],ROW(DataAgg!C94),MATCH(C$1,InputTbl[#Headers],0))</f>
        <v>0</v>
      </c>
      <c r="D95">
        <f>INDEX(InputTbl[],ROW(DataAgg!D94),MATCH(D$1,InputTbl[#Headers],0))</f>
        <v>0</v>
      </c>
      <c r="E95">
        <f>INDEX(InputTbl[],ROW(DataAgg!E94),MATCH(E$1,InputTbl[#Headers],0))</f>
        <v>0</v>
      </c>
      <c r="F95" s="10">
        <f>INDEX(InputTbl[],ROW(DataAgg!F94),MATCH(F$1,InputTbl[#Headers],0))</f>
        <v>0</v>
      </c>
      <c r="G95" s="10">
        <f>INDEX(InputTbl[],ROW(DataAgg!G94),MATCH(G$1,InputTbl[#Headers],0))</f>
        <v>0</v>
      </c>
      <c r="H95">
        <f>INDEX(InputTbl[],ROW(DataAgg!H94),MATCH(H$1,InputTbl[#Headers],0))</f>
        <v>0</v>
      </c>
      <c r="I95">
        <f>INDEX(InputTbl[],ROW(DataAgg!I94),MATCH(I$1,InputTbl[#Headers],0))</f>
        <v>0</v>
      </c>
      <c r="J95" t="e">
        <f t="shared" ca="1" si="13"/>
        <v>#N/A</v>
      </c>
      <c r="K95" t="e">
        <f t="shared" ca="1" si="14"/>
        <v>#N/A</v>
      </c>
      <c r="L95" t="e">
        <f t="shared" ca="1" si="15"/>
        <v>#N/A</v>
      </c>
      <c r="M95" t="e">
        <f t="shared" si="18"/>
        <v>#N/A</v>
      </c>
      <c r="N95" t="e">
        <f t="shared" si="18"/>
        <v>#N/A</v>
      </c>
      <c r="O95" t="e">
        <f t="shared" si="18"/>
        <v>#N/A</v>
      </c>
      <c r="P95" t="e">
        <f t="shared" si="18"/>
        <v>#N/A</v>
      </c>
      <c r="Q95" t="e">
        <f t="shared" si="18"/>
        <v>#N/A</v>
      </c>
      <c r="R95" t="e">
        <f t="shared" si="18"/>
        <v>#N/A</v>
      </c>
      <c r="S95" t="e">
        <f t="shared" si="18"/>
        <v>#N/A</v>
      </c>
      <c r="T95" t="e">
        <f t="shared" si="18"/>
        <v>#N/A</v>
      </c>
      <c r="U95" t="e">
        <f t="shared" si="18"/>
        <v>#N/A</v>
      </c>
      <c r="V95" t="e">
        <f t="shared" si="18"/>
        <v>#N/A</v>
      </c>
      <c r="W95" t="b">
        <v>0</v>
      </c>
      <c r="X95" t="str">
        <f ca="1">IF(DataTbl[[#This Row],[Task Name]]&lt;&gt;0,IF(AND(DataTbl[[#This Row],[Due Date]]&lt;NOW(),OR(DataTbl[[#This Row],[% Progress]]&lt;&gt;1,DataTbl[[#This Row],[Status]]&lt;&gt;"Completed")),"Yes","No"),"No")</f>
        <v>No</v>
      </c>
    </row>
    <row r="96" spans="1:24" x14ac:dyDescent="0.25">
      <c r="A96">
        <f>INDEX(InputTbl[],ROW(DataAgg!A95),MATCH($A$1,InputTbl[#Headers],0))</f>
        <v>0</v>
      </c>
      <c r="B96">
        <f>INDEX(InputTbl[],ROW(DataAgg!B95),MATCH(B$1,InputTbl[#Headers],0))</f>
        <v>0</v>
      </c>
      <c r="C96">
        <f>INDEX(InputTbl[],ROW(DataAgg!C95),MATCH(C$1,InputTbl[#Headers],0))</f>
        <v>0</v>
      </c>
      <c r="D96">
        <f>INDEX(InputTbl[],ROW(DataAgg!D95),MATCH(D$1,InputTbl[#Headers],0))</f>
        <v>0</v>
      </c>
      <c r="E96">
        <f>INDEX(InputTbl[],ROW(DataAgg!E95),MATCH(E$1,InputTbl[#Headers],0))</f>
        <v>0</v>
      </c>
      <c r="F96" s="10">
        <f>INDEX(InputTbl[],ROW(DataAgg!F95),MATCH(F$1,InputTbl[#Headers],0))</f>
        <v>0</v>
      </c>
      <c r="G96" s="10">
        <f>INDEX(InputTbl[],ROW(DataAgg!G95),MATCH(G$1,InputTbl[#Headers],0))</f>
        <v>0</v>
      </c>
      <c r="H96">
        <f>INDEX(InputTbl[],ROW(DataAgg!H95),MATCH(H$1,InputTbl[#Headers],0))</f>
        <v>0</v>
      </c>
      <c r="I96">
        <f>INDEX(InputTbl[],ROW(DataAgg!I95),MATCH(I$1,InputTbl[#Headers],0))</f>
        <v>0</v>
      </c>
      <c r="J96" t="e">
        <f t="shared" ca="1" si="13"/>
        <v>#N/A</v>
      </c>
      <c r="K96" t="e">
        <f t="shared" ca="1" si="14"/>
        <v>#N/A</v>
      </c>
      <c r="L96" t="e">
        <f t="shared" ca="1" si="15"/>
        <v>#N/A</v>
      </c>
      <c r="M96" t="e">
        <f t="shared" si="18"/>
        <v>#N/A</v>
      </c>
      <c r="N96" t="e">
        <f t="shared" si="18"/>
        <v>#N/A</v>
      </c>
      <c r="O96" t="e">
        <f t="shared" si="18"/>
        <v>#N/A</v>
      </c>
      <c r="P96" t="e">
        <f t="shared" si="18"/>
        <v>#N/A</v>
      </c>
      <c r="Q96" t="e">
        <f t="shared" si="18"/>
        <v>#N/A</v>
      </c>
      <c r="R96" t="e">
        <f t="shared" si="18"/>
        <v>#N/A</v>
      </c>
      <c r="S96" t="e">
        <f t="shared" si="18"/>
        <v>#N/A</v>
      </c>
      <c r="T96" t="e">
        <f t="shared" si="18"/>
        <v>#N/A</v>
      </c>
      <c r="U96" t="e">
        <f t="shared" si="18"/>
        <v>#N/A</v>
      </c>
      <c r="V96" t="e">
        <f t="shared" si="18"/>
        <v>#N/A</v>
      </c>
      <c r="W96" t="b">
        <v>0</v>
      </c>
      <c r="X96" t="str">
        <f ca="1">IF(DataTbl[[#This Row],[Task Name]]&lt;&gt;0,IF(AND(DataTbl[[#This Row],[Due Date]]&lt;NOW(),OR(DataTbl[[#This Row],[% Progress]]&lt;&gt;1,DataTbl[[#This Row],[Status]]&lt;&gt;"Completed")),"Yes","No"),"No")</f>
        <v>No</v>
      </c>
    </row>
    <row r="97" spans="1:24" x14ac:dyDescent="0.25">
      <c r="A97">
        <f>INDEX(InputTbl[],ROW(DataAgg!A96),MATCH($A$1,InputTbl[#Headers],0))</f>
        <v>0</v>
      </c>
      <c r="B97">
        <f>INDEX(InputTbl[],ROW(DataAgg!B96),MATCH(B$1,InputTbl[#Headers],0))</f>
        <v>0</v>
      </c>
      <c r="C97">
        <f>INDEX(InputTbl[],ROW(DataAgg!C96),MATCH(C$1,InputTbl[#Headers],0))</f>
        <v>0</v>
      </c>
      <c r="D97">
        <f>INDEX(InputTbl[],ROW(DataAgg!D96),MATCH(D$1,InputTbl[#Headers],0))</f>
        <v>0</v>
      </c>
      <c r="E97">
        <f>INDEX(InputTbl[],ROW(DataAgg!E96),MATCH(E$1,InputTbl[#Headers],0))</f>
        <v>0</v>
      </c>
      <c r="F97" s="10">
        <f>INDEX(InputTbl[],ROW(DataAgg!F96),MATCH(F$1,InputTbl[#Headers],0))</f>
        <v>0</v>
      </c>
      <c r="G97" s="10">
        <f>INDEX(InputTbl[],ROW(DataAgg!G96),MATCH(G$1,InputTbl[#Headers],0))</f>
        <v>0</v>
      </c>
      <c r="H97">
        <f>INDEX(InputTbl[],ROW(DataAgg!H96),MATCH(H$1,InputTbl[#Headers],0))</f>
        <v>0</v>
      </c>
      <c r="I97">
        <f>INDEX(InputTbl[],ROW(DataAgg!I96),MATCH(I$1,InputTbl[#Headers],0))</f>
        <v>0</v>
      </c>
      <c r="J97" t="e">
        <f t="shared" ca="1" si="13"/>
        <v>#N/A</v>
      </c>
      <c r="K97" t="e">
        <f t="shared" ca="1" si="14"/>
        <v>#N/A</v>
      </c>
      <c r="L97" t="e">
        <f t="shared" ca="1" si="15"/>
        <v>#N/A</v>
      </c>
      <c r="M97" t="e">
        <f t="shared" si="18"/>
        <v>#N/A</v>
      </c>
      <c r="N97" t="e">
        <f t="shared" si="18"/>
        <v>#N/A</v>
      </c>
      <c r="O97" t="e">
        <f t="shared" si="18"/>
        <v>#N/A</v>
      </c>
      <c r="P97" t="e">
        <f t="shared" si="18"/>
        <v>#N/A</v>
      </c>
      <c r="Q97" t="e">
        <f t="shared" si="18"/>
        <v>#N/A</v>
      </c>
      <c r="R97" t="e">
        <f t="shared" si="18"/>
        <v>#N/A</v>
      </c>
      <c r="S97" t="e">
        <f t="shared" si="18"/>
        <v>#N/A</v>
      </c>
      <c r="T97" t="e">
        <f t="shared" si="18"/>
        <v>#N/A</v>
      </c>
      <c r="U97" t="e">
        <f t="shared" si="18"/>
        <v>#N/A</v>
      </c>
      <c r="V97" t="e">
        <f t="shared" si="18"/>
        <v>#N/A</v>
      </c>
      <c r="W97" t="b">
        <v>0</v>
      </c>
      <c r="X97" t="str">
        <f ca="1">IF(DataTbl[[#This Row],[Task Name]]&lt;&gt;0,IF(AND(DataTbl[[#This Row],[Due Date]]&lt;NOW(),OR(DataTbl[[#This Row],[% Progress]]&lt;&gt;1,DataTbl[[#This Row],[Status]]&lt;&gt;"Completed")),"Yes","No"),"No")</f>
        <v>No</v>
      </c>
    </row>
    <row r="98" spans="1:24" x14ac:dyDescent="0.25">
      <c r="A98">
        <f>INDEX(InputTbl[],ROW(DataAgg!A97),MATCH($A$1,InputTbl[#Headers],0))</f>
        <v>0</v>
      </c>
      <c r="B98">
        <f>INDEX(InputTbl[],ROW(DataAgg!B97),MATCH(B$1,InputTbl[#Headers],0))</f>
        <v>0</v>
      </c>
      <c r="C98">
        <f>INDEX(InputTbl[],ROW(DataAgg!C97),MATCH(C$1,InputTbl[#Headers],0))</f>
        <v>0</v>
      </c>
      <c r="D98">
        <f>INDEX(InputTbl[],ROW(DataAgg!D97),MATCH(D$1,InputTbl[#Headers],0))</f>
        <v>0</v>
      </c>
      <c r="E98">
        <f>INDEX(InputTbl[],ROW(DataAgg!E97),MATCH(E$1,InputTbl[#Headers],0))</f>
        <v>0</v>
      </c>
      <c r="F98" s="10">
        <f>INDEX(InputTbl[],ROW(DataAgg!F97),MATCH(F$1,InputTbl[#Headers],0))</f>
        <v>0</v>
      </c>
      <c r="G98" s="10">
        <f>INDEX(InputTbl[],ROW(DataAgg!G97),MATCH(G$1,InputTbl[#Headers],0))</f>
        <v>0</v>
      </c>
      <c r="H98">
        <f>INDEX(InputTbl[],ROW(DataAgg!H97),MATCH(H$1,InputTbl[#Headers],0))</f>
        <v>0</v>
      </c>
      <c r="I98">
        <f>INDEX(InputTbl[],ROW(DataAgg!I97),MATCH(I$1,InputTbl[#Headers],0))</f>
        <v>0</v>
      </c>
      <c r="J98" t="e">
        <f t="shared" ref="J98:J110" ca="1" si="19">MATCH(B98,KanbanBoards,0)</f>
        <v>#N/A</v>
      </c>
      <c r="K98" t="e">
        <f t="shared" ref="K98:K110" ca="1" si="20">MATCH(C98,Projects,0)</f>
        <v>#N/A</v>
      </c>
      <c r="L98" t="e">
        <f t="shared" ref="L98:L110" ca="1" si="21">MATCH(D98,TeamMembers,0)</f>
        <v>#N/A</v>
      </c>
      <c r="M98" t="e">
        <f t="shared" si="18"/>
        <v>#N/A</v>
      </c>
      <c r="N98" t="e">
        <f t="shared" si="18"/>
        <v>#N/A</v>
      </c>
      <c r="O98" t="e">
        <f t="shared" si="18"/>
        <v>#N/A</v>
      </c>
      <c r="P98" t="e">
        <f t="shared" si="18"/>
        <v>#N/A</v>
      </c>
      <c r="Q98" t="e">
        <f t="shared" si="18"/>
        <v>#N/A</v>
      </c>
      <c r="R98" t="e">
        <f t="shared" si="18"/>
        <v>#N/A</v>
      </c>
      <c r="S98" t="e">
        <f t="shared" si="18"/>
        <v>#N/A</v>
      </c>
      <c r="T98" t="e">
        <f t="shared" si="18"/>
        <v>#N/A</v>
      </c>
      <c r="U98" t="e">
        <f t="shared" si="18"/>
        <v>#N/A</v>
      </c>
      <c r="V98" t="e">
        <f t="shared" si="18"/>
        <v>#N/A</v>
      </c>
      <c r="W98" t="b">
        <v>0</v>
      </c>
      <c r="X98" t="str">
        <f ca="1">IF(DataTbl[[#This Row],[Task Name]]&lt;&gt;0,IF(AND(DataTbl[[#This Row],[Due Date]]&lt;NOW(),OR(DataTbl[[#This Row],[% Progress]]&lt;&gt;1,DataTbl[[#This Row],[Status]]&lt;&gt;"Completed")),"Yes","No"),"No")</f>
        <v>No</v>
      </c>
    </row>
    <row r="99" spans="1:24" ht="15.75" thickBot="1" x14ac:dyDescent="0.3">
      <c r="A99">
        <f>INDEX(InputTbl[],ROW(DataAgg!A98),MATCH($A$1,InputTbl[#Headers],0))</f>
        <v>0</v>
      </c>
      <c r="B99">
        <f>INDEX(InputTbl[],ROW(DataAgg!B98),MATCH(B$1,InputTbl[#Headers],0))</f>
        <v>0</v>
      </c>
      <c r="C99">
        <f>INDEX(InputTbl[],ROW(DataAgg!C98),MATCH(C$1,InputTbl[#Headers],0))</f>
        <v>0</v>
      </c>
      <c r="D99">
        <f>INDEX(InputTbl[],ROW(DataAgg!D98),MATCH(D$1,InputTbl[#Headers],0))</f>
        <v>0</v>
      </c>
      <c r="E99">
        <f>INDEX(InputTbl[],ROW(DataAgg!E98),MATCH(E$1,InputTbl[#Headers],0))</f>
        <v>0</v>
      </c>
      <c r="F99" s="10">
        <f>INDEX(InputTbl[],ROW(DataAgg!F98),MATCH(F$1,InputTbl[#Headers],0))</f>
        <v>0</v>
      </c>
      <c r="G99" s="10">
        <f>INDEX(InputTbl[],ROW(DataAgg!G98),MATCH(G$1,InputTbl[#Headers],0))</f>
        <v>0</v>
      </c>
      <c r="H99">
        <f>INDEX(InputTbl[],ROW(DataAgg!H98),MATCH(H$1,InputTbl[#Headers],0))</f>
        <v>0</v>
      </c>
      <c r="I99">
        <f>INDEX(InputTbl[],ROW(DataAgg!I98),MATCH(I$1,InputTbl[#Headers],0))</f>
        <v>0</v>
      </c>
      <c r="J99" t="e">
        <f t="shared" ca="1" si="19"/>
        <v>#N/A</v>
      </c>
      <c r="K99" t="e">
        <f t="shared" ca="1" si="20"/>
        <v>#N/A</v>
      </c>
      <c r="L99" t="e">
        <f t="shared" ca="1" si="21"/>
        <v>#N/A</v>
      </c>
      <c r="M99" t="e">
        <f t="shared" si="18"/>
        <v>#N/A</v>
      </c>
      <c r="N99" t="e">
        <f t="shared" si="18"/>
        <v>#N/A</v>
      </c>
      <c r="O99" t="e">
        <f t="shared" si="18"/>
        <v>#N/A</v>
      </c>
      <c r="P99" t="e">
        <f t="shared" si="18"/>
        <v>#N/A</v>
      </c>
      <c r="Q99" t="e">
        <f t="shared" si="18"/>
        <v>#N/A</v>
      </c>
      <c r="R99" t="e">
        <f t="shared" si="18"/>
        <v>#N/A</v>
      </c>
      <c r="S99" t="e">
        <f t="shared" si="18"/>
        <v>#N/A</v>
      </c>
      <c r="T99" t="e">
        <f t="shared" si="18"/>
        <v>#N/A</v>
      </c>
      <c r="U99" t="e">
        <f t="shared" si="18"/>
        <v>#N/A</v>
      </c>
      <c r="V99" t="e">
        <f t="shared" si="18"/>
        <v>#N/A</v>
      </c>
      <c r="W99" t="b">
        <v>0</v>
      </c>
      <c r="X99" t="str">
        <f ca="1">IF(DataTbl[[#This Row],[Task Name]]&lt;&gt;0,IF(AND(DataTbl[[#This Row],[Due Date]]&lt;NOW(),OR(DataTbl[[#This Row],[% Progress]]&lt;&gt;1,DataTbl[[#This Row],[Status]]&lt;&gt;"Completed")),"Yes","No"),"No")</f>
        <v>No</v>
      </c>
    </row>
    <row r="100" spans="1:24" s="15" customFormat="1" ht="15.75" thickBot="1" x14ac:dyDescent="0.3">
      <c r="A100" s="14">
        <f>INDEX(InputTbl[],ROW(DataAgg!A99),MATCH($A$1,InputTbl[#Headers],0))</f>
        <v>0</v>
      </c>
      <c r="B100" s="15">
        <f>INDEX(InputTbl[],ROW(DataAgg!B99),MATCH(B$1,InputTbl[#Headers],0))</f>
        <v>0</v>
      </c>
      <c r="C100" s="15">
        <f>INDEX(InputTbl[],ROW(DataAgg!C99),MATCH(C$1,InputTbl[#Headers],0))</f>
        <v>0</v>
      </c>
      <c r="D100" s="15">
        <f>INDEX(InputTbl[],ROW(DataAgg!D99),MATCH(D$1,InputTbl[#Headers],0))</f>
        <v>0</v>
      </c>
      <c r="E100" s="15">
        <f>INDEX(InputTbl[],ROW(DataAgg!E99),MATCH(E$1,InputTbl[#Headers],0))</f>
        <v>0</v>
      </c>
      <c r="F100" s="16">
        <f>INDEX(InputTbl[],ROW(DataAgg!F99),MATCH(F$1,InputTbl[#Headers],0))</f>
        <v>0</v>
      </c>
      <c r="G100" s="16">
        <f>INDEX(InputTbl[],ROW(DataAgg!G99),MATCH(G$1,InputTbl[#Headers],0))</f>
        <v>0</v>
      </c>
      <c r="H100" s="15">
        <f>INDEX(InputTbl[],ROW(DataAgg!H99),MATCH(H$1,InputTbl[#Headers],0))</f>
        <v>0</v>
      </c>
      <c r="I100" s="15">
        <f>INDEX(InputTbl[],ROW(DataAgg!I99),MATCH(I$1,InputTbl[#Headers],0))</f>
        <v>0</v>
      </c>
      <c r="J100" s="15" t="e">
        <f t="shared" ca="1" si="19"/>
        <v>#N/A</v>
      </c>
      <c r="K100" s="15" t="e">
        <f t="shared" ca="1" si="20"/>
        <v>#N/A</v>
      </c>
      <c r="L100" s="15" t="e">
        <f t="shared" ca="1" si="21"/>
        <v>#N/A</v>
      </c>
      <c r="M100" s="15" t="e">
        <f t="shared" si="18"/>
        <v>#N/A</v>
      </c>
      <c r="N100" s="15" t="e">
        <f t="shared" si="18"/>
        <v>#N/A</v>
      </c>
      <c r="O100" s="15" t="e">
        <f t="shared" si="18"/>
        <v>#N/A</v>
      </c>
      <c r="P100" s="15" t="e">
        <f t="shared" si="18"/>
        <v>#N/A</v>
      </c>
      <c r="Q100" s="15" t="e">
        <f t="shared" si="18"/>
        <v>#N/A</v>
      </c>
      <c r="R100" s="15" t="e">
        <f t="shared" si="18"/>
        <v>#N/A</v>
      </c>
      <c r="S100" s="15" t="e">
        <f t="shared" si="18"/>
        <v>#N/A</v>
      </c>
      <c r="T100" s="15" t="e">
        <f t="shared" si="18"/>
        <v>#N/A</v>
      </c>
      <c r="U100" s="15" t="e">
        <f t="shared" si="18"/>
        <v>#N/A</v>
      </c>
      <c r="V100" s="15" t="e">
        <f t="shared" si="18"/>
        <v>#N/A</v>
      </c>
      <c r="W100" t="b">
        <v>0</v>
      </c>
      <c r="X100" t="str">
        <f ca="1">IF(DataTbl[[#This Row],[Task Name]]&lt;&gt;0,IF(AND(DataTbl[[#This Row],[Due Date]]&lt;NOW(),OR(DataTbl[[#This Row],[% Progress]]&lt;&gt;1,DataTbl[[#This Row],[Status]]&lt;&gt;"Completed")),"Yes","No"),"No")</f>
        <v>No</v>
      </c>
    </row>
    <row r="101" spans="1:24" x14ac:dyDescent="0.25">
      <c r="A101" t="s">
        <v>44</v>
      </c>
      <c r="B101" t="e">
        <f>INDEX(InputTbl[],ROW(DataAgg!B100),MATCH(B$1,InputTbl[#Headers],0))</f>
        <v>#REF!</v>
      </c>
      <c r="C101" t="e">
        <f>INDEX(InputTbl[],ROW(DataAgg!C100),MATCH(C$1,InputTbl[#Headers],0))</f>
        <v>#REF!</v>
      </c>
      <c r="D101" t="e">
        <f>INDEX(InputTbl[],ROW(DataAgg!D100),MATCH(D$1,InputTbl[#Headers],0))</f>
        <v>#REF!</v>
      </c>
      <c r="E101" t="e">
        <f>INDEX(InputTbl[],ROW(DataAgg!E100),MATCH(E$1,InputTbl[#Headers],0))</f>
        <v>#REF!</v>
      </c>
      <c r="F101" s="10" t="e">
        <f>INDEX(InputTbl[],ROW(DataAgg!F100),MATCH(F$1,InputTbl[#Headers],0))</f>
        <v>#REF!</v>
      </c>
      <c r="G101" s="10" t="e">
        <f>INDEX(InputTbl[],ROW(DataAgg!G100),MATCH(G$1,InputTbl[#Headers],0))</f>
        <v>#REF!</v>
      </c>
      <c r="H101">
        <v>1</v>
      </c>
      <c r="I101" t="e">
        <f>INDEX(InputTbl[],ROW(DataAgg!I100),MATCH(I$1,InputTbl[#Headers],0))</f>
        <v>#REF!</v>
      </c>
      <c r="J101" t="e">
        <f t="shared" ca="1" si="19"/>
        <v>#REF!</v>
      </c>
      <c r="K101" t="e">
        <f t="shared" ca="1" si="20"/>
        <v>#REF!</v>
      </c>
      <c r="L101" t="e">
        <f t="shared" ca="1" si="21"/>
        <v>#REF!</v>
      </c>
      <c r="M101" t="e">
        <f>IF(MATCH($H101,StatusOptions,0)=COLUMN(M:M)-12,"TRUE","FALSE")</f>
        <v>#N/A</v>
      </c>
      <c r="N101" t="e">
        <f t="shared" ref="N101:V101" si="22">IF(MATCH($H101,StatusOptions,0)=COLUMN(N:N)-12,"TRUE","FALSE")</f>
        <v>#N/A</v>
      </c>
      <c r="O101" t="e">
        <f t="shared" si="22"/>
        <v>#N/A</v>
      </c>
      <c r="P101" t="e">
        <f t="shared" si="22"/>
        <v>#N/A</v>
      </c>
      <c r="Q101" t="e">
        <f t="shared" si="22"/>
        <v>#N/A</v>
      </c>
      <c r="R101" t="e">
        <f t="shared" si="22"/>
        <v>#N/A</v>
      </c>
      <c r="S101" t="e">
        <f t="shared" si="22"/>
        <v>#N/A</v>
      </c>
      <c r="T101" t="e">
        <f t="shared" si="22"/>
        <v>#N/A</v>
      </c>
      <c r="U101" t="e">
        <f t="shared" si="22"/>
        <v>#N/A</v>
      </c>
      <c r="V101" t="e">
        <f t="shared" si="22"/>
        <v>#N/A</v>
      </c>
      <c r="W101" t="b">
        <v>1</v>
      </c>
      <c r="X101" t="s">
        <v>71</v>
      </c>
    </row>
    <row r="102" spans="1:24" x14ac:dyDescent="0.25">
      <c r="A102" t="s">
        <v>45</v>
      </c>
      <c r="B102" t="e">
        <f>INDEX(InputTbl[],ROW(DataAgg!B101),MATCH(B$1,InputTbl[#Headers],0))</f>
        <v>#REF!</v>
      </c>
      <c r="C102" t="e">
        <f>INDEX(InputTbl[],ROW(DataAgg!C101),MATCH(C$1,InputTbl[#Headers],0))</f>
        <v>#REF!</v>
      </c>
      <c r="D102" t="e">
        <f>INDEX(InputTbl[],ROW(DataAgg!D101),MATCH(D$1,InputTbl[#Headers],0))</f>
        <v>#REF!</v>
      </c>
      <c r="E102" t="e">
        <f>INDEX(InputTbl[],ROW(DataAgg!E101),MATCH(E$1,InputTbl[#Headers],0))</f>
        <v>#REF!</v>
      </c>
      <c r="F102" s="10" t="e">
        <f>INDEX(InputTbl[],ROW(DataAgg!F101),MATCH(F$1,InputTbl[#Headers],0))</f>
        <v>#REF!</v>
      </c>
      <c r="G102" s="10" t="e">
        <f>INDEX(InputTbl[],ROW(DataAgg!G101),MATCH(G$1,InputTbl[#Headers],0))</f>
        <v>#REF!</v>
      </c>
      <c r="H102">
        <v>2</v>
      </c>
      <c r="I102" t="e">
        <f>INDEX(InputTbl[],ROW(DataAgg!I101),MATCH(I$1,InputTbl[#Headers],0))</f>
        <v>#REF!</v>
      </c>
      <c r="J102" t="e">
        <f t="shared" ca="1" si="19"/>
        <v>#REF!</v>
      </c>
      <c r="K102" t="e">
        <f t="shared" ca="1" si="20"/>
        <v>#REF!</v>
      </c>
      <c r="L102" t="e">
        <f t="shared" ca="1" si="21"/>
        <v>#REF!</v>
      </c>
      <c r="M102" t="e">
        <f t="shared" ref="M102:M110" si="23">IF(MATCH($H102,StatusOptions,0)=COLUMN(M:M)-12,"TRUE","FALSE")</f>
        <v>#N/A</v>
      </c>
      <c r="N102" t="e">
        <f>IF(MATCH($H102,StatusOptions,0)=COLUMN(N:N)-12,"TRUE","FALSE")</f>
        <v>#N/A</v>
      </c>
      <c r="O102" t="e">
        <f t="shared" ref="O102:V102" si="24">IF(MATCH($H102,StatusOptions,0)=COLUMN(O:O)-12,"TRUE","FALSE")</f>
        <v>#N/A</v>
      </c>
      <c r="P102" t="e">
        <f t="shared" si="24"/>
        <v>#N/A</v>
      </c>
      <c r="Q102" t="e">
        <f t="shared" si="24"/>
        <v>#N/A</v>
      </c>
      <c r="R102" t="e">
        <f t="shared" si="24"/>
        <v>#N/A</v>
      </c>
      <c r="S102" t="e">
        <f t="shared" si="24"/>
        <v>#N/A</v>
      </c>
      <c r="T102" t="e">
        <f t="shared" si="24"/>
        <v>#N/A</v>
      </c>
      <c r="U102" t="e">
        <f t="shared" si="24"/>
        <v>#N/A</v>
      </c>
      <c r="V102" t="e">
        <f t="shared" si="24"/>
        <v>#N/A</v>
      </c>
      <c r="W102" t="b">
        <v>1</v>
      </c>
      <c r="X102" t="s">
        <v>71</v>
      </c>
    </row>
    <row r="103" spans="1:24" x14ac:dyDescent="0.25">
      <c r="A103" t="s">
        <v>46</v>
      </c>
      <c r="B103" t="e">
        <f>INDEX(InputTbl[],ROW(DataAgg!B102),MATCH(B$1,InputTbl[#Headers],0))</f>
        <v>#REF!</v>
      </c>
      <c r="C103" t="e">
        <f>INDEX(InputTbl[],ROW(DataAgg!C102),MATCH(C$1,InputTbl[#Headers],0))</f>
        <v>#REF!</v>
      </c>
      <c r="D103" t="e">
        <f>INDEX(InputTbl[],ROW(DataAgg!D102),MATCH(D$1,InputTbl[#Headers],0))</f>
        <v>#REF!</v>
      </c>
      <c r="E103" t="e">
        <f>INDEX(InputTbl[],ROW(DataAgg!E102),MATCH(E$1,InputTbl[#Headers],0))</f>
        <v>#REF!</v>
      </c>
      <c r="F103" s="10" t="e">
        <f>INDEX(InputTbl[],ROW(DataAgg!F102),MATCH(F$1,InputTbl[#Headers],0))</f>
        <v>#REF!</v>
      </c>
      <c r="G103" s="10" t="e">
        <f>INDEX(InputTbl[],ROW(DataAgg!G102),MATCH(G$1,InputTbl[#Headers],0))</f>
        <v>#REF!</v>
      </c>
      <c r="H103">
        <v>4</v>
      </c>
      <c r="I103" t="e">
        <f>INDEX(InputTbl[],ROW(DataAgg!I102),MATCH(I$1,InputTbl[#Headers],0))</f>
        <v>#REF!</v>
      </c>
      <c r="J103" t="e">
        <f t="shared" ca="1" si="19"/>
        <v>#REF!</v>
      </c>
      <c r="K103" t="e">
        <f t="shared" ca="1" si="20"/>
        <v>#REF!</v>
      </c>
      <c r="L103" t="e">
        <f t="shared" ca="1" si="21"/>
        <v>#REF!</v>
      </c>
      <c r="M103" t="e">
        <f t="shared" si="23"/>
        <v>#N/A</v>
      </c>
      <c r="N103" t="e">
        <f t="shared" ref="N103:N110" si="25">IF(MATCH($H103,StatusOptions,0)=COLUMN(N:N)-12,"TRUE","FALSE")</f>
        <v>#N/A</v>
      </c>
      <c r="O103" t="e">
        <f>IF(MATCH($H103,StatusOptions,0)=COLUMN(O:O)-12,"TRUE","FALSE")</f>
        <v>#N/A</v>
      </c>
      <c r="P103" t="e">
        <f t="shared" ref="P103:V103" si="26">IF(MATCH($H103,StatusOptions,0)=COLUMN(P:P)-12,"TRUE","FALSE")</f>
        <v>#N/A</v>
      </c>
      <c r="Q103" t="e">
        <f t="shared" si="26"/>
        <v>#N/A</v>
      </c>
      <c r="R103" t="e">
        <f t="shared" si="26"/>
        <v>#N/A</v>
      </c>
      <c r="S103" t="e">
        <f t="shared" si="26"/>
        <v>#N/A</v>
      </c>
      <c r="T103" t="e">
        <f t="shared" si="26"/>
        <v>#N/A</v>
      </c>
      <c r="U103" t="e">
        <f t="shared" si="26"/>
        <v>#N/A</v>
      </c>
      <c r="V103" t="e">
        <f t="shared" si="26"/>
        <v>#N/A</v>
      </c>
      <c r="W103" t="b">
        <v>1</v>
      </c>
      <c r="X103" t="s">
        <v>71</v>
      </c>
    </row>
    <row r="104" spans="1:24" x14ac:dyDescent="0.25">
      <c r="A104" t="s">
        <v>47</v>
      </c>
      <c r="B104" t="e">
        <f>INDEX(InputTbl[],ROW(DataAgg!B103),MATCH(B$1,InputTbl[#Headers],0))</f>
        <v>#REF!</v>
      </c>
      <c r="C104" t="e">
        <f>INDEX(InputTbl[],ROW(DataAgg!C103),MATCH(C$1,InputTbl[#Headers],0))</f>
        <v>#REF!</v>
      </c>
      <c r="D104" t="e">
        <f>INDEX(InputTbl[],ROW(DataAgg!D103),MATCH(D$1,InputTbl[#Headers],0))</f>
        <v>#REF!</v>
      </c>
      <c r="E104" t="e">
        <f>INDEX(InputTbl[],ROW(DataAgg!E103),MATCH(E$1,InputTbl[#Headers],0))</f>
        <v>#REF!</v>
      </c>
      <c r="F104" s="10" t="e">
        <f>INDEX(InputTbl[],ROW(DataAgg!F103),MATCH(F$1,InputTbl[#Headers],0))</f>
        <v>#REF!</v>
      </c>
      <c r="G104" s="10" t="e">
        <f>INDEX(InputTbl[],ROW(DataAgg!G103),MATCH(G$1,InputTbl[#Headers],0))</f>
        <v>#REF!</v>
      </c>
      <c r="H104">
        <v>4</v>
      </c>
      <c r="I104" t="e">
        <f>INDEX(InputTbl[],ROW(DataAgg!I103),MATCH(I$1,InputTbl[#Headers],0))</f>
        <v>#REF!</v>
      </c>
      <c r="J104" t="e">
        <f t="shared" ca="1" si="19"/>
        <v>#REF!</v>
      </c>
      <c r="K104" t="e">
        <f t="shared" ca="1" si="20"/>
        <v>#REF!</v>
      </c>
      <c r="L104" t="e">
        <f t="shared" ca="1" si="21"/>
        <v>#REF!</v>
      </c>
      <c r="M104" t="e">
        <f t="shared" si="23"/>
        <v>#N/A</v>
      </c>
      <c r="N104" t="e">
        <f t="shared" si="25"/>
        <v>#N/A</v>
      </c>
      <c r="O104" t="e">
        <f t="shared" ref="O104:O110" si="27">IF(MATCH($H104,StatusOptions,0)=COLUMN(O:O)-12,"TRUE","FALSE")</f>
        <v>#N/A</v>
      </c>
      <c r="P104" t="e">
        <f>IF(MATCH($H104,StatusOptions,0)=COLUMN(P:P)-12,"TRUE","FALSE")</f>
        <v>#N/A</v>
      </c>
      <c r="Q104" t="e">
        <f t="shared" ref="Q104:V104" si="28">IF(MATCH($H104,StatusOptions,0)=COLUMN(Q:Q)-12,"TRUE","FALSE")</f>
        <v>#N/A</v>
      </c>
      <c r="R104" t="e">
        <f t="shared" si="28"/>
        <v>#N/A</v>
      </c>
      <c r="S104" t="e">
        <f t="shared" si="28"/>
        <v>#N/A</v>
      </c>
      <c r="T104" t="e">
        <f t="shared" si="28"/>
        <v>#N/A</v>
      </c>
      <c r="U104" t="e">
        <f t="shared" si="28"/>
        <v>#N/A</v>
      </c>
      <c r="V104" t="e">
        <f t="shared" si="28"/>
        <v>#N/A</v>
      </c>
      <c r="W104" t="b">
        <v>1</v>
      </c>
      <c r="X104" t="s">
        <v>71</v>
      </c>
    </row>
    <row r="105" spans="1:24" x14ac:dyDescent="0.25">
      <c r="A105" t="s">
        <v>48</v>
      </c>
      <c r="B105" t="e">
        <f>INDEX(InputTbl[],ROW(DataAgg!B104),MATCH(B$1,InputTbl[#Headers],0))</f>
        <v>#REF!</v>
      </c>
      <c r="C105" t="e">
        <f>INDEX(InputTbl[],ROW(DataAgg!C104),MATCH(C$1,InputTbl[#Headers],0))</f>
        <v>#REF!</v>
      </c>
      <c r="D105" t="e">
        <f>INDEX(InputTbl[],ROW(DataAgg!D104),MATCH(D$1,InputTbl[#Headers],0))</f>
        <v>#REF!</v>
      </c>
      <c r="E105" t="e">
        <f>INDEX(InputTbl[],ROW(DataAgg!E104),MATCH(E$1,InputTbl[#Headers],0))</f>
        <v>#REF!</v>
      </c>
      <c r="F105" s="10" t="e">
        <f>INDEX(InputTbl[],ROW(DataAgg!F104),MATCH(F$1,InputTbl[#Headers],0))</f>
        <v>#REF!</v>
      </c>
      <c r="G105" s="10" t="e">
        <f>INDEX(InputTbl[],ROW(DataAgg!G104),MATCH(G$1,InputTbl[#Headers],0))</f>
        <v>#REF!</v>
      </c>
      <c r="H105">
        <v>5</v>
      </c>
      <c r="I105" t="e">
        <f>INDEX(InputTbl[],ROW(DataAgg!I104),MATCH(I$1,InputTbl[#Headers],0))</f>
        <v>#REF!</v>
      </c>
      <c r="J105" t="e">
        <f t="shared" ca="1" si="19"/>
        <v>#REF!</v>
      </c>
      <c r="K105" t="e">
        <f t="shared" ca="1" si="20"/>
        <v>#REF!</v>
      </c>
      <c r="L105" t="e">
        <f t="shared" ca="1" si="21"/>
        <v>#REF!</v>
      </c>
      <c r="M105" t="e">
        <f t="shared" si="23"/>
        <v>#N/A</v>
      </c>
      <c r="N105" t="e">
        <f t="shared" si="25"/>
        <v>#N/A</v>
      </c>
      <c r="O105" t="e">
        <f t="shared" si="27"/>
        <v>#N/A</v>
      </c>
      <c r="P105" t="e">
        <f t="shared" ref="P105:P110" si="29">IF(MATCH($H105,StatusOptions,0)=COLUMN(P:P)-12,"TRUE","FALSE")</f>
        <v>#N/A</v>
      </c>
      <c r="Q105" t="e">
        <f t="shared" ref="Q105:V108" si="30">IF(MATCH($H105,StatusOptions,0)=COLUMN(Q:Q)-12,"TRUE","FALSE")</f>
        <v>#N/A</v>
      </c>
      <c r="R105" t="e">
        <f t="shared" si="30"/>
        <v>#N/A</v>
      </c>
      <c r="S105" t="e">
        <f t="shared" si="30"/>
        <v>#N/A</v>
      </c>
      <c r="T105" t="e">
        <f t="shared" si="30"/>
        <v>#N/A</v>
      </c>
      <c r="U105" t="e">
        <f t="shared" si="30"/>
        <v>#N/A</v>
      </c>
      <c r="V105" t="e">
        <f t="shared" si="30"/>
        <v>#N/A</v>
      </c>
      <c r="W105" t="b">
        <v>1</v>
      </c>
      <c r="X105" t="s">
        <v>71</v>
      </c>
    </row>
    <row r="106" spans="1:24" x14ac:dyDescent="0.25">
      <c r="A106" t="s">
        <v>49</v>
      </c>
      <c r="B106" t="e">
        <f>INDEX(InputTbl[],ROW(DataAgg!B105),MATCH(B$1,InputTbl[#Headers],0))</f>
        <v>#REF!</v>
      </c>
      <c r="C106" t="e">
        <f>INDEX(InputTbl[],ROW(DataAgg!C105),MATCH(C$1,InputTbl[#Headers],0))</f>
        <v>#REF!</v>
      </c>
      <c r="D106" t="e">
        <f>INDEX(InputTbl[],ROW(DataAgg!D105),MATCH(D$1,InputTbl[#Headers],0))</f>
        <v>#REF!</v>
      </c>
      <c r="E106" t="e">
        <f>INDEX(InputTbl[],ROW(DataAgg!E105),MATCH(E$1,InputTbl[#Headers],0))</f>
        <v>#REF!</v>
      </c>
      <c r="F106" s="10" t="e">
        <f>INDEX(InputTbl[],ROW(DataAgg!F105),MATCH(F$1,InputTbl[#Headers],0))</f>
        <v>#REF!</v>
      </c>
      <c r="G106" s="10" t="e">
        <f>INDEX(InputTbl[],ROW(DataAgg!G105),MATCH(G$1,InputTbl[#Headers],0))</f>
        <v>#REF!</v>
      </c>
      <c r="H106">
        <v>6</v>
      </c>
      <c r="I106" t="e">
        <f>INDEX(InputTbl[],ROW(DataAgg!I105),MATCH(I$1,InputTbl[#Headers],0))</f>
        <v>#REF!</v>
      </c>
      <c r="J106" t="e">
        <f t="shared" ca="1" si="19"/>
        <v>#REF!</v>
      </c>
      <c r="K106" t="e">
        <f t="shared" ca="1" si="20"/>
        <v>#REF!</v>
      </c>
      <c r="L106" t="e">
        <f t="shared" ca="1" si="21"/>
        <v>#REF!</v>
      </c>
      <c r="M106" t="e">
        <f t="shared" si="23"/>
        <v>#N/A</v>
      </c>
      <c r="N106" t="e">
        <f t="shared" si="25"/>
        <v>#N/A</v>
      </c>
      <c r="O106" t="e">
        <f t="shared" si="27"/>
        <v>#N/A</v>
      </c>
      <c r="P106" t="e">
        <f t="shared" si="29"/>
        <v>#N/A</v>
      </c>
      <c r="Q106" t="e">
        <f t="shared" si="30"/>
        <v>#N/A</v>
      </c>
      <c r="R106" t="e">
        <f t="shared" si="30"/>
        <v>#N/A</v>
      </c>
      <c r="S106" t="e">
        <f t="shared" si="30"/>
        <v>#N/A</v>
      </c>
      <c r="T106" t="e">
        <f t="shared" si="30"/>
        <v>#N/A</v>
      </c>
      <c r="U106" t="e">
        <f t="shared" si="30"/>
        <v>#N/A</v>
      </c>
      <c r="V106" t="e">
        <f t="shared" si="30"/>
        <v>#N/A</v>
      </c>
      <c r="W106" t="b">
        <v>1</v>
      </c>
      <c r="X106" t="s">
        <v>71</v>
      </c>
    </row>
    <row r="107" spans="1:24" x14ac:dyDescent="0.25">
      <c r="A107" t="s">
        <v>50</v>
      </c>
      <c r="B107" t="e">
        <f>INDEX(InputTbl[],ROW(DataAgg!B106),MATCH(B$1,InputTbl[#Headers],0))</f>
        <v>#REF!</v>
      </c>
      <c r="C107" t="e">
        <f>INDEX(InputTbl[],ROW(DataAgg!C106),MATCH(C$1,InputTbl[#Headers],0))</f>
        <v>#REF!</v>
      </c>
      <c r="D107" t="e">
        <f>INDEX(InputTbl[],ROW(DataAgg!D106),MATCH(D$1,InputTbl[#Headers],0))</f>
        <v>#REF!</v>
      </c>
      <c r="E107" t="e">
        <f>INDEX(InputTbl[],ROW(DataAgg!E106),MATCH(E$1,InputTbl[#Headers],0))</f>
        <v>#REF!</v>
      </c>
      <c r="F107" s="10" t="e">
        <f>INDEX(InputTbl[],ROW(DataAgg!F106),MATCH(F$1,InputTbl[#Headers],0))</f>
        <v>#REF!</v>
      </c>
      <c r="G107" s="10" t="e">
        <f>INDEX(InputTbl[],ROW(DataAgg!G106),MATCH(G$1,InputTbl[#Headers],0))</f>
        <v>#REF!</v>
      </c>
      <c r="H107">
        <v>7</v>
      </c>
      <c r="I107" t="e">
        <f>INDEX(InputTbl[],ROW(DataAgg!I106),MATCH(I$1,InputTbl[#Headers],0))</f>
        <v>#REF!</v>
      </c>
      <c r="J107" t="e">
        <f t="shared" ca="1" si="19"/>
        <v>#REF!</v>
      </c>
      <c r="K107" t="e">
        <f t="shared" ca="1" si="20"/>
        <v>#REF!</v>
      </c>
      <c r="L107" t="e">
        <f t="shared" ca="1" si="21"/>
        <v>#REF!</v>
      </c>
      <c r="M107" t="e">
        <f t="shared" si="23"/>
        <v>#N/A</v>
      </c>
      <c r="N107" t="e">
        <f t="shared" si="25"/>
        <v>#N/A</v>
      </c>
      <c r="O107" t="e">
        <f t="shared" si="27"/>
        <v>#N/A</v>
      </c>
      <c r="P107" t="e">
        <f t="shared" si="29"/>
        <v>#N/A</v>
      </c>
      <c r="Q107" t="e">
        <f t="shared" si="30"/>
        <v>#N/A</v>
      </c>
      <c r="R107" t="e">
        <f t="shared" si="30"/>
        <v>#N/A</v>
      </c>
      <c r="S107" t="e">
        <f t="shared" si="30"/>
        <v>#N/A</v>
      </c>
      <c r="T107" t="e">
        <f t="shared" si="30"/>
        <v>#N/A</v>
      </c>
      <c r="U107" t="e">
        <f t="shared" si="30"/>
        <v>#N/A</v>
      </c>
      <c r="V107" t="e">
        <f t="shared" si="30"/>
        <v>#N/A</v>
      </c>
      <c r="W107" t="b">
        <v>1</v>
      </c>
      <c r="X107" t="s">
        <v>71</v>
      </c>
    </row>
    <row r="108" spans="1:24" x14ac:dyDescent="0.25">
      <c r="A108" t="s">
        <v>51</v>
      </c>
      <c r="B108" t="e">
        <f>INDEX(InputTbl[],ROW(DataAgg!B107),MATCH(B$1,InputTbl[#Headers],0))</f>
        <v>#REF!</v>
      </c>
      <c r="C108" t="e">
        <f>INDEX(InputTbl[],ROW(DataAgg!C107),MATCH(C$1,InputTbl[#Headers],0))</f>
        <v>#REF!</v>
      </c>
      <c r="D108" t="e">
        <f>INDEX(InputTbl[],ROW(DataAgg!D107),MATCH(D$1,InputTbl[#Headers],0))</f>
        <v>#REF!</v>
      </c>
      <c r="E108" t="e">
        <f>INDEX(InputTbl[],ROW(DataAgg!E107),MATCH(E$1,InputTbl[#Headers],0))</f>
        <v>#REF!</v>
      </c>
      <c r="F108" s="10" t="e">
        <f>INDEX(InputTbl[],ROW(DataAgg!F107),MATCH(F$1,InputTbl[#Headers],0))</f>
        <v>#REF!</v>
      </c>
      <c r="G108" s="10" t="e">
        <f>INDEX(InputTbl[],ROW(DataAgg!G107),MATCH(G$1,InputTbl[#Headers],0))</f>
        <v>#REF!</v>
      </c>
      <c r="H108">
        <v>8</v>
      </c>
      <c r="I108" t="e">
        <f>INDEX(InputTbl[],ROW(DataAgg!I107),MATCH(I$1,InputTbl[#Headers],0))</f>
        <v>#REF!</v>
      </c>
      <c r="J108" t="e">
        <f t="shared" ca="1" si="19"/>
        <v>#REF!</v>
      </c>
      <c r="K108" t="e">
        <f t="shared" ca="1" si="20"/>
        <v>#REF!</v>
      </c>
      <c r="L108" t="e">
        <f t="shared" ca="1" si="21"/>
        <v>#REF!</v>
      </c>
      <c r="M108" t="e">
        <f t="shared" si="23"/>
        <v>#N/A</v>
      </c>
      <c r="N108" t="e">
        <f t="shared" si="25"/>
        <v>#N/A</v>
      </c>
      <c r="O108" t="e">
        <f t="shared" si="27"/>
        <v>#N/A</v>
      </c>
      <c r="P108" t="e">
        <f t="shared" si="29"/>
        <v>#N/A</v>
      </c>
      <c r="Q108" t="e">
        <f t="shared" si="30"/>
        <v>#N/A</v>
      </c>
      <c r="R108" t="e">
        <f t="shared" si="30"/>
        <v>#N/A</v>
      </c>
      <c r="S108" t="e">
        <f t="shared" si="30"/>
        <v>#N/A</v>
      </c>
      <c r="T108" t="e">
        <f t="shared" si="30"/>
        <v>#N/A</v>
      </c>
      <c r="U108" t="e">
        <f t="shared" si="30"/>
        <v>#N/A</v>
      </c>
      <c r="V108" t="e">
        <f t="shared" si="30"/>
        <v>#N/A</v>
      </c>
      <c r="W108" t="b">
        <v>1</v>
      </c>
      <c r="X108" t="s">
        <v>71</v>
      </c>
    </row>
    <row r="109" spans="1:24" x14ac:dyDescent="0.25">
      <c r="A109" t="s">
        <v>52</v>
      </c>
      <c r="B109" t="e">
        <f>INDEX(InputTbl[],ROW(DataAgg!B108),MATCH(B$1,InputTbl[#Headers],0))</f>
        <v>#REF!</v>
      </c>
      <c r="C109" t="e">
        <f>INDEX(InputTbl[],ROW(DataAgg!C108),MATCH(C$1,InputTbl[#Headers],0))</f>
        <v>#REF!</v>
      </c>
      <c r="D109" t="e">
        <f>INDEX(InputTbl[],ROW(DataAgg!D108),MATCH(D$1,InputTbl[#Headers],0))</f>
        <v>#REF!</v>
      </c>
      <c r="E109" t="e">
        <f>INDEX(InputTbl[],ROW(DataAgg!E108),MATCH(E$1,InputTbl[#Headers],0))</f>
        <v>#REF!</v>
      </c>
      <c r="F109" s="10" t="e">
        <f>INDEX(InputTbl[],ROW(DataAgg!F108),MATCH(F$1,InputTbl[#Headers],0))</f>
        <v>#REF!</v>
      </c>
      <c r="G109" s="10" t="e">
        <f>INDEX(InputTbl[],ROW(DataAgg!G108),MATCH(G$1,InputTbl[#Headers],0))</f>
        <v>#REF!</v>
      </c>
      <c r="H109">
        <v>9</v>
      </c>
      <c r="I109" t="e">
        <f>INDEX(InputTbl[],ROW(DataAgg!I108),MATCH(I$1,InputTbl[#Headers],0))</f>
        <v>#REF!</v>
      </c>
      <c r="J109" t="e">
        <f t="shared" ca="1" si="19"/>
        <v>#REF!</v>
      </c>
      <c r="K109" t="e">
        <f t="shared" ca="1" si="20"/>
        <v>#REF!</v>
      </c>
      <c r="L109" t="e">
        <f t="shared" ca="1" si="21"/>
        <v>#REF!</v>
      </c>
      <c r="M109" t="e">
        <f t="shared" si="23"/>
        <v>#N/A</v>
      </c>
      <c r="N109" t="e">
        <f t="shared" si="25"/>
        <v>#N/A</v>
      </c>
      <c r="O109" t="e">
        <f t="shared" si="27"/>
        <v>#N/A</v>
      </c>
      <c r="P109" t="e">
        <f t="shared" si="29"/>
        <v>#N/A</v>
      </c>
      <c r="Q109" t="e">
        <f t="shared" ref="Q109:T110" si="31">IF(MATCH($H109,StatusOptions,0)=COLUMN(Q:Q)-12,"TRUE","FALSE")</f>
        <v>#N/A</v>
      </c>
      <c r="R109" t="e">
        <f t="shared" si="31"/>
        <v>#N/A</v>
      </c>
      <c r="S109" t="e">
        <f t="shared" si="31"/>
        <v>#N/A</v>
      </c>
      <c r="T109" t="e">
        <f t="shared" si="31"/>
        <v>#N/A</v>
      </c>
      <c r="U109" t="b">
        <v>1</v>
      </c>
      <c r="V109" t="e">
        <f>IF(MATCH($H109,StatusOptions,0)=COLUMN(V:V)-12,"TRUE","FALSE")</f>
        <v>#N/A</v>
      </c>
      <c r="W109" t="b">
        <v>1</v>
      </c>
      <c r="X109" t="s">
        <v>71</v>
      </c>
    </row>
    <row r="110" spans="1:24" x14ac:dyDescent="0.25">
      <c r="A110" t="s">
        <v>53</v>
      </c>
      <c r="B110" t="e">
        <f>INDEX(InputTbl[],ROW(DataAgg!B109),MATCH(B$1,InputTbl[#Headers],0))</f>
        <v>#REF!</v>
      </c>
      <c r="C110" t="e">
        <f>INDEX(InputTbl[],ROW(DataAgg!C109),MATCH(C$1,InputTbl[#Headers],0))</f>
        <v>#REF!</v>
      </c>
      <c r="D110" t="e">
        <f>INDEX(InputTbl[],ROW(DataAgg!D109),MATCH(D$1,InputTbl[#Headers],0))</f>
        <v>#REF!</v>
      </c>
      <c r="E110" t="e">
        <f>INDEX(InputTbl[],ROW(DataAgg!E109),MATCH(E$1,InputTbl[#Headers],0))</f>
        <v>#REF!</v>
      </c>
      <c r="F110" s="10" t="e">
        <f>INDEX(InputTbl[],ROW(DataAgg!F109),MATCH(F$1,InputTbl[#Headers],0))</f>
        <v>#REF!</v>
      </c>
      <c r="G110" s="10" t="e">
        <f>INDEX(InputTbl[],ROW(DataAgg!G109),MATCH(G$1,InputTbl[#Headers],0))</f>
        <v>#REF!</v>
      </c>
      <c r="H110">
        <v>10</v>
      </c>
      <c r="I110" t="e">
        <f>INDEX(InputTbl[],ROW(DataAgg!I109),MATCH(I$1,InputTbl[#Headers],0))</f>
        <v>#REF!</v>
      </c>
      <c r="J110" t="e">
        <f t="shared" ca="1" si="19"/>
        <v>#REF!</v>
      </c>
      <c r="K110" t="e">
        <f t="shared" ca="1" si="20"/>
        <v>#REF!</v>
      </c>
      <c r="L110" t="e">
        <f t="shared" ca="1" si="21"/>
        <v>#REF!</v>
      </c>
      <c r="M110" t="e">
        <f t="shared" si="23"/>
        <v>#N/A</v>
      </c>
      <c r="N110" t="e">
        <f t="shared" si="25"/>
        <v>#N/A</v>
      </c>
      <c r="O110" t="e">
        <f t="shared" si="27"/>
        <v>#N/A</v>
      </c>
      <c r="P110" t="e">
        <f t="shared" si="29"/>
        <v>#N/A</v>
      </c>
      <c r="Q110" t="e">
        <f t="shared" si="31"/>
        <v>#N/A</v>
      </c>
      <c r="R110" t="e">
        <f t="shared" si="31"/>
        <v>#N/A</v>
      </c>
      <c r="S110" t="e">
        <f t="shared" si="31"/>
        <v>#N/A</v>
      </c>
      <c r="T110" t="e">
        <f t="shared" si="31"/>
        <v>#N/A</v>
      </c>
      <c r="U110" t="e">
        <f>IF(MATCH($H110,StatusOptions,0)=COLUMN(U:U)-12,"TRUE","FALSE")</f>
        <v>#N/A</v>
      </c>
      <c r="V110" t="e">
        <f>IF(MATCH($H110,StatusOptions,0)=COLUMN(V:V)-12,"TRUE","FALSE")</f>
        <v>#N/A</v>
      </c>
      <c r="W110" t="b">
        <v>1</v>
      </c>
      <c r="X110" t="s">
        <v>71</v>
      </c>
    </row>
  </sheetData>
  <phoneticPr fontId="5" type="noConversion"/>
  <pageMargins left="0.7" right="0.7" top="0.75" bottom="0.75" header="0.3" footer="0.3"/>
  <pageSetup orientation="portrait"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01A181-74DA-4C80-8692-629CCAE5CCA4}">
  <sheetPr codeName="Sheet4"/>
  <dimension ref="A1:T7"/>
  <sheetViews>
    <sheetView zoomScale="90" zoomScaleNormal="90" workbookViewId="0">
      <selection activeCell="N41" sqref="N41"/>
    </sheetView>
  </sheetViews>
  <sheetFormatPr defaultRowHeight="15" x14ac:dyDescent="0.25"/>
  <cols>
    <col min="1" max="1" width="18" bestFit="1" customWidth="1"/>
    <col min="2" max="2" width="8.28515625" bestFit="1" customWidth="1"/>
    <col min="3" max="3" width="17.5703125" bestFit="1" customWidth="1"/>
    <col min="4" max="4" width="8.28515625" bestFit="1" customWidth="1"/>
    <col min="5" max="5" width="17.5703125" bestFit="1" customWidth="1"/>
    <col min="6" max="6" width="8.28515625" bestFit="1" customWidth="1"/>
    <col min="7" max="7" width="17.5703125" bestFit="1" customWidth="1"/>
    <col min="8" max="8" width="8.28515625" bestFit="1" customWidth="1"/>
    <col min="9" max="9" width="17.5703125" bestFit="1" customWidth="1"/>
    <col min="10" max="10" width="8.28515625" bestFit="1" customWidth="1"/>
    <col min="11" max="11" width="17.5703125" bestFit="1" customWidth="1"/>
    <col min="12" max="12" width="8.28515625" bestFit="1" customWidth="1"/>
    <col min="13" max="13" width="17.5703125" bestFit="1" customWidth="1"/>
    <col min="14" max="14" width="8.28515625" bestFit="1" customWidth="1"/>
    <col min="15" max="15" width="17.5703125" bestFit="1" customWidth="1"/>
    <col min="16" max="16" width="8.28515625" bestFit="1" customWidth="1"/>
    <col min="17" max="17" width="17.5703125" bestFit="1" customWidth="1"/>
    <col min="18" max="18" width="8.28515625" bestFit="1" customWidth="1"/>
    <col min="19" max="19" width="17.5703125" bestFit="1" customWidth="1"/>
    <col min="20" max="20" width="8.28515625" bestFit="1" customWidth="1"/>
  </cols>
  <sheetData>
    <row r="1" spans="1:20" x14ac:dyDescent="0.25">
      <c r="A1" s="11" t="s">
        <v>32</v>
      </c>
      <c r="B1" t="s">
        <v>42</v>
      </c>
      <c r="C1" s="11" t="s">
        <v>33</v>
      </c>
      <c r="D1" t="s">
        <v>42</v>
      </c>
      <c r="E1" s="11" t="s">
        <v>34</v>
      </c>
      <c r="F1" t="s">
        <v>42</v>
      </c>
      <c r="G1" s="11" t="s">
        <v>35</v>
      </c>
      <c r="H1" t="s">
        <v>42</v>
      </c>
      <c r="I1" s="11" t="s">
        <v>36</v>
      </c>
      <c r="J1" t="s">
        <v>42</v>
      </c>
      <c r="K1" s="11" t="s">
        <v>37</v>
      </c>
      <c r="L1" t="s">
        <v>42</v>
      </c>
      <c r="M1" s="11" t="s">
        <v>38</v>
      </c>
      <c r="N1" t="s">
        <v>42</v>
      </c>
      <c r="O1" s="11" t="s">
        <v>39</v>
      </c>
      <c r="P1" t="s">
        <v>42</v>
      </c>
      <c r="Q1" s="11" t="s">
        <v>40</v>
      </c>
      <c r="R1" t="s">
        <v>42</v>
      </c>
      <c r="S1" s="11" t="s">
        <v>41</v>
      </c>
      <c r="T1" t="s">
        <v>158</v>
      </c>
    </row>
    <row r="2" spans="1:20" x14ac:dyDescent="0.25">
      <c r="A2" s="11" t="s">
        <v>54</v>
      </c>
      <c r="B2" t="s">
        <v>43</v>
      </c>
      <c r="C2" s="11" t="s">
        <v>54</v>
      </c>
      <c r="D2" t="s">
        <v>43</v>
      </c>
      <c r="E2" s="11" t="s">
        <v>54</v>
      </c>
      <c r="F2" t="s">
        <v>43</v>
      </c>
      <c r="G2" s="11" t="s">
        <v>54</v>
      </c>
      <c r="H2" t="s">
        <v>43</v>
      </c>
      <c r="I2" s="11" t="s">
        <v>54</v>
      </c>
      <c r="J2" t="s">
        <v>43</v>
      </c>
      <c r="K2" s="11" t="s">
        <v>54</v>
      </c>
      <c r="L2" t="s">
        <v>43</v>
      </c>
      <c r="M2" s="11" t="s">
        <v>54</v>
      </c>
      <c r="N2" t="s">
        <v>43</v>
      </c>
      <c r="O2" s="11" t="s">
        <v>54</v>
      </c>
      <c r="P2" t="s">
        <v>43</v>
      </c>
      <c r="Q2" s="11" t="s">
        <v>54</v>
      </c>
      <c r="R2" t="s">
        <v>43</v>
      </c>
      <c r="S2" s="11" t="s">
        <v>54</v>
      </c>
      <c r="T2" t="s">
        <v>43</v>
      </c>
    </row>
    <row r="3" spans="1:20" x14ac:dyDescent="0.25">
      <c r="D3" s="11"/>
      <c r="T3" s="11"/>
    </row>
    <row r="4" spans="1:20" x14ac:dyDescent="0.25">
      <c r="A4" s="11" t="s">
        <v>154</v>
      </c>
      <c r="C4" s="11" t="s">
        <v>157</v>
      </c>
      <c r="E4" s="11" t="s">
        <v>157</v>
      </c>
      <c r="G4" s="11" t="s">
        <v>157</v>
      </c>
      <c r="I4" s="11" t="s">
        <v>157</v>
      </c>
      <c r="K4" s="11" t="s">
        <v>157</v>
      </c>
      <c r="M4" s="11" t="s">
        <v>157</v>
      </c>
      <c r="O4" s="11" t="s">
        <v>157</v>
      </c>
      <c r="Q4" s="11" t="s">
        <v>157</v>
      </c>
      <c r="S4" s="11" t="s">
        <v>157</v>
      </c>
    </row>
    <row r="5" spans="1:20" x14ac:dyDescent="0.25">
      <c r="A5" s="12" t="s">
        <v>139</v>
      </c>
      <c r="G5" s="12" t="s">
        <v>144</v>
      </c>
      <c r="I5" s="12" t="s">
        <v>141</v>
      </c>
    </row>
    <row r="6" spans="1:20" x14ac:dyDescent="0.25">
      <c r="G6" s="12" t="s">
        <v>146</v>
      </c>
    </row>
    <row r="7" spans="1:20" x14ac:dyDescent="0.25">
      <c r="G7" s="12" t="s">
        <v>149</v>
      </c>
    </row>
  </sheetData>
  <pageMargins left="0.7" right="0.7" top="0.75" bottom="0.75" header="0.3" footer="0.3"/>
  <pageSetup orientation="portrait" r:id="rId1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73A779-3662-4AB5-B7E7-57E12C0C89DF}">
  <sheetPr codeName="Sheet5"/>
  <dimension ref="A1:K109"/>
  <sheetViews>
    <sheetView workbookViewId="0">
      <selection activeCell="N41" sqref="N41"/>
    </sheetView>
  </sheetViews>
  <sheetFormatPr defaultRowHeight="15" x14ac:dyDescent="0.25"/>
  <cols>
    <col min="7" max="7" width="19.5703125" bestFit="1" customWidth="1"/>
    <col min="8" max="8" width="29.7109375" bestFit="1" customWidth="1"/>
    <col min="11" max="11" width="15.7109375" bestFit="1" customWidth="1"/>
  </cols>
  <sheetData>
    <row r="1" spans="1:11" x14ac:dyDescent="0.25">
      <c r="A1" s="3" t="s">
        <v>21</v>
      </c>
      <c r="B1" s="3" t="s">
        <v>25</v>
      </c>
      <c r="G1" s="77" t="s">
        <v>55</v>
      </c>
      <c r="H1" s="77"/>
      <c r="J1" s="77" t="s">
        <v>55</v>
      </c>
      <c r="K1" s="77"/>
    </row>
    <row r="2" spans="1:11" x14ac:dyDescent="0.25">
      <c r="A2" t="s">
        <v>22</v>
      </c>
      <c r="B2" s="6">
        <v>0</v>
      </c>
      <c r="G2" s="17" t="s">
        <v>56</v>
      </c>
      <c r="H2" s="17" t="s">
        <v>57</v>
      </c>
      <c r="J2" s="3" t="s">
        <v>58</v>
      </c>
      <c r="K2" s="3" t="s">
        <v>59</v>
      </c>
    </row>
    <row r="3" spans="1:11" x14ac:dyDescent="0.25">
      <c r="A3" t="s">
        <v>23</v>
      </c>
      <c r="B3" s="6">
        <v>0.1</v>
      </c>
      <c r="G3">
        <v>8</v>
      </c>
      <c r="H3">
        <f>1</f>
        <v>1</v>
      </c>
      <c r="J3">
        <v>1</v>
      </c>
      <c r="K3">
        <f>COUNTIF(InputTbl[Status],INDEX(StatusOptions,J3,1))</f>
        <v>1</v>
      </c>
    </row>
    <row r="4" spans="1:11" x14ac:dyDescent="0.25">
      <c r="A4" t="s">
        <v>24</v>
      </c>
      <c r="B4" s="6">
        <f>B3+10%</f>
        <v>0.2</v>
      </c>
      <c r="G4">
        <v>13</v>
      </c>
      <c r="H4">
        <f>H3+1</f>
        <v>2</v>
      </c>
      <c r="J4">
        <v>2</v>
      </c>
      <c r="K4">
        <f>COUNTIF(InputTbl[Status],INDEX(StatusOptions,J4,1))</f>
        <v>2</v>
      </c>
    </row>
    <row r="5" spans="1:11" x14ac:dyDescent="0.25">
      <c r="B5" s="6">
        <f t="shared" ref="B5:B11" si="0">B4+10%</f>
        <v>0.30000000000000004</v>
      </c>
      <c r="G5">
        <f>G4+5</f>
        <v>18</v>
      </c>
      <c r="H5">
        <f t="shared" ref="H5:H68" si="1">H4+1</f>
        <v>3</v>
      </c>
      <c r="J5">
        <v>3</v>
      </c>
      <c r="K5">
        <f>COUNTIF(InputTbl[Status],INDEX(StatusOptions,J5,1))</f>
        <v>3</v>
      </c>
    </row>
    <row r="6" spans="1:11" x14ac:dyDescent="0.25">
      <c r="B6" s="6">
        <f t="shared" si="0"/>
        <v>0.4</v>
      </c>
      <c r="G6">
        <f t="shared" ref="G6:G69" si="2">G5+5</f>
        <v>23</v>
      </c>
      <c r="H6">
        <f t="shared" si="1"/>
        <v>4</v>
      </c>
      <c r="J6">
        <v>4</v>
      </c>
      <c r="K6">
        <f>COUNTIF(InputTbl[Status],INDEX(StatusOptions,J6,1))</f>
        <v>7</v>
      </c>
    </row>
    <row r="7" spans="1:11" x14ac:dyDescent="0.25">
      <c r="B7" s="6">
        <f t="shared" si="0"/>
        <v>0.5</v>
      </c>
      <c r="G7">
        <f t="shared" si="2"/>
        <v>28</v>
      </c>
      <c r="H7">
        <f t="shared" si="1"/>
        <v>5</v>
      </c>
      <c r="J7">
        <v>5</v>
      </c>
      <c r="K7">
        <f>COUNTIF(InputTbl[Status],INDEX(StatusOptions,J7,1))</f>
        <v>2</v>
      </c>
    </row>
    <row r="8" spans="1:11" x14ac:dyDescent="0.25">
      <c r="B8" s="6">
        <f t="shared" si="0"/>
        <v>0.6</v>
      </c>
      <c r="G8">
        <f t="shared" si="2"/>
        <v>33</v>
      </c>
      <c r="H8">
        <f t="shared" si="1"/>
        <v>6</v>
      </c>
      <c r="J8">
        <v>6</v>
      </c>
      <c r="K8">
        <f>COUNTIF(InputTbl[Status],INDEX(StatusOptions,J8,1))</f>
        <v>2</v>
      </c>
    </row>
    <row r="9" spans="1:11" x14ac:dyDescent="0.25">
      <c r="B9" s="6">
        <f t="shared" si="0"/>
        <v>0.7</v>
      </c>
      <c r="G9">
        <f t="shared" si="2"/>
        <v>38</v>
      </c>
      <c r="H9">
        <f t="shared" si="1"/>
        <v>7</v>
      </c>
      <c r="J9">
        <v>7</v>
      </c>
      <c r="K9">
        <f>COUNTIF(InputTbl[Status],INDEX(StatusOptions,J9,1))</f>
        <v>1</v>
      </c>
    </row>
    <row r="10" spans="1:11" x14ac:dyDescent="0.25">
      <c r="B10" s="6">
        <f t="shared" si="0"/>
        <v>0.79999999999999993</v>
      </c>
      <c r="G10">
        <f t="shared" si="2"/>
        <v>43</v>
      </c>
      <c r="H10">
        <f t="shared" si="1"/>
        <v>8</v>
      </c>
      <c r="J10">
        <v>8</v>
      </c>
      <c r="K10">
        <f>COUNTIF(InputTbl[Status],INDEX(StatusOptions,J10,1))</f>
        <v>1</v>
      </c>
    </row>
    <row r="11" spans="1:11" x14ac:dyDescent="0.25">
      <c r="B11" s="6">
        <f t="shared" si="0"/>
        <v>0.89999999999999991</v>
      </c>
      <c r="G11">
        <f t="shared" si="2"/>
        <v>48</v>
      </c>
      <c r="H11">
        <f t="shared" si="1"/>
        <v>9</v>
      </c>
      <c r="J11">
        <v>9</v>
      </c>
      <c r="K11">
        <f>COUNTIF(InputTbl[Status],INDEX(StatusOptions,J11,1))</f>
        <v>2</v>
      </c>
    </row>
    <row r="12" spans="1:11" x14ac:dyDescent="0.25">
      <c r="B12" s="6">
        <f>B11+10%</f>
        <v>0.99999999999999989</v>
      </c>
      <c r="G12">
        <f t="shared" si="2"/>
        <v>53</v>
      </c>
      <c r="H12">
        <f t="shared" si="1"/>
        <v>10</v>
      </c>
      <c r="J12">
        <v>10</v>
      </c>
      <c r="K12">
        <f>COUNTIF(InputTbl[Status],INDEX(StatusOptions,J12,1))</f>
        <v>0</v>
      </c>
    </row>
    <row r="13" spans="1:11" x14ac:dyDescent="0.25">
      <c r="G13">
        <f t="shared" si="2"/>
        <v>58</v>
      </c>
      <c r="H13">
        <f t="shared" si="1"/>
        <v>11</v>
      </c>
    </row>
    <row r="14" spans="1:11" x14ac:dyDescent="0.25">
      <c r="G14">
        <f t="shared" si="2"/>
        <v>63</v>
      </c>
      <c r="H14">
        <f t="shared" si="1"/>
        <v>12</v>
      </c>
    </row>
    <row r="15" spans="1:11" x14ac:dyDescent="0.25">
      <c r="G15">
        <f t="shared" si="2"/>
        <v>68</v>
      </c>
      <c r="H15">
        <f t="shared" si="1"/>
        <v>13</v>
      </c>
    </row>
    <row r="16" spans="1:11" x14ac:dyDescent="0.25">
      <c r="G16">
        <f t="shared" si="2"/>
        <v>73</v>
      </c>
      <c r="H16">
        <f t="shared" si="1"/>
        <v>14</v>
      </c>
    </row>
    <row r="17" spans="7:8" x14ac:dyDescent="0.25">
      <c r="G17">
        <f t="shared" si="2"/>
        <v>78</v>
      </c>
      <c r="H17">
        <f t="shared" si="1"/>
        <v>15</v>
      </c>
    </row>
    <row r="18" spans="7:8" x14ac:dyDescent="0.25">
      <c r="G18">
        <f t="shared" si="2"/>
        <v>83</v>
      </c>
      <c r="H18">
        <f t="shared" si="1"/>
        <v>16</v>
      </c>
    </row>
    <row r="19" spans="7:8" x14ac:dyDescent="0.25">
      <c r="G19">
        <f t="shared" si="2"/>
        <v>88</v>
      </c>
      <c r="H19">
        <f t="shared" si="1"/>
        <v>17</v>
      </c>
    </row>
    <row r="20" spans="7:8" x14ac:dyDescent="0.25">
      <c r="G20">
        <f t="shared" si="2"/>
        <v>93</v>
      </c>
      <c r="H20">
        <f t="shared" si="1"/>
        <v>18</v>
      </c>
    </row>
    <row r="21" spans="7:8" x14ac:dyDescent="0.25">
      <c r="G21">
        <f t="shared" si="2"/>
        <v>98</v>
      </c>
      <c r="H21">
        <f t="shared" si="1"/>
        <v>19</v>
      </c>
    </row>
    <row r="22" spans="7:8" x14ac:dyDescent="0.25">
      <c r="G22">
        <f t="shared" si="2"/>
        <v>103</v>
      </c>
      <c r="H22">
        <f t="shared" si="1"/>
        <v>20</v>
      </c>
    </row>
    <row r="23" spans="7:8" x14ac:dyDescent="0.25">
      <c r="G23">
        <f t="shared" si="2"/>
        <v>108</v>
      </c>
      <c r="H23">
        <f t="shared" si="1"/>
        <v>21</v>
      </c>
    </row>
    <row r="24" spans="7:8" x14ac:dyDescent="0.25">
      <c r="G24">
        <f t="shared" si="2"/>
        <v>113</v>
      </c>
      <c r="H24">
        <f t="shared" si="1"/>
        <v>22</v>
      </c>
    </row>
    <row r="25" spans="7:8" x14ac:dyDescent="0.25">
      <c r="G25">
        <f t="shared" si="2"/>
        <v>118</v>
      </c>
      <c r="H25">
        <f t="shared" si="1"/>
        <v>23</v>
      </c>
    </row>
    <row r="26" spans="7:8" x14ac:dyDescent="0.25">
      <c r="G26">
        <f t="shared" si="2"/>
        <v>123</v>
      </c>
      <c r="H26">
        <f t="shared" si="1"/>
        <v>24</v>
      </c>
    </row>
    <row r="27" spans="7:8" x14ac:dyDescent="0.25">
      <c r="G27">
        <f t="shared" si="2"/>
        <v>128</v>
      </c>
      <c r="H27">
        <f t="shared" si="1"/>
        <v>25</v>
      </c>
    </row>
    <row r="28" spans="7:8" x14ac:dyDescent="0.25">
      <c r="G28">
        <f t="shared" si="2"/>
        <v>133</v>
      </c>
      <c r="H28">
        <f t="shared" si="1"/>
        <v>26</v>
      </c>
    </row>
    <row r="29" spans="7:8" x14ac:dyDescent="0.25">
      <c r="G29">
        <f t="shared" si="2"/>
        <v>138</v>
      </c>
      <c r="H29">
        <f t="shared" si="1"/>
        <v>27</v>
      </c>
    </row>
    <row r="30" spans="7:8" x14ac:dyDescent="0.25">
      <c r="G30">
        <f t="shared" si="2"/>
        <v>143</v>
      </c>
      <c r="H30">
        <f t="shared" si="1"/>
        <v>28</v>
      </c>
    </row>
    <row r="31" spans="7:8" x14ac:dyDescent="0.25">
      <c r="G31">
        <f t="shared" si="2"/>
        <v>148</v>
      </c>
      <c r="H31">
        <f t="shared" si="1"/>
        <v>29</v>
      </c>
    </row>
    <row r="32" spans="7:8" x14ac:dyDescent="0.25">
      <c r="G32">
        <f t="shared" si="2"/>
        <v>153</v>
      </c>
      <c r="H32">
        <f t="shared" si="1"/>
        <v>30</v>
      </c>
    </row>
    <row r="33" spans="7:8" x14ac:dyDescent="0.25">
      <c r="G33">
        <f t="shared" si="2"/>
        <v>158</v>
      </c>
      <c r="H33">
        <f t="shared" si="1"/>
        <v>31</v>
      </c>
    </row>
    <row r="34" spans="7:8" x14ac:dyDescent="0.25">
      <c r="G34">
        <f t="shared" si="2"/>
        <v>163</v>
      </c>
      <c r="H34">
        <f t="shared" si="1"/>
        <v>32</v>
      </c>
    </row>
    <row r="35" spans="7:8" x14ac:dyDescent="0.25">
      <c r="G35">
        <f t="shared" si="2"/>
        <v>168</v>
      </c>
      <c r="H35">
        <f t="shared" si="1"/>
        <v>33</v>
      </c>
    </row>
    <row r="36" spans="7:8" x14ac:dyDescent="0.25">
      <c r="G36">
        <f t="shared" si="2"/>
        <v>173</v>
      </c>
      <c r="H36">
        <f t="shared" si="1"/>
        <v>34</v>
      </c>
    </row>
    <row r="37" spans="7:8" x14ac:dyDescent="0.25">
      <c r="G37">
        <f t="shared" si="2"/>
        <v>178</v>
      </c>
      <c r="H37">
        <f t="shared" si="1"/>
        <v>35</v>
      </c>
    </row>
    <row r="38" spans="7:8" x14ac:dyDescent="0.25">
      <c r="G38">
        <f t="shared" si="2"/>
        <v>183</v>
      </c>
      <c r="H38">
        <f t="shared" si="1"/>
        <v>36</v>
      </c>
    </row>
    <row r="39" spans="7:8" x14ac:dyDescent="0.25">
      <c r="G39">
        <f t="shared" si="2"/>
        <v>188</v>
      </c>
      <c r="H39">
        <f t="shared" si="1"/>
        <v>37</v>
      </c>
    </row>
    <row r="40" spans="7:8" x14ac:dyDescent="0.25">
      <c r="G40">
        <f t="shared" si="2"/>
        <v>193</v>
      </c>
      <c r="H40">
        <f t="shared" si="1"/>
        <v>38</v>
      </c>
    </row>
    <row r="41" spans="7:8" x14ac:dyDescent="0.25">
      <c r="G41">
        <f t="shared" si="2"/>
        <v>198</v>
      </c>
      <c r="H41">
        <f t="shared" si="1"/>
        <v>39</v>
      </c>
    </row>
    <row r="42" spans="7:8" x14ac:dyDescent="0.25">
      <c r="G42">
        <f t="shared" si="2"/>
        <v>203</v>
      </c>
      <c r="H42">
        <f t="shared" si="1"/>
        <v>40</v>
      </c>
    </row>
    <row r="43" spans="7:8" x14ac:dyDescent="0.25">
      <c r="G43">
        <f t="shared" si="2"/>
        <v>208</v>
      </c>
      <c r="H43">
        <f t="shared" si="1"/>
        <v>41</v>
      </c>
    </row>
    <row r="44" spans="7:8" x14ac:dyDescent="0.25">
      <c r="G44">
        <f t="shared" si="2"/>
        <v>213</v>
      </c>
      <c r="H44">
        <f t="shared" si="1"/>
        <v>42</v>
      </c>
    </row>
    <row r="45" spans="7:8" x14ac:dyDescent="0.25">
      <c r="G45">
        <f t="shared" si="2"/>
        <v>218</v>
      </c>
      <c r="H45">
        <f t="shared" si="1"/>
        <v>43</v>
      </c>
    </row>
    <row r="46" spans="7:8" x14ac:dyDescent="0.25">
      <c r="G46">
        <f t="shared" si="2"/>
        <v>223</v>
      </c>
      <c r="H46">
        <f t="shared" si="1"/>
        <v>44</v>
      </c>
    </row>
    <row r="47" spans="7:8" x14ac:dyDescent="0.25">
      <c r="G47">
        <f t="shared" si="2"/>
        <v>228</v>
      </c>
      <c r="H47">
        <f t="shared" si="1"/>
        <v>45</v>
      </c>
    </row>
    <row r="48" spans="7:8" x14ac:dyDescent="0.25">
      <c r="G48">
        <f t="shared" si="2"/>
        <v>233</v>
      </c>
      <c r="H48">
        <f t="shared" si="1"/>
        <v>46</v>
      </c>
    </row>
    <row r="49" spans="7:8" x14ac:dyDescent="0.25">
      <c r="G49">
        <f t="shared" si="2"/>
        <v>238</v>
      </c>
      <c r="H49">
        <f t="shared" si="1"/>
        <v>47</v>
      </c>
    </row>
    <row r="50" spans="7:8" x14ac:dyDescent="0.25">
      <c r="G50">
        <f t="shared" si="2"/>
        <v>243</v>
      </c>
      <c r="H50">
        <f t="shared" si="1"/>
        <v>48</v>
      </c>
    </row>
    <row r="51" spans="7:8" x14ac:dyDescent="0.25">
      <c r="G51">
        <f t="shared" si="2"/>
        <v>248</v>
      </c>
      <c r="H51">
        <f t="shared" si="1"/>
        <v>49</v>
      </c>
    </row>
    <row r="52" spans="7:8" x14ac:dyDescent="0.25">
      <c r="G52">
        <f t="shared" si="2"/>
        <v>253</v>
      </c>
      <c r="H52">
        <f t="shared" si="1"/>
        <v>50</v>
      </c>
    </row>
    <row r="53" spans="7:8" x14ac:dyDescent="0.25">
      <c r="G53">
        <f t="shared" si="2"/>
        <v>258</v>
      </c>
      <c r="H53">
        <f t="shared" si="1"/>
        <v>51</v>
      </c>
    </row>
    <row r="54" spans="7:8" x14ac:dyDescent="0.25">
      <c r="G54">
        <f t="shared" si="2"/>
        <v>263</v>
      </c>
      <c r="H54">
        <f t="shared" si="1"/>
        <v>52</v>
      </c>
    </row>
    <row r="55" spans="7:8" x14ac:dyDescent="0.25">
      <c r="G55">
        <f t="shared" si="2"/>
        <v>268</v>
      </c>
      <c r="H55">
        <f t="shared" si="1"/>
        <v>53</v>
      </c>
    </row>
    <row r="56" spans="7:8" x14ac:dyDescent="0.25">
      <c r="G56">
        <f t="shared" si="2"/>
        <v>273</v>
      </c>
      <c r="H56">
        <f t="shared" si="1"/>
        <v>54</v>
      </c>
    </row>
    <row r="57" spans="7:8" x14ac:dyDescent="0.25">
      <c r="G57">
        <f t="shared" si="2"/>
        <v>278</v>
      </c>
      <c r="H57">
        <f t="shared" si="1"/>
        <v>55</v>
      </c>
    </row>
    <row r="58" spans="7:8" x14ac:dyDescent="0.25">
      <c r="G58">
        <f t="shared" si="2"/>
        <v>283</v>
      </c>
      <c r="H58">
        <f t="shared" si="1"/>
        <v>56</v>
      </c>
    </row>
    <row r="59" spans="7:8" x14ac:dyDescent="0.25">
      <c r="G59">
        <f t="shared" si="2"/>
        <v>288</v>
      </c>
      <c r="H59">
        <f t="shared" si="1"/>
        <v>57</v>
      </c>
    </row>
    <row r="60" spans="7:8" x14ac:dyDescent="0.25">
      <c r="G60">
        <f t="shared" si="2"/>
        <v>293</v>
      </c>
      <c r="H60">
        <f t="shared" si="1"/>
        <v>58</v>
      </c>
    </row>
    <row r="61" spans="7:8" x14ac:dyDescent="0.25">
      <c r="G61">
        <f t="shared" si="2"/>
        <v>298</v>
      </c>
      <c r="H61">
        <f t="shared" si="1"/>
        <v>59</v>
      </c>
    </row>
    <row r="62" spans="7:8" x14ac:dyDescent="0.25">
      <c r="G62">
        <f t="shared" si="2"/>
        <v>303</v>
      </c>
      <c r="H62">
        <f t="shared" si="1"/>
        <v>60</v>
      </c>
    </row>
    <row r="63" spans="7:8" x14ac:dyDescent="0.25">
      <c r="G63">
        <f t="shared" si="2"/>
        <v>308</v>
      </c>
      <c r="H63">
        <f t="shared" si="1"/>
        <v>61</v>
      </c>
    </row>
    <row r="64" spans="7:8" x14ac:dyDescent="0.25">
      <c r="G64">
        <f t="shared" si="2"/>
        <v>313</v>
      </c>
      <c r="H64">
        <f t="shared" si="1"/>
        <v>62</v>
      </c>
    </row>
    <row r="65" spans="7:8" x14ac:dyDescent="0.25">
      <c r="G65">
        <f t="shared" si="2"/>
        <v>318</v>
      </c>
      <c r="H65">
        <f t="shared" si="1"/>
        <v>63</v>
      </c>
    </row>
    <row r="66" spans="7:8" x14ac:dyDescent="0.25">
      <c r="G66">
        <f t="shared" si="2"/>
        <v>323</v>
      </c>
      <c r="H66">
        <f t="shared" si="1"/>
        <v>64</v>
      </c>
    </row>
    <row r="67" spans="7:8" x14ac:dyDescent="0.25">
      <c r="G67">
        <f t="shared" si="2"/>
        <v>328</v>
      </c>
      <c r="H67">
        <f t="shared" si="1"/>
        <v>65</v>
      </c>
    </row>
    <row r="68" spans="7:8" x14ac:dyDescent="0.25">
      <c r="G68">
        <f t="shared" si="2"/>
        <v>333</v>
      </c>
      <c r="H68">
        <f t="shared" si="1"/>
        <v>66</v>
      </c>
    </row>
    <row r="69" spans="7:8" x14ac:dyDescent="0.25">
      <c r="G69">
        <f t="shared" si="2"/>
        <v>338</v>
      </c>
      <c r="H69">
        <f t="shared" ref="H69:H109" si="3">H68+1</f>
        <v>67</v>
      </c>
    </row>
    <row r="70" spans="7:8" x14ac:dyDescent="0.25">
      <c r="G70">
        <f t="shared" ref="G70:G109" si="4">G69+5</f>
        <v>343</v>
      </c>
      <c r="H70">
        <f t="shared" si="3"/>
        <v>68</v>
      </c>
    </row>
    <row r="71" spans="7:8" x14ac:dyDescent="0.25">
      <c r="G71">
        <f t="shared" si="4"/>
        <v>348</v>
      </c>
      <c r="H71">
        <f t="shared" si="3"/>
        <v>69</v>
      </c>
    </row>
    <row r="72" spans="7:8" x14ac:dyDescent="0.25">
      <c r="G72">
        <f t="shared" si="4"/>
        <v>353</v>
      </c>
      <c r="H72">
        <f t="shared" si="3"/>
        <v>70</v>
      </c>
    </row>
    <row r="73" spans="7:8" x14ac:dyDescent="0.25">
      <c r="G73">
        <f t="shared" si="4"/>
        <v>358</v>
      </c>
      <c r="H73">
        <f t="shared" si="3"/>
        <v>71</v>
      </c>
    </row>
    <row r="74" spans="7:8" x14ac:dyDescent="0.25">
      <c r="G74">
        <f t="shared" si="4"/>
        <v>363</v>
      </c>
      <c r="H74">
        <f t="shared" si="3"/>
        <v>72</v>
      </c>
    </row>
    <row r="75" spans="7:8" x14ac:dyDescent="0.25">
      <c r="G75">
        <f t="shared" si="4"/>
        <v>368</v>
      </c>
      <c r="H75">
        <f t="shared" si="3"/>
        <v>73</v>
      </c>
    </row>
    <row r="76" spans="7:8" x14ac:dyDescent="0.25">
      <c r="G76">
        <f t="shared" si="4"/>
        <v>373</v>
      </c>
      <c r="H76">
        <f t="shared" si="3"/>
        <v>74</v>
      </c>
    </row>
    <row r="77" spans="7:8" x14ac:dyDescent="0.25">
      <c r="G77">
        <f t="shared" si="4"/>
        <v>378</v>
      </c>
      <c r="H77">
        <f t="shared" si="3"/>
        <v>75</v>
      </c>
    </row>
    <row r="78" spans="7:8" x14ac:dyDescent="0.25">
      <c r="G78">
        <f t="shared" si="4"/>
        <v>383</v>
      </c>
      <c r="H78">
        <f t="shared" si="3"/>
        <v>76</v>
      </c>
    </row>
    <row r="79" spans="7:8" x14ac:dyDescent="0.25">
      <c r="G79">
        <f t="shared" si="4"/>
        <v>388</v>
      </c>
      <c r="H79">
        <f t="shared" si="3"/>
        <v>77</v>
      </c>
    </row>
    <row r="80" spans="7:8" x14ac:dyDescent="0.25">
      <c r="G80">
        <f t="shared" si="4"/>
        <v>393</v>
      </c>
      <c r="H80">
        <f t="shared" si="3"/>
        <v>78</v>
      </c>
    </row>
    <row r="81" spans="7:8" x14ac:dyDescent="0.25">
      <c r="G81">
        <f t="shared" si="4"/>
        <v>398</v>
      </c>
      <c r="H81">
        <f t="shared" si="3"/>
        <v>79</v>
      </c>
    </row>
    <row r="82" spans="7:8" x14ac:dyDescent="0.25">
      <c r="G82">
        <f t="shared" si="4"/>
        <v>403</v>
      </c>
      <c r="H82">
        <f t="shared" si="3"/>
        <v>80</v>
      </c>
    </row>
    <row r="83" spans="7:8" x14ac:dyDescent="0.25">
      <c r="G83">
        <f t="shared" si="4"/>
        <v>408</v>
      </c>
      <c r="H83">
        <f t="shared" si="3"/>
        <v>81</v>
      </c>
    </row>
    <row r="84" spans="7:8" x14ac:dyDescent="0.25">
      <c r="G84">
        <f t="shared" si="4"/>
        <v>413</v>
      </c>
      <c r="H84">
        <f t="shared" si="3"/>
        <v>82</v>
      </c>
    </row>
    <row r="85" spans="7:8" x14ac:dyDescent="0.25">
      <c r="G85">
        <f t="shared" si="4"/>
        <v>418</v>
      </c>
      <c r="H85">
        <f t="shared" si="3"/>
        <v>83</v>
      </c>
    </row>
    <row r="86" spans="7:8" x14ac:dyDescent="0.25">
      <c r="G86">
        <f t="shared" si="4"/>
        <v>423</v>
      </c>
      <c r="H86">
        <f t="shared" si="3"/>
        <v>84</v>
      </c>
    </row>
    <row r="87" spans="7:8" x14ac:dyDescent="0.25">
      <c r="G87">
        <f t="shared" si="4"/>
        <v>428</v>
      </c>
      <c r="H87">
        <f t="shared" si="3"/>
        <v>85</v>
      </c>
    </row>
    <row r="88" spans="7:8" x14ac:dyDescent="0.25">
      <c r="G88">
        <f t="shared" si="4"/>
        <v>433</v>
      </c>
      <c r="H88">
        <f t="shared" si="3"/>
        <v>86</v>
      </c>
    </row>
    <row r="89" spans="7:8" x14ac:dyDescent="0.25">
      <c r="G89">
        <f t="shared" si="4"/>
        <v>438</v>
      </c>
      <c r="H89">
        <f t="shared" si="3"/>
        <v>87</v>
      </c>
    </row>
    <row r="90" spans="7:8" x14ac:dyDescent="0.25">
      <c r="G90">
        <f t="shared" si="4"/>
        <v>443</v>
      </c>
      <c r="H90">
        <f t="shared" si="3"/>
        <v>88</v>
      </c>
    </row>
    <row r="91" spans="7:8" x14ac:dyDescent="0.25">
      <c r="G91">
        <f t="shared" si="4"/>
        <v>448</v>
      </c>
      <c r="H91">
        <f t="shared" si="3"/>
        <v>89</v>
      </c>
    </row>
    <row r="92" spans="7:8" x14ac:dyDescent="0.25">
      <c r="G92">
        <f t="shared" si="4"/>
        <v>453</v>
      </c>
      <c r="H92">
        <f t="shared" si="3"/>
        <v>90</v>
      </c>
    </row>
    <row r="93" spans="7:8" x14ac:dyDescent="0.25">
      <c r="G93">
        <f t="shared" si="4"/>
        <v>458</v>
      </c>
      <c r="H93">
        <f t="shared" si="3"/>
        <v>91</v>
      </c>
    </row>
    <row r="94" spans="7:8" x14ac:dyDescent="0.25">
      <c r="G94">
        <f t="shared" si="4"/>
        <v>463</v>
      </c>
      <c r="H94">
        <f t="shared" si="3"/>
        <v>92</v>
      </c>
    </row>
    <row r="95" spans="7:8" x14ac:dyDescent="0.25">
      <c r="G95">
        <f t="shared" si="4"/>
        <v>468</v>
      </c>
      <c r="H95">
        <f t="shared" si="3"/>
        <v>93</v>
      </c>
    </row>
    <row r="96" spans="7:8" x14ac:dyDescent="0.25">
      <c r="G96">
        <f t="shared" si="4"/>
        <v>473</v>
      </c>
      <c r="H96">
        <f t="shared" si="3"/>
        <v>94</v>
      </c>
    </row>
    <row r="97" spans="7:8" x14ac:dyDescent="0.25">
      <c r="G97">
        <f t="shared" si="4"/>
        <v>478</v>
      </c>
      <c r="H97">
        <f t="shared" si="3"/>
        <v>95</v>
      </c>
    </row>
    <row r="98" spans="7:8" x14ac:dyDescent="0.25">
      <c r="G98">
        <f t="shared" si="4"/>
        <v>483</v>
      </c>
      <c r="H98">
        <f t="shared" si="3"/>
        <v>96</v>
      </c>
    </row>
    <row r="99" spans="7:8" x14ac:dyDescent="0.25">
      <c r="G99">
        <f t="shared" si="4"/>
        <v>488</v>
      </c>
      <c r="H99">
        <f t="shared" si="3"/>
        <v>97</v>
      </c>
    </row>
    <row r="100" spans="7:8" x14ac:dyDescent="0.25">
      <c r="G100">
        <f t="shared" si="4"/>
        <v>493</v>
      </c>
      <c r="H100">
        <f t="shared" si="3"/>
        <v>98</v>
      </c>
    </row>
    <row r="101" spans="7:8" x14ac:dyDescent="0.25">
      <c r="G101">
        <f t="shared" si="4"/>
        <v>498</v>
      </c>
      <c r="H101">
        <f t="shared" si="3"/>
        <v>99</v>
      </c>
    </row>
    <row r="102" spans="7:8" x14ac:dyDescent="0.25">
      <c r="G102">
        <f t="shared" si="4"/>
        <v>503</v>
      </c>
      <c r="H102">
        <f t="shared" si="3"/>
        <v>100</v>
      </c>
    </row>
    <row r="103" spans="7:8" x14ac:dyDescent="0.25">
      <c r="G103">
        <f t="shared" si="4"/>
        <v>508</v>
      </c>
      <c r="H103">
        <f t="shared" si="3"/>
        <v>101</v>
      </c>
    </row>
    <row r="104" spans="7:8" x14ac:dyDescent="0.25">
      <c r="G104">
        <f t="shared" si="4"/>
        <v>513</v>
      </c>
      <c r="H104">
        <f t="shared" si="3"/>
        <v>102</v>
      </c>
    </row>
    <row r="105" spans="7:8" x14ac:dyDescent="0.25">
      <c r="G105">
        <f t="shared" si="4"/>
        <v>518</v>
      </c>
      <c r="H105">
        <f t="shared" si="3"/>
        <v>103</v>
      </c>
    </row>
    <row r="106" spans="7:8" x14ac:dyDescent="0.25">
      <c r="G106">
        <f t="shared" si="4"/>
        <v>523</v>
      </c>
      <c r="H106">
        <f t="shared" si="3"/>
        <v>104</v>
      </c>
    </row>
    <row r="107" spans="7:8" x14ac:dyDescent="0.25">
      <c r="G107">
        <f t="shared" si="4"/>
        <v>528</v>
      </c>
      <c r="H107">
        <f t="shared" si="3"/>
        <v>105</v>
      </c>
    </row>
    <row r="108" spans="7:8" x14ac:dyDescent="0.25">
      <c r="G108">
        <f t="shared" si="4"/>
        <v>533</v>
      </c>
      <c r="H108">
        <f t="shared" si="3"/>
        <v>106</v>
      </c>
    </row>
    <row r="109" spans="7:8" x14ac:dyDescent="0.25">
      <c r="G109">
        <f t="shared" si="4"/>
        <v>538</v>
      </c>
      <c r="H109">
        <f t="shared" si="3"/>
        <v>107</v>
      </c>
    </row>
  </sheetData>
  <mergeCells count="2">
    <mergeCell ref="G1:H1"/>
    <mergeCell ref="J1:K1"/>
  </mergeCells>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11</vt:i4>
      </vt:variant>
    </vt:vector>
  </HeadingPairs>
  <TitlesOfParts>
    <vt:vector size="20" baseType="lpstr">
      <vt:lpstr>Introduction</vt:lpstr>
      <vt:lpstr>Setup</vt:lpstr>
      <vt:lpstr>Projects &amp; Tasks</vt:lpstr>
      <vt:lpstr>Kanban</vt:lpstr>
      <vt:lpstr>Dashboard</vt:lpstr>
      <vt:lpstr>Pivots</vt:lpstr>
      <vt:lpstr>DataAgg</vt:lpstr>
      <vt:lpstr>KanbanPrep</vt:lpstr>
      <vt:lpstr>HiddenSht</vt:lpstr>
      <vt:lpstr>Kanban!Heading5</vt:lpstr>
      <vt:lpstr>Kanban!Heading6</vt:lpstr>
      <vt:lpstr>Kanban!Heading7</vt:lpstr>
      <vt:lpstr>Kanban!Heading8</vt:lpstr>
      <vt:lpstr>Kanban!Heading9</vt:lpstr>
      <vt:lpstr>Setup!PreviousColCount</vt:lpstr>
      <vt:lpstr>Priorities</vt:lpstr>
      <vt:lpstr>ProgressPercents</vt:lpstr>
      <vt:lpstr>RowLookupTbl</vt:lpstr>
      <vt:lpstr>StatusCountTbl</vt:lpstr>
      <vt:lpstr>StatusOptions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Violet Cartee</dc:creator>
  <cp:lastModifiedBy>QSK1184</cp:lastModifiedBy>
  <dcterms:created xsi:type="dcterms:W3CDTF">2020-08-05T20:44:16Z</dcterms:created>
  <dcterms:modified xsi:type="dcterms:W3CDTF">2024-09-20T12:21:03Z</dcterms:modified>
</cp:coreProperties>
</file>