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Project Management\"/>
    </mc:Choice>
  </mc:AlternateContent>
  <xr:revisionPtr revIDLastSave="0" documentId="13_ncr:1_{DF3FEC31-B700-4A27-850D-3F4E843DB60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3" r:id="rId1"/>
    <sheet name="PDCA review" sheetId="5" r:id="rId2"/>
    <sheet name="Plan" sheetId="7" r:id="rId3"/>
    <sheet name="Do" sheetId="10" r:id="rId4"/>
    <sheet name="Check" sheetId="8" r:id="rId5"/>
    <sheet name="Act" sheetId="9" r:id="rId6"/>
    <sheet name="PDCA List" sheetId="12" r:id="rId7"/>
    <sheet name="PDCA Guide" sheetId="11" r:id="rId8"/>
    <sheet name="Helper sheet plan" sheetId="14" state="hidden" r:id="rId9"/>
    <sheet name="Helper sheet Do" sheetId="15" state="hidden" r:id="rId10"/>
    <sheet name="Helper sheet check" sheetId="16" state="hidden" r:id="rId11"/>
    <sheet name="Helper sheet act" sheetId="17" state="hidden" r:id="rId12"/>
  </sheets>
  <definedNames>
    <definedName name="Department">OFFSET('PDCA List'!$E$4,0,0,COUNTA('PDCA List'!$E:$E)-2,1)</definedName>
    <definedName name="Members">OFFSET('PDCA List'!$G$4,0,0,COUNTA('PDCA List'!$G:$G)-2,1)</definedName>
    <definedName name="Project">OFFSET('PDCA List'!$B$4,0,0,COUNTA('PDCA List'!$B:$B)-2,1)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9" l="1"/>
  <c r="D9" i="9"/>
  <c r="J9" i="9"/>
  <c r="C8" i="9"/>
  <c r="D8" i="9"/>
  <c r="J8" i="9"/>
  <c r="C7" i="9"/>
  <c r="D7" i="9"/>
  <c r="J7" i="9"/>
  <c r="C6" i="9"/>
  <c r="D6" i="9"/>
  <c r="J6" i="9"/>
  <c r="C9" i="8"/>
  <c r="D9" i="8"/>
  <c r="J9" i="8"/>
  <c r="C8" i="8"/>
  <c r="D8" i="8"/>
  <c r="J8" i="8"/>
  <c r="C7" i="8"/>
  <c r="D7" i="8"/>
  <c r="J7" i="8"/>
  <c r="C6" i="8"/>
  <c r="D6" i="8"/>
  <c r="J6" i="8"/>
  <c r="C10" i="10"/>
  <c r="D10" i="10"/>
  <c r="J10" i="10"/>
  <c r="C9" i="10"/>
  <c r="D9" i="10"/>
  <c r="J9" i="10"/>
  <c r="C8" i="10"/>
  <c r="D8" i="10"/>
  <c r="J8" i="10"/>
  <c r="C7" i="10"/>
  <c r="D7" i="10"/>
  <c r="J7" i="10"/>
  <c r="C17" i="7"/>
  <c r="D17" i="7"/>
  <c r="J17" i="7"/>
  <c r="C16" i="7"/>
  <c r="D16" i="7"/>
  <c r="J16" i="7"/>
  <c r="C15" i="7"/>
  <c r="D15" i="7"/>
  <c r="J15" i="7"/>
  <c r="C14" i="7"/>
  <c r="D14" i="7"/>
  <c r="J14" i="7"/>
  <c r="C13" i="7"/>
  <c r="D13" i="7"/>
  <c r="J13" i="7"/>
  <c r="C12" i="7"/>
  <c r="D12" i="7"/>
  <c r="J12" i="7"/>
  <c r="C11" i="7"/>
  <c r="D11" i="7"/>
  <c r="J11" i="7"/>
  <c r="C5" i="9"/>
  <c r="D5" i="9"/>
  <c r="J5" i="9"/>
  <c r="C5" i="8"/>
  <c r="D5" i="8"/>
  <c r="J5" i="8"/>
  <c r="C4" i="8"/>
  <c r="D4" i="8"/>
  <c r="J4" i="8"/>
  <c r="C6" i="10"/>
  <c r="D6" i="10"/>
  <c r="J6" i="10"/>
  <c r="C5" i="10"/>
  <c r="D5" i="10"/>
  <c r="J5" i="10"/>
  <c r="C4" i="10"/>
  <c r="D4" i="10"/>
  <c r="J4" i="10"/>
  <c r="C10" i="7"/>
  <c r="D10" i="7"/>
  <c r="J10" i="7"/>
  <c r="B4" i="16" l="1"/>
  <c r="B5" i="16"/>
  <c r="B6" i="16"/>
  <c r="B7" i="16"/>
  <c r="C7" i="16" s="1"/>
  <c r="B8" i="16"/>
  <c r="C8" i="16" s="1"/>
  <c r="B9" i="16"/>
  <c r="B10" i="16"/>
  <c r="C10" i="16" s="1"/>
  <c r="B11" i="16"/>
  <c r="C11" i="16" s="1"/>
  <c r="B12" i="16"/>
  <c r="B13" i="16"/>
  <c r="B14" i="16"/>
  <c r="B15" i="16"/>
  <c r="B16" i="16"/>
  <c r="B17" i="16"/>
  <c r="B18" i="16"/>
  <c r="C18" i="16" s="1"/>
  <c r="B19" i="16"/>
  <c r="C19" i="16" s="1"/>
  <c r="B20" i="16"/>
  <c r="C20" i="16" s="1"/>
  <c r="B21" i="16"/>
  <c r="B22" i="16"/>
  <c r="B23" i="16"/>
  <c r="C23" i="16" s="1"/>
  <c r="B24" i="16"/>
  <c r="C24" i="16" s="1"/>
  <c r="B25" i="16"/>
  <c r="B26" i="16"/>
  <c r="C26" i="16" s="1"/>
  <c r="B27" i="16"/>
  <c r="C27" i="16" s="1"/>
  <c r="B28" i="16"/>
  <c r="B29" i="16"/>
  <c r="B30" i="16"/>
  <c r="B31" i="16"/>
  <c r="C31" i="16" s="1"/>
  <c r="B32" i="16"/>
  <c r="C32" i="16" s="1"/>
  <c r="B33" i="16"/>
  <c r="B34" i="16"/>
  <c r="C34" i="16" s="1"/>
  <c r="B35" i="16"/>
  <c r="C35" i="16" s="1"/>
  <c r="B36" i="16"/>
  <c r="B37" i="16"/>
  <c r="B38" i="16"/>
  <c r="C38" i="16" s="1"/>
  <c r="B39" i="16"/>
  <c r="C39" i="16" s="1"/>
  <c r="B40" i="16"/>
  <c r="C40" i="16" s="1"/>
  <c r="B41" i="16"/>
  <c r="B42" i="16"/>
  <c r="C42" i="16" s="1"/>
  <c r="B43" i="16"/>
  <c r="C43" i="16" s="1"/>
  <c r="B44" i="16"/>
  <c r="C44" i="16" s="1"/>
  <c r="B45" i="16"/>
  <c r="B46" i="16"/>
  <c r="B47" i="16"/>
  <c r="B48" i="16"/>
  <c r="C48" i="16" s="1"/>
  <c r="B49" i="16"/>
  <c r="B50" i="16"/>
  <c r="C50" i="16" s="1"/>
  <c r="B51" i="16"/>
  <c r="C51" i="16" s="1"/>
  <c r="B52" i="16"/>
  <c r="B53" i="16"/>
  <c r="B54" i="16"/>
  <c r="B55" i="16"/>
  <c r="C55" i="16" s="1"/>
  <c r="B56" i="16"/>
  <c r="C56" i="16" s="1"/>
  <c r="B57" i="16"/>
  <c r="B58" i="16"/>
  <c r="C58" i="16" s="1"/>
  <c r="B59" i="16"/>
  <c r="C59" i="16" s="1"/>
  <c r="B60" i="16"/>
  <c r="B61" i="16"/>
  <c r="B62" i="16"/>
  <c r="C62" i="16" s="1"/>
  <c r="B63" i="16"/>
  <c r="C63" i="16" s="1"/>
  <c r="B64" i="16"/>
  <c r="B65" i="16"/>
  <c r="B66" i="16"/>
  <c r="C66" i="16" s="1"/>
  <c r="B67" i="16"/>
  <c r="C67" i="16" s="1"/>
  <c r="B68" i="16"/>
  <c r="C68" i="16" s="1"/>
  <c r="B69" i="16"/>
  <c r="B70" i="16"/>
  <c r="B71" i="16"/>
  <c r="C71" i="16" s="1"/>
  <c r="B72" i="16"/>
  <c r="C72" i="16" s="1"/>
  <c r="B73" i="16"/>
  <c r="B74" i="16"/>
  <c r="C74" i="16" s="1"/>
  <c r="B75" i="16"/>
  <c r="C75" i="16" s="1"/>
  <c r="B76" i="16"/>
  <c r="B77" i="16"/>
  <c r="B78" i="16"/>
  <c r="B79" i="16"/>
  <c r="B80" i="16"/>
  <c r="C80" i="16" s="1"/>
  <c r="B81" i="16"/>
  <c r="B82" i="16"/>
  <c r="C82" i="16" s="1"/>
  <c r="B83" i="16"/>
  <c r="C83" i="16" s="1"/>
  <c r="B84" i="16"/>
  <c r="B85" i="16"/>
  <c r="B86" i="16"/>
  <c r="C86" i="16" s="1"/>
  <c r="B87" i="16"/>
  <c r="C87" i="16" s="1"/>
  <c r="B88" i="16"/>
  <c r="B89" i="16"/>
  <c r="B90" i="16"/>
  <c r="C90" i="16" s="1"/>
  <c r="B91" i="16"/>
  <c r="C91" i="16" s="1"/>
  <c r="B92" i="16"/>
  <c r="C92" i="16" s="1"/>
  <c r="B93" i="16"/>
  <c r="B94" i="16"/>
  <c r="B95" i="16"/>
  <c r="C95" i="16" s="1"/>
  <c r="B96" i="16"/>
  <c r="C96" i="16" s="1"/>
  <c r="B97" i="16"/>
  <c r="B98" i="16"/>
  <c r="C98" i="16" s="1"/>
  <c r="B99" i="16"/>
  <c r="C99" i="16" s="1"/>
  <c r="B100" i="16"/>
  <c r="B101" i="16"/>
  <c r="B102" i="16"/>
  <c r="B103" i="16"/>
  <c r="C103" i="16" s="1"/>
  <c r="B104" i="16"/>
  <c r="C104" i="16" s="1"/>
  <c r="B105" i="16"/>
  <c r="B106" i="16"/>
  <c r="C106" i="16" s="1"/>
  <c r="B107" i="16"/>
  <c r="C107" i="16" s="1"/>
  <c r="B108" i="16"/>
  <c r="B109" i="16"/>
  <c r="B110" i="16"/>
  <c r="C110" i="16" s="1"/>
  <c r="B111" i="16"/>
  <c r="C111" i="16" s="1"/>
  <c r="B112" i="16"/>
  <c r="C112" i="16" s="1"/>
  <c r="B113" i="16"/>
  <c r="B114" i="16"/>
  <c r="C114" i="16" s="1"/>
  <c r="B115" i="16"/>
  <c r="C115" i="16" s="1"/>
  <c r="B116" i="16"/>
  <c r="C116" i="16" s="1"/>
  <c r="B117" i="16"/>
  <c r="B118" i="16"/>
  <c r="B119" i="16"/>
  <c r="B120" i="16"/>
  <c r="B121" i="16"/>
  <c r="B122" i="16"/>
  <c r="C122" i="16" s="1"/>
  <c r="B123" i="16"/>
  <c r="C123" i="16" s="1"/>
  <c r="B124" i="16"/>
  <c r="B125" i="16"/>
  <c r="B126" i="16"/>
  <c r="B127" i="16"/>
  <c r="C127" i="16" s="1"/>
  <c r="B128" i="16"/>
  <c r="C128" i="16" s="1"/>
  <c r="B129" i="16"/>
  <c r="B130" i="16"/>
  <c r="C130" i="16" s="1"/>
  <c r="B131" i="16"/>
  <c r="C131" i="16" s="1"/>
  <c r="B132" i="16"/>
  <c r="B133" i="16"/>
  <c r="B134" i="16"/>
  <c r="C134" i="16" s="1"/>
  <c r="B135" i="16"/>
  <c r="C135" i="16" s="1"/>
  <c r="B136" i="16"/>
  <c r="B137" i="16"/>
  <c r="B138" i="16"/>
  <c r="C138" i="16" s="1"/>
  <c r="B139" i="16"/>
  <c r="C139" i="16" s="1"/>
  <c r="B140" i="16"/>
  <c r="C140" i="16" s="1"/>
  <c r="B141" i="16"/>
  <c r="B142" i="16"/>
  <c r="B143" i="16"/>
  <c r="C143" i="16" s="1"/>
  <c r="B144" i="16"/>
  <c r="C144" i="16" s="1"/>
  <c r="B145" i="16"/>
  <c r="B146" i="16"/>
  <c r="C146" i="16" s="1"/>
  <c r="B147" i="16"/>
  <c r="C147" i="16" s="1"/>
  <c r="B148" i="16"/>
  <c r="B149" i="16"/>
  <c r="B150" i="16"/>
  <c r="B151" i="16"/>
  <c r="B152" i="16"/>
  <c r="C152" i="16" s="1"/>
  <c r="B153" i="16"/>
  <c r="B154" i="16"/>
  <c r="C154" i="16" s="1"/>
  <c r="B155" i="16"/>
  <c r="C155" i="16" s="1"/>
  <c r="B156" i="16"/>
  <c r="B157" i="16"/>
  <c r="B158" i="16"/>
  <c r="C158" i="16" s="1"/>
  <c r="B159" i="16"/>
  <c r="C159" i="16" s="1"/>
  <c r="B160" i="16"/>
  <c r="C160" i="16" s="1"/>
  <c r="B161" i="16"/>
  <c r="B162" i="16"/>
  <c r="C162" i="16" s="1"/>
  <c r="B163" i="16"/>
  <c r="C163" i="16" s="1"/>
  <c r="B164" i="16"/>
  <c r="C164" i="16" s="1"/>
  <c r="B165" i="16"/>
  <c r="B166" i="16"/>
  <c r="B167" i="16"/>
  <c r="C167" i="16" s="1"/>
  <c r="B168" i="16"/>
  <c r="B169" i="16"/>
  <c r="C169" i="16" s="1"/>
  <c r="B170" i="16"/>
  <c r="C170" i="16" s="1"/>
  <c r="B171" i="16"/>
  <c r="C171" i="16" s="1"/>
  <c r="B172" i="16"/>
  <c r="B173" i="16"/>
  <c r="B174" i="16"/>
  <c r="B175" i="16"/>
  <c r="C175" i="16" s="1"/>
  <c r="B176" i="16"/>
  <c r="C176" i="16" s="1"/>
  <c r="B177" i="16"/>
  <c r="C177" i="16" s="1"/>
  <c r="B178" i="16"/>
  <c r="C178" i="16" s="1"/>
  <c r="B179" i="16"/>
  <c r="C179" i="16" s="1"/>
  <c r="B180" i="16"/>
  <c r="B181" i="16"/>
  <c r="B182" i="16"/>
  <c r="C182" i="16" s="1"/>
  <c r="B183" i="16"/>
  <c r="C183" i="16" s="1"/>
  <c r="B184" i="16"/>
  <c r="B185" i="16"/>
  <c r="C185" i="16" s="1"/>
  <c r="B186" i="16"/>
  <c r="C186" i="16" s="1"/>
  <c r="B187" i="16"/>
  <c r="C187" i="16" s="1"/>
  <c r="B188" i="16"/>
  <c r="C188" i="16" s="1"/>
  <c r="B189" i="16"/>
  <c r="B190" i="16"/>
  <c r="B191" i="16"/>
  <c r="C191" i="16" s="1"/>
  <c r="B192" i="16"/>
  <c r="C192" i="16" s="1"/>
  <c r="B193" i="16"/>
  <c r="C193" i="16" s="1"/>
  <c r="B194" i="16"/>
  <c r="C194" i="16" s="1"/>
  <c r="B195" i="16"/>
  <c r="C195" i="16" s="1"/>
  <c r="B196" i="16"/>
  <c r="B197" i="16"/>
  <c r="B198" i="16"/>
  <c r="B199" i="16"/>
  <c r="C199" i="16" s="1"/>
  <c r="B200" i="16"/>
  <c r="C200" i="16" s="1"/>
  <c r="B201" i="16"/>
  <c r="C201" i="16" s="1"/>
  <c r="B202" i="16"/>
  <c r="C202" i="16" s="1"/>
  <c r="B203" i="16"/>
  <c r="C203" i="16" s="1"/>
  <c r="B204" i="16"/>
  <c r="B205" i="16"/>
  <c r="B206" i="16"/>
  <c r="B207" i="16"/>
  <c r="C207" i="16" s="1"/>
  <c r="B208" i="16"/>
  <c r="C208" i="16" s="1"/>
  <c r="B209" i="16"/>
  <c r="C209" i="16" s="1"/>
  <c r="B210" i="16"/>
  <c r="C210" i="16" s="1"/>
  <c r="B211" i="16"/>
  <c r="C211" i="16" s="1"/>
  <c r="B212" i="16"/>
  <c r="C212" i="16" s="1"/>
  <c r="B213" i="16"/>
  <c r="B214" i="16"/>
  <c r="B215" i="16"/>
  <c r="C215" i="16" s="1"/>
  <c r="B216" i="16"/>
  <c r="B217" i="16"/>
  <c r="C217" i="16" s="1"/>
  <c r="B218" i="16"/>
  <c r="C218" i="16" s="1"/>
  <c r="B219" i="16"/>
  <c r="C219" i="16" s="1"/>
  <c r="B220" i="16"/>
  <c r="B221" i="16"/>
  <c r="B222" i="16"/>
  <c r="B223" i="16"/>
  <c r="C223" i="16" s="1"/>
  <c r="B224" i="16"/>
  <c r="C224" i="16" s="1"/>
  <c r="B225" i="16"/>
  <c r="C225" i="16" s="1"/>
  <c r="B226" i="16"/>
  <c r="C226" i="16" s="1"/>
  <c r="B227" i="16"/>
  <c r="C227" i="16" s="1"/>
  <c r="B228" i="16"/>
  <c r="B229" i="16"/>
  <c r="B230" i="16"/>
  <c r="C230" i="16" s="1"/>
  <c r="B231" i="16"/>
  <c r="C231" i="16" s="1"/>
  <c r="B232" i="16"/>
  <c r="B233" i="16"/>
  <c r="C233" i="16" s="1"/>
  <c r="B234" i="16"/>
  <c r="C234" i="16" s="1"/>
  <c r="B235" i="16"/>
  <c r="C235" i="16" s="1"/>
  <c r="B236" i="16"/>
  <c r="B237" i="16"/>
  <c r="B238" i="16"/>
  <c r="B239" i="16"/>
  <c r="C239" i="16" s="1"/>
  <c r="B240" i="16"/>
  <c r="C240" i="16" s="1"/>
  <c r="B241" i="16"/>
  <c r="C241" i="16" s="1"/>
  <c r="B242" i="16"/>
  <c r="C242" i="16" s="1"/>
  <c r="B243" i="16"/>
  <c r="C243" i="16" s="1"/>
  <c r="B244" i="16"/>
  <c r="B245" i="16"/>
  <c r="B246" i="16"/>
  <c r="B247" i="16"/>
  <c r="C247" i="16" s="1"/>
  <c r="B248" i="16"/>
  <c r="B249" i="16"/>
  <c r="C249" i="16" s="1"/>
  <c r="B250" i="16"/>
  <c r="C250" i="16" s="1"/>
  <c r="B251" i="16"/>
  <c r="C251" i="16" s="1"/>
  <c r="B252" i="16"/>
  <c r="B253" i="16"/>
  <c r="B254" i="16"/>
  <c r="C254" i="16" s="1"/>
  <c r="B255" i="16"/>
  <c r="C255" i="16" s="1"/>
  <c r="B256" i="16"/>
  <c r="C256" i="16" s="1"/>
  <c r="B257" i="16"/>
  <c r="C257" i="16" s="1"/>
  <c r="B258" i="16"/>
  <c r="C258" i="16" s="1"/>
  <c r="B259" i="16"/>
  <c r="C259" i="16" s="1"/>
  <c r="B260" i="16"/>
  <c r="C260" i="16" s="1"/>
  <c r="B261" i="16"/>
  <c r="B262" i="16"/>
  <c r="B263" i="16"/>
  <c r="C263" i="16" s="1"/>
  <c r="B264" i="16"/>
  <c r="B265" i="16"/>
  <c r="C265" i="16" s="1"/>
  <c r="B266" i="16"/>
  <c r="C266" i="16" s="1"/>
  <c r="B267" i="16"/>
  <c r="C267" i="16" s="1"/>
  <c r="B268" i="16"/>
  <c r="B269" i="16"/>
  <c r="B270" i="16"/>
  <c r="B271" i="16"/>
  <c r="C271" i="16" s="1"/>
  <c r="B272" i="16"/>
  <c r="C272" i="16" s="1"/>
  <c r="B273" i="16"/>
  <c r="C273" i="16" s="1"/>
  <c r="B274" i="16"/>
  <c r="C274" i="16" s="1"/>
  <c r="B275" i="16"/>
  <c r="C275" i="16" s="1"/>
  <c r="B276" i="16"/>
  <c r="B277" i="16"/>
  <c r="B278" i="16"/>
  <c r="C278" i="16" s="1"/>
  <c r="B279" i="16"/>
  <c r="C279" i="16" s="1"/>
  <c r="B280" i="16"/>
  <c r="B281" i="16"/>
  <c r="C281" i="16" s="1"/>
  <c r="B282" i="16"/>
  <c r="C282" i="16" s="1"/>
  <c r="B283" i="16"/>
  <c r="C283" i="16" s="1"/>
  <c r="B284" i="16"/>
  <c r="C284" i="16" s="1"/>
  <c r="B285" i="16"/>
  <c r="B286" i="16"/>
  <c r="B287" i="16"/>
  <c r="C287" i="16" s="1"/>
  <c r="B288" i="16"/>
  <c r="C288" i="16" s="1"/>
  <c r="B289" i="16"/>
  <c r="C289" i="16" s="1"/>
  <c r="B290" i="16"/>
  <c r="C290" i="16" s="1"/>
  <c r="B291" i="16"/>
  <c r="C291" i="16" s="1"/>
  <c r="B292" i="16"/>
  <c r="B293" i="16"/>
  <c r="B294" i="16"/>
  <c r="B295" i="16"/>
  <c r="C295" i="16" s="1"/>
  <c r="B296" i="16"/>
  <c r="C296" i="16" s="1"/>
  <c r="B297" i="16"/>
  <c r="B298" i="16"/>
  <c r="C298" i="16" s="1"/>
  <c r="B299" i="16"/>
  <c r="C299" i="16" s="1"/>
  <c r="B300" i="16"/>
  <c r="B301" i="16"/>
  <c r="B302" i="16"/>
  <c r="C302" i="16" s="1"/>
  <c r="B303" i="16"/>
  <c r="C303" i="16" s="1"/>
  <c r="B304" i="16"/>
  <c r="C304" i="16" s="1"/>
  <c r="B305" i="16"/>
  <c r="C305" i="16" s="1"/>
  <c r="B306" i="16"/>
  <c r="C306" i="16" s="1"/>
  <c r="B307" i="16"/>
  <c r="C307" i="16" s="1"/>
  <c r="B308" i="16"/>
  <c r="C308" i="16" s="1"/>
  <c r="B309" i="16"/>
  <c r="B310" i="16"/>
  <c r="B311" i="16"/>
  <c r="B312" i="16"/>
  <c r="C312" i="16" s="1"/>
  <c r="B313" i="16"/>
  <c r="C313" i="16" s="1"/>
  <c r="B314" i="16"/>
  <c r="C314" i="16" s="1"/>
  <c r="B315" i="16"/>
  <c r="C315" i="16" s="1"/>
  <c r="B316" i="16"/>
  <c r="B317" i="16"/>
  <c r="B318" i="16"/>
  <c r="B319" i="16"/>
  <c r="C319" i="16" s="1"/>
  <c r="B320" i="16"/>
  <c r="C320" i="16" s="1"/>
  <c r="B321" i="16"/>
  <c r="C321" i="16" s="1"/>
  <c r="B322" i="16"/>
  <c r="C322" i="16" s="1"/>
  <c r="B323" i="16"/>
  <c r="C323" i="16" s="1"/>
  <c r="B324" i="16"/>
  <c r="B325" i="16"/>
  <c r="B326" i="16"/>
  <c r="B327" i="16"/>
  <c r="B328" i="16"/>
  <c r="B329" i="16"/>
  <c r="C329" i="16" s="1"/>
  <c r="B330" i="16"/>
  <c r="C330" i="16" s="1"/>
  <c r="B331" i="16"/>
  <c r="C331" i="16" s="1"/>
  <c r="B332" i="16"/>
  <c r="C332" i="16" s="1"/>
  <c r="B333" i="16"/>
  <c r="B334" i="16"/>
  <c r="B335" i="16"/>
  <c r="C335" i="16" s="1"/>
  <c r="B336" i="16"/>
  <c r="C336" i="16" s="1"/>
  <c r="B337" i="16"/>
  <c r="B338" i="16"/>
  <c r="C338" i="16" s="1"/>
  <c r="B339" i="16"/>
  <c r="C339" i="16" s="1"/>
  <c r="B340" i="16"/>
  <c r="B341" i="16"/>
  <c r="B342" i="16"/>
  <c r="B343" i="16"/>
  <c r="C343" i="16" s="1"/>
  <c r="B344" i="16"/>
  <c r="C344" i="16" s="1"/>
  <c r="B345" i="16"/>
  <c r="C345" i="16" s="1"/>
  <c r="B346" i="16"/>
  <c r="C346" i="16" s="1"/>
  <c r="B347" i="16"/>
  <c r="C347" i="16" s="1"/>
  <c r="B348" i="16"/>
  <c r="B349" i="16"/>
  <c r="B350" i="16"/>
  <c r="B351" i="16"/>
  <c r="C351" i="16" s="1"/>
  <c r="B352" i="16"/>
  <c r="B353" i="16"/>
  <c r="C353" i="16" s="1"/>
  <c r="B354" i="16"/>
  <c r="C354" i="16" s="1"/>
  <c r="B355" i="16"/>
  <c r="C355" i="16" s="1"/>
  <c r="B356" i="16"/>
  <c r="C356" i="16" s="1"/>
  <c r="B357" i="16"/>
  <c r="B358" i="16"/>
  <c r="B359" i="16"/>
  <c r="C359" i="16" s="1"/>
  <c r="B360" i="16"/>
  <c r="C360" i="16" s="1"/>
  <c r="B361" i="16"/>
  <c r="B362" i="16"/>
  <c r="C362" i="16" s="1"/>
  <c r="B363" i="16"/>
  <c r="C363" i="16" s="1"/>
  <c r="B364" i="16"/>
  <c r="B365" i="16"/>
  <c r="B366" i="16"/>
  <c r="B367" i="16"/>
  <c r="C367" i="16" s="1"/>
  <c r="B368" i="16"/>
  <c r="C368" i="16" s="1"/>
  <c r="B369" i="16"/>
  <c r="C369" i="16" s="1"/>
  <c r="B370" i="16"/>
  <c r="C370" i="16" s="1"/>
  <c r="B371" i="16"/>
  <c r="C371" i="16" s="1"/>
  <c r="B372" i="16"/>
  <c r="B373" i="16"/>
  <c r="B374" i="16"/>
  <c r="B375" i="16"/>
  <c r="C375" i="16" s="1"/>
  <c r="B376" i="16"/>
  <c r="C376" i="16" s="1"/>
  <c r="B377" i="16"/>
  <c r="C377" i="16" s="1"/>
  <c r="B378" i="16"/>
  <c r="C378" i="16" s="1"/>
  <c r="B379" i="16"/>
  <c r="C379" i="16" s="1"/>
  <c r="B380" i="16"/>
  <c r="C380" i="16" s="1"/>
  <c r="B381" i="16"/>
  <c r="B382" i="16"/>
  <c r="B383" i="16"/>
  <c r="C383" i="16" s="1"/>
  <c r="B384" i="16"/>
  <c r="B385" i="16"/>
  <c r="C385" i="16" s="1"/>
  <c r="B386" i="16"/>
  <c r="C386" i="16" s="1"/>
  <c r="B387" i="16"/>
  <c r="C387" i="16" s="1"/>
  <c r="B388" i="16"/>
  <c r="B389" i="16"/>
  <c r="B390" i="16"/>
  <c r="B391" i="16"/>
  <c r="C391" i="16" s="1"/>
  <c r="B392" i="16"/>
  <c r="C392" i="16" s="1"/>
  <c r="B393" i="16"/>
  <c r="C393" i="16" s="1"/>
  <c r="B394" i="16"/>
  <c r="C394" i="16" s="1"/>
  <c r="B395" i="16"/>
  <c r="C395" i="16" s="1"/>
  <c r="B396" i="16"/>
  <c r="B397" i="16"/>
  <c r="B398" i="16"/>
  <c r="C398" i="16" s="1"/>
  <c r="B399" i="16"/>
  <c r="C399" i="16" s="1"/>
  <c r="B400" i="16"/>
  <c r="B401" i="16"/>
  <c r="C401" i="16" s="1"/>
  <c r="B402" i="16"/>
  <c r="C402" i="16" s="1"/>
  <c r="B403" i="16"/>
  <c r="C403" i="16" s="1"/>
  <c r="B404" i="16"/>
  <c r="B405" i="16"/>
  <c r="B406" i="16"/>
  <c r="B407" i="16"/>
  <c r="C407" i="16" s="1"/>
  <c r="B408" i="16"/>
  <c r="C408" i="16" s="1"/>
  <c r="B409" i="16"/>
  <c r="C409" i="16" s="1"/>
  <c r="B410" i="16"/>
  <c r="C410" i="16" s="1"/>
  <c r="B411" i="16"/>
  <c r="C411" i="16" s="1"/>
  <c r="B412" i="16"/>
  <c r="B413" i="16"/>
  <c r="B414" i="16"/>
  <c r="B415" i="16"/>
  <c r="C415" i="16" s="1"/>
  <c r="B416" i="16"/>
  <c r="B417" i="16"/>
  <c r="C417" i="16" s="1"/>
  <c r="B418" i="16"/>
  <c r="C418" i="16" s="1"/>
  <c r="B419" i="16"/>
  <c r="C419" i="16" s="1"/>
  <c r="B420" i="16"/>
  <c r="B421" i="16"/>
  <c r="B422" i="16"/>
  <c r="C422" i="16" s="1"/>
  <c r="B423" i="16"/>
  <c r="C423" i="16" s="1"/>
  <c r="B424" i="16"/>
  <c r="C424" i="16" s="1"/>
  <c r="B425" i="16"/>
  <c r="B426" i="16"/>
  <c r="C426" i="16" s="1"/>
  <c r="B427" i="16"/>
  <c r="C427" i="16" s="1"/>
  <c r="B428" i="16"/>
  <c r="C428" i="16" s="1"/>
  <c r="B429" i="16"/>
  <c r="B430" i="16"/>
  <c r="B431" i="16"/>
  <c r="C431" i="16" s="1"/>
  <c r="B432" i="16"/>
  <c r="B433" i="16"/>
  <c r="C433" i="16" s="1"/>
  <c r="B434" i="16"/>
  <c r="C434" i="16" s="1"/>
  <c r="B435" i="16"/>
  <c r="C435" i="16" s="1"/>
  <c r="B436" i="16"/>
  <c r="B437" i="16"/>
  <c r="B438" i="16"/>
  <c r="B439" i="16"/>
  <c r="C439" i="16" s="1"/>
  <c r="B440" i="16"/>
  <c r="C440" i="16" s="1"/>
  <c r="B441" i="16"/>
  <c r="C441" i="16" s="1"/>
  <c r="B442" i="16"/>
  <c r="C442" i="16" s="1"/>
  <c r="B443" i="16"/>
  <c r="C443" i="16" s="1"/>
  <c r="B444" i="16"/>
  <c r="B445" i="16"/>
  <c r="B446" i="16"/>
  <c r="C446" i="16" s="1"/>
  <c r="B447" i="16"/>
  <c r="C447" i="16" s="1"/>
  <c r="B448" i="16"/>
  <c r="B449" i="16"/>
  <c r="C449" i="16" s="1"/>
  <c r="B450" i="16"/>
  <c r="C450" i="16" s="1"/>
  <c r="B451" i="16"/>
  <c r="C451" i="16" s="1"/>
  <c r="B452" i="16"/>
  <c r="C452" i="16" s="1"/>
  <c r="B453" i="16"/>
  <c r="B454" i="16"/>
  <c r="B455" i="16"/>
  <c r="B456" i="16"/>
  <c r="C456" i="16" s="1"/>
  <c r="B457" i="16"/>
  <c r="C457" i="16" s="1"/>
  <c r="B458" i="16"/>
  <c r="C458" i="16" s="1"/>
  <c r="B459" i="16"/>
  <c r="C459" i="16" s="1"/>
  <c r="B460" i="16"/>
  <c r="B461" i="16"/>
  <c r="B462" i="16"/>
  <c r="B463" i="16"/>
  <c r="C463" i="16" s="1"/>
  <c r="B464" i="16"/>
  <c r="C464" i="16" s="1"/>
  <c r="B465" i="16"/>
  <c r="C465" i="16" s="1"/>
  <c r="B466" i="16"/>
  <c r="C466" i="16" s="1"/>
  <c r="B467" i="16"/>
  <c r="C467" i="16" s="1"/>
  <c r="B468" i="16"/>
  <c r="B469" i="16"/>
  <c r="B470" i="16"/>
  <c r="C470" i="16" s="1"/>
  <c r="B471" i="16"/>
  <c r="C471" i="16" s="1"/>
  <c r="B472" i="16"/>
  <c r="C472" i="16" s="1"/>
  <c r="B473" i="16"/>
  <c r="C473" i="16" s="1"/>
  <c r="B474" i="16"/>
  <c r="C474" i="16" s="1"/>
  <c r="B475" i="16"/>
  <c r="C475" i="16" s="1"/>
  <c r="B476" i="16"/>
  <c r="C476" i="16" s="1"/>
  <c r="B477" i="16"/>
  <c r="B478" i="16"/>
  <c r="B479" i="16"/>
  <c r="C479" i="16" s="1"/>
  <c r="B480" i="16"/>
  <c r="B481" i="16"/>
  <c r="C481" i="16" s="1"/>
  <c r="B482" i="16"/>
  <c r="C482" i="16" s="1"/>
  <c r="B483" i="16"/>
  <c r="C483" i="16" s="1"/>
  <c r="B484" i="16"/>
  <c r="B485" i="16"/>
  <c r="B486" i="16"/>
  <c r="B487" i="16"/>
  <c r="B488" i="16"/>
  <c r="C488" i="16" s="1"/>
  <c r="B489" i="16"/>
  <c r="B490" i="16"/>
  <c r="C490" i="16" s="1"/>
  <c r="B491" i="16"/>
  <c r="C491" i="16" s="1"/>
  <c r="B492" i="16"/>
  <c r="B493" i="16"/>
  <c r="B494" i="16"/>
  <c r="C494" i="16" s="1"/>
  <c r="B495" i="16"/>
  <c r="C495" i="16" s="1"/>
  <c r="B496" i="16"/>
  <c r="B497" i="16"/>
  <c r="C497" i="16" s="1"/>
  <c r="B498" i="16"/>
  <c r="C498" i="16" s="1"/>
  <c r="B499" i="16"/>
  <c r="C499" i="16" s="1"/>
  <c r="B500" i="16"/>
  <c r="C500" i="16" s="1"/>
  <c r="B501" i="16"/>
  <c r="B502" i="16"/>
  <c r="B503" i="16"/>
  <c r="C503" i="16" s="1"/>
  <c r="B504" i="16"/>
  <c r="C504" i="16" s="1"/>
  <c r="B505" i="16"/>
  <c r="C505" i="16" s="1"/>
  <c r="B506" i="16"/>
  <c r="C506" i="16" s="1"/>
  <c r="B507" i="16"/>
  <c r="C507" i="16" s="1"/>
  <c r="B508" i="16"/>
  <c r="B509" i="16"/>
  <c r="B510" i="16"/>
  <c r="B511" i="16"/>
  <c r="B512" i="16"/>
  <c r="C512" i="16" s="1"/>
  <c r="B513" i="16"/>
  <c r="C513" i="16" s="1"/>
  <c r="B514" i="16"/>
  <c r="C514" i="16" s="1"/>
  <c r="B515" i="16"/>
  <c r="C515" i="16" s="1"/>
  <c r="B516" i="16"/>
  <c r="B517" i="16"/>
  <c r="B518" i="16"/>
  <c r="C518" i="16" s="1"/>
  <c r="B519" i="16"/>
  <c r="C519" i="16" s="1"/>
  <c r="B520" i="16"/>
  <c r="C520" i="16" s="1"/>
  <c r="B521" i="16"/>
  <c r="C521" i="16" s="1"/>
  <c r="B522" i="16"/>
  <c r="C522" i="16" s="1"/>
  <c r="B523" i="16"/>
  <c r="C523" i="16" s="1"/>
  <c r="B524" i="16"/>
  <c r="C524" i="16" s="1"/>
  <c r="B525" i="16"/>
  <c r="B526" i="16"/>
  <c r="B527" i="16"/>
  <c r="C527" i="16" s="1"/>
  <c r="B528" i="16"/>
  <c r="B529" i="16"/>
  <c r="C529" i="16" s="1"/>
  <c r="B530" i="16"/>
  <c r="C530" i="16" s="1"/>
  <c r="B531" i="16"/>
  <c r="C531" i="16" s="1"/>
  <c r="B532" i="16"/>
  <c r="B533" i="16"/>
  <c r="B534" i="16"/>
  <c r="B535" i="16"/>
  <c r="C535" i="16" s="1"/>
  <c r="B536" i="16"/>
  <c r="C536" i="16" s="1"/>
  <c r="B537" i="16"/>
  <c r="C537" i="16" s="1"/>
  <c r="B538" i="16"/>
  <c r="C538" i="16" s="1"/>
  <c r="B539" i="16"/>
  <c r="C539" i="16" s="1"/>
  <c r="B540" i="16"/>
  <c r="B541" i="16"/>
  <c r="B542" i="16"/>
  <c r="B543" i="16"/>
  <c r="B544" i="16"/>
  <c r="B545" i="16"/>
  <c r="C545" i="16" s="1"/>
  <c r="B546" i="16"/>
  <c r="C546" i="16" s="1"/>
  <c r="B547" i="16"/>
  <c r="C547" i="16" s="1"/>
  <c r="B548" i="16"/>
  <c r="C548" i="16" s="1"/>
  <c r="B549" i="16"/>
  <c r="B550" i="16"/>
  <c r="B551" i="16"/>
  <c r="C551" i="16" s="1"/>
  <c r="B552" i="16"/>
  <c r="B553" i="16"/>
  <c r="B554" i="16"/>
  <c r="C554" i="16" s="1"/>
  <c r="B555" i="16"/>
  <c r="C555" i="16" s="1"/>
  <c r="B556" i="16"/>
  <c r="B557" i="16"/>
  <c r="B558" i="16"/>
  <c r="B559" i="16"/>
  <c r="C559" i="16" s="1"/>
  <c r="B560" i="16"/>
  <c r="C560" i="16" s="1"/>
  <c r="B561" i="16"/>
  <c r="C561" i="16" s="1"/>
  <c r="B562" i="16"/>
  <c r="C562" i="16" s="1"/>
  <c r="B563" i="16"/>
  <c r="C563" i="16" s="1"/>
  <c r="B564" i="16"/>
  <c r="B565" i="16"/>
  <c r="B566" i="16"/>
  <c r="C566" i="16" s="1"/>
  <c r="B567" i="16"/>
  <c r="C567" i="16" s="1"/>
  <c r="B568" i="16"/>
  <c r="C568" i="16" s="1"/>
  <c r="B569" i="16"/>
  <c r="C569" i="16" s="1"/>
  <c r="B570" i="16"/>
  <c r="C570" i="16" s="1"/>
  <c r="B571" i="16"/>
  <c r="C571" i="16" s="1"/>
  <c r="B572" i="16"/>
  <c r="C572" i="16" s="1"/>
  <c r="B573" i="16"/>
  <c r="B574" i="16"/>
  <c r="B575" i="16"/>
  <c r="C575" i="16" s="1"/>
  <c r="B576" i="16"/>
  <c r="C576" i="16" s="1"/>
  <c r="B577" i="16"/>
  <c r="C577" i="16" s="1"/>
  <c r="B578" i="16"/>
  <c r="C578" i="16" s="1"/>
  <c r="B579" i="16"/>
  <c r="C579" i="16" s="1"/>
  <c r="B580" i="16"/>
  <c r="B581" i="16"/>
  <c r="B582" i="16"/>
  <c r="B583" i="16"/>
  <c r="C583" i="16" s="1"/>
  <c r="B584" i="16"/>
  <c r="C584" i="16" s="1"/>
  <c r="B585" i="16"/>
  <c r="C585" i="16" s="1"/>
  <c r="B586" i="16"/>
  <c r="C586" i="16" s="1"/>
  <c r="B587" i="16"/>
  <c r="C587" i="16" s="1"/>
  <c r="B588" i="16"/>
  <c r="B589" i="16"/>
  <c r="B590" i="16"/>
  <c r="B591" i="16"/>
  <c r="C591" i="16" s="1"/>
  <c r="B592" i="16"/>
  <c r="B593" i="16"/>
  <c r="C593" i="16" s="1"/>
  <c r="B594" i="16"/>
  <c r="C594" i="16" s="1"/>
  <c r="B595" i="16"/>
  <c r="C595" i="16" s="1"/>
  <c r="B596" i="16"/>
  <c r="C596" i="16" s="1"/>
  <c r="B597" i="16"/>
  <c r="B598" i="16"/>
  <c r="B599" i="16"/>
  <c r="C599" i="16" s="1"/>
  <c r="B600" i="16"/>
  <c r="C600" i="16" s="1"/>
  <c r="B601" i="16"/>
  <c r="C601" i="16" s="1"/>
  <c r="B602" i="16"/>
  <c r="C602" i="16" s="1"/>
  <c r="B603" i="16"/>
  <c r="C603" i="16" s="1"/>
  <c r="B604" i="16"/>
  <c r="B605" i="16"/>
  <c r="B606" i="16"/>
  <c r="B607" i="16"/>
  <c r="C607" i="16" s="1"/>
  <c r="B608" i="16"/>
  <c r="C608" i="16" s="1"/>
  <c r="B609" i="16"/>
  <c r="C609" i="16" s="1"/>
  <c r="B610" i="16"/>
  <c r="C610" i="16" s="1"/>
  <c r="B611" i="16"/>
  <c r="C611" i="16" s="1"/>
  <c r="B612" i="16"/>
  <c r="B613" i="16"/>
  <c r="B614" i="16"/>
  <c r="C614" i="16" s="1"/>
  <c r="B615" i="16"/>
  <c r="C615" i="16" s="1"/>
  <c r="B616" i="16"/>
  <c r="B617" i="16"/>
  <c r="B618" i="16"/>
  <c r="C618" i="16" s="1"/>
  <c r="B619" i="16"/>
  <c r="C619" i="16" s="1"/>
  <c r="B620" i="16"/>
  <c r="C620" i="16" s="1"/>
  <c r="B621" i="16"/>
  <c r="B622" i="16"/>
  <c r="B623" i="16"/>
  <c r="C623" i="16" s="1"/>
  <c r="B624" i="16"/>
  <c r="C624" i="16" s="1"/>
  <c r="B625" i="16"/>
  <c r="C625" i="16" s="1"/>
  <c r="B626" i="16"/>
  <c r="C626" i="16" s="1"/>
  <c r="B627" i="16"/>
  <c r="C627" i="16" s="1"/>
  <c r="B628" i="16"/>
  <c r="B629" i="16"/>
  <c r="B630" i="16"/>
  <c r="B631" i="16"/>
  <c r="C631" i="16" s="1"/>
  <c r="B632" i="16"/>
  <c r="C632" i="16" s="1"/>
  <c r="B633" i="16"/>
  <c r="C633" i="16" s="1"/>
  <c r="B634" i="16"/>
  <c r="C634" i="16" s="1"/>
  <c r="B635" i="16"/>
  <c r="C635" i="16" s="1"/>
  <c r="B636" i="16"/>
  <c r="B637" i="16"/>
  <c r="B638" i="16"/>
  <c r="C638" i="16" s="1"/>
  <c r="B639" i="16"/>
  <c r="C639" i="16" s="1"/>
  <c r="B640" i="16"/>
  <c r="C640" i="16" s="1"/>
  <c r="B641" i="16"/>
  <c r="C641" i="16" s="1"/>
  <c r="B642" i="16"/>
  <c r="C642" i="16" s="1"/>
  <c r="B643" i="16"/>
  <c r="C643" i="16" s="1"/>
  <c r="B644" i="16"/>
  <c r="C644" i="16" s="1"/>
  <c r="B645" i="16"/>
  <c r="B646" i="16"/>
  <c r="B647" i="16"/>
  <c r="C647" i="16" s="1"/>
  <c r="B648" i="16"/>
  <c r="B649" i="16"/>
  <c r="C649" i="16" s="1"/>
  <c r="B650" i="16"/>
  <c r="C650" i="16" s="1"/>
  <c r="B651" i="16"/>
  <c r="C651" i="16" s="1"/>
  <c r="B652" i="16"/>
  <c r="B653" i="16"/>
  <c r="B654" i="16"/>
  <c r="B655" i="16"/>
  <c r="C655" i="16" s="1"/>
  <c r="B656" i="16"/>
  <c r="C656" i="16" s="1"/>
  <c r="B657" i="16"/>
  <c r="C657" i="16" s="1"/>
  <c r="B658" i="16"/>
  <c r="C658" i="16" s="1"/>
  <c r="B659" i="16"/>
  <c r="C659" i="16" s="1"/>
  <c r="B660" i="16"/>
  <c r="B661" i="16"/>
  <c r="B662" i="16"/>
  <c r="C662" i="16" s="1"/>
  <c r="B663" i="16"/>
  <c r="C663" i="16" s="1"/>
  <c r="B664" i="16"/>
  <c r="B665" i="16"/>
  <c r="C665" i="16" s="1"/>
  <c r="B666" i="16"/>
  <c r="C666" i="16" s="1"/>
  <c r="B667" i="16"/>
  <c r="C667" i="16" s="1"/>
  <c r="B668" i="16"/>
  <c r="C668" i="16" s="1"/>
  <c r="B669" i="16"/>
  <c r="B670" i="16"/>
  <c r="B671" i="16"/>
  <c r="C671" i="16" s="1"/>
  <c r="B672" i="16"/>
  <c r="C672" i="16" s="1"/>
  <c r="B673" i="16"/>
  <c r="C673" i="16" s="1"/>
  <c r="B674" i="16"/>
  <c r="C674" i="16" s="1"/>
  <c r="B675" i="16"/>
  <c r="C675" i="16" s="1"/>
  <c r="B676" i="16"/>
  <c r="B677" i="16"/>
  <c r="B678" i="16"/>
  <c r="B679" i="16"/>
  <c r="C679" i="16" s="1"/>
  <c r="B680" i="16"/>
  <c r="C680" i="16" s="1"/>
  <c r="B681" i="16"/>
  <c r="B682" i="16"/>
  <c r="C682" i="16" s="1"/>
  <c r="B683" i="16"/>
  <c r="C683" i="16" s="1"/>
  <c r="B684" i="16"/>
  <c r="B685" i="16"/>
  <c r="B686" i="16"/>
  <c r="C686" i="16" s="1"/>
  <c r="B687" i="16"/>
  <c r="B688" i="16"/>
  <c r="C688" i="16" s="1"/>
  <c r="B689" i="16"/>
  <c r="C689" i="16" s="1"/>
  <c r="B690" i="16"/>
  <c r="C690" i="16" s="1"/>
  <c r="B691" i="16"/>
  <c r="C691" i="16" s="1"/>
  <c r="B692" i="16"/>
  <c r="C692" i="16" s="1"/>
  <c r="B693" i="16"/>
  <c r="B694" i="16"/>
  <c r="B695" i="16"/>
  <c r="C695" i="16" s="1"/>
  <c r="B696" i="16"/>
  <c r="B697" i="16"/>
  <c r="C697" i="16" s="1"/>
  <c r="B698" i="16"/>
  <c r="C698" i="16" s="1"/>
  <c r="B699" i="16"/>
  <c r="C699" i="16" s="1"/>
  <c r="B700" i="16"/>
  <c r="B701" i="16"/>
  <c r="B702" i="16"/>
  <c r="B703" i="16"/>
  <c r="C703" i="16" s="1"/>
  <c r="B704" i="16"/>
  <c r="C704" i="16" s="1"/>
  <c r="B705" i="16"/>
  <c r="C705" i="16" s="1"/>
  <c r="B706" i="16"/>
  <c r="C706" i="16" s="1"/>
  <c r="B707" i="16"/>
  <c r="C707" i="16" s="1"/>
  <c r="B708" i="16"/>
  <c r="B709" i="16"/>
  <c r="B710" i="16"/>
  <c r="C710" i="16" s="1"/>
  <c r="B711" i="16"/>
  <c r="C711" i="16" s="1"/>
  <c r="B712" i="16"/>
  <c r="B713" i="16"/>
  <c r="C713" i="16" s="1"/>
  <c r="B714" i="16"/>
  <c r="C714" i="16" s="1"/>
  <c r="B715" i="16"/>
  <c r="C715" i="16" s="1"/>
  <c r="B716" i="16"/>
  <c r="C716" i="16" s="1"/>
  <c r="B717" i="16"/>
  <c r="B718" i="16"/>
  <c r="B719" i="16"/>
  <c r="B720" i="16"/>
  <c r="C720" i="16" s="1"/>
  <c r="B721" i="16"/>
  <c r="C721" i="16" s="1"/>
  <c r="B722" i="16"/>
  <c r="C722" i="16" s="1"/>
  <c r="B723" i="16"/>
  <c r="C723" i="16" s="1"/>
  <c r="B724" i="16"/>
  <c r="B725" i="16"/>
  <c r="B726" i="16"/>
  <c r="B727" i="16"/>
  <c r="C727" i="16" s="1"/>
  <c r="B728" i="16"/>
  <c r="C728" i="16" s="1"/>
  <c r="B729" i="16"/>
  <c r="C729" i="16" s="1"/>
  <c r="B730" i="16"/>
  <c r="C730" i="16" s="1"/>
  <c r="B731" i="16"/>
  <c r="C731" i="16" s="1"/>
  <c r="B732" i="16"/>
  <c r="B733" i="16"/>
  <c r="B734" i="16"/>
  <c r="C734" i="16" s="1"/>
  <c r="B735" i="16"/>
  <c r="C735" i="16" s="1"/>
  <c r="B736" i="16"/>
  <c r="C736" i="16" s="1"/>
  <c r="B737" i="16"/>
  <c r="C737" i="16" s="1"/>
  <c r="B738" i="16"/>
  <c r="C738" i="16" s="1"/>
  <c r="B739" i="16"/>
  <c r="C739" i="16" s="1"/>
  <c r="B740" i="16"/>
  <c r="C740" i="16" s="1"/>
  <c r="B741" i="16"/>
  <c r="B742" i="16"/>
  <c r="B743" i="16"/>
  <c r="C743" i="16" s="1"/>
  <c r="B744" i="16"/>
  <c r="B745" i="16"/>
  <c r="B746" i="16"/>
  <c r="C746" i="16" s="1"/>
  <c r="B747" i="16"/>
  <c r="C747" i="16" s="1"/>
  <c r="B748" i="16"/>
  <c r="B749" i="16"/>
  <c r="B750" i="16"/>
  <c r="B751" i="16"/>
  <c r="C751" i="16" s="1"/>
  <c r="B752" i="16"/>
  <c r="C752" i="16" s="1"/>
  <c r="B753" i="16"/>
  <c r="C753" i="16" s="1"/>
  <c r="B754" i="16"/>
  <c r="C754" i="16" s="1"/>
  <c r="B755" i="16"/>
  <c r="C755" i="16" s="1"/>
  <c r="B756" i="16"/>
  <c r="B757" i="16"/>
  <c r="B758" i="16"/>
  <c r="B759" i="16"/>
  <c r="C759" i="16" s="1"/>
  <c r="B760" i="16"/>
  <c r="B761" i="16"/>
  <c r="C761" i="16" s="1"/>
  <c r="B762" i="16"/>
  <c r="C762" i="16" s="1"/>
  <c r="B763" i="16"/>
  <c r="C763" i="16" s="1"/>
  <c r="B764" i="16"/>
  <c r="C764" i="16" s="1"/>
  <c r="B765" i="16"/>
  <c r="B766" i="16"/>
  <c r="B767" i="16"/>
  <c r="C767" i="16" s="1"/>
  <c r="B768" i="16"/>
  <c r="C768" i="16" s="1"/>
  <c r="B769" i="16"/>
  <c r="C769" i="16" s="1"/>
  <c r="B770" i="16"/>
  <c r="C770" i="16" s="1"/>
  <c r="B771" i="16"/>
  <c r="C771" i="16" s="1"/>
  <c r="B772" i="16"/>
  <c r="B773" i="16"/>
  <c r="B774" i="16"/>
  <c r="B775" i="16"/>
  <c r="B776" i="16"/>
  <c r="C776" i="16" s="1"/>
  <c r="B777" i="16"/>
  <c r="C777" i="16" s="1"/>
  <c r="B778" i="16"/>
  <c r="C778" i="16" s="1"/>
  <c r="B779" i="16"/>
  <c r="C779" i="16" s="1"/>
  <c r="B780" i="16"/>
  <c r="B781" i="16"/>
  <c r="B782" i="16"/>
  <c r="B783" i="16"/>
  <c r="C783" i="16" s="1"/>
  <c r="B784" i="16"/>
  <c r="C784" i="16" s="1"/>
  <c r="B785" i="16"/>
  <c r="C785" i="16" s="1"/>
  <c r="B786" i="16"/>
  <c r="C786" i="16" s="1"/>
  <c r="B787" i="16"/>
  <c r="C787" i="16" s="1"/>
  <c r="B788" i="16"/>
  <c r="C788" i="16" s="1"/>
  <c r="B789" i="16"/>
  <c r="B790" i="16"/>
  <c r="B791" i="16"/>
  <c r="C791" i="16" s="1"/>
  <c r="B792" i="16"/>
  <c r="B793" i="16"/>
  <c r="C793" i="16" s="1"/>
  <c r="B794" i="16"/>
  <c r="C794" i="16" s="1"/>
  <c r="B795" i="16"/>
  <c r="C795" i="16" s="1"/>
  <c r="B796" i="16"/>
  <c r="B797" i="16"/>
  <c r="B798" i="16"/>
  <c r="B799" i="16"/>
  <c r="C799" i="16" s="1"/>
  <c r="B800" i="16"/>
  <c r="C800" i="16" s="1"/>
  <c r="B801" i="16"/>
  <c r="C801" i="16" s="1"/>
  <c r="B802" i="16"/>
  <c r="C802" i="16" s="1"/>
  <c r="B803" i="16"/>
  <c r="C803" i="16" s="1"/>
  <c r="B804" i="16"/>
  <c r="B805" i="16"/>
  <c r="B806" i="16"/>
  <c r="C806" i="16" s="1"/>
  <c r="B807" i="16"/>
  <c r="B808" i="16"/>
  <c r="C808" i="16" s="1"/>
  <c r="B809" i="16"/>
  <c r="C809" i="16" s="1"/>
  <c r="B810" i="16"/>
  <c r="C810" i="16" s="1"/>
  <c r="B811" i="16"/>
  <c r="C811" i="16" s="1"/>
  <c r="B812" i="16"/>
  <c r="B813" i="16"/>
  <c r="B814" i="16"/>
  <c r="B815" i="16"/>
  <c r="C815" i="16" s="1"/>
  <c r="B816" i="16"/>
  <c r="B817" i="16"/>
  <c r="C817" i="16" s="1"/>
  <c r="B818" i="16"/>
  <c r="C818" i="16" s="1"/>
  <c r="B819" i="16"/>
  <c r="C819" i="16" s="1"/>
  <c r="B820" i="16"/>
  <c r="B821" i="16"/>
  <c r="B822" i="16"/>
  <c r="B823" i="16"/>
  <c r="B824" i="16"/>
  <c r="C824" i="16" s="1"/>
  <c r="B825" i="16"/>
  <c r="C825" i="16" s="1"/>
  <c r="B826" i="16"/>
  <c r="C826" i="16" s="1"/>
  <c r="B827" i="16"/>
  <c r="C827" i="16" s="1"/>
  <c r="B828" i="16"/>
  <c r="B829" i="16"/>
  <c r="B830" i="16"/>
  <c r="C830" i="16" s="1"/>
  <c r="B831" i="16"/>
  <c r="C831" i="16" s="1"/>
  <c r="B832" i="16"/>
  <c r="C832" i="16" s="1"/>
  <c r="B833" i="16"/>
  <c r="C833" i="16" s="1"/>
  <c r="B834" i="16"/>
  <c r="C834" i="16" s="1"/>
  <c r="B835" i="16"/>
  <c r="C835" i="16" s="1"/>
  <c r="B836" i="16"/>
  <c r="B837" i="16"/>
  <c r="B838" i="16"/>
  <c r="B839" i="16"/>
  <c r="B840" i="16"/>
  <c r="C840" i="16" s="1"/>
  <c r="B841" i="16"/>
  <c r="C841" i="16" s="1"/>
  <c r="B842" i="16"/>
  <c r="C842" i="16" s="1"/>
  <c r="B843" i="16"/>
  <c r="C843" i="16" s="1"/>
  <c r="B844" i="16"/>
  <c r="B845" i="16"/>
  <c r="B846" i="16"/>
  <c r="B847" i="16"/>
  <c r="C847" i="16" s="1"/>
  <c r="B848" i="16"/>
  <c r="C848" i="16" s="1"/>
  <c r="B849" i="16"/>
  <c r="B850" i="16"/>
  <c r="C850" i="16" s="1"/>
  <c r="B851" i="16"/>
  <c r="C851" i="16" s="1"/>
  <c r="B852" i="16"/>
  <c r="B853" i="16"/>
  <c r="B854" i="16"/>
  <c r="C854" i="16" s="1"/>
  <c r="B855" i="16"/>
  <c r="C855" i="16" s="1"/>
  <c r="B856" i="16"/>
  <c r="B857" i="16"/>
  <c r="C857" i="16" s="1"/>
  <c r="B858" i="16"/>
  <c r="C858" i="16" s="1"/>
  <c r="B859" i="16"/>
  <c r="C859" i="16" s="1"/>
  <c r="B860" i="16"/>
  <c r="C860" i="16" s="1"/>
  <c r="B861" i="16"/>
  <c r="B862" i="16"/>
  <c r="B863" i="16"/>
  <c r="C863" i="16" s="1"/>
  <c r="B864" i="16"/>
  <c r="B865" i="16"/>
  <c r="C865" i="16" s="1"/>
  <c r="B866" i="16"/>
  <c r="C866" i="16" s="1"/>
  <c r="B867" i="16"/>
  <c r="C867" i="16" s="1"/>
  <c r="B868" i="16"/>
  <c r="B869" i="16"/>
  <c r="B870" i="16"/>
  <c r="B871" i="16"/>
  <c r="C871" i="16" s="1"/>
  <c r="B872" i="16"/>
  <c r="C872" i="16" s="1"/>
  <c r="B873" i="16"/>
  <c r="C873" i="16" s="1"/>
  <c r="B874" i="16"/>
  <c r="C874" i="16" s="1"/>
  <c r="B875" i="16"/>
  <c r="C875" i="16" s="1"/>
  <c r="B876" i="16"/>
  <c r="B877" i="16"/>
  <c r="B878" i="16"/>
  <c r="C878" i="16" s="1"/>
  <c r="B879" i="16"/>
  <c r="C879" i="16" s="1"/>
  <c r="B880" i="16"/>
  <c r="B881" i="16"/>
  <c r="C881" i="16" s="1"/>
  <c r="B882" i="16"/>
  <c r="C882" i="16" s="1"/>
  <c r="B883" i="16"/>
  <c r="C883" i="16" s="1"/>
  <c r="B884" i="16"/>
  <c r="B885" i="16"/>
  <c r="B886" i="16"/>
  <c r="B887" i="16"/>
  <c r="C887" i="16" s="1"/>
  <c r="B888" i="16"/>
  <c r="C888" i="16" s="1"/>
  <c r="B889" i="16"/>
  <c r="C889" i="16" s="1"/>
  <c r="B890" i="16"/>
  <c r="C890" i="16" s="1"/>
  <c r="B891" i="16"/>
  <c r="C891" i="16" s="1"/>
  <c r="B892" i="16"/>
  <c r="B893" i="16"/>
  <c r="B894" i="16"/>
  <c r="B895" i="16"/>
  <c r="C895" i="16" s="1"/>
  <c r="B896" i="16"/>
  <c r="B897" i="16"/>
  <c r="C897" i="16" s="1"/>
  <c r="B898" i="16"/>
  <c r="C898" i="16" s="1"/>
  <c r="B899" i="16"/>
  <c r="C899" i="16" s="1"/>
  <c r="B900" i="16"/>
  <c r="B901" i="16"/>
  <c r="B902" i="16"/>
  <c r="C902" i="16" s="1"/>
  <c r="B903" i="16"/>
  <c r="C903" i="16" s="1"/>
  <c r="B904" i="16"/>
  <c r="C904" i="16" s="1"/>
  <c r="B905" i="16"/>
  <c r="C905" i="16" s="1"/>
  <c r="B906" i="16"/>
  <c r="C906" i="16" s="1"/>
  <c r="B907" i="16"/>
  <c r="C907" i="16" s="1"/>
  <c r="B908" i="16"/>
  <c r="C908" i="16" s="1"/>
  <c r="B909" i="16"/>
  <c r="B910" i="16"/>
  <c r="B911" i="16"/>
  <c r="C911" i="16" s="1"/>
  <c r="B912" i="16"/>
  <c r="B913" i="16"/>
  <c r="C913" i="16" s="1"/>
  <c r="B914" i="16"/>
  <c r="C914" i="16" s="1"/>
  <c r="B915" i="16"/>
  <c r="C915" i="16" s="1"/>
  <c r="B916" i="16"/>
  <c r="B917" i="16"/>
  <c r="B918" i="16"/>
  <c r="B919" i="16"/>
  <c r="C919" i="16" s="1"/>
  <c r="B920" i="16"/>
  <c r="C920" i="16" s="1"/>
  <c r="B921" i="16"/>
  <c r="C921" i="16" s="1"/>
  <c r="B922" i="16"/>
  <c r="C922" i="16" s="1"/>
  <c r="B923" i="16"/>
  <c r="C923" i="16" s="1"/>
  <c r="B924" i="16"/>
  <c r="B925" i="16"/>
  <c r="B926" i="16"/>
  <c r="C926" i="16" s="1"/>
  <c r="B927" i="16"/>
  <c r="C927" i="16" s="1"/>
  <c r="B928" i="16"/>
  <c r="B929" i="16"/>
  <c r="C929" i="16" s="1"/>
  <c r="B930" i="16"/>
  <c r="C930" i="16" s="1"/>
  <c r="B931" i="16"/>
  <c r="C931" i="16" s="1"/>
  <c r="B932" i="16"/>
  <c r="C932" i="16" s="1"/>
  <c r="B933" i="16"/>
  <c r="B934" i="16"/>
  <c r="B935" i="16"/>
  <c r="C935" i="16" s="1"/>
  <c r="B936" i="16"/>
  <c r="C936" i="16" s="1"/>
  <c r="B937" i="16"/>
  <c r="C937" i="16" s="1"/>
  <c r="B938" i="16"/>
  <c r="C938" i="16" s="1"/>
  <c r="B939" i="16"/>
  <c r="C939" i="16" s="1"/>
  <c r="B940" i="16"/>
  <c r="B941" i="16"/>
  <c r="B942" i="16"/>
  <c r="B943" i="16"/>
  <c r="C943" i="16" s="1"/>
  <c r="B944" i="16"/>
  <c r="C944" i="16" s="1"/>
  <c r="B945" i="16"/>
  <c r="C945" i="16" s="1"/>
  <c r="B946" i="16"/>
  <c r="C946" i="16" s="1"/>
  <c r="B947" i="16"/>
  <c r="C947" i="16" s="1"/>
  <c r="B948" i="16"/>
  <c r="B949" i="16"/>
  <c r="B950" i="16"/>
  <c r="B951" i="16"/>
  <c r="C951" i="16" s="1"/>
  <c r="B952" i="16"/>
  <c r="C952" i="16" s="1"/>
  <c r="B953" i="16"/>
  <c r="C953" i="16" s="1"/>
  <c r="B954" i="16"/>
  <c r="C954" i="16" s="1"/>
  <c r="B955" i="16"/>
  <c r="C955" i="16" s="1"/>
  <c r="B956" i="16"/>
  <c r="C956" i="16" s="1"/>
  <c r="B957" i="16"/>
  <c r="B958" i="16"/>
  <c r="B959" i="16"/>
  <c r="C959" i="16" s="1"/>
  <c r="B960" i="16"/>
  <c r="B961" i="16"/>
  <c r="C961" i="16" s="1"/>
  <c r="B962" i="16"/>
  <c r="C962" i="16" s="1"/>
  <c r="B963" i="16"/>
  <c r="C963" i="16" s="1"/>
  <c r="B964" i="16"/>
  <c r="B965" i="16"/>
  <c r="B966" i="16"/>
  <c r="B967" i="16"/>
  <c r="C967" i="16" s="1"/>
  <c r="B968" i="16"/>
  <c r="C968" i="16" s="1"/>
  <c r="B969" i="16"/>
  <c r="C969" i="16" s="1"/>
  <c r="B970" i="16"/>
  <c r="C970" i="16" s="1"/>
  <c r="B971" i="16"/>
  <c r="C971" i="16" s="1"/>
  <c r="B972" i="16"/>
  <c r="B973" i="16"/>
  <c r="B974" i="16"/>
  <c r="C974" i="16" s="1"/>
  <c r="B975" i="16"/>
  <c r="C975" i="16" s="1"/>
  <c r="B976" i="16"/>
  <c r="C976" i="16" s="1"/>
  <c r="B977" i="16"/>
  <c r="C977" i="16" s="1"/>
  <c r="B978" i="16"/>
  <c r="C978" i="16" s="1"/>
  <c r="B979" i="16"/>
  <c r="C979" i="16" s="1"/>
  <c r="B980" i="16"/>
  <c r="C980" i="16" s="1"/>
  <c r="B981" i="16"/>
  <c r="B982" i="16"/>
  <c r="B983" i="16"/>
  <c r="B984" i="16"/>
  <c r="C984" i="16" s="1"/>
  <c r="B985" i="16"/>
  <c r="C985" i="16" s="1"/>
  <c r="B986" i="16"/>
  <c r="C986" i="16" s="1"/>
  <c r="B987" i="16"/>
  <c r="C987" i="16" s="1"/>
  <c r="B988" i="16"/>
  <c r="B989" i="16"/>
  <c r="B990" i="16"/>
  <c r="B991" i="16"/>
  <c r="C991" i="16" s="1"/>
  <c r="B992" i="16"/>
  <c r="B993" i="16"/>
  <c r="C993" i="16" s="1"/>
  <c r="B994" i="16"/>
  <c r="C994" i="16" s="1"/>
  <c r="B995" i="16"/>
  <c r="C995" i="16" s="1"/>
  <c r="B996" i="16"/>
  <c r="B997" i="16"/>
  <c r="B998" i="16"/>
  <c r="C998" i="16" s="1"/>
  <c r="B999" i="16"/>
  <c r="C999" i="16" s="1"/>
  <c r="B1000" i="16"/>
  <c r="C1000" i="16" s="1"/>
  <c r="B1001" i="16"/>
  <c r="C1001" i="16" s="1"/>
  <c r="B1002" i="16"/>
  <c r="C1002" i="16" s="1"/>
  <c r="B1003" i="16"/>
  <c r="C1003" i="16" s="1"/>
  <c r="B1004" i="16"/>
  <c r="C1004" i="16" s="1"/>
  <c r="B1005" i="16"/>
  <c r="B1006" i="16"/>
  <c r="B1007" i="16"/>
  <c r="C1007" i="16" s="1"/>
  <c r="B1008" i="16"/>
  <c r="B1009" i="16"/>
  <c r="C1009" i="16" s="1"/>
  <c r="B1010" i="16"/>
  <c r="C1010" i="16" s="1"/>
  <c r="B1011" i="16"/>
  <c r="C1011" i="16" s="1"/>
  <c r="B1012" i="16"/>
  <c r="B1013" i="16"/>
  <c r="B1014" i="16"/>
  <c r="B1015" i="16"/>
  <c r="C1015" i="16" s="1"/>
  <c r="B1016" i="16"/>
  <c r="C1016" i="16" s="1"/>
  <c r="B1017" i="16"/>
  <c r="C1017" i="16" s="1"/>
  <c r="B1018" i="16"/>
  <c r="C1018" i="16" s="1"/>
  <c r="B1019" i="16"/>
  <c r="C1019" i="16" s="1"/>
  <c r="B1020" i="16"/>
  <c r="B1021" i="16"/>
  <c r="B1022" i="16"/>
  <c r="C1022" i="16" s="1"/>
  <c r="B1023" i="16"/>
  <c r="C1023" i="16" s="1"/>
  <c r="B1024" i="16"/>
  <c r="B1025" i="16"/>
  <c r="C1025" i="16" s="1"/>
  <c r="B1026" i="16"/>
  <c r="C1026" i="16" s="1"/>
  <c r="B1027" i="16"/>
  <c r="C1027" i="16" s="1"/>
  <c r="B1028" i="16"/>
  <c r="C1028" i="16" s="1"/>
  <c r="B1029" i="16"/>
  <c r="B1030" i="16"/>
  <c r="B1031" i="16"/>
  <c r="C1031" i="16" s="1"/>
  <c r="B1032" i="16"/>
  <c r="C1032" i="16" s="1"/>
  <c r="B1033" i="16"/>
  <c r="B1034" i="16"/>
  <c r="C1034" i="16" s="1"/>
  <c r="B1035" i="16"/>
  <c r="C1035" i="16" s="1"/>
  <c r="B1036" i="16"/>
  <c r="B1037" i="16"/>
  <c r="B1038" i="16"/>
  <c r="B1039" i="16"/>
  <c r="C1039" i="16" s="1"/>
  <c r="B1040" i="16"/>
  <c r="C1040" i="16" s="1"/>
  <c r="B1041" i="16"/>
  <c r="C1041" i="16" s="1"/>
  <c r="B1042" i="16"/>
  <c r="C1042" i="16" s="1"/>
  <c r="B1043" i="16"/>
  <c r="C1043" i="16" s="1"/>
  <c r="B1044" i="16"/>
  <c r="B1045" i="16"/>
  <c r="B1046" i="16"/>
  <c r="B1047" i="16"/>
  <c r="C1047" i="16" s="1"/>
  <c r="B1048" i="16"/>
  <c r="C1048" i="16" s="1"/>
  <c r="B1049" i="16"/>
  <c r="C1049" i="16" s="1"/>
  <c r="B1050" i="16"/>
  <c r="C1050" i="16" s="1"/>
  <c r="B1051" i="16"/>
  <c r="C1051" i="16" s="1"/>
  <c r="B1052" i="16"/>
  <c r="C1052" i="16" s="1"/>
  <c r="B1053" i="16"/>
  <c r="B1054" i="16"/>
  <c r="B1055" i="16"/>
  <c r="C1055" i="16" s="1"/>
  <c r="B1056" i="16"/>
  <c r="B1057" i="16"/>
  <c r="C1057" i="16" s="1"/>
  <c r="B1058" i="16"/>
  <c r="C1058" i="16" s="1"/>
  <c r="B1059" i="16"/>
  <c r="C1059" i="16" s="1"/>
  <c r="B1060" i="16"/>
  <c r="B1061" i="16"/>
  <c r="B1062" i="16"/>
  <c r="B1063" i="16"/>
  <c r="C1063" i="16" s="1"/>
  <c r="B1064" i="16"/>
  <c r="C1064" i="16" s="1"/>
  <c r="B1065" i="16"/>
  <c r="C1065" i="16" s="1"/>
  <c r="B1066" i="16"/>
  <c r="C1066" i="16" s="1"/>
  <c r="B1067" i="16"/>
  <c r="C1067" i="16" s="1"/>
  <c r="B1068" i="16"/>
  <c r="B1069" i="16"/>
  <c r="B1070" i="16"/>
  <c r="C1070" i="16" s="1"/>
  <c r="B1071" i="16"/>
  <c r="C1071" i="16" s="1"/>
  <c r="B1072" i="16"/>
  <c r="C1072" i="16" s="1"/>
  <c r="B1073" i="16"/>
  <c r="C1073" i="16" s="1"/>
  <c r="B1074" i="16"/>
  <c r="C1074" i="16" s="1"/>
  <c r="B1075" i="16"/>
  <c r="C1075" i="16" s="1"/>
  <c r="B1076" i="16"/>
  <c r="C1076" i="16" s="1"/>
  <c r="B1077" i="16"/>
  <c r="B1078" i="16"/>
  <c r="B1079" i="16"/>
  <c r="C1079" i="16" s="1"/>
  <c r="B1080" i="16"/>
  <c r="C1080" i="16" s="1"/>
  <c r="B1081" i="16"/>
  <c r="C1081" i="16" s="1"/>
  <c r="B1082" i="16"/>
  <c r="C1082" i="16" s="1"/>
  <c r="B1083" i="16"/>
  <c r="C1083" i="16" s="1"/>
  <c r="B1084" i="16"/>
  <c r="B1085" i="16"/>
  <c r="B1086" i="16"/>
  <c r="B1087" i="16"/>
  <c r="B1088" i="16"/>
  <c r="B1089" i="16"/>
  <c r="C1089" i="16" s="1"/>
  <c r="B1090" i="16"/>
  <c r="C1090" i="16" s="1"/>
  <c r="B1091" i="16"/>
  <c r="C1091" i="16" s="1"/>
  <c r="B1092" i="16"/>
  <c r="B1093" i="16"/>
  <c r="B1094" i="16"/>
  <c r="C1094" i="16" s="1"/>
  <c r="B1095" i="16"/>
  <c r="C1095" i="16" s="1"/>
  <c r="B1096" i="16"/>
  <c r="C1096" i="16" s="1"/>
  <c r="B1097" i="16"/>
  <c r="C1097" i="16" s="1"/>
  <c r="B1098" i="16"/>
  <c r="C1098" i="16" s="1"/>
  <c r="B1099" i="16"/>
  <c r="C1099" i="16" s="1"/>
  <c r="B1100" i="16"/>
  <c r="C1100" i="16" s="1"/>
  <c r="B1101" i="16"/>
  <c r="B1102" i="16"/>
  <c r="B1103" i="16"/>
  <c r="C1103" i="16" s="1"/>
  <c r="B1104" i="16"/>
  <c r="C1104" i="16" s="1"/>
  <c r="B1105" i="16"/>
  <c r="C1105" i="16" s="1"/>
  <c r="B1106" i="16"/>
  <c r="C1106" i="16" s="1"/>
  <c r="B1107" i="16"/>
  <c r="C1107" i="16" s="1"/>
  <c r="B1108" i="16"/>
  <c r="B1109" i="16"/>
  <c r="B1110" i="16"/>
  <c r="B1111" i="16"/>
  <c r="C1111" i="16" s="1"/>
  <c r="B1112" i="16"/>
  <c r="C1112" i="16" s="1"/>
  <c r="B1113" i="16"/>
  <c r="C1113" i="16" s="1"/>
  <c r="B1114" i="16"/>
  <c r="C1114" i="16" s="1"/>
  <c r="B1115" i="16"/>
  <c r="C1115" i="16" s="1"/>
  <c r="B1116" i="16"/>
  <c r="B1117" i="16"/>
  <c r="B1118" i="16"/>
  <c r="B1119" i="16"/>
  <c r="C1119" i="16" s="1"/>
  <c r="B1120" i="16"/>
  <c r="C1120" i="16" s="1"/>
  <c r="B1121" i="16"/>
  <c r="C1121" i="16" s="1"/>
  <c r="B1122" i="16"/>
  <c r="C1122" i="16" s="1"/>
  <c r="B1123" i="16"/>
  <c r="C1123" i="16" s="1"/>
  <c r="B1124" i="16"/>
  <c r="C1124" i="16" s="1"/>
  <c r="B1125" i="16"/>
  <c r="B1126" i="16"/>
  <c r="B1127" i="16"/>
  <c r="C1127" i="16" s="1"/>
  <c r="B1128" i="16"/>
  <c r="B1129" i="16"/>
  <c r="C1129" i="16" s="1"/>
  <c r="B1130" i="16"/>
  <c r="C1130" i="16" s="1"/>
  <c r="B1131" i="16"/>
  <c r="C1131" i="16" s="1"/>
  <c r="B1132" i="16"/>
  <c r="B1133" i="16"/>
  <c r="B1134" i="16"/>
  <c r="B1135" i="16"/>
  <c r="C1135" i="16" s="1"/>
  <c r="B1136" i="16"/>
  <c r="C1136" i="16" s="1"/>
  <c r="B1137" i="16"/>
  <c r="C1137" i="16" s="1"/>
  <c r="B1138" i="16"/>
  <c r="C1138" i="16" s="1"/>
  <c r="B1139" i="16"/>
  <c r="C1139" i="16" s="1"/>
  <c r="B1140" i="16"/>
  <c r="B1141" i="16"/>
  <c r="B1142" i="16"/>
  <c r="C1142" i="16" s="1"/>
  <c r="B1143" i="16"/>
  <c r="C1143" i="16" s="1"/>
  <c r="B1144" i="16"/>
  <c r="C1144" i="16" s="1"/>
  <c r="B1145" i="16"/>
  <c r="C1145" i="16" s="1"/>
  <c r="B1146" i="16"/>
  <c r="C1146" i="16" s="1"/>
  <c r="B1147" i="16"/>
  <c r="C1147" i="16" s="1"/>
  <c r="B1148" i="16"/>
  <c r="C1148" i="16" s="1"/>
  <c r="B1149" i="16"/>
  <c r="B1150" i="16"/>
  <c r="B1151" i="16"/>
  <c r="C1151" i="16" s="1"/>
  <c r="B1152" i="16"/>
  <c r="C1152" i="16" s="1"/>
  <c r="B1153" i="16"/>
  <c r="C1153" i="16" s="1"/>
  <c r="B1154" i="16"/>
  <c r="C1154" i="16" s="1"/>
  <c r="B1155" i="16"/>
  <c r="C1155" i="16" s="1"/>
  <c r="B1156" i="16"/>
  <c r="B1157" i="16"/>
  <c r="B1158" i="16"/>
  <c r="B1159" i="16"/>
  <c r="C1159" i="16" s="1"/>
  <c r="B1160" i="16"/>
  <c r="C1160" i="16" s="1"/>
  <c r="B1161" i="16"/>
  <c r="B1162" i="16"/>
  <c r="C1162" i="16" s="1"/>
  <c r="B1163" i="16"/>
  <c r="C1163" i="16" s="1"/>
  <c r="B1164" i="16"/>
  <c r="B1165" i="16"/>
  <c r="B1166" i="16"/>
  <c r="C1166" i="16" s="1"/>
  <c r="B1167" i="16"/>
  <c r="C1167" i="16" s="1"/>
  <c r="B1168" i="16"/>
  <c r="C1168" i="16" s="1"/>
  <c r="B1169" i="16"/>
  <c r="C1169" i="16" s="1"/>
  <c r="B1170" i="16"/>
  <c r="C1170" i="16" s="1"/>
  <c r="B1171" i="16"/>
  <c r="C1171" i="16" s="1"/>
  <c r="B1172" i="16"/>
  <c r="C1172" i="16" s="1"/>
  <c r="B1173" i="16"/>
  <c r="B1174" i="16"/>
  <c r="B1175" i="16"/>
  <c r="C1175" i="16" s="1"/>
  <c r="B1176" i="16"/>
  <c r="C1176" i="16" s="1"/>
  <c r="B1177" i="16"/>
  <c r="C1177" i="16" s="1"/>
  <c r="B1178" i="16"/>
  <c r="C1178" i="16" s="1"/>
  <c r="B1179" i="16"/>
  <c r="C1179" i="16" s="1"/>
  <c r="B1180" i="16"/>
  <c r="B1181" i="16"/>
  <c r="B1182" i="16"/>
  <c r="B1183" i="16"/>
  <c r="C1183" i="16" s="1"/>
  <c r="B1184" i="16"/>
  <c r="C1184" i="16" s="1"/>
  <c r="B1185" i="16"/>
  <c r="C1185" i="16" s="1"/>
  <c r="B1186" i="16"/>
  <c r="C1186" i="16" s="1"/>
  <c r="B1187" i="16"/>
  <c r="C1187" i="16" s="1"/>
  <c r="B1188" i="16"/>
  <c r="B1189" i="16"/>
  <c r="B1190" i="16"/>
  <c r="B1191" i="16"/>
  <c r="C1191" i="16" s="1"/>
  <c r="B1192" i="16"/>
  <c r="B1193" i="16"/>
  <c r="C1193" i="16" s="1"/>
  <c r="B1194" i="16"/>
  <c r="C1194" i="16" s="1"/>
  <c r="B1195" i="16"/>
  <c r="C1195" i="16" s="1"/>
  <c r="B1196" i="16"/>
  <c r="C1196" i="16" s="1"/>
  <c r="B1197" i="16"/>
  <c r="B1198" i="16"/>
  <c r="B1199" i="16"/>
  <c r="C1199" i="16" s="1"/>
  <c r="B1200" i="16"/>
  <c r="C1200" i="16" s="1"/>
  <c r="B1201" i="16"/>
  <c r="C1201" i="16" s="1"/>
  <c r="B1202" i="16"/>
  <c r="C1202" i="16" s="1"/>
  <c r="B1203" i="16"/>
  <c r="C1203" i="16" s="1"/>
  <c r="B1204" i="16"/>
  <c r="B1205" i="16"/>
  <c r="B1206" i="16"/>
  <c r="B1207" i="16"/>
  <c r="C1207" i="16" s="1"/>
  <c r="B1208" i="16"/>
  <c r="C1208" i="16" s="1"/>
  <c r="B1209" i="16"/>
  <c r="C1209" i="16" s="1"/>
  <c r="B1210" i="16"/>
  <c r="C1210" i="16" s="1"/>
  <c r="B1211" i="16"/>
  <c r="C1211" i="16" s="1"/>
  <c r="B1212" i="16"/>
  <c r="B1213" i="16"/>
  <c r="B1214" i="16"/>
  <c r="C1214" i="16" s="1"/>
  <c r="B1215" i="16"/>
  <c r="B1216" i="16"/>
  <c r="C1216" i="16" s="1"/>
  <c r="B1217" i="16"/>
  <c r="C1217" i="16" s="1"/>
  <c r="B1218" i="16"/>
  <c r="C1218" i="16" s="1"/>
  <c r="B1219" i="16"/>
  <c r="C1219" i="16" s="1"/>
  <c r="B1220" i="16"/>
  <c r="B1221" i="16"/>
  <c r="B1222" i="16"/>
  <c r="B1223" i="16"/>
  <c r="C1223" i="16" s="1"/>
  <c r="B1224" i="16"/>
  <c r="B1225" i="16"/>
  <c r="C1225" i="16" s="1"/>
  <c r="B1226" i="16"/>
  <c r="C1226" i="16" s="1"/>
  <c r="B1227" i="16"/>
  <c r="C1227" i="16" s="1"/>
  <c r="B1228" i="16"/>
  <c r="B1229" i="16"/>
  <c r="B1230" i="16"/>
  <c r="B1231" i="16"/>
  <c r="C1231" i="16" s="1"/>
  <c r="B1232" i="16"/>
  <c r="C1232" i="16" s="1"/>
  <c r="B1233" i="16"/>
  <c r="B1234" i="16"/>
  <c r="C1234" i="16" s="1"/>
  <c r="B1235" i="16"/>
  <c r="C1235" i="16" s="1"/>
  <c r="B1236" i="16"/>
  <c r="B1237" i="16"/>
  <c r="B1238" i="16"/>
  <c r="C1238" i="16" s="1"/>
  <c r="B1239" i="16"/>
  <c r="B1240" i="16"/>
  <c r="C1240" i="16" s="1"/>
  <c r="B1241" i="16"/>
  <c r="C1241" i="16" s="1"/>
  <c r="B1242" i="16"/>
  <c r="C1242" i="16" s="1"/>
  <c r="B1243" i="16"/>
  <c r="C1243" i="16" s="1"/>
  <c r="B1244" i="16"/>
  <c r="B1245" i="16"/>
  <c r="B1246" i="16"/>
  <c r="B1247" i="16"/>
  <c r="C1247" i="16" s="1"/>
  <c r="B1248" i="16"/>
  <c r="C1248" i="16" s="1"/>
  <c r="B1249" i="16"/>
  <c r="C1249" i="16" s="1"/>
  <c r="B1250" i="16"/>
  <c r="C1250" i="16" s="1"/>
  <c r="B1251" i="16"/>
  <c r="C1251" i="16" s="1"/>
  <c r="B1252" i="16"/>
  <c r="B1253" i="16"/>
  <c r="B1254" i="16"/>
  <c r="B1255" i="16"/>
  <c r="C1255" i="16" s="1"/>
  <c r="B1256" i="16"/>
  <c r="B1257" i="16"/>
  <c r="C1257" i="16" s="1"/>
  <c r="B1258" i="16"/>
  <c r="C1258" i="16" s="1"/>
  <c r="B1259" i="16"/>
  <c r="C1259" i="16" s="1"/>
  <c r="B1260" i="16"/>
  <c r="B1261" i="16"/>
  <c r="B1262" i="16"/>
  <c r="C1262" i="16" s="1"/>
  <c r="B1263" i="16"/>
  <c r="C1263" i="16" s="1"/>
  <c r="B1264" i="16"/>
  <c r="C1264" i="16" s="1"/>
  <c r="B1265" i="16"/>
  <c r="C1265" i="16" s="1"/>
  <c r="B1266" i="16"/>
  <c r="C1266" i="16" s="1"/>
  <c r="B1267" i="16"/>
  <c r="C1267" i="16" s="1"/>
  <c r="B1268" i="16"/>
  <c r="C1268" i="16" s="1"/>
  <c r="B1269" i="16"/>
  <c r="B1270" i="16"/>
  <c r="B1271" i="16"/>
  <c r="C1271" i="16" s="1"/>
  <c r="B1272" i="16"/>
  <c r="C1272" i="16" s="1"/>
  <c r="B1273" i="16"/>
  <c r="C1273" i="16" s="1"/>
  <c r="B1274" i="16"/>
  <c r="C1274" i="16" s="1"/>
  <c r="B1275" i="16"/>
  <c r="C1275" i="16" s="1"/>
  <c r="B1276" i="16"/>
  <c r="B1277" i="16"/>
  <c r="B1278" i="16"/>
  <c r="B1279" i="16"/>
  <c r="C1279" i="16" s="1"/>
  <c r="B1280" i="16"/>
  <c r="C1280" i="16" s="1"/>
  <c r="B1281" i="16"/>
  <c r="C1281" i="16" s="1"/>
  <c r="B1282" i="16"/>
  <c r="C1282" i="16" s="1"/>
  <c r="B1283" i="16"/>
  <c r="C1283" i="16" s="1"/>
  <c r="B1284" i="16"/>
  <c r="B1285" i="16"/>
  <c r="B1286" i="16"/>
  <c r="B1287" i="16"/>
  <c r="C1287" i="16" s="1"/>
  <c r="B1288" i="16"/>
  <c r="B1289" i="16"/>
  <c r="B1290" i="16"/>
  <c r="C1290" i="16" s="1"/>
  <c r="B1291" i="16"/>
  <c r="C1291" i="16" s="1"/>
  <c r="B1292" i="16"/>
  <c r="C1292" i="16" s="1"/>
  <c r="B1293" i="16"/>
  <c r="B1294" i="16"/>
  <c r="B1295" i="16"/>
  <c r="C1295" i="16" s="1"/>
  <c r="B1296" i="16"/>
  <c r="C1296" i="16" s="1"/>
  <c r="B1297" i="16"/>
  <c r="C1297" i="16" s="1"/>
  <c r="B1298" i="16"/>
  <c r="C1298" i="16" s="1"/>
  <c r="B1299" i="16"/>
  <c r="C1299" i="16" s="1"/>
  <c r="B1300" i="16"/>
  <c r="B1301" i="16"/>
  <c r="B1302" i="16"/>
  <c r="B1303" i="16"/>
  <c r="C1303" i="16" s="1"/>
  <c r="B1304" i="16"/>
  <c r="C1304" i="16" s="1"/>
  <c r="B1305" i="16"/>
  <c r="C1305" i="16" s="1"/>
  <c r="B1306" i="16"/>
  <c r="C1306" i="16" s="1"/>
  <c r="B1307" i="16"/>
  <c r="C1307" i="16" s="1"/>
  <c r="B1308" i="16"/>
  <c r="B1309" i="16"/>
  <c r="B1310" i="16"/>
  <c r="C1310" i="16" s="1"/>
  <c r="B1311" i="16"/>
  <c r="C1311" i="16" s="1"/>
  <c r="B1312" i="16"/>
  <c r="C1312" i="16" s="1"/>
  <c r="B1313" i="16"/>
  <c r="C1313" i="16" s="1"/>
  <c r="B1314" i="16"/>
  <c r="C1314" i="16" s="1"/>
  <c r="B1315" i="16"/>
  <c r="C1315" i="16" s="1"/>
  <c r="B1316" i="16"/>
  <c r="B1317" i="16"/>
  <c r="B1318" i="16"/>
  <c r="B1319" i="16"/>
  <c r="C1319" i="16" s="1"/>
  <c r="B1320" i="16"/>
  <c r="C1320" i="16" s="1"/>
  <c r="B1321" i="16"/>
  <c r="C1321" i="16" s="1"/>
  <c r="B1322" i="16"/>
  <c r="C1322" i="16" s="1"/>
  <c r="B1323" i="16"/>
  <c r="C1323" i="16" s="1"/>
  <c r="B1324" i="16"/>
  <c r="B1325" i="16"/>
  <c r="B1326" i="16"/>
  <c r="B1327" i="16"/>
  <c r="C1327" i="16" s="1"/>
  <c r="B1328" i="16"/>
  <c r="C1328" i="16" s="1"/>
  <c r="B1329" i="16"/>
  <c r="C1329" i="16" s="1"/>
  <c r="B1330" i="16"/>
  <c r="C1330" i="16" s="1"/>
  <c r="B1331" i="16"/>
  <c r="C1331" i="16" s="1"/>
  <c r="B1332" i="16"/>
  <c r="B1333" i="16"/>
  <c r="B1334" i="16"/>
  <c r="C1334" i="16" s="1"/>
  <c r="B1335" i="16"/>
  <c r="C1335" i="16" s="1"/>
  <c r="B1336" i="16"/>
  <c r="C1336" i="16" s="1"/>
  <c r="B1337" i="16"/>
  <c r="C1337" i="16" s="1"/>
  <c r="B1338" i="16"/>
  <c r="C1338" i="16" s="1"/>
  <c r="B1339" i="16"/>
  <c r="C1339" i="16" s="1"/>
  <c r="B1340" i="16"/>
  <c r="C1340" i="16" s="1"/>
  <c r="B1341" i="16"/>
  <c r="B1342" i="16"/>
  <c r="B1343" i="16"/>
  <c r="C1343" i="16" s="1"/>
  <c r="B1344" i="16"/>
  <c r="B1345" i="16"/>
  <c r="C1345" i="16" s="1"/>
  <c r="B1346" i="16"/>
  <c r="C1346" i="16" s="1"/>
  <c r="B1347" i="16"/>
  <c r="C1347" i="16" s="1"/>
  <c r="B1348" i="16"/>
  <c r="B1349" i="16"/>
  <c r="B1350" i="16"/>
  <c r="B1351" i="16"/>
  <c r="C1351" i="16" s="1"/>
  <c r="B1352" i="16"/>
  <c r="C1352" i="16" s="1"/>
  <c r="B1353" i="16"/>
  <c r="C1353" i="16" s="1"/>
  <c r="B1354" i="16"/>
  <c r="C1354" i="16" s="1"/>
  <c r="B1355" i="16"/>
  <c r="C1355" i="16" s="1"/>
  <c r="B1356" i="16"/>
  <c r="B1357" i="16"/>
  <c r="B1358" i="16"/>
  <c r="B1359" i="16"/>
  <c r="C1359" i="16" s="1"/>
  <c r="B1360" i="16"/>
  <c r="C1360" i="16" s="1"/>
  <c r="B1361" i="16"/>
  <c r="B1362" i="16"/>
  <c r="C1362" i="16" s="1"/>
  <c r="B1363" i="16"/>
  <c r="C1363" i="16" s="1"/>
  <c r="B1364" i="16"/>
  <c r="C1364" i="16" s="1"/>
  <c r="B1365" i="16"/>
  <c r="B1366" i="16"/>
  <c r="B1367" i="16"/>
  <c r="C1367" i="16" s="1"/>
  <c r="B1368" i="16"/>
  <c r="C1368" i="16" s="1"/>
  <c r="B1369" i="16"/>
  <c r="C1369" i="16" s="1"/>
  <c r="B1370" i="16"/>
  <c r="C1370" i="16" s="1"/>
  <c r="B1371" i="16"/>
  <c r="C1371" i="16" s="1"/>
  <c r="B1372" i="16"/>
  <c r="B1373" i="16"/>
  <c r="B1374" i="16"/>
  <c r="B1375" i="16"/>
  <c r="C1375" i="16" s="1"/>
  <c r="B1376" i="16"/>
  <c r="C1376" i="16" s="1"/>
  <c r="B1377" i="16"/>
  <c r="C1377" i="16" s="1"/>
  <c r="B1378" i="16"/>
  <c r="C1378" i="16" s="1"/>
  <c r="B1379" i="16"/>
  <c r="C1379" i="16" s="1"/>
  <c r="B1380" i="16"/>
  <c r="B1381" i="16"/>
  <c r="B1382" i="16"/>
  <c r="C1382" i="16" s="1"/>
  <c r="B1383" i="16"/>
  <c r="C1383" i="16" s="1"/>
  <c r="B1384" i="16"/>
  <c r="C1384" i="16" s="1"/>
  <c r="B1385" i="16"/>
  <c r="C1385" i="16" s="1"/>
  <c r="B1386" i="16"/>
  <c r="C1386" i="16" s="1"/>
  <c r="B1387" i="16"/>
  <c r="C1387" i="16" s="1"/>
  <c r="B1388" i="16"/>
  <c r="B1389" i="16"/>
  <c r="B1390" i="16"/>
  <c r="B1391" i="16"/>
  <c r="C1391" i="16" s="1"/>
  <c r="B1392" i="16"/>
  <c r="C1392" i="16" s="1"/>
  <c r="B1393" i="16"/>
  <c r="C1393" i="16" s="1"/>
  <c r="B1394" i="16"/>
  <c r="C1394" i="16" s="1"/>
  <c r="B1395" i="16"/>
  <c r="C1395" i="16" s="1"/>
  <c r="B1396" i="16"/>
  <c r="B1397" i="16"/>
  <c r="B1398" i="16"/>
  <c r="B1399" i="16"/>
  <c r="C1399" i="16" s="1"/>
  <c r="B1400" i="16"/>
  <c r="C1400" i="16" s="1"/>
  <c r="B1401" i="16"/>
  <c r="C1401" i="16" s="1"/>
  <c r="B1402" i="16"/>
  <c r="C1402" i="16" s="1"/>
  <c r="B1403" i="16"/>
  <c r="C1403" i="16" s="1"/>
  <c r="B1404" i="16"/>
  <c r="B1405" i="16"/>
  <c r="B1406" i="16"/>
  <c r="C1406" i="16" s="1"/>
  <c r="B1407" i="16"/>
  <c r="C1407" i="16" s="1"/>
  <c r="B1408" i="16"/>
  <c r="B1409" i="16"/>
  <c r="C1409" i="16" s="1"/>
  <c r="B1410" i="16"/>
  <c r="C1410" i="16" s="1"/>
  <c r="B1411" i="16"/>
  <c r="C1411" i="16" s="1"/>
  <c r="B1412" i="16"/>
  <c r="C1412" i="16" s="1"/>
  <c r="B1413" i="16"/>
  <c r="B1414" i="16"/>
  <c r="B1415" i="16"/>
  <c r="C1415" i="16" s="1"/>
  <c r="B1416" i="16"/>
  <c r="C1416" i="16" s="1"/>
  <c r="B1417" i="16"/>
  <c r="B1418" i="16"/>
  <c r="C1418" i="16" s="1"/>
  <c r="B1419" i="16"/>
  <c r="C1419" i="16" s="1"/>
  <c r="B1420" i="16"/>
  <c r="B1421" i="16"/>
  <c r="B1422" i="16"/>
  <c r="B1423" i="16"/>
  <c r="C1423" i="16" s="1"/>
  <c r="B1424" i="16"/>
  <c r="C1424" i="16" s="1"/>
  <c r="B1425" i="16"/>
  <c r="C1425" i="16" s="1"/>
  <c r="B1426" i="16"/>
  <c r="C1426" i="16" s="1"/>
  <c r="B1427" i="16"/>
  <c r="C1427" i="16" s="1"/>
  <c r="B1428" i="16"/>
  <c r="B1429" i="16"/>
  <c r="B1430" i="16"/>
  <c r="C1430" i="16" s="1"/>
  <c r="B1431" i="16"/>
  <c r="C1431" i="16" s="1"/>
  <c r="B1432" i="16"/>
  <c r="C1432" i="16" s="1"/>
  <c r="B1433" i="16"/>
  <c r="C1433" i="16" s="1"/>
  <c r="B1434" i="16"/>
  <c r="C1434" i="16" s="1"/>
  <c r="B1435" i="16"/>
  <c r="C1435" i="16" s="1"/>
  <c r="B1436" i="16"/>
  <c r="C1436" i="16" s="1"/>
  <c r="B1437" i="16"/>
  <c r="B1438" i="16"/>
  <c r="B1439" i="16"/>
  <c r="C1439" i="16" s="1"/>
  <c r="B1440" i="16"/>
  <c r="B1441" i="16"/>
  <c r="C1441" i="16" s="1"/>
  <c r="B1442" i="16"/>
  <c r="C1442" i="16" s="1"/>
  <c r="B1443" i="16"/>
  <c r="C1443" i="16" s="1"/>
  <c r="B1444" i="16"/>
  <c r="B1445" i="16"/>
  <c r="B1446" i="16"/>
  <c r="B1447" i="16"/>
  <c r="C1447" i="16" s="1"/>
  <c r="B1448" i="16"/>
  <c r="C1448" i="16" s="1"/>
  <c r="B1449" i="16"/>
  <c r="C1449" i="16" s="1"/>
  <c r="B1450" i="16"/>
  <c r="C1450" i="16" s="1"/>
  <c r="B1451" i="16"/>
  <c r="C1451" i="16" s="1"/>
  <c r="B1452" i="16"/>
  <c r="B1453" i="16"/>
  <c r="B1454" i="16"/>
  <c r="C1454" i="16" s="1"/>
  <c r="B1455" i="16"/>
  <c r="C1455" i="16" s="1"/>
  <c r="B1456" i="16"/>
  <c r="C1456" i="16" s="1"/>
  <c r="B1457" i="16"/>
  <c r="C1457" i="16" s="1"/>
  <c r="B1458" i="16"/>
  <c r="C1458" i="16" s="1"/>
  <c r="B1459" i="16"/>
  <c r="C1459" i="16" s="1"/>
  <c r="B1460" i="16"/>
  <c r="B1461" i="16"/>
  <c r="B1462" i="16"/>
  <c r="B1463" i="16"/>
  <c r="C1463" i="16" s="1"/>
  <c r="B1464" i="16"/>
  <c r="C1464" i="16" s="1"/>
  <c r="B1465" i="16"/>
  <c r="C1465" i="16" s="1"/>
  <c r="B1466" i="16"/>
  <c r="C1466" i="16" s="1"/>
  <c r="B1467" i="16"/>
  <c r="C1467" i="16" s="1"/>
  <c r="B1468" i="16"/>
  <c r="B1469" i="16"/>
  <c r="B1470" i="16"/>
  <c r="B1471" i="16"/>
  <c r="C1471" i="16" s="1"/>
  <c r="B1472" i="16"/>
  <c r="B1473" i="16"/>
  <c r="C1473" i="16" s="1"/>
  <c r="B1474" i="16"/>
  <c r="C1474" i="16" s="1"/>
  <c r="B1475" i="16"/>
  <c r="C1475" i="16" s="1"/>
  <c r="B1476" i="16"/>
  <c r="B1477" i="16"/>
  <c r="B1478" i="16"/>
  <c r="C1478" i="16" s="1"/>
  <c r="B1479" i="16"/>
  <c r="C1479" i="16" s="1"/>
  <c r="B1480" i="16"/>
  <c r="C1480" i="16" s="1"/>
  <c r="B1481" i="16"/>
  <c r="C1481" i="16" s="1"/>
  <c r="B1482" i="16"/>
  <c r="C1482" i="16" s="1"/>
  <c r="B1483" i="16"/>
  <c r="C1483" i="16" s="1"/>
  <c r="B1484" i="16"/>
  <c r="C1484" i="16" s="1"/>
  <c r="B1485" i="16"/>
  <c r="B1486" i="16"/>
  <c r="C1486" i="16" s="1"/>
  <c r="B1487" i="16"/>
  <c r="C1487" i="16" s="1"/>
  <c r="B1488" i="16"/>
  <c r="C1488" i="16" s="1"/>
  <c r="B1489" i="16"/>
  <c r="B1490" i="16"/>
  <c r="C1490" i="16" s="1"/>
  <c r="B1491" i="16"/>
  <c r="C1491" i="16" s="1"/>
  <c r="B1492" i="16"/>
  <c r="B1493" i="16"/>
  <c r="B1494" i="16"/>
  <c r="B1495" i="16"/>
  <c r="C1495" i="16" s="1"/>
  <c r="B1496" i="16"/>
  <c r="C1496" i="16" s="1"/>
  <c r="B1497" i="16"/>
  <c r="C1497" i="16" s="1"/>
  <c r="B1498" i="16"/>
  <c r="C1498" i="16" s="1"/>
  <c r="B1499" i="16"/>
  <c r="C1499" i="16" s="1"/>
  <c r="B1500" i="16"/>
  <c r="B1501" i="16"/>
  <c r="B1502" i="16"/>
  <c r="C1502" i="16" s="1"/>
  <c r="B1503" i="16"/>
  <c r="C1503" i="16" s="1"/>
  <c r="B1504" i="16"/>
  <c r="B1505" i="16"/>
  <c r="C1505" i="16" s="1"/>
  <c r="B1506" i="16"/>
  <c r="C1506" i="16" s="1"/>
  <c r="B1507" i="16"/>
  <c r="C1507" i="16" s="1"/>
  <c r="B1508" i="16"/>
  <c r="C1508" i="16" s="1"/>
  <c r="B1509" i="16"/>
  <c r="B1510" i="16"/>
  <c r="B1511" i="16"/>
  <c r="C1511" i="16" s="1"/>
  <c r="B1512" i="16"/>
  <c r="C1512" i="16" s="1"/>
  <c r="B1513" i="16"/>
  <c r="C1513" i="16" s="1"/>
  <c r="B1514" i="16"/>
  <c r="C1514" i="16" s="1"/>
  <c r="B1515" i="16"/>
  <c r="C1515" i="16" s="1"/>
  <c r="B1516" i="16"/>
  <c r="B1517" i="16"/>
  <c r="B1518" i="16"/>
  <c r="C1518" i="16" s="1"/>
  <c r="B1519" i="16"/>
  <c r="C1519" i="16" s="1"/>
  <c r="B1520" i="16"/>
  <c r="C1520" i="16" s="1"/>
  <c r="B1521" i="16"/>
  <c r="C1521" i="16" s="1"/>
  <c r="B1522" i="16"/>
  <c r="C1522" i="16" s="1"/>
  <c r="B1523" i="16"/>
  <c r="C1523" i="16" s="1"/>
  <c r="B1524" i="16"/>
  <c r="B1525" i="16"/>
  <c r="B1526" i="16"/>
  <c r="C1526" i="16" s="1"/>
  <c r="B1527" i="16"/>
  <c r="C1527" i="16" s="1"/>
  <c r="B1528" i="16"/>
  <c r="C1528" i="16" s="1"/>
  <c r="B1529" i="16"/>
  <c r="C1529" i="16" s="1"/>
  <c r="B1530" i="16"/>
  <c r="C1530" i="16" s="1"/>
  <c r="B1531" i="16"/>
  <c r="C1531" i="16" s="1"/>
  <c r="B1532" i="16"/>
  <c r="C1532" i="16" s="1"/>
  <c r="B1533" i="16"/>
  <c r="B1534" i="16"/>
  <c r="C1534" i="16" s="1"/>
  <c r="B1535" i="16"/>
  <c r="C1535" i="16" s="1"/>
  <c r="B1536" i="16"/>
  <c r="B1537" i="16"/>
  <c r="C1537" i="16" s="1"/>
  <c r="B1538" i="16"/>
  <c r="C1538" i="16" s="1"/>
  <c r="B1539" i="16"/>
  <c r="C1539" i="16" s="1"/>
  <c r="B1540" i="16"/>
  <c r="B1541" i="16"/>
  <c r="B1542" i="16"/>
  <c r="B1543" i="16"/>
  <c r="C1543" i="16" s="1"/>
  <c r="B1544" i="16"/>
  <c r="C1544" i="16" s="1"/>
  <c r="B1545" i="16"/>
  <c r="B1546" i="16"/>
  <c r="C1546" i="16" s="1"/>
  <c r="B1547" i="16"/>
  <c r="C1547" i="16" s="1"/>
  <c r="B1548" i="16"/>
  <c r="B1549" i="16"/>
  <c r="B1550" i="16"/>
  <c r="C1550" i="16" s="1"/>
  <c r="B1551" i="16"/>
  <c r="C1551" i="16" s="1"/>
  <c r="B1552" i="16"/>
  <c r="C1552" i="16" s="1"/>
  <c r="B1553" i="16"/>
  <c r="C1553" i="16" s="1"/>
  <c r="B1554" i="16"/>
  <c r="C1554" i="16" s="1"/>
  <c r="B1555" i="16"/>
  <c r="C1555" i="16" s="1"/>
  <c r="B1556" i="16"/>
  <c r="C1556" i="16" s="1"/>
  <c r="B1557" i="16"/>
  <c r="B1558" i="16"/>
  <c r="B1559" i="16"/>
  <c r="C1559" i="16" s="1"/>
  <c r="B1560" i="16"/>
  <c r="C1560" i="16" s="1"/>
  <c r="B1561" i="16"/>
  <c r="C1561" i="16" s="1"/>
  <c r="B1562" i="16"/>
  <c r="C1562" i="16" s="1"/>
  <c r="B1563" i="16"/>
  <c r="C1563" i="16" s="1"/>
  <c r="B1564" i="16"/>
  <c r="B1565" i="16"/>
  <c r="B1566" i="16"/>
  <c r="C1566" i="16" s="1"/>
  <c r="B1567" i="16"/>
  <c r="C1567" i="16" s="1"/>
  <c r="B1568" i="16"/>
  <c r="C1568" i="16" s="1"/>
  <c r="B1569" i="16"/>
  <c r="C1569" i="16" s="1"/>
  <c r="B1570" i="16"/>
  <c r="C1570" i="16" s="1"/>
  <c r="B1571" i="16"/>
  <c r="C1571" i="16" s="1"/>
  <c r="B1572" i="16"/>
  <c r="B1573" i="16"/>
  <c r="B1574" i="16"/>
  <c r="C1574" i="16" s="1"/>
  <c r="B1575" i="16"/>
  <c r="C1575" i="16" s="1"/>
  <c r="B1576" i="16"/>
  <c r="C1576" i="16" s="1"/>
  <c r="B1577" i="16"/>
  <c r="C1577" i="16" s="1"/>
  <c r="B1578" i="16"/>
  <c r="C1578" i="16" s="1"/>
  <c r="B1579" i="16"/>
  <c r="C1579" i="16" s="1"/>
  <c r="B1580" i="16"/>
  <c r="C1580" i="16" s="1"/>
  <c r="B1581" i="16"/>
  <c r="B1582" i="16"/>
  <c r="B1583" i="16"/>
  <c r="C1583" i="16" s="1"/>
  <c r="B1584" i="16"/>
  <c r="C1584" i="16" s="1"/>
  <c r="B1585" i="16"/>
  <c r="C1585" i="16" s="1"/>
  <c r="B1586" i="16"/>
  <c r="C1586" i="16" s="1"/>
  <c r="B1587" i="16"/>
  <c r="C1587" i="16" s="1"/>
  <c r="B1588" i="16"/>
  <c r="B1589" i="16"/>
  <c r="B1590" i="16"/>
  <c r="C1590" i="16" s="1"/>
  <c r="B1591" i="16"/>
  <c r="C1591" i="16" s="1"/>
  <c r="B1592" i="16"/>
  <c r="C1592" i="16" s="1"/>
  <c r="B1593" i="16"/>
  <c r="C1593" i="16" s="1"/>
  <c r="B1594" i="16"/>
  <c r="C1594" i="16" s="1"/>
  <c r="B1595" i="16"/>
  <c r="C1595" i="16" s="1"/>
  <c r="B1596" i="16"/>
  <c r="B1597" i="16"/>
  <c r="B1598" i="16"/>
  <c r="C1598" i="16" s="1"/>
  <c r="B1599" i="16"/>
  <c r="C1599" i="16" s="1"/>
  <c r="B1600" i="16"/>
  <c r="B1601" i="16"/>
  <c r="C1601" i="16" s="1"/>
  <c r="B1602" i="16"/>
  <c r="C1602" i="16" s="1"/>
  <c r="B1603" i="16"/>
  <c r="C1603" i="16" s="1"/>
  <c r="B1604" i="16"/>
  <c r="C1604" i="16" s="1"/>
  <c r="B1605" i="16"/>
  <c r="B1606" i="16"/>
  <c r="C1606" i="16" s="1"/>
  <c r="B1607" i="16"/>
  <c r="C1607" i="16" s="1"/>
  <c r="B1608" i="16"/>
  <c r="C1608" i="16" s="1"/>
  <c r="B1609" i="16"/>
  <c r="C1609" i="16" s="1"/>
  <c r="B1610" i="16"/>
  <c r="C1610" i="16" s="1"/>
  <c r="B1611" i="16"/>
  <c r="C1611" i="16" s="1"/>
  <c r="B1612" i="16"/>
  <c r="B1613" i="16"/>
  <c r="B1614" i="16"/>
  <c r="C1614" i="16" s="1"/>
  <c r="B1615" i="16"/>
  <c r="C1615" i="16" s="1"/>
  <c r="B1616" i="16"/>
  <c r="C1616" i="16" s="1"/>
  <c r="B1617" i="16"/>
  <c r="B1618" i="16"/>
  <c r="C1618" i="16" s="1"/>
  <c r="B1619" i="16"/>
  <c r="C1619" i="16" s="1"/>
  <c r="B1620" i="16"/>
  <c r="B1621" i="16"/>
  <c r="B1622" i="16"/>
  <c r="C1622" i="16" s="1"/>
  <c r="B1623" i="16"/>
  <c r="C1623" i="16" s="1"/>
  <c r="B1624" i="16"/>
  <c r="C1624" i="16" s="1"/>
  <c r="B1625" i="16"/>
  <c r="C1625" i="16" s="1"/>
  <c r="B1626" i="16"/>
  <c r="C1626" i="16" s="1"/>
  <c r="B1627" i="16"/>
  <c r="C1627" i="16" s="1"/>
  <c r="B1628" i="16"/>
  <c r="C1628" i="16" s="1"/>
  <c r="B1629" i="16"/>
  <c r="B1630" i="16"/>
  <c r="C1630" i="16" s="1"/>
  <c r="B1631" i="16"/>
  <c r="C1631" i="16" s="1"/>
  <c r="B1632" i="16"/>
  <c r="B1633" i="16"/>
  <c r="C1633" i="16" s="1"/>
  <c r="B1634" i="16"/>
  <c r="C1634" i="16" s="1"/>
  <c r="B1635" i="16"/>
  <c r="C1635" i="16" s="1"/>
  <c r="B1636" i="16"/>
  <c r="B1637" i="16"/>
  <c r="B1638" i="16"/>
  <c r="C1638" i="16" s="1"/>
  <c r="B1639" i="16"/>
  <c r="C1639" i="16" s="1"/>
  <c r="B1640" i="16"/>
  <c r="C1640" i="16" s="1"/>
  <c r="B1641" i="16"/>
  <c r="C1641" i="16" s="1"/>
  <c r="B1642" i="16"/>
  <c r="C1642" i="16" s="1"/>
  <c r="B1643" i="16"/>
  <c r="C1643" i="16" s="1"/>
  <c r="B1644" i="16"/>
  <c r="B1645" i="16"/>
  <c r="B1646" i="16"/>
  <c r="B1647" i="16"/>
  <c r="C1647" i="16" s="1"/>
  <c r="B1648" i="16"/>
  <c r="C1648" i="16" s="1"/>
  <c r="B1649" i="16"/>
  <c r="C1649" i="16" s="1"/>
  <c r="B1650" i="16"/>
  <c r="C1650" i="16" s="1"/>
  <c r="B1651" i="16"/>
  <c r="C1651" i="16" s="1"/>
  <c r="B1652" i="16"/>
  <c r="C1652" i="16" s="1"/>
  <c r="B1653" i="16"/>
  <c r="B1654" i="16"/>
  <c r="B1655" i="16"/>
  <c r="C1655" i="16" s="1"/>
  <c r="B1656" i="16"/>
  <c r="C1656" i="16" s="1"/>
  <c r="B1657" i="16"/>
  <c r="C1657" i="16" s="1"/>
  <c r="B1658" i="16"/>
  <c r="C1658" i="16" s="1"/>
  <c r="B1659" i="16"/>
  <c r="C1659" i="16" s="1"/>
  <c r="B1660" i="16"/>
  <c r="B1661" i="16"/>
  <c r="B1662" i="16"/>
  <c r="C1662" i="16" s="1"/>
  <c r="B1663" i="16"/>
  <c r="C1663" i="16" s="1"/>
  <c r="B1664" i="16"/>
  <c r="B1665" i="16"/>
  <c r="C1665" i="16" s="1"/>
  <c r="B1666" i="16"/>
  <c r="C1666" i="16" s="1"/>
  <c r="B1667" i="16"/>
  <c r="C1667" i="16" s="1"/>
  <c r="B1668" i="16"/>
  <c r="B1669" i="16"/>
  <c r="B1670" i="16"/>
  <c r="C1670" i="16" s="1"/>
  <c r="B1671" i="16"/>
  <c r="C1671" i="16" s="1"/>
  <c r="B1672" i="16"/>
  <c r="C1672" i="16" s="1"/>
  <c r="B1673" i="16"/>
  <c r="B1674" i="16"/>
  <c r="C1674" i="16" s="1"/>
  <c r="B1675" i="16"/>
  <c r="C1675" i="16" s="1"/>
  <c r="B1676" i="16"/>
  <c r="C1676" i="16" s="1"/>
  <c r="B1677" i="16"/>
  <c r="B1678" i="16"/>
  <c r="C1678" i="16" s="1"/>
  <c r="B1679" i="16"/>
  <c r="C1679" i="16" s="1"/>
  <c r="B1680" i="16"/>
  <c r="C1680" i="16" s="1"/>
  <c r="B1681" i="16"/>
  <c r="C1681" i="16" s="1"/>
  <c r="B1682" i="16"/>
  <c r="C1682" i="16" s="1"/>
  <c r="B1683" i="16"/>
  <c r="C1683" i="16" s="1"/>
  <c r="B1684" i="16"/>
  <c r="B1685" i="16"/>
  <c r="B1686" i="16"/>
  <c r="C1686" i="16" s="1"/>
  <c r="B1687" i="16"/>
  <c r="B1688" i="16"/>
  <c r="C1688" i="16" s="1"/>
  <c r="B1689" i="16"/>
  <c r="C1689" i="16" s="1"/>
  <c r="B1690" i="16"/>
  <c r="C1690" i="16" s="1"/>
  <c r="B1691" i="16"/>
  <c r="C1691" i="16" s="1"/>
  <c r="B1692" i="16"/>
  <c r="B1693" i="16"/>
  <c r="B1694" i="16"/>
  <c r="C1694" i="16" s="1"/>
  <c r="B1695" i="16"/>
  <c r="C1695" i="16" s="1"/>
  <c r="B1696" i="16"/>
  <c r="B1697" i="16"/>
  <c r="C1697" i="16" s="1"/>
  <c r="B1698" i="16"/>
  <c r="C1698" i="16" s="1"/>
  <c r="B1699" i="16"/>
  <c r="C1699" i="16" s="1"/>
  <c r="B1700" i="16"/>
  <c r="B1701" i="16"/>
  <c r="B1702" i="16"/>
  <c r="C1702" i="16" s="1"/>
  <c r="B1703" i="16"/>
  <c r="C1703" i="16" s="1"/>
  <c r="B1704" i="16"/>
  <c r="C1704" i="16" s="1"/>
  <c r="B1705" i="16"/>
  <c r="C1705" i="16" s="1"/>
  <c r="B1706" i="16"/>
  <c r="C1706" i="16" s="1"/>
  <c r="B1707" i="16"/>
  <c r="C1707" i="16" s="1"/>
  <c r="B1708" i="16"/>
  <c r="B1709" i="16"/>
  <c r="B1710" i="16"/>
  <c r="C1710" i="16" s="1"/>
  <c r="B1711" i="16"/>
  <c r="C1711" i="16" s="1"/>
  <c r="B1712" i="16"/>
  <c r="C1712" i="16" s="1"/>
  <c r="B1713" i="16"/>
  <c r="C1713" i="16" s="1"/>
  <c r="B1714" i="16"/>
  <c r="C1714" i="16" s="1"/>
  <c r="B1715" i="16"/>
  <c r="C1715" i="16" s="1"/>
  <c r="B1716" i="16"/>
  <c r="B1717" i="16"/>
  <c r="B1718" i="16"/>
  <c r="B1719" i="16"/>
  <c r="C1719" i="16" s="1"/>
  <c r="B1720" i="16"/>
  <c r="C1720" i="16" s="1"/>
  <c r="B1721" i="16"/>
  <c r="C1721" i="16" s="1"/>
  <c r="B1722" i="16"/>
  <c r="C1722" i="16" s="1"/>
  <c r="B1723" i="16"/>
  <c r="C1723" i="16" s="1"/>
  <c r="B1724" i="16"/>
  <c r="C1724" i="16" s="1"/>
  <c r="B1725" i="16"/>
  <c r="B1726" i="16"/>
  <c r="B1727" i="16"/>
  <c r="C1727" i="16" s="1"/>
  <c r="B1728" i="16"/>
  <c r="B1729" i="16"/>
  <c r="C1729" i="16" s="1"/>
  <c r="B1730" i="16"/>
  <c r="C1730" i="16" s="1"/>
  <c r="B1731" i="16"/>
  <c r="C1731" i="16" s="1"/>
  <c r="B1732" i="16"/>
  <c r="B1733" i="16"/>
  <c r="B1734" i="16"/>
  <c r="C1734" i="16" s="1"/>
  <c r="B1735" i="16"/>
  <c r="C1735" i="16" s="1"/>
  <c r="B1736" i="16"/>
  <c r="C1736" i="16" s="1"/>
  <c r="B1737" i="16"/>
  <c r="C1737" i="16" s="1"/>
  <c r="B1738" i="16"/>
  <c r="C1738" i="16" s="1"/>
  <c r="B1739" i="16"/>
  <c r="C1739" i="16" s="1"/>
  <c r="B1740" i="16"/>
  <c r="B1741" i="16"/>
  <c r="B1742" i="16"/>
  <c r="C1742" i="16" s="1"/>
  <c r="B1743" i="16"/>
  <c r="C1743" i="16" s="1"/>
  <c r="B1744" i="16"/>
  <c r="C1744" i="16" s="1"/>
  <c r="B1745" i="16"/>
  <c r="B1746" i="16"/>
  <c r="C1746" i="16" s="1"/>
  <c r="B1747" i="16"/>
  <c r="C1747" i="16" s="1"/>
  <c r="B1748" i="16"/>
  <c r="C1748" i="16" s="1"/>
  <c r="B1749" i="16"/>
  <c r="B1750" i="16"/>
  <c r="C1750" i="16" s="1"/>
  <c r="B1751" i="16"/>
  <c r="B1752" i="16"/>
  <c r="C1752" i="16" s="1"/>
  <c r="B1753" i="16"/>
  <c r="C1753" i="16" s="1"/>
  <c r="B1754" i="16"/>
  <c r="C1754" i="16" s="1"/>
  <c r="B1755" i="16"/>
  <c r="C1755" i="16" s="1"/>
  <c r="B1756" i="16"/>
  <c r="B1757" i="16"/>
  <c r="B1758" i="16"/>
  <c r="B1759" i="16"/>
  <c r="C1759" i="16" s="1"/>
  <c r="B1760" i="16"/>
  <c r="C1760" i="16" s="1"/>
  <c r="B1761" i="16"/>
  <c r="C1761" i="16" s="1"/>
  <c r="B1762" i="16"/>
  <c r="C1762" i="16" s="1"/>
  <c r="B1763" i="16"/>
  <c r="C1763" i="16" s="1"/>
  <c r="B1764" i="16"/>
  <c r="B1765" i="16"/>
  <c r="B1766" i="16"/>
  <c r="C1766" i="16" s="1"/>
  <c r="B1767" i="16"/>
  <c r="C1767" i="16" s="1"/>
  <c r="B1768" i="16"/>
  <c r="C1768" i="16" s="1"/>
  <c r="B1769" i="16"/>
  <c r="C1769" i="16" s="1"/>
  <c r="B1770" i="16"/>
  <c r="C1770" i="16" s="1"/>
  <c r="B1771" i="16"/>
  <c r="C1771" i="16" s="1"/>
  <c r="B1772" i="16"/>
  <c r="C1772" i="16" s="1"/>
  <c r="B1773" i="16"/>
  <c r="B1774" i="16"/>
  <c r="C1774" i="16" s="1"/>
  <c r="B1775" i="16"/>
  <c r="C1775" i="16" s="1"/>
  <c r="B1776" i="16"/>
  <c r="C1776" i="16" s="1"/>
  <c r="B1777" i="16"/>
  <c r="C1777" i="16" s="1"/>
  <c r="B1778" i="16"/>
  <c r="C1778" i="16" s="1"/>
  <c r="B1779" i="16"/>
  <c r="C1779" i="16" s="1"/>
  <c r="B1780" i="16"/>
  <c r="B1781" i="16"/>
  <c r="B1782" i="16"/>
  <c r="C1782" i="16" s="1"/>
  <c r="B1783" i="16"/>
  <c r="C1783" i="16" s="1"/>
  <c r="B1784" i="16"/>
  <c r="C1784" i="16" s="1"/>
  <c r="B1785" i="16"/>
  <c r="C1785" i="16" s="1"/>
  <c r="B1786" i="16"/>
  <c r="C1786" i="16" s="1"/>
  <c r="B1787" i="16"/>
  <c r="C1787" i="16" s="1"/>
  <c r="B1788" i="16"/>
  <c r="B1789" i="16"/>
  <c r="B1790" i="16"/>
  <c r="C1790" i="16" s="1"/>
  <c r="B1791" i="16"/>
  <c r="C1791" i="16" s="1"/>
  <c r="B1792" i="16"/>
  <c r="B1793" i="16"/>
  <c r="C1793" i="16" s="1"/>
  <c r="B1794" i="16"/>
  <c r="C1794" i="16" s="1"/>
  <c r="B1795" i="16"/>
  <c r="C1795" i="16" s="1"/>
  <c r="B1796" i="16"/>
  <c r="C1796" i="16" s="1"/>
  <c r="B1797" i="16"/>
  <c r="B1798" i="16"/>
  <c r="C1798" i="16" s="1"/>
  <c r="B1799" i="16"/>
  <c r="C1799" i="16" s="1"/>
  <c r="B1800" i="16"/>
  <c r="C1800" i="16" s="1"/>
  <c r="B1801" i="16"/>
  <c r="B1802" i="16"/>
  <c r="C1802" i="16" s="1"/>
  <c r="B1803" i="16"/>
  <c r="C1803" i="16" s="1"/>
  <c r="B1804" i="16"/>
  <c r="B1805" i="16"/>
  <c r="B1806" i="16"/>
  <c r="C1806" i="16" s="1"/>
  <c r="B1807" i="16"/>
  <c r="C1807" i="16" s="1"/>
  <c r="B1808" i="16"/>
  <c r="C1808" i="16" s="1"/>
  <c r="B1809" i="16"/>
  <c r="C1809" i="16" s="1"/>
  <c r="B1810" i="16"/>
  <c r="C1810" i="16" s="1"/>
  <c r="B1811" i="16"/>
  <c r="C1811" i="16" s="1"/>
  <c r="B1812" i="16"/>
  <c r="B1813" i="16"/>
  <c r="B1814" i="16"/>
  <c r="C1814" i="16" s="1"/>
  <c r="B1815" i="16"/>
  <c r="C1815" i="16" s="1"/>
  <c r="B1816" i="16"/>
  <c r="C1816" i="16" s="1"/>
  <c r="B1817" i="16"/>
  <c r="C1817" i="16" s="1"/>
  <c r="B1818" i="16"/>
  <c r="C1818" i="16" s="1"/>
  <c r="B1819" i="16"/>
  <c r="C1819" i="16" s="1"/>
  <c r="B1820" i="16"/>
  <c r="C1820" i="16" s="1"/>
  <c r="B1821" i="16"/>
  <c r="B1822" i="16"/>
  <c r="B1823" i="16"/>
  <c r="C1823" i="16" s="1"/>
  <c r="B1824" i="16"/>
  <c r="B1825" i="16"/>
  <c r="C1825" i="16" s="1"/>
  <c r="B1826" i="16"/>
  <c r="C1826" i="16" s="1"/>
  <c r="B1827" i="16"/>
  <c r="C1827" i="16" s="1"/>
  <c r="B1828" i="16"/>
  <c r="B1829" i="16"/>
  <c r="B1830" i="16"/>
  <c r="C1830" i="16" s="1"/>
  <c r="B1831" i="16"/>
  <c r="C1831" i="16" s="1"/>
  <c r="B1832" i="16"/>
  <c r="C1832" i="16" s="1"/>
  <c r="B1833" i="16"/>
  <c r="C1833" i="16" s="1"/>
  <c r="B1834" i="16"/>
  <c r="C1834" i="16" s="1"/>
  <c r="B1835" i="16"/>
  <c r="C1835" i="16" s="1"/>
  <c r="B1836" i="16"/>
  <c r="B1837" i="16"/>
  <c r="B1838" i="16"/>
  <c r="C1838" i="16" s="1"/>
  <c r="B1839" i="16"/>
  <c r="C1839" i="16" s="1"/>
  <c r="B1840" i="16"/>
  <c r="B1841" i="16"/>
  <c r="B1842" i="16"/>
  <c r="C1842" i="16" s="1"/>
  <c r="B1843" i="16"/>
  <c r="C1843" i="16" s="1"/>
  <c r="B1844" i="16"/>
  <c r="C1844" i="16" s="1"/>
  <c r="B1845" i="16"/>
  <c r="B1846" i="16"/>
  <c r="C1846" i="16" s="1"/>
  <c r="B1847" i="16"/>
  <c r="C1847" i="16" s="1"/>
  <c r="B1848" i="16"/>
  <c r="C1848" i="16" s="1"/>
  <c r="B1849" i="16"/>
  <c r="C1849" i="16" s="1"/>
  <c r="B1850" i="16"/>
  <c r="C1850" i="16" s="1"/>
  <c r="B1851" i="16"/>
  <c r="C1851" i="16" s="1"/>
  <c r="B1852" i="16"/>
  <c r="B1853" i="16"/>
  <c r="B1854" i="16"/>
  <c r="B1855" i="16"/>
  <c r="C1855" i="16" s="1"/>
  <c r="B1856" i="16"/>
  <c r="C1856" i="16" s="1"/>
  <c r="B1857" i="16"/>
  <c r="C1857" i="16" s="1"/>
  <c r="B1858" i="16"/>
  <c r="C1858" i="16" s="1"/>
  <c r="B1859" i="16"/>
  <c r="C1859" i="16" s="1"/>
  <c r="B1860" i="16"/>
  <c r="B1861" i="16"/>
  <c r="B1862" i="16"/>
  <c r="C1862" i="16" s="1"/>
  <c r="B1863" i="16"/>
  <c r="C1863" i="16" s="1"/>
  <c r="B1864" i="16"/>
  <c r="C1864" i="16" s="1"/>
  <c r="B1865" i="16"/>
  <c r="C1865" i="16" s="1"/>
  <c r="B1866" i="16"/>
  <c r="C1866" i="16" s="1"/>
  <c r="B1867" i="16"/>
  <c r="C1867" i="16" s="1"/>
  <c r="B1868" i="16"/>
  <c r="C1868" i="16" s="1"/>
  <c r="B1869" i="16"/>
  <c r="B1870" i="16"/>
  <c r="C1870" i="16" s="1"/>
  <c r="B1871" i="16"/>
  <c r="C1871" i="16" s="1"/>
  <c r="B1872" i="16"/>
  <c r="C1872" i="16" s="1"/>
  <c r="B1873" i="16"/>
  <c r="C1873" i="16" s="1"/>
  <c r="B1874" i="16"/>
  <c r="C1874" i="16" s="1"/>
  <c r="B1875" i="16"/>
  <c r="C1875" i="16" s="1"/>
  <c r="B1876" i="16"/>
  <c r="B1877" i="16"/>
  <c r="B1878" i="16"/>
  <c r="C1878" i="16" s="1"/>
  <c r="B1879" i="16"/>
  <c r="C1879" i="16" s="1"/>
  <c r="B1880" i="16"/>
  <c r="C1880" i="16" s="1"/>
  <c r="B1881" i="16"/>
  <c r="C1881" i="16" s="1"/>
  <c r="B1882" i="16"/>
  <c r="C1882" i="16" s="1"/>
  <c r="B1883" i="16"/>
  <c r="C1883" i="16" s="1"/>
  <c r="B1884" i="16"/>
  <c r="B1885" i="16"/>
  <c r="B1886" i="16"/>
  <c r="C1886" i="16" s="1"/>
  <c r="B1887" i="16"/>
  <c r="C1887" i="16" s="1"/>
  <c r="B1888" i="16"/>
  <c r="B1889" i="16"/>
  <c r="C1889" i="16" s="1"/>
  <c r="B1890" i="16"/>
  <c r="C1890" i="16" s="1"/>
  <c r="B1891" i="16"/>
  <c r="C1891" i="16" s="1"/>
  <c r="B1892" i="16"/>
  <c r="B1893" i="16"/>
  <c r="B1894" i="16"/>
  <c r="C1894" i="16" s="1"/>
  <c r="B1895" i="16"/>
  <c r="C1895" i="16" s="1"/>
  <c r="B1896" i="16"/>
  <c r="C1896" i="16" s="1"/>
  <c r="B1897" i="16"/>
  <c r="C1897" i="16" s="1"/>
  <c r="B1898" i="16"/>
  <c r="C1898" i="16" s="1"/>
  <c r="B1899" i="16"/>
  <c r="C1899" i="16" s="1"/>
  <c r="B1900" i="16"/>
  <c r="B1901" i="16"/>
  <c r="B1902" i="16"/>
  <c r="C1902" i="16" s="1"/>
  <c r="B1903" i="16"/>
  <c r="C1903" i="16" s="1"/>
  <c r="B1904" i="16"/>
  <c r="C1904" i="16" s="1"/>
  <c r="B1905" i="16"/>
  <c r="C1905" i="16" s="1"/>
  <c r="B1906" i="16"/>
  <c r="C1906" i="16" s="1"/>
  <c r="B1907" i="16"/>
  <c r="C1907" i="16" s="1"/>
  <c r="B1908" i="16"/>
  <c r="B1909" i="16"/>
  <c r="B1910" i="16"/>
  <c r="C1910" i="16" s="1"/>
  <c r="B1911" i="16"/>
  <c r="C1911" i="16" s="1"/>
  <c r="B1912" i="16"/>
  <c r="C1912" i="16" s="1"/>
  <c r="B1913" i="16"/>
  <c r="B1914" i="16"/>
  <c r="C1914" i="16" s="1"/>
  <c r="B1915" i="16"/>
  <c r="C1915" i="16" s="1"/>
  <c r="B1916" i="16"/>
  <c r="C1916" i="16" s="1"/>
  <c r="B1917" i="16"/>
  <c r="B1918" i="16"/>
  <c r="C1918" i="16" s="1"/>
  <c r="B1919" i="16"/>
  <c r="C1919" i="16" s="1"/>
  <c r="B1920" i="16"/>
  <c r="C1920" i="16" s="1"/>
  <c r="B1921" i="16"/>
  <c r="C1921" i="16" s="1"/>
  <c r="B1922" i="16"/>
  <c r="C1922" i="16" s="1"/>
  <c r="B1923" i="16"/>
  <c r="C1923" i="16" s="1"/>
  <c r="B1924" i="16"/>
  <c r="B1925" i="16"/>
  <c r="B1926" i="16"/>
  <c r="C1926" i="16" s="1"/>
  <c r="B1927" i="16"/>
  <c r="C1927" i="16" s="1"/>
  <c r="B1928" i="16"/>
  <c r="C1928" i="16" s="1"/>
  <c r="B1929" i="16"/>
  <c r="C1929" i="16" s="1"/>
  <c r="B1930" i="16"/>
  <c r="C1930" i="16" s="1"/>
  <c r="B1931" i="16"/>
  <c r="C1931" i="16" s="1"/>
  <c r="B1932" i="16"/>
  <c r="B1933" i="16"/>
  <c r="B1934" i="16"/>
  <c r="C1934" i="16" s="1"/>
  <c r="B1935" i="16"/>
  <c r="C1935" i="16" s="1"/>
  <c r="B1936" i="16"/>
  <c r="C1936" i="16" s="1"/>
  <c r="B1937" i="16"/>
  <c r="C1937" i="16" s="1"/>
  <c r="B1938" i="16"/>
  <c r="C1938" i="16" s="1"/>
  <c r="B1939" i="16"/>
  <c r="C1939" i="16" s="1"/>
  <c r="B1940" i="16"/>
  <c r="C1940" i="16" s="1"/>
  <c r="B1941" i="16"/>
  <c r="B1942" i="16"/>
  <c r="C1942" i="16" s="1"/>
  <c r="B1943" i="16"/>
  <c r="C1943" i="16" s="1"/>
  <c r="B1944" i="16"/>
  <c r="C1944" i="16" s="1"/>
  <c r="B1945" i="16"/>
  <c r="C1945" i="16" s="1"/>
  <c r="B1946" i="16"/>
  <c r="C1946" i="16" s="1"/>
  <c r="B1947" i="16"/>
  <c r="C1947" i="16" s="1"/>
  <c r="B1948" i="16"/>
  <c r="B1949" i="16"/>
  <c r="B1950" i="16"/>
  <c r="C1950" i="16" s="1"/>
  <c r="B1951" i="16"/>
  <c r="C1951" i="16" s="1"/>
  <c r="B1952" i="16"/>
  <c r="B1953" i="16"/>
  <c r="C1953" i="16" s="1"/>
  <c r="B1954" i="16"/>
  <c r="C1954" i="16" s="1"/>
  <c r="B1955" i="16"/>
  <c r="C1955" i="16" s="1"/>
  <c r="B1956" i="16"/>
  <c r="B1957" i="16"/>
  <c r="B1958" i="16"/>
  <c r="C1958" i="16" s="1"/>
  <c r="B1959" i="16"/>
  <c r="C1959" i="16" s="1"/>
  <c r="B1960" i="16"/>
  <c r="C1960" i="16" s="1"/>
  <c r="B1961" i="16"/>
  <c r="C1961" i="16" s="1"/>
  <c r="B1962" i="16"/>
  <c r="C1962" i="16" s="1"/>
  <c r="B1963" i="16"/>
  <c r="C1963" i="16" s="1"/>
  <c r="B1964" i="16"/>
  <c r="C1964" i="16" s="1"/>
  <c r="B1965" i="16"/>
  <c r="B1966" i="16"/>
  <c r="C1966" i="16" s="1"/>
  <c r="B1967" i="16"/>
  <c r="C1967" i="16" s="1"/>
  <c r="B1968" i="16"/>
  <c r="B1969" i="16"/>
  <c r="B1970" i="16"/>
  <c r="C1970" i="16" s="1"/>
  <c r="B1971" i="16"/>
  <c r="C1971" i="16" s="1"/>
  <c r="B1972" i="16"/>
  <c r="B1973" i="16"/>
  <c r="B1974" i="16"/>
  <c r="C1974" i="16" s="1"/>
  <c r="B1975" i="16"/>
  <c r="C1975" i="16" s="1"/>
  <c r="B1976" i="16"/>
  <c r="C1976" i="16" s="1"/>
  <c r="B1977" i="16"/>
  <c r="C1977" i="16" s="1"/>
  <c r="B1978" i="16"/>
  <c r="C1978" i="16" s="1"/>
  <c r="B1979" i="16"/>
  <c r="C1979" i="16" s="1"/>
  <c r="B1980" i="16"/>
  <c r="B1981" i="16"/>
  <c r="B1982" i="16"/>
  <c r="C1982" i="16" s="1"/>
  <c r="B1983" i="16"/>
  <c r="C1983" i="16" s="1"/>
  <c r="B1984" i="16"/>
  <c r="C1984" i="16" s="1"/>
  <c r="B1985" i="16"/>
  <c r="C1985" i="16" s="1"/>
  <c r="B1986" i="16"/>
  <c r="C1986" i="16" s="1"/>
  <c r="B1987" i="16"/>
  <c r="C1987" i="16" s="1"/>
  <c r="B1988" i="16"/>
  <c r="C1988" i="16" s="1"/>
  <c r="B1989" i="16"/>
  <c r="B1990" i="16"/>
  <c r="C1990" i="16" s="1"/>
  <c r="B1991" i="16"/>
  <c r="C1991" i="16" s="1"/>
  <c r="B1992" i="16"/>
  <c r="C1992" i="16" s="1"/>
  <c r="B1993" i="16"/>
  <c r="C1993" i="16" s="1"/>
  <c r="B1994" i="16"/>
  <c r="C1994" i="16" s="1"/>
  <c r="B1995" i="16"/>
  <c r="C1995" i="16" s="1"/>
  <c r="B1996" i="16"/>
  <c r="B1997" i="16"/>
  <c r="B1998" i="16"/>
  <c r="C1998" i="16" s="1"/>
  <c r="B1999" i="16"/>
  <c r="C1999" i="16" s="1"/>
  <c r="B2000" i="16"/>
  <c r="C2000" i="16" s="1"/>
  <c r="B4" i="17"/>
  <c r="C4" i="17" s="1"/>
  <c r="B5" i="17"/>
  <c r="C5" i="17" s="1"/>
  <c r="B6" i="17"/>
  <c r="C6" i="17" s="1"/>
  <c r="B7" i="17"/>
  <c r="B8" i="17"/>
  <c r="B9" i="17"/>
  <c r="C9" i="17" s="1"/>
  <c r="B10" i="17"/>
  <c r="C10" i="17" s="1"/>
  <c r="B11" i="17"/>
  <c r="C11" i="17" s="1"/>
  <c r="B12" i="17"/>
  <c r="C12" i="17" s="1"/>
  <c r="B13" i="17"/>
  <c r="C13" i="17" s="1"/>
  <c r="B14" i="17"/>
  <c r="C14" i="17" s="1"/>
  <c r="B15" i="17"/>
  <c r="C15" i="17" s="1"/>
  <c r="B16" i="17"/>
  <c r="B17" i="17"/>
  <c r="C17" i="17" s="1"/>
  <c r="B18" i="17"/>
  <c r="C18" i="17" s="1"/>
  <c r="B19" i="17"/>
  <c r="C19" i="17" s="1"/>
  <c r="B20" i="17"/>
  <c r="C20" i="17" s="1"/>
  <c r="B21" i="17"/>
  <c r="C21" i="17" s="1"/>
  <c r="B22" i="17"/>
  <c r="C22" i="17" s="1"/>
  <c r="B23" i="17"/>
  <c r="B24" i="17"/>
  <c r="B25" i="17"/>
  <c r="C25" i="17" s="1"/>
  <c r="B26" i="17"/>
  <c r="C26" i="17" s="1"/>
  <c r="B27" i="17"/>
  <c r="C27" i="17" s="1"/>
  <c r="B28" i="17"/>
  <c r="C28" i="17" s="1"/>
  <c r="B29" i="17"/>
  <c r="C29" i="17" s="1"/>
  <c r="B30" i="17"/>
  <c r="C30" i="17" s="1"/>
  <c r="B31" i="17"/>
  <c r="B32" i="17"/>
  <c r="B33" i="17"/>
  <c r="C33" i="17" s="1"/>
  <c r="B34" i="17"/>
  <c r="C34" i="17" s="1"/>
  <c r="B35" i="17"/>
  <c r="C35" i="17" s="1"/>
  <c r="B36" i="17"/>
  <c r="C36" i="17" s="1"/>
  <c r="B37" i="17"/>
  <c r="C37" i="17" s="1"/>
  <c r="B38" i="17"/>
  <c r="C38" i="17" s="1"/>
  <c r="B39" i="17"/>
  <c r="C39" i="17" s="1"/>
  <c r="B40" i="17"/>
  <c r="B41" i="17"/>
  <c r="C41" i="17" s="1"/>
  <c r="B42" i="17"/>
  <c r="B43" i="17"/>
  <c r="C43" i="17" s="1"/>
  <c r="B44" i="17"/>
  <c r="B45" i="17"/>
  <c r="C45" i="17" s="1"/>
  <c r="B46" i="17"/>
  <c r="C46" i="17" s="1"/>
  <c r="B47" i="17"/>
  <c r="B48" i="17"/>
  <c r="B49" i="17"/>
  <c r="C49" i="17" s="1"/>
  <c r="B50" i="17"/>
  <c r="C50" i="17" s="1"/>
  <c r="B51" i="17"/>
  <c r="C51" i="17" s="1"/>
  <c r="B52" i="17"/>
  <c r="C52" i="17" s="1"/>
  <c r="B53" i="17"/>
  <c r="C53" i="17" s="1"/>
  <c r="B54" i="17"/>
  <c r="C54" i="17" s="1"/>
  <c r="B55" i="17"/>
  <c r="B56" i="17"/>
  <c r="B57" i="17"/>
  <c r="C57" i="17" s="1"/>
  <c r="B58" i="17"/>
  <c r="C58" i="17" s="1"/>
  <c r="B59" i="17"/>
  <c r="C59" i="17" s="1"/>
  <c r="B60" i="17"/>
  <c r="B61" i="17"/>
  <c r="C61" i="17" s="1"/>
  <c r="B62" i="17"/>
  <c r="C62" i="17" s="1"/>
  <c r="B63" i="17"/>
  <c r="C63" i="17" s="1"/>
  <c r="B64" i="17"/>
  <c r="B65" i="17"/>
  <c r="C65" i="17" s="1"/>
  <c r="B66" i="17"/>
  <c r="C66" i="17" s="1"/>
  <c r="B67" i="17"/>
  <c r="C67" i="17" s="1"/>
  <c r="B68" i="17"/>
  <c r="C68" i="17" s="1"/>
  <c r="B69" i="17"/>
  <c r="C69" i="17" s="1"/>
  <c r="B70" i="17"/>
  <c r="C70" i="17" s="1"/>
  <c r="B71" i="17"/>
  <c r="B72" i="17"/>
  <c r="B73" i="17"/>
  <c r="C73" i="17" s="1"/>
  <c r="B74" i="17"/>
  <c r="C74" i="17" s="1"/>
  <c r="B75" i="17"/>
  <c r="C75" i="17" s="1"/>
  <c r="B76" i="17"/>
  <c r="C76" i="17" s="1"/>
  <c r="B77" i="17"/>
  <c r="C77" i="17" s="1"/>
  <c r="B78" i="17"/>
  <c r="C78" i="17" s="1"/>
  <c r="B79" i="17"/>
  <c r="B80" i="17"/>
  <c r="B81" i="17"/>
  <c r="C81" i="17" s="1"/>
  <c r="B82" i="17"/>
  <c r="C82" i="17" s="1"/>
  <c r="B83" i="17"/>
  <c r="C83" i="17" s="1"/>
  <c r="B84" i="17"/>
  <c r="C84" i="17" s="1"/>
  <c r="B85" i="17"/>
  <c r="C85" i="17" s="1"/>
  <c r="B86" i="17"/>
  <c r="C86" i="17" s="1"/>
  <c r="B87" i="17"/>
  <c r="C87" i="17" s="1"/>
  <c r="B88" i="17"/>
  <c r="B89" i="17"/>
  <c r="B90" i="17"/>
  <c r="C90" i="17" s="1"/>
  <c r="B91" i="17"/>
  <c r="C91" i="17" s="1"/>
  <c r="B92" i="17"/>
  <c r="C92" i="17" s="1"/>
  <c r="B93" i="17"/>
  <c r="C93" i="17" s="1"/>
  <c r="B94" i="17"/>
  <c r="C94" i="17" s="1"/>
  <c r="B95" i="17"/>
  <c r="B96" i="17"/>
  <c r="B97" i="17"/>
  <c r="B98" i="17"/>
  <c r="C98" i="17" s="1"/>
  <c r="B99" i="17"/>
  <c r="C99" i="17" s="1"/>
  <c r="B100" i="17"/>
  <c r="C100" i="17" s="1"/>
  <c r="B101" i="17"/>
  <c r="C101" i="17" s="1"/>
  <c r="B102" i="17"/>
  <c r="C102" i="17" s="1"/>
  <c r="B103" i="17"/>
  <c r="B104" i="17"/>
  <c r="B105" i="17"/>
  <c r="C105" i="17" s="1"/>
  <c r="B106" i="17"/>
  <c r="C106" i="17" s="1"/>
  <c r="B107" i="17"/>
  <c r="C107" i="17" s="1"/>
  <c r="B108" i="17"/>
  <c r="C108" i="17" s="1"/>
  <c r="B109" i="17"/>
  <c r="C109" i="17" s="1"/>
  <c r="B110" i="17"/>
  <c r="C110" i="17" s="1"/>
  <c r="B111" i="17"/>
  <c r="B112" i="17"/>
  <c r="B113" i="17"/>
  <c r="C113" i="17" s="1"/>
  <c r="B114" i="17"/>
  <c r="C114" i="17" s="1"/>
  <c r="B115" i="17"/>
  <c r="C115" i="17" s="1"/>
  <c r="B116" i="17"/>
  <c r="C116" i="17" s="1"/>
  <c r="B117" i="17"/>
  <c r="C117" i="17" s="1"/>
  <c r="B118" i="17"/>
  <c r="C118" i="17" s="1"/>
  <c r="B119" i="17"/>
  <c r="B120" i="17"/>
  <c r="B121" i="17"/>
  <c r="C121" i="17" s="1"/>
  <c r="B122" i="17"/>
  <c r="C122" i="17" s="1"/>
  <c r="B123" i="17"/>
  <c r="C123" i="17" s="1"/>
  <c r="B124" i="17"/>
  <c r="C124" i="17" s="1"/>
  <c r="B125" i="17"/>
  <c r="C125" i="17" s="1"/>
  <c r="B126" i="17"/>
  <c r="C126" i="17" s="1"/>
  <c r="B127" i="17"/>
  <c r="B128" i="17"/>
  <c r="B129" i="17"/>
  <c r="C129" i="17" s="1"/>
  <c r="B130" i="17"/>
  <c r="C130" i="17" s="1"/>
  <c r="B131" i="17"/>
  <c r="C131" i="17" s="1"/>
  <c r="B132" i="17"/>
  <c r="C132" i="17" s="1"/>
  <c r="B133" i="17"/>
  <c r="C133" i="17" s="1"/>
  <c r="B134" i="17"/>
  <c r="C134" i="17" s="1"/>
  <c r="B135" i="17"/>
  <c r="B136" i="17"/>
  <c r="B137" i="17"/>
  <c r="C137" i="17" s="1"/>
  <c r="B138" i="17"/>
  <c r="C138" i="17" s="1"/>
  <c r="B139" i="17"/>
  <c r="C139" i="17" s="1"/>
  <c r="B140" i="17"/>
  <c r="C140" i="17" s="1"/>
  <c r="B141" i="17"/>
  <c r="C141" i="17" s="1"/>
  <c r="B142" i="17"/>
  <c r="C142" i="17" s="1"/>
  <c r="B143" i="17"/>
  <c r="B144" i="17"/>
  <c r="B145" i="17"/>
  <c r="C145" i="17" s="1"/>
  <c r="B146" i="17"/>
  <c r="C146" i="17" s="1"/>
  <c r="B147" i="17"/>
  <c r="C147" i="17" s="1"/>
  <c r="B148" i="17"/>
  <c r="C148" i="17" s="1"/>
  <c r="B149" i="17"/>
  <c r="C149" i="17" s="1"/>
  <c r="B150" i="17"/>
  <c r="C150" i="17" s="1"/>
  <c r="B151" i="17"/>
  <c r="B152" i="17"/>
  <c r="B153" i="17"/>
  <c r="C153" i="17" s="1"/>
  <c r="B154" i="17"/>
  <c r="C154" i="17" s="1"/>
  <c r="B155" i="17"/>
  <c r="C155" i="17" s="1"/>
  <c r="B156" i="17"/>
  <c r="C156" i="17" s="1"/>
  <c r="B157" i="17"/>
  <c r="C157" i="17" s="1"/>
  <c r="B158" i="17"/>
  <c r="C158" i="17" s="1"/>
  <c r="B159" i="17"/>
  <c r="B160" i="17"/>
  <c r="B161" i="17"/>
  <c r="C161" i="17" s="1"/>
  <c r="B162" i="17"/>
  <c r="C162" i="17" s="1"/>
  <c r="B163" i="17"/>
  <c r="C163" i="17" s="1"/>
  <c r="B164" i="17"/>
  <c r="C164" i="17" s="1"/>
  <c r="B165" i="17"/>
  <c r="C165" i="17" s="1"/>
  <c r="B166" i="17"/>
  <c r="C166" i="17" s="1"/>
  <c r="B167" i="17"/>
  <c r="B168" i="17"/>
  <c r="B169" i="17"/>
  <c r="B170" i="17"/>
  <c r="C170" i="17" s="1"/>
  <c r="B171" i="17"/>
  <c r="C171" i="17" s="1"/>
  <c r="B172" i="17"/>
  <c r="C172" i="17" s="1"/>
  <c r="B173" i="17"/>
  <c r="C173" i="17" s="1"/>
  <c r="B174" i="17"/>
  <c r="C174" i="17" s="1"/>
  <c r="B175" i="17"/>
  <c r="B176" i="17"/>
  <c r="B177" i="17"/>
  <c r="C177" i="17" s="1"/>
  <c r="B178" i="17"/>
  <c r="C178" i="17" s="1"/>
  <c r="B179" i="17"/>
  <c r="C179" i="17" s="1"/>
  <c r="B180" i="17"/>
  <c r="B181" i="17"/>
  <c r="C181" i="17" s="1"/>
  <c r="B182" i="17"/>
  <c r="C182" i="17" s="1"/>
  <c r="B183" i="17"/>
  <c r="C183" i="17" s="1"/>
  <c r="B184" i="17"/>
  <c r="B185" i="17"/>
  <c r="B186" i="17"/>
  <c r="C186" i="17" s="1"/>
  <c r="B187" i="17"/>
  <c r="C187" i="17" s="1"/>
  <c r="B188" i="17"/>
  <c r="C188" i="17" s="1"/>
  <c r="B189" i="17"/>
  <c r="C189" i="17" s="1"/>
  <c r="B190" i="17"/>
  <c r="C190" i="17" s="1"/>
  <c r="B191" i="17"/>
  <c r="B192" i="17"/>
  <c r="B193" i="17"/>
  <c r="B194" i="17"/>
  <c r="C194" i="17" s="1"/>
  <c r="B195" i="17"/>
  <c r="C195" i="17" s="1"/>
  <c r="B196" i="17"/>
  <c r="B197" i="17"/>
  <c r="C197" i="17" s="1"/>
  <c r="B198" i="17"/>
  <c r="C198" i="17" s="1"/>
  <c r="B199" i="17"/>
  <c r="B200" i="17"/>
  <c r="B201" i="17"/>
  <c r="C201" i="17" s="1"/>
  <c r="B202" i="17"/>
  <c r="C202" i="17" s="1"/>
  <c r="B203" i="17"/>
  <c r="C203" i="17" s="1"/>
  <c r="B204" i="17"/>
  <c r="C204" i="17" s="1"/>
  <c r="B205" i="17"/>
  <c r="C205" i="17" s="1"/>
  <c r="B206" i="17"/>
  <c r="C206" i="17" s="1"/>
  <c r="B207" i="17"/>
  <c r="C207" i="17" s="1"/>
  <c r="B208" i="17"/>
  <c r="B209" i="17"/>
  <c r="B210" i="17"/>
  <c r="C210" i="17" s="1"/>
  <c r="B211" i="17"/>
  <c r="C211" i="17" s="1"/>
  <c r="B212" i="17"/>
  <c r="C212" i="17" s="1"/>
  <c r="B213" i="17"/>
  <c r="C213" i="17" s="1"/>
  <c r="B214" i="17"/>
  <c r="C214" i="17" s="1"/>
  <c r="B215" i="17"/>
  <c r="B216" i="17"/>
  <c r="B217" i="17"/>
  <c r="C217" i="17" s="1"/>
  <c r="B218" i="17"/>
  <c r="C218" i="17" s="1"/>
  <c r="B219" i="17"/>
  <c r="C219" i="17" s="1"/>
  <c r="B220" i="17"/>
  <c r="C220" i="17" s="1"/>
  <c r="B221" i="17"/>
  <c r="C221" i="17" s="1"/>
  <c r="B222" i="17"/>
  <c r="C222" i="17" s="1"/>
  <c r="B223" i="17"/>
  <c r="B224" i="17"/>
  <c r="B225" i="17"/>
  <c r="C225" i="17" s="1"/>
  <c r="B226" i="17"/>
  <c r="C226" i="17" s="1"/>
  <c r="B227" i="17"/>
  <c r="C227" i="17" s="1"/>
  <c r="B228" i="17"/>
  <c r="C228" i="17" s="1"/>
  <c r="B229" i="17"/>
  <c r="C229" i="17" s="1"/>
  <c r="B230" i="17"/>
  <c r="C230" i="17" s="1"/>
  <c r="B231" i="17"/>
  <c r="B232" i="17"/>
  <c r="B233" i="17"/>
  <c r="C233" i="17" s="1"/>
  <c r="B234" i="17"/>
  <c r="B235" i="17"/>
  <c r="C235" i="17" s="1"/>
  <c r="B236" i="17"/>
  <c r="C236" i="17" s="1"/>
  <c r="B237" i="17"/>
  <c r="C237" i="17" s="1"/>
  <c r="B238" i="17"/>
  <c r="C238" i="17" s="1"/>
  <c r="B239" i="17"/>
  <c r="B240" i="17"/>
  <c r="B241" i="17"/>
  <c r="B242" i="17"/>
  <c r="B243" i="17"/>
  <c r="C243" i="17" s="1"/>
  <c r="B244" i="17"/>
  <c r="C244" i="17" s="1"/>
  <c r="B245" i="17"/>
  <c r="C245" i="17" s="1"/>
  <c r="B246" i="17"/>
  <c r="C246" i="17" s="1"/>
  <c r="B247" i="17"/>
  <c r="B248" i="17"/>
  <c r="B249" i="17"/>
  <c r="C249" i="17" s="1"/>
  <c r="B250" i="17"/>
  <c r="C250" i="17" s="1"/>
  <c r="B251" i="17"/>
  <c r="C251" i="17" s="1"/>
  <c r="B252" i="17"/>
  <c r="C252" i="17" s="1"/>
  <c r="B253" i="17"/>
  <c r="C253" i="17" s="1"/>
  <c r="B254" i="17"/>
  <c r="C254" i="17" s="1"/>
  <c r="B255" i="17"/>
  <c r="C255" i="17" s="1"/>
  <c r="B256" i="17"/>
  <c r="B257" i="17"/>
  <c r="C257" i="17" s="1"/>
  <c r="B258" i="17"/>
  <c r="C258" i="17" s="1"/>
  <c r="B259" i="17"/>
  <c r="C259" i="17" s="1"/>
  <c r="B260" i="17"/>
  <c r="C260" i="17" s="1"/>
  <c r="B261" i="17"/>
  <c r="C261" i="17" s="1"/>
  <c r="B262" i="17"/>
  <c r="C262" i="17" s="1"/>
  <c r="B263" i="17"/>
  <c r="B264" i="17"/>
  <c r="B265" i="17"/>
  <c r="C265" i="17" s="1"/>
  <c r="B266" i="17"/>
  <c r="C266" i="17" s="1"/>
  <c r="B267" i="17"/>
  <c r="C267" i="17" s="1"/>
  <c r="B268" i="17"/>
  <c r="C268" i="17" s="1"/>
  <c r="B269" i="17"/>
  <c r="C269" i="17" s="1"/>
  <c r="B270" i="17"/>
  <c r="C270" i="17" s="1"/>
  <c r="B271" i="17"/>
  <c r="B272" i="17"/>
  <c r="B273" i="17"/>
  <c r="C273" i="17" s="1"/>
  <c r="B274" i="17"/>
  <c r="C274" i="17" s="1"/>
  <c r="B275" i="17"/>
  <c r="C275" i="17" s="1"/>
  <c r="B276" i="17"/>
  <c r="C276" i="17" s="1"/>
  <c r="B277" i="17"/>
  <c r="C277" i="17" s="1"/>
  <c r="B278" i="17"/>
  <c r="C278" i="17" s="1"/>
  <c r="B279" i="17"/>
  <c r="C279" i="17" s="1"/>
  <c r="B280" i="17"/>
  <c r="B281" i="17"/>
  <c r="B282" i="17"/>
  <c r="C282" i="17" s="1"/>
  <c r="B283" i="17"/>
  <c r="C283" i="17" s="1"/>
  <c r="B284" i="17"/>
  <c r="C284" i="17" s="1"/>
  <c r="B285" i="17"/>
  <c r="C285" i="17" s="1"/>
  <c r="B286" i="17"/>
  <c r="C286" i="17" s="1"/>
  <c r="B287" i="17"/>
  <c r="B288" i="17"/>
  <c r="B289" i="17"/>
  <c r="B290" i="17"/>
  <c r="C290" i="17" s="1"/>
  <c r="B291" i="17"/>
  <c r="C291" i="17" s="1"/>
  <c r="B292" i="17"/>
  <c r="C292" i="17" s="1"/>
  <c r="B293" i="17"/>
  <c r="C293" i="17" s="1"/>
  <c r="B294" i="17"/>
  <c r="C294" i="17" s="1"/>
  <c r="B295" i="17"/>
  <c r="B296" i="17"/>
  <c r="B297" i="17"/>
  <c r="C297" i="17" s="1"/>
  <c r="B298" i="17"/>
  <c r="C298" i="17" s="1"/>
  <c r="B299" i="17"/>
  <c r="C299" i="17" s="1"/>
  <c r="B300" i="17"/>
  <c r="B301" i="17"/>
  <c r="C301" i="17" s="1"/>
  <c r="B302" i="17"/>
  <c r="C302" i="17" s="1"/>
  <c r="B303" i="17"/>
  <c r="B304" i="17"/>
  <c r="B305" i="17"/>
  <c r="B306" i="17"/>
  <c r="C306" i="17" s="1"/>
  <c r="B307" i="17"/>
  <c r="C307" i="17" s="1"/>
  <c r="B308" i="17"/>
  <c r="C308" i="17" s="1"/>
  <c r="B309" i="17"/>
  <c r="C309" i="17" s="1"/>
  <c r="B310" i="17"/>
  <c r="C310" i="17" s="1"/>
  <c r="B311" i="17"/>
  <c r="B312" i="17"/>
  <c r="B313" i="17"/>
  <c r="C313" i="17" s="1"/>
  <c r="B314" i="17"/>
  <c r="C314" i="17" s="1"/>
  <c r="B315" i="17"/>
  <c r="C315" i="17" s="1"/>
  <c r="B316" i="17"/>
  <c r="B317" i="17"/>
  <c r="C317" i="17" s="1"/>
  <c r="B318" i="17"/>
  <c r="C318" i="17" s="1"/>
  <c r="B319" i="17"/>
  <c r="B320" i="17"/>
  <c r="B321" i="17"/>
  <c r="C321" i="17" s="1"/>
  <c r="B322" i="17"/>
  <c r="C322" i="17" s="1"/>
  <c r="B323" i="17"/>
  <c r="C323" i="17" s="1"/>
  <c r="B324" i="17"/>
  <c r="C324" i="17" s="1"/>
  <c r="B325" i="17"/>
  <c r="C325" i="17" s="1"/>
  <c r="B326" i="17"/>
  <c r="C326" i="17" s="1"/>
  <c r="B327" i="17"/>
  <c r="C327" i="17" s="1"/>
  <c r="B328" i="17"/>
  <c r="B329" i="17"/>
  <c r="C329" i="17" s="1"/>
  <c r="B330" i="17"/>
  <c r="C330" i="17" s="1"/>
  <c r="B331" i="17"/>
  <c r="C331" i="17" s="1"/>
  <c r="B332" i="17"/>
  <c r="C332" i="17" s="1"/>
  <c r="B333" i="17"/>
  <c r="C333" i="17" s="1"/>
  <c r="B334" i="17"/>
  <c r="C334" i="17" s="1"/>
  <c r="B335" i="17"/>
  <c r="B336" i="17"/>
  <c r="B337" i="17"/>
  <c r="C337" i="17" s="1"/>
  <c r="B338" i="17"/>
  <c r="C338" i="17" s="1"/>
  <c r="B339" i="17"/>
  <c r="C339" i="17" s="1"/>
  <c r="B340" i="17"/>
  <c r="C340" i="17" s="1"/>
  <c r="B341" i="17"/>
  <c r="C341" i="17" s="1"/>
  <c r="B342" i="17"/>
  <c r="C342" i="17" s="1"/>
  <c r="B343" i="17"/>
  <c r="B344" i="17"/>
  <c r="B345" i="17"/>
  <c r="C345" i="17" s="1"/>
  <c r="B346" i="17"/>
  <c r="C346" i="17" s="1"/>
  <c r="B347" i="17"/>
  <c r="C347" i="17" s="1"/>
  <c r="B348" i="17"/>
  <c r="C348" i="17" s="1"/>
  <c r="B349" i="17"/>
  <c r="C349" i="17" s="1"/>
  <c r="B350" i="17"/>
  <c r="C350" i="17" s="1"/>
  <c r="B351" i="17"/>
  <c r="C351" i="17" s="1"/>
  <c r="B352" i="17"/>
  <c r="B353" i="17"/>
  <c r="C353" i="17" s="1"/>
  <c r="B354" i="17"/>
  <c r="C354" i="17" s="1"/>
  <c r="B355" i="17"/>
  <c r="C355" i="17" s="1"/>
  <c r="B356" i="17"/>
  <c r="C356" i="17" s="1"/>
  <c r="B357" i="17"/>
  <c r="C357" i="17" s="1"/>
  <c r="B358" i="17"/>
  <c r="C358" i="17" s="1"/>
  <c r="B359" i="17"/>
  <c r="B360" i="17"/>
  <c r="B361" i="17"/>
  <c r="C361" i="17" s="1"/>
  <c r="B362" i="17"/>
  <c r="C362" i="17" s="1"/>
  <c r="B363" i="17"/>
  <c r="C363" i="17" s="1"/>
  <c r="B364" i="17"/>
  <c r="C364" i="17" s="1"/>
  <c r="B365" i="17"/>
  <c r="C365" i="17" s="1"/>
  <c r="B366" i="17"/>
  <c r="C366" i="17" s="1"/>
  <c r="B367" i="17"/>
  <c r="B368" i="17"/>
  <c r="B369" i="17"/>
  <c r="C369" i="17" s="1"/>
  <c r="B370" i="17"/>
  <c r="C370" i="17" s="1"/>
  <c r="B371" i="17"/>
  <c r="C371" i="17" s="1"/>
  <c r="B372" i="17"/>
  <c r="C372" i="17" s="1"/>
  <c r="B373" i="17"/>
  <c r="C373" i="17" s="1"/>
  <c r="B374" i="17"/>
  <c r="C374" i="17" s="1"/>
  <c r="B375" i="17"/>
  <c r="C375" i="17" s="1"/>
  <c r="B376" i="17"/>
  <c r="B377" i="17"/>
  <c r="C377" i="17" s="1"/>
  <c r="B378" i="17"/>
  <c r="C378" i="17" s="1"/>
  <c r="B379" i="17"/>
  <c r="C379" i="17" s="1"/>
  <c r="B380" i="17"/>
  <c r="C380" i="17" s="1"/>
  <c r="B381" i="17"/>
  <c r="C381" i="17" s="1"/>
  <c r="B382" i="17"/>
  <c r="C382" i="17" s="1"/>
  <c r="B383" i="17"/>
  <c r="B384" i="17"/>
  <c r="B385" i="17"/>
  <c r="C385" i="17" s="1"/>
  <c r="B386" i="17"/>
  <c r="C386" i="17" s="1"/>
  <c r="B387" i="17"/>
  <c r="C387" i="17" s="1"/>
  <c r="B388" i="17"/>
  <c r="C388" i="17" s="1"/>
  <c r="B389" i="17"/>
  <c r="C389" i="17" s="1"/>
  <c r="B390" i="17"/>
  <c r="C390" i="17" s="1"/>
  <c r="B391" i="17"/>
  <c r="B392" i="17"/>
  <c r="B393" i="17"/>
  <c r="C393" i="17" s="1"/>
  <c r="B394" i="17"/>
  <c r="C394" i="17" s="1"/>
  <c r="B395" i="17"/>
  <c r="C395" i="17" s="1"/>
  <c r="B396" i="17"/>
  <c r="C396" i="17" s="1"/>
  <c r="B397" i="17"/>
  <c r="C397" i="17" s="1"/>
  <c r="B398" i="17"/>
  <c r="C398" i="17" s="1"/>
  <c r="B399" i="17"/>
  <c r="C399" i="17" s="1"/>
  <c r="B400" i="17"/>
  <c r="B401" i="17"/>
  <c r="C401" i="17" s="1"/>
  <c r="B402" i="17"/>
  <c r="C402" i="17" s="1"/>
  <c r="B403" i="17"/>
  <c r="C403" i="17" s="1"/>
  <c r="B404" i="17"/>
  <c r="C404" i="17" s="1"/>
  <c r="B405" i="17"/>
  <c r="C405" i="17" s="1"/>
  <c r="B406" i="17"/>
  <c r="C406" i="17" s="1"/>
  <c r="B407" i="17"/>
  <c r="B408" i="17"/>
  <c r="B409" i="17"/>
  <c r="C409" i="17" s="1"/>
  <c r="B410" i="17"/>
  <c r="C410" i="17" s="1"/>
  <c r="B411" i="17"/>
  <c r="C411" i="17" s="1"/>
  <c r="B412" i="17"/>
  <c r="C412" i="17" s="1"/>
  <c r="B413" i="17"/>
  <c r="C413" i="17" s="1"/>
  <c r="B414" i="17"/>
  <c r="C414" i="17" s="1"/>
  <c r="B415" i="17"/>
  <c r="B416" i="17"/>
  <c r="B417" i="17"/>
  <c r="C417" i="17" s="1"/>
  <c r="B418" i="17"/>
  <c r="C418" i="17" s="1"/>
  <c r="B419" i="17"/>
  <c r="C419" i="17" s="1"/>
  <c r="B420" i="17"/>
  <c r="C420" i="17" s="1"/>
  <c r="B421" i="17"/>
  <c r="C421" i="17" s="1"/>
  <c r="B422" i="17"/>
  <c r="C422" i="17" s="1"/>
  <c r="B423" i="17"/>
  <c r="C423" i="17" s="1"/>
  <c r="B424" i="17"/>
  <c r="B425" i="17"/>
  <c r="C425" i="17" s="1"/>
  <c r="B426" i="17"/>
  <c r="C426" i="17" s="1"/>
  <c r="B427" i="17"/>
  <c r="C427" i="17" s="1"/>
  <c r="B428" i="17"/>
  <c r="C428" i="17" s="1"/>
  <c r="B429" i="17"/>
  <c r="C429" i="17" s="1"/>
  <c r="B430" i="17"/>
  <c r="C430" i="17" s="1"/>
  <c r="B431" i="17"/>
  <c r="B432" i="17"/>
  <c r="B433" i="17"/>
  <c r="C433" i="17" s="1"/>
  <c r="B434" i="17"/>
  <c r="C434" i="17" s="1"/>
  <c r="B435" i="17"/>
  <c r="C435" i="17" s="1"/>
  <c r="B436" i="17"/>
  <c r="C436" i="17" s="1"/>
  <c r="B437" i="17"/>
  <c r="C437" i="17" s="1"/>
  <c r="B438" i="17"/>
  <c r="C438" i="17" s="1"/>
  <c r="B439" i="17"/>
  <c r="B440" i="17"/>
  <c r="B441" i="17"/>
  <c r="C441" i="17" s="1"/>
  <c r="B442" i="17"/>
  <c r="C442" i="17" s="1"/>
  <c r="B443" i="17"/>
  <c r="C443" i="17" s="1"/>
  <c r="B444" i="17"/>
  <c r="C444" i="17" s="1"/>
  <c r="B445" i="17"/>
  <c r="C445" i="17" s="1"/>
  <c r="B446" i="17"/>
  <c r="C446" i="17" s="1"/>
  <c r="B447" i="17"/>
  <c r="C447" i="17" s="1"/>
  <c r="B448" i="17"/>
  <c r="B449" i="17"/>
  <c r="C449" i="17" s="1"/>
  <c r="B450" i="17"/>
  <c r="C450" i="17" s="1"/>
  <c r="B451" i="17"/>
  <c r="C451" i="17" s="1"/>
  <c r="B452" i="17"/>
  <c r="C452" i="17" s="1"/>
  <c r="B453" i="17"/>
  <c r="C453" i="17" s="1"/>
  <c r="B454" i="17"/>
  <c r="C454" i="17" s="1"/>
  <c r="B455" i="17"/>
  <c r="B456" i="17"/>
  <c r="B457" i="17"/>
  <c r="B458" i="17"/>
  <c r="C458" i="17" s="1"/>
  <c r="B459" i="17"/>
  <c r="C459" i="17" s="1"/>
  <c r="B460" i="17"/>
  <c r="C460" i="17" s="1"/>
  <c r="B461" i="17"/>
  <c r="C461" i="17" s="1"/>
  <c r="B462" i="17"/>
  <c r="C462" i="17" s="1"/>
  <c r="B463" i="17"/>
  <c r="B464" i="17"/>
  <c r="B465" i="17"/>
  <c r="C465" i="17" s="1"/>
  <c r="B466" i="17"/>
  <c r="C466" i="17" s="1"/>
  <c r="B467" i="17"/>
  <c r="C467" i="17" s="1"/>
  <c r="B468" i="17"/>
  <c r="C468" i="17" s="1"/>
  <c r="B469" i="17"/>
  <c r="C469" i="17" s="1"/>
  <c r="B470" i="17"/>
  <c r="C470" i="17" s="1"/>
  <c r="B471" i="17"/>
  <c r="C471" i="17" s="1"/>
  <c r="B472" i="17"/>
  <c r="B473" i="17"/>
  <c r="C473" i="17" s="1"/>
  <c r="B474" i="17"/>
  <c r="C474" i="17" s="1"/>
  <c r="B475" i="17"/>
  <c r="C475" i="17" s="1"/>
  <c r="B476" i="17"/>
  <c r="C476" i="17" s="1"/>
  <c r="B477" i="17"/>
  <c r="C477" i="17" s="1"/>
  <c r="B478" i="17"/>
  <c r="C478" i="17" s="1"/>
  <c r="B479" i="17"/>
  <c r="B480" i="17"/>
  <c r="B481" i="17"/>
  <c r="C481" i="17" s="1"/>
  <c r="B482" i="17"/>
  <c r="C482" i="17" s="1"/>
  <c r="B483" i="17"/>
  <c r="C483" i="17" s="1"/>
  <c r="B484" i="17"/>
  <c r="C484" i="17" s="1"/>
  <c r="B485" i="17"/>
  <c r="C485" i="17" s="1"/>
  <c r="B486" i="17"/>
  <c r="C486" i="17" s="1"/>
  <c r="B487" i="17"/>
  <c r="B488" i="17"/>
  <c r="B489" i="17"/>
  <c r="C489" i="17" s="1"/>
  <c r="B490" i="17"/>
  <c r="C490" i="17" s="1"/>
  <c r="B491" i="17"/>
  <c r="C491" i="17" s="1"/>
  <c r="B492" i="17"/>
  <c r="C492" i="17" s="1"/>
  <c r="B493" i="17"/>
  <c r="C493" i="17" s="1"/>
  <c r="B494" i="17"/>
  <c r="C494" i="17" s="1"/>
  <c r="B495" i="17"/>
  <c r="C495" i="17" s="1"/>
  <c r="B496" i="17"/>
  <c r="B497" i="17"/>
  <c r="C497" i="17" s="1"/>
  <c r="B498" i="17"/>
  <c r="C498" i="17" s="1"/>
  <c r="B499" i="17"/>
  <c r="C499" i="17" s="1"/>
  <c r="B500" i="17"/>
  <c r="C500" i="17" s="1"/>
  <c r="B501" i="17"/>
  <c r="C501" i="17" s="1"/>
  <c r="B502" i="17"/>
  <c r="C502" i="17" s="1"/>
  <c r="B503" i="17"/>
  <c r="B504" i="17"/>
  <c r="B505" i="17"/>
  <c r="C505" i="17" s="1"/>
  <c r="B506" i="17"/>
  <c r="C506" i="17" s="1"/>
  <c r="B507" i="17"/>
  <c r="C507" i="17" s="1"/>
  <c r="B508" i="17"/>
  <c r="C508" i="17" s="1"/>
  <c r="B509" i="17"/>
  <c r="C509" i="17" s="1"/>
  <c r="B510" i="17"/>
  <c r="C510" i="17" s="1"/>
  <c r="B511" i="17"/>
  <c r="B512" i="17"/>
  <c r="B513" i="17"/>
  <c r="C513" i="17" s="1"/>
  <c r="B514" i="17"/>
  <c r="C514" i="17" s="1"/>
  <c r="B515" i="17"/>
  <c r="C515" i="17" s="1"/>
  <c r="B516" i="17"/>
  <c r="C516" i="17" s="1"/>
  <c r="B517" i="17"/>
  <c r="C517" i="17" s="1"/>
  <c r="B518" i="17"/>
  <c r="C518" i="17" s="1"/>
  <c r="B519" i="17"/>
  <c r="C519" i="17" s="1"/>
  <c r="B520" i="17"/>
  <c r="B521" i="17"/>
  <c r="C521" i="17" s="1"/>
  <c r="B522" i="17"/>
  <c r="C522" i="17" s="1"/>
  <c r="B523" i="17"/>
  <c r="C523" i="17" s="1"/>
  <c r="B524" i="17"/>
  <c r="C524" i="17" s="1"/>
  <c r="B525" i="17"/>
  <c r="C525" i="17" s="1"/>
  <c r="B526" i="17"/>
  <c r="C526" i="17" s="1"/>
  <c r="B527" i="17"/>
  <c r="B528" i="17"/>
  <c r="B529" i="17"/>
  <c r="C529" i="17" s="1"/>
  <c r="B530" i="17"/>
  <c r="C530" i="17" s="1"/>
  <c r="B531" i="17"/>
  <c r="C531" i="17" s="1"/>
  <c r="B532" i="17"/>
  <c r="C532" i="17" s="1"/>
  <c r="B533" i="17"/>
  <c r="C533" i="17" s="1"/>
  <c r="B534" i="17"/>
  <c r="C534" i="17" s="1"/>
  <c r="B535" i="17"/>
  <c r="B536" i="17"/>
  <c r="B537" i="17"/>
  <c r="C537" i="17" s="1"/>
  <c r="B538" i="17"/>
  <c r="C538" i="17" s="1"/>
  <c r="B539" i="17"/>
  <c r="C539" i="17" s="1"/>
  <c r="B540" i="17"/>
  <c r="C540" i="17" s="1"/>
  <c r="B541" i="17"/>
  <c r="C541" i="17" s="1"/>
  <c r="B542" i="17"/>
  <c r="C542" i="17" s="1"/>
  <c r="B543" i="17"/>
  <c r="C543" i="17" s="1"/>
  <c r="B544" i="17"/>
  <c r="B545" i="17"/>
  <c r="C545" i="17" s="1"/>
  <c r="B546" i="17"/>
  <c r="C546" i="17" s="1"/>
  <c r="B547" i="17"/>
  <c r="C547" i="17" s="1"/>
  <c r="B548" i="17"/>
  <c r="C548" i="17" s="1"/>
  <c r="B549" i="17"/>
  <c r="C549" i="17" s="1"/>
  <c r="B550" i="17"/>
  <c r="C550" i="17" s="1"/>
  <c r="B551" i="17"/>
  <c r="B552" i="17"/>
  <c r="B553" i="17"/>
  <c r="C553" i="17" s="1"/>
  <c r="B554" i="17"/>
  <c r="C554" i="17" s="1"/>
  <c r="B555" i="17"/>
  <c r="C555" i="17" s="1"/>
  <c r="B556" i="17"/>
  <c r="C556" i="17" s="1"/>
  <c r="B557" i="17"/>
  <c r="C557" i="17" s="1"/>
  <c r="B558" i="17"/>
  <c r="C558" i="17" s="1"/>
  <c r="B559" i="17"/>
  <c r="B560" i="17"/>
  <c r="B561" i="17"/>
  <c r="C561" i="17" s="1"/>
  <c r="B562" i="17"/>
  <c r="C562" i="17" s="1"/>
  <c r="B563" i="17"/>
  <c r="C563" i="17" s="1"/>
  <c r="B564" i="17"/>
  <c r="C564" i="17" s="1"/>
  <c r="B565" i="17"/>
  <c r="C565" i="17" s="1"/>
  <c r="B566" i="17"/>
  <c r="C566" i="17" s="1"/>
  <c r="B567" i="17"/>
  <c r="C567" i="17" s="1"/>
  <c r="B568" i="17"/>
  <c r="B569" i="17"/>
  <c r="C569" i="17" s="1"/>
  <c r="B570" i="17"/>
  <c r="C570" i="17" s="1"/>
  <c r="B571" i="17"/>
  <c r="C571" i="17" s="1"/>
  <c r="B572" i="17"/>
  <c r="C572" i="17" s="1"/>
  <c r="B573" i="17"/>
  <c r="C573" i="17" s="1"/>
  <c r="B574" i="17"/>
  <c r="C574" i="17" s="1"/>
  <c r="B575" i="17"/>
  <c r="B576" i="17"/>
  <c r="B577" i="17"/>
  <c r="C577" i="17" s="1"/>
  <c r="B578" i="17"/>
  <c r="C578" i="17" s="1"/>
  <c r="B579" i="17"/>
  <c r="C579" i="17" s="1"/>
  <c r="B580" i="17"/>
  <c r="C580" i="17" s="1"/>
  <c r="B581" i="17"/>
  <c r="C581" i="17" s="1"/>
  <c r="B582" i="17"/>
  <c r="C582" i="17" s="1"/>
  <c r="B583" i="17"/>
  <c r="B584" i="17"/>
  <c r="B585" i="17"/>
  <c r="C585" i="17" s="1"/>
  <c r="B586" i="17"/>
  <c r="C586" i="17" s="1"/>
  <c r="B587" i="17"/>
  <c r="C587" i="17" s="1"/>
  <c r="B588" i="17"/>
  <c r="C588" i="17" s="1"/>
  <c r="B589" i="17"/>
  <c r="C589" i="17" s="1"/>
  <c r="B590" i="17"/>
  <c r="C590" i="17" s="1"/>
  <c r="B591" i="17"/>
  <c r="B592" i="17"/>
  <c r="B593" i="17"/>
  <c r="B594" i="17"/>
  <c r="C594" i="17" s="1"/>
  <c r="B595" i="17"/>
  <c r="C595" i="17" s="1"/>
  <c r="B596" i="17"/>
  <c r="C596" i="17" s="1"/>
  <c r="B597" i="17"/>
  <c r="C597" i="17" s="1"/>
  <c r="B598" i="17"/>
  <c r="C598" i="17" s="1"/>
  <c r="B599" i="17"/>
  <c r="B600" i="17"/>
  <c r="B601" i="17"/>
  <c r="C601" i="17" s="1"/>
  <c r="B602" i="17"/>
  <c r="C602" i="17" s="1"/>
  <c r="B603" i="17"/>
  <c r="C603" i="17" s="1"/>
  <c r="B604" i="17"/>
  <c r="C604" i="17" s="1"/>
  <c r="B605" i="17"/>
  <c r="C605" i="17" s="1"/>
  <c r="B606" i="17"/>
  <c r="C606" i="17" s="1"/>
  <c r="B607" i="17"/>
  <c r="B608" i="17"/>
  <c r="B609" i="17"/>
  <c r="C609" i="17" s="1"/>
  <c r="B610" i="17"/>
  <c r="C610" i="17" s="1"/>
  <c r="B611" i="17"/>
  <c r="C611" i="17" s="1"/>
  <c r="B612" i="17"/>
  <c r="C612" i="17" s="1"/>
  <c r="B613" i="17"/>
  <c r="C613" i="17" s="1"/>
  <c r="B614" i="17"/>
  <c r="C614" i="17" s="1"/>
  <c r="B615" i="17"/>
  <c r="C615" i="17" s="1"/>
  <c r="B616" i="17"/>
  <c r="B617" i="17"/>
  <c r="C617" i="17" s="1"/>
  <c r="B618" i="17"/>
  <c r="C618" i="17" s="1"/>
  <c r="B619" i="17"/>
  <c r="C619" i="17" s="1"/>
  <c r="B620" i="17"/>
  <c r="C620" i="17" s="1"/>
  <c r="B621" i="17"/>
  <c r="C621" i="17" s="1"/>
  <c r="B622" i="17"/>
  <c r="C622" i="17" s="1"/>
  <c r="B623" i="17"/>
  <c r="B624" i="17"/>
  <c r="B625" i="17"/>
  <c r="C625" i="17" s="1"/>
  <c r="B626" i="17"/>
  <c r="C626" i="17" s="1"/>
  <c r="B627" i="17"/>
  <c r="C627" i="17" s="1"/>
  <c r="B628" i="17"/>
  <c r="B629" i="17"/>
  <c r="C629" i="17" s="1"/>
  <c r="B630" i="17"/>
  <c r="C630" i="17" s="1"/>
  <c r="B631" i="17"/>
  <c r="B632" i="17"/>
  <c r="B633" i="17"/>
  <c r="C633" i="17" s="1"/>
  <c r="B634" i="17"/>
  <c r="C634" i="17" s="1"/>
  <c r="B635" i="17"/>
  <c r="C635" i="17" s="1"/>
  <c r="B636" i="17"/>
  <c r="C636" i="17" s="1"/>
  <c r="B637" i="17"/>
  <c r="C637" i="17" s="1"/>
  <c r="B638" i="17"/>
  <c r="C638" i="17" s="1"/>
  <c r="B639" i="17"/>
  <c r="C639" i="17" s="1"/>
  <c r="B640" i="17"/>
  <c r="B641" i="17"/>
  <c r="C641" i="17" s="1"/>
  <c r="B642" i="17"/>
  <c r="C642" i="17" s="1"/>
  <c r="B643" i="17"/>
  <c r="C643" i="17" s="1"/>
  <c r="B644" i="17"/>
  <c r="B645" i="17"/>
  <c r="C645" i="17" s="1"/>
  <c r="B646" i="17"/>
  <c r="C646" i="17" s="1"/>
  <c r="B647" i="17"/>
  <c r="B648" i="17"/>
  <c r="B649" i="17"/>
  <c r="C649" i="17" s="1"/>
  <c r="B650" i="17"/>
  <c r="C650" i="17" s="1"/>
  <c r="B651" i="17"/>
  <c r="C651" i="17" s="1"/>
  <c r="B652" i="17"/>
  <c r="C652" i="17" s="1"/>
  <c r="B653" i="17"/>
  <c r="C653" i="17" s="1"/>
  <c r="B654" i="17"/>
  <c r="C654" i="17" s="1"/>
  <c r="B655" i="17"/>
  <c r="B656" i="17"/>
  <c r="B657" i="17"/>
  <c r="C657" i="17" s="1"/>
  <c r="B658" i="17"/>
  <c r="C658" i="17" s="1"/>
  <c r="B659" i="17"/>
  <c r="C659" i="17" s="1"/>
  <c r="B660" i="17"/>
  <c r="B661" i="17"/>
  <c r="C661" i="17" s="1"/>
  <c r="B662" i="17"/>
  <c r="C662" i="17" s="1"/>
  <c r="B663" i="17"/>
  <c r="C663" i="17" s="1"/>
  <c r="B664" i="17"/>
  <c r="B665" i="17"/>
  <c r="C665" i="17" s="1"/>
  <c r="B666" i="17"/>
  <c r="C666" i="17" s="1"/>
  <c r="B667" i="17"/>
  <c r="C667" i="17" s="1"/>
  <c r="B668" i="17"/>
  <c r="C668" i="17" s="1"/>
  <c r="B669" i="17"/>
  <c r="C669" i="17" s="1"/>
  <c r="B670" i="17"/>
  <c r="C670" i="17" s="1"/>
  <c r="B671" i="17"/>
  <c r="B672" i="17"/>
  <c r="B673" i="17"/>
  <c r="C673" i="17" s="1"/>
  <c r="B674" i="17"/>
  <c r="C674" i="17" s="1"/>
  <c r="B675" i="17"/>
  <c r="C675" i="17" s="1"/>
  <c r="B676" i="17"/>
  <c r="B677" i="17"/>
  <c r="C677" i="17" s="1"/>
  <c r="B678" i="17"/>
  <c r="C678" i="17" s="1"/>
  <c r="B679" i="17"/>
  <c r="B680" i="17"/>
  <c r="B681" i="17"/>
  <c r="C681" i="17" s="1"/>
  <c r="B682" i="17"/>
  <c r="C682" i="17" s="1"/>
  <c r="B683" i="17"/>
  <c r="C683" i="17" s="1"/>
  <c r="B684" i="17"/>
  <c r="C684" i="17" s="1"/>
  <c r="B685" i="17"/>
  <c r="C685" i="17" s="1"/>
  <c r="B686" i="17"/>
  <c r="C686" i="17" s="1"/>
  <c r="B687" i="17"/>
  <c r="C687" i="17" s="1"/>
  <c r="B688" i="17"/>
  <c r="B689" i="17"/>
  <c r="C689" i="17" s="1"/>
  <c r="B690" i="17"/>
  <c r="C690" i="17" s="1"/>
  <c r="B691" i="17"/>
  <c r="C691" i="17" s="1"/>
  <c r="B692" i="17"/>
  <c r="B693" i="17"/>
  <c r="C693" i="17" s="1"/>
  <c r="B694" i="17"/>
  <c r="C694" i="17" s="1"/>
  <c r="B695" i="17"/>
  <c r="B696" i="17"/>
  <c r="B697" i="17"/>
  <c r="C697" i="17" s="1"/>
  <c r="B698" i="17"/>
  <c r="C698" i="17" s="1"/>
  <c r="B699" i="17"/>
  <c r="C699" i="17" s="1"/>
  <c r="B700" i="17"/>
  <c r="C700" i="17" s="1"/>
  <c r="B701" i="17"/>
  <c r="C701" i="17" s="1"/>
  <c r="B702" i="17"/>
  <c r="C702" i="17" s="1"/>
  <c r="B703" i="17"/>
  <c r="B704" i="17"/>
  <c r="B705" i="17"/>
  <c r="C705" i="17" s="1"/>
  <c r="B706" i="17"/>
  <c r="C706" i="17" s="1"/>
  <c r="B707" i="17"/>
  <c r="C707" i="17" s="1"/>
  <c r="B708" i="17"/>
  <c r="B709" i="17"/>
  <c r="C709" i="17" s="1"/>
  <c r="B710" i="17"/>
  <c r="C710" i="17" s="1"/>
  <c r="B711" i="17"/>
  <c r="C711" i="17" s="1"/>
  <c r="B712" i="17"/>
  <c r="B713" i="17"/>
  <c r="C713" i="17" s="1"/>
  <c r="B714" i="17"/>
  <c r="C714" i="17" s="1"/>
  <c r="B715" i="17"/>
  <c r="C715" i="17" s="1"/>
  <c r="B716" i="17"/>
  <c r="C716" i="17" s="1"/>
  <c r="B717" i="17"/>
  <c r="C717" i="17" s="1"/>
  <c r="B718" i="17"/>
  <c r="C718" i="17" s="1"/>
  <c r="B719" i="17"/>
  <c r="B720" i="17"/>
  <c r="B721" i="17"/>
  <c r="C721" i="17" s="1"/>
  <c r="B722" i="17"/>
  <c r="C722" i="17" s="1"/>
  <c r="B723" i="17"/>
  <c r="C723" i="17" s="1"/>
  <c r="B724" i="17"/>
  <c r="B725" i="17"/>
  <c r="C725" i="17" s="1"/>
  <c r="B726" i="17"/>
  <c r="C726" i="17" s="1"/>
  <c r="B727" i="17"/>
  <c r="B728" i="17"/>
  <c r="B729" i="17"/>
  <c r="C729" i="17" s="1"/>
  <c r="B730" i="17"/>
  <c r="C730" i="17" s="1"/>
  <c r="B731" i="17"/>
  <c r="C731" i="17" s="1"/>
  <c r="B732" i="17"/>
  <c r="C732" i="17" s="1"/>
  <c r="B733" i="17"/>
  <c r="C733" i="17" s="1"/>
  <c r="B734" i="17"/>
  <c r="C734" i="17" s="1"/>
  <c r="B735" i="17"/>
  <c r="C735" i="17" s="1"/>
  <c r="B736" i="17"/>
  <c r="B737" i="17"/>
  <c r="C737" i="17" s="1"/>
  <c r="B738" i="17"/>
  <c r="C738" i="17" s="1"/>
  <c r="B739" i="17"/>
  <c r="C739" i="17" s="1"/>
  <c r="B740" i="17"/>
  <c r="B741" i="17"/>
  <c r="C741" i="17" s="1"/>
  <c r="B742" i="17"/>
  <c r="C742" i="17" s="1"/>
  <c r="B743" i="17"/>
  <c r="B744" i="17"/>
  <c r="B745" i="17"/>
  <c r="C745" i="17" s="1"/>
  <c r="B746" i="17"/>
  <c r="C746" i="17" s="1"/>
  <c r="B747" i="17"/>
  <c r="C747" i="17" s="1"/>
  <c r="B748" i="17"/>
  <c r="C748" i="17" s="1"/>
  <c r="B749" i="17"/>
  <c r="C749" i="17" s="1"/>
  <c r="B750" i="17"/>
  <c r="C750" i="17" s="1"/>
  <c r="B751" i="17"/>
  <c r="B752" i="17"/>
  <c r="B753" i="17"/>
  <c r="C753" i="17" s="1"/>
  <c r="B754" i="17"/>
  <c r="C754" i="17" s="1"/>
  <c r="B755" i="17"/>
  <c r="C755" i="17" s="1"/>
  <c r="B756" i="17"/>
  <c r="B757" i="17"/>
  <c r="C757" i="17" s="1"/>
  <c r="B758" i="17"/>
  <c r="C758" i="17" s="1"/>
  <c r="B759" i="17"/>
  <c r="C759" i="17" s="1"/>
  <c r="B760" i="17"/>
  <c r="B761" i="17"/>
  <c r="C761" i="17" s="1"/>
  <c r="B762" i="17"/>
  <c r="C762" i="17" s="1"/>
  <c r="B763" i="17"/>
  <c r="C763" i="17" s="1"/>
  <c r="B764" i="17"/>
  <c r="C764" i="17" s="1"/>
  <c r="B765" i="17"/>
  <c r="C765" i="17" s="1"/>
  <c r="B766" i="17"/>
  <c r="C766" i="17" s="1"/>
  <c r="B767" i="17"/>
  <c r="B768" i="17"/>
  <c r="B769" i="17"/>
  <c r="C769" i="17" s="1"/>
  <c r="B770" i="17"/>
  <c r="C770" i="17" s="1"/>
  <c r="B771" i="17"/>
  <c r="C771" i="17" s="1"/>
  <c r="B772" i="17"/>
  <c r="C772" i="17" s="1"/>
  <c r="B773" i="17"/>
  <c r="C773" i="17" s="1"/>
  <c r="B774" i="17"/>
  <c r="C774" i="17" s="1"/>
  <c r="B775" i="17"/>
  <c r="B776" i="17"/>
  <c r="B777" i="17"/>
  <c r="C777" i="17" s="1"/>
  <c r="B778" i="17"/>
  <c r="C778" i="17" s="1"/>
  <c r="B779" i="17"/>
  <c r="C779" i="17" s="1"/>
  <c r="B780" i="17"/>
  <c r="C780" i="17" s="1"/>
  <c r="B781" i="17"/>
  <c r="C781" i="17" s="1"/>
  <c r="B782" i="17"/>
  <c r="C782" i="17" s="1"/>
  <c r="B783" i="17"/>
  <c r="C783" i="17" s="1"/>
  <c r="B784" i="17"/>
  <c r="B785" i="17"/>
  <c r="C785" i="17" s="1"/>
  <c r="B786" i="17"/>
  <c r="C786" i="17" s="1"/>
  <c r="B787" i="17"/>
  <c r="C787" i="17" s="1"/>
  <c r="B788" i="17"/>
  <c r="B789" i="17"/>
  <c r="C789" i="17" s="1"/>
  <c r="B790" i="17"/>
  <c r="C790" i="17" s="1"/>
  <c r="B791" i="17"/>
  <c r="B792" i="17"/>
  <c r="B793" i="17"/>
  <c r="C793" i="17" s="1"/>
  <c r="B794" i="17"/>
  <c r="C794" i="17" s="1"/>
  <c r="B795" i="17"/>
  <c r="C795" i="17" s="1"/>
  <c r="B796" i="17"/>
  <c r="C796" i="17" s="1"/>
  <c r="B797" i="17"/>
  <c r="C797" i="17" s="1"/>
  <c r="B798" i="17"/>
  <c r="C798" i="17" s="1"/>
  <c r="B799" i="17"/>
  <c r="B800" i="17"/>
  <c r="B801" i="17"/>
  <c r="C801" i="17" s="1"/>
  <c r="B802" i="17"/>
  <c r="C802" i="17" s="1"/>
  <c r="B803" i="17"/>
  <c r="C803" i="17" s="1"/>
  <c r="B804" i="17"/>
  <c r="B805" i="17"/>
  <c r="C805" i="17" s="1"/>
  <c r="B806" i="17"/>
  <c r="C806" i="17" s="1"/>
  <c r="B807" i="17"/>
  <c r="B808" i="17"/>
  <c r="B809" i="17"/>
  <c r="B810" i="17"/>
  <c r="C810" i="17" s="1"/>
  <c r="B811" i="17"/>
  <c r="C811" i="17" s="1"/>
  <c r="B812" i="17"/>
  <c r="C812" i="17" s="1"/>
  <c r="B813" i="17"/>
  <c r="C813" i="17" s="1"/>
  <c r="B814" i="17"/>
  <c r="C814" i="17" s="1"/>
  <c r="B815" i="17"/>
  <c r="B816" i="17"/>
  <c r="B817" i="17"/>
  <c r="C817" i="17" s="1"/>
  <c r="B818" i="17"/>
  <c r="C818" i="17" s="1"/>
  <c r="B819" i="17"/>
  <c r="C819" i="17" s="1"/>
  <c r="B820" i="17"/>
  <c r="B821" i="17"/>
  <c r="C821" i="17" s="1"/>
  <c r="B822" i="17"/>
  <c r="C822" i="17" s="1"/>
  <c r="B823" i="17"/>
  <c r="B824" i="17"/>
  <c r="B825" i="17"/>
  <c r="C825" i="17" s="1"/>
  <c r="B826" i="17"/>
  <c r="C826" i="17" s="1"/>
  <c r="B827" i="17"/>
  <c r="C827" i="17" s="1"/>
  <c r="B828" i="17"/>
  <c r="C828" i="17" s="1"/>
  <c r="B829" i="17"/>
  <c r="C829" i="17" s="1"/>
  <c r="B830" i="17"/>
  <c r="C830" i="17" s="1"/>
  <c r="B831" i="17"/>
  <c r="C831" i="17" s="1"/>
  <c r="B832" i="17"/>
  <c r="B833" i="17"/>
  <c r="C833" i="17" s="1"/>
  <c r="B834" i="17"/>
  <c r="C834" i="17" s="1"/>
  <c r="B835" i="17"/>
  <c r="C835" i="17" s="1"/>
  <c r="B836" i="17"/>
  <c r="C836" i="17" s="1"/>
  <c r="B837" i="17"/>
  <c r="C837" i="17" s="1"/>
  <c r="B838" i="17"/>
  <c r="C838" i="17" s="1"/>
  <c r="B839" i="17"/>
  <c r="B840" i="17"/>
  <c r="B841" i="17"/>
  <c r="C841" i="17" s="1"/>
  <c r="B842" i="17"/>
  <c r="C842" i="17" s="1"/>
  <c r="B843" i="17"/>
  <c r="C843" i="17" s="1"/>
  <c r="B844" i="17"/>
  <c r="C844" i="17" s="1"/>
  <c r="B845" i="17"/>
  <c r="C845" i="17" s="1"/>
  <c r="B846" i="17"/>
  <c r="C846" i="17" s="1"/>
  <c r="B847" i="17"/>
  <c r="B848" i="17"/>
  <c r="B849" i="17"/>
  <c r="C849" i="17" s="1"/>
  <c r="B850" i="17"/>
  <c r="C850" i="17" s="1"/>
  <c r="B851" i="17"/>
  <c r="C851" i="17" s="1"/>
  <c r="B852" i="17"/>
  <c r="C852" i="17" s="1"/>
  <c r="B853" i="17"/>
  <c r="C853" i="17" s="1"/>
  <c r="B854" i="17"/>
  <c r="C854" i="17" s="1"/>
  <c r="B855" i="17"/>
  <c r="C855" i="17" s="1"/>
  <c r="B856" i="17"/>
  <c r="B857" i="17"/>
  <c r="C857" i="17" s="1"/>
  <c r="B858" i="17"/>
  <c r="C858" i="17" s="1"/>
  <c r="B859" i="17"/>
  <c r="C859" i="17" s="1"/>
  <c r="B860" i="17"/>
  <c r="C860" i="17" s="1"/>
  <c r="B861" i="17"/>
  <c r="C861" i="17" s="1"/>
  <c r="B862" i="17"/>
  <c r="C862" i="17" s="1"/>
  <c r="B863" i="17"/>
  <c r="B864" i="17"/>
  <c r="B865" i="17"/>
  <c r="C865" i="17" s="1"/>
  <c r="B866" i="17"/>
  <c r="C866" i="17" s="1"/>
  <c r="B867" i="17"/>
  <c r="C867" i="17" s="1"/>
  <c r="B868" i="17"/>
  <c r="C868" i="17" s="1"/>
  <c r="B869" i="17"/>
  <c r="C869" i="17" s="1"/>
  <c r="B870" i="17"/>
  <c r="C870" i="17" s="1"/>
  <c r="B871" i="17"/>
  <c r="B872" i="17"/>
  <c r="B873" i="17"/>
  <c r="C873" i="17" s="1"/>
  <c r="B874" i="17"/>
  <c r="C874" i="17" s="1"/>
  <c r="B875" i="17"/>
  <c r="C875" i="17" s="1"/>
  <c r="B876" i="17"/>
  <c r="C876" i="17" s="1"/>
  <c r="B877" i="17"/>
  <c r="C877" i="17" s="1"/>
  <c r="B878" i="17"/>
  <c r="C878" i="17" s="1"/>
  <c r="B879" i="17"/>
  <c r="C879" i="17" s="1"/>
  <c r="B880" i="17"/>
  <c r="B881" i="17"/>
  <c r="C881" i="17" s="1"/>
  <c r="B882" i="17"/>
  <c r="C882" i="17" s="1"/>
  <c r="B883" i="17"/>
  <c r="C883" i="17" s="1"/>
  <c r="B884" i="17"/>
  <c r="C884" i="17" s="1"/>
  <c r="B885" i="17"/>
  <c r="C885" i="17" s="1"/>
  <c r="B886" i="17"/>
  <c r="C886" i="17" s="1"/>
  <c r="B887" i="17"/>
  <c r="B888" i="17"/>
  <c r="B889" i="17"/>
  <c r="B890" i="17"/>
  <c r="C890" i="17" s="1"/>
  <c r="B891" i="17"/>
  <c r="C891" i="17" s="1"/>
  <c r="B892" i="17"/>
  <c r="C892" i="17" s="1"/>
  <c r="B893" i="17"/>
  <c r="C893" i="17" s="1"/>
  <c r="B894" i="17"/>
  <c r="C894" i="17" s="1"/>
  <c r="B895" i="17"/>
  <c r="B896" i="17"/>
  <c r="B897" i="17"/>
  <c r="C897" i="17" s="1"/>
  <c r="B898" i="17"/>
  <c r="C898" i="17" s="1"/>
  <c r="B899" i="17"/>
  <c r="C899" i="17" s="1"/>
  <c r="B900" i="17"/>
  <c r="C900" i="17" s="1"/>
  <c r="B901" i="17"/>
  <c r="C901" i="17" s="1"/>
  <c r="B902" i="17"/>
  <c r="C902" i="17" s="1"/>
  <c r="B903" i="17"/>
  <c r="C903" i="17" s="1"/>
  <c r="B904" i="17"/>
  <c r="B905" i="17"/>
  <c r="C905" i="17" s="1"/>
  <c r="B906" i="17"/>
  <c r="C906" i="17" s="1"/>
  <c r="B907" i="17"/>
  <c r="C907" i="17" s="1"/>
  <c r="B908" i="17"/>
  <c r="C908" i="17" s="1"/>
  <c r="B909" i="17"/>
  <c r="C909" i="17" s="1"/>
  <c r="B910" i="17"/>
  <c r="C910" i="17" s="1"/>
  <c r="B911" i="17"/>
  <c r="B912" i="17"/>
  <c r="B913" i="17"/>
  <c r="C913" i="17" s="1"/>
  <c r="B914" i="17"/>
  <c r="C914" i="17" s="1"/>
  <c r="B915" i="17"/>
  <c r="C915" i="17" s="1"/>
  <c r="B916" i="17"/>
  <c r="C916" i="17" s="1"/>
  <c r="B917" i="17"/>
  <c r="C917" i="17" s="1"/>
  <c r="B918" i="17"/>
  <c r="C918" i="17" s="1"/>
  <c r="B919" i="17"/>
  <c r="B920" i="17"/>
  <c r="B921" i="17"/>
  <c r="C921" i="17" s="1"/>
  <c r="B922" i="17"/>
  <c r="C922" i="17" s="1"/>
  <c r="B923" i="17"/>
  <c r="C923" i="17" s="1"/>
  <c r="B924" i="17"/>
  <c r="C924" i="17" s="1"/>
  <c r="B925" i="17"/>
  <c r="C925" i="17" s="1"/>
  <c r="B926" i="17"/>
  <c r="C926" i="17" s="1"/>
  <c r="B927" i="17"/>
  <c r="C927" i="17" s="1"/>
  <c r="B928" i="17"/>
  <c r="B929" i="17"/>
  <c r="C929" i="17" s="1"/>
  <c r="B930" i="17"/>
  <c r="C930" i="17" s="1"/>
  <c r="B931" i="17"/>
  <c r="C931" i="17" s="1"/>
  <c r="B932" i="17"/>
  <c r="C932" i="17" s="1"/>
  <c r="B933" i="17"/>
  <c r="C933" i="17" s="1"/>
  <c r="B934" i="17"/>
  <c r="C934" i="17" s="1"/>
  <c r="B935" i="17"/>
  <c r="B936" i="17"/>
  <c r="B937" i="17"/>
  <c r="C937" i="17" s="1"/>
  <c r="B938" i="17"/>
  <c r="C938" i="17" s="1"/>
  <c r="B939" i="17"/>
  <c r="C939" i="17" s="1"/>
  <c r="B940" i="17"/>
  <c r="C940" i="17" s="1"/>
  <c r="B941" i="17"/>
  <c r="C941" i="17" s="1"/>
  <c r="B942" i="17"/>
  <c r="C942" i="17" s="1"/>
  <c r="B943" i="17"/>
  <c r="B944" i="17"/>
  <c r="B945" i="17"/>
  <c r="C945" i="17" s="1"/>
  <c r="B946" i="17"/>
  <c r="C946" i="17" s="1"/>
  <c r="B947" i="17"/>
  <c r="C947" i="17" s="1"/>
  <c r="B948" i="17"/>
  <c r="C948" i="17" s="1"/>
  <c r="B949" i="17"/>
  <c r="C949" i="17" s="1"/>
  <c r="B950" i="17"/>
  <c r="C950" i="17" s="1"/>
  <c r="B951" i="17"/>
  <c r="C951" i="17" s="1"/>
  <c r="B952" i="17"/>
  <c r="B953" i="17"/>
  <c r="C953" i="17" s="1"/>
  <c r="B954" i="17"/>
  <c r="C954" i="17" s="1"/>
  <c r="B955" i="17"/>
  <c r="C955" i="17" s="1"/>
  <c r="B956" i="17"/>
  <c r="C956" i="17" s="1"/>
  <c r="B957" i="17"/>
  <c r="C957" i="17" s="1"/>
  <c r="B958" i="17"/>
  <c r="C958" i="17" s="1"/>
  <c r="B959" i="17"/>
  <c r="B960" i="17"/>
  <c r="B961" i="17"/>
  <c r="C961" i="17" s="1"/>
  <c r="B962" i="17"/>
  <c r="C962" i="17" s="1"/>
  <c r="B963" i="17"/>
  <c r="C963" i="17" s="1"/>
  <c r="B964" i="17"/>
  <c r="C964" i="17" s="1"/>
  <c r="B965" i="17"/>
  <c r="C965" i="17" s="1"/>
  <c r="B966" i="17"/>
  <c r="C966" i="17" s="1"/>
  <c r="B967" i="17"/>
  <c r="B968" i="17"/>
  <c r="B969" i="17"/>
  <c r="C969" i="17" s="1"/>
  <c r="B970" i="17"/>
  <c r="C970" i="17" s="1"/>
  <c r="B971" i="17"/>
  <c r="C971" i="17" s="1"/>
  <c r="B972" i="17"/>
  <c r="C972" i="17" s="1"/>
  <c r="B973" i="17"/>
  <c r="C973" i="17" s="1"/>
  <c r="B974" i="17"/>
  <c r="C974" i="17" s="1"/>
  <c r="B975" i="17"/>
  <c r="C975" i="17" s="1"/>
  <c r="B976" i="17"/>
  <c r="B977" i="17"/>
  <c r="C977" i="17" s="1"/>
  <c r="B978" i="17"/>
  <c r="C978" i="17" s="1"/>
  <c r="B979" i="17"/>
  <c r="C979" i="17" s="1"/>
  <c r="B980" i="17"/>
  <c r="C980" i="17" s="1"/>
  <c r="B981" i="17"/>
  <c r="C981" i="17" s="1"/>
  <c r="B982" i="17"/>
  <c r="C982" i="17" s="1"/>
  <c r="B983" i="17"/>
  <c r="B984" i="17"/>
  <c r="B985" i="17"/>
  <c r="B986" i="17"/>
  <c r="C986" i="17" s="1"/>
  <c r="B987" i="17"/>
  <c r="C987" i="17" s="1"/>
  <c r="B988" i="17"/>
  <c r="C988" i="17" s="1"/>
  <c r="B989" i="17"/>
  <c r="C989" i="17" s="1"/>
  <c r="B990" i="17"/>
  <c r="C990" i="17" s="1"/>
  <c r="B991" i="17"/>
  <c r="B992" i="17"/>
  <c r="B993" i="17"/>
  <c r="C993" i="17" s="1"/>
  <c r="B994" i="17"/>
  <c r="C994" i="17" s="1"/>
  <c r="B995" i="17"/>
  <c r="C995" i="17" s="1"/>
  <c r="B996" i="17"/>
  <c r="C996" i="17" s="1"/>
  <c r="B997" i="17"/>
  <c r="C997" i="17" s="1"/>
  <c r="B998" i="17"/>
  <c r="C998" i="17" s="1"/>
  <c r="B999" i="17"/>
  <c r="C999" i="17" s="1"/>
  <c r="B1000" i="17"/>
  <c r="B1001" i="17"/>
  <c r="C1001" i="17" s="1"/>
  <c r="B1002" i="17"/>
  <c r="C1002" i="17" s="1"/>
  <c r="B1003" i="17"/>
  <c r="C1003" i="17" s="1"/>
  <c r="B1004" i="17"/>
  <c r="C1004" i="17" s="1"/>
  <c r="B1005" i="17"/>
  <c r="C1005" i="17" s="1"/>
  <c r="B1006" i="17"/>
  <c r="C1006" i="17" s="1"/>
  <c r="B1007" i="17"/>
  <c r="B1008" i="17"/>
  <c r="B1009" i="17"/>
  <c r="C1009" i="17" s="1"/>
  <c r="B1010" i="17"/>
  <c r="C1010" i="17" s="1"/>
  <c r="B1011" i="17"/>
  <c r="C1011" i="17" s="1"/>
  <c r="B1012" i="17"/>
  <c r="C1012" i="17" s="1"/>
  <c r="B1013" i="17"/>
  <c r="C1013" i="17" s="1"/>
  <c r="B1014" i="17"/>
  <c r="C1014" i="17" s="1"/>
  <c r="B1015" i="17"/>
  <c r="B1016" i="17"/>
  <c r="B1017" i="17"/>
  <c r="C1017" i="17" s="1"/>
  <c r="B1018" i="17"/>
  <c r="C1018" i="17" s="1"/>
  <c r="B1019" i="17"/>
  <c r="C1019" i="17" s="1"/>
  <c r="B1020" i="17"/>
  <c r="C1020" i="17" s="1"/>
  <c r="B1021" i="17"/>
  <c r="C1021" i="17" s="1"/>
  <c r="B1022" i="17"/>
  <c r="C1022" i="17" s="1"/>
  <c r="B1023" i="17"/>
  <c r="C1023" i="17" s="1"/>
  <c r="B1024" i="17"/>
  <c r="B1025" i="17"/>
  <c r="C1025" i="17" s="1"/>
  <c r="B1026" i="17"/>
  <c r="C1026" i="17" s="1"/>
  <c r="B1027" i="17"/>
  <c r="C1027" i="17" s="1"/>
  <c r="B1028" i="17"/>
  <c r="C1028" i="17" s="1"/>
  <c r="B1029" i="17"/>
  <c r="C1029" i="17" s="1"/>
  <c r="B1030" i="17"/>
  <c r="C1030" i="17" s="1"/>
  <c r="B1031" i="17"/>
  <c r="B1032" i="17"/>
  <c r="B1033" i="17"/>
  <c r="C1033" i="17" s="1"/>
  <c r="B1034" i="17"/>
  <c r="C1034" i="17" s="1"/>
  <c r="B1035" i="17"/>
  <c r="C1035" i="17" s="1"/>
  <c r="B1036" i="17"/>
  <c r="C1036" i="17" s="1"/>
  <c r="B1037" i="17"/>
  <c r="C1037" i="17" s="1"/>
  <c r="B1038" i="17"/>
  <c r="C1038" i="17" s="1"/>
  <c r="B1039" i="17"/>
  <c r="B1040" i="17"/>
  <c r="B1041" i="17"/>
  <c r="C1041" i="17" s="1"/>
  <c r="B1042" i="17"/>
  <c r="C1042" i="17" s="1"/>
  <c r="B1043" i="17"/>
  <c r="C1043" i="17" s="1"/>
  <c r="B1044" i="17"/>
  <c r="C1044" i="17" s="1"/>
  <c r="B1045" i="17"/>
  <c r="C1045" i="17" s="1"/>
  <c r="B1046" i="17"/>
  <c r="C1046" i="17" s="1"/>
  <c r="B1047" i="17"/>
  <c r="C1047" i="17" s="1"/>
  <c r="B1048" i="17"/>
  <c r="B1049" i="17"/>
  <c r="C1049" i="17" s="1"/>
  <c r="B1050" i="17"/>
  <c r="C1050" i="17" s="1"/>
  <c r="B1051" i="17"/>
  <c r="C1051" i="17" s="1"/>
  <c r="B1052" i="17"/>
  <c r="C1052" i="17" s="1"/>
  <c r="B1053" i="17"/>
  <c r="C1053" i="17" s="1"/>
  <c r="B1054" i="17"/>
  <c r="C1054" i="17" s="1"/>
  <c r="B1055" i="17"/>
  <c r="B1056" i="17"/>
  <c r="B1057" i="17"/>
  <c r="C1057" i="17" s="1"/>
  <c r="B1058" i="17"/>
  <c r="C1058" i="17" s="1"/>
  <c r="B1059" i="17"/>
  <c r="C1059" i="17" s="1"/>
  <c r="B1060" i="17"/>
  <c r="C1060" i="17" s="1"/>
  <c r="B1061" i="17"/>
  <c r="C1061" i="17" s="1"/>
  <c r="B1062" i="17"/>
  <c r="C1062" i="17" s="1"/>
  <c r="B1063" i="17"/>
  <c r="B1064" i="17"/>
  <c r="B1065" i="17"/>
  <c r="C1065" i="17" s="1"/>
  <c r="B1066" i="17"/>
  <c r="C1066" i="17" s="1"/>
  <c r="B1067" i="17"/>
  <c r="C1067" i="17" s="1"/>
  <c r="B1068" i="17"/>
  <c r="C1068" i="17" s="1"/>
  <c r="B1069" i="17"/>
  <c r="C1069" i="17" s="1"/>
  <c r="B1070" i="17"/>
  <c r="C1070" i="17" s="1"/>
  <c r="B1071" i="17"/>
  <c r="C1071" i="17" s="1"/>
  <c r="B1072" i="17"/>
  <c r="B1073" i="17"/>
  <c r="C1073" i="17" s="1"/>
  <c r="B1074" i="17"/>
  <c r="C1074" i="17" s="1"/>
  <c r="B1075" i="17"/>
  <c r="C1075" i="17" s="1"/>
  <c r="B1076" i="17"/>
  <c r="C1076" i="17" s="1"/>
  <c r="B1077" i="17"/>
  <c r="C1077" i="17" s="1"/>
  <c r="B1078" i="17"/>
  <c r="C1078" i="17" s="1"/>
  <c r="B1079" i="17"/>
  <c r="B1080" i="17"/>
  <c r="B1081" i="17"/>
  <c r="C1081" i="17" s="1"/>
  <c r="B1082" i="17"/>
  <c r="C1082" i="17" s="1"/>
  <c r="B1083" i="17"/>
  <c r="C1083" i="17" s="1"/>
  <c r="B1084" i="17"/>
  <c r="C1084" i="17" s="1"/>
  <c r="B1085" i="17"/>
  <c r="C1085" i="17" s="1"/>
  <c r="B1086" i="17"/>
  <c r="C1086" i="17" s="1"/>
  <c r="B1087" i="17"/>
  <c r="B1088" i="17"/>
  <c r="B1089" i="17"/>
  <c r="C1089" i="17" s="1"/>
  <c r="B1090" i="17"/>
  <c r="C1090" i="17" s="1"/>
  <c r="B1091" i="17"/>
  <c r="C1091" i="17" s="1"/>
  <c r="B1092" i="17"/>
  <c r="C1092" i="17" s="1"/>
  <c r="B1093" i="17"/>
  <c r="C1093" i="17" s="1"/>
  <c r="B1094" i="17"/>
  <c r="C1094" i="17" s="1"/>
  <c r="B1095" i="17"/>
  <c r="C1095" i="17" s="1"/>
  <c r="B1096" i="17"/>
  <c r="B1097" i="17"/>
  <c r="C1097" i="17" s="1"/>
  <c r="B1098" i="17"/>
  <c r="C1098" i="17" s="1"/>
  <c r="B1099" i="17"/>
  <c r="C1099" i="17" s="1"/>
  <c r="B1100" i="17"/>
  <c r="C1100" i="17" s="1"/>
  <c r="B1101" i="17"/>
  <c r="C1101" i="17" s="1"/>
  <c r="B1102" i="17"/>
  <c r="C1102" i="17" s="1"/>
  <c r="B1103" i="17"/>
  <c r="B1104" i="17"/>
  <c r="B1105" i="17"/>
  <c r="C1105" i="17" s="1"/>
  <c r="B1106" i="17"/>
  <c r="C1106" i="17" s="1"/>
  <c r="B1107" i="17"/>
  <c r="C1107" i="17" s="1"/>
  <c r="B1108" i="17"/>
  <c r="B1109" i="17"/>
  <c r="C1109" i="17" s="1"/>
  <c r="B1110" i="17"/>
  <c r="C1110" i="17" s="1"/>
  <c r="B1111" i="17"/>
  <c r="B1112" i="17"/>
  <c r="B1113" i="17"/>
  <c r="C1113" i="17" s="1"/>
  <c r="B1114" i="17"/>
  <c r="C1114" i="17" s="1"/>
  <c r="B1115" i="17"/>
  <c r="C1115" i="17" s="1"/>
  <c r="B1116" i="17"/>
  <c r="C1116" i="17" s="1"/>
  <c r="B1117" i="17"/>
  <c r="C1117" i="17" s="1"/>
  <c r="B1118" i="17"/>
  <c r="C1118" i="17" s="1"/>
  <c r="B1119" i="17"/>
  <c r="C1119" i="17" s="1"/>
  <c r="B1120" i="17"/>
  <c r="B1121" i="17"/>
  <c r="C1121" i="17" s="1"/>
  <c r="B1122" i="17"/>
  <c r="C1122" i="17" s="1"/>
  <c r="B1123" i="17"/>
  <c r="C1123" i="17" s="1"/>
  <c r="B1124" i="17"/>
  <c r="C1124" i="17" s="1"/>
  <c r="B1125" i="17"/>
  <c r="C1125" i="17" s="1"/>
  <c r="B1126" i="17"/>
  <c r="C1126" i="17" s="1"/>
  <c r="B1127" i="17"/>
  <c r="B1128" i="17"/>
  <c r="B1129" i="17"/>
  <c r="C1129" i="17" s="1"/>
  <c r="B1130" i="17"/>
  <c r="C1130" i="17" s="1"/>
  <c r="B1131" i="17"/>
  <c r="C1131" i="17" s="1"/>
  <c r="B1132" i="17"/>
  <c r="C1132" i="17" s="1"/>
  <c r="B1133" i="17"/>
  <c r="C1133" i="17" s="1"/>
  <c r="B1134" i="17"/>
  <c r="C1134" i="17" s="1"/>
  <c r="B1135" i="17"/>
  <c r="B1136" i="17"/>
  <c r="B1137" i="17"/>
  <c r="C1137" i="17" s="1"/>
  <c r="B1138" i="17"/>
  <c r="C1138" i="17" s="1"/>
  <c r="B1139" i="17"/>
  <c r="C1139" i="17" s="1"/>
  <c r="B1140" i="17"/>
  <c r="C1140" i="17" s="1"/>
  <c r="B1141" i="17"/>
  <c r="C1141" i="17" s="1"/>
  <c r="B1142" i="17"/>
  <c r="C1142" i="17" s="1"/>
  <c r="B1143" i="17"/>
  <c r="C1143" i="17" s="1"/>
  <c r="B1144" i="17"/>
  <c r="B1145" i="17"/>
  <c r="C1145" i="17" s="1"/>
  <c r="B1146" i="17"/>
  <c r="C1146" i="17" s="1"/>
  <c r="B1147" i="17"/>
  <c r="C1147" i="17" s="1"/>
  <c r="B1148" i="17"/>
  <c r="C1148" i="17" s="1"/>
  <c r="B1149" i="17"/>
  <c r="C1149" i="17" s="1"/>
  <c r="B1150" i="17"/>
  <c r="C1150" i="17" s="1"/>
  <c r="B1151" i="17"/>
  <c r="B1152" i="17"/>
  <c r="B1153" i="17"/>
  <c r="C1153" i="17" s="1"/>
  <c r="B1154" i="17"/>
  <c r="C1154" i="17" s="1"/>
  <c r="B1155" i="17"/>
  <c r="C1155" i="17" s="1"/>
  <c r="B1156" i="17"/>
  <c r="C1156" i="17" s="1"/>
  <c r="B1157" i="17"/>
  <c r="C1157" i="17" s="1"/>
  <c r="B1158" i="17"/>
  <c r="C1158" i="17" s="1"/>
  <c r="B1159" i="17"/>
  <c r="B1160" i="17"/>
  <c r="B1161" i="17"/>
  <c r="C1161" i="17" s="1"/>
  <c r="B1162" i="17"/>
  <c r="C1162" i="17" s="1"/>
  <c r="B1163" i="17"/>
  <c r="C1163" i="17" s="1"/>
  <c r="B1164" i="17"/>
  <c r="C1164" i="17" s="1"/>
  <c r="B1165" i="17"/>
  <c r="C1165" i="17" s="1"/>
  <c r="B1166" i="17"/>
  <c r="C1166" i="17" s="1"/>
  <c r="B1167" i="17"/>
  <c r="C1167" i="17" s="1"/>
  <c r="B1168" i="17"/>
  <c r="B1169" i="17"/>
  <c r="C1169" i="17" s="1"/>
  <c r="B1170" i="17"/>
  <c r="C1170" i="17" s="1"/>
  <c r="B1171" i="17"/>
  <c r="C1171" i="17" s="1"/>
  <c r="B1172" i="17"/>
  <c r="C1172" i="17" s="1"/>
  <c r="B1173" i="17"/>
  <c r="C1173" i="17" s="1"/>
  <c r="B1174" i="17"/>
  <c r="C1174" i="17" s="1"/>
  <c r="B1175" i="17"/>
  <c r="B1176" i="17"/>
  <c r="B1177" i="17"/>
  <c r="C1177" i="17" s="1"/>
  <c r="B1178" i="17"/>
  <c r="C1178" i="17" s="1"/>
  <c r="B1179" i="17"/>
  <c r="C1179" i="17" s="1"/>
  <c r="B1180" i="17"/>
  <c r="C1180" i="17" s="1"/>
  <c r="B1181" i="17"/>
  <c r="C1181" i="17" s="1"/>
  <c r="B1182" i="17"/>
  <c r="C1182" i="17" s="1"/>
  <c r="B1183" i="17"/>
  <c r="B1184" i="17"/>
  <c r="B1185" i="17"/>
  <c r="C1185" i="17" s="1"/>
  <c r="B1186" i="17"/>
  <c r="C1186" i="17" s="1"/>
  <c r="B1187" i="17"/>
  <c r="C1187" i="17" s="1"/>
  <c r="B1188" i="17"/>
  <c r="C1188" i="17" s="1"/>
  <c r="B1189" i="17"/>
  <c r="C1189" i="17" s="1"/>
  <c r="B1190" i="17"/>
  <c r="C1190" i="17" s="1"/>
  <c r="B1191" i="17"/>
  <c r="C1191" i="17" s="1"/>
  <c r="B1192" i="17"/>
  <c r="B1193" i="17"/>
  <c r="C1193" i="17" s="1"/>
  <c r="B1194" i="17"/>
  <c r="C1194" i="17" s="1"/>
  <c r="B1195" i="17"/>
  <c r="C1195" i="17" s="1"/>
  <c r="B1196" i="17"/>
  <c r="C1196" i="17" s="1"/>
  <c r="B1197" i="17"/>
  <c r="C1197" i="17" s="1"/>
  <c r="B1198" i="17"/>
  <c r="C1198" i="17" s="1"/>
  <c r="B1199" i="17"/>
  <c r="B1200" i="17"/>
  <c r="B1201" i="17"/>
  <c r="C1201" i="17" s="1"/>
  <c r="B1202" i="17"/>
  <c r="C1202" i="17" s="1"/>
  <c r="B1203" i="17"/>
  <c r="C1203" i="17" s="1"/>
  <c r="B1204" i="17"/>
  <c r="C1204" i="17" s="1"/>
  <c r="B1205" i="17"/>
  <c r="C1205" i="17" s="1"/>
  <c r="B1206" i="17"/>
  <c r="C1206" i="17" s="1"/>
  <c r="B1207" i="17"/>
  <c r="B1208" i="17"/>
  <c r="B1209" i="17"/>
  <c r="C1209" i="17" s="1"/>
  <c r="B1210" i="17"/>
  <c r="C1210" i="17" s="1"/>
  <c r="B1211" i="17"/>
  <c r="C1211" i="17" s="1"/>
  <c r="B1212" i="17"/>
  <c r="C1212" i="17" s="1"/>
  <c r="B1213" i="17"/>
  <c r="C1213" i="17" s="1"/>
  <c r="B1214" i="17"/>
  <c r="C1214" i="17" s="1"/>
  <c r="B1215" i="17"/>
  <c r="C1215" i="17" s="1"/>
  <c r="B1216" i="17"/>
  <c r="B1217" i="17"/>
  <c r="C1217" i="17" s="1"/>
  <c r="B1218" i="17"/>
  <c r="C1218" i="17" s="1"/>
  <c r="B1219" i="17"/>
  <c r="C1219" i="17" s="1"/>
  <c r="B1220" i="17"/>
  <c r="C1220" i="17" s="1"/>
  <c r="B1221" i="17"/>
  <c r="C1221" i="17" s="1"/>
  <c r="B1222" i="17"/>
  <c r="C1222" i="17" s="1"/>
  <c r="B1223" i="17"/>
  <c r="B1224" i="17"/>
  <c r="B1225" i="17"/>
  <c r="C1225" i="17" s="1"/>
  <c r="B1226" i="17"/>
  <c r="C1226" i="17" s="1"/>
  <c r="B1227" i="17"/>
  <c r="C1227" i="17" s="1"/>
  <c r="B1228" i="17"/>
  <c r="C1228" i="17" s="1"/>
  <c r="B1229" i="17"/>
  <c r="C1229" i="17" s="1"/>
  <c r="B1230" i="17"/>
  <c r="C1230" i="17" s="1"/>
  <c r="B1231" i="17"/>
  <c r="B1232" i="17"/>
  <c r="B1233" i="17"/>
  <c r="C1233" i="17" s="1"/>
  <c r="B1234" i="17"/>
  <c r="C1234" i="17" s="1"/>
  <c r="B1235" i="17"/>
  <c r="C1235" i="17" s="1"/>
  <c r="B1236" i="17"/>
  <c r="C1236" i="17" s="1"/>
  <c r="B1237" i="17"/>
  <c r="C1237" i="17" s="1"/>
  <c r="B1238" i="17"/>
  <c r="C1238" i="17" s="1"/>
  <c r="B1239" i="17"/>
  <c r="C1239" i="17" s="1"/>
  <c r="B1240" i="17"/>
  <c r="B1241" i="17"/>
  <c r="C1241" i="17" s="1"/>
  <c r="B1242" i="17"/>
  <c r="C1242" i="17" s="1"/>
  <c r="B1243" i="17"/>
  <c r="C1243" i="17" s="1"/>
  <c r="B1244" i="17"/>
  <c r="C1244" i="17" s="1"/>
  <c r="B1245" i="17"/>
  <c r="C1245" i="17" s="1"/>
  <c r="B1246" i="17"/>
  <c r="C1246" i="17" s="1"/>
  <c r="B1247" i="17"/>
  <c r="B1248" i="17"/>
  <c r="B1249" i="17"/>
  <c r="C1249" i="17" s="1"/>
  <c r="B1250" i="17"/>
  <c r="C1250" i="17" s="1"/>
  <c r="B1251" i="17"/>
  <c r="C1251" i="17" s="1"/>
  <c r="B1252" i="17"/>
  <c r="C1252" i="17" s="1"/>
  <c r="B1253" i="17"/>
  <c r="C1253" i="17" s="1"/>
  <c r="B1254" i="17"/>
  <c r="C1254" i="17" s="1"/>
  <c r="B1255" i="17"/>
  <c r="B1256" i="17"/>
  <c r="B1257" i="17"/>
  <c r="C1257" i="17" s="1"/>
  <c r="B1258" i="17"/>
  <c r="C1258" i="17" s="1"/>
  <c r="B1259" i="17"/>
  <c r="C1259" i="17" s="1"/>
  <c r="B1260" i="17"/>
  <c r="C1260" i="17" s="1"/>
  <c r="B1261" i="17"/>
  <c r="C1261" i="17" s="1"/>
  <c r="B1262" i="17"/>
  <c r="C1262" i="17" s="1"/>
  <c r="B1263" i="17"/>
  <c r="C1263" i="17" s="1"/>
  <c r="B1264" i="17"/>
  <c r="B1265" i="17"/>
  <c r="C1265" i="17" s="1"/>
  <c r="B1266" i="17"/>
  <c r="C1266" i="17" s="1"/>
  <c r="B1267" i="17"/>
  <c r="C1267" i="17" s="1"/>
  <c r="B1268" i="17"/>
  <c r="C1268" i="17" s="1"/>
  <c r="B1269" i="17"/>
  <c r="C1269" i="17" s="1"/>
  <c r="B1270" i="17"/>
  <c r="C1270" i="17" s="1"/>
  <c r="B1271" i="17"/>
  <c r="B1272" i="17"/>
  <c r="B1273" i="17"/>
  <c r="C1273" i="17" s="1"/>
  <c r="B1274" i="17"/>
  <c r="C1274" i="17" s="1"/>
  <c r="B1275" i="17"/>
  <c r="C1275" i="17" s="1"/>
  <c r="B1276" i="17"/>
  <c r="C1276" i="17" s="1"/>
  <c r="B1277" i="17"/>
  <c r="C1277" i="17" s="1"/>
  <c r="B1278" i="17"/>
  <c r="C1278" i="17" s="1"/>
  <c r="B1279" i="17"/>
  <c r="B1280" i="17"/>
  <c r="B1281" i="17"/>
  <c r="C1281" i="17" s="1"/>
  <c r="B1282" i="17"/>
  <c r="C1282" i="17" s="1"/>
  <c r="B1283" i="17"/>
  <c r="C1283" i="17" s="1"/>
  <c r="B1284" i="17"/>
  <c r="C1284" i="17" s="1"/>
  <c r="B1285" i="17"/>
  <c r="C1285" i="17" s="1"/>
  <c r="B1286" i="17"/>
  <c r="C1286" i="17" s="1"/>
  <c r="B1287" i="17"/>
  <c r="C1287" i="17" s="1"/>
  <c r="B1288" i="17"/>
  <c r="B1289" i="17"/>
  <c r="C1289" i="17" s="1"/>
  <c r="B1290" i="17"/>
  <c r="C1290" i="17" s="1"/>
  <c r="B1291" i="17"/>
  <c r="C1291" i="17" s="1"/>
  <c r="B1292" i="17"/>
  <c r="C1292" i="17" s="1"/>
  <c r="B1293" i="17"/>
  <c r="C1293" i="17" s="1"/>
  <c r="B1294" i="17"/>
  <c r="C1294" i="17" s="1"/>
  <c r="B1295" i="17"/>
  <c r="B1296" i="17"/>
  <c r="B1297" i="17"/>
  <c r="C1297" i="17" s="1"/>
  <c r="B1298" i="17"/>
  <c r="C1298" i="17" s="1"/>
  <c r="B1299" i="17"/>
  <c r="C1299" i="17" s="1"/>
  <c r="B1300" i="17"/>
  <c r="C1300" i="17" s="1"/>
  <c r="B1301" i="17"/>
  <c r="C1301" i="17" s="1"/>
  <c r="B1302" i="17"/>
  <c r="C1302" i="17" s="1"/>
  <c r="B1303" i="17"/>
  <c r="B1304" i="17"/>
  <c r="B1305" i="17"/>
  <c r="C1305" i="17" s="1"/>
  <c r="B1306" i="17"/>
  <c r="C1306" i="17" s="1"/>
  <c r="B1307" i="17"/>
  <c r="C1307" i="17" s="1"/>
  <c r="B1308" i="17"/>
  <c r="C1308" i="17" s="1"/>
  <c r="B1309" i="17"/>
  <c r="C1309" i="17" s="1"/>
  <c r="B1310" i="17"/>
  <c r="C1310" i="17" s="1"/>
  <c r="B1311" i="17"/>
  <c r="C1311" i="17" s="1"/>
  <c r="B1312" i="17"/>
  <c r="B1313" i="17"/>
  <c r="C1313" i="17" s="1"/>
  <c r="B1314" i="17"/>
  <c r="C1314" i="17" s="1"/>
  <c r="B1315" i="17"/>
  <c r="C1315" i="17" s="1"/>
  <c r="B1316" i="17"/>
  <c r="C1316" i="17" s="1"/>
  <c r="B1317" i="17"/>
  <c r="C1317" i="17" s="1"/>
  <c r="B1318" i="17"/>
  <c r="C1318" i="17" s="1"/>
  <c r="B1319" i="17"/>
  <c r="B1320" i="17"/>
  <c r="B1321" i="17"/>
  <c r="C1321" i="17" s="1"/>
  <c r="B1322" i="17"/>
  <c r="C1322" i="17" s="1"/>
  <c r="B1323" i="17"/>
  <c r="C1323" i="17" s="1"/>
  <c r="B1324" i="17"/>
  <c r="C1324" i="17" s="1"/>
  <c r="B1325" i="17"/>
  <c r="C1325" i="17" s="1"/>
  <c r="B1326" i="17"/>
  <c r="C1326" i="17" s="1"/>
  <c r="B1327" i="17"/>
  <c r="B1328" i="17"/>
  <c r="B1329" i="17"/>
  <c r="C1329" i="17" s="1"/>
  <c r="B1330" i="17"/>
  <c r="C1330" i="17" s="1"/>
  <c r="B1331" i="17"/>
  <c r="C1331" i="17" s="1"/>
  <c r="B1332" i="17"/>
  <c r="C1332" i="17" s="1"/>
  <c r="B1333" i="17"/>
  <c r="C1333" i="17" s="1"/>
  <c r="B1334" i="17"/>
  <c r="C1334" i="17" s="1"/>
  <c r="B1335" i="17"/>
  <c r="C1335" i="17" s="1"/>
  <c r="B1336" i="17"/>
  <c r="B1337" i="17"/>
  <c r="C1337" i="17" s="1"/>
  <c r="B1338" i="17"/>
  <c r="C1338" i="17" s="1"/>
  <c r="B1339" i="17"/>
  <c r="C1339" i="17" s="1"/>
  <c r="B1340" i="17"/>
  <c r="C1340" i="17" s="1"/>
  <c r="B1341" i="17"/>
  <c r="C1341" i="17" s="1"/>
  <c r="B1342" i="17"/>
  <c r="C1342" i="17" s="1"/>
  <c r="B1343" i="17"/>
  <c r="B1344" i="17"/>
  <c r="B1345" i="17"/>
  <c r="C1345" i="17" s="1"/>
  <c r="B1346" i="17"/>
  <c r="C1346" i="17" s="1"/>
  <c r="B1347" i="17"/>
  <c r="C1347" i="17" s="1"/>
  <c r="B1348" i="17"/>
  <c r="C1348" i="17" s="1"/>
  <c r="B1349" i="17"/>
  <c r="C1349" i="17" s="1"/>
  <c r="B1350" i="17"/>
  <c r="C1350" i="17" s="1"/>
  <c r="B1351" i="17"/>
  <c r="B1352" i="17"/>
  <c r="B1353" i="17"/>
  <c r="C1353" i="17" s="1"/>
  <c r="B1354" i="17"/>
  <c r="C1354" i="17" s="1"/>
  <c r="B1355" i="17"/>
  <c r="C1355" i="17" s="1"/>
  <c r="B1356" i="17"/>
  <c r="C1356" i="17" s="1"/>
  <c r="B1357" i="17"/>
  <c r="C1357" i="17" s="1"/>
  <c r="B1358" i="17"/>
  <c r="C1358" i="17" s="1"/>
  <c r="B1359" i="17"/>
  <c r="C1359" i="17" s="1"/>
  <c r="B1360" i="17"/>
  <c r="B1361" i="17"/>
  <c r="C1361" i="17" s="1"/>
  <c r="B1362" i="17"/>
  <c r="C1362" i="17" s="1"/>
  <c r="B1363" i="17"/>
  <c r="C1363" i="17" s="1"/>
  <c r="B1364" i="17"/>
  <c r="C1364" i="17" s="1"/>
  <c r="B1365" i="17"/>
  <c r="C1365" i="17" s="1"/>
  <c r="B1366" i="17"/>
  <c r="C1366" i="17" s="1"/>
  <c r="B1367" i="17"/>
  <c r="B1368" i="17"/>
  <c r="B1369" i="17"/>
  <c r="C1369" i="17" s="1"/>
  <c r="B1370" i="17"/>
  <c r="C1370" i="17" s="1"/>
  <c r="B1371" i="17"/>
  <c r="C1371" i="17" s="1"/>
  <c r="B1372" i="17"/>
  <c r="C1372" i="17" s="1"/>
  <c r="B1373" i="17"/>
  <c r="C1373" i="17" s="1"/>
  <c r="B1374" i="17"/>
  <c r="C1374" i="17" s="1"/>
  <c r="B1375" i="17"/>
  <c r="B1376" i="17"/>
  <c r="B1377" i="17"/>
  <c r="C1377" i="17" s="1"/>
  <c r="B1378" i="17"/>
  <c r="C1378" i="17" s="1"/>
  <c r="B1379" i="17"/>
  <c r="C1379" i="17" s="1"/>
  <c r="B1380" i="17"/>
  <c r="C1380" i="17" s="1"/>
  <c r="B1381" i="17"/>
  <c r="C1381" i="17" s="1"/>
  <c r="B1382" i="17"/>
  <c r="C1382" i="17" s="1"/>
  <c r="B1383" i="17"/>
  <c r="C1383" i="17" s="1"/>
  <c r="B1384" i="17"/>
  <c r="B1385" i="17"/>
  <c r="C1385" i="17" s="1"/>
  <c r="B1386" i="17"/>
  <c r="C1386" i="17" s="1"/>
  <c r="B1387" i="17"/>
  <c r="C1387" i="17" s="1"/>
  <c r="B1388" i="17"/>
  <c r="C1388" i="17" s="1"/>
  <c r="B1389" i="17"/>
  <c r="C1389" i="17" s="1"/>
  <c r="B1390" i="17"/>
  <c r="C1390" i="17" s="1"/>
  <c r="B1391" i="17"/>
  <c r="B1392" i="17"/>
  <c r="B1393" i="17"/>
  <c r="C1393" i="17" s="1"/>
  <c r="B1394" i="17"/>
  <c r="C1394" i="17" s="1"/>
  <c r="B1395" i="17"/>
  <c r="C1395" i="17" s="1"/>
  <c r="B1396" i="17"/>
  <c r="C1396" i="17" s="1"/>
  <c r="B1397" i="17"/>
  <c r="C1397" i="17" s="1"/>
  <c r="B1398" i="17"/>
  <c r="C1398" i="17" s="1"/>
  <c r="B1399" i="17"/>
  <c r="B1400" i="17"/>
  <c r="B1401" i="17"/>
  <c r="C1401" i="17" s="1"/>
  <c r="B1402" i="17"/>
  <c r="C1402" i="17" s="1"/>
  <c r="B1403" i="17"/>
  <c r="C1403" i="17" s="1"/>
  <c r="B1404" i="17"/>
  <c r="C1404" i="17" s="1"/>
  <c r="B1405" i="17"/>
  <c r="C1405" i="17" s="1"/>
  <c r="B1406" i="17"/>
  <c r="C1406" i="17" s="1"/>
  <c r="B1407" i="17"/>
  <c r="C1407" i="17" s="1"/>
  <c r="B1408" i="17"/>
  <c r="B1409" i="17"/>
  <c r="C1409" i="17" s="1"/>
  <c r="B1410" i="17"/>
  <c r="C1410" i="17" s="1"/>
  <c r="B1411" i="17"/>
  <c r="C1411" i="17" s="1"/>
  <c r="B1412" i="17"/>
  <c r="C1412" i="17" s="1"/>
  <c r="B1413" i="17"/>
  <c r="C1413" i="17" s="1"/>
  <c r="B1414" i="17"/>
  <c r="C1414" i="17" s="1"/>
  <c r="B1415" i="17"/>
  <c r="B1416" i="17"/>
  <c r="B1417" i="17"/>
  <c r="C1417" i="17" s="1"/>
  <c r="B1418" i="17"/>
  <c r="C1418" i="17" s="1"/>
  <c r="B1419" i="17"/>
  <c r="C1419" i="17" s="1"/>
  <c r="B1420" i="17"/>
  <c r="C1420" i="17" s="1"/>
  <c r="B1421" i="17"/>
  <c r="C1421" i="17" s="1"/>
  <c r="B1422" i="17"/>
  <c r="C1422" i="17" s="1"/>
  <c r="B1423" i="17"/>
  <c r="B1424" i="17"/>
  <c r="B1425" i="17"/>
  <c r="C1425" i="17" s="1"/>
  <c r="B1426" i="17"/>
  <c r="C1426" i="17" s="1"/>
  <c r="B1427" i="17"/>
  <c r="C1427" i="17" s="1"/>
  <c r="B1428" i="17"/>
  <c r="C1428" i="17" s="1"/>
  <c r="B1429" i="17"/>
  <c r="C1429" i="17" s="1"/>
  <c r="B1430" i="17"/>
  <c r="C1430" i="17" s="1"/>
  <c r="B1431" i="17"/>
  <c r="C1431" i="17" s="1"/>
  <c r="B1432" i="17"/>
  <c r="B1433" i="17"/>
  <c r="C1433" i="17" s="1"/>
  <c r="B1434" i="17"/>
  <c r="C1434" i="17" s="1"/>
  <c r="B1435" i="17"/>
  <c r="C1435" i="17" s="1"/>
  <c r="B1436" i="17"/>
  <c r="C1436" i="17" s="1"/>
  <c r="B1437" i="17"/>
  <c r="C1437" i="17" s="1"/>
  <c r="B1438" i="17"/>
  <c r="C1438" i="17" s="1"/>
  <c r="B1439" i="17"/>
  <c r="B1440" i="17"/>
  <c r="B1441" i="17"/>
  <c r="C1441" i="17" s="1"/>
  <c r="B1442" i="17"/>
  <c r="C1442" i="17" s="1"/>
  <c r="B1443" i="17"/>
  <c r="C1443" i="17" s="1"/>
  <c r="B1444" i="17"/>
  <c r="C1444" i="17" s="1"/>
  <c r="B1445" i="17"/>
  <c r="C1445" i="17" s="1"/>
  <c r="B1446" i="17"/>
  <c r="C1446" i="17" s="1"/>
  <c r="B1447" i="17"/>
  <c r="B1448" i="17"/>
  <c r="B1449" i="17"/>
  <c r="C1449" i="17" s="1"/>
  <c r="B1450" i="17"/>
  <c r="C1450" i="17" s="1"/>
  <c r="B1451" i="17"/>
  <c r="C1451" i="17" s="1"/>
  <c r="B1452" i="17"/>
  <c r="C1452" i="17" s="1"/>
  <c r="B1453" i="17"/>
  <c r="C1453" i="17" s="1"/>
  <c r="B1454" i="17"/>
  <c r="C1454" i="17" s="1"/>
  <c r="B1455" i="17"/>
  <c r="C1455" i="17" s="1"/>
  <c r="B1456" i="17"/>
  <c r="B1457" i="17"/>
  <c r="C1457" i="17" s="1"/>
  <c r="B1458" i="17"/>
  <c r="C1458" i="17" s="1"/>
  <c r="B1459" i="17"/>
  <c r="C1459" i="17" s="1"/>
  <c r="B1460" i="17"/>
  <c r="C1460" i="17" s="1"/>
  <c r="B1461" i="17"/>
  <c r="C1461" i="17" s="1"/>
  <c r="B1462" i="17"/>
  <c r="C1462" i="17" s="1"/>
  <c r="B1463" i="17"/>
  <c r="B1464" i="17"/>
  <c r="B1465" i="17"/>
  <c r="C1465" i="17" s="1"/>
  <c r="B1466" i="17"/>
  <c r="C1466" i="17" s="1"/>
  <c r="B1467" i="17"/>
  <c r="C1467" i="17" s="1"/>
  <c r="B1468" i="17"/>
  <c r="C1468" i="17" s="1"/>
  <c r="B1469" i="17"/>
  <c r="C1469" i="17" s="1"/>
  <c r="B1470" i="17"/>
  <c r="C1470" i="17" s="1"/>
  <c r="B1471" i="17"/>
  <c r="B1472" i="17"/>
  <c r="B1473" i="17"/>
  <c r="C1473" i="17" s="1"/>
  <c r="B1474" i="17"/>
  <c r="C1474" i="17" s="1"/>
  <c r="B1475" i="17"/>
  <c r="C1475" i="17" s="1"/>
  <c r="B1476" i="17"/>
  <c r="C1476" i="17" s="1"/>
  <c r="B1477" i="17"/>
  <c r="C1477" i="17" s="1"/>
  <c r="B1478" i="17"/>
  <c r="C1478" i="17" s="1"/>
  <c r="B1479" i="17"/>
  <c r="C1479" i="17" s="1"/>
  <c r="B1480" i="17"/>
  <c r="B1481" i="17"/>
  <c r="C1481" i="17" s="1"/>
  <c r="B1482" i="17"/>
  <c r="C1482" i="17" s="1"/>
  <c r="B1483" i="17"/>
  <c r="C1483" i="17" s="1"/>
  <c r="B1484" i="17"/>
  <c r="C1484" i="17" s="1"/>
  <c r="B1485" i="17"/>
  <c r="C1485" i="17" s="1"/>
  <c r="B1486" i="17"/>
  <c r="C1486" i="17" s="1"/>
  <c r="B1487" i="17"/>
  <c r="B1488" i="17"/>
  <c r="B1489" i="17"/>
  <c r="C1489" i="17" s="1"/>
  <c r="B1490" i="17"/>
  <c r="C1490" i="17" s="1"/>
  <c r="B1491" i="17"/>
  <c r="C1491" i="17" s="1"/>
  <c r="B1492" i="17"/>
  <c r="C1492" i="17" s="1"/>
  <c r="B1493" i="17"/>
  <c r="C1493" i="17" s="1"/>
  <c r="B1494" i="17"/>
  <c r="C1494" i="17" s="1"/>
  <c r="B1495" i="17"/>
  <c r="B1496" i="17"/>
  <c r="B1497" i="17"/>
  <c r="C1497" i="17" s="1"/>
  <c r="B1498" i="17"/>
  <c r="C1498" i="17" s="1"/>
  <c r="B1499" i="17"/>
  <c r="C1499" i="17" s="1"/>
  <c r="B1500" i="17"/>
  <c r="C1500" i="17" s="1"/>
  <c r="B1501" i="17"/>
  <c r="C1501" i="17" s="1"/>
  <c r="B1502" i="17"/>
  <c r="C1502" i="17" s="1"/>
  <c r="B1503" i="17"/>
  <c r="C1503" i="17" s="1"/>
  <c r="B1504" i="17"/>
  <c r="B1505" i="17"/>
  <c r="C1505" i="17" s="1"/>
  <c r="B1506" i="17"/>
  <c r="C1506" i="17" s="1"/>
  <c r="B1507" i="17"/>
  <c r="C1507" i="17" s="1"/>
  <c r="B1508" i="17"/>
  <c r="C1508" i="17" s="1"/>
  <c r="B1509" i="17"/>
  <c r="C1509" i="17" s="1"/>
  <c r="B1510" i="17"/>
  <c r="C1510" i="17" s="1"/>
  <c r="B1511" i="17"/>
  <c r="B1512" i="17"/>
  <c r="B1513" i="17"/>
  <c r="C1513" i="17" s="1"/>
  <c r="B1514" i="17"/>
  <c r="C1514" i="17" s="1"/>
  <c r="B1515" i="17"/>
  <c r="C1515" i="17" s="1"/>
  <c r="B1516" i="17"/>
  <c r="C1516" i="17" s="1"/>
  <c r="B1517" i="17"/>
  <c r="C1517" i="17" s="1"/>
  <c r="B1518" i="17"/>
  <c r="C1518" i="17" s="1"/>
  <c r="B1519" i="17"/>
  <c r="C1519" i="17" s="1"/>
  <c r="B1520" i="17"/>
  <c r="B1521" i="17"/>
  <c r="C1521" i="17" s="1"/>
  <c r="B1522" i="17"/>
  <c r="C1522" i="17" s="1"/>
  <c r="B1523" i="17"/>
  <c r="C1523" i="17" s="1"/>
  <c r="B1524" i="17"/>
  <c r="C1524" i="17" s="1"/>
  <c r="B1525" i="17"/>
  <c r="C1525" i="17" s="1"/>
  <c r="B1526" i="17"/>
  <c r="C1526" i="17" s="1"/>
  <c r="B1527" i="17"/>
  <c r="C1527" i="17" s="1"/>
  <c r="B1528" i="17"/>
  <c r="B1529" i="17"/>
  <c r="C1529" i="17" s="1"/>
  <c r="B1530" i="17"/>
  <c r="C1530" i="17" s="1"/>
  <c r="B1531" i="17"/>
  <c r="C1531" i="17" s="1"/>
  <c r="B1532" i="17"/>
  <c r="C1532" i="17" s="1"/>
  <c r="B1533" i="17"/>
  <c r="C1533" i="17" s="1"/>
  <c r="B1534" i="17"/>
  <c r="C1534" i="17" s="1"/>
  <c r="B1535" i="17"/>
  <c r="C1535" i="17" s="1"/>
  <c r="B1536" i="17"/>
  <c r="B1537" i="17"/>
  <c r="C1537" i="17" s="1"/>
  <c r="B1538" i="17"/>
  <c r="C1538" i="17" s="1"/>
  <c r="B1539" i="17"/>
  <c r="C1539" i="17" s="1"/>
  <c r="B1540" i="17"/>
  <c r="C1540" i="17" s="1"/>
  <c r="B1541" i="17"/>
  <c r="C1541" i="17" s="1"/>
  <c r="B1542" i="17"/>
  <c r="C1542" i="17" s="1"/>
  <c r="B1543" i="17"/>
  <c r="B1544" i="17"/>
  <c r="B1545" i="17"/>
  <c r="C1545" i="17" s="1"/>
  <c r="B1546" i="17"/>
  <c r="C1546" i="17" s="1"/>
  <c r="B1547" i="17"/>
  <c r="C1547" i="17" s="1"/>
  <c r="B1548" i="17"/>
  <c r="C1548" i="17" s="1"/>
  <c r="B1549" i="17"/>
  <c r="C1549" i="17" s="1"/>
  <c r="B1550" i="17"/>
  <c r="C1550" i="17" s="1"/>
  <c r="B1551" i="17"/>
  <c r="C1551" i="17" s="1"/>
  <c r="B1552" i="17"/>
  <c r="B1553" i="17"/>
  <c r="C1553" i="17" s="1"/>
  <c r="B1554" i="17"/>
  <c r="C1554" i="17" s="1"/>
  <c r="B1555" i="17"/>
  <c r="C1555" i="17" s="1"/>
  <c r="B1556" i="17"/>
  <c r="C1556" i="17" s="1"/>
  <c r="B1557" i="17"/>
  <c r="C1557" i="17" s="1"/>
  <c r="B1558" i="17"/>
  <c r="C1558" i="17" s="1"/>
  <c r="B1559" i="17"/>
  <c r="B1560" i="17"/>
  <c r="B1561" i="17"/>
  <c r="C1561" i="17" s="1"/>
  <c r="B1562" i="17"/>
  <c r="C1562" i="17" s="1"/>
  <c r="B1563" i="17"/>
  <c r="C1563" i="17" s="1"/>
  <c r="B1564" i="17"/>
  <c r="C1564" i="17" s="1"/>
  <c r="B1565" i="17"/>
  <c r="C1565" i="17" s="1"/>
  <c r="B1566" i="17"/>
  <c r="C1566" i="17" s="1"/>
  <c r="B1567" i="17"/>
  <c r="B1568" i="17"/>
  <c r="B1569" i="17"/>
  <c r="C1569" i="17" s="1"/>
  <c r="B1570" i="17"/>
  <c r="C1570" i="17" s="1"/>
  <c r="B1571" i="17"/>
  <c r="C1571" i="17" s="1"/>
  <c r="B1572" i="17"/>
  <c r="C1572" i="17" s="1"/>
  <c r="B1573" i="17"/>
  <c r="C1573" i="17" s="1"/>
  <c r="B1574" i="17"/>
  <c r="C1574" i="17" s="1"/>
  <c r="B1575" i="17"/>
  <c r="B1576" i="17"/>
  <c r="B1577" i="17"/>
  <c r="C1577" i="17" s="1"/>
  <c r="B1578" i="17"/>
  <c r="C1578" i="17" s="1"/>
  <c r="B1579" i="17"/>
  <c r="C1579" i="17" s="1"/>
  <c r="B1580" i="17"/>
  <c r="C1580" i="17" s="1"/>
  <c r="B1581" i="17"/>
  <c r="C1581" i="17" s="1"/>
  <c r="B1582" i="17"/>
  <c r="C1582" i="17" s="1"/>
  <c r="B1583" i="17"/>
  <c r="B1584" i="17"/>
  <c r="B1585" i="17"/>
  <c r="C1585" i="17" s="1"/>
  <c r="B1586" i="17"/>
  <c r="C1586" i="17" s="1"/>
  <c r="B1587" i="17"/>
  <c r="C1587" i="17" s="1"/>
  <c r="B1588" i="17"/>
  <c r="C1588" i="17" s="1"/>
  <c r="B1589" i="17"/>
  <c r="C1589" i="17" s="1"/>
  <c r="B1590" i="17"/>
  <c r="C1590" i="17" s="1"/>
  <c r="B1591" i="17"/>
  <c r="B1592" i="17"/>
  <c r="C1592" i="17" s="1"/>
  <c r="B1593" i="17"/>
  <c r="C1593" i="17" s="1"/>
  <c r="B1594" i="17"/>
  <c r="C1594" i="17" s="1"/>
  <c r="B1595" i="17"/>
  <c r="C1595" i="17" s="1"/>
  <c r="B1596" i="17"/>
  <c r="C1596" i="17" s="1"/>
  <c r="B1597" i="17"/>
  <c r="C1597" i="17" s="1"/>
  <c r="B1598" i="17"/>
  <c r="C1598" i="17" s="1"/>
  <c r="B1599" i="17"/>
  <c r="C1599" i="17" s="1"/>
  <c r="B1600" i="17"/>
  <c r="C1600" i="17" s="1"/>
  <c r="B1601" i="17"/>
  <c r="C1601" i="17" s="1"/>
  <c r="B1602" i="17"/>
  <c r="C1602" i="17" s="1"/>
  <c r="B1603" i="17"/>
  <c r="C1603" i="17" s="1"/>
  <c r="B1604" i="17"/>
  <c r="C1604" i="17" s="1"/>
  <c r="B1605" i="17"/>
  <c r="C1605" i="17" s="1"/>
  <c r="B1606" i="17"/>
  <c r="C1606" i="17" s="1"/>
  <c r="B1607" i="17"/>
  <c r="B1608" i="17"/>
  <c r="B1609" i="17"/>
  <c r="C1609" i="17" s="1"/>
  <c r="B1610" i="17"/>
  <c r="C1610" i="17" s="1"/>
  <c r="B1611" i="17"/>
  <c r="C1611" i="17" s="1"/>
  <c r="B1612" i="17"/>
  <c r="B1613" i="17"/>
  <c r="C1613" i="17" s="1"/>
  <c r="B1614" i="17"/>
  <c r="C1614" i="17" s="1"/>
  <c r="B1615" i="17"/>
  <c r="C1615" i="17" s="1"/>
  <c r="B1616" i="17"/>
  <c r="C1616" i="17" s="1"/>
  <c r="B1617" i="17"/>
  <c r="C1617" i="17" s="1"/>
  <c r="B1618" i="17"/>
  <c r="C1618" i="17" s="1"/>
  <c r="B1619" i="17"/>
  <c r="C1619" i="17" s="1"/>
  <c r="B1620" i="17"/>
  <c r="C1620" i="17" s="1"/>
  <c r="B1621" i="17"/>
  <c r="C1621" i="17" s="1"/>
  <c r="B1622" i="17"/>
  <c r="C1622" i="17" s="1"/>
  <c r="B1623" i="17"/>
  <c r="C1623" i="17" s="1"/>
  <c r="B1624" i="17"/>
  <c r="B1625" i="17"/>
  <c r="C1625" i="17" s="1"/>
  <c r="B1626" i="17"/>
  <c r="C1626" i="17" s="1"/>
  <c r="B1627" i="17"/>
  <c r="C1627" i="17" s="1"/>
  <c r="B1628" i="17"/>
  <c r="C1628" i="17" s="1"/>
  <c r="B1629" i="17"/>
  <c r="C1629" i="17" s="1"/>
  <c r="B1630" i="17"/>
  <c r="C1630" i="17" s="1"/>
  <c r="B1631" i="17"/>
  <c r="B1632" i="17"/>
  <c r="B1633" i="17"/>
  <c r="C1633" i="17" s="1"/>
  <c r="B1634" i="17"/>
  <c r="C1634" i="17" s="1"/>
  <c r="B1635" i="17"/>
  <c r="C1635" i="17" s="1"/>
  <c r="B1636" i="17"/>
  <c r="C1636" i="17" s="1"/>
  <c r="B1637" i="17"/>
  <c r="C1637" i="17" s="1"/>
  <c r="B1638" i="17"/>
  <c r="C1638" i="17" s="1"/>
  <c r="B1639" i="17"/>
  <c r="B1640" i="17"/>
  <c r="C1640" i="17" s="1"/>
  <c r="B1641" i="17"/>
  <c r="C1641" i="17" s="1"/>
  <c r="B1642" i="17"/>
  <c r="C1642" i="17" s="1"/>
  <c r="B1643" i="17"/>
  <c r="C1643" i="17" s="1"/>
  <c r="B1644" i="17"/>
  <c r="C1644" i="17" s="1"/>
  <c r="B1645" i="17"/>
  <c r="C1645" i="17" s="1"/>
  <c r="B1646" i="17"/>
  <c r="C1646" i="17" s="1"/>
  <c r="B1647" i="17"/>
  <c r="C1647" i="17" s="1"/>
  <c r="B1648" i="17"/>
  <c r="C1648" i="17" s="1"/>
  <c r="B1649" i="17"/>
  <c r="C1649" i="17" s="1"/>
  <c r="B1650" i="17"/>
  <c r="C1650" i="17" s="1"/>
  <c r="B1651" i="17"/>
  <c r="C1651" i="17" s="1"/>
  <c r="B1652" i="17"/>
  <c r="C1652" i="17" s="1"/>
  <c r="B1653" i="17"/>
  <c r="C1653" i="17" s="1"/>
  <c r="B1654" i="17"/>
  <c r="C1654" i="17" s="1"/>
  <c r="B1655" i="17"/>
  <c r="B1656" i="17"/>
  <c r="C1656" i="17" s="1"/>
  <c r="B1657" i="17"/>
  <c r="C1657" i="17" s="1"/>
  <c r="B1658" i="17"/>
  <c r="C1658" i="17" s="1"/>
  <c r="B1659" i="17"/>
  <c r="C1659" i="17" s="1"/>
  <c r="B1660" i="17"/>
  <c r="C1660" i="17" s="1"/>
  <c r="B1661" i="17"/>
  <c r="C1661" i="17" s="1"/>
  <c r="B1662" i="17"/>
  <c r="C1662" i="17" s="1"/>
  <c r="B1663" i="17"/>
  <c r="C1663" i="17" s="1"/>
  <c r="B1664" i="17"/>
  <c r="C1664" i="17" s="1"/>
  <c r="B1665" i="17"/>
  <c r="C1665" i="17" s="1"/>
  <c r="B1666" i="17"/>
  <c r="C1666" i="17" s="1"/>
  <c r="B1667" i="17"/>
  <c r="C1667" i="17" s="1"/>
  <c r="B1668" i="17"/>
  <c r="C1668" i="17" s="1"/>
  <c r="B1669" i="17"/>
  <c r="C1669" i="17" s="1"/>
  <c r="B1670" i="17"/>
  <c r="C1670" i="17" s="1"/>
  <c r="B1671" i="17"/>
  <c r="C1671" i="17" s="1"/>
  <c r="B1672" i="17"/>
  <c r="C1672" i="17" s="1"/>
  <c r="B1673" i="17"/>
  <c r="C1673" i="17" s="1"/>
  <c r="B1674" i="17"/>
  <c r="C1674" i="17" s="1"/>
  <c r="B1675" i="17"/>
  <c r="C1675" i="17" s="1"/>
  <c r="B1676" i="17"/>
  <c r="C1676" i="17" s="1"/>
  <c r="B1677" i="17"/>
  <c r="C1677" i="17" s="1"/>
  <c r="B1678" i="17"/>
  <c r="C1678" i="17" s="1"/>
  <c r="B1679" i="17"/>
  <c r="B1680" i="17"/>
  <c r="C1680" i="17" s="1"/>
  <c r="B1681" i="17"/>
  <c r="C1681" i="17" s="1"/>
  <c r="B1682" i="17"/>
  <c r="C1682" i="17" s="1"/>
  <c r="B1683" i="17"/>
  <c r="C1683" i="17" s="1"/>
  <c r="B1684" i="17"/>
  <c r="C1684" i="17" s="1"/>
  <c r="B1685" i="17"/>
  <c r="C1685" i="17" s="1"/>
  <c r="B1686" i="17"/>
  <c r="C1686" i="17" s="1"/>
  <c r="B1687" i="17"/>
  <c r="B1688" i="17"/>
  <c r="B1689" i="17"/>
  <c r="C1689" i="17" s="1"/>
  <c r="B1690" i="17"/>
  <c r="C1690" i="17" s="1"/>
  <c r="B1691" i="17"/>
  <c r="C1691" i="17" s="1"/>
  <c r="B1692" i="17"/>
  <c r="C1692" i="17" s="1"/>
  <c r="B1693" i="17"/>
  <c r="C1693" i="17" s="1"/>
  <c r="B1694" i="17"/>
  <c r="C1694" i="17" s="1"/>
  <c r="B1695" i="17"/>
  <c r="C1695" i="17" s="1"/>
  <c r="B1696" i="17"/>
  <c r="C1696" i="17" s="1"/>
  <c r="B1697" i="17"/>
  <c r="C1697" i="17" s="1"/>
  <c r="B1698" i="17"/>
  <c r="C1698" i="17" s="1"/>
  <c r="B1699" i="17"/>
  <c r="C1699" i="17" s="1"/>
  <c r="B1700" i="17"/>
  <c r="C1700" i="17" s="1"/>
  <c r="B1701" i="17"/>
  <c r="C1701" i="17" s="1"/>
  <c r="B1702" i="17"/>
  <c r="C1702" i="17" s="1"/>
  <c r="B1703" i="17"/>
  <c r="C1703" i="17" s="1"/>
  <c r="B1704" i="17"/>
  <c r="B1705" i="17"/>
  <c r="C1705" i="17" s="1"/>
  <c r="B1706" i="17"/>
  <c r="C1706" i="17" s="1"/>
  <c r="B1707" i="17"/>
  <c r="C1707" i="17" s="1"/>
  <c r="B1708" i="17"/>
  <c r="C1708" i="17" s="1"/>
  <c r="B1709" i="17"/>
  <c r="C1709" i="17" s="1"/>
  <c r="B1710" i="17"/>
  <c r="C1710" i="17" s="1"/>
  <c r="B1711" i="17"/>
  <c r="C1711" i="17" s="1"/>
  <c r="B1712" i="17"/>
  <c r="C1712" i="17" s="1"/>
  <c r="B1713" i="17"/>
  <c r="C1713" i="17" s="1"/>
  <c r="B1714" i="17"/>
  <c r="C1714" i="17" s="1"/>
  <c r="B1715" i="17"/>
  <c r="C1715" i="17" s="1"/>
  <c r="B1716" i="17"/>
  <c r="C1716" i="17" s="1"/>
  <c r="B1717" i="17"/>
  <c r="C1717" i="17" s="1"/>
  <c r="B1718" i="17"/>
  <c r="C1718" i="17" s="1"/>
  <c r="B1719" i="17"/>
  <c r="C1719" i="17" s="1"/>
  <c r="B1720" i="17"/>
  <c r="C1720" i="17" s="1"/>
  <c r="B1721" i="17"/>
  <c r="C1721" i="17" s="1"/>
  <c r="B1722" i="17"/>
  <c r="C1722" i="17" s="1"/>
  <c r="B1723" i="17"/>
  <c r="C1723" i="17" s="1"/>
  <c r="B1724" i="17"/>
  <c r="C1724" i="17" s="1"/>
  <c r="B1725" i="17"/>
  <c r="C1725" i="17" s="1"/>
  <c r="B1726" i="17"/>
  <c r="C1726" i="17" s="1"/>
  <c r="B1727" i="17"/>
  <c r="C1727" i="17" s="1"/>
  <c r="B1728" i="17"/>
  <c r="C1728" i="17" s="1"/>
  <c r="B1729" i="17"/>
  <c r="C1729" i="17" s="1"/>
  <c r="B1730" i="17"/>
  <c r="C1730" i="17" s="1"/>
  <c r="B1731" i="17"/>
  <c r="C1731" i="17" s="1"/>
  <c r="B1732" i="17"/>
  <c r="C1732" i="17" s="1"/>
  <c r="B1733" i="17"/>
  <c r="C1733" i="17" s="1"/>
  <c r="B1734" i="17"/>
  <c r="C1734" i="17" s="1"/>
  <c r="B1735" i="17"/>
  <c r="B1736" i="17"/>
  <c r="C1736" i="17" s="1"/>
  <c r="B1737" i="17"/>
  <c r="C1737" i="17" s="1"/>
  <c r="B1738" i="17"/>
  <c r="C1738" i="17" s="1"/>
  <c r="B1739" i="17"/>
  <c r="C1739" i="17" s="1"/>
  <c r="B1740" i="17"/>
  <c r="C1740" i="17" s="1"/>
  <c r="B1741" i="17"/>
  <c r="C1741" i="17" s="1"/>
  <c r="B1742" i="17"/>
  <c r="C1742" i="17" s="1"/>
  <c r="B1743" i="17"/>
  <c r="C1743" i="17" s="1"/>
  <c r="B1744" i="17"/>
  <c r="C1744" i="17" s="1"/>
  <c r="B1745" i="17"/>
  <c r="C1745" i="17" s="1"/>
  <c r="B1746" i="17"/>
  <c r="C1746" i="17" s="1"/>
  <c r="B1747" i="17"/>
  <c r="C1747" i="17" s="1"/>
  <c r="B1748" i="17"/>
  <c r="C1748" i="17" s="1"/>
  <c r="B1749" i="17"/>
  <c r="C1749" i="17" s="1"/>
  <c r="B1750" i="17"/>
  <c r="C1750" i="17" s="1"/>
  <c r="B1751" i="17"/>
  <c r="C1751" i="17" s="1"/>
  <c r="B1752" i="17"/>
  <c r="B1753" i="17"/>
  <c r="C1753" i="17" s="1"/>
  <c r="B1754" i="17"/>
  <c r="C1754" i="17" s="1"/>
  <c r="B1755" i="17"/>
  <c r="C1755" i="17" s="1"/>
  <c r="B1756" i="17"/>
  <c r="C1756" i="17" s="1"/>
  <c r="B1757" i="17"/>
  <c r="C1757" i="17" s="1"/>
  <c r="B1758" i="17"/>
  <c r="C1758" i="17" s="1"/>
  <c r="B1759" i="17"/>
  <c r="C1759" i="17" s="1"/>
  <c r="B1760" i="17"/>
  <c r="C1760" i="17" s="1"/>
  <c r="B1761" i="17"/>
  <c r="C1761" i="17" s="1"/>
  <c r="B1762" i="17"/>
  <c r="C1762" i="17" s="1"/>
  <c r="B1763" i="17"/>
  <c r="C1763" i="17" s="1"/>
  <c r="B1764" i="17"/>
  <c r="C1764" i="17" s="1"/>
  <c r="B1765" i="17"/>
  <c r="C1765" i="17" s="1"/>
  <c r="B1766" i="17"/>
  <c r="C1766" i="17" s="1"/>
  <c r="B1767" i="17"/>
  <c r="C1767" i="17" s="1"/>
  <c r="B1768" i="17"/>
  <c r="C1768" i="17" s="1"/>
  <c r="B1769" i="17"/>
  <c r="C1769" i="17" s="1"/>
  <c r="B1770" i="17"/>
  <c r="C1770" i="17" s="1"/>
  <c r="B1771" i="17"/>
  <c r="C1771" i="17" s="1"/>
  <c r="B1772" i="17"/>
  <c r="C1772" i="17" s="1"/>
  <c r="B1773" i="17"/>
  <c r="C1773" i="17" s="1"/>
  <c r="B1774" i="17"/>
  <c r="C1774" i="17" s="1"/>
  <c r="B1775" i="17"/>
  <c r="C1775" i="17" s="1"/>
  <c r="B1776" i="17"/>
  <c r="C1776" i="17" s="1"/>
  <c r="B1777" i="17"/>
  <c r="C1777" i="17" s="1"/>
  <c r="B1778" i="17"/>
  <c r="C1778" i="17" s="1"/>
  <c r="B1779" i="17"/>
  <c r="C1779" i="17" s="1"/>
  <c r="B1780" i="17"/>
  <c r="C1780" i="17" s="1"/>
  <c r="B1781" i="17"/>
  <c r="C1781" i="17" s="1"/>
  <c r="B1782" i="17"/>
  <c r="C1782" i="17" s="1"/>
  <c r="B1783" i="17"/>
  <c r="C1783" i="17" s="1"/>
  <c r="B1784" i="17"/>
  <c r="C1784" i="17" s="1"/>
  <c r="B1785" i="17"/>
  <c r="C1785" i="17" s="1"/>
  <c r="B1786" i="17"/>
  <c r="C1786" i="17" s="1"/>
  <c r="B1787" i="17"/>
  <c r="C1787" i="17" s="1"/>
  <c r="B1788" i="17"/>
  <c r="C1788" i="17" s="1"/>
  <c r="B1789" i="17"/>
  <c r="C1789" i="17" s="1"/>
  <c r="B1790" i="17"/>
  <c r="C1790" i="17" s="1"/>
  <c r="B1791" i="17"/>
  <c r="B1792" i="17"/>
  <c r="C1792" i="17" s="1"/>
  <c r="B1793" i="17"/>
  <c r="C1793" i="17" s="1"/>
  <c r="B1794" i="17"/>
  <c r="C1794" i="17" s="1"/>
  <c r="B1795" i="17"/>
  <c r="C1795" i="17" s="1"/>
  <c r="B1796" i="17"/>
  <c r="C1796" i="17" s="1"/>
  <c r="B1797" i="17"/>
  <c r="C1797" i="17" s="1"/>
  <c r="B1798" i="17"/>
  <c r="C1798" i="17" s="1"/>
  <c r="B1799" i="17"/>
  <c r="C1799" i="17" s="1"/>
  <c r="B1800" i="17"/>
  <c r="C1800" i="17" s="1"/>
  <c r="B1801" i="17"/>
  <c r="C1801" i="17" s="1"/>
  <c r="B1802" i="17"/>
  <c r="C1802" i="17" s="1"/>
  <c r="B1803" i="17"/>
  <c r="C1803" i="17" s="1"/>
  <c r="B1804" i="17"/>
  <c r="C1804" i="17" s="1"/>
  <c r="B1805" i="17"/>
  <c r="C1805" i="17" s="1"/>
  <c r="B1806" i="17"/>
  <c r="C1806" i="17" s="1"/>
  <c r="B1807" i="17"/>
  <c r="C1807" i="17" s="1"/>
  <c r="B1808" i="17"/>
  <c r="C1808" i="17" s="1"/>
  <c r="B1809" i="17"/>
  <c r="C1809" i="17" s="1"/>
  <c r="B1810" i="17"/>
  <c r="C1810" i="17" s="1"/>
  <c r="B1811" i="17"/>
  <c r="C1811" i="17" s="1"/>
  <c r="B1812" i="17"/>
  <c r="C1812" i="17" s="1"/>
  <c r="B1813" i="17"/>
  <c r="C1813" i="17" s="1"/>
  <c r="B1814" i="17"/>
  <c r="C1814" i="17" s="1"/>
  <c r="B1815" i="17"/>
  <c r="C1815" i="17" s="1"/>
  <c r="B1816" i="17"/>
  <c r="C1816" i="17" s="1"/>
  <c r="B1817" i="17"/>
  <c r="C1817" i="17" s="1"/>
  <c r="B1818" i="17"/>
  <c r="C1818" i="17" s="1"/>
  <c r="B1819" i="17"/>
  <c r="C1819" i="17" s="1"/>
  <c r="B1820" i="17"/>
  <c r="C1820" i="17" s="1"/>
  <c r="B1821" i="17"/>
  <c r="C1821" i="17" s="1"/>
  <c r="B1822" i="17"/>
  <c r="C1822" i="17" s="1"/>
  <c r="B1823" i="17"/>
  <c r="B1824" i="17"/>
  <c r="C1824" i="17" s="1"/>
  <c r="B1825" i="17"/>
  <c r="C1825" i="17" s="1"/>
  <c r="B1826" i="17"/>
  <c r="C1826" i="17" s="1"/>
  <c r="B1827" i="17"/>
  <c r="C1827" i="17" s="1"/>
  <c r="B1828" i="17"/>
  <c r="C1828" i="17" s="1"/>
  <c r="B1829" i="17"/>
  <c r="C1829" i="17" s="1"/>
  <c r="B1830" i="17"/>
  <c r="C1830" i="17" s="1"/>
  <c r="B1831" i="17"/>
  <c r="C1831" i="17" s="1"/>
  <c r="B1832" i="17"/>
  <c r="C1832" i="17" s="1"/>
  <c r="B1833" i="17"/>
  <c r="C1833" i="17" s="1"/>
  <c r="B1834" i="17"/>
  <c r="C1834" i="17" s="1"/>
  <c r="B1835" i="17"/>
  <c r="C1835" i="17" s="1"/>
  <c r="B1836" i="17"/>
  <c r="C1836" i="17" s="1"/>
  <c r="B1837" i="17"/>
  <c r="C1837" i="17" s="1"/>
  <c r="B1838" i="17"/>
  <c r="C1838" i="17" s="1"/>
  <c r="B1839" i="17"/>
  <c r="C1839" i="17" s="1"/>
  <c r="B1840" i="17"/>
  <c r="C1840" i="17" s="1"/>
  <c r="B1841" i="17"/>
  <c r="C1841" i="17" s="1"/>
  <c r="B1842" i="17"/>
  <c r="C1842" i="17" s="1"/>
  <c r="B1843" i="17"/>
  <c r="C1843" i="17" s="1"/>
  <c r="B1844" i="17"/>
  <c r="C1844" i="17" s="1"/>
  <c r="B1845" i="17"/>
  <c r="C1845" i="17" s="1"/>
  <c r="B1846" i="17"/>
  <c r="C1846" i="17" s="1"/>
  <c r="B1847" i="17"/>
  <c r="B1848" i="17"/>
  <c r="C1848" i="17" s="1"/>
  <c r="B1849" i="17"/>
  <c r="C1849" i="17" s="1"/>
  <c r="B1850" i="17"/>
  <c r="C1850" i="17" s="1"/>
  <c r="B1851" i="17"/>
  <c r="C1851" i="17" s="1"/>
  <c r="B1852" i="17"/>
  <c r="C1852" i="17" s="1"/>
  <c r="B1853" i="17"/>
  <c r="C1853" i="17" s="1"/>
  <c r="B1854" i="17"/>
  <c r="C1854" i="17" s="1"/>
  <c r="B1855" i="17"/>
  <c r="C1855" i="17" s="1"/>
  <c r="B1856" i="17"/>
  <c r="C1856" i="17" s="1"/>
  <c r="B1857" i="17"/>
  <c r="C1857" i="17" s="1"/>
  <c r="B1858" i="17"/>
  <c r="C1858" i="17" s="1"/>
  <c r="B1859" i="17"/>
  <c r="C1859" i="17" s="1"/>
  <c r="B1860" i="17"/>
  <c r="C1860" i="17" s="1"/>
  <c r="B1861" i="17"/>
  <c r="C1861" i="17" s="1"/>
  <c r="B1862" i="17"/>
  <c r="C1862" i="17" s="1"/>
  <c r="B1863" i="17"/>
  <c r="C1863" i="17" s="1"/>
  <c r="B1864" i="17"/>
  <c r="C1864" i="17" s="1"/>
  <c r="B1865" i="17"/>
  <c r="C1865" i="17" s="1"/>
  <c r="B1866" i="17"/>
  <c r="C1866" i="17" s="1"/>
  <c r="B1867" i="17"/>
  <c r="C1867" i="17" s="1"/>
  <c r="B1868" i="17"/>
  <c r="C1868" i="17" s="1"/>
  <c r="B1869" i="17"/>
  <c r="C1869" i="17" s="1"/>
  <c r="B1870" i="17"/>
  <c r="C1870" i="17" s="1"/>
  <c r="B1871" i="17"/>
  <c r="C1871" i="17" s="1"/>
  <c r="B1872" i="17"/>
  <c r="C1872" i="17" s="1"/>
  <c r="B1873" i="17"/>
  <c r="C1873" i="17" s="1"/>
  <c r="B1874" i="17"/>
  <c r="C1874" i="17" s="1"/>
  <c r="B1875" i="17"/>
  <c r="C1875" i="17" s="1"/>
  <c r="B1876" i="17"/>
  <c r="C1876" i="17" s="1"/>
  <c r="B1877" i="17"/>
  <c r="C1877" i="17" s="1"/>
  <c r="B1878" i="17"/>
  <c r="C1878" i="17" s="1"/>
  <c r="B1879" i="17"/>
  <c r="B1880" i="17"/>
  <c r="C1880" i="17" s="1"/>
  <c r="B1881" i="17"/>
  <c r="C1881" i="17" s="1"/>
  <c r="B1882" i="17"/>
  <c r="C1882" i="17" s="1"/>
  <c r="B1883" i="17"/>
  <c r="C1883" i="17" s="1"/>
  <c r="B1884" i="17"/>
  <c r="C1884" i="17" s="1"/>
  <c r="B1885" i="17"/>
  <c r="C1885" i="17" s="1"/>
  <c r="B1886" i="17"/>
  <c r="C1886" i="17" s="1"/>
  <c r="B1887" i="17"/>
  <c r="C1887" i="17" s="1"/>
  <c r="B1888" i="17"/>
  <c r="C1888" i="17" s="1"/>
  <c r="B1889" i="17"/>
  <c r="C1889" i="17" s="1"/>
  <c r="B1890" i="17"/>
  <c r="C1890" i="17" s="1"/>
  <c r="B1891" i="17"/>
  <c r="C1891" i="17" s="1"/>
  <c r="B1892" i="17"/>
  <c r="C1892" i="17" s="1"/>
  <c r="B1893" i="17"/>
  <c r="C1893" i="17" s="1"/>
  <c r="B1894" i="17"/>
  <c r="C1894" i="17" s="1"/>
  <c r="B1895" i="17"/>
  <c r="C1895" i="17" s="1"/>
  <c r="B1896" i="17"/>
  <c r="C1896" i="17" s="1"/>
  <c r="B1897" i="17"/>
  <c r="C1897" i="17" s="1"/>
  <c r="B1898" i="17"/>
  <c r="C1898" i="17" s="1"/>
  <c r="B1899" i="17"/>
  <c r="C1899" i="17" s="1"/>
  <c r="B1900" i="17"/>
  <c r="C1900" i="17" s="1"/>
  <c r="B1901" i="17"/>
  <c r="C1901" i="17" s="1"/>
  <c r="B1902" i="17"/>
  <c r="C1902" i="17" s="1"/>
  <c r="B1903" i="17"/>
  <c r="C1903" i="17" s="1"/>
  <c r="B1904" i="17"/>
  <c r="C1904" i="17" s="1"/>
  <c r="B1905" i="17"/>
  <c r="C1905" i="17" s="1"/>
  <c r="B1906" i="17"/>
  <c r="C1906" i="17" s="1"/>
  <c r="B1907" i="17"/>
  <c r="C1907" i="17" s="1"/>
  <c r="B1908" i="17"/>
  <c r="C1908" i="17" s="1"/>
  <c r="B1909" i="17"/>
  <c r="C1909" i="17" s="1"/>
  <c r="B1910" i="17"/>
  <c r="C1910" i="17" s="1"/>
  <c r="B1911" i="17"/>
  <c r="C1911" i="17" s="1"/>
  <c r="B1912" i="17"/>
  <c r="C1912" i="17" s="1"/>
  <c r="B1913" i="17"/>
  <c r="C1913" i="17" s="1"/>
  <c r="B1914" i="17"/>
  <c r="C1914" i="17" s="1"/>
  <c r="B1915" i="17"/>
  <c r="C1915" i="17" s="1"/>
  <c r="B1916" i="17"/>
  <c r="C1916" i="17" s="1"/>
  <c r="B1917" i="17"/>
  <c r="C1917" i="17" s="1"/>
  <c r="B1918" i="17"/>
  <c r="C1918" i="17" s="1"/>
  <c r="B1919" i="17"/>
  <c r="C1919" i="17" s="1"/>
  <c r="B1920" i="17"/>
  <c r="C1920" i="17" s="1"/>
  <c r="B1921" i="17"/>
  <c r="C1921" i="17" s="1"/>
  <c r="B1922" i="17"/>
  <c r="C1922" i="17" s="1"/>
  <c r="B1923" i="17"/>
  <c r="C1923" i="17" s="1"/>
  <c r="B1924" i="17"/>
  <c r="C1924" i="17" s="1"/>
  <c r="B1925" i="17"/>
  <c r="C1925" i="17" s="1"/>
  <c r="B1926" i="17"/>
  <c r="C1926" i="17" s="1"/>
  <c r="B1927" i="17"/>
  <c r="C1927" i="17" s="1"/>
  <c r="B1928" i="17"/>
  <c r="C1928" i="17" s="1"/>
  <c r="B1929" i="17"/>
  <c r="C1929" i="17" s="1"/>
  <c r="B1930" i="17"/>
  <c r="C1930" i="17" s="1"/>
  <c r="B1931" i="17"/>
  <c r="C1931" i="17" s="1"/>
  <c r="B1932" i="17"/>
  <c r="C1932" i="17" s="1"/>
  <c r="B1933" i="17"/>
  <c r="C1933" i="17" s="1"/>
  <c r="B1934" i="17"/>
  <c r="C1934" i="17" s="1"/>
  <c r="B1935" i="17"/>
  <c r="C1935" i="17" s="1"/>
  <c r="B1936" i="17"/>
  <c r="C1936" i="17" s="1"/>
  <c r="B1937" i="17"/>
  <c r="C1937" i="17" s="1"/>
  <c r="B1938" i="17"/>
  <c r="C1938" i="17" s="1"/>
  <c r="B1939" i="17"/>
  <c r="C1939" i="17" s="1"/>
  <c r="B1940" i="17"/>
  <c r="C1940" i="17" s="1"/>
  <c r="B1941" i="17"/>
  <c r="C1941" i="17" s="1"/>
  <c r="B1942" i="17"/>
  <c r="C1942" i="17" s="1"/>
  <c r="B1943" i="17"/>
  <c r="C1943" i="17" s="1"/>
  <c r="B1944" i="17"/>
  <c r="C1944" i="17" s="1"/>
  <c r="B1945" i="17"/>
  <c r="C1945" i="17" s="1"/>
  <c r="B1946" i="17"/>
  <c r="C1946" i="17" s="1"/>
  <c r="B1947" i="17"/>
  <c r="C1947" i="17" s="1"/>
  <c r="B1948" i="17"/>
  <c r="C1948" i="17" s="1"/>
  <c r="B1949" i="17"/>
  <c r="C1949" i="17" s="1"/>
  <c r="B1950" i="17"/>
  <c r="C1950" i="17" s="1"/>
  <c r="B1951" i="17"/>
  <c r="C1951" i="17" s="1"/>
  <c r="B1952" i="17"/>
  <c r="C1952" i="17" s="1"/>
  <c r="B1953" i="17"/>
  <c r="C1953" i="17" s="1"/>
  <c r="B1954" i="17"/>
  <c r="C1954" i="17" s="1"/>
  <c r="B1955" i="17"/>
  <c r="C1955" i="17" s="1"/>
  <c r="B1956" i="17"/>
  <c r="C1956" i="17" s="1"/>
  <c r="B1957" i="17"/>
  <c r="C1957" i="17" s="1"/>
  <c r="B1958" i="17"/>
  <c r="C1958" i="17" s="1"/>
  <c r="B1959" i="17"/>
  <c r="C1959" i="17" s="1"/>
  <c r="B1960" i="17"/>
  <c r="C1960" i="17" s="1"/>
  <c r="B1961" i="17"/>
  <c r="C1961" i="17" s="1"/>
  <c r="B1962" i="17"/>
  <c r="C1962" i="17" s="1"/>
  <c r="B1963" i="17"/>
  <c r="C1963" i="17" s="1"/>
  <c r="B1964" i="17"/>
  <c r="C1964" i="17" s="1"/>
  <c r="B1965" i="17"/>
  <c r="C1965" i="17" s="1"/>
  <c r="B1966" i="17"/>
  <c r="C1966" i="17" s="1"/>
  <c r="B1967" i="17"/>
  <c r="C1967" i="17" s="1"/>
  <c r="B1968" i="17"/>
  <c r="C1968" i="17" s="1"/>
  <c r="B1969" i="17"/>
  <c r="C1969" i="17" s="1"/>
  <c r="B1970" i="17"/>
  <c r="C1970" i="17" s="1"/>
  <c r="B1971" i="17"/>
  <c r="C1971" i="17" s="1"/>
  <c r="B1972" i="17"/>
  <c r="C1972" i="17" s="1"/>
  <c r="B1973" i="17"/>
  <c r="C1973" i="17" s="1"/>
  <c r="B1974" i="17"/>
  <c r="C1974" i="17" s="1"/>
  <c r="B1975" i="17"/>
  <c r="B1976" i="17"/>
  <c r="C1976" i="17" s="1"/>
  <c r="B1977" i="17"/>
  <c r="C1977" i="17" s="1"/>
  <c r="B1978" i="17"/>
  <c r="C1978" i="17" s="1"/>
  <c r="B1979" i="17"/>
  <c r="C1979" i="17" s="1"/>
  <c r="B1980" i="17"/>
  <c r="C1980" i="17" s="1"/>
  <c r="B1981" i="17"/>
  <c r="C1981" i="17" s="1"/>
  <c r="B1982" i="17"/>
  <c r="C1982" i="17" s="1"/>
  <c r="B1983" i="17"/>
  <c r="C1983" i="17" s="1"/>
  <c r="B1984" i="17"/>
  <c r="C1984" i="17" s="1"/>
  <c r="B1985" i="17"/>
  <c r="C1985" i="17" s="1"/>
  <c r="B1986" i="17"/>
  <c r="C1986" i="17" s="1"/>
  <c r="B1987" i="17"/>
  <c r="C1987" i="17" s="1"/>
  <c r="B1988" i="17"/>
  <c r="C1988" i="17" s="1"/>
  <c r="B1989" i="17"/>
  <c r="C1989" i="17" s="1"/>
  <c r="B1990" i="17"/>
  <c r="C1990" i="17" s="1"/>
  <c r="B1991" i="17"/>
  <c r="C1991" i="17" s="1"/>
  <c r="B1992" i="17"/>
  <c r="C1992" i="17" s="1"/>
  <c r="B1993" i="17"/>
  <c r="C1993" i="17" s="1"/>
  <c r="B1994" i="17"/>
  <c r="C1994" i="17" s="1"/>
  <c r="B1995" i="17"/>
  <c r="C1995" i="17" s="1"/>
  <c r="B1996" i="17"/>
  <c r="C1996" i="17" s="1"/>
  <c r="B1997" i="17"/>
  <c r="C1997" i="17" s="1"/>
  <c r="B1998" i="17"/>
  <c r="C1998" i="17" s="1"/>
  <c r="B1999" i="17"/>
  <c r="C1999" i="17" s="1"/>
  <c r="B2000" i="17"/>
  <c r="C2000" i="17" s="1"/>
  <c r="B3" i="17"/>
  <c r="C3" i="17" s="1"/>
  <c r="C1975" i="17"/>
  <c r="C1879" i="17"/>
  <c r="C1847" i="17"/>
  <c r="C1823" i="17"/>
  <c r="C1791" i="17"/>
  <c r="C1752" i="17"/>
  <c r="C1735" i="17"/>
  <c r="C1704" i="17"/>
  <c r="C1688" i="17"/>
  <c r="C1687" i="17"/>
  <c r="C1679" i="17"/>
  <c r="C1655" i="17"/>
  <c r="C1639" i="17"/>
  <c r="C1632" i="17"/>
  <c r="C1631" i="17"/>
  <c r="C1624" i="17"/>
  <c r="C1612" i="17"/>
  <c r="C1608" i="17"/>
  <c r="C1607" i="17"/>
  <c r="C1591" i="17"/>
  <c r="C1584" i="17"/>
  <c r="C1583" i="17"/>
  <c r="C1576" i="17"/>
  <c r="C1575" i="17"/>
  <c r="C1568" i="17"/>
  <c r="C1567" i="17"/>
  <c r="C1560" i="17"/>
  <c r="C1559" i="17"/>
  <c r="C1552" i="17"/>
  <c r="C1544" i="17"/>
  <c r="C1543" i="17"/>
  <c r="C1536" i="17"/>
  <c r="C1528" i="17"/>
  <c r="C1520" i="17"/>
  <c r="C1512" i="17"/>
  <c r="C1511" i="17"/>
  <c r="C1504" i="17"/>
  <c r="C1496" i="17"/>
  <c r="C1495" i="17"/>
  <c r="C1488" i="17"/>
  <c r="C1487" i="17"/>
  <c r="C1480" i="17"/>
  <c r="C1472" i="17"/>
  <c r="C1471" i="17"/>
  <c r="C1464" i="17"/>
  <c r="C1463" i="17"/>
  <c r="C1456" i="17"/>
  <c r="C1448" i="17"/>
  <c r="C1447" i="17"/>
  <c r="C1440" i="17"/>
  <c r="C1439" i="17"/>
  <c r="C1432" i="17"/>
  <c r="C1424" i="17"/>
  <c r="C1423" i="17"/>
  <c r="C1416" i="17"/>
  <c r="C1415" i="17"/>
  <c r="C1408" i="17"/>
  <c r="C1400" i="17"/>
  <c r="C1399" i="17"/>
  <c r="C1392" i="17"/>
  <c r="C1391" i="17"/>
  <c r="C1384" i="17"/>
  <c r="C1376" i="17"/>
  <c r="C1375" i="17"/>
  <c r="C1368" i="17"/>
  <c r="C1367" i="17"/>
  <c r="C1360" i="17"/>
  <c r="C1352" i="17"/>
  <c r="C1351" i="17"/>
  <c r="C1344" i="17"/>
  <c r="C1343" i="17"/>
  <c r="C1336" i="17"/>
  <c r="C1328" i="17"/>
  <c r="C1327" i="17"/>
  <c r="C1320" i="17"/>
  <c r="C1319" i="17"/>
  <c r="C1312" i="17"/>
  <c r="C1304" i="17"/>
  <c r="C1303" i="17"/>
  <c r="C1296" i="17"/>
  <c r="C1295" i="17"/>
  <c r="C1288" i="17"/>
  <c r="C1280" i="17"/>
  <c r="C1279" i="17"/>
  <c r="C1272" i="17"/>
  <c r="C1271" i="17"/>
  <c r="C1264" i="17"/>
  <c r="C1256" i="17"/>
  <c r="C1255" i="17"/>
  <c r="C1248" i="17"/>
  <c r="C1247" i="17"/>
  <c r="C1240" i="17"/>
  <c r="C1232" i="17"/>
  <c r="C1231" i="17"/>
  <c r="C1224" i="17"/>
  <c r="C1223" i="17"/>
  <c r="C1216" i="17"/>
  <c r="C1208" i="17"/>
  <c r="C1207" i="17"/>
  <c r="C1200" i="17"/>
  <c r="C1199" i="17"/>
  <c r="C1192" i="17"/>
  <c r="C1184" i="17"/>
  <c r="C1183" i="17"/>
  <c r="C1176" i="17"/>
  <c r="C1175" i="17"/>
  <c r="C1168" i="17"/>
  <c r="C1160" i="17"/>
  <c r="C1159" i="17"/>
  <c r="C1152" i="17"/>
  <c r="C1151" i="17"/>
  <c r="C1144" i="17"/>
  <c r="C1136" i="17"/>
  <c r="C1135" i="17"/>
  <c r="C1128" i="17"/>
  <c r="C1127" i="17"/>
  <c r="C1120" i="17"/>
  <c r="C1112" i="17"/>
  <c r="C1111" i="17"/>
  <c r="C1108" i="17"/>
  <c r="C1104" i="17"/>
  <c r="C1103" i="17"/>
  <c r="C1096" i="17"/>
  <c r="C1088" i="17"/>
  <c r="C1087" i="17"/>
  <c r="C1080" i="17"/>
  <c r="C1079" i="17"/>
  <c r="C1072" i="17"/>
  <c r="C1064" i="17"/>
  <c r="C1063" i="17"/>
  <c r="C1056" i="17"/>
  <c r="C1055" i="17"/>
  <c r="C1048" i="17"/>
  <c r="C1040" i="17"/>
  <c r="C1039" i="17"/>
  <c r="C1032" i="17"/>
  <c r="C1031" i="17"/>
  <c r="C1024" i="17"/>
  <c r="C1016" i="17"/>
  <c r="C1015" i="17"/>
  <c r="C1008" i="17"/>
  <c r="C1007" i="17"/>
  <c r="C1000" i="17"/>
  <c r="C992" i="17"/>
  <c r="C991" i="17"/>
  <c r="C985" i="17"/>
  <c r="C984" i="17"/>
  <c r="C983" i="17"/>
  <c r="C976" i="17"/>
  <c r="C968" i="17"/>
  <c r="C967" i="17"/>
  <c r="C960" i="17"/>
  <c r="C959" i="17"/>
  <c r="C952" i="17"/>
  <c r="C944" i="17"/>
  <c r="C943" i="17"/>
  <c r="C936" i="17"/>
  <c r="C935" i="17"/>
  <c r="C928" i="17"/>
  <c r="C920" i="17"/>
  <c r="C919" i="17"/>
  <c r="C912" i="17"/>
  <c r="C911" i="17"/>
  <c r="C904" i="17"/>
  <c r="C896" i="17"/>
  <c r="C895" i="17"/>
  <c r="C889" i="17"/>
  <c r="C888" i="17"/>
  <c r="C887" i="17"/>
  <c r="C880" i="17"/>
  <c r="C872" i="17"/>
  <c r="C871" i="17"/>
  <c r="C864" i="17"/>
  <c r="C863" i="17"/>
  <c r="C856" i="17"/>
  <c r="C848" i="17"/>
  <c r="C847" i="17"/>
  <c r="C840" i="17"/>
  <c r="C839" i="17"/>
  <c r="C832" i="17"/>
  <c r="C824" i="17"/>
  <c r="C823" i="17"/>
  <c r="C820" i="17"/>
  <c r="C816" i="17"/>
  <c r="C815" i="17"/>
  <c r="C809" i="17"/>
  <c r="C808" i="17"/>
  <c r="C807" i="17"/>
  <c r="C804" i="17"/>
  <c r="C800" i="17"/>
  <c r="C799" i="17"/>
  <c r="C792" i="17"/>
  <c r="C791" i="17"/>
  <c r="C788" i="17"/>
  <c r="C784" i="17"/>
  <c r="C776" i="17"/>
  <c r="C775" i="17"/>
  <c r="C768" i="17"/>
  <c r="C767" i="17"/>
  <c r="C760" i="17"/>
  <c r="C756" i="17"/>
  <c r="C752" i="17"/>
  <c r="C751" i="17"/>
  <c r="C744" i="17"/>
  <c r="C743" i="17"/>
  <c r="C740" i="17"/>
  <c r="C736" i="17"/>
  <c r="C728" i="17"/>
  <c r="C727" i="17"/>
  <c r="C724" i="17"/>
  <c r="C720" i="17"/>
  <c r="C719" i="17"/>
  <c r="C712" i="17"/>
  <c r="C708" i="17"/>
  <c r="C704" i="17"/>
  <c r="C703" i="17"/>
  <c r="C696" i="17"/>
  <c r="C695" i="17"/>
  <c r="C692" i="17"/>
  <c r="C688" i="17"/>
  <c r="C680" i="17"/>
  <c r="C679" i="17"/>
  <c r="C676" i="17"/>
  <c r="C672" i="17"/>
  <c r="C671" i="17"/>
  <c r="C664" i="17"/>
  <c r="C660" i="17"/>
  <c r="C656" i="17"/>
  <c r="C655" i="17"/>
  <c r="C648" i="17"/>
  <c r="C647" i="17"/>
  <c r="C644" i="17"/>
  <c r="C640" i="17"/>
  <c r="C632" i="17"/>
  <c r="C631" i="17"/>
  <c r="C628" i="17"/>
  <c r="C624" i="17"/>
  <c r="C623" i="17"/>
  <c r="C616" i="17"/>
  <c r="C608" i="17"/>
  <c r="C607" i="17"/>
  <c r="C600" i="17"/>
  <c r="C599" i="17"/>
  <c r="C593" i="17"/>
  <c r="C592" i="17"/>
  <c r="C591" i="17"/>
  <c r="C584" i="17"/>
  <c r="C583" i="17"/>
  <c r="C576" i="17"/>
  <c r="C575" i="17"/>
  <c r="C568" i="17"/>
  <c r="C560" i="17"/>
  <c r="C559" i="17"/>
  <c r="C552" i="17"/>
  <c r="C551" i="17"/>
  <c r="C544" i="17"/>
  <c r="C536" i="17"/>
  <c r="C535" i="17"/>
  <c r="C528" i="17"/>
  <c r="C527" i="17"/>
  <c r="C520" i="17"/>
  <c r="C512" i="17"/>
  <c r="C511" i="17"/>
  <c r="C504" i="17"/>
  <c r="C503" i="17"/>
  <c r="C496" i="17"/>
  <c r="C488" i="17"/>
  <c r="C487" i="17"/>
  <c r="C480" i="17"/>
  <c r="C479" i="17"/>
  <c r="C472" i="17"/>
  <c r="C464" i="17"/>
  <c r="C463" i="17"/>
  <c r="C457" i="17"/>
  <c r="C456" i="17"/>
  <c r="C455" i="17"/>
  <c r="C448" i="17"/>
  <c r="C440" i="17"/>
  <c r="C439" i="17"/>
  <c r="C432" i="17"/>
  <c r="C431" i="17"/>
  <c r="C424" i="17"/>
  <c r="C416" i="17"/>
  <c r="C415" i="17"/>
  <c r="C408" i="17"/>
  <c r="C407" i="17"/>
  <c r="C400" i="17"/>
  <c r="C392" i="17"/>
  <c r="C391" i="17"/>
  <c r="C384" i="17"/>
  <c r="C383" i="17"/>
  <c r="C376" i="17"/>
  <c r="C368" i="17"/>
  <c r="C367" i="17"/>
  <c r="C360" i="17"/>
  <c r="C359" i="17"/>
  <c r="C352" i="17"/>
  <c r="C344" i="17"/>
  <c r="C343" i="17"/>
  <c r="C336" i="17"/>
  <c r="C335" i="17"/>
  <c r="C328" i="17"/>
  <c r="C320" i="17"/>
  <c r="C319" i="17"/>
  <c r="C316" i="17"/>
  <c r="C312" i="17"/>
  <c r="C311" i="17"/>
  <c r="C305" i="17"/>
  <c r="C304" i="17"/>
  <c r="C303" i="17"/>
  <c r="C300" i="17"/>
  <c r="C296" i="17"/>
  <c r="C295" i="17"/>
  <c r="C289" i="17"/>
  <c r="C288" i="17"/>
  <c r="C287" i="17"/>
  <c r="C281" i="17"/>
  <c r="C280" i="17"/>
  <c r="C272" i="17"/>
  <c r="C271" i="17"/>
  <c r="C264" i="17"/>
  <c r="C263" i="17"/>
  <c r="C256" i="17"/>
  <c r="C248" i="17"/>
  <c r="C247" i="17"/>
  <c r="C242" i="17"/>
  <c r="C241" i="17"/>
  <c r="C240" i="17"/>
  <c r="C239" i="17"/>
  <c r="C234" i="17"/>
  <c r="C232" i="17"/>
  <c r="C231" i="17"/>
  <c r="C224" i="17"/>
  <c r="C223" i="17"/>
  <c r="C216" i="17"/>
  <c r="C215" i="17"/>
  <c r="C209" i="17"/>
  <c r="C208" i="17"/>
  <c r="C200" i="17"/>
  <c r="C199" i="17"/>
  <c r="C196" i="17"/>
  <c r="C193" i="17"/>
  <c r="C192" i="17"/>
  <c r="C191" i="17"/>
  <c r="C185" i="17"/>
  <c r="C184" i="17"/>
  <c r="C180" i="17"/>
  <c r="C176" i="17"/>
  <c r="C175" i="17"/>
  <c r="C169" i="17"/>
  <c r="C168" i="17"/>
  <c r="C167" i="17"/>
  <c r="C160" i="17"/>
  <c r="C159" i="17"/>
  <c r="C152" i="17"/>
  <c r="C151" i="17"/>
  <c r="C144" i="17"/>
  <c r="C143" i="17"/>
  <c r="C136" i="17"/>
  <c r="C135" i="17"/>
  <c r="C128" i="17"/>
  <c r="C127" i="17"/>
  <c r="C120" i="17"/>
  <c r="C119" i="17"/>
  <c r="C112" i="17"/>
  <c r="C111" i="17"/>
  <c r="C104" i="17"/>
  <c r="C103" i="17"/>
  <c r="C97" i="17"/>
  <c r="C96" i="17"/>
  <c r="C95" i="17"/>
  <c r="C89" i="17"/>
  <c r="C88" i="17"/>
  <c r="C80" i="17"/>
  <c r="C79" i="17"/>
  <c r="C72" i="17"/>
  <c r="C71" i="17"/>
  <c r="C64" i="17"/>
  <c r="C60" i="17"/>
  <c r="C56" i="17"/>
  <c r="C55" i="17"/>
  <c r="C48" i="17"/>
  <c r="C47" i="17"/>
  <c r="C44" i="17"/>
  <c r="C42" i="17"/>
  <c r="C40" i="17"/>
  <c r="C32" i="17"/>
  <c r="C31" i="17"/>
  <c r="C24" i="17"/>
  <c r="C23" i="17"/>
  <c r="C16" i="17"/>
  <c r="C8" i="17"/>
  <c r="C7" i="17"/>
  <c r="D2" i="17"/>
  <c r="B3" i="16"/>
  <c r="C3" i="16" s="1"/>
  <c r="C1997" i="16"/>
  <c r="C1996" i="16"/>
  <c r="C1989" i="16"/>
  <c r="C1981" i="16"/>
  <c r="C1980" i="16"/>
  <c r="C1973" i="16"/>
  <c r="C1972" i="16"/>
  <c r="C1969" i="16"/>
  <c r="C1968" i="16"/>
  <c r="C1965" i="16"/>
  <c r="C1957" i="16"/>
  <c r="C1956" i="16"/>
  <c r="C1952" i="16"/>
  <c r="C1949" i="16"/>
  <c r="C1948" i="16"/>
  <c r="C1941" i="16"/>
  <c r="C1933" i="16"/>
  <c r="C1932" i="16"/>
  <c r="C1925" i="16"/>
  <c r="C1924" i="16"/>
  <c r="C1917" i="16"/>
  <c r="C1913" i="16"/>
  <c r="C1909" i="16"/>
  <c r="C1908" i="16"/>
  <c r="C1901" i="16"/>
  <c r="C1900" i="16"/>
  <c r="C1893" i="16"/>
  <c r="C1892" i="16"/>
  <c r="C1888" i="16"/>
  <c r="C1885" i="16"/>
  <c r="C1884" i="16"/>
  <c r="C1877" i="16"/>
  <c r="C1876" i="16"/>
  <c r="C1869" i="16"/>
  <c r="C1861" i="16"/>
  <c r="C1860" i="16"/>
  <c r="C1854" i="16"/>
  <c r="C1853" i="16"/>
  <c r="C1852" i="16"/>
  <c r="C1845" i="16"/>
  <c r="C1841" i="16"/>
  <c r="C1840" i="16"/>
  <c r="C1837" i="16"/>
  <c r="C1836" i="16"/>
  <c r="C1829" i="16"/>
  <c r="C1828" i="16"/>
  <c r="C1824" i="16"/>
  <c r="C1822" i="16"/>
  <c r="C1821" i="16"/>
  <c r="C1813" i="16"/>
  <c r="C1812" i="16"/>
  <c r="C1805" i="16"/>
  <c r="C1804" i="16"/>
  <c r="C1801" i="16"/>
  <c r="C1797" i="16"/>
  <c r="C1792" i="16"/>
  <c r="C1789" i="16"/>
  <c r="C1788" i="16"/>
  <c r="C1781" i="16"/>
  <c r="C1780" i="16"/>
  <c r="C1773" i="16"/>
  <c r="C1765" i="16"/>
  <c r="C1764" i="16"/>
  <c r="C1758" i="16"/>
  <c r="C1757" i="16"/>
  <c r="C1756" i="16"/>
  <c r="C1751" i="16"/>
  <c r="C1749" i="16"/>
  <c r="C1745" i="16"/>
  <c r="C1741" i="16"/>
  <c r="C1740" i="16"/>
  <c r="C1733" i="16"/>
  <c r="C1732" i="16"/>
  <c r="C1728" i="16"/>
  <c r="C1726" i="16"/>
  <c r="C1725" i="16"/>
  <c r="C1718" i="16"/>
  <c r="C1717" i="16"/>
  <c r="C1716" i="16"/>
  <c r="C1709" i="16"/>
  <c r="C1708" i="16"/>
  <c r="C1701" i="16"/>
  <c r="C1700" i="16"/>
  <c r="C1696" i="16"/>
  <c r="C1693" i="16"/>
  <c r="C1692" i="16"/>
  <c r="C1687" i="16"/>
  <c r="C1685" i="16"/>
  <c r="C1684" i="16"/>
  <c r="C1677" i="16"/>
  <c r="C1673" i="16"/>
  <c r="C1669" i="16"/>
  <c r="C1668" i="16"/>
  <c r="C1664" i="16"/>
  <c r="C1661" i="16"/>
  <c r="C1660" i="16"/>
  <c r="C1654" i="16"/>
  <c r="C1653" i="16"/>
  <c r="C1646" i="16"/>
  <c r="C1645" i="16"/>
  <c r="C1644" i="16"/>
  <c r="C1637" i="16"/>
  <c r="C1636" i="16"/>
  <c r="C1632" i="16"/>
  <c r="C1629" i="16"/>
  <c r="C1621" i="16"/>
  <c r="C1620" i="16"/>
  <c r="C1617" i="16"/>
  <c r="C1613" i="16"/>
  <c r="C1612" i="16"/>
  <c r="C1605" i="16"/>
  <c r="C1600" i="16"/>
  <c r="C1597" i="16"/>
  <c r="C1596" i="16"/>
  <c r="C1589" i="16"/>
  <c r="C1588" i="16"/>
  <c r="C1582" i="16"/>
  <c r="C1581" i="16"/>
  <c r="C1573" i="16"/>
  <c r="C1572" i="16"/>
  <c r="C1565" i="16"/>
  <c r="C1564" i="16"/>
  <c r="C1558" i="16"/>
  <c r="C1557" i="16"/>
  <c r="C1549" i="16"/>
  <c r="C1548" i="16"/>
  <c r="C1545" i="16"/>
  <c r="C1542" i="16"/>
  <c r="C1541" i="16"/>
  <c r="C1540" i="16"/>
  <c r="C1536" i="16"/>
  <c r="C1533" i="16"/>
  <c r="C1525" i="16"/>
  <c r="C1524" i="16"/>
  <c r="C1517" i="16"/>
  <c r="C1516" i="16"/>
  <c r="C1510" i="16"/>
  <c r="C1509" i="16"/>
  <c r="C1504" i="16"/>
  <c r="C1501" i="16"/>
  <c r="C1500" i="16"/>
  <c r="C1494" i="16"/>
  <c r="C1493" i="16"/>
  <c r="C1492" i="16"/>
  <c r="C1489" i="16"/>
  <c r="C1485" i="16"/>
  <c r="C1477" i="16"/>
  <c r="C1476" i="16"/>
  <c r="C1472" i="16"/>
  <c r="C1470" i="16"/>
  <c r="C1469" i="16"/>
  <c r="C1468" i="16"/>
  <c r="C1462" i="16"/>
  <c r="C1461" i="16"/>
  <c r="C1460" i="16"/>
  <c r="C1453" i="16"/>
  <c r="C1452" i="16"/>
  <c r="C1446" i="16"/>
  <c r="C1445" i="16"/>
  <c r="C1444" i="16"/>
  <c r="C1440" i="16"/>
  <c r="C1438" i="16"/>
  <c r="C1437" i="16"/>
  <c r="C1429" i="16"/>
  <c r="C1428" i="16"/>
  <c r="C1422" i="16"/>
  <c r="C1421" i="16"/>
  <c r="C1420" i="16"/>
  <c r="C1417" i="16"/>
  <c r="C1414" i="16"/>
  <c r="C1413" i="16"/>
  <c r="C1408" i="16"/>
  <c r="C1405" i="16"/>
  <c r="C1404" i="16"/>
  <c r="C1398" i="16"/>
  <c r="C1397" i="16"/>
  <c r="C1396" i="16"/>
  <c r="C1390" i="16"/>
  <c r="C1389" i="16"/>
  <c r="C1388" i="16"/>
  <c r="C1381" i="16"/>
  <c r="C1380" i="16"/>
  <c r="C1374" i="16"/>
  <c r="C1373" i="16"/>
  <c r="C1372" i="16"/>
  <c r="C1366" i="16"/>
  <c r="C1365" i="16"/>
  <c r="C1361" i="16"/>
  <c r="C1358" i="16"/>
  <c r="C1357" i="16"/>
  <c r="C1356" i="16"/>
  <c r="C1350" i="16"/>
  <c r="C1349" i="16"/>
  <c r="C1348" i="16"/>
  <c r="C1344" i="16"/>
  <c r="C1342" i="16"/>
  <c r="C1341" i="16"/>
  <c r="C1333" i="16"/>
  <c r="C1332" i="16"/>
  <c r="C1326" i="16"/>
  <c r="C1325" i="16"/>
  <c r="C1324" i="16"/>
  <c r="C1318" i="16"/>
  <c r="C1317" i="16"/>
  <c r="C1316" i="16"/>
  <c r="C1309" i="16"/>
  <c r="C1308" i="16"/>
  <c r="C1302" i="16"/>
  <c r="C1301" i="16"/>
  <c r="C1300" i="16"/>
  <c r="C1294" i="16"/>
  <c r="C1293" i="16"/>
  <c r="C1289" i="16"/>
  <c r="C1288" i="16"/>
  <c r="C1286" i="16"/>
  <c r="C1285" i="16"/>
  <c r="C1284" i="16"/>
  <c r="C1278" i="16"/>
  <c r="C1277" i="16"/>
  <c r="C1276" i="16"/>
  <c r="C1270" i="16"/>
  <c r="C1269" i="16"/>
  <c r="C1261" i="16"/>
  <c r="C1260" i="16"/>
  <c r="C1256" i="16"/>
  <c r="C1254" i="16"/>
  <c r="C1253" i="16"/>
  <c r="C1252" i="16"/>
  <c r="C1246" i="16"/>
  <c r="C1245" i="16"/>
  <c r="C1244" i="16"/>
  <c r="C1239" i="16"/>
  <c r="C1237" i="16"/>
  <c r="C1236" i="16"/>
  <c r="C1233" i="16"/>
  <c r="C1230" i="16"/>
  <c r="C1229" i="16"/>
  <c r="C1228" i="16"/>
  <c r="C1224" i="16"/>
  <c r="C1222" i="16"/>
  <c r="C1221" i="16"/>
  <c r="C1220" i="16"/>
  <c r="C1215" i="16"/>
  <c r="C1213" i="16"/>
  <c r="C1212" i="16"/>
  <c r="C1206" i="16"/>
  <c r="C1205" i="16"/>
  <c r="C1204" i="16"/>
  <c r="C1198" i="16"/>
  <c r="C1197" i="16"/>
  <c r="C1192" i="16"/>
  <c r="C1190" i="16"/>
  <c r="C1189" i="16"/>
  <c r="C1188" i="16"/>
  <c r="C1182" i="16"/>
  <c r="C1181" i="16"/>
  <c r="C1180" i="16"/>
  <c r="C1174" i="16"/>
  <c r="C1173" i="16"/>
  <c r="C1165" i="16"/>
  <c r="C1164" i="16"/>
  <c r="C1161" i="16"/>
  <c r="C1158" i="16"/>
  <c r="C1157" i="16"/>
  <c r="C1156" i="16"/>
  <c r="C1150" i="16"/>
  <c r="C1149" i="16"/>
  <c r="C1141" i="16"/>
  <c r="C1140" i="16"/>
  <c r="C1134" i="16"/>
  <c r="C1133" i="16"/>
  <c r="C1132" i="16"/>
  <c r="C1128" i="16"/>
  <c r="C1126" i="16"/>
  <c r="C1125" i="16"/>
  <c r="C1118" i="16"/>
  <c r="C1117" i="16"/>
  <c r="C1116" i="16"/>
  <c r="C1110" i="16"/>
  <c r="C1109" i="16"/>
  <c r="C1108" i="16"/>
  <c r="C1102" i="16"/>
  <c r="C1101" i="16"/>
  <c r="C1093" i="16"/>
  <c r="C1092" i="16"/>
  <c r="C1088" i="16"/>
  <c r="C1087" i="16"/>
  <c r="C1086" i="16"/>
  <c r="C1085" i="16"/>
  <c r="C1084" i="16"/>
  <c r="C1078" i="16"/>
  <c r="C1077" i="16"/>
  <c r="C1069" i="16"/>
  <c r="C1068" i="16"/>
  <c r="C1062" i="16"/>
  <c r="C1061" i="16"/>
  <c r="C1060" i="16"/>
  <c r="C1056" i="16"/>
  <c r="C1054" i="16"/>
  <c r="C1053" i="16"/>
  <c r="C1046" i="16"/>
  <c r="C1045" i="16"/>
  <c r="C1044" i="16"/>
  <c r="C1038" i="16"/>
  <c r="C1037" i="16"/>
  <c r="C1036" i="16"/>
  <c r="C1033" i="16"/>
  <c r="C1030" i="16"/>
  <c r="C1029" i="16"/>
  <c r="C1024" i="16"/>
  <c r="C1021" i="16"/>
  <c r="C1020" i="16"/>
  <c r="C1014" i="16"/>
  <c r="C1013" i="16"/>
  <c r="C1012" i="16"/>
  <c r="C1008" i="16"/>
  <c r="C1006" i="16"/>
  <c r="C1005" i="16"/>
  <c r="C997" i="16"/>
  <c r="C996" i="16"/>
  <c r="C992" i="16"/>
  <c r="C990" i="16"/>
  <c r="C989" i="16"/>
  <c r="C988" i="16"/>
  <c r="C983" i="16"/>
  <c r="C982" i="16"/>
  <c r="C981" i="16"/>
  <c r="C973" i="16"/>
  <c r="C972" i="16"/>
  <c r="C966" i="16"/>
  <c r="C965" i="16"/>
  <c r="C964" i="16"/>
  <c r="C960" i="16"/>
  <c r="C958" i="16"/>
  <c r="C957" i="16"/>
  <c r="C950" i="16"/>
  <c r="C949" i="16"/>
  <c r="C948" i="16"/>
  <c r="C942" i="16"/>
  <c r="C941" i="16"/>
  <c r="C940" i="16"/>
  <c r="C934" i="16"/>
  <c r="C933" i="16"/>
  <c r="C928" i="16"/>
  <c r="C925" i="16"/>
  <c r="C924" i="16"/>
  <c r="C918" i="16"/>
  <c r="C917" i="16"/>
  <c r="C916" i="16"/>
  <c r="C912" i="16"/>
  <c r="C910" i="16"/>
  <c r="C909" i="16"/>
  <c r="C901" i="16"/>
  <c r="C900" i="16"/>
  <c r="C896" i="16"/>
  <c r="C894" i="16"/>
  <c r="C893" i="16"/>
  <c r="C892" i="16"/>
  <c r="C886" i="16"/>
  <c r="C885" i="16"/>
  <c r="C884" i="16"/>
  <c r="C880" i="16"/>
  <c r="C877" i="16"/>
  <c r="C876" i="16"/>
  <c r="C870" i="16"/>
  <c r="C869" i="16"/>
  <c r="C868" i="16"/>
  <c r="C864" i="16"/>
  <c r="C862" i="16"/>
  <c r="C861" i="16"/>
  <c r="C856" i="16"/>
  <c r="C853" i="16"/>
  <c r="C852" i="16"/>
  <c r="C849" i="16"/>
  <c r="C846" i="16"/>
  <c r="C845" i="16"/>
  <c r="C844" i="16"/>
  <c r="C839" i="16"/>
  <c r="C838" i="16"/>
  <c r="C837" i="16"/>
  <c r="C836" i="16"/>
  <c r="C829" i="16"/>
  <c r="C828" i="16"/>
  <c r="C823" i="16"/>
  <c r="C822" i="16"/>
  <c r="C821" i="16"/>
  <c r="C820" i="16"/>
  <c r="C816" i="16"/>
  <c r="C814" i="16"/>
  <c r="C813" i="16"/>
  <c r="C812" i="16"/>
  <c r="C807" i="16"/>
  <c r="C805" i="16"/>
  <c r="C804" i="16"/>
  <c r="C798" i="16"/>
  <c r="C797" i="16"/>
  <c r="C796" i="16"/>
  <c r="C792" i="16"/>
  <c r="C790" i="16"/>
  <c r="C789" i="16"/>
  <c r="C782" i="16"/>
  <c r="C781" i="16"/>
  <c r="C780" i="16"/>
  <c r="C775" i="16"/>
  <c r="C774" i="16"/>
  <c r="C773" i="16"/>
  <c r="C772" i="16"/>
  <c r="C766" i="16"/>
  <c r="C765" i="16"/>
  <c r="C760" i="16"/>
  <c r="C758" i="16"/>
  <c r="C757" i="16"/>
  <c r="C756" i="16"/>
  <c r="C750" i="16"/>
  <c r="C749" i="16"/>
  <c r="C748" i="16"/>
  <c r="C745" i="16"/>
  <c r="C744" i="16"/>
  <c r="C742" i="16"/>
  <c r="C741" i="16"/>
  <c r="C733" i="16"/>
  <c r="C732" i="16"/>
  <c r="C726" i="16"/>
  <c r="C725" i="16"/>
  <c r="C724" i="16"/>
  <c r="C719" i="16"/>
  <c r="C718" i="16"/>
  <c r="C717" i="16"/>
  <c r="C712" i="16"/>
  <c r="C709" i="16"/>
  <c r="C708" i="16"/>
  <c r="C702" i="16"/>
  <c r="C701" i="16"/>
  <c r="C700" i="16"/>
  <c r="C696" i="16"/>
  <c r="C694" i="16"/>
  <c r="C693" i="16"/>
  <c r="C687" i="16"/>
  <c r="C685" i="16"/>
  <c r="C684" i="16"/>
  <c r="C681" i="16"/>
  <c r="C678" i="16"/>
  <c r="C677" i="16"/>
  <c r="C676" i="16"/>
  <c r="C670" i="16"/>
  <c r="C669" i="16"/>
  <c r="C664" i="16"/>
  <c r="C661" i="16"/>
  <c r="C660" i="16"/>
  <c r="C654" i="16"/>
  <c r="C653" i="16"/>
  <c r="C652" i="16"/>
  <c r="C648" i="16"/>
  <c r="C646" i="16"/>
  <c r="C645" i="16"/>
  <c r="C637" i="16"/>
  <c r="C636" i="16"/>
  <c r="C630" i="16"/>
  <c r="C629" i="16"/>
  <c r="C628" i="16"/>
  <c r="C622" i="16"/>
  <c r="C621" i="16"/>
  <c r="C617" i="16"/>
  <c r="C616" i="16"/>
  <c r="C613" i="16"/>
  <c r="C612" i="16"/>
  <c r="C606" i="16"/>
  <c r="C605" i="16"/>
  <c r="C604" i="16"/>
  <c r="C598" i="16"/>
  <c r="C597" i="16"/>
  <c r="C592" i="16"/>
  <c r="C590" i="16"/>
  <c r="C589" i="16"/>
  <c r="C588" i="16"/>
  <c r="C582" i="16"/>
  <c r="C581" i="16"/>
  <c r="C580" i="16"/>
  <c r="C574" i="16"/>
  <c r="C573" i="16"/>
  <c r="C565" i="16"/>
  <c r="C564" i="16"/>
  <c r="C558" i="16"/>
  <c r="C557" i="16"/>
  <c r="C556" i="16"/>
  <c r="C553" i="16"/>
  <c r="C552" i="16"/>
  <c r="C550" i="16"/>
  <c r="C549" i="16"/>
  <c r="C544" i="16"/>
  <c r="C543" i="16"/>
  <c r="C542" i="16"/>
  <c r="C541" i="16"/>
  <c r="C540" i="16"/>
  <c r="C534" i="16"/>
  <c r="C533" i="16"/>
  <c r="C532" i="16"/>
  <c r="C528" i="16"/>
  <c r="C526" i="16"/>
  <c r="C525" i="16"/>
  <c r="C517" i="16"/>
  <c r="C516" i="16"/>
  <c r="C511" i="16"/>
  <c r="C510" i="16"/>
  <c r="C509" i="16"/>
  <c r="C508" i="16"/>
  <c r="C502" i="16"/>
  <c r="C501" i="16"/>
  <c r="C496" i="16"/>
  <c r="C493" i="16"/>
  <c r="C492" i="16"/>
  <c r="C489" i="16"/>
  <c r="C487" i="16"/>
  <c r="C486" i="16"/>
  <c r="C485" i="16"/>
  <c r="C484" i="16"/>
  <c r="C480" i="16"/>
  <c r="C478" i="16"/>
  <c r="C477" i="16"/>
  <c r="C469" i="16"/>
  <c r="C468" i="16"/>
  <c r="C462" i="16"/>
  <c r="C461" i="16"/>
  <c r="C460" i="16"/>
  <c r="C455" i="16"/>
  <c r="C454" i="16"/>
  <c r="C453" i="16"/>
  <c r="C448" i="16"/>
  <c r="C445" i="16"/>
  <c r="C444" i="16"/>
  <c r="C438" i="16"/>
  <c r="C437" i="16"/>
  <c r="C436" i="16"/>
  <c r="C432" i="16"/>
  <c r="C430" i="16"/>
  <c r="C429" i="16"/>
  <c r="C425" i="16"/>
  <c r="C421" i="16"/>
  <c r="C420" i="16"/>
  <c r="C416" i="16"/>
  <c r="C414" i="16"/>
  <c r="C413" i="16"/>
  <c r="C412" i="16"/>
  <c r="C406" i="16"/>
  <c r="C405" i="16"/>
  <c r="C404" i="16"/>
  <c r="C400" i="16"/>
  <c r="C397" i="16"/>
  <c r="C396" i="16"/>
  <c r="C390" i="16"/>
  <c r="C389" i="16"/>
  <c r="C388" i="16"/>
  <c r="C384" i="16"/>
  <c r="C382" i="16"/>
  <c r="C381" i="16"/>
  <c r="C374" i="16"/>
  <c r="C373" i="16"/>
  <c r="C372" i="16"/>
  <c r="C366" i="16"/>
  <c r="C365" i="16"/>
  <c r="C364" i="16"/>
  <c r="C361" i="16"/>
  <c r="C358" i="16"/>
  <c r="C357" i="16"/>
  <c r="C352" i="16"/>
  <c r="C350" i="16"/>
  <c r="C349" i="16"/>
  <c r="C348" i="16"/>
  <c r="C342" i="16"/>
  <c r="C341" i="16"/>
  <c r="C340" i="16"/>
  <c r="C337" i="16"/>
  <c r="C334" i="16"/>
  <c r="C333" i="16"/>
  <c r="C328" i="16"/>
  <c r="C327" i="16"/>
  <c r="C326" i="16"/>
  <c r="C325" i="16"/>
  <c r="C324" i="16"/>
  <c r="C318" i="16"/>
  <c r="C317" i="16"/>
  <c r="C316" i="16"/>
  <c r="C311" i="16"/>
  <c r="C310" i="16"/>
  <c r="C309" i="16"/>
  <c r="C301" i="16"/>
  <c r="C300" i="16"/>
  <c r="C297" i="16"/>
  <c r="C294" i="16"/>
  <c r="C293" i="16"/>
  <c r="C292" i="16"/>
  <c r="C286" i="16"/>
  <c r="C285" i="16"/>
  <c r="C280" i="16"/>
  <c r="C277" i="16"/>
  <c r="C276" i="16"/>
  <c r="C270" i="16"/>
  <c r="C269" i="16"/>
  <c r="C268" i="16"/>
  <c r="C264" i="16"/>
  <c r="C262" i="16"/>
  <c r="C261" i="16"/>
  <c r="C253" i="16"/>
  <c r="C252" i="16"/>
  <c r="C248" i="16"/>
  <c r="C246" i="16"/>
  <c r="C245" i="16"/>
  <c r="C244" i="16"/>
  <c r="C238" i="16"/>
  <c r="C237" i="16"/>
  <c r="C236" i="16"/>
  <c r="C232" i="16"/>
  <c r="C229" i="16"/>
  <c r="C228" i="16"/>
  <c r="C222" i="16"/>
  <c r="C221" i="16"/>
  <c r="C220" i="16"/>
  <c r="C216" i="16"/>
  <c r="C214" i="16"/>
  <c r="C213" i="16"/>
  <c r="C206" i="16"/>
  <c r="C205" i="16"/>
  <c r="C204" i="16"/>
  <c r="C198" i="16"/>
  <c r="C197" i="16"/>
  <c r="C196" i="16"/>
  <c r="C190" i="16"/>
  <c r="C189" i="16"/>
  <c r="C184" i="16"/>
  <c r="C181" i="16"/>
  <c r="C180" i="16"/>
  <c r="C174" i="16"/>
  <c r="C173" i="16"/>
  <c r="C172" i="16"/>
  <c r="C168" i="16"/>
  <c r="C166" i="16"/>
  <c r="C165" i="16"/>
  <c r="C161" i="16"/>
  <c r="C157" i="16"/>
  <c r="C156" i="16"/>
  <c r="C153" i="16"/>
  <c r="C151" i="16"/>
  <c r="C150" i="16"/>
  <c r="C149" i="16"/>
  <c r="C148" i="16"/>
  <c r="C145" i="16"/>
  <c r="C142" i="16"/>
  <c r="C141" i="16"/>
  <c r="C137" i="16"/>
  <c r="C136" i="16"/>
  <c r="C133" i="16"/>
  <c r="C132" i="16"/>
  <c r="C129" i="16"/>
  <c r="C126" i="16"/>
  <c r="C125" i="16"/>
  <c r="C124" i="16"/>
  <c r="C121" i="16"/>
  <c r="C120" i="16"/>
  <c r="C119" i="16"/>
  <c r="C118" i="16"/>
  <c r="C117" i="16"/>
  <c r="C113" i="16"/>
  <c r="C109" i="16"/>
  <c r="C108" i="16"/>
  <c r="C105" i="16"/>
  <c r="C102" i="16"/>
  <c r="C101" i="16"/>
  <c r="C100" i="16"/>
  <c r="C97" i="16"/>
  <c r="C94" i="16"/>
  <c r="C93" i="16"/>
  <c r="C89" i="16"/>
  <c r="C88" i="16"/>
  <c r="C85" i="16"/>
  <c r="C84" i="16"/>
  <c r="C81" i="16"/>
  <c r="C79" i="16"/>
  <c r="C78" i="16"/>
  <c r="C77" i="16"/>
  <c r="C76" i="16"/>
  <c r="C73" i="16"/>
  <c r="C70" i="16"/>
  <c r="C69" i="16"/>
  <c r="C65" i="16"/>
  <c r="C64" i="16"/>
  <c r="C61" i="16"/>
  <c r="C60" i="16"/>
  <c r="C57" i="16"/>
  <c r="C54" i="16"/>
  <c r="C53" i="16"/>
  <c r="C52" i="16"/>
  <c r="C49" i="16"/>
  <c r="C47" i="16"/>
  <c r="C46" i="16"/>
  <c r="C45" i="16"/>
  <c r="C41" i="16"/>
  <c r="C37" i="16"/>
  <c r="C36" i="16"/>
  <c r="C33" i="16"/>
  <c r="C30" i="16"/>
  <c r="C29" i="16"/>
  <c r="C28" i="16"/>
  <c r="C25" i="16"/>
  <c r="C22" i="16"/>
  <c r="C21" i="16"/>
  <c r="C17" i="16"/>
  <c r="C16" i="16"/>
  <c r="C15" i="16"/>
  <c r="C14" i="16"/>
  <c r="C13" i="16"/>
  <c r="C12" i="16"/>
  <c r="C9" i="16"/>
  <c r="C6" i="16"/>
  <c r="C5" i="16"/>
  <c r="C4" i="16"/>
  <c r="D2" i="16"/>
  <c r="B4" i="15"/>
  <c r="C4" i="15" s="1"/>
  <c r="B5" i="15"/>
  <c r="C5" i="15" s="1"/>
  <c r="B6" i="15"/>
  <c r="C6" i="15" s="1"/>
  <c r="B7" i="15"/>
  <c r="C7" i="15" s="1"/>
  <c r="B8" i="15"/>
  <c r="C8" i="15" s="1"/>
  <c r="B9" i="15"/>
  <c r="C9" i="15" s="1"/>
  <c r="B10" i="15"/>
  <c r="B11" i="15"/>
  <c r="C11" i="15" s="1"/>
  <c r="B12" i="15"/>
  <c r="C12" i="15" s="1"/>
  <c r="B13" i="15"/>
  <c r="C13" i="15" s="1"/>
  <c r="B14" i="15"/>
  <c r="C14" i="15" s="1"/>
  <c r="B15" i="15"/>
  <c r="C15" i="15" s="1"/>
  <c r="B16" i="15"/>
  <c r="C16" i="15" s="1"/>
  <c r="B17" i="15"/>
  <c r="C17" i="15" s="1"/>
  <c r="B18" i="15"/>
  <c r="C18" i="15" s="1"/>
  <c r="B19" i="15"/>
  <c r="C19" i="15" s="1"/>
  <c r="B20" i="15"/>
  <c r="C20" i="15" s="1"/>
  <c r="B21" i="15"/>
  <c r="C21" i="15" s="1"/>
  <c r="B22" i="15"/>
  <c r="C22" i="15" s="1"/>
  <c r="B23" i="15"/>
  <c r="C23" i="15" s="1"/>
  <c r="B24" i="15"/>
  <c r="C24" i="15" s="1"/>
  <c r="B25" i="15"/>
  <c r="C25" i="15" s="1"/>
  <c r="B26" i="15"/>
  <c r="C26" i="15" s="1"/>
  <c r="B27" i="15"/>
  <c r="C27" i="15" s="1"/>
  <c r="B28" i="15"/>
  <c r="C28" i="15" s="1"/>
  <c r="B29" i="15"/>
  <c r="C29" i="15" s="1"/>
  <c r="B30" i="15"/>
  <c r="C30" i="15" s="1"/>
  <c r="B31" i="15"/>
  <c r="C31" i="15" s="1"/>
  <c r="B32" i="15"/>
  <c r="C32" i="15" s="1"/>
  <c r="B33" i="15"/>
  <c r="C33" i="15" s="1"/>
  <c r="B34" i="15"/>
  <c r="C34" i="15" s="1"/>
  <c r="B35" i="15"/>
  <c r="C35" i="15" s="1"/>
  <c r="B36" i="15"/>
  <c r="C36" i="15" s="1"/>
  <c r="B37" i="15"/>
  <c r="C37" i="15" s="1"/>
  <c r="B38" i="15"/>
  <c r="C38" i="15" s="1"/>
  <c r="B39" i="15"/>
  <c r="C39" i="15" s="1"/>
  <c r="B40" i="15"/>
  <c r="C40" i="15" s="1"/>
  <c r="B41" i="15"/>
  <c r="C41" i="15" s="1"/>
  <c r="B42" i="15"/>
  <c r="C42" i="15" s="1"/>
  <c r="B43" i="15"/>
  <c r="C43" i="15" s="1"/>
  <c r="B44" i="15"/>
  <c r="C44" i="15" s="1"/>
  <c r="B45" i="15"/>
  <c r="C45" i="15" s="1"/>
  <c r="B46" i="15"/>
  <c r="C46" i="15" s="1"/>
  <c r="B47" i="15"/>
  <c r="C47" i="15" s="1"/>
  <c r="B48" i="15"/>
  <c r="C48" i="15" s="1"/>
  <c r="B49" i="15"/>
  <c r="C49" i="15" s="1"/>
  <c r="B50" i="15"/>
  <c r="C50" i="15" s="1"/>
  <c r="B51" i="15"/>
  <c r="C51" i="15" s="1"/>
  <c r="B52" i="15"/>
  <c r="C52" i="15" s="1"/>
  <c r="B53" i="15"/>
  <c r="C53" i="15" s="1"/>
  <c r="B54" i="15"/>
  <c r="C54" i="15" s="1"/>
  <c r="B55" i="15"/>
  <c r="C55" i="15" s="1"/>
  <c r="B56" i="15"/>
  <c r="C56" i="15" s="1"/>
  <c r="B57" i="15"/>
  <c r="C57" i="15" s="1"/>
  <c r="B58" i="15"/>
  <c r="C58" i="15" s="1"/>
  <c r="B59" i="15"/>
  <c r="C59" i="15" s="1"/>
  <c r="B60" i="15"/>
  <c r="C60" i="15" s="1"/>
  <c r="B61" i="15"/>
  <c r="C61" i="15" s="1"/>
  <c r="B62" i="15"/>
  <c r="C62" i="15" s="1"/>
  <c r="B63" i="15"/>
  <c r="C63" i="15" s="1"/>
  <c r="B64" i="15"/>
  <c r="C64" i="15" s="1"/>
  <c r="B65" i="15"/>
  <c r="C65" i="15" s="1"/>
  <c r="B66" i="15"/>
  <c r="C66" i="15" s="1"/>
  <c r="B67" i="15"/>
  <c r="C67" i="15" s="1"/>
  <c r="B68" i="15"/>
  <c r="C68" i="15" s="1"/>
  <c r="B69" i="15"/>
  <c r="C69" i="15" s="1"/>
  <c r="B70" i="15"/>
  <c r="C70" i="15" s="1"/>
  <c r="B71" i="15"/>
  <c r="C71" i="15" s="1"/>
  <c r="B72" i="15"/>
  <c r="C72" i="15" s="1"/>
  <c r="B73" i="15"/>
  <c r="C73" i="15" s="1"/>
  <c r="B74" i="15"/>
  <c r="C74" i="15" s="1"/>
  <c r="B75" i="15"/>
  <c r="C75" i="15" s="1"/>
  <c r="B76" i="15"/>
  <c r="C76" i="15" s="1"/>
  <c r="B77" i="15"/>
  <c r="C77" i="15" s="1"/>
  <c r="B78" i="15"/>
  <c r="C78" i="15" s="1"/>
  <c r="B79" i="15"/>
  <c r="C79" i="15" s="1"/>
  <c r="B80" i="15"/>
  <c r="C80" i="15" s="1"/>
  <c r="B81" i="15"/>
  <c r="C81" i="15" s="1"/>
  <c r="B82" i="15"/>
  <c r="C82" i="15" s="1"/>
  <c r="B83" i="15"/>
  <c r="C83" i="15" s="1"/>
  <c r="B84" i="15"/>
  <c r="C84" i="15" s="1"/>
  <c r="B85" i="15"/>
  <c r="C85" i="15" s="1"/>
  <c r="B86" i="15"/>
  <c r="C86" i="15" s="1"/>
  <c r="B87" i="15"/>
  <c r="C87" i="15" s="1"/>
  <c r="B88" i="15"/>
  <c r="C88" i="15" s="1"/>
  <c r="B89" i="15"/>
  <c r="C89" i="15" s="1"/>
  <c r="B90" i="15"/>
  <c r="C90" i="15" s="1"/>
  <c r="B91" i="15"/>
  <c r="C91" i="15" s="1"/>
  <c r="B92" i="15"/>
  <c r="C92" i="15" s="1"/>
  <c r="B93" i="15"/>
  <c r="C93" i="15" s="1"/>
  <c r="B94" i="15"/>
  <c r="C94" i="15" s="1"/>
  <c r="B95" i="15"/>
  <c r="C95" i="15" s="1"/>
  <c r="B96" i="15"/>
  <c r="C96" i="15" s="1"/>
  <c r="B97" i="15"/>
  <c r="C97" i="15" s="1"/>
  <c r="B98" i="15"/>
  <c r="C98" i="15" s="1"/>
  <c r="B99" i="15"/>
  <c r="C99" i="15" s="1"/>
  <c r="B100" i="15"/>
  <c r="C100" i="15" s="1"/>
  <c r="B101" i="15"/>
  <c r="C101" i="15" s="1"/>
  <c r="B102" i="15"/>
  <c r="C102" i="15" s="1"/>
  <c r="B103" i="15"/>
  <c r="C103" i="15" s="1"/>
  <c r="B104" i="15"/>
  <c r="C104" i="15" s="1"/>
  <c r="B105" i="15"/>
  <c r="C105" i="15" s="1"/>
  <c r="B106" i="15"/>
  <c r="C106" i="15" s="1"/>
  <c r="B107" i="15"/>
  <c r="C107" i="15" s="1"/>
  <c r="B108" i="15"/>
  <c r="C108" i="15" s="1"/>
  <c r="B109" i="15"/>
  <c r="C109" i="15" s="1"/>
  <c r="B110" i="15"/>
  <c r="C110" i="15" s="1"/>
  <c r="B111" i="15"/>
  <c r="C111" i="15" s="1"/>
  <c r="B112" i="15"/>
  <c r="C112" i="15" s="1"/>
  <c r="B113" i="15"/>
  <c r="C113" i="15" s="1"/>
  <c r="B114" i="15"/>
  <c r="C114" i="15" s="1"/>
  <c r="B115" i="15"/>
  <c r="C115" i="15" s="1"/>
  <c r="B116" i="15"/>
  <c r="C116" i="15" s="1"/>
  <c r="B117" i="15"/>
  <c r="C117" i="15" s="1"/>
  <c r="B118" i="15"/>
  <c r="C118" i="15" s="1"/>
  <c r="B119" i="15"/>
  <c r="C119" i="15" s="1"/>
  <c r="B120" i="15"/>
  <c r="C120" i="15" s="1"/>
  <c r="B121" i="15"/>
  <c r="C121" i="15" s="1"/>
  <c r="B122" i="15"/>
  <c r="C122" i="15" s="1"/>
  <c r="B123" i="15"/>
  <c r="C123" i="15" s="1"/>
  <c r="B124" i="15"/>
  <c r="C124" i="15" s="1"/>
  <c r="B125" i="15"/>
  <c r="C125" i="15" s="1"/>
  <c r="B126" i="15"/>
  <c r="C126" i="15" s="1"/>
  <c r="B127" i="15"/>
  <c r="C127" i="15" s="1"/>
  <c r="B128" i="15"/>
  <c r="C128" i="15" s="1"/>
  <c r="B129" i="15"/>
  <c r="C129" i="15" s="1"/>
  <c r="B130" i="15"/>
  <c r="C130" i="15" s="1"/>
  <c r="B131" i="15"/>
  <c r="C131" i="15" s="1"/>
  <c r="B132" i="15"/>
  <c r="C132" i="15" s="1"/>
  <c r="B133" i="15"/>
  <c r="C133" i="15" s="1"/>
  <c r="B134" i="15"/>
  <c r="C134" i="15" s="1"/>
  <c r="B135" i="15"/>
  <c r="C135" i="15" s="1"/>
  <c r="B136" i="15"/>
  <c r="C136" i="15" s="1"/>
  <c r="B137" i="15"/>
  <c r="C137" i="15" s="1"/>
  <c r="B138" i="15"/>
  <c r="C138" i="15" s="1"/>
  <c r="B139" i="15"/>
  <c r="C139" i="15" s="1"/>
  <c r="B140" i="15"/>
  <c r="C140" i="15" s="1"/>
  <c r="B141" i="15"/>
  <c r="C141" i="15" s="1"/>
  <c r="B142" i="15"/>
  <c r="C142" i="15" s="1"/>
  <c r="B143" i="15"/>
  <c r="C143" i="15" s="1"/>
  <c r="B144" i="15"/>
  <c r="C144" i="15" s="1"/>
  <c r="B145" i="15"/>
  <c r="C145" i="15" s="1"/>
  <c r="B146" i="15"/>
  <c r="C146" i="15" s="1"/>
  <c r="B147" i="15"/>
  <c r="C147" i="15" s="1"/>
  <c r="B148" i="15"/>
  <c r="C148" i="15" s="1"/>
  <c r="B149" i="15"/>
  <c r="C149" i="15" s="1"/>
  <c r="B150" i="15"/>
  <c r="C150" i="15" s="1"/>
  <c r="B151" i="15"/>
  <c r="C151" i="15" s="1"/>
  <c r="B152" i="15"/>
  <c r="C152" i="15" s="1"/>
  <c r="B153" i="15"/>
  <c r="C153" i="15" s="1"/>
  <c r="B154" i="15"/>
  <c r="C154" i="15" s="1"/>
  <c r="B155" i="15"/>
  <c r="C155" i="15" s="1"/>
  <c r="B156" i="15"/>
  <c r="C156" i="15" s="1"/>
  <c r="B157" i="15"/>
  <c r="C157" i="15" s="1"/>
  <c r="B158" i="15"/>
  <c r="C158" i="15" s="1"/>
  <c r="B159" i="15"/>
  <c r="C159" i="15" s="1"/>
  <c r="B160" i="15"/>
  <c r="C160" i="15" s="1"/>
  <c r="B161" i="15"/>
  <c r="C161" i="15" s="1"/>
  <c r="B162" i="15"/>
  <c r="C162" i="15" s="1"/>
  <c r="B163" i="15"/>
  <c r="C163" i="15" s="1"/>
  <c r="B164" i="15"/>
  <c r="C164" i="15" s="1"/>
  <c r="B165" i="15"/>
  <c r="C165" i="15" s="1"/>
  <c r="B166" i="15"/>
  <c r="C166" i="15" s="1"/>
  <c r="B167" i="15"/>
  <c r="C167" i="15" s="1"/>
  <c r="B168" i="15"/>
  <c r="C168" i="15" s="1"/>
  <c r="B169" i="15"/>
  <c r="C169" i="15" s="1"/>
  <c r="B170" i="15"/>
  <c r="C170" i="15" s="1"/>
  <c r="B171" i="15"/>
  <c r="C171" i="15" s="1"/>
  <c r="B172" i="15"/>
  <c r="C172" i="15" s="1"/>
  <c r="B173" i="15"/>
  <c r="C173" i="15" s="1"/>
  <c r="B174" i="15"/>
  <c r="C174" i="15" s="1"/>
  <c r="B175" i="15"/>
  <c r="C175" i="15" s="1"/>
  <c r="B176" i="15"/>
  <c r="C176" i="15" s="1"/>
  <c r="B177" i="15"/>
  <c r="C177" i="15" s="1"/>
  <c r="B178" i="15"/>
  <c r="C178" i="15" s="1"/>
  <c r="B179" i="15"/>
  <c r="C179" i="15" s="1"/>
  <c r="B180" i="15"/>
  <c r="C180" i="15" s="1"/>
  <c r="B181" i="15"/>
  <c r="C181" i="15" s="1"/>
  <c r="B182" i="15"/>
  <c r="C182" i="15" s="1"/>
  <c r="B183" i="15"/>
  <c r="C183" i="15" s="1"/>
  <c r="B184" i="15"/>
  <c r="C184" i="15" s="1"/>
  <c r="B185" i="15"/>
  <c r="C185" i="15" s="1"/>
  <c r="B186" i="15"/>
  <c r="C186" i="15" s="1"/>
  <c r="B187" i="15"/>
  <c r="C187" i="15" s="1"/>
  <c r="B188" i="15"/>
  <c r="C188" i="15" s="1"/>
  <c r="B189" i="15"/>
  <c r="C189" i="15" s="1"/>
  <c r="B190" i="15"/>
  <c r="C190" i="15" s="1"/>
  <c r="B191" i="15"/>
  <c r="C191" i="15" s="1"/>
  <c r="B192" i="15"/>
  <c r="C192" i="15" s="1"/>
  <c r="B193" i="15"/>
  <c r="C193" i="15" s="1"/>
  <c r="B194" i="15"/>
  <c r="C194" i="15" s="1"/>
  <c r="B195" i="15"/>
  <c r="C195" i="15" s="1"/>
  <c r="B196" i="15"/>
  <c r="C196" i="15" s="1"/>
  <c r="B197" i="15"/>
  <c r="C197" i="15" s="1"/>
  <c r="B198" i="15"/>
  <c r="C198" i="15" s="1"/>
  <c r="B199" i="15"/>
  <c r="C199" i="15" s="1"/>
  <c r="B200" i="15"/>
  <c r="C200" i="15" s="1"/>
  <c r="B201" i="15"/>
  <c r="C201" i="15" s="1"/>
  <c r="B202" i="15"/>
  <c r="C202" i="15" s="1"/>
  <c r="B203" i="15"/>
  <c r="C203" i="15" s="1"/>
  <c r="B204" i="15"/>
  <c r="C204" i="15" s="1"/>
  <c r="B205" i="15"/>
  <c r="C205" i="15" s="1"/>
  <c r="B206" i="15"/>
  <c r="C206" i="15" s="1"/>
  <c r="B207" i="15"/>
  <c r="C207" i="15" s="1"/>
  <c r="B208" i="15"/>
  <c r="C208" i="15" s="1"/>
  <c r="B209" i="15"/>
  <c r="C209" i="15" s="1"/>
  <c r="B210" i="15"/>
  <c r="C210" i="15" s="1"/>
  <c r="B211" i="15"/>
  <c r="C211" i="15" s="1"/>
  <c r="B212" i="15"/>
  <c r="C212" i="15" s="1"/>
  <c r="B213" i="15"/>
  <c r="C213" i="15" s="1"/>
  <c r="B214" i="15"/>
  <c r="C214" i="15" s="1"/>
  <c r="B215" i="15"/>
  <c r="C215" i="15" s="1"/>
  <c r="B216" i="15"/>
  <c r="C216" i="15" s="1"/>
  <c r="B217" i="15"/>
  <c r="C217" i="15" s="1"/>
  <c r="B218" i="15"/>
  <c r="C218" i="15" s="1"/>
  <c r="B219" i="15"/>
  <c r="C219" i="15" s="1"/>
  <c r="B220" i="15"/>
  <c r="C220" i="15" s="1"/>
  <c r="B221" i="15"/>
  <c r="C221" i="15" s="1"/>
  <c r="B222" i="15"/>
  <c r="C222" i="15" s="1"/>
  <c r="B223" i="15"/>
  <c r="C223" i="15" s="1"/>
  <c r="B224" i="15"/>
  <c r="C224" i="15" s="1"/>
  <c r="B225" i="15"/>
  <c r="C225" i="15" s="1"/>
  <c r="B226" i="15"/>
  <c r="C226" i="15" s="1"/>
  <c r="B227" i="15"/>
  <c r="C227" i="15" s="1"/>
  <c r="B228" i="15"/>
  <c r="C228" i="15" s="1"/>
  <c r="B229" i="15"/>
  <c r="C229" i="15" s="1"/>
  <c r="B230" i="15"/>
  <c r="C230" i="15" s="1"/>
  <c r="B231" i="15"/>
  <c r="C231" i="15" s="1"/>
  <c r="B232" i="15"/>
  <c r="C232" i="15" s="1"/>
  <c r="B233" i="15"/>
  <c r="C233" i="15" s="1"/>
  <c r="B234" i="15"/>
  <c r="C234" i="15" s="1"/>
  <c r="B235" i="15"/>
  <c r="C235" i="15" s="1"/>
  <c r="B236" i="15"/>
  <c r="C236" i="15" s="1"/>
  <c r="B237" i="15"/>
  <c r="C237" i="15" s="1"/>
  <c r="B238" i="15"/>
  <c r="C238" i="15" s="1"/>
  <c r="B239" i="15"/>
  <c r="C239" i="15" s="1"/>
  <c r="B240" i="15"/>
  <c r="C240" i="15" s="1"/>
  <c r="B241" i="15"/>
  <c r="C241" i="15" s="1"/>
  <c r="B242" i="15"/>
  <c r="C242" i="15" s="1"/>
  <c r="B243" i="15"/>
  <c r="C243" i="15" s="1"/>
  <c r="B244" i="15"/>
  <c r="C244" i="15" s="1"/>
  <c r="B245" i="15"/>
  <c r="C245" i="15" s="1"/>
  <c r="B246" i="15"/>
  <c r="C246" i="15" s="1"/>
  <c r="B247" i="15"/>
  <c r="C247" i="15" s="1"/>
  <c r="B248" i="15"/>
  <c r="C248" i="15" s="1"/>
  <c r="B249" i="15"/>
  <c r="C249" i="15" s="1"/>
  <c r="B250" i="15"/>
  <c r="C250" i="15" s="1"/>
  <c r="B251" i="15"/>
  <c r="C251" i="15" s="1"/>
  <c r="B252" i="15"/>
  <c r="C252" i="15" s="1"/>
  <c r="B253" i="15"/>
  <c r="C253" i="15" s="1"/>
  <c r="B254" i="15"/>
  <c r="C254" i="15" s="1"/>
  <c r="B255" i="15"/>
  <c r="C255" i="15" s="1"/>
  <c r="B256" i="15"/>
  <c r="C256" i="15" s="1"/>
  <c r="B257" i="15"/>
  <c r="C257" i="15" s="1"/>
  <c r="B258" i="15"/>
  <c r="C258" i="15" s="1"/>
  <c r="B259" i="15"/>
  <c r="C259" i="15" s="1"/>
  <c r="B260" i="15"/>
  <c r="C260" i="15" s="1"/>
  <c r="B261" i="15"/>
  <c r="C261" i="15" s="1"/>
  <c r="B262" i="15"/>
  <c r="C262" i="15" s="1"/>
  <c r="B263" i="15"/>
  <c r="B264" i="15"/>
  <c r="C264" i="15" s="1"/>
  <c r="B265" i="15"/>
  <c r="C265" i="15" s="1"/>
  <c r="B266" i="15"/>
  <c r="C266" i="15" s="1"/>
  <c r="B267" i="15"/>
  <c r="C267" i="15" s="1"/>
  <c r="B268" i="15"/>
  <c r="C268" i="15" s="1"/>
  <c r="B269" i="15"/>
  <c r="C269" i="15" s="1"/>
  <c r="B270" i="15"/>
  <c r="C270" i="15" s="1"/>
  <c r="B271" i="15"/>
  <c r="C271" i="15" s="1"/>
  <c r="B272" i="15"/>
  <c r="C272" i="15" s="1"/>
  <c r="B273" i="15"/>
  <c r="C273" i="15" s="1"/>
  <c r="B274" i="15"/>
  <c r="C274" i="15" s="1"/>
  <c r="B275" i="15"/>
  <c r="C275" i="15" s="1"/>
  <c r="B276" i="15"/>
  <c r="C276" i="15" s="1"/>
  <c r="B277" i="15"/>
  <c r="C277" i="15" s="1"/>
  <c r="B278" i="15"/>
  <c r="C278" i="15" s="1"/>
  <c r="B279" i="15"/>
  <c r="C279" i="15" s="1"/>
  <c r="B280" i="15"/>
  <c r="C280" i="15" s="1"/>
  <c r="B281" i="15"/>
  <c r="C281" i="15" s="1"/>
  <c r="B282" i="15"/>
  <c r="C282" i="15" s="1"/>
  <c r="B283" i="15"/>
  <c r="C283" i="15" s="1"/>
  <c r="B284" i="15"/>
  <c r="C284" i="15" s="1"/>
  <c r="B285" i="15"/>
  <c r="C285" i="15" s="1"/>
  <c r="B286" i="15"/>
  <c r="C286" i="15" s="1"/>
  <c r="B287" i="15"/>
  <c r="C287" i="15" s="1"/>
  <c r="B288" i="15"/>
  <c r="C288" i="15" s="1"/>
  <c r="B289" i="15"/>
  <c r="C289" i="15" s="1"/>
  <c r="B290" i="15"/>
  <c r="C290" i="15" s="1"/>
  <c r="B291" i="15"/>
  <c r="C291" i="15" s="1"/>
  <c r="B292" i="15"/>
  <c r="C292" i="15" s="1"/>
  <c r="B293" i="15"/>
  <c r="C293" i="15" s="1"/>
  <c r="B294" i="15"/>
  <c r="C294" i="15" s="1"/>
  <c r="B295" i="15"/>
  <c r="C295" i="15" s="1"/>
  <c r="B296" i="15"/>
  <c r="C296" i="15" s="1"/>
  <c r="B297" i="15"/>
  <c r="C297" i="15" s="1"/>
  <c r="B298" i="15"/>
  <c r="C298" i="15" s="1"/>
  <c r="B299" i="15"/>
  <c r="C299" i="15" s="1"/>
  <c r="B300" i="15"/>
  <c r="C300" i="15" s="1"/>
  <c r="B301" i="15"/>
  <c r="C301" i="15" s="1"/>
  <c r="B302" i="15"/>
  <c r="C302" i="15" s="1"/>
  <c r="B303" i="15"/>
  <c r="C303" i="15" s="1"/>
  <c r="B304" i="15"/>
  <c r="C304" i="15" s="1"/>
  <c r="B305" i="15"/>
  <c r="C305" i="15" s="1"/>
  <c r="B306" i="15"/>
  <c r="C306" i="15" s="1"/>
  <c r="B307" i="15"/>
  <c r="C307" i="15" s="1"/>
  <c r="B308" i="15"/>
  <c r="C308" i="15" s="1"/>
  <c r="B309" i="15"/>
  <c r="C309" i="15" s="1"/>
  <c r="B310" i="15"/>
  <c r="C310" i="15" s="1"/>
  <c r="B311" i="15"/>
  <c r="C311" i="15" s="1"/>
  <c r="B312" i="15"/>
  <c r="C312" i="15" s="1"/>
  <c r="B313" i="15"/>
  <c r="C313" i="15" s="1"/>
  <c r="B314" i="15"/>
  <c r="C314" i="15" s="1"/>
  <c r="B315" i="15"/>
  <c r="C315" i="15" s="1"/>
  <c r="B316" i="15"/>
  <c r="C316" i="15" s="1"/>
  <c r="B317" i="15"/>
  <c r="C317" i="15" s="1"/>
  <c r="B318" i="15"/>
  <c r="C318" i="15" s="1"/>
  <c r="B319" i="15"/>
  <c r="C319" i="15" s="1"/>
  <c r="B320" i="15"/>
  <c r="C320" i="15" s="1"/>
  <c r="B321" i="15"/>
  <c r="C321" i="15" s="1"/>
  <c r="B322" i="15"/>
  <c r="C322" i="15" s="1"/>
  <c r="B323" i="15"/>
  <c r="C323" i="15" s="1"/>
  <c r="B324" i="15"/>
  <c r="C324" i="15" s="1"/>
  <c r="B325" i="15"/>
  <c r="C325" i="15" s="1"/>
  <c r="B326" i="15"/>
  <c r="C326" i="15" s="1"/>
  <c r="B327" i="15"/>
  <c r="C327" i="15" s="1"/>
  <c r="B328" i="15"/>
  <c r="C328" i="15" s="1"/>
  <c r="B329" i="15"/>
  <c r="C329" i="15" s="1"/>
  <c r="B330" i="15"/>
  <c r="C330" i="15" s="1"/>
  <c r="B331" i="15"/>
  <c r="C331" i="15" s="1"/>
  <c r="B332" i="15"/>
  <c r="C332" i="15" s="1"/>
  <c r="B333" i="15"/>
  <c r="C333" i="15" s="1"/>
  <c r="B334" i="15"/>
  <c r="C334" i="15" s="1"/>
  <c r="B335" i="15"/>
  <c r="C335" i="15" s="1"/>
  <c r="B336" i="15"/>
  <c r="C336" i="15" s="1"/>
  <c r="B337" i="15"/>
  <c r="C337" i="15" s="1"/>
  <c r="B338" i="15"/>
  <c r="C338" i="15" s="1"/>
  <c r="B339" i="15"/>
  <c r="C339" i="15" s="1"/>
  <c r="B340" i="15"/>
  <c r="C340" i="15" s="1"/>
  <c r="B341" i="15"/>
  <c r="C341" i="15" s="1"/>
  <c r="B342" i="15"/>
  <c r="C342" i="15" s="1"/>
  <c r="B343" i="15"/>
  <c r="C343" i="15" s="1"/>
  <c r="B344" i="15"/>
  <c r="C344" i="15" s="1"/>
  <c r="B345" i="15"/>
  <c r="C345" i="15" s="1"/>
  <c r="B346" i="15"/>
  <c r="C346" i="15" s="1"/>
  <c r="B347" i="15"/>
  <c r="C347" i="15" s="1"/>
  <c r="B348" i="15"/>
  <c r="C348" i="15" s="1"/>
  <c r="B349" i="15"/>
  <c r="C349" i="15" s="1"/>
  <c r="B350" i="15"/>
  <c r="C350" i="15" s="1"/>
  <c r="B351" i="15"/>
  <c r="C351" i="15" s="1"/>
  <c r="B352" i="15"/>
  <c r="C352" i="15" s="1"/>
  <c r="B353" i="15"/>
  <c r="C353" i="15" s="1"/>
  <c r="B354" i="15"/>
  <c r="C354" i="15" s="1"/>
  <c r="B355" i="15"/>
  <c r="C355" i="15" s="1"/>
  <c r="B356" i="15"/>
  <c r="C356" i="15" s="1"/>
  <c r="B357" i="15"/>
  <c r="C357" i="15" s="1"/>
  <c r="B358" i="15"/>
  <c r="C358" i="15" s="1"/>
  <c r="B359" i="15"/>
  <c r="C359" i="15" s="1"/>
  <c r="B360" i="15"/>
  <c r="C360" i="15" s="1"/>
  <c r="B361" i="15"/>
  <c r="C361" i="15" s="1"/>
  <c r="B362" i="15"/>
  <c r="C362" i="15" s="1"/>
  <c r="B363" i="15"/>
  <c r="C363" i="15" s="1"/>
  <c r="B364" i="15"/>
  <c r="C364" i="15" s="1"/>
  <c r="B365" i="15"/>
  <c r="C365" i="15" s="1"/>
  <c r="B366" i="15"/>
  <c r="C366" i="15" s="1"/>
  <c r="B367" i="15"/>
  <c r="C367" i="15" s="1"/>
  <c r="B368" i="15"/>
  <c r="C368" i="15" s="1"/>
  <c r="B369" i="15"/>
  <c r="C369" i="15" s="1"/>
  <c r="B370" i="15"/>
  <c r="C370" i="15" s="1"/>
  <c r="B371" i="15"/>
  <c r="C371" i="15" s="1"/>
  <c r="B372" i="15"/>
  <c r="C372" i="15" s="1"/>
  <c r="B373" i="15"/>
  <c r="C373" i="15" s="1"/>
  <c r="B374" i="15"/>
  <c r="C374" i="15" s="1"/>
  <c r="B375" i="15"/>
  <c r="C375" i="15" s="1"/>
  <c r="B376" i="15"/>
  <c r="C376" i="15" s="1"/>
  <c r="B377" i="15"/>
  <c r="C377" i="15" s="1"/>
  <c r="B378" i="15"/>
  <c r="C378" i="15" s="1"/>
  <c r="B379" i="15"/>
  <c r="C379" i="15" s="1"/>
  <c r="B380" i="15"/>
  <c r="C380" i="15" s="1"/>
  <c r="B381" i="15"/>
  <c r="C381" i="15" s="1"/>
  <c r="B382" i="15"/>
  <c r="C382" i="15" s="1"/>
  <c r="B383" i="15"/>
  <c r="C383" i="15" s="1"/>
  <c r="B384" i="15"/>
  <c r="C384" i="15" s="1"/>
  <c r="B385" i="15"/>
  <c r="C385" i="15" s="1"/>
  <c r="B386" i="15"/>
  <c r="C386" i="15" s="1"/>
  <c r="B387" i="15"/>
  <c r="C387" i="15" s="1"/>
  <c r="B388" i="15"/>
  <c r="C388" i="15" s="1"/>
  <c r="B389" i="15"/>
  <c r="C389" i="15" s="1"/>
  <c r="B390" i="15"/>
  <c r="C390" i="15" s="1"/>
  <c r="B391" i="15"/>
  <c r="C391" i="15" s="1"/>
  <c r="B392" i="15"/>
  <c r="C392" i="15" s="1"/>
  <c r="B393" i="15"/>
  <c r="C393" i="15" s="1"/>
  <c r="B394" i="15"/>
  <c r="C394" i="15" s="1"/>
  <c r="B395" i="15"/>
  <c r="C395" i="15" s="1"/>
  <c r="B396" i="15"/>
  <c r="C396" i="15" s="1"/>
  <c r="B397" i="15"/>
  <c r="C397" i="15" s="1"/>
  <c r="B398" i="15"/>
  <c r="C398" i="15" s="1"/>
  <c r="B399" i="15"/>
  <c r="C399" i="15" s="1"/>
  <c r="B400" i="15"/>
  <c r="C400" i="15" s="1"/>
  <c r="B401" i="15"/>
  <c r="C401" i="15" s="1"/>
  <c r="B402" i="15"/>
  <c r="C402" i="15" s="1"/>
  <c r="B403" i="15"/>
  <c r="C403" i="15" s="1"/>
  <c r="B404" i="15"/>
  <c r="C404" i="15" s="1"/>
  <c r="B405" i="15"/>
  <c r="C405" i="15" s="1"/>
  <c r="B406" i="15"/>
  <c r="C406" i="15" s="1"/>
  <c r="B407" i="15"/>
  <c r="C407" i="15" s="1"/>
  <c r="B408" i="15"/>
  <c r="C408" i="15" s="1"/>
  <c r="B409" i="15"/>
  <c r="C409" i="15" s="1"/>
  <c r="B410" i="15"/>
  <c r="C410" i="15" s="1"/>
  <c r="B411" i="15"/>
  <c r="C411" i="15" s="1"/>
  <c r="B412" i="15"/>
  <c r="C412" i="15" s="1"/>
  <c r="B413" i="15"/>
  <c r="C413" i="15" s="1"/>
  <c r="B414" i="15"/>
  <c r="C414" i="15" s="1"/>
  <c r="B415" i="15"/>
  <c r="C415" i="15" s="1"/>
  <c r="B416" i="15"/>
  <c r="C416" i="15" s="1"/>
  <c r="B417" i="15"/>
  <c r="C417" i="15" s="1"/>
  <c r="B418" i="15"/>
  <c r="C418" i="15" s="1"/>
  <c r="B419" i="15"/>
  <c r="C419" i="15" s="1"/>
  <c r="B420" i="15"/>
  <c r="C420" i="15" s="1"/>
  <c r="B421" i="15"/>
  <c r="C421" i="15" s="1"/>
  <c r="B422" i="15"/>
  <c r="C422" i="15" s="1"/>
  <c r="B423" i="15"/>
  <c r="C423" i="15" s="1"/>
  <c r="B424" i="15"/>
  <c r="C424" i="15" s="1"/>
  <c r="B425" i="15"/>
  <c r="C425" i="15" s="1"/>
  <c r="B426" i="15"/>
  <c r="C426" i="15" s="1"/>
  <c r="B427" i="15"/>
  <c r="C427" i="15" s="1"/>
  <c r="B428" i="15"/>
  <c r="C428" i="15" s="1"/>
  <c r="B429" i="15"/>
  <c r="C429" i="15" s="1"/>
  <c r="B430" i="15"/>
  <c r="C430" i="15" s="1"/>
  <c r="B431" i="15"/>
  <c r="C431" i="15" s="1"/>
  <c r="B432" i="15"/>
  <c r="C432" i="15" s="1"/>
  <c r="B433" i="15"/>
  <c r="C433" i="15" s="1"/>
  <c r="B434" i="15"/>
  <c r="C434" i="15" s="1"/>
  <c r="B435" i="15"/>
  <c r="C435" i="15" s="1"/>
  <c r="B436" i="15"/>
  <c r="C436" i="15" s="1"/>
  <c r="B437" i="15"/>
  <c r="C437" i="15" s="1"/>
  <c r="B438" i="15"/>
  <c r="C438" i="15" s="1"/>
  <c r="B439" i="15"/>
  <c r="C439" i="15" s="1"/>
  <c r="B440" i="15"/>
  <c r="C440" i="15" s="1"/>
  <c r="B441" i="15"/>
  <c r="C441" i="15" s="1"/>
  <c r="B442" i="15"/>
  <c r="C442" i="15" s="1"/>
  <c r="B443" i="15"/>
  <c r="C443" i="15" s="1"/>
  <c r="B444" i="15"/>
  <c r="C444" i="15" s="1"/>
  <c r="B445" i="15"/>
  <c r="C445" i="15" s="1"/>
  <c r="B446" i="15"/>
  <c r="C446" i="15" s="1"/>
  <c r="B447" i="15"/>
  <c r="C447" i="15" s="1"/>
  <c r="B448" i="15"/>
  <c r="C448" i="15" s="1"/>
  <c r="B449" i="15"/>
  <c r="C449" i="15" s="1"/>
  <c r="B450" i="15"/>
  <c r="C450" i="15" s="1"/>
  <c r="B451" i="15"/>
  <c r="C451" i="15" s="1"/>
  <c r="B452" i="15"/>
  <c r="C452" i="15" s="1"/>
  <c r="B453" i="15"/>
  <c r="C453" i="15" s="1"/>
  <c r="B454" i="15"/>
  <c r="C454" i="15" s="1"/>
  <c r="B455" i="15"/>
  <c r="C455" i="15" s="1"/>
  <c r="B456" i="15"/>
  <c r="C456" i="15" s="1"/>
  <c r="B457" i="15"/>
  <c r="C457" i="15" s="1"/>
  <c r="B458" i="15"/>
  <c r="C458" i="15" s="1"/>
  <c r="B459" i="15"/>
  <c r="C459" i="15" s="1"/>
  <c r="B460" i="15"/>
  <c r="C460" i="15" s="1"/>
  <c r="B461" i="15"/>
  <c r="C461" i="15" s="1"/>
  <c r="B462" i="15"/>
  <c r="C462" i="15" s="1"/>
  <c r="B463" i="15"/>
  <c r="C463" i="15" s="1"/>
  <c r="B464" i="15"/>
  <c r="C464" i="15" s="1"/>
  <c r="B465" i="15"/>
  <c r="C465" i="15" s="1"/>
  <c r="B466" i="15"/>
  <c r="C466" i="15" s="1"/>
  <c r="B467" i="15"/>
  <c r="C467" i="15" s="1"/>
  <c r="B468" i="15"/>
  <c r="C468" i="15" s="1"/>
  <c r="B469" i="15"/>
  <c r="C469" i="15" s="1"/>
  <c r="B470" i="15"/>
  <c r="C470" i="15" s="1"/>
  <c r="B471" i="15"/>
  <c r="C471" i="15" s="1"/>
  <c r="B472" i="15"/>
  <c r="C472" i="15" s="1"/>
  <c r="B473" i="15"/>
  <c r="C473" i="15" s="1"/>
  <c r="B474" i="15"/>
  <c r="C474" i="15" s="1"/>
  <c r="B475" i="15"/>
  <c r="C475" i="15" s="1"/>
  <c r="B476" i="15"/>
  <c r="C476" i="15" s="1"/>
  <c r="B477" i="15"/>
  <c r="C477" i="15" s="1"/>
  <c r="B478" i="15"/>
  <c r="C478" i="15" s="1"/>
  <c r="B479" i="15"/>
  <c r="C479" i="15" s="1"/>
  <c r="B480" i="15"/>
  <c r="C480" i="15" s="1"/>
  <c r="B481" i="15"/>
  <c r="C481" i="15" s="1"/>
  <c r="B482" i="15"/>
  <c r="C482" i="15" s="1"/>
  <c r="B483" i="15"/>
  <c r="C483" i="15" s="1"/>
  <c r="B484" i="15"/>
  <c r="C484" i="15" s="1"/>
  <c r="B485" i="15"/>
  <c r="C485" i="15" s="1"/>
  <c r="B486" i="15"/>
  <c r="C486" i="15" s="1"/>
  <c r="B487" i="15"/>
  <c r="C487" i="15" s="1"/>
  <c r="B488" i="15"/>
  <c r="C488" i="15" s="1"/>
  <c r="B489" i="15"/>
  <c r="C489" i="15" s="1"/>
  <c r="B490" i="15"/>
  <c r="C490" i="15" s="1"/>
  <c r="B491" i="15"/>
  <c r="C491" i="15" s="1"/>
  <c r="B492" i="15"/>
  <c r="C492" i="15" s="1"/>
  <c r="B493" i="15"/>
  <c r="C493" i="15" s="1"/>
  <c r="B494" i="15"/>
  <c r="C494" i="15" s="1"/>
  <c r="B495" i="15"/>
  <c r="C495" i="15" s="1"/>
  <c r="B496" i="15"/>
  <c r="C496" i="15" s="1"/>
  <c r="B497" i="15"/>
  <c r="C497" i="15" s="1"/>
  <c r="B498" i="15"/>
  <c r="C498" i="15" s="1"/>
  <c r="B499" i="15"/>
  <c r="C499" i="15" s="1"/>
  <c r="B500" i="15"/>
  <c r="C500" i="15" s="1"/>
  <c r="B501" i="15"/>
  <c r="C501" i="15" s="1"/>
  <c r="B502" i="15"/>
  <c r="C502" i="15" s="1"/>
  <c r="B503" i="15"/>
  <c r="C503" i="15" s="1"/>
  <c r="B504" i="15"/>
  <c r="C504" i="15" s="1"/>
  <c r="B505" i="15"/>
  <c r="C505" i="15" s="1"/>
  <c r="B506" i="15"/>
  <c r="C506" i="15" s="1"/>
  <c r="B507" i="15"/>
  <c r="C507" i="15" s="1"/>
  <c r="B508" i="15"/>
  <c r="C508" i="15" s="1"/>
  <c r="B509" i="15"/>
  <c r="C509" i="15" s="1"/>
  <c r="B510" i="15"/>
  <c r="C510" i="15" s="1"/>
  <c r="B511" i="15"/>
  <c r="C511" i="15" s="1"/>
  <c r="B512" i="15"/>
  <c r="C512" i="15" s="1"/>
  <c r="B513" i="15"/>
  <c r="C513" i="15" s="1"/>
  <c r="B514" i="15"/>
  <c r="C514" i="15" s="1"/>
  <c r="B515" i="15"/>
  <c r="C515" i="15" s="1"/>
  <c r="B516" i="15"/>
  <c r="C516" i="15" s="1"/>
  <c r="B517" i="15"/>
  <c r="C517" i="15" s="1"/>
  <c r="B518" i="15"/>
  <c r="C518" i="15" s="1"/>
  <c r="B519" i="15"/>
  <c r="B520" i="15"/>
  <c r="C520" i="15" s="1"/>
  <c r="B521" i="15"/>
  <c r="C521" i="15" s="1"/>
  <c r="B522" i="15"/>
  <c r="C522" i="15" s="1"/>
  <c r="B523" i="15"/>
  <c r="C523" i="15" s="1"/>
  <c r="B524" i="15"/>
  <c r="C524" i="15" s="1"/>
  <c r="B525" i="15"/>
  <c r="C525" i="15" s="1"/>
  <c r="B526" i="15"/>
  <c r="C526" i="15" s="1"/>
  <c r="B527" i="15"/>
  <c r="C527" i="15" s="1"/>
  <c r="B528" i="15"/>
  <c r="C528" i="15" s="1"/>
  <c r="B529" i="15"/>
  <c r="C529" i="15" s="1"/>
  <c r="B530" i="15"/>
  <c r="C530" i="15" s="1"/>
  <c r="B531" i="15"/>
  <c r="C531" i="15" s="1"/>
  <c r="B532" i="15"/>
  <c r="C532" i="15" s="1"/>
  <c r="B533" i="15"/>
  <c r="C533" i="15" s="1"/>
  <c r="B534" i="15"/>
  <c r="C534" i="15" s="1"/>
  <c r="B535" i="15"/>
  <c r="C535" i="15" s="1"/>
  <c r="B536" i="15"/>
  <c r="C536" i="15" s="1"/>
  <c r="B537" i="15"/>
  <c r="C537" i="15" s="1"/>
  <c r="B538" i="15"/>
  <c r="C538" i="15" s="1"/>
  <c r="B539" i="15"/>
  <c r="C539" i="15" s="1"/>
  <c r="B540" i="15"/>
  <c r="C540" i="15" s="1"/>
  <c r="B541" i="15"/>
  <c r="C541" i="15" s="1"/>
  <c r="B542" i="15"/>
  <c r="C542" i="15" s="1"/>
  <c r="B543" i="15"/>
  <c r="C543" i="15" s="1"/>
  <c r="B544" i="15"/>
  <c r="C544" i="15" s="1"/>
  <c r="B545" i="15"/>
  <c r="C545" i="15" s="1"/>
  <c r="B546" i="15"/>
  <c r="C546" i="15" s="1"/>
  <c r="B547" i="15"/>
  <c r="C547" i="15" s="1"/>
  <c r="B548" i="15"/>
  <c r="C548" i="15" s="1"/>
  <c r="B549" i="15"/>
  <c r="C549" i="15" s="1"/>
  <c r="B550" i="15"/>
  <c r="C550" i="15" s="1"/>
  <c r="B551" i="15"/>
  <c r="C551" i="15" s="1"/>
  <c r="B552" i="15"/>
  <c r="C552" i="15" s="1"/>
  <c r="B553" i="15"/>
  <c r="C553" i="15" s="1"/>
  <c r="B554" i="15"/>
  <c r="C554" i="15" s="1"/>
  <c r="B555" i="15"/>
  <c r="C555" i="15" s="1"/>
  <c r="B556" i="15"/>
  <c r="C556" i="15" s="1"/>
  <c r="B557" i="15"/>
  <c r="C557" i="15" s="1"/>
  <c r="B558" i="15"/>
  <c r="C558" i="15" s="1"/>
  <c r="B559" i="15"/>
  <c r="C559" i="15" s="1"/>
  <c r="B560" i="15"/>
  <c r="C560" i="15" s="1"/>
  <c r="B561" i="15"/>
  <c r="C561" i="15" s="1"/>
  <c r="B562" i="15"/>
  <c r="C562" i="15" s="1"/>
  <c r="B563" i="15"/>
  <c r="B564" i="15"/>
  <c r="C564" i="15" s="1"/>
  <c r="B565" i="15"/>
  <c r="C565" i="15" s="1"/>
  <c r="B566" i="15"/>
  <c r="C566" i="15" s="1"/>
  <c r="B567" i="15"/>
  <c r="C567" i="15" s="1"/>
  <c r="B568" i="15"/>
  <c r="C568" i="15" s="1"/>
  <c r="B569" i="15"/>
  <c r="C569" i="15" s="1"/>
  <c r="B570" i="15"/>
  <c r="C570" i="15" s="1"/>
  <c r="B571" i="15"/>
  <c r="C571" i="15" s="1"/>
  <c r="B572" i="15"/>
  <c r="C572" i="15" s="1"/>
  <c r="B573" i="15"/>
  <c r="C573" i="15" s="1"/>
  <c r="B574" i="15"/>
  <c r="C574" i="15" s="1"/>
  <c r="B575" i="15"/>
  <c r="C575" i="15" s="1"/>
  <c r="B576" i="15"/>
  <c r="C576" i="15" s="1"/>
  <c r="B577" i="15"/>
  <c r="C577" i="15" s="1"/>
  <c r="B578" i="15"/>
  <c r="C578" i="15" s="1"/>
  <c r="B579" i="15"/>
  <c r="C579" i="15" s="1"/>
  <c r="B580" i="15"/>
  <c r="C580" i="15" s="1"/>
  <c r="B581" i="15"/>
  <c r="C581" i="15" s="1"/>
  <c r="B582" i="15"/>
  <c r="C582" i="15" s="1"/>
  <c r="B583" i="15"/>
  <c r="C583" i="15" s="1"/>
  <c r="B584" i="15"/>
  <c r="C584" i="15" s="1"/>
  <c r="B585" i="15"/>
  <c r="C585" i="15" s="1"/>
  <c r="B586" i="15"/>
  <c r="C586" i="15" s="1"/>
  <c r="B587" i="15"/>
  <c r="C587" i="15" s="1"/>
  <c r="B588" i="15"/>
  <c r="C588" i="15" s="1"/>
  <c r="B589" i="15"/>
  <c r="C589" i="15" s="1"/>
  <c r="B590" i="15"/>
  <c r="C590" i="15" s="1"/>
  <c r="B591" i="15"/>
  <c r="C591" i="15" s="1"/>
  <c r="B592" i="15"/>
  <c r="C592" i="15" s="1"/>
  <c r="B593" i="15"/>
  <c r="C593" i="15" s="1"/>
  <c r="B594" i="15"/>
  <c r="C594" i="15" s="1"/>
  <c r="B595" i="15"/>
  <c r="C595" i="15" s="1"/>
  <c r="B596" i="15"/>
  <c r="C596" i="15" s="1"/>
  <c r="B597" i="15"/>
  <c r="C597" i="15" s="1"/>
  <c r="B598" i="15"/>
  <c r="C598" i="15" s="1"/>
  <c r="B599" i="15"/>
  <c r="C599" i="15" s="1"/>
  <c r="B600" i="15"/>
  <c r="C600" i="15" s="1"/>
  <c r="B601" i="15"/>
  <c r="C601" i="15" s="1"/>
  <c r="B602" i="15"/>
  <c r="C602" i="15" s="1"/>
  <c r="B603" i="15"/>
  <c r="C603" i="15" s="1"/>
  <c r="B604" i="15"/>
  <c r="C604" i="15" s="1"/>
  <c r="B605" i="15"/>
  <c r="C605" i="15" s="1"/>
  <c r="B606" i="15"/>
  <c r="C606" i="15" s="1"/>
  <c r="B607" i="15"/>
  <c r="C607" i="15" s="1"/>
  <c r="B608" i="15"/>
  <c r="C608" i="15" s="1"/>
  <c r="B609" i="15"/>
  <c r="C609" i="15" s="1"/>
  <c r="B610" i="15"/>
  <c r="C610" i="15" s="1"/>
  <c r="B611" i="15"/>
  <c r="C611" i="15" s="1"/>
  <c r="B612" i="15"/>
  <c r="C612" i="15" s="1"/>
  <c r="B613" i="15"/>
  <c r="C613" i="15" s="1"/>
  <c r="B614" i="15"/>
  <c r="C614" i="15" s="1"/>
  <c r="B615" i="15"/>
  <c r="C615" i="15" s="1"/>
  <c r="B616" i="15"/>
  <c r="C616" i="15" s="1"/>
  <c r="B617" i="15"/>
  <c r="C617" i="15" s="1"/>
  <c r="B618" i="15"/>
  <c r="C618" i="15" s="1"/>
  <c r="B619" i="15"/>
  <c r="C619" i="15" s="1"/>
  <c r="B620" i="15"/>
  <c r="C620" i="15" s="1"/>
  <c r="B621" i="15"/>
  <c r="C621" i="15" s="1"/>
  <c r="B622" i="15"/>
  <c r="C622" i="15" s="1"/>
  <c r="B623" i="15"/>
  <c r="C623" i="15" s="1"/>
  <c r="B624" i="15"/>
  <c r="C624" i="15" s="1"/>
  <c r="B625" i="15"/>
  <c r="C625" i="15" s="1"/>
  <c r="B626" i="15"/>
  <c r="C626" i="15" s="1"/>
  <c r="B627" i="15"/>
  <c r="C627" i="15" s="1"/>
  <c r="B628" i="15"/>
  <c r="C628" i="15" s="1"/>
  <c r="B629" i="15"/>
  <c r="C629" i="15" s="1"/>
  <c r="B630" i="15"/>
  <c r="C630" i="15" s="1"/>
  <c r="B631" i="15"/>
  <c r="C631" i="15" s="1"/>
  <c r="B632" i="15"/>
  <c r="C632" i="15" s="1"/>
  <c r="B633" i="15"/>
  <c r="C633" i="15" s="1"/>
  <c r="B634" i="15"/>
  <c r="C634" i="15" s="1"/>
  <c r="B635" i="15"/>
  <c r="C635" i="15" s="1"/>
  <c r="B636" i="15"/>
  <c r="C636" i="15" s="1"/>
  <c r="B637" i="15"/>
  <c r="C637" i="15" s="1"/>
  <c r="B638" i="15"/>
  <c r="C638" i="15" s="1"/>
  <c r="B639" i="15"/>
  <c r="C639" i="15" s="1"/>
  <c r="B640" i="15"/>
  <c r="C640" i="15" s="1"/>
  <c r="B641" i="15"/>
  <c r="C641" i="15" s="1"/>
  <c r="B642" i="15"/>
  <c r="C642" i="15" s="1"/>
  <c r="B643" i="15"/>
  <c r="C643" i="15" s="1"/>
  <c r="B644" i="15"/>
  <c r="C644" i="15" s="1"/>
  <c r="B645" i="15"/>
  <c r="C645" i="15" s="1"/>
  <c r="B646" i="15"/>
  <c r="C646" i="15" s="1"/>
  <c r="B647" i="15"/>
  <c r="C647" i="15" s="1"/>
  <c r="B648" i="15"/>
  <c r="C648" i="15" s="1"/>
  <c r="B649" i="15"/>
  <c r="C649" i="15" s="1"/>
  <c r="B650" i="15"/>
  <c r="C650" i="15" s="1"/>
  <c r="B651" i="15"/>
  <c r="C651" i="15" s="1"/>
  <c r="B652" i="15"/>
  <c r="C652" i="15" s="1"/>
  <c r="B653" i="15"/>
  <c r="C653" i="15" s="1"/>
  <c r="B654" i="15"/>
  <c r="C654" i="15" s="1"/>
  <c r="B655" i="15"/>
  <c r="C655" i="15" s="1"/>
  <c r="B656" i="15"/>
  <c r="C656" i="15" s="1"/>
  <c r="B657" i="15"/>
  <c r="C657" i="15" s="1"/>
  <c r="B658" i="15"/>
  <c r="C658" i="15" s="1"/>
  <c r="B659" i="15"/>
  <c r="C659" i="15" s="1"/>
  <c r="B660" i="15"/>
  <c r="C660" i="15" s="1"/>
  <c r="B661" i="15"/>
  <c r="C661" i="15" s="1"/>
  <c r="B662" i="15"/>
  <c r="C662" i="15" s="1"/>
  <c r="B663" i="15"/>
  <c r="C663" i="15" s="1"/>
  <c r="B664" i="15"/>
  <c r="C664" i="15" s="1"/>
  <c r="B665" i="15"/>
  <c r="C665" i="15" s="1"/>
  <c r="B666" i="15"/>
  <c r="C666" i="15" s="1"/>
  <c r="B667" i="15"/>
  <c r="C667" i="15" s="1"/>
  <c r="B668" i="15"/>
  <c r="C668" i="15" s="1"/>
  <c r="B669" i="15"/>
  <c r="C669" i="15" s="1"/>
  <c r="B670" i="15"/>
  <c r="C670" i="15" s="1"/>
  <c r="B671" i="15"/>
  <c r="C671" i="15" s="1"/>
  <c r="B672" i="15"/>
  <c r="C672" i="15" s="1"/>
  <c r="B673" i="15"/>
  <c r="C673" i="15" s="1"/>
  <c r="B674" i="15"/>
  <c r="C674" i="15" s="1"/>
  <c r="B675" i="15"/>
  <c r="C675" i="15" s="1"/>
  <c r="B676" i="15"/>
  <c r="C676" i="15" s="1"/>
  <c r="B677" i="15"/>
  <c r="C677" i="15" s="1"/>
  <c r="B678" i="15"/>
  <c r="C678" i="15" s="1"/>
  <c r="B679" i="15"/>
  <c r="C679" i="15" s="1"/>
  <c r="B680" i="15"/>
  <c r="C680" i="15" s="1"/>
  <c r="B681" i="15"/>
  <c r="C681" i="15" s="1"/>
  <c r="B682" i="15"/>
  <c r="C682" i="15" s="1"/>
  <c r="B683" i="15"/>
  <c r="C683" i="15" s="1"/>
  <c r="B684" i="15"/>
  <c r="C684" i="15" s="1"/>
  <c r="B685" i="15"/>
  <c r="C685" i="15" s="1"/>
  <c r="B686" i="15"/>
  <c r="C686" i="15" s="1"/>
  <c r="B687" i="15"/>
  <c r="C687" i="15" s="1"/>
  <c r="B688" i="15"/>
  <c r="C688" i="15" s="1"/>
  <c r="B689" i="15"/>
  <c r="C689" i="15" s="1"/>
  <c r="B690" i="15"/>
  <c r="C690" i="15" s="1"/>
  <c r="B691" i="15"/>
  <c r="C691" i="15" s="1"/>
  <c r="B692" i="15"/>
  <c r="C692" i="15" s="1"/>
  <c r="B693" i="15"/>
  <c r="C693" i="15" s="1"/>
  <c r="B694" i="15"/>
  <c r="C694" i="15" s="1"/>
  <c r="B695" i="15"/>
  <c r="C695" i="15" s="1"/>
  <c r="B696" i="15"/>
  <c r="C696" i="15" s="1"/>
  <c r="B697" i="15"/>
  <c r="C697" i="15" s="1"/>
  <c r="B698" i="15"/>
  <c r="C698" i="15" s="1"/>
  <c r="B699" i="15"/>
  <c r="C699" i="15" s="1"/>
  <c r="B700" i="15"/>
  <c r="C700" i="15" s="1"/>
  <c r="B701" i="15"/>
  <c r="C701" i="15" s="1"/>
  <c r="B702" i="15"/>
  <c r="C702" i="15" s="1"/>
  <c r="B703" i="15"/>
  <c r="C703" i="15" s="1"/>
  <c r="B704" i="15"/>
  <c r="C704" i="15" s="1"/>
  <c r="B705" i="15"/>
  <c r="C705" i="15" s="1"/>
  <c r="B706" i="15"/>
  <c r="C706" i="15" s="1"/>
  <c r="B707" i="15"/>
  <c r="C707" i="15" s="1"/>
  <c r="B708" i="15"/>
  <c r="C708" i="15" s="1"/>
  <c r="B709" i="15"/>
  <c r="C709" i="15" s="1"/>
  <c r="B710" i="15"/>
  <c r="C710" i="15" s="1"/>
  <c r="B711" i="15"/>
  <c r="C711" i="15" s="1"/>
  <c r="B712" i="15"/>
  <c r="C712" i="15" s="1"/>
  <c r="B713" i="15"/>
  <c r="C713" i="15" s="1"/>
  <c r="B714" i="15"/>
  <c r="C714" i="15" s="1"/>
  <c r="B715" i="15"/>
  <c r="C715" i="15" s="1"/>
  <c r="B716" i="15"/>
  <c r="C716" i="15" s="1"/>
  <c r="B717" i="15"/>
  <c r="C717" i="15" s="1"/>
  <c r="B718" i="15"/>
  <c r="C718" i="15" s="1"/>
  <c r="B719" i="15"/>
  <c r="C719" i="15" s="1"/>
  <c r="B720" i="15"/>
  <c r="C720" i="15" s="1"/>
  <c r="B721" i="15"/>
  <c r="C721" i="15" s="1"/>
  <c r="B722" i="15"/>
  <c r="C722" i="15" s="1"/>
  <c r="B723" i="15"/>
  <c r="C723" i="15" s="1"/>
  <c r="B724" i="15"/>
  <c r="C724" i="15" s="1"/>
  <c r="B725" i="15"/>
  <c r="C725" i="15" s="1"/>
  <c r="B726" i="15"/>
  <c r="C726" i="15" s="1"/>
  <c r="B727" i="15"/>
  <c r="C727" i="15" s="1"/>
  <c r="B728" i="15"/>
  <c r="C728" i="15" s="1"/>
  <c r="B729" i="15"/>
  <c r="C729" i="15" s="1"/>
  <c r="B730" i="15"/>
  <c r="C730" i="15" s="1"/>
  <c r="B731" i="15"/>
  <c r="C731" i="15" s="1"/>
  <c r="B732" i="15"/>
  <c r="C732" i="15" s="1"/>
  <c r="B733" i="15"/>
  <c r="C733" i="15" s="1"/>
  <c r="B734" i="15"/>
  <c r="C734" i="15" s="1"/>
  <c r="B735" i="15"/>
  <c r="C735" i="15" s="1"/>
  <c r="B736" i="15"/>
  <c r="C736" i="15" s="1"/>
  <c r="B737" i="15"/>
  <c r="C737" i="15" s="1"/>
  <c r="B738" i="15"/>
  <c r="C738" i="15" s="1"/>
  <c r="B739" i="15"/>
  <c r="C739" i="15" s="1"/>
  <c r="B740" i="15"/>
  <c r="C740" i="15" s="1"/>
  <c r="B741" i="15"/>
  <c r="C741" i="15" s="1"/>
  <c r="B742" i="15"/>
  <c r="C742" i="15" s="1"/>
  <c r="B743" i="15"/>
  <c r="C743" i="15" s="1"/>
  <c r="B744" i="15"/>
  <c r="C744" i="15" s="1"/>
  <c r="B745" i="15"/>
  <c r="C745" i="15" s="1"/>
  <c r="B746" i="15"/>
  <c r="C746" i="15" s="1"/>
  <c r="B747" i="15"/>
  <c r="C747" i="15" s="1"/>
  <c r="B748" i="15"/>
  <c r="C748" i="15" s="1"/>
  <c r="B749" i="15"/>
  <c r="C749" i="15" s="1"/>
  <c r="B750" i="15"/>
  <c r="C750" i="15" s="1"/>
  <c r="B751" i="15"/>
  <c r="C751" i="15" s="1"/>
  <c r="B752" i="15"/>
  <c r="C752" i="15" s="1"/>
  <c r="B753" i="15"/>
  <c r="C753" i="15" s="1"/>
  <c r="B754" i="15"/>
  <c r="C754" i="15" s="1"/>
  <c r="B755" i="15"/>
  <c r="C755" i="15" s="1"/>
  <c r="B756" i="15"/>
  <c r="C756" i="15" s="1"/>
  <c r="B757" i="15"/>
  <c r="C757" i="15" s="1"/>
  <c r="B758" i="15"/>
  <c r="C758" i="15" s="1"/>
  <c r="B759" i="15"/>
  <c r="C759" i="15" s="1"/>
  <c r="B760" i="15"/>
  <c r="C760" i="15" s="1"/>
  <c r="B761" i="15"/>
  <c r="C761" i="15" s="1"/>
  <c r="B762" i="15"/>
  <c r="C762" i="15" s="1"/>
  <c r="B763" i="15"/>
  <c r="C763" i="15" s="1"/>
  <c r="B764" i="15"/>
  <c r="C764" i="15" s="1"/>
  <c r="B765" i="15"/>
  <c r="C765" i="15" s="1"/>
  <c r="B766" i="15"/>
  <c r="C766" i="15" s="1"/>
  <c r="B767" i="15"/>
  <c r="C767" i="15" s="1"/>
  <c r="B768" i="15"/>
  <c r="C768" i="15" s="1"/>
  <c r="B769" i="15"/>
  <c r="C769" i="15" s="1"/>
  <c r="B770" i="15"/>
  <c r="C770" i="15" s="1"/>
  <c r="B771" i="15"/>
  <c r="C771" i="15" s="1"/>
  <c r="B772" i="15"/>
  <c r="C772" i="15" s="1"/>
  <c r="B773" i="15"/>
  <c r="C773" i="15" s="1"/>
  <c r="B774" i="15"/>
  <c r="C774" i="15" s="1"/>
  <c r="B775" i="15"/>
  <c r="B776" i="15"/>
  <c r="C776" i="15" s="1"/>
  <c r="B777" i="15"/>
  <c r="C777" i="15" s="1"/>
  <c r="B778" i="15"/>
  <c r="C778" i="15" s="1"/>
  <c r="B779" i="15"/>
  <c r="C779" i="15" s="1"/>
  <c r="B780" i="15"/>
  <c r="C780" i="15" s="1"/>
  <c r="B781" i="15"/>
  <c r="C781" i="15" s="1"/>
  <c r="B782" i="15"/>
  <c r="C782" i="15" s="1"/>
  <c r="B783" i="15"/>
  <c r="C783" i="15" s="1"/>
  <c r="B784" i="15"/>
  <c r="C784" i="15" s="1"/>
  <c r="B785" i="15"/>
  <c r="C785" i="15" s="1"/>
  <c r="B786" i="15"/>
  <c r="C786" i="15" s="1"/>
  <c r="B787" i="15"/>
  <c r="C787" i="15" s="1"/>
  <c r="B788" i="15"/>
  <c r="C788" i="15" s="1"/>
  <c r="B789" i="15"/>
  <c r="C789" i="15" s="1"/>
  <c r="B790" i="15"/>
  <c r="C790" i="15" s="1"/>
  <c r="B791" i="15"/>
  <c r="C791" i="15" s="1"/>
  <c r="B792" i="15"/>
  <c r="C792" i="15" s="1"/>
  <c r="B793" i="15"/>
  <c r="C793" i="15" s="1"/>
  <c r="B794" i="15"/>
  <c r="C794" i="15" s="1"/>
  <c r="B795" i="15"/>
  <c r="C795" i="15" s="1"/>
  <c r="B796" i="15"/>
  <c r="C796" i="15" s="1"/>
  <c r="B797" i="15"/>
  <c r="C797" i="15" s="1"/>
  <c r="B798" i="15"/>
  <c r="C798" i="15" s="1"/>
  <c r="B799" i="15"/>
  <c r="C799" i="15" s="1"/>
  <c r="B800" i="15"/>
  <c r="C800" i="15" s="1"/>
  <c r="B801" i="15"/>
  <c r="C801" i="15" s="1"/>
  <c r="B802" i="15"/>
  <c r="C802" i="15" s="1"/>
  <c r="B803" i="15"/>
  <c r="C803" i="15" s="1"/>
  <c r="B804" i="15"/>
  <c r="C804" i="15" s="1"/>
  <c r="B805" i="15"/>
  <c r="C805" i="15" s="1"/>
  <c r="B806" i="15"/>
  <c r="C806" i="15" s="1"/>
  <c r="B807" i="15"/>
  <c r="C807" i="15" s="1"/>
  <c r="B808" i="15"/>
  <c r="C808" i="15" s="1"/>
  <c r="B809" i="15"/>
  <c r="C809" i="15" s="1"/>
  <c r="B810" i="15"/>
  <c r="C810" i="15" s="1"/>
  <c r="B811" i="15"/>
  <c r="C811" i="15" s="1"/>
  <c r="B812" i="15"/>
  <c r="C812" i="15" s="1"/>
  <c r="B813" i="15"/>
  <c r="C813" i="15" s="1"/>
  <c r="B814" i="15"/>
  <c r="C814" i="15" s="1"/>
  <c r="B815" i="15"/>
  <c r="C815" i="15" s="1"/>
  <c r="B816" i="15"/>
  <c r="C816" i="15" s="1"/>
  <c r="B817" i="15"/>
  <c r="C817" i="15" s="1"/>
  <c r="B818" i="15"/>
  <c r="C818" i="15" s="1"/>
  <c r="B819" i="15"/>
  <c r="C819" i="15" s="1"/>
  <c r="B820" i="15"/>
  <c r="C820" i="15" s="1"/>
  <c r="B821" i="15"/>
  <c r="C821" i="15" s="1"/>
  <c r="B822" i="15"/>
  <c r="C822" i="15" s="1"/>
  <c r="B823" i="15"/>
  <c r="C823" i="15" s="1"/>
  <c r="B824" i="15"/>
  <c r="C824" i="15" s="1"/>
  <c r="B825" i="15"/>
  <c r="C825" i="15" s="1"/>
  <c r="B826" i="15"/>
  <c r="C826" i="15" s="1"/>
  <c r="B827" i="15"/>
  <c r="C827" i="15" s="1"/>
  <c r="B828" i="15"/>
  <c r="C828" i="15" s="1"/>
  <c r="B829" i="15"/>
  <c r="C829" i="15" s="1"/>
  <c r="B830" i="15"/>
  <c r="C830" i="15" s="1"/>
  <c r="B831" i="15"/>
  <c r="C831" i="15" s="1"/>
  <c r="B832" i="15"/>
  <c r="C832" i="15" s="1"/>
  <c r="B833" i="15"/>
  <c r="C833" i="15" s="1"/>
  <c r="B834" i="15"/>
  <c r="C834" i="15" s="1"/>
  <c r="B835" i="15"/>
  <c r="C835" i="15" s="1"/>
  <c r="B836" i="15"/>
  <c r="C836" i="15" s="1"/>
  <c r="B837" i="15"/>
  <c r="C837" i="15" s="1"/>
  <c r="B838" i="15"/>
  <c r="C838" i="15" s="1"/>
  <c r="B839" i="15"/>
  <c r="C839" i="15" s="1"/>
  <c r="B840" i="15"/>
  <c r="C840" i="15" s="1"/>
  <c r="B841" i="15"/>
  <c r="C841" i="15" s="1"/>
  <c r="B842" i="15"/>
  <c r="C842" i="15" s="1"/>
  <c r="B843" i="15"/>
  <c r="C843" i="15" s="1"/>
  <c r="B844" i="15"/>
  <c r="C844" i="15" s="1"/>
  <c r="B845" i="15"/>
  <c r="C845" i="15" s="1"/>
  <c r="B846" i="15"/>
  <c r="C846" i="15" s="1"/>
  <c r="B847" i="15"/>
  <c r="C847" i="15" s="1"/>
  <c r="B848" i="15"/>
  <c r="C848" i="15" s="1"/>
  <c r="B849" i="15"/>
  <c r="C849" i="15" s="1"/>
  <c r="B850" i="15"/>
  <c r="C850" i="15" s="1"/>
  <c r="B851" i="15"/>
  <c r="C851" i="15" s="1"/>
  <c r="B852" i="15"/>
  <c r="C852" i="15" s="1"/>
  <c r="B853" i="15"/>
  <c r="C853" i="15" s="1"/>
  <c r="B854" i="15"/>
  <c r="C854" i="15" s="1"/>
  <c r="B855" i="15"/>
  <c r="C855" i="15" s="1"/>
  <c r="B856" i="15"/>
  <c r="C856" i="15" s="1"/>
  <c r="B857" i="15"/>
  <c r="C857" i="15" s="1"/>
  <c r="B858" i="15"/>
  <c r="C858" i="15" s="1"/>
  <c r="B859" i="15"/>
  <c r="C859" i="15" s="1"/>
  <c r="B860" i="15"/>
  <c r="C860" i="15" s="1"/>
  <c r="B861" i="15"/>
  <c r="C861" i="15" s="1"/>
  <c r="B862" i="15"/>
  <c r="C862" i="15" s="1"/>
  <c r="B863" i="15"/>
  <c r="C863" i="15" s="1"/>
  <c r="B864" i="15"/>
  <c r="C864" i="15" s="1"/>
  <c r="B865" i="15"/>
  <c r="C865" i="15" s="1"/>
  <c r="B866" i="15"/>
  <c r="C866" i="15" s="1"/>
  <c r="B867" i="15"/>
  <c r="C867" i="15" s="1"/>
  <c r="B868" i="15"/>
  <c r="C868" i="15" s="1"/>
  <c r="B869" i="15"/>
  <c r="C869" i="15" s="1"/>
  <c r="B870" i="15"/>
  <c r="C870" i="15" s="1"/>
  <c r="B871" i="15"/>
  <c r="C871" i="15" s="1"/>
  <c r="B872" i="15"/>
  <c r="C872" i="15" s="1"/>
  <c r="B873" i="15"/>
  <c r="C873" i="15" s="1"/>
  <c r="B874" i="15"/>
  <c r="C874" i="15" s="1"/>
  <c r="B875" i="15"/>
  <c r="C875" i="15" s="1"/>
  <c r="B876" i="15"/>
  <c r="C876" i="15" s="1"/>
  <c r="B877" i="15"/>
  <c r="C877" i="15" s="1"/>
  <c r="B878" i="15"/>
  <c r="C878" i="15" s="1"/>
  <c r="B879" i="15"/>
  <c r="C879" i="15" s="1"/>
  <c r="B880" i="15"/>
  <c r="C880" i="15" s="1"/>
  <c r="B881" i="15"/>
  <c r="C881" i="15" s="1"/>
  <c r="B882" i="15"/>
  <c r="C882" i="15" s="1"/>
  <c r="B883" i="15"/>
  <c r="C883" i="15" s="1"/>
  <c r="B884" i="15"/>
  <c r="C884" i="15" s="1"/>
  <c r="B885" i="15"/>
  <c r="C885" i="15" s="1"/>
  <c r="B886" i="15"/>
  <c r="C886" i="15" s="1"/>
  <c r="B887" i="15"/>
  <c r="C887" i="15" s="1"/>
  <c r="B888" i="15"/>
  <c r="C888" i="15" s="1"/>
  <c r="B889" i="15"/>
  <c r="C889" i="15" s="1"/>
  <c r="B890" i="15"/>
  <c r="C890" i="15" s="1"/>
  <c r="B891" i="15"/>
  <c r="C891" i="15" s="1"/>
  <c r="B892" i="15"/>
  <c r="C892" i="15" s="1"/>
  <c r="B893" i="15"/>
  <c r="C893" i="15" s="1"/>
  <c r="B894" i="15"/>
  <c r="C894" i="15" s="1"/>
  <c r="B895" i="15"/>
  <c r="C895" i="15" s="1"/>
  <c r="B896" i="15"/>
  <c r="C896" i="15" s="1"/>
  <c r="B897" i="15"/>
  <c r="C897" i="15" s="1"/>
  <c r="B898" i="15"/>
  <c r="C898" i="15" s="1"/>
  <c r="B899" i="15"/>
  <c r="C899" i="15" s="1"/>
  <c r="B900" i="15"/>
  <c r="C900" i="15" s="1"/>
  <c r="B901" i="15"/>
  <c r="C901" i="15" s="1"/>
  <c r="B902" i="15"/>
  <c r="C902" i="15" s="1"/>
  <c r="B903" i="15"/>
  <c r="C903" i="15" s="1"/>
  <c r="B904" i="15"/>
  <c r="C904" i="15" s="1"/>
  <c r="B905" i="15"/>
  <c r="C905" i="15" s="1"/>
  <c r="B906" i="15"/>
  <c r="C906" i="15" s="1"/>
  <c r="B907" i="15"/>
  <c r="C907" i="15" s="1"/>
  <c r="B908" i="15"/>
  <c r="C908" i="15" s="1"/>
  <c r="B909" i="15"/>
  <c r="C909" i="15" s="1"/>
  <c r="B910" i="15"/>
  <c r="C910" i="15" s="1"/>
  <c r="B911" i="15"/>
  <c r="C911" i="15" s="1"/>
  <c r="B912" i="15"/>
  <c r="C912" i="15" s="1"/>
  <c r="B913" i="15"/>
  <c r="C913" i="15" s="1"/>
  <c r="B914" i="15"/>
  <c r="C914" i="15" s="1"/>
  <c r="B915" i="15"/>
  <c r="C915" i="15" s="1"/>
  <c r="B916" i="15"/>
  <c r="C916" i="15" s="1"/>
  <c r="B917" i="15"/>
  <c r="C917" i="15" s="1"/>
  <c r="B918" i="15"/>
  <c r="C918" i="15" s="1"/>
  <c r="B919" i="15"/>
  <c r="C919" i="15" s="1"/>
  <c r="B920" i="15"/>
  <c r="C920" i="15" s="1"/>
  <c r="B921" i="15"/>
  <c r="C921" i="15" s="1"/>
  <c r="B922" i="15"/>
  <c r="C922" i="15" s="1"/>
  <c r="B923" i="15"/>
  <c r="C923" i="15" s="1"/>
  <c r="B924" i="15"/>
  <c r="C924" i="15" s="1"/>
  <c r="B925" i="15"/>
  <c r="C925" i="15" s="1"/>
  <c r="B926" i="15"/>
  <c r="C926" i="15" s="1"/>
  <c r="B927" i="15"/>
  <c r="C927" i="15" s="1"/>
  <c r="B928" i="15"/>
  <c r="C928" i="15" s="1"/>
  <c r="B929" i="15"/>
  <c r="C929" i="15" s="1"/>
  <c r="B930" i="15"/>
  <c r="C930" i="15" s="1"/>
  <c r="B931" i="15"/>
  <c r="C931" i="15" s="1"/>
  <c r="B932" i="15"/>
  <c r="C932" i="15" s="1"/>
  <c r="B933" i="15"/>
  <c r="C933" i="15" s="1"/>
  <c r="B934" i="15"/>
  <c r="C934" i="15" s="1"/>
  <c r="B935" i="15"/>
  <c r="C935" i="15" s="1"/>
  <c r="B936" i="15"/>
  <c r="C936" i="15" s="1"/>
  <c r="B937" i="15"/>
  <c r="C937" i="15" s="1"/>
  <c r="B938" i="15"/>
  <c r="C938" i="15" s="1"/>
  <c r="B939" i="15"/>
  <c r="C939" i="15" s="1"/>
  <c r="B940" i="15"/>
  <c r="C940" i="15" s="1"/>
  <c r="B941" i="15"/>
  <c r="C941" i="15" s="1"/>
  <c r="B942" i="15"/>
  <c r="C942" i="15" s="1"/>
  <c r="B943" i="15"/>
  <c r="C943" i="15" s="1"/>
  <c r="B944" i="15"/>
  <c r="C944" i="15" s="1"/>
  <c r="B945" i="15"/>
  <c r="C945" i="15" s="1"/>
  <c r="B946" i="15"/>
  <c r="C946" i="15" s="1"/>
  <c r="B947" i="15"/>
  <c r="C947" i="15" s="1"/>
  <c r="B948" i="15"/>
  <c r="C948" i="15" s="1"/>
  <c r="B949" i="15"/>
  <c r="C949" i="15" s="1"/>
  <c r="B950" i="15"/>
  <c r="C950" i="15" s="1"/>
  <c r="B951" i="15"/>
  <c r="C951" i="15" s="1"/>
  <c r="B952" i="15"/>
  <c r="C952" i="15" s="1"/>
  <c r="B953" i="15"/>
  <c r="C953" i="15" s="1"/>
  <c r="B954" i="15"/>
  <c r="C954" i="15" s="1"/>
  <c r="B955" i="15"/>
  <c r="C955" i="15" s="1"/>
  <c r="B956" i="15"/>
  <c r="C956" i="15" s="1"/>
  <c r="B957" i="15"/>
  <c r="C957" i="15" s="1"/>
  <c r="B958" i="15"/>
  <c r="C958" i="15" s="1"/>
  <c r="B959" i="15"/>
  <c r="C959" i="15" s="1"/>
  <c r="B960" i="15"/>
  <c r="C960" i="15" s="1"/>
  <c r="B961" i="15"/>
  <c r="C961" i="15" s="1"/>
  <c r="B962" i="15"/>
  <c r="C962" i="15" s="1"/>
  <c r="B963" i="15"/>
  <c r="C963" i="15" s="1"/>
  <c r="B964" i="15"/>
  <c r="C964" i="15" s="1"/>
  <c r="B965" i="15"/>
  <c r="C965" i="15" s="1"/>
  <c r="B966" i="15"/>
  <c r="C966" i="15" s="1"/>
  <c r="B967" i="15"/>
  <c r="C967" i="15" s="1"/>
  <c r="B968" i="15"/>
  <c r="C968" i="15" s="1"/>
  <c r="B969" i="15"/>
  <c r="C969" i="15" s="1"/>
  <c r="B970" i="15"/>
  <c r="C970" i="15" s="1"/>
  <c r="B971" i="15"/>
  <c r="C971" i="15" s="1"/>
  <c r="B972" i="15"/>
  <c r="C972" i="15" s="1"/>
  <c r="B973" i="15"/>
  <c r="C973" i="15" s="1"/>
  <c r="B974" i="15"/>
  <c r="C974" i="15" s="1"/>
  <c r="B975" i="15"/>
  <c r="C975" i="15" s="1"/>
  <c r="B976" i="15"/>
  <c r="C976" i="15" s="1"/>
  <c r="B977" i="15"/>
  <c r="C977" i="15" s="1"/>
  <c r="B978" i="15"/>
  <c r="C978" i="15" s="1"/>
  <c r="B979" i="15"/>
  <c r="C979" i="15" s="1"/>
  <c r="B980" i="15"/>
  <c r="C980" i="15" s="1"/>
  <c r="B981" i="15"/>
  <c r="C981" i="15" s="1"/>
  <c r="B982" i="15"/>
  <c r="C982" i="15" s="1"/>
  <c r="B983" i="15"/>
  <c r="C983" i="15" s="1"/>
  <c r="B984" i="15"/>
  <c r="C984" i="15" s="1"/>
  <c r="B985" i="15"/>
  <c r="C985" i="15" s="1"/>
  <c r="B986" i="15"/>
  <c r="C986" i="15" s="1"/>
  <c r="B987" i="15"/>
  <c r="C987" i="15" s="1"/>
  <c r="B988" i="15"/>
  <c r="C988" i="15" s="1"/>
  <c r="B989" i="15"/>
  <c r="C989" i="15" s="1"/>
  <c r="B990" i="15"/>
  <c r="C990" i="15" s="1"/>
  <c r="B991" i="15"/>
  <c r="C991" i="15" s="1"/>
  <c r="B992" i="15"/>
  <c r="C992" i="15" s="1"/>
  <c r="B993" i="15"/>
  <c r="C993" i="15" s="1"/>
  <c r="B994" i="15"/>
  <c r="C994" i="15" s="1"/>
  <c r="B995" i="15"/>
  <c r="C995" i="15" s="1"/>
  <c r="B996" i="15"/>
  <c r="C996" i="15" s="1"/>
  <c r="B997" i="15"/>
  <c r="C997" i="15" s="1"/>
  <c r="B998" i="15"/>
  <c r="C998" i="15" s="1"/>
  <c r="B999" i="15"/>
  <c r="C999" i="15" s="1"/>
  <c r="B1000" i="15"/>
  <c r="C1000" i="15" s="1"/>
  <c r="B1001" i="15"/>
  <c r="C1001" i="15" s="1"/>
  <c r="B1002" i="15"/>
  <c r="C1002" i="15" s="1"/>
  <c r="B1003" i="15"/>
  <c r="C1003" i="15" s="1"/>
  <c r="B1004" i="15"/>
  <c r="C1004" i="15" s="1"/>
  <c r="B1005" i="15"/>
  <c r="C1005" i="15" s="1"/>
  <c r="B1006" i="15"/>
  <c r="C1006" i="15" s="1"/>
  <c r="B1007" i="15"/>
  <c r="C1007" i="15" s="1"/>
  <c r="B1008" i="15"/>
  <c r="C1008" i="15" s="1"/>
  <c r="B1009" i="15"/>
  <c r="C1009" i="15" s="1"/>
  <c r="B1010" i="15"/>
  <c r="C1010" i="15" s="1"/>
  <c r="B1011" i="15"/>
  <c r="C1011" i="15" s="1"/>
  <c r="B1012" i="15"/>
  <c r="C1012" i="15" s="1"/>
  <c r="B1013" i="15"/>
  <c r="C1013" i="15" s="1"/>
  <c r="B1014" i="15"/>
  <c r="C1014" i="15" s="1"/>
  <c r="B1015" i="15"/>
  <c r="C1015" i="15" s="1"/>
  <c r="B1016" i="15"/>
  <c r="C1016" i="15" s="1"/>
  <c r="B1017" i="15"/>
  <c r="C1017" i="15" s="1"/>
  <c r="B1018" i="15"/>
  <c r="C1018" i="15" s="1"/>
  <c r="B1019" i="15"/>
  <c r="C1019" i="15" s="1"/>
  <c r="B1020" i="15"/>
  <c r="C1020" i="15" s="1"/>
  <c r="B1021" i="15"/>
  <c r="C1021" i="15" s="1"/>
  <c r="B1022" i="15"/>
  <c r="C1022" i="15" s="1"/>
  <c r="B1023" i="15"/>
  <c r="C1023" i="15" s="1"/>
  <c r="B1024" i="15"/>
  <c r="C1024" i="15" s="1"/>
  <c r="B1025" i="15"/>
  <c r="C1025" i="15" s="1"/>
  <c r="B1026" i="15"/>
  <c r="C1026" i="15" s="1"/>
  <c r="B1027" i="15"/>
  <c r="C1027" i="15" s="1"/>
  <c r="B1028" i="15"/>
  <c r="C1028" i="15" s="1"/>
  <c r="B1029" i="15"/>
  <c r="C1029" i="15" s="1"/>
  <c r="B1030" i="15"/>
  <c r="C1030" i="15" s="1"/>
  <c r="B1031" i="15"/>
  <c r="C1031" i="15" s="1"/>
  <c r="B1032" i="15"/>
  <c r="C1032" i="15" s="1"/>
  <c r="B1033" i="15"/>
  <c r="C1033" i="15" s="1"/>
  <c r="B1034" i="15"/>
  <c r="C1034" i="15" s="1"/>
  <c r="B1035" i="15"/>
  <c r="C1035" i="15" s="1"/>
  <c r="B1036" i="15"/>
  <c r="C1036" i="15" s="1"/>
  <c r="B1037" i="15"/>
  <c r="C1037" i="15" s="1"/>
  <c r="B1038" i="15"/>
  <c r="C1038" i="15" s="1"/>
  <c r="B1039" i="15"/>
  <c r="C1039" i="15" s="1"/>
  <c r="B1040" i="15"/>
  <c r="C1040" i="15" s="1"/>
  <c r="B1041" i="15"/>
  <c r="C1041" i="15" s="1"/>
  <c r="B1042" i="15"/>
  <c r="C1042" i="15" s="1"/>
  <c r="B1043" i="15"/>
  <c r="C1043" i="15" s="1"/>
  <c r="B1044" i="15"/>
  <c r="C1044" i="15" s="1"/>
  <c r="B1045" i="15"/>
  <c r="C1045" i="15" s="1"/>
  <c r="B1046" i="15"/>
  <c r="C1046" i="15" s="1"/>
  <c r="B1047" i="15"/>
  <c r="C1047" i="15" s="1"/>
  <c r="B1048" i="15"/>
  <c r="C1048" i="15" s="1"/>
  <c r="B1049" i="15"/>
  <c r="C1049" i="15" s="1"/>
  <c r="B1050" i="15"/>
  <c r="C1050" i="15" s="1"/>
  <c r="B1051" i="15"/>
  <c r="C1051" i="15" s="1"/>
  <c r="B1052" i="15"/>
  <c r="C1052" i="15" s="1"/>
  <c r="B1053" i="15"/>
  <c r="C1053" i="15" s="1"/>
  <c r="B1054" i="15"/>
  <c r="C1054" i="15" s="1"/>
  <c r="B1055" i="15"/>
  <c r="C1055" i="15" s="1"/>
  <c r="B1056" i="15"/>
  <c r="C1056" i="15" s="1"/>
  <c r="B1057" i="15"/>
  <c r="C1057" i="15" s="1"/>
  <c r="B1058" i="15"/>
  <c r="C1058" i="15" s="1"/>
  <c r="B1059" i="15"/>
  <c r="C1059" i="15" s="1"/>
  <c r="B1060" i="15"/>
  <c r="C1060" i="15" s="1"/>
  <c r="B1061" i="15"/>
  <c r="C1061" i="15" s="1"/>
  <c r="B1062" i="15"/>
  <c r="C1062" i="15" s="1"/>
  <c r="B1063" i="15"/>
  <c r="C1063" i="15" s="1"/>
  <c r="B1064" i="15"/>
  <c r="C1064" i="15" s="1"/>
  <c r="B1065" i="15"/>
  <c r="C1065" i="15" s="1"/>
  <c r="B1066" i="15"/>
  <c r="C1066" i="15" s="1"/>
  <c r="B1067" i="15"/>
  <c r="C1067" i="15" s="1"/>
  <c r="B1068" i="15"/>
  <c r="C1068" i="15" s="1"/>
  <c r="B1069" i="15"/>
  <c r="C1069" i="15" s="1"/>
  <c r="B1070" i="15"/>
  <c r="C1070" i="15" s="1"/>
  <c r="B1071" i="15"/>
  <c r="C1071" i="15" s="1"/>
  <c r="B1072" i="15"/>
  <c r="C1072" i="15" s="1"/>
  <c r="B1073" i="15"/>
  <c r="C1073" i="15" s="1"/>
  <c r="B1074" i="15"/>
  <c r="C1074" i="15" s="1"/>
  <c r="B1075" i="15"/>
  <c r="C1075" i="15" s="1"/>
  <c r="B1076" i="15"/>
  <c r="C1076" i="15" s="1"/>
  <c r="B1077" i="15"/>
  <c r="C1077" i="15" s="1"/>
  <c r="B1078" i="15"/>
  <c r="C1078" i="15" s="1"/>
  <c r="B1079" i="15"/>
  <c r="C1079" i="15" s="1"/>
  <c r="B1080" i="15"/>
  <c r="C1080" i="15" s="1"/>
  <c r="B1081" i="15"/>
  <c r="C1081" i="15" s="1"/>
  <c r="B1082" i="15"/>
  <c r="C1082" i="15" s="1"/>
  <c r="B1083" i="15"/>
  <c r="C1083" i="15" s="1"/>
  <c r="B1084" i="15"/>
  <c r="C1084" i="15" s="1"/>
  <c r="B1085" i="15"/>
  <c r="C1085" i="15" s="1"/>
  <c r="B1086" i="15"/>
  <c r="C1086" i="15" s="1"/>
  <c r="B1087" i="15"/>
  <c r="C1087" i="15" s="1"/>
  <c r="B1088" i="15"/>
  <c r="C1088" i="15" s="1"/>
  <c r="B1089" i="15"/>
  <c r="C1089" i="15" s="1"/>
  <c r="B1090" i="15"/>
  <c r="C1090" i="15" s="1"/>
  <c r="B1091" i="15"/>
  <c r="C1091" i="15" s="1"/>
  <c r="B1092" i="15"/>
  <c r="C1092" i="15" s="1"/>
  <c r="B1093" i="15"/>
  <c r="C1093" i="15" s="1"/>
  <c r="B1094" i="15"/>
  <c r="C1094" i="15" s="1"/>
  <c r="B1095" i="15"/>
  <c r="C1095" i="15" s="1"/>
  <c r="B1096" i="15"/>
  <c r="C1096" i="15" s="1"/>
  <c r="B1097" i="15"/>
  <c r="C1097" i="15" s="1"/>
  <c r="B1098" i="15"/>
  <c r="C1098" i="15" s="1"/>
  <c r="B1099" i="15"/>
  <c r="C1099" i="15" s="1"/>
  <c r="B1100" i="15"/>
  <c r="C1100" i="15" s="1"/>
  <c r="B1101" i="15"/>
  <c r="C1101" i="15" s="1"/>
  <c r="B1102" i="15"/>
  <c r="C1102" i="15" s="1"/>
  <c r="B1103" i="15"/>
  <c r="C1103" i="15" s="1"/>
  <c r="B1104" i="15"/>
  <c r="C1104" i="15" s="1"/>
  <c r="B1105" i="15"/>
  <c r="C1105" i="15" s="1"/>
  <c r="B1106" i="15"/>
  <c r="C1106" i="15" s="1"/>
  <c r="B1107" i="15"/>
  <c r="C1107" i="15" s="1"/>
  <c r="B1108" i="15"/>
  <c r="C1108" i="15" s="1"/>
  <c r="B1109" i="15"/>
  <c r="C1109" i="15" s="1"/>
  <c r="B1110" i="15"/>
  <c r="C1110" i="15" s="1"/>
  <c r="B1111" i="15"/>
  <c r="C1111" i="15" s="1"/>
  <c r="B1112" i="15"/>
  <c r="C1112" i="15" s="1"/>
  <c r="B1113" i="15"/>
  <c r="C1113" i="15" s="1"/>
  <c r="B1114" i="15"/>
  <c r="C1114" i="15" s="1"/>
  <c r="B1115" i="15"/>
  <c r="C1115" i="15" s="1"/>
  <c r="B1116" i="15"/>
  <c r="C1116" i="15" s="1"/>
  <c r="B1117" i="15"/>
  <c r="C1117" i="15" s="1"/>
  <c r="B1118" i="15"/>
  <c r="C1118" i="15" s="1"/>
  <c r="B1119" i="15"/>
  <c r="C1119" i="15" s="1"/>
  <c r="B1120" i="15"/>
  <c r="C1120" i="15" s="1"/>
  <c r="B1121" i="15"/>
  <c r="C1121" i="15" s="1"/>
  <c r="B1122" i="15"/>
  <c r="C1122" i="15" s="1"/>
  <c r="B1123" i="15"/>
  <c r="C1123" i="15" s="1"/>
  <c r="B1124" i="15"/>
  <c r="C1124" i="15" s="1"/>
  <c r="B1125" i="15"/>
  <c r="C1125" i="15" s="1"/>
  <c r="B1126" i="15"/>
  <c r="C1126" i="15" s="1"/>
  <c r="B1127" i="15"/>
  <c r="C1127" i="15" s="1"/>
  <c r="B1128" i="15"/>
  <c r="C1128" i="15" s="1"/>
  <c r="B1129" i="15"/>
  <c r="C1129" i="15" s="1"/>
  <c r="B1130" i="15"/>
  <c r="C1130" i="15" s="1"/>
  <c r="B1131" i="15"/>
  <c r="C1131" i="15" s="1"/>
  <c r="B1132" i="15"/>
  <c r="C1132" i="15" s="1"/>
  <c r="B1133" i="15"/>
  <c r="C1133" i="15" s="1"/>
  <c r="B1134" i="15"/>
  <c r="C1134" i="15" s="1"/>
  <c r="B1135" i="15"/>
  <c r="C1135" i="15" s="1"/>
  <c r="B1136" i="15"/>
  <c r="C1136" i="15" s="1"/>
  <c r="B1137" i="15"/>
  <c r="C1137" i="15" s="1"/>
  <c r="B1138" i="15"/>
  <c r="C1138" i="15" s="1"/>
  <c r="B1139" i="15"/>
  <c r="C1139" i="15" s="1"/>
  <c r="B1140" i="15"/>
  <c r="C1140" i="15" s="1"/>
  <c r="B1141" i="15"/>
  <c r="C1141" i="15" s="1"/>
  <c r="B1142" i="15"/>
  <c r="C1142" i="15" s="1"/>
  <c r="B1143" i="15"/>
  <c r="C1143" i="15" s="1"/>
  <c r="B1144" i="15"/>
  <c r="C1144" i="15" s="1"/>
  <c r="B1145" i="15"/>
  <c r="C1145" i="15" s="1"/>
  <c r="B1146" i="15"/>
  <c r="C1146" i="15" s="1"/>
  <c r="B1147" i="15"/>
  <c r="C1147" i="15" s="1"/>
  <c r="B1148" i="15"/>
  <c r="C1148" i="15" s="1"/>
  <c r="B1149" i="15"/>
  <c r="C1149" i="15" s="1"/>
  <c r="B1150" i="15"/>
  <c r="C1150" i="15" s="1"/>
  <c r="B1151" i="15"/>
  <c r="C1151" i="15" s="1"/>
  <c r="B1152" i="15"/>
  <c r="C1152" i="15" s="1"/>
  <c r="B1153" i="15"/>
  <c r="C1153" i="15" s="1"/>
  <c r="B1154" i="15"/>
  <c r="C1154" i="15" s="1"/>
  <c r="B1155" i="15"/>
  <c r="C1155" i="15" s="1"/>
  <c r="B1156" i="15"/>
  <c r="C1156" i="15" s="1"/>
  <c r="B1157" i="15"/>
  <c r="C1157" i="15" s="1"/>
  <c r="B1158" i="15"/>
  <c r="C1158" i="15" s="1"/>
  <c r="B1159" i="15"/>
  <c r="C1159" i="15" s="1"/>
  <c r="B1160" i="15"/>
  <c r="C1160" i="15" s="1"/>
  <c r="B1161" i="15"/>
  <c r="C1161" i="15" s="1"/>
  <c r="B1162" i="15"/>
  <c r="C1162" i="15" s="1"/>
  <c r="B1163" i="15"/>
  <c r="C1163" i="15" s="1"/>
  <c r="B1164" i="15"/>
  <c r="C1164" i="15" s="1"/>
  <c r="B1165" i="15"/>
  <c r="C1165" i="15" s="1"/>
  <c r="B1166" i="15"/>
  <c r="C1166" i="15" s="1"/>
  <c r="B1167" i="15"/>
  <c r="C1167" i="15" s="1"/>
  <c r="B1168" i="15"/>
  <c r="C1168" i="15" s="1"/>
  <c r="B1169" i="15"/>
  <c r="C1169" i="15" s="1"/>
  <c r="B1170" i="15"/>
  <c r="C1170" i="15" s="1"/>
  <c r="B1171" i="15"/>
  <c r="C1171" i="15" s="1"/>
  <c r="B1172" i="15"/>
  <c r="C1172" i="15" s="1"/>
  <c r="B1173" i="15"/>
  <c r="C1173" i="15" s="1"/>
  <c r="B1174" i="15"/>
  <c r="C1174" i="15" s="1"/>
  <c r="B1175" i="15"/>
  <c r="C1175" i="15" s="1"/>
  <c r="B1176" i="15"/>
  <c r="C1176" i="15" s="1"/>
  <c r="B1177" i="15"/>
  <c r="C1177" i="15" s="1"/>
  <c r="B1178" i="15"/>
  <c r="C1178" i="15" s="1"/>
  <c r="B1179" i="15"/>
  <c r="C1179" i="15" s="1"/>
  <c r="B1180" i="15"/>
  <c r="C1180" i="15" s="1"/>
  <c r="B1181" i="15"/>
  <c r="C1181" i="15" s="1"/>
  <c r="B1182" i="15"/>
  <c r="C1182" i="15" s="1"/>
  <c r="B1183" i="15"/>
  <c r="C1183" i="15" s="1"/>
  <c r="B1184" i="15"/>
  <c r="C1184" i="15" s="1"/>
  <c r="B1185" i="15"/>
  <c r="C1185" i="15" s="1"/>
  <c r="B1186" i="15"/>
  <c r="C1186" i="15" s="1"/>
  <c r="B1187" i="15"/>
  <c r="C1187" i="15" s="1"/>
  <c r="B1188" i="15"/>
  <c r="C1188" i="15" s="1"/>
  <c r="B1189" i="15"/>
  <c r="C1189" i="15" s="1"/>
  <c r="B1190" i="15"/>
  <c r="C1190" i="15" s="1"/>
  <c r="B1191" i="15"/>
  <c r="C1191" i="15" s="1"/>
  <c r="B1192" i="15"/>
  <c r="C1192" i="15" s="1"/>
  <c r="B1193" i="15"/>
  <c r="C1193" i="15" s="1"/>
  <c r="B1194" i="15"/>
  <c r="C1194" i="15" s="1"/>
  <c r="B1195" i="15"/>
  <c r="C1195" i="15" s="1"/>
  <c r="B1196" i="15"/>
  <c r="C1196" i="15" s="1"/>
  <c r="B1197" i="15"/>
  <c r="C1197" i="15" s="1"/>
  <c r="B1198" i="15"/>
  <c r="C1198" i="15" s="1"/>
  <c r="B1199" i="15"/>
  <c r="C1199" i="15" s="1"/>
  <c r="B1200" i="15"/>
  <c r="C1200" i="15" s="1"/>
  <c r="B1201" i="15"/>
  <c r="C1201" i="15" s="1"/>
  <c r="B1202" i="15"/>
  <c r="C1202" i="15" s="1"/>
  <c r="B1203" i="15"/>
  <c r="C1203" i="15" s="1"/>
  <c r="B1204" i="15"/>
  <c r="C1204" i="15" s="1"/>
  <c r="B1205" i="15"/>
  <c r="C1205" i="15" s="1"/>
  <c r="B1206" i="15"/>
  <c r="C1206" i="15" s="1"/>
  <c r="B1207" i="15"/>
  <c r="C1207" i="15" s="1"/>
  <c r="B1208" i="15"/>
  <c r="C1208" i="15" s="1"/>
  <c r="B1209" i="15"/>
  <c r="C1209" i="15" s="1"/>
  <c r="B1210" i="15"/>
  <c r="C1210" i="15" s="1"/>
  <c r="B1211" i="15"/>
  <c r="C1211" i="15" s="1"/>
  <c r="B1212" i="15"/>
  <c r="C1212" i="15" s="1"/>
  <c r="B1213" i="15"/>
  <c r="C1213" i="15" s="1"/>
  <c r="B1214" i="15"/>
  <c r="C1214" i="15" s="1"/>
  <c r="B1215" i="15"/>
  <c r="C1215" i="15" s="1"/>
  <c r="B1216" i="15"/>
  <c r="C1216" i="15" s="1"/>
  <c r="B1217" i="15"/>
  <c r="C1217" i="15" s="1"/>
  <c r="B1218" i="15"/>
  <c r="C1218" i="15" s="1"/>
  <c r="B1219" i="15"/>
  <c r="C1219" i="15" s="1"/>
  <c r="B1220" i="15"/>
  <c r="C1220" i="15" s="1"/>
  <c r="B1221" i="15"/>
  <c r="C1221" i="15" s="1"/>
  <c r="B1222" i="15"/>
  <c r="C1222" i="15" s="1"/>
  <c r="B1223" i="15"/>
  <c r="C1223" i="15" s="1"/>
  <c r="B1224" i="15"/>
  <c r="C1224" i="15" s="1"/>
  <c r="B1225" i="15"/>
  <c r="C1225" i="15" s="1"/>
  <c r="B1226" i="15"/>
  <c r="C1226" i="15" s="1"/>
  <c r="B1227" i="15"/>
  <c r="C1227" i="15" s="1"/>
  <c r="B1228" i="15"/>
  <c r="C1228" i="15" s="1"/>
  <c r="B1229" i="15"/>
  <c r="C1229" i="15" s="1"/>
  <c r="B1230" i="15"/>
  <c r="C1230" i="15" s="1"/>
  <c r="B1231" i="15"/>
  <c r="C1231" i="15" s="1"/>
  <c r="B1232" i="15"/>
  <c r="C1232" i="15" s="1"/>
  <c r="B1233" i="15"/>
  <c r="C1233" i="15" s="1"/>
  <c r="B1234" i="15"/>
  <c r="C1234" i="15" s="1"/>
  <c r="B1235" i="15"/>
  <c r="C1235" i="15" s="1"/>
  <c r="B1236" i="15"/>
  <c r="C1236" i="15" s="1"/>
  <c r="B1237" i="15"/>
  <c r="C1237" i="15" s="1"/>
  <c r="B1238" i="15"/>
  <c r="C1238" i="15" s="1"/>
  <c r="B1239" i="15"/>
  <c r="C1239" i="15" s="1"/>
  <c r="B1240" i="15"/>
  <c r="C1240" i="15" s="1"/>
  <c r="B1241" i="15"/>
  <c r="C1241" i="15" s="1"/>
  <c r="B1242" i="15"/>
  <c r="C1242" i="15" s="1"/>
  <c r="B1243" i="15"/>
  <c r="C1243" i="15" s="1"/>
  <c r="B1244" i="15"/>
  <c r="C1244" i="15" s="1"/>
  <c r="B1245" i="15"/>
  <c r="C1245" i="15" s="1"/>
  <c r="B1246" i="15"/>
  <c r="C1246" i="15" s="1"/>
  <c r="B1247" i="15"/>
  <c r="C1247" i="15" s="1"/>
  <c r="B1248" i="15"/>
  <c r="C1248" i="15" s="1"/>
  <c r="B1249" i="15"/>
  <c r="C1249" i="15" s="1"/>
  <c r="B1250" i="15"/>
  <c r="C1250" i="15" s="1"/>
  <c r="B1251" i="15"/>
  <c r="C1251" i="15" s="1"/>
  <c r="B1252" i="15"/>
  <c r="C1252" i="15" s="1"/>
  <c r="B1253" i="15"/>
  <c r="C1253" i="15" s="1"/>
  <c r="B1254" i="15"/>
  <c r="C1254" i="15" s="1"/>
  <c r="B1255" i="15"/>
  <c r="C1255" i="15" s="1"/>
  <c r="B1256" i="15"/>
  <c r="C1256" i="15" s="1"/>
  <c r="B1257" i="15"/>
  <c r="C1257" i="15" s="1"/>
  <c r="B1258" i="15"/>
  <c r="C1258" i="15" s="1"/>
  <c r="B1259" i="15"/>
  <c r="C1259" i="15" s="1"/>
  <c r="B1260" i="15"/>
  <c r="C1260" i="15" s="1"/>
  <c r="B1261" i="15"/>
  <c r="C1261" i="15" s="1"/>
  <c r="B1262" i="15"/>
  <c r="C1262" i="15" s="1"/>
  <c r="B1263" i="15"/>
  <c r="C1263" i="15" s="1"/>
  <c r="B1264" i="15"/>
  <c r="C1264" i="15" s="1"/>
  <c r="B1265" i="15"/>
  <c r="C1265" i="15" s="1"/>
  <c r="B1266" i="15"/>
  <c r="C1266" i="15" s="1"/>
  <c r="B1267" i="15"/>
  <c r="C1267" i="15" s="1"/>
  <c r="B1268" i="15"/>
  <c r="C1268" i="15" s="1"/>
  <c r="B1269" i="15"/>
  <c r="C1269" i="15" s="1"/>
  <c r="B1270" i="15"/>
  <c r="C1270" i="15" s="1"/>
  <c r="B1271" i="15"/>
  <c r="C1271" i="15" s="1"/>
  <c r="B1272" i="15"/>
  <c r="C1272" i="15" s="1"/>
  <c r="B1273" i="15"/>
  <c r="C1273" i="15" s="1"/>
  <c r="B1274" i="15"/>
  <c r="C1274" i="15" s="1"/>
  <c r="B1275" i="15"/>
  <c r="C1275" i="15" s="1"/>
  <c r="B1276" i="15"/>
  <c r="C1276" i="15" s="1"/>
  <c r="B1277" i="15"/>
  <c r="C1277" i="15" s="1"/>
  <c r="B1278" i="15"/>
  <c r="C1278" i="15" s="1"/>
  <c r="B1279" i="15"/>
  <c r="C1279" i="15" s="1"/>
  <c r="B1280" i="15"/>
  <c r="C1280" i="15" s="1"/>
  <c r="B1281" i="15"/>
  <c r="C1281" i="15" s="1"/>
  <c r="B1282" i="15"/>
  <c r="C1282" i="15" s="1"/>
  <c r="B1283" i="15"/>
  <c r="C1283" i="15" s="1"/>
  <c r="B1284" i="15"/>
  <c r="C1284" i="15" s="1"/>
  <c r="B1285" i="15"/>
  <c r="C1285" i="15" s="1"/>
  <c r="B1286" i="15"/>
  <c r="C1286" i="15" s="1"/>
  <c r="B1287" i="15"/>
  <c r="C1287" i="15" s="1"/>
  <c r="B1288" i="15"/>
  <c r="C1288" i="15" s="1"/>
  <c r="B1289" i="15"/>
  <c r="C1289" i="15" s="1"/>
  <c r="B1290" i="15"/>
  <c r="C1290" i="15" s="1"/>
  <c r="B1291" i="15"/>
  <c r="C1291" i="15" s="1"/>
  <c r="B1292" i="15"/>
  <c r="C1292" i="15" s="1"/>
  <c r="B1293" i="15"/>
  <c r="C1293" i="15" s="1"/>
  <c r="B1294" i="15"/>
  <c r="C1294" i="15" s="1"/>
  <c r="B1295" i="15"/>
  <c r="C1295" i="15" s="1"/>
  <c r="B1296" i="15"/>
  <c r="C1296" i="15" s="1"/>
  <c r="B1297" i="15"/>
  <c r="C1297" i="15" s="1"/>
  <c r="B1298" i="15"/>
  <c r="C1298" i="15" s="1"/>
  <c r="B1299" i="15"/>
  <c r="C1299" i="15" s="1"/>
  <c r="B1300" i="15"/>
  <c r="C1300" i="15" s="1"/>
  <c r="B1301" i="15"/>
  <c r="C1301" i="15" s="1"/>
  <c r="B1302" i="15"/>
  <c r="C1302" i="15" s="1"/>
  <c r="B1303" i="15"/>
  <c r="C1303" i="15" s="1"/>
  <c r="B1304" i="15"/>
  <c r="C1304" i="15" s="1"/>
  <c r="B1305" i="15"/>
  <c r="C1305" i="15" s="1"/>
  <c r="B1306" i="15"/>
  <c r="C1306" i="15" s="1"/>
  <c r="B1307" i="15"/>
  <c r="C1307" i="15" s="1"/>
  <c r="B1308" i="15"/>
  <c r="C1308" i="15" s="1"/>
  <c r="B1309" i="15"/>
  <c r="C1309" i="15" s="1"/>
  <c r="B1310" i="15"/>
  <c r="C1310" i="15" s="1"/>
  <c r="B1311" i="15"/>
  <c r="C1311" i="15" s="1"/>
  <c r="B1312" i="15"/>
  <c r="C1312" i="15" s="1"/>
  <c r="B1313" i="15"/>
  <c r="C1313" i="15" s="1"/>
  <c r="B1314" i="15"/>
  <c r="C1314" i="15" s="1"/>
  <c r="B1315" i="15"/>
  <c r="C1315" i="15" s="1"/>
  <c r="B1316" i="15"/>
  <c r="C1316" i="15" s="1"/>
  <c r="B1317" i="15"/>
  <c r="C1317" i="15" s="1"/>
  <c r="B1318" i="15"/>
  <c r="C1318" i="15" s="1"/>
  <c r="B1319" i="15"/>
  <c r="C1319" i="15" s="1"/>
  <c r="B1320" i="15"/>
  <c r="C1320" i="15" s="1"/>
  <c r="B1321" i="15"/>
  <c r="C1321" i="15" s="1"/>
  <c r="B1322" i="15"/>
  <c r="C1322" i="15" s="1"/>
  <c r="B1323" i="15"/>
  <c r="C1323" i="15" s="1"/>
  <c r="B1324" i="15"/>
  <c r="C1324" i="15" s="1"/>
  <c r="B1325" i="15"/>
  <c r="C1325" i="15" s="1"/>
  <c r="B1326" i="15"/>
  <c r="C1326" i="15" s="1"/>
  <c r="B1327" i="15"/>
  <c r="C1327" i="15" s="1"/>
  <c r="B1328" i="15"/>
  <c r="C1328" i="15" s="1"/>
  <c r="B1329" i="15"/>
  <c r="C1329" i="15" s="1"/>
  <c r="B1330" i="15"/>
  <c r="C1330" i="15" s="1"/>
  <c r="B1331" i="15"/>
  <c r="C1331" i="15" s="1"/>
  <c r="B1332" i="15"/>
  <c r="C1332" i="15" s="1"/>
  <c r="B1333" i="15"/>
  <c r="C1333" i="15" s="1"/>
  <c r="B1334" i="15"/>
  <c r="C1334" i="15" s="1"/>
  <c r="B1335" i="15"/>
  <c r="C1335" i="15" s="1"/>
  <c r="B1336" i="15"/>
  <c r="C1336" i="15" s="1"/>
  <c r="B1337" i="15"/>
  <c r="C1337" i="15" s="1"/>
  <c r="B1338" i="15"/>
  <c r="C1338" i="15" s="1"/>
  <c r="B1339" i="15"/>
  <c r="C1339" i="15" s="1"/>
  <c r="B1340" i="15"/>
  <c r="C1340" i="15" s="1"/>
  <c r="B1341" i="15"/>
  <c r="C1341" i="15" s="1"/>
  <c r="B1342" i="15"/>
  <c r="C1342" i="15" s="1"/>
  <c r="B1343" i="15"/>
  <c r="C1343" i="15" s="1"/>
  <c r="B1344" i="15"/>
  <c r="C1344" i="15" s="1"/>
  <c r="B1345" i="15"/>
  <c r="C1345" i="15" s="1"/>
  <c r="B1346" i="15"/>
  <c r="C1346" i="15" s="1"/>
  <c r="B1347" i="15"/>
  <c r="C1347" i="15" s="1"/>
  <c r="B1348" i="15"/>
  <c r="C1348" i="15" s="1"/>
  <c r="B1349" i="15"/>
  <c r="C1349" i="15" s="1"/>
  <c r="B1350" i="15"/>
  <c r="C1350" i="15" s="1"/>
  <c r="B1351" i="15"/>
  <c r="C1351" i="15" s="1"/>
  <c r="B1352" i="15"/>
  <c r="C1352" i="15" s="1"/>
  <c r="B1353" i="15"/>
  <c r="C1353" i="15" s="1"/>
  <c r="B1354" i="15"/>
  <c r="C1354" i="15" s="1"/>
  <c r="B1355" i="15"/>
  <c r="C1355" i="15" s="1"/>
  <c r="B1356" i="15"/>
  <c r="C1356" i="15" s="1"/>
  <c r="B1357" i="15"/>
  <c r="C1357" i="15" s="1"/>
  <c r="B1358" i="15"/>
  <c r="C1358" i="15" s="1"/>
  <c r="B1359" i="15"/>
  <c r="C1359" i="15" s="1"/>
  <c r="B1360" i="15"/>
  <c r="C1360" i="15" s="1"/>
  <c r="B1361" i="15"/>
  <c r="C1361" i="15" s="1"/>
  <c r="B1362" i="15"/>
  <c r="C1362" i="15" s="1"/>
  <c r="B1363" i="15"/>
  <c r="C1363" i="15" s="1"/>
  <c r="B1364" i="15"/>
  <c r="C1364" i="15" s="1"/>
  <c r="B1365" i="15"/>
  <c r="C1365" i="15" s="1"/>
  <c r="B1366" i="15"/>
  <c r="C1366" i="15" s="1"/>
  <c r="B1367" i="15"/>
  <c r="C1367" i="15" s="1"/>
  <c r="B1368" i="15"/>
  <c r="C1368" i="15" s="1"/>
  <c r="B1369" i="15"/>
  <c r="C1369" i="15" s="1"/>
  <c r="B1370" i="15"/>
  <c r="C1370" i="15" s="1"/>
  <c r="B1371" i="15"/>
  <c r="C1371" i="15" s="1"/>
  <c r="B1372" i="15"/>
  <c r="C1372" i="15" s="1"/>
  <c r="B1373" i="15"/>
  <c r="C1373" i="15" s="1"/>
  <c r="B1374" i="15"/>
  <c r="C1374" i="15" s="1"/>
  <c r="B1375" i="15"/>
  <c r="C1375" i="15" s="1"/>
  <c r="B1376" i="15"/>
  <c r="C1376" i="15" s="1"/>
  <c r="B1377" i="15"/>
  <c r="C1377" i="15" s="1"/>
  <c r="B1378" i="15"/>
  <c r="C1378" i="15" s="1"/>
  <c r="B1379" i="15"/>
  <c r="C1379" i="15" s="1"/>
  <c r="B1380" i="15"/>
  <c r="C1380" i="15" s="1"/>
  <c r="B1381" i="15"/>
  <c r="C1381" i="15" s="1"/>
  <c r="B1382" i="15"/>
  <c r="C1382" i="15" s="1"/>
  <c r="B1383" i="15"/>
  <c r="C1383" i="15" s="1"/>
  <c r="B1384" i="15"/>
  <c r="C1384" i="15" s="1"/>
  <c r="B1385" i="15"/>
  <c r="C1385" i="15" s="1"/>
  <c r="B1386" i="15"/>
  <c r="C1386" i="15" s="1"/>
  <c r="B1387" i="15"/>
  <c r="C1387" i="15" s="1"/>
  <c r="B1388" i="15"/>
  <c r="C1388" i="15" s="1"/>
  <c r="B1389" i="15"/>
  <c r="C1389" i="15" s="1"/>
  <c r="B1390" i="15"/>
  <c r="C1390" i="15" s="1"/>
  <c r="B1391" i="15"/>
  <c r="C1391" i="15" s="1"/>
  <c r="B1392" i="15"/>
  <c r="C1392" i="15" s="1"/>
  <c r="B1393" i="15"/>
  <c r="C1393" i="15" s="1"/>
  <c r="B1394" i="15"/>
  <c r="C1394" i="15" s="1"/>
  <c r="B1395" i="15"/>
  <c r="C1395" i="15" s="1"/>
  <c r="B1396" i="15"/>
  <c r="C1396" i="15" s="1"/>
  <c r="B1397" i="15"/>
  <c r="C1397" i="15" s="1"/>
  <c r="B1398" i="15"/>
  <c r="C1398" i="15" s="1"/>
  <c r="B1399" i="15"/>
  <c r="C1399" i="15" s="1"/>
  <c r="B1400" i="15"/>
  <c r="C1400" i="15" s="1"/>
  <c r="B1401" i="15"/>
  <c r="C1401" i="15" s="1"/>
  <c r="B1402" i="15"/>
  <c r="C1402" i="15" s="1"/>
  <c r="B1403" i="15"/>
  <c r="C1403" i="15" s="1"/>
  <c r="B1404" i="15"/>
  <c r="C1404" i="15" s="1"/>
  <c r="B1405" i="15"/>
  <c r="C1405" i="15" s="1"/>
  <c r="B1406" i="15"/>
  <c r="C1406" i="15" s="1"/>
  <c r="B1407" i="15"/>
  <c r="C1407" i="15" s="1"/>
  <c r="B1408" i="15"/>
  <c r="C1408" i="15" s="1"/>
  <c r="B1409" i="15"/>
  <c r="C1409" i="15" s="1"/>
  <c r="B1410" i="15"/>
  <c r="C1410" i="15" s="1"/>
  <c r="B1411" i="15"/>
  <c r="C1411" i="15" s="1"/>
  <c r="B1412" i="15"/>
  <c r="C1412" i="15" s="1"/>
  <c r="B1413" i="15"/>
  <c r="C1413" i="15" s="1"/>
  <c r="B1414" i="15"/>
  <c r="C1414" i="15" s="1"/>
  <c r="B1415" i="15"/>
  <c r="C1415" i="15" s="1"/>
  <c r="B1416" i="15"/>
  <c r="C1416" i="15" s="1"/>
  <c r="B1417" i="15"/>
  <c r="C1417" i="15" s="1"/>
  <c r="B1418" i="15"/>
  <c r="C1418" i="15" s="1"/>
  <c r="B1419" i="15"/>
  <c r="C1419" i="15" s="1"/>
  <c r="B1420" i="15"/>
  <c r="C1420" i="15" s="1"/>
  <c r="B1421" i="15"/>
  <c r="C1421" i="15" s="1"/>
  <c r="B1422" i="15"/>
  <c r="C1422" i="15" s="1"/>
  <c r="B1423" i="15"/>
  <c r="C1423" i="15" s="1"/>
  <c r="B1424" i="15"/>
  <c r="C1424" i="15" s="1"/>
  <c r="B1425" i="15"/>
  <c r="C1425" i="15" s="1"/>
  <c r="B1426" i="15"/>
  <c r="C1426" i="15" s="1"/>
  <c r="B1427" i="15"/>
  <c r="C1427" i="15" s="1"/>
  <c r="B1428" i="15"/>
  <c r="C1428" i="15" s="1"/>
  <c r="B1429" i="15"/>
  <c r="C1429" i="15" s="1"/>
  <c r="B1430" i="15"/>
  <c r="C1430" i="15" s="1"/>
  <c r="B1431" i="15"/>
  <c r="C1431" i="15" s="1"/>
  <c r="B1432" i="15"/>
  <c r="C1432" i="15" s="1"/>
  <c r="B1433" i="15"/>
  <c r="C1433" i="15" s="1"/>
  <c r="B1434" i="15"/>
  <c r="C1434" i="15" s="1"/>
  <c r="B1435" i="15"/>
  <c r="C1435" i="15" s="1"/>
  <c r="B1436" i="15"/>
  <c r="C1436" i="15" s="1"/>
  <c r="B1437" i="15"/>
  <c r="C1437" i="15" s="1"/>
  <c r="B1438" i="15"/>
  <c r="C1438" i="15" s="1"/>
  <c r="B1439" i="15"/>
  <c r="C1439" i="15" s="1"/>
  <c r="B1440" i="15"/>
  <c r="C1440" i="15" s="1"/>
  <c r="B1441" i="15"/>
  <c r="C1441" i="15" s="1"/>
  <c r="B1442" i="15"/>
  <c r="C1442" i="15" s="1"/>
  <c r="B1443" i="15"/>
  <c r="C1443" i="15" s="1"/>
  <c r="B1444" i="15"/>
  <c r="C1444" i="15" s="1"/>
  <c r="B1445" i="15"/>
  <c r="C1445" i="15" s="1"/>
  <c r="B1446" i="15"/>
  <c r="C1446" i="15" s="1"/>
  <c r="B1447" i="15"/>
  <c r="C1447" i="15" s="1"/>
  <c r="B1448" i="15"/>
  <c r="C1448" i="15" s="1"/>
  <c r="B1449" i="15"/>
  <c r="C1449" i="15" s="1"/>
  <c r="B1450" i="15"/>
  <c r="C1450" i="15" s="1"/>
  <c r="B1451" i="15"/>
  <c r="C1451" i="15" s="1"/>
  <c r="B1452" i="15"/>
  <c r="C1452" i="15" s="1"/>
  <c r="B1453" i="15"/>
  <c r="C1453" i="15" s="1"/>
  <c r="B1454" i="15"/>
  <c r="C1454" i="15" s="1"/>
  <c r="B1455" i="15"/>
  <c r="C1455" i="15" s="1"/>
  <c r="B1456" i="15"/>
  <c r="C1456" i="15" s="1"/>
  <c r="B1457" i="15"/>
  <c r="C1457" i="15" s="1"/>
  <c r="B1458" i="15"/>
  <c r="C1458" i="15" s="1"/>
  <c r="B1459" i="15"/>
  <c r="C1459" i="15" s="1"/>
  <c r="B1460" i="15"/>
  <c r="C1460" i="15" s="1"/>
  <c r="B1461" i="15"/>
  <c r="C1461" i="15" s="1"/>
  <c r="B1462" i="15"/>
  <c r="C1462" i="15" s="1"/>
  <c r="B1463" i="15"/>
  <c r="C1463" i="15" s="1"/>
  <c r="B1464" i="15"/>
  <c r="C1464" i="15" s="1"/>
  <c r="B1465" i="15"/>
  <c r="C1465" i="15" s="1"/>
  <c r="B1466" i="15"/>
  <c r="C1466" i="15" s="1"/>
  <c r="B1467" i="15"/>
  <c r="C1467" i="15" s="1"/>
  <c r="B1468" i="15"/>
  <c r="C1468" i="15" s="1"/>
  <c r="B1469" i="15"/>
  <c r="C1469" i="15" s="1"/>
  <c r="B1470" i="15"/>
  <c r="C1470" i="15" s="1"/>
  <c r="B1471" i="15"/>
  <c r="C1471" i="15" s="1"/>
  <c r="B1472" i="15"/>
  <c r="C1472" i="15" s="1"/>
  <c r="B1473" i="15"/>
  <c r="C1473" i="15" s="1"/>
  <c r="B1474" i="15"/>
  <c r="C1474" i="15" s="1"/>
  <c r="B1475" i="15"/>
  <c r="C1475" i="15" s="1"/>
  <c r="B1476" i="15"/>
  <c r="C1476" i="15" s="1"/>
  <c r="B1477" i="15"/>
  <c r="C1477" i="15" s="1"/>
  <c r="B1478" i="15"/>
  <c r="C1478" i="15" s="1"/>
  <c r="B1479" i="15"/>
  <c r="C1479" i="15" s="1"/>
  <c r="B1480" i="15"/>
  <c r="C1480" i="15" s="1"/>
  <c r="B1481" i="15"/>
  <c r="C1481" i="15" s="1"/>
  <c r="B1482" i="15"/>
  <c r="C1482" i="15" s="1"/>
  <c r="B1483" i="15"/>
  <c r="C1483" i="15" s="1"/>
  <c r="B1484" i="15"/>
  <c r="C1484" i="15" s="1"/>
  <c r="B1485" i="15"/>
  <c r="C1485" i="15" s="1"/>
  <c r="B1486" i="15"/>
  <c r="C1486" i="15" s="1"/>
  <c r="B1487" i="15"/>
  <c r="C1487" i="15" s="1"/>
  <c r="B1488" i="15"/>
  <c r="C1488" i="15" s="1"/>
  <c r="B1489" i="15"/>
  <c r="C1489" i="15" s="1"/>
  <c r="B1490" i="15"/>
  <c r="C1490" i="15" s="1"/>
  <c r="B1491" i="15"/>
  <c r="C1491" i="15" s="1"/>
  <c r="B1492" i="15"/>
  <c r="C1492" i="15" s="1"/>
  <c r="B1493" i="15"/>
  <c r="C1493" i="15" s="1"/>
  <c r="B1494" i="15"/>
  <c r="C1494" i="15" s="1"/>
  <c r="B1495" i="15"/>
  <c r="C1495" i="15" s="1"/>
  <c r="B1496" i="15"/>
  <c r="C1496" i="15" s="1"/>
  <c r="B1497" i="15"/>
  <c r="C1497" i="15" s="1"/>
  <c r="B1498" i="15"/>
  <c r="C1498" i="15" s="1"/>
  <c r="B1499" i="15"/>
  <c r="C1499" i="15" s="1"/>
  <c r="B1500" i="15"/>
  <c r="C1500" i="15" s="1"/>
  <c r="B1501" i="15"/>
  <c r="C1501" i="15" s="1"/>
  <c r="B1502" i="15"/>
  <c r="C1502" i="15" s="1"/>
  <c r="B1503" i="15"/>
  <c r="C1503" i="15" s="1"/>
  <c r="B1504" i="15"/>
  <c r="C1504" i="15" s="1"/>
  <c r="B1505" i="15"/>
  <c r="C1505" i="15" s="1"/>
  <c r="B1506" i="15"/>
  <c r="C1506" i="15" s="1"/>
  <c r="B1507" i="15"/>
  <c r="C1507" i="15" s="1"/>
  <c r="B1508" i="15"/>
  <c r="C1508" i="15" s="1"/>
  <c r="B1509" i="15"/>
  <c r="C1509" i="15" s="1"/>
  <c r="B1510" i="15"/>
  <c r="C1510" i="15" s="1"/>
  <c r="B1511" i="15"/>
  <c r="C1511" i="15" s="1"/>
  <c r="B1512" i="15"/>
  <c r="C1512" i="15" s="1"/>
  <c r="B1513" i="15"/>
  <c r="C1513" i="15" s="1"/>
  <c r="B1514" i="15"/>
  <c r="C1514" i="15" s="1"/>
  <c r="B1515" i="15"/>
  <c r="C1515" i="15" s="1"/>
  <c r="B1516" i="15"/>
  <c r="C1516" i="15" s="1"/>
  <c r="B1517" i="15"/>
  <c r="C1517" i="15" s="1"/>
  <c r="B1518" i="15"/>
  <c r="C1518" i="15" s="1"/>
  <c r="B1519" i="15"/>
  <c r="C1519" i="15" s="1"/>
  <c r="B1520" i="15"/>
  <c r="C1520" i="15" s="1"/>
  <c r="B1521" i="15"/>
  <c r="C1521" i="15" s="1"/>
  <c r="B1522" i="15"/>
  <c r="C1522" i="15" s="1"/>
  <c r="B1523" i="15"/>
  <c r="C1523" i="15" s="1"/>
  <c r="B1524" i="15"/>
  <c r="C1524" i="15" s="1"/>
  <c r="B1525" i="15"/>
  <c r="C1525" i="15" s="1"/>
  <c r="B1526" i="15"/>
  <c r="C1526" i="15" s="1"/>
  <c r="B1527" i="15"/>
  <c r="C1527" i="15" s="1"/>
  <c r="B1528" i="15"/>
  <c r="C1528" i="15" s="1"/>
  <c r="B1529" i="15"/>
  <c r="C1529" i="15" s="1"/>
  <c r="B1530" i="15"/>
  <c r="C1530" i="15" s="1"/>
  <c r="B1531" i="15"/>
  <c r="C1531" i="15" s="1"/>
  <c r="B1532" i="15"/>
  <c r="C1532" i="15" s="1"/>
  <c r="B1533" i="15"/>
  <c r="C1533" i="15" s="1"/>
  <c r="B1534" i="15"/>
  <c r="C1534" i="15" s="1"/>
  <c r="B1535" i="15"/>
  <c r="C1535" i="15" s="1"/>
  <c r="B1536" i="15"/>
  <c r="C1536" i="15" s="1"/>
  <c r="B1537" i="15"/>
  <c r="C1537" i="15" s="1"/>
  <c r="B1538" i="15"/>
  <c r="C1538" i="15" s="1"/>
  <c r="B1539" i="15"/>
  <c r="C1539" i="15" s="1"/>
  <c r="B1540" i="15"/>
  <c r="C1540" i="15" s="1"/>
  <c r="B1541" i="15"/>
  <c r="C1541" i="15" s="1"/>
  <c r="B1542" i="15"/>
  <c r="C1542" i="15" s="1"/>
  <c r="B1543" i="15"/>
  <c r="C1543" i="15" s="1"/>
  <c r="B1544" i="15"/>
  <c r="C1544" i="15" s="1"/>
  <c r="B1545" i="15"/>
  <c r="C1545" i="15" s="1"/>
  <c r="B1546" i="15"/>
  <c r="C1546" i="15" s="1"/>
  <c r="B1547" i="15"/>
  <c r="C1547" i="15" s="1"/>
  <c r="B1548" i="15"/>
  <c r="C1548" i="15" s="1"/>
  <c r="B1549" i="15"/>
  <c r="C1549" i="15" s="1"/>
  <c r="B1550" i="15"/>
  <c r="C1550" i="15" s="1"/>
  <c r="B1551" i="15"/>
  <c r="C1551" i="15" s="1"/>
  <c r="B1552" i="15"/>
  <c r="C1552" i="15" s="1"/>
  <c r="B1553" i="15"/>
  <c r="C1553" i="15" s="1"/>
  <c r="B1554" i="15"/>
  <c r="C1554" i="15" s="1"/>
  <c r="B1555" i="15"/>
  <c r="C1555" i="15" s="1"/>
  <c r="B1556" i="15"/>
  <c r="C1556" i="15" s="1"/>
  <c r="B1557" i="15"/>
  <c r="C1557" i="15" s="1"/>
  <c r="B1558" i="15"/>
  <c r="C1558" i="15" s="1"/>
  <c r="B1559" i="15"/>
  <c r="C1559" i="15" s="1"/>
  <c r="B1560" i="15"/>
  <c r="C1560" i="15" s="1"/>
  <c r="B1561" i="15"/>
  <c r="C1561" i="15" s="1"/>
  <c r="B1562" i="15"/>
  <c r="C1562" i="15" s="1"/>
  <c r="B1563" i="15"/>
  <c r="C1563" i="15" s="1"/>
  <c r="B1564" i="15"/>
  <c r="C1564" i="15" s="1"/>
  <c r="B1565" i="15"/>
  <c r="C1565" i="15" s="1"/>
  <c r="B1566" i="15"/>
  <c r="C1566" i="15" s="1"/>
  <c r="B1567" i="15"/>
  <c r="C1567" i="15" s="1"/>
  <c r="B1568" i="15"/>
  <c r="C1568" i="15" s="1"/>
  <c r="B1569" i="15"/>
  <c r="C1569" i="15" s="1"/>
  <c r="B1570" i="15"/>
  <c r="C1570" i="15" s="1"/>
  <c r="B1571" i="15"/>
  <c r="C1571" i="15" s="1"/>
  <c r="B1572" i="15"/>
  <c r="C1572" i="15" s="1"/>
  <c r="B1573" i="15"/>
  <c r="C1573" i="15" s="1"/>
  <c r="B1574" i="15"/>
  <c r="C1574" i="15" s="1"/>
  <c r="B1575" i="15"/>
  <c r="C1575" i="15" s="1"/>
  <c r="B1576" i="15"/>
  <c r="C1576" i="15" s="1"/>
  <c r="B1577" i="15"/>
  <c r="C1577" i="15" s="1"/>
  <c r="B1578" i="15"/>
  <c r="C1578" i="15" s="1"/>
  <c r="B1579" i="15"/>
  <c r="C1579" i="15" s="1"/>
  <c r="B1580" i="15"/>
  <c r="C1580" i="15" s="1"/>
  <c r="B1581" i="15"/>
  <c r="C1581" i="15" s="1"/>
  <c r="B1582" i="15"/>
  <c r="C1582" i="15" s="1"/>
  <c r="B1583" i="15"/>
  <c r="C1583" i="15" s="1"/>
  <c r="B1584" i="15"/>
  <c r="C1584" i="15" s="1"/>
  <c r="B1585" i="15"/>
  <c r="C1585" i="15" s="1"/>
  <c r="B1586" i="15"/>
  <c r="C1586" i="15" s="1"/>
  <c r="B1587" i="15"/>
  <c r="C1587" i="15" s="1"/>
  <c r="B1588" i="15"/>
  <c r="C1588" i="15" s="1"/>
  <c r="B1589" i="15"/>
  <c r="C1589" i="15" s="1"/>
  <c r="B1590" i="15"/>
  <c r="C1590" i="15" s="1"/>
  <c r="B1591" i="15"/>
  <c r="C1591" i="15" s="1"/>
  <c r="B1592" i="15"/>
  <c r="C1592" i="15" s="1"/>
  <c r="B1593" i="15"/>
  <c r="C1593" i="15" s="1"/>
  <c r="B1594" i="15"/>
  <c r="C1594" i="15" s="1"/>
  <c r="B1595" i="15"/>
  <c r="C1595" i="15" s="1"/>
  <c r="B1596" i="15"/>
  <c r="C1596" i="15" s="1"/>
  <c r="B1597" i="15"/>
  <c r="C1597" i="15" s="1"/>
  <c r="B1598" i="15"/>
  <c r="C1598" i="15" s="1"/>
  <c r="B1599" i="15"/>
  <c r="C1599" i="15" s="1"/>
  <c r="B1600" i="15"/>
  <c r="C1600" i="15" s="1"/>
  <c r="B1601" i="15"/>
  <c r="C1601" i="15" s="1"/>
  <c r="B1602" i="15"/>
  <c r="C1602" i="15" s="1"/>
  <c r="B1603" i="15"/>
  <c r="C1603" i="15" s="1"/>
  <c r="B1604" i="15"/>
  <c r="C1604" i="15" s="1"/>
  <c r="B1605" i="15"/>
  <c r="C1605" i="15" s="1"/>
  <c r="B1606" i="15"/>
  <c r="C1606" i="15" s="1"/>
  <c r="B1607" i="15"/>
  <c r="C1607" i="15" s="1"/>
  <c r="B1608" i="15"/>
  <c r="C1608" i="15" s="1"/>
  <c r="B1609" i="15"/>
  <c r="C1609" i="15" s="1"/>
  <c r="B1610" i="15"/>
  <c r="C1610" i="15" s="1"/>
  <c r="B1611" i="15"/>
  <c r="C1611" i="15" s="1"/>
  <c r="B1612" i="15"/>
  <c r="C1612" i="15" s="1"/>
  <c r="B1613" i="15"/>
  <c r="C1613" i="15" s="1"/>
  <c r="B1614" i="15"/>
  <c r="C1614" i="15" s="1"/>
  <c r="B1615" i="15"/>
  <c r="C1615" i="15" s="1"/>
  <c r="B1616" i="15"/>
  <c r="C1616" i="15" s="1"/>
  <c r="B1617" i="15"/>
  <c r="C1617" i="15" s="1"/>
  <c r="B1618" i="15"/>
  <c r="C1618" i="15" s="1"/>
  <c r="B1619" i="15"/>
  <c r="C1619" i="15" s="1"/>
  <c r="B1620" i="15"/>
  <c r="C1620" i="15" s="1"/>
  <c r="B1621" i="15"/>
  <c r="C1621" i="15" s="1"/>
  <c r="B1622" i="15"/>
  <c r="C1622" i="15" s="1"/>
  <c r="B1623" i="15"/>
  <c r="C1623" i="15" s="1"/>
  <c r="B1624" i="15"/>
  <c r="C1624" i="15" s="1"/>
  <c r="B1625" i="15"/>
  <c r="C1625" i="15" s="1"/>
  <c r="B1626" i="15"/>
  <c r="C1626" i="15" s="1"/>
  <c r="B1627" i="15"/>
  <c r="C1627" i="15" s="1"/>
  <c r="B1628" i="15"/>
  <c r="C1628" i="15" s="1"/>
  <c r="B1629" i="15"/>
  <c r="C1629" i="15" s="1"/>
  <c r="B1630" i="15"/>
  <c r="C1630" i="15" s="1"/>
  <c r="B1631" i="15"/>
  <c r="C1631" i="15" s="1"/>
  <c r="B1632" i="15"/>
  <c r="C1632" i="15" s="1"/>
  <c r="B1633" i="15"/>
  <c r="C1633" i="15" s="1"/>
  <c r="B1634" i="15"/>
  <c r="C1634" i="15" s="1"/>
  <c r="B1635" i="15"/>
  <c r="C1635" i="15" s="1"/>
  <c r="B1636" i="15"/>
  <c r="C1636" i="15" s="1"/>
  <c r="B1637" i="15"/>
  <c r="C1637" i="15" s="1"/>
  <c r="B1638" i="15"/>
  <c r="C1638" i="15" s="1"/>
  <c r="B1639" i="15"/>
  <c r="C1639" i="15" s="1"/>
  <c r="B1640" i="15"/>
  <c r="C1640" i="15" s="1"/>
  <c r="B1641" i="15"/>
  <c r="C1641" i="15" s="1"/>
  <c r="B1642" i="15"/>
  <c r="C1642" i="15" s="1"/>
  <c r="B1643" i="15"/>
  <c r="C1643" i="15" s="1"/>
  <c r="B1644" i="15"/>
  <c r="C1644" i="15" s="1"/>
  <c r="B1645" i="15"/>
  <c r="C1645" i="15" s="1"/>
  <c r="B1646" i="15"/>
  <c r="C1646" i="15" s="1"/>
  <c r="B1647" i="15"/>
  <c r="C1647" i="15" s="1"/>
  <c r="B1648" i="15"/>
  <c r="C1648" i="15" s="1"/>
  <c r="B1649" i="15"/>
  <c r="C1649" i="15" s="1"/>
  <c r="B1650" i="15"/>
  <c r="C1650" i="15" s="1"/>
  <c r="B1651" i="15"/>
  <c r="C1651" i="15" s="1"/>
  <c r="B1652" i="15"/>
  <c r="C1652" i="15" s="1"/>
  <c r="B1653" i="15"/>
  <c r="C1653" i="15" s="1"/>
  <c r="B1654" i="15"/>
  <c r="C1654" i="15" s="1"/>
  <c r="B1655" i="15"/>
  <c r="C1655" i="15" s="1"/>
  <c r="B1656" i="15"/>
  <c r="C1656" i="15" s="1"/>
  <c r="B1657" i="15"/>
  <c r="C1657" i="15" s="1"/>
  <c r="B1658" i="15"/>
  <c r="C1658" i="15" s="1"/>
  <c r="B1659" i="15"/>
  <c r="C1659" i="15" s="1"/>
  <c r="B1660" i="15"/>
  <c r="C1660" i="15" s="1"/>
  <c r="B1661" i="15"/>
  <c r="C1661" i="15" s="1"/>
  <c r="B1662" i="15"/>
  <c r="C1662" i="15" s="1"/>
  <c r="B1663" i="15"/>
  <c r="C1663" i="15" s="1"/>
  <c r="B1664" i="15"/>
  <c r="C1664" i="15" s="1"/>
  <c r="B1665" i="15"/>
  <c r="C1665" i="15" s="1"/>
  <c r="B1666" i="15"/>
  <c r="C1666" i="15" s="1"/>
  <c r="B1667" i="15"/>
  <c r="C1667" i="15" s="1"/>
  <c r="B1668" i="15"/>
  <c r="C1668" i="15" s="1"/>
  <c r="B1669" i="15"/>
  <c r="C1669" i="15" s="1"/>
  <c r="B1670" i="15"/>
  <c r="C1670" i="15" s="1"/>
  <c r="B1671" i="15"/>
  <c r="C1671" i="15" s="1"/>
  <c r="B1672" i="15"/>
  <c r="C1672" i="15" s="1"/>
  <c r="B1673" i="15"/>
  <c r="C1673" i="15" s="1"/>
  <c r="B1674" i="15"/>
  <c r="C1674" i="15" s="1"/>
  <c r="B1675" i="15"/>
  <c r="C1675" i="15" s="1"/>
  <c r="B1676" i="15"/>
  <c r="C1676" i="15" s="1"/>
  <c r="B1677" i="15"/>
  <c r="C1677" i="15" s="1"/>
  <c r="B1678" i="15"/>
  <c r="C1678" i="15" s="1"/>
  <c r="B1679" i="15"/>
  <c r="C1679" i="15" s="1"/>
  <c r="B1680" i="15"/>
  <c r="C1680" i="15" s="1"/>
  <c r="B1681" i="15"/>
  <c r="C1681" i="15" s="1"/>
  <c r="B1682" i="15"/>
  <c r="C1682" i="15" s="1"/>
  <c r="B1683" i="15"/>
  <c r="C1683" i="15" s="1"/>
  <c r="B1684" i="15"/>
  <c r="C1684" i="15" s="1"/>
  <c r="B1685" i="15"/>
  <c r="C1685" i="15" s="1"/>
  <c r="B1686" i="15"/>
  <c r="C1686" i="15" s="1"/>
  <c r="B1687" i="15"/>
  <c r="C1687" i="15" s="1"/>
  <c r="B1688" i="15"/>
  <c r="C1688" i="15" s="1"/>
  <c r="B1689" i="15"/>
  <c r="C1689" i="15" s="1"/>
  <c r="B1690" i="15"/>
  <c r="C1690" i="15" s="1"/>
  <c r="B1691" i="15"/>
  <c r="C1691" i="15" s="1"/>
  <c r="B1692" i="15"/>
  <c r="C1692" i="15" s="1"/>
  <c r="B1693" i="15"/>
  <c r="C1693" i="15" s="1"/>
  <c r="B1694" i="15"/>
  <c r="C1694" i="15" s="1"/>
  <c r="B1695" i="15"/>
  <c r="C1695" i="15" s="1"/>
  <c r="B1696" i="15"/>
  <c r="C1696" i="15" s="1"/>
  <c r="B1697" i="15"/>
  <c r="C1697" i="15" s="1"/>
  <c r="B1698" i="15"/>
  <c r="C1698" i="15" s="1"/>
  <c r="B1699" i="15"/>
  <c r="C1699" i="15" s="1"/>
  <c r="B1700" i="15"/>
  <c r="C1700" i="15" s="1"/>
  <c r="B1701" i="15"/>
  <c r="C1701" i="15" s="1"/>
  <c r="B1702" i="15"/>
  <c r="C1702" i="15" s="1"/>
  <c r="B1703" i="15"/>
  <c r="C1703" i="15" s="1"/>
  <c r="B1704" i="15"/>
  <c r="C1704" i="15" s="1"/>
  <c r="B1705" i="15"/>
  <c r="C1705" i="15" s="1"/>
  <c r="B1706" i="15"/>
  <c r="C1706" i="15" s="1"/>
  <c r="B1707" i="15"/>
  <c r="C1707" i="15" s="1"/>
  <c r="B1708" i="15"/>
  <c r="C1708" i="15" s="1"/>
  <c r="B1709" i="15"/>
  <c r="C1709" i="15" s="1"/>
  <c r="B1710" i="15"/>
  <c r="C1710" i="15" s="1"/>
  <c r="B1711" i="15"/>
  <c r="C1711" i="15" s="1"/>
  <c r="B1712" i="15"/>
  <c r="C1712" i="15" s="1"/>
  <c r="B1713" i="15"/>
  <c r="C1713" i="15" s="1"/>
  <c r="B1714" i="15"/>
  <c r="C1714" i="15" s="1"/>
  <c r="B1715" i="15"/>
  <c r="C1715" i="15" s="1"/>
  <c r="B1716" i="15"/>
  <c r="C1716" i="15" s="1"/>
  <c r="B1717" i="15"/>
  <c r="C1717" i="15" s="1"/>
  <c r="B1718" i="15"/>
  <c r="C1718" i="15" s="1"/>
  <c r="B1719" i="15"/>
  <c r="C1719" i="15" s="1"/>
  <c r="B1720" i="15"/>
  <c r="C1720" i="15" s="1"/>
  <c r="B1721" i="15"/>
  <c r="C1721" i="15" s="1"/>
  <c r="B1722" i="15"/>
  <c r="C1722" i="15" s="1"/>
  <c r="B1723" i="15"/>
  <c r="C1723" i="15" s="1"/>
  <c r="B1724" i="15"/>
  <c r="C1724" i="15" s="1"/>
  <c r="B1725" i="15"/>
  <c r="C1725" i="15" s="1"/>
  <c r="B1726" i="15"/>
  <c r="C1726" i="15" s="1"/>
  <c r="B1727" i="15"/>
  <c r="C1727" i="15" s="1"/>
  <c r="B1728" i="15"/>
  <c r="C1728" i="15" s="1"/>
  <c r="B1729" i="15"/>
  <c r="C1729" i="15" s="1"/>
  <c r="B1730" i="15"/>
  <c r="C1730" i="15" s="1"/>
  <c r="B1731" i="15"/>
  <c r="C1731" i="15" s="1"/>
  <c r="B1732" i="15"/>
  <c r="C1732" i="15" s="1"/>
  <c r="B1733" i="15"/>
  <c r="C1733" i="15" s="1"/>
  <c r="B1734" i="15"/>
  <c r="C1734" i="15" s="1"/>
  <c r="B1735" i="15"/>
  <c r="C1735" i="15" s="1"/>
  <c r="B1736" i="15"/>
  <c r="C1736" i="15" s="1"/>
  <c r="B1737" i="15"/>
  <c r="C1737" i="15" s="1"/>
  <c r="B1738" i="15"/>
  <c r="C1738" i="15" s="1"/>
  <c r="B1739" i="15"/>
  <c r="C1739" i="15" s="1"/>
  <c r="B1740" i="15"/>
  <c r="C1740" i="15" s="1"/>
  <c r="B1741" i="15"/>
  <c r="C1741" i="15" s="1"/>
  <c r="B1742" i="15"/>
  <c r="C1742" i="15" s="1"/>
  <c r="B1743" i="15"/>
  <c r="C1743" i="15" s="1"/>
  <c r="B1744" i="15"/>
  <c r="C1744" i="15" s="1"/>
  <c r="B1745" i="15"/>
  <c r="C1745" i="15" s="1"/>
  <c r="B1746" i="15"/>
  <c r="C1746" i="15" s="1"/>
  <c r="B1747" i="15"/>
  <c r="C1747" i="15" s="1"/>
  <c r="B1748" i="15"/>
  <c r="C1748" i="15" s="1"/>
  <c r="B1749" i="15"/>
  <c r="C1749" i="15" s="1"/>
  <c r="B1750" i="15"/>
  <c r="C1750" i="15" s="1"/>
  <c r="B1751" i="15"/>
  <c r="C1751" i="15" s="1"/>
  <c r="B1752" i="15"/>
  <c r="C1752" i="15" s="1"/>
  <c r="B1753" i="15"/>
  <c r="C1753" i="15" s="1"/>
  <c r="B1754" i="15"/>
  <c r="C1754" i="15" s="1"/>
  <c r="B1755" i="15"/>
  <c r="C1755" i="15" s="1"/>
  <c r="B1756" i="15"/>
  <c r="C1756" i="15" s="1"/>
  <c r="B1757" i="15"/>
  <c r="C1757" i="15" s="1"/>
  <c r="B1758" i="15"/>
  <c r="C1758" i="15" s="1"/>
  <c r="B1759" i="15"/>
  <c r="C1759" i="15" s="1"/>
  <c r="B1760" i="15"/>
  <c r="C1760" i="15" s="1"/>
  <c r="B1761" i="15"/>
  <c r="C1761" i="15" s="1"/>
  <c r="B1762" i="15"/>
  <c r="C1762" i="15" s="1"/>
  <c r="B1763" i="15"/>
  <c r="C1763" i="15" s="1"/>
  <c r="B1764" i="15"/>
  <c r="C1764" i="15" s="1"/>
  <c r="B1765" i="15"/>
  <c r="C1765" i="15" s="1"/>
  <c r="B1766" i="15"/>
  <c r="C1766" i="15" s="1"/>
  <c r="B1767" i="15"/>
  <c r="C1767" i="15" s="1"/>
  <c r="B1768" i="15"/>
  <c r="C1768" i="15" s="1"/>
  <c r="B1769" i="15"/>
  <c r="C1769" i="15" s="1"/>
  <c r="B1770" i="15"/>
  <c r="C1770" i="15" s="1"/>
  <c r="B1771" i="15"/>
  <c r="C1771" i="15" s="1"/>
  <c r="B1772" i="15"/>
  <c r="C1772" i="15" s="1"/>
  <c r="B1773" i="15"/>
  <c r="C1773" i="15" s="1"/>
  <c r="B1774" i="15"/>
  <c r="C1774" i="15" s="1"/>
  <c r="B1775" i="15"/>
  <c r="C1775" i="15" s="1"/>
  <c r="B1776" i="15"/>
  <c r="C1776" i="15" s="1"/>
  <c r="B1777" i="15"/>
  <c r="C1777" i="15" s="1"/>
  <c r="B1778" i="15"/>
  <c r="C1778" i="15" s="1"/>
  <c r="B1779" i="15"/>
  <c r="C1779" i="15" s="1"/>
  <c r="B1780" i="15"/>
  <c r="C1780" i="15" s="1"/>
  <c r="B1781" i="15"/>
  <c r="C1781" i="15" s="1"/>
  <c r="B1782" i="15"/>
  <c r="C1782" i="15" s="1"/>
  <c r="B1783" i="15"/>
  <c r="C1783" i="15" s="1"/>
  <c r="B1784" i="15"/>
  <c r="C1784" i="15" s="1"/>
  <c r="B1785" i="15"/>
  <c r="C1785" i="15" s="1"/>
  <c r="B1786" i="15"/>
  <c r="C1786" i="15" s="1"/>
  <c r="B1787" i="15"/>
  <c r="C1787" i="15" s="1"/>
  <c r="B1788" i="15"/>
  <c r="C1788" i="15" s="1"/>
  <c r="B1789" i="15"/>
  <c r="C1789" i="15" s="1"/>
  <c r="B1790" i="15"/>
  <c r="C1790" i="15" s="1"/>
  <c r="B1791" i="15"/>
  <c r="C1791" i="15" s="1"/>
  <c r="B1792" i="15"/>
  <c r="C1792" i="15" s="1"/>
  <c r="B1793" i="15"/>
  <c r="C1793" i="15" s="1"/>
  <c r="B1794" i="15"/>
  <c r="C1794" i="15" s="1"/>
  <c r="B1795" i="15"/>
  <c r="C1795" i="15" s="1"/>
  <c r="B1796" i="15"/>
  <c r="C1796" i="15" s="1"/>
  <c r="B1797" i="15"/>
  <c r="C1797" i="15" s="1"/>
  <c r="B1798" i="15"/>
  <c r="C1798" i="15" s="1"/>
  <c r="B1799" i="15"/>
  <c r="C1799" i="15" s="1"/>
  <c r="B1800" i="15"/>
  <c r="C1800" i="15" s="1"/>
  <c r="B1801" i="15"/>
  <c r="C1801" i="15" s="1"/>
  <c r="B1802" i="15"/>
  <c r="C1802" i="15" s="1"/>
  <c r="B1803" i="15"/>
  <c r="C1803" i="15" s="1"/>
  <c r="B1804" i="15"/>
  <c r="C1804" i="15" s="1"/>
  <c r="B1805" i="15"/>
  <c r="C1805" i="15" s="1"/>
  <c r="B1806" i="15"/>
  <c r="C1806" i="15" s="1"/>
  <c r="B1807" i="15"/>
  <c r="C1807" i="15" s="1"/>
  <c r="B1808" i="15"/>
  <c r="C1808" i="15" s="1"/>
  <c r="B1809" i="15"/>
  <c r="C1809" i="15" s="1"/>
  <c r="B1810" i="15"/>
  <c r="C1810" i="15" s="1"/>
  <c r="B1811" i="15"/>
  <c r="C1811" i="15" s="1"/>
  <c r="B1812" i="15"/>
  <c r="C1812" i="15" s="1"/>
  <c r="B1813" i="15"/>
  <c r="C1813" i="15" s="1"/>
  <c r="B1814" i="15"/>
  <c r="C1814" i="15" s="1"/>
  <c r="B1815" i="15"/>
  <c r="C1815" i="15" s="1"/>
  <c r="B1816" i="15"/>
  <c r="C1816" i="15" s="1"/>
  <c r="B1817" i="15"/>
  <c r="C1817" i="15" s="1"/>
  <c r="B1818" i="15"/>
  <c r="C1818" i="15" s="1"/>
  <c r="B1819" i="15"/>
  <c r="C1819" i="15" s="1"/>
  <c r="B1820" i="15"/>
  <c r="C1820" i="15" s="1"/>
  <c r="B1821" i="15"/>
  <c r="C1821" i="15" s="1"/>
  <c r="B1822" i="15"/>
  <c r="C1822" i="15" s="1"/>
  <c r="B1823" i="15"/>
  <c r="C1823" i="15" s="1"/>
  <c r="B1824" i="15"/>
  <c r="C1824" i="15" s="1"/>
  <c r="B1825" i="15"/>
  <c r="C1825" i="15" s="1"/>
  <c r="B1826" i="15"/>
  <c r="C1826" i="15" s="1"/>
  <c r="B1827" i="15"/>
  <c r="C1827" i="15" s="1"/>
  <c r="B1828" i="15"/>
  <c r="C1828" i="15" s="1"/>
  <c r="B1829" i="15"/>
  <c r="C1829" i="15" s="1"/>
  <c r="B1830" i="15"/>
  <c r="C1830" i="15" s="1"/>
  <c r="B1831" i="15"/>
  <c r="C1831" i="15" s="1"/>
  <c r="B1832" i="15"/>
  <c r="C1832" i="15" s="1"/>
  <c r="B1833" i="15"/>
  <c r="C1833" i="15" s="1"/>
  <c r="B1834" i="15"/>
  <c r="C1834" i="15" s="1"/>
  <c r="B1835" i="15"/>
  <c r="C1835" i="15" s="1"/>
  <c r="B1836" i="15"/>
  <c r="C1836" i="15" s="1"/>
  <c r="B1837" i="15"/>
  <c r="C1837" i="15" s="1"/>
  <c r="B1838" i="15"/>
  <c r="C1838" i="15" s="1"/>
  <c r="B1839" i="15"/>
  <c r="C1839" i="15" s="1"/>
  <c r="B1840" i="15"/>
  <c r="C1840" i="15" s="1"/>
  <c r="B1841" i="15"/>
  <c r="C1841" i="15" s="1"/>
  <c r="B1842" i="15"/>
  <c r="C1842" i="15" s="1"/>
  <c r="B1843" i="15"/>
  <c r="C1843" i="15" s="1"/>
  <c r="B1844" i="15"/>
  <c r="C1844" i="15" s="1"/>
  <c r="B1845" i="15"/>
  <c r="C1845" i="15" s="1"/>
  <c r="B1846" i="15"/>
  <c r="C1846" i="15" s="1"/>
  <c r="B1847" i="15"/>
  <c r="C1847" i="15" s="1"/>
  <c r="B1848" i="15"/>
  <c r="C1848" i="15" s="1"/>
  <c r="B1849" i="15"/>
  <c r="C1849" i="15" s="1"/>
  <c r="B1850" i="15"/>
  <c r="C1850" i="15" s="1"/>
  <c r="B1851" i="15"/>
  <c r="C1851" i="15" s="1"/>
  <c r="B1852" i="15"/>
  <c r="C1852" i="15" s="1"/>
  <c r="B1853" i="15"/>
  <c r="C1853" i="15" s="1"/>
  <c r="B1854" i="15"/>
  <c r="C1854" i="15" s="1"/>
  <c r="B1855" i="15"/>
  <c r="C1855" i="15" s="1"/>
  <c r="B1856" i="15"/>
  <c r="C1856" i="15" s="1"/>
  <c r="B1857" i="15"/>
  <c r="C1857" i="15" s="1"/>
  <c r="B1858" i="15"/>
  <c r="C1858" i="15" s="1"/>
  <c r="B1859" i="15"/>
  <c r="C1859" i="15" s="1"/>
  <c r="B1860" i="15"/>
  <c r="C1860" i="15" s="1"/>
  <c r="B1861" i="15"/>
  <c r="C1861" i="15" s="1"/>
  <c r="B1862" i="15"/>
  <c r="C1862" i="15" s="1"/>
  <c r="B1863" i="15"/>
  <c r="C1863" i="15" s="1"/>
  <c r="B1864" i="15"/>
  <c r="C1864" i="15" s="1"/>
  <c r="B1865" i="15"/>
  <c r="C1865" i="15" s="1"/>
  <c r="B1866" i="15"/>
  <c r="C1866" i="15" s="1"/>
  <c r="B1867" i="15"/>
  <c r="C1867" i="15" s="1"/>
  <c r="B1868" i="15"/>
  <c r="C1868" i="15" s="1"/>
  <c r="B1869" i="15"/>
  <c r="C1869" i="15" s="1"/>
  <c r="B1870" i="15"/>
  <c r="C1870" i="15" s="1"/>
  <c r="B1871" i="15"/>
  <c r="C1871" i="15" s="1"/>
  <c r="B1872" i="15"/>
  <c r="C1872" i="15" s="1"/>
  <c r="B1873" i="15"/>
  <c r="C1873" i="15" s="1"/>
  <c r="B1874" i="15"/>
  <c r="C1874" i="15" s="1"/>
  <c r="B1875" i="15"/>
  <c r="C1875" i="15" s="1"/>
  <c r="B1876" i="15"/>
  <c r="C1876" i="15" s="1"/>
  <c r="B1877" i="15"/>
  <c r="C1877" i="15" s="1"/>
  <c r="B1878" i="15"/>
  <c r="C1878" i="15" s="1"/>
  <c r="B1879" i="15"/>
  <c r="C1879" i="15" s="1"/>
  <c r="B1880" i="15"/>
  <c r="C1880" i="15" s="1"/>
  <c r="B1881" i="15"/>
  <c r="C1881" i="15" s="1"/>
  <c r="B1882" i="15"/>
  <c r="C1882" i="15" s="1"/>
  <c r="B1883" i="15"/>
  <c r="C1883" i="15" s="1"/>
  <c r="B1884" i="15"/>
  <c r="C1884" i="15" s="1"/>
  <c r="B1885" i="15"/>
  <c r="C1885" i="15" s="1"/>
  <c r="B1886" i="15"/>
  <c r="C1886" i="15" s="1"/>
  <c r="B1887" i="15"/>
  <c r="C1887" i="15" s="1"/>
  <c r="B1888" i="15"/>
  <c r="C1888" i="15" s="1"/>
  <c r="B1889" i="15"/>
  <c r="C1889" i="15" s="1"/>
  <c r="B1890" i="15"/>
  <c r="C1890" i="15" s="1"/>
  <c r="B1891" i="15"/>
  <c r="C1891" i="15" s="1"/>
  <c r="B1892" i="15"/>
  <c r="C1892" i="15" s="1"/>
  <c r="B1893" i="15"/>
  <c r="C1893" i="15" s="1"/>
  <c r="B1894" i="15"/>
  <c r="C1894" i="15" s="1"/>
  <c r="B1895" i="15"/>
  <c r="C1895" i="15" s="1"/>
  <c r="B1896" i="15"/>
  <c r="C1896" i="15" s="1"/>
  <c r="B1897" i="15"/>
  <c r="C1897" i="15" s="1"/>
  <c r="B1898" i="15"/>
  <c r="C1898" i="15" s="1"/>
  <c r="B1899" i="15"/>
  <c r="C1899" i="15" s="1"/>
  <c r="B1900" i="15"/>
  <c r="C1900" i="15" s="1"/>
  <c r="B1901" i="15"/>
  <c r="C1901" i="15" s="1"/>
  <c r="B1902" i="15"/>
  <c r="C1902" i="15" s="1"/>
  <c r="B1903" i="15"/>
  <c r="C1903" i="15" s="1"/>
  <c r="B1904" i="15"/>
  <c r="C1904" i="15" s="1"/>
  <c r="B1905" i="15"/>
  <c r="C1905" i="15" s="1"/>
  <c r="B1906" i="15"/>
  <c r="C1906" i="15" s="1"/>
  <c r="B1907" i="15"/>
  <c r="C1907" i="15" s="1"/>
  <c r="B1908" i="15"/>
  <c r="C1908" i="15" s="1"/>
  <c r="B1909" i="15"/>
  <c r="C1909" i="15" s="1"/>
  <c r="B1910" i="15"/>
  <c r="C1910" i="15" s="1"/>
  <c r="B1911" i="15"/>
  <c r="C1911" i="15" s="1"/>
  <c r="B1912" i="15"/>
  <c r="C1912" i="15" s="1"/>
  <c r="B1913" i="15"/>
  <c r="C1913" i="15" s="1"/>
  <c r="B1914" i="15"/>
  <c r="C1914" i="15" s="1"/>
  <c r="B1915" i="15"/>
  <c r="C1915" i="15" s="1"/>
  <c r="B1916" i="15"/>
  <c r="C1916" i="15" s="1"/>
  <c r="B1917" i="15"/>
  <c r="C1917" i="15" s="1"/>
  <c r="B1918" i="15"/>
  <c r="C1918" i="15" s="1"/>
  <c r="B1919" i="15"/>
  <c r="C1919" i="15" s="1"/>
  <c r="B1920" i="15"/>
  <c r="C1920" i="15" s="1"/>
  <c r="B1921" i="15"/>
  <c r="C1921" i="15" s="1"/>
  <c r="B1922" i="15"/>
  <c r="C1922" i="15" s="1"/>
  <c r="B1923" i="15"/>
  <c r="C1923" i="15" s="1"/>
  <c r="B1924" i="15"/>
  <c r="C1924" i="15" s="1"/>
  <c r="B1925" i="15"/>
  <c r="C1925" i="15" s="1"/>
  <c r="B1926" i="15"/>
  <c r="C1926" i="15" s="1"/>
  <c r="B1927" i="15"/>
  <c r="C1927" i="15" s="1"/>
  <c r="B1928" i="15"/>
  <c r="C1928" i="15" s="1"/>
  <c r="B1929" i="15"/>
  <c r="C1929" i="15" s="1"/>
  <c r="B1930" i="15"/>
  <c r="C1930" i="15" s="1"/>
  <c r="B1931" i="15"/>
  <c r="C1931" i="15" s="1"/>
  <c r="B1932" i="15"/>
  <c r="C1932" i="15" s="1"/>
  <c r="B1933" i="15"/>
  <c r="C1933" i="15" s="1"/>
  <c r="B1934" i="15"/>
  <c r="C1934" i="15" s="1"/>
  <c r="B1935" i="15"/>
  <c r="C1935" i="15" s="1"/>
  <c r="B1936" i="15"/>
  <c r="C1936" i="15" s="1"/>
  <c r="B1937" i="15"/>
  <c r="C1937" i="15" s="1"/>
  <c r="B1938" i="15"/>
  <c r="C1938" i="15" s="1"/>
  <c r="B1939" i="15"/>
  <c r="C1939" i="15" s="1"/>
  <c r="B1940" i="15"/>
  <c r="C1940" i="15" s="1"/>
  <c r="B1941" i="15"/>
  <c r="C1941" i="15" s="1"/>
  <c r="B1942" i="15"/>
  <c r="C1942" i="15" s="1"/>
  <c r="B1943" i="15"/>
  <c r="C1943" i="15" s="1"/>
  <c r="B1944" i="15"/>
  <c r="C1944" i="15" s="1"/>
  <c r="B1945" i="15"/>
  <c r="C1945" i="15" s="1"/>
  <c r="B1946" i="15"/>
  <c r="C1946" i="15" s="1"/>
  <c r="B1947" i="15"/>
  <c r="C1947" i="15" s="1"/>
  <c r="B1948" i="15"/>
  <c r="C1948" i="15" s="1"/>
  <c r="B1949" i="15"/>
  <c r="C1949" i="15" s="1"/>
  <c r="B1950" i="15"/>
  <c r="C1950" i="15" s="1"/>
  <c r="B1951" i="15"/>
  <c r="C1951" i="15" s="1"/>
  <c r="B1952" i="15"/>
  <c r="C1952" i="15" s="1"/>
  <c r="B1953" i="15"/>
  <c r="C1953" i="15" s="1"/>
  <c r="B1954" i="15"/>
  <c r="C1954" i="15" s="1"/>
  <c r="B1955" i="15"/>
  <c r="C1955" i="15" s="1"/>
  <c r="B1956" i="15"/>
  <c r="C1956" i="15" s="1"/>
  <c r="B1957" i="15"/>
  <c r="C1957" i="15" s="1"/>
  <c r="B1958" i="15"/>
  <c r="C1958" i="15" s="1"/>
  <c r="B1959" i="15"/>
  <c r="C1959" i="15" s="1"/>
  <c r="B1960" i="15"/>
  <c r="C1960" i="15" s="1"/>
  <c r="B1961" i="15"/>
  <c r="C1961" i="15" s="1"/>
  <c r="B1962" i="15"/>
  <c r="C1962" i="15" s="1"/>
  <c r="B1963" i="15"/>
  <c r="C1963" i="15" s="1"/>
  <c r="B1964" i="15"/>
  <c r="C1964" i="15" s="1"/>
  <c r="B1965" i="15"/>
  <c r="C1965" i="15" s="1"/>
  <c r="B1966" i="15"/>
  <c r="C1966" i="15" s="1"/>
  <c r="B1967" i="15"/>
  <c r="C1967" i="15" s="1"/>
  <c r="B1968" i="15"/>
  <c r="C1968" i="15" s="1"/>
  <c r="B1969" i="15"/>
  <c r="C1969" i="15" s="1"/>
  <c r="B1970" i="15"/>
  <c r="C1970" i="15" s="1"/>
  <c r="B1971" i="15"/>
  <c r="C1971" i="15" s="1"/>
  <c r="B1972" i="15"/>
  <c r="C1972" i="15" s="1"/>
  <c r="B1973" i="15"/>
  <c r="C1973" i="15" s="1"/>
  <c r="B1974" i="15"/>
  <c r="C1974" i="15" s="1"/>
  <c r="B1975" i="15"/>
  <c r="C1975" i="15" s="1"/>
  <c r="B1976" i="15"/>
  <c r="C1976" i="15" s="1"/>
  <c r="B1977" i="15"/>
  <c r="C1977" i="15" s="1"/>
  <c r="B1978" i="15"/>
  <c r="C1978" i="15" s="1"/>
  <c r="B1979" i="15"/>
  <c r="C1979" i="15" s="1"/>
  <c r="B1980" i="15"/>
  <c r="C1980" i="15" s="1"/>
  <c r="B1981" i="15"/>
  <c r="C1981" i="15" s="1"/>
  <c r="B1982" i="15"/>
  <c r="C1982" i="15" s="1"/>
  <c r="B1983" i="15"/>
  <c r="C1983" i="15" s="1"/>
  <c r="B1984" i="15"/>
  <c r="C1984" i="15" s="1"/>
  <c r="B1985" i="15"/>
  <c r="C1985" i="15" s="1"/>
  <c r="B1986" i="15"/>
  <c r="C1986" i="15" s="1"/>
  <c r="B1987" i="15"/>
  <c r="C1987" i="15" s="1"/>
  <c r="B1988" i="15"/>
  <c r="C1988" i="15" s="1"/>
  <c r="B1989" i="15"/>
  <c r="C1989" i="15" s="1"/>
  <c r="B1990" i="15"/>
  <c r="C1990" i="15" s="1"/>
  <c r="B1991" i="15"/>
  <c r="C1991" i="15" s="1"/>
  <c r="B1992" i="15"/>
  <c r="C1992" i="15" s="1"/>
  <c r="B1993" i="15"/>
  <c r="C1993" i="15" s="1"/>
  <c r="B1994" i="15"/>
  <c r="C1994" i="15" s="1"/>
  <c r="B1995" i="15"/>
  <c r="C1995" i="15" s="1"/>
  <c r="B1996" i="15"/>
  <c r="C1996" i="15" s="1"/>
  <c r="B1997" i="15"/>
  <c r="C1997" i="15" s="1"/>
  <c r="B1998" i="15"/>
  <c r="C1998" i="15" s="1"/>
  <c r="B1999" i="15"/>
  <c r="C1999" i="15" s="1"/>
  <c r="B2000" i="15"/>
  <c r="C2000" i="15" s="1"/>
  <c r="B3" i="15"/>
  <c r="C3" i="15" s="1"/>
  <c r="C10" i="15"/>
  <c r="C563" i="15"/>
  <c r="C775" i="15"/>
  <c r="C519" i="15"/>
  <c r="C263" i="15"/>
  <c r="D2" i="15"/>
  <c r="B7" i="14"/>
  <c r="C7" i="14" s="1"/>
  <c r="B8" i="14"/>
  <c r="C8" i="14" s="1"/>
  <c r="B9" i="14"/>
  <c r="C9" i="14" s="1"/>
  <c r="B10" i="14"/>
  <c r="C10" i="14" s="1"/>
  <c r="B11" i="14"/>
  <c r="C11" i="14" s="1"/>
  <c r="B12" i="14"/>
  <c r="C12" i="14" s="1"/>
  <c r="B13" i="14"/>
  <c r="C13" i="14" s="1"/>
  <c r="B14" i="14"/>
  <c r="C14" i="14" s="1"/>
  <c r="B15" i="14"/>
  <c r="C15" i="14" s="1"/>
  <c r="B16" i="14"/>
  <c r="C16" i="14" s="1"/>
  <c r="B17" i="14"/>
  <c r="C17" i="14" s="1"/>
  <c r="B18" i="14"/>
  <c r="C18" i="14" s="1"/>
  <c r="B19" i="14"/>
  <c r="C19" i="14" s="1"/>
  <c r="B20" i="14"/>
  <c r="C20" i="14" s="1"/>
  <c r="B21" i="14"/>
  <c r="C21" i="14" s="1"/>
  <c r="B22" i="14"/>
  <c r="C22" i="14" s="1"/>
  <c r="B23" i="14"/>
  <c r="C23" i="14" s="1"/>
  <c r="B24" i="14"/>
  <c r="C24" i="14" s="1"/>
  <c r="B25" i="14"/>
  <c r="C25" i="14" s="1"/>
  <c r="B26" i="14"/>
  <c r="C26" i="14" s="1"/>
  <c r="B27" i="14"/>
  <c r="C27" i="14" s="1"/>
  <c r="B28" i="14"/>
  <c r="C28" i="14" s="1"/>
  <c r="B29" i="14"/>
  <c r="C29" i="14" s="1"/>
  <c r="B30" i="14"/>
  <c r="C30" i="14" s="1"/>
  <c r="B31" i="14"/>
  <c r="C31" i="14" s="1"/>
  <c r="B32" i="14"/>
  <c r="C32" i="14" s="1"/>
  <c r="B33" i="14"/>
  <c r="C33" i="14" s="1"/>
  <c r="B34" i="14"/>
  <c r="C34" i="14" s="1"/>
  <c r="B35" i="14"/>
  <c r="C35" i="14" s="1"/>
  <c r="B36" i="14"/>
  <c r="C36" i="14" s="1"/>
  <c r="B37" i="14"/>
  <c r="C37" i="14" s="1"/>
  <c r="B38" i="14"/>
  <c r="C38" i="14" s="1"/>
  <c r="B39" i="14"/>
  <c r="C39" i="14" s="1"/>
  <c r="B40" i="14"/>
  <c r="C40" i="14" s="1"/>
  <c r="B41" i="14"/>
  <c r="C41" i="14" s="1"/>
  <c r="B42" i="14"/>
  <c r="C42" i="14" s="1"/>
  <c r="B43" i="14"/>
  <c r="C43" i="14" s="1"/>
  <c r="B44" i="14"/>
  <c r="C44" i="14" s="1"/>
  <c r="B45" i="14"/>
  <c r="C45" i="14" s="1"/>
  <c r="B46" i="14"/>
  <c r="C46" i="14" s="1"/>
  <c r="B47" i="14"/>
  <c r="C47" i="14" s="1"/>
  <c r="B48" i="14"/>
  <c r="C48" i="14" s="1"/>
  <c r="B49" i="14"/>
  <c r="C49" i="14" s="1"/>
  <c r="B50" i="14"/>
  <c r="C50" i="14" s="1"/>
  <c r="B51" i="14"/>
  <c r="C51" i="14" s="1"/>
  <c r="B52" i="14"/>
  <c r="C52" i="14" s="1"/>
  <c r="B53" i="14"/>
  <c r="C53" i="14" s="1"/>
  <c r="B54" i="14"/>
  <c r="C54" i="14" s="1"/>
  <c r="B55" i="14"/>
  <c r="C55" i="14" s="1"/>
  <c r="B56" i="14"/>
  <c r="C56" i="14" s="1"/>
  <c r="B57" i="14"/>
  <c r="C57" i="14" s="1"/>
  <c r="B58" i="14"/>
  <c r="C58" i="14" s="1"/>
  <c r="B59" i="14"/>
  <c r="C59" i="14" s="1"/>
  <c r="B60" i="14"/>
  <c r="C60" i="14" s="1"/>
  <c r="B61" i="14"/>
  <c r="C61" i="14" s="1"/>
  <c r="B62" i="14"/>
  <c r="C62" i="14" s="1"/>
  <c r="B63" i="14"/>
  <c r="C63" i="14" s="1"/>
  <c r="B64" i="14"/>
  <c r="C64" i="14" s="1"/>
  <c r="B65" i="14"/>
  <c r="C65" i="14" s="1"/>
  <c r="B66" i="14"/>
  <c r="C66" i="14" s="1"/>
  <c r="B67" i="14"/>
  <c r="C67" i="14" s="1"/>
  <c r="B68" i="14"/>
  <c r="C68" i="14" s="1"/>
  <c r="B69" i="14"/>
  <c r="C69" i="14" s="1"/>
  <c r="B70" i="14"/>
  <c r="C70" i="14" s="1"/>
  <c r="B71" i="14"/>
  <c r="C71" i="14" s="1"/>
  <c r="B72" i="14"/>
  <c r="C72" i="14" s="1"/>
  <c r="B73" i="14"/>
  <c r="C73" i="14" s="1"/>
  <c r="B74" i="14"/>
  <c r="C74" i="14" s="1"/>
  <c r="B75" i="14"/>
  <c r="C75" i="14" s="1"/>
  <c r="B76" i="14"/>
  <c r="C76" i="14" s="1"/>
  <c r="B77" i="14"/>
  <c r="C77" i="14" s="1"/>
  <c r="B78" i="14"/>
  <c r="C78" i="14" s="1"/>
  <c r="B79" i="14"/>
  <c r="C79" i="14" s="1"/>
  <c r="B80" i="14"/>
  <c r="C80" i="14" s="1"/>
  <c r="B81" i="14"/>
  <c r="C81" i="14" s="1"/>
  <c r="B82" i="14"/>
  <c r="C82" i="14" s="1"/>
  <c r="B83" i="14"/>
  <c r="C83" i="14" s="1"/>
  <c r="B84" i="14"/>
  <c r="C84" i="14" s="1"/>
  <c r="B85" i="14"/>
  <c r="C85" i="14" s="1"/>
  <c r="B86" i="14"/>
  <c r="C86" i="14" s="1"/>
  <c r="B87" i="14"/>
  <c r="C87" i="14" s="1"/>
  <c r="B88" i="14"/>
  <c r="C88" i="14" s="1"/>
  <c r="B89" i="14"/>
  <c r="C89" i="14" s="1"/>
  <c r="B90" i="14"/>
  <c r="C90" i="14" s="1"/>
  <c r="B91" i="14"/>
  <c r="C91" i="14" s="1"/>
  <c r="B92" i="14"/>
  <c r="C92" i="14" s="1"/>
  <c r="B93" i="14"/>
  <c r="C93" i="14" s="1"/>
  <c r="B94" i="14"/>
  <c r="C94" i="14" s="1"/>
  <c r="B95" i="14"/>
  <c r="C95" i="14" s="1"/>
  <c r="B96" i="14"/>
  <c r="C96" i="14" s="1"/>
  <c r="B97" i="14"/>
  <c r="C97" i="14" s="1"/>
  <c r="B98" i="14"/>
  <c r="C98" i="14" s="1"/>
  <c r="B99" i="14"/>
  <c r="C99" i="14" s="1"/>
  <c r="B100" i="14"/>
  <c r="C100" i="14" s="1"/>
  <c r="B101" i="14"/>
  <c r="C101" i="14" s="1"/>
  <c r="B102" i="14"/>
  <c r="C102" i="14" s="1"/>
  <c r="B103" i="14"/>
  <c r="C103" i="14" s="1"/>
  <c r="B104" i="14"/>
  <c r="C104" i="14" s="1"/>
  <c r="B105" i="14"/>
  <c r="C105" i="14" s="1"/>
  <c r="B106" i="14"/>
  <c r="C106" i="14" s="1"/>
  <c r="B107" i="14"/>
  <c r="C107" i="14" s="1"/>
  <c r="B108" i="14"/>
  <c r="C108" i="14" s="1"/>
  <c r="B109" i="14"/>
  <c r="C109" i="14" s="1"/>
  <c r="B110" i="14"/>
  <c r="C110" i="14" s="1"/>
  <c r="B111" i="14"/>
  <c r="C111" i="14" s="1"/>
  <c r="B112" i="14"/>
  <c r="C112" i="14" s="1"/>
  <c r="B113" i="14"/>
  <c r="C113" i="14" s="1"/>
  <c r="B114" i="14"/>
  <c r="C114" i="14" s="1"/>
  <c r="B115" i="14"/>
  <c r="C115" i="14" s="1"/>
  <c r="B116" i="14"/>
  <c r="C116" i="14" s="1"/>
  <c r="B117" i="14"/>
  <c r="C117" i="14" s="1"/>
  <c r="B118" i="14"/>
  <c r="C118" i="14" s="1"/>
  <c r="B119" i="14"/>
  <c r="C119" i="14" s="1"/>
  <c r="B120" i="14"/>
  <c r="C120" i="14" s="1"/>
  <c r="B121" i="14"/>
  <c r="C121" i="14" s="1"/>
  <c r="B122" i="14"/>
  <c r="C122" i="14" s="1"/>
  <c r="B123" i="14"/>
  <c r="C123" i="14" s="1"/>
  <c r="B124" i="14"/>
  <c r="C124" i="14" s="1"/>
  <c r="B125" i="14"/>
  <c r="C125" i="14" s="1"/>
  <c r="B126" i="14"/>
  <c r="C126" i="14" s="1"/>
  <c r="B127" i="14"/>
  <c r="C127" i="14" s="1"/>
  <c r="B128" i="14"/>
  <c r="C128" i="14" s="1"/>
  <c r="B129" i="14"/>
  <c r="C129" i="14" s="1"/>
  <c r="B130" i="14"/>
  <c r="C130" i="14" s="1"/>
  <c r="B131" i="14"/>
  <c r="C131" i="14" s="1"/>
  <c r="B132" i="14"/>
  <c r="C132" i="14" s="1"/>
  <c r="B133" i="14"/>
  <c r="C133" i="14" s="1"/>
  <c r="B134" i="14"/>
  <c r="C134" i="14" s="1"/>
  <c r="B135" i="14"/>
  <c r="C135" i="14" s="1"/>
  <c r="B136" i="14"/>
  <c r="C136" i="14" s="1"/>
  <c r="B137" i="14"/>
  <c r="C137" i="14" s="1"/>
  <c r="B138" i="14"/>
  <c r="C138" i="14" s="1"/>
  <c r="B139" i="14"/>
  <c r="C139" i="14" s="1"/>
  <c r="B140" i="14"/>
  <c r="C140" i="14" s="1"/>
  <c r="B141" i="14"/>
  <c r="C141" i="14" s="1"/>
  <c r="B142" i="14"/>
  <c r="C142" i="14" s="1"/>
  <c r="B143" i="14"/>
  <c r="C143" i="14" s="1"/>
  <c r="B144" i="14"/>
  <c r="C144" i="14" s="1"/>
  <c r="B145" i="14"/>
  <c r="C145" i="14" s="1"/>
  <c r="B146" i="14"/>
  <c r="C146" i="14" s="1"/>
  <c r="B147" i="14"/>
  <c r="C147" i="14" s="1"/>
  <c r="B148" i="14"/>
  <c r="C148" i="14" s="1"/>
  <c r="B149" i="14"/>
  <c r="C149" i="14" s="1"/>
  <c r="B150" i="14"/>
  <c r="C150" i="14" s="1"/>
  <c r="B151" i="14"/>
  <c r="C151" i="14" s="1"/>
  <c r="B152" i="14"/>
  <c r="C152" i="14" s="1"/>
  <c r="B153" i="14"/>
  <c r="C153" i="14" s="1"/>
  <c r="B154" i="14"/>
  <c r="C154" i="14" s="1"/>
  <c r="B155" i="14"/>
  <c r="C155" i="14" s="1"/>
  <c r="B156" i="14"/>
  <c r="C156" i="14" s="1"/>
  <c r="B157" i="14"/>
  <c r="C157" i="14" s="1"/>
  <c r="B158" i="14"/>
  <c r="C158" i="14" s="1"/>
  <c r="B159" i="14"/>
  <c r="C159" i="14" s="1"/>
  <c r="B160" i="14"/>
  <c r="C160" i="14" s="1"/>
  <c r="B161" i="14"/>
  <c r="C161" i="14" s="1"/>
  <c r="B162" i="14"/>
  <c r="C162" i="14" s="1"/>
  <c r="B163" i="14"/>
  <c r="C163" i="14" s="1"/>
  <c r="B164" i="14"/>
  <c r="C164" i="14" s="1"/>
  <c r="B165" i="14"/>
  <c r="C165" i="14" s="1"/>
  <c r="B166" i="14"/>
  <c r="C166" i="14" s="1"/>
  <c r="B167" i="14"/>
  <c r="C167" i="14" s="1"/>
  <c r="B168" i="14"/>
  <c r="C168" i="14" s="1"/>
  <c r="B169" i="14"/>
  <c r="C169" i="14" s="1"/>
  <c r="B170" i="14"/>
  <c r="C170" i="14" s="1"/>
  <c r="B171" i="14"/>
  <c r="C171" i="14" s="1"/>
  <c r="B172" i="14"/>
  <c r="C172" i="14" s="1"/>
  <c r="B173" i="14"/>
  <c r="C173" i="14" s="1"/>
  <c r="B174" i="14"/>
  <c r="C174" i="14" s="1"/>
  <c r="B175" i="14"/>
  <c r="C175" i="14" s="1"/>
  <c r="B176" i="14"/>
  <c r="C176" i="14" s="1"/>
  <c r="B177" i="14"/>
  <c r="C177" i="14" s="1"/>
  <c r="B178" i="14"/>
  <c r="C178" i="14" s="1"/>
  <c r="B179" i="14"/>
  <c r="C179" i="14" s="1"/>
  <c r="B180" i="14"/>
  <c r="C180" i="14" s="1"/>
  <c r="B181" i="14"/>
  <c r="C181" i="14" s="1"/>
  <c r="B182" i="14"/>
  <c r="C182" i="14" s="1"/>
  <c r="B183" i="14"/>
  <c r="C183" i="14" s="1"/>
  <c r="B184" i="14"/>
  <c r="C184" i="14" s="1"/>
  <c r="B185" i="14"/>
  <c r="C185" i="14" s="1"/>
  <c r="B186" i="14"/>
  <c r="C186" i="14" s="1"/>
  <c r="B187" i="14"/>
  <c r="C187" i="14" s="1"/>
  <c r="B188" i="14"/>
  <c r="C188" i="14" s="1"/>
  <c r="B189" i="14"/>
  <c r="C189" i="14" s="1"/>
  <c r="B190" i="14"/>
  <c r="C190" i="14" s="1"/>
  <c r="B191" i="14"/>
  <c r="C191" i="14" s="1"/>
  <c r="B192" i="14"/>
  <c r="C192" i="14" s="1"/>
  <c r="B193" i="14"/>
  <c r="C193" i="14" s="1"/>
  <c r="B194" i="14"/>
  <c r="C194" i="14" s="1"/>
  <c r="B195" i="14"/>
  <c r="C195" i="14" s="1"/>
  <c r="B196" i="14"/>
  <c r="C196" i="14" s="1"/>
  <c r="B197" i="14"/>
  <c r="C197" i="14" s="1"/>
  <c r="B198" i="14"/>
  <c r="C198" i="14" s="1"/>
  <c r="B199" i="14"/>
  <c r="C199" i="14" s="1"/>
  <c r="B200" i="14"/>
  <c r="C200" i="14" s="1"/>
  <c r="B201" i="14"/>
  <c r="C201" i="14" s="1"/>
  <c r="B202" i="14"/>
  <c r="C202" i="14" s="1"/>
  <c r="B203" i="14"/>
  <c r="C203" i="14" s="1"/>
  <c r="B204" i="14"/>
  <c r="C204" i="14" s="1"/>
  <c r="B205" i="14"/>
  <c r="C205" i="14" s="1"/>
  <c r="B206" i="14"/>
  <c r="C206" i="14" s="1"/>
  <c r="B207" i="14"/>
  <c r="C207" i="14" s="1"/>
  <c r="B208" i="14"/>
  <c r="C208" i="14" s="1"/>
  <c r="B209" i="14"/>
  <c r="C209" i="14" s="1"/>
  <c r="B210" i="14"/>
  <c r="C210" i="14" s="1"/>
  <c r="B211" i="14"/>
  <c r="C211" i="14" s="1"/>
  <c r="B212" i="14"/>
  <c r="C212" i="14" s="1"/>
  <c r="B213" i="14"/>
  <c r="C213" i="14" s="1"/>
  <c r="B214" i="14"/>
  <c r="C214" i="14" s="1"/>
  <c r="B215" i="14"/>
  <c r="C215" i="14" s="1"/>
  <c r="B216" i="14"/>
  <c r="C216" i="14" s="1"/>
  <c r="B217" i="14"/>
  <c r="C217" i="14" s="1"/>
  <c r="B218" i="14"/>
  <c r="C218" i="14" s="1"/>
  <c r="B219" i="14"/>
  <c r="C219" i="14" s="1"/>
  <c r="B220" i="14"/>
  <c r="C220" i="14" s="1"/>
  <c r="B221" i="14"/>
  <c r="C221" i="14" s="1"/>
  <c r="B222" i="14"/>
  <c r="C222" i="14" s="1"/>
  <c r="B223" i="14"/>
  <c r="C223" i="14" s="1"/>
  <c r="B224" i="14"/>
  <c r="C224" i="14" s="1"/>
  <c r="B225" i="14"/>
  <c r="C225" i="14" s="1"/>
  <c r="B226" i="14"/>
  <c r="C226" i="14" s="1"/>
  <c r="B227" i="14"/>
  <c r="C227" i="14" s="1"/>
  <c r="B228" i="14"/>
  <c r="C228" i="14" s="1"/>
  <c r="B229" i="14"/>
  <c r="C229" i="14" s="1"/>
  <c r="B230" i="14"/>
  <c r="C230" i="14" s="1"/>
  <c r="B231" i="14"/>
  <c r="C231" i="14" s="1"/>
  <c r="B232" i="14"/>
  <c r="C232" i="14" s="1"/>
  <c r="B233" i="14"/>
  <c r="C233" i="14" s="1"/>
  <c r="B234" i="14"/>
  <c r="C234" i="14" s="1"/>
  <c r="B235" i="14"/>
  <c r="C235" i="14" s="1"/>
  <c r="B236" i="14"/>
  <c r="C236" i="14" s="1"/>
  <c r="B237" i="14"/>
  <c r="C237" i="14" s="1"/>
  <c r="B238" i="14"/>
  <c r="C238" i="14" s="1"/>
  <c r="B239" i="14"/>
  <c r="C239" i="14" s="1"/>
  <c r="B240" i="14"/>
  <c r="C240" i="14" s="1"/>
  <c r="B241" i="14"/>
  <c r="C241" i="14" s="1"/>
  <c r="B242" i="14"/>
  <c r="C242" i="14" s="1"/>
  <c r="B243" i="14"/>
  <c r="C243" i="14" s="1"/>
  <c r="B244" i="14"/>
  <c r="C244" i="14" s="1"/>
  <c r="B245" i="14"/>
  <c r="C245" i="14" s="1"/>
  <c r="B246" i="14"/>
  <c r="C246" i="14" s="1"/>
  <c r="B247" i="14"/>
  <c r="C247" i="14" s="1"/>
  <c r="B248" i="14"/>
  <c r="C248" i="14" s="1"/>
  <c r="B249" i="14"/>
  <c r="C249" i="14" s="1"/>
  <c r="B250" i="14"/>
  <c r="C250" i="14" s="1"/>
  <c r="B251" i="14"/>
  <c r="C251" i="14" s="1"/>
  <c r="B252" i="14"/>
  <c r="C252" i="14" s="1"/>
  <c r="B253" i="14"/>
  <c r="C253" i="14" s="1"/>
  <c r="B254" i="14"/>
  <c r="C254" i="14" s="1"/>
  <c r="B255" i="14"/>
  <c r="C255" i="14" s="1"/>
  <c r="B256" i="14"/>
  <c r="C256" i="14" s="1"/>
  <c r="B257" i="14"/>
  <c r="C257" i="14" s="1"/>
  <c r="B258" i="14"/>
  <c r="C258" i="14" s="1"/>
  <c r="B259" i="14"/>
  <c r="C259" i="14" s="1"/>
  <c r="B260" i="14"/>
  <c r="C260" i="14" s="1"/>
  <c r="B261" i="14"/>
  <c r="C261" i="14" s="1"/>
  <c r="B262" i="14"/>
  <c r="C262" i="14" s="1"/>
  <c r="B263" i="14"/>
  <c r="C263" i="14" s="1"/>
  <c r="B264" i="14"/>
  <c r="C264" i="14" s="1"/>
  <c r="B265" i="14"/>
  <c r="C265" i="14" s="1"/>
  <c r="B266" i="14"/>
  <c r="C266" i="14" s="1"/>
  <c r="B267" i="14"/>
  <c r="C267" i="14" s="1"/>
  <c r="B268" i="14"/>
  <c r="C268" i="14" s="1"/>
  <c r="B269" i="14"/>
  <c r="C269" i="14" s="1"/>
  <c r="B270" i="14"/>
  <c r="C270" i="14" s="1"/>
  <c r="B271" i="14"/>
  <c r="C271" i="14" s="1"/>
  <c r="B272" i="14"/>
  <c r="C272" i="14" s="1"/>
  <c r="B273" i="14"/>
  <c r="C273" i="14" s="1"/>
  <c r="B274" i="14"/>
  <c r="C274" i="14" s="1"/>
  <c r="B275" i="14"/>
  <c r="C275" i="14" s="1"/>
  <c r="B276" i="14"/>
  <c r="C276" i="14" s="1"/>
  <c r="B277" i="14"/>
  <c r="C277" i="14" s="1"/>
  <c r="B278" i="14"/>
  <c r="C278" i="14" s="1"/>
  <c r="B279" i="14"/>
  <c r="C279" i="14" s="1"/>
  <c r="B280" i="14"/>
  <c r="C280" i="14" s="1"/>
  <c r="B281" i="14"/>
  <c r="C281" i="14" s="1"/>
  <c r="B282" i="14"/>
  <c r="C282" i="14" s="1"/>
  <c r="B283" i="14"/>
  <c r="C283" i="14" s="1"/>
  <c r="B284" i="14"/>
  <c r="C284" i="14" s="1"/>
  <c r="B285" i="14"/>
  <c r="C285" i="14" s="1"/>
  <c r="B286" i="14"/>
  <c r="C286" i="14" s="1"/>
  <c r="B287" i="14"/>
  <c r="C287" i="14" s="1"/>
  <c r="B288" i="14"/>
  <c r="C288" i="14" s="1"/>
  <c r="B289" i="14"/>
  <c r="C289" i="14" s="1"/>
  <c r="B290" i="14"/>
  <c r="C290" i="14" s="1"/>
  <c r="B291" i="14"/>
  <c r="C291" i="14" s="1"/>
  <c r="B292" i="14"/>
  <c r="C292" i="14" s="1"/>
  <c r="B293" i="14"/>
  <c r="C293" i="14" s="1"/>
  <c r="B294" i="14"/>
  <c r="C294" i="14" s="1"/>
  <c r="B295" i="14"/>
  <c r="C295" i="14" s="1"/>
  <c r="B296" i="14"/>
  <c r="C296" i="14" s="1"/>
  <c r="B297" i="14"/>
  <c r="C297" i="14" s="1"/>
  <c r="B298" i="14"/>
  <c r="C298" i="14" s="1"/>
  <c r="B299" i="14"/>
  <c r="C299" i="14" s="1"/>
  <c r="B300" i="14"/>
  <c r="C300" i="14" s="1"/>
  <c r="B301" i="14"/>
  <c r="C301" i="14" s="1"/>
  <c r="B302" i="14"/>
  <c r="C302" i="14" s="1"/>
  <c r="B303" i="14"/>
  <c r="C303" i="14" s="1"/>
  <c r="B304" i="14"/>
  <c r="C304" i="14" s="1"/>
  <c r="B305" i="14"/>
  <c r="C305" i="14" s="1"/>
  <c r="B306" i="14"/>
  <c r="C306" i="14" s="1"/>
  <c r="B307" i="14"/>
  <c r="C307" i="14" s="1"/>
  <c r="B308" i="14"/>
  <c r="C308" i="14" s="1"/>
  <c r="B309" i="14"/>
  <c r="C309" i="14" s="1"/>
  <c r="B310" i="14"/>
  <c r="C310" i="14" s="1"/>
  <c r="B311" i="14"/>
  <c r="C311" i="14" s="1"/>
  <c r="B312" i="14"/>
  <c r="C312" i="14" s="1"/>
  <c r="B313" i="14"/>
  <c r="C313" i="14" s="1"/>
  <c r="B314" i="14"/>
  <c r="C314" i="14" s="1"/>
  <c r="B315" i="14"/>
  <c r="C315" i="14" s="1"/>
  <c r="B316" i="14"/>
  <c r="C316" i="14" s="1"/>
  <c r="B317" i="14"/>
  <c r="C317" i="14" s="1"/>
  <c r="B318" i="14"/>
  <c r="C318" i="14" s="1"/>
  <c r="B319" i="14"/>
  <c r="C319" i="14" s="1"/>
  <c r="B320" i="14"/>
  <c r="C320" i="14" s="1"/>
  <c r="B321" i="14"/>
  <c r="C321" i="14" s="1"/>
  <c r="B322" i="14"/>
  <c r="C322" i="14" s="1"/>
  <c r="B323" i="14"/>
  <c r="C323" i="14" s="1"/>
  <c r="B324" i="14"/>
  <c r="C324" i="14" s="1"/>
  <c r="B325" i="14"/>
  <c r="C325" i="14" s="1"/>
  <c r="B326" i="14"/>
  <c r="C326" i="14" s="1"/>
  <c r="B327" i="14"/>
  <c r="C327" i="14" s="1"/>
  <c r="B328" i="14"/>
  <c r="C328" i="14" s="1"/>
  <c r="B329" i="14"/>
  <c r="C329" i="14" s="1"/>
  <c r="B330" i="14"/>
  <c r="C330" i="14" s="1"/>
  <c r="B331" i="14"/>
  <c r="C331" i="14" s="1"/>
  <c r="B332" i="14"/>
  <c r="C332" i="14" s="1"/>
  <c r="B333" i="14"/>
  <c r="C333" i="14" s="1"/>
  <c r="B334" i="14"/>
  <c r="C334" i="14" s="1"/>
  <c r="B335" i="14"/>
  <c r="C335" i="14" s="1"/>
  <c r="B336" i="14"/>
  <c r="C336" i="14" s="1"/>
  <c r="B337" i="14"/>
  <c r="C337" i="14" s="1"/>
  <c r="B338" i="14"/>
  <c r="C338" i="14" s="1"/>
  <c r="B339" i="14"/>
  <c r="C339" i="14" s="1"/>
  <c r="B340" i="14"/>
  <c r="C340" i="14" s="1"/>
  <c r="B341" i="14"/>
  <c r="C341" i="14" s="1"/>
  <c r="B342" i="14"/>
  <c r="C342" i="14" s="1"/>
  <c r="B343" i="14"/>
  <c r="C343" i="14" s="1"/>
  <c r="B344" i="14"/>
  <c r="C344" i="14" s="1"/>
  <c r="B345" i="14"/>
  <c r="C345" i="14" s="1"/>
  <c r="B346" i="14"/>
  <c r="C346" i="14" s="1"/>
  <c r="B347" i="14"/>
  <c r="C347" i="14" s="1"/>
  <c r="B348" i="14"/>
  <c r="C348" i="14" s="1"/>
  <c r="B349" i="14"/>
  <c r="C349" i="14" s="1"/>
  <c r="B350" i="14"/>
  <c r="C350" i="14" s="1"/>
  <c r="B351" i="14"/>
  <c r="C351" i="14" s="1"/>
  <c r="B352" i="14"/>
  <c r="C352" i="14" s="1"/>
  <c r="B353" i="14"/>
  <c r="C353" i="14" s="1"/>
  <c r="B354" i="14"/>
  <c r="C354" i="14" s="1"/>
  <c r="B355" i="14"/>
  <c r="C355" i="14" s="1"/>
  <c r="B356" i="14"/>
  <c r="C356" i="14" s="1"/>
  <c r="B357" i="14"/>
  <c r="C357" i="14" s="1"/>
  <c r="B358" i="14"/>
  <c r="C358" i="14" s="1"/>
  <c r="B359" i="14"/>
  <c r="C359" i="14" s="1"/>
  <c r="B360" i="14"/>
  <c r="C360" i="14" s="1"/>
  <c r="B361" i="14"/>
  <c r="C361" i="14" s="1"/>
  <c r="B362" i="14"/>
  <c r="C362" i="14" s="1"/>
  <c r="B363" i="14"/>
  <c r="C363" i="14" s="1"/>
  <c r="B364" i="14"/>
  <c r="C364" i="14" s="1"/>
  <c r="B365" i="14"/>
  <c r="C365" i="14" s="1"/>
  <c r="B366" i="14"/>
  <c r="C366" i="14" s="1"/>
  <c r="B367" i="14"/>
  <c r="C367" i="14" s="1"/>
  <c r="B368" i="14"/>
  <c r="C368" i="14" s="1"/>
  <c r="B369" i="14"/>
  <c r="C369" i="14" s="1"/>
  <c r="B370" i="14"/>
  <c r="C370" i="14" s="1"/>
  <c r="B371" i="14"/>
  <c r="C371" i="14" s="1"/>
  <c r="B372" i="14"/>
  <c r="C372" i="14" s="1"/>
  <c r="B373" i="14"/>
  <c r="C373" i="14" s="1"/>
  <c r="B374" i="14"/>
  <c r="C374" i="14" s="1"/>
  <c r="B375" i="14"/>
  <c r="C375" i="14" s="1"/>
  <c r="B376" i="14"/>
  <c r="C376" i="14" s="1"/>
  <c r="B377" i="14"/>
  <c r="C377" i="14" s="1"/>
  <c r="B378" i="14"/>
  <c r="C378" i="14" s="1"/>
  <c r="B379" i="14"/>
  <c r="C379" i="14" s="1"/>
  <c r="B380" i="14"/>
  <c r="C380" i="14" s="1"/>
  <c r="B381" i="14"/>
  <c r="C381" i="14" s="1"/>
  <c r="B382" i="14"/>
  <c r="C382" i="14" s="1"/>
  <c r="B383" i="14"/>
  <c r="C383" i="14" s="1"/>
  <c r="B384" i="14"/>
  <c r="C384" i="14" s="1"/>
  <c r="B385" i="14"/>
  <c r="C385" i="14" s="1"/>
  <c r="B386" i="14"/>
  <c r="C386" i="14" s="1"/>
  <c r="B387" i="14"/>
  <c r="C387" i="14" s="1"/>
  <c r="B388" i="14"/>
  <c r="C388" i="14" s="1"/>
  <c r="B389" i="14"/>
  <c r="C389" i="14" s="1"/>
  <c r="B390" i="14"/>
  <c r="C390" i="14" s="1"/>
  <c r="B391" i="14"/>
  <c r="C391" i="14" s="1"/>
  <c r="B392" i="14"/>
  <c r="C392" i="14" s="1"/>
  <c r="B393" i="14"/>
  <c r="C393" i="14" s="1"/>
  <c r="B394" i="14"/>
  <c r="C394" i="14" s="1"/>
  <c r="B395" i="14"/>
  <c r="C395" i="14" s="1"/>
  <c r="B396" i="14"/>
  <c r="C396" i="14" s="1"/>
  <c r="B397" i="14"/>
  <c r="C397" i="14" s="1"/>
  <c r="B398" i="14"/>
  <c r="C398" i="14" s="1"/>
  <c r="B399" i="14"/>
  <c r="C399" i="14" s="1"/>
  <c r="B400" i="14"/>
  <c r="C400" i="14" s="1"/>
  <c r="B401" i="14"/>
  <c r="C401" i="14" s="1"/>
  <c r="B402" i="14"/>
  <c r="C402" i="14" s="1"/>
  <c r="B403" i="14"/>
  <c r="C403" i="14" s="1"/>
  <c r="B404" i="14"/>
  <c r="C404" i="14" s="1"/>
  <c r="B405" i="14"/>
  <c r="C405" i="14" s="1"/>
  <c r="B406" i="14"/>
  <c r="C406" i="14" s="1"/>
  <c r="B407" i="14"/>
  <c r="C407" i="14" s="1"/>
  <c r="B408" i="14"/>
  <c r="C408" i="14" s="1"/>
  <c r="B409" i="14"/>
  <c r="C409" i="14" s="1"/>
  <c r="B410" i="14"/>
  <c r="C410" i="14" s="1"/>
  <c r="B411" i="14"/>
  <c r="C411" i="14" s="1"/>
  <c r="B412" i="14"/>
  <c r="C412" i="14" s="1"/>
  <c r="B413" i="14"/>
  <c r="C413" i="14" s="1"/>
  <c r="B414" i="14"/>
  <c r="C414" i="14" s="1"/>
  <c r="B415" i="14"/>
  <c r="C415" i="14" s="1"/>
  <c r="B416" i="14"/>
  <c r="C416" i="14" s="1"/>
  <c r="B417" i="14"/>
  <c r="C417" i="14" s="1"/>
  <c r="B418" i="14"/>
  <c r="C418" i="14" s="1"/>
  <c r="B419" i="14"/>
  <c r="C419" i="14" s="1"/>
  <c r="B420" i="14"/>
  <c r="C420" i="14" s="1"/>
  <c r="B421" i="14"/>
  <c r="C421" i="14" s="1"/>
  <c r="B422" i="14"/>
  <c r="C422" i="14" s="1"/>
  <c r="B423" i="14"/>
  <c r="C423" i="14" s="1"/>
  <c r="B424" i="14"/>
  <c r="C424" i="14" s="1"/>
  <c r="B425" i="14"/>
  <c r="C425" i="14" s="1"/>
  <c r="B426" i="14"/>
  <c r="C426" i="14" s="1"/>
  <c r="B427" i="14"/>
  <c r="C427" i="14" s="1"/>
  <c r="B428" i="14"/>
  <c r="C428" i="14" s="1"/>
  <c r="B429" i="14"/>
  <c r="C429" i="14" s="1"/>
  <c r="B430" i="14"/>
  <c r="C430" i="14" s="1"/>
  <c r="B431" i="14"/>
  <c r="C431" i="14" s="1"/>
  <c r="B432" i="14"/>
  <c r="C432" i="14" s="1"/>
  <c r="B433" i="14"/>
  <c r="C433" i="14" s="1"/>
  <c r="B434" i="14"/>
  <c r="C434" i="14" s="1"/>
  <c r="B435" i="14"/>
  <c r="C435" i="14" s="1"/>
  <c r="B436" i="14"/>
  <c r="C436" i="14" s="1"/>
  <c r="B437" i="14"/>
  <c r="C437" i="14" s="1"/>
  <c r="B438" i="14"/>
  <c r="C438" i="14" s="1"/>
  <c r="B439" i="14"/>
  <c r="C439" i="14" s="1"/>
  <c r="B440" i="14"/>
  <c r="C440" i="14" s="1"/>
  <c r="B441" i="14"/>
  <c r="C441" i="14" s="1"/>
  <c r="B442" i="14"/>
  <c r="C442" i="14" s="1"/>
  <c r="B443" i="14"/>
  <c r="C443" i="14" s="1"/>
  <c r="B444" i="14"/>
  <c r="C444" i="14" s="1"/>
  <c r="B445" i="14"/>
  <c r="C445" i="14" s="1"/>
  <c r="B446" i="14"/>
  <c r="C446" i="14" s="1"/>
  <c r="B447" i="14"/>
  <c r="C447" i="14" s="1"/>
  <c r="B448" i="14"/>
  <c r="C448" i="14" s="1"/>
  <c r="B449" i="14"/>
  <c r="C449" i="14" s="1"/>
  <c r="B450" i="14"/>
  <c r="C450" i="14" s="1"/>
  <c r="B451" i="14"/>
  <c r="C451" i="14" s="1"/>
  <c r="B452" i="14"/>
  <c r="C452" i="14" s="1"/>
  <c r="B453" i="14"/>
  <c r="C453" i="14" s="1"/>
  <c r="B454" i="14"/>
  <c r="C454" i="14" s="1"/>
  <c r="B455" i="14"/>
  <c r="C455" i="14" s="1"/>
  <c r="B456" i="14"/>
  <c r="C456" i="14" s="1"/>
  <c r="B457" i="14"/>
  <c r="C457" i="14" s="1"/>
  <c r="B458" i="14"/>
  <c r="C458" i="14" s="1"/>
  <c r="B459" i="14"/>
  <c r="C459" i="14" s="1"/>
  <c r="B460" i="14"/>
  <c r="C460" i="14" s="1"/>
  <c r="B461" i="14"/>
  <c r="C461" i="14" s="1"/>
  <c r="B462" i="14"/>
  <c r="C462" i="14" s="1"/>
  <c r="B463" i="14"/>
  <c r="C463" i="14" s="1"/>
  <c r="B464" i="14"/>
  <c r="C464" i="14" s="1"/>
  <c r="B465" i="14"/>
  <c r="C465" i="14" s="1"/>
  <c r="B466" i="14"/>
  <c r="C466" i="14" s="1"/>
  <c r="B467" i="14"/>
  <c r="C467" i="14" s="1"/>
  <c r="B468" i="14"/>
  <c r="C468" i="14" s="1"/>
  <c r="B469" i="14"/>
  <c r="C469" i="14" s="1"/>
  <c r="B470" i="14"/>
  <c r="C470" i="14" s="1"/>
  <c r="B471" i="14"/>
  <c r="C471" i="14" s="1"/>
  <c r="B472" i="14"/>
  <c r="C472" i="14" s="1"/>
  <c r="B473" i="14"/>
  <c r="C473" i="14" s="1"/>
  <c r="B474" i="14"/>
  <c r="C474" i="14" s="1"/>
  <c r="B475" i="14"/>
  <c r="C475" i="14" s="1"/>
  <c r="B476" i="14"/>
  <c r="C476" i="14" s="1"/>
  <c r="B477" i="14"/>
  <c r="C477" i="14" s="1"/>
  <c r="B478" i="14"/>
  <c r="C478" i="14" s="1"/>
  <c r="B479" i="14"/>
  <c r="C479" i="14" s="1"/>
  <c r="B480" i="14"/>
  <c r="C480" i="14" s="1"/>
  <c r="B481" i="14"/>
  <c r="C481" i="14" s="1"/>
  <c r="B482" i="14"/>
  <c r="C482" i="14" s="1"/>
  <c r="B483" i="14"/>
  <c r="C483" i="14" s="1"/>
  <c r="B484" i="14"/>
  <c r="C484" i="14" s="1"/>
  <c r="B485" i="14"/>
  <c r="C485" i="14" s="1"/>
  <c r="B486" i="14"/>
  <c r="C486" i="14" s="1"/>
  <c r="B487" i="14"/>
  <c r="C487" i="14" s="1"/>
  <c r="B488" i="14"/>
  <c r="C488" i="14" s="1"/>
  <c r="B489" i="14"/>
  <c r="C489" i="14" s="1"/>
  <c r="B490" i="14"/>
  <c r="C490" i="14" s="1"/>
  <c r="B491" i="14"/>
  <c r="C491" i="14" s="1"/>
  <c r="B492" i="14"/>
  <c r="C492" i="14" s="1"/>
  <c r="B493" i="14"/>
  <c r="C493" i="14" s="1"/>
  <c r="B494" i="14"/>
  <c r="C494" i="14" s="1"/>
  <c r="B495" i="14"/>
  <c r="C495" i="14" s="1"/>
  <c r="B496" i="14"/>
  <c r="C496" i="14" s="1"/>
  <c r="B497" i="14"/>
  <c r="C497" i="14" s="1"/>
  <c r="B498" i="14"/>
  <c r="C498" i="14" s="1"/>
  <c r="B499" i="14"/>
  <c r="C499" i="14" s="1"/>
  <c r="B500" i="14"/>
  <c r="C500" i="14" s="1"/>
  <c r="B501" i="14"/>
  <c r="C501" i="14" s="1"/>
  <c r="B502" i="14"/>
  <c r="C502" i="14" s="1"/>
  <c r="B503" i="14"/>
  <c r="C503" i="14" s="1"/>
  <c r="B504" i="14"/>
  <c r="C504" i="14" s="1"/>
  <c r="B505" i="14"/>
  <c r="C505" i="14" s="1"/>
  <c r="B506" i="14"/>
  <c r="C506" i="14" s="1"/>
  <c r="B507" i="14"/>
  <c r="C507" i="14" s="1"/>
  <c r="B508" i="14"/>
  <c r="C508" i="14" s="1"/>
  <c r="B509" i="14"/>
  <c r="C509" i="14" s="1"/>
  <c r="B510" i="14"/>
  <c r="C510" i="14" s="1"/>
  <c r="B511" i="14"/>
  <c r="C511" i="14" s="1"/>
  <c r="B512" i="14"/>
  <c r="C512" i="14" s="1"/>
  <c r="B513" i="14"/>
  <c r="C513" i="14" s="1"/>
  <c r="B514" i="14"/>
  <c r="C514" i="14" s="1"/>
  <c r="B515" i="14"/>
  <c r="C515" i="14" s="1"/>
  <c r="B516" i="14"/>
  <c r="C516" i="14" s="1"/>
  <c r="B517" i="14"/>
  <c r="C517" i="14" s="1"/>
  <c r="B518" i="14"/>
  <c r="C518" i="14" s="1"/>
  <c r="B519" i="14"/>
  <c r="C519" i="14" s="1"/>
  <c r="B520" i="14"/>
  <c r="C520" i="14" s="1"/>
  <c r="B521" i="14"/>
  <c r="C521" i="14" s="1"/>
  <c r="B522" i="14"/>
  <c r="C522" i="14" s="1"/>
  <c r="B523" i="14"/>
  <c r="C523" i="14" s="1"/>
  <c r="B524" i="14"/>
  <c r="C524" i="14" s="1"/>
  <c r="B525" i="14"/>
  <c r="C525" i="14" s="1"/>
  <c r="B526" i="14"/>
  <c r="C526" i="14" s="1"/>
  <c r="B527" i="14"/>
  <c r="C527" i="14" s="1"/>
  <c r="B528" i="14"/>
  <c r="C528" i="14" s="1"/>
  <c r="B529" i="14"/>
  <c r="C529" i="14" s="1"/>
  <c r="B530" i="14"/>
  <c r="C530" i="14" s="1"/>
  <c r="B531" i="14"/>
  <c r="C531" i="14" s="1"/>
  <c r="B532" i="14"/>
  <c r="C532" i="14" s="1"/>
  <c r="B533" i="14"/>
  <c r="C533" i="14" s="1"/>
  <c r="B534" i="14"/>
  <c r="C534" i="14" s="1"/>
  <c r="B535" i="14"/>
  <c r="C535" i="14" s="1"/>
  <c r="B536" i="14"/>
  <c r="C536" i="14" s="1"/>
  <c r="B537" i="14"/>
  <c r="C537" i="14" s="1"/>
  <c r="B538" i="14"/>
  <c r="C538" i="14" s="1"/>
  <c r="B539" i="14"/>
  <c r="C539" i="14" s="1"/>
  <c r="B540" i="14"/>
  <c r="C540" i="14" s="1"/>
  <c r="B541" i="14"/>
  <c r="C541" i="14" s="1"/>
  <c r="B542" i="14"/>
  <c r="C542" i="14" s="1"/>
  <c r="B543" i="14"/>
  <c r="C543" i="14" s="1"/>
  <c r="B544" i="14"/>
  <c r="C544" i="14" s="1"/>
  <c r="B545" i="14"/>
  <c r="C545" i="14" s="1"/>
  <c r="B546" i="14"/>
  <c r="C546" i="14" s="1"/>
  <c r="B547" i="14"/>
  <c r="C547" i="14" s="1"/>
  <c r="B548" i="14"/>
  <c r="C548" i="14" s="1"/>
  <c r="B549" i="14"/>
  <c r="C549" i="14" s="1"/>
  <c r="B550" i="14"/>
  <c r="C550" i="14" s="1"/>
  <c r="B551" i="14"/>
  <c r="C551" i="14" s="1"/>
  <c r="B552" i="14"/>
  <c r="C552" i="14" s="1"/>
  <c r="B553" i="14"/>
  <c r="C553" i="14" s="1"/>
  <c r="B554" i="14"/>
  <c r="C554" i="14" s="1"/>
  <c r="B555" i="14"/>
  <c r="C555" i="14" s="1"/>
  <c r="B556" i="14"/>
  <c r="C556" i="14" s="1"/>
  <c r="B557" i="14"/>
  <c r="C557" i="14" s="1"/>
  <c r="B558" i="14"/>
  <c r="C558" i="14" s="1"/>
  <c r="B559" i="14"/>
  <c r="C559" i="14" s="1"/>
  <c r="B560" i="14"/>
  <c r="C560" i="14" s="1"/>
  <c r="B561" i="14"/>
  <c r="C561" i="14" s="1"/>
  <c r="B562" i="14"/>
  <c r="C562" i="14" s="1"/>
  <c r="B563" i="14"/>
  <c r="C563" i="14" s="1"/>
  <c r="B564" i="14"/>
  <c r="C564" i="14" s="1"/>
  <c r="B565" i="14"/>
  <c r="C565" i="14" s="1"/>
  <c r="B566" i="14"/>
  <c r="C566" i="14" s="1"/>
  <c r="B567" i="14"/>
  <c r="C567" i="14" s="1"/>
  <c r="B568" i="14"/>
  <c r="C568" i="14" s="1"/>
  <c r="B569" i="14"/>
  <c r="C569" i="14" s="1"/>
  <c r="B570" i="14"/>
  <c r="C570" i="14" s="1"/>
  <c r="B571" i="14"/>
  <c r="C571" i="14" s="1"/>
  <c r="B572" i="14"/>
  <c r="C572" i="14" s="1"/>
  <c r="B573" i="14"/>
  <c r="C573" i="14" s="1"/>
  <c r="B574" i="14"/>
  <c r="C574" i="14" s="1"/>
  <c r="B575" i="14"/>
  <c r="C575" i="14" s="1"/>
  <c r="B576" i="14"/>
  <c r="C576" i="14" s="1"/>
  <c r="B577" i="14"/>
  <c r="C577" i="14" s="1"/>
  <c r="B578" i="14"/>
  <c r="C578" i="14" s="1"/>
  <c r="B579" i="14"/>
  <c r="C579" i="14" s="1"/>
  <c r="B580" i="14"/>
  <c r="C580" i="14" s="1"/>
  <c r="B581" i="14"/>
  <c r="C581" i="14" s="1"/>
  <c r="B582" i="14"/>
  <c r="C582" i="14" s="1"/>
  <c r="B583" i="14"/>
  <c r="C583" i="14" s="1"/>
  <c r="B584" i="14"/>
  <c r="C584" i="14" s="1"/>
  <c r="B585" i="14"/>
  <c r="C585" i="14" s="1"/>
  <c r="B586" i="14"/>
  <c r="C586" i="14" s="1"/>
  <c r="B587" i="14"/>
  <c r="C587" i="14" s="1"/>
  <c r="B588" i="14"/>
  <c r="C588" i="14" s="1"/>
  <c r="B589" i="14"/>
  <c r="C589" i="14" s="1"/>
  <c r="B590" i="14"/>
  <c r="C590" i="14" s="1"/>
  <c r="B591" i="14"/>
  <c r="C591" i="14" s="1"/>
  <c r="B592" i="14"/>
  <c r="C592" i="14" s="1"/>
  <c r="B593" i="14"/>
  <c r="C593" i="14" s="1"/>
  <c r="B594" i="14"/>
  <c r="C594" i="14" s="1"/>
  <c r="B595" i="14"/>
  <c r="C595" i="14" s="1"/>
  <c r="B596" i="14"/>
  <c r="C596" i="14" s="1"/>
  <c r="B597" i="14"/>
  <c r="C597" i="14" s="1"/>
  <c r="B598" i="14"/>
  <c r="C598" i="14" s="1"/>
  <c r="B599" i="14"/>
  <c r="C599" i="14" s="1"/>
  <c r="B600" i="14"/>
  <c r="C600" i="14" s="1"/>
  <c r="B601" i="14"/>
  <c r="C601" i="14" s="1"/>
  <c r="B602" i="14"/>
  <c r="C602" i="14" s="1"/>
  <c r="B603" i="14"/>
  <c r="C603" i="14" s="1"/>
  <c r="B604" i="14"/>
  <c r="C604" i="14" s="1"/>
  <c r="B605" i="14"/>
  <c r="C605" i="14" s="1"/>
  <c r="B606" i="14"/>
  <c r="C606" i="14" s="1"/>
  <c r="B607" i="14"/>
  <c r="C607" i="14" s="1"/>
  <c r="B608" i="14"/>
  <c r="C608" i="14" s="1"/>
  <c r="B609" i="14"/>
  <c r="C609" i="14" s="1"/>
  <c r="B610" i="14"/>
  <c r="C610" i="14" s="1"/>
  <c r="B611" i="14"/>
  <c r="C611" i="14" s="1"/>
  <c r="B612" i="14"/>
  <c r="C612" i="14" s="1"/>
  <c r="B613" i="14"/>
  <c r="C613" i="14" s="1"/>
  <c r="B614" i="14"/>
  <c r="C614" i="14" s="1"/>
  <c r="B615" i="14"/>
  <c r="C615" i="14" s="1"/>
  <c r="B616" i="14"/>
  <c r="C616" i="14" s="1"/>
  <c r="B617" i="14"/>
  <c r="C617" i="14" s="1"/>
  <c r="B618" i="14"/>
  <c r="C618" i="14" s="1"/>
  <c r="B619" i="14"/>
  <c r="C619" i="14" s="1"/>
  <c r="B620" i="14"/>
  <c r="C620" i="14" s="1"/>
  <c r="B621" i="14"/>
  <c r="C621" i="14" s="1"/>
  <c r="B622" i="14"/>
  <c r="C622" i="14" s="1"/>
  <c r="B623" i="14"/>
  <c r="C623" i="14" s="1"/>
  <c r="B624" i="14"/>
  <c r="C624" i="14" s="1"/>
  <c r="B625" i="14"/>
  <c r="C625" i="14" s="1"/>
  <c r="B626" i="14"/>
  <c r="C626" i="14" s="1"/>
  <c r="B627" i="14"/>
  <c r="C627" i="14" s="1"/>
  <c r="B628" i="14"/>
  <c r="C628" i="14" s="1"/>
  <c r="B629" i="14"/>
  <c r="C629" i="14" s="1"/>
  <c r="B630" i="14"/>
  <c r="C630" i="14" s="1"/>
  <c r="B631" i="14"/>
  <c r="C631" i="14" s="1"/>
  <c r="B632" i="14"/>
  <c r="C632" i="14" s="1"/>
  <c r="B633" i="14"/>
  <c r="C633" i="14" s="1"/>
  <c r="B634" i="14"/>
  <c r="C634" i="14" s="1"/>
  <c r="B635" i="14"/>
  <c r="C635" i="14" s="1"/>
  <c r="B636" i="14"/>
  <c r="C636" i="14" s="1"/>
  <c r="B637" i="14"/>
  <c r="C637" i="14" s="1"/>
  <c r="B638" i="14"/>
  <c r="C638" i="14" s="1"/>
  <c r="B639" i="14"/>
  <c r="C639" i="14" s="1"/>
  <c r="B640" i="14"/>
  <c r="C640" i="14" s="1"/>
  <c r="B641" i="14"/>
  <c r="C641" i="14" s="1"/>
  <c r="B642" i="14"/>
  <c r="C642" i="14" s="1"/>
  <c r="B643" i="14"/>
  <c r="C643" i="14" s="1"/>
  <c r="B644" i="14"/>
  <c r="C644" i="14" s="1"/>
  <c r="B645" i="14"/>
  <c r="C645" i="14" s="1"/>
  <c r="B646" i="14"/>
  <c r="C646" i="14" s="1"/>
  <c r="B647" i="14"/>
  <c r="C647" i="14" s="1"/>
  <c r="B648" i="14"/>
  <c r="C648" i="14" s="1"/>
  <c r="B649" i="14"/>
  <c r="C649" i="14" s="1"/>
  <c r="B650" i="14"/>
  <c r="C650" i="14" s="1"/>
  <c r="B651" i="14"/>
  <c r="C651" i="14" s="1"/>
  <c r="B652" i="14"/>
  <c r="C652" i="14" s="1"/>
  <c r="B653" i="14"/>
  <c r="C653" i="14" s="1"/>
  <c r="B654" i="14"/>
  <c r="C654" i="14" s="1"/>
  <c r="B655" i="14"/>
  <c r="C655" i="14" s="1"/>
  <c r="B656" i="14"/>
  <c r="C656" i="14" s="1"/>
  <c r="B657" i="14"/>
  <c r="C657" i="14" s="1"/>
  <c r="B658" i="14"/>
  <c r="C658" i="14" s="1"/>
  <c r="B659" i="14"/>
  <c r="C659" i="14" s="1"/>
  <c r="B660" i="14"/>
  <c r="C660" i="14" s="1"/>
  <c r="B661" i="14"/>
  <c r="C661" i="14" s="1"/>
  <c r="B662" i="14"/>
  <c r="C662" i="14" s="1"/>
  <c r="B663" i="14"/>
  <c r="C663" i="14" s="1"/>
  <c r="B664" i="14"/>
  <c r="C664" i="14" s="1"/>
  <c r="B665" i="14"/>
  <c r="C665" i="14" s="1"/>
  <c r="B666" i="14"/>
  <c r="C666" i="14" s="1"/>
  <c r="B667" i="14"/>
  <c r="C667" i="14" s="1"/>
  <c r="B668" i="14"/>
  <c r="C668" i="14" s="1"/>
  <c r="B669" i="14"/>
  <c r="C669" i="14" s="1"/>
  <c r="B670" i="14"/>
  <c r="C670" i="14" s="1"/>
  <c r="B671" i="14"/>
  <c r="C671" i="14" s="1"/>
  <c r="B672" i="14"/>
  <c r="C672" i="14" s="1"/>
  <c r="B673" i="14"/>
  <c r="C673" i="14" s="1"/>
  <c r="B674" i="14"/>
  <c r="C674" i="14" s="1"/>
  <c r="B675" i="14"/>
  <c r="C675" i="14" s="1"/>
  <c r="B676" i="14"/>
  <c r="C676" i="14" s="1"/>
  <c r="B677" i="14"/>
  <c r="C677" i="14" s="1"/>
  <c r="B678" i="14"/>
  <c r="C678" i="14" s="1"/>
  <c r="B679" i="14"/>
  <c r="C679" i="14" s="1"/>
  <c r="B680" i="14"/>
  <c r="C680" i="14" s="1"/>
  <c r="B681" i="14"/>
  <c r="C681" i="14" s="1"/>
  <c r="B682" i="14"/>
  <c r="C682" i="14" s="1"/>
  <c r="B683" i="14"/>
  <c r="C683" i="14" s="1"/>
  <c r="B684" i="14"/>
  <c r="C684" i="14" s="1"/>
  <c r="B685" i="14"/>
  <c r="C685" i="14" s="1"/>
  <c r="B686" i="14"/>
  <c r="C686" i="14" s="1"/>
  <c r="B687" i="14"/>
  <c r="C687" i="14" s="1"/>
  <c r="B688" i="14"/>
  <c r="C688" i="14" s="1"/>
  <c r="B689" i="14"/>
  <c r="C689" i="14" s="1"/>
  <c r="B690" i="14"/>
  <c r="C690" i="14" s="1"/>
  <c r="B691" i="14"/>
  <c r="C691" i="14" s="1"/>
  <c r="B692" i="14"/>
  <c r="C692" i="14" s="1"/>
  <c r="B693" i="14"/>
  <c r="C693" i="14" s="1"/>
  <c r="B694" i="14"/>
  <c r="C694" i="14" s="1"/>
  <c r="B695" i="14"/>
  <c r="C695" i="14" s="1"/>
  <c r="B696" i="14"/>
  <c r="C696" i="14" s="1"/>
  <c r="B697" i="14"/>
  <c r="C697" i="14" s="1"/>
  <c r="B698" i="14"/>
  <c r="C698" i="14" s="1"/>
  <c r="B699" i="14"/>
  <c r="C699" i="14" s="1"/>
  <c r="B700" i="14"/>
  <c r="C700" i="14" s="1"/>
  <c r="B701" i="14"/>
  <c r="C701" i="14" s="1"/>
  <c r="B702" i="14"/>
  <c r="C702" i="14" s="1"/>
  <c r="B703" i="14"/>
  <c r="C703" i="14" s="1"/>
  <c r="B704" i="14"/>
  <c r="C704" i="14" s="1"/>
  <c r="B705" i="14"/>
  <c r="C705" i="14" s="1"/>
  <c r="B706" i="14"/>
  <c r="C706" i="14" s="1"/>
  <c r="B707" i="14"/>
  <c r="C707" i="14" s="1"/>
  <c r="B708" i="14"/>
  <c r="C708" i="14" s="1"/>
  <c r="B709" i="14"/>
  <c r="C709" i="14" s="1"/>
  <c r="B710" i="14"/>
  <c r="C710" i="14" s="1"/>
  <c r="B711" i="14"/>
  <c r="C711" i="14" s="1"/>
  <c r="B712" i="14"/>
  <c r="C712" i="14" s="1"/>
  <c r="B713" i="14"/>
  <c r="C713" i="14" s="1"/>
  <c r="B714" i="14"/>
  <c r="C714" i="14" s="1"/>
  <c r="B715" i="14"/>
  <c r="C715" i="14" s="1"/>
  <c r="B716" i="14"/>
  <c r="C716" i="14" s="1"/>
  <c r="B717" i="14"/>
  <c r="C717" i="14" s="1"/>
  <c r="B718" i="14"/>
  <c r="C718" i="14" s="1"/>
  <c r="B719" i="14"/>
  <c r="C719" i="14" s="1"/>
  <c r="B720" i="14"/>
  <c r="C720" i="14" s="1"/>
  <c r="B721" i="14"/>
  <c r="C721" i="14" s="1"/>
  <c r="B722" i="14"/>
  <c r="C722" i="14" s="1"/>
  <c r="B723" i="14"/>
  <c r="C723" i="14" s="1"/>
  <c r="B724" i="14"/>
  <c r="C724" i="14" s="1"/>
  <c r="B725" i="14"/>
  <c r="C725" i="14" s="1"/>
  <c r="B726" i="14"/>
  <c r="C726" i="14" s="1"/>
  <c r="B727" i="14"/>
  <c r="C727" i="14" s="1"/>
  <c r="B728" i="14"/>
  <c r="C728" i="14" s="1"/>
  <c r="B729" i="14"/>
  <c r="C729" i="14" s="1"/>
  <c r="B730" i="14"/>
  <c r="C730" i="14" s="1"/>
  <c r="B731" i="14"/>
  <c r="C731" i="14" s="1"/>
  <c r="B732" i="14"/>
  <c r="C732" i="14" s="1"/>
  <c r="B733" i="14"/>
  <c r="C733" i="14" s="1"/>
  <c r="B734" i="14"/>
  <c r="C734" i="14" s="1"/>
  <c r="B735" i="14"/>
  <c r="C735" i="14" s="1"/>
  <c r="B736" i="14"/>
  <c r="C736" i="14" s="1"/>
  <c r="B737" i="14"/>
  <c r="C737" i="14" s="1"/>
  <c r="B738" i="14"/>
  <c r="C738" i="14" s="1"/>
  <c r="B739" i="14"/>
  <c r="C739" i="14" s="1"/>
  <c r="B740" i="14"/>
  <c r="C740" i="14" s="1"/>
  <c r="B741" i="14"/>
  <c r="C741" i="14" s="1"/>
  <c r="B742" i="14"/>
  <c r="C742" i="14" s="1"/>
  <c r="B743" i="14"/>
  <c r="C743" i="14" s="1"/>
  <c r="B744" i="14"/>
  <c r="C744" i="14" s="1"/>
  <c r="B745" i="14"/>
  <c r="C745" i="14" s="1"/>
  <c r="B746" i="14"/>
  <c r="C746" i="14" s="1"/>
  <c r="B747" i="14"/>
  <c r="C747" i="14" s="1"/>
  <c r="B748" i="14"/>
  <c r="C748" i="14" s="1"/>
  <c r="B749" i="14"/>
  <c r="C749" i="14" s="1"/>
  <c r="B750" i="14"/>
  <c r="C750" i="14" s="1"/>
  <c r="B751" i="14"/>
  <c r="C751" i="14" s="1"/>
  <c r="B752" i="14"/>
  <c r="C752" i="14" s="1"/>
  <c r="B753" i="14"/>
  <c r="C753" i="14" s="1"/>
  <c r="B754" i="14"/>
  <c r="C754" i="14" s="1"/>
  <c r="B755" i="14"/>
  <c r="C755" i="14" s="1"/>
  <c r="B756" i="14"/>
  <c r="C756" i="14" s="1"/>
  <c r="B757" i="14"/>
  <c r="C757" i="14" s="1"/>
  <c r="B758" i="14"/>
  <c r="C758" i="14" s="1"/>
  <c r="B759" i="14"/>
  <c r="C759" i="14" s="1"/>
  <c r="B760" i="14"/>
  <c r="C760" i="14" s="1"/>
  <c r="B761" i="14"/>
  <c r="C761" i="14" s="1"/>
  <c r="B762" i="14"/>
  <c r="C762" i="14" s="1"/>
  <c r="B763" i="14"/>
  <c r="C763" i="14" s="1"/>
  <c r="B764" i="14"/>
  <c r="C764" i="14" s="1"/>
  <c r="B765" i="14"/>
  <c r="C765" i="14" s="1"/>
  <c r="B766" i="14"/>
  <c r="C766" i="14" s="1"/>
  <c r="B767" i="14"/>
  <c r="C767" i="14" s="1"/>
  <c r="B768" i="14"/>
  <c r="C768" i="14" s="1"/>
  <c r="B769" i="14"/>
  <c r="C769" i="14" s="1"/>
  <c r="B770" i="14"/>
  <c r="C770" i="14" s="1"/>
  <c r="B771" i="14"/>
  <c r="C771" i="14" s="1"/>
  <c r="B772" i="14"/>
  <c r="C772" i="14" s="1"/>
  <c r="B773" i="14"/>
  <c r="C773" i="14" s="1"/>
  <c r="B774" i="14"/>
  <c r="C774" i="14" s="1"/>
  <c r="B775" i="14"/>
  <c r="C775" i="14" s="1"/>
  <c r="B776" i="14"/>
  <c r="C776" i="14" s="1"/>
  <c r="B777" i="14"/>
  <c r="C777" i="14" s="1"/>
  <c r="B778" i="14"/>
  <c r="C778" i="14" s="1"/>
  <c r="B779" i="14"/>
  <c r="C779" i="14" s="1"/>
  <c r="B780" i="14"/>
  <c r="C780" i="14" s="1"/>
  <c r="B781" i="14"/>
  <c r="C781" i="14" s="1"/>
  <c r="B782" i="14"/>
  <c r="C782" i="14" s="1"/>
  <c r="B783" i="14"/>
  <c r="C783" i="14" s="1"/>
  <c r="B784" i="14"/>
  <c r="C784" i="14" s="1"/>
  <c r="B785" i="14"/>
  <c r="C785" i="14" s="1"/>
  <c r="B786" i="14"/>
  <c r="C786" i="14" s="1"/>
  <c r="B787" i="14"/>
  <c r="C787" i="14" s="1"/>
  <c r="B788" i="14"/>
  <c r="C788" i="14" s="1"/>
  <c r="B789" i="14"/>
  <c r="C789" i="14" s="1"/>
  <c r="B790" i="14"/>
  <c r="C790" i="14" s="1"/>
  <c r="B791" i="14"/>
  <c r="C791" i="14" s="1"/>
  <c r="B792" i="14"/>
  <c r="C792" i="14" s="1"/>
  <c r="B793" i="14"/>
  <c r="C793" i="14" s="1"/>
  <c r="B794" i="14"/>
  <c r="C794" i="14" s="1"/>
  <c r="B795" i="14"/>
  <c r="C795" i="14" s="1"/>
  <c r="B796" i="14"/>
  <c r="C796" i="14" s="1"/>
  <c r="B797" i="14"/>
  <c r="C797" i="14" s="1"/>
  <c r="B798" i="14"/>
  <c r="C798" i="14" s="1"/>
  <c r="B799" i="14"/>
  <c r="C799" i="14" s="1"/>
  <c r="B800" i="14"/>
  <c r="C800" i="14" s="1"/>
  <c r="B801" i="14"/>
  <c r="C801" i="14" s="1"/>
  <c r="B802" i="14"/>
  <c r="C802" i="14" s="1"/>
  <c r="B803" i="14"/>
  <c r="C803" i="14" s="1"/>
  <c r="B804" i="14"/>
  <c r="C804" i="14" s="1"/>
  <c r="B805" i="14"/>
  <c r="C805" i="14" s="1"/>
  <c r="B806" i="14"/>
  <c r="C806" i="14" s="1"/>
  <c r="B807" i="14"/>
  <c r="C807" i="14" s="1"/>
  <c r="B808" i="14"/>
  <c r="C808" i="14" s="1"/>
  <c r="B809" i="14"/>
  <c r="C809" i="14" s="1"/>
  <c r="B810" i="14"/>
  <c r="C810" i="14" s="1"/>
  <c r="B811" i="14"/>
  <c r="C811" i="14" s="1"/>
  <c r="B812" i="14"/>
  <c r="C812" i="14" s="1"/>
  <c r="B813" i="14"/>
  <c r="C813" i="14" s="1"/>
  <c r="B814" i="14"/>
  <c r="C814" i="14" s="1"/>
  <c r="B815" i="14"/>
  <c r="C815" i="14" s="1"/>
  <c r="B816" i="14"/>
  <c r="C816" i="14" s="1"/>
  <c r="B817" i="14"/>
  <c r="C817" i="14" s="1"/>
  <c r="B818" i="14"/>
  <c r="C818" i="14" s="1"/>
  <c r="B819" i="14"/>
  <c r="C819" i="14" s="1"/>
  <c r="B820" i="14"/>
  <c r="C820" i="14" s="1"/>
  <c r="B821" i="14"/>
  <c r="C821" i="14" s="1"/>
  <c r="B822" i="14"/>
  <c r="C822" i="14" s="1"/>
  <c r="B823" i="14"/>
  <c r="C823" i="14" s="1"/>
  <c r="B824" i="14"/>
  <c r="C824" i="14" s="1"/>
  <c r="B825" i="14"/>
  <c r="C825" i="14" s="1"/>
  <c r="B826" i="14"/>
  <c r="C826" i="14" s="1"/>
  <c r="B827" i="14"/>
  <c r="C827" i="14" s="1"/>
  <c r="B828" i="14"/>
  <c r="C828" i="14" s="1"/>
  <c r="B829" i="14"/>
  <c r="C829" i="14" s="1"/>
  <c r="B830" i="14"/>
  <c r="C830" i="14" s="1"/>
  <c r="B831" i="14"/>
  <c r="C831" i="14" s="1"/>
  <c r="B832" i="14"/>
  <c r="C832" i="14" s="1"/>
  <c r="B833" i="14"/>
  <c r="C833" i="14" s="1"/>
  <c r="B834" i="14"/>
  <c r="C834" i="14" s="1"/>
  <c r="B835" i="14"/>
  <c r="C835" i="14" s="1"/>
  <c r="B836" i="14"/>
  <c r="C836" i="14" s="1"/>
  <c r="B837" i="14"/>
  <c r="C837" i="14" s="1"/>
  <c r="B838" i="14"/>
  <c r="C838" i="14" s="1"/>
  <c r="B839" i="14"/>
  <c r="C839" i="14" s="1"/>
  <c r="B840" i="14"/>
  <c r="C840" i="14" s="1"/>
  <c r="B841" i="14"/>
  <c r="C841" i="14" s="1"/>
  <c r="B842" i="14"/>
  <c r="C842" i="14" s="1"/>
  <c r="B843" i="14"/>
  <c r="C843" i="14" s="1"/>
  <c r="B844" i="14"/>
  <c r="C844" i="14" s="1"/>
  <c r="B845" i="14"/>
  <c r="C845" i="14" s="1"/>
  <c r="B846" i="14"/>
  <c r="C846" i="14" s="1"/>
  <c r="B847" i="14"/>
  <c r="C847" i="14" s="1"/>
  <c r="B848" i="14"/>
  <c r="C848" i="14" s="1"/>
  <c r="B849" i="14"/>
  <c r="C849" i="14" s="1"/>
  <c r="B850" i="14"/>
  <c r="C850" i="14" s="1"/>
  <c r="B851" i="14"/>
  <c r="C851" i="14" s="1"/>
  <c r="B852" i="14"/>
  <c r="C852" i="14" s="1"/>
  <c r="B853" i="14"/>
  <c r="C853" i="14" s="1"/>
  <c r="B854" i="14"/>
  <c r="C854" i="14" s="1"/>
  <c r="B855" i="14"/>
  <c r="C855" i="14" s="1"/>
  <c r="B856" i="14"/>
  <c r="C856" i="14" s="1"/>
  <c r="B857" i="14"/>
  <c r="C857" i="14" s="1"/>
  <c r="B858" i="14"/>
  <c r="C858" i="14" s="1"/>
  <c r="B859" i="14"/>
  <c r="C859" i="14" s="1"/>
  <c r="B860" i="14"/>
  <c r="C860" i="14" s="1"/>
  <c r="B861" i="14"/>
  <c r="C861" i="14" s="1"/>
  <c r="B862" i="14"/>
  <c r="C862" i="14" s="1"/>
  <c r="B863" i="14"/>
  <c r="C863" i="14" s="1"/>
  <c r="B864" i="14"/>
  <c r="C864" i="14" s="1"/>
  <c r="B865" i="14"/>
  <c r="C865" i="14" s="1"/>
  <c r="B866" i="14"/>
  <c r="C866" i="14" s="1"/>
  <c r="B867" i="14"/>
  <c r="C867" i="14" s="1"/>
  <c r="B868" i="14"/>
  <c r="C868" i="14" s="1"/>
  <c r="B869" i="14"/>
  <c r="C869" i="14" s="1"/>
  <c r="B870" i="14"/>
  <c r="C870" i="14" s="1"/>
  <c r="B871" i="14"/>
  <c r="C871" i="14" s="1"/>
  <c r="B872" i="14"/>
  <c r="C872" i="14" s="1"/>
  <c r="B873" i="14"/>
  <c r="C873" i="14" s="1"/>
  <c r="B874" i="14"/>
  <c r="C874" i="14" s="1"/>
  <c r="B875" i="14"/>
  <c r="C875" i="14" s="1"/>
  <c r="B876" i="14"/>
  <c r="C876" i="14" s="1"/>
  <c r="B877" i="14"/>
  <c r="C877" i="14" s="1"/>
  <c r="B878" i="14"/>
  <c r="C878" i="14" s="1"/>
  <c r="B879" i="14"/>
  <c r="C879" i="14" s="1"/>
  <c r="B880" i="14"/>
  <c r="C880" i="14" s="1"/>
  <c r="B881" i="14"/>
  <c r="C881" i="14" s="1"/>
  <c r="B882" i="14"/>
  <c r="C882" i="14" s="1"/>
  <c r="B883" i="14"/>
  <c r="C883" i="14" s="1"/>
  <c r="B884" i="14"/>
  <c r="C884" i="14" s="1"/>
  <c r="B885" i="14"/>
  <c r="C885" i="14" s="1"/>
  <c r="B886" i="14"/>
  <c r="C886" i="14" s="1"/>
  <c r="B887" i="14"/>
  <c r="C887" i="14" s="1"/>
  <c r="B888" i="14"/>
  <c r="C888" i="14" s="1"/>
  <c r="B889" i="14"/>
  <c r="C889" i="14" s="1"/>
  <c r="B890" i="14"/>
  <c r="C890" i="14" s="1"/>
  <c r="B891" i="14"/>
  <c r="C891" i="14" s="1"/>
  <c r="B892" i="14"/>
  <c r="C892" i="14" s="1"/>
  <c r="B893" i="14"/>
  <c r="C893" i="14" s="1"/>
  <c r="B894" i="14"/>
  <c r="C894" i="14" s="1"/>
  <c r="B895" i="14"/>
  <c r="C895" i="14" s="1"/>
  <c r="B896" i="14"/>
  <c r="C896" i="14" s="1"/>
  <c r="B897" i="14"/>
  <c r="C897" i="14" s="1"/>
  <c r="B898" i="14"/>
  <c r="C898" i="14" s="1"/>
  <c r="B899" i="14"/>
  <c r="C899" i="14" s="1"/>
  <c r="B900" i="14"/>
  <c r="C900" i="14" s="1"/>
  <c r="B901" i="14"/>
  <c r="C901" i="14" s="1"/>
  <c r="B902" i="14"/>
  <c r="C902" i="14" s="1"/>
  <c r="B903" i="14"/>
  <c r="C903" i="14" s="1"/>
  <c r="B904" i="14"/>
  <c r="C904" i="14" s="1"/>
  <c r="B905" i="14"/>
  <c r="C905" i="14" s="1"/>
  <c r="B906" i="14"/>
  <c r="C906" i="14" s="1"/>
  <c r="B907" i="14"/>
  <c r="C907" i="14" s="1"/>
  <c r="B908" i="14"/>
  <c r="C908" i="14" s="1"/>
  <c r="B909" i="14"/>
  <c r="C909" i="14" s="1"/>
  <c r="B910" i="14"/>
  <c r="C910" i="14" s="1"/>
  <c r="B911" i="14"/>
  <c r="C911" i="14" s="1"/>
  <c r="B912" i="14"/>
  <c r="C912" i="14" s="1"/>
  <c r="B913" i="14"/>
  <c r="C913" i="14" s="1"/>
  <c r="B914" i="14"/>
  <c r="C914" i="14" s="1"/>
  <c r="B915" i="14"/>
  <c r="C915" i="14" s="1"/>
  <c r="B916" i="14"/>
  <c r="C916" i="14" s="1"/>
  <c r="B917" i="14"/>
  <c r="C917" i="14" s="1"/>
  <c r="B918" i="14"/>
  <c r="C918" i="14" s="1"/>
  <c r="B919" i="14"/>
  <c r="C919" i="14" s="1"/>
  <c r="B920" i="14"/>
  <c r="C920" i="14" s="1"/>
  <c r="B921" i="14"/>
  <c r="C921" i="14" s="1"/>
  <c r="B922" i="14"/>
  <c r="C922" i="14" s="1"/>
  <c r="B923" i="14"/>
  <c r="C923" i="14" s="1"/>
  <c r="B924" i="14"/>
  <c r="C924" i="14" s="1"/>
  <c r="B925" i="14"/>
  <c r="C925" i="14" s="1"/>
  <c r="B926" i="14"/>
  <c r="C926" i="14" s="1"/>
  <c r="B927" i="14"/>
  <c r="C927" i="14" s="1"/>
  <c r="B928" i="14"/>
  <c r="C928" i="14" s="1"/>
  <c r="B929" i="14"/>
  <c r="C929" i="14" s="1"/>
  <c r="B930" i="14"/>
  <c r="C930" i="14" s="1"/>
  <c r="B931" i="14"/>
  <c r="C931" i="14" s="1"/>
  <c r="B932" i="14"/>
  <c r="C932" i="14" s="1"/>
  <c r="B933" i="14"/>
  <c r="C933" i="14" s="1"/>
  <c r="B934" i="14"/>
  <c r="C934" i="14" s="1"/>
  <c r="B935" i="14"/>
  <c r="C935" i="14" s="1"/>
  <c r="B936" i="14"/>
  <c r="C936" i="14" s="1"/>
  <c r="B937" i="14"/>
  <c r="C937" i="14" s="1"/>
  <c r="B938" i="14"/>
  <c r="C938" i="14" s="1"/>
  <c r="B939" i="14"/>
  <c r="C939" i="14" s="1"/>
  <c r="B940" i="14"/>
  <c r="C940" i="14" s="1"/>
  <c r="B941" i="14"/>
  <c r="C941" i="14" s="1"/>
  <c r="B942" i="14"/>
  <c r="C942" i="14" s="1"/>
  <c r="B943" i="14"/>
  <c r="C943" i="14" s="1"/>
  <c r="B944" i="14"/>
  <c r="C944" i="14" s="1"/>
  <c r="B945" i="14"/>
  <c r="C945" i="14" s="1"/>
  <c r="B946" i="14"/>
  <c r="C946" i="14" s="1"/>
  <c r="B947" i="14"/>
  <c r="C947" i="14" s="1"/>
  <c r="B948" i="14"/>
  <c r="C948" i="14" s="1"/>
  <c r="B949" i="14"/>
  <c r="C949" i="14" s="1"/>
  <c r="B950" i="14"/>
  <c r="C950" i="14" s="1"/>
  <c r="B951" i="14"/>
  <c r="C951" i="14" s="1"/>
  <c r="B952" i="14"/>
  <c r="C952" i="14" s="1"/>
  <c r="B953" i="14"/>
  <c r="C953" i="14" s="1"/>
  <c r="B954" i="14"/>
  <c r="C954" i="14" s="1"/>
  <c r="B955" i="14"/>
  <c r="C955" i="14" s="1"/>
  <c r="B956" i="14"/>
  <c r="C956" i="14" s="1"/>
  <c r="B957" i="14"/>
  <c r="C957" i="14" s="1"/>
  <c r="B958" i="14"/>
  <c r="C958" i="14" s="1"/>
  <c r="B959" i="14"/>
  <c r="C959" i="14" s="1"/>
  <c r="B960" i="14"/>
  <c r="C960" i="14" s="1"/>
  <c r="B961" i="14"/>
  <c r="C961" i="14" s="1"/>
  <c r="B962" i="14"/>
  <c r="C962" i="14" s="1"/>
  <c r="B963" i="14"/>
  <c r="C963" i="14" s="1"/>
  <c r="B964" i="14"/>
  <c r="C964" i="14" s="1"/>
  <c r="B965" i="14"/>
  <c r="C965" i="14" s="1"/>
  <c r="B966" i="14"/>
  <c r="C966" i="14" s="1"/>
  <c r="B967" i="14"/>
  <c r="C967" i="14" s="1"/>
  <c r="B968" i="14"/>
  <c r="C968" i="14" s="1"/>
  <c r="B969" i="14"/>
  <c r="C969" i="14" s="1"/>
  <c r="B970" i="14"/>
  <c r="C970" i="14" s="1"/>
  <c r="B971" i="14"/>
  <c r="C971" i="14" s="1"/>
  <c r="B972" i="14"/>
  <c r="C972" i="14" s="1"/>
  <c r="B973" i="14"/>
  <c r="C973" i="14" s="1"/>
  <c r="B974" i="14"/>
  <c r="C974" i="14" s="1"/>
  <c r="B975" i="14"/>
  <c r="C975" i="14" s="1"/>
  <c r="B976" i="14"/>
  <c r="C976" i="14" s="1"/>
  <c r="B977" i="14"/>
  <c r="C977" i="14" s="1"/>
  <c r="B978" i="14"/>
  <c r="C978" i="14" s="1"/>
  <c r="B979" i="14"/>
  <c r="C979" i="14" s="1"/>
  <c r="B980" i="14"/>
  <c r="C980" i="14" s="1"/>
  <c r="B981" i="14"/>
  <c r="C981" i="14" s="1"/>
  <c r="B982" i="14"/>
  <c r="C982" i="14" s="1"/>
  <c r="B983" i="14"/>
  <c r="C983" i="14" s="1"/>
  <c r="B984" i="14"/>
  <c r="C984" i="14" s="1"/>
  <c r="B985" i="14"/>
  <c r="C985" i="14" s="1"/>
  <c r="B986" i="14"/>
  <c r="C986" i="14" s="1"/>
  <c r="B987" i="14"/>
  <c r="C987" i="14" s="1"/>
  <c r="B988" i="14"/>
  <c r="C988" i="14" s="1"/>
  <c r="B989" i="14"/>
  <c r="C989" i="14" s="1"/>
  <c r="B990" i="14"/>
  <c r="C990" i="14" s="1"/>
  <c r="B991" i="14"/>
  <c r="C991" i="14" s="1"/>
  <c r="B992" i="14"/>
  <c r="C992" i="14" s="1"/>
  <c r="B993" i="14"/>
  <c r="C993" i="14" s="1"/>
  <c r="B994" i="14"/>
  <c r="C994" i="14" s="1"/>
  <c r="B995" i="14"/>
  <c r="C995" i="14" s="1"/>
  <c r="B996" i="14"/>
  <c r="C996" i="14" s="1"/>
  <c r="B997" i="14"/>
  <c r="C997" i="14" s="1"/>
  <c r="B998" i="14"/>
  <c r="C998" i="14" s="1"/>
  <c r="B999" i="14"/>
  <c r="C999" i="14" s="1"/>
  <c r="B1000" i="14"/>
  <c r="C1000" i="14" s="1"/>
  <c r="B1001" i="14"/>
  <c r="C1001" i="14" s="1"/>
  <c r="B1002" i="14"/>
  <c r="C1002" i="14" s="1"/>
  <c r="B1003" i="14"/>
  <c r="C1003" i="14" s="1"/>
  <c r="B1004" i="14"/>
  <c r="C1004" i="14" s="1"/>
  <c r="B1005" i="14"/>
  <c r="C1005" i="14" s="1"/>
  <c r="B1006" i="14"/>
  <c r="C1006" i="14" s="1"/>
  <c r="B1007" i="14"/>
  <c r="C1007" i="14" s="1"/>
  <c r="B1008" i="14"/>
  <c r="C1008" i="14" s="1"/>
  <c r="B1009" i="14"/>
  <c r="C1009" i="14" s="1"/>
  <c r="B1010" i="14"/>
  <c r="C1010" i="14" s="1"/>
  <c r="B1011" i="14"/>
  <c r="C1011" i="14" s="1"/>
  <c r="B1012" i="14"/>
  <c r="C1012" i="14" s="1"/>
  <c r="B1013" i="14"/>
  <c r="C1013" i="14" s="1"/>
  <c r="B1014" i="14"/>
  <c r="C1014" i="14" s="1"/>
  <c r="B1015" i="14"/>
  <c r="C1015" i="14" s="1"/>
  <c r="B1016" i="14"/>
  <c r="C1016" i="14" s="1"/>
  <c r="B1017" i="14"/>
  <c r="C1017" i="14" s="1"/>
  <c r="B1018" i="14"/>
  <c r="C1018" i="14" s="1"/>
  <c r="B1019" i="14"/>
  <c r="C1019" i="14" s="1"/>
  <c r="B1020" i="14"/>
  <c r="C1020" i="14" s="1"/>
  <c r="B1021" i="14"/>
  <c r="C1021" i="14" s="1"/>
  <c r="B1022" i="14"/>
  <c r="C1022" i="14" s="1"/>
  <c r="B1023" i="14"/>
  <c r="C1023" i="14" s="1"/>
  <c r="B1024" i="14"/>
  <c r="C1024" i="14" s="1"/>
  <c r="B1025" i="14"/>
  <c r="C1025" i="14" s="1"/>
  <c r="B1026" i="14"/>
  <c r="C1026" i="14" s="1"/>
  <c r="B1027" i="14"/>
  <c r="C1027" i="14" s="1"/>
  <c r="B1028" i="14"/>
  <c r="C1028" i="14" s="1"/>
  <c r="B1029" i="14"/>
  <c r="C1029" i="14" s="1"/>
  <c r="B1030" i="14"/>
  <c r="C1030" i="14" s="1"/>
  <c r="B1031" i="14"/>
  <c r="C1031" i="14" s="1"/>
  <c r="B1032" i="14"/>
  <c r="C1032" i="14" s="1"/>
  <c r="B1033" i="14"/>
  <c r="C1033" i="14" s="1"/>
  <c r="B1034" i="14"/>
  <c r="C1034" i="14" s="1"/>
  <c r="B1035" i="14"/>
  <c r="C1035" i="14" s="1"/>
  <c r="B1036" i="14"/>
  <c r="C1036" i="14" s="1"/>
  <c r="B1037" i="14"/>
  <c r="C1037" i="14" s="1"/>
  <c r="B1038" i="14"/>
  <c r="C1038" i="14" s="1"/>
  <c r="B1039" i="14"/>
  <c r="C1039" i="14" s="1"/>
  <c r="B1040" i="14"/>
  <c r="C1040" i="14" s="1"/>
  <c r="B1041" i="14"/>
  <c r="C1041" i="14" s="1"/>
  <c r="B1042" i="14"/>
  <c r="C1042" i="14" s="1"/>
  <c r="B1043" i="14"/>
  <c r="C1043" i="14" s="1"/>
  <c r="B1044" i="14"/>
  <c r="C1044" i="14" s="1"/>
  <c r="B1045" i="14"/>
  <c r="C1045" i="14" s="1"/>
  <c r="B1046" i="14"/>
  <c r="C1046" i="14" s="1"/>
  <c r="B1047" i="14"/>
  <c r="C1047" i="14" s="1"/>
  <c r="B1048" i="14"/>
  <c r="C1048" i="14" s="1"/>
  <c r="B1049" i="14"/>
  <c r="C1049" i="14" s="1"/>
  <c r="B1050" i="14"/>
  <c r="C1050" i="14" s="1"/>
  <c r="B1051" i="14"/>
  <c r="C1051" i="14" s="1"/>
  <c r="B1052" i="14"/>
  <c r="C1052" i="14" s="1"/>
  <c r="B1053" i="14"/>
  <c r="C1053" i="14" s="1"/>
  <c r="B1054" i="14"/>
  <c r="C1054" i="14" s="1"/>
  <c r="B1055" i="14"/>
  <c r="C1055" i="14" s="1"/>
  <c r="B1056" i="14"/>
  <c r="C1056" i="14" s="1"/>
  <c r="B1057" i="14"/>
  <c r="C1057" i="14" s="1"/>
  <c r="B1058" i="14"/>
  <c r="C1058" i="14" s="1"/>
  <c r="B1059" i="14"/>
  <c r="C1059" i="14" s="1"/>
  <c r="B1060" i="14"/>
  <c r="C1060" i="14" s="1"/>
  <c r="B1061" i="14"/>
  <c r="C1061" i="14" s="1"/>
  <c r="B1062" i="14"/>
  <c r="C1062" i="14" s="1"/>
  <c r="B1063" i="14"/>
  <c r="C1063" i="14" s="1"/>
  <c r="B1064" i="14"/>
  <c r="C1064" i="14" s="1"/>
  <c r="B1065" i="14"/>
  <c r="C1065" i="14" s="1"/>
  <c r="B1066" i="14"/>
  <c r="C1066" i="14" s="1"/>
  <c r="B1067" i="14"/>
  <c r="C1067" i="14" s="1"/>
  <c r="B1068" i="14"/>
  <c r="C1068" i="14" s="1"/>
  <c r="B1069" i="14"/>
  <c r="C1069" i="14" s="1"/>
  <c r="B1070" i="14"/>
  <c r="C1070" i="14" s="1"/>
  <c r="B1071" i="14"/>
  <c r="C1071" i="14" s="1"/>
  <c r="B1072" i="14"/>
  <c r="C1072" i="14" s="1"/>
  <c r="B1073" i="14"/>
  <c r="C1073" i="14" s="1"/>
  <c r="B1074" i="14"/>
  <c r="C1074" i="14" s="1"/>
  <c r="B1075" i="14"/>
  <c r="C1075" i="14" s="1"/>
  <c r="B1076" i="14"/>
  <c r="C1076" i="14" s="1"/>
  <c r="B1077" i="14"/>
  <c r="C1077" i="14" s="1"/>
  <c r="B1078" i="14"/>
  <c r="C1078" i="14" s="1"/>
  <c r="B1079" i="14"/>
  <c r="C1079" i="14" s="1"/>
  <c r="B1080" i="14"/>
  <c r="C1080" i="14" s="1"/>
  <c r="B1081" i="14"/>
  <c r="C1081" i="14" s="1"/>
  <c r="B1082" i="14"/>
  <c r="C1082" i="14" s="1"/>
  <c r="B1083" i="14"/>
  <c r="C1083" i="14" s="1"/>
  <c r="B1084" i="14"/>
  <c r="C1084" i="14" s="1"/>
  <c r="B1085" i="14"/>
  <c r="C1085" i="14" s="1"/>
  <c r="B1086" i="14"/>
  <c r="C1086" i="14" s="1"/>
  <c r="B1087" i="14"/>
  <c r="C1087" i="14" s="1"/>
  <c r="B1088" i="14"/>
  <c r="C1088" i="14" s="1"/>
  <c r="B1089" i="14"/>
  <c r="C1089" i="14" s="1"/>
  <c r="B1090" i="14"/>
  <c r="C1090" i="14" s="1"/>
  <c r="B1091" i="14"/>
  <c r="C1091" i="14" s="1"/>
  <c r="B1092" i="14"/>
  <c r="C1092" i="14" s="1"/>
  <c r="B1093" i="14"/>
  <c r="C1093" i="14" s="1"/>
  <c r="B1094" i="14"/>
  <c r="C1094" i="14" s="1"/>
  <c r="B1095" i="14"/>
  <c r="C1095" i="14" s="1"/>
  <c r="B1096" i="14"/>
  <c r="C1096" i="14" s="1"/>
  <c r="B1097" i="14"/>
  <c r="C1097" i="14" s="1"/>
  <c r="B1098" i="14"/>
  <c r="C1098" i="14" s="1"/>
  <c r="B1099" i="14"/>
  <c r="C1099" i="14" s="1"/>
  <c r="B1100" i="14"/>
  <c r="C1100" i="14" s="1"/>
  <c r="B1101" i="14"/>
  <c r="C1101" i="14" s="1"/>
  <c r="B1102" i="14"/>
  <c r="C1102" i="14" s="1"/>
  <c r="B1103" i="14"/>
  <c r="C1103" i="14" s="1"/>
  <c r="B1104" i="14"/>
  <c r="C1104" i="14" s="1"/>
  <c r="B1105" i="14"/>
  <c r="C1105" i="14" s="1"/>
  <c r="B1106" i="14"/>
  <c r="C1106" i="14" s="1"/>
  <c r="B1107" i="14"/>
  <c r="C1107" i="14" s="1"/>
  <c r="B1108" i="14"/>
  <c r="C1108" i="14" s="1"/>
  <c r="B1109" i="14"/>
  <c r="C1109" i="14" s="1"/>
  <c r="B1110" i="14"/>
  <c r="C1110" i="14" s="1"/>
  <c r="B1111" i="14"/>
  <c r="C1111" i="14" s="1"/>
  <c r="B1112" i="14"/>
  <c r="C1112" i="14" s="1"/>
  <c r="B1113" i="14"/>
  <c r="C1113" i="14" s="1"/>
  <c r="B1114" i="14"/>
  <c r="C1114" i="14" s="1"/>
  <c r="B1115" i="14"/>
  <c r="C1115" i="14" s="1"/>
  <c r="B1116" i="14"/>
  <c r="C1116" i="14" s="1"/>
  <c r="B1117" i="14"/>
  <c r="C1117" i="14" s="1"/>
  <c r="B1118" i="14"/>
  <c r="C1118" i="14" s="1"/>
  <c r="B1119" i="14"/>
  <c r="C1119" i="14" s="1"/>
  <c r="B1120" i="14"/>
  <c r="C1120" i="14" s="1"/>
  <c r="B1121" i="14"/>
  <c r="C1121" i="14" s="1"/>
  <c r="B1122" i="14"/>
  <c r="C1122" i="14" s="1"/>
  <c r="B1123" i="14"/>
  <c r="C1123" i="14" s="1"/>
  <c r="B1124" i="14"/>
  <c r="C1124" i="14" s="1"/>
  <c r="B1125" i="14"/>
  <c r="C1125" i="14" s="1"/>
  <c r="B1126" i="14"/>
  <c r="C1126" i="14" s="1"/>
  <c r="B1127" i="14"/>
  <c r="C1127" i="14" s="1"/>
  <c r="B1128" i="14"/>
  <c r="C1128" i="14" s="1"/>
  <c r="B1129" i="14"/>
  <c r="C1129" i="14" s="1"/>
  <c r="B1130" i="14"/>
  <c r="C1130" i="14" s="1"/>
  <c r="B1131" i="14"/>
  <c r="C1131" i="14" s="1"/>
  <c r="B1132" i="14"/>
  <c r="C1132" i="14" s="1"/>
  <c r="B1133" i="14"/>
  <c r="C1133" i="14" s="1"/>
  <c r="B1134" i="14"/>
  <c r="C1134" i="14" s="1"/>
  <c r="B1135" i="14"/>
  <c r="C1135" i="14" s="1"/>
  <c r="B1136" i="14"/>
  <c r="C1136" i="14" s="1"/>
  <c r="B1137" i="14"/>
  <c r="C1137" i="14" s="1"/>
  <c r="B1138" i="14"/>
  <c r="C1138" i="14" s="1"/>
  <c r="B1139" i="14"/>
  <c r="C1139" i="14" s="1"/>
  <c r="B1140" i="14"/>
  <c r="C1140" i="14" s="1"/>
  <c r="B1141" i="14"/>
  <c r="C1141" i="14" s="1"/>
  <c r="B1142" i="14"/>
  <c r="C1142" i="14" s="1"/>
  <c r="B1143" i="14"/>
  <c r="C1143" i="14" s="1"/>
  <c r="B1144" i="14"/>
  <c r="C1144" i="14" s="1"/>
  <c r="B1145" i="14"/>
  <c r="C1145" i="14" s="1"/>
  <c r="B1146" i="14"/>
  <c r="C1146" i="14" s="1"/>
  <c r="B1147" i="14"/>
  <c r="C1147" i="14" s="1"/>
  <c r="B1148" i="14"/>
  <c r="C1148" i="14" s="1"/>
  <c r="B1149" i="14"/>
  <c r="C1149" i="14" s="1"/>
  <c r="B1150" i="14"/>
  <c r="C1150" i="14" s="1"/>
  <c r="B1151" i="14"/>
  <c r="C1151" i="14" s="1"/>
  <c r="B1152" i="14"/>
  <c r="C1152" i="14" s="1"/>
  <c r="B1153" i="14"/>
  <c r="C1153" i="14" s="1"/>
  <c r="B1154" i="14"/>
  <c r="C1154" i="14" s="1"/>
  <c r="B1155" i="14"/>
  <c r="C1155" i="14" s="1"/>
  <c r="B1156" i="14"/>
  <c r="C1156" i="14" s="1"/>
  <c r="B1157" i="14"/>
  <c r="C1157" i="14" s="1"/>
  <c r="B1158" i="14"/>
  <c r="C1158" i="14" s="1"/>
  <c r="B1159" i="14"/>
  <c r="C1159" i="14" s="1"/>
  <c r="B1160" i="14"/>
  <c r="C1160" i="14" s="1"/>
  <c r="B1161" i="14"/>
  <c r="C1161" i="14" s="1"/>
  <c r="B1162" i="14"/>
  <c r="C1162" i="14" s="1"/>
  <c r="B1163" i="14"/>
  <c r="C1163" i="14" s="1"/>
  <c r="B1164" i="14"/>
  <c r="C1164" i="14" s="1"/>
  <c r="B1165" i="14"/>
  <c r="C1165" i="14" s="1"/>
  <c r="B1166" i="14"/>
  <c r="C1166" i="14" s="1"/>
  <c r="B1167" i="14"/>
  <c r="C1167" i="14" s="1"/>
  <c r="B1168" i="14"/>
  <c r="C1168" i="14" s="1"/>
  <c r="B1169" i="14"/>
  <c r="C1169" i="14" s="1"/>
  <c r="B1170" i="14"/>
  <c r="C1170" i="14" s="1"/>
  <c r="B1171" i="14"/>
  <c r="C1171" i="14" s="1"/>
  <c r="B1172" i="14"/>
  <c r="C1172" i="14" s="1"/>
  <c r="B1173" i="14"/>
  <c r="C1173" i="14" s="1"/>
  <c r="B1174" i="14"/>
  <c r="C1174" i="14" s="1"/>
  <c r="B1175" i="14"/>
  <c r="C1175" i="14" s="1"/>
  <c r="B1176" i="14"/>
  <c r="C1176" i="14" s="1"/>
  <c r="B1177" i="14"/>
  <c r="C1177" i="14" s="1"/>
  <c r="B1178" i="14"/>
  <c r="C1178" i="14" s="1"/>
  <c r="B1179" i="14"/>
  <c r="C1179" i="14" s="1"/>
  <c r="B1180" i="14"/>
  <c r="C1180" i="14" s="1"/>
  <c r="B1181" i="14"/>
  <c r="C1181" i="14" s="1"/>
  <c r="B1182" i="14"/>
  <c r="C1182" i="14" s="1"/>
  <c r="B1183" i="14"/>
  <c r="C1183" i="14" s="1"/>
  <c r="B1184" i="14"/>
  <c r="C1184" i="14" s="1"/>
  <c r="B1185" i="14"/>
  <c r="C1185" i="14" s="1"/>
  <c r="B1186" i="14"/>
  <c r="C1186" i="14" s="1"/>
  <c r="B1187" i="14"/>
  <c r="C1187" i="14" s="1"/>
  <c r="B1188" i="14"/>
  <c r="C1188" i="14" s="1"/>
  <c r="B1189" i="14"/>
  <c r="C1189" i="14" s="1"/>
  <c r="B1190" i="14"/>
  <c r="C1190" i="14" s="1"/>
  <c r="B1191" i="14"/>
  <c r="C1191" i="14" s="1"/>
  <c r="B1192" i="14"/>
  <c r="C1192" i="14" s="1"/>
  <c r="B1193" i="14"/>
  <c r="C1193" i="14" s="1"/>
  <c r="B1194" i="14"/>
  <c r="C1194" i="14" s="1"/>
  <c r="B1195" i="14"/>
  <c r="C1195" i="14" s="1"/>
  <c r="B1196" i="14"/>
  <c r="C1196" i="14" s="1"/>
  <c r="B1197" i="14"/>
  <c r="C1197" i="14" s="1"/>
  <c r="B1198" i="14"/>
  <c r="C1198" i="14" s="1"/>
  <c r="B1199" i="14"/>
  <c r="C1199" i="14" s="1"/>
  <c r="B1200" i="14"/>
  <c r="C1200" i="14" s="1"/>
  <c r="B1201" i="14"/>
  <c r="C1201" i="14" s="1"/>
  <c r="B1202" i="14"/>
  <c r="C1202" i="14" s="1"/>
  <c r="B1203" i="14"/>
  <c r="C1203" i="14" s="1"/>
  <c r="B1204" i="14"/>
  <c r="C1204" i="14" s="1"/>
  <c r="B1205" i="14"/>
  <c r="C1205" i="14" s="1"/>
  <c r="B1206" i="14"/>
  <c r="C1206" i="14" s="1"/>
  <c r="B1207" i="14"/>
  <c r="C1207" i="14" s="1"/>
  <c r="B1208" i="14"/>
  <c r="C1208" i="14" s="1"/>
  <c r="B1209" i="14"/>
  <c r="C1209" i="14" s="1"/>
  <c r="B1210" i="14"/>
  <c r="C1210" i="14" s="1"/>
  <c r="B1211" i="14"/>
  <c r="C1211" i="14" s="1"/>
  <c r="B1212" i="14"/>
  <c r="C1212" i="14" s="1"/>
  <c r="B1213" i="14"/>
  <c r="C1213" i="14" s="1"/>
  <c r="B1214" i="14"/>
  <c r="C1214" i="14" s="1"/>
  <c r="B1215" i="14"/>
  <c r="C1215" i="14" s="1"/>
  <c r="B1216" i="14"/>
  <c r="C1216" i="14" s="1"/>
  <c r="B1217" i="14"/>
  <c r="C1217" i="14" s="1"/>
  <c r="B1218" i="14"/>
  <c r="C1218" i="14" s="1"/>
  <c r="B1219" i="14"/>
  <c r="C1219" i="14" s="1"/>
  <c r="B1220" i="14"/>
  <c r="C1220" i="14" s="1"/>
  <c r="B1221" i="14"/>
  <c r="C1221" i="14" s="1"/>
  <c r="B1222" i="14"/>
  <c r="C1222" i="14" s="1"/>
  <c r="B1223" i="14"/>
  <c r="C1223" i="14" s="1"/>
  <c r="B1224" i="14"/>
  <c r="C1224" i="14" s="1"/>
  <c r="B1225" i="14"/>
  <c r="C1225" i="14" s="1"/>
  <c r="B1226" i="14"/>
  <c r="C1226" i="14" s="1"/>
  <c r="B1227" i="14"/>
  <c r="C1227" i="14" s="1"/>
  <c r="B1228" i="14"/>
  <c r="C1228" i="14" s="1"/>
  <c r="B1229" i="14"/>
  <c r="C1229" i="14" s="1"/>
  <c r="B1230" i="14"/>
  <c r="C1230" i="14" s="1"/>
  <c r="B1231" i="14"/>
  <c r="C1231" i="14" s="1"/>
  <c r="B1232" i="14"/>
  <c r="C1232" i="14" s="1"/>
  <c r="B1233" i="14"/>
  <c r="C1233" i="14" s="1"/>
  <c r="B1234" i="14"/>
  <c r="C1234" i="14" s="1"/>
  <c r="B1235" i="14"/>
  <c r="C1235" i="14" s="1"/>
  <c r="B1236" i="14"/>
  <c r="C1236" i="14" s="1"/>
  <c r="B1237" i="14"/>
  <c r="C1237" i="14" s="1"/>
  <c r="B1238" i="14"/>
  <c r="C1238" i="14" s="1"/>
  <c r="B1239" i="14"/>
  <c r="C1239" i="14" s="1"/>
  <c r="B1240" i="14"/>
  <c r="C1240" i="14" s="1"/>
  <c r="B1241" i="14"/>
  <c r="C1241" i="14" s="1"/>
  <c r="B1242" i="14"/>
  <c r="C1242" i="14" s="1"/>
  <c r="B1243" i="14"/>
  <c r="C1243" i="14" s="1"/>
  <c r="B1244" i="14"/>
  <c r="C1244" i="14" s="1"/>
  <c r="B1245" i="14"/>
  <c r="C1245" i="14" s="1"/>
  <c r="B1246" i="14"/>
  <c r="C1246" i="14" s="1"/>
  <c r="B1247" i="14"/>
  <c r="C1247" i="14" s="1"/>
  <c r="B1248" i="14"/>
  <c r="C1248" i="14" s="1"/>
  <c r="B1249" i="14"/>
  <c r="C1249" i="14" s="1"/>
  <c r="B1250" i="14"/>
  <c r="C1250" i="14" s="1"/>
  <c r="B1251" i="14"/>
  <c r="C1251" i="14" s="1"/>
  <c r="B1252" i="14"/>
  <c r="C1252" i="14" s="1"/>
  <c r="B1253" i="14"/>
  <c r="C1253" i="14" s="1"/>
  <c r="B1254" i="14"/>
  <c r="C1254" i="14" s="1"/>
  <c r="B1255" i="14"/>
  <c r="C1255" i="14" s="1"/>
  <c r="B1256" i="14"/>
  <c r="C1256" i="14" s="1"/>
  <c r="B1257" i="14"/>
  <c r="C1257" i="14" s="1"/>
  <c r="B1258" i="14"/>
  <c r="C1258" i="14" s="1"/>
  <c r="B1259" i="14"/>
  <c r="C1259" i="14" s="1"/>
  <c r="B1260" i="14"/>
  <c r="C1260" i="14" s="1"/>
  <c r="B1261" i="14"/>
  <c r="C1261" i="14" s="1"/>
  <c r="B1262" i="14"/>
  <c r="C1262" i="14" s="1"/>
  <c r="B1263" i="14"/>
  <c r="C1263" i="14" s="1"/>
  <c r="B1264" i="14"/>
  <c r="C1264" i="14" s="1"/>
  <c r="B1265" i="14"/>
  <c r="C1265" i="14" s="1"/>
  <c r="B1266" i="14"/>
  <c r="C1266" i="14" s="1"/>
  <c r="B1267" i="14"/>
  <c r="C1267" i="14" s="1"/>
  <c r="B1268" i="14"/>
  <c r="C1268" i="14" s="1"/>
  <c r="B1269" i="14"/>
  <c r="C1269" i="14" s="1"/>
  <c r="B1270" i="14"/>
  <c r="C1270" i="14" s="1"/>
  <c r="B1271" i="14"/>
  <c r="C1271" i="14" s="1"/>
  <c r="B1272" i="14"/>
  <c r="C1272" i="14" s="1"/>
  <c r="B1273" i="14"/>
  <c r="C1273" i="14" s="1"/>
  <c r="B1274" i="14"/>
  <c r="C1274" i="14" s="1"/>
  <c r="B1275" i="14"/>
  <c r="C1275" i="14" s="1"/>
  <c r="B1276" i="14"/>
  <c r="C1276" i="14" s="1"/>
  <c r="B1277" i="14"/>
  <c r="C1277" i="14" s="1"/>
  <c r="B1278" i="14"/>
  <c r="C1278" i="14" s="1"/>
  <c r="B1279" i="14"/>
  <c r="C1279" i="14" s="1"/>
  <c r="B1280" i="14"/>
  <c r="C1280" i="14" s="1"/>
  <c r="B1281" i="14"/>
  <c r="C1281" i="14" s="1"/>
  <c r="B1282" i="14"/>
  <c r="C1282" i="14" s="1"/>
  <c r="B1283" i="14"/>
  <c r="C1283" i="14" s="1"/>
  <c r="B1284" i="14"/>
  <c r="C1284" i="14" s="1"/>
  <c r="B1285" i="14"/>
  <c r="C1285" i="14" s="1"/>
  <c r="B1286" i="14"/>
  <c r="C1286" i="14" s="1"/>
  <c r="B1287" i="14"/>
  <c r="C1287" i="14" s="1"/>
  <c r="B1288" i="14"/>
  <c r="C1288" i="14" s="1"/>
  <c r="B1289" i="14"/>
  <c r="C1289" i="14" s="1"/>
  <c r="B1290" i="14"/>
  <c r="C1290" i="14" s="1"/>
  <c r="B1291" i="14"/>
  <c r="C1291" i="14" s="1"/>
  <c r="B1292" i="14"/>
  <c r="C1292" i="14" s="1"/>
  <c r="B1293" i="14"/>
  <c r="C1293" i="14" s="1"/>
  <c r="B1294" i="14"/>
  <c r="C1294" i="14" s="1"/>
  <c r="B1295" i="14"/>
  <c r="C1295" i="14" s="1"/>
  <c r="B1296" i="14"/>
  <c r="C1296" i="14" s="1"/>
  <c r="B1297" i="14"/>
  <c r="C1297" i="14" s="1"/>
  <c r="B1298" i="14"/>
  <c r="C1298" i="14" s="1"/>
  <c r="B1299" i="14"/>
  <c r="C1299" i="14" s="1"/>
  <c r="B1300" i="14"/>
  <c r="C1300" i="14" s="1"/>
  <c r="B1301" i="14"/>
  <c r="C1301" i="14" s="1"/>
  <c r="B1302" i="14"/>
  <c r="C1302" i="14" s="1"/>
  <c r="B1303" i="14"/>
  <c r="C1303" i="14" s="1"/>
  <c r="B1304" i="14"/>
  <c r="C1304" i="14" s="1"/>
  <c r="B1305" i="14"/>
  <c r="C1305" i="14" s="1"/>
  <c r="B1306" i="14"/>
  <c r="C1306" i="14" s="1"/>
  <c r="B1307" i="14"/>
  <c r="C1307" i="14" s="1"/>
  <c r="B1308" i="14"/>
  <c r="C1308" i="14" s="1"/>
  <c r="B1309" i="14"/>
  <c r="C1309" i="14" s="1"/>
  <c r="B1310" i="14"/>
  <c r="C1310" i="14" s="1"/>
  <c r="B1311" i="14"/>
  <c r="C1311" i="14" s="1"/>
  <c r="B1312" i="14"/>
  <c r="C1312" i="14" s="1"/>
  <c r="B1313" i="14"/>
  <c r="C1313" i="14" s="1"/>
  <c r="B1314" i="14"/>
  <c r="C1314" i="14" s="1"/>
  <c r="B1315" i="14"/>
  <c r="C1315" i="14" s="1"/>
  <c r="B1316" i="14"/>
  <c r="C1316" i="14" s="1"/>
  <c r="B1317" i="14"/>
  <c r="C1317" i="14" s="1"/>
  <c r="B1318" i="14"/>
  <c r="C1318" i="14" s="1"/>
  <c r="B1319" i="14"/>
  <c r="C1319" i="14" s="1"/>
  <c r="B1320" i="14"/>
  <c r="C1320" i="14" s="1"/>
  <c r="B1321" i="14"/>
  <c r="C1321" i="14" s="1"/>
  <c r="B1322" i="14"/>
  <c r="C1322" i="14" s="1"/>
  <c r="B1323" i="14"/>
  <c r="C1323" i="14" s="1"/>
  <c r="B1324" i="14"/>
  <c r="C1324" i="14" s="1"/>
  <c r="B1325" i="14"/>
  <c r="C1325" i="14" s="1"/>
  <c r="B1326" i="14"/>
  <c r="C1326" i="14" s="1"/>
  <c r="B1327" i="14"/>
  <c r="C1327" i="14" s="1"/>
  <c r="B1328" i="14"/>
  <c r="C1328" i="14" s="1"/>
  <c r="B1329" i="14"/>
  <c r="C1329" i="14" s="1"/>
  <c r="B1330" i="14"/>
  <c r="C1330" i="14" s="1"/>
  <c r="B1331" i="14"/>
  <c r="C1331" i="14" s="1"/>
  <c r="B1332" i="14"/>
  <c r="C1332" i="14" s="1"/>
  <c r="B1333" i="14"/>
  <c r="C1333" i="14" s="1"/>
  <c r="B1334" i="14"/>
  <c r="C1334" i="14" s="1"/>
  <c r="B1335" i="14"/>
  <c r="C1335" i="14" s="1"/>
  <c r="B1336" i="14"/>
  <c r="C1336" i="14" s="1"/>
  <c r="B1337" i="14"/>
  <c r="C1337" i="14" s="1"/>
  <c r="B1338" i="14"/>
  <c r="C1338" i="14" s="1"/>
  <c r="B1339" i="14"/>
  <c r="C1339" i="14" s="1"/>
  <c r="B1340" i="14"/>
  <c r="C1340" i="14" s="1"/>
  <c r="B1341" i="14"/>
  <c r="C1341" i="14" s="1"/>
  <c r="B1342" i="14"/>
  <c r="C1342" i="14" s="1"/>
  <c r="B1343" i="14"/>
  <c r="C1343" i="14" s="1"/>
  <c r="B1344" i="14"/>
  <c r="C1344" i="14" s="1"/>
  <c r="B1345" i="14"/>
  <c r="C1345" i="14" s="1"/>
  <c r="B1346" i="14"/>
  <c r="C1346" i="14" s="1"/>
  <c r="B1347" i="14"/>
  <c r="C1347" i="14" s="1"/>
  <c r="B1348" i="14"/>
  <c r="C1348" i="14" s="1"/>
  <c r="B1349" i="14"/>
  <c r="C1349" i="14" s="1"/>
  <c r="B1350" i="14"/>
  <c r="C1350" i="14" s="1"/>
  <c r="B1351" i="14"/>
  <c r="C1351" i="14" s="1"/>
  <c r="B1352" i="14"/>
  <c r="C1352" i="14" s="1"/>
  <c r="B1353" i="14"/>
  <c r="C1353" i="14" s="1"/>
  <c r="B1354" i="14"/>
  <c r="C1354" i="14" s="1"/>
  <c r="B1355" i="14"/>
  <c r="C1355" i="14" s="1"/>
  <c r="B1356" i="14"/>
  <c r="C1356" i="14" s="1"/>
  <c r="B1357" i="14"/>
  <c r="C1357" i="14" s="1"/>
  <c r="B1358" i="14"/>
  <c r="C1358" i="14" s="1"/>
  <c r="B1359" i="14"/>
  <c r="C1359" i="14" s="1"/>
  <c r="B1360" i="14"/>
  <c r="C1360" i="14" s="1"/>
  <c r="B1361" i="14"/>
  <c r="C1361" i="14" s="1"/>
  <c r="B1362" i="14"/>
  <c r="C1362" i="14" s="1"/>
  <c r="B1363" i="14"/>
  <c r="C1363" i="14" s="1"/>
  <c r="B1364" i="14"/>
  <c r="C1364" i="14" s="1"/>
  <c r="B1365" i="14"/>
  <c r="C1365" i="14" s="1"/>
  <c r="B1366" i="14"/>
  <c r="C1366" i="14" s="1"/>
  <c r="B1367" i="14"/>
  <c r="C1367" i="14" s="1"/>
  <c r="B1368" i="14"/>
  <c r="C1368" i="14" s="1"/>
  <c r="B1369" i="14"/>
  <c r="C1369" i="14" s="1"/>
  <c r="B1370" i="14"/>
  <c r="C1370" i="14" s="1"/>
  <c r="B1371" i="14"/>
  <c r="C1371" i="14" s="1"/>
  <c r="B1372" i="14"/>
  <c r="C1372" i="14" s="1"/>
  <c r="B1373" i="14"/>
  <c r="C1373" i="14" s="1"/>
  <c r="B1374" i="14"/>
  <c r="C1374" i="14" s="1"/>
  <c r="B1375" i="14"/>
  <c r="C1375" i="14" s="1"/>
  <c r="B1376" i="14"/>
  <c r="C1376" i="14" s="1"/>
  <c r="B1377" i="14"/>
  <c r="C1377" i="14" s="1"/>
  <c r="B1378" i="14"/>
  <c r="C1378" i="14" s="1"/>
  <c r="B1379" i="14"/>
  <c r="C1379" i="14" s="1"/>
  <c r="B1380" i="14"/>
  <c r="C1380" i="14" s="1"/>
  <c r="B1381" i="14"/>
  <c r="C1381" i="14" s="1"/>
  <c r="B1382" i="14"/>
  <c r="C1382" i="14" s="1"/>
  <c r="B1383" i="14"/>
  <c r="C1383" i="14" s="1"/>
  <c r="B1384" i="14"/>
  <c r="C1384" i="14" s="1"/>
  <c r="B1385" i="14"/>
  <c r="C1385" i="14" s="1"/>
  <c r="B1386" i="14"/>
  <c r="C1386" i="14" s="1"/>
  <c r="B1387" i="14"/>
  <c r="C1387" i="14" s="1"/>
  <c r="B1388" i="14"/>
  <c r="C1388" i="14" s="1"/>
  <c r="B1389" i="14"/>
  <c r="C1389" i="14" s="1"/>
  <c r="B1390" i="14"/>
  <c r="C1390" i="14" s="1"/>
  <c r="B1391" i="14"/>
  <c r="C1391" i="14" s="1"/>
  <c r="B1392" i="14"/>
  <c r="C1392" i="14" s="1"/>
  <c r="B1393" i="14"/>
  <c r="C1393" i="14" s="1"/>
  <c r="B1394" i="14"/>
  <c r="C1394" i="14" s="1"/>
  <c r="B1395" i="14"/>
  <c r="C1395" i="14" s="1"/>
  <c r="B1396" i="14"/>
  <c r="C1396" i="14" s="1"/>
  <c r="B1397" i="14"/>
  <c r="C1397" i="14" s="1"/>
  <c r="B1398" i="14"/>
  <c r="C1398" i="14" s="1"/>
  <c r="B1399" i="14"/>
  <c r="C1399" i="14" s="1"/>
  <c r="B1400" i="14"/>
  <c r="C1400" i="14" s="1"/>
  <c r="B1401" i="14"/>
  <c r="C1401" i="14" s="1"/>
  <c r="B1402" i="14"/>
  <c r="C1402" i="14" s="1"/>
  <c r="B1403" i="14"/>
  <c r="C1403" i="14" s="1"/>
  <c r="B1404" i="14"/>
  <c r="C1404" i="14" s="1"/>
  <c r="B1405" i="14"/>
  <c r="C1405" i="14" s="1"/>
  <c r="B1406" i="14"/>
  <c r="C1406" i="14" s="1"/>
  <c r="B1407" i="14"/>
  <c r="C1407" i="14" s="1"/>
  <c r="B1408" i="14"/>
  <c r="C1408" i="14" s="1"/>
  <c r="B1409" i="14"/>
  <c r="C1409" i="14" s="1"/>
  <c r="B1410" i="14"/>
  <c r="C1410" i="14" s="1"/>
  <c r="B1411" i="14"/>
  <c r="C1411" i="14" s="1"/>
  <c r="B1412" i="14"/>
  <c r="C1412" i="14" s="1"/>
  <c r="B1413" i="14"/>
  <c r="C1413" i="14" s="1"/>
  <c r="B1414" i="14"/>
  <c r="C1414" i="14" s="1"/>
  <c r="B1415" i="14"/>
  <c r="C1415" i="14" s="1"/>
  <c r="B1416" i="14"/>
  <c r="C1416" i="14" s="1"/>
  <c r="B1417" i="14"/>
  <c r="C1417" i="14" s="1"/>
  <c r="B1418" i="14"/>
  <c r="C1418" i="14" s="1"/>
  <c r="B1419" i="14"/>
  <c r="C1419" i="14" s="1"/>
  <c r="B1420" i="14"/>
  <c r="C1420" i="14" s="1"/>
  <c r="B1421" i="14"/>
  <c r="C1421" i="14" s="1"/>
  <c r="B1422" i="14"/>
  <c r="C1422" i="14" s="1"/>
  <c r="B1423" i="14"/>
  <c r="C1423" i="14" s="1"/>
  <c r="B1424" i="14"/>
  <c r="C1424" i="14" s="1"/>
  <c r="B1425" i="14"/>
  <c r="C1425" i="14" s="1"/>
  <c r="B1426" i="14"/>
  <c r="C1426" i="14" s="1"/>
  <c r="B1427" i="14"/>
  <c r="C1427" i="14" s="1"/>
  <c r="B1428" i="14"/>
  <c r="C1428" i="14" s="1"/>
  <c r="B1429" i="14"/>
  <c r="C1429" i="14" s="1"/>
  <c r="B1430" i="14"/>
  <c r="C1430" i="14" s="1"/>
  <c r="B1431" i="14"/>
  <c r="C1431" i="14" s="1"/>
  <c r="B1432" i="14"/>
  <c r="C1432" i="14" s="1"/>
  <c r="B1433" i="14"/>
  <c r="C1433" i="14" s="1"/>
  <c r="B1434" i="14"/>
  <c r="C1434" i="14" s="1"/>
  <c r="B1435" i="14"/>
  <c r="C1435" i="14" s="1"/>
  <c r="B1436" i="14"/>
  <c r="C1436" i="14" s="1"/>
  <c r="B1437" i="14"/>
  <c r="C1437" i="14" s="1"/>
  <c r="B1438" i="14"/>
  <c r="C1438" i="14" s="1"/>
  <c r="B1439" i="14"/>
  <c r="C1439" i="14" s="1"/>
  <c r="B1440" i="14"/>
  <c r="C1440" i="14" s="1"/>
  <c r="B1441" i="14"/>
  <c r="C1441" i="14" s="1"/>
  <c r="B1442" i="14"/>
  <c r="C1442" i="14" s="1"/>
  <c r="B1443" i="14"/>
  <c r="C1443" i="14" s="1"/>
  <c r="B1444" i="14"/>
  <c r="C1444" i="14" s="1"/>
  <c r="B1445" i="14"/>
  <c r="C1445" i="14" s="1"/>
  <c r="B1446" i="14"/>
  <c r="C1446" i="14" s="1"/>
  <c r="B1447" i="14"/>
  <c r="C1447" i="14" s="1"/>
  <c r="B1448" i="14"/>
  <c r="C1448" i="14" s="1"/>
  <c r="B1449" i="14"/>
  <c r="C1449" i="14" s="1"/>
  <c r="B1450" i="14"/>
  <c r="C1450" i="14" s="1"/>
  <c r="B1451" i="14"/>
  <c r="C1451" i="14" s="1"/>
  <c r="B1452" i="14"/>
  <c r="C1452" i="14" s="1"/>
  <c r="B1453" i="14"/>
  <c r="C1453" i="14" s="1"/>
  <c r="B1454" i="14"/>
  <c r="C1454" i="14" s="1"/>
  <c r="B1455" i="14"/>
  <c r="C1455" i="14" s="1"/>
  <c r="B1456" i="14"/>
  <c r="C1456" i="14" s="1"/>
  <c r="B1457" i="14"/>
  <c r="C1457" i="14" s="1"/>
  <c r="B1458" i="14"/>
  <c r="C1458" i="14" s="1"/>
  <c r="B1459" i="14"/>
  <c r="C1459" i="14" s="1"/>
  <c r="B1460" i="14"/>
  <c r="C1460" i="14" s="1"/>
  <c r="B1461" i="14"/>
  <c r="C1461" i="14" s="1"/>
  <c r="B1462" i="14"/>
  <c r="C1462" i="14" s="1"/>
  <c r="B1463" i="14"/>
  <c r="C1463" i="14" s="1"/>
  <c r="B1464" i="14"/>
  <c r="C1464" i="14" s="1"/>
  <c r="B1465" i="14"/>
  <c r="C1465" i="14" s="1"/>
  <c r="B1466" i="14"/>
  <c r="C1466" i="14" s="1"/>
  <c r="B1467" i="14"/>
  <c r="C1467" i="14" s="1"/>
  <c r="B1468" i="14"/>
  <c r="C1468" i="14" s="1"/>
  <c r="B1469" i="14"/>
  <c r="C1469" i="14" s="1"/>
  <c r="B1470" i="14"/>
  <c r="C1470" i="14" s="1"/>
  <c r="B1471" i="14"/>
  <c r="C1471" i="14" s="1"/>
  <c r="B1472" i="14"/>
  <c r="C1472" i="14" s="1"/>
  <c r="B1473" i="14"/>
  <c r="C1473" i="14" s="1"/>
  <c r="B1474" i="14"/>
  <c r="C1474" i="14" s="1"/>
  <c r="B1475" i="14"/>
  <c r="C1475" i="14" s="1"/>
  <c r="B1476" i="14"/>
  <c r="C1476" i="14" s="1"/>
  <c r="B1477" i="14"/>
  <c r="C1477" i="14" s="1"/>
  <c r="B1478" i="14"/>
  <c r="C1478" i="14" s="1"/>
  <c r="B1479" i="14"/>
  <c r="C1479" i="14" s="1"/>
  <c r="B1480" i="14"/>
  <c r="C1480" i="14" s="1"/>
  <c r="B1481" i="14"/>
  <c r="C1481" i="14" s="1"/>
  <c r="B1482" i="14"/>
  <c r="C1482" i="14" s="1"/>
  <c r="B1483" i="14"/>
  <c r="C1483" i="14" s="1"/>
  <c r="B1484" i="14"/>
  <c r="C1484" i="14" s="1"/>
  <c r="B1485" i="14"/>
  <c r="C1485" i="14" s="1"/>
  <c r="B1486" i="14"/>
  <c r="C1486" i="14" s="1"/>
  <c r="B1487" i="14"/>
  <c r="C1487" i="14" s="1"/>
  <c r="B1488" i="14"/>
  <c r="C1488" i="14" s="1"/>
  <c r="B1489" i="14"/>
  <c r="C1489" i="14" s="1"/>
  <c r="B1490" i="14"/>
  <c r="C1490" i="14" s="1"/>
  <c r="B1491" i="14"/>
  <c r="C1491" i="14" s="1"/>
  <c r="B1492" i="14"/>
  <c r="C1492" i="14" s="1"/>
  <c r="B1493" i="14"/>
  <c r="C1493" i="14" s="1"/>
  <c r="B1494" i="14"/>
  <c r="C1494" i="14" s="1"/>
  <c r="B1495" i="14"/>
  <c r="C1495" i="14" s="1"/>
  <c r="B1496" i="14"/>
  <c r="C1496" i="14" s="1"/>
  <c r="B1497" i="14"/>
  <c r="C1497" i="14" s="1"/>
  <c r="B1498" i="14"/>
  <c r="C1498" i="14" s="1"/>
  <c r="B1499" i="14"/>
  <c r="C1499" i="14" s="1"/>
  <c r="B1500" i="14"/>
  <c r="C1500" i="14" s="1"/>
  <c r="B1501" i="14"/>
  <c r="C1501" i="14" s="1"/>
  <c r="B1502" i="14"/>
  <c r="C1502" i="14" s="1"/>
  <c r="B1503" i="14"/>
  <c r="C1503" i="14" s="1"/>
  <c r="B1504" i="14"/>
  <c r="C1504" i="14" s="1"/>
  <c r="B1505" i="14"/>
  <c r="C1505" i="14" s="1"/>
  <c r="B1506" i="14"/>
  <c r="C1506" i="14" s="1"/>
  <c r="B1507" i="14"/>
  <c r="C1507" i="14" s="1"/>
  <c r="B1508" i="14"/>
  <c r="C1508" i="14" s="1"/>
  <c r="B1509" i="14"/>
  <c r="C1509" i="14" s="1"/>
  <c r="B1510" i="14"/>
  <c r="C1510" i="14" s="1"/>
  <c r="B1511" i="14"/>
  <c r="C1511" i="14" s="1"/>
  <c r="B1512" i="14"/>
  <c r="C1512" i="14" s="1"/>
  <c r="B1513" i="14"/>
  <c r="C1513" i="14" s="1"/>
  <c r="B1514" i="14"/>
  <c r="C1514" i="14" s="1"/>
  <c r="B1515" i="14"/>
  <c r="C1515" i="14" s="1"/>
  <c r="B1516" i="14"/>
  <c r="C1516" i="14" s="1"/>
  <c r="B1517" i="14"/>
  <c r="C1517" i="14" s="1"/>
  <c r="B1518" i="14"/>
  <c r="C1518" i="14" s="1"/>
  <c r="B1519" i="14"/>
  <c r="C1519" i="14" s="1"/>
  <c r="B1520" i="14"/>
  <c r="C1520" i="14" s="1"/>
  <c r="B1521" i="14"/>
  <c r="C1521" i="14" s="1"/>
  <c r="B1522" i="14"/>
  <c r="C1522" i="14" s="1"/>
  <c r="B1523" i="14"/>
  <c r="C1523" i="14" s="1"/>
  <c r="B1524" i="14"/>
  <c r="C1524" i="14" s="1"/>
  <c r="B1525" i="14"/>
  <c r="C1525" i="14" s="1"/>
  <c r="B1526" i="14"/>
  <c r="C1526" i="14" s="1"/>
  <c r="B1527" i="14"/>
  <c r="C1527" i="14" s="1"/>
  <c r="B1528" i="14"/>
  <c r="C1528" i="14" s="1"/>
  <c r="B1529" i="14"/>
  <c r="C1529" i="14" s="1"/>
  <c r="B1530" i="14"/>
  <c r="C1530" i="14" s="1"/>
  <c r="B1531" i="14"/>
  <c r="C1531" i="14" s="1"/>
  <c r="B1532" i="14"/>
  <c r="C1532" i="14" s="1"/>
  <c r="B1533" i="14"/>
  <c r="C1533" i="14" s="1"/>
  <c r="B1534" i="14"/>
  <c r="C1534" i="14" s="1"/>
  <c r="B1535" i="14"/>
  <c r="C1535" i="14" s="1"/>
  <c r="B1536" i="14"/>
  <c r="C1536" i="14" s="1"/>
  <c r="B1537" i="14"/>
  <c r="C1537" i="14" s="1"/>
  <c r="B1538" i="14"/>
  <c r="C1538" i="14" s="1"/>
  <c r="B1539" i="14"/>
  <c r="C1539" i="14" s="1"/>
  <c r="B1540" i="14"/>
  <c r="C1540" i="14" s="1"/>
  <c r="B1541" i="14"/>
  <c r="C1541" i="14" s="1"/>
  <c r="B1542" i="14"/>
  <c r="C1542" i="14" s="1"/>
  <c r="B1543" i="14"/>
  <c r="C1543" i="14" s="1"/>
  <c r="B1544" i="14"/>
  <c r="C1544" i="14" s="1"/>
  <c r="B1545" i="14"/>
  <c r="C1545" i="14" s="1"/>
  <c r="B1546" i="14"/>
  <c r="C1546" i="14" s="1"/>
  <c r="B1547" i="14"/>
  <c r="C1547" i="14" s="1"/>
  <c r="B1548" i="14"/>
  <c r="C1548" i="14" s="1"/>
  <c r="B1549" i="14"/>
  <c r="C1549" i="14" s="1"/>
  <c r="B1550" i="14"/>
  <c r="C1550" i="14" s="1"/>
  <c r="B1551" i="14"/>
  <c r="C1551" i="14" s="1"/>
  <c r="B1552" i="14"/>
  <c r="C1552" i="14" s="1"/>
  <c r="B1553" i="14"/>
  <c r="C1553" i="14" s="1"/>
  <c r="B1554" i="14"/>
  <c r="C1554" i="14" s="1"/>
  <c r="B1555" i="14"/>
  <c r="C1555" i="14" s="1"/>
  <c r="B1556" i="14"/>
  <c r="C1556" i="14" s="1"/>
  <c r="B1557" i="14"/>
  <c r="C1557" i="14" s="1"/>
  <c r="B1558" i="14"/>
  <c r="C1558" i="14" s="1"/>
  <c r="B1559" i="14"/>
  <c r="C1559" i="14" s="1"/>
  <c r="B1560" i="14"/>
  <c r="C1560" i="14" s="1"/>
  <c r="B1561" i="14"/>
  <c r="C1561" i="14" s="1"/>
  <c r="B1562" i="14"/>
  <c r="C1562" i="14" s="1"/>
  <c r="B1563" i="14"/>
  <c r="C1563" i="14" s="1"/>
  <c r="B1564" i="14"/>
  <c r="C1564" i="14" s="1"/>
  <c r="B1565" i="14"/>
  <c r="C1565" i="14" s="1"/>
  <c r="B1566" i="14"/>
  <c r="C1566" i="14" s="1"/>
  <c r="B1567" i="14"/>
  <c r="C1567" i="14" s="1"/>
  <c r="B1568" i="14"/>
  <c r="C1568" i="14" s="1"/>
  <c r="B1569" i="14"/>
  <c r="C1569" i="14" s="1"/>
  <c r="B1570" i="14"/>
  <c r="C1570" i="14" s="1"/>
  <c r="B1571" i="14"/>
  <c r="C1571" i="14" s="1"/>
  <c r="B1572" i="14"/>
  <c r="C1572" i="14" s="1"/>
  <c r="B1573" i="14"/>
  <c r="C1573" i="14" s="1"/>
  <c r="B1574" i="14"/>
  <c r="C1574" i="14" s="1"/>
  <c r="B1575" i="14"/>
  <c r="C1575" i="14" s="1"/>
  <c r="B1576" i="14"/>
  <c r="C1576" i="14" s="1"/>
  <c r="B1577" i="14"/>
  <c r="C1577" i="14" s="1"/>
  <c r="B1578" i="14"/>
  <c r="C1578" i="14" s="1"/>
  <c r="B1579" i="14"/>
  <c r="C1579" i="14" s="1"/>
  <c r="B1580" i="14"/>
  <c r="C1580" i="14" s="1"/>
  <c r="B1581" i="14"/>
  <c r="C1581" i="14" s="1"/>
  <c r="B1582" i="14"/>
  <c r="C1582" i="14" s="1"/>
  <c r="B1583" i="14"/>
  <c r="C1583" i="14" s="1"/>
  <c r="B1584" i="14"/>
  <c r="C1584" i="14" s="1"/>
  <c r="B1585" i="14"/>
  <c r="C1585" i="14" s="1"/>
  <c r="B1586" i="14"/>
  <c r="C1586" i="14" s="1"/>
  <c r="B1587" i="14"/>
  <c r="C1587" i="14" s="1"/>
  <c r="B1588" i="14"/>
  <c r="C1588" i="14" s="1"/>
  <c r="B1589" i="14"/>
  <c r="C1589" i="14" s="1"/>
  <c r="B1590" i="14"/>
  <c r="C1590" i="14" s="1"/>
  <c r="B1591" i="14"/>
  <c r="C1591" i="14" s="1"/>
  <c r="B1592" i="14"/>
  <c r="C1592" i="14" s="1"/>
  <c r="B1593" i="14"/>
  <c r="C1593" i="14" s="1"/>
  <c r="B1594" i="14"/>
  <c r="C1594" i="14" s="1"/>
  <c r="B1595" i="14"/>
  <c r="C1595" i="14" s="1"/>
  <c r="B1596" i="14"/>
  <c r="C1596" i="14" s="1"/>
  <c r="B1597" i="14"/>
  <c r="C1597" i="14" s="1"/>
  <c r="B1598" i="14"/>
  <c r="C1598" i="14" s="1"/>
  <c r="B1599" i="14"/>
  <c r="C1599" i="14" s="1"/>
  <c r="B1600" i="14"/>
  <c r="C1600" i="14" s="1"/>
  <c r="B1601" i="14"/>
  <c r="C1601" i="14" s="1"/>
  <c r="B1602" i="14"/>
  <c r="C1602" i="14" s="1"/>
  <c r="B1603" i="14"/>
  <c r="C1603" i="14" s="1"/>
  <c r="B1604" i="14"/>
  <c r="C1604" i="14" s="1"/>
  <c r="B1605" i="14"/>
  <c r="C1605" i="14" s="1"/>
  <c r="B1606" i="14"/>
  <c r="C1606" i="14" s="1"/>
  <c r="B1607" i="14"/>
  <c r="C1607" i="14" s="1"/>
  <c r="B1608" i="14"/>
  <c r="C1608" i="14" s="1"/>
  <c r="B1609" i="14"/>
  <c r="C1609" i="14" s="1"/>
  <c r="B1610" i="14"/>
  <c r="C1610" i="14" s="1"/>
  <c r="B1611" i="14"/>
  <c r="C1611" i="14" s="1"/>
  <c r="B1612" i="14"/>
  <c r="C1612" i="14" s="1"/>
  <c r="B1613" i="14"/>
  <c r="C1613" i="14" s="1"/>
  <c r="B1614" i="14"/>
  <c r="C1614" i="14" s="1"/>
  <c r="B1615" i="14"/>
  <c r="C1615" i="14" s="1"/>
  <c r="B1616" i="14"/>
  <c r="C1616" i="14" s="1"/>
  <c r="B1617" i="14"/>
  <c r="C1617" i="14" s="1"/>
  <c r="B1618" i="14"/>
  <c r="C1618" i="14" s="1"/>
  <c r="B1619" i="14"/>
  <c r="C1619" i="14" s="1"/>
  <c r="B1620" i="14"/>
  <c r="C1620" i="14" s="1"/>
  <c r="B1621" i="14"/>
  <c r="C1621" i="14" s="1"/>
  <c r="B1622" i="14"/>
  <c r="C1622" i="14" s="1"/>
  <c r="B1623" i="14"/>
  <c r="C1623" i="14" s="1"/>
  <c r="B1624" i="14"/>
  <c r="C1624" i="14" s="1"/>
  <c r="B1625" i="14"/>
  <c r="C1625" i="14" s="1"/>
  <c r="B1626" i="14"/>
  <c r="C1626" i="14" s="1"/>
  <c r="B1627" i="14"/>
  <c r="C1627" i="14" s="1"/>
  <c r="B1628" i="14"/>
  <c r="C1628" i="14" s="1"/>
  <c r="B1629" i="14"/>
  <c r="C1629" i="14" s="1"/>
  <c r="B1630" i="14"/>
  <c r="C1630" i="14" s="1"/>
  <c r="B1631" i="14"/>
  <c r="C1631" i="14" s="1"/>
  <c r="B1632" i="14"/>
  <c r="C1632" i="14" s="1"/>
  <c r="B1633" i="14"/>
  <c r="C1633" i="14" s="1"/>
  <c r="B1634" i="14"/>
  <c r="C1634" i="14" s="1"/>
  <c r="B1635" i="14"/>
  <c r="C1635" i="14" s="1"/>
  <c r="B1636" i="14"/>
  <c r="C1636" i="14" s="1"/>
  <c r="B1637" i="14"/>
  <c r="C1637" i="14" s="1"/>
  <c r="B1638" i="14"/>
  <c r="C1638" i="14" s="1"/>
  <c r="B1639" i="14"/>
  <c r="C1639" i="14" s="1"/>
  <c r="B1640" i="14"/>
  <c r="C1640" i="14" s="1"/>
  <c r="B1641" i="14"/>
  <c r="C1641" i="14" s="1"/>
  <c r="B1642" i="14"/>
  <c r="C1642" i="14" s="1"/>
  <c r="B1643" i="14"/>
  <c r="C1643" i="14" s="1"/>
  <c r="B1644" i="14"/>
  <c r="C1644" i="14" s="1"/>
  <c r="B1645" i="14"/>
  <c r="C1645" i="14" s="1"/>
  <c r="B1646" i="14"/>
  <c r="C1646" i="14" s="1"/>
  <c r="B1647" i="14"/>
  <c r="C1647" i="14" s="1"/>
  <c r="B1648" i="14"/>
  <c r="C1648" i="14" s="1"/>
  <c r="B1649" i="14"/>
  <c r="C1649" i="14" s="1"/>
  <c r="B1650" i="14"/>
  <c r="C1650" i="14" s="1"/>
  <c r="B1651" i="14"/>
  <c r="C1651" i="14" s="1"/>
  <c r="B1652" i="14"/>
  <c r="C1652" i="14" s="1"/>
  <c r="B1653" i="14"/>
  <c r="C1653" i="14" s="1"/>
  <c r="B1654" i="14"/>
  <c r="C1654" i="14" s="1"/>
  <c r="B1655" i="14"/>
  <c r="C1655" i="14" s="1"/>
  <c r="B1656" i="14"/>
  <c r="C1656" i="14" s="1"/>
  <c r="B1657" i="14"/>
  <c r="C1657" i="14" s="1"/>
  <c r="B1658" i="14"/>
  <c r="C1658" i="14" s="1"/>
  <c r="B1659" i="14"/>
  <c r="C1659" i="14" s="1"/>
  <c r="B1660" i="14"/>
  <c r="C1660" i="14" s="1"/>
  <c r="B1661" i="14"/>
  <c r="C1661" i="14" s="1"/>
  <c r="B1662" i="14"/>
  <c r="C1662" i="14" s="1"/>
  <c r="B1663" i="14"/>
  <c r="C1663" i="14" s="1"/>
  <c r="B1664" i="14"/>
  <c r="C1664" i="14" s="1"/>
  <c r="B1665" i="14"/>
  <c r="C1665" i="14" s="1"/>
  <c r="B1666" i="14"/>
  <c r="C1666" i="14" s="1"/>
  <c r="B1667" i="14"/>
  <c r="C1667" i="14" s="1"/>
  <c r="B1668" i="14"/>
  <c r="C1668" i="14" s="1"/>
  <c r="B1669" i="14"/>
  <c r="C1669" i="14" s="1"/>
  <c r="B1670" i="14"/>
  <c r="C1670" i="14" s="1"/>
  <c r="B1671" i="14"/>
  <c r="C1671" i="14" s="1"/>
  <c r="B1672" i="14"/>
  <c r="C1672" i="14" s="1"/>
  <c r="B1673" i="14"/>
  <c r="C1673" i="14" s="1"/>
  <c r="B1674" i="14"/>
  <c r="C1674" i="14" s="1"/>
  <c r="B1675" i="14"/>
  <c r="C1675" i="14" s="1"/>
  <c r="B1676" i="14"/>
  <c r="C1676" i="14" s="1"/>
  <c r="B1677" i="14"/>
  <c r="C1677" i="14" s="1"/>
  <c r="B1678" i="14"/>
  <c r="C1678" i="14" s="1"/>
  <c r="B1679" i="14"/>
  <c r="C1679" i="14" s="1"/>
  <c r="B1680" i="14"/>
  <c r="C1680" i="14" s="1"/>
  <c r="B1681" i="14"/>
  <c r="C1681" i="14" s="1"/>
  <c r="B1682" i="14"/>
  <c r="C1682" i="14" s="1"/>
  <c r="B1683" i="14"/>
  <c r="C1683" i="14" s="1"/>
  <c r="B1684" i="14"/>
  <c r="C1684" i="14" s="1"/>
  <c r="B1685" i="14"/>
  <c r="C1685" i="14" s="1"/>
  <c r="B1686" i="14"/>
  <c r="C1686" i="14" s="1"/>
  <c r="B1687" i="14"/>
  <c r="C1687" i="14" s="1"/>
  <c r="B1688" i="14"/>
  <c r="C1688" i="14" s="1"/>
  <c r="B1689" i="14"/>
  <c r="C1689" i="14" s="1"/>
  <c r="B1690" i="14"/>
  <c r="C1690" i="14" s="1"/>
  <c r="B1691" i="14"/>
  <c r="C1691" i="14" s="1"/>
  <c r="B1692" i="14"/>
  <c r="C1692" i="14" s="1"/>
  <c r="B1693" i="14"/>
  <c r="C1693" i="14" s="1"/>
  <c r="B1694" i="14"/>
  <c r="C1694" i="14" s="1"/>
  <c r="B1695" i="14"/>
  <c r="C1695" i="14" s="1"/>
  <c r="B1696" i="14"/>
  <c r="C1696" i="14" s="1"/>
  <c r="B1697" i="14"/>
  <c r="C1697" i="14" s="1"/>
  <c r="B1698" i="14"/>
  <c r="C1698" i="14" s="1"/>
  <c r="B1699" i="14"/>
  <c r="C1699" i="14" s="1"/>
  <c r="B1700" i="14"/>
  <c r="C1700" i="14" s="1"/>
  <c r="B1701" i="14"/>
  <c r="C1701" i="14" s="1"/>
  <c r="B1702" i="14"/>
  <c r="C1702" i="14" s="1"/>
  <c r="B1703" i="14"/>
  <c r="C1703" i="14" s="1"/>
  <c r="B1704" i="14"/>
  <c r="C1704" i="14" s="1"/>
  <c r="B1705" i="14"/>
  <c r="C1705" i="14" s="1"/>
  <c r="B1706" i="14"/>
  <c r="C1706" i="14" s="1"/>
  <c r="B1707" i="14"/>
  <c r="C1707" i="14" s="1"/>
  <c r="B1708" i="14"/>
  <c r="C1708" i="14" s="1"/>
  <c r="B1709" i="14"/>
  <c r="C1709" i="14" s="1"/>
  <c r="B1710" i="14"/>
  <c r="C1710" i="14" s="1"/>
  <c r="B1711" i="14"/>
  <c r="C1711" i="14" s="1"/>
  <c r="B1712" i="14"/>
  <c r="C1712" i="14" s="1"/>
  <c r="B1713" i="14"/>
  <c r="C1713" i="14" s="1"/>
  <c r="B1714" i="14"/>
  <c r="C1714" i="14" s="1"/>
  <c r="B1715" i="14"/>
  <c r="C1715" i="14" s="1"/>
  <c r="B1716" i="14"/>
  <c r="C1716" i="14" s="1"/>
  <c r="B1717" i="14"/>
  <c r="C1717" i="14" s="1"/>
  <c r="B1718" i="14"/>
  <c r="C1718" i="14" s="1"/>
  <c r="B1719" i="14"/>
  <c r="C1719" i="14" s="1"/>
  <c r="B1720" i="14"/>
  <c r="C1720" i="14" s="1"/>
  <c r="B1721" i="14"/>
  <c r="C1721" i="14" s="1"/>
  <c r="B1722" i="14"/>
  <c r="C1722" i="14" s="1"/>
  <c r="B1723" i="14"/>
  <c r="C1723" i="14" s="1"/>
  <c r="B1724" i="14"/>
  <c r="C1724" i="14" s="1"/>
  <c r="B1725" i="14"/>
  <c r="C1725" i="14" s="1"/>
  <c r="B1726" i="14"/>
  <c r="C1726" i="14" s="1"/>
  <c r="B1727" i="14"/>
  <c r="C1727" i="14" s="1"/>
  <c r="B1728" i="14"/>
  <c r="C1728" i="14" s="1"/>
  <c r="B1729" i="14"/>
  <c r="C1729" i="14" s="1"/>
  <c r="B1730" i="14"/>
  <c r="C1730" i="14" s="1"/>
  <c r="B1731" i="14"/>
  <c r="C1731" i="14" s="1"/>
  <c r="B1732" i="14"/>
  <c r="C1732" i="14" s="1"/>
  <c r="B1733" i="14"/>
  <c r="C1733" i="14" s="1"/>
  <c r="B1734" i="14"/>
  <c r="C1734" i="14" s="1"/>
  <c r="B1735" i="14"/>
  <c r="C1735" i="14" s="1"/>
  <c r="B1736" i="14"/>
  <c r="C1736" i="14" s="1"/>
  <c r="B1737" i="14"/>
  <c r="C1737" i="14" s="1"/>
  <c r="B1738" i="14"/>
  <c r="C1738" i="14" s="1"/>
  <c r="B1739" i="14"/>
  <c r="C1739" i="14" s="1"/>
  <c r="B1740" i="14"/>
  <c r="C1740" i="14" s="1"/>
  <c r="B1741" i="14"/>
  <c r="C1741" i="14" s="1"/>
  <c r="B1742" i="14"/>
  <c r="C1742" i="14" s="1"/>
  <c r="B1743" i="14"/>
  <c r="C1743" i="14" s="1"/>
  <c r="B1744" i="14"/>
  <c r="C1744" i="14" s="1"/>
  <c r="B1745" i="14"/>
  <c r="C1745" i="14" s="1"/>
  <c r="B1746" i="14"/>
  <c r="C1746" i="14" s="1"/>
  <c r="B1747" i="14"/>
  <c r="C1747" i="14" s="1"/>
  <c r="B1748" i="14"/>
  <c r="C1748" i="14" s="1"/>
  <c r="B1749" i="14"/>
  <c r="C1749" i="14" s="1"/>
  <c r="B1750" i="14"/>
  <c r="C1750" i="14" s="1"/>
  <c r="B1751" i="14"/>
  <c r="C1751" i="14" s="1"/>
  <c r="B1752" i="14"/>
  <c r="C1752" i="14" s="1"/>
  <c r="B1753" i="14"/>
  <c r="C1753" i="14" s="1"/>
  <c r="B1754" i="14"/>
  <c r="C1754" i="14" s="1"/>
  <c r="B1755" i="14"/>
  <c r="C1755" i="14" s="1"/>
  <c r="B1756" i="14"/>
  <c r="C1756" i="14" s="1"/>
  <c r="B1757" i="14"/>
  <c r="C1757" i="14" s="1"/>
  <c r="B1758" i="14"/>
  <c r="C1758" i="14" s="1"/>
  <c r="B1759" i="14"/>
  <c r="C1759" i="14" s="1"/>
  <c r="B1760" i="14"/>
  <c r="C1760" i="14" s="1"/>
  <c r="B1761" i="14"/>
  <c r="C1761" i="14" s="1"/>
  <c r="B1762" i="14"/>
  <c r="C1762" i="14" s="1"/>
  <c r="B1763" i="14"/>
  <c r="C1763" i="14" s="1"/>
  <c r="B1764" i="14"/>
  <c r="C1764" i="14" s="1"/>
  <c r="B1765" i="14"/>
  <c r="C1765" i="14" s="1"/>
  <c r="B1766" i="14"/>
  <c r="C1766" i="14" s="1"/>
  <c r="B1767" i="14"/>
  <c r="C1767" i="14" s="1"/>
  <c r="B1768" i="14"/>
  <c r="C1768" i="14" s="1"/>
  <c r="B1769" i="14"/>
  <c r="C1769" i="14" s="1"/>
  <c r="B1770" i="14"/>
  <c r="C1770" i="14" s="1"/>
  <c r="B1771" i="14"/>
  <c r="C1771" i="14" s="1"/>
  <c r="B1772" i="14"/>
  <c r="C1772" i="14" s="1"/>
  <c r="B1773" i="14"/>
  <c r="C1773" i="14" s="1"/>
  <c r="B1774" i="14"/>
  <c r="C1774" i="14" s="1"/>
  <c r="B1775" i="14"/>
  <c r="C1775" i="14" s="1"/>
  <c r="B1776" i="14"/>
  <c r="C1776" i="14" s="1"/>
  <c r="B1777" i="14"/>
  <c r="C1777" i="14" s="1"/>
  <c r="B1778" i="14"/>
  <c r="C1778" i="14" s="1"/>
  <c r="B1779" i="14"/>
  <c r="C1779" i="14" s="1"/>
  <c r="B1780" i="14"/>
  <c r="C1780" i="14" s="1"/>
  <c r="B1781" i="14"/>
  <c r="C1781" i="14" s="1"/>
  <c r="B1782" i="14"/>
  <c r="C1782" i="14" s="1"/>
  <c r="B1783" i="14"/>
  <c r="C1783" i="14" s="1"/>
  <c r="B1784" i="14"/>
  <c r="C1784" i="14" s="1"/>
  <c r="B1785" i="14"/>
  <c r="C1785" i="14" s="1"/>
  <c r="B1786" i="14"/>
  <c r="C1786" i="14" s="1"/>
  <c r="B1787" i="14"/>
  <c r="C1787" i="14" s="1"/>
  <c r="B1788" i="14"/>
  <c r="C1788" i="14" s="1"/>
  <c r="B1789" i="14"/>
  <c r="C1789" i="14" s="1"/>
  <c r="B1790" i="14"/>
  <c r="C1790" i="14" s="1"/>
  <c r="B1791" i="14"/>
  <c r="C1791" i="14" s="1"/>
  <c r="B1792" i="14"/>
  <c r="C1792" i="14" s="1"/>
  <c r="B1793" i="14"/>
  <c r="C1793" i="14" s="1"/>
  <c r="B1794" i="14"/>
  <c r="C1794" i="14" s="1"/>
  <c r="B1795" i="14"/>
  <c r="C1795" i="14" s="1"/>
  <c r="B1796" i="14"/>
  <c r="C1796" i="14" s="1"/>
  <c r="B1797" i="14"/>
  <c r="C1797" i="14" s="1"/>
  <c r="B1798" i="14"/>
  <c r="C1798" i="14" s="1"/>
  <c r="B1799" i="14"/>
  <c r="C1799" i="14" s="1"/>
  <c r="B1800" i="14"/>
  <c r="C1800" i="14" s="1"/>
  <c r="B1801" i="14"/>
  <c r="C1801" i="14" s="1"/>
  <c r="B1802" i="14"/>
  <c r="C1802" i="14" s="1"/>
  <c r="B1803" i="14"/>
  <c r="C1803" i="14" s="1"/>
  <c r="B1804" i="14"/>
  <c r="C1804" i="14" s="1"/>
  <c r="B1805" i="14"/>
  <c r="C1805" i="14" s="1"/>
  <c r="B1806" i="14"/>
  <c r="C1806" i="14" s="1"/>
  <c r="B1807" i="14"/>
  <c r="C1807" i="14" s="1"/>
  <c r="B1808" i="14"/>
  <c r="C1808" i="14" s="1"/>
  <c r="B1809" i="14"/>
  <c r="C1809" i="14" s="1"/>
  <c r="B1810" i="14"/>
  <c r="C1810" i="14" s="1"/>
  <c r="B1811" i="14"/>
  <c r="C1811" i="14" s="1"/>
  <c r="B1812" i="14"/>
  <c r="C1812" i="14" s="1"/>
  <c r="B1813" i="14"/>
  <c r="C1813" i="14" s="1"/>
  <c r="B1814" i="14"/>
  <c r="C1814" i="14" s="1"/>
  <c r="B1815" i="14"/>
  <c r="C1815" i="14" s="1"/>
  <c r="B1816" i="14"/>
  <c r="C1816" i="14" s="1"/>
  <c r="B1817" i="14"/>
  <c r="C1817" i="14" s="1"/>
  <c r="B1818" i="14"/>
  <c r="C1818" i="14" s="1"/>
  <c r="B1819" i="14"/>
  <c r="C1819" i="14" s="1"/>
  <c r="B1820" i="14"/>
  <c r="C1820" i="14" s="1"/>
  <c r="B1821" i="14"/>
  <c r="C1821" i="14" s="1"/>
  <c r="B1822" i="14"/>
  <c r="C1822" i="14" s="1"/>
  <c r="B1823" i="14"/>
  <c r="C1823" i="14" s="1"/>
  <c r="B1824" i="14"/>
  <c r="C1824" i="14" s="1"/>
  <c r="B1825" i="14"/>
  <c r="C1825" i="14" s="1"/>
  <c r="B1826" i="14"/>
  <c r="C1826" i="14" s="1"/>
  <c r="B1827" i="14"/>
  <c r="C1827" i="14" s="1"/>
  <c r="B1828" i="14"/>
  <c r="C1828" i="14" s="1"/>
  <c r="B1829" i="14"/>
  <c r="C1829" i="14" s="1"/>
  <c r="B1830" i="14"/>
  <c r="C1830" i="14" s="1"/>
  <c r="B1831" i="14"/>
  <c r="C1831" i="14" s="1"/>
  <c r="B1832" i="14"/>
  <c r="C1832" i="14" s="1"/>
  <c r="B1833" i="14"/>
  <c r="C1833" i="14" s="1"/>
  <c r="B1834" i="14"/>
  <c r="C1834" i="14" s="1"/>
  <c r="B1835" i="14"/>
  <c r="C1835" i="14" s="1"/>
  <c r="B1836" i="14"/>
  <c r="C1836" i="14" s="1"/>
  <c r="B1837" i="14"/>
  <c r="C1837" i="14" s="1"/>
  <c r="B1838" i="14"/>
  <c r="C1838" i="14" s="1"/>
  <c r="B1839" i="14"/>
  <c r="C1839" i="14" s="1"/>
  <c r="B1840" i="14"/>
  <c r="C1840" i="14" s="1"/>
  <c r="B1841" i="14"/>
  <c r="C1841" i="14" s="1"/>
  <c r="B1842" i="14"/>
  <c r="C1842" i="14" s="1"/>
  <c r="B1843" i="14"/>
  <c r="C1843" i="14" s="1"/>
  <c r="B1844" i="14"/>
  <c r="C1844" i="14" s="1"/>
  <c r="B1845" i="14"/>
  <c r="C1845" i="14" s="1"/>
  <c r="B1846" i="14"/>
  <c r="C1846" i="14" s="1"/>
  <c r="B1847" i="14"/>
  <c r="C1847" i="14" s="1"/>
  <c r="B1848" i="14"/>
  <c r="C1848" i="14" s="1"/>
  <c r="B1849" i="14"/>
  <c r="C1849" i="14" s="1"/>
  <c r="B1850" i="14"/>
  <c r="C1850" i="14" s="1"/>
  <c r="B1851" i="14"/>
  <c r="C1851" i="14" s="1"/>
  <c r="B1852" i="14"/>
  <c r="C1852" i="14" s="1"/>
  <c r="B1853" i="14"/>
  <c r="C1853" i="14" s="1"/>
  <c r="B1854" i="14"/>
  <c r="C1854" i="14" s="1"/>
  <c r="B1855" i="14"/>
  <c r="C1855" i="14" s="1"/>
  <c r="B1856" i="14"/>
  <c r="C1856" i="14" s="1"/>
  <c r="B1857" i="14"/>
  <c r="C1857" i="14" s="1"/>
  <c r="B1858" i="14"/>
  <c r="C1858" i="14" s="1"/>
  <c r="B1859" i="14"/>
  <c r="C1859" i="14" s="1"/>
  <c r="B1860" i="14"/>
  <c r="C1860" i="14" s="1"/>
  <c r="B1861" i="14"/>
  <c r="C1861" i="14" s="1"/>
  <c r="B1862" i="14"/>
  <c r="C1862" i="14" s="1"/>
  <c r="B1863" i="14"/>
  <c r="C1863" i="14" s="1"/>
  <c r="B1864" i="14"/>
  <c r="C1864" i="14" s="1"/>
  <c r="B1865" i="14"/>
  <c r="C1865" i="14" s="1"/>
  <c r="B1866" i="14"/>
  <c r="C1866" i="14" s="1"/>
  <c r="B1867" i="14"/>
  <c r="C1867" i="14" s="1"/>
  <c r="B1868" i="14"/>
  <c r="C1868" i="14" s="1"/>
  <c r="B1869" i="14"/>
  <c r="C1869" i="14" s="1"/>
  <c r="B1870" i="14"/>
  <c r="C1870" i="14" s="1"/>
  <c r="B1871" i="14"/>
  <c r="C1871" i="14" s="1"/>
  <c r="B1872" i="14"/>
  <c r="C1872" i="14" s="1"/>
  <c r="B1873" i="14"/>
  <c r="C1873" i="14" s="1"/>
  <c r="B1874" i="14"/>
  <c r="C1874" i="14" s="1"/>
  <c r="B1875" i="14"/>
  <c r="C1875" i="14" s="1"/>
  <c r="B1876" i="14"/>
  <c r="C1876" i="14" s="1"/>
  <c r="B1877" i="14"/>
  <c r="C1877" i="14" s="1"/>
  <c r="B1878" i="14"/>
  <c r="C1878" i="14" s="1"/>
  <c r="B1879" i="14"/>
  <c r="C1879" i="14" s="1"/>
  <c r="B1880" i="14"/>
  <c r="C1880" i="14" s="1"/>
  <c r="B1881" i="14"/>
  <c r="C1881" i="14" s="1"/>
  <c r="B1882" i="14"/>
  <c r="C1882" i="14" s="1"/>
  <c r="B1883" i="14"/>
  <c r="C1883" i="14" s="1"/>
  <c r="B1884" i="14"/>
  <c r="C1884" i="14" s="1"/>
  <c r="B1885" i="14"/>
  <c r="C1885" i="14" s="1"/>
  <c r="B1886" i="14"/>
  <c r="C1886" i="14" s="1"/>
  <c r="B1887" i="14"/>
  <c r="C1887" i="14" s="1"/>
  <c r="B1888" i="14"/>
  <c r="C1888" i="14" s="1"/>
  <c r="B1889" i="14"/>
  <c r="C1889" i="14" s="1"/>
  <c r="B1890" i="14"/>
  <c r="C1890" i="14" s="1"/>
  <c r="B1891" i="14"/>
  <c r="C1891" i="14" s="1"/>
  <c r="B1892" i="14"/>
  <c r="C1892" i="14" s="1"/>
  <c r="B1893" i="14"/>
  <c r="C1893" i="14" s="1"/>
  <c r="B1894" i="14"/>
  <c r="C1894" i="14" s="1"/>
  <c r="B1895" i="14"/>
  <c r="C1895" i="14" s="1"/>
  <c r="B1896" i="14"/>
  <c r="C1896" i="14" s="1"/>
  <c r="B1897" i="14"/>
  <c r="C1897" i="14" s="1"/>
  <c r="B1898" i="14"/>
  <c r="C1898" i="14" s="1"/>
  <c r="B1899" i="14"/>
  <c r="C1899" i="14" s="1"/>
  <c r="B1900" i="14"/>
  <c r="C1900" i="14" s="1"/>
  <c r="B1901" i="14"/>
  <c r="C1901" i="14" s="1"/>
  <c r="B1902" i="14"/>
  <c r="C1902" i="14" s="1"/>
  <c r="B1903" i="14"/>
  <c r="C1903" i="14" s="1"/>
  <c r="B1904" i="14"/>
  <c r="C1904" i="14" s="1"/>
  <c r="B1905" i="14"/>
  <c r="C1905" i="14" s="1"/>
  <c r="B1906" i="14"/>
  <c r="C1906" i="14" s="1"/>
  <c r="B1907" i="14"/>
  <c r="C1907" i="14" s="1"/>
  <c r="B1908" i="14"/>
  <c r="C1908" i="14" s="1"/>
  <c r="B1909" i="14"/>
  <c r="C1909" i="14" s="1"/>
  <c r="B1910" i="14"/>
  <c r="C1910" i="14" s="1"/>
  <c r="B1911" i="14"/>
  <c r="C1911" i="14" s="1"/>
  <c r="B1912" i="14"/>
  <c r="C1912" i="14" s="1"/>
  <c r="B1913" i="14"/>
  <c r="C1913" i="14" s="1"/>
  <c r="B1914" i="14"/>
  <c r="C1914" i="14" s="1"/>
  <c r="B1915" i="14"/>
  <c r="C1915" i="14" s="1"/>
  <c r="B1916" i="14"/>
  <c r="C1916" i="14" s="1"/>
  <c r="B1917" i="14"/>
  <c r="C1917" i="14" s="1"/>
  <c r="B1918" i="14"/>
  <c r="C1918" i="14" s="1"/>
  <c r="B1919" i="14"/>
  <c r="C1919" i="14" s="1"/>
  <c r="B1920" i="14"/>
  <c r="C1920" i="14" s="1"/>
  <c r="B1921" i="14"/>
  <c r="C1921" i="14" s="1"/>
  <c r="B1922" i="14"/>
  <c r="C1922" i="14" s="1"/>
  <c r="B1923" i="14"/>
  <c r="C1923" i="14" s="1"/>
  <c r="B1924" i="14"/>
  <c r="C1924" i="14" s="1"/>
  <c r="B1925" i="14"/>
  <c r="C1925" i="14" s="1"/>
  <c r="B1926" i="14"/>
  <c r="C1926" i="14" s="1"/>
  <c r="B1927" i="14"/>
  <c r="C1927" i="14" s="1"/>
  <c r="B1928" i="14"/>
  <c r="C1928" i="14" s="1"/>
  <c r="B1929" i="14"/>
  <c r="C1929" i="14" s="1"/>
  <c r="B1930" i="14"/>
  <c r="C1930" i="14" s="1"/>
  <c r="B1931" i="14"/>
  <c r="C1931" i="14" s="1"/>
  <c r="B1932" i="14"/>
  <c r="C1932" i="14" s="1"/>
  <c r="B1933" i="14"/>
  <c r="C1933" i="14" s="1"/>
  <c r="B1934" i="14"/>
  <c r="C1934" i="14" s="1"/>
  <c r="B1935" i="14"/>
  <c r="C1935" i="14" s="1"/>
  <c r="B1936" i="14"/>
  <c r="C1936" i="14" s="1"/>
  <c r="B1937" i="14"/>
  <c r="C1937" i="14" s="1"/>
  <c r="B1938" i="14"/>
  <c r="C1938" i="14" s="1"/>
  <c r="B1939" i="14"/>
  <c r="C1939" i="14" s="1"/>
  <c r="B1940" i="14"/>
  <c r="C1940" i="14" s="1"/>
  <c r="B1941" i="14"/>
  <c r="C1941" i="14" s="1"/>
  <c r="B1942" i="14"/>
  <c r="C1942" i="14" s="1"/>
  <c r="B1943" i="14"/>
  <c r="C1943" i="14" s="1"/>
  <c r="B1944" i="14"/>
  <c r="C1944" i="14" s="1"/>
  <c r="B1945" i="14"/>
  <c r="C1945" i="14" s="1"/>
  <c r="B1946" i="14"/>
  <c r="C1946" i="14" s="1"/>
  <c r="B1947" i="14"/>
  <c r="C1947" i="14" s="1"/>
  <c r="B1948" i="14"/>
  <c r="C1948" i="14" s="1"/>
  <c r="B1949" i="14"/>
  <c r="C1949" i="14" s="1"/>
  <c r="B1950" i="14"/>
  <c r="C1950" i="14" s="1"/>
  <c r="B1951" i="14"/>
  <c r="C1951" i="14" s="1"/>
  <c r="B1952" i="14"/>
  <c r="C1952" i="14" s="1"/>
  <c r="B1953" i="14"/>
  <c r="C1953" i="14" s="1"/>
  <c r="B1954" i="14"/>
  <c r="C1954" i="14" s="1"/>
  <c r="B1955" i="14"/>
  <c r="C1955" i="14" s="1"/>
  <c r="B1956" i="14"/>
  <c r="C1956" i="14" s="1"/>
  <c r="B1957" i="14"/>
  <c r="C1957" i="14" s="1"/>
  <c r="B1958" i="14"/>
  <c r="C1958" i="14" s="1"/>
  <c r="B1959" i="14"/>
  <c r="C1959" i="14" s="1"/>
  <c r="B1960" i="14"/>
  <c r="C1960" i="14" s="1"/>
  <c r="B1961" i="14"/>
  <c r="C1961" i="14" s="1"/>
  <c r="B1962" i="14"/>
  <c r="C1962" i="14" s="1"/>
  <c r="B1963" i="14"/>
  <c r="C1963" i="14" s="1"/>
  <c r="B1964" i="14"/>
  <c r="C1964" i="14" s="1"/>
  <c r="B1965" i="14"/>
  <c r="C1965" i="14" s="1"/>
  <c r="B1966" i="14"/>
  <c r="C1966" i="14" s="1"/>
  <c r="B1967" i="14"/>
  <c r="C1967" i="14" s="1"/>
  <c r="B1968" i="14"/>
  <c r="C1968" i="14" s="1"/>
  <c r="B1969" i="14"/>
  <c r="C1969" i="14" s="1"/>
  <c r="B1970" i="14"/>
  <c r="C1970" i="14" s="1"/>
  <c r="B1971" i="14"/>
  <c r="C1971" i="14" s="1"/>
  <c r="B1972" i="14"/>
  <c r="C1972" i="14" s="1"/>
  <c r="B1973" i="14"/>
  <c r="C1973" i="14" s="1"/>
  <c r="B1974" i="14"/>
  <c r="C1974" i="14" s="1"/>
  <c r="B1975" i="14"/>
  <c r="C1975" i="14" s="1"/>
  <c r="B1976" i="14"/>
  <c r="C1976" i="14" s="1"/>
  <c r="B1977" i="14"/>
  <c r="C1977" i="14" s="1"/>
  <c r="B1978" i="14"/>
  <c r="C1978" i="14" s="1"/>
  <c r="B1979" i="14"/>
  <c r="C1979" i="14" s="1"/>
  <c r="B1980" i="14"/>
  <c r="C1980" i="14" s="1"/>
  <c r="B1981" i="14"/>
  <c r="C1981" i="14" s="1"/>
  <c r="B1982" i="14"/>
  <c r="C1982" i="14" s="1"/>
  <c r="B1983" i="14"/>
  <c r="C1983" i="14" s="1"/>
  <c r="B1984" i="14"/>
  <c r="C1984" i="14" s="1"/>
  <c r="B1985" i="14"/>
  <c r="C1985" i="14" s="1"/>
  <c r="B1986" i="14"/>
  <c r="C1986" i="14" s="1"/>
  <c r="B1987" i="14"/>
  <c r="C1987" i="14" s="1"/>
  <c r="B1988" i="14"/>
  <c r="C1988" i="14" s="1"/>
  <c r="B1989" i="14"/>
  <c r="C1989" i="14" s="1"/>
  <c r="B1990" i="14"/>
  <c r="C1990" i="14" s="1"/>
  <c r="B1991" i="14"/>
  <c r="C1991" i="14" s="1"/>
  <c r="B1992" i="14"/>
  <c r="C1992" i="14" s="1"/>
  <c r="B1993" i="14"/>
  <c r="C1993" i="14" s="1"/>
  <c r="B1994" i="14"/>
  <c r="C1994" i="14" s="1"/>
  <c r="B1995" i="14"/>
  <c r="C1995" i="14" s="1"/>
  <c r="B1996" i="14"/>
  <c r="C1996" i="14" s="1"/>
  <c r="B1997" i="14"/>
  <c r="C1997" i="14" s="1"/>
  <c r="B1998" i="14"/>
  <c r="C1998" i="14" s="1"/>
  <c r="B1999" i="14"/>
  <c r="C1999" i="14" s="1"/>
  <c r="B2000" i="14"/>
  <c r="C2000" i="14" s="1"/>
  <c r="D2" i="14"/>
  <c r="B4" i="14"/>
  <c r="C4" i="14" s="1"/>
  <c r="B5" i="14"/>
  <c r="C5" i="14" s="1"/>
  <c r="B6" i="14"/>
  <c r="C6" i="14" s="1"/>
  <c r="B3" i="14"/>
  <c r="C3" i="14" s="1"/>
  <c r="D472" i="17" l="1"/>
  <c r="D23" i="17"/>
  <c r="D66" i="17"/>
  <c r="D114" i="17"/>
  <c r="D42" i="17"/>
  <c r="D146" i="17"/>
  <c r="D422" i="17"/>
  <c r="D502" i="17"/>
  <c r="D82" i="17"/>
  <c r="D106" i="17"/>
  <c r="D138" i="17"/>
  <c r="D465" i="17"/>
  <c r="D175" i="17"/>
  <c r="D135" i="17"/>
  <c r="D103" i="17"/>
  <c r="D55" i="17"/>
  <c r="D47" i="17"/>
  <c r="D31" i="17"/>
  <c r="D151" i="17"/>
  <c r="D127" i="17"/>
  <c r="D111" i="17"/>
  <c r="D95" i="17"/>
  <c r="D87" i="17"/>
  <c r="D79" i="17"/>
  <c r="D71" i="17"/>
  <c r="D63" i="17"/>
  <c r="D633" i="17"/>
  <c r="D485" i="17"/>
  <c r="D445" i="17"/>
  <c r="D401" i="17"/>
  <c r="D374" i="17"/>
  <c r="D350" i="17"/>
  <c r="D329" i="17"/>
  <c r="D305" i="17"/>
  <c r="D159" i="17"/>
  <c r="D39" i="17"/>
  <c r="D167" i="17"/>
  <c r="D143" i="17"/>
  <c r="D119" i="17"/>
  <c r="D15" i="17"/>
  <c r="D10" i="17"/>
  <c r="D34" i="17"/>
  <c r="D58" i="17"/>
  <c r="D170" i="17"/>
  <c r="D377" i="17"/>
  <c r="D18" i="17"/>
  <c r="D98" i="17"/>
  <c r="D130" i="17"/>
  <c r="D1155" i="17"/>
  <c r="D26" i="17"/>
  <c r="D74" i="17"/>
  <c r="D162" i="17"/>
  <c r="D289" i="17"/>
  <c r="D90" i="17"/>
  <c r="D154" i="17"/>
  <c r="D318" i="17"/>
  <c r="D7" i="17"/>
  <c r="D50" i="17"/>
  <c r="D122" i="17"/>
  <c r="D5" i="17"/>
  <c r="D13" i="17"/>
  <c r="D21" i="17"/>
  <c r="D29" i="17"/>
  <c r="D37" i="17"/>
  <c r="D45" i="17"/>
  <c r="D53" i="17"/>
  <c r="D61" i="17"/>
  <c r="D69" i="17"/>
  <c r="D77" i="17"/>
  <c r="D85" i="17"/>
  <c r="D93" i="17"/>
  <c r="D101" i="17"/>
  <c r="D109" i="17"/>
  <c r="D117" i="17"/>
  <c r="D125" i="17"/>
  <c r="D133" i="17"/>
  <c r="D141" i="17"/>
  <c r="D149" i="17"/>
  <c r="D157" i="17"/>
  <c r="D165" i="17"/>
  <c r="D173" i="17"/>
  <c r="D177" i="17"/>
  <c r="D185" i="17"/>
  <c r="D193" i="17"/>
  <c r="D201" i="17"/>
  <c r="D209" i="17"/>
  <c r="D217" i="17"/>
  <c r="D225" i="17"/>
  <c r="D233" i="17"/>
  <c r="D241" i="17"/>
  <c r="D249" i="17"/>
  <c r="D257" i="17"/>
  <c r="D265" i="17"/>
  <c r="D273" i="17"/>
  <c r="D281" i="17"/>
  <c r="D297" i="17"/>
  <c r="D321" i="17"/>
  <c r="D342" i="17"/>
  <c r="D353" i="17"/>
  <c r="D390" i="17"/>
  <c r="D429" i="17"/>
  <c r="D488" i="17"/>
  <c r="D493" i="17"/>
  <c r="D1035" i="17"/>
  <c r="D4" i="17"/>
  <c r="D12" i="17"/>
  <c r="D20" i="17"/>
  <c r="D28" i="17"/>
  <c r="D36" i="17"/>
  <c r="D44" i="17"/>
  <c r="D52" i="17"/>
  <c r="D60" i="17"/>
  <c r="D68" i="17"/>
  <c r="D76" i="17"/>
  <c r="D84" i="17"/>
  <c r="D92" i="17"/>
  <c r="D100" i="17"/>
  <c r="D108" i="17"/>
  <c r="D116" i="17"/>
  <c r="D124" i="17"/>
  <c r="D132" i="17"/>
  <c r="D140" i="17"/>
  <c r="D148" i="17"/>
  <c r="D156" i="17"/>
  <c r="D164" i="17"/>
  <c r="D172" i="17"/>
  <c r="D178" i="17"/>
  <c r="D186" i="17"/>
  <c r="D194" i="17"/>
  <c r="D202" i="17"/>
  <c r="D210" i="17"/>
  <c r="D218" i="17"/>
  <c r="D226" i="17"/>
  <c r="D234" i="17"/>
  <c r="D242" i="17"/>
  <c r="D250" i="17"/>
  <c r="D258" i="17"/>
  <c r="D266" i="17"/>
  <c r="D274" i="17"/>
  <c r="D282" i="17"/>
  <c r="D361" i="17"/>
  <c r="D398" i="17"/>
  <c r="D477" i="17"/>
  <c r="D9" i="17"/>
  <c r="D17" i="17"/>
  <c r="D25" i="17"/>
  <c r="D33" i="17"/>
  <c r="D41" i="17"/>
  <c r="D49" i="17"/>
  <c r="D57" i="17"/>
  <c r="D65" i="17"/>
  <c r="D73" i="17"/>
  <c r="D81" i="17"/>
  <c r="D89" i="17"/>
  <c r="D97" i="17"/>
  <c r="D105" i="17"/>
  <c r="D113" i="17"/>
  <c r="D121" i="17"/>
  <c r="D129" i="17"/>
  <c r="D137" i="17"/>
  <c r="D145" i="17"/>
  <c r="D153" i="17"/>
  <c r="D161" i="17"/>
  <c r="D169" i="17"/>
  <c r="D290" i="17"/>
  <c r="D302" i="17"/>
  <c r="D326" i="17"/>
  <c r="D337" i="17"/>
  <c r="D358" i="17"/>
  <c r="D385" i="17"/>
  <c r="D413" i="17"/>
  <c r="D450" i="17"/>
  <c r="D560" i="17"/>
  <c r="D690" i="17"/>
  <c r="D1994" i="17"/>
  <c r="D1986" i="17"/>
  <c r="D1978" i="17"/>
  <c r="D1970" i="17"/>
  <c r="D1962" i="17"/>
  <c r="D1954" i="17"/>
  <c r="D1946" i="17"/>
  <c r="D1938" i="17"/>
  <c r="D1930" i="17"/>
  <c r="D1922" i="17"/>
  <c r="D1914" i="17"/>
  <c r="D1906" i="17"/>
  <c r="D1898" i="17"/>
  <c r="D1890" i="17"/>
  <c r="D1882" i="17"/>
  <c r="D1874" i="17"/>
  <c r="D1866" i="17"/>
  <c r="D1997" i="17"/>
  <c r="D1989" i="17"/>
  <c r="D1981" i="17"/>
  <c r="D1973" i="17"/>
  <c r="D1965" i="17"/>
  <c r="D1957" i="17"/>
  <c r="D1949" i="17"/>
  <c r="D1941" i="17"/>
  <c r="D1933" i="17"/>
  <c r="D1925" i="17"/>
  <c r="D1917" i="17"/>
  <c r="D1909" i="17"/>
  <c r="D1901" i="17"/>
  <c r="D1893" i="17"/>
  <c r="D1885" i="17"/>
  <c r="D1877" i="17"/>
  <c r="D2000" i="17"/>
  <c r="D1992" i="17"/>
  <c r="D1984" i="17"/>
  <c r="D1976" i="17"/>
  <c r="D1968" i="17"/>
  <c r="D1960" i="17"/>
  <c r="D1952" i="17"/>
  <c r="D1944" i="17"/>
  <c r="D1936" i="17"/>
  <c r="D1928" i="17"/>
  <c r="D1920" i="17"/>
  <c r="D1912" i="17"/>
  <c r="D1904" i="17"/>
  <c r="D1896" i="17"/>
  <c r="D1888" i="17"/>
  <c r="D1880" i="17"/>
  <c r="D1872" i="17"/>
  <c r="D1864" i="17"/>
  <c r="D1856" i="17"/>
  <c r="D1995" i="17"/>
  <c r="D1987" i="17"/>
  <c r="D1979" i="17"/>
  <c r="D1971" i="17"/>
  <c r="D1963" i="17"/>
  <c r="D1955" i="17"/>
  <c r="D1947" i="17"/>
  <c r="D1939" i="17"/>
  <c r="D1931" i="17"/>
  <c r="D1923" i="17"/>
  <c r="D1915" i="17"/>
  <c r="D1907" i="17"/>
  <c r="D1899" i="17"/>
  <c r="D1891" i="17"/>
  <c r="D1883" i="17"/>
  <c r="D1875" i="17"/>
  <c r="D1998" i="17"/>
  <c r="D1990" i="17"/>
  <c r="D1982" i="17"/>
  <c r="D1974" i="17"/>
  <c r="D1966" i="17"/>
  <c r="D1958" i="17"/>
  <c r="D1950" i="17"/>
  <c r="D1942" i="17"/>
  <c r="D1934" i="17"/>
  <c r="D1926" i="17"/>
  <c r="D1918" i="17"/>
  <c r="D1910" i="17"/>
  <c r="D1902" i="17"/>
  <c r="D1894" i="17"/>
  <c r="D1993" i="17"/>
  <c r="D1985" i="17"/>
  <c r="D1977" i="17"/>
  <c r="D1969" i="17"/>
  <c r="D1961" i="17"/>
  <c r="D1953" i="17"/>
  <c r="D1945" i="17"/>
  <c r="D1937" i="17"/>
  <c r="D1929" i="17"/>
  <c r="D1921" i="17"/>
  <c r="D1913" i="17"/>
  <c r="D1905" i="17"/>
  <c r="D1897" i="17"/>
  <c r="D1889" i="17"/>
  <c r="D1881" i="17"/>
  <c r="D1873" i="17"/>
  <c r="D1865" i="17"/>
  <c r="D1857" i="17"/>
  <c r="D1849" i="17"/>
  <c r="D1841" i="17"/>
  <c r="D1833" i="17"/>
  <c r="D1999" i="17"/>
  <c r="D1991" i="17"/>
  <c r="D1983" i="17"/>
  <c r="D1975" i="17"/>
  <c r="D1967" i="17"/>
  <c r="D1959" i="17"/>
  <c r="D1951" i="17"/>
  <c r="D1943" i="17"/>
  <c r="D1935" i="17"/>
  <c r="D1927" i="17"/>
  <c r="D1919" i="17"/>
  <c r="D1911" i="17"/>
  <c r="D1903" i="17"/>
  <c r="D1956" i="17"/>
  <c r="D1869" i="17"/>
  <c r="D1858" i="17"/>
  <c r="D1854" i="17"/>
  <c r="D1850" i="17"/>
  <c r="D1834" i="17"/>
  <c r="D1824" i="17"/>
  <c r="D1816" i="17"/>
  <c r="D1808" i="17"/>
  <c r="D1800" i="17"/>
  <c r="D1792" i="17"/>
  <c r="D1784" i="17"/>
  <c r="D1776" i="17"/>
  <c r="D1768" i="17"/>
  <c r="D1964" i="17"/>
  <c r="D1900" i="17"/>
  <c r="D1886" i="17"/>
  <c r="D1862" i="17"/>
  <c r="D1848" i="17"/>
  <c r="D1839" i="17"/>
  <c r="D1832" i="17"/>
  <c r="D1827" i="17"/>
  <c r="D1819" i="17"/>
  <c r="D1811" i="17"/>
  <c r="D1803" i="17"/>
  <c r="D1972" i="17"/>
  <c r="D1908" i="17"/>
  <c r="D1892" i="17"/>
  <c r="D1871" i="17"/>
  <c r="D1846" i="17"/>
  <c r="D1844" i="17"/>
  <c r="D1837" i="17"/>
  <c r="D1830" i="17"/>
  <c r="D1822" i="17"/>
  <c r="D1814" i="17"/>
  <c r="D1806" i="17"/>
  <c r="D1980" i="17"/>
  <c r="D1916" i="17"/>
  <c r="D1876" i="17"/>
  <c r="D1868" i="17"/>
  <c r="D1859" i="17"/>
  <c r="D1851" i="17"/>
  <c r="D1835" i="17"/>
  <c r="D1825" i="17"/>
  <c r="D1817" i="17"/>
  <c r="D1809" i="17"/>
  <c r="D1801" i="17"/>
  <c r="D1793" i="17"/>
  <c r="D1785" i="17"/>
  <c r="D1777" i="17"/>
  <c r="D1769" i="17"/>
  <c r="D1761" i="17"/>
  <c r="D1753" i="17"/>
  <c r="D1745" i="17"/>
  <c r="D1988" i="17"/>
  <c r="D1924" i="17"/>
  <c r="D1879" i="17"/>
  <c r="D1861" i="17"/>
  <c r="D1855" i="17"/>
  <c r="D1853" i="17"/>
  <c r="D1842" i="17"/>
  <c r="D1828" i="17"/>
  <c r="D1820" i="17"/>
  <c r="D1812" i="17"/>
  <c r="D1804" i="17"/>
  <c r="D1796" i="17"/>
  <c r="D1788" i="17"/>
  <c r="D1780" i="17"/>
  <c r="D1772" i="17"/>
  <c r="D1996" i="17"/>
  <c r="D1932" i="17"/>
  <c r="D1895" i="17"/>
  <c r="D1870" i="17"/>
  <c r="D1847" i="17"/>
  <c r="D1840" i="17"/>
  <c r="D1831" i="17"/>
  <c r="D1823" i="17"/>
  <c r="D1815" i="17"/>
  <c r="D1807" i="17"/>
  <c r="D1799" i="17"/>
  <c r="D1791" i="17"/>
  <c r="D1783" i="17"/>
  <c r="D1775" i="17"/>
  <c r="D1767" i="17"/>
  <c r="D1759" i="17"/>
  <c r="D1751" i="17"/>
  <c r="D1743" i="17"/>
  <c r="D1735" i="17"/>
  <c r="D1727" i="17"/>
  <c r="D1719" i="17"/>
  <c r="D1711" i="17"/>
  <c r="D1948" i="17"/>
  <c r="D1887" i="17"/>
  <c r="D1867" i="17"/>
  <c r="D1860" i="17"/>
  <c r="D1852" i="17"/>
  <c r="D1843" i="17"/>
  <c r="D1829" i="17"/>
  <c r="D1821" i="17"/>
  <c r="D1813" i="17"/>
  <c r="D1805" i="17"/>
  <c r="D1797" i="17"/>
  <c r="D1789" i="17"/>
  <c r="D1781" i="17"/>
  <c r="D1773" i="17"/>
  <c r="D1765" i="17"/>
  <c r="D1757" i="17"/>
  <c r="D1749" i="17"/>
  <c r="D1741" i="17"/>
  <c r="D1733" i="17"/>
  <c r="D1725" i="17"/>
  <c r="D1717" i="17"/>
  <c r="D1836" i="17"/>
  <c r="D1782" i="17"/>
  <c r="D1752" i="17"/>
  <c r="D1750" i="17"/>
  <c r="D1704" i="17"/>
  <c r="D1884" i="17"/>
  <c r="D1845" i="17"/>
  <c r="D1826" i="17"/>
  <c r="D1787" i="17"/>
  <c r="D1778" i="17"/>
  <c r="D1763" i="17"/>
  <c r="D1754" i="17"/>
  <c r="D1747" i="17"/>
  <c r="D1738" i="17"/>
  <c r="D1736" i="17"/>
  <c r="D1730" i="17"/>
  <c r="D1728" i="17"/>
  <c r="D1722" i="17"/>
  <c r="D1720" i="17"/>
  <c r="D1714" i="17"/>
  <c r="D1712" i="17"/>
  <c r="D1940" i="17"/>
  <c r="D1766" i="17"/>
  <c r="D1756" i="17"/>
  <c r="D1740" i="17"/>
  <c r="D1734" i="17"/>
  <c r="D1732" i="17"/>
  <c r="D1726" i="17"/>
  <c r="D1724" i="17"/>
  <c r="D1718" i="17"/>
  <c r="D1716" i="17"/>
  <c r="D1710" i="17"/>
  <c r="D1702" i="17"/>
  <c r="D1694" i="17"/>
  <c r="D1686" i="17"/>
  <c r="D1678" i="17"/>
  <c r="D1670" i="17"/>
  <c r="D1662" i="17"/>
  <c r="D1654" i="17"/>
  <c r="D1646" i="17"/>
  <c r="D1638" i="17"/>
  <c r="D1630" i="17"/>
  <c r="D1622" i="17"/>
  <c r="D1614" i="17"/>
  <c r="D1606" i="17"/>
  <c r="D1598" i="17"/>
  <c r="D1590" i="17"/>
  <c r="D1878" i="17"/>
  <c r="D1863" i="17"/>
  <c r="D1802" i="17"/>
  <c r="D1790" i="17"/>
  <c r="D1771" i="17"/>
  <c r="D1705" i="17"/>
  <c r="D1697" i="17"/>
  <c r="D1689" i="17"/>
  <c r="D1681" i="17"/>
  <c r="D1673" i="17"/>
  <c r="D1665" i="17"/>
  <c r="D1657" i="17"/>
  <c r="D1649" i="17"/>
  <c r="D1641" i="17"/>
  <c r="D1633" i="17"/>
  <c r="D1795" i="17"/>
  <c r="D1786" i="17"/>
  <c r="D1760" i="17"/>
  <c r="D1758" i="17"/>
  <c r="D1744" i="17"/>
  <c r="D1742" i="17"/>
  <c r="D1708" i="17"/>
  <c r="D1838" i="17"/>
  <c r="D1810" i="17"/>
  <c r="D1774" i="17"/>
  <c r="D1762" i="17"/>
  <c r="D1755" i="17"/>
  <c r="D1746" i="17"/>
  <c r="D1739" i="17"/>
  <c r="D1737" i="17"/>
  <c r="D1731" i="17"/>
  <c r="D1729" i="17"/>
  <c r="D1723" i="17"/>
  <c r="D1721" i="17"/>
  <c r="D1715" i="17"/>
  <c r="D1713" i="17"/>
  <c r="D1703" i="17"/>
  <c r="D1695" i="17"/>
  <c r="D1687" i="17"/>
  <c r="D1798" i="17"/>
  <c r="D1779" i="17"/>
  <c r="D1770" i="17"/>
  <c r="D1748" i="17"/>
  <c r="D1706" i="17"/>
  <c r="D1698" i="17"/>
  <c r="D1690" i="17"/>
  <c r="D1682" i="17"/>
  <c r="D1674" i="17"/>
  <c r="D1666" i="17"/>
  <c r="D1658" i="17"/>
  <c r="D1650" i="17"/>
  <c r="D1642" i="17"/>
  <c r="D1634" i="17"/>
  <c r="D1626" i="17"/>
  <c r="D1618" i="17"/>
  <c r="D1610" i="17"/>
  <c r="D1602" i="17"/>
  <c r="D1594" i="17"/>
  <c r="D1818" i="17"/>
  <c r="D1709" i="17"/>
  <c r="D1582" i="17"/>
  <c r="D1574" i="17"/>
  <c r="D1566" i="17"/>
  <c r="D1558" i="17"/>
  <c r="D1550" i="17"/>
  <c r="D1542" i="17"/>
  <c r="D1534" i="17"/>
  <c r="D1679" i="17"/>
  <c r="D1672" i="17"/>
  <c r="D1663" i="17"/>
  <c r="D1656" i="17"/>
  <c r="D1647" i="17"/>
  <c r="D1640" i="17"/>
  <c r="D1631" i="17"/>
  <c r="D1585" i="17"/>
  <c r="D1577" i="17"/>
  <c r="D1569" i="17"/>
  <c r="D1561" i="17"/>
  <c r="D1553" i="17"/>
  <c r="D1545" i="17"/>
  <c r="D1537" i="17"/>
  <c r="D1529" i="17"/>
  <c r="D1521" i="17"/>
  <c r="D1513" i="17"/>
  <c r="D1505" i="17"/>
  <c r="D1701" i="17"/>
  <c r="D1699" i="17"/>
  <c r="D1676" i="17"/>
  <c r="D1660" i="17"/>
  <c r="D1644" i="17"/>
  <c r="D1628" i="17"/>
  <c r="D1624" i="17"/>
  <c r="D1620" i="17"/>
  <c r="D1616" i="17"/>
  <c r="D1612" i="17"/>
  <c r="D1608" i="17"/>
  <c r="D1604" i="17"/>
  <c r="D1600" i="17"/>
  <c r="D1596" i="17"/>
  <c r="D1592" i="17"/>
  <c r="D1588" i="17"/>
  <c r="D1580" i="17"/>
  <c r="D1572" i="17"/>
  <c r="D1564" i="17"/>
  <c r="D1556" i="17"/>
  <c r="D1548" i="17"/>
  <c r="D1540" i="17"/>
  <c r="D1532" i="17"/>
  <c r="D1524" i="17"/>
  <c r="D1516" i="17"/>
  <c r="D1508" i="17"/>
  <c r="D1500" i="17"/>
  <c r="D1492" i="17"/>
  <c r="D1484" i="17"/>
  <c r="D1476" i="17"/>
  <c r="D1468" i="17"/>
  <c r="D1460" i="17"/>
  <c r="D1452" i="17"/>
  <c r="D1794" i="17"/>
  <c r="D1696" i="17"/>
  <c r="D1693" i="17"/>
  <c r="D1691" i="17"/>
  <c r="D1669" i="17"/>
  <c r="D1667" i="17"/>
  <c r="D1653" i="17"/>
  <c r="D1651" i="17"/>
  <c r="D1637" i="17"/>
  <c r="D1635" i="17"/>
  <c r="D1583" i="17"/>
  <c r="D1575" i="17"/>
  <c r="D1567" i="17"/>
  <c r="D1559" i="17"/>
  <c r="D1551" i="17"/>
  <c r="D1543" i="17"/>
  <c r="D1535" i="17"/>
  <c r="D1527" i="17"/>
  <c r="D1519" i="17"/>
  <c r="D1511" i="17"/>
  <c r="D1503" i="17"/>
  <c r="D1495" i="17"/>
  <c r="D1487" i="17"/>
  <c r="D1479" i="17"/>
  <c r="D1764" i="17"/>
  <c r="D1688" i="17"/>
  <c r="D1685" i="17"/>
  <c r="D1683" i="17"/>
  <c r="D1586" i="17"/>
  <c r="D1578" i="17"/>
  <c r="D1570" i="17"/>
  <c r="D1562" i="17"/>
  <c r="D1554" i="17"/>
  <c r="D1546" i="17"/>
  <c r="D1707" i="17"/>
  <c r="D1700" i="17"/>
  <c r="D1680" i="17"/>
  <c r="D1671" i="17"/>
  <c r="D1664" i="17"/>
  <c r="D1655" i="17"/>
  <c r="D1648" i="17"/>
  <c r="D1639" i="17"/>
  <c r="D1632" i="17"/>
  <c r="D1581" i="17"/>
  <c r="D1573" i="17"/>
  <c r="D1565" i="17"/>
  <c r="D1557" i="17"/>
  <c r="D1549" i="17"/>
  <c r="D1541" i="17"/>
  <c r="D1533" i="17"/>
  <c r="D1525" i="17"/>
  <c r="D1517" i="17"/>
  <c r="D1509" i="17"/>
  <c r="D1501" i="17"/>
  <c r="D1493" i="17"/>
  <c r="D1485" i="17"/>
  <c r="D1477" i="17"/>
  <c r="D1469" i="17"/>
  <c r="D1461" i="17"/>
  <c r="D1453" i="17"/>
  <c r="D1659" i="17"/>
  <c r="D1621" i="17"/>
  <c r="D1611" i="17"/>
  <c r="D1589" i="17"/>
  <c r="D1552" i="17"/>
  <c r="D1539" i="17"/>
  <c r="D1536" i="17"/>
  <c r="D1512" i="17"/>
  <c r="D1507" i="17"/>
  <c r="D1502" i="17"/>
  <c r="D1488" i="17"/>
  <c r="D1486" i="17"/>
  <c r="D1475" i="17"/>
  <c r="D1473" i="17"/>
  <c r="D1467" i="17"/>
  <c r="D1465" i="17"/>
  <c r="D1459" i="17"/>
  <c r="D1457" i="17"/>
  <c r="D1451" i="17"/>
  <c r="D1449" i="17"/>
  <c r="D1442" i="17"/>
  <c r="D1434" i="17"/>
  <c r="D1426" i="17"/>
  <c r="D1418" i="17"/>
  <c r="D1410" i="17"/>
  <c r="D1402" i="17"/>
  <c r="D1394" i="17"/>
  <c r="D1386" i="17"/>
  <c r="D1378" i="17"/>
  <c r="D1370" i="17"/>
  <c r="D1362" i="17"/>
  <c r="D1692" i="17"/>
  <c r="D1645" i="17"/>
  <c r="D1617" i="17"/>
  <c r="D1607" i="17"/>
  <c r="D1579" i="17"/>
  <c r="D1530" i="17"/>
  <c r="D1522" i="17"/>
  <c r="D1504" i="17"/>
  <c r="D1497" i="17"/>
  <c r="D1490" i="17"/>
  <c r="D1481" i="17"/>
  <c r="D1445" i="17"/>
  <c r="D1437" i="17"/>
  <c r="D1429" i="17"/>
  <c r="D1421" i="17"/>
  <c r="D1413" i="17"/>
  <c r="D1405" i="17"/>
  <c r="D1397" i="17"/>
  <c r="D1389" i="17"/>
  <c r="D1381" i="17"/>
  <c r="D1675" i="17"/>
  <c r="D1636" i="17"/>
  <c r="D1613" i="17"/>
  <c r="D1603" i="17"/>
  <c r="D1568" i="17"/>
  <c r="D1555" i="17"/>
  <c r="D1514" i="17"/>
  <c r="D1499" i="17"/>
  <c r="D1483" i="17"/>
  <c r="D1440" i="17"/>
  <c r="D1432" i="17"/>
  <c r="D1424" i="17"/>
  <c r="D1416" i="17"/>
  <c r="D1408" i="17"/>
  <c r="D1400" i="17"/>
  <c r="D1392" i="17"/>
  <c r="D1384" i="17"/>
  <c r="D1376" i="17"/>
  <c r="D1368" i="17"/>
  <c r="D1360" i="17"/>
  <c r="D1352" i="17"/>
  <c r="D1344" i="17"/>
  <c r="D1336" i="17"/>
  <c r="D1328" i="17"/>
  <c r="D1320" i="17"/>
  <c r="D1312" i="17"/>
  <c r="D1304" i="17"/>
  <c r="D1661" i="17"/>
  <c r="D1609" i="17"/>
  <c r="D1599" i="17"/>
  <c r="D1544" i="17"/>
  <c r="D1538" i="17"/>
  <c r="D1506" i="17"/>
  <c r="D1472" i="17"/>
  <c r="D1464" i="17"/>
  <c r="D1456" i="17"/>
  <c r="D1448" i="17"/>
  <c r="D1443" i="17"/>
  <c r="D1435" i="17"/>
  <c r="D1427" i="17"/>
  <c r="D1419" i="17"/>
  <c r="D1411" i="17"/>
  <c r="D1403" i="17"/>
  <c r="D1395" i="17"/>
  <c r="D1387" i="17"/>
  <c r="D1379" i="17"/>
  <c r="D1371" i="17"/>
  <c r="D1363" i="17"/>
  <c r="D1355" i="17"/>
  <c r="D1347" i="17"/>
  <c r="D1339" i="17"/>
  <c r="D1331" i="17"/>
  <c r="D1323" i="17"/>
  <c r="D1315" i="17"/>
  <c r="D1307" i="17"/>
  <c r="D1299" i="17"/>
  <c r="D1291" i="17"/>
  <c r="D1652" i="17"/>
  <c r="D1627" i="17"/>
  <c r="D1605" i="17"/>
  <c r="D1595" i="17"/>
  <c r="D1584" i="17"/>
  <c r="D1571" i="17"/>
  <c r="D1496" i="17"/>
  <c r="D1494" i="17"/>
  <c r="D1480" i="17"/>
  <c r="D1478" i="17"/>
  <c r="D1474" i="17"/>
  <c r="D1470" i="17"/>
  <c r="D1466" i="17"/>
  <c r="D1462" i="17"/>
  <c r="D1458" i="17"/>
  <c r="D1454" i="17"/>
  <c r="D1450" i="17"/>
  <c r="D1446" i="17"/>
  <c r="D1438" i="17"/>
  <c r="D1430" i="17"/>
  <c r="D1422" i="17"/>
  <c r="D1414" i="17"/>
  <c r="D1406" i="17"/>
  <c r="D1398" i="17"/>
  <c r="D1390" i="17"/>
  <c r="D1382" i="17"/>
  <c r="D1677" i="17"/>
  <c r="D1623" i="17"/>
  <c r="D1601" i="17"/>
  <c r="D1591" i="17"/>
  <c r="D1560" i="17"/>
  <c r="D1547" i="17"/>
  <c r="D1526" i="17"/>
  <c r="D1498" i="17"/>
  <c r="D1489" i="17"/>
  <c r="D1482" i="17"/>
  <c r="D1441" i="17"/>
  <c r="D1433" i="17"/>
  <c r="D1425" i="17"/>
  <c r="D1417" i="17"/>
  <c r="D1409" i="17"/>
  <c r="D1401" i="17"/>
  <c r="D1393" i="17"/>
  <c r="D1385" i="17"/>
  <c r="D1377" i="17"/>
  <c r="D1369" i="17"/>
  <c r="D1361" i="17"/>
  <c r="D1353" i="17"/>
  <c r="D1345" i="17"/>
  <c r="D1337" i="17"/>
  <c r="D1329" i="17"/>
  <c r="D1321" i="17"/>
  <c r="D1313" i="17"/>
  <c r="D1305" i="17"/>
  <c r="D1297" i="17"/>
  <c r="D1684" i="17"/>
  <c r="D1668" i="17"/>
  <c r="D1510" i="17"/>
  <c r="D1471" i="17"/>
  <c r="D1404" i="17"/>
  <c r="D1391" i="17"/>
  <c r="D1357" i="17"/>
  <c r="D1335" i="17"/>
  <c r="D1326" i="17"/>
  <c r="D1324" i="17"/>
  <c r="D1322" i="17"/>
  <c r="D1288" i="17"/>
  <c r="D1286" i="17"/>
  <c r="D1278" i="17"/>
  <c r="D1593" i="17"/>
  <c r="D1447" i="17"/>
  <c r="D1444" i="17"/>
  <c r="D1431" i="17"/>
  <c r="D1375" i="17"/>
  <c r="D1350" i="17"/>
  <c r="D1348" i="17"/>
  <c r="D1346" i="17"/>
  <c r="D1317" i="17"/>
  <c r="D1281" i="17"/>
  <c r="D1273" i="17"/>
  <c r="D1265" i="17"/>
  <c r="D1257" i="17"/>
  <c r="D1249" i="17"/>
  <c r="D1241" i="17"/>
  <c r="D1233" i="17"/>
  <c r="D1225" i="17"/>
  <c r="D1217" i="17"/>
  <c r="D1209" i="17"/>
  <c r="D1201" i="17"/>
  <c r="D1597" i="17"/>
  <c r="D1528" i="17"/>
  <c r="D1520" i="17"/>
  <c r="D1420" i="17"/>
  <c r="D1407" i="17"/>
  <c r="D1380" i="17"/>
  <c r="D1372" i="17"/>
  <c r="D1367" i="17"/>
  <c r="D1341" i="17"/>
  <c r="D1319" i="17"/>
  <c r="D1310" i="17"/>
  <c r="D1308" i="17"/>
  <c r="D1306" i="17"/>
  <c r="D1295" i="17"/>
  <c r="D1293" i="17"/>
  <c r="D1284" i="17"/>
  <c r="D1276" i="17"/>
  <c r="D1268" i="17"/>
  <c r="D1260" i="17"/>
  <c r="D1625" i="17"/>
  <c r="D1463" i="17"/>
  <c r="D1396" i="17"/>
  <c r="D1383" i="17"/>
  <c r="D1374" i="17"/>
  <c r="D1364" i="17"/>
  <c r="D1359" i="17"/>
  <c r="D1343" i="17"/>
  <c r="D1334" i="17"/>
  <c r="D1332" i="17"/>
  <c r="D1330" i="17"/>
  <c r="D1301" i="17"/>
  <c r="D1289" i="17"/>
  <c r="D1279" i="17"/>
  <c r="D1271" i="17"/>
  <c r="D1263" i="17"/>
  <c r="D1255" i="17"/>
  <c r="D1247" i="17"/>
  <c r="D1239" i="17"/>
  <c r="D1587" i="17"/>
  <c r="D1563" i="17"/>
  <c r="D1523" i="17"/>
  <c r="D1436" i="17"/>
  <c r="D1423" i="17"/>
  <c r="D1366" i="17"/>
  <c r="D1356" i="17"/>
  <c r="D1354" i="17"/>
  <c r="D1325" i="17"/>
  <c r="D1303" i="17"/>
  <c r="D1643" i="17"/>
  <c r="D1629" i="17"/>
  <c r="D1576" i="17"/>
  <c r="D1531" i="17"/>
  <c r="D1515" i="17"/>
  <c r="D1491" i="17"/>
  <c r="D1412" i="17"/>
  <c r="D1399" i="17"/>
  <c r="D1358" i="17"/>
  <c r="D1349" i="17"/>
  <c r="D1327" i="17"/>
  <c r="D1318" i="17"/>
  <c r="D1316" i="17"/>
  <c r="D1314" i="17"/>
  <c r="D1285" i="17"/>
  <c r="D1277" i="17"/>
  <c r="D1269" i="17"/>
  <c r="D1261" i="17"/>
  <c r="D1253" i="17"/>
  <c r="D1245" i="17"/>
  <c r="D1237" i="17"/>
  <c r="D1229" i="17"/>
  <c r="D1221" i="17"/>
  <c r="D1213" i="17"/>
  <c r="D1205" i="17"/>
  <c r="D1197" i="17"/>
  <c r="D1340" i="17"/>
  <c r="D1298" i="17"/>
  <c r="D1294" i="17"/>
  <c r="D1275" i="17"/>
  <c r="D1270" i="17"/>
  <c r="D1267" i="17"/>
  <c r="D1250" i="17"/>
  <c r="D1243" i="17"/>
  <c r="D1190" i="17"/>
  <c r="D1182" i="17"/>
  <c r="D1174" i="17"/>
  <c r="D1166" i="17"/>
  <c r="D1158" i="17"/>
  <c r="D1150" i="17"/>
  <c r="D1142" i="17"/>
  <c r="D1134" i="17"/>
  <c r="D1126" i="17"/>
  <c r="D1118" i="17"/>
  <c r="D1110" i="17"/>
  <c r="D1102" i="17"/>
  <c r="D1094" i="17"/>
  <c r="D1086" i="17"/>
  <c r="D1078" i="17"/>
  <c r="D1070" i="17"/>
  <c r="D1062" i="17"/>
  <c r="D1054" i="17"/>
  <c r="D1046" i="17"/>
  <c r="D1038" i="17"/>
  <c r="D1030" i="17"/>
  <c r="D1022" i="17"/>
  <c r="D1014" i="17"/>
  <c r="D1006" i="17"/>
  <c r="D998" i="17"/>
  <c r="D1309" i="17"/>
  <c r="D1290" i="17"/>
  <c r="D1287" i="17"/>
  <c r="D1272" i="17"/>
  <c r="D1262" i="17"/>
  <c r="D1259" i="17"/>
  <c r="D1252" i="17"/>
  <c r="D1193" i="17"/>
  <c r="D1185" i="17"/>
  <c r="D1177" i="17"/>
  <c r="D1169" i="17"/>
  <c r="D1161" i="17"/>
  <c r="D1153" i="17"/>
  <c r="D1145" i="17"/>
  <c r="D1137" i="17"/>
  <c r="D1129" i="17"/>
  <c r="D1121" i="17"/>
  <c r="D1113" i="17"/>
  <c r="D1105" i="17"/>
  <c r="D1097" i="17"/>
  <c r="D1089" i="17"/>
  <c r="D1081" i="17"/>
  <c r="D1073" i="17"/>
  <c r="D1065" i="17"/>
  <c r="D1057" i="17"/>
  <c r="D1049" i="17"/>
  <c r="D1041" i="17"/>
  <c r="D1033" i="17"/>
  <c r="D1025" i="17"/>
  <c r="D1017" i="17"/>
  <c r="D1009" i="17"/>
  <c r="D1615" i="17"/>
  <c r="D1518" i="17"/>
  <c r="D1351" i="17"/>
  <c r="D1300" i="17"/>
  <c r="D1283" i="17"/>
  <c r="D1264" i="17"/>
  <c r="D1236" i="17"/>
  <c r="D1232" i="17"/>
  <c r="D1228" i="17"/>
  <c r="D1224" i="17"/>
  <c r="D1220" i="17"/>
  <c r="D1216" i="17"/>
  <c r="D1212" i="17"/>
  <c r="D1208" i="17"/>
  <c r="D1204" i="17"/>
  <c r="D1200" i="17"/>
  <c r="D1196" i="17"/>
  <c r="D1188" i="17"/>
  <c r="D1180" i="17"/>
  <c r="D1172" i="17"/>
  <c r="D1164" i="17"/>
  <c r="D1156" i="17"/>
  <c r="D1148" i="17"/>
  <c r="D1140" i="17"/>
  <c r="D1132" i="17"/>
  <c r="D1124" i="17"/>
  <c r="D1116" i="17"/>
  <c r="D1108" i="17"/>
  <c r="D1100" i="17"/>
  <c r="D1092" i="17"/>
  <c r="D1084" i="17"/>
  <c r="D1076" i="17"/>
  <c r="D1068" i="17"/>
  <c r="D1060" i="17"/>
  <c r="D1052" i="17"/>
  <c r="D1044" i="17"/>
  <c r="D1036" i="17"/>
  <c r="D1028" i="17"/>
  <c r="D1020" i="17"/>
  <c r="D1012" i="17"/>
  <c r="D1004" i="17"/>
  <c r="D996" i="17"/>
  <c r="D988" i="17"/>
  <c r="D980" i="17"/>
  <c r="D972" i="17"/>
  <c r="D964" i="17"/>
  <c r="D956" i="17"/>
  <c r="D948" i="17"/>
  <c r="D940" i="17"/>
  <c r="D1619" i="17"/>
  <c r="D1455" i="17"/>
  <c r="D1388" i="17"/>
  <c r="D1280" i="17"/>
  <c r="D1274" i="17"/>
  <c r="D1266" i="17"/>
  <c r="D1256" i="17"/>
  <c r="D1254" i="17"/>
  <c r="D1240" i="17"/>
  <c r="D1238" i="17"/>
  <c r="D1234" i="17"/>
  <c r="D1230" i="17"/>
  <c r="D1226" i="17"/>
  <c r="D1222" i="17"/>
  <c r="D1218" i="17"/>
  <c r="D1214" i="17"/>
  <c r="D1210" i="17"/>
  <c r="D1206" i="17"/>
  <c r="D1202" i="17"/>
  <c r="D1198" i="17"/>
  <c r="D1191" i="17"/>
  <c r="D1183" i="17"/>
  <c r="D1175" i="17"/>
  <c r="D1167" i="17"/>
  <c r="D1159" i="17"/>
  <c r="D1151" i="17"/>
  <c r="D1143" i="17"/>
  <c r="D1135" i="17"/>
  <c r="D1127" i="17"/>
  <c r="D1119" i="17"/>
  <c r="D1111" i="17"/>
  <c r="D1103" i="17"/>
  <c r="D1095" i="17"/>
  <c r="D1087" i="17"/>
  <c r="D1079" i="17"/>
  <c r="D1071" i="17"/>
  <c r="D1063" i="17"/>
  <c r="D1055" i="17"/>
  <c r="D1047" i="17"/>
  <c r="D1039" i="17"/>
  <c r="D1031" i="17"/>
  <c r="D1023" i="17"/>
  <c r="D1015" i="17"/>
  <c r="D1007" i="17"/>
  <c r="D999" i="17"/>
  <c r="D991" i="17"/>
  <c r="D983" i="17"/>
  <c r="D975" i="17"/>
  <c r="D967" i="17"/>
  <c r="D1439" i="17"/>
  <c r="D1342" i="17"/>
  <c r="D1292" i="17"/>
  <c r="D1258" i="17"/>
  <c r="D1251" i="17"/>
  <c r="D1242" i="17"/>
  <c r="D1194" i="17"/>
  <c r="D1186" i="17"/>
  <c r="D1178" i="17"/>
  <c r="D1170" i="17"/>
  <c r="D1162" i="17"/>
  <c r="D1154" i="17"/>
  <c r="D1146" i="17"/>
  <c r="D1428" i="17"/>
  <c r="D1338" i="17"/>
  <c r="D1311" i="17"/>
  <c r="D1302" i="17"/>
  <c r="D1296" i="17"/>
  <c r="D1282" i="17"/>
  <c r="D1244" i="17"/>
  <c r="D1189" i="17"/>
  <c r="D1181" i="17"/>
  <c r="D1173" i="17"/>
  <c r="D1165" i="17"/>
  <c r="D1157" i="17"/>
  <c r="D1149" i="17"/>
  <c r="D1141" i="17"/>
  <c r="D1133" i="17"/>
  <c r="D1125" i="17"/>
  <c r="D1117" i="17"/>
  <c r="D1109" i="17"/>
  <c r="D1101" i="17"/>
  <c r="D1093" i="17"/>
  <c r="D1085" i="17"/>
  <c r="D1077" i="17"/>
  <c r="D1069" i="17"/>
  <c r="D1061" i="17"/>
  <c r="D1053" i="17"/>
  <c r="D1045" i="17"/>
  <c r="D1037" i="17"/>
  <c r="D1029" i="17"/>
  <c r="D1021" i="17"/>
  <c r="D1013" i="17"/>
  <c r="D1005" i="17"/>
  <c r="D997" i="17"/>
  <c r="D989" i="17"/>
  <c r="D981" i="17"/>
  <c r="D973" i="17"/>
  <c r="D965" i="17"/>
  <c r="D957" i="17"/>
  <c r="D949" i="17"/>
  <c r="D941" i="17"/>
  <c r="D1373" i="17"/>
  <c r="D1246" i="17"/>
  <c r="D1195" i="17"/>
  <c r="D1144" i="17"/>
  <c r="D1115" i="17"/>
  <c r="D1112" i="17"/>
  <c r="D1083" i="17"/>
  <c r="D1080" i="17"/>
  <c r="D1074" i="17"/>
  <c r="D1059" i="17"/>
  <c r="D1016" i="17"/>
  <c r="D1010" i="17"/>
  <c r="D1001" i="17"/>
  <c r="D935" i="17"/>
  <c r="D927" i="17"/>
  <c r="D919" i="17"/>
  <c r="D911" i="17"/>
  <c r="D903" i="17"/>
  <c r="D895" i="17"/>
  <c r="D887" i="17"/>
  <c r="D879" i="17"/>
  <c r="D871" i="17"/>
  <c r="D863" i="17"/>
  <c r="D855" i="17"/>
  <c r="D847" i="17"/>
  <c r="D839" i="17"/>
  <c r="D831" i="17"/>
  <c r="D823" i="17"/>
  <c r="D815" i="17"/>
  <c r="D807" i="17"/>
  <c r="D799" i="17"/>
  <c r="D791" i="17"/>
  <c r="D783" i="17"/>
  <c r="D1184" i="17"/>
  <c r="D1171" i="17"/>
  <c r="D1138" i="17"/>
  <c r="D1106" i="17"/>
  <c r="D1040" i="17"/>
  <c r="D1034" i="17"/>
  <c r="D1019" i="17"/>
  <c r="D984" i="17"/>
  <c r="D982" i="17"/>
  <c r="D968" i="17"/>
  <c r="D966" i="17"/>
  <c r="D938" i="17"/>
  <c r="D930" i="17"/>
  <c r="D922" i="17"/>
  <c r="D914" i="17"/>
  <c r="D906" i="17"/>
  <c r="D898" i="17"/>
  <c r="D890" i="17"/>
  <c r="D882" i="17"/>
  <c r="D874" i="17"/>
  <c r="D866" i="17"/>
  <c r="D858" i="17"/>
  <c r="D850" i="17"/>
  <c r="D842" i="17"/>
  <c r="D834" i="17"/>
  <c r="D826" i="17"/>
  <c r="D818" i="17"/>
  <c r="D810" i="17"/>
  <c r="D802" i="17"/>
  <c r="D794" i="17"/>
  <c r="D786" i="17"/>
  <c r="D778" i="17"/>
  <c r="D770" i="17"/>
  <c r="D762" i="17"/>
  <c r="D754" i="17"/>
  <c r="D746" i="17"/>
  <c r="D738" i="17"/>
  <c r="D730" i="17"/>
  <c r="D722" i="17"/>
  <c r="D714" i="17"/>
  <c r="D706" i="17"/>
  <c r="D698" i="17"/>
  <c r="D1415" i="17"/>
  <c r="D1160" i="17"/>
  <c r="D1147" i="17"/>
  <c r="D1123" i="17"/>
  <c r="D1120" i="17"/>
  <c r="D1091" i="17"/>
  <c r="D1088" i="17"/>
  <c r="D1064" i="17"/>
  <c r="D1058" i="17"/>
  <c r="D1043" i="17"/>
  <c r="D993" i="17"/>
  <c r="D986" i="17"/>
  <c r="D977" i="17"/>
  <c r="D970" i="17"/>
  <c r="D959" i="17"/>
  <c r="D951" i="17"/>
  <c r="D943" i="17"/>
  <c r="D933" i="17"/>
  <c r="D925" i="17"/>
  <c r="D917" i="17"/>
  <c r="D909" i="17"/>
  <c r="D901" i="17"/>
  <c r="D893" i="17"/>
  <c r="D885" i="17"/>
  <c r="D877" i="17"/>
  <c r="D869" i="17"/>
  <c r="D861" i="17"/>
  <c r="D853" i="17"/>
  <c r="D845" i="17"/>
  <c r="D837" i="17"/>
  <c r="D829" i="17"/>
  <c r="D821" i="17"/>
  <c r="D813" i="17"/>
  <c r="D805" i="17"/>
  <c r="D797" i="17"/>
  <c r="D789" i="17"/>
  <c r="D781" i="17"/>
  <c r="D1248" i="17"/>
  <c r="D1187" i="17"/>
  <c r="D1114" i="17"/>
  <c r="D1082" i="17"/>
  <c r="D1067" i="17"/>
  <c r="D1024" i="17"/>
  <c r="D1018" i="17"/>
  <c r="D1003" i="17"/>
  <c r="D1000" i="17"/>
  <c r="D995" i="17"/>
  <c r="D979" i="17"/>
  <c r="D963" i="17"/>
  <c r="D961" i="17"/>
  <c r="D955" i="17"/>
  <c r="D953" i="17"/>
  <c r="D947" i="17"/>
  <c r="D945" i="17"/>
  <c r="D936" i="17"/>
  <c r="D928" i="17"/>
  <c r="D920" i="17"/>
  <c r="D912" i="17"/>
  <c r="D904" i="17"/>
  <c r="D896" i="17"/>
  <c r="D888" i="17"/>
  <c r="D880" i="17"/>
  <c r="D872" i="17"/>
  <c r="D864" i="17"/>
  <c r="D856" i="17"/>
  <c r="D848" i="17"/>
  <c r="D840" i="17"/>
  <c r="D832" i="17"/>
  <c r="D824" i="17"/>
  <c r="D816" i="17"/>
  <c r="D808" i="17"/>
  <c r="D800" i="17"/>
  <c r="D792" i="17"/>
  <c r="D784" i="17"/>
  <c r="D776" i="17"/>
  <c r="D768" i="17"/>
  <c r="D1333" i="17"/>
  <c r="D1176" i="17"/>
  <c r="D1163" i="17"/>
  <c r="D1131" i="17"/>
  <c r="D1128" i="17"/>
  <c r="D1099" i="17"/>
  <c r="D1096" i="17"/>
  <c r="D1048" i="17"/>
  <c r="D1042" i="17"/>
  <c r="D1027" i="17"/>
  <c r="D939" i="17"/>
  <c r="D931" i="17"/>
  <c r="D923" i="17"/>
  <c r="D915" i="17"/>
  <c r="D907" i="17"/>
  <c r="D899" i="17"/>
  <c r="D891" i="17"/>
  <c r="D883" i="17"/>
  <c r="D1365" i="17"/>
  <c r="D1152" i="17"/>
  <c r="D1122" i="17"/>
  <c r="D1090" i="17"/>
  <c r="D1072" i="17"/>
  <c r="D1066" i="17"/>
  <c r="D1051" i="17"/>
  <c r="D1008" i="17"/>
  <c r="D1002" i="17"/>
  <c r="D992" i="17"/>
  <c r="D990" i="17"/>
  <c r="D976" i="17"/>
  <c r="D974" i="17"/>
  <c r="D934" i="17"/>
  <c r="D926" i="17"/>
  <c r="D918" i="17"/>
  <c r="D910" i="17"/>
  <c r="D902" i="17"/>
  <c r="D894" i="17"/>
  <c r="D886" i="17"/>
  <c r="D878" i="17"/>
  <c r="D870" i="17"/>
  <c r="D862" i="17"/>
  <c r="D854" i="17"/>
  <c r="D846" i="17"/>
  <c r="D838" i="17"/>
  <c r="D830" i="17"/>
  <c r="D822" i="17"/>
  <c r="D814" i="17"/>
  <c r="D806" i="17"/>
  <c r="D798" i="17"/>
  <c r="D790" i="17"/>
  <c r="D782" i="17"/>
  <c r="D774" i="17"/>
  <c r="D766" i="17"/>
  <c r="D758" i="17"/>
  <c r="D750" i="17"/>
  <c r="D742" i="17"/>
  <c r="D734" i="17"/>
  <c r="D726" i="17"/>
  <c r="D718" i="17"/>
  <c r="D710" i="17"/>
  <c r="D702" i="17"/>
  <c r="D694" i="17"/>
  <c r="D1231" i="17"/>
  <c r="D1199" i="17"/>
  <c r="D1032" i="17"/>
  <c r="D962" i="17"/>
  <c r="D952" i="17"/>
  <c r="D937" i="17"/>
  <c r="D900" i="17"/>
  <c r="D865" i="17"/>
  <c r="D859" i="17"/>
  <c r="D833" i="17"/>
  <c r="D827" i="17"/>
  <c r="D801" i="17"/>
  <c r="D795" i="17"/>
  <c r="D765" i="17"/>
  <c r="D761" i="17"/>
  <c r="D757" i="17"/>
  <c r="D753" i="17"/>
  <c r="D749" i="17"/>
  <c r="D745" i="17"/>
  <c r="D741" i="17"/>
  <c r="D737" i="17"/>
  <c r="D733" i="17"/>
  <c r="D729" i="17"/>
  <c r="D725" i="17"/>
  <c r="D721" i="17"/>
  <c r="D717" i="17"/>
  <c r="D713" i="17"/>
  <c r="D709" i="17"/>
  <c r="D705" i="17"/>
  <c r="D701" i="17"/>
  <c r="D697" i="17"/>
  <c r="D693" i="17"/>
  <c r="D685" i="17"/>
  <c r="D677" i="17"/>
  <c r="D669" i="17"/>
  <c r="D661" i="17"/>
  <c r="D653" i="17"/>
  <c r="D645" i="17"/>
  <c r="D637" i="17"/>
  <c r="D629" i="17"/>
  <c r="D621" i="17"/>
  <c r="D613" i="17"/>
  <c r="D605" i="17"/>
  <c r="D597" i="17"/>
  <c r="D589" i="17"/>
  <c r="D581" i="17"/>
  <c r="D573" i="17"/>
  <c r="D565" i="17"/>
  <c r="D557" i="17"/>
  <c r="D549" i="17"/>
  <c r="D541" i="17"/>
  <c r="D533" i="17"/>
  <c r="D525" i="17"/>
  <c r="D517" i="17"/>
  <c r="D1235" i="17"/>
  <c r="D1203" i="17"/>
  <c r="D1136" i="17"/>
  <c r="D1107" i="17"/>
  <c r="D1050" i="17"/>
  <c r="D978" i="17"/>
  <c r="D969" i="17"/>
  <c r="D958" i="17"/>
  <c r="D913" i="17"/>
  <c r="D876" i="17"/>
  <c r="D844" i="17"/>
  <c r="D812" i="17"/>
  <c r="D769" i="17"/>
  <c r="D767" i="17"/>
  <c r="D763" i="17"/>
  <c r="D759" i="17"/>
  <c r="D755" i="17"/>
  <c r="D751" i="17"/>
  <c r="D747" i="17"/>
  <c r="D743" i="17"/>
  <c r="D739" i="17"/>
  <c r="D735" i="17"/>
  <c r="D731" i="17"/>
  <c r="D727" i="17"/>
  <c r="D723" i="17"/>
  <c r="D719" i="17"/>
  <c r="D715" i="17"/>
  <c r="D711" i="17"/>
  <c r="D707" i="17"/>
  <c r="D703" i="17"/>
  <c r="D699" i="17"/>
  <c r="D695" i="17"/>
  <c r="D688" i="17"/>
  <c r="D1207" i="17"/>
  <c r="D946" i="17"/>
  <c r="D916" i="17"/>
  <c r="D889" i="17"/>
  <c r="D873" i="17"/>
  <c r="D867" i="17"/>
  <c r="D841" i="17"/>
  <c r="D835" i="17"/>
  <c r="D809" i="17"/>
  <c r="D803" i="17"/>
  <c r="D780" i="17"/>
  <c r="D771" i="17"/>
  <c r="D691" i="17"/>
  <c r="D683" i="17"/>
  <c r="D675" i="17"/>
  <c r="D667" i="17"/>
  <c r="D659" i="17"/>
  <c r="D651" i="17"/>
  <c r="D643" i="17"/>
  <c r="D635" i="17"/>
  <c r="D627" i="17"/>
  <c r="D619" i="17"/>
  <c r="D611" i="17"/>
  <c r="D603" i="17"/>
  <c r="D595" i="17"/>
  <c r="D587" i="17"/>
  <c r="D579" i="17"/>
  <c r="D571" i="17"/>
  <c r="D563" i="17"/>
  <c r="D555" i="17"/>
  <c r="D547" i="17"/>
  <c r="D539" i="17"/>
  <c r="D531" i="17"/>
  <c r="D523" i="17"/>
  <c r="D515" i="17"/>
  <c r="D507" i="17"/>
  <c r="D499" i="17"/>
  <c r="D491" i="17"/>
  <c r="D483" i="17"/>
  <c r="D475" i="17"/>
  <c r="D467" i="17"/>
  <c r="D459" i="17"/>
  <c r="D451" i="17"/>
  <c r="D443" i="17"/>
  <c r="D1211" i="17"/>
  <c r="D1098" i="17"/>
  <c r="D994" i="17"/>
  <c r="D985" i="17"/>
  <c r="D960" i="17"/>
  <c r="D942" i="17"/>
  <c r="D929" i="17"/>
  <c r="D892" i="17"/>
  <c r="D852" i="17"/>
  <c r="D820" i="17"/>
  <c r="D788" i="17"/>
  <c r="D773" i="17"/>
  <c r="D686" i="17"/>
  <c r="D678" i="17"/>
  <c r="D670" i="17"/>
  <c r="D662" i="17"/>
  <c r="D654" i="17"/>
  <c r="D646" i="17"/>
  <c r="D638" i="17"/>
  <c r="D630" i="17"/>
  <c r="D622" i="17"/>
  <c r="D614" i="17"/>
  <c r="D606" i="17"/>
  <c r="D598" i="17"/>
  <c r="D590" i="17"/>
  <c r="D582" i="17"/>
  <c r="D574" i="17"/>
  <c r="D566" i="17"/>
  <c r="D1219" i="17"/>
  <c r="D1011" i="17"/>
  <c r="D971" i="17"/>
  <c r="D954" i="17"/>
  <c r="D944" i="17"/>
  <c r="D908" i="17"/>
  <c r="D881" i="17"/>
  <c r="D860" i="17"/>
  <c r="D828" i="17"/>
  <c r="D796" i="17"/>
  <c r="D777" i="17"/>
  <c r="D775" i="17"/>
  <c r="D692" i="17"/>
  <c r="D684" i="17"/>
  <c r="D676" i="17"/>
  <c r="D668" i="17"/>
  <c r="D660" i="17"/>
  <c r="D652" i="17"/>
  <c r="D644" i="17"/>
  <c r="D636" i="17"/>
  <c r="D628" i="17"/>
  <c r="D620" i="17"/>
  <c r="D612" i="17"/>
  <c r="D604" i="17"/>
  <c r="D596" i="17"/>
  <c r="D588" i="17"/>
  <c r="D580" i="17"/>
  <c r="D572" i="17"/>
  <c r="D564" i="17"/>
  <c r="D556" i="17"/>
  <c r="D548" i="17"/>
  <c r="D540" i="17"/>
  <c r="D532" i="17"/>
  <c r="D524" i="17"/>
  <c r="D516" i="17"/>
  <c r="D508" i="17"/>
  <c r="D500" i="17"/>
  <c r="D492" i="17"/>
  <c r="D484" i="17"/>
  <c r="D476" i="17"/>
  <c r="D468" i="17"/>
  <c r="D460" i="17"/>
  <c r="D452" i="17"/>
  <c r="D444" i="17"/>
  <c r="D436" i="17"/>
  <c r="D428" i="17"/>
  <c r="D420" i="17"/>
  <c r="D412" i="17"/>
  <c r="D1168" i="17"/>
  <c r="D836" i="17"/>
  <c r="D817" i="17"/>
  <c r="D793" i="17"/>
  <c r="D689" i="17"/>
  <c r="D554" i="17"/>
  <c r="D538" i="17"/>
  <c r="D522" i="17"/>
  <c r="D875" i="17"/>
  <c r="D804" i="17"/>
  <c r="D785" i="17"/>
  <c r="D756" i="17"/>
  <c r="D740" i="17"/>
  <c r="D724" i="17"/>
  <c r="D708" i="17"/>
  <c r="D680" i="17"/>
  <c r="D672" i="17"/>
  <c r="D664" i="17"/>
  <c r="D656" i="17"/>
  <c r="D648" i="17"/>
  <c r="D640" i="17"/>
  <c r="D632" i="17"/>
  <c r="D624" i="17"/>
  <c r="D616" i="17"/>
  <c r="D608" i="17"/>
  <c r="D600" i="17"/>
  <c r="D592" i="17"/>
  <c r="D584" i="17"/>
  <c r="D576" i="17"/>
  <c r="D568" i="17"/>
  <c r="D558" i="17"/>
  <c r="D551" i="17"/>
  <c r="D542" i="17"/>
  <c r="D535" i="17"/>
  <c r="D526" i="17"/>
  <c r="D1139" i="17"/>
  <c r="D1130" i="17"/>
  <c r="D921" i="17"/>
  <c r="D905" i="17"/>
  <c r="D897" i="17"/>
  <c r="D884" i="17"/>
  <c r="D843" i="17"/>
  <c r="D1215" i="17"/>
  <c r="D851" i="17"/>
  <c r="D811" i="17"/>
  <c r="D772" i="17"/>
  <c r="D752" i="17"/>
  <c r="D736" i="17"/>
  <c r="D720" i="17"/>
  <c r="D704" i="17"/>
  <c r="D553" i="17"/>
  <c r="D537" i="17"/>
  <c r="D521" i="17"/>
  <c r="D987" i="17"/>
  <c r="D924" i="17"/>
  <c r="D819" i="17"/>
  <c r="D682" i="17"/>
  <c r="D679" i="17"/>
  <c r="D674" i="17"/>
  <c r="D671" i="17"/>
  <c r="D666" i="17"/>
  <c r="D663" i="17"/>
  <c r="D658" i="17"/>
  <c r="D655" i="17"/>
  <c r="D650" i="17"/>
  <c r="D647" i="17"/>
  <c r="D642" i="17"/>
  <c r="D639" i="17"/>
  <c r="D634" i="17"/>
  <c r="D631" i="17"/>
  <c r="D626" i="17"/>
  <c r="D623" i="17"/>
  <c r="D618" i="17"/>
  <c r="D615" i="17"/>
  <c r="D610" i="17"/>
  <c r="D607" i="17"/>
  <c r="D602" i="17"/>
  <c r="D599" i="17"/>
  <c r="D594" i="17"/>
  <c r="D591" i="17"/>
  <c r="D586" i="17"/>
  <c r="D583" i="17"/>
  <c r="D578" i="17"/>
  <c r="D575" i="17"/>
  <c r="D570" i="17"/>
  <c r="D567" i="17"/>
  <c r="D562" i="17"/>
  <c r="D546" i="17"/>
  <c r="D530" i="17"/>
  <c r="D514" i="17"/>
  <c r="D1104" i="17"/>
  <c r="D950" i="17"/>
  <c r="D787" i="17"/>
  <c r="D779" i="17"/>
  <c r="D764" i="17"/>
  <c r="D748" i="17"/>
  <c r="D732" i="17"/>
  <c r="D716" i="17"/>
  <c r="D700" i="17"/>
  <c r="D687" i="17"/>
  <c r="D559" i="17"/>
  <c r="D550" i="17"/>
  <c r="D543" i="17"/>
  <c r="D534" i="17"/>
  <c r="D527" i="17"/>
  <c r="D518" i="17"/>
  <c r="D511" i="17"/>
  <c r="D503" i="17"/>
  <c r="D495" i="17"/>
  <c r="D487" i="17"/>
  <c r="D479" i="17"/>
  <c r="D471" i="17"/>
  <c r="D463" i="17"/>
  <c r="D455" i="17"/>
  <c r="D447" i="17"/>
  <c r="D439" i="17"/>
  <c r="D1179" i="17"/>
  <c r="D744" i="17"/>
  <c r="D712" i="17"/>
  <c r="D641" i="17"/>
  <c r="D529" i="17"/>
  <c r="D510" i="17"/>
  <c r="D496" i="17"/>
  <c r="D482" i="17"/>
  <c r="D469" i="17"/>
  <c r="D457" i="17"/>
  <c r="D454" i="17"/>
  <c r="D440" i="17"/>
  <c r="D434" i="17"/>
  <c r="D427" i="17"/>
  <c r="D418" i="17"/>
  <c r="D411" i="17"/>
  <c r="D404" i="17"/>
  <c r="D396" i="17"/>
  <c r="D388" i="17"/>
  <c r="D380" i="17"/>
  <c r="D372" i="17"/>
  <c r="D364" i="17"/>
  <c r="D356" i="17"/>
  <c r="D348" i="17"/>
  <c r="D340" i="17"/>
  <c r="D332" i="17"/>
  <c r="D324" i="17"/>
  <c r="D316" i="17"/>
  <c r="D308" i="17"/>
  <c r="D300" i="17"/>
  <c r="D292" i="17"/>
  <c r="D284" i="17"/>
  <c r="D276" i="17"/>
  <c r="D268" i="17"/>
  <c r="D260" i="17"/>
  <c r="D252" i="17"/>
  <c r="D244" i="17"/>
  <c r="D236" i="17"/>
  <c r="D228" i="17"/>
  <c r="D220" i="17"/>
  <c r="D212" i="17"/>
  <c r="D204" i="17"/>
  <c r="D196" i="17"/>
  <c r="D188" i="17"/>
  <c r="D180" i="17"/>
  <c r="D1192" i="17"/>
  <c r="D932" i="17"/>
  <c r="D849" i="17"/>
  <c r="D825" i="17"/>
  <c r="D649" i="17"/>
  <c r="D520" i="17"/>
  <c r="D513" i="17"/>
  <c r="D501" i="17"/>
  <c r="D490" i="17"/>
  <c r="D474" i="17"/>
  <c r="D464" i="17"/>
  <c r="D442" i="17"/>
  <c r="D432" i="17"/>
  <c r="D425" i="17"/>
  <c r="D423" i="17"/>
  <c r="D416" i="17"/>
  <c r="D409" i="17"/>
  <c r="D407" i="17"/>
  <c r="D399" i="17"/>
  <c r="D391" i="17"/>
  <c r="D383" i="17"/>
  <c r="D375" i="17"/>
  <c r="D367" i="17"/>
  <c r="D359" i="17"/>
  <c r="D351" i="17"/>
  <c r="D343" i="17"/>
  <c r="D335" i="17"/>
  <c r="D327" i="17"/>
  <c r="D319" i="17"/>
  <c r="D311" i="17"/>
  <c r="D303" i="17"/>
  <c r="D295" i="17"/>
  <c r="D287" i="17"/>
  <c r="D279" i="17"/>
  <c r="D271" i="17"/>
  <c r="D263" i="17"/>
  <c r="D255" i="17"/>
  <c r="D247" i="17"/>
  <c r="D239" i="17"/>
  <c r="D231" i="17"/>
  <c r="D223" i="17"/>
  <c r="D215" i="17"/>
  <c r="D207" i="17"/>
  <c r="D199" i="17"/>
  <c r="D191" i="17"/>
  <c r="D183" i="17"/>
  <c r="D1223" i="17"/>
  <c r="D1075" i="17"/>
  <c r="D657" i="17"/>
  <c r="D545" i="17"/>
  <c r="D528" i="17"/>
  <c r="D504" i="17"/>
  <c r="D486" i="17"/>
  <c r="D481" i="17"/>
  <c r="D478" i="17"/>
  <c r="D461" i="17"/>
  <c r="D449" i="17"/>
  <c r="D446" i="17"/>
  <c r="D430" i="17"/>
  <c r="D414" i="17"/>
  <c r="D402" i="17"/>
  <c r="D394" i="17"/>
  <c r="D386" i="17"/>
  <c r="D378" i="17"/>
  <c r="D370" i="17"/>
  <c r="D362" i="17"/>
  <c r="D354" i="17"/>
  <c r="D346" i="17"/>
  <c r="D338" i="17"/>
  <c r="D330" i="17"/>
  <c r="D322" i="17"/>
  <c r="D314" i="17"/>
  <c r="D306" i="17"/>
  <c r="D298" i="17"/>
  <c r="D1227" i="17"/>
  <c r="D857" i="17"/>
  <c r="D665" i="17"/>
  <c r="D601" i="17"/>
  <c r="D593" i="17"/>
  <c r="D585" i="17"/>
  <c r="D577" i="17"/>
  <c r="D569" i="17"/>
  <c r="D536" i="17"/>
  <c r="D519" i="17"/>
  <c r="D509" i="17"/>
  <c r="D498" i="17"/>
  <c r="D489" i="17"/>
  <c r="D466" i="17"/>
  <c r="D456" i="17"/>
  <c r="D437" i="17"/>
  <c r="D421" i="17"/>
  <c r="D405" i="17"/>
  <c r="D397" i="17"/>
  <c r="D389" i="17"/>
  <c r="D381" i="17"/>
  <c r="D373" i="17"/>
  <c r="D365" i="17"/>
  <c r="D357" i="17"/>
  <c r="D349" i="17"/>
  <c r="D341" i="17"/>
  <c r="D333" i="17"/>
  <c r="D325" i="17"/>
  <c r="D317" i="17"/>
  <c r="D309" i="17"/>
  <c r="D301" i="17"/>
  <c r="D293" i="17"/>
  <c r="D285" i="17"/>
  <c r="D277" i="17"/>
  <c r="D269" i="17"/>
  <c r="D261" i="17"/>
  <c r="D253" i="17"/>
  <c r="D245" i="17"/>
  <c r="D237" i="17"/>
  <c r="D229" i="17"/>
  <c r="D221" i="17"/>
  <c r="D213" i="17"/>
  <c r="D205" i="17"/>
  <c r="D197" i="17"/>
  <c r="D189" i="17"/>
  <c r="D181" i="17"/>
  <c r="D1026" i="17"/>
  <c r="D760" i="17"/>
  <c r="D728" i="17"/>
  <c r="D696" i="17"/>
  <c r="D673" i="17"/>
  <c r="D609" i="17"/>
  <c r="D561" i="17"/>
  <c r="D544" i="17"/>
  <c r="D512" i="17"/>
  <c r="D494" i="17"/>
  <c r="D473" i="17"/>
  <c r="D470" i="17"/>
  <c r="D453" i="17"/>
  <c r="D441" i="17"/>
  <c r="D435" i="17"/>
  <c r="D426" i="17"/>
  <c r="D419" i="17"/>
  <c r="D410" i="17"/>
  <c r="D400" i="17"/>
  <c r="D392" i="17"/>
  <c r="D384" i="17"/>
  <c r="D376" i="17"/>
  <c r="D368" i="17"/>
  <c r="D360" i="17"/>
  <c r="D352" i="17"/>
  <c r="D344" i="17"/>
  <c r="D336" i="17"/>
  <c r="D328" i="17"/>
  <c r="D320" i="17"/>
  <c r="D312" i="17"/>
  <c r="D304" i="17"/>
  <c r="D681" i="17"/>
  <c r="D617" i="17"/>
  <c r="D552" i="17"/>
  <c r="D506" i="17"/>
  <c r="D497" i="17"/>
  <c r="D480" i="17"/>
  <c r="D458" i="17"/>
  <c r="D448" i="17"/>
  <c r="D433" i="17"/>
  <c r="D431" i="17"/>
  <c r="D424" i="17"/>
  <c r="D417" i="17"/>
  <c r="D415" i="17"/>
  <c r="D408" i="17"/>
  <c r="D403" i="17"/>
  <c r="D395" i="17"/>
  <c r="D387" i="17"/>
  <c r="D379" i="17"/>
  <c r="D371" i="17"/>
  <c r="D363" i="17"/>
  <c r="D355" i="17"/>
  <c r="D347" i="17"/>
  <c r="D339" i="17"/>
  <c r="D331" i="17"/>
  <c r="D323" i="17"/>
  <c r="D315" i="17"/>
  <c r="D307" i="17"/>
  <c r="D299" i="17"/>
  <c r="D291" i="17"/>
  <c r="D283" i="17"/>
  <c r="D275" i="17"/>
  <c r="D267" i="17"/>
  <c r="D259" i="17"/>
  <c r="D251" i="17"/>
  <c r="D243" i="17"/>
  <c r="D235" i="17"/>
  <c r="D227" i="17"/>
  <c r="D219" i="17"/>
  <c r="D211" i="17"/>
  <c r="D203" i="17"/>
  <c r="D195" i="17"/>
  <c r="D187" i="17"/>
  <c r="D179" i="17"/>
  <c r="D6" i="17"/>
  <c r="D14" i="17"/>
  <c r="D22" i="17"/>
  <c r="D30" i="17"/>
  <c r="D38" i="17"/>
  <c r="D46" i="17"/>
  <c r="D54" i="17"/>
  <c r="D62" i="17"/>
  <c r="D70" i="17"/>
  <c r="D78" i="17"/>
  <c r="D86" i="17"/>
  <c r="D94" i="17"/>
  <c r="D102" i="17"/>
  <c r="D110" i="17"/>
  <c r="D118" i="17"/>
  <c r="D126" i="17"/>
  <c r="D134" i="17"/>
  <c r="D142" i="17"/>
  <c r="D150" i="17"/>
  <c r="D158" i="17"/>
  <c r="D166" i="17"/>
  <c r="D174" i="17"/>
  <c r="D176" i="17"/>
  <c r="D184" i="17"/>
  <c r="D192" i="17"/>
  <c r="D200" i="17"/>
  <c r="D208" i="17"/>
  <c r="D216" i="17"/>
  <c r="D224" i="17"/>
  <c r="D232" i="17"/>
  <c r="D240" i="17"/>
  <c r="D248" i="17"/>
  <c r="D256" i="17"/>
  <c r="D264" i="17"/>
  <c r="D272" i="17"/>
  <c r="D280" i="17"/>
  <c r="D288" i="17"/>
  <c r="D296" i="17"/>
  <c r="D313" i="17"/>
  <c r="D382" i="17"/>
  <c r="D438" i="17"/>
  <c r="D462" i="17"/>
  <c r="D625" i="17"/>
  <c r="D3" i="17"/>
  <c r="D11" i="17"/>
  <c r="D19" i="17"/>
  <c r="D27" i="17"/>
  <c r="D35" i="17"/>
  <c r="D43" i="17"/>
  <c r="D51" i="17"/>
  <c r="D59" i="17"/>
  <c r="D67" i="17"/>
  <c r="D75" i="17"/>
  <c r="D83" i="17"/>
  <c r="D91" i="17"/>
  <c r="D99" i="17"/>
  <c r="D107" i="17"/>
  <c r="D115" i="17"/>
  <c r="D123" i="17"/>
  <c r="D131" i="17"/>
  <c r="D139" i="17"/>
  <c r="D147" i="17"/>
  <c r="D155" i="17"/>
  <c r="D163" i="17"/>
  <c r="D171" i="17"/>
  <c r="D310" i="17"/>
  <c r="D334" i="17"/>
  <c r="D345" i="17"/>
  <c r="D369" i="17"/>
  <c r="D406" i="17"/>
  <c r="D505" i="17"/>
  <c r="D8" i="17"/>
  <c r="D16" i="17"/>
  <c r="D24" i="17"/>
  <c r="D32" i="17"/>
  <c r="D40" i="17"/>
  <c r="D48" i="17"/>
  <c r="D56" i="17"/>
  <c r="D64" i="17"/>
  <c r="D72" i="17"/>
  <c r="D80" i="17"/>
  <c r="D88" i="17"/>
  <c r="D96" i="17"/>
  <c r="D104" i="17"/>
  <c r="D112" i="17"/>
  <c r="D120" i="17"/>
  <c r="D128" i="17"/>
  <c r="D136" i="17"/>
  <c r="D144" i="17"/>
  <c r="D152" i="17"/>
  <c r="D160" i="17"/>
  <c r="D168" i="17"/>
  <c r="D182" i="17"/>
  <c r="D190" i="17"/>
  <c r="D198" i="17"/>
  <c r="D206" i="17"/>
  <c r="D214" i="17"/>
  <c r="D222" i="17"/>
  <c r="D230" i="17"/>
  <c r="D238" i="17"/>
  <c r="D246" i="17"/>
  <c r="D254" i="17"/>
  <c r="D262" i="17"/>
  <c r="D270" i="17"/>
  <c r="D278" i="17"/>
  <c r="D286" i="17"/>
  <c r="D294" i="17"/>
  <c r="D366" i="17"/>
  <c r="D393" i="17"/>
  <c r="D868" i="17"/>
  <c r="D1056" i="17"/>
  <c r="D549" i="16"/>
  <c r="D138" i="16"/>
  <c r="D130" i="16"/>
  <c r="D122" i="16"/>
  <c r="D98" i="16"/>
  <c r="D34" i="16"/>
  <c r="D26" i="16"/>
  <c r="D336" i="16"/>
  <c r="D268" i="16"/>
  <c r="D42" i="16"/>
  <c r="D18" i="16"/>
  <c r="D10" i="16"/>
  <c r="D66" i="16"/>
  <c r="D58" i="16"/>
  <c r="D47" i="16"/>
  <c r="D459" i="16"/>
  <c r="D272" i="16"/>
  <c r="D114" i="16"/>
  <c r="D106" i="16"/>
  <c r="D90" i="16"/>
  <c r="D82" i="16"/>
  <c r="D74" i="16"/>
  <c r="D50" i="16"/>
  <c r="D103" i="16"/>
  <c r="D95" i="16"/>
  <c r="D87" i="16"/>
  <c r="D79" i="16"/>
  <c r="D71" i="16"/>
  <c r="D63" i="16"/>
  <c r="D55" i="16"/>
  <c r="D39" i="16"/>
  <c r="D31" i="16"/>
  <c r="D23" i="16"/>
  <c r="D15" i="16"/>
  <c r="D7" i="16"/>
  <c r="D440" i="16"/>
  <c r="D5" i="16"/>
  <c r="D13" i="16"/>
  <c r="D21" i="16"/>
  <c r="D29" i="16"/>
  <c r="D37" i="16"/>
  <c r="D45" i="16"/>
  <c r="D53" i="16"/>
  <c r="D61" i="16"/>
  <c r="D69" i="16"/>
  <c r="D77" i="16"/>
  <c r="D85" i="16"/>
  <c r="D93" i="16"/>
  <c r="D101" i="16"/>
  <c r="D109" i="16"/>
  <c r="D117" i="16"/>
  <c r="D125" i="16"/>
  <c r="D133" i="16"/>
  <c r="D143" i="16"/>
  <c r="D147" i="16"/>
  <c r="D151" i="16"/>
  <c r="D155" i="16"/>
  <c r="D159" i="16"/>
  <c r="D163" i="16"/>
  <c r="D167" i="16"/>
  <c r="D171" i="16"/>
  <c r="D175" i="16"/>
  <c r="D179" i="16"/>
  <c r="D183" i="16"/>
  <c r="D187" i="16"/>
  <c r="D191" i="16"/>
  <c r="D195" i="16"/>
  <c r="D199" i="16"/>
  <c r="D206" i="16"/>
  <c r="D214" i="16"/>
  <c r="D222" i="16"/>
  <c r="D230" i="16"/>
  <c r="D238" i="16"/>
  <c r="D246" i="16"/>
  <c r="D254" i="16"/>
  <c r="D262" i="16"/>
  <c r="D280" i="16"/>
  <c r="D344" i="16"/>
  <c r="D444" i="16"/>
  <c r="D111" i="16"/>
  <c r="D119" i="16"/>
  <c r="D127" i="16"/>
  <c r="D135" i="16"/>
  <c r="D204" i="16"/>
  <c r="D212" i="16"/>
  <c r="D220" i="16"/>
  <c r="D228" i="16"/>
  <c r="D236" i="16"/>
  <c r="D244" i="16"/>
  <c r="D252" i="16"/>
  <c r="D260" i="16"/>
  <c r="D328" i="16"/>
  <c r="D436" i="16"/>
  <c r="D464" i="16"/>
  <c r="D4" i="16"/>
  <c r="D12" i="16"/>
  <c r="D20" i="16"/>
  <c r="D28" i="16"/>
  <c r="D36" i="16"/>
  <c r="D44" i="16"/>
  <c r="D52" i="16"/>
  <c r="D60" i="16"/>
  <c r="D68" i="16"/>
  <c r="D76" i="16"/>
  <c r="D84" i="16"/>
  <c r="D92" i="16"/>
  <c r="D100" i="16"/>
  <c r="D108" i="16"/>
  <c r="D116" i="16"/>
  <c r="D124" i="16"/>
  <c r="D132" i="16"/>
  <c r="D140" i="16"/>
  <c r="D142" i="16"/>
  <c r="D146" i="16"/>
  <c r="D150" i="16"/>
  <c r="D154" i="16"/>
  <c r="D158" i="16"/>
  <c r="D162" i="16"/>
  <c r="D166" i="16"/>
  <c r="D170" i="16"/>
  <c r="D174" i="16"/>
  <c r="D178" i="16"/>
  <c r="D182" i="16"/>
  <c r="D186" i="16"/>
  <c r="D190" i="16"/>
  <c r="D194" i="16"/>
  <c r="D198" i="16"/>
  <c r="D202" i="16"/>
  <c r="D266" i="16"/>
  <c r="D320" i="16"/>
  <c r="D432" i="16"/>
  <c r="D485" i="16"/>
  <c r="D9" i="16"/>
  <c r="D17" i="16"/>
  <c r="D25" i="16"/>
  <c r="D33" i="16"/>
  <c r="D41" i="16"/>
  <c r="D49" i="16"/>
  <c r="D57" i="16"/>
  <c r="D65" i="16"/>
  <c r="D73" i="16"/>
  <c r="D81" i="16"/>
  <c r="D89" i="16"/>
  <c r="D97" i="16"/>
  <c r="D105" i="16"/>
  <c r="D113" i="16"/>
  <c r="D121" i="16"/>
  <c r="D129" i="16"/>
  <c r="D137" i="16"/>
  <c r="D144" i="16"/>
  <c r="D148" i="16"/>
  <c r="D152" i="16"/>
  <c r="D156" i="16"/>
  <c r="D160" i="16"/>
  <c r="D164" i="16"/>
  <c r="D168" i="16"/>
  <c r="D172" i="16"/>
  <c r="D176" i="16"/>
  <c r="D180" i="16"/>
  <c r="D184" i="16"/>
  <c r="D188" i="16"/>
  <c r="D192" i="16"/>
  <c r="D196" i="16"/>
  <c r="D200" i="16"/>
  <c r="D210" i="16"/>
  <c r="D218" i="16"/>
  <c r="D226" i="16"/>
  <c r="D234" i="16"/>
  <c r="D242" i="16"/>
  <c r="D250" i="16"/>
  <c r="D258" i="16"/>
  <c r="D312" i="16"/>
  <c r="D376" i="16"/>
  <c r="D392" i="16"/>
  <c r="D408" i="16"/>
  <c r="D428" i="16"/>
  <c r="D1994" i="16"/>
  <c r="D1986" i="16"/>
  <c r="D1978" i="16"/>
  <c r="D1970" i="16"/>
  <c r="D1962" i="16"/>
  <c r="D1954" i="16"/>
  <c r="D1946" i="16"/>
  <c r="D1938" i="16"/>
  <c r="D1930" i="16"/>
  <c r="D1922" i="16"/>
  <c r="D1914" i="16"/>
  <c r="D1906" i="16"/>
  <c r="D1898" i="16"/>
  <c r="D1890" i="16"/>
  <c r="D1997" i="16"/>
  <c r="D1989" i="16"/>
  <c r="D1981" i="16"/>
  <c r="D1973" i="16"/>
  <c r="D1965" i="16"/>
  <c r="D1957" i="16"/>
  <c r="D1949" i="16"/>
  <c r="D1941" i="16"/>
  <c r="D1933" i="16"/>
  <c r="D1925" i="16"/>
  <c r="D1917" i="16"/>
  <c r="D1909" i="16"/>
  <c r="D1901" i="16"/>
  <c r="D1893" i="16"/>
  <c r="D2000" i="16"/>
  <c r="D1992" i="16"/>
  <c r="D1984" i="16"/>
  <c r="D1976" i="16"/>
  <c r="D1968" i="16"/>
  <c r="D1960" i="16"/>
  <c r="D1952" i="16"/>
  <c r="D1944" i="16"/>
  <c r="D1936" i="16"/>
  <c r="D1928" i="16"/>
  <c r="D1920" i="16"/>
  <c r="D1912" i="16"/>
  <c r="D1904" i="16"/>
  <c r="D1995" i="16"/>
  <c r="D1987" i="16"/>
  <c r="D1979" i="16"/>
  <c r="D1971" i="16"/>
  <c r="D1963" i="16"/>
  <c r="D1955" i="16"/>
  <c r="D1947" i="16"/>
  <c r="D1939" i="16"/>
  <c r="D1931" i="16"/>
  <c r="D1923" i="16"/>
  <c r="D1915" i="16"/>
  <c r="D1907" i="16"/>
  <c r="D1899" i="16"/>
  <c r="D1891" i="16"/>
  <c r="D1883" i="16"/>
  <c r="D1875" i="16"/>
  <c r="D1867" i="16"/>
  <c r="D1859" i="16"/>
  <c r="D1851" i="16"/>
  <c r="D1843" i="16"/>
  <c r="D1835" i="16"/>
  <c r="D1998" i="16"/>
  <c r="D1990" i="16"/>
  <c r="D1982" i="16"/>
  <c r="D1974" i="16"/>
  <c r="D1966" i="16"/>
  <c r="D1958" i="16"/>
  <c r="D1950" i="16"/>
  <c r="D1942" i="16"/>
  <c r="D1934" i="16"/>
  <c r="D1926" i="16"/>
  <c r="D1918" i="16"/>
  <c r="D1910" i="16"/>
  <c r="D1902" i="16"/>
  <c r="D1894" i="16"/>
  <c r="D1993" i="16"/>
  <c r="D1985" i="16"/>
  <c r="D1977" i="16"/>
  <c r="D1969" i="16"/>
  <c r="D1961" i="16"/>
  <c r="D1953" i="16"/>
  <c r="D1945" i="16"/>
  <c r="D1937" i="16"/>
  <c r="D1929" i="16"/>
  <c r="D1921" i="16"/>
  <c r="D1913" i="16"/>
  <c r="D1905" i="16"/>
  <c r="D1999" i="16"/>
  <c r="D1991" i="16"/>
  <c r="D1983" i="16"/>
  <c r="D1975" i="16"/>
  <c r="D1967" i="16"/>
  <c r="D1959" i="16"/>
  <c r="D1951" i="16"/>
  <c r="D1943" i="16"/>
  <c r="D1935" i="16"/>
  <c r="D1927" i="16"/>
  <c r="D1919" i="16"/>
  <c r="D1911" i="16"/>
  <c r="D1903" i="16"/>
  <c r="D1895" i="16"/>
  <c r="D1887" i="16"/>
  <c r="D1879" i="16"/>
  <c r="D1871" i="16"/>
  <c r="D1863" i="16"/>
  <c r="D1855" i="16"/>
  <c r="D1847" i="16"/>
  <c r="D1839" i="16"/>
  <c r="D1831" i="16"/>
  <c r="D1932" i="16"/>
  <c r="D1888" i="16"/>
  <c r="D1956" i="16"/>
  <c r="D1897" i="16"/>
  <c r="D1828" i="16"/>
  <c r="D1820" i="16"/>
  <c r="D1812" i="16"/>
  <c r="D1980" i="16"/>
  <c r="D1916" i="16"/>
  <c r="D1885" i="16"/>
  <c r="D1881" i="16"/>
  <c r="D1877" i="16"/>
  <c r="D1873" i="16"/>
  <c r="D1869" i="16"/>
  <c r="D1865" i="16"/>
  <c r="D1861" i="16"/>
  <c r="D1857" i="16"/>
  <c r="D1853" i="16"/>
  <c r="D1849" i="16"/>
  <c r="D1845" i="16"/>
  <c r="D1841" i="16"/>
  <c r="D1837" i="16"/>
  <c r="D1833" i="16"/>
  <c r="D1823" i="16"/>
  <c r="D1815" i="16"/>
  <c r="D1807" i="16"/>
  <c r="D1799" i="16"/>
  <c r="D1791" i="16"/>
  <c r="D1783" i="16"/>
  <c r="D1775" i="16"/>
  <c r="D1767" i="16"/>
  <c r="D1759" i="16"/>
  <c r="D1751" i="16"/>
  <c r="D1743" i="16"/>
  <c r="D1735" i="16"/>
  <c r="D1940" i="16"/>
  <c r="D1826" i="16"/>
  <c r="D1818" i="16"/>
  <c r="D1810" i="16"/>
  <c r="D1802" i="16"/>
  <c r="D1794" i="16"/>
  <c r="D1786" i="16"/>
  <c r="D1778" i="16"/>
  <c r="D1770" i="16"/>
  <c r="D1988" i="16"/>
  <c r="D1964" i="16"/>
  <c r="D1900" i="16"/>
  <c r="D1896" i="16"/>
  <c r="D1924" i="16"/>
  <c r="D1889" i="16"/>
  <c r="D1824" i="16"/>
  <c r="D1816" i="16"/>
  <c r="D1808" i="16"/>
  <c r="D1800" i="16"/>
  <c r="D1792" i="16"/>
  <c r="D1996" i="16"/>
  <c r="D1948" i="16"/>
  <c r="D1886" i="16"/>
  <c r="D1882" i="16"/>
  <c r="D1878" i="16"/>
  <c r="D1874" i="16"/>
  <c r="D1870" i="16"/>
  <c r="D1866" i="16"/>
  <c r="D1862" i="16"/>
  <c r="D1858" i="16"/>
  <c r="D1854" i="16"/>
  <c r="D1850" i="16"/>
  <c r="D1846" i="16"/>
  <c r="D1842" i="16"/>
  <c r="D1838" i="16"/>
  <c r="D1834" i="16"/>
  <c r="D1827" i="16"/>
  <c r="D1819" i="16"/>
  <c r="D1811" i="16"/>
  <c r="D1803" i="16"/>
  <c r="D1795" i="16"/>
  <c r="D1787" i="16"/>
  <c r="D1779" i="16"/>
  <c r="D1771" i="16"/>
  <c r="D1763" i="16"/>
  <c r="D1755" i="16"/>
  <c r="D1747" i="16"/>
  <c r="D1739" i="16"/>
  <c r="D1864" i="16"/>
  <c r="D1832" i="16"/>
  <c r="D1817" i="16"/>
  <c r="D1805" i="16"/>
  <c r="D1785" i="16"/>
  <c r="D1776" i="16"/>
  <c r="D1769" i="16"/>
  <c r="D1728" i="16"/>
  <c r="D1720" i="16"/>
  <c r="D1712" i="16"/>
  <c r="D1704" i="16"/>
  <c r="D1696" i="16"/>
  <c r="D1688" i="16"/>
  <c r="D1680" i="16"/>
  <c r="D1672" i="16"/>
  <c r="D1908" i="16"/>
  <c r="D1892" i="16"/>
  <c r="D1868" i="16"/>
  <c r="D1836" i="16"/>
  <c r="D1822" i="16"/>
  <c r="D1797" i="16"/>
  <c r="D1773" i="16"/>
  <c r="D1762" i="16"/>
  <c r="D1758" i="16"/>
  <c r="D1754" i="16"/>
  <c r="D1750" i="16"/>
  <c r="D1746" i="16"/>
  <c r="D1742" i="16"/>
  <c r="D1738" i="16"/>
  <c r="D1731" i="16"/>
  <c r="D1723" i="16"/>
  <c r="D1715" i="16"/>
  <c r="D1707" i="16"/>
  <c r="D1699" i="16"/>
  <c r="D1691" i="16"/>
  <c r="D1872" i="16"/>
  <c r="D1840" i="16"/>
  <c r="D1825" i="16"/>
  <c r="D1813" i="16"/>
  <c r="D1789" i="16"/>
  <c r="D1782" i="16"/>
  <c r="D1780" i="16"/>
  <c r="D1766" i="16"/>
  <c r="D1764" i="16"/>
  <c r="D1760" i="16"/>
  <c r="D1756" i="16"/>
  <c r="D1752" i="16"/>
  <c r="D1748" i="16"/>
  <c r="D1744" i="16"/>
  <c r="D1740" i="16"/>
  <c r="D1736" i="16"/>
  <c r="D1734" i="16"/>
  <c r="D1726" i="16"/>
  <c r="D1718" i="16"/>
  <c r="D1710" i="16"/>
  <c r="D1702" i="16"/>
  <c r="D1876" i="16"/>
  <c r="D1844" i="16"/>
  <c r="D1830" i="16"/>
  <c r="D1729" i="16"/>
  <c r="D1721" i="16"/>
  <c r="D1713" i="16"/>
  <c r="D1705" i="16"/>
  <c r="D1697" i="16"/>
  <c r="D1880" i="16"/>
  <c r="D1848" i="16"/>
  <c r="D1821" i="16"/>
  <c r="D1784" i="16"/>
  <c r="D1777" i="16"/>
  <c r="D1768" i="16"/>
  <c r="D1732" i="16"/>
  <c r="D1724" i="16"/>
  <c r="D1716" i="16"/>
  <c r="D1708" i="16"/>
  <c r="D1700" i="16"/>
  <c r="D1692" i="16"/>
  <c r="D1684" i="16"/>
  <c r="D1676" i="16"/>
  <c r="D1668" i="16"/>
  <c r="D1660" i="16"/>
  <c r="D1652" i="16"/>
  <c r="D1644" i="16"/>
  <c r="D1636" i="16"/>
  <c r="D1884" i="16"/>
  <c r="D1852" i="16"/>
  <c r="D1806" i="16"/>
  <c r="D1804" i="16"/>
  <c r="D1781" i="16"/>
  <c r="D1765" i="16"/>
  <c r="D1761" i="16"/>
  <c r="D1757" i="16"/>
  <c r="D1753" i="16"/>
  <c r="D1749" i="16"/>
  <c r="D1745" i="16"/>
  <c r="D1741" i="16"/>
  <c r="D1737" i="16"/>
  <c r="D1727" i="16"/>
  <c r="D1719" i="16"/>
  <c r="D1711" i="16"/>
  <c r="D1703" i="16"/>
  <c r="D1695" i="16"/>
  <c r="D1687" i="16"/>
  <c r="D1679" i="16"/>
  <c r="D1671" i="16"/>
  <c r="D1860" i="16"/>
  <c r="D1814" i="16"/>
  <c r="D1793" i="16"/>
  <c r="D1790" i="16"/>
  <c r="D1788" i="16"/>
  <c r="D1733" i="16"/>
  <c r="D1725" i="16"/>
  <c r="D1717" i="16"/>
  <c r="D1709" i="16"/>
  <c r="D1701" i="16"/>
  <c r="D1693" i="16"/>
  <c r="D1685" i="16"/>
  <c r="D1677" i="16"/>
  <c r="D1669" i="16"/>
  <c r="D1661" i="16"/>
  <c r="D1653" i="16"/>
  <c r="D1645" i="16"/>
  <c r="D1637" i="16"/>
  <c r="D1772" i="16"/>
  <c r="D1730" i="16"/>
  <c r="D1698" i="16"/>
  <c r="D1664" i="16"/>
  <c r="D1656" i="16"/>
  <c r="D1648" i="16"/>
  <c r="D1640" i="16"/>
  <c r="D1632" i="16"/>
  <c r="D1624" i="16"/>
  <c r="D1616" i="16"/>
  <c r="D1608" i="16"/>
  <c r="D1600" i="16"/>
  <c r="D1592" i="16"/>
  <c r="D1584" i="16"/>
  <c r="D1576" i="16"/>
  <c r="D1568" i="16"/>
  <c r="D1560" i="16"/>
  <c r="D1552" i="16"/>
  <c r="D1544" i="16"/>
  <c r="D1536" i="16"/>
  <c r="D1528" i="16"/>
  <c r="D1801" i="16"/>
  <c r="D1690" i="16"/>
  <c r="D1682" i="16"/>
  <c r="D1674" i="16"/>
  <c r="D1666" i="16"/>
  <c r="D1662" i="16"/>
  <c r="D1658" i="16"/>
  <c r="D1654" i="16"/>
  <c r="D1650" i="16"/>
  <c r="D1646" i="16"/>
  <c r="D1642" i="16"/>
  <c r="D1638" i="16"/>
  <c r="D1634" i="16"/>
  <c r="D1627" i="16"/>
  <c r="D1619" i="16"/>
  <c r="D1611" i="16"/>
  <c r="D1603" i="16"/>
  <c r="D1595" i="16"/>
  <c r="D1587" i="16"/>
  <c r="D1579" i="16"/>
  <c r="D1571" i="16"/>
  <c r="D1563" i="16"/>
  <c r="D1796" i="16"/>
  <c r="D1706" i="16"/>
  <c r="D1630" i="16"/>
  <c r="D1622" i="16"/>
  <c r="D1614" i="16"/>
  <c r="D1606" i="16"/>
  <c r="D1598" i="16"/>
  <c r="D1590" i="16"/>
  <c r="D1582" i="16"/>
  <c r="D1574" i="16"/>
  <c r="D1566" i="16"/>
  <c r="D1558" i="16"/>
  <c r="D1550" i="16"/>
  <c r="D1542" i="16"/>
  <c r="D1534" i="16"/>
  <c r="D1625" i="16"/>
  <c r="D1617" i="16"/>
  <c r="D1609" i="16"/>
  <c r="D1601" i="16"/>
  <c r="D1593" i="16"/>
  <c r="D1585" i="16"/>
  <c r="D1577" i="16"/>
  <c r="D1569" i="16"/>
  <c r="D1561" i="16"/>
  <c r="D1553" i="16"/>
  <c r="D1545" i="16"/>
  <c r="D1537" i="16"/>
  <c r="D1529" i="16"/>
  <c r="D1521" i="16"/>
  <c r="D1829" i="16"/>
  <c r="D1809" i="16"/>
  <c r="D1774" i="16"/>
  <c r="D1714" i="16"/>
  <c r="D1663" i="16"/>
  <c r="D1655" i="16"/>
  <c r="D1647" i="16"/>
  <c r="D1639" i="16"/>
  <c r="D1628" i="16"/>
  <c r="D1620" i="16"/>
  <c r="D1612" i="16"/>
  <c r="D1604" i="16"/>
  <c r="D1596" i="16"/>
  <c r="D1588" i="16"/>
  <c r="D1580" i="16"/>
  <c r="D1572" i="16"/>
  <c r="D1564" i="16"/>
  <c r="D1556" i="16"/>
  <c r="D1548" i="16"/>
  <c r="D1540" i="16"/>
  <c r="D1532" i="16"/>
  <c r="D1524" i="16"/>
  <c r="D1972" i="16"/>
  <c r="D1689" i="16"/>
  <c r="D1681" i="16"/>
  <c r="D1673" i="16"/>
  <c r="D1665" i="16"/>
  <c r="D1659" i="16"/>
  <c r="D1657" i="16"/>
  <c r="D1651" i="16"/>
  <c r="D1649" i="16"/>
  <c r="D1643" i="16"/>
  <c r="D1641" i="16"/>
  <c r="D1635" i="16"/>
  <c r="D1633" i="16"/>
  <c r="D1631" i="16"/>
  <c r="D1623" i="16"/>
  <c r="D1615" i="16"/>
  <c r="D1607" i="16"/>
  <c r="D1599" i="16"/>
  <c r="D1591" i="16"/>
  <c r="D1583" i="16"/>
  <c r="D1575" i="16"/>
  <c r="D1567" i="16"/>
  <c r="D1559" i="16"/>
  <c r="D1798" i="16"/>
  <c r="D1722" i="16"/>
  <c r="D1686" i="16"/>
  <c r="D1683" i="16"/>
  <c r="D1678" i="16"/>
  <c r="D1675" i="16"/>
  <c r="D1670" i="16"/>
  <c r="D1667" i="16"/>
  <c r="D1626" i="16"/>
  <c r="D1618" i="16"/>
  <c r="D1610" i="16"/>
  <c r="D1602" i="16"/>
  <c r="D1594" i="16"/>
  <c r="D1586" i="16"/>
  <c r="D1578" i="16"/>
  <c r="D1570" i="16"/>
  <c r="D1562" i="16"/>
  <c r="D1554" i="16"/>
  <c r="D1546" i="16"/>
  <c r="D1538" i="16"/>
  <c r="D1530" i="16"/>
  <c r="D1522" i="16"/>
  <c r="D1514" i="16"/>
  <c r="D1506" i="16"/>
  <c r="D1498" i="16"/>
  <c r="D1629" i="16"/>
  <c r="D1565" i="16"/>
  <c r="D1516" i="16"/>
  <c r="D1500" i="16"/>
  <c r="D1493" i="16"/>
  <c r="D1485" i="16"/>
  <c r="D1477" i="16"/>
  <c r="D1469" i="16"/>
  <c r="D1461" i="16"/>
  <c r="D1694" i="16"/>
  <c r="D1573" i="16"/>
  <c r="D1547" i="16"/>
  <c r="D1541" i="16"/>
  <c r="D1535" i="16"/>
  <c r="D1520" i="16"/>
  <c r="D1518" i="16"/>
  <c r="D1507" i="16"/>
  <c r="D1488" i="16"/>
  <c r="D1480" i="16"/>
  <c r="D1472" i="16"/>
  <c r="D1464" i="16"/>
  <c r="D1456" i="16"/>
  <c r="D1448" i="16"/>
  <c r="D1440" i="16"/>
  <c r="D1432" i="16"/>
  <c r="D1424" i="16"/>
  <c r="D1581" i="16"/>
  <c r="D1526" i="16"/>
  <c r="D1512" i="16"/>
  <c r="D1505" i="16"/>
  <c r="D1496" i="16"/>
  <c r="D1491" i="16"/>
  <c r="D1483" i="16"/>
  <c r="D1475" i="16"/>
  <c r="D1467" i="16"/>
  <c r="D1459" i="16"/>
  <c r="D1451" i="16"/>
  <c r="D1443" i="16"/>
  <c r="D1589" i="16"/>
  <c r="D1531" i="16"/>
  <c r="D1510" i="16"/>
  <c r="D1503" i="16"/>
  <c r="D1501" i="16"/>
  <c r="D1494" i="16"/>
  <c r="D1486" i="16"/>
  <c r="D1478" i="16"/>
  <c r="D1470" i="16"/>
  <c r="D1462" i="16"/>
  <c r="D1454" i="16"/>
  <c r="D1446" i="16"/>
  <c r="D1438" i="16"/>
  <c r="D1430" i="16"/>
  <c r="D1422" i="16"/>
  <c r="D1597" i="16"/>
  <c r="D1555" i="16"/>
  <c r="D1549" i="16"/>
  <c r="D1543" i="16"/>
  <c r="D1517" i="16"/>
  <c r="D1508" i="16"/>
  <c r="D1489" i="16"/>
  <c r="D1481" i="16"/>
  <c r="D1473" i="16"/>
  <c r="D1465" i="16"/>
  <c r="D1457" i="16"/>
  <c r="D1449" i="16"/>
  <c r="D1441" i="16"/>
  <c r="D1433" i="16"/>
  <c r="D1425" i="16"/>
  <c r="D1417" i="16"/>
  <c r="D1409" i="16"/>
  <c r="D1401" i="16"/>
  <c r="D1393" i="16"/>
  <c r="D1385" i="16"/>
  <c r="D1377" i="16"/>
  <c r="D1369" i="16"/>
  <c r="D1856" i="16"/>
  <c r="D1613" i="16"/>
  <c r="D1539" i="16"/>
  <c r="D1533" i="16"/>
  <c r="D1513" i="16"/>
  <c r="D1504" i="16"/>
  <c r="D1497" i="16"/>
  <c r="D1487" i="16"/>
  <c r="D1479" i="16"/>
  <c r="D1471" i="16"/>
  <c r="D1463" i="16"/>
  <c r="D1621" i="16"/>
  <c r="D1557" i="16"/>
  <c r="D1551" i="16"/>
  <c r="D1527" i="16"/>
  <c r="D1511" i="16"/>
  <c r="D1509" i="16"/>
  <c r="D1502" i="16"/>
  <c r="D1495" i="16"/>
  <c r="D1490" i="16"/>
  <c r="D1482" i="16"/>
  <c r="D1474" i="16"/>
  <c r="D1466" i="16"/>
  <c r="D1458" i="16"/>
  <c r="D1450" i="16"/>
  <c r="D1442" i="16"/>
  <c r="D1434" i="16"/>
  <c r="D1426" i="16"/>
  <c r="D1418" i="16"/>
  <c r="D1410" i="16"/>
  <c r="D1402" i="16"/>
  <c r="D1394" i="16"/>
  <c r="D1386" i="16"/>
  <c r="D1378" i="16"/>
  <c r="D1370" i="16"/>
  <c r="D1525" i="16"/>
  <c r="D1452" i="16"/>
  <c r="D1447" i="16"/>
  <c r="D1435" i="16"/>
  <c r="D1413" i="16"/>
  <c r="D1405" i="16"/>
  <c r="D1397" i="16"/>
  <c r="D1389" i="16"/>
  <c r="D1381" i="16"/>
  <c r="D1373" i="16"/>
  <c r="D1365" i="16"/>
  <c r="D1360" i="16"/>
  <c r="D1352" i="16"/>
  <c r="D1344" i="16"/>
  <c r="D1336" i="16"/>
  <c r="D1328" i="16"/>
  <c r="D1320" i="16"/>
  <c r="D1312" i="16"/>
  <c r="D1304" i="16"/>
  <c r="D1296" i="16"/>
  <c r="D1288" i="16"/>
  <c r="D1280" i="16"/>
  <c r="D1427" i="16"/>
  <c r="D1415" i="16"/>
  <c r="D1411" i="16"/>
  <c r="D1407" i="16"/>
  <c r="D1403" i="16"/>
  <c r="D1399" i="16"/>
  <c r="D1395" i="16"/>
  <c r="D1391" i="16"/>
  <c r="D1387" i="16"/>
  <c r="D1383" i="16"/>
  <c r="D1379" i="16"/>
  <c r="D1375" i="16"/>
  <c r="D1371" i="16"/>
  <c r="D1367" i="16"/>
  <c r="D1363" i="16"/>
  <c r="D1355" i="16"/>
  <c r="D1347" i="16"/>
  <c r="D1339" i="16"/>
  <c r="D1331" i="16"/>
  <c r="D1323" i="16"/>
  <c r="D1315" i="16"/>
  <c r="D1307" i="16"/>
  <c r="D1455" i="16"/>
  <c r="D1437" i="16"/>
  <c r="D1419" i="16"/>
  <c r="D1358" i="16"/>
  <c r="D1350" i="16"/>
  <c r="D1342" i="16"/>
  <c r="D1334" i="16"/>
  <c r="D1326" i="16"/>
  <c r="D1318" i="16"/>
  <c r="D1310" i="16"/>
  <c r="D1302" i="16"/>
  <c r="D1294" i="16"/>
  <c r="D1286" i="16"/>
  <c r="D1278" i="16"/>
  <c r="D1270" i="16"/>
  <c r="D1605" i="16"/>
  <c r="D1492" i="16"/>
  <c r="D1484" i="16"/>
  <c r="D1476" i="16"/>
  <c r="D1468" i="16"/>
  <c r="D1460" i="16"/>
  <c r="D1429" i="16"/>
  <c r="D1361" i="16"/>
  <c r="D1353" i="16"/>
  <c r="D1345" i="16"/>
  <c r="D1337" i="16"/>
  <c r="D1329" i="16"/>
  <c r="D1321" i="16"/>
  <c r="D1313" i="16"/>
  <c r="D1305" i="16"/>
  <c r="D1297" i="16"/>
  <c r="D1289" i="16"/>
  <c r="D1281" i="16"/>
  <c r="D1273" i="16"/>
  <c r="D1265" i="16"/>
  <c r="D1445" i="16"/>
  <c r="D1436" i="16"/>
  <c r="D1421" i="16"/>
  <c r="D1412" i="16"/>
  <c r="D1404" i="16"/>
  <c r="D1396" i="16"/>
  <c r="D1388" i="16"/>
  <c r="D1380" i="16"/>
  <c r="D1372" i="16"/>
  <c r="D1364" i="16"/>
  <c r="D1356" i="16"/>
  <c r="D1348" i="16"/>
  <c r="D1340" i="16"/>
  <c r="D1332" i="16"/>
  <c r="D1324" i="16"/>
  <c r="D1316" i="16"/>
  <c r="D1308" i="16"/>
  <c r="D1300" i="16"/>
  <c r="D1292" i="16"/>
  <c r="D1523" i="16"/>
  <c r="D1428" i="16"/>
  <c r="D1416" i="16"/>
  <c r="D1414" i="16"/>
  <c r="D1408" i="16"/>
  <c r="D1406" i="16"/>
  <c r="D1400" i="16"/>
  <c r="D1398" i="16"/>
  <c r="D1392" i="16"/>
  <c r="D1390" i="16"/>
  <c r="D1384" i="16"/>
  <c r="D1382" i="16"/>
  <c r="D1376" i="16"/>
  <c r="D1374" i="16"/>
  <c r="D1368" i="16"/>
  <c r="D1366" i="16"/>
  <c r="D1359" i="16"/>
  <c r="D1351" i="16"/>
  <c r="D1343" i="16"/>
  <c r="D1335" i="16"/>
  <c r="D1327" i="16"/>
  <c r="D1319" i="16"/>
  <c r="D1311" i="16"/>
  <c r="D1303" i="16"/>
  <c r="D1295" i="16"/>
  <c r="D1287" i="16"/>
  <c r="D1279" i="16"/>
  <c r="D1515" i="16"/>
  <c r="D1499" i="16"/>
  <c r="D1453" i="16"/>
  <c r="D1444" i="16"/>
  <c r="D1439" i="16"/>
  <c r="D1431" i="16"/>
  <c r="D1420" i="16"/>
  <c r="D1362" i="16"/>
  <c r="D1354" i="16"/>
  <c r="D1346" i="16"/>
  <c r="D1338" i="16"/>
  <c r="D1330" i="16"/>
  <c r="D1322" i="16"/>
  <c r="D1314" i="16"/>
  <c r="D1306" i="16"/>
  <c r="D1298" i="16"/>
  <c r="D1290" i="16"/>
  <c r="D1282" i="16"/>
  <c r="D1274" i="16"/>
  <c r="D1266" i="16"/>
  <c r="D1258" i="16"/>
  <c r="D1250" i="16"/>
  <c r="D1242" i="16"/>
  <c r="D1234" i="16"/>
  <c r="D1423" i="16"/>
  <c r="D1255" i="16"/>
  <c r="D1253" i="16"/>
  <c r="D1246" i="16"/>
  <c r="D1239" i="16"/>
  <c r="D1237" i="16"/>
  <c r="D1230" i="16"/>
  <c r="D1225" i="16"/>
  <c r="D1217" i="16"/>
  <c r="D1209" i="16"/>
  <c r="D1201" i="16"/>
  <c r="D1193" i="16"/>
  <c r="D1185" i="16"/>
  <c r="D1177" i="16"/>
  <c r="D1169" i="16"/>
  <c r="D1161" i="16"/>
  <c r="D1153" i="16"/>
  <c r="D1145" i="16"/>
  <c r="D1137" i="16"/>
  <c r="D1129" i="16"/>
  <c r="D1121" i="16"/>
  <c r="D1113" i="16"/>
  <c r="D1105" i="16"/>
  <c r="D1097" i="16"/>
  <c r="D1089" i="16"/>
  <c r="D1081" i="16"/>
  <c r="D1073" i="16"/>
  <c r="D1065" i="16"/>
  <c r="D1057" i="16"/>
  <c r="D1271" i="16"/>
  <c r="D1260" i="16"/>
  <c r="D1244" i="16"/>
  <c r="D1228" i="16"/>
  <c r="D1220" i="16"/>
  <c r="D1212" i="16"/>
  <c r="D1204" i="16"/>
  <c r="D1196" i="16"/>
  <c r="D1188" i="16"/>
  <c r="D1180" i="16"/>
  <c r="D1172" i="16"/>
  <c r="D1164" i="16"/>
  <c r="D1156" i="16"/>
  <c r="D1148" i="16"/>
  <c r="D1140" i="16"/>
  <c r="D1132" i="16"/>
  <c r="D1124" i="16"/>
  <c r="D1116" i="16"/>
  <c r="D1108" i="16"/>
  <c r="D1100" i="16"/>
  <c r="D1092" i="16"/>
  <c r="D1084" i="16"/>
  <c r="D1076" i="16"/>
  <c r="D1293" i="16"/>
  <c r="D1268" i="16"/>
  <c r="D1264" i="16"/>
  <c r="D1262" i="16"/>
  <c r="D1251" i="16"/>
  <c r="D1235" i="16"/>
  <c r="D1223" i="16"/>
  <c r="D1215" i="16"/>
  <c r="D1207" i="16"/>
  <c r="D1199" i="16"/>
  <c r="D1191" i="16"/>
  <c r="D1183" i="16"/>
  <c r="D1175" i="16"/>
  <c r="D1167" i="16"/>
  <c r="D1159" i="16"/>
  <c r="D1151" i="16"/>
  <c r="D1143" i="16"/>
  <c r="D1135" i="16"/>
  <c r="D1127" i="16"/>
  <c r="D1119" i="16"/>
  <c r="D1111" i="16"/>
  <c r="D1103" i="16"/>
  <c r="D1095" i="16"/>
  <c r="D1087" i="16"/>
  <c r="D1079" i="16"/>
  <c r="D1071" i="16"/>
  <c r="D1063" i="16"/>
  <c r="D1055" i="16"/>
  <c r="D1047" i="16"/>
  <c r="D1039" i="16"/>
  <c r="D1031" i="16"/>
  <c r="D1023" i="16"/>
  <c r="D1015" i="16"/>
  <c r="D1007" i="16"/>
  <c r="D999" i="16"/>
  <c r="D991" i="16"/>
  <c r="D983" i="16"/>
  <c r="D1283" i="16"/>
  <c r="D1277" i="16"/>
  <c r="D1275" i="16"/>
  <c r="D1256" i="16"/>
  <c r="D1249" i="16"/>
  <c r="D1240" i="16"/>
  <c r="D1233" i="16"/>
  <c r="D1226" i="16"/>
  <c r="D1218" i="16"/>
  <c r="D1210" i="16"/>
  <c r="D1202" i="16"/>
  <c r="D1194" i="16"/>
  <c r="D1186" i="16"/>
  <c r="D1178" i="16"/>
  <c r="D1170" i="16"/>
  <c r="D1162" i="16"/>
  <c r="D1154" i="16"/>
  <c r="D1146" i="16"/>
  <c r="D1138" i="16"/>
  <c r="D1130" i="16"/>
  <c r="D1122" i="16"/>
  <c r="D1114" i="16"/>
  <c r="D1106" i="16"/>
  <c r="D1098" i="16"/>
  <c r="D1090" i="16"/>
  <c r="D1082" i="16"/>
  <c r="D1074" i="16"/>
  <c r="D1066" i="16"/>
  <c r="D1058" i="16"/>
  <c r="D1050" i="16"/>
  <c r="D1042" i="16"/>
  <c r="D1034" i="16"/>
  <c r="D1026" i="16"/>
  <c r="D1519" i="16"/>
  <c r="D1299" i="16"/>
  <c r="D1254" i="16"/>
  <c r="D1247" i="16"/>
  <c r="D1245" i="16"/>
  <c r="D1238" i="16"/>
  <c r="D1231" i="16"/>
  <c r="D1229" i="16"/>
  <c r="D1221" i="16"/>
  <c r="D1213" i="16"/>
  <c r="D1205" i="16"/>
  <c r="D1197" i="16"/>
  <c r="D1189" i="16"/>
  <c r="D1181" i="16"/>
  <c r="D1173" i="16"/>
  <c r="D1165" i="16"/>
  <c r="D1157" i="16"/>
  <c r="D1149" i="16"/>
  <c r="D1141" i="16"/>
  <c r="D1133" i="16"/>
  <c r="D1125" i="16"/>
  <c r="D1117" i="16"/>
  <c r="D1109" i="16"/>
  <c r="D1101" i="16"/>
  <c r="D1285" i="16"/>
  <c r="D1272" i="16"/>
  <c r="D1261" i="16"/>
  <c r="D1252" i="16"/>
  <c r="D1236" i="16"/>
  <c r="D1224" i="16"/>
  <c r="D1216" i="16"/>
  <c r="D1208" i="16"/>
  <c r="D1200" i="16"/>
  <c r="D1192" i="16"/>
  <c r="D1184" i="16"/>
  <c r="D1176" i="16"/>
  <c r="D1168" i="16"/>
  <c r="D1160" i="16"/>
  <c r="D1152" i="16"/>
  <c r="D1144" i="16"/>
  <c r="D1136" i="16"/>
  <c r="D1128" i="16"/>
  <c r="D1120" i="16"/>
  <c r="D1112" i="16"/>
  <c r="D1104" i="16"/>
  <c r="D1096" i="16"/>
  <c r="D1088" i="16"/>
  <c r="D1080" i="16"/>
  <c r="D1357" i="16"/>
  <c r="D1349" i="16"/>
  <c r="D1341" i="16"/>
  <c r="D1333" i="16"/>
  <c r="D1325" i="16"/>
  <c r="D1317" i="16"/>
  <c r="D1309" i="16"/>
  <c r="D1276" i="16"/>
  <c r="D1263" i="16"/>
  <c r="D1259" i="16"/>
  <c r="D1243" i="16"/>
  <c r="D1227" i="16"/>
  <c r="D1219" i="16"/>
  <c r="D1211" i="16"/>
  <c r="D1203" i="16"/>
  <c r="D1195" i="16"/>
  <c r="D1187" i="16"/>
  <c r="D1179" i="16"/>
  <c r="D1171" i="16"/>
  <c r="D1163" i="16"/>
  <c r="D1155" i="16"/>
  <c r="D1147" i="16"/>
  <c r="D1139" i="16"/>
  <c r="D1131" i="16"/>
  <c r="D1123" i="16"/>
  <c r="D1115" i="16"/>
  <c r="D1107" i="16"/>
  <c r="D1099" i="16"/>
  <c r="D1091" i="16"/>
  <c r="D1083" i="16"/>
  <c r="D1075" i="16"/>
  <c r="D1067" i="16"/>
  <c r="D1059" i="16"/>
  <c r="D1051" i="16"/>
  <c r="D1043" i="16"/>
  <c r="D1035" i="16"/>
  <c r="D1027" i="16"/>
  <c r="D1019" i="16"/>
  <c r="D1011" i="16"/>
  <c r="D1003" i="16"/>
  <c r="D995" i="16"/>
  <c r="D987" i="16"/>
  <c r="D1267" i="16"/>
  <c r="D1222" i="16"/>
  <c r="D1158" i="16"/>
  <c r="D1053" i="16"/>
  <c r="D1037" i="16"/>
  <c r="D1021" i="16"/>
  <c r="D1017" i="16"/>
  <c r="D1013" i="16"/>
  <c r="D1009" i="16"/>
  <c r="D1005" i="16"/>
  <c r="D1001" i="16"/>
  <c r="D997" i="16"/>
  <c r="D993" i="16"/>
  <c r="D989" i="16"/>
  <c r="D985" i="16"/>
  <c r="D981" i="16"/>
  <c r="D976" i="16"/>
  <c r="D968" i="16"/>
  <c r="D960" i="16"/>
  <c r="D952" i="16"/>
  <c r="D944" i="16"/>
  <c r="D936" i="16"/>
  <c r="D928" i="16"/>
  <c r="D920" i="16"/>
  <c r="D912" i="16"/>
  <c r="D904" i="16"/>
  <c r="D896" i="16"/>
  <c r="D1301" i="16"/>
  <c r="D1257" i="16"/>
  <c r="D1166" i="16"/>
  <c r="D1102" i="16"/>
  <c r="D1094" i="16"/>
  <c r="D1046" i="16"/>
  <c r="D1044" i="16"/>
  <c r="D1030" i="16"/>
  <c r="D1028" i="16"/>
  <c r="D979" i="16"/>
  <c r="D971" i="16"/>
  <c r="D963" i="16"/>
  <c r="D955" i="16"/>
  <c r="D947" i="16"/>
  <c r="D939" i="16"/>
  <c r="D931" i="16"/>
  <c r="D923" i="16"/>
  <c r="D1291" i="16"/>
  <c r="D1241" i="16"/>
  <c r="D1174" i="16"/>
  <c r="D1110" i="16"/>
  <c r="D1068" i="16"/>
  <c r="D1060" i="16"/>
  <c r="D974" i="16"/>
  <c r="D966" i="16"/>
  <c r="D958" i="16"/>
  <c r="D950" i="16"/>
  <c r="D942" i="16"/>
  <c r="D934" i="16"/>
  <c r="D1269" i="16"/>
  <c r="D1182" i="16"/>
  <c r="D1118" i="16"/>
  <c r="D1093" i="16"/>
  <c r="D1086" i="16"/>
  <c r="D1048" i="16"/>
  <c r="D1041" i="16"/>
  <c r="D1032" i="16"/>
  <c r="D1025" i="16"/>
  <c r="D977" i="16"/>
  <c r="D969" i="16"/>
  <c r="D961" i="16"/>
  <c r="D953" i="16"/>
  <c r="D945" i="16"/>
  <c r="D937" i="16"/>
  <c r="D929" i="16"/>
  <c r="D921" i="16"/>
  <c r="D913" i="16"/>
  <c r="D905" i="16"/>
  <c r="D1248" i="16"/>
  <c r="D1232" i="16"/>
  <c r="D1190" i="16"/>
  <c r="D1126" i="16"/>
  <c r="D1070" i="16"/>
  <c r="D1062" i="16"/>
  <c r="D1045" i="16"/>
  <c r="D1029" i="16"/>
  <c r="D1018" i="16"/>
  <c r="D1014" i="16"/>
  <c r="D1010" i="16"/>
  <c r="D1006" i="16"/>
  <c r="D1002" i="16"/>
  <c r="D998" i="16"/>
  <c r="D994" i="16"/>
  <c r="D990" i="16"/>
  <c r="D986" i="16"/>
  <c r="D982" i="16"/>
  <c r="D972" i="16"/>
  <c r="D964" i="16"/>
  <c r="D956" i="16"/>
  <c r="D948" i="16"/>
  <c r="D940" i="16"/>
  <c r="D932" i="16"/>
  <c r="D924" i="16"/>
  <c r="D916" i="16"/>
  <c r="D908" i="16"/>
  <c r="D900" i="16"/>
  <c r="D892" i="16"/>
  <c r="D884" i="16"/>
  <c r="D876" i="16"/>
  <c r="D868" i="16"/>
  <c r="D860" i="16"/>
  <c r="D1198" i="16"/>
  <c r="D1134" i="16"/>
  <c r="D1085" i="16"/>
  <c r="D1078" i="16"/>
  <c r="D1054" i="16"/>
  <c r="D1052" i="16"/>
  <c r="D1038" i="16"/>
  <c r="D1036" i="16"/>
  <c r="D1022" i="16"/>
  <c r="D1020" i="16"/>
  <c r="D1016" i="16"/>
  <c r="D1012" i="16"/>
  <c r="D1008" i="16"/>
  <c r="D1004" i="16"/>
  <c r="D1000" i="16"/>
  <c r="D996" i="16"/>
  <c r="D992" i="16"/>
  <c r="D988" i="16"/>
  <c r="D984" i="16"/>
  <c r="D980" i="16"/>
  <c r="D975" i="16"/>
  <c r="D967" i="16"/>
  <c r="D959" i="16"/>
  <c r="D951" i="16"/>
  <c r="D943" i="16"/>
  <c r="D935" i="16"/>
  <c r="D927" i="16"/>
  <c r="D919" i="16"/>
  <c r="D911" i="16"/>
  <c r="D903" i="16"/>
  <c r="D895" i="16"/>
  <c r="D1284" i="16"/>
  <c r="D1214" i="16"/>
  <c r="D1150" i="16"/>
  <c r="D1077" i="16"/>
  <c r="D1072" i="16"/>
  <c r="D1064" i="16"/>
  <c r="D1056" i="16"/>
  <c r="D1049" i="16"/>
  <c r="D1040" i="16"/>
  <c r="D1033" i="16"/>
  <c r="D1024" i="16"/>
  <c r="D973" i="16"/>
  <c r="D965" i="16"/>
  <c r="D957" i="16"/>
  <c r="D949" i="16"/>
  <c r="D941" i="16"/>
  <c r="D933" i="16"/>
  <c r="D925" i="16"/>
  <c r="D917" i="16"/>
  <c r="D909" i="16"/>
  <c r="D901" i="16"/>
  <c r="D893" i="16"/>
  <c r="D885" i="16"/>
  <c r="D877" i="16"/>
  <c r="D869" i="16"/>
  <c r="D861" i="16"/>
  <c r="D954" i="16"/>
  <c r="D898" i="16"/>
  <c r="D852" i="16"/>
  <c r="D844" i="16"/>
  <c r="D836" i="16"/>
  <c r="D828" i="16"/>
  <c r="D820" i="16"/>
  <c r="D812" i="16"/>
  <c r="D804" i="16"/>
  <c r="D796" i="16"/>
  <c r="D788" i="16"/>
  <c r="D780" i="16"/>
  <c r="D772" i="16"/>
  <c r="D764" i="16"/>
  <c r="D756" i="16"/>
  <c r="D748" i="16"/>
  <c r="D740" i="16"/>
  <c r="D732" i="16"/>
  <c r="D724" i="16"/>
  <c r="D716" i="16"/>
  <c r="D708" i="16"/>
  <c r="D700" i="16"/>
  <c r="D692" i="16"/>
  <c r="D926" i="16"/>
  <c r="D915" i="16"/>
  <c r="D906" i="16"/>
  <c r="D887" i="16"/>
  <c r="D879" i="16"/>
  <c r="D871" i="16"/>
  <c r="D863" i="16"/>
  <c r="D855" i="16"/>
  <c r="D847" i="16"/>
  <c r="D839" i="16"/>
  <c r="D831" i="16"/>
  <c r="D823" i="16"/>
  <c r="D815" i="16"/>
  <c r="D807" i="16"/>
  <c r="D799" i="16"/>
  <c r="D791" i="16"/>
  <c r="D783" i="16"/>
  <c r="D775" i="16"/>
  <c r="D767" i="16"/>
  <c r="D759" i="16"/>
  <c r="D751" i="16"/>
  <c r="D743" i="16"/>
  <c r="D735" i="16"/>
  <c r="D727" i="16"/>
  <c r="D719" i="16"/>
  <c r="D711" i="16"/>
  <c r="D703" i="16"/>
  <c r="D695" i="16"/>
  <c r="D687" i="16"/>
  <c r="D679" i="16"/>
  <c r="D1069" i="16"/>
  <c r="D962" i="16"/>
  <c r="D930" i="16"/>
  <c r="D922" i="16"/>
  <c r="D918" i="16"/>
  <c r="D891" i="16"/>
  <c r="D889" i="16"/>
  <c r="D883" i="16"/>
  <c r="D881" i="16"/>
  <c r="D875" i="16"/>
  <c r="D873" i="16"/>
  <c r="D867" i="16"/>
  <c r="D865" i="16"/>
  <c r="D859" i="16"/>
  <c r="D857" i="16"/>
  <c r="D850" i="16"/>
  <c r="D842" i="16"/>
  <c r="D834" i="16"/>
  <c r="D826" i="16"/>
  <c r="D818" i="16"/>
  <c r="D810" i="16"/>
  <c r="D802" i="16"/>
  <c r="D794" i="16"/>
  <c r="D786" i="16"/>
  <c r="D778" i="16"/>
  <c r="D770" i="16"/>
  <c r="D762" i="16"/>
  <c r="D754" i="16"/>
  <c r="D746" i="16"/>
  <c r="D738" i="16"/>
  <c r="D730" i="16"/>
  <c r="D722" i="16"/>
  <c r="D714" i="16"/>
  <c r="D706" i="16"/>
  <c r="D698" i="16"/>
  <c r="D690" i="16"/>
  <c r="D682" i="16"/>
  <c r="D674" i="16"/>
  <c r="D666" i="16"/>
  <c r="D658" i="16"/>
  <c r="D650" i="16"/>
  <c r="D642" i="16"/>
  <c r="D634" i="16"/>
  <c r="D626" i="16"/>
  <c r="D618" i="16"/>
  <c r="D610" i="16"/>
  <c r="D602" i="16"/>
  <c r="D594" i="16"/>
  <c r="D586" i="16"/>
  <c r="D853" i="16"/>
  <c r="D845" i="16"/>
  <c r="D837" i="16"/>
  <c r="D829" i="16"/>
  <c r="D821" i="16"/>
  <c r="D813" i="16"/>
  <c r="D805" i="16"/>
  <c r="D797" i="16"/>
  <c r="D789" i="16"/>
  <c r="D781" i="16"/>
  <c r="D773" i="16"/>
  <c r="D765" i="16"/>
  <c r="D757" i="16"/>
  <c r="D749" i="16"/>
  <c r="D741" i="16"/>
  <c r="D733" i="16"/>
  <c r="D725" i="16"/>
  <c r="D717" i="16"/>
  <c r="D709" i="16"/>
  <c r="D701" i="16"/>
  <c r="D693" i="16"/>
  <c r="D685" i="16"/>
  <c r="D677" i="16"/>
  <c r="D1206" i="16"/>
  <c r="D970" i="16"/>
  <c r="D938" i="16"/>
  <c r="D914" i="16"/>
  <c r="D897" i="16"/>
  <c r="D848" i="16"/>
  <c r="D840" i="16"/>
  <c r="D832" i="16"/>
  <c r="D824" i="16"/>
  <c r="D816" i="16"/>
  <c r="D808" i="16"/>
  <c r="D800" i="16"/>
  <c r="D792" i="16"/>
  <c r="D784" i="16"/>
  <c r="D776" i="16"/>
  <c r="D768" i="16"/>
  <c r="D760" i="16"/>
  <c r="D752" i="16"/>
  <c r="D744" i="16"/>
  <c r="D736" i="16"/>
  <c r="D728" i="16"/>
  <c r="D720" i="16"/>
  <c r="D712" i="16"/>
  <c r="D704" i="16"/>
  <c r="D696" i="16"/>
  <c r="D902" i="16"/>
  <c r="D899" i="16"/>
  <c r="D888" i="16"/>
  <c r="D880" i="16"/>
  <c r="D872" i="16"/>
  <c r="D864" i="16"/>
  <c r="D856" i="16"/>
  <c r="D851" i="16"/>
  <c r="D843" i="16"/>
  <c r="D835" i="16"/>
  <c r="D827" i="16"/>
  <c r="D819" i="16"/>
  <c r="D811" i="16"/>
  <c r="D803" i="16"/>
  <c r="D795" i="16"/>
  <c r="D787" i="16"/>
  <c r="D779" i="16"/>
  <c r="D771" i="16"/>
  <c r="D763" i="16"/>
  <c r="D755" i="16"/>
  <c r="D747" i="16"/>
  <c r="D739" i="16"/>
  <c r="D731" i="16"/>
  <c r="D723" i="16"/>
  <c r="D715" i="16"/>
  <c r="D707" i="16"/>
  <c r="D699" i="16"/>
  <c r="D691" i="16"/>
  <c r="D683" i="16"/>
  <c r="D978" i="16"/>
  <c r="D946" i="16"/>
  <c r="D907" i="16"/>
  <c r="D894" i="16"/>
  <c r="D890" i="16"/>
  <c r="D886" i="16"/>
  <c r="D882" i="16"/>
  <c r="D878" i="16"/>
  <c r="D874" i="16"/>
  <c r="D870" i="16"/>
  <c r="D866" i="16"/>
  <c r="D862" i="16"/>
  <c r="D858" i="16"/>
  <c r="D854" i="16"/>
  <c r="D846" i="16"/>
  <c r="D838" i="16"/>
  <c r="D830" i="16"/>
  <c r="D822" i="16"/>
  <c r="D814" i="16"/>
  <c r="D806" i="16"/>
  <c r="D798" i="16"/>
  <c r="D790" i="16"/>
  <c r="D782" i="16"/>
  <c r="D774" i="16"/>
  <c r="D766" i="16"/>
  <c r="D758" i="16"/>
  <c r="D750" i="16"/>
  <c r="D742" i="16"/>
  <c r="D734" i="16"/>
  <c r="D726" i="16"/>
  <c r="D718" i="16"/>
  <c r="D710" i="16"/>
  <c r="D702" i="16"/>
  <c r="D694" i="16"/>
  <c r="D686" i="16"/>
  <c r="D678" i="16"/>
  <c r="D670" i="16"/>
  <c r="D662" i="16"/>
  <c r="D654" i="16"/>
  <c r="D646" i="16"/>
  <c r="D638" i="16"/>
  <c r="D630" i="16"/>
  <c r="D622" i="16"/>
  <c r="D614" i="16"/>
  <c r="D606" i="16"/>
  <c r="D598" i="16"/>
  <c r="D590" i="16"/>
  <c r="D582" i="16"/>
  <c r="D680" i="16"/>
  <c r="D675" i="16"/>
  <c r="D574" i="16"/>
  <c r="D566" i="16"/>
  <c r="D558" i="16"/>
  <c r="D550" i="16"/>
  <c r="D542" i="16"/>
  <c r="D534" i="16"/>
  <c r="D526" i="16"/>
  <c r="D518" i="16"/>
  <c r="D510" i="16"/>
  <c r="D502" i="16"/>
  <c r="D494" i="16"/>
  <c r="D486" i="16"/>
  <c r="D478" i="16"/>
  <c r="D470" i="16"/>
  <c r="D462" i="16"/>
  <c r="D454" i="16"/>
  <c r="D446" i="16"/>
  <c r="D438" i="16"/>
  <c r="D430" i="16"/>
  <c r="D672" i="16"/>
  <c r="D668" i="16"/>
  <c r="D664" i="16"/>
  <c r="D660" i="16"/>
  <c r="D656" i="16"/>
  <c r="D652" i="16"/>
  <c r="D648" i="16"/>
  <c r="D644" i="16"/>
  <c r="D640" i="16"/>
  <c r="D636" i="16"/>
  <c r="D632" i="16"/>
  <c r="D628" i="16"/>
  <c r="D624" i="16"/>
  <c r="D620" i="16"/>
  <c r="D616" i="16"/>
  <c r="D612" i="16"/>
  <c r="D608" i="16"/>
  <c r="D604" i="16"/>
  <c r="D600" i="16"/>
  <c r="D596" i="16"/>
  <c r="D592" i="16"/>
  <c r="D588" i="16"/>
  <c r="D584" i="16"/>
  <c r="D577" i="16"/>
  <c r="D569" i="16"/>
  <c r="D561" i="16"/>
  <c r="D553" i="16"/>
  <c r="D545" i="16"/>
  <c r="D537" i="16"/>
  <c r="D529" i="16"/>
  <c r="D521" i="16"/>
  <c r="D513" i="16"/>
  <c r="D505" i="16"/>
  <c r="D497" i="16"/>
  <c r="D489" i="16"/>
  <c r="D481" i="16"/>
  <c r="D473" i="16"/>
  <c r="D465" i="16"/>
  <c r="D457" i="16"/>
  <c r="D449" i="16"/>
  <c r="D1142" i="16"/>
  <c r="D688" i="16"/>
  <c r="D580" i="16"/>
  <c r="D572" i="16"/>
  <c r="D564" i="16"/>
  <c r="D556" i="16"/>
  <c r="D548" i="16"/>
  <c r="D540" i="16"/>
  <c r="D532" i="16"/>
  <c r="D524" i="16"/>
  <c r="D516" i="16"/>
  <c r="D508" i="16"/>
  <c r="D500" i="16"/>
  <c r="D492" i="16"/>
  <c r="D484" i="16"/>
  <c r="D1061" i="16"/>
  <c r="D575" i="16"/>
  <c r="D567" i="16"/>
  <c r="D559" i="16"/>
  <c r="D551" i="16"/>
  <c r="D543" i="16"/>
  <c r="D535" i="16"/>
  <c r="D527" i="16"/>
  <c r="D519" i="16"/>
  <c r="D511" i="16"/>
  <c r="D503" i="16"/>
  <c r="D495" i="16"/>
  <c r="D487" i="16"/>
  <c r="D479" i="16"/>
  <c r="D471" i="16"/>
  <c r="D463" i="16"/>
  <c r="D455" i="16"/>
  <c r="D676" i="16"/>
  <c r="D578" i="16"/>
  <c r="D570" i="16"/>
  <c r="D562" i="16"/>
  <c r="D554" i="16"/>
  <c r="D546" i="16"/>
  <c r="D538" i="16"/>
  <c r="D530" i="16"/>
  <c r="D522" i="16"/>
  <c r="D514" i="16"/>
  <c r="D506" i="16"/>
  <c r="D498" i="16"/>
  <c r="D490" i="16"/>
  <c r="D482" i="16"/>
  <c r="D474" i="16"/>
  <c r="D466" i="16"/>
  <c r="D458" i="16"/>
  <c r="D450" i="16"/>
  <c r="D442" i="16"/>
  <c r="D434" i="16"/>
  <c r="D426" i="16"/>
  <c r="D418" i="16"/>
  <c r="D410" i="16"/>
  <c r="D402" i="16"/>
  <c r="D394" i="16"/>
  <c r="D386" i="16"/>
  <c r="D378" i="16"/>
  <c r="D681" i="16"/>
  <c r="D669" i="16"/>
  <c r="D665" i="16"/>
  <c r="D661" i="16"/>
  <c r="D657" i="16"/>
  <c r="D653" i="16"/>
  <c r="D649" i="16"/>
  <c r="D645" i="16"/>
  <c r="D641" i="16"/>
  <c r="D637" i="16"/>
  <c r="D633" i="16"/>
  <c r="D629" i="16"/>
  <c r="D625" i="16"/>
  <c r="D621" i="16"/>
  <c r="D617" i="16"/>
  <c r="D613" i="16"/>
  <c r="D609" i="16"/>
  <c r="D605" i="16"/>
  <c r="D601" i="16"/>
  <c r="D597" i="16"/>
  <c r="D593" i="16"/>
  <c r="D589" i="16"/>
  <c r="D585" i="16"/>
  <c r="D581" i="16"/>
  <c r="D573" i="16"/>
  <c r="D910" i="16"/>
  <c r="D849" i="16"/>
  <c r="D841" i="16"/>
  <c r="D833" i="16"/>
  <c r="D825" i="16"/>
  <c r="D817" i="16"/>
  <c r="D809" i="16"/>
  <c r="D801" i="16"/>
  <c r="D793" i="16"/>
  <c r="D785" i="16"/>
  <c r="D777" i="16"/>
  <c r="D769" i="16"/>
  <c r="D761" i="16"/>
  <c r="D753" i="16"/>
  <c r="D745" i="16"/>
  <c r="D737" i="16"/>
  <c r="D729" i="16"/>
  <c r="D721" i="16"/>
  <c r="D713" i="16"/>
  <c r="D705" i="16"/>
  <c r="D697" i="16"/>
  <c r="D689" i="16"/>
  <c r="D579" i="16"/>
  <c r="D571" i="16"/>
  <c r="D563" i="16"/>
  <c r="D555" i="16"/>
  <c r="D547" i="16"/>
  <c r="D539" i="16"/>
  <c r="D531" i="16"/>
  <c r="D523" i="16"/>
  <c r="D520" i="16"/>
  <c r="D491" i="16"/>
  <c r="D488" i="16"/>
  <c r="D476" i="16"/>
  <c r="D456" i="16"/>
  <c r="D453" i="16"/>
  <c r="D451" i="16"/>
  <c r="D422" i="16"/>
  <c r="D415" i="16"/>
  <c r="D413" i="16"/>
  <c r="D406" i="16"/>
  <c r="D399" i="16"/>
  <c r="D397" i="16"/>
  <c r="D390" i="16"/>
  <c r="D383" i="16"/>
  <c r="D381" i="16"/>
  <c r="D371" i="16"/>
  <c r="D363" i="16"/>
  <c r="D355" i="16"/>
  <c r="D347" i="16"/>
  <c r="D339" i="16"/>
  <c r="D331" i="16"/>
  <c r="D323" i="16"/>
  <c r="D315" i="16"/>
  <c r="D307" i="16"/>
  <c r="D299" i="16"/>
  <c r="D291" i="16"/>
  <c r="D283" i="16"/>
  <c r="D275" i="16"/>
  <c r="D267" i="16"/>
  <c r="D259" i="16"/>
  <c r="D251" i="16"/>
  <c r="D243" i="16"/>
  <c r="D235" i="16"/>
  <c r="D227" i="16"/>
  <c r="D219" i="16"/>
  <c r="D211" i="16"/>
  <c r="D684" i="16"/>
  <c r="D565" i="16"/>
  <c r="D552" i="16"/>
  <c r="D525" i="16"/>
  <c r="D493" i="16"/>
  <c r="D468" i="16"/>
  <c r="D420" i="16"/>
  <c r="D404" i="16"/>
  <c r="D388" i="16"/>
  <c r="D374" i="16"/>
  <c r="D366" i="16"/>
  <c r="D358" i="16"/>
  <c r="D350" i="16"/>
  <c r="D342" i="16"/>
  <c r="D334" i="16"/>
  <c r="D326" i="16"/>
  <c r="D318" i="16"/>
  <c r="D310" i="16"/>
  <c r="D302" i="16"/>
  <c r="D294" i="16"/>
  <c r="D286" i="16"/>
  <c r="D278" i="16"/>
  <c r="D270" i="16"/>
  <c r="D541" i="16"/>
  <c r="D528" i="16"/>
  <c r="D499" i="16"/>
  <c r="D496" i="16"/>
  <c r="D460" i="16"/>
  <c r="D448" i="16"/>
  <c r="D411" i="16"/>
  <c r="D395" i="16"/>
  <c r="D379" i="16"/>
  <c r="D369" i="16"/>
  <c r="D361" i="16"/>
  <c r="D353" i="16"/>
  <c r="D345" i="16"/>
  <c r="D337" i="16"/>
  <c r="D329" i="16"/>
  <c r="D321" i="16"/>
  <c r="D313" i="16"/>
  <c r="D305" i="16"/>
  <c r="D297" i="16"/>
  <c r="D289" i="16"/>
  <c r="D281" i="16"/>
  <c r="D273" i="16"/>
  <c r="D265" i="16"/>
  <c r="D257" i="16"/>
  <c r="D249" i="16"/>
  <c r="D241" i="16"/>
  <c r="D233" i="16"/>
  <c r="D225" i="16"/>
  <c r="D217" i="16"/>
  <c r="D209" i="16"/>
  <c r="D201" i="16"/>
  <c r="D193" i="16"/>
  <c r="D185" i="16"/>
  <c r="D177" i="16"/>
  <c r="D169" i="16"/>
  <c r="D161" i="16"/>
  <c r="D153" i="16"/>
  <c r="D145" i="16"/>
  <c r="D673" i="16"/>
  <c r="D568" i="16"/>
  <c r="D501" i="16"/>
  <c r="D452" i="16"/>
  <c r="D441" i="16"/>
  <c r="D437" i="16"/>
  <c r="D433" i="16"/>
  <c r="D429" i="16"/>
  <c r="D425" i="16"/>
  <c r="D416" i="16"/>
  <c r="D409" i="16"/>
  <c r="D400" i="16"/>
  <c r="D393" i="16"/>
  <c r="D384" i="16"/>
  <c r="D377" i="16"/>
  <c r="D372" i="16"/>
  <c r="D364" i="16"/>
  <c r="D356" i="16"/>
  <c r="D348" i="16"/>
  <c r="D340" i="16"/>
  <c r="D332" i="16"/>
  <c r="D324" i="16"/>
  <c r="D316" i="16"/>
  <c r="D308" i="16"/>
  <c r="D300" i="16"/>
  <c r="D292" i="16"/>
  <c r="D284" i="16"/>
  <c r="D276" i="16"/>
  <c r="D576" i="16"/>
  <c r="D557" i="16"/>
  <c r="D544" i="16"/>
  <c r="D507" i="16"/>
  <c r="D504" i="16"/>
  <c r="D445" i="16"/>
  <c r="D443" i="16"/>
  <c r="D439" i="16"/>
  <c r="D435" i="16"/>
  <c r="D431" i="16"/>
  <c r="D427" i="16"/>
  <c r="D423" i="16"/>
  <c r="D421" i="16"/>
  <c r="D414" i="16"/>
  <c r="D407" i="16"/>
  <c r="D405" i="16"/>
  <c r="D398" i="16"/>
  <c r="D391" i="16"/>
  <c r="D389" i="16"/>
  <c r="D382" i="16"/>
  <c r="D375" i="16"/>
  <c r="D367" i="16"/>
  <c r="D359" i="16"/>
  <c r="D351" i="16"/>
  <c r="D343" i="16"/>
  <c r="D335" i="16"/>
  <c r="D327" i="16"/>
  <c r="D319" i="16"/>
  <c r="D311" i="16"/>
  <c r="D303" i="16"/>
  <c r="D295" i="16"/>
  <c r="D287" i="16"/>
  <c r="D279" i="16"/>
  <c r="D271" i="16"/>
  <c r="D263" i="16"/>
  <c r="D255" i="16"/>
  <c r="D247" i="16"/>
  <c r="D239" i="16"/>
  <c r="D231" i="16"/>
  <c r="D223" i="16"/>
  <c r="D215" i="16"/>
  <c r="D207" i="16"/>
  <c r="D533" i="16"/>
  <c r="D509" i="16"/>
  <c r="D477" i="16"/>
  <c r="D475" i="16"/>
  <c r="D412" i="16"/>
  <c r="D396" i="16"/>
  <c r="D380" i="16"/>
  <c r="D370" i="16"/>
  <c r="D362" i="16"/>
  <c r="D354" i="16"/>
  <c r="D346" i="16"/>
  <c r="D338" i="16"/>
  <c r="D330" i="16"/>
  <c r="D322" i="16"/>
  <c r="D314" i="16"/>
  <c r="D306" i="16"/>
  <c r="D298" i="16"/>
  <c r="D290" i="16"/>
  <c r="D282" i="16"/>
  <c r="D274" i="16"/>
  <c r="D560" i="16"/>
  <c r="D515" i="16"/>
  <c r="D512" i="16"/>
  <c r="D483" i="16"/>
  <c r="D480" i="16"/>
  <c r="D472" i="16"/>
  <c r="D469" i="16"/>
  <c r="D467" i="16"/>
  <c r="D447" i="16"/>
  <c r="D419" i="16"/>
  <c r="D403" i="16"/>
  <c r="D387" i="16"/>
  <c r="D373" i="16"/>
  <c r="D365" i="16"/>
  <c r="D357" i="16"/>
  <c r="D349" i="16"/>
  <c r="D341" i="16"/>
  <c r="D333" i="16"/>
  <c r="D325" i="16"/>
  <c r="D317" i="16"/>
  <c r="D309" i="16"/>
  <c r="D301" i="16"/>
  <c r="D293" i="16"/>
  <c r="D285" i="16"/>
  <c r="D277" i="16"/>
  <c r="D269" i="16"/>
  <c r="D261" i="16"/>
  <c r="D253" i="16"/>
  <c r="D245" i="16"/>
  <c r="D237" i="16"/>
  <c r="D229" i="16"/>
  <c r="D221" i="16"/>
  <c r="D213" i="16"/>
  <c r="D205" i="16"/>
  <c r="D197" i="16"/>
  <c r="D189" i="16"/>
  <c r="D181" i="16"/>
  <c r="D173" i="16"/>
  <c r="D165" i="16"/>
  <c r="D157" i="16"/>
  <c r="D149" i="16"/>
  <c r="D6" i="16"/>
  <c r="D14" i="16"/>
  <c r="D22" i="16"/>
  <c r="D30" i="16"/>
  <c r="D38" i="16"/>
  <c r="D46" i="16"/>
  <c r="D54" i="16"/>
  <c r="D62" i="16"/>
  <c r="D70" i="16"/>
  <c r="D78" i="16"/>
  <c r="D86" i="16"/>
  <c r="D94" i="16"/>
  <c r="D102" i="16"/>
  <c r="D110" i="16"/>
  <c r="D118" i="16"/>
  <c r="D126" i="16"/>
  <c r="D134" i="16"/>
  <c r="D304" i="16"/>
  <c r="D368" i="16"/>
  <c r="D385" i="16"/>
  <c r="D401" i="16"/>
  <c r="D417" i="16"/>
  <c r="D424" i="16"/>
  <c r="D461" i="16"/>
  <c r="D517" i="16"/>
  <c r="D536" i="16"/>
  <c r="D583" i="16"/>
  <c r="D587" i="16"/>
  <c r="D591" i="16"/>
  <c r="D595" i="16"/>
  <c r="D599" i="16"/>
  <c r="D603" i="16"/>
  <c r="D607" i="16"/>
  <c r="D611" i="16"/>
  <c r="D615" i="16"/>
  <c r="D619" i="16"/>
  <c r="D623" i="16"/>
  <c r="D627" i="16"/>
  <c r="D631" i="16"/>
  <c r="D635" i="16"/>
  <c r="D639" i="16"/>
  <c r="D643" i="16"/>
  <c r="D647" i="16"/>
  <c r="D651" i="16"/>
  <c r="D655" i="16"/>
  <c r="D659" i="16"/>
  <c r="D663" i="16"/>
  <c r="D667" i="16"/>
  <c r="D671" i="16"/>
  <c r="D3" i="16"/>
  <c r="D11" i="16"/>
  <c r="D19" i="16"/>
  <c r="D27" i="16"/>
  <c r="D35" i="16"/>
  <c r="D43" i="16"/>
  <c r="D51" i="16"/>
  <c r="D59" i="16"/>
  <c r="D67" i="16"/>
  <c r="D75" i="16"/>
  <c r="D83" i="16"/>
  <c r="D91" i="16"/>
  <c r="D99" i="16"/>
  <c r="D107" i="16"/>
  <c r="D115" i="16"/>
  <c r="D123" i="16"/>
  <c r="D131" i="16"/>
  <c r="D139" i="16"/>
  <c r="D208" i="16"/>
  <c r="D216" i="16"/>
  <c r="D224" i="16"/>
  <c r="D232" i="16"/>
  <c r="D240" i="16"/>
  <c r="D248" i="16"/>
  <c r="D256" i="16"/>
  <c r="D264" i="16"/>
  <c r="D296" i="16"/>
  <c r="D360" i="16"/>
  <c r="D8" i="16"/>
  <c r="D16" i="16"/>
  <c r="D24" i="16"/>
  <c r="D32" i="16"/>
  <c r="D40" i="16"/>
  <c r="D48" i="16"/>
  <c r="D56" i="16"/>
  <c r="D64" i="16"/>
  <c r="D72" i="16"/>
  <c r="D80" i="16"/>
  <c r="D88" i="16"/>
  <c r="D96" i="16"/>
  <c r="D104" i="16"/>
  <c r="D112" i="16"/>
  <c r="D120" i="16"/>
  <c r="D128" i="16"/>
  <c r="D136" i="16"/>
  <c r="D141" i="16"/>
  <c r="D203" i="16"/>
  <c r="D288" i="16"/>
  <c r="D352" i="16"/>
  <c r="D1994" i="15"/>
  <c r="D1986" i="15"/>
  <c r="D1978" i="15"/>
  <c r="D1970" i="15"/>
  <c r="D1962" i="15"/>
  <c r="D1954" i="15"/>
  <c r="D1946" i="15"/>
  <c r="D1938" i="15"/>
  <c r="D1930" i="15"/>
  <c r="D1922" i="15"/>
  <c r="D1914" i="15"/>
  <c r="D1906" i="15"/>
  <c r="D1898" i="15"/>
  <c r="D1890" i="15"/>
  <c r="D1882" i="15"/>
  <c r="D1874" i="15"/>
  <c r="D1866" i="15"/>
  <c r="D1858" i="15"/>
  <c r="D1850" i="15"/>
  <c r="D1997" i="15"/>
  <c r="D1989" i="15"/>
  <c r="D1981" i="15"/>
  <c r="D1973" i="15"/>
  <c r="D1965" i="15"/>
  <c r="D1957" i="15"/>
  <c r="D1949" i="15"/>
  <c r="D1941" i="15"/>
  <c r="D1933" i="15"/>
  <c r="D1925" i="15"/>
  <c r="D2000" i="15"/>
  <c r="D1992" i="15"/>
  <c r="D1984" i="15"/>
  <c r="D1976" i="15"/>
  <c r="D1968" i="15"/>
  <c r="D1960" i="15"/>
  <c r="D1952" i="15"/>
  <c r="D1944" i="15"/>
  <c r="D1936" i="15"/>
  <c r="D1928" i="15"/>
  <c r="D1920" i="15"/>
  <c r="D1912" i="15"/>
  <c r="D1904" i="15"/>
  <c r="D1896" i="15"/>
  <c r="D1888" i="15"/>
  <c r="D1880" i="15"/>
  <c r="D1872" i="15"/>
  <c r="D1864" i="15"/>
  <c r="D1856" i="15"/>
  <c r="D1848" i="15"/>
  <c r="D1840" i="15"/>
  <c r="D1832" i="15"/>
  <c r="D1995" i="15"/>
  <c r="D1987" i="15"/>
  <c r="D1979" i="15"/>
  <c r="D1971" i="15"/>
  <c r="D1963" i="15"/>
  <c r="D1955" i="15"/>
  <c r="D1947" i="15"/>
  <c r="D1939" i="15"/>
  <c r="D1931" i="15"/>
  <c r="D1923" i="15"/>
  <c r="D1915" i="15"/>
  <c r="D1907" i="15"/>
  <c r="D1899" i="15"/>
  <c r="D1891" i="15"/>
  <c r="D1998" i="15"/>
  <c r="D1990" i="15"/>
  <c r="D1982" i="15"/>
  <c r="D1974" i="15"/>
  <c r="D1966" i="15"/>
  <c r="D1958" i="15"/>
  <c r="D1950" i="15"/>
  <c r="D1942" i="15"/>
  <c r="D1934" i="15"/>
  <c r="D1926" i="15"/>
  <c r="D1918" i="15"/>
  <c r="D1910" i="15"/>
  <c r="D1902" i="15"/>
  <c r="D1894" i="15"/>
  <c r="D1886" i="15"/>
  <c r="D1878" i="15"/>
  <c r="D1870" i="15"/>
  <c r="D1862" i="15"/>
  <c r="D1993" i="15"/>
  <c r="D1985" i="15"/>
  <c r="D1977" i="15"/>
  <c r="D1969" i="15"/>
  <c r="D1961" i="15"/>
  <c r="D1953" i="15"/>
  <c r="D1945" i="15"/>
  <c r="D1937" i="15"/>
  <c r="D1929" i="15"/>
  <c r="D1921" i="15"/>
  <c r="D1913" i="15"/>
  <c r="D1905" i="15"/>
  <c r="D1897" i="15"/>
  <c r="D1889" i="15"/>
  <c r="D1881" i="15"/>
  <c r="D1873" i="15"/>
  <c r="D1865" i="15"/>
  <c r="D1857" i="15"/>
  <c r="D1849" i="15"/>
  <c r="D1841" i="15"/>
  <c r="D1833" i="15"/>
  <c r="D1996" i="15"/>
  <c r="D1988" i="15"/>
  <c r="D1980" i="15"/>
  <c r="D1972" i="15"/>
  <c r="D1964" i="15"/>
  <c r="D1956" i="15"/>
  <c r="D1948" i="15"/>
  <c r="D1940" i="15"/>
  <c r="D1932" i="15"/>
  <c r="D1916" i="15"/>
  <c r="D1911" i="15"/>
  <c r="D1893" i="15"/>
  <c r="D1885" i="15"/>
  <c r="D1867" i="15"/>
  <c r="D1852" i="15"/>
  <c r="D1843" i="15"/>
  <c r="D1835" i="15"/>
  <c r="D1828" i="15"/>
  <c r="D1820" i="15"/>
  <c r="D1812" i="15"/>
  <c r="D1804" i="15"/>
  <c r="D1796" i="15"/>
  <c r="D1788" i="15"/>
  <c r="D1780" i="15"/>
  <c r="D1772" i="15"/>
  <c r="D1764" i="15"/>
  <c r="D1756" i="15"/>
  <c r="D1748" i="15"/>
  <c r="D1740" i="15"/>
  <c r="D1999" i="15"/>
  <c r="D1967" i="15"/>
  <c r="D1877" i="15"/>
  <c r="D1859" i="15"/>
  <c r="D1845" i="15"/>
  <c r="D1839" i="15"/>
  <c r="D1837" i="15"/>
  <c r="D1831" i="15"/>
  <c r="D1823" i="15"/>
  <c r="D1815" i="15"/>
  <c r="D1807" i="15"/>
  <c r="D1799" i="15"/>
  <c r="D1791" i="15"/>
  <c r="D1783" i="15"/>
  <c r="D1919" i="15"/>
  <c r="D1901" i="15"/>
  <c r="D1892" i="15"/>
  <c r="D1884" i="15"/>
  <c r="D1869" i="15"/>
  <c r="D1854" i="15"/>
  <c r="D1826" i="15"/>
  <c r="D1818" i="15"/>
  <c r="D1810" i="15"/>
  <c r="D1802" i="15"/>
  <c r="D1794" i="15"/>
  <c r="D1786" i="15"/>
  <c r="D1778" i="15"/>
  <c r="D1975" i="15"/>
  <c r="D1935" i="15"/>
  <c r="D1924" i="15"/>
  <c r="D1887" i="15"/>
  <c r="D1876" i="15"/>
  <c r="D1861" i="15"/>
  <c r="D1847" i="15"/>
  <c r="D1829" i="15"/>
  <c r="D1821" i="15"/>
  <c r="D1813" i="15"/>
  <c r="D1805" i="15"/>
  <c r="D1797" i="15"/>
  <c r="D1789" i="15"/>
  <c r="D1781" i="15"/>
  <c r="D1773" i="15"/>
  <c r="D1943" i="15"/>
  <c r="D1909" i="15"/>
  <c r="D1900" i="15"/>
  <c r="D1895" i="15"/>
  <c r="D1879" i="15"/>
  <c r="D1868" i="15"/>
  <c r="D1851" i="15"/>
  <c r="D1844" i="15"/>
  <c r="D1836" i="15"/>
  <c r="D1824" i="15"/>
  <c r="D1816" i="15"/>
  <c r="D1808" i="15"/>
  <c r="D1800" i="15"/>
  <c r="D1792" i="15"/>
  <c r="D1784" i="15"/>
  <c r="D1776" i="15"/>
  <c r="D1768" i="15"/>
  <c r="D1760" i="15"/>
  <c r="D1752" i="15"/>
  <c r="D1744" i="15"/>
  <c r="D1983" i="15"/>
  <c r="D1951" i="15"/>
  <c r="D1871" i="15"/>
  <c r="D1860" i="15"/>
  <c r="D1853" i="15"/>
  <c r="D1842" i="15"/>
  <c r="D1838" i="15"/>
  <c r="D1834" i="15"/>
  <c r="D1827" i="15"/>
  <c r="D1819" i="15"/>
  <c r="D1811" i="15"/>
  <c r="D1803" i="15"/>
  <c r="D1795" i="15"/>
  <c r="D1787" i="15"/>
  <c r="D1779" i="15"/>
  <c r="D1771" i="15"/>
  <c r="D1763" i="15"/>
  <c r="D1755" i="15"/>
  <c r="D1747" i="15"/>
  <c r="D1739" i="15"/>
  <c r="D1731" i="15"/>
  <c r="D1723" i="15"/>
  <c r="D1715" i="15"/>
  <c r="D1927" i="15"/>
  <c r="D1917" i="15"/>
  <c r="D1908" i="15"/>
  <c r="D1903" i="15"/>
  <c r="D1883" i="15"/>
  <c r="D1863" i="15"/>
  <c r="D1846" i="15"/>
  <c r="D1830" i="15"/>
  <c r="D1822" i="15"/>
  <c r="D1814" i="15"/>
  <c r="D1806" i="15"/>
  <c r="D1798" i="15"/>
  <c r="D1790" i="15"/>
  <c r="D1782" i="15"/>
  <c r="D1774" i="15"/>
  <c r="D1766" i="15"/>
  <c r="D1758" i="15"/>
  <c r="D1750" i="15"/>
  <c r="D1742" i="15"/>
  <c r="D1734" i="15"/>
  <c r="D1726" i="15"/>
  <c r="D1718" i="15"/>
  <c r="D1738" i="15"/>
  <c r="D1736" i="15"/>
  <c r="D1732" i="15"/>
  <c r="D1730" i="15"/>
  <c r="D1728" i="15"/>
  <c r="D1724" i="15"/>
  <c r="D1722" i="15"/>
  <c r="D1720" i="15"/>
  <c r="D1716" i="15"/>
  <c r="D1714" i="15"/>
  <c r="D1712" i="15"/>
  <c r="D1710" i="15"/>
  <c r="D1702" i="15"/>
  <c r="D1694" i="15"/>
  <c r="D1686" i="15"/>
  <c r="D1678" i="15"/>
  <c r="D1670" i="15"/>
  <c r="D1662" i="15"/>
  <c r="D1654" i="15"/>
  <c r="D1646" i="15"/>
  <c r="D1638" i="15"/>
  <c r="D1630" i="15"/>
  <c r="D1622" i="15"/>
  <c r="D1614" i="15"/>
  <c r="D1606" i="15"/>
  <c r="D1959" i="15"/>
  <c r="D1875" i="15"/>
  <c r="D1770" i="15"/>
  <c r="D1765" i="15"/>
  <c r="D1775" i="15"/>
  <c r="D1767" i="15"/>
  <c r="D1762" i="15"/>
  <c r="D1757" i="15"/>
  <c r="D1708" i="15"/>
  <c r="D1700" i="15"/>
  <c r="D1692" i="15"/>
  <c r="D1684" i="15"/>
  <c r="D1676" i="15"/>
  <c r="D1668" i="15"/>
  <c r="D1660" i="15"/>
  <c r="D1652" i="15"/>
  <c r="D1644" i="15"/>
  <c r="D1636" i="15"/>
  <c r="D1628" i="15"/>
  <c r="D1620" i="15"/>
  <c r="D1759" i="15"/>
  <c r="D1754" i="15"/>
  <c r="D1749" i="15"/>
  <c r="D1737" i="15"/>
  <c r="D1729" i="15"/>
  <c r="D1721" i="15"/>
  <c r="D1713" i="15"/>
  <c r="D1703" i="15"/>
  <c r="D1695" i="15"/>
  <c r="D1687" i="15"/>
  <c r="D1679" i="15"/>
  <c r="D1671" i="15"/>
  <c r="D1663" i="15"/>
  <c r="D1655" i="15"/>
  <c r="D1647" i="15"/>
  <c r="D1639" i="15"/>
  <c r="D1631" i="15"/>
  <c r="D1623" i="15"/>
  <c r="D1615" i="15"/>
  <c r="D1607" i="15"/>
  <c r="D1991" i="15"/>
  <c r="D1769" i="15"/>
  <c r="D1751" i="15"/>
  <c r="D1746" i="15"/>
  <c r="D1735" i="15"/>
  <c r="D1733" i="15"/>
  <c r="D1727" i="15"/>
  <c r="D1725" i="15"/>
  <c r="D1719" i="15"/>
  <c r="D1717" i="15"/>
  <c r="D1711" i="15"/>
  <c r="D1706" i="15"/>
  <c r="D1698" i="15"/>
  <c r="D1690" i="15"/>
  <c r="D1682" i="15"/>
  <c r="D1674" i="15"/>
  <c r="D1666" i="15"/>
  <c r="D1658" i="15"/>
  <c r="D1650" i="15"/>
  <c r="D1642" i="15"/>
  <c r="D1634" i="15"/>
  <c r="D1626" i="15"/>
  <c r="D1618" i="15"/>
  <c r="D1610" i="15"/>
  <c r="D1825" i="15"/>
  <c r="D1817" i="15"/>
  <c r="D1809" i="15"/>
  <c r="D1801" i="15"/>
  <c r="D1793" i="15"/>
  <c r="D1785" i="15"/>
  <c r="D1761" i="15"/>
  <c r="D1743" i="15"/>
  <c r="D1741" i="15"/>
  <c r="D1709" i="15"/>
  <c r="D1701" i="15"/>
  <c r="D1693" i="15"/>
  <c r="D1685" i="15"/>
  <c r="D1855" i="15"/>
  <c r="D1777" i="15"/>
  <c r="D1753" i="15"/>
  <c r="D1704" i="15"/>
  <c r="D1696" i="15"/>
  <c r="D1688" i="15"/>
  <c r="D1680" i="15"/>
  <c r="D1672" i="15"/>
  <c r="D1664" i="15"/>
  <c r="D1656" i="15"/>
  <c r="D1648" i="15"/>
  <c r="D1640" i="15"/>
  <c r="D1632" i="15"/>
  <c r="D1624" i="15"/>
  <c r="D1616" i="15"/>
  <c r="D1608" i="15"/>
  <c r="D1600" i="15"/>
  <c r="D1592" i="15"/>
  <c r="D1681" i="15"/>
  <c r="D1641" i="15"/>
  <c r="D1635" i="15"/>
  <c r="D1629" i="15"/>
  <c r="D1611" i="15"/>
  <c r="D1593" i="15"/>
  <c r="D1581" i="15"/>
  <c r="D1573" i="15"/>
  <c r="D1565" i="15"/>
  <c r="D1557" i="15"/>
  <c r="D1549" i="15"/>
  <c r="D1541" i="15"/>
  <c r="D1533" i="15"/>
  <c r="D1525" i="15"/>
  <c r="D1517" i="15"/>
  <c r="D1509" i="15"/>
  <c r="D1501" i="15"/>
  <c r="D1493" i="15"/>
  <c r="D1691" i="15"/>
  <c r="D1665" i="15"/>
  <c r="D1659" i="15"/>
  <c r="D1653" i="15"/>
  <c r="D1598" i="15"/>
  <c r="D1591" i="15"/>
  <c r="D1584" i="15"/>
  <c r="D1576" i="15"/>
  <c r="D1568" i="15"/>
  <c r="D1560" i="15"/>
  <c r="D1552" i="15"/>
  <c r="D1544" i="15"/>
  <c r="D1536" i="15"/>
  <c r="D1528" i="15"/>
  <c r="D1520" i="15"/>
  <c r="D1512" i="15"/>
  <c r="D1504" i="15"/>
  <c r="D1496" i="15"/>
  <c r="D1488" i="15"/>
  <c r="D1480" i="15"/>
  <c r="D1472" i="15"/>
  <c r="D1464" i="15"/>
  <c r="D1705" i="15"/>
  <c r="D1677" i="15"/>
  <c r="D1625" i="15"/>
  <c r="D1619" i="15"/>
  <c r="D1613" i="15"/>
  <c r="D1603" i="15"/>
  <c r="D1596" i="15"/>
  <c r="D1589" i="15"/>
  <c r="D1587" i="15"/>
  <c r="D1579" i="15"/>
  <c r="D1571" i="15"/>
  <c r="D1563" i="15"/>
  <c r="D1555" i="15"/>
  <c r="D1547" i="15"/>
  <c r="D1539" i="15"/>
  <c r="D1531" i="15"/>
  <c r="D1523" i="15"/>
  <c r="D1515" i="15"/>
  <c r="D1507" i="15"/>
  <c r="D1499" i="15"/>
  <c r="D1491" i="15"/>
  <c r="D1483" i="15"/>
  <c r="D1475" i="15"/>
  <c r="D1467" i="15"/>
  <c r="D1459" i="15"/>
  <c r="D1451" i="15"/>
  <c r="D1443" i="15"/>
  <c r="D1435" i="15"/>
  <c r="D1427" i="15"/>
  <c r="D1419" i="15"/>
  <c r="D1411" i="15"/>
  <c r="D1403" i="15"/>
  <c r="D1395" i="15"/>
  <c r="D1387" i="15"/>
  <c r="D1683" i="15"/>
  <c r="D1649" i="15"/>
  <c r="D1643" i="15"/>
  <c r="D1637" i="15"/>
  <c r="D1605" i="15"/>
  <c r="D1594" i="15"/>
  <c r="D1582" i="15"/>
  <c r="D1574" i="15"/>
  <c r="D1566" i="15"/>
  <c r="D1558" i="15"/>
  <c r="D1550" i="15"/>
  <c r="D1542" i="15"/>
  <c r="D1534" i="15"/>
  <c r="D1526" i="15"/>
  <c r="D1518" i="15"/>
  <c r="D1510" i="15"/>
  <c r="D1502" i="15"/>
  <c r="D1494" i="15"/>
  <c r="D1486" i="15"/>
  <c r="D1478" i="15"/>
  <c r="D1745" i="15"/>
  <c r="D1697" i="15"/>
  <c r="D1673" i="15"/>
  <c r="D1667" i="15"/>
  <c r="D1661" i="15"/>
  <c r="D1601" i="15"/>
  <c r="D1585" i="15"/>
  <c r="D1577" i="15"/>
  <c r="D1569" i="15"/>
  <c r="D1561" i="15"/>
  <c r="D1553" i="15"/>
  <c r="D1545" i="15"/>
  <c r="D1537" i="15"/>
  <c r="D1529" i="15"/>
  <c r="D1707" i="15"/>
  <c r="D1633" i="15"/>
  <c r="D1627" i="15"/>
  <c r="D1621" i="15"/>
  <c r="D1612" i="15"/>
  <c r="D1599" i="15"/>
  <c r="D1590" i="15"/>
  <c r="D1580" i="15"/>
  <c r="D1572" i="15"/>
  <c r="D1564" i="15"/>
  <c r="D1556" i="15"/>
  <c r="D1548" i="15"/>
  <c r="D1540" i="15"/>
  <c r="D1532" i="15"/>
  <c r="D1524" i="15"/>
  <c r="D1516" i="15"/>
  <c r="D1508" i="15"/>
  <c r="D1500" i="15"/>
  <c r="D1492" i="15"/>
  <c r="D1484" i="15"/>
  <c r="D1476" i="15"/>
  <c r="D1468" i="15"/>
  <c r="D1460" i="15"/>
  <c r="D1452" i="15"/>
  <c r="D1444" i="15"/>
  <c r="D1436" i="15"/>
  <c r="D1428" i="15"/>
  <c r="D1420" i="15"/>
  <c r="D1412" i="15"/>
  <c r="D1404" i="15"/>
  <c r="D1396" i="15"/>
  <c r="D1388" i="15"/>
  <c r="D1595" i="15"/>
  <c r="D1567" i="15"/>
  <c r="D1554" i="15"/>
  <c r="D1506" i="15"/>
  <c r="D1503" i="15"/>
  <c r="D1481" i="15"/>
  <c r="D1474" i="15"/>
  <c r="D1543" i="15"/>
  <c r="D1530" i="15"/>
  <c r="D1497" i="15"/>
  <c r="D1465" i="15"/>
  <c r="D1454" i="15"/>
  <c r="D1446" i="15"/>
  <c r="D1438" i="15"/>
  <c r="D1430" i="15"/>
  <c r="D1422" i="15"/>
  <c r="D1414" i="15"/>
  <c r="D1406" i="15"/>
  <c r="D1398" i="15"/>
  <c r="D1390" i="15"/>
  <c r="D1382" i="15"/>
  <c r="D1374" i="15"/>
  <c r="D1366" i="15"/>
  <c r="D1358" i="15"/>
  <c r="D1350" i="15"/>
  <c r="D1342" i="15"/>
  <c r="D1651" i="15"/>
  <c r="D1583" i="15"/>
  <c r="D1570" i="15"/>
  <c r="D1514" i="15"/>
  <c r="D1511" i="15"/>
  <c r="D1471" i="15"/>
  <c r="D1469" i="15"/>
  <c r="D1462" i="15"/>
  <c r="D1458" i="15"/>
  <c r="D1456" i="15"/>
  <c r="D1450" i="15"/>
  <c r="D1448" i="15"/>
  <c r="D1442" i="15"/>
  <c r="D1440" i="15"/>
  <c r="D1434" i="15"/>
  <c r="D1432" i="15"/>
  <c r="D1426" i="15"/>
  <c r="D1424" i="15"/>
  <c r="D1418" i="15"/>
  <c r="D1416" i="15"/>
  <c r="D1410" i="15"/>
  <c r="D1408" i="15"/>
  <c r="D1669" i="15"/>
  <c r="D1602" i="15"/>
  <c r="D1559" i="15"/>
  <c r="D1546" i="15"/>
  <c r="D1505" i="15"/>
  <c r="D1609" i="15"/>
  <c r="D1586" i="15"/>
  <c r="D1535" i="15"/>
  <c r="D1522" i="15"/>
  <c r="D1519" i="15"/>
  <c r="D1490" i="15"/>
  <c r="D1485" i="15"/>
  <c r="D1473" i="15"/>
  <c r="D1699" i="15"/>
  <c r="D1617" i="15"/>
  <c r="D1597" i="15"/>
  <c r="D1575" i="15"/>
  <c r="D1562" i="15"/>
  <c r="D1513" i="15"/>
  <c r="D1487" i="15"/>
  <c r="D1482" i="15"/>
  <c r="D1477" i="15"/>
  <c r="D1470" i="15"/>
  <c r="D1466" i="15"/>
  <c r="D1455" i="15"/>
  <c r="D1447" i="15"/>
  <c r="D1439" i="15"/>
  <c r="D1431" i="15"/>
  <c r="D1423" i="15"/>
  <c r="D1415" i="15"/>
  <c r="D1407" i="15"/>
  <c r="D1399" i="15"/>
  <c r="D1391" i="15"/>
  <c r="D1383" i="15"/>
  <c r="D1378" i="15"/>
  <c r="D1370" i="15"/>
  <c r="D1362" i="15"/>
  <c r="D1354" i="15"/>
  <c r="D1346" i="15"/>
  <c r="D1578" i="15"/>
  <c r="D1538" i="15"/>
  <c r="D1463" i="15"/>
  <c r="D1413" i="15"/>
  <c r="D1335" i="15"/>
  <c r="D1327" i="15"/>
  <c r="D1319" i="15"/>
  <c r="D1311" i="15"/>
  <c r="D1303" i="15"/>
  <c r="D1295" i="15"/>
  <c r="D1287" i="15"/>
  <c r="D1279" i="15"/>
  <c r="D1271" i="15"/>
  <c r="D1263" i="15"/>
  <c r="D1255" i="15"/>
  <c r="D1247" i="15"/>
  <c r="D1239" i="15"/>
  <c r="D1231" i="15"/>
  <c r="D1223" i="15"/>
  <c r="D1215" i="15"/>
  <c r="D1207" i="15"/>
  <c r="D1199" i="15"/>
  <c r="D1191" i="15"/>
  <c r="D1183" i="15"/>
  <c r="D1175" i="15"/>
  <c r="D1167" i="15"/>
  <c r="D1159" i="15"/>
  <c r="D1527" i="15"/>
  <c r="D1489" i="15"/>
  <c r="D1433" i="15"/>
  <c r="D1401" i="15"/>
  <c r="D1393" i="15"/>
  <c r="D1385" i="15"/>
  <c r="D1380" i="15"/>
  <c r="D1376" i="15"/>
  <c r="D1372" i="15"/>
  <c r="D1368" i="15"/>
  <c r="D1364" i="15"/>
  <c r="D1360" i="15"/>
  <c r="D1356" i="15"/>
  <c r="D1352" i="15"/>
  <c r="D1348" i="15"/>
  <c r="D1344" i="15"/>
  <c r="D1340" i="15"/>
  <c r="D1330" i="15"/>
  <c r="D1322" i="15"/>
  <c r="D1314" i="15"/>
  <c r="D1306" i="15"/>
  <c r="D1298" i="15"/>
  <c r="D1290" i="15"/>
  <c r="D1282" i="15"/>
  <c r="D1274" i="15"/>
  <c r="D1266" i="15"/>
  <c r="D1258" i="15"/>
  <c r="D1250" i="15"/>
  <c r="D1242" i="15"/>
  <c r="D1234" i="15"/>
  <c r="D1226" i="15"/>
  <c r="D1218" i="15"/>
  <c r="D1210" i="15"/>
  <c r="D1202" i="15"/>
  <c r="D1194" i="15"/>
  <c r="D1186" i="15"/>
  <c r="D1178" i="15"/>
  <c r="D1170" i="15"/>
  <c r="D1162" i="15"/>
  <c r="D1479" i="15"/>
  <c r="D1429" i="15"/>
  <c r="D1409" i="15"/>
  <c r="D1338" i="15"/>
  <c r="D1333" i="15"/>
  <c r="D1325" i="15"/>
  <c r="D1317" i="15"/>
  <c r="D1309" i="15"/>
  <c r="D1301" i="15"/>
  <c r="D1293" i="15"/>
  <c r="D1285" i="15"/>
  <c r="D1277" i="15"/>
  <c r="D1269" i="15"/>
  <c r="D1261" i="15"/>
  <c r="D1253" i="15"/>
  <c r="D1245" i="15"/>
  <c r="D1237" i="15"/>
  <c r="D1229" i="15"/>
  <c r="D1221" i="15"/>
  <c r="D1213" i="15"/>
  <c r="D1205" i="15"/>
  <c r="D1197" i="15"/>
  <c r="D1189" i="15"/>
  <c r="D1181" i="15"/>
  <c r="D1173" i="15"/>
  <c r="D1165" i="15"/>
  <c r="D1157" i="15"/>
  <c r="D1149" i="15"/>
  <c r="D1141" i="15"/>
  <c r="D1133" i="15"/>
  <c r="D1675" i="15"/>
  <c r="D1645" i="15"/>
  <c r="D1604" i="15"/>
  <c r="D1336" i="15"/>
  <c r="D1328" i="15"/>
  <c r="D1320" i="15"/>
  <c r="D1312" i="15"/>
  <c r="D1304" i="15"/>
  <c r="D1296" i="15"/>
  <c r="D1288" i="15"/>
  <c r="D1280" i="15"/>
  <c r="D1272" i="15"/>
  <c r="D1264" i="15"/>
  <c r="D1256" i="15"/>
  <c r="D1248" i="15"/>
  <c r="D1240" i="15"/>
  <c r="D1232" i="15"/>
  <c r="D1689" i="15"/>
  <c r="D1495" i="15"/>
  <c r="D1425" i="15"/>
  <c r="D1400" i="15"/>
  <c r="D1392" i="15"/>
  <c r="D1384" i="15"/>
  <c r="D1331" i="15"/>
  <c r="D1323" i="15"/>
  <c r="D1315" i="15"/>
  <c r="D1307" i="15"/>
  <c r="D1299" i="15"/>
  <c r="D1291" i="15"/>
  <c r="D1283" i="15"/>
  <c r="D1275" i="15"/>
  <c r="D1267" i="15"/>
  <c r="D1259" i="15"/>
  <c r="D1251" i="15"/>
  <c r="D1243" i="15"/>
  <c r="D1235" i="15"/>
  <c r="D1227" i="15"/>
  <c r="D1219" i="15"/>
  <c r="D1211" i="15"/>
  <c r="D1521" i="15"/>
  <c r="D1445" i="15"/>
  <c r="D1421" i="15"/>
  <c r="D1405" i="15"/>
  <c r="D1397" i="15"/>
  <c r="D1389" i="15"/>
  <c r="D1381" i="15"/>
  <c r="D1377" i="15"/>
  <c r="D1373" i="15"/>
  <c r="D1369" i="15"/>
  <c r="D1365" i="15"/>
  <c r="D1361" i="15"/>
  <c r="D1357" i="15"/>
  <c r="D1353" i="15"/>
  <c r="D1349" i="15"/>
  <c r="D1345" i="15"/>
  <c r="D1341" i="15"/>
  <c r="D1334" i="15"/>
  <c r="D1326" i="15"/>
  <c r="D1318" i="15"/>
  <c r="D1310" i="15"/>
  <c r="D1302" i="15"/>
  <c r="D1294" i="15"/>
  <c r="D1286" i="15"/>
  <c r="D1278" i="15"/>
  <c r="D1270" i="15"/>
  <c r="D1262" i="15"/>
  <c r="D1254" i="15"/>
  <c r="D1246" i="15"/>
  <c r="D1238" i="15"/>
  <c r="D1230" i="15"/>
  <c r="D1222" i="15"/>
  <c r="D1214" i="15"/>
  <c r="D1206" i="15"/>
  <c r="D1198" i="15"/>
  <c r="D1190" i="15"/>
  <c r="D1182" i="15"/>
  <c r="D1174" i="15"/>
  <c r="D1166" i="15"/>
  <c r="D1158" i="15"/>
  <c r="D1150" i="15"/>
  <c r="D1142" i="15"/>
  <c r="D1134" i="15"/>
  <c r="D1449" i="15"/>
  <c r="D1371" i="15"/>
  <c r="D1339" i="15"/>
  <c r="D1329" i="15"/>
  <c r="D1313" i="15"/>
  <c r="D1297" i="15"/>
  <c r="D1281" i="15"/>
  <c r="D1265" i="15"/>
  <c r="D1236" i="15"/>
  <c r="D1225" i="15"/>
  <c r="D1220" i="15"/>
  <c r="D1195" i="15"/>
  <c r="D1192" i="15"/>
  <c r="D1172" i="15"/>
  <c r="D1169" i="15"/>
  <c r="D1154" i="15"/>
  <c r="D1148" i="15"/>
  <c r="D1146" i="15"/>
  <c r="D1140" i="15"/>
  <c r="D1138" i="15"/>
  <c r="D1132" i="15"/>
  <c r="D1130" i="15"/>
  <c r="D1123" i="15"/>
  <c r="D1115" i="15"/>
  <c r="D1107" i="15"/>
  <c r="D1099" i="15"/>
  <c r="D1091" i="15"/>
  <c r="D1083" i="15"/>
  <c r="D1075" i="15"/>
  <c r="D1067" i="15"/>
  <c r="D1059" i="15"/>
  <c r="D1051" i="15"/>
  <c r="D1043" i="15"/>
  <c r="D1035" i="15"/>
  <c r="D1027" i="15"/>
  <c r="D1019" i="15"/>
  <c r="D1011" i="15"/>
  <c r="D1003" i="15"/>
  <c r="D995" i="15"/>
  <c r="D987" i="15"/>
  <c r="D979" i="15"/>
  <c r="D971" i="15"/>
  <c r="D963" i="15"/>
  <c r="D955" i="15"/>
  <c r="D947" i="15"/>
  <c r="D939" i="15"/>
  <c r="D931" i="15"/>
  <c r="D923" i="15"/>
  <c r="D915" i="15"/>
  <c r="D907" i="15"/>
  <c r="D899" i="15"/>
  <c r="D1453" i="15"/>
  <c r="D1375" i="15"/>
  <c r="D1343" i="15"/>
  <c r="D1216" i="15"/>
  <c r="D1187" i="15"/>
  <c r="D1184" i="15"/>
  <c r="D1164" i="15"/>
  <c r="D1161" i="15"/>
  <c r="D1126" i="15"/>
  <c r="D1118" i="15"/>
  <c r="D1110" i="15"/>
  <c r="D1102" i="15"/>
  <c r="D1094" i="15"/>
  <c r="D1086" i="15"/>
  <c r="D1078" i="15"/>
  <c r="D1070" i="15"/>
  <c r="D1062" i="15"/>
  <c r="D1054" i="15"/>
  <c r="D1046" i="15"/>
  <c r="D1038" i="15"/>
  <c r="D1030" i="15"/>
  <c r="D1022" i="15"/>
  <c r="D1014" i="15"/>
  <c r="D1006" i="15"/>
  <c r="D998" i="15"/>
  <c r="D990" i="15"/>
  <c r="D982" i="15"/>
  <c r="D974" i="15"/>
  <c r="D966" i="15"/>
  <c r="D958" i="15"/>
  <c r="D950" i="15"/>
  <c r="D942" i="15"/>
  <c r="D934" i="15"/>
  <c r="D926" i="15"/>
  <c r="D918" i="15"/>
  <c r="D910" i="15"/>
  <c r="D902" i="15"/>
  <c r="D894" i="15"/>
  <c r="D886" i="15"/>
  <c r="D1657" i="15"/>
  <c r="D1379" i="15"/>
  <c r="D1347" i="15"/>
  <c r="D1332" i="15"/>
  <c r="D1316" i="15"/>
  <c r="D1300" i="15"/>
  <c r="D1284" i="15"/>
  <c r="D1268" i="15"/>
  <c r="D1252" i="15"/>
  <c r="D1241" i="15"/>
  <c r="D1179" i="15"/>
  <c r="D1176" i="15"/>
  <c r="D1156" i="15"/>
  <c r="D1121" i="15"/>
  <c r="D1113" i="15"/>
  <c r="D1105" i="15"/>
  <c r="D1097" i="15"/>
  <c r="D1089" i="15"/>
  <c r="D1081" i="15"/>
  <c r="D1073" i="15"/>
  <c r="D1065" i="15"/>
  <c r="D1057" i="15"/>
  <c r="D1049" i="15"/>
  <c r="D1041" i="15"/>
  <c r="D1033" i="15"/>
  <c r="D1025" i="15"/>
  <c r="D1017" i="15"/>
  <c r="D1009" i="15"/>
  <c r="D1001" i="15"/>
  <c r="D993" i="15"/>
  <c r="D985" i="15"/>
  <c r="D977" i="15"/>
  <c r="D969" i="15"/>
  <c r="D961" i="15"/>
  <c r="D953" i="15"/>
  <c r="D945" i="15"/>
  <c r="D937" i="15"/>
  <c r="D929" i="15"/>
  <c r="D1461" i="15"/>
  <c r="D1457" i="15"/>
  <c r="D1351" i="15"/>
  <c r="D1228" i="15"/>
  <c r="D1224" i="15"/>
  <c r="D1171" i="15"/>
  <c r="D1168" i="15"/>
  <c r="D1153" i="15"/>
  <c r="D1145" i="15"/>
  <c r="D1137" i="15"/>
  <c r="D1129" i="15"/>
  <c r="D1124" i="15"/>
  <c r="D1116" i="15"/>
  <c r="D1108" i="15"/>
  <c r="D1100" i="15"/>
  <c r="D1092" i="15"/>
  <c r="D1084" i="15"/>
  <c r="D1076" i="15"/>
  <c r="D1068" i="15"/>
  <c r="D1060" i="15"/>
  <c r="D1052" i="15"/>
  <c r="D1044" i="15"/>
  <c r="D1036" i="15"/>
  <c r="D1028" i="15"/>
  <c r="D1020" i="15"/>
  <c r="D1012" i="15"/>
  <c r="D1004" i="15"/>
  <c r="D996" i="15"/>
  <c r="D988" i="15"/>
  <c r="D980" i="15"/>
  <c r="D972" i="15"/>
  <c r="D964" i="15"/>
  <c r="D956" i="15"/>
  <c r="D948" i="15"/>
  <c r="D940" i="15"/>
  <c r="D932" i="15"/>
  <c r="D1588" i="15"/>
  <c r="D1402" i="15"/>
  <c r="D1394" i="15"/>
  <c r="D1386" i="15"/>
  <c r="D1355" i="15"/>
  <c r="D1337" i="15"/>
  <c r="D1321" i="15"/>
  <c r="D1305" i="15"/>
  <c r="D1289" i="15"/>
  <c r="D1273" i="15"/>
  <c r="D1257" i="15"/>
  <c r="D1209" i="15"/>
  <c r="D1204" i="15"/>
  <c r="D1201" i="15"/>
  <c r="D1163" i="15"/>
  <c r="D1160" i="15"/>
  <c r="D1151" i="15"/>
  <c r="D1147" i="15"/>
  <c r="D1143" i="15"/>
  <c r="D1139" i="15"/>
  <c r="D1135" i="15"/>
  <c r="D1131" i="15"/>
  <c r="D1127" i="15"/>
  <c r="D1119" i="15"/>
  <c r="D1111" i="15"/>
  <c r="D1103" i="15"/>
  <c r="D1095" i="15"/>
  <c r="D1087" i="15"/>
  <c r="D1079" i="15"/>
  <c r="D1071" i="15"/>
  <c r="D1063" i="15"/>
  <c r="D1055" i="15"/>
  <c r="D1047" i="15"/>
  <c r="D1039" i="15"/>
  <c r="D1031" i="15"/>
  <c r="D1023" i="15"/>
  <c r="D1015" i="15"/>
  <c r="D1007" i="15"/>
  <c r="D999" i="15"/>
  <c r="D991" i="15"/>
  <c r="D983" i="15"/>
  <c r="D975" i="15"/>
  <c r="D967" i="15"/>
  <c r="D1498" i="15"/>
  <c r="D1437" i="15"/>
  <c r="D1359" i="15"/>
  <c r="D1244" i="15"/>
  <c r="D1233" i="15"/>
  <c r="D1196" i="15"/>
  <c r="D1193" i="15"/>
  <c r="D1155" i="15"/>
  <c r="D1122" i="15"/>
  <c r="D1114" i="15"/>
  <c r="D1106" i="15"/>
  <c r="D1098" i="15"/>
  <c r="D1090" i="15"/>
  <c r="D1082" i="15"/>
  <c r="D1074" i="15"/>
  <c r="D1066" i="15"/>
  <c r="D1058" i="15"/>
  <c r="D1050" i="15"/>
  <c r="D1042" i="15"/>
  <c r="D1034" i="15"/>
  <c r="D1026" i="15"/>
  <c r="D1018" i="15"/>
  <c r="D1010" i="15"/>
  <c r="D1002" i="15"/>
  <c r="D994" i="15"/>
  <c r="D986" i="15"/>
  <c r="D978" i="15"/>
  <c r="D970" i="15"/>
  <c r="D962" i="15"/>
  <c r="D954" i="15"/>
  <c r="D946" i="15"/>
  <c r="D938" i="15"/>
  <c r="D930" i="15"/>
  <c r="D922" i="15"/>
  <c r="D914" i="15"/>
  <c r="D906" i="15"/>
  <c r="D898" i="15"/>
  <c r="D890" i="15"/>
  <c r="D882" i="15"/>
  <c r="D1324" i="15"/>
  <c r="D1203" i="15"/>
  <c r="D1117" i="15"/>
  <c r="D1096" i="15"/>
  <c r="D1085" i="15"/>
  <c r="D1064" i="15"/>
  <c r="D1053" i="15"/>
  <c r="D1032" i="15"/>
  <c r="D1021" i="15"/>
  <c r="D1000" i="15"/>
  <c r="D989" i="15"/>
  <c r="D968" i="15"/>
  <c r="D936" i="15"/>
  <c r="D933" i="15"/>
  <c r="D925" i="15"/>
  <c r="D916" i="15"/>
  <c r="D903" i="15"/>
  <c r="D896" i="15"/>
  <c r="D878" i="15"/>
  <c r="D873" i="15"/>
  <c r="D865" i="15"/>
  <c r="D857" i="15"/>
  <c r="D849" i="15"/>
  <c r="D841" i="15"/>
  <c r="D833" i="15"/>
  <c r="D825" i="15"/>
  <c r="D817" i="15"/>
  <c r="D809" i="15"/>
  <c r="D801" i="15"/>
  <c r="D793" i="15"/>
  <c r="D785" i="15"/>
  <c r="D777" i="15"/>
  <c r="D769" i="15"/>
  <c r="D761" i="15"/>
  <c r="D753" i="15"/>
  <c r="D745" i="15"/>
  <c r="D737" i="15"/>
  <c r="D729" i="15"/>
  <c r="D721" i="15"/>
  <c r="D713" i="15"/>
  <c r="D705" i="15"/>
  <c r="D697" i="15"/>
  <c r="D689" i="15"/>
  <c r="D681" i="15"/>
  <c r="D673" i="15"/>
  <c r="D1551" i="15"/>
  <c r="D1185" i="15"/>
  <c r="D951" i="15"/>
  <c r="D920" i="15"/>
  <c r="D909" i="15"/>
  <c r="D876" i="15"/>
  <c r="D868" i="15"/>
  <c r="D860" i="15"/>
  <c r="D852" i="15"/>
  <c r="D844" i="15"/>
  <c r="D836" i="15"/>
  <c r="D828" i="15"/>
  <c r="D820" i="15"/>
  <c r="D812" i="15"/>
  <c r="D804" i="15"/>
  <c r="D796" i="15"/>
  <c r="D788" i="15"/>
  <c r="D780" i="15"/>
  <c r="D772" i="15"/>
  <c r="D764" i="15"/>
  <c r="D756" i="15"/>
  <c r="D748" i="15"/>
  <c r="D740" i="15"/>
  <c r="D732" i="15"/>
  <c r="D724" i="15"/>
  <c r="D716" i="15"/>
  <c r="D708" i="15"/>
  <c r="D700" i="15"/>
  <c r="D692" i="15"/>
  <c r="D684" i="15"/>
  <c r="D1441" i="15"/>
  <c r="D1363" i="15"/>
  <c r="D1292" i="15"/>
  <c r="D1177" i="15"/>
  <c r="D1120" i="15"/>
  <c r="D1109" i="15"/>
  <c r="D1088" i="15"/>
  <c r="D1077" i="15"/>
  <c r="D1056" i="15"/>
  <c r="D1045" i="15"/>
  <c r="D1024" i="15"/>
  <c r="D1013" i="15"/>
  <c r="D992" i="15"/>
  <c r="D981" i="15"/>
  <c r="D957" i="15"/>
  <c r="D913" i="15"/>
  <c r="D900" i="15"/>
  <c r="D871" i="15"/>
  <c r="D863" i="15"/>
  <c r="D855" i="15"/>
  <c r="D847" i="15"/>
  <c r="D839" i="15"/>
  <c r="D831" i="15"/>
  <c r="D823" i="15"/>
  <c r="D815" i="15"/>
  <c r="D807" i="15"/>
  <c r="D799" i="15"/>
  <c r="D791" i="15"/>
  <c r="D783" i="15"/>
  <c r="D775" i="15"/>
  <c r="D767" i="15"/>
  <c r="D759" i="15"/>
  <c r="D751" i="15"/>
  <c r="D743" i="15"/>
  <c r="D735" i="15"/>
  <c r="D727" i="15"/>
  <c r="D719" i="15"/>
  <c r="D711" i="15"/>
  <c r="D703" i="15"/>
  <c r="D695" i="15"/>
  <c r="D687" i="15"/>
  <c r="D679" i="15"/>
  <c r="D671" i="15"/>
  <c r="D663" i="15"/>
  <c r="D655" i="15"/>
  <c r="D647" i="15"/>
  <c r="D639" i="15"/>
  <c r="D1367" i="15"/>
  <c r="D1152" i="15"/>
  <c r="D960" i="15"/>
  <c r="D944" i="15"/>
  <c r="D941" i="15"/>
  <c r="D935" i="15"/>
  <c r="D927" i="15"/>
  <c r="D924" i="15"/>
  <c r="D911" i="15"/>
  <c r="D904" i="15"/>
  <c r="D893" i="15"/>
  <c r="D889" i="15"/>
  <c r="D885" i="15"/>
  <c r="D881" i="15"/>
  <c r="D874" i="15"/>
  <c r="D866" i="15"/>
  <c r="D858" i="15"/>
  <c r="D850" i="15"/>
  <c r="D842" i="15"/>
  <c r="D834" i="15"/>
  <c r="D826" i="15"/>
  <c r="D818" i="15"/>
  <c r="D810" i="15"/>
  <c r="D802" i="15"/>
  <c r="D794" i="15"/>
  <c r="D786" i="15"/>
  <c r="D778" i="15"/>
  <c r="D1260" i="15"/>
  <c r="D1144" i="15"/>
  <c r="D1112" i="15"/>
  <c r="D1101" i="15"/>
  <c r="D1080" i="15"/>
  <c r="D1069" i="15"/>
  <c r="D1048" i="15"/>
  <c r="D1037" i="15"/>
  <c r="D1016" i="15"/>
  <c r="D1005" i="15"/>
  <c r="D984" i="15"/>
  <c r="D973" i="15"/>
  <c r="D917" i="15"/>
  <c r="D897" i="15"/>
  <c r="D891" i="15"/>
  <c r="D887" i="15"/>
  <c r="D883" i="15"/>
  <c r="D879" i="15"/>
  <c r="D877" i="15"/>
  <c r="D869" i="15"/>
  <c r="D861" i="15"/>
  <c r="D853" i="15"/>
  <c r="D845" i="15"/>
  <c r="D837" i="15"/>
  <c r="D829" i="15"/>
  <c r="D821" i="15"/>
  <c r="D813" i="15"/>
  <c r="D805" i="15"/>
  <c r="D797" i="15"/>
  <c r="D1308" i="15"/>
  <c r="D1249" i="15"/>
  <c r="D1217" i="15"/>
  <c r="D1208" i="15"/>
  <c r="D1200" i="15"/>
  <c r="D1188" i="15"/>
  <c r="D1180" i="15"/>
  <c r="D1136" i="15"/>
  <c r="D959" i="15"/>
  <c r="D921" i="15"/>
  <c r="D908" i="15"/>
  <c r="D895" i="15"/>
  <c r="D872" i="15"/>
  <c r="D864" i="15"/>
  <c r="D856" i="15"/>
  <c r="D848" i="15"/>
  <c r="D840" i="15"/>
  <c r="D832" i="15"/>
  <c r="D824" i="15"/>
  <c r="D816" i="15"/>
  <c r="D808" i="15"/>
  <c r="D800" i="15"/>
  <c r="D792" i="15"/>
  <c r="D784" i="15"/>
  <c r="D776" i="15"/>
  <c r="D768" i="15"/>
  <c r="D760" i="15"/>
  <c r="D752" i="15"/>
  <c r="D744" i="15"/>
  <c r="D736" i="15"/>
  <c r="D728" i="15"/>
  <c r="D720" i="15"/>
  <c r="D712" i="15"/>
  <c r="D704" i="15"/>
  <c r="D696" i="15"/>
  <c r="D688" i="15"/>
  <c r="D680" i="15"/>
  <c r="D672" i="15"/>
  <c r="D664" i="15"/>
  <c r="D656" i="15"/>
  <c r="D648" i="15"/>
  <c r="D640" i="15"/>
  <c r="D1104" i="15"/>
  <c r="D1040" i="15"/>
  <c r="D976" i="15"/>
  <c r="D905" i="15"/>
  <c r="D901" i="15"/>
  <c r="D880" i="15"/>
  <c r="D870" i="15"/>
  <c r="D838" i="15"/>
  <c r="D806" i="15"/>
  <c r="D795" i="15"/>
  <c r="D789" i="15"/>
  <c r="D774" i="15"/>
  <c r="D771" i="15"/>
  <c r="D733" i="15"/>
  <c r="D730" i="15"/>
  <c r="D710" i="15"/>
  <c r="D707" i="15"/>
  <c r="D677" i="15"/>
  <c r="D668" i="15"/>
  <c r="D662" i="15"/>
  <c r="D660" i="15"/>
  <c r="D654" i="15"/>
  <c r="D652" i="15"/>
  <c r="D646" i="15"/>
  <c r="D644" i="15"/>
  <c r="D635" i="15"/>
  <c r="D627" i="15"/>
  <c r="D619" i="15"/>
  <c r="D611" i="15"/>
  <c r="D603" i="15"/>
  <c r="D595" i="15"/>
  <c r="D587" i="15"/>
  <c r="D579" i="15"/>
  <c r="D571" i="15"/>
  <c r="D563" i="15"/>
  <c r="D555" i="15"/>
  <c r="D547" i="15"/>
  <c r="D539" i="15"/>
  <c r="D531" i="15"/>
  <c r="D523" i="15"/>
  <c r="D515" i="15"/>
  <c r="D507" i="15"/>
  <c r="D499" i="15"/>
  <c r="D491" i="15"/>
  <c r="D1212" i="15"/>
  <c r="D952" i="15"/>
  <c r="D943" i="15"/>
  <c r="D851" i="15"/>
  <c r="D819" i="15"/>
  <c r="D766" i="15"/>
  <c r="D763" i="15"/>
  <c r="D725" i="15"/>
  <c r="D722" i="15"/>
  <c r="D702" i="15"/>
  <c r="D699" i="15"/>
  <c r="D670" i="15"/>
  <c r="D638" i="15"/>
  <c r="D630" i="15"/>
  <c r="D622" i="15"/>
  <c r="D614" i="15"/>
  <c r="D606" i="15"/>
  <c r="D598" i="15"/>
  <c r="D590" i="15"/>
  <c r="D582" i="15"/>
  <c r="D574" i="15"/>
  <c r="D566" i="15"/>
  <c r="D558" i="15"/>
  <c r="D550" i="15"/>
  <c r="D542" i="15"/>
  <c r="D534" i="15"/>
  <c r="D526" i="15"/>
  <c r="D518" i="15"/>
  <c r="D510" i="15"/>
  <c r="D502" i="15"/>
  <c r="D494" i="15"/>
  <c r="D486" i="15"/>
  <c r="D478" i="15"/>
  <c r="D470" i="15"/>
  <c r="D462" i="15"/>
  <c r="D454" i="15"/>
  <c r="D446" i="15"/>
  <c r="D438" i="15"/>
  <c r="D430" i="15"/>
  <c r="D1276" i="15"/>
  <c r="D1093" i="15"/>
  <c r="D1029" i="15"/>
  <c r="D965" i="15"/>
  <c r="D892" i="15"/>
  <c r="D862" i="15"/>
  <c r="D830" i="15"/>
  <c r="D798" i="15"/>
  <c r="D779" i="15"/>
  <c r="D758" i="15"/>
  <c r="D755" i="15"/>
  <c r="D717" i="15"/>
  <c r="D714" i="15"/>
  <c r="D694" i="15"/>
  <c r="D691" i="15"/>
  <c r="D674" i="15"/>
  <c r="D633" i="15"/>
  <c r="D625" i="15"/>
  <c r="D617" i="15"/>
  <c r="D609" i="15"/>
  <c r="D875" i="15"/>
  <c r="D843" i="15"/>
  <c r="D811" i="15"/>
  <c r="D782" i="15"/>
  <c r="D773" i="15"/>
  <c r="D770" i="15"/>
  <c r="D750" i="15"/>
  <c r="D747" i="15"/>
  <c r="D709" i="15"/>
  <c r="D706" i="15"/>
  <c r="D686" i="15"/>
  <c r="D683" i="15"/>
  <c r="D676" i="15"/>
  <c r="D667" i="15"/>
  <c r="D659" i="15"/>
  <c r="D651" i="15"/>
  <c r="D643" i="15"/>
  <c r="D636" i="15"/>
  <c r="D628" i="15"/>
  <c r="D620" i="15"/>
  <c r="D612" i="15"/>
  <c r="D604" i="15"/>
  <c r="D596" i="15"/>
  <c r="D588" i="15"/>
  <c r="D580" i="15"/>
  <c r="D572" i="15"/>
  <c r="D564" i="15"/>
  <c r="D556" i="15"/>
  <c r="D548" i="15"/>
  <c r="D540" i="15"/>
  <c r="D532" i="15"/>
  <c r="D524" i="15"/>
  <c r="D516" i="15"/>
  <c r="D508" i="15"/>
  <c r="D500" i="15"/>
  <c r="D492" i="15"/>
  <c r="D484" i="15"/>
  <c r="D476" i="15"/>
  <c r="D468" i="15"/>
  <c r="D460" i="15"/>
  <c r="D452" i="15"/>
  <c r="D444" i="15"/>
  <c r="D436" i="15"/>
  <c r="D428" i="15"/>
  <c r="D1072" i="15"/>
  <c r="D1008" i="15"/>
  <c r="D928" i="15"/>
  <c r="D912" i="15"/>
  <c r="D888" i="15"/>
  <c r="D854" i="15"/>
  <c r="D822" i="15"/>
  <c r="D765" i="15"/>
  <c r="D762" i="15"/>
  <c r="D742" i="15"/>
  <c r="D739" i="15"/>
  <c r="D1417" i="15"/>
  <c r="D949" i="15"/>
  <c r="D867" i="15"/>
  <c r="D835" i="15"/>
  <c r="D803" i="15"/>
  <c r="D787" i="15"/>
  <c r="D781" i="15"/>
  <c r="D757" i="15"/>
  <c r="D754" i="15"/>
  <c r="D734" i="15"/>
  <c r="D731" i="15"/>
  <c r="D693" i="15"/>
  <c r="D690" i="15"/>
  <c r="D678" i="15"/>
  <c r="D634" i="15"/>
  <c r="D626" i="15"/>
  <c r="D618" i="15"/>
  <c r="D610" i="15"/>
  <c r="D602" i="15"/>
  <c r="D594" i="15"/>
  <c r="D586" i="15"/>
  <c r="D578" i="15"/>
  <c r="D570" i="15"/>
  <c r="D562" i="15"/>
  <c r="D554" i="15"/>
  <c r="D546" i="15"/>
  <c r="D538" i="15"/>
  <c r="D530" i="15"/>
  <c r="D522" i="15"/>
  <c r="D514" i="15"/>
  <c r="D506" i="15"/>
  <c r="D498" i="15"/>
  <c r="D490" i="15"/>
  <c r="D482" i="15"/>
  <c r="D474" i="15"/>
  <c r="D846" i="15"/>
  <c r="D749" i="15"/>
  <c r="D741" i="15"/>
  <c r="D726" i="15"/>
  <c r="D675" i="15"/>
  <c r="D661" i="15"/>
  <c r="D658" i="15"/>
  <c r="D645" i="15"/>
  <c r="D642" i="15"/>
  <c r="D613" i="15"/>
  <c r="D597" i="15"/>
  <c r="D584" i="15"/>
  <c r="D561" i="15"/>
  <c r="D551" i="15"/>
  <c r="D533" i="15"/>
  <c r="D520" i="15"/>
  <c r="D497" i="15"/>
  <c r="D487" i="15"/>
  <c r="D473" i="15"/>
  <c r="D919" i="15"/>
  <c r="D718" i="15"/>
  <c r="D698" i="15"/>
  <c r="D682" i="15"/>
  <c r="D624" i="15"/>
  <c r="D607" i="15"/>
  <c r="D589" i="15"/>
  <c r="D576" i="15"/>
  <c r="D553" i="15"/>
  <c r="D543" i="15"/>
  <c r="D525" i="15"/>
  <c r="D512" i="15"/>
  <c r="D489" i="15"/>
  <c r="D997" i="15"/>
  <c r="D621" i="15"/>
  <c r="D615" i="15"/>
  <c r="D599" i="15"/>
  <c r="D581" i="15"/>
  <c r="D568" i="15"/>
  <c r="D545" i="15"/>
  <c r="D535" i="15"/>
  <c r="D517" i="15"/>
  <c r="D504" i="15"/>
  <c r="D477" i="15"/>
  <c r="D475" i="15"/>
  <c r="D701" i="15"/>
  <c r="D657" i="15"/>
  <c r="D641" i="15"/>
  <c r="D632" i="15"/>
  <c r="D601" i="15"/>
  <c r="D591" i="15"/>
  <c r="D573" i="15"/>
  <c r="D560" i="15"/>
  <c r="D537" i="15"/>
  <c r="D527" i="15"/>
  <c r="D509" i="15"/>
  <c r="D496" i="15"/>
  <c r="D479" i="15"/>
  <c r="D472" i="15"/>
  <c r="D1061" i="15"/>
  <c r="D723" i="15"/>
  <c r="D685" i="15"/>
  <c r="D669" i="15"/>
  <c r="D666" i="15"/>
  <c r="D653" i="15"/>
  <c r="D650" i="15"/>
  <c r="D629" i="15"/>
  <c r="D623" i="15"/>
  <c r="D593" i="15"/>
  <c r="D583" i="15"/>
  <c r="D565" i="15"/>
  <c r="D552" i="15"/>
  <c r="D529" i="15"/>
  <c r="D519" i="15"/>
  <c r="D501" i="15"/>
  <c r="D488" i="15"/>
  <c r="D481" i="15"/>
  <c r="D420" i="15"/>
  <c r="D412" i="15"/>
  <c r="D404" i="15"/>
  <c r="D396" i="15"/>
  <c r="D388" i="15"/>
  <c r="D380" i="15"/>
  <c r="D372" i="15"/>
  <c r="D1128" i="15"/>
  <c r="D884" i="15"/>
  <c r="D859" i="15"/>
  <c r="D715" i="15"/>
  <c r="D665" i="15"/>
  <c r="D649" i="15"/>
  <c r="D616" i="15"/>
  <c r="D605" i="15"/>
  <c r="D592" i="15"/>
  <c r="D569" i="15"/>
  <c r="D559" i="15"/>
  <c r="D541" i="15"/>
  <c r="D528" i="15"/>
  <c r="D505" i="15"/>
  <c r="D495" i="15"/>
  <c r="D480" i="15"/>
  <c r="D471" i="15"/>
  <c r="D421" i="15"/>
  <c r="D413" i="15"/>
  <c r="D405" i="15"/>
  <c r="D397" i="15"/>
  <c r="D389" i="15"/>
  <c r="D381" i="15"/>
  <c r="D631" i="15"/>
  <c r="D585" i="15"/>
  <c r="D536" i="15"/>
  <c r="D455" i="15"/>
  <c r="D453" i="15"/>
  <c r="D443" i="15"/>
  <c r="D433" i="15"/>
  <c r="D423" i="15"/>
  <c r="D415" i="15"/>
  <c r="D407" i="15"/>
  <c r="D399" i="15"/>
  <c r="D391" i="15"/>
  <c r="D383" i="15"/>
  <c r="D375" i="15"/>
  <c r="D368" i="15"/>
  <c r="D363" i="15"/>
  <c r="D355" i="15"/>
  <c r="D347" i="15"/>
  <c r="D339" i="15"/>
  <c r="D331" i="15"/>
  <c r="D323" i="15"/>
  <c r="D315" i="15"/>
  <c r="D307" i="15"/>
  <c r="D299" i="15"/>
  <c r="D291" i="15"/>
  <c r="D283" i="15"/>
  <c r="D275" i="15"/>
  <c r="D267" i="15"/>
  <c r="D259" i="15"/>
  <c r="D251" i="15"/>
  <c r="D243" i="15"/>
  <c r="D235" i="15"/>
  <c r="D227" i="15"/>
  <c r="D219" i="15"/>
  <c r="D211" i="15"/>
  <c r="D203" i="15"/>
  <c r="D195" i="15"/>
  <c r="D187" i="15"/>
  <c r="D179" i="15"/>
  <c r="D171" i="15"/>
  <c r="D163" i="15"/>
  <c r="D155" i="15"/>
  <c r="D147" i="15"/>
  <c r="D790" i="15"/>
  <c r="D485" i="15"/>
  <c r="D450" i="15"/>
  <c r="D440" i="15"/>
  <c r="D419" i="15"/>
  <c r="D417" i="15"/>
  <c r="D411" i="15"/>
  <c r="D409" i="15"/>
  <c r="D403" i="15"/>
  <c r="D401" i="15"/>
  <c r="D395" i="15"/>
  <c r="D393" i="15"/>
  <c r="D387" i="15"/>
  <c r="D385" i="15"/>
  <c r="D379" i="15"/>
  <c r="D377" i="15"/>
  <c r="D366" i="15"/>
  <c r="D358" i="15"/>
  <c r="D350" i="15"/>
  <c r="D342" i="15"/>
  <c r="D334" i="15"/>
  <c r="D326" i="15"/>
  <c r="D318" i="15"/>
  <c r="D310" i="15"/>
  <c r="D302" i="15"/>
  <c r="D294" i="15"/>
  <c r="D286" i="15"/>
  <c r="D278" i="15"/>
  <c r="D270" i="15"/>
  <c r="D262" i="15"/>
  <c r="D254" i="15"/>
  <c r="D246" i="15"/>
  <c r="D238" i="15"/>
  <c r="D230" i="15"/>
  <c r="D222" i="15"/>
  <c r="D214" i="15"/>
  <c r="D206" i="15"/>
  <c r="D198" i="15"/>
  <c r="D1125" i="15"/>
  <c r="D608" i="15"/>
  <c r="D493" i="15"/>
  <c r="D465" i="15"/>
  <c r="D457" i="15"/>
  <c r="D447" i="15"/>
  <c r="D445" i="15"/>
  <c r="D435" i="15"/>
  <c r="D425" i="15"/>
  <c r="D373" i="15"/>
  <c r="D361" i="15"/>
  <c r="D353" i="15"/>
  <c r="D345" i="15"/>
  <c r="D337" i="15"/>
  <c r="D329" i="15"/>
  <c r="D321" i="15"/>
  <c r="D313" i="15"/>
  <c r="D305" i="15"/>
  <c r="D297" i="15"/>
  <c r="D289" i="15"/>
  <c r="D281" i="15"/>
  <c r="D273" i="15"/>
  <c r="D265" i="15"/>
  <c r="D257" i="15"/>
  <c r="D249" i="15"/>
  <c r="D241" i="15"/>
  <c r="D233" i="15"/>
  <c r="D225" i="15"/>
  <c r="D575" i="15"/>
  <c r="D567" i="15"/>
  <c r="D513" i="15"/>
  <c r="D442" i="15"/>
  <c r="D432" i="15"/>
  <c r="D371" i="15"/>
  <c r="D364" i="15"/>
  <c r="D356" i="15"/>
  <c r="D348" i="15"/>
  <c r="D340" i="15"/>
  <c r="D332" i="15"/>
  <c r="D324" i="15"/>
  <c r="D316" i="15"/>
  <c r="D308" i="15"/>
  <c r="D300" i="15"/>
  <c r="D292" i="15"/>
  <c r="D284" i="15"/>
  <c r="D276" i="15"/>
  <c r="D268" i="15"/>
  <c r="D260" i="15"/>
  <c r="D252" i="15"/>
  <c r="D244" i="15"/>
  <c r="D236" i="15"/>
  <c r="D228" i="15"/>
  <c r="D220" i="15"/>
  <c r="D212" i="15"/>
  <c r="D204" i="15"/>
  <c r="D196" i="15"/>
  <c r="D188" i="15"/>
  <c r="D180" i="15"/>
  <c r="D172" i="15"/>
  <c r="D164" i="15"/>
  <c r="D156" i="15"/>
  <c r="D814" i="15"/>
  <c r="D738" i="15"/>
  <c r="D600" i="15"/>
  <c r="D521" i="15"/>
  <c r="D464" i="15"/>
  <c r="D459" i="15"/>
  <c r="D449" i="15"/>
  <c r="D439" i="15"/>
  <c r="D437" i="15"/>
  <c r="D427" i="15"/>
  <c r="D416" i="15"/>
  <c r="D408" i="15"/>
  <c r="D400" i="15"/>
  <c r="D392" i="15"/>
  <c r="D384" i="15"/>
  <c r="D376" i="15"/>
  <c r="D369" i="15"/>
  <c r="D367" i="15"/>
  <c r="D359" i="15"/>
  <c r="D351" i="15"/>
  <c r="D343" i="15"/>
  <c r="D335" i="15"/>
  <c r="D327" i="15"/>
  <c r="D319" i="15"/>
  <c r="D311" i="15"/>
  <c r="D303" i="15"/>
  <c r="D295" i="15"/>
  <c r="D287" i="15"/>
  <c r="D279" i="15"/>
  <c r="D271" i="15"/>
  <c r="D263" i="15"/>
  <c r="D255" i="15"/>
  <c r="D247" i="15"/>
  <c r="D239" i="15"/>
  <c r="D231" i="15"/>
  <c r="D223" i="15"/>
  <c r="D215" i="15"/>
  <c r="D207" i="15"/>
  <c r="D199" i="15"/>
  <c r="D191" i="15"/>
  <c r="D183" i="15"/>
  <c r="D175" i="15"/>
  <c r="D167" i="15"/>
  <c r="D159" i="15"/>
  <c r="D151" i="15"/>
  <c r="D143" i="15"/>
  <c r="D746" i="15"/>
  <c r="D577" i="15"/>
  <c r="D511" i="15"/>
  <c r="D503" i="15"/>
  <c r="D483" i="15"/>
  <c r="D469" i="15"/>
  <c r="D466" i="15"/>
  <c r="D463" i="15"/>
  <c r="D458" i="15"/>
  <c r="D448" i="15"/>
  <c r="D426" i="15"/>
  <c r="D370" i="15"/>
  <c r="D360" i="15"/>
  <c r="D352" i="15"/>
  <c r="D344" i="15"/>
  <c r="D336" i="15"/>
  <c r="D328" i="15"/>
  <c r="D320" i="15"/>
  <c r="D312" i="15"/>
  <c r="D304" i="15"/>
  <c r="D296" i="15"/>
  <c r="D288" i="15"/>
  <c r="D280" i="15"/>
  <c r="D272" i="15"/>
  <c r="D264" i="15"/>
  <c r="D256" i="15"/>
  <c r="D248" i="15"/>
  <c r="D240" i="15"/>
  <c r="D232" i="15"/>
  <c r="D224" i="15"/>
  <c r="D216" i="15"/>
  <c r="D208" i="15"/>
  <c r="D200" i="15"/>
  <c r="D192" i="15"/>
  <c r="D184" i="15"/>
  <c r="D827" i="15"/>
  <c r="D557" i="15"/>
  <c r="D441" i="15"/>
  <c r="D429" i="15"/>
  <c r="D424" i="15"/>
  <c r="D410" i="15"/>
  <c r="D398" i="15"/>
  <c r="D333" i="15"/>
  <c r="D306" i="15"/>
  <c r="D269" i="15"/>
  <c r="D242" i="15"/>
  <c r="D217" i="15"/>
  <c r="D201" i="15"/>
  <c r="D189" i="15"/>
  <c r="D186" i="15"/>
  <c r="D181" i="15"/>
  <c r="D165" i="15"/>
  <c r="D152" i="15"/>
  <c r="D148" i="15"/>
  <c r="D144" i="15"/>
  <c r="D140" i="15"/>
  <c r="D135" i="15"/>
  <c r="D127" i="15"/>
  <c r="D119" i="15"/>
  <c r="D111" i="15"/>
  <c r="D103" i="15"/>
  <c r="D95" i="15"/>
  <c r="D87" i="15"/>
  <c r="D79" i="15"/>
  <c r="D71" i="15"/>
  <c r="D63" i="15"/>
  <c r="D55" i="15"/>
  <c r="D47" i="15"/>
  <c r="D39" i="15"/>
  <c r="D31" i="15"/>
  <c r="D23" i="15"/>
  <c r="D15" i="15"/>
  <c r="D7" i="15"/>
  <c r="D549" i="15"/>
  <c r="D170" i="15"/>
  <c r="D94" i="15"/>
  <c r="D322" i="15"/>
  <c r="D285" i="15"/>
  <c r="D258" i="15"/>
  <c r="D65" i="15"/>
  <c r="D57" i="15"/>
  <c r="D49" i="15"/>
  <c r="D402" i="15"/>
  <c r="D390" i="15"/>
  <c r="D362" i="15"/>
  <c r="D325" i="15"/>
  <c r="D298" i="15"/>
  <c r="D261" i="15"/>
  <c r="D234" i="15"/>
  <c r="D210" i="15"/>
  <c r="D194" i="15"/>
  <c r="D178" i="15"/>
  <c r="D176" i="15"/>
  <c r="D169" i="15"/>
  <c r="D158" i="15"/>
  <c r="D138" i="15"/>
  <c r="D130" i="15"/>
  <c r="D122" i="15"/>
  <c r="D114" i="15"/>
  <c r="D106" i="15"/>
  <c r="D98" i="15"/>
  <c r="D90" i="15"/>
  <c r="D82" i="15"/>
  <c r="D74" i="15"/>
  <c r="D66" i="15"/>
  <c r="D58" i="15"/>
  <c r="D50" i="15"/>
  <c r="D42" i="15"/>
  <c r="D34" i="15"/>
  <c r="D26" i="15"/>
  <c r="D18" i="15"/>
  <c r="D10" i="15"/>
  <c r="D544" i="15"/>
  <c r="D451" i="15"/>
  <c r="D422" i="15"/>
  <c r="D357" i="15"/>
  <c r="D70" i="15"/>
  <c r="D46" i="15"/>
  <c r="D129" i="15"/>
  <c r="D113" i="15"/>
  <c r="D105" i="15"/>
  <c r="D97" i="15"/>
  <c r="D33" i="15"/>
  <c r="D461" i="15"/>
  <c r="D431" i="15"/>
  <c r="D394" i="15"/>
  <c r="D382" i="15"/>
  <c r="D374" i="15"/>
  <c r="D354" i="15"/>
  <c r="D317" i="15"/>
  <c r="D290" i="15"/>
  <c r="D253" i="15"/>
  <c r="D226" i="15"/>
  <c r="D162" i="15"/>
  <c r="D133" i="15"/>
  <c r="D125" i="15"/>
  <c r="D117" i="15"/>
  <c r="D109" i="15"/>
  <c r="D101" i="15"/>
  <c r="D93" i="15"/>
  <c r="D85" i="15"/>
  <c r="D77" i="15"/>
  <c r="D69" i="15"/>
  <c r="D61" i="15"/>
  <c r="D53" i="15"/>
  <c r="D45" i="15"/>
  <c r="D37" i="15"/>
  <c r="D29" i="15"/>
  <c r="D21" i="15"/>
  <c r="D13" i="15"/>
  <c r="D5" i="15"/>
  <c r="D177" i="15"/>
  <c r="D157" i="15"/>
  <c r="D25" i="15"/>
  <c r="D9" i="15"/>
  <c r="D637" i="15"/>
  <c r="D456" i="15"/>
  <c r="D386" i="15"/>
  <c r="D346" i="15"/>
  <c r="D309" i="15"/>
  <c r="D282" i="15"/>
  <c r="D245" i="15"/>
  <c r="D213" i="15"/>
  <c r="D197" i="15"/>
  <c r="D173" i="15"/>
  <c r="D160" i="15"/>
  <c r="D153" i="15"/>
  <c r="D149" i="15"/>
  <c r="D145" i="15"/>
  <c r="D141" i="15"/>
  <c r="D136" i="15"/>
  <c r="D128" i="15"/>
  <c r="D120" i="15"/>
  <c r="D112" i="15"/>
  <c r="D104" i="15"/>
  <c r="D96" i="15"/>
  <c r="D88" i="15"/>
  <c r="D80" i="15"/>
  <c r="D72" i="15"/>
  <c r="D64" i="15"/>
  <c r="D56" i="15"/>
  <c r="D48" i="15"/>
  <c r="D40" i="15"/>
  <c r="D32" i="15"/>
  <c r="D24" i="15"/>
  <c r="D16" i="15"/>
  <c r="D8" i="15"/>
  <c r="D218" i="15"/>
  <c r="D202" i="15"/>
  <c r="D126" i="15"/>
  <c r="D118" i="15"/>
  <c r="D62" i="15"/>
  <c r="D54" i="15"/>
  <c r="D168" i="15"/>
  <c r="D161" i="15"/>
  <c r="D434" i="15"/>
  <c r="D378" i="15"/>
  <c r="D365" i="15"/>
  <c r="D338" i="15"/>
  <c r="D301" i="15"/>
  <c r="D274" i="15"/>
  <c r="D237" i="15"/>
  <c r="D209" i="15"/>
  <c r="D193" i="15"/>
  <c r="D190" i="15"/>
  <c r="D185" i="15"/>
  <c r="D182" i="15"/>
  <c r="D166" i="15"/>
  <c r="D139" i="15"/>
  <c r="D131" i="15"/>
  <c r="D123" i="15"/>
  <c r="D115" i="15"/>
  <c r="D107" i="15"/>
  <c r="D99" i="15"/>
  <c r="D91" i="15"/>
  <c r="D83" i="15"/>
  <c r="D75" i="15"/>
  <c r="D67" i="15"/>
  <c r="D59" i="15"/>
  <c r="D51" i="15"/>
  <c r="D43" i="15"/>
  <c r="D35" i="15"/>
  <c r="D27" i="15"/>
  <c r="D19" i="15"/>
  <c r="D11" i="15"/>
  <c r="D3" i="15"/>
  <c r="D102" i="15"/>
  <c r="D30" i="15"/>
  <c r="D414" i="15"/>
  <c r="D349" i="15"/>
  <c r="D73" i="15"/>
  <c r="D38" i="15"/>
  <c r="D22" i="15"/>
  <c r="D6" i="15"/>
  <c r="D137" i="15"/>
  <c r="D121" i="15"/>
  <c r="D89" i="15"/>
  <c r="D81" i="15"/>
  <c r="D41" i="15"/>
  <c r="D17" i="15"/>
  <c r="D418" i="15"/>
  <c r="D406" i="15"/>
  <c r="D341" i="15"/>
  <c r="D314" i="15"/>
  <c r="D277" i="15"/>
  <c r="D250" i="15"/>
  <c r="D221" i="15"/>
  <c r="D205" i="15"/>
  <c r="D174" i="15"/>
  <c r="D154" i="15"/>
  <c r="D150" i="15"/>
  <c r="D146" i="15"/>
  <c r="D142" i="15"/>
  <c r="D132" i="15"/>
  <c r="D124" i="15"/>
  <c r="D116" i="15"/>
  <c r="D108" i="15"/>
  <c r="D100" i="15"/>
  <c r="D92" i="15"/>
  <c r="D84" i="15"/>
  <c r="D76" i="15"/>
  <c r="D68" i="15"/>
  <c r="D60" i="15"/>
  <c r="D52" i="15"/>
  <c r="D44" i="15"/>
  <c r="D36" i="15"/>
  <c r="D28" i="15"/>
  <c r="D20" i="15"/>
  <c r="D12" i="15"/>
  <c r="D4" i="15"/>
  <c r="D330" i="15"/>
  <c r="D293" i="15"/>
  <c r="D266" i="15"/>
  <c r="D229" i="15"/>
  <c r="D134" i="15"/>
  <c r="D110" i="15"/>
  <c r="D86" i="15"/>
  <c r="D78" i="15"/>
  <c r="D14" i="15"/>
  <c r="D467" i="15"/>
  <c r="D4" i="14"/>
  <c r="D8" i="14"/>
  <c r="D16" i="14"/>
  <c r="D24" i="14"/>
  <c r="D32" i="14"/>
  <c r="D40" i="14"/>
  <c r="D48" i="14"/>
  <c r="D56" i="14"/>
  <c r="D64" i="14"/>
  <c r="D72" i="14"/>
  <c r="D80" i="14"/>
  <c r="D88" i="14"/>
  <c r="D96" i="14"/>
  <c r="D104" i="14"/>
  <c r="D112" i="14"/>
  <c r="D120" i="14"/>
  <c r="D128" i="14"/>
  <c r="D136" i="14"/>
  <c r="D144" i="14"/>
  <c r="D152" i="14"/>
  <c r="D160" i="14"/>
  <c r="D168" i="14"/>
  <c r="D176" i="14"/>
  <c r="D184" i="14"/>
  <c r="D192" i="14"/>
  <c r="D200" i="14"/>
  <c r="D208" i="14"/>
  <c r="D216" i="14"/>
  <c r="D224" i="14"/>
  <c r="D232" i="14"/>
  <c r="D240" i="14"/>
  <c r="D248" i="14"/>
  <c r="D9" i="14"/>
  <c r="D17" i="14"/>
  <c r="D25" i="14"/>
  <c r="D33" i="14"/>
  <c r="D41" i="14"/>
  <c r="D49" i="14"/>
  <c r="D57" i="14"/>
  <c r="D65" i="14"/>
  <c r="D73" i="14"/>
  <c r="D81" i="14"/>
  <c r="D89" i="14"/>
  <c r="D97" i="14"/>
  <c r="D105" i="14"/>
  <c r="D113" i="14"/>
  <c r="D121" i="14"/>
  <c r="D129" i="14"/>
  <c r="D137" i="14"/>
  <c r="D145" i="14"/>
  <c r="D153" i="14"/>
  <c r="D161" i="14"/>
  <c r="D169" i="14"/>
  <c r="D177" i="14"/>
  <c r="D12" i="14"/>
  <c r="D20" i="14"/>
  <c r="D28" i="14"/>
  <c r="D36" i="14"/>
  <c r="D44" i="14"/>
  <c r="D52" i="14"/>
  <c r="D60" i="14"/>
  <c r="D68" i="14"/>
  <c r="D76" i="14"/>
  <c r="D84" i="14"/>
  <c r="D92" i="14"/>
  <c r="D100" i="14"/>
  <c r="D108" i="14"/>
  <c r="D116" i="14"/>
  <c r="D124" i="14"/>
  <c r="D132" i="14"/>
  <c r="D140" i="14"/>
  <c r="D148" i="14"/>
  <c r="D156" i="14"/>
  <c r="D164" i="14"/>
  <c r="D172" i="14"/>
  <c r="D180" i="14"/>
  <c r="D188" i="14"/>
  <c r="D15" i="14"/>
  <c r="D29" i="14"/>
  <c r="D42" i="14"/>
  <c r="D54" i="14"/>
  <c r="D67" i="14"/>
  <c r="D79" i="14"/>
  <c r="D93" i="14"/>
  <c r="D106" i="14"/>
  <c r="D118" i="14"/>
  <c r="D131" i="14"/>
  <c r="D143" i="14"/>
  <c r="D157" i="14"/>
  <c r="D170" i="14"/>
  <c r="D182" i="14"/>
  <c r="D193" i="14"/>
  <c r="D202" i="14"/>
  <c r="D211" i="14"/>
  <c r="D220" i="14"/>
  <c r="D229" i="14"/>
  <c r="D238" i="14"/>
  <c r="D247" i="14"/>
  <c r="D256" i="14"/>
  <c r="D264" i="14"/>
  <c r="D272" i="14"/>
  <c r="D280" i="14"/>
  <c r="D288" i="14"/>
  <c r="D296" i="14"/>
  <c r="D304" i="14"/>
  <c r="D312" i="14"/>
  <c r="D320" i="14"/>
  <c r="D328" i="14"/>
  <c r="D336" i="14"/>
  <c r="D344" i="14"/>
  <c r="D352" i="14"/>
  <c r="D360" i="14"/>
  <c r="D368" i="14"/>
  <c r="D376" i="14"/>
  <c r="D384" i="14"/>
  <c r="D392" i="14"/>
  <c r="D400" i="14"/>
  <c r="D408" i="14"/>
  <c r="D416" i="14"/>
  <c r="D424" i="14"/>
  <c r="D432" i="14"/>
  <c r="D440" i="14"/>
  <c r="D448" i="14"/>
  <c r="D456" i="14"/>
  <c r="D464" i="14"/>
  <c r="D472" i="14"/>
  <c r="D480" i="14"/>
  <c r="D488" i="14"/>
  <c r="D496" i="14"/>
  <c r="D504" i="14"/>
  <c r="D512" i="14"/>
  <c r="D520" i="14"/>
  <c r="D528" i="14"/>
  <c r="D536" i="14"/>
  <c r="D544" i="14"/>
  <c r="D552" i="14"/>
  <c r="D560" i="14"/>
  <c r="D568" i="14"/>
  <c r="D576" i="14"/>
  <c r="D584" i="14"/>
  <c r="D592" i="14"/>
  <c r="D600" i="14"/>
  <c r="D608" i="14"/>
  <c r="D616" i="14"/>
  <c r="D624" i="14"/>
  <c r="D632" i="14"/>
  <c r="D640" i="14"/>
  <c r="D648" i="14"/>
  <c r="D656" i="14"/>
  <c r="D664" i="14"/>
  <c r="D18" i="14"/>
  <c r="D30" i="14"/>
  <c r="D43" i="14"/>
  <c r="D55" i="14"/>
  <c r="D69" i="14"/>
  <c r="D82" i="14"/>
  <c r="D94" i="14"/>
  <c r="D107" i="14"/>
  <c r="D119" i="14"/>
  <c r="D133" i="14"/>
  <c r="D146" i="14"/>
  <c r="D158" i="14"/>
  <c r="D171" i="14"/>
  <c r="D183" i="14"/>
  <c r="D194" i="14"/>
  <c r="D203" i="14"/>
  <c r="D212" i="14"/>
  <c r="D221" i="14"/>
  <c r="D230" i="14"/>
  <c r="D239" i="14"/>
  <c r="D249" i="14"/>
  <c r="D257" i="14"/>
  <c r="D265" i="14"/>
  <c r="D273" i="14"/>
  <c r="D281" i="14"/>
  <c r="D289" i="14"/>
  <c r="D297" i="14"/>
  <c r="D305" i="14"/>
  <c r="D313" i="14"/>
  <c r="D321" i="14"/>
  <c r="D329" i="14"/>
  <c r="D337" i="14"/>
  <c r="D345" i="14"/>
  <c r="D353" i="14"/>
  <c r="D361" i="14"/>
  <c r="D369" i="14"/>
  <c r="D377" i="14"/>
  <c r="D385" i="14"/>
  <c r="D393" i="14"/>
  <c r="D401" i="14"/>
  <c r="D409" i="14"/>
  <c r="D417" i="14"/>
  <c r="D425" i="14"/>
  <c r="D433" i="14"/>
  <c r="D441" i="14"/>
  <c r="D449" i="14"/>
  <c r="D457" i="14"/>
  <c r="D465" i="14"/>
  <c r="D473" i="14"/>
  <c r="D481" i="14"/>
  <c r="D489" i="14"/>
  <c r="D497" i="14"/>
  <c r="D505" i="14"/>
  <c r="D513" i="14"/>
  <c r="D521" i="14"/>
  <c r="D529" i="14"/>
  <c r="D537" i="14"/>
  <c r="D545" i="14"/>
  <c r="D553" i="14"/>
  <c r="D561" i="14"/>
  <c r="D569" i="14"/>
  <c r="D577" i="14"/>
  <c r="D585" i="14"/>
  <c r="D593" i="14"/>
  <c r="D19" i="14"/>
  <c r="D31" i="14"/>
  <c r="D45" i="14"/>
  <c r="D58" i="14"/>
  <c r="D70" i="14"/>
  <c r="D83" i="14"/>
  <c r="D95" i="14"/>
  <c r="D109" i="14"/>
  <c r="D122" i="14"/>
  <c r="D134" i="14"/>
  <c r="D147" i="14"/>
  <c r="D159" i="14"/>
  <c r="D173" i="14"/>
  <c r="D185" i="14"/>
  <c r="D195" i="14"/>
  <c r="D204" i="14"/>
  <c r="D213" i="14"/>
  <c r="D222" i="14"/>
  <c r="D231" i="14"/>
  <c r="D241" i="14"/>
  <c r="D250" i="14"/>
  <c r="D258" i="14"/>
  <c r="D266" i="14"/>
  <c r="D274" i="14"/>
  <c r="D282" i="14"/>
  <c r="D290" i="14"/>
  <c r="D298" i="14"/>
  <c r="D306" i="14"/>
  <c r="D314" i="14"/>
  <c r="D322" i="14"/>
  <c r="D330" i="14"/>
  <c r="D338" i="14"/>
  <c r="D346" i="14"/>
  <c r="D354" i="14"/>
  <c r="D362" i="14"/>
  <c r="D370" i="14"/>
  <c r="D378" i="14"/>
  <c r="D386" i="14"/>
  <c r="D394" i="14"/>
  <c r="D402" i="14"/>
  <c r="D410" i="14"/>
  <c r="D418" i="14"/>
  <c r="D426" i="14"/>
  <c r="D434" i="14"/>
  <c r="D442" i="14"/>
  <c r="D450" i="14"/>
  <c r="D458" i="14"/>
  <c r="D466" i="14"/>
  <c r="D474" i="14"/>
  <c r="D482" i="14"/>
  <c r="D490" i="14"/>
  <c r="D498" i="14"/>
  <c r="D506" i="14"/>
  <c r="D514" i="14"/>
  <c r="D522" i="14"/>
  <c r="D530" i="14"/>
  <c r="D538" i="14"/>
  <c r="D546" i="14"/>
  <c r="D554" i="14"/>
  <c r="D562" i="14"/>
  <c r="D570" i="14"/>
  <c r="D578" i="14"/>
  <c r="D586" i="14"/>
  <c r="D594" i="14"/>
  <c r="D602" i="14"/>
  <c r="D610" i="14"/>
  <c r="D618" i="14"/>
  <c r="D626" i="14"/>
  <c r="D634" i="14"/>
  <c r="D642" i="14"/>
  <c r="D650" i="14"/>
  <c r="D658" i="14"/>
  <c r="D666" i="14"/>
  <c r="D674" i="14"/>
  <c r="D682" i="14"/>
  <c r="D690" i="14"/>
  <c r="D698" i="14"/>
  <c r="D706" i="14"/>
  <c r="D714" i="14"/>
  <c r="D722" i="14"/>
  <c r="D730" i="14"/>
  <c r="D738" i="14"/>
  <c r="D746" i="14"/>
  <c r="D754" i="14"/>
  <c r="D762" i="14"/>
  <c r="D770" i="14"/>
  <c r="D778" i="14"/>
  <c r="D786" i="14"/>
  <c r="D794" i="14"/>
  <c r="D802" i="14"/>
  <c r="D810" i="14"/>
  <c r="D818" i="14"/>
  <c r="D826" i="14"/>
  <c r="D834" i="14"/>
  <c r="D842" i="14"/>
  <c r="D850" i="14"/>
  <c r="D858" i="14"/>
  <c r="D866" i="14"/>
  <c r="D874" i="14"/>
  <c r="D882" i="14"/>
  <c r="D890" i="14"/>
  <c r="D898" i="14"/>
  <c r="D906" i="14"/>
  <c r="D914" i="14"/>
  <c r="D922" i="14"/>
  <c r="D930" i="14"/>
  <c r="D938" i="14"/>
  <c r="D946" i="14"/>
  <c r="D954" i="14"/>
  <c r="D962" i="14"/>
  <c r="D970" i="14"/>
  <c r="D978" i="14"/>
  <c r="D986" i="14"/>
  <c r="D994" i="14"/>
  <c r="D1002" i="14"/>
  <c r="D1010" i="14"/>
  <c r="D1018" i="14"/>
  <c r="D1026" i="14"/>
  <c r="D1034" i="14"/>
  <c r="D1042" i="14"/>
  <c r="D1050" i="14"/>
  <c r="D1058" i="14"/>
  <c r="D1066" i="14"/>
  <c r="D1074" i="14"/>
  <c r="D1082" i="14"/>
  <c r="D1090" i="14"/>
  <c r="D1098" i="14"/>
  <c r="D1106" i="14"/>
  <c r="D1114" i="14"/>
  <c r="D1122" i="14"/>
  <c r="D1130" i="14"/>
  <c r="D1138" i="14"/>
  <c r="D1146" i="14"/>
  <c r="D1154" i="14"/>
  <c r="D1162" i="14"/>
  <c r="D1170" i="14"/>
  <c r="D1178" i="14"/>
  <c r="D1186" i="14"/>
  <c r="D1194" i="14"/>
  <c r="D1202" i="14"/>
  <c r="D1210" i="14"/>
  <c r="D1218" i="14"/>
  <c r="D7" i="14"/>
  <c r="D21" i="14"/>
  <c r="D34" i="14"/>
  <c r="D46" i="14"/>
  <c r="D59" i="14"/>
  <c r="D71" i="14"/>
  <c r="D85" i="14"/>
  <c r="D98" i="14"/>
  <c r="D110" i="14"/>
  <c r="D123" i="14"/>
  <c r="D135" i="14"/>
  <c r="D149" i="14"/>
  <c r="D162" i="14"/>
  <c r="D174" i="14"/>
  <c r="D186" i="14"/>
  <c r="D196" i="14"/>
  <c r="D205" i="14"/>
  <c r="D214" i="14"/>
  <c r="D223" i="14"/>
  <c r="D233" i="14"/>
  <c r="D242" i="14"/>
  <c r="D251" i="14"/>
  <c r="D259" i="14"/>
  <c r="D267" i="14"/>
  <c r="D275" i="14"/>
  <c r="D283" i="14"/>
  <c r="D291" i="14"/>
  <c r="D299" i="14"/>
  <c r="D307" i="14"/>
  <c r="D315" i="14"/>
  <c r="D323" i="14"/>
  <c r="D331" i="14"/>
  <c r="D339" i="14"/>
  <c r="D347" i="14"/>
  <c r="D355" i="14"/>
  <c r="D363" i="14"/>
  <c r="D371" i="14"/>
  <c r="D379" i="14"/>
  <c r="D387" i="14"/>
  <c r="D395" i="14"/>
  <c r="D403" i="14"/>
  <c r="D411" i="14"/>
  <c r="D419" i="14"/>
  <c r="D427" i="14"/>
  <c r="D435" i="14"/>
  <c r="D443" i="14"/>
  <c r="D451" i="14"/>
  <c r="D459" i="14"/>
  <c r="D467" i="14"/>
  <c r="D475" i="14"/>
  <c r="D483" i="14"/>
  <c r="D491" i="14"/>
  <c r="D499" i="14"/>
  <c r="D507" i="14"/>
  <c r="D515" i="14"/>
  <c r="D523" i="14"/>
  <c r="D531" i="14"/>
  <c r="D539" i="14"/>
  <c r="D547" i="14"/>
  <c r="D555" i="14"/>
  <c r="D563" i="14"/>
  <c r="D571" i="14"/>
  <c r="D579" i="14"/>
  <c r="D587" i="14"/>
  <c r="D595" i="14"/>
  <c r="D603" i="14"/>
  <c r="D611" i="14"/>
  <c r="D619" i="14"/>
  <c r="D627" i="14"/>
  <c r="D635" i="14"/>
  <c r="D643" i="14"/>
  <c r="D651" i="14"/>
  <c r="D659" i="14"/>
  <c r="D667" i="14"/>
  <c r="D675" i="14"/>
  <c r="D683" i="14"/>
  <c r="D691" i="14"/>
  <c r="D699" i="14"/>
  <c r="D707" i="14"/>
  <c r="D715" i="14"/>
  <c r="D723" i="14"/>
  <c r="D731" i="14"/>
  <c r="D739" i="14"/>
  <c r="D747" i="14"/>
  <c r="D755" i="14"/>
  <c r="D763" i="14"/>
  <c r="D771" i="14"/>
  <c r="D779" i="14"/>
  <c r="D787" i="14"/>
  <c r="D795" i="14"/>
  <c r="D803" i="14"/>
  <c r="D811" i="14"/>
  <c r="D819" i="14"/>
  <c r="D827" i="14"/>
  <c r="D835" i="14"/>
  <c r="D843" i="14"/>
  <c r="D851" i="14"/>
  <c r="D859" i="14"/>
  <c r="D867" i="14"/>
  <c r="D875" i="14"/>
  <c r="D883" i="14"/>
  <c r="D891" i="14"/>
  <c r="D899" i="14"/>
  <c r="D907" i="14"/>
  <c r="D915" i="14"/>
  <c r="D923" i="14"/>
  <c r="D931" i="14"/>
  <c r="D939" i="14"/>
  <c r="D947" i="14"/>
  <c r="D955" i="14"/>
  <c r="D963" i="14"/>
  <c r="D971" i="14"/>
  <c r="D979" i="14"/>
  <c r="D987" i="14"/>
  <c r="D995" i="14"/>
  <c r="D1003" i="14"/>
  <c r="D1011" i="14"/>
  <c r="D1019" i="14"/>
  <c r="D1027" i="14"/>
  <c r="D1035" i="14"/>
  <c r="D1043" i="14"/>
  <c r="D1051" i="14"/>
  <c r="D1059" i="14"/>
  <c r="D1067" i="14"/>
  <c r="D1075" i="14"/>
  <c r="D1083" i="14"/>
  <c r="D1091" i="14"/>
  <c r="D10" i="14"/>
  <c r="D22" i="14"/>
  <c r="D35" i="14"/>
  <c r="D47" i="14"/>
  <c r="D61" i="14"/>
  <c r="D74" i="14"/>
  <c r="D86" i="14"/>
  <c r="D99" i="14"/>
  <c r="D111" i="14"/>
  <c r="D125" i="14"/>
  <c r="D138" i="14"/>
  <c r="D150" i="14"/>
  <c r="D163" i="14"/>
  <c r="D175" i="14"/>
  <c r="D187" i="14"/>
  <c r="D197" i="14"/>
  <c r="D206" i="14"/>
  <c r="D215" i="14"/>
  <c r="D225" i="14"/>
  <c r="D234" i="14"/>
  <c r="D243" i="14"/>
  <c r="D252" i="14"/>
  <c r="D260" i="14"/>
  <c r="D268" i="14"/>
  <c r="D276" i="14"/>
  <c r="D284" i="14"/>
  <c r="D292" i="14"/>
  <c r="D300" i="14"/>
  <c r="D308" i="14"/>
  <c r="D316" i="14"/>
  <c r="D324" i="14"/>
  <c r="D332" i="14"/>
  <c r="D340" i="14"/>
  <c r="D348" i="14"/>
  <c r="D356" i="14"/>
  <c r="D364" i="14"/>
  <c r="D372" i="14"/>
  <c r="D380" i="14"/>
  <c r="D388" i="14"/>
  <c r="D396" i="14"/>
  <c r="D404" i="14"/>
  <c r="D412" i="14"/>
  <c r="D420" i="14"/>
  <c r="D428" i="14"/>
  <c r="D436" i="14"/>
  <c r="D444" i="14"/>
  <c r="D452" i="14"/>
  <c r="D460" i="14"/>
  <c r="D468" i="14"/>
  <c r="D476" i="14"/>
  <c r="D484" i="14"/>
  <c r="D492" i="14"/>
  <c r="D500" i="14"/>
  <c r="D508" i="14"/>
  <c r="D516" i="14"/>
  <c r="D524" i="14"/>
  <c r="D532" i="14"/>
  <c r="D540" i="14"/>
  <c r="D548" i="14"/>
  <c r="D556" i="14"/>
  <c r="D564" i="14"/>
  <c r="D11" i="14"/>
  <c r="D23" i="14"/>
  <c r="D37" i="14"/>
  <c r="D50" i="14"/>
  <c r="D62" i="14"/>
  <c r="D75" i="14"/>
  <c r="D87" i="14"/>
  <c r="D101" i="14"/>
  <c r="D114" i="14"/>
  <c r="D126" i="14"/>
  <c r="D139" i="14"/>
  <c r="D151" i="14"/>
  <c r="D165" i="14"/>
  <c r="D178" i="14"/>
  <c r="D189" i="14"/>
  <c r="D198" i="14"/>
  <c r="D207" i="14"/>
  <c r="D217" i="14"/>
  <c r="D226" i="14"/>
  <c r="D235" i="14"/>
  <c r="D244" i="14"/>
  <c r="D253" i="14"/>
  <c r="D261" i="14"/>
  <c r="D269" i="14"/>
  <c r="D277" i="14"/>
  <c r="D285" i="14"/>
  <c r="D293" i="14"/>
  <c r="D301" i="14"/>
  <c r="D309" i="14"/>
  <c r="D317" i="14"/>
  <c r="D325" i="14"/>
  <c r="D333" i="14"/>
  <c r="D341" i="14"/>
  <c r="D349" i="14"/>
  <c r="D357" i="14"/>
  <c r="D365" i="14"/>
  <c r="D373" i="14"/>
  <c r="D381" i="14"/>
  <c r="D389" i="14"/>
  <c r="D397" i="14"/>
  <c r="D405" i="14"/>
  <c r="D413" i="14"/>
  <c r="D421" i="14"/>
  <c r="D429" i="14"/>
  <c r="D437" i="14"/>
  <c r="D445" i="14"/>
  <c r="D453" i="14"/>
  <c r="D461" i="14"/>
  <c r="D469" i="14"/>
  <c r="D477" i="14"/>
  <c r="D485" i="14"/>
  <c r="D493" i="14"/>
  <c r="D501" i="14"/>
  <c r="D509" i="14"/>
  <c r="D517" i="14"/>
  <c r="D525" i="14"/>
  <c r="D533" i="14"/>
  <c r="D541" i="14"/>
  <c r="D549" i="14"/>
  <c r="D557" i="14"/>
  <c r="D565" i="14"/>
  <c r="D573" i="14"/>
  <c r="D581" i="14"/>
  <c r="D589" i="14"/>
  <c r="D597" i="14"/>
  <c r="D605" i="14"/>
  <c r="D613" i="14"/>
  <c r="D621" i="14"/>
  <c r="D13" i="14"/>
  <c r="D26" i="14"/>
  <c r="D38" i="14"/>
  <c r="D51" i="14"/>
  <c r="D63" i="14"/>
  <c r="D77" i="14"/>
  <c r="D90" i="14"/>
  <c r="D102" i="14"/>
  <c r="D115" i="14"/>
  <c r="D127" i="14"/>
  <c r="D141" i="14"/>
  <c r="D154" i="14"/>
  <c r="D166" i="14"/>
  <c r="D179" i="14"/>
  <c r="D190" i="14"/>
  <c r="D199" i="14"/>
  <c r="D209" i="14"/>
  <c r="D218" i="14"/>
  <c r="D227" i="14"/>
  <c r="D236" i="14"/>
  <c r="D245" i="14"/>
  <c r="D254" i="14"/>
  <c r="D262" i="14"/>
  <c r="D270" i="14"/>
  <c r="D278" i="14"/>
  <c r="D286" i="14"/>
  <c r="D294" i="14"/>
  <c r="D302" i="14"/>
  <c r="D310" i="14"/>
  <c r="D318" i="14"/>
  <c r="D326" i="14"/>
  <c r="D334" i="14"/>
  <c r="D342" i="14"/>
  <c r="D350" i="14"/>
  <c r="D358" i="14"/>
  <c r="D366" i="14"/>
  <c r="D374" i="14"/>
  <c r="D382" i="14"/>
  <c r="D390" i="14"/>
  <c r="D398" i="14"/>
  <c r="D406" i="14"/>
  <c r="D414" i="14"/>
  <c r="D422" i="14"/>
  <c r="D430" i="14"/>
  <c r="D438" i="14"/>
  <c r="D446" i="14"/>
  <c r="D454" i="14"/>
  <c r="D462" i="14"/>
  <c r="D470" i="14"/>
  <c r="D478" i="14"/>
  <c r="D486" i="14"/>
  <c r="D494" i="14"/>
  <c r="D502" i="14"/>
  <c r="D510" i="14"/>
  <c r="D518" i="14"/>
  <c r="D526" i="14"/>
  <c r="D534" i="14"/>
  <c r="D542" i="14"/>
  <c r="D550" i="14"/>
  <c r="D558" i="14"/>
  <c r="D566" i="14"/>
  <c r="D574" i="14"/>
  <c r="D582" i="14"/>
  <c r="D590" i="14"/>
  <c r="D598" i="14"/>
  <c r="D606" i="14"/>
  <c r="D614" i="14"/>
  <c r="D622" i="14"/>
  <c r="D630" i="14"/>
  <c r="D638" i="14"/>
  <c r="D646" i="14"/>
  <c r="D654" i="14"/>
  <c r="D662" i="14"/>
  <c r="D670" i="14"/>
  <c r="D678" i="14"/>
  <c r="D686" i="14"/>
  <c r="D694" i="14"/>
  <c r="D702" i="14"/>
  <c r="D710" i="14"/>
  <c r="D718" i="14"/>
  <c r="D726" i="14"/>
  <c r="D734" i="14"/>
  <c r="D742" i="14"/>
  <c r="D750" i="14"/>
  <c r="D758" i="14"/>
  <c r="D766" i="14"/>
  <c r="D774" i="14"/>
  <c r="D782" i="14"/>
  <c r="D790" i="14"/>
  <c r="D798" i="14"/>
  <c r="D806" i="14"/>
  <c r="D814" i="14"/>
  <c r="D822" i="14"/>
  <c r="D830" i="14"/>
  <c r="D838" i="14"/>
  <c r="D846" i="14"/>
  <c r="D854" i="14"/>
  <c r="D862" i="14"/>
  <c r="D870" i="14"/>
  <c r="D878" i="14"/>
  <c r="D886" i="14"/>
  <c r="D894" i="14"/>
  <c r="D902" i="14"/>
  <c r="D910" i="14"/>
  <c r="D918" i="14"/>
  <c r="D926" i="14"/>
  <c r="D934" i="14"/>
  <c r="D942" i="14"/>
  <c r="D950" i="14"/>
  <c r="D958" i="14"/>
  <c r="D966" i="14"/>
  <c r="D974" i="14"/>
  <c r="D982" i="14"/>
  <c r="D990" i="14"/>
  <c r="D998" i="14"/>
  <c r="D1006" i="14"/>
  <c r="D1014" i="14"/>
  <c r="D1022" i="14"/>
  <c r="D1030" i="14"/>
  <c r="D1038" i="14"/>
  <c r="D1046" i="14"/>
  <c r="D1054" i="14"/>
  <c r="D1062" i="14"/>
  <c r="D1070" i="14"/>
  <c r="D1078" i="14"/>
  <c r="D1086" i="14"/>
  <c r="D1094" i="14"/>
  <c r="D1102" i="14"/>
  <c r="D1110" i="14"/>
  <c r="D1118" i="14"/>
  <c r="D1126" i="14"/>
  <c r="D1134" i="14"/>
  <c r="D1142" i="14"/>
  <c r="D1150" i="14"/>
  <c r="D1158" i="14"/>
  <c r="D1166" i="14"/>
  <c r="D1174" i="14"/>
  <c r="D1182" i="14"/>
  <c r="D1190" i="14"/>
  <c r="D14" i="14"/>
  <c r="D27" i="14"/>
  <c r="D39" i="14"/>
  <c r="D53" i="14"/>
  <c r="D66" i="14"/>
  <c r="D78" i="14"/>
  <c r="D91" i="14"/>
  <c r="D103" i="14"/>
  <c r="D117" i="14"/>
  <c r="D130" i="14"/>
  <c r="D142" i="14"/>
  <c r="D155" i="14"/>
  <c r="D167" i="14"/>
  <c r="D181" i="14"/>
  <c r="D191" i="14"/>
  <c r="D201" i="14"/>
  <c r="D210" i="14"/>
  <c r="D219" i="14"/>
  <c r="D228" i="14"/>
  <c r="D237" i="14"/>
  <c r="D246" i="14"/>
  <c r="D255" i="14"/>
  <c r="D263" i="14"/>
  <c r="D271" i="14"/>
  <c r="D279" i="14"/>
  <c r="D287" i="14"/>
  <c r="D295" i="14"/>
  <c r="D303" i="14"/>
  <c r="D311" i="14"/>
  <c r="D319" i="14"/>
  <c r="D327" i="14"/>
  <c r="D335" i="14"/>
  <c r="D343" i="14"/>
  <c r="D351" i="14"/>
  <c r="D359" i="14"/>
  <c r="D367" i="14"/>
  <c r="D375" i="14"/>
  <c r="D383" i="14"/>
  <c r="D391" i="14"/>
  <c r="D399" i="14"/>
  <c r="D407" i="14"/>
  <c r="D415" i="14"/>
  <c r="D423" i="14"/>
  <c r="D431" i="14"/>
  <c r="D439" i="14"/>
  <c r="D447" i="14"/>
  <c r="D455" i="14"/>
  <c r="D463" i="14"/>
  <c r="D471" i="14"/>
  <c r="D479" i="14"/>
  <c r="D487" i="14"/>
  <c r="D495" i="14"/>
  <c r="D503" i="14"/>
  <c r="D511" i="14"/>
  <c r="D519" i="14"/>
  <c r="D527" i="14"/>
  <c r="D535" i="14"/>
  <c r="D543" i="14"/>
  <c r="D551" i="14"/>
  <c r="D559" i="14"/>
  <c r="D567" i="14"/>
  <c r="D575" i="14"/>
  <c r="D583" i="14"/>
  <c r="D591" i="14"/>
  <c r="D599" i="14"/>
  <c r="D607" i="14"/>
  <c r="D615" i="14"/>
  <c r="D623" i="14"/>
  <c r="D631" i="14"/>
  <c r="D639" i="14"/>
  <c r="D647" i="14"/>
  <c r="D655" i="14"/>
  <c r="D663" i="14"/>
  <c r="D671" i="14"/>
  <c r="D679" i="14"/>
  <c r="D687" i="14"/>
  <c r="D695" i="14"/>
  <c r="D703" i="14"/>
  <c r="D711" i="14"/>
  <c r="D719" i="14"/>
  <c r="D727" i="14"/>
  <c r="D735" i="14"/>
  <c r="D743" i="14"/>
  <c r="D751" i="14"/>
  <c r="D759" i="14"/>
  <c r="D767" i="14"/>
  <c r="D775" i="14"/>
  <c r="D572" i="14"/>
  <c r="D617" i="14"/>
  <c r="D641" i="14"/>
  <c r="D661" i="14"/>
  <c r="D680" i="14"/>
  <c r="D696" i="14"/>
  <c r="D712" i="14"/>
  <c r="D728" i="14"/>
  <c r="D744" i="14"/>
  <c r="D760" i="14"/>
  <c r="D776" i="14"/>
  <c r="D789" i="14"/>
  <c r="D801" i="14"/>
  <c r="D815" i="14"/>
  <c r="D828" i="14"/>
  <c r="D840" i="14"/>
  <c r="D853" i="14"/>
  <c r="D865" i="14"/>
  <c r="D879" i="14"/>
  <c r="D892" i="14"/>
  <c r="D904" i="14"/>
  <c r="D917" i="14"/>
  <c r="D929" i="14"/>
  <c r="D943" i="14"/>
  <c r="D956" i="14"/>
  <c r="D968" i="14"/>
  <c r="D981" i="14"/>
  <c r="D993" i="14"/>
  <c r="D1007" i="14"/>
  <c r="D1020" i="14"/>
  <c r="D1032" i="14"/>
  <c r="D1045" i="14"/>
  <c r="D1057" i="14"/>
  <c r="D1071" i="14"/>
  <c r="D1084" i="14"/>
  <c r="D1096" i="14"/>
  <c r="D1107" i="14"/>
  <c r="D1117" i="14"/>
  <c r="D1128" i="14"/>
  <c r="D1139" i="14"/>
  <c r="D1149" i="14"/>
  <c r="D1160" i="14"/>
  <c r="D1171" i="14"/>
  <c r="D1181" i="14"/>
  <c r="D1192" i="14"/>
  <c r="D1201" i="14"/>
  <c r="D1211" i="14"/>
  <c r="D1220" i="14"/>
  <c r="D1228" i="14"/>
  <c r="D1236" i="14"/>
  <c r="D1244" i="14"/>
  <c r="D1252" i="14"/>
  <c r="D1260" i="14"/>
  <c r="D1268" i="14"/>
  <c r="D1276" i="14"/>
  <c r="D1284" i="14"/>
  <c r="D1292" i="14"/>
  <c r="D1300" i="14"/>
  <c r="D1308" i="14"/>
  <c r="D1316" i="14"/>
  <c r="D1324" i="14"/>
  <c r="D1332" i="14"/>
  <c r="D1340" i="14"/>
  <c r="D1348" i="14"/>
  <c r="D1356" i="14"/>
  <c r="D1364" i="14"/>
  <c r="D1372" i="14"/>
  <c r="D1380" i="14"/>
  <c r="D1388" i="14"/>
  <c r="D1396" i="14"/>
  <c r="D1404" i="14"/>
  <c r="D1412" i="14"/>
  <c r="D580" i="14"/>
  <c r="D620" i="14"/>
  <c r="D644" i="14"/>
  <c r="D665" i="14"/>
  <c r="D681" i="14"/>
  <c r="D697" i="14"/>
  <c r="D713" i="14"/>
  <c r="D729" i="14"/>
  <c r="D745" i="14"/>
  <c r="D761" i="14"/>
  <c r="D777" i="14"/>
  <c r="D791" i="14"/>
  <c r="D804" i="14"/>
  <c r="D816" i="14"/>
  <c r="D829" i="14"/>
  <c r="D841" i="14"/>
  <c r="D855" i="14"/>
  <c r="D868" i="14"/>
  <c r="D880" i="14"/>
  <c r="D893" i="14"/>
  <c r="D905" i="14"/>
  <c r="D919" i="14"/>
  <c r="D932" i="14"/>
  <c r="D944" i="14"/>
  <c r="D957" i="14"/>
  <c r="D969" i="14"/>
  <c r="D983" i="14"/>
  <c r="D996" i="14"/>
  <c r="D1008" i="14"/>
  <c r="D1021" i="14"/>
  <c r="D1033" i="14"/>
  <c r="D1047" i="14"/>
  <c r="D1060" i="14"/>
  <c r="D1072" i="14"/>
  <c r="D1085" i="14"/>
  <c r="D1097" i="14"/>
  <c r="D1108" i="14"/>
  <c r="D1119" i="14"/>
  <c r="D1129" i="14"/>
  <c r="D1140" i="14"/>
  <c r="D1151" i="14"/>
  <c r="D1161" i="14"/>
  <c r="D1172" i="14"/>
  <c r="D1183" i="14"/>
  <c r="D1193" i="14"/>
  <c r="D1203" i="14"/>
  <c r="D1212" i="14"/>
  <c r="D1221" i="14"/>
  <c r="D1229" i="14"/>
  <c r="D1237" i="14"/>
  <c r="D1245" i="14"/>
  <c r="D1253" i="14"/>
  <c r="D1261" i="14"/>
  <c r="D1269" i="14"/>
  <c r="D1277" i="14"/>
  <c r="D1285" i="14"/>
  <c r="D1293" i="14"/>
  <c r="D1301" i="14"/>
  <c r="D1309" i="14"/>
  <c r="D1317" i="14"/>
  <c r="D1325" i="14"/>
  <c r="D1333" i="14"/>
  <c r="D1341" i="14"/>
  <c r="D1349" i="14"/>
  <c r="D1357" i="14"/>
  <c r="D1365" i="14"/>
  <c r="D1373" i="14"/>
  <c r="D1381" i="14"/>
  <c r="D1389" i="14"/>
  <c r="D1397" i="14"/>
  <c r="D1405" i="14"/>
  <c r="D1413" i="14"/>
  <c r="D588" i="14"/>
  <c r="D625" i="14"/>
  <c r="D645" i="14"/>
  <c r="D668" i="14"/>
  <c r="D684" i="14"/>
  <c r="D700" i="14"/>
  <c r="D716" i="14"/>
  <c r="D732" i="14"/>
  <c r="D748" i="14"/>
  <c r="D764" i="14"/>
  <c r="D780" i="14"/>
  <c r="D792" i="14"/>
  <c r="D805" i="14"/>
  <c r="D817" i="14"/>
  <c r="D831" i="14"/>
  <c r="D844" i="14"/>
  <c r="D856" i="14"/>
  <c r="D869" i="14"/>
  <c r="D881" i="14"/>
  <c r="D895" i="14"/>
  <c r="D908" i="14"/>
  <c r="D920" i="14"/>
  <c r="D933" i="14"/>
  <c r="D945" i="14"/>
  <c r="D959" i="14"/>
  <c r="D972" i="14"/>
  <c r="D984" i="14"/>
  <c r="D997" i="14"/>
  <c r="D1009" i="14"/>
  <c r="D1023" i="14"/>
  <c r="D1036" i="14"/>
  <c r="D1048" i="14"/>
  <c r="D1061" i="14"/>
  <c r="D1073" i="14"/>
  <c r="D1087" i="14"/>
  <c r="D1099" i="14"/>
  <c r="D1109" i="14"/>
  <c r="D1120" i="14"/>
  <c r="D1131" i="14"/>
  <c r="D1141" i="14"/>
  <c r="D1152" i="14"/>
  <c r="D1163" i="14"/>
  <c r="D1173" i="14"/>
  <c r="D1184" i="14"/>
  <c r="D1195" i="14"/>
  <c r="D1204" i="14"/>
  <c r="D1213" i="14"/>
  <c r="D1222" i="14"/>
  <c r="D1230" i="14"/>
  <c r="D1238" i="14"/>
  <c r="D1246" i="14"/>
  <c r="D1254" i="14"/>
  <c r="D1262" i="14"/>
  <c r="D1270" i="14"/>
  <c r="D1278" i="14"/>
  <c r="D1286" i="14"/>
  <c r="D1294" i="14"/>
  <c r="D1302" i="14"/>
  <c r="D1310" i="14"/>
  <c r="D1318" i="14"/>
  <c r="D1326" i="14"/>
  <c r="D1334" i="14"/>
  <c r="D1342" i="14"/>
  <c r="D1350" i="14"/>
  <c r="D1358" i="14"/>
  <c r="D1366" i="14"/>
  <c r="D1374" i="14"/>
  <c r="D1382" i="14"/>
  <c r="D1390" i="14"/>
  <c r="D1398" i="14"/>
  <c r="D1406" i="14"/>
  <c r="D1414" i="14"/>
  <c r="D1422" i="14"/>
  <c r="D1430" i="14"/>
  <c r="D1438" i="14"/>
  <c r="D1446" i="14"/>
  <c r="D1454" i="14"/>
  <c r="D1462" i="14"/>
  <c r="D1470" i="14"/>
  <c r="D1478" i="14"/>
  <c r="D1486" i="14"/>
  <c r="D1494" i="14"/>
  <c r="D1502" i="14"/>
  <c r="D1510" i="14"/>
  <c r="D1518" i="14"/>
  <c r="D1526" i="14"/>
  <c r="D1534" i="14"/>
  <c r="D1542" i="14"/>
  <c r="D1550" i="14"/>
  <c r="D1558" i="14"/>
  <c r="D1566" i="14"/>
  <c r="D1574" i="14"/>
  <c r="D1582" i="14"/>
  <c r="D1590" i="14"/>
  <c r="D1598" i="14"/>
  <c r="D1606" i="14"/>
  <c r="D1614" i="14"/>
  <c r="D1622" i="14"/>
  <c r="D1630" i="14"/>
  <c r="D1638" i="14"/>
  <c r="D1646" i="14"/>
  <c r="D1654" i="14"/>
  <c r="D1662" i="14"/>
  <c r="D1670" i="14"/>
  <c r="D1678" i="14"/>
  <c r="D1686" i="14"/>
  <c r="D1694" i="14"/>
  <c r="D1702" i="14"/>
  <c r="D1710" i="14"/>
  <c r="D1718" i="14"/>
  <c r="D1726" i="14"/>
  <c r="D1734" i="14"/>
  <c r="D1742" i="14"/>
  <c r="D1750" i="14"/>
  <c r="D1758" i="14"/>
  <c r="D1766" i="14"/>
  <c r="D1774" i="14"/>
  <c r="D1782" i="14"/>
  <c r="D1790" i="14"/>
  <c r="D1798" i="14"/>
  <c r="D596" i="14"/>
  <c r="D628" i="14"/>
  <c r="D649" i="14"/>
  <c r="D669" i="14"/>
  <c r="D685" i="14"/>
  <c r="D701" i="14"/>
  <c r="D717" i="14"/>
  <c r="D733" i="14"/>
  <c r="D749" i="14"/>
  <c r="D765" i="14"/>
  <c r="D781" i="14"/>
  <c r="D793" i="14"/>
  <c r="D807" i="14"/>
  <c r="D820" i="14"/>
  <c r="D832" i="14"/>
  <c r="D845" i="14"/>
  <c r="D857" i="14"/>
  <c r="D871" i="14"/>
  <c r="D884" i="14"/>
  <c r="D896" i="14"/>
  <c r="D909" i="14"/>
  <c r="D921" i="14"/>
  <c r="D935" i="14"/>
  <c r="D948" i="14"/>
  <c r="D960" i="14"/>
  <c r="D973" i="14"/>
  <c r="D985" i="14"/>
  <c r="D999" i="14"/>
  <c r="D1012" i="14"/>
  <c r="D1024" i="14"/>
  <c r="D1037" i="14"/>
  <c r="D1049" i="14"/>
  <c r="D1063" i="14"/>
  <c r="D1076" i="14"/>
  <c r="D1088" i="14"/>
  <c r="D1100" i="14"/>
  <c r="D1111" i="14"/>
  <c r="D1121" i="14"/>
  <c r="D1132" i="14"/>
  <c r="D1143" i="14"/>
  <c r="D1153" i="14"/>
  <c r="D1164" i="14"/>
  <c r="D1175" i="14"/>
  <c r="D1185" i="14"/>
  <c r="D1196" i="14"/>
  <c r="D1205" i="14"/>
  <c r="D1214" i="14"/>
  <c r="D1223" i="14"/>
  <c r="D1231" i="14"/>
  <c r="D1239" i="14"/>
  <c r="D1247" i="14"/>
  <c r="D1255" i="14"/>
  <c r="D1263" i="14"/>
  <c r="D1271" i="14"/>
  <c r="D1279" i="14"/>
  <c r="D1287" i="14"/>
  <c r="D1295" i="14"/>
  <c r="D1303" i="14"/>
  <c r="D1311" i="14"/>
  <c r="D1319" i="14"/>
  <c r="D1327" i="14"/>
  <c r="D1335" i="14"/>
  <c r="D1343" i="14"/>
  <c r="D1351" i="14"/>
  <c r="D1359" i="14"/>
  <c r="D1367" i="14"/>
  <c r="D1375" i="14"/>
  <c r="D1383" i="14"/>
  <c r="D1391" i="14"/>
  <c r="D1399" i="14"/>
  <c r="D1407" i="14"/>
  <c r="D1415" i="14"/>
  <c r="D1423" i="14"/>
  <c r="D1431" i="14"/>
  <c r="D1439" i="14"/>
  <c r="D1447" i="14"/>
  <c r="D1455" i="14"/>
  <c r="D1463" i="14"/>
  <c r="D1471" i="14"/>
  <c r="D1479" i="14"/>
  <c r="D1487" i="14"/>
  <c r="D1495" i="14"/>
  <c r="D1503" i="14"/>
  <c r="D1511" i="14"/>
  <c r="D1519" i="14"/>
  <c r="D1527" i="14"/>
  <c r="D1535" i="14"/>
  <c r="D1543" i="14"/>
  <c r="D1551" i="14"/>
  <c r="D1559" i="14"/>
  <c r="D1567" i="14"/>
  <c r="D1575" i="14"/>
  <c r="D1583" i="14"/>
  <c r="D1591" i="14"/>
  <c r="D1599" i="14"/>
  <c r="D1607" i="14"/>
  <c r="D1615" i="14"/>
  <c r="D1623" i="14"/>
  <c r="D1631" i="14"/>
  <c r="D1639" i="14"/>
  <c r="D1647" i="14"/>
  <c r="D1655" i="14"/>
  <c r="D1663" i="14"/>
  <c r="D1671" i="14"/>
  <c r="D1679" i="14"/>
  <c r="D1687" i="14"/>
  <c r="D1695" i="14"/>
  <c r="D1703" i="14"/>
  <c r="D1711" i="14"/>
  <c r="D1719" i="14"/>
  <c r="D1727" i="14"/>
  <c r="D1735" i="14"/>
  <c r="D1743" i="14"/>
  <c r="D1751" i="14"/>
  <c r="D1759" i="14"/>
  <c r="D1767" i="14"/>
  <c r="D1775" i="14"/>
  <c r="D1783" i="14"/>
  <c r="D1791" i="14"/>
  <c r="D1799" i="14"/>
  <c r="D1807" i="14"/>
  <c r="D601" i="14"/>
  <c r="D629" i="14"/>
  <c r="D652" i="14"/>
  <c r="D672" i="14"/>
  <c r="D688" i="14"/>
  <c r="D704" i="14"/>
  <c r="D720" i="14"/>
  <c r="D736" i="14"/>
  <c r="D752" i="14"/>
  <c r="D768" i="14"/>
  <c r="D783" i="14"/>
  <c r="D796" i="14"/>
  <c r="D808" i="14"/>
  <c r="D821" i="14"/>
  <c r="D833" i="14"/>
  <c r="D847" i="14"/>
  <c r="D860" i="14"/>
  <c r="D872" i="14"/>
  <c r="D885" i="14"/>
  <c r="D897" i="14"/>
  <c r="D911" i="14"/>
  <c r="D924" i="14"/>
  <c r="D936" i="14"/>
  <c r="D949" i="14"/>
  <c r="D961" i="14"/>
  <c r="D975" i="14"/>
  <c r="D988" i="14"/>
  <c r="D1000" i="14"/>
  <c r="D1013" i="14"/>
  <c r="D1025" i="14"/>
  <c r="D1039" i="14"/>
  <c r="D1052" i="14"/>
  <c r="D1064" i="14"/>
  <c r="D1077" i="14"/>
  <c r="D1089" i="14"/>
  <c r="D1101" i="14"/>
  <c r="D1112" i="14"/>
  <c r="D1123" i="14"/>
  <c r="D1133" i="14"/>
  <c r="D1144" i="14"/>
  <c r="D1155" i="14"/>
  <c r="D1165" i="14"/>
  <c r="D1176" i="14"/>
  <c r="D1187" i="14"/>
  <c r="D1197" i="14"/>
  <c r="D1206" i="14"/>
  <c r="D1215" i="14"/>
  <c r="D1224" i="14"/>
  <c r="D1232" i="14"/>
  <c r="D1240" i="14"/>
  <c r="D1248" i="14"/>
  <c r="D1256" i="14"/>
  <c r="D1264" i="14"/>
  <c r="D1272" i="14"/>
  <c r="D1280" i="14"/>
  <c r="D1288" i="14"/>
  <c r="D1296" i="14"/>
  <c r="D1304" i="14"/>
  <c r="D1312" i="14"/>
  <c r="D1320" i="14"/>
  <c r="D1328" i="14"/>
  <c r="D1336" i="14"/>
  <c r="D1344" i="14"/>
  <c r="D1352" i="14"/>
  <c r="D1360" i="14"/>
  <c r="D1368" i="14"/>
  <c r="D1376" i="14"/>
  <c r="D1384" i="14"/>
  <c r="D1392" i="14"/>
  <c r="D1400" i="14"/>
  <c r="D1408" i="14"/>
  <c r="D604" i="14"/>
  <c r="D633" i="14"/>
  <c r="D653" i="14"/>
  <c r="D673" i="14"/>
  <c r="D689" i="14"/>
  <c r="D705" i="14"/>
  <c r="D721" i="14"/>
  <c r="D737" i="14"/>
  <c r="D753" i="14"/>
  <c r="D769" i="14"/>
  <c r="D784" i="14"/>
  <c r="D797" i="14"/>
  <c r="D809" i="14"/>
  <c r="D823" i="14"/>
  <c r="D836" i="14"/>
  <c r="D848" i="14"/>
  <c r="D861" i="14"/>
  <c r="D873" i="14"/>
  <c r="D887" i="14"/>
  <c r="D900" i="14"/>
  <c r="D912" i="14"/>
  <c r="D925" i="14"/>
  <c r="D937" i="14"/>
  <c r="D951" i="14"/>
  <c r="D964" i="14"/>
  <c r="D976" i="14"/>
  <c r="D989" i="14"/>
  <c r="D1001" i="14"/>
  <c r="D1015" i="14"/>
  <c r="D1028" i="14"/>
  <c r="D1040" i="14"/>
  <c r="D1053" i="14"/>
  <c r="D1065" i="14"/>
  <c r="D1079" i="14"/>
  <c r="D1092" i="14"/>
  <c r="D1103" i="14"/>
  <c r="D1113" i="14"/>
  <c r="D1124" i="14"/>
  <c r="D1135" i="14"/>
  <c r="D1145" i="14"/>
  <c r="D1156" i="14"/>
  <c r="D1167" i="14"/>
  <c r="D1177" i="14"/>
  <c r="D1188" i="14"/>
  <c r="D1198" i="14"/>
  <c r="D1207" i="14"/>
  <c r="D1216" i="14"/>
  <c r="D1225" i="14"/>
  <c r="D1233" i="14"/>
  <c r="D1241" i="14"/>
  <c r="D1249" i="14"/>
  <c r="D1257" i="14"/>
  <c r="D1265" i="14"/>
  <c r="D1273" i="14"/>
  <c r="D1281" i="14"/>
  <c r="D1289" i="14"/>
  <c r="D1297" i="14"/>
  <c r="D1305" i="14"/>
  <c r="D1313" i="14"/>
  <c r="D1321" i="14"/>
  <c r="D1329" i="14"/>
  <c r="D1337" i="14"/>
  <c r="D1345" i="14"/>
  <c r="D1353" i="14"/>
  <c r="D1361" i="14"/>
  <c r="D1369" i="14"/>
  <c r="D1377" i="14"/>
  <c r="D1385" i="14"/>
  <c r="D1393" i="14"/>
  <c r="D1401" i="14"/>
  <c r="D1409" i="14"/>
  <c r="D1417" i="14"/>
  <c r="D1425" i="14"/>
  <c r="D1433" i="14"/>
  <c r="D609" i="14"/>
  <c r="D636" i="14"/>
  <c r="D657" i="14"/>
  <c r="D676" i="14"/>
  <c r="D692" i="14"/>
  <c r="D708" i="14"/>
  <c r="D724" i="14"/>
  <c r="D740" i="14"/>
  <c r="D756" i="14"/>
  <c r="D772" i="14"/>
  <c r="D785" i="14"/>
  <c r="D799" i="14"/>
  <c r="D812" i="14"/>
  <c r="D824" i="14"/>
  <c r="D837" i="14"/>
  <c r="D849" i="14"/>
  <c r="D863" i="14"/>
  <c r="D876" i="14"/>
  <c r="D888" i="14"/>
  <c r="D901" i="14"/>
  <c r="D913" i="14"/>
  <c r="D927" i="14"/>
  <c r="D940" i="14"/>
  <c r="D952" i="14"/>
  <c r="D965" i="14"/>
  <c r="D977" i="14"/>
  <c r="D991" i="14"/>
  <c r="D1004" i="14"/>
  <c r="D1016" i="14"/>
  <c r="D1029" i="14"/>
  <c r="D1041" i="14"/>
  <c r="D1055" i="14"/>
  <c r="D1068" i="14"/>
  <c r="D1080" i="14"/>
  <c r="D1093" i="14"/>
  <c r="D1104" i="14"/>
  <c r="D1115" i="14"/>
  <c r="D1125" i="14"/>
  <c r="D1136" i="14"/>
  <c r="D1147" i="14"/>
  <c r="D1157" i="14"/>
  <c r="D1168" i="14"/>
  <c r="D1179" i="14"/>
  <c r="D1189" i="14"/>
  <c r="D1199" i="14"/>
  <c r="D1208" i="14"/>
  <c r="D1217" i="14"/>
  <c r="D1226" i="14"/>
  <c r="D1234" i="14"/>
  <c r="D1242" i="14"/>
  <c r="D1250" i="14"/>
  <c r="D1258" i="14"/>
  <c r="D1266" i="14"/>
  <c r="D1274" i="14"/>
  <c r="D1282" i="14"/>
  <c r="D1290" i="14"/>
  <c r="D1298" i="14"/>
  <c r="D1306" i="14"/>
  <c r="D1314" i="14"/>
  <c r="D1322" i="14"/>
  <c r="D1330" i="14"/>
  <c r="D1338" i="14"/>
  <c r="D1346" i="14"/>
  <c r="D1354" i="14"/>
  <c r="D1362" i="14"/>
  <c r="D1370" i="14"/>
  <c r="D1378" i="14"/>
  <c r="D1386" i="14"/>
  <c r="D1394" i="14"/>
  <c r="D1402" i="14"/>
  <c r="D1410" i="14"/>
  <c r="D1418" i="14"/>
  <c r="D1426" i="14"/>
  <c r="D1434" i="14"/>
  <c r="D1442" i="14"/>
  <c r="D1450" i="14"/>
  <c r="D1458" i="14"/>
  <c r="D1466" i="14"/>
  <c r="D1474" i="14"/>
  <c r="D1482" i="14"/>
  <c r="D1490" i="14"/>
  <c r="D1498" i="14"/>
  <c r="D1506" i="14"/>
  <c r="D1514" i="14"/>
  <c r="D1522" i="14"/>
  <c r="D1530" i="14"/>
  <c r="D1538" i="14"/>
  <c r="D1546" i="14"/>
  <c r="D1554" i="14"/>
  <c r="D1562" i="14"/>
  <c r="D1570" i="14"/>
  <c r="D1578" i="14"/>
  <c r="D1586" i="14"/>
  <c r="D1594" i="14"/>
  <c r="D1602" i="14"/>
  <c r="D1610" i="14"/>
  <c r="D1618" i="14"/>
  <c r="D1626" i="14"/>
  <c r="D1634" i="14"/>
  <c r="D1642" i="14"/>
  <c r="D1650" i="14"/>
  <c r="D1658" i="14"/>
  <c r="D1666" i="14"/>
  <c r="D1674" i="14"/>
  <c r="D1682" i="14"/>
  <c r="D1690" i="14"/>
  <c r="D1698" i="14"/>
  <c r="D1706" i="14"/>
  <c r="D1714" i="14"/>
  <c r="D1722" i="14"/>
  <c r="D1730" i="14"/>
  <c r="D1738" i="14"/>
  <c r="D1746" i="14"/>
  <c r="D1754" i="14"/>
  <c r="D1762" i="14"/>
  <c r="D1770" i="14"/>
  <c r="D1778" i="14"/>
  <c r="D1786" i="14"/>
  <c r="D1794" i="14"/>
  <c r="D1802" i="14"/>
  <c r="D1810" i="14"/>
  <c r="D1818" i="14"/>
  <c r="D1826" i="14"/>
  <c r="D1834" i="14"/>
  <c r="D1842" i="14"/>
  <c r="D1850" i="14"/>
  <c r="D1858" i="14"/>
  <c r="D1866" i="14"/>
  <c r="D1874" i="14"/>
  <c r="D1882" i="14"/>
  <c r="D1890" i="14"/>
  <c r="D1898" i="14"/>
  <c r="D1906" i="14"/>
  <c r="D1914" i="14"/>
  <c r="D1922" i="14"/>
  <c r="D1930" i="14"/>
  <c r="D1938" i="14"/>
  <c r="D1946" i="14"/>
  <c r="D1954" i="14"/>
  <c r="D1962" i="14"/>
  <c r="D1970" i="14"/>
  <c r="D1978" i="14"/>
  <c r="D1986" i="14"/>
  <c r="D1994" i="14"/>
  <c r="D612" i="14"/>
  <c r="D637" i="14"/>
  <c r="D660" i="14"/>
  <c r="D677" i="14"/>
  <c r="D693" i="14"/>
  <c r="D709" i="14"/>
  <c r="D725" i="14"/>
  <c r="D741" i="14"/>
  <c r="D757" i="14"/>
  <c r="D773" i="14"/>
  <c r="D788" i="14"/>
  <c r="D800" i="14"/>
  <c r="D813" i="14"/>
  <c r="D825" i="14"/>
  <c r="D839" i="14"/>
  <c r="D852" i="14"/>
  <c r="D864" i="14"/>
  <c r="D877" i="14"/>
  <c r="D889" i="14"/>
  <c r="D903" i="14"/>
  <c r="D916" i="14"/>
  <c r="D928" i="14"/>
  <c r="D941" i="14"/>
  <c r="D953" i="14"/>
  <c r="D967" i="14"/>
  <c r="D980" i="14"/>
  <c r="D992" i="14"/>
  <c r="D1005" i="14"/>
  <c r="D1017" i="14"/>
  <c r="D1031" i="14"/>
  <c r="D1044" i="14"/>
  <c r="D1056" i="14"/>
  <c r="D1069" i="14"/>
  <c r="D1081" i="14"/>
  <c r="D1095" i="14"/>
  <c r="D1105" i="14"/>
  <c r="D1116" i="14"/>
  <c r="D1127" i="14"/>
  <c r="D1137" i="14"/>
  <c r="D1148" i="14"/>
  <c r="D1159" i="14"/>
  <c r="D1169" i="14"/>
  <c r="D1180" i="14"/>
  <c r="D1191" i="14"/>
  <c r="D1200" i="14"/>
  <c r="D1209" i="14"/>
  <c r="D1219" i="14"/>
  <c r="D1227" i="14"/>
  <c r="D1235" i="14"/>
  <c r="D1243" i="14"/>
  <c r="D1251" i="14"/>
  <c r="D1259" i="14"/>
  <c r="D1267" i="14"/>
  <c r="D1275" i="14"/>
  <c r="D1283" i="14"/>
  <c r="D1291" i="14"/>
  <c r="D1299" i="14"/>
  <c r="D1307" i="14"/>
  <c r="D1315" i="14"/>
  <c r="D1323" i="14"/>
  <c r="D1331" i="14"/>
  <c r="D1339" i="14"/>
  <c r="D1347" i="14"/>
  <c r="D1355" i="14"/>
  <c r="D1363" i="14"/>
  <c r="D1371" i="14"/>
  <c r="D1379" i="14"/>
  <c r="D1387" i="14"/>
  <c r="D1395" i="14"/>
  <c r="D1403" i="14"/>
  <c r="D1411" i="14"/>
  <c r="D1419" i="14"/>
  <c r="D1427" i="14"/>
  <c r="D1435" i="14"/>
  <c r="D1443" i="14"/>
  <c r="D1451" i="14"/>
  <c r="D1459" i="14"/>
  <c r="D1467" i="14"/>
  <c r="D1475" i="14"/>
  <c r="D1483" i="14"/>
  <c r="D1491" i="14"/>
  <c r="D1499" i="14"/>
  <c r="D1507" i="14"/>
  <c r="D1515" i="14"/>
  <c r="D1523" i="14"/>
  <c r="D1531" i="14"/>
  <c r="D1539" i="14"/>
  <c r="D1547" i="14"/>
  <c r="D1555" i="14"/>
  <c r="D1563" i="14"/>
  <c r="D1571" i="14"/>
  <c r="D1579" i="14"/>
  <c r="D1587" i="14"/>
  <c r="D1595" i="14"/>
  <c r="D1603" i="14"/>
  <c r="D1611" i="14"/>
  <c r="D1619" i="14"/>
  <c r="D1627" i="14"/>
  <c r="D1635" i="14"/>
  <c r="D1643" i="14"/>
  <c r="D1651" i="14"/>
  <c r="D1659" i="14"/>
  <c r="D1667" i="14"/>
  <c r="D1675" i="14"/>
  <c r="D1683" i="14"/>
  <c r="D1691" i="14"/>
  <c r="D1699" i="14"/>
  <c r="D1707" i="14"/>
  <c r="D1715" i="14"/>
  <c r="D1723" i="14"/>
  <c r="D1731" i="14"/>
  <c r="D1739" i="14"/>
  <c r="D1747" i="14"/>
  <c r="D1755" i="14"/>
  <c r="D1763" i="14"/>
  <c r="D1771" i="14"/>
  <c r="D1779" i="14"/>
  <c r="D1787" i="14"/>
  <c r="D1795" i="14"/>
  <c r="D1803" i="14"/>
  <c r="D1811" i="14"/>
  <c r="D1819" i="14"/>
  <c r="D1827" i="14"/>
  <c r="D1835" i="14"/>
  <c r="D1843" i="14"/>
  <c r="D1851" i="14"/>
  <c r="D1859" i="14"/>
  <c r="D1867" i="14"/>
  <c r="D1875" i="14"/>
  <c r="D1883" i="14"/>
  <c r="D1891" i="14"/>
  <c r="D1899" i="14"/>
  <c r="D1907" i="14"/>
  <c r="D1915" i="14"/>
  <c r="D1923" i="14"/>
  <c r="D1931" i="14"/>
  <c r="D1939" i="14"/>
  <c r="D1947" i="14"/>
  <c r="D1955" i="14"/>
  <c r="D1963" i="14"/>
  <c r="D1971" i="14"/>
  <c r="D1979" i="14"/>
  <c r="D1987" i="14"/>
  <c r="D1995" i="14"/>
  <c r="D1416" i="14"/>
  <c r="D1437" i="14"/>
  <c r="D1453" i="14"/>
  <c r="D1469" i="14"/>
  <c r="D1485" i="14"/>
  <c r="D1501" i="14"/>
  <c r="D1517" i="14"/>
  <c r="D1533" i="14"/>
  <c r="D1549" i="14"/>
  <c r="D1565" i="14"/>
  <c r="D1581" i="14"/>
  <c r="D1597" i="14"/>
  <c r="D1613" i="14"/>
  <c r="D1629" i="14"/>
  <c r="D1645" i="14"/>
  <c r="D1661" i="14"/>
  <c r="D1677" i="14"/>
  <c r="D1693" i="14"/>
  <c r="D1709" i="14"/>
  <c r="D1725" i="14"/>
  <c r="D1741" i="14"/>
  <c r="D1757" i="14"/>
  <c r="D1773" i="14"/>
  <c r="D1789" i="14"/>
  <c r="D1805" i="14"/>
  <c r="D1816" i="14"/>
  <c r="D1828" i="14"/>
  <c r="D1838" i="14"/>
  <c r="D1848" i="14"/>
  <c r="D1860" i="14"/>
  <c r="D1870" i="14"/>
  <c r="D1880" i="14"/>
  <c r="D1892" i="14"/>
  <c r="D1902" i="14"/>
  <c r="D1912" i="14"/>
  <c r="D1924" i="14"/>
  <c r="D1934" i="14"/>
  <c r="D1944" i="14"/>
  <c r="D1956" i="14"/>
  <c r="D1966" i="14"/>
  <c r="D1976" i="14"/>
  <c r="D1988" i="14"/>
  <c r="D1998" i="14"/>
  <c r="D1420" i="14"/>
  <c r="D1440" i="14"/>
  <c r="D1456" i="14"/>
  <c r="D1472" i="14"/>
  <c r="D1488" i="14"/>
  <c r="D1504" i="14"/>
  <c r="D1520" i="14"/>
  <c r="D1536" i="14"/>
  <c r="D1552" i="14"/>
  <c r="D1568" i="14"/>
  <c r="D1584" i="14"/>
  <c r="D1600" i="14"/>
  <c r="D1616" i="14"/>
  <c r="D1632" i="14"/>
  <c r="D1648" i="14"/>
  <c r="D1664" i="14"/>
  <c r="D1680" i="14"/>
  <c r="D1696" i="14"/>
  <c r="D1712" i="14"/>
  <c r="D1728" i="14"/>
  <c r="D1744" i="14"/>
  <c r="D1760" i="14"/>
  <c r="D1776" i="14"/>
  <c r="D1792" i="14"/>
  <c r="D1806" i="14"/>
  <c r="D1817" i="14"/>
  <c r="D1829" i="14"/>
  <c r="D1839" i="14"/>
  <c r="D1849" i="14"/>
  <c r="D1861" i="14"/>
  <c r="D1871" i="14"/>
  <c r="D1881" i="14"/>
  <c r="D1893" i="14"/>
  <c r="D1903" i="14"/>
  <c r="D1913" i="14"/>
  <c r="D1925" i="14"/>
  <c r="D1935" i="14"/>
  <c r="D1945" i="14"/>
  <c r="D1957" i="14"/>
  <c r="D1967" i="14"/>
  <c r="D1977" i="14"/>
  <c r="D1989" i="14"/>
  <c r="D1999" i="14"/>
  <c r="D1421" i="14"/>
  <c r="D1441" i="14"/>
  <c r="D1457" i="14"/>
  <c r="D1473" i="14"/>
  <c r="D1489" i="14"/>
  <c r="D1505" i="14"/>
  <c r="D1521" i="14"/>
  <c r="D1537" i="14"/>
  <c r="D1553" i="14"/>
  <c r="D1569" i="14"/>
  <c r="D1585" i="14"/>
  <c r="D1601" i="14"/>
  <c r="D1617" i="14"/>
  <c r="D1633" i="14"/>
  <c r="D1649" i="14"/>
  <c r="D1665" i="14"/>
  <c r="D1681" i="14"/>
  <c r="D1697" i="14"/>
  <c r="D1713" i="14"/>
  <c r="D1729" i="14"/>
  <c r="D1745" i="14"/>
  <c r="D1761" i="14"/>
  <c r="D1777" i="14"/>
  <c r="D1793" i="14"/>
  <c r="D1808" i="14"/>
  <c r="D1820" i="14"/>
  <c r="D1830" i="14"/>
  <c r="D1840" i="14"/>
  <c r="D1852" i="14"/>
  <c r="D1862" i="14"/>
  <c r="D1872" i="14"/>
  <c r="D1884" i="14"/>
  <c r="D1894" i="14"/>
  <c r="D1904" i="14"/>
  <c r="D1916" i="14"/>
  <c r="D1926" i="14"/>
  <c r="D1936" i="14"/>
  <c r="D1948" i="14"/>
  <c r="D1958" i="14"/>
  <c r="D1968" i="14"/>
  <c r="D1980" i="14"/>
  <c r="D1990" i="14"/>
  <c r="D2000" i="14"/>
  <c r="D1424" i="14"/>
  <c r="D1444" i="14"/>
  <c r="D1460" i="14"/>
  <c r="D1476" i="14"/>
  <c r="D1492" i="14"/>
  <c r="D1508" i="14"/>
  <c r="D1524" i="14"/>
  <c r="D1540" i="14"/>
  <c r="D1556" i="14"/>
  <c r="D1572" i="14"/>
  <c r="D1588" i="14"/>
  <c r="D1604" i="14"/>
  <c r="D1620" i="14"/>
  <c r="D1636" i="14"/>
  <c r="D1652" i="14"/>
  <c r="D1668" i="14"/>
  <c r="D1684" i="14"/>
  <c r="D1700" i="14"/>
  <c r="D1716" i="14"/>
  <c r="D1732" i="14"/>
  <c r="D1748" i="14"/>
  <c r="D1764" i="14"/>
  <c r="D1780" i="14"/>
  <c r="D1796" i="14"/>
  <c r="D1809" i="14"/>
  <c r="D1821" i="14"/>
  <c r="D1831" i="14"/>
  <c r="D1841" i="14"/>
  <c r="D1853" i="14"/>
  <c r="D1863" i="14"/>
  <c r="D1873" i="14"/>
  <c r="D1885" i="14"/>
  <c r="D1895" i="14"/>
  <c r="D1905" i="14"/>
  <c r="D1917" i="14"/>
  <c r="D1927" i="14"/>
  <c r="D1937" i="14"/>
  <c r="D1949" i="14"/>
  <c r="D1959" i="14"/>
  <c r="D1969" i="14"/>
  <c r="D1981" i="14"/>
  <c r="D1991" i="14"/>
  <c r="D1428" i="14"/>
  <c r="D1445" i="14"/>
  <c r="D1461" i="14"/>
  <c r="D1477" i="14"/>
  <c r="D1493" i="14"/>
  <c r="D1509" i="14"/>
  <c r="D1525" i="14"/>
  <c r="D1541" i="14"/>
  <c r="D1557" i="14"/>
  <c r="D1573" i="14"/>
  <c r="D1589" i="14"/>
  <c r="D1605" i="14"/>
  <c r="D1621" i="14"/>
  <c r="D1637" i="14"/>
  <c r="D1653" i="14"/>
  <c r="D1669" i="14"/>
  <c r="D1685" i="14"/>
  <c r="D1701" i="14"/>
  <c r="D1717" i="14"/>
  <c r="D1733" i="14"/>
  <c r="D1749" i="14"/>
  <c r="D1765" i="14"/>
  <c r="D1781" i="14"/>
  <c r="D1797" i="14"/>
  <c r="D1812" i="14"/>
  <c r="D1822" i="14"/>
  <c r="D1832" i="14"/>
  <c r="D1844" i="14"/>
  <c r="D1854" i="14"/>
  <c r="D1864" i="14"/>
  <c r="D1876" i="14"/>
  <c r="D1886" i="14"/>
  <c r="D1896" i="14"/>
  <c r="D1908" i="14"/>
  <c r="D1918" i="14"/>
  <c r="D1928" i="14"/>
  <c r="D1940" i="14"/>
  <c r="D1950" i="14"/>
  <c r="D1960" i="14"/>
  <c r="D1972" i="14"/>
  <c r="D1982" i="14"/>
  <c r="D1992" i="14"/>
  <c r="D1429" i="14"/>
  <c r="D1448" i="14"/>
  <c r="D1464" i="14"/>
  <c r="D1480" i="14"/>
  <c r="D1496" i="14"/>
  <c r="D1512" i="14"/>
  <c r="D1528" i="14"/>
  <c r="D1544" i="14"/>
  <c r="D1560" i="14"/>
  <c r="D1576" i="14"/>
  <c r="D1592" i="14"/>
  <c r="D1608" i="14"/>
  <c r="D1624" i="14"/>
  <c r="D1640" i="14"/>
  <c r="D1656" i="14"/>
  <c r="D1672" i="14"/>
  <c r="D1688" i="14"/>
  <c r="D1704" i="14"/>
  <c r="D1720" i="14"/>
  <c r="D1736" i="14"/>
  <c r="D1752" i="14"/>
  <c r="D1768" i="14"/>
  <c r="D1784" i="14"/>
  <c r="D1800" i="14"/>
  <c r="D1813" i="14"/>
  <c r="D1823" i="14"/>
  <c r="D1833" i="14"/>
  <c r="D1845" i="14"/>
  <c r="D1855" i="14"/>
  <c r="D1865" i="14"/>
  <c r="D1877" i="14"/>
  <c r="D1887" i="14"/>
  <c r="D1897" i="14"/>
  <c r="D1909" i="14"/>
  <c r="D1919" i="14"/>
  <c r="D1929" i="14"/>
  <c r="D1941" i="14"/>
  <c r="D1951" i="14"/>
  <c r="D1961" i="14"/>
  <c r="D1973" i="14"/>
  <c r="D1983" i="14"/>
  <c r="D1993" i="14"/>
  <c r="D1432" i="14"/>
  <c r="D1449" i="14"/>
  <c r="D1465" i="14"/>
  <c r="D1481" i="14"/>
  <c r="D1497" i="14"/>
  <c r="D1513" i="14"/>
  <c r="D1529" i="14"/>
  <c r="D1545" i="14"/>
  <c r="D1561" i="14"/>
  <c r="D1577" i="14"/>
  <c r="D1593" i="14"/>
  <c r="D1609" i="14"/>
  <c r="D1625" i="14"/>
  <c r="D1641" i="14"/>
  <c r="D1657" i="14"/>
  <c r="D1673" i="14"/>
  <c r="D1689" i="14"/>
  <c r="D1705" i="14"/>
  <c r="D1721" i="14"/>
  <c r="D1737" i="14"/>
  <c r="D1753" i="14"/>
  <c r="D1769" i="14"/>
  <c r="D1785" i="14"/>
  <c r="D1801" i="14"/>
  <c r="D1814" i="14"/>
  <c r="D1824" i="14"/>
  <c r="D1836" i="14"/>
  <c r="D1846" i="14"/>
  <c r="D1856" i="14"/>
  <c r="D1868" i="14"/>
  <c r="D1878" i="14"/>
  <c r="D1888" i="14"/>
  <c r="D1900" i="14"/>
  <c r="D1910" i="14"/>
  <c r="D1920" i="14"/>
  <c r="D1932" i="14"/>
  <c r="D1942" i="14"/>
  <c r="D1952" i="14"/>
  <c r="D1964" i="14"/>
  <c r="D1974" i="14"/>
  <c r="D1984" i="14"/>
  <c r="D1996" i="14"/>
  <c r="D1436" i="14"/>
  <c r="D1452" i="14"/>
  <c r="D1468" i="14"/>
  <c r="D1484" i="14"/>
  <c r="D1500" i="14"/>
  <c r="D1516" i="14"/>
  <c r="D1532" i="14"/>
  <c r="D1548" i="14"/>
  <c r="D1564" i="14"/>
  <c r="D1580" i="14"/>
  <c r="D1596" i="14"/>
  <c r="D1612" i="14"/>
  <c r="D1628" i="14"/>
  <c r="D1644" i="14"/>
  <c r="D1660" i="14"/>
  <c r="D1676" i="14"/>
  <c r="D1692" i="14"/>
  <c r="D1708" i="14"/>
  <c r="D1724" i="14"/>
  <c r="D1740" i="14"/>
  <c r="D1756" i="14"/>
  <c r="D1772" i="14"/>
  <c r="D1788" i="14"/>
  <c r="D1804" i="14"/>
  <c r="D1815" i="14"/>
  <c r="D1825" i="14"/>
  <c r="D1837" i="14"/>
  <c r="D1847" i="14"/>
  <c r="D1857" i="14"/>
  <c r="D1869" i="14"/>
  <c r="D1879" i="14"/>
  <c r="D1889" i="14"/>
  <c r="D1901" i="14"/>
  <c r="D1911" i="14"/>
  <c r="D1921" i="14"/>
  <c r="D1933" i="14"/>
  <c r="D1943" i="14"/>
  <c r="D1953" i="14"/>
  <c r="D1965" i="14"/>
  <c r="D1975" i="14"/>
  <c r="D1985" i="14"/>
  <c r="D1997" i="14"/>
  <c r="D3" i="14"/>
  <c r="D6" i="14"/>
  <c r="D5" i="14"/>
  <c r="E4" i="14" l="1"/>
  <c r="E291" i="17"/>
  <c r="E105" i="17"/>
  <c r="E418" i="17"/>
  <c r="E356" i="17"/>
  <c r="E289" i="17"/>
  <c r="E146" i="17"/>
  <c r="E340" i="17"/>
  <c r="E74" i="17"/>
  <c r="E81" i="17"/>
  <c r="E73" i="17"/>
  <c r="E65" i="17"/>
  <c r="E57" i="17"/>
  <c r="E49" i="17"/>
  <c r="E41" i="17"/>
  <c r="E33" i="17"/>
  <c r="E25" i="17"/>
  <c r="E17" i="17"/>
  <c r="E9" i="17"/>
  <c r="E162" i="17"/>
  <c r="E114" i="17"/>
  <c r="E90" i="17"/>
  <c r="E58" i="17"/>
  <c r="E170" i="17"/>
  <c r="E138" i="17"/>
  <c r="E122" i="17"/>
  <c r="E106" i="17"/>
  <c r="E66" i="17"/>
  <c r="E50" i="17"/>
  <c r="E34" i="17"/>
  <c r="E564" i="17"/>
  <c r="E538" i="17"/>
  <c r="E427" i="17"/>
  <c r="E388" i="17"/>
  <c r="E377" i="17"/>
  <c r="E154" i="17"/>
  <c r="E130" i="17"/>
  <c r="E98" i="17"/>
  <c r="E82" i="17"/>
  <c r="E26" i="17"/>
  <c r="E472" i="17"/>
  <c r="E42" i="17"/>
  <c r="E588" i="17"/>
  <c r="E241" i="17"/>
  <c r="E177" i="17"/>
  <c r="E149" i="17"/>
  <c r="E117" i="17"/>
  <c r="E45" i="17"/>
  <c r="E364" i="17"/>
  <c r="E353" i="17"/>
  <c r="E321" i="17"/>
  <c r="E265" i="17"/>
  <c r="E201" i="17"/>
  <c r="E69" i="17"/>
  <c r="E18" i="17"/>
  <c r="E429" i="17"/>
  <c r="E297" i="17"/>
  <c r="E225" i="17"/>
  <c r="E157" i="17"/>
  <c r="E125" i="17"/>
  <c r="E93" i="17"/>
  <c r="E10" i="17"/>
  <c r="E668" i="17"/>
  <c r="E281" i="17"/>
  <c r="E217" i="17"/>
  <c r="E85" i="17"/>
  <c r="E249" i="17"/>
  <c r="E185" i="17"/>
  <c r="E53" i="17"/>
  <c r="E29" i="17"/>
  <c r="E21" i="17"/>
  <c r="E292" i="17"/>
  <c r="E273" i="17"/>
  <c r="E209" i="17"/>
  <c r="E165" i="17"/>
  <c r="E133" i="17"/>
  <c r="E101" i="17"/>
  <c r="E77" i="17"/>
  <c r="E13" i="17"/>
  <c r="E233" i="17"/>
  <c r="E5" i="17"/>
  <c r="E257" i="17"/>
  <c r="E193" i="17"/>
  <c r="E173" i="17"/>
  <c r="E141" i="17"/>
  <c r="E109" i="17"/>
  <c r="E61" i="17"/>
  <c r="E37" i="17"/>
  <c r="E868" i="17"/>
  <c r="E180" i="17"/>
  <c r="E212" i="17"/>
  <c r="E244" i="17"/>
  <c r="E276" i="17"/>
  <c r="E1965" i="17"/>
  <c r="E1901" i="17"/>
  <c r="E1984" i="17"/>
  <c r="E1920" i="17"/>
  <c r="E1979" i="17"/>
  <c r="E1915" i="17"/>
  <c r="E1851" i="17"/>
  <c r="E1942" i="17"/>
  <c r="E1878" i="17"/>
  <c r="E1937" i="17"/>
  <c r="E1988" i="17"/>
  <c r="E1924" i="17"/>
  <c r="E1860" i="17"/>
  <c r="E1962" i="17"/>
  <c r="E1898" i="17"/>
  <c r="E1839" i="17"/>
  <c r="E1779" i="17"/>
  <c r="E1837" i="17"/>
  <c r="E1825" i="17"/>
  <c r="E1842" i="17"/>
  <c r="E1772" i="17"/>
  <c r="E1873" i="17"/>
  <c r="E1823" i="17"/>
  <c r="E1967" i="17"/>
  <c r="E1802" i="17"/>
  <c r="E1738" i="17"/>
  <c r="E1865" i="17"/>
  <c r="E1800" i="17"/>
  <c r="E1736" i="17"/>
  <c r="E1747" i="17"/>
  <c r="E1724" i="17"/>
  <c r="E1749" i="17"/>
  <c r="E1649" i="17"/>
  <c r="E1758" i="17"/>
  <c r="E1668" i="17"/>
  <c r="E1777" i="17"/>
  <c r="E1729" i="17"/>
  <c r="E1801" i="17"/>
  <c r="E1717" i="17"/>
  <c r="E1741" i="17"/>
  <c r="E1653" i="17"/>
  <c r="E1589" i="17"/>
  <c r="E1647" i="17"/>
  <c r="E1553" i="17"/>
  <c r="E1620" i="17"/>
  <c r="E1588" i="17"/>
  <c r="E1524" i="17"/>
  <c r="E1658" i="17"/>
  <c r="E1610" i="17"/>
  <c r="E1567" i="17"/>
  <c r="E1503" i="17"/>
  <c r="E1743" i="17"/>
  <c r="E1546" i="17"/>
  <c r="E1482" i="17"/>
  <c r="E1648" i="17"/>
  <c r="E1557" i="17"/>
  <c r="E1544" i="17"/>
  <c r="E1480" i="17"/>
  <c r="E1579" i="17"/>
  <c r="E1453" i="17"/>
  <c r="E1389" i="17"/>
  <c r="E1542" i="17"/>
  <c r="E1416" i="17"/>
  <c r="E1582" i="17"/>
  <c r="E1395" i="17"/>
  <c r="E1331" i="17"/>
  <c r="E1571" i="17"/>
  <c r="E1470" i="17"/>
  <c r="E1430" i="17"/>
  <c r="E1366" i="17"/>
  <c r="E1302" i="17"/>
  <c r="E1521" i="17"/>
  <c r="E1425" i="17"/>
  <c r="E1587" i="17"/>
  <c r="E1436" i="17"/>
  <c r="E1372" i="17"/>
  <c r="E1308" i="17"/>
  <c r="E1378" i="17"/>
  <c r="E1273" i="17"/>
  <c r="E1341" i="17"/>
  <c r="E1276" i="17"/>
  <c r="E1212" i="17"/>
  <c r="E1343" i="17"/>
  <c r="E1271" i="17"/>
  <c r="E1354" i="17"/>
  <c r="E1266" i="17"/>
  <c r="E1459" i="17"/>
  <c r="E1314" i="17"/>
  <c r="E1351" i="17"/>
  <c r="E1256" i="17"/>
  <c r="E1510" i="17"/>
  <c r="E1169" i="17"/>
  <c r="E1105" i="17"/>
  <c r="E1041" i="17"/>
  <c r="E1368" i="17"/>
  <c r="E1164" i="17"/>
  <c r="E1100" i="17"/>
  <c r="E1036" i="17"/>
  <c r="E1254" i="17"/>
  <c r="E1214" i="17"/>
  <c r="E1167" i="17"/>
  <c r="E1103" i="17"/>
  <c r="E1039" i="17"/>
  <c r="E975" i="17"/>
  <c r="E1335" i="17"/>
  <c r="E1170" i="17"/>
  <c r="E1106" i="17"/>
  <c r="E1042" i="17"/>
  <c r="E978" i="17"/>
  <c r="E1165" i="17"/>
  <c r="E1231" i="17"/>
  <c r="E1199" i="17"/>
  <c r="E1136" i="17"/>
  <c r="E1072" i="17"/>
  <c r="E1008" i="17"/>
  <c r="E944" i="17"/>
  <c r="E1118" i="17"/>
  <c r="E980" i="17"/>
  <c r="E906" i="17"/>
  <c r="E842" i="17"/>
  <c r="E1391" i="17"/>
  <c r="E1022" i="17"/>
  <c r="E901" i="17"/>
  <c r="E837" i="17"/>
  <c r="E773" i="17"/>
  <c r="E709" i="17"/>
  <c r="E1094" i="17"/>
  <c r="E963" i="17"/>
  <c r="E920" i="17"/>
  <c r="E856" i="17"/>
  <c r="E792" i="17"/>
  <c r="E1217" i="17"/>
  <c r="E1131" i="17"/>
  <c r="E957" i="17"/>
  <c r="E899" i="17"/>
  <c r="E835" i="17"/>
  <c r="E771" i="17"/>
  <c r="E990" i="17"/>
  <c r="E918" i="17"/>
  <c r="E1243" i="17"/>
  <c r="E1054" i="17"/>
  <c r="E921" i="17"/>
  <c r="E857" i="17"/>
  <c r="E793" i="17"/>
  <c r="E729" i="17"/>
  <c r="E1069" i="17"/>
  <c r="E830" i="17"/>
  <c r="E755" i="17"/>
  <c r="E723" i="17"/>
  <c r="E688" i="17"/>
  <c r="E624" i="17"/>
  <c r="E560" i="17"/>
  <c r="E946" i="17"/>
  <c r="E1239" i="17"/>
  <c r="E838" i="17"/>
  <c r="E670" i="17"/>
  <c r="E606" i="17"/>
  <c r="E542" i="17"/>
  <c r="E478" i="17"/>
  <c r="E932" i="17"/>
  <c r="E740" i="17"/>
  <c r="E708" i="17"/>
  <c r="E657" i="17"/>
  <c r="E593" i="17"/>
  <c r="E24" i="17"/>
  <c r="E56" i="17"/>
  <c r="E88" i="17"/>
  <c r="E120" i="17"/>
  <c r="E152" i="17"/>
  <c r="E521" i="17"/>
  <c r="E1957" i="17"/>
  <c r="E1893" i="17"/>
  <c r="E1976" i="17"/>
  <c r="E1912" i="17"/>
  <c r="E1971" i="17"/>
  <c r="E1907" i="17"/>
  <c r="E1998" i="17"/>
  <c r="E1934" i="17"/>
  <c r="E1993" i="17"/>
  <c r="E1929" i="17"/>
  <c r="E1980" i="17"/>
  <c r="E1916" i="17"/>
  <c r="E1852" i="17"/>
  <c r="E1954" i="17"/>
  <c r="E1991" i="17"/>
  <c r="E1832" i="17"/>
  <c r="E1771" i="17"/>
  <c r="E1830" i="17"/>
  <c r="E1817" i="17"/>
  <c r="E1828" i="17"/>
  <c r="E1764" i="17"/>
  <c r="E1870" i="17"/>
  <c r="E1815" i="17"/>
  <c r="E1903" i="17"/>
  <c r="E1794" i="17"/>
  <c r="E1730" i="17"/>
  <c r="E1858" i="17"/>
  <c r="E1792" i="17"/>
  <c r="E1728" i="17"/>
  <c r="E1745" i="17"/>
  <c r="E1718" i="17"/>
  <c r="E1705" i="17"/>
  <c r="E1641" i="17"/>
  <c r="E1751" i="17"/>
  <c r="E1660" i="17"/>
  <c r="E1774" i="17"/>
  <c r="E1723" i="17"/>
  <c r="E1798" i="17"/>
  <c r="E1711" i="17"/>
  <c r="E1709" i="17"/>
  <c r="E1645" i="17"/>
  <c r="E1702" i="17"/>
  <c r="E1640" i="17"/>
  <c r="E1545" i="17"/>
  <c r="E1616" i="17"/>
  <c r="E1580" i="17"/>
  <c r="E1516" i="17"/>
  <c r="E1651" i="17"/>
  <c r="E1606" i="17"/>
  <c r="E1559" i="17"/>
  <c r="E1495" i="17"/>
  <c r="E1688" i="17"/>
  <c r="E1538" i="17"/>
  <c r="E1704" i="17"/>
  <c r="E1646" i="17"/>
  <c r="E1549" i="17"/>
  <c r="E1536" i="17"/>
  <c r="E1472" i="17"/>
  <c r="E1566" i="17"/>
  <c r="E1445" i="17"/>
  <c r="E1381" i="17"/>
  <c r="E1533" i="17"/>
  <c r="E1408" i="17"/>
  <c r="E1509" i="17"/>
  <c r="E1387" i="17"/>
  <c r="E1323" i="17"/>
  <c r="E1558" i="17"/>
  <c r="E1466" i="17"/>
  <c r="E1422" i="17"/>
  <c r="E1358" i="17"/>
  <c r="E1294" i="17"/>
  <c r="E1489" i="17"/>
  <c r="E1417" i="17"/>
  <c r="E1574" i="17"/>
  <c r="E1428" i="17"/>
  <c r="E1364" i="17"/>
  <c r="E1300" i="17"/>
  <c r="E1375" i="17"/>
  <c r="E1505" i="17"/>
  <c r="E1337" i="17"/>
  <c r="E1268" i="17"/>
  <c r="E1204" i="17"/>
  <c r="E1330" i="17"/>
  <c r="E1263" i="17"/>
  <c r="E1352" i="17"/>
  <c r="E1258" i="17"/>
  <c r="E1449" i="17"/>
  <c r="E1312" i="17"/>
  <c r="E1338" i="17"/>
  <c r="E1248" i="17"/>
  <c r="E1475" i="17"/>
  <c r="E188" i="17"/>
  <c r="E220" i="17"/>
  <c r="E252" i="17"/>
  <c r="E284" i="17"/>
  <c r="E393" i="17"/>
  <c r="E612" i="17"/>
  <c r="E1949" i="17"/>
  <c r="E1885" i="17"/>
  <c r="E1968" i="17"/>
  <c r="E1904" i="17"/>
  <c r="E1963" i="17"/>
  <c r="E1899" i="17"/>
  <c r="E1990" i="17"/>
  <c r="E1926" i="17"/>
  <c r="E1985" i="17"/>
  <c r="E1921" i="17"/>
  <c r="E1972" i="17"/>
  <c r="E1908" i="17"/>
  <c r="E1844" i="17"/>
  <c r="E1946" i="17"/>
  <c r="E1927" i="17"/>
  <c r="E1827" i="17"/>
  <c r="E1763" i="17"/>
  <c r="E1822" i="17"/>
  <c r="E1809" i="17"/>
  <c r="E1820" i="17"/>
  <c r="E1756" i="17"/>
  <c r="E1857" i="17"/>
  <c r="E1807" i="17"/>
  <c r="E1863" i="17"/>
  <c r="E1786" i="17"/>
  <c r="E1722" i="17"/>
  <c r="E1854" i="17"/>
  <c r="E1784" i="17"/>
  <c r="E1720" i="17"/>
  <c r="E1707" i="17"/>
  <c r="E1716" i="17"/>
  <c r="E1697" i="17"/>
  <c r="E1633" i="17"/>
  <c r="E1742" i="17"/>
  <c r="E1652" i="17"/>
  <c r="E1765" i="17"/>
  <c r="E1721" i="17"/>
  <c r="E1789" i="17"/>
  <c r="E1706" i="17"/>
  <c r="E1701" i="17"/>
  <c r="E1637" i="17"/>
  <c r="E1679" i="17"/>
  <c r="E1638" i="17"/>
  <c r="E1537" i="17"/>
  <c r="E1612" i="17"/>
  <c r="E1572" i="17"/>
  <c r="E1508" i="17"/>
  <c r="E1642" i="17"/>
  <c r="E1602" i="17"/>
  <c r="E1551" i="17"/>
  <c r="E1487" i="17"/>
  <c r="E1683" i="17"/>
  <c r="E1530" i="17"/>
  <c r="E1680" i="17"/>
  <c r="E1639" i="17"/>
  <c r="E1541" i="17"/>
  <c r="E1528" i="17"/>
  <c r="E1464" i="17"/>
  <c r="E1525" i="17"/>
  <c r="E1437" i="17"/>
  <c r="E1373" i="17"/>
  <c r="E1517" i="17"/>
  <c r="E1400" i="17"/>
  <c r="E1443" i="17"/>
  <c r="E1379" i="17"/>
  <c r="E1315" i="17"/>
  <c r="E1501" i="17"/>
  <c r="E1462" i="17"/>
  <c r="E1414" i="17"/>
  <c r="E1350" i="17"/>
  <c r="E1286" i="17"/>
  <c r="E1476" i="17"/>
  <c r="E1409" i="17"/>
  <c r="E1531" i="17"/>
  <c r="E1420" i="17"/>
  <c r="E1356" i="17"/>
  <c r="E1292" i="17"/>
  <c r="E1360" i="17"/>
  <c r="E1467" i="17"/>
  <c r="E1319" i="17"/>
  <c r="E1260" i="17"/>
  <c r="E1196" i="17"/>
  <c r="E1328" i="17"/>
  <c r="E1563" i="17"/>
  <c r="E1325" i="17"/>
  <c r="E1250" i="17"/>
  <c r="E1399" i="17"/>
  <c r="E1615" i="17"/>
  <c r="E1336" i="17"/>
  <c r="E1240" i="17"/>
  <c r="E1290" i="17"/>
  <c r="E1153" i="17"/>
  <c r="E1089" i="17"/>
  <c r="E1025" i="17"/>
  <c r="E1283" i="17"/>
  <c r="E1148" i="17"/>
  <c r="E1084" i="17"/>
  <c r="E1020" i="17"/>
  <c r="E1238" i="17"/>
  <c r="E1206" i="17"/>
  <c r="E1151" i="17"/>
  <c r="E1087" i="17"/>
  <c r="E1023" i="17"/>
  <c r="E959" i="17"/>
  <c r="E1261" i="17"/>
  <c r="E1154" i="17"/>
  <c r="E1090" i="17"/>
  <c r="E1026" i="17"/>
  <c r="E1402" i="17"/>
  <c r="E1149" i="17"/>
  <c r="E1223" i="17"/>
  <c r="E1184" i="17"/>
  <c r="E1120" i="17"/>
  <c r="E1056" i="17"/>
  <c r="E992" i="17"/>
  <c r="E1288" i="17"/>
  <c r="E1062" i="17"/>
  <c r="E966" i="17"/>
  <c r="E890" i="17"/>
  <c r="E826" i="17"/>
  <c r="E1141" i="17"/>
  <c r="E993" i="17"/>
  <c r="E885" i="17"/>
  <c r="E821" i="17"/>
  <c r="E757" i="17"/>
  <c r="E693" i="17"/>
  <c r="E1046" i="17"/>
  <c r="E955" i="17"/>
  <c r="E904" i="17"/>
  <c r="E840" i="17"/>
  <c r="E1333" i="17"/>
  <c r="E1209" i="17"/>
  <c r="E1099" i="17"/>
  <c r="E941" i="17"/>
  <c r="E883" i="17"/>
  <c r="E819" i="17"/>
  <c r="E1190" i="17"/>
  <c r="E981" i="17"/>
  <c r="E902" i="17"/>
  <c r="E1166" i="17"/>
  <c r="E1011" i="17"/>
  <c r="E905" i="17"/>
  <c r="E841" i="17"/>
  <c r="E777" i="17"/>
  <c r="E713" i="17"/>
  <c r="E887" i="17"/>
  <c r="E807" i="17"/>
  <c r="E747" i="17"/>
  <c r="E715" i="17"/>
  <c r="E672" i="17"/>
  <c r="E608" i="17"/>
  <c r="E544" i="17"/>
  <c r="E927" i="17"/>
  <c r="E942" i="17"/>
  <c r="E815" i="17"/>
  <c r="E654" i="17"/>
  <c r="E590" i="17"/>
  <c r="E526" i="17"/>
  <c r="E462" i="17"/>
  <c r="E764" i="17"/>
  <c r="E732" i="17"/>
  <c r="E700" i="17"/>
  <c r="E641" i="17"/>
  <c r="E577" i="17"/>
  <c r="E32" i="17"/>
  <c r="E64" i="17"/>
  <c r="E96" i="17"/>
  <c r="E128" i="17"/>
  <c r="E160" i="17"/>
  <c r="E404" i="17"/>
  <c r="E1941" i="17"/>
  <c r="E1877" i="17"/>
  <c r="E1960" i="17"/>
  <c r="E1896" i="17"/>
  <c r="E1955" i="17"/>
  <c r="E1891" i="17"/>
  <c r="E1982" i="17"/>
  <c r="E1918" i="17"/>
  <c r="E1977" i="17"/>
  <c r="E1913" i="17"/>
  <c r="E1964" i="17"/>
  <c r="E1900" i="17"/>
  <c r="E1836" i="17"/>
  <c r="E1938" i="17"/>
  <c r="E1890" i="17"/>
  <c r="E1819" i="17"/>
  <c r="E1999" i="17"/>
  <c r="E1814" i="17"/>
  <c r="E1951" i="17"/>
  <c r="E1812" i="17"/>
  <c r="E1748" i="17"/>
  <c r="E1849" i="17"/>
  <c r="E1799" i="17"/>
  <c r="E1845" i="17"/>
  <c r="E1778" i="17"/>
  <c r="E1714" i="17"/>
  <c r="E1850" i="17"/>
  <c r="E1776" i="17"/>
  <c r="E1712" i="17"/>
  <c r="E1769" i="17"/>
  <c r="E1710" i="17"/>
  <c r="E1689" i="17"/>
  <c r="E1625" i="17"/>
  <c r="E1708" i="17"/>
  <c r="E1644" i="17"/>
  <c r="E1755" i="17"/>
  <c r="E1715" i="17"/>
  <c r="E1735" i="17"/>
  <c r="E1698" i="17"/>
  <c r="E1693" i="17"/>
  <c r="E1629" i="17"/>
  <c r="E1672" i="17"/>
  <c r="E1631" i="17"/>
  <c r="E1529" i="17"/>
  <c r="E1608" i="17"/>
  <c r="E1564" i="17"/>
  <c r="E1696" i="17"/>
  <c r="E1635" i="17"/>
  <c r="E1598" i="17"/>
  <c r="E1543" i="17"/>
  <c r="E1479" i="17"/>
  <c r="E1586" i="17"/>
  <c r="E1522" i="17"/>
  <c r="E1678" i="17"/>
  <c r="E1632" i="17"/>
  <c r="E1584" i="17"/>
  <c r="E1520" i="17"/>
  <c r="E1456" i="17"/>
  <c r="E1497" i="17"/>
  <c r="E1429" i="17"/>
  <c r="E1365" i="17"/>
  <c r="E1499" i="17"/>
  <c r="E1392" i="17"/>
  <c r="E1435" i="17"/>
  <c r="E1371" i="17"/>
  <c r="E1307" i="17"/>
  <c r="E1494" i="17"/>
  <c r="E1458" i="17"/>
  <c r="E1406" i="17"/>
  <c r="E1342" i="17"/>
  <c r="E1695" i="17"/>
  <c r="E1468" i="17"/>
  <c r="E1401" i="17"/>
  <c r="E1523" i="17"/>
  <c r="E1412" i="17"/>
  <c r="E1348" i="17"/>
  <c r="E1534" i="17"/>
  <c r="E1346" i="17"/>
  <c r="E1457" i="17"/>
  <c r="E1306" i="17"/>
  <c r="E1252" i="17"/>
  <c r="E1493" i="17"/>
  <c r="E1301" i="17"/>
  <c r="E1550" i="17"/>
  <c r="E1321" i="17"/>
  <c r="E1242" i="17"/>
  <c r="E1386" i="17"/>
  <c r="E1611" i="17"/>
  <c r="E1309" i="17"/>
  <c r="E1232" i="17"/>
  <c r="E1262" i="17"/>
  <c r="E1145" i="17"/>
  <c r="E1081" i="17"/>
  <c r="E196" i="17"/>
  <c r="E228" i="17"/>
  <c r="E260" i="17"/>
  <c r="E308" i="17"/>
  <c r="E1997" i="17"/>
  <c r="E1933" i="17"/>
  <c r="E1869" i="17"/>
  <c r="E1952" i="17"/>
  <c r="E1888" i="17"/>
  <c r="E1947" i="17"/>
  <c r="E1883" i="17"/>
  <c r="E1974" i="17"/>
  <c r="E1910" i="17"/>
  <c r="E1969" i="17"/>
  <c r="E1905" i="17"/>
  <c r="E1956" i="17"/>
  <c r="E1892" i="17"/>
  <c r="E1994" i="17"/>
  <c r="E1930" i="17"/>
  <c r="E1862" i="17"/>
  <c r="E1811" i="17"/>
  <c r="E1935" i="17"/>
  <c r="E1806" i="17"/>
  <c r="E1879" i="17"/>
  <c r="E1804" i="17"/>
  <c r="E1740" i="17"/>
  <c r="E1847" i="17"/>
  <c r="E1791" i="17"/>
  <c r="E1838" i="17"/>
  <c r="E1770" i="17"/>
  <c r="E1983" i="17"/>
  <c r="E1834" i="17"/>
  <c r="E1768" i="17"/>
  <c r="E1911" i="17"/>
  <c r="E1766" i="17"/>
  <c r="E1821" i="17"/>
  <c r="E1681" i="17"/>
  <c r="E1617" i="17"/>
  <c r="E1700" i="17"/>
  <c r="E1636" i="17"/>
  <c r="E1753" i="17"/>
  <c r="E1713" i="17"/>
  <c r="E1733" i="17"/>
  <c r="E1690" i="17"/>
  <c r="E1685" i="17"/>
  <c r="E1621" i="17"/>
  <c r="E1670" i="17"/>
  <c r="E1585" i="17"/>
  <c r="E1785" i="17"/>
  <c r="E1604" i="17"/>
  <c r="E1556" i="17"/>
  <c r="E1691" i="17"/>
  <c r="E1626" i="17"/>
  <c r="E1594" i="17"/>
  <c r="E1535" i="17"/>
  <c r="E1471" i="17"/>
  <c r="E1578" i="17"/>
  <c r="E1514" i="17"/>
  <c r="E1671" i="17"/>
  <c r="E1630" i="17"/>
  <c r="E1576" i="17"/>
  <c r="E1512" i="17"/>
  <c r="E1448" i="17"/>
  <c r="E1481" i="17"/>
  <c r="E1421" i="17"/>
  <c r="E1357" i="17"/>
  <c r="E1483" i="17"/>
  <c r="E1384" i="17"/>
  <c r="E1427" i="17"/>
  <c r="E1363" i="17"/>
  <c r="E1299" i="17"/>
  <c r="E1492" i="17"/>
  <c r="E1454" i="17"/>
  <c r="E1398" i="17"/>
  <c r="E1334" i="17"/>
  <c r="E1623" i="17"/>
  <c r="E1460" i="17"/>
  <c r="E1393" i="17"/>
  <c r="E1518" i="17"/>
  <c r="E1404" i="17"/>
  <c r="E1340" i="17"/>
  <c r="E1502" i="17"/>
  <c r="E1344" i="17"/>
  <c r="E1407" i="17"/>
  <c r="E1304" i="17"/>
  <c r="E1244" i="17"/>
  <c r="E1434" i="17"/>
  <c r="E1297" i="17"/>
  <c r="E1473" i="17"/>
  <c r="E1303" i="17"/>
  <c r="E1759" i="17"/>
  <c r="E1369" i="17"/>
  <c r="E1507" i="17"/>
  <c r="E1305" i="17"/>
  <c r="E1224" i="17"/>
  <c r="E1259" i="17"/>
  <c r="E1137" i="17"/>
  <c r="E1073" i="17"/>
  <c r="E1009" i="17"/>
  <c r="E1245" i="17"/>
  <c r="E1132" i="17"/>
  <c r="E1068" i="17"/>
  <c r="E1004" i="17"/>
  <c r="E1230" i="17"/>
  <c r="E1198" i="17"/>
  <c r="E1135" i="17"/>
  <c r="E1071" i="17"/>
  <c r="E1007" i="17"/>
  <c r="E943" i="17"/>
  <c r="E1249" i="17"/>
  <c r="E1138" i="17"/>
  <c r="E1074" i="17"/>
  <c r="E1010" i="17"/>
  <c r="E1296" i="17"/>
  <c r="E1320" i="17"/>
  <c r="E1215" i="17"/>
  <c r="E1168" i="17"/>
  <c r="E1104" i="17"/>
  <c r="E1040" i="17"/>
  <c r="E976" i="17"/>
  <c r="E1265" i="17"/>
  <c r="E1019" i="17"/>
  <c r="E938" i="17"/>
  <c r="E874" i="17"/>
  <c r="E810" i="17"/>
  <c r="E1109" i="17"/>
  <c r="E933" i="17"/>
  <c r="E869" i="17"/>
  <c r="E805" i="17"/>
  <c r="E741" i="17"/>
  <c r="E1241" i="17"/>
  <c r="E1003" i="17"/>
  <c r="E947" i="17"/>
  <c r="E888" i="17"/>
  <c r="E824" i="17"/>
  <c r="E1233" i="17"/>
  <c r="E1201" i="17"/>
  <c r="E1070" i="17"/>
  <c r="E931" i="17"/>
  <c r="E867" i="17"/>
  <c r="E803" i="17"/>
  <c r="E1102" i="17"/>
  <c r="E972" i="17"/>
  <c r="E886" i="17"/>
  <c r="E1125" i="17"/>
  <c r="E985" i="17"/>
  <c r="E889" i="17"/>
  <c r="E825" i="17"/>
  <c r="E761" i="17"/>
  <c r="E697" i="17"/>
  <c r="E871" i="17"/>
  <c r="E776" i="17"/>
  <c r="E739" i="17"/>
  <c r="E707" i="17"/>
  <c r="E656" i="17"/>
  <c r="E592" i="17"/>
  <c r="E528" i="17"/>
  <c r="E780" i="17"/>
  <c r="E892" i="17"/>
  <c r="E788" i="17"/>
  <c r="E638" i="17"/>
  <c r="E574" i="17"/>
  <c r="E510" i="17"/>
  <c r="E446" i="17"/>
  <c r="E756" i="17"/>
  <c r="E724" i="17"/>
  <c r="E689" i="17"/>
  <c r="E625" i="17"/>
  <c r="E1101" i="17"/>
  <c r="E671" i="17"/>
  <c r="E8" i="17"/>
  <c r="E40" i="17"/>
  <c r="E72" i="17"/>
  <c r="E104" i="17"/>
  <c r="E136" i="17"/>
  <c r="E168" i="17"/>
  <c r="E440" i="17"/>
  <c r="E1989" i="17"/>
  <c r="E1925" i="17"/>
  <c r="E1861" i="17"/>
  <c r="E1944" i="17"/>
  <c r="E1880" i="17"/>
  <c r="E1939" i="17"/>
  <c r="E1875" i="17"/>
  <c r="E1966" i="17"/>
  <c r="E1902" i="17"/>
  <c r="E1961" i="17"/>
  <c r="E1897" i="17"/>
  <c r="E1948" i="17"/>
  <c r="E1884" i="17"/>
  <c r="E1986" i="17"/>
  <c r="E1922" i="17"/>
  <c r="E1856" i="17"/>
  <c r="E1803" i="17"/>
  <c r="E1874" i="17"/>
  <c r="E1943" i="17"/>
  <c r="E1866" i="17"/>
  <c r="E1796" i="17"/>
  <c r="E1959" i="17"/>
  <c r="E1840" i="17"/>
  <c r="E1783" i="17"/>
  <c r="E1826" i="17"/>
  <c r="E1762" i="17"/>
  <c r="E1919" i="17"/>
  <c r="E1824" i="17"/>
  <c r="E1760" i="17"/>
  <c r="E1813" i="17"/>
  <c r="E1734" i="17"/>
  <c r="E1793" i="17"/>
  <c r="E1673" i="17"/>
  <c r="E1609" i="17"/>
  <c r="E1692" i="17"/>
  <c r="E1628" i="17"/>
  <c r="E1739" i="17"/>
  <c r="E1703" i="17"/>
  <c r="E1727" i="17"/>
  <c r="E1682" i="17"/>
  <c r="E1677" i="17"/>
  <c r="E1613" i="17"/>
  <c r="E1663" i="17"/>
  <c r="E1577" i="17"/>
  <c r="E1699" i="17"/>
  <c r="E1600" i="17"/>
  <c r="E1548" i="17"/>
  <c r="E1686" i="17"/>
  <c r="E1622" i="17"/>
  <c r="E1590" i="17"/>
  <c r="E1527" i="17"/>
  <c r="E1463" i="17"/>
  <c r="E1570" i="17"/>
  <c r="E1506" i="17"/>
  <c r="E1664" i="17"/>
  <c r="E1581" i="17"/>
  <c r="E1568" i="17"/>
  <c r="E1504" i="17"/>
  <c r="E1773" i="17"/>
  <c r="E1477" i="17"/>
  <c r="E1413" i="17"/>
  <c r="E1675" i="17"/>
  <c r="E1440" i="17"/>
  <c r="E1782" i="17"/>
  <c r="E1419" i="17"/>
  <c r="E1355" i="17"/>
  <c r="E1687" i="17"/>
  <c r="E1485" i="17"/>
  <c r="E1450" i="17"/>
  <c r="E1390" i="17"/>
  <c r="E1326" i="17"/>
  <c r="E1591" i="17"/>
  <c r="E1452" i="17"/>
  <c r="E1385" i="17"/>
  <c r="E1513" i="17"/>
  <c r="E1396" i="17"/>
  <c r="E1332" i="17"/>
  <c r="E1486" i="17"/>
  <c r="E1317" i="17"/>
  <c r="E1394" i="17"/>
  <c r="E1295" i="17"/>
  <c r="E1236" i="17"/>
  <c r="E1383" i="17"/>
  <c r="E1291" i="17"/>
  <c r="E1423" i="17"/>
  <c r="E1287" i="17"/>
  <c r="E1750" i="17"/>
  <c r="E1349" i="17"/>
  <c r="E1439" i="17"/>
  <c r="E1280" i="17"/>
  <c r="E1216" i="17"/>
  <c r="E1193" i="17"/>
  <c r="E1129" i="17"/>
  <c r="E1065" i="17"/>
  <c r="E1001" i="17"/>
  <c r="E1188" i="17"/>
  <c r="E1124" i="17"/>
  <c r="E1060" i="17"/>
  <c r="E1500" i="17"/>
  <c r="E1226" i="17"/>
  <c r="E1191" i="17"/>
  <c r="E1127" i="17"/>
  <c r="E1063" i="17"/>
  <c r="E999" i="17"/>
  <c r="E1484" i="17"/>
  <c r="E1194" i="17"/>
  <c r="E1130" i="17"/>
  <c r="E1066" i="17"/>
  <c r="E1002" i="17"/>
  <c r="E1189" i="17"/>
  <c r="E1285" i="17"/>
  <c r="E1211" i="17"/>
  <c r="E1160" i="17"/>
  <c r="E1096" i="17"/>
  <c r="E1032" i="17"/>
  <c r="E968" i="17"/>
  <c r="E1257" i="17"/>
  <c r="E996" i="17"/>
  <c r="E930" i="17"/>
  <c r="E866" i="17"/>
  <c r="E802" i="17"/>
  <c r="E1091" i="17"/>
  <c r="E925" i="17"/>
  <c r="E861" i="17"/>
  <c r="E797" i="17"/>
  <c r="E733" i="17"/>
  <c r="E1187" i="17"/>
  <c r="E998" i="17"/>
  <c r="E945" i="17"/>
  <c r="E880" i="17"/>
  <c r="E816" i="17"/>
  <c r="E1229" i="17"/>
  <c r="E1197" i="17"/>
  <c r="E1061" i="17"/>
  <c r="E923" i="17"/>
  <c r="E859" i="17"/>
  <c r="E795" i="17"/>
  <c r="E16" i="17"/>
  <c r="E48" i="17"/>
  <c r="E80" i="17"/>
  <c r="E112" i="17"/>
  <c r="E144" i="17"/>
  <c r="E1973" i="17"/>
  <c r="E1909" i="17"/>
  <c r="E1992" i="17"/>
  <c r="E1928" i="17"/>
  <c r="E1987" i="17"/>
  <c r="E1923" i="17"/>
  <c r="E1859" i="17"/>
  <c r="E1950" i="17"/>
  <c r="E1886" i="17"/>
  <c r="E1945" i="17"/>
  <c r="E1996" i="17"/>
  <c r="E1932" i="17"/>
  <c r="E1868" i="17"/>
  <c r="E1970" i="17"/>
  <c r="E1906" i="17"/>
  <c r="E1841" i="17"/>
  <c r="E1787" i="17"/>
  <c r="E1846" i="17"/>
  <c r="E1835" i="17"/>
  <c r="E1853" i="17"/>
  <c r="E1780" i="17"/>
  <c r="E1882" i="17"/>
  <c r="E1831" i="17"/>
  <c r="E1767" i="17"/>
  <c r="E1810" i="17"/>
  <c r="E1746" i="17"/>
  <c r="E1872" i="17"/>
  <c r="E1808" i="17"/>
  <c r="E1744" i="17"/>
  <c r="E1761" i="17"/>
  <c r="E1726" i="17"/>
  <c r="E1781" i="17"/>
  <c r="E1657" i="17"/>
  <c r="E1593" i="17"/>
  <c r="E1676" i="17"/>
  <c r="E1829" i="17"/>
  <c r="E1731" i="17"/>
  <c r="E1887" i="17"/>
  <c r="E1719" i="17"/>
  <c r="E1757" i="17"/>
  <c r="E1661" i="17"/>
  <c r="E1597" i="17"/>
  <c r="E1654" i="17"/>
  <c r="E1561" i="17"/>
  <c r="E1624" i="17"/>
  <c r="E1592" i="17"/>
  <c r="E1532" i="17"/>
  <c r="E1667" i="17"/>
  <c r="E1614" i="17"/>
  <c r="E1575" i="17"/>
  <c r="E1511" i="17"/>
  <c r="E1447" i="17"/>
  <c r="E1554" i="17"/>
  <c r="E1490" i="17"/>
  <c r="E1655" i="17"/>
  <c r="E1565" i="17"/>
  <c r="E1552" i="17"/>
  <c r="E1488" i="17"/>
  <c r="E1607" i="17"/>
  <c r="E1461" i="17"/>
  <c r="E1397" i="17"/>
  <c r="E1555" i="17"/>
  <c r="E1424" i="17"/>
  <c r="E1599" i="17"/>
  <c r="E1403" i="17"/>
  <c r="E1339" i="17"/>
  <c r="E1595" i="17"/>
  <c r="E1474" i="17"/>
  <c r="E1438" i="17"/>
  <c r="E1374" i="17"/>
  <c r="E1310" i="17"/>
  <c r="E1526" i="17"/>
  <c r="E1433" i="17"/>
  <c r="E1619" i="17"/>
  <c r="E1444" i="17"/>
  <c r="E1380" i="17"/>
  <c r="E1316" i="17"/>
  <c r="E1418" i="17"/>
  <c r="E1281" i="17"/>
  <c r="E1367" i="17"/>
  <c r="E1284" i="17"/>
  <c r="E1220" i="17"/>
  <c r="E1359" i="17"/>
  <c r="E1279" i="17"/>
  <c r="E1377" i="17"/>
  <c r="E1274" i="17"/>
  <c r="E1515" i="17"/>
  <c r="E1327" i="17"/>
  <c r="E1361" i="17"/>
  <c r="E1264" i="17"/>
  <c r="E1200" i="17"/>
  <c r="E1177" i="17"/>
  <c r="E1113" i="17"/>
  <c r="E1049" i="17"/>
  <c r="E1539" i="17"/>
  <c r="E1172" i="17"/>
  <c r="E1108" i="17"/>
  <c r="E1044" i="17"/>
  <c r="E1269" i="17"/>
  <c r="E1218" i="17"/>
  <c r="E1175" i="17"/>
  <c r="E1111" i="17"/>
  <c r="E1047" i="17"/>
  <c r="E983" i="17"/>
  <c r="E1376" i="17"/>
  <c r="E1178" i="17"/>
  <c r="E1114" i="17"/>
  <c r="E1050" i="17"/>
  <c r="E986" i="17"/>
  <c r="E1173" i="17"/>
  <c r="E1235" i="17"/>
  <c r="E1203" i="17"/>
  <c r="E1144" i="17"/>
  <c r="E1080" i="17"/>
  <c r="E1016" i="17"/>
  <c r="E952" i="17"/>
  <c r="E1158" i="17"/>
  <c r="E982" i="17"/>
  <c r="E914" i="17"/>
  <c r="E850" i="17"/>
  <c r="E786" i="17"/>
  <c r="E1043" i="17"/>
  <c r="E909" i="17"/>
  <c r="E845" i="17"/>
  <c r="E781" i="17"/>
  <c r="E717" i="17"/>
  <c r="E1126" i="17"/>
  <c r="E979" i="17"/>
  <c r="E928" i="17"/>
  <c r="E864" i="17"/>
  <c r="E800" i="17"/>
  <c r="E1221" i="17"/>
  <c r="E1150" i="17"/>
  <c r="E1006" i="17"/>
  <c r="E907" i="17"/>
  <c r="E843" i="17"/>
  <c r="E779" i="17"/>
  <c r="E1021" i="17"/>
  <c r="E926" i="17"/>
  <c r="E1255" i="17"/>
  <c r="E1075" i="17"/>
  <c r="E929" i="17"/>
  <c r="E865" i="17"/>
  <c r="E801" i="17"/>
  <c r="E737" i="17"/>
  <c r="E1078" i="17"/>
  <c r="E839" i="17"/>
  <c r="E759" i="17"/>
  <c r="E727" i="17"/>
  <c r="E695" i="17"/>
  <c r="E632" i="17"/>
  <c r="E568" i="17"/>
  <c r="E1115" i="17"/>
  <c r="E1298" i="17"/>
  <c r="E847" i="17"/>
  <c r="E678" i="17"/>
  <c r="E614" i="17"/>
  <c r="E550" i="17"/>
  <c r="E486" i="17"/>
  <c r="E1035" i="17"/>
  <c r="E744" i="17"/>
  <c r="E712" i="17"/>
  <c r="E665" i="17"/>
  <c r="E601" i="17"/>
  <c r="E884" i="17"/>
  <c r="E1936" i="17"/>
  <c r="E1940" i="17"/>
  <c r="E1855" i="17"/>
  <c r="E1816" i="17"/>
  <c r="E1843" i="17"/>
  <c r="E1569" i="17"/>
  <c r="E1455" i="17"/>
  <c r="E1469" i="17"/>
  <c r="E1478" i="17"/>
  <c r="E1388" i="17"/>
  <c r="E1289" i="17"/>
  <c r="E1185" i="17"/>
  <c r="E1329" i="17"/>
  <c r="E1052" i="17"/>
  <c r="E1202" i="17"/>
  <c r="E1031" i="17"/>
  <c r="E1186" i="17"/>
  <c r="E1018" i="17"/>
  <c r="E1227" i="17"/>
  <c r="E1088" i="17"/>
  <c r="E1270" i="17"/>
  <c r="E898" i="17"/>
  <c r="E1077" i="17"/>
  <c r="E813" i="17"/>
  <c r="E1067" i="17"/>
  <c r="E872" i="17"/>
  <c r="E1205" i="17"/>
  <c r="E891" i="17"/>
  <c r="E1051" i="17"/>
  <c r="E878" i="17"/>
  <c r="E969" i="17"/>
  <c r="E817" i="17"/>
  <c r="E1182" i="17"/>
  <c r="E767" i="17"/>
  <c r="E703" i="17"/>
  <c r="E584" i="17"/>
  <c r="E778" i="17"/>
  <c r="E783" i="17"/>
  <c r="E566" i="17"/>
  <c r="E438" i="17"/>
  <c r="E720" i="17"/>
  <c r="E617" i="17"/>
  <c r="E687" i="17"/>
  <c r="E615" i="17"/>
  <c r="E551" i="17"/>
  <c r="E487" i="17"/>
  <c r="E423" i="17"/>
  <c r="E750" i="17"/>
  <c r="E1083" i="17"/>
  <c r="E659" i="17"/>
  <c r="E595" i="17"/>
  <c r="E533" i="17"/>
  <c r="E746" i="17"/>
  <c r="E855" i="17"/>
  <c r="E661" i="17"/>
  <c r="E629" i="17"/>
  <c r="E597" i="17"/>
  <c r="E565" i="17"/>
  <c r="E831" i="17"/>
  <c r="E539" i="17"/>
  <c r="E690" i="17"/>
  <c r="E505" i="17"/>
  <c r="E473" i="17"/>
  <c r="E441" i="17"/>
  <c r="E452" i="17"/>
  <c r="E383" i="17"/>
  <c r="E319" i="17"/>
  <c r="E255" i="17"/>
  <c r="E191" i="17"/>
  <c r="E507" i="17"/>
  <c r="E378" i="17"/>
  <c r="E314" i="17"/>
  <c r="E250" i="17"/>
  <c r="E186" i="17"/>
  <c r="E444" i="17"/>
  <c r="E365" i="17"/>
  <c r="E301" i="17"/>
  <c r="E492" i="17"/>
  <c r="E400" i="17"/>
  <c r="E336" i="17"/>
  <c r="E272" i="17"/>
  <c r="E208" i="17"/>
  <c r="E652" i="17"/>
  <c r="E424" i="17"/>
  <c r="E363" i="17"/>
  <c r="E299" i="17"/>
  <c r="E475" i="17"/>
  <c r="E366" i="17"/>
  <c r="E302" i="17"/>
  <c r="E238" i="17"/>
  <c r="E460" i="17"/>
  <c r="E1995" i="17"/>
  <c r="E1876" i="17"/>
  <c r="E1788" i="17"/>
  <c r="E1752" i="17"/>
  <c r="E1737" i="17"/>
  <c r="E1694" i="17"/>
  <c r="E1562" i="17"/>
  <c r="E1405" i="17"/>
  <c r="E1446" i="17"/>
  <c r="E1324" i="17"/>
  <c r="E1410" i="17"/>
  <c r="E1161" i="17"/>
  <c r="E1278" i="17"/>
  <c r="E1028" i="17"/>
  <c r="E1183" i="17"/>
  <c r="E1015" i="17"/>
  <c r="E1162" i="17"/>
  <c r="E994" i="17"/>
  <c r="E1219" i="17"/>
  <c r="E1064" i="17"/>
  <c r="E1171" i="17"/>
  <c r="E882" i="17"/>
  <c r="E1013" i="17"/>
  <c r="E789" i="17"/>
  <c r="E1037" i="17"/>
  <c r="E848" i="17"/>
  <c r="E1163" i="17"/>
  <c r="E875" i="17"/>
  <c r="E1030" i="17"/>
  <c r="E1275" i="17"/>
  <c r="E937" i="17"/>
  <c r="E809" i="17"/>
  <c r="E1133" i="17"/>
  <c r="E763" i="17"/>
  <c r="E699" i="17"/>
  <c r="E576" i="17"/>
  <c r="E691" i="17"/>
  <c r="E686" i="17"/>
  <c r="E558" i="17"/>
  <c r="E1110" i="17"/>
  <c r="E716" i="17"/>
  <c r="E609" i="17"/>
  <c r="E679" i="17"/>
  <c r="E607" i="17"/>
  <c r="E543" i="17"/>
  <c r="E479" i="17"/>
  <c r="E415" i="17"/>
  <c r="E734" i="17"/>
  <c r="E1029" i="17"/>
  <c r="E651" i="17"/>
  <c r="E587" i="17"/>
  <c r="E524" i="17"/>
  <c r="E730" i="17"/>
  <c r="E768" i="17"/>
  <c r="E658" i="17"/>
  <c r="E626" i="17"/>
  <c r="E594" i="17"/>
  <c r="E562" i="17"/>
  <c r="E823" i="17"/>
  <c r="E523" i="17"/>
  <c r="E557" i="17"/>
  <c r="E501" i="17"/>
  <c r="E469" i="17"/>
  <c r="E684" i="17"/>
  <c r="E442" i="17"/>
  <c r="E375" i="17"/>
  <c r="E311" i="17"/>
  <c r="E247" i="17"/>
  <c r="E183" i="17"/>
  <c r="E504" i="17"/>
  <c r="E370" i="17"/>
  <c r="E306" i="17"/>
  <c r="E242" i="17"/>
  <c r="E178" i="17"/>
  <c r="E437" i="17"/>
  <c r="E357" i="17"/>
  <c r="E293" i="17"/>
  <c r="E451" i="17"/>
  <c r="E392" i="17"/>
  <c r="E328" i="17"/>
  <c r="E264" i="17"/>
  <c r="E200" i="17"/>
  <c r="E506" i="17"/>
  <c r="E417" i="17"/>
  <c r="E355" i="17"/>
  <c r="E836" i="17"/>
  <c r="E443" i="17"/>
  <c r="E358" i="17"/>
  <c r="E294" i="17"/>
  <c r="E230" i="17"/>
  <c r="E7" i="17"/>
  <c r="E39" i="17"/>
  <c r="E71" i="17"/>
  <c r="E103" i="17"/>
  <c r="E135" i="17"/>
  <c r="E167" i="17"/>
  <c r="E236" i="17"/>
  <c r="E1931" i="17"/>
  <c r="E1978" i="17"/>
  <c r="E1895" i="17"/>
  <c r="E1797" i="17"/>
  <c r="E1975" i="17"/>
  <c r="E1596" i="17"/>
  <c r="E1498" i="17"/>
  <c r="E1603" i="17"/>
  <c r="E1382" i="17"/>
  <c r="E1431" i="17"/>
  <c r="E1282" i="17"/>
  <c r="E1121" i="17"/>
  <c r="E1180" i="17"/>
  <c r="E1012" i="17"/>
  <c r="E1159" i="17"/>
  <c r="E991" i="17"/>
  <c r="E1146" i="17"/>
  <c r="E970" i="17"/>
  <c r="E1207" i="17"/>
  <c r="E1048" i="17"/>
  <c r="E1086" i="17"/>
  <c r="E858" i="17"/>
  <c r="E977" i="17"/>
  <c r="E765" i="17"/>
  <c r="E995" i="17"/>
  <c r="E832" i="17"/>
  <c r="E1117" i="17"/>
  <c r="E851" i="17"/>
  <c r="E988" i="17"/>
  <c r="E1179" i="17"/>
  <c r="E913" i="17"/>
  <c r="E785" i="17"/>
  <c r="E958" i="17"/>
  <c r="E751" i="17"/>
  <c r="E680" i="17"/>
  <c r="E552" i="17"/>
  <c r="E1059" i="17"/>
  <c r="E662" i="17"/>
  <c r="E534" i="17"/>
  <c r="E879" i="17"/>
  <c r="E704" i="17"/>
  <c r="E585" i="17"/>
  <c r="E663" i="17"/>
  <c r="E599" i="17"/>
  <c r="E535" i="17"/>
  <c r="E471" i="17"/>
  <c r="E407" i="17"/>
  <c r="E718" i="17"/>
  <c r="E956" i="17"/>
  <c r="E643" i="17"/>
  <c r="E579" i="17"/>
  <c r="E1195" i="17"/>
  <c r="E714" i="17"/>
  <c r="E685" i="17"/>
  <c r="E653" i="17"/>
  <c r="E621" i="17"/>
  <c r="E589" i="17"/>
  <c r="E546" i="17"/>
  <c r="E758" i="17"/>
  <c r="E971" i="17"/>
  <c r="E548" i="17"/>
  <c r="E497" i="17"/>
  <c r="E465" i="17"/>
  <c r="E620" i="17"/>
  <c r="E432" i="17"/>
  <c r="E367" i="17"/>
  <c r="E303" i="17"/>
  <c r="E239" i="17"/>
  <c r="E175" i="17"/>
  <c r="E459" i="17"/>
  <c r="E362" i="17"/>
  <c r="E298" i="17"/>
  <c r="E234" i="17"/>
  <c r="E636" i="17"/>
  <c r="E421" i="17"/>
  <c r="E349" i="17"/>
  <c r="E790" i="17"/>
  <c r="E435" i="17"/>
  <c r="E384" i="17"/>
  <c r="E320" i="17"/>
  <c r="E256" i="17"/>
  <c r="E192" i="17"/>
  <c r="E483" i="17"/>
  <c r="E408" i="17"/>
  <c r="E347" i="17"/>
  <c r="E814" i="17"/>
  <c r="E422" i="17"/>
  <c r="E350" i="17"/>
  <c r="E286" i="17"/>
  <c r="E222" i="17"/>
  <c r="E316" i="17"/>
  <c r="E499" i="17"/>
  <c r="E181" i="17"/>
  <c r="E245" i="17"/>
  <c r="E1867" i="17"/>
  <c r="E1914" i="17"/>
  <c r="E1833" i="17"/>
  <c r="E1732" i="17"/>
  <c r="E1725" i="17"/>
  <c r="E1540" i="17"/>
  <c r="E1662" i="17"/>
  <c r="E1432" i="17"/>
  <c r="E1318" i="17"/>
  <c r="E1313" i="17"/>
  <c r="E1634" i="17"/>
  <c r="E1097" i="17"/>
  <c r="E1156" i="17"/>
  <c r="E1465" i="17"/>
  <c r="E1143" i="17"/>
  <c r="E967" i="17"/>
  <c r="E1122" i="17"/>
  <c r="E1311" i="17"/>
  <c r="E1192" i="17"/>
  <c r="E1024" i="17"/>
  <c r="E1053" i="17"/>
  <c r="E834" i="17"/>
  <c r="E917" i="17"/>
  <c r="E749" i="17"/>
  <c r="E961" i="17"/>
  <c r="E808" i="17"/>
  <c r="E1085" i="17"/>
  <c r="E827" i="17"/>
  <c r="E974" i="17"/>
  <c r="E1139" i="17"/>
  <c r="E897" i="17"/>
  <c r="E769" i="17"/>
  <c r="E876" i="17"/>
  <c r="E743" i="17"/>
  <c r="E664" i="17"/>
  <c r="E536" i="17"/>
  <c r="E903" i="17"/>
  <c r="E646" i="17"/>
  <c r="E518" i="17"/>
  <c r="E760" i="17"/>
  <c r="E696" i="17"/>
  <c r="E569" i="17"/>
  <c r="E655" i="17"/>
  <c r="E591" i="17"/>
  <c r="E527" i="17"/>
  <c r="E463" i="17"/>
  <c r="E1014" i="17"/>
  <c r="E702" i="17"/>
  <c r="E828" i="17"/>
  <c r="E635" i="17"/>
  <c r="E571" i="17"/>
  <c r="E1038" i="17"/>
  <c r="E698" i="17"/>
  <c r="E682" i="17"/>
  <c r="E650" i="17"/>
  <c r="E618" i="17"/>
  <c r="E586" i="17"/>
  <c r="E530" i="17"/>
  <c r="E742" i="17"/>
  <c r="E962" i="17"/>
  <c r="E541" i="17"/>
  <c r="E493" i="17"/>
  <c r="E461" i="17"/>
  <c r="E517" i="17"/>
  <c r="E425" i="17"/>
  <c r="E359" i="17"/>
  <c r="E295" i="17"/>
  <c r="E231" i="17"/>
  <c r="E782" i="17"/>
  <c r="E430" i="17"/>
  <c r="E354" i="17"/>
  <c r="E290" i="17"/>
  <c r="E226" i="17"/>
  <c r="E498" i="17"/>
  <c r="E405" i="17"/>
  <c r="E341" i="17"/>
  <c r="E738" i="17"/>
  <c r="E428" i="17"/>
  <c r="E376" i="17"/>
  <c r="E312" i="17"/>
  <c r="E248" i="17"/>
  <c r="E184" i="17"/>
  <c r="E480" i="17"/>
  <c r="E403" i="17"/>
  <c r="E339" i="17"/>
  <c r="E660" i="17"/>
  <c r="E406" i="17"/>
  <c r="E342" i="17"/>
  <c r="E278" i="17"/>
  <c r="E214" i="17"/>
  <c r="E15" i="17"/>
  <c r="E47" i="17"/>
  <c r="E79" i="17"/>
  <c r="E111" i="17"/>
  <c r="E143" i="17"/>
  <c r="E329" i="17"/>
  <c r="E508" i="17"/>
  <c r="E20" i="17"/>
  <c r="E52" i="17"/>
  <c r="E84" i="17"/>
  <c r="E116" i="17"/>
  <c r="E148" i="17"/>
  <c r="E189" i="17"/>
  <c r="E253" i="17"/>
  <c r="E482" i="17"/>
  <c r="E332" i="17"/>
  <c r="E1958" i="17"/>
  <c r="E1848" i="17"/>
  <c r="E1775" i="17"/>
  <c r="E1790" i="17"/>
  <c r="E1805" i="17"/>
  <c r="E1674" i="17"/>
  <c r="E1573" i="17"/>
  <c r="E1666" i="17"/>
  <c r="E1547" i="17"/>
  <c r="E1370" i="17"/>
  <c r="E1345" i="17"/>
  <c r="E1057" i="17"/>
  <c r="E1140" i="17"/>
  <c r="E1247" i="17"/>
  <c r="E1119" i="17"/>
  <c r="E951" i="17"/>
  <c r="E1098" i="17"/>
  <c r="E1181" i="17"/>
  <c r="E1176" i="17"/>
  <c r="E1000" i="17"/>
  <c r="E989" i="17"/>
  <c r="E818" i="17"/>
  <c r="E893" i="17"/>
  <c r="E725" i="17"/>
  <c r="E953" i="17"/>
  <c r="E784" i="17"/>
  <c r="E1027" i="17"/>
  <c r="E811" i="17"/>
  <c r="E965" i="17"/>
  <c r="E1107" i="17"/>
  <c r="E881" i="17"/>
  <c r="E753" i="17"/>
  <c r="E862" i="17"/>
  <c r="E735" i="17"/>
  <c r="E648" i="17"/>
  <c r="E520" i="17"/>
  <c r="E870" i="17"/>
  <c r="E630" i="17"/>
  <c r="E502" i="17"/>
  <c r="E752" i="17"/>
  <c r="E681" i="17"/>
  <c r="E950" i="17"/>
  <c r="E647" i="17"/>
  <c r="E583" i="17"/>
  <c r="E519" i="17"/>
  <c r="E455" i="17"/>
  <c r="E860" i="17"/>
  <c r="E547" i="17"/>
  <c r="E692" i="17"/>
  <c r="E627" i="17"/>
  <c r="E563" i="17"/>
  <c r="E948" i="17"/>
  <c r="E987" i="17"/>
  <c r="E677" i="17"/>
  <c r="E645" i="17"/>
  <c r="E613" i="17"/>
  <c r="E581" i="17"/>
  <c r="E514" i="17"/>
  <c r="E726" i="17"/>
  <c r="E854" i="17"/>
  <c r="E532" i="17"/>
  <c r="E489" i="17"/>
  <c r="E457" i="17"/>
  <c r="E513" i="17"/>
  <c r="E416" i="17"/>
  <c r="E351" i="17"/>
  <c r="E287" i="17"/>
  <c r="E223" i="17"/>
  <c r="E628" i="17"/>
  <c r="E414" i="17"/>
  <c r="E346" i="17"/>
  <c r="E282" i="17"/>
  <c r="E218" i="17"/>
  <c r="E484" i="17"/>
  <c r="E397" i="17"/>
  <c r="E333" i="17"/>
  <c r="E706" i="17"/>
  <c r="E426" i="17"/>
  <c r="E368" i="17"/>
  <c r="E304" i="17"/>
  <c r="E240" i="17"/>
  <c r="E176" i="17"/>
  <c r="E468" i="17"/>
  <c r="E395" i="17"/>
  <c r="E331" i="17"/>
  <c r="E522" i="17"/>
  <c r="E398" i="17"/>
  <c r="E334" i="17"/>
  <c r="E270" i="17"/>
  <c r="E206" i="17"/>
  <c r="E604" i="17"/>
  <c r="E204" i="17"/>
  <c r="E1981" i="17"/>
  <c r="E1894" i="17"/>
  <c r="E1795" i="17"/>
  <c r="E1818" i="17"/>
  <c r="E1665" i="17"/>
  <c r="E1669" i="17"/>
  <c r="E1618" i="17"/>
  <c r="E1560" i="17"/>
  <c r="E1411" i="17"/>
  <c r="E1441" i="17"/>
  <c r="E1293" i="17"/>
  <c r="E1426" i="17"/>
  <c r="E1033" i="17"/>
  <c r="E1116" i="17"/>
  <c r="E1234" i="17"/>
  <c r="E1095" i="17"/>
  <c r="E1451" i="17"/>
  <c r="E1082" i="17"/>
  <c r="E1157" i="17"/>
  <c r="E1152" i="17"/>
  <c r="E984" i="17"/>
  <c r="E973" i="17"/>
  <c r="E794" i="17"/>
  <c r="E877" i="17"/>
  <c r="E701" i="17"/>
  <c r="E936" i="17"/>
  <c r="E1237" i="17"/>
  <c r="E949" i="17"/>
  <c r="E787" i="17"/>
  <c r="E934" i="17"/>
  <c r="E1093" i="17"/>
  <c r="E873" i="17"/>
  <c r="E745" i="17"/>
  <c r="E844" i="17"/>
  <c r="E731" i="17"/>
  <c r="E640" i="17"/>
  <c r="E512" i="17"/>
  <c r="E852" i="17"/>
  <c r="E622" i="17"/>
  <c r="E494" i="17"/>
  <c r="E748" i="17"/>
  <c r="E673" i="17"/>
  <c r="E895" i="17"/>
  <c r="E639" i="17"/>
  <c r="E575" i="17"/>
  <c r="E511" i="17"/>
  <c r="E447" i="17"/>
  <c r="E804" i="17"/>
  <c r="E531" i="17"/>
  <c r="E683" i="17"/>
  <c r="E619" i="17"/>
  <c r="E556" i="17"/>
  <c r="E935" i="17"/>
  <c r="E924" i="17"/>
  <c r="E674" i="17"/>
  <c r="E642" i="17"/>
  <c r="E610" i="17"/>
  <c r="E578" i="17"/>
  <c r="E1442" i="17"/>
  <c r="E710" i="17"/>
  <c r="E846" i="17"/>
  <c r="E525" i="17"/>
  <c r="E485" i="17"/>
  <c r="E453" i="17"/>
  <c r="E490" i="17"/>
  <c r="E409" i="17"/>
  <c r="E343" i="17"/>
  <c r="E279" i="17"/>
  <c r="E215" i="17"/>
  <c r="E554" i="17"/>
  <c r="E402" i="17"/>
  <c r="E338" i="17"/>
  <c r="E274" i="17"/>
  <c r="E210" i="17"/>
  <c r="E476" i="17"/>
  <c r="E389" i="17"/>
  <c r="E325" i="17"/>
  <c r="E644" i="17"/>
  <c r="E419" i="17"/>
  <c r="E360" i="17"/>
  <c r="E296" i="17"/>
  <c r="E232" i="17"/>
  <c r="E1005" i="17"/>
  <c r="E458" i="17"/>
  <c r="E387" i="17"/>
  <c r="E323" i="17"/>
  <c r="E500" i="17"/>
  <c r="E390" i="17"/>
  <c r="E326" i="17"/>
  <c r="E262" i="17"/>
  <c r="E198" i="17"/>
  <c r="E23" i="17"/>
  <c r="E55" i="17"/>
  <c r="E87" i="17"/>
  <c r="E119" i="17"/>
  <c r="E151" i="17"/>
  <c r="E911" i="17"/>
  <c r="E28" i="17"/>
  <c r="E60" i="17"/>
  <c r="E92" i="17"/>
  <c r="E124" i="17"/>
  <c r="E156" i="17"/>
  <c r="E205" i="17"/>
  <c r="E269" i="17"/>
  <c r="E1917" i="17"/>
  <c r="E1953" i="17"/>
  <c r="E1871" i="17"/>
  <c r="E1754" i="17"/>
  <c r="E1601" i="17"/>
  <c r="E1605" i="17"/>
  <c r="E1583" i="17"/>
  <c r="E1496" i="17"/>
  <c r="E1347" i="17"/>
  <c r="E1643" i="17"/>
  <c r="E1228" i="17"/>
  <c r="E1272" i="17"/>
  <c r="E1017" i="17"/>
  <c r="E1092" i="17"/>
  <c r="E1222" i="17"/>
  <c r="E1079" i="17"/>
  <c r="E1277" i="17"/>
  <c r="E1058" i="17"/>
  <c r="E1415" i="17"/>
  <c r="E1128" i="17"/>
  <c r="E960" i="17"/>
  <c r="E964" i="17"/>
  <c r="E1147" i="17"/>
  <c r="E853" i="17"/>
  <c r="E1353" i="17"/>
  <c r="E912" i="17"/>
  <c r="E1225" i="17"/>
  <c r="E939" i="17"/>
  <c r="E1267" i="17"/>
  <c r="E910" i="17"/>
  <c r="E1045" i="17"/>
  <c r="E849" i="17"/>
  <c r="E721" i="17"/>
  <c r="E812" i="17"/>
  <c r="E719" i="17"/>
  <c r="E616" i="17"/>
  <c r="E940" i="17"/>
  <c r="E820" i="17"/>
  <c r="E598" i="17"/>
  <c r="E470" i="17"/>
  <c r="E736" i="17"/>
  <c r="E649" i="17"/>
  <c r="E772" i="17"/>
  <c r="E631" i="17"/>
  <c r="E567" i="17"/>
  <c r="E503" i="17"/>
  <c r="E439" i="17"/>
  <c r="E774" i="17"/>
  <c r="E515" i="17"/>
  <c r="E675" i="17"/>
  <c r="E611" i="17"/>
  <c r="E549" i="17"/>
  <c r="E796" i="17"/>
  <c r="E900" i="17"/>
  <c r="E669" i="17"/>
  <c r="E637" i="17"/>
  <c r="E605" i="17"/>
  <c r="E573" i="17"/>
  <c r="E1142" i="17"/>
  <c r="E694" i="17"/>
  <c r="E799" i="17"/>
  <c r="E516" i="17"/>
  <c r="E481" i="17"/>
  <c r="E449" i="17"/>
  <c r="E474" i="17"/>
  <c r="E399" i="17"/>
  <c r="E335" i="17"/>
  <c r="E271" i="17"/>
  <c r="E207" i="17"/>
  <c r="E545" i="17"/>
  <c r="E394" i="17"/>
  <c r="E330" i="17"/>
  <c r="E266" i="17"/>
  <c r="E202" i="17"/>
  <c r="E466" i="17"/>
  <c r="E381" i="17"/>
  <c r="E317" i="17"/>
  <c r="E561" i="17"/>
  <c r="E412" i="17"/>
  <c r="E352" i="17"/>
  <c r="E288" i="17"/>
  <c r="E224" i="17"/>
  <c r="E954" i="17"/>
  <c r="E448" i="17"/>
  <c r="E379" i="17"/>
  <c r="E268" i="17"/>
  <c r="E2000" i="17"/>
  <c r="E1889" i="17"/>
  <c r="E1864" i="17"/>
  <c r="E1881" i="17"/>
  <c r="E1684" i="17"/>
  <c r="E1656" i="17"/>
  <c r="E1519" i="17"/>
  <c r="E1650" i="17"/>
  <c r="E1627" i="17"/>
  <c r="E1491" i="17"/>
  <c r="E1362" i="17"/>
  <c r="E1208" i="17"/>
  <c r="E1659" i="17"/>
  <c r="E1076" i="17"/>
  <c r="E1210" i="17"/>
  <c r="E1055" i="17"/>
  <c r="E1251" i="17"/>
  <c r="E1034" i="17"/>
  <c r="E1253" i="17"/>
  <c r="E1112" i="17"/>
  <c r="E1322" i="17"/>
  <c r="E922" i="17"/>
  <c r="E1123" i="17"/>
  <c r="E829" i="17"/>
  <c r="E1174" i="17"/>
  <c r="E896" i="17"/>
  <c r="E1213" i="17"/>
  <c r="E915" i="17"/>
  <c r="E1134" i="17"/>
  <c r="E894" i="17"/>
  <c r="E997" i="17"/>
  <c r="E833" i="17"/>
  <c r="E705" i="17"/>
  <c r="E798" i="17"/>
  <c r="E711" i="17"/>
  <c r="E600" i="17"/>
  <c r="E916" i="17"/>
  <c r="E806" i="17"/>
  <c r="E582" i="17"/>
  <c r="E454" i="17"/>
  <c r="E728" i="17"/>
  <c r="E633" i="17"/>
  <c r="E770" i="17"/>
  <c r="E623" i="17"/>
  <c r="E559" i="17"/>
  <c r="E495" i="17"/>
  <c r="E431" i="17"/>
  <c r="E766" i="17"/>
  <c r="E1246" i="17"/>
  <c r="E667" i="17"/>
  <c r="E603" i="17"/>
  <c r="E540" i="17"/>
  <c r="E762" i="17"/>
  <c r="E863" i="17"/>
  <c r="E666" i="17"/>
  <c r="E634" i="17"/>
  <c r="E602" i="17"/>
  <c r="E570" i="17"/>
  <c r="E908" i="17"/>
  <c r="E555" i="17"/>
  <c r="E791" i="17"/>
  <c r="E509" i="17"/>
  <c r="E477" i="17"/>
  <c r="E445" i="17"/>
  <c r="E464" i="17"/>
  <c r="E391" i="17"/>
  <c r="E327" i="17"/>
  <c r="E263" i="17"/>
  <c r="E199" i="17"/>
  <c r="E537" i="17"/>
  <c r="E386" i="17"/>
  <c r="E322" i="17"/>
  <c r="E258" i="17"/>
  <c r="E194" i="17"/>
  <c r="E456" i="17"/>
  <c r="E373" i="17"/>
  <c r="E309" i="17"/>
  <c r="E553" i="17"/>
  <c r="E410" i="17"/>
  <c r="E344" i="17"/>
  <c r="E280" i="17"/>
  <c r="E216" i="17"/>
  <c r="E775" i="17"/>
  <c r="E433" i="17"/>
  <c r="E371" i="17"/>
  <c r="E307" i="17"/>
  <c r="E488" i="17"/>
  <c r="E374" i="17"/>
  <c r="E310" i="17"/>
  <c r="E161" i="17"/>
  <c r="E261" i="17"/>
  <c r="E164" i="17"/>
  <c r="E76" i="17"/>
  <c r="E36" i="17"/>
  <c r="E182" i="17"/>
  <c r="E195" i="17"/>
  <c r="E822" i="17"/>
  <c r="E380" i="17"/>
  <c r="E155" i="17"/>
  <c r="E123" i="17"/>
  <c r="E91" i="17"/>
  <c r="E59" i="17"/>
  <c r="E27" i="17"/>
  <c r="E596" i="17"/>
  <c r="E324" i="17"/>
  <c r="E251" i="17"/>
  <c r="E187" i="17"/>
  <c r="E150" i="17"/>
  <c r="E118" i="17"/>
  <c r="E86" i="17"/>
  <c r="E54" i="17"/>
  <c r="E22" i="17"/>
  <c r="E754" i="17"/>
  <c r="E385" i="17"/>
  <c r="E580" i="17"/>
  <c r="E348" i="17"/>
  <c r="E237" i="17"/>
  <c r="E434" i="17"/>
  <c r="E95" i="17"/>
  <c r="E190" i="17"/>
  <c r="E275" i="17"/>
  <c r="E137" i="17"/>
  <c r="E369" i="17"/>
  <c r="E313" i="17"/>
  <c r="E243" i="17"/>
  <c r="E179" i="17"/>
  <c r="E153" i="17"/>
  <c r="E121" i="17"/>
  <c r="E89" i="17"/>
  <c r="E229" i="17"/>
  <c r="E108" i="17"/>
  <c r="E68" i="17"/>
  <c r="E420" i="17"/>
  <c r="E246" i="17"/>
  <c r="E211" i="17"/>
  <c r="E676" i="17"/>
  <c r="E97" i="17"/>
  <c r="E572" i="17"/>
  <c r="E147" i="17"/>
  <c r="E115" i="17"/>
  <c r="E83" i="17"/>
  <c r="E51" i="17"/>
  <c r="E19" i="17"/>
  <c r="E496" i="17"/>
  <c r="E235" i="17"/>
  <c r="E174" i="17"/>
  <c r="E142" i="17"/>
  <c r="E110" i="17"/>
  <c r="E78" i="17"/>
  <c r="E46" i="17"/>
  <c r="E14" i="17"/>
  <c r="E529" i="17"/>
  <c r="E337" i="17"/>
  <c r="E221" i="17"/>
  <c r="E401" i="17"/>
  <c r="E31" i="17"/>
  <c r="E254" i="17"/>
  <c r="E259" i="17"/>
  <c r="E467" i="17"/>
  <c r="E345" i="17"/>
  <c r="E300" i="17"/>
  <c r="E227" i="17"/>
  <c r="E113" i="17"/>
  <c r="E213" i="17"/>
  <c r="E140" i="17"/>
  <c r="E100" i="17"/>
  <c r="E12" i="17"/>
  <c r="E127" i="17"/>
  <c r="E318" i="17"/>
  <c r="E169" i="17"/>
  <c r="E396" i="17"/>
  <c r="E129" i="17"/>
  <c r="E145" i="17"/>
  <c r="E436" i="17"/>
  <c r="E171" i="17"/>
  <c r="E139" i="17"/>
  <c r="E107" i="17"/>
  <c r="E75" i="17"/>
  <c r="E43" i="17"/>
  <c r="E11" i="17"/>
  <c r="E283" i="17"/>
  <c r="E219" i="17"/>
  <c r="E166" i="17"/>
  <c r="E134" i="17"/>
  <c r="E102" i="17"/>
  <c r="E70" i="17"/>
  <c r="E38" i="17"/>
  <c r="E6" i="17"/>
  <c r="E450" i="17"/>
  <c r="E197" i="17"/>
  <c r="E382" i="17"/>
  <c r="E372" i="17"/>
  <c r="E285" i="17"/>
  <c r="E172" i="17"/>
  <c r="E132" i="17"/>
  <c r="E44" i="17"/>
  <c r="E4" i="17"/>
  <c r="E305" i="17"/>
  <c r="E63" i="17"/>
  <c r="E491" i="17"/>
  <c r="E411" i="17"/>
  <c r="E163" i="17"/>
  <c r="E131" i="17"/>
  <c r="E99" i="17"/>
  <c r="E67" i="17"/>
  <c r="E35" i="17"/>
  <c r="E3" i="17"/>
  <c r="E267" i="17"/>
  <c r="E203" i="17"/>
  <c r="E158" i="17"/>
  <c r="E126" i="17"/>
  <c r="E94" i="17"/>
  <c r="E62" i="17"/>
  <c r="E30" i="17"/>
  <c r="E1155" i="17"/>
  <c r="E413" i="17"/>
  <c r="E722" i="17"/>
  <c r="E361" i="17"/>
  <c r="E277" i="17"/>
  <c r="E919" i="17"/>
  <c r="E159" i="17"/>
  <c r="E315" i="17"/>
  <c r="E121" i="16"/>
  <c r="E1041" i="16"/>
  <c r="E113" i="16"/>
  <c r="E267" i="16"/>
  <c r="E523" i="16"/>
  <c r="E137" i="16"/>
  <c r="E247" i="16"/>
  <c r="E215" i="16"/>
  <c r="E190" i="16"/>
  <c r="E174" i="16"/>
  <c r="E158" i="16"/>
  <c r="E142" i="16"/>
  <c r="E108" i="16"/>
  <c r="E76" i="16"/>
  <c r="E44" i="16"/>
  <c r="E12" i="16"/>
  <c r="E119" i="16"/>
  <c r="E87" i="16"/>
  <c r="E55" i="16"/>
  <c r="E23" i="16"/>
  <c r="E160" i="16"/>
  <c r="E224" i="16"/>
  <c r="E288" i="16"/>
  <c r="E352" i="16"/>
  <c r="E401" i="16"/>
  <c r="E440" i="16"/>
  <c r="E285" i="16"/>
  <c r="E349" i="16"/>
  <c r="E462" i="16"/>
  <c r="E518" i="16"/>
  <c r="E242" i="16"/>
  <c r="E306" i="16"/>
  <c r="E370" i="16"/>
  <c r="E279" i="16"/>
  <c r="E343" i="16"/>
  <c r="E407" i="16"/>
  <c r="E450" i="16"/>
  <c r="E1031" i="16"/>
  <c r="E196" i="16"/>
  <c r="E260" i="16"/>
  <c r="E324" i="16"/>
  <c r="E384" i="16"/>
  <c r="E463" i="16"/>
  <c r="E313" i="16"/>
  <c r="E379" i="16"/>
  <c r="E502" i="16"/>
  <c r="E254" i="16"/>
  <c r="E318" i="16"/>
  <c r="E388" i="16"/>
  <c r="E558" i="16"/>
  <c r="E591" i="16"/>
  <c r="E623" i="16"/>
  <c r="E655" i="16"/>
  <c r="E389" i="16"/>
  <c r="E453" i="16"/>
  <c r="E517" i="16"/>
  <c r="E679" i="16"/>
  <c r="E514" i="16"/>
  <c r="E578" i="16"/>
  <c r="E511" i="16"/>
  <c r="E575" i="16"/>
  <c r="E748" i="16"/>
  <c r="E812" i="16"/>
  <c r="E452" i="16"/>
  <c r="E516" i="16"/>
  <c r="E580" i="16"/>
  <c r="E610" i="16"/>
  <c r="E642" i="16"/>
  <c r="E683" i="16"/>
  <c r="E473" i="16"/>
  <c r="E537" i="16"/>
  <c r="E592" i="16"/>
  <c r="E624" i="16"/>
  <c r="E656" i="16"/>
  <c r="E617" i="16"/>
  <c r="E681" i="16"/>
  <c r="E745" i="16"/>
  <c r="E833" i="16"/>
  <c r="E1072" i="16"/>
  <c r="E758" i="16"/>
  <c r="E846" i="16"/>
  <c r="E890" i="16"/>
  <c r="E731" i="16"/>
  <c r="E819" i="16"/>
  <c r="E672" i="16"/>
  <c r="E760" i="16"/>
  <c r="E848" i="16"/>
  <c r="E613" i="16"/>
  <c r="E701" i="16"/>
  <c r="E789" i="16"/>
  <c r="E869" i="16"/>
  <c r="E714" i="16"/>
  <c r="E802" i="16"/>
  <c r="E867" i="16"/>
  <c r="E711" i="16"/>
  <c r="E799" i="16"/>
  <c r="E864" i="16"/>
  <c r="E985" i="16"/>
  <c r="E914" i="16"/>
  <c r="E863" i="16"/>
  <c r="E992" i="16"/>
  <c r="E953" i="16"/>
  <c r="E923" i="16"/>
  <c r="E105" i="16"/>
  <c r="E430" i="16"/>
  <c r="E139" i="16"/>
  <c r="E107" i="16"/>
  <c r="E75" i="16"/>
  <c r="E43" i="16"/>
  <c r="E11" i="16"/>
  <c r="E261" i="16"/>
  <c r="E229" i="16"/>
  <c r="E134" i="16"/>
  <c r="E102" i="16"/>
  <c r="E70" i="16"/>
  <c r="E38" i="16"/>
  <c r="E6" i="16"/>
  <c r="E363" i="16"/>
  <c r="E307" i="16"/>
  <c r="E168" i="16"/>
  <c r="E232" i="16"/>
  <c r="E296" i="16"/>
  <c r="E360" i="16"/>
  <c r="E408" i="16"/>
  <c r="E454" i="16"/>
  <c r="E293" i="16"/>
  <c r="E357" i="16"/>
  <c r="E467" i="16"/>
  <c r="E547" i="16"/>
  <c r="E250" i="16"/>
  <c r="E314" i="16"/>
  <c r="E380" i="16"/>
  <c r="E287" i="16"/>
  <c r="E351" i="16"/>
  <c r="E414" i="16"/>
  <c r="E455" i="16"/>
  <c r="E140" i="16"/>
  <c r="E204" i="16"/>
  <c r="E268" i="16"/>
  <c r="E332" i="16"/>
  <c r="E386" i="16"/>
  <c r="E555" i="16"/>
  <c r="E321" i="16"/>
  <c r="E395" i="16"/>
  <c r="E528" i="16"/>
  <c r="E262" i="16"/>
  <c r="E326" i="16"/>
  <c r="E404" i="16"/>
  <c r="E566" i="16"/>
  <c r="E595" i="16"/>
  <c r="E627" i="16"/>
  <c r="E659" i="16"/>
  <c r="E397" i="16"/>
  <c r="E461" i="16"/>
  <c r="E525" i="16"/>
  <c r="E458" i="16"/>
  <c r="E522" i="16"/>
  <c r="E674" i="16"/>
  <c r="E519" i="16"/>
  <c r="E692" i="16"/>
  <c r="E756" i="16"/>
  <c r="E820" i="16"/>
  <c r="E460" i="16"/>
  <c r="E524" i="16"/>
  <c r="E582" i="16"/>
  <c r="E614" i="16"/>
  <c r="E646" i="16"/>
  <c r="E941" i="16"/>
  <c r="E481" i="16"/>
  <c r="E545" i="16"/>
  <c r="E596" i="16"/>
  <c r="E628" i="16"/>
  <c r="E660" i="16"/>
  <c r="E625" i="16"/>
  <c r="E689" i="16"/>
  <c r="E753" i="16"/>
  <c r="E841" i="16"/>
  <c r="E686" i="16"/>
  <c r="E766" i="16"/>
  <c r="E854" i="16"/>
  <c r="E917" i="16"/>
  <c r="E739" i="16"/>
  <c r="E827" i="16"/>
  <c r="E688" i="16"/>
  <c r="E768" i="16"/>
  <c r="E897" i="16"/>
  <c r="E629" i="16"/>
  <c r="E709" i="16"/>
  <c r="E797" i="16"/>
  <c r="E885" i="16"/>
  <c r="E722" i="16"/>
  <c r="E810" i="16"/>
  <c r="E875" i="16"/>
  <c r="E719" i="16"/>
  <c r="E807" i="16"/>
  <c r="E880" i="16"/>
  <c r="E993" i="16"/>
  <c r="E930" i="16"/>
  <c r="E879" i="16"/>
  <c r="E1008" i="16"/>
  <c r="E1023" i="16"/>
  <c r="E955" i="16"/>
  <c r="E526" i="16"/>
  <c r="E239" i="16"/>
  <c r="E207" i="16"/>
  <c r="E186" i="16"/>
  <c r="E170" i="16"/>
  <c r="E154" i="16"/>
  <c r="E132" i="16"/>
  <c r="E100" i="16"/>
  <c r="E68" i="16"/>
  <c r="E36" i="16"/>
  <c r="E4" i="16"/>
  <c r="E111" i="16"/>
  <c r="E79" i="16"/>
  <c r="E47" i="16"/>
  <c r="E15" i="16"/>
  <c r="E176" i="16"/>
  <c r="E240" i="16"/>
  <c r="E304" i="16"/>
  <c r="E368" i="16"/>
  <c r="E410" i="16"/>
  <c r="E459" i="16"/>
  <c r="E301" i="16"/>
  <c r="E365" i="16"/>
  <c r="E472" i="16"/>
  <c r="E560" i="16"/>
  <c r="E258" i="16"/>
  <c r="E322" i="16"/>
  <c r="E396" i="16"/>
  <c r="E295" i="16"/>
  <c r="E359" i="16"/>
  <c r="E423" i="16"/>
  <c r="E478" i="16"/>
  <c r="E148" i="16"/>
  <c r="E212" i="16"/>
  <c r="E276" i="16"/>
  <c r="E340" i="16"/>
  <c r="E393" i="16"/>
  <c r="E265" i="16"/>
  <c r="E329" i="16"/>
  <c r="E411" i="16"/>
  <c r="E206" i="16"/>
  <c r="E270" i="16"/>
  <c r="E334" i="16"/>
  <c r="E420" i="16"/>
  <c r="E574" i="16"/>
  <c r="E599" i="16"/>
  <c r="E631" i="16"/>
  <c r="E663" i="16"/>
  <c r="E405" i="16"/>
  <c r="E469" i="16"/>
  <c r="E533" i="16"/>
  <c r="E466" i="16"/>
  <c r="E530" i="16"/>
  <c r="E676" i="16"/>
  <c r="E527" i="16"/>
  <c r="E700" i="16"/>
  <c r="E764" i="16"/>
  <c r="E828" i="16"/>
  <c r="E468" i="16"/>
  <c r="E532" i="16"/>
  <c r="E586" i="16"/>
  <c r="E618" i="16"/>
  <c r="E650" i="16"/>
  <c r="E425" i="16"/>
  <c r="E489" i="16"/>
  <c r="E553" i="16"/>
  <c r="E600" i="16"/>
  <c r="E632" i="16"/>
  <c r="E664" i="16"/>
  <c r="E633" i="16"/>
  <c r="E697" i="16"/>
  <c r="E769" i="16"/>
  <c r="E849" i="16"/>
  <c r="E694" i="16"/>
  <c r="E782" i="16"/>
  <c r="E858" i="16"/>
  <c r="E933" i="16"/>
  <c r="E755" i="16"/>
  <c r="E835" i="16"/>
  <c r="E696" i="16"/>
  <c r="E784" i="16"/>
  <c r="E900" i="16"/>
  <c r="E637" i="16"/>
  <c r="E725" i="16"/>
  <c r="E805" i="16"/>
  <c r="E893" i="16"/>
  <c r="E738" i="16"/>
  <c r="E818" i="16"/>
  <c r="E881" i="16"/>
  <c r="E735" i="16"/>
  <c r="E815" i="16"/>
  <c r="E896" i="16"/>
  <c r="E1001" i="16"/>
  <c r="E946" i="16"/>
  <c r="E895" i="16"/>
  <c r="E1027" i="16"/>
  <c r="E3" i="16"/>
  <c r="E406" i="16"/>
  <c r="E195" i="16"/>
  <c r="E179" i="16"/>
  <c r="E171" i="16"/>
  <c r="E143" i="16"/>
  <c r="E85" i="16"/>
  <c r="E45" i="16"/>
  <c r="E21" i="16"/>
  <c r="E199" i="16"/>
  <c r="E163" i="16"/>
  <c r="E117" i="16"/>
  <c r="E93" i="16"/>
  <c r="E77" i="16"/>
  <c r="E97" i="16"/>
  <c r="E89" i="16"/>
  <c r="E81" i="16"/>
  <c r="E73" i="16"/>
  <c r="E65" i="16"/>
  <c r="E57" i="16"/>
  <c r="E49" i="16"/>
  <c r="E41" i="16"/>
  <c r="E33" i="16"/>
  <c r="E25" i="16"/>
  <c r="E17" i="16"/>
  <c r="E9" i="16"/>
  <c r="E125" i="16"/>
  <c r="E29" i="16"/>
  <c r="E13" i="16"/>
  <c r="E109" i="16"/>
  <c r="E422" i="16"/>
  <c r="E323" i="16"/>
  <c r="E183" i="16"/>
  <c r="E167" i="16"/>
  <c r="E151" i="16"/>
  <c r="E69" i="16"/>
  <c r="E61" i="16"/>
  <c r="E138" i="16"/>
  <c r="E130" i="16"/>
  <c r="E122" i="16"/>
  <c r="E114" i="16"/>
  <c r="E106" i="16"/>
  <c r="E98" i="16"/>
  <c r="E90" i="16"/>
  <c r="E82" i="16"/>
  <c r="E74" i="16"/>
  <c r="E66" i="16"/>
  <c r="E58" i="16"/>
  <c r="E50" i="16"/>
  <c r="E42" i="16"/>
  <c r="E34" i="16"/>
  <c r="E26" i="16"/>
  <c r="E18" i="16"/>
  <c r="E10" i="16"/>
  <c r="E191" i="16"/>
  <c r="E175" i="16"/>
  <c r="E155" i="16"/>
  <c r="E133" i="16"/>
  <c r="E101" i="16"/>
  <c r="E53" i="16"/>
  <c r="E390" i="16"/>
  <c r="E187" i="16"/>
  <c r="E159" i="16"/>
  <c r="E147" i="16"/>
  <c r="E37" i="16"/>
  <c r="E5" i="16"/>
  <c r="E520" i="16"/>
  <c r="E16" i="16"/>
  <c r="E48" i="16"/>
  <c r="E80" i="16"/>
  <c r="E112" i="16"/>
  <c r="E211" i="16"/>
  <c r="E243" i="16"/>
  <c r="E1989" i="16"/>
  <c r="E1925" i="16"/>
  <c r="E1976" i="16"/>
  <c r="E1912" i="16"/>
  <c r="E1963" i="16"/>
  <c r="E1899" i="16"/>
  <c r="E1942" i="16"/>
  <c r="E1878" i="16"/>
  <c r="E1977" i="16"/>
  <c r="E1913" i="16"/>
  <c r="E1964" i="16"/>
  <c r="E1900" i="16"/>
  <c r="E1938" i="16"/>
  <c r="E1874" i="16"/>
  <c r="E1951" i="16"/>
  <c r="E1861" i="16"/>
  <c r="E1823" i="16"/>
  <c r="E1871" i="16"/>
  <c r="E1839" i="16"/>
  <c r="E1786" i="16"/>
  <c r="E1887" i="16"/>
  <c r="E1773" i="16"/>
  <c r="E1803" i="16"/>
  <c r="E1872" i="16"/>
  <c r="E1840" i="16"/>
  <c r="E1790" i="16"/>
  <c r="E1820" i="16"/>
  <c r="E1675" i="16"/>
  <c r="E1760" i="16"/>
  <c r="E1726" i="16"/>
  <c r="E1721" i="16"/>
  <c r="E1768" i="16"/>
  <c r="E1804" i="16"/>
  <c r="E1737" i="16"/>
  <c r="E1671" i="16"/>
  <c r="E1801" i="16"/>
  <c r="E1751" i="16"/>
  <c r="E1706" i="16"/>
  <c r="E1783" i="16"/>
  <c r="E1696" i="16"/>
  <c r="E1632" i="16"/>
  <c r="E1634" i="16"/>
  <c r="E1571" i="16"/>
  <c r="E1677" i="16"/>
  <c r="E1614" i="16"/>
  <c r="E1693" i="16"/>
  <c r="E1569" i="16"/>
  <c r="E1620" i="16"/>
  <c r="E1556" i="16"/>
  <c r="E1681" i="16"/>
  <c r="E1649" i="16"/>
  <c r="E1607" i="16"/>
  <c r="E1543" i="16"/>
  <c r="E1661" i="16"/>
  <c r="E1594" i="16"/>
  <c r="E1605" i="16"/>
  <c r="E1541" i="16"/>
  <c r="E1520" i="16"/>
  <c r="E1788" i="16"/>
  <c r="E1512" i="16"/>
  <c r="E1459" i="16"/>
  <c r="E1529" i="16"/>
  <c r="E1454" i="16"/>
  <c r="E1473" i="16"/>
  <c r="E1576" i="16"/>
  <c r="E1492" i="16"/>
  <c r="E1428" i="16"/>
  <c r="E1364" i="16"/>
  <c r="E1490" i="16"/>
  <c r="E1493" i="16"/>
  <c r="E1429" i="16"/>
  <c r="E1365" i="16"/>
  <c r="E1395" i="16"/>
  <c r="E1363" i="16"/>
  <c r="E1299" i="16"/>
  <c r="E1385" i="16"/>
  <c r="E1318" i="16"/>
  <c r="E1337" i="16"/>
  <c r="E1273" i="16"/>
  <c r="E1332" i="16"/>
  <c r="E1268" i="16"/>
  <c r="E1408" i="16"/>
  <c r="E1376" i="16"/>
  <c r="E1327" i="16"/>
  <c r="E1439" i="16"/>
  <c r="E1370" i="16"/>
  <c r="E1306" i="16"/>
  <c r="E1357" i="16"/>
  <c r="E1293" i="16"/>
  <c r="E1229" i="16"/>
  <c r="E1204" i="16"/>
  <c r="E1140" i="16"/>
  <c r="E1076" i="16"/>
  <c r="E1328" i="16"/>
  <c r="E1235" i="16"/>
  <c r="E1167" i="16"/>
  <c r="E1103" i="16"/>
  <c r="E1249" i="16"/>
  <c r="E1194" i="16"/>
  <c r="E1130" i="16"/>
  <c r="E1066" i="16"/>
  <c r="E1002" i="16"/>
  <c r="E1238" i="16"/>
  <c r="E1173" i="16"/>
  <c r="E1109" i="16"/>
  <c r="E1045" i="16"/>
  <c r="E1252" i="16"/>
  <c r="E1176" i="16"/>
  <c r="E1112" i="16"/>
  <c r="E1219" i="16"/>
  <c r="E1155" i="16"/>
  <c r="E1091" i="16"/>
  <c r="E1232" i="16"/>
  <c r="E1166" i="16"/>
  <c r="E1102" i="16"/>
  <c r="E1038" i="16"/>
  <c r="E1201" i="16"/>
  <c r="E1015" i="16"/>
  <c r="E983" i="16"/>
  <c r="E145" i="16"/>
  <c r="E161" i="16"/>
  <c r="E177" i="16"/>
  <c r="E193" i="16"/>
  <c r="E426" i="16"/>
  <c r="E209" i="16"/>
  <c r="E241" i="16"/>
  <c r="E383" i="16"/>
  <c r="E1981" i="16"/>
  <c r="E1917" i="16"/>
  <c r="E1968" i="16"/>
  <c r="E1904" i="16"/>
  <c r="E1955" i="16"/>
  <c r="E1998" i="16"/>
  <c r="E1934" i="16"/>
  <c r="E1870" i="16"/>
  <c r="E1969" i="16"/>
  <c r="E1905" i="16"/>
  <c r="E1956" i="16"/>
  <c r="E1994" i="16"/>
  <c r="E1930" i="16"/>
  <c r="E1866" i="16"/>
  <c r="E1891" i="16"/>
  <c r="E1857" i="16"/>
  <c r="E1815" i="16"/>
  <c r="E1867" i="16"/>
  <c r="E1835" i="16"/>
  <c r="E1778" i="16"/>
  <c r="E1829" i="16"/>
  <c r="E1765" i="16"/>
  <c r="E1795" i="16"/>
  <c r="E1868" i="16"/>
  <c r="E1836" i="16"/>
  <c r="E1782" i="16"/>
  <c r="E1731" i="16"/>
  <c r="E1667" i="16"/>
  <c r="E1756" i="16"/>
  <c r="E1718" i="16"/>
  <c r="E1713" i="16"/>
  <c r="E1732" i="16"/>
  <c r="E1799" i="16"/>
  <c r="E1727" i="16"/>
  <c r="E1663" i="16"/>
  <c r="E1796" i="16"/>
  <c r="E1747" i="16"/>
  <c r="E1698" i="16"/>
  <c r="E1776" i="16"/>
  <c r="E1688" i="16"/>
  <c r="E1662" i="16"/>
  <c r="E1627" i="16"/>
  <c r="E1563" i="16"/>
  <c r="E1669" i="16"/>
  <c r="E1606" i="16"/>
  <c r="E1625" i="16"/>
  <c r="E1561" i="16"/>
  <c r="E1612" i="16"/>
  <c r="E1548" i="16"/>
  <c r="E1676" i="16"/>
  <c r="E1643" i="16"/>
  <c r="E1599" i="16"/>
  <c r="E1535" i="16"/>
  <c r="E1653" i="16"/>
  <c r="E1586" i="16"/>
  <c r="E1597" i="16"/>
  <c r="E1533" i="16"/>
  <c r="E1518" i="16"/>
  <c r="E1616" i="16"/>
  <c r="E1505" i="16"/>
  <c r="E1451" i="16"/>
  <c r="E1510" i="16"/>
  <c r="E1446" i="16"/>
  <c r="E1465" i="16"/>
  <c r="E1552" i="16"/>
  <c r="E1484" i="16"/>
  <c r="E1420" i="16"/>
  <c r="E1592" i="16"/>
  <c r="E1482" i="16"/>
  <c r="E1485" i="16"/>
  <c r="E1421" i="16"/>
  <c r="E1506" i="16"/>
  <c r="E1391" i="16"/>
  <c r="E1355" i="16"/>
  <c r="E1291" i="16"/>
  <c r="E1377" i="16"/>
  <c r="E1310" i="16"/>
  <c r="E1329" i="16"/>
  <c r="E1265" i="16"/>
  <c r="E1324" i="16"/>
  <c r="E1260" i="16"/>
  <c r="E1406" i="16"/>
  <c r="E1374" i="16"/>
  <c r="E1319" i="16"/>
  <c r="E1431" i="16"/>
  <c r="E1362" i="16"/>
  <c r="E1298" i="16"/>
  <c r="E1349" i="16"/>
  <c r="E1285" i="16"/>
  <c r="E1447" i="16"/>
  <c r="E1196" i="16"/>
  <c r="E1132" i="16"/>
  <c r="E1068" i="16"/>
  <c r="E1320" i="16"/>
  <c r="E1223" i="16"/>
  <c r="E1159" i="16"/>
  <c r="E1095" i="16"/>
  <c r="E1242" i="16"/>
  <c r="E1186" i="16"/>
  <c r="E1122" i="16"/>
  <c r="E1058" i="16"/>
  <c r="E994" i="16"/>
  <c r="E1231" i="16"/>
  <c r="E1165" i="16"/>
  <c r="E1101" i="16"/>
  <c r="E1037" i="16"/>
  <c r="E1236" i="16"/>
  <c r="E1168" i="16"/>
  <c r="E1104" i="16"/>
  <c r="E1211" i="16"/>
  <c r="E1147" i="16"/>
  <c r="E1083" i="16"/>
  <c r="E1222" i="16"/>
  <c r="E1158" i="16"/>
  <c r="E1094" i="16"/>
  <c r="E1030" i="16"/>
  <c r="E1137" i="16"/>
  <c r="E1011" i="16"/>
  <c r="E979" i="16"/>
  <c r="E915" i="16"/>
  <c r="E974" i="16"/>
  <c r="E1471" i="16"/>
  <c r="E1039" i="16"/>
  <c r="E945" i="16"/>
  <c r="E1057" i="16"/>
  <c r="E916" i="16"/>
  <c r="E1020" i="16"/>
  <c r="E988" i="16"/>
  <c r="E935" i="16"/>
  <c r="E871" i="16"/>
  <c r="E1059" i="16"/>
  <c r="E922" i="16"/>
  <c r="E1081" i="16"/>
  <c r="E989" i="16"/>
  <c r="E936" i="16"/>
  <c r="E872" i="16"/>
  <c r="E24" i="16"/>
  <c r="E56" i="16"/>
  <c r="E88" i="16"/>
  <c r="E120" i="16"/>
  <c r="E219" i="16"/>
  <c r="E251" i="16"/>
  <c r="E399" i="16"/>
  <c r="E1973" i="16"/>
  <c r="E1909" i="16"/>
  <c r="E1960" i="16"/>
  <c r="E1896" i="16"/>
  <c r="E1947" i="16"/>
  <c r="E1990" i="16"/>
  <c r="E1926" i="16"/>
  <c r="E1862" i="16"/>
  <c r="E1961" i="16"/>
  <c r="E1897" i="16"/>
  <c r="E1948" i="16"/>
  <c r="E1986" i="16"/>
  <c r="E1922" i="16"/>
  <c r="E1858" i="16"/>
  <c r="E1885" i="16"/>
  <c r="E1853" i="16"/>
  <c r="E1807" i="16"/>
  <c r="E1863" i="16"/>
  <c r="E1831" i="16"/>
  <c r="E1770" i="16"/>
  <c r="E1821" i="16"/>
  <c r="E1959" i="16"/>
  <c r="E1787" i="16"/>
  <c r="E1864" i="16"/>
  <c r="E1832" i="16"/>
  <c r="E1774" i="16"/>
  <c r="E1723" i="16"/>
  <c r="E1825" i="16"/>
  <c r="E1752" i="16"/>
  <c r="E1710" i="16"/>
  <c r="E1705" i="16"/>
  <c r="E1724" i="16"/>
  <c r="E1761" i="16"/>
  <c r="E1719" i="16"/>
  <c r="E1655" i="16"/>
  <c r="E1791" i="16"/>
  <c r="E1743" i="16"/>
  <c r="E1690" i="16"/>
  <c r="E1769" i="16"/>
  <c r="E1680" i="16"/>
  <c r="E1658" i="16"/>
  <c r="E1619" i="16"/>
  <c r="E1555" i="16"/>
  <c r="E1660" i="16"/>
  <c r="E1598" i="16"/>
  <c r="E1617" i="16"/>
  <c r="E1553" i="16"/>
  <c r="E1604" i="16"/>
  <c r="E1540" i="16"/>
  <c r="E1673" i="16"/>
  <c r="E1641" i="16"/>
  <c r="E1591" i="16"/>
  <c r="E1527" i="16"/>
  <c r="E1645" i="16"/>
  <c r="E1578" i="16"/>
  <c r="E1589" i="16"/>
  <c r="E1525" i="16"/>
  <c r="E1507" i="16"/>
  <c r="E1550" i="16"/>
  <c r="E1498" i="16"/>
  <c r="E1443" i="16"/>
  <c r="E1503" i="16"/>
  <c r="E1438" i="16"/>
  <c r="E1457" i="16"/>
  <c r="E1546" i="16"/>
  <c r="E1476" i="16"/>
  <c r="E1412" i="16"/>
  <c r="E1542" i="16"/>
  <c r="E1474" i="16"/>
  <c r="E1477" i="16"/>
  <c r="E1413" i="16"/>
  <c r="E1430" i="16"/>
  <c r="E1387" i="16"/>
  <c r="E1347" i="16"/>
  <c r="E1283" i="16"/>
  <c r="E1369" i="16"/>
  <c r="E1521" i="16"/>
  <c r="E1321" i="16"/>
  <c r="E1513" i="16"/>
  <c r="E1316" i="16"/>
  <c r="E1812" i="16"/>
  <c r="E1400" i="16"/>
  <c r="E1368" i="16"/>
  <c r="E1311" i="16"/>
  <c r="E1426" i="16"/>
  <c r="E1354" i="16"/>
  <c r="E1290" i="16"/>
  <c r="E1341" i="16"/>
  <c r="E1277" i="16"/>
  <c r="E1294" i="16"/>
  <c r="E1188" i="16"/>
  <c r="E1124" i="16"/>
  <c r="E1060" i="16"/>
  <c r="E1312" i="16"/>
  <c r="E1215" i="16"/>
  <c r="E1151" i="16"/>
  <c r="E1087" i="16"/>
  <c r="E1240" i="16"/>
  <c r="E1178" i="16"/>
  <c r="E1114" i="16"/>
  <c r="E1050" i="16"/>
  <c r="E986" i="16"/>
  <c r="E1221" i="16"/>
  <c r="E1157" i="16"/>
  <c r="E1093" i="16"/>
  <c r="E1029" i="16"/>
  <c r="E1224" i="16"/>
  <c r="E1160" i="16"/>
  <c r="E1463" i="16"/>
  <c r="E1203" i="16"/>
  <c r="E1139" i="16"/>
  <c r="E1267" i="16"/>
  <c r="E1214" i="16"/>
  <c r="E1150" i="16"/>
  <c r="E1086" i="16"/>
  <c r="E1022" i="16"/>
  <c r="E1088" i="16"/>
  <c r="E1007" i="16"/>
  <c r="E971" i="16"/>
  <c r="E907" i="16"/>
  <c r="E966" i="16"/>
  <c r="E1279" i="16"/>
  <c r="E1032" i="16"/>
  <c r="E937" i="16"/>
  <c r="E972" i="16"/>
  <c r="E908" i="16"/>
  <c r="E1016" i="16"/>
  <c r="E984" i="16"/>
  <c r="E149" i="16"/>
  <c r="E165" i="16"/>
  <c r="E181" i="16"/>
  <c r="E197" i="16"/>
  <c r="E488" i="16"/>
  <c r="E217" i="16"/>
  <c r="E249" i="16"/>
  <c r="E415" i="16"/>
  <c r="E1965" i="16"/>
  <c r="E1901" i="16"/>
  <c r="E1952" i="16"/>
  <c r="E1888" i="16"/>
  <c r="E1939" i="16"/>
  <c r="E1982" i="16"/>
  <c r="E1918" i="16"/>
  <c r="E1854" i="16"/>
  <c r="E1953" i="16"/>
  <c r="E1889" i="16"/>
  <c r="E1940" i="16"/>
  <c r="E1978" i="16"/>
  <c r="E1914" i="16"/>
  <c r="E1850" i="16"/>
  <c r="E1881" i="16"/>
  <c r="E1849" i="16"/>
  <c r="E1975" i="16"/>
  <c r="E1859" i="16"/>
  <c r="E1826" i="16"/>
  <c r="E1762" i="16"/>
  <c r="E1813" i="16"/>
  <c r="E1983" i="16"/>
  <c r="E1943" i="16"/>
  <c r="E1860" i="16"/>
  <c r="E1830" i="16"/>
  <c r="E1766" i="16"/>
  <c r="E1715" i="16"/>
  <c r="E1808" i="16"/>
  <c r="E1748" i="16"/>
  <c r="E1702" i="16"/>
  <c r="E1697" i="16"/>
  <c r="E1716" i="16"/>
  <c r="E1757" i="16"/>
  <c r="E1711" i="16"/>
  <c r="E1647" i="16"/>
  <c r="E1779" i="16"/>
  <c r="E1739" i="16"/>
  <c r="E1682" i="16"/>
  <c r="E1767" i="16"/>
  <c r="E1672" i="16"/>
  <c r="E1654" i="16"/>
  <c r="E1611" i="16"/>
  <c r="E1547" i="16"/>
  <c r="E1652" i="16"/>
  <c r="E1590" i="16"/>
  <c r="E1609" i="16"/>
  <c r="E1545" i="16"/>
  <c r="E1596" i="16"/>
  <c r="E1532" i="16"/>
  <c r="E1668" i="16"/>
  <c r="E1635" i="16"/>
  <c r="E1583" i="16"/>
  <c r="E1709" i="16"/>
  <c r="E1637" i="16"/>
  <c r="E1570" i="16"/>
  <c r="E1581" i="16"/>
  <c r="E1517" i="16"/>
  <c r="E1488" i="16"/>
  <c r="E1544" i="16"/>
  <c r="E1496" i="16"/>
  <c r="E1435" i="16"/>
  <c r="E1494" i="16"/>
  <c r="E1568" i="16"/>
  <c r="E1449" i="16"/>
  <c r="E1528" i="16"/>
  <c r="E1468" i="16"/>
  <c r="E1404" i="16"/>
  <c r="E1536" i="16"/>
  <c r="E1466" i="16"/>
  <c r="E1469" i="16"/>
  <c r="E1405" i="16"/>
  <c r="E1415" i="16"/>
  <c r="E1383" i="16"/>
  <c r="E1339" i="16"/>
  <c r="E1455" i="16"/>
  <c r="E1358" i="16"/>
  <c r="E1440" i="16"/>
  <c r="E1313" i="16"/>
  <c r="E1497" i="16"/>
  <c r="E1308" i="16"/>
  <c r="E1584" i="16"/>
  <c r="E1398" i="16"/>
  <c r="E1366" i="16"/>
  <c r="E1303" i="16"/>
  <c r="E1410" i="16"/>
  <c r="E1346" i="16"/>
  <c r="E1282" i="16"/>
  <c r="E1333" i="16"/>
  <c r="E1269" i="16"/>
  <c r="E1271" i="16"/>
  <c r="E1180" i="16"/>
  <c r="E1116" i="16"/>
  <c r="E1479" i="16"/>
  <c r="E1304" i="16"/>
  <c r="E1207" i="16"/>
  <c r="E1143" i="16"/>
  <c r="E1079" i="16"/>
  <c r="E1233" i="16"/>
  <c r="E1170" i="16"/>
  <c r="E1106" i="16"/>
  <c r="E1042" i="16"/>
  <c r="E1487" i="16"/>
  <c r="E1213" i="16"/>
  <c r="E1149" i="16"/>
  <c r="E1085" i="16"/>
  <c r="E1021" i="16"/>
  <c r="E1216" i="16"/>
  <c r="E1152" i="16"/>
  <c r="E1302" i="16"/>
  <c r="E1195" i="16"/>
  <c r="E1131" i="16"/>
  <c r="E1257" i="16"/>
  <c r="E1206" i="16"/>
  <c r="E1142" i="16"/>
  <c r="E1078" i="16"/>
  <c r="E1014" i="16"/>
  <c r="E1051" i="16"/>
  <c r="E1003" i="16"/>
  <c r="E963" i="16"/>
  <c r="E899" i="16"/>
  <c r="E958" i="16"/>
  <c r="E1217" i="16"/>
  <c r="E1025" i="16"/>
  <c r="E929" i="16"/>
  <c r="E964" i="16"/>
  <c r="E1169" i="16"/>
  <c r="E1012" i="16"/>
  <c r="E980" i="16"/>
  <c r="E919" i="16"/>
  <c r="E855" i="16"/>
  <c r="E970" i="16"/>
  <c r="E906" i="16"/>
  <c r="E1013" i="16"/>
  <c r="E981" i="16"/>
  <c r="E920" i="16"/>
  <c r="E856" i="16"/>
  <c r="E823" i="16"/>
  <c r="E759" i="16"/>
  <c r="E695" i="16"/>
  <c r="E873" i="16"/>
  <c r="E826" i="16"/>
  <c r="E762" i="16"/>
  <c r="E698" i="16"/>
  <c r="E877" i="16"/>
  <c r="E813" i="16"/>
  <c r="E749" i="16"/>
  <c r="E685" i="16"/>
  <c r="E621" i="16"/>
  <c r="E957" i="16"/>
  <c r="E808" i="16"/>
  <c r="E744" i="16"/>
  <c r="E680" i="16"/>
  <c r="E843" i="16"/>
  <c r="E779" i="16"/>
  <c r="E715" i="16"/>
  <c r="E894" i="16"/>
  <c r="E862" i="16"/>
  <c r="E806" i="16"/>
  <c r="E742" i="16"/>
  <c r="E678" i="16"/>
  <c r="E860" i="16"/>
  <c r="E793" i="16"/>
  <c r="E32" i="16"/>
  <c r="E64" i="16"/>
  <c r="E96" i="16"/>
  <c r="E128" i="16"/>
  <c r="E227" i="16"/>
  <c r="E259" i="16"/>
  <c r="E1957" i="16"/>
  <c r="E1893" i="16"/>
  <c r="E1944" i="16"/>
  <c r="E1995" i="16"/>
  <c r="E1931" i="16"/>
  <c r="E1974" i="16"/>
  <c r="E1910" i="16"/>
  <c r="E1846" i="16"/>
  <c r="E1945" i="16"/>
  <c r="E1996" i="16"/>
  <c r="E1932" i="16"/>
  <c r="E1970" i="16"/>
  <c r="E1906" i="16"/>
  <c r="E1842" i="16"/>
  <c r="E1877" i="16"/>
  <c r="E1845" i="16"/>
  <c r="E1911" i="16"/>
  <c r="E1855" i="16"/>
  <c r="E1818" i="16"/>
  <c r="E1754" i="16"/>
  <c r="E1805" i="16"/>
  <c r="E1919" i="16"/>
  <c r="E1892" i="16"/>
  <c r="E1856" i="16"/>
  <c r="E1822" i="16"/>
  <c r="E1758" i="16"/>
  <c r="E1707" i="16"/>
  <c r="E1800" i="16"/>
  <c r="E1744" i="16"/>
  <c r="E1694" i="16"/>
  <c r="E1816" i="16"/>
  <c r="E1708" i="16"/>
  <c r="E1753" i="16"/>
  <c r="E1703" i="16"/>
  <c r="E1639" i="16"/>
  <c r="E1772" i="16"/>
  <c r="E1735" i="16"/>
  <c r="E1674" i="16"/>
  <c r="E1728" i="16"/>
  <c r="E1664" i="16"/>
  <c r="E1650" i="16"/>
  <c r="E1603" i="16"/>
  <c r="E1539" i="16"/>
  <c r="E1644" i="16"/>
  <c r="E1582" i="16"/>
  <c r="E1601" i="16"/>
  <c r="E1537" i="16"/>
  <c r="E1588" i="16"/>
  <c r="E1524" i="16"/>
  <c r="E1665" i="16"/>
  <c r="E1633" i="16"/>
  <c r="E1575" i="16"/>
  <c r="E1692" i="16"/>
  <c r="E1626" i="16"/>
  <c r="E1562" i="16"/>
  <c r="E1573" i="16"/>
  <c r="E1509" i="16"/>
  <c r="E1480" i="16"/>
  <c r="E1538" i="16"/>
  <c r="E1491" i="16"/>
  <c r="E1427" i="16"/>
  <c r="E1486" i="16"/>
  <c r="E1534" i="16"/>
  <c r="E1441" i="16"/>
  <c r="E1523" i="16"/>
  <c r="E1460" i="16"/>
  <c r="E1396" i="16"/>
  <c r="E1530" i="16"/>
  <c r="E1458" i="16"/>
  <c r="E1461" i="16"/>
  <c r="E1397" i="16"/>
  <c r="E1411" i="16"/>
  <c r="E1379" i="16"/>
  <c r="E1331" i="16"/>
  <c r="E1422" i="16"/>
  <c r="E1350" i="16"/>
  <c r="E1432" i="16"/>
  <c r="E1305" i="16"/>
  <c r="E1424" i="16"/>
  <c r="E1300" i="16"/>
  <c r="E1448" i="16"/>
  <c r="E1392" i="16"/>
  <c r="E1359" i="16"/>
  <c r="E1295" i="16"/>
  <c r="E1402" i="16"/>
  <c r="E1338" i="16"/>
  <c r="E1274" i="16"/>
  <c r="E1325" i="16"/>
  <c r="E1261" i="16"/>
  <c r="E1244" i="16"/>
  <c r="E1172" i="16"/>
  <c r="E1108" i="16"/>
  <c r="E1360" i="16"/>
  <c r="E1278" i="16"/>
  <c r="E1199" i="16"/>
  <c r="E1135" i="16"/>
  <c r="E1450" i="16"/>
  <c r="E1226" i="16"/>
  <c r="E1162" i="16"/>
  <c r="E1098" i="16"/>
  <c r="E1034" i="16"/>
  <c r="E1286" i="16"/>
  <c r="E1205" i="16"/>
  <c r="E1141" i="16"/>
  <c r="E1077" i="16"/>
  <c r="E1296" i="16"/>
  <c r="E1208" i="16"/>
  <c r="E1144" i="16"/>
  <c r="E1263" i="16"/>
  <c r="E1187" i="16"/>
  <c r="E1123" i="16"/>
  <c r="E1250" i="16"/>
  <c r="E1198" i="16"/>
  <c r="E1134" i="16"/>
  <c r="E1070" i="16"/>
  <c r="E1006" i="16"/>
  <c r="E1044" i="16"/>
  <c r="E999" i="16"/>
  <c r="E153" i="16"/>
  <c r="E169" i="16"/>
  <c r="E185" i="16"/>
  <c r="E201" i="16"/>
  <c r="E225" i="16"/>
  <c r="E257" i="16"/>
  <c r="E1949" i="16"/>
  <c r="E2000" i="16"/>
  <c r="E1936" i="16"/>
  <c r="E1987" i="16"/>
  <c r="E1923" i="16"/>
  <c r="E1966" i="16"/>
  <c r="E1902" i="16"/>
  <c r="E1838" i="16"/>
  <c r="E1937" i="16"/>
  <c r="E1988" i="16"/>
  <c r="E1924" i="16"/>
  <c r="E1962" i="16"/>
  <c r="E1898" i="16"/>
  <c r="E1834" i="16"/>
  <c r="E1873" i="16"/>
  <c r="E1841" i="16"/>
  <c r="E1883" i="16"/>
  <c r="E1851" i="16"/>
  <c r="E1810" i="16"/>
  <c r="E1746" i="16"/>
  <c r="E1797" i="16"/>
  <c r="E1827" i="16"/>
  <c r="E1884" i="16"/>
  <c r="E1852" i="16"/>
  <c r="E1814" i="16"/>
  <c r="E1750" i="16"/>
  <c r="E1699" i="16"/>
  <c r="E1780" i="16"/>
  <c r="E1740" i="16"/>
  <c r="E1828" i="16"/>
  <c r="E1784" i="16"/>
  <c r="E1700" i="16"/>
  <c r="E1749" i="16"/>
  <c r="E1695" i="16"/>
  <c r="E1967" i="16"/>
  <c r="E1763" i="16"/>
  <c r="E1730" i="16"/>
  <c r="E1666" i="16"/>
  <c r="E1720" i="16"/>
  <c r="E1656" i="16"/>
  <c r="E1646" i="16"/>
  <c r="E1595" i="16"/>
  <c r="E1531" i="16"/>
  <c r="E1636" i="16"/>
  <c r="E1574" i="16"/>
  <c r="E1593" i="16"/>
  <c r="E1733" i="16"/>
  <c r="E1580" i="16"/>
  <c r="E1516" i="16"/>
  <c r="E1659" i="16"/>
  <c r="E1631" i="16"/>
  <c r="E1567" i="16"/>
  <c r="E1686" i="16"/>
  <c r="E1618" i="16"/>
  <c r="E1629" i="16"/>
  <c r="E1565" i="16"/>
  <c r="E1501" i="16"/>
  <c r="E1472" i="16"/>
  <c r="E1526" i="16"/>
  <c r="E1483" i="16"/>
  <c r="E1419" i="16"/>
  <c r="E1478" i="16"/>
  <c r="E1508" i="16"/>
  <c r="E1433" i="16"/>
  <c r="E1519" i="16"/>
  <c r="E1452" i="16"/>
  <c r="E1388" i="16"/>
  <c r="E1511" i="16"/>
  <c r="E1600" i="16"/>
  <c r="E1453" i="16"/>
  <c r="E1389" i="16"/>
  <c r="E1407" i="16"/>
  <c r="E1375" i="16"/>
  <c r="E1323" i="16"/>
  <c r="E1409" i="16"/>
  <c r="E1342" i="16"/>
  <c r="E1361" i="16"/>
  <c r="E1297" i="16"/>
  <c r="E1356" i="16"/>
  <c r="E1292" i="16"/>
  <c r="E1434" i="16"/>
  <c r="E1390" i="16"/>
  <c r="E1351" i="16"/>
  <c r="E1287" i="16"/>
  <c r="E1394" i="16"/>
  <c r="E1330" i="16"/>
  <c r="E1456" i="16"/>
  <c r="E1317" i="16"/>
  <c r="E1253" i="16"/>
  <c r="E1228" i="16"/>
  <c r="E1164" i="16"/>
  <c r="E1100" i="16"/>
  <c r="E1352" i="16"/>
  <c r="E1264" i="16"/>
  <c r="E1191" i="16"/>
  <c r="E1127" i="16"/>
  <c r="E1275" i="16"/>
  <c r="E1218" i="16"/>
  <c r="E1154" i="16"/>
  <c r="E1090" i="16"/>
  <c r="E1026" i="16"/>
  <c r="E1266" i="16"/>
  <c r="E1197" i="16"/>
  <c r="E1133" i="16"/>
  <c r="E1069" i="16"/>
  <c r="E1280" i="16"/>
  <c r="E1200" i="16"/>
  <c r="E1136" i="16"/>
  <c r="E1259" i="16"/>
  <c r="E1179" i="16"/>
  <c r="E1115" i="16"/>
  <c r="E1248" i="16"/>
  <c r="E1190" i="16"/>
  <c r="E1126" i="16"/>
  <c r="E1062" i="16"/>
  <c r="E998" i="16"/>
  <c r="E1035" i="16"/>
  <c r="E995" i="16"/>
  <c r="E947" i="16"/>
  <c r="E1209" i="16"/>
  <c r="E942" i="16"/>
  <c r="E1080" i="16"/>
  <c r="E977" i="16"/>
  <c r="E1161" i="16"/>
  <c r="E948" i="16"/>
  <c r="E1052" i="16"/>
  <c r="E1004" i="16"/>
  <c r="E967" i="16"/>
  <c r="E903" i="16"/>
  <c r="E1113" i="16"/>
  <c r="E954" i="16"/>
  <c r="E1246" i="16"/>
  <c r="E1005" i="16"/>
  <c r="E968" i="16"/>
  <c r="E904" i="16"/>
  <c r="E1096" i="16"/>
  <c r="E8" i="16"/>
  <c r="E40" i="16"/>
  <c r="E72" i="16"/>
  <c r="E104" i="16"/>
  <c r="E136" i="16"/>
  <c r="E203" i="16"/>
  <c r="E235" i="16"/>
  <c r="E494" i="16"/>
  <c r="E1941" i="16"/>
  <c r="E1992" i="16"/>
  <c r="E1928" i="16"/>
  <c r="E1979" i="16"/>
  <c r="E1915" i="16"/>
  <c r="E1958" i="16"/>
  <c r="E1894" i="16"/>
  <c r="E1993" i="16"/>
  <c r="E1929" i="16"/>
  <c r="E1980" i="16"/>
  <c r="E1916" i="16"/>
  <c r="E1954" i="16"/>
  <c r="E1890" i="16"/>
  <c r="E1927" i="16"/>
  <c r="E1869" i="16"/>
  <c r="E1837" i="16"/>
  <c r="E1879" i="16"/>
  <c r="E1847" i="16"/>
  <c r="E1802" i="16"/>
  <c r="E1738" i="16"/>
  <c r="E1789" i="16"/>
  <c r="E1819" i="16"/>
  <c r="E1880" i="16"/>
  <c r="E1848" i="16"/>
  <c r="E1806" i="16"/>
  <c r="E1742" i="16"/>
  <c r="E1691" i="16"/>
  <c r="E1771" i="16"/>
  <c r="E1736" i="16"/>
  <c r="E1792" i="16"/>
  <c r="E1777" i="16"/>
  <c r="E1991" i="16"/>
  <c r="E1745" i="16"/>
  <c r="E1687" i="16"/>
  <c r="E1824" i="16"/>
  <c r="E1759" i="16"/>
  <c r="E1722" i="16"/>
  <c r="E1817" i="16"/>
  <c r="E1712" i="16"/>
  <c r="E1648" i="16"/>
  <c r="E1642" i="16"/>
  <c r="E1587" i="16"/>
  <c r="E1725" i="16"/>
  <c r="E1630" i="16"/>
  <c r="E1566" i="16"/>
  <c r="E1585" i="16"/>
  <c r="E1701" i="16"/>
  <c r="E1572" i="16"/>
  <c r="E1689" i="16"/>
  <c r="E1657" i="16"/>
  <c r="E1623" i="16"/>
  <c r="E1559" i="16"/>
  <c r="E1678" i="16"/>
  <c r="E1610" i="16"/>
  <c r="E1621" i="16"/>
  <c r="E1557" i="16"/>
  <c r="E1717" i="16"/>
  <c r="E1464" i="16"/>
  <c r="E1522" i="16"/>
  <c r="E1475" i="16"/>
  <c r="E1624" i="16"/>
  <c r="E1470" i="16"/>
  <c r="E1489" i="16"/>
  <c r="E1425" i="16"/>
  <c r="E1515" i="16"/>
  <c r="E1444" i="16"/>
  <c r="E1380" i="16"/>
  <c r="E1502" i="16"/>
  <c r="E1554" i="16"/>
  <c r="E1445" i="16"/>
  <c r="E1381" i="16"/>
  <c r="E1403" i="16"/>
  <c r="E1371" i="16"/>
  <c r="E1315" i="16"/>
  <c r="E1401" i="16"/>
  <c r="E1334" i="16"/>
  <c r="E1353" i="16"/>
  <c r="E1289" i="16"/>
  <c r="E1348" i="16"/>
  <c r="E1284" i="16"/>
  <c r="E1416" i="16"/>
  <c r="E1384" i="16"/>
  <c r="E1343" i="16"/>
  <c r="E1504" i="16"/>
  <c r="E1386" i="16"/>
  <c r="E1322" i="16"/>
  <c r="E1423" i="16"/>
  <c r="E1309" i="16"/>
  <c r="E1245" i="16"/>
  <c r="E1220" i="16"/>
  <c r="E1156" i="16"/>
  <c r="E1092" i="16"/>
  <c r="E1344" i="16"/>
  <c r="E1262" i="16"/>
  <c r="E1183" i="16"/>
  <c r="E1119" i="16"/>
  <c r="E1258" i="16"/>
  <c r="E1210" i="16"/>
  <c r="E1146" i="16"/>
  <c r="E1082" i="16"/>
  <c r="E1018" i="16"/>
  <c r="E1254" i="16"/>
  <c r="E1189" i="16"/>
  <c r="E1125" i="16"/>
  <c r="E1061" i="16"/>
  <c r="E1272" i="16"/>
  <c r="E1192" i="16"/>
  <c r="E1128" i="16"/>
  <c r="E1243" i="16"/>
  <c r="E1171" i="16"/>
  <c r="E1107" i="16"/>
  <c r="E1241" i="16"/>
  <c r="E1182" i="16"/>
  <c r="E1118" i="16"/>
  <c r="E1054" i="16"/>
  <c r="E990" i="16"/>
  <c r="E1028" i="16"/>
  <c r="E991" i="16"/>
  <c r="E939" i="16"/>
  <c r="E1145" i="16"/>
  <c r="E934" i="16"/>
  <c r="E1055" i="16"/>
  <c r="E969" i="16"/>
  <c r="E1097" i="16"/>
  <c r="E940" i="16"/>
  <c r="E1043" i="16"/>
  <c r="E1000" i="16"/>
  <c r="E141" i="16"/>
  <c r="E157" i="16"/>
  <c r="E173" i="16"/>
  <c r="E189" i="16"/>
  <c r="E331" i="16"/>
  <c r="E233" i="16"/>
  <c r="E315" i="16"/>
  <c r="E1997" i="16"/>
  <c r="E1933" i="16"/>
  <c r="E1984" i="16"/>
  <c r="E1920" i="16"/>
  <c r="E1971" i="16"/>
  <c r="E1907" i="16"/>
  <c r="E1950" i="16"/>
  <c r="E1886" i="16"/>
  <c r="E1985" i="16"/>
  <c r="E1921" i="16"/>
  <c r="E1972" i="16"/>
  <c r="E1908" i="16"/>
  <c r="E1946" i="16"/>
  <c r="E1882" i="16"/>
  <c r="E1999" i="16"/>
  <c r="E1865" i="16"/>
  <c r="E1833" i="16"/>
  <c r="E1875" i="16"/>
  <c r="E1843" i="16"/>
  <c r="E1794" i="16"/>
  <c r="E1935" i="16"/>
  <c r="E1781" i="16"/>
  <c r="E1811" i="16"/>
  <c r="E1876" i="16"/>
  <c r="E1844" i="16"/>
  <c r="E1798" i="16"/>
  <c r="E1903" i="16"/>
  <c r="E1683" i="16"/>
  <c r="E1764" i="16"/>
  <c r="E1734" i="16"/>
  <c r="E1729" i="16"/>
  <c r="E1775" i="16"/>
  <c r="E1895" i="16"/>
  <c r="E1741" i="16"/>
  <c r="E1679" i="16"/>
  <c r="E1809" i="16"/>
  <c r="E1755" i="16"/>
  <c r="E1714" i="16"/>
  <c r="E1785" i="16"/>
  <c r="E1704" i="16"/>
  <c r="E1640" i="16"/>
  <c r="E1638" i="16"/>
  <c r="E1579" i="16"/>
  <c r="E1685" i="16"/>
  <c r="E1622" i="16"/>
  <c r="E1558" i="16"/>
  <c r="E1577" i="16"/>
  <c r="E1628" i="16"/>
  <c r="E1564" i="16"/>
  <c r="E1684" i="16"/>
  <c r="E1651" i="16"/>
  <c r="E1615" i="16"/>
  <c r="E1551" i="16"/>
  <c r="E1670" i="16"/>
  <c r="E1602" i="16"/>
  <c r="E1613" i="16"/>
  <c r="E1549" i="16"/>
  <c r="E1608" i="16"/>
  <c r="E1793" i="16"/>
  <c r="E1514" i="16"/>
  <c r="E1467" i="16"/>
  <c r="E1560" i="16"/>
  <c r="E1462" i="16"/>
  <c r="E1481" i="16"/>
  <c r="E1417" i="16"/>
  <c r="E1499" i="16"/>
  <c r="E1436" i="16"/>
  <c r="E1372" i="16"/>
  <c r="E1495" i="16"/>
  <c r="E1500" i="16"/>
  <c r="E1437" i="16"/>
  <c r="E1373" i="16"/>
  <c r="E1399" i="16"/>
  <c r="E1367" i="16"/>
  <c r="E1307" i="16"/>
  <c r="E1393" i="16"/>
  <c r="E1326" i="16"/>
  <c r="E1345" i="16"/>
  <c r="E1281" i="16"/>
  <c r="E1340" i="16"/>
  <c r="E1276" i="16"/>
  <c r="E1414" i="16"/>
  <c r="E1382" i="16"/>
  <c r="E1335" i="16"/>
  <c r="E1442" i="16"/>
  <c r="E1378" i="16"/>
  <c r="E1314" i="16"/>
  <c r="E1418" i="16"/>
  <c r="E1301" i="16"/>
  <c r="E1237" i="16"/>
  <c r="E1212" i="16"/>
  <c r="E1148" i="16"/>
  <c r="E1084" i="16"/>
  <c r="E1336" i="16"/>
  <c r="E1251" i="16"/>
  <c r="E1175" i="16"/>
  <c r="E1111" i="16"/>
  <c r="E1256" i="16"/>
  <c r="E1202" i="16"/>
  <c r="E1138" i="16"/>
  <c r="E1074" i="16"/>
  <c r="E1010" i="16"/>
  <c r="E1247" i="16"/>
  <c r="E1181" i="16"/>
  <c r="E1117" i="16"/>
  <c r="E1053" i="16"/>
  <c r="E1270" i="16"/>
  <c r="E1184" i="16"/>
  <c r="E1120" i="16"/>
  <c r="E1227" i="16"/>
  <c r="E1163" i="16"/>
  <c r="E1099" i="16"/>
  <c r="E1234" i="16"/>
  <c r="E1174" i="16"/>
  <c r="E1110" i="16"/>
  <c r="E1046" i="16"/>
  <c r="E982" i="16"/>
  <c r="E1019" i="16"/>
  <c r="E987" i="16"/>
  <c r="E931" i="16"/>
  <c r="E1071" i="16"/>
  <c r="E926" i="16"/>
  <c r="E1048" i="16"/>
  <c r="E961" i="16"/>
  <c r="E1073" i="16"/>
  <c r="E932" i="16"/>
  <c r="E1036" i="16"/>
  <c r="E996" i="16"/>
  <c r="E951" i="16"/>
  <c r="E887" i="16"/>
  <c r="E1075" i="16"/>
  <c r="E938" i="16"/>
  <c r="E1193" i="16"/>
  <c r="E997" i="16"/>
  <c r="E952" i="16"/>
  <c r="E888" i="16"/>
  <c r="E901" i="16"/>
  <c r="E791" i="16"/>
  <c r="E727" i="16"/>
  <c r="E889" i="16"/>
  <c r="E857" i="16"/>
  <c r="E794" i="16"/>
  <c r="E730" i="16"/>
  <c r="E1024" i="16"/>
  <c r="E845" i="16"/>
  <c r="E781" i="16"/>
  <c r="E717" i="16"/>
  <c r="E653" i="16"/>
  <c r="E589" i="16"/>
  <c r="E840" i="16"/>
  <c r="E776" i="16"/>
  <c r="E712" i="16"/>
  <c r="E921" i="16"/>
  <c r="E811" i="16"/>
  <c r="E747" i="16"/>
  <c r="E1185" i="16"/>
  <c r="E878" i="16"/>
  <c r="E838" i="16"/>
  <c r="E774" i="16"/>
  <c r="E710" i="16"/>
  <c r="E892" i="16"/>
  <c r="E825" i="16"/>
  <c r="E761" i="16"/>
  <c r="E579" i="16"/>
  <c r="E129" i="16"/>
  <c r="E339" i="16"/>
  <c r="E131" i="16"/>
  <c r="E99" i="16"/>
  <c r="E67" i="16"/>
  <c r="E35" i="16"/>
  <c r="E434" i="16"/>
  <c r="E253" i="16"/>
  <c r="E221" i="16"/>
  <c r="E126" i="16"/>
  <c r="E94" i="16"/>
  <c r="E62" i="16"/>
  <c r="E30" i="16"/>
  <c r="E456" i="16"/>
  <c r="E299" i="16"/>
  <c r="E563" i="16"/>
  <c r="E184" i="16"/>
  <c r="E248" i="16"/>
  <c r="E312" i="16"/>
  <c r="E376" i="16"/>
  <c r="E417" i="16"/>
  <c r="E464" i="16"/>
  <c r="E309" i="16"/>
  <c r="E373" i="16"/>
  <c r="E480" i="16"/>
  <c r="E202" i="16"/>
  <c r="E266" i="16"/>
  <c r="E330" i="16"/>
  <c r="E412" i="16"/>
  <c r="E303" i="16"/>
  <c r="E367" i="16"/>
  <c r="E427" i="16"/>
  <c r="E504" i="16"/>
  <c r="E156" i="16"/>
  <c r="E220" i="16"/>
  <c r="E284" i="16"/>
  <c r="E348" i="16"/>
  <c r="E400" i="16"/>
  <c r="E273" i="16"/>
  <c r="E337" i="16"/>
  <c r="E446" i="16"/>
  <c r="E214" i="16"/>
  <c r="E278" i="16"/>
  <c r="E342" i="16"/>
  <c r="E539" i="16"/>
  <c r="E675" i="16"/>
  <c r="E603" i="16"/>
  <c r="E635" i="16"/>
  <c r="E667" i="16"/>
  <c r="E413" i="16"/>
  <c r="E477" i="16"/>
  <c r="E541" i="16"/>
  <c r="E474" i="16"/>
  <c r="E538" i="16"/>
  <c r="E973" i="16"/>
  <c r="E535" i="16"/>
  <c r="E708" i="16"/>
  <c r="E772" i="16"/>
  <c r="E836" i="16"/>
  <c r="E476" i="16"/>
  <c r="E540" i="16"/>
  <c r="E590" i="16"/>
  <c r="E622" i="16"/>
  <c r="E654" i="16"/>
  <c r="E433" i="16"/>
  <c r="E497" i="16"/>
  <c r="E561" i="16"/>
  <c r="E604" i="16"/>
  <c r="E636" i="16"/>
  <c r="E668" i="16"/>
  <c r="E641" i="16"/>
  <c r="E705" i="16"/>
  <c r="E777" i="16"/>
  <c r="E868" i="16"/>
  <c r="E702" i="16"/>
  <c r="E790" i="16"/>
  <c r="E866" i="16"/>
  <c r="E965" i="16"/>
  <c r="E763" i="16"/>
  <c r="E851" i="16"/>
  <c r="E704" i="16"/>
  <c r="E792" i="16"/>
  <c r="E1033" i="16"/>
  <c r="E645" i="16"/>
  <c r="E733" i="16"/>
  <c r="E821" i="16"/>
  <c r="E909" i="16"/>
  <c r="E746" i="16"/>
  <c r="E834" i="16"/>
  <c r="E883" i="16"/>
  <c r="E743" i="16"/>
  <c r="E831" i="16"/>
  <c r="E912" i="16"/>
  <c r="E1009" i="16"/>
  <c r="E962" i="16"/>
  <c r="E911" i="16"/>
  <c r="E1105" i="16"/>
  <c r="E1153" i="16"/>
  <c r="E442" i="16"/>
  <c r="E263" i="16"/>
  <c r="E231" i="16"/>
  <c r="E198" i="16"/>
  <c r="E182" i="16"/>
  <c r="E166" i="16"/>
  <c r="E150" i="16"/>
  <c r="E124" i="16"/>
  <c r="E92" i="16"/>
  <c r="E60" i="16"/>
  <c r="E28" i="16"/>
  <c r="E135" i="16"/>
  <c r="E103" i="16"/>
  <c r="E71" i="16"/>
  <c r="E39" i="16"/>
  <c r="E7" i="16"/>
  <c r="E192" i="16"/>
  <c r="E256" i="16"/>
  <c r="E320" i="16"/>
  <c r="E378" i="16"/>
  <c r="E424" i="16"/>
  <c r="E536" i="16"/>
  <c r="E317" i="16"/>
  <c r="E387" i="16"/>
  <c r="E483" i="16"/>
  <c r="E210" i="16"/>
  <c r="E274" i="16"/>
  <c r="E338" i="16"/>
  <c r="E470" i="16"/>
  <c r="E311" i="16"/>
  <c r="E375" i="16"/>
  <c r="E431" i="16"/>
  <c r="E507" i="16"/>
  <c r="E164" i="16"/>
  <c r="E228" i="16"/>
  <c r="E292" i="16"/>
  <c r="E356" i="16"/>
  <c r="E402" i="16"/>
  <c r="E281" i="16"/>
  <c r="E345" i="16"/>
  <c r="E448" i="16"/>
  <c r="E222" i="16"/>
  <c r="E286" i="16"/>
  <c r="E350" i="16"/>
  <c r="E552" i="16"/>
  <c r="E568" i="16"/>
  <c r="E607" i="16"/>
  <c r="E639" i="16"/>
  <c r="E671" i="16"/>
  <c r="E421" i="16"/>
  <c r="E485" i="16"/>
  <c r="E549" i="16"/>
  <c r="E482" i="16"/>
  <c r="E546" i="16"/>
  <c r="E479" i="16"/>
  <c r="E543" i="16"/>
  <c r="E716" i="16"/>
  <c r="E780" i="16"/>
  <c r="E844" i="16"/>
  <c r="E484" i="16"/>
  <c r="E548" i="16"/>
  <c r="E594" i="16"/>
  <c r="E626" i="16"/>
  <c r="E658" i="16"/>
  <c r="E441" i="16"/>
  <c r="E505" i="16"/>
  <c r="E569" i="16"/>
  <c r="E608" i="16"/>
  <c r="E640" i="16"/>
  <c r="E585" i="16"/>
  <c r="E649" i="16"/>
  <c r="E713" i="16"/>
  <c r="E785" i="16"/>
  <c r="E876" i="16"/>
  <c r="E718" i="16"/>
  <c r="E798" i="16"/>
  <c r="E870" i="16"/>
  <c r="E691" i="16"/>
  <c r="E771" i="16"/>
  <c r="E902" i="16"/>
  <c r="E720" i="16"/>
  <c r="E800" i="16"/>
  <c r="E1064" i="16"/>
  <c r="E661" i="16"/>
  <c r="E741" i="16"/>
  <c r="E829" i="16"/>
  <c r="E1049" i="16"/>
  <c r="E754" i="16"/>
  <c r="E842" i="16"/>
  <c r="E891" i="16"/>
  <c r="E751" i="16"/>
  <c r="E839" i="16"/>
  <c r="E928" i="16"/>
  <c r="E1017" i="16"/>
  <c r="E978" i="16"/>
  <c r="E927" i="16"/>
  <c r="E924" i="16"/>
  <c r="E918" i="16"/>
  <c r="E275" i="16"/>
  <c r="E123" i="16"/>
  <c r="E91" i="16"/>
  <c r="E59" i="16"/>
  <c r="E27" i="16"/>
  <c r="E347" i="16"/>
  <c r="E245" i="16"/>
  <c r="E213" i="16"/>
  <c r="E118" i="16"/>
  <c r="E86" i="16"/>
  <c r="E54" i="16"/>
  <c r="E22" i="16"/>
  <c r="E491" i="16"/>
  <c r="E355" i="16"/>
  <c r="E451" i="16"/>
  <c r="E200" i="16"/>
  <c r="E264" i="16"/>
  <c r="E328" i="16"/>
  <c r="E385" i="16"/>
  <c r="E428" i="16"/>
  <c r="E571" i="16"/>
  <c r="E325" i="16"/>
  <c r="E403" i="16"/>
  <c r="E486" i="16"/>
  <c r="E218" i="16"/>
  <c r="E282" i="16"/>
  <c r="E346" i="16"/>
  <c r="E475" i="16"/>
  <c r="E319" i="16"/>
  <c r="E382" i="16"/>
  <c r="E435" i="16"/>
  <c r="E510" i="16"/>
  <c r="E172" i="16"/>
  <c r="E236" i="16"/>
  <c r="E300" i="16"/>
  <c r="E364" i="16"/>
  <c r="E409" i="16"/>
  <c r="E289" i="16"/>
  <c r="E353" i="16"/>
  <c r="E471" i="16"/>
  <c r="E230" i="16"/>
  <c r="E294" i="16"/>
  <c r="E358" i="16"/>
  <c r="E534" i="16"/>
  <c r="E576" i="16"/>
  <c r="E611" i="16"/>
  <c r="E643" i="16"/>
  <c r="E684" i="16"/>
  <c r="E429" i="16"/>
  <c r="E493" i="16"/>
  <c r="E557" i="16"/>
  <c r="E490" i="16"/>
  <c r="E554" i="16"/>
  <c r="E487" i="16"/>
  <c r="E551" i="16"/>
  <c r="E724" i="16"/>
  <c r="E788" i="16"/>
  <c r="E852" i="16"/>
  <c r="E492" i="16"/>
  <c r="E556" i="16"/>
  <c r="E598" i="16"/>
  <c r="E630" i="16"/>
  <c r="E662" i="16"/>
  <c r="E449" i="16"/>
  <c r="E513" i="16"/>
  <c r="E577" i="16"/>
  <c r="E612" i="16"/>
  <c r="E644" i="16"/>
  <c r="E593" i="16"/>
  <c r="E657" i="16"/>
  <c r="E721" i="16"/>
  <c r="E801" i="16"/>
  <c r="E884" i="16"/>
  <c r="E726" i="16"/>
  <c r="E814" i="16"/>
  <c r="E874" i="16"/>
  <c r="E699" i="16"/>
  <c r="E787" i="16"/>
  <c r="E905" i="16"/>
  <c r="E728" i="16"/>
  <c r="E816" i="16"/>
  <c r="E581" i="16"/>
  <c r="E669" i="16"/>
  <c r="E757" i="16"/>
  <c r="E837" i="16"/>
  <c r="E682" i="16"/>
  <c r="E770" i="16"/>
  <c r="E850" i="16"/>
  <c r="E949" i="16"/>
  <c r="E767" i="16"/>
  <c r="E847" i="16"/>
  <c r="E944" i="16"/>
  <c r="E1129" i="16"/>
  <c r="E1067" i="16"/>
  <c r="E943" i="16"/>
  <c r="E956" i="16"/>
  <c r="E950" i="16"/>
  <c r="E255" i="16"/>
  <c r="E223" i="16"/>
  <c r="E194" i="16"/>
  <c r="E178" i="16"/>
  <c r="E162" i="16"/>
  <c r="E146" i="16"/>
  <c r="E116" i="16"/>
  <c r="E84" i="16"/>
  <c r="E52" i="16"/>
  <c r="E20" i="16"/>
  <c r="E127" i="16"/>
  <c r="E95" i="16"/>
  <c r="E63" i="16"/>
  <c r="E31" i="16"/>
  <c r="E144" i="16"/>
  <c r="E208" i="16"/>
  <c r="E272" i="16"/>
  <c r="E336" i="16"/>
  <c r="E392" i="16"/>
  <c r="E432" i="16"/>
  <c r="E269" i="16"/>
  <c r="E333" i="16"/>
  <c r="E419" i="16"/>
  <c r="E512" i="16"/>
  <c r="E226" i="16"/>
  <c r="E290" i="16"/>
  <c r="E354" i="16"/>
  <c r="E687" i="16"/>
  <c r="E327" i="16"/>
  <c r="E391" i="16"/>
  <c r="E439" i="16"/>
  <c r="E531" i="16"/>
  <c r="E180" i="16"/>
  <c r="E244" i="16"/>
  <c r="E308" i="16"/>
  <c r="E372" i="16"/>
  <c r="E416" i="16"/>
  <c r="E297" i="16"/>
  <c r="E361" i="16"/>
  <c r="E496" i="16"/>
  <c r="E238" i="16"/>
  <c r="E302" i="16"/>
  <c r="E366" i="16"/>
  <c r="E542" i="16"/>
  <c r="E583" i="16"/>
  <c r="E615" i="16"/>
  <c r="E647" i="16"/>
  <c r="E1239" i="16"/>
  <c r="E437" i="16"/>
  <c r="E501" i="16"/>
  <c r="E565" i="16"/>
  <c r="E498" i="16"/>
  <c r="E562" i="16"/>
  <c r="E495" i="16"/>
  <c r="E559" i="16"/>
  <c r="E732" i="16"/>
  <c r="E796" i="16"/>
  <c r="E913" i="16"/>
  <c r="E500" i="16"/>
  <c r="E564" i="16"/>
  <c r="E602" i="16"/>
  <c r="E634" i="16"/>
  <c r="E666" i="16"/>
  <c r="E457" i="16"/>
  <c r="E521" i="16"/>
  <c r="E584" i="16"/>
  <c r="E616" i="16"/>
  <c r="E648" i="16"/>
  <c r="E601" i="16"/>
  <c r="E665" i="16"/>
  <c r="E729" i="16"/>
  <c r="E809" i="16"/>
  <c r="E910" i="16"/>
  <c r="E734" i="16"/>
  <c r="E822" i="16"/>
  <c r="E882" i="16"/>
  <c r="E707" i="16"/>
  <c r="E795" i="16"/>
  <c r="E925" i="16"/>
  <c r="E736" i="16"/>
  <c r="E824" i="16"/>
  <c r="E597" i="16"/>
  <c r="E677" i="16"/>
  <c r="E765" i="16"/>
  <c r="E853" i="16"/>
  <c r="E690" i="16"/>
  <c r="E778" i="16"/>
  <c r="E859" i="16"/>
  <c r="E1040" i="16"/>
  <c r="E775" i="16"/>
  <c r="E1056" i="16"/>
  <c r="E960" i="16"/>
  <c r="E1230" i="16"/>
  <c r="E1089" i="16"/>
  <c r="E959" i="16"/>
  <c r="E1065" i="16"/>
  <c r="E1063" i="16"/>
  <c r="E115" i="16"/>
  <c r="E83" i="16"/>
  <c r="E51" i="16"/>
  <c r="E19" i="16"/>
  <c r="E283" i="16"/>
  <c r="E237" i="16"/>
  <c r="E205" i="16"/>
  <c r="E110" i="16"/>
  <c r="E78" i="16"/>
  <c r="E46" i="16"/>
  <c r="E14" i="16"/>
  <c r="E438" i="16"/>
  <c r="E291" i="16"/>
  <c r="E371" i="16"/>
  <c r="E152" i="16"/>
  <c r="E216" i="16"/>
  <c r="E280" i="16"/>
  <c r="E344" i="16"/>
  <c r="E394" i="16"/>
  <c r="E436" i="16"/>
  <c r="E277" i="16"/>
  <c r="E341" i="16"/>
  <c r="E447" i="16"/>
  <c r="E515" i="16"/>
  <c r="E234" i="16"/>
  <c r="E298" i="16"/>
  <c r="E362" i="16"/>
  <c r="E271" i="16"/>
  <c r="E335" i="16"/>
  <c r="E398" i="16"/>
  <c r="E443" i="16"/>
  <c r="E544" i="16"/>
  <c r="E188" i="16"/>
  <c r="E252" i="16"/>
  <c r="E316" i="16"/>
  <c r="E377" i="16"/>
  <c r="E418" i="16"/>
  <c r="E305" i="16"/>
  <c r="E369" i="16"/>
  <c r="E499" i="16"/>
  <c r="E246" i="16"/>
  <c r="E310" i="16"/>
  <c r="E374" i="16"/>
  <c r="E550" i="16"/>
  <c r="E587" i="16"/>
  <c r="E619" i="16"/>
  <c r="E651" i="16"/>
  <c r="E381" i="16"/>
  <c r="E445" i="16"/>
  <c r="E509" i="16"/>
  <c r="E573" i="16"/>
  <c r="E506" i="16"/>
  <c r="E570" i="16"/>
  <c r="E503" i="16"/>
  <c r="E567" i="16"/>
  <c r="E740" i="16"/>
  <c r="E804" i="16"/>
  <c r="E444" i="16"/>
  <c r="E508" i="16"/>
  <c r="E572" i="16"/>
  <c r="E606" i="16"/>
  <c r="E638" i="16"/>
  <c r="E670" i="16"/>
  <c r="E465" i="16"/>
  <c r="E529" i="16"/>
  <c r="E588" i="16"/>
  <c r="E620" i="16"/>
  <c r="E652" i="16"/>
  <c r="E609" i="16"/>
  <c r="E673" i="16"/>
  <c r="E737" i="16"/>
  <c r="E817" i="16"/>
  <c r="E1047" i="16"/>
  <c r="E750" i="16"/>
  <c r="E830" i="16"/>
  <c r="E886" i="16"/>
  <c r="E723" i="16"/>
  <c r="E803" i="16"/>
  <c r="E1255" i="16"/>
  <c r="E752" i="16"/>
  <c r="E832" i="16"/>
  <c r="E605" i="16"/>
  <c r="E693" i="16"/>
  <c r="E773" i="16"/>
  <c r="E861" i="16"/>
  <c r="E706" i="16"/>
  <c r="E786" i="16"/>
  <c r="E865" i="16"/>
  <c r="E703" i="16"/>
  <c r="E783" i="16"/>
  <c r="E1121" i="16"/>
  <c r="E976" i="16"/>
  <c r="E898" i="16"/>
  <c r="E1177" i="16"/>
  <c r="E975" i="16"/>
  <c r="E1225" i="16"/>
  <c r="E1288" i="16"/>
  <c r="E1153" i="15"/>
  <c r="E638" i="15"/>
  <c r="E979" i="15"/>
  <c r="E1047" i="15"/>
  <c r="E1228" i="15"/>
  <c r="E323" i="15"/>
  <c r="E479" i="15"/>
  <c r="E918" i="15"/>
  <c r="E5" i="15"/>
  <c r="E119" i="15"/>
  <c r="E174" i="15"/>
  <c r="E626" i="15"/>
  <c r="E888" i="15"/>
  <c r="E821" i="15"/>
  <c r="E1260" i="15"/>
  <c r="E1249" i="15"/>
  <c r="E3" i="15"/>
  <c r="E1120" i="15"/>
  <c r="E35" i="15"/>
  <c r="E459" i="15"/>
  <c r="E557" i="15"/>
  <c r="E863" i="15"/>
  <c r="E55" i="15"/>
  <c r="E268" i="15"/>
  <c r="E514" i="15"/>
  <c r="E681" i="15"/>
  <c r="E761" i="15"/>
  <c r="E1018" i="15"/>
  <c r="E921" i="15"/>
  <c r="E1347" i="15"/>
  <c r="E153" i="15"/>
  <c r="E195" i="15"/>
  <c r="E340" i="15"/>
  <c r="E846" i="15"/>
  <c r="E1033" i="15"/>
  <c r="E40" i="15"/>
  <c r="E428" i="15"/>
  <c r="E617" i="15"/>
  <c r="E282" i="15"/>
  <c r="E309" i="15"/>
  <c r="E346" i="15"/>
  <c r="E246" i="15"/>
  <c r="E671" i="15"/>
  <c r="E938" i="15"/>
  <c r="E138" i="15"/>
  <c r="E451" i="15"/>
  <c r="E394" i="15"/>
  <c r="E318" i="15"/>
  <c r="E806" i="15"/>
  <c r="E449" i="15"/>
  <c r="E683" i="15"/>
  <c r="E650" i="15"/>
  <c r="E732" i="15"/>
  <c r="E1122" i="15"/>
  <c r="E74" i="15"/>
  <c r="E104" i="15"/>
  <c r="E164" i="15"/>
  <c r="E259" i="15"/>
  <c r="E424" i="15"/>
  <c r="E462" i="15"/>
  <c r="E387" i="15"/>
  <c r="E604" i="15"/>
  <c r="E878" i="15"/>
  <c r="E529" i="15"/>
  <c r="E771" i="15"/>
  <c r="E738" i="15"/>
  <c r="E812" i="15"/>
  <c r="E951" i="15"/>
  <c r="E1156" i="15"/>
  <c r="E348" i="15"/>
  <c r="E1957" i="15"/>
  <c r="E508" i="15"/>
  <c r="E209" i="15"/>
  <c r="E851" i="15"/>
  <c r="E204" i="15"/>
  <c r="E301" i="15"/>
  <c r="E528" i="15"/>
  <c r="E453" i="15"/>
  <c r="E199" i="15"/>
  <c r="E281" i="15"/>
  <c r="E400" i="15"/>
  <c r="E464" i="15"/>
  <c r="E559" i="15"/>
  <c r="E798" i="15"/>
  <c r="E1132" i="15"/>
  <c r="E927" i="15"/>
  <c r="E909" i="15"/>
  <c r="E1143" i="15"/>
  <c r="E1022" i="15"/>
  <c r="E562" i="15"/>
  <c r="E826" i="15"/>
  <c r="E85" i="15"/>
  <c r="E269" i="15"/>
  <c r="E263" i="15"/>
  <c r="E652" i="15"/>
  <c r="E1000" i="15"/>
  <c r="E1118" i="15"/>
  <c r="E94" i="15"/>
  <c r="E923" i="15"/>
  <c r="E151" i="15"/>
  <c r="E154" i="15"/>
  <c r="E353" i="15"/>
  <c r="E610" i="15"/>
  <c r="E645" i="15"/>
  <c r="E872" i="15"/>
  <c r="E695" i="15"/>
  <c r="E989" i="15"/>
  <c r="E948" i="15"/>
  <c r="E86" i="15"/>
  <c r="E21" i="15"/>
  <c r="E99" i="15"/>
  <c r="E165" i="15"/>
  <c r="E218" i="15"/>
  <c r="E327" i="15"/>
  <c r="E435" i="15"/>
  <c r="E407" i="15"/>
  <c r="E469" i="15"/>
  <c r="E765" i="15"/>
  <c r="E550" i="15"/>
  <c r="E1091" i="15"/>
  <c r="E783" i="15"/>
  <c r="E1077" i="15"/>
  <c r="E1052" i="15"/>
  <c r="E27" i="15"/>
  <c r="E1852" i="15"/>
  <c r="E1888" i="15"/>
  <c r="E1624" i="15"/>
  <c r="E1373" i="15"/>
  <c r="E1256" i="15"/>
  <c r="E1877" i="15"/>
  <c r="E1734" i="15"/>
  <c r="E1483" i="15"/>
  <c r="E1432" i="15"/>
  <c r="E1218" i="15"/>
  <c r="E1318" i="15"/>
  <c r="E1783" i="15"/>
  <c r="E1705" i="15"/>
  <c r="E1505" i="15"/>
  <c r="E1473" i="15"/>
  <c r="E1237" i="15"/>
  <c r="E1222" i="15"/>
  <c r="E1899" i="15"/>
  <c r="E1691" i="15"/>
  <c r="E1383" i="15"/>
  <c r="E1348" i="15"/>
  <c r="E1152" i="15"/>
  <c r="E1789" i="15"/>
  <c r="E1779" i="15"/>
  <c r="E1520" i="15"/>
  <c r="E1660" i="15"/>
  <c r="E1362" i="15"/>
  <c r="E1307" i="15"/>
  <c r="E1929" i="15"/>
  <c r="E1631" i="15"/>
  <c r="E1398" i="15"/>
  <c r="E1441" i="15"/>
  <c r="E1484" i="15"/>
  <c r="E446" i="15"/>
  <c r="E130" i="15"/>
  <c r="E66" i="15"/>
  <c r="E461" i="15"/>
  <c r="E156" i="15"/>
  <c r="E77" i="15"/>
  <c r="E13" i="15"/>
  <c r="E264" i="15"/>
  <c r="E149" i="15"/>
  <c r="E96" i="15"/>
  <c r="E32" i="15"/>
  <c r="E256" i="15"/>
  <c r="E147" i="15"/>
  <c r="E91" i="15"/>
  <c r="E344" i="15"/>
  <c r="E122" i="15"/>
  <c r="E58" i="15"/>
  <c r="E436" i="15"/>
  <c r="E133" i="15"/>
  <c r="E69" i="15"/>
  <c r="E245" i="15"/>
  <c r="E145" i="15"/>
  <c r="E88" i="15"/>
  <c r="E24" i="15"/>
  <c r="E237" i="15"/>
  <c r="E143" i="15"/>
  <c r="E83" i="15"/>
  <c r="E19" i="15"/>
  <c r="E357" i="15"/>
  <c r="E155" i="15"/>
  <c r="E78" i="15"/>
  <c r="E429" i="15"/>
  <c r="E208" i="15"/>
  <c r="E152" i="15"/>
  <c r="E103" i="15"/>
  <c r="E39" i="15"/>
  <c r="E211" i="15"/>
  <c r="E275" i="15"/>
  <c r="E339" i="15"/>
  <c r="E536" i="15"/>
  <c r="E170" i="15"/>
  <c r="E234" i="15"/>
  <c r="E298" i="15"/>
  <c r="E362" i="15"/>
  <c r="E402" i="15"/>
  <c r="E444" i="15"/>
  <c r="E1203" i="15"/>
  <c r="E215" i="15"/>
  <c r="E279" i="15"/>
  <c r="E343" i="15"/>
  <c r="E634" i="15"/>
  <c r="E284" i="15"/>
  <c r="E364" i="15"/>
  <c r="E547" i="15"/>
  <c r="E225" i="15"/>
  <c r="E297" i="15"/>
  <c r="E373" i="15"/>
  <c r="E468" i="15"/>
  <c r="E190" i="15"/>
  <c r="E270" i="15"/>
  <c r="E342" i="15"/>
  <c r="E395" i="15"/>
  <c r="E440" i="15"/>
  <c r="E416" i="15"/>
  <c r="E741" i="15"/>
  <c r="E491" i="15"/>
  <c r="E647" i="15"/>
  <c r="E563" i="15"/>
  <c r="E472" i="15"/>
  <c r="E627" i="15"/>
  <c r="E504" i="15"/>
  <c r="E492" i="15"/>
  <c r="E624" i="15"/>
  <c r="E493" i="15"/>
  <c r="E581" i="15"/>
  <c r="E688" i="15"/>
  <c r="E899" i="15"/>
  <c r="E1146" i="15"/>
  <c r="E495" i="15"/>
  <c r="E583" i="15"/>
  <c r="E657" i="15"/>
  <c r="E776" i="15"/>
  <c r="E1019" i="15"/>
  <c r="E712" i="15"/>
  <c r="E465" i="15"/>
  <c r="E553" i="15"/>
  <c r="E679" i="15"/>
  <c r="E830" i="15"/>
  <c r="E486" i="15"/>
  <c r="E574" i="15"/>
  <c r="E648" i="15"/>
  <c r="E952" i="15"/>
  <c r="E707" i="15"/>
  <c r="E787" i="15"/>
  <c r="E875" i="15"/>
  <c r="E808" i="15"/>
  <c r="E906" i="15"/>
  <c r="E1180" i="15"/>
  <c r="E845" i="15"/>
  <c r="E1016" i="15"/>
  <c r="E674" i="15"/>
  <c r="E762" i="15"/>
  <c r="E842" i="15"/>
  <c r="E960" i="15"/>
  <c r="E719" i="15"/>
  <c r="E799" i="15"/>
  <c r="E900" i="15"/>
  <c r="E1279" i="15"/>
  <c r="E748" i="15"/>
  <c r="E836" i="15"/>
  <c r="E1075" i="15"/>
  <c r="E925" i="15"/>
  <c r="E1013" i="15"/>
  <c r="E1101" i="15"/>
  <c r="E1292" i="15"/>
  <c r="E1050" i="15"/>
  <c r="E1149" i="15"/>
  <c r="E975" i="15"/>
  <c r="E1079" i="15"/>
  <c r="E1151" i="15"/>
  <c r="E980" i="15"/>
  <c r="E1076" i="15"/>
  <c r="E1287" i="15"/>
  <c r="E953" i="15"/>
  <c r="E1049" i="15"/>
  <c r="E1268" i="15"/>
  <c r="E942" i="15"/>
  <c r="E1046" i="15"/>
  <c r="E1150" i="15"/>
  <c r="E1169" i="15"/>
  <c r="E1281" i="15"/>
  <c r="E1359" i="15"/>
  <c r="E1246" i="15"/>
  <c r="E1227" i="15"/>
  <c r="E1323" i="15"/>
  <c r="E1184" i="15"/>
  <c r="E1280" i="15"/>
  <c r="E1620" i="15"/>
  <c r="E1285" i="15"/>
  <c r="E1374" i="15"/>
  <c r="E1258" i="15"/>
  <c r="E1364" i="15"/>
  <c r="E1393" i="15"/>
  <c r="E1498" i="15"/>
  <c r="E1508" i="15"/>
  <c r="E1345" i="15"/>
  <c r="E1448" i="15"/>
  <c r="E1455" i="15"/>
  <c r="E1796" i="15"/>
  <c r="E1561" i="15"/>
  <c r="E1470" i="15"/>
  <c r="E1523" i="15"/>
  <c r="E1576" i="15"/>
  <c r="E1605" i="15"/>
  <c r="E1642" i="15"/>
  <c r="E1679" i="15"/>
  <c r="E1737" i="15"/>
  <c r="E1782" i="15"/>
  <c r="E1834" i="15"/>
  <c r="E1887" i="15"/>
  <c r="E1823" i="15"/>
  <c r="E1908" i="15"/>
  <c r="E1902" i="15"/>
  <c r="E1939" i="15"/>
  <c r="E1925" i="15"/>
  <c r="E325" i="15"/>
  <c r="E114" i="15"/>
  <c r="E50" i="15"/>
  <c r="E336" i="15"/>
  <c r="E125" i="15"/>
  <c r="E61" i="15"/>
  <c r="E680" i="15"/>
  <c r="E213" i="15"/>
  <c r="E141" i="15"/>
  <c r="E80" i="15"/>
  <c r="E16" i="15"/>
  <c r="E216" i="15"/>
  <c r="E139" i="15"/>
  <c r="E75" i="15"/>
  <c r="E11" i="15"/>
  <c r="E312" i="15"/>
  <c r="E134" i="15"/>
  <c r="E70" i="15"/>
  <c r="E380" i="15"/>
  <c r="E192" i="15"/>
  <c r="E148" i="15"/>
  <c r="E95" i="15"/>
  <c r="E31" i="15"/>
  <c r="E219" i="15"/>
  <c r="E283" i="15"/>
  <c r="E347" i="15"/>
  <c r="E838" i="15"/>
  <c r="E178" i="15"/>
  <c r="E242" i="15"/>
  <c r="E306" i="15"/>
  <c r="E374" i="15"/>
  <c r="E406" i="15"/>
  <c r="E454" i="15"/>
  <c r="E159" i="15"/>
  <c r="E223" i="15"/>
  <c r="E287" i="15"/>
  <c r="E351" i="15"/>
  <c r="E677" i="15"/>
  <c r="E300" i="15"/>
  <c r="E371" i="15"/>
  <c r="E580" i="15"/>
  <c r="E233" i="15"/>
  <c r="E305" i="15"/>
  <c r="E381" i="15"/>
  <c r="E478" i="15"/>
  <c r="E206" i="15"/>
  <c r="E278" i="15"/>
  <c r="E350" i="15"/>
  <c r="E401" i="15"/>
  <c r="E450" i="15"/>
  <c r="E500" i="15"/>
  <c r="E1115" i="15"/>
  <c r="E506" i="15"/>
  <c r="E663" i="15"/>
  <c r="E596" i="15"/>
  <c r="E496" i="15"/>
  <c r="E632" i="15"/>
  <c r="E530" i="15"/>
  <c r="E512" i="15"/>
  <c r="E639" i="15"/>
  <c r="E509" i="15"/>
  <c r="E589" i="15"/>
  <c r="E721" i="15"/>
  <c r="E968" i="15"/>
  <c r="E423" i="15"/>
  <c r="E503" i="15"/>
  <c r="E599" i="15"/>
  <c r="E661" i="15"/>
  <c r="E785" i="15"/>
  <c r="E1175" i="15"/>
  <c r="E745" i="15"/>
  <c r="E473" i="15"/>
  <c r="E569" i="15"/>
  <c r="E689" i="15"/>
  <c r="E841" i="15"/>
  <c r="E502" i="15"/>
  <c r="E582" i="15"/>
  <c r="E656" i="15"/>
  <c r="E1263" i="15"/>
  <c r="E715" i="15"/>
  <c r="E795" i="15"/>
  <c r="E919" i="15"/>
  <c r="E816" i="15"/>
  <c r="E908" i="15"/>
  <c r="E1295" i="15"/>
  <c r="E853" i="15"/>
  <c r="E1048" i="15"/>
  <c r="E690" i="15"/>
  <c r="E770" i="15"/>
  <c r="E850" i="15"/>
  <c r="E1003" i="15"/>
  <c r="E727" i="15"/>
  <c r="E807" i="15"/>
  <c r="E930" i="15"/>
  <c r="E676" i="15"/>
  <c r="E756" i="15"/>
  <c r="E852" i="15"/>
  <c r="E1107" i="15"/>
  <c r="E933" i="15"/>
  <c r="E1029" i="15"/>
  <c r="E1109" i="15"/>
  <c r="E1324" i="15"/>
  <c r="E1058" i="15"/>
  <c r="E1158" i="15"/>
  <c r="E983" i="15"/>
  <c r="E1095" i="15"/>
  <c r="E1166" i="15"/>
  <c r="E988" i="15"/>
  <c r="E1092" i="15"/>
  <c r="E1303" i="15"/>
  <c r="E969" i="15"/>
  <c r="E1065" i="15"/>
  <c r="E1284" i="15"/>
  <c r="E958" i="15"/>
  <c r="E1054" i="15"/>
  <c r="E1164" i="15"/>
  <c r="E1185" i="15"/>
  <c r="E1289" i="15"/>
  <c r="E1367" i="15"/>
  <c r="E1254" i="15"/>
  <c r="E1243" i="15"/>
  <c r="E1387" i="15"/>
  <c r="E1192" i="15"/>
  <c r="E1296" i="15"/>
  <c r="E1157" i="15"/>
  <c r="E1301" i="15"/>
  <c r="E1443" i="15"/>
  <c r="E1274" i="15"/>
  <c r="E1376" i="15"/>
  <c r="E1397" i="15"/>
  <c r="E1538" i="15"/>
  <c r="E1412" i="15"/>
  <c r="E1384" i="15"/>
  <c r="E1500" i="15"/>
  <c r="E1463" i="15"/>
  <c r="E1548" i="15"/>
  <c r="E1601" i="15"/>
  <c r="E1486" i="15"/>
  <c r="E1563" i="15"/>
  <c r="E1600" i="15"/>
  <c r="E1613" i="15"/>
  <c r="E1690" i="15"/>
  <c r="E1744" i="15"/>
  <c r="E1745" i="15"/>
  <c r="E1822" i="15"/>
  <c r="E1866" i="15"/>
  <c r="E1962" i="15"/>
  <c r="E1862" i="15"/>
  <c r="E1940" i="15"/>
  <c r="E1910" i="15"/>
  <c r="E1987" i="15"/>
  <c r="E106" i="15"/>
  <c r="E117" i="15"/>
  <c r="E448" i="15"/>
  <c r="E136" i="15"/>
  <c r="E72" i="15"/>
  <c r="E8" i="15"/>
  <c r="E200" i="15"/>
  <c r="E131" i="15"/>
  <c r="E67" i="15"/>
  <c r="E293" i="15"/>
  <c r="E126" i="15"/>
  <c r="E62" i="15"/>
  <c r="E372" i="15"/>
  <c r="E189" i="15"/>
  <c r="E144" i="15"/>
  <c r="E87" i="15"/>
  <c r="E23" i="15"/>
  <c r="E227" i="15"/>
  <c r="E355" i="15"/>
  <c r="E250" i="15"/>
  <c r="E314" i="15"/>
  <c r="E378" i="15"/>
  <c r="E410" i="15"/>
  <c r="E456" i="15"/>
  <c r="E167" i="15"/>
  <c r="E231" i="15"/>
  <c r="E295" i="15"/>
  <c r="E359" i="15"/>
  <c r="E236" i="15"/>
  <c r="E308" i="15"/>
  <c r="E430" i="15"/>
  <c r="E592" i="15"/>
  <c r="E241" i="15"/>
  <c r="E313" i="15"/>
  <c r="E389" i="15"/>
  <c r="E142" i="15"/>
  <c r="E214" i="15"/>
  <c r="E286" i="15"/>
  <c r="E358" i="15"/>
  <c r="E403" i="15"/>
  <c r="E460" i="15"/>
  <c r="E531" i="15"/>
  <c r="E367" i="15"/>
  <c r="E524" i="15"/>
  <c r="E713" i="15"/>
  <c r="E644" i="15"/>
  <c r="E507" i="15"/>
  <c r="E729" i="15"/>
  <c r="E548" i="15"/>
  <c r="E523" i="15"/>
  <c r="E718" i="15"/>
  <c r="E517" i="15"/>
  <c r="E597" i="15"/>
  <c r="E749" i="15"/>
  <c r="E1032" i="15"/>
  <c r="E431" i="15"/>
  <c r="E519" i="15"/>
  <c r="E607" i="15"/>
  <c r="E665" i="15"/>
  <c r="E822" i="15"/>
  <c r="E612" i="15"/>
  <c r="E750" i="15"/>
  <c r="E489" i="15"/>
  <c r="E577" i="15"/>
  <c r="E694" i="15"/>
  <c r="E873" i="15"/>
  <c r="E510" i="15"/>
  <c r="E590" i="15"/>
  <c r="E670" i="15"/>
  <c r="E643" i="15"/>
  <c r="E723" i="15"/>
  <c r="E811" i="15"/>
  <c r="E976" i="15"/>
  <c r="E824" i="15"/>
  <c r="E947" i="15"/>
  <c r="E781" i="15"/>
  <c r="E861" i="15"/>
  <c r="E1112" i="15"/>
  <c r="E698" i="15"/>
  <c r="E778" i="15"/>
  <c r="E866" i="15"/>
  <c r="E1035" i="15"/>
  <c r="E735" i="15"/>
  <c r="E823" i="15"/>
  <c r="E939" i="15"/>
  <c r="E684" i="15"/>
  <c r="E772" i="15"/>
  <c r="E860" i="15"/>
  <c r="E1138" i="15"/>
  <c r="E949" i="15"/>
  <c r="E1037" i="15"/>
  <c r="E1117" i="15"/>
  <c r="E970" i="15"/>
  <c r="E1066" i="15"/>
  <c r="E1196" i="15"/>
  <c r="E999" i="15"/>
  <c r="E1103" i="15"/>
  <c r="E1204" i="15"/>
  <c r="E996" i="15"/>
  <c r="E1108" i="15"/>
  <c r="E1335" i="15"/>
  <c r="E977" i="15"/>
  <c r="E1081" i="15"/>
  <c r="E1300" i="15"/>
  <c r="E974" i="15"/>
  <c r="E1070" i="15"/>
  <c r="E1187" i="15"/>
  <c r="E1201" i="15"/>
  <c r="E1297" i="15"/>
  <c r="E1375" i="15"/>
  <c r="E1270" i="15"/>
  <c r="E1251" i="15"/>
  <c r="E1403" i="15"/>
  <c r="E1200" i="15"/>
  <c r="E1312" i="15"/>
  <c r="E1173" i="15"/>
  <c r="E1317" i="15"/>
  <c r="E1154" i="15"/>
  <c r="E1282" i="15"/>
  <c r="E1396" i="15"/>
  <c r="E1409" i="15"/>
  <c r="E1654" i="15"/>
  <c r="E1420" i="15"/>
  <c r="E1392" i="15"/>
  <c r="E1514" i="15"/>
  <c r="E1495" i="15"/>
  <c r="E1556" i="15"/>
  <c r="E1708" i="15"/>
  <c r="E1518" i="15"/>
  <c r="E1579" i="15"/>
  <c r="E1595" i="15"/>
  <c r="E1645" i="15"/>
  <c r="E1698" i="15"/>
  <c r="E1609" i="15"/>
  <c r="E1777" i="15"/>
  <c r="E1830" i="15"/>
  <c r="E1784" i="15"/>
  <c r="E1802" i="15"/>
  <c r="E1896" i="15"/>
  <c r="E1980" i="15"/>
  <c r="E1942" i="15"/>
  <c r="E1995" i="15"/>
  <c r="E280" i="15"/>
  <c r="E291" i="15"/>
  <c r="E261" i="15"/>
  <c r="E34" i="15"/>
  <c r="E45" i="15"/>
  <c r="E128" i="15"/>
  <c r="E188" i="15"/>
  <c r="E603" i="15"/>
  <c r="E54" i="15"/>
  <c r="E184" i="15"/>
  <c r="E15" i="15"/>
  <c r="E363" i="15"/>
  <c r="E258" i="15"/>
  <c r="E382" i="15"/>
  <c r="E175" i="15"/>
  <c r="E369" i="15"/>
  <c r="E432" i="15"/>
  <c r="E405" i="15"/>
  <c r="E294" i="15"/>
  <c r="E490" i="15"/>
  <c r="E544" i="15"/>
  <c r="E522" i="15"/>
  <c r="E538" i="15"/>
  <c r="E605" i="15"/>
  <c r="E439" i="15"/>
  <c r="E669" i="15"/>
  <c r="E773" i="15"/>
  <c r="E717" i="15"/>
  <c r="E702" i="15"/>
  <c r="E827" i="15"/>
  <c r="E995" i="15"/>
  <c r="E706" i="15"/>
  <c r="E743" i="15"/>
  <c r="E692" i="15"/>
  <c r="E1195" i="15"/>
  <c r="E1045" i="15"/>
  <c r="E986" i="15"/>
  <c r="E1082" i="15"/>
  <c r="E1244" i="15"/>
  <c r="E1015" i="15"/>
  <c r="E1111" i="15"/>
  <c r="E1231" i="15"/>
  <c r="E1012" i="15"/>
  <c r="E1116" i="15"/>
  <c r="E889" i="15"/>
  <c r="E985" i="15"/>
  <c r="E1097" i="15"/>
  <c r="E1332" i="15"/>
  <c r="E982" i="15"/>
  <c r="E1086" i="15"/>
  <c r="E1190" i="15"/>
  <c r="E1217" i="15"/>
  <c r="E1313" i="15"/>
  <c r="E1379" i="15"/>
  <c r="E1286" i="15"/>
  <c r="E1259" i="15"/>
  <c r="E1216" i="15"/>
  <c r="E1197" i="15"/>
  <c r="E1325" i="15"/>
  <c r="E1178" i="15"/>
  <c r="E1306" i="15"/>
  <c r="E1404" i="15"/>
  <c r="E1417" i="15"/>
  <c r="E1672" i="15"/>
  <c r="E1436" i="15"/>
  <c r="E1394" i="15"/>
  <c r="E1557" i="15"/>
  <c r="E1543" i="15"/>
  <c r="E1590" i="15"/>
  <c r="E1712" i="15"/>
  <c r="E1558" i="15"/>
  <c r="E1656" i="15"/>
  <c r="E1611" i="15"/>
  <c r="E1685" i="15"/>
  <c r="E1719" i="15"/>
  <c r="E1617" i="15"/>
  <c r="E1825" i="15"/>
  <c r="E1858" i="15"/>
  <c r="E1792" i="15"/>
  <c r="E1841" i="15"/>
  <c r="E1943" i="15"/>
  <c r="E1996" i="15"/>
  <c r="E1982" i="15"/>
  <c r="E1952" i="15"/>
  <c r="E767" i="15"/>
  <c r="E703" i="15"/>
  <c r="E971" i="15"/>
  <c r="E874" i="15"/>
  <c r="E810" i="15"/>
  <c r="E746" i="15"/>
  <c r="E682" i="15"/>
  <c r="E1148" i="15"/>
  <c r="E887" i="15"/>
  <c r="E829" i="15"/>
  <c r="E1236" i="15"/>
  <c r="E963" i="15"/>
  <c r="E856" i="15"/>
  <c r="E1172" i="15"/>
  <c r="E912" i="15"/>
  <c r="E819" i="15"/>
  <c r="E755" i="15"/>
  <c r="E691" i="15"/>
  <c r="E962" i="15"/>
  <c r="E697" i="15"/>
  <c r="E622" i="15"/>
  <c r="E558" i="15"/>
  <c r="E494" i="15"/>
  <c r="E886" i="15"/>
  <c r="E758" i="15"/>
  <c r="E625" i="15"/>
  <c r="E561" i="15"/>
  <c r="E497" i="15"/>
  <c r="E433" i="15"/>
  <c r="E686" i="15"/>
  <c r="E1083" i="15"/>
  <c r="E833" i="15"/>
  <c r="E737" i="15"/>
  <c r="E649" i="15"/>
  <c r="E591" i="15"/>
  <c r="E527" i="15"/>
  <c r="E463" i="15"/>
  <c r="E916" i="15"/>
  <c r="E903" i="15"/>
  <c r="E752" i="15"/>
  <c r="E629" i="15"/>
  <c r="E565" i="15"/>
  <c r="E501" i="15"/>
  <c r="E734" i="15"/>
  <c r="E587" i="15"/>
  <c r="E466" i="15"/>
  <c r="E515" i="15"/>
  <c r="E733" i="15"/>
  <c r="E571" i="15"/>
  <c r="E987" i="15"/>
  <c r="E578" i="15"/>
  <c r="E769" i="15"/>
  <c r="E588" i="15"/>
  <c r="E415" i="15"/>
  <c r="E870" i="15"/>
  <c r="E546" i="15"/>
  <c r="E384" i="15"/>
  <c r="E867" i="15"/>
  <c r="E803" i="15"/>
  <c r="E739" i="15"/>
  <c r="E675" i="15"/>
  <c r="E777" i="15"/>
  <c r="E664" i="15"/>
  <c r="E606" i="15"/>
  <c r="E542" i="15"/>
  <c r="E1167" i="15"/>
  <c r="E862" i="15"/>
  <c r="E720" i="15"/>
  <c r="E609" i="15"/>
  <c r="E545" i="15"/>
  <c r="E481" i="15"/>
  <c r="E782" i="15"/>
  <c r="E672" i="15"/>
  <c r="E946" i="15"/>
  <c r="E801" i="15"/>
  <c r="E701" i="15"/>
  <c r="E641" i="15"/>
  <c r="E575" i="15"/>
  <c r="E511" i="15"/>
  <c r="E447" i="15"/>
  <c r="E760" i="15"/>
  <c r="E884" i="15"/>
  <c r="E726" i="15"/>
  <c r="E613" i="15"/>
  <c r="E549" i="15"/>
  <c r="E485" i="15"/>
  <c r="E655" i="15"/>
  <c r="E556" i="15"/>
  <c r="E710" i="15"/>
  <c r="E484" i="15"/>
  <c r="E654" i="15"/>
  <c r="E540" i="15"/>
  <c r="E736" i="15"/>
  <c r="E552" i="15"/>
  <c r="E693" i="15"/>
  <c r="E555" i="15"/>
  <c r="E399" i="15"/>
  <c r="E696" i="15"/>
  <c r="E520" i="15"/>
  <c r="E498" i="15"/>
  <c r="E417" i="15"/>
  <c r="E385" i="15"/>
  <c r="E326" i="15"/>
  <c r="E262" i="15"/>
  <c r="E198" i="15"/>
  <c r="E572" i="15"/>
  <c r="E397" i="15"/>
  <c r="E329" i="15"/>
  <c r="E265" i="15"/>
  <c r="E201" i="15"/>
  <c r="E475" i="15"/>
  <c r="E356" i="15"/>
  <c r="E292" i="15"/>
  <c r="E228" i="15"/>
  <c r="E1941" i="15"/>
  <c r="E1853" i="15"/>
  <c r="E1928" i="15"/>
  <c r="E1923" i="15"/>
  <c r="E1835" i="15"/>
  <c r="E1918" i="15"/>
  <c r="E1945" i="15"/>
  <c r="E1857" i="15"/>
  <c r="E1916" i="15"/>
  <c r="E1836" i="15"/>
  <c r="E1954" i="15"/>
  <c r="E1799" i="15"/>
  <c r="E1890" i="15"/>
  <c r="E1994" i="15"/>
  <c r="E1797" i="15"/>
  <c r="E1808" i="15"/>
  <c r="E1838" i="15"/>
  <c r="E1755" i="15"/>
  <c r="E1840" i="15"/>
  <c r="E1758" i="15"/>
  <c r="E1878" i="15"/>
  <c r="E1761" i="15"/>
  <c r="E1740" i="15"/>
  <c r="E1625" i="15"/>
  <c r="E1695" i="15"/>
  <c r="E1870" i="15"/>
  <c r="E1706" i="15"/>
  <c r="E1626" i="15"/>
  <c r="E1709" i="15"/>
  <c r="E1621" i="15"/>
  <c r="E1707" i="15"/>
  <c r="E1619" i="15"/>
  <c r="E1584" i="15"/>
  <c r="E1504" i="15"/>
  <c r="E1589" i="15"/>
  <c r="E1499" i="15"/>
  <c r="E1582" i="15"/>
  <c r="E1494" i="15"/>
  <c r="E1406" i="15"/>
  <c r="E1720" i="15"/>
  <c r="E1569" i="15"/>
  <c r="E1481" i="15"/>
  <c r="E1572" i="15"/>
  <c r="E1686" i="15"/>
  <c r="E1559" i="15"/>
  <c r="E1479" i="15"/>
  <c r="E1391" i="15"/>
  <c r="E1562" i="15"/>
  <c r="E1516" i="15"/>
  <c r="E1425" i="15"/>
  <c r="E1381" i="15"/>
  <c r="E1380" i="15"/>
  <c r="E1340" i="15"/>
  <c r="E1250" i="15"/>
  <c r="E1162" i="15"/>
  <c r="E1358" i="15"/>
  <c r="E1293" i="15"/>
  <c r="E1205" i="15"/>
  <c r="E1501" i="15"/>
  <c r="E1304" i="15"/>
  <c r="E1240" i="15"/>
  <c r="E1176" i="15"/>
  <c r="E1474" i="15"/>
  <c r="E1299" i="15"/>
  <c r="E1235" i="15"/>
  <c r="E1294" i="15"/>
  <c r="E1230" i="15"/>
  <c r="E1371" i="15"/>
  <c r="E1339" i="15"/>
  <c r="E1273" i="15"/>
  <c r="E1209" i="15"/>
  <c r="E1145" i="15"/>
  <c r="E1159" i="15"/>
  <c r="E1094" i="15"/>
  <c r="E1030" i="15"/>
  <c r="E966" i="15"/>
  <c r="E902" i="15"/>
  <c r="E1252" i="15"/>
  <c r="E1089" i="15"/>
  <c r="E1025" i="15"/>
  <c r="E961" i="15"/>
  <c r="E897" i="15"/>
  <c r="E1255" i="15"/>
  <c r="E1100" i="15"/>
  <c r="E1036" i="15"/>
  <c r="E972" i="15"/>
  <c r="E1207" i="15"/>
  <c r="E1139" i="15"/>
  <c r="E1087" i="15"/>
  <c r="E1023" i="15"/>
  <c r="E959" i="15"/>
  <c r="E1191" i="15"/>
  <c r="E1106" i="15"/>
  <c r="E1042" i="15"/>
  <c r="E978" i="15"/>
  <c r="E1247" i="15"/>
  <c r="E1864" i="15"/>
  <c r="E1879" i="15"/>
  <c r="E1912" i="15"/>
  <c r="E1803" i="15"/>
  <c r="E1903" i="15"/>
  <c r="E1798" i="15"/>
  <c r="E1718" i="15"/>
  <c r="E1801" i="15"/>
  <c r="E1713" i="15"/>
  <c r="E1673" i="15"/>
  <c r="E1752" i="15"/>
  <c r="E1647" i="15"/>
  <c r="E1733" i="15"/>
  <c r="E1666" i="15"/>
  <c r="E1741" i="15"/>
  <c r="E1669" i="15"/>
  <c r="E1696" i="15"/>
  <c r="E1659" i="15"/>
  <c r="E1644" i="15"/>
  <c r="E1544" i="15"/>
  <c r="E1668" i="15"/>
  <c r="E1547" i="15"/>
  <c r="E1459" i="15"/>
  <c r="E1534" i="15"/>
  <c r="E1454" i="15"/>
  <c r="E1788" i="15"/>
  <c r="E1646" i="15"/>
  <c r="E1529" i="15"/>
  <c r="E1612" i="15"/>
  <c r="E1524" i="15"/>
  <c r="E1604" i="15"/>
  <c r="E1519" i="15"/>
  <c r="E1431" i="15"/>
  <c r="E1530" i="15"/>
  <c r="E1458" i="15"/>
  <c r="E1416" i="15"/>
  <c r="E1369" i="15"/>
  <c r="E1533" i="15"/>
  <c r="E1573" i="15"/>
  <c r="E1549" i="15"/>
  <c r="E317" i="15"/>
  <c r="E186" i="15"/>
  <c r="E272" i="15"/>
  <c r="E420" i="15"/>
  <c r="E412" i="15"/>
  <c r="E59" i="15"/>
  <c r="E118" i="15"/>
  <c r="E140" i="15"/>
  <c r="E299" i="15"/>
  <c r="E194" i="15"/>
  <c r="E414" i="15"/>
  <c r="E239" i="15"/>
  <c r="E244" i="15"/>
  <c r="E616" i="15"/>
  <c r="E321" i="15"/>
  <c r="E222" i="15"/>
  <c r="E409" i="15"/>
  <c r="E375" i="15"/>
  <c r="E660" i="15"/>
  <c r="E568" i="15"/>
  <c r="E525" i="15"/>
  <c r="E1096" i="15"/>
  <c r="E615" i="15"/>
  <c r="E620" i="15"/>
  <c r="E585" i="15"/>
  <c r="E518" i="15"/>
  <c r="E651" i="15"/>
  <c r="E1008" i="15"/>
  <c r="E869" i="15"/>
  <c r="E786" i="15"/>
  <c r="E1067" i="15"/>
  <c r="E992" i="15"/>
  <c r="E868" i="15"/>
  <c r="E1125" i="15"/>
  <c r="E1320" i="15"/>
  <c r="E176" i="15"/>
  <c r="E90" i="15"/>
  <c r="E26" i="15"/>
  <c r="E253" i="15"/>
  <c r="E101" i="15"/>
  <c r="E37" i="15"/>
  <c r="E370" i="15"/>
  <c r="E171" i="15"/>
  <c r="E120" i="15"/>
  <c r="E56" i="15"/>
  <c r="E185" i="15"/>
  <c r="E115" i="15"/>
  <c r="E51" i="15"/>
  <c r="E516" i="15"/>
  <c r="E229" i="15"/>
  <c r="E110" i="15"/>
  <c r="E46" i="15"/>
  <c r="E333" i="15"/>
  <c r="E181" i="15"/>
  <c r="E135" i="15"/>
  <c r="E71" i="15"/>
  <c r="E7" i="15"/>
  <c r="E243" i="15"/>
  <c r="E307" i="15"/>
  <c r="E368" i="15"/>
  <c r="E1051" i="15"/>
  <c r="E202" i="15"/>
  <c r="E266" i="15"/>
  <c r="E330" i="15"/>
  <c r="E386" i="15"/>
  <c r="E418" i="15"/>
  <c r="E480" i="15"/>
  <c r="E183" i="15"/>
  <c r="E247" i="15"/>
  <c r="E311" i="15"/>
  <c r="E427" i="15"/>
  <c r="E252" i="15"/>
  <c r="E324" i="15"/>
  <c r="E442" i="15"/>
  <c r="E673" i="15"/>
  <c r="E257" i="15"/>
  <c r="E337" i="15"/>
  <c r="E413" i="15"/>
  <c r="E158" i="15"/>
  <c r="E230" i="15"/>
  <c r="E302" i="15"/>
  <c r="E377" i="15"/>
  <c r="E411" i="15"/>
  <c r="E376" i="15"/>
  <c r="E584" i="15"/>
  <c r="E383" i="15"/>
  <c r="E570" i="15"/>
  <c r="E488" i="15"/>
  <c r="E678" i="15"/>
  <c r="E560" i="15"/>
  <c r="E774" i="15"/>
  <c r="E579" i="15"/>
  <c r="E576" i="15"/>
  <c r="E793" i="15"/>
  <c r="E533" i="15"/>
  <c r="E621" i="15"/>
  <c r="E814" i="15"/>
  <c r="E1468" i="15"/>
  <c r="E455" i="15"/>
  <c r="E543" i="15"/>
  <c r="E623" i="15"/>
  <c r="E704" i="15"/>
  <c r="E865" i="15"/>
  <c r="E628" i="15"/>
  <c r="E425" i="15"/>
  <c r="E513" i="15"/>
  <c r="E593" i="15"/>
  <c r="E753" i="15"/>
  <c r="E896" i="15"/>
  <c r="E526" i="15"/>
  <c r="E614" i="15"/>
  <c r="E725" i="15"/>
  <c r="E659" i="15"/>
  <c r="E747" i="15"/>
  <c r="E835" i="15"/>
  <c r="E1040" i="15"/>
  <c r="E848" i="15"/>
  <c r="E1027" i="15"/>
  <c r="E797" i="15"/>
  <c r="E883" i="15"/>
  <c r="E1223" i="15"/>
  <c r="E714" i="15"/>
  <c r="E802" i="15"/>
  <c r="E911" i="15"/>
  <c r="E1099" i="15"/>
  <c r="E759" i="15"/>
  <c r="E847" i="15"/>
  <c r="E1024" i="15"/>
  <c r="E708" i="15"/>
  <c r="E796" i="15"/>
  <c r="E876" i="15"/>
  <c r="E885" i="15"/>
  <c r="E973" i="15"/>
  <c r="E1053" i="15"/>
  <c r="E1188" i="15"/>
  <c r="E994" i="15"/>
  <c r="E1098" i="15"/>
  <c r="E1578" i="15"/>
  <c r="E1031" i="15"/>
  <c r="E1127" i="15"/>
  <c r="E924" i="15"/>
  <c r="E1028" i="15"/>
  <c r="E1124" i="15"/>
  <c r="E905" i="15"/>
  <c r="E1001" i="15"/>
  <c r="E1105" i="15"/>
  <c r="E894" i="15"/>
  <c r="E990" i="15"/>
  <c r="E1102" i="15"/>
  <c r="E1239" i="15"/>
  <c r="E1225" i="15"/>
  <c r="E1329" i="15"/>
  <c r="E1411" i="15"/>
  <c r="E1302" i="15"/>
  <c r="E1275" i="15"/>
  <c r="E1128" i="15"/>
  <c r="E1232" i="15"/>
  <c r="E1328" i="15"/>
  <c r="E1221" i="15"/>
  <c r="E1342" i="15"/>
  <c r="E1186" i="15"/>
  <c r="E1322" i="15"/>
  <c r="E1472" i="15"/>
  <c r="E1429" i="15"/>
  <c r="E1477" i="15"/>
  <c r="E1452" i="15"/>
  <c r="E1408" i="15"/>
  <c r="E1692" i="15"/>
  <c r="E1551" i="15"/>
  <c r="E1676" i="15"/>
  <c r="E1728" i="15"/>
  <c r="E1566" i="15"/>
  <c r="E1780" i="15"/>
  <c r="E1643" i="15"/>
  <c r="E1701" i="15"/>
  <c r="E1746" i="15"/>
  <c r="E1649" i="15"/>
  <c r="E1855" i="15"/>
  <c r="E1938" i="15"/>
  <c r="E1824" i="15"/>
  <c r="E1854" i="15"/>
  <c r="E1983" i="15"/>
  <c r="E1881" i="15"/>
  <c r="E1998" i="15"/>
  <c r="E1992" i="15"/>
  <c r="E1278" i="15"/>
  <c r="E42" i="15"/>
  <c r="E53" i="15"/>
  <c r="E197" i="15"/>
  <c r="E880" i="15"/>
  <c r="E98" i="15"/>
  <c r="E109" i="15"/>
  <c r="E173" i="15"/>
  <c r="E64" i="15"/>
  <c r="E123" i="15"/>
  <c r="E248" i="15"/>
  <c r="E352" i="15"/>
  <c r="E79" i="15"/>
  <c r="E235" i="15"/>
  <c r="E890" i="15"/>
  <c r="E322" i="15"/>
  <c r="E467" i="15"/>
  <c r="E303" i="15"/>
  <c r="E316" i="15"/>
  <c r="E249" i="15"/>
  <c r="E150" i="15"/>
  <c r="E366" i="15"/>
  <c r="E564" i="15"/>
  <c r="E931" i="15"/>
  <c r="E744" i="15"/>
  <c r="E784" i="15"/>
  <c r="E790" i="15"/>
  <c r="E535" i="15"/>
  <c r="E854" i="15"/>
  <c r="E505" i="15"/>
  <c r="E892" i="15"/>
  <c r="E598" i="15"/>
  <c r="E731" i="15"/>
  <c r="E832" i="15"/>
  <c r="E789" i="15"/>
  <c r="E1198" i="15"/>
  <c r="E904" i="15"/>
  <c r="E839" i="15"/>
  <c r="E788" i="15"/>
  <c r="E965" i="15"/>
  <c r="E1492" i="15"/>
  <c r="E365" i="15"/>
  <c r="E169" i="15"/>
  <c r="E82" i="15"/>
  <c r="E18" i="15"/>
  <c r="E220" i="15"/>
  <c r="E93" i="15"/>
  <c r="E29" i="15"/>
  <c r="E328" i="15"/>
  <c r="E160" i="15"/>
  <c r="E112" i="15"/>
  <c r="E48" i="15"/>
  <c r="E320" i="15"/>
  <c r="E180" i="15"/>
  <c r="E107" i="15"/>
  <c r="E43" i="15"/>
  <c r="E483" i="15"/>
  <c r="E177" i="15"/>
  <c r="E102" i="15"/>
  <c r="E38" i="15"/>
  <c r="E288" i="15"/>
  <c r="E172" i="15"/>
  <c r="E127" i="15"/>
  <c r="E63" i="15"/>
  <c r="E187" i="15"/>
  <c r="E251" i="15"/>
  <c r="E315" i="15"/>
  <c r="E443" i="15"/>
  <c r="E146" i="15"/>
  <c r="E210" i="15"/>
  <c r="E274" i="15"/>
  <c r="E338" i="15"/>
  <c r="E390" i="15"/>
  <c r="E422" i="15"/>
  <c r="E554" i="15"/>
  <c r="E191" i="15"/>
  <c r="E255" i="15"/>
  <c r="E319" i="15"/>
  <c r="E437" i="15"/>
  <c r="E260" i="15"/>
  <c r="E332" i="15"/>
  <c r="E452" i="15"/>
  <c r="E193" i="15"/>
  <c r="E273" i="15"/>
  <c r="E345" i="15"/>
  <c r="E421" i="15"/>
  <c r="E166" i="15"/>
  <c r="E238" i="15"/>
  <c r="E310" i="15"/>
  <c r="E379" i="15"/>
  <c r="E419" i="15"/>
  <c r="E392" i="15"/>
  <c r="E595" i="15"/>
  <c r="E391" i="15"/>
  <c r="E608" i="15"/>
  <c r="E499" i="15"/>
  <c r="E705" i="15"/>
  <c r="E586" i="15"/>
  <c r="E849" i="15"/>
  <c r="E594" i="15"/>
  <c r="E602" i="15"/>
  <c r="E817" i="15"/>
  <c r="E541" i="15"/>
  <c r="E637" i="15"/>
  <c r="E825" i="15"/>
  <c r="E757" i="15"/>
  <c r="E471" i="15"/>
  <c r="E551" i="15"/>
  <c r="E631" i="15"/>
  <c r="E742" i="15"/>
  <c r="E882" i="15"/>
  <c r="E636" i="15"/>
  <c r="E441" i="15"/>
  <c r="E521" i="15"/>
  <c r="E601" i="15"/>
  <c r="E792" i="15"/>
  <c r="E914" i="15"/>
  <c r="E534" i="15"/>
  <c r="E630" i="15"/>
  <c r="E728" i="15"/>
  <c r="E667" i="15"/>
  <c r="E763" i="15"/>
  <c r="E843" i="15"/>
  <c r="E1072" i="15"/>
  <c r="E864" i="15"/>
  <c r="E1059" i="15"/>
  <c r="E805" i="15"/>
  <c r="E891" i="15"/>
  <c r="E642" i="15"/>
  <c r="E722" i="15"/>
  <c r="E818" i="15"/>
  <c r="E922" i="15"/>
  <c r="E1327" i="15"/>
  <c r="E775" i="15"/>
  <c r="E855" i="15"/>
  <c r="E1056" i="15"/>
  <c r="E724" i="15"/>
  <c r="E804" i="15"/>
  <c r="E920" i="15"/>
  <c r="E901" i="15"/>
  <c r="E981" i="15"/>
  <c r="E1061" i="15"/>
  <c r="E1215" i="15"/>
  <c r="E1002" i="15"/>
  <c r="E1114" i="15"/>
  <c r="E935" i="15"/>
  <c r="E1039" i="15"/>
  <c r="E1135" i="15"/>
  <c r="E932" i="15"/>
  <c r="E1044" i="15"/>
  <c r="E1174" i="15"/>
  <c r="E913" i="15"/>
  <c r="E1017" i="15"/>
  <c r="E1113" i="15"/>
  <c r="E910" i="15"/>
  <c r="E1006" i="15"/>
  <c r="E1110" i="15"/>
  <c r="E1137" i="15"/>
  <c r="E1233" i="15"/>
  <c r="E1343" i="15"/>
  <c r="E1206" i="15"/>
  <c r="E1310" i="15"/>
  <c r="E1291" i="15"/>
  <c r="E1136" i="15"/>
  <c r="E1248" i="15"/>
  <c r="E1419" i="15"/>
  <c r="E1229" i="15"/>
  <c r="E1350" i="15"/>
  <c r="E1194" i="15"/>
  <c r="E1344" i="15"/>
  <c r="E1349" i="15"/>
  <c r="E1433" i="15"/>
  <c r="E1714" i="15"/>
  <c r="E1606" i="15"/>
  <c r="E1426" i="15"/>
  <c r="E1648" i="15"/>
  <c r="E1583" i="15"/>
  <c r="E1914" i="15"/>
  <c r="E1390" i="15"/>
  <c r="E1616" i="15"/>
  <c r="E1812" i="15"/>
  <c r="E1683" i="15"/>
  <c r="E1731" i="15"/>
  <c r="E1778" i="15"/>
  <c r="E1689" i="15"/>
  <c r="E1946" i="15"/>
  <c r="E1747" i="15"/>
  <c r="E1781" i="15"/>
  <c r="E1922" i="15"/>
  <c r="E1991" i="15"/>
  <c r="E1921" i="15"/>
  <c r="E1859" i="15"/>
  <c r="E1845" i="15"/>
  <c r="E404" i="15"/>
  <c r="E157" i="15"/>
  <c r="E458" i="15"/>
  <c r="E224" i="15"/>
  <c r="E163" i="15"/>
  <c r="E111" i="15"/>
  <c r="E47" i="15"/>
  <c r="E203" i="15"/>
  <c r="E267" i="15"/>
  <c r="E331" i="15"/>
  <c r="E476" i="15"/>
  <c r="E162" i="15"/>
  <c r="E226" i="15"/>
  <c r="E290" i="15"/>
  <c r="E354" i="15"/>
  <c r="E398" i="15"/>
  <c r="E434" i="15"/>
  <c r="E662" i="15"/>
  <c r="E207" i="15"/>
  <c r="E271" i="15"/>
  <c r="E335" i="15"/>
  <c r="E600" i="15"/>
  <c r="E276" i="15"/>
  <c r="E539" i="15"/>
  <c r="E217" i="15"/>
  <c r="E289" i="15"/>
  <c r="E361" i="15"/>
  <c r="E445" i="15"/>
  <c r="E182" i="15"/>
  <c r="E254" i="15"/>
  <c r="E334" i="15"/>
  <c r="E393" i="15"/>
  <c r="E438" i="15"/>
  <c r="E408" i="15"/>
  <c r="E668" i="15"/>
  <c r="E474" i="15"/>
  <c r="E635" i="15"/>
  <c r="E532" i="15"/>
  <c r="E470" i="15"/>
  <c r="E618" i="15"/>
  <c r="E1311" i="15"/>
  <c r="E482" i="15"/>
  <c r="E619" i="15"/>
  <c r="E477" i="15"/>
  <c r="E573" i="15"/>
  <c r="E685" i="15"/>
  <c r="E857" i="15"/>
  <c r="E936" i="15"/>
  <c r="E487" i="15"/>
  <c r="E567" i="15"/>
  <c r="E653" i="15"/>
  <c r="E768" i="15"/>
  <c r="E928" i="15"/>
  <c r="E709" i="15"/>
  <c r="E457" i="15"/>
  <c r="E537" i="15"/>
  <c r="E633" i="15"/>
  <c r="E809" i="15"/>
  <c r="E1064" i="15"/>
  <c r="E566" i="15"/>
  <c r="E640" i="15"/>
  <c r="E766" i="15"/>
  <c r="E699" i="15"/>
  <c r="E779" i="15"/>
  <c r="E859" i="15"/>
  <c r="E800" i="15"/>
  <c r="E895" i="15"/>
  <c r="E1123" i="15"/>
  <c r="E837" i="15"/>
  <c r="E984" i="15"/>
  <c r="E658" i="15"/>
  <c r="E754" i="15"/>
  <c r="E834" i="15"/>
  <c r="E944" i="15"/>
  <c r="E711" i="15"/>
  <c r="E791" i="15"/>
  <c r="E871" i="15"/>
  <c r="E1220" i="15"/>
  <c r="E740" i="15"/>
  <c r="E820" i="15"/>
  <c r="E1043" i="15"/>
  <c r="E917" i="15"/>
  <c r="E997" i="15"/>
  <c r="E1093" i="15"/>
  <c r="E1276" i="15"/>
  <c r="E1034" i="15"/>
  <c r="E1133" i="15"/>
  <c r="E967" i="15"/>
  <c r="E1063" i="15"/>
  <c r="E1147" i="15"/>
  <c r="E964" i="15"/>
  <c r="E1060" i="15"/>
  <c r="E1271" i="15"/>
  <c r="E937" i="15"/>
  <c r="E1041" i="15"/>
  <c r="E1182" i="15"/>
  <c r="E926" i="15"/>
  <c r="E1038" i="15"/>
  <c r="E1134" i="15"/>
  <c r="E1161" i="15"/>
  <c r="E1265" i="15"/>
  <c r="E1351" i="15"/>
  <c r="E1238" i="15"/>
  <c r="E1334" i="15"/>
  <c r="E1315" i="15"/>
  <c r="E1168" i="15"/>
  <c r="E1264" i="15"/>
  <c r="E1541" i="15"/>
  <c r="E1261" i="15"/>
  <c r="E1366" i="15"/>
  <c r="E1242" i="15"/>
  <c r="E1356" i="15"/>
  <c r="E1385" i="15"/>
  <c r="E1449" i="15"/>
  <c r="E1480" i="15"/>
  <c r="E1738" i="15"/>
  <c r="E1440" i="15"/>
  <c r="E1415" i="15"/>
  <c r="E1636" i="15"/>
  <c r="E1545" i="15"/>
  <c r="E1430" i="15"/>
  <c r="E1491" i="15"/>
  <c r="E1568" i="15"/>
  <c r="E1911" i="15"/>
  <c r="E1610" i="15"/>
  <c r="E1671" i="15"/>
  <c r="E1770" i="15"/>
  <c r="E1750" i="15"/>
  <c r="E1819" i="15"/>
  <c r="E1821" i="15"/>
  <c r="E1791" i="15"/>
  <c r="E1900" i="15"/>
  <c r="E1961" i="15"/>
  <c r="E1907" i="15"/>
  <c r="E1917" i="15"/>
  <c r="E1818" i="15"/>
  <c r="E1759" i="15"/>
  <c r="E1839" i="15"/>
  <c r="E1959" i="15"/>
  <c r="E1876" i="15"/>
  <c r="E1964" i="15"/>
  <c r="E1897" i="15"/>
  <c r="E1985" i="15"/>
  <c r="E1966" i="15"/>
  <c r="E1875" i="15"/>
  <c r="E1963" i="15"/>
  <c r="E1976" i="15"/>
  <c r="E1893" i="15"/>
  <c r="E1981" i="15"/>
  <c r="E10" i="15"/>
  <c r="E168" i="15"/>
  <c r="E137" i="15"/>
  <c r="E33" i="15"/>
  <c r="E9" i="15"/>
  <c r="E108" i="15"/>
  <c r="E349" i="15"/>
  <c r="E240" i="15"/>
  <c r="E212" i="15"/>
  <c r="E113" i="15"/>
  <c r="E25" i="15"/>
  <c r="E341" i="15"/>
  <c r="E221" i="15"/>
  <c r="E60" i="15"/>
  <c r="E12" i="15"/>
  <c r="E105" i="15"/>
  <c r="E92" i="15"/>
  <c r="E52" i="15"/>
  <c r="E646" i="15"/>
  <c r="E426" i="15"/>
  <c r="E285" i="15"/>
  <c r="E196" i="15"/>
  <c r="E161" i="15"/>
  <c r="E97" i="15"/>
  <c r="E17" i="15"/>
  <c r="E360" i="15"/>
  <c r="E84" i="15"/>
  <c r="E44" i="15"/>
  <c r="E4" i="15"/>
  <c r="E30" i="15"/>
  <c r="E22" i="15"/>
  <c r="E14" i="15"/>
  <c r="E6" i="15"/>
  <c r="E396" i="15"/>
  <c r="E89" i="15"/>
  <c r="E73" i="15"/>
  <c r="E296" i="15"/>
  <c r="E205" i="15"/>
  <c r="E116" i="15"/>
  <c r="E68" i="15"/>
  <c r="E28" i="15"/>
  <c r="E304" i="15"/>
  <c r="E81" i="15"/>
  <c r="E65" i="15"/>
  <c r="E49" i="15"/>
  <c r="E388" i="15"/>
  <c r="E277" i="15"/>
  <c r="E232" i="15"/>
  <c r="E132" i="15"/>
  <c r="E100" i="15"/>
  <c r="E611" i="15"/>
  <c r="E129" i="15"/>
  <c r="E121" i="15"/>
  <c r="E57" i="15"/>
  <c r="E41" i="15"/>
  <c r="E179" i="15"/>
  <c r="E124" i="15"/>
  <c r="E76" i="15"/>
  <c r="E36" i="15"/>
  <c r="E20" i="15"/>
  <c r="E1965" i="15"/>
  <c r="E1901" i="15"/>
  <c r="E2000" i="15"/>
  <c r="E1936" i="15"/>
  <c r="E1947" i="15"/>
  <c r="E1883" i="15"/>
  <c r="E1990" i="15"/>
  <c r="E1926" i="15"/>
  <c r="E1969" i="15"/>
  <c r="E1905" i="15"/>
  <c r="E1988" i="15"/>
  <c r="E1924" i="15"/>
  <c r="E1860" i="15"/>
  <c r="E1967" i="15"/>
  <c r="E1880" i="15"/>
  <c r="E1807" i="15"/>
  <c r="E1743" i="15"/>
  <c r="E1826" i="15"/>
  <c r="E1904" i="15"/>
  <c r="E1805" i="15"/>
  <c r="E1856" i="15"/>
  <c r="E1970" i="15"/>
  <c r="E1827" i="15"/>
  <c r="E1763" i="15"/>
  <c r="E1863" i="15"/>
  <c r="E1806" i="15"/>
  <c r="E1742" i="15"/>
  <c r="E1920" i="15"/>
  <c r="E1785" i="15"/>
  <c r="E1721" i="15"/>
  <c r="E1697" i="15"/>
  <c r="E1633" i="15"/>
  <c r="E1749" i="15"/>
  <c r="E1655" i="15"/>
  <c r="E1772" i="15"/>
  <c r="E1711" i="15"/>
  <c r="E1650" i="15"/>
  <c r="E1764" i="15"/>
  <c r="E1693" i="15"/>
  <c r="E1629" i="15"/>
  <c r="E1680" i="15"/>
  <c r="E1667" i="15"/>
  <c r="E1603" i="15"/>
  <c r="E1591" i="15"/>
  <c r="E1528" i="15"/>
  <c r="E1684" i="15"/>
  <c r="E1571" i="15"/>
  <c r="E1507" i="15"/>
  <c r="E1622" i="15"/>
  <c r="E1542" i="15"/>
  <c r="E1478" i="15"/>
  <c r="E1414" i="15"/>
  <c r="E1732" i="15"/>
  <c r="E1652" i="15"/>
  <c r="E1553" i="15"/>
  <c r="E1489" i="15"/>
  <c r="E1592" i="15"/>
  <c r="E1532" i="15"/>
  <c r="E1630" i="15"/>
  <c r="E1567" i="15"/>
  <c r="E1503" i="15"/>
  <c r="E1439" i="15"/>
  <c r="E1730" i="15"/>
  <c r="E1570" i="15"/>
  <c r="E1450" i="15"/>
  <c r="E1418" i="15"/>
  <c r="E1386" i="15"/>
  <c r="E1804" i="15"/>
  <c r="E1488" i="15"/>
  <c r="E1586" i="15"/>
  <c r="E1460" i="15"/>
  <c r="E1464" i="15"/>
  <c r="E1453" i="15"/>
  <c r="E1421" i="15"/>
  <c r="E1389" i="15"/>
  <c r="E1506" i="15"/>
  <c r="E1368" i="15"/>
  <c r="E1330" i="15"/>
  <c r="E1266" i="15"/>
  <c r="E1202" i="15"/>
  <c r="E1554" i="15"/>
  <c r="E1354" i="15"/>
  <c r="E1309" i="15"/>
  <c r="E1245" i="15"/>
  <c r="E1181" i="15"/>
  <c r="E1997" i="15"/>
  <c r="E1933" i="15"/>
  <c r="E1869" i="15"/>
  <c r="E1968" i="15"/>
  <c r="E1979" i="15"/>
  <c r="E1915" i="15"/>
  <c r="E1851" i="15"/>
  <c r="E1958" i="15"/>
  <c r="E1894" i="15"/>
  <c r="E1937" i="15"/>
  <c r="E1873" i="15"/>
  <c r="E1956" i="15"/>
  <c r="E1892" i="15"/>
  <c r="E1999" i="15"/>
  <c r="E1935" i="15"/>
  <c r="E1837" i="15"/>
  <c r="E1775" i="15"/>
  <c r="E1872" i="15"/>
  <c r="E1794" i="15"/>
  <c r="E1847" i="15"/>
  <c r="E1898" i="15"/>
  <c r="E1800" i="15"/>
  <c r="E1849" i="15"/>
  <c r="E1795" i="15"/>
  <c r="E1927" i="15"/>
  <c r="E1832" i="15"/>
  <c r="E1774" i="15"/>
  <c r="E1710" i="15"/>
  <c r="E1817" i="15"/>
  <c r="E1753" i="15"/>
  <c r="E1765" i="15"/>
  <c r="E1665" i="15"/>
  <c r="E1762" i="15"/>
  <c r="E1687" i="15"/>
  <c r="E1623" i="15"/>
  <c r="E1727" i="15"/>
  <c r="E1682" i="15"/>
  <c r="E1618" i="15"/>
  <c r="E1723" i="15"/>
  <c r="E1661" i="15"/>
  <c r="E1756" i="15"/>
  <c r="E1699" i="15"/>
  <c r="E1635" i="15"/>
  <c r="E1638" i="15"/>
  <c r="E1560" i="15"/>
  <c r="E1496" i="15"/>
  <c r="E1608" i="15"/>
  <c r="E1539" i="15"/>
  <c r="E1475" i="15"/>
  <c r="E1574" i="15"/>
  <c r="E1510" i="15"/>
  <c r="E1446" i="15"/>
  <c r="E1382" i="15"/>
  <c r="E1716" i="15"/>
  <c r="E1585" i="15"/>
  <c r="E1521" i="15"/>
  <c r="E1670" i="15"/>
  <c r="E1564" i="15"/>
  <c r="E1768" i="15"/>
  <c r="E1597" i="15"/>
  <c r="E1535" i="15"/>
  <c r="E1471" i="15"/>
  <c r="E1407" i="15"/>
  <c r="E1509" i="15"/>
  <c r="E1476" i="15"/>
  <c r="E1434" i="15"/>
  <c r="E1402" i="15"/>
  <c r="E1361" i="15"/>
  <c r="E1602" i="15"/>
  <c r="E1428" i="15"/>
  <c r="E1490" i="15"/>
  <c r="E1493" i="15"/>
  <c r="E1525" i="15"/>
  <c r="E1437" i="15"/>
  <c r="E1405" i="15"/>
  <c r="E1365" i="15"/>
  <c r="E1388" i="15"/>
  <c r="E1352" i="15"/>
  <c r="E1298" i="15"/>
  <c r="E1234" i="15"/>
  <c r="E1170" i="15"/>
  <c r="E1370" i="15"/>
  <c r="E1338" i="15"/>
  <c r="E1277" i="15"/>
  <c r="E1213" i="15"/>
  <c r="E1614" i="15"/>
  <c r="E1546" i="15"/>
  <c r="E1377" i="15"/>
  <c r="E1424" i="15"/>
  <c r="E1469" i="15"/>
  <c r="E1581" i="15"/>
  <c r="E1447" i="15"/>
  <c r="E1527" i="15"/>
  <c r="E1607" i="15"/>
  <c r="E1540" i="15"/>
  <c r="E1664" i="15"/>
  <c r="E1537" i="15"/>
  <c r="E1694" i="15"/>
  <c r="E1820" i="15"/>
  <c r="E1462" i="15"/>
  <c r="E1550" i="15"/>
  <c r="E1467" i="15"/>
  <c r="E1555" i="15"/>
  <c r="E1702" i="15"/>
  <c r="E1552" i="15"/>
  <c r="E1587" i="15"/>
  <c r="E1675" i="15"/>
  <c r="E1704" i="15"/>
  <c r="E1677" i="15"/>
  <c r="E1848" i="15"/>
  <c r="E1674" i="15"/>
  <c r="E1735" i="15"/>
  <c r="E1663" i="15"/>
  <c r="E1757" i="15"/>
  <c r="E1681" i="15"/>
  <c r="E1729" i="15"/>
  <c r="E1809" i="15"/>
  <c r="E1726" i="15"/>
  <c r="E1814" i="15"/>
  <c r="E1906" i="15"/>
  <c r="E1811" i="15"/>
  <c r="E1776" i="15"/>
  <c r="E1895" i="15"/>
  <c r="E1882" i="15"/>
  <c r="E1833" i="15"/>
  <c r="E1767" i="15"/>
  <c r="E1850" i="15"/>
  <c r="E1975" i="15"/>
  <c r="E1884" i="15"/>
  <c r="E1972" i="15"/>
  <c r="E1913" i="15"/>
  <c r="E1993" i="15"/>
  <c r="E1974" i="15"/>
  <c r="E1891" i="15"/>
  <c r="E1971" i="15"/>
  <c r="E1984" i="15"/>
  <c r="E1909" i="15"/>
  <c r="E1989" i="15"/>
  <c r="E1104" i="15"/>
  <c r="E840" i="15"/>
  <c r="E915" i="15"/>
  <c r="E1140" i="15"/>
  <c r="E813" i="15"/>
  <c r="E879" i="15"/>
  <c r="E1080" i="15"/>
  <c r="E666" i="15"/>
  <c r="E730" i="15"/>
  <c r="E794" i="15"/>
  <c r="E858" i="15"/>
  <c r="E954" i="15"/>
  <c r="E687" i="15"/>
  <c r="E751" i="15"/>
  <c r="E815" i="15"/>
  <c r="E898" i="15"/>
  <c r="E1088" i="15"/>
  <c r="E700" i="15"/>
  <c r="E764" i="15"/>
  <c r="E828" i="15"/>
  <c r="E955" i="15"/>
  <c r="E877" i="15"/>
  <c r="E941" i="15"/>
  <c r="E1005" i="15"/>
  <c r="E1069" i="15"/>
  <c r="E1183" i="15"/>
  <c r="E1308" i="15"/>
  <c r="E1010" i="15"/>
  <c r="E1074" i="15"/>
  <c r="E1141" i="15"/>
  <c r="E1593" i="15"/>
  <c r="E991" i="15"/>
  <c r="E1055" i="15"/>
  <c r="E1119" i="15"/>
  <c r="E1163" i="15"/>
  <c r="E940" i="15"/>
  <c r="E1004" i="15"/>
  <c r="E1068" i="15"/>
  <c r="E1171" i="15"/>
  <c r="E1319" i="15"/>
  <c r="E929" i="15"/>
  <c r="E993" i="15"/>
  <c r="E1057" i="15"/>
  <c r="E1121" i="15"/>
  <c r="E1316" i="15"/>
  <c r="E934" i="15"/>
  <c r="E998" i="15"/>
  <c r="E1062" i="15"/>
  <c r="E1126" i="15"/>
  <c r="E1211" i="15"/>
  <c r="E1177" i="15"/>
  <c r="E1241" i="15"/>
  <c r="E1305" i="15"/>
  <c r="E1355" i="15"/>
  <c r="E1461" i="15"/>
  <c r="E1262" i="15"/>
  <c r="E1326" i="15"/>
  <c r="E1267" i="15"/>
  <c r="E1331" i="15"/>
  <c r="E1144" i="15"/>
  <c r="E1208" i="15"/>
  <c r="E1272" i="15"/>
  <c r="E1336" i="15"/>
  <c r="E1165" i="15"/>
  <c r="E1253" i="15"/>
  <c r="E1333" i="15"/>
  <c r="E1378" i="15"/>
  <c r="E1210" i="15"/>
  <c r="E1290" i="15"/>
  <c r="E1360" i="15"/>
  <c r="E1341" i="15"/>
  <c r="E1401" i="15"/>
  <c r="E1445" i="15"/>
  <c r="E1466" i="15"/>
  <c r="E1485" i="15"/>
  <c r="E1444" i="15"/>
  <c r="E1337" i="15"/>
  <c r="E1400" i="15"/>
  <c r="E1442" i="15"/>
  <c r="E1678" i="15"/>
  <c r="E1399" i="15"/>
  <c r="E1487" i="15"/>
  <c r="E1575" i="15"/>
  <c r="E1700" i="15"/>
  <c r="E1580" i="15"/>
  <c r="E1497" i="15"/>
  <c r="E1577" i="15"/>
  <c r="E1724" i="15"/>
  <c r="E1422" i="15"/>
  <c r="E1502" i="15"/>
  <c r="E1594" i="15"/>
  <c r="E1515" i="15"/>
  <c r="E1596" i="15"/>
  <c r="E1512" i="15"/>
  <c r="E1598" i="15"/>
  <c r="E1627" i="15"/>
  <c r="E1748" i="15"/>
  <c r="E1637" i="15"/>
  <c r="E1715" i="15"/>
  <c r="E1634" i="15"/>
  <c r="E1717" i="15"/>
  <c r="E1615" i="15"/>
  <c r="E1703" i="15"/>
  <c r="E1641" i="15"/>
  <c r="E1760" i="15"/>
  <c r="E1769" i="15"/>
  <c r="E1930" i="15"/>
  <c r="E1766" i="15"/>
  <c r="E1846" i="15"/>
  <c r="E1771" i="15"/>
  <c r="E1842" i="15"/>
  <c r="E1816" i="15"/>
  <c r="E1813" i="15"/>
  <c r="E1786" i="15"/>
  <c r="E1919" i="15"/>
  <c r="E1815" i="15"/>
  <c r="E1986" i="15"/>
  <c r="E1844" i="15"/>
  <c r="E1932" i="15"/>
  <c r="E1865" i="15"/>
  <c r="E1953" i="15"/>
  <c r="E1934" i="15"/>
  <c r="E1843" i="15"/>
  <c r="E1931" i="15"/>
  <c r="E1944" i="15"/>
  <c r="E1861" i="15"/>
  <c r="E1949" i="15"/>
  <c r="E831" i="15"/>
  <c r="E907" i="15"/>
  <c r="E1130" i="15"/>
  <c r="E716" i="15"/>
  <c r="E780" i="15"/>
  <c r="E844" i="15"/>
  <c r="E1011" i="15"/>
  <c r="E893" i="15"/>
  <c r="E957" i="15"/>
  <c r="E1021" i="15"/>
  <c r="E1085" i="15"/>
  <c r="E1212" i="15"/>
  <c r="E1427" i="15"/>
  <c r="E1026" i="15"/>
  <c r="E1090" i="15"/>
  <c r="E1155" i="15"/>
  <c r="E943" i="15"/>
  <c r="E1007" i="15"/>
  <c r="E1071" i="15"/>
  <c r="E1131" i="15"/>
  <c r="E1199" i="15"/>
  <c r="E956" i="15"/>
  <c r="E1020" i="15"/>
  <c r="E1084" i="15"/>
  <c r="E1219" i="15"/>
  <c r="E881" i="15"/>
  <c r="E945" i="15"/>
  <c r="E1009" i="15"/>
  <c r="E1073" i="15"/>
  <c r="E1179" i="15"/>
  <c r="E1565" i="15"/>
  <c r="E950" i="15"/>
  <c r="E1014" i="15"/>
  <c r="E1078" i="15"/>
  <c r="E1142" i="15"/>
  <c r="E1129" i="15"/>
  <c r="E1193" i="15"/>
  <c r="E1257" i="15"/>
  <c r="E1321" i="15"/>
  <c r="E1363" i="15"/>
  <c r="E1214" i="15"/>
  <c r="E1435" i="15"/>
  <c r="E1283" i="15"/>
  <c r="E1395" i="15"/>
  <c r="E1160" i="15"/>
  <c r="E1224" i="15"/>
  <c r="E1288" i="15"/>
  <c r="E1451" i="15"/>
  <c r="E1189" i="15"/>
  <c r="E1269" i="15"/>
  <c r="E1346" i="15"/>
  <c r="E1722" i="15"/>
  <c r="E1226" i="15"/>
  <c r="E1314" i="15"/>
  <c r="E1372" i="15"/>
  <c r="E1357" i="15"/>
  <c r="E1413" i="15"/>
  <c r="E1457" i="15"/>
  <c r="E1482" i="15"/>
  <c r="E1522" i="15"/>
  <c r="E1517" i="15"/>
  <c r="E1353" i="15"/>
  <c r="E1410" i="15"/>
  <c r="E1456" i="15"/>
  <c r="E1465" i="15"/>
  <c r="E1423" i="15"/>
  <c r="E1511" i="15"/>
  <c r="E1588" i="15"/>
  <c r="E1828" i="15"/>
  <c r="E1599" i="15"/>
  <c r="E1513" i="15"/>
  <c r="E1640" i="15"/>
  <c r="E1736" i="15"/>
  <c r="E1438" i="15"/>
  <c r="E1526" i="15"/>
  <c r="E1628" i="15"/>
  <c r="E1531" i="15"/>
  <c r="E1662" i="15"/>
  <c r="E1536" i="15"/>
  <c r="E1632" i="15"/>
  <c r="E1651" i="15"/>
  <c r="E1688" i="15"/>
  <c r="E1653" i="15"/>
  <c r="E1739" i="15"/>
  <c r="E1658" i="15"/>
  <c r="E1725" i="15"/>
  <c r="E1639" i="15"/>
  <c r="E1754" i="15"/>
  <c r="E1657" i="15"/>
  <c r="E1773" i="15"/>
  <c r="E1793" i="15"/>
  <c r="E1978" i="15"/>
  <c r="E1790" i="15"/>
  <c r="E1886" i="15"/>
  <c r="E1787" i="15"/>
  <c r="E1871" i="15"/>
  <c r="E1874" i="15"/>
  <c r="E1829" i="15"/>
  <c r="E1810" i="15"/>
  <c r="E1751" i="15"/>
  <c r="E1831" i="15"/>
  <c r="E1951" i="15"/>
  <c r="E1868" i="15"/>
  <c r="E1948" i="15"/>
  <c r="E1889" i="15"/>
  <c r="E1977" i="15"/>
  <c r="E1950" i="15"/>
  <c r="E1867" i="15"/>
  <c r="E1955" i="15"/>
  <c r="E1960" i="15"/>
  <c r="E1885" i="15"/>
  <c r="E1973" i="15"/>
  <c r="E7" i="14"/>
  <c r="E15" i="14"/>
  <c r="E23" i="14"/>
  <c r="E31" i="14"/>
  <c r="E39" i="14"/>
  <c r="E47" i="14"/>
  <c r="E55" i="14"/>
  <c r="E63" i="14"/>
  <c r="E71" i="14"/>
  <c r="E79" i="14"/>
  <c r="E87" i="14"/>
  <c r="E95" i="14"/>
  <c r="E103" i="14"/>
  <c r="E111" i="14"/>
  <c r="E119" i="14"/>
  <c r="E127" i="14"/>
  <c r="E135" i="14"/>
  <c r="E143" i="14"/>
  <c r="E151" i="14"/>
  <c r="E159" i="14"/>
  <c r="E167" i="14"/>
  <c r="E175" i="14"/>
  <c r="E183" i="14"/>
  <c r="E191" i="14"/>
  <c r="E199" i="14"/>
  <c r="E207" i="14"/>
  <c r="E215" i="14"/>
  <c r="E223" i="14"/>
  <c r="E231" i="14"/>
  <c r="E239" i="14"/>
  <c r="E247" i="14"/>
  <c r="E255" i="14"/>
  <c r="E263" i="14"/>
  <c r="E271" i="14"/>
  <c r="E279" i="14"/>
  <c r="E287" i="14"/>
  <c r="E295" i="14"/>
  <c r="E303" i="14"/>
  <c r="E311" i="14"/>
  <c r="E319" i="14"/>
  <c r="E327" i="14"/>
  <c r="E335" i="14"/>
  <c r="E343" i="14"/>
  <c r="E351" i="14"/>
  <c r="E359" i="14"/>
  <c r="E367" i="14"/>
  <c r="E375" i="14"/>
  <c r="E383" i="14"/>
  <c r="E391" i="14"/>
  <c r="E399" i="14"/>
  <c r="E407" i="14"/>
  <c r="E415" i="14"/>
  <c r="E423" i="14"/>
  <c r="E431" i="14"/>
  <c r="E439" i="14"/>
  <c r="E447" i="14"/>
  <c r="E455" i="14"/>
  <c r="E463" i="14"/>
  <c r="E471" i="14"/>
  <c r="E479" i="14"/>
  <c r="E487" i="14"/>
  <c r="E495" i="14"/>
  <c r="E503" i="14"/>
  <c r="E511" i="14"/>
  <c r="E519" i="14"/>
  <c r="E527" i="14"/>
  <c r="E535" i="14"/>
  <c r="E543" i="14"/>
  <c r="E551" i="14"/>
  <c r="E559" i="14"/>
  <c r="E567" i="14"/>
  <c r="E575" i="14"/>
  <c r="E583" i="14"/>
  <c r="E591" i="14"/>
  <c r="E8" i="14"/>
  <c r="E16" i="14"/>
  <c r="E24" i="14"/>
  <c r="E32" i="14"/>
  <c r="E40" i="14"/>
  <c r="E48" i="14"/>
  <c r="E56" i="14"/>
  <c r="E64" i="14"/>
  <c r="E72" i="14"/>
  <c r="E80" i="14"/>
  <c r="E88" i="14"/>
  <c r="E96" i="14"/>
  <c r="E104" i="14"/>
  <c r="E112" i="14"/>
  <c r="E120" i="14"/>
  <c r="E128" i="14"/>
  <c r="E136" i="14"/>
  <c r="E144" i="14"/>
  <c r="E152" i="14"/>
  <c r="E160" i="14"/>
  <c r="E168" i="14"/>
  <c r="E176" i="14"/>
  <c r="E184" i="14"/>
  <c r="E192" i="14"/>
  <c r="E200" i="14"/>
  <c r="E208" i="14"/>
  <c r="E216" i="14"/>
  <c r="E224" i="14"/>
  <c r="E232" i="14"/>
  <c r="E240" i="14"/>
  <c r="E248" i="14"/>
  <c r="E256" i="14"/>
  <c r="E264" i="14"/>
  <c r="E272" i="14"/>
  <c r="E280" i="14"/>
  <c r="E288" i="14"/>
  <c r="E296" i="14"/>
  <c r="E304" i="14"/>
  <c r="E312" i="14"/>
  <c r="E320" i="14"/>
  <c r="E328" i="14"/>
  <c r="E336" i="14"/>
  <c r="E344" i="14"/>
  <c r="E352" i="14"/>
  <c r="E360" i="14"/>
  <c r="E368" i="14"/>
  <c r="E376" i="14"/>
  <c r="E384" i="14"/>
  <c r="E392" i="14"/>
  <c r="E400" i="14"/>
  <c r="E408" i="14"/>
  <c r="E416" i="14"/>
  <c r="E424" i="14"/>
  <c r="E432" i="14"/>
  <c r="E9" i="14"/>
  <c r="E17" i="14"/>
  <c r="E25" i="14"/>
  <c r="E33" i="14"/>
  <c r="E41" i="14"/>
  <c r="E49" i="14"/>
  <c r="E57" i="14"/>
  <c r="E65" i="14"/>
  <c r="E73" i="14"/>
  <c r="E81" i="14"/>
  <c r="E89" i="14"/>
  <c r="E97" i="14"/>
  <c r="E105" i="14"/>
  <c r="E113" i="14"/>
  <c r="E121" i="14"/>
  <c r="E129" i="14"/>
  <c r="E137" i="14"/>
  <c r="E145" i="14"/>
  <c r="E153" i="14"/>
  <c r="E161" i="14"/>
  <c r="E169" i="14"/>
  <c r="E177" i="14"/>
  <c r="E185" i="14"/>
  <c r="E193" i="14"/>
  <c r="E201" i="14"/>
  <c r="E209" i="14"/>
  <c r="E217" i="14"/>
  <c r="E225" i="14"/>
  <c r="E233" i="14"/>
  <c r="E241" i="14"/>
  <c r="E249" i="14"/>
  <c r="E257" i="14"/>
  <c r="E265" i="14"/>
  <c r="E273" i="14"/>
  <c r="E281" i="14"/>
  <c r="E289" i="14"/>
  <c r="E297" i="14"/>
  <c r="E305" i="14"/>
  <c r="E313" i="14"/>
  <c r="E321" i="14"/>
  <c r="E329" i="14"/>
  <c r="E337" i="14"/>
  <c r="E345" i="14"/>
  <c r="E353" i="14"/>
  <c r="E361" i="14"/>
  <c r="E369" i="14"/>
  <c r="E377" i="14"/>
  <c r="E385" i="14"/>
  <c r="E393" i="14"/>
  <c r="E401" i="14"/>
  <c r="E409" i="14"/>
  <c r="E417" i="14"/>
  <c r="E425" i="14"/>
  <c r="E433" i="14"/>
  <c r="E441" i="14"/>
  <c r="E449" i="14"/>
  <c r="E457" i="14"/>
  <c r="E465" i="14"/>
  <c r="E473" i="14"/>
  <c r="E481" i="14"/>
  <c r="E489" i="14"/>
  <c r="E497" i="14"/>
  <c r="E505" i="14"/>
  <c r="E513" i="14"/>
  <c r="E521" i="14"/>
  <c r="E529" i="14"/>
  <c r="E537" i="14"/>
  <c r="E545" i="14"/>
  <c r="E553" i="14"/>
  <c r="E561" i="14"/>
  <c r="E569" i="14"/>
  <c r="E577" i="14"/>
  <c r="E585" i="14"/>
  <c r="E593" i="14"/>
  <c r="E601" i="14"/>
  <c r="E609" i="14"/>
  <c r="E617" i="14"/>
  <c r="E625" i="14"/>
  <c r="E633" i="14"/>
  <c r="E641" i="14"/>
  <c r="E10" i="14"/>
  <c r="E18" i="14"/>
  <c r="E26" i="14"/>
  <c r="E34" i="14"/>
  <c r="E42" i="14"/>
  <c r="E50" i="14"/>
  <c r="E58" i="14"/>
  <c r="E66" i="14"/>
  <c r="E74" i="14"/>
  <c r="E82" i="14"/>
  <c r="E90" i="14"/>
  <c r="E98" i="14"/>
  <c r="E106" i="14"/>
  <c r="E114" i="14"/>
  <c r="E122" i="14"/>
  <c r="E130" i="14"/>
  <c r="E138" i="14"/>
  <c r="E146" i="14"/>
  <c r="E154" i="14"/>
  <c r="E162" i="14"/>
  <c r="E170" i="14"/>
  <c r="E178" i="14"/>
  <c r="E186" i="14"/>
  <c r="E194" i="14"/>
  <c r="E202" i="14"/>
  <c r="E210" i="14"/>
  <c r="E218" i="14"/>
  <c r="E226" i="14"/>
  <c r="E234" i="14"/>
  <c r="E242" i="14"/>
  <c r="E250" i="14"/>
  <c r="E258" i="14"/>
  <c r="E266" i="14"/>
  <c r="E274" i="14"/>
  <c r="E282" i="14"/>
  <c r="E290" i="14"/>
  <c r="E298" i="14"/>
  <c r="E306" i="14"/>
  <c r="E314" i="14"/>
  <c r="E322" i="14"/>
  <c r="E330" i="14"/>
  <c r="E338" i="14"/>
  <c r="E346" i="14"/>
  <c r="E354" i="14"/>
  <c r="E362" i="14"/>
  <c r="E370" i="14"/>
  <c r="E378" i="14"/>
  <c r="E386" i="14"/>
  <c r="E394" i="14"/>
  <c r="E402" i="14"/>
  <c r="E410" i="14"/>
  <c r="E418" i="14"/>
  <c r="E426" i="14"/>
  <c r="E434" i="14"/>
  <c r="E442" i="14"/>
  <c r="E450" i="14"/>
  <c r="E458" i="14"/>
  <c r="E466" i="14"/>
  <c r="E474" i="14"/>
  <c r="E482" i="14"/>
  <c r="E490" i="14"/>
  <c r="E498" i="14"/>
  <c r="E506" i="14"/>
  <c r="E514" i="14"/>
  <c r="E522" i="14"/>
  <c r="E530" i="14"/>
  <c r="E538" i="14"/>
  <c r="E546" i="14"/>
  <c r="E554" i="14"/>
  <c r="E562" i="14"/>
  <c r="E570" i="14"/>
  <c r="E578" i="14"/>
  <c r="E586" i="14"/>
  <c r="E594" i="14"/>
  <c r="E602" i="14"/>
  <c r="E610" i="14"/>
  <c r="E618" i="14"/>
  <c r="E626" i="14"/>
  <c r="E634" i="14"/>
  <c r="E642" i="14"/>
  <c r="E11" i="14"/>
  <c r="E19" i="14"/>
  <c r="E27" i="14"/>
  <c r="E35" i="14"/>
  <c r="E43" i="14"/>
  <c r="E51" i="14"/>
  <c r="E59" i="14"/>
  <c r="E67" i="14"/>
  <c r="E75" i="14"/>
  <c r="E83" i="14"/>
  <c r="E91" i="14"/>
  <c r="E99" i="14"/>
  <c r="E107" i="14"/>
  <c r="E115" i="14"/>
  <c r="E123" i="14"/>
  <c r="E131" i="14"/>
  <c r="E139" i="14"/>
  <c r="E147" i="14"/>
  <c r="E155" i="14"/>
  <c r="E163" i="14"/>
  <c r="E171" i="14"/>
  <c r="E179" i="14"/>
  <c r="E187" i="14"/>
  <c r="E195" i="14"/>
  <c r="E203" i="14"/>
  <c r="E211" i="14"/>
  <c r="E219" i="14"/>
  <c r="E227" i="14"/>
  <c r="E235" i="14"/>
  <c r="E243" i="14"/>
  <c r="E251" i="14"/>
  <c r="E259" i="14"/>
  <c r="E267" i="14"/>
  <c r="E275" i="14"/>
  <c r="E283" i="14"/>
  <c r="E291" i="14"/>
  <c r="E299" i="14"/>
  <c r="E307" i="14"/>
  <c r="E315" i="14"/>
  <c r="E323" i="14"/>
  <c r="E331" i="14"/>
  <c r="E339" i="14"/>
  <c r="E347" i="14"/>
  <c r="E355" i="14"/>
  <c r="E363" i="14"/>
  <c r="E371" i="14"/>
  <c r="E379" i="14"/>
  <c r="E387" i="14"/>
  <c r="E395" i="14"/>
  <c r="E403" i="14"/>
  <c r="E411" i="14"/>
  <c r="E419" i="14"/>
  <c r="E427" i="14"/>
  <c r="E435" i="14"/>
  <c r="E443" i="14"/>
  <c r="E451" i="14"/>
  <c r="E459" i="14"/>
  <c r="E467" i="14"/>
  <c r="E475" i="14"/>
  <c r="E483" i="14"/>
  <c r="E491" i="14"/>
  <c r="E499" i="14"/>
  <c r="E507" i="14"/>
  <c r="E515" i="14"/>
  <c r="E523" i="14"/>
  <c r="E531" i="14"/>
  <c r="E539" i="14"/>
  <c r="E547" i="14"/>
  <c r="E555" i="14"/>
  <c r="E563" i="14"/>
  <c r="E12" i="14"/>
  <c r="E20" i="14"/>
  <c r="E28" i="14"/>
  <c r="E36" i="14"/>
  <c r="E44" i="14"/>
  <c r="E52" i="14"/>
  <c r="E60" i="14"/>
  <c r="E68" i="14"/>
  <c r="E76" i="14"/>
  <c r="E84" i="14"/>
  <c r="E92" i="14"/>
  <c r="E100" i="14"/>
  <c r="E108" i="14"/>
  <c r="E116" i="14"/>
  <c r="E124" i="14"/>
  <c r="E132" i="14"/>
  <c r="E140" i="14"/>
  <c r="E148" i="14"/>
  <c r="E156" i="14"/>
  <c r="E164" i="14"/>
  <c r="E172" i="14"/>
  <c r="E180" i="14"/>
  <c r="E188" i="14"/>
  <c r="E196" i="14"/>
  <c r="E204" i="14"/>
  <c r="E212" i="14"/>
  <c r="E220" i="14"/>
  <c r="E228" i="14"/>
  <c r="E236" i="14"/>
  <c r="E244" i="14"/>
  <c r="E252" i="14"/>
  <c r="E260" i="14"/>
  <c r="E268" i="14"/>
  <c r="E276" i="14"/>
  <c r="E284" i="14"/>
  <c r="E292" i="14"/>
  <c r="E300" i="14"/>
  <c r="E308" i="14"/>
  <c r="E316" i="14"/>
  <c r="E324" i="14"/>
  <c r="E332" i="14"/>
  <c r="E340" i="14"/>
  <c r="E348" i="14"/>
  <c r="E356" i="14"/>
  <c r="E364" i="14"/>
  <c r="E372" i="14"/>
  <c r="E380" i="14"/>
  <c r="E388" i="14"/>
  <c r="E396" i="14"/>
  <c r="E404" i="14"/>
  <c r="E412" i="14"/>
  <c r="E420" i="14"/>
  <c r="E428" i="14"/>
  <c r="E436" i="14"/>
  <c r="E444" i="14"/>
  <c r="E452" i="14"/>
  <c r="E13" i="14"/>
  <c r="E21" i="14"/>
  <c r="E29" i="14"/>
  <c r="E37" i="14"/>
  <c r="E45" i="14"/>
  <c r="E53" i="14"/>
  <c r="E61" i="14"/>
  <c r="E69" i="14"/>
  <c r="E77" i="14"/>
  <c r="E85" i="14"/>
  <c r="E93" i="14"/>
  <c r="E101" i="14"/>
  <c r="E109" i="14"/>
  <c r="E117" i="14"/>
  <c r="E125" i="14"/>
  <c r="E133" i="14"/>
  <c r="E141" i="14"/>
  <c r="E149" i="14"/>
  <c r="E157" i="14"/>
  <c r="E165" i="14"/>
  <c r="E173" i="14"/>
  <c r="E181" i="14"/>
  <c r="E189" i="14"/>
  <c r="E197" i="14"/>
  <c r="E205" i="14"/>
  <c r="E213" i="14"/>
  <c r="E221" i="14"/>
  <c r="E229" i="14"/>
  <c r="E237" i="14"/>
  <c r="E245" i="14"/>
  <c r="E253" i="14"/>
  <c r="E261" i="14"/>
  <c r="E269" i="14"/>
  <c r="E277" i="14"/>
  <c r="E285" i="14"/>
  <c r="E293" i="14"/>
  <c r="E301" i="14"/>
  <c r="E309" i="14"/>
  <c r="E317" i="14"/>
  <c r="E325" i="14"/>
  <c r="E333" i="14"/>
  <c r="E341" i="14"/>
  <c r="E349" i="14"/>
  <c r="E357" i="14"/>
  <c r="E365" i="14"/>
  <c r="E373" i="14"/>
  <c r="E381" i="14"/>
  <c r="E389" i="14"/>
  <c r="E397" i="14"/>
  <c r="E405" i="14"/>
  <c r="E413" i="14"/>
  <c r="E421" i="14"/>
  <c r="E429" i="14"/>
  <c r="E437" i="14"/>
  <c r="E445" i="14"/>
  <c r="E453" i="14"/>
  <c r="E461" i="14"/>
  <c r="E469" i="14"/>
  <c r="E477" i="14"/>
  <c r="E485" i="14"/>
  <c r="E493" i="14"/>
  <c r="E501" i="14"/>
  <c r="E509" i="14"/>
  <c r="E517" i="14"/>
  <c r="E525" i="14"/>
  <c r="E533" i="14"/>
  <c r="E541" i="14"/>
  <c r="E549" i="14"/>
  <c r="E557" i="14"/>
  <c r="E565" i="14"/>
  <c r="E573" i="14"/>
  <c r="E581" i="14"/>
  <c r="E589" i="14"/>
  <c r="E597" i="14"/>
  <c r="E605" i="14"/>
  <c r="E613" i="14"/>
  <c r="E621" i="14"/>
  <c r="E629" i="14"/>
  <c r="E637" i="14"/>
  <c r="E645" i="14"/>
  <c r="E653" i="14"/>
  <c r="E661" i="14"/>
  <c r="E669" i="14"/>
  <c r="E677" i="14"/>
  <c r="E685" i="14"/>
  <c r="E14" i="14"/>
  <c r="E78" i="14"/>
  <c r="E142" i="14"/>
  <c r="E206" i="14"/>
  <c r="E270" i="14"/>
  <c r="E334" i="14"/>
  <c r="E398" i="14"/>
  <c r="E448" i="14"/>
  <c r="E472" i="14"/>
  <c r="E494" i="14"/>
  <c r="E516" i="14"/>
  <c r="E536" i="14"/>
  <c r="E558" i="14"/>
  <c r="E576" i="14"/>
  <c r="E592" i="14"/>
  <c r="E606" i="14"/>
  <c r="E619" i="14"/>
  <c r="E631" i="14"/>
  <c r="E644" i="14"/>
  <c r="E654" i="14"/>
  <c r="E663" i="14"/>
  <c r="E672" i="14"/>
  <c r="E681" i="14"/>
  <c r="E690" i="14"/>
  <c r="E698" i="14"/>
  <c r="E706" i="14"/>
  <c r="E714" i="14"/>
  <c r="E722" i="14"/>
  <c r="E730" i="14"/>
  <c r="E738" i="14"/>
  <c r="E746" i="14"/>
  <c r="E754" i="14"/>
  <c r="E762" i="14"/>
  <c r="E770" i="14"/>
  <c r="E778" i="14"/>
  <c r="E786" i="14"/>
  <c r="E794" i="14"/>
  <c r="E802" i="14"/>
  <c r="E810" i="14"/>
  <c r="E818" i="14"/>
  <c r="E826" i="14"/>
  <c r="E834" i="14"/>
  <c r="E842" i="14"/>
  <c r="E850" i="14"/>
  <c r="E858" i="14"/>
  <c r="E866" i="14"/>
  <c r="E874" i="14"/>
  <c r="E882" i="14"/>
  <c r="E890" i="14"/>
  <c r="E898" i="14"/>
  <c r="E906" i="14"/>
  <c r="E914" i="14"/>
  <c r="E922" i="14"/>
  <c r="E930" i="14"/>
  <c r="E938" i="14"/>
  <c r="E946" i="14"/>
  <c r="E954" i="14"/>
  <c r="E962" i="14"/>
  <c r="E970" i="14"/>
  <c r="E978" i="14"/>
  <c r="E986" i="14"/>
  <c r="E994" i="14"/>
  <c r="E1002" i="14"/>
  <c r="E1010" i="14"/>
  <c r="E1018" i="14"/>
  <c r="E1026" i="14"/>
  <c r="E1034" i="14"/>
  <c r="E1042" i="14"/>
  <c r="E1050" i="14"/>
  <c r="E1058" i="14"/>
  <c r="E1066" i="14"/>
  <c r="E1074" i="14"/>
  <c r="E1082" i="14"/>
  <c r="E1090" i="14"/>
  <c r="E1098" i="14"/>
  <c r="E1106" i="14"/>
  <c r="E1114" i="14"/>
  <c r="E1122" i="14"/>
  <c r="E22" i="14"/>
  <c r="E86" i="14"/>
  <c r="E150" i="14"/>
  <c r="E214" i="14"/>
  <c r="E278" i="14"/>
  <c r="E342" i="14"/>
  <c r="E406" i="14"/>
  <c r="E454" i="14"/>
  <c r="E476" i="14"/>
  <c r="E496" i="14"/>
  <c r="E518" i="14"/>
  <c r="E540" i="14"/>
  <c r="E560" i="14"/>
  <c r="E579" i="14"/>
  <c r="E595" i="14"/>
  <c r="E607" i="14"/>
  <c r="E620" i="14"/>
  <c r="E632" i="14"/>
  <c r="E646" i="14"/>
  <c r="E655" i="14"/>
  <c r="E664" i="14"/>
  <c r="E673" i="14"/>
  <c r="E682" i="14"/>
  <c r="E691" i="14"/>
  <c r="E699" i="14"/>
  <c r="E707" i="14"/>
  <c r="E715" i="14"/>
  <c r="E723" i="14"/>
  <c r="E731" i="14"/>
  <c r="E739" i="14"/>
  <c r="E747" i="14"/>
  <c r="E755" i="14"/>
  <c r="E763" i="14"/>
  <c r="E771" i="14"/>
  <c r="E779" i="14"/>
  <c r="E787" i="14"/>
  <c r="E795" i="14"/>
  <c r="E803" i="14"/>
  <c r="E811" i="14"/>
  <c r="E819" i="14"/>
  <c r="E827" i="14"/>
  <c r="E835" i="14"/>
  <c r="E843" i="14"/>
  <c r="E851" i="14"/>
  <c r="E859" i="14"/>
  <c r="E867" i="14"/>
  <c r="E875" i="14"/>
  <c r="E883" i="14"/>
  <c r="E891" i="14"/>
  <c r="E899" i="14"/>
  <c r="E907" i="14"/>
  <c r="E915" i="14"/>
  <c r="E923" i="14"/>
  <c r="E931" i="14"/>
  <c r="E939" i="14"/>
  <c r="E947" i="14"/>
  <c r="E955" i="14"/>
  <c r="E963" i="14"/>
  <c r="E971" i="14"/>
  <c r="E979" i="14"/>
  <c r="E987" i="14"/>
  <c r="E995" i="14"/>
  <c r="E1003" i="14"/>
  <c r="E1011" i="14"/>
  <c r="E1019" i="14"/>
  <c r="E1027" i="14"/>
  <c r="E1035" i="14"/>
  <c r="E1043" i="14"/>
  <c r="E1051" i="14"/>
  <c r="E30" i="14"/>
  <c r="E94" i="14"/>
  <c r="E158" i="14"/>
  <c r="E222" i="14"/>
  <c r="E286" i="14"/>
  <c r="E350" i="14"/>
  <c r="E414" i="14"/>
  <c r="E456" i="14"/>
  <c r="E478" i="14"/>
  <c r="E500" i="14"/>
  <c r="E520" i="14"/>
  <c r="E542" i="14"/>
  <c r="E564" i="14"/>
  <c r="E580" i="14"/>
  <c r="E596" i="14"/>
  <c r="E608" i="14"/>
  <c r="E622" i="14"/>
  <c r="E635" i="14"/>
  <c r="E647" i="14"/>
  <c r="E656" i="14"/>
  <c r="E665" i="14"/>
  <c r="E674" i="14"/>
  <c r="E683" i="14"/>
  <c r="E692" i="14"/>
  <c r="E700" i="14"/>
  <c r="E708" i="14"/>
  <c r="E716" i="14"/>
  <c r="E724" i="14"/>
  <c r="E732" i="14"/>
  <c r="E740" i="14"/>
  <c r="E748" i="14"/>
  <c r="E756" i="14"/>
  <c r="E764" i="14"/>
  <c r="E772" i="14"/>
  <c r="E780" i="14"/>
  <c r="E788" i="14"/>
  <c r="E796" i="14"/>
  <c r="E804" i="14"/>
  <c r="E812" i="14"/>
  <c r="E820" i="14"/>
  <c r="E828" i="14"/>
  <c r="E836" i="14"/>
  <c r="E844" i="14"/>
  <c r="E852" i="14"/>
  <c r="E860" i="14"/>
  <c r="E868" i="14"/>
  <c r="E876" i="14"/>
  <c r="E884" i="14"/>
  <c r="E892" i="14"/>
  <c r="E900" i="14"/>
  <c r="E908" i="14"/>
  <c r="E916" i="14"/>
  <c r="E924" i="14"/>
  <c r="E932" i="14"/>
  <c r="E940" i="14"/>
  <c r="E948" i="14"/>
  <c r="E956" i="14"/>
  <c r="E964" i="14"/>
  <c r="E972" i="14"/>
  <c r="E980" i="14"/>
  <c r="E988" i="14"/>
  <c r="E996" i="14"/>
  <c r="E1004" i="14"/>
  <c r="E1012" i="14"/>
  <c r="E1020" i="14"/>
  <c r="E1028" i="14"/>
  <c r="E1036" i="14"/>
  <c r="E1044" i="14"/>
  <c r="E1052" i="14"/>
  <c r="E1060" i="14"/>
  <c r="E38" i="14"/>
  <c r="E102" i="14"/>
  <c r="E166" i="14"/>
  <c r="E230" i="14"/>
  <c r="E294" i="14"/>
  <c r="E358" i="14"/>
  <c r="E422" i="14"/>
  <c r="E460" i="14"/>
  <c r="E480" i="14"/>
  <c r="E502" i="14"/>
  <c r="E524" i="14"/>
  <c r="E544" i="14"/>
  <c r="E566" i="14"/>
  <c r="E582" i="14"/>
  <c r="E598" i="14"/>
  <c r="E611" i="14"/>
  <c r="E623" i="14"/>
  <c r="E636" i="14"/>
  <c r="E648" i="14"/>
  <c r="E657" i="14"/>
  <c r="E666" i="14"/>
  <c r="E675" i="14"/>
  <c r="E684" i="14"/>
  <c r="E693" i="14"/>
  <c r="E701" i="14"/>
  <c r="E709" i="14"/>
  <c r="E717" i="14"/>
  <c r="E725" i="14"/>
  <c r="E733" i="14"/>
  <c r="E741" i="14"/>
  <c r="E749" i="14"/>
  <c r="E757" i="14"/>
  <c r="E765" i="14"/>
  <c r="E773" i="14"/>
  <c r="E781" i="14"/>
  <c r="E789" i="14"/>
  <c r="E797" i="14"/>
  <c r="E805" i="14"/>
  <c r="E813" i="14"/>
  <c r="E821" i="14"/>
  <c r="E829" i="14"/>
  <c r="E837" i="14"/>
  <c r="E845" i="14"/>
  <c r="E853" i="14"/>
  <c r="E861" i="14"/>
  <c r="E869" i="14"/>
  <c r="E877" i="14"/>
  <c r="E885" i="14"/>
  <c r="E893" i="14"/>
  <c r="E901" i="14"/>
  <c r="E909" i="14"/>
  <c r="E917" i="14"/>
  <c r="E925" i="14"/>
  <c r="E933" i="14"/>
  <c r="E941" i="14"/>
  <c r="E949" i="14"/>
  <c r="E957" i="14"/>
  <c r="E965" i="14"/>
  <c r="E973" i="14"/>
  <c r="E981" i="14"/>
  <c r="E989" i="14"/>
  <c r="E997" i="14"/>
  <c r="E1005" i="14"/>
  <c r="E1013" i="14"/>
  <c r="E1021" i="14"/>
  <c r="E1029" i="14"/>
  <c r="E1037" i="14"/>
  <c r="E1045" i="14"/>
  <c r="E1053" i="14"/>
  <c r="E1061" i="14"/>
  <c r="E1069" i="14"/>
  <c r="E1077" i="14"/>
  <c r="E1085" i="14"/>
  <c r="E1093" i="14"/>
  <c r="E1101" i="14"/>
  <c r="E1109" i="14"/>
  <c r="E1117" i="14"/>
  <c r="E1125" i="14"/>
  <c r="E1133" i="14"/>
  <c r="E1141" i="14"/>
  <c r="E1149" i="14"/>
  <c r="E46" i="14"/>
  <c r="E110" i="14"/>
  <c r="E174" i="14"/>
  <c r="E238" i="14"/>
  <c r="E302" i="14"/>
  <c r="E366" i="14"/>
  <c r="E430" i="14"/>
  <c r="E462" i="14"/>
  <c r="E484" i="14"/>
  <c r="E504" i="14"/>
  <c r="E526" i="14"/>
  <c r="E548" i="14"/>
  <c r="E568" i="14"/>
  <c r="E584" i="14"/>
  <c r="E599" i="14"/>
  <c r="E612" i="14"/>
  <c r="E624" i="14"/>
  <c r="E638" i="14"/>
  <c r="E649" i="14"/>
  <c r="E658" i="14"/>
  <c r="E667" i="14"/>
  <c r="E676" i="14"/>
  <c r="E686" i="14"/>
  <c r="E694" i="14"/>
  <c r="E702" i="14"/>
  <c r="E710" i="14"/>
  <c r="E718" i="14"/>
  <c r="E726" i="14"/>
  <c r="E734" i="14"/>
  <c r="E742" i="14"/>
  <c r="E750" i="14"/>
  <c r="E758" i="14"/>
  <c r="E766" i="14"/>
  <c r="E774" i="14"/>
  <c r="E782" i="14"/>
  <c r="E790" i="14"/>
  <c r="E798" i="14"/>
  <c r="E806" i="14"/>
  <c r="E814" i="14"/>
  <c r="E822" i="14"/>
  <c r="E830" i="14"/>
  <c r="E838" i="14"/>
  <c r="E846" i="14"/>
  <c r="E854" i="14"/>
  <c r="E862" i="14"/>
  <c r="E870" i="14"/>
  <c r="E878" i="14"/>
  <c r="E886" i="14"/>
  <c r="E894" i="14"/>
  <c r="E902" i="14"/>
  <c r="E910" i="14"/>
  <c r="E918" i="14"/>
  <c r="E926" i="14"/>
  <c r="E934" i="14"/>
  <c r="E942" i="14"/>
  <c r="E950" i="14"/>
  <c r="E958" i="14"/>
  <c r="E966" i="14"/>
  <c r="E974" i="14"/>
  <c r="E982" i="14"/>
  <c r="E990" i="14"/>
  <c r="E998" i="14"/>
  <c r="E1006" i="14"/>
  <c r="E1014" i="14"/>
  <c r="E1022" i="14"/>
  <c r="E1030" i="14"/>
  <c r="E1038" i="14"/>
  <c r="E1046" i="14"/>
  <c r="E1054" i="14"/>
  <c r="E1062" i="14"/>
  <c r="E1070" i="14"/>
  <c r="E1078" i="14"/>
  <c r="E1086" i="14"/>
  <c r="E1094" i="14"/>
  <c r="E1102" i="14"/>
  <c r="E1110" i="14"/>
  <c r="E1118" i="14"/>
  <c r="E1126" i="14"/>
  <c r="E1134" i="14"/>
  <c r="E1142" i="14"/>
  <c r="E1150" i="14"/>
  <c r="E54" i="14"/>
  <c r="E118" i="14"/>
  <c r="E182" i="14"/>
  <c r="E246" i="14"/>
  <c r="E310" i="14"/>
  <c r="E374" i="14"/>
  <c r="E438" i="14"/>
  <c r="E464" i="14"/>
  <c r="E486" i="14"/>
  <c r="E508" i="14"/>
  <c r="E528" i="14"/>
  <c r="E550" i="14"/>
  <c r="E571" i="14"/>
  <c r="E587" i="14"/>
  <c r="E600" i="14"/>
  <c r="E614" i="14"/>
  <c r="E627" i="14"/>
  <c r="E639" i="14"/>
  <c r="E650" i="14"/>
  <c r="E659" i="14"/>
  <c r="E668" i="14"/>
  <c r="E678" i="14"/>
  <c r="E687" i="14"/>
  <c r="E695" i="14"/>
  <c r="E703" i="14"/>
  <c r="E711" i="14"/>
  <c r="E719" i="14"/>
  <c r="E727" i="14"/>
  <c r="E735" i="14"/>
  <c r="E743" i="14"/>
  <c r="E751" i="14"/>
  <c r="E759" i="14"/>
  <c r="E767" i="14"/>
  <c r="E775" i="14"/>
  <c r="E783" i="14"/>
  <c r="E791" i="14"/>
  <c r="E799" i="14"/>
  <c r="E807" i="14"/>
  <c r="E815" i="14"/>
  <c r="E823" i="14"/>
  <c r="E831" i="14"/>
  <c r="E839" i="14"/>
  <c r="E847" i="14"/>
  <c r="E855" i="14"/>
  <c r="E863" i="14"/>
  <c r="E871" i="14"/>
  <c r="E879" i="14"/>
  <c r="E887" i="14"/>
  <c r="E895" i="14"/>
  <c r="E903" i="14"/>
  <c r="E911" i="14"/>
  <c r="E919" i="14"/>
  <c r="E927" i="14"/>
  <c r="E935" i="14"/>
  <c r="E943" i="14"/>
  <c r="E951" i="14"/>
  <c r="E959" i="14"/>
  <c r="E967" i="14"/>
  <c r="E975" i="14"/>
  <c r="E983" i="14"/>
  <c r="E991" i="14"/>
  <c r="E999" i="14"/>
  <c r="E1007" i="14"/>
  <c r="E1015" i="14"/>
  <c r="E1023" i="14"/>
  <c r="E1031" i="14"/>
  <c r="E1039" i="14"/>
  <c r="E1047" i="14"/>
  <c r="E1055" i="14"/>
  <c r="E1063" i="14"/>
  <c r="E1071" i="14"/>
  <c r="E1079" i="14"/>
  <c r="E1087" i="14"/>
  <c r="E1095" i="14"/>
  <c r="E1103" i="14"/>
  <c r="E1111" i="14"/>
  <c r="E1119" i="14"/>
  <c r="E1127" i="14"/>
  <c r="E70" i="14"/>
  <c r="E134" i="14"/>
  <c r="E198" i="14"/>
  <c r="E262" i="14"/>
  <c r="E326" i="14"/>
  <c r="E390" i="14"/>
  <c r="E446" i="14"/>
  <c r="E470" i="14"/>
  <c r="E492" i="14"/>
  <c r="E512" i="14"/>
  <c r="E534" i="14"/>
  <c r="E556" i="14"/>
  <c r="E574" i="14"/>
  <c r="E590" i="14"/>
  <c r="E604" i="14"/>
  <c r="E616" i="14"/>
  <c r="E630" i="14"/>
  <c r="E643" i="14"/>
  <c r="E652" i="14"/>
  <c r="E662" i="14"/>
  <c r="E671" i="14"/>
  <c r="E680" i="14"/>
  <c r="E689" i="14"/>
  <c r="E697" i="14"/>
  <c r="E705" i="14"/>
  <c r="E713" i="14"/>
  <c r="E721" i="14"/>
  <c r="E729" i="14"/>
  <c r="E737" i="14"/>
  <c r="E745" i="14"/>
  <c r="E753" i="14"/>
  <c r="E761" i="14"/>
  <c r="E769" i="14"/>
  <c r="E777" i="14"/>
  <c r="E785" i="14"/>
  <c r="E793" i="14"/>
  <c r="E801" i="14"/>
  <c r="E809" i="14"/>
  <c r="E817" i="14"/>
  <c r="E825" i="14"/>
  <c r="E833" i="14"/>
  <c r="E841" i="14"/>
  <c r="E849" i="14"/>
  <c r="E857" i="14"/>
  <c r="E865" i="14"/>
  <c r="E873" i="14"/>
  <c r="E881" i="14"/>
  <c r="E889" i="14"/>
  <c r="E897" i="14"/>
  <c r="E905" i="14"/>
  <c r="E913" i="14"/>
  <c r="E921" i="14"/>
  <c r="E929" i="14"/>
  <c r="E937" i="14"/>
  <c r="E945" i="14"/>
  <c r="E953" i="14"/>
  <c r="E961" i="14"/>
  <c r="E969" i="14"/>
  <c r="E977" i="14"/>
  <c r="E985" i="14"/>
  <c r="E993" i="14"/>
  <c r="E1001" i="14"/>
  <c r="E1009" i="14"/>
  <c r="E1017" i="14"/>
  <c r="E1025" i="14"/>
  <c r="E1033" i="14"/>
  <c r="E1041" i="14"/>
  <c r="E1049" i="14"/>
  <c r="E1057" i="14"/>
  <c r="E1065" i="14"/>
  <c r="E1073" i="14"/>
  <c r="E1081" i="14"/>
  <c r="E1089" i="14"/>
  <c r="E1097" i="14"/>
  <c r="E1105" i="14"/>
  <c r="E1113" i="14"/>
  <c r="E1121" i="14"/>
  <c r="E1129" i="14"/>
  <c r="E1137" i="14"/>
  <c r="E1145" i="14"/>
  <c r="E1153" i="14"/>
  <c r="E1161" i="14"/>
  <c r="E1169" i="14"/>
  <c r="E1177" i="14"/>
  <c r="E1185" i="14"/>
  <c r="E62" i="14"/>
  <c r="E488" i="14"/>
  <c r="E628" i="14"/>
  <c r="E704" i="14"/>
  <c r="E768" i="14"/>
  <c r="E832" i="14"/>
  <c r="E896" i="14"/>
  <c r="E960" i="14"/>
  <c r="E1024" i="14"/>
  <c r="E1068" i="14"/>
  <c r="E1091" i="14"/>
  <c r="E1112" i="14"/>
  <c r="E1131" i="14"/>
  <c r="E1144" i="14"/>
  <c r="E1156" i="14"/>
  <c r="E1165" i="14"/>
  <c r="E1174" i="14"/>
  <c r="E1183" i="14"/>
  <c r="E1192" i="14"/>
  <c r="E1200" i="14"/>
  <c r="E1208" i="14"/>
  <c r="E1216" i="14"/>
  <c r="E1224" i="14"/>
  <c r="E1232" i="14"/>
  <c r="E1240" i="14"/>
  <c r="E1248" i="14"/>
  <c r="E1256" i="14"/>
  <c r="E1264" i="14"/>
  <c r="E1272" i="14"/>
  <c r="E1280" i="14"/>
  <c r="E1288" i="14"/>
  <c r="E1296" i="14"/>
  <c r="E1304" i="14"/>
  <c r="E1312" i="14"/>
  <c r="E1320" i="14"/>
  <c r="E1328" i="14"/>
  <c r="E1336" i="14"/>
  <c r="E1344" i="14"/>
  <c r="E1352" i="14"/>
  <c r="E1360" i="14"/>
  <c r="E1368" i="14"/>
  <c r="E1376" i="14"/>
  <c r="E1384" i="14"/>
  <c r="E1392" i="14"/>
  <c r="E1400" i="14"/>
  <c r="E1408" i="14"/>
  <c r="E1416" i="14"/>
  <c r="E1424" i="14"/>
  <c r="E1432" i="14"/>
  <c r="E1440" i="14"/>
  <c r="E1448" i="14"/>
  <c r="E1456" i="14"/>
  <c r="E1464" i="14"/>
  <c r="E1472" i="14"/>
  <c r="E1480" i="14"/>
  <c r="E1488" i="14"/>
  <c r="E1496" i="14"/>
  <c r="E1504" i="14"/>
  <c r="E1512" i="14"/>
  <c r="E1520" i="14"/>
  <c r="E1528" i="14"/>
  <c r="E1536" i="14"/>
  <c r="E1544" i="14"/>
  <c r="E1552" i="14"/>
  <c r="E1560" i="14"/>
  <c r="E1568" i="14"/>
  <c r="E1576" i="14"/>
  <c r="E126" i="14"/>
  <c r="E510" i="14"/>
  <c r="E640" i="14"/>
  <c r="E712" i="14"/>
  <c r="E776" i="14"/>
  <c r="E840" i="14"/>
  <c r="E904" i="14"/>
  <c r="E968" i="14"/>
  <c r="E1032" i="14"/>
  <c r="E1072" i="14"/>
  <c r="E1092" i="14"/>
  <c r="E1115" i="14"/>
  <c r="E1132" i="14"/>
  <c r="E1146" i="14"/>
  <c r="E1157" i="14"/>
  <c r="E1166" i="14"/>
  <c r="E1175" i="14"/>
  <c r="E1184" i="14"/>
  <c r="E1193" i="14"/>
  <c r="E1201" i="14"/>
  <c r="E1209" i="14"/>
  <c r="E1217" i="14"/>
  <c r="E1225" i="14"/>
  <c r="E1233" i="14"/>
  <c r="E1241" i="14"/>
  <c r="E1249" i="14"/>
  <c r="E1257" i="14"/>
  <c r="E1265" i="14"/>
  <c r="E1273" i="14"/>
  <c r="E1281" i="14"/>
  <c r="E1289" i="14"/>
  <c r="E1297" i="14"/>
  <c r="E1305" i="14"/>
  <c r="E1313" i="14"/>
  <c r="E1321" i="14"/>
  <c r="E1329" i="14"/>
  <c r="E1337" i="14"/>
  <c r="E1345" i="14"/>
  <c r="E1353" i="14"/>
  <c r="E1361" i="14"/>
  <c r="E1369" i="14"/>
  <c r="E1377" i="14"/>
  <c r="E1385" i="14"/>
  <c r="E1393" i="14"/>
  <c r="E1401" i="14"/>
  <c r="E1409" i="14"/>
  <c r="E1417" i="14"/>
  <c r="E1425" i="14"/>
  <c r="E1433" i="14"/>
  <c r="E1441" i="14"/>
  <c r="E1449" i="14"/>
  <c r="E1457" i="14"/>
  <c r="E1465" i="14"/>
  <c r="E1473" i="14"/>
  <c r="E1481" i="14"/>
  <c r="E1489" i="14"/>
  <c r="E1497" i="14"/>
  <c r="E1505" i="14"/>
  <c r="E1513" i="14"/>
  <c r="E1521" i="14"/>
  <c r="E1529" i="14"/>
  <c r="E1537" i="14"/>
  <c r="E1545" i="14"/>
  <c r="E1553" i="14"/>
  <c r="E1561" i="14"/>
  <c r="E190" i="14"/>
  <c r="E532" i="14"/>
  <c r="E651" i="14"/>
  <c r="E720" i="14"/>
  <c r="E784" i="14"/>
  <c r="E848" i="14"/>
  <c r="E912" i="14"/>
  <c r="E976" i="14"/>
  <c r="E1040" i="14"/>
  <c r="E1075" i="14"/>
  <c r="E1096" i="14"/>
  <c r="E1116" i="14"/>
  <c r="E1135" i="14"/>
  <c r="E1147" i="14"/>
  <c r="E1158" i="14"/>
  <c r="E1167" i="14"/>
  <c r="E1176" i="14"/>
  <c r="E1186" i="14"/>
  <c r="E1194" i="14"/>
  <c r="E1202" i="14"/>
  <c r="E1210" i="14"/>
  <c r="E1218" i="14"/>
  <c r="E1226" i="14"/>
  <c r="E1234" i="14"/>
  <c r="E1242" i="14"/>
  <c r="E1250" i="14"/>
  <c r="E1258" i="14"/>
  <c r="E1266" i="14"/>
  <c r="E1274" i="14"/>
  <c r="E1282" i="14"/>
  <c r="E1290" i="14"/>
  <c r="E1298" i="14"/>
  <c r="E1306" i="14"/>
  <c r="E1314" i="14"/>
  <c r="E1322" i="14"/>
  <c r="E1330" i="14"/>
  <c r="E1338" i="14"/>
  <c r="E1346" i="14"/>
  <c r="E1354" i="14"/>
  <c r="E1362" i="14"/>
  <c r="E1370" i="14"/>
  <c r="E1378" i="14"/>
  <c r="E1386" i="14"/>
  <c r="E1394" i="14"/>
  <c r="E1402" i="14"/>
  <c r="E1410" i="14"/>
  <c r="E1418" i="14"/>
  <c r="E1426" i="14"/>
  <c r="E1434" i="14"/>
  <c r="E1442" i="14"/>
  <c r="E1450" i="14"/>
  <c r="E1458" i="14"/>
  <c r="E1466" i="14"/>
  <c r="E1474" i="14"/>
  <c r="E1482" i="14"/>
  <c r="E1490" i="14"/>
  <c r="E1498" i="14"/>
  <c r="E1506" i="14"/>
  <c r="E1514" i="14"/>
  <c r="E1522" i="14"/>
  <c r="E1530" i="14"/>
  <c r="E1538" i="14"/>
  <c r="E1546" i="14"/>
  <c r="E1554" i="14"/>
  <c r="E1562" i="14"/>
  <c r="E1570" i="14"/>
  <c r="E1578" i="14"/>
  <c r="E1586" i="14"/>
  <c r="E1594" i="14"/>
  <c r="E1602" i="14"/>
  <c r="E1610" i="14"/>
  <c r="E1618" i="14"/>
  <c r="E1626" i="14"/>
  <c r="E1634" i="14"/>
  <c r="E1642" i="14"/>
  <c r="E1650" i="14"/>
  <c r="E1658" i="14"/>
  <c r="E1666" i="14"/>
  <c r="E1674" i="14"/>
  <c r="E1682" i="14"/>
  <c r="E1690" i="14"/>
  <c r="E1698" i="14"/>
  <c r="E1706" i="14"/>
  <c r="E1714" i="14"/>
  <c r="E1722" i="14"/>
  <c r="E254" i="14"/>
  <c r="E552" i="14"/>
  <c r="E660" i="14"/>
  <c r="E728" i="14"/>
  <c r="E792" i="14"/>
  <c r="E856" i="14"/>
  <c r="E920" i="14"/>
  <c r="E984" i="14"/>
  <c r="E1048" i="14"/>
  <c r="E1076" i="14"/>
  <c r="E1099" i="14"/>
  <c r="E1120" i="14"/>
  <c r="E1136" i="14"/>
  <c r="E1148" i="14"/>
  <c r="E1159" i="14"/>
  <c r="E1168" i="14"/>
  <c r="E1178" i="14"/>
  <c r="E1187" i="14"/>
  <c r="E1195" i="14"/>
  <c r="E1203" i="14"/>
  <c r="E1211" i="14"/>
  <c r="E1219" i="14"/>
  <c r="E1227" i="14"/>
  <c r="E1235" i="14"/>
  <c r="E1243" i="14"/>
  <c r="E1251" i="14"/>
  <c r="E1259" i="14"/>
  <c r="E1267" i="14"/>
  <c r="E1275" i="14"/>
  <c r="E1283" i="14"/>
  <c r="E1291" i="14"/>
  <c r="E1299" i="14"/>
  <c r="E1307" i="14"/>
  <c r="E1315" i="14"/>
  <c r="E1323" i="14"/>
  <c r="E1331" i="14"/>
  <c r="E1339" i="14"/>
  <c r="E1347" i="14"/>
  <c r="E1355" i="14"/>
  <c r="E1363" i="14"/>
  <c r="E1371" i="14"/>
  <c r="E1379" i="14"/>
  <c r="E1387" i="14"/>
  <c r="E1395" i="14"/>
  <c r="E1403" i="14"/>
  <c r="E1411" i="14"/>
  <c r="E1419" i="14"/>
  <c r="E1427" i="14"/>
  <c r="E1435" i="14"/>
  <c r="E1443" i="14"/>
  <c r="E1451" i="14"/>
  <c r="E1459" i="14"/>
  <c r="E1467" i="14"/>
  <c r="E1475" i="14"/>
  <c r="E1483" i="14"/>
  <c r="E1491" i="14"/>
  <c r="E1499" i="14"/>
  <c r="E1507" i="14"/>
  <c r="E1515" i="14"/>
  <c r="E1523" i="14"/>
  <c r="E1531" i="14"/>
  <c r="E1539" i="14"/>
  <c r="E1547" i="14"/>
  <c r="E1555" i="14"/>
  <c r="E1563" i="14"/>
  <c r="E1571" i="14"/>
  <c r="E1579" i="14"/>
  <c r="E1587" i="14"/>
  <c r="E1595" i="14"/>
  <c r="E1603" i="14"/>
  <c r="E1611" i="14"/>
  <c r="E1619" i="14"/>
  <c r="E1627" i="14"/>
  <c r="E1635" i="14"/>
  <c r="E1643" i="14"/>
  <c r="E1651" i="14"/>
  <c r="E1659" i="14"/>
  <c r="E1667" i="14"/>
  <c r="E1675" i="14"/>
  <c r="E1683" i="14"/>
  <c r="E1691" i="14"/>
  <c r="E1699" i="14"/>
  <c r="E1707" i="14"/>
  <c r="E1715" i="14"/>
  <c r="E318" i="14"/>
  <c r="E572" i="14"/>
  <c r="E670" i="14"/>
  <c r="E736" i="14"/>
  <c r="E800" i="14"/>
  <c r="E864" i="14"/>
  <c r="E928" i="14"/>
  <c r="E992" i="14"/>
  <c r="E1056" i="14"/>
  <c r="E1080" i="14"/>
  <c r="E1100" i="14"/>
  <c r="E1123" i="14"/>
  <c r="E1138" i="14"/>
  <c r="E1151" i="14"/>
  <c r="E1160" i="14"/>
  <c r="E1170" i="14"/>
  <c r="E1179" i="14"/>
  <c r="E1188" i="14"/>
  <c r="E1196" i="14"/>
  <c r="E1204" i="14"/>
  <c r="E1212" i="14"/>
  <c r="E1220" i="14"/>
  <c r="E1228" i="14"/>
  <c r="E1236" i="14"/>
  <c r="E1244" i="14"/>
  <c r="E1252" i="14"/>
  <c r="E1260" i="14"/>
  <c r="E1268" i="14"/>
  <c r="E1276" i="14"/>
  <c r="E1284" i="14"/>
  <c r="E1292" i="14"/>
  <c r="E1300" i="14"/>
  <c r="E1308" i="14"/>
  <c r="E1316" i="14"/>
  <c r="E1324" i="14"/>
  <c r="E1332" i="14"/>
  <c r="E1340" i="14"/>
  <c r="E1348" i="14"/>
  <c r="E1356" i="14"/>
  <c r="E1364" i="14"/>
  <c r="E1372" i="14"/>
  <c r="E1380" i="14"/>
  <c r="E1388" i="14"/>
  <c r="E1396" i="14"/>
  <c r="E1404" i="14"/>
  <c r="E1412" i="14"/>
  <c r="E1420" i="14"/>
  <c r="E1428" i="14"/>
  <c r="E1436" i="14"/>
  <c r="E1444" i="14"/>
  <c r="E1452" i="14"/>
  <c r="E1460" i="14"/>
  <c r="E1468" i="14"/>
  <c r="E1476" i="14"/>
  <c r="E1484" i="14"/>
  <c r="E1492" i="14"/>
  <c r="E1500" i="14"/>
  <c r="E1508" i="14"/>
  <c r="E1516" i="14"/>
  <c r="E1524" i="14"/>
  <c r="E1532" i="14"/>
  <c r="E1540" i="14"/>
  <c r="E1548" i="14"/>
  <c r="E1556" i="14"/>
  <c r="E1564" i="14"/>
  <c r="E1572" i="14"/>
  <c r="E382" i="14"/>
  <c r="E588" i="14"/>
  <c r="E679" i="14"/>
  <c r="E744" i="14"/>
  <c r="E808" i="14"/>
  <c r="E872" i="14"/>
  <c r="E936" i="14"/>
  <c r="E1000" i="14"/>
  <c r="E1059" i="14"/>
  <c r="E1083" i="14"/>
  <c r="E1104" i="14"/>
  <c r="E1124" i="14"/>
  <c r="E1139" i="14"/>
  <c r="E1152" i="14"/>
  <c r="E1162" i="14"/>
  <c r="E1171" i="14"/>
  <c r="E1180" i="14"/>
  <c r="E1189" i="14"/>
  <c r="E1197" i="14"/>
  <c r="E1205" i="14"/>
  <c r="E1213" i="14"/>
  <c r="E1221" i="14"/>
  <c r="E1229" i="14"/>
  <c r="E1237" i="14"/>
  <c r="E1245" i="14"/>
  <c r="E1253" i="14"/>
  <c r="E1261" i="14"/>
  <c r="E1269" i="14"/>
  <c r="E1277" i="14"/>
  <c r="E1285" i="14"/>
  <c r="E1293" i="14"/>
  <c r="E1301" i="14"/>
  <c r="E1309" i="14"/>
  <c r="E1317" i="14"/>
  <c r="E1325" i="14"/>
  <c r="E1333" i="14"/>
  <c r="E1341" i="14"/>
  <c r="E1349" i="14"/>
  <c r="E1357" i="14"/>
  <c r="E1365" i="14"/>
  <c r="E1373" i="14"/>
  <c r="E1381" i="14"/>
  <c r="E1389" i="14"/>
  <c r="E1397" i="14"/>
  <c r="E1405" i="14"/>
  <c r="E1413" i="14"/>
  <c r="E1421" i="14"/>
  <c r="E1429" i="14"/>
  <c r="E1437" i="14"/>
  <c r="E1445" i="14"/>
  <c r="E1453" i="14"/>
  <c r="E1461" i="14"/>
  <c r="E1469" i="14"/>
  <c r="E1477" i="14"/>
  <c r="E1485" i="14"/>
  <c r="E1493" i="14"/>
  <c r="E1501" i="14"/>
  <c r="E1509" i="14"/>
  <c r="E1517" i="14"/>
  <c r="E1525" i="14"/>
  <c r="E1533" i="14"/>
  <c r="E1541" i="14"/>
  <c r="E1549" i="14"/>
  <c r="E1557" i="14"/>
  <c r="E1565" i="14"/>
  <c r="E1573" i="14"/>
  <c r="E1581" i="14"/>
  <c r="E440" i="14"/>
  <c r="E603" i="14"/>
  <c r="E688" i="14"/>
  <c r="E752" i="14"/>
  <c r="E816" i="14"/>
  <c r="E880" i="14"/>
  <c r="E944" i="14"/>
  <c r="E1008" i="14"/>
  <c r="E1064" i="14"/>
  <c r="E1084" i="14"/>
  <c r="E1107" i="14"/>
  <c r="E1128" i="14"/>
  <c r="E1140" i="14"/>
  <c r="E1154" i="14"/>
  <c r="E1163" i="14"/>
  <c r="E1172" i="14"/>
  <c r="E1181" i="14"/>
  <c r="E1190" i="14"/>
  <c r="E1198" i="14"/>
  <c r="E1206" i="14"/>
  <c r="E1214" i="14"/>
  <c r="E1222" i="14"/>
  <c r="E1230" i="14"/>
  <c r="E1238" i="14"/>
  <c r="E1246" i="14"/>
  <c r="E1254" i="14"/>
  <c r="E1262" i="14"/>
  <c r="E1270" i="14"/>
  <c r="E1278" i="14"/>
  <c r="E1286" i="14"/>
  <c r="E1294" i="14"/>
  <c r="E1302" i="14"/>
  <c r="E1310" i="14"/>
  <c r="E1318" i="14"/>
  <c r="E1326" i="14"/>
  <c r="E1334" i="14"/>
  <c r="E1342" i="14"/>
  <c r="E1350" i="14"/>
  <c r="E1358" i="14"/>
  <c r="E1366" i="14"/>
  <c r="E1374" i="14"/>
  <c r="E1382" i="14"/>
  <c r="E1390" i="14"/>
  <c r="E1398" i="14"/>
  <c r="E1406" i="14"/>
  <c r="E1414" i="14"/>
  <c r="E1422" i="14"/>
  <c r="E1430" i="14"/>
  <c r="E1438" i="14"/>
  <c r="E1446" i="14"/>
  <c r="E1454" i="14"/>
  <c r="E1462" i="14"/>
  <c r="E1470" i="14"/>
  <c r="E1478" i="14"/>
  <c r="E1486" i="14"/>
  <c r="E1494" i="14"/>
  <c r="E1502" i="14"/>
  <c r="E1510" i="14"/>
  <c r="E1518" i="14"/>
  <c r="E1526" i="14"/>
  <c r="E1534" i="14"/>
  <c r="E1542" i="14"/>
  <c r="E1550" i="14"/>
  <c r="E1558" i="14"/>
  <c r="E1566" i="14"/>
  <c r="E1574" i="14"/>
  <c r="E1582" i="14"/>
  <c r="E1590" i="14"/>
  <c r="E1598" i="14"/>
  <c r="E1606" i="14"/>
  <c r="E1614" i="14"/>
  <c r="E1622" i="14"/>
  <c r="E1630" i="14"/>
  <c r="E1638" i="14"/>
  <c r="E1646" i="14"/>
  <c r="E1654" i="14"/>
  <c r="E1662" i="14"/>
  <c r="E1670" i="14"/>
  <c r="E1678" i="14"/>
  <c r="E1686" i="14"/>
  <c r="E1694" i="14"/>
  <c r="E1702" i="14"/>
  <c r="E1710" i="14"/>
  <c r="E1718" i="14"/>
  <c r="E1726" i="14"/>
  <c r="E468" i="14"/>
  <c r="E1067" i="14"/>
  <c r="E1182" i="14"/>
  <c r="E1247" i="14"/>
  <c r="E1311" i="14"/>
  <c r="E1375" i="14"/>
  <c r="E1439" i="14"/>
  <c r="E1503" i="14"/>
  <c r="E1567" i="14"/>
  <c r="E1588" i="14"/>
  <c r="E1600" i="14"/>
  <c r="E1613" i="14"/>
  <c r="E1625" i="14"/>
  <c r="E1639" i="14"/>
  <c r="E1652" i="14"/>
  <c r="E1664" i="14"/>
  <c r="E1677" i="14"/>
  <c r="E1689" i="14"/>
  <c r="E1703" i="14"/>
  <c r="E1716" i="14"/>
  <c r="E1727" i="14"/>
  <c r="E1735" i="14"/>
  <c r="E1743" i="14"/>
  <c r="E1751" i="14"/>
  <c r="E1759" i="14"/>
  <c r="E1767" i="14"/>
  <c r="E1775" i="14"/>
  <c r="E1783" i="14"/>
  <c r="E1791" i="14"/>
  <c r="E1799" i="14"/>
  <c r="E1807" i="14"/>
  <c r="E1815" i="14"/>
  <c r="E1823" i="14"/>
  <c r="E1831" i="14"/>
  <c r="E1839" i="14"/>
  <c r="E1847" i="14"/>
  <c r="E1855" i="14"/>
  <c r="E1863" i="14"/>
  <c r="E1871" i="14"/>
  <c r="E1879" i="14"/>
  <c r="E1887" i="14"/>
  <c r="E1895" i="14"/>
  <c r="E1903" i="14"/>
  <c r="E1911" i="14"/>
  <c r="E1919" i="14"/>
  <c r="E1927" i="14"/>
  <c r="E615" i="14"/>
  <c r="E1088" i="14"/>
  <c r="E1191" i="14"/>
  <c r="E1255" i="14"/>
  <c r="E1319" i="14"/>
  <c r="E1383" i="14"/>
  <c r="E1447" i="14"/>
  <c r="E1511" i="14"/>
  <c r="E1569" i="14"/>
  <c r="E1589" i="14"/>
  <c r="E1601" i="14"/>
  <c r="E1615" i="14"/>
  <c r="E1628" i="14"/>
  <c r="E1640" i="14"/>
  <c r="E1653" i="14"/>
  <c r="E1665" i="14"/>
  <c r="E1679" i="14"/>
  <c r="E1692" i="14"/>
  <c r="E1704" i="14"/>
  <c r="E1717" i="14"/>
  <c r="E1728" i="14"/>
  <c r="E1736" i="14"/>
  <c r="E1744" i="14"/>
  <c r="E1752" i="14"/>
  <c r="E1760" i="14"/>
  <c r="E1768" i="14"/>
  <c r="E1776" i="14"/>
  <c r="E1784" i="14"/>
  <c r="E1792" i="14"/>
  <c r="E1800" i="14"/>
  <c r="E1808" i="14"/>
  <c r="E1816" i="14"/>
  <c r="E1824" i="14"/>
  <c r="E1832" i="14"/>
  <c r="E1840" i="14"/>
  <c r="E1848" i="14"/>
  <c r="E1856" i="14"/>
  <c r="E1864" i="14"/>
  <c r="E1872" i="14"/>
  <c r="E1880" i="14"/>
  <c r="E1888" i="14"/>
  <c r="E1896" i="14"/>
  <c r="E1904" i="14"/>
  <c r="E1912" i="14"/>
  <c r="E1920" i="14"/>
  <c r="E696" i="14"/>
  <c r="E1108" i="14"/>
  <c r="E1199" i="14"/>
  <c r="E1263" i="14"/>
  <c r="E1327" i="14"/>
  <c r="E1391" i="14"/>
  <c r="E1455" i="14"/>
  <c r="E1519" i="14"/>
  <c r="E1575" i="14"/>
  <c r="E1591" i="14"/>
  <c r="E1604" i="14"/>
  <c r="E1616" i="14"/>
  <c r="E1629" i="14"/>
  <c r="E1641" i="14"/>
  <c r="E1655" i="14"/>
  <c r="E1668" i="14"/>
  <c r="E1680" i="14"/>
  <c r="E1693" i="14"/>
  <c r="E1705" i="14"/>
  <c r="E1719" i="14"/>
  <c r="E1729" i="14"/>
  <c r="E1737" i="14"/>
  <c r="E1745" i="14"/>
  <c r="E1753" i="14"/>
  <c r="E1761" i="14"/>
  <c r="E1769" i="14"/>
  <c r="E1777" i="14"/>
  <c r="E1785" i="14"/>
  <c r="E1793" i="14"/>
  <c r="E1801" i="14"/>
  <c r="E1809" i="14"/>
  <c r="E1817" i="14"/>
  <c r="E1825" i="14"/>
  <c r="E1833" i="14"/>
  <c r="E1841" i="14"/>
  <c r="E1849" i="14"/>
  <c r="E1857" i="14"/>
  <c r="E1865" i="14"/>
  <c r="E1873" i="14"/>
  <c r="E1881" i="14"/>
  <c r="E1889" i="14"/>
  <c r="E1897" i="14"/>
  <c r="E1905" i="14"/>
  <c r="E1913" i="14"/>
  <c r="E1921" i="14"/>
  <c r="E760" i="14"/>
  <c r="E1130" i="14"/>
  <c r="E1207" i="14"/>
  <c r="E1271" i="14"/>
  <c r="E1335" i="14"/>
  <c r="E1399" i="14"/>
  <c r="E1463" i="14"/>
  <c r="E1527" i="14"/>
  <c r="E1577" i="14"/>
  <c r="E1592" i="14"/>
  <c r="E1605" i="14"/>
  <c r="E1617" i="14"/>
  <c r="E1631" i="14"/>
  <c r="E1644" i="14"/>
  <c r="E1656" i="14"/>
  <c r="E1669" i="14"/>
  <c r="E1681" i="14"/>
  <c r="E1695" i="14"/>
  <c r="E1708" i="14"/>
  <c r="E1720" i="14"/>
  <c r="E1730" i="14"/>
  <c r="E1738" i="14"/>
  <c r="E1746" i="14"/>
  <c r="E1754" i="14"/>
  <c r="E1762" i="14"/>
  <c r="E1770" i="14"/>
  <c r="E1778" i="14"/>
  <c r="E1786" i="14"/>
  <c r="E1794" i="14"/>
  <c r="E1802" i="14"/>
  <c r="E1810" i="14"/>
  <c r="E1818" i="14"/>
  <c r="E1826" i="14"/>
  <c r="E1834" i="14"/>
  <c r="E1842" i="14"/>
  <c r="E1850" i="14"/>
  <c r="E1858" i="14"/>
  <c r="E1866" i="14"/>
  <c r="E1874" i="14"/>
  <c r="E1882" i="14"/>
  <c r="E1890" i="14"/>
  <c r="E1898" i="14"/>
  <c r="E1906" i="14"/>
  <c r="E1914" i="14"/>
  <c r="E1922" i="14"/>
  <c r="E1930" i="14"/>
  <c r="E1938" i="14"/>
  <c r="E1946" i="14"/>
  <c r="E1954" i="14"/>
  <c r="E1962" i="14"/>
  <c r="E1970" i="14"/>
  <c r="E1978" i="14"/>
  <c r="E1986" i="14"/>
  <c r="E1994" i="14"/>
  <c r="E824" i="14"/>
  <c r="E1143" i="14"/>
  <c r="E1215" i="14"/>
  <c r="E1279" i="14"/>
  <c r="E1343" i="14"/>
  <c r="E1407" i="14"/>
  <c r="E1471" i="14"/>
  <c r="E1535" i="14"/>
  <c r="E1580" i="14"/>
  <c r="E1593" i="14"/>
  <c r="E1607" i="14"/>
  <c r="E1620" i="14"/>
  <c r="E1632" i="14"/>
  <c r="E1645" i="14"/>
  <c r="E1657" i="14"/>
  <c r="E1671" i="14"/>
  <c r="E1684" i="14"/>
  <c r="E1696" i="14"/>
  <c r="E1709" i="14"/>
  <c r="E1721" i="14"/>
  <c r="E1731" i="14"/>
  <c r="E1739" i="14"/>
  <c r="E1747" i="14"/>
  <c r="E1755" i="14"/>
  <c r="E1763" i="14"/>
  <c r="E1771" i="14"/>
  <c r="E1779" i="14"/>
  <c r="E1787" i="14"/>
  <c r="E1795" i="14"/>
  <c r="E1803" i="14"/>
  <c r="E1811" i="14"/>
  <c r="E1819" i="14"/>
  <c r="E1827" i="14"/>
  <c r="E1835" i="14"/>
  <c r="E1843" i="14"/>
  <c r="E1851" i="14"/>
  <c r="E1859" i="14"/>
  <c r="E1867" i="14"/>
  <c r="E1875" i="14"/>
  <c r="E1883" i="14"/>
  <c r="E1891" i="14"/>
  <c r="E1899" i="14"/>
  <c r="E1907" i="14"/>
  <c r="E1915" i="14"/>
  <c r="E1923" i="14"/>
  <c r="E1931" i="14"/>
  <c r="E1939" i="14"/>
  <c r="E1947" i="14"/>
  <c r="E1955" i="14"/>
  <c r="E1963" i="14"/>
  <c r="E1971" i="14"/>
  <c r="E1979" i="14"/>
  <c r="E1987" i="14"/>
  <c r="E1995" i="14"/>
  <c r="E888" i="14"/>
  <c r="E1155" i="14"/>
  <c r="E1223" i="14"/>
  <c r="E1287" i="14"/>
  <c r="E1351" i="14"/>
  <c r="E1415" i="14"/>
  <c r="E1479" i="14"/>
  <c r="E1543" i="14"/>
  <c r="E1583" i="14"/>
  <c r="E1596" i="14"/>
  <c r="E1608" i="14"/>
  <c r="E1621" i="14"/>
  <c r="E1633" i="14"/>
  <c r="E1647" i="14"/>
  <c r="E1660" i="14"/>
  <c r="E1672" i="14"/>
  <c r="E1685" i="14"/>
  <c r="E1697" i="14"/>
  <c r="E1711" i="14"/>
  <c r="E1723" i="14"/>
  <c r="E1732" i="14"/>
  <c r="E1740" i="14"/>
  <c r="E1748" i="14"/>
  <c r="E1756" i="14"/>
  <c r="E1764" i="14"/>
  <c r="E1772" i="14"/>
  <c r="E1780" i="14"/>
  <c r="E1788" i="14"/>
  <c r="E1796" i="14"/>
  <c r="E1804" i="14"/>
  <c r="E1812" i="14"/>
  <c r="E1820" i="14"/>
  <c r="E1828" i="14"/>
  <c r="E1836" i="14"/>
  <c r="E1844" i="14"/>
  <c r="E1852" i="14"/>
  <c r="E1860" i="14"/>
  <c r="E1868" i="14"/>
  <c r="E1876" i="14"/>
  <c r="E1884" i="14"/>
  <c r="E1892" i="14"/>
  <c r="E1900" i="14"/>
  <c r="E1908" i="14"/>
  <c r="E1916" i="14"/>
  <c r="E1924" i="14"/>
  <c r="E1016" i="14"/>
  <c r="E1173" i="14"/>
  <c r="E1239" i="14"/>
  <c r="E1303" i="14"/>
  <c r="E1367" i="14"/>
  <c r="E1431" i="14"/>
  <c r="E1495" i="14"/>
  <c r="E1559" i="14"/>
  <c r="E1585" i="14"/>
  <c r="E1599" i="14"/>
  <c r="E1612" i="14"/>
  <c r="E1624" i="14"/>
  <c r="E1637" i="14"/>
  <c r="E1649" i="14"/>
  <c r="E1663" i="14"/>
  <c r="E1676" i="14"/>
  <c r="E1688" i="14"/>
  <c r="E1701" i="14"/>
  <c r="E1713" i="14"/>
  <c r="E1725" i="14"/>
  <c r="E1734" i="14"/>
  <c r="E1742" i="14"/>
  <c r="E1750" i="14"/>
  <c r="E1758" i="14"/>
  <c r="E1766" i="14"/>
  <c r="E1774" i="14"/>
  <c r="E1782" i="14"/>
  <c r="E1790" i="14"/>
  <c r="E1798" i="14"/>
  <c r="E1806" i="14"/>
  <c r="E1814" i="14"/>
  <c r="E1822" i="14"/>
  <c r="E1830" i="14"/>
  <c r="E1838" i="14"/>
  <c r="E1846" i="14"/>
  <c r="E1854" i="14"/>
  <c r="E1862" i="14"/>
  <c r="E1870" i="14"/>
  <c r="E1878" i="14"/>
  <c r="E1886" i="14"/>
  <c r="E1894" i="14"/>
  <c r="E1902" i="14"/>
  <c r="E1910" i="14"/>
  <c r="E1918" i="14"/>
  <c r="E1926" i="14"/>
  <c r="E1934" i="14"/>
  <c r="E1942" i="14"/>
  <c r="E1950" i="14"/>
  <c r="E1958" i="14"/>
  <c r="E1966" i="14"/>
  <c r="E1974" i="14"/>
  <c r="E1982" i="14"/>
  <c r="E1990" i="14"/>
  <c r="E1998" i="14"/>
  <c r="E952" i="14"/>
  <c r="E1584" i="14"/>
  <c r="E1687" i="14"/>
  <c r="E1765" i="14"/>
  <c r="E1829" i="14"/>
  <c r="E1893" i="14"/>
  <c r="E1933" i="14"/>
  <c r="E1945" i="14"/>
  <c r="E1959" i="14"/>
  <c r="E1972" i="14"/>
  <c r="E1984" i="14"/>
  <c r="E1997" i="14"/>
  <c r="E1164" i="14"/>
  <c r="E1597" i="14"/>
  <c r="E1700" i="14"/>
  <c r="E1773" i="14"/>
  <c r="E1837" i="14"/>
  <c r="E1901" i="14"/>
  <c r="E1935" i="14"/>
  <c r="E1948" i="14"/>
  <c r="E1960" i="14"/>
  <c r="E1973" i="14"/>
  <c r="E1985" i="14"/>
  <c r="E1999" i="14"/>
  <c r="E1231" i="14"/>
  <c r="E1609" i="14"/>
  <c r="E1712" i="14"/>
  <c r="E1781" i="14"/>
  <c r="E1845" i="14"/>
  <c r="E1909" i="14"/>
  <c r="E1936" i="14"/>
  <c r="E1949" i="14"/>
  <c r="E1961" i="14"/>
  <c r="E1975" i="14"/>
  <c r="E1988" i="14"/>
  <c r="E2000" i="14"/>
  <c r="E1295" i="14"/>
  <c r="E1623" i="14"/>
  <c r="E1724" i="14"/>
  <c r="E1789" i="14"/>
  <c r="E1853" i="14"/>
  <c r="E1917" i="14"/>
  <c r="E1937" i="14"/>
  <c r="E1951" i="14"/>
  <c r="E1964" i="14"/>
  <c r="E1976" i="14"/>
  <c r="E1989" i="14"/>
  <c r="E1359" i="14"/>
  <c r="E1636" i="14"/>
  <c r="E1733" i="14"/>
  <c r="E1797" i="14"/>
  <c r="E1861" i="14"/>
  <c r="E1925" i="14"/>
  <c r="E1940" i="14"/>
  <c r="E1952" i="14"/>
  <c r="E1965" i="14"/>
  <c r="E1977" i="14"/>
  <c r="E1991" i="14"/>
  <c r="E1423" i="14"/>
  <c r="E1648" i="14"/>
  <c r="E1741" i="14"/>
  <c r="E1805" i="14"/>
  <c r="E1869" i="14"/>
  <c r="E1928" i="14"/>
  <c r="E1941" i="14"/>
  <c r="E1953" i="14"/>
  <c r="E1967" i="14"/>
  <c r="E1980" i="14"/>
  <c r="E1992" i="14"/>
  <c r="E1487" i="14"/>
  <c r="E1661" i="14"/>
  <c r="E1749" i="14"/>
  <c r="E1813" i="14"/>
  <c r="E1877" i="14"/>
  <c r="E1929" i="14"/>
  <c r="E1943" i="14"/>
  <c r="E1956" i="14"/>
  <c r="E1968" i="14"/>
  <c r="E1981" i="14"/>
  <c r="E1993" i="14"/>
  <c r="E1551" i="14"/>
  <c r="E1673" i="14"/>
  <c r="E1757" i="14"/>
  <c r="E1821" i="14"/>
  <c r="E1885" i="14"/>
  <c r="E1932" i="14"/>
  <c r="E1944" i="14"/>
  <c r="E1957" i="14"/>
  <c r="E1969" i="14"/>
  <c r="E1983" i="14"/>
  <c r="E1996" i="14"/>
  <c r="E3" i="14"/>
  <c r="E6" i="14"/>
  <c r="E5" i="14"/>
  <c r="C9" i="7" l="1"/>
  <c r="D9" i="7"/>
  <c r="J9" i="7"/>
  <c r="C8" i="7"/>
  <c r="D8" i="7"/>
  <c r="J8" i="7"/>
  <c r="C7" i="7"/>
  <c r="D7" i="7"/>
  <c r="J7" i="7"/>
  <c r="C6" i="7"/>
  <c r="D6" i="7"/>
  <c r="J6" i="7"/>
  <c r="C5" i="7"/>
  <c r="D5" i="7"/>
  <c r="J5" i="7"/>
  <c r="C4" i="9"/>
  <c r="C4" i="7"/>
  <c r="H2" i="5" l="1"/>
  <c r="J4" i="9" l="1"/>
  <c r="J4" i="7"/>
  <c r="D4" i="9" l="1"/>
  <c r="D4" i="7" l="1"/>
  <c r="F901" i="17" l="1"/>
  <c r="F832" i="17"/>
  <c r="F692" i="17"/>
  <c r="F1230" i="17"/>
  <c r="F445" i="17"/>
  <c r="F967" i="17"/>
  <c r="F1499" i="17"/>
  <c r="F1447" i="17"/>
  <c r="F1750" i="17"/>
  <c r="F820" i="17"/>
  <c r="F1472" i="16"/>
  <c r="F1064" i="17"/>
  <c r="F323" i="17"/>
  <c r="F427" i="17"/>
  <c r="F219" i="17"/>
  <c r="F1330" i="17"/>
  <c r="F496" i="17"/>
  <c r="F1080" i="17"/>
  <c r="F1988" i="17"/>
  <c r="F1910" i="17"/>
  <c r="F432" i="17"/>
  <c r="F1069" i="17"/>
  <c r="F278" i="17"/>
  <c r="F435" i="17"/>
  <c r="F1717" i="17"/>
  <c r="F831" i="17"/>
  <c r="F246" i="17"/>
  <c r="F197" i="16"/>
  <c r="F505" i="17"/>
  <c r="F81" i="17"/>
  <c r="F1614" i="17"/>
  <c r="F710" i="17"/>
  <c r="F1653" i="16"/>
  <c r="F568" i="17"/>
  <c r="F1237" i="17"/>
  <c r="F736" i="17"/>
  <c r="F91" i="17"/>
  <c r="F1487" i="17"/>
  <c r="F1163" i="17"/>
  <c r="F1927" i="17"/>
  <c r="F757" i="17"/>
  <c r="F1577" i="17"/>
  <c r="F296" i="17"/>
  <c r="F1053" i="17"/>
  <c r="F25" i="17"/>
  <c r="F1631" i="17"/>
  <c r="F1591" i="17"/>
  <c r="F1280" i="17"/>
  <c r="F925" i="17"/>
  <c r="F637" i="16"/>
  <c r="F375" i="17"/>
  <c r="F1336" i="17"/>
  <c r="F1708" i="17"/>
  <c r="F1445" i="17"/>
  <c r="F1747" i="16"/>
  <c r="F1966" i="17"/>
  <c r="F1434" i="17"/>
  <c r="F99" i="17"/>
  <c r="F1850" i="17"/>
  <c r="F1209" i="17"/>
  <c r="F1987" i="17"/>
  <c r="F1397" i="17"/>
  <c r="F1833" i="17"/>
  <c r="F1109" i="17"/>
  <c r="F167" i="17"/>
  <c r="F1352" i="17"/>
  <c r="F1458" i="17"/>
  <c r="F450" i="17"/>
  <c r="F1520" i="17"/>
  <c r="F1481" i="17"/>
  <c r="F173" i="17"/>
  <c r="F1051" i="17"/>
  <c r="F159" i="17"/>
  <c r="F135" i="17"/>
  <c r="F70" i="17"/>
  <c r="F1145" i="17"/>
  <c r="F1622" i="17"/>
  <c r="F1978" i="17"/>
  <c r="F348" i="17"/>
  <c r="F226" i="17"/>
  <c r="F1243" i="17"/>
  <c r="F590" i="17"/>
  <c r="F1849" i="17"/>
  <c r="F1989" i="17"/>
  <c r="F708" i="17"/>
  <c r="F1584" i="16"/>
  <c r="F1477" i="17"/>
  <c r="F695" i="17"/>
  <c r="F1608" i="17"/>
  <c r="F500" i="17"/>
  <c r="F1118" i="17"/>
  <c r="F1838" i="17"/>
  <c r="F1431" i="17"/>
  <c r="F1439" i="17"/>
  <c r="F527" i="17"/>
  <c r="F1370" i="17"/>
  <c r="F1607" i="17"/>
  <c r="F311" i="16"/>
  <c r="F1515" i="17"/>
  <c r="F16" i="17"/>
  <c r="F1296" i="17"/>
  <c r="F1891" i="17"/>
  <c r="F976" i="17"/>
  <c r="F1837" i="17"/>
  <c r="F1916" i="17"/>
  <c r="F611" i="17"/>
  <c r="F384" i="17"/>
  <c r="F1034" i="17"/>
  <c r="F982" i="16"/>
  <c r="F236" i="17"/>
  <c r="F1708" i="16"/>
  <c r="F1867" i="17"/>
  <c r="F350" i="16"/>
  <c r="F1593" i="17"/>
  <c r="F1157" i="17"/>
  <c r="F1929" i="17"/>
  <c r="F354" i="17"/>
  <c r="F1250" i="17"/>
  <c r="F1621" i="17"/>
  <c r="F12" i="17"/>
  <c r="F937" i="17"/>
  <c r="F787" i="17"/>
  <c r="F821" i="17"/>
  <c r="F61" i="17"/>
  <c r="F260" i="16"/>
  <c r="F1528" i="17"/>
  <c r="F805" i="17"/>
  <c r="F582" i="16"/>
  <c r="F1956" i="17"/>
  <c r="F313" i="17"/>
  <c r="F140" i="17"/>
  <c r="F1200" i="17"/>
  <c r="F1925" i="17"/>
  <c r="F64" i="17"/>
  <c r="F945" i="17"/>
  <c r="F1170" i="17"/>
  <c r="F1859" i="17"/>
  <c r="F1882" i="17"/>
  <c r="F656" i="17"/>
  <c r="F1224" i="17"/>
  <c r="F876" i="17"/>
  <c r="F1054" i="17"/>
  <c r="F453" i="17"/>
  <c r="F589" i="17"/>
  <c r="F1712" i="17"/>
  <c r="F207" i="17"/>
  <c r="F533" i="17"/>
  <c r="F934" i="17"/>
  <c r="F737" i="17"/>
  <c r="F661" i="17"/>
  <c r="F1759" i="17"/>
  <c r="F592" i="17"/>
  <c r="F1556" i="17"/>
  <c r="F722" i="17"/>
  <c r="F1234" i="17"/>
  <c r="F795" i="17"/>
  <c r="F1469" i="17"/>
  <c r="F1376" i="17"/>
  <c r="F1401" i="17"/>
  <c r="F970" i="17"/>
  <c r="F101" i="16"/>
  <c r="F1531" i="17"/>
  <c r="F1160" i="17"/>
  <c r="F1129" i="17"/>
  <c r="F14" i="17"/>
  <c r="F189" i="17"/>
  <c r="F1419" i="17"/>
  <c r="F884" i="17"/>
  <c r="F1549" i="17"/>
  <c r="F1421" i="17"/>
  <c r="F837" i="16"/>
  <c r="F1736" i="17"/>
  <c r="F1483" i="17"/>
  <c r="F1265" i="17"/>
  <c r="F67" i="17"/>
  <c r="F947" i="17"/>
  <c r="F981" i="17"/>
  <c r="F1573" i="17"/>
  <c r="F600" i="16"/>
  <c r="F1023" i="17"/>
  <c r="F1522" i="17"/>
  <c r="F471" i="17"/>
  <c r="F1451" i="16"/>
  <c r="F488" i="16"/>
  <c r="F986" i="17"/>
  <c r="F1277" i="17"/>
  <c r="F1208" i="17"/>
  <c r="F603" i="17"/>
  <c r="F531" i="17"/>
  <c r="F1937" i="17"/>
  <c r="F1022" i="17"/>
  <c r="F1534" i="17"/>
  <c r="F1441" i="17"/>
  <c r="F79" i="17"/>
  <c r="F1094" i="16"/>
  <c r="F407" i="17"/>
  <c r="F689" i="17"/>
  <c r="F1478" i="17"/>
  <c r="F1176" i="17"/>
  <c r="F926" i="17"/>
  <c r="F1972" i="17"/>
  <c r="F365" i="17"/>
  <c r="F1679" i="17"/>
  <c r="F845" i="17"/>
  <c r="F1530" i="16"/>
  <c r="F121" i="16"/>
  <c r="F604" i="17"/>
  <c r="F343" i="17"/>
  <c r="F1406" i="17"/>
  <c r="F329" i="17"/>
  <c r="F1348" i="17"/>
  <c r="F1332" i="17"/>
  <c r="F1112" i="16"/>
  <c r="F1595" i="17"/>
  <c r="F1983" i="17"/>
  <c r="F1692" i="17"/>
  <c r="F675" i="16"/>
  <c r="F1582" i="17"/>
  <c r="F1857" i="17"/>
  <c r="F1238" i="17"/>
  <c r="F1552" i="17"/>
  <c r="F1646" i="17"/>
  <c r="F1861" i="17"/>
  <c r="F1737" i="17"/>
  <c r="F892" i="17"/>
  <c r="F258" i="17"/>
  <c r="F939" i="17"/>
  <c r="F705" i="17"/>
  <c r="F1806" i="17"/>
  <c r="F739" i="17"/>
  <c r="F1280" i="16"/>
  <c r="F1068" i="17"/>
  <c r="F1121" i="17"/>
  <c r="F66" i="17"/>
  <c r="F1516" i="17"/>
  <c r="F1742" i="17"/>
  <c r="F312" i="17"/>
  <c r="F63" i="17"/>
  <c r="F746" i="16"/>
  <c r="F1845" i="17"/>
  <c r="F915" i="17"/>
  <c r="F563" i="17"/>
  <c r="F1286" i="16"/>
  <c r="F504" i="17"/>
  <c r="F990" i="17"/>
  <c r="F1362" i="17"/>
  <c r="F1194" i="17"/>
  <c r="F1172" i="17"/>
  <c r="F912" i="17"/>
  <c r="F863" i="17"/>
  <c r="F1542" i="17"/>
  <c r="F240" i="17"/>
  <c r="F1949" i="17"/>
  <c r="F1366" i="17"/>
  <c r="F526" i="17"/>
  <c r="F56" i="17"/>
  <c r="F1098" i="17"/>
  <c r="F74" i="17"/>
  <c r="F954" i="17"/>
  <c r="F15" i="17"/>
  <c r="F625" i="17"/>
  <c r="F310" i="17"/>
  <c r="F28" i="17"/>
  <c r="F254" i="17"/>
  <c r="F111" i="17"/>
  <c r="F1436" i="17"/>
  <c r="F864" i="17"/>
  <c r="F1747" i="17"/>
  <c r="F160" i="16"/>
  <c r="F1061" i="17"/>
  <c r="F319" i="17"/>
  <c r="F871" i="17"/>
  <c r="F367" i="17"/>
  <c r="F647" i="17"/>
  <c r="F397" i="17"/>
  <c r="F1227" i="17"/>
  <c r="F1228" i="17"/>
  <c r="F10" i="17"/>
  <c r="F295" i="17"/>
  <c r="F1114" i="17"/>
  <c r="F543" i="17"/>
  <c r="F1048" i="17"/>
  <c r="F13" i="17"/>
  <c r="F1723" i="17"/>
  <c r="F1343" i="17"/>
  <c r="F541" i="17"/>
  <c r="F1168" i="17"/>
  <c r="F1947" i="17"/>
  <c r="F1127" i="17"/>
  <c r="F1075" i="17"/>
  <c r="F1697" i="17"/>
  <c r="F812" i="16"/>
  <c r="F893" i="17"/>
  <c r="F1074" i="17"/>
  <c r="F1760" i="17"/>
  <c r="F980" i="17"/>
  <c r="F1369" i="17"/>
  <c r="F1264" i="17"/>
  <c r="F577" i="17"/>
  <c r="F1349" i="17"/>
  <c r="F611" i="16"/>
  <c r="F394" i="17"/>
  <c r="F342" i="17"/>
  <c r="F1585" i="17"/>
  <c r="F1378" i="17"/>
  <c r="F364" i="17"/>
  <c r="F572" i="17"/>
  <c r="F1922" i="17"/>
  <c r="F1970" i="17"/>
  <c r="F1584" i="17"/>
  <c r="F1544" i="17"/>
  <c r="F595" i="17"/>
  <c r="F566" i="17"/>
  <c r="F1856" i="17"/>
  <c r="F1639" i="17"/>
  <c r="F1986" i="17"/>
  <c r="F644" i="17"/>
  <c r="F1001" i="17"/>
  <c r="F984" i="17"/>
  <c r="F983" i="17"/>
  <c r="F1967" i="17"/>
  <c r="F1313" i="16"/>
  <c r="F973" i="17"/>
  <c r="F1870" i="17"/>
  <c r="F1070" i="17"/>
  <c r="F292" i="16"/>
  <c r="F936" i="17"/>
  <c r="F1648" i="17"/>
  <c r="F1253" i="17"/>
  <c r="F440" i="17"/>
  <c r="F1106" i="17"/>
  <c r="F1879" i="17"/>
  <c r="F1686" i="17"/>
  <c r="F1695" i="17"/>
  <c r="F1278" i="17"/>
  <c r="F121" i="17"/>
  <c r="F1663" i="17"/>
  <c r="F1274" i="17"/>
  <c r="F271" i="17"/>
  <c r="F1777" i="17"/>
  <c r="F1235" i="17"/>
  <c r="F188" i="17"/>
  <c r="F809" i="17"/>
  <c r="F714" i="17"/>
  <c r="F1684" i="16"/>
  <c r="F1883" i="17"/>
  <c r="F79" i="16"/>
  <c r="F88" i="16"/>
  <c r="F1452" i="16"/>
  <c r="F1000" i="16"/>
  <c r="F1139" i="17"/>
  <c r="F270" i="17"/>
  <c r="F49" i="17"/>
  <c r="F98" i="16"/>
  <c r="F1318" i="16"/>
  <c r="F45" i="16"/>
  <c r="F44" i="17"/>
  <c r="F21" i="17"/>
  <c r="F1451" i="17"/>
  <c r="F477" i="17"/>
  <c r="F1955" i="17"/>
  <c r="F294" i="17"/>
  <c r="F1017" i="17"/>
  <c r="F1893" i="17"/>
  <c r="F792" i="17"/>
  <c r="F1131" i="17"/>
  <c r="F841" i="17"/>
  <c r="F1527" i="17"/>
  <c r="F1753" i="17"/>
  <c r="F1020" i="17"/>
  <c r="F765" i="17"/>
  <c r="F1551" i="17"/>
  <c r="F1592" i="17"/>
  <c r="F1043" i="17"/>
  <c r="F1896" i="17"/>
  <c r="F422" i="17"/>
  <c r="F1711" i="17"/>
  <c r="F1347" i="17"/>
  <c r="F333" i="17"/>
  <c r="F113" i="16"/>
  <c r="F826" i="17"/>
  <c r="F1162" i="17"/>
  <c r="F1994" i="17"/>
  <c r="F1851" i="17"/>
  <c r="F924" i="17"/>
  <c r="F1050" i="17"/>
  <c r="F488" i="17"/>
  <c r="F52" i="17"/>
  <c r="F683" i="17"/>
  <c r="F1210" i="17"/>
  <c r="F62" i="17"/>
  <c r="F1361" i="17"/>
  <c r="F146" i="17"/>
  <c r="F910" i="17"/>
  <c r="F1884" i="17"/>
  <c r="F1998" i="17"/>
  <c r="F1628" i="17"/>
  <c r="F1298" i="17"/>
  <c r="F738" i="17"/>
  <c r="F1913" i="17"/>
  <c r="F298" i="17"/>
  <c r="F136" i="17"/>
  <c r="F1193" i="17"/>
  <c r="F289" i="17"/>
  <c r="F1144" i="17"/>
  <c r="F619" i="17"/>
  <c r="F917" i="17"/>
  <c r="F1297" i="17"/>
  <c r="F1141" i="17"/>
  <c r="F1617" i="17"/>
  <c r="F1583" i="17"/>
  <c r="F1778" i="17"/>
  <c r="F1072" i="17"/>
  <c r="F659" i="17"/>
  <c r="F851" i="17"/>
  <c r="F1903" i="17"/>
  <c r="F1462" i="17"/>
  <c r="F29" i="17"/>
  <c r="F574" i="17"/>
  <c r="F551" i="17"/>
  <c r="F362" i="17"/>
  <c r="F41" i="17"/>
  <c r="F770" i="17"/>
  <c r="F1898" i="17"/>
  <c r="F1031" i="17"/>
  <c r="F1793" i="17"/>
  <c r="F480" i="16"/>
  <c r="F713" i="16"/>
  <c r="F968" i="17"/>
  <c r="F960" i="17"/>
  <c r="F959" i="17"/>
  <c r="F1685" i="17"/>
  <c r="F118" i="17"/>
  <c r="F237" i="17"/>
  <c r="F1026" i="17"/>
  <c r="F1858" i="17"/>
  <c r="F1589" i="17"/>
  <c r="F1609" i="17"/>
  <c r="F308" i="17"/>
  <c r="F402" i="17"/>
  <c r="F1557" i="17"/>
  <c r="F403" i="17"/>
  <c r="F160" i="17"/>
  <c r="F1767" i="17"/>
  <c r="F1772" i="17"/>
  <c r="F1587" i="17"/>
  <c r="F1860" i="17"/>
  <c r="F1147" i="17"/>
  <c r="F1315" i="16"/>
  <c r="F228" i="17"/>
  <c r="F1567" i="17"/>
  <c r="F1761" i="17"/>
  <c r="F463" i="17"/>
  <c r="F741" i="17"/>
  <c r="F778" i="17"/>
  <c r="F1586" i="17"/>
  <c r="F953" i="16"/>
  <c r="F1727" i="17"/>
  <c r="F1553" i="17"/>
  <c r="F37" i="17"/>
  <c r="F1102" i="17"/>
  <c r="F1920" i="17"/>
  <c r="F1744" i="17"/>
  <c r="F1279" i="17"/>
  <c r="F1846" i="17"/>
  <c r="F1624" i="17"/>
  <c r="F1875" i="17"/>
  <c r="F318" i="17"/>
  <c r="F993" i="17"/>
  <c r="F1014" i="16"/>
  <c r="F1644" i="16"/>
  <c r="F744" i="17"/>
  <c r="F690" i="17"/>
  <c r="F848" i="17"/>
  <c r="F1395" i="17"/>
  <c r="F999" i="16"/>
  <c r="F122" i="16"/>
  <c r="F1184" i="17"/>
  <c r="F1762" i="17"/>
  <c r="F1827" i="17"/>
  <c r="F163" i="17"/>
  <c r="F195" i="16"/>
  <c r="F668" i="17"/>
  <c r="F687" i="17"/>
  <c r="F995" i="17"/>
  <c r="F1630" i="17"/>
  <c r="F715" i="17"/>
  <c r="F1416" i="17"/>
  <c r="F897" i="17"/>
  <c r="F1887" i="17"/>
  <c r="F1232" i="17"/>
  <c r="F156" i="17"/>
  <c r="F210" i="17"/>
  <c r="F196" i="17"/>
  <c r="F1359" i="17"/>
  <c r="F1808" i="17"/>
  <c r="F1730" i="17"/>
  <c r="F247" i="17"/>
  <c r="F605" i="17"/>
  <c r="F663" i="17"/>
  <c r="F1333" i="17"/>
  <c r="F1098" i="16"/>
  <c r="F952" i="17"/>
  <c r="F1982" i="17"/>
  <c r="F1948" i="17"/>
  <c r="F203" i="17"/>
  <c r="F1454" i="17"/>
  <c r="F279" i="17"/>
  <c r="F1535" i="17"/>
  <c r="F802" i="16"/>
  <c r="F417" i="17"/>
  <c r="F895" i="17"/>
  <c r="F292" i="17"/>
  <c r="F1261" i="17"/>
  <c r="F224" i="16"/>
  <c r="F1260" i="17"/>
  <c r="F583" i="17"/>
  <c r="F665" i="17"/>
  <c r="F479" i="17"/>
  <c r="F326" i="17"/>
  <c r="F1254" i="17"/>
  <c r="F1488" i="17"/>
  <c r="F798" i="16"/>
  <c r="F275" i="17"/>
  <c r="F775" i="17"/>
  <c r="F869" i="17"/>
  <c r="F8" i="17"/>
  <c r="F455" i="17"/>
  <c r="F693" i="17"/>
  <c r="F821" i="16"/>
  <c r="F1400" i="17"/>
  <c r="F840" i="17"/>
  <c r="F1634" i="16"/>
  <c r="F1492" i="17"/>
  <c r="F478" i="17"/>
  <c r="F4" i="14"/>
  <c r="F1024" i="17"/>
  <c r="F782" i="17"/>
  <c r="F1705" i="17"/>
  <c r="F776" i="17"/>
  <c r="F833" i="17"/>
  <c r="F1475" i="17"/>
  <c r="F195" i="17"/>
  <c r="F913" i="17"/>
  <c r="F788" i="17"/>
  <c r="F1694" i="17"/>
  <c r="F723" i="17"/>
  <c r="F336" i="17"/>
  <c r="F1420" i="16"/>
  <c r="F465" i="17"/>
  <c r="F1342" i="17"/>
  <c r="F1005" i="17"/>
  <c r="F1231" i="17"/>
  <c r="F609" i="17"/>
  <c r="F732" i="17"/>
  <c r="F297" i="17"/>
  <c r="F1526" i="17"/>
  <c r="F1969" i="17"/>
  <c r="F1402" i="17"/>
  <c r="F1283" i="17"/>
  <c r="F1104" i="16"/>
  <c r="F1804" i="17"/>
  <c r="F1201" i="17"/>
  <c r="F622" i="17"/>
  <c r="F559" i="17"/>
  <c r="F1690" i="17"/>
  <c r="F591" i="17"/>
  <c r="F1036" i="17"/>
  <c r="F546" i="16"/>
  <c r="F1501" i="17"/>
  <c r="F1449" i="17"/>
  <c r="F1097" i="17"/>
  <c r="F1670" i="17"/>
  <c r="F961" i="17"/>
  <c r="F1136" i="17"/>
  <c r="F688" i="17"/>
  <c r="F1819" i="17"/>
  <c r="F717" i="17"/>
  <c r="F1984" i="17"/>
  <c r="F1735" i="17"/>
  <c r="F694" i="17"/>
  <c r="F450" i="16"/>
  <c r="F1091" i="17"/>
  <c r="F1217" i="17"/>
  <c r="F95" i="17"/>
  <c r="F1675" i="17"/>
  <c r="F1724" i="17"/>
  <c r="F672" i="17"/>
  <c r="F726" i="17"/>
  <c r="F389" i="17"/>
  <c r="F316" i="17"/>
  <c r="F1773" i="17"/>
  <c r="F587" i="17"/>
  <c r="F828" i="17"/>
  <c r="F964" i="17"/>
  <c r="F943" i="17"/>
  <c r="F1847" i="17"/>
  <c r="F512" i="17"/>
  <c r="F1178" i="17"/>
  <c r="F600" i="17"/>
  <c r="F1807" i="17"/>
  <c r="F1371" i="17"/>
  <c r="F1351" i="17"/>
  <c r="F784" i="17"/>
  <c r="F623" i="17"/>
  <c r="F578" i="17"/>
  <c r="F115" i="17"/>
  <c r="F1707" i="17"/>
  <c r="F874" i="16"/>
  <c r="F754" i="17"/>
  <c r="F1328" i="17"/>
  <c r="F1519" i="17"/>
  <c r="F1116" i="17"/>
  <c r="F1635" i="17"/>
  <c r="F1930" i="16"/>
  <c r="F212" i="17"/>
  <c r="F683" i="16"/>
  <c r="F769" i="17"/>
  <c r="F1186" i="16"/>
  <c r="F1973" i="17"/>
  <c r="F40" i="17"/>
  <c r="F1678" i="17"/>
  <c r="F1812" i="17"/>
  <c r="F929" i="17"/>
  <c r="F261" i="17"/>
  <c r="F742" i="17"/>
  <c r="F452" i="17"/>
  <c r="F627" i="16"/>
  <c r="F419" i="17"/>
  <c r="F1393" i="17"/>
  <c r="F1754" i="17"/>
  <c r="F1525" i="17"/>
  <c r="F337" i="17"/>
  <c r="F1851" i="16"/>
  <c r="F1863" i="17"/>
  <c r="F526" i="16"/>
  <c r="F345" i="16"/>
  <c r="F110" i="17"/>
  <c r="F1312" i="16"/>
  <c r="F451" i="17"/>
  <c r="F599" i="16"/>
  <c r="F1720" i="17"/>
  <c r="F1135" i="17"/>
  <c r="F1798" i="17"/>
  <c r="F852" i="16"/>
  <c r="F769" i="16"/>
  <c r="F1889" i="17"/>
  <c r="F216" i="16"/>
  <c r="F352" i="16"/>
  <c r="F1991" i="16"/>
  <c r="F273" i="17"/>
  <c r="F903" i="17"/>
  <c r="F688" i="16"/>
  <c r="F627" i="17"/>
  <c r="F323" i="16"/>
  <c r="F1732" i="17"/>
  <c r="F1196" i="16"/>
  <c r="F630" i="17"/>
  <c r="F1702" i="17"/>
  <c r="F378" i="16"/>
  <c r="F584" i="17"/>
  <c r="F1285" i="17"/>
  <c r="F392" i="17"/>
  <c r="F420" i="17"/>
  <c r="F787" i="16"/>
  <c r="F1373" i="17"/>
  <c r="F1411" i="17"/>
  <c r="F946" i="17"/>
  <c r="F1659" i="16"/>
  <c r="F1096" i="17"/>
  <c r="F464" i="17"/>
  <c r="F520" i="16"/>
  <c r="F1316" i="17"/>
  <c r="F740" i="17"/>
  <c r="F1590" i="17"/>
  <c r="F1336" i="16"/>
  <c r="F916" i="16"/>
  <c r="F24" i="16"/>
  <c r="F106" i="17"/>
  <c r="F252" i="17"/>
  <c r="F1072" i="16"/>
  <c r="F953" i="17"/>
  <c r="F48" i="17"/>
  <c r="F204" i="16"/>
  <c r="F1502" i="17"/>
  <c r="F34" i="17"/>
  <c r="F561" i="17"/>
  <c r="F1108" i="16"/>
  <c r="F1391" i="17"/>
  <c r="F278" i="16"/>
  <c r="F19" i="17"/>
  <c r="F1766" i="16"/>
  <c r="F395" i="17"/>
  <c r="F621" i="16"/>
  <c r="F1558" i="17"/>
  <c r="F1842" i="17"/>
  <c r="F1284" i="17"/>
  <c r="F400" i="17"/>
  <c r="F481" i="17"/>
  <c r="F1306" i="17"/>
  <c r="F1838" i="16"/>
  <c r="F1725" i="17"/>
  <c r="F874" i="17"/>
  <c r="F885" i="17"/>
  <c r="F345" i="17"/>
  <c r="F579" i="17"/>
  <c r="F1381" i="17"/>
  <c r="F1498" i="17"/>
  <c r="F1953" i="17"/>
  <c r="F207" i="16"/>
  <c r="F1574" i="17"/>
  <c r="F1427" i="17"/>
  <c r="F1216" i="17"/>
  <c r="F1895" i="17"/>
  <c r="F283" i="17"/>
  <c r="F1676" i="17"/>
  <c r="F1202" i="17"/>
  <c r="F1514" i="16"/>
  <c r="F1142" i="17"/>
  <c r="F1470" i="17"/>
  <c r="F1970" i="16"/>
  <c r="F58" i="17"/>
  <c r="F1396" i="17"/>
  <c r="F698" i="17"/>
  <c r="F1504" i="17"/>
  <c r="F979" i="17"/>
  <c r="F1308" i="16"/>
  <c r="F1698" i="16"/>
  <c r="F1503" i="17"/>
  <c r="F1152" i="17"/>
  <c r="F309" i="17"/>
  <c r="F141" i="17"/>
  <c r="F392" i="16"/>
  <c r="F307" i="16"/>
  <c r="F262" i="17"/>
  <c r="F1339" i="17"/>
  <c r="F1014" i="17"/>
  <c r="F1187" i="16"/>
  <c r="F847" i="17"/>
  <c r="F859" i="17"/>
  <c r="F1830" i="17"/>
  <c r="F735" i="17"/>
  <c r="F1832" i="17"/>
  <c r="F1426" i="17"/>
  <c r="F1611" i="17"/>
  <c r="F1153" i="17"/>
  <c r="F354" i="16"/>
  <c r="F791" i="16"/>
  <c r="F1503" i="16"/>
  <c r="F351" i="17"/>
  <c r="F1073" i="17"/>
  <c r="F349" i="17"/>
  <c r="F1357" i="17"/>
  <c r="F448" i="17"/>
  <c r="F1244" i="17"/>
  <c r="F534" i="17"/>
  <c r="F379" i="17"/>
  <c r="F1479" i="17"/>
  <c r="F1126" i="17"/>
  <c r="F1710" i="17"/>
  <c r="F1300" i="17"/>
  <c r="F1815" i="17"/>
  <c r="F286" i="17"/>
  <c r="F215" i="17"/>
  <c r="F223" i="17"/>
  <c r="F124" i="16"/>
  <c r="F301" i="17"/>
  <c r="F1430" i="17"/>
  <c r="F242" i="16"/>
  <c r="F415" i="17"/>
  <c r="F1065" i="17"/>
  <c r="F827" i="17"/>
  <c r="F1925" i="16"/>
  <c r="F1871" i="17"/>
  <c r="F1770" i="17"/>
  <c r="F360" i="16"/>
  <c r="F535" i="17"/>
  <c r="F524" i="17"/>
  <c r="F359" i="17"/>
  <c r="F86" i="16"/>
  <c r="F1196" i="17"/>
  <c r="F615" i="17"/>
  <c r="F793" i="17"/>
  <c r="F184" i="16"/>
  <c r="F370" i="16"/>
  <c r="F1872" i="17"/>
  <c r="F1651" i="17"/>
  <c r="F162" i="17"/>
  <c r="F1781" i="17"/>
  <c r="F704" i="16"/>
  <c r="F796" i="16"/>
  <c r="F1007" i="16"/>
  <c r="F813" i="16"/>
  <c r="F1233" i="17"/>
  <c r="F1996" i="17"/>
  <c r="F1588" i="17"/>
  <c r="F150" i="17"/>
  <c r="F1248" i="17"/>
  <c r="F765" i="15"/>
  <c r="F1524" i="16"/>
  <c r="F1633" i="16"/>
  <c r="F565" i="16"/>
  <c r="F641" i="17"/>
  <c r="F205" i="17"/>
  <c r="F426" i="17"/>
  <c r="F105" i="16"/>
  <c r="F514" i="17"/>
  <c r="F1276" i="17"/>
  <c r="F1531" i="16"/>
  <c r="F1540" i="17"/>
  <c r="F1181" i="17"/>
  <c r="F564" i="17"/>
  <c r="F586" i="17"/>
  <c r="F1087" i="17"/>
  <c r="F257" i="17"/>
  <c r="F244" i="17"/>
  <c r="F1741" i="16"/>
  <c r="F1057" i="16"/>
  <c r="F211" i="16"/>
  <c r="F1385" i="16"/>
  <c r="F178" i="17"/>
  <c r="F1490" i="17"/>
  <c r="F1664" i="17"/>
  <c r="F1292" i="17"/>
  <c r="F328" i="17"/>
  <c r="F1183" i="17"/>
  <c r="F1945" i="17"/>
  <c r="F1464" i="17"/>
  <c r="F1672" i="17"/>
  <c r="F1350" i="17"/>
  <c r="F1941" i="17"/>
  <c r="F104" i="17"/>
  <c r="F1041" i="16"/>
  <c r="F165" i="17"/>
  <c r="F830" i="17"/>
  <c r="F1004" i="17"/>
  <c r="F1536" i="17"/>
  <c r="F648" i="16"/>
  <c r="F1791" i="17"/>
  <c r="F1295" i="17"/>
  <c r="F1908" i="16"/>
  <c r="F1263" i="17"/>
  <c r="F1473" i="17"/>
  <c r="F1055" i="17"/>
  <c r="F1059" i="17"/>
  <c r="F733" i="17"/>
  <c r="F766" i="17"/>
  <c r="F1066" i="17"/>
  <c r="F1605" i="17"/>
  <c r="F1248" i="16"/>
  <c r="F1166" i="16"/>
  <c r="F191" i="17"/>
  <c r="F555" i="16"/>
  <c r="F132" i="17"/>
  <c r="F1231" i="16"/>
  <c r="F171" i="17"/>
  <c r="F918" i="17"/>
  <c r="F1641" i="17"/>
  <c r="F691" i="17"/>
  <c r="F196" i="16"/>
  <c r="F1131" i="16"/>
  <c r="F745" i="17"/>
  <c r="F1570" i="17"/>
  <c r="F652" i="17"/>
  <c r="F303" i="16"/>
  <c r="F421" i="17"/>
  <c r="F1486" i="17"/>
  <c r="F942" i="17"/>
  <c r="F230" i="17"/>
  <c r="F90" i="17"/>
  <c r="F1930" i="17"/>
  <c r="F750" i="16"/>
  <c r="F532" i="17"/>
  <c r="F1101" i="17"/>
  <c r="F1790" i="16"/>
  <c r="F186" i="17"/>
  <c r="F880" i="17"/>
  <c r="F905" i="17"/>
  <c r="F1448" i="17"/>
  <c r="F1240" i="17"/>
  <c r="F1767" i="16"/>
  <c r="F267" i="17"/>
  <c r="F94" i="17"/>
  <c r="F43" i="16"/>
  <c r="F1687" i="16"/>
  <c r="F1011" i="17"/>
  <c r="F562" i="17"/>
  <c r="F1349" i="16"/>
  <c r="F180" i="16"/>
  <c r="F338" i="17"/>
  <c r="F867" i="17"/>
  <c r="F222" i="17"/>
  <c r="F30" i="16"/>
  <c r="F1524" i="17"/>
  <c r="F272" i="17"/>
  <c r="F1822" i="16"/>
  <c r="F679" i="17"/>
  <c r="F385" i="17"/>
  <c r="F801" i="17"/>
  <c r="F1407" i="17"/>
  <c r="F1864" i="17"/>
  <c r="F459" i="16"/>
  <c r="F1959" i="17"/>
  <c r="F438" i="17"/>
  <c r="F457" i="17"/>
  <c r="F466" i="17"/>
  <c r="F774" i="17"/>
  <c r="F287" i="17"/>
  <c r="F1323" i="17"/>
  <c r="F1789" i="17"/>
  <c r="F544" i="17"/>
  <c r="F1094" i="17"/>
  <c r="F546" i="17"/>
  <c r="F1389" i="17"/>
  <c r="F508" i="17"/>
  <c r="F322" i="16"/>
  <c r="F1934" i="17"/>
  <c r="F1409" i="17"/>
  <c r="F882" i="17"/>
  <c r="F713" i="17"/>
  <c r="F1834" i="17"/>
  <c r="F1935" i="17"/>
  <c r="F835" i="16"/>
  <c r="F35" i="17"/>
  <c r="F1214" i="17"/>
  <c r="F700" i="17"/>
  <c r="F1138" i="17"/>
  <c r="F868" i="17"/>
  <c r="F1638" i="17"/>
  <c r="F1780" i="17"/>
  <c r="F12" i="16"/>
  <c r="F631" i="16"/>
  <c r="F6" i="16"/>
  <c r="F1139" i="16"/>
  <c r="F285" i="17"/>
  <c r="F109" i="16"/>
  <c r="F318" i="16"/>
  <c r="F1885" i="17"/>
  <c r="F1303" i="17"/>
  <c r="F1811" i="17"/>
  <c r="F1148" i="17"/>
  <c r="F634" i="17"/>
  <c r="F1915" i="17"/>
  <c r="F655" i="16"/>
  <c r="F1551" i="16"/>
  <c r="F1924" i="16"/>
  <c r="F636" i="17"/>
  <c r="F1137" i="16"/>
  <c r="F1693" i="17"/>
  <c r="F1704" i="17"/>
  <c r="F1287" i="17"/>
  <c r="F461" i="17"/>
  <c r="F1854" i="17"/>
  <c r="F103" i="17"/>
  <c r="F763" i="17"/>
  <c r="F595" i="16"/>
  <c r="F660" i="17"/>
  <c r="F548" i="17"/>
  <c r="F1002" i="17"/>
  <c r="F1379" i="17"/>
  <c r="F594" i="17"/>
  <c r="F1512" i="16"/>
  <c r="F209" i="16"/>
  <c r="F519" i="17"/>
  <c r="F1656" i="17"/>
  <c r="F181" i="17"/>
  <c r="F865" i="16"/>
  <c r="F523" i="17"/>
  <c r="F1538" i="17"/>
  <c r="F716" i="17"/>
  <c r="F1671" i="17"/>
  <c r="F539" i="17"/>
  <c r="F1709" i="16"/>
  <c r="F657" i="17"/>
  <c r="F177" i="16"/>
  <c r="F1768" i="17"/>
  <c r="F1205" i="16"/>
  <c r="F75" i="17"/>
  <c r="F418" i="17"/>
  <c r="F470" i="17"/>
  <c r="F1257" i="17"/>
  <c r="F1862" i="17"/>
  <c r="F1140" i="16"/>
  <c r="F1303" i="16"/>
  <c r="F794" i="16"/>
  <c r="F1714" i="17"/>
  <c r="F1420" i="17"/>
  <c r="F116" i="17"/>
  <c r="F31" i="17"/>
  <c r="F428" i="16"/>
  <c r="F612" i="17"/>
  <c r="F810" i="16"/>
  <c r="F66" i="16"/>
  <c r="F705" i="16"/>
  <c r="F730" i="16"/>
  <c r="F911" i="17"/>
  <c r="F1212" i="17"/>
  <c r="F1097" i="16"/>
  <c r="F483" i="17"/>
  <c r="F390" i="17"/>
  <c r="F1333" i="16"/>
  <c r="F1083" i="17"/>
  <c r="F1489" i="17"/>
  <c r="F1240" i="16"/>
  <c r="F20" i="17"/>
  <c r="F414" i="17"/>
  <c r="F1037" i="17"/>
  <c r="F873" i="17"/>
  <c r="F573" i="17"/>
  <c r="F972" i="17"/>
  <c r="F431" i="17"/>
  <c r="F1267" i="17"/>
  <c r="F1394" i="17"/>
  <c r="F1203" i="17"/>
  <c r="F169" i="17"/>
  <c r="F1424" i="17"/>
  <c r="F1794" i="17"/>
  <c r="F356" i="17"/>
  <c r="F1740" i="16"/>
  <c r="F59" i="16"/>
  <c r="F1494" i="17"/>
  <c r="F1495" i="17"/>
  <c r="F928" i="17"/>
  <c r="F1553" i="16"/>
  <c r="F130" i="16"/>
  <c r="F269" i="17"/>
  <c r="F1374" i="17"/>
  <c r="F459" i="17"/>
  <c r="F870" i="17"/>
  <c r="F492" i="17"/>
  <c r="F1912" i="17"/>
  <c r="F138" i="17"/>
  <c r="F1498" i="16"/>
  <c r="F255" i="17"/>
  <c r="F1731" i="17"/>
  <c r="F536" i="16"/>
  <c r="F317" i="17"/>
  <c r="F1049" i="17"/>
  <c r="F1299" i="17"/>
  <c r="F400" i="16"/>
  <c r="F1853" i="17"/>
  <c r="F1642" i="17"/>
  <c r="F836" i="17"/>
  <c r="F881" i="17"/>
  <c r="F1090" i="17"/>
  <c r="F1652" i="17"/>
  <c r="F1433" i="17"/>
  <c r="F794" i="17"/>
  <c r="F1581" i="17"/>
  <c r="F224" i="17"/>
  <c r="F1491" i="17"/>
  <c r="F1340" i="17"/>
  <c r="F1294" i="17"/>
  <c r="F484" i="17"/>
  <c r="F398" i="17"/>
  <c r="F711" i="17"/>
  <c r="F1319" i="17"/>
  <c r="F1874" i="17"/>
  <c r="F839" i="16"/>
  <c r="F1848" i="17"/>
  <c r="F276" i="16"/>
  <c r="F1599" i="17"/>
  <c r="F608" i="17"/>
  <c r="F245" i="17"/>
  <c r="F171" i="16"/>
  <c r="F907" i="16"/>
  <c r="F926" i="16"/>
  <c r="F89" i="17"/>
  <c r="F43" i="17"/>
  <c r="F201" i="17"/>
  <c r="F1195" i="17"/>
  <c r="F669" i="17"/>
  <c r="F761" i="17"/>
  <c r="F1548" i="17"/>
  <c r="F441" i="17"/>
  <c r="F1810" i="16"/>
  <c r="F1965" i="17"/>
  <c r="F1539" i="17"/>
  <c r="F834" i="17"/>
  <c r="F490" i="17"/>
  <c r="F1890" i="17"/>
  <c r="F899" i="17"/>
  <c r="F109" i="17"/>
  <c r="F1763" i="17"/>
  <c r="F473" i="17"/>
  <c r="F1638" i="16"/>
  <c r="F1222" i="17"/>
  <c r="F842" i="17"/>
  <c r="F1992" i="17"/>
  <c r="F1559" i="16"/>
  <c r="F306" i="16"/>
  <c r="F1626" i="17"/>
  <c r="F929" i="16"/>
  <c r="F1443" i="17"/>
  <c r="F1256" i="16"/>
  <c r="F1986" i="16"/>
  <c r="F1561" i="17"/>
  <c r="F1529" i="17"/>
  <c r="F290" i="17"/>
  <c r="F4" i="16"/>
  <c r="F1657" i="17"/>
  <c r="F521" i="16"/>
  <c r="F1457" i="17"/>
  <c r="F1901" i="17"/>
  <c r="F168" i="16"/>
  <c r="F1688" i="17"/>
  <c r="F1921" i="17"/>
  <c r="F1016" i="17"/>
  <c r="F731" i="17"/>
  <c r="F1795" i="17"/>
  <c r="F72" i="17"/>
  <c r="F1346" i="17"/>
  <c r="F992" i="16"/>
  <c r="F1046" i="16"/>
  <c r="F231" i="17"/>
  <c r="F1849" i="16"/>
  <c r="F1644" i="17"/>
  <c r="F1637" i="17"/>
  <c r="F1873" i="17"/>
  <c r="F1120" i="17"/>
  <c r="F1571" i="17"/>
  <c r="F520" i="17"/>
  <c r="F1897" i="17"/>
  <c r="F522" i="17"/>
  <c r="F614" i="17"/>
  <c r="F1625" i="16"/>
  <c r="F1408" i="16"/>
  <c r="F204" i="17"/>
  <c r="F783" i="17"/>
  <c r="F803" i="17"/>
  <c r="F435" i="15"/>
  <c r="F411" i="16"/>
  <c r="F1130" i="17"/>
  <c r="F107" i="17"/>
  <c r="F523" i="16"/>
  <c r="F1776" i="17"/>
  <c r="F88" i="17"/>
  <c r="F1841" i="17"/>
  <c r="F1662" i="17"/>
  <c r="F686" i="16"/>
  <c r="F335" i="17"/>
  <c r="F1962" i="17"/>
  <c r="F1990" i="17"/>
  <c r="F157" i="17"/>
  <c r="F585" i="17"/>
  <c r="F773" i="17"/>
  <c r="F566" i="16"/>
  <c r="F597" i="17"/>
  <c r="F1377" i="17"/>
  <c r="F1092" i="16"/>
  <c r="F315" i="17"/>
  <c r="F1852" i="16"/>
  <c r="F372" i="17"/>
  <c r="F1486" i="16"/>
  <c r="F1576" i="17"/>
  <c r="F65" i="17"/>
  <c r="F1282" i="17"/>
  <c r="F639" i="17"/>
  <c r="F1783" i="17"/>
  <c r="F982" i="17"/>
  <c r="F15" i="16"/>
  <c r="F1186" i="17"/>
  <c r="F468" i="17"/>
  <c r="F80" i="16"/>
  <c r="F654" i="16"/>
  <c r="F1047" i="17"/>
  <c r="F1011" i="16"/>
  <c r="F1775" i="17"/>
  <c r="F540" i="17"/>
  <c r="F1367" i="17"/>
  <c r="F1626" i="16"/>
  <c r="F578" i="16"/>
  <c r="F741" i="15"/>
  <c r="F525" i="17"/>
  <c r="F194" i="17"/>
  <c r="F1674" i="16"/>
  <c r="F545" i="17"/>
  <c r="F1425" i="17"/>
  <c r="F1944" i="17"/>
  <c r="F449" i="17"/>
  <c r="F1209" i="16"/>
  <c r="F238" i="16"/>
  <c r="F593" i="17"/>
  <c r="F9" i="17"/>
  <c r="F1926" i="17"/>
  <c r="F1038" i="17"/>
  <c r="F1961" i="16"/>
  <c r="F219" i="16"/>
  <c r="F373" i="16"/>
  <c r="F1595" i="16"/>
  <c r="F1259" i="16"/>
  <c r="F880" i="16"/>
  <c r="F1317" i="17"/>
  <c r="F1418" i="17"/>
  <c r="F33" i="17"/>
  <c r="F1018" i="17"/>
  <c r="F986" i="16"/>
  <c r="F76" i="17"/>
  <c r="F902" i="16"/>
  <c r="F327" i="16"/>
  <c r="F1143" i="15"/>
  <c r="F493" i="17"/>
  <c r="F1800" i="17"/>
  <c r="F1877" i="16"/>
  <c r="F1267" i="16"/>
  <c r="F1978" i="16"/>
  <c r="F1715" i="17"/>
  <c r="F875" i="17"/>
  <c r="F485" i="17"/>
  <c r="F542" i="17"/>
  <c r="F202" i="17"/>
  <c r="F143" i="17"/>
  <c r="F1703" i="17"/>
  <c r="F1951" i="17"/>
  <c r="F894" i="17"/>
  <c r="F1953" i="16"/>
  <c r="F670" i="17"/>
  <c r="F371" i="17"/>
  <c r="F1748" i="17"/>
  <c r="F175" i="17"/>
  <c r="F131" i="17"/>
  <c r="F1713" i="17"/>
  <c r="F542" i="16"/>
  <c r="F1154" i="16"/>
  <c r="F628" i="17"/>
  <c r="F1835" i="17"/>
  <c r="F108" i="16"/>
  <c r="F1013" i="17"/>
  <c r="F1027" i="16"/>
  <c r="F495" i="17"/>
  <c r="F125" i="16"/>
  <c r="F1649" i="17"/>
  <c r="F220" i="16"/>
  <c r="F554" i="16"/>
  <c r="F1595" i="15"/>
  <c r="F1506" i="17"/>
  <c r="F1113" i="17"/>
  <c r="F1126" i="16"/>
  <c r="F233" i="17"/>
  <c r="F1577" i="16"/>
  <c r="F1414" i="17"/>
  <c r="F1323" i="16"/>
  <c r="F1505" i="17"/>
  <c r="F981" i="16"/>
  <c r="F1281" i="17"/>
  <c r="F346" i="17"/>
  <c r="F1606" i="17"/>
  <c r="F1677" i="17"/>
  <c r="F837" i="17"/>
  <c r="F1007" i="17"/>
  <c r="F1995" i="16"/>
  <c r="F3" i="17"/>
  <c r="F1185" i="16"/>
  <c r="F456" i="17"/>
  <c r="F483" i="16"/>
  <c r="F823" i="17"/>
  <c r="F1042" i="17"/>
  <c r="F1173" i="17"/>
  <c r="F727" i="17"/>
  <c r="F1921" i="16"/>
  <c r="F294" i="16"/>
  <c r="F302" i="17"/>
  <c r="F1226" i="17"/>
  <c r="F357" i="16"/>
  <c r="F334" i="16"/>
  <c r="F1532" i="17"/>
  <c r="F98" i="17"/>
  <c r="F1682" i="17"/>
  <c r="F97" i="17"/>
  <c r="F930" i="17"/>
  <c r="F64" i="16"/>
  <c r="F1360" i="17"/>
  <c r="F1456" i="17"/>
  <c r="F284" i="17"/>
  <c r="F1085" i="16"/>
  <c r="F1368" i="17"/>
  <c r="F1800" i="16"/>
  <c r="F557" i="17"/>
  <c r="F538" i="17"/>
  <c r="F1616" i="17"/>
  <c r="F1383" i="16"/>
  <c r="F772" i="17"/>
  <c r="F626" i="17"/>
  <c r="F447" i="17"/>
  <c r="F923" i="17"/>
  <c r="F1163" i="16"/>
  <c r="F963" i="17"/>
  <c r="F1092" i="17"/>
  <c r="F1307" i="17"/>
  <c r="F1077" i="17"/>
  <c r="F429" i="17"/>
  <c r="F97" i="16"/>
  <c r="F126" i="17"/>
  <c r="F862" i="17"/>
  <c r="F910" i="16"/>
  <c r="F1718" i="17"/>
  <c r="F1541" i="17"/>
  <c r="F373" i="17"/>
  <c r="F581" i="16"/>
  <c r="F1269" i="17"/>
  <c r="F1797" i="17"/>
  <c r="F1249" i="16"/>
  <c r="F1599" i="16"/>
  <c r="F1654" i="17"/>
  <c r="F1042" i="16"/>
  <c r="F725" i="16"/>
  <c r="F425" i="16"/>
  <c r="F1136" i="16"/>
  <c r="F610" i="17"/>
  <c r="F1398" i="17"/>
  <c r="F1818" i="17"/>
  <c r="F170" i="17"/>
  <c r="F1713" i="16"/>
  <c r="F1213" i="16"/>
  <c r="F1751" i="17"/>
  <c r="F200" i="17"/>
  <c r="F613" i="17"/>
  <c r="F1858" i="15"/>
  <c r="F1085" i="17"/>
  <c r="F1618" i="17"/>
  <c r="F2000" i="17"/>
  <c r="F1174" i="16"/>
  <c r="F581" i="17"/>
  <c r="F17" i="17"/>
  <c r="F656" i="16"/>
  <c r="F1968" i="17"/>
  <c r="F1492" i="16"/>
  <c r="F1258" i="17"/>
  <c r="F1932" i="17"/>
  <c r="F248" i="17"/>
  <c r="F1660" i="17"/>
  <c r="F331" i="17"/>
  <c r="F18" i="17"/>
  <c r="F1961" i="17"/>
  <c r="F1027" i="17"/>
  <c r="F1415" i="17"/>
  <c r="F755" i="16"/>
  <c r="F1133" i="16"/>
  <c r="F679" i="16"/>
  <c r="F817" i="16"/>
  <c r="F1428" i="17"/>
  <c r="F476" i="17"/>
  <c r="F1270" i="17"/>
  <c r="F746" i="17"/>
  <c r="F933" i="16"/>
  <c r="F1382" i="17"/>
  <c r="F1386" i="17"/>
  <c r="F1135" i="16"/>
  <c r="F366" i="17"/>
  <c r="F1229" i="17"/>
  <c r="F24" i="17"/>
  <c r="F1954" i="16"/>
  <c r="F2000" i="16"/>
  <c r="F697" i="16"/>
  <c r="F1550" i="17"/>
  <c r="F956" i="17"/>
  <c r="F344" i="17"/>
  <c r="F779" i="17"/>
  <c r="F1684" i="17"/>
  <c r="F649" i="17"/>
  <c r="F300" i="17"/>
  <c r="F641" i="16"/>
  <c r="F319" i="16"/>
  <c r="F185" i="17"/>
  <c r="F1143" i="17"/>
  <c r="F1150" i="17"/>
  <c r="F162" i="16"/>
  <c r="F387" i="17"/>
  <c r="F277" i="17"/>
  <c r="F1149" i="17"/>
  <c r="F1001" i="16"/>
  <c r="F427" i="16"/>
  <c r="F1653" i="17"/>
  <c r="F1840" i="17"/>
  <c r="F10" i="16"/>
  <c r="F1353" i="17"/>
  <c r="F1632" i="17"/>
  <c r="F1223" i="16"/>
  <c r="F781" i="17"/>
  <c r="F1681" i="16"/>
  <c r="F1730" i="16"/>
  <c r="F437" i="16"/>
  <c r="F510" i="15"/>
  <c r="F229" i="16"/>
  <c r="F1090" i="16"/>
  <c r="F650" i="17"/>
  <c r="F721" i="17"/>
  <c r="F1306" i="16"/>
  <c r="F1954" i="17"/>
  <c r="F782" i="16"/>
  <c r="F1740" i="15"/>
  <c r="F633" i="17"/>
  <c r="F1305" i="17"/>
  <c r="F45" i="15"/>
  <c r="F1328" i="16"/>
  <c r="F1781" i="16"/>
  <c r="F69" i="17"/>
  <c r="F1952" i="17"/>
  <c r="F368" i="17"/>
  <c r="F1702" i="16"/>
  <c r="F1963" i="17"/>
  <c r="F516" i="17"/>
  <c r="F295" i="16"/>
  <c r="F1982" i="16"/>
  <c r="F503" i="17"/>
  <c r="F1056" i="17"/>
  <c r="F1341" i="16"/>
  <c r="F1803" i="16"/>
  <c r="F142" i="17"/>
  <c r="F511" i="17"/>
  <c r="F708" i="16"/>
  <c r="F1105" i="17"/>
  <c r="F1375" i="17"/>
  <c r="F1543" i="17"/>
  <c r="F68" i="17"/>
  <c r="F353" i="17"/>
  <c r="F168" i="17"/>
  <c r="F1028" i="16"/>
  <c r="F102" i="17"/>
  <c r="F1425" i="16"/>
  <c r="F620" i="17"/>
  <c r="F1341" i="17"/>
  <c r="F432" i="16"/>
  <c r="F235" i="17"/>
  <c r="F1801" i="16"/>
  <c r="F413" i="17"/>
  <c r="F226" i="16"/>
  <c r="F1596" i="16"/>
  <c r="F368" i="16"/>
  <c r="F1580" i="17"/>
  <c r="F265" i="17"/>
  <c r="F257" i="16"/>
  <c r="F478" i="15"/>
  <c r="F829" i="17"/>
  <c r="F198" i="17"/>
  <c r="F199" i="17"/>
  <c r="F1040" i="17"/>
  <c r="F816" i="17"/>
  <c r="F1220" i="17"/>
  <c r="F1790" i="17"/>
  <c r="F908" i="17"/>
  <c r="F262" i="16"/>
  <c r="F1813" i="17"/>
  <c r="F893" i="16"/>
  <c r="F120" i="17"/>
  <c r="F1268" i="17"/>
  <c r="F1507" i="17"/>
  <c r="F740" i="16"/>
  <c r="F454" i="17"/>
  <c r="F409" i="16"/>
  <c r="F1908" i="17"/>
  <c r="F994" i="17"/>
  <c r="F993" i="16"/>
  <c r="F1435" i="17"/>
  <c r="F378" i="17"/>
  <c r="F371" i="16"/>
  <c r="F1865" i="17"/>
  <c r="F1495" i="16"/>
  <c r="F887" i="15"/>
  <c r="F1669" i="17"/>
  <c r="F1784" i="17"/>
  <c r="F73" i="17"/>
  <c r="F952" i="16"/>
  <c r="F1059" i="15"/>
  <c r="F133" i="17"/>
  <c r="F1164" i="17"/>
  <c r="F758" i="17"/>
  <c r="F1928" i="17"/>
  <c r="F386" i="17"/>
  <c r="F1314" i="16"/>
  <c r="F1878" i="17"/>
  <c r="F155" i="17"/>
  <c r="F1166" i="17"/>
  <c r="F27" i="17"/>
  <c r="F405" i="17"/>
  <c r="F423" i="17"/>
  <c r="F887" i="17"/>
  <c r="F1580" i="16"/>
  <c r="F1726" i="17"/>
  <c r="F536" i="17"/>
  <c r="F1691" i="17"/>
  <c r="F477" i="16"/>
  <c r="F1223" i="17"/>
  <c r="F353" i="16"/>
  <c r="F853" i="16"/>
  <c r="F1165" i="16"/>
  <c r="F1490" i="16"/>
  <c r="F1619" i="17"/>
  <c r="F360" i="17"/>
  <c r="F1035" i="17"/>
  <c r="F1117" i="17"/>
  <c r="F93" i="17"/>
  <c r="F1836" i="17"/>
  <c r="F1568" i="17"/>
  <c r="F725" i="17"/>
  <c r="F1562" i="17"/>
  <c r="F1177" i="17"/>
  <c r="F1386" i="16"/>
  <c r="F491" i="17"/>
  <c r="F1521" i="17"/>
  <c r="F59" i="17"/>
  <c r="F1545" i="17"/>
  <c r="F843" i="17"/>
  <c r="F1028" i="17"/>
  <c r="F1509" i="16"/>
  <c r="F112" i="17"/>
  <c r="F499" i="16"/>
  <c r="F789" i="16"/>
  <c r="F848" i="16"/>
  <c r="F1119" i="16"/>
  <c r="F664" i="16"/>
  <c r="F132" i="16"/>
  <c r="F549" i="16"/>
  <c r="F958" i="16"/>
  <c r="F1175" i="17"/>
  <c r="F1132" i="17"/>
  <c r="F792" i="16"/>
  <c r="F1517" i="17"/>
  <c r="F942" i="16"/>
  <c r="F436" i="15"/>
  <c r="F71" i="17"/>
  <c r="F1614" i="16"/>
  <c r="F1510" i="17"/>
  <c r="F1154" i="17"/>
  <c r="F1413" i="17"/>
  <c r="F825" i="17"/>
  <c r="F1637" i="16"/>
  <c r="F1756" i="17"/>
  <c r="F416" i="17"/>
  <c r="F586" i="16"/>
  <c r="F645" i="17"/>
  <c r="F815" i="16"/>
  <c r="F1291" i="16"/>
  <c r="F119" i="16"/>
  <c r="F376" i="17"/>
  <c r="F1919" i="17"/>
  <c r="F85" i="17"/>
  <c r="F944" i="16"/>
  <c r="F637" i="17"/>
  <c r="F125" i="17"/>
  <c r="F1860" i="16"/>
  <c r="F428" i="17"/>
  <c r="F951" i="17"/>
  <c r="F1311" i="16"/>
  <c r="F1310" i="17"/>
  <c r="F558" i="17"/>
  <c r="F1528" i="16"/>
  <c r="F835" i="17"/>
  <c r="F941" i="17"/>
  <c r="F509" i="16"/>
  <c r="F112" i="16"/>
  <c r="F1604" i="17"/>
  <c r="F1387" i="16"/>
  <c r="F1876" i="17"/>
  <c r="F1746" i="17"/>
  <c r="F965" i="17"/>
  <c r="F1591" i="15"/>
  <c r="F1974" i="17"/>
  <c r="F748" i="17"/>
  <c r="F1729" i="17"/>
  <c r="F254" i="16"/>
  <c r="F1288" i="17"/>
  <c r="F94" i="16"/>
  <c r="F962" i="17"/>
  <c r="F1408" i="15"/>
  <c r="F553" i="17"/>
  <c r="F1964" i="17"/>
  <c r="F1774" i="17"/>
  <c r="F1234" i="15"/>
  <c r="F1920" i="16"/>
  <c r="F1337" i="17"/>
  <c r="F1698" i="17"/>
  <c r="F1564" i="17"/>
  <c r="F534" i="16"/>
  <c r="F1998" i="16"/>
  <c r="F1468" i="17"/>
  <c r="F1601" i="16"/>
  <c r="F838" i="17"/>
  <c r="F1364" i="16"/>
  <c r="F1938" i="17"/>
  <c r="F282" i="17"/>
  <c r="F1601" i="17"/>
  <c r="F799" i="17"/>
  <c r="F1734" i="16"/>
  <c r="F764" i="17"/>
  <c r="F1656" i="16"/>
  <c r="F173" i="16"/>
  <c r="F1171" i="17"/>
  <c r="F253" i="16"/>
  <c r="F1080" i="16"/>
  <c r="F1566" i="17"/>
  <c r="F236" i="16"/>
  <c r="F404" i="17"/>
  <c r="F1452" i="17"/>
  <c r="F762" i="17"/>
  <c r="F996" i="17"/>
  <c r="F1565" i="16"/>
  <c r="F1610" i="17"/>
  <c r="F1390" i="16"/>
  <c r="F347" i="17"/>
  <c r="F1310" i="16"/>
  <c r="F1358" i="17"/>
  <c r="F751" i="17"/>
  <c r="F917" i="16"/>
  <c r="F805" i="16"/>
  <c r="F759" i="17"/>
  <c r="F215" i="16"/>
  <c r="F1825" i="17"/>
  <c r="F632" i="17"/>
  <c r="F1496" i="17"/>
  <c r="F894" i="16"/>
  <c r="F1558" i="16"/>
  <c r="F1211" i="17"/>
  <c r="F1563" i="17"/>
  <c r="F411" i="17"/>
  <c r="F1914" i="17"/>
  <c r="F363" i="17"/>
  <c r="F1758" i="17"/>
  <c r="F1260" i="15"/>
  <c r="F393" i="16"/>
  <c r="F1063" i="17"/>
  <c r="F1071" i="17"/>
  <c r="F1620" i="16"/>
  <c r="F1145" i="16"/>
  <c r="F579" i="16"/>
  <c r="F1976" i="17"/>
  <c r="F1364" i="17"/>
  <c r="F1275" i="17"/>
  <c r="F209" i="17"/>
  <c r="F1811" i="16"/>
  <c r="F320" i="17"/>
  <c r="F855" i="17"/>
  <c r="F1293" i="17"/>
  <c r="F408" i="17"/>
  <c r="F1752" i="17"/>
  <c r="F575" i="16"/>
  <c r="F96" i="17"/>
  <c r="F1471" i="17"/>
  <c r="F475" i="17"/>
  <c r="F247" i="16"/>
  <c r="F618" i="16"/>
  <c r="F722" i="16"/>
  <c r="F208" i="17"/>
  <c r="F149" i="17"/>
  <c r="F1133" i="17"/>
  <c r="F1140" i="17"/>
  <c r="F1438" i="17"/>
  <c r="F490" i="16"/>
  <c r="F1661" i="17"/>
  <c r="F1667" i="17"/>
  <c r="F5" i="17"/>
  <c r="F174" i="17"/>
  <c r="F228" i="16"/>
  <c r="F497" i="17"/>
  <c r="F1146" i="17"/>
  <c r="F1344" i="17"/>
  <c r="F299" i="17"/>
  <c r="F486" i="17"/>
  <c r="F1636" i="17"/>
  <c r="F1112" i="17"/>
  <c r="F1314" i="17"/>
  <c r="F1554" i="17"/>
  <c r="F762" i="16"/>
  <c r="F177" i="17"/>
  <c r="F1681" i="17"/>
  <c r="F1309" i="17"/>
  <c r="F1365" i="17"/>
  <c r="F193" i="17"/>
  <c r="F1203" i="16"/>
  <c r="F382" i="17"/>
  <c r="F908" i="16"/>
  <c r="F1956" i="16"/>
  <c r="F1229" i="16"/>
  <c r="F886" i="17"/>
  <c r="F86" i="17"/>
  <c r="F568" i="16"/>
  <c r="F1803" i="17"/>
  <c r="F677" i="17"/>
  <c r="F1510" i="16"/>
  <c r="F1613" i="17"/>
  <c r="F1958" i="17"/>
  <c r="F677" i="16"/>
  <c r="F1241" i="17"/>
  <c r="F1184" i="16"/>
  <c r="F327" i="17"/>
  <c r="F689" i="16"/>
  <c r="F724" i="17"/>
  <c r="F974" i="17"/>
  <c r="F124" i="17"/>
  <c r="F932" i="17"/>
  <c r="F1008" i="16"/>
  <c r="F239" i="17"/>
  <c r="F1031" i="16"/>
  <c r="F324" i="17"/>
  <c r="F1073" i="16"/>
  <c r="F635" i="16"/>
  <c r="F950" i="17"/>
  <c r="F1771" i="16"/>
  <c r="F655" i="17"/>
  <c r="F822" i="16"/>
  <c r="F927" i="17"/>
  <c r="F537" i="16"/>
  <c r="F1191" i="17"/>
  <c r="F22" i="17"/>
  <c r="F1316" i="16"/>
  <c r="F424" i="17"/>
  <c r="F729" i="17"/>
  <c r="F1906" i="17"/>
  <c r="F1093" i="17"/>
  <c r="F1674" i="17"/>
  <c r="F786" i="17"/>
  <c r="F198" i="16"/>
  <c r="F1084" i="16"/>
  <c r="F1578" i="16"/>
  <c r="F1545" i="16"/>
  <c r="F1329" i="17"/>
  <c r="F813" i="17"/>
  <c r="F1104" i="17"/>
  <c r="F956" i="16"/>
  <c r="F1078" i="17"/>
  <c r="F1350" i="16"/>
  <c r="F1537" i="17"/>
  <c r="F569" i="17"/>
  <c r="F1082" i="16"/>
  <c r="F1081" i="17"/>
  <c r="F1272" i="17"/>
  <c r="F638" i="17"/>
  <c r="F1824" i="17"/>
  <c r="F985" i="17"/>
  <c r="F806" i="17"/>
  <c r="F571" i="17"/>
  <c r="F1134" i="17"/>
  <c r="F702" i="17"/>
  <c r="F1123" i="17"/>
  <c r="F1810" i="17"/>
  <c r="F1351" i="16"/>
  <c r="F1821" i="17"/>
  <c r="F879" i="17"/>
  <c r="F921" i="17"/>
  <c r="F1738" i="17"/>
  <c r="F938" i="17"/>
  <c r="F1317" i="16"/>
  <c r="F1409" i="16"/>
  <c r="F1127" i="16"/>
  <c r="F1724" i="16"/>
  <c r="F499" i="17"/>
  <c r="F1787" i="16"/>
  <c r="F26" i="17"/>
  <c r="F214" i="16"/>
  <c r="F1726" i="16"/>
  <c r="F1029" i="17"/>
  <c r="F1429" i="17"/>
  <c r="F1882" i="16"/>
  <c r="F1044" i="17"/>
  <c r="F1917" i="17"/>
  <c r="F1796" i="17"/>
  <c r="F796" i="17"/>
  <c r="F1881" i="17"/>
  <c r="F806" i="16"/>
  <c r="F1032" i="17"/>
  <c r="F127" i="16"/>
  <c r="F902" i="17"/>
  <c r="F399" i="17"/>
  <c r="F1068" i="16"/>
  <c r="F944" i="17"/>
  <c r="F1923" i="17"/>
  <c r="F592" i="16"/>
  <c r="F1059" i="16"/>
  <c r="F184" i="17"/>
  <c r="F1728" i="17"/>
  <c r="F1572" i="16"/>
  <c r="F1657" i="16"/>
  <c r="F505" i="16"/>
  <c r="F1560" i="17"/>
  <c r="F1743" i="17"/>
  <c r="F697" i="17"/>
  <c r="F369" i="17"/>
  <c r="F1575" i="17"/>
  <c r="F1991" i="17"/>
  <c r="F537" i="17"/>
  <c r="F188" i="16"/>
  <c r="F1039" i="17"/>
  <c r="F1933" i="17"/>
  <c r="F642" i="17"/>
  <c r="F1888" i="17"/>
  <c r="F1334" i="17"/>
  <c r="F1671" i="16"/>
  <c r="F1828" i="16"/>
  <c r="F580" i="17"/>
  <c r="F288" i="17"/>
  <c r="F1242" i="17"/>
  <c r="F583" i="16"/>
  <c r="F1763" i="16"/>
  <c r="F388" i="17"/>
  <c r="F406" i="17"/>
  <c r="F137" i="17"/>
  <c r="F1174" i="17"/>
  <c r="F1408" i="17"/>
  <c r="F1634" i="17"/>
  <c r="F1574" i="16"/>
  <c r="F1236" i="17"/>
  <c r="F765" i="16"/>
  <c r="F254" i="15"/>
  <c r="F507" i="17"/>
  <c r="F1619" i="15"/>
  <c r="F1946" i="17"/>
  <c r="F325" i="17"/>
  <c r="F182" i="16"/>
  <c r="F266" i="17"/>
  <c r="F1693" i="16"/>
  <c r="F662" i="16"/>
  <c r="F1009" i="17"/>
  <c r="F387" i="16"/>
  <c r="F1338" i="17"/>
  <c r="F154" i="16"/>
  <c r="F919" i="17"/>
  <c r="F719" i="17"/>
  <c r="F1771" i="17"/>
  <c r="F1890" i="16"/>
  <c r="F1717" i="15"/>
  <c r="F1817" i="16"/>
  <c r="F720" i="17"/>
  <c r="F430" i="17"/>
  <c r="F529" i="17"/>
  <c r="F571" i="16"/>
  <c r="F1115" i="16"/>
  <c r="F535" i="16"/>
  <c r="F769" i="15"/>
  <c r="F1546" i="17"/>
  <c r="F1257" i="15"/>
  <c r="F1480" i="17"/>
  <c r="F1484" i="16"/>
  <c r="F767" i="17"/>
  <c r="F1353" i="16"/>
  <c r="F696" i="16"/>
  <c r="F113" i="17"/>
  <c r="F865" i="15"/>
  <c r="F779" i="16"/>
  <c r="F443" i="16"/>
  <c r="F1783" i="16"/>
  <c r="F1165" i="17"/>
  <c r="F678" i="17"/>
  <c r="F1403" i="16"/>
  <c r="F1038" i="16"/>
  <c r="F1119" i="17"/>
  <c r="F1441" i="15"/>
  <c r="F1252" i="17"/>
  <c r="F1575" i="16"/>
  <c r="F1298" i="16"/>
  <c r="F1788" i="16"/>
  <c r="F187" i="16"/>
  <c r="F264" i="17"/>
  <c r="F1635" i="16"/>
  <c r="F286" i="16"/>
  <c r="F196" i="14"/>
  <c r="F1511" i="17"/>
  <c r="F289" i="16"/>
  <c r="F87" i="17"/>
  <c r="F596" i="17"/>
  <c r="F1158" i="17"/>
  <c r="F1003" i="17"/>
  <c r="F760" i="17"/>
  <c r="F1509" i="17"/>
  <c r="F464" i="16"/>
  <c r="F206" i="17"/>
  <c r="F561" i="16"/>
  <c r="F1006" i="17"/>
  <c r="F232" i="17"/>
  <c r="F992" i="17"/>
  <c r="F229" i="17"/>
  <c r="F1207" i="16"/>
  <c r="F1645" i="16"/>
  <c r="F867" i="16"/>
  <c r="F1701" i="17"/>
  <c r="F1399" i="17"/>
  <c r="F172" i="15"/>
  <c r="F850" i="17"/>
  <c r="F280" i="17"/>
  <c r="F241" i="16"/>
  <c r="F1670" i="16"/>
  <c r="F1465" i="17"/>
  <c r="F58" i="14"/>
  <c r="F1125" i="16"/>
  <c r="F1417" i="17"/>
  <c r="F1745" i="17"/>
  <c r="F629" i="16"/>
  <c r="F598" i="17"/>
  <c r="F666" i="17"/>
  <c r="F1142" i="16"/>
  <c r="F350" i="17"/>
  <c r="F1369" i="16"/>
  <c r="F382" i="15"/>
  <c r="F1089" i="17"/>
  <c r="F1663" i="16"/>
  <c r="F856" i="16"/>
  <c r="F434" i="17"/>
  <c r="F1010" i="17"/>
  <c r="F1356" i="17"/>
  <c r="F1122" i="17"/>
  <c r="F344" i="16"/>
  <c r="F1030" i="16"/>
  <c r="F556" i="16"/>
  <c r="F176" i="16"/>
  <c r="F503" i="15"/>
  <c r="F1241" i="16"/>
  <c r="F1448" i="16"/>
  <c r="F887" i="16"/>
  <c r="F1514" i="15"/>
  <c r="F1907" i="17"/>
  <c r="F1255" i="17"/>
  <c r="F1576" i="15"/>
  <c r="F1621" i="16"/>
  <c r="F1920" i="15"/>
  <c r="F780" i="17"/>
  <c r="F1886" i="17"/>
  <c r="F588" i="17"/>
  <c r="F1472" i="17"/>
  <c r="F1565" i="17"/>
  <c r="F1446" i="17"/>
  <c r="F1993" i="17"/>
  <c r="F509" i="17"/>
  <c r="F1823" i="17"/>
  <c r="F859" i="16"/>
  <c r="F1084" i="17"/>
  <c r="F1888" i="16"/>
  <c r="F482" i="16"/>
  <c r="F937" i="15"/>
  <c r="F1802" i="17"/>
  <c r="F755" i="17"/>
  <c r="F1475" i="16"/>
  <c r="F1169" i="17"/>
  <c r="F1875" i="16"/>
  <c r="F413" i="16"/>
  <c r="F1504" i="16"/>
  <c r="F515" i="16"/>
  <c r="F1033" i="17"/>
  <c r="F1786" i="17"/>
  <c r="F1110" i="16"/>
  <c r="F798" i="17"/>
  <c r="F275" i="16"/>
  <c r="F35" i="16"/>
  <c r="F785" i="17"/>
  <c r="F1496" i="16"/>
  <c r="F421" i="16"/>
  <c r="F1305" i="16"/>
  <c r="F317" i="16"/>
  <c r="F989" i="17"/>
  <c r="F425" i="17"/>
  <c r="F268" i="16"/>
  <c r="F985" i="16"/>
  <c r="F610" i="15"/>
  <c r="F494" i="17"/>
  <c r="F1820" i="17"/>
  <c r="F446" i="17"/>
  <c r="F552" i="17"/>
  <c r="F758" i="15"/>
  <c r="F646" i="17"/>
  <c r="F402" i="16"/>
  <c r="F1654" i="16"/>
  <c r="F314" i="17"/>
  <c r="F80" i="17"/>
  <c r="F1318" i="17"/>
  <c r="F819" i="17"/>
  <c r="F1582" i="16"/>
  <c r="F1185" i="17"/>
  <c r="F1363" i="17"/>
  <c r="F1540" i="16"/>
  <c r="F549" i="17"/>
  <c r="F343" i="16"/>
  <c r="F998" i="16"/>
  <c r="F1900" i="17"/>
  <c r="F1009" i="16"/>
  <c r="F1710" i="16"/>
  <c r="F1193" i="16"/>
  <c r="F1809" i="17"/>
  <c r="F890" i="17"/>
  <c r="F1459" i="16"/>
  <c r="F1442" i="16"/>
  <c r="F1076" i="17"/>
  <c r="F1329" i="16"/>
  <c r="F310" i="16"/>
  <c r="F1500" i="17"/>
  <c r="F6" i="17"/>
  <c r="F684" i="15"/>
  <c r="F554" i="17"/>
  <c r="F1003" i="16"/>
  <c r="F1603" i="17"/>
  <c r="F1192" i="17"/>
  <c r="F107" i="15"/>
  <c r="F1132" i="15"/>
  <c r="F814" i="17"/>
  <c r="F885" i="16"/>
  <c r="F1605" i="16"/>
  <c r="F699" i="16"/>
  <c r="F478" i="16"/>
  <c r="F1880" i="17"/>
  <c r="F201" i="16"/>
  <c r="F1884" i="16"/>
  <c r="F1737" i="16"/>
  <c r="F58" i="16"/>
  <c r="F1680" i="17"/>
  <c r="F1752" i="16"/>
  <c r="F1550" i="16"/>
  <c r="F1944" i="16"/>
  <c r="F829" i="16"/>
  <c r="F1049" i="16"/>
  <c r="F1973" i="16"/>
  <c r="F1308" i="17"/>
  <c r="F1597" i="16"/>
  <c r="F1192" i="15"/>
  <c r="F1414" i="16"/>
  <c r="F1873" i="16"/>
  <c r="F1039" i="16"/>
  <c r="F582" i="17"/>
  <c r="F846" i="15"/>
  <c r="F1844" i="17"/>
  <c r="F1616" i="16"/>
  <c r="F1943" i="17"/>
  <c r="F1847" i="16"/>
  <c r="F307" i="17"/>
  <c r="F997" i="17"/>
  <c r="F1513" i="16"/>
  <c r="F507" i="14"/>
  <c r="F382" i="16"/>
  <c r="F399" i="16"/>
  <c r="F573" i="16"/>
  <c r="F925" i="16"/>
  <c r="F1181" i="16"/>
  <c r="F1627" i="17"/>
  <c r="F1957" i="17"/>
  <c r="F1311" i="17"/>
  <c r="F433" i="17"/>
  <c r="F60" i="16"/>
  <c r="F1157" i="15"/>
  <c r="F1678" i="16"/>
  <c r="F1092" i="15"/>
  <c r="F1438" i="16"/>
  <c r="F84" i="16"/>
  <c r="F1950" i="17"/>
  <c r="F1816" i="16"/>
  <c r="F35" i="15"/>
  <c r="F763" i="16"/>
  <c r="F39" i="17"/>
  <c r="F1608" i="16"/>
  <c r="F18" i="16"/>
  <c r="F519" i="16"/>
  <c r="F955" i="17"/>
  <c r="F1444" i="16"/>
  <c r="F878" i="17"/>
  <c r="F138" i="16"/>
  <c r="F147" i="17"/>
  <c r="F77" i="17"/>
  <c r="F1981" i="17"/>
  <c r="F256" i="17"/>
  <c r="F1904" i="16"/>
  <c r="F1491" i="16"/>
  <c r="F491" i="16"/>
  <c r="F1384" i="17"/>
  <c r="F1450" i="16"/>
  <c r="F322" i="17"/>
  <c r="F127" i="17"/>
  <c r="F1208" i="15"/>
  <c r="F1918" i="17"/>
  <c r="F1041" i="17"/>
  <c r="F1871" i="16"/>
  <c r="F1213" i="17"/>
  <c r="F482" i="17"/>
  <c r="F725" i="15"/>
  <c r="F808" i="16"/>
  <c r="F1060" i="17"/>
  <c r="F680" i="16"/>
  <c r="F1463" i="17"/>
  <c r="F1006" i="16"/>
  <c r="F1868" i="16"/>
  <c r="F1180" i="16"/>
  <c r="F616" i="17"/>
  <c r="F889" i="17"/>
  <c r="F462" i="17"/>
  <c r="F927" i="16"/>
  <c r="F1999" i="16"/>
  <c r="F1220" i="16"/>
  <c r="F1854" i="16"/>
  <c r="F601" i="16"/>
  <c r="F281" i="16"/>
  <c r="F405" i="16"/>
  <c r="F1358" i="16"/>
  <c r="F1596" i="17"/>
  <c r="F1219" i="16"/>
  <c r="F324" i="16"/>
  <c r="F1856" i="16"/>
  <c r="F1464" i="16"/>
  <c r="F1561" i="16"/>
  <c r="F1695" i="16"/>
  <c r="F1640" i="17"/>
  <c r="F1471" i="16"/>
  <c r="F1236" i="16"/>
  <c r="F842" i="16"/>
  <c r="F522" i="16"/>
  <c r="F1302" i="17"/>
  <c r="F558" i="16"/>
  <c r="F685" i="17"/>
  <c r="F1907" i="16"/>
  <c r="F1594" i="16"/>
  <c r="F1754" i="15"/>
  <c r="F1926" i="16"/>
  <c r="F123" i="16"/>
  <c r="F329" i="16"/>
  <c r="F442" i="16"/>
  <c r="F114" i="17"/>
  <c r="F1245" i="17"/>
  <c r="F1466" i="17"/>
  <c r="F1372" i="17"/>
  <c r="F891" i="17"/>
  <c r="F1652" i="16"/>
  <c r="F1623" i="16"/>
  <c r="F1911" i="17"/>
  <c r="F1221" i="16"/>
  <c r="F77" i="16"/>
  <c r="F128" i="17"/>
  <c r="F286" i="15"/>
  <c r="F1887" i="16"/>
  <c r="F1469" i="16"/>
  <c r="F1284" i="16"/>
  <c r="F1015" i="17"/>
  <c r="F1919" i="16"/>
  <c r="F403" i="16"/>
  <c r="F1161" i="17"/>
  <c r="F260" i="17"/>
  <c r="F1058" i="17"/>
  <c r="F1668" i="16"/>
  <c r="F830" i="15"/>
  <c r="F68" i="15"/>
  <c r="F517" i="16"/>
  <c r="F1019" i="16"/>
  <c r="F1033" i="15"/>
  <c r="F890" i="16"/>
  <c r="F264" i="15"/>
  <c r="F1467" i="17"/>
  <c r="F1543" i="16"/>
  <c r="F1019" i="17"/>
  <c r="F1757" i="17"/>
  <c r="F145" i="17"/>
  <c r="F1106" i="16"/>
  <c r="F1045" i="17"/>
  <c r="F1831" i="17"/>
  <c r="F683" i="15"/>
  <c r="F638" i="15"/>
  <c r="F346" i="15"/>
  <c r="F777" i="17"/>
  <c r="F442" i="17"/>
  <c r="F909" i="17"/>
  <c r="F1673" i="17"/>
  <c r="F635" i="17"/>
  <c r="F472" i="17"/>
  <c r="F1207" i="15"/>
  <c r="F1200" i="16"/>
  <c r="F1167" i="17"/>
  <c r="F1176" i="16"/>
  <c r="F1225" i="16"/>
  <c r="F1556" i="16"/>
  <c r="F1652" i="15"/>
  <c r="F355" i="16"/>
  <c r="F1050" i="16"/>
  <c r="F949" i="17"/>
  <c r="F1750" i="16"/>
  <c r="F1831" i="16"/>
  <c r="F858" i="16"/>
  <c r="F1721" i="17"/>
  <c r="F948" i="16"/>
  <c r="F1281" i="16"/>
  <c r="F872" i="17"/>
  <c r="F225" i="17"/>
  <c r="F1347" i="16"/>
  <c r="F1716" i="16"/>
  <c r="F1467" i="16"/>
  <c r="F1380" i="17"/>
  <c r="F1665" i="15"/>
  <c r="F137" i="16"/>
  <c r="F607" i="17"/>
  <c r="F907" i="17"/>
  <c r="F1853" i="15"/>
  <c r="F1732" i="15"/>
  <c r="F771" i="17"/>
  <c r="F1297" i="16"/>
  <c r="F1520" i="15"/>
  <c r="F347" i="15"/>
  <c r="F1655" i="17"/>
  <c r="F624" i="17"/>
  <c r="F14" i="16"/>
  <c r="F1218" i="15"/>
  <c r="F1633" i="17"/>
  <c r="F214" i="17"/>
  <c r="F1598" i="17"/>
  <c r="F1259" i="17"/>
  <c r="F1807" i="16"/>
  <c r="F1453" i="17"/>
  <c r="F1320" i="16"/>
  <c r="F1246" i="17"/>
  <c r="F948" i="17"/>
  <c r="F1995" i="17"/>
  <c r="F1666" i="17"/>
  <c r="F1490" i="15"/>
  <c r="F1107" i="17"/>
  <c r="F691" i="16"/>
  <c r="F1261" i="16"/>
  <c r="F972" i="16"/>
  <c r="F84" i="17"/>
  <c r="F1650" i="15"/>
  <c r="F1620" i="17"/>
  <c r="F599" i="17"/>
  <c r="F1922" i="16"/>
  <c r="F808" i="17"/>
  <c r="F1963" i="16"/>
  <c r="F305" i="17"/>
  <c r="F314" i="15"/>
  <c r="F1247" i="15"/>
  <c r="F1630" i="16"/>
  <c r="F304" i="17"/>
  <c r="F1304" i="16"/>
  <c r="F199" i="15"/>
  <c r="F36" i="17"/>
  <c r="F900" i="17"/>
  <c r="F844" i="17"/>
  <c r="F1751" i="16"/>
  <c r="F92" i="17"/>
  <c r="F301" i="16"/>
  <c r="F883" i="17"/>
  <c r="F1462" i="16"/>
  <c r="F977" i="15"/>
  <c r="F1586" i="16"/>
  <c r="F970" i="16"/>
  <c r="F1676" i="15"/>
  <c r="F472" i="16"/>
  <c r="F1088" i="17"/>
  <c r="F560" i="17"/>
  <c r="F1474" i="17"/>
  <c r="F1719" i="17"/>
  <c r="F681" i="17"/>
  <c r="F678" i="16"/>
  <c r="F1878" i="16"/>
  <c r="F1869" i="17"/>
  <c r="F1410" i="17"/>
  <c r="F288" i="16"/>
  <c r="F339" i="17"/>
  <c r="F957" i="17"/>
  <c r="F1965" i="16"/>
  <c r="F1993" i="16"/>
  <c r="F1791" i="16"/>
  <c r="F1733" i="17"/>
  <c r="F576" i="16"/>
  <c r="F1190" i="17"/>
  <c r="F1658" i="17"/>
  <c r="F1598" i="16"/>
  <c r="F107" i="16"/>
  <c r="F1360" i="15"/>
  <c r="F1650" i="17"/>
  <c r="F557" i="15"/>
  <c r="F272" i="16"/>
  <c r="F1863" i="16"/>
  <c r="F923" i="16"/>
  <c r="F1249" i="17"/>
  <c r="F728" i="17"/>
  <c r="F221" i="17"/>
  <c r="F1612" i="17"/>
  <c r="F1899" i="16"/>
  <c r="F1114" i="16"/>
  <c r="F1779" i="16"/>
  <c r="F1931" i="17"/>
  <c r="F653" i="17"/>
  <c r="F200" i="16"/>
  <c r="F695" i="15"/>
  <c r="F1825" i="16"/>
  <c r="F607" i="16"/>
  <c r="F489" i="16"/>
  <c r="F502" i="17"/>
  <c r="F1279" i="16"/>
  <c r="F1514" i="17"/>
  <c r="F1211" i="16"/>
  <c r="F74" i="16"/>
  <c r="F1851" i="15"/>
  <c r="F178" i="16"/>
  <c r="F480" i="17"/>
  <c r="F653" i="16"/>
  <c r="F1643" i="17"/>
  <c r="F82" i="16"/>
  <c r="F1731" i="16"/>
  <c r="F1563" i="16"/>
  <c r="F123" i="17"/>
  <c r="F797" i="16"/>
  <c r="F473" i="16"/>
  <c r="F460" i="17"/>
  <c r="F34" i="16"/>
  <c r="F1886" i="16"/>
  <c r="F961" i="16"/>
  <c r="F1320" i="17"/>
  <c r="F941" i="16"/>
  <c r="F1823" i="16"/>
  <c r="F577" i="16"/>
  <c r="F1204" i="17"/>
  <c r="F1393" i="16"/>
  <c r="F575" i="17"/>
  <c r="F1461" i="17"/>
  <c r="F250" i="17"/>
  <c r="F789" i="17"/>
  <c r="F922" i="17"/>
  <c r="F1850" i="16"/>
  <c r="F628" i="16"/>
  <c r="F1022" i="16"/>
  <c r="F1971" i="16"/>
  <c r="F1512" i="17"/>
  <c r="F1153" i="16"/>
  <c r="F601" i="17"/>
  <c r="F1159" i="17"/>
  <c r="F1263" i="16"/>
  <c r="F1755" i="17"/>
  <c r="F878" i="16"/>
  <c r="F757" i="16"/>
  <c r="F730" i="17"/>
  <c r="F489" i="17"/>
  <c r="F847" i="16"/>
  <c r="F906" i="16"/>
  <c r="F1043" i="16"/>
  <c r="F180" i="17"/>
  <c r="F849" i="17"/>
  <c r="F492" i="15"/>
  <c r="F631" i="17"/>
  <c r="F103" i="16"/>
  <c r="F1252" i="15"/>
  <c r="F1162" i="15"/>
  <c r="F57" i="17"/>
  <c r="F1392" i="17"/>
  <c r="F661" i="16"/>
  <c r="F768" i="17"/>
  <c r="F1659" i="17"/>
  <c r="F467" i="17"/>
  <c r="F1099" i="17"/>
  <c r="F249" i="17"/>
  <c r="F1542" i="16"/>
  <c r="F484" i="16"/>
  <c r="F1247" i="17"/>
  <c r="F1342" i="16"/>
  <c r="F1234" i="16"/>
  <c r="F1435" i="16"/>
  <c r="F1779" i="17"/>
  <c r="F506" i="17"/>
  <c r="F877" i="15"/>
  <c r="F1700" i="16"/>
  <c r="F340" i="17"/>
  <c r="F50" i="17"/>
  <c r="F1645" i="17"/>
  <c r="F47" i="17"/>
  <c r="F1933" i="16"/>
  <c r="F556" i="17"/>
  <c r="F1855" i="17"/>
  <c r="F1440" i="16"/>
  <c r="F547" i="17"/>
  <c r="F967" i="16"/>
  <c r="F1579" i="17"/>
  <c r="F1444" i="17"/>
  <c r="F633" i="16"/>
  <c r="F1083" i="16"/>
  <c r="F1722" i="17"/>
  <c r="F834" i="16"/>
  <c r="F444" i="16"/>
  <c r="F1100" i="17"/>
  <c r="F693" i="15"/>
  <c r="F878" i="15"/>
  <c r="F1896" i="16"/>
  <c r="F372" i="15"/>
  <c r="F375" i="16"/>
  <c r="F1934" i="16"/>
  <c r="F183" i="17"/>
  <c r="F1685" i="16"/>
  <c r="F377" i="17"/>
  <c r="F78" i="16"/>
  <c r="F724" i="16"/>
  <c r="F497" i="16"/>
  <c r="F940" i="17"/>
  <c r="F1716" i="17"/>
  <c r="F263" i="16"/>
  <c r="F1437" i="17"/>
  <c r="F1354" i="16"/>
  <c r="F915" i="16"/>
  <c r="F1650" i="16"/>
  <c r="F1397" i="15"/>
  <c r="F1249" i="15"/>
  <c r="F783" i="15"/>
  <c r="F212" i="15"/>
  <c r="F1235" i="16"/>
  <c r="F1184" i="15"/>
  <c r="F790" i="17"/>
  <c r="F408" i="16"/>
  <c r="F867" i="15"/>
  <c r="F1205" i="17"/>
  <c r="F1749" i="17"/>
  <c r="F603" i="15"/>
  <c r="F91" i="16"/>
  <c r="F227" i="16"/>
  <c r="F1690" i="16"/>
  <c r="F263" i="17"/>
  <c r="F597" i="16"/>
  <c r="F1706" i="17"/>
  <c r="F565" i="15"/>
  <c r="F518" i="16"/>
  <c r="F508" i="15"/>
  <c r="F818" i="17"/>
  <c r="F72" i="16"/>
  <c r="F153" i="17"/>
  <c r="F1788" i="17"/>
  <c r="F1021" i="17"/>
  <c r="F658" i="17"/>
  <c r="F864" i="16"/>
  <c r="F1762" i="16"/>
  <c r="F1977" i="17"/>
  <c r="F1096" i="16"/>
  <c r="F1569" i="17"/>
  <c r="F1052" i="17"/>
  <c r="F660" i="16"/>
  <c r="F1587" i="16"/>
  <c r="F1975" i="17"/>
  <c r="F1277" i="16"/>
  <c r="F1415" i="16"/>
  <c r="F151" i="16"/>
  <c r="F914" i="17"/>
  <c r="F1147" i="16"/>
  <c r="F841" i="16"/>
  <c r="F1056" i="16"/>
  <c r="F667" i="17"/>
  <c r="F1668" i="17"/>
  <c r="F444" i="17"/>
  <c r="F548" i="16"/>
  <c r="F495" i="15"/>
  <c r="F1378" i="16"/>
  <c r="F1555" i="17"/>
  <c r="F1239" i="16"/>
  <c r="F1600" i="17"/>
  <c r="F83" i="17"/>
  <c r="F937" i="16"/>
  <c r="F1327" i="16"/>
  <c r="F1583" i="16"/>
  <c r="F1686" i="16"/>
  <c r="F1799" i="17"/>
  <c r="F220" i="17"/>
  <c r="F1008" i="17"/>
  <c r="F1271" i="17"/>
  <c r="F1030" i="17"/>
  <c r="F918" i="15"/>
  <c r="F381" i="15"/>
  <c r="F164" i="15"/>
  <c r="F1836" i="16"/>
  <c r="F1016" i="16"/>
  <c r="F358" i="16"/>
  <c r="F1689" i="16"/>
  <c r="F604" i="16"/>
  <c r="F1287" i="16"/>
  <c r="F1304" i="17"/>
  <c r="F1286" i="17"/>
  <c r="F216" i="17"/>
  <c r="F1273" i="17"/>
  <c r="F63" i="16"/>
  <c r="F518" i="17"/>
  <c r="F71" i="16"/>
  <c r="F1180" i="15"/>
  <c r="F269" i="16"/>
  <c r="F791" i="17"/>
  <c r="F1178" i="16"/>
  <c r="F1309" i="16"/>
  <c r="F881" i="16"/>
  <c r="F833" i="16"/>
  <c r="F786" i="16"/>
  <c r="F349" i="16"/>
  <c r="F776" i="16"/>
  <c r="F749" i="17"/>
  <c r="F969" i="16"/>
  <c r="F1985" i="17"/>
  <c r="F1753" i="16"/>
  <c r="F1423" i="17"/>
  <c r="F363" i="16"/>
  <c r="F802" i="17"/>
  <c r="F622" i="16"/>
  <c r="F781" i="15"/>
  <c r="F1340" i="16"/>
  <c r="F1108" i="17"/>
  <c r="F1578" i="17"/>
  <c r="F1568" i="16"/>
  <c r="F1493" i="16"/>
  <c r="F718" i="17"/>
  <c r="F203" i="16"/>
  <c r="F1699" i="17"/>
  <c r="F704" i="17"/>
  <c r="F4" i="17"/>
  <c r="F1557" i="16"/>
  <c r="F1225" i="17"/>
  <c r="F300" i="16"/>
  <c r="F1159" i="16"/>
  <c r="F564" i="14"/>
  <c r="F806" i="15"/>
  <c r="F1549" i="15"/>
  <c r="F1518" i="17"/>
  <c r="F1591" i="16"/>
  <c r="F242" i="15"/>
  <c r="F232" i="16"/>
  <c r="F1979" i="17"/>
  <c r="F87" i="16"/>
  <c r="F397" i="16"/>
  <c r="F873" i="16"/>
  <c r="F435" i="16"/>
  <c r="F1385" i="17"/>
  <c r="F1746" i="16"/>
  <c r="F419" i="16"/>
  <c r="F1025" i="17"/>
  <c r="F1771" i="15"/>
  <c r="F1846" i="16"/>
  <c r="F100" i="17"/>
  <c r="F361" i="17"/>
  <c r="F620" i="15"/>
  <c r="F50" i="15"/>
  <c r="F676" i="16"/>
  <c r="F1818" i="16"/>
  <c r="F1518" i="16"/>
  <c r="F1313" i="17"/>
  <c r="F1485" i="16"/>
  <c r="F966" i="17"/>
  <c r="F143" i="16"/>
  <c r="F446" i="15"/>
  <c r="F1857" i="15"/>
  <c r="F1102" i="16"/>
  <c r="F528" i="16"/>
  <c r="F443" i="17"/>
  <c r="F971" i="17"/>
  <c r="F572" i="15"/>
  <c r="F1949" i="15"/>
  <c r="F1486" i="15"/>
  <c r="F1669" i="15"/>
  <c r="F1913" i="15"/>
  <c r="F1715" i="16"/>
  <c r="F883" i="16"/>
  <c r="F1890" i="15"/>
  <c r="F383" i="14"/>
  <c r="F297" i="16"/>
  <c r="F1998" i="15"/>
  <c r="F210" i="15"/>
  <c r="F100" i="15"/>
  <c r="F1142" i="15"/>
  <c r="F1147" i="14"/>
  <c r="F1253" i="15"/>
  <c r="F788" i="14"/>
  <c r="F1034" i="15"/>
  <c r="F1618" i="14"/>
  <c r="F1675" i="16"/>
  <c r="F281" i="17"/>
  <c r="F540" i="16"/>
  <c r="F1493" i="17"/>
  <c r="F1831" i="14"/>
  <c r="F1230" i="15"/>
  <c r="F1095" i="15"/>
  <c r="F1280" i="15"/>
  <c r="F999" i="14"/>
  <c r="F569" i="16"/>
  <c r="F253" i="14"/>
  <c r="F1054" i="15"/>
  <c r="F763" i="15"/>
  <c r="F364" i="16"/>
  <c r="F156" i="16"/>
  <c r="F743" i="16"/>
  <c r="F1887" i="15"/>
  <c r="F1989" i="15"/>
  <c r="F698" i="16"/>
  <c r="F60" i="15"/>
  <c r="F974" i="14"/>
  <c r="F729" i="14"/>
  <c r="F1725" i="15"/>
  <c r="F96" i="16"/>
  <c r="F1397" i="16"/>
  <c r="F1782" i="17"/>
  <c r="F1476" i="17"/>
  <c r="F651" i="17"/>
  <c r="F381" i="17"/>
  <c r="F696" i="17"/>
  <c r="F677" i="15"/>
  <c r="F401" i="16"/>
  <c r="F467" i="16"/>
  <c r="F158" i="17"/>
  <c r="F510" i="16"/>
  <c r="F370" i="15"/>
  <c r="F1372" i="15"/>
  <c r="F1229" i="15"/>
  <c r="F1843" i="17"/>
  <c r="F1816" i="17"/>
  <c r="F1465" i="16"/>
  <c r="F1848" i="16"/>
  <c r="F179" i="17"/>
  <c r="F840" i="16"/>
  <c r="F1625" i="15"/>
  <c r="F916" i="17"/>
  <c r="F870" i="16"/>
  <c r="F908" i="15"/>
  <c r="F1838" i="15"/>
  <c r="F1069" i="16"/>
  <c r="F975" i="16"/>
  <c r="F1343" i="16"/>
  <c r="F1288" i="15"/>
  <c r="F210" i="14"/>
  <c r="F1857" i="16"/>
  <c r="F781" i="16"/>
  <c r="F1113" i="16"/>
  <c r="F904" i="16"/>
  <c r="F1189" i="16"/>
  <c r="F1273" i="15"/>
  <c r="F331" i="16"/>
  <c r="F707" i="15"/>
  <c r="F560" i="16"/>
  <c r="F531" i="16"/>
  <c r="F1928" i="16"/>
  <c r="F1942" i="16"/>
  <c r="F152" i="16"/>
  <c r="F1150" i="15"/>
  <c r="F1102" i="15"/>
  <c r="F1663" i="15"/>
  <c r="F240" i="16"/>
  <c r="F341" i="17"/>
  <c r="F352" i="17"/>
  <c r="F1330" i="15"/>
  <c r="F1230" i="16"/>
  <c r="F486" i="14"/>
  <c r="F1358" i="15"/>
  <c r="F501" i="17"/>
  <c r="F1254" i="16"/>
  <c r="F1852" i="17"/>
  <c r="F1992" i="16"/>
  <c r="F1169" i="16"/>
  <c r="F144" i="17"/>
  <c r="F1625" i="17"/>
  <c r="F1460" i="17"/>
  <c r="F1283" i="15"/>
  <c r="F1588" i="16"/>
  <c r="F1546" i="15"/>
  <c r="F1971" i="15"/>
  <c r="F47" i="16"/>
  <c r="F665" i="15"/>
  <c r="F380" i="15"/>
  <c r="F726" i="16"/>
  <c r="F942" i="15"/>
  <c r="F398" i="15"/>
  <c r="F553" i="15"/>
  <c r="F534" i="15"/>
  <c r="F88" i="14"/>
  <c r="F170" i="16"/>
  <c r="F503" i="16"/>
  <c r="F6" i="15"/>
  <c r="F1974" i="15"/>
  <c r="F771" i="16"/>
  <c r="F1206" i="16"/>
  <c r="F1942" i="17"/>
  <c r="F776" i="15"/>
  <c r="F455" i="16"/>
  <c r="F255" i="16"/>
  <c r="F85" i="15"/>
  <c r="F1688" i="15"/>
  <c r="F1769" i="16"/>
  <c r="F1638" i="15"/>
  <c r="F1410" i="16"/>
  <c r="F1691" i="15"/>
  <c r="F1353" i="15"/>
  <c r="F55" i="16"/>
  <c r="F1279" i="15"/>
  <c r="F327" i="15"/>
  <c r="F835" i="15"/>
  <c r="F42" i="14"/>
  <c r="F521" i="17"/>
  <c r="F526" i="15"/>
  <c r="F1547" i="14"/>
  <c r="F1603" i="15"/>
  <c r="F69" i="14"/>
  <c r="F890" i="15"/>
  <c r="F22" i="14"/>
  <c r="F176" i="17"/>
  <c r="F1204" i="16"/>
  <c r="F1619" i="16"/>
  <c r="F1880" i="16"/>
  <c r="F528" i="14"/>
  <c r="F1025" i="15"/>
  <c r="F613" i="16"/>
  <c r="F754" i="16"/>
  <c r="F1145" i="15"/>
  <c r="F55" i="15"/>
  <c r="F328" i="16"/>
  <c r="F1458" i="16"/>
  <c r="F640" i="15"/>
  <c r="F245" i="16"/>
  <c r="F1252" i="14"/>
  <c r="F1589" i="15"/>
  <c r="F1244" i="15"/>
  <c r="F223" i="16"/>
  <c r="F130" i="15"/>
  <c r="F1864" i="14"/>
  <c r="F853" i="15"/>
  <c r="F426" i="16"/>
  <c r="F1226" i="16"/>
  <c r="F1077" i="16"/>
  <c r="F1390" i="17"/>
  <c r="F1868" i="17"/>
  <c r="F1426" i="16"/>
  <c r="F1548" i="16"/>
  <c r="F989" i="16"/>
  <c r="F1592" i="16"/>
  <c r="F648" i="17"/>
  <c r="F1207" i="17"/>
  <c r="F879" i="15"/>
  <c r="F570" i="17"/>
  <c r="F500" i="16"/>
  <c r="F900" i="16"/>
  <c r="F1217" i="16"/>
  <c r="F1384" i="16"/>
  <c r="F1265" i="15"/>
  <c r="F1602" i="15"/>
  <c r="F233" i="15"/>
  <c r="F823" i="16"/>
  <c r="F469" i="17"/>
  <c r="F936" i="16"/>
  <c r="F486" i="16"/>
  <c r="F258" i="14"/>
  <c r="F536" i="15"/>
  <c r="F470" i="16"/>
  <c r="F1431" i="16"/>
  <c r="F1329" i="15"/>
  <c r="F701" i="17"/>
  <c r="F283" i="16"/>
  <c r="F854" i="17"/>
  <c r="F827" i="16"/>
  <c r="F1623" i="17"/>
  <c r="F82" i="17"/>
  <c r="F49" i="14"/>
  <c r="F816" i="15"/>
  <c r="F958" i="15"/>
  <c r="F1033" i="16"/>
  <c r="F434" i="16"/>
  <c r="F1060" i="16"/>
  <c r="F463" i="16"/>
  <c r="F97" i="15"/>
  <c r="F614" i="16"/>
  <c r="F417" i="16"/>
  <c r="F1761" i="16"/>
  <c r="F348" i="16"/>
  <c r="F1002" i="16"/>
  <c r="F674" i="16"/>
  <c r="F51" i="17"/>
  <c r="F742" i="16"/>
  <c r="F1037" i="16"/>
  <c r="F1615" i="17"/>
  <c r="F824" i="17"/>
  <c r="F394" i="16"/>
  <c r="F191" i="16"/>
  <c r="F672" i="15"/>
  <c r="F1924" i="15"/>
  <c r="F266" i="15"/>
  <c r="F357" i="17"/>
  <c r="F1643" i="16"/>
  <c r="F1916" i="16"/>
  <c r="F86" i="15"/>
  <c r="F1573" i="16"/>
  <c r="F189" i="15"/>
  <c r="F812" i="17"/>
  <c r="F191" i="14"/>
  <c r="F871" i="16"/>
  <c r="F161" i="17"/>
  <c r="F246" i="16"/>
  <c r="F1247" i="16"/>
  <c r="F771" i="15"/>
  <c r="F1065" i="16"/>
  <c r="F909" i="16"/>
  <c r="F625" i="16"/>
  <c r="F1806" i="15"/>
  <c r="F1337" i="15"/>
  <c r="F1853" i="16"/>
  <c r="F273" i="16"/>
  <c r="F1116" i="16"/>
  <c r="F1620" i="15"/>
  <c r="F719" i="16"/>
  <c r="F1086" i="15"/>
  <c r="F1665" i="17"/>
  <c r="F1626" i="15"/>
  <c r="F1275" i="14"/>
  <c r="F734" i="16"/>
  <c r="F1506" i="16"/>
  <c r="F60" i="17"/>
  <c r="F585" i="14"/>
  <c r="F702" i="14"/>
  <c r="F1628" i="16"/>
  <c r="F1026" i="14"/>
  <c r="F1418" i="15"/>
  <c r="F1761" i="15"/>
  <c r="F943" i="14"/>
  <c r="F892" i="16"/>
  <c r="F1879" i="15"/>
  <c r="F865" i="17"/>
  <c r="F686" i="17"/>
  <c r="F174" i="16"/>
  <c r="F1540" i="15"/>
  <c r="F863" i="15"/>
  <c r="F848" i="15"/>
  <c r="F1960" i="15"/>
  <c r="F661" i="15"/>
  <c r="F1381" i="16"/>
  <c r="F1371" i="16"/>
  <c r="F1508" i="15"/>
  <c r="F1233" i="15"/>
  <c r="F872" i="16"/>
  <c r="F423" i="16"/>
  <c r="F1047" i="15"/>
  <c r="F1105" i="14"/>
  <c r="F1320" i="15"/>
  <c r="F313" i="15"/>
  <c r="F1308" i="15"/>
  <c r="F1792" i="16"/>
  <c r="F1675" i="14"/>
  <c r="F811" i="17"/>
  <c r="F1482" i="17"/>
  <c r="F1729" i="16"/>
  <c r="F680" i="17"/>
  <c r="F958" i="17"/>
  <c r="F152" i="15"/>
  <c r="F1355" i="17"/>
  <c r="F998" i="17"/>
  <c r="F795" i="16"/>
  <c r="F960" i="16"/>
  <c r="F134" i="17"/>
  <c r="F1243" i="16"/>
  <c r="F816" i="16"/>
  <c r="F1665" i="16"/>
  <c r="F817" i="17"/>
  <c r="F1324" i="17"/>
  <c r="F1317" i="15"/>
  <c r="F165" i="16"/>
  <c r="F576" i="14"/>
  <c r="F716" i="16"/>
  <c r="F1439" i="16"/>
  <c r="F1721" i="16"/>
  <c r="F1746" i="15"/>
  <c r="F1829" i="16"/>
  <c r="F804" i="17"/>
  <c r="F1260" i="16"/>
  <c r="F1335" i="16"/>
  <c r="F1536" i="16"/>
  <c r="F1327" i="17"/>
  <c r="F1091" i="16"/>
  <c r="F92" i="15"/>
  <c r="F355" i="15"/>
  <c r="F367" i="16"/>
  <c r="F682" i="17"/>
  <c r="F815" i="15"/>
  <c r="F1629" i="16"/>
  <c r="F1842" i="16"/>
  <c r="F1355" i="15"/>
  <c r="F699" i="17"/>
  <c r="F274" i="17"/>
  <c r="F1570" i="15"/>
  <c r="F959" i="16"/>
  <c r="F1161" i="16"/>
  <c r="F1790" i="15"/>
  <c r="F1819" i="15"/>
  <c r="F251" i="17"/>
  <c r="F1285" i="16"/>
  <c r="F487" i="16"/>
  <c r="F1233" i="16"/>
  <c r="F1022" i="15"/>
  <c r="F1940" i="17"/>
  <c r="F1739" i="15"/>
  <c r="F785" i="16"/>
  <c r="F630" i="15"/>
  <c r="F1215" i="17"/>
  <c r="F1961" i="15"/>
  <c r="F186" i="15"/>
  <c r="F1660" i="15"/>
  <c r="F1727" i="15"/>
  <c r="F1276" i="15"/>
  <c r="F1412" i="15"/>
  <c r="F136" i="15"/>
  <c r="F807" i="16"/>
  <c r="F434" i="15"/>
  <c r="F919" i="15"/>
  <c r="F32" i="17"/>
  <c r="F924" i="15"/>
  <c r="F244" i="16"/>
  <c r="F663" i="15"/>
  <c r="F1876" i="16"/>
  <c r="F1097" i="14"/>
  <c r="F537" i="15"/>
  <c r="F967" i="14"/>
  <c r="F261" i="14"/>
  <c r="F670" i="15"/>
  <c r="F1858" i="16"/>
  <c r="F1755" i="16"/>
  <c r="F412" i="17"/>
  <c r="F729" i="15"/>
  <c r="F1450" i="15"/>
  <c r="F647" i="16"/>
  <c r="F1471" i="15"/>
  <c r="F1951" i="15"/>
  <c r="F1137" i="15"/>
  <c r="F1164" i="15"/>
  <c r="F1741" i="15"/>
  <c r="F101" i="17"/>
  <c r="F1098" i="14"/>
  <c r="F1716" i="15"/>
  <c r="F831" i="14"/>
  <c r="F496" i="14"/>
  <c r="F1795" i="15"/>
  <c r="F202" i="14"/>
  <c r="F369" i="14"/>
  <c r="F107" i="14"/>
  <c r="F1060" i="14"/>
  <c r="F1383" i="17"/>
  <c r="F282" i="15"/>
  <c r="F1792" i="17"/>
  <c r="F393" i="17"/>
  <c r="F1459" i="17"/>
  <c r="F1839" i="17"/>
  <c r="F1589" i="16"/>
  <c r="F344" i="15"/>
  <c r="F502" i="16"/>
  <c r="F1520" i="16"/>
  <c r="F626" i="16"/>
  <c r="F466" i="16"/>
  <c r="F1115" i="17"/>
  <c r="F1802" i="16"/>
  <c r="F703" i="16"/>
  <c r="F1859" i="16"/>
  <c r="F1885" i="16"/>
  <c r="F836" i="14"/>
  <c r="F634" i="16"/>
  <c r="F1182" i="17"/>
  <c r="F1221" i="17"/>
  <c r="F1526" i="16"/>
  <c r="F115" i="15"/>
  <c r="F326" i="16"/>
  <c r="F735" i="16"/>
  <c r="F1394" i="16"/>
  <c r="F1708" i="15"/>
  <c r="F1032" i="16"/>
  <c r="F868" i="16"/>
  <c r="F1694" i="16"/>
  <c r="F550" i="15"/>
  <c r="F1473" i="15"/>
  <c r="F1380" i="16"/>
  <c r="F1005" i="16"/>
  <c r="F1562" i="16"/>
  <c r="F377" i="16"/>
  <c r="F38" i="16"/>
  <c r="F1029" i="16"/>
  <c r="F488" i="15"/>
  <c r="F1344" i="16"/>
  <c r="F991" i="17"/>
  <c r="F1338" i="16"/>
  <c r="F416" i="16"/>
  <c r="F1312" i="15"/>
  <c r="F1796" i="16"/>
  <c r="F1237" i="15"/>
  <c r="F1183" i="16"/>
  <c r="F761" i="14"/>
  <c r="F1271" i="16"/>
  <c r="F311" i="14"/>
  <c r="F923" i="15"/>
  <c r="F1909" i="16"/>
  <c r="F933" i="17"/>
  <c r="F747" i="17"/>
  <c r="F1547" i="17"/>
  <c r="F684" i="17"/>
  <c r="F1597" i="17"/>
  <c r="F1151" i="16"/>
  <c r="F131" i="16"/>
  <c r="F1156" i="16"/>
  <c r="F793" i="16"/>
  <c r="F846" i="16"/>
  <c r="F979" i="16"/>
  <c r="F1181" i="15"/>
  <c r="F148" i="17"/>
  <c r="F1868" i="15"/>
  <c r="F1075" i="16"/>
  <c r="F1896" i="15"/>
  <c r="F1156" i="17"/>
  <c r="F1938" i="16"/>
  <c r="F1110" i="17"/>
  <c r="F30" i="17"/>
  <c r="F197" i="17"/>
  <c r="F632" i="15"/>
  <c r="F957" i="15"/>
  <c r="F718" i="15"/>
  <c r="F1100" i="16"/>
  <c r="F1026" i="15"/>
  <c r="F1906" i="15"/>
  <c r="F1081" i="16"/>
  <c r="F652" i="15"/>
  <c r="F159" i="16"/>
  <c r="F1470" i="15"/>
  <c r="F155" i="14"/>
  <c r="F1611" i="16"/>
  <c r="F358" i="15"/>
  <c r="F1404" i="15"/>
  <c r="F1540" i="14"/>
  <c r="F445" i="15"/>
  <c r="F584" i="16"/>
  <c r="F1360" i="16"/>
  <c r="F859" i="15"/>
  <c r="F1543" i="14"/>
  <c r="F705" i="15"/>
  <c r="F805" i="15"/>
  <c r="F1874" i="14"/>
  <c r="F1468" i="15"/>
  <c r="F157" i="15"/>
  <c r="F1091" i="14"/>
  <c r="F605" i="14"/>
  <c r="F1609" i="15"/>
  <c r="F1345" i="16"/>
  <c r="F1165" i="15"/>
  <c r="F932" i="16"/>
  <c r="F256" i="16"/>
  <c r="F449" i="16"/>
  <c r="F562" i="15"/>
  <c r="F36" i="15"/>
  <c r="F1498" i="15"/>
  <c r="F658" i="15"/>
  <c r="F1470" i="16"/>
  <c r="F1002" i="15"/>
  <c r="F1457" i="15"/>
  <c r="F1630" i="15"/>
  <c r="F137" i="14"/>
  <c r="F329" i="15"/>
  <c r="F1326" i="16"/>
  <c r="F78" i="15"/>
  <c r="F805" i="14"/>
  <c r="F1003" i="15"/>
  <c r="F527" i="14"/>
  <c r="F888" i="16"/>
  <c r="F192" i="16"/>
  <c r="F935" i="17"/>
  <c r="F1648" i="16"/>
  <c r="F1118" i="16"/>
  <c r="F16" i="15"/>
  <c r="F1370" i="16"/>
  <c r="F436" i="17"/>
  <c r="F461" i="16"/>
  <c r="F45" i="17"/>
  <c r="F458" i="17"/>
  <c r="F760" i="16"/>
  <c r="F1881" i="15"/>
  <c r="F1658" i="15"/>
  <c r="F94" i="15"/>
  <c r="F703" i="15"/>
  <c r="F1256" i="15"/>
  <c r="F1960" i="17"/>
  <c r="F152" i="17"/>
  <c r="F182" i="17"/>
  <c r="F306" i="17"/>
  <c r="F799" i="16"/>
  <c r="F756" i="17"/>
  <c r="F1356" i="15"/>
  <c r="F855" i="16"/>
  <c r="F1579" i="16"/>
  <c r="F764" i="15"/>
  <c r="F739" i="16"/>
  <c r="F1061" i="16"/>
  <c r="F928" i="16"/>
  <c r="F643" i="16"/>
  <c r="F1668" i="15"/>
  <c r="F1313" i="15"/>
  <c r="F1732" i="16"/>
  <c r="F1173" i="15"/>
  <c r="F1779" i="15"/>
  <c r="F567" i="16"/>
  <c r="F1074" i="16"/>
  <c r="F438" i="16"/>
  <c r="F243" i="16"/>
  <c r="F855" i="15"/>
  <c r="F99" i="16"/>
  <c r="F151" i="17"/>
  <c r="F866" i="16"/>
  <c r="F600" i="15"/>
  <c r="F1062" i="16"/>
  <c r="F875" i="16"/>
  <c r="F507" i="15"/>
  <c r="F753" i="15"/>
  <c r="F1150" i="16"/>
  <c r="F530" i="14"/>
  <c r="F468" i="15"/>
  <c r="F240" i="15"/>
  <c r="F1284" i="15"/>
  <c r="F251" i="15"/>
  <c r="F927" i="14"/>
  <c r="F1775" i="15"/>
  <c r="F533" i="16"/>
  <c r="F673" i="17"/>
  <c r="F1659" i="15"/>
  <c r="F208" i="16"/>
  <c r="F1936" i="16"/>
  <c r="F460" i="15"/>
  <c r="F1133" i="15"/>
  <c r="F1816" i="15"/>
  <c r="F807" i="15"/>
  <c r="F861" i="16"/>
  <c r="F1734" i="15"/>
  <c r="F1553" i="15"/>
  <c r="F756" i="16"/>
  <c r="F51" i="16"/>
  <c r="F513" i="15"/>
  <c r="F1969" i="16"/>
  <c r="F690" i="16"/>
  <c r="F985" i="15"/>
  <c r="F976" i="16"/>
  <c r="F399" i="15"/>
  <c r="F62" i="16"/>
  <c r="F1421" i="16"/>
  <c r="F422" i="16"/>
  <c r="F332" i="15"/>
  <c r="F223" i="14"/>
  <c r="F1588" i="15"/>
  <c r="F157" i="16"/>
  <c r="F309" i="14"/>
  <c r="F496" i="15"/>
  <c r="F1254" i="15"/>
  <c r="F1298" i="15"/>
  <c r="F1863" i="15"/>
  <c r="F1524" i="15"/>
  <c r="F322" i="15"/>
  <c r="F233" i="16"/>
  <c r="F866" i="14"/>
  <c r="F575" i="14"/>
  <c r="F1682" i="16"/>
  <c r="F476" i="16"/>
  <c r="F404" i="16"/>
  <c r="F1206" i="17"/>
  <c r="F751" i="15"/>
  <c r="F1936" i="15"/>
  <c r="F1273" i="16"/>
  <c r="F517" i="17"/>
  <c r="F1914" i="16"/>
  <c r="F617" i="15"/>
  <c r="F616" i="16"/>
  <c r="F992" i="15"/>
  <c r="F1743" i="16"/>
  <c r="F141" i="15"/>
  <c r="F939" i="15"/>
  <c r="F178" i="15"/>
  <c r="F111" i="14"/>
  <c r="F901" i="16"/>
  <c r="F703" i="14"/>
  <c r="F46" i="16"/>
  <c r="F910" i="15"/>
  <c r="F1864" i="16"/>
  <c r="F400" i="15"/>
  <c r="F1660" i="16"/>
  <c r="F1959" i="16"/>
  <c r="F1189" i="17"/>
  <c r="F659" i="16"/>
  <c r="F1700" i="17"/>
  <c r="F321" i="17"/>
  <c r="F524" i="14"/>
  <c r="F1594" i="17"/>
  <c r="F742" i="15"/>
  <c r="F593" i="16"/>
  <c r="F858" i="17"/>
  <c r="F9" i="16"/>
  <c r="F479" i="15"/>
  <c r="F1388" i="17"/>
  <c r="F1827" i="16"/>
  <c r="F1078" i="16"/>
  <c r="F1117" i="16"/>
  <c r="F745" i="16"/>
  <c r="F253" i="17"/>
  <c r="F135" i="15"/>
  <c r="F841" i="15"/>
  <c r="F585" i="16"/>
  <c r="F445" i="16"/>
  <c r="F619" i="16"/>
  <c r="F259" i="15"/>
  <c r="F822" i="15"/>
  <c r="F955" i="16"/>
  <c r="F1631" i="16"/>
  <c r="F1687" i="17"/>
  <c r="F231" i="15"/>
  <c r="F1048" i="16"/>
  <c r="F1534" i="16"/>
  <c r="F1866" i="17"/>
  <c r="F606" i="16"/>
  <c r="F42" i="17"/>
  <c r="F980" i="16"/>
  <c r="F1950" i="16"/>
  <c r="F394" i="15"/>
  <c r="F474" i="17"/>
  <c r="F338" i="16"/>
  <c r="F1325" i="17"/>
  <c r="F154" i="17"/>
  <c r="F153" i="16"/>
  <c r="F1015" i="16"/>
  <c r="F1707" i="16"/>
  <c r="F92" i="16"/>
  <c r="F1123" i="15"/>
  <c r="F1734" i="17"/>
  <c r="F1698" i="15"/>
  <c r="F975" i="17"/>
  <c r="F341" i="16"/>
  <c r="F339" i="15"/>
  <c r="F577" i="15"/>
  <c r="F1081" i="15"/>
  <c r="F849" i="14"/>
  <c r="F1902" i="15"/>
  <c r="F116" i="16"/>
  <c r="F1749" i="15"/>
  <c r="F1581" i="16"/>
  <c r="F1377" i="16"/>
  <c r="F86" i="14"/>
  <c r="F466" i="15"/>
  <c r="F135" i="16"/>
  <c r="F166" i="15"/>
  <c r="F839" i="15"/>
  <c r="F1345" i="15"/>
  <c r="F734" i="14"/>
  <c r="F425" i="15"/>
  <c r="F1339" i="16"/>
  <c r="F318" i="15"/>
  <c r="F1957" i="16"/>
  <c r="F873" i="15"/>
  <c r="F285" i="14"/>
  <c r="F1794" i="15"/>
  <c r="F1861" i="16"/>
  <c r="F14" i="14"/>
  <c r="F44" i="15"/>
  <c r="F1366" i="14"/>
  <c r="F1403" i="17"/>
  <c r="F55" i="17"/>
  <c r="F1841" i="15"/>
  <c r="F54" i="17"/>
  <c r="F268" i="17"/>
  <c r="F1728" i="16"/>
  <c r="F1513" i="15"/>
  <c r="F452" i="16"/>
  <c r="F206" i="16"/>
  <c r="F1036" i="15"/>
  <c r="F1354" i="17"/>
  <c r="F686" i="15"/>
  <c r="F155" i="15"/>
  <c r="F147" i="14"/>
  <c r="F901" i="15"/>
  <c r="F274" i="15"/>
  <c r="F1086" i="17"/>
  <c r="F701" i="16"/>
  <c r="F132" i="15"/>
  <c r="F1764" i="17"/>
  <c r="F5" i="15"/>
  <c r="F387" i="15"/>
  <c r="F838" i="15"/>
  <c r="F361" i="16"/>
  <c r="F954" i="14"/>
  <c r="F1152" i="15"/>
  <c r="F1952" i="15"/>
  <c r="F689" i="15"/>
  <c r="F772" i="15"/>
  <c r="F1345" i="17"/>
  <c r="F544" i="16"/>
  <c r="F1151" i="17"/>
  <c r="F1405" i="17"/>
  <c r="F538" i="16"/>
  <c r="F1411" i="16"/>
  <c r="F1463" i="15"/>
  <c r="F567" i="17"/>
  <c r="F1225" i="15"/>
  <c r="F667" i="16"/>
  <c r="F1530" i="17"/>
  <c r="F311" i="17"/>
  <c r="F792" i="15"/>
  <c r="F829" i="15"/>
  <c r="F589" i="16"/>
  <c r="F1647" i="17"/>
  <c r="F896" i="16"/>
  <c r="F1760" i="16"/>
  <c r="F42" i="16"/>
  <c r="F13" i="15"/>
  <c r="F175" i="16"/>
  <c r="F1700" i="15"/>
  <c r="F1021" i="16"/>
  <c r="F1346" i="15"/>
  <c r="F340" i="14"/>
  <c r="F1740" i="17"/>
  <c r="F1962" i="15"/>
  <c r="F1824" i="16"/>
  <c r="F1704" i="15"/>
  <c r="F61" i="16"/>
  <c r="F1224" i="16"/>
  <c r="F1357" i="16"/>
  <c r="F652" i="16"/>
  <c r="F1005" i="15"/>
  <c r="F1560" i="16"/>
  <c r="F1265" i="16"/>
  <c r="F594" i="16"/>
  <c r="F1985" i="15"/>
  <c r="F1997" i="15"/>
  <c r="F304" i="15"/>
  <c r="F256" i="14"/>
  <c r="F1539" i="16"/>
  <c r="F13" i="14"/>
  <c r="F680" i="14"/>
  <c r="F1472" i="14"/>
  <c r="F1617" i="15"/>
  <c r="F383" i="17"/>
  <c r="F643" i="15"/>
  <c r="F1877" i="17"/>
  <c r="F703" i="17"/>
  <c r="F386" i="16"/>
  <c r="F1617" i="16"/>
  <c r="F906" i="17"/>
  <c r="F687" i="16"/>
  <c r="F1124" i="17"/>
  <c r="F605" i="16"/>
  <c r="F1455" i="17"/>
  <c r="F1138" i="16"/>
  <c r="F454" i="16"/>
  <c r="F221" i="16"/>
  <c r="F229" i="15"/>
  <c r="F118" i="15"/>
  <c r="F1812" i="16"/>
  <c r="F747" i="16"/>
  <c r="F1963" i="15"/>
  <c r="F1124" i="16"/>
  <c r="F1706" i="16"/>
  <c r="F778" i="16"/>
  <c r="F1466" i="16"/>
  <c r="F1321" i="17"/>
  <c r="F28" i="15"/>
  <c r="F448" i="16"/>
  <c r="F1618" i="16"/>
  <c r="F1155" i="16"/>
  <c r="F1177" i="16"/>
  <c r="F165" i="15"/>
  <c r="F374" i="17"/>
  <c r="F1916" i="15"/>
  <c r="F456" i="16"/>
  <c r="F1841" i="16"/>
  <c r="F1881" i="16"/>
  <c r="F891" i="16"/>
  <c r="F1093" i="16"/>
  <c r="F250" i="16"/>
  <c r="F1391" i="15"/>
  <c r="F1714" i="16"/>
  <c r="F642" i="16"/>
  <c r="F335" i="15"/>
  <c r="F1482" i="16"/>
  <c r="F314" i="16"/>
  <c r="F759" i="15"/>
  <c r="F1269" i="16"/>
  <c r="F1596" i="15"/>
  <c r="F1016" i="15"/>
  <c r="F1355" i="16"/>
  <c r="F1261" i="15"/>
  <c r="F100" i="16"/>
  <c r="F1070" i="16"/>
  <c r="F721" i="16"/>
  <c r="F1090" i="15"/>
  <c r="F1950" i="15"/>
  <c r="F11" i="15"/>
  <c r="F1167" i="16"/>
  <c r="F949" i="15"/>
  <c r="F334" i="14"/>
  <c r="F1571" i="16"/>
  <c r="F390" i="15"/>
  <c r="F1917" i="15"/>
  <c r="F481" i="16"/>
  <c r="F257" i="15"/>
  <c r="F359" i="15"/>
  <c r="F555" i="17"/>
  <c r="F866" i="17"/>
  <c r="F1826" i="16"/>
  <c r="F1723" i="16"/>
  <c r="F185" i="16"/>
  <c r="F789" i="15"/>
  <c r="F801" i="15"/>
  <c r="F755" i="15"/>
  <c r="F97" i="14"/>
  <c r="F200" i="14"/>
  <c r="F1363" i="16"/>
  <c r="F510" i="17"/>
  <c r="F1048" i="15"/>
  <c r="F888" i="17"/>
  <c r="F1433" i="15"/>
  <c r="F11" i="16"/>
  <c r="F108" i="17"/>
  <c r="F1076" i="15"/>
  <c r="F1508" i="17"/>
  <c r="F1256" i="17"/>
  <c r="F1238" i="16"/>
  <c r="F181" i="16"/>
  <c r="F1785" i="17"/>
  <c r="F164" i="17"/>
  <c r="F1389" i="15"/>
  <c r="F618" i="17"/>
  <c r="F1885" i="15"/>
  <c r="F1064" i="16"/>
  <c r="F151" i="14"/>
  <c r="F137" i="15"/>
  <c r="F1641" i="16"/>
  <c r="F1523" i="15"/>
  <c r="F136" i="16"/>
  <c r="F1595" i="14"/>
  <c r="F884" i="16"/>
  <c r="F1874" i="15"/>
  <c r="F1496" i="15"/>
  <c r="F850" i="15"/>
  <c r="F1347" i="15"/>
  <c r="F622" i="15"/>
  <c r="F1515" i="15"/>
  <c r="F1983" i="16"/>
  <c r="F1216" i="16"/>
  <c r="F949" i="16"/>
  <c r="F188" i="15"/>
  <c r="F429" i="15"/>
  <c r="F636" i="14"/>
  <c r="F1013" i="15"/>
  <c r="F1935" i="16"/>
  <c r="F38" i="17"/>
  <c r="F1120" i="15"/>
  <c r="F800" i="17"/>
  <c r="F1572" i="17"/>
  <c r="F1395" i="16"/>
  <c r="F290" i="15"/>
  <c r="F650" i="16"/>
  <c r="F946" i="16"/>
  <c r="F1689" i="17"/>
  <c r="F1421" i="15"/>
  <c r="F1765" i="17"/>
  <c r="F230" i="16"/>
  <c r="F1315" i="15"/>
  <c r="F187" i="17"/>
  <c r="F1218" i="16"/>
  <c r="F1879" i="16"/>
  <c r="F147" i="16"/>
  <c r="F177" i="15"/>
  <c r="F1301" i="16"/>
  <c r="F1834" i="16"/>
  <c r="F1635" i="15"/>
  <c r="F1306" i="15"/>
  <c r="F251" i="16"/>
  <c r="F1468" i="16"/>
  <c r="F614" i="15"/>
  <c r="F284" i="16"/>
  <c r="F920" i="16"/>
  <c r="F1445" i="16"/>
  <c r="F1201" i="16"/>
  <c r="F1082" i="15"/>
  <c r="F1440" i="15"/>
  <c r="F1046" i="17"/>
  <c r="F1709" i="15"/>
  <c r="F1296" i="16"/>
  <c r="F503" i="14"/>
  <c r="F1929" i="16"/>
  <c r="F407" i="15"/>
  <c r="F20" i="15"/>
  <c r="F451" i="16"/>
  <c r="F1353" i="14"/>
  <c r="F313" i="14"/>
  <c r="F1188" i="16"/>
  <c r="F1919" i="14"/>
  <c r="F1285" i="15"/>
  <c r="F1605" i="15"/>
  <c r="F914" i="16"/>
  <c r="F1801" i="17"/>
  <c r="F1940" i="16"/>
  <c r="F1392" i="15"/>
  <c r="F367" i="15"/>
  <c r="F298" i="16"/>
  <c r="F432" i="14"/>
  <c r="F671" i="15"/>
  <c r="F1989" i="16"/>
  <c r="F836" i="16"/>
  <c r="F1057" i="15"/>
  <c r="F765" i="14"/>
  <c r="F1533" i="15"/>
  <c r="F1749" i="16"/>
  <c r="F1362" i="15"/>
  <c r="F1293" i="14"/>
  <c r="F209" i="14"/>
  <c r="F67" i="15"/>
  <c r="F924" i="16"/>
  <c r="F522" i="15"/>
  <c r="F212" i="16"/>
  <c r="F1190" i="15"/>
  <c r="F1073" i="15"/>
  <c r="F608" i="15"/>
  <c r="F447" i="16"/>
  <c r="F1602" i="17"/>
  <c r="F674" i="17"/>
  <c r="F1904" i="17"/>
  <c r="F1924" i="17"/>
  <c r="F1883" i="16"/>
  <c r="F574" i="16"/>
  <c r="F46" i="17"/>
  <c r="F379" i="16"/>
  <c r="F7" i="17"/>
  <c r="F1817" i="17"/>
  <c r="F1412" i="17"/>
  <c r="F773" i="16"/>
  <c r="F920" i="17"/>
  <c r="F1154" i="15"/>
  <c r="F39" i="16"/>
  <c r="F376" i="16"/>
  <c r="F236" i="15"/>
  <c r="F753" i="17"/>
  <c r="F1837" i="16"/>
  <c r="F1182" i="16"/>
  <c r="F1939" i="15"/>
  <c r="F1391" i="16"/>
  <c r="F215" i="15"/>
  <c r="F662" i="17"/>
  <c r="F449" i="15"/>
  <c r="F986" i="15"/>
  <c r="F458" i="16"/>
  <c r="F95" i="16"/>
  <c r="F1246" i="16"/>
  <c r="F1189" i="15"/>
  <c r="F922" i="16"/>
  <c r="F797" i="15"/>
  <c r="F1867" i="16"/>
  <c r="F681" i="15"/>
  <c r="F144" i="15"/>
  <c r="F750" i="17"/>
  <c r="F1529" i="16"/>
  <c r="F1436" i="15"/>
  <c r="F365" i="16"/>
  <c r="F1507" i="16"/>
  <c r="F964" i="16"/>
  <c r="F164" i="16"/>
  <c r="F1696" i="17"/>
  <c r="F1134" i="16"/>
  <c r="F1382" i="15"/>
  <c r="F48" i="14"/>
  <c r="F1823" i="15"/>
  <c r="F1480" i="16"/>
  <c r="F921" i="15"/>
  <c r="F388" i="15"/>
  <c r="F1004" i="16"/>
  <c r="F1288" i="16"/>
  <c r="F624" i="16"/>
  <c r="F1029" i="15"/>
  <c r="F1628" i="14"/>
  <c r="F1238" i="15"/>
  <c r="F1410" i="15"/>
  <c r="F483" i="14"/>
  <c r="F850" i="16"/>
  <c r="F1204" i="15"/>
  <c r="F1485" i="15"/>
  <c r="F70" i="14"/>
  <c r="F1899" i="15"/>
  <c r="F462" i="16"/>
  <c r="F1975" i="15"/>
  <c r="F1672" i="15"/>
  <c r="F560" i="15"/>
  <c r="F1198" i="17"/>
  <c r="F1293" i="16"/>
  <c r="F29" i="16"/>
  <c r="F333" i="16"/>
  <c r="F122" i="15"/>
  <c r="F1460" i="16"/>
  <c r="F899" i="15"/>
  <c r="F1866" i="16"/>
  <c r="F389" i="16"/>
  <c r="F138" i="15"/>
  <c r="F1201" i="15"/>
  <c r="F1838" i="14"/>
  <c r="F1146" i="16"/>
  <c r="F163" i="16"/>
  <c r="F159" i="15"/>
  <c r="F1342" i="15"/>
  <c r="F1991" i="15"/>
  <c r="F81" i="16"/>
  <c r="F664" i="17"/>
  <c r="F1465" i="15"/>
  <c r="F418" i="16"/>
  <c r="F1968" i="16"/>
  <c r="F440" i="16"/>
  <c r="F291" i="14"/>
  <c r="F242" i="17"/>
  <c r="F1504" i="15"/>
  <c r="F469" i="16"/>
  <c r="F568" i="15"/>
  <c r="F745" i="15"/>
  <c r="F921" i="16"/>
  <c r="F216" i="15"/>
  <c r="F794" i="14"/>
  <c r="F1442" i="15"/>
  <c r="F248" i="15"/>
  <c r="F366" i="15"/>
  <c r="F616" i="15"/>
  <c r="F31" i="16"/>
  <c r="F1672" i="16"/>
  <c r="F807" i="17"/>
  <c r="F1981" i="16"/>
  <c r="F1869" i="16"/>
  <c r="F1545" i="15"/>
  <c r="F899" i="16"/>
  <c r="F495" i="16"/>
  <c r="F1497" i="15"/>
  <c r="F205" i="15"/>
  <c r="F424" i="15"/>
  <c r="F621" i="15"/>
  <c r="F1506" i="15"/>
  <c r="F409" i="14"/>
  <c r="F818" i="14"/>
  <c r="F1118" i="14"/>
  <c r="F1188" i="15"/>
  <c r="F692" i="15"/>
  <c r="F1251" i="15"/>
  <c r="F316" i="14"/>
  <c r="F1309" i="15"/>
  <c r="F790" i="14"/>
  <c r="F743" i="17"/>
  <c r="F758" i="16"/>
  <c r="F738" i="16"/>
  <c r="F1058" i="16"/>
  <c r="F130" i="17"/>
  <c r="F838" i="16"/>
  <c r="F1291" i="17"/>
  <c r="F359" i="16"/>
  <c r="F1814" i="17"/>
  <c r="F1290" i="17"/>
  <c r="F1680" i="16"/>
  <c r="F1927" i="16"/>
  <c r="F479" i="16"/>
  <c r="F1615" i="15"/>
  <c r="F222" i="15"/>
  <c r="F395" i="16"/>
  <c r="F1756" i="16"/>
  <c r="F158" i="16"/>
  <c r="F1632" i="15"/>
  <c r="F710" i="16"/>
  <c r="F978" i="17"/>
  <c r="F1024" i="15"/>
  <c r="F1945" i="15"/>
  <c r="F971" i="16"/>
  <c r="F1701" i="15"/>
  <c r="F1573" i="15"/>
  <c r="F1025" i="16"/>
  <c r="F1373" i="16"/>
  <c r="F1840" i="16"/>
  <c r="F396" i="17"/>
  <c r="F1368" i="16"/>
  <c r="F851" i="16"/>
  <c r="F22" i="16"/>
  <c r="F348" i="15"/>
  <c r="F21" i="15"/>
  <c r="F803" i="16"/>
  <c r="F1521" i="16"/>
  <c r="F82" i="15"/>
  <c r="F1814" i="16"/>
  <c r="F555" i="14"/>
  <c r="F1404" i="17"/>
  <c r="F1901" i="16"/>
  <c r="F1809" i="16"/>
  <c r="F1516" i="16"/>
  <c r="F210" i="16"/>
  <c r="F764" i="16"/>
  <c r="F814" i="15"/>
  <c r="F153" i="15"/>
  <c r="F217" i="17"/>
  <c r="F1187" i="15"/>
  <c r="F340" i="16"/>
  <c r="F533" i="15"/>
  <c r="F844" i="16"/>
  <c r="F338" i="14"/>
  <c r="F1894" i="16"/>
  <c r="F1384" i="14"/>
  <c r="F709" i="17"/>
  <c r="F856" i="17"/>
  <c r="F1505" i="16"/>
  <c r="F308" i="15"/>
  <c r="F1082" i="17"/>
  <c r="F766" i="15"/>
  <c r="F1736" i="15"/>
  <c r="F1703" i="14"/>
  <c r="F694" i="16"/>
  <c r="F104" i="15"/>
  <c r="F280" i="15"/>
  <c r="F617" i="16"/>
  <c r="F330" i="17"/>
  <c r="F151" i="15"/>
  <c r="F778" i="15"/>
  <c r="F14" i="15"/>
  <c r="F1219" i="17"/>
  <c r="F650" i="15"/>
  <c r="F1523" i="16"/>
  <c r="F474" i="16"/>
  <c r="F321" i="16"/>
  <c r="F1057" i="17"/>
  <c r="F429" i="16"/>
  <c r="F893" i="15"/>
  <c r="F1637" i="15"/>
  <c r="F1590" i="16"/>
  <c r="F1827" i="15"/>
  <c r="F1432" i="17"/>
  <c r="F812" i="15"/>
  <c r="F888" i="15"/>
  <c r="F801" i="16"/>
  <c r="F1079" i="15"/>
  <c r="F659" i="15"/>
  <c r="F410" i="15"/>
  <c r="F941" i="15"/>
  <c r="F374" i="15"/>
  <c r="F1152" i="16"/>
  <c r="F1647" i="16"/>
  <c r="F253" i="15"/>
  <c r="F409" i="17"/>
  <c r="F863" i="16"/>
  <c r="F918" i="16"/>
  <c r="F1580" i="15"/>
  <c r="F1513" i="17"/>
  <c r="F974" i="16"/>
  <c r="F1830" i="16"/>
  <c r="F1245" i="15"/>
  <c r="F1987" i="16"/>
  <c r="F1932" i="16"/>
  <c r="F134" i="16"/>
  <c r="F451" i="15"/>
  <c r="F1257" i="14"/>
  <c r="F170" i="14"/>
  <c r="F1941" i="15"/>
  <c r="F514" i="14"/>
  <c r="F1724" i="15"/>
  <c r="F1130" i="15"/>
  <c r="F753" i="16"/>
  <c r="F1079" i="16"/>
  <c r="F328" i="15"/>
  <c r="F241" i="17"/>
  <c r="F860" i="16"/>
  <c r="F1533" i="17"/>
  <c r="F1199" i="16"/>
  <c r="F1212" i="16"/>
  <c r="F1741" i="17"/>
  <c r="F370" i="17"/>
  <c r="F1683" i="17"/>
  <c r="F839" i="17"/>
  <c r="F853" i="17"/>
  <c r="F615" i="16"/>
  <c r="F1075" i="15"/>
  <c r="F1454" i="16"/>
  <c r="F448" i="15"/>
  <c r="F1264" i="16"/>
  <c r="F76" i="16"/>
  <c r="F53" i="16"/>
  <c r="F733" i="16"/>
  <c r="F1214" i="16"/>
  <c r="F1607" i="16"/>
  <c r="F1049" i="15"/>
  <c r="F707" i="17"/>
  <c r="F234" i="15"/>
  <c r="F1703" i="16"/>
  <c r="F1289" i="17"/>
  <c r="F903" i="16"/>
  <c r="F56" i="16"/>
  <c r="F109" i="15"/>
  <c r="F70" i="16"/>
  <c r="F588" i="16"/>
  <c r="F644" i="16"/>
  <c r="F919" i="16"/>
  <c r="F550" i="17"/>
  <c r="F1018" i="16"/>
  <c r="F297" i="15"/>
  <c r="F1334" i="16"/>
  <c r="F675" i="17"/>
  <c r="F1632" i="16"/>
  <c r="F403" i="15"/>
  <c r="F1782" i="16"/>
  <c r="F643" i="17"/>
  <c r="F1789" i="16"/>
  <c r="F546" i="15"/>
  <c r="F274" i="16"/>
  <c r="F1872" i="16"/>
  <c r="F299" i="16"/>
  <c r="F8" i="16"/>
  <c r="F1918" i="15"/>
  <c r="F1088" i="16"/>
  <c r="F1696" i="16"/>
  <c r="F767" i="16"/>
  <c r="F93" i="15"/>
  <c r="F383" i="15"/>
  <c r="F934" i="16"/>
  <c r="F1422" i="15"/>
  <c r="F201" i="14"/>
  <c r="F1972" i="16"/>
  <c r="F866" i="15"/>
  <c r="F1634" i="15"/>
  <c r="F1891" i="15"/>
  <c r="F1140" i="14"/>
  <c r="F815" i="17"/>
  <c r="F250" i="15"/>
  <c r="F1289" i="16"/>
  <c r="F388" i="16"/>
  <c r="F91" i="14"/>
  <c r="F1768" i="16"/>
  <c r="F148" i="14"/>
  <c r="F338" i="15"/>
  <c r="F407" i="16"/>
  <c r="F1488" i="16"/>
  <c r="F1836" i="15"/>
  <c r="F752" i="17"/>
  <c r="F1772" i="16"/>
  <c r="F255" i="15"/>
  <c r="F1109" i="14"/>
  <c r="F616" i="14"/>
  <c r="F1095" i="17"/>
  <c r="F1367" i="16"/>
  <c r="F770" i="16"/>
  <c r="F1951" i="16"/>
  <c r="F190" i="17"/>
  <c r="F621" i="17"/>
  <c r="F104" i="16"/>
  <c r="F1401" i="16"/>
  <c r="F696" i="14"/>
  <c r="F1419" i="15"/>
  <c r="F1608" i="15"/>
  <c r="F261" i="15"/>
  <c r="F1474" i="14"/>
  <c r="F1437" i="15"/>
  <c r="F1334" i="15"/>
  <c r="F796" i="15"/>
  <c r="F1629" i="17"/>
  <c r="F811" i="16"/>
  <c r="F1488" i="15"/>
  <c r="F711" i="16"/>
  <c r="F218" i="16"/>
  <c r="F321" i="14"/>
  <c r="F339" i="16"/>
  <c r="F198" i="15"/>
  <c r="F730" i="15"/>
  <c r="F460" i="16"/>
  <c r="F167" i="15"/>
  <c r="F1332" i="15"/>
  <c r="F110" i="15"/>
  <c r="F1642" i="16"/>
  <c r="F1592" i="15"/>
  <c r="F1453" i="15"/>
  <c r="F1266" i="15"/>
  <c r="F1242" i="16"/>
  <c r="F665" i="16"/>
  <c r="F1322" i="17"/>
  <c r="F206" i="15"/>
  <c r="F774" i="16"/>
  <c r="F148" i="16"/>
  <c r="F1418" i="16"/>
  <c r="F1899" i="17"/>
  <c r="F1362" i="16"/>
  <c r="F1986" i="15"/>
  <c r="F295" i="14"/>
  <c r="F543" i="16"/>
  <c r="F1985" i="16"/>
  <c r="F1990" i="16"/>
  <c r="F1056" i="15"/>
  <c r="F1076" i="16"/>
  <c r="F110" i="16"/>
  <c r="F1066" i="16"/>
  <c r="F66" i="14"/>
  <c r="F214" i="14"/>
  <c r="F462" i="14"/>
  <c r="F1319" i="16"/>
  <c r="F1676" i="16"/>
  <c r="F513" i="16"/>
  <c r="F1478" i="16"/>
  <c r="F491" i="15"/>
  <c r="F1327" i="15"/>
  <c r="F1966" i="14"/>
  <c r="F393" i="14"/>
  <c r="F695" i="14"/>
  <c r="F1253" i="16"/>
  <c r="F275" i="14"/>
  <c r="F202" i="15"/>
  <c r="F1373" i="15"/>
  <c r="F1236" i="15"/>
  <c r="F1842" i="15"/>
  <c r="F686" i="14"/>
  <c r="F1400" i="14"/>
  <c r="F1196" i="15"/>
  <c r="F1880" i="14"/>
  <c r="F515" i="17"/>
  <c r="F377" i="14"/>
  <c r="F883" i="15"/>
  <c r="F3" i="16"/>
  <c r="F1931" i="16"/>
  <c r="F990" i="15"/>
  <c r="F704" i="15"/>
  <c r="F186" i="14"/>
  <c r="F1594" i="14"/>
  <c r="F1155" i="15"/>
  <c r="F217" i="16"/>
  <c r="F1010" i="15"/>
  <c r="F645" i="15"/>
  <c r="F752" i="15"/>
  <c r="F598" i="16"/>
  <c r="F265" i="15"/>
  <c r="F557" i="16"/>
  <c r="F13" i="16"/>
  <c r="F1091" i="15"/>
  <c r="F337" i="16"/>
  <c r="F1455" i="16"/>
  <c r="F58" i="15"/>
  <c r="F1516" i="14"/>
  <c r="F1401" i="15"/>
  <c r="F1214" i="15"/>
  <c r="F1103" i="17"/>
  <c r="F1079" i="17"/>
  <c r="F65" i="16"/>
  <c r="F1849" i="15"/>
  <c r="F898" i="17"/>
  <c r="F292" i="15"/>
  <c r="F1222" i="16"/>
  <c r="F997" i="16"/>
  <c r="F51" i="15"/>
  <c r="F85" i="14"/>
  <c r="F1815" i="16"/>
  <c r="F666" i="16"/>
  <c r="F415" i="16"/>
  <c r="F1125" i="14"/>
  <c r="F1043" i="15"/>
  <c r="F1388" i="16"/>
  <c r="F833" i="15"/>
  <c r="F1392" i="16"/>
  <c r="F1129" i="16"/>
  <c r="F259" i="17"/>
  <c r="F142" i="16"/>
  <c r="F1131" i="15"/>
  <c r="F1570" i="16"/>
  <c r="F1820" i="16"/>
  <c r="F1331" i="17"/>
  <c r="F915" i="15"/>
  <c r="F340" i="15"/>
  <c r="F1001" i="14"/>
  <c r="F1548" i="15"/>
  <c r="F1322" i="16"/>
  <c r="F1012" i="17"/>
  <c r="F114" i="14"/>
  <c r="F1766" i="17"/>
  <c r="F1170" i="16"/>
  <c r="F74" i="15"/>
  <c r="F1507" i="15"/>
  <c r="F180" i="15"/>
  <c r="F693" i="16"/>
  <c r="F1428" i="16"/>
  <c r="F439" i="15"/>
  <c r="F846" i="17"/>
  <c r="F192" i="17"/>
  <c r="F963" i="16"/>
  <c r="F53" i="17"/>
  <c r="F1810" i="15"/>
  <c r="F1374" i="16"/>
  <c r="F1718" i="15"/>
  <c r="F1511" i="16"/>
  <c r="F1495" i="15"/>
  <c r="F1644" i="14"/>
  <c r="F1856" i="15"/>
  <c r="F1179" i="16"/>
  <c r="F364" i="15"/>
  <c r="F440" i="15"/>
  <c r="F665" i="14"/>
  <c r="F896" i="15"/>
  <c r="F1999" i="17"/>
  <c r="F1105" i="15"/>
  <c r="F391" i="16"/>
  <c r="F999" i="17"/>
  <c r="F1487" i="16"/>
  <c r="F1335" i="17"/>
  <c r="F1646" i="15"/>
  <c r="F751" i="16"/>
  <c r="F222" i="16"/>
  <c r="F1778" i="16"/>
  <c r="F1723" i="15"/>
  <c r="F849" i="16"/>
  <c r="F1171" i="15"/>
  <c r="F1753" i="15"/>
  <c r="F34" i="15"/>
  <c r="F1870" i="14"/>
  <c r="F637" i="15"/>
  <c r="F1758" i="15"/>
  <c r="F671" i="16"/>
  <c r="F632" i="16"/>
  <c r="F542" i="15"/>
  <c r="F1796" i="15"/>
  <c r="F271" i="15"/>
  <c r="F1757" i="15"/>
  <c r="F1967" i="15"/>
  <c r="F446" i="16"/>
  <c r="F830" i="16"/>
  <c r="F1389" i="16"/>
  <c r="F544" i="14"/>
  <c r="F138" i="14"/>
  <c r="F980" i="14"/>
  <c r="F935" i="16"/>
  <c r="F234" i="17"/>
  <c r="F1728" i="15"/>
  <c r="F113" i="15"/>
  <c r="F187" i="15"/>
  <c r="F768" i="16"/>
  <c r="F1061" i="15"/>
  <c r="F455" i="15"/>
  <c r="F1663" i="14"/>
  <c r="F1365" i="15"/>
  <c r="F149" i="16"/>
  <c r="F1644" i="15"/>
  <c r="F1997" i="16"/>
  <c r="F1933" i="15"/>
  <c r="F1944" i="15"/>
  <c r="F239" i="16"/>
  <c r="F746" i="15"/>
  <c r="F514" i="16"/>
  <c r="F91" i="15"/>
  <c r="F553" i="14"/>
  <c r="F308" i="16"/>
  <c r="F1904" i="15"/>
  <c r="F119" i="15"/>
  <c r="F606" i="15"/>
  <c r="F337" i="15"/>
  <c r="F1001" i="15"/>
  <c r="F1546" i="16"/>
  <c r="F1111" i="16"/>
  <c r="F323" i="15"/>
  <c r="F1320" i="14"/>
  <c r="F1051" i="15"/>
  <c r="F967" i="15"/>
  <c r="F1071" i="15"/>
  <c r="F1738" i="15"/>
  <c r="F624" i="14"/>
  <c r="F860" i="17"/>
  <c r="F117" i="16"/>
  <c r="F1707" i="15"/>
  <c r="F989" i="15"/>
  <c r="F1764" i="16"/>
  <c r="F80" i="15"/>
  <c r="F1331" i="16"/>
  <c r="F139" i="17"/>
  <c r="F1438" i="15"/>
  <c r="F144" i="14"/>
  <c r="F539" i="15"/>
  <c r="F500" i="14"/>
  <c r="F978" i="15"/>
  <c r="F1379" i="15"/>
  <c r="F917" i="14"/>
  <c r="F749" i="16"/>
  <c r="F1969" i="15"/>
  <c r="F114" i="16"/>
  <c r="F508" i="16"/>
  <c r="F1811" i="15"/>
  <c r="F132" i="14"/>
  <c r="F1490" i="14"/>
  <c r="F1089" i="16"/>
  <c r="F1257" i="16"/>
  <c r="F21" i="14"/>
  <c r="F285" i="16"/>
  <c r="F513" i="17"/>
  <c r="F935" i="15"/>
  <c r="F1338" i="14"/>
  <c r="F713" i="15"/>
  <c r="F1669" i="16"/>
  <c r="F644" i="15"/>
  <c r="F576" i="17"/>
  <c r="F81" i="15"/>
  <c r="F1467" i="15"/>
  <c r="F1805" i="16"/>
  <c r="F1809" i="14"/>
  <c r="F1244" i="16"/>
  <c r="F445" i="14"/>
  <c r="F905" i="15"/>
  <c r="F1109" i="15"/>
  <c r="F740" i="14"/>
  <c r="F588" i="14"/>
  <c r="F690" i="15"/>
  <c r="F296" i="14"/>
  <c r="F1344" i="14"/>
  <c r="F898" i="15"/>
  <c r="F229" i="14"/>
  <c r="F237" i="16"/>
  <c r="F499" i="15"/>
  <c r="F1384" i="15"/>
  <c r="F1936" i="17"/>
  <c r="F1859" i="14"/>
  <c r="F1502" i="16"/>
  <c r="F1080" i="15"/>
  <c r="F134" i="14"/>
  <c r="F306" i="15"/>
  <c r="F613" i="15"/>
  <c r="F1330" i="16"/>
  <c r="F217" i="14"/>
  <c r="F484" i="15"/>
  <c r="F265" i="14"/>
  <c r="F1406" i="16"/>
  <c r="F1814" i="15"/>
  <c r="F1921" i="15"/>
  <c r="F436" i="16"/>
  <c r="F1127" i="15"/>
  <c r="F1070" i="14"/>
  <c r="F213" i="14"/>
  <c r="F529" i="16"/>
  <c r="F1180" i="17"/>
  <c r="F1690" i="15"/>
  <c r="F68" i="14"/>
  <c r="F1204" i="14"/>
  <c r="F973" i="14"/>
  <c r="F179" i="15"/>
  <c r="F599" i="14"/>
  <c r="F160" i="15"/>
  <c r="F1445" i="15"/>
  <c r="F1069" i="15"/>
  <c r="F1813" i="14"/>
  <c r="F1721" i="14"/>
  <c r="F1525" i="15"/>
  <c r="F1294" i="16"/>
  <c r="F1489" i="15"/>
  <c r="F857" i="17"/>
  <c r="F1302" i="16"/>
  <c r="F1105" i="16"/>
  <c r="F265" i="16"/>
  <c r="F1497" i="17"/>
  <c r="F1107" i="15"/>
  <c r="F752" i="16"/>
  <c r="F1688" i="16"/>
  <c r="F1044" i="15"/>
  <c r="F1996" i="16"/>
  <c r="F1651" i="16"/>
  <c r="F428" i="14"/>
  <c r="F845" i="15"/>
  <c r="F1869" i="14"/>
  <c r="F1649" i="15"/>
  <c r="F615" i="15"/>
  <c r="F987" i="15"/>
  <c r="F590" i="16"/>
  <c r="F564" i="16"/>
  <c r="F735" i="14"/>
  <c r="F538" i="15"/>
  <c r="F268" i="14"/>
  <c r="F1679" i="16"/>
  <c r="F410" i="17"/>
  <c r="F1477" i="15"/>
  <c r="F1484" i="17"/>
  <c r="F312" i="15"/>
  <c r="F527" i="15"/>
  <c r="F57" i="15"/>
  <c r="F374" i="16"/>
  <c r="F1415" i="15"/>
  <c r="F258" i="16"/>
  <c r="F1925" i="15"/>
  <c r="F1541" i="15"/>
  <c r="F193" i="15"/>
  <c r="F316" i="15"/>
  <c r="F1013" i="16"/>
  <c r="F1808" i="16"/>
  <c r="F649" i="16"/>
  <c r="F459" i="15"/>
  <c r="F1699" i="15"/>
  <c r="F1877" i="15"/>
  <c r="F1451" i="15"/>
  <c r="F362" i="16"/>
  <c r="F630" i="16"/>
  <c r="F766" i="16"/>
  <c r="F1878" i="14"/>
  <c r="F726" i="15"/>
  <c r="F657" i="16"/>
  <c r="F623" i="16"/>
  <c r="F1555" i="15"/>
  <c r="F924" i="14"/>
  <c r="F1438" i="14"/>
  <c r="F296" i="16"/>
  <c r="F1168" i="15"/>
  <c r="F598" i="15"/>
  <c r="F185" i="14"/>
  <c r="F926" i="14"/>
  <c r="F541" i="16"/>
  <c r="F1108" i="15"/>
  <c r="F1705" i="16"/>
  <c r="F195" i="15"/>
  <c r="F1499" i="16"/>
  <c r="F530" i="17"/>
  <c r="F1191" i="15"/>
  <c r="F239" i="15"/>
  <c r="F1964" i="16"/>
  <c r="F225" i="14"/>
  <c r="F42" i="15"/>
  <c r="F1656" i="15"/>
  <c r="F1164" i="16"/>
  <c r="F625" i="15"/>
  <c r="F1443" i="16"/>
  <c r="F1258" i="16"/>
  <c r="F1016" i="14"/>
  <c r="F222" i="14"/>
  <c r="F197" i="15"/>
  <c r="F401" i="17"/>
  <c r="F1946" i="16"/>
  <c r="F814" i="16"/>
  <c r="F16" i="16"/>
  <c r="F380" i="17"/>
  <c r="F1775" i="16"/>
  <c r="F330" i="15"/>
  <c r="F895" i="16"/>
  <c r="F1128" i="17"/>
  <c r="F235" i="14"/>
  <c r="F1390" i="15"/>
  <c r="F348" i="14"/>
  <c r="F1722" i="16"/>
  <c r="F1800" i="15"/>
  <c r="F1622" i="16"/>
  <c r="F192" i="14"/>
  <c r="F1250" i="16"/>
  <c r="F819" i="16"/>
  <c r="F723" i="14"/>
  <c r="F267" i="16"/>
  <c r="F214" i="15"/>
  <c r="F1412" i="16"/>
  <c r="F1926" i="15"/>
  <c r="F133" i="16"/>
  <c r="F1564" i="16"/>
  <c r="F645" i="16"/>
  <c r="F1432" i="15"/>
  <c r="F828" i="16"/>
  <c r="F485" i="16"/>
  <c r="F770" i="14"/>
  <c r="F29" i="14"/>
  <c r="F1704" i="14"/>
  <c r="F639" i="14"/>
  <c r="F532" i="16"/>
  <c r="F581" i="15"/>
  <c r="F228" i="15"/>
  <c r="F264" i="14"/>
  <c r="F1883" i="15"/>
  <c r="F123" i="14"/>
  <c r="F950" i="14"/>
  <c r="F366" i="14"/>
  <c r="F1336" i="15"/>
  <c r="F1460" i="15"/>
  <c r="F710" i="15"/>
  <c r="F1917" i="16"/>
  <c r="F696" i="15"/>
  <c r="F734" i="17"/>
  <c r="F779" i="14"/>
  <c r="F1010" i="16"/>
  <c r="F1433" i="16"/>
  <c r="F442" i="14"/>
  <c r="F1744" i="15"/>
  <c r="F1157" i="14"/>
  <c r="F1477" i="14"/>
  <c r="F945" i="15"/>
  <c r="F1621" i="14"/>
  <c r="F943" i="15"/>
  <c r="F824" i="16"/>
  <c r="F1860" i="15"/>
  <c r="F1835" i="16"/>
  <c r="F551" i="16"/>
  <c r="F607" i="15"/>
  <c r="F404" i="15"/>
  <c r="F1041" i="15"/>
  <c r="F299" i="14"/>
  <c r="F355" i="14"/>
  <c r="F721" i="15"/>
  <c r="F706" i="17"/>
  <c r="F199" i="16"/>
  <c r="F791" i="14"/>
  <c r="F1712" i="16"/>
  <c r="F1508" i="16"/>
  <c r="F1578" i="15"/>
  <c r="F212" i="14"/>
  <c r="F334" i="17"/>
  <c r="F996" i="16"/>
  <c r="F1880" i="15"/>
  <c r="F249" i="15"/>
  <c r="F135" i="14"/>
  <c r="F1452" i="15"/>
  <c r="F809" i="14"/>
  <c r="F1058" i="15"/>
  <c r="F1442" i="17"/>
  <c r="F1422" i="17"/>
  <c r="F1117" i="15"/>
  <c r="F847" i="15"/>
  <c r="F332" i="16"/>
  <c r="F544" i="15"/>
  <c r="F1188" i="17"/>
  <c r="F987" i="17"/>
  <c r="F1020" i="16"/>
  <c r="F880" i="15"/>
  <c r="F504" i="16"/>
  <c r="F90" i="16"/>
  <c r="F443" i="15"/>
  <c r="F535" i="15"/>
  <c r="F1777" i="15"/>
  <c r="F1107" i="16"/>
  <c r="F1567" i="16"/>
  <c r="F1808" i="15"/>
  <c r="F1521" i="15"/>
  <c r="F1060" i="15"/>
  <c r="F1300" i="15"/>
  <c r="F917" i="15"/>
  <c r="F1911" i="16"/>
  <c r="F1318" i="15"/>
  <c r="F722" i="14"/>
  <c r="F1607" i="15"/>
  <c r="F1132" i="16"/>
  <c r="F947" i="16"/>
  <c r="F181" i="14"/>
  <c r="F1262" i="16"/>
  <c r="F1719" i="16"/>
  <c r="F1624" i="15"/>
  <c r="F117" i="17"/>
  <c r="F633" i="14"/>
  <c r="F576" i="15"/>
  <c r="F307" i="15"/>
  <c r="F207" i="14"/>
  <c r="F326" i="14"/>
  <c r="F1649" i="16"/>
  <c r="F1171" i="16"/>
  <c r="F244" i="15"/>
  <c r="F669" i="15"/>
  <c r="F1411" i="14"/>
  <c r="F490" i="15"/>
  <c r="F1242" i="15"/>
  <c r="F1113" i="15"/>
  <c r="F279" i="14"/>
  <c r="F1662" i="14"/>
  <c r="F587" i="15"/>
  <c r="F685" i="15"/>
  <c r="F845" i="16"/>
  <c r="F609" i="14"/>
  <c r="F1705" i="14"/>
  <c r="F832" i="16"/>
  <c r="F1448" i="15"/>
  <c r="F175" i="15"/>
  <c r="F542" i="14"/>
  <c r="F835" i="14"/>
  <c r="F1492" i="15"/>
  <c r="F1414" i="15"/>
  <c r="F512" i="16"/>
  <c r="F1557" i="15"/>
  <c r="F946" i="15"/>
  <c r="F570" i="15"/>
  <c r="F331" i="14"/>
  <c r="F1356" i="16"/>
  <c r="F1101" i="16"/>
  <c r="F441" i="16"/>
  <c r="F41" i="16"/>
  <c r="F791" i="15"/>
  <c r="F1782" i="15"/>
  <c r="F1646" i="14"/>
  <c r="F313" i="16"/>
  <c r="F1193" i="15"/>
  <c r="F1504" i="14"/>
  <c r="F396" i="15"/>
  <c r="F568" i="14"/>
  <c r="F412" i="14"/>
  <c r="F1861" i="14"/>
  <c r="F56" i="15"/>
  <c r="F1528" i="15"/>
  <c r="F263" i="14"/>
  <c r="F1584" i="15"/>
  <c r="F715" i="14"/>
  <c r="F994" i="14"/>
  <c r="F712" i="17"/>
  <c r="F1359" i="16"/>
  <c r="F1759" i="16"/>
  <c r="F238" i="17"/>
  <c r="F5" i="16"/>
  <c r="F1118" i="15"/>
  <c r="F741" i="16"/>
  <c r="F252" i="16"/>
  <c r="F342" i="16"/>
  <c r="F567" i="15"/>
  <c r="F626" i="15"/>
  <c r="F582" i="15"/>
  <c r="F642" i="15"/>
  <c r="F518" i="15"/>
  <c r="F1605" i="14"/>
  <c r="F1604" i="15"/>
  <c r="F1255" i="15"/>
  <c r="F1004" i="15"/>
  <c r="F1569" i="15"/>
  <c r="F535" i="14"/>
  <c r="F887" i="14"/>
  <c r="F1057" i="14"/>
  <c r="F995" i="16"/>
  <c r="F269" i="15"/>
  <c r="F1903" i="16"/>
  <c r="F1980" i="15"/>
  <c r="F898" i="16"/>
  <c r="F108" i="14"/>
  <c r="F406" i="16"/>
  <c r="F1805" i="17"/>
  <c r="F317" i="14"/>
  <c r="F1247" i="14"/>
  <c r="F1199" i="17"/>
  <c r="F412" i="16"/>
  <c r="F1274" i="16"/>
  <c r="F1501" i="15"/>
  <c r="F1822" i="17"/>
  <c r="F1387" i="17"/>
  <c r="F166" i="16"/>
  <c r="F1958" i="16"/>
  <c r="F1169" i="15"/>
  <c r="F1361" i="14"/>
  <c r="F1283" i="16"/>
  <c r="F1424" i="16"/>
  <c r="F205" i="16"/>
  <c r="F945" i="16"/>
  <c r="F441" i="14"/>
  <c r="F1736" i="16"/>
  <c r="F133" i="15"/>
  <c r="F73" i="14"/>
  <c r="F1352" i="16"/>
  <c r="F1677" i="16"/>
  <c r="F1590" i="15"/>
  <c r="F64" i="15"/>
  <c r="F1272" i="16"/>
  <c r="F1908" i="15"/>
  <c r="F193" i="16"/>
  <c r="F925" i="14"/>
  <c r="F204" i="15"/>
  <c r="F59" i="15"/>
  <c r="F852" i="15"/>
  <c r="F1799" i="16"/>
  <c r="F482" i="14"/>
  <c r="F127" i="14"/>
  <c r="F1369" i="15"/>
  <c r="F940" i="16"/>
  <c r="F879" i="16"/>
  <c r="F1804" i="15"/>
  <c r="F273" i="15"/>
  <c r="F471" i="15"/>
  <c r="F1406" i="15"/>
  <c r="F277" i="15"/>
  <c r="F301" i="15"/>
  <c r="F875" i="14"/>
  <c r="F31" i="14"/>
  <c r="F621" i="14"/>
  <c r="F1034" i="16"/>
  <c r="F1458" i="14"/>
  <c r="F1457" i="16"/>
  <c r="F1938" i="15"/>
  <c r="F709" i="15"/>
  <c r="F1769" i="17"/>
  <c r="F629" i="15"/>
  <c r="F353" i="14"/>
  <c r="F1980" i="17"/>
  <c r="F319" i="15"/>
  <c r="F1913" i="14"/>
  <c r="F993" i="14"/>
  <c r="F1357" i="15"/>
  <c r="F822" i="17"/>
  <c r="F680" i="15"/>
  <c r="F1446" i="16"/>
  <c r="F574" i="14"/>
  <c r="F1929" i="14"/>
  <c r="F1123" i="16"/>
  <c r="F712" i="14"/>
  <c r="F520" i="15"/>
  <c r="F1500" i="14"/>
  <c r="F22" i="15"/>
  <c r="F226" i="15"/>
  <c r="F1497" i="16"/>
  <c r="F198" i="14"/>
  <c r="F254" i="14"/>
  <c r="F1657" i="15"/>
  <c r="F1897" i="16"/>
  <c r="F1525" i="16"/>
  <c r="F1155" i="17"/>
  <c r="F1855" i="16"/>
  <c r="F215" i="14"/>
  <c r="F675" i="14"/>
  <c r="F1615" i="14"/>
  <c r="F3" i="14"/>
  <c r="F602" i="15"/>
  <c r="F1179" i="17"/>
  <c r="F276" i="17"/>
  <c r="F1535" i="16"/>
  <c r="F431" i="16"/>
  <c r="F1737" i="15"/>
  <c r="F1844" i="15"/>
  <c r="F501" i="16"/>
  <c r="F40" i="15"/>
  <c r="F1063" i="16"/>
  <c r="F144" i="16"/>
  <c r="F1141" i="16"/>
  <c r="F532" i="15"/>
  <c r="F1983" i="14"/>
  <c r="F1474" i="16"/>
  <c r="F128" i="14"/>
  <c r="F73" i="16"/>
  <c r="F1111" i="17"/>
  <c r="F193" i="14"/>
  <c r="F1774" i="16"/>
  <c r="F1968" i="15"/>
  <c r="F1571" i="15"/>
  <c r="F1745" i="15"/>
  <c r="F1482" i="15"/>
  <c r="F1361" i="16"/>
  <c r="F270" i="16"/>
  <c r="F724" i="15"/>
  <c r="F529" i="15"/>
  <c r="F877" i="17"/>
  <c r="F1430" i="16"/>
  <c r="F699" i="14"/>
  <c r="F504" i="15"/>
  <c r="F28" i="16"/>
  <c r="F1905" i="16"/>
  <c r="F1993" i="15"/>
  <c r="F52" i="16"/>
  <c r="F1523" i="17"/>
  <c r="F311" i="15"/>
  <c r="F1295" i="16"/>
  <c r="F1957" i="15"/>
  <c r="F525" i="16"/>
  <c r="F1177" i="15"/>
  <c r="F1014" i="15"/>
  <c r="F654" i="15"/>
  <c r="F1902" i="16"/>
  <c r="F1783" i="15"/>
  <c r="F647" i="14"/>
  <c r="F556" i="14"/>
  <c r="F1314" i="15"/>
  <c r="F1728" i="14"/>
  <c r="F784" i="16"/>
  <c r="F41" i="14"/>
  <c r="F609" i="15"/>
  <c r="F646" i="14"/>
  <c r="F1026" i="16"/>
  <c r="F139" i="14"/>
  <c r="F1733" i="15"/>
  <c r="F142" i="14"/>
  <c r="F1243" i="14"/>
  <c r="F225" i="15"/>
  <c r="F994" i="15"/>
  <c r="F1205" i="15"/>
  <c r="F1886" i="15"/>
  <c r="F421" i="14"/>
  <c r="F692" i="14"/>
  <c r="F1912" i="16"/>
  <c r="F475" i="16"/>
  <c r="F177" i="14"/>
  <c r="F189" i="14"/>
  <c r="F851" i="14"/>
  <c r="F281" i="15"/>
  <c r="F1276" i="14"/>
  <c r="F75" i="16"/>
  <c r="F1996" i="15"/>
  <c r="F79" i="14"/>
  <c r="F689" i="14"/>
  <c r="F869" i="15"/>
  <c r="F546" i="14"/>
  <c r="F1020" i="14"/>
  <c r="F419" i="14"/>
  <c r="F810" i="15"/>
  <c r="F981" i="14"/>
  <c r="F1956" i="15"/>
  <c r="F611" i="14"/>
  <c r="F617" i="14"/>
  <c r="F526" i="14"/>
  <c r="F194" i="16"/>
  <c r="F1144" i="16"/>
  <c r="F391" i="17"/>
  <c r="F102" i="16"/>
  <c r="F629" i="17"/>
  <c r="F1742" i="16"/>
  <c r="F1396" i="16"/>
  <c r="F1413" i="16"/>
  <c r="F1346" i="16"/>
  <c r="F857" i="16"/>
  <c r="F1661" i="16"/>
  <c r="F1012" i="16"/>
  <c r="F61" i="14"/>
  <c r="F1738" i="14"/>
  <c r="F1501" i="16"/>
  <c r="F1872" i="15"/>
  <c r="F843" i="16"/>
  <c r="F136" i="14"/>
  <c r="F1964" i="15"/>
  <c r="F701" i="14"/>
  <c r="F285" i="15"/>
  <c r="F719" i="15"/>
  <c r="F790" i="16"/>
  <c r="F862" i="16"/>
  <c r="F931" i="17"/>
  <c r="F289" i="15"/>
  <c r="F1512" i="15"/>
  <c r="F1239" i="17"/>
  <c r="F602" i="14"/>
  <c r="F1735" i="15"/>
  <c r="F1463" i="16"/>
  <c r="F500" i="15"/>
  <c r="F366" i="16"/>
  <c r="F1481" i="16"/>
  <c r="F1541" i="14"/>
  <c r="F1416" i="15"/>
  <c r="F1830" i="14"/>
  <c r="F539" i="16"/>
  <c r="F1440" i="17"/>
  <c r="F268" i="15"/>
  <c r="F309" i="15"/>
  <c r="F829" i="14"/>
  <c r="F1042" i="14"/>
  <c r="F1861" i="15"/>
  <c r="F389" i="14"/>
  <c r="F383" i="16"/>
  <c r="F1534" i="15"/>
  <c r="F718" i="16"/>
  <c r="F1351" i="15"/>
  <c r="F654" i="17"/>
  <c r="F1267" i="15"/>
  <c r="F1299" i="16"/>
  <c r="F1645" i="15"/>
  <c r="F977" i="17"/>
  <c r="F1913" i="16"/>
  <c r="F235" i="16"/>
  <c r="F259" i="16"/>
  <c r="F1711" i="16"/>
  <c r="F1000" i="17"/>
  <c r="F208" i="15"/>
  <c r="F324" i="15"/>
  <c r="F1278" i="16"/>
  <c r="F1093" i="15"/>
  <c r="F224" i="15"/>
  <c r="F1600" i="16"/>
  <c r="F852" i="17"/>
  <c r="F563" i="16"/>
  <c r="F418" i="15"/>
  <c r="F767" i="15"/>
  <c r="F1667" i="15"/>
  <c r="F336" i="14"/>
  <c r="F1062" i="17"/>
  <c r="F1683" i="16"/>
  <c r="F1130" i="16"/>
  <c r="F1731" i="15"/>
  <c r="F85" i="16"/>
  <c r="F125" i="15"/>
  <c r="F1585" i="16"/>
  <c r="F161" i="16"/>
  <c r="F337" i="14"/>
  <c r="F358" i="17"/>
  <c r="F67" i="16"/>
  <c r="F631" i="15"/>
  <c r="F1192" i="16"/>
  <c r="F1354" i="15"/>
  <c r="F1250" i="14"/>
  <c r="F1902" i="17"/>
  <c r="F19" i="16"/>
  <c r="F668" i="16"/>
  <c r="F773" i="15"/>
  <c r="F994" i="16"/>
  <c r="F1087" i="16"/>
  <c r="F1947" i="15"/>
  <c r="F447" i="15"/>
  <c r="F120" i="16"/>
  <c r="F393" i="15"/>
  <c r="F497" i="15"/>
  <c r="F148" i="15"/>
  <c r="F202" i="16"/>
  <c r="F330" i="16"/>
  <c r="F378" i="15"/>
  <c r="F154" i="15"/>
  <c r="F321" i="15"/>
  <c r="F1948" i="15"/>
  <c r="F536" i="14"/>
  <c r="F40" i="16"/>
  <c r="F538" i="14"/>
  <c r="F1526" i="14"/>
  <c r="F379" i="14"/>
  <c r="F871" i="14"/>
  <c r="F1718" i="16"/>
  <c r="F1958" i="15"/>
  <c r="F15" i="15"/>
  <c r="F818" i="16"/>
  <c r="F1006" i="14"/>
  <c r="F1024" i="16"/>
  <c r="F1877" i="14"/>
  <c r="F951" i="16"/>
  <c r="F1192" i="14"/>
  <c r="F673" i="14"/>
  <c r="F277" i="16"/>
  <c r="F1374" i="15"/>
  <c r="F1110" i="15"/>
  <c r="F1103" i="15"/>
  <c r="F1881" i="14"/>
  <c r="F681" i="16"/>
  <c r="F347" i="16"/>
  <c r="F1157" i="16"/>
  <c r="F1934" i="15"/>
  <c r="F1191" i="16"/>
  <c r="F1149" i="15"/>
  <c r="F1371" i="14"/>
  <c r="F728" i="14"/>
  <c r="F67" i="14"/>
  <c r="F390" i="16"/>
  <c r="F861" i="17"/>
  <c r="F1023" i="16"/>
  <c r="F820" i="16"/>
  <c r="F1052" i="16"/>
  <c r="F1613" i="16"/>
  <c r="F163" i="15"/>
  <c r="F1158" i="16"/>
  <c r="F1266" i="17"/>
  <c r="F610" i="16"/>
  <c r="F1270" i="16"/>
  <c r="F517" i="15"/>
  <c r="F920" i="15"/>
  <c r="F267" i="14"/>
  <c r="F1990" i="15"/>
  <c r="F906" i="15"/>
  <c r="F183" i="16"/>
  <c r="F381" i="16"/>
  <c r="F316" i="16"/>
  <c r="F388" i="14"/>
  <c r="F146" i="16"/>
  <c r="F635" i="15"/>
  <c r="F911" i="16"/>
  <c r="F36" i="16"/>
  <c r="F606" i="17"/>
  <c r="F884" i="15"/>
  <c r="F1088" i="15"/>
  <c r="F1895" i="15"/>
  <c r="F1544" i="16"/>
  <c r="F355" i="17"/>
  <c r="F671" i="14"/>
  <c r="F498" i="17"/>
  <c r="F1941" i="16"/>
  <c r="F62" i="15"/>
  <c r="F1007" i="15"/>
  <c r="F557" i="14"/>
  <c r="F802" i="15"/>
  <c r="F1640" i="15"/>
  <c r="F1259" i="15"/>
  <c r="F1166" i="15"/>
  <c r="F420" i="16"/>
  <c r="F9" i="14"/>
  <c r="F346" i="16"/>
  <c r="F595" i="15"/>
  <c r="F326" i="15"/>
  <c r="F422" i="15"/>
  <c r="F1412" i="14"/>
  <c r="F640" i="17"/>
  <c r="F1017" i="16"/>
  <c r="F1765" i="16"/>
  <c r="F780" i="16"/>
  <c r="F223" i="15"/>
  <c r="F777" i="16"/>
  <c r="F854" i="16"/>
  <c r="F724" i="14"/>
  <c r="F517" i="14"/>
  <c r="F1576" i="14"/>
  <c r="F188" i="14"/>
  <c r="F1053" i="16"/>
  <c r="F448" i="14"/>
  <c r="F671" i="17"/>
  <c r="F1453" i="16"/>
  <c r="F50" i="16"/>
  <c r="F1006" i="15"/>
  <c r="F934" i="15"/>
  <c r="F1198" i="16"/>
  <c r="F1476" i="16"/>
  <c r="F861" i="14"/>
  <c r="F106" i="14"/>
  <c r="F1562" i="15"/>
  <c r="F103" i="15"/>
  <c r="F737" i="15"/>
  <c r="F528" i="17"/>
  <c r="F1315" i="17"/>
  <c r="F1020" i="15"/>
  <c r="F618" i="15"/>
  <c r="F553" i="16"/>
  <c r="F1324" i="16"/>
  <c r="F938" i="16"/>
  <c r="F1664" i="15"/>
  <c r="F701" i="15"/>
  <c r="F798" i="15"/>
  <c r="F666" i="15"/>
  <c r="F1203" i="15"/>
  <c r="F1621" i="15"/>
  <c r="F1262" i="17"/>
  <c r="F1629" i="15"/>
  <c r="F886" i="14"/>
  <c r="F1194" i="15"/>
  <c r="F975" i="14"/>
  <c r="F1754" i="16"/>
  <c r="F772" i="16"/>
  <c r="F122" i="17"/>
  <c r="F1795" i="16"/>
  <c r="F336" i="16"/>
  <c r="F1549" i="16"/>
  <c r="F912" i="16"/>
  <c r="F1874" i="16"/>
  <c r="F1722" i="14"/>
  <c r="F475" i="15"/>
  <c r="F54" i="16"/>
  <c r="F604" i="15"/>
  <c r="F872" i="15"/>
  <c r="F1404" i="16"/>
  <c r="F1923" i="16"/>
  <c r="F1449" i="16"/>
  <c r="F1947" i="16"/>
  <c r="F140" i="16"/>
  <c r="F1609" i="16"/>
  <c r="F1324" i="15"/>
  <c r="F599" i="15"/>
  <c r="F501" i="14"/>
  <c r="F141" i="14"/>
  <c r="F411" i="15"/>
  <c r="F1713" i="15"/>
  <c r="F1363" i="14"/>
  <c r="F1278" i="15"/>
  <c r="F938" i="15"/>
  <c r="F720" i="15"/>
  <c r="F140" i="15"/>
  <c r="F1912" i="14"/>
  <c r="F1099" i="14"/>
  <c r="F1176" i="15"/>
  <c r="F1522" i="16"/>
  <c r="F1544" i="15"/>
  <c r="F748" i="14"/>
  <c r="F1597" i="15"/>
  <c r="F902" i="15"/>
  <c r="F1974" i="14"/>
  <c r="F1826" i="17"/>
  <c r="F476" i="15"/>
  <c r="F1966" i="16"/>
  <c r="F1722" i="15"/>
  <c r="F23" i="16"/>
  <c r="F302" i="14"/>
  <c r="F1223" i="15"/>
  <c r="F487" i="14"/>
  <c r="F1432" i="14"/>
  <c r="F1891" i="16"/>
  <c r="F430" i="16"/>
  <c r="F519" i="14"/>
  <c r="F1939" i="16"/>
  <c r="F1802" i="14"/>
  <c r="F823" i="15"/>
  <c r="F1889" i="16"/>
  <c r="F99" i="15"/>
  <c r="F1684" i="15"/>
  <c r="F757" i="14"/>
  <c r="F465" i="15"/>
  <c r="F1296" i="15"/>
  <c r="F83" i="15"/>
  <c r="F1420" i="15"/>
  <c r="F1494" i="14"/>
  <c r="F646" i="16"/>
  <c r="F1829" i="17"/>
  <c r="F150" i="16"/>
  <c r="F243" i="17"/>
  <c r="F1975" i="16"/>
  <c r="F1646" i="16"/>
  <c r="F559" i="15"/>
  <c r="F78" i="17"/>
  <c r="F492" i="16"/>
  <c r="F720" i="16"/>
  <c r="F1427" i="16"/>
  <c r="F17" i="16"/>
  <c r="F708" i="14"/>
  <c r="F1224" i="15"/>
  <c r="F1799" i="14"/>
  <c r="F702" i="16"/>
  <c r="F969" i="17"/>
  <c r="F1748" i="16"/>
  <c r="F454" i="15"/>
  <c r="F456" i="14"/>
  <c r="F1141" i="15"/>
  <c r="F530" i="15"/>
  <c r="F1701" i="16"/>
  <c r="F761" i="15"/>
  <c r="F896" i="17"/>
  <c r="F530" i="16"/>
  <c r="F115" i="14"/>
  <c r="F1835" i="15"/>
  <c r="F380" i="16"/>
  <c r="F1422" i="16"/>
  <c r="F225" i="16"/>
  <c r="F1335" i="15"/>
  <c r="F1368" i="15"/>
  <c r="F1692" i="15"/>
  <c r="F1500" i="16"/>
  <c r="F1058" i="14"/>
  <c r="F646" i="15"/>
  <c r="F742" i="14"/>
  <c r="F717" i="16"/>
  <c r="F800" i="16"/>
  <c r="F1903" i="15"/>
  <c r="F1819" i="16"/>
  <c r="F828" i="15"/>
  <c r="F807" i="14"/>
  <c r="F303" i="15"/>
  <c r="F1197" i="15"/>
  <c r="F411" i="14"/>
  <c r="F864" i="15"/>
  <c r="F1692" i="16"/>
  <c r="F966" i="16"/>
  <c r="F145" i="15"/>
  <c r="F1376" i="16"/>
  <c r="F1194" i="16"/>
  <c r="F675" i="15"/>
  <c r="F176" i="15"/>
  <c r="F1240" i="15"/>
  <c r="F203" i="14"/>
  <c r="F582" i="14"/>
  <c r="F1785" i="16"/>
  <c r="F1065" i="15"/>
  <c r="F1459" i="15"/>
  <c r="F1163" i="15"/>
  <c r="F1199" i="14"/>
  <c r="F356" i="14"/>
  <c r="F1777" i="16"/>
  <c r="F987" i="16"/>
  <c r="F1407" i="16"/>
  <c r="F150" i="15"/>
  <c r="F1023" i="15"/>
  <c r="F1686" i="15"/>
  <c r="F12" i="15"/>
  <c r="F1344" i="15"/>
  <c r="F594" i="14"/>
  <c r="F499" i="14"/>
  <c r="F279" i="16"/>
  <c r="F628" i="15"/>
  <c r="F1375" i="14"/>
  <c r="F843" i="14"/>
  <c r="F1332" i="14"/>
  <c r="F1892" i="15"/>
  <c r="F1694" i="14"/>
  <c r="F732" i="16"/>
  <c r="F1241" i="15"/>
  <c r="F1564" i="15"/>
  <c r="F1135" i="14"/>
  <c r="F211" i="17"/>
  <c r="F1709" i="17"/>
  <c r="F1971" i="17"/>
  <c r="F1667" i="16"/>
  <c r="F933" i="15"/>
  <c r="F691" i="15"/>
  <c r="F1945" i="16"/>
  <c r="F1982" i="15"/>
  <c r="F636" i="16"/>
  <c r="F1136" i="15"/>
  <c r="F24" i="15"/>
  <c r="F1778" i="15"/>
  <c r="F862" i="14"/>
  <c r="F1613" i="15"/>
  <c r="F591" i="16"/>
  <c r="F465" i="16"/>
  <c r="F172" i="17"/>
  <c r="F79" i="15"/>
  <c r="F1431" i="15"/>
  <c r="F1803" i="14"/>
  <c r="F955" i="15"/>
  <c r="F1121" i="16"/>
  <c r="F1892" i="17"/>
  <c r="F320" i="16"/>
  <c r="F1862" i="16"/>
  <c r="F1594" i="15"/>
  <c r="F127" i="15"/>
  <c r="F1489" i="16"/>
  <c r="F988" i="16"/>
  <c r="F511" i="16"/>
  <c r="F1436" i="16"/>
  <c r="F293" i="16"/>
  <c r="F122" i="14"/>
  <c r="F939" i="16"/>
  <c r="F172" i="16"/>
  <c r="F260" i="15"/>
  <c r="F1466" i="15"/>
  <c r="F930" i="15"/>
  <c r="F290" i="16"/>
  <c r="F1153" i="15"/>
  <c r="F1712" i="15"/>
  <c r="F197" i="14"/>
  <c r="F1052" i="14"/>
  <c r="F439" i="16"/>
  <c r="F1014" i="14"/>
  <c r="F1242" i="14"/>
  <c r="F1685" i="15"/>
  <c r="F1413" i="15"/>
  <c r="F988" i="17"/>
  <c r="F702" i="15"/>
  <c r="F541" i="15"/>
  <c r="F1055" i="16"/>
  <c r="F811" i="14"/>
  <c r="F433" i="14"/>
  <c r="F993" i="15"/>
  <c r="F1905" i="15"/>
  <c r="F1535" i="15"/>
  <c r="F1842" i="14"/>
  <c r="F1770" i="16"/>
  <c r="F1210" i="16"/>
  <c r="F1662" i="15"/>
  <c r="F1195" i="16"/>
  <c r="F1017" i="15"/>
  <c r="F953" i="15"/>
  <c r="F1437" i="16"/>
  <c r="F673" i="15"/>
  <c r="F602" i="16"/>
  <c r="F335" i="14"/>
  <c r="F1762" i="14"/>
  <c r="F460" i="14"/>
  <c r="F1052" i="15"/>
  <c r="F1923" i="15"/>
  <c r="F231" i="14"/>
  <c r="F685" i="14"/>
  <c r="F1821" i="15"/>
  <c r="F1567" i="14"/>
  <c r="F473" i="15"/>
  <c r="F327" i="14"/>
  <c r="F1810" i="14"/>
  <c r="F1219" i="15"/>
  <c r="F125" i="14"/>
  <c r="F760" i="15"/>
  <c r="F312" i="14"/>
  <c r="F83" i="14"/>
  <c r="F427" i="15"/>
  <c r="F1160" i="14"/>
  <c r="F424" i="16"/>
  <c r="F1294" i="15"/>
  <c r="F1255" i="16"/>
  <c r="F1197" i="14"/>
  <c r="F47" i="14"/>
  <c r="F1555" i="14"/>
  <c r="F1339" i="15"/>
  <c r="F595" i="14"/>
  <c r="F1664" i="16"/>
  <c r="F158" i="15"/>
  <c r="F638" i="16"/>
  <c r="F1711" i="15"/>
  <c r="F1399" i="15"/>
  <c r="F1678" i="15"/>
  <c r="F1780" i="15"/>
  <c r="F1124" i="15"/>
  <c r="F788" i="15"/>
  <c r="F1137" i="17"/>
  <c r="F1793" i="16"/>
  <c r="F889" i="15"/>
  <c r="F523" i="15"/>
  <c r="F737" i="16"/>
  <c r="F1106" i="15"/>
  <c r="F1518" i="15"/>
  <c r="F979" i="15"/>
  <c r="F1352" i="14"/>
  <c r="F973" i="16"/>
  <c r="F1631" i="15"/>
  <c r="F1898" i="14"/>
  <c r="F281" i="14"/>
  <c r="F1611" i="15"/>
  <c r="F766" i="14"/>
  <c r="F1411" i="15"/>
  <c r="F116" i="14"/>
  <c r="F1750" i="15"/>
  <c r="F1918" i="16"/>
  <c r="F238" i="14"/>
  <c r="F617" i="17"/>
  <c r="F498" i="15"/>
  <c r="F373" i="14"/>
  <c r="F1894" i="17"/>
  <c r="F1826" i="15"/>
  <c r="F1742" i="15"/>
  <c r="F575" i="15"/>
  <c r="F213" i="15"/>
  <c r="F1930" i="15"/>
  <c r="F566" i="15"/>
  <c r="F552" i="14"/>
  <c r="F1552" i="16"/>
  <c r="F984" i="14"/>
  <c r="F1878" i="15"/>
  <c r="F596" i="15"/>
  <c r="F180" i="14"/>
  <c r="F717" i="15"/>
  <c r="F1571" i="14"/>
  <c r="F1499" i="14"/>
  <c r="F1186" i="15"/>
  <c r="F886" i="16"/>
  <c r="F1905" i="17"/>
  <c r="F310" i="15"/>
  <c r="F1566" i="16"/>
  <c r="F1538" i="16"/>
  <c r="F106" i="16"/>
  <c r="F1122" i="16"/>
  <c r="F367" i="14"/>
  <c r="F587" i="16"/>
  <c r="F156" i="14"/>
  <c r="F898" i="14"/>
  <c r="F1289" i="14"/>
  <c r="F93" i="16"/>
  <c r="F1745" i="16"/>
  <c r="F1628" i="15"/>
  <c r="F1145" i="14"/>
  <c r="F1120" i="16"/>
  <c r="F109" i="14"/>
  <c r="F520" i="14"/>
  <c r="F1783" i="14"/>
  <c r="F84" i="15"/>
  <c r="F1330" i="14"/>
  <c r="F945" i="14"/>
  <c r="F187" i="14"/>
  <c r="F182" i="14"/>
  <c r="F1046" i="14"/>
  <c r="F1227" i="15"/>
  <c r="F601" i="15"/>
  <c r="F1196" i="14"/>
  <c r="F218" i="15"/>
  <c r="F1666" i="15"/>
  <c r="F1645" i="14"/>
  <c r="F1407" i="15"/>
  <c r="F291" i="17"/>
  <c r="F1000" i="14"/>
  <c r="F564" i="15"/>
  <c r="F763" i="14"/>
  <c r="F1172" i="15"/>
  <c r="F532" i="14"/>
  <c r="F785" i="15"/>
  <c r="F485" i="14"/>
  <c r="F32" i="15"/>
  <c r="F1561" i="14"/>
  <c r="F1008" i="15"/>
  <c r="F964" i="14"/>
  <c r="F1133" i="14"/>
  <c r="F27" i="14"/>
  <c r="F911" i="15"/>
  <c r="F1723" i="14"/>
  <c r="F1455" i="14"/>
  <c r="F693" i="14"/>
  <c r="F1931" i="14"/>
  <c r="F1031" i="15"/>
  <c r="F619" i="14"/>
  <c r="F1019" i="15"/>
  <c r="F1108" i="14"/>
  <c r="F120" i="15"/>
  <c r="F551" i="15"/>
  <c r="F1937" i="16"/>
  <c r="F1572" i="15"/>
  <c r="F1616" i="15"/>
  <c r="F719" i="14"/>
  <c r="F1294" i="14"/>
  <c r="F1265" i="14"/>
  <c r="F1959" i="14"/>
  <c r="F1017" i="14"/>
  <c r="F1556" i="14"/>
  <c r="F1894" i="15"/>
  <c r="F1511" i="14"/>
  <c r="F131" i="15"/>
  <c r="F929" i="15"/>
  <c r="F1347" i="14"/>
  <c r="F1148" i="14"/>
  <c r="F655" i="15"/>
  <c r="F420" i="15"/>
  <c r="F916" i="15"/>
  <c r="F1047" i="16"/>
  <c r="F1649" i="14"/>
  <c r="F977" i="14"/>
  <c r="F1289" i="15"/>
  <c r="F1784" i="14"/>
  <c r="F952" i="14"/>
  <c r="F1831" i="15"/>
  <c r="F262" i="14"/>
  <c r="F1866" i="14"/>
  <c r="F1003" i="14"/>
  <c r="F580" i="14"/>
  <c r="F884" i="14"/>
  <c r="F1699" i="14"/>
  <c r="F1655" i="16"/>
  <c r="F637" i="14"/>
  <c r="F814" i="14"/>
  <c r="F1689" i="14"/>
  <c r="F241" i="14"/>
  <c r="F1984" i="15"/>
  <c r="F1395" i="15"/>
  <c r="F523" i="14"/>
  <c r="F1828" i="14"/>
  <c r="F597" i="14"/>
  <c r="F1787" i="17"/>
  <c r="F1227" i="16"/>
  <c r="F1995" i="15"/>
  <c r="F386" i="15"/>
  <c r="F1852" i="15"/>
  <c r="F3" i="15"/>
  <c r="F996" i="15"/>
  <c r="F1382" i="16"/>
  <c r="F753" i="14"/>
  <c r="F1813" i="16"/>
  <c r="F462" i="15"/>
  <c r="F435" i="14"/>
  <c r="F1576" i="16"/>
  <c r="F1512" i="14"/>
  <c r="F1103" i="16"/>
  <c r="F901" i="14"/>
  <c r="F496" i="16"/>
  <c r="F1928" i="15"/>
  <c r="F969" i="15"/>
  <c r="F991" i="15"/>
  <c r="F349" i="15"/>
  <c r="F955" i="14"/>
  <c r="F860" i="15"/>
  <c r="F1739" i="14"/>
  <c r="F1427" i="14"/>
  <c r="F1575" i="15"/>
  <c r="F584" i="15"/>
  <c r="F494" i="16"/>
  <c r="F936" i="15"/>
  <c r="F1405" i="15"/>
  <c r="F1997" i="14"/>
  <c r="F1173" i="14"/>
  <c r="F676" i="15"/>
  <c r="F979" i="14"/>
  <c r="F1864" i="15"/>
  <c r="F1099" i="15"/>
  <c r="F860" i="14"/>
  <c r="F102" i="14"/>
  <c r="F1997" i="17"/>
  <c r="F1627" i="16"/>
  <c r="F293" i="14"/>
  <c r="F236" i="14"/>
  <c r="F938" i="14"/>
  <c r="F1437" i="14"/>
  <c r="F768" i="15"/>
  <c r="F2000" i="14"/>
  <c r="F515" i="15"/>
  <c r="F1471" i="14"/>
  <c r="F1583" i="14"/>
  <c r="F1785" i="15"/>
  <c r="F589" i="15"/>
  <c r="F1936" i="14"/>
  <c r="F1578" i="14"/>
  <c r="F900" i="15"/>
  <c r="F1258" i="14"/>
  <c r="F725" i="14"/>
  <c r="F1346" i="14"/>
  <c r="F1903" i="14"/>
  <c r="F572" i="14"/>
  <c r="F809" i="15"/>
  <c r="F1442" i="14"/>
  <c r="F251" i="14"/>
  <c r="F1717" i="14"/>
  <c r="F928" i="15"/>
  <c r="F1448" i="14"/>
  <c r="F1306" i="14"/>
  <c r="F1890" i="14"/>
  <c r="F145" i="14"/>
  <c r="F830" i="14"/>
  <c r="F1894" i="14"/>
  <c r="F1658" i="14"/>
  <c r="F1226" i="14"/>
  <c r="F1934" i="14"/>
  <c r="F293" i="17"/>
  <c r="F314" i="14"/>
  <c r="F1087" i="14"/>
  <c r="F1970" i="15"/>
  <c r="F1551" i="15"/>
  <c r="F1271" i="15"/>
  <c r="F864" i="14"/>
  <c r="F1333" i="14"/>
  <c r="F300" i="15"/>
  <c r="F158" i="14"/>
  <c r="F505" i="14"/>
  <c r="F271" i="14"/>
  <c r="F953" i="14"/>
  <c r="F49" i="15"/>
  <c r="F1917" i="14"/>
  <c r="F1074" i="15"/>
  <c r="F1892" i="14"/>
  <c r="F756" i="14"/>
  <c r="F1845" i="16"/>
  <c r="F494" i="15"/>
  <c r="F623" i="15"/>
  <c r="F249" i="16"/>
  <c r="F1776" i="16"/>
  <c r="F1648" i="14"/>
  <c r="F479" i="14"/>
  <c r="F811" i="15"/>
  <c r="F126" i="16"/>
  <c r="F1720" i="16"/>
  <c r="F586" i="15"/>
  <c r="F1740" i="14"/>
  <c r="F579" i="15"/>
  <c r="F578" i="14"/>
  <c r="F76" i="15"/>
  <c r="F1209" i="14"/>
  <c r="F1794" i="16"/>
  <c r="F1832" i="16"/>
  <c r="F310" i="14"/>
  <c r="F1084" i="15"/>
  <c r="F342" i="15"/>
  <c r="F443" i="14"/>
  <c r="F612" i="14"/>
  <c r="F1405" i="16"/>
  <c r="F759" i="16"/>
  <c r="F1053" i="15"/>
  <c r="F820" i="15"/>
  <c r="F1299" i="15"/>
  <c r="F354" i="14"/>
  <c r="F1870" i="16"/>
  <c r="F118" i="16"/>
  <c r="F1064" i="15"/>
  <c r="F1516" i="15"/>
  <c r="F1965" i="15"/>
  <c r="F1146" i="15"/>
  <c r="F850" i="14"/>
  <c r="F1739" i="17"/>
  <c r="F1037" i="15"/>
  <c r="F279" i="15"/>
  <c r="F514" i="15"/>
  <c r="F1101" i="15"/>
  <c r="F1849" i="14"/>
  <c r="F1383" i="15"/>
  <c r="F1175" i="16"/>
  <c r="F1581" i="15"/>
  <c r="F1245" i="16"/>
  <c r="F1610" i="14"/>
  <c r="F211" i="15"/>
  <c r="F1443" i="15"/>
  <c r="F1949" i="16"/>
  <c r="F315" i="16"/>
  <c r="F1770" i="14"/>
  <c r="F787" i="14"/>
  <c r="F625" i="14"/>
  <c r="F1618" i="15"/>
  <c r="F461" i="15"/>
  <c r="F1187" i="17"/>
  <c r="F401" i="15"/>
  <c r="F687" i="15"/>
  <c r="F1702" i="15"/>
  <c r="F547" i="16"/>
  <c r="F219" i="15"/>
  <c r="F391" i="15"/>
  <c r="F152" i="14"/>
  <c r="F1757" i="16"/>
  <c r="F1538" i="15"/>
  <c r="F1228" i="16"/>
  <c r="F291" i="16"/>
  <c r="F220" i="15"/>
  <c r="F1554" i="16"/>
  <c r="F1614" i="15"/>
  <c r="F1071" i="16"/>
  <c r="F1140" i="15"/>
  <c r="F1681" i="15"/>
  <c r="F1736" i="14"/>
  <c r="F554" i="15"/>
  <c r="F51" i="14"/>
  <c r="F727" i="15"/>
  <c r="F1954" i="15"/>
  <c r="F1786" i="15"/>
  <c r="F169" i="15"/>
  <c r="F1550" i="14"/>
  <c r="F194" i="14"/>
  <c r="F1865" i="16"/>
  <c r="F1843" i="16"/>
  <c r="F1988" i="15"/>
  <c r="F1545" i="14"/>
  <c r="F33" i="16"/>
  <c r="F1825" i="15"/>
  <c r="F21" i="16"/>
  <c r="F1713" i="14"/>
  <c r="F1992" i="15"/>
  <c r="F974" i="15"/>
  <c r="F102" i="15"/>
  <c r="F1494" i="15"/>
  <c r="F1325" i="15"/>
  <c r="F635" i="14"/>
  <c r="F682" i="14"/>
  <c r="F1489" i="14"/>
  <c r="F117" i="14"/>
  <c r="F1779" i="14"/>
  <c r="F272" i="15"/>
  <c r="F1337" i="14"/>
  <c r="F1803" i="15"/>
  <c r="F839" i="14"/>
  <c r="F155" i="16"/>
  <c r="F1780" i="16"/>
  <c r="F80" i="14"/>
  <c r="F970" i="15"/>
  <c r="F332" i="17"/>
  <c r="F524" i="15"/>
  <c r="F483" i="15"/>
  <c r="F1984" i="16"/>
  <c r="F789" i="14"/>
  <c r="F1798" i="16"/>
  <c r="F54" i="15"/>
  <c r="F301" i="14"/>
  <c r="F282" i="16"/>
  <c r="F750" i="15"/>
  <c r="F656" i="15"/>
  <c r="F1266" i="14"/>
  <c r="F605" i="15"/>
  <c r="F57" i="16"/>
  <c r="F1816" i="14"/>
  <c r="F934" i="14"/>
  <c r="F282" i="14"/>
  <c r="F1730" i="15"/>
  <c r="F790" i="15"/>
  <c r="F450" i="15"/>
  <c r="F1521" i="14"/>
  <c r="F606" i="14"/>
  <c r="F1522" i="15"/>
  <c r="F1295" i="14"/>
  <c r="F439" i="14"/>
  <c r="F930" i="16"/>
  <c r="F1319" i="15"/>
  <c r="F1602" i="16"/>
  <c r="F837" i="15"/>
  <c r="F1687" i="15"/>
  <c r="F1922" i="15"/>
  <c r="F697" i="14"/>
  <c r="F1852" i="14"/>
  <c r="F906" i="14"/>
  <c r="F706" i="16"/>
  <c r="F1455" i="15"/>
  <c r="F1683" i="14"/>
  <c r="F1407" i="14"/>
  <c r="F365" i="15"/>
  <c r="F1321" i="15"/>
  <c r="F1967" i="14"/>
  <c r="F727" i="14"/>
  <c r="F516" i="14"/>
  <c r="F991" i="14"/>
  <c r="F1349" i="14"/>
  <c r="F1585" i="14"/>
  <c r="F437" i="14"/>
  <c r="F1335" i="14"/>
  <c r="F664" i="14"/>
  <c r="F1598" i="14"/>
  <c r="F175" i="14"/>
  <c r="F1188" i="14"/>
  <c r="F1387" i="14"/>
  <c r="F614" i="14"/>
  <c r="F854" i="14"/>
  <c r="F352" i="14"/>
  <c r="F381" i="14"/>
  <c r="F305" i="15"/>
  <c r="F1616" i="14"/>
  <c r="F458" i="15"/>
  <c r="F1527" i="16"/>
  <c r="F1999" i="15"/>
  <c r="F712" i="16"/>
  <c r="F1478" i="15"/>
  <c r="F869" i="14"/>
  <c r="F1051" i="16"/>
  <c r="F72" i="14"/>
  <c r="F330" i="14"/>
  <c r="F1066" i="14"/>
  <c r="F531" i="15"/>
  <c r="F1480" i="14"/>
  <c r="F345" i="15"/>
  <c r="F847" i="14"/>
  <c r="F1529" i="15"/>
  <c r="F700" i="15"/>
  <c r="F1498" i="14"/>
  <c r="F1833" i="15"/>
  <c r="F1070" i="15"/>
  <c r="F524" i="16"/>
  <c r="F124" i="14"/>
  <c r="F1532" i="15"/>
  <c r="F590" i="15"/>
  <c r="F1267" i="14"/>
  <c r="F267" i="15"/>
  <c r="F548" i="14"/>
  <c r="F1322" i="14"/>
  <c r="F592" i="14"/>
  <c r="F1539" i="15"/>
  <c r="F1825" i="14"/>
  <c r="F944" i="15"/>
  <c r="F1835" i="14"/>
  <c r="F1807" i="14"/>
  <c r="F732" i="14"/>
  <c r="F632" i="14"/>
  <c r="F743" i="14"/>
  <c r="F710" i="14"/>
  <c r="F984" i="15"/>
  <c r="F1312" i="17"/>
  <c r="F1272" i="15"/>
  <c r="F83" i="16"/>
  <c r="F1062" i="14"/>
  <c r="F1612" i="16"/>
  <c r="F1639" i="16"/>
  <c r="F1222" i="15"/>
  <c r="F405" i="15"/>
  <c r="F1399" i="14"/>
  <c r="F672" i="16"/>
  <c r="F1395" i="14"/>
  <c r="F1575" i="14"/>
  <c r="F1517" i="16"/>
  <c r="F1045" i="16"/>
  <c r="F11" i="17"/>
  <c r="F336" i="15"/>
  <c r="F1328" i="15"/>
  <c r="F397" i="15"/>
  <c r="F1231" i="14"/>
  <c r="F433" i="16"/>
  <c r="F1943" i="14"/>
  <c r="F551" i="14"/>
  <c r="F1024" i="14"/>
  <c r="F1717" i="16"/>
  <c r="F1914" i="15"/>
  <c r="F733" i="14"/>
  <c r="F1450" i="14"/>
  <c r="F1064" i="14"/>
  <c r="F1181" i="14"/>
  <c r="F1994" i="16"/>
  <c r="F33" i="15"/>
  <c r="F1815" i="14"/>
  <c r="F973" i="15"/>
  <c r="F341" i="15"/>
  <c r="F409" i="15"/>
  <c r="F570" i="14"/>
  <c r="F677" i="14"/>
  <c r="F1264" i="15"/>
  <c r="F663" i="16"/>
  <c r="F423" i="15"/>
  <c r="F1338" i="15"/>
  <c r="F1642" i="14"/>
  <c r="F1809" i="15"/>
  <c r="F1860" i="14"/>
  <c r="F810" i="14"/>
  <c r="F718" i="14"/>
  <c r="F1530" i="14"/>
  <c r="F1651" i="14"/>
  <c r="F1051" i="14"/>
  <c r="F477" i="14"/>
  <c r="F1452" i="14"/>
  <c r="F862" i="15"/>
  <c r="F1480" i="15"/>
  <c r="F1309" i="14"/>
  <c r="F1138" i="15"/>
  <c r="F552" i="15"/>
  <c r="F733" i="15"/>
  <c r="F1642" i="15"/>
  <c r="F593" i="14"/>
  <c r="F342" i="14"/>
  <c r="F817" i="14"/>
  <c r="F307" i="14"/>
  <c r="F440" i="14"/>
  <c r="F1760" i="14"/>
  <c r="F1834" i="15"/>
  <c r="F1476" i="15"/>
  <c r="F1359" i="14"/>
  <c r="F27" i="15"/>
  <c r="F1817" i="14"/>
  <c r="F287" i="15"/>
  <c r="F1491" i="14"/>
  <c r="F1953" i="14"/>
  <c r="F552" i="16"/>
  <c r="F1786" i="16"/>
  <c r="F921" i="14"/>
  <c r="F1566" i="15"/>
  <c r="F1216" i="15"/>
  <c r="F1056" i="14"/>
  <c r="F1769" i="15"/>
  <c r="F1036" i="16"/>
  <c r="F1976" i="15"/>
  <c r="F1065" i="14"/>
  <c r="F653" i="14"/>
  <c r="F1700" i="14"/>
  <c r="F1772" i="15"/>
  <c r="F248" i="16"/>
  <c r="F1143" i="16"/>
  <c r="F1610" i="15"/>
  <c r="F1939" i="17"/>
  <c r="F1446" i="15"/>
  <c r="F1125" i="17"/>
  <c r="F1479" i="16"/>
  <c r="F894" i="15"/>
  <c r="F469" i="15"/>
  <c r="F1979" i="15"/>
  <c r="F1561" i="15"/>
  <c r="F1966" i="15"/>
  <c r="F98" i="15"/>
  <c r="F1474" i="15"/>
  <c r="F515" i="14"/>
  <c r="F1332" i="16"/>
  <c r="F471" i="16"/>
  <c r="F1805" i="15"/>
  <c r="F1050" i="14"/>
  <c r="F554" i="14"/>
  <c r="F1402" i="15"/>
  <c r="F1425" i="15"/>
  <c r="F280" i="16"/>
  <c r="F1846" i="14"/>
  <c r="F325" i="14"/>
  <c r="F885" i="15"/>
  <c r="F1939" i="14"/>
  <c r="F1097" i="15"/>
  <c r="F548" i="15"/>
  <c r="F1461" i="16"/>
  <c r="F810" i="17"/>
  <c r="F186" i="16"/>
  <c r="F573" i="15"/>
  <c r="F950" i="15"/>
  <c r="F1600" i="15"/>
  <c r="F1042" i="15"/>
  <c r="F597" i="15"/>
  <c r="F785" i="14"/>
  <c r="F1375" i="16"/>
  <c r="F196" i="15"/>
  <c r="F650" i="14"/>
  <c r="F1449" i="15"/>
  <c r="F1151" i="14"/>
  <c r="F636" i="15"/>
  <c r="F1409" i="14"/>
  <c r="F351" i="16"/>
  <c r="F1142" i="14"/>
  <c r="F1926" i="14"/>
  <c r="F501" i="15"/>
  <c r="F1735" i="16"/>
  <c r="F1639" i="15"/>
  <c r="F1429" i="16"/>
  <c r="F23" i="14"/>
  <c r="F1960" i="16"/>
  <c r="F436" i="14"/>
  <c r="F602" i="17"/>
  <c r="F1725" i="16"/>
  <c r="F825" i="15"/>
  <c r="F48" i="16"/>
  <c r="F286" i="14"/>
  <c r="F1932" i="15"/>
  <c r="F1897" i="15"/>
  <c r="F652" i="14"/>
  <c r="F1906" i="16"/>
  <c r="F882" i="16"/>
  <c r="F1955" i="16"/>
  <c r="F168" i="14"/>
  <c r="F1706" i="15"/>
  <c r="F1850" i="14"/>
  <c r="F608" i="14"/>
  <c r="F444" i="14"/>
  <c r="F87" i="14"/>
  <c r="F848" i="14"/>
  <c r="F477" i="15"/>
  <c r="F1619" i="14"/>
  <c r="F1558" i="15"/>
  <c r="F1596" i="14"/>
  <c r="F32" i="16"/>
  <c r="F563" i="14"/>
  <c r="F1697" i="15"/>
  <c r="F823" i="14"/>
  <c r="F1180" i="14"/>
  <c r="F1766" i="14"/>
  <c r="F796" i="14"/>
  <c r="F19" i="14"/>
  <c r="F1210" i="15"/>
  <c r="F1484" i="14"/>
  <c r="F1359" i="15"/>
  <c r="F1488" i="14"/>
  <c r="F350" i="14"/>
  <c r="F1239" i="14"/>
  <c r="F736" i="14"/>
  <c r="F1272" i="14"/>
  <c r="F275" i="15"/>
  <c r="F1886" i="14"/>
  <c r="F547" i="15"/>
  <c r="F1248" i="14"/>
  <c r="F567" i="14"/>
  <c r="F909" i="14"/>
  <c r="F1812" i="15"/>
  <c r="F401" i="14"/>
  <c r="F1683" i="15"/>
  <c r="F1018" i="14"/>
  <c r="F1206" i="14"/>
  <c r="F130" i="14"/>
  <c r="F1100" i="14"/>
  <c r="F1814" i="14"/>
  <c r="F1887" i="14"/>
  <c r="F485" i="15"/>
  <c r="F775" i="14"/>
  <c r="F604" i="14"/>
  <c r="F1764" i="14"/>
  <c r="F1637" i="14"/>
  <c r="F1944" i="14"/>
  <c r="F1110" i="14"/>
  <c r="F376" i="14"/>
  <c r="F1398" i="16"/>
  <c r="F1032" i="15"/>
  <c r="F250" i="14"/>
  <c r="F1680" i="14"/>
  <c r="F1178" i="15"/>
  <c r="F199" i="14"/>
  <c r="F205" i="14"/>
  <c r="F714" i="14"/>
  <c r="F1780" i="14"/>
  <c r="F304" i="16"/>
  <c r="F658" i="14"/>
  <c r="F775" i="15"/>
  <c r="F1413" i="14"/>
  <c r="F1216" i="14"/>
  <c r="F16" i="14"/>
  <c r="F1228" i="14"/>
  <c r="F1111" i="14"/>
  <c r="F603" i="14"/>
  <c r="F583" i="14"/>
  <c r="F1326" i="15"/>
  <c r="F1865" i="15"/>
  <c r="F1673" i="14"/>
  <c r="F968" i="16"/>
  <c r="F1793" i="14"/>
  <c r="F827" i="14"/>
  <c r="F1122" i="14"/>
  <c r="F816" i="14"/>
  <c r="F89" i="14"/>
  <c r="F482" i="15"/>
  <c r="F1012" i="15"/>
  <c r="F100" i="14"/>
  <c r="F726" i="14"/>
  <c r="F1251" i="17"/>
  <c r="F1160" i="16"/>
  <c r="F1292" i="16"/>
  <c r="F873" i="14"/>
  <c r="F1739" i="16"/>
  <c r="F1454" i="14"/>
  <c r="F1892" i="16"/>
  <c r="F1604" i="16"/>
  <c r="F1662" i="16"/>
  <c r="F1363" i="15"/>
  <c r="F257" i="14"/>
  <c r="F1379" i="16"/>
  <c r="F1673" i="15"/>
  <c r="F539" i="14"/>
  <c r="F1640" i="14"/>
  <c r="F1416" i="16"/>
  <c r="F1348" i="16"/>
  <c r="F59" i="14"/>
  <c r="F239" i="14"/>
  <c r="F1757" i="14"/>
  <c r="F1128" i="14"/>
  <c r="F1218" i="14"/>
  <c r="F598" i="14"/>
  <c r="F1040" i="14"/>
  <c r="F1919" i="15"/>
  <c r="F332" i="14"/>
  <c r="F113" i="14"/>
  <c r="F1229" i="14"/>
  <c r="F1875" i="14"/>
  <c r="F1260" i="14"/>
  <c r="F1551" i="14"/>
  <c r="F1439" i="14"/>
  <c r="F1399" i="16"/>
  <c r="F1035" i="14"/>
  <c r="F208" i="14"/>
  <c r="F1378" i="14"/>
  <c r="F1170" i="15"/>
  <c r="F1911" i="14"/>
  <c r="F38" i="14"/>
  <c r="F1845" i="14"/>
  <c r="F574" i="15"/>
  <c r="F741" i="14"/>
  <c r="F103" i="14"/>
  <c r="F1893" i="14"/>
  <c r="F556" i="15"/>
  <c r="F914" i="15"/>
  <c r="F963" i="14"/>
  <c r="F89" i="16"/>
  <c r="F1115" i="14"/>
  <c r="F894" i="14"/>
  <c r="F1158" i="14"/>
  <c r="F92" i="14"/>
  <c r="F1708" i="14"/>
  <c r="F1224" i="14"/>
  <c r="F489" i="14"/>
  <c r="F1044" i="14"/>
  <c r="F1205" i="14"/>
  <c r="F755" i="14"/>
  <c r="F521" i="14"/>
  <c r="F1148" i="15"/>
  <c r="F698" i="14"/>
  <c r="F1828" i="15"/>
  <c r="F1030" i="15"/>
  <c r="F298" i="15"/>
  <c r="F1690" i="14"/>
  <c r="F1898" i="16"/>
  <c r="F659" i="14"/>
  <c r="F1587" i="14"/>
  <c r="F930" i="14"/>
  <c r="F828" i="14"/>
  <c r="F458" i="14"/>
  <c r="F379" i="15"/>
  <c r="F184" i="14"/>
  <c r="F712" i="15"/>
  <c r="F562" i="16"/>
  <c r="F804" i="16"/>
  <c r="F673" i="16"/>
  <c r="F478" i="14"/>
  <c r="F44" i="16"/>
  <c r="F1787" i="15"/>
  <c r="F744" i="14"/>
  <c r="F1931" i="15"/>
  <c r="F61" i="15"/>
  <c r="F414" i="16"/>
  <c r="F1434" i="15"/>
  <c r="F23" i="17"/>
  <c r="F715" i="16"/>
  <c r="F17" i="14"/>
  <c r="F1977" i="15"/>
  <c r="F444" i="15"/>
  <c r="F803" i="14"/>
  <c r="F1406" i="14"/>
  <c r="F1622" i="15"/>
  <c r="F639" i="16"/>
  <c r="F669" i="16"/>
  <c r="F218" i="17"/>
  <c r="F676" i="17"/>
  <c r="F783" i="16"/>
  <c r="F640" i="16"/>
  <c r="F1423" i="16"/>
  <c r="F770" i="15"/>
  <c r="F464" i="14"/>
  <c r="F457" i="16"/>
  <c r="F1301" i="17"/>
  <c r="F954" i="16"/>
  <c r="F9" i="15"/>
  <c r="F991" i="16"/>
  <c r="F1704" i="16"/>
  <c r="F1128" i="16"/>
  <c r="F1655" i="15"/>
  <c r="F1312" i="14"/>
  <c r="F1071" i="14"/>
  <c r="F1782" i="14"/>
  <c r="F1007" i="14"/>
  <c r="F1114" i="15"/>
  <c r="F831" i="15"/>
  <c r="F1681" i="14"/>
  <c r="F341" i="14"/>
  <c r="F121" i="15"/>
  <c r="F1473" i="14"/>
  <c r="F362" i="15"/>
  <c r="F1139" i="15"/>
  <c r="F545" i="16"/>
  <c r="F747" i="15"/>
  <c r="F1907" i="15"/>
  <c r="F1915" i="16"/>
  <c r="F854" i="15"/>
  <c r="F1530" i="15"/>
  <c r="F1556" i="15"/>
  <c r="F1959" i="15"/>
  <c r="F361" i="15"/>
  <c r="F626" i="14"/>
  <c r="F1778" i="14"/>
  <c r="F1210" i="14"/>
  <c r="F1888" i="14"/>
  <c r="F273" i="14"/>
  <c r="F1669" i="14"/>
  <c r="F1505" i="15"/>
  <c r="F1749" i="14"/>
  <c r="F698" i="15"/>
  <c r="F1089" i="14"/>
  <c r="F972" i="15"/>
  <c r="F728" i="16"/>
  <c r="F1658" i="16"/>
  <c r="F437" i="17"/>
  <c r="F1755" i="14"/>
  <c r="F1326" i="17"/>
  <c r="F1828" i="17"/>
  <c r="F119" i="17"/>
  <c r="F1074" i="14"/>
  <c r="F101" i="14"/>
  <c r="F7" i="16"/>
  <c r="F276" i="15"/>
  <c r="F1876" i="14"/>
  <c r="F1694" i="15"/>
  <c r="F907" i="14"/>
  <c r="F880" i="14"/>
  <c r="F516" i="16"/>
  <c r="F1577" i="15"/>
  <c r="F1612" i="15"/>
  <c r="F165" i="14"/>
  <c r="F947" i="14"/>
  <c r="F714" i="15"/>
  <c r="F1942" i="15"/>
  <c r="F1522" i="14"/>
  <c r="F1797" i="16"/>
  <c r="F243" i="14"/>
  <c r="F660" i="15"/>
  <c r="F1792" i="15"/>
  <c r="F351" i="14"/>
  <c r="F1019" i="14"/>
  <c r="F729" i="16"/>
  <c r="F634" i="14"/>
  <c r="F1485" i="14"/>
  <c r="F750" i="14"/>
  <c r="F1909" i="17"/>
  <c r="F1273" i="14"/>
  <c r="F550" i="14"/>
  <c r="F1527" i="14"/>
  <c r="F1501" i="14"/>
  <c r="F1653" i="14"/>
  <c r="F1920" i="14"/>
  <c r="F1840" i="14"/>
  <c r="F891" i="14"/>
  <c r="F1402" i="14"/>
  <c r="F1376" i="14"/>
  <c r="F628" i="14"/>
  <c r="F1262" i="15"/>
  <c r="F580" i="15"/>
  <c r="F1905" i="14"/>
  <c r="F827" i="15"/>
  <c r="F41" i="15"/>
  <c r="F642" i="14"/>
  <c r="F806" i="14"/>
  <c r="F1261" i="14"/>
  <c r="F841" i="14"/>
  <c r="F1403" i="14"/>
  <c r="F1875" i="15"/>
  <c r="F63" i="14"/>
  <c r="F1352" i="15"/>
  <c r="F240" i="14"/>
  <c r="F1104" i="15"/>
  <c r="F1899" i="14"/>
  <c r="F176" i="14"/>
  <c r="F1479" i="14"/>
  <c r="F1172" i="14"/>
  <c r="F1400" i="15"/>
  <c r="F1709" i="14"/>
  <c r="F849" i="15"/>
  <c r="F422" i="14"/>
  <c r="F508" i="14"/>
  <c r="F1354" i="14"/>
  <c r="F1602" i="14"/>
  <c r="F591" i="14"/>
  <c r="F1918" i="14"/>
  <c r="F410" i="14"/>
  <c r="F1756" i="15"/>
  <c r="F35" i="14"/>
  <c r="F7" i="15"/>
  <c r="F1581" i="14"/>
  <c r="F1349" i="15"/>
  <c r="F1316" i="14"/>
  <c r="F1636" i="14"/>
  <c r="F962" i="14"/>
  <c r="F406" i="14"/>
  <c r="F960" i="14"/>
  <c r="F986" i="14"/>
  <c r="F662" i="14"/>
  <c r="F1092" i="14"/>
  <c r="F1537" i="14"/>
  <c r="F1161" i="15"/>
  <c r="F1208" i="14"/>
  <c r="F1061" i="14"/>
  <c r="F983" i="15"/>
  <c r="F384" i="15"/>
  <c r="F1698" i="14"/>
  <c r="F23" i="15"/>
  <c r="F1393" i="14"/>
  <c r="F1909" i="15"/>
  <c r="F559" i="14"/>
  <c r="F1882" i="15"/>
  <c r="F287" i="16"/>
  <c r="F1509" i="15"/>
  <c r="F128" i="16"/>
  <c r="F1099" i="16"/>
  <c r="F235" i="15"/>
  <c r="F162" i="15"/>
  <c r="F1432" i="16"/>
  <c r="F1276" i="16"/>
  <c r="F141" i="16"/>
  <c r="F1268" i="16"/>
  <c r="F1420" i="14"/>
  <c r="F1243" i="15"/>
  <c r="F983" i="16"/>
  <c r="F1015" i="15"/>
  <c r="F1365" i="14"/>
  <c r="F1275" i="16"/>
  <c r="F571" i="15"/>
  <c r="F392" i="14"/>
  <c r="F647" i="15"/>
  <c r="F1813" i="15"/>
  <c r="F584" i="14"/>
  <c r="F300" i="14"/>
  <c r="F1727" i="16"/>
  <c r="F788" i="16"/>
  <c r="F1788" i="14"/>
  <c r="F1268" i="14"/>
  <c r="F1609" i="14"/>
  <c r="F1600" i="14"/>
  <c r="F1884" i="14"/>
  <c r="F1871" i="14"/>
  <c r="F1945" i="14"/>
  <c r="F908" i="14"/>
  <c r="F1560" i="14"/>
  <c r="F1677" i="14"/>
  <c r="F1340" i="15"/>
  <c r="F431" i="14"/>
  <c r="F115" i="16"/>
  <c r="F277" i="14"/>
  <c r="F395" i="14"/>
  <c r="F129" i="16"/>
  <c r="F1577" i="14"/>
  <c r="F1031" i="14"/>
  <c r="F1234" i="14"/>
  <c r="F1321" i="14"/>
  <c r="F1067" i="15"/>
  <c r="F801" i="14"/>
  <c r="F1841" i="14"/>
  <c r="F431" i="15"/>
  <c r="F1982" i="14"/>
  <c r="F706" i="15"/>
  <c r="F1396" i="15"/>
  <c r="F1333" i="15"/>
  <c r="F1460" i="14"/>
  <c r="F1942" i="14"/>
  <c r="F1906" i="14"/>
  <c r="F970" i="14"/>
  <c r="F1013" i="14"/>
  <c r="F1519" i="14"/>
  <c r="F1680" i="15"/>
  <c r="F328" i="14"/>
  <c r="F1654" i="15"/>
  <c r="F565" i="17"/>
  <c r="F1867" i="14"/>
  <c r="F1356" i="14"/>
  <c r="F394" i="14"/>
  <c r="F1068" i="14"/>
  <c r="F1954" i="14"/>
  <c r="F1751" i="15"/>
  <c r="F1733" i="16"/>
  <c r="F965" i="14"/>
  <c r="F1198" i="15"/>
  <c r="F1980" i="14"/>
  <c r="F1928" i="14"/>
  <c r="F1189" i="14"/>
  <c r="F1671" i="15"/>
  <c r="F561" i="14"/>
  <c r="F1054" i="14"/>
  <c r="F748" i="15"/>
  <c r="F870" i="15"/>
  <c r="F590" i="14"/>
  <c r="F414" i="15"/>
  <c r="F989" i="14"/>
  <c r="F613" i="14"/>
  <c r="F1557" i="14"/>
  <c r="F1164" i="14"/>
  <c r="F360" i="14"/>
  <c r="F227" i="14"/>
  <c r="F26" i="16"/>
  <c r="F1998" i="14"/>
  <c r="F1502" i="14"/>
  <c r="F441" i="15"/>
  <c r="F783" i="14"/>
  <c r="F1636" i="16"/>
  <c r="F1789" i="15"/>
  <c r="F731" i="15"/>
  <c r="F18" i="14"/>
  <c r="F1266" i="16"/>
  <c r="F128" i="15"/>
  <c r="F727" i="16"/>
  <c r="F634" i="15"/>
  <c r="F305" i="14"/>
  <c r="F528" i="15"/>
  <c r="F1434" i="14"/>
  <c r="F1456" i="15"/>
  <c r="F1691" i="16"/>
  <c r="F1218" i="17"/>
  <c r="F493" i="16"/>
  <c r="F1393" i="15"/>
  <c r="F1303" i="15"/>
  <c r="F231" i="16"/>
  <c r="F543" i="15"/>
  <c r="F439" i="17"/>
  <c r="F1615" i="16"/>
  <c r="F353" i="15"/>
  <c r="F957" i="16"/>
  <c r="F1801" i="15"/>
  <c r="F437" i="15"/>
  <c r="F1343" i="15"/>
  <c r="F612" i="15"/>
  <c r="F1567" i="15"/>
  <c r="F271" i="16"/>
  <c r="F739" i="15"/>
  <c r="F1440" i="14"/>
  <c r="F976" i="14"/>
  <c r="F1718" i="14"/>
  <c r="F376" i="15"/>
  <c r="F978" i="16"/>
  <c r="F1077" i="15"/>
  <c r="F1300" i="16"/>
  <c r="F1477" i="16"/>
  <c r="F237" i="14"/>
  <c r="F182" i="15"/>
  <c r="F1387" i="15"/>
  <c r="F1955" i="15"/>
  <c r="F509" i="14"/>
  <c r="F1323" i="15"/>
  <c r="F143" i="15"/>
  <c r="F1259" i="14"/>
  <c r="F415" i="14"/>
  <c r="F1055" i="15"/>
  <c r="F118" i="14"/>
  <c r="F910" i="14"/>
  <c r="F1182" i="14"/>
  <c r="F1059" i="14"/>
  <c r="F1812" i="14"/>
  <c r="F419" i="15"/>
  <c r="F1447" i="15"/>
  <c r="F1961" i="14"/>
  <c r="F266" i="14"/>
  <c r="F1464" i="14"/>
  <c r="F270" i="15"/>
  <c r="F1062" i="15"/>
  <c r="F1030" i="14"/>
  <c r="F1086" i="16"/>
  <c r="F1541" i="16"/>
  <c r="F612" i="16"/>
  <c r="F1244" i="14"/>
  <c r="F173" i="14"/>
  <c r="F410" i="16"/>
  <c r="F1430" i="15"/>
  <c r="F1162" i="16"/>
  <c r="F1366" i="16"/>
  <c r="F1483" i="16"/>
  <c r="F540" i="14"/>
  <c r="F228" i="14"/>
  <c r="F63" i="15"/>
  <c r="F1584" i="14"/>
  <c r="F1876" i="15"/>
  <c r="F782" i="15"/>
  <c r="F27" i="16"/>
  <c r="F1764" i="15"/>
  <c r="F1225" i="14"/>
  <c r="F456" i="15"/>
  <c r="F432" i="15"/>
  <c r="F1763" i="14"/>
  <c r="F1381" i="14"/>
  <c r="F1324" i="14"/>
  <c r="F1378" i="15"/>
  <c r="F181" i="15"/>
  <c r="F1632" i="14"/>
  <c r="F150" i="14"/>
  <c r="F1679" i="14"/>
  <c r="F707" i="14"/>
  <c r="F1000" i="15"/>
  <c r="F518" i="14"/>
  <c r="F1548" i="14"/>
  <c r="F65" i="15"/>
  <c r="F1655" i="14"/>
  <c r="F566" i="14"/>
  <c r="F90" i="14"/>
  <c r="F1748" i="15"/>
  <c r="F233" i="14"/>
  <c r="F178" i="14"/>
  <c r="F1254" i="14"/>
  <c r="F792" i="14"/>
  <c r="F30" i="15"/>
  <c r="F1453" i="14"/>
  <c r="F1519" i="16"/>
  <c r="F1241" i="14"/>
  <c r="F1290" i="14"/>
  <c r="F1873" i="14"/>
  <c r="F1342" i="14"/>
  <c r="F648" i="14"/>
  <c r="F879" i="14"/>
  <c r="F1731" i="14"/>
  <c r="F715" i="15"/>
  <c r="F1854" i="15"/>
  <c r="F1123" i="14"/>
  <c r="F476" i="14"/>
  <c r="F1818" i="15"/>
  <c r="F1286" i="15"/>
  <c r="F1922" i="14"/>
  <c r="F1847" i="14"/>
  <c r="F1119" i="14"/>
  <c r="F1834" i="14"/>
  <c r="F1938" i="14"/>
  <c r="F317" i="15"/>
  <c r="F161" i="15"/>
  <c r="F1971" i="14"/>
  <c r="F674" i="14"/>
  <c r="F1461" i="14"/>
  <c r="F1710" i="15"/>
  <c r="F415" i="15"/>
  <c r="F262" i="15"/>
  <c r="F398" i="14"/>
  <c r="F1550" i="15"/>
  <c r="F234" i="16"/>
  <c r="F808" i="15"/>
  <c r="F1427" i="15"/>
  <c r="F825" i="16"/>
  <c r="F1040" i="15"/>
  <c r="F1081" i="14"/>
  <c r="F923" i="14"/>
  <c r="F69" i="15"/>
  <c r="F705" i="14"/>
  <c r="F1654" i="14"/>
  <c r="F976" i="15"/>
  <c r="F1027" i="14"/>
  <c r="F679" i="14"/>
  <c r="F795" i="14"/>
  <c r="F666" i="14"/>
  <c r="F1183" i="15"/>
  <c r="F1579" i="14"/>
  <c r="F1038" i="14"/>
  <c r="F1659" i="14"/>
  <c r="F667" i="14"/>
  <c r="F294" i="15"/>
  <c r="F859" i="14"/>
  <c r="F169" i="14"/>
  <c r="F1419" i="14"/>
  <c r="F1657" i="14"/>
  <c r="F1114" i="14"/>
  <c r="F261" i="16"/>
  <c r="F925" i="15"/>
  <c r="F309" i="16"/>
  <c r="F1083" i="14"/>
  <c r="F738" i="15"/>
  <c r="F1531" i="15"/>
  <c r="F396" i="16"/>
  <c r="F1784" i="16"/>
  <c r="F662" i="15"/>
  <c r="F1040" i="16"/>
  <c r="F1177" i="14"/>
  <c r="F1770" i="15"/>
  <c r="F550" i="16"/>
  <c r="F1935" i="15"/>
  <c r="F255" i="14"/>
  <c r="F1252" i="16"/>
  <c r="F1720" i="15"/>
  <c r="F583" i="15"/>
  <c r="F1643" i="14"/>
  <c r="F1426" i="15"/>
  <c r="F1691" i="14"/>
  <c r="F1990" i="14"/>
  <c r="F329" i="14"/>
  <c r="F1844" i="16"/>
  <c r="F1648" i="15"/>
  <c r="F1382" i="14"/>
  <c r="F834" i="15"/>
  <c r="F874" i="14"/>
  <c r="F1647" i="15"/>
  <c r="F627" i="14"/>
  <c r="F1574" i="15"/>
  <c r="F846" i="14"/>
  <c r="F1203" i="14"/>
  <c r="F1601" i="14"/>
  <c r="F1999" i="14"/>
  <c r="F1194" i="14"/>
  <c r="F224" i="14"/>
  <c r="F1397" i="14"/>
  <c r="F672" i="14"/>
  <c r="F1932" i="14"/>
  <c r="F1129" i="14"/>
  <c r="F780" i="15"/>
  <c r="F387" i="14"/>
  <c r="F1940" i="14"/>
  <c r="F1178" i="14"/>
  <c r="F1355" i="14"/>
  <c r="F731" i="16"/>
  <c r="F131" i="14"/>
  <c r="F1538" i="14"/>
  <c r="F573" i="14"/>
  <c r="F968" i="15"/>
  <c r="F392" i="15"/>
  <c r="F1009" i="15"/>
  <c r="F1826" i="14"/>
  <c r="F1219" i="14"/>
  <c r="F1228" i="15"/>
  <c r="F951" i="14"/>
  <c r="F563" i="15"/>
  <c r="F1927" i="14"/>
  <c r="F358" i="14"/>
  <c r="F800" i="14"/>
  <c r="F1096" i="15"/>
  <c r="F1069" i="14"/>
  <c r="F1537" i="15"/>
  <c r="F1992" i="14"/>
  <c r="F1947" i="14"/>
  <c r="F589" i="14"/>
  <c r="F1046" i="15"/>
  <c r="F640" i="14"/>
  <c r="F857" i="14"/>
  <c r="F1748" i="14"/>
  <c r="F451" i="14"/>
  <c r="F320" i="15"/>
  <c r="F1027" i="15"/>
  <c r="F1451" i="14"/>
  <c r="F1275" i="15"/>
  <c r="F1463" i="14"/>
  <c r="F11" i="14"/>
  <c r="F1832" i="15"/>
  <c r="F459" i="14"/>
  <c r="F1066" i="15"/>
  <c r="F1712" i="14"/>
  <c r="F1396" i="14"/>
  <c r="F1634" i="14"/>
  <c r="F813" i="14"/>
  <c r="F641" i="15"/>
  <c r="F1327" i="14"/>
  <c r="F1374" i="14"/>
  <c r="F1305" i="15"/>
  <c r="F1511" i="15"/>
  <c r="F1832" i="14"/>
  <c r="F53" i="15"/>
  <c r="F1697" i="16"/>
  <c r="F1391" i="14"/>
  <c r="F1820" i="14"/>
  <c r="F959" i="14"/>
  <c r="F773" i="14"/>
  <c r="F1222" i="14"/>
  <c r="F470" i="14"/>
  <c r="F904" i="17"/>
  <c r="F305" i="16"/>
  <c r="F319" i="14"/>
  <c r="F1829" i="14"/>
  <c r="F904" i="15"/>
  <c r="F169" i="16"/>
  <c r="F1044" i="16"/>
  <c r="F1251" i="16"/>
  <c r="F1143" i="14"/>
  <c r="F1162" i="14"/>
  <c r="F903" i="15"/>
  <c r="F746" i="14"/>
  <c r="F473" i="14"/>
  <c r="F62" i="14"/>
  <c r="F678" i="14"/>
  <c r="F555" i="15"/>
  <c r="F1456" i="14"/>
  <c r="F1888" i="15"/>
  <c r="F1665" i="14"/>
  <c r="F932" i="14"/>
  <c r="F1036" i="14"/>
  <c r="F1797" i="15"/>
  <c r="F114" i="15"/>
  <c r="F1781" i="15"/>
  <c r="F1182" i="15"/>
  <c r="F1200" i="15"/>
  <c r="F883" i="14"/>
  <c r="F730" i="14"/>
  <c r="F1912" i="15"/>
  <c r="F962" i="15"/>
  <c r="F481" i="15"/>
  <c r="F1486" i="14"/>
  <c r="F1580" i="14"/>
  <c r="F585" i="15"/>
  <c r="F840" i="15"/>
  <c r="F110" i="14"/>
  <c r="F1462" i="15"/>
  <c r="F1126" i="14"/>
  <c r="F1937" i="14"/>
  <c r="F610" i="14"/>
  <c r="F736" i="15"/>
  <c r="F1134" i="15"/>
  <c r="F1847" i="15"/>
  <c r="F1975" i="14"/>
  <c r="F656" i="14"/>
  <c r="F1784" i="15"/>
  <c r="F1719" i="14"/>
  <c r="F1837" i="15"/>
  <c r="F1900" i="16"/>
  <c r="F8" i="15"/>
  <c r="F744" i="16"/>
  <c r="F572" i="16"/>
  <c r="F1866" i="15"/>
  <c r="F73" i="15"/>
  <c r="F1846" i="15"/>
  <c r="F1419" i="16"/>
  <c r="F1039" i="15"/>
  <c r="F889" i="16"/>
  <c r="F466" i="14"/>
  <c r="F1829" i="15"/>
  <c r="F1585" i="15"/>
  <c r="F1155" i="14"/>
  <c r="F1536" i="15"/>
  <c r="F1773" i="16"/>
  <c r="F1946" i="15"/>
  <c r="F157" i="14"/>
  <c r="F1962" i="14"/>
  <c r="F1640" i="16"/>
  <c r="F1798" i="15"/>
  <c r="F787" i="15"/>
  <c r="F537" i="14"/>
  <c r="F1080" i="14"/>
  <c r="F260" i="14"/>
  <c r="F1769" i="14"/>
  <c r="F1068" i="15"/>
  <c r="F1583" i="15"/>
  <c r="F356" i="15"/>
  <c r="F1767" i="14"/>
  <c r="F1239" i="15"/>
  <c r="F143" i="14"/>
  <c r="F1055" i="14"/>
  <c r="F920" i="14"/>
  <c r="F1307" i="14"/>
  <c r="F643" i="14"/>
  <c r="F999" i="15"/>
  <c r="F82" i="14"/>
  <c r="F1237" i="16"/>
  <c r="F960" i="15"/>
  <c r="F751" i="14"/>
  <c r="F1301" i="15"/>
  <c r="F1297" i="14"/>
  <c r="F1076" i="14"/>
  <c r="F1772" i="14"/>
  <c r="F834" i="14"/>
  <c r="F1482" i="14"/>
  <c r="F1232" i="14"/>
  <c r="F968" i="14"/>
  <c r="F629" i="14"/>
  <c r="F1323" i="14"/>
  <c r="F1820" i="15"/>
  <c r="F1565" i="15"/>
  <c r="F1134" i="14"/>
  <c r="F870" i="14"/>
  <c r="F1018" i="15"/>
  <c r="F1930" i="14"/>
  <c r="F1893" i="15"/>
  <c r="F37" i="14"/>
  <c r="F1435" i="14"/>
  <c r="F777" i="15"/>
  <c r="F1952" i="14"/>
  <c r="F1822" i="15"/>
  <c r="F19" i="15"/>
  <c r="F1729" i="14"/>
  <c r="F1497" i="14"/>
  <c r="F1791" i="14"/>
  <c r="F288" i="14"/>
  <c r="F737" i="14"/>
  <c r="F230" i="15"/>
  <c r="F965" i="15"/>
  <c r="F1790" i="14"/>
  <c r="F1089" i="15"/>
  <c r="F1759" i="15"/>
  <c r="F916" i="14"/>
  <c r="F10" i="14"/>
  <c r="F913" i="15"/>
  <c r="F663" i="14"/>
  <c r="F72" i="15"/>
  <c r="F1367" i="15"/>
  <c r="F183" i="15"/>
  <c r="F1292" i="15"/>
  <c r="F1408" i="14"/>
  <c r="F695" i="16"/>
  <c r="F1738" i="16"/>
  <c r="F1151" i="15"/>
  <c r="F1569" i="16"/>
  <c r="F1893" i="16"/>
  <c r="F1483" i="15"/>
  <c r="F1904" i="14"/>
  <c r="F159" i="14"/>
  <c r="F4" i="15"/>
  <c r="F426" i="15"/>
  <c r="F1450" i="17"/>
  <c r="F842" i="14"/>
  <c r="F1233" i="14"/>
  <c r="F120" i="14"/>
  <c r="F1915" i="14"/>
  <c r="F649" i="15"/>
  <c r="F1090" i="14"/>
  <c r="F1949" i="14"/>
  <c r="F1507" i="14"/>
  <c r="F1179" i="14"/>
  <c r="F402" i="14"/>
  <c r="F1586" i="15"/>
  <c r="F952" i="15"/>
  <c r="F37" i="15"/>
  <c r="F404" i="14"/>
  <c r="F1734" i="14"/>
  <c r="F1195" i="14"/>
  <c r="F1404" i="14"/>
  <c r="F1862" i="14"/>
  <c r="F867" i="14"/>
  <c r="F1508" i="14"/>
  <c r="F1817" i="15"/>
  <c r="F1539" i="14"/>
  <c r="F1282" i="16"/>
  <c r="F325" i="16"/>
  <c r="F1970" i="14"/>
  <c r="F987" i="14"/>
  <c r="F1466" i="14"/>
  <c r="F869" i="16"/>
  <c r="F1079" i="14"/>
  <c r="F1138" i="14"/>
  <c r="F1854" i="14"/>
  <c r="F594" i="15"/>
  <c r="F1753" i="14"/>
  <c r="F372" i="16"/>
  <c r="F320" i="14"/>
  <c r="F1962" i="16"/>
  <c r="F1653" i="15"/>
  <c r="F369" i="15"/>
  <c r="F371" i="14"/>
  <c r="F1599" i="14"/>
  <c r="F1591" i="14"/>
  <c r="F704" i="14"/>
  <c r="F648" i="15"/>
  <c r="F494" i="14"/>
  <c r="F1009" i="14"/>
  <c r="F1763" i="15"/>
  <c r="F69" i="16"/>
  <c r="F931" i="15"/>
  <c r="F769" i="14"/>
  <c r="F95" i="14"/>
  <c r="F843" i="15"/>
  <c r="F819" i="14"/>
  <c r="F434" i="14"/>
  <c r="F820" i="14"/>
  <c r="F511" i="15"/>
  <c r="F502" i="14"/>
  <c r="F1398" i="14"/>
  <c r="F164" i="14"/>
  <c r="F915" i="14"/>
  <c r="F1116" i="14"/>
  <c r="F1950" i="14"/>
  <c r="F1173" i="16"/>
  <c r="F1388" i="14"/>
  <c r="F1303" i="14"/>
  <c r="F1573" i="14"/>
  <c r="F1400" i="16"/>
  <c r="F688" i="14"/>
  <c r="F1572" i="14"/>
  <c r="F94" i="14"/>
  <c r="F1909" i="14"/>
  <c r="F1791" i="15"/>
  <c r="F1664" i="14"/>
  <c r="F620" i="16"/>
  <c r="F588" i="15"/>
  <c r="F1788" i="15"/>
  <c r="F1586" i="14"/>
  <c r="F1015" i="14"/>
  <c r="F1088" i="14"/>
  <c r="F1422" i="14"/>
  <c r="F252" i="15"/>
  <c r="F365" i="14"/>
  <c r="F716" i="14"/>
  <c r="F1464" i="15"/>
  <c r="F1685" i="14"/>
  <c r="F1651" i="15"/>
  <c r="F1941" i="14"/>
  <c r="F928" i="14"/>
  <c r="F912" i="14"/>
  <c r="F20" i="16"/>
  <c r="F1290" i="15"/>
  <c r="F844" i="15"/>
  <c r="F1674" i="15"/>
  <c r="F71" i="15"/>
  <c r="F1144" i="14"/>
  <c r="F263" i="15"/>
  <c r="F529" i="14"/>
  <c r="F521" i="15"/>
  <c r="F1496" i="14"/>
  <c r="F907" i="15"/>
  <c r="F1702" i="14"/>
  <c r="F54" i="14"/>
  <c r="F761" i="16"/>
  <c r="F793" i="14"/>
  <c r="F1034" i="14"/>
  <c r="F1526" i="15"/>
  <c r="F1012" i="14"/>
  <c r="F1426" i="14"/>
  <c r="F1341" i="15"/>
  <c r="F84" i="14"/>
  <c r="F1509" i="14"/>
  <c r="F331" i="15"/>
  <c r="F124" i="15"/>
  <c r="F1444" i="14"/>
  <c r="F1747" i="15"/>
  <c r="F39" i="15"/>
  <c r="F619" i="15"/>
  <c r="F1483" i="14"/>
  <c r="F865" i="14"/>
  <c r="F395" i="15"/>
  <c r="F472" i="14"/>
  <c r="F1636" i="15"/>
  <c r="F1858" i="14"/>
  <c r="F1848" i="15"/>
  <c r="F1765" i="15"/>
  <c r="F1804" i="16"/>
  <c r="F821" i="15"/>
  <c r="F146" i="14"/>
  <c r="F1217" i="15"/>
  <c r="F357" i="15"/>
  <c r="F308" i="14"/>
  <c r="F1750" i="14"/>
  <c r="F293" i="15"/>
  <c r="F1487" i="14"/>
  <c r="F786" i="14"/>
  <c r="F1862" i="15"/>
  <c r="F1493" i="15"/>
  <c r="F1647" i="14"/>
  <c r="F1901" i="15"/>
  <c r="F87" i="15"/>
  <c r="F1588" i="14"/>
  <c r="F762" i="15"/>
  <c r="F1857" i="14"/>
  <c r="F1693" i="14"/>
  <c r="F39" i="14"/>
  <c r="F767" i="14"/>
  <c r="F1701" i="14"/>
  <c r="F1716" i="14"/>
  <c r="F24" i="14"/>
  <c r="F75" i="15"/>
  <c r="F119" i="14"/>
  <c r="F1910" i="15"/>
  <c r="F266" i="16"/>
  <c r="F596" i="16"/>
  <c r="F670" i="16"/>
  <c r="F951" i="15"/>
  <c r="F384" i="16"/>
  <c r="F486" i="15"/>
  <c r="F545" i="15"/>
  <c r="F36" i="14"/>
  <c r="F360" i="15"/>
  <c r="F609" i="16"/>
  <c r="F68" i="16"/>
  <c r="F1593" i="15"/>
  <c r="F1793" i="15"/>
  <c r="F948" i="15"/>
  <c r="F1298" i="14"/>
  <c r="F700" i="16"/>
  <c r="F658" i="16"/>
  <c r="F70" i="15"/>
  <c r="F1675" i="15"/>
  <c r="F983" i="14"/>
  <c r="F797" i="14"/>
  <c r="F1467" i="14"/>
  <c r="F252" i="14"/>
  <c r="F1773" i="15"/>
  <c r="F804" i="15"/>
  <c r="F1661" i="14"/>
  <c r="F1794" i="14"/>
  <c r="F1200" i="14"/>
  <c r="F423" i="14"/>
  <c r="F853" i="14"/>
  <c r="F1666" i="16"/>
  <c r="F868" i="15"/>
  <c r="F1246" i="15"/>
  <c r="F101" i="15"/>
  <c r="F1756" i="14"/>
  <c r="F1598" i="15"/>
  <c r="F1195" i="15"/>
  <c r="F592" i="15"/>
  <c r="F565" i="14"/>
  <c r="F882" i="15"/>
  <c r="F678" i="15"/>
  <c r="F1037" i="14"/>
  <c r="F217" i="15"/>
  <c r="F90" i="15"/>
  <c r="F1394" i="14"/>
  <c r="F1421" i="14"/>
  <c r="F322" i="14"/>
  <c r="F170" i="15"/>
  <c r="F1072" i="15"/>
  <c r="F209" i="15"/>
  <c r="F256" i="15"/>
  <c r="F1895" i="14"/>
  <c r="F794" i="15"/>
  <c r="F1082" i="14"/>
  <c r="F29" i="15"/>
  <c r="F734" i="15"/>
  <c r="F1666" i="14"/>
  <c r="F1032" i="14"/>
  <c r="F740" i="15"/>
  <c r="F1119" i="15"/>
  <c r="F201" i="15"/>
  <c r="F105" i="15"/>
  <c r="F948" i="14"/>
  <c r="F736" i="16"/>
  <c r="F1211" i="15"/>
  <c r="F463" i="14"/>
  <c r="F760" i="14"/>
  <c r="F1732" i="14"/>
  <c r="F949" i="14"/>
  <c r="F1321" i="16"/>
  <c r="F1447" i="14"/>
  <c r="F1924" i="14"/>
  <c r="F971" i="14"/>
  <c r="F1506" i="14"/>
  <c r="F46" i="14"/>
  <c r="F1641" i="14"/>
  <c r="F1282" i="15"/>
  <c r="F1292" i="14"/>
  <c r="F126" i="15"/>
  <c r="F461" i="14"/>
  <c r="F195" i="14"/>
  <c r="F620" i="14"/>
  <c r="F1325" i="16"/>
  <c r="F1126" i="15"/>
  <c r="F413" i="15"/>
  <c r="F49" i="16"/>
  <c r="F1869" i="15"/>
  <c r="F768" i="14"/>
  <c r="F264" i="16"/>
  <c r="F1765" i="14"/>
  <c r="F1236" i="14"/>
  <c r="F1454" i="15"/>
  <c r="F463" i="15"/>
  <c r="F1787" i="14"/>
  <c r="F895" i="14"/>
  <c r="F1409" i="15"/>
  <c r="F1972" i="15"/>
  <c r="F168" i="15"/>
  <c r="F1365" i="16"/>
  <c r="F1436" i="14"/>
  <c r="F962" i="16"/>
  <c r="F1161" i="14"/>
  <c r="F852" i="14"/>
  <c r="F1972" i="14"/>
  <c r="F541" i="14"/>
  <c r="F1916" i="14"/>
  <c r="F1193" i="14"/>
  <c r="F1805" i="14"/>
  <c r="F429" i="14"/>
  <c r="F133" i="14"/>
  <c r="F1703" i="15"/>
  <c r="F781" i="14"/>
  <c r="F1940" i="15"/>
  <c r="F1979" i="16"/>
  <c r="F1900" i="14"/>
  <c r="F1513" i="14"/>
  <c r="F1389" i="14"/>
  <c r="F752" i="14"/>
  <c r="F284" i="15"/>
  <c r="F1726" i="15"/>
  <c r="F1113" i="14"/>
  <c r="F1258" i="15"/>
  <c r="F1085" i="15"/>
  <c r="F1797" i="14"/>
  <c r="F1848" i="14"/>
  <c r="F1806" i="14"/>
  <c r="F969" i="14"/>
  <c r="F1262" i="14"/>
  <c r="F369" i="16"/>
  <c r="F512" i="15"/>
  <c r="F1215" i="16"/>
  <c r="F375" i="14"/>
  <c r="F408" i="15"/>
  <c r="F914" i="14"/>
  <c r="F1743" i="15"/>
  <c r="F345" i="14"/>
  <c r="F467" i="14"/>
  <c r="F78" i="14"/>
  <c r="F134" i="15"/>
  <c r="F1863" i="14"/>
  <c r="F1093" i="14"/>
  <c r="F1083" i="15"/>
  <c r="F1705" i="15"/>
  <c r="F1172" i="16"/>
  <c r="F1612" i="14"/>
  <c r="F20" i="14"/>
  <c r="F1101" i="14"/>
  <c r="F1910" i="14"/>
  <c r="F562" i="14"/>
  <c r="F129" i="17"/>
  <c r="F350" i="15"/>
  <c r="F1084" i="14"/>
  <c r="F129" i="14"/>
  <c r="F1823" i="14"/>
  <c r="F123" i="15"/>
  <c r="F903" i="14"/>
  <c r="F407" i="14"/>
  <c r="F1635" i="14"/>
  <c r="F758" i="14"/>
  <c r="F1687" i="14"/>
  <c r="F857" i="15"/>
  <c r="F211" i="14"/>
  <c r="F1209" i="15"/>
  <c r="F405" i="14"/>
  <c r="F799" i="14"/>
  <c r="F1141" i="14"/>
  <c r="F487" i="17"/>
  <c r="F927" i="15"/>
  <c r="F96" i="15"/>
  <c r="F484" i="14"/>
  <c r="F280" i="14"/>
  <c r="F667" i="15"/>
  <c r="F1169" i="14"/>
  <c r="F1136" i="14"/>
  <c r="F26" i="15"/>
  <c r="F1493" i="14"/>
  <c r="F743" i="15"/>
  <c r="F372" i="14"/>
  <c r="F17" i="15"/>
  <c r="F1271" i="14"/>
  <c r="F1481" i="15"/>
  <c r="F1424" i="14"/>
  <c r="F192" i="15"/>
  <c r="F608" i="16"/>
  <c r="F1361" i="15"/>
  <c r="F1613" i="14"/>
  <c r="F53" i="14"/>
  <c r="F1212" i="14"/>
  <c r="F167" i="16"/>
  <c r="F1329" i="14"/>
  <c r="F1279" i="14"/>
  <c r="F717" i="14"/>
  <c r="F778" i="14"/>
  <c r="F1212" i="15"/>
  <c r="F1759" i="14"/>
  <c r="F1546" i="14"/>
  <c r="F1367" i="14"/>
  <c r="F822" i="14"/>
  <c r="F876" i="14"/>
  <c r="F1799" i="15"/>
  <c r="F1444" i="15"/>
  <c r="F1883" i="14"/>
  <c r="F25" i="14"/>
  <c r="F359" i="14"/>
  <c r="F876" i="15"/>
  <c r="F1624" i="16"/>
  <c r="F303" i="17"/>
  <c r="F230" i="14"/>
  <c r="F1286" i="14"/>
  <c r="F31" i="15"/>
  <c r="F1603" i="16"/>
  <c r="F891" i="15"/>
  <c r="F166" i="17"/>
  <c r="F1402" i="16"/>
  <c r="F1485" i="17"/>
  <c r="F1607" i="14"/>
  <c r="F1706" i="14"/>
  <c r="F245" i="15"/>
  <c r="F1385" i="15"/>
  <c r="F204" i="14"/>
  <c r="F104" i="14"/>
  <c r="F1785" i="14"/>
  <c r="F334" i="15"/>
  <c r="F1047" i="14"/>
  <c r="F323" i="14"/>
  <c r="F1176" i="14"/>
  <c r="F798" i="14"/>
  <c r="F549" i="14"/>
  <c r="F723" i="16"/>
  <c r="F1011" i="15"/>
  <c r="F1676" i="14"/>
  <c r="F831" i="16"/>
  <c r="F371" i="15"/>
  <c r="F1671" i="14"/>
  <c r="F66" i="15"/>
  <c r="F1050" i="15"/>
  <c r="F1747" i="14"/>
  <c r="F1005" i="14"/>
  <c r="F1100" i="15"/>
  <c r="F1533" i="14"/>
  <c r="F129" i="15"/>
  <c r="F442" i="15"/>
  <c r="F418" i="14"/>
  <c r="F774" i="14"/>
  <c r="F1223" i="14"/>
  <c r="F292" i="14"/>
  <c r="F578" i="15"/>
  <c r="F1274" i="14"/>
  <c r="F1425" i="14"/>
  <c r="F312" i="16"/>
  <c r="F116" i="15"/>
  <c r="F1677" i="15"/>
  <c r="F1946" i="14"/>
  <c r="F1159" i="14"/>
  <c r="F1075" i="14"/>
  <c r="F685" i="16"/>
  <c r="F421" i="15"/>
  <c r="F688" i="15"/>
  <c r="F99" i="14"/>
  <c r="F1232" i="16"/>
  <c r="F633" i="15"/>
  <c r="F998" i="15"/>
  <c r="F809" i="16"/>
  <c r="F1215" i="14"/>
  <c r="F931" i="16"/>
  <c r="F1977" i="16"/>
  <c r="F687" i="14"/>
  <c r="F1987" i="15"/>
  <c r="F1721" i="15"/>
  <c r="F913" i="16"/>
  <c r="F709" i="16"/>
  <c r="F877" i="16"/>
  <c r="F481" i="14"/>
  <c r="F44" i="14"/>
  <c r="F644" i="14"/>
  <c r="F56" i="14"/>
  <c r="F489" i="15"/>
  <c r="F932" i="15"/>
  <c r="F988" i="15"/>
  <c r="F297" i="14"/>
  <c r="F559" i="16"/>
  <c r="F1023" i="14"/>
  <c r="F1457" i="14"/>
  <c r="F1470" i="14"/>
  <c r="F1405" i="14"/>
  <c r="F1689" i="15"/>
  <c r="F221" i="15"/>
  <c r="F1386" i="14"/>
  <c r="F856" i="14"/>
  <c r="F1137" i="14"/>
  <c r="F1147" i="15"/>
  <c r="F774" i="15"/>
  <c r="F1527" i="15"/>
  <c r="F569" i="14"/>
  <c r="F1776" i="15"/>
  <c r="F937" i="14"/>
  <c r="F1183" i="14"/>
  <c r="F615" i="14"/>
  <c r="F374" i="14"/>
  <c r="F713" i="14"/>
  <c r="F1554" i="15"/>
  <c r="F52" i="15"/>
  <c r="F1256" i="14"/>
  <c r="F294" i="14"/>
  <c r="F600" i="14"/>
  <c r="F1927" i="15"/>
  <c r="F1976" i="14"/>
  <c r="F641" i="14"/>
  <c r="F190" i="15"/>
  <c r="F1302" i="14"/>
  <c r="F1958" i="14"/>
  <c r="F1804" i="14"/>
  <c r="F897" i="14"/>
  <c r="F453" i="15"/>
  <c r="F502" i="15"/>
  <c r="F1957" i="14"/>
  <c r="F1476" i="14"/>
  <c r="F220" i="14"/>
  <c r="F1028" i="15"/>
  <c r="F467" i="15"/>
  <c r="F1340" i="14"/>
  <c r="F139" i="15"/>
  <c r="F747" i="14"/>
  <c r="F1124" i="14"/>
  <c r="F1328" i="14"/>
  <c r="F1364" i="14"/>
  <c r="F690" i="14"/>
  <c r="F786" i="15"/>
  <c r="F1758" i="16"/>
  <c r="F1565" i="14"/>
  <c r="F244" i="14"/>
  <c r="F28" i="14"/>
  <c r="F899" i="14"/>
  <c r="F179" i="16"/>
  <c r="F1547" i="15"/>
  <c r="F622" i="14"/>
  <c r="F1777" i="14"/>
  <c r="F886" i="15"/>
  <c r="F674" i="15"/>
  <c r="F1469" i="14"/>
  <c r="F657" i="15"/>
  <c r="F1417" i="16"/>
  <c r="F145" i="16"/>
  <c r="F335" i="16"/>
  <c r="F654" i="14"/>
  <c r="F111" i="16"/>
  <c r="F1991" i="14"/>
  <c r="F1699" i="16"/>
  <c r="F1129" i="15"/>
  <c r="F1818" i="14"/>
  <c r="F1775" i="14"/>
  <c r="F1515" i="14"/>
  <c r="F988" i="14"/>
  <c r="F234" i="14"/>
  <c r="F384" i="14"/>
  <c r="F1310" i="15"/>
  <c r="F808" i="14"/>
  <c r="F941" i="14"/>
  <c r="F1885" i="14"/>
  <c r="F706" i="14"/>
  <c r="F242" i="14"/>
  <c r="F1611" i="14"/>
  <c r="F855" i="14"/>
  <c r="F1307" i="15"/>
  <c r="F347" i="14"/>
  <c r="F55" i="14"/>
  <c r="F1449" i="14"/>
  <c r="F940" i="14"/>
  <c r="F1198" i="14"/>
  <c r="F172" i="14"/>
  <c r="F1802" i="15"/>
  <c r="F1045" i="14"/>
  <c r="F1771" i="14"/>
  <c r="F779" i="15"/>
  <c r="F71" i="14"/>
  <c r="F1901" i="14"/>
  <c r="F510" i="14"/>
  <c r="F156" i="15"/>
  <c r="F498" i="16"/>
  <c r="F1446" i="14"/>
  <c r="F1132" i="14"/>
  <c r="F276" i="14"/>
  <c r="F1366" i="15"/>
  <c r="F505" i="15"/>
  <c r="F1456" i="16"/>
  <c r="F1067" i="17"/>
  <c r="F1843" i="15"/>
  <c r="F1766" i="15"/>
  <c r="F1041" i="14"/>
  <c r="F764" i="14"/>
  <c r="F1364" i="15"/>
  <c r="F756" i="15"/>
  <c r="F1121" i="15"/>
  <c r="F1670" i="15"/>
  <c r="F1897" i="14"/>
  <c r="F480" i="14"/>
  <c r="F1707" i="14"/>
  <c r="F1078" i="14"/>
  <c r="F1472" i="15"/>
  <c r="F1315" i="14"/>
  <c r="F1776" i="14"/>
  <c r="F189" i="16"/>
  <c r="F824" i="14"/>
  <c r="F318" i="14"/>
  <c r="F1394" i="15"/>
  <c r="F1755" i="15"/>
  <c r="F1220" i="15"/>
  <c r="F1597" i="14"/>
  <c r="F378" i="14"/>
  <c r="F38" i="15"/>
  <c r="F1301" i="14"/>
  <c r="F784" i="14"/>
  <c r="F1767" i="15"/>
  <c r="F929" i="14"/>
  <c r="F1111" i="15"/>
  <c r="F1351" i="14"/>
  <c r="F191" i="15"/>
  <c r="F1175" i="15"/>
  <c r="F1821" i="14"/>
  <c r="F1130" i="14"/>
  <c r="F978" i="14"/>
  <c r="F1606" i="15"/>
  <c r="F506" i="14"/>
  <c r="F684" i="16"/>
  <c r="F661" i="14"/>
  <c r="F1270" i="15"/>
  <c r="F1819" i="14"/>
  <c r="F711" i="15"/>
  <c r="F1206" i="15"/>
  <c r="F1235" i="15"/>
  <c r="F504" i="14"/>
  <c r="F1293" i="15"/>
  <c r="F377" i="15"/>
  <c r="F105" i="17"/>
  <c r="F1383" i="14"/>
  <c r="F453" i="16"/>
  <c r="F1911" i="15"/>
  <c r="F1915" i="15"/>
  <c r="F465" i="14"/>
  <c r="F1821" i="16"/>
  <c r="F714" i="16"/>
  <c r="F731" i="14"/>
  <c r="F998" i="14"/>
  <c r="F1380" i="15"/>
  <c r="F623" i="14"/>
  <c r="F183" i="14"/>
  <c r="F1743" i="14"/>
  <c r="F213" i="17"/>
  <c r="F892" i="15"/>
  <c r="F961" i="14"/>
  <c r="F1368" i="14"/>
  <c r="F1535" i="14"/>
  <c r="F1542" i="14"/>
  <c r="F1994" i="14"/>
  <c r="F1670" i="14"/>
  <c r="F982" i="14"/>
  <c r="F996" i="14"/>
  <c r="F1487" i="15"/>
  <c r="F154" i="14"/>
  <c r="F1537" i="16"/>
  <c r="F278" i="14"/>
  <c r="F1197" i="17"/>
  <c r="F603" i="16"/>
  <c r="F909" i="15"/>
  <c r="F1682" i="14"/>
  <c r="F708" i="15"/>
  <c r="F965" i="16"/>
  <c r="F495" i="14"/>
  <c r="F447" i="14"/>
  <c r="F1250" i="15"/>
  <c r="F121" i="14"/>
  <c r="F1045" i="15"/>
  <c r="F391" i="14"/>
  <c r="F815" i="14"/>
  <c r="F1025" i="14"/>
  <c r="F946" i="14"/>
  <c r="F957" i="14"/>
  <c r="F1667" i="14"/>
  <c r="F611" i="15"/>
  <c r="F876" i="16"/>
  <c r="F804" i="14"/>
  <c r="F691" i="14"/>
  <c r="F780" i="14"/>
  <c r="F1715" i="14"/>
  <c r="F982" i="15"/>
  <c r="F777" i="14"/>
  <c r="F1429" i="14"/>
  <c r="F142" i="15"/>
  <c r="F890" i="14"/>
  <c r="F961" i="15"/>
  <c r="F1977" i="14"/>
  <c r="F112" i="14"/>
  <c r="F516" i="15"/>
  <c r="F657" i="14"/>
  <c r="F1935" i="14"/>
  <c r="F738" i="14"/>
  <c r="F1650" i="14"/>
  <c r="F1447" i="16"/>
  <c r="F1191" i="14"/>
  <c r="F1608" i="14"/>
  <c r="F784" i="15"/>
  <c r="F160" i="14"/>
  <c r="F1049" i="14"/>
  <c r="F1207" i="14"/>
  <c r="F1980" i="16"/>
  <c r="F1910" i="16"/>
  <c r="F174" i="15"/>
  <c r="F1754" i="14"/>
  <c r="F428" i="15"/>
  <c r="F1976" i="16"/>
  <c r="F227" i="17"/>
  <c r="F1370" i="15"/>
  <c r="F1313" i="14"/>
  <c r="F639" i="15"/>
  <c r="F1900" i="15"/>
  <c r="F1807" i="15"/>
  <c r="F227" i="15"/>
  <c r="F302" i="15"/>
  <c r="F981" i="15"/>
  <c r="F1078" i="15"/>
  <c r="F77" i="14"/>
  <c r="F269" i="14"/>
  <c r="F1678" i="14"/>
  <c r="F1674" i="14"/>
  <c r="F992" i="14"/>
  <c r="F243" i="15"/>
  <c r="F1844" i="14"/>
  <c r="F1263" i="15"/>
  <c r="F296" i="15"/>
  <c r="F732" i="15"/>
  <c r="F363" i="14"/>
  <c r="F775" i="16"/>
  <c r="F190" i="16"/>
  <c r="F1758" i="14"/>
  <c r="F171" i="15"/>
  <c r="F1251" i="14"/>
  <c r="F1284" i="14"/>
  <c r="F452" i="15"/>
  <c r="F1786" i="14"/>
  <c r="F1307" i="16"/>
  <c r="F412" i="15"/>
  <c r="F660" i="14"/>
  <c r="F153" i="14"/>
  <c r="F37" i="16"/>
  <c r="F1973" i="15"/>
  <c r="F498" i="14"/>
  <c r="F919" i="14"/>
  <c r="F472" i="15"/>
  <c r="F1768" i="14"/>
  <c r="F343" i="15"/>
  <c r="F1478" i="14"/>
  <c r="F1943" i="16"/>
  <c r="F525" i="15"/>
  <c r="F1175" i="14"/>
  <c r="F1038" i="15"/>
  <c r="F1158" i="15"/>
  <c r="F1095" i="16"/>
  <c r="F1304" i="14"/>
  <c r="F896" i="14"/>
  <c r="F1156" i="14"/>
  <c r="F1094" i="15"/>
  <c r="F295" i="15"/>
  <c r="F1214" i="14"/>
  <c r="F1517" i="14"/>
  <c r="F1599" i="15"/>
  <c r="F1536" i="14"/>
  <c r="F1186" i="14"/>
  <c r="F1269" i="15"/>
  <c r="F771" i="14"/>
  <c r="F283" i="14"/>
  <c r="F560" i="14"/>
  <c r="F558" i="15"/>
  <c r="F1964" i="14"/>
  <c r="F1154" i="14"/>
  <c r="F232" i="15"/>
  <c r="F1319" i="14"/>
  <c r="F649" i="14"/>
  <c r="F468" i="16"/>
  <c r="F1159" i="15"/>
  <c r="F247" i="14"/>
  <c r="F1424" i="15"/>
  <c r="F1287" i="15"/>
  <c r="F1360" i="14"/>
  <c r="F1423" i="15"/>
  <c r="F1850" i="15"/>
  <c r="F333" i="15"/>
  <c r="F203" i="15"/>
  <c r="F1725" i="14"/>
  <c r="F1744" i="14"/>
  <c r="F735" i="15"/>
  <c r="F1499" i="15"/>
  <c r="F302" i="16"/>
  <c r="F561" i="15"/>
  <c r="F1316" i="15"/>
  <c r="F1660" i="14"/>
  <c r="F624" i="15"/>
  <c r="F1202" i="16"/>
  <c r="F1744" i="16"/>
  <c r="F274" i="14"/>
  <c r="F1021" i="14"/>
  <c r="F453" i="14"/>
  <c r="F1695" i="15"/>
  <c r="F797" i="17"/>
  <c r="F149" i="14"/>
  <c r="F534" i="14"/>
  <c r="F46" i="15"/>
  <c r="F1792" i="14"/>
  <c r="F425" i="14"/>
  <c r="F1937" i="15"/>
  <c r="F1865" i="14"/>
  <c r="F1633" i="14"/>
  <c r="F6" i="14"/>
  <c r="F373" i="15"/>
  <c r="F995" i="15"/>
  <c r="F543" i="14"/>
  <c r="F1280" i="14"/>
  <c r="F826" i="16"/>
  <c r="F1278" i="14"/>
  <c r="F1563" i="14"/>
  <c r="F668" i="14"/>
  <c r="F386" i="14"/>
  <c r="F375" i="15"/>
  <c r="F591" i="15"/>
  <c r="F1679" i="15"/>
  <c r="F892" i="14"/>
  <c r="F818" i="15"/>
  <c r="F587" i="14"/>
  <c r="F1855" i="14"/>
  <c r="F1568" i="14"/>
  <c r="F1185" i="14"/>
  <c r="F1334" i="14"/>
  <c r="F315" i="14"/>
  <c r="F1956" i="14"/>
  <c r="F382" i="14"/>
  <c r="F298" i="14"/>
  <c r="F1287" i="14"/>
  <c r="F669" i="14"/>
  <c r="F913" i="14"/>
  <c r="F1839" i="15"/>
  <c r="F1606" i="16"/>
  <c r="F1208" i="16"/>
  <c r="F1533" i="16"/>
  <c r="F1035" i="16"/>
  <c r="F851" i="15"/>
  <c r="F509" i="15"/>
  <c r="F10" i="15"/>
  <c r="F963" i="15"/>
  <c r="F1840" i="15"/>
  <c r="F813" i="15"/>
  <c r="F57" i="14"/>
  <c r="F858" i="14"/>
  <c r="F1429" i="15"/>
  <c r="F832" i="15"/>
  <c r="F1479" i="15"/>
  <c r="F1434" i="16"/>
  <c r="F749" i="15"/>
  <c r="F744" i="15"/>
  <c r="F1201" i="14"/>
  <c r="F1053" i="14"/>
  <c r="F1171" i="14"/>
  <c r="F1623" i="15"/>
  <c r="F942" i="14"/>
  <c r="F1379" i="14"/>
  <c r="F1281" i="15"/>
  <c r="F845" i="14"/>
  <c r="F413" i="14"/>
  <c r="F232" i="14"/>
  <c r="F1308" i="14"/>
  <c r="F270" i="14"/>
  <c r="F174" i="14"/>
  <c r="F856" i="15"/>
  <c r="F966" i="15"/>
  <c r="F956" i="15"/>
  <c r="F238" i="15"/>
  <c r="F1322" i="15"/>
  <c r="F1661" i="15"/>
  <c r="F385" i="16"/>
  <c r="F721" i="14"/>
  <c r="F651" i="14"/>
  <c r="F1112" i="14"/>
  <c r="F922" i="14"/>
  <c r="F1542" i="15"/>
  <c r="F1430" i="14"/>
  <c r="F1735" i="14"/>
  <c r="F2000" i="15"/>
  <c r="F1514" i="14"/>
  <c r="F1606" i="14"/>
  <c r="F1614" i="14"/>
  <c r="F527" i="16"/>
  <c r="F1385" i="14"/>
  <c r="F1639" i="14"/>
  <c r="F1871" i="15"/>
  <c r="F397" i="14"/>
  <c r="F1277" i="15"/>
  <c r="F1465" i="14"/>
  <c r="F430" i="14"/>
  <c r="F30" i="14"/>
  <c r="F368" i="14"/>
  <c r="F464" i="15"/>
  <c r="F173" i="15"/>
  <c r="F1043" i="14"/>
  <c r="F1291" i="15"/>
  <c r="F1568" i="15"/>
  <c r="F491" i="14"/>
  <c r="F757" i="15"/>
  <c r="F1827" i="14"/>
  <c r="F1979" i="14"/>
  <c r="F966" i="14"/>
  <c r="F997" i="14"/>
  <c r="F1002" i="14"/>
  <c r="F1768" i="15"/>
  <c r="F163" i="14"/>
  <c r="F1902" i="14"/>
  <c r="F126" i="14"/>
  <c r="F971" i="15"/>
  <c r="F1150" i="14"/>
  <c r="F25" i="16"/>
  <c r="F522" i="14"/>
  <c r="F1737" i="14"/>
  <c r="F676" i="14"/>
  <c r="F1010" i="14"/>
  <c r="F1331" i="15"/>
  <c r="F1800" i="14"/>
  <c r="F1184" i="14"/>
  <c r="F1559" i="17"/>
  <c r="F246" i="15"/>
  <c r="F1087" i="15"/>
  <c r="F897" i="16"/>
  <c r="F1570" i="14"/>
  <c r="F1524" i="14"/>
  <c r="F1517" i="15"/>
  <c r="F1856" i="14"/>
  <c r="F1255" i="14"/>
  <c r="F959" i="15"/>
  <c r="F1760" i="15"/>
  <c r="F480" i="15"/>
  <c r="F303" i="14"/>
  <c r="F1752" i="15"/>
  <c r="F975" i="15"/>
  <c r="F1500" i="15"/>
  <c r="F1249" i="14"/>
  <c r="F361" i="14"/>
  <c r="F1604" i="14"/>
  <c r="F716" i="15"/>
  <c r="F944" i="14"/>
  <c r="F1714" i="14"/>
  <c r="F1144" i="15"/>
  <c r="F1574" i="14"/>
  <c r="F1131" i="14"/>
  <c r="F1104" i="14"/>
  <c r="F241" i="15"/>
  <c r="F1073" i="14"/>
  <c r="F1988" i="14"/>
  <c r="F1167" i="14"/>
  <c r="F569" i="15"/>
  <c r="F745" i="14"/>
  <c r="F349" i="14"/>
  <c r="F1697" i="14"/>
  <c r="F398" i="16"/>
  <c r="F1833" i="14"/>
  <c r="F776" i="14"/>
  <c r="F1582" i="14"/>
  <c r="F630" i="14"/>
  <c r="F1268" i="15"/>
  <c r="F881" i="14"/>
  <c r="F844" i="14"/>
  <c r="F772" i="14"/>
  <c r="F40" i="14"/>
  <c r="F139" i="16"/>
  <c r="F1617" i="14"/>
  <c r="F692" i="16"/>
  <c r="F977" i="16"/>
  <c r="F1981" i="14"/>
  <c r="F1375" i="15"/>
  <c r="F1462" i="14"/>
  <c r="F1153" i="14"/>
  <c r="F339" i="14"/>
  <c r="F531" i="14"/>
  <c r="F1021" i="15"/>
  <c r="F1418" i="14"/>
  <c r="F1989" i="14"/>
  <c r="F1994" i="15"/>
  <c r="F525" i="14"/>
  <c r="F1291" i="14"/>
  <c r="F1518" i="14"/>
  <c r="F1220" i="14"/>
  <c r="F972" i="14"/>
  <c r="F96" i="14"/>
  <c r="F1331" i="14"/>
  <c r="F48" i="15"/>
  <c r="F1996" i="14"/>
  <c r="F1299" i="14"/>
  <c r="F1281" i="14"/>
  <c r="F1263" i="14"/>
  <c r="F558" i="14"/>
  <c r="F200" i="15"/>
  <c r="F939" i="14"/>
  <c r="F363" i="15"/>
  <c r="F1380" i="14"/>
  <c r="F1672" i="14"/>
  <c r="F1686" i="14"/>
  <c r="F219" i="14"/>
  <c r="F995" i="14"/>
  <c r="F1302" i="15"/>
  <c r="F417" i="15"/>
  <c r="F167" i="14"/>
  <c r="F1372" i="14"/>
  <c r="F492" i="14"/>
  <c r="F1028" i="14"/>
  <c r="F362" i="14"/>
  <c r="F1503" i="14"/>
  <c r="F1914" i="14"/>
  <c r="F306" i="14"/>
  <c r="F430" i="15"/>
  <c r="F1566" i="14"/>
  <c r="F1696" i="14"/>
  <c r="F1620" i="14"/>
  <c r="F1627" i="15"/>
  <c r="F513" i="14"/>
  <c r="F1762" i="15"/>
  <c r="F1237" i="14"/>
  <c r="F754" i="14"/>
  <c r="F836" i="15"/>
  <c r="F506" i="16"/>
  <c r="F895" i="15"/>
  <c r="F1199" i="15"/>
  <c r="F540" i="15"/>
  <c r="F1908" i="14"/>
  <c r="F684" i="14"/>
  <c r="F954" i="15"/>
  <c r="F1951" i="14"/>
  <c r="F1889" i="15"/>
  <c r="F1029" i="14"/>
  <c r="F1170" i="14"/>
  <c r="F399" i="14"/>
  <c r="F1851" i="14"/>
  <c r="F288" i="15"/>
  <c r="F826" i="15"/>
  <c r="F1337" i="16"/>
  <c r="F284" i="14"/>
  <c r="F1589" i="14"/>
  <c r="F799" i="15"/>
  <c r="F1357" i="14"/>
  <c r="F1160" i="15"/>
  <c r="F1445" i="14"/>
  <c r="F631" i="14"/>
  <c r="F1441" i="16"/>
  <c r="F64" i="14"/>
  <c r="F651" i="16"/>
  <c r="F1859" i="15"/>
  <c r="F1197" i="16"/>
  <c r="F497" i="14"/>
  <c r="F1953" i="15"/>
  <c r="F1898" i="15"/>
  <c r="F1984" i="14"/>
  <c r="F12" i="14"/>
  <c r="F885" i="14"/>
  <c r="F1098" i="15"/>
  <c r="F81" i="14"/>
  <c r="F471" i="14"/>
  <c r="F304" i="14"/>
  <c r="F1495" i="14"/>
  <c r="F1822" i="14"/>
  <c r="F507" i="16"/>
  <c r="F1362" i="14"/>
  <c r="F1855" i="15"/>
  <c r="F206" i="14"/>
  <c r="F380" i="14"/>
  <c r="F1022" i="14"/>
  <c r="F416" i="14"/>
  <c r="F1531" i="14"/>
  <c r="F1211" i="14"/>
  <c r="F1554" i="14"/>
  <c r="F185" i="15"/>
  <c r="F1884" i="15"/>
  <c r="F420" i="14"/>
  <c r="F1414" i="14"/>
  <c r="F877" i="14"/>
  <c r="F438" i="15"/>
  <c r="F1529" i="14"/>
  <c r="F1135" i="15"/>
  <c r="F1339" i="14"/>
  <c r="F1428" i="15"/>
  <c r="F1626" i="14"/>
  <c r="F1077" i="14"/>
  <c r="F1520" i="14"/>
  <c r="F343" i="14"/>
  <c r="F1270" i="14"/>
  <c r="F1165" i="14"/>
  <c r="F1974" i="16"/>
  <c r="F1806" i="16"/>
  <c r="F699" i="15"/>
  <c r="F166" i="14"/>
  <c r="F1494" i="16"/>
  <c r="F990" i="16"/>
  <c r="F474" i="14"/>
  <c r="F88" i="15"/>
  <c r="F426" i="14"/>
  <c r="F1190" i="16"/>
  <c r="F1745" i="14"/>
  <c r="F1122" i="15"/>
  <c r="F863" i="14"/>
  <c r="F74" i="14"/>
  <c r="F93" i="14"/>
  <c r="F722" i="15"/>
  <c r="F842" i="15"/>
  <c r="F1960" i="14"/>
  <c r="F1231" i="15"/>
  <c r="F638" i="14"/>
  <c r="F400" i="14"/>
  <c r="F278" i="15"/>
  <c r="F1246" i="14"/>
  <c r="F1796" i="14"/>
  <c r="F506" i="15"/>
  <c r="F984" i="16"/>
  <c r="F25" i="15"/>
  <c r="F106" i="15"/>
  <c r="F749" i="14"/>
  <c r="F1004" i="14"/>
  <c r="F1033" i="14"/>
  <c r="F1115" i="15"/>
  <c r="F1587" i="15"/>
  <c r="F1948" i="16"/>
  <c r="F417" i="14"/>
  <c r="F878" i="14"/>
  <c r="F1923" i="14"/>
  <c r="F1370" i="14"/>
  <c r="F858" i="15"/>
  <c r="F146" i="15"/>
  <c r="F1377" i="14"/>
  <c r="F47" i="15"/>
  <c r="F370" i="14"/>
  <c r="F1525" i="14"/>
  <c r="F888" i="14"/>
  <c r="F931" i="14"/>
  <c r="F1719" i="15"/>
  <c r="F1559" i="15"/>
  <c r="F1795" i="14"/>
  <c r="F1668" i="14"/>
  <c r="F1245" i="14"/>
  <c r="F1213" i="14"/>
  <c r="F683" i="14"/>
  <c r="F213" i="16"/>
  <c r="F162" i="14"/>
  <c r="F1148" i="16"/>
  <c r="F1415" i="14"/>
  <c r="F694" i="14"/>
  <c r="F95" i="15"/>
  <c r="F1314" i="14"/>
  <c r="F935" i="14"/>
  <c r="F1435" i="15"/>
  <c r="F108" i="15"/>
  <c r="F1008" i="14"/>
  <c r="F1350" i="15"/>
  <c r="F1943" i="15"/>
  <c r="F1552" i="14"/>
  <c r="F1428" i="14"/>
  <c r="F427" i="14"/>
  <c r="F593" i="15"/>
  <c r="F1269" i="14"/>
  <c r="F759" i="14"/>
  <c r="F1532" i="14"/>
  <c r="F1582" i="15"/>
  <c r="F762" i="14"/>
  <c r="F402" i="15"/>
  <c r="F904" i="14"/>
  <c r="F570" i="16"/>
  <c r="F1381" i="15"/>
  <c r="F1968" i="14"/>
  <c r="F1978" i="14"/>
  <c r="F1473" i="16"/>
  <c r="F1343" i="14"/>
  <c r="F1925" i="14"/>
  <c r="F1401" i="14"/>
  <c r="F1417" i="14"/>
  <c r="F956" i="14"/>
  <c r="F161" i="14"/>
  <c r="F406" i="15"/>
  <c r="F1376" i="15"/>
  <c r="F1601" i="15"/>
  <c r="F1789" i="14"/>
  <c r="F1824" i="15"/>
  <c r="F933" i="14"/>
  <c r="F89" i="15"/>
  <c r="F1986" i="14"/>
  <c r="F1348" i="14"/>
  <c r="F1625" i="14"/>
  <c r="F1125" i="15"/>
  <c r="F1174" i="15"/>
  <c r="F1274" i="15"/>
  <c r="F1072" i="14"/>
  <c r="F1121" i="14"/>
  <c r="F1872" i="14"/>
  <c r="F1781" i="14"/>
  <c r="F1341" i="14"/>
  <c r="F1692" i="14"/>
  <c r="F1603" i="14"/>
  <c r="F248" i="14"/>
  <c r="F1240" i="14"/>
  <c r="F171" i="14"/>
  <c r="F1174" i="14"/>
  <c r="F75" i="14"/>
  <c r="F1973" i="14"/>
  <c r="F1969" i="14"/>
  <c r="F1443" i="14"/>
  <c r="F1311" i="14"/>
  <c r="F1390" i="14"/>
  <c r="F1086" i="14"/>
  <c r="F1459" i="14"/>
  <c r="F720" i="14"/>
  <c r="F474" i="15"/>
  <c r="F344" i="14"/>
  <c r="F940" i="15"/>
  <c r="F1112" i="15"/>
  <c r="F354" i="15"/>
  <c r="F258" i="15"/>
  <c r="F1624" i="14"/>
  <c r="F1295" i="15"/>
  <c r="F947" i="15"/>
  <c r="F1569" i="14"/>
  <c r="F1468" i="14"/>
  <c r="F1305" i="14"/>
  <c r="F627" i="15"/>
  <c r="F1146" i="14"/>
  <c r="F997" i="15"/>
  <c r="F8" i="14"/>
  <c r="F1117" i="14"/>
  <c r="F1836" i="14"/>
  <c r="F889" i="14"/>
  <c r="F1987" i="14"/>
  <c r="F1752" i="14"/>
  <c r="F1510" i="14"/>
  <c r="F964" i="15"/>
  <c r="F943" i="16"/>
  <c r="F1297" i="15"/>
  <c r="F1300" i="14"/>
  <c r="F1439" i="15"/>
  <c r="F1475" i="14"/>
  <c r="F1235" i="14"/>
  <c r="F1751" i="14"/>
  <c r="F1988" i="16"/>
  <c r="F1564" i="14"/>
  <c r="F1560" i="15"/>
  <c r="F1641" i="15"/>
  <c r="F1837" i="14"/>
  <c r="F1168" i="16"/>
  <c r="F664" i="15"/>
  <c r="F1727" i="14"/>
  <c r="F1695" i="14"/>
  <c r="F1230" i="14"/>
  <c r="F1358" i="14"/>
  <c r="F754" i="15"/>
  <c r="F1179" i="15"/>
  <c r="F795" i="15"/>
  <c r="F1629" i="14"/>
  <c r="F1215" i="15"/>
  <c r="F1469" i="15"/>
  <c r="F1811" i="14"/>
  <c r="F825" i="14"/>
  <c r="F1505" i="14"/>
  <c r="F1491" i="15"/>
  <c r="F581" i="14"/>
  <c r="F283" i="15"/>
  <c r="F874" i="15"/>
  <c r="F1348" i="15"/>
  <c r="F1502" i="15"/>
  <c r="F1325" i="14"/>
  <c r="F1933" i="14"/>
  <c r="F140" i="14"/>
  <c r="F1116" i="15"/>
  <c r="F1063" i="14"/>
  <c r="F1774" i="14"/>
  <c r="F111" i="15"/>
  <c r="F1729" i="15"/>
  <c r="F1995" i="14"/>
  <c r="F289" i="14"/>
  <c r="F207" i="15"/>
  <c r="F190" i="14"/>
  <c r="F1492" i="14"/>
  <c r="F1054" i="16"/>
  <c r="F493" i="15"/>
  <c r="F618" i="14"/>
  <c r="F446" i="14"/>
  <c r="F1067" i="14"/>
  <c r="F872" i="14"/>
  <c r="F926" i="15"/>
  <c r="F1830" i="15"/>
  <c r="F1643" i="15"/>
  <c r="F1441" i="14"/>
  <c r="F34" i="14"/>
  <c r="F1715" i="15"/>
  <c r="F490" i="14"/>
  <c r="F1623" i="14"/>
  <c r="F396" i="14"/>
  <c r="F1978" i="15"/>
  <c r="F1798" i="14"/>
  <c r="F1879" i="14"/>
  <c r="F1656" i="14"/>
  <c r="F346" i="14"/>
  <c r="F596" i="14"/>
  <c r="F149" i="15"/>
  <c r="F221" i="14"/>
  <c r="F1106" i="14"/>
  <c r="F711" i="14"/>
  <c r="F52" i="14"/>
  <c r="F519" i="15"/>
  <c r="F1139" i="14"/>
  <c r="F922" i="15"/>
  <c r="F1318" i="14"/>
  <c r="F549" i="15"/>
  <c r="F468" i="14"/>
  <c r="F1592" i="14"/>
  <c r="F1549" i="14"/>
  <c r="F832" i="14"/>
  <c r="F403" i="14"/>
  <c r="F1579" i="15"/>
  <c r="F1373" i="14"/>
  <c r="F1067" i="16"/>
  <c r="F356" i="16"/>
  <c r="F1336" i="14"/>
  <c r="F645" i="14"/>
  <c r="F1590" i="14"/>
  <c r="F739" i="14"/>
  <c r="F651" i="15"/>
  <c r="F26" i="14"/>
  <c r="F1967" i="16"/>
  <c r="F1248" i="15"/>
  <c r="F682" i="16"/>
  <c r="F1232" i="15"/>
  <c r="F1048" i="14"/>
  <c r="F1534" i="14"/>
  <c r="F1633" i="15"/>
  <c r="F1693" i="15"/>
  <c r="F385" i="14"/>
  <c r="F112" i="15"/>
  <c r="F580" i="16"/>
  <c r="F1253" i="14"/>
  <c r="F679" i="15"/>
  <c r="F1730" i="14"/>
  <c r="F881" i="15"/>
  <c r="F1993" i="14"/>
  <c r="F287" i="14"/>
  <c r="F1238" i="14"/>
  <c r="F218" i="14"/>
  <c r="F918" i="14"/>
  <c r="F838" i="14"/>
  <c r="F1696" i="15"/>
  <c r="F15" i="14"/>
  <c r="F911" i="14"/>
  <c r="F709" i="14"/>
  <c r="F707" i="16"/>
  <c r="F586" i="14"/>
  <c r="F1350" i="14"/>
  <c r="F1543" i="15"/>
  <c r="F579" i="14"/>
  <c r="F833" i="14"/>
  <c r="F1202" i="15"/>
  <c r="F571" i="14"/>
  <c r="F1127" i="14"/>
  <c r="F1167" i="15"/>
  <c r="F272" i="14"/>
  <c r="F1102" i="14"/>
  <c r="F245" i="14"/>
  <c r="F43" i="14"/>
  <c r="F871" i="15"/>
  <c r="F1369" i="14"/>
  <c r="F351" i="15"/>
  <c r="F1128" i="15"/>
  <c r="F291" i="15"/>
  <c r="F990" i="14"/>
  <c r="F1711" i="14"/>
  <c r="F1929" i="15"/>
  <c r="F653" i="15"/>
  <c r="F1963" i="14"/>
  <c r="F1523" i="14"/>
  <c r="F1682" i="15"/>
  <c r="F457" i="14"/>
  <c r="F1843" i="14"/>
  <c r="F1481" i="14"/>
  <c r="F487" i="15"/>
  <c r="F1398" i="15"/>
  <c r="F1724" i="14"/>
  <c r="F1673" i="16"/>
  <c r="F1985" i="14"/>
  <c r="F1528" i="14"/>
  <c r="F1107" i="14"/>
  <c r="F1221" i="15"/>
  <c r="F226" i="14"/>
  <c r="F1773" i="14"/>
  <c r="F728" i="15"/>
  <c r="F1484" i="15"/>
  <c r="F1311" i="15"/>
  <c r="F1889" i="14"/>
  <c r="F1714" i="15"/>
  <c r="F697" i="15"/>
  <c r="F1761" i="14"/>
  <c r="F1431" i="14"/>
  <c r="F237" i="15"/>
  <c r="F1555" i="16"/>
  <c r="F1891" i="14"/>
  <c r="F700" i="14"/>
  <c r="F1096" i="14"/>
  <c r="F45" i="14"/>
  <c r="F60" i="14"/>
  <c r="F1948" i="14"/>
  <c r="F905" i="14"/>
  <c r="F1304" i="15"/>
  <c r="F840" i="14"/>
  <c r="F601" i="14"/>
  <c r="F1388" i="15"/>
  <c r="F1277" i="14"/>
  <c r="F1392" i="14"/>
  <c r="F1187" i="14"/>
  <c r="F868" i="14"/>
  <c r="F357" i="14"/>
  <c r="F1039" i="14"/>
  <c r="F216" i="14"/>
  <c r="F668" i="15"/>
  <c r="F1544" i="14"/>
  <c r="F1873" i="15"/>
  <c r="F1552" i="15"/>
  <c r="F433" i="15"/>
  <c r="F249" i="14"/>
  <c r="F545" i="14"/>
  <c r="F882" i="14"/>
  <c r="F1965" i="14"/>
  <c r="F194" i="15"/>
  <c r="F1227" i="14"/>
  <c r="F1833" i="16"/>
  <c r="F1688" i="14"/>
  <c r="F897" i="15"/>
  <c r="F475" i="14"/>
  <c r="F670" i="14"/>
  <c r="F1559" i="14"/>
  <c r="F1839" i="14"/>
  <c r="F1845" i="15"/>
  <c r="F1433" i="14"/>
  <c r="F179" i="14"/>
  <c r="F76" i="14"/>
  <c r="F247" i="15"/>
  <c r="F837" i="14"/>
  <c r="F299" i="15"/>
  <c r="F1423" i="14"/>
  <c r="F1742" i="14"/>
  <c r="F1149" i="14"/>
  <c r="F793" i="15"/>
  <c r="F1202" i="14"/>
  <c r="F1085" i="14"/>
  <c r="F1458" i="15"/>
  <c r="F333" i="14"/>
  <c r="F655" i="14"/>
  <c r="F184" i="15"/>
  <c r="F1386" i="15"/>
  <c r="F1726" i="14"/>
  <c r="F1168" i="14"/>
  <c r="F821" i="14"/>
  <c r="F424" i="14"/>
  <c r="F246" i="14"/>
  <c r="F408" i="14"/>
  <c r="F454" i="14"/>
  <c r="F1403" i="15"/>
  <c r="F1952" i="16"/>
  <c r="F414" i="14"/>
  <c r="F875" i="15"/>
  <c r="F315" i="15"/>
  <c r="F117" i="15"/>
  <c r="F325" i="15"/>
  <c r="F65" i="14"/>
  <c r="F77" i="15"/>
  <c r="F1983" i="15"/>
  <c r="F985" i="14"/>
  <c r="F912" i="15"/>
  <c r="F512" i="14"/>
  <c r="F1296" i="14"/>
  <c r="F1094" i="14"/>
  <c r="F1035" i="15"/>
  <c r="F1282" i="14"/>
  <c r="F1519" i="15"/>
  <c r="F1631" i="14"/>
  <c r="F1563" i="15"/>
  <c r="F1638" i="14"/>
  <c r="F1746" i="14"/>
  <c r="F682" i="15"/>
  <c r="F893" i="14"/>
  <c r="F5" i="14"/>
  <c r="F1907" i="14"/>
  <c r="F457" i="15"/>
  <c r="F1593" i="16"/>
  <c r="F1345" i="14"/>
  <c r="F18" i="15"/>
  <c r="F352" i="15"/>
  <c r="F1867" i="15"/>
  <c r="F1955" i="14"/>
  <c r="F259" i="14"/>
  <c r="F1221" i="14"/>
  <c r="F1416" i="14"/>
  <c r="F803" i="15"/>
  <c r="F1417" i="15"/>
  <c r="F800" i="15"/>
  <c r="F469" i="14"/>
  <c r="F1264" i="14"/>
  <c r="F1109" i="16"/>
  <c r="F1839" i="16"/>
  <c r="F1377" i="15"/>
  <c r="F1283" i="14"/>
  <c r="F1063" i="15"/>
  <c r="F1103" i="14"/>
  <c r="F1326" i="14"/>
  <c r="F364" i="14"/>
  <c r="F1290" i="16"/>
  <c r="F1503" i="15"/>
  <c r="F980" i="15"/>
  <c r="F1163" i="14"/>
  <c r="F1774" i="15"/>
  <c r="F368" i="15"/>
  <c r="F1895" i="16"/>
  <c r="F1882" i="14"/>
  <c r="F1217" i="14"/>
  <c r="F1532" i="16"/>
  <c r="F1815" i="15"/>
  <c r="F1317" i="14"/>
  <c r="F1149" i="16"/>
  <c r="F958" i="14"/>
  <c r="F1120" i="14"/>
  <c r="F1622" i="14"/>
  <c r="F1630" i="14"/>
  <c r="F449" i="14"/>
  <c r="F1156" i="15"/>
  <c r="F1808" i="14"/>
  <c r="F1372" i="16"/>
  <c r="F455" i="14"/>
  <c r="F1801" i="14"/>
  <c r="F1562" i="14"/>
  <c r="F1011" i="14"/>
  <c r="F33" i="14"/>
  <c r="F452" i="14"/>
  <c r="F1285" i="14"/>
  <c r="F1461" i="15"/>
  <c r="F98" i="14"/>
  <c r="F1547" i="16"/>
  <c r="F826" i="14"/>
  <c r="F1733" i="14"/>
  <c r="F43" i="15"/>
  <c r="F385" i="15"/>
  <c r="F812" i="14"/>
  <c r="F824" i="15"/>
  <c r="F1553" i="14"/>
  <c r="F324" i="14"/>
  <c r="F782" i="14"/>
  <c r="F1410" i="14"/>
  <c r="F105" i="14"/>
  <c r="F723" i="15"/>
  <c r="F1152" i="14"/>
  <c r="F416" i="15"/>
  <c r="F1853" i="14"/>
  <c r="F694" i="15"/>
  <c r="F1213" i="15"/>
  <c r="F438" i="14"/>
  <c r="F1741" i="14"/>
  <c r="F1593" i="14"/>
  <c r="F290" i="14"/>
  <c r="F607" i="14"/>
  <c r="F861" i="15"/>
  <c r="F547" i="14"/>
  <c r="F1610" i="16"/>
  <c r="F1510" i="15"/>
  <c r="F1868" i="14"/>
  <c r="F936" i="14"/>
  <c r="F900" i="14"/>
  <c r="F1921" i="14"/>
  <c r="F1166" i="14"/>
  <c r="F470" i="15"/>
  <c r="F147" i="15"/>
  <c r="F1185" i="15"/>
  <c r="F390" i="14"/>
  <c r="F389" i="15"/>
  <c r="F533" i="14"/>
  <c r="F1824" i="14"/>
  <c r="F1652" i="14"/>
  <c r="F488" i="14"/>
  <c r="F1515" i="16"/>
  <c r="F817" i="15"/>
  <c r="F1684" i="14"/>
  <c r="F1710" i="14"/>
  <c r="F577" i="14"/>
  <c r="F1475" i="15"/>
  <c r="F681" i="14"/>
  <c r="F450" i="14"/>
  <c r="F1870" i="15"/>
  <c r="F1371" i="15"/>
  <c r="F1558" i="14"/>
  <c r="F32" i="14"/>
  <c r="F819" i="15"/>
  <c r="F802" i="14"/>
  <c r="F1310" i="14"/>
  <c r="F1896" i="14"/>
  <c r="F50" i="14"/>
  <c r="F1095" i="14"/>
  <c r="F493" i="14"/>
  <c r="F1288" i="14"/>
  <c r="F950" i="16"/>
  <c r="F1190" i="14"/>
  <c r="F902" i="14"/>
  <c r="F1627" i="14"/>
  <c r="F1226" i="15"/>
  <c r="F7" i="14"/>
  <c r="F905" i="16"/>
  <c r="F1981" i="15"/>
  <c r="F748" i="16"/>
  <c r="F1720" i="14"/>
  <c r="F511" i="14"/>
  <c r="B9" i="5" l="1"/>
  <c r="F9" i="5" s="1"/>
  <c r="B7" i="5"/>
  <c r="F7" i="5" s="1"/>
  <c r="B10" i="5"/>
  <c r="F10" i="5" s="1"/>
  <c r="B14" i="5"/>
  <c r="F14" i="5" s="1"/>
  <c r="N12" i="5"/>
  <c r="R12" i="5" s="1"/>
  <c r="B8" i="5"/>
  <c r="F8" i="5" s="1"/>
  <c r="N6" i="5"/>
  <c r="R6" i="5" s="1"/>
  <c r="B12" i="5"/>
  <c r="F12" i="5" s="1"/>
  <c r="N10" i="5"/>
  <c r="R10" i="5" s="1"/>
  <c r="B13" i="5"/>
  <c r="F13" i="5" s="1"/>
  <c r="N9" i="5"/>
  <c r="R9" i="5" s="1"/>
  <c r="N25" i="5"/>
  <c r="R25" i="5" s="1"/>
  <c r="N11" i="5"/>
  <c r="R11" i="5" s="1"/>
  <c r="B29" i="5"/>
  <c r="F29" i="5" s="1"/>
  <c r="N5" i="5"/>
  <c r="R5" i="5" s="1"/>
  <c r="N14" i="5"/>
  <c r="R14" i="5" s="1"/>
  <c r="B11" i="5"/>
  <c r="F11" i="5" s="1"/>
  <c r="B5" i="5"/>
  <c r="F5" i="5" s="1"/>
  <c r="N23" i="5"/>
  <c r="R23" i="5" s="1"/>
  <c r="N31" i="5"/>
  <c r="R31" i="5" s="1"/>
  <c r="N21" i="5"/>
  <c r="R21" i="5" s="1"/>
  <c r="N26" i="5"/>
  <c r="R26" i="5" s="1"/>
  <c r="N16" i="5"/>
  <c r="R16" i="5" s="1"/>
  <c r="B25" i="5"/>
  <c r="F25" i="5" s="1"/>
  <c r="N29" i="5"/>
  <c r="R29" i="5" s="1"/>
  <c r="N13" i="5"/>
  <c r="R13" i="5" s="1"/>
  <c r="B15" i="5"/>
  <c r="F15" i="5" s="1"/>
  <c r="N15" i="5"/>
  <c r="R15" i="5" s="1"/>
  <c r="N7" i="5"/>
  <c r="R7" i="5" s="1"/>
  <c r="B16" i="5"/>
  <c r="F16" i="5" s="1"/>
  <c r="N27" i="5"/>
  <c r="R27" i="5" s="1"/>
  <c r="N8" i="5"/>
  <c r="R8" i="5" s="1"/>
  <c r="B22" i="5"/>
  <c r="F22" i="5" s="1"/>
  <c r="N32" i="5"/>
  <c r="R32" i="5" s="1"/>
  <c r="B24" i="5"/>
  <c r="F24" i="5" s="1"/>
  <c r="B23" i="5"/>
  <c r="F23" i="5" s="1"/>
  <c r="N28" i="5"/>
  <c r="R28" i="5" s="1"/>
  <c r="B21" i="5"/>
  <c r="F21" i="5" s="1"/>
  <c r="B27" i="5"/>
  <c r="F27" i="5" s="1"/>
  <c r="N22" i="5"/>
  <c r="R22" i="5" s="1"/>
  <c r="N24" i="5"/>
  <c r="R24" i="5" s="1"/>
  <c r="N30" i="5"/>
  <c r="R30" i="5" s="1"/>
  <c r="B6" i="5"/>
  <c r="F6" i="5" s="1"/>
  <c r="B26" i="5"/>
  <c r="F26" i="5" s="1"/>
  <c r="B31" i="5"/>
  <c r="F31" i="5" s="1"/>
  <c r="B28" i="5"/>
  <c r="F28" i="5" s="1"/>
  <c r="B32" i="5"/>
  <c r="F32" i="5" s="1"/>
  <c r="B30" i="5"/>
  <c r="F30" i="5" s="1"/>
  <c r="J17" i="5" l="1"/>
</calcChain>
</file>

<file path=xl/sharedStrings.xml><?xml version="1.0" encoding="utf-8"?>
<sst xmlns="http://schemas.openxmlformats.org/spreadsheetml/2006/main" count="328" uniqueCount="161">
  <si>
    <t>Title</t>
  </si>
  <si>
    <t>Navigation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</si>
  <si>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</si>
  <si>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</si>
  <si>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</si>
  <si>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</si>
  <si>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</si>
  <si>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</si>
  <si>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</si>
  <si>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</si>
  <si>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</si>
  <si>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</si>
  <si>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Completion</t>
  </si>
  <si>
    <t>Plan</t>
  </si>
  <si>
    <t>Do</t>
  </si>
  <si>
    <t>Check</t>
  </si>
  <si>
    <t>Act</t>
  </si>
  <si>
    <t>PDCA cycle review</t>
  </si>
  <si>
    <t>Project selection</t>
  </si>
  <si>
    <t>Date</t>
  </si>
  <si>
    <t>Task</t>
  </si>
  <si>
    <t>PIC</t>
  </si>
  <si>
    <t>Due date</t>
  </si>
  <si>
    <t>Project</t>
  </si>
  <si>
    <t>Project list</t>
  </si>
  <si>
    <t>Project code</t>
  </si>
  <si>
    <t>Increase capacity</t>
  </si>
  <si>
    <t>Task time</t>
  </si>
  <si>
    <t>Process</t>
  </si>
  <si>
    <t>List</t>
  </si>
  <si>
    <t>Guide</t>
  </si>
  <si>
    <t>PDCA-2001</t>
  </si>
  <si>
    <t>PDCA-2002</t>
  </si>
  <si>
    <t>Employee 1</t>
  </si>
  <si>
    <t>Employee 2</t>
  </si>
  <si>
    <t>Employee 3</t>
  </si>
  <si>
    <t>Employee 4</t>
  </si>
  <si>
    <t>Employee 5</t>
  </si>
  <si>
    <t>Employee 6</t>
  </si>
  <si>
    <t>Employee 7</t>
  </si>
  <si>
    <t>Employee 8</t>
  </si>
  <si>
    <t>Employee 9</t>
  </si>
  <si>
    <t>Employee 10</t>
  </si>
  <si>
    <t>Department</t>
  </si>
  <si>
    <t>Departments</t>
  </si>
  <si>
    <t>Quality</t>
  </si>
  <si>
    <t>Warehouse</t>
  </si>
  <si>
    <t>Delivery</t>
  </si>
  <si>
    <t>Production</t>
  </si>
  <si>
    <t>Purchasing</t>
  </si>
  <si>
    <t>Code</t>
  </si>
  <si>
    <t>PDCA-2003</t>
  </si>
  <si>
    <t>Workers reduction</t>
  </si>
  <si>
    <t>Identify</t>
  </si>
  <si>
    <t>1 - Identify and define problem clearly.</t>
  </si>
  <si>
    <t>2 - Evaluate the importance of the problem.</t>
  </si>
  <si>
    <t>3 - Identify the current standard methods, procedures.</t>
  </si>
  <si>
    <t>Observe</t>
  </si>
  <si>
    <t>1 - Investigate the characteristics and details of the problem.</t>
  </si>
  <si>
    <t>2 - Define the relevance of the problem.</t>
  </si>
  <si>
    <t>3 - Broaden your vision. Assess the situation from various points of view.</t>
  </si>
  <si>
    <t>4 - Talk to people who will act directly on the execution and broaden your perception of the actual present situation.</t>
  </si>
  <si>
    <t>Analyze</t>
  </si>
  <si>
    <t>1 - Find out the real causes of the problem.</t>
  </si>
  <si>
    <t>2 - Often the effect is taken as the cause. Try to differentiate.</t>
  </si>
  <si>
    <t>3 - Evaluate possible solutions and alternatives.</t>
  </si>
  <si>
    <t>4 - Identify objective actions that touch the cause, not the effect.</t>
  </si>
  <si>
    <t>Action Plan</t>
  </si>
  <si>
    <t>1 - Define an action plan to prevent (or minimize) the causes of the problem.</t>
  </si>
  <si>
    <t>2 - Set goals to achieve and a schedule to follow.</t>
  </si>
  <si>
    <t>3 - Define the methods to use.</t>
  </si>
  <si>
    <t>4 - Be clear what the results achieved will mean.</t>
  </si>
  <si>
    <t>5 - Define the responsible for each step / goal.</t>
  </si>
  <si>
    <t>6 - Record this plan in a document.</t>
  </si>
  <si>
    <t>Excute</t>
  </si>
  <si>
    <t>1 - Train people to interpret the plan and work with focus.</t>
  </si>
  <si>
    <t>2 - Get feedback from each person involved in understanding the plan.</t>
  </si>
  <si>
    <t>3 - Perform the steps defined in the action plan.</t>
  </si>
  <si>
    <t>4 - Observe and compare the predicted and accomplished schedule.</t>
  </si>
  <si>
    <t>5 - Make sure that the people involved give feedback on understanding details for the execution of the plan.</t>
  </si>
  <si>
    <t>Verify</t>
  </si>
  <si>
    <t>1 - Monitor results and create indicators.</t>
  </si>
  <si>
    <t>2 - Check results and check for cause prevention.</t>
  </si>
  <si>
    <t>3 - If there is no effect on the cause, go back to the observation step of the letter "P" in the PDCA cycle.</t>
  </si>
  <si>
    <t>4 - Identify and make the necessary corrections.</t>
  </si>
  <si>
    <t>5 - Evaluate the learning and review goals and results.</t>
  </si>
  <si>
    <t>Standerdize</t>
  </si>
  <si>
    <t>1- Use the standard adopted to prevent the recurrence of the problem.</t>
  </si>
  <si>
    <t>Conclusion</t>
  </si>
  <si>
    <t>1 - Document and measure the results obtained.</t>
  </si>
  <si>
    <t>2 - Evaluate whether the results justify the new pattern.</t>
  </si>
  <si>
    <t>3 - Validate the effectiveness of the problem solving process.</t>
  </si>
  <si>
    <t>4 - Repeat the PDCA cycle and apply increment continuous improvements.</t>
  </si>
  <si>
    <t>Members list</t>
  </si>
  <si>
    <t>IT</t>
  </si>
  <si>
    <t>increase OEE 20%</t>
  </si>
  <si>
    <t>Check available box qty</t>
  </si>
  <si>
    <t>Planning</t>
  </si>
  <si>
    <t>Scrap all damage stock of box</t>
  </si>
  <si>
    <t>Check cost of new box</t>
  </si>
  <si>
    <t>Check demand quantity</t>
  </si>
  <si>
    <t>Make new LOB</t>
  </si>
  <si>
    <t>Set training plan for new workers</t>
  </si>
  <si>
    <t>plan</t>
  </si>
  <si>
    <t>OK?</t>
  </si>
  <si>
    <t>No</t>
  </si>
  <si>
    <t>Yes</t>
  </si>
  <si>
    <t>PDCA cycle is four step model for carrying out change and improvement. Just as a circle has no end</t>
  </si>
  <si>
    <t>PDCA review</t>
  </si>
  <si>
    <t>PDCA list</t>
  </si>
  <si>
    <t>PDCA guide</t>
  </si>
  <si>
    <t>Recognize an opportunity and plan a change</t>
  </si>
  <si>
    <t>Test the change and carry out a small-scale study</t>
  </si>
  <si>
    <t>Review the test, analyze the results and identify what you have improved and learned</t>
  </si>
  <si>
    <t>Take action based on what ypu learned in the study step if the change didn't work, go through the cycle again with different plan</t>
  </si>
  <si>
    <t xml:space="preserve">In this sheet you can check progress of PDCA projects </t>
  </si>
  <si>
    <t xml:space="preserve">At plan sheet you will register PDCA plan steps with full details </t>
  </si>
  <si>
    <t>Starting from "PDCA list" sheet will record PDCA project name you can register more than project</t>
  </si>
  <si>
    <t>Also you can update department and PIC "person in charge" lists will reflect your entry project data</t>
  </si>
  <si>
    <t>The same for "Do" "Check" "Act" sheets record your required steps and update completion progress</t>
  </si>
  <si>
    <t>PDCA guide sheets will support you as a guide for PDCA procedures</t>
  </si>
  <si>
    <t>From PDCA review sheet you can see projects progress</t>
  </si>
  <si>
    <t>Categorize box per inch</t>
  </si>
  <si>
    <t>Specify space for new production qty</t>
  </si>
  <si>
    <t>Make 5S for new area</t>
  </si>
  <si>
    <t>Move all old stock for new area</t>
  </si>
  <si>
    <t>Resize new area for updated packing size</t>
  </si>
  <si>
    <t>assign night shift member for new area 5S</t>
  </si>
  <si>
    <t>Note:</t>
  </si>
  <si>
    <t>PDCA template include a random data to just descripe data sequence</t>
  </si>
  <si>
    <t>General</t>
  </si>
  <si>
    <t>PDCA-2000</t>
  </si>
  <si>
    <t>Identify and define problem clearly.</t>
  </si>
  <si>
    <t>Evaluate the importance of the problem.</t>
  </si>
  <si>
    <t>In plan sheet register plan steps for each project " light green column header with black font"and update completion progress.</t>
  </si>
  <si>
    <t>Find out the real causes of the problem.</t>
  </si>
  <si>
    <t>Monitor results and create indicators.</t>
  </si>
  <si>
    <t>Investigate the characteristics</t>
  </si>
  <si>
    <t>Evaluate possible solutions</t>
  </si>
  <si>
    <t>Observe the predicted schedule.</t>
  </si>
  <si>
    <t>The people involved give feedback</t>
  </si>
  <si>
    <t>Monitor results</t>
  </si>
  <si>
    <t>Identify the necessary corrections.</t>
  </si>
  <si>
    <t>Check for cause prevention.</t>
  </si>
  <si>
    <t>Use the standard adopted</t>
  </si>
  <si>
    <t>Document and measure the results</t>
  </si>
  <si>
    <t>Identify the current standard methods</t>
  </si>
  <si>
    <t xml:space="preserve">Broaden your vision. </t>
  </si>
  <si>
    <t>Perform the steps defined in the plan.</t>
  </si>
  <si>
    <t>Train people to interpret the plan</t>
  </si>
  <si>
    <t>Evaluate the learning and review goals</t>
  </si>
  <si>
    <t>Evaluate the results</t>
  </si>
  <si>
    <t>Identify the necessary corrections</t>
  </si>
  <si>
    <t>Validate the effectiveness of improvement</t>
  </si>
  <si>
    <t>PDCA - Plan-Do-Check-Act</t>
  </si>
  <si>
    <t>Record to do tasks in steps</t>
  </si>
  <si>
    <t>Record to check steps</t>
  </si>
  <si>
    <t>Record to Act steps</t>
  </si>
  <si>
    <t>Record PDCA project list and other standards will be used in PDCA cycle</t>
  </si>
  <si>
    <t>This sheet includes a guide for PDCA study step by step and will help you in PDCA procedures</t>
  </si>
  <si>
    <t>The PDCA cycle should be repeated again and again for continuous 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</si>
</sst>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i/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u/>
      <sz val="10"/>
      <color theme="0"/>
      <name val="Arial"/>
      <family val="2"/>
    </font>
    <font>
      <sz val="10"/>
      <color rgb="FF8FCFAD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color rgb="FF8FCFAD"/>
      <name val="Arial"/>
      <family val="2"/>
    </font>
    <font>
      <u/>
      <sz val="10"/>
      <color rgb="FF50B47F"/>
      <name val="Arial"/>
      <family val="2"/>
    </font>
    <font>
      <u/>
      <sz val="10"/>
      <color rgb="FFC00000"/>
      <name val="Arial"/>
      <family val="2"/>
    </font>
    <font>
      <u/>
      <sz val="10"/>
      <color theme="0" tint="-4.9989318521683403E-2"/>
      <name val="Arial"/>
      <family val="2"/>
    </font>
    <font>
      <b/>
      <sz val="7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rgb="FF8FCFA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6" fillId="0" borderId="0" applyNumberForma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64">
    <xf numFmtId="0" fontId="0" fillId="0" borderId="0" xfId="0"/>
    <xf numFmtId="0" fontId="4" fillId="0" borderId="0" xfId="2" applyFont="1"/>
    <xf numFmtId="0" fontId="5" fillId="0" borderId="0" xfId="2" applyFont="1"/>
    <xf numFmtId="0" fontId="7" fillId="0" borderId="0" xfId="2" applyFont="1" applyAlignment="1">
      <alignment horizontal="right"/>
    </xf>
    <xf numFmtId="0" fontId="5" fillId="0" borderId="0" xfId="4" applyFont="1"/>
    <xf numFmtId="0" fontId="8" fillId="0" borderId="0" xfId="2" applyFont="1" applyAlignment="1">
      <alignment horizontal="right"/>
    </xf>
    <xf numFmtId="0" fontId="4" fillId="0" borderId="0" xfId="2" applyFont="1" applyAlignment="1">
      <alignment horizontal="right"/>
    </xf>
    <xf numFmtId="0" fontId="4" fillId="2" borderId="0" xfId="2" applyFont="1" applyFill="1"/>
    <xf numFmtId="0" fontId="9" fillId="2" borderId="0" xfId="2" applyFont="1" applyFill="1"/>
    <xf numFmtId="0" fontId="10" fillId="2" borderId="0" xfId="2" applyFont="1" applyFill="1"/>
    <xf numFmtId="9" fontId="0" fillId="0" borderId="4" xfId="5" applyFont="1" applyBorder="1"/>
    <xf numFmtId="9" fontId="0" fillId="0" borderId="7" xfId="5" applyFont="1" applyBorder="1"/>
    <xf numFmtId="9" fontId="0" fillId="0" borderId="10" xfId="5" applyFont="1" applyBorder="1"/>
    <xf numFmtId="0" fontId="4" fillId="3" borderId="1" xfId="0" applyFont="1" applyFill="1" applyBorder="1"/>
    <xf numFmtId="0" fontId="11" fillId="5" borderId="0" xfId="0" applyFont="1" applyFill="1" applyAlignment="1">
      <alignment horizontal="center"/>
    </xf>
    <xf numFmtId="0" fontId="12" fillId="0" borderId="0" xfId="0" applyFont="1"/>
    <xf numFmtId="0" fontId="12" fillId="3" borderId="0" xfId="0" applyFont="1" applyFill="1"/>
    <xf numFmtId="0" fontId="10" fillId="2" borderId="0" xfId="0" applyFont="1" applyFill="1" applyAlignment="1">
      <alignment horizontal="center" vertical="center"/>
    </xf>
    <xf numFmtId="0" fontId="12" fillId="2" borderId="0" xfId="0" applyFont="1" applyFill="1"/>
    <xf numFmtId="14" fontId="12" fillId="0" borderId="0" xfId="0" applyNumberFormat="1" applyFont="1"/>
    <xf numFmtId="0" fontId="12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9" fontId="12" fillId="0" borderId="0" xfId="5" applyFont="1" applyAlignment="1">
      <alignment horizontal="center"/>
    </xf>
    <xf numFmtId="0" fontId="10" fillId="2" borderId="0" xfId="0" applyFont="1" applyFill="1"/>
    <xf numFmtId="0" fontId="15" fillId="2" borderId="0" xfId="1" applyFont="1" applyFill="1" applyAlignment="1" applyProtection="1">
      <alignment horizontal="center" vertical="center"/>
    </xf>
    <xf numFmtId="165" fontId="12" fillId="0" borderId="0" xfId="6" applyNumberFormat="1" applyFont="1" applyAlignment="1">
      <alignment horizontal="center"/>
    </xf>
    <xf numFmtId="0" fontId="17" fillId="5" borderId="0" xfId="0" applyFont="1" applyFill="1" applyAlignment="1">
      <alignment horizontal="center"/>
    </xf>
    <xf numFmtId="165" fontId="12" fillId="0" borderId="0" xfId="6" applyNumberFormat="1" applyFont="1"/>
    <xf numFmtId="0" fontId="0" fillId="7" borderId="0" xfId="0" applyFill="1"/>
    <xf numFmtId="0" fontId="0" fillId="8" borderId="0" xfId="0" applyFill="1"/>
    <xf numFmtId="0" fontId="12" fillId="8" borderId="0" xfId="0" applyFont="1" applyFill="1"/>
    <xf numFmtId="0" fontId="15" fillId="2" borderId="0" xfId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2" fillId="3" borderId="0" xfId="0" applyFont="1" applyFill="1" applyProtection="1">
      <protection locked="0"/>
    </xf>
    <xf numFmtId="9" fontId="12" fillId="0" borderId="0" xfId="5" applyFont="1" applyAlignment="1" applyProtection="1">
      <alignment horizontal="center"/>
      <protection locked="0"/>
    </xf>
    <xf numFmtId="14" fontId="12" fillId="0" borderId="0" xfId="0" applyNumberFormat="1" applyFont="1" applyProtection="1"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2" borderId="0" xfId="1" applyFont="1" applyFill="1" applyAlignment="1" applyProtection="1"/>
    <xf numFmtId="9" fontId="22" fillId="0" borderId="0" xfId="0" applyNumberFormat="1" applyFont="1" applyAlignment="1">
      <alignment horizontal="center" vertical="center"/>
    </xf>
    <xf numFmtId="165" fontId="0" fillId="0" borderId="5" xfId="6" applyNumberFormat="1" applyFont="1" applyBorder="1" applyAlignment="1">
      <alignment horizontal="left"/>
    </xf>
    <xf numFmtId="165" fontId="0" fillId="0" borderId="6" xfId="6" applyNumberFormat="1" applyFont="1" applyBorder="1" applyAlignment="1">
      <alignment horizontal="left"/>
    </xf>
    <xf numFmtId="0" fontId="12" fillId="4" borderId="11" xfId="0" applyFont="1" applyFill="1" applyBorder="1" applyAlignment="1" applyProtection="1">
      <alignment horizontal="center"/>
      <protection locked="0"/>
    </xf>
    <xf numFmtId="0" fontId="12" fillId="4" borderId="13" xfId="0" applyFont="1" applyFill="1" applyBorder="1" applyAlignment="1" applyProtection="1">
      <alignment horizontal="center"/>
      <protection locked="0"/>
    </xf>
    <xf numFmtId="0" fontId="12" fillId="4" borderId="12" xfId="0" applyFont="1" applyFill="1" applyBorder="1" applyAlignment="1" applyProtection="1">
      <alignment horizontal="center"/>
      <protection locked="0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14" fillId="2" borderId="0" xfId="0" applyFont="1" applyFill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/>
    </xf>
    <xf numFmtId="165" fontId="0" fillId="0" borderId="2" xfId="6" applyNumberFormat="1" applyFont="1" applyBorder="1" applyAlignment="1">
      <alignment horizontal="left"/>
    </xf>
    <xf numFmtId="165" fontId="0" fillId="0" borderId="3" xfId="6" applyNumberFormat="1" applyFont="1" applyBorder="1" applyAlignment="1">
      <alignment horizontal="left"/>
    </xf>
    <xf numFmtId="165" fontId="0" fillId="0" borderId="8" xfId="6" applyNumberFormat="1" applyFont="1" applyBorder="1" applyAlignment="1">
      <alignment horizontal="left"/>
    </xf>
    <xf numFmtId="165" fontId="0" fillId="0" borderId="9" xfId="6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6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8" fillId="2" borderId="0" xfId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</cellXfs>
  <cellStyles count="7">
    <cellStyle name="Comma" xfId="6" builtinId="3"/>
    <cellStyle name="Hyperlink" xfId="1" builtinId="8"/>
    <cellStyle name="Hyperlink 2" xfId="3" xr:uid="{C655A027-0E0A-4515-8F37-17149F1729DF}"/>
    <cellStyle name="Normal" xfId="0" builtinId="0"/>
    <cellStyle name="Normal 2" xfId="2" xr:uid="{538F14FF-6232-45A2-AFCB-2E8184F85E71}"/>
    <cellStyle name="Normal 2 2" xfId="4" xr:uid="{EC160B6C-61A3-46B1-AF32-02D3873369EF}"/>
    <cellStyle name="Percent" xfId="5" builtinId="5"/>
  </cellStyles>
  <dxfs count="75">
    <dxf>
      <font>
        <strike val="0"/>
        <outline val="0"/>
        <shadow val="0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Arial"/>
        <scheme val="none"/>
      </font>
      <numFmt numFmtId="165" formatCode="_(* #,##0_);_(* \(#,##0\);_(* &quot;-&quot;??_);_(@_)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strike val="0"/>
        <outline val="0"/>
        <shadow val="0"/>
        <vertAlign val="baseline"/>
        <sz val="10"/>
        <name val="Arial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8FCFA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Arial"/>
        <scheme val="none"/>
      </font>
      <numFmt numFmtId="165" formatCode="_(* #,##0_);_(* \(#,##0\);_(* &quot;-&quot;??_);_(@_)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strike val="0"/>
        <outline val="0"/>
        <shadow val="0"/>
        <vertAlign val="baseline"/>
        <sz val="10"/>
        <name val="Arial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8FCFA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Arial"/>
        <scheme val="none"/>
      </font>
      <numFmt numFmtId="165" formatCode="_(* #,##0_);_(* \(#,##0\);_(* &quot;-&quot;??_);_(@_)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strike val="0"/>
        <outline val="0"/>
        <shadow val="0"/>
        <vertAlign val="baseline"/>
        <sz val="10"/>
        <name val="Arial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8FCFA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"/>
        <scheme val="none"/>
      </font>
      <numFmt numFmtId="165" formatCode="_(* #,##0_);_(* \(#,##0\);_(* &quot;-&quot;??_);_(@_)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strike val="0"/>
        <outline val="0"/>
        <shadow val="0"/>
        <vertAlign val="baseline"/>
        <sz val="10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  <protection locked="0" hidden="0"/>
    </dxf>
    <dxf>
      <font>
        <strike val="0"/>
        <outline val="0"/>
        <shadow val="0"/>
        <vertAlign val="baseline"/>
        <sz val="10"/>
        <name val="Arial"/>
        <scheme val="none"/>
      </font>
      <numFmt numFmtId="166" formatCode="mm/dd/yyyy"/>
      <protection locked="0" hidden="0"/>
    </dxf>
    <dxf>
      <font>
        <strike val="0"/>
        <outline val="0"/>
        <shadow val="0"/>
        <vertAlign val="baseline"/>
        <sz val="10"/>
        <name val="Arial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strike val="0"/>
        <outline val="0"/>
        <shadow val="0"/>
        <vertAlign val="baseline"/>
        <sz val="10"/>
        <name val="Arial"/>
        <scheme val="none"/>
      </font>
      <protection locked="0" hidden="0"/>
    </dxf>
    <dxf>
      <font>
        <strike val="0"/>
        <outline val="0"/>
        <shadow val="0"/>
        <vertAlign val="baseline"/>
        <sz val="1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8FCFA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C000"/>
      </font>
      <fill>
        <patternFill patternType="none">
          <bgColor auto="1"/>
        </patternFill>
      </fill>
    </dxf>
    <dxf>
      <font>
        <color rgb="FF50B47F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50B47F"/>
      <color rgb="FF8FCFAD"/>
      <color rgb="FFFF4747"/>
      <color rgb="FFFFBDBD"/>
      <color rgb="FFFFA7A7"/>
      <color rgb="FFC87E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3">
  <dgm:title val=""/>
  <dgm:desc val=""/>
  <dgm:catLst>
    <dgm:cat type="colorful" pri="10300"/>
  </dgm:catLst>
  <dgm:styleLbl name="node0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/>
      <a:schemeClr val="accent4"/>
    </dgm:fillClrLst>
    <dgm:linClrLst>
      <a:schemeClr val="accent3"/>
      <a:schemeClr val="accent4"/>
    </dgm:linClrLst>
    <dgm:effectClrLst/>
    <dgm:txLinClrLst/>
    <dgm:txFillClrLst/>
    <dgm:txEffectClrLst/>
  </dgm:styleLbl>
  <dgm:styleLbl name="lnNode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alpha val="50000"/>
      </a:schemeClr>
      <a:schemeClr val="accent4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4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4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/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3"/>
      <a:schemeClr val="accent4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3"/>
      <a:schemeClr val="accent4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3">
        <a:tint val="40000"/>
        <a:alpha val="90000"/>
      </a:schemeClr>
      <a:schemeClr val="accent4">
        <a:tint val="40000"/>
        <a:alpha val="90000"/>
      </a:schemeClr>
    </dgm:fillClrLst>
    <dgm:linClrLst>
      <a:schemeClr val="accent3">
        <a:tint val="40000"/>
        <a:alpha val="90000"/>
      </a:schemeClr>
      <a:schemeClr val="accent4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867DD46B-A53D-4DFE-A3E4-7C43335507BF}" type="doc">
      <dgm:prSet loTypeId="urn:microsoft.com/office/officeart/2005/8/layout/cycle1" loCatId="cycle" qsTypeId="urn:microsoft.com/office/officeart/2005/8/quickstyle/simple2" qsCatId="simple" csTypeId="urn:microsoft.com/office/officeart/2005/8/colors/colorful3" csCatId="colorful" phldr="1"/>
      <dgm:spPr/>
      <dgm:t>
        <a:bodyPr/>
        <a:lstStyle/>
        <a:p>
          <a:endParaRPr lang="en-US"/>
        </a:p>
      </dgm:t>
    </dgm:pt>
    <dgm:pt modelId="{8D9C1C0E-9B11-4A44-999E-7A84753B192E}">
      <dgm:prSet phldrT="[Text]"/>
      <dgm:spPr/>
      <dgm:t>
        <a:bodyPr/>
        <a:lstStyle/>
        <a:p>
          <a:r>
            <a:rPr lang="en-US" b="1"/>
            <a:t>Do</a:t>
          </a:r>
        </a:p>
      </dgm:t>
    </dgm:pt>
    <dgm:pt modelId="{C036F9F6-014D-4C43-AFA9-B0C6E326D49E}" type="parTrans" cxnId="{D94EA44F-6F25-45EC-B1B2-C100A5A389BF}">
      <dgm:prSet/>
      <dgm:spPr/>
      <dgm:t>
        <a:bodyPr/>
        <a:lstStyle/>
        <a:p>
          <a:endParaRPr lang="en-US"/>
        </a:p>
      </dgm:t>
    </dgm:pt>
    <dgm:pt modelId="{5CE754C8-8A59-42CF-A9AA-D2249044AF58}" type="sibTrans" cxnId="{D94EA44F-6F25-45EC-B1B2-C100A5A389BF}">
      <dgm:prSet/>
      <dgm:spPr/>
      <dgm:t>
        <a:bodyPr/>
        <a:lstStyle/>
        <a:p>
          <a:endParaRPr lang="en-US"/>
        </a:p>
      </dgm:t>
    </dgm:pt>
    <dgm:pt modelId="{2F58AD96-5DC3-46DA-990E-E5CFE06BCACA}">
      <dgm:prSet phldrT="[Text]"/>
      <dgm:spPr/>
      <dgm:t>
        <a:bodyPr/>
        <a:lstStyle/>
        <a:p>
          <a:r>
            <a:rPr lang="en-US" b="1"/>
            <a:t>Check</a:t>
          </a:r>
        </a:p>
      </dgm:t>
    </dgm:pt>
    <dgm:pt modelId="{89EEE12B-20B1-491A-877E-8AA3B9C9A076}" type="parTrans" cxnId="{701B7877-11C1-475C-A5F6-41ED979F407A}">
      <dgm:prSet/>
      <dgm:spPr/>
      <dgm:t>
        <a:bodyPr/>
        <a:lstStyle/>
        <a:p>
          <a:endParaRPr lang="en-US"/>
        </a:p>
      </dgm:t>
    </dgm:pt>
    <dgm:pt modelId="{A02CFF5F-5087-4810-9E1E-066BCE2F397A}" type="sibTrans" cxnId="{701B7877-11C1-475C-A5F6-41ED979F407A}">
      <dgm:prSet/>
      <dgm:spPr/>
      <dgm:t>
        <a:bodyPr/>
        <a:lstStyle/>
        <a:p>
          <a:endParaRPr lang="en-US"/>
        </a:p>
      </dgm:t>
    </dgm:pt>
    <dgm:pt modelId="{EB640E6F-62AA-44D5-A9C0-DA10EB2256BA}">
      <dgm:prSet phldrT="[Text]"/>
      <dgm:spPr/>
      <dgm:t>
        <a:bodyPr/>
        <a:lstStyle/>
        <a:p>
          <a:r>
            <a:rPr lang="en-US" b="1"/>
            <a:t>Act</a:t>
          </a:r>
        </a:p>
      </dgm:t>
    </dgm:pt>
    <dgm:pt modelId="{C034BB85-04F8-4F6C-8134-ADF88A1275D7}" type="parTrans" cxnId="{4BACCB57-B7BB-40CB-B72E-D91022AE9911}">
      <dgm:prSet/>
      <dgm:spPr/>
      <dgm:t>
        <a:bodyPr/>
        <a:lstStyle/>
        <a:p>
          <a:endParaRPr lang="en-US"/>
        </a:p>
      </dgm:t>
    </dgm:pt>
    <dgm:pt modelId="{68F4C72B-71B1-445C-88B8-D4A5A18AD5F4}" type="sibTrans" cxnId="{4BACCB57-B7BB-40CB-B72E-D91022AE9911}">
      <dgm:prSet/>
      <dgm:spPr/>
      <dgm:t>
        <a:bodyPr/>
        <a:lstStyle/>
        <a:p>
          <a:endParaRPr lang="en-US"/>
        </a:p>
      </dgm:t>
    </dgm:pt>
    <dgm:pt modelId="{555F2A06-1EFE-4C75-9840-E5CB1508078F}">
      <dgm:prSet phldrT="[Text]"/>
      <dgm:spPr/>
      <dgm:t>
        <a:bodyPr/>
        <a:lstStyle/>
        <a:p>
          <a:r>
            <a:rPr lang="en-US" b="1"/>
            <a:t>Plan</a:t>
          </a:r>
        </a:p>
      </dgm:t>
    </dgm:pt>
    <dgm:pt modelId="{F5A1F218-6AF9-4808-8BC3-DC910F706DBA}" type="parTrans" cxnId="{8FC9DA81-E7D2-4AD3-9A43-66EFA1E136E1}">
      <dgm:prSet/>
      <dgm:spPr/>
      <dgm:t>
        <a:bodyPr/>
        <a:lstStyle/>
        <a:p>
          <a:endParaRPr lang="en-US"/>
        </a:p>
      </dgm:t>
    </dgm:pt>
    <dgm:pt modelId="{E9A0DAA2-3613-4167-BC44-FDC3C9C44E33}" type="sibTrans" cxnId="{8FC9DA81-E7D2-4AD3-9A43-66EFA1E136E1}">
      <dgm:prSet/>
      <dgm:spPr/>
      <dgm:t>
        <a:bodyPr/>
        <a:lstStyle/>
        <a:p>
          <a:endParaRPr lang="en-US"/>
        </a:p>
      </dgm:t>
    </dgm:pt>
    <dgm:pt modelId="{780FCBE2-4C99-4743-BC81-88094ADDA7C2}" type="pres">
      <dgm:prSet presAssocID="{867DD46B-A53D-4DFE-A3E4-7C43335507BF}" presName="cycle" presStyleCnt="0">
        <dgm:presLayoutVars>
          <dgm:dir/>
          <dgm:resizeHandles val="exact"/>
        </dgm:presLayoutVars>
      </dgm:prSet>
      <dgm:spPr/>
    </dgm:pt>
    <dgm:pt modelId="{75669244-0F2B-4275-B5ED-E773CB2C906F}" type="pres">
      <dgm:prSet presAssocID="{8D9C1C0E-9B11-4A44-999E-7A84753B192E}" presName="dummy" presStyleCnt="0"/>
      <dgm:spPr/>
    </dgm:pt>
    <dgm:pt modelId="{2579305D-801A-4865-9B18-056706F906A0}" type="pres">
      <dgm:prSet presAssocID="{8D9C1C0E-9B11-4A44-999E-7A84753B192E}" presName="node" presStyleLbl="revTx" presStyleIdx="0" presStyleCnt="4" custRadScaleRad="102285" custRadScaleInc="4222">
        <dgm:presLayoutVars>
          <dgm:bulletEnabled val="1"/>
        </dgm:presLayoutVars>
      </dgm:prSet>
      <dgm:spPr/>
    </dgm:pt>
    <dgm:pt modelId="{131FF07E-F721-4F71-81BD-3C14D923EE67}" type="pres">
      <dgm:prSet presAssocID="{5CE754C8-8A59-42CF-A9AA-D2249044AF58}" presName="sibTrans" presStyleLbl="node1" presStyleIdx="0" presStyleCnt="4"/>
      <dgm:spPr/>
    </dgm:pt>
    <dgm:pt modelId="{A58BF238-7197-43F3-816F-80BBFDE9D69C}" type="pres">
      <dgm:prSet presAssocID="{2F58AD96-5DC3-46DA-990E-E5CFE06BCACA}" presName="dummy" presStyleCnt="0"/>
      <dgm:spPr/>
    </dgm:pt>
    <dgm:pt modelId="{20CC0CFE-0B36-417A-9F84-0FBD1EA308E9}" type="pres">
      <dgm:prSet presAssocID="{2F58AD96-5DC3-46DA-990E-E5CFE06BCACA}" presName="node" presStyleLbl="revTx" presStyleIdx="1" presStyleCnt="4">
        <dgm:presLayoutVars>
          <dgm:bulletEnabled val="1"/>
        </dgm:presLayoutVars>
      </dgm:prSet>
      <dgm:spPr/>
    </dgm:pt>
    <dgm:pt modelId="{679287D6-22D9-43D2-8C11-D01B6656951C}" type="pres">
      <dgm:prSet presAssocID="{A02CFF5F-5087-4810-9E1E-066BCE2F397A}" presName="sibTrans" presStyleLbl="node1" presStyleIdx="1" presStyleCnt="4"/>
      <dgm:spPr/>
    </dgm:pt>
    <dgm:pt modelId="{2286714A-E469-4249-89F2-EBFB78D2663D}" type="pres">
      <dgm:prSet presAssocID="{EB640E6F-62AA-44D5-A9C0-DA10EB2256BA}" presName="dummy" presStyleCnt="0"/>
      <dgm:spPr/>
    </dgm:pt>
    <dgm:pt modelId="{92992D8D-4505-4DCF-A18D-415D22D275B2}" type="pres">
      <dgm:prSet presAssocID="{EB640E6F-62AA-44D5-A9C0-DA10EB2256BA}" presName="node" presStyleLbl="revTx" presStyleIdx="2" presStyleCnt="4">
        <dgm:presLayoutVars>
          <dgm:bulletEnabled val="1"/>
        </dgm:presLayoutVars>
      </dgm:prSet>
      <dgm:spPr/>
    </dgm:pt>
    <dgm:pt modelId="{9B2E7BFF-9526-4FF1-A3DD-C3D3EFAD9A1F}" type="pres">
      <dgm:prSet presAssocID="{68F4C72B-71B1-445C-88B8-D4A5A18AD5F4}" presName="sibTrans" presStyleLbl="node1" presStyleIdx="2" presStyleCnt="4"/>
      <dgm:spPr/>
    </dgm:pt>
    <dgm:pt modelId="{64CFD7CA-5517-4814-92D1-FC516AAB8FEF}" type="pres">
      <dgm:prSet presAssocID="{555F2A06-1EFE-4C75-9840-E5CB1508078F}" presName="dummy" presStyleCnt="0"/>
      <dgm:spPr/>
    </dgm:pt>
    <dgm:pt modelId="{6725A9D5-73DE-4D9B-8564-49219A94C41E}" type="pres">
      <dgm:prSet presAssocID="{555F2A06-1EFE-4C75-9840-E5CB1508078F}" presName="node" presStyleLbl="revTx" presStyleIdx="3" presStyleCnt="4">
        <dgm:presLayoutVars>
          <dgm:bulletEnabled val="1"/>
        </dgm:presLayoutVars>
      </dgm:prSet>
      <dgm:spPr/>
    </dgm:pt>
    <dgm:pt modelId="{F1D92527-29E4-4818-B844-9F899AD5C503}" type="pres">
      <dgm:prSet presAssocID="{E9A0DAA2-3613-4167-BC44-FDC3C9C44E33}" presName="sibTrans" presStyleLbl="node1" presStyleIdx="3" presStyleCnt="4"/>
      <dgm:spPr/>
    </dgm:pt>
  </dgm:ptLst>
  <dgm:cxnLst>
    <dgm:cxn modelId="{313FB41C-965C-4948-9AEC-9721916CC5A0}" type="presOf" srcId="{5CE754C8-8A59-42CF-A9AA-D2249044AF58}" destId="{131FF07E-F721-4F71-81BD-3C14D923EE67}" srcOrd="0" destOrd="0" presId="urn:microsoft.com/office/officeart/2005/8/layout/cycle1"/>
    <dgm:cxn modelId="{4203212E-2A59-4EA7-80EE-39A3D1C9C11C}" type="presOf" srcId="{E9A0DAA2-3613-4167-BC44-FDC3C9C44E33}" destId="{F1D92527-29E4-4818-B844-9F899AD5C503}" srcOrd="0" destOrd="0" presId="urn:microsoft.com/office/officeart/2005/8/layout/cycle1"/>
    <dgm:cxn modelId="{665AF13A-24E9-4F6B-A1A0-FBBD1F06210F}" type="presOf" srcId="{EB640E6F-62AA-44D5-A9C0-DA10EB2256BA}" destId="{92992D8D-4505-4DCF-A18D-415D22D275B2}" srcOrd="0" destOrd="0" presId="urn:microsoft.com/office/officeart/2005/8/layout/cycle1"/>
    <dgm:cxn modelId="{3BC71D64-09F3-4AF0-A639-FF5F3F1A51DA}" type="presOf" srcId="{2F58AD96-5DC3-46DA-990E-E5CFE06BCACA}" destId="{20CC0CFE-0B36-417A-9F84-0FBD1EA308E9}" srcOrd="0" destOrd="0" presId="urn:microsoft.com/office/officeart/2005/8/layout/cycle1"/>
    <dgm:cxn modelId="{82B5E565-3911-4D2D-BA6E-6BCA4C7533DF}" type="presOf" srcId="{68F4C72B-71B1-445C-88B8-D4A5A18AD5F4}" destId="{9B2E7BFF-9526-4FF1-A3DD-C3D3EFAD9A1F}" srcOrd="0" destOrd="0" presId="urn:microsoft.com/office/officeart/2005/8/layout/cycle1"/>
    <dgm:cxn modelId="{D5641F4C-67D4-43F7-A12C-9B5C90D71DDE}" type="presOf" srcId="{867DD46B-A53D-4DFE-A3E4-7C43335507BF}" destId="{780FCBE2-4C99-4743-BC81-88094ADDA7C2}" srcOrd="0" destOrd="0" presId="urn:microsoft.com/office/officeart/2005/8/layout/cycle1"/>
    <dgm:cxn modelId="{D94EA44F-6F25-45EC-B1B2-C100A5A389BF}" srcId="{867DD46B-A53D-4DFE-A3E4-7C43335507BF}" destId="{8D9C1C0E-9B11-4A44-999E-7A84753B192E}" srcOrd="0" destOrd="0" parTransId="{C036F9F6-014D-4C43-AFA9-B0C6E326D49E}" sibTransId="{5CE754C8-8A59-42CF-A9AA-D2249044AF58}"/>
    <dgm:cxn modelId="{B921ED56-1BA9-46C2-93F2-082D3E68B0CA}" type="presOf" srcId="{555F2A06-1EFE-4C75-9840-E5CB1508078F}" destId="{6725A9D5-73DE-4D9B-8564-49219A94C41E}" srcOrd="0" destOrd="0" presId="urn:microsoft.com/office/officeart/2005/8/layout/cycle1"/>
    <dgm:cxn modelId="{701B7877-11C1-475C-A5F6-41ED979F407A}" srcId="{867DD46B-A53D-4DFE-A3E4-7C43335507BF}" destId="{2F58AD96-5DC3-46DA-990E-E5CFE06BCACA}" srcOrd="1" destOrd="0" parTransId="{89EEE12B-20B1-491A-877E-8AA3B9C9A076}" sibTransId="{A02CFF5F-5087-4810-9E1E-066BCE2F397A}"/>
    <dgm:cxn modelId="{4BACCB57-B7BB-40CB-B72E-D91022AE9911}" srcId="{867DD46B-A53D-4DFE-A3E4-7C43335507BF}" destId="{EB640E6F-62AA-44D5-A9C0-DA10EB2256BA}" srcOrd="2" destOrd="0" parTransId="{C034BB85-04F8-4F6C-8134-ADF88A1275D7}" sibTransId="{68F4C72B-71B1-445C-88B8-D4A5A18AD5F4}"/>
    <dgm:cxn modelId="{8FC9DA81-E7D2-4AD3-9A43-66EFA1E136E1}" srcId="{867DD46B-A53D-4DFE-A3E4-7C43335507BF}" destId="{555F2A06-1EFE-4C75-9840-E5CB1508078F}" srcOrd="3" destOrd="0" parTransId="{F5A1F218-6AF9-4808-8BC3-DC910F706DBA}" sibTransId="{E9A0DAA2-3613-4167-BC44-FDC3C9C44E33}"/>
    <dgm:cxn modelId="{033509C5-0AE5-4379-AAE5-0860BFC7233B}" type="presOf" srcId="{8D9C1C0E-9B11-4A44-999E-7A84753B192E}" destId="{2579305D-801A-4865-9B18-056706F906A0}" srcOrd="0" destOrd="0" presId="urn:microsoft.com/office/officeart/2005/8/layout/cycle1"/>
    <dgm:cxn modelId="{CCD51CE2-8855-4A13-BB6D-17DF0D61D29C}" type="presOf" srcId="{A02CFF5F-5087-4810-9E1E-066BCE2F397A}" destId="{679287D6-22D9-43D2-8C11-D01B6656951C}" srcOrd="0" destOrd="0" presId="urn:microsoft.com/office/officeart/2005/8/layout/cycle1"/>
    <dgm:cxn modelId="{2810E6FD-3220-4CAF-A0E7-355F4091C533}" type="presParOf" srcId="{780FCBE2-4C99-4743-BC81-88094ADDA7C2}" destId="{75669244-0F2B-4275-B5ED-E773CB2C906F}" srcOrd="0" destOrd="0" presId="urn:microsoft.com/office/officeart/2005/8/layout/cycle1"/>
    <dgm:cxn modelId="{3FEA5EBD-2F07-40F7-8AB7-854032ECFE94}" type="presParOf" srcId="{780FCBE2-4C99-4743-BC81-88094ADDA7C2}" destId="{2579305D-801A-4865-9B18-056706F906A0}" srcOrd="1" destOrd="0" presId="urn:microsoft.com/office/officeart/2005/8/layout/cycle1"/>
    <dgm:cxn modelId="{AE476F6D-867A-4E7D-93E3-7F3AE7193C03}" type="presParOf" srcId="{780FCBE2-4C99-4743-BC81-88094ADDA7C2}" destId="{131FF07E-F721-4F71-81BD-3C14D923EE67}" srcOrd="2" destOrd="0" presId="urn:microsoft.com/office/officeart/2005/8/layout/cycle1"/>
    <dgm:cxn modelId="{C31E3768-7CAC-4445-A85A-A53F41620550}" type="presParOf" srcId="{780FCBE2-4C99-4743-BC81-88094ADDA7C2}" destId="{A58BF238-7197-43F3-816F-80BBFDE9D69C}" srcOrd="3" destOrd="0" presId="urn:microsoft.com/office/officeart/2005/8/layout/cycle1"/>
    <dgm:cxn modelId="{BD89A23E-5EC8-4D32-B2E1-FD45EEA09CC0}" type="presParOf" srcId="{780FCBE2-4C99-4743-BC81-88094ADDA7C2}" destId="{20CC0CFE-0B36-417A-9F84-0FBD1EA308E9}" srcOrd="4" destOrd="0" presId="urn:microsoft.com/office/officeart/2005/8/layout/cycle1"/>
    <dgm:cxn modelId="{13ACE42C-52C2-456B-BB5B-03CF9F5F2C91}" type="presParOf" srcId="{780FCBE2-4C99-4743-BC81-88094ADDA7C2}" destId="{679287D6-22D9-43D2-8C11-D01B6656951C}" srcOrd="5" destOrd="0" presId="urn:microsoft.com/office/officeart/2005/8/layout/cycle1"/>
    <dgm:cxn modelId="{CAAA4330-AD78-43E0-B462-D25B94F8EBE6}" type="presParOf" srcId="{780FCBE2-4C99-4743-BC81-88094ADDA7C2}" destId="{2286714A-E469-4249-89F2-EBFB78D2663D}" srcOrd="6" destOrd="0" presId="urn:microsoft.com/office/officeart/2005/8/layout/cycle1"/>
    <dgm:cxn modelId="{74E3F180-C244-43CC-8FB1-D6C3FFF77450}" type="presParOf" srcId="{780FCBE2-4C99-4743-BC81-88094ADDA7C2}" destId="{92992D8D-4505-4DCF-A18D-415D22D275B2}" srcOrd="7" destOrd="0" presId="urn:microsoft.com/office/officeart/2005/8/layout/cycle1"/>
    <dgm:cxn modelId="{2A735623-B968-458D-98DD-6A80492F682A}" type="presParOf" srcId="{780FCBE2-4C99-4743-BC81-88094ADDA7C2}" destId="{9B2E7BFF-9526-4FF1-A3DD-C3D3EFAD9A1F}" srcOrd="8" destOrd="0" presId="urn:microsoft.com/office/officeart/2005/8/layout/cycle1"/>
    <dgm:cxn modelId="{F33EB704-FFEA-4398-B268-F8E0E4186869}" type="presParOf" srcId="{780FCBE2-4C99-4743-BC81-88094ADDA7C2}" destId="{64CFD7CA-5517-4814-92D1-FC516AAB8FEF}" srcOrd="9" destOrd="0" presId="urn:microsoft.com/office/officeart/2005/8/layout/cycle1"/>
    <dgm:cxn modelId="{FDB504D7-C688-4D0A-87C0-50D4E9C360B7}" type="presParOf" srcId="{780FCBE2-4C99-4743-BC81-88094ADDA7C2}" destId="{6725A9D5-73DE-4D9B-8564-49219A94C41E}" srcOrd="10" destOrd="0" presId="urn:microsoft.com/office/officeart/2005/8/layout/cycle1"/>
    <dgm:cxn modelId="{1BC08492-CF71-4BD7-9B2C-9E3CC5FB5954}" type="presParOf" srcId="{780FCBE2-4C99-4743-BC81-88094ADDA7C2}" destId="{F1D92527-29E4-4818-B844-9F899AD5C503}" srcOrd="11" destOrd="0" presId="urn:microsoft.com/office/officeart/2005/8/layout/cycle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579305D-801A-4865-9B18-056706F906A0}">
      <dsp:nvSpPr>
        <dsp:cNvPr id="0" name=""/>
        <dsp:cNvSpPr/>
      </dsp:nvSpPr>
      <dsp:spPr>
        <a:xfrm>
          <a:off x="3343690" y="95871"/>
          <a:ext cx="1512079" cy="151207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5880" tIns="55880" rIns="55880" bIns="55880" numCol="1" spcCol="1270" anchor="ctr" anchorCtr="0">
          <a:noAutofit/>
        </a:bodyPr>
        <a:lstStyle/>
        <a:p>
          <a:pPr marL="0" lvl="0" indent="0" algn="ctr" defTabSz="1955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4400" b="1" kern="1200"/>
            <a:t>Do</a:t>
          </a:r>
        </a:p>
      </dsp:txBody>
      <dsp:txXfrm>
        <a:off x="3343690" y="95871"/>
        <a:ext cx="1512079" cy="1512079"/>
      </dsp:txXfrm>
    </dsp:sp>
    <dsp:sp modelId="{131FF07E-F721-4F71-81BD-3C14D923EE67}">
      <dsp:nvSpPr>
        <dsp:cNvPr id="0" name=""/>
        <dsp:cNvSpPr/>
      </dsp:nvSpPr>
      <dsp:spPr>
        <a:xfrm>
          <a:off x="639643" y="-71555"/>
          <a:ext cx="4277522" cy="4277522"/>
        </a:xfrm>
        <a:prstGeom prst="circularArrow">
          <a:avLst>
            <a:gd name="adj1" fmla="val 6893"/>
            <a:gd name="adj2" fmla="val 464644"/>
            <a:gd name="adj3" fmla="val 693886"/>
            <a:gd name="adj4" fmla="val 20722718"/>
            <a:gd name="adj5" fmla="val 8042"/>
          </a:avLst>
        </a:prstGeom>
        <a:solidFill>
          <a:schemeClr val="accent3">
            <a:hueOff val="0"/>
            <a:satOff val="0"/>
            <a:lumOff val="0"/>
            <a:alphaOff val="0"/>
          </a:schemeClr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20CC0CFE-0B36-417A-9F84-0FBD1EA308E9}">
      <dsp:nvSpPr>
        <dsp:cNvPr id="0" name=""/>
        <dsp:cNvSpPr/>
      </dsp:nvSpPr>
      <dsp:spPr>
        <a:xfrm>
          <a:off x="3285529" y="2668786"/>
          <a:ext cx="1512079" cy="151207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5880" tIns="55880" rIns="55880" bIns="55880" numCol="1" spcCol="1270" anchor="ctr" anchorCtr="0">
          <a:noAutofit/>
        </a:bodyPr>
        <a:lstStyle/>
        <a:p>
          <a:pPr marL="0" lvl="0" indent="0" algn="ctr" defTabSz="1955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4400" b="1" kern="1200"/>
            <a:t>Check</a:t>
          </a:r>
        </a:p>
      </dsp:txBody>
      <dsp:txXfrm>
        <a:off x="3285529" y="2668786"/>
        <a:ext cx="1512079" cy="1512079"/>
      </dsp:txXfrm>
    </dsp:sp>
    <dsp:sp modelId="{679287D6-22D9-43D2-8C11-D01B6656951C}">
      <dsp:nvSpPr>
        <dsp:cNvPr id="0" name=""/>
        <dsp:cNvSpPr/>
      </dsp:nvSpPr>
      <dsp:spPr>
        <a:xfrm>
          <a:off x="616344" y="-398"/>
          <a:ext cx="4277522" cy="4277522"/>
        </a:xfrm>
        <a:prstGeom prst="circularArrow">
          <a:avLst>
            <a:gd name="adj1" fmla="val 6893"/>
            <a:gd name="adj2" fmla="val 464644"/>
            <a:gd name="adj3" fmla="val 5952397"/>
            <a:gd name="adj4" fmla="val 4382960"/>
            <a:gd name="adj5" fmla="val 8042"/>
          </a:avLst>
        </a:prstGeom>
        <a:solidFill>
          <a:schemeClr val="accent3">
            <a:hueOff val="3750088"/>
            <a:satOff val="-5627"/>
            <a:lumOff val="-915"/>
            <a:alphaOff val="0"/>
          </a:schemeClr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92992D8D-4505-4DCF-A18D-415D22D275B2}">
      <dsp:nvSpPr>
        <dsp:cNvPr id="0" name=""/>
        <dsp:cNvSpPr/>
      </dsp:nvSpPr>
      <dsp:spPr>
        <a:xfrm>
          <a:off x="712602" y="2668786"/>
          <a:ext cx="1512079" cy="151207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5880" tIns="55880" rIns="55880" bIns="55880" numCol="1" spcCol="1270" anchor="ctr" anchorCtr="0">
          <a:noAutofit/>
        </a:bodyPr>
        <a:lstStyle/>
        <a:p>
          <a:pPr marL="0" lvl="0" indent="0" algn="ctr" defTabSz="1955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4400" b="1" kern="1200"/>
            <a:t>Act</a:t>
          </a:r>
        </a:p>
      </dsp:txBody>
      <dsp:txXfrm>
        <a:off x="712602" y="2668786"/>
        <a:ext cx="1512079" cy="1512079"/>
      </dsp:txXfrm>
    </dsp:sp>
    <dsp:sp modelId="{9B2E7BFF-9526-4FF1-A3DD-C3D3EFAD9A1F}">
      <dsp:nvSpPr>
        <dsp:cNvPr id="0" name=""/>
        <dsp:cNvSpPr/>
      </dsp:nvSpPr>
      <dsp:spPr>
        <a:xfrm>
          <a:off x="616344" y="-398"/>
          <a:ext cx="4277522" cy="4277522"/>
        </a:xfrm>
        <a:prstGeom prst="circularArrow">
          <a:avLst>
            <a:gd name="adj1" fmla="val 6893"/>
            <a:gd name="adj2" fmla="val 464644"/>
            <a:gd name="adj3" fmla="val 11352397"/>
            <a:gd name="adj4" fmla="val 9782960"/>
            <a:gd name="adj5" fmla="val 8042"/>
          </a:avLst>
        </a:prstGeom>
        <a:solidFill>
          <a:schemeClr val="accent3">
            <a:hueOff val="7500176"/>
            <a:satOff val="-11253"/>
            <a:lumOff val="-1830"/>
            <a:alphaOff val="0"/>
          </a:schemeClr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6725A9D5-73DE-4D9B-8564-49219A94C41E}">
      <dsp:nvSpPr>
        <dsp:cNvPr id="0" name=""/>
        <dsp:cNvSpPr/>
      </dsp:nvSpPr>
      <dsp:spPr>
        <a:xfrm>
          <a:off x="712602" y="95858"/>
          <a:ext cx="1512079" cy="151207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5880" tIns="55880" rIns="55880" bIns="55880" numCol="1" spcCol="1270" anchor="ctr" anchorCtr="0">
          <a:noAutofit/>
        </a:bodyPr>
        <a:lstStyle/>
        <a:p>
          <a:pPr marL="0" lvl="0" indent="0" algn="ctr" defTabSz="19558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4400" b="1" kern="1200"/>
            <a:t>Plan</a:t>
          </a:r>
        </a:p>
      </dsp:txBody>
      <dsp:txXfrm>
        <a:off x="712602" y="95858"/>
        <a:ext cx="1512079" cy="1512079"/>
      </dsp:txXfrm>
    </dsp:sp>
    <dsp:sp modelId="{F1D92527-29E4-4818-B844-9F899AD5C503}">
      <dsp:nvSpPr>
        <dsp:cNvPr id="0" name=""/>
        <dsp:cNvSpPr/>
      </dsp:nvSpPr>
      <dsp:spPr>
        <a:xfrm>
          <a:off x="684209" y="-22547"/>
          <a:ext cx="4277522" cy="4277522"/>
        </a:xfrm>
        <a:prstGeom prst="circularArrow">
          <a:avLst>
            <a:gd name="adj1" fmla="val 6893"/>
            <a:gd name="adj2" fmla="val 464644"/>
            <a:gd name="adj3" fmla="val 16733243"/>
            <a:gd name="adj4" fmla="val 15048059"/>
            <a:gd name="adj5" fmla="val 8042"/>
          </a:avLst>
        </a:prstGeom>
        <a:solidFill>
          <a:schemeClr val="accent3">
            <a:hueOff val="11250264"/>
            <a:satOff val="-16880"/>
            <a:lumOff val="-2745"/>
            <a:alphaOff val="0"/>
          </a:schemeClr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ycle1">
  <dgm:title val=""/>
  <dgm:desc val=""/>
  <dgm:catLst>
    <dgm:cat type="cycle" pri="2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  <dgm:cxn modelId="10" srcId="0" destId="5" srcOrd="4" destOrd="0"/>
      </dgm:cxnLst>
      <dgm:bg/>
      <dgm:whole/>
    </dgm:dataModel>
  </dgm:sampData>
  <dgm:styleData>
    <dgm:dataModel>
      <dgm:ptLst>
        <dgm:pt modelId="0" type="doc"/>
        <dgm:pt modelId="1"/>
        <dgm:pt modelId="2"/>
        <dgm:pt modelId="3"/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cycle">
    <dgm:varLst>
      <dgm:dir/>
      <dgm:resizeHandles val="exact"/>
    </dgm:varLst>
    <dgm:choose name="Name0">
      <dgm:if name="Name1" func="var" arg="dir" op="equ" val="norm">
        <dgm:alg type="cycle">
          <dgm:param type="stAng" val="0"/>
          <dgm:param type="spanAng" val="360"/>
        </dgm:alg>
      </dgm:if>
      <dgm:else name="Name2">
        <dgm:alg type="cycle">
          <dgm:param type="stAng" val="0"/>
          <dgm:param type="spanAng" val="-360"/>
        </dgm:alg>
      </dgm:else>
    </dgm:choose>
    <dgm:shape xmlns:r="http://schemas.openxmlformats.org/officeDocument/2006/relationships" r:blip="">
      <dgm:adjLst/>
    </dgm:shape>
    <dgm:presOf/>
    <dgm:choose name="Name3">
      <dgm:if name="Name4" func="var" arg="dir" op="equ" val="norm">
        <dgm:constrLst>
          <dgm:constr type="diam" val="1"/>
          <dgm:constr type="w" for="ch" forName="node" refType="w"/>
          <dgm:constr type="w" for="ch" ptType="sibTrans" refType="w" refFor="ch" refForName="node" fact="0.5"/>
          <dgm:constr type="h" for="ch" ptType="sibTrans" op="equ"/>
          <dgm:constr type="diam" for="ch" ptType="sibTrans" refType="diam" op="equ"/>
          <dgm:constr type="sibSp" refType="w" refFor="ch" refForName="node" fact="0.15"/>
          <dgm:constr type="w" for="ch" forName="dummy" refType="sibSp" fact="2.8"/>
          <dgm:constr type="primFontSz" for="ch" forName="node" op="equ" val="65"/>
        </dgm:constrLst>
      </dgm:if>
      <dgm:else name="Name5">
        <dgm:constrLst>
          <dgm:constr type="diam" val="1"/>
          <dgm:constr type="w" for="ch" forName="node" refType="w"/>
          <dgm:constr type="w" for="ch" ptType="sibTrans" refType="w" refFor="ch" refForName="node" fact="0.5"/>
          <dgm:constr type="h" for="ch" ptType="sibTrans" op="equ"/>
          <dgm:constr type="diam" for="ch" ptType="sibTrans" refType="diam" op="equ" fact="-1"/>
          <dgm:constr type="sibSp" refType="w" refFor="ch" refForName="node" fact="0.15"/>
          <dgm:constr type="w" for="ch" forName="dummy" refType="sibSp" fact="2.8"/>
          <dgm:constr type="primFontSz" for="ch" forName="node" op="equ" val="65"/>
        </dgm:constrLst>
      </dgm:else>
    </dgm:choose>
    <dgm:ruleLst>
      <dgm:rule type="diam" val="INF" fact="NaN" max="NaN"/>
    </dgm:ruleLst>
    <dgm:forEach name="nodesForEach" axis="ch" ptType="node">
      <dgm:choose name="Name6">
        <dgm:if name="Name7" axis="par ch" ptType="doc node" func="cnt" op="gt" val="1">
          <dgm:layoutNode name="dummy">
            <dgm:alg type="sp"/>
            <dgm:shape xmlns:r="http://schemas.openxmlformats.org/officeDocument/2006/relationships" r:blip="">
              <dgm:adjLst/>
            </dgm:shape>
            <dgm:presOf/>
            <dgm:constrLst>
              <dgm:constr type="h" refType="w"/>
            </dgm:constrLst>
            <dgm:ruleLst/>
          </dgm:layoutNode>
        </dgm:if>
        <dgm:else name="Name8"/>
      </dgm:choose>
      <dgm:layoutNode name="node" styleLbl="revTx">
        <dgm:varLst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>
          <dgm:adjLst/>
        </dgm:shape>
        <dgm:presOf axis="desOrSelf" ptType="node"/>
        <dgm:constrLst>
          <dgm:constr type="h" refType="w"/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  <dgm:choose name="Name9">
        <dgm:if name="Name10" axis="par ch" ptType="doc node" func="cnt" op="gt" val="1">
          <dgm:forEach name="Name11" axis="followSib" ptType="sibTrans" hideLastTrans="0" cnt="1">
            <dgm:layoutNode name="sibTrans" styleLbl="node1">
              <dgm:alg type="conn">
                <dgm:param type="connRout" val="curve"/>
                <dgm:param type="begPts" val="radial"/>
                <dgm:param type="endPts" val="radial"/>
              </dgm:alg>
              <dgm:shape xmlns:r="http://schemas.openxmlformats.org/officeDocument/2006/relationships" type="conn" r:blip="">
                <dgm:adjLst/>
              </dgm:shape>
              <dgm:presOf axis="self"/>
              <dgm:constrLst>
                <dgm:constr type="h" refType="w" fact="0.65"/>
                <dgm:constr type="begPad"/>
                <dgm:constr type="endPad"/>
              </dgm:constrLst>
              <dgm:ruleLst/>
            </dgm:layoutNode>
          </dgm:forEach>
        </dgm:if>
        <dgm:else name="Name12"/>
      </dgm:choos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2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200026</xdr:colOff>
      <xdr:row>6</xdr:row>
      <xdr:rowOff>47625</xdr:rowOff>
    </xdr:from>
    <xdr:to>
      <xdr:col>12</xdr:col>
      <xdr:colOff>161926</xdr:colOff>
      <xdr:row>28</xdr:row>
      <xdr:rowOff>142875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1</xdr:row>
          <xdr:rowOff>9525</xdr:rowOff>
        </xdr:from>
        <xdr:to>
          <xdr:col>9</xdr:col>
          <xdr:colOff>1733550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214034</xdr:colOff>
      <xdr:row>33</xdr:row>
      <xdr:rowOff>104775</xdr:rowOff>
    </xdr:from>
    <xdr:to>
      <xdr:col>13</xdr:col>
      <xdr:colOff>585509</xdr:colOff>
      <xdr:row>35</xdr:row>
      <xdr:rowOff>19050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99563" y="5281893"/>
          <a:ext cx="371475" cy="228039"/>
        </a:xfrm>
        <a:prstGeom prst="rightArrow">
          <a:avLst/>
        </a:prstGeom>
        <a:solidFill>
          <a:srgbClr val="8FCFAD"/>
        </a:solidFill>
        <a:ln>
          <a:solidFill>
            <a:srgbClr val="50B4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190499</xdr:colOff>
      <xdr:row>2</xdr:row>
      <xdr:rowOff>11206</xdr:rowOff>
    </xdr:from>
    <xdr:to>
      <xdr:col>14</xdr:col>
      <xdr:colOff>361948</xdr:colOff>
      <xdr:row>31</xdr:row>
      <xdr:rowOff>95251</xdr:rowOff>
    </xdr:to>
    <xdr:sp macro="" textlink="">
      <xdr:nvSpPr>
        <xdr:cNvPr id="3" name="Arrow: Ben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flipH="1">
          <a:off x="7676028" y="324971"/>
          <a:ext cx="776567" cy="4633633"/>
        </a:xfrm>
        <a:prstGeom prst="bentArrow">
          <a:avLst>
            <a:gd name="adj1" fmla="val 16342"/>
            <a:gd name="adj2" fmla="val 21809"/>
            <a:gd name="adj3" fmla="val 25000"/>
            <a:gd name="adj4" fmla="val 11835"/>
          </a:avLst>
        </a:prstGeom>
        <a:solidFill>
          <a:schemeClr val="bg1">
            <a:lumMod val="6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134471</xdr:colOff>
      <xdr:row>37</xdr:row>
      <xdr:rowOff>82924</xdr:rowOff>
    </xdr:from>
    <xdr:to>
      <xdr:col>14</xdr:col>
      <xdr:colOff>365869</xdr:colOff>
      <xdr:row>42</xdr:row>
      <xdr:rowOff>156881</xdr:rowOff>
    </xdr:to>
    <xdr:sp macro="" textlink="">
      <xdr:nvSpPr>
        <xdr:cNvPr id="4" name="Arrow: Ben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 flipH="1" flipV="1">
          <a:off x="7620000" y="5887571"/>
          <a:ext cx="836516" cy="858369"/>
        </a:xfrm>
        <a:prstGeom prst="bentArrow">
          <a:avLst>
            <a:gd name="adj1" fmla="val 12944"/>
            <a:gd name="adj2" fmla="val 21809"/>
            <a:gd name="adj3" fmla="val 25000"/>
            <a:gd name="adj4" fmla="val 11835"/>
          </a:avLst>
        </a:prstGeom>
        <a:solidFill>
          <a:schemeClr val="bg1">
            <a:lumMod val="6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3D0573-0FA9-44A9-90EB-6082A8C6C081}" name="Plan" displayName="Plan" ref="B3:K17" totalsRowShown="0" headerRowDxfId="56" dataDxfId="55">
  <autoFilter ref="B3:K17" xr:uid="{22AF40A8-DE7B-4C5C-AEAD-C01C3300AB1B}"/>
  <tableColumns count="10">
    <tableColumn id="1" xr3:uid="{93C9299E-CC1C-4AAA-80CD-632A02DC276F}" name="Project" dataDxfId="54"/>
    <tableColumn id="2" xr3:uid="{AA02CC1B-97D8-4095-8E69-8B908FC4B1A3}" name="Project code" dataDxfId="53">
      <calculatedColumnFormula>IFERROR(VLOOKUP(Plan[[#This Row],[Project]],'PDCA List'!B:E,2,0),"")</calculatedColumnFormula>
    </tableColumn>
    <tableColumn id="3" xr3:uid="{FFA35F55-68CB-444D-921B-8FF2A5A46E8A}" name="Process" dataDxfId="52">
      <calculatedColumnFormula>IF(Plan[[#This Row],[Project]]="","","Plan")</calculatedColumnFormula>
    </tableColumn>
    <tableColumn id="4" xr3:uid="{C3986590-8AC5-4A45-8F01-0699206272FC}" name="Date" dataDxfId="51"/>
    <tableColumn id="6" xr3:uid="{551A2A98-C5FC-44D5-9532-04E6ABCFC531}" name="PIC" dataDxfId="50"/>
    <tableColumn id="5" xr3:uid="{5606E219-D961-4811-A907-06ADF18C89C4}" name="Task" dataDxfId="49"/>
    <tableColumn id="10" xr3:uid="{FE8E8757-13B7-4243-BC81-259E00AD9E17}" name="Department" dataDxfId="48"/>
    <tableColumn id="7" xr3:uid="{DA25788D-F964-44A9-A110-C10310F1B6E1}" name="Due date" dataDxfId="47"/>
    <tableColumn id="9" xr3:uid="{65D1DE8E-DE54-4856-AB8A-F4431A83D8A5}" name="Task time" dataDxfId="46" dataCellStyle="Comma">
      <calculatedColumnFormula>IF(OR(Plan[[#This Row],[Date]]="",Plan[[#This Row],[Due date]]=0),"",Plan[[#This Row],[Due date]]-Plan[[#This Row],[Date]])</calculatedColumnFormula>
    </tableColumn>
    <tableColumn id="8" xr3:uid="{919B9397-3DFC-4F28-8EF5-0F658070864B}" name="Completion" dataDxfId="45" dataCellStyle="Percent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56C4D3-76F7-4E7A-A958-9B106C170B37}" name="Do" displayName="Do" ref="B3:K10" totalsRowShown="0" headerRowDxfId="41" dataDxfId="40">
  <autoFilter ref="B3:K10" xr:uid="{534178E3-092F-4E4B-BA98-5AC241E07B63}"/>
  <tableColumns count="10">
    <tableColumn id="1" xr3:uid="{7D2BB152-F87F-4801-8706-F9547FB76D7F}" name="Project" dataDxfId="39"/>
    <tableColumn id="2" xr3:uid="{7A0CE40F-AF4E-4F37-B4E2-BDB12549D9C4}" name="Project code" dataDxfId="38">
      <calculatedColumnFormula>IFERROR(VLOOKUP(Do[[#This Row],[Project]],'PDCA List'!B:E,2,0),"")</calculatedColumnFormula>
    </tableColumn>
    <tableColumn id="3" xr3:uid="{0C90D9D0-ADDA-4ECC-9617-451687F67296}" name="Process" dataDxfId="37">
      <calculatedColumnFormula>IF(Do[[#This Row],[Project]]="","","Do")</calculatedColumnFormula>
    </tableColumn>
    <tableColumn id="4" xr3:uid="{9CA57A7F-4483-4584-89B8-0043BF2D2509}" name="Date" dataDxfId="36"/>
    <tableColumn id="6" xr3:uid="{67E8FC4D-ED8A-43EA-A411-FCF2F4850CEA}" name="PIC" dataDxfId="35"/>
    <tableColumn id="5" xr3:uid="{BC9323A2-9FE2-4AC0-9924-FD4FAE40258B}" name="Task" dataDxfId="34"/>
    <tableColumn id="10" xr3:uid="{CAB405A5-30F0-44C0-AC45-6F1E9441F9AC}" name="Department" dataDxfId="33"/>
    <tableColumn id="7" xr3:uid="{3A4BDD29-56A5-45ED-9E27-9D422FAA83B6}" name="Due date" dataDxfId="32"/>
    <tableColumn id="9" xr3:uid="{AB18D873-EB1B-4D10-8DB5-AC8BD2B4E39F}" name="Task time" dataDxfId="31" dataCellStyle="Comma">
      <calculatedColumnFormula>IF(OR(Do[[#This Row],[Date]]="",Do[[#This Row],[Due date]]=0),"",Do[[#This Row],[Due date]]-Do[[#This Row],[Date]])</calculatedColumnFormula>
    </tableColumn>
    <tableColumn id="8" xr3:uid="{4FDC44A3-C3C1-4068-BEC5-2893C8EEE15C}" name="Completion" dataDxfId="30" dataCellStyle="Percent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C1816A-642A-43EA-996A-FCC94144322E}" name="Check" displayName="Check" ref="B3:K9" totalsRowShown="0" headerRowDxfId="26" dataDxfId="25">
  <autoFilter ref="B3:K9" xr:uid="{10A04DB2-FFF6-4BBE-8194-0C6E84468721}"/>
  <tableColumns count="10">
    <tableColumn id="1" xr3:uid="{3D116A67-5B93-49CB-B2BD-CA76B09E2A34}" name="Project" dataDxfId="24"/>
    <tableColumn id="2" xr3:uid="{30A504D3-B3D6-4734-B8DA-5F123ECC7ADC}" name="Project code" dataDxfId="23">
      <calculatedColumnFormula>IFERROR(VLOOKUP(Check[[#This Row],[Project]],'PDCA List'!B:E,2,0),"")</calculatedColumnFormula>
    </tableColumn>
    <tableColumn id="3" xr3:uid="{EEFAC558-1858-4430-A7A5-5B492F24D50E}" name="Process" dataDxfId="22">
      <calculatedColumnFormula>IF(Check[[#This Row],[Project]]="","","Check")</calculatedColumnFormula>
    </tableColumn>
    <tableColumn id="4" xr3:uid="{D1130944-A03B-4DE6-83BF-9E3F81FFF59F}" name="Date" dataDxfId="21"/>
    <tableColumn id="6" xr3:uid="{7ABC0A37-5CBD-4542-8710-EAB19DFCEA7A}" name="PIC" dataDxfId="20"/>
    <tableColumn id="5" xr3:uid="{74826F55-CE82-4383-9FED-DA5C13596B66}" name="Task" dataDxfId="19"/>
    <tableColumn id="10" xr3:uid="{60F8DEF3-EC9C-4917-8CEB-CF05AF02F69F}" name="Department" dataDxfId="18"/>
    <tableColumn id="7" xr3:uid="{3CC597F6-C978-4B6D-8C5C-D9B02195FFBA}" name="Due date" dataDxfId="17"/>
    <tableColumn id="9" xr3:uid="{150D0BF2-6574-4ADD-8A30-360662C53C9F}" name="Task time" dataDxfId="16" dataCellStyle="Comma">
      <calculatedColumnFormula>IF(OR(Check[[#This Row],[Date]]="",Check[[#This Row],[Due date]]=0),"",Check[[#This Row],[Due date]]-Check[[#This Row],[Date]])</calculatedColumnFormula>
    </tableColumn>
    <tableColumn id="8" xr3:uid="{65BF93A8-6A55-4DA8-A047-27AFE6D79D6E}" name="Completion" dataDxfId="15" dataCellStyle="Percent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971776-A4D3-46E9-ABDF-B706F5A6D961}" name="Act" displayName="Act" ref="B3:K9" totalsRowShown="0" headerRowDxfId="11" dataDxfId="10">
  <autoFilter ref="B3:K9" xr:uid="{5027AAD9-9BF3-41BB-84ED-4EA66871FB14}"/>
  <tableColumns count="10">
    <tableColumn id="1" xr3:uid="{FB9906C0-D21A-4967-B5BB-40DEC24A3A37}" name="Project" dataDxfId="9"/>
    <tableColumn id="2" xr3:uid="{3BD03B0A-8461-4540-95BF-7BB5A6A3FE5E}" name="Project code" dataDxfId="8">
      <calculatedColumnFormula>IFERROR(VLOOKUP(Act[[#This Row],[Project]],'PDCA List'!B:E,2,0),"")</calculatedColumnFormula>
    </tableColumn>
    <tableColumn id="3" xr3:uid="{26B4501B-742C-4508-94E8-A26F3098ED5B}" name="Process" dataDxfId="7">
      <calculatedColumnFormula>IF(Act[[#This Row],[Project]]="","","Act")</calculatedColumnFormula>
    </tableColumn>
    <tableColumn id="4" xr3:uid="{E84689CC-6DA6-45FE-B862-F03EB3E1E4DF}" name="Date" dataDxfId="6"/>
    <tableColumn id="6" xr3:uid="{B1685A8D-C34C-4605-963D-9AFEA2A445E4}" name="PIC" dataDxfId="5"/>
    <tableColumn id="5" xr3:uid="{1929F225-4CA4-4959-88C8-ECA5568EC787}" name="Task" dataDxfId="4"/>
    <tableColumn id="10" xr3:uid="{9380AE63-D324-4F57-BCFD-C55AC81CE6E4}" name="Department" dataDxfId="3"/>
    <tableColumn id="7" xr3:uid="{E9F33A0F-C31C-4CCE-9A1A-F6182360849F}" name="Due date" dataDxfId="2"/>
    <tableColumn id="9" xr3:uid="{E9EEC92C-B381-42F6-B596-3130577E4575}" name="Task time" dataDxfId="1" dataCellStyle="Comma">
      <calculatedColumnFormula>IF(OR(Act[[#This Row],[Date]]="",Act[[#This Row],[Due date]]=0),"",Act[[#This Row],[Due date]]-Act[[#This Row],[Date]])</calculatedColumnFormula>
    </tableColumn>
    <tableColumn id="8" xr3:uid="{5DE87254-F876-4E5F-B86C-253CFFE7F71A}" name="Completion" dataDxfId="0" dataCellStyle="Percent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DB01-2E02-4F46-B574-EAAA651E4782}">
  <sheetPr>
    <tabColor rgb="FFC00000"/>
  </sheetPr>
  <dimension ref="A1:D38"/>
  <sheetViews>
    <sheetView showGridLines="0" tabSelected="1" zoomScale="80" zoomScaleNormal="80" workbookViewId="0">
      <pane xSplit="3" topLeftCell="D1" activePane="topRight" state="frozen"/>
      <selection pane="topRight" activeCell="G14" sqref="G14"/>
    </sheetView>
  </sheetViews>
  <sheetFormatPr defaultColWidth="9.140625" defaultRowHeight="12.75" x14ac:dyDescent="0.2"/>
  <cols>
    <col min="1" max="1" width="17.7109375" style="9" customWidth="1"/>
    <col min="2" max="2" width="20.28515625" style="1" customWidth="1"/>
    <col min="3" max="3" width="24.4257812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A5" s="7"/>
      <c r="B5" s="2"/>
      <c r="D5" s="2"/>
    </row>
    <row r="6" spans="1:4" x14ac:dyDescent="0.2">
      <c r="A6" s="8" t="s">
        <v>1</v>
      </c>
      <c r="B6" s="2" t="s">
        <v>0</v>
      </c>
      <c r="D6" s="2" t="s">
        <v>154</v>
      </c>
    </row>
    <row r="8" spans="1:4" x14ac:dyDescent="0.2">
      <c r="A8" s="42" t="s">
        <v>108</v>
      </c>
      <c r="B8" s="2" t="s">
        <v>2</v>
      </c>
      <c r="D8" s="1" t="s">
        <v>107</v>
      </c>
    </row>
    <row r="9" spans="1:4" x14ac:dyDescent="0.2">
      <c r="A9" s="42" t="s">
        <v>13</v>
      </c>
      <c r="B9" s="2"/>
      <c r="D9" s="1" t="s">
        <v>160</v>
      </c>
    </row>
    <row r="10" spans="1:4" x14ac:dyDescent="0.2">
      <c r="A10" s="42" t="s">
        <v>14</v>
      </c>
      <c r="C10" s="3"/>
    </row>
    <row r="11" spans="1:4" x14ac:dyDescent="0.2">
      <c r="A11" s="42" t="s">
        <v>15</v>
      </c>
      <c r="C11" s="3" t="s">
        <v>13</v>
      </c>
      <c r="D11" s="1" t="s">
        <v>111</v>
      </c>
    </row>
    <row r="12" spans="1:4" x14ac:dyDescent="0.2">
      <c r="A12" s="42" t="s">
        <v>16</v>
      </c>
      <c r="C12" s="3" t="s">
        <v>14</v>
      </c>
      <c r="D12" s="1" t="s">
        <v>112</v>
      </c>
    </row>
    <row r="13" spans="1:4" x14ac:dyDescent="0.2">
      <c r="A13" s="42" t="s">
        <v>109</v>
      </c>
      <c r="C13" s="3" t="s">
        <v>15</v>
      </c>
      <c r="D13" s="1" t="s">
        <v>113</v>
      </c>
    </row>
    <row r="14" spans="1:4" x14ac:dyDescent="0.2">
      <c r="A14" s="42" t="s">
        <v>110</v>
      </c>
      <c r="C14" s="3" t="s">
        <v>16</v>
      </c>
      <c r="D14" s="1" t="s">
        <v>114</v>
      </c>
    </row>
    <row r="15" spans="1:4" x14ac:dyDescent="0.2">
      <c r="C15" s="3"/>
    </row>
    <row r="17" spans="2:4" x14ac:dyDescent="0.2">
      <c r="B17" s="4" t="s">
        <v>3</v>
      </c>
      <c r="D17" s="4">
        <v>2</v>
      </c>
    </row>
    <row r="19" spans="2:4" x14ac:dyDescent="0.2">
      <c r="B19" s="4" t="s">
        <v>4</v>
      </c>
      <c r="C19" s="5" t="s">
        <v>108</v>
      </c>
      <c r="D19" s="1" t="s">
        <v>115</v>
      </c>
    </row>
    <row r="20" spans="2:4" x14ac:dyDescent="0.2">
      <c r="C20" s="5" t="s">
        <v>13</v>
      </c>
      <c r="D20" s="1" t="s">
        <v>116</v>
      </c>
    </row>
    <row r="21" spans="2:4" x14ac:dyDescent="0.2">
      <c r="C21" s="5" t="s">
        <v>14</v>
      </c>
      <c r="D21" s="1" t="s">
        <v>155</v>
      </c>
    </row>
    <row r="22" spans="2:4" x14ac:dyDescent="0.2">
      <c r="C22" s="5" t="s">
        <v>15</v>
      </c>
      <c r="D22" s="1" t="s">
        <v>156</v>
      </c>
    </row>
    <row r="23" spans="2:4" x14ac:dyDescent="0.2">
      <c r="C23" s="5" t="s">
        <v>16</v>
      </c>
      <c r="D23" s="1" t="s">
        <v>157</v>
      </c>
    </row>
    <row r="24" spans="2:4" x14ac:dyDescent="0.2">
      <c r="C24" s="5" t="s">
        <v>109</v>
      </c>
      <c r="D24" s="1" t="s">
        <v>158</v>
      </c>
    </row>
    <row r="25" spans="2:4" x14ac:dyDescent="0.2">
      <c r="C25" s="5" t="s">
        <v>110</v>
      </c>
      <c r="D25" s="1" t="s">
        <v>159</v>
      </c>
    </row>
    <row r="27" spans="2:4" x14ac:dyDescent="0.2">
      <c r="B27" s="4" t="s">
        <v>5</v>
      </c>
      <c r="C27" s="6" t="s">
        <v>6</v>
      </c>
      <c r="D27" s="1" t="s">
        <v>117</v>
      </c>
    </row>
    <row r="28" spans="2:4" x14ac:dyDescent="0.2">
      <c r="C28" s="6" t="s">
        <v>7</v>
      </c>
      <c r="D28" s="1" t="s">
        <v>118</v>
      </c>
    </row>
    <row r="29" spans="2:4" x14ac:dyDescent="0.2">
      <c r="C29" s="6" t="s">
        <v>8</v>
      </c>
      <c r="D29" s="1" t="s">
        <v>134</v>
      </c>
    </row>
    <row r="30" spans="2:4" x14ac:dyDescent="0.2">
      <c r="C30" s="6" t="s">
        <v>9</v>
      </c>
      <c r="D30" s="1" t="s">
        <v>119</v>
      </c>
    </row>
    <row r="31" spans="2:4" x14ac:dyDescent="0.2">
      <c r="C31" s="6" t="s">
        <v>10</v>
      </c>
      <c r="D31" s="1" t="s">
        <v>120</v>
      </c>
    </row>
    <row r="32" spans="2:4" x14ac:dyDescent="0.2">
      <c r="C32" s="6" t="s">
        <v>11</v>
      </c>
      <c r="D32" s="1" t="s">
        <v>121</v>
      </c>
    </row>
    <row r="33" spans="3:4" x14ac:dyDescent="0.2">
      <c r="C33" s="6"/>
    </row>
    <row r="34" spans="3:4" x14ac:dyDescent="0.2">
      <c r="C34" s="6" t="s">
        <v>128</v>
      </c>
      <c r="D34" s="1" t="s">
        <v>129</v>
      </c>
    </row>
    <row r="35" spans="3:4" x14ac:dyDescent="0.2">
      <c r="C35" s="6"/>
    </row>
    <row r="36" spans="3:4" x14ac:dyDescent="0.2">
      <c r="C36" s="6"/>
    </row>
    <row r="37" spans="3:4" x14ac:dyDescent="0.2">
      <c r="C37" s="6"/>
    </row>
    <row r="38" spans="3:4" x14ac:dyDescent="0.2">
      <c r="C38" s="6"/>
    </row>
  </sheetData>
  <conditionalFormatting sqref="D17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PDCA review'!A1" display="PDCA review" xr:uid="{49E94399-348F-4D0F-805E-8796C8127CC6}"/>
    <hyperlink ref="A9" location="Plan!A1" display="Plan" xr:uid="{ACC29BA9-5B23-4D8E-AB5E-69D2AC0FEACB}"/>
    <hyperlink ref="A10" location="Do!A1" display="Do" xr:uid="{E2E07F0C-F5C3-43CE-81E7-258377C4B690}"/>
    <hyperlink ref="A11" location="'Check'!A1" display="Check" xr:uid="{829E6C3E-826C-4EF5-BBA0-91E09F2D0AD5}"/>
    <hyperlink ref="A12" location="Do!A1" display="Act" xr:uid="{D7F6427B-8C2B-49C0-B961-FE8D48F778E2}"/>
    <hyperlink ref="A13" location="'PDCA List'!A1" display="PDCA list" xr:uid="{BA0BC5D2-09F6-4B80-8322-A29D171B9B39}"/>
    <hyperlink ref="A14" location="'PDCA Guide'!A1" display="PDCA guide" xr:uid="{CC3283AE-CF8E-4073-AABC-A8B038B3F5E2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0893-E802-4FE7-8A82-2259E1712DBF}">
  <sheetPr>
    <tabColor rgb="FF50B47F"/>
  </sheetPr>
  <dimension ref="A1:S33"/>
  <sheetViews>
    <sheetView showGridLines="0" zoomScaleNormal="100" workbookViewId="0">
      <pane ySplit="2" topLeftCell="A3" activePane="bottomLeft" state="frozen"/>
      <selection pane="bottomLeft" activeCell="B10" sqref="B10:E10"/>
    </sheetView>
  </sheetViews>
  <sheetFormatPr defaultColWidth="0" defaultRowHeight="12.75" zeroHeight="1" x14ac:dyDescent="0.2"/>
  <cols>
    <col min="1" max="1" width="2.5703125" customWidth="1"/>
    <col min="2" max="5" width="9.140625" customWidth="1"/>
    <col min="6" max="6" width="10.28515625" customWidth="1"/>
    <col min="7" max="9" width="9.140625" customWidth="1"/>
    <col min="10" max="10" width="32" customWidth="1"/>
    <col min="11" max="17" width="9.140625" customWidth="1"/>
    <col min="18" max="18" width="10.42578125" customWidth="1"/>
    <col min="19" max="19" width="1.85546875" customWidth="1"/>
    <col min="20" max="16384" width="9.140625" hidden="1"/>
  </cols>
  <sheetData>
    <row r="1" spans="2:18" s="20" customFormat="1" ht="20.25" customHeight="1" x14ac:dyDescent="0.2">
      <c r="B1" s="53" t="s">
        <v>17</v>
      </c>
      <c r="C1" s="53"/>
      <c r="D1" s="53"/>
      <c r="E1" s="31" t="s">
        <v>13</v>
      </c>
      <c r="F1" s="31" t="s">
        <v>14</v>
      </c>
      <c r="G1" s="31" t="s">
        <v>15</v>
      </c>
      <c r="H1" s="31" t="s">
        <v>16</v>
      </c>
      <c r="I1" s="17"/>
      <c r="J1" s="17"/>
      <c r="K1" s="52"/>
      <c r="L1" s="52"/>
      <c r="M1" s="17"/>
      <c r="N1" s="31" t="s">
        <v>29</v>
      </c>
      <c r="O1" s="31" t="s">
        <v>30</v>
      </c>
      <c r="P1" s="17"/>
      <c r="Q1" s="17"/>
      <c r="R1" s="17"/>
    </row>
    <row r="2" spans="2:18" ht="15.75" customHeight="1" x14ac:dyDescent="0.25">
      <c r="B2" s="51" t="s">
        <v>18</v>
      </c>
      <c r="C2" s="51"/>
      <c r="D2" s="46" t="s">
        <v>130</v>
      </c>
      <c r="E2" s="47"/>
      <c r="F2" s="48"/>
      <c r="G2" s="26" t="s">
        <v>50</v>
      </c>
      <c r="H2" s="49" t="str">
        <f>IF(D2="","",VLOOKUP(D2,'PDCA List'!B:C,2,0))</f>
        <v>PDCA-2000</v>
      </c>
      <c r="I2" s="50"/>
      <c r="J2" s="14"/>
      <c r="K2" s="14"/>
      <c r="L2" s="14"/>
      <c r="M2" s="14"/>
      <c r="N2" s="14"/>
      <c r="O2" s="14"/>
      <c r="P2" s="14"/>
      <c r="Q2" s="14"/>
      <c r="R2" s="14"/>
    </row>
    <row r="3" spans="2:18" ht="10.5" customHeight="1" x14ac:dyDescent="0.2"/>
    <row r="4" spans="2:18" x14ac:dyDescent="0.2">
      <c r="B4" s="54" t="s">
        <v>13</v>
      </c>
      <c r="C4" s="54"/>
      <c r="D4" s="54"/>
      <c r="E4" s="54"/>
      <c r="F4" s="13" t="s">
        <v>12</v>
      </c>
      <c r="N4" s="54" t="s">
        <v>14</v>
      </c>
      <c r="O4" s="54"/>
      <c r="P4" s="54"/>
      <c r="Q4" s="54"/>
      <c r="R4" s="13" t="s">
        <v>12</v>
      </c>
    </row>
    <row r="5" spans="2:18" x14ac:dyDescent="0.2">
      <c r="B5" s="55" t="str">
        <f ca="1">IFERROR('Helper sheet plan'!F3,"")</f>
        <v>Identify and define problem clearly.</v>
      </c>
      <c r="C5" s="56"/>
      <c r="D5" s="56"/>
      <c r="E5" s="56"/>
      <c r="F5" s="10">
        <f ca="1">IFERROR(VLOOKUP(B5,Plan!G:K,5,0),"")</f>
        <v>1</v>
      </c>
      <c r="N5" s="55" t="str">
        <f ca="1">IFERROR('Helper sheet Do'!F3,"")</f>
        <v>Train people to interpret the plan</v>
      </c>
      <c r="O5" s="56"/>
      <c r="P5" s="56"/>
      <c r="Q5" s="56"/>
      <c r="R5" s="10">
        <f ca="1">IFERROR(VLOOKUP(N5,Do!G:K,5,0),"")</f>
        <v>1</v>
      </c>
    </row>
    <row r="6" spans="2:18" x14ac:dyDescent="0.2">
      <c r="B6" s="44" t="str">
        <f ca="1">IFERROR('Helper sheet plan'!F4," ")</f>
        <v>Evaluate the importance of the problem.</v>
      </c>
      <c r="C6" s="45"/>
      <c r="D6" s="45"/>
      <c r="E6" s="45"/>
      <c r="F6" s="11">
        <f ca="1">IFERROR(VLOOKUP(B6,Plan!G:K,5,0),"")</f>
        <v>1</v>
      </c>
      <c r="N6" s="44" t="str">
        <f ca="1">IFERROR('Helper sheet Do'!F4,"")</f>
        <v>Perform the steps defined in the plan.</v>
      </c>
      <c r="O6" s="45"/>
      <c r="P6" s="45"/>
      <c r="Q6" s="45"/>
      <c r="R6" s="11">
        <f ca="1">IFERROR(VLOOKUP(N6,Do!G:K,5,0),"")</f>
        <v>1</v>
      </c>
    </row>
    <row r="7" spans="2:18" x14ac:dyDescent="0.2">
      <c r="B7" s="44" t="str">
        <f ca="1">IFERROR('Helper sheet plan'!F5,"")</f>
        <v>Identify the current standard methods</v>
      </c>
      <c r="C7" s="45"/>
      <c r="D7" s="45"/>
      <c r="E7" s="45"/>
      <c r="F7" s="11">
        <f ca="1">IFERROR(VLOOKUP(B7,Plan!G:K,5,0),"")</f>
        <v>1</v>
      </c>
      <c r="N7" s="44" t="str">
        <f ca="1">IFERROR('Helper sheet Do'!F5,"")</f>
        <v>Observe the predicted schedule.</v>
      </c>
      <c r="O7" s="45"/>
      <c r="P7" s="45"/>
      <c r="Q7" s="45"/>
      <c r="R7" s="11">
        <f ca="1">IFERROR(VLOOKUP(N7,Do!G:K,5,0),"")</f>
        <v>1</v>
      </c>
    </row>
    <row r="8" spans="2:18" x14ac:dyDescent="0.2">
      <c r="B8" s="44" t="str">
        <f ca="1">IFERROR('Helper sheet plan'!F6,"")</f>
        <v>Investigate the characteristics</v>
      </c>
      <c r="C8" s="45"/>
      <c r="D8" s="45"/>
      <c r="E8" s="45"/>
      <c r="F8" s="11">
        <f ca="1">IFERROR(VLOOKUP(B8,Plan!G:K,5,0),"")</f>
        <v>1</v>
      </c>
      <c r="N8" s="44" t="str">
        <f ca="1">IFERROR('Helper sheet Do'!F6,"")</f>
        <v>The people involved give feedback</v>
      </c>
      <c r="O8" s="45"/>
      <c r="P8" s="45"/>
      <c r="Q8" s="45"/>
      <c r="R8" s="11">
        <f ca="1">IFERROR(VLOOKUP(N8,Do!G:K,5,0),"")</f>
        <v>1</v>
      </c>
    </row>
    <row r="9" spans="2:18" x14ac:dyDescent="0.2">
      <c r="B9" s="44" t="str">
        <f ca="1">IFERROR('Helper sheet plan'!F7,"")</f>
        <v xml:space="preserve">Broaden your vision. </v>
      </c>
      <c r="C9" s="45"/>
      <c r="D9" s="45"/>
      <c r="E9" s="45"/>
      <c r="F9" s="11">
        <f ca="1">IFERROR(VLOOKUP(B9,Plan!G:K,5,0),"")</f>
        <v>1</v>
      </c>
      <c r="N9" s="44" t="str">
        <f ca="1">IFERROR('Helper sheet Do'!F7,"")</f>
        <v/>
      </c>
      <c r="O9" s="45"/>
      <c r="P9" s="45"/>
      <c r="Q9" s="45"/>
      <c r="R9" s="11" t="str">
        <f ca="1">IFERROR(VLOOKUP(N9,Do!G:K,5,0),"")</f>
        <v/>
      </c>
    </row>
    <row r="10" spans="2:18" x14ac:dyDescent="0.2">
      <c r="B10" s="44" t="str">
        <f ca="1">IFERROR('Helper sheet plan'!F8,"")</f>
        <v>Find out the real causes of the problem.</v>
      </c>
      <c r="C10" s="45"/>
      <c r="D10" s="45"/>
      <c r="E10" s="45"/>
      <c r="F10" s="11">
        <f ca="1">IFERROR(VLOOKUP(B10,Plan!G:K,5,0),"")</f>
        <v>1</v>
      </c>
      <c r="N10" s="44" t="str">
        <f ca="1">IFERROR('Helper sheet Do'!F8,"")</f>
        <v/>
      </c>
      <c r="O10" s="45"/>
      <c r="P10" s="45"/>
      <c r="Q10" s="45"/>
      <c r="R10" s="11" t="str">
        <f ca="1">IFERROR(VLOOKUP(N10,Do!G:K,5,0),"")</f>
        <v/>
      </c>
    </row>
    <row r="11" spans="2:18" x14ac:dyDescent="0.2">
      <c r="B11" s="44" t="str">
        <f ca="1">IFERROR('Helper sheet plan'!F9,"")</f>
        <v>Evaluate possible solutions</v>
      </c>
      <c r="C11" s="45"/>
      <c r="D11" s="45"/>
      <c r="E11" s="45"/>
      <c r="F11" s="11">
        <f ca="1">IFERROR(VLOOKUP(B11,Plan!G:K,5,0),"")</f>
        <v>1</v>
      </c>
      <c r="N11" s="44" t="str">
        <f ca="1">IFERROR('Helper sheet Do'!F9,"")</f>
        <v/>
      </c>
      <c r="O11" s="45"/>
      <c r="P11" s="45"/>
      <c r="Q11" s="45"/>
      <c r="R11" s="11" t="str">
        <f ca="1">IFERROR(VLOOKUP(N11,Do!G:K,5,0),"")</f>
        <v/>
      </c>
    </row>
    <row r="12" spans="2:18" x14ac:dyDescent="0.2">
      <c r="B12" s="44" t="str">
        <f ca="1">IFERROR('Helper sheet plan'!F10,"")</f>
        <v/>
      </c>
      <c r="C12" s="45"/>
      <c r="D12" s="45"/>
      <c r="E12" s="45"/>
      <c r="F12" s="11" t="str">
        <f ca="1">IFERROR(VLOOKUP(B12,Plan!G:K,5,0),"")</f>
        <v/>
      </c>
      <c r="N12" s="44" t="str">
        <f ca="1">IFERROR('Helper sheet Do'!F10,"")</f>
        <v/>
      </c>
      <c r="O12" s="45"/>
      <c r="P12" s="45"/>
      <c r="Q12" s="45"/>
      <c r="R12" s="11" t="str">
        <f ca="1">IFERROR(VLOOKUP(N12,Do!G:K,5,0),"")</f>
        <v/>
      </c>
    </row>
    <row r="13" spans="2:18" x14ac:dyDescent="0.2">
      <c r="B13" s="44" t="str">
        <f ca="1">IFERROR('Helper sheet plan'!F11,"")</f>
        <v/>
      </c>
      <c r="C13" s="45"/>
      <c r="D13" s="45"/>
      <c r="E13" s="45"/>
      <c r="F13" s="11" t="str">
        <f ca="1">IFERROR(VLOOKUP(B13,Plan!G:K,5,0),"")</f>
        <v/>
      </c>
      <c r="N13" s="44" t="str">
        <f ca="1">IFERROR('Helper sheet Do'!F11,"")</f>
        <v/>
      </c>
      <c r="O13" s="45"/>
      <c r="P13" s="45"/>
      <c r="Q13" s="45"/>
      <c r="R13" s="11" t="str">
        <f ca="1">IFERROR(VLOOKUP(N13,Do!G:K,5,0),"")</f>
        <v/>
      </c>
    </row>
    <row r="14" spans="2:18" x14ac:dyDescent="0.2">
      <c r="B14" s="44" t="str">
        <f ca="1">IFERROR('Helper sheet plan'!F12,"")</f>
        <v/>
      </c>
      <c r="C14" s="45"/>
      <c r="D14" s="45"/>
      <c r="E14" s="45"/>
      <c r="F14" s="11" t="str">
        <f ca="1">IFERROR(VLOOKUP(B14,Plan!G:K,5,0),"")</f>
        <v/>
      </c>
      <c r="N14" s="44" t="str">
        <f ca="1">IFERROR('Helper sheet Do'!F12,"")</f>
        <v/>
      </c>
      <c r="O14" s="45"/>
      <c r="P14" s="45"/>
      <c r="Q14" s="45"/>
      <c r="R14" s="11" t="str">
        <f ca="1">IFERROR(VLOOKUP(N14,Do!G:K,5,0),"")</f>
        <v/>
      </c>
    </row>
    <row r="15" spans="2:18" x14ac:dyDescent="0.2">
      <c r="B15" s="44" t="str">
        <f ca="1">IFERROR('Helper sheet plan'!F13,"")</f>
        <v/>
      </c>
      <c r="C15" s="45"/>
      <c r="D15" s="45"/>
      <c r="E15" s="45"/>
      <c r="F15" s="11" t="str">
        <f ca="1">IFERROR(VLOOKUP(B15,Plan!G:K,5,0),"")</f>
        <v/>
      </c>
      <c r="N15" s="44" t="str">
        <f ca="1">IFERROR('Helper sheet Do'!F13,"")</f>
        <v/>
      </c>
      <c r="O15" s="45"/>
      <c r="P15" s="45"/>
      <c r="Q15" s="45"/>
      <c r="R15" s="11" t="str">
        <f ca="1">IFERROR(VLOOKUP(N15,Do!G:K,5,0),"")</f>
        <v/>
      </c>
    </row>
    <row r="16" spans="2:18" x14ac:dyDescent="0.2">
      <c r="B16" s="57" t="str">
        <f ca="1">IFERROR('Helper sheet plan'!F14,"")</f>
        <v/>
      </c>
      <c r="C16" s="58"/>
      <c r="D16" s="58"/>
      <c r="E16" s="58"/>
      <c r="F16" s="12" t="str">
        <f ca="1">IFERROR(VLOOKUP(B16,Plan!G:K,5,0),"")</f>
        <v/>
      </c>
      <c r="N16" s="57" t="str">
        <f ca="1">IFERROR('Helper sheet Do'!F14,"")</f>
        <v/>
      </c>
      <c r="O16" s="58"/>
      <c r="P16" s="58"/>
      <c r="Q16" s="58"/>
      <c r="R16" s="12" t="str">
        <f ca="1">IFERROR(VLOOKUP(N16,Do!G:K,5,0),"")</f>
        <v/>
      </c>
    </row>
    <row r="17" spans="2:18" ht="61.5" customHeight="1" x14ac:dyDescent="0.2">
      <c r="J17" s="43">
        <f ca="1">IFERROR(AVERAGE(F5:F14,R5:R14,R21:R30,F21:F30),"")</f>
        <v>0.98421052631578942</v>
      </c>
    </row>
    <row r="18" spans="2:18" x14ac:dyDescent="0.2"/>
    <row r="19" spans="2:18" x14ac:dyDescent="0.2"/>
    <row r="20" spans="2:18" x14ac:dyDescent="0.2">
      <c r="B20" s="54" t="s">
        <v>16</v>
      </c>
      <c r="C20" s="54"/>
      <c r="D20" s="54"/>
      <c r="E20" s="54"/>
      <c r="F20" s="13" t="s">
        <v>12</v>
      </c>
      <c r="N20" s="54" t="s">
        <v>15</v>
      </c>
      <c r="O20" s="54"/>
      <c r="P20" s="54"/>
      <c r="Q20" s="54"/>
      <c r="R20" s="13" t="s">
        <v>12</v>
      </c>
    </row>
    <row r="21" spans="2:18" x14ac:dyDescent="0.2">
      <c r="B21" s="55" t="str">
        <f ca="1">IFERROR('Helper sheet act'!F3,"")</f>
        <v>Use the standard adopted</v>
      </c>
      <c r="C21" s="56"/>
      <c r="D21" s="56"/>
      <c r="E21" s="56"/>
      <c r="F21" s="10">
        <f ca="1">IFERROR(VLOOKUP(B21,Act!G:K,5,0),"")</f>
        <v>1</v>
      </c>
      <c r="N21" s="55" t="str">
        <f ca="1">IFERROR('Helper sheet check'!F3,"")</f>
        <v>Monitor results and create indicators.</v>
      </c>
      <c r="O21" s="56"/>
      <c r="P21" s="56"/>
      <c r="Q21" s="56"/>
      <c r="R21" s="10">
        <f ca="1">IFERROR(VLOOKUP(N21,'Check'!G:K,5,0),"")</f>
        <v>1</v>
      </c>
    </row>
    <row r="22" spans="2:18" x14ac:dyDescent="0.2">
      <c r="B22" s="44" t="str">
        <f ca="1">IFERROR('Helper sheet act'!F4,"")</f>
        <v>Document and measure the results</v>
      </c>
      <c r="C22" s="45"/>
      <c r="D22" s="45"/>
      <c r="E22" s="45"/>
      <c r="F22" s="11">
        <f ca="1">IFERROR(VLOOKUP(B22,Act!G:K,5,0),"")</f>
        <v>1</v>
      </c>
      <c r="N22" s="44" t="str">
        <f ca="1">IFERROR('Helper sheet check'!F4,"")</f>
        <v>Check for cause prevention.</v>
      </c>
      <c r="O22" s="45"/>
      <c r="P22" s="45"/>
      <c r="Q22" s="45"/>
      <c r="R22" s="11">
        <f ca="1">IFERROR(VLOOKUP(N22,'Check'!G:K,5,0),"")</f>
        <v>1</v>
      </c>
    </row>
    <row r="23" spans="2:18" x14ac:dyDescent="0.2">
      <c r="B23" s="44" t="str">
        <f ca="1">IFERROR('Helper sheet act'!F5,"")</f>
        <v>Evaluate the results</v>
      </c>
      <c r="C23" s="45"/>
      <c r="D23" s="45"/>
      <c r="E23" s="45"/>
      <c r="F23" s="11">
        <f ca="1">IFERROR(VLOOKUP(B23,Act!G:K,5,0),"")</f>
        <v>1</v>
      </c>
      <c r="N23" s="44" t="str">
        <f ca="1">IFERROR('Helper sheet check'!F5,"")</f>
        <v>Identify the necessary corrections.</v>
      </c>
      <c r="O23" s="45"/>
      <c r="P23" s="45"/>
      <c r="Q23" s="45"/>
      <c r="R23" s="11">
        <f ca="1">IFERROR(VLOOKUP(N23,'Check'!G:K,5,0),"")</f>
        <v>1</v>
      </c>
    </row>
    <row r="24" spans="2:18" x14ac:dyDescent="0.2">
      <c r="B24" s="44" t="str">
        <f ca="1">IFERROR('Helper sheet act'!F6,"")</f>
        <v>Validate the effectiveness of improvement</v>
      </c>
      <c r="C24" s="45"/>
      <c r="D24" s="45"/>
      <c r="E24" s="45"/>
      <c r="F24" s="11">
        <f ca="1">IFERROR(VLOOKUP(B24,Act!G:K,5,0),"")</f>
        <v>0.7</v>
      </c>
      <c r="N24" s="44" t="str">
        <f ca="1">IFERROR('Helper sheet check'!F6,"")</f>
        <v>Evaluate the learning and review goals</v>
      </c>
      <c r="O24" s="45"/>
      <c r="P24" s="45"/>
      <c r="Q24" s="45"/>
      <c r="R24" s="11">
        <f ca="1">IFERROR(VLOOKUP(N24,'Check'!G:K,5,0),"")</f>
        <v>1</v>
      </c>
    </row>
    <row r="25" spans="2:18" x14ac:dyDescent="0.2">
      <c r="B25" s="44" t="str">
        <f ca="1">IFERROR('Helper sheet act'!F7,"")</f>
        <v/>
      </c>
      <c r="C25" s="45"/>
      <c r="D25" s="45"/>
      <c r="E25" s="45"/>
      <c r="F25" s="11" t="str">
        <f ca="1">IFERROR(VLOOKUP(B25,Act!G:K,5,0),"")</f>
        <v/>
      </c>
      <c r="N25" s="44" t="str">
        <f ca="1">IFERROR('Helper sheet check'!F7,"")</f>
        <v/>
      </c>
      <c r="O25" s="45"/>
      <c r="P25" s="45"/>
      <c r="Q25" s="45"/>
      <c r="R25" s="11" t="str">
        <f ca="1">IFERROR(VLOOKUP(N25,'Check'!G:K,5,0),"")</f>
        <v/>
      </c>
    </row>
    <row r="26" spans="2:18" x14ac:dyDescent="0.2">
      <c r="B26" s="44" t="str">
        <f ca="1">IFERROR('Helper sheet act'!F8,"")</f>
        <v/>
      </c>
      <c r="C26" s="45"/>
      <c r="D26" s="45"/>
      <c r="E26" s="45"/>
      <c r="F26" s="11" t="str">
        <f ca="1">IFERROR(VLOOKUP(B26,Act!G:K,5,0),"")</f>
        <v/>
      </c>
      <c r="N26" s="44" t="str">
        <f ca="1">IFERROR('Helper sheet check'!F8,"")</f>
        <v/>
      </c>
      <c r="O26" s="45"/>
      <c r="P26" s="45"/>
      <c r="Q26" s="45"/>
      <c r="R26" s="11" t="str">
        <f ca="1">IFERROR(VLOOKUP(N26,'Check'!G:K,5,0),"")</f>
        <v/>
      </c>
    </row>
    <row r="27" spans="2:18" x14ac:dyDescent="0.2">
      <c r="B27" s="44" t="str">
        <f ca="1">IFERROR('Helper sheet act'!F9,"")</f>
        <v/>
      </c>
      <c r="C27" s="45"/>
      <c r="D27" s="45"/>
      <c r="E27" s="45"/>
      <c r="F27" s="11" t="str">
        <f ca="1">IFERROR(VLOOKUP(B27,Act!G:K,5,0),"")</f>
        <v/>
      </c>
      <c r="N27" s="44" t="str">
        <f ca="1">IFERROR('Helper sheet check'!F9,"")</f>
        <v/>
      </c>
      <c r="O27" s="45"/>
      <c r="P27" s="45"/>
      <c r="Q27" s="45"/>
      <c r="R27" s="11" t="str">
        <f ca="1">IFERROR(VLOOKUP(N27,'Check'!G:K,5,0),"")</f>
        <v/>
      </c>
    </row>
    <row r="28" spans="2:18" x14ac:dyDescent="0.2">
      <c r="B28" s="44" t="str">
        <f ca="1">IFERROR('Helper sheet act'!F10,"")</f>
        <v/>
      </c>
      <c r="C28" s="45"/>
      <c r="D28" s="45"/>
      <c r="E28" s="45"/>
      <c r="F28" s="11" t="str">
        <f ca="1">IFERROR(VLOOKUP(B28,Act!G:K,5,0),"")</f>
        <v/>
      </c>
      <c r="N28" s="44" t="str">
        <f ca="1">IFERROR('Helper sheet check'!F10,"")</f>
        <v/>
      </c>
      <c r="O28" s="45"/>
      <c r="P28" s="45"/>
      <c r="Q28" s="45"/>
      <c r="R28" s="11" t="str">
        <f ca="1">IFERROR(VLOOKUP(N28,'Check'!G:K,5,0),"")</f>
        <v/>
      </c>
    </row>
    <row r="29" spans="2:18" x14ac:dyDescent="0.2">
      <c r="B29" s="44" t="str">
        <f ca="1">IFERROR('Helper sheet act'!F11,"")</f>
        <v/>
      </c>
      <c r="C29" s="45"/>
      <c r="D29" s="45"/>
      <c r="E29" s="45"/>
      <c r="F29" s="11" t="str">
        <f ca="1">IFERROR(VLOOKUP(B29,Act!G:K,5,0),"")</f>
        <v/>
      </c>
      <c r="N29" s="44" t="str">
        <f ca="1">IFERROR('Helper sheet check'!F11,"")</f>
        <v/>
      </c>
      <c r="O29" s="45"/>
      <c r="P29" s="45"/>
      <c r="Q29" s="45"/>
      <c r="R29" s="11" t="str">
        <f ca="1">IFERROR(VLOOKUP(N29,'Check'!G:K,5,0),"")</f>
        <v/>
      </c>
    </row>
    <row r="30" spans="2:18" x14ac:dyDescent="0.2">
      <c r="B30" s="44" t="str">
        <f ca="1">IFERROR('Helper sheet act'!F12,"")</f>
        <v/>
      </c>
      <c r="C30" s="45"/>
      <c r="D30" s="45"/>
      <c r="E30" s="45"/>
      <c r="F30" s="11" t="str">
        <f ca="1">IFERROR(VLOOKUP(B30,Act!G:K,5,0),"")</f>
        <v/>
      </c>
      <c r="N30" s="44" t="str">
        <f ca="1">IFERROR('Helper sheet check'!F12,"")</f>
        <v/>
      </c>
      <c r="O30" s="45"/>
      <c r="P30" s="45"/>
      <c r="Q30" s="45"/>
      <c r="R30" s="11" t="str">
        <f ca="1">IFERROR(VLOOKUP(N30,'Check'!G:K,5,0),"")</f>
        <v/>
      </c>
    </row>
    <row r="31" spans="2:18" x14ac:dyDescent="0.2">
      <c r="B31" s="44" t="str">
        <f ca="1">IFERROR('Helper sheet act'!F13,"")</f>
        <v/>
      </c>
      <c r="C31" s="45"/>
      <c r="D31" s="45"/>
      <c r="E31" s="45"/>
      <c r="F31" s="11" t="str">
        <f ca="1">IFERROR(VLOOKUP(B31,Act!G:K,5,0),"")</f>
        <v/>
      </c>
      <c r="N31" s="44" t="str">
        <f ca="1">IFERROR('Helper sheet check'!F13,"")</f>
        <v/>
      </c>
      <c r="O31" s="45"/>
      <c r="P31" s="45"/>
      <c r="Q31" s="45"/>
      <c r="R31" s="11" t="str">
        <f ca="1">IFERROR(VLOOKUP(N31,'Check'!G:K,5,0),"")</f>
        <v/>
      </c>
    </row>
    <row r="32" spans="2:18" x14ac:dyDescent="0.2">
      <c r="B32" s="57" t="str">
        <f ca="1">IFERROR('Helper sheet act'!F14,"")</f>
        <v/>
      </c>
      <c r="C32" s="58"/>
      <c r="D32" s="58"/>
      <c r="E32" s="58"/>
      <c r="F32" s="12" t="str">
        <f ca="1">IFERROR(VLOOKUP(B32,Act!G:K,5,0),"")</f>
        <v/>
      </c>
      <c r="N32" s="57" t="str">
        <f ca="1">IFERROR('Helper sheet check'!F14,"")</f>
        <v/>
      </c>
      <c r="O32" s="58"/>
      <c r="P32" s="58"/>
      <c r="Q32" s="58"/>
      <c r="R32" s="12" t="str">
        <f ca="1">IFERROR(VLOOKUP(N32,'Check'!G:K,5,0),"")</f>
        <v/>
      </c>
    </row>
    <row r="33" x14ac:dyDescent="0.2"/>
  </sheetData>
  <sheetProtection sheet="1" objects="1" scenarios="1"/>
  <mergeCells count="57">
    <mergeCell ref="N31:Q31"/>
    <mergeCell ref="N32:Q32"/>
    <mergeCell ref="B31:E31"/>
    <mergeCell ref="B32:E32"/>
    <mergeCell ref="B15:E15"/>
    <mergeCell ref="B16:E16"/>
    <mergeCell ref="B30:E30"/>
    <mergeCell ref="B20:E20"/>
    <mergeCell ref="B21:E21"/>
    <mergeCell ref="B22:E22"/>
    <mergeCell ref="B23:E23"/>
    <mergeCell ref="B26:E26"/>
    <mergeCell ref="B27:E27"/>
    <mergeCell ref="B28:E28"/>
    <mergeCell ref="B29:E29"/>
    <mergeCell ref="N15:Q15"/>
    <mergeCell ref="N4:Q4"/>
    <mergeCell ref="N5:Q5"/>
    <mergeCell ref="N6:Q6"/>
    <mergeCell ref="N7:Q7"/>
    <mergeCell ref="N8:Q8"/>
    <mergeCell ref="B24:E24"/>
    <mergeCell ref="B25:E25"/>
    <mergeCell ref="N25:Q25"/>
    <mergeCell ref="N9:Q9"/>
    <mergeCell ref="N10:Q10"/>
    <mergeCell ref="N11:Q11"/>
    <mergeCell ref="N12:Q12"/>
    <mergeCell ref="N13:Q13"/>
    <mergeCell ref="B12:E12"/>
    <mergeCell ref="B13:E13"/>
    <mergeCell ref="B14:E14"/>
    <mergeCell ref="B11:E11"/>
    <mergeCell ref="N16:Q16"/>
    <mergeCell ref="B9:E9"/>
    <mergeCell ref="K1:L1"/>
    <mergeCell ref="B1:D1"/>
    <mergeCell ref="B4:E4"/>
    <mergeCell ref="B5:E5"/>
    <mergeCell ref="N30:Q30"/>
    <mergeCell ref="N14:Q14"/>
    <mergeCell ref="N20:Q20"/>
    <mergeCell ref="N21:Q21"/>
    <mergeCell ref="N22:Q22"/>
    <mergeCell ref="N23:Q23"/>
    <mergeCell ref="N24:Q24"/>
    <mergeCell ref="N27:Q27"/>
    <mergeCell ref="N28:Q28"/>
    <mergeCell ref="N29:Q29"/>
    <mergeCell ref="N26:Q26"/>
    <mergeCell ref="B10:E10"/>
    <mergeCell ref="B6:E6"/>
    <mergeCell ref="B7:E7"/>
    <mergeCell ref="B8:E8"/>
    <mergeCell ref="D2:F2"/>
    <mergeCell ref="H2:I2"/>
    <mergeCell ref="B2:C2"/>
  </mergeCells>
  <conditionalFormatting sqref="J17">
    <cfRule type="cellIs" dxfId="74" priority="13" operator="greaterThan">
      <formula>0.9000001</formula>
    </cfRule>
    <cfRule type="cellIs" dxfId="73" priority="14" operator="between">
      <formula>0.7500001</formula>
      <formula>0.9</formula>
    </cfRule>
    <cfRule type="cellIs" dxfId="72" priority="15" operator="between">
      <formula>0</formula>
      <formula>0.75</formula>
    </cfRule>
  </conditionalFormatting>
  <conditionalFormatting sqref="F5:F16">
    <cfRule type="cellIs" dxfId="71" priority="10" operator="between">
      <formula>0.900001</formula>
      <formula>2</formula>
    </cfRule>
    <cfRule type="cellIs" dxfId="70" priority="11" operator="between">
      <formula>0.7500001</formula>
      <formula>0.9</formula>
    </cfRule>
    <cfRule type="cellIs" dxfId="69" priority="12" operator="between">
      <formula>0</formula>
      <formula>0.75</formula>
    </cfRule>
  </conditionalFormatting>
  <conditionalFormatting sqref="R5:R16">
    <cfRule type="cellIs" dxfId="68" priority="7" operator="between">
      <formula>0.900001</formula>
      <formula>2</formula>
    </cfRule>
    <cfRule type="cellIs" dxfId="67" priority="8" operator="between">
      <formula>0.7500001</formula>
      <formula>0.9</formula>
    </cfRule>
    <cfRule type="cellIs" dxfId="66" priority="9" operator="between">
      <formula>0</formula>
      <formula>0.75</formula>
    </cfRule>
  </conditionalFormatting>
  <conditionalFormatting sqref="R21:R32">
    <cfRule type="cellIs" dxfId="65" priority="4" operator="between">
      <formula>0.900001</formula>
      <formula>2</formula>
    </cfRule>
    <cfRule type="cellIs" dxfId="64" priority="5" operator="between">
      <formula>0.7500001</formula>
      <formula>0.9</formula>
    </cfRule>
    <cfRule type="cellIs" dxfId="63" priority="6" operator="between">
      <formula>0</formula>
      <formula>0.75</formula>
    </cfRule>
  </conditionalFormatting>
  <conditionalFormatting sqref="F21:F32">
    <cfRule type="cellIs" dxfId="62" priority="1" operator="between">
      <formula>0.900001</formula>
      <formula>2</formula>
    </cfRule>
    <cfRule type="cellIs" dxfId="61" priority="2" operator="between">
      <formula>0.7500001</formula>
      <formula>0.9</formula>
    </cfRule>
    <cfRule type="cellIs" dxfId="60" priority="3" operator="between">
      <formula>0</formula>
      <formula>0.75</formula>
    </cfRule>
  </conditionalFormatting>
  <dataValidations count="1">
    <dataValidation type="list" allowBlank="1" showInputMessage="1" showErrorMessage="1" sqref="D2:F2" xr:uid="{78964288-B591-4E39-93A4-9FC5CEA24700}">
      <formula1>Project</formula1>
    </dataValidation>
  </dataValidations>
  <hyperlinks>
    <hyperlink ref="E1" location="Plan!A1" display="Plan" xr:uid="{89FAAE49-039C-4DB0-91A3-27A013FBF7E9}"/>
    <hyperlink ref="N1" location="'PDCA list'!A1" display="List" xr:uid="{D39A9645-9323-4242-8F99-A43D8DB41D04}"/>
    <hyperlink ref="O1" location="'PDCA guide'!A1" display="Guide" xr:uid="{C0336D7A-92FD-42DE-87EF-1ADA658DA822}"/>
    <hyperlink ref="F1" location="Do!A1" display="Do" xr:uid="{AFA4FDD4-E328-4B40-AAA8-D582A7DB1D68}"/>
    <hyperlink ref="G1" location="Check!A1" display="Check" xr:uid="{69A55875-AFD5-4D5A-BEA4-4AD08EC9794B}"/>
    <hyperlink ref="H1" location="Act!A1" display="Act" xr:uid="{58A5A937-93B7-45D2-8A41-5BAE072BE95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">
                <anchor moveWithCells="1" sizeWithCells="1">
                  <from>
                    <xdr:col>9</xdr:col>
                    <xdr:colOff>171450</xdr:colOff>
                    <xdr:row>1</xdr:row>
                    <xdr:rowOff>9525</xdr:rowOff>
                  </from>
                  <to>
                    <xdr:col>9</xdr:col>
                    <xdr:colOff>1733550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6907-63E0-4425-AC19-C8F811F9694F}">
  <sheetPr>
    <tabColor rgb="FF8FCFAD"/>
  </sheetPr>
  <dimension ref="A1:M17"/>
  <sheetViews>
    <sheetView showGridLines="0" zoomScaleNormal="100" workbookViewId="0">
      <pane ySplit="3" topLeftCell="A4" activePane="bottomLeft" state="frozen"/>
      <selection pane="bottomLeft" activeCell="E1" sqref="E1"/>
    </sheetView>
  </sheetViews>
  <sheetFormatPr defaultColWidth="0" defaultRowHeight="12.75" x14ac:dyDescent="0.2"/>
  <cols>
    <col min="1" max="1" width="3.28515625" style="15" customWidth="1"/>
    <col min="2" max="2" width="20.28515625" style="34" customWidth="1"/>
    <col min="3" max="3" width="14.5703125" style="15" customWidth="1"/>
    <col min="4" max="4" width="10.28515625" style="15" bestFit="1" customWidth="1"/>
    <col min="5" max="5" width="15.28515625" style="34" customWidth="1"/>
    <col min="6" max="6" width="14.7109375" style="34" customWidth="1"/>
    <col min="7" max="7" width="45.28515625" style="34" customWidth="1"/>
    <col min="8" max="8" width="25.7109375" style="34" customWidth="1"/>
    <col min="9" max="9" width="11" style="15" customWidth="1"/>
    <col min="10" max="10" width="11.42578125" style="15" customWidth="1"/>
    <col min="11" max="11" width="13.5703125" style="34" customWidth="1"/>
    <col min="12" max="12" width="13.5703125" style="15" hidden="1" customWidth="1"/>
    <col min="13" max="13" width="0" style="15" hidden="1" customWidth="1"/>
    <col min="14" max="16384" width="9.140625" style="15" hidden="1"/>
  </cols>
  <sheetData>
    <row r="1" spans="2:11" x14ac:dyDescent="0.2">
      <c r="B1" s="31" t="s">
        <v>17</v>
      </c>
      <c r="C1" s="38" t="s">
        <v>13</v>
      </c>
      <c r="D1" s="31" t="s">
        <v>14</v>
      </c>
      <c r="E1" s="31" t="s">
        <v>15</v>
      </c>
      <c r="F1" s="31" t="s">
        <v>16</v>
      </c>
      <c r="G1" s="32"/>
      <c r="H1" s="32"/>
      <c r="I1" s="31" t="s">
        <v>29</v>
      </c>
      <c r="J1" s="31" t="s">
        <v>30</v>
      </c>
      <c r="K1" s="33"/>
    </row>
    <row r="2" spans="2:11" ht="8.1" customHeight="1" x14ac:dyDescent="0.2"/>
    <row r="3" spans="2:11" x14ac:dyDescent="0.2">
      <c r="B3" s="35" t="s">
        <v>23</v>
      </c>
      <c r="C3" s="23" t="s">
        <v>25</v>
      </c>
      <c r="D3" s="23" t="s">
        <v>28</v>
      </c>
      <c r="E3" s="35" t="s">
        <v>19</v>
      </c>
      <c r="F3" s="35" t="s">
        <v>21</v>
      </c>
      <c r="G3" s="35" t="s">
        <v>20</v>
      </c>
      <c r="H3" s="35" t="s">
        <v>43</v>
      </c>
      <c r="I3" s="16" t="s">
        <v>22</v>
      </c>
      <c r="J3" s="23" t="s">
        <v>27</v>
      </c>
      <c r="K3" s="35" t="s">
        <v>12</v>
      </c>
    </row>
    <row r="4" spans="2:11" x14ac:dyDescent="0.2">
      <c r="B4" s="34" t="s">
        <v>26</v>
      </c>
      <c r="C4" s="15" t="str">
        <f>IFERROR(VLOOKUP(Plan[[#This Row],[Project]],'PDCA List'!B:E,2,0),"")</f>
        <v>PDCA-2001</v>
      </c>
      <c r="D4" s="15" t="str">
        <f>IF(Plan[[#This Row],[Project]]="","","Plan")</f>
        <v>Plan</v>
      </c>
      <c r="E4" s="37">
        <v>44114</v>
      </c>
      <c r="F4" s="34" t="s">
        <v>34</v>
      </c>
      <c r="G4" s="34" t="s">
        <v>96</v>
      </c>
      <c r="H4" s="34" t="s">
        <v>97</v>
      </c>
      <c r="I4" s="19">
        <v>44115</v>
      </c>
      <c r="J4" s="25">
        <f>IF(OR(Plan[[#This Row],[Date]]="",Plan[[#This Row],[Due date]]=0),"",Plan[[#This Row],[Due date]]-Plan[[#This Row],[Date]])</f>
        <v>1</v>
      </c>
      <c r="K4" s="36">
        <v>1</v>
      </c>
    </row>
    <row r="5" spans="2:11" x14ac:dyDescent="0.2">
      <c r="B5" s="34" t="s">
        <v>26</v>
      </c>
      <c r="C5" s="15" t="str">
        <f>IFERROR(VLOOKUP(Plan[[#This Row],[Project]],'PDCA List'!B:E,2,0),"")</f>
        <v>PDCA-2001</v>
      </c>
      <c r="D5" s="15" t="str">
        <f>IF(Plan[[#This Row],[Project]]="","","Plan")</f>
        <v>Plan</v>
      </c>
      <c r="E5" s="37">
        <v>44114</v>
      </c>
      <c r="F5" s="37" t="s">
        <v>33</v>
      </c>
      <c r="G5" s="34" t="s">
        <v>98</v>
      </c>
      <c r="H5" s="34" t="s">
        <v>48</v>
      </c>
      <c r="I5" s="19">
        <v>44115</v>
      </c>
      <c r="J5" s="27">
        <f>IF(OR(Plan[[#This Row],[Date]]="",Plan[[#This Row],[Due date]]=0),"",Plan[[#This Row],[Due date]]-Plan[[#This Row],[Date]])</f>
        <v>1</v>
      </c>
      <c r="K5" s="36">
        <v>1</v>
      </c>
    </row>
    <row r="6" spans="2:11" x14ac:dyDescent="0.2">
      <c r="B6" s="34" t="s">
        <v>26</v>
      </c>
      <c r="C6" s="15" t="str">
        <f>IFERROR(VLOOKUP(Plan[[#This Row],[Project]],'PDCA List'!B:E,2,0),"")</f>
        <v>PDCA-2001</v>
      </c>
      <c r="D6" s="15" t="str">
        <f>IF(Plan[[#This Row],[Project]]="","","Plan")</f>
        <v>Plan</v>
      </c>
      <c r="E6" s="37">
        <v>44113</v>
      </c>
      <c r="F6" s="37" t="s">
        <v>33</v>
      </c>
      <c r="G6" s="34" t="s">
        <v>99</v>
      </c>
      <c r="H6" s="34" t="s">
        <v>49</v>
      </c>
      <c r="I6" s="19">
        <v>44114</v>
      </c>
      <c r="J6" s="27">
        <f>IF(OR(Plan[[#This Row],[Date]]="",Plan[[#This Row],[Due date]]=0),"",Plan[[#This Row],[Due date]]-Plan[[#This Row],[Date]])</f>
        <v>1</v>
      </c>
      <c r="K6" s="36">
        <v>1</v>
      </c>
    </row>
    <row r="7" spans="2:11" x14ac:dyDescent="0.2">
      <c r="B7" s="34" t="s">
        <v>26</v>
      </c>
      <c r="C7" s="15" t="str">
        <f>IFERROR(VLOOKUP(Plan[[#This Row],[Project]],'PDCA List'!B:E,2,0),"")</f>
        <v>PDCA-2001</v>
      </c>
      <c r="D7" s="15" t="str">
        <f>IF(Plan[[#This Row],[Project]]="","","Plan")</f>
        <v>Plan</v>
      </c>
      <c r="E7" s="37">
        <v>44113</v>
      </c>
      <c r="F7" s="37" t="s">
        <v>35</v>
      </c>
      <c r="G7" s="34" t="s">
        <v>100</v>
      </c>
      <c r="H7" s="34" t="s">
        <v>97</v>
      </c>
      <c r="I7" s="19">
        <v>44115</v>
      </c>
      <c r="J7" s="27">
        <f>IF(OR(Plan[[#This Row],[Date]]="",Plan[[#This Row],[Due date]]=0),"",Plan[[#This Row],[Due date]]-Plan[[#This Row],[Date]])</f>
        <v>2</v>
      </c>
      <c r="K7" s="36">
        <v>1</v>
      </c>
    </row>
    <row r="8" spans="2:11" x14ac:dyDescent="0.2">
      <c r="B8" s="34" t="s">
        <v>52</v>
      </c>
      <c r="C8" s="15" t="str">
        <f>IFERROR(VLOOKUP(Plan[[#This Row],[Project]],'PDCA List'!B:E,2,0),"")</f>
        <v>PDCA-2002</v>
      </c>
      <c r="D8" s="15" t="str">
        <f>IF(Plan[[#This Row],[Project]]="","","Plan")</f>
        <v>Plan</v>
      </c>
      <c r="E8" s="37">
        <v>44111</v>
      </c>
      <c r="F8" s="37" t="s">
        <v>40</v>
      </c>
      <c r="G8" s="34" t="s">
        <v>101</v>
      </c>
      <c r="H8" s="34" t="s">
        <v>48</v>
      </c>
      <c r="I8" s="19">
        <v>44114</v>
      </c>
      <c r="J8" s="27">
        <f>IF(OR(Plan[[#This Row],[Date]]="",Plan[[#This Row],[Due date]]=0),"",Plan[[#This Row],[Due date]]-Plan[[#This Row],[Date]])</f>
        <v>3</v>
      </c>
      <c r="K8" s="36">
        <v>0.7</v>
      </c>
    </row>
    <row r="9" spans="2:11" x14ac:dyDescent="0.2">
      <c r="B9" s="34" t="s">
        <v>95</v>
      </c>
      <c r="C9" s="15" t="str">
        <f>IFERROR(VLOOKUP(Plan[[#This Row],[Project]],'PDCA List'!B:E,2,0),"")</f>
        <v>PDCA-2003</v>
      </c>
      <c r="D9" s="15" t="str">
        <f>IF(Plan[[#This Row],[Project]]="","","Plan")</f>
        <v>Plan</v>
      </c>
      <c r="E9" s="37">
        <v>44109</v>
      </c>
      <c r="F9" s="37" t="s">
        <v>37</v>
      </c>
      <c r="G9" s="34" t="s">
        <v>102</v>
      </c>
      <c r="H9" s="34" t="s">
        <v>48</v>
      </c>
      <c r="I9" s="19">
        <v>44111</v>
      </c>
      <c r="J9" s="27">
        <f>IF(OR(Plan[[#This Row],[Date]]="",Plan[[#This Row],[Due date]]=0),"",Plan[[#This Row],[Due date]]-Plan[[#This Row],[Date]])</f>
        <v>2</v>
      </c>
      <c r="K9" s="36">
        <v>0.95</v>
      </c>
    </row>
    <row r="10" spans="2:11" x14ac:dyDescent="0.2">
      <c r="B10" s="34" t="s">
        <v>26</v>
      </c>
      <c r="C10" s="15" t="str">
        <f>IFERROR(VLOOKUP(Plan[[#This Row],[Project]],'PDCA List'!B:E,2,0),"")</f>
        <v>PDCA-2001</v>
      </c>
      <c r="D10" s="15" t="str">
        <f>IF(Plan[[#This Row],[Project]]="","","Plan")</f>
        <v>Plan</v>
      </c>
      <c r="E10" s="37">
        <v>44116</v>
      </c>
      <c r="F10" s="37" t="s">
        <v>38</v>
      </c>
      <c r="G10" s="34" t="s">
        <v>122</v>
      </c>
      <c r="H10" s="34" t="s">
        <v>48</v>
      </c>
      <c r="I10" s="19">
        <v>44119</v>
      </c>
      <c r="J10" s="27">
        <f>IF(OR(Plan[[#This Row],[Date]]="",Plan[[#This Row],[Due date]]=0),"",Plan[[#This Row],[Due date]]-Plan[[#This Row],[Date]])</f>
        <v>3</v>
      </c>
      <c r="K10" s="36">
        <v>1</v>
      </c>
    </row>
    <row r="11" spans="2:11" x14ac:dyDescent="0.2">
      <c r="B11" s="34" t="s">
        <v>130</v>
      </c>
      <c r="C11" s="15" t="str">
        <f>IFERROR(VLOOKUP(Plan[[#This Row],[Project]],'PDCA List'!B:E,2,0),"")</f>
        <v>PDCA-2000</v>
      </c>
      <c r="D11" s="15" t="str">
        <f>IF(Plan[[#This Row],[Project]]="","","Plan")</f>
        <v>Plan</v>
      </c>
      <c r="E11" s="37"/>
      <c r="F11" s="37" t="s">
        <v>33</v>
      </c>
      <c r="G11" s="34" t="s">
        <v>132</v>
      </c>
      <c r="H11" s="34" t="s">
        <v>97</v>
      </c>
      <c r="I11" s="19"/>
      <c r="J11" s="27" t="str">
        <f>IF(OR(Plan[[#This Row],[Date]]="",Plan[[#This Row],[Due date]]=0),"",Plan[[#This Row],[Due date]]-Plan[[#This Row],[Date]])</f>
        <v/>
      </c>
      <c r="K11" s="36">
        <v>1</v>
      </c>
    </row>
    <row r="12" spans="2:11" x14ac:dyDescent="0.2">
      <c r="B12" s="34" t="s">
        <v>130</v>
      </c>
      <c r="C12" s="15" t="str">
        <f>IFERROR(VLOOKUP(Plan[[#This Row],[Project]],'PDCA List'!B:E,2,0),"")</f>
        <v>PDCA-2000</v>
      </c>
      <c r="D12" s="15" t="str">
        <f>IF(Plan[[#This Row],[Project]]="","","Plan")</f>
        <v>Plan</v>
      </c>
      <c r="E12" s="37"/>
      <c r="F12" s="37"/>
      <c r="G12" s="34" t="s">
        <v>133</v>
      </c>
      <c r="I12" s="19"/>
      <c r="J12" s="27" t="str">
        <f>IF(OR(Plan[[#This Row],[Date]]="",Plan[[#This Row],[Due date]]=0),"",Plan[[#This Row],[Due date]]-Plan[[#This Row],[Date]])</f>
        <v/>
      </c>
      <c r="K12" s="36">
        <v>1</v>
      </c>
    </row>
    <row r="13" spans="2:11" x14ac:dyDescent="0.2">
      <c r="B13" s="34" t="s">
        <v>130</v>
      </c>
      <c r="C13" s="15" t="str">
        <f>IFERROR(VLOOKUP(Plan[[#This Row],[Project]],'PDCA List'!B:E,2,0),"")</f>
        <v>PDCA-2000</v>
      </c>
      <c r="D13" s="15" t="str">
        <f>IF(Plan[[#This Row],[Project]]="","","Plan")</f>
        <v>Plan</v>
      </c>
      <c r="E13" s="37"/>
      <c r="F13" s="37"/>
      <c r="G13" s="34" t="s">
        <v>146</v>
      </c>
      <c r="I13" s="19"/>
      <c r="J13" s="27" t="str">
        <f>IF(OR(Plan[[#This Row],[Date]]="",Plan[[#This Row],[Due date]]=0),"",Plan[[#This Row],[Due date]]-Plan[[#This Row],[Date]])</f>
        <v/>
      </c>
      <c r="K13" s="36">
        <v>1</v>
      </c>
    </row>
    <row r="14" spans="2:11" x14ac:dyDescent="0.2">
      <c r="B14" s="34" t="s">
        <v>130</v>
      </c>
      <c r="C14" s="15" t="str">
        <f>IFERROR(VLOOKUP(Plan[[#This Row],[Project]],'PDCA List'!B:E,2,0),"")</f>
        <v>PDCA-2000</v>
      </c>
      <c r="D14" s="15" t="str">
        <f>IF(Plan[[#This Row],[Project]]="","","Plan")</f>
        <v>Plan</v>
      </c>
      <c r="E14" s="37"/>
      <c r="F14" s="37"/>
      <c r="G14" s="34" t="s">
        <v>137</v>
      </c>
      <c r="I14" s="19"/>
      <c r="J14" s="27" t="str">
        <f>IF(OR(Plan[[#This Row],[Date]]="",Plan[[#This Row],[Due date]]=0),"",Plan[[#This Row],[Due date]]-Plan[[#This Row],[Date]])</f>
        <v/>
      </c>
      <c r="K14" s="36">
        <v>1</v>
      </c>
    </row>
    <row r="15" spans="2:11" x14ac:dyDescent="0.2">
      <c r="B15" s="34" t="s">
        <v>130</v>
      </c>
      <c r="C15" s="15" t="str">
        <f>IFERROR(VLOOKUP(Plan[[#This Row],[Project]],'PDCA List'!B:E,2,0),"")</f>
        <v>PDCA-2000</v>
      </c>
      <c r="D15" s="15" t="str">
        <f>IF(Plan[[#This Row],[Project]]="","","Plan")</f>
        <v>Plan</v>
      </c>
      <c r="E15" s="37"/>
      <c r="F15" s="37"/>
      <c r="G15" s="34" t="s">
        <v>147</v>
      </c>
      <c r="I15" s="19"/>
      <c r="J15" s="27" t="str">
        <f>IF(OR(Plan[[#This Row],[Date]]="",Plan[[#This Row],[Due date]]=0),"",Plan[[#This Row],[Due date]]-Plan[[#This Row],[Date]])</f>
        <v/>
      </c>
      <c r="K15" s="36">
        <v>1</v>
      </c>
    </row>
    <row r="16" spans="2:11" x14ac:dyDescent="0.2">
      <c r="B16" s="34" t="s">
        <v>130</v>
      </c>
      <c r="C16" s="15" t="str">
        <f>IFERROR(VLOOKUP(Plan[[#This Row],[Project]],'PDCA List'!B:E,2,0),"")</f>
        <v>PDCA-2000</v>
      </c>
      <c r="D16" s="15" t="str">
        <f>IF(Plan[[#This Row],[Project]]="","","Plan")</f>
        <v>Plan</v>
      </c>
      <c r="E16" s="37"/>
      <c r="F16" s="37"/>
      <c r="G16" s="34" t="s">
        <v>135</v>
      </c>
      <c r="I16" s="19"/>
      <c r="J16" s="27" t="str">
        <f>IF(OR(Plan[[#This Row],[Date]]="",Plan[[#This Row],[Due date]]=0),"",Plan[[#This Row],[Due date]]-Plan[[#This Row],[Date]])</f>
        <v/>
      </c>
      <c r="K16" s="36">
        <v>1</v>
      </c>
    </row>
    <row r="17" spans="2:11" x14ac:dyDescent="0.2">
      <c r="B17" s="34" t="s">
        <v>130</v>
      </c>
      <c r="C17" s="15" t="str">
        <f>IFERROR(VLOOKUP(Plan[[#This Row],[Project]],'PDCA List'!B:E,2,0),"")</f>
        <v>PDCA-2000</v>
      </c>
      <c r="D17" s="15" t="str">
        <f>IF(Plan[[#This Row],[Project]]="","","Plan")</f>
        <v>Plan</v>
      </c>
      <c r="E17" s="37"/>
      <c r="F17" s="37"/>
      <c r="G17" s="34" t="s">
        <v>138</v>
      </c>
      <c r="I17" s="19"/>
      <c r="J17" s="27" t="str">
        <f>IF(OR(Plan[[#This Row],[Date]]="",Plan[[#This Row],[Due date]]=0),"",Plan[[#This Row],[Due date]]-Plan[[#This Row],[Date]])</f>
        <v/>
      </c>
      <c r="K17" s="36">
        <v>1</v>
      </c>
    </row>
  </sheetData>
  <sheetProtection selectLockedCells="1" sort="0" autoFilter="0" pivotTables="0"/>
  <conditionalFormatting sqref="K4:K17">
    <cfRule type="cellIs" dxfId="59" priority="1" operator="greaterThan">
      <formula>0.900001</formula>
    </cfRule>
    <cfRule type="cellIs" dxfId="58" priority="2" operator="between">
      <formula>0.750001</formula>
      <formula>0.9</formula>
    </cfRule>
    <cfRule type="cellIs" dxfId="57" priority="3" operator="between">
      <formula>0</formula>
      <formula>0.75</formula>
    </cfRule>
  </conditionalFormatting>
  <dataValidations count="3">
    <dataValidation type="list" allowBlank="1" showInputMessage="1" showErrorMessage="1" sqref="B4:B1048576" xr:uid="{2F502D6A-B74F-4CE7-8BBE-74498835E68F}">
      <formula1>Project</formula1>
    </dataValidation>
    <dataValidation type="list" allowBlank="1" showInputMessage="1" showErrorMessage="1" sqref="F4:F17" xr:uid="{E3AB85DC-6E8F-4437-902C-562F48382065}">
      <formula1>Members</formula1>
    </dataValidation>
    <dataValidation type="list" allowBlank="1" showInputMessage="1" showErrorMessage="1" sqref="H4:H17" xr:uid="{8E8BEA66-F94A-4281-A7C5-BB10C8E6D157}">
      <formula1>Department</formula1>
    </dataValidation>
  </dataValidations>
  <hyperlinks>
    <hyperlink ref="B1" location="'PDCA review'!A1" display="PDCA cycle review" xr:uid="{4CC47B74-2178-47B3-A2D5-3DA7E7AA4BD9}"/>
    <hyperlink ref="D1" location="Do!A1" display="Do" xr:uid="{3206B9B2-B612-4A19-A296-D7C94E3A30D5}"/>
    <hyperlink ref="I1" location="'PDCA list'!A1" display="List" xr:uid="{DB403083-482B-4A1A-8248-BE7631AE3D0D}"/>
    <hyperlink ref="J1" location="'PDCA guide'!A1" display="Guide" xr:uid="{28E74883-F381-449E-A316-C6D83F7E4619}"/>
    <hyperlink ref="E1" location="'Check'!A1" display="Check" xr:uid="{93D30C7C-7DF0-4AD3-9F1A-171127BDFD3E}"/>
    <hyperlink ref="F1" location="Act!A1" display="Act" xr:uid="{6DAA3A17-35E8-4CD9-A537-5F34937943F0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7BEE-16CA-40C4-95B6-C73F00523FC1}">
  <sheetPr>
    <tabColor rgb="FF8FCFAD"/>
  </sheetPr>
  <dimension ref="A1:K1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0" defaultRowHeight="12.75" x14ac:dyDescent="0.2"/>
  <cols>
    <col min="1" max="1" width="3.28515625" customWidth="1"/>
    <col min="2" max="2" width="20.28515625" style="15" customWidth="1"/>
    <col min="3" max="3" width="14.5703125" style="15" customWidth="1"/>
    <col min="4" max="4" width="10.28515625" style="15" bestFit="1" customWidth="1"/>
    <col min="5" max="5" width="15.28515625" style="15" customWidth="1"/>
    <col min="6" max="6" width="14.7109375" style="15" customWidth="1"/>
    <col min="7" max="7" width="45.28515625" style="15" customWidth="1"/>
    <col min="8" max="8" width="25.7109375" style="15" customWidth="1"/>
    <col min="9" max="9" width="11" style="15" customWidth="1"/>
    <col min="10" max="10" width="11.42578125" style="15" customWidth="1"/>
    <col min="11" max="11" width="13.5703125" style="15" customWidth="1"/>
    <col min="12" max="16384" width="9.140625" hidden="1"/>
  </cols>
  <sheetData>
    <row r="1" spans="2:11" x14ac:dyDescent="0.2">
      <c r="B1" s="24" t="s">
        <v>17</v>
      </c>
      <c r="C1" s="24" t="s">
        <v>13</v>
      </c>
      <c r="D1" s="21" t="s">
        <v>14</v>
      </c>
      <c r="E1" s="24" t="s">
        <v>15</v>
      </c>
      <c r="F1" s="24" t="s">
        <v>16</v>
      </c>
      <c r="G1" s="17"/>
      <c r="H1" s="17"/>
      <c r="I1" s="24" t="s">
        <v>29</v>
      </c>
      <c r="J1" s="24" t="s">
        <v>30</v>
      </c>
      <c r="K1" s="18"/>
    </row>
    <row r="2" spans="2:11" ht="8.1" customHeight="1" x14ac:dyDescent="0.2"/>
    <row r="3" spans="2:11" x14ac:dyDescent="0.2">
      <c r="B3" s="16" t="s">
        <v>23</v>
      </c>
      <c r="C3" s="23" t="s">
        <v>25</v>
      </c>
      <c r="D3" s="23" t="s">
        <v>28</v>
      </c>
      <c r="E3" s="16" t="s">
        <v>19</v>
      </c>
      <c r="F3" s="16" t="s">
        <v>21</v>
      </c>
      <c r="G3" s="16" t="s">
        <v>20</v>
      </c>
      <c r="H3" s="16" t="s">
        <v>43</v>
      </c>
      <c r="I3" s="16" t="s">
        <v>22</v>
      </c>
      <c r="J3" s="23" t="s">
        <v>27</v>
      </c>
      <c r="K3" s="16" t="s">
        <v>12</v>
      </c>
    </row>
    <row r="4" spans="2:11" x14ac:dyDescent="0.2">
      <c r="B4" s="15" t="s">
        <v>26</v>
      </c>
      <c r="C4" s="15" t="str">
        <f>IFERROR(VLOOKUP(Do[[#This Row],[Project]],'PDCA List'!B:E,2,0),"")</f>
        <v>PDCA-2001</v>
      </c>
      <c r="D4" s="15" t="str">
        <f>IF(Do[[#This Row],[Project]]="","","Do")</f>
        <v>Do</v>
      </c>
      <c r="E4" s="19">
        <v>44119</v>
      </c>
      <c r="F4" s="19" t="s">
        <v>35</v>
      </c>
      <c r="G4" s="15" t="s">
        <v>123</v>
      </c>
      <c r="H4" s="15" t="s">
        <v>46</v>
      </c>
      <c r="I4" s="19">
        <v>44122</v>
      </c>
      <c r="J4" s="27">
        <f>IF(OR(Do[[#This Row],[Date]]="",Do[[#This Row],[Due date]]=0),"",Do[[#This Row],[Due date]]-Do[[#This Row],[Date]])</f>
        <v>3</v>
      </c>
      <c r="K4" s="22">
        <v>1</v>
      </c>
    </row>
    <row r="5" spans="2:11" x14ac:dyDescent="0.2">
      <c r="B5" s="15" t="s">
        <v>26</v>
      </c>
      <c r="C5" s="15" t="str">
        <f>IFERROR(VLOOKUP(Do[[#This Row],[Project]],'PDCA List'!B:E,2,0),"")</f>
        <v>PDCA-2001</v>
      </c>
      <c r="D5" s="15" t="str">
        <f>IF(Do[[#This Row],[Project]]="","","Do")</f>
        <v>Do</v>
      </c>
      <c r="E5" s="19">
        <v>44121</v>
      </c>
      <c r="F5" s="19" t="s">
        <v>35</v>
      </c>
      <c r="G5" s="15" t="s">
        <v>124</v>
      </c>
      <c r="H5" s="15" t="s">
        <v>46</v>
      </c>
      <c r="I5" s="19">
        <v>44124</v>
      </c>
      <c r="J5" s="27">
        <f>IF(OR(Do[[#This Row],[Date]]="",Do[[#This Row],[Due date]]=0),"",Do[[#This Row],[Due date]]-Do[[#This Row],[Date]])</f>
        <v>3</v>
      </c>
      <c r="K5" s="22">
        <v>1</v>
      </c>
    </row>
    <row r="6" spans="2:11" x14ac:dyDescent="0.2">
      <c r="B6" s="15" t="s">
        <v>26</v>
      </c>
      <c r="C6" s="15" t="str">
        <f>IFERROR(VLOOKUP(Do[[#This Row],[Project]],'PDCA List'!B:E,2,0),"")</f>
        <v>PDCA-2001</v>
      </c>
      <c r="D6" s="15" t="str">
        <f>IF(Do[[#This Row],[Project]]="","","Do")</f>
        <v>Do</v>
      </c>
      <c r="E6" s="19">
        <v>44121</v>
      </c>
      <c r="F6" s="19" t="s">
        <v>34</v>
      </c>
      <c r="G6" s="15" t="s">
        <v>125</v>
      </c>
      <c r="H6" s="15" t="s">
        <v>48</v>
      </c>
      <c r="I6" s="19">
        <v>44124</v>
      </c>
      <c r="J6" s="27">
        <f>IF(OR(Do[[#This Row],[Date]]="",Do[[#This Row],[Due date]]=0),"",Do[[#This Row],[Due date]]-Do[[#This Row],[Date]])</f>
        <v>3</v>
      </c>
      <c r="K6" s="22">
        <v>1</v>
      </c>
    </row>
    <row r="7" spans="2:11" x14ac:dyDescent="0.2">
      <c r="B7" s="15" t="s">
        <v>130</v>
      </c>
      <c r="C7" s="15" t="str">
        <f>IFERROR(VLOOKUP(Do[[#This Row],[Project]],'PDCA List'!B:E,2,0),"")</f>
        <v>PDCA-2000</v>
      </c>
      <c r="D7" s="15" t="str">
        <f>IF(Do[[#This Row],[Project]]="","","Do")</f>
        <v>Do</v>
      </c>
      <c r="E7" s="19"/>
      <c r="F7" s="19"/>
      <c r="G7" s="15" t="s">
        <v>149</v>
      </c>
      <c r="I7" s="19"/>
      <c r="J7" s="27" t="str">
        <f>IF(OR(Do[[#This Row],[Date]]="",Do[[#This Row],[Due date]]=0),"",Do[[#This Row],[Due date]]-Do[[#This Row],[Date]])</f>
        <v/>
      </c>
      <c r="K7" s="22">
        <v>1</v>
      </c>
    </row>
    <row r="8" spans="2:11" x14ac:dyDescent="0.2">
      <c r="B8" s="15" t="s">
        <v>130</v>
      </c>
      <c r="C8" s="15" t="str">
        <f>IFERROR(VLOOKUP(Do[[#This Row],[Project]],'PDCA List'!B:E,2,0),"")</f>
        <v>PDCA-2000</v>
      </c>
      <c r="D8" s="15" t="str">
        <f>IF(Do[[#This Row],[Project]]="","","Do")</f>
        <v>Do</v>
      </c>
      <c r="E8" s="19"/>
      <c r="F8" s="19"/>
      <c r="G8" s="15" t="s">
        <v>148</v>
      </c>
      <c r="I8" s="19"/>
      <c r="J8" s="27" t="str">
        <f>IF(OR(Do[[#This Row],[Date]]="",Do[[#This Row],[Due date]]=0),"",Do[[#This Row],[Due date]]-Do[[#This Row],[Date]])</f>
        <v/>
      </c>
      <c r="K8" s="22">
        <v>1</v>
      </c>
    </row>
    <row r="9" spans="2:11" x14ac:dyDescent="0.2">
      <c r="B9" s="15" t="s">
        <v>130</v>
      </c>
      <c r="C9" s="15" t="str">
        <f>IFERROR(VLOOKUP(Do[[#This Row],[Project]],'PDCA List'!B:E,2,0),"")</f>
        <v>PDCA-2000</v>
      </c>
      <c r="D9" s="15" t="str">
        <f>IF(Do[[#This Row],[Project]]="","","Do")</f>
        <v>Do</v>
      </c>
      <c r="E9" s="19"/>
      <c r="F9" s="19"/>
      <c r="G9" s="15" t="s">
        <v>139</v>
      </c>
      <c r="I9" s="19"/>
      <c r="J9" s="27" t="str">
        <f>IF(OR(Do[[#This Row],[Date]]="",Do[[#This Row],[Due date]]=0),"",Do[[#This Row],[Due date]]-Do[[#This Row],[Date]])</f>
        <v/>
      </c>
      <c r="K9" s="22">
        <v>1</v>
      </c>
    </row>
    <row r="10" spans="2:11" x14ac:dyDescent="0.2">
      <c r="B10" s="15" t="s">
        <v>130</v>
      </c>
      <c r="C10" s="15" t="str">
        <f>IFERROR(VLOOKUP(Do[[#This Row],[Project]],'PDCA List'!B:E,2,0),"")</f>
        <v>PDCA-2000</v>
      </c>
      <c r="D10" s="15" t="str">
        <f>IF(Do[[#This Row],[Project]]="","","Do")</f>
        <v>Do</v>
      </c>
      <c r="E10" s="19"/>
      <c r="F10" s="19"/>
      <c r="G10" s="15" t="s">
        <v>140</v>
      </c>
      <c r="I10" s="19"/>
      <c r="J10" s="27" t="str">
        <f>IF(OR(Do[[#This Row],[Date]]="",Do[[#This Row],[Due date]]=0),"",Do[[#This Row],[Due date]]-Do[[#This Row],[Date]])</f>
        <v/>
      </c>
      <c r="K10" s="22">
        <v>1</v>
      </c>
    </row>
  </sheetData>
  <conditionalFormatting sqref="K4:K10">
    <cfRule type="cellIs" dxfId="44" priority="1" operator="greaterThan">
      <formula>0.900001</formula>
    </cfRule>
    <cfRule type="cellIs" dxfId="43" priority="2" operator="between">
      <formula>0.750001</formula>
      <formula>0.9</formula>
    </cfRule>
    <cfRule type="cellIs" dxfId="42" priority="3" operator="between">
      <formula>0</formula>
      <formula>0.75</formula>
    </cfRule>
  </conditionalFormatting>
  <dataValidations count="3">
    <dataValidation type="list" allowBlank="1" showInputMessage="1" showErrorMessage="1" sqref="H4:H10" xr:uid="{5AA48BDA-7BC8-4DF5-B410-C04F6F8A881A}">
      <formula1>Department</formula1>
    </dataValidation>
    <dataValidation type="list" allowBlank="1" showInputMessage="1" showErrorMessage="1" sqref="F4:F1048576" xr:uid="{84200EBD-B248-40CA-B19A-4B8D0BFA69A4}">
      <formula1>Members</formula1>
    </dataValidation>
    <dataValidation type="list" allowBlank="1" showInputMessage="1" showErrorMessage="1" sqref="B4:B1048576" xr:uid="{A74DB438-E45A-457E-869F-0C2639E776D7}">
      <formula1>Project</formula1>
    </dataValidation>
  </dataValidations>
  <hyperlinks>
    <hyperlink ref="B1" location="'PDCA review'!A1" display="PDCA cycle review" xr:uid="{8B0363C4-2C26-44D7-A0B7-C52733BDE644}"/>
    <hyperlink ref="C1" location="Plan!A1" display="Plan" xr:uid="{5A4D0B41-2E46-4AF6-9E7F-943A13852F11}"/>
    <hyperlink ref="E1" location="Check!A1" display="Check" xr:uid="{20C6120F-7584-489A-8720-2B43FC574924}"/>
    <hyperlink ref="I1" location="'PDCA list'!A1" display="List" xr:uid="{572ACCDB-8C37-4A65-8D7F-4B10F8A5AF7B}"/>
    <hyperlink ref="J1" location="'PDCA guide'!A1" display="Guide" xr:uid="{65646FA3-EEA6-46AE-AE83-C5E5FF425DC6}"/>
    <hyperlink ref="F1" location="Act!A1" display="Act" xr:uid="{26878405-220E-4D3B-A461-57F13B07FB41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14A7-7FF1-429A-8852-67493A5D85D1}">
  <sheetPr>
    <tabColor rgb="FF8FCFAD"/>
  </sheetPr>
  <dimension ref="A1:K9"/>
  <sheetViews>
    <sheetView showGridLines="0" zoomScaleNormal="100" workbookViewId="0">
      <pane ySplit="3" topLeftCell="A4" activePane="bottomLeft" state="frozen"/>
      <selection pane="bottomLeft" activeCell="F1" sqref="F1"/>
    </sheetView>
  </sheetViews>
  <sheetFormatPr defaultColWidth="0" defaultRowHeight="12.75" x14ac:dyDescent="0.2"/>
  <cols>
    <col min="1" max="1" width="3.28515625" customWidth="1"/>
    <col min="2" max="2" width="20.28515625" style="15" customWidth="1"/>
    <col min="3" max="3" width="14.5703125" style="15" customWidth="1"/>
    <col min="4" max="4" width="10.28515625" style="15" bestFit="1" customWidth="1"/>
    <col min="5" max="5" width="15.28515625" style="15" customWidth="1"/>
    <col min="6" max="6" width="14.7109375" style="15" customWidth="1"/>
    <col min="7" max="7" width="45.28515625" style="15" customWidth="1"/>
    <col min="8" max="8" width="25.7109375" style="15" customWidth="1"/>
    <col min="9" max="9" width="11" style="15" customWidth="1"/>
    <col min="10" max="10" width="11.42578125" style="15" customWidth="1"/>
    <col min="11" max="11" width="13.5703125" style="15" customWidth="1"/>
    <col min="12" max="16384" width="9.140625" hidden="1"/>
  </cols>
  <sheetData>
    <row r="1" spans="2:11" x14ac:dyDescent="0.2">
      <c r="B1" s="24" t="s">
        <v>17</v>
      </c>
      <c r="C1" s="24" t="s">
        <v>13</v>
      </c>
      <c r="D1" s="24" t="s">
        <v>14</v>
      </c>
      <c r="E1" s="21" t="s">
        <v>15</v>
      </c>
      <c r="F1" s="24" t="s">
        <v>16</v>
      </c>
      <c r="G1" s="17"/>
      <c r="H1" s="17"/>
      <c r="I1" s="24" t="s">
        <v>29</v>
      </c>
      <c r="J1" s="24" t="s">
        <v>30</v>
      </c>
      <c r="K1" s="18"/>
    </row>
    <row r="2" spans="2:11" ht="8.1" customHeight="1" x14ac:dyDescent="0.2"/>
    <row r="3" spans="2:11" x14ac:dyDescent="0.2">
      <c r="B3" s="16" t="s">
        <v>23</v>
      </c>
      <c r="C3" s="23" t="s">
        <v>25</v>
      </c>
      <c r="D3" s="23" t="s">
        <v>28</v>
      </c>
      <c r="E3" s="16" t="s">
        <v>19</v>
      </c>
      <c r="F3" s="16" t="s">
        <v>21</v>
      </c>
      <c r="G3" s="16" t="s">
        <v>20</v>
      </c>
      <c r="H3" s="16" t="s">
        <v>43</v>
      </c>
      <c r="I3" s="16" t="s">
        <v>22</v>
      </c>
      <c r="J3" s="23" t="s">
        <v>27</v>
      </c>
      <c r="K3" s="16" t="s">
        <v>12</v>
      </c>
    </row>
    <row r="4" spans="2:11" x14ac:dyDescent="0.2">
      <c r="B4" s="15" t="s">
        <v>26</v>
      </c>
      <c r="C4" s="15" t="str">
        <f>IFERROR(VLOOKUP(Check[[#This Row],[Project]],'PDCA List'!B:E,2,0),"")</f>
        <v>PDCA-2001</v>
      </c>
      <c r="D4" s="15" t="str">
        <f>IF(Check[[#This Row],[Project]]="","","Check")</f>
        <v>Check</v>
      </c>
      <c r="E4" s="19">
        <v>44126</v>
      </c>
      <c r="F4" s="19" t="s">
        <v>40</v>
      </c>
      <c r="G4" s="15" t="s">
        <v>141</v>
      </c>
      <c r="H4" s="15" t="s">
        <v>46</v>
      </c>
      <c r="I4" s="19"/>
      <c r="J4" s="27" t="str">
        <f>IF(OR(Check[[#This Row],[Date]]="",Check[[#This Row],[Due date]]=0),"",Check[[#This Row],[Due date]]-Check[[#This Row],[Date]])</f>
        <v/>
      </c>
      <c r="K4" s="22">
        <v>1</v>
      </c>
    </row>
    <row r="5" spans="2:11" x14ac:dyDescent="0.2">
      <c r="B5" s="15" t="s">
        <v>26</v>
      </c>
      <c r="C5" s="15" t="str">
        <f>IFERROR(VLOOKUP(Check[[#This Row],[Project]],'PDCA List'!B:E,2,0),"")</f>
        <v>PDCA-2001</v>
      </c>
      <c r="D5" s="15" t="str">
        <f>IF(Check[[#This Row],[Project]]="","","Check")</f>
        <v>Check</v>
      </c>
      <c r="E5" s="19">
        <v>44127</v>
      </c>
      <c r="F5" s="19" t="s">
        <v>39</v>
      </c>
      <c r="G5" s="15" t="s">
        <v>152</v>
      </c>
      <c r="H5" s="15" t="s">
        <v>46</v>
      </c>
      <c r="I5" s="19"/>
      <c r="J5" s="27" t="str">
        <f>IF(OR(Check[[#This Row],[Date]]="",Check[[#This Row],[Due date]]=0),"",Check[[#This Row],[Due date]]-Check[[#This Row],[Date]])</f>
        <v/>
      </c>
      <c r="K5" s="22">
        <v>0.7</v>
      </c>
    </row>
    <row r="6" spans="2:11" x14ac:dyDescent="0.2">
      <c r="B6" s="15" t="s">
        <v>130</v>
      </c>
      <c r="C6" s="15" t="str">
        <f>IFERROR(VLOOKUP(Check[[#This Row],[Project]],'PDCA List'!B:E,2,0),"")</f>
        <v>PDCA-2000</v>
      </c>
      <c r="D6" s="15" t="str">
        <f>IF(Check[[#This Row],[Project]]="","","Check")</f>
        <v>Check</v>
      </c>
      <c r="E6" s="19"/>
      <c r="F6" s="19"/>
      <c r="G6" s="15" t="s">
        <v>136</v>
      </c>
      <c r="I6" s="19"/>
      <c r="J6" s="27" t="str">
        <f>IF(OR(Check[[#This Row],[Date]]="",Check[[#This Row],[Due date]]=0),"",Check[[#This Row],[Due date]]-Check[[#This Row],[Date]])</f>
        <v/>
      </c>
      <c r="K6" s="22">
        <v>1</v>
      </c>
    </row>
    <row r="7" spans="2:11" x14ac:dyDescent="0.2">
      <c r="B7" s="15" t="s">
        <v>130</v>
      </c>
      <c r="C7" s="15" t="str">
        <f>IFERROR(VLOOKUP(Check[[#This Row],[Project]],'PDCA List'!B:E,2,0),"")</f>
        <v>PDCA-2000</v>
      </c>
      <c r="D7" s="15" t="str">
        <f>IF(Check[[#This Row],[Project]]="","","Check")</f>
        <v>Check</v>
      </c>
      <c r="E7" s="19"/>
      <c r="F7" s="19"/>
      <c r="G7" s="15" t="s">
        <v>143</v>
      </c>
      <c r="I7" s="19"/>
      <c r="J7" s="27" t="str">
        <f>IF(OR(Check[[#This Row],[Date]]="",Check[[#This Row],[Due date]]=0),"",Check[[#This Row],[Due date]]-Check[[#This Row],[Date]])</f>
        <v/>
      </c>
      <c r="K7" s="22">
        <v>1</v>
      </c>
    </row>
    <row r="8" spans="2:11" x14ac:dyDescent="0.2">
      <c r="B8" s="15" t="s">
        <v>130</v>
      </c>
      <c r="C8" s="15" t="str">
        <f>IFERROR(VLOOKUP(Check[[#This Row],[Project]],'PDCA List'!B:E,2,0),"")</f>
        <v>PDCA-2000</v>
      </c>
      <c r="D8" s="15" t="str">
        <f>IF(Check[[#This Row],[Project]]="","","Check")</f>
        <v>Check</v>
      </c>
      <c r="E8" s="19"/>
      <c r="F8" s="19"/>
      <c r="G8" s="15" t="s">
        <v>142</v>
      </c>
      <c r="I8" s="19"/>
      <c r="J8" s="27" t="str">
        <f>IF(OR(Check[[#This Row],[Date]]="",Check[[#This Row],[Due date]]=0),"",Check[[#This Row],[Due date]]-Check[[#This Row],[Date]])</f>
        <v/>
      </c>
      <c r="K8" s="22">
        <v>1</v>
      </c>
    </row>
    <row r="9" spans="2:11" x14ac:dyDescent="0.2">
      <c r="B9" s="15" t="s">
        <v>130</v>
      </c>
      <c r="C9" s="15" t="str">
        <f>IFERROR(VLOOKUP(Check[[#This Row],[Project]],'PDCA List'!B:E,2,0),"")</f>
        <v>PDCA-2000</v>
      </c>
      <c r="D9" s="15" t="str">
        <f>IF(Check[[#This Row],[Project]]="","","Check")</f>
        <v>Check</v>
      </c>
      <c r="E9" s="19"/>
      <c r="F9" s="19"/>
      <c r="G9" s="15" t="s">
        <v>150</v>
      </c>
      <c r="I9" s="19"/>
      <c r="J9" s="27" t="str">
        <f>IF(OR(Check[[#This Row],[Date]]="",Check[[#This Row],[Due date]]=0),"",Check[[#This Row],[Due date]]-Check[[#This Row],[Date]])</f>
        <v/>
      </c>
      <c r="K9" s="22">
        <v>1</v>
      </c>
    </row>
  </sheetData>
  <conditionalFormatting sqref="K4:K9">
    <cfRule type="cellIs" dxfId="29" priority="1" operator="greaterThan">
      <formula>0.900001</formula>
    </cfRule>
    <cfRule type="cellIs" dxfId="28" priority="2" operator="between">
      <formula>0.750001</formula>
      <formula>0.9</formula>
    </cfRule>
    <cfRule type="cellIs" dxfId="27" priority="3" operator="between">
      <formula>0</formula>
      <formula>0.75</formula>
    </cfRule>
  </conditionalFormatting>
  <dataValidations count="3">
    <dataValidation type="list" allowBlank="1" showInputMessage="1" showErrorMessage="1" sqref="B4:B1048576" xr:uid="{22B06BA0-32BB-4A29-866D-9683F7FE69F6}">
      <formula1>Project</formula1>
    </dataValidation>
    <dataValidation type="list" allowBlank="1" showInputMessage="1" showErrorMessage="1" sqref="F4:F1048576" xr:uid="{BF381F3B-94D4-4D68-8E30-324443C2BDE2}">
      <formula1>Members</formula1>
    </dataValidation>
    <dataValidation type="list" allowBlank="1" showInputMessage="1" showErrorMessage="1" sqref="H4:H9" xr:uid="{0FF0D96E-2FD5-428C-9A40-B8C62AF87F71}">
      <formula1>Department</formula1>
    </dataValidation>
  </dataValidations>
  <hyperlinks>
    <hyperlink ref="B1" location="'PDCA review'!A1" display="PDCA cycle review" xr:uid="{32C70F73-B210-4E3E-9B50-098EE2FF78F7}"/>
    <hyperlink ref="C1" location="Plan!A1" display="Plan" xr:uid="{EB2A194A-2B84-4620-B93A-E86361D7A4C6}"/>
    <hyperlink ref="D1" location="Do!A1" display="Do" xr:uid="{F95797D9-4F0C-4465-805C-75A1ED3E9844}"/>
    <hyperlink ref="F1" location="Act!A1" display="Act" xr:uid="{BB1A63B9-3C7C-42CA-8CF3-0A214F5E70CE}"/>
    <hyperlink ref="I1" location="'PDCA list'!A1" display="List" xr:uid="{7D76EE43-BE00-4843-8CE1-6F1C2C45F1E0}"/>
    <hyperlink ref="J1" location="'PDCA guide'!A1" display="Guide" xr:uid="{2DE9B230-949A-46CC-873D-11BEB90F5538}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2401A-E720-41FA-9169-5B43CEF59B67}">
  <sheetPr>
    <tabColor rgb="FF8FCFAD"/>
  </sheetPr>
  <dimension ref="A1:K9"/>
  <sheetViews>
    <sheetView showGridLines="0" zoomScaleNormal="100" workbookViewId="0">
      <pane ySplit="3" topLeftCell="A4" activePane="bottomLeft" state="frozen"/>
      <selection pane="bottomLeft" activeCell="J1" sqref="J1"/>
    </sheetView>
  </sheetViews>
  <sheetFormatPr defaultColWidth="0" defaultRowHeight="12.75" x14ac:dyDescent="0.2"/>
  <cols>
    <col min="1" max="1" width="3.28515625" customWidth="1"/>
    <col min="2" max="2" width="20.28515625" style="15" customWidth="1"/>
    <col min="3" max="3" width="14.5703125" style="15" customWidth="1"/>
    <col min="4" max="4" width="10.28515625" style="15" bestFit="1" customWidth="1"/>
    <col min="5" max="5" width="15.28515625" style="15" customWidth="1"/>
    <col min="6" max="6" width="14.7109375" style="15" customWidth="1"/>
    <col min="7" max="7" width="45.28515625" style="15" customWidth="1"/>
    <col min="8" max="8" width="25.7109375" style="15" customWidth="1"/>
    <col min="9" max="9" width="11" style="15" customWidth="1"/>
    <col min="10" max="10" width="11.42578125" style="15" customWidth="1"/>
    <col min="11" max="11" width="13.5703125" style="15" customWidth="1"/>
    <col min="12" max="16384" width="9.140625" hidden="1"/>
  </cols>
  <sheetData>
    <row r="1" spans="2:11" x14ac:dyDescent="0.2">
      <c r="B1" s="24" t="s">
        <v>17</v>
      </c>
      <c r="C1" s="24" t="s">
        <v>13</v>
      </c>
      <c r="D1" s="24" t="s">
        <v>14</v>
      </c>
      <c r="E1" s="24" t="s">
        <v>15</v>
      </c>
      <c r="F1" s="21" t="s">
        <v>16</v>
      </c>
      <c r="G1" s="17"/>
      <c r="H1" s="17"/>
      <c r="I1" s="24" t="s">
        <v>29</v>
      </c>
      <c r="J1" s="24" t="s">
        <v>30</v>
      </c>
      <c r="K1" s="18"/>
    </row>
    <row r="2" spans="2:11" ht="8.1" customHeight="1" x14ac:dyDescent="0.2"/>
    <row r="3" spans="2:11" x14ac:dyDescent="0.2">
      <c r="B3" s="16" t="s">
        <v>23</v>
      </c>
      <c r="C3" s="23" t="s">
        <v>25</v>
      </c>
      <c r="D3" s="23" t="s">
        <v>28</v>
      </c>
      <c r="E3" s="16" t="s">
        <v>19</v>
      </c>
      <c r="F3" s="16" t="s">
        <v>21</v>
      </c>
      <c r="G3" s="16" t="s">
        <v>20</v>
      </c>
      <c r="H3" s="16" t="s">
        <v>43</v>
      </c>
      <c r="I3" s="16" t="s">
        <v>22</v>
      </c>
      <c r="J3" s="23" t="s">
        <v>27</v>
      </c>
      <c r="K3" s="16" t="s">
        <v>12</v>
      </c>
    </row>
    <row r="4" spans="2:11" x14ac:dyDescent="0.2">
      <c r="B4" s="15" t="s">
        <v>26</v>
      </c>
      <c r="C4" s="15" t="str">
        <f>IFERROR(VLOOKUP(Act[[#This Row],[Project]],'PDCA List'!B:E,2,0),"")</f>
        <v>PDCA-2001</v>
      </c>
      <c r="D4" s="15" t="str">
        <f>IF(Act[[#This Row],[Project]]="","","Act")</f>
        <v>Act</v>
      </c>
      <c r="E4" s="19">
        <v>44136</v>
      </c>
      <c r="F4" s="15" t="s">
        <v>33</v>
      </c>
      <c r="G4" s="15" t="s">
        <v>126</v>
      </c>
      <c r="H4" s="15" t="s">
        <v>97</v>
      </c>
      <c r="I4" s="19">
        <v>44150</v>
      </c>
      <c r="J4" s="25">
        <f>IF(OR(Act[[#This Row],[Date]]="",Act[[#This Row],[Due date]]=0),"",Act[[#This Row],[Due date]]-Act[[#This Row],[Date]])</f>
        <v>14</v>
      </c>
      <c r="K4" s="22">
        <v>0</v>
      </c>
    </row>
    <row r="5" spans="2:11" x14ac:dyDescent="0.2">
      <c r="B5" s="15" t="s">
        <v>26</v>
      </c>
      <c r="C5" s="15" t="str">
        <f>IFERROR(VLOOKUP(Act[[#This Row],[Project]],'PDCA List'!B:E,2,0),"")</f>
        <v>PDCA-2001</v>
      </c>
      <c r="D5" s="15" t="str">
        <f>IF(Act[[#This Row],[Project]]="","","Act")</f>
        <v>Act</v>
      </c>
      <c r="E5" s="19">
        <v>44143</v>
      </c>
      <c r="F5" s="19" t="s">
        <v>34</v>
      </c>
      <c r="G5" s="15" t="s">
        <v>127</v>
      </c>
      <c r="H5" s="15" t="s">
        <v>48</v>
      </c>
      <c r="I5" s="19">
        <v>44150</v>
      </c>
      <c r="J5" s="27">
        <f>IF(OR(Act[[#This Row],[Date]]="",Act[[#This Row],[Due date]]=0),"",Act[[#This Row],[Due date]]-Act[[#This Row],[Date]])</f>
        <v>7</v>
      </c>
      <c r="K5" s="22">
        <v>0</v>
      </c>
    </row>
    <row r="6" spans="2:11" x14ac:dyDescent="0.2">
      <c r="B6" s="15" t="s">
        <v>130</v>
      </c>
      <c r="C6" s="15" t="str">
        <f>IFERROR(VLOOKUP(Act[[#This Row],[Project]],'PDCA List'!B:E,2,0),"")</f>
        <v>PDCA-2000</v>
      </c>
      <c r="D6" s="15" t="str">
        <f>IF(Act[[#This Row],[Project]]="","","Act")</f>
        <v>Act</v>
      </c>
      <c r="E6" s="19"/>
      <c r="F6" s="19"/>
      <c r="G6" s="15" t="s">
        <v>144</v>
      </c>
      <c r="I6" s="19"/>
      <c r="J6" s="27" t="str">
        <f>IF(OR(Act[[#This Row],[Date]]="",Act[[#This Row],[Due date]]=0),"",Act[[#This Row],[Due date]]-Act[[#This Row],[Date]])</f>
        <v/>
      </c>
      <c r="K6" s="22">
        <v>1</v>
      </c>
    </row>
    <row r="7" spans="2:11" x14ac:dyDescent="0.2">
      <c r="B7" s="15" t="s">
        <v>130</v>
      </c>
      <c r="C7" s="15" t="str">
        <f>IFERROR(VLOOKUP(Act[[#This Row],[Project]],'PDCA List'!B:E,2,0),"")</f>
        <v>PDCA-2000</v>
      </c>
      <c r="D7" s="15" t="str">
        <f>IF(Act[[#This Row],[Project]]="","","Act")</f>
        <v>Act</v>
      </c>
      <c r="E7" s="19"/>
      <c r="F7" s="19"/>
      <c r="G7" s="15" t="s">
        <v>145</v>
      </c>
      <c r="I7" s="19"/>
      <c r="J7" s="27" t="str">
        <f>IF(OR(Act[[#This Row],[Date]]="",Act[[#This Row],[Due date]]=0),"",Act[[#This Row],[Due date]]-Act[[#This Row],[Date]])</f>
        <v/>
      </c>
      <c r="K7" s="22">
        <v>1</v>
      </c>
    </row>
    <row r="8" spans="2:11" x14ac:dyDescent="0.2">
      <c r="B8" s="15" t="s">
        <v>130</v>
      </c>
      <c r="C8" s="15" t="str">
        <f>IFERROR(VLOOKUP(Act[[#This Row],[Project]],'PDCA List'!B:E,2,0),"")</f>
        <v>PDCA-2000</v>
      </c>
      <c r="D8" s="15" t="str">
        <f>IF(Act[[#This Row],[Project]]="","","Act")</f>
        <v>Act</v>
      </c>
      <c r="E8" s="19"/>
      <c r="F8" s="19"/>
      <c r="G8" s="15" t="s">
        <v>151</v>
      </c>
      <c r="I8" s="19"/>
      <c r="J8" s="27" t="str">
        <f>IF(OR(Act[[#This Row],[Date]]="",Act[[#This Row],[Due date]]=0),"",Act[[#This Row],[Due date]]-Act[[#This Row],[Date]])</f>
        <v/>
      </c>
      <c r="K8" s="22">
        <v>1</v>
      </c>
    </row>
    <row r="9" spans="2:11" x14ac:dyDescent="0.2">
      <c r="B9" s="15" t="s">
        <v>130</v>
      </c>
      <c r="C9" s="15" t="str">
        <f>IFERROR(VLOOKUP(Act[[#This Row],[Project]],'PDCA List'!B:E,2,0),"")</f>
        <v>PDCA-2000</v>
      </c>
      <c r="D9" s="15" t="str">
        <f>IF(Act[[#This Row],[Project]]="","","Act")</f>
        <v>Act</v>
      </c>
      <c r="E9" s="19"/>
      <c r="F9" s="19"/>
      <c r="G9" s="15" t="s">
        <v>153</v>
      </c>
      <c r="I9" s="19"/>
      <c r="J9" s="27" t="str">
        <f>IF(OR(Act[[#This Row],[Date]]="",Act[[#This Row],[Due date]]=0),"",Act[[#This Row],[Due date]]-Act[[#This Row],[Date]])</f>
        <v/>
      </c>
      <c r="K9" s="22">
        <v>0.7</v>
      </c>
    </row>
  </sheetData>
  <conditionalFormatting sqref="K4:K9">
    <cfRule type="cellIs" dxfId="14" priority="1" operator="greaterThan">
      <formula>0.900001</formula>
    </cfRule>
    <cfRule type="cellIs" dxfId="13" priority="2" operator="between">
      <formula>0.750001</formula>
      <formula>0.9</formula>
    </cfRule>
    <cfRule type="cellIs" dxfId="12" priority="3" operator="between">
      <formula>0</formula>
      <formula>0.75</formula>
    </cfRule>
  </conditionalFormatting>
  <dataValidations count="3">
    <dataValidation type="list" allowBlank="1" showInputMessage="1" showErrorMessage="1" sqref="B4:B1048576" xr:uid="{2ED137A2-8A08-4C56-83AF-D6B9F420D2D6}">
      <formula1>Project</formula1>
    </dataValidation>
    <dataValidation type="list" allowBlank="1" showInputMessage="1" showErrorMessage="1" sqref="F4:F1048576" xr:uid="{9408C62A-5718-4AD1-970C-94EAECB22602}">
      <formula1>Members</formula1>
    </dataValidation>
    <dataValidation type="list" allowBlank="1" showInputMessage="1" showErrorMessage="1" sqref="H4:H9" xr:uid="{B029AE6F-40AD-4495-A561-0F2E6F0AF929}">
      <formula1>Department</formula1>
    </dataValidation>
  </dataValidations>
  <hyperlinks>
    <hyperlink ref="B1" location="'PDCA review'!A1" display="PDCA cycle review" xr:uid="{069DBC87-B0B2-4CE2-98A2-5AA2730689BB}"/>
    <hyperlink ref="C1" location="Plan!A1" display="Plan" xr:uid="{5E651785-CE2A-4517-8B18-A865CE5C4FA4}"/>
    <hyperlink ref="D1" location="Do!A1" display="Do" xr:uid="{DBB1C7AA-2BD8-45B4-B822-3211F2160408}"/>
    <hyperlink ref="E1" location="Check!A1" display="Check" xr:uid="{4C83EDDB-1745-4F26-8B18-F9698D81A364}"/>
    <hyperlink ref="I1" location="'PDCA list'!A1" display="List" xr:uid="{B4EEA39C-B4FD-40E5-B52F-3B801FD0E1FC}"/>
    <hyperlink ref="J1" location="'PDCA guide'!A1" display="Guide" xr:uid="{D61421A0-2679-4611-BE3D-9BA2FA7ACB3B}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BC6F-F35C-403F-B440-B0C087DA6E6A}">
  <sheetPr>
    <tabColor theme="0" tint="-0.34998626667073579"/>
  </sheetPr>
  <dimension ref="A1:K14"/>
  <sheetViews>
    <sheetView showGridLines="0" zoomScaleNormal="100" workbookViewId="0">
      <pane ySplit="3" topLeftCell="A4" activePane="bottomLeft" state="frozen"/>
      <selection pane="bottomLeft" activeCell="B7" sqref="B7"/>
    </sheetView>
  </sheetViews>
  <sheetFormatPr defaultColWidth="0" defaultRowHeight="12.75" x14ac:dyDescent="0.2"/>
  <cols>
    <col min="1" max="1" width="3.28515625" customWidth="1"/>
    <col min="2" max="2" width="26.140625" customWidth="1"/>
    <col min="3" max="8" width="16.28515625" customWidth="1"/>
    <col min="9" max="10" width="9.140625" customWidth="1"/>
    <col min="11" max="11" width="6.7109375" customWidth="1"/>
    <col min="12" max="16384" width="9.140625" hidden="1"/>
  </cols>
  <sheetData>
    <row r="1" spans="2:11" x14ac:dyDescent="0.2">
      <c r="B1" s="24" t="s">
        <v>17</v>
      </c>
      <c r="C1" s="24" t="s">
        <v>13</v>
      </c>
      <c r="D1" s="24" t="s">
        <v>14</v>
      </c>
      <c r="E1" s="24" t="s">
        <v>15</v>
      </c>
      <c r="F1" s="24" t="s">
        <v>16</v>
      </c>
      <c r="G1" s="17"/>
      <c r="H1" s="17"/>
      <c r="I1" s="21" t="s">
        <v>29</v>
      </c>
      <c r="J1" s="24" t="s">
        <v>30</v>
      </c>
      <c r="K1" s="18"/>
    </row>
    <row r="3" spans="2:11" x14ac:dyDescent="0.2">
      <c r="B3" s="16" t="s">
        <v>24</v>
      </c>
      <c r="C3" s="16" t="s">
        <v>25</v>
      </c>
      <c r="D3" s="15"/>
      <c r="E3" s="16" t="s">
        <v>44</v>
      </c>
      <c r="F3" s="15"/>
      <c r="G3" s="16" t="s">
        <v>93</v>
      </c>
    </row>
    <row r="4" spans="2:11" x14ac:dyDescent="0.2">
      <c r="B4" s="15" t="s">
        <v>26</v>
      </c>
      <c r="C4" s="15" t="s">
        <v>31</v>
      </c>
      <c r="D4" s="15"/>
      <c r="E4" s="15" t="s">
        <v>45</v>
      </c>
      <c r="F4" s="15"/>
      <c r="G4" s="15" t="s">
        <v>33</v>
      </c>
    </row>
    <row r="5" spans="2:11" x14ac:dyDescent="0.2">
      <c r="B5" s="15" t="s">
        <v>52</v>
      </c>
      <c r="C5" s="15" t="s">
        <v>32</v>
      </c>
      <c r="E5" s="15" t="s">
        <v>46</v>
      </c>
      <c r="G5" s="15" t="s">
        <v>34</v>
      </c>
    </row>
    <row r="6" spans="2:11" x14ac:dyDescent="0.2">
      <c r="B6" s="15" t="s">
        <v>95</v>
      </c>
      <c r="C6" s="15" t="s">
        <v>51</v>
      </c>
      <c r="E6" s="15" t="s">
        <v>47</v>
      </c>
      <c r="G6" s="15" t="s">
        <v>35</v>
      </c>
    </row>
    <row r="7" spans="2:11" x14ac:dyDescent="0.2">
      <c r="B7" s="15" t="s">
        <v>130</v>
      </c>
      <c r="C7" s="15" t="s">
        <v>131</v>
      </c>
      <c r="E7" s="15" t="s">
        <v>48</v>
      </c>
      <c r="G7" s="15" t="s">
        <v>36</v>
      </c>
    </row>
    <row r="8" spans="2:11" x14ac:dyDescent="0.2">
      <c r="C8" s="15"/>
      <c r="E8" s="15" t="s">
        <v>49</v>
      </c>
      <c r="G8" s="15" t="s">
        <v>37</v>
      </c>
    </row>
    <row r="9" spans="2:11" x14ac:dyDescent="0.2">
      <c r="C9" s="15"/>
      <c r="E9" s="15" t="s">
        <v>94</v>
      </c>
      <c r="G9" s="15" t="s">
        <v>38</v>
      </c>
    </row>
    <row r="10" spans="2:11" x14ac:dyDescent="0.2">
      <c r="C10" s="15"/>
      <c r="E10" s="15" t="s">
        <v>97</v>
      </c>
      <c r="G10" s="15" t="s">
        <v>39</v>
      </c>
    </row>
    <row r="11" spans="2:11" x14ac:dyDescent="0.2">
      <c r="C11" s="15"/>
      <c r="G11" s="15" t="s">
        <v>40</v>
      </c>
    </row>
    <row r="12" spans="2:11" x14ac:dyDescent="0.2">
      <c r="C12" s="15"/>
      <c r="G12" s="15" t="s">
        <v>41</v>
      </c>
    </row>
    <row r="13" spans="2:11" x14ac:dyDescent="0.2">
      <c r="C13" s="15"/>
      <c r="G13" s="15" t="s">
        <v>42</v>
      </c>
    </row>
    <row r="14" spans="2:11" x14ac:dyDescent="0.2">
      <c r="C14" s="15"/>
      <c r="G14" s="15"/>
    </row>
  </sheetData>
  <phoneticPr fontId="16" type="noConversion"/>
  <hyperlinks>
    <hyperlink ref="B1" location="'PDCA review'!A1" display="PDCA cycle review" xr:uid="{7639BC38-D65C-429F-BEE5-CC556FDC614E}"/>
    <hyperlink ref="C1" location="Plan!A1" display="Plan" xr:uid="{71C15EF2-F330-469F-BCB8-DD6CA12412F9}"/>
    <hyperlink ref="D1" location="Do!A1" display="Do" xr:uid="{15758297-90CC-42F7-97B2-8DA9D7A831C3}"/>
    <hyperlink ref="F1" location="Act!A1" display="Act" xr:uid="{13D2AC63-8FF6-4B45-8B5A-C4147C5A68F5}"/>
    <hyperlink ref="J1" location="'PDCA guide'!A1" display="Guide" xr:uid="{F64F3F43-AC7C-4217-9F0D-2286F027FE58}"/>
    <hyperlink ref="E1" location="'Check'!A1" display="Check" xr:uid="{FFFAD100-C30E-402E-A4CC-B977C73604B8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0D43B-3E59-4CBF-A700-35946AFC6ACA}">
  <sheetPr>
    <tabColor theme="0" tint="-0.34998626667073579"/>
  </sheetPr>
  <dimension ref="A1:R51"/>
  <sheetViews>
    <sheetView showGridLines="0" zoomScaleNormal="100" workbookViewId="0">
      <pane ySplit="1" topLeftCell="A2" activePane="bottomLeft" state="frozen"/>
      <selection pane="bottomLeft" activeCell="B1" sqref="B1:D1"/>
    </sheetView>
  </sheetViews>
  <sheetFormatPr defaultColWidth="0" defaultRowHeight="12.75" x14ac:dyDescent="0.2"/>
  <cols>
    <col min="1" max="1" width="3.28515625" customWidth="1"/>
    <col min="2" max="16" width="9.140625" customWidth="1"/>
    <col min="17" max="18" width="0" hidden="1" customWidth="1"/>
    <col min="19" max="16384" width="9.140625" hidden="1"/>
  </cols>
  <sheetData>
    <row r="1" spans="2:18" x14ac:dyDescent="0.2">
      <c r="B1" s="62" t="s">
        <v>17</v>
      </c>
      <c r="C1" s="62"/>
      <c r="D1" s="62"/>
      <c r="E1" s="31" t="s">
        <v>13</v>
      </c>
      <c r="F1" s="31" t="s">
        <v>14</v>
      </c>
      <c r="G1" s="31" t="s">
        <v>15</v>
      </c>
      <c r="H1" s="31" t="s">
        <v>16</v>
      </c>
      <c r="I1" s="32"/>
      <c r="J1" s="32"/>
      <c r="K1" s="63"/>
      <c r="L1" s="63"/>
      <c r="M1" s="32"/>
      <c r="N1" s="31" t="s">
        <v>29</v>
      </c>
      <c r="O1" s="38" t="s">
        <v>30</v>
      </c>
      <c r="P1" s="32"/>
      <c r="Q1" s="17"/>
      <c r="R1" s="17"/>
    </row>
    <row r="2" spans="2:18" x14ac:dyDescent="0.2">
      <c r="B2" s="15"/>
      <c r="C2" s="15"/>
      <c r="D2" s="15"/>
      <c r="E2" s="15"/>
    </row>
    <row r="3" spans="2:18" x14ac:dyDescent="0.2">
      <c r="B3" s="15"/>
      <c r="C3" s="61" t="s">
        <v>13</v>
      </c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2:18" x14ac:dyDescent="0.2">
      <c r="C4" s="60" t="s">
        <v>53</v>
      </c>
      <c r="D4" s="60"/>
      <c r="E4" s="60"/>
      <c r="F4" s="60"/>
      <c r="G4" s="60"/>
      <c r="H4" s="60"/>
      <c r="I4" s="60"/>
      <c r="J4" s="60"/>
      <c r="K4" s="60"/>
      <c r="L4" s="60"/>
      <c r="M4" s="60"/>
    </row>
    <row r="5" spans="2:18" x14ac:dyDescent="0.2">
      <c r="C5" s="59" t="s">
        <v>54</v>
      </c>
      <c r="D5" s="59"/>
      <c r="E5" s="59"/>
      <c r="F5" s="59"/>
      <c r="G5" s="59"/>
      <c r="H5" s="59"/>
      <c r="I5" s="59"/>
      <c r="J5" s="59"/>
      <c r="K5" s="59"/>
      <c r="L5" s="59"/>
      <c r="M5" s="59"/>
    </row>
    <row r="6" spans="2:18" x14ac:dyDescent="0.2">
      <c r="C6" s="59" t="s">
        <v>55</v>
      </c>
      <c r="D6" s="59"/>
      <c r="E6" s="59"/>
      <c r="F6" s="59"/>
      <c r="G6" s="59"/>
      <c r="H6" s="59"/>
      <c r="I6" s="59"/>
      <c r="J6" s="59"/>
      <c r="K6" s="59"/>
      <c r="L6" s="59"/>
      <c r="M6" s="59"/>
    </row>
    <row r="7" spans="2:18" x14ac:dyDescent="0.2">
      <c r="C7" s="59" t="s">
        <v>56</v>
      </c>
      <c r="D7" s="59"/>
      <c r="E7" s="59"/>
      <c r="F7" s="59"/>
      <c r="G7" s="59"/>
      <c r="H7" s="59"/>
      <c r="I7" s="59"/>
      <c r="J7" s="59"/>
      <c r="K7" s="59"/>
      <c r="L7" s="59"/>
      <c r="M7" s="59"/>
    </row>
    <row r="8" spans="2:18" x14ac:dyDescent="0.2">
      <c r="C8" s="60" t="s">
        <v>57</v>
      </c>
      <c r="D8" s="60"/>
      <c r="E8" s="60"/>
      <c r="F8" s="60"/>
      <c r="G8" s="60"/>
      <c r="H8" s="60"/>
      <c r="I8" s="60"/>
      <c r="J8" s="60"/>
      <c r="K8" s="60"/>
      <c r="L8" s="60"/>
      <c r="M8" s="60"/>
    </row>
    <row r="9" spans="2:18" x14ac:dyDescent="0.2">
      <c r="C9" s="59" t="s">
        <v>58</v>
      </c>
      <c r="D9" s="59"/>
      <c r="E9" s="59"/>
      <c r="F9" s="59"/>
      <c r="G9" s="59"/>
      <c r="H9" s="59"/>
      <c r="I9" s="59"/>
      <c r="J9" s="59"/>
      <c r="K9" s="59"/>
      <c r="L9" s="59"/>
      <c r="M9" s="59"/>
    </row>
    <row r="10" spans="2:18" x14ac:dyDescent="0.2">
      <c r="C10" s="59" t="s">
        <v>59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</row>
    <row r="11" spans="2:18" x14ac:dyDescent="0.2">
      <c r="C11" s="59" t="s">
        <v>60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</row>
    <row r="12" spans="2:18" x14ac:dyDescent="0.2">
      <c r="C12" s="59" t="s">
        <v>61</v>
      </c>
      <c r="D12" s="59"/>
      <c r="E12" s="59"/>
      <c r="F12" s="59"/>
      <c r="G12" s="59"/>
      <c r="H12" s="59"/>
      <c r="I12" s="59"/>
      <c r="J12" s="59"/>
      <c r="K12" s="59"/>
      <c r="L12" s="59"/>
      <c r="M12" s="59"/>
    </row>
    <row r="13" spans="2:18" x14ac:dyDescent="0.2">
      <c r="C13" s="60" t="s">
        <v>62</v>
      </c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2:18" x14ac:dyDescent="0.2">
      <c r="C14" s="59" t="s">
        <v>63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</row>
    <row r="15" spans="2:18" x14ac:dyDescent="0.2">
      <c r="C15" s="59" t="s">
        <v>64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</row>
    <row r="16" spans="2:18" x14ac:dyDescent="0.2">
      <c r="C16" s="59" t="s">
        <v>65</v>
      </c>
      <c r="D16" s="59"/>
      <c r="E16" s="59"/>
      <c r="F16" s="59"/>
      <c r="G16" s="59"/>
      <c r="H16" s="59"/>
      <c r="I16" s="59"/>
      <c r="J16" s="59"/>
      <c r="K16" s="59"/>
      <c r="L16" s="59"/>
      <c r="M16" s="59"/>
    </row>
    <row r="17" spans="3:13" x14ac:dyDescent="0.2">
      <c r="C17" s="59" t="s">
        <v>66</v>
      </c>
      <c r="D17" s="59"/>
      <c r="E17" s="59"/>
      <c r="F17" s="59"/>
      <c r="G17" s="59"/>
      <c r="H17" s="59"/>
      <c r="I17" s="59"/>
      <c r="J17" s="59"/>
      <c r="K17" s="59"/>
      <c r="L17" s="59"/>
      <c r="M17" s="59"/>
    </row>
    <row r="18" spans="3:13" x14ac:dyDescent="0.2">
      <c r="C18" s="60" t="s">
        <v>67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3:13" x14ac:dyDescent="0.2">
      <c r="C19" s="59" t="s">
        <v>68</v>
      </c>
      <c r="D19" s="59"/>
      <c r="E19" s="59"/>
      <c r="F19" s="59"/>
      <c r="G19" s="59"/>
      <c r="H19" s="59"/>
      <c r="I19" s="59"/>
      <c r="J19" s="59"/>
      <c r="K19" s="59"/>
      <c r="L19" s="59"/>
      <c r="M19" s="59"/>
    </row>
    <row r="20" spans="3:13" x14ac:dyDescent="0.2">
      <c r="C20" s="59" t="s">
        <v>69</v>
      </c>
      <c r="D20" s="59"/>
      <c r="E20" s="59"/>
      <c r="F20" s="59"/>
      <c r="G20" s="59"/>
      <c r="H20" s="59"/>
      <c r="I20" s="59"/>
      <c r="J20" s="59"/>
      <c r="K20" s="59"/>
      <c r="L20" s="59"/>
      <c r="M20" s="59"/>
    </row>
    <row r="21" spans="3:13" x14ac:dyDescent="0.2">
      <c r="C21" s="59" t="s">
        <v>70</v>
      </c>
      <c r="D21" s="59"/>
      <c r="E21" s="59"/>
      <c r="F21" s="59"/>
      <c r="G21" s="59"/>
      <c r="H21" s="59"/>
      <c r="I21" s="59"/>
      <c r="J21" s="59"/>
      <c r="K21" s="59"/>
      <c r="L21" s="59"/>
      <c r="M21" s="59"/>
    </row>
    <row r="22" spans="3:13" x14ac:dyDescent="0.2">
      <c r="C22" s="59" t="s">
        <v>71</v>
      </c>
      <c r="D22" s="59"/>
      <c r="E22" s="59"/>
      <c r="F22" s="59"/>
      <c r="G22" s="59"/>
      <c r="H22" s="59"/>
      <c r="I22" s="59"/>
      <c r="J22" s="59"/>
      <c r="K22" s="59"/>
      <c r="L22" s="59"/>
      <c r="M22" s="59"/>
    </row>
    <row r="23" spans="3:13" x14ac:dyDescent="0.2">
      <c r="C23" s="59" t="s">
        <v>72</v>
      </c>
      <c r="D23" s="59"/>
      <c r="E23" s="59"/>
      <c r="F23" s="59"/>
      <c r="G23" s="59"/>
      <c r="H23" s="59"/>
      <c r="I23" s="59"/>
      <c r="J23" s="59"/>
      <c r="K23" s="59"/>
      <c r="L23" s="59"/>
      <c r="M23" s="59"/>
    </row>
    <row r="24" spans="3:13" x14ac:dyDescent="0.2">
      <c r="C24" s="59" t="s">
        <v>73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</row>
    <row r="26" spans="3:13" x14ac:dyDescent="0.2">
      <c r="C26" s="61" t="s">
        <v>14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</row>
    <row r="27" spans="3:13" x14ac:dyDescent="0.2">
      <c r="C27" s="60" t="s">
        <v>74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</row>
    <row r="28" spans="3:13" x14ac:dyDescent="0.2">
      <c r="C28" s="59" t="s">
        <v>75</v>
      </c>
      <c r="D28" s="59"/>
      <c r="E28" s="59"/>
      <c r="F28" s="59"/>
      <c r="G28" s="59"/>
      <c r="H28" s="59"/>
      <c r="I28" s="59"/>
      <c r="J28" s="59"/>
      <c r="K28" s="59"/>
      <c r="L28" s="59"/>
      <c r="M28" s="59"/>
    </row>
    <row r="29" spans="3:13" x14ac:dyDescent="0.2">
      <c r="C29" s="59" t="s">
        <v>76</v>
      </c>
      <c r="D29" s="59"/>
      <c r="E29" s="59"/>
      <c r="F29" s="59"/>
      <c r="G29" s="59"/>
      <c r="H29" s="59"/>
      <c r="I29" s="59"/>
      <c r="J29" s="59"/>
      <c r="K29" s="59"/>
      <c r="L29" s="59"/>
      <c r="M29" s="59"/>
    </row>
    <row r="30" spans="3:13" x14ac:dyDescent="0.2">
      <c r="C30" s="59" t="s">
        <v>77</v>
      </c>
      <c r="D30" s="59"/>
      <c r="E30" s="59"/>
      <c r="F30" s="59"/>
      <c r="G30" s="59"/>
      <c r="H30" s="59"/>
      <c r="I30" s="59"/>
      <c r="J30" s="59"/>
      <c r="K30" s="59"/>
      <c r="L30" s="59"/>
      <c r="M30" s="59"/>
    </row>
    <row r="31" spans="3:13" x14ac:dyDescent="0.2">
      <c r="C31" s="59" t="s">
        <v>78</v>
      </c>
      <c r="D31" s="59"/>
      <c r="E31" s="59"/>
      <c r="F31" s="59"/>
      <c r="G31" s="59"/>
      <c r="H31" s="59"/>
      <c r="I31" s="59"/>
      <c r="J31" s="59"/>
      <c r="K31" s="59"/>
      <c r="L31" s="59"/>
      <c r="M31" s="59"/>
    </row>
    <row r="32" spans="3:13" x14ac:dyDescent="0.2">
      <c r="C32" s="59" t="s">
        <v>79</v>
      </c>
      <c r="D32" s="59"/>
      <c r="E32" s="59"/>
      <c r="F32" s="59"/>
      <c r="G32" s="59"/>
      <c r="H32" s="59"/>
      <c r="I32" s="59"/>
      <c r="J32" s="59"/>
      <c r="K32" s="59"/>
      <c r="L32" s="59"/>
      <c r="M32" s="59"/>
    </row>
    <row r="33" spans="3:15" x14ac:dyDescent="0.2"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O33" s="41" t="s">
        <v>105</v>
      </c>
    </row>
    <row r="34" spans="3:15" x14ac:dyDescent="0.2">
      <c r="C34" s="61" t="s">
        <v>15</v>
      </c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3:15" x14ac:dyDescent="0.2">
      <c r="C35" s="60" t="s">
        <v>80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O35" s="39" t="s">
        <v>104</v>
      </c>
    </row>
    <row r="36" spans="3:15" x14ac:dyDescent="0.2">
      <c r="C36" s="59" t="s">
        <v>81</v>
      </c>
      <c r="D36" s="59"/>
      <c r="E36" s="59"/>
      <c r="F36" s="59"/>
      <c r="G36" s="59"/>
      <c r="H36" s="59"/>
      <c r="I36" s="59"/>
      <c r="J36" s="59"/>
      <c r="K36" s="59"/>
      <c r="L36" s="59"/>
      <c r="M36" s="59"/>
    </row>
    <row r="37" spans="3:15" x14ac:dyDescent="0.2">
      <c r="C37" s="59" t="s">
        <v>82</v>
      </c>
      <c r="D37" s="59"/>
      <c r="E37" s="59"/>
      <c r="F37" s="59"/>
      <c r="G37" s="59"/>
      <c r="H37" s="59"/>
      <c r="I37" s="59"/>
      <c r="J37" s="59"/>
      <c r="K37" s="59"/>
      <c r="L37" s="59"/>
      <c r="M37" s="59"/>
      <c r="O37" s="40" t="s">
        <v>106</v>
      </c>
    </row>
    <row r="38" spans="3:15" x14ac:dyDescent="0.2">
      <c r="C38" s="59" t="s">
        <v>83</v>
      </c>
      <c r="D38" s="59"/>
      <c r="E38" s="59"/>
      <c r="F38" s="59"/>
      <c r="G38" s="59"/>
      <c r="H38" s="59"/>
      <c r="I38" s="59"/>
      <c r="J38" s="59"/>
      <c r="K38" s="59"/>
      <c r="L38" s="59"/>
      <c r="M38" s="59"/>
    </row>
    <row r="39" spans="3:15" x14ac:dyDescent="0.2">
      <c r="C39" s="59" t="s">
        <v>84</v>
      </c>
      <c r="D39" s="59"/>
      <c r="E39" s="59"/>
      <c r="F39" s="59"/>
      <c r="G39" s="59"/>
      <c r="H39" s="59"/>
      <c r="I39" s="59"/>
      <c r="J39" s="59"/>
      <c r="K39" s="59"/>
      <c r="L39" s="59"/>
      <c r="M39" s="59"/>
    </row>
    <row r="40" spans="3:15" x14ac:dyDescent="0.2">
      <c r="C40" s="59" t="s">
        <v>85</v>
      </c>
      <c r="D40" s="59"/>
      <c r="E40" s="59"/>
      <c r="F40" s="59"/>
      <c r="G40" s="59"/>
      <c r="H40" s="59"/>
      <c r="I40" s="59"/>
      <c r="J40" s="59"/>
      <c r="K40" s="59"/>
      <c r="L40" s="59"/>
      <c r="M40" s="59"/>
    </row>
    <row r="42" spans="3:15" x14ac:dyDescent="0.2">
      <c r="C42" s="61" t="s">
        <v>16</v>
      </c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3:15" x14ac:dyDescent="0.2">
      <c r="C43" s="60" t="s">
        <v>86</v>
      </c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3:15" x14ac:dyDescent="0.2">
      <c r="C44" s="59" t="s">
        <v>87</v>
      </c>
      <c r="D44" s="59"/>
      <c r="E44" s="59"/>
      <c r="F44" s="59"/>
      <c r="G44" s="59"/>
      <c r="H44" s="59"/>
      <c r="I44" s="59"/>
      <c r="J44" s="59"/>
      <c r="K44" s="59"/>
      <c r="L44" s="59"/>
      <c r="M44" s="59"/>
    </row>
    <row r="45" spans="3:15" x14ac:dyDescent="0.2">
      <c r="C45" s="60" t="s">
        <v>88</v>
      </c>
      <c r="D45" s="60"/>
      <c r="E45" s="60"/>
      <c r="F45" s="60"/>
      <c r="G45" s="60"/>
      <c r="H45" s="60"/>
      <c r="I45" s="60"/>
      <c r="J45" s="60"/>
      <c r="K45" s="60"/>
      <c r="L45" s="60"/>
      <c r="M45" s="60"/>
    </row>
    <row r="46" spans="3:15" x14ac:dyDescent="0.2">
      <c r="C46" s="59" t="s">
        <v>89</v>
      </c>
      <c r="D46" s="59"/>
      <c r="E46" s="59"/>
      <c r="F46" s="59"/>
      <c r="G46" s="59"/>
      <c r="H46" s="59"/>
      <c r="I46" s="59"/>
      <c r="J46" s="59"/>
      <c r="K46" s="59"/>
      <c r="L46" s="59"/>
      <c r="M46" s="59"/>
    </row>
    <row r="47" spans="3:15" x14ac:dyDescent="0.2">
      <c r="C47" s="59" t="s">
        <v>90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</row>
    <row r="48" spans="3:15" x14ac:dyDescent="0.2">
      <c r="C48" s="59" t="s">
        <v>91</v>
      </c>
      <c r="D48" s="59"/>
      <c r="E48" s="59"/>
      <c r="F48" s="59"/>
      <c r="G48" s="59"/>
      <c r="H48" s="59"/>
      <c r="I48" s="59"/>
      <c r="J48" s="59"/>
      <c r="K48" s="59"/>
      <c r="L48" s="59"/>
      <c r="M48" s="59"/>
    </row>
    <row r="49" spans="3:13" x14ac:dyDescent="0.2">
      <c r="C49" s="59" t="s">
        <v>92</v>
      </c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3:13" x14ac:dyDescent="0.2"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</row>
    <row r="51" spans="3:13" x14ac:dyDescent="0.2"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</row>
  </sheetData>
  <sheetProtection sheet="1" objects="1" scenarios="1" selectLockedCells="1"/>
  <mergeCells count="49">
    <mergeCell ref="C49:M49"/>
    <mergeCell ref="C50:M50"/>
    <mergeCell ref="C51:M51"/>
    <mergeCell ref="C44:M44"/>
    <mergeCell ref="C45:M45"/>
    <mergeCell ref="C46:M46"/>
    <mergeCell ref="C47:M47"/>
    <mergeCell ref="C48:M48"/>
    <mergeCell ref="C38:M38"/>
    <mergeCell ref="C39:M39"/>
    <mergeCell ref="C40:M40"/>
    <mergeCell ref="C42:M42"/>
    <mergeCell ref="C43:M43"/>
    <mergeCell ref="C33:M33"/>
    <mergeCell ref="C34:M34"/>
    <mergeCell ref="C35:M35"/>
    <mergeCell ref="C36:M36"/>
    <mergeCell ref="C37:M37"/>
    <mergeCell ref="C28:M28"/>
    <mergeCell ref="C29:M29"/>
    <mergeCell ref="C30:M30"/>
    <mergeCell ref="C31:M31"/>
    <mergeCell ref="C32:M32"/>
    <mergeCell ref="C22:M22"/>
    <mergeCell ref="C23:M23"/>
    <mergeCell ref="C24:M24"/>
    <mergeCell ref="C26:M26"/>
    <mergeCell ref="C27:M27"/>
    <mergeCell ref="C17:M17"/>
    <mergeCell ref="C18:M18"/>
    <mergeCell ref="C19:M19"/>
    <mergeCell ref="C20:M20"/>
    <mergeCell ref="C21:M21"/>
    <mergeCell ref="C13:M13"/>
    <mergeCell ref="C14:M14"/>
    <mergeCell ref="C15:M15"/>
    <mergeCell ref="C16:M16"/>
    <mergeCell ref="C12:M12"/>
    <mergeCell ref="C11:M11"/>
    <mergeCell ref="C10:M10"/>
    <mergeCell ref="C9:M9"/>
    <mergeCell ref="C8:M8"/>
    <mergeCell ref="C7:M7"/>
    <mergeCell ref="C6:M6"/>
    <mergeCell ref="C5:M5"/>
    <mergeCell ref="C4:M4"/>
    <mergeCell ref="C3:M3"/>
    <mergeCell ref="B1:D1"/>
    <mergeCell ref="K1:L1"/>
  </mergeCells>
  <phoneticPr fontId="16" type="noConversion"/>
  <hyperlinks>
    <hyperlink ref="E1" location="Plan!A1" display="Plan" xr:uid="{ED567AE0-B569-4447-8DA0-8F2D119C0F95}"/>
    <hyperlink ref="N1" location="'PDCA list'!A1" display="List" xr:uid="{579F4DF8-E473-4745-B0BE-86E92E2A4BD8}"/>
    <hyperlink ref="F1" location="Do!A1" display="Do" xr:uid="{716F1620-CDF9-4CB0-A1F9-5CD480CCFA9D}"/>
    <hyperlink ref="G1" location="Check!A1" display="Check" xr:uid="{8CB3764F-F1B7-4E28-AF27-E8CB4A56C937}"/>
    <hyperlink ref="H1" location="Act!A1" display="Act" xr:uid="{40464185-B516-4D59-860D-48E9A2DFE052}"/>
    <hyperlink ref="B1:D1" location="'PDCA review'!A1" display="PDCA cycle review" xr:uid="{A93D3A55-2071-4F74-A68A-B3F3055A7C06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5B044-1FFA-4B5A-B475-E04086B801B3}">
  <dimension ref="B1:F2000"/>
  <sheetViews>
    <sheetView showGridLines="0" workbookViewId="0">
      <selection activeCell="F11" sqref="F11"/>
    </sheetView>
  </sheetViews>
  <sheetFormatPr defaultRowHeight="12.75" x14ac:dyDescent="0.2"/>
  <cols>
    <col min="2" max="2" width="33.5703125" customWidth="1"/>
    <col min="3" max="5" width="16.7109375" customWidth="1"/>
    <col min="6" max="6" width="31.28515625" style="28" customWidth="1"/>
  </cols>
  <sheetData>
    <row r="1" spans="2:6" x14ac:dyDescent="0.2">
      <c r="F1"/>
    </row>
    <row r="2" spans="2:6" x14ac:dyDescent="0.2">
      <c r="B2" s="29"/>
      <c r="C2" s="29"/>
      <c r="D2" s="29">
        <f>ROW()</f>
        <v>2</v>
      </c>
      <c r="E2" s="29"/>
      <c r="F2" s="30" t="s">
        <v>103</v>
      </c>
    </row>
    <row r="3" spans="2:6" x14ac:dyDescent="0.2">
      <c r="B3" t="str">
        <f>IFERROR(IF('PDCA review'!$D$2=Plan!B4,Plan!G4,""),"")</f>
        <v/>
      </c>
      <c r="C3">
        <f>IF(B3&lt;&gt;"",1,0)</f>
        <v>0</v>
      </c>
      <c r="D3">
        <f>SUM($C$3:C3)</f>
        <v>0</v>
      </c>
      <c r="E3">
        <f>MATCH(ROW()-$D$2,$D$3:$D$2000,0)+$D$2</f>
        <v>10</v>
      </c>
      <c r="F3" s="28" t="str">
        <f ca="1">IFERROR(INDIRECT("B"&amp;E3),"")</f>
        <v>Identify and define problem clearly.</v>
      </c>
    </row>
    <row r="4" spans="2:6" x14ac:dyDescent="0.2">
      <c r="B4" t="str">
        <f>IFERROR(IF('PDCA review'!$D$2=Plan!B5,Plan!G5,""),"")</f>
        <v/>
      </c>
      <c r="C4">
        <f t="shared" ref="C4:C67" si="0">IF(B4&lt;&gt;"",1,0)</f>
        <v>0</v>
      </c>
      <c r="D4">
        <f>SUM($C$3:C4)</f>
        <v>0</v>
      </c>
      <c r="E4">
        <f t="shared" ref="E4:E67" si="1">MATCH(ROW()-$D$2,$D$3:$D$2000,0)+$D$2</f>
        <v>11</v>
      </c>
      <c r="F4" s="28" t="str">
        <f t="shared" ref="F4:F67" ca="1" si="2">IFERROR(INDIRECT("B"&amp;E4),"")</f>
        <v>Evaluate the importance of the problem.</v>
      </c>
    </row>
    <row r="5" spans="2:6" x14ac:dyDescent="0.2">
      <c r="B5" t="str">
        <f>IFERROR(IF('PDCA review'!$D$2=Plan!B6,Plan!G6,""),"")</f>
        <v/>
      </c>
      <c r="C5">
        <f t="shared" si="0"/>
        <v>0</v>
      </c>
      <c r="D5">
        <f>SUM($C$3:C5)</f>
        <v>0</v>
      </c>
      <c r="E5">
        <f t="shared" si="1"/>
        <v>12</v>
      </c>
      <c r="F5" s="28" t="str">
        <f t="shared" ca="1" si="2"/>
        <v>Identify the current standard methods</v>
      </c>
    </row>
    <row r="6" spans="2:6" x14ac:dyDescent="0.2">
      <c r="B6" t="str">
        <f>IFERROR(IF('PDCA review'!$D$2=Plan!B7,Plan!G7,""),"")</f>
        <v/>
      </c>
      <c r="C6">
        <f t="shared" si="0"/>
        <v>0</v>
      </c>
      <c r="D6">
        <f>SUM($C$3:C6)</f>
        <v>0</v>
      </c>
      <c r="E6">
        <f t="shared" si="1"/>
        <v>13</v>
      </c>
      <c r="F6" s="28" t="str">
        <f t="shared" ca="1" si="2"/>
        <v>Investigate the characteristics</v>
      </c>
    </row>
    <row r="7" spans="2:6" x14ac:dyDescent="0.2">
      <c r="B7" t="str">
        <f>IFERROR(IF('PDCA review'!$D$2=Plan!B8,Plan!G8,""),"")</f>
        <v/>
      </c>
      <c r="C7">
        <f t="shared" si="0"/>
        <v>0</v>
      </c>
      <c r="D7">
        <f>SUM($C$3:C7)</f>
        <v>0</v>
      </c>
      <c r="E7">
        <f t="shared" si="1"/>
        <v>14</v>
      </c>
      <c r="F7" s="28" t="str">
        <f t="shared" ca="1" si="2"/>
        <v xml:space="preserve">Broaden your vision. </v>
      </c>
    </row>
    <row r="8" spans="2:6" x14ac:dyDescent="0.2">
      <c r="B8" t="str">
        <f>IFERROR(IF('PDCA review'!$D$2=Plan!B9,Plan!G9,""),"")</f>
        <v/>
      </c>
      <c r="C8">
        <f t="shared" si="0"/>
        <v>0</v>
      </c>
      <c r="D8">
        <f>SUM($C$3:C8)</f>
        <v>0</v>
      </c>
      <c r="E8">
        <f t="shared" si="1"/>
        <v>15</v>
      </c>
      <c r="F8" s="28" t="str">
        <f t="shared" ca="1" si="2"/>
        <v>Find out the real causes of the problem.</v>
      </c>
    </row>
    <row r="9" spans="2:6" x14ac:dyDescent="0.2">
      <c r="B9" t="str">
        <f>IFERROR(IF('PDCA review'!$D$2=Plan!B10,Plan!G10,""),"")</f>
        <v/>
      </c>
      <c r="C9">
        <f t="shared" si="0"/>
        <v>0</v>
      </c>
      <c r="D9">
        <f>SUM($C$3:C9)</f>
        <v>0</v>
      </c>
      <c r="E9">
        <f t="shared" si="1"/>
        <v>16</v>
      </c>
      <c r="F9" s="28" t="str">
        <f t="shared" ca="1" si="2"/>
        <v>Evaluate possible solutions</v>
      </c>
    </row>
    <row r="10" spans="2:6" x14ac:dyDescent="0.2">
      <c r="B10" t="str">
        <f>IFERROR(IF('PDCA review'!$D$2=Plan!B11,Plan!G11,""),"")</f>
        <v>Identify and define problem clearly.</v>
      </c>
      <c r="C10">
        <f t="shared" si="0"/>
        <v>1</v>
      </c>
      <c r="D10">
        <f>SUM($C$3:C10)</f>
        <v>1</v>
      </c>
      <c r="E10" t="e">
        <f t="shared" si="1"/>
        <v>#N/A</v>
      </c>
      <c r="F10" s="28" t="str">
        <f t="shared" ca="1" si="2"/>
        <v/>
      </c>
    </row>
    <row r="11" spans="2:6" x14ac:dyDescent="0.2">
      <c r="B11" t="str">
        <f>IFERROR(IF('PDCA review'!$D$2=Plan!B12,Plan!G12,""),"")</f>
        <v>Evaluate the importance of the problem.</v>
      </c>
      <c r="C11">
        <f t="shared" si="0"/>
        <v>1</v>
      </c>
      <c r="D11">
        <f>SUM($C$3:C11)</f>
        <v>2</v>
      </c>
      <c r="E11" t="e">
        <f t="shared" si="1"/>
        <v>#N/A</v>
      </c>
      <c r="F11" s="28" t="str">
        <f t="shared" ca="1" si="2"/>
        <v/>
      </c>
    </row>
    <row r="12" spans="2:6" x14ac:dyDescent="0.2">
      <c r="B12" t="str">
        <f>IFERROR(IF('PDCA review'!$D$2=Plan!B13,Plan!G13,""),"")</f>
        <v>Identify the current standard methods</v>
      </c>
      <c r="C12">
        <f t="shared" si="0"/>
        <v>1</v>
      </c>
      <c r="D12">
        <f>SUM($C$3:C12)</f>
        <v>3</v>
      </c>
      <c r="E12" t="e">
        <f t="shared" si="1"/>
        <v>#N/A</v>
      </c>
      <c r="F12" s="28" t="str">
        <f t="shared" ca="1" si="2"/>
        <v/>
      </c>
    </row>
    <row r="13" spans="2:6" x14ac:dyDescent="0.2">
      <c r="B13" t="str">
        <f>IFERROR(IF('PDCA review'!$D$2=Plan!B14,Plan!G14,""),"")</f>
        <v>Investigate the characteristics</v>
      </c>
      <c r="C13">
        <f t="shared" si="0"/>
        <v>1</v>
      </c>
      <c r="D13">
        <f>SUM($C$3:C13)</f>
        <v>4</v>
      </c>
      <c r="E13" t="e">
        <f t="shared" si="1"/>
        <v>#N/A</v>
      </c>
      <c r="F13" s="28" t="str">
        <f t="shared" ca="1" si="2"/>
        <v/>
      </c>
    </row>
    <row r="14" spans="2:6" x14ac:dyDescent="0.2">
      <c r="B14" t="str">
        <f>IFERROR(IF('PDCA review'!$D$2=Plan!B15,Plan!G15,""),"")</f>
        <v xml:space="preserve">Broaden your vision. </v>
      </c>
      <c r="C14">
        <f t="shared" si="0"/>
        <v>1</v>
      </c>
      <c r="D14">
        <f>SUM($C$3:C14)</f>
        <v>5</v>
      </c>
      <c r="E14" t="e">
        <f t="shared" si="1"/>
        <v>#N/A</v>
      </c>
      <c r="F14" s="28" t="str">
        <f t="shared" ca="1" si="2"/>
        <v/>
      </c>
    </row>
    <row r="15" spans="2:6" x14ac:dyDescent="0.2">
      <c r="B15" t="str">
        <f>IFERROR(IF('PDCA review'!$D$2=Plan!B16,Plan!G16,""),"")</f>
        <v>Find out the real causes of the problem.</v>
      </c>
      <c r="C15">
        <f t="shared" si="0"/>
        <v>1</v>
      </c>
      <c r="D15">
        <f>SUM($C$3:C15)</f>
        <v>6</v>
      </c>
      <c r="E15" t="e">
        <f t="shared" si="1"/>
        <v>#N/A</v>
      </c>
      <c r="F15" s="28" t="str">
        <f t="shared" ca="1" si="2"/>
        <v/>
      </c>
    </row>
    <row r="16" spans="2:6" x14ac:dyDescent="0.2">
      <c r="B16" t="str">
        <f>IFERROR(IF('PDCA review'!$D$2=Plan!B17,Plan!G17,""),"")</f>
        <v>Evaluate possible solutions</v>
      </c>
      <c r="C16">
        <f t="shared" si="0"/>
        <v>1</v>
      </c>
      <c r="D16">
        <f>SUM($C$3:C16)</f>
        <v>7</v>
      </c>
      <c r="E16" t="e">
        <f t="shared" si="1"/>
        <v>#N/A</v>
      </c>
      <c r="F16" s="28" t="str">
        <f t="shared" ca="1" si="2"/>
        <v/>
      </c>
    </row>
    <row r="17" spans="2:6" x14ac:dyDescent="0.2">
      <c r="B17" t="str">
        <f>IFERROR(IF('PDCA review'!$D$2=Plan!B18,Plan!G18,""),"")</f>
        <v/>
      </c>
      <c r="C17">
        <f t="shared" si="0"/>
        <v>0</v>
      </c>
      <c r="D17">
        <f>SUM($C$3:C17)</f>
        <v>7</v>
      </c>
      <c r="E17" t="e">
        <f t="shared" si="1"/>
        <v>#N/A</v>
      </c>
      <c r="F17" s="28" t="str">
        <f t="shared" ca="1" si="2"/>
        <v/>
      </c>
    </row>
    <row r="18" spans="2:6" x14ac:dyDescent="0.2">
      <c r="B18" t="str">
        <f>IFERROR(IF('PDCA review'!$D$2=Plan!B19,Plan!G19,""),"")</f>
        <v/>
      </c>
      <c r="C18">
        <f t="shared" si="0"/>
        <v>0</v>
      </c>
      <c r="D18">
        <f>SUM($C$3:C18)</f>
        <v>7</v>
      </c>
      <c r="E18" t="e">
        <f t="shared" si="1"/>
        <v>#N/A</v>
      </c>
      <c r="F18" s="28" t="str">
        <f t="shared" ca="1" si="2"/>
        <v/>
      </c>
    </row>
    <row r="19" spans="2:6" x14ac:dyDescent="0.2">
      <c r="B19" t="str">
        <f>IFERROR(IF('PDCA review'!$D$2=Plan!B20,Plan!G20,""),"")</f>
        <v/>
      </c>
      <c r="C19">
        <f t="shared" si="0"/>
        <v>0</v>
      </c>
      <c r="D19">
        <f>SUM($C$3:C19)</f>
        <v>7</v>
      </c>
      <c r="E19" t="e">
        <f t="shared" si="1"/>
        <v>#N/A</v>
      </c>
      <c r="F19" s="28" t="str">
        <f t="shared" ca="1" si="2"/>
        <v/>
      </c>
    </row>
    <row r="20" spans="2:6" x14ac:dyDescent="0.2">
      <c r="B20" t="str">
        <f>IFERROR(IF('PDCA review'!$D$2=Plan!B21,Plan!G21,""),"")</f>
        <v/>
      </c>
      <c r="C20">
        <f t="shared" si="0"/>
        <v>0</v>
      </c>
      <c r="D20">
        <f>SUM($C$3:C20)</f>
        <v>7</v>
      </c>
      <c r="E20" t="e">
        <f t="shared" si="1"/>
        <v>#N/A</v>
      </c>
      <c r="F20" s="28" t="str">
        <f t="shared" ca="1" si="2"/>
        <v/>
      </c>
    </row>
    <row r="21" spans="2:6" x14ac:dyDescent="0.2">
      <c r="B21" t="str">
        <f>IFERROR(IF('PDCA review'!$D$2=Plan!B22,Plan!G22,""),"")</f>
        <v/>
      </c>
      <c r="C21">
        <f t="shared" si="0"/>
        <v>0</v>
      </c>
      <c r="D21">
        <f>SUM($C$3:C21)</f>
        <v>7</v>
      </c>
      <c r="E21" t="e">
        <f t="shared" si="1"/>
        <v>#N/A</v>
      </c>
      <c r="F21" s="28" t="str">
        <f t="shared" ca="1" si="2"/>
        <v/>
      </c>
    </row>
    <row r="22" spans="2:6" x14ac:dyDescent="0.2">
      <c r="B22" t="str">
        <f>IFERROR(IF('PDCA review'!$D$2=Plan!B23,Plan!G23,""),"")</f>
        <v/>
      </c>
      <c r="C22">
        <f t="shared" si="0"/>
        <v>0</v>
      </c>
      <c r="D22">
        <f>SUM($C$3:C22)</f>
        <v>7</v>
      </c>
      <c r="E22" t="e">
        <f t="shared" si="1"/>
        <v>#N/A</v>
      </c>
      <c r="F22" s="28" t="str">
        <f t="shared" ca="1" si="2"/>
        <v/>
      </c>
    </row>
    <row r="23" spans="2:6" x14ac:dyDescent="0.2">
      <c r="B23" t="str">
        <f>IFERROR(IF('PDCA review'!$D$2=Plan!B24,Plan!G24,""),"")</f>
        <v/>
      </c>
      <c r="C23">
        <f t="shared" si="0"/>
        <v>0</v>
      </c>
      <c r="D23">
        <f>SUM($C$3:C23)</f>
        <v>7</v>
      </c>
      <c r="E23" t="e">
        <f t="shared" si="1"/>
        <v>#N/A</v>
      </c>
      <c r="F23" s="28" t="str">
        <f t="shared" ca="1" si="2"/>
        <v/>
      </c>
    </row>
    <row r="24" spans="2:6" x14ac:dyDescent="0.2">
      <c r="B24" t="str">
        <f>IFERROR(IF('PDCA review'!$D$2=Plan!B25,Plan!G25,""),"")</f>
        <v/>
      </c>
      <c r="C24">
        <f t="shared" si="0"/>
        <v>0</v>
      </c>
      <c r="D24">
        <f>SUM($C$3:C24)</f>
        <v>7</v>
      </c>
      <c r="E24" t="e">
        <f t="shared" si="1"/>
        <v>#N/A</v>
      </c>
      <c r="F24" s="28" t="str">
        <f t="shared" ca="1" si="2"/>
        <v/>
      </c>
    </row>
    <row r="25" spans="2:6" x14ac:dyDescent="0.2">
      <c r="B25" t="str">
        <f>IFERROR(IF('PDCA review'!$D$2=Plan!B26,Plan!G26,""),"")</f>
        <v/>
      </c>
      <c r="C25">
        <f t="shared" si="0"/>
        <v>0</v>
      </c>
      <c r="D25">
        <f>SUM($C$3:C25)</f>
        <v>7</v>
      </c>
      <c r="E25" t="e">
        <f t="shared" si="1"/>
        <v>#N/A</v>
      </c>
      <c r="F25" s="28" t="str">
        <f t="shared" ca="1" si="2"/>
        <v/>
      </c>
    </row>
    <row r="26" spans="2:6" x14ac:dyDescent="0.2">
      <c r="B26" t="str">
        <f>IFERROR(IF('PDCA review'!$D$2=Plan!B27,Plan!G27,""),"")</f>
        <v/>
      </c>
      <c r="C26">
        <f t="shared" si="0"/>
        <v>0</v>
      </c>
      <c r="D26">
        <f>SUM($C$3:C26)</f>
        <v>7</v>
      </c>
      <c r="E26" t="e">
        <f t="shared" si="1"/>
        <v>#N/A</v>
      </c>
      <c r="F26" s="28" t="str">
        <f t="shared" ca="1" si="2"/>
        <v/>
      </c>
    </row>
    <row r="27" spans="2:6" x14ac:dyDescent="0.2">
      <c r="B27" t="str">
        <f>IFERROR(IF('PDCA review'!$D$2=Plan!B28,Plan!G28,""),"")</f>
        <v/>
      </c>
      <c r="C27">
        <f t="shared" si="0"/>
        <v>0</v>
      </c>
      <c r="D27">
        <f>SUM($C$3:C27)</f>
        <v>7</v>
      </c>
      <c r="E27" t="e">
        <f t="shared" si="1"/>
        <v>#N/A</v>
      </c>
      <c r="F27" s="28" t="str">
        <f t="shared" ca="1" si="2"/>
        <v/>
      </c>
    </row>
    <row r="28" spans="2:6" x14ac:dyDescent="0.2">
      <c r="B28" t="str">
        <f>IFERROR(IF('PDCA review'!$D$2=Plan!B29,Plan!G29,""),"")</f>
        <v/>
      </c>
      <c r="C28">
        <f t="shared" si="0"/>
        <v>0</v>
      </c>
      <c r="D28">
        <f>SUM($C$3:C28)</f>
        <v>7</v>
      </c>
      <c r="E28" t="e">
        <f t="shared" si="1"/>
        <v>#N/A</v>
      </c>
      <c r="F28" s="28" t="str">
        <f t="shared" ca="1" si="2"/>
        <v/>
      </c>
    </row>
    <row r="29" spans="2:6" x14ac:dyDescent="0.2">
      <c r="B29" t="str">
        <f>IFERROR(IF('PDCA review'!$D$2=Plan!B30,Plan!G30,""),"")</f>
        <v/>
      </c>
      <c r="C29">
        <f t="shared" si="0"/>
        <v>0</v>
      </c>
      <c r="D29">
        <f>SUM($C$3:C29)</f>
        <v>7</v>
      </c>
      <c r="E29" t="e">
        <f t="shared" si="1"/>
        <v>#N/A</v>
      </c>
      <c r="F29" s="28" t="str">
        <f t="shared" ca="1" si="2"/>
        <v/>
      </c>
    </row>
    <row r="30" spans="2:6" x14ac:dyDescent="0.2">
      <c r="B30" t="str">
        <f>IFERROR(IF('PDCA review'!$D$2=Plan!B31,Plan!G31,""),"")</f>
        <v/>
      </c>
      <c r="C30">
        <f t="shared" si="0"/>
        <v>0</v>
      </c>
      <c r="D30">
        <f>SUM($C$3:C30)</f>
        <v>7</v>
      </c>
      <c r="E30" t="e">
        <f t="shared" si="1"/>
        <v>#N/A</v>
      </c>
      <c r="F30" s="28" t="str">
        <f t="shared" ca="1" si="2"/>
        <v/>
      </c>
    </row>
    <row r="31" spans="2:6" x14ac:dyDescent="0.2">
      <c r="B31" t="str">
        <f>IFERROR(IF('PDCA review'!$D$2=Plan!B32,Plan!G32,""),"")</f>
        <v/>
      </c>
      <c r="C31">
        <f t="shared" si="0"/>
        <v>0</v>
      </c>
      <c r="D31">
        <f>SUM($C$3:C31)</f>
        <v>7</v>
      </c>
      <c r="E31" t="e">
        <f t="shared" si="1"/>
        <v>#N/A</v>
      </c>
      <c r="F31" s="28" t="str">
        <f t="shared" ca="1" si="2"/>
        <v/>
      </c>
    </row>
    <row r="32" spans="2:6" x14ac:dyDescent="0.2">
      <c r="B32" t="str">
        <f>IFERROR(IF('PDCA review'!$D$2=Plan!B33,Plan!G33,""),"")</f>
        <v/>
      </c>
      <c r="C32">
        <f t="shared" si="0"/>
        <v>0</v>
      </c>
      <c r="D32">
        <f>SUM($C$3:C32)</f>
        <v>7</v>
      </c>
      <c r="E32" t="e">
        <f t="shared" si="1"/>
        <v>#N/A</v>
      </c>
      <c r="F32" s="28" t="str">
        <f t="shared" ca="1" si="2"/>
        <v/>
      </c>
    </row>
    <row r="33" spans="2:6" x14ac:dyDescent="0.2">
      <c r="B33" t="str">
        <f>IFERROR(IF('PDCA review'!$D$2=Plan!B34,Plan!G34,""),"")</f>
        <v/>
      </c>
      <c r="C33">
        <f t="shared" si="0"/>
        <v>0</v>
      </c>
      <c r="D33">
        <f>SUM($C$3:C33)</f>
        <v>7</v>
      </c>
      <c r="E33" t="e">
        <f t="shared" si="1"/>
        <v>#N/A</v>
      </c>
      <c r="F33" s="28" t="str">
        <f t="shared" ca="1" si="2"/>
        <v/>
      </c>
    </row>
    <row r="34" spans="2:6" x14ac:dyDescent="0.2">
      <c r="B34" t="str">
        <f>IFERROR(IF('PDCA review'!$D$2=Plan!B35,Plan!G35,""),"")</f>
        <v/>
      </c>
      <c r="C34">
        <f t="shared" si="0"/>
        <v>0</v>
      </c>
      <c r="D34">
        <f>SUM($C$3:C34)</f>
        <v>7</v>
      </c>
      <c r="E34" t="e">
        <f t="shared" si="1"/>
        <v>#N/A</v>
      </c>
      <c r="F34" s="28" t="str">
        <f t="shared" ca="1" si="2"/>
        <v/>
      </c>
    </row>
    <row r="35" spans="2:6" x14ac:dyDescent="0.2">
      <c r="B35" t="str">
        <f>IFERROR(IF('PDCA review'!$D$2=Plan!B36,Plan!G36,""),"")</f>
        <v/>
      </c>
      <c r="C35">
        <f t="shared" si="0"/>
        <v>0</v>
      </c>
      <c r="D35">
        <f>SUM($C$3:C35)</f>
        <v>7</v>
      </c>
      <c r="E35" t="e">
        <f t="shared" si="1"/>
        <v>#N/A</v>
      </c>
      <c r="F35" s="28" t="str">
        <f t="shared" ca="1" si="2"/>
        <v/>
      </c>
    </row>
    <row r="36" spans="2:6" x14ac:dyDescent="0.2">
      <c r="B36" t="str">
        <f>IFERROR(IF('PDCA review'!$D$2=Plan!B37,Plan!G37,""),"")</f>
        <v/>
      </c>
      <c r="C36">
        <f t="shared" si="0"/>
        <v>0</v>
      </c>
      <c r="D36">
        <f>SUM($C$3:C36)</f>
        <v>7</v>
      </c>
      <c r="E36" t="e">
        <f t="shared" si="1"/>
        <v>#N/A</v>
      </c>
      <c r="F36" s="28" t="str">
        <f t="shared" ca="1" si="2"/>
        <v/>
      </c>
    </row>
    <row r="37" spans="2:6" x14ac:dyDescent="0.2">
      <c r="B37" t="str">
        <f>IFERROR(IF('PDCA review'!$D$2=Plan!B38,Plan!G38,""),"")</f>
        <v/>
      </c>
      <c r="C37">
        <f t="shared" si="0"/>
        <v>0</v>
      </c>
      <c r="D37">
        <f>SUM($C$3:C37)</f>
        <v>7</v>
      </c>
      <c r="E37" t="e">
        <f t="shared" si="1"/>
        <v>#N/A</v>
      </c>
      <c r="F37" s="28" t="str">
        <f t="shared" ca="1" si="2"/>
        <v/>
      </c>
    </row>
    <row r="38" spans="2:6" x14ac:dyDescent="0.2">
      <c r="B38" t="str">
        <f>IFERROR(IF('PDCA review'!$D$2=Plan!B39,Plan!G39,""),"")</f>
        <v/>
      </c>
      <c r="C38">
        <f t="shared" si="0"/>
        <v>0</v>
      </c>
      <c r="D38">
        <f>SUM($C$3:C38)</f>
        <v>7</v>
      </c>
      <c r="E38" t="e">
        <f t="shared" si="1"/>
        <v>#N/A</v>
      </c>
      <c r="F38" s="28" t="str">
        <f t="shared" ca="1" si="2"/>
        <v/>
      </c>
    </row>
    <row r="39" spans="2:6" x14ac:dyDescent="0.2">
      <c r="B39" t="str">
        <f>IFERROR(IF('PDCA review'!$D$2=Plan!B40,Plan!G40,""),"")</f>
        <v/>
      </c>
      <c r="C39">
        <f t="shared" si="0"/>
        <v>0</v>
      </c>
      <c r="D39">
        <f>SUM($C$3:C39)</f>
        <v>7</v>
      </c>
      <c r="E39" t="e">
        <f t="shared" si="1"/>
        <v>#N/A</v>
      </c>
      <c r="F39" s="28" t="str">
        <f t="shared" ca="1" si="2"/>
        <v/>
      </c>
    </row>
    <row r="40" spans="2:6" x14ac:dyDescent="0.2">
      <c r="B40" t="str">
        <f>IFERROR(IF('PDCA review'!$D$2=Plan!B41,Plan!G41,""),"")</f>
        <v/>
      </c>
      <c r="C40">
        <f t="shared" si="0"/>
        <v>0</v>
      </c>
      <c r="D40">
        <f>SUM($C$3:C40)</f>
        <v>7</v>
      </c>
      <c r="E40" t="e">
        <f t="shared" si="1"/>
        <v>#N/A</v>
      </c>
      <c r="F40" s="28" t="str">
        <f t="shared" ca="1" si="2"/>
        <v/>
      </c>
    </row>
    <row r="41" spans="2:6" x14ac:dyDescent="0.2">
      <c r="B41" t="str">
        <f>IFERROR(IF('PDCA review'!$D$2=Plan!B42,Plan!G42,""),"")</f>
        <v/>
      </c>
      <c r="C41">
        <f t="shared" si="0"/>
        <v>0</v>
      </c>
      <c r="D41">
        <f>SUM($C$3:C41)</f>
        <v>7</v>
      </c>
      <c r="E41" t="e">
        <f t="shared" si="1"/>
        <v>#N/A</v>
      </c>
      <c r="F41" s="28" t="str">
        <f t="shared" ca="1" si="2"/>
        <v/>
      </c>
    </row>
    <row r="42" spans="2:6" x14ac:dyDescent="0.2">
      <c r="B42" t="str">
        <f>IFERROR(IF('PDCA review'!$D$2=Plan!B43,Plan!G43,""),"")</f>
        <v/>
      </c>
      <c r="C42">
        <f t="shared" si="0"/>
        <v>0</v>
      </c>
      <c r="D42">
        <f>SUM($C$3:C42)</f>
        <v>7</v>
      </c>
      <c r="E42" t="e">
        <f t="shared" si="1"/>
        <v>#N/A</v>
      </c>
      <c r="F42" s="28" t="str">
        <f t="shared" ca="1" si="2"/>
        <v/>
      </c>
    </row>
    <row r="43" spans="2:6" x14ac:dyDescent="0.2">
      <c r="B43" t="str">
        <f>IFERROR(IF('PDCA review'!$D$2=Plan!B44,Plan!G44,""),"")</f>
        <v/>
      </c>
      <c r="C43">
        <f t="shared" si="0"/>
        <v>0</v>
      </c>
      <c r="D43">
        <f>SUM($C$3:C43)</f>
        <v>7</v>
      </c>
      <c r="E43" t="e">
        <f t="shared" si="1"/>
        <v>#N/A</v>
      </c>
      <c r="F43" s="28" t="str">
        <f t="shared" ca="1" si="2"/>
        <v/>
      </c>
    </row>
    <row r="44" spans="2:6" x14ac:dyDescent="0.2">
      <c r="B44" t="str">
        <f>IFERROR(IF('PDCA review'!$D$2=Plan!B45,Plan!G45,""),"")</f>
        <v/>
      </c>
      <c r="C44">
        <f t="shared" si="0"/>
        <v>0</v>
      </c>
      <c r="D44">
        <f>SUM($C$3:C44)</f>
        <v>7</v>
      </c>
      <c r="E44" t="e">
        <f t="shared" si="1"/>
        <v>#N/A</v>
      </c>
      <c r="F44" s="28" t="str">
        <f t="shared" ca="1" si="2"/>
        <v/>
      </c>
    </row>
    <row r="45" spans="2:6" x14ac:dyDescent="0.2">
      <c r="B45" t="str">
        <f>IFERROR(IF('PDCA review'!$D$2=Plan!B46,Plan!G46,""),"")</f>
        <v/>
      </c>
      <c r="C45">
        <f t="shared" si="0"/>
        <v>0</v>
      </c>
      <c r="D45">
        <f>SUM($C$3:C45)</f>
        <v>7</v>
      </c>
      <c r="E45" t="e">
        <f t="shared" si="1"/>
        <v>#N/A</v>
      </c>
      <c r="F45" s="28" t="str">
        <f t="shared" ca="1" si="2"/>
        <v/>
      </c>
    </row>
    <row r="46" spans="2:6" x14ac:dyDescent="0.2">
      <c r="B46" t="str">
        <f>IFERROR(IF('PDCA review'!$D$2=Plan!B47,Plan!G47,""),"")</f>
        <v/>
      </c>
      <c r="C46">
        <f t="shared" si="0"/>
        <v>0</v>
      </c>
      <c r="D46">
        <f>SUM($C$3:C46)</f>
        <v>7</v>
      </c>
      <c r="E46" t="e">
        <f t="shared" si="1"/>
        <v>#N/A</v>
      </c>
      <c r="F46" s="28" t="str">
        <f t="shared" ca="1" si="2"/>
        <v/>
      </c>
    </row>
    <row r="47" spans="2:6" x14ac:dyDescent="0.2">
      <c r="B47" t="str">
        <f>IFERROR(IF('PDCA review'!$D$2=Plan!B48,Plan!G48,""),"")</f>
        <v/>
      </c>
      <c r="C47">
        <f t="shared" si="0"/>
        <v>0</v>
      </c>
      <c r="D47">
        <f>SUM($C$3:C47)</f>
        <v>7</v>
      </c>
      <c r="E47" t="e">
        <f t="shared" si="1"/>
        <v>#N/A</v>
      </c>
      <c r="F47" s="28" t="str">
        <f t="shared" ca="1" si="2"/>
        <v/>
      </c>
    </row>
    <row r="48" spans="2:6" x14ac:dyDescent="0.2">
      <c r="B48" t="str">
        <f>IFERROR(IF('PDCA review'!$D$2=Plan!B49,Plan!G49,""),"")</f>
        <v/>
      </c>
      <c r="C48">
        <f t="shared" si="0"/>
        <v>0</v>
      </c>
      <c r="D48">
        <f>SUM($C$3:C48)</f>
        <v>7</v>
      </c>
      <c r="E48" t="e">
        <f t="shared" si="1"/>
        <v>#N/A</v>
      </c>
      <c r="F48" s="28" t="str">
        <f t="shared" ca="1" si="2"/>
        <v/>
      </c>
    </row>
    <row r="49" spans="2:6" x14ac:dyDescent="0.2">
      <c r="B49" t="str">
        <f>IFERROR(IF('PDCA review'!$D$2=Plan!B50,Plan!G50,""),"")</f>
        <v/>
      </c>
      <c r="C49">
        <f t="shared" si="0"/>
        <v>0</v>
      </c>
      <c r="D49">
        <f>SUM($C$3:C49)</f>
        <v>7</v>
      </c>
      <c r="E49" t="e">
        <f t="shared" si="1"/>
        <v>#N/A</v>
      </c>
      <c r="F49" s="28" t="str">
        <f t="shared" ca="1" si="2"/>
        <v/>
      </c>
    </row>
    <row r="50" spans="2:6" x14ac:dyDescent="0.2">
      <c r="B50" t="str">
        <f>IFERROR(IF('PDCA review'!$D$2=Plan!B51,Plan!G51,""),"")</f>
        <v/>
      </c>
      <c r="C50">
        <f t="shared" si="0"/>
        <v>0</v>
      </c>
      <c r="D50">
        <f>SUM($C$3:C50)</f>
        <v>7</v>
      </c>
      <c r="E50" t="e">
        <f t="shared" si="1"/>
        <v>#N/A</v>
      </c>
      <c r="F50" s="28" t="str">
        <f t="shared" ca="1" si="2"/>
        <v/>
      </c>
    </row>
    <row r="51" spans="2:6" x14ac:dyDescent="0.2">
      <c r="B51" t="str">
        <f>IFERROR(IF('PDCA review'!$D$2=Plan!B52,Plan!G52,""),"")</f>
        <v/>
      </c>
      <c r="C51">
        <f t="shared" si="0"/>
        <v>0</v>
      </c>
      <c r="D51">
        <f>SUM($C$3:C51)</f>
        <v>7</v>
      </c>
      <c r="E51" t="e">
        <f t="shared" si="1"/>
        <v>#N/A</v>
      </c>
      <c r="F51" s="28" t="str">
        <f t="shared" ca="1" si="2"/>
        <v/>
      </c>
    </row>
    <row r="52" spans="2:6" x14ac:dyDescent="0.2">
      <c r="B52" t="str">
        <f>IFERROR(IF('PDCA review'!$D$2=Plan!B53,Plan!G53,""),"")</f>
        <v/>
      </c>
      <c r="C52">
        <f t="shared" si="0"/>
        <v>0</v>
      </c>
      <c r="D52">
        <f>SUM($C$3:C52)</f>
        <v>7</v>
      </c>
      <c r="E52" t="e">
        <f t="shared" si="1"/>
        <v>#N/A</v>
      </c>
      <c r="F52" s="28" t="str">
        <f t="shared" ca="1" si="2"/>
        <v/>
      </c>
    </row>
    <row r="53" spans="2:6" x14ac:dyDescent="0.2">
      <c r="B53" t="str">
        <f>IFERROR(IF('PDCA review'!$D$2=Plan!B54,Plan!G54,""),"")</f>
        <v/>
      </c>
      <c r="C53">
        <f t="shared" si="0"/>
        <v>0</v>
      </c>
      <c r="D53">
        <f>SUM($C$3:C53)</f>
        <v>7</v>
      </c>
      <c r="E53" t="e">
        <f t="shared" si="1"/>
        <v>#N/A</v>
      </c>
      <c r="F53" s="28" t="str">
        <f t="shared" ca="1" si="2"/>
        <v/>
      </c>
    </row>
    <row r="54" spans="2:6" x14ac:dyDescent="0.2">
      <c r="B54" t="str">
        <f>IFERROR(IF('PDCA review'!$D$2=Plan!B55,Plan!G55,""),"")</f>
        <v/>
      </c>
      <c r="C54">
        <f t="shared" si="0"/>
        <v>0</v>
      </c>
      <c r="D54">
        <f>SUM($C$3:C54)</f>
        <v>7</v>
      </c>
      <c r="E54" t="e">
        <f t="shared" si="1"/>
        <v>#N/A</v>
      </c>
      <c r="F54" s="28" t="str">
        <f t="shared" ca="1" si="2"/>
        <v/>
      </c>
    </row>
    <row r="55" spans="2:6" x14ac:dyDescent="0.2">
      <c r="B55" t="str">
        <f>IFERROR(IF('PDCA review'!$D$2=Plan!B56,Plan!G56,""),"")</f>
        <v/>
      </c>
      <c r="C55">
        <f t="shared" si="0"/>
        <v>0</v>
      </c>
      <c r="D55">
        <f>SUM($C$3:C55)</f>
        <v>7</v>
      </c>
      <c r="E55" t="e">
        <f t="shared" si="1"/>
        <v>#N/A</v>
      </c>
      <c r="F55" s="28" t="str">
        <f t="shared" ca="1" si="2"/>
        <v/>
      </c>
    </row>
    <row r="56" spans="2:6" x14ac:dyDescent="0.2">
      <c r="B56" t="str">
        <f>IFERROR(IF('PDCA review'!$D$2=Plan!B57,Plan!G57,""),"")</f>
        <v/>
      </c>
      <c r="C56">
        <f t="shared" si="0"/>
        <v>0</v>
      </c>
      <c r="D56">
        <f>SUM($C$3:C56)</f>
        <v>7</v>
      </c>
      <c r="E56" t="e">
        <f t="shared" si="1"/>
        <v>#N/A</v>
      </c>
      <c r="F56" s="28" t="str">
        <f t="shared" ca="1" si="2"/>
        <v/>
      </c>
    </row>
    <row r="57" spans="2:6" x14ac:dyDescent="0.2">
      <c r="B57" t="str">
        <f>IFERROR(IF('PDCA review'!$D$2=Plan!B58,Plan!G58,""),"")</f>
        <v/>
      </c>
      <c r="C57">
        <f t="shared" si="0"/>
        <v>0</v>
      </c>
      <c r="D57">
        <f>SUM($C$3:C57)</f>
        <v>7</v>
      </c>
      <c r="E57" t="e">
        <f t="shared" si="1"/>
        <v>#N/A</v>
      </c>
      <c r="F57" s="28" t="str">
        <f t="shared" ca="1" si="2"/>
        <v/>
      </c>
    </row>
    <row r="58" spans="2:6" x14ac:dyDescent="0.2">
      <c r="B58" t="str">
        <f>IFERROR(IF('PDCA review'!$D$2=Plan!B59,Plan!G59,""),"")</f>
        <v/>
      </c>
      <c r="C58">
        <f t="shared" si="0"/>
        <v>0</v>
      </c>
      <c r="D58">
        <f>SUM($C$3:C58)</f>
        <v>7</v>
      </c>
      <c r="E58" t="e">
        <f t="shared" si="1"/>
        <v>#N/A</v>
      </c>
      <c r="F58" s="28" t="str">
        <f t="shared" ca="1" si="2"/>
        <v/>
      </c>
    </row>
    <row r="59" spans="2:6" x14ac:dyDescent="0.2">
      <c r="B59" t="str">
        <f>IFERROR(IF('PDCA review'!$D$2=Plan!B60,Plan!G60,""),"")</f>
        <v/>
      </c>
      <c r="C59">
        <f t="shared" si="0"/>
        <v>0</v>
      </c>
      <c r="D59">
        <f>SUM($C$3:C59)</f>
        <v>7</v>
      </c>
      <c r="E59" t="e">
        <f t="shared" si="1"/>
        <v>#N/A</v>
      </c>
      <c r="F59" s="28" t="str">
        <f t="shared" ca="1" si="2"/>
        <v/>
      </c>
    </row>
    <row r="60" spans="2:6" x14ac:dyDescent="0.2">
      <c r="B60" t="str">
        <f>IFERROR(IF('PDCA review'!$D$2=Plan!B61,Plan!G61,""),"")</f>
        <v/>
      </c>
      <c r="C60">
        <f t="shared" si="0"/>
        <v>0</v>
      </c>
      <c r="D60">
        <f>SUM($C$3:C60)</f>
        <v>7</v>
      </c>
      <c r="E60" t="e">
        <f t="shared" si="1"/>
        <v>#N/A</v>
      </c>
      <c r="F60" s="28" t="str">
        <f t="shared" ca="1" si="2"/>
        <v/>
      </c>
    </row>
    <row r="61" spans="2:6" x14ac:dyDescent="0.2">
      <c r="B61" t="str">
        <f>IFERROR(IF('PDCA review'!$D$2=Plan!B62,Plan!G62,""),"")</f>
        <v/>
      </c>
      <c r="C61">
        <f t="shared" si="0"/>
        <v>0</v>
      </c>
      <c r="D61">
        <f>SUM($C$3:C61)</f>
        <v>7</v>
      </c>
      <c r="E61" t="e">
        <f t="shared" si="1"/>
        <v>#N/A</v>
      </c>
      <c r="F61" s="28" t="str">
        <f t="shared" ca="1" si="2"/>
        <v/>
      </c>
    </row>
    <row r="62" spans="2:6" x14ac:dyDescent="0.2">
      <c r="B62" t="str">
        <f>IFERROR(IF('PDCA review'!$D$2=Plan!B63,Plan!G63,""),"")</f>
        <v/>
      </c>
      <c r="C62">
        <f t="shared" si="0"/>
        <v>0</v>
      </c>
      <c r="D62">
        <f>SUM($C$3:C62)</f>
        <v>7</v>
      </c>
      <c r="E62" t="e">
        <f t="shared" si="1"/>
        <v>#N/A</v>
      </c>
      <c r="F62" s="28" t="str">
        <f t="shared" ca="1" si="2"/>
        <v/>
      </c>
    </row>
    <row r="63" spans="2:6" x14ac:dyDescent="0.2">
      <c r="B63" t="str">
        <f>IFERROR(IF('PDCA review'!$D$2=Plan!B64,Plan!G64,""),"")</f>
        <v/>
      </c>
      <c r="C63">
        <f t="shared" si="0"/>
        <v>0</v>
      </c>
      <c r="D63">
        <f>SUM($C$3:C63)</f>
        <v>7</v>
      </c>
      <c r="E63" t="e">
        <f t="shared" si="1"/>
        <v>#N/A</v>
      </c>
      <c r="F63" s="28" t="str">
        <f t="shared" ca="1" si="2"/>
        <v/>
      </c>
    </row>
    <row r="64" spans="2:6" x14ac:dyDescent="0.2">
      <c r="B64" t="str">
        <f>IFERROR(IF('PDCA review'!$D$2=Plan!B65,Plan!G65,""),"")</f>
        <v/>
      </c>
      <c r="C64">
        <f t="shared" si="0"/>
        <v>0</v>
      </c>
      <c r="D64">
        <f>SUM($C$3:C64)</f>
        <v>7</v>
      </c>
      <c r="E64" t="e">
        <f t="shared" si="1"/>
        <v>#N/A</v>
      </c>
      <c r="F64" s="28" t="str">
        <f t="shared" ca="1" si="2"/>
        <v/>
      </c>
    </row>
    <row r="65" spans="2:6" x14ac:dyDescent="0.2">
      <c r="B65" t="str">
        <f>IFERROR(IF('PDCA review'!$D$2=Plan!B66,Plan!G66,""),"")</f>
        <v/>
      </c>
      <c r="C65">
        <f t="shared" si="0"/>
        <v>0</v>
      </c>
      <c r="D65">
        <f>SUM($C$3:C65)</f>
        <v>7</v>
      </c>
      <c r="E65" t="e">
        <f t="shared" si="1"/>
        <v>#N/A</v>
      </c>
      <c r="F65" s="28" t="str">
        <f t="shared" ca="1" si="2"/>
        <v/>
      </c>
    </row>
    <row r="66" spans="2:6" x14ac:dyDescent="0.2">
      <c r="B66" t="str">
        <f>IFERROR(IF('PDCA review'!$D$2=Plan!B67,Plan!G67,""),"")</f>
        <v/>
      </c>
      <c r="C66">
        <f t="shared" si="0"/>
        <v>0</v>
      </c>
      <c r="D66">
        <f>SUM($C$3:C66)</f>
        <v>7</v>
      </c>
      <c r="E66" t="e">
        <f t="shared" si="1"/>
        <v>#N/A</v>
      </c>
      <c r="F66" s="28" t="str">
        <f t="shared" ca="1" si="2"/>
        <v/>
      </c>
    </row>
    <row r="67" spans="2:6" x14ac:dyDescent="0.2">
      <c r="B67" t="str">
        <f>IFERROR(IF('PDCA review'!$D$2=Plan!B68,Plan!G68,""),"")</f>
        <v/>
      </c>
      <c r="C67">
        <f t="shared" si="0"/>
        <v>0</v>
      </c>
      <c r="D67">
        <f>SUM($C$3:C67)</f>
        <v>7</v>
      </c>
      <c r="E67" t="e">
        <f t="shared" si="1"/>
        <v>#N/A</v>
      </c>
      <c r="F67" s="28" t="str">
        <f t="shared" ca="1" si="2"/>
        <v/>
      </c>
    </row>
    <row r="68" spans="2:6" x14ac:dyDescent="0.2">
      <c r="B68" t="str">
        <f>IFERROR(IF('PDCA review'!$D$2=Plan!B69,Plan!G69,""),"")</f>
        <v/>
      </c>
      <c r="C68">
        <f t="shared" ref="C68:C131" si="3">IF(B68&lt;&gt;"",1,0)</f>
        <v>0</v>
      </c>
      <c r="D68">
        <f>SUM($C$3:C68)</f>
        <v>7</v>
      </c>
      <c r="E68" t="e">
        <f t="shared" ref="E68:E131" si="4">MATCH(ROW()-$D$2,$D$3:$D$2000,0)+$D$2</f>
        <v>#N/A</v>
      </c>
      <c r="F68" s="28" t="str">
        <f t="shared" ref="F68:F131" ca="1" si="5">IFERROR(INDIRECT("B"&amp;E68),"")</f>
        <v/>
      </c>
    </row>
    <row r="69" spans="2:6" x14ac:dyDescent="0.2">
      <c r="B69" t="str">
        <f>IFERROR(IF('PDCA review'!$D$2=Plan!B70,Plan!G70,""),"")</f>
        <v/>
      </c>
      <c r="C69">
        <f t="shared" si="3"/>
        <v>0</v>
      </c>
      <c r="D69">
        <f>SUM($C$3:C69)</f>
        <v>7</v>
      </c>
      <c r="E69" t="e">
        <f t="shared" si="4"/>
        <v>#N/A</v>
      </c>
      <c r="F69" s="28" t="str">
        <f t="shared" ca="1" si="5"/>
        <v/>
      </c>
    </row>
    <row r="70" spans="2:6" x14ac:dyDescent="0.2">
      <c r="B70" t="str">
        <f>IFERROR(IF('PDCA review'!$D$2=Plan!B71,Plan!G71,""),"")</f>
        <v/>
      </c>
      <c r="C70">
        <f t="shared" si="3"/>
        <v>0</v>
      </c>
      <c r="D70">
        <f>SUM($C$3:C70)</f>
        <v>7</v>
      </c>
      <c r="E70" t="e">
        <f t="shared" si="4"/>
        <v>#N/A</v>
      </c>
      <c r="F70" s="28" t="str">
        <f t="shared" ca="1" si="5"/>
        <v/>
      </c>
    </row>
    <row r="71" spans="2:6" x14ac:dyDescent="0.2">
      <c r="B71" t="str">
        <f>IFERROR(IF('PDCA review'!$D$2=Plan!B72,Plan!G72,""),"")</f>
        <v/>
      </c>
      <c r="C71">
        <f t="shared" si="3"/>
        <v>0</v>
      </c>
      <c r="D71">
        <f>SUM($C$3:C71)</f>
        <v>7</v>
      </c>
      <c r="E71" t="e">
        <f t="shared" si="4"/>
        <v>#N/A</v>
      </c>
      <c r="F71" s="28" t="str">
        <f t="shared" ca="1" si="5"/>
        <v/>
      </c>
    </row>
    <row r="72" spans="2:6" x14ac:dyDescent="0.2">
      <c r="B72" t="str">
        <f>IFERROR(IF('PDCA review'!$D$2=Plan!B73,Plan!G73,""),"")</f>
        <v/>
      </c>
      <c r="C72">
        <f t="shared" si="3"/>
        <v>0</v>
      </c>
      <c r="D72">
        <f>SUM($C$3:C72)</f>
        <v>7</v>
      </c>
      <c r="E72" t="e">
        <f t="shared" si="4"/>
        <v>#N/A</v>
      </c>
      <c r="F72" s="28" t="str">
        <f t="shared" ca="1" si="5"/>
        <v/>
      </c>
    </row>
    <row r="73" spans="2:6" x14ac:dyDescent="0.2">
      <c r="B73" t="str">
        <f>IFERROR(IF('PDCA review'!$D$2=Plan!B74,Plan!G74,""),"")</f>
        <v/>
      </c>
      <c r="C73">
        <f t="shared" si="3"/>
        <v>0</v>
      </c>
      <c r="D73">
        <f>SUM($C$3:C73)</f>
        <v>7</v>
      </c>
      <c r="E73" t="e">
        <f t="shared" si="4"/>
        <v>#N/A</v>
      </c>
      <c r="F73" s="28" t="str">
        <f t="shared" ca="1" si="5"/>
        <v/>
      </c>
    </row>
    <row r="74" spans="2:6" x14ac:dyDescent="0.2">
      <c r="B74" t="str">
        <f>IFERROR(IF('PDCA review'!$D$2=Plan!B75,Plan!G75,""),"")</f>
        <v/>
      </c>
      <c r="C74">
        <f t="shared" si="3"/>
        <v>0</v>
      </c>
      <c r="D74">
        <f>SUM($C$3:C74)</f>
        <v>7</v>
      </c>
      <c r="E74" t="e">
        <f t="shared" si="4"/>
        <v>#N/A</v>
      </c>
      <c r="F74" s="28" t="str">
        <f t="shared" ca="1" si="5"/>
        <v/>
      </c>
    </row>
    <row r="75" spans="2:6" x14ac:dyDescent="0.2">
      <c r="B75" t="str">
        <f>IFERROR(IF('PDCA review'!$D$2=Plan!B76,Plan!G76,""),"")</f>
        <v/>
      </c>
      <c r="C75">
        <f t="shared" si="3"/>
        <v>0</v>
      </c>
      <c r="D75">
        <f>SUM($C$3:C75)</f>
        <v>7</v>
      </c>
      <c r="E75" t="e">
        <f t="shared" si="4"/>
        <v>#N/A</v>
      </c>
      <c r="F75" s="28" t="str">
        <f t="shared" ca="1" si="5"/>
        <v/>
      </c>
    </row>
    <row r="76" spans="2:6" x14ac:dyDescent="0.2">
      <c r="B76" t="str">
        <f>IFERROR(IF('PDCA review'!$D$2=Plan!B77,Plan!G77,""),"")</f>
        <v/>
      </c>
      <c r="C76">
        <f t="shared" si="3"/>
        <v>0</v>
      </c>
      <c r="D76">
        <f>SUM($C$3:C76)</f>
        <v>7</v>
      </c>
      <c r="E76" t="e">
        <f t="shared" si="4"/>
        <v>#N/A</v>
      </c>
      <c r="F76" s="28" t="str">
        <f t="shared" ca="1" si="5"/>
        <v/>
      </c>
    </row>
    <row r="77" spans="2:6" x14ac:dyDescent="0.2">
      <c r="B77" t="str">
        <f>IFERROR(IF('PDCA review'!$D$2=Plan!B78,Plan!G78,""),"")</f>
        <v/>
      </c>
      <c r="C77">
        <f t="shared" si="3"/>
        <v>0</v>
      </c>
      <c r="D77">
        <f>SUM($C$3:C77)</f>
        <v>7</v>
      </c>
      <c r="E77" t="e">
        <f t="shared" si="4"/>
        <v>#N/A</v>
      </c>
      <c r="F77" s="28" t="str">
        <f t="shared" ca="1" si="5"/>
        <v/>
      </c>
    </row>
    <row r="78" spans="2:6" x14ac:dyDescent="0.2">
      <c r="B78" t="str">
        <f>IFERROR(IF('PDCA review'!$D$2=Plan!B79,Plan!G79,""),"")</f>
        <v/>
      </c>
      <c r="C78">
        <f t="shared" si="3"/>
        <v>0</v>
      </c>
      <c r="D78">
        <f>SUM($C$3:C78)</f>
        <v>7</v>
      </c>
      <c r="E78" t="e">
        <f t="shared" si="4"/>
        <v>#N/A</v>
      </c>
      <c r="F78" s="28" t="str">
        <f t="shared" ca="1" si="5"/>
        <v/>
      </c>
    </row>
    <row r="79" spans="2:6" x14ac:dyDescent="0.2">
      <c r="B79" t="str">
        <f>IFERROR(IF('PDCA review'!$D$2=Plan!B80,Plan!G80,""),"")</f>
        <v/>
      </c>
      <c r="C79">
        <f t="shared" si="3"/>
        <v>0</v>
      </c>
      <c r="D79">
        <f>SUM($C$3:C79)</f>
        <v>7</v>
      </c>
      <c r="E79" t="e">
        <f t="shared" si="4"/>
        <v>#N/A</v>
      </c>
      <c r="F79" s="28" t="str">
        <f t="shared" ca="1" si="5"/>
        <v/>
      </c>
    </row>
    <row r="80" spans="2:6" x14ac:dyDescent="0.2">
      <c r="B80" t="str">
        <f>IFERROR(IF('PDCA review'!$D$2=Plan!B81,Plan!G81,""),"")</f>
        <v/>
      </c>
      <c r="C80">
        <f t="shared" si="3"/>
        <v>0</v>
      </c>
      <c r="D80">
        <f>SUM($C$3:C80)</f>
        <v>7</v>
      </c>
      <c r="E80" t="e">
        <f t="shared" si="4"/>
        <v>#N/A</v>
      </c>
      <c r="F80" s="28" t="str">
        <f t="shared" ca="1" si="5"/>
        <v/>
      </c>
    </row>
    <row r="81" spans="2:6" x14ac:dyDescent="0.2">
      <c r="B81" t="str">
        <f>IFERROR(IF('PDCA review'!$D$2=Plan!B82,Plan!G82,""),"")</f>
        <v/>
      </c>
      <c r="C81">
        <f t="shared" si="3"/>
        <v>0</v>
      </c>
      <c r="D81">
        <f>SUM($C$3:C81)</f>
        <v>7</v>
      </c>
      <c r="E81" t="e">
        <f t="shared" si="4"/>
        <v>#N/A</v>
      </c>
      <c r="F81" s="28" t="str">
        <f t="shared" ca="1" si="5"/>
        <v/>
      </c>
    </row>
    <row r="82" spans="2:6" x14ac:dyDescent="0.2">
      <c r="B82" t="str">
        <f>IFERROR(IF('PDCA review'!$D$2=Plan!B83,Plan!G83,""),"")</f>
        <v/>
      </c>
      <c r="C82">
        <f t="shared" si="3"/>
        <v>0</v>
      </c>
      <c r="D82">
        <f>SUM($C$3:C82)</f>
        <v>7</v>
      </c>
      <c r="E82" t="e">
        <f t="shared" si="4"/>
        <v>#N/A</v>
      </c>
      <c r="F82" s="28" t="str">
        <f t="shared" ca="1" si="5"/>
        <v/>
      </c>
    </row>
    <row r="83" spans="2:6" x14ac:dyDescent="0.2">
      <c r="B83" t="str">
        <f>IFERROR(IF('PDCA review'!$D$2=Plan!B84,Plan!G84,""),"")</f>
        <v/>
      </c>
      <c r="C83">
        <f t="shared" si="3"/>
        <v>0</v>
      </c>
      <c r="D83">
        <f>SUM($C$3:C83)</f>
        <v>7</v>
      </c>
      <c r="E83" t="e">
        <f t="shared" si="4"/>
        <v>#N/A</v>
      </c>
      <c r="F83" s="28" t="str">
        <f t="shared" ca="1" si="5"/>
        <v/>
      </c>
    </row>
    <row r="84" spans="2:6" x14ac:dyDescent="0.2">
      <c r="B84" t="str">
        <f>IFERROR(IF('PDCA review'!$D$2=Plan!B85,Plan!G85,""),"")</f>
        <v/>
      </c>
      <c r="C84">
        <f t="shared" si="3"/>
        <v>0</v>
      </c>
      <c r="D84">
        <f>SUM($C$3:C84)</f>
        <v>7</v>
      </c>
      <c r="E84" t="e">
        <f t="shared" si="4"/>
        <v>#N/A</v>
      </c>
      <c r="F84" s="28" t="str">
        <f t="shared" ca="1" si="5"/>
        <v/>
      </c>
    </row>
    <row r="85" spans="2:6" x14ac:dyDescent="0.2">
      <c r="B85" t="str">
        <f>IFERROR(IF('PDCA review'!$D$2=Plan!B86,Plan!G86,""),"")</f>
        <v/>
      </c>
      <c r="C85">
        <f t="shared" si="3"/>
        <v>0</v>
      </c>
      <c r="D85">
        <f>SUM($C$3:C85)</f>
        <v>7</v>
      </c>
      <c r="E85" t="e">
        <f t="shared" si="4"/>
        <v>#N/A</v>
      </c>
      <c r="F85" s="28" t="str">
        <f t="shared" ca="1" si="5"/>
        <v/>
      </c>
    </row>
    <row r="86" spans="2:6" x14ac:dyDescent="0.2">
      <c r="B86" t="str">
        <f>IFERROR(IF('PDCA review'!$D$2=Plan!B87,Plan!G87,""),"")</f>
        <v/>
      </c>
      <c r="C86">
        <f t="shared" si="3"/>
        <v>0</v>
      </c>
      <c r="D86">
        <f>SUM($C$3:C86)</f>
        <v>7</v>
      </c>
      <c r="E86" t="e">
        <f t="shared" si="4"/>
        <v>#N/A</v>
      </c>
      <c r="F86" s="28" t="str">
        <f t="shared" ca="1" si="5"/>
        <v/>
      </c>
    </row>
    <row r="87" spans="2:6" x14ac:dyDescent="0.2">
      <c r="B87" t="str">
        <f>IFERROR(IF('PDCA review'!$D$2=Plan!B88,Plan!G88,""),"")</f>
        <v/>
      </c>
      <c r="C87">
        <f t="shared" si="3"/>
        <v>0</v>
      </c>
      <c r="D87">
        <f>SUM($C$3:C87)</f>
        <v>7</v>
      </c>
      <c r="E87" t="e">
        <f t="shared" si="4"/>
        <v>#N/A</v>
      </c>
      <c r="F87" s="28" t="str">
        <f t="shared" ca="1" si="5"/>
        <v/>
      </c>
    </row>
    <row r="88" spans="2:6" x14ac:dyDescent="0.2">
      <c r="B88" t="str">
        <f>IFERROR(IF('PDCA review'!$D$2=Plan!B89,Plan!G89,""),"")</f>
        <v/>
      </c>
      <c r="C88">
        <f t="shared" si="3"/>
        <v>0</v>
      </c>
      <c r="D88">
        <f>SUM($C$3:C88)</f>
        <v>7</v>
      </c>
      <c r="E88" t="e">
        <f t="shared" si="4"/>
        <v>#N/A</v>
      </c>
      <c r="F88" s="28" t="str">
        <f t="shared" ca="1" si="5"/>
        <v/>
      </c>
    </row>
    <row r="89" spans="2:6" x14ac:dyDescent="0.2">
      <c r="B89" t="str">
        <f>IFERROR(IF('PDCA review'!$D$2=Plan!B90,Plan!G90,""),"")</f>
        <v/>
      </c>
      <c r="C89">
        <f t="shared" si="3"/>
        <v>0</v>
      </c>
      <c r="D89">
        <f>SUM($C$3:C89)</f>
        <v>7</v>
      </c>
      <c r="E89" t="e">
        <f t="shared" si="4"/>
        <v>#N/A</v>
      </c>
      <c r="F89" s="28" t="str">
        <f t="shared" ca="1" si="5"/>
        <v/>
      </c>
    </row>
    <row r="90" spans="2:6" x14ac:dyDescent="0.2">
      <c r="B90" t="str">
        <f>IFERROR(IF('PDCA review'!$D$2=Plan!B91,Plan!G91,""),"")</f>
        <v/>
      </c>
      <c r="C90">
        <f t="shared" si="3"/>
        <v>0</v>
      </c>
      <c r="D90">
        <f>SUM($C$3:C90)</f>
        <v>7</v>
      </c>
      <c r="E90" t="e">
        <f t="shared" si="4"/>
        <v>#N/A</v>
      </c>
      <c r="F90" s="28" t="str">
        <f t="shared" ca="1" si="5"/>
        <v/>
      </c>
    </row>
    <row r="91" spans="2:6" x14ac:dyDescent="0.2">
      <c r="B91" t="str">
        <f>IFERROR(IF('PDCA review'!$D$2=Plan!B92,Plan!G92,""),"")</f>
        <v/>
      </c>
      <c r="C91">
        <f t="shared" si="3"/>
        <v>0</v>
      </c>
      <c r="D91">
        <f>SUM($C$3:C91)</f>
        <v>7</v>
      </c>
      <c r="E91" t="e">
        <f t="shared" si="4"/>
        <v>#N/A</v>
      </c>
      <c r="F91" s="28" t="str">
        <f t="shared" ca="1" si="5"/>
        <v/>
      </c>
    </row>
    <row r="92" spans="2:6" x14ac:dyDescent="0.2">
      <c r="B92" t="str">
        <f>IFERROR(IF('PDCA review'!$D$2=Plan!B93,Plan!G93,""),"")</f>
        <v/>
      </c>
      <c r="C92">
        <f t="shared" si="3"/>
        <v>0</v>
      </c>
      <c r="D92">
        <f>SUM($C$3:C92)</f>
        <v>7</v>
      </c>
      <c r="E92" t="e">
        <f t="shared" si="4"/>
        <v>#N/A</v>
      </c>
      <c r="F92" s="28" t="str">
        <f t="shared" ca="1" si="5"/>
        <v/>
      </c>
    </row>
    <row r="93" spans="2:6" x14ac:dyDescent="0.2">
      <c r="B93" t="str">
        <f>IFERROR(IF('PDCA review'!$D$2=Plan!B94,Plan!G94,""),"")</f>
        <v/>
      </c>
      <c r="C93">
        <f t="shared" si="3"/>
        <v>0</v>
      </c>
      <c r="D93">
        <f>SUM($C$3:C93)</f>
        <v>7</v>
      </c>
      <c r="E93" t="e">
        <f t="shared" si="4"/>
        <v>#N/A</v>
      </c>
      <c r="F93" s="28" t="str">
        <f t="shared" ca="1" si="5"/>
        <v/>
      </c>
    </row>
    <row r="94" spans="2:6" x14ac:dyDescent="0.2">
      <c r="B94" t="str">
        <f>IFERROR(IF('PDCA review'!$D$2=Plan!B95,Plan!G95,""),"")</f>
        <v/>
      </c>
      <c r="C94">
        <f t="shared" si="3"/>
        <v>0</v>
      </c>
      <c r="D94">
        <f>SUM($C$3:C94)</f>
        <v>7</v>
      </c>
      <c r="E94" t="e">
        <f t="shared" si="4"/>
        <v>#N/A</v>
      </c>
      <c r="F94" s="28" t="str">
        <f t="shared" ca="1" si="5"/>
        <v/>
      </c>
    </row>
    <row r="95" spans="2:6" x14ac:dyDescent="0.2">
      <c r="B95" t="str">
        <f>IFERROR(IF('PDCA review'!$D$2=Plan!B96,Plan!G96,""),"")</f>
        <v/>
      </c>
      <c r="C95">
        <f t="shared" si="3"/>
        <v>0</v>
      </c>
      <c r="D95">
        <f>SUM($C$3:C95)</f>
        <v>7</v>
      </c>
      <c r="E95" t="e">
        <f t="shared" si="4"/>
        <v>#N/A</v>
      </c>
      <c r="F95" s="28" t="str">
        <f t="shared" ca="1" si="5"/>
        <v/>
      </c>
    </row>
    <row r="96" spans="2:6" x14ac:dyDescent="0.2">
      <c r="B96" t="str">
        <f>IFERROR(IF('PDCA review'!$D$2=Plan!B97,Plan!G97,""),"")</f>
        <v/>
      </c>
      <c r="C96">
        <f t="shared" si="3"/>
        <v>0</v>
      </c>
      <c r="D96">
        <f>SUM($C$3:C96)</f>
        <v>7</v>
      </c>
      <c r="E96" t="e">
        <f t="shared" si="4"/>
        <v>#N/A</v>
      </c>
      <c r="F96" s="28" t="str">
        <f t="shared" ca="1" si="5"/>
        <v/>
      </c>
    </row>
    <row r="97" spans="2:6" x14ac:dyDescent="0.2">
      <c r="B97" t="str">
        <f>IFERROR(IF('PDCA review'!$D$2=Plan!B98,Plan!G98,""),"")</f>
        <v/>
      </c>
      <c r="C97">
        <f t="shared" si="3"/>
        <v>0</v>
      </c>
      <c r="D97">
        <f>SUM($C$3:C97)</f>
        <v>7</v>
      </c>
      <c r="E97" t="e">
        <f t="shared" si="4"/>
        <v>#N/A</v>
      </c>
      <c r="F97" s="28" t="str">
        <f t="shared" ca="1" si="5"/>
        <v/>
      </c>
    </row>
    <row r="98" spans="2:6" x14ac:dyDescent="0.2">
      <c r="B98" t="str">
        <f>IFERROR(IF('PDCA review'!$D$2=Plan!B99,Plan!G99,""),"")</f>
        <v/>
      </c>
      <c r="C98">
        <f t="shared" si="3"/>
        <v>0</v>
      </c>
      <c r="D98">
        <f>SUM($C$3:C98)</f>
        <v>7</v>
      </c>
      <c r="E98" t="e">
        <f t="shared" si="4"/>
        <v>#N/A</v>
      </c>
      <c r="F98" s="28" t="str">
        <f t="shared" ca="1" si="5"/>
        <v/>
      </c>
    </row>
    <row r="99" spans="2:6" x14ac:dyDescent="0.2">
      <c r="B99" t="str">
        <f>IFERROR(IF('PDCA review'!$D$2=Plan!B100,Plan!G100,""),"")</f>
        <v/>
      </c>
      <c r="C99">
        <f t="shared" si="3"/>
        <v>0</v>
      </c>
      <c r="D99">
        <f>SUM($C$3:C99)</f>
        <v>7</v>
      </c>
      <c r="E99" t="e">
        <f t="shared" si="4"/>
        <v>#N/A</v>
      </c>
      <c r="F99" s="28" t="str">
        <f t="shared" ca="1" si="5"/>
        <v/>
      </c>
    </row>
    <row r="100" spans="2:6" x14ac:dyDescent="0.2">
      <c r="B100" t="str">
        <f>IFERROR(IF('PDCA review'!$D$2=Plan!B101,Plan!G101,""),"")</f>
        <v/>
      </c>
      <c r="C100">
        <f t="shared" si="3"/>
        <v>0</v>
      </c>
      <c r="D100">
        <f>SUM($C$3:C100)</f>
        <v>7</v>
      </c>
      <c r="E100" t="e">
        <f t="shared" si="4"/>
        <v>#N/A</v>
      </c>
      <c r="F100" s="28" t="str">
        <f t="shared" ca="1" si="5"/>
        <v/>
      </c>
    </row>
    <row r="101" spans="2:6" x14ac:dyDescent="0.2">
      <c r="B101" t="str">
        <f>IFERROR(IF('PDCA review'!$D$2=Plan!B102,Plan!G102,""),"")</f>
        <v/>
      </c>
      <c r="C101">
        <f t="shared" si="3"/>
        <v>0</v>
      </c>
      <c r="D101">
        <f>SUM($C$3:C101)</f>
        <v>7</v>
      </c>
      <c r="E101" t="e">
        <f t="shared" si="4"/>
        <v>#N/A</v>
      </c>
      <c r="F101" s="28" t="str">
        <f t="shared" ca="1" si="5"/>
        <v/>
      </c>
    </row>
    <row r="102" spans="2:6" x14ac:dyDescent="0.2">
      <c r="B102" t="str">
        <f>IFERROR(IF('PDCA review'!$D$2=Plan!B103,Plan!G103,""),"")</f>
        <v/>
      </c>
      <c r="C102">
        <f t="shared" si="3"/>
        <v>0</v>
      </c>
      <c r="D102">
        <f>SUM($C$3:C102)</f>
        <v>7</v>
      </c>
      <c r="E102" t="e">
        <f t="shared" si="4"/>
        <v>#N/A</v>
      </c>
      <c r="F102" s="28" t="str">
        <f t="shared" ca="1" si="5"/>
        <v/>
      </c>
    </row>
    <row r="103" spans="2:6" x14ac:dyDescent="0.2">
      <c r="B103" t="str">
        <f>IFERROR(IF('PDCA review'!$D$2=Plan!B104,Plan!G104,""),"")</f>
        <v/>
      </c>
      <c r="C103">
        <f t="shared" si="3"/>
        <v>0</v>
      </c>
      <c r="D103">
        <f>SUM($C$3:C103)</f>
        <v>7</v>
      </c>
      <c r="E103" t="e">
        <f t="shared" si="4"/>
        <v>#N/A</v>
      </c>
      <c r="F103" s="28" t="str">
        <f t="shared" ca="1" si="5"/>
        <v/>
      </c>
    </row>
    <row r="104" spans="2:6" x14ac:dyDescent="0.2">
      <c r="B104" t="str">
        <f>IFERROR(IF('PDCA review'!$D$2=Plan!B105,Plan!G105,""),"")</f>
        <v/>
      </c>
      <c r="C104">
        <f t="shared" si="3"/>
        <v>0</v>
      </c>
      <c r="D104">
        <f>SUM($C$3:C104)</f>
        <v>7</v>
      </c>
      <c r="E104" t="e">
        <f t="shared" si="4"/>
        <v>#N/A</v>
      </c>
      <c r="F104" s="28" t="str">
        <f t="shared" ca="1" si="5"/>
        <v/>
      </c>
    </row>
    <row r="105" spans="2:6" x14ac:dyDescent="0.2">
      <c r="B105" t="str">
        <f>IFERROR(IF('PDCA review'!$D$2=Plan!B106,Plan!G106,""),"")</f>
        <v/>
      </c>
      <c r="C105">
        <f t="shared" si="3"/>
        <v>0</v>
      </c>
      <c r="D105">
        <f>SUM($C$3:C105)</f>
        <v>7</v>
      </c>
      <c r="E105" t="e">
        <f t="shared" si="4"/>
        <v>#N/A</v>
      </c>
      <c r="F105" s="28" t="str">
        <f t="shared" ca="1" si="5"/>
        <v/>
      </c>
    </row>
    <row r="106" spans="2:6" x14ac:dyDescent="0.2">
      <c r="B106" t="str">
        <f>IFERROR(IF('PDCA review'!$D$2=Plan!B107,Plan!G107,""),"")</f>
        <v/>
      </c>
      <c r="C106">
        <f t="shared" si="3"/>
        <v>0</v>
      </c>
      <c r="D106">
        <f>SUM($C$3:C106)</f>
        <v>7</v>
      </c>
      <c r="E106" t="e">
        <f t="shared" si="4"/>
        <v>#N/A</v>
      </c>
      <c r="F106" s="28" t="str">
        <f t="shared" ca="1" si="5"/>
        <v/>
      </c>
    </row>
    <row r="107" spans="2:6" x14ac:dyDescent="0.2">
      <c r="B107" t="str">
        <f>IFERROR(IF('PDCA review'!$D$2=Plan!B108,Plan!G108,""),"")</f>
        <v/>
      </c>
      <c r="C107">
        <f t="shared" si="3"/>
        <v>0</v>
      </c>
      <c r="D107">
        <f>SUM($C$3:C107)</f>
        <v>7</v>
      </c>
      <c r="E107" t="e">
        <f t="shared" si="4"/>
        <v>#N/A</v>
      </c>
      <c r="F107" s="28" t="str">
        <f t="shared" ca="1" si="5"/>
        <v/>
      </c>
    </row>
    <row r="108" spans="2:6" x14ac:dyDescent="0.2">
      <c r="B108" t="str">
        <f>IFERROR(IF('PDCA review'!$D$2=Plan!B109,Plan!G109,""),"")</f>
        <v/>
      </c>
      <c r="C108">
        <f t="shared" si="3"/>
        <v>0</v>
      </c>
      <c r="D108">
        <f>SUM($C$3:C108)</f>
        <v>7</v>
      </c>
      <c r="E108" t="e">
        <f t="shared" si="4"/>
        <v>#N/A</v>
      </c>
      <c r="F108" s="28" t="str">
        <f t="shared" ca="1" si="5"/>
        <v/>
      </c>
    </row>
    <row r="109" spans="2:6" x14ac:dyDescent="0.2">
      <c r="B109" t="str">
        <f>IFERROR(IF('PDCA review'!$D$2=Plan!B110,Plan!G110,""),"")</f>
        <v/>
      </c>
      <c r="C109">
        <f t="shared" si="3"/>
        <v>0</v>
      </c>
      <c r="D109">
        <f>SUM($C$3:C109)</f>
        <v>7</v>
      </c>
      <c r="E109" t="e">
        <f t="shared" si="4"/>
        <v>#N/A</v>
      </c>
      <c r="F109" s="28" t="str">
        <f t="shared" ca="1" si="5"/>
        <v/>
      </c>
    </row>
    <row r="110" spans="2:6" x14ac:dyDescent="0.2">
      <c r="B110" t="str">
        <f>IFERROR(IF('PDCA review'!$D$2=Plan!B111,Plan!G111,""),"")</f>
        <v/>
      </c>
      <c r="C110">
        <f t="shared" si="3"/>
        <v>0</v>
      </c>
      <c r="D110">
        <f>SUM($C$3:C110)</f>
        <v>7</v>
      </c>
      <c r="E110" t="e">
        <f t="shared" si="4"/>
        <v>#N/A</v>
      </c>
      <c r="F110" s="28" t="str">
        <f t="shared" ca="1" si="5"/>
        <v/>
      </c>
    </row>
    <row r="111" spans="2:6" x14ac:dyDescent="0.2">
      <c r="B111" t="str">
        <f>IFERROR(IF('PDCA review'!$D$2=Plan!B112,Plan!G112,""),"")</f>
        <v/>
      </c>
      <c r="C111">
        <f t="shared" si="3"/>
        <v>0</v>
      </c>
      <c r="D111">
        <f>SUM($C$3:C111)</f>
        <v>7</v>
      </c>
      <c r="E111" t="e">
        <f t="shared" si="4"/>
        <v>#N/A</v>
      </c>
      <c r="F111" s="28" t="str">
        <f t="shared" ca="1" si="5"/>
        <v/>
      </c>
    </row>
    <row r="112" spans="2:6" x14ac:dyDescent="0.2">
      <c r="B112" t="str">
        <f>IFERROR(IF('PDCA review'!$D$2=Plan!B113,Plan!G113,""),"")</f>
        <v/>
      </c>
      <c r="C112">
        <f t="shared" si="3"/>
        <v>0</v>
      </c>
      <c r="D112">
        <f>SUM($C$3:C112)</f>
        <v>7</v>
      </c>
      <c r="E112" t="e">
        <f t="shared" si="4"/>
        <v>#N/A</v>
      </c>
      <c r="F112" s="28" t="str">
        <f t="shared" ca="1" si="5"/>
        <v/>
      </c>
    </row>
    <row r="113" spans="2:6" x14ac:dyDescent="0.2">
      <c r="B113" t="str">
        <f>IFERROR(IF('PDCA review'!$D$2=Plan!B114,Plan!G114,""),"")</f>
        <v/>
      </c>
      <c r="C113">
        <f t="shared" si="3"/>
        <v>0</v>
      </c>
      <c r="D113">
        <f>SUM($C$3:C113)</f>
        <v>7</v>
      </c>
      <c r="E113" t="e">
        <f t="shared" si="4"/>
        <v>#N/A</v>
      </c>
      <c r="F113" s="28" t="str">
        <f t="shared" ca="1" si="5"/>
        <v/>
      </c>
    </row>
    <row r="114" spans="2:6" x14ac:dyDescent="0.2">
      <c r="B114" t="str">
        <f>IFERROR(IF('PDCA review'!$D$2=Plan!B115,Plan!G115,""),"")</f>
        <v/>
      </c>
      <c r="C114">
        <f t="shared" si="3"/>
        <v>0</v>
      </c>
      <c r="D114">
        <f>SUM($C$3:C114)</f>
        <v>7</v>
      </c>
      <c r="E114" t="e">
        <f t="shared" si="4"/>
        <v>#N/A</v>
      </c>
      <c r="F114" s="28" t="str">
        <f t="shared" ca="1" si="5"/>
        <v/>
      </c>
    </row>
    <row r="115" spans="2:6" x14ac:dyDescent="0.2">
      <c r="B115" t="str">
        <f>IFERROR(IF('PDCA review'!$D$2=Plan!B116,Plan!G116,""),"")</f>
        <v/>
      </c>
      <c r="C115">
        <f t="shared" si="3"/>
        <v>0</v>
      </c>
      <c r="D115">
        <f>SUM($C$3:C115)</f>
        <v>7</v>
      </c>
      <c r="E115" t="e">
        <f t="shared" si="4"/>
        <v>#N/A</v>
      </c>
      <c r="F115" s="28" t="str">
        <f t="shared" ca="1" si="5"/>
        <v/>
      </c>
    </row>
    <row r="116" spans="2:6" x14ac:dyDescent="0.2">
      <c r="B116" t="str">
        <f>IFERROR(IF('PDCA review'!$D$2=Plan!B117,Plan!G117,""),"")</f>
        <v/>
      </c>
      <c r="C116">
        <f t="shared" si="3"/>
        <v>0</v>
      </c>
      <c r="D116">
        <f>SUM($C$3:C116)</f>
        <v>7</v>
      </c>
      <c r="E116" t="e">
        <f t="shared" si="4"/>
        <v>#N/A</v>
      </c>
      <c r="F116" s="28" t="str">
        <f t="shared" ca="1" si="5"/>
        <v/>
      </c>
    </row>
    <row r="117" spans="2:6" x14ac:dyDescent="0.2">
      <c r="B117" t="str">
        <f>IFERROR(IF('PDCA review'!$D$2=Plan!B118,Plan!G118,""),"")</f>
        <v/>
      </c>
      <c r="C117">
        <f t="shared" si="3"/>
        <v>0</v>
      </c>
      <c r="D117">
        <f>SUM($C$3:C117)</f>
        <v>7</v>
      </c>
      <c r="E117" t="e">
        <f t="shared" si="4"/>
        <v>#N/A</v>
      </c>
      <c r="F117" s="28" t="str">
        <f t="shared" ca="1" si="5"/>
        <v/>
      </c>
    </row>
    <row r="118" spans="2:6" x14ac:dyDescent="0.2">
      <c r="B118" t="str">
        <f>IFERROR(IF('PDCA review'!$D$2=Plan!B119,Plan!G119,""),"")</f>
        <v/>
      </c>
      <c r="C118">
        <f t="shared" si="3"/>
        <v>0</v>
      </c>
      <c r="D118">
        <f>SUM($C$3:C118)</f>
        <v>7</v>
      </c>
      <c r="E118" t="e">
        <f t="shared" si="4"/>
        <v>#N/A</v>
      </c>
      <c r="F118" s="28" t="str">
        <f t="shared" ca="1" si="5"/>
        <v/>
      </c>
    </row>
    <row r="119" spans="2:6" x14ac:dyDescent="0.2">
      <c r="B119" t="str">
        <f>IFERROR(IF('PDCA review'!$D$2=Plan!B120,Plan!G120,""),"")</f>
        <v/>
      </c>
      <c r="C119">
        <f t="shared" si="3"/>
        <v>0</v>
      </c>
      <c r="D119">
        <f>SUM($C$3:C119)</f>
        <v>7</v>
      </c>
      <c r="E119" t="e">
        <f t="shared" si="4"/>
        <v>#N/A</v>
      </c>
      <c r="F119" s="28" t="str">
        <f t="shared" ca="1" si="5"/>
        <v/>
      </c>
    </row>
    <row r="120" spans="2:6" x14ac:dyDescent="0.2">
      <c r="B120" t="str">
        <f>IFERROR(IF('PDCA review'!$D$2=Plan!B121,Plan!G121,""),"")</f>
        <v/>
      </c>
      <c r="C120">
        <f t="shared" si="3"/>
        <v>0</v>
      </c>
      <c r="D120">
        <f>SUM($C$3:C120)</f>
        <v>7</v>
      </c>
      <c r="E120" t="e">
        <f t="shared" si="4"/>
        <v>#N/A</v>
      </c>
      <c r="F120" s="28" t="str">
        <f t="shared" ca="1" si="5"/>
        <v/>
      </c>
    </row>
    <row r="121" spans="2:6" x14ac:dyDescent="0.2">
      <c r="B121" t="str">
        <f>IFERROR(IF('PDCA review'!$D$2=Plan!B122,Plan!G122,""),"")</f>
        <v/>
      </c>
      <c r="C121">
        <f t="shared" si="3"/>
        <v>0</v>
      </c>
      <c r="D121">
        <f>SUM($C$3:C121)</f>
        <v>7</v>
      </c>
      <c r="E121" t="e">
        <f t="shared" si="4"/>
        <v>#N/A</v>
      </c>
      <c r="F121" s="28" t="str">
        <f t="shared" ca="1" si="5"/>
        <v/>
      </c>
    </row>
    <row r="122" spans="2:6" x14ac:dyDescent="0.2">
      <c r="B122" t="str">
        <f>IFERROR(IF('PDCA review'!$D$2=Plan!B123,Plan!G123,""),"")</f>
        <v/>
      </c>
      <c r="C122">
        <f t="shared" si="3"/>
        <v>0</v>
      </c>
      <c r="D122">
        <f>SUM($C$3:C122)</f>
        <v>7</v>
      </c>
      <c r="E122" t="e">
        <f t="shared" si="4"/>
        <v>#N/A</v>
      </c>
      <c r="F122" s="28" t="str">
        <f t="shared" ca="1" si="5"/>
        <v/>
      </c>
    </row>
    <row r="123" spans="2:6" x14ac:dyDescent="0.2">
      <c r="B123" t="str">
        <f>IFERROR(IF('PDCA review'!$D$2=Plan!B124,Plan!G124,""),"")</f>
        <v/>
      </c>
      <c r="C123">
        <f t="shared" si="3"/>
        <v>0</v>
      </c>
      <c r="D123">
        <f>SUM($C$3:C123)</f>
        <v>7</v>
      </c>
      <c r="E123" t="e">
        <f t="shared" si="4"/>
        <v>#N/A</v>
      </c>
      <c r="F123" s="28" t="str">
        <f t="shared" ca="1" si="5"/>
        <v/>
      </c>
    </row>
    <row r="124" spans="2:6" x14ac:dyDescent="0.2">
      <c r="B124" t="str">
        <f>IFERROR(IF('PDCA review'!$D$2=Plan!B125,Plan!G125,""),"")</f>
        <v/>
      </c>
      <c r="C124">
        <f t="shared" si="3"/>
        <v>0</v>
      </c>
      <c r="D124">
        <f>SUM($C$3:C124)</f>
        <v>7</v>
      </c>
      <c r="E124" t="e">
        <f t="shared" si="4"/>
        <v>#N/A</v>
      </c>
      <c r="F124" s="28" t="str">
        <f t="shared" ca="1" si="5"/>
        <v/>
      </c>
    </row>
    <row r="125" spans="2:6" x14ac:dyDescent="0.2">
      <c r="B125" t="str">
        <f>IFERROR(IF('PDCA review'!$D$2=Plan!B126,Plan!G126,""),"")</f>
        <v/>
      </c>
      <c r="C125">
        <f t="shared" si="3"/>
        <v>0</v>
      </c>
      <c r="D125">
        <f>SUM($C$3:C125)</f>
        <v>7</v>
      </c>
      <c r="E125" t="e">
        <f t="shared" si="4"/>
        <v>#N/A</v>
      </c>
      <c r="F125" s="28" t="str">
        <f t="shared" ca="1" si="5"/>
        <v/>
      </c>
    </row>
    <row r="126" spans="2:6" x14ac:dyDescent="0.2">
      <c r="B126" t="str">
        <f>IFERROR(IF('PDCA review'!$D$2=Plan!B127,Plan!G127,""),"")</f>
        <v/>
      </c>
      <c r="C126">
        <f t="shared" si="3"/>
        <v>0</v>
      </c>
      <c r="D126">
        <f>SUM($C$3:C126)</f>
        <v>7</v>
      </c>
      <c r="E126" t="e">
        <f t="shared" si="4"/>
        <v>#N/A</v>
      </c>
      <c r="F126" s="28" t="str">
        <f t="shared" ca="1" si="5"/>
        <v/>
      </c>
    </row>
    <row r="127" spans="2:6" x14ac:dyDescent="0.2">
      <c r="B127" t="str">
        <f>IFERROR(IF('PDCA review'!$D$2=Plan!B128,Plan!G128,""),"")</f>
        <v/>
      </c>
      <c r="C127">
        <f t="shared" si="3"/>
        <v>0</v>
      </c>
      <c r="D127">
        <f>SUM($C$3:C127)</f>
        <v>7</v>
      </c>
      <c r="E127" t="e">
        <f t="shared" si="4"/>
        <v>#N/A</v>
      </c>
      <c r="F127" s="28" t="str">
        <f t="shared" ca="1" si="5"/>
        <v/>
      </c>
    </row>
    <row r="128" spans="2:6" x14ac:dyDescent="0.2">
      <c r="B128" t="str">
        <f>IFERROR(IF('PDCA review'!$D$2=Plan!B129,Plan!G129,""),"")</f>
        <v/>
      </c>
      <c r="C128">
        <f t="shared" si="3"/>
        <v>0</v>
      </c>
      <c r="D128">
        <f>SUM($C$3:C128)</f>
        <v>7</v>
      </c>
      <c r="E128" t="e">
        <f t="shared" si="4"/>
        <v>#N/A</v>
      </c>
      <c r="F128" s="28" t="str">
        <f t="shared" ca="1" si="5"/>
        <v/>
      </c>
    </row>
    <row r="129" spans="2:6" x14ac:dyDescent="0.2">
      <c r="B129" t="str">
        <f>IFERROR(IF('PDCA review'!$D$2=Plan!B130,Plan!G130,""),"")</f>
        <v/>
      </c>
      <c r="C129">
        <f t="shared" si="3"/>
        <v>0</v>
      </c>
      <c r="D129">
        <f>SUM($C$3:C129)</f>
        <v>7</v>
      </c>
      <c r="E129" t="e">
        <f t="shared" si="4"/>
        <v>#N/A</v>
      </c>
      <c r="F129" s="28" t="str">
        <f t="shared" ca="1" si="5"/>
        <v/>
      </c>
    </row>
    <row r="130" spans="2:6" x14ac:dyDescent="0.2">
      <c r="B130" t="str">
        <f>IFERROR(IF('PDCA review'!$D$2=Plan!B131,Plan!G131,""),"")</f>
        <v/>
      </c>
      <c r="C130">
        <f t="shared" si="3"/>
        <v>0</v>
      </c>
      <c r="D130">
        <f>SUM($C$3:C130)</f>
        <v>7</v>
      </c>
      <c r="E130" t="e">
        <f t="shared" si="4"/>
        <v>#N/A</v>
      </c>
      <c r="F130" s="28" t="str">
        <f t="shared" ca="1" si="5"/>
        <v/>
      </c>
    </row>
    <row r="131" spans="2:6" x14ac:dyDescent="0.2">
      <c r="B131" t="str">
        <f>IFERROR(IF('PDCA review'!$D$2=Plan!B132,Plan!G132,""),"")</f>
        <v/>
      </c>
      <c r="C131">
        <f t="shared" si="3"/>
        <v>0</v>
      </c>
      <c r="D131">
        <f>SUM($C$3:C131)</f>
        <v>7</v>
      </c>
      <c r="E131" t="e">
        <f t="shared" si="4"/>
        <v>#N/A</v>
      </c>
      <c r="F131" s="28" t="str">
        <f t="shared" ca="1" si="5"/>
        <v/>
      </c>
    </row>
    <row r="132" spans="2:6" x14ac:dyDescent="0.2">
      <c r="B132" t="str">
        <f>IFERROR(IF('PDCA review'!$D$2=Plan!B133,Plan!G133,""),"")</f>
        <v/>
      </c>
      <c r="C132">
        <f t="shared" ref="C132:C195" si="6">IF(B132&lt;&gt;"",1,0)</f>
        <v>0</v>
      </c>
      <c r="D132">
        <f>SUM($C$3:C132)</f>
        <v>7</v>
      </c>
      <c r="E132" t="e">
        <f t="shared" ref="E132:E195" si="7">MATCH(ROW()-$D$2,$D$3:$D$2000,0)+$D$2</f>
        <v>#N/A</v>
      </c>
      <c r="F132" s="28" t="str">
        <f t="shared" ref="F132:F195" ca="1" si="8">IFERROR(INDIRECT("B"&amp;E132),"")</f>
        <v/>
      </c>
    </row>
    <row r="133" spans="2:6" x14ac:dyDescent="0.2">
      <c r="B133" t="str">
        <f>IFERROR(IF('PDCA review'!$D$2=Plan!B134,Plan!G134,""),"")</f>
        <v/>
      </c>
      <c r="C133">
        <f t="shared" si="6"/>
        <v>0</v>
      </c>
      <c r="D133">
        <f>SUM($C$3:C133)</f>
        <v>7</v>
      </c>
      <c r="E133" t="e">
        <f t="shared" si="7"/>
        <v>#N/A</v>
      </c>
      <c r="F133" s="28" t="str">
        <f t="shared" ca="1" si="8"/>
        <v/>
      </c>
    </row>
    <row r="134" spans="2:6" x14ac:dyDescent="0.2">
      <c r="B134" t="str">
        <f>IFERROR(IF('PDCA review'!$D$2=Plan!B135,Plan!G135,""),"")</f>
        <v/>
      </c>
      <c r="C134">
        <f t="shared" si="6"/>
        <v>0</v>
      </c>
      <c r="D134">
        <f>SUM($C$3:C134)</f>
        <v>7</v>
      </c>
      <c r="E134" t="e">
        <f t="shared" si="7"/>
        <v>#N/A</v>
      </c>
      <c r="F134" s="28" t="str">
        <f t="shared" ca="1" si="8"/>
        <v/>
      </c>
    </row>
    <row r="135" spans="2:6" x14ac:dyDescent="0.2">
      <c r="B135" t="str">
        <f>IFERROR(IF('PDCA review'!$D$2=Plan!B136,Plan!G136,""),"")</f>
        <v/>
      </c>
      <c r="C135">
        <f t="shared" si="6"/>
        <v>0</v>
      </c>
      <c r="D135">
        <f>SUM($C$3:C135)</f>
        <v>7</v>
      </c>
      <c r="E135" t="e">
        <f t="shared" si="7"/>
        <v>#N/A</v>
      </c>
      <c r="F135" s="28" t="str">
        <f t="shared" ca="1" si="8"/>
        <v/>
      </c>
    </row>
    <row r="136" spans="2:6" x14ac:dyDescent="0.2">
      <c r="B136" t="str">
        <f>IFERROR(IF('PDCA review'!$D$2=Plan!B137,Plan!G137,""),"")</f>
        <v/>
      </c>
      <c r="C136">
        <f t="shared" si="6"/>
        <v>0</v>
      </c>
      <c r="D136">
        <f>SUM($C$3:C136)</f>
        <v>7</v>
      </c>
      <c r="E136" t="e">
        <f t="shared" si="7"/>
        <v>#N/A</v>
      </c>
      <c r="F136" s="28" t="str">
        <f t="shared" ca="1" si="8"/>
        <v/>
      </c>
    </row>
    <row r="137" spans="2:6" x14ac:dyDescent="0.2">
      <c r="B137" t="str">
        <f>IFERROR(IF('PDCA review'!$D$2=Plan!B138,Plan!G138,""),"")</f>
        <v/>
      </c>
      <c r="C137">
        <f t="shared" si="6"/>
        <v>0</v>
      </c>
      <c r="D137">
        <f>SUM($C$3:C137)</f>
        <v>7</v>
      </c>
      <c r="E137" t="e">
        <f t="shared" si="7"/>
        <v>#N/A</v>
      </c>
      <c r="F137" s="28" t="str">
        <f t="shared" ca="1" si="8"/>
        <v/>
      </c>
    </row>
    <row r="138" spans="2:6" x14ac:dyDescent="0.2">
      <c r="B138" t="str">
        <f>IFERROR(IF('PDCA review'!$D$2=Plan!B139,Plan!G139,""),"")</f>
        <v/>
      </c>
      <c r="C138">
        <f t="shared" si="6"/>
        <v>0</v>
      </c>
      <c r="D138">
        <f>SUM($C$3:C138)</f>
        <v>7</v>
      </c>
      <c r="E138" t="e">
        <f t="shared" si="7"/>
        <v>#N/A</v>
      </c>
      <c r="F138" s="28" t="str">
        <f t="shared" ca="1" si="8"/>
        <v/>
      </c>
    </row>
    <row r="139" spans="2:6" x14ac:dyDescent="0.2">
      <c r="B139" t="str">
        <f>IFERROR(IF('PDCA review'!$D$2=Plan!B140,Plan!G140,""),"")</f>
        <v/>
      </c>
      <c r="C139">
        <f t="shared" si="6"/>
        <v>0</v>
      </c>
      <c r="D139">
        <f>SUM($C$3:C139)</f>
        <v>7</v>
      </c>
      <c r="E139" t="e">
        <f t="shared" si="7"/>
        <v>#N/A</v>
      </c>
      <c r="F139" s="28" t="str">
        <f t="shared" ca="1" si="8"/>
        <v/>
      </c>
    </row>
    <row r="140" spans="2:6" x14ac:dyDescent="0.2">
      <c r="B140" t="str">
        <f>IFERROR(IF('PDCA review'!$D$2=Plan!B141,Plan!G141,""),"")</f>
        <v/>
      </c>
      <c r="C140">
        <f t="shared" si="6"/>
        <v>0</v>
      </c>
      <c r="D140">
        <f>SUM($C$3:C140)</f>
        <v>7</v>
      </c>
      <c r="E140" t="e">
        <f t="shared" si="7"/>
        <v>#N/A</v>
      </c>
      <c r="F140" s="28" t="str">
        <f t="shared" ca="1" si="8"/>
        <v/>
      </c>
    </row>
    <row r="141" spans="2:6" x14ac:dyDescent="0.2">
      <c r="B141" t="str">
        <f>IFERROR(IF('PDCA review'!$D$2=Plan!B142,Plan!G142,""),"")</f>
        <v/>
      </c>
      <c r="C141">
        <f t="shared" si="6"/>
        <v>0</v>
      </c>
      <c r="D141">
        <f>SUM($C$3:C141)</f>
        <v>7</v>
      </c>
      <c r="E141" t="e">
        <f t="shared" si="7"/>
        <v>#N/A</v>
      </c>
      <c r="F141" s="28" t="str">
        <f t="shared" ca="1" si="8"/>
        <v/>
      </c>
    </row>
    <row r="142" spans="2:6" x14ac:dyDescent="0.2">
      <c r="B142" t="str">
        <f>IFERROR(IF('PDCA review'!$D$2=Plan!B143,Plan!G143,""),"")</f>
        <v/>
      </c>
      <c r="C142">
        <f t="shared" si="6"/>
        <v>0</v>
      </c>
      <c r="D142">
        <f>SUM($C$3:C142)</f>
        <v>7</v>
      </c>
      <c r="E142" t="e">
        <f t="shared" si="7"/>
        <v>#N/A</v>
      </c>
      <c r="F142" s="28" t="str">
        <f t="shared" ca="1" si="8"/>
        <v/>
      </c>
    </row>
    <row r="143" spans="2:6" x14ac:dyDescent="0.2">
      <c r="B143" t="str">
        <f>IFERROR(IF('PDCA review'!$D$2=Plan!B144,Plan!G144,""),"")</f>
        <v/>
      </c>
      <c r="C143">
        <f t="shared" si="6"/>
        <v>0</v>
      </c>
      <c r="D143">
        <f>SUM($C$3:C143)</f>
        <v>7</v>
      </c>
      <c r="E143" t="e">
        <f t="shared" si="7"/>
        <v>#N/A</v>
      </c>
      <c r="F143" s="28" t="str">
        <f t="shared" ca="1" si="8"/>
        <v/>
      </c>
    </row>
    <row r="144" spans="2:6" x14ac:dyDescent="0.2">
      <c r="B144" t="str">
        <f>IFERROR(IF('PDCA review'!$D$2=Plan!B145,Plan!G145,""),"")</f>
        <v/>
      </c>
      <c r="C144">
        <f t="shared" si="6"/>
        <v>0</v>
      </c>
      <c r="D144">
        <f>SUM($C$3:C144)</f>
        <v>7</v>
      </c>
      <c r="E144" t="e">
        <f t="shared" si="7"/>
        <v>#N/A</v>
      </c>
      <c r="F144" s="28" t="str">
        <f t="shared" ca="1" si="8"/>
        <v/>
      </c>
    </row>
    <row r="145" spans="2:6" x14ac:dyDescent="0.2">
      <c r="B145" t="str">
        <f>IFERROR(IF('PDCA review'!$D$2=Plan!B146,Plan!G146,""),"")</f>
        <v/>
      </c>
      <c r="C145">
        <f t="shared" si="6"/>
        <v>0</v>
      </c>
      <c r="D145">
        <f>SUM($C$3:C145)</f>
        <v>7</v>
      </c>
      <c r="E145" t="e">
        <f t="shared" si="7"/>
        <v>#N/A</v>
      </c>
      <c r="F145" s="28" t="str">
        <f t="shared" ca="1" si="8"/>
        <v/>
      </c>
    </row>
    <row r="146" spans="2:6" x14ac:dyDescent="0.2">
      <c r="B146" t="str">
        <f>IFERROR(IF('PDCA review'!$D$2=Plan!B147,Plan!G147,""),"")</f>
        <v/>
      </c>
      <c r="C146">
        <f t="shared" si="6"/>
        <v>0</v>
      </c>
      <c r="D146">
        <f>SUM($C$3:C146)</f>
        <v>7</v>
      </c>
      <c r="E146" t="e">
        <f t="shared" si="7"/>
        <v>#N/A</v>
      </c>
      <c r="F146" s="28" t="str">
        <f t="shared" ca="1" si="8"/>
        <v/>
      </c>
    </row>
    <row r="147" spans="2:6" x14ac:dyDescent="0.2">
      <c r="B147" t="str">
        <f>IFERROR(IF('PDCA review'!$D$2=Plan!B148,Plan!G148,""),"")</f>
        <v/>
      </c>
      <c r="C147">
        <f t="shared" si="6"/>
        <v>0</v>
      </c>
      <c r="D147">
        <f>SUM($C$3:C147)</f>
        <v>7</v>
      </c>
      <c r="E147" t="e">
        <f t="shared" si="7"/>
        <v>#N/A</v>
      </c>
      <c r="F147" s="28" t="str">
        <f t="shared" ca="1" si="8"/>
        <v/>
      </c>
    </row>
    <row r="148" spans="2:6" x14ac:dyDescent="0.2">
      <c r="B148" t="str">
        <f>IFERROR(IF('PDCA review'!$D$2=Plan!B149,Plan!G149,""),"")</f>
        <v/>
      </c>
      <c r="C148">
        <f t="shared" si="6"/>
        <v>0</v>
      </c>
      <c r="D148">
        <f>SUM($C$3:C148)</f>
        <v>7</v>
      </c>
      <c r="E148" t="e">
        <f t="shared" si="7"/>
        <v>#N/A</v>
      </c>
      <c r="F148" s="28" t="str">
        <f t="shared" ca="1" si="8"/>
        <v/>
      </c>
    </row>
    <row r="149" spans="2:6" x14ac:dyDescent="0.2">
      <c r="B149" t="str">
        <f>IFERROR(IF('PDCA review'!$D$2=Plan!B150,Plan!G150,""),"")</f>
        <v/>
      </c>
      <c r="C149">
        <f t="shared" si="6"/>
        <v>0</v>
      </c>
      <c r="D149">
        <f>SUM($C$3:C149)</f>
        <v>7</v>
      </c>
      <c r="E149" t="e">
        <f t="shared" si="7"/>
        <v>#N/A</v>
      </c>
      <c r="F149" s="28" t="str">
        <f t="shared" ca="1" si="8"/>
        <v/>
      </c>
    </row>
    <row r="150" spans="2:6" x14ac:dyDescent="0.2">
      <c r="B150" t="str">
        <f>IFERROR(IF('PDCA review'!$D$2=Plan!B151,Plan!G151,""),"")</f>
        <v/>
      </c>
      <c r="C150">
        <f t="shared" si="6"/>
        <v>0</v>
      </c>
      <c r="D150">
        <f>SUM($C$3:C150)</f>
        <v>7</v>
      </c>
      <c r="E150" t="e">
        <f t="shared" si="7"/>
        <v>#N/A</v>
      </c>
      <c r="F150" s="28" t="str">
        <f t="shared" ca="1" si="8"/>
        <v/>
      </c>
    </row>
    <row r="151" spans="2:6" x14ac:dyDescent="0.2">
      <c r="B151" t="str">
        <f>IFERROR(IF('PDCA review'!$D$2=Plan!B152,Plan!G152,""),"")</f>
        <v/>
      </c>
      <c r="C151">
        <f t="shared" si="6"/>
        <v>0</v>
      </c>
      <c r="D151">
        <f>SUM($C$3:C151)</f>
        <v>7</v>
      </c>
      <c r="E151" t="e">
        <f t="shared" si="7"/>
        <v>#N/A</v>
      </c>
      <c r="F151" s="28" t="str">
        <f t="shared" ca="1" si="8"/>
        <v/>
      </c>
    </row>
    <row r="152" spans="2:6" x14ac:dyDescent="0.2">
      <c r="B152" t="str">
        <f>IFERROR(IF('PDCA review'!$D$2=Plan!B153,Plan!G153,""),"")</f>
        <v/>
      </c>
      <c r="C152">
        <f t="shared" si="6"/>
        <v>0</v>
      </c>
      <c r="D152">
        <f>SUM($C$3:C152)</f>
        <v>7</v>
      </c>
      <c r="E152" t="e">
        <f t="shared" si="7"/>
        <v>#N/A</v>
      </c>
      <c r="F152" s="28" t="str">
        <f t="shared" ca="1" si="8"/>
        <v/>
      </c>
    </row>
    <row r="153" spans="2:6" x14ac:dyDescent="0.2">
      <c r="B153" t="str">
        <f>IFERROR(IF('PDCA review'!$D$2=Plan!B154,Plan!G154,""),"")</f>
        <v/>
      </c>
      <c r="C153">
        <f t="shared" si="6"/>
        <v>0</v>
      </c>
      <c r="D153">
        <f>SUM($C$3:C153)</f>
        <v>7</v>
      </c>
      <c r="E153" t="e">
        <f t="shared" si="7"/>
        <v>#N/A</v>
      </c>
      <c r="F153" s="28" t="str">
        <f t="shared" ca="1" si="8"/>
        <v/>
      </c>
    </row>
    <row r="154" spans="2:6" x14ac:dyDescent="0.2">
      <c r="B154" t="str">
        <f>IFERROR(IF('PDCA review'!$D$2=Plan!B155,Plan!G155,""),"")</f>
        <v/>
      </c>
      <c r="C154">
        <f t="shared" si="6"/>
        <v>0</v>
      </c>
      <c r="D154">
        <f>SUM($C$3:C154)</f>
        <v>7</v>
      </c>
      <c r="E154" t="e">
        <f t="shared" si="7"/>
        <v>#N/A</v>
      </c>
      <c r="F154" s="28" t="str">
        <f t="shared" ca="1" si="8"/>
        <v/>
      </c>
    </row>
    <row r="155" spans="2:6" x14ac:dyDescent="0.2">
      <c r="B155" t="str">
        <f>IFERROR(IF('PDCA review'!$D$2=Plan!B156,Plan!G156,""),"")</f>
        <v/>
      </c>
      <c r="C155">
        <f t="shared" si="6"/>
        <v>0</v>
      </c>
      <c r="D155">
        <f>SUM($C$3:C155)</f>
        <v>7</v>
      </c>
      <c r="E155" t="e">
        <f t="shared" si="7"/>
        <v>#N/A</v>
      </c>
      <c r="F155" s="28" t="str">
        <f t="shared" ca="1" si="8"/>
        <v/>
      </c>
    </row>
    <row r="156" spans="2:6" x14ac:dyDescent="0.2">
      <c r="B156" t="str">
        <f>IFERROR(IF('PDCA review'!$D$2=Plan!B157,Plan!G157,""),"")</f>
        <v/>
      </c>
      <c r="C156">
        <f t="shared" si="6"/>
        <v>0</v>
      </c>
      <c r="D156">
        <f>SUM($C$3:C156)</f>
        <v>7</v>
      </c>
      <c r="E156" t="e">
        <f t="shared" si="7"/>
        <v>#N/A</v>
      </c>
      <c r="F156" s="28" t="str">
        <f t="shared" ca="1" si="8"/>
        <v/>
      </c>
    </row>
    <row r="157" spans="2:6" x14ac:dyDescent="0.2">
      <c r="B157" t="str">
        <f>IFERROR(IF('PDCA review'!$D$2=Plan!B158,Plan!G158,""),"")</f>
        <v/>
      </c>
      <c r="C157">
        <f t="shared" si="6"/>
        <v>0</v>
      </c>
      <c r="D157">
        <f>SUM($C$3:C157)</f>
        <v>7</v>
      </c>
      <c r="E157" t="e">
        <f t="shared" si="7"/>
        <v>#N/A</v>
      </c>
      <c r="F157" s="28" t="str">
        <f t="shared" ca="1" si="8"/>
        <v/>
      </c>
    </row>
    <row r="158" spans="2:6" x14ac:dyDescent="0.2">
      <c r="B158" t="str">
        <f>IFERROR(IF('PDCA review'!$D$2=Plan!B159,Plan!G159,""),"")</f>
        <v/>
      </c>
      <c r="C158">
        <f t="shared" si="6"/>
        <v>0</v>
      </c>
      <c r="D158">
        <f>SUM($C$3:C158)</f>
        <v>7</v>
      </c>
      <c r="E158" t="e">
        <f t="shared" si="7"/>
        <v>#N/A</v>
      </c>
      <c r="F158" s="28" t="str">
        <f t="shared" ca="1" si="8"/>
        <v/>
      </c>
    </row>
    <row r="159" spans="2:6" x14ac:dyDescent="0.2">
      <c r="B159" t="str">
        <f>IFERROR(IF('PDCA review'!$D$2=Plan!B160,Plan!G160,""),"")</f>
        <v/>
      </c>
      <c r="C159">
        <f t="shared" si="6"/>
        <v>0</v>
      </c>
      <c r="D159">
        <f>SUM($C$3:C159)</f>
        <v>7</v>
      </c>
      <c r="E159" t="e">
        <f t="shared" si="7"/>
        <v>#N/A</v>
      </c>
      <c r="F159" s="28" t="str">
        <f t="shared" ca="1" si="8"/>
        <v/>
      </c>
    </row>
    <row r="160" spans="2:6" x14ac:dyDescent="0.2">
      <c r="B160" t="str">
        <f>IFERROR(IF('PDCA review'!$D$2=Plan!B161,Plan!G161,""),"")</f>
        <v/>
      </c>
      <c r="C160">
        <f t="shared" si="6"/>
        <v>0</v>
      </c>
      <c r="D160">
        <f>SUM($C$3:C160)</f>
        <v>7</v>
      </c>
      <c r="E160" t="e">
        <f t="shared" si="7"/>
        <v>#N/A</v>
      </c>
      <c r="F160" s="28" t="str">
        <f t="shared" ca="1" si="8"/>
        <v/>
      </c>
    </row>
    <row r="161" spans="2:6" x14ac:dyDescent="0.2">
      <c r="B161" t="str">
        <f>IFERROR(IF('PDCA review'!$D$2=Plan!B162,Plan!G162,""),"")</f>
        <v/>
      </c>
      <c r="C161">
        <f t="shared" si="6"/>
        <v>0</v>
      </c>
      <c r="D161">
        <f>SUM($C$3:C161)</f>
        <v>7</v>
      </c>
      <c r="E161" t="e">
        <f t="shared" si="7"/>
        <v>#N/A</v>
      </c>
      <c r="F161" s="28" t="str">
        <f t="shared" ca="1" si="8"/>
        <v/>
      </c>
    </row>
    <row r="162" spans="2:6" x14ac:dyDescent="0.2">
      <c r="B162" t="str">
        <f>IFERROR(IF('PDCA review'!$D$2=Plan!B163,Plan!G163,""),"")</f>
        <v/>
      </c>
      <c r="C162">
        <f t="shared" si="6"/>
        <v>0</v>
      </c>
      <c r="D162">
        <f>SUM($C$3:C162)</f>
        <v>7</v>
      </c>
      <c r="E162" t="e">
        <f t="shared" si="7"/>
        <v>#N/A</v>
      </c>
      <c r="F162" s="28" t="str">
        <f t="shared" ca="1" si="8"/>
        <v/>
      </c>
    </row>
    <row r="163" spans="2:6" x14ac:dyDescent="0.2">
      <c r="B163" t="str">
        <f>IFERROR(IF('PDCA review'!$D$2=Plan!B164,Plan!G164,""),"")</f>
        <v/>
      </c>
      <c r="C163">
        <f t="shared" si="6"/>
        <v>0</v>
      </c>
      <c r="D163">
        <f>SUM($C$3:C163)</f>
        <v>7</v>
      </c>
      <c r="E163" t="e">
        <f t="shared" si="7"/>
        <v>#N/A</v>
      </c>
      <c r="F163" s="28" t="str">
        <f t="shared" ca="1" si="8"/>
        <v/>
      </c>
    </row>
    <row r="164" spans="2:6" x14ac:dyDescent="0.2">
      <c r="B164" t="str">
        <f>IFERROR(IF('PDCA review'!$D$2=Plan!B165,Plan!G165,""),"")</f>
        <v/>
      </c>
      <c r="C164">
        <f t="shared" si="6"/>
        <v>0</v>
      </c>
      <c r="D164">
        <f>SUM($C$3:C164)</f>
        <v>7</v>
      </c>
      <c r="E164" t="e">
        <f t="shared" si="7"/>
        <v>#N/A</v>
      </c>
      <c r="F164" s="28" t="str">
        <f t="shared" ca="1" si="8"/>
        <v/>
      </c>
    </row>
    <row r="165" spans="2:6" x14ac:dyDescent="0.2">
      <c r="B165" t="str">
        <f>IFERROR(IF('PDCA review'!$D$2=Plan!B166,Plan!G166,""),"")</f>
        <v/>
      </c>
      <c r="C165">
        <f t="shared" si="6"/>
        <v>0</v>
      </c>
      <c r="D165">
        <f>SUM($C$3:C165)</f>
        <v>7</v>
      </c>
      <c r="E165" t="e">
        <f t="shared" si="7"/>
        <v>#N/A</v>
      </c>
      <c r="F165" s="28" t="str">
        <f t="shared" ca="1" si="8"/>
        <v/>
      </c>
    </row>
    <row r="166" spans="2:6" x14ac:dyDescent="0.2">
      <c r="B166" t="str">
        <f>IFERROR(IF('PDCA review'!$D$2=Plan!B167,Plan!G167,""),"")</f>
        <v/>
      </c>
      <c r="C166">
        <f t="shared" si="6"/>
        <v>0</v>
      </c>
      <c r="D166">
        <f>SUM($C$3:C166)</f>
        <v>7</v>
      </c>
      <c r="E166" t="e">
        <f t="shared" si="7"/>
        <v>#N/A</v>
      </c>
      <c r="F166" s="28" t="str">
        <f t="shared" ca="1" si="8"/>
        <v/>
      </c>
    </row>
    <row r="167" spans="2:6" x14ac:dyDescent="0.2">
      <c r="B167" t="str">
        <f>IFERROR(IF('PDCA review'!$D$2=Plan!B168,Plan!G168,""),"")</f>
        <v/>
      </c>
      <c r="C167">
        <f t="shared" si="6"/>
        <v>0</v>
      </c>
      <c r="D167">
        <f>SUM($C$3:C167)</f>
        <v>7</v>
      </c>
      <c r="E167" t="e">
        <f t="shared" si="7"/>
        <v>#N/A</v>
      </c>
      <c r="F167" s="28" t="str">
        <f t="shared" ca="1" si="8"/>
        <v/>
      </c>
    </row>
    <row r="168" spans="2:6" x14ac:dyDescent="0.2">
      <c r="B168" t="str">
        <f>IFERROR(IF('PDCA review'!$D$2=Plan!B169,Plan!G169,""),"")</f>
        <v/>
      </c>
      <c r="C168">
        <f t="shared" si="6"/>
        <v>0</v>
      </c>
      <c r="D168">
        <f>SUM($C$3:C168)</f>
        <v>7</v>
      </c>
      <c r="E168" t="e">
        <f t="shared" si="7"/>
        <v>#N/A</v>
      </c>
      <c r="F168" s="28" t="str">
        <f t="shared" ca="1" si="8"/>
        <v/>
      </c>
    </row>
    <row r="169" spans="2:6" x14ac:dyDescent="0.2">
      <c r="B169" t="str">
        <f>IFERROR(IF('PDCA review'!$D$2=Plan!B170,Plan!G170,""),"")</f>
        <v/>
      </c>
      <c r="C169">
        <f t="shared" si="6"/>
        <v>0</v>
      </c>
      <c r="D169">
        <f>SUM($C$3:C169)</f>
        <v>7</v>
      </c>
      <c r="E169" t="e">
        <f t="shared" si="7"/>
        <v>#N/A</v>
      </c>
      <c r="F169" s="28" t="str">
        <f t="shared" ca="1" si="8"/>
        <v/>
      </c>
    </row>
    <row r="170" spans="2:6" x14ac:dyDescent="0.2">
      <c r="B170" t="str">
        <f>IFERROR(IF('PDCA review'!$D$2=Plan!B171,Plan!G171,""),"")</f>
        <v/>
      </c>
      <c r="C170">
        <f t="shared" si="6"/>
        <v>0</v>
      </c>
      <c r="D170">
        <f>SUM($C$3:C170)</f>
        <v>7</v>
      </c>
      <c r="E170" t="e">
        <f t="shared" si="7"/>
        <v>#N/A</v>
      </c>
      <c r="F170" s="28" t="str">
        <f t="shared" ca="1" si="8"/>
        <v/>
      </c>
    </row>
    <row r="171" spans="2:6" x14ac:dyDescent="0.2">
      <c r="B171" t="str">
        <f>IFERROR(IF('PDCA review'!$D$2=Plan!B172,Plan!G172,""),"")</f>
        <v/>
      </c>
      <c r="C171">
        <f t="shared" si="6"/>
        <v>0</v>
      </c>
      <c r="D171">
        <f>SUM($C$3:C171)</f>
        <v>7</v>
      </c>
      <c r="E171" t="e">
        <f t="shared" si="7"/>
        <v>#N/A</v>
      </c>
      <c r="F171" s="28" t="str">
        <f t="shared" ca="1" si="8"/>
        <v/>
      </c>
    </row>
    <row r="172" spans="2:6" x14ac:dyDescent="0.2">
      <c r="B172" t="str">
        <f>IFERROR(IF('PDCA review'!$D$2=Plan!B173,Plan!G173,""),"")</f>
        <v/>
      </c>
      <c r="C172">
        <f t="shared" si="6"/>
        <v>0</v>
      </c>
      <c r="D172">
        <f>SUM($C$3:C172)</f>
        <v>7</v>
      </c>
      <c r="E172" t="e">
        <f t="shared" si="7"/>
        <v>#N/A</v>
      </c>
      <c r="F172" s="28" t="str">
        <f t="shared" ca="1" si="8"/>
        <v/>
      </c>
    </row>
    <row r="173" spans="2:6" x14ac:dyDescent="0.2">
      <c r="B173" t="str">
        <f>IFERROR(IF('PDCA review'!$D$2=Plan!B174,Plan!G174,""),"")</f>
        <v/>
      </c>
      <c r="C173">
        <f t="shared" si="6"/>
        <v>0</v>
      </c>
      <c r="D173">
        <f>SUM($C$3:C173)</f>
        <v>7</v>
      </c>
      <c r="E173" t="e">
        <f t="shared" si="7"/>
        <v>#N/A</v>
      </c>
      <c r="F173" s="28" t="str">
        <f t="shared" ca="1" si="8"/>
        <v/>
      </c>
    </row>
    <row r="174" spans="2:6" x14ac:dyDescent="0.2">
      <c r="B174" t="str">
        <f>IFERROR(IF('PDCA review'!$D$2=Plan!B175,Plan!G175,""),"")</f>
        <v/>
      </c>
      <c r="C174">
        <f t="shared" si="6"/>
        <v>0</v>
      </c>
      <c r="D174">
        <f>SUM($C$3:C174)</f>
        <v>7</v>
      </c>
      <c r="E174" t="e">
        <f t="shared" si="7"/>
        <v>#N/A</v>
      </c>
      <c r="F174" s="28" t="str">
        <f t="shared" ca="1" si="8"/>
        <v/>
      </c>
    </row>
    <row r="175" spans="2:6" x14ac:dyDescent="0.2">
      <c r="B175" t="str">
        <f>IFERROR(IF('PDCA review'!$D$2=Plan!B176,Plan!G176,""),"")</f>
        <v/>
      </c>
      <c r="C175">
        <f t="shared" si="6"/>
        <v>0</v>
      </c>
      <c r="D175">
        <f>SUM($C$3:C175)</f>
        <v>7</v>
      </c>
      <c r="E175" t="e">
        <f t="shared" si="7"/>
        <v>#N/A</v>
      </c>
      <c r="F175" s="28" t="str">
        <f t="shared" ca="1" si="8"/>
        <v/>
      </c>
    </row>
    <row r="176" spans="2:6" x14ac:dyDescent="0.2">
      <c r="B176" t="str">
        <f>IFERROR(IF('PDCA review'!$D$2=Plan!B177,Plan!G177,""),"")</f>
        <v/>
      </c>
      <c r="C176">
        <f t="shared" si="6"/>
        <v>0</v>
      </c>
      <c r="D176">
        <f>SUM($C$3:C176)</f>
        <v>7</v>
      </c>
      <c r="E176" t="e">
        <f t="shared" si="7"/>
        <v>#N/A</v>
      </c>
      <c r="F176" s="28" t="str">
        <f t="shared" ca="1" si="8"/>
        <v/>
      </c>
    </row>
    <row r="177" spans="2:6" x14ac:dyDescent="0.2">
      <c r="B177" t="str">
        <f>IFERROR(IF('PDCA review'!$D$2=Plan!B178,Plan!G178,""),"")</f>
        <v/>
      </c>
      <c r="C177">
        <f t="shared" si="6"/>
        <v>0</v>
      </c>
      <c r="D177">
        <f>SUM($C$3:C177)</f>
        <v>7</v>
      </c>
      <c r="E177" t="e">
        <f t="shared" si="7"/>
        <v>#N/A</v>
      </c>
      <c r="F177" s="28" t="str">
        <f t="shared" ca="1" si="8"/>
        <v/>
      </c>
    </row>
    <row r="178" spans="2:6" x14ac:dyDescent="0.2">
      <c r="B178" t="str">
        <f>IFERROR(IF('PDCA review'!$D$2=Plan!B179,Plan!G179,""),"")</f>
        <v/>
      </c>
      <c r="C178">
        <f t="shared" si="6"/>
        <v>0</v>
      </c>
      <c r="D178">
        <f>SUM($C$3:C178)</f>
        <v>7</v>
      </c>
      <c r="E178" t="e">
        <f t="shared" si="7"/>
        <v>#N/A</v>
      </c>
      <c r="F178" s="28" t="str">
        <f t="shared" ca="1" si="8"/>
        <v/>
      </c>
    </row>
    <row r="179" spans="2:6" x14ac:dyDescent="0.2">
      <c r="B179" t="str">
        <f>IFERROR(IF('PDCA review'!$D$2=Plan!B180,Plan!G180,""),"")</f>
        <v/>
      </c>
      <c r="C179">
        <f t="shared" si="6"/>
        <v>0</v>
      </c>
      <c r="D179">
        <f>SUM($C$3:C179)</f>
        <v>7</v>
      </c>
      <c r="E179" t="e">
        <f t="shared" si="7"/>
        <v>#N/A</v>
      </c>
      <c r="F179" s="28" t="str">
        <f t="shared" ca="1" si="8"/>
        <v/>
      </c>
    </row>
    <row r="180" spans="2:6" x14ac:dyDescent="0.2">
      <c r="B180" t="str">
        <f>IFERROR(IF('PDCA review'!$D$2=Plan!B181,Plan!G181,""),"")</f>
        <v/>
      </c>
      <c r="C180">
        <f t="shared" si="6"/>
        <v>0</v>
      </c>
      <c r="D180">
        <f>SUM($C$3:C180)</f>
        <v>7</v>
      </c>
      <c r="E180" t="e">
        <f t="shared" si="7"/>
        <v>#N/A</v>
      </c>
      <c r="F180" s="28" t="str">
        <f t="shared" ca="1" si="8"/>
        <v/>
      </c>
    </row>
    <row r="181" spans="2:6" x14ac:dyDescent="0.2">
      <c r="B181" t="str">
        <f>IFERROR(IF('PDCA review'!$D$2=Plan!B182,Plan!G182,""),"")</f>
        <v/>
      </c>
      <c r="C181">
        <f t="shared" si="6"/>
        <v>0</v>
      </c>
      <c r="D181">
        <f>SUM($C$3:C181)</f>
        <v>7</v>
      </c>
      <c r="E181" t="e">
        <f t="shared" si="7"/>
        <v>#N/A</v>
      </c>
      <c r="F181" s="28" t="str">
        <f t="shared" ca="1" si="8"/>
        <v/>
      </c>
    </row>
    <row r="182" spans="2:6" x14ac:dyDescent="0.2">
      <c r="B182" t="str">
        <f>IFERROR(IF('PDCA review'!$D$2=Plan!B183,Plan!G183,""),"")</f>
        <v/>
      </c>
      <c r="C182">
        <f t="shared" si="6"/>
        <v>0</v>
      </c>
      <c r="D182">
        <f>SUM($C$3:C182)</f>
        <v>7</v>
      </c>
      <c r="E182" t="e">
        <f t="shared" si="7"/>
        <v>#N/A</v>
      </c>
      <c r="F182" s="28" t="str">
        <f t="shared" ca="1" si="8"/>
        <v/>
      </c>
    </row>
    <row r="183" spans="2:6" x14ac:dyDescent="0.2">
      <c r="B183" t="str">
        <f>IFERROR(IF('PDCA review'!$D$2=Plan!B184,Plan!G184,""),"")</f>
        <v/>
      </c>
      <c r="C183">
        <f t="shared" si="6"/>
        <v>0</v>
      </c>
      <c r="D183">
        <f>SUM($C$3:C183)</f>
        <v>7</v>
      </c>
      <c r="E183" t="e">
        <f t="shared" si="7"/>
        <v>#N/A</v>
      </c>
      <c r="F183" s="28" t="str">
        <f t="shared" ca="1" si="8"/>
        <v/>
      </c>
    </row>
    <row r="184" spans="2:6" x14ac:dyDescent="0.2">
      <c r="B184" t="str">
        <f>IFERROR(IF('PDCA review'!$D$2=Plan!B185,Plan!G185,""),"")</f>
        <v/>
      </c>
      <c r="C184">
        <f t="shared" si="6"/>
        <v>0</v>
      </c>
      <c r="D184">
        <f>SUM($C$3:C184)</f>
        <v>7</v>
      </c>
      <c r="E184" t="e">
        <f t="shared" si="7"/>
        <v>#N/A</v>
      </c>
      <c r="F184" s="28" t="str">
        <f t="shared" ca="1" si="8"/>
        <v/>
      </c>
    </row>
    <row r="185" spans="2:6" x14ac:dyDescent="0.2">
      <c r="B185" t="str">
        <f>IFERROR(IF('PDCA review'!$D$2=Plan!B186,Plan!G186,""),"")</f>
        <v/>
      </c>
      <c r="C185">
        <f t="shared" si="6"/>
        <v>0</v>
      </c>
      <c r="D185">
        <f>SUM($C$3:C185)</f>
        <v>7</v>
      </c>
      <c r="E185" t="e">
        <f t="shared" si="7"/>
        <v>#N/A</v>
      </c>
      <c r="F185" s="28" t="str">
        <f t="shared" ca="1" si="8"/>
        <v/>
      </c>
    </row>
    <row r="186" spans="2:6" x14ac:dyDescent="0.2">
      <c r="B186" t="str">
        <f>IFERROR(IF('PDCA review'!$D$2=Plan!B187,Plan!G187,""),"")</f>
        <v/>
      </c>
      <c r="C186">
        <f t="shared" si="6"/>
        <v>0</v>
      </c>
      <c r="D186">
        <f>SUM($C$3:C186)</f>
        <v>7</v>
      </c>
      <c r="E186" t="e">
        <f t="shared" si="7"/>
        <v>#N/A</v>
      </c>
      <c r="F186" s="28" t="str">
        <f t="shared" ca="1" si="8"/>
        <v/>
      </c>
    </row>
    <row r="187" spans="2:6" x14ac:dyDescent="0.2">
      <c r="B187" t="str">
        <f>IFERROR(IF('PDCA review'!$D$2=Plan!B188,Plan!G188,""),"")</f>
        <v/>
      </c>
      <c r="C187">
        <f t="shared" si="6"/>
        <v>0</v>
      </c>
      <c r="D187">
        <f>SUM($C$3:C187)</f>
        <v>7</v>
      </c>
      <c r="E187" t="e">
        <f t="shared" si="7"/>
        <v>#N/A</v>
      </c>
      <c r="F187" s="28" t="str">
        <f t="shared" ca="1" si="8"/>
        <v/>
      </c>
    </row>
    <row r="188" spans="2:6" x14ac:dyDescent="0.2">
      <c r="B188" t="str">
        <f>IFERROR(IF('PDCA review'!$D$2=Plan!B189,Plan!G189,""),"")</f>
        <v/>
      </c>
      <c r="C188">
        <f t="shared" si="6"/>
        <v>0</v>
      </c>
      <c r="D188">
        <f>SUM($C$3:C188)</f>
        <v>7</v>
      </c>
      <c r="E188" t="e">
        <f t="shared" si="7"/>
        <v>#N/A</v>
      </c>
      <c r="F188" s="28" t="str">
        <f t="shared" ca="1" si="8"/>
        <v/>
      </c>
    </row>
    <row r="189" spans="2:6" x14ac:dyDescent="0.2">
      <c r="B189" t="str">
        <f>IFERROR(IF('PDCA review'!$D$2=Plan!B190,Plan!G190,""),"")</f>
        <v/>
      </c>
      <c r="C189">
        <f t="shared" si="6"/>
        <v>0</v>
      </c>
      <c r="D189">
        <f>SUM($C$3:C189)</f>
        <v>7</v>
      </c>
      <c r="E189" t="e">
        <f t="shared" si="7"/>
        <v>#N/A</v>
      </c>
      <c r="F189" s="28" t="str">
        <f t="shared" ca="1" si="8"/>
        <v/>
      </c>
    </row>
    <row r="190" spans="2:6" x14ac:dyDescent="0.2">
      <c r="B190" t="str">
        <f>IFERROR(IF('PDCA review'!$D$2=Plan!B191,Plan!G191,""),"")</f>
        <v/>
      </c>
      <c r="C190">
        <f t="shared" si="6"/>
        <v>0</v>
      </c>
      <c r="D190">
        <f>SUM($C$3:C190)</f>
        <v>7</v>
      </c>
      <c r="E190" t="e">
        <f t="shared" si="7"/>
        <v>#N/A</v>
      </c>
      <c r="F190" s="28" t="str">
        <f t="shared" ca="1" si="8"/>
        <v/>
      </c>
    </row>
    <row r="191" spans="2:6" x14ac:dyDescent="0.2">
      <c r="B191" t="str">
        <f>IFERROR(IF('PDCA review'!$D$2=Plan!B192,Plan!G192,""),"")</f>
        <v/>
      </c>
      <c r="C191">
        <f t="shared" si="6"/>
        <v>0</v>
      </c>
      <c r="D191">
        <f>SUM($C$3:C191)</f>
        <v>7</v>
      </c>
      <c r="E191" t="e">
        <f t="shared" si="7"/>
        <v>#N/A</v>
      </c>
      <c r="F191" s="28" t="str">
        <f t="shared" ca="1" si="8"/>
        <v/>
      </c>
    </row>
    <row r="192" spans="2:6" x14ac:dyDescent="0.2">
      <c r="B192" t="str">
        <f>IFERROR(IF('PDCA review'!$D$2=Plan!B193,Plan!G193,""),"")</f>
        <v/>
      </c>
      <c r="C192">
        <f t="shared" si="6"/>
        <v>0</v>
      </c>
      <c r="D192">
        <f>SUM($C$3:C192)</f>
        <v>7</v>
      </c>
      <c r="E192" t="e">
        <f t="shared" si="7"/>
        <v>#N/A</v>
      </c>
      <c r="F192" s="28" t="str">
        <f t="shared" ca="1" si="8"/>
        <v/>
      </c>
    </row>
    <row r="193" spans="2:6" x14ac:dyDescent="0.2">
      <c r="B193" t="str">
        <f>IFERROR(IF('PDCA review'!$D$2=Plan!B194,Plan!G194,""),"")</f>
        <v/>
      </c>
      <c r="C193">
        <f t="shared" si="6"/>
        <v>0</v>
      </c>
      <c r="D193">
        <f>SUM($C$3:C193)</f>
        <v>7</v>
      </c>
      <c r="E193" t="e">
        <f t="shared" si="7"/>
        <v>#N/A</v>
      </c>
      <c r="F193" s="28" t="str">
        <f t="shared" ca="1" si="8"/>
        <v/>
      </c>
    </row>
    <row r="194" spans="2:6" x14ac:dyDescent="0.2">
      <c r="B194" t="str">
        <f>IFERROR(IF('PDCA review'!$D$2=Plan!B195,Plan!G195,""),"")</f>
        <v/>
      </c>
      <c r="C194">
        <f t="shared" si="6"/>
        <v>0</v>
      </c>
      <c r="D194">
        <f>SUM($C$3:C194)</f>
        <v>7</v>
      </c>
      <c r="E194" t="e">
        <f t="shared" si="7"/>
        <v>#N/A</v>
      </c>
      <c r="F194" s="28" t="str">
        <f t="shared" ca="1" si="8"/>
        <v/>
      </c>
    </row>
    <row r="195" spans="2:6" x14ac:dyDescent="0.2">
      <c r="B195" t="str">
        <f>IFERROR(IF('PDCA review'!$D$2=Plan!B196,Plan!G196,""),"")</f>
        <v/>
      </c>
      <c r="C195">
        <f t="shared" si="6"/>
        <v>0</v>
      </c>
      <c r="D195">
        <f>SUM($C$3:C195)</f>
        <v>7</v>
      </c>
      <c r="E195" t="e">
        <f t="shared" si="7"/>
        <v>#N/A</v>
      </c>
      <c r="F195" s="28" t="str">
        <f t="shared" ca="1" si="8"/>
        <v/>
      </c>
    </row>
    <row r="196" spans="2:6" x14ac:dyDescent="0.2">
      <c r="B196" t="str">
        <f>IFERROR(IF('PDCA review'!$D$2=Plan!B197,Plan!G197,""),"")</f>
        <v/>
      </c>
      <c r="C196">
        <f t="shared" ref="C196:C259" si="9">IF(B196&lt;&gt;"",1,0)</f>
        <v>0</v>
      </c>
      <c r="D196">
        <f>SUM($C$3:C196)</f>
        <v>7</v>
      </c>
      <c r="E196" t="e">
        <f t="shared" ref="E196:E259" si="10">MATCH(ROW()-$D$2,$D$3:$D$2000,0)+$D$2</f>
        <v>#N/A</v>
      </c>
      <c r="F196" s="28" t="str">
        <f t="shared" ref="F196:F259" ca="1" si="11">IFERROR(INDIRECT("B"&amp;E196),"")</f>
        <v/>
      </c>
    </row>
    <row r="197" spans="2:6" x14ac:dyDescent="0.2">
      <c r="B197" t="str">
        <f>IFERROR(IF('PDCA review'!$D$2=Plan!B198,Plan!G198,""),"")</f>
        <v/>
      </c>
      <c r="C197">
        <f t="shared" si="9"/>
        <v>0</v>
      </c>
      <c r="D197">
        <f>SUM($C$3:C197)</f>
        <v>7</v>
      </c>
      <c r="E197" t="e">
        <f t="shared" si="10"/>
        <v>#N/A</v>
      </c>
      <c r="F197" s="28" t="str">
        <f t="shared" ca="1" si="11"/>
        <v/>
      </c>
    </row>
    <row r="198" spans="2:6" x14ac:dyDescent="0.2">
      <c r="B198" t="str">
        <f>IFERROR(IF('PDCA review'!$D$2=Plan!B199,Plan!G199,""),"")</f>
        <v/>
      </c>
      <c r="C198">
        <f t="shared" si="9"/>
        <v>0</v>
      </c>
      <c r="D198">
        <f>SUM($C$3:C198)</f>
        <v>7</v>
      </c>
      <c r="E198" t="e">
        <f t="shared" si="10"/>
        <v>#N/A</v>
      </c>
      <c r="F198" s="28" t="str">
        <f t="shared" ca="1" si="11"/>
        <v/>
      </c>
    </row>
    <row r="199" spans="2:6" x14ac:dyDescent="0.2">
      <c r="B199" t="str">
        <f>IFERROR(IF('PDCA review'!$D$2=Plan!B200,Plan!G200,""),"")</f>
        <v/>
      </c>
      <c r="C199">
        <f t="shared" si="9"/>
        <v>0</v>
      </c>
      <c r="D199">
        <f>SUM($C$3:C199)</f>
        <v>7</v>
      </c>
      <c r="E199" t="e">
        <f t="shared" si="10"/>
        <v>#N/A</v>
      </c>
      <c r="F199" s="28" t="str">
        <f t="shared" ca="1" si="11"/>
        <v/>
      </c>
    </row>
    <row r="200" spans="2:6" x14ac:dyDescent="0.2">
      <c r="B200" t="str">
        <f>IFERROR(IF('PDCA review'!$D$2=Plan!B201,Plan!G201,""),"")</f>
        <v/>
      </c>
      <c r="C200">
        <f t="shared" si="9"/>
        <v>0</v>
      </c>
      <c r="D200">
        <f>SUM($C$3:C200)</f>
        <v>7</v>
      </c>
      <c r="E200" t="e">
        <f t="shared" si="10"/>
        <v>#N/A</v>
      </c>
      <c r="F200" s="28" t="str">
        <f t="shared" ca="1" si="11"/>
        <v/>
      </c>
    </row>
    <row r="201" spans="2:6" x14ac:dyDescent="0.2">
      <c r="B201" t="str">
        <f>IFERROR(IF('PDCA review'!$D$2=Plan!B202,Plan!G202,""),"")</f>
        <v/>
      </c>
      <c r="C201">
        <f t="shared" si="9"/>
        <v>0</v>
      </c>
      <c r="D201">
        <f>SUM($C$3:C201)</f>
        <v>7</v>
      </c>
      <c r="E201" t="e">
        <f t="shared" si="10"/>
        <v>#N/A</v>
      </c>
      <c r="F201" s="28" t="str">
        <f t="shared" ca="1" si="11"/>
        <v/>
      </c>
    </row>
    <row r="202" spans="2:6" x14ac:dyDescent="0.2">
      <c r="B202" t="str">
        <f>IFERROR(IF('PDCA review'!$D$2=Plan!B203,Plan!G203,""),"")</f>
        <v/>
      </c>
      <c r="C202">
        <f t="shared" si="9"/>
        <v>0</v>
      </c>
      <c r="D202">
        <f>SUM($C$3:C202)</f>
        <v>7</v>
      </c>
      <c r="E202" t="e">
        <f t="shared" si="10"/>
        <v>#N/A</v>
      </c>
      <c r="F202" s="28" t="str">
        <f t="shared" ca="1" si="11"/>
        <v/>
      </c>
    </row>
    <row r="203" spans="2:6" x14ac:dyDescent="0.2">
      <c r="B203" t="str">
        <f>IFERROR(IF('PDCA review'!$D$2=Plan!B204,Plan!G204,""),"")</f>
        <v/>
      </c>
      <c r="C203">
        <f t="shared" si="9"/>
        <v>0</v>
      </c>
      <c r="D203">
        <f>SUM($C$3:C203)</f>
        <v>7</v>
      </c>
      <c r="E203" t="e">
        <f t="shared" si="10"/>
        <v>#N/A</v>
      </c>
      <c r="F203" s="28" t="str">
        <f t="shared" ca="1" si="11"/>
        <v/>
      </c>
    </row>
    <row r="204" spans="2:6" x14ac:dyDescent="0.2">
      <c r="B204" t="str">
        <f>IFERROR(IF('PDCA review'!$D$2=Plan!B205,Plan!G205,""),"")</f>
        <v/>
      </c>
      <c r="C204">
        <f t="shared" si="9"/>
        <v>0</v>
      </c>
      <c r="D204">
        <f>SUM($C$3:C204)</f>
        <v>7</v>
      </c>
      <c r="E204" t="e">
        <f t="shared" si="10"/>
        <v>#N/A</v>
      </c>
      <c r="F204" s="28" t="str">
        <f t="shared" ca="1" si="11"/>
        <v/>
      </c>
    </row>
    <row r="205" spans="2:6" x14ac:dyDescent="0.2">
      <c r="B205" t="str">
        <f>IFERROR(IF('PDCA review'!$D$2=Plan!B206,Plan!G206,""),"")</f>
        <v/>
      </c>
      <c r="C205">
        <f t="shared" si="9"/>
        <v>0</v>
      </c>
      <c r="D205">
        <f>SUM($C$3:C205)</f>
        <v>7</v>
      </c>
      <c r="E205" t="e">
        <f t="shared" si="10"/>
        <v>#N/A</v>
      </c>
      <c r="F205" s="28" t="str">
        <f t="shared" ca="1" si="11"/>
        <v/>
      </c>
    </row>
    <row r="206" spans="2:6" x14ac:dyDescent="0.2">
      <c r="B206" t="str">
        <f>IFERROR(IF('PDCA review'!$D$2=Plan!B207,Plan!G207,""),"")</f>
        <v/>
      </c>
      <c r="C206">
        <f t="shared" si="9"/>
        <v>0</v>
      </c>
      <c r="D206">
        <f>SUM($C$3:C206)</f>
        <v>7</v>
      </c>
      <c r="E206" t="e">
        <f t="shared" si="10"/>
        <v>#N/A</v>
      </c>
      <c r="F206" s="28" t="str">
        <f t="shared" ca="1" si="11"/>
        <v/>
      </c>
    </row>
    <row r="207" spans="2:6" x14ac:dyDescent="0.2">
      <c r="B207" t="str">
        <f>IFERROR(IF('PDCA review'!$D$2=Plan!B208,Plan!G208,""),"")</f>
        <v/>
      </c>
      <c r="C207">
        <f t="shared" si="9"/>
        <v>0</v>
      </c>
      <c r="D207">
        <f>SUM($C$3:C207)</f>
        <v>7</v>
      </c>
      <c r="E207" t="e">
        <f t="shared" si="10"/>
        <v>#N/A</v>
      </c>
      <c r="F207" s="28" t="str">
        <f t="shared" ca="1" si="11"/>
        <v/>
      </c>
    </row>
    <row r="208" spans="2:6" x14ac:dyDescent="0.2">
      <c r="B208" t="str">
        <f>IFERROR(IF('PDCA review'!$D$2=Plan!B209,Plan!G209,""),"")</f>
        <v/>
      </c>
      <c r="C208">
        <f t="shared" si="9"/>
        <v>0</v>
      </c>
      <c r="D208">
        <f>SUM($C$3:C208)</f>
        <v>7</v>
      </c>
      <c r="E208" t="e">
        <f t="shared" si="10"/>
        <v>#N/A</v>
      </c>
      <c r="F208" s="28" t="str">
        <f t="shared" ca="1" si="11"/>
        <v/>
      </c>
    </row>
    <row r="209" spans="2:6" x14ac:dyDescent="0.2">
      <c r="B209" t="str">
        <f>IFERROR(IF('PDCA review'!$D$2=Plan!B210,Plan!G210,""),"")</f>
        <v/>
      </c>
      <c r="C209">
        <f t="shared" si="9"/>
        <v>0</v>
      </c>
      <c r="D209">
        <f>SUM($C$3:C209)</f>
        <v>7</v>
      </c>
      <c r="E209" t="e">
        <f t="shared" si="10"/>
        <v>#N/A</v>
      </c>
      <c r="F209" s="28" t="str">
        <f t="shared" ca="1" si="11"/>
        <v/>
      </c>
    </row>
    <row r="210" spans="2:6" x14ac:dyDescent="0.2">
      <c r="B210" t="str">
        <f>IFERROR(IF('PDCA review'!$D$2=Plan!B211,Plan!G211,""),"")</f>
        <v/>
      </c>
      <c r="C210">
        <f t="shared" si="9"/>
        <v>0</v>
      </c>
      <c r="D210">
        <f>SUM($C$3:C210)</f>
        <v>7</v>
      </c>
      <c r="E210" t="e">
        <f t="shared" si="10"/>
        <v>#N/A</v>
      </c>
      <c r="F210" s="28" t="str">
        <f t="shared" ca="1" si="11"/>
        <v/>
      </c>
    </row>
    <row r="211" spans="2:6" x14ac:dyDescent="0.2">
      <c r="B211" t="str">
        <f>IFERROR(IF('PDCA review'!$D$2=Plan!B212,Plan!G212,""),"")</f>
        <v/>
      </c>
      <c r="C211">
        <f t="shared" si="9"/>
        <v>0</v>
      </c>
      <c r="D211">
        <f>SUM($C$3:C211)</f>
        <v>7</v>
      </c>
      <c r="E211" t="e">
        <f t="shared" si="10"/>
        <v>#N/A</v>
      </c>
      <c r="F211" s="28" t="str">
        <f t="shared" ca="1" si="11"/>
        <v/>
      </c>
    </row>
    <row r="212" spans="2:6" x14ac:dyDescent="0.2">
      <c r="B212" t="str">
        <f>IFERROR(IF('PDCA review'!$D$2=Plan!B213,Plan!G213,""),"")</f>
        <v/>
      </c>
      <c r="C212">
        <f t="shared" si="9"/>
        <v>0</v>
      </c>
      <c r="D212">
        <f>SUM($C$3:C212)</f>
        <v>7</v>
      </c>
      <c r="E212" t="e">
        <f t="shared" si="10"/>
        <v>#N/A</v>
      </c>
      <c r="F212" s="28" t="str">
        <f t="shared" ca="1" si="11"/>
        <v/>
      </c>
    </row>
    <row r="213" spans="2:6" x14ac:dyDescent="0.2">
      <c r="B213" t="str">
        <f>IFERROR(IF('PDCA review'!$D$2=Plan!B214,Plan!G214,""),"")</f>
        <v/>
      </c>
      <c r="C213">
        <f t="shared" si="9"/>
        <v>0</v>
      </c>
      <c r="D213">
        <f>SUM($C$3:C213)</f>
        <v>7</v>
      </c>
      <c r="E213" t="e">
        <f t="shared" si="10"/>
        <v>#N/A</v>
      </c>
      <c r="F213" s="28" t="str">
        <f t="shared" ca="1" si="11"/>
        <v/>
      </c>
    </row>
    <row r="214" spans="2:6" x14ac:dyDescent="0.2">
      <c r="B214" t="str">
        <f>IFERROR(IF('PDCA review'!$D$2=Plan!B215,Plan!G215,""),"")</f>
        <v/>
      </c>
      <c r="C214">
        <f t="shared" si="9"/>
        <v>0</v>
      </c>
      <c r="D214">
        <f>SUM($C$3:C214)</f>
        <v>7</v>
      </c>
      <c r="E214" t="e">
        <f t="shared" si="10"/>
        <v>#N/A</v>
      </c>
      <c r="F214" s="28" t="str">
        <f t="shared" ca="1" si="11"/>
        <v/>
      </c>
    </row>
    <row r="215" spans="2:6" x14ac:dyDescent="0.2">
      <c r="B215" t="str">
        <f>IFERROR(IF('PDCA review'!$D$2=Plan!B216,Plan!G216,""),"")</f>
        <v/>
      </c>
      <c r="C215">
        <f t="shared" si="9"/>
        <v>0</v>
      </c>
      <c r="D215">
        <f>SUM($C$3:C215)</f>
        <v>7</v>
      </c>
      <c r="E215" t="e">
        <f t="shared" si="10"/>
        <v>#N/A</v>
      </c>
      <c r="F215" s="28" t="str">
        <f t="shared" ca="1" si="11"/>
        <v/>
      </c>
    </row>
    <row r="216" spans="2:6" x14ac:dyDescent="0.2">
      <c r="B216" t="str">
        <f>IFERROR(IF('PDCA review'!$D$2=Plan!B217,Plan!G217,""),"")</f>
        <v/>
      </c>
      <c r="C216">
        <f t="shared" si="9"/>
        <v>0</v>
      </c>
      <c r="D216">
        <f>SUM($C$3:C216)</f>
        <v>7</v>
      </c>
      <c r="E216" t="e">
        <f t="shared" si="10"/>
        <v>#N/A</v>
      </c>
      <c r="F216" s="28" t="str">
        <f t="shared" ca="1" si="11"/>
        <v/>
      </c>
    </row>
    <row r="217" spans="2:6" x14ac:dyDescent="0.2">
      <c r="B217" t="str">
        <f>IFERROR(IF('PDCA review'!$D$2=Plan!B218,Plan!G218,""),"")</f>
        <v/>
      </c>
      <c r="C217">
        <f t="shared" si="9"/>
        <v>0</v>
      </c>
      <c r="D217">
        <f>SUM($C$3:C217)</f>
        <v>7</v>
      </c>
      <c r="E217" t="e">
        <f t="shared" si="10"/>
        <v>#N/A</v>
      </c>
      <c r="F217" s="28" t="str">
        <f t="shared" ca="1" si="11"/>
        <v/>
      </c>
    </row>
    <row r="218" spans="2:6" x14ac:dyDescent="0.2">
      <c r="B218" t="str">
        <f>IFERROR(IF('PDCA review'!$D$2=Plan!B219,Plan!G219,""),"")</f>
        <v/>
      </c>
      <c r="C218">
        <f t="shared" si="9"/>
        <v>0</v>
      </c>
      <c r="D218">
        <f>SUM($C$3:C218)</f>
        <v>7</v>
      </c>
      <c r="E218" t="e">
        <f t="shared" si="10"/>
        <v>#N/A</v>
      </c>
      <c r="F218" s="28" t="str">
        <f t="shared" ca="1" si="11"/>
        <v/>
      </c>
    </row>
    <row r="219" spans="2:6" x14ac:dyDescent="0.2">
      <c r="B219" t="str">
        <f>IFERROR(IF('PDCA review'!$D$2=Plan!B220,Plan!G220,""),"")</f>
        <v/>
      </c>
      <c r="C219">
        <f t="shared" si="9"/>
        <v>0</v>
      </c>
      <c r="D219">
        <f>SUM($C$3:C219)</f>
        <v>7</v>
      </c>
      <c r="E219" t="e">
        <f t="shared" si="10"/>
        <v>#N/A</v>
      </c>
      <c r="F219" s="28" t="str">
        <f t="shared" ca="1" si="11"/>
        <v/>
      </c>
    </row>
    <row r="220" spans="2:6" x14ac:dyDescent="0.2">
      <c r="B220" t="str">
        <f>IFERROR(IF('PDCA review'!$D$2=Plan!B221,Plan!G221,""),"")</f>
        <v/>
      </c>
      <c r="C220">
        <f t="shared" si="9"/>
        <v>0</v>
      </c>
      <c r="D220">
        <f>SUM($C$3:C220)</f>
        <v>7</v>
      </c>
      <c r="E220" t="e">
        <f t="shared" si="10"/>
        <v>#N/A</v>
      </c>
      <c r="F220" s="28" t="str">
        <f t="shared" ca="1" si="11"/>
        <v/>
      </c>
    </row>
    <row r="221" spans="2:6" x14ac:dyDescent="0.2">
      <c r="B221" t="str">
        <f>IFERROR(IF('PDCA review'!$D$2=Plan!B222,Plan!G222,""),"")</f>
        <v/>
      </c>
      <c r="C221">
        <f t="shared" si="9"/>
        <v>0</v>
      </c>
      <c r="D221">
        <f>SUM($C$3:C221)</f>
        <v>7</v>
      </c>
      <c r="E221" t="e">
        <f t="shared" si="10"/>
        <v>#N/A</v>
      </c>
      <c r="F221" s="28" t="str">
        <f t="shared" ca="1" si="11"/>
        <v/>
      </c>
    </row>
    <row r="222" spans="2:6" x14ac:dyDescent="0.2">
      <c r="B222" t="str">
        <f>IFERROR(IF('PDCA review'!$D$2=Plan!B223,Plan!G223,""),"")</f>
        <v/>
      </c>
      <c r="C222">
        <f t="shared" si="9"/>
        <v>0</v>
      </c>
      <c r="D222">
        <f>SUM($C$3:C222)</f>
        <v>7</v>
      </c>
      <c r="E222" t="e">
        <f t="shared" si="10"/>
        <v>#N/A</v>
      </c>
      <c r="F222" s="28" t="str">
        <f t="shared" ca="1" si="11"/>
        <v/>
      </c>
    </row>
    <row r="223" spans="2:6" x14ac:dyDescent="0.2">
      <c r="B223" t="str">
        <f>IFERROR(IF('PDCA review'!$D$2=Plan!B224,Plan!G224,""),"")</f>
        <v/>
      </c>
      <c r="C223">
        <f t="shared" si="9"/>
        <v>0</v>
      </c>
      <c r="D223">
        <f>SUM($C$3:C223)</f>
        <v>7</v>
      </c>
      <c r="E223" t="e">
        <f t="shared" si="10"/>
        <v>#N/A</v>
      </c>
      <c r="F223" s="28" t="str">
        <f t="shared" ca="1" si="11"/>
        <v/>
      </c>
    </row>
    <row r="224" spans="2:6" x14ac:dyDescent="0.2">
      <c r="B224" t="str">
        <f>IFERROR(IF('PDCA review'!$D$2=Plan!B225,Plan!G225,""),"")</f>
        <v/>
      </c>
      <c r="C224">
        <f t="shared" si="9"/>
        <v>0</v>
      </c>
      <c r="D224">
        <f>SUM($C$3:C224)</f>
        <v>7</v>
      </c>
      <c r="E224" t="e">
        <f t="shared" si="10"/>
        <v>#N/A</v>
      </c>
      <c r="F224" s="28" t="str">
        <f t="shared" ca="1" si="11"/>
        <v/>
      </c>
    </row>
    <row r="225" spans="2:6" x14ac:dyDescent="0.2">
      <c r="B225" t="str">
        <f>IFERROR(IF('PDCA review'!$D$2=Plan!B226,Plan!G226,""),"")</f>
        <v/>
      </c>
      <c r="C225">
        <f t="shared" si="9"/>
        <v>0</v>
      </c>
      <c r="D225">
        <f>SUM($C$3:C225)</f>
        <v>7</v>
      </c>
      <c r="E225" t="e">
        <f t="shared" si="10"/>
        <v>#N/A</v>
      </c>
      <c r="F225" s="28" t="str">
        <f t="shared" ca="1" si="11"/>
        <v/>
      </c>
    </row>
    <row r="226" spans="2:6" x14ac:dyDescent="0.2">
      <c r="B226" t="str">
        <f>IFERROR(IF('PDCA review'!$D$2=Plan!B227,Plan!G227,""),"")</f>
        <v/>
      </c>
      <c r="C226">
        <f t="shared" si="9"/>
        <v>0</v>
      </c>
      <c r="D226">
        <f>SUM($C$3:C226)</f>
        <v>7</v>
      </c>
      <c r="E226" t="e">
        <f t="shared" si="10"/>
        <v>#N/A</v>
      </c>
      <c r="F226" s="28" t="str">
        <f t="shared" ca="1" si="11"/>
        <v/>
      </c>
    </row>
    <row r="227" spans="2:6" x14ac:dyDescent="0.2">
      <c r="B227" t="str">
        <f>IFERROR(IF('PDCA review'!$D$2=Plan!B228,Plan!G228,""),"")</f>
        <v/>
      </c>
      <c r="C227">
        <f t="shared" si="9"/>
        <v>0</v>
      </c>
      <c r="D227">
        <f>SUM($C$3:C227)</f>
        <v>7</v>
      </c>
      <c r="E227" t="e">
        <f t="shared" si="10"/>
        <v>#N/A</v>
      </c>
      <c r="F227" s="28" t="str">
        <f t="shared" ca="1" si="11"/>
        <v/>
      </c>
    </row>
    <row r="228" spans="2:6" x14ac:dyDescent="0.2">
      <c r="B228" t="str">
        <f>IFERROR(IF('PDCA review'!$D$2=Plan!B229,Plan!G229,""),"")</f>
        <v/>
      </c>
      <c r="C228">
        <f t="shared" si="9"/>
        <v>0</v>
      </c>
      <c r="D228">
        <f>SUM($C$3:C228)</f>
        <v>7</v>
      </c>
      <c r="E228" t="e">
        <f t="shared" si="10"/>
        <v>#N/A</v>
      </c>
      <c r="F228" s="28" t="str">
        <f t="shared" ca="1" si="11"/>
        <v/>
      </c>
    </row>
    <row r="229" spans="2:6" x14ac:dyDescent="0.2">
      <c r="B229" t="str">
        <f>IFERROR(IF('PDCA review'!$D$2=Plan!B230,Plan!G230,""),"")</f>
        <v/>
      </c>
      <c r="C229">
        <f t="shared" si="9"/>
        <v>0</v>
      </c>
      <c r="D229">
        <f>SUM($C$3:C229)</f>
        <v>7</v>
      </c>
      <c r="E229" t="e">
        <f t="shared" si="10"/>
        <v>#N/A</v>
      </c>
      <c r="F229" s="28" t="str">
        <f t="shared" ca="1" si="11"/>
        <v/>
      </c>
    </row>
    <row r="230" spans="2:6" x14ac:dyDescent="0.2">
      <c r="B230" t="str">
        <f>IFERROR(IF('PDCA review'!$D$2=Plan!B231,Plan!G231,""),"")</f>
        <v/>
      </c>
      <c r="C230">
        <f t="shared" si="9"/>
        <v>0</v>
      </c>
      <c r="D230">
        <f>SUM($C$3:C230)</f>
        <v>7</v>
      </c>
      <c r="E230" t="e">
        <f t="shared" si="10"/>
        <v>#N/A</v>
      </c>
      <c r="F230" s="28" t="str">
        <f t="shared" ca="1" si="11"/>
        <v/>
      </c>
    </row>
    <row r="231" spans="2:6" x14ac:dyDescent="0.2">
      <c r="B231" t="str">
        <f>IFERROR(IF('PDCA review'!$D$2=Plan!B232,Plan!G232,""),"")</f>
        <v/>
      </c>
      <c r="C231">
        <f t="shared" si="9"/>
        <v>0</v>
      </c>
      <c r="D231">
        <f>SUM($C$3:C231)</f>
        <v>7</v>
      </c>
      <c r="E231" t="e">
        <f t="shared" si="10"/>
        <v>#N/A</v>
      </c>
      <c r="F231" s="28" t="str">
        <f t="shared" ca="1" si="11"/>
        <v/>
      </c>
    </row>
    <row r="232" spans="2:6" x14ac:dyDescent="0.2">
      <c r="B232" t="str">
        <f>IFERROR(IF('PDCA review'!$D$2=Plan!B233,Plan!G233,""),"")</f>
        <v/>
      </c>
      <c r="C232">
        <f t="shared" si="9"/>
        <v>0</v>
      </c>
      <c r="D232">
        <f>SUM($C$3:C232)</f>
        <v>7</v>
      </c>
      <c r="E232" t="e">
        <f t="shared" si="10"/>
        <v>#N/A</v>
      </c>
      <c r="F232" s="28" t="str">
        <f t="shared" ca="1" si="11"/>
        <v/>
      </c>
    </row>
    <row r="233" spans="2:6" x14ac:dyDescent="0.2">
      <c r="B233" t="str">
        <f>IFERROR(IF('PDCA review'!$D$2=Plan!B234,Plan!G234,""),"")</f>
        <v/>
      </c>
      <c r="C233">
        <f t="shared" si="9"/>
        <v>0</v>
      </c>
      <c r="D233">
        <f>SUM($C$3:C233)</f>
        <v>7</v>
      </c>
      <c r="E233" t="e">
        <f t="shared" si="10"/>
        <v>#N/A</v>
      </c>
      <c r="F233" s="28" t="str">
        <f t="shared" ca="1" si="11"/>
        <v/>
      </c>
    </row>
    <row r="234" spans="2:6" x14ac:dyDescent="0.2">
      <c r="B234" t="str">
        <f>IFERROR(IF('PDCA review'!$D$2=Plan!B235,Plan!G235,""),"")</f>
        <v/>
      </c>
      <c r="C234">
        <f t="shared" si="9"/>
        <v>0</v>
      </c>
      <c r="D234">
        <f>SUM($C$3:C234)</f>
        <v>7</v>
      </c>
      <c r="E234" t="e">
        <f t="shared" si="10"/>
        <v>#N/A</v>
      </c>
      <c r="F234" s="28" t="str">
        <f t="shared" ca="1" si="11"/>
        <v/>
      </c>
    </row>
    <row r="235" spans="2:6" x14ac:dyDescent="0.2">
      <c r="B235" t="str">
        <f>IFERROR(IF('PDCA review'!$D$2=Plan!B236,Plan!G236,""),"")</f>
        <v/>
      </c>
      <c r="C235">
        <f t="shared" si="9"/>
        <v>0</v>
      </c>
      <c r="D235">
        <f>SUM($C$3:C235)</f>
        <v>7</v>
      </c>
      <c r="E235" t="e">
        <f t="shared" si="10"/>
        <v>#N/A</v>
      </c>
      <c r="F235" s="28" t="str">
        <f t="shared" ca="1" si="11"/>
        <v/>
      </c>
    </row>
    <row r="236" spans="2:6" x14ac:dyDescent="0.2">
      <c r="B236" t="str">
        <f>IFERROR(IF('PDCA review'!$D$2=Plan!B237,Plan!G237,""),"")</f>
        <v/>
      </c>
      <c r="C236">
        <f t="shared" si="9"/>
        <v>0</v>
      </c>
      <c r="D236">
        <f>SUM($C$3:C236)</f>
        <v>7</v>
      </c>
      <c r="E236" t="e">
        <f t="shared" si="10"/>
        <v>#N/A</v>
      </c>
      <c r="F236" s="28" t="str">
        <f t="shared" ca="1" si="11"/>
        <v/>
      </c>
    </row>
    <row r="237" spans="2:6" x14ac:dyDescent="0.2">
      <c r="B237" t="str">
        <f>IFERROR(IF('PDCA review'!$D$2=Plan!B238,Plan!G238,""),"")</f>
        <v/>
      </c>
      <c r="C237">
        <f t="shared" si="9"/>
        <v>0</v>
      </c>
      <c r="D237">
        <f>SUM($C$3:C237)</f>
        <v>7</v>
      </c>
      <c r="E237" t="e">
        <f t="shared" si="10"/>
        <v>#N/A</v>
      </c>
      <c r="F237" s="28" t="str">
        <f t="shared" ca="1" si="11"/>
        <v/>
      </c>
    </row>
    <row r="238" spans="2:6" x14ac:dyDescent="0.2">
      <c r="B238" t="str">
        <f>IFERROR(IF('PDCA review'!$D$2=Plan!B239,Plan!G239,""),"")</f>
        <v/>
      </c>
      <c r="C238">
        <f t="shared" si="9"/>
        <v>0</v>
      </c>
      <c r="D238">
        <f>SUM($C$3:C238)</f>
        <v>7</v>
      </c>
      <c r="E238" t="e">
        <f t="shared" si="10"/>
        <v>#N/A</v>
      </c>
      <c r="F238" s="28" t="str">
        <f t="shared" ca="1" si="11"/>
        <v/>
      </c>
    </row>
    <row r="239" spans="2:6" x14ac:dyDescent="0.2">
      <c r="B239" t="str">
        <f>IFERROR(IF('PDCA review'!$D$2=Plan!B240,Plan!G240,""),"")</f>
        <v/>
      </c>
      <c r="C239">
        <f t="shared" si="9"/>
        <v>0</v>
      </c>
      <c r="D239">
        <f>SUM($C$3:C239)</f>
        <v>7</v>
      </c>
      <c r="E239" t="e">
        <f t="shared" si="10"/>
        <v>#N/A</v>
      </c>
      <c r="F239" s="28" t="str">
        <f t="shared" ca="1" si="11"/>
        <v/>
      </c>
    </row>
    <row r="240" spans="2:6" x14ac:dyDescent="0.2">
      <c r="B240" t="str">
        <f>IFERROR(IF('PDCA review'!$D$2=Plan!B241,Plan!G241,""),"")</f>
        <v/>
      </c>
      <c r="C240">
        <f t="shared" si="9"/>
        <v>0</v>
      </c>
      <c r="D240">
        <f>SUM($C$3:C240)</f>
        <v>7</v>
      </c>
      <c r="E240" t="e">
        <f t="shared" si="10"/>
        <v>#N/A</v>
      </c>
      <c r="F240" s="28" t="str">
        <f t="shared" ca="1" si="11"/>
        <v/>
      </c>
    </row>
    <row r="241" spans="2:6" x14ac:dyDescent="0.2">
      <c r="B241" t="str">
        <f>IFERROR(IF('PDCA review'!$D$2=Plan!B242,Plan!G242,""),"")</f>
        <v/>
      </c>
      <c r="C241">
        <f t="shared" si="9"/>
        <v>0</v>
      </c>
      <c r="D241">
        <f>SUM($C$3:C241)</f>
        <v>7</v>
      </c>
      <c r="E241" t="e">
        <f t="shared" si="10"/>
        <v>#N/A</v>
      </c>
      <c r="F241" s="28" t="str">
        <f t="shared" ca="1" si="11"/>
        <v/>
      </c>
    </row>
    <row r="242" spans="2:6" x14ac:dyDescent="0.2">
      <c r="B242" t="str">
        <f>IFERROR(IF('PDCA review'!$D$2=Plan!B243,Plan!G243,""),"")</f>
        <v/>
      </c>
      <c r="C242">
        <f t="shared" si="9"/>
        <v>0</v>
      </c>
      <c r="D242">
        <f>SUM($C$3:C242)</f>
        <v>7</v>
      </c>
      <c r="E242" t="e">
        <f t="shared" si="10"/>
        <v>#N/A</v>
      </c>
      <c r="F242" s="28" t="str">
        <f t="shared" ca="1" si="11"/>
        <v/>
      </c>
    </row>
    <row r="243" spans="2:6" x14ac:dyDescent="0.2">
      <c r="B243" t="str">
        <f>IFERROR(IF('PDCA review'!$D$2=Plan!B244,Plan!G244,""),"")</f>
        <v/>
      </c>
      <c r="C243">
        <f t="shared" si="9"/>
        <v>0</v>
      </c>
      <c r="D243">
        <f>SUM($C$3:C243)</f>
        <v>7</v>
      </c>
      <c r="E243" t="e">
        <f t="shared" si="10"/>
        <v>#N/A</v>
      </c>
      <c r="F243" s="28" t="str">
        <f t="shared" ca="1" si="11"/>
        <v/>
      </c>
    </row>
    <row r="244" spans="2:6" x14ac:dyDescent="0.2">
      <c r="B244" t="str">
        <f>IFERROR(IF('PDCA review'!$D$2=Plan!B245,Plan!G245,""),"")</f>
        <v/>
      </c>
      <c r="C244">
        <f t="shared" si="9"/>
        <v>0</v>
      </c>
      <c r="D244">
        <f>SUM($C$3:C244)</f>
        <v>7</v>
      </c>
      <c r="E244" t="e">
        <f t="shared" si="10"/>
        <v>#N/A</v>
      </c>
      <c r="F244" s="28" t="str">
        <f t="shared" ca="1" si="11"/>
        <v/>
      </c>
    </row>
    <row r="245" spans="2:6" x14ac:dyDescent="0.2">
      <c r="B245" t="str">
        <f>IFERROR(IF('PDCA review'!$D$2=Plan!B246,Plan!G246,""),"")</f>
        <v/>
      </c>
      <c r="C245">
        <f t="shared" si="9"/>
        <v>0</v>
      </c>
      <c r="D245">
        <f>SUM($C$3:C245)</f>
        <v>7</v>
      </c>
      <c r="E245" t="e">
        <f t="shared" si="10"/>
        <v>#N/A</v>
      </c>
      <c r="F245" s="28" t="str">
        <f t="shared" ca="1" si="11"/>
        <v/>
      </c>
    </row>
    <row r="246" spans="2:6" x14ac:dyDescent="0.2">
      <c r="B246" t="str">
        <f>IFERROR(IF('PDCA review'!$D$2=Plan!B247,Plan!G247,""),"")</f>
        <v/>
      </c>
      <c r="C246">
        <f t="shared" si="9"/>
        <v>0</v>
      </c>
      <c r="D246">
        <f>SUM($C$3:C246)</f>
        <v>7</v>
      </c>
      <c r="E246" t="e">
        <f t="shared" si="10"/>
        <v>#N/A</v>
      </c>
      <c r="F246" s="28" t="str">
        <f t="shared" ca="1" si="11"/>
        <v/>
      </c>
    </row>
    <row r="247" spans="2:6" x14ac:dyDescent="0.2">
      <c r="B247" t="str">
        <f>IFERROR(IF('PDCA review'!$D$2=Plan!B248,Plan!G248,""),"")</f>
        <v/>
      </c>
      <c r="C247">
        <f t="shared" si="9"/>
        <v>0</v>
      </c>
      <c r="D247">
        <f>SUM($C$3:C247)</f>
        <v>7</v>
      </c>
      <c r="E247" t="e">
        <f t="shared" si="10"/>
        <v>#N/A</v>
      </c>
      <c r="F247" s="28" t="str">
        <f t="shared" ca="1" si="11"/>
        <v/>
      </c>
    </row>
    <row r="248" spans="2:6" x14ac:dyDescent="0.2">
      <c r="B248" t="str">
        <f>IFERROR(IF('PDCA review'!$D$2=Plan!B249,Plan!G249,""),"")</f>
        <v/>
      </c>
      <c r="C248">
        <f t="shared" si="9"/>
        <v>0</v>
      </c>
      <c r="D248">
        <f>SUM($C$3:C248)</f>
        <v>7</v>
      </c>
      <c r="E248" t="e">
        <f t="shared" si="10"/>
        <v>#N/A</v>
      </c>
      <c r="F248" s="28" t="str">
        <f t="shared" ca="1" si="11"/>
        <v/>
      </c>
    </row>
    <row r="249" spans="2:6" x14ac:dyDescent="0.2">
      <c r="B249" t="str">
        <f>IFERROR(IF('PDCA review'!$D$2=Plan!B250,Plan!G250,""),"")</f>
        <v/>
      </c>
      <c r="C249">
        <f t="shared" si="9"/>
        <v>0</v>
      </c>
      <c r="D249">
        <f>SUM($C$3:C249)</f>
        <v>7</v>
      </c>
      <c r="E249" t="e">
        <f t="shared" si="10"/>
        <v>#N/A</v>
      </c>
      <c r="F249" s="28" t="str">
        <f t="shared" ca="1" si="11"/>
        <v/>
      </c>
    </row>
    <row r="250" spans="2:6" x14ac:dyDescent="0.2">
      <c r="B250" t="str">
        <f>IFERROR(IF('PDCA review'!$D$2=Plan!B251,Plan!G251,""),"")</f>
        <v/>
      </c>
      <c r="C250">
        <f t="shared" si="9"/>
        <v>0</v>
      </c>
      <c r="D250">
        <f>SUM($C$3:C250)</f>
        <v>7</v>
      </c>
      <c r="E250" t="e">
        <f t="shared" si="10"/>
        <v>#N/A</v>
      </c>
      <c r="F250" s="28" t="str">
        <f t="shared" ca="1" si="11"/>
        <v/>
      </c>
    </row>
    <row r="251" spans="2:6" x14ac:dyDescent="0.2">
      <c r="B251" t="str">
        <f>IFERROR(IF('PDCA review'!$D$2=Plan!B252,Plan!G252,""),"")</f>
        <v/>
      </c>
      <c r="C251">
        <f t="shared" si="9"/>
        <v>0</v>
      </c>
      <c r="D251">
        <f>SUM($C$3:C251)</f>
        <v>7</v>
      </c>
      <c r="E251" t="e">
        <f t="shared" si="10"/>
        <v>#N/A</v>
      </c>
      <c r="F251" s="28" t="str">
        <f t="shared" ca="1" si="11"/>
        <v/>
      </c>
    </row>
    <row r="252" spans="2:6" x14ac:dyDescent="0.2">
      <c r="B252" t="str">
        <f>IFERROR(IF('PDCA review'!$D$2=Plan!B253,Plan!G253,""),"")</f>
        <v/>
      </c>
      <c r="C252">
        <f t="shared" si="9"/>
        <v>0</v>
      </c>
      <c r="D252">
        <f>SUM($C$3:C252)</f>
        <v>7</v>
      </c>
      <c r="E252" t="e">
        <f t="shared" si="10"/>
        <v>#N/A</v>
      </c>
      <c r="F252" s="28" t="str">
        <f t="shared" ca="1" si="11"/>
        <v/>
      </c>
    </row>
    <row r="253" spans="2:6" x14ac:dyDescent="0.2">
      <c r="B253" t="str">
        <f>IFERROR(IF('PDCA review'!$D$2=Plan!B254,Plan!G254,""),"")</f>
        <v/>
      </c>
      <c r="C253">
        <f t="shared" si="9"/>
        <v>0</v>
      </c>
      <c r="D253">
        <f>SUM($C$3:C253)</f>
        <v>7</v>
      </c>
      <c r="E253" t="e">
        <f t="shared" si="10"/>
        <v>#N/A</v>
      </c>
      <c r="F253" s="28" t="str">
        <f t="shared" ca="1" si="11"/>
        <v/>
      </c>
    </row>
    <row r="254" spans="2:6" x14ac:dyDescent="0.2">
      <c r="B254" t="str">
        <f>IFERROR(IF('PDCA review'!$D$2=Plan!B255,Plan!G255,""),"")</f>
        <v/>
      </c>
      <c r="C254">
        <f t="shared" si="9"/>
        <v>0</v>
      </c>
      <c r="D254">
        <f>SUM($C$3:C254)</f>
        <v>7</v>
      </c>
      <c r="E254" t="e">
        <f t="shared" si="10"/>
        <v>#N/A</v>
      </c>
      <c r="F254" s="28" t="str">
        <f t="shared" ca="1" si="11"/>
        <v/>
      </c>
    </row>
    <row r="255" spans="2:6" x14ac:dyDescent="0.2">
      <c r="B255" t="str">
        <f>IFERROR(IF('PDCA review'!$D$2=Plan!B256,Plan!G256,""),"")</f>
        <v/>
      </c>
      <c r="C255">
        <f t="shared" si="9"/>
        <v>0</v>
      </c>
      <c r="D255">
        <f>SUM($C$3:C255)</f>
        <v>7</v>
      </c>
      <c r="E255" t="e">
        <f t="shared" si="10"/>
        <v>#N/A</v>
      </c>
      <c r="F255" s="28" t="str">
        <f t="shared" ca="1" si="11"/>
        <v/>
      </c>
    </row>
    <row r="256" spans="2:6" x14ac:dyDescent="0.2">
      <c r="B256" t="str">
        <f>IFERROR(IF('PDCA review'!$D$2=Plan!B257,Plan!G257,""),"")</f>
        <v/>
      </c>
      <c r="C256">
        <f t="shared" si="9"/>
        <v>0</v>
      </c>
      <c r="D256">
        <f>SUM($C$3:C256)</f>
        <v>7</v>
      </c>
      <c r="E256" t="e">
        <f t="shared" si="10"/>
        <v>#N/A</v>
      </c>
      <c r="F256" s="28" t="str">
        <f t="shared" ca="1" si="11"/>
        <v/>
      </c>
    </row>
    <row r="257" spans="2:6" x14ac:dyDescent="0.2">
      <c r="B257" t="str">
        <f>IFERROR(IF('PDCA review'!$D$2=Plan!B258,Plan!G258,""),"")</f>
        <v/>
      </c>
      <c r="C257">
        <f t="shared" si="9"/>
        <v>0</v>
      </c>
      <c r="D257">
        <f>SUM($C$3:C257)</f>
        <v>7</v>
      </c>
      <c r="E257" t="e">
        <f t="shared" si="10"/>
        <v>#N/A</v>
      </c>
      <c r="F257" s="28" t="str">
        <f t="shared" ca="1" si="11"/>
        <v/>
      </c>
    </row>
    <row r="258" spans="2:6" x14ac:dyDescent="0.2">
      <c r="B258" t="str">
        <f>IFERROR(IF('PDCA review'!$D$2=Plan!B259,Plan!G259,""),"")</f>
        <v/>
      </c>
      <c r="C258">
        <f t="shared" si="9"/>
        <v>0</v>
      </c>
      <c r="D258">
        <f>SUM($C$3:C258)</f>
        <v>7</v>
      </c>
      <c r="E258" t="e">
        <f t="shared" si="10"/>
        <v>#N/A</v>
      </c>
      <c r="F258" s="28" t="str">
        <f t="shared" ca="1" si="11"/>
        <v/>
      </c>
    </row>
    <row r="259" spans="2:6" x14ac:dyDescent="0.2">
      <c r="B259" t="str">
        <f>IFERROR(IF('PDCA review'!$D$2=Plan!B260,Plan!G260,""),"")</f>
        <v/>
      </c>
      <c r="C259">
        <f t="shared" si="9"/>
        <v>0</v>
      </c>
      <c r="D259">
        <f>SUM($C$3:C259)</f>
        <v>7</v>
      </c>
      <c r="E259" t="e">
        <f t="shared" si="10"/>
        <v>#N/A</v>
      </c>
      <c r="F259" s="28" t="str">
        <f t="shared" ca="1" si="11"/>
        <v/>
      </c>
    </row>
    <row r="260" spans="2:6" x14ac:dyDescent="0.2">
      <c r="B260" t="str">
        <f>IFERROR(IF('PDCA review'!$D$2=Plan!B261,Plan!G261,""),"")</f>
        <v/>
      </c>
      <c r="C260">
        <f t="shared" ref="C260:C323" si="12">IF(B260&lt;&gt;"",1,0)</f>
        <v>0</v>
      </c>
      <c r="D260">
        <f>SUM($C$3:C260)</f>
        <v>7</v>
      </c>
      <c r="E260" t="e">
        <f t="shared" ref="E260:E323" si="13">MATCH(ROW()-$D$2,$D$3:$D$2000,0)+$D$2</f>
        <v>#N/A</v>
      </c>
      <c r="F260" s="28" t="str">
        <f t="shared" ref="F260:F323" ca="1" si="14">IFERROR(INDIRECT("B"&amp;E260),"")</f>
        <v/>
      </c>
    </row>
    <row r="261" spans="2:6" x14ac:dyDescent="0.2">
      <c r="B261" t="str">
        <f>IFERROR(IF('PDCA review'!$D$2=Plan!B262,Plan!G262,""),"")</f>
        <v/>
      </c>
      <c r="C261">
        <f t="shared" si="12"/>
        <v>0</v>
      </c>
      <c r="D261">
        <f>SUM($C$3:C261)</f>
        <v>7</v>
      </c>
      <c r="E261" t="e">
        <f t="shared" si="13"/>
        <v>#N/A</v>
      </c>
      <c r="F261" s="28" t="str">
        <f t="shared" ca="1" si="14"/>
        <v/>
      </c>
    </row>
    <row r="262" spans="2:6" x14ac:dyDescent="0.2">
      <c r="B262" t="str">
        <f>IFERROR(IF('PDCA review'!$D$2=Plan!B263,Plan!G263,""),"")</f>
        <v/>
      </c>
      <c r="C262">
        <f t="shared" si="12"/>
        <v>0</v>
      </c>
      <c r="D262">
        <f>SUM($C$3:C262)</f>
        <v>7</v>
      </c>
      <c r="E262" t="e">
        <f t="shared" si="13"/>
        <v>#N/A</v>
      </c>
      <c r="F262" s="28" t="str">
        <f t="shared" ca="1" si="14"/>
        <v/>
      </c>
    </row>
    <row r="263" spans="2:6" x14ac:dyDescent="0.2">
      <c r="B263" t="str">
        <f>IFERROR(IF('PDCA review'!$D$2=Plan!B264,Plan!G264,""),"")</f>
        <v/>
      </c>
      <c r="C263">
        <f t="shared" si="12"/>
        <v>0</v>
      </c>
      <c r="D263">
        <f>SUM($C$3:C263)</f>
        <v>7</v>
      </c>
      <c r="E263" t="e">
        <f t="shared" si="13"/>
        <v>#N/A</v>
      </c>
      <c r="F263" s="28" t="str">
        <f t="shared" ca="1" si="14"/>
        <v/>
      </c>
    </row>
    <row r="264" spans="2:6" x14ac:dyDescent="0.2">
      <c r="B264" t="str">
        <f>IFERROR(IF('PDCA review'!$D$2=Plan!B265,Plan!G265,""),"")</f>
        <v/>
      </c>
      <c r="C264">
        <f t="shared" si="12"/>
        <v>0</v>
      </c>
      <c r="D264">
        <f>SUM($C$3:C264)</f>
        <v>7</v>
      </c>
      <c r="E264" t="e">
        <f t="shared" si="13"/>
        <v>#N/A</v>
      </c>
      <c r="F264" s="28" t="str">
        <f t="shared" ca="1" si="14"/>
        <v/>
      </c>
    </row>
    <row r="265" spans="2:6" x14ac:dyDescent="0.2">
      <c r="B265" t="str">
        <f>IFERROR(IF('PDCA review'!$D$2=Plan!B266,Plan!G266,""),"")</f>
        <v/>
      </c>
      <c r="C265">
        <f t="shared" si="12"/>
        <v>0</v>
      </c>
      <c r="D265">
        <f>SUM($C$3:C265)</f>
        <v>7</v>
      </c>
      <c r="E265" t="e">
        <f t="shared" si="13"/>
        <v>#N/A</v>
      </c>
      <c r="F265" s="28" t="str">
        <f t="shared" ca="1" si="14"/>
        <v/>
      </c>
    </row>
    <row r="266" spans="2:6" x14ac:dyDescent="0.2">
      <c r="B266" t="str">
        <f>IFERROR(IF('PDCA review'!$D$2=Plan!B267,Plan!G267,""),"")</f>
        <v/>
      </c>
      <c r="C266">
        <f t="shared" si="12"/>
        <v>0</v>
      </c>
      <c r="D266">
        <f>SUM($C$3:C266)</f>
        <v>7</v>
      </c>
      <c r="E266" t="e">
        <f t="shared" si="13"/>
        <v>#N/A</v>
      </c>
      <c r="F266" s="28" t="str">
        <f t="shared" ca="1" si="14"/>
        <v/>
      </c>
    </row>
    <row r="267" spans="2:6" x14ac:dyDescent="0.2">
      <c r="B267" t="str">
        <f>IFERROR(IF('PDCA review'!$D$2=Plan!B268,Plan!G268,""),"")</f>
        <v/>
      </c>
      <c r="C267">
        <f t="shared" si="12"/>
        <v>0</v>
      </c>
      <c r="D267">
        <f>SUM($C$3:C267)</f>
        <v>7</v>
      </c>
      <c r="E267" t="e">
        <f t="shared" si="13"/>
        <v>#N/A</v>
      </c>
      <c r="F267" s="28" t="str">
        <f t="shared" ca="1" si="14"/>
        <v/>
      </c>
    </row>
    <row r="268" spans="2:6" x14ac:dyDescent="0.2">
      <c r="B268" t="str">
        <f>IFERROR(IF('PDCA review'!$D$2=Plan!B269,Plan!G269,""),"")</f>
        <v/>
      </c>
      <c r="C268">
        <f t="shared" si="12"/>
        <v>0</v>
      </c>
      <c r="D268">
        <f>SUM($C$3:C268)</f>
        <v>7</v>
      </c>
      <c r="E268" t="e">
        <f t="shared" si="13"/>
        <v>#N/A</v>
      </c>
      <c r="F268" s="28" t="str">
        <f t="shared" ca="1" si="14"/>
        <v/>
      </c>
    </row>
    <row r="269" spans="2:6" x14ac:dyDescent="0.2">
      <c r="B269" t="str">
        <f>IFERROR(IF('PDCA review'!$D$2=Plan!B270,Plan!G270,""),"")</f>
        <v/>
      </c>
      <c r="C269">
        <f t="shared" si="12"/>
        <v>0</v>
      </c>
      <c r="D269">
        <f>SUM($C$3:C269)</f>
        <v>7</v>
      </c>
      <c r="E269" t="e">
        <f t="shared" si="13"/>
        <v>#N/A</v>
      </c>
      <c r="F269" s="28" t="str">
        <f t="shared" ca="1" si="14"/>
        <v/>
      </c>
    </row>
    <row r="270" spans="2:6" x14ac:dyDescent="0.2">
      <c r="B270" t="str">
        <f>IFERROR(IF('PDCA review'!$D$2=Plan!B271,Plan!G271,""),"")</f>
        <v/>
      </c>
      <c r="C270">
        <f t="shared" si="12"/>
        <v>0</v>
      </c>
      <c r="D270">
        <f>SUM($C$3:C270)</f>
        <v>7</v>
      </c>
      <c r="E270" t="e">
        <f t="shared" si="13"/>
        <v>#N/A</v>
      </c>
      <c r="F270" s="28" t="str">
        <f t="shared" ca="1" si="14"/>
        <v/>
      </c>
    </row>
    <row r="271" spans="2:6" x14ac:dyDescent="0.2">
      <c r="B271" t="str">
        <f>IFERROR(IF('PDCA review'!$D$2=Plan!B272,Plan!G272,""),"")</f>
        <v/>
      </c>
      <c r="C271">
        <f t="shared" si="12"/>
        <v>0</v>
      </c>
      <c r="D271">
        <f>SUM($C$3:C271)</f>
        <v>7</v>
      </c>
      <c r="E271" t="e">
        <f t="shared" si="13"/>
        <v>#N/A</v>
      </c>
      <c r="F271" s="28" t="str">
        <f t="shared" ca="1" si="14"/>
        <v/>
      </c>
    </row>
    <row r="272" spans="2:6" x14ac:dyDescent="0.2">
      <c r="B272" t="str">
        <f>IFERROR(IF('PDCA review'!$D$2=Plan!B273,Plan!G273,""),"")</f>
        <v/>
      </c>
      <c r="C272">
        <f t="shared" si="12"/>
        <v>0</v>
      </c>
      <c r="D272">
        <f>SUM($C$3:C272)</f>
        <v>7</v>
      </c>
      <c r="E272" t="e">
        <f t="shared" si="13"/>
        <v>#N/A</v>
      </c>
      <c r="F272" s="28" t="str">
        <f t="shared" ca="1" si="14"/>
        <v/>
      </c>
    </row>
    <row r="273" spans="2:6" x14ac:dyDescent="0.2">
      <c r="B273" t="str">
        <f>IFERROR(IF('PDCA review'!$D$2=Plan!B274,Plan!G274,""),"")</f>
        <v/>
      </c>
      <c r="C273">
        <f t="shared" si="12"/>
        <v>0</v>
      </c>
      <c r="D273">
        <f>SUM($C$3:C273)</f>
        <v>7</v>
      </c>
      <c r="E273" t="e">
        <f t="shared" si="13"/>
        <v>#N/A</v>
      </c>
      <c r="F273" s="28" t="str">
        <f t="shared" ca="1" si="14"/>
        <v/>
      </c>
    </row>
    <row r="274" spans="2:6" x14ac:dyDescent="0.2">
      <c r="B274" t="str">
        <f>IFERROR(IF('PDCA review'!$D$2=Plan!B275,Plan!G275,""),"")</f>
        <v/>
      </c>
      <c r="C274">
        <f t="shared" si="12"/>
        <v>0</v>
      </c>
      <c r="D274">
        <f>SUM($C$3:C274)</f>
        <v>7</v>
      </c>
      <c r="E274" t="e">
        <f t="shared" si="13"/>
        <v>#N/A</v>
      </c>
      <c r="F274" s="28" t="str">
        <f t="shared" ca="1" si="14"/>
        <v/>
      </c>
    </row>
    <row r="275" spans="2:6" x14ac:dyDescent="0.2">
      <c r="B275" t="str">
        <f>IFERROR(IF('PDCA review'!$D$2=Plan!B276,Plan!G276,""),"")</f>
        <v/>
      </c>
      <c r="C275">
        <f t="shared" si="12"/>
        <v>0</v>
      </c>
      <c r="D275">
        <f>SUM($C$3:C275)</f>
        <v>7</v>
      </c>
      <c r="E275" t="e">
        <f t="shared" si="13"/>
        <v>#N/A</v>
      </c>
      <c r="F275" s="28" t="str">
        <f t="shared" ca="1" si="14"/>
        <v/>
      </c>
    </row>
    <row r="276" spans="2:6" x14ac:dyDescent="0.2">
      <c r="B276" t="str">
        <f>IFERROR(IF('PDCA review'!$D$2=Plan!B277,Plan!G277,""),"")</f>
        <v/>
      </c>
      <c r="C276">
        <f t="shared" si="12"/>
        <v>0</v>
      </c>
      <c r="D276">
        <f>SUM($C$3:C276)</f>
        <v>7</v>
      </c>
      <c r="E276" t="e">
        <f t="shared" si="13"/>
        <v>#N/A</v>
      </c>
      <c r="F276" s="28" t="str">
        <f t="shared" ca="1" si="14"/>
        <v/>
      </c>
    </row>
    <row r="277" spans="2:6" x14ac:dyDescent="0.2">
      <c r="B277" t="str">
        <f>IFERROR(IF('PDCA review'!$D$2=Plan!B278,Plan!G278,""),"")</f>
        <v/>
      </c>
      <c r="C277">
        <f t="shared" si="12"/>
        <v>0</v>
      </c>
      <c r="D277">
        <f>SUM($C$3:C277)</f>
        <v>7</v>
      </c>
      <c r="E277" t="e">
        <f t="shared" si="13"/>
        <v>#N/A</v>
      </c>
      <c r="F277" s="28" t="str">
        <f t="shared" ca="1" si="14"/>
        <v/>
      </c>
    </row>
    <row r="278" spans="2:6" x14ac:dyDescent="0.2">
      <c r="B278" t="str">
        <f>IFERROR(IF('PDCA review'!$D$2=Plan!B279,Plan!G279,""),"")</f>
        <v/>
      </c>
      <c r="C278">
        <f t="shared" si="12"/>
        <v>0</v>
      </c>
      <c r="D278">
        <f>SUM($C$3:C278)</f>
        <v>7</v>
      </c>
      <c r="E278" t="e">
        <f t="shared" si="13"/>
        <v>#N/A</v>
      </c>
      <c r="F278" s="28" t="str">
        <f t="shared" ca="1" si="14"/>
        <v/>
      </c>
    </row>
    <row r="279" spans="2:6" x14ac:dyDescent="0.2">
      <c r="B279" t="str">
        <f>IFERROR(IF('PDCA review'!$D$2=Plan!B280,Plan!G280,""),"")</f>
        <v/>
      </c>
      <c r="C279">
        <f t="shared" si="12"/>
        <v>0</v>
      </c>
      <c r="D279">
        <f>SUM($C$3:C279)</f>
        <v>7</v>
      </c>
      <c r="E279" t="e">
        <f t="shared" si="13"/>
        <v>#N/A</v>
      </c>
      <c r="F279" s="28" t="str">
        <f t="shared" ca="1" si="14"/>
        <v/>
      </c>
    </row>
    <row r="280" spans="2:6" x14ac:dyDescent="0.2">
      <c r="B280" t="str">
        <f>IFERROR(IF('PDCA review'!$D$2=Plan!B281,Plan!G281,""),"")</f>
        <v/>
      </c>
      <c r="C280">
        <f t="shared" si="12"/>
        <v>0</v>
      </c>
      <c r="D280">
        <f>SUM($C$3:C280)</f>
        <v>7</v>
      </c>
      <c r="E280" t="e">
        <f t="shared" si="13"/>
        <v>#N/A</v>
      </c>
      <c r="F280" s="28" t="str">
        <f t="shared" ca="1" si="14"/>
        <v/>
      </c>
    </row>
    <row r="281" spans="2:6" x14ac:dyDescent="0.2">
      <c r="B281" t="str">
        <f>IFERROR(IF('PDCA review'!$D$2=Plan!B282,Plan!G282,""),"")</f>
        <v/>
      </c>
      <c r="C281">
        <f t="shared" si="12"/>
        <v>0</v>
      </c>
      <c r="D281">
        <f>SUM($C$3:C281)</f>
        <v>7</v>
      </c>
      <c r="E281" t="e">
        <f t="shared" si="13"/>
        <v>#N/A</v>
      </c>
      <c r="F281" s="28" t="str">
        <f t="shared" ca="1" si="14"/>
        <v/>
      </c>
    </row>
    <row r="282" spans="2:6" x14ac:dyDescent="0.2">
      <c r="B282" t="str">
        <f>IFERROR(IF('PDCA review'!$D$2=Plan!B283,Plan!G283,""),"")</f>
        <v/>
      </c>
      <c r="C282">
        <f t="shared" si="12"/>
        <v>0</v>
      </c>
      <c r="D282">
        <f>SUM($C$3:C282)</f>
        <v>7</v>
      </c>
      <c r="E282" t="e">
        <f t="shared" si="13"/>
        <v>#N/A</v>
      </c>
      <c r="F282" s="28" t="str">
        <f t="shared" ca="1" si="14"/>
        <v/>
      </c>
    </row>
    <row r="283" spans="2:6" x14ac:dyDescent="0.2">
      <c r="B283" t="str">
        <f>IFERROR(IF('PDCA review'!$D$2=Plan!B284,Plan!G284,""),"")</f>
        <v/>
      </c>
      <c r="C283">
        <f t="shared" si="12"/>
        <v>0</v>
      </c>
      <c r="D283">
        <f>SUM($C$3:C283)</f>
        <v>7</v>
      </c>
      <c r="E283" t="e">
        <f t="shared" si="13"/>
        <v>#N/A</v>
      </c>
      <c r="F283" s="28" t="str">
        <f t="shared" ca="1" si="14"/>
        <v/>
      </c>
    </row>
    <row r="284" spans="2:6" x14ac:dyDescent="0.2">
      <c r="B284" t="str">
        <f>IFERROR(IF('PDCA review'!$D$2=Plan!B285,Plan!G285,""),"")</f>
        <v/>
      </c>
      <c r="C284">
        <f t="shared" si="12"/>
        <v>0</v>
      </c>
      <c r="D284">
        <f>SUM($C$3:C284)</f>
        <v>7</v>
      </c>
      <c r="E284" t="e">
        <f t="shared" si="13"/>
        <v>#N/A</v>
      </c>
      <c r="F284" s="28" t="str">
        <f t="shared" ca="1" si="14"/>
        <v/>
      </c>
    </row>
    <row r="285" spans="2:6" x14ac:dyDescent="0.2">
      <c r="B285" t="str">
        <f>IFERROR(IF('PDCA review'!$D$2=Plan!B286,Plan!G286,""),"")</f>
        <v/>
      </c>
      <c r="C285">
        <f t="shared" si="12"/>
        <v>0</v>
      </c>
      <c r="D285">
        <f>SUM($C$3:C285)</f>
        <v>7</v>
      </c>
      <c r="E285" t="e">
        <f t="shared" si="13"/>
        <v>#N/A</v>
      </c>
      <c r="F285" s="28" t="str">
        <f t="shared" ca="1" si="14"/>
        <v/>
      </c>
    </row>
    <row r="286" spans="2:6" x14ac:dyDescent="0.2">
      <c r="B286" t="str">
        <f>IFERROR(IF('PDCA review'!$D$2=Plan!B287,Plan!G287,""),"")</f>
        <v/>
      </c>
      <c r="C286">
        <f t="shared" si="12"/>
        <v>0</v>
      </c>
      <c r="D286">
        <f>SUM($C$3:C286)</f>
        <v>7</v>
      </c>
      <c r="E286" t="e">
        <f t="shared" si="13"/>
        <v>#N/A</v>
      </c>
      <c r="F286" s="28" t="str">
        <f t="shared" ca="1" si="14"/>
        <v/>
      </c>
    </row>
    <row r="287" spans="2:6" x14ac:dyDescent="0.2">
      <c r="B287" t="str">
        <f>IFERROR(IF('PDCA review'!$D$2=Plan!B288,Plan!G288,""),"")</f>
        <v/>
      </c>
      <c r="C287">
        <f t="shared" si="12"/>
        <v>0</v>
      </c>
      <c r="D287">
        <f>SUM($C$3:C287)</f>
        <v>7</v>
      </c>
      <c r="E287" t="e">
        <f t="shared" si="13"/>
        <v>#N/A</v>
      </c>
      <c r="F287" s="28" t="str">
        <f t="shared" ca="1" si="14"/>
        <v/>
      </c>
    </row>
    <row r="288" spans="2:6" x14ac:dyDescent="0.2">
      <c r="B288" t="str">
        <f>IFERROR(IF('PDCA review'!$D$2=Plan!B289,Plan!G289,""),"")</f>
        <v/>
      </c>
      <c r="C288">
        <f t="shared" si="12"/>
        <v>0</v>
      </c>
      <c r="D288">
        <f>SUM($C$3:C288)</f>
        <v>7</v>
      </c>
      <c r="E288" t="e">
        <f t="shared" si="13"/>
        <v>#N/A</v>
      </c>
      <c r="F288" s="28" t="str">
        <f t="shared" ca="1" si="14"/>
        <v/>
      </c>
    </row>
    <row r="289" spans="2:6" x14ac:dyDescent="0.2">
      <c r="B289" t="str">
        <f>IFERROR(IF('PDCA review'!$D$2=Plan!B290,Plan!G290,""),"")</f>
        <v/>
      </c>
      <c r="C289">
        <f t="shared" si="12"/>
        <v>0</v>
      </c>
      <c r="D289">
        <f>SUM($C$3:C289)</f>
        <v>7</v>
      </c>
      <c r="E289" t="e">
        <f t="shared" si="13"/>
        <v>#N/A</v>
      </c>
      <c r="F289" s="28" t="str">
        <f t="shared" ca="1" si="14"/>
        <v/>
      </c>
    </row>
    <row r="290" spans="2:6" x14ac:dyDescent="0.2">
      <c r="B290" t="str">
        <f>IFERROR(IF('PDCA review'!$D$2=Plan!B291,Plan!G291,""),"")</f>
        <v/>
      </c>
      <c r="C290">
        <f t="shared" si="12"/>
        <v>0</v>
      </c>
      <c r="D290">
        <f>SUM($C$3:C290)</f>
        <v>7</v>
      </c>
      <c r="E290" t="e">
        <f t="shared" si="13"/>
        <v>#N/A</v>
      </c>
      <c r="F290" s="28" t="str">
        <f t="shared" ca="1" si="14"/>
        <v/>
      </c>
    </row>
    <row r="291" spans="2:6" x14ac:dyDescent="0.2">
      <c r="B291" t="str">
        <f>IFERROR(IF('PDCA review'!$D$2=Plan!B292,Plan!G292,""),"")</f>
        <v/>
      </c>
      <c r="C291">
        <f t="shared" si="12"/>
        <v>0</v>
      </c>
      <c r="D291">
        <f>SUM($C$3:C291)</f>
        <v>7</v>
      </c>
      <c r="E291" t="e">
        <f t="shared" si="13"/>
        <v>#N/A</v>
      </c>
      <c r="F291" s="28" t="str">
        <f t="shared" ca="1" si="14"/>
        <v/>
      </c>
    </row>
    <row r="292" spans="2:6" x14ac:dyDescent="0.2">
      <c r="B292" t="str">
        <f>IFERROR(IF('PDCA review'!$D$2=Plan!B293,Plan!G293,""),"")</f>
        <v/>
      </c>
      <c r="C292">
        <f t="shared" si="12"/>
        <v>0</v>
      </c>
      <c r="D292">
        <f>SUM($C$3:C292)</f>
        <v>7</v>
      </c>
      <c r="E292" t="e">
        <f t="shared" si="13"/>
        <v>#N/A</v>
      </c>
      <c r="F292" s="28" t="str">
        <f t="shared" ca="1" si="14"/>
        <v/>
      </c>
    </row>
    <row r="293" spans="2:6" x14ac:dyDescent="0.2">
      <c r="B293" t="str">
        <f>IFERROR(IF('PDCA review'!$D$2=Plan!B294,Plan!G294,""),"")</f>
        <v/>
      </c>
      <c r="C293">
        <f t="shared" si="12"/>
        <v>0</v>
      </c>
      <c r="D293">
        <f>SUM($C$3:C293)</f>
        <v>7</v>
      </c>
      <c r="E293" t="e">
        <f t="shared" si="13"/>
        <v>#N/A</v>
      </c>
      <c r="F293" s="28" t="str">
        <f t="shared" ca="1" si="14"/>
        <v/>
      </c>
    </row>
    <row r="294" spans="2:6" x14ac:dyDescent="0.2">
      <c r="B294" t="str">
        <f>IFERROR(IF('PDCA review'!$D$2=Plan!B295,Plan!G295,""),"")</f>
        <v/>
      </c>
      <c r="C294">
        <f t="shared" si="12"/>
        <v>0</v>
      </c>
      <c r="D294">
        <f>SUM($C$3:C294)</f>
        <v>7</v>
      </c>
      <c r="E294" t="e">
        <f t="shared" si="13"/>
        <v>#N/A</v>
      </c>
      <c r="F294" s="28" t="str">
        <f t="shared" ca="1" si="14"/>
        <v/>
      </c>
    </row>
    <row r="295" spans="2:6" x14ac:dyDescent="0.2">
      <c r="B295" t="str">
        <f>IFERROR(IF('PDCA review'!$D$2=Plan!B296,Plan!G296,""),"")</f>
        <v/>
      </c>
      <c r="C295">
        <f t="shared" si="12"/>
        <v>0</v>
      </c>
      <c r="D295">
        <f>SUM($C$3:C295)</f>
        <v>7</v>
      </c>
      <c r="E295" t="e">
        <f t="shared" si="13"/>
        <v>#N/A</v>
      </c>
      <c r="F295" s="28" t="str">
        <f t="shared" ca="1" si="14"/>
        <v/>
      </c>
    </row>
    <row r="296" spans="2:6" x14ac:dyDescent="0.2">
      <c r="B296" t="str">
        <f>IFERROR(IF('PDCA review'!$D$2=Plan!B297,Plan!G297,""),"")</f>
        <v/>
      </c>
      <c r="C296">
        <f t="shared" si="12"/>
        <v>0</v>
      </c>
      <c r="D296">
        <f>SUM($C$3:C296)</f>
        <v>7</v>
      </c>
      <c r="E296" t="e">
        <f t="shared" si="13"/>
        <v>#N/A</v>
      </c>
      <c r="F296" s="28" t="str">
        <f t="shared" ca="1" si="14"/>
        <v/>
      </c>
    </row>
    <row r="297" spans="2:6" x14ac:dyDescent="0.2">
      <c r="B297" t="str">
        <f>IFERROR(IF('PDCA review'!$D$2=Plan!B298,Plan!G298,""),"")</f>
        <v/>
      </c>
      <c r="C297">
        <f t="shared" si="12"/>
        <v>0</v>
      </c>
      <c r="D297">
        <f>SUM($C$3:C297)</f>
        <v>7</v>
      </c>
      <c r="E297" t="e">
        <f t="shared" si="13"/>
        <v>#N/A</v>
      </c>
      <c r="F297" s="28" t="str">
        <f t="shared" ca="1" si="14"/>
        <v/>
      </c>
    </row>
    <row r="298" spans="2:6" x14ac:dyDescent="0.2">
      <c r="B298" t="str">
        <f>IFERROR(IF('PDCA review'!$D$2=Plan!B299,Plan!G299,""),"")</f>
        <v/>
      </c>
      <c r="C298">
        <f t="shared" si="12"/>
        <v>0</v>
      </c>
      <c r="D298">
        <f>SUM($C$3:C298)</f>
        <v>7</v>
      </c>
      <c r="E298" t="e">
        <f t="shared" si="13"/>
        <v>#N/A</v>
      </c>
      <c r="F298" s="28" t="str">
        <f t="shared" ca="1" si="14"/>
        <v/>
      </c>
    </row>
    <row r="299" spans="2:6" x14ac:dyDescent="0.2">
      <c r="B299" t="str">
        <f>IFERROR(IF('PDCA review'!$D$2=Plan!B300,Plan!G300,""),"")</f>
        <v/>
      </c>
      <c r="C299">
        <f t="shared" si="12"/>
        <v>0</v>
      </c>
      <c r="D299">
        <f>SUM($C$3:C299)</f>
        <v>7</v>
      </c>
      <c r="E299" t="e">
        <f t="shared" si="13"/>
        <v>#N/A</v>
      </c>
      <c r="F299" s="28" t="str">
        <f t="shared" ca="1" si="14"/>
        <v/>
      </c>
    </row>
    <row r="300" spans="2:6" x14ac:dyDescent="0.2">
      <c r="B300" t="str">
        <f>IFERROR(IF('PDCA review'!$D$2=Plan!B301,Plan!G301,""),"")</f>
        <v/>
      </c>
      <c r="C300">
        <f t="shared" si="12"/>
        <v>0</v>
      </c>
      <c r="D300">
        <f>SUM($C$3:C300)</f>
        <v>7</v>
      </c>
      <c r="E300" t="e">
        <f t="shared" si="13"/>
        <v>#N/A</v>
      </c>
      <c r="F300" s="28" t="str">
        <f t="shared" ca="1" si="14"/>
        <v/>
      </c>
    </row>
    <row r="301" spans="2:6" x14ac:dyDescent="0.2">
      <c r="B301" t="str">
        <f>IFERROR(IF('PDCA review'!$D$2=Plan!B302,Plan!G302,""),"")</f>
        <v/>
      </c>
      <c r="C301">
        <f t="shared" si="12"/>
        <v>0</v>
      </c>
      <c r="D301">
        <f>SUM($C$3:C301)</f>
        <v>7</v>
      </c>
      <c r="E301" t="e">
        <f t="shared" si="13"/>
        <v>#N/A</v>
      </c>
      <c r="F301" s="28" t="str">
        <f t="shared" ca="1" si="14"/>
        <v/>
      </c>
    </row>
    <row r="302" spans="2:6" x14ac:dyDescent="0.2">
      <c r="B302" t="str">
        <f>IFERROR(IF('PDCA review'!$D$2=Plan!B303,Plan!G303,""),"")</f>
        <v/>
      </c>
      <c r="C302">
        <f t="shared" si="12"/>
        <v>0</v>
      </c>
      <c r="D302">
        <f>SUM($C$3:C302)</f>
        <v>7</v>
      </c>
      <c r="E302" t="e">
        <f t="shared" si="13"/>
        <v>#N/A</v>
      </c>
      <c r="F302" s="28" t="str">
        <f t="shared" ca="1" si="14"/>
        <v/>
      </c>
    </row>
    <row r="303" spans="2:6" x14ac:dyDescent="0.2">
      <c r="B303" t="str">
        <f>IFERROR(IF('PDCA review'!$D$2=Plan!B304,Plan!G304,""),"")</f>
        <v/>
      </c>
      <c r="C303">
        <f t="shared" si="12"/>
        <v>0</v>
      </c>
      <c r="D303">
        <f>SUM($C$3:C303)</f>
        <v>7</v>
      </c>
      <c r="E303" t="e">
        <f t="shared" si="13"/>
        <v>#N/A</v>
      </c>
      <c r="F303" s="28" t="str">
        <f t="shared" ca="1" si="14"/>
        <v/>
      </c>
    </row>
    <row r="304" spans="2:6" x14ac:dyDescent="0.2">
      <c r="B304" t="str">
        <f>IFERROR(IF('PDCA review'!$D$2=Plan!B305,Plan!G305,""),"")</f>
        <v/>
      </c>
      <c r="C304">
        <f t="shared" si="12"/>
        <v>0</v>
      </c>
      <c r="D304">
        <f>SUM($C$3:C304)</f>
        <v>7</v>
      </c>
      <c r="E304" t="e">
        <f t="shared" si="13"/>
        <v>#N/A</v>
      </c>
      <c r="F304" s="28" t="str">
        <f t="shared" ca="1" si="14"/>
        <v/>
      </c>
    </row>
    <row r="305" spans="2:6" x14ac:dyDescent="0.2">
      <c r="B305" t="str">
        <f>IFERROR(IF('PDCA review'!$D$2=Plan!B306,Plan!G306,""),"")</f>
        <v/>
      </c>
      <c r="C305">
        <f t="shared" si="12"/>
        <v>0</v>
      </c>
      <c r="D305">
        <f>SUM($C$3:C305)</f>
        <v>7</v>
      </c>
      <c r="E305" t="e">
        <f t="shared" si="13"/>
        <v>#N/A</v>
      </c>
      <c r="F305" s="28" t="str">
        <f t="shared" ca="1" si="14"/>
        <v/>
      </c>
    </row>
    <row r="306" spans="2:6" x14ac:dyDescent="0.2">
      <c r="B306" t="str">
        <f>IFERROR(IF('PDCA review'!$D$2=Plan!B307,Plan!G307,""),"")</f>
        <v/>
      </c>
      <c r="C306">
        <f t="shared" si="12"/>
        <v>0</v>
      </c>
      <c r="D306">
        <f>SUM($C$3:C306)</f>
        <v>7</v>
      </c>
      <c r="E306" t="e">
        <f t="shared" si="13"/>
        <v>#N/A</v>
      </c>
      <c r="F306" s="28" t="str">
        <f t="shared" ca="1" si="14"/>
        <v/>
      </c>
    </row>
    <row r="307" spans="2:6" x14ac:dyDescent="0.2">
      <c r="B307" t="str">
        <f>IFERROR(IF('PDCA review'!$D$2=Plan!B308,Plan!G308,""),"")</f>
        <v/>
      </c>
      <c r="C307">
        <f t="shared" si="12"/>
        <v>0</v>
      </c>
      <c r="D307">
        <f>SUM($C$3:C307)</f>
        <v>7</v>
      </c>
      <c r="E307" t="e">
        <f t="shared" si="13"/>
        <v>#N/A</v>
      </c>
      <c r="F307" s="28" t="str">
        <f t="shared" ca="1" si="14"/>
        <v/>
      </c>
    </row>
    <row r="308" spans="2:6" x14ac:dyDescent="0.2">
      <c r="B308" t="str">
        <f>IFERROR(IF('PDCA review'!$D$2=Plan!B309,Plan!G309,""),"")</f>
        <v/>
      </c>
      <c r="C308">
        <f t="shared" si="12"/>
        <v>0</v>
      </c>
      <c r="D308">
        <f>SUM($C$3:C308)</f>
        <v>7</v>
      </c>
      <c r="E308" t="e">
        <f t="shared" si="13"/>
        <v>#N/A</v>
      </c>
      <c r="F308" s="28" t="str">
        <f t="shared" ca="1" si="14"/>
        <v/>
      </c>
    </row>
    <row r="309" spans="2:6" x14ac:dyDescent="0.2">
      <c r="B309" t="str">
        <f>IFERROR(IF('PDCA review'!$D$2=Plan!B310,Plan!G310,""),"")</f>
        <v/>
      </c>
      <c r="C309">
        <f t="shared" si="12"/>
        <v>0</v>
      </c>
      <c r="D309">
        <f>SUM($C$3:C309)</f>
        <v>7</v>
      </c>
      <c r="E309" t="e">
        <f t="shared" si="13"/>
        <v>#N/A</v>
      </c>
      <c r="F309" s="28" t="str">
        <f t="shared" ca="1" si="14"/>
        <v/>
      </c>
    </row>
    <row r="310" spans="2:6" x14ac:dyDescent="0.2">
      <c r="B310" t="str">
        <f>IFERROR(IF('PDCA review'!$D$2=Plan!B311,Plan!G311,""),"")</f>
        <v/>
      </c>
      <c r="C310">
        <f t="shared" si="12"/>
        <v>0</v>
      </c>
      <c r="D310">
        <f>SUM($C$3:C310)</f>
        <v>7</v>
      </c>
      <c r="E310" t="e">
        <f t="shared" si="13"/>
        <v>#N/A</v>
      </c>
      <c r="F310" s="28" t="str">
        <f t="shared" ca="1" si="14"/>
        <v/>
      </c>
    </row>
    <row r="311" spans="2:6" x14ac:dyDescent="0.2">
      <c r="B311" t="str">
        <f>IFERROR(IF('PDCA review'!$D$2=Plan!B312,Plan!G312,""),"")</f>
        <v/>
      </c>
      <c r="C311">
        <f t="shared" si="12"/>
        <v>0</v>
      </c>
      <c r="D311">
        <f>SUM($C$3:C311)</f>
        <v>7</v>
      </c>
      <c r="E311" t="e">
        <f t="shared" si="13"/>
        <v>#N/A</v>
      </c>
      <c r="F311" s="28" t="str">
        <f t="shared" ca="1" si="14"/>
        <v/>
      </c>
    </row>
    <row r="312" spans="2:6" x14ac:dyDescent="0.2">
      <c r="B312" t="str">
        <f>IFERROR(IF('PDCA review'!$D$2=Plan!B313,Plan!G313,""),"")</f>
        <v/>
      </c>
      <c r="C312">
        <f t="shared" si="12"/>
        <v>0</v>
      </c>
      <c r="D312">
        <f>SUM($C$3:C312)</f>
        <v>7</v>
      </c>
      <c r="E312" t="e">
        <f t="shared" si="13"/>
        <v>#N/A</v>
      </c>
      <c r="F312" s="28" t="str">
        <f t="shared" ca="1" si="14"/>
        <v/>
      </c>
    </row>
    <row r="313" spans="2:6" x14ac:dyDescent="0.2">
      <c r="B313" t="str">
        <f>IFERROR(IF('PDCA review'!$D$2=Plan!B314,Plan!G314,""),"")</f>
        <v/>
      </c>
      <c r="C313">
        <f t="shared" si="12"/>
        <v>0</v>
      </c>
      <c r="D313">
        <f>SUM($C$3:C313)</f>
        <v>7</v>
      </c>
      <c r="E313" t="e">
        <f t="shared" si="13"/>
        <v>#N/A</v>
      </c>
      <c r="F313" s="28" t="str">
        <f t="shared" ca="1" si="14"/>
        <v/>
      </c>
    </row>
    <row r="314" spans="2:6" x14ac:dyDescent="0.2">
      <c r="B314" t="str">
        <f>IFERROR(IF('PDCA review'!$D$2=Plan!B315,Plan!G315,""),"")</f>
        <v/>
      </c>
      <c r="C314">
        <f t="shared" si="12"/>
        <v>0</v>
      </c>
      <c r="D314">
        <f>SUM($C$3:C314)</f>
        <v>7</v>
      </c>
      <c r="E314" t="e">
        <f t="shared" si="13"/>
        <v>#N/A</v>
      </c>
      <c r="F314" s="28" t="str">
        <f t="shared" ca="1" si="14"/>
        <v/>
      </c>
    </row>
    <row r="315" spans="2:6" x14ac:dyDescent="0.2">
      <c r="B315" t="str">
        <f>IFERROR(IF('PDCA review'!$D$2=Plan!B316,Plan!G316,""),"")</f>
        <v/>
      </c>
      <c r="C315">
        <f t="shared" si="12"/>
        <v>0</v>
      </c>
      <c r="D315">
        <f>SUM($C$3:C315)</f>
        <v>7</v>
      </c>
      <c r="E315" t="e">
        <f t="shared" si="13"/>
        <v>#N/A</v>
      </c>
      <c r="F315" s="28" t="str">
        <f t="shared" ca="1" si="14"/>
        <v/>
      </c>
    </row>
    <row r="316" spans="2:6" x14ac:dyDescent="0.2">
      <c r="B316" t="str">
        <f>IFERROR(IF('PDCA review'!$D$2=Plan!B317,Plan!G317,""),"")</f>
        <v/>
      </c>
      <c r="C316">
        <f t="shared" si="12"/>
        <v>0</v>
      </c>
      <c r="D316">
        <f>SUM($C$3:C316)</f>
        <v>7</v>
      </c>
      <c r="E316" t="e">
        <f t="shared" si="13"/>
        <v>#N/A</v>
      </c>
      <c r="F316" s="28" t="str">
        <f t="shared" ca="1" si="14"/>
        <v/>
      </c>
    </row>
    <row r="317" spans="2:6" x14ac:dyDescent="0.2">
      <c r="B317" t="str">
        <f>IFERROR(IF('PDCA review'!$D$2=Plan!B318,Plan!G318,""),"")</f>
        <v/>
      </c>
      <c r="C317">
        <f t="shared" si="12"/>
        <v>0</v>
      </c>
      <c r="D317">
        <f>SUM($C$3:C317)</f>
        <v>7</v>
      </c>
      <c r="E317" t="e">
        <f t="shared" si="13"/>
        <v>#N/A</v>
      </c>
      <c r="F317" s="28" t="str">
        <f t="shared" ca="1" si="14"/>
        <v/>
      </c>
    </row>
    <row r="318" spans="2:6" x14ac:dyDescent="0.2">
      <c r="B318" t="str">
        <f>IFERROR(IF('PDCA review'!$D$2=Plan!B319,Plan!G319,""),"")</f>
        <v/>
      </c>
      <c r="C318">
        <f t="shared" si="12"/>
        <v>0</v>
      </c>
      <c r="D318">
        <f>SUM($C$3:C318)</f>
        <v>7</v>
      </c>
      <c r="E318" t="e">
        <f t="shared" si="13"/>
        <v>#N/A</v>
      </c>
      <c r="F318" s="28" t="str">
        <f t="shared" ca="1" si="14"/>
        <v/>
      </c>
    </row>
    <row r="319" spans="2:6" x14ac:dyDescent="0.2">
      <c r="B319" t="str">
        <f>IFERROR(IF('PDCA review'!$D$2=Plan!B320,Plan!G320,""),"")</f>
        <v/>
      </c>
      <c r="C319">
        <f t="shared" si="12"/>
        <v>0</v>
      </c>
      <c r="D319">
        <f>SUM($C$3:C319)</f>
        <v>7</v>
      </c>
      <c r="E319" t="e">
        <f t="shared" si="13"/>
        <v>#N/A</v>
      </c>
      <c r="F319" s="28" t="str">
        <f t="shared" ca="1" si="14"/>
        <v/>
      </c>
    </row>
    <row r="320" spans="2:6" x14ac:dyDescent="0.2">
      <c r="B320" t="str">
        <f>IFERROR(IF('PDCA review'!$D$2=Plan!B321,Plan!G321,""),"")</f>
        <v/>
      </c>
      <c r="C320">
        <f t="shared" si="12"/>
        <v>0</v>
      </c>
      <c r="D320">
        <f>SUM($C$3:C320)</f>
        <v>7</v>
      </c>
      <c r="E320" t="e">
        <f t="shared" si="13"/>
        <v>#N/A</v>
      </c>
      <c r="F320" s="28" t="str">
        <f t="shared" ca="1" si="14"/>
        <v/>
      </c>
    </row>
    <row r="321" spans="2:6" x14ac:dyDescent="0.2">
      <c r="B321" t="str">
        <f>IFERROR(IF('PDCA review'!$D$2=Plan!B322,Plan!G322,""),"")</f>
        <v/>
      </c>
      <c r="C321">
        <f t="shared" si="12"/>
        <v>0</v>
      </c>
      <c r="D321">
        <f>SUM($C$3:C321)</f>
        <v>7</v>
      </c>
      <c r="E321" t="e">
        <f t="shared" si="13"/>
        <v>#N/A</v>
      </c>
      <c r="F321" s="28" t="str">
        <f t="shared" ca="1" si="14"/>
        <v/>
      </c>
    </row>
    <row r="322" spans="2:6" x14ac:dyDescent="0.2">
      <c r="B322" t="str">
        <f>IFERROR(IF('PDCA review'!$D$2=Plan!B323,Plan!G323,""),"")</f>
        <v/>
      </c>
      <c r="C322">
        <f t="shared" si="12"/>
        <v>0</v>
      </c>
      <c r="D322">
        <f>SUM($C$3:C322)</f>
        <v>7</v>
      </c>
      <c r="E322" t="e">
        <f t="shared" si="13"/>
        <v>#N/A</v>
      </c>
      <c r="F322" s="28" t="str">
        <f t="shared" ca="1" si="14"/>
        <v/>
      </c>
    </row>
    <row r="323" spans="2:6" x14ac:dyDescent="0.2">
      <c r="B323" t="str">
        <f>IFERROR(IF('PDCA review'!$D$2=Plan!B324,Plan!G324,""),"")</f>
        <v/>
      </c>
      <c r="C323">
        <f t="shared" si="12"/>
        <v>0</v>
      </c>
      <c r="D323">
        <f>SUM($C$3:C323)</f>
        <v>7</v>
      </c>
      <c r="E323" t="e">
        <f t="shared" si="13"/>
        <v>#N/A</v>
      </c>
      <c r="F323" s="28" t="str">
        <f t="shared" ca="1" si="14"/>
        <v/>
      </c>
    </row>
    <row r="324" spans="2:6" x14ac:dyDescent="0.2">
      <c r="B324" t="str">
        <f>IFERROR(IF('PDCA review'!$D$2=Plan!B325,Plan!G325,""),"")</f>
        <v/>
      </c>
      <c r="C324">
        <f t="shared" ref="C324:C387" si="15">IF(B324&lt;&gt;"",1,0)</f>
        <v>0</v>
      </c>
      <c r="D324">
        <f>SUM($C$3:C324)</f>
        <v>7</v>
      </c>
      <c r="E324" t="e">
        <f t="shared" ref="E324:E387" si="16">MATCH(ROW()-$D$2,$D$3:$D$2000,0)+$D$2</f>
        <v>#N/A</v>
      </c>
      <c r="F324" s="28" t="str">
        <f t="shared" ref="F324:F387" ca="1" si="17">IFERROR(INDIRECT("B"&amp;E324),"")</f>
        <v/>
      </c>
    </row>
    <row r="325" spans="2:6" x14ac:dyDescent="0.2">
      <c r="B325" t="str">
        <f>IFERROR(IF('PDCA review'!$D$2=Plan!B326,Plan!G326,""),"")</f>
        <v/>
      </c>
      <c r="C325">
        <f t="shared" si="15"/>
        <v>0</v>
      </c>
      <c r="D325">
        <f>SUM($C$3:C325)</f>
        <v>7</v>
      </c>
      <c r="E325" t="e">
        <f t="shared" si="16"/>
        <v>#N/A</v>
      </c>
      <c r="F325" s="28" t="str">
        <f t="shared" ca="1" si="17"/>
        <v/>
      </c>
    </row>
    <row r="326" spans="2:6" x14ac:dyDescent="0.2">
      <c r="B326" t="str">
        <f>IFERROR(IF('PDCA review'!$D$2=Plan!B327,Plan!G327,""),"")</f>
        <v/>
      </c>
      <c r="C326">
        <f t="shared" si="15"/>
        <v>0</v>
      </c>
      <c r="D326">
        <f>SUM($C$3:C326)</f>
        <v>7</v>
      </c>
      <c r="E326" t="e">
        <f t="shared" si="16"/>
        <v>#N/A</v>
      </c>
      <c r="F326" s="28" t="str">
        <f t="shared" ca="1" si="17"/>
        <v/>
      </c>
    </row>
    <row r="327" spans="2:6" x14ac:dyDescent="0.2">
      <c r="B327" t="str">
        <f>IFERROR(IF('PDCA review'!$D$2=Plan!B328,Plan!G328,""),"")</f>
        <v/>
      </c>
      <c r="C327">
        <f t="shared" si="15"/>
        <v>0</v>
      </c>
      <c r="D327">
        <f>SUM($C$3:C327)</f>
        <v>7</v>
      </c>
      <c r="E327" t="e">
        <f t="shared" si="16"/>
        <v>#N/A</v>
      </c>
      <c r="F327" s="28" t="str">
        <f t="shared" ca="1" si="17"/>
        <v/>
      </c>
    </row>
    <row r="328" spans="2:6" x14ac:dyDescent="0.2">
      <c r="B328" t="str">
        <f>IFERROR(IF('PDCA review'!$D$2=Plan!B329,Plan!G329,""),"")</f>
        <v/>
      </c>
      <c r="C328">
        <f t="shared" si="15"/>
        <v>0</v>
      </c>
      <c r="D328">
        <f>SUM($C$3:C328)</f>
        <v>7</v>
      </c>
      <c r="E328" t="e">
        <f t="shared" si="16"/>
        <v>#N/A</v>
      </c>
      <c r="F328" s="28" t="str">
        <f t="shared" ca="1" si="17"/>
        <v/>
      </c>
    </row>
    <row r="329" spans="2:6" x14ac:dyDescent="0.2">
      <c r="B329" t="str">
        <f>IFERROR(IF('PDCA review'!$D$2=Plan!B330,Plan!G330,""),"")</f>
        <v/>
      </c>
      <c r="C329">
        <f t="shared" si="15"/>
        <v>0</v>
      </c>
      <c r="D329">
        <f>SUM($C$3:C329)</f>
        <v>7</v>
      </c>
      <c r="E329" t="e">
        <f t="shared" si="16"/>
        <v>#N/A</v>
      </c>
      <c r="F329" s="28" t="str">
        <f t="shared" ca="1" si="17"/>
        <v/>
      </c>
    </row>
    <row r="330" spans="2:6" x14ac:dyDescent="0.2">
      <c r="B330" t="str">
        <f>IFERROR(IF('PDCA review'!$D$2=Plan!B331,Plan!G331,""),"")</f>
        <v/>
      </c>
      <c r="C330">
        <f t="shared" si="15"/>
        <v>0</v>
      </c>
      <c r="D330">
        <f>SUM($C$3:C330)</f>
        <v>7</v>
      </c>
      <c r="E330" t="e">
        <f t="shared" si="16"/>
        <v>#N/A</v>
      </c>
      <c r="F330" s="28" t="str">
        <f t="shared" ca="1" si="17"/>
        <v/>
      </c>
    </row>
    <row r="331" spans="2:6" x14ac:dyDescent="0.2">
      <c r="B331" t="str">
        <f>IFERROR(IF('PDCA review'!$D$2=Plan!B332,Plan!G332,""),"")</f>
        <v/>
      </c>
      <c r="C331">
        <f t="shared" si="15"/>
        <v>0</v>
      </c>
      <c r="D331">
        <f>SUM($C$3:C331)</f>
        <v>7</v>
      </c>
      <c r="E331" t="e">
        <f t="shared" si="16"/>
        <v>#N/A</v>
      </c>
      <c r="F331" s="28" t="str">
        <f t="shared" ca="1" si="17"/>
        <v/>
      </c>
    </row>
    <row r="332" spans="2:6" x14ac:dyDescent="0.2">
      <c r="B332" t="str">
        <f>IFERROR(IF('PDCA review'!$D$2=Plan!B333,Plan!G333,""),"")</f>
        <v/>
      </c>
      <c r="C332">
        <f t="shared" si="15"/>
        <v>0</v>
      </c>
      <c r="D332">
        <f>SUM($C$3:C332)</f>
        <v>7</v>
      </c>
      <c r="E332" t="e">
        <f t="shared" si="16"/>
        <v>#N/A</v>
      </c>
      <c r="F332" s="28" t="str">
        <f t="shared" ca="1" si="17"/>
        <v/>
      </c>
    </row>
    <row r="333" spans="2:6" x14ac:dyDescent="0.2">
      <c r="B333" t="str">
        <f>IFERROR(IF('PDCA review'!$D$2=Plan!B334,Plan!G334,""),"")</f>
        <v/>
      </c>
      <c r="C333">
        <f t="shared" si="15"/>
        <v>0</v>
      </c>
      <c r="D333">
        <f>SUM($C$3:C333)</f>
        <v>7</v>
      </c>
      <c r="E333" t="e">
        <f t="shared" si="16"/>
        <v>#N/A</v>
      </c>
      <c r="F333" s="28" t="str">
        <f t="shared" ca="1" si="17"/>
        <v/>
      </c>
    </row>
    <row r="334" spans="2:6" x14ac:dyDescent="0.2">
      <c r="B334" t="str">
        <f>IFERROR(IF('PDCA review'!$D$2=Plan!B335,Plan!G335,""),"")</f>
        <v/>
      </c>
      <c r="C334">
        <f t="shared" si="15"/>
        <v>0</v>
      </c>
      <c r="D334">
        <f>SUM($C$3:C334)</f>
        <v>7</v>
      </c>
      <c r="E334" t="e">
        <f t="shared" si="16"/>
        <v>#N/A</v>
      </c>
      <c r="F334" s="28" t="str">
        <f t="shared" ca="1" si="17"/>
        <v/>
      </c>
    </row>
    <row r="335" spans="2:6" x14ac:dyDescent="0.2">
      <c r="B335" t="str">
        <f>IFERROR(IF('PDCA review'!$D$2=Plan!B336,Plan!G336,""),"")</f>
        <v/>
      </c>
      <c r="C335">
        <f t="shared" si="15"/>
        <v>0</v>
      </c>
      <c r="D335">
        <f>SUM($C$3:C335)</f>
        <v>7</v>
      </c>
      <c r="E335" t="e">
        <f t="shared" si="16"/>
        <v>#N/A</v>
      </c>
      <c r="F335" s="28" t="str">
        <f t="shared" ca="1" si="17"/>
        <v/>
      </c>
    </row>
    <row r="336" spans="2:6" x14ac:dyDescent="0.2">
      <c r="B336" t="str">
        <f>IFERROR(IF('PDCA review'!$D$2=Plan!B337,Plan!G337,""),"")</f>
        <v/>
      </c>
      <c r="C336">
        <f t="shared" si="15"/>
        <v>0</v>
      </c>
      <c r="D336">
        <f>SUM($C$3:C336)</f>
        <v>7</v>
      </c>
      <c r="E336" t="e">
        <f t="shared" si="16"/>
        <v>#N/A</v>
      </c>
      <c r="F336" s="28" t="str">
        <f t="shared" ca="1" si="17"/>
        <v/>
      </c>
    </row>
    <row r="337" spans="2:6" x14ac:dyDescent="0.2">
      <c r="B337" t="str">
        <f>IFERROR(IF('PDCA review'!$D$2=Plan!B338,Plan!G338,""),"")</f>
        <v/>
      </c>
      <c r="C337">
        <f t="shared" si="15"/>
        <v>0</v>
      </c>
      <c r="D337">
        <f>SUM($C$3:C337)</f>
        <v>7</v>
      </c>
      <c r="E337" t="e">
        <f t="shared" si="16"/>
        <v>#N/A</v>
      </c>
      <c r="F337" s="28" t="str">
        <f t="shared" ca="1" si="17"/>
        <v/>
      </c>
    </row>
    <row r="338" spans="2:6" x14ac:dyDescent="0.2">
      <c r="B338" t="str">
        <f>IFERROR(IF('PDCA review'!$D$2=Plan!B339,Plan!G339,""),"")</f>
        <v/>
      </c>
      <c r="C338">
        <f t="shared" si="15"/>
        <v>0</v>
      </c>
      <c r="D338">
        <f>SUM($C$3:C338)</f>
        <v>7</v>
      </c>
      <c r="E338" t="e">
        <f t="shared" si="16"/>
        <v>#N/A</v>
      </c>
      <c r="F338" s="28" t="str">
        <f t="shared" ca="1" si="17"/>
        <v/>
      </c>
    </row>
    <row r="339" spans="2:6" x14ac:dyDescent="0.2">
      <c r="B339" t="str">
        <f>IFERROR(IF('PDCA review'!$D$2=Plan!B340,Plan!G340,""),"")</f>
        <v/>
      </c>
      <c r="C339">
        <f t="shared" si="15"/>
        <v>0</v>
      </c>
      <c r="D339">
        <f>SUM($C$3:C339)</f>
        <v>7</v>
      </c>
      <c r="E339" t="e">
        <f t="shared" si="16"/>
        <v>#N/A</v>
      </c>
      <c r="F339" s="28" t="str">
        <f t="shared" ca="1" si="17"/>
        <v/>
      </c>
    </row>
    <row r="340" spans="2:6" x14ac:dyDescent="0.2">
      <c r="B340" t="str">
        <f>IFERROR(IF('PDCA review'!$D$2=Plan!B341,Plan!G341,""),"")</f>
        <v/>
      </c>
      <c r="C340">
        <f t="shared" si="15"/>
        <v>0</v>
      </c>
      <c r="D340">
        <f>SUM($C$3:C340)</f>
        <v>7</v>
      </c>
      <c r="E340" t="e">
        <f t="shared" si="16"/>
        <v>#N/A</v>
      </c>
      <c r="F340" s="28" t="str">
        <f t="shared" ca="1" si="17"/>
        <v/>
      </c>
    </row>
    <row r="341" spans="2:6" x14ac:dyDescent="0.2">
      <c r="B341" t="str">
        <f>IFERROR(IF('PDCA review'!$D$2=Plan!B342,Plan!G342,""),"")</f>
        <v/>
      </c>
      <c r="C341">
        <f t="shared" si="15"/>
        <v>0</v>
      </c>
      <c r="D341">
        <f>SUM($C$3:C341)</f>
        <v>7</v>
      </c>
      <c r="E341" t="e">
        <f t="shared" si="16"/>
        <v>#N/A</v>
      </c>
      <c r="F341" s="28" t="str">
        <f t="shared" ca="1" si="17"/>
        <v/>
      </c>
    </row>
    <row r="342" spans="2:6" x14ac:dyDescent="0.2">
      <c r="B342" t="str">
        <f>IFERROR(IF('PDCA review'!$D$2=Plan!B343,Plan!G343,""),"")</f>
        <v/>
      </c>
      <c r="C342">
        <f t="shared" si="15"/>
        <v>0</v>
      </c>
      <c r="D342">
        <f>SUM($C$3:C342)</f>
        <v>7</v>
      </c>
      <c r="E342" t="e">
        <f t="shared" si="16"/>
        <v>#N/A</v>
      </c>
      <c r="F342" s="28" t="str">
        <f t="shared" ca="1" si="17"/>
        <v/>
      </c>
    </row>
    <row r="343" spans="2:6" x14ac:dyDescent="0.2">
      <c r="B343" t="str">
        <f>IFERROR(IF('PDCA review'!$D$2=Plan!B344,Plan!G344,""),"")</f>
        <v/>
      </c>
      <c r="C343">
        <f t="shared" si="15"/>
        <v>0</v>
      </c>
      <c r="D343">
        <f>SUM($C$3:C343)</f>
        <v>7</v>
      </c>
      <c r="E343" t="e">
        <f t="shared" si="16"/>
        <v>#N/A</v>
      </c>
      <c r="F343" s="28" t="str">
        <f t="shared" ca="1" si="17"/>
        <v/>
      </c>
    </row>
    <row r="344" spans="2:6" x14ac:dyDescent="0.2">
      <c r="B344" t="str">
        <f>IFERROR(IF('PDCA review'!$D$2=Plan!B345,Plan!G345,""),"")</f>
        <v/>
      </c>
      <c r="C344">
        <f t="shared" si="15"/>
        <v>0</v>
      </c>
      <c r="D344">
        <f>SUM($C$3:C344)</f>
        <v>7</v>
      </c>
      <c r="E344" t="e">
        <f t="shared" si="16"/>
        <v>#N/A</v>
      </c>
      <c r="F344" s="28" t="str">
        <f t="shared" ca="1" si="17"/>
        <v/>
      </c>
    </row>
    <row r="345" spans="2:6" x14ac:dyDescent="0.2">
      <c r="B345" t="str">
        <f>IFERROR(IF('PDCA review'!$D$2=Plan!B346,Plan!G346,""),"")</f>
        <v/>
      </c>
      <c r="C345">
        <f t="shared" si="15"/>
        <v>0</v>
      </c>
      <c r="D345">
        <f>SUM($C$3:C345)</f>
        <v>7</v>
      </c>
      <c r="E345" t="e">
        <f t="shared" si="16"/>
        <v>#N/A</v>
      </c>
      <c r="F345" s="28" t="str">
        <f t="shared" ca="1" si="17"/>
        <v/>
      </c>
    </row>
    <row r="346" spans="2:6" x14ac:dyDescent="0.2">
      <c r="B346" t="str">
        <f>IFERROR(IF('PDCA review'!$D$2=Plan!B347,Plan!G347,""),"")</f>
        <v/>
      </c>
      <c r="C346">
        <f t="shared" si="15"/>
        <v>0</v>
      </c>
      <c r="D346">
        <f>SUM($C$3:C346)</f>
        <v>7</v>
      </c>
      <c r="E346" t="e">
        <f t="shared" si="16"/>
        <v>#N/A</v>
      </c>
      <c r="F346" s="28" t="str">
        <f t="shared" ca="1" si="17"/>
        <v/>
      </c>
    </row>
    <row r="347" spans="2:6" x14ac:dyDescent="0.2">
      <c r="B347" t="str">
        <f>IFERROR(IF('PDCA review'!$D$2=Plan!B348,Plan!G348,""),"")</f>
        <v/>
      </c>
      <c r="C347">
        <f t="shared" si="15"/>
        <v>0</v>
      </c>
      <c r="D347">
        <f>SUM($C$3:C347)</f>
        <v>7</v>
      </c>
      <c r="E347" t="e">
        <f t="shared" si="16"/>
        <v>#N/A</v>
      </c>
      <c r="F347" s="28" t="str">
        <f t="shared" ca="1" si="17"/>
        <v/>
      </c>
    </row>
    <row r="348" spans="2:6" x14ac:dyDescent="0.2">
      <c r="B348" t="str">
        <f>IFERROR(IF('PDCA review'!$D$2=Plan!B349,Plan!G349,""),"")</f>
        <v/>
      </c>
      <c r="C348">
        <f t="shared" si="15"/>
        <v>0</v>
      </c>
      <c r="D348">
        <f>SUM($C$3:C348)</f>
        <v>7</v>
      </c>
      <c r="E348" t="e">
        <f t="shared" si="16"/>
        <v>#N/A</v>
      </c>
      <c r="F348" s="28" t="str">
        <f t="shared" ca="1" si="17"/>
        <v/>
      </c>
    </row>
    <row r="349" spans="2:6" x14ac:dyDescent="0.2">
      <c r="B349" t="str">
        <f>IFERROR(IF('PDCA review'!$D$2=Plan!B350,Plan!G350,""),"")</f>
        <v/>
      </c>
      <c r="C349">
        <f t="shared" si="15"/>
        <v>0</v>
      </c>
      <c r="D349">
        <f>SUM($C$3:C349)</f>
        <v>7</v>
      </c>
      <c r="E349" t="e">
        <f t="shared" si="16"/>
        <v>#N/A</v>
      </c>
      <c r="F349" s="28" t="str">
        <f t="shared" ca="1" si="17"/>
        <v/>
      </c>
    </row>
    <row r="350" spans="2:6" x14ac:dyDescent="0.2">
      <c r="B350" t="str">
        <f>IFERROR(IF('PDCA review'!$D$2=Plan!B351,Plan!G351,""),"")</f>
        <v/>
      </c>
      <c r="C350">
        <f t="shared" si="15"/>
        <v>0</v>
      </c>
      <c r="D350">
        <f>SUM($C$3:C350)</f>
        <v>7</v>
      </c>
      <c r="E350" t="e">
        <f t="shared" si="16"/>
        <v>#N/A</v>
      </c>
      <c r="F350" s="28" t="str">
        <f t="shared" ca="1" si="17"/>
        <v/>
      </c>
    </row>
    <row r="351" spans="2:6" x14ac:dyDescent="0.2">
      <c r="B351" t="str">
        <f>IFERROR(IF('PDCA review'!$D$2=Plan!B352,Plan!G352,""),"")</f>
        <v/>
      </c>
      <c r="C351">
        <f t="shared" si="15"/>
        <v>0</v>
      </c>
      <c r="D351">
        <f>SUM($C$3:C351)</f>
        <v>7</v>
      </c>
      <c r="E351" t="e">
        <f t="shared" si="16"/>
        <v>#N/A</v>
      </c>
      <c r="F351" s="28" t="str">
        <f t="shared" ca="1" si="17"/>
        <v/>
      </c>
    </row>
    <row r="352" spans="2:6" x14ac:dyDescent="0.2">
      <c r="B352" t="str">
        <f>IFERROR(IF('PDCA review'!$D$2=Plan!B353,Plan!G353,""),"")</f>
        <v/>
      </c>
      <c r="C352">
        <f t="shared" si="15"/>
        <v>0</v>
      </c>
      <c r="D352">
        <f>SUM($C$3:C352)</f>
        <v>7</v>
      </c>
      <c r="E352" t="e">
        <f t="shared" si="16"/>
        <v>#N/A</v>
      </c>
      <c r="F352" s="28" t="str">
        <f t="shared" ca="1" si="17"/>
        <v/>
      </c>
    </row>
    <row r="353" spans="2:6" x14ac:dyDescent="0.2">
      <c r="B353" t="str">
        <f>IFERROR(IF('PDCA review'!$D$2=Plan!B354,Plan!G354,""),"")</f>
        <v/>
      </c>
      <c r="C353">
        <f t="shared" si="15"/>
        <v>0</v>
      </c>
      <c r="D353">
        <f>SUM($C$3:C353)</f>
        <v>7</v>
      </c>
      <c r="E353" t="e">
        <f t="shared" si="16"/>
        <v>#N/A</v>
      </c>
      <c r="F353" s="28" t="str">
        <f t="shared" ca="1" si="17"/>
        <v/>
      </c>
    </row>
    <row r="354" spans="2:6" x14ac:dyDescent="0.2">
      <c r="B354" t="str">
        <f>IFERROR(IF('PDCA review'!$D$2=Plan!B355,Plan!G355,""),"")</f>
        <v/>
      </c>
      <c r="C354">
        <f t="shared" si="15"/>
        <v>0</v>
      </c>
      <c r="D354">
        <f>SUM($C$3:C354)</f>
        <v>7</v>
      </c>
      <c r="E354" t="e">
        <f t="shared" si="16"/>
        <v>#N/A</v>
      </c>
      <c r="F354" s="28" t="str">
        <f t="shared" ca="1" si="17"/>
        <v/>
      </c>
    </row>
    <row r="355" spans="2:6" x14ac:dyDescent="0.2">
      <c r="B355" t="str">
        <f>IFERROR(IF('PDCA review'!$D$2=Plan!B356,Plan!G356,""),"")</f>
        <v/>
      </c>
      <c r="C355">
        <f t="shared" si="15"/>
        <v>0</v>
      </c>
      <c r="D355">
        <f>SUM($C$3:C355)</f>
        <v>7</v>
      </c>
      <c r="E355" t="e">
        <f t="shared" si="16"/>
        <v>#N/A</v>
      </c>
      <c r="F355" s="28" t="str">
        <f t="shared" ca="1" si="17"/>
        <v/>
      </c>
    </row>
    <row r="356" spans="2:6" x14ac:dyDescent="0.2">
      <c r="B356" t="str">
        <f>IFERROR(IF('PDCA review'!$D$2=Plan!B357,Plan!G357,""),"")</f>
        <v/>
      </c>
      <c r="C356">
        <f t="shared" si="15"/>
        <v>0</v>
      </c>
      <c r="D356">
        <f>SUM($C$3:C356)</f>
        <v>7</v>
      </c>
      <c r="E356" t="e">
        <f t="shared" si="16"/>
        <v>#N/A</v>
      </c>
      <c r="F356" s="28" t="str">
        <f t="shared" ca="1" si="17"/>
        <v/>
      </c>
    </row>
    <row r="357" spans="2:6" x14ac:dyDescent="0.2">
      <c r="B357" t="str">
        <f>IFERROR(IF('PDCA review'!$D$2=Plan!B358,Plan!G358,""),"")</f>
        <v/>
      </c>
      <c r="C357">
        <f t="shared" si="15"/>
        <v>0</v>
      </c>
      <c r="D357">
        <f>SUM($C$3:C357)</f>
        <v>7</v>
      </c>
      <c r="E357" t="e">
        <f t="shared" si="16"/>
        <v>#N/A</v>
      </c>
      <c r="F357" s="28" t="str">
        <f t="shared" ca="1" si="17"/>
        <v/>
      </c>
    </row>
    <row r="358" spans="2:6" x14ac:dyDescent="0.2">
      <c r="B358" t="str">
        <f>IFERROR(IF('PDCA review'!$D$2=Plan!B359,Plan!G359,""),"")</f>
        <v/>
      </c>
      <c r="C358">
        <f t="shared" si="15"/>
        <v>0</v>
      </c>
      <c r="D358">
        <f>SUM($C$3:C358)</f>
        <v>7</v>
      </c>
      <c r="E358" t="e">
        <f t="shared" si="16"/>
        <v>#N/A</v>
      </c>
      <c r="F358" s="28" t="str">
        <f t="shared" ca="1" si="17"/>
        <v/>
      </c>
    </row>
    <row r="359" spans="2:6" x14ac:dyDescent="0.2">
      <c r="B359" t="str">
        <f>IFERROR(IF('PDCA review'!$D$2=Plan!B360,Plan!G360,""),"")</f>
        <v/>
      </c>
      <c r="C359">
        <f t="shared" si="15"/>
        <v>0</v>
      </c>
      <c r="D359">
        <f>SUM($C$3:C359)</f>
        <v>7</v>
      </c>
      <c r="E359" t="e">
        <f t="shared" si="16"/>
        <v>#N/A</v>
      </c>
      <c r="F359" s="28" t="str">
        <f t="shared" ca="1" si="17"/>
        <v/>
      </c>
    </row>
    <row r="360" spans="2:6" x14ac:dyDescent="0.2">
      <c r="B360" t="str">
        <f>IFERROR(IF('PDCA review'!$D$2=Plan!B361,Plan!G361,""),"")</f>
        <v/>
      </c>
      <c r="C360">
        <f t="shared" si="15"/>
        <v>0</v>
      </c>
      <c r="D360">
        <f>SUM($C$3:C360)</f>
        <v>7</v>
      </c>
      <c r="E360" t="e">
        <f t="shared" si="16"/>
        <v>#N/A</v>
      </c>
      <c r="F360" s="28" t="str">
        <f t="shared" ca="1" si="17"/>
        <v/>
      </c>
    </row>
    <row r="361" spans="2:6" x14ac:dyDescent="0.2">
      <c r="B361" t="str">
        <f>IFERROR(IF('PDCA review'!$D$2=Plan!B362,Plan!G362,""),"")</f>
        <v/>
      </c>
      <c r="C361">
        <f t="shared" si="15"/>
        <v>0</v>
      </c>
      <c r="D361">
        <f>SUM($C$3:C361)</f>
        <v>7</v>
      </c>
      <c r="E361" t="e">
        <f t="shared" si="16"/>
        <v>#N/A</v>
      </c>
      <c r="F361" s="28" t="str">
        <f t="shared" ca="1" si="17"/>
        <v/>
      </c>
    </row>
    <row r="362" spans="2:6" x14ac:dyDescent="0.2">
      <c r="B362" t="str">
        <f>IFERROR(IF('PDCA review'!$D$2=Plan!B363,Plan!G363,""),"")</f>
        <v/>
      </c>
      <c r="C362">
        <f t="shared" si="15"/>
        <v>0</v>
      </c>
      <c r="D362">
        <f>SUM($C$3:C362)</f>
        <v>7</v>
      </c>
      <c r="E362" t="e">
        <f t="shared" si="16"/>
        <v>#N/A</v>
      </c>
      <c r="F362" s="28" t="str">
        <f t="shared" ca="1" si="17"/>
        <v/>
      </c>
    </row>
    <row r="363" spans="2:6" x14ac:dyDescent="0.2">
      <c r="B363" t="str">
        <f>IFERROR(IF('PDCA review'!$D$2=Plan!B364,Plan!G364,""),"")</f>
        <v/>
      </c>
      <c r="C363">
        <f t="shared" si="15"/>
        <v>0</v>
      </c>
      <c r="D363">
        <f>SUM($C$3:C363)</f>
        <v>7</v>
      </c>
      <c r="E363" t="e">
        <f t="shared" si="16"/>
        <v>#N/A</v>
      </c>
      <c r="F363" s="28" t="str">
        <f t="shared" ca="1" si="17"/>
        <v/>
      </c>
    </row>
    <row r="364" spans="2:6" x14ac:dyDescent="0.2">
      <c r="B364" t="str">
        <f>IFERROR(IF('PDCA review'!$D$2=Plan!B365,Plan!G365,""),"")</f>
        <v/>
      </c>
      <c r="C364">
        <f t="shared" si="15"/>
        <v>0</v>
      </c>
      <c r="D364">
        <f>SUM($C$3:C364)</f>
        <v>7</v>
      </c>
      <c r="E364" t="e">
        <f t="shared" si="16"/>
        <v>#N/A</v>
      </c>
      <c r="F364" s="28" t="str">
        <f t="shared" ca="1" si="17"/>
        <v/>
      </c>
    </row>
    <row r="365" spans="2:6" x14ac:dyDescent="0.2">
      <c r="B365" t="str">
        <f>IFERROR(IF('PDCA review'!$D$2=Plan!B366,Plan!G366,""),"")</f>
        <v/>
      </c>
      <c r="C365">
        <f t="shared" si="15"/>
        <v>0</v>
      </c>
      <c r="D365">
        <f>SUM($C$3:C365)</f>
        <v>7</v>
      </c>
      <c r="E365" t="e">
        <f t="shared" si="16"/>
        <v>#N/A</v>
      </c>
      <c r="F365" s="28" t="str">
        <f t="shared" ca="1" si="17"/>
        <v/>
      </c>
    </row>
    <row r="366" spans="2:6" x14ac:dyDescent="0.2">
      <c r="B366" t="str">
        <f>IFERROR(IF('PDCA review'!$D$2=Plan!B367,Plan!G367,""),"")</f>
        <v/>
      </c>
      <c r="C366">
        <f t="shared" si="15"/>
        <v>0</v>
      </c>
      <c r="D366">
        <f>SUM($C$3:C366)</f>
        <v>7</v>
      </c>
      <c r="E366" t="e">
        <f t="shared" si="16"/>
        <v>#N/A</v>
      </c>
      <c r="F366" s="28" t="str">
        <f t="shared" ca="1" si="17"/>
        <v/>
      </c>
    </row>
    <row r="367" spans="2:6" x14ac:dyDescent="0.2">
      <c r="B367" t="str">
        <f>IFERROR(IF('PDCA review'!$D$2=Plan!B368,Plan!G368,""),"")</f>
        <v/>
      </c>
      <c r="C367">
        <f t="shared" si="15"/>
        <v>0</v>
      </c>
      <c r="D367">
        <f>SUM($C$3:C367)</f>
        <v>7</v>
      </c>
      <c r="E367" t="e">
        <f t="shared" si="16"/>
        <v>#N/A</v>
      </c>
      <c r="F367" s="28" t="str">
        <f t="shared" ca="1" si="17"/>
        <v/>
      </c>
    </row>
    <row r="368" spans="2:6" x14ac:dyDescent="0.2">
      <c r="B368" t="str">
        <f>IFERROR(IF('PDCA review'!$D$2=Plan!B369,Plan!G369,""),"")</f>
        <v/>
      </c>
      <c r="C368">
        <f t="shared" si="15"/>
        <v>0</v>
      </c>
      <c r="D368">
        <f>SUM($C$3:C368)</f>
        <v>7</v>
      </c>
      <c r="E368" t="e">
        <f t="shared" si="16"/>
        <v>#N/A</v>
      </c>
      <c r="F368" s="28" t="str">
        <f t="shared" ca="1" si="17"/>
        <v/>
      </c>
    </row>
    <row r="369" spans="2:6" x14ac:dyDescent="0.2">
      <c r="B369" t="str">
        <f>IFERROR(IF('PDCA review'!$D$2=Plan!B370,Plan!G370,""),"")</f>
        <v/>
      </c>
      <c r="C369">
        <f t="shared" si="15"/>
        <v>0</v>
      </c>
      <c r="D369">
        <f>SUM($C$3:C369)</f>
        <v>7</v>
      </c>
      <c r="E369" t="e">
        <f t="shared" si="16"/>
        <v>#N/A</v>
      </c>
      <c r="F369" s="28" t="str">
        <f t="shared" ca="1" si="17"/>
        <v/>
      </c>
    </row>
    <row r="370" spans="2:6" x14ac:dyDescent="0.2">
      <c r="B370" t="str">
        <f>IFERROR(IF('PDCA review'!$D$2=Plan!B371,Plan!G371,""),"")</f>
        <v/>
      </c>
      <c r="C370">
        <f t="shared" si="15"/>
        <v>0</v>
      </c>
      <c r="D370">
        <f>SUM($C$3:C370)</f>
        <v>7</v>
      </c>
      <c r="E370" t="e">
        <f t="shared" si="16"/>
        <v>#N/A</v>
      </c>
      <c r="F370" s="28" t="str">
        <f t="shared" ca="1" si="17"/>
        <v/>
      </c>
    </row>
    <row r="371" spans="2:6" x14ac:dyDescent="0.2">
      <c r="B371" t="str">
        <f>IFERROR(IF('PDCA review'!$D$2=Plan!B372,Plan!G372,""),"")</f>
        <v/>
      </c>
      <c r="C371">
        <f t="shared" si="15"/>
        <v>0</v>
      </c>
      <c r="D371">
        <f>SUM($C$3:C371)</f>
        <v>7</v>
      </c>
      <c r="E371" t="e">
        <f t="shared" si="16"/>
        <v>#N/A</v>
      </c>
      <c r="F371" s="28" t="str">
        <f t="shared" ca="1" si="17"/>
        <v/>
      </c>
    </row>
    <row r="372" spans="2:6" x14ac:dyDescent="0.2">
      <c r="B372" t="str">
        <f>IFERROR(IF('PDCA review'!$D$2=Plan!B373,Plan!G373,""),"")</f>
        <v/>
      </c>
      <c r="C372">
        <f t="shared" si="15"/>
        <v>0</v>
      </c>
      <c r="D372">
        <f>SUM($C$3:C372)</f>
        <v>7</v>
      </c>
      <c r="E372" t="e">
        <f t="shared" si="16"/>
        <v>#N/A</v>
      </c>
      <c r="F372" s="28" t="str">
        <f t="shared" ca="1" si="17"/>
        <v/>
      </c>
    </row>
    <row r="373" spans="2:6" x14ac:dyDescent="0.2">
      <c r="B373" t="str">
        <f>IFERROR(IF('PDCA review'!$D$2=Plan!B374,Plan!G374,""),"")</f>
        <v/>
      </c>
      <c r="C373">
        <f t="shared" si="15"/>
        <v>0</v>
      </c>
      <c r="D373">
        <f>SUM($C$3:C373)</f>
        <v>7</v>
      </c>
      <c r="E373" t="e">
        <f t="shared" si="16"/>
        <v>#N/A</v>
      </c>
      <c r="F373" s="28" t="str">
        <f t="shared" ca="1" si="17"/>
        <v/>
      </c>
    </row>
    <row r="374" spans="2:6" x14ac:dyDescent="0.2">
      <c r="B374" t="str">
        <f>IFERROR(IF('PDCA review'!$D$2=Plan!B375,Plan!G375,""),"")</f>
        <v/>
      </c>
      <c r="C374">
        <f t="shared" si="15"/>
        <v>0</v>
      </c>
      <c r="D374">
        <f>SUM($C$3:C374)</f>
        <v>7</v>
      </c>
      <c r="E374" t="e">
        <f t="shared" si="16"/>
        <v>#N/A</v>
      </c>
      <c r="F374" s="28" t="str">
        <f t="shared" ca="1" si="17"/>
        <v/>
      </c>
    </row>
    <row r="375" spans="2:6" x14ac:dyDescent="0.2">
      <c r="B375" t="str">
        <f>IFERROR(IF('PDCA review'!$D$2=Plan!B376,Plan!G376,""),"")</f>
        <v/>
      </c>
      <c r="C375">
        <f t="shared" si="15"/>
        <v>0</v>
      </c>
      <c r="D375">
        <f>SUM($C$3:C375)</f>
        <v>7</v>
      </c>
      <c r="E375" t="e">
        <f t="shared" si="16"/>
        <v>#N/A</v>
      </c>
      <c r="F375" s="28" t="str">
        <f t="shared" ca="1" si="17"/>
        <v/>
      </c>
    </row>
    <row r="376" spans="2:6" x14ac:dyDescent="0.2">
      <c r="B376" t="str">
        <f>IFERROR(IF('PDCA review'!$D$2=Plan!B377,Plan!G377,""),"")</f>
        <v/>
      </c>
      <c r="C376">
        <f t="shared" si="15"/>
        <v>0</v>
      </c>
      <c r="D376">
        <f>SUM($C$3:C376)</f>
        <v>7</v>
      </c>
      <c r="E376" t="e">
        <f t="shared" si="16"/>
        <v>#N/A</v>
      </c>
      <c r="F376" s="28" t="str">
        <f t="shared" ca="1" si="17"/>
        <v/>
      </c>
    </row>
    <row r="377" spans="2:6" x14ac:dyDescent="0.2">
      <c r="B377" t="str">
        <f>IFERROR(IF('PDCA review'!$D$2=Plan!B378,Plan!G378,""),"")</f>
        <v/>
      </c>
      <c r="C377">
        <f t="shared" si="15"/>
        <v>0</v>
      </c>
      <c r="D377">
        <f>SUM($C$3:C377)</f>
        <v>7</v>
      </c>
      <c r="E377" t="e">
        <f t="shared" si="16"/>
        <v>#N/A</v>
      </c>
      <c r="F377" s="28" t="str">
        <f t="shared" ca="1" si="17"/>
        <v/>
      </c>
    </row>
    <row r="378" spans="2:6" x14ac:dyDescent="0.2">
      <c r="B378" t="str">
        <f>IFERROR(IF('PDCA review'!$D$2=Plan!B379,Plan!G379,""),"")</f>
        <v/>
      </c>
      <c r="C378">
        <f t="shared" si="15"/>
        <v>0</v>
      </c>
      <c r="D378">
        <f>SUM($C$3:C378)</f>
        <v>7</v>
      </c>
      <c r="E378" t="e">
        <f t="shared" si="16"/>
        <v>#N/A</v>
      </c>
      <c r="F378" s="28" t="str">
        <f t="shared" ca="1" si="17"/>
        <v/>
      </c>
    </row>
    <row r="379" spans="2:6" x14ac:dyDescent="0.2">
      <c r="B379" t="str">
        <f>IFERROR(IF('PDCA review'!$D$2=Plan!B380,Plan!G380,""),"")</f>
        <v/>
      </c>
      <c r="C379">
        <f t="shared" si="15"/>
        <v>0</v>
      </c>
      <c r="D379">
        <f>SUM($C$3:C379)</f>
        <v>7</v>
      </c>
      <c r="E379" t="e">
        <f t="shared" si="16"/>
        <v>#N/A</v>
      </c>
      <c r="F379" s="28" t="str">
        <f t="shared" ca="1" si="17"/>
        <v/>
      </c>
    </row>
    <row r="380" spans="2:6" x14ac:dyDescent="0.2">
      <c r="B380" t="str">
        <f>IFERROR(IF('PDCA review'!$D$2=Plan!B381,Plan!G381,""),"")</f>
        <v/>
      </c>
      <c r="C380">
        <f t="shared" si="15"/>
        <v>0</v>
      </c>
      <c r="D380">
        <f>SUM($C$3:C380)</f>
        <v>7</v>
      </c>
      <c r="E380" t="e">
        <f t="shared" si="16"/>
        <v>#N/A</v>
      </c>
      <c r="F380" s="28" t="str">
        <f t="shared" ca="1" si="17"/>
        <v/>
      </c>
    </row>
    <row r="381" spans="2:6" x14ac:dyDescent="0.2">
      <c r="B381" t="str">
        <f>IFERROR(IF('PDCA review'!$D$2=Plan!B382,Plan!G382,""),"")</f>
        <v/>
      </c>
      <c r="C381">
        <f t="shared" si="15"/>
        <v>0</v>
      </c>
      <c r="D381">
        <f>SUM($C$3:C381)</f>
        <v>7</v>
      </c>
      <c r="E381" t="e">
        <f t="shared" si="16"/>
        <v>#N/A</v>
      </c>
      <c r="F381" s="28" t="str">
        <f t="shared" ca="1" si="17"/>
        <v/>
      </c>
    </row>
    <row r="382" spans="2:6" x14ac:dyDescent="0.2">
      <c r="B382" t="str">
        <f>IFERROR(IF('PDCA review'!$D$2=Plan!B383,Plan!G383,""),"")</f>
        <v/>
      </c>
      <c r="C382">
        <f t="shared" si="15"/>
        <v>0</v>
      </c>
      <c r="D382">
        <f>SUM($C$3:C382)</f>
        <v>7</v>
      </c>
      <c r="E382" t="e">
        <f t="shared" si="16"/>
        <v>#N/A</v>
      </c>
      <c r="F382" s="28" t="str">
        <f t="shared" ca="1" si="17"/>
        <v/>
      </c>
    </row>
    <row r="383" spans="2:6" x14ac:dyDescent="0.2">
      <c r="B383" t="str">
        <f>IFERROR(IF('PDCA review'!$D$2=Plan!B384,Plan!G384,""),"")</f>
        <v/>
      </c>
      <c r="C383">
        <f t="shared" si="15"/>
        <v>0</v>
      </c>
      <c r="D383">
        <f>SUM($C$3:C383)</f>
        <v>7</v>
      </c>
      <c r="E383" t="e">
        <f t="shared" si="16"/>
        <v>#N/A</v>
      </c>
      <c r="F383" s="28" t="str">
        <f t="shared" ca="1" si="17"/>
        <v/>
      </c>
    </row>
    <row r="384" spans="2:6" x14ac:dyDescent="0.2">
      <c r="B384" t="str">
        <f>IFERROR(IF('PDCA review'!$D$2=Plan!B385,Plan!G385,""),"")</f>
        <v/>
      </c>
      <c r="C384">
        <f t="shared" si="15"/>
        <v>0</v>
      </c>
      <c r="D384">
        <f>SUM($C$3:C384)</f>
        <v>7</v>
      </c>
      <c r="E384" t="e">
        <f t="shared" si="16"/>
        <v>#N/A</v>
      </c>
      <c r="F384" s="28" t="str">
        <f t="shared" ca="1" si="17"/>
        <v/>
      </c>
    </row>
    <row r="385" spans="2:6" x14ac:dyDescent="0.2">
      <c r="B385" t="str">
        <f>IFERROR(IF('PDCA review'!$D$2=Plan!B386,Plan!G386,""),"")</f>
        <v/>
      </c>
      <c r="C385">
        <f t="shared" si="15"/>
        <v>0</v>
      </c>
      <c r="D385">
        <f>SUM($C$3:C385)</f>
        <v>7</v>
      </c>
      <c r="E385" t="e">
        <f t="shared" si="16"/>
        <v>#N/A</v>
      </c>
      <c r="F385" s="28" t="str">
        <f t="shared" ca="1" si="17"/>
        <v/>
      </c>
    </row>
    <row r="386" spans="2:6" x14ac:dyDescent="0.2">
      <c r="B386" t="str">
        <f>IFERROR(IF('PDCA review'!$D$2=Plan!B387,Plan!G387,""),"")</f>
        <v/>
      </c>
      <c r="C386">
        <f t="shared" si="15"/>
        <v>0</v>
      </c>
      <c r="D386">
        <f>SUM($C$3:C386)</f>
        <v>7</v>
      </c>
      <c r="E386" t="e">
        <f t="shared" si="16"/>
        <v>#N/A</v>
      </c>
      <c r="F386" s="28" t="str">
        <f t="shared" ca="1" si="17"/>
        <v/>
      </c>
    </row>
    <row r="387" spans="2:6" x14ac:dyDescent="0.2">
      <c r="B387" t="str">
        <f>IFERROR(IF('PDCA review'!$D$2=Plan!B388,Plan!G388,""),"")</f>
        <v/>
      </c>
      <c r="C387">
        <f t="shared" si="15"/>
        <v>0</v>
      </c>
      <c r="D387">
        <f>SUM($C$3:C387)</f>
        <v>7</v>
      </c>
      <c r="E387" t="e">
        <f t="shared" si="16"/>
        <v>#N/A</v>
      </c>
      <c r="F387" s="28" t="str">
        <f t="shared" ca="1" si="17"/>
        <v/>
      </c>
    </row>
    <row r="388" spans="2:6" x14ac:dyDescent="0.2">
      <c r="B388" t="str">
        <f>IFERROR(IF('PDCA review'!$D$2=Plan!B389,Plan!G389,""),"")</f>
        <v/>
      </c>
      <c r="C388">
        <f t="shared" ref="C388:C451" si="18">IF(B388&lt;&gt;"",1,0)</f>
        <v>0</v>
      </c>
      <c r="D388">
        <f>SUM($C$3:C388)</f>
        <v>7</v>
      </c>
      <c r="E388" t="e">
        <f t="shared" ref="E388:E451" si="19">MATCH(ROW()-$D$2,$D$3:$D$2000,0)+$D$2</f>
        <v>#N/A</v>
      </c>
      <c r="F388" s="28" t="str">
        <f t="shared" ref="F388:F451" ca="1" si="20">IFERROR(INDIRECT("B"&amp;E388),"")</f>
        <v/>
      </c>
    </row>
    <row r="389" spans="2:6" x14ac:dyDescent="0.2">
      <c r="B389" t="str">
        <f>IFERROR(IF('PDCA review'!$D$2=Plan!B390,Plan!G390,""),"")</f>
        <v/>
      </c>
      <c r="C389">
        <f t="shared" si="18"/>
        <v>0</v>
      </c>
      <c r="D389">
        <f>SUM($C$3:C389)</f>
        <v>7</v>
      </c>
      <c r="E389" t="e">
        <f t="shared" si="19"/>
        <v>#N/A</v>
      </c>
      <c r="F389" s="28" t="str">
        <f t="shared" ca="1" si="20"/>
        <v/>
      </c>
    </row>
    <row r="390" spans="2:6" x14ac:dyDescent="0.2">
      <c r="B390" t="str">
        <f>IFERROR(IF('PDCA review'!$D$2=Plan!B391,Plan!G391,""),"")</f>
        <v/>
      </c>
      <c r="C390">
        <f t="shared" si="18"/>
        <v>0</v>
      </c>
      <c r="D390">
        <f>SUM($C$3:C390)</f>
        <v>7</v>
      </c>
      <c r="E390" t="e">
        <f t="shared" si="19"/>
        <v>#N/A</v>
      </c>
      <c r="F390" s="28" t="str">
        <f t="shared" ca="1" si="20"/>
        <v/>
      </c>
    </row>
    <row r="391" spans="2:6" x14ac:dyDescent="0.2">
      <c r="B391" t="str">
        <f>IFERROR(IF('PDCA review'!$D$2=Plan!B392,Plan!G392,""),"")</f>
        <v/>
      </c>
      <c r="C391">
        <f t="shared" si="18"/>
        <v>0</v>
      </c>
      <c r="D391">
        <f>SUM($C$3:C391)</f>
        <v>7</v>
      </c>
      <c r="E391" t="e">
        <f t="shared" si="19"/>
        <v>#N/A</v>
      </c>
      <c r="F391" s="28" t="str">
        <f t="shared" ca="1" si="20"/>
        <v/>
      </c>
    </row>
    <row r="392" spans="2:6" x14ac:dyDescent="0.2">
      <c r="B392" t="str">
        <f>IFERROR(IF('PDCA review'!$D$2=Plan!B393,Plan!G393,""),"")</f>
        <v/>
      </c>
      <c r="C392">
        <f t="shared" si="18"/>
        <v>0</v>
      </c>
      <c r="D392">
        <f>SUM($C$3:C392)</f>
        <v>7</v>
      </c>
      <c r="E392" t="e">
        <f t="shared" si="19"/>
        <v>#N/A</v>
      </c>
      <c r="F392" s="28" t="str">
        <f t="shared" ca="1" si="20"/>
        <v/>
      </c>
    </row>
    <row r="393" spans="2:6" x14ac:dyDescent="0.2">
      <c r="B393" t="str">
        <f>IFERROR(IF('PDCA review'!$D$2=Plan!B394,Plan!G394,""),"")</f>
        <v/>
      </c>
      <c r="C393">
        <f t="shared" si="18"/>
        <v>0</v>
      </c>
      <c r="D393">
        <f>SUM($C$3:C393)</f>
        <v>7</v>
      </c>
      <c r="E393" t="e">
        <f t="shared" si="19"/>
        <v>#N/A</v>
      </c>
      <c r="F393" s="28" t="str">
        <f t="shared" ca="1" si="20"/>
        <v/>
      </c>
    </row>
    <row r="394" spans="2:6" x14ac:dyDescent="0.2">
      <c r="B394" t="str">
        <f>IFERROR(IF('PDCA review'!$D$2=Plan!B395,Plan!G395,""),"")</f>
        <v/>
      </c>
      <c r="C394">
        <f t="shared" si="18"/>
        <v>0</v>
      </c>
      <c r="D394">
        <f>SUM($C$3:C394)</f>
        <v>7</v>
      </c>
      <c r="E394" t="e">
        <f t="shared" si="19"/>
        <v>#N/A</v>
      </c>
      <c r="F394" s="28" t="str">
        <f t="shared" ca="1" si="20"/>
        <v/>
      </c>
    </row>
    <row r="395" spans="2:6" x14ac:dyDescent="0.2">
      <c r="B395" t="str">
        <f>IFERROR(IF('PDCA review'!$D$2=Plan!B396,Plan!G396,""),"")</f>
        <v/>
      </c>
      <c r="C395">
        <f t="shared" si="18"/>
        <v>0</v>
      </c>
      <c r="D395">
        <f>SUM($C$3:C395)</f>
        <v>7</v>
      </c>
      <c r="E395" t="e">
        <f t="shared" si="19"/>
        <v>#N/A</v>
      </c>
      <c r="F395" s="28" t="str">
        <f t="shared" ca="1" si="20"/>
        <v/>
      </c>
    </row>
    <row r="396" spans="2:6" x14ac:dyDescent="0.2">
      <c r="B396" t="str">
        <f>IFERROR(IF('PDCA review'!$D$2=Plan!B397,Plan!G397,""),"")</f>
        <v/>
      </c>
      <c r="C396">
        <f t="shared" si="18"/>
        <v>0</v>
      </c>
      <c r="D396">
        <f>SUM($C$3:C396)</f>
        <v>7</v>
      </c>
      <c r="E396" t="e">
        <f t="shared" si="19"/>
        <v>#N/A</v>
      </c>
      <c r="F396" s="28" t="str">
        <f t="shared" ca="1" si="20"/>
        <v/>
      </c>
    </row>
    <row r="397" spans="2:6" x14ac:dyDescent="0.2">
      <c r="B397" t="str">
        <f>IFERROR(IF('PDCA review'!$D$2=Plan!B398,Plan!G398,""),"")</f>
        <v/>
      </c>
      <c r="C397">
        <f t="shared" si="18"/>
        <v>0</v>
      </c>
      <c r="D397">
        <f>SUM($C$3:C397)</f>
        <v>7</v>
      </c>
      <c r="E397" t="e">
        <f t="shared" si="19"/>
        <v>#N/A</v>
      </c>
      <c r="F397" s="28" t="str">
        <f t="shared" ca="1" si="20"/>
        <v/>
      </c>
    </row>
    <row r="398" spans="2:6" x14ac:dyDescent="0.2">
      <c r="B398" t="str">
        <f>IFERROR(IF('PDCA review'!$D$2=Plan!B399,Plan!G399,""),"")</f>
        <v/>
      </c>
      <c r="C398">
        <f t="shared" si="18"/>
        <v>0</v>
      </c>
      <c r="D398">
        <f>SUM($C$3:C398)</f>
        <v>7</v>
      </c>
      <c r="E398" t="e">
        <f t="shared" si="19"/>
        <v>#N/A</v>
      </c>
      <c r="F398" s="28" t="str">
        <f t="shared" ca="1" si="20"/>
        <v/>
      </c>
    </row>
    <row r="399" spans="2:6" x14ac:dyDescent="0.2">
      <c r="B399" t="str">
        <f>IFERROR(IF('PDCA review'!$D$2=Plan!B400,Plan!G400,""),"")</f>
        <v/>
      </c>
      <c r="C399">
        <f t="shared" si="18"/>
        <v>0</v>
      </c>
      <c r="D399">
        <f>SUM($C$3:C399)</f>
        <v>7</v>
      </c>
      <c r="E399" t="e">
        <f t="shared" si="19"/>
        <v>#N/A</v>
      </c>
      <c r="F399" s="28" t="str">
        <f t="shared" ca="1" si="20"/>
        <v/>
      </c>
    </row>
    <row r="400" spans="2:6" x14ac:dyDescent="0.2">
      <c r="B400" t="str">
        <f>IFERROR(IF('PDCA review'!$D$2=Plan!B401,Plan!G401,""),"")</f>
        <v/>
      </c>
      <c r="C400">
        <f t="shared" si="18"/>
        <v>0</v>
      </c>
      <c r="D400">
        <f>SUM($C$3:C400)</f>
        <v>7</v>
      </c>
      <c r="E400" t="e">
        <f t="shared" si="19"/>
        <v>#N/A</v>
      </c>
      <c r="F400" s="28" t="str">
        <f t="shared" ca="1" si="20"/>
        <v/>
      </c>
    </row>
    <row r="401" spans="2:6" x14ac:dyDescent="0.2">
      <c r="B401" t="str">
        <f>IFERROR(IF('PDCA review'!$D$2=Plan!B402,Plan!G402,""),"")</f>
        <v/>
      </c>
      <c r="C401">
        <f t="shared" si="18"/>
        <v>0</v>
      </c>
      <c r="D401">
        <f>SUM($C$3:C401)</f>
        <v>7</v>
      </c>
      <c r="E401" t="e">
        <f t="shared" si="19"/>
        <v>#N/A</v>
      </c>
      <c r="F401" s="28" t="str">
        <f t="shared" ca="1" si="20"/>
        <v/>
      </c>
    </row>
    <row r="402" spans="2:6" x14ac:dyDescent="0.2">
      <c r="B402" t="str">
        <f>IFERROR(IF('PDCA review'!$D$2=Plan!B403,Plan!G403,""),"")</f>
        <v/>
      </c>
      <c r="C402">
        <f t="shared" si="18"/>
        <v>0</v>
      </c>
      <c r="D402">
        <f>SUM($C$3:C402)</f>
        <v>7</v>
      </c>
      <c r="E402" t="e">
        <f t="shared" si="19"/>
        <v>#N/A</v>
      </c>
      <c r="F402" s="28" t="str">
        <f t="shared" ca="1" si="20"/>
        <v/>
      </c>
    </row>
    <row r="403" spans="2:6" x14ac:dyDescent="0.2">
      <c r="B403" t="str">
        <f>IFERROR(IF('PDCA review'!$D$2=Plan!B404,Plan!G404,""),"")</f>
        <v/>
      </c>
      <c r="C403">
        <f t="shared" si="18"/>
        <v>0</v>
      </c>
      <c r="D403">
        <f>SUM($C$3:C403)</f>
        <v>7</v>
      </c>
      <c r="E403" t="e">
        <f t="shared" si="19"/>
        <v>#N/A</v>
      </c>
      <c r="F403" s="28" t="str">
        <f t="shared" ca="1" si="20"/>
        <v/>
      </c>
    </row>
    <row r="404" spans="2:6" x14ac:dyDescent="0.2">
      <c r="B404" t="str">
        <f>IFERROR(IF('PDCA review'!$D$2=Plan!B405,Plan!G405,""),"")</f>
        <v/>
      </c>
      <c r="C404">
        <f t="shared" si="18"/>
        <v>0</v>
      </c>
      <c r="D404">
        <f>SUM($C$3:C404)</f>
        <v>7</v>
      </c>
      <c r="E404" t="e">
        <f t="shared" si="19"/>
        <v>#N/A</v>
      </c>
      <c r="F404" s="28" t="str">
        <f t="shared" ca="1" si="20"/>
        <v/>
      </c>
    </row>
    <row r="405" spans="2:6" x14ac:dyDescent="0.2">
      <c r="B405" t="str">
        <f>IFERROR(IF('PDCA review'!$D$2=Plan!B406,Plan!G406,""),"")</f>
        <v/>
      </c>
      <c r="C405">
        <f t="shared" si="18"/>
        <v>0</v>
      </c>
      <c r="D405">
        <f>SUM($C$3:C405)</f>
        <v>7</v>
      </c>
      <c r="E405" t="e">
        <f t="shared" si="19"/>
        <v>#N/A</v>
      </c>
      <c r="F405" s="28" t="str">
        <f t="shared" ca="1" si="20"/>
        <v/>
      </c>
    </row>
    <row r="406" spans="2:6" x14ac:dyDescent="0.2">
      <c r="B406" t="str">
        <f>IFERROR(IF('PDCA review'!$D$2=Plan!B407,Plan!G407,""),"")</f>
        <v/>
      </c>
      <c r="C406">
        <f t="shared" si="18"/>
        <v>0</v>
      </c>
      <c r="D406">
        <f>SUM($C$3:C406)</f>
        <v>7</v>
      </c>
      <c r="E406" t="e">
        <f t="shared" si="19"/>
        <v>#N/A</v>
      </c>
      <c r="F406" s="28" t="str">
        <f t="shared" ca="1" si="20"/>
        <v/>
      </c>
    </row>
    <row r="407" spans="2:6" x14ac:dyDescent="0.2">
      <c r="B407" t="str">
        <f>IFERROR(IF('PDCA review'!$D$2=Plan!B408,Plan!G408,""),"")</f>
        <v/>
      </c>
      <c r="C407">
        <f t="shared" si="18"/>
        <v>0</v>
      </c>
      <c r="D407">
        <f>SUM($C$3:C407)</f>
        <v>7</v>
      </c>
      <c r="E407" t="e">
        <f t="shared" si="19"/>
        <v>#N/A</v>
      </c>
      <c r="F407" s="28" t="str">
        <f t="shared" ca="1" si="20"/>
        <v/>
      </c>
    </row>
    <row r="408" spans="2:6" x14ac:dyDescent="0.2">
      <c r="B408" t="str">
        <f>IFERROR(IF('PDCA review'!$D$2=Plan!B409,Plan!G409,""),"")</f>
        <v/>
      </c>
      <c r="C408">
        <f t="shared" si="18"/>
        <v>0</v>
      </c>
      <c r="D408">
        <f>SUM($C$3:C408)</f>
        <v>7</v>
      </c>
      <c r="E408" t="e">
        <f t="shared" si="19"/>
        <v>#N/A</v>
      </c>
      <c r="F408" s="28" t="str">
        <f t="shared" ca="1" si="20"/>
        <v/>
      </c>
    </row>
    <row r="409" spans="2:6" x14ac:dyDescent="0.2">
      <c r="B409" t="str">
        <f>IFERROR(IF('PDCA review'!$D$2=Plan!B410,Plan!G410,""),"")</f>
        <v/>
      </c>
      <c r="C409">
        <f t="shared" si="18"/>
        <v>0</v>
      </c>
      <c r="D409">
        <f>SUM($C$3:C409)</f>
        <v>7</v>
      </c>
      <c r="E409" t="e">
        <f t="shared" si="19"/>
        <v>#N/A</v>
      </c>
      <c r="F409" s="28" t="str">
        <f t="shared" ca="1" si="20"/>
        <v/>
      </c>
    </row>
    <row r="410" spans="2:6" x14ac:dyDescent="0.2">
      <c r="B410" t="str">
        <f>IFERROR(IF('PDCA review'!$D$2=Plan!B411,Plan!G411,""),"")</f>
        <v/>
      </c>
      <c r="C410">
        <f t="shared" si="18"/>
        <v>0</v>
      </c>
      <c r="D410">
        <f>SUM($C$3:C410)</f>
        <v>7</v>
      </c>
      <c r="E410" t="e">
        <f t="shared" si="19"/>
        <v>#N/A</v>
      </c>
      <c r="F410" s="28" t="str">
        <f t="shared" ca="1" si="20"/>
        <v/>
      </c>
    </row>
    <row r="411" spans="2:6" x14ac:dyDescent="0.2">
      <c r="B411" t="str">
        <f>IFERROR(IF('PDCA review'!$D$2=Plan!B412,Plan!G412,""),"")</f>
        <v/>
      </c>
      <c r="C411">
        <f t="shared" si="18"/>
        <v>0</v>
      </c>
      <c r="D411">
        <f>SUM($C$3:C411)</f>
        <v>7</v>
      </c>
      <c r="E411" t="e">
        <f t="shared" si="19"/>
        <v>#N/A</v>
      </c>
      <c r="F411" s="28" t="str">
        <f t="shared" ca="1" si="20"/>
        <v/>
      </c>
    </row>
    <row r="412" spans="2:6" x14ac:dyDescent="0.2">
      <c r="B412" t="str">
        <f>IFERROR(IF('PDCA review'!$D$2=Plan!B413,Plan!G413,""),"")</f>
        <v/>
      </c>
      <c r="C412">
        <f t="shared" si="18"/>
        <v>0</v>
      </c>
      <c r="D412">
        <f>SUM($C$3:C412)</f>
        <v>7</v>
      </c>
      <c r="E412" t="e">
        <f t="shared" si="19"/>
        <v>#N/A</v>
      </c>
      <c r="F412" s="28" t="str">
        <f t="shared" ca="1" si="20"/>
        <v/>
      </c>
    </row>
    <row r="413" spans="2:6" x14ac:dyDescent="0.2">
      <c r="B413" t="str">
        <f>IFERROR(IF('PDCA review'!$D$2=Plan!B414,Plan!G414,""),"")</f>
        <v/>
      </c>
      <c r="C413">
        <f t="shared" si="18"/>
        <v>0</v>
      </c>
      <c r="D413">
        <f>SUM($C$3:C413)</f>
        <v>7</v>
      </c>
      <c r="E413" t="e">
        <f t="shared" si="19"/>
        <v>#N/A</v>
      </c>
      <c r="F413" s="28" t="str">
        <f t="shared" ca="1" si="20"/>
        <v/>
      </c>
    </row>
    <row r="414" spans="2:6" x14ac:dyDescent="0.2">
      <c r="B414" t="str">
        <f>IFERROR(IF('PDCA review'!$D$2=Plan!B415,Plan!G415,""),"")</f>
        <v/>
      </c>
      <c r="C414">
        <f t="shared" si="18"/>
        <v>0</v>
      </c>
      <c r="D414">
        <f>SUM($C$3:C414)</f>
        <v>7</v>
      </c>
      <c r="E414" t="e">
        <f t="shared" si="19"/>
        <v>#N/A</v>
      </c>
      <c r="F414" s="28" t="str">
        <f t="shared" ca="1" si="20"/>
        <v/>
      </c>
    </row>
    <row r="415" spans="2:6" x14ac:dyDescent="0.2">
      <c r="B415" t="str">
        <f>IFERROR(IF('PDCA review'!$D$2=Plan!B416,Plan!G416,""),"")</f>
        <v/>
      </c>
      <c r="C415">
        <f t="shared" si="18"/>
        <v>0</v>
      </c>
      <c r="D415">
        <f>SUM($C$3:C415)</f>
        <v>7</v>
      </c>
      <c r="E415" t="e">
        <f t="shared" si="19"/>
        <v>#N/A</v>
      </c>
      <c r="F415" s="28" t="str">
        <f t="shared" ca="1" si="20"/>
        <v/>
      </c>
    </row>
    <row r="416" spans="2:6" x14ac:dyDescent="0.2">
      <c r="B416" t="str">
        <f>IFERROR(IF('PDCA review'!$D$2=Plan!B417,Plan!G417,""),"")</f>
        <v/>
      </c>
      <c r="C416">
        <f t="shared" si="18"/>
        <v>0</v>
      </c>
      <c r="D416">
        <f>SUM($C$3:C416)</f>
        <v>7</v>
      </c>
      <c r="E416" t="e">
        <f t="shared" si="19"/>
        <v>#N/A</v>
      </c>
      <c r="F416" s="28" t="str">
        <f t="shared" ca="1" si="20"/>
        <v/>
      </c>
    </row>
    <row r="417" spans="2:6" x14ac:dyDescent="0.2">
      <c r="B417" t="str">
        <f>IFERROR(IF('PDCA review'!$D$2=Plan!B418,Plan!G418,""),"")</f>
        <v/>
      </c>
      <c r="C417">
        <f t="shared" si="18"/>
        <v>0</v>
      </c>
      <c r="D417">
        <f>SUM($C$3:C417)</f>
        <v>7</v>
      </c>
      <c r="E417" t="e">
        <f t="shared" si="19"/>
        <v>#N/A</v>
      </c>
      <c r="F417" s="28" t="str">
        <f t="shared" ca="1" si="20"/>
        <v/>
      </c>
    </row>
    <row r="418" spans="2:6" x14ac:dyDescent="0.2">
      <c r="B418" t="str">
        <f>IFERROR(IF('PDCA review'!$D$2=Plan!B419,Plan!G419,""),"")</f>
        <v/>
      </c>
      <c r="C418">
        <f t="shared" si="18"/>
        <v>0</v>
      </c>
      <c r="D418">
        <f>SUM($C$3:C418)</f>
        <v>7</v>
      </c>
      <c r="E418" t="e">
        <f t="shared" si="19"/>
        <v>#N/A</v>
      </c>
      <c r="F418" s="28" t="str">
        <f t="shared" ca="1" si="20"/>
        <v/>
      </c>
    </row>
    <row r="419" spans="2:6" x14ac:dyDescent="0.2">
      <c r="B419" t="str">
        <f>IFERROR(IF('PDCA review'!$D$2=Plan!B420,Plan!G420,""),"")</f>
        <v/>
      </c>
      <c r="C419">
        <f t="shared" si="18"/>
        <v>0</v>
      </c>
      <c r="D419">
        <f>SUM($C$3:C419)</f>
        <v>7</v>
      </c>
      <c r="E419" t="e">
        <f t="shared" si="19"/>
        <v>#N/A</v>
      </c>
      <c r="F419" s="28" t="str">
        <f t="shared" ca="1" si="20"/>
        <v/>
      </c>
    </row>
    <row r="420" spans="2:6" x14ac:dyDescent="0.2">
      <c r="B420" t="str">
        <f>IFERROR(IF('PDCA review'!$D$2=Plan!B421,Plan!G421,""),"")</f>
        <v/>
      </c>
      <c r="C420">
        <f t="shared" si="18"/>
        <v>0</v>
      </c>
      <c r="D420">
        <f>SUM($C$3:C420)</f>
        <v>7</v>
      </c>
      <c r="E420" t="e">
        <f t="shared" si="19"/>
        <v>#N/A</v>
      </c>
      <c r="F420" s="28" t="str">
        <f t="shared" ca="1" si="20"/>
        <v/>
      </c>
    </row>
    <row r="421" spans="2:6" x14ac:dyDescent="0.2">
      <c r="B421" t="str">
        <f>IFERROR(IF('PDCA review'!$D$2=Plan!B422,Plan!G422,""),"")</f>
        <v/>
      </c>
      <c r="C421">
        <f t="shared" si="18"/>
        <v>0</v>
      </c>
      <c r="D421">
        <f>SUM($C$3:C421)</f>
        <v>7</v>
      </c>
      <c r="E421" t="e">
        <f t="shared" si="19"/>
        <v>#N/A</v>
      </c>
      <c r="F421" s="28" t="str">
        <f t="shared" ca="1" si="20"/>
        <v/>
      </c>
    </row>
    <row r="422" spans="2:6" x14ac:dyDescent="0.2">
      <c r="B422" t="str">
        <f>IFERROR(IF('PDCA review'!$D$2=Plan!B423,Plan!G423,""),"")</f>
        <v/>
      </c>
      <c r="C422">
        <f t="shared" si="18"/>
        <v>0</v>
      </c>
      <c r="D422">
        <f>SUM($C$3:C422)</f>
        <v>7</v>
      </c>
      <c r="E422" t="e">
        <f t="shared" si="19"/>
        <v>#N/A</v>
      </c>
      <c r="F422" s="28" t="str">
        <f t="shared" ca="1" si="20"/>
        <v/>
      </c>
    </row>
    <row r="423" spans="2:6" x14ac:dyDescent="0.2">
      <c r="B423" t="str">
        <f>IFERROR(IF('PDCA review'!$D$2=Plan!B424,Plan!G424,""),"")</f>
        <v/>
      </c>
      <c r="C423">
        <f t="shared" si="18"/>
        <v>0</v>
      </c>
      <c r="D423">
        <f>SUM($C$3:C423)</f>
        <v>7</v>
      </c>
      <c r="E423" t="e">
        <f t="shared" si="19"/>
        <v>#N/A</v>
      </c>
      <c r="F423" s="28" t="str">
        <f t="shared" ca="1" si="20"/>
        <v/>
      </c>
    </row>
    <row r="424" spans="2:6" x14ac:dyDescent="0.2">
      <c r="B424" t="str">
        <f>IFERROR(IF('PDCA review'!$D$2=Plan!B425,Plan!G425,""),"")</f>
        <v/>
      </c>
      <c r="C424">
        <f t="shared" si="18"/>
        <v>0</v>
      </c>
      <c r="D424">
        <f>SUM($C$3:C424)</f>
        <v>7</v>
      </c>
      <c r="E424" t="e">
        <f t="shared" si="19"/>
        <v>#N/A</v>
      </c>
      <c r="F424" s="28" t="str">
        <f t="shared" ca="1" si="20"/>
        <v/>
      </c>
    </row>
    <row r="425" spans="2:6" x14ac:dyDescent="0.2">
      <c r="B425" t="str">
        <f>IFERROR(IF('PDCA review'!$D$2=Plan!B426,Plan!G426,""),"")</f>
        <v/>
      </c>
      <c r="C425">
        <f t="shared" si="18"/>
        <v>0</v>
      </c>
      <c r="D425">
        <f>SUM($C$3:C425)</f>
        <v>7</v>
      </c>
      <c r="E425" t="e">
        <f t="shared" si="19"/>
        <v>#N/A</v>
      </c>
      <c r="F425" s="28" t="str">
        <f t="shared" ca="1" si="20"/>
        <v/>
      </c>
    </row>
    <row r="426" spans="2:6" x14ac:dyDescent="0.2">
      <c r="B426" t="str">
        <f>IFERROR(IF('PDCA review'!$D$2=Plan!B427,Plan!G427,""),"")</f>
        <v/>
      </c>
      <c r="C426">
        <f t="shared" si="18"/>
        <v>0</v>
      </c>
      <c r="D426">
        <f>SUM($C$3:C426)</f>
        <v>7</v>
      </c>
      <c r="E426" t="e">
        <f t="shared" si="19"/>
        <v>#N/A</v>
      </c>
      <c r="F426" s="28" t="str">
        <f t="shared" ca="1" si="20"/>
        <v/>
      </c>
    </row>
    <row r="427" spans="2:6" x14ac:dyDescent="0.2">
      <c r="B427" t="str">
        <f>IFERROR(IF('PDCA review'!$D$2=Plan!B428,Plan!G428,""),"")</f>
        <v/>
      </c>
      <c r="C427">
        <f t="shared" si="18"/>
        <v>0</v>
      </c>
      <c r="D427">
        <f>SUM($C$3:C427)</f>
        <v>7</v>
      </c>
      <c r="E427" t="e">
        <f t="shared" si="19"/>
        <v>#N/A</v>
      </c>
      <c r="F427" s="28" t="str">
        <f t="shared" ca="1" si="20"/>
        <v/>
      </c>
    </row>
    <row r="428" spans="2:6" x14ac:dyDescent="0.2">
      <c r="B428" t="str">
        <f>IFERROR(IF('PDCA review'!$D$2=Plan!B429,Plan!G429,""),"")</f>
        <v/>
      </c>
      <c r="C428">
        <f t="shared" si="18"/>
        <v>0</v>
      </c>
      <c r="D428">
        <f>SUM($C$3:C428)</f>
        <v>7</v>
      </c>
      <c r="E428" t="e">
        <f t="shared" si="19"/>
        <v>#N/A</v>
      </c>
      <c r="F428" s="28" t="str">
        <f t="shared" ca="1" si="20"/>
        <v/>
      </c>
    </row>
    <row r="429" spans="2:6" x14ac:dyDescent="0.2">
      <c r="B429" t="str">
        <f>IFERROR(IF('PDCA review'!$D$2=Plan!B430,Plan!G430,""),"")</f>
        <v/>
      </c>
      <c r="C429">
        <f t="shared" si="18"/>
        <v>0</v>
      </c>
      <c r="D429">
        <f>SUM($C$3:C429)</f>
        <v>7</v>
      </c>
      <c r="E429" t="e">
        <f t="shared" si="19"/>
        <v>#N/A</v>
      </c>
      <c r="F429" s="28" t="str">
        <f t="shared" ca="1" si="20"/>
        <v/>
      </c>
    </row>
    <row r="430" spans="2:6" x14ac:dyDescent="0.2">
      <c r="B430" t="str">
        <f>IFERROR(IF('PDCA review'!$D$2=Plan!B431,Plan!G431,""),"")</f>
        <v/>
      </c>
      <c r="C430">
        <f t="shared" si="18"/>
        <v>0</v>
      </c>
      <c r="D430">
        <f>SUM($C$3:C430)</f>
        <v>7</v>
      </c>
      <c r="E430" t="e">
        <f t="shared" si="19"/>
        <v>#N/A</v>
      </c>
      <c r="F430" s="28" t="str">
        <f t="shared" ca="1" si="20"/>
        <v/>
      </c>
    </row>
    <row r="431" spans="2:6" x14ac:dyDescent="0.2">
      <c r="B431" t="str">
        <f>IFERROR(IF('PDCA review'!$D$2=Plan!B432,Plan!G432,""),"")</f>
        <v/>
      </c>
      <c r="C431">
        <f t="shared" si="18"/>
        <v>0</v>
      </c>
      <c r="D431">
        <f>SUM($C$3:C431)</f>
        <v>7</v>
      </c>
      <c r="E431" t="e">
        <f t="shared" si="19"/>
        <v>#N/A</v>
      </c>
      <c r="F431" s="28" t="str">
        <f t="shared" ca="1" si="20"/>
        <v/>
      </c>
    </row>
    <row r="432" spans="2:6" x14ac:dyDescent="0.2">
      <c r="B432" t="str">
        <f>IFERROR(IF('PDCA review'!$D$2=Plan!B433,Plan!G433,""),"")</f>
        <v/>
      </c>
      <c r="C432">
        <f t="shared" si="18"/>
        <v>0</v>
      </c>
      <c r="D432">
        <f>SUM($C$3:C432)</f>
        <v>7</v>
      </c>
      <c r="E432" t="e">
        <f t="shared" si="19"/>
        <v>#N/A</v>
      </c>
      <c r="F432" s="28" t="str">
        <f t="shared" ca="1" si="20"/>
        <v/>
      </c>
    </row>
    <row r="433" spans="2:6" x14ac:dyDescent="0.2">
      <c r="B433" t="str">
        <f>IFERROR(IF('PDCA review'!$D$2=Plan!B434,Plan!G434,""),"")</f>
        <v/>
      </c>
      <c r="C433">
        <f t="shared" si="18"/>
        <v>0</v>
      </c>
      <c r="D433">
        <f>SUM($C$3:C433)</f>
        <v>7</v>
      </c>
      <c r="E433" t="e">
        <f t="shared" si="19"/>
        <v>#N/A</v>
      </c>
      <c r="F433" s="28" t="str">
        <f t="shared" ca="1" si="20"/>
        <v/>
      </c>
    </row>
    <row r="434" spans="2:6" x14ac:dyDescent="0.2">
      <c r="B434" t="str">
        <f>IFERROR(IF('PDCA review'!$D$2=Plan!B435,Plan!G435,""),"")</f>
        <v/>
      </c>
      <c r="C434">
        <f t="shared" si="18"/>
        <v>0</v>
      </c>
      <c r="D434">
        <f>SUM($C$3:C434)</f>
        <v>7</v>
      </c>
      <c r="E434" t="e">
        <f t="shared" si="19"/>
        <v>#N/A</v>
      </c>
      <c r="F434" s="28" t="str">
        <f t="shared" ca="1" si="20"/>
        <v/>
      </c>
    </row>
    <row r="435" spans="2:6" x14ac:dyDescent="0.2">
      <c r="B435" t="str">
        <f>IFERROR(IF('PDCA review'!$D$2=Plan!B436,Plan!G436,""),"")</f>
        <v/>
      </c>
      <c r="C435">
        <f t="shared" si="18"/>
        <v>0</v>
      </c>
      <c r="D435">
        <f>SUM($C$3:C435)</f>
        <v>7</v>
      </c>
      <c r="E435" t="e">
        <f t="shared" si="19"/>
        <v>#N/A</v>
      </c>
      <c r="F435" s="28" t="str">
        <f t="shared" ca="1" si="20"/>
        <v/>
      </c>
    </row>
    <row r="436" spans="2:6" x14ac:dyDescent="0.2">
      <c r="B436" t="str">
        <f>IFERROR(IF('PDCA review'!$D$2=Plan!B437,Plan!G437,""),"")</f>
        <v/>
      </c>
      <c r="C436">
        <f t="shared" si="18"/>
        <v>0</v>
      </c>
      <c r="D436">
        <f>SUM($C$3:C436)</f>
        <v>7</v>
      </c>
      <c r="E436" t="e">
        <f t="shared" si="19"/>
        <v>#N/A</v>
      </c>
      <c r="F436" s="28" t="str">
        <f t="shared" ca="1" si="20"/>
        <v/>
      </c>
    </row>
    <row r="437" spans="2:6" x14ac:dyDescent="0.2">
      <c r="B437" t="str">
        <f>IFERROR(IF('PDCA review'!$D$2=Plan!B438,Plan!G438,""),"")</f>
        <v/>
      </c>
      <c r="C437">
        <f t="shared" si="18"/>
        <v>0</v>
      </c>
      <c r="D437">
        <f>SUM($C$3:C437)</f>
        <v>7</v>
      </c>
      <c r="E437" t="e">
        <f t="shared" si="19"/>
        <v>#N/A</v>
      </c>
      <c r="F437" s="28" t="str">
        <f t="shared" ca="1" si="20"/>
        <v/>
      </c>
    </row>
    <row r="438" spans="2:6" x14ac:dyDescent="0.2">
      <c r="B438" t="str">
        <f>IFERROR(IF('PDCA review'!$D$2=Plan!B439,Plan!G439,""),"")</f>
        <v/>
      </c>
      <c r="C438">
        <f t="shared" si="18"/>
        <v>0</v>
      </c>
      <c r="D438">
        <f>SUM($C$3:C438)</f>
        <v>7</v>
      </c>
      <c r="E438" t="e">
        <f t="shared" si="19"/>
        <v>#N/A</v>
      </c>
      <c r="F438" s="28" t="str">
        <f t="shared" ca="1" si="20"/>
        <v/>
      </c>
    </row>
    <row r="439" spans="2:6" x14ac:dyDescent="0.2">
      <c r="B439" t="str">
        <f>IFERROR(IF('PDCA review'!$D$2=Plan!B440,Plan!G440,""),"")</f>
        <v/>
      </c>
      <c r="C439">
        <f t="shared" si="18"/>
        <v>0</v>
      </c>
      <c r="D439">
        <f>SUM($C$3:C439)</f>
        <v>7</v>
      </c>
      <c r="E439" t="e">
        <f t="shared" si="19"/>
        <v>#N/A</v>
      </c>
      <c r="F439" s="28" t="str">
        <f t="shared" ca="1" si="20"/>
        <v/>
      </c>
    </row>
    <row r="440" spans="2:6" x14ac:dyDescent="0.2">
      <c r="B440" t="str">
        <f>IFERROR(IF('PDCA review'!$D$2=Plan!B441,Plan!G441,""),"")</f>
        <v/>
      </c>
      <c r="C440">
        <f t="shared" si="18"/>
        <v>0</v>
      </c>
      <c r="D440">
        <f>SUM($C$3:C440)</f>
        <v>7</v>
      </c>
      <c r="E440" t="e">
        <f t="shared" si="19"/>
        <v>#N/A</v>
      </c>
      <c r="F440" s="28" t="str">
        <f t="shared" ca="1" si="20"/>
        <v/>
      </c>
    </row>
    <row r="441" spans="2:6" x14ac:dyDescent="0.2">
      <c r="B441" t="str">
        <f>IFERROR(IF('PDCA review'!$D$2=Plan!B442,Plan!G442,""),"")</f>
        <v/>
      </c>
      <c r="C441">
        <f t="shared" si="18"/>
        <v>0</v>
      </c>
      <c r="D441">
        <f>SUM($C$3:C441)</f>
        <v>7</v>
      </c>
      <c r="E441" t="e">
        <f t="shared" si="19"/>
        <v>#N/A</v>
      </c>
      <c r="F441" s="28" t="str">
        <f t="shared" ca="1" si="20"/>
        <v/>
      </c>
    </row>
    <row r="442" spans="2:6" x14ac:dyDescent="0.2">
      <c r="B442" t="str">
        <f>IFERROR(IF('PDCA review'!$D$2=Plan!B443,Plan!G443,""),"")</f>
        <v/>
      </c>
      <c r="C442">
        <f t="shared" si="18"/>
        <v>0</v>
      </c>
      <c r="D442">
        <f>SUM($C$3:C442)</f>
        <v>7</v>
      </c>
      <c r="E442" t="e">
        <f t="shared" si="19"/>
        <v>#N/A</v>
      </c>
      <c r="F442" s="28" t="str">
        <f t="shared" ca="1" si="20"/>
        <v/>
      </c>
    </row>
    <row r="443" spans="2:6" x14ac:dyDescent="0.2">
      <c r="B443" t="str">
        <f>IFERROR(IF('PDCA review'!$D$2=Plan!B444,Plan!G444,""),"")</f>
        <v/>
      </c>
      <c r="C443">
        <f t="shared" si="18"/>
        <v>0</v>
      </c>
      <c r="D443">
        <f>SUM($C$3:C443)</f>
        <v>7</v>
      </c>
      <c r="E443" t="e">
        <f t="shared" si="19"/>
        <v>#N/A</v>
      </c>
      <c r="F443" s="28" t="str">
        <f t="shared" ca="1" si="20"/>
        <v/>
      </c>
    </row>
    <row r="444" spans="2:6" x14ac:dyDescent="0.2">
      <c r="B444" t="str">
        <f>IFERROR(IF('PDCA review'!$D$2=Plan!B445,Plan!G445,""),"")</f>
        <v/>
      </c>
      <c r="C444">
        <f t="shared" si="18"/>
        <v>0</v>
      </c>
      <c r="D444">
        <f>SUM($C$3:C444)</f>
        <v>7</v>
      </c>
      <c r="E444" t="e">
        <f t="shared" si="19"/>
        <v>#N/A</v>
      </c>
      <c r="F444" s="28" t="str">
        <f t="shared" ca="1" si="20"/>
        <v/>
      </c>
    </row>
    <row r="445" spans="2:6" x14ac:dyDescent="0.2">
      <c r="B445" t="str">
        <f>IFERROR(IF('PDCA review'!$D$2=Plan!B446,Plan!G446,""),"")</f>
        <v/>
      </c>
      <c r="C445">
        <f t="shared" si="18"/>
        <v>0</v>
      </c>
      <c r="D445">
        <f>SUM($C$3:C445)</f>
        <v>7</v>
      </c>
      <c r="E445" t="e">
        <f t="shared" si="19"/>
        <v>#N/A</v>
      </c>
      <c r="F445" s="28" t="str">
        <f t="shared" ca="1" si="20"/>
        <v/>
      </c>
    </row>
    <row r="446" spans="2:6" x14ac:dyDescent="0.2">
      <c r="B446" t="str">
        <f>IFERROR(IF('PDCA review'!$D$2=Plan!B447,Plan!G447,""),"")</f>
        <v/>
      </c>
      <c r="C446">
        <f t="shared" si="18"/>
        <v>0</v>
      </c>
      <c r="D446">
        <f>SUM($C$3:C446)</f>
        <v>7</v>
      </c>
      <c r="E446" t="e">
        <f t="shared" si="19"/>
        <v>#N/A</v>
      </c>
      <c r="F446" s="28" t="str">
        <f t="shared" ca="1" si="20"/>
        <v/>
      </c>
    </row>
    <row r="447" spans="2:6" x14ac:dyDescent="0.2">
      <c r="B447" t="str">
        <f>IFERROR(IF('PDCA review'!$D$2=Plan!B448,Plan!G448,""),"")</f>
        <v/>
      </c>
      <c r="C447">
        <f t="shared" si="18"/>
        <v>0</v>
      </c>
      <c r="D447">
        <f>SUM($C$3:C447)</f>
        <v>7</v>
      </c>
      <c r="E447" t="e">
        <f t="shared" si="19"/>
        <v>#N/A</v>
      </c>
      <c r="F447" s="28" t="str">
        <f t="shared" ca="1" si="20"/>
        <v/>
      </c>
    </row>
    <row r="448" spans="2:6" x14ac:dyDescent="0.2">
      <c r="B448" t="str">
        <f>IFERROR(IF('PDCA review'!$D$2=Plan!B449,Plan!G449,""),"")</f>
        <v/>
      </c>
      <c r="C448">
        <f t="shared" si="18"/>
        <v>0</v>
      </c>
      <c r="D448">
        <f>SUM($C$3:C448)</f>
        <v>7</v>
      </c>
      <c r="E448" t="e">
        <f t="shared" si="19"/>
        <v>#N/A</v>
      </c>
      <c r="F448" s="28" t="str">
        <f t="shared" ca="1" si="20"/>
        <v/>
      </c>
    </row>
    <row r="449" spans="2:6" x14ac:dyDescent="0.2">
      <c r="B449" t="str">
        <f>IFERROR(IF('PDCA review'!$D$2=Plan!B450,Plan!G450,""),"")</f>
        <v/>
      </c>
      <c r="C449">
        <f t="shared" si="18"/>
        <v>0</v>
      </c>
      <c r="D449">
        <f>SUM($C$3:C449)</f>
        <v>7</v>
      </c>
      <c r="E449" t="e">
        <f t="shared" si="19"/>
        <v>#N/A</v>
      </c>
      <c r="F449" s="28" t="str">
        <f t="shared" ca="1" si="20"/>
        <v/>
      </c>
    </row>
    <row r="450" spans="2:6" x14ac:dyDescent="0.2">
      <c r="B450" t="str">
        <f>IFERROR(IF('PDCA review'!$D$2=Plan!B451,Plan!G451,""),"")</f>
        <v/>
      </c>
      <c r="C450">
        <f t="shared" si="18"/>
        <v>0</v>
      </c>
      <c r="D450">
        <f>SUM($C$3:C450)</f>
        <v>7</v>
      </c>
      <c r="E450" t="e">
        <f t="shared" si="19"/>
        <v>#N/A</v>
      </c>
      <c r="F450" s="28" t="str">
        <f t="shared" ca="1" si="20"/>
        <v/>
      </c>
    </row>
    <row r="451" spans="2:6" x14ac:dyDescent="0.2">
      <c r="B451" t="str">
        <f>IFERROR(IF('PDCA review'!$D$2=Plan!B452,Plan!G452,""),"")</f>
        <v/>
      </c>
      <c r="C451">
        <f t="shared" si="18"/>
        <v>0</v>
      </c>
      <c r="D451">
        <f>SUM($C$3:C451)</f>
        <v>7</v>
      </c>
      <c r="E451" t="e">
        <f t="shared" si="19"/>
        <v>#N/A</v>
      </c>
      <c r="F451" s="28" t="str">
        <f t="shared" ca="1" si="20"/>
        <v/>
      </c>
    </row>
    <row r="452" spans="2:6" x14ac:dyDescent="0.2">
      <c r="B452" t="str">
        <f>IFERROR(IF('PDCA review'!$D$2=Plan!B453,Plan!G453,""),"")</f>
        <v/>
      </c>
      <c r="C452">
        <f t="shared" ref="C452:C515" si="21">IF(B452&lt;&gt;"",1,0)</f>
        <v>0</v>
      </c>
      <c r="D452">
        <f>SUM($C$3:C452)</f>
        <v>7</v>
      </c>
      <c r="E452" t="e">
        <f t="shared" ref="E452:E515" si="22">MATCH(ROW()-$D$2,$D$3:$D$2000,0)+$D$2</f>
        <v>#N/A</v>
      </c>
      <c r="F452" s="28" t="str">
        <f t="shared" ref="F452:F515" ca="1" si="23">IFERROR(INDIRECT("B"&amp;E452),"")</f>
        <v/>
      </c>
    </row>
    <row r="453" spans="2:6" x14ac:dyDescent="0.2">
      <c r="B453" t="str">
        <f>IFERROR(IF('PDCA review'!$D$2=Plan!B454,Plan!G454,""),"")</f>
        <v/>
      </c>
      <c r="C453">
        <f t="shared" si="21"/>
        <v>0</v>
      </c>
      <c r="D453">
        <f>SUM($C$3:C453)</f>
        <v>7</v>
      </c>
      <c r="E453" t="e">
        <f t="shared" si="22"/>
        <v>#N/A</v>
      </c>
      <c r="F453" s="28" t="str">
        <f t="shared" ca="1" si="23"/>
        <v/>
      </c>
    </row>
    <row r="454" spans="2:6" x14ac:dyDescent="0.2">
      <c r="B454" t="str">
        <f>IFERROR(IF('PDCA review'!$D$2=Plan!B455,Plan!G455,""),"")</f>
        <v/>
      </c>
      <c r="C454">
        <f t="shared" si="21"/>
        <v>0</v>
      </c>
      <c r="D454">
        <f>SUM($C$3:C454)</f>
        <v>7</v>
      </c>
      <c r="E454" t="e">
        <f t="shared" si="22"/>
        <v>#N/A</v>
      </c>
      <c r="F454" s="28" t="str">
        <f t="shared" ca="1" si="23"/>
        <v/>
      </c>
    </row>
    <row r="455" spans="2:6" x14ac:dyDescent="0.2">
      <c r="B455" t="str">
        <f>IFERROR(IF('PDCA review'!$D$2=Plan!B456,Plan!G456,""),"")</f>
        <v/>
      </c>
      <c r="C455">
        <f t="shared" si="21"/>
        <v>0</v>
      </c>
      <c r="D455">
        <f>SUM($C$3:C455)</f>
        <v>7</v>
      </c>
      <c r="E455" t="e">
        <f t="shared" si="22"/>
        <v>#N/A</v>
      </c>
      <c r="F455" s="28" t="str">
        <f t="shared" ca="1" si="23"/>
        <v/>
      </c>
    </row>
    <row r="456" spans="2:6" x14ac:dyDescent="0.2">
      <c r="B456" t="str">
        <f>IFERROR(IF('PDCA review'!$D$2=Plan!B457,Plan!G457,""),"")</f>
        <v/>
      </c>
      <c r="C456">
        <f t="shared" si="21"/>
        <v>0</v>
      </c>
      <c r="D456">
        <f>SUM($C$3:C456)</f>
        <v>7</v>
      </c>
      <c r="E456" t="e">
        <f t="shared" si="22"/>
        <v>#N/A</v>
      </c>
      <c r="F456" s="28" t="str">
        <f t="shared" ca="1" si="23"/>
        <v/>
      </c>
    </row>
    <row r="457" spans="2:6" x14ac:dyDescent="0.2">
      <c r="B457" t="str">
        <f>IFERROR(IF('PDCA review'!$D$2=Plan!B458,Plan!G458,""),"")</f>
        <v/>
      </c>
      <c r="C457">
        <f t="shared" si="21"/>
        <v>0</v>
      </c>
      <c r="D457">
        <f>SUM($C$3:C457)</f>
        <v>7</v>
      </c>
      <c r="E457" t="e">
        <f t="shared" si="22"/>
        <v>#N/A</v>
      </c>
      <c r="F457" s="28" t="str">
        <f t="shared" ca="1" si="23"/>
        <v/>
      </c>
    </row>
    <row r="458" spans="2:6" x14ac:dyDescent="0.2">
      <c r="B458" t="str">
        <f>IFERROR(IF('PDCA review'!$D$2=Plan!B459,Plan!G459,""),"")</f>
        <v/>
      </c>
      <c r="C458">
        <f t="shared" si="21"/>
        <v>0</v>
      </c>
      <c r="D458">
        <f>SUM($C$3:C458)</f>
        <v>7</v>
      </c>
      <c r="E458" t="e">
        <f t="shared" si="22"/>
        <v>#N/A</v>
      </c>
      <c r="F458" s="28" t="str">
        <f t="shared" ca="1" si="23"/>
        <v/>
      </c>
    </row>
    <row r="459" spans="2:6" x14ac:dyDescent="0.2">
      <c r="B459" t="str">
        <f>IFERROR(IF('PDCA review'!$D$2=Plan!B460,Plan!G460,""),"")</f>
        <v/>
      </c>
      <c r="C459">
        <f t="shared" si="21"/>
        <v>0</v>
      </c>
      <c r="D459">
        <f>SUM($C$3:C459)</f>
        <v>7</v>
      </c>
      <c r="E459" t="e">
        <f t="shared" si="22"/>
        <v>#N/A</v>
      </c>
      <c r="F459" s="28" t="str">
        <f t="shared" ca="1" si="23"/>
        <v/>
      </c>
    </row>
    <row r="460" spans="2:6" x14ac:dyDescent="0.2">
      <c r="B460" t="str">
        <f>IFERROR(IF('PDCA review'!$D$2=Plan!B461,Plan!G461,""),"")</f>
        <v/>
      </c>
      <c r="C460">
        <f t="shared" si="21"/>
        <v>0</v>
      </c>
      <c r="D460">
        <f>SUM($C$3:C460)</f>
        <v>7</v>
      </c>
      <c r="E460" t="e">
        <f t="shared" si="22"/>
        <v>#N/A</v>
      </c>
      <c r="F460" s="28" t="str">
        <f t="shared" ca="1" si="23"/>
        <v/>
      </c>
    </row>
    <row r="461" spans="2:6" x14ac:dyDescent="0.2">
      <c r="B461" t="str">
        <f>IFERROR(IF('PDCA review'!$D$2=Plan!B462,Plan!G462,""),"")</f>
        <v/>
      </c>
      <c r="C461">
        <f t="shared" si="21"/>
        <v>0</v>
      </c>
      <c r="D461">
        <f>SUM($C$3:C461)</f>
        <v>7</v>
      </c>
      <c r="E461" t="e">
        <f t="shared" si="22"/>
        <v>#N/A</v>
      </c>
      <c r="F461" s="28" t="str">
        <f t="shared" ca="1" si="23"/>
        <v/>
      </c>
    </row>
    <row r="462" spans="2:6" x14ac:dyDescent="0.2">
      <c r="B462" t="str">
        <f>IFERROR(IF('PDCA review'!$D$2=Plan!B463,Plan!G463,""),"")</f>
        <v/>
      </c>
      <c r="C462">
        <f t="shared" si="21"/>
        <v>0</v>
      </c>
      <c r="D462">
        <f>SUM($C$3:C462)</f>
        <v>7</v>
      </c>
      <c r="E462" t="e">
        <f t="shared" si="22"/>
        <v>#N/A</v>
      </c>
      <c r="F462" s="28" t="str">
        <f t="shared" ca="1" si="23"/>
        <v/>
      </c>
    </row>
    <row r="463" spans="2:6" x14ac:dyDescent="0.2">
      <c r="B463" t="str">
        <f>IFERROR(IF('PDCA review'!$D$2=Plan!B464,Plan!G464,""),"")</f>
        <v/>
      </c>
      <c r="C463">
        <f t="shared" si="21"/>
        <v>0</v>
      </c>
      <c r="D463">
        <f>SUM($C$3:C463)</f>
        <v>7</v>
      </c>
      <c r="E463" t="e">
        <f t="shared" si="22"/>
        <v>#N/A</v>
      </c>
      <c r="F463" s="28" t="str">
        <f t="shared" ca="1" si="23"/>
        <v/>
      </c>
    </row>
    <row r="464" spans="2:6" x14ac:dyDescent="0.2">
      <c r="B464" t="str">
        <f>IFERROR(IF('PDCA review'!$D$2=Plan!B465,Plan!G465,""),"")</f>
        <v/>
      </c>
      <c r="C464">
        <f t="shared" si="21"/>
        <v>0</v>
      </c>
      <c r="D464">
        <f>SUM($C$3:C464)</f>
        <v>7</v>
      </c>
      <c r="E464" t="e">
        <f t="shared" si="22"/>
        <v>#N/A</v>
      </c>
      <c r="F464" s="28" t="str">
        <f t="shared" ca="1" si="23"/>
        <v/>
      </c>
    </row>
    <row r="465" spans="2:6" x14ac:dyDescent="0.2">
      <c r="B465" t="str">
        <f>IFERROR(IF('PDCA review'!$D$2=Plan!B466,Plan!G466,""),"")</f>
        <v/>
      </c>
      <c r="C465">
        <f t="shared" si="21"/>
        <v>0</v>
      </c>
      <c r="D465">
        <f>SUM($C$3:C465)</f>
        <v>7</v>
      </c>
      <c r="E465" t="e">
        <f t="shared" si="22"/>
        <v>#N/A</v>
      </c>
      <c r="F465" s="28" t="str">
        <f t="shared" ca="1" si="23"/>
        <v/>
      </c>
    </row>
    <row r="466" spans="2:6" x14ac:dyDescent="0.2">
      <c r="B466" t="str">
        <f>IFERROR(IF('PDCA review'!$D$2=Plan!B467,Plan!G467,""),"")</f>
        <v/>
      </c>
      <c r="C466">
        <f t="shared" si="21"/>
        <v>0</v>
      </c>
      <c r="D466">
        <f>SUM($C$3:C466)</f>
        <v>7</v>
      </c>
      <c r="E466" t="e">
        <f t="shared" si="22"/>
        <v>#N/A</v>
      </c>
      <c r="F466" s="28" t="str">
        <f t="shared" ca="1" si="23"/>
        <v/>
      </c>
    </row>
    <row r="467" spans="2:6" x14ac:dyDescent="0.2">
      <c r="B467" t="str">
        <f>IFERROR(IF('PDCA review'!$D$2=Plan!B468,Plan!G468,""),"")</f>
        <v/>
      </c>
      <c r="C467">
        <f t="shared" si="21"/>
        <v>0</v>
      </c>
      <c r="D467">
        <f>SUM($C$3:C467)</f>
        <v>7</v>
      </c>
      <c r="E467" t="e">
        <f t="shared" si="22"/>
        <v>#N/A</v>
      </c>
      <c r="F467" s="28" t="str">
        <f t="shared" ca="1" si="23"/>
        <v/>
      </c>
    </row>
    <row r="468" spans="2:6" x14ac:dyDescent="0.2">
      <c r="B468" t="str">
        <f>IFERROR(IF('PDCA review'!$D$2=Plan!B469,Plan!G469,""),"")</f>
        <v/>
      </c>
      <c r="C468">
        <f t="shared" si="21"/>
        <v>0</v>
      </c>
      <c r="D468">
        <f>SUM($C$3:C468)</f>
        <v>7</v>
      </c>
      <c r="E468" t="e">
        <f t="shared" si="22"/>
        <v>#N/A</v>
      </c>
      <c r="F468" s="28" t="str">
        <f t="shared" ca="1" si="23"/>
        <v/>
      </c>
    </row>
    <row r="469" spans="2:6" x14ac:dyDescent="0.2">
      <c r="B469" t="str">
        <f>IFERROR(IF('PDCA review'!$D$2=Plan!B470,Plan!G470,""),"")</f>
        <v/>
      </c>
      <c r="C469">
        <f t="shared" si="21"/>
        <v>0</v>
      </c>
      <c r="D469">
        <f>SUM($C$3:C469)</f>
        <v>7</v>
      </c>
      <c r="E469" t="e">
        <f t="shared" si="22"/>
        <v>#N/A</v>
      </c>
      <c r="F469" s="28" t="str">
        <f t="shared" ca="1" si="23"/>
        <v/>
      </c>
    </row>
    <row r="470" spans="2:6" x14ac:dyDescent="0.2">
      <c r="B470" t="str">
        <f>IFERROR(IF('PDCA review'!$D$2=Plan!B471,Plan!G471,""),"")</f>
        <v/>
      </c>
      <c r="C470">
        <f t="shared" si="21"/>
        <v>0</v>
      </c>
      <c r="D470">
        <f>SUM($C$3:C470)</f>
        <v>7</v>
      </c>
      <c r="E470" t="e">
        <f t="shared" si="22"/>
        <v>#N/A</v>
      </c>
      <c r="F470" s="28" t="str">
        <f t="shared" ca="1" si="23"/>
        <v/>
      </c>
    </row>
    <row r="471" spans="2:6" x14ac:dyDescent="0.2">
      <c r="B471" t="str">
        <f>IFERROR(IF('PDCA review'!$D$2=Plan!B472,Plan!G472,""),"")</f>
        <v/>
      </c>
      <c r="C471">
        <f t="shared" si="21"/>
        <v>0</v>
      </c>
      <c r="D471">
        <f>SUM($C$3:C471)</f>
        <v>7</v>
      </c>
      <c r="E471" t="e">
        <f t="shared" si="22"/>
        <v>#N/A</v>
      </c>
      <c r="F471" s="28" t="str">
        <f t="shared" ca="1" si="23"/>
        <v/>
      </c>
    </row>
    <row r="472" spans="2:6" x14ac:dyDescent="0.2">
      <c r="B472" t="str">
        <f>IFERROR(IF('PDCA review'!$D$2=Plan!B473,Plan!G473,""),"")</f>
        <v/>
      </c>
      <c r="C472">
        <f t="shared" si="21"/>
        <v>0</v>
      </c>
      <c r="D472">
        <f>SUM($C$3:C472)</f>
        <v>7</v>
      </c>
      <c r="E472" t="e">
        <f t="shared" si="22"/>
        <v>#N/A</v>
      </c>
      <c r="F472" s="28" t="str">
        <f t="shared" ca="1" si="23"/>
        <v/>
      </c>
    </row>
    <row r="473" spans="2:6" x14ac:dyDescent="0.2">
      <c r="B473" t="str">
        <f>IFERROR(IF('PDCA review'!$D$2=Plan!B474,Plan!G474,""),"")</f>
        <v/>
      </c>
      <c r="C473">
        <f t="shared" si="21"/>
        <v>0</v>
      </c>
      <c r="D473">
        <f>SUM($C$3:C473)</f>
        <v>7</v>
      </c>
      <c r="E473" t="e">
        <f t="shared" si="22"/>
        <v>#N/A</v>
      </c>
      <c r="F473" s="28" t="str">
        <f t="shared" ca="1" si="23"/>
        <v/>
      </c>
    </row>
    <row r="474" spans="2:6" x14ac:dyDescent="0.2">
      <c r="B474" t="str">
        <f>IFERROR(IF('PDCA review'!$D$2=Plan!B475,Plan!G475,""),"")</f>
        <v/>
      </c>
      <c r="C474">
        <f t="shared" si="21"/>
        <v>0</v>
      </c>
      <c r="D474">
        <f>SUM($C$3:C474)</f>
        <v>7</v>
      </c>
      <c r="E474" t="e">
        <f t="shared" si="22"/>
        <v>#N/A</v>
      </c>
      <c r="F474" s="28" t="str">
        <f t="shared" ca="1" si="23"/>
        <v/>
      </c>
    </row>
    <row r="475" spans="2:6" x14ac:dyDescent="0.2">
      <c r="B475" t="str">
        <f>IFERROR(IF('PDCA review'!$D$2=Plan!B476,Plan!G476,""),"")</f>
        <v/>
      </c>
      <c r="C475">
        <f t="shared" si="21"/>
        <v>0</v>
      </c>
      <c r="D475">
        <f>SUM($C$3:C475)</f>
        <v>7</v>
      </c>
      <c r="E475" t="e">
        <f t="shared" si="22"/>
        <v>#N/A</v>
      </c>
      <c r="F475" s="28" t="str">
        <f t="shared" ca="1" si="23"/>
        <v/>
      </c>
    </row>
    <row r="476" spans="2:6" x14ac:dyDescent="0.2">
      <c r="B476" t="str">
        <f>IFERROR(IF('PDCA review'!$D$2=Plan!B477,Plan!G477,""),"")</f>
        <v/>
      </c>
      <c r="C476">
        <f t="shared" si="21"/>
        <v>0</v>
      </c>
      <c r="D476">
        <f>SUM($C$3:C476)</f>
        <v>7</v>
      </c>
      <c r="E476" t="e">
        <f t="shared" si="22"/>
        <v>#N/A</v>
      </c>
      <c r="F476" s="28" t="str">
        <f t="shared" ca="1" si="23"/>
        <v/>
      </c>
    </row>
    <row r="477" spans="2:6" x14ac:dyDescent="0.2">
      <c r="B477" t="str">
        <f>IFERROR(IF('PDCA review'!$D$2=Plan!B478,Plan!G478,""),"")</f>
        <v/>
      </c>
      <c r="C477">
        <f t="shared" si="21"/>
        <v>0</v>
      </c>
      <c r="D477">
        <f>SUM($C$3:C477)</f>
        <v>7</v>
      </c>
      <c r="E477" t="e">
        <f t="shared" si="22"/>
        <v>#N/A</v>
      </c>
      <c r="F477" s="28" t="str">
        <f t="shared" ca="1" si="23"/>
        <v/>
      </c>
    </row>
    <row r="478" spans="2:6" x14ac:dyDescent="0.2">
      <c r="B478" t="str">
        <f>IFERROR(IF('PDCA review'!$D$2=Plan!B479,Plan!G479,""),"")</f>
        <v/>
      </c>
      <c r="C478">
        <f t="shared" si="21"/>
        <v>0</v>
      </c>
      <c r="D478">
        <f>SUM($C$3:C478)</f>
        <v>7</v>
      </c>
      <c r="E478" t="e">
        <f t="shared" si="22"/>
        <v>#N/A</v>
      </c>
      <c r="F478" s="28" t="str">
        <f t="shared" ca="1" si="23"/>
        <v/>
      </c>
    </row>
    <row r="479" spans="2:6" x14ac:dyDescent="0.2">
      <c r="B479" t="str">
        <f>IFERROR(IF('PDCA review'!$D$2=Plan!B480,Plan!G480,""),"")</f>
        <v/>
      </c>
      <c r="C479">
        <f t="shared" si="21"/>
        <v>0</v>
      </c>
      <c r="D479">
        <f>SUM($C$3:C479)</f>
        <v>7</v>
      </c>
      <c r="E479" t="e">
        <f t="shared" si="22"/>
        <v>#N/A</v>
      </c>
      <c r="F479" s="28" t="str">
        <f t="shared" ca="1" si="23"/>
        <v/>
      </c>
    </row>
    <row r="480" spans="2:6" x14ac:dyDescent="0.2">
      <c r="B480" t="str">
        <f>IFERROR(IF('PDCA review'!$D$2=Plan!B481,Plan!G481,""),"")</f>
        <v/>
      </c>
      <c r="C480">
        <f t="shared" si="21"/>
        <v>0</v>
      </c>
      <c r="D480">
        <f>SUM($C$3:C480)</f>
        <v>7</v>
      </c>
      <c r="E480" t="e">
        <f t="shared" si="22"/>
        <v>#N/A</v>
      </c>
      <c r="F480" s="28" t="str">
        <f t="shared" ca="1" si="23"/>
        <v/>
      </c>
    </row>
    <row r="481" spans="2:6" x14ac:dyDescent="0.2">
      <c r="B481" t="str">
        <f>IFERROR(IF('PDCA review'!$D$2=Plan!B482,Plan!G482,""),"")</f>
        <v/>
      </c>
      <c r="C481">
        <f t="shared" si="21"/>
        <v>0</v>
      </c>
      <c r="D481">
        <f>SUM($C$3:C481)</f>
        <v>7</v>
      </c>
      <c r="E481" t="e">
        <f t="shared" si="22"/>
        <v>#N/A</v>
      </c>
      <c r="F481" s="28" t="str">
        <f t="shared" ca="1" si="23"/>
        <v/>
      </c>
    </row>
    <row r="482" spans="2:6" x14ac:dyDescent="0.2">
      <c r="B482" t="str">
        <f>IFERROR(IF('PDCA review'!$D$2=Plan!B483,Plan!G483,""),"")</f>
        <v/>
      </c>
      <c r="C482">
        <f t="shared" si="21"/>
        <v>0</v>
      </c>
      <c r="D482">
        <f>SUM($C$3:C482)</f>
        <v>7</v>
      </c>
      <c r="E482" t="e">
        <f t="shared" si="22"/>
        <v>#N/A</v>
      </c>
      <c r="F482" s="28" t="str">
        <f t="shared" ca="1" si="23"/>
        <v/>
      </c>
    </row>
    <row r="483" spans="2:6" x14ac:dyDescent="0.2">
      <c r="B483" t="str">
        <f>IFERROR(IF('PDCA review'!$D$2=Plan!B484,Plan!G484,""),"")</f>
        <v/>
      </c>
      <c r="C483">
        <f t="shared" si="21"/>
        <v>0</v>
      </c>
      <c r="D483">
        <f>SUM($C$3:C483)</f>
        <v>7</v>
      </c>
      <c r="E483" t="e">
        <f t="shared" si="22"/>
        <v>#N/A</v>
      </c>
      <c r="F483" s="28" t="str">
        <f t="shared" ca="1" si="23"/>
        <v/>
      </c>
    </row>
    <row r="484" spans="2:6" x14ac:dyDescent="0.2">
      <c r="B484" t="str">
        <f>IFERROR(IF('PDCA review'!$D$2=Plan!B485,Plan!G485,""),"")</f>
        <v/>
      </c>
      <c r="C484">
        <f t="shared" si="21"/>
        <v>0</v>
      </c>
      <c r="D484">
        <f>SUM($C$3:C484)</f>
        <v>7</v>
      </c>
      <c r="E484" t="e">
        <f t="shared" si="22"/>
        <v>#N/A</v>
      </c>
      <c r="F484" s="28" t="str">
        <f t="shared" ca="1" si="23"/>
        <v/>
      </c>
    </row>
    <row r="485" spans="2:6" x14ac:dyDescent="0.2">
      <c r="B485" t="str">
        <f>IFERROR(IF('PDCA review'!$D$2=Plan!B486,Plan!G486,""),"")</f>
        <v/>
      </c>
      <c r="C485">
        <f t="shared" si="21"/>
        <v>0</v>
      </c>
      <c r="D485">
        <f>SUM($C$3:C485)</f>
        <v>7</v>
      </c>
      <c r="E485" t="e">
        <f t="shared" si="22"/>
        <v>#N/A</v>
      </c>
      <c r="F485" s="28" t="str">
        <f t="shared" ca="1" si="23"/>
        <v/>
      </c>
    </row>
    <row r="486" spans="2:6" x14ac:dyDescent="0.2">
      <c r="B486" t="str">
        <f>IFERROR(IF('PDCA review'!$D$2=Plan!B487,Plan!G487,""),"")</f>
        <v/>
      </c>
      <c r="C486">
        <f t="shared" si="21"/>
        <v>0</v>
      </c>
      <c r="D486">
        <f>SUM($C$3:C486)</f>
        <v>7</v>
      </c>
      <c r="E486" t="e">
        <f t="shared" si="22"/>
        <v>#N/A</v>
      </c>
      <c r="F486" s="28" t="str">
        <f t="shared" ca="1" si="23"/>
        <v/>
      </c>
    </row>
    <row r="487" spans="2:6" x14ac:dyDescent="0.2">
      <c r="B487" t="str">
        <f>IFERROR(IF('PDCA review'!$D$2=Plan!B488,Plan!G488,""),"")</f>
        <v/>
      </c>
      <c r="C487">
        <f t="shared" si="21"/>
        <v>0</v>
      </c>
      <c r="D487">
        <f>SUM($C$3:C487)</f>
        <v>7</v>
      </c>
      <c r="E487" t="e">
        <f t="shared" si="22"/>
        <v>#N/A</v>
      </c>
      <c r="F487" s="28" t="str">
        <f t="shared" ca="1" si="23"/>
        <v/>
      </c>
    </row>
    <row r="488" spans="2:6" x14ac:dyDescent="0.2">
      <c r="B488" t="str">
        <f>IFERROR(IF('PDCA review'!$D$2=Plan!B489,Plan!G489,""),"")</f>
        <v/>
      </c>
      <c r="C488">
        <f t="shared" si="21"/>
        <v>0</v>
      </c>
      <c r="D488">
        <f>SUM($C$3:C488)</f>
        <v>7</v>
      </c>
      <c r="E488" t="e">
        <f t="shared" si="22"/>
        <v>#N/A</v>
      </c>
      <c r="F488" s="28" t="str">
        <f t="shared" ca="1" si="23"/>
        <v/>
      </c>
    </row>
    <row r="489" spans="2:6" x14ac:dyDescent="0.2">
      <c r="B489" t="str">
        <f>IFERROR(IF('PDCA review'!$D$2=Plan!B490,Plan!G490,""),"")</f>
        <v/>
      </c>
      <c r="C489">
        <f t="shared" si="21"/>
        <v>0</v>
      </c>
      <c r="D489">
        <f>SUM($C$3:C489)</f>
        <v>7</v>
      </c>
      <c r="E489" t="e">
        <f t="shared" si="22"/>
        <v>#N/A</v>
      </c>
      <c r="F489" s="28" t="str">
        <f t="shared" ca="1" si="23"/>
        <v/>
      </c>
    </row>
    <row r="490" spans="2:6" x14ac:dyDescent="0.2">
      <c r="B490" t="str">
        <f>IFERROR(IF('PDCA review'!$D$2=Plan!B491,Plan!G491,""),"")</f>
        <v/>
      </c>
      <c r="C490">
        <f t="shared" si="21"/>
        <v>0</v>
      </c>
      <c r="D490">
        <f>SUM($C$3:C490)</f>
        <v>7</v>
      </c>
      <c r="E490" t="e">
        <f t="shared" si="22"/>
        <v>#N/A</v>
      </c>
      <c r="F490" s="28" t="str">
        <f t="shared" ca="1" si="23"/>
        <v/>
      </c>
    </row>
    <row r="491" spans="2:6" x14ac:dyDescent="0.2">
      <c r="B491" t="str">
        <f>IFERROR(IF('PDCA review'!$D$2=Plan!B492,Plan!G492,""),"")</f>
        <v/>
      </c>
      <c r="C491">
        <f t="shared" si="21"/>
        <v>0</v>
      </c>
      <c r="D491">
        <f>SUM($C$3:C491)</f>
        <v>7</v>
      </c>
      <c r="E491" t="e">
        <f t="shared" si="22"/>
        <v>#N/A</v>
      </c>
      <c r="F491" s="28" t="str">
        <f t="shared" ca="1" si="23"/>
        <v/>
      </c>
    </row>
    <row r="492" spans="2:6" x14ac:dyDescent="0.2">
      <c r="B492" t="str">
        <f>IFERROR(IF('PDCA review'!$D$2=Plan!B493,Plan!G493,""),"")</f>
        <v/>
      </c>
      <c r="C492">
        <f t="shared" si="21"/>
        <v>0</v>
      </c>
      <c r="D492">
        <f>SUM($C$3:C492)</f>
        <v>7</v>
      </c>
      <c r="E492" t="e">
        <f t="shared" si="22"/>
        <v>#N/A</v>
      </c>
      <c r="F492" s="28" t="str">
        <f t="shared" ca="1" si="23"/>
        <v/>
      </c>
    </row>
    <row r="493" spans="2:6" x14ac:dyDescent="0.2">
      <c r="B493" t="str">
        <f>IFERROR(IF('PDCA review'!$D$2=Plan!B494,Plan!G494,""),"")</f>
        <v/>
      </c>
      <c r="C493">
        <f t="shared" si="21"/>
        <v>0</v>
      </c>
      <c r="D493">
        <f>SUM($C$3:C493)</f>
        <v>7</v>
      </c>
      <c r="E493" t="e">
        <f t="shared" si="22"/>
        <v>#N/A</v>
      </c>
      <c r="F493" s="28" t="str">
        <f t="shared" ca="1" si="23"/>
        <v/>
      </c>
    </row>
    <row r="494" spans="2:6" x14ac:dyDescent="0.2">
      <c r="B494" t="str">
        <f>IFERROR(IF('PDCA review'!$D$2=Plan!B495,Plan!G495,""),"")</f>
        <v/>
      </c>
      <c r="C494">
        <f t="shared" si="21"/>
        <v>0</v>
      </c>
      <c r="D494">
        <f>SUM($C$3:C494)</f>
        <v>7</v>
      </c>
      <c r="E494" t="e">
        <f t="shared" si="22"/>
        <v>#N/A</v>
      </c>
      <c r="F494" s="28" t="str">
        <f t="shared" ca="1" si="23"/>
        <v/>
      </c>
    </row>
    <row r="495" spans="2:6" x14ac:dyDescent="0.2">
      <c r="B495" t="str">
        <f>IFERROR(IF('PDCA review'!$D$2=Plan!B496,Plan!G496,""),"")</f>
        <v/>
      </c>
      <c r="C495">
        <f t="shared" si="21"/>
        <v>0</v>
      </c>
      <c r="D495">
        <f>SUM($C$3:C495)</f>
        <v>7</v>
      </c>
      <c r="E495" t="e">
        <f t="shared" si="22"/>
        <v>#N/A</v>
      </c>
      <c r="F495" s="28" t="str">
        <f t="shared" ca="1" si="23"/>
        <v/>
      </c>
    </row>
    <row r="496" spans="2:6" x14ac:dyDescent="0.2">
      <c r="B496" t="str">
        <f>IFERROR(IF('PDCA review'!$D$2=Plan!B497,Plan!G497,""),"")</f>
        <v/>
      </c>
      <c r="C496">
        <f t="shared" si="21"/>
        <v>0</v>
      </c>
      <c r="D496">
        <f>SUM($C$3:C496)</f>
        <v>7</v>
      </c>
      <c r="E496" t="e">
        <f t="shared" si="22"/>
        <v>#N/A</v>
      </c>
      <c r="F496" s="28" t="str">
        <f t="shared" ca="1" si="23"/>
        <v/>
      </c>
    </row>
    <row r="497" spans="2:6" x14ac:dyDescent="0.2">
      <c r="B497" t="str">
        <f>IFERROR(IF('PDCA review'!$D$2=Plan!B498,Plan!G498,""),"")</f>
        <v/>
      </c>
      <c r="C497">
        <f t="shared" si="21"/>
        <v>0</v>
      </c>
      <c r="D497">
        <f>SUM($C$3:C497)</f>
        <v>7</v>
      </c>
      <c r="E497" t="e">
        <f t="shared" si="22"/>
        <v>#N/A</v>
      </c>
      <c r="F497" s="28" t="str">
        <f t="shared" ca="1" si="23"/>
        <v/>
      </c>
    </row>
    <row r="498" spans="2:6" x14ac:dyDescent="0.2">
      <c r="B498" t="str">
        <f>IFERROR(IF('PDCA review'!$D$2=Plan!B499,Plan!G499,""),"")</f>
        <v/>
      </c>
      <c r="C498">
        <f t="shared" si="21"/>
        <v>0</v>
      </c>
      <c r="D498">
        <f>SUM($C$3:C498)</f>
        <v>7</v>
      </c>
      <c r="E498" t="e">
        <f t="shared" si="22"/>
        <v>#N/A</v>
      </c>
      <c r="F498" s="28" t="str">
        <f t="shared" ca="1" si="23"/>
        <v/>
      </c>
    </row>
    <row r="499" spans="2:6" x14ac:dyDescent="0.2">
      <c r="B499" t="str">
        <f>IFERROR(IF('PDCA review'!$D$2=Plan!B500,Plan!G500,""),"")</f>
        <v/>
      </c>
      <c r="C499">
        <f t="shared" si="21"/>
        <v>0</v>
      </c>
      <c r="D499">
        <f>SUM($C$3:C499)</f>
        <v>7</v>
      </c>
      <c r="E499" t="e">
        <f t="shared" si="22"/>
        <v>#N/A</v>
      </c>
      <c r="F499" s="28" t="str">
        <f t="shared" ca="1" si="23"/>
        <v/>
      </c>
    </row>
    <row r="500" spans="2:6" x14ac:dyDescent="0.2">
      <c r="B500" t="str">
        <f>IFERROR(IF('PDCA review'!$D$2=Plan!B501,Plan!G501,""),"")</f>
        <v/>
      </c>
      <c r="C500">
        <f t="shared" si="21"/>
        <v>0</v>
      </c>
      <c r="D500">
        <f>SUM($C$3:C500)</f>
        <v>7</v>
      </c>
      <c r="E500" t="e">
        <f t="shared" si="22"/>
        <v>#N/A</v>
      </c>
      <c r="F500" s="28" t="str">
        <f t="shared" ca="1" si="23"/>
        <v/>
      </c>
    </row>
    <row r="501" spans="2:6" x14ac:dyDescent="0.2">
      <c r="B501" t="str">
        <f>IFERROR(IF('PDCA review'!$D$2=Plan!B502,Plan!G502,""),"")</f>
        <v/>
      </c>
      <c r="C501">
        <f t="shared" si="21"/>
        <v>0</v>
      </c>
      <c r="D501">
        <f>SUM($C$3:C501)</f>
        <v>7</v>
      </c>
      <c r="E501" t="e">
        <f t="shared" si="22"/>
        <v>#N/A</v>
      </c>
      <c r="F501" s="28" t="str">
        <f t="shared" ca="1" si="23"/>
        <v/>
      </c>
    </row>
    <row r="502" spans="2:6" x14ac:dyDescent="0.2">
      <c r="B502" t="str">
        <f>IFERROR(IF('PDCA review'!$D$2=Plan!B503,Plan!G503,""),"")</f>
        <v/>
      </c>
      <c r="C502">
        <f t="shared" si="21"/>
        <v>0</v>
      </c>
      <c r="D502">
        <f>SUM($C$3:C502)</f>
        <v>7</v>
      </c>
      <c r="E502" t="e">
        <f t="shared" si="22"/>
        <v>#N/A</v>
      </c>
      <c r="F502" s="28" t="str">
        <f t="shared" ca="1" si="23"/>
        <v/>
      </c>
    </row>
    <row r="503" spans="2:6" x14ac:dyDescent="0.2">
      <c r="B503" t="str">
        <f>IFERROR(IF('PDCA review'!$D$2=Plan!B504,Plan!G504,""),"")</f>
        <v/>
      </c>
      <c r="C503">
        <f t="shared" si="21"/>
        <v>0</v>
      </c>
      <c r="D503">
        <f>SUM($C$3:C503)</f>
        <v>7</v>
      </c>
      <c r="E503" t="e">
        <f t="shared" si="22"/>
        <v>#N/A</v>
      </c>
      <c r="F503" s="28" t="str">
        <f t="shared" ca="1" si="23"/>
        <v/>
      </c>
    </row>
    <row r="504" spans="2:6" x14ac:dyDescent="0.2">
      <c r="B504" t="str">
        <f>IFERROR(IF('PDCA review'!$D$2=Plan!B505,Plan!G505,""),"")</f>
        <v/>
      </c>
      <c r="C504">
        <f t="shared" si="21"/>
        <v>0</v>
      </c>
      <c r="D504">
        <f>SUM($C$3:C504)</f>
        <v>7</v>
      </c>
      <c r="E504" t="e">
        <f t="shared" si="22"/>
        <v>#N/A</v>
      </c>
      <c r="F504" s="28" t="str">
        <f t="shared" ca="1" si="23"/>
        <v/>
      </c>
    </row>
    <row r="505" spans="2:6" x14ac:dyDescent="0.2">
      <c r="B505" t="str">
        <f>IFERROR(IF('PDCA review'!$D$2=Plan!B506,Plan!G506,""),"")</f>
        <v/>
      </c>
      <c r="C505">
        <f t="shared" si="21"/>
        <v>0</v>
      </c>
      <c r="D505">
        <f>SUM($C$3:C505)</f>
        <v>7</v>
      </c>
      <c r="E505" t="e">
        <f t="shared" si="22"/>
        <v>#N/A</v>
      </c>
      <c r="F505" s="28" t="str">
        <f t="shared" ca="1" si="23"/>
        <v/>
      </c>
    </row>
    <row r="506" spans="2:6" x14ac:dyDescent="0.2">
      <c r="B506" t="str">
        <f>IFERROR(IF('PDCA review'!$D$2=Plan!B507,Plan!G507,""),"")</f>
        <v/>
      </c>
      <c r="C506">
        <f t="shared" si="21"/>
        <v>0</v>
      </c>
      <c r="D506">
        <f>SUM($C$3:C506)</f>
        <v>7</v>
      </c>
      <c r="E506" t="e">
        <f t="shared" si="22"/>
        <v>#N/A</v>
      </c>
      <c r="F506" s="28" t="str">
        <f t="shared" ca="1" si="23"/>
        <v/>
      </c>
    </row>
    <row r="507" spans="2:6" x14ac:dyDescent="0.2">
      <c r="B507" t="str">
        <f>IFERROR(IF('PDCA review'!$D$2=Plan!B508,Plan!G508,""),"")</f>
        <v/>
      </c>
      <c r="C507">
        <f t="shared" si="21"/>
        <v>0</v>
      </c>
      <c r="D507">
        <f>SUM($C$3:C507)</f>
        <v>7</v>
      </c>
      <c r="E507" t="e">
        <f t="shared" si="22"/>
        <v>#N/A</v>
      </c>
      <c r="F507" s="28" t="str">
        <f t="shared" ca="1" si="23"/>
        <v/>
      </c>
    </row>
    <row r="508" spans="2:6" x14ac:dyDescent="0.2">
      <c r="B508" t="str">
        <f>IFERROR(IF('PDCA review'!$D$2=Plan!B509,Plan!G509,""),"")</f>
        <v/>
      </c>
      <c r="C508">
        <f t="shared" si="21"/>
        <v>0</v>
      </c>
      <c r="D508">
        <f>SUM($C$3:C508)</f>
        <v>7</v>
      </c>
      <c r="E508" t="e">
        <f t="shared" si="22"/>
        <v>#N/A</v>
      </c>
      <c r="F508" s="28" t="str">
        <f t="shared" ca="1" si="23"/>
        <v/>
      </c>
    </row>
    <row r="509" spans="2:6" x14ac:dyDescent="0.2">
      <c r="B509" t="str">
        <f>IFERROR(IF('PDCA review'!$D$2=Plan!B510,Plan!G510,""),"")</f>
        <v/>
      </c>
      <c r="C509">
        <f t="shared" si="21"/>
        <v>0</v>
      </c>
      <c r="D509">
        <f>SUM($C$3:C509)</f>
        <v>7</v>
      </c>
      <c r="E509" t="e">
        <f t="shared" si="22"/>
        <v>#N/A</v>
      </c>
      <c r="F509" s="28" t="str">
        <f t="shared" ca="1" si="23"/>
        <v/>
      </c>
    </row>
    <row r="510" spans="2:6" x14ac:dyDescent="0.2">
      <c r="B510" t="str">
        <f>IFERROR(IF('PDCA review'!$D$2=Plan!B511,Plan!G511,""),"")</f>
        <v/>
      </c>
      <c r="C510">
        <f t="shared" si="21"/>
        <v>0</v>
      </c>
      <c r="D510">
        <f>SUM($C$3:C510)</f>
        <v>7</v>
      </c>
      <c r="E510" t="e">
        <f t="shared" si="22"/>
        <v>#N/A</v>
      </c>
      <c r="F510" s="28" t="str">
        <f t="shared" ca="1" si="23"/>
        <v/>
      </c>
    </row>
    <row r="511" spans="2:6" x14ac:dyDescent="0.2">
      <c r="B511" t="str">
        <f>IFERROR(IF('PDCA review'!$D$2=Plan!B512,Plan!G512,""),"")</f>
        <v/>
      </c>
      <c r="C511">
        <f t="shared" si="21"/>
        <v>0</v>
      </c>
      <c r="D511">
        <f>SUM($C$3:C511)</f>
        <v>7</v>
      </c>
      <c r="E511" t="e">
        <f t="shared" si="22"/>
        <v>#N/A</v>
      </c>
      <c r="F511" s="28" t="str">
        <f t="shared" ca="1" si="23"/>
        <v/>
      </c>
    </row>
    <row r="512" spans="2:6" x14ac:dyDescent="0.2">
      <c r="B512" t="str">
        <f>IFERROR(IF('PDCA review'!$D$2=Plan!B513,Plan!G513,""),"")</f>
        <v/>
      </c>
      <c r="C512">
        <f t="shared" si="21"/>
        <v>0</v>
      </c>
      <c r="D512">
        <f>SUM($C$3:C512)</f>
        <v>7</v>
      </c>
      <c r="E512" t="e">
        <f t="shared" si="22"/>
        <v>#N/A</v>
      </c>
      <c r="F512" s="28" t="str">
        <f t="shared" ca="1" si="23"/>
        <v/>
      </c>
    </row>
    <row r="513" spans="2:6" x14ac:dyDescent="0.2">
      <c r="B513" t="str">
        <f>IFERROR(IF('PDCA review'!$D$2=Plan!B514,Plan!G514,""),"")</f>
        <v/>
      </c>
      <c r="C513">
        <f t="shared" si="21"/>
        <v>0</v>
      </c>
      <c r="D513">
        <f>SUM($C$3:C513)</f>
        <v>7</v>
      </c>
      <c r="E513" t="e">
        <f t="shared" si="22"/>
        <v>#N/A</v>
      </c>
      <c r="F513" s="28" t="str">
        <f t="shared" ca="1" si="23"/>
        <v/>
      </c>
    </row>
    <row r="514" spans="2:6" x14ac:dyDescent="0.2">
      <c r="B514" t="str">
        <f>IFERROR(IF('PDCA review'!$D$2=Plan!B515,Plan!G515,""),"")</f>
        <v/>
      </c>
      <c r="C514">
        <f t="shared" si="21"/>
        <v>0</v>
      </c>
      <c r="D514">
        <f>SUM($C$3:C514)</f>
        <v>7</v>
      </c>
      <c r="E514" t="e">
        <f t="shared" si="22"/>
        <v>#N/A</v>
      </c>
      <c r="F514" s="28" t="str">
        <f t="shared" ca="1" si="23"/>
        <v/>
      </c>
    </row>
    <row r="515" spans="2:6" x14ac:dyDescent="0.2">
      <c r="B515" t="str">
        <f>IFERROR(IF('PDCA review'!$D$2=Plan!B516,Plan!G516,""),"")</f>
        <v/>
      </c>
      <c r="C515">
        <f t="shared" si="21"/>
        <v>0</v>
      </c>
      <c r="D515">
        <f>SUM($C$3:C515)</f>
        <v>7</v>
      </c>
      <c r="E515" t="e">
        <f t="shared" si="22"/>
        <v>#N/A</v>
      </c>
      <c r="F515" s="28" t="str">
        <f t="shared" ca="1" si="23"/>
        <v/>
      </c>
    </row>
    <row r="516" spans="2:6" x14ac:dyDescent="0.2">
      <c r="B516" t="str">
        <f>IFERROR(IF('PDCA review'!$D$2=Plan!B517,Plan!G517,""),"")</f>
        <v/>
      </c>
      <c r="C516">
        <f t="shared" ref="C516:C579" si="24">IF(B516&lt;&gt;"",1,0)</f>
        <v>0</v>
      </c>
      <c r="D516">
        <f>SUM($C$3:C516)</f>
        <v>7</v>
      </c>
      <c r="E516" t="e">
        <f t="shared" ref="E516:E579" si="25">MATCH(ROW()-$D$2,$D$3:$D$2000,0)+$D$2</f>
        <v>#N/A</v>
      </c>
      <c r="F516" s="28" t="str">
        <f t="shared" ref="F516:F579" ca="1" si="26">IFERROR(INDIRECT("B"&amp;E516),"")</f>
        <v/>
      </c>
    </row>
    <row r="517" spans="2:6" x14ac:dyDescent="0.2">
      <c r="B517" t="str">
        <f>IFERROR(IF('PDCA review'!$D$2=Plan!B518,Plan!G518,""),"")</f>
        <v/>
      </c>
      <c r="C517">
        <f t="shared" si="24"/>
        <v>0</v>
      </c>
      <c r="D517">
        <f>SUM($C$3:C517)</f>
        <v>7</v>
      </c>
      <c r="E517" t="e">
        <f t="shared" si="25"/>
        <v>#N/A</v>
      </c>
      <c r="F517" s="28" t="str">
        <f t="shared" ca="1" si="26"/>
        <v/>
      </c>
    </row>
    <row r="518" spans="2:6" x14ac:dyDescent="0.2">
      <c r="B518" t="str">
        <f>IFERROR(IF('PDCA review'!$D$2=Plan!B519,Plan!G519,""),"")</f>
        <v/>
      </c>
      <c r="C518">
        <f t="shared" si="24"/>
        <v>0</v>
      </c>
      <c r="D518">
        <f>SUM($C$3:C518)</f>
        <v>7</v>
      </c>
      <c r="E518" t="e">
        <f t="shared" si="25"/>
        <v>#N/A</v>
      </c>
      <c r="F518" s="28" t="str">
        <f t="shared" ca="1" si="26"/>
        <v/>
      </c>
    </row>
    <row r="519" spans="2:6" x14ac:dyDescent="0.2">
      <c r="B519" t="str">
        <f>IFERROR(IF('PDCA review'!$D$2=Plan!B520,Plan!G520,""),"")</f>
        <v/>
      </c>
      <c r="C519">
        <f t="shared" si="24"/>
        <v>0</v>
      </c>
      <c r="D519">
        <f>SUM($C$3:C519)</f>
        <v>7</v>
      </c>
      <c r="E519" t="e">
        <f t="shared" si="25"/>
        <v>#N/A</v>
      </c>
      <c r="F519" s="28" t="str">
        <f t="shared" ca="1" si="26"/>
        <v/>
      </c>
    </row>
    <row r="520" spans="2:6" x14ac:dyDescent="0.2">
      <c r="B520" t="str">
        <f>IFERROR(IF('PDCA review'!$D$2=Plan!B521,Plan!G521,""),"")</f>
        <v/>
      </c>
      <c r="C520">
        <f t="shared" si="24"/>
        <v>0</v>
      </c>
      <c r="D520">
        <f>SUM($C$3:C520)</f>
        <v>7</v>
      </c>
      <c r="E520" t="e">
        <f t="shared" si="25"/>
        <v>#N/A</v>
      </c>
      <c r="F520" s="28" t="str">
        <f t="shared" ca="1" si="26"/>
        <v/>
      </c>
    </row>
    <row r="521" spans="2:6" x14ac:dyDescent="0.2">
      <c r="B521" t="str">
        <f>IFERROR(IF('PDCA review'!$D$2=Plan!B522,Plan!G522,""),"")</f>
        <v/>
      </c>
      <c r="C521">
        <f t="shared" si="24"/>
        <v>0</v>
      </c>
      <c r="D521">
        <f>SUM($C$3:C521)</f>
        <v>7</v>
      </c>
      <c r="E521" t="e">
        <f t="shared" si="25"/>
        <v>#N/A</v>
      </c>
      <c r="F521" s="28" t="str">
        <f t="shared" ca="1" si="26"/>
        <v/>
      </c>
    </row>
    <row r="522" spans="2:6" x14ac:dyDescent="0.2">
      <c r="B522" t="str">
        <f>IFERROR(IF('PDCA review'!$D$2=Plan!B523,Plan!G523,""),"")</f>
        <v/>
      </c>
      <c r="C522">
        <f t="shared" si="24"/>
        <v>0</v>
      </c>
      <c r="D522">
        <f>SUM($C$3:C522)</f>
        <v>7</v>
      </c>
      <c r="E522" t="e">
        <f t="shared" si="25"/>
        <v>#N/A</v>
      </c>
      <c r="F522" s="28" t="str">
        <f t="shared" ca="1" si="26"/>
        <v/>
      </c>
    </row>
    <row r="523" spans="2:6" x14ac:dyDescent="0.2">
      <c r="B523" t="str">
        <f>IFERROR(IF('PDCA review'!$D$2=Plan!B524,Plan!G524,""),"")</f>
        <v/>
      </c>
      <c r="C523">
        <f t="shared" si="24"/>
        <v>0</v>
      </c>
      <c r="D523">
        <f>SUM($C$3:C523)</f>
        <v>7</v>
      </c>
      <c r="E523" t="e">
        <f t="shared" si="25"/>
        <v>#N/A</v>
      </c>
      <c r="F523" s="28" t="str">
        <f t="shared" ca="1" si="26"/>
        <v/>
      </c>
    </row>
    <row r="524" spans="2:6" x14ac:dyDescent="0.2">
      <c r="B524" t="str">
        <f>IFERROR(IF('PDCA review'!$D$2=Plan!B525,Plan!G525,""),"")</f>
        <v/>
      </c>
      <c r="C524">
        <f t="shared" si="24"/>
        <v>0</v>
      </c>
      <c r="D524">
        <f>SUM($C$3:C524)</f>
        <v>7</v>
      </c>
      <c r="E524" t="e">
        <f t="shared" si="25"/>
        <v>#N/A</v>
      </c>
      <c r="F524" s="28" t="str">
        <f t="shared" ca="1" si="26"/>
        <v/>
      </c>
    </row>
    <row r="525" spans="2:6" x14ac:dyDescent="0.2">
      <c r="B525" t="str">
        <f>IFERROR(IF('PDCA review'!$D$2=Plan!B526,Plan!G526,""),"")</f>
        <v/>
      </c>
      <c r="C525">
        <f t="shared" si="24"/>
        <v>0</v>
      </c>
      <c r="D525">
        <f>SUM($C$3:C525)</f>
        <v>7</v>
      </c>
      <c r="E525" t="e">
        <f t="shared" si="25"/>
        <v>#N/A</v>
      </c>
      <c r="F525" s="28" t="str">
        <f t="shared" ca="1" si="26"/>
        <v/>
      </c>
    </row>
    <row r="526" spans="2:6" x14ac:dyDescent="0.2">
      <c r="B526" t="str">
        <f>IFERROR(IF('PDCA review'!$D$2=Plan!B527,Plan!G527,""),"")</f>
        <v/>
      </c>
      <c r="C526">
        <f t="shared" si="24"/>
        <v>0</v>
      </c>
      <c r="D526">
        <f>SUM($C$3:C526)</f>
        <v>7</v>
      </c>
      <c r="E526" t="e">
        <f t="shared" si="25"/>
        <v>#N/A</v>
      </c>
      <c r="F526" s="28" t="str">
        <f t="shared" ca="1" si="26"/>
        <v/>
      </c>
    </row>
    <row r="527" spans="2:6" x14ac:dyDescent="0.2">
      <c r="B527" t="str">
        <f>IFERROR(IF('PDCA review'!$D$2=Plan!B528,Plan!G528,""),"")</f>
        <v/>
      </c>
      <c r="C527">
        <f t="shared" si="24"/>
        <v>0</v>
      </c>
      <c r="D527">
        <f>SUM($C$3:C527)</f>
        <v>7</v>
      </c>
      <c r="E527" t="e">
        <f t="shared" si="25"/>
        <v>#N/A</v>
      </c>
      <c r="F527" s="28" t="str">
        <f t="shared" ca="1" si="26"/>
        <v/>
      </c>
    </row>
    <row r="528" spans="2:6" x14ac:dyDescent="0.2">
      <c r="B528" t="str">
        <f>IFERROR(IF('PDCA review'!$D$2=Plan!B529,Plan!G529,""),"")</f>
        <v/>
      </c>
      <c r="C528">
        <f t="shared" si="24"/>
        <v>0</v>
      </c>
      <c r="D528">
        <f>SUM($C$3:C528)</f>
        <v>7</v>
      </c>
      <c r="E528" t="e">
        <f t="shared" si="25"/>
        <v>#N/A</v>
      </c>
      <c r="F528" s="28" t="str">
        <f t="shared" ca="1" si="26"/>
        <v/>
      </c>
    </row>
    <row r="529" spans="2:6" x14ac:dyDescent="0.2">
      <c r="B529" t="str">
        <f>IFERROR(IF('PDCA review'!$D$2=Plan!B530,Plan!G530,""),"")</f>
        <v/>
      </c>
      <c r="C529">
        <f t="shared" si="24"/>
        <v>0</v>
      </c>
      <c r="D529">
        <f>SUM($C$3:C529)</f>
        <v>7</v>
      </c>
      <c r="E529" t="e">
        <f t="shared" si="25"/>
        <v>#N/A</v>
      </c>
      <c r="F529" s="28" t="str">
        <f t="shared" ca="1" si="26"/>
        <v/>
      </c>
    </row>
    <row r="530" spans="2:6" x14ac:dyDescent="0.2">
      <c r="B530" t="str">
        <f>IFERROR(IF('PDCA review'!$D$2=Plan!B531,Plan!G531,""),"")</f>
        <v/>
      </c>
      <c r="C530">
        <f t="shared" si="24"/>
        <v>0</v>
      </c>
      <c r="D530">
        <f>SUM($C$3:C530)</f>
        <v>7</v>
      </c>
      <c r="E530" t="e">
        <f t="shared" si="25"/>
        <v>#N/A</v>
      </c>
      <c r="F530" s="28" t="str">
        <f t="shared" ca="1" si="26"/>
        <v/>
      </c>
    </row>
    <row r="531" spans="2:6" x14ac:dyDescent="0.2">
      <c r="B531" t="str">
        <f>IFERROR(IF('PDCA review'!$D$2=Plan!B532,Plan!G532,""),"")</f>
        <v/>
      </c>
      <c r="C531">
        <f t="shared" si="24"/>
        <v>0</v>
      </c>
      <c r="D531">
        <f>SUM($C$3:C531)</f>
        <v>7</v>
      </c>
      <c r="E531" t="e">
        <f t="shared" si="25"/>
        <v>#N/A</v>
      </c>
      <c r="F531" s="28" t="str">
        <f t="shared" ca="1" si="26"/>
        <v/>
      </c>
    </row>
    <row r="532" spans="2:6" x14ac:dyDescent="0.2">
      <c r="B532" t="str">
        <f>IFERROR(IF('PDCA review'!$D$2=Plan!B533,Plan!G533,""),"")</f>
        <v/>
      </c>
      <c r="C532">
        <f t="shared" si="24"/>
        <v>0</v>
      </c>
      <c r="D532">
        <f>SUM($C$3:C532)</f>
        <v>7</v>
      </c>
      <c r="E532" t="e">
        <f t="shared" si="25"/>
        <v>#N/A</v>
      </c>
      <c r="F532" s="28" t="str">
        <f t="shared" ca="1" si="26"/>
        <v/>
      </c>
    </row>
    <row r="533" spans="2:6" x14ac:dyDescent="0.2">
      <c r="B533" t="str">
        <f>IFERROR(IF('PDCA review'!$D$2=Plan!B534,Plan!G534,""),"")</f>
        <v/>
      </c>
      <c r="C533">
        <f t="shared" si="24"/>
        <v>0</v>
      </c>
      <c r="D533">
        <f>SUM($C$3:C533)</f>
        <v>7</v>
      </c>
      <c r="E533" t="e">
        <f t="shared" si="25"/>
        <v>#N/A</v>
      </c>
      <c r="F533" s="28" t="str">
        <f t="shared" ca="1" si="26"/>
        <v/>
      </c>
    </row>
    <row r="534" spans="2:6" x14ac:dyDescent="0.2">
      <c r="B534" t="str">
        <f>IFERROR(IF('PDCA review'!$D$2=Plan!B535,Plan!G535,""),"")</f>
        <v/>
      </c>
      <c r="C534">
        <f t="shared" si="24"/>
        <v>0</v>
      </c>
      <c r="D534">
        <f>SUM($C$3:C534)</f>
        <v>7</v>
      </c>
      <c r="E534" t="e">
        <f t="shared" si="25"/>
        <v>#N/A</v>
      </c>
      <c r="F534" s="28" t="str">
        <f t="shared" ca="1" si="26"/>
        <v/>
      </c>
    </row>
    <row r="535" spans="2:6" x14ac:dyDescent="0.2">
      <c r="B535" t="str">
        <f>IFERROR(IF('PDCA review'!$D$2=Plan!B536,Plan!G536,""),"")</f>
        <v/>
      </c>
      <c r="C535">
        <f t="shared" si="24"/>
        <v>0</v>
      </c>
      <c r="D535">
        <f>SUM($C$3:C535)</f>
        <v>7</v>
      </c>
      <c r="E535" t="e">
        <f t="shared" si="25"/>
        <v>#N/A</v>
      </c>
      <c r="F535" s="28" t="str">
        <f t="shared" ca="1" si="26"/>
        <v/>
      </c>
    </row>
    <row r="536" spans="2:6" x14ac:dyDescent="0.2">
      <c r="B536" t="str">
        <f>IFERROR(IF('PDCA review'!$D$2=Plan!B537,Plan!G537,""),"")</f>
        <v/>
      </c>
      <c r="C536">
        <f t="shared" si="24"/>
        <v>0</v>
      </c>
      <c r="D536">
        <f>SUM($C$3:C536)</f>
        <v>7</v>
      </c>
      <c r="E536" t="e">
        <f t="shared" si="25"/>
        <v>#N/A</v>
      </c>
      <c r="F536" s="28" t="str">
        <f t="shared" ca="1" si="26"/>
        <v/>
      </c>
    </row>
    <row r="537" spans="2:6" x14ac:dyDescent="0.2">
      <c r="B537" t="str">
        <f>IFERROR(IF('PDCA review'!$D$2=Plan!B538,Plan!G538,""),"")</f>
        <v/>
      </c>
      <c r="C537">
        <f t="shared" si="24"/>
        <v>0</v>
      </c>
      <c r="D537">
        <f>SUM($C$3:C537)</f>
        <v>7</v>
      </c>
      <c r="E537" t="e">
        <f t="shared" si="25"/>
        <v>#N/A</v>
      </c>
      <c r="F537" s="28" t="str">
        <f t="shared" ca="1" si="26"/>
        <v/>
      </c>
    </row>
    <row r="538" spans="2:6" x14ac:dyDescent="0.2">
      <c r="B538" t="str">
        <f>IFERROR(IF('PDCA review'!$D$2=Plan!B539,Plan!G539,""),"")</f>
        <v/>
      </c>
      <c r="C538">
        <f t="shared" si="24"/>
        <v>0</v>
      </c>
      <c r="D538">
        <f>SUM($C$3:C538)</f>
        <v>7</v>
      </c>
      <c r="E538" t="e">
        <f t="shared" si="25"/>
        <v>#N/A</v>
      </c>
      <c r="F538" s="28" t="str">
        <f t="shared" ca="1" si="26"/>
        <v/>
      </c>
    </row>
    <row r="539" spans="2:6" x14ac:dyDescent="0.2">
      <c r="B539" t="str">
        <f>IFERROR(IF('PDCA review'!$D$2=Plan!B540,Plan!G540,""),"")</f>
        <v/>
      </c>
      <c r="C539">
        <f t="shared" si="24"/>
        <v>0</v>
      </c>
      <c r="D539">
        <f>SUM($C$3:C539)</f>
        <v>7</v>
      </c>
      <c r="E539" t="e">
        <f t="shared" si="25"/>
        <v>#N/A</v>
      </c>
      <c r="F539" s="28" t="str">
        <f t="shared" ca="1" si="26"/>
        <v/>
      </c>
    </row>
    <row r="540" spans="2:6" x14ac:dyDescent="0.2">
      <c r="B540" t="str">
        <f>IFERROR(IF('PDCA review'!$D$2=Plan!B541,Plan!G541,""),"")</f>
        <v/>
      </c>
      <c r="C540">
        <f t="shared" si="24"/>
        <v>0</v>
      </c>
      <c r="D540">
        <f>SUM($C$3:C540)</f>
        <v>7</v>
      </c>
      <c r="E540" t="e">
        <f t="shared" si="25"/>
        <v>#N/A</v>
      </c>
      <c r="F540" s="28" t="str">
        <f t="shared" ca="1" si="26"/>
        <v/>
      </c>
    </row>
    <row r="541" spans="2:6" x14ac:dyDescent="0.2">
      <c r="B541" t="str">
        <f>IFERROR(IF('PDCA review'!$D$2=Plan!B542,Plan!G542,""),"")</f>
        <v/>
      </c>
      <c r="C541">
        <f t="shared" si="24"/>
        <v>0</v>
      </c>
      <c r="D541">
        <f>SUM($C$3:C541)</f>
        <v>7</v>
      </c>
      <c r="E541" t="e">
        <f t="shared" si="25"/>
        <v>#N/A</v>
      </c>
      <c r="F541" s="28" t="str">
        <f t="shared" ca="1" si="26"/>
        <v/>
      </c>
    </row>
    <row r="542" spans="2:6" x14ac:dyDescent="0.2">
      <c r="B542" t="str">
        <f>IFERROR(IF('PDCA review'!$D$2=Plan!B543,Plan!G543,""),"")</f>
        <v/>
      </c>
      <c r="C542">
        <f t="shared" si="24"/>
        <v>0</v>
      </c>
      <c r="D542">
        <f>SUM($C$3:C542)</f>
        <v>7</v>
      </c>
      <c r="E542" t="e">
        <f t="shared" si="25"/>
        <v>#N/A</v>
      </c>
      <c r="F542" s="28" t="str">
        <f t="shared" ca="1" si="26"/>
        <v/>
      </c>
    </row>
    <row r="543" spans="2:6" x14ac:dyDescent="0.2">
      <c r="B543" t="str">
        <f>IFERROR(IF('PDCA review'!$D$2=Plan!B544,Plan!G544,""),"")</f>
        <v/>
      </c>
      <c r="C543">
        <f t="shared" si="24"/>
        <v>0</v>
      </c>
      <c r="D543">
        <f>SUM($C$3:C543)</f>
        <v>7</v>
      </c>
      <c r="E543" t="e">
        <f t="shared" si="25"/>
        <v>#N/A</v>
      </c>
      <c r="F543" s="28" t="str">
        <f t="shared" ca="1" si="26"/>
        <v/>
      </c>
    </row>
    <row r="544" spans="2:6" x14ac:dyDescent="0.2">
      <c r="B544" t="str">
        <f>IFERROR(IF('PDCA review'!$D$2=Plan!B545,Plan!G545,""),"")</f>
        <v/>
      </c>
      <c r="C544">
        <f t="shared" si="24"/>
        <v>0</v>
      </c>
      <c r="D544">
        <f>SUM($C$3:C544)</f>
        <v>7</v>
      </c>
      <c r="E544" t="e">
        <f t="shared" si="25"/>
        <v>#N/A</v>
      </c>
      <c r="F544" s="28" t="str">
        <f t="shared" ca="1" si="26"/>
        <v/>
      </c>
    </row>
    <row r="545" spans="2:6" x14ac:dyDescent="0.2">
      <c r="B545" t="str">
        <f>IFERROR(IF('PDCA review'!$D$2=Plan!B546,Plan!G546,""),"")</f>
        <v/>
      </c>
      <c r="C545">
        <f t="shared" si="24"/>
        <v>0</v>
      </c>
      <c r="D545">
        <f>SUM($C$3:C545)</f>
        <v>7</v>
      </c>
      <c r="E545" t="e">
        <f t="shared" si="25"/>
        <v>#N/A</v>
      </c>
      <c r="F545" s="28" t="str">
        <f t="shared" ca="1" si="26"/>
        <v/>
      </c>
    </row>
    <row r="546" spans="2:6" x14ac:dyDescent="0.2">
      <c r="B546" t="str">
        <f>IFERROR(IF('PDCA review'!$D$2=Plan!B547,Plan!G547,""),"")</f>
        <v/>
      </c>
      <c r="C546">
        <f t="shared" si="24"/>
        <v>0</v>
      </c>
      <c r="D546">
        <f>SUM($C$3:C546)</f>
        <v>7</v>
      </c>
      <c r="E546" t="e">
        <f t="shared" si="25"/>
        <v>#N/A</v>
      </c>
      <c r="F546" s="28" t="str">
        <f t="shared" ca="1" si="26"/>
        <v/>
      </c>
    </row>
    <row r="547" spans="2:6" x14ac:dyDescent="0.2">
      <c r="B547" t="str">
        <f>IFERROR(IF('PDCA review'!$D$2=Plan!B548,Plan!G548,""),"")</f>
        <v/>
      </c>
      <c r="C547">
        <f t="shared" si="24"/>
        <v>0</v>
      </c>
      <c r="D547">
        <f>SUM($C$3:C547)</f>
        <v>7</v>
      </c>
      <c r="E547" t="e">
        <f t="shared" si="25"/>
        <v>#N/A</v>
      </c>
      <c r="F547" s="28" t="str">
        <f t="shared" ca="1" si="26"/>
        <v/>
      </c>
    </row>
    <row r="548" spans="2:6" x14ac:dyDescent="0.2">
      <c r="B548" t="str">
        <f>IFERROR(IF('PDCA review'!$D$2=Plan!B549,Plan!G549,""),"")</f>
        <v/>
      </c>
      <c r="C548">
        <f t="shared" si="24"/>
        <v>0</v>
      </c>
      <c r="D548">
        <f>SUM($C$3:C548)</f>
        <v>7</v>
      </c>
      <c r="E548" t="e">
        <f t="shared" si="25"/>
        <v>#N/A</v>
      </c>
      <c r="F548" s="28" t="str">
        <f t="shared" ca="1" si="26"/>
        <v/>
      </c>
    </row>
    <row r="549" spans="2:6" x14ac:dyDescent="0.2">
      <c r="B549" t="str">
        <f>IFERROR(IF('PDCA review'!$D$2=Plan!B550,Plan!G550,""),"")</f>
        <v/>
      </c>
      <c r="C549">
        <f t="shared" si="24"/>
        <v>0</v>
      </c>
      <c r="D549">
        <f>SUM($C$3:C549)</f>
        <v>7</v>
      </c>
      <c r="E549" t="e">
        <f t="shared" si="25"/>
        <v>#N/A</v>
      </c>
      <c r="F549" s="28" t="str">
        <f t="shared" ca="1" si="26"/>
        <v/>
      </c>
    </row>
    <row r="550" spans="2:6" x14ac:dyDescent="0.2">
      <c r="B550" t="str">
        <f>IFERROR(IF('PDCA review'!$D$2=Plan!B551,Plan!G551,""),"")</f>
        <v/>
      </c>
      <c r="C550">
        <f t="shared" si="24"/>
        <v>0</v>
      </c>
      <c r="D550">
        <f>SUM($C$3:C550)</f>
        <v>7</v>
      </c>
      <c r="E550" t="e">
        <f t="shared" si="25"/>
        <v>#N/A</v>
      </c>
      <c r="F550" s="28" t="str">
        <f t="shared" ca="1" si="26"/>
        <v/>
      </c>
    </row>
    <row r="551" spans="2:6" x14ac:dyDescent="0.2">
      <c r="B551" t="str">
        <f>IFERROR(IF('PDCA review'!$D$2=Plan!B552,Plan!G552,""),"")</f>
        <v/>
      </c>
      <c r="C551">
        <f t="shared" si="24"/>
        <v>0</v>
      </c>
      <c r="D551">
        <f>SUM($C$3:C551)</f>
        <v>7</v>
      </c>
      <c r="E551" t="e">
        <f t="shared" si="25"/>
        <v>#N/A</v>
      </c>
      <c r="F551" s="28" t="str">
        <f t="shared" ca="1" si="26"/>
        <v/>
      </c>
    </row>
    <row r="552" spans="2:6" x14ac:dyDescent="0.2">
      <c r="B552" t="str">
        <f>IFERROR(IF('PDCA review'!$D$2=Plan!B553,Plan!G553,""),"")</f>
        <v/>
      </c>
      <c r="C552">
        <f t="shared" si="24"/>
        <v>0</v>
      </c>
      <c r="D552">
        <f>SUM($C$3:C552)</f>
        <v>7</v>
      </c>
      <c r="E552" t="e">
        <f t="shared" si="25"/>
        <v>#N/A</v>
      </c>
      <c r="F552" s="28" t="str">
        <f t="shared" ca="1" si="26"/>
        <v/>
      </c>
    </row>
    <row r="553" spans="2:6" x14ac:dyDescent="0.2">
      <c r="B553" t="str">
        <f>IFERROR(IF('PDCA review'!$D$2=Plan!B554,Plan!G554,""),"")</f>
        <v/>
      </c>
      <c r="C553">
        <f t="shared" si="24"/>
        <v>0</v>
      </c>
      <c r="D553">
        <f>SUM($C$3:C553)</f>
        <v>7</v>
      </c>
      <c r="E553" t="e">
        <f t="shared" si="25"/>
        <v>#N/A</v>
      </c>
      <c r="F553" s="28" t="str">
        <f t="shared" ca="1" si="26"/>
        <v/>
      </c>
    </row>
    <row r="554" spans="2:6" x14ac:dyDescent="0.2">
      <c r="B554" t="str">
        <f>IFERROR(IF('PDCA review'!$D$2=Plan!B555,Plan!G555,""),"")</f>
        <v/>
      </c>
      <c r="C554">
        <f t="shared" si="24"/>
        <v>0</v>
      </c>
      <c r="D554">
        <f>SUM($C$3:C554)</f>
        <v>7</v>
      </c>
      <c r="E554" t="e">
        <f t="shared" si="25"/>
        <v>#N/A</v>
      </c>
      <c r="F554" s="28" t="str">
        <f t="shared" ca="1" si="26"/>
        <v/>
      </c>
    </row>
    <row r="555" spans="2:6" x14ac:dyDescent="0.2">
      <c r="B555" t="str">
        <f>IFERROR(IF('PDCA review'!$D$2=Plan!B556,Plan!G556,""),"")</f>
        <v/>
      </c>
      <c r="C555">
        <f t="shared" si="24"/>
        <v>0</v>
      </c>
      <c r="D555">
        <f>SUM($C$3:C555)</f>
        <v>7</v>
      </c>
      <c r="E555" t="e">
        <f t="shared" si="25"/>
        <v>#N/A</v>
      </c>
      <c r="F555" s="28" t="str">
        <f t="shared" ca="1" si="26"/>
        <v/>
      </c>
    </row>
    <row r="556" spans="2:6" x14ac:dyDescent="0.2">
      <c r="B556" t="str">
        <f>IFERROR(IF('PDCA review'!$D$2=Plan!B557,Plan!G557,""),"")</f>
        <v/>
      </c>
      <c r="C556">
        <f t="shared" si="24"/>
        <v>0</v>
      </c>
      <c r="D556">
        <f>SUM($C$3:C556)</f>
        <v>7</v>
      </c>
      <c r="E556" t="e">
        <f t="shared" si="25"/>
        <v>#N/A</v>
      </c>
      <c r="F556" s="28" t="str">
        <f t="shared" ca="1" si="26"/>
        <v/>
      </c>
    </row>
    <row r="557" spans="2:6" x14ac:dyDescent="0.2">
      <c r="B557" t="str">
        <f>IFERROR(IF('PDCA review'!$D$2=Plan!B558,Plan!G558,""),"")</f>
        <v/>
      </c>
      <c r="C557">
        <f t="shared" si="24"/>
        <v>0</v>
      </c>
      <c r="D557">
        <f>SUM($C$3:C557)</f>
        <v>7</v>
      </c>
      <c r="E557" t="e">
        <f t="shared" si="25"/>
        <v>#N/A</v>
      </c>
      <c r="F557" s="28" t="str">
        <f t="shared" ca="1" si="26"/>
        <v/>
      </c>
    </row>
    <row r="558" spans="2:6" x14ac:dyDescent="0.2">
      <c r="B558" t="str">
        <f>IFERROR(IF('PDCA review'!$D$2=Plan!B559,Plan!G559,""),"")</f>
        <v/>
      </c>
      <c r="C558">
        <f t="shared" si="24"/>
        <v>0</v>
      </c>
      <c r="D558">
        <f>SUM($C$3:C558)</f>
        <v>7</v>
      </c>
      <c r="E558" t="e">
        <f t="shared" si="25"/>
        <v>#N/A</v>
      </c>
      <c r="F558" s="28" t="str">
        <f t="shared" ca="1" si="26"/>
        <v/>
      </c>
    </row>
    <row r="559" spans="2:6" x14ac:dyDescent="0.2">
      <c r="B559" t="str">
        <f>IFERROR(IF('PDCA review'!$D$2=Plan!B560,Plan!G560,""),"")</f>
        <v/>
      </c>
      <c r="C559">
        <f t="shared" si="24"/>
        <v>0</v>
      </c>
      <c r="D559">
        <f>SUM($C$3:C559)</f>
        <v>7</v>
      </c>
      <c r="E559" t="e">
        <f t="shared" si="25"/>
        <v>#N/A</v>
      </c>
      <c r="F559" s="28" t="str">
        <f t="shared" ca="1" si="26"/>
        <v/>
      </c>
    </row>
    <row r="560" spans="2:6" x14ac:dyDescent="0.2">
      <c r="B560" t="str">
        <f>IFERROR(IF('PDCA review'!$D$2=Plan!B561,Plan!G561,""),"")</f>
        <v/>
      </c>
      <c r="C560">
        <f t="shared" si="24"/>
        <v>0</v>
      </c>
      <c r="D560">
        <f>SUM($C$3:C560)</f>
        <v>7</v>
      </c>
      <c r="E560" t="e">
        <f t="shared" si="25"/>
        <v>#N/A</v>
      </c>
      <c r="F560" s="28" t="str">
        <f t="shared" ca="1" si="26"/>
        <v/>
      </c>
    </row>
    <row r="561" spans="2:6" x14ac:dyDescent="0.2">
      <c r="B561" t="str">
        <f>IFERROR(IF('PDCA review'!$D$2=Plan!B562,Plan!G562,""),"")</f>
        <v/>
      </c>
      <c r="C561">
        <f t="shared" si="24"/>
        <v>0</v>
      </c>
      <c r="D561">
        <f>SUM($C$3:C561)</f>
        <v>7</v>
      </c>
      <c r="E561" t="e">
        <f t="shared" si="25"/>
        <v>#N/A</v>
      </c>
      <c r="F561" s="28" t="str">
        <f t="shared" ca="1" si="26"/>
        <v/>
      </c>
    </row>
    <row r="562" spans="2:6" x14ac:dyDescent="0.2">
      <c r="B562" t="str">
        <f>IFERROR(IF('PDCA review'!$D$2=Plan!B563,Plan!G563,""),"")</f>
        <v/>
      </c>
      <c r="C562">
        <f t="shared" si="24"/>
        <v>0</v>
      </c>
      <c r="D562">
        <f>SUM($C$3:C562)</f>
        <v>7</v>
      </c>
      <c r="E562" t="e">
        <f t="shared" si="25"/>
        <v>#N/A</v>
      </c>
      <c r="F562" s="28" t="str">
        <f t="shared" ca="1" si="26"/>
        <v/>
      </c>
    </row>
    <row r="563" spans="2:6" x14ac:dyDescent="0.2">
      <c r="B563" t="str">
        <f>IFERROR(IF('PDCA review'!$D$2=Plan!B564,Plan!G564,""),"")</f>
        <v/>
      </c>
      <c r="C563">
        <f t="shared" si="24"/>
        <v>0</v>
      </c>
      <c r="D563">
        <f>SUM($C$3:C563)</f>
        <v>7</v>
      </c>
      <c r="E563" t="e">
        <f t="shared" si="25"/>
        <v>#N/A</v>
      </c>
      <c r="F563" s="28" t="str">
        <f t="shared" ca="1" si="26"/>
        <v/>
      </c>
    </row>
    <row r="564" spans="2:6" x14ac:dyDescent="0.2">
      <c r="B564" t="str">
        <f>IFERROR(IF('PDCA review'!$D$2=Plan!B565,Plan!G565,""),"")</f>
        <v/>
      </c>
      <c r="C564">
        <f t="shared" si="24"/>
        <v>0</v>
      </c>
      <c r="D564">
        <f>SUM($C$3:C564)</f>
        <v>7</v>
      </c>
      <c r="E564" t="e">
        <f t="shared" si="25"/>
        <v>#N/A</v>
      </c>
      <c r="F564" s="28" t="str">
        <f t="shared" ca="1" si="26"/>
        <v/>
      </c>
    </row>
    <row r="565" spans="2:6" x14ac:dyDescent="0.2">
      <c r="B565" t="str">
        <f>IFERROR(IF('PDCA review'!$D$2=Plan!B566,Plan!G566,""),"")</f>
        <v/>
      </c>
      <c r="C565">
        <f t="shared" si="24"/>
        <v>0</v>
      </c>
      <c r="D565">
        <f>SUM($C$3:C565)</f>
        <v>7</v>
      </c>
      <c r="E565" t="e">
        <f t="shared" si="25"/>
        <v>#N/A</v>
      </c>
      <c r="F565" s="28" t="str">
        <f t="shared" ca="1" si="26"/>
        <v/>
      </c>
    </row>
    <row r="566" spans="2:6" x14ac:dyDescent="0.2">
      <c r="B566" t="str">
        <f>IFERROR(IF('PDCA review'!$D$2=Plan!B567,Plan!G567,""),"")</f>
        <v/>
      </c>
      <c r="C566">
        <f t="shared" si="24"/>
        <v>0</v>
      </c>
      <c r="D566">
        <f>SUM($C$3:C566)</f>
        <v>7</v>
      </c>
      <c r="E566" t="e">
        <f t="shared" si="25"/>
        <v>#N/A</v>
      </c>
      <c r="F566" s="28" t="str">
        <f t="shared" ca="1" si="26"/>
        <v/>
      </c>
    </row>
    <row r="567" spans="2:6" x14ac:dyDescent="0.2">
      <c r="B567" t="str">
        <f>IFERROR(IF('PDCA review'!$D$2=Plan!B568,Plan!G568,""),"")</f>
        <v/>
      </c>
      <c r="C567">
        <f t="shared" si="24"/>
        <v>0</v>
      </c>
      <c r="D567">
        <f>SUM($C$3:C567)</f>
        <v>7</v>
      </c>
      <c r="E567" t="e">
        <f t="shared" si="25"/>
        <v>#N/A</v>
      </c>
      <c r="F567" s="28" t="str">
        <f t="shared" ca="1" si="26"/>
        <v/>
      </c>
    </row>
    <row r="568" spans="2:6" x14ac:dyDescent="0.2">
      <c r="B568" t="str">
        <f>IFERROR(IF('PDCA review'!$D$2=Plan!B569,Plan!G569,""),"")</f>
        <v/>
      </c>
      <c r="C568">
        <f t="shared" si="24"/>
        <v>0</v>
      </c>
      <c r="D568">
        <f>SUM($C$3:C568)</f>
        <v>7</v>
      </c>
      <c r="E568" t="e">
        <f t="shared" si="25"/>
        <v>#N/A</v>
      </c>
      <c r="F568" s="28" t="str">
        <f t="shared" ca="1" si="26"/>
        <v/>
      </c>
    </row>
    <row r="569" spans="2:6" x14ac:dyDescent="0.2">
      <c r="B569" t="str">
        <f>IFERROR(IF('PDCA review'!$D$2=Plan!B570,Plan!G570,""),"")</f>
        <v/>
      </c>
      <c r="C569">
        <f t="shared" si="24"/>
        <v>0</v>
      </c>
      <c r="D569">
        <f>SUM($C$3:C569)</f>
        <v>7</v>
      </c>
      <c r="E569" t="e">
        <f t="shared" si="25"/>
        <v>#N/A</v>
      </c>
      <c r="F569" s="28" t="str">
        <f t="shared" ca="1" si="26"/>
        <v/>
      </c>
    </row>
    <row r="570" spans="2:6" x14ac:dyDescent="0.2">
      <c r="B570" t="str">
        <f>IFERROR(IF('PDCA review'!$D$2=Plan!B571,Plan!G571,""),"")</f>
        <v/>
      </c>
      <c r="C570">
        <f t="shared" si="24"/>
        <v>0</v>
      </c>
      <c r="D570">
        <f>SUM($C$3:C570)</f>
        <v>7</v>
      </c>
      <c r="E570" t="e">
        <f t="shared" si="25"/>
        <v>#N/A</v>
      </c>
      <c r="F570" s="28" t="str">
        <f t="shared" ca="1" si="26"/>
        <v/>
      </c>
    </row>
    <row r="571" spans="2:6" x14ac:dyDescent="0.2">
      <c r="B571" t="str">
        <f>IFERROR(IF('PDCA review'!$D$2=Plan!B572,Plan!G572,""),"")</f>
        <v/>
      </c>
      <c r="C571">
        <f t="shared" si="24"/>
        <v>0</v>
      </c>
      <c r="D571">
        <f>SUM($C$3:C571)</f>
        <v>7</v>
      </c>
      <c r="E571" t="e">
        <f t="shared" si="25"/>
        <v>#N/A</v>
      </c>
      <c r="F571" s="28" t="str">
        <f t="shared" ca="1" si="26"/>
        <v/>
      </c>
    </row>
    <row r="572" spans="2:6" x14ac:dyDescent="0.2">
      <c r="B572" t="str">
        <f>IFERROR(IF('PDCA review'!$D$2=Plan!B573,Plan!G573,""),"")</f>
        <v/>
      </c>
      <c r="C572">
        <f t="shared" si="24"/>
        <v>0</v>
      </c>
      <c r="D572">
        <f>SUM($C$3:C572)</f>
        <v>7</v>
      </c>
      <c r="E572" t="e">
        <f t="shared" si="25"/>
        <v>#N/A</v>
      </c>
      <c r="F572" s="28" t="str">
        <f t="shared" ca="1" si="26"/>
        <v/>
      </c>
    </row>
    <row r="573" spans="2:6" x14ac:dyDescent="0.2">
      <c r="B573" t="str">
        <f>IFERROR(IF('PDCA review'!$D$2=Plan!B574,Plan!G574,""),"")</f>
        <v/>
      </c>
      <c r="C573">
        <f t="shared" si="24"/>
        <v>0</v>
      </c>
      <c r="D573">
        <f>SUM($C$3:C573)</f>
        <v>7</v>
      </c>
      <c r="E573" t="e">
        <f t="shared" si="25"/>
        <v>#N/A</v>
      </c>
      <c r="F573" s="28" t="str">
        <f t="shared" ca="1" si="26"/>
        <v/>
      </c>
    </row>
    <row r="574" spans="2:6" x14ac:dyDescent="0.2">
      <c r="B574" t="str">
        <f>IFERROR(IF('PDCA review'!$D$2=Plan!B575,Plan!G575,""),"")</f>
        <v/>
      </c>
      <c r="C574">
        <f t="shared" si="24"/>
        <v>0</v>
      </c>
      <c r="D574">
        <f>SUM($C$3:C574)</f>
        <v>7</v>
      </c>
      <c r="E574" t="e">
        <f t="shared" si="25"/>
        <v>#N/A</v>
      </c>
      <c r="F574" s="28" t="str">
        <f t="shared" ca="1" si="26"/>
        <v/>
      </c>
    </row>
    <row r="575" spans="2:6" x14ac:dyDescent="0.2">
      <c r="B575" t="str">
        <f>IFERROR(IF('PDCA review'!$D$2=Plan!B576,Plan!G576,""),"")</f>
        <v/>
      </c>
      <c r="C575">
        <f t="shared" si="24"/>
        <v>0</v>
      </c>
      <c r="D575">
        <f>SUM($C$3:C575)</f>
        <v>7</v>
      </c>
      <c r="E575" t="e">
        <f t="shared" si="25"/>
        <v>#N/A</v>
      </c>
      <c r="F575" s="28" t="str">
        <f t="shared" ca="1" si="26"/>
        <v/>
      </c>
    </row>
    <row r="576" spans="2:6" x14ac:dyDescent="0.2">
      <c r="B576" t="str">
        <f>IFERROR(IF('PDCA review'!$D$2=Plan!B577,Plan!G577,""),"")</f>
        <v/>
      </c>
      <c r="C576">
        <f t="shared" si="24"/>
        <v>0</v>
      </c>
      <c r="D576">
        <f>SUM($C$3:C576)</f>
        <v>7</v>
      </c>
      <c r="E576" t="e">
        <f t="shared" si="25"/>
        <v>#N/A</v>
      </c>
      <c r="F576" s="28" t="str">
        <f t="shared" ca="1" si="26"/>
        <v/>
      </c>
    </row>
    <row r="577" spans="2:6" x14ac:dyDescent="0.2">
      <c r="B577" t="str">
        <f>IFERROR(IF('PDCA review'!$D$2=Plan!B578,Plan!G578,""),"")</f>
        <v/>
      </c>
      <c r="C577">
        <f t="shared" si="24"/>
        <v>0</v>
      </c>
      <c r="D577">
        <f>SUM($C$3:C577)</f>
        <v>7</v>
      </c>
      <c r="E577" t="e">
        <f t="shared" si="25"/>
        <v>#N/A</v>
      </c>
      <c r="F577" s="28" t="str">
        <f t="shared" ca="1" si="26"/>
        <v/>
      </c>
    </row>
    <row r="578" spans="2:6" x14ac:dyDescent="0.2">
      <c r="B578" t="str">
        <f>IFERROR(IF('PDCA review'!$D$2=Plan!B579,Plan!G579,""),"")</f>
        <v/>
      </c>
      <c r="C578">
        <f t="shared" si="24"/>
        <v>0</v>
      </c>
      <c r="D578">
        <f>SUM($C$3:C578)</f>
        <v>7</v>
      </c>
      <c r="E578" t="e">
        <f t="shared" si="25"/>
        <v>#N/A</v>
      </c>
      <c r="F578" s="28" t="str">
        <f t="shared" ca="1" si="26"/>
        <v/>
      </c>
    </row>
    <row r="579" spans="2:6" x14ac:dyDescent="0.2">
      <c r="B579" t="str">
        <f>IFERROR(IF('PDCA review'!$D$2=Plan!B580,Plan!G580,""),"")</f>
        <v/>
      </c>
      <c r="C579">
        <f t="shared" si="24"/>
        <v>0</v>
      </c>
      <c r="D579">
        <f>SUM($C$3:C579)</f>
        <v>7</v>
      </c>
      <c r="E579" t="e">
        <f t="shared" si="25"/>
        <v>#N/A</v>
      </c>
      <c r="F579" s="28" t="str">
        <f t="shared" ca="1" si="26"/>
        <v/>
      </c>
    </row>
    <row r="580" spans="2:6" x14ac:dyDescent="0.2">
      <c r="B580" t="str">
        <f>IFERROR(IF('PDCA review'!$D$2=Plan!B581,Plan!G581,""),"")</f>
        <v/>
      </c>
      <c r="C580">
        <f t="shared" ref="C580:C643" si="27">IF(B580&lt;&gt;"",1,0)</f>
        <v>0</v>
      </c>
      <c r="D580">
        <f>SUM($C$3:C580)</f>
        <v>7</v>
      </c>
      <c r="E580" t="e">
        <f t="shared" ref="E580:E643" si="28">MATCH(ROW()-$D$2,$D$3:$D$2000,0)+$D$2</f>
        <v>#N/A</v>
      </c>
      <c r="F580" s="28" t="str">
        <f t="shared" ref="F580:F643" ca="1" si="29">IFERROR(INDIRECT("B"&amp;E580),"")</f>
        <v/>
      </c>
    </row>
    <row r="581" spans="2:6" x14ac:dyDescent="0.2">
      <c r="B581" t="str">
        <f>IFERROR(IF('PDCA review'!$D$2=Plan!B582,Plan!G582,""),"")</f>
        <v/>
      </c>
      <c r="C581">
        <f t="shared" si="27"/>
        <v>0</v>
      </c>
      <c r="D581">
        <f>SUM($C$3:C581)</f>
        <v>7</v>
      </c>
      <c r="E581" t="e">
        <f t="shared" si="28"/>
        <v>#N/A</v>
      </c>
      <c r="F581" s="28" t="str">
        <f t="shared" ca="1" si="29"/>
        <v/>
      </c>
    </row>
    <row r="582" spans="2:6" x14ac:dyDescent="0.2">
      <c r="B582" t="str">
        <f>IFERROR(IF('PDCA review'!$D$2=Plan!B583,Plan!G583,""),"")</f>
        <v/>
      </c>
      <c r="C582">
        <f t="shared" si="27"/>
        <v>0</v>
      </c>
      <c r="D582">
        <f>SUM($C$3:C582)</f>
        <v>7</v>
      </c>
      <c r="E582" t="e">
        <f t="shared" si="28"/>
        <v>#N/A</v>
      </c>
      <c r="F582" s="28" t="str">
        <f t="shared" ca="1" si="29"/>
        <v/>
      </c>
    </row>
    <row r="583" spans="2:6" x14ac:dyDescent="0.2">
      <c r="B583" t="str">
        <f>IFERROR(IF('PDCA review'!$D$2=Plan!B584,Plan!G584,""),"")</f>
        <v/>
      </c>
      <c r="C583">
        <f t="shared" si="27"/>
        <v>0</v>
      </c>
      <c r="D583">
        <f>SUM($C$3:C583)</f>
        <v>7</v>
      </c>
      <c r="E583" t="e">
        <f t="shared" si="28"/>
        <v>#N/A</v>
      </c>
      <c r="F583" s="28" t="str">
        <f t="shared" ca="1" si="29"/>
        <v/>
      </c>
    </row>
    <row r="584" spans="2:6" x14ac:dyDescent="0.2">
      <c r="B584" t="str">
        <f>IFERROR(IF('PDCA review'!$D$2=Plan!B585,Plan!G585,""),"")</f>
        <v/>
      </c>
      <c r="C584">
        <f t="shared" si="27"/>
        <v>0</v>
      </c>
      <c r="D584">
        <f>SUM($C$3:C584)</f>
        <v>7</v>
      </c>
      <c r="E584" t="e">
        <f t="shared" si="28"/>
        <v>#N/A</v>
      </c>
      <c r="F584" s="28" t="str">
        <f t="shared" ca="1" si="29"/>
        <v/>
      </c>
    </row>
    <row r="585" spans="2:6" x14ac:dyDescent="0.2">
      <c r="B585" t="str">
        <f>IFERROR(IF('PDCA review'!$D$2=Plan!B586,Plan!G586,""),"")</f>
        <v/>
      </c>
      <c r="C585">
        <f t="shared" si="27"/>
        <v>0</v>
      </c>
      <c r="D585">
        <f>SUM($C$3:C585)</f>
        <v>7</v>
      </c>
      <c r="E585" t="e">
        <f t="shared" si="28"/>
        <v>#N/A</v>
      </c>
      <c r="F585" s="28" t="str">
        <f t="shared" ca="1" si="29"/>
        <v/>
      </c>
    </row>
    <row r="586" spans="2:6" x14ac:dyDescent="0.2">
      <c r="B586" t="str">
        <f>IFERROR(IF('PDCA review'!$D$2=Plan!B587,Plan!G587,""),"")</f>
        <v/>
      </c>
      <c r="C586">
        <f t="shared" si="27"/>
        <v>0</v>
      </c>
      <c r="D586">
        <f>SUM($C$3:C586)</f>
        <v>7</v>
      </c>
      <c r="E586" t="e">
        <f t="shared" si="28"/>
        <v>#N/A</v>
      </c>
      <c r="F586" s="28" t="str">
        <f t="shared" ca="1" si="29"/>
        <v/>
      </c>
    </row>
    <row r="587" spans="2:6" x14ac:dyDescent="0.2">
      <c r="B587" t="str">
        <f>IFERROR(IF('PDCA review'!$D$2=Plan!B588,Plan!G588,""),"")</f>
        <v/>
      </c>
      <c r="C587">
        <f t="shared" si="27"/>
        <v>0</v>
      </c>
      <c r="D587">
        <f>SUM($C$3:C587)</f>
        <v>7</v>
      </c>
      <c r="E587" t="e">
        <f t="shared" si="28"/>
        <v>#N/A</v>
      </c>
      <c r="F587" s="28" t="str">
        <f t="shared" ca="1" si="29"/>
        <v/>
      </c>
    </row>
    <row r="588" spans="2:6" x14ac:dyDescent="0.2">
      <c r="B588" t="str">
        <f>IFERROR(IF('PDCA review'!$D$2=Plan!B589,Plan!G589,""),"")</f>
        <v/>
      </c>
      <c r="C588">
        <f t="shared" si="27"/>
        <v>0</v>
      </c>
      <c r="D588">
        <f>SUM($C$3:C588)</f>
        <v>7</v>
      </c>
      <c r="E588" t="e">
        <f t="shared" si="28"/>
        <v>#N/A</v>
      </c>
      <c r="F588" s="28" t="str">
        <f t="shared" ca="1" si="29"/>
        <v/>
      </c>
    </row>
    <row r="589" spans="2:6" x14ac:dyDescent="0.2">
      <c r="B589" t="str">
        <f>IFERROR(IF('PDCA review'!$D$2=Plan!B590,Plan!G590,""),"")</f>
        <v/>
      </c>
      <c r="C589">
        <f t="shared" si="27"/>
        <v>0</v>
      </c>
      <c r="D589">
        <f>SUM($C$3:C589)</f>
        <v>7</v>
      </c>
      <c r="E589" t="e">
        <f t="shared" si="28"/>
        <v>#N/A</v>
      </c>
      <c r="F589" s="28" t="str">
        <f t="shared" ca="1" si="29"/>
        <v/>
      </c>
    </row>
    <row r="590" spans="2:6" x14ac:dyDescent="0.2">
      <c r="B590" t="str">
        <f>IFERROR(IF('PDCA review'!$D$2=Plan!B591,Plan!G591,""),"")</f>
        <v/>
      </c>
      <c r="C590">
        <f t="shared" si="27"/>
        <v>0</v>
      </c>
      <c r="D590">
        <f>SUM($C$3:C590)</f>
        <v>7</v>
      </c>
      <c r="E590" t="e">
        <f t="shared" si="28"/>
        <v>#N/A</v>
      </c>
      <c r="F590" s="28" t="str">
        <f t="shared" ca="1" si="29"/>
        <v/>
      </c>
    </row>
    <row r="591" spans="2:6" x14ac:dyDescent="0.2">
      <c r="B591" t="str">
        <f>IFERROR(IF('PDCA review'!$D$2=Plan!B592,Plan!G592,""),"")</f>
        <v/>
      </c>
      <c r="C591">
        <f t="shared" si="27"/>
        <v>0</v>
      </c>
      <c r="D591">
        <f>SUM($C$3:C591)</f>
        <v>7</v>
      </c>
      <c r="E591" t="e">
        <f t="shared" si="28"/>
        <v>#N/A</v>
      </c>
      <c r="F591" s="28" t="str">
        <f t="shared" ca="1" si="29"/>
        <v/>
      </c>
    </row>
    <row r="592" spans="2:6" x14ac:dyDescent="0.2">
      <c r="B592" t="str">
        <f>IFERROR(IF('PDCA review'!$D$2=Plan!B593,Plan!G593,""),"")</f>
        <v/>
      </c>
      <c r="C592">
        <f t="shared" si="27"/>
        <v>0</v>
      </c>
      <c r="D592">
        <f>SUM($C$3:C592)</f>
        <v>7</v>
      </c>
      <c r="E592" t="e">
        <f t="shared" si="28"/>
        <v>#N/A</v>
      </c>
      <c r="F592" s="28" t="str">
        <f t="shared" ca="1" si="29"/>
        <v/>
      </c>
    </row>
    <row r="593" spans="2:6" x14ac:dyDescent="0.2">
      <c r="B593" t="str">
        <f>IFERROR(IF('PDCA review'!$D$2=Plan!B594,Plan!G594,""),"")</f>
        <v/>
      </c>
      <c r="C593">
        <f t="shared" si="27"/>
        <v>0</v>
      </c>
      <c r="D593">
        <f>SUM($C$3:C593)</f>
        <v>7</v>
      </c>
      <c r="E593" t="e">
        <f t="shared" si="28"/>
        <v>#N/A</v>
      </c>
      <c r="F593" s="28" t="str">
        <f t="shared" ca="1" si="29"/>
        <v/>
      </c>
    </row>
    <row r="594" spans="2:6" x14ac:dyDescent="0.2">
      <c r="B594" t="str">
        <f>IFERROR(IF('PDCA review'!$D$2=Plan!B595,Plan!G595,""),"")</f>
        <v/>
      </c>
      <c r="C594">
        <f t="shared" si="27"/>
        <v>0</v>
      </c>
      <c r="D594">
        <f>SUM($C$3:C594)</f>
        <v>7</v>
      </c>
      <c r="E594" t="e">
        <f t="shared" si="28"/>
        <v>#N/A</v>
      </c>
      <c r="F594" s="28" t="str">
        <f t="shared" ca="1" si="29"/>
        <v/>
      </c>
    </row>
    <row r="595" spans="2:6" x14ac:dyDescent="0.2">
      <c r="B595" t="str">
        <f>IFERROR(IF('PDCA review'!$D$2=Plan!B596,Plan!G596,""),"")</f>
        <v/>
      </c>
      <c r="C595">
        <f t="shared" si="27"/>
        <v>0</v>
      </c>
      <c r="D595">
        <f>SUM($C$3:C595)</f>
        <v>7</v>
      </c>
      <c r="E595" t="e">
        <f t="shared" si="28"/>
        <v>#N/A</v>
      </c>
      <c r="F595" s="28" t="str">
        <f t="shared" ca="1" si="29"/>
        <v/>
      </c>
    </row>
    <row r="596" spans="2:6" x14ac:dyDescent="0.2">
      <c r="B596" t="str">
        <f>IFERROR(IF('PDCA review'!$D$2=Plan!B597,Plan!G597,""),"")</f>
        <v/>
      </c>
      <c r="C596">
        <f t="shared" si="27"/>
        <v>0</v>
      </c>
      <c r="D596">
        <f>SUM($C$3:C596)</f>
        <v>7</v>
      </c>
      <c r="E596" t="e">
        <f t="shared" si="28"/>
        <v>#N/A</v>
      </c>
      <c r="F596" s="28" t="str">
        <f t="shared" ca="1" si="29"/>
        <v/>
      </c>
    </row>
    <row r="597" spans="2:6" x14ac:dyDescent="0.2">
      <c r="B597" t="str">
        <f>IFERROR(IF('PDCA review'!$D$2=Plan!B598,Plan!G598,""),"")</f>
        <v/>
      </c>
      <c r="C597">
        <f t="shared" si="27"/>
        <v>0</v>
      </c>
      <c r="D597">
        <f>SUM($C$3:C597)</f>
        <v>7</v>
      </c>
      <c r="E597" t="e">
        <f t="shared" si="28"/>
        <v>#N/A</v>
      </c>
      <c r="F597" s="28" t="str">
        <f t="shared" ca="1" si="29"/>
        <v/>
      </c>
    </row>
    <row r="598" spans="2:6" x14ac:dyDescent="0.2">
      <c r="B598" t="str">
        <f>IFERROR(IF('PDCA review'!$D$2=Plan!B599,Plan!G599,""),"")</f>
        <v/>
      </c>
      <c r="C598">
        <f t="shared" si="27"/>
        <v>0</v>
      </c>
      <c r="D598">
        <f>SUM($C$3:C598)</f>
        <v>7</v>
      </c>
      <c r="E598" t="e">
        <f t="shared" si="28"/>
        <v>#N/A</v>
      </c>
      <c r="F598" s="28" t="str">
        <f t="shared" ca="1" si="29"/>
        <v/>
      </c>
    </row>
    <row r="599" spans="2:6" x14ac:dyDescent="0.2">
      <c r="B599" t="str">
        <f>IFERROR(IF('PDCA review'!$D$2=Plan!B600,Plan!G600,""),"")</f>
        <v/>
      </c>
      <c r="C599">
        <f t="shared" si="27"/>
        <v>0</v>
      </c>
      <c r="D599">
        <f>SUM($C$3:C599)</f>
        <v>7</v>
      </c>
      <c r="E599" t="e">
        <f t="shared" si="28"/>
        <v>#N/A</v>
      </c>
      <c r="F599" s="28" t="str">
        <f t="shared" ca="1" si="29"/>
        <v/>
      </c>
    </row>
    <row r="600" spans="2:6" x14ac:dyDescent="0.2">
      <c r="B600" t="str">
        <f>IFERROR(IF('PDCA review'!$D$2=Plan!B601,Plan!G601,""),"")</f>
        <v/>
      </c>
      <c r="C600">
        <f t="shared" si="27"/>
        <v>0</v>
      </c>
      <c r="D600">
        <f>SUM($C$3:C600)</f>
        <v>7</v>
      </c>
      <c r="E600" t="e">
        <f t="shared" si="28"/>
        <v>#N/A</v>
      </c>
      <c r="F600" s="28" t="str">
        <f t="shared" ca="1" si="29"/>
        <v/>
      </c>
    </row>
    <row r="601" spans="2:6" x14ac:dyDescent="0.2">
      <c r="B601" t="str">
        <f>IFERROR(IF('PDCA review'!$D$2=Plan!B602,Plan!G602,""),"")</f>
        <v/>
      </c>
      <c r="C601">
        <f t="shared" si="27"/>
        <v>0</v>
      </c>
      <c r="D601">
        <f>SUM($C$3:C601)</f>
        <v>7</v>
      </c>
      <c r="E601" t="e">
        <f t="shared" si="28"/>
        <v>#N/A</v>
      </c>
      <c r="F601" s="28" t="str">
        <f t="shared" ca="1" si="29"/>
        <v/>
      </c>
    </row>
    <row r="602" spans="2:6" x14ac:dyDescent="0.2">
      <c r="B602" t="str">
        <f>IFERROR(IF('PDCA review'!$D$2=Plan!B603,Plan!G603,""),"")</f>
        <v/>
      </c>
      <c r="C602">
        <f t="shared" si="27"/>
        <v>0</v>
      </c>
      <c r="D602">
        <f>SUM($C$3:C602)</f>
        <v>7</v>
      </c>
      <c r="E602" t="e">
        <f t="shared" si="28"/>
        <v>#N/A</v>
      </c>
      <c r="F602" s="28" t="str">
        <f t="shared" ca="1" si="29"/>
        <v/>
      </c>
    </row>
    <row r="603" spans="2:6" x14ac:dyDescent="0.2">
      <c r="B603" t="str">
        <f>IFERROR(IF('PDCA review'!$D$2=Plan!B604,Plan!G604,""),"")</f>
        <v/>
      </c>
      <c r="C603">
        <f t="shared" si="27"/>
        <v>0</v>
      </c>
      <c r="D603">
        <f>SUM($C$3:C603)</f>
        <v>7</v>
      </c>
      <c r="E603" t="e">
        <f t="shared" si="28"/>
        <v>#N/A</v>
      </c>
      <c r="F603" s="28" t="str">
        <f t="shared" ca="1" si="29"/>
        <v/>
      </c>
    </row>
    <row r="604" spans="2:6" x14ac:dyDescent="0.2">
      <c r="B604" t="str">
        <f>IFERROR(IF('PDCA review'!$D$2=Plan!B605,Plan!G605,""),"")</f>
        <v/>
      </c>
      <c r="C604">
        <f t="shared" si="27"/>
        <v>0</v>
      </c>
      <c r="D604">
        <f>SUM($C$3:C604)</f>
        <v>7</v>
      </c>
      <c r="E604" t="e">
        <f t="shared" si="28"/>
        <v>#N/A</v>
      </c>
      <c r="F604" s="28" t="str">
        <f t="shared" ca="1" si="29"/>
        <v/>
      </c>
    </row>
    <row r="605" spans="2:6" x14ac:dyDescent="0.2">
      <c r="B605" t="str">
        <f>IFERROR(IF('PDCA review'!$D$2=Plan!B606,Plan!G606,""),"")</f>
        <v/>
      </c>
      <c r="C605">
        <f t="shared" si="27"/>
        <v>0</v>
      </c>
      <c r="D605">
        <f>SUM($C$3:C605)</f>
        <v>7</v>
      </c>
      <c r="E605" t="e">
        <f t="shared" si="28"/>
        <v>#N/A</v>
      </c>
      <c r="F605" s="28" t="str">
        <f t="shared" ca="1" si="29"/>
        <v/>
      </c>
    </row>
    <row r="606" spans="2:6" x14ac:dyDescent="0.2">
      <c r="B606" t="str">
        <f>IFERROR(IF('PDCA review'!$D$2=Plan!B607,Plan!G607,""),"")</f>
        <v/>
      </c>
      <c r="C606">
        <f t="shared" si="27"/>
        <v>0</v>
      </c>
      <c r="D606">
        <f>SUM($C$3:C606)</f>
        <v>7</v>
      </c>
      <c r="E606" t="e">
        <f t="shared" si="28"/>
        <v>#N/A</v>
      </c>
      <c r="F606" s="28" t="str">
        <f t="shared" ca="1" si="29"/>
        <v/>
      </c>
    </row>
    <row r="607" spans="2:6" x14ac:dyDescent="0.2">
      <c r="B607" t="str">
        <f>IFERROR(IF('PDCA review'!$D$2=Plan!B608,Plan!G608,""),"")</f>
        <v/>
      </c>
      <c r="C607">
        <f t="shared" si="27"/>
        <v>0</v>
      </c>
      <c r="D607">
        <f>SUM($C$3:C607)</f>
        <v>7</v>
      </c>
      <c r="E607" t="e">
        <f t="shared" si="28"/>
        <v>#N/A</v>
      </c>
      <c r="F607" s="28" t="str">
        <f t="shared" ca="1" si="29"/>
        <v/>
      </c>
    </row>
    <row r="608" spans="2:6" x14ac:dyDescent="0.2">
      <c r="B608" t="str">
        <f>IFERROR(IF('PDCA review'!$D$2=Plan!B609,Plan!G609,""),"")</f>
        <v/>
      </c>
      <c r="C608">
        <f t="shared" si="27"/>
        <v>0</v>
      </c>
      <c r="D608">
        <f>SUM($C$3:C608)</f>
        <v>7</v>
      </c>
      <c r="E608" t="e">
        <f t="shared" si="28"/>
        <v>#N/A</v>
      </c>
      <c r="F608" s="28" t="str">
        <f t="shared" ca="1" si="29"/>
        <v/>
      </c>
    </row>
    <row r="609" spans="2:6" x14ac:dyDescent="0.2">
      <c r="B609" t="str">
        <f>IFERROR(IF('PDCA review'!$D$2=Plan!B610,Plan!G610,""),"")</f>
        <v/>
      </c>
      <c r="C609">
        <f t="shared" si="27"/>
        <v>0</v>
      </c>
      <c r="D609">
        <f>SUM($C$3:C609)</f>
        <v>7</v>
      </c>
      <c r="E609" t="e">
        <f t="shared" si="28"/>
        <v>#N/A</v>
      </c>
      <c r="F609" s="28" t="str">
        <f t="shared" ca="1" si="29"/>
        <v/>
      </c>
    </row>
    <row r="610" spans="2:6" x14ac:dyDescent="0.2">
      <c r="B610" t="str">
        <f>IFERROR(IF('PDCA review'!$D$2=Plan!B611,Plan!G611,""),"")</f>
        <v/>
      </c>
      <c r="C610">
        <f t="shared" si="27"/>
        <v>0</v>
      </c>
      <c r="D610">
        <f>SUM($C$3:C610)</f>
        <v>7</v>
      </c>
      <c r="E610" t="e">
        <f t="shared" si="28"/>
        <v>#N/A</v>
      </c>
      <c r="F610" s="28" t="str">
        <f t="shared" ca="1" si="29"/>
        <v/>
      </c>
    </row>
    <row r="611" spans="2:6" x14ac:dyDescent="0.2">
      <c r="B611" t="str">
        <f>IFERROR(IF('PDCA review'!$D$2=Plan!B612,Plan!G612,""),"")</f>
        <v/>
      </c>
      <c r="C611">
        <f t="shared" si="27"/>
        <v>0</v>
      </c>
      <c r="D611">
        <f>SUM($C$3:C611)</f>
        <v>7</v>
      </c>
      <c r="E611" t="e">
        <f t="shared" si="28"/>
        <v>#N/A</v>
      </c>
      <c r="F611" s="28" t="str">
        <f t="shared" ca="1" si="29"/>
        <v/>
      </c>
    </row>
    <row r="612" spans="2:6" x14ac:dyDescent="0.2">
      <c r="B612" t="str">
        <f>IFERROR(IF('PDCA review'!$D$2=Plan!B613,Plan!G613,""),"")</f>
        <v/>
      </c>
      <c r="C612">
        <f t="shared" si="27"/>
        <v>0</v>
      </c>
      <c r="D612">
        <f>SUM($C$3:C612)</f>
        <v>7</v>
      </c>
      <c r="E612" t="e">
        <f t="shared" si="28"/>
        <v>#N/A</v>
      </c>
      <c r="F612" s="28" t="str">
        <f t="shared" ca="1" si="29"/>
        <v/>
      </c>
    </row>
    <row r="613" spans="2:6" x14ac:dyDescent="0.2">
      <c r="B613" t="str">
        <f>IFERROR(IF('PDCA review'!$D$2=Plan!B614,Plan!G614,""),"")</f>
        <v/>
      </c>
      <c r="C613">
        <f t="shared" si="27"/>
        <v>0</v>
      </c>
      <c r="D613">
        <f>SUM($C$3:C613)</f>
        <v>7</v>
      </c>
      <c r="E613" t="e">
        <f t="shared" si="28"/>
        <v>#N/A</v>
      </c>
      <c r="F613" s="28" t="str">
        <f t="shared" ca="1" si="29"/>
        <v/>
      </c>
    </row>
    <row r="614" spans="2:6" x14ac:dyDescent="0.2">
      <c r="B614" t="str">
        <f>IFERROR(IF('PDCA review'!$D$2=Plan!B615,Plan!G615,""),"")</f>
        <v/>
      </c>
      <c r="C614">
        <f t="shared" si="27"/>
        <v>0</v>
      </c>
      <c r="D614">
        <f>SUM($C$3:C614)</f>
        <v>7</v>
      </c>
      <c r="E614" t="e">
        <f t="shared" si="28"/>
        <v>#N/A</v>
      </c>
      <c r="F614" s="28" t="str">
        <f t="shared" ca="1" si="29"/>
        <v/>
      </c>
    </row>
    <row r="615" spans="2:6" x14ac:dyDescent="0.2">
      <c r="B615" t="str">
        <f>IFERROR(IF('PDCA review'!$D$2=Plan!B616,Plan!G616,""),"")</f>
        <v/>
      </c>
      <c r="C615">
        <f t="shared" si="27"/>
        <v>0</v>
      </c>
      <c r="D615">
        <f>SUM($C$3:C615)</f>
        <v>7</v>
      </c>
      <c r="E615" t="e">
        <f t="shared" si="28"/>
        <v>#N/A</v>
      </c>
      <c r="F615" s="28" t="str">
        <f t="shared" ca="1" si="29"/>
        <v/>
      </c>
    </row>
    <row r="616" spans="2:6" x14ac:dyDescent="0.2">
      <c r="B616" t="str">
        <f>IFERROR(IF('PDCA review'!$D$2=Plan!B617,Plan!G617,""),"")</f>
        <v/>
      </c>
      <c r="C616">
        <f t="shared" si="27"/>
        <v>0</v>
      </c>
      <c r="D616">
        <f>SUM($C$3:C616)</f>
        <v>7</v>
      </c>
      <c r="E616" t="e">
        <f t="shared" si="28"/>
        <v>#N/A</v>
      </c>
      <c r="F616" s="28" t="str">
        <f t="shared" ca="1" si="29"/>
        <v/>
      </c>
    </row>
    <row r="617" spans="2:6" x14ac:dyDescent="0.2">
      <c r="B617" t="str">
        <f>IFERROR(IF('PDCA review'!$D$2=Plan!B618,Plan!G618,""),"")</f>
        <v/>
      </c>
      <c r="C617">
        <f t="shared" si="27"/>
        <v>0</v>
      </c>
      <c r="D617">
        <f>SUM($C$3:C617)</f>
        <v>7</v>
      </c>
      <c r="E617" t="e">
        <f t="shared" si="28"/>
        <v>#N/A</v>
      </c>
      <c r="F617" s="28" t="str">
        <f t="shared" ca="1" si="29"/>
        <v/>
      </c>
    </row>
    <row r="618" spans="2:6" x14ac:dyDescent="0.2">
      <c r="B618" t="str">
        <f>IFERROR(IF('PDCA review'!$D$2=Plan!B619,Plan!G619,""),"")</f>
        <v/>
      </c>
      <c r="C618">
        <f t="shared" si="27"/>
        <v>0</v>
      </c>
      <c r="D618">
        <f>SUM($C$3:C618)</f>
        <v>7</v>
      </c>
      <c r="E618" t="e">
        <f t="shared" si="28"/>
        <v>#N/A</v>
      </c>
      <c r="F618" s="28" t="str">
        <f t="shared" ca="1" si="29"/>
        <v/>
      </c>
    </row>
    <row r="619" spans="2:6" x14ac:dyDescent="0.2">
      <c r="B619" t="str">
        <f>IFERROR(IF('PDCA review'!$D$2=Plan!B620,Plan!G620,""),"")</f>
        <v/>
      </c>
      <c r="C619">
        <f t="shared" si="27"/>
        <v>0</v>
      </c>
      <c r="D619">
        <f>SUM($C$3:C619)</f>
        <v>7</v>
      </c>
      <c r="E619" t="e">
        <f t="shared" si="28"/>
        <v>#N/A</v>
      </c>
      <c r="F619" s="28" t="str">
        <f t="shared" ca="1" si="29"/>
        <v/>
      </c>
    </row>
    <row r="620" spans="2:6" x14ac:dyDescent="0.2">
      <c r="B620" t="str">
        <f>IFERROR(IF('PDCA review'!$D$2=Plan!B621,Plan!G621,""),"")</f>
        <v/>
      </c>
      <c r="C620">
        <f t="shared" si="27"/>
        <v>0</v>
      </c>
      <c r="D620">
        <f>SUM($C$3:C620)</f>
        <v>7</v>
      </c>
      <c r="E620" t="e">
        <f t="shared" si="28"/>
        <v>#N/A</v>
      </c>
      <c r="F620" s="28" t="str">
        <f t="shared" ca="1" si="29"/>
        <v/>
      </c>
    </row>
    <row r="621" spans="2:6" x14ac:dyDescent="0.2">
      <c r="B621" t="str">
        <f>IFERROR(IF('PDCA review'!$D$2=Plan!B622,Plan!G622,""),"")</f>
        <v/>
      </c>
      <c r="C621">
        <f t="shared" si="27"/>
        <v>0</v>
      </c>
      <c r="D621">
        <f>SUM($C$3:C621)</f>
        <v>7</v>
      </c>
      <c r="E621" t="e">
        <f t="shared" si="28"/>
        <v>#N/A</v>
      </c>
      <c r="F621" s="28" t="str">
        <f t="shared" ca="1" si="29"/>
        <v/>
      </c>
    </row>
    <row r="622" spans="2:6" x14ac:dyDescent="0.2">
      <c r="B622" t="str">
        <f>IFERROR(IF('PDCA review'!$D$2=Plan!B623,Plan!G623,""),"")</f>
        <v/>
      </c>
      <c r="C622">
        <f t="shared" si="27"/>
        <v>0</v>
      </c>
      <c r="D622">
        <f>SUM($C$3:C622)</f>
        <v>7</v>
      </c>
      <c r="E622" t="e">
        <f t="shared" si="28"/>
        <v>#N/A</v>
      </c>
      <c r="F622" s="28" t="str">
        <f t="shared" ca="1" si="29"/>
        <v/>
      </c>
    </row>
    <row r="623" spans="2:6" x14ac:dyDescent="0.2">
      <c r="B623" t="str">
        <f>IFERROR(IF('PDCA review'!$D$2=Plan!B624,Plan!G624,""),"")</f>
        <v/>
      </c>
      <c r="C623">
        <f t="shared" si="27"/>
        <v>0</v>
      </c>
      <c r="D623">
        <f>SUM($C$3:C623)</f>
        <v>7</v>
      </c>
      <c r="E623" t="e">
        <f t="shared" si="28"/>
        <v>#N/A</v>
      </c>
      <c r="F623" s="28" t="str">
        <f t="shared" ca="1" si="29"/>
        <v/>
      </c>
    </row>
    <row r="624" spans="2:6" x14ac:dyDescent="0.2">
      <c r="B624" t="str">
        <f>IFERROR(IF('PDCA review'!$D$2=Plan!B625,Plan!G625,""),"")</f>
        <v/>
      </c>
      <c r="C624">
        <f t="shared" si="27"/>
        <v>0</v>
      </c>
      <c r="D624">
        <f>SUM($C$3:C624)</f>
        <v>7</v>
      </c>
      <c r="E624" t="e">
        <f t="shared" si="28"/>
        <v>#N/A</v>
      </c>
      <c r="F624" s="28" t="str">
        <f t="shared" ca="1" si="29"/>
        <v/>
      </c>
    </row>
    <row r="625" spans="2:6" x14ac:dyDescent="0.2">
      <c r="B625" t="str">
        <f>IFERROR(IF('PDCA review'!$D$2=Plan!B626,Plan!G626,""),"")</f>
        <v/>
      </c>
      <c r="C625">
        <f t="shared" si="27"/>
        <v>0</v>
      </c>
      <c r="D625">
        <f>SUM($C$3:C625)</f>
        <v>7</v>
      </c>
      <c r="E625" t="e">
        <f t="shared" si="28"/>
        <v>#N/A</v>
      </c>
      <c r="F625" s="28" t="str">
        <f t="shared" ca="1" si="29"/>
        <v/>
      </c>
    </row>
    <row r="626" spans="2:6" x14ac:dyDescent="0.2">
      <c r="B626" t="str">
        <f>IFERROR(IF('PDCA review'!$D$2=Plan!B627,Plan!G627,""),"")</f>
        <v/>
      </c>
      <c r="C626">
        <f t="shared" si="27"/>
        <v>0</v>
      </c>
      <c r="D626">
        <f>SUM($C$3:C626)</f>
        <v>7</v>
      </c>
      <c r="E626" t="e">
        <f t="shared" si="28"/>
        <v>#N/A</v>
      </c>
      <c r="F626" s="28" t="str">
        <f t="shared" ca="1" si="29"/>
        <v/>
      </c>
    </row>
    <row r="627" spans="2:6" x14ac:dyDescent="0.2">
      <c r="B627" t="str">
        <f>IFERROR(IF('PDCA review'!$D$2=Plan!B628,Plan!G628,""),"")</f>
        <v/>
      </c>
      <c r="C627">
        <f t="shared" si="27"/>
        <v>0</v>
      </c>
      <c r="D627">
        <f>SUM($C$3:C627)</f>
        <v>7</v>
      </c>
      <c r="E627" t="e">
        <f t="shared" si="28"/>
        <v>#N/A</v>
      </c>
      <c r="F627" s="28" t="str">
        <f t="shared" ca="1" si="29"/>
        <v/>
      </c>
    </row>
    <row r="628" spans="2:6" x14ac:dyDescent="0.2">
      <c r="B628" t="str">
        <f>IFERROR(IF('PDCA review'!$D$2=Plan!B629,Plan!G629,""),"")</f>
        <v/>
      </c>
      <c r="C628">
        <f t="shared" si="27"/>
        <v>0</v>
      </c>
      <c r="D628">
        <f>SUM($C$3:C628)</f>
        <v>7</v>
      </c>
      <c r="E628" t="e">
        <f t="shared" si="28"/>
        <v>#N/A</v>
      </c>
      <c r="F628" s="28" t="str">
        <f t="shared" ca="1" si="29"/>
        <v/>
      </c>
    </row>
    <row r="629" spans="2:6" x14ac:dyDescent="0.2">
      <c r="B629" t="str">
        <f>IFERROR(IF('PDCA review'!$D$2=Plan!B630,Plan!G630,""),"")</f>
        <v/>
      </c>
      <c r="C629">
        <f t="shared" si="27"/>
        <v>0</v>
      </c>
      <c r="D629">
        <f>SUM($C$3:C629)</f>
        <v>7</v>
      </c>
      <c r="E629" t="e">
        <f t="shared" si="28"/>
        <v>#N/A</v>
      </c>
      <c r="F629" s="28" t="str">
        <f t="shared" ca="1" si="29"/>
        <v/>
      </c>
    </row>
    <row r="630" spans="2:6" x14ac:dyDescent="0.2">
      <c r="B630" t="str">
        <f>IFERROR(IF('PDCA review'!$D$2=Plan!B631,Plan!G631,""),"")</f>
        <v/>
      </c>
      <c r="C630">
        <f t="shared" si="27"/>
        <v>0</v>
      </c>
      <c r="D630">
        <f>SUM($C$3:C630)</f>
        <v>7</v>
      </c>
      <c r="E630" t="e">
        <f t="shared" si="28"/>
        <v>#N/A</v>
      </c>
      <c r="F630" s="28" t="str">
        <f t="shared" ca="1" si="29"/>
        <v/>
      </c>
    </row>
    <row r="631" spans="2:6" x14ac:dyDescent="0.2">
      <c r="B631" t="str">
        <f>IFERROR(IF('PDCA review'!$D$2=Plan!B632,Plan!G632,""),"")</f>
        <v/>
      </c>
      <c r="C631">
        <f t="shared" si="27"/>
        <v>0</v>
      </c>
      <c r="D631">
        <f>SUM($C$3:C631)</f>
        <v>7</v>
      </c>
      <c r="E631" t="e">
        <f t="shared" si="28"/>
        <v>#N/A</v>
      </c>
      <c r="F631" s="28" t="str">
        <f t="shared" ca="1" si="29"/>
        <v/>
      </c>
    </row>
    <row r="632" spans="2:6" x14ac:dyDescent="0.2">
      <c r="B632" t="str">
        <f>IFERROR(IF('PDCA review'!$D$2=Plan!B633,Plan!G633,""),"")</f>
        <v/>
      </c>
      <c r="C632">
        <f t="shared" si="27"/>
        <v>0</v>
      </c>
      <c r="D632">
        <f>SUM($C$3:C632)</f>
        <v>7</v>
      </c>
      <c r="E632" t="e">
        <f t="shared" si="28"/>
        <v>#N/A</v>
      </c>
      <c r="F632" s="28" t="str">
        <f t="shared" ca="1" si="29"/>
        <v/>
      </c>
    </row>
    <row r="633" spans="2:6" x14ac:dyDescent="0.2">
      <c r="B633" t="str">
        <f>IFERROR(IF('PDCA review'!$D$2=Plan!B634,Plan!G634,""),"")</f>
        <v/>
      </c>
      <c r="C633">
        <f t="shared" si="27"/>
        <v>0</v>
      </c>
      <c r="D633">
        <f>SUM($C$3:C633)</f>
        <v>7</v>
      </c>
      <c r="E633" t="e">
        <f t="shared" si="28"/>
        <v>#N/A</v>
      </c>
      <c r="F633" s="28" t="str">
        <f t="shared" ca="1" si="29"/>
        <v/>
      </c>
    </row>
    <row r="634" spans="2:6" x14ac:dyDescent="0.2">
      <c r="B634" t="str">
        <f>IFERROR(IF('PDCA review'!$D$2=Plan!B635,Plan!G635,""),"")</f>
        <v/>
      </c>
      <c r="C634">
        <f t="shared" si="27"/>
        <v>0</v>
      </c>
      <c r="D634">
        <f>SUM($C$3:C634)</f>
        <v>7</v>
      </c>
      <c r="E634" t="e">
        <f t="shared" si="28"/>
        <v>#N/A</v>
      </c>
      <c r="F634" s="28" t="str">
        <f t="shared" ca="1" si="29"/>
        <v/>
      </c>
    </row>
    <row r="635" spans="2:6" x14ac:dyDescent="0.2">
      <c r="B635" t="str">
        <f>IFERROR(IF('PDCA review'!$D$2=Plan!B636,Plan!G636,""),"")</f>
        <v/>
      </c>
      <c r="C635">
        <f t="shared" si="27"/>
        <v>0</v>
      </c>
      <c r="D635">
        <f>SUM($C$3:C635)</f>
        <v>7</v>
      </c>
      <c r="E635" t="e">
        <f t="shared" si="28"/>
        <v>#N/A</v>
      </c>
      <c r="F635" s="28" t="str">
        <f t="shared" ca="1" si="29"/>
        <v/>
      </c>
    </row>
    <row r="636" spans="2:6" x14ac:dyDescent="0.2">
      <c r="B636" t="str">
        <f>IFERROR(IF('PDCA review'!$D$2=Plan!B637,Plan!G637,""),"")</f>
        <v/>
      </c>
      <c r="C636">
        <f t="shared" si="27"/>
        <v>0</v>
      </c>
      <c r="D636">
        <f>SUM($C$3:C636)</f>
        <v>7</v>
      </c>
      <c r="E636" t="e">
        <f t="shared" si="28"/>
        <v>#N/A</v>
      </c>
      <c r="F636" s="28" t="str">
        <f t="shared" ca="1" si="29"/>
        <v/>
      </c>
    </row>
    <row r="637" spans="2:6" x14ac:dyDescent="0.2">
      <c r="B637" t="str">
        <f>IFERROR(IF('PDCA review'!$D$2=Plan!B638,Plan!G638,""),"")</f>
        <v/>
      </c>
      <c r="C637">
        <f t="shared" si="27"/>
        <v>0</v>
      </c>
      <c r="D637">
        <f>SUM($C$3:C637)</f>
        <v>7</v>
      </c>
      <c r="E637" t="e">
        <f t="shared" si="28"/>
        <v>#N/A</v>
      </c>
      <c r="F637" s="28" t="str">
        <f t="shared" ca="1" si="29"/>
        <v/>
      </c>
    </row>
    <row r="638" spans="2:6" x14ac:dyDescent="0.2">
      <c r="B638" t="str">
        <f>IFERROR(IF('PDCA review'!$D$2=Plan!B639,Plan!G639,""),"")</f>
        <v/>
      </c>
      <c r="C638">
        <f t="shared" si="27"/>
        <v>0</v>
      </c>
      <c r="D638">
        <f>SUM($C$3:C638)</f>
        <v>7</v>
      </c>
      <c r="E638" t="e">
        <f t="shared" si="28"/>
        <v>#N/A</v>
      </c>
      <c r="F638" s="28" t="str">
        <f t="shared" ca="1" si="29"/>
        <v/>
      </c>
    </row>
    <row r="639" spans="2:6" x14ac:dyDescent="0.2">
      <c r="B639" t="str">
        <f>IFERROR(IF('PDCA review'!$D$2=Plan!B640,Plan!G640,""),"")</f>
        <v/>
      </c>
      <c r="C639">
        <f t="shared" si="27"/>
        <v>0</v>
      </c>
      <c r="D639">
        <f>SUM($C$3:C639)</f>
        <v>7</v>
      </c>
      <c r="E639" t="e">
        <f t="shared" si="28"/>
        <v>#N/A</v>
      </c>
      <c r="F639" s="28" t="str">
        <f t="shared" ca="1" si="29"/>
        <v/>
      </c>
    </row>
    <row r="640" spans="2:6" x14ac:dyDescent="0.2">
      <c r="B640" t="str">
        <f>IFERROR(IF('PDCA review'!$D$2=Plan!B641,Plan!G641,""),"")</f>
        <v/>
      </c>
      <c r="C640">
        <f t="shared" si="27"/>
        <v>0</v>
      </c>
      <c r="D640">
        <f>SUM($C$3:C640)</f>
        <v>7</v>
      </c>
      <c r="E640" t="e">
        <f t="shared" si="28"/>
        <v>#N/A</v>
      </c>
      <c r="F640" s="28" t="str">
        <f t="shared" ca="1" si="29"/>
        <v/>
      </c>
    </row>
    <row r="641" spans="2:6" x14ac:dyDescent="0.2">
      <c r="B641" t="str">
        <f>IFERROR(IF('PDCA review'!$D$2=Plan!B642,Plan!G642,""),"")</f>
        <v/>
      </c>
      <c r="C641">
        <f t="shared" si="27"/>
        <v>0</v>
      </c>
      <c r="D641">
        <f>SUM($C$3:C641)</f>
        <v>7</v>
      </c>
      <c r="E641" t="e">
        <f t="shared" si="28"/>
        <v>#N/A</v>
      </c>
      <c r="F641" s="28" t="str">
        <f t="shared" ca="1" si="29"/>
        <v/>
      </c>
    </row>
    <row r="642" spans="2:6" x14ac:dyDescent="0.2">
      <c r="B642" t="str">
        <f>IFERROR(IF('PDCA review'!$D$2=Plan!B643,Plan!G643,""),"")</f>
        <v/>
      </c>
      <c r="C642">
        <f t="shared" si="27"/>
        <v>0</v>
      </c>
      <c r="D642">
        <f>SUM($C$3:C642)</f>
        <v>7</v>
      </c>
      <c r="E642" t="e">
        <f t="shared" si="28"/>
        <v>#N/A</v>
      </c>
      <c r="F642" s="28" t="str">
        <f t="shared" ca="1" si="29"/>
        <v/>
      </c>
    </row>
    <row r="643" spans="2:6" x14ac:dyDescent="0.2">
      <c r="B643" t="str">
        <f>IFERROR(IF('PDCA review'!$D$2=Plan!B644,Plan!G644,""),"")</f>
        <v/>
      </c>
      <c r="C643">
        <f t="shared" si="27"/>
        <v>0</v>
      </c>
      <c r="D643">
        <f>SUM($C$3:C643)</f>
        <v>7</v>
      </c>
      <c r="E643" t="e">
        <f t="shared" si="28"/>
        <v>#N/A</v>
      </c>
      <c r="F643" s="28" t="str">
        <f t="shared" ca="1" si="29"/>
        <v/>
      </c>
    </row>
    <row r="644" spans="2:6" x14ac:dyDescent="0.2">
      <c r="B644" t="str">
        <f>IFERROR(IF('PDCA review'!$D$2=Plan!B645,Plan!G645,""),"")</f>
        <v/>
      </c>
      <c r="C644">
        <f t="shared" ref="C644:C707" si="30">IF(B644&lt;&gt;"",1,0)</f>
        <v>0</v>
      </c>
      <c r="D644">
        <f>SUM($C$3:C644)</f>
        <v>7</v>
      </c>
      <c r="E644" t="e">
        <f t="shared" ref="E644:E707" si="31">MATCH(ROW()-$D$2,$D$3:$D$2000,0)+$D$2</f>
        <v>#N/A</v>
      </c>
      <c r="F644" s="28" t="str">
        <f t="shared" ref="F644:F707" ca="1" si="32">IFERROR(INDIRECT("B"&amp;E644),"")</f>
        <v/>
      </c>
    </row>
    <row r="645" spans="2:6" x14ac:dyDescent="0.2">
      <c r="B645" t="str">
        <f>IFERROR(IF('PDCA review'!$D$2=Plan!B646,Plan!G646,""),"")</f>
        <v/>
      </c>
      <c r="C645">
        <f t="shared" si="30"/>
        <v>0</v>
      </c>
      <c r="D645">
        <f>SUM($C$3:C645)</f>
        <v>7</v>
      </c>
      <c r="E645" t="e">
        <f t="shared" si="31"/>
        <v>#N/A</v>
      </c>
      <c r="F645" s="28" t="str">
        <f t="shared" ca="1" si="32"/>
        <v/>
      </c>
    </row>
    <row r="646" spans="2:6" x14ac:dyDescent="0.2">
      <c r="B646" t="str">
        <f>IFERROR(IF('PDCA review'!$D$2=Plan!B647,Plan!G647,""),"")</f>
        <v/>
      </c>
      <c r="C646">
        <f t="shared" si="30"/>
        <v>0</v>
      </c>
      <c r="D646">
        <f>SUM($C$3:C646)</f>
        <v>7</v>
      </c>
      <c r="E646" t="e">
        <f t="shared" si="31"/>
        <v>#N/A</v>
      </c>
      <c r="F646" s="28" t="str">
        <f t="shared" ca="1" si="32"/>
        <v/>
      </c>
    </row>
    <row r="647" spans="2:6" x14ac:dyDescent="0.2">
      <c r="B647" t="str">
        <f>IFERROR(IF('PDCA review'!$D$2=Plan!B648,Plan!G648,""),"")</f>
        <v/>
      </c>
      <c r="C647">
        <f t="shared" si="30"/>
        <v>0</v>
      </c>
      <c r="D647">
        <f>SUM($C$3:C647)</f>
        <v>7</v>
      </c>
      <c r="E647" t="e">
        <f t="shared" si="31"/>
        <v>#N/A</v>
      </c>
      <c r="F647" s="28" t="str">
        <f t="shared" ca="1" si="32"/>
        <v/>
      </c>
    </row>
    <row r="648" spans="2:6" x14ac:dyDescent="0.2">
      <c r="B648" t="str">
        <f>IFERROR(IF('PDCA review'!$D$2=Plan!B649,Plan!G649,""),"")</f>
        <v/>
      </c>
      <c r="C648">
        <f t="shared" si="30"/>
        <v>0</v>
      </c>
      <c r="D648">
        <f>SUM($C$3:C648)</f>
        <v>7</v>
      </c>
      <c r="E648" t="e">
        <f t="shared" si="31"/>
        <v>#N/A</v>
      </c>
      <c r="F648" s="28" t="str">
        <f t="shared" ca="1" si="32"/>
        <v/>
      </c>
    </row>
    <row r="649" spans="2:6" x14ac:dyDescent="0.2">
      <c r="B649" t="str">
        <f>IFERROR(IF('PDCA review'!$D$2=Plan!B650,Plan!G650,""),"")</f>
        <v/>
      </c>
      <c r="C649">
        <f t="shared" si="30"/>
        <v>0</v>
      </c>
      <c r="D649">
        <f>SUM($C$3:C649)</f>
        <v>7</v>
      </c>
      <c r="E649" t="e">
        <f t="shared" si="31"/>
        <v>#N/A</v>
      </c>
      <c r="F649" s="28" t="str">
        <f t="shared" ca="1" si="32"/>
        <v/>
      </c>
    </row>
    <row r="650" spans="2:6" x14ac:dyDescent="0.2">
      <c r="B650" t="str">
        <f>IFERROR(IF('PDCA review'!$D$2=Plan!B651,Plan!G651,""),"")</f>
        <v/>
      </c>
      <c r="C650">
        <f t="shared" si="30"/>
        <v>0</v>
      </c>
      <c r="D650">
        <f>SUM($C$3:C650)</f>
        <v>7</v>
      </c>
      <c r="E650" t="e">
        <f t="shared" si="31"/>
        <v>#N/A</v>
      </c>
      <c r="F650" s="28" t="str">
        <f t="shared" ca="1" si="32"/>
        <v/>
      </c>
    </row>
    <row r="651" spans="2:6" x14ac:dyDescent="0.2">
      <c r="B651" t="str">
        <f>IFERROR(IF('PDCA review'!$D$2=Plan!B652,Plan!G652,""),"")</f>
        <v/>
      </c>
      <c r="C651">
        <f t="shared" si="30"/>
        <v>0</v>
      </c>
      <c r="D651">
        <f>SUM($C$3:C651)</f>
        <v>7</v>
      </c>
      <c r="E651" t="e">
        <f t="shared" si="31"/>
        <v>#N/A</v>
      </c>
      <c r="F651" s="28" t="str">
        <f t="shared" ca="1" si="32"/>
        <v/>
      </c>
    </row>
    <row r="652" spans="2:6" x14ac:dyDescent="0.2">
      <c r="B652" t="str">
        <f>IFERROR(IF('PDCA review'!$D$2=Plan!B653,Plan!G653,""),"")</f>
        <v/>
      </c>
      <c r="C652">
        <f t="shared" si="30"/>
        <v>0</v>
      </c>
      <c r="D652">
        <f>SUM($C$3:C652)</f>
        <v>7</v>
      </c>
      <c r="E652" t="e">
        <f t="shared" si="31"/>
        <v>#N/A</v>
      </c>
      <c r="F652" s="28" t="str">
        <f t="shared" ca="1" si="32"/>
        <v/>
      </c>
    </row>
    <row r="653" spans="2:6" x14ac:dyDescent="0.2">
      <c r="B653" t="str">
        <f>IFERROR(IF('PDCA review'!$D$2=Plan!B654,Plan!G654,""),"")</f>
        <v/>
      </c>
      <c r="C653">
        <f t="shared" si="30"/>
        <v>0</v>
      </c>
      <c r="D653">
        <f>SUM($C$3:C653)</f>
        <v>7</v>
      </c>
      <c r="E653" t="e">
        <f t="shared" si="31"/>
        <v>#N/A</v>
      </c>
      <c r="F653" s="28" t="str">
        <f t="shared" ca="1" si="32"/>
        <v/>
      </c>
    </row>
    <row r="654" spans="2:6" x14ac:dyDescent="0.2">
      <c r="B654" t="str">
        <f>IFERROR(IF('PDCA review'!$D$2=Plan!B655,Plan!G655,""),"")</f>
        <v/>
      </c>
      <c r="C654">
        <f t="shared" si="30"/>
        <v>0</v>
      </c>
      <c r="D654">
        <f>SUM($C$3:C654)</f>
        <v>7</v>
      </c>
      <c r="E654" t="e">
        <f t="shared" si="31"/>
        <v>#N/A</v>
      </c>
      <c r="F654" s="28" t="str">
        <f t="shared" ca="1" si="32"/>
        <v/>
      </c>
    </row>
    <row r="655" spans="2:6" x14ac:dyDescent="0.2">
      <c r="B655" t="str">
        <f>IFERROR(IF('PDCA review'!$D$2=Plan!B656,Plan!G656,""),"")</f>
        <v/>
      </c>
      <c r="C655">
        <f t="shared" si="30"/>
        <v>0</v>
      </c>
      <c r="D655">
        <f>SUM($C$3:C655)</f>
        <v>7</v>
      </c>
      <c r="E655" t="e">
        <f t="shared" si="31"/>
        <v>#N/A</v>
      </c>
      <c r="F655" s="28" t="str">
        <f t="shared" ca="1" si="32"/>
        <v/>
      </c>
    </row>
    <row r="656" spans="2:6" x14ac:dyDescent="0.2">
      <c r="B656" t="str">
        <f>IFERROR(IF('PDCA review'!$D$2=Plan!B657,Plan!G657,""),"")</f>
        <v/>
      </c>
      <c r="C656">
        <f t="shared" si="30"/>
        <v>0</v>
      </c>
      <c r="D656">
        <f>SUM($C$3:C656)</f>
        <v>7</v>
      </c>
      <c r="E656" t="e">
        <f t="shared" si="31"/>
        <v>#N/A</v>
      </c>
      <c r="F656" s="28" t="str">
        <f t="shared" ca="1" si="32"/>
        <v/>
      </c>
    </row>
    <row r="657" spans="2:6" x14ac:dyDescent="0.2">
      <c r="B657" t="str">
        <f>IFERROR(IF('PDCA review'!$D$2=Plan!B658,Plan!G658,""),"")</f>
        <v/>
      </c>
      <c r="C657">
        <f t="shared" si="30"/>
        <v>0</v>
      </c>
      <c r="D657">
        <f>SUM($C$3:C657)</f>
        <v>7</v>
      </c>
      <c r="E657" t="e">
        <f t="shared" si="31"/>
        <v>#N/A</v>
      </c>
      <c r="F657" s="28" t="str">
        <f t="shared" ca="1" si="32"/>
        <v/>
      </c>
    </row>
    <row r="658" spans="2:6" x14ac:dyDescent="0.2">
      <c r="B658" t="str">
        <f>IFERROR(IF('PDCA review'!$D$2=Plan!B659,Plan!G659,""),"")</f>
        <v/>
      </c>
      <c r="C658">
        <f t="shared" si="30"/>
        <v>0</v>
      </c>
      <c r="D658">
        <f>SUM($C$3:C658)</f>
        <v>7</v>
      </c>
      <c r="E658" t="e">
        <f t="shared" si="31"/>
        <v>#N/A</v>
      </c>
      <c r="F658" s="28" t="str">
        <f t="shared" ca="1" si="32"/>
        <v/>
      </c>
    </row>
    <row r="659" spans="2:6" x14ac:dyDescent="0.2">
      <c r="B659" t="str">
        <f>IFERROR(IF('PDCA review'!$D$2=Plan!B660,Plan!G660,""),"")</f>
        <v/>
      </c>
      <c r="C659">
        <f t="shared" si="30"/>
        <v>0</v>
      </c>
      <c r="D659">
        <f>SUM($C$3:C659)</f>
        <v>7</v>
      </c>
      <c r="E659" t="e">
        <f t="shared" si="31"/>
        <v>#N/A</v>
      </c>
      <c r="F659" s="28" t="str">
        <f t="shared" ca="1" si="32"/>
        <v/>
      </c>
    </row>
    <row r="660" spans="2:6" x14ac:dyDescent="0.2">
      <c r="B660" t="str">
        <f>IFERROR(IF('PDCA review'!$D$2=Plan!B661,Plan!G661,""),"")</f>
        <v/>
      </c>
      <c r="C660">
        <f t="shared" si="30"/>
        <v>0</v>
      </c>
      <c r="D660">
        <f>SUM($C$3:C660)</f>
        <v>7</v>
      </c>
      <c r="E660" t="e">
        <f t="shared" si="31"/>
        <v>#N/A</v>
      </c>
      <c r="F660" s="28" t="str">
        <f t="shared" ca="1" si="32"/>
        <v/>
      </c>
    </row>
    <row r="661" spans="2:6" x14ac:dyDescent="0.2">
      <c r="B661" t="str">
        <f>IFERROR(IF('PDCA review'!$D$2=Plan!B662,Plan!G662,""),"")</f>
        <v/>
      </c>
      <c r="C661">
        <f t="shared" si="30"/>
        <v>0</v>
      </c>
      <c r="D661">
        <f>SUM($C$3:C661)</f>
        <v>7</v>
      </c>
      <c r="E661" t="e">
        <f t="shared" si="31"/>
        <v>#N/A</v>
      </c>
      <c r="F661" s="28" t="str">
        <f t="shared" ca="1" si="32"/>
        <v/>
      </c>
    </row>
    <row r="662" spans="2:6" x14ac:dyDescent="0.2">
      <c r="B662" t="str">
        <f>IFERROR(IF('PDCA review'!$D$2=Plan!B663,Plan!G663,""),"")</f>
        <v/>
      </c>
      <c r="C662">
        <f t="shared" si="30"/>
        <v>0</v>
      </c>
      <c r="D662">
        <f>SUM($C$3:C662)</f>
        <v>7</v>
      </c>
      <c r="E662" t="e">
        <f t="shared" si="31"/>
        <v>#N/A</v>
      </c>
      <c r="F662" s="28" t="str">
        <f t="shared" ca="1" si="32"/>
        <v/>
      </c>
    </row>
    <row r="663" spans="2:6" x14ac:dyDescent="0.2">
      <c r="B663" t="str">
        <f>IFERROR(IF('PDCA review'!$D$2=Plan!B664,Plan!G664,""),"")</f>
        <v/>
      </c>
      <c r="C663">
        <f t="shared" si="30"/>
        <v>0</v>
      </c>
      <c r="D663">
        <f>SUM($C$3:C663)</f>
        <v>7</v>
      </c>
      <c r="E663" t="e">
        <f t="shared" si="31"/>
        <v>#N/A</v>
      </c>
      <c r="F663" s="28" t="str">
        <f t="shared" ca="1" si="32"/>
        <v/>
      </c>
    </row>
    <row r="664" spans="2:6" x14ac:dyDescent="0.2">
      <c r="B664" t="str">
        <f>IFERROR(IF('PDCA review'!$D$2=Plan!B665,Plan!G665,""),"")</f>
        <v/>
      </c>
      <c r="C664">
        <f t="shared" si="30"/>
        <v>0</v>
      </c>
      <c r="D664">
        <f>SUM($C$3:C664)</f>
        <v>7</v>
      </c>
      <c r="E664" t="e">
        <f t="shared" si="31"/>
        <v>#N/A</v>
      </c>
      <c r="F664" s="28" t="str">
        <f t="shared" ca="1" si="32"/>
        <v/>
      </c>
    </row>
    <row r="665" spans="2:6" x14ac:dyDescent="0.2">
      <c r="B665" t="str">
        <f>IFERROR(IF('PDCA review'!$D$2=Plan!B666,Plan!G666,""),"")</f>
        <v/>
      </c>
      <c r="C665">
        <f t="shared" si="30"/>
        <v>0</v>
      </c>
      <c r="D665">
        <f>SUM($C$3:C665)</f>
        <v>7</v>
      </c>
      <c r="E665" t="e">
        <f t="shared" si="31"/>
        <v>#N/A</v>
      </c>
      <c r="F665" s="28" t="str">
        <f t="shared" ca="1" si="32"/>
        <v/>
      </c>
    </row>
    <row r="666" spans="2:6" x14ac:dyDescent="0.2">
      <c r="B666" t="str">
        <f>IFERROR(IF('PDCA review'!$D$2=Plan!B667,Plan!G667,""),"")</f>
        <v/>
      </c>
      <c r="C666">
        <f t="shared" si="30"/>
        <v>0</v>
      </c>
      <c r="D666">
        <f>SUM($C$3:C666)</f>
        <v>7</v>
      </c>
      <c r="E666" t="e">
        <f t="shared" si="31"/>
        <v>#N/A</v>
      </c>
      <c r="F666" s="28" t="str">
        <f t="shared" ca="1" si="32"/>
        <v/>
      </c>
    </row>
    <row r="667" spans="2:6" x14ac:dyDescent="0.2">
      <c r="B667" t="str">
        <f>IFERROR(IF('PDCA review'!$D$2=Plan!B668,Plan!G668,""),"")</f>
        <v/>
      </c>
      <c r="C667">
        <f t="shared" si="30"/>
        <v>0</v>
      </c>
      <c r="D667">
        <f>SUM($C$3:C667)</f>
        <v>7</v>
      </c>
      <c r="E667" t="e">
        <f t="shared" si="31"/>
        <v>#N/A</v>
      </c>
      <c r="F667" s="28" t="str">
        <f t="shared" ca="1" si="32"/>
        <v/>
      </c>
    </row>
    <row r="668" spans="2:6" x14ac:dyDescent="0.2">
      <c r="B668" t="str">
        <f>IFERROR(IF('PDCA review'!$D$2=Plan!B669,Plan!G669,""),"")</f>
        <v/>
      </c>
      <c r="C668">
        <f t="shared" si="30"/>
        <v>0</v>
      </c>
      <c r="D668">
        <f>SUM($C$3:C668)</f>
        <v>7</v>
      </c>
      <c r="E668" t="e">
        <f t="shared" si="31"/>
        <v>#N/A</v>
      </c>
      <c r="F668" s="28" t="str">
        <f t="shared" ca="1" si="32"/>
        <v/>
      </c>
    </row>
    <row r="669" spans="2:6" x14ac:dyDescent="0.2">
      <c r="B669" t="str">
        <f>IFERROR(IF('PDCA review'!$D$2=Plan!B670,Plan!G670,""),"")</f>
        <v/>
      </c>
      <c r="C669">
        <f t="shared" si="30"/>
        <v>0</v>
      </c>
      <c r="D669">
        <f>SUM($C$3:C669)</f>
        <v>7</v>
      </c>
      <c r="E669" t="e">
        <f t="shared" si="31"/>
        <v>#N/A</v>
      </c>
      <c r="F669" s="28" t="str">
        <f t="shared" ca="1" si="32"/>
        <v/>
      </c>
    </row>
    <row r="670" spans="2:6" x14ac:dyDescent="0.2">
      <c r="B670" t="str">
        <f>IFERROR(IF('PDCA review'!$D$2=Plan!B671,Plan!G671,""),"")</f>
        <v/>
      </c>
      <c r="C670">
        <f t="shared" si="30"/>
        <v>0</v>
      </c>
      <c r="D670">
        <f>SUM($C$3:C670)</f>
        <v>7</v>
      </c>
      <c r="E670" t="e">
        <f t="shared" si="31"/>
        <v>#N/A</v>
      </c>
      <c r="F670" s="28" t="str">
        <f t="shared" ca="1" si="32"/>
        <v/>
      </c>
    </row>
    <row r="671" spans="2:6" x14ac:dyDescent="0.2">
      <c r="B671" t="str">
        <f>IFERROR(IF('PDCA review'!$D$2=Plan!B672,Plan!G672,""),"")</f>
        <v/>
      </c>
      <c r="C671">
        <f t="shared" si="30"/>
        <v>0</v>
      </c>
      <c r="D671">
        <f>SUM($C$3:C671)</f>
        <v>7</v>
      </c>
      <c r="E671" t="e">
        <f t="shared" si="31"/>
        <v>#N/A</v>
      </c>
      <c r="F671" s="28" t="str">
        <f t="shared" ca="1" si="32"/>
        <v/>
      </c>
    </row>
    <row r="672" spans="2:6" x14ac:dyDescent="0.2">
      <c r="B672" t="str">
        <f>IFERROR(IF('PDCA review'!$D$2=Plan!B673,Plan!G673,""),"")</f>
        <v/>
      </c>
      <c r="C672">
        <f t="shared" si="30"/>
        <v>0</v>
      </c>
      <c r="D672">
        <f>SUM($C$3:C672)</f>
        <v>7</v>
      </c>
      <c r="E672" t="e">
        <f t="shared" si="31"/>
        <v>#N/A</v>
      </c>
      <c r="F672" s="28" t="str">
        <f t="shared" ca="1" si="32"/>
        <v/>
      </c>
    </row>
    <row r="673" spans="2:6" x14ac:dyDescent="0.2">
      <c r="B673" t="str">
        <f>IFERROR(IF('PDCA review'!$D$2=Plan!B674,Plan!G674,""),"")</f>
        <v/>
      </c>
      <c r="C673">
        <f t="shared" si="30"/>
        <v>0</v>
      </c>
      <c r="D673">
        <f>SUM($C$3:C673)</f>
        <v>7</v>
      </c>
      <c r="E673" t="e">
        <f t="shared" si="31"/>
        <v>#N/A</v>
      </c>
      <c r="F673" s="28" t="str">
        <f t="shared" ca="1" si="32"/>
        <v/>
      </c>
    </row>
    <row r="674" spans="2:6" x14ac:dyDescent="0.2">
      <c r="B674" t="str">
        <f>IFERROR(IF('PDCA review'!$D$2=Plan!B675,Plan!G675,""),"")</f>
        <v/>
      </c>
      <c r="C674">
        <f t="shared" si="30"/>
        <v>0</v>
      </c>
      <c r="D674">
        <f>SUM($C$3:C674)</f>
        <v>7</v>
      </c>
      <c r="E674" t="e">
        <f t="shared" si="31"/>
        <v>#N/A</v>
      </c>
      <c r="F674" s="28" t="str">
        <f t="shared" ca="1" si="32"/>
        <v/>
      </c>
    </row>
    <row r="675" spans="2:6" x14ac:dyDescent="0.2">
      <c r="B675" t="str">
        <f>IFERROR(IF('PDCA review'!$D$2=Plan!B676,Plan!G676,""),"")</f>
        <v/>
      </c>
      <c r="C675">
        <f t="shared" si="30"/>
        <v>0</v>
      </c>
      <c r="D675">
        <f>SUM($C$3:C675)</f>
        <v>7</v>
      </c>
      <c r="E675" t="e">
        <f t="shared" si="31"/>
        <v>#N/A</v>
      </c>
      <c r="F675" s="28" t="str">
        <f t="shared" ca="1" si="32"/>
        <v/>
      </c>
    </row>
    <row r="676" spans="2:6" x14ac:dyDescent="0.2">
      <c r="B676" t="str">
        <f>IFERROR(IF('PDCA review'!$D$2=Plan!B677,Plan!G677,""),"")</f>
        <v/>
      </c>
      <c r="C676">
        <f t="shared" si="30"/>
        <v>0</v>
      </c>
      <c r="D676">
        <f>SUM($C$3:C676)</f>
        <v>7</v>
      </c>
      <c r="E676" t="e">
        <f t="shared" si="31"/>
        <v>#N/A</v>
      </c>
      <c r="F676" s="28" t="str">
        <f t="shared" ca="1" si="32"/>
        <v/>
      </c>
    </row>
    <row r="677" spans="2:6" x14ac:dyDescent="0.2">
      <c r="B677" t="str">
        <f>IFERROR(IF('PDCA review'!$D$2=Plan!B678,Plan!G678,""),"")</f>
        <v/>
      </c>
      <c r="C677">
        <f t="shared" si="30"/>
        <v>0</v>
      </c>
      <c r="D677">
        <f>SUM($C$3:C677)</f>
        <v>7</v>
      </c>
      <c r="E677" t="e">
        <f t="shared" si="31"/>
        <v>#N/A</v>
      </c>
      <c r="F677" s="28" t="str">
        <f t="shared" ca="1" si="32"/>
        <v/>
      </c>
    </row>
    <row r="678" spans="2:6" x14ac:dyDescent="0.2">
      <c r="B678" t="str">
        <f>IFERROR(IF('PDCA review'!$D$2=Plan!B679,Plan!G679,""),"")</f>
        <v/>
      </c>
      <c r="C678">
        <f t="shared" si="30"/>
        <v>0</v>
      </c>
      <c r="D678">
        <f>SUM($C$3:C678)</f>
        <v>7</v>
      </c>
      <c r="E678" t="e">
        <f t="shared" si="31"/>
        <v>#N/A</v>
      </c>
      <c r="F678" s="28" t="str">
        <f t="shared" ca="1" si="32"/>
        <v/>
      </c>
    </row>
    <row r="679" spans="2:6" x14ac:dyDescent="0.2">
      <c r="B679" t="str">
        <f>IFERROR(IF('PDCA review'!$D$2=Plan!B680,Plan!G680,""),"")</f>
        <v/>
      </c>
      <c r="C679">
        <f t="shared" si="30"/>
        <v>0</v>
      </c>
      <c r="D679">
        <f>SUM($C$3:C679)</f>
        <v>7</v>
      </c>
      <c r="E679" t="e">
        <f t="shared" si="31"/>
        <v>#N/A</v>
      </c>
      <c r="F679" s="28" t="str">
        <f t="shared" ca="1" si="32"/>
        <v/>
      </c>
    </row>
    <row r="680" spans="2:6" x14ac:dyDescent="0.2">
      <c r="B680" t="str">
        <f>IFERROR(IF('PDCA review'!$D$2=Plan!B681,Plan!G681,""),"")</f>
        <v/>
      </c>
      <c r="C680">
        <f t="shared" si="30"/>
        <v>0</v>
      </c>
      <c r="D680">
        <f>SUM($C$3:C680)</f>
        <v>7</v>
      </c>
      <c r="E680" t="e">
        <f t="shared" si="31"/>
        <v>#N/A</v>
      </c>
      <c r="F680" s="28" t="str">
        <f t="shared" ca="1" si="32"/>
        <v/>
      </c>
    </row>
    <row r="681" spans="2:6" x14ac:dyDescent="0.2">
      <c r="B681" t="str">
        <f>IFERROR(IF('PDCA review'!$D$2=Plan!B682,Plan!G682,""),"")</f>
        <v/>
      </c>
      <c r="C681">
        <f t="shared" si="30"/>
        <v>0</v>
      </c>
      <c r="D681">
        <f>SUM($C$3:C681)</f>
        <v>7</v>
      </c>
      <c r="E681" t="e">
        <f t="shared" si="31"/>
        <v>#N/A</v>
      </c>
      <c r="F681" s="28" t="str">
        <f t="shared" ca="1" si="32"/>
        <v/>
      </c>
    </row>
    <row r="682" spans="2:6" x14ac:dyDescent="0.2">
      <c r="B682" t="str">
        <f>IFERROR(IF('PDCA review'!$D$2=Plan!B683,Plan!G683,""),"")</f>
        <v/>
      </c>
      <c r="C682">
        <f t="shared" si="30"/>
        <v>0</v>
      </c>
      <c r="D682">
        <f>SUM($C$3:C682)</f>
        <v>7</v>
      </c>
      <c r="E682" t="e">
        <f t="shared" si="31"/>
        <v>#N/A</v>
      </c>
      <c r="F682" s="28" t="str">
        <f t="shared" ca="1" si="32"/>
        <v/>
      </c>
    </row>
    <row r="683" spans="2:6" x14ac:dyDescent="0.2">
      <c r="B683" t="str">
        <f>IFERROR(IF('PDCA review'!$D$2=Plan!B684,Plan!G684,""),"")</f>
        <v/>
      </c>
      <c r="C683">
        <f t="shared" si="30"/>
        <v>0</v>
      </c>
      <c r="D683">
        <f>SUM($C$3:C683)</f>
        <v>7</v>
      </c>
      <c r="E683" t="e">
        <f t="shared" si="31"/>
        <v>#N/A</v>
      </c>
      <c r="F683" s="28" t="str">
        <f t="shared" ca="1" si="32"/>
        <v/>
      </c>
    </row>
    <row r="684" spans="2:6" x14ac:dyDescent="0.2">
      <c r="B684" t="str">
        <f>IFERROR(IF('PDCA review'!$D$2=Plan!B685,Plan!G685,""),"")</f>
        <v/>
      </c>
      <c r="C684">
        <f t="shared" si="30"/>
        <v>0</v>
      </c>
      <c r="D684">
        <f>SUM($C$3:C684)</f>
        <v>7</v>
      </c>
      <c r="E684" t="e">
        <f t="shared" si="31"/>
        <v>#N/A</v>
      </c>
      <c r="F684" s="28" t="str">
        <f t="shared" ca="1" si="32"/>
        <v/>
      </c>
    </row>
    <row r="685" spans="2:6" x14ac:dyDescent="0.2">
      <c r="B685" t="str">
        <f>IFERROR(IF('PDCA review'!$D$2=Plan!B686,Plan!G686,""),"")</f>
        <v/>
      </c>
      <c r="C685">
        <f t="shared" si="30"/>
        <v>0</v>
      </c>
      <c r="D685">
        <f>SUM($C$3:C685)</f>
        <v>7</v>
      </c>
      <c r="E685" t="e">
        <f t="shared" si="31"/>
        <v>#N/A</v>
      </c>
      <c r="F685" s="28" t="str">
        <f t="shared" ca="1" si="32"/>
        <v/>
      </c>
    </row>
    <row r="686" spans="2:6" x14ac:dyDescent="0.2">
      <c r="B686" t="str">
        <f>IFERROR(IF('PDCA review'!$D$2=Plan!B687,Plan!G687,""),"")</f>
        <v/>
      </c>
      <c r="C686">
        <f t="shared" si="30"/>
        <v>0</v>
      </c>
      <c r="D686">
        <f>SUM($C$3:C686)</f>
        <v>7</v>
      </c>
      <c r="E686" t="e">
        <f t="shared" si="31"/>
        <v>#N/A</v>
      </c>
      <c r="F686" s="28" t="str">
        <f t="shared" ca="1" si="32"/>
        <v/>
      </c>
    </row>
    <row r="687" spans="2:6" x14ac:dyDescent="0.2">
      <c r="B687" t="str">
        <f>IFERROR(IF('PDCA review'!$D$2=Plan!B688,Plan!G688,""),"")</f>
        <v/>
      </c>
      <c r="C687">
        <f t="shared" si="30"/>
        <v>0</v>
      </c>
      <c r="D687">
        <f>SUM($C$3:C687)</f>
        <v>7</v>
      </c>
      <c r="E687" t="e">
        <f t="shared" si="31"/>
        <v>#N/A</v>
      </c>
      <c r="F687" s="28" t="str">
        <f t="shared" ca="1" si="32"/>
        <v/>
      </c>
    </row>
    <row r="688" spans="2:6" x14ac:dyDescent="0.2">
      <c r="B688" t="str">
        <f>IFERROR(IF('PDCA review'!$D$2=Plan!B689,Plan!G689,""),"")</f>
        <v/>
      </c>
      <c r="C688">
        <f t="shared" si="30"/>
        <v>0</v>
      </c>
      <c r="D688">
        <f>SUM($C$3:C688)</f>
        <v>7</v>
      </c>
      <c r="E688" t="e">
        <f t="shared" si="31"/>
        <v>#N/A</v>
      </c>
      <c r="F688" s="28" t="str">
        <f t="shared" ca="1" si="32"/>
        <v/>
      </c>
    </row>
    <row r="689" spans="2:6" x14ac:dyDescent="0.2">
      <c r="B689" t="str">
        <f>IFERROR(IF('PDCA review'!$D$2=Plan!B690,Plan!G690,""),"")</f>
        <v/>
      </c>
      <c r="C689">
        <f t="shared" si="30"/>
        <v>0</v>
      </c>
      <c r="D689">
        <f>SUM($C$3:C689)</f>
        <v>7</v>
      </c>
      <c r="E689" t="e">
        <f t="shared" si="31"/>
        <v>#N/A</v>
      </c>
      <c r="F689" s="28" t="str">
        <f t="shared" ca="1" si="32"/>
        <v/>
      </c>
    </row>
    <row r="690" spans="2:6" x14ac:dyDescent="0.2">
      <c r="B690" t="str">
        <f>IFERROR(IF('PDCA review'!$D$2=Plan!B691,Plan!G691,""),"")</f>
        <v/>
      </c>
      <c r="C690">
        <f t="shared" si="30"/>
        <v>0</v>
      </c>
      <c r="D690">
        <f>SUM($C$3:C690)</f>
        <v>7</v>
      </c>
      <c r="E690" t="e">
        <f t="shared" si="31"/>
        <v>#N/A</v>
      </c>
      <c r="F690" s="28" t="str">
        <f t="shared" ca="1" si="32"/>
        <v/>
      </c>
    </row>
    <row r="691" spans="2:6" x14ac:dyDescent="0.2">
      <c r="B691" t="str">
        <f>IFERROR(IF('PDCA review'!$D$2=Plan!B692,Plan!G692,""),"")</f>
        <v/>
      </c>
      <c r="C691">
        <f t="shared" si="30"/>
        <v>0</v>
      </c>
      <c r="D691">
        <f>SUM($C$3:C691)</f>
        <v>7</v>
      </c>
      <c r="E691" t="e">
        <f t="shared" si="31"/>
        <v>#N/A</v>
      </c>
      <c r="F691" s="28" t="str">
        <f t="shared" ca="1" si="32"/>
        <v/>
      </c>
    </row>
    <row r="692" spans="2:6" x14ac:dyDescent="0.2">
      <c r="B692" t="str">
        <f>IFERROR(IF('PDCA review'!$D$2=Plan!B693,Plan!G693,""),"")</f>
        <v/>
      </c>
      <c r="C692">
        <f t="shared" si="30"/>
        <v>0</v>
      </c>
      <c r="D692">
        <f>SUM($C$3:C692)</f>
        <v>7</v>
      </c>
      <c r="E692" t="e">
        <f t="shared" si="31"/>
        <v>#N/A</v>
      </c>
      <c r="F692" s="28" t="str">
        <f t="shared" ca="1" si="32"/>
        <v/>
      </c>
    </row>
    <row r="693" spans="2:6" x14ac:dyDescent="0.2">
      <c r="B693" t="str">
        <f>IFERROR(IF('PDCA review'!$D$2=Plan!B694,Plan!G694,""),"")</f>
        <v/>
      </c>
      <c r="C693">
        <f t="shared" si="30"/>
        <v>0</v>
      </c>
      <c r="D693">
        <f>SUM($C$3:C693)</f>
        <v>7</v>
      </c>
      <c r="E693" t="e">
        <f t="shared" si="31"/>
        <v>#N/A</v>
      </c>
      <c r="F693" s="28" t="str">
        <f t="shared" ca="1" si="32"/>
        <v/>
      </c>
    </row>
    <row r="694" spans="2:6" x14ac:dyDescent="0.2">
      <c r="B694" t="str">
        <f>IFERROR(IF('PDCA review'!$D$2=Plan!B695,Plan!G695,""),"")</f>
        <v/>
      </c>
      <c r="C694">
        <f t="shared" si="30"/>
        <v>0</v>
      </c>
      <c r="D694">
        <f>SUM($C$3:C694)</f>
        <v>7</v>
      </c>
      <c r="E694" t="e">
        <f t="shared" si="31"/>
        <v>#N/A</v>
      </c>
      <c r="F694" s="28" t="str">
        <f t="shared" ca="1" si="32"/>
        <v/>
      </c>
    </row>
    <row r="695" spans="2:6" x14ac:dyDescent="0.2">
      <c r="B695" t="str">
        <f>IFERROR(IF('PDCA review'!$D$2=Plan!B696,Plan!G696,""),"")</f>
        <v/>
      </c>
      <c r="C695">
        <f t="shared" si="30"/>
        <v>0</v>
      </c>
      <c r="D695">
        <f>SUM($C$3:C695)</f>
        <v>7</v>
      </c>
      <c r="E695" t="e">
        <f t="shared" si="31"/>
        <v>#N/A</v>
      </c>
      <c r="F695" s="28" t="str">
        <f t="shared" ca="1" si="32"/>
        <v/>
      </c>
    </row>
    <row r="696" spans="2:6" x14ac:dyDescent="0.2">
      <c r="B696" t="str">
        <f>IFERROR(IF('PDCA review'!$D$2=Plan!B697,Plan!G697,""),"")</f>
        <v/>
      </c>
      <c r="C696">
        <f t="shared" si="30"/>
        <v>0</v>
      </c>
      <c r="D696">
        <f>SUM($C$3:C696)</f>
        <v>7</v>
      </c>
      <c r="E696" t="e">
        <f t="shared" si="31"/>
        <v>#N/A</v>
      </c>
      <c r="F696" s="28" t="str">
        <f t="shared" ca="1" si="32"/>
        <v/>
      </c>
    </row>
    <row r="697" spans="2:6" x14ac:dyDescent="0.2">
      <c r="B697" t="str">
        <f>IFERROR(IF('PDCA review'!$D$2=Plan!B698,Plan!G698,""),"")</f>
        <v/>
      </c>
      <c r="C697">
        <f t="shared" si="30"/>
        <v>0</v>
      </c>
      <c r="D697">
        <f>SUM($C$3:C697)</f>
        <v>7</v>
      </c>
      <c r="E697" t="e">
        <f t="shared" si="31"/>
        <v>#N/A</v>
      </c>
      <c r="F697" s="28" t="str">
        <f t="shared" ca="1" si="32"/>
        <v/>
      </c>
    </row>
    <row r="698" spans="2:6" x14ac:dyDescent="0.2">
      <c r="B698" t="str">
        <f>IFERROR(IF('PDCA review'!$D$2=Plan!B699,Plan!G699,""),"")</f>
        <v/>
      </c>
      <c r="C698">
        <f t="shared" si="30"/>
        <v>0</v>
      </c>
      <c r="D698">
        <f>SUM($C$3:C698)</f>
        <v>7</v>
      </c>
      <c r="E698" t="e">
        <f t="shared" si="31"/>
        <v>#N/A</v>
      </c>
      <c r="F698" s="28" t="str">
        <f t="shared" ca="1" si="32"/>
        <v/>
      </c>
    </row>
    <row r="699" spans="2:6" x14ac:dyDescent="0.2">
      <c r="B699" t="str">
        <f>IFERROR(IF('PDCA review'!$D$2=Plan!B700,Plan!G700,""),"")</f>
        <v/>
      </c>
      <c r="C699">
        <f t="shared" si="30"/>
        <v>0</v>
      </c>
      <c r="D699">
        <f>SUM($C$3:C699)</f>
        <v>7</v>
      </c>
      <c r="E699" t="e">
        <f t="shared" si="31"/>
        <v>#N/A</v>
      </c>
      <c r="F699" s="28" t="str">
        <f t="shared" ca="1" si="32"/>
        <v/>
      </c>
    </row>
    <row r="700" spans="2:6" x14ac:dyDescent="0.2">
      <c r="B700" t="str">
        <f>IFERROR(IF('PDCA review'!$D$2=Plan!B701,Plan!G701,""),"")</f>
        <v/>
      </c>
      <c r="C700">
        <f t="shared" si="30"/>
        <v>0</v>
      </c>
      <c r="D700">
        <f>SUM($C$3:C700)</f>
        <v>7</v>
      </c>
      <c r="E700" t="e">
        <f t="shared" si="31"/>
        <v>#N/A</v>
      </c>
      <c r="F700" s="28" t="str">
        <f t="shared" ca="1" si="32"/>
        <v/>
      </c>
    </row>
    <row r="701" spans="2:6" x14ac:dyDescent="0.2">
      <c r="B701" t="str">
        <f>IFERROR(IF('PDCA review'!$D$2=Plan!B702,Plan!G702,""),"")</f>
        <v/>
      </c>
      <c r="C701">
        <f t="shared" si="30"/>
        <v>0</v>
      </c>
      <c r="D701">
        <f>SUM($C$3:C701)</f>
        <v>7</v>
      </c>
      <c r="E701" t="e">
        <f t="shared" si="31"/>
        <v>#N/A</v>
      </c>
      <c r="F701" s="28" t="str">
        <f t="shared" ca="1" si="32"/>
        <v/>
      </c>
    </row>
    <row r="702" spans="2:6" x14ac:dyDescent="0.2">
      <c r="B702" t="str">
        <f>IFERROR(IF('PDCA review'!$D$2=Plan!B703,Plan!G703,""),"")</f>
        <v/>
      </c>
      <c r="C702">
        <f t="shared" si="30"/>
        <v>0</v>
      </c>
      <c r="D702">
        <f>SUM($C$3:C702)</f>
        <v>7</v>
      </c>
      <c r="E702" t="e">
        <f t="shared" si="31"/>
        <v>#N/A</v>
      </c>
      <c r="F702" s="28" t="str">
        <f t="shared" ca="1" si="32"/>
        <v/>
      </c>
    </row>
    <row r="703" spans="2:6" x14ac:dyDescent="0.2">
      <c r="B703" t="str">
        <f>IFERROR(IF('PDCA review'!$D$2=Plan!B704,Plan!G704,""),"")</f>
        <v/>
      </c>
      <c r="C703">
        <f t="shared" si="30"/>
        <v>0</v>
      </c>
      <c r="D703">
        <f>SUM($C$3:C703)</f>
        <v>7</v>
      </c>
      <c r="E703" t="e">
        <f t="shared" si="31"/>
        <v>#N/A</v>
      </c>
      <c r="F703" s="28" t="str">
        <f t="shared" ca="1" si="32"/>
        <v/>
      </c>
    </row>
    <row r="704" spans="2:6" x14ac:dyDescent="0.2">
      <c r="B704" t="str">
        <f>IFERROR(IF('PDCA review'!$D$2=Plan!B705,Plan!G705,""),"")</f>
        <v/>
      </c>
      <c r="C704">
        <f t="shared" si="30"/>
        <v>0</v>
      </c>
      <c r="D704">
        <f>SUM($C$3:C704)</f>
        <v>7</v>
      </c>
      <c r="E704" t="e">
        <f t="shared" si="31"/>
        <v>#N/A</v>
      </c>
      <c r="F704" s="28" t="str">
        <f t="shared" ca="1" si="32"/>
        <v/>
      </c>
    </row>
    <row r="705" spans="2:6" x14ac:dyDescent="0.2">
      <c r="B705" t="str">
        <f>IFERROR(IF('PDCA review'!$D$2=Plan!B706,Plan!G706,""),"")</f>
        <v/>
      </c>
      <c r="C705">
        <f t="shared" si="30"/>
        <v>0</v>
      </c>
      <c r="D705">
        <f>SUM($C$3:C705)</f>
        <v>7</v>
      </c>
      <c r="E705" t="e">
        <f t="shared" si="31"/>
        <v>#N/A</v>
      </c>
      <c r="F705" s="28" t="str">
        <f t="shared" ca="1" si="32"/>
        <v/>
      </c>
    </row>
    <row r="706" spans="2:6" x14ac:dyDescent="0.2">
      <c r="B706" t="str">
        <f>IFERROR(IF('PDCA review'!$D$2=Plan!B707,Plan!G707,""),"")</f>
        <v/>
      </c>
      <c r="C706">
        <f t="shared" si="30"/>
        <v>0</v>
      </c>
      <c r="D706">
        <f>SUM($C$3:C706)</f>
        <v>7</v>
      </c>
      <c r="E706" t="e">
        <f t="shared" si="31"/>
        <v>#N/A</v>
      </c>
      <c r="F706" s="28" t="str">
        <f t="shared" ca="1" si="32"/>
        <v/>
      </c>
    </row>
    <row r="707" spans="2:6" x14ac:dyDescent="0.2">
      <c r="B707" t="str">
        <f>IFERROR(IF('PDCA review'!$D$2=Plan!B708,Plan!G708,""),"")</f>
        <v/>
      </c>
      <c r="C707">
        <f t="shared" si="30"/>
        <v>0</v>
      </c>
      <c r="D707">
        <f>SUM($C$3:C707)</f>
        <v>7</v>
      </c>
      <c r="E707" t="e">
        <f t="shared" si="31"/>
        <v>#N/A</v>
      </c>
      <c r="F707" s="28" t="str">
        <f t="shared" ca="1" si="32"/>
        <v/>
      </c>
    </row>
    <row r="708" spans="2:6" x14ac:dyDescent="0.2">
      <c r="B708" t="str">
        <f>IFERROR(IF('PDCA review'!$D$2=Plan!B709,Plan!G709,""),"")</f>
        <v/>
      </c>
      <c r="C708">
        <f t="shared" ref="C708:C771" si="33">IF(B708&lt;&gt;"",1,0)</f>
        <v>0</v>
      </c>
      <c r="D708">
        <f>SUM($C$3:C708)</f>
        <v>7</v>
      </c>
      <c r="E708" t="e">
        <f t="shared" ref="E708:E771" si="34">MATCH(ROW()-$D$2,$D$3:$D$2000,0)+$D$2</f>
        <v>#N/A</v>
      </c>
      <c r="F708" s="28" t="str">
        <f t="shared" ref="F708:F771" ca="1" si="35">IFERROR(INDIRECT("B"&amp;E708),"")</f>
        <v/>
      </c>
    </row>
    <row r="709" spans="2:6" x14ac:dyDescent="0.2">
      <c r="B709" t="str">
        <f>IFERROR(IF('PDCA review'!$D$2=Plan!B710,Plan!G710,""),"")</f>
        <v/>
      </c>
      <c r="C709">
        <f t="shared" si="33"/>
        <v>0</v>
      </c>
      <c r="D709">
        <f>SUM($C$3:C709)</f>
        <v>7</v>
      </c>
      <c r="E709" t="e">
        <f t="shared" si="34"/>
        <v>#N/A</v>
      </c>
      <c r="F709" s="28" t="str">
        <f t="shared" ca="1" si="35"/>
        <v/>
      </c>
    </row>
    <row r="710" spans="2:6" x14ac:dyDescent="0.2">
      <c r="B710" t="str">
        <f>IFERROR(IF('PDCA review'!$D$2=Plan!B711,Plan!G711,""),"")</f>
        <v/>
      </c>
      <c r="C710">
        <f t="shared" si="33"/>
        <v>0</v>
      </c>
      <c r="D710">
        <f>SUM($C$3:C710)</f>
        <v>7</v>
      </c>
      <c r="E710" t="e">
        <f t="shared" si="34"/>
        <v>#N/A</v>
      </c>
      <c r="F710" s="28" t="str">
        <f t="shared" ca="1" si="35"/>
        <v/>
      </c>
    </row>
    <row r="711" spans="2:6" x14ac:dyDescent="0.2">
      <c r="B711" t="str">
        <f>IFERROR(IF('PDCA review'!$D$2=Plan!B712,Plan!G712,""),"")</f>
        <v/>
      </c>
      <c r="C711">
        <f t="shared" si="33"/>
        <v>0</v>
      </c>
      <c r="D711">
        <f>SUM($C$3:C711)</f>
        <v>7</v>
      </c>
      <c r="E711" t="e">
        <f t="shared" si="34"/>
        <v>#N/A</v>
      </c>
      <c r="F711" s="28" t="str">
        <f t="shared" ca="1" si="35"/>
        <v/>
      </c>
    </row>
    <row r="712" spans="2:6" x14ac:dyDescent="0.2">
      <c r="B712" t="str">
        <f>IFERROR(IF('PDCA review'!$D$2=Plan!B713,Plan!G713,""),"")</f>
        <v/>
      </c>
      <c r="C712">
        <f t="shared" si="33"/>
        <v>0</v>
      </c>
      <c r="D712">
        <f>SUM($C$3:C712)</f>
        <v>7</v>
      </c>
      <c r="E712" t="e">
        <f t="shared" si="34"/>
        <v>#N/A</v>
      </c>
      <c r="F712" s="28" t="str">
        <f t="shared" ca="1" si="35"/>
        <v/>
      </c>
    </row>
    <row r="713" spans="2:6" x14ac:dyDescent="0.2">
      <c r="B713" t="str">
        <f>IFERROR(IF('PDCA review'!$D$2=Plan!B714,Plan!G714,""),"")</f>
        <v/>
      </c>
      <c r="C713">
        <f t="shared" si="33"/>
        <v>0</v>
      </c>
      <c r="D713">
        <f>SUM($C$3:C713)</f>
        <v>7</v>
      </c>
      <c r="E713" t="e">
        <f t="shared" si="34"/>
        <v>#N/A</v>
      </c>
      <c r="F713" s="28" t="str">
        <f t="shared" ca="1" si="35"/>
        <v/>
      </c>
    </row>
    <row r="714" spans="2:6" x14ac:dyDescent="0.2">
      <c r="B714" t="str">
        <f>IFERROR(IF('PDCA review'!$D$2=Plan!B715,Plan!G715,""),"")</f>
        <v/>
      </c>
      <c r="C714">
        <f t="shared" si="33"/>
        <v>0</v>
      </c>
      <c r="D714">
        <f>SUM($C$3:C714)</f>
        <v>7</v>
      </c>
      <c r="E714" t="e">
        <f t="shared" si="34"/>
        <v>#N/A</v>
      </c>
      <c r="F714" s="28" t="str">
        <f t="shared" ca="1" si="35"/>
        <v/>
      </c>
    </row>
    <row r="715" spans="2:6" x14ac:dyDescent="0.2">
      <c r="B715" t="str">
        <f>IFERROR(IF('PDCA review'!$D$2=Plan!B716,Plan!G716,""),"")</f>
        <v/>
      </c>
      <c r="C715">
        <f t="shared" si="33"/>
        <v>0</v>
      </c>
      <c r="D715">
        <f>SUM($C$3:C715)</f>
        <v>7</v>
      </c>
      <c r="E715" t="e">
        <f t="shared" si="34"/>
        <v>#N/A</v>
      </c>
      <c r="F715" s="28" t="str">
        <f t="shared" ca="1" si="35"/>
        <v/>
      </c>
    </row>
    <row r="716" spans="2:6" x14ac:dyDescent="0.2">
      <c r="B716" t="str">
        <f>IFERROR(IF('PDCA review'!$D$2=Plan!B717,Plan!G717,""),"")</f>
        <v/>
      </c>
      <c r="C716">
        <f t="shared" si="33"/>
        <v>0</v>
      </c>
      <c r="D716">
        <f>SUM($C$3:C716)</f>
        <v>7</v>
      </c>
      <c r="E716" t="e">
        <f t="shared" si="34"/>
        <v>#N/A</v>
      </c>
      <c r="F716" s="28" t="str">
        <f t="shared" ca="1" si="35"/>
        <v/>
      </c>
    </row>
    <row r="717" spans="2:6" x14ac:dyDescent="0.2">
      <c r="B717" t="str">
        <f>IFERROR(IF('PDCA review'!$D$2=Plan!B718,Plan!G718,""),"")</f>
        <v/>
      </c>
      <c r="C717">
        <f t="shared" si="33"/>
        <v>0</v>
      </c>
      <c r="D717">
        <f>SUM($C$3:C717)</f>
        <v>7</v>
      </c>
      <c r="E717" t="e">
        <f t="shared" si="34"/>
        <v>#N/A</v>
      </c>
      <c r="F717" s="28" t="str">
        <f t="shared" ca="1" si="35"/>
        <v/>
      </c>
    </row>
    <row r="718" spans="2:6" x14ac:dyDescent="0.2">
      <c r="B718" t="str">
        <f>IFERROR(IF('PDCA review'!$D$2=Plan!B719,Plan!G719,""),"")</f>
        <v/>
      </c>
      <c r="C718">
        <f t="shared" si="33"/>
        <v>0</v>
      </c>
      <c r="D718">
        <f>SUM($C$3:C718)</f>
        <v>7</v>
      </c>
      <c r="E718" t="e">
        <f t="shared" si="34"/>
        <v>#N/A</v>
      </c>
      <c r="F718" s="28" t="str">
        <f t="shared" ca="1" si="35"/>
        <v/>
      </c>
    </row>
    <row r="719" spans="2:6" x14ac:dyDescent="0.2">
      <c r="B719" t="str">
        <f>IFERROR(IF('PDCA review'!$D$2=Plan!B720,Plan!G720,""),"")</f>
        <v/>
      </c>
      <c r="C719">
        <f t="shared" si="33"/>
        <v>0</v>
      </c>
      <c r="D719">
        <f>SUM($C$3:C719)</f>
        <v>7</v>
      </c>
      <c r="E719" t="e">
        <f t="shared" si="34"/>
        <v>#N/A</v>
      </c>
      <c r="F719" s="28" t="str">
        <f t="shared" ca="1" si="35"/>
        <v/>
      </c>
    </row>
    <row r="720" spans="2:6" x14ac:dyDescent="0.2">
      <c r="B720" t="str">
        <f>IFERROR(IF('PDCA review'!$D$2=Plan!B721,Plan!G721,""),"")</f>
        <v/>
      </c>
      <c r="C720">
        <f t="shared" si="33"/>
        <v>0</v>
      </c>
      <c r="D720">
        <f>SUM($C$3:C720)</f>
        <v>7</v>
      </c>
      <c r="E720" t="e">
        <f t="shared" si="34"/>
        <v>#N/A</v>
      </c>
      <c r="F720" s="28" t="str">
        <f t="shared" ca="1" si="35"/>
        <v/>
      </c>
    </row>
    <row r="721" spans="2:6" x14ac:dyDescent="0.2">
      <c r="B721" t="str">
        <f>IFERROR(IF('PDCA review'!$D$2=Plan!B722,Plan!G722,""),"")</f>
        <v/>
      </c>
      <c r="C721">
        <f t="shared" si="33"/>
        <v>0</v>
      </c>
      <c r="D721">
        <f>SUM($C$3:C721)</f>
        <v>7</v>
      </c>
      <c r="E721" t="e">
        <f t="shared" si="34"/>
        <v>#N/A</v>
      </c>
      <c r="F721" s="28" t="str">
        <f t="shared" ca="1" si="35"/>
        <v/>
      </c>
    </row>
    <row r="722" spans="2:6" x14ac:dyDescent="0.2">
      <c r="B722" t="str">
        <f>IFERROR(IF('PDCA review'!$D$2=Plan!B723,Plan!G723,""),"")</f>
        <v/>
      </c>
      <c r="C722">
        <f t="shared" si="33"/>
        <v>0</v>
      </c>
      <c r="D722">
        <f>SUM($C$3:C722)</f>
        <v>7</v>
      </c>
      <c r="E722" t="e">
        <f t="shared" si="34"/>
        <v>#N/A</v>
      </c>
      <c r="F722" s="28" t="str">
        <f t="shared" ca="1" si="35"/>
        <v/>
      </c>
    </row>
    <row r="723" spans="2:6" x14ac:dyDescent="0.2">
      <c r="B723" t="str">
        <f>IFERROR(IF('PDCA review'!$D$2=Plan!B724,Plan!G724,""),"")</f>
        <v/>
      </c>
      <c r="C723">
        <f t="shared" si="33"/>
        <v>0</v>
      </c>
      <c r="D723">
        <f>SUM($C$3:C723)</f>
        <v>7</v>
      </c>
      <c r="E723" t="e">
        <f t="shared" si="34"/>
        <v>#N/A</v>
      </c>
      <c r="F723" s="28" t="str">
        <f t="shared" ca="1" si="35"/>
        <v/>
      </c>
    </row>
    <row r="724" spans="2:6" x14ac:dyDescent="0.2">
      <c r="B724" t="str">
        <f>IFERROR(IF('PDCA review'!$D$2=Plan!B725,Plan!G725,""),"")</f>
        <v/>
      </c>
      <c r="C724">
        <f t="shared" si="33"/>
        <v>0</v>
      </c>
      <c r="D724">
        <f>SUM($C$3:C724)</f>
        <v>7</v>
      </c>
      <c r="E724" t="e">
        <f t="shared" si="34"/>
        <v>#N/A</v>
      </c>
      <c r="F724" s="28" t="str">
        <f t="shared" ca="1" si="35"/>
        <v/>
      </c>
    </row>
    <row r="725" spans="2:6" x14ac:dyDescent="0.2">
      <c r="B725" t="str">
        <f>IFERROR(IF('PDCA review'!$D$2=Plan!B726,Plan!G726,""),"")</f>
        <v/>
      </c>
      <c r="C725">
        <f t="shared" si="33"/>
        <v>0</v>
      </c>
      <c r="D725">
        <f>SUM($C$3:C725)</f>
        <v>7</v>
      </c>
      <c r="E725" t="e">
        <f t="shared" si="34"/>
        <v>#N/A</v>
      </c>
      <c r="F725" s="28" t="str">
        <f t="shared" ca="1" si="35"/>
        <v/>
      </c>
    </row>
    <row r="726" spans="2:6" x14ac:dyDescent="0.2">
      <c r="B726" t="str">
        <f>IFERROR(IF('PDCA review'!$D$2=Plan!B727,Plan!G727,""),"")</f>
        <v/>
      </c>
      <c r="C726">
        <f t="shared" si="33"/>
        <v>0</v>
      </c>
      <c r="D726">
        <f>SUM($C$3:C726)</f>
        <v>7</v>
      </c>
      <c r="E726" t="e">
        <f t="shared" si="34"/>
        <v>#N/A</v>
      </c>
      <c r="F726" s="28" t="str">
        <f t="shared" ca="1" si="35"/>
        <v/>
      </c>
    </row>
    <row r="727" spans="2:6" x14ac:dyDescent="0.2">
      <c r="B727" t="str">
        <f>IFERROR(IF('PDCA review'!$D$2=Plan!B728,Plan!G728,""),"")</f>
        <v/>
      </c>
      <c r="C727">
        <f t="shared" si="33"/>
        <v>0</v>
      </c>
      <c r="D727">
        <f>SUM($C$3:C727)</f>
        <v>7</v>
      </c>
      <c r="E727" t="e">
        <f t="shared" si="34"/>
        <v>#N/A</v>
      </c>
      <c r="F727" s="28" t="str">
        <f t="shared" ca="1" si="35"/>
        <v/>
      </c>
    </row>
    <row r="728" spans="2:6" x14ac:dyDescent="0.2">
      <c r="B728" t="str">
        <f>IFERROR(IF('PDCA review'!$D$2=Plan!B729,Plan!G729,""),"")</f>
        <v/>
      </c>
      <c r="C728">
        <f t="shared" si="33"/>
        <v>0</v>
      </c>
      <c r="D728">
        <f>SUM($C$3:C728)</f>
        <v>7</v>
      </c>
      <c r="E728" t="e">
        <f t="shared" si="34"/>
        <v>#N/A</v>
      </c>
      <c r="F728" s="28" t="str">
        <f t="shared" ca="1" si="35"/>
        <v/>
      </c>
    </row>
    <row r="729" spans="2:6" x14ac:dyDescent="0.2">
      <c r="B729" t="str">
        <f>IFERROR(IF('PDCA review'!$D$2=Plan!B730,Plan!G730,""),"")</f>
        <v/>
      </c>
      <c r="C729">
        <f t="shared" si="33"/>
        <v>0</v>
      </c>
      <c r="D729">
        <f>SUM($C$3:C729)</f>
        <v>7</v>
      </c>
      <c r="E729" t="e">
        <f t="shared" si="34"/>
        <v>#N/A</v>
      </c>
      <c r="F729" s="28" t="str">
        <f t="shared" ca="1" si="35"/>
        <v/>
      </c>
    </row>
    <row r="730" spans="2:6" x14ac:dyDescent="0.2">
      <c r="B730" t="str">
        <f>IFERROR(IF('PDCA review'!$D$2=Plan!B731,Plan!G731,""),"")</f>
        <v/>
      </c>
      <c r="C730">
        <f t="shared" si="33"/>
        <v>0</v>
      </c>
      <c r="D730">
        <f>SUM($C$3:C730)</f>
        <v>7</v>
      </c>
      <c r="E730" t="e">
        <f t="shared" si="34"/>
        <v>#N/A</v>
      </c>
      <c r="F730" s="28" t="str">
        <f t="shared" ca="1" si="35"/>
        <v/>
      </c>
    </row>
    <row r="731" spans="2:6" x14ac:dyDescent="0.2">
      <c r="B731" t="str">
        <f>IFERROR(IF('PDCA review'!$D$2=Plan!B732,Plan!G732,""),"")</f>
        <v/>
      </c>
      <c r="C731">
        <f t="shared" si="33"/>
        <v>0</v>
      </c>
      <c r="D731">
        <f>SUM($C$3:C731)</f>
        <v>7</v>
      </c>
      <c r="E731" t="e">
        <f t="shared" si="34"/>
        <v>#N/A</v>
      </c>
      <c r="F731" s="28" t="str">
        <f t="shared" ca="1" si="35"/>
        <v/>
      </c>
    </row>
    <row r="732" spans="2:6" x14ac:dyDescent="0.2">
      <c r="B732" t="str">
        <f>IFERROR(IF('PDCA review'!$D$2=Plan!B733,Plan!G733,""),"")</f>
        <v/>
      </c>
      <c r="C732">
        <f t="shared" si="33"/>
        <v>0</v>
      </c>
      <c r="D732">
        <f>SUM($C$3:C732)</f>
        <v>7</v>
      </c>
      <c r="E732" t="e">
        <f t="shared" si="34"/>
        <v>#N/A</v>
      </c>
      <c r="F732" s="28" t="str">
        <f t="shared" ca="1" si="35"/>
        <v/>
      </c>
    </row>
    <row r="733" spans="2:6" x14ac:dyDescent="0.2">
      <c r="B733" t="str">
        <f>IFERROR(IF('PDCA review'!$D$2=Plan!B734,Plan!G734,""),"")</f>
        <v/>
      </c>
      <c r="C733">
        <f t="shared" si="33"/>
        <v>0</v>
      </c>
      <c r="D733">
        <f>SUM($C$3:C733)</f>
        <v>7</v>
      </c>
      <c r="E733" t="e">
        <f t="shared" si="34"/>
        <v>#N/A</v>
      </c>
      <c r="F733" s="28" t="str">
        <f t="shared" ca="1" si="35"/>
        <v/>
      </c>
    </row>
    <row r="734" spans="2:6" x14ac:dyDescent="0.2">
      <c r="B734" t="str">
        <f>IFERROR(IF('PDCA review'!$D$2=Plan!B735,Plan!G735,""),"")</f>
        <v/>
      </c>
      <c r="C734">
        <f t="shared" si="33"/>
        <v>0</v>
      </c>
      <c r="D734">
        <f>SUM($C$3:C734)</f>
        <v>7</v>
      </c>
      <c r="E734" t="e">
        <f t="shared" si="34"/>
        <v>#N/A</v>
      </c>
      <c r="F734" s="28" t="str">
        <f t="shared" ca="1" si="35"/>
        <v/>
      </c>
    </row>
    <row r="735" spans="2:6" x14ac:dyDescent="0.2">
      <c r="B735" t="str">
        <f>IFERROR(IF('PDCA review'!$D$2=Plan!B736,Plan!G736,""),"")</f>
        <v/>
      </c>
      <c r="C735">
        <f t="shared" si="33"/>
        <v>0</v>
      </c>
      <c r="D735">
        <f>SUM($C$3:C735)</f>
        <v>7</v>
      </c>
      <c r="E735" t="e">
        <f t="shared" si="34"/>
        <v>#N/A</v>
      </c>
      <c r="F735" s="28" t="str">
        <f t="shared" ca="1" si="35"/>
        <v/>
      </c>
    </row>
    <row r="736" spans="2:6" x14ac:dyDescent="0.2">
      <c r="B736" t="str">
        <f>IFERROR(IF('PDCA review'!$D$2=Plan!B737,Plan!G737,""),"")</f>
        <v/>
      </c>
      <c r="C736">
        <f t="shared" si="33"/>
        <v>0</v>
      </c>
      <c r="D736">
        <f>SUM($C$3:C736)</f>
        <v>7</v>
      </c>
      <c r="E736" t="e">
        <f t="shared" si="34"/>
        <v>#N/A</v>
      </c>
      <c r="F736" s="28" t="str">
        <f t="shared" ca="1" si="35"/>
        <v/>
      </c>
    </row>
    <row r="737" spans="2:6" x14ac:dyDescent="0.2">
      <c r="B737" t="str">
        <f>IFERROR(IF('PDCA review'!$D$2=Plan!B738,Plan!G738,""),"")</f>
        <v/>
      </c>
      <c r="C737">
        <f t="shared" si="33"/>
        <v>0</v>
      </c>
      <c r="D737">
        <f>SUM($C$3:C737)</f>
        <v>7</v>
      </c>
      <c r="E737" t="e">
        <f t="shared" si="34"/>
        <v>#N/A</v>
      </c>
      <c r="F737" s="28" t="str">
        <f t="shared" ca="1" si="35"/>
        <v/>
      </c>
    </row>
    <row r="738" spans="2:6" x14ac:dyDescent="0.2">
      <c r="B738" t="str">
        <f>IFERROR(IF('PDCA review'!$D$2=Plan!B739,Plan!G739,""),"")</f>
        <v/>
      </c>
      <c r="C738">
        <f t="shared" si="33"/>
        <v>0</v>
      </c>
      <c r="D738">
        <f>SUM($C$3:C738)</f>
        <v>7</v>
      </c>
      <c r="E738" t="e">
        <f t="shared" si="34"/>
        <v>#N/A</v>
      </c>
      <c r="F738" s="28" t="str">
        <f t="shared" ca="1" si="35"/>
        <v/>
      </c>
    </row>
    <row r="739" spans="2:6" x14ac:dyDescent="0.2">
      <c r="B739" t="str">
        <f>IFERROR(IF('PDCA review'!$D$2=Plan!B740,Plan!G740,""),"")</f>
        <v/>
      </c>
      <c r="C739">
        <f t="shared" si="33"/>
        <v>0</v>
      </c>
      <c r="D739">
        <f>SUM($C$3:C739)</f>
        <v>7</v>
      </c>
      <c r="E739" t="e">
        <f t="shared" si="34"/>
        <v>#N/A</v>
      </c>
      <c r="F739" s="28" t="str">
        <f t="shared" ca="1" si="35"/>
        <v/>
      </c>
    </row>
    <row r="740" spans="2:6" x14ac:dyDescent="0.2">
      <c r="B740" t="str">
        <f>IFERROR(IF('PDCA review'!$D$2=Plan!B741,Plan!G741,""),"")</f>
        <v/>
      </c>
      <c r="C740">
        <f t="shared" si="33"/>
        <v>0</v>
      </c>
      <c r="D740">
        <f>SUM($C$3:C740)</f>
        <v>7</v>
      </c>
      <c r="E740" t="e">
        <f t="shared" si="34"/>
        <v>#N/A</v>
      </c>
      <c r="F740" s="28" t="str">
        <f t="shared" ca="1" si="35"/>
        <v/>
      </c>
    </row>
    <row r="741" spans="2:6" x14ac:dyDescent="0.2">
      <c r="B741" t="str">
        <f>IFERROR(IF('PDCA review'!$D$2=Plan!B742,Plan!G742,""),"")</f>
        <v/>
      </c>
      <c r="C741">
        <f t="shared" si="33"/>
        <v>0</v>
      </c>
      <c r="D741">
        <f>SUM($C$3:C741)</f>
        <v>7</v>
      </c>
      <c r="E741" t="e">
        <f t="shared" si="34"/>
        <v>#N/A</v>
      </c>
      <c r="F741" s="28" t="str">
        <f t="shared" ca="1" si="35"/>
        <v/>
      </c>
    </row>
    <row r="742" spans="2:6" x14ac:dyDescent="0.2">
      <c r="B742" t="str">
        <f>IFERROR(IF('PDCA review'!$D$2=Plan!B743,Plan!G743,""),"")</f>
        <v/>
      </c>
      <c r="C742">
        <f t="shared" si="33"/>
        <v>0</v>
      </c>
      <c r="D742">
        <f>SUM($C$3:C742)</f>
        <v>7</v>
      </c>
      <c r="E742" t="e">
        <f t="shared" si="34"/>
        <v>#N/A</v>
      </c>
      <c r="F742" s="28" t="str">
        <f t="shared" ca="1" si="35"/>
        <v/>
      </c>
    </row>
    <row r="743" spans="2:6" x14ac:dyDescent="0.2">
      <c r="B743" t="str">
        <f>IFERROR(IF('PDCA review'!$D$2=Plan!B744,Plan!G744,""),"")</f>
        <v/>
      </c>
      <c r="C743">
        <f t="shared" si="33"/>
        <v>0</v>
      </c>
      <c r="D743">
        <f>SUM($C$3:C743)</f>
        <v>7</v>
      </c>
      <c r="E743" t="e">
        <f t="shared" si="34"/>
        <v>#N/A</v>
      </c>
      <c r="F743" s="28" t="str">
        <f t="shared" ca="1" si="35"/>
        <v/>
      </c>
    </row>
    <row r="744" spans="2:6" x14ac:dyDescent="0.2">
      <c r="B744" t="str">
        <f>IFERROR(IF('PDCA review'!$D$2=Plan!B745,Plan!G745,""),"")</f>
        <v/>
      </c>
      <c r="C744">
        <f t="shared" si="33"/>
        <v>0</v>
      </c>
      <c r="D744">
        <f>SUM($C$3:C744)</f>
        <v>7</v>
      </c>
      <c r="E744" t="e">
        <f t="shared" si="34"/>
        <v>#N/A</v>
      </c>
      <c r="F744" s="28" t="str">
        <f t="shared" ca="1" si="35"/>
        <v/>
      </c>
    </row>
    <row r="745" spans="2:6" x14ac:dyDescent="0.2">
      <c r="B745" t="str">
        <f>IFERROR(IF('PDCA review'!$D$2=Plan!B746,Plan!G746,""),"")</f>
        <v/>
      </c>
      <c r="C745">
        <f t="shared" si="33"/>
        <v>0</v>
      </c>
      <c r="D745">
        <f>SUM($C$3:C745)</f>
        <v>7</v>
      </c>
      <c r="E745" t="e">
        <f t="shared" si="34"/>
        <v>#N/A</v>
      </c>
      <c r="F745" s="28" t="str">
        <f t="shared" ca="1" si="35"/>
        <v/>
      </c>
    </row>
    <row r="746" spans="2:6" x14ac:dyDescent="0.2">
      <c r="B746" t="str">
        <f>IFERROR(IF('PDCA review'!$D$2=Plan!B747,Plan!G747,""),"")</f>
        <v/>
      </c>
      <c r="C746">
        <f t="shared" si="33"/>
        <v>0</v>
      </c>
      <c r="D746">
        <f>SUM($C$3:C746)</f>
        <v>7</v>
      </c>
      <c r="E746" t="e">
        <f t="shared" si="34"/>
        <v>#N/A</v>
      </c>
      <c r="F746" s="28" t="str">
        <f t="shared" ca="1" si="35"/>
        <v/>
      </c>
    </row>
    <row r="747" spans="2:6" x14ac:dyDescent="0.2">
      <c r="B747" t="str">
        <f>IFERROR(IF('PDCA review'!$D$2=Plan!B748,Plan!G748,""),"")</f>
        <v/>
      </c>
      <c r="C747">
        <f t="shared" si="33"/>
        <v>0</v>
      </c>
      <c r="D747">
        <f>SUM($C$3:C747)</f>
        <v>7</v>
      </c>
      <c r="E747" t="e">
        <f t="shared" si="34"/>
        <v>#N/A</v>
      </c>
      <c r="F747" s="28" t="str">
        <f t="shared" ca="1" si="35"/>
        <v/>
      </c>
    </row>
    <row r="748" spans="2:6" x14ac:dyDescent="0.2">
      <c r="B748" t="str">
        <f>IFERROR(IF('PDCA review'!$D$2=Plan!B749,Plan!G749,""),"")</f>
        <v/>
      </c>
      <c r="C748">
        <f t="shared" si="33"/>
        <v>0</v>
      </c>
      <c r="D748">
        <f>SUM($C$3:C748)</f>
        <v>7</v>
      </c>
      <c r="E748" t="e">
        <f t="shared" si="34"/>
        <v>#N/A</v>
      </c>
      <c r="F748" s="28" t="str">
        <f t="shared" ca="1" si="35"/>
        <v/>
      </c>
    </row>
    <row r="749" spans="2:6" x14ac:dyDescent="0.2">
      <c r="B749" t="str">
        <f>IFERROR(IF('PDCA review'!$D$2=Plan!B750,Plan!G750,""),"")</f>
        <v/>
      </c>
      <c r="C749">
        <f t="shared" si="33"/>
        <v>0</v>
      </c>
      <c r="D749">
        <f>SUM($C$3:C749)</f>
        <v>7</v>
      </c>
      <c r="E749" t="e">
        <f t="shared" si="34"/>
        <v>#N/A</v>
      </c>
      <c r="F749" s="28" t="str">
        <f t="shared" ca="1" si="35"/>
        <v/>
      </c>
    </row>
    <row r="750" spans="2:6" x14ac:dyDescent="0.2">
      <c r="B750" t="str">
        <f>IFERROR(IF('PDCA review'!$D$2=Plan!B751,Plan!G751,""),"")</f>
        <v/>
      </c>
      <c r="C750">
        <f t="shared" si="33"/>
        <v>0</v>
      </c>
      <c r="D750">
        <f>SUM($C$3:C750)</f>
        <v>7</v>
      </c>
      <c r="E750" t="e">
        <f t="shared" si="34"/>
        <v>#N/A</v>
      </c>
      <c r="F750" s="28" t="str">
        <f t="shared" ca="1" si="35"/>
        <v/>
      </c>
    </row>
    <row r="751" spans="2:6" x14ac:dyDescent="0.2">
      <c r="B751" t="str">
        <f>IFERROR(IF('PDCA review'!$D$2=Plan!B752,Plan!G752,""),"")</f>
        <v/>
      </c>
      <c r="C751">
        <f t="shared" si="33"/>
        <v>0</v>
      </c>
      <c r="D751">
        <f>SUM($C$3:C751)</f>
        <v>7</v>
      </c>
      <c r="E751" t="e">
        <f t="shared" si="34"/>
        <v>#N/A</v>
      </c>
      <c r="F751" s="28" t="str">
        <f t="shared" ca="1" si="35"/>
        <v/>
      </c>
    </row>
    <row r="752" spans="2:6" x14ac:dyDescent="0.2">
      <c r="B752" t="str">
        <f>IFERROR(IF('PDCA review'!$D$2=Plan!B753,Plan!G753,""),"")</f>
        <v/>
      </c>
      <c r="C752">
        <f t="shared" si="33"/>
        <v>0</v>
      </c>
      <c r="D752">
        <f>SUM($C$3:C752)</f>
        <v>7</v>
      </c>
      <c r="E752" t="e">
        <f t="shared" si="34"/>
        <v>#N/A</v>
      </c>
      <c r="F752" s="28" t="str">
        <f t="shared" ca="1" si="35"/>
        <v/>
      </c>
    </row>
    <row r="753" spans="2:6" x14ac:dyDescent="0.2">
      <c r="B753" t="str">
        <f>IFERROR(IF('PDCA review'!$D$2=Plan!B754,Plan!G754,""),"")</f>
        <v/>
      </c>
      <c r="C753">
        <f t="shared" si="33"/>
        <v>0</v>
      </c>
      <c r="D753">
        <f>SUM($C$3:C753)</f>
        <v>7</v>
      </c>
      <c r="E753" t="e">
        <f t="shared" si="34"/>
        <v>#N/A</v>
      </c>
      <c r="F753" s="28" t="str">
        <f t="shared" ca="1" si="35"/>
        <v/>
      </c>
    </row>
    <row r="754" spans="2:6" x14ac:dyDescent="0.2">
      <c r="B754" t="str">
        <f>IFERROR(IF('PDCA review'!$D$2=Plan!B755,Plan!G755,""),"")</f>
        <v/>
      </c>
      <c r="C754">
        <f t="shared" si="33"/>
        <v>0</v>
      </c>
      <c r="D754">
        <f>SUM($C$3:C754)</f>
        <v>7</v>
      </c>
      <c r="E754" t="e">
        <f t="shared" si="34"/>
        <v>#N/A</v>
      </c>
      <c r="F754" s="28" t="str">
        <f t="shared" ca="1" si="35"/>
        <v/>
      </c>
    </row>
    <row r="755" spans="2:6" x14ac:dyDescent="0.2">
      <c r="B755" t="str">
        <f>IFERROR(IF('PDCA review'!$D$2=Plan!B756,Plan!G756,""),"")</f>
        <v/>
      </c>
      <c r="C755">
        <f t="shared" si="33"/>
        <v>0</v>
      </c>
      <c r="D755">
        <f>SUM($C$3:C755)</f>
        <v>7</v>
      </c>
      <c r="E755" t="e">
        <f t="shared" si="34"/>
        <v>#N/A</v>
      </c>
      <c r="F755" s="28" t="str">
        <f t="shared" ca="1" si="35"/>
        <v/>
      </c>
    </row>
    <row r="756" spans="2:6" x14ac:dyDescent="0.2">
      <c r="B756" t="str">
        <f>IFERROR(IF('PDCA review'!$D$2=Plan!B757,Plan!G757,""),"")</f>
        <v/>
      </c>
      <c r="C756">
        <f t="shared" si="33"/>
        <v>0</v>
      </c>
      <c r="D756">
        <f>SUM($C$3:C756)</f>
        <v>7</v>
      </c>
      <c r="E756" t="e">
        <f t="shared" si="34"/>
        <v>#N/A</v>
      </c>
      <c r="F756" s="28" t="str">
        <f t="shared" ca="1" si="35"/>
        <v/>
      </c>
    </row>
    <row r="757" spans="2:6" x14ac:dyDescent="0.2">
      <c r="B757" t="str">
        <f>IFERROR(IF('PDCA review'!$D$2=Plan!B758,Plan!G758,""),"")</f>
        <v/>
      </c>
      <c r="C757">
        <f t="shared" si="33"/>
        <v>0</v>
      </c>
      <c r="D757">
        <f>SUM($C$3:C757)</f>
        <v>7</v>
      </c>
      <c r="E757" t="e">
        <f t="shared" si="34"/>
        <v>#N/A</v>
      </c>
      <c r="F757" s="28" t="str">
        <f t="shared" ca="1" si="35"/>
        <v/>
      </c>
    </row>
    <row r="758" spans="2:6" x14ac:dyDescent="0.2">
      <c r="B758" t="str">
        <f>IFERROR(IF('PDCA review'!$D$2=Plan!B759,Plan!G759,""),"")</f>
        <v/>
      </c>
      <c r="C758">
        <f t="shared" si="33"/>
        <v>0</v>
      </c>
      <c r="D758">
        <f>SUM($C$3:C758)</f>
        <v>7</v>
      </c>
      <c r="E758" t="e">
        <f t="shared" si="34"/>
        <v>#N/A</v>
      </c>
      <c r="F758" s="28" t="str">
        <f t="shared" ca="1" si="35"/>
        <v/>
      </c>
    </row>
    <row r="759" spans="2:6" x14ac:dyDescent="0.2">
      <c r="B759" t="str">
        <f>IFERROR(IF('PDCA review'!$D$2=Plan!B760,Plan!G760,""),"")</f>
        <v/>
      </c>
      <c r="C759">
        <f t="shared" si="33"/>
        <v>0</v>
      </c>
      <c r="D759">
        <f>SUM($C$3:C759)</f>
        <v>7</v>
      </c>
      <c r="E759" t="e">
        <f t="shared" si="34"/>
        <v>#N/A</v>
      </c>
      <c r="F759" s="28" t="str">
        <f t="shared" ca="1" si="35"/>
        <v/>
      </c>
    </row>
    <row r="760" spans="2:6" x14ac:dyDescent="0.2">
      <c r="B760" t="str">
        <f>IFERROR(IF('PDCA review'!$D$2=Plan!B761,Plan!G761,""),"")</f>
        <v/>
      </c>
      <c r="C760">
        <f t="shared" si="33"/>
        <v>0</v>
      </c>
      <c r="D760">
        <f>SUM($C$3:C760)</f>
        <v>7</v>
      </c>
      <c r="E760" t="e">
        <f t="shared" si="34"/>
        <v>#N/A</v>
      </c>
      <c r="F760" s="28" t="str">
        <f t="shared" ca="1" si="35"/>
        <v/>
      </c>
    </row>
    <row r="761" spans="2:6" x14ac:dyDescent="0.2">
      <c r="B761" t="str">
        <f>IFERROR(IF('PDCA review'!$D$2=Plan!B762,Plan!G762,""),"")</f>
        <v/>
      </c>
      <c r="C761">
        <f t="shared" si="33"/>
        <v>0</v>
      </c>
      <c r="D761">
        <f>SUM($C$3:C761)</f>
        <v>7</v>
      </c>
      <c r="E761" t="e">
        <f t="shared" si="34"/>
        <v>#N/A</v>
      </c>
      <c r="F761" s="28" t="str">
        <f t="shared" ca="1" si="35"/>
        <v/>
      </c>
    </row>
    <row r="762" spans="2:6" x14ac:dyDescent="0.2">
      <c r="B762" t="str">
        <f>IFERROR(IF('PDCA review'!$D$2=Plan!B763,Plan!G763,""),"")</f>
        <v/>
      </c>
      <c r="C762">
        <f t="shared" si="33"/>
        <v>0</v>
      </c>
      <c r="D762">
        <f>SUM($C$3:C762)</f>
        <v>7</v>
      </c>
      <c r="E762" t="e">
        <f t="shared" si="34"/>
        <v>#N/A</v>
      </c>
      <c r="F762" s="28" t="str">
        <f t="shared" ca="1" si="35"/>
        <v/>
      </c>
    </row>
    <row r="763" spans="2:6" x14ac:dyDescent="0.2">
      <c r="B763" t="str">
        <f>IFERROR(IF('PDCA review'!$D$2=Plan!B764,Plan!G764,""),"")</f>
        <v/>
      </c>
      <c r="C763">
        <f t="shared" si="33"/>
        <v>0</v>
      </c>
      <c r="D763">
        <f>SUM($C$3:C763)</f>
        <v>7</v>
      </c>
      <c r="E763" t="e">
        <f t="shared" si="34"/>
        <v>#N/A</v>
      </c>
      <c r="F763" s="28" t="str">
        <f t="shared" ca="1" si="35"/>
        <v/>
      </c>
    </row>
    <row r="764" spans="2:6" x14ac:dyDescent="0.2">
      <c r="B764" t="str">
        <f>IFERROR(IF('PDCA review'!$D$2=Plan!B765,Plan!G765,""),"")</f>
        <v/>
      </c>
      <c r="C764">
        <f t="shared" si="33"/>
        <v>0</v>
      </c>
      <c r="D764">
        <f>SUM($C$3:C764)</f>
        <v>7</v>
      </c>
      <c r="E764" t="e">
        <f t="shared" si="34"/>
        <v>#N/A</v>
      </c>
      <c r="F764" s="28" t="str">
        <f t="shared" ca="1" si="35"/>
        <v/>
      </c>
    </row>
    <row r="765" spans="2:6" x14ac:dyDescent="0.2">
      <c r="B765" t="str">
        <f>IFERROR(IF('PDCA review'!$D$2=Plan!B766,Plan!G766,""),"")</f>
        <v/>
      </c>
      <c r="C765">
        <f t="shared" si="33"/>
        <v>0</v>
      </c>
      <c r="D765">
        <f>SUM($C$3:C765)</f>
        <v>7</v>
      </c>
      <c r="E765" t="e">
        <f t="shared" si="34"/>
        <v>#N/A</v>
      </c>
      <c r="F765" s="28" t="str">
        <f t="shared" ca="1" si="35"/>
        <v/>
      </c>
    </row>
    <row r="766" spans="2:6" x14ac:dyDescent="0.2">
      <c r="B766" t="str">
        <f>IFERROR(IF('PDCA review'!$D$2=Plan!B767,Plan!G767,""),"")</f>
        <v/>
      </c>
      <c r="C766">
        <f t="shared" si="33"/>
        <v>0</v>
      </c>
      <c r="D766">
        <f>SUM($C$3:C766)</f>
        <v>7</v>
      </c>
      <c r="E766" t="e">
        <f t="shared" si="34"/>
        <v>#N/A</v>
      </c>
      <c r="F766" s="28" t="str">
        <f t="shared" ca="1" si="35"/>
        <v/>
      </c>
    </row>
    <row r="767" spans="2:6" x14ac:dyDescent="0.2">
      <c r="B767" t="str">
        <f>IFERROR(IF('PDCA review'!$D$2=Plan!B768,Plan!G768,""),"")</f>
        <v/>
      </c>
      <c r="C767">
        <f t="shared" si="33"/>
        <v>0</v>
      </c>
      <c r="D767">
        <f>SUM($C$3:C767)</f>
        <v>7</v>
      </c>
      <c r="E767" t="e">
        <f t="shared" si="34"/>
        <v>#N/A</v>
      </c>
      <c r="F767" s="28" t="str">
        <f t="shared" ca="1" si="35"/>
        <v/>
      </c>
    </row>
    <row r="768" spans="2:6" x14ac:dyDescent="0.2">
      <c r="B768" t="str">
        <f>IFERROR(IF('PDCA review'!$D$2=Plan!B769,Plan!G769,""),"")</f>
        <v/>
      </c>
      <c r="C768">
        <f t="shared" si="33"/>
        <v>0</v>
      </c>
      <c r="D768">
        <f>SUM($C$3:C768)</f>
        <v>7</v>
      </c>
      <c r="E768" t="e">
        <f t="shared" si="34"/>
        <v>#N/A</v>
      </c>
      <c r="F768" s="28" t="str">
        <f t="shared" ca="1" si="35"/>
        <v/>
      </c>
    </row>
    <row r="769" spans="2:6" x14ac:dyDescent="0.2">
      <c r="B769" t="str">
        <f>IFERROR(IF('PDCA review'!$D$2=Plan!B770,Plan!G770,""),"")</f>
        <v/>
      </c>
      <c r="C769">
        <f t="shared" si="33"/>
        <v>0</v>
      </c>
      <c r="D769">
        <f>SUM($C$3:C769)</f>
        <v>7</v>
      </c>
      <c r="E769" t="e">
        <f t="shared" si="34"/>
        <v>#N/A</v>
      </c>
      <c r="F769" s="28" t="str">
        <f t="shared" ca="1" si="35"/>
        <v/>
      </c>
    </row>
    <row r="770" spans="2:6" x14ac:dyDescent="0.2">
      <c r="B770" t="str">
        <f>IFERROR(IF('PDCA review'!$D$2=Plan!B771,Plan!G771,""),"")</f>
        <v/>
      </c>
      <c r="C770">
        <f t="shared" si="33"/>
        <v>0</v>
      </c>
      <c r="D770">
        <f>SUM($C$3:C770)</f>
        <v>7</v>
      </c>
      <c r="E770" t="e">
        <f t="shared" si="34"/>
        <v>#N/A</v>
      </c>
      <c r="F770" s="28" t="str">
        <f t="shared" ca="1" si="35"/>
        <v/>
      </c>
    </row>
    <row r="771" spans="2:6" x14ac:dyDescent="0.2">
      <c r="B771" t="str">
        <f>IFERROR(IF('PDCA review'!$D$2=Plan!B772,Plan!G772,""),"")</f>
        <v/>
      </c>
      <c r="C771">
        <f t="shared" si="33"/>
        <v>0</v>
      </c>
      <c r="D771">
        <f>SUM($C$3:C771)</f>
        <v>7</v>
      </c>
      <c r="E771" t="e">
        <f t="shared" si="34"/>
        <v>#N/A</v>
      </c>
      <c r="F771" s="28" t="str">
        <f t="shared" ca="1" si="35"/>
        <v/>
      </c>
    </row>
    <row r="772" spans="2:6" x14ac:dyDescent="0.2">
      <c r="B772" t="str">
        <f>IFERROR(IF('PDCA review'!$D$2=Plan!B773,Plan!G773,""),"")</f>
        <v/>
      </c>
      <c r="C772">
        <f t="shared" ref="C772:C835" si="36">IF(B772&lt;&gt;"",1,0)</f>
        <v>0</v>
      </c>
      <c r="D772">
        <f>SUM($C$3:C772)</f>
        <v>7</v>
      </c>
      <c r="E772" t="e">
        <f t="shared" ref="E772:E835" si="37">MATCH(ROW()-$D$2,$D$3:$D$2000,0)+$D$2</f>
        <v>#N/A</v>
      </c>
      <c r="F772" s="28" t="str">
        <f t="shared" ref="F772:F835" ca="1" si="38">IFERROR(INDIRECT("B"&amp;E772),"")</f>
        <v/>
      </c>
    </row>
    <row r="773" spans="2:6" x14ac:dyDescent="0.2">
      <c r="B773" t="str">
        <f>IFERROR(IF('PDCA review'!$D$2=Plan!B774,Plan!G774,""),"")</f>
        <v/>
      </c>
      <c r="C773">
        <f t="shared" si="36"/>
        <v>0</v>
      </c>
      <c r="D773">
        <f>SUM($C$3:C773)</f>
        <v>7</v>
      </c>
      <c r="E773" t="e">
        <f t="shared" si="37"/>
        <v>#N/A</v>
      </c>
      <c r="F773" s="28" t="str">
        <f t="shared" ca="1" si="38"/>
        <v/>
      </c>
    </row>
    <row r="774" spans="2:6" x14ac:dyDescent="0.2">
      <c r="B774" t="str">
        <f>IFERROR(IF('PDCA review'!$D$2=Plan!B775,Plan!G775,""),"")</f>
        <v/>
      </c>
      <c r="C774">
        <f t="shared" si="36"/>
        <v>0</v>
      </c>
      <c r="D774">
        <f>SUM($C$3:C774)</f>
        <v>7</v>
      </c>
      <c r="E774" t="e">
        <f t="shared" si="37"/>
        <v>#N/A</v>
      </c>
      <c r="F774" s="28" t="str">
        <f t="shared" ca="1" si="38"/>
        <v/>
      </c>
    </row>
    <row r="775" spans="2:6" x14ac:dyDescent="0.2">
      <c r="B775" t="str">
        <f>IFERROR(IF('PDCA review'!$D$2=Plan!B776,Plan!G776,""),"")</f>
        <v/>
      </c>
      <c r="C775">
        <f t="shared" si="36"/>
        <v>0</v>
      </c>
      <c r="D775">
        <f>SUM($C$3:C775)</f>
        <v>7</v>
      </c>
      <c r="E775" t="e">
        <f t="shared" si="37"/>
        <v>#N/A</v>
      </c>
      <c r="F775" s="28" t="str">
        <f t="shared" ca="1" si="38"/>
        <v/>
      </c>
    </row>
    <row r="776" spans="2:6" x14ac:dyDescent="0.2">
      <c r="B776" t="str">
        <f>IFERROR(IF('PDCA review'!$D$2=Plan!B777,Plan!G777,""),"")</f>
        <v/>
      </c>
      <c r="C776">
        <f t="shared" si="36"/>
        <v>0</v>
      </c>
      <c r="D776">
        <f>SUM($C$3:C776)</f>
        <v>7</v>
      </c>
      <c r="E776" t="e">
        <f t="shared" si="37"/>
        <v>#N/A</v>
      </c>
      <c r="F776" s="28" t="str">
        <f t="shared" ca="1" si="38"/>
        <v/>
      </c>
    </row>
    <row r="777" spans="2:6" x14ac:dyDescent="0.2">
      <c r="B777" t="str">
        <f>IFERROR(IF('PDCA review'!$D$2=Plan!B778,Plan!G778,""),"")</f>
        <v/>
      </c>
      <c r="C777">
        <f t="shared" si="36"/>
        <v>0</v>
      </c>
      <c r="D777">
        <f>SUM($C$3:C777)</f>
        <v>7</v>
      </c>
      <c r="E777" t="e">
        <f t="shared" si="37"/>
        <v>#N/A</v>
      </c>
      <c r="F777" s="28" t="str">
        <f t="shared" ca="1" si="38"/>
        <v/>
      </c>
    </row>
    <row r="778" spans="2:6" x14ac:dyDescent="0.2">
      <c r="B778" t="str">
        <f>IFERROR(IF('PDCA review'!$D$2=Plan!B779,Plan!G779,""),"")</f>
        <v/>
      </c>
      <c r="C778">
        <f t="shared" si="36"/>
        <v>0</v>
      </c>
      <c r="D778">
        <f>SUM($C$3:C778)</f>
        <v>7</v>
      </c>
      <c r="E778" t="e">
        <f t="shared" si="37"/>
        <v>#N/A</v>
      </c>
      <c r="F778" s="28" t="str">
        <f t="shared" ca="1" si="38"/>
        <v/>
      </c>
    </row>
    <row r="779" spans="2:6" x14ac:dyDescent="0.2">
      <c r="B779" t="str">
        <f>IFERROR(IF('PDCA review'!$D$2=Plan!B780,Plan!G780,""),"")</f>
        <v/>
      </c>
      <c r="C779">
        <f t="shared" si="36"/>
        <v>0</v>
      </c>
      <c r="D779">
        <f>SUM($C$3:C779)</f>
        <v>7</v>
      </c>
      <c r="E779" t="e">
        <f t="shared" si="37"/>
        <v>#N/A</v>
      </c>
      <c r="F779" s="28" t="str">
        <f t="shared" ca="1" si="38"/>
        <v/>
      </c>
    </row>
    <row r="780" spans="2:6" x14ac:dyDescent="0.2">
      <c r="B780" t="str">
        <f>IFERROR(IF('PDCA review'!$D$2=Plan!B781,Plan!G781,""),"")</f>
        <v/>
      </c>
      <c r="C780">
        <f t="shared" si="36"/>
        <v>0</v>
      </c>
      <c r="D780">
        <f>SUM($C$3:C780)</f>
        <v>7</v>
      </c>
      <c r="E780" t="e">
        <f t="shared" si="37"/>
        <v>#N/A</v>
      </c>
      <c r="F780" s="28" t="str">
        <f t="shared" ca="1" si="38"/>
        <v/>
      </c>
    </row>
    <row r="781" spans="2:6" x14ac:dyDescent="0.2">
      <c r="B781" t="str">
        <f>IFERROR(IF('PDCA review'!$D$2=Plan!B782,Plan!G782,""),"")</f>
        <v/>
      </c>
      <c r="C781">
        <f t="shared" si="36"/>
        <v>0</v>
      </c>
      <c r="D781">
        <f>SUM($C$3:C781)</f>
        <v>7</v>
      </c>
      <c r="E781" t="e">
        <f t="shared" si="37"/>
        <v>#N/A</v>
      </c>
      <c r="F781" s="28" t="str">
        <f t="shared" ca="1" si="38"/>
        <v/>
      </c>
    </row>
    <row r="782" spans="2:6" x14ac:dyDescent="0.2">
      <c r="B782" t="str">
        <f>IFERROR(IF('PDCA review'!$D$2=Plan!B783,Plan!G783,""),"")</f>
        <v/>
      </c>
      <c r="C782">
        <f t="shared" si="36"/>
        <v>0</v>
      </c>
      <c r="D782">
        <f>SUM($C$3:C782)</f>
        <v>7</v>
      </c>
      <c r="E782" t="e">
        <f t="shared" si="37"/>
        <v>#N/A</v>
      </c>
      <c r="F782" s="28" t="str">
        <f t="shared" ca="1" si="38"/>
        <v/>
      </c>
    </row>
    <row r="783" spans="2:6" x14ac:dyDescent="0.2">
      <c r="B783" t="str">
        <f>IFERROR(IF('PDCA review'!$D$2=Plan!B784,Plan!G784,""),"")</f>
        <v/>
      </c>
      <c r="C783">
        <f t="shared" si="36"/>
        <v>0</v>
      </c>
      <c r="D783">
        <f>SUM($C$3:C783)</f>
        <v>7</v>
      </c>
      <c r="E783" t="e">
        <f t="shared" si="37"/>
        <v>#N/A</v>
      </c>
      <c r="F783" s="28" t="str">
        <f t="shared" ca="1" si="38"/>
        <v/>
      </c>
    </row>
    <row r="784" spans="2:6" x14ac:dyDescent="0.2">
      <c r="B784" t="str">
        <f>IFERROR(IF('PDCA review'!$D$2=Plan!B785,Plan!G785,""),"")</f>
        <v/>
      </c>
      <c r="C784">
        <f t="shared" si="36"/>
        <v>0</v>
      </c>
      <c r="D784">
        <f>SUM($C$3:C784)</f>
        <v>7</v>
      </c>
      <c r="E784" t="e">
        <f t="shared" si="37"/>
        <v>#N/A</v>
      </c>
      <c r="F784" s="28" t="str">
        <f t="shared" ca="1" si="38"/>
        <v/>
      </c>
    </row>
    <row r="785" spans="2:6" x14ac:dyDescent="0.2">
      <c r="B785" t="str">
        <f>IFERROR(IF('PDCA review'!$D$2=Plan!B786,Plan!G786,""),"")</f>
        <v/>
      </c>
      <c r="C785">
        <f t="shared" si="36"/>
        <v>0</v>
      </c>
      <c r="D785">
        <f>SUM($C$3:C785)</f>
        <v>7</v>
      </c>
      <c r="E785" t="e">
        <f t="shared" si="37"/>
        <v>#N/A</v>
      </c>
      <c r="F785" s="28" t="str">
        <f t="shared" ca="1" si="38"/>
        <v/>
      </c>
    </row>
    <row r="786" spans="2:6" x14ac:dyDescent="0.2">
      <c r="B786" t="str">
        <f>IFERROR(IF('PDCA review'!$D$2=Plan!B787,Plan!G787,""),"")</f>
        <v/>
      </c>
      <c r="C786">
        <f t="shared" si="36"/>
        <v>0</v>
      </c>
      <c r="D786">
        <f>SUM($C$3:C786)</f>
        <v>7</v>
      </c>
      <c r="E786" t="e">
        <f t="shared" si="37"/>
        <v>#N/A</v>
      </c>
      <c r="F786" s="28" t="str">
        <f t="shared" ca="1" si="38"/>
        <v/>
      </c>
    </row>
    <row r="787" spans="2:6" x14ac:dyDescent="0.2">
      <c r="B787" t="str">
        <f>IFERROR(IF('PDCA review'!$D$2=Plan!B788,Plan!G788,""),"")</f>
        <v/>
      </c>
      <c r="C787">
        <f t="shared" si="36"/>
        <v>0</v>
      </c>
      <c r="D787">
        <f>SUM($C$3:C787)</f>
        <v>7</v>
      </c>
      <c r="E787" t="e">
        <f t="shared" si="37"/>
        <v>#N/A</v>
      </c>
      <c r="F787" s="28" t="str">
        <f t="shared" ca="1" si="38"/>
        <v/>
      </c>
    </row>
    <row r="788" spans="2:6" x14ac:dyDescent="0.2">
      <c r="B788" t="str">
        <f>IFERROR(IF('PDCA review'!$D$2=Plan!B789,Plan!G789,""),"")</f>
        <v/>
      </c>
      <c r="C788">
        <f t="shared" si="36"/>
        <v>0</v>
      </c>
      <c r="D788">
        <f>SUM($C$3:C788)</f>
        <v>7</v>
      </c>
      <c r="E788" t="e">
        <f t="shared" si="37"/>
        <v>#N/A</v>
      </c>
      <c r="F788" s="28" t="str">
        <f t="shared" ca="1" si="38"/>
        <v/>
      </c>
    </row>
    <row r="789" spans="2:6" x14ac:dyDescent="0.2">
      <c r="B789" t="str">
        <f>IFERROR(IF('PDCA review'!$D$2=Plan!B790,Plan!G790,""),"")</f>
        <v/>
      </c>
      <c r="C789">
        <f t="shared" si="36"/>
        <v>0</v>
      </c>
      <c r="D789">
        <f>SUM($C$3:C789)</f>
        <v>7</v>
      </c>
      <c r="E789" t="e">
        <f t="shared" si="37"/>
        <v>#N/A</v>
      </c>
      <c r="F789" s="28" t="str">
        <f t="shared" ca="1" si="38"/>
        <v/>
      </c>
    </row>
    <row r="790" spans="2:6" x14ac:dyDescent="0.2">
      <c r="B790" t="str">
        <f>IFERROR(IF('PDCA review'!$D$2=Plan!B791,Plan!G791,""),"")</f>
        <v/>
      </c>
      <c r="C790">
        <f t="shared" si="36"/>
        <v>0</v>
      </c>
      <c r="D790">
        <f>SUM($C$3:C790)</f>
        <v>7</v>
      </c>
      <c r="E790" t="e">
        <f t="shared" si="37"/>
        <v>#N/A</v>
      </c>
      <c r="F790" s="28" t="str">
        <f t="shared" ca="1" si="38"/>
        <v/>
      </c>
    </row>
    <row r="791" spans="2:6" x14ac:dyDescent="0.2">
      <c r="B791" t="str">
        <f>IFERROR(IF('PDCA review'!$D$2=Plan!B792,Plan!G792,""),"")</f>
        <v/>
      </c>
      <c r="C791">
        <f t="shared" si="36"/>
        <v>0</v>
      </c>
      <c r="D791">
        <f>SUM($C$3:C791)</f>
        <v>7</v>
      </c>
      <c r="E791" t="e">
        <f t="shared" si="37"/>
        <v>#N/A</v>
      </c>
      <c r="F791" s="28" t="str">
        <f t="shared" ca="1" si="38"/>
        <v/>
      </c>
    </row>
    <row r="792" spans="2:6" x14ac:dyDescent="0.2">
      <c r="B792" t="str">
        <f>IFERROR(IF('PDCA review'!$D$2=Plan!B793,Plan!G793,""),"")</f>
        <v/>
      </c>
      <c r="C792">
        <f t="shared" si="36"/>
        <v>0</v>
      </c>
      <c r="D792">
        <f>SUM($C$3:C792)</f>
        <v>7</v>
      </c>
      <c r="E792" t="e">
        <f t="shared" si="37"/>
        <v>#N/A</v>
      </c>
      <c r="F792" s="28" t="str">
        <f t="shared" ca="1" si="38"/>
        <v/>
      </c>
    </row>
    <row r="793" spans="2:6" x14ac:dyDescent="0.2">
      <c r="B793" t="str">
        <f>IFERROR(IF('PDCA review'!$D$2=Plan!B794,Plan!G794,""),"")</f>
        <v/>
      </c>
      <c r="C793">
        <f t="shared" si="36"/>
        <v>0</v>
      </c>
      <c r="D793">
        <f>SUM($C$3:C793)</f>
        <v>7</v>
      </c>
      <c r="E793" t="e">
        <f t="shared" si="37"/>
        <v>#N/A</v>
      </c>
      <c r="F793" s="28" t="str">
        <f t="shared" ca="1" si="38"/>
        <v/>
      </c>
    </row>
    <row r="794" spans="2:6" x14ac:dyDescent="0.2">
      <c r="B794" t="str">
        <f>IFERROR(IF('PDCA review'!$D$2=Plan!B795,Plan!G795,""),"")</f>
        <v/>
      </c>
      <c r="C794">
        <f t="shared" si="36"/>
        <v>0</v>
      </c>
      <c r="D794">
        <f>SUM($C$3:C794)</f>
        <v>7</v>
      </c>
      <c r="E794" t="e">
        <f t="shared" si="37"/>
        <v>#N/A</v>
      </c>
      <c r="F794" s="28" t="str">
        <f t="shared" ca="1" si="38"/>
        <v/>
      </c>
    </row>
    <row r="795" spans="2:6" x14ac:dyDescent="0.2">
      <c r="B795" t="str">
        <f>IFERROR(IF('PDCA review'!$D$2=Plan!B796,Plan!G796,""),"")</f>
        <v/>
      </c>
      <c r="C795">
        <f t="shared" si="36"/>
        <v>0</v>
      </c>
      <c r="D795">
        <f>SUM($C$3:C795)</f>
        <v>7</v>
      </c>
      <c r="E795" t="e">
        <f t="shared" si="37"/>
        <v>#N/A</v>
      </c>
      <c r="F795" s="28" t="str">
        <f t="shared" ca="1" si="38"/>
        <v/>
      </c>
    </row>
    <row r="796" spans="2:6" x14ac:dyDescent="0.2">
      <c r="B796" t="str">
        <f>IFERROR(IF('PDCA review'!$D$2=Plan!B797,Plan!G797,""),"")</f>
        <v/>
      </c>
      <c r="C796">
        <f t="shared" si="36"/>
        <v>0</v>
      </c>
      <c r="D796">
        <f>SUM($C$3:C796)</f>
        <v>7</v>
      </c>
      <c r="E796" t="e">
        <f t="shared" si="37"/>
        <v>#N/A</v>
      </c>
      <c r="F796" s="28" t="str">
        <f t="shared" ca="1" si="38"/>
        <v/>
      </c>
    </row>
    <row r="797" spans="2:6" x14ac:dyDescent="0.2">
      <c r="B797" t="str">
        <f>IFERROR(IF('PDCA review'!$D$2=Plan!B798,Plan!G798,""),"")</f>
        <v/>
      </c>
      <c r="C797">
        <f t="shared" si="36"/>
        <v>0</v>
      </c>
      <c r="D797">
        <f>SUM($C$3:C797)</f>
        <v>7</v>
      </c>
      <c r="E797" t="e">
        <f t="shared" si="37"/>
        <v>#N/A</v>
      </c>
      <c r="F797" s="28" t="str">
        <f t="shared" ca="1" si="38"/>
        <v/>
      </c>
    </row>
    <row r="798" spans="2:6" x14ac:dyDescent="0.2">
      <c r="B798" t="str">
        <f>IFERROR(IF('PDCA review'!$D$2=Plan!B799,Plan!G799,""),"")</f>
        <v/>
      </c>
      <c r="C798">
        <f t="shared" si="36"/>
        <v>0</v>
      </c>
      <c r="D798">
        <f>SUM($C$3:C798)</f>
        <v>7</v>
      </c>
      <c r="E798" t="e">
        <f t="shared" si="37"/>
        <v>#N/A</v>
      </c>
      <c r="F798" s="28" t="str">
        <f t="shared" ca="1" si="38"/>
        <v/>
      </c>
    </row>
    <row r="799" spans="2:6" x14ac:dyDescent="0.2">
      <c r="B799" t="str">
        <f>IFERROR(IF('PDCA review'!$D$2=Plan!B800,Plan!G800,""),"")</f>
        <v/>
      </c>
      <c r="C799">
        <f t="shared" si="36"/>
        <v>0</v>
      </c>
      <c r="D799">
        <f>SUM($C$3:C799)</f>
        <v>7</v>
      </c>
      <c r="E799" t="e">
        <f t="shared" si="37"/>
        <v>#N/A</v>
      </c>
      <c r="F799" s="28" t="str">
        <f t="shared" ca="1" si="38"/>
        <v/>
      </c>
    </row>
    <row r="800" spans="2:6" x14ac:dyDescent="0.2">
      <c r="B800" t="str">
        <f>IFERROR(IF('PDCA review'!$D$2=Plan!B801,Plan!G801,""),"")</f>
        <v/>
      </c>
      <c r="C800">
        <f t="shared" si="36"/>
        <v>0</v>
      </c>
      <c r="D800">
        <f>SUM($C$3:C800)</f>
        <v>7</v>
      </c>
      <c r="E800" t="e">
        <f t="shared" si="37"/>
        <v>#N/A</v>
      </c>
      <c r="F800" s="28" t="str">
        <f t="shared" ca="1" si="38"/>
        <v/>
      </c>
    </row>
    <row r="801" spans="2:6" x14ac:dyDescent="0.2">
      <c r="B801" t="str">
        <f>IFERROR(IF('PDCA review'!$D$2=Plan!B802,Plan!G802,""),"")</f>
        <v/>
      </c>
      <c r="C801">
        <f t="shared" si="36"/>
        <v>0</v>
      </c>
      <c r="D801">
        <f>SUM($C$3:C801)</f>
        <v>7</v>
      </c>
      <c r="E801" t="e">
        <f t="shared" si="37"/>
        <v>#N/A</v>
      </c>
      <c r="F801" s="28" t="str">
        <f t="shared" ca="1" si="38"/>
        <v/>
      </c>
    </row>
    <row r="802" spans="2:6" x14ac:dyDescent="0.2">
      <c r="B802" t="str">
        <f>IFERROR(IF('PDCA review'!$D$2=Plan!B803,Plan!G803,""),"")</f>
        <v/>
      </c>
      <c r="C802">
        <f t="shared" si="36"/>
        <v>0</v>
      </c>
      <c r="D802">
        <f>SUM($C$3:C802)</f>
        <v>7</v>
      </c>
      <c r="E802" t="e">
        <f t="shared" si="37"/>
        <v>#N/A</v>
      </c>
      <c r="F802" s="28" t="str">
        <f t="shared" ca="1" si="38"/>
        <v/>
      </c>
    </row>
    <row r="803" spans="2:6" x14ac:dyDescent="0.2">
      <c r="B803" t="str">
        <f>IFERROR(IF('PDCA review'!$D$2=Plan!B804,Plan!G804,""),"")</f>
        <v/>
      </c>
      <c r="C803">
        <f t="shared" si="36"/>
        <v>0</v>
      </c>
      <c r="D803">
        <f>SUM($C$3:C803)</f>
        <v>7</v>
      </c>
      <c r="E803" t="e">
        <f t="shared" si="37"/>
        <v>#N/A</v>
      </c>
      <c r="F803" s="28" t="str">
        <f t="shared" ca="1" si="38"/>
        <v/>
      </c>
    </row>
    <row r="804" spans="2:6" x14ac:dyDescent="0.2">
      <c r="B804" t="str">
        <f>IFERROR(IF('PDCA review'!$D$2=Plan!B805,Plan!G805,""),"")</f>
        <v/>
      </c>
      <c r="C804">
        <f t="shared" si="36"/>
        <v>0</v>
      </c>
      <c r="D804">
        <f>SUM($C$3:C804)</f>
        <v>7</v>
      </c>
      <c r="E804" t="e">
        <f t="shared" si="37"/>
        <v>#N/A</v>
      </c>
      <c r="F804" s="28" t="str">
        <f t="shared" ca="1" si="38"/>
        <v/>
      </c>
    </row>
    <row r="805" spans="2:6" x14ac:dyDescent="0.2">
      <c r="B805" t="str">
        <f>IFERROR(IF('PDCA review'!$D$2=Plan!B806,Plan!G806,""),"")</f>
        <v/>
      </c>
      <c r="C805">
        <f t="shared" si="36"/>
        <v>0</v>
      </c>
      <c r="D805">
        <f>SUM($C$3:C805)</f>
        <v>7</v>
      </c>
      <c r="E805" t="e">
        <f t="shared" si="37"/>
        <v>#N/A</v>
      </c>
      <c r="F805" s="28" t="str">
        <f t="shared" ca="1" si="38"/>
        <v/>
      </c>
    </row>
    <row r="806" spans="2:6" x14ac:dyDescent="0.2">
      <c r="B806" t="str">
        <f>IFERROR(IF('PDCA review'!$D$2=Plan!B807,Plan!G807,""),"")</f>
        <v/>
      </c>
      <c r="C806">
        <f t="shared" si="36"/>
        <v>0</v>
      </c>
      <c r="D806">
        <f>SUM($C$3:C806)</f>
        <v>7</v>
      </c>
      <c r="E806" t="e">
        <f t="shared" si="37"/>
        <v>#N/A</v>
      </c>
      <c r="F806" s="28" t="str">
        <f t="shared" ca="1" si="38"/>
        <v/>
      </c>
    </row>
    <row r="807" spans="2:6" x14ac:dyDescent="0.2">
      <c r="B807" t="str">
        <f>IFERROR(IF('PDCA review'!$D$2=Plan!B808,Plan!G808,""),"")</f>
        <v/>
      </c>
      <c r="C807">
        <f t="shared" si="36"/>
        <v>0</v>
      </c>
      <c r="D807">
        <f>SUM($C$3:C807)</f>
        <v>7</v>
      </c>
      <c r="E807" t="e">
        <f t="shared" si="37"/>
        <v>#N/A</v>
      </c>
      <c r="F807" s="28" t="str">
        <f t="shared" ca="1" si="38"/>
        <v/>
      </c>
    </row>
    <row r="808" spans="2:6" x14ac:dyDescent="0.2">
      <c r="B808" t="str">
        <f>IFERROR(IF('PDCA review'!$D$2=Plan!B809,Plan!G809,""),"")</f>
        <v/>
      </c>
      <c r="C808">
        <f t="shared" si="36"/>
        <v>0</v>
      </c>
      <c r="D808">
        <f>SUM($C$3:C808)</f>
        <v>7</v>
      </c>
      <c r="E808" t="e">
        <f t="shared" si="37"/>
        <v>#N/A</v>
      </c>
      <c r="F808" s="28" t="str">
        <f t="shared" ca="1" si="38"/>
        <v/>
      </c>
    </row>
    <row r="809" spans="2:6" x14ac:dyDescent="0.2">
      <c r="B809" t="str">
        <f>IFERROR(IF('PDCA review'!$D$2=Plan!B810,Plan!G810,""),"")</f>
        <v/>
      </c>
      <c r="C809">
        <f t="shared" si="36"/>
        <v>0</v>
      </c>
      <c r="D809">
        <f>SUM($C$3:C809)</f>
        <v>7</v>
      </c>
      <c r="E809" t="e">
        <f t="shared" si="37"/>
        <v>#N/A</v>
      </c>
      <c r="F809" s="28" t="str">
        <f t="shared" ca="1" si="38"/>
        <v/>
      </c>
    </row>
    <row r="810" spans="2:6" x14ac:dyDescent="0.2">
      <c r="B810" t="str">
        <f>IFERROR(IF('PDCA review'!$D$2=Plan!B811,Plan!G811,""),"")</f>
        <v/>
      </c>
      <c r="C810">
        <f t="shared" si="36"/>
        <v>0</v>
      </c>
      <c r="D810">
        <f>SUM($C$3:C810)</f>
        <v>7</v>
      </c>
      <c r="E810" t="e">
        <f t="shared" si="37"/>
        <v>#N/A</v>
      </c>
      <c r="F810" s="28" t="str">
        <f t="shared" ca="1" si="38"/>
        <v/>
      </c>
    </row>
    <row r="811" spans="2:6" x14ac:dyDescent="0.2">
      <c r="B811" t="str">
        <f>IFERROR(IF('PDCA review'!$D$2=Plan!B812,Plan!G812,""),"")</f>
        <v/>
      </c>
      <c r="C811">
        <f t="shared" si="36"/>
        <v>0</v>
      </c>
      <c r="D811">
        <f>SUM($C$3:C811)</f>
        <v>7</v>
      </c>
      <c r="E811" t="e">
        <f t="shared" si="37"/>
        <v>#N/A</v>
      </c>
      <c r="F811" s="28" t="str">
        <f t="shared" ca="1" si="38"/>
        <v/>
      </c>
    </row>
    <row r="812" spans="2:6" x14ac:dyDescent="0.2">
      <c r="B812" t="str">
        <f>IFERROR(IF('PDCA review'!$D$2=Plan!B813,Plan!G813,""),"")</f>
        <v/>
      </c>
      <c r="C812">
        <f t="shared" si="36"/>
        <v>0</v>
      </c>
      <c r="D812">
        <f>SUM($C$3:C812)</f>
        <v>7</v>
      </c>
      <c r="E812" t="e">
        <f t="shared" si="37"/>
        <v>#N/A</v>
      </c>
      <c r="F812" s="28" t="str">
        <f t="shared" ca="1" si="38"/>
        <v/>
      </c>
    </row>
    <row r="813" spans="2:6" x14ac:dyDescent="0.2">
      <c r="B813" t="str">
        <f>IFERROR(IF('PDCA review'!$D$2=Plan!B814,Plan!G814,""),"")</f>
        <v/>
      </c>
      <c r="C813">
        <f t="shared" si="36"/>
        <v>0</v>
      </c>
      <c r="D813">
        <f>SUM($C$3:C813)</f>
        <v>7</v>
      </c>
      <c r="E813" t="e">
        <f t="shared" si="37"/>
        <v>#N/A</v>
      </c>
      <c r="F813" s="28" t="str">
        <f t="shared" ca="1" si="38"/>
        <v/>
      </c>
    </row>
    <row r="814" spans="2:6" x14ac:dyDescent="0.2">
      <c r="B814" t="str">
        <f>IFERROR(IF('PDCA review'!$D$2=Plan!B815,Plan!G815,""),"")</f>
        <v/>
      </c>
      <c r="C814">
        <f t="shared" si="36"/>
        <v>0</v>
      </c>
      <c r="D814">
        <f>SUM($C$3:C814)</f>
        <v>7</v>
      </c>
      <c r="E814" t="e">
        <f t="shared" si="37"/>
        <v>#N/A</v>
      </c>
      <c r="F814" s="28" t="str">
        <f t="shared" ca="1" si="38"/>
        <v/>
      </c>
    </row>
    <row r="815" spans="2:6" x14ac:dyDescent="0.2">
      <c r="B815" t="str">
        <f>IFERROR(IF('PDCA review'!$D$2=Plan!B816,Plan!G816,""),"")</f>
        <v/>
      </c>
      <c r="C815">
        <f t="shared" si="36"/>
        <v>0</v>
      </c>
      <c r="D815">
        <f>SUM($C$3:C815)</f>
        <v>7</v>
      </c>
      <c r="E815" t="e">
        <f t="shared" si="37"/>
        <v>#N/A</v>
      </c>
      <c r="F815" s="28" t="str">
        <f t="shared" ca="1" si="38"/>
        <v/>
      </c>
    </row>
    <row r="816" spans="2:6" x14ac:dyDescent="0.2">
      <c r="B816" t="str">
        <f>IFERROR(IF('PDCA review'!$D$2=Plan!B817,Plan!G817,""),"")</f>
        <v/>
      </c>
      <c r="C816">
        <f t="shared" si="36"/>
        <v>0</v>
      </c>
      <c r="D816">
        <f>SUM($C$3:C816)</f>
        <v>7</v>
      </c>
      <c r="E816" t="e">
        <f t="shared" si="37"/>
        <v>#N/A</v>
      </c>
      <c r="F816" s="28" t="str">
        <f t="shared" ca="1" si="38"/>
        <v/>
      </c>
    </row>
    <row r="817" spans="2:6" x14ac:dyDescent="0.2">
      <c r="B817" t="str">
        <f>IFERROR(IF('PDCA review'!$D$2=Plan!B818,Plan!G818,""),"")</f>
        <v/>
      </c>
      <c r="C817">
        <f t="shared" si="36"/>
        <v>0</v>
      </c>
      <c r="D817">
        <f>SUM($C$3:C817)</f>
        <v>7</v>
      </c>
      <c r="E817" t="e">
        <f t="shared" si="37"/>
        <v>#N/A</v>
      </c>
      <c r="F817" s="28" t="str">
        <f t="shared" ca="1" si="38"/>
        <v/>
      </c>
    </row>
    <row r="818" spans="2:6" x14ac:dyDescent="0.2">
      <c r="B818" t="str">
        <f>IFERROR(IF('PDCA review'!$D$2=Plan!B819,Plan!G819,""),"")</f>
        <v/>
      </c>
      <c r="C818">
        <f t="shared" si="36"/>
        <v>0</v>
      </c>
      <c r="D818">
        <f>SUM($C$3:C818)</f>
        <v>7</v>
      </c>
      <c r="E818" t="e">
        <f t="shared" si="37"/>
        <v>#N/A</v>
      </c>
      <c r="F818" s="28" t="str">
        <f t="shared" ca="1" si="38"/>
        <v/>
      </c>
    </row>
    <row r="819" spans="2:6" x14ac:dyDescent="0.2">
      <c r="B819" t="str">
        <f>IFERROR(IF('PDCA review'!$D$2=Plan!B820,Plan!G820,""),"")</f>
        <v/>
      </c>
      <c r="C819">
        <f t="shared" si="36"/>
        <v>0</v>
      </c>
      <c r="D819">
        <f>SUM($C$3:C819)</f>
        <v>7</v>
      </c>
      <c r="E819" t="e">
        <f t="shared" si="37"/>
        <v>#N/A</v>
      </c>
      <c r="F819" s="28" t="str">
        <f t="shared" ca="1" si="38"/>
        <v/>
      </c>
    </row>
    <row r="820" spans="2:6" x14ac:dyDescent="0.2">
      <c r="B820" t="str">
        <f>IFERROR(IF('PDCA review'!$D$2=Plan!B821,Plan!G821,""),"")</f>
        <v/>
      </c>
      <c r="C820">
        <f t="shared" si="36"/>
        <v>0</v>
      </c>
      <c r="D820">
        <f>SUM($C$3:C820)</f>
        <v>7</v>
      </c>
      <c r="E820" t="e">
        <f t="shared" si="37"/>
        <v>#N/A</v>
      </c>
      <c r="F820" s="28" t="str">
        <f t="shared" ca="1" si="38"/>
        <v/>
      </c>
    </row>
    <row r="821" spans="2:6" x14ac:dyDescent="0.2">
      <c r="B821" t="str">
        <f>IFERROR(IF('PDCA review'!$D$2=Plan!B822,Plan!G822,""),"")</f>
        <v/>
      </c>
      <c r="C821">
        <f t="shared" si="36"/>
        <v>0</v>
      </c>
      <c r="D821">
        <f>SUM($C$3:C821)</f>
        <v>7</v>
      </c>
      <c r="E821" t="e">
        <f t="shared" si="37"/>
        <v>#N/A</v>
      </c>
      <c r="F821" s="28" t="str">
        <f t="shared" ca="1" si="38"/>
        <v/>
      </c>
    </row>
    <row r="822" spans="2:6" x14ac:dyDescent="0.2">
      <c r="B822" t="str">
        <f>IFERROR(IF('PDCA review'!$D$2=Plan!B823,Plan!G823,""),"")</f>
        <v/>
      </c>
      <c r="C822">
        <f t="shared" si="36"/>
        <v>0</v>
      </c>
      <c r="D822">
        <f>SUM($C$3:C822)</f>
        <v>7</v>
      </c>
      <c r="E822" t="e">
        <f t="shared" si="37"/>
        <v>#N/A</v>
      </c>
      <c r="F822" s="28" t="str">
        <f t="shared" ca="1" si="38"/>
        <v/>
      </c>
    </row>
    <row r="823" spans="2:6" x14ac:dyDescent="0.2">
      <c r="B823" t="str">
        <f>IFERROR(IF('PDCA review'!$D$2=Plan!B824,Plan!G824,""),"")</f>
        <v/>
      </c>
      <c r="C823">
        <f t="shared" si="36"/>
        <v>0</v>
      </c>
      <c r="D823">
        <f>SUM($C$3:C823)</f>
        <v>7</v>
      </c>
      <c r="E823" t="e">
        <f t="shared" si="37"/>
        <v>#N/A</v>
      </c>
      <c r="F823" s="28" t="str">
        <f t="shared" ca="1" si="38"/>
        <v/>
      </c>
    </row>
    <row r="824" spans="2:6" x14ac:dyDescent="0.2">
      <c r="B824" t="str">
        <f>IFERROR(IF('PDCA review'!$D$2=Plan!B825,Plan!G825,""),"")</f>
        <v/>
      </c>
      <c r="C824">
        <f t="shared" si="36"/>
        <v>0</v>
      </c>
      <c r="D824">
        <f>SUM($C$3:C824)</f>
        <v>7</v>
      </c>
      <c r="E824" t="e">
        <f t="shared" si="37"/>
        <v>#N/A</v>
      </c>
      <c r="F824" s="28" t="str">
        <f t="shared" ca="1" si="38"/>
        <v/>
      </c>
    </row>
    <row r="825" spans="2:6" x14ac:dyDescent="0.2">
      <c r="B825" t="str">
        <f>IFERROR(IF('PDCA review'!$D$2=Plan!B826,Plan!G826,""),"")</f>
        <v/>
      </c>
      <c r="C825">
        <f t="shared" si="36"/>
        <v>0</v>
      </c>
      <c r="D825">
        <f>SUM($C$3:C825)</f>
        <v>7</v>
      </c>
      <c r="E825" t="e">
        <f t="shared" si="37"/>
        <v>#N/A</v>
      </c>
      <c r="F825" s="28" t="str">
        <f t="shared" ca="1" si="38"/>
        <v/>
      </c>
    </row>
    <row r="826" spans="2:6" x14ac:dyDescent="0.2">
      <c r="B826" t="str">
        <f>IFERROR(IF('PDCA review'!$D$2=Plan!B827,Plan!G827,""),"")</f>
        <v/>
      </c>
      <c r="C826">
        <f t="shared" si="36"/>
        <v>0</v>
      </c>
      <c r="D826">
        <f>SUM($C$3:C826)</f>
        <v>7</v>
      </c>
      <c r="E826" t="e">
        <f t="shared" si="37"/>
        <v>#N/A</v>
      </c>
      <c r="F826" s="28" t="str">
        <f t="shared" ca="1" si="38"/>
        <v/>
      </c>
    </row>
    <row r="827" spans="2:6" x14ac:dyDescent="0.2">
      <c r="B827" t="str">
        <f>IFERROR(IF('PDCA review'!$D$2=Plan!B828,Plan!G828,""),"")</f>
        <v/>
      </c>
      <c r="C827">
        <f t="shared" si="36"/>
        <v>0</v>
      </c>
      <c r="D827">
        <f>SUM($C$3:C827)</f>
        <v>7</v>
      </c>
      <c r="E827" t="e">
        <f t="shared" si="37"/>
        <v>#N/A</v>
      </c>
      <c r="F827" s="28" t="str">
        <f t="shared" ca="1" si="38"/>
        <v/>
      </c>
    </row>
    <row r="828" spans="2:6" x14ac:dyDescent="0.2">
      <c r="B828" t="str">
        <f>IFERROR(IF('PDCA review'!$D$2=Plan!B829,Plan!G829,""),"")</f>
        <v/>
      </c>
      <c r="C828">
        <f t="shared" si="36"/>
        <v>0</v>
      </c>
      <c r="D828">
        <f>SUM($C$3:C828)</f>
        <v>7</v>
      </c>
      <c r="E828" t="e">
        <f t="shared" si="37"/>
        <v>#N/A</v>
      </c>
      <c r="F828" s="28" t="str">
        <f t="shared" ca="1" si="38"/>
        <v/>
      </c>
    </row>
    <row r="829" spans="2:6" x14ac:dyDescent="0.2">
      <c r="B829" t="str">
        <f>IFERROR(IF('PDCA review'!$D$2=Plan!B830,Plan!G830,""),"")</f>
        <v/>
      </c>
      <c r="C829">
        <f t="shared" si="36"/>
        <v>0</v>
      </c>
      <c r="D829">
        <f>SUM($C$3:C829)</f>
        <v>7</v>
      </c>
      <c r="E829" t="e">
        <f t="shared" si="37"/>
        <v>#N/A</v>
      </c>
      <c r="F829" s="28" t="str">
        <f t="shared" ca="1" si="38"/>
        <v/>
      </c>
    </row>
    <row r="830" spans="2:6" x14ac:dyDescent="0.2">
      <c r="B830" t="str">
        <f>IFERROR(IF('PDCA review'!$D$2=Plan!B831,Plan!G831,""),"")</f>
        <v/>
      </c>
      <c r="C830">
        <f t="shared" si="36"/>
        <v>0</v>
      </c>
      <c r="D830">
        <f>SUM($C$3:C830)</f>
        <v>7</v>
      </c>
      <c r="E830" t="e">
        <f t="shared" si="37"/>
        <v>#N/A</v>
      </c>
      <c r="F830" s="28" t="str">
        <f t="shared" ca="1" si="38"/>
        <v/>
      </c>
    </row>
    <row r="831" spans="2:6" x14ac:dyDescent="0.2">
      <c r="B831" t="str">
        <f>IFERROR(IF('PDCA review'!$D$2=Plan!B832,Plan!G832,""),"")</f>
        <v/>
      </c>
      <c r="C831">
        <f t="shared" si="36"/>
        <v>0</v>
      </c>
      <c r="D831">
        <f>SUM($C$3:C831)</f>
        <v>7</v>
      </c>
      <c r="E831" t="e">
        <f t="shared" si="37"/>
        <v>#N/A</v>
      </c>
      <c r="F831" s="28" t="str">
        <f t="shared" ca="1" si="38"/>
        <v/>
      </c>
    </row>
    <row r="832" spans="2:6" x14ac:dyDescent="0.2">
      <c r="B832" t="str">
        <f>IFERROR(IF('PDCA review'!$D$2=Plan!B833,Plan!G833,""),"")</f>
        <v/>
      </c>
      <c r="C832">
        <f t="shared" si="36"/>
        <v>0</v>
      </c>
      <c r="D832">
        <f>SUM($C$3:C832)</f>
        <v>7</v>
      </c>
      <c r="E832" t="e">
        <f t="shared" si="37"/>
        <v>#N/A</v>
      </c>
      <c r="F832" s="28" t="str">
        <f t="shared" ca="1" si="38"/>
        <v/>
      </c>
    </row>
    <row r="833" spans="2:6" x14ac:dyDescent="0.2">
      <c r="B833" t="str">
        <f>IFERROR(IF('PDCA review'!$D$2=Plan!B834,Plan!G834,""),"")</f>
        <v/>
      </c>
      <c r="C833">
        <f t="shared" si="36"/>
        <v>0</v>
      </c>
      <c r="D833">
        <f>SUM($C$3:C833)</f>
        <v>7</v>
      </c>
      <c r="E833" t="e">
        <f t="shared" si="37"/>
        <v>#N/A</v>
      </c>
      <c r="F833" s="28" t="str">
        <f t="shared" ca="1" si="38"/>
        <v/>
      </c>
    </row>
    <row r="834" spans="2:6" x14ac:dyDescent="0.2">
      <c r="B834" t="str">
        <f>IFERROR(IF('PDCA review'!$D$2=Plan!B835,Plan!G835,""),"")</f>
        <v/>
      </c>
      <c r="C834">
        <f t="shared" si="36"/>
        <v>0</v>
      </c>
      <c r="D834">
        <f>SUM($C$3:C834)</f>
        <v>7</v>
      </c>
      <c r="E834" t="e">
        <f t="shared" si="37"/>
        <v>#N/A</v>
      </c>
      <c r="F834" s="28" t="str">
        <f t="shared" ca="1" si="38"/>
        <v/>
      </c>
    </row>
    <row r="835" spans="2:6" x14ac:dyDescent="0.2">
      <c r="B835" t="str">
        <f>IFERROR(IF('PDCA review'!$D$2=Plan!B836,Plan!G836,""),"")</f>
        <v/>
      </c>
      <c r="C835">
        <f t="shared" si="36"/>
        <v>0</v>
      </c>
      <c r="D835">
        <f>SUM($C$3:C835)</f>
        <v>7</v>
      </c>
      <c r="E835" t="e">
        <f t="shared" si="37"/>
        <v>#N/A</v>
      </c>
      <c r="F835" s="28" t="str">
        <f t="shared" ca="1" si="38"/>
        <v/>
      </c>
    </row>
    <row r="836" spans="2:6" x14ac:dyDescent="0.2">
      <c r="B836" t="str">
        <f>IFERROR(IF('PDCA review'!$D$2=Plan!B837,Plan!G837,""),"")</f>
        <v/>
      </c>
      <c r="C836">
        <f t="shared" ref="C836:C899" si="39">IF(B836&lt;&gt;"",1,0)</f>
        <v>0</v>
      </c>
      <c r="D836">
        <f>SUM($C$3:C836)</f>
        <v>7</v>
      </c>
      <c r="E836" t="e">
        <f t="shared" ref="E836:E899" si="40">MATCH(ROW()-$D$2,$D$3:$D$2000,0)+$D$2</f>
        <v>#N/A</v>
      </c>
      <c r="F836" s="28" t="str">
        <f t="shared" ref="F836:F899" ca="1" si="41">IFERROR(INDIRECT("B"&amp;E836),"")</f>
        <v/>
      </c>
    </row>
    <row r="837" spans="2:6" x14ac:dyDescent="0.2">
      <c r="B837" t="str">
        <f>IFERROR(IF('PDCA review'!$D$2=Plan!B838,Plan!G838,""),"")</f>
        <v/>
      </c>
      <c r="C837">
        <f t="shared" si="39"/>
        <v>0</v>
      </c>
      <c r="D837">
        <f>SUM($C$3:C837)</f>
        <v>7</v>
      </c>
      <c r="E837" t="e">
        <f t="shared" si="40"/>
        <v>#N/A</v>
      </c>
      <c r="F837" s="28" t="str">
        <f t="shared" ca="1" si="41"/>
        <v/>
      </c>
    </row>
    <row r="838" spans="2:6" x14ac:dyDescent="0.2">
      <c r="B838" t="str">
        <f>IFERROR(IF('PDCA review'!$D$2=Plan!B839,Plan!G839,""),"")</f>
        <v/>
      </c>
      <c r="C838">
        <f t="shared" si="39"/>
        <v>0</v>
      </c>
      <c r="D838">
        <f>SUM($C$3:C838)</f>
        <v>7</v>
      </c>
      <c r="E838" t="e">
        <f t="shared" si="40"/>
        <v>#N/A</v>
      </c>
      <c r="F838" s="28" t="str">
        <f t="shared" ca="1" si="41"/>
        <v/>
      </c>
    </row>
    <row r="839" spans="2:6" x14ac:dyDescent="0.2">
      <c r="B839" t="str">
        <f>IFERROR(IF('PDCA review'!$D$2=Plan!B840,Plan!G840,""),"")</f>
        <v/>
      </c>
      <c r="C839">
        <f t="shared" si="39"/>
        <v>0</v>
      </c>
      <c r="D839">
        <f>SUM($C$3:C839)</f>
        <v>7</v>
      </c>
      <c r="E839" t="e">
        <f t="shared" si="40"/>
        <v>#N/A</v>
      </c>
      <c r="F839" s="28" t="str">
        <f t="shared" ca="1" si="41"/>
        <v/>
      </c>
    </row>
    <row r="840" spans="2:6" x14ac:dyDescent="0.2">
      <c r="B840" t="str">
        <f>IFERROR(IF('PDCA review'!$D$2=Plan!B841,Plan!G841,""),"")</f>
        <v/>
      </c>
      <c r="C840">
        <f t="shared" si="39"/>
        <v>0</v>
      </c>
      <c r="D840">
        <f>SUM($C$3:C840)</f>
        <v>7</v>
      </c>
      <c r="E840" t="e">
        <f t="shared" si="40"/>
        <v>#N/A</v>
      </c>
      <c r="F840" s="28" t="str">
        <f t="shared" ca="1" si="41"/>
        <v/>
      </c>
    </row>
    <row r="841" spans="2:6" x14ac:dyDescent="0.2">
      <c r="B841" t="str">
        <f>IFERROR(IF('PDCA review'!$D$2=Plan!B842,Plan!G842,""),"")</f>
        <v/>
      </c>
      <c r="C841">
        <f t="shared" si="39"/>
        <v>0</v>
      </c>
      <c r="D841">
        <f>SUM($C$3:C841)</f>
        <v>7</v>
      </c>
      <c r="E841" t="e">
        <f t="shared" si="40"/>
        <v>#N/A</v>
      </c>
      <c r="F841" s="28" t="str">
        <f t="shared" ca="1" si="41"/>
        <v/>
      </c>
    </row>
    <row r="842" spans="2:6" x14ac:dyDescent="0.2">
      <c r="B842" t="str">
        <f>IFERROR(IF('PDCA review'!$D$2=Plan!B843,Plan!G843,""),"")</f>
        <v/>
      </c>
      <c r="C842">
        <f t="shared" si="39"/>
        <v>0</v>
      </c>
      <c r="D842">
        <f>SUM($C$3:C842)</f>
        <v>7</v>
      </c>
      <c r="E842" t="e">
        <f t="shared" si="40"/>
        <v>#N/A</v>
      </c>
      <c r="F842" s="28" t="str">
        <f t="shared" ca="1" si="41"/>
        <v/>
      </c>
    </row>
    <row r="843" spans="2:6" x14ac:dyDescent="0.2">
      <c r="B843" t="str">
        <f>IFERROR(IF('PDCA review'!$D$2=Plan!B844,Plan!G844,""),"")</f>
        <v/>
      </c>
      <c r="C843">
        <f t="shared" si="39"/>
        <v>0</v>
      </c>
      <c r="D843">
        <f>SUM($C$3:C843)</f>
        <v>7</v>
      </c>
      <c r="E843" t="e">
        <f t="shared" si="40"/>
        <v>#N/A</v>
      </c>
      <c r="F843" s="28" t="str">
        <f t="shared" ca="1" si="41"/>
        <v/>
      </c>
    </row>
    <row r="844" spans="2:6" x14ac:dyDescent="0.2">
      <c r="B844" t="str">
        <f>IFERROR(IF('PDCA review'!$D$2=Plan!B845,Plan!G845,""),"")</f>
        <v/>
      </c>
      <c r="C844">
        <f t="shared" si="39"/>
        <v>0</v>
      </c>
      <c r="D844">
        <f>SUM($C$3:C844)</f>
        <v>7</v>
      </c>
      <c r="E844" t="e">
        <f t="shared" si="40"/>
        <v>#N/A</v>
      </c>
      <c r="F844" s="28" t="str">
        <f t="shared" ca="1" si="41"/>
        <v/>
      </c>
    </row>
    <row r="845" spans="2:6" x14ac:dyDescent="0.2">
      <c r="B845" t="str">
        <f>IFERROR(IF('PDCA review'!$D$2=Plan!B846,Plan!G846,""),"")</f>
        <v/>
      </c>
      <c r="C845">
        <f t="shared" si="39"/>
        <v>0</v>
      </c>
      <c r="D845">
        <f>SUM($C$3:C845)</f>
        <v>7</v>
      </c>
      <c r="E845" t="e">
        <f t="shared" si="40"/>
        <v>#N/A</v>
      </c>
      <c r="F845" s="28" t="str">
        <f t="shared" ca="1" si="41"/>
        <v/>
      </c>
    </row>
    <row r="846" spans="2:6" x14ac:dyDescent="0.2">
      <c r="B846" t="str">
        <f>IFERROR(IF('PDCA review'!$D$2=Plan!B847,Plan!G847,""),"")</f>
        <v/>
      </c>
      <c r="C846">
        <f t="shared" si="39"/>
        <v>0</v>
      </c>
      <c r="D846">
        <f>SUM($C$3:C846)</f>
        <v>7</v>
      </c>
      <c r="E846" t="e">
        <f t="shared" si="40"/>
        <v>#N/A</v>
      </c>
      <c r="F846" s="28" t="str">
        <f t="shared" ca="1" si="41"/>
        <v/>
      </c>
    </row>
    <row r="847" spans="2:6" x14ac:dyDescent="0.2">
      <c r="B847" t="str">
        <f>IFERROR(IF('PDCA review'!$D$2=Plan!B848,Plan!G848,""),"")</f>
        <v/>
      </c>
      <c r="C847">
        <f t="shared" si="39"/>
        <v>0</v>
      </c>
      <c r="D847">
        <f>SUM($C$3:C847)</f>
        <v>7</v>
      </c>
      <c r="E847" t="e">
        <f t="shared" si="40"/>
        <v>#N/A</v>
      </c>
      <c r="F847" s="28" t="str">
        <f t="shared" ca="1" si="41"/>
        <v/>
      </c>
    </row>
    <row r="848" spans="2:6" x14ac:dyDescent="0.2">
      <c r="B848" t="str">
        <f>IFERROR(IF('PDCA review'!$D$2=Plan!B849,Plan!G849,""),"")</f>
        <v/>
      </c>
      <c r="C848">
        <f t="shared" si="39"/>
        <v>0</v>
      </c>
      <c r="D848">
        <f>SUM($C$3:C848)</f>
        <v>7</v>
      </c>
      <c r="E848" t="e">
        <f t="shared" si="40"/>
        <v>#N/A</v>
      </c>
      <c r="F848" s="28" t="str">
        <f t="shared" ca="1" si="41"/>
        <v/>
      </c>
    </row>
    <row r="849" spans="2:6" x14ac:dyDescent="0.2">
      <c r="B849" t="str">
        <f>IFERROR(IF('PDCA review'!$D$2=Plan!B850,Plan!G850,""),"")</f>
        <v/>
      </c>
      <c r="C849">
        <f t="shared" si="39"/>
        <v>0</v>
      </c>
      <c r="D849">
        <f>SUM($C$3:C849)</f>
        <v>7</v>
      </c>
      <c r="E849" t="e">
        <f t="shared" si="40"/>
        <v>#N/A</v>
      </c>
      <c r="F849" s="28" t="str">
        <f t="shared" ca="1" si="41"/>
        <v/>
      </c>
    </row>
    <row r="850" spans="2:6" x14ac:dyDescent="0.2">
      <c r="B850" t="str">
        <f>IFERROR(IF('PDCA review'!$D$2=Plan!B851,Plan!G851,""),"")</f>
        <v/>
      </c>
      <c r="C850">
        <f t="shared" si="39"/>
        <v>0</v>
      </c>
      <c r="D850">
        <f>SUM($C$3:C850)</f>
        <v>7</v>
      </c>
      <c r="E850" t="e">
        <f t="shared" si="40"/>
        <v>#N/A</v>
      </c>
      <c r="F850" s="28" t="str">
        <f t="shared" ca="1" si="41"/>
        <v/>
      </c>
    </row>
    <row r="851" spans="2:6" x14ac:dyDescent="0.2">
      <c r="B851" t="str">
        <f>IFERROR(IF('PDCA review'!$D$2=Plan!B852,Plan!G852,""),"")</f>
        <v/>
      </c>
      <c r="C851">
        <f t="shared" si="39"/>
        <v>0</v>
      </c>
      <c r="D851">
        <f>SUM($C$3:C851)</f>
        <v>7</v>
      </c>
      <c r="E851" t="e">
        <f t="shared" si="40"/>
        <v>#N/A</v>
      </c>
      <c r="F851" s="28" t="str">
        <f t="shared" ca="1" si="41"/>
        <v/>
      </c>
    </row>
    <row r="852" spans="2:6" x14ac:dyDescent="0.2">
      <c r="B852" t="str">
        <f>IFERROR(IF('PDCA review'!$D$2=Plan!B853,Plan!G853,""),"")</f>
        <v/>
      </c>
      <c r="C852">
        <f t="shared" si="39"/>
        <v>0</v>
      </c>
      <c r="D852">
        <f>SUM($C$3:C852)</f>
        <v>7</v>
      </c>
      <c r="E852" t="e">
        <f t="shared" si="40"/>
        <v>#N/A</v>
      </c>
      <c r="F852" s="28" t="str">
        <f t="shared" ca="1" si="41"/>
        <v/>
      </c>
    </row>
    <row r="853" spans="2:6" x14ac:dyDescent="0.2">
      <c r="B853" t="str">
        <f>IFERROR(IF('PDCA review'!$D$2=Plan!B854,Plan!G854,""),"")</f>
        <v/>
      </c>
      <c r="C853">
        <f t="shared" si="39"/>
        <v>0</v>
      </c>
      <c r="D853">
        <f>SUM($C$3:C853)</f>
        <v>7</v>
      </c>
      <c r="E853" t="e">
        <f t="shared" si="40"/>
        <v>#N/A</v>
      </c>
      <c r="F853" s="28" t="str">
        <f t="shared" ca="1" si="41"/>
        <v/>
      </c>
    </row>
    <row r="854" spans="2:6" x14ac:dyDescent="0.2">
      <c r="B854" t="str">
        <f>IFERROR(IF('PDCA review'!$D$2=Plan!B855,Plan!G855,""),"")</f>
        <v/>
      </c>
      <c r="C854">
        <f t="shared" si="39"/>
        <v>0</v>
      </c>
      <c r="D854">
        <f>SUM($C$3:C854)</f>
        <v>7</v>
      </c>
      <c r="E854" t="e">
        <f t="shared" si="40"/>
        <v>#N/A</v>
      </c>
      <c r="F854" s="28" t="str">
        <f t="shared" ca="1" si="41"/>
        <v/>
      </c>
    </row>
    <row r="855" spans="2:6" x14ac:dyDescent="0.2">
      <c r="B855" t="str">
        <f>IFERROR(IF('PDCA review'!$D$2=Plan!B856,Plan!G856,""),"")</f>
        <v/>
      </c>
      <c r="C855">
        <f t="shared" si="39"/>
        <v>0</v>
      </c>
      <c r="D855">
        <f>SUM($C$3:C855)</f>
        <v>7</v>
      </c>
      <c r="E855" t="e">
        <f t="shared" si="40"/>
        <v>#N/A</v>
      </c>
      <c r="F855" s="28" t="str">
        <f t="shared" ca="1" si="41"/>
        <v/>
      </c>
    </row>
    <row r="856" spans="2:6" x14ac:dyDescent="0.2">
      <c r="B856" t="str">
        <f>IFERROR(IF('PDCA review'!$D$2=Plan!B857,Plan!G857,""),"")</f>
        <v/>
      </c>
      <c r="C856">
        <f t="shared" si="39"/>
        <v>0</v>
      </c>
      <c r="D856">
        <f>SUM($C$3:C856)</f>
        <v>7</v>
      </c>
      <c r="E856" t="e">
        <f t="shared" si="40"/>
        <v>#N/A</v>
      </c>
      <c r="F856" s="28" t="str">
        <f t="shared" ca="1" si="41"/>
        <v/>
      </c>
    </row>
    <row r="857" spans="2:6" x14ac:dyDescent="0.2">
      <c r="B857" t="str">
        <f>IFERROR(IF('PDCA review'!$D$2=Plan!B858,Plan!G858,""),"")</f>
        <v/>
      </c>
      <c r="C857">
        <f t="shared" si="39"/>
        <v>0</v>
      </c>
      <c r="D857">
        <f>SUM($C$3:C857)</f>
        <v>7</v>
      </c>
      <c r="E857" t="e">
        <f t="shared" si="40"/>
        <v>#N/A</v>
      </c>
      <c r="F857" s="28" t="str">
        <f t="shared" ca="1" si="41"/>
        <v/>
      </c>
    </row>
    <row r="858" spans="2:6" x14ac:dyDescent="0.2">
      <c r="B858" t="str">
        <f>IFERROR(IF('PDCA review'!$D$2=Plan!B859,Plan!G859,""),"")</f>
        <v/>
      </c>
      <c r="C858">
        <f t="shared" si="39"/>
        <v>0</v>
      </c>
      <c r="D858">
        <f>SUM($C$3:C858)</f>
        <v>7</v>
      </c>
      <c r="E858" t="e">
        <f t="shared" si="40"/>
        <v>#N/A</v>
      </c>
      <c r="F858" s="28" t="str">
        <f t="shared" ca="1" si="41"/>
        <v/>
      </c>
    </row>
    <row r="859" spans="2:6" x14ac:dyDescent="0.2">
      <c r="B859" t="str">
        <f>IFERROR(IF('PDCA review'!$D$2=Plan!B860,Plan!G860,""),"")</f>
        <v/>
      </c>
      <c r="C859">
        <f t="shared" si="39"/>
        <v>0</v>
      </c>
      <c r="D859">
        <f>SUM($C$3:C859)</f>
        <v>7</v>
      </c>
      <c r="E859" t="e">
        <f t="shared" si="40"/>
        <v>#N/A</v>
      </c>
      <c r="F859" s="28" t="str">
        <f t="shared" ca="1" si="41"/>
        <v/>
      </c>
    </row>
    <row r="860" spans="2:6" x14ac:dyDescent="0.2">
      <c r="B860" t="str">
        <f>IFERROR(IF('PDCA review'!$D$2=Plan!B861,Plan!G861,""),"")</f>
        <v/>
      </c>
      <c r="C860">
        <f t="shared" si="39"/>
        <v>0</v>
      </c>
      <c r="D860">
        <f>SUM($C$3:C860)</f>
        <v>7</v>
      </c>
      <c r="E860" t="e">
        <f t="shared" si="40"/>
        <v>#N/A</v>
      </c>
      <c r="F860" s="28" t="str">
        <f t="shared" ca="1" si="41"/>
        <v/>
      </c>
    </row>
    <row r="861" spans="2:6" x14ac:dyDescent="0.2">
      <c r="B861" t="str">
        <f>IFERROR(IF('PDCA review'!$D$2=Plan!B862,Plan!G862,""),"")</f>
        <v/>
      </c>
      <c r="C861">
        <f t="shared" si="39"/>
        <v>0</v>
      </c>
      <c r="D861">
        <f>SUM($C$3:C861)</f>
        <v>7</v>
      </c>
      <c r="E861" t="e">
        <f t="shared" si="40"/>
        <v>#N/A</v>
      </c>
      <c r="F861" s="28" t="str">
        <f t="shared" ca="1" si="41"/>
        <v/>
      </c>
    </row>
    <row r="862" spans="2:6" x14ac:dyDescent="0.2">
      <c r="B862" t="str">
        <f>IFERROR(IF('PDCA review'!$D$2=Plan!B863,Plan!G863,""),"")</f>
        <v/>
      </c>
      <c r="C862">
        <f t="shared" si="39"/>
        <v>0</v>
      </c>
      <c r="D862">
        <f>SUM($C$3:C862)</f>
        <v>7</v>
      </c>
      <c r="E862" t="e">
        <f t="shared" si="40"/>
        <v>#N/A</v>
      </c>
      <c r="F862" s="28" t="str">
        <f t="shared" ca="1" si="41"/>
        <v/>
      </c>
    </row>
    <row r="863" spans="2:6" x14ac:dyDescent="0.2">
      <c r="B863" t="str">
        <f>IFERROR(IF('PDCA review'!$D$2=Plan!B864,Plan!G864,""),"")</f>
        <v/>
      </c>
      <c r="C863">
        <f t="shared" si="39"/>
        <v>0</v>
      </c>
      <c r="D863">
        <f>SUM($C$3:C863)</f>
        <v>7</v>
      </c>
      <c r="E863" t="e">
        <f t="shared" si="40"/>
        <v>#N/A</v>
      </c>
      <c r="F863" s="28" t="str">
        <f t="shared" ca="1" si="41"/>
        <v/>
      </c>
    </row>
    <row r="864" spans="2:6" x14ac:dyDescent="0.2">
      <c r="B864" t="str">
        <f>IFERROR(IF('PDCA review'!$D$2=Plan!B865,Plan!G865,""),"")</f>
        <v/>
      </c>
      <c r="C864">
        <f t="shared" si="39"/>
        <v>0</v>
      </c>
      <c r="D864">
        <f>SUM($C$3:C864)</f>
        <v>7</v>
      </c>
      <c r="E864" t="e">
        <f t="shared" si="40"/>
        <v>#N/A</v>
      </c>
      <c r="F864" s="28" t="str">
        <f t="shared" ca="1" si="41"/>
        <v/>
      </c>
    </row>
    <row r="865" spans="2:6" x14ac:dyDescent="0.2">
      <c r="B865" t="str">
        <f>IFERROR(IF('PDCA review'!$D$2=Plan!B866,Plan!G866,""),"")</f>
        <v/>
      </c>
      <c r="C865">
        <f t="shared" si="39"/>
        <v>0</v>
      </c>
      <c r="D865">
        <f>SUM($C$3:C865)</f>
        <v>7</v>
      </c>
      <c r="E865" t="e">
        <f t="shared" si="40"/>
        <v>#N/A</v>
      </c>
      <c r="F865" s="28" t="str">
        <f t="shared" ca="1" si="41"/>
        <v/>
      </c>
    </row>
    <row r="866" spans="2:6" x14ac:dyDescent="0.2">
      <c r="B866" t="str">
        <f>IFERROR(IF('PDCA review'!$D$2=Plan!B867,Plan!G867,""),"")</f>
        <v/>
      </c>
      <c r="C866">
        <f t="shared" si="39"/>
        <v>0</v>
      </c>
      <c r="D866">
        <f>SUM($C$3:C866)</f>
        <v>7</v>
      </c>
      <c r="E866" t="e">
        <f t="shared" si="40"/>
        <v>#N/A</v>
      </c>
      <c r="F866" s="28" t="str">
        <f t="shared" ca="1" si="41"/>
        <v/>
      </c>
    </row>
    <row r="867" spans="2:6" x14ac:dyDescent="0.2">
      <c r="B867" t="str">
        <f>IFERROR(IF('PDCA review'!$D$2=Plan!B868,Plan!G868,""),"")</f>
        <v/>
      </c>
      <c r="C867">
        <f t="shared" si="39"/>
        <v>0</v>
      </c>
      <c r="D867">
        <f>SUM($C$3:C867)</f>
        <v>7</v>
      </c>
      <c r="E867" t="e">
        <f t="shared" si="40"/>
        <v>#N/A</v>
      </c>
      <c r="F867" s="28" t="str">
        <f t="shared" ca="1" si="41"/>
        <v/>
      </c>
    </row>
    <row r="868" spans="2:6" x14ac:dyDescent="0.2">
      <c r="B868" t="str">
        <f>IFERROR(IF('PDCA review'!$D$2=Plan!B869,Plan!G869,""),"")</f>
        <v/>
      </c>
      <c r="C868">
        <f t="shared" si="39"/>
        <v>0</v>
      </c>
      <c r="D868">
        <f>SUM($C$3:C868)</f>
        <v>7</v>
      </c>
      <c r="E868" t="e">
        <f t="shared" si="40"/>
        <v>#N/A</v>
      </c>
      <c r="F868" s="28" t="str">
        <f t="shared" ca="1" si="41"/>
        <v/>
      </c>
    </row>
    <row r="869" spans="2:6" x14ac:dyDescent="0.2">
      <c r="B869" t="str">
        <f>IFERROR(IF('PDCA review'!$D$2=Plan!B870,Plan!G870,""),"")</f>
        <v/>
      </c>
      <c r="C869">
        <f t="shared" si="39"/>
        <v>0</v>
      </c>
      <c r="D869">
        <f>SUM($C$3:C869)</f>
        <v>7</v>
      </c>
      <c r="E869" t="e">
        <f t="shared" si="40"/>
        <v>#N/A</v>
      </c>
      <c r="F869" s="28" t="str">
        <f t="shared" ca="1" si="41"/>
        <v/>
      </c>
    </row>
    <row r="870" spans="2:6" x14ac:dyDescent="0.2">
      <c r="B870" t="str">
        <f>IFERROR(IF('PDCA review'!$D$2=Plan!B871,Plan!G871,""),"")</f>
        <v/>
      </c>
      <c r="C870">
        <f t="shared" si="39"/>
        <v>0</v>
      </c>
      <c r="D870">
        <f>SUM($C$3:C870)</f>
        <v>7</v>
      </c>
      <c r="E870" t="e">
        <f t="shared" si="40"/>
        <v>#N/A</v>
      </c>
      <c r="F870" s="28" t="str">
        <f t="shared" ca="1" si="41"/>
        <v/>
      </c>
    </row>
    <row r="871" spans="2:6" x14ac:dyDescent="0.2">
      <c r="B871" t="str">
        <f>IFERROR(IF('PDCA review'!$D$2=Plan!B872,Plan!G872,""),"")</f>
        <v/>
      </c>
      <c r="C871">
        <f t="shared" si="39"/>
        <v>0</v>
      </c>
      <c r="D871">
        <f>SUM($C$3:C871)</f>
        <v>7</v>
      </c>
      <c r="E871" t="e">
        <f t="shared" si="40"/>
        <v>#N/A</v>
      </c>
      <c r="F871" s="28" t="str">
        <f t="shared" ca="1" si="41"/>
        <v/>
      </c>
    </row>
    <row r="872" spans="2:6" x14ac:dyDescent="0.2">
      <c r="B872" t="str">
        <f>IFERROR(IF('PDCA review'!$D$2=Plan!B873,Plan!G873,""),"")</f>
        <v/>
      </c>
      <c r="C872">
        <f t="shared" si="39"/>
        <v>0</v>
      </c>
      <c r="D872">
        <f>SUM($C$3:C872)</f>
        <v>7</v>
      </c>
      <c r="E872" t="e">
        <f t="shared" si="40"/>
        <v>#N/A</v>
      </c>
      <c r="F872" s="28" t="str">
        <f t="shared" ca="1" si="41"/>
        <v/>
      </c>
    </row>
    <row r="873" spans="2:6" x14ac:dyDescent="0.2">
      <c r="B873" t="str">
        <f>IFERROR(IF('PDCA review'!$D$2=Plan!B874,Plan!G874,""),"")</f>
        <v/>
      </c>
      <c r="C873">
        <f t="shared" si="39"/>
        <v>0</v>
      </c>
      <c r="D873">
        <f>SUM($C$3:C873)</f>
        <v>7</v>
      </c>
      <c r="E873" t="e">
        <f t="shared" si="40"/>
        <v>#N/A</v>
      </c>
      <c r="F873" s="28" t="str">
        <f t="shared" ca="1" si="41"/>
        <v/>
      </c>
    </row>
    <row r="874" spans="2:6" x14ac:dyDescent="0.2">
      <c r="B874" t="str">
        <f>IFERROR(IF('PDCA review'!$D$2=Plan!B875,Plan!G875,""),"")</f>
        <v/>
      </c>
      <c r="C874">
        <f t="shared" si="39"/>
        <v>0</v>
      </c>
      <c r="D874">
        <f>SUM($C$3:C874)</f>
        <v>7</v>
      </c>
      <c r="E874" t="e">
        <f t="shared" si="40"/>
        <v>#N/A</v>
      </c>
      <c r="F874" s="28" t="str">
        <f t="shared" ca="1" si="41"/>
        <v/>
      </c>
    </row>
    <row r="875" spans="2:6" x14ac:dyDescent="0.2">
      <c r="B875" t="str">
        <f>IFERROR(IF('PDCA review'!$D$2=Plan!B876,Plan!G876,""),"")</f>
        <v/>
      </c>
      <c r="C875">
        <f t="shared" si="39"/>
        <v>0</v>
      </c>
      <c r="D875">
        <f>SUM($C$3:C875)</f>
        <v>7</v>
      </c>
      <c r="E875" t="e">
        <f t="shared" si="40"/>
        <v>#N/A</v>
      </c>
      <c r="F875" s="28" t="str">
        <f t="shared" ca="1" si="41"/>
        <v/>
      </c>
    </row>
    <row r="876" spans="2:6" x14ac:dyDescent="0.2">
      <c r="B876" t="str">
        <f>IFERROR(IF('PDCA review'!$D$2=Plan!B877,Plan!G877,""),"")</f>
        <v/>
      </c>
      <c r="C876">
        <f t="shared" si="39"/>
        <v>0</v>
      </c>
      <c r="D876">
        <f>SUM($C$3:C876)</f>
        <v>7</v>
      </c>
      <c r="E876" t="e">
        <f t="shared" si="40"/>
        <v>#N/A</v>
      </c>
      <c r="F876" s="28" t="str">
        <f t="shared" ca="1" si="41"/>
        <v/>
      </c>
    </row>
    <row r="877" spans="2:6" x14ac:dyDescent="0.2">
      <c r="B877" t="str">
        <f>IFERROR(IF('PDCA review'!$D$2=Plan!B878,Plan!G878,""),"")</f>
        <v/>
      </c>
      <c r="C877">
        <f t="shared" si="39"/>
        <v>0</v>
      </c>
      <c r="D877">
        <f>SUM($C$3:C877)</f>
        <v>7</v>
      </c>
      <c r="E877" t="e">
        <f t="shared" si="40"/>
        <v>#N/A</v>
      </c>
      <c r="F877" s="28" t="str">
        <f t="shared" ca="1" si="41"/>
        <v/>
      </c>
    </row>
    <row r="878" spans="2:6" x14ac:dyDescent="0.2">
      <c r="B878" t="str">
        <f>IFERROR(IF('PDCA review'!$D$2=Plan!B879,Plan!G879,""),"")</f>
        <v/>
      </c>
      <c r="C878">
        <f t="shared" si="39"/>
        <v>0</v>
      </c>
      <c r="D878">
        <f>SUM($C$3:C878)</f>
        <v>7</v>
      </c>
      <c r="E878" t="e">
        <f t="shared" si="40"/>
        <v>#N/A</v>
      </c>
      <c r="F878" s="28" t="str">
        <f t="shared" ca="1" si="41"/>
        <v/>
      </c>
    </row>
    <row r="879" spans="2:6" x14ac:dyDescent="0.2">
      <c r="B879" t="str">
        <f>IFERROR(IF('PDCA review'!$D$2=Plan!B880,Plan!G880,""),"")</f>
        <v/>
      </c>
      <c r="C879">
        <f t="shared" si="39"/>
        <v>0</v>
      </c>
      <c r="D879">
        <f>SUM($C$3:C879)</f>
        <v>7</v>
      </c>
      <c r="E879" t="e">
        <f t="shared" si="40"/>
        <v>#N/A</v>
      </c>
      <c r="F879" s="28" t="str">
        <f t="shared" ca="1" si="41"/>
        <v/>
      </c>
    </row>
    <row r="880" spans="2:6" x14ac:dyDescent="0.2">
      <c r="B880" t="str">
        <f>IFERROR(IF('PDCA review'!$D$2=Plan!B881,Plan!G881,""),"")</f>
        <v/>
      </c>
      <c r="C880">
        <f t="shared" si="39"/>
        <v>0</v>
      </c>
      <c r="D880">
        <f>SUM($C$3:C880)</f>
        <v>7</v>
      </c>
      <c r="E880" t="e">
        <f t="shared" si="40"/>
        <v>#N/A</v>
      </c>
      <c r="F880" s="28" t="str">
        <f t="shared" ca="1" si="41"/>
        <v/>
      </c>
    </row>
    <row r="881" spans="2:6" x14ac:dyDescent="0.2">
      <c r="B881" t="str">
        <f>IFERROR(IF('PDCA review'!$D$2=Plan!B882,Plan!G882,""),"")</f>
        <v/>
      </c>
      <c r="C881">
        <f t="shared" si="39"/>
        <v>0</v>
      </c>
      <c r="D881">
        <f>SUM($C$3:C881)</f>
        <v>7</v>
      </c>
      <c r="E881" t="e">
        <f t="shared" si="40"/>
        <v>#N/A</v>
      </c>
      <c r="F881" s="28" t="str">
        <f t="shared" ca="1" si="41"/>
        <v/>
      </c>
    </row>
    <row r="882" spans="2:6" x14ac:dyDescent="0.2">
      <c r="B882" t="str">
        <f>IFERROR(IF('PDCA review'!$D$2=Plan!B883,Plan!G883,""),"")</f>
        <v/>
      </c>
      <c r="C882">
        <f t="shared" si="39"/>
        <v>0</v>
      </c>
      <c r="D882">
        <f>SUM($C$3:C882)</f>
        <v>7</v>
      </c>
      <c r="E882" t="e">
        <f t="shared" si="40"/>
        <v>#N/A</v>
      </c>
      <c r="F882" s="28" t="str">
        <f t="shared" ca="1" si="41"/>
        <v/>
      </c>
    </row>
    <row r="883" spans="2:6" x14ac:dyDescent="0.2">
      <c r="B883" t="str">
        <f>IFERROR(IF('PDCA review'!$D$2=Plan!B884,Plan!G884,""),"")</f>
        <v/>
      </c>
      <c r="C883">
        <f t="shared" si="39"/>
        <v>0</v>
      </c>
      <c r="D883">
        <f>SUM($C$3:C883)</f>
        <v>7</v>
      </c>
      <c r="E883" t="e">
        <f t="shared" si="40"/>
        <v>#N/A</v>
      </c>
      <c r="F883" s="28" t="str">
        <f t="shared" ca="1" si="41"/>
        <v/>
      </c>
    </row>
    <row r="884" spans="2:6" x14ac:dyDescent="0.2">
      <c r="B884" t="str">
        <f>IFERROR(IF('PDCA review'!$D$2=Plan!B885,Plan!G885,""),"")</f>
        <v/>
      </c>
      <c r="C884">
        <f t="shared" si="39"/>
        <v>0</v>
      </c>
      <c r="D884">
        <f>SUM($C$3:C884)</f>
        <v>7</v>
      </c>
      <c r="E884" t="e">
        <f t="shared" si="40"/>
        <v>#N/A</v>
      </c>
      <c r="F884" s="28" t="str">
        <f t="shared" ca="1" si="41"/>
        <v/>
      </c>
    </row>
    <row r="885" spans="2:6" x14ac:dyDescent="0.2">
      <c r="B885" t="str">
        <f>IFERROR(IF('PDCA review'!$D$2=Plan!B886,Plan!G886,""),"")</f>
        <v/>
      </c>
      <c r="C885">
        <f t="shared" si="39"/>
        <v>0</v>
      </c>
      <c r="D885">
        <f>SUM($C$3:C885)</f>
        <v>7</v>
      </c>
      <c r="E885" t="e">
        <f t="shared" si="40"/>
        <v>#N/A</v>
      </c>
      <c r="F885" s="28" t="str">
        <f t="shared" ca="1" si="41"/>
        <v/>
      </c>
    </row>
    <row r="886" spans="2:6" x14ac:dyDescent="0.2">
      <c r="B886" t="str">
        <f>IFERROR(IF('PDCA review'!$D$2=Plan!B887,Plan!G887,""),"")</f>
        <v/>
      </c>
      <c r="C886">
        <f t="shared" si="39"/>
        <v>0</v>
      </c>
      <c r="D886">
        <f>SUM($C$3:C886)</f>
        <v>7</v>
      </c>
      <c r="E886" t="e">
        <f t="shared" si="40"/>
        <v>#N/A</v>
      </c>
      <c r="F886" s="28" t="str">
        <f t="shared" ca="1" si="41"/>
        <v/>
      </c>
    </row>
    <row r="887" spans="2:6" x14ac:dyDescent="0.2">
      <c r="B887" t="str">
        <f>IFERROR(IF('PDCA review'!$D$2=Plan!B888,Plan!G888,""),"")</f>
        <v/>
      </c>
      <c r="C887">
        <f t="shared" si="39"/>
        <v>0</v>
      </c>
      <c r="D887">
        <f>SUM($C$3:C887)</f>
        <v>7</v>
      </c>
      <c r="E887" t="e">
        <f t="shared" si="40"/>
        <v>#N/A</v>
      </c>
      <c r="F887" s="28" t="str">
        <f t="shared" ca="1" si="41"/>
        <v/>
      </c>
    </row>
    <row r="888" spans="2:6" x14ac:dyDescent="0.2">
      <c r="B888" t="str">
        <f>IFERROR(IF('PDCA review'!$D$2=Plan!B889,Plan!G889,""),"")</f>
        <v/>
      </c>
      <c r="C888">
        <f t="shared" si="39"/>
        <v>0</v>
      </c>
      <c r="D888">
        <f>SUM($C$3:C888)</f>
        <v>7</v>
      </c>
      <c r="E888" t="e">
        <f t="shared" si="40"/>
        <v>#N/A</v>
      </c>
      <c r="F888" s="28" t="str">
        <f t="shared" ca="1" si="41"/>
        <v/>
      </c>
    </row>
    <row r="889" spans="2:6" x14ac:dyDescent="0.2">
      <c r="B889" t="str">
        <f>IFERROR(IF('PDCA review'!$D$2=Plan!B890,Plan!G890,""),"")</f>
        <v/>
      </c>
      <c r="C889">
        <f t="shared" si="39"/>
        <v>0</v>
      </c>
      <c r="D889">
        <f>SUM($C$3:C889)</f>
        <v>7</v>
      </c>
      <c r="E889" t="e">
        <f t="shared" si="40"/>
        <v>#N/A</v>
      </c>
      <c r="F889" s="28" t="str">
        <f t="shared" ca="1" si="41"/>
        <v/>
      </c>
    </row>
    <row r="890" spans="2:6" x14ac:dyDescent="0.2">
      <c r="B890" t="str">
        <f>IFERROR(IF('PDCA review'!$D$2=Plan!B891,Plan!G891,""),"")</f>
        <v/>
      </c>
      <c r="C890">
        <f t="shared" si="39"/>
        <v>0</v>
      </c>
      <c r="D890">
        <f>SUM($C$3:C890)</f>
        <v>7</v>
      </c>
      <c r="E890" t="e">
        <f t="shared" si="40"/>
        <v>#N/A</v>
      </c>
      <c r="F890" s="28" t="str">
        <f t="shared" ca="1" si="41"/>
        <v/>
      </c>
    </row>
    <row r="891" spans="2:6" x14ac:dyDescent="0.2">
      <c r="B891" t="str">
        <f>IFERROR(IF('PDCA review'!$D$2=Plan!B892,Plan!G892,""),"")</f>
        <v/>
      </c>
      <c r="C891">
        <f t="shared" si="39"/>
        <v>0</v>
      </c>
      <c r="D891">
        <f>SUM($C$3:C891)</f>
        <v>7</v>
      </c>
      <c r="E891" t="e">
        <f t="shared" si="40"/>
        <v>#N/A</v>
      </c>
      <c r="F891" s="28" t="str">
        <f t="shared" ca="1" si="41"/>
        <v/>
      </c>
    </row>
    <row r="892" spans="2:6" x14ac:dyDescent="0.2">
      <c r="B892" t="str">
        <f>IFERROR(IF('PDCA review'!$D$2=Plan!B893,Plan!G893,""),"")</f>
        <v/>
      </c>
      <c r="C892">
        <f t="shared" si="39"/>
        <v>0</v>
      </c>
      <c r="D892">
        <f>SUM($C$3:C892)</f>
        <v>7</v>
      </c>
      <c r="E892" t="e">
        <f t="shared" si="40"/>
        <v>#N/A</v>
      </c>
      <c r="F892" s="28" t="str">
        <f t="shared" ca="1" si="41"/>
        <v/>
      </c>
    </row>
    <row r="893" spans="2:6" x14ac:dyDescent="0.2">
      <c r="B893" t="str">
        <f>IFERROR(IF('PDCA review'!$D$2=Plan!B894,Plan!G894,""),"")</f>
        <v/>
      </c>
      <c r="C893">
        <f t="shared" si="39"/>
        <v>0</v>
      </c>
      <c r="D893">
        <f>SUM($C$3:C893)</f>
        <v>7</v>
      </c>
      <c r="E893" t="e">
        <f t="shared" si="40"/>
        <v>#N/A</v>
      </c>
      <c r="F893" s="28" t="str">
        <f t="shared" ca="1" si="41"/>
        <v/>
      </c>
    </row>
    <row r="894" spans="2:6" x14ac:dyDescent="0.2">
      <c r="B894" t="str">
        <f>IFERROR(IF('PDCA review'!$D$2=Plan!B895,Plan!G895,""),"")</f>
        <v/>
      </c>
      <c r="C894">
        <f t="shared" si="39"/>
        <v>0</v>
      </c>
      <c r="D894">
        <f>SUM($C$3:C894)</f>
        <v>7</v>
      </c>
      <c r="E894" t="e">
        <f t="shared" si="40"/>
        <v>#N/A</v>
      </c>
      <c r="F894" s="28" t="str">
        <f t="shared" ca="1" si="41"/>
        <v/>
      </c>
    </row>
    <row r="895" spans="2:6" x14ac:dyDescent="0.2">
      <c r="B895" t="str">
        <f>IFERROR(IF('PDCA review'!$D$2=Plan!B896,Plan!G896,""),"")</f>
        <v/>
      </c>
      <c r="C895">
        <f t="shared" si="39"/>
        <v>0</v>
      </c>
      <c r="D895">
        <f>SUM($C$3:C895)</f>
        <v>7</v>
      </c>
      <c r="E895" t="e">
        <f t="shared" si="40"/>
        <v>#N/A</v>
      </c>
      <c r="F895" s="28" t="str">
        <f t="shared" ca="1" si="41"/>
        <v/>
      </c>
    </row>
    <row r="896" spans="2:6" x14ac:dyDescent="0.2">
      <c r="B896" t="str">
        <f>IFERROR(IF('PDCA review'!$D$2=Plan!B897,Plan!G897,""),"")</f>
        <v/>
      </c>
      <c r="C896">
        <f t="shared" si="39"/>
        <v>0</v>
      </c>
      <c r="D896">
        <f>SUM($C$3:C896)</f>
        <v>7</v>
      </c>
      <c r="E896" t="e">
        <f t="shared" si="40"/>
        <v>#N/A</v>
      </c>
      <c r="F896" s="28" t="str">
        <f t="shared" ca="1" si="41"/>
        <v/>
      </c>
    </row>
    <row r="897" spans="2:6" x14ac:dyDescent="0.2">
      <c r="B897" t="str">
        <f>IFERROR(IF('PDCA review'!$D$2=Plan!B898,Plan!G898,""),"")</f>
        <v/>
      </c>
      <c r="C897">
        <f t="shared" si="39"/>
        <v>0</v>
      </c>
      <c r="D897">
        <f>SUM($C$3:C897)</f>
        <v>7</v>
      </c>
      <c r="E897" t="e">
        <f t="shared" si="40"/>
        <v>#N/A</v>
      </c>
      <c r="F897" s="28" t="str">
        <f t="shared" ca="1" si="41"/>
        <v/>
      </c>
    </row>
    <row r="898" spans="2:6" x14ac:dyDescent="0.2">
      <c r="B898" t="str">
        <f>IFERROR(IF('PDCA review'!$D$2=Plan!B899,Plan!G899,""),"")</f>
        <v/>
      </c>
      <c r="C898">
        <f t="shared" si="39"/>
        <v>0</v>
      </c>
      <c r="D898">
        <f>SUM($C$3:C898)</f>
        <v>7</v>
      </c>
      <c r="E898" t="e">
        <f t="shared" si="40"/>
        <v>#N/A</v>
      </c>
      <c r="F898" s="28" t="str">
        <f t="shared" ca="1" si="41"/>
        <v/>
      </c>
    </row>
    <row r="899" spans="2:6" x14ac:dyDescent="0.2">
      <c r="B899" t="str">
        <f>IFERROR(IF('PDCA review'!$D$2=Plan!B900,Plan!G900,""),"")</f>
        <v/>
      </c>
      <c r="C899">
        <f t="shared" si="39"/>
        <v>0</v>
      </c>
      <c r="D899">
        <f>SUM($C$3:C899)</f>
        <v>7</v>
      </c>
      <c r="E899" t="e">
        <f t="shared" si="40"/>
        <v>#N/A</v>
      </c>
      <c r="F899" s="28" t="str">
        <f t="shared" ca="1" si="41"/>
        <v/>
      </c>
    </row>
    <row r="900" spans="2:6" x14ac:dyDescent="0.2">
      <c r="B900" t="str">
        <f>IFERROR(IF('PDCA review'!$D$2=Plan!B901,Plan!G901,""),"")</f>
        <v/>
      </c>
      <c r="C900">
        <f t="shared" ref="C900:C963" si="42">IF(B900&lt;&gt;"",1,0)</f>
        <v>0</v>
      </c>
      <c r="D900">
        <f>SUM($C$3:C900)</f>
        <v>7</v>
      </c>
      <c r="E900" t="e">
        <f t="shared" ref="E900:E963" si="43">MATCH(ROW()-$D$2,$D$3:$D$2000,0)+$D$2</f>
        <v>#N/A</v>
      </c>
      <c r="F900" s="28" t="str">
        <f t="shared" ref="F900:F963" ca="1" si="44">IFERROR(INDIRECT("B"&amp;E900),"")</f>
        <v/>
      </c>
    </row>
    <row r="901" spans="2:6" x14ac:dyDescent="0.2">
      <c r="B901" t="str">
        <f>IFERROR(IF('PDCA review'!$D$2=Plan!B902,Plan!G902,""),"")</f>
        <v/>
      </c>
      <c r="C901">
        <f t="shared" si="42"/>
        <v>0</v>
      </c>
      <c r="D901">
        <f>SUM($C$3:C901)</f>
        <v>7</v>
      </c>
      <c r="E901" t="e">
        <f t="shared" si="43"/>
        <v>#N/A</v>
      </c>
      <c r="F901" s="28" t="str">
        <f t="shared" ca="1" si="44"/>
        <v/>
      </c>
    </row>
    <row r="902" spans="2:6" x14ac:dyDescent="0.2">
      <c r="B902" t="str">
        <f>IFERROR(IF('PDCA review'!$D$2=Plan!B903,Plan!G903,""),"")</f>
        <v/>
      </c>
      <c r="C902">
        <f t="shared" si="42"/>
        <v>0</v>
      </c>
      <c r="D902">
        <f>SUM($C$3:C902)</f>
        <v>7</v>
      </c>
      <c r="E902" t="e">
        <f t="shared" si="43"/>
        <v>#N/A</v>
      </c>
      <c r="F902" s="28" t="str">
        <f t="shared" ca="1" si="44"/>
        <v/>
      </c>
    </row>
    <row r="903" spans="2:6" x14ac:dyDescent="0.2">
      <c r="B903" t="str">
        <f>IFERROR(IF('PDCA review'!$D$2=Plan!B904,Plan!G904,""),"")</f>
        <v/>
      </c>
      <c r="C903">
        <f t="shared" si="42"/>
        <v>0</v>
      </c>
      <c r="D903">
        <f>SUM($C$3:C903)</f>
        <v>7</v>
      </c>
      <c r="E903" t="e">
        <f t="shared" si="43"/>
        <v>#N/A</v>
      </c>
      <c r="F903" s="28" t="str">
        <f t="shared" ca="1" si="44"/>
        <v/>
      </c>
    </row>
    <row r="904" spans="2:6" x14ac:dyDescent="0.2">
      <c r="B904" t="str">
        <f>IFERROR(IF('PDCA review'!$D$2=Plan!B905,Plan!G905,""),"")</f>
        <v/>
      </c>
      <c r="C904">
        <f t="shared" si="42"/>
        <v>0</v>
      </c>
      <c r="D904">
        <f>SUM($C$3:C904)</f>
        <v>7</v>
      </c>
      <c r="E904" t="e">
        <f t="shared" si="43"/>
        <v>#N/A</v>
      </c>
      <c r="F904" s="28" t="str">
        <f t="shared" ca="1" si="44"/>
        <v/>
      </c>
    </row>
    <row r="905" spans="2:6" x14ac:dyDescent="0.2">
      <c r="B905" t="str">
        <f>IFERROR(IF('PDCA review'!$D$2=Plan!B906,Plan!G906,""),"")</f>
        <v/>
      </c>
      <c r="C905">
        <f t="shared" si="42"/>
        <v>0</v>
      </c>
      <c r="D905">
        <f>SUM($C$3:C905)</f>
        <v>7</v>
      </c>
      <c r="E905" t="e">
        <f t="shared" si="43"/>
        <v>#N/A</v>
      </c>
      <c r="F905" s="28" t="str">
        <f t="shared" ca="1" si="44"/>
        <v/>
      </c>
    </row>
    <row r="906" spans="2:6" x14ac:dyDescent="0.2">
      <c r="B906" t="str">
        <f>IFERROR(IF('PDCA review'!$D$2=Plan!B907,Plan!G907,""),"")</f>
        <v/>
      </c>
      <c r="C906">
        <f t="shared" si="42"/>
        <v>0</v>
      </c>
      <c r="D906">
        <f>SUM($C$3:C906)</f>
        <v>7</v>
      </c>
      <c r="E906" t="e">
        <f t="shared" si="43"/>
        <v>#N/A</v>
      </c>
      <c r="F906" s="28" t="str">
        <f t="shared" ca="1" si="44"/>
        <v/>
      </c>
    </row>
    <row r="907" spans="2:6" x14ac:dyDescent="0.2">
      <c r="B907" t="str">
        <f>IFERROR(IF('PDCA review'!$D$2=Plan!B908,Plan!G908,""),"")</f>
        <v/>
      </c>
      <c r="C907">
        <f t="shared" si="42"/>
        <v>0</v>
      </c>
      <c r="D907">
        <f>SUM($C$3:C907)</f>
        <v>7</v>
      </c>
      <c r="E907" t="e">
        <f t="shared" si="43"/>
        <v>#N/A</v>
      </c>
      <c r="F907" s="28" t="str">
        <f t="shared" ca="1" si="44"/>
        <v/>
      </c>
    </row>
    <row r="908" spans="2:6" x14ac:dyDescent="0.2">
      <c r="B908" t="str">
        <f>IFERROR(IF('PDCA review'!$D$2=Plan!B909,Plan!G909,""),"")</f>
        <v/>
      </c>
      <c r="C908">
        <f t="shared" si="42"/>
        <v>0</v>
      </c>
      <c r="D908">
        <f>SUM($C$3:C908)</f>
        <v>7</v>
      </c>
      <c r="E908" t="e">
        <f t="shared" si="43"/>
        <v>#N/A</v>
      </c>
      <c r="F908" s="28" t="str">
        <f t="shared" ca="1" si="44"/>
        <v/>
      </c>
    </row>
    <row r="909" spans="2:6" x14ac:dyDescent="0.2">
      <c r="B909" t="str">
        <f>IFERROR(IF('PDCA review'!$D$2=Plan!B910,Plan!G910,""),"")</f>
        <v/>
      </c>
      <c r="C909">
        <f t="shared" si="42"/>
        <v>0</v>
      </c>
      <c r="D909">
        <f>SUM($C$3:C909)</f>
        <v>7</v>
      </c>
      <c r="E909" t="e">
        <f t="shared" si="43"/>
        <v>#N/A</v>
      </c>
      <c r="F909" s="28" t="str">
        <f t="shared" ca="1" si="44"/>
        <v/>
      </c>
    </row>
    <row r="910" spans="2:6" x14ac:dyDescent="0.2">
      <c r="B910" t="str">
        <f>IFERROR(IF('PDCA review'!$D$2=Plan!B911,Plan!G911,""),"")</f>
        <v/>
      </c>
      <c r="C910">
        <f t="shared" si="42"/>
        <v>0</v>
      </c>
      <c r="D910">
        <f>SUM($C$3:C910)</f>
        <v>7</v>
      </c>
      <c r="E910" t="e">
        <f t="shared" si="43"/>
        <v>#N/A</v>
      </c>
      <c r="F910" s="28" t="str">
        <f t="shared" ca="1" si="44"/>
        <v/>
      </c>
    </row>
    <row r="911" spans="2:6" x14ac:dyDescent="0.2">
      <c r="B911" t="str">
        <f>IFERROR(IF('PDCA review'!$D$2=Plan!B912,Plan!G912,""),"")</f>
        <v/>
      </c>
      <c r="C911">
        <f t="shared" si="42"/>
        <v>0</v>
      </c>
      <c r="D911">
        <f>SUM($C$3:C911)</f>
        <v>7</v>
      </c>
      <c r="E911" t="e">
        <f t="shared" si="43"/>
        <v>#N/A</v>
      </c>
      <c r="F911" s="28" t="str">
        <f t="shared" ca="1" si="44"/>
        <v/>
      </c>
    </row>
    <row r="912" spans="2:6" x14ac:dyDescent="0.2">
      <c r="B912" t="str">
        <f>IFERROR(IF('PDCA review'!$D$2=Plan!B913,Plan!G913,""),"")</f>
        <v/>
      </c>
      <c r="C912">
        <f t="shared" si="42"/>
        <v>0</v>
      </c>
      <c r="D912">
        <f>SUM($C$3:C912)</f>
        <v>7</v>
      </c>
      <c r="E912" t="e">
        <f t="shared" si="43"/>
        <v>#N/A</v>
      </c>
      <c r="F912" s="28" t="str">
        <f t="shared" ca="1" si="44"/>
        <v/>
      </c>
    </row>
    <row r="913" spans="2:6" x14ac:dyDescent="0.2">
      <c r="B913" t="str">
        <f>IFERROR(IF('PDCA review'!$D$2=Plan!B914,Plan!G914,""),"")</f>
        <v/>
      </c>
      <c r="C913">
        <f t="shared" si="42"/>
        <v>0</v>
      </c>
      <c r="D913">
        <f>SUM($C$3:C913)</f>
        <v>7</v>
      </c>
      <c r="E913" t="e">
        <f t="shared" si="43"/>
        <v>#N/A</v>
      </c>
      <c r="F913" s="28" t="str">
        <f t="shared" ca="1" si="44"/>
        <v/>
      </c>
    </row>
    <row r="914" spans="2:6" x14ac:dyDescent="0.2">
      <c r="B914" t="str">
        <f>IFERROR(IF('PDCA review'!$D$2=Plan!B915,Plan!G915,""),"")</f>
        <v/>
      </c>
      <c r="C914">
        <f t="shared" si="42"/>
        <v>0</v>
      </c>
      <c r="D914">
        <f>SUM($C$3:C914)</f>
        <v>7</v>
      </c>
      <c r="E914" t="e">
        <f t="shared" si="43"/>
        <v>#N/A</v>
      </c>
      <c r="F914" s="28" t="str">
        <f t="shared" ca="1" si="44"/>
        <v/>
      </c>
    </row>
    <row r="915" spans="2:6" x14ac:dyDescent="0.2">
      <c r="B915" t="str">
        <f>IFERROR(IF('PDCA review'!$D$2=Plan!B916,Plan!G916,""),"")</f>
        <v/>
      </c>
      <c r="C915">
        <f t="shared" si="42"/>
        <v>0</v>
      </c>
      <c r="D915">
        <f>SUM($C$3:C915)</f>
        <v>7</v>
      </c>
      <c r="E915" t="e">
        <f t="shared" si="43"/>
        <v>#N/A</v>
      </c>
      <c r="F915" s="28" t="str">
        <f t="shared" ca="1" si="44"/>
        <v/>
      </c>
    </row>
    <row r="916" spans="2:6" x14ac:dyDescent="0.2">
      <c r="B916" t="str">
        <f>IFERROR(IF('PDCA review'!$D$2=Plan!B917,Plan!G917,""),"")</f>
        <v/>
      </c>
      <c r="C916">
        <f t="shared" si="42"/>
        <v>0</v>
      </c>
      <c r="D916">
        <f>SUM($C$3:C916)</f>
        <v>7</v>
      </c>
      <c r="E916" t="e">
        <f t="shared" si="43"/>
        <v>#N/A</v>
      </c>
      <c r="F916" s="28" t="str">
        <f t="shared" ca="1" si="44"/>
        <v/>
      </c>
    </row>
    <row r="917" spans="2:6" x14ac:dyDescent="0.2">
      <c r="B917" t="str">
        <f>IFERROR(IF('PDCA review'!$D$2=Plan!B918,Plan!G918,""),"")</f>
        <v/>
      </c>
      <c r="C917">
        <f t="shared" si="42"/>
        <v>0</v>
      </c>
      <c r="D917">
        <f>SUM($C$3:C917)</f>
        <v>7</v>
      </c>
      <c r="E917" t="e">
        <f t="shared" si="43"/>
        <v>#N/A</v>
      </c>
      <c r="F917" s="28" t="str">
        <f t="shared" ca="1" si="44"/>
        <v/>
      </c>
    </row>
    <row r="918" spans="2:6" x14ac:dyDescent="0.2">
      <c r="B918" t="str">
        <f>IFERROR(IF('PDCA review'!$D$2=Plan!B919,Plan!G919,""),"")</f>
        <v/>
      </c>
      <c r="C918">
        <f t="shared" si="42"/>
        <v>0</v>
      </c>
      <c r="D918">
        <f>SUM($C$3:C918)</f>
        <v>7</v>
      </c>
      <c r="E918" t="e">
        <f t="shared" si="43"/>
        <v>#N/A</v>
      </c>
      <c r="F918" s="28" t="str">
        <f t="shared" ca="1" si="44"/>
        <v/>
      </c>
    </row>
    <row r="919" spans="2:6" x14ac:dyDescent="0.2">
      <c r="B919" t="str">
        <f>IFERROR(IF('PDCA review'!$D$2=Plan!B920,Plan!G920,""),"")</f>
        <v/>
      </c>
      <c r="C919">
        <f t="shared" si="42"/>
        <v>0</v>
      </c>
      <c r="D919">
        <f>SUM($C$3:C919)</f>
        <v>7</v>
      </c>
      <c r="E919" t="e">
        <f t="shared" si="43"/>
        <v>#N/A</v>
      </c>
      <c r="F919" s="28" t="str">
        <f t="shared" ca="1" si="44"/>
        <v/>
      </c>
    </row>
    <row r="920" spans="2:6" x14ac:dyDescent="0.2">
      <c r="B920" t="str">
        <f>IFERROR(IF('PDCA review'!$D$2=Plan!B921,Plan!G921,""),"")</f>
        <v/>
      </c>
      <c r="C920">
        <f t="shared" si="42"/>
        <v>0</v>
      </c>
      <c r="D920">
        <f>SUM($C$3:C920)</f>
        <v>7</v>
      </c>
      <c r="E920" t="e">
        <f t="shared" si="43"/>
        <v>#N/A</v>
      </c>
      <c r="F920" s="28" t="str">
        <f t="shared" ca="1" si="44"/>
        <v/>
      </c>
    </row>
    <row r="921" spans="2:6" x14ac:dyDescent="0.2">
      <c r="B921" t="str">
        <f>IFERROR(IF('PDCA review'!$D$2=Plan!B922,Plan!G922,""),"")</f>
        <v/>
      </c>
      <c r="C921">
        <f t="shared" si="42"/>
        <v>0</v>
      </c>
      <c r="D921">
        <f>SUM($C$3:C921)</f>
        <v>7</v>
      </c>
      <c r="E921" t="e">
        <f t="shared" si="43"/>
        <v>#N/A</v>
      </c>
      <c r="F921" s="28" t="str">
        <f t="shared" ca="1" si="44"/>
        <v/>
      </c>
    </row>
    <row r="922" spans="2:6" x14ac:dyDescent="0.2">
      <c r="B922" t="str">
        <f>IFERROR(IF('PDCA review'!$D$2=Plan!B923,Plan!G923,""),"")</f>
        <v/>
      </c>
      <c r="C922">
        <f t="shared" si="42"/>
        <v>0</v>
      </c>
      <c r="D922">
        <f>SUM($C$3:C922)</f>
        <v>7</v>
      </c>
      <c r="E922" t="e">
        <f t="shared" si="43"/>
        <v>#N/A</v>
      </c>
      <c r="F922" s="28" t="str">
        <f t="shared" ca="1" si="44"/>
        <v/>
      </c>
    </row>
    <row r="923" spans="2:6" x14ac:dyDescent="0.2">
      <c r="B923" t="str">
        <f>IFERROR(IF('PDCA review'!$D$2=Plan!B924,Plan!G924,""),"")</f>
        <v/>
      </c>
      <c r="C923">
        <f t="shared" si="42"/>
        <v>0</v>
      </c>
      <c r="D923">
        <f>SUM($C$3:C923)</f>
        <v>7</v>
      </c>
      <c r="E923" t="e">
        <f t="shared" si="43"/>
        <v>#N/A</v>
      </c>
      <c r="F923" s="28" t="str">
        <f t="shared" ca="1" si="44"/>
        <v/>
      </c>
    </row>
    <row r="924" spans="2:6" x14ac:dyDescent="0.2">
      <c r="B924" t="str">
        <f>IFERROR(IF('PDCA review'!$D$2=Plan!B925,Plan!G925,""),"")</f>
        <v/>
      </c>
      <c r="C924">
        <f t="shared" si="42"/>
        <v>0</v>
      </c>
      <c r="D924">
        <f>SUM($C$3:C924)</f>
        <v>7</v>
      </c>
      <c r="E924" t="e">
        <f t="shared" si="43"/>
        <v>#N/A</v>
      </c>
      <c r="F924" s="28" t="str">
        <f t="shared" ca="1" si="44"/>
        <v/>
      </c>
    </row>
    <row r="925" spans="2:6" x14ac:dyDescent="0.2">
      <c r="B925" t="str">
        <f>IFERROR(IF('PDCA review'!$D$2=Plan!B926,Plan!G926,""),"")</f>
        <v/>
      </c>
      <c r="C925">
        <f t="shared" si="42"/>
        <v>0</v>
      </c>
      <c r="D925">
        <f>SUM($C$3:C925)</f>
        <v>7</v>
      </c>
      <c r="E925" t="e">
        <f t="shared" si="43"/>
        <v>#N/A</v>
      </c>
      <c r="F925" s="28" t="str">
        <f t="shared" ca="1" si="44"/>
        <v/>
      </c>
    </row>
    <row r="926" spans="2:6" x14ac:dyDescent="0.2">
      <c r="B926" t="str">
        <f>IFERROR(IF('PDCA review'!$D$2=Plan!B927,Plan!G927,""),"")</f>
        <v/>
      </c>
      <c r="C926">
        <f t="shared" si="42"/>
        <v>0</v>
      </c>
      <c r="D926">
        <f>SUM($C$3:C926)</f>
        <v>7</v>
      </c>
      <c r="E926" t="e">
        <f t="shared" si="43"/>
        <v>#N/A</v>
      </c>
      <c r="F926" s="28" t="str">
        <f t="shared" ca="1" si="44"/>
        <v/>
      </c>
    </row>
    <row r="927" spans="2:6" x14ac:dyDescent="0.2">
      <c r="B927" t="str">
        <f>IFERROR(IF('PDCA review'!$D$2=Plan!B928,Plan!G928,""),"")</f>
        <v/>
      </c>
      <c r="C927">
        <f t="shared" si="42"/>
        <v>0</v>
      </c>
      <c r="D927">
        <f>SUM($C$3:C927)</f>
        <v>7</v>
      </c>
      <c r="E927" t="e">
        <f t="shared" si="43"/>
        <v>#N/A</v>
      </c>
      <c r="F927" s="28" t="str">
        <f t="shared" ca="1" si="44"/>
        <v/>
      </c>
    </row>
    <row r="928" spans="2:6" x14ac:dyDescent="0.2">
      <c r="B928" t="str">
        <f>IFERROR(IF('PDCA review'!$D$2=Plan!B929,Plan!G929,""),"")</f>
        <v/>
      </c>
      <c r="C928">
        <f t="shared" si="42"/>
        <v>0</v>
      </c>
      <c r="D928">
        <f>SUM($C$3:C928)</f>
        <v>7</v>
      </c>
      <c r="E928" t="e">
        <f t="shared" si="43"/>
        <v>#N/A</v>
      </c>
      <c r="F928" s="28" t="str">
        <f t="shared" ca="1" si="44"/>
        <v/>
      </c>
    </row>
    <row r="929" spans="2:6" x14ac:dyDescent="0.2">
      <c r="B929" t="str">
        <f>IFERROR(IF('PDCA review'!$D$2=Plan!B930,Plan!G930,""),"")</f>
        <v/>
      </c>
      <c r="C929">
        <f t="shared" si="42"/>
        <v>0</v>
      </c>
      <c r="D929">
        <f>SUM($C$3:C929)</f>
        <v>7</v>
      </c>
      <c r="E929" t="e">
        <f t="shared" si="43"/>
        <v>#N/A</v>
      </c>
      <c r="F929" s="28" t="str">
        <f t="shared" ca="1" si="44"/>
        <v/>
      </c>
    </row>
    <row r="930" spans="2:6" x14ac:dyDescent="0.2">
      <c r="B930" t="str">
        <f>IFERROR(IF('PDCA review'!$D$2=Plan!B931,Plan!G931,""),"")</f>
        <v/>
      </c>
      <c r="C930">
        <f t="shared" si="42"/>
        <v>0</v>
      </c>
      <c r="D930">
        <f>SUM($C$3:C930)</f>
        <v>7</v>
      </c>
      <c r="E930" t="e">
        <f t="shared" si="43"/>
        <v>#N/A</v>
      </c>
      <c r="F930" s="28" t="str">
        <f t="shared" ca="1" si="44"/>
        <v/>
      </c>
    </row>
    <row r="931" spans="2:6" x14ac:dyDescent="0.2">
      <c r="B931" t="str">
        <f>IFERROR(IF('PDCA review'!$D$2=Plan!B932,Plan!G932,""),"")</f>
        <v/>
      </c>
      <c r="C931">
        <f t="shared" si="42"/>
        <v>0</v>
      </c>
      <c r="D931">
        <f>SUM($C$3:C931)</f>
        <v>7</v>
      </c>
      <c r="E931" t="e">
        <f t="shared" si="43"/>
        <v>#N/A</v>
      </c>
      <c r="F931" s="28" t="str">
        <f t="shared" ca="1" si="44"/>
        <v/>
      </c>
    </row>
    <row r="932" spans="2:6" x14ac:dyDescent="0.2">
      <c r="B932" t="str">
        <f>IFERROR(IF('PDCA review'!$D$2=Plan!B933,Plan!G933,""),"")</f>
        <v/>
      </c>
      <c r="C932">
        <f t="shared" si="42"/>
        <v>0</v>
      </c>
      <c r="D932">
        <f>SUM($C$3:C932)</f>
        <v>7</v>
      </c>
      <c r="E932" t="e">
        <f t="shared" si="43"/>
        <v>#N/A</v>
      </c>
      <c r="F932" s="28" t="str">
        <f t="shared" ca="1" si="44"/>
        <v/>
      </c>
    </row>
    <row r="933" spans="2:6" x14ac:dyDescent="0.2">
      <c r="B933" t="str">
        <f>IFERROR(IF('PDCA review'!$D$2=Plan!B934,Plan!G934,""),"")</f>
        <v/>
      </c>
      <c r="C933">
        <f t="shared" si="42"/>
        <v>0</v>
      </c>
      <c r="D933">
        <f>SUM($C$3:C933)</f>
        <v>7</v>
      </c>
      <c r="E933" t="e">
        <f t="shared" si="43"/>
        <v>#N/A</v>
      </c>
      <c r="F933" s="28" t="str">
        <f t="shared" ca="1" si="44"/>
        <v/>
      </c>
    </row>
    <row r="934" spans="2:6" x14ac:dyDescent="0.2">
      <c r="B934" t="str">
        <f>IFERROR(IF('PDCA review'!$D$2=Plan!B935,Plan!G935,""),"")</f>
        <v/>
      </c>
      <c r="C934">
        <f t="shared" si="42"/>
        <v>0</v>
      </c>
      <c r="D934">
        <f>SUM($C$3:C934)</f>
        <v>7</v>
      </c>
      <c r="E934" t="e">
        <f t="shared" si="43"/>
        <v>#N/A</v>
      </c>
      <c r="F934" s="28" t="str">
        <f t="shared" ca="1" si="44"/>
        <v/>
      </c>
    </row>
    <row r="935" spans="2:6" x14ac:dyDescent="0.2">
      <c r="B935" t="str">
        <f>IFERROR(IF('PDCA review'!$D$2=Plan!B936,Plan!G936,""),"")</f>
        <v/>
      </c>
      <c r="C935">
        <f t="shared" si="42"/>
        <v>0</v>
      </c>
      <c r="D935">
        <f>SUM($C$3:C935)</f>
        <v>7</v>
      </c>
      <c r="E935" t="e">
        <f t="shared" si="43"/>
        <v>#N/A</v>
      </c>
      <c r="F935" s="28" t="str">
        <f t="shared" ca="1" si="44"/>
        <v/>
      </c>
    </row>
    <row r="936" spans="2:6" x14ac:dyDescent="0.2">
      <c r="B936" t="str">
        <f>IFERROR(IF('PDCA review'!$D$2=Plan!B937,Plan!G937,""),"")</f>
        <v/>
      </c>
      <c r="C936">
        <f t="shared" si="42"/>
        <v>0</v>
      </c>
      <c r="D936">
        <f>SUM($C$3:C936)</f>
        <v>7</v>
      </c>
      <c r="E936" t="e">
        <f t="shared" si="43"/>
        <v>#N/A</v>
      </c>
      <c r="F936" s="28" t="str">
        <f t="shared" ca="1" si="44"/>
        <v/>
      </c>
    </row>
    <row r="937" spans="2:6" x14ac:dyDescent="0.2">
      <c r="B937" t="str">
        <f>IFERROR(IF('PDCA review'!$D$2=Plan!B938,Plan!G938,""),"")</f>
        <v/>
      </c>
      <c r="C937">
        <f t="shared" si="42"/>
        <v>0</v>
      </c>
      <c r="D937">
        <f>SUM($C$3:C937)</f>
        <v>7</v>
      </c>
      <c r="E937" t="e">
        <f t="shared" si="43"/>
        <v>#N/A</v>
      </c>
      <c r="F937" s="28" t="str">
        <f t="shared" ca="1" si="44"/>
        <v/>
      </c>
    </row>
    <row r="938" spans="2:6" x14ac:dyDescent="0.2">
      <c r="B938" t="str">
        <f>IFERROR(IF('PDCA review'!$D$2=Plan!B939,Plan!G939,""),"")</f>
        <v/>
      </c>
      <c r="C938">
        <f t="shared" si="42"/>
        <v>0</v>
      </c>
      <c r="D938">
        <f>SUM($C$3:C938)</f>
        <v>7</v>
      </c>
      <c r="E938" t="e">
        <f t="shared" si="43"/>
        <v>#N/A</v>
      </c>
      <c r="F938" s="28" t="str">
        <f t="shared" ca="1" si="44"/>
        <v/>
      </c>
    </row>
    <row r="939" spans="2:6" x14ac:dyDescent="0.2">
      <c r="B939" t="str">
        <f>IFERROR(IF('PDCA review'!$D$2=Plan!B940,Plan!G940,""),"")</f>
        <v/>
      </c>
      <c r="C939">
        <f t="shared" si="42"/>
        <v>0</v>
      </c>
      <c r="D939">
        <f>SUM($C$3:C939)</f>
        <v>7</v>
      </c>
      <c r="E939" t="e">
        <f t="shared" si="43"/>
        <v>#N/A</v>
      </c>
      <c r="F939" s="28" t="str">
        <f t="shared" ca="1" si="44"/>
        <v/>
      </c>
    </row>
    <row r="940" spans="2:6" x14ac:dyDescent="0.2">
      <c r="B940" t="str">
        <f>IFERROR(IF('PDCA review'!$D$2=Plan!B941,Plan!G941,""),"")</f>
        <v/>
      </c>
      <c r="C940">
        <f t="shared" si="42"/>
        <v>0</v>
      </c>
      <c r="D940">
        <f>SUM($C$3:C940)</f>
        <v>7</v>
      </c>
      <c r="E940" t="e">
        <f t="shared" si="43"/>
        <v>#N/A</v>
      </c>
      <c r="F940" s="28" t="str">
        <f t="shared" ca="1" si="44"/>
        <v/>
      </c>
    </row>
    <row r="941" spans="2:6" x14ac:dyDescent="0.2">
      <c r="B941" t="str">
        <f>IFERROR(IF('PDCA review'!$D$2=Plan!B942,Plan!G942,""),"")</f>
        <v/>
      </c>
      <c r="C941">
        <f t="shared" si="42"/>
        <v>0</v>
      </c>
      <c r="D941">
        <f>SUM($C$3:C941)</f>
        <v>7</v>
      </c>
      <c r="E941" t="e">
        <f t="shared" si="43"/>
        <v>#N/A</v>
      </c>
      <c r="F941" s="28" t="str">
        <f t="shared" ca="1" si="44"/>
        <v/>
      </c>
    </row>
    <row r="942" spans="2:6" x14ac:dyDescent="0.2">
      <c r="B942" t="str">
        <f>IFERROR(IF('PDCA review'!$D$2=Plan!B943,Plan!G943,""),"")</f>
        <v/>
      </c>
      <c r="C942">
        <f t="shared" si="42"/>
        <v>0</v>
      </c>
      <c r="D942">
        <f>SUM($C$3:C942)</f>
        <v>7</v>
      </c>
      <c r="E942" t="e">
        <f t="shared" si="43"/>
        <v>#N/A</v>
      </c>
      <c r="F942" s="28" t="str">
        <f t="shared" ca="1" si="44"/>
        <v/>
      </c>
    </row>
    <row r="943" spans="2:6" x14ac:dyDescent="0.2">
      <c r="B943" t="str">
        <f>IFERROR(IF('PDCA review'!$D$2=Plan!B944,Plan!G944,""),"")</f>
        <v/>
      </c>
      <c r="C943">
        <f t="shared" si="42"/>
        <v>0</v>
      </c>
      <c r="D943">
        <f>SUM($C$3:C943)</f>
        <v>7</v>
      </c>
      <c r="E943" t="e">
        <f t="shared" si="43"/>
        <v>#N/A</v>
      </c>
      <c r="F943" s="28" t="str">
        <f t="shared" ca="1" si="44"/>
        <v/>
      </c>
    </row>
    <row r="944" spans="2:6" x14ac:dyDescent="0.2">
      <c r="B944" t="str">
        <f>IFERROR(IF('PDCA review'!$D$2=Plan!B945,Plan!G945,""),"")</f>
        <v/>
      </c>
      <c r="C944">
        <f t="shared" si="42"/>
        <v>0</v>
      </c>
      <c r="D944">
        <f>SUM($C$3:C944)</f>
        <v>7</v>
      </c>
      <c r="E944" t="e">
        <f t="shared" si="43"/>
        <v>#N/A</v>
      </c>
      <c r="F944" s="28" t="str">
        <f t="shared" ca="1" si="44"/>
        <v/>
      </c>
    </row>
    <row r="945" spans="2:6" x14ac:dyDescent="0.2">
      <c r="B945" t="str">
        <f>IFERROR(IF('PDCA review'!$D$2=Plan!B946,Plan!G946,""),"")</f>
        <v/>
      </c>
      <c r="C945">
        <f t="shared" si="42"/>
        <v>0</v>
      </c>
      <c r="D945">
        <f>SUM($C$3:C945)</f>
        <v>7</v>
      </c>
      <c r="E945" t="e">
        <f t="shared" si="43"/>
        <v>#N/A</v>
      </c>
      <c r="F945" s="28" t="str">
        <f t="shared" ca="1" si="44"/>
        <v/>
      </c>
    </row>
    <row r="946" spans="2:6" x14ac:dyDescent="0.2">
      <c r="B946" t="str">
        <f>IFERROR(IF('PDCA review'!$D$2=Plan!B947,Plan!G947,""),"")</f>
        <v/>
      </c>
      <c r="C946">
        <f t="shared" si="42"/>
        <v>0</v>
      </c>
      <c r="D946">
        <f>SUM($C$3:C946)</f>
        <v>7</v>
      </c>
      <c r="E946" t="e">
        <f t="shared" si="43"/>
        <v>#N/A</v>
      </c>
      <c r="F946" s="28" t="str">
        <f t="shared" ca="1" si="44"/>
        <v/>
      </c>
    </row>
    <row r="947" spans="2:6" x14ac:dyDescent="0.2">
      <c r="B947" t="str">
        <f>IFERROR(IF('PDCA review'!$D$2=Plan!B948,Plan!G948,""),"")</f>
        <v/>
      </c>
      <c r="C947">
        <f t="shared" si="42"/>
        <v>0</v>
      </c>
      <c r="D947">
        <f>SUM($C$3:C947)</f>
        <v>7</v>
      </c>
      <c r="E947" t="e">
        <f t="shared" si="43"/>
        <v>#N/A</v>
      </c>
      <c r="F947" s="28" t="str">
        <f t="shared" ca="1" si="44"/>
        <v/>
      </c>
    </row>
    <row r="948" spans="2:6" x14ac:dyDescent="0.2">
      <c r="B948" t="str">
        <f>IFERROR(IF('PDCA review'!$D$2=Plan!B949,Plan!G949,""),"")</f>
        <v/>
      </c>
      <c r="C948">
        <f t="shared" si="42"/>
        <v>0</v>
      </c>
      <c r="D948">
        <f>SUM($C$3:C948)</f>
        <v>7</v>
      </c>
      <c r="E948" t="e">
        <f t="shared" si="43"/>
        <v>#N/A</v>
      </c>
      <c r="F948" s="28" t="str">
        <f t="shared" ca="1" si="44"/>
        <v/>
      </c>
    </row>
    <row r="949" spans="2:6" x14ac:dyDescent="0.2">
      <c r="B949" t="str">
        <f>IFERROR(IF('PDCA review'!$D$2=Plan!B950,Plan!G950,""),"")</f>
        <v/>
      </c>
      <c r="C949">
        <f t="shared" si="42"/>
        <v>0</v>
      </c>
      <c r="D949">
        <f>SUM($C$3:C949)</f>
        <v>7</v>
      </c>
      <c r="E949" t="e">
        <f t="shared" si="43"/>
        <v>#N/A</v>
      </c>
      <c r="F949" s="28" t="str">
        <f t="shared" ca="1" si="44"/>
        <v/>
      </c>
    </row>
    <row r="950" spans="2:6" x14ac:dyDescent="0.2">
      <c r="B950" t="str">
        <f>IFERROR(IF('PDCA review'!$D$2=Plan!B951,Plan!G951,""),"")</f>
        <v/>
      </c>
      <c r="C950">
        <f t="shared" si="42"/>
        <v>0</v>
      </c>
      <c r="D950">
        <f>SUM($C$3:C950)</f>
        <v>7</v>
      </c>
      <c r="E950" t="e">
        <f t="shared" si="43"/>
        <v>#N/A</v>
      </c>
      <c r="F950" s="28" t="str">
        <f t="shared" ca="1" si="44"/>
        <v/>
      </c>
    </row>
    <row r="951" spans="2:6" x14ac:dyDescent="0.2">
      <c r="B951" t="str">
        <f>IFERROR(IF('PDCA review'!$D$2=Plan!B952,Plan!G952,""),"")</f>
        <v/>
      </c>
      <c r="C951">
        <f t="shared" si="42"/>
        <v>0</v>
      </c>
      <c r="D951">
        <f>SUM($C$3:C951)</f>
        <v>7</v>
      </c>
      <c r="E951" t="e">
        <f t="shared" si="43"/>
        <v>#N/A</v>
      </c>
      <c r="F951" s="28" t="str">
        <f t="shared" ca="1" si="44"/>
        <v/>
      </c>
    </row>
    <row r="952" spans="2:6" x14ac:dyDescent="0.2">
      <c r="B952" t="str">
        <f>IFERROR(IF('PDCA review'!$D$2=Plan!B953,Plan!G953,""),"")</f>
        <v/>
      </c>
      <c r="C952">
        <f t="shared" si="42"/>
        <v>0</v>
      </c>
      <c r="D952">
        <f>SUM($C$3:C952)</f>
        <v>7</v>
      </c>
      <c r="E952" t="e">
        <f t="shared" si="43"/>
        <v>#N/A</v>
      </c>
      <c r="F952" s="28" t="str">
        <f t="shared" ca="1" si="44"/>
        <v/>
      </c>
    </row>
    <row r="953" spans="2:6" x14ac:dyDescent="0.2">
      <c r="B953" t="str">
        <f>IFERROR(IF('PDCA review'!$D$2=Plan!B954,Plan!G954,""),"")</f>
        <v/>
      </c>
      <c r="C953">
        <f t="shared" si="42"/>
        <v>0</v>
      </c>
      <c r="D953">
        <f>SUM($C$3:C953)</f>
        <v>7</v>
      </c>
      <c r="E953" t="e">
        <f t="shared" si="43"/>
        <v>#N/A</v>
      </c>
      <c r="F953" s="28" t="str">
        <f t="shared" ca="1" si="44"/>
        <v/>
      </c>
    </row>
    <row r="954" spans="2:6" x14ac:dyDescent="0.2">
      <c r="B954" t="str">
        <f>IFERROR(IF('PDCA review'!$D$2=Plan!B955,Plan!G955,""),"")</f>
        <v/>
      </c>
      <c r="C954">
        <f t="shared" si="42"/>
        <v>0</v>
      </c>
      <c r="D954">
        <f>SUM($C$3:C954)</f>
        <v>7</v>
      </c>
      <c r="E954" t="e">
        <f t="shared" si="43"/>
        <v>#N/A</v>
      </c>
      <c r="F954" s="28" t="str">
        <f t="shared" ca="1" si="44"/>
        <v/>
      </c>
    </row>
    <row r="955" spans="2:6" x14ac:dyDescent="0.2">
      <c r="B955" t="str">
        <f>IFERROR(IF('PDCA review'!$D$2=Plan!B956,Plan!G956,""),"")</f>
        <v/>
      </c>
      <c r="C955">
        <f t="shared" si="42"/>
        <v>0</v>
      </c>
      <c r="D955">
        <f>SUM($C$3:C955)</f>
        <v>7</v>
      </c>
      <c r="E955" t="e">
        <f t="shared" si="43"/>
        <v>#N/A</v>
      </c>
      <c r="F955" s="28" t="str">
        <f t="shared" ca="1" si="44"/>
        <v/>
      </c>
    </row>
    <row r="956" spans="2:6" x14ac:dyDescent="0.2">
      <c r="B956" t="str">
        <f>IFERROR(IF('PDCA review'!$D$2=Plan!B957,Plan!G957,""),"")</f>
        <v/>
      </c>
      <c r="C956">
        <f t="shared" si="42"/>
        <v>0</v>
      </c>
      <c r="D956">
        <f>SUM($C$3:C956)</f>
        <v>7</v>
      </c>
      <c r="E956" t="e">
        <f t="shared" si="43"/>
        <v>#N/A</v>
      </c>
      <c r="F956" s="28" t="str">
        <f t="shared" ca="1" si="44"/>
        <v/>
      </c>
    </row>
    <row r="957" spans="2:6" x14ac:dyDescent="0.2">
      <c r="B957" t="str">
        <f>IFERROR(IF('PDCA review'!$D$2=Plan!B958,Plan!G958,""),"")</f>
        <v/>
      </c>
      <c r="C957">
        <f t="shared" si="42"/>
        <v>0</v>
      </c>
      <c r="D957">
        <f>SUM($C$3:C957)</f>
        <v>7</v>
      </c>
      <c r="E957" t="e">
        <f t="shared" si="43"/>
        <v>#N/A</v>
      </c>
      <c r="F957" s="28" t="str">
        <f t="shared" ca="1" si="44"/>
        <v/>
      </c>
    </row>
    <row r="958" spans="2:6" x14ac:dyDescent="0.2">
      <c r="B958" t="str">
        <f>IFERROR(IF('PDCA review'!$D$2=Plan!B959,Plan!G959,""),"")</f>
        <v/>
      </c>
      <c r="C958">
        <f t="shared" si="42"/>
        <v>0</v>
      </c>
      <c r="D958">
        <f>SUM($C$3:C958)</f>
        <v>7</v>
      </c>
      <c r="E958" t="e">
        <f t="shared" si="43"/>
        <v>#N/A</v>
      </c>
      <c r="F958" s="28" t="str">
        <f t="shared" ca="1" si="44"/>
        <v/>
      </c>
    </row>
    <row r="959" spans="2:6" x14ac:dyDescent="0.2">
      <c r="B959" t="str">
        <f>IFERROR(IF('PDCA review'!$D$2=Plan!B960,Plan!G960,""),"")</f>
        <v/>
      </c>
      <c r="C959">
        <f t="shared" si="42"/>
        <v>0</v>
      </c>
      <c r="D959">
        <f>SUM($C$3:C959)</f>
        <v>7</v>
      </c>
      <c r="E959" t="e">
        <f t="shared" si="43"/>
        <v>#N/A</v>
      </c>
      <c r="F959" s="28" t="str">
        <f t="shared" ca="1" si="44"/>
        <v/>
      </c>
    </row>
    <row r="960" spans="2:6" x14ac:dyDescent="0.2">
      <c r="B960" t="str">
        <f>IFERROR(IF('PDCA review'!$D$2=Plan!B961,Plan!G961,""),"")</f>
        <v/>
      </c>
      <c r="C960">
        <f t="shared" si="42"/>
        <v>0</v>
      </c>
      <c r="D960">
        <f>SUM($C$3:C960)</f>
        <v>7</v>
      </c>
      <c r="E960" t="e">
        <f t="shared" si="43"/>
        <v>#N/A</v>
      </c>
      <c r="F960" s="28" t="str">
        <f t="shared" ca="1" si="44"/>
        <v/>
      </c>
    </row>
    <row r="961" spans="2:6" x14ac:dyDescent="0.2">
      <c r="B961" t="str">
        <f>IFERROR(IF('PDCA review'!$D$2=Plan!B962,Plan!G962,""),"")</f>
        <v/>
      </c>
      <c r="C961">
        <f t="shared" si="42"/>
        <v>0</v>
      </c>
      <c r="D961">
        <f>SUM($C$3:C961)</f>
        <v>7</v>
      </c>
      <c r="E961" t="e">
        <f t="shared" si="43"/>
        <v>#N/A</v>
      </c>
      <c r="F961" s="28" t="str">
        <f t="shared" ca="1" si="44"/>
        <v/>
      </c>
    </row>
    <row r="962" spans="2:6" x14ac:dyDescent="0.2">
      <c r="B962" t="str">
        <f>IFERROR(IF('PDCA review'!$D$2=Plan!B963,Plan!G963,""),"")</f>
        <v/>
      </c>
      <c r="C962">
        <f t="shared" si="42"/>
        <v>0</v>
      </c>
      <c r="D962">
        <f>SUM($C$3:C962)</f>
        <v>7</v>
      </c>
      <c r="E962" t="e">
        <f t="shared" si="43"/>
        <v>#N/A</v>
      </c>
      <c r="F962" s="28" t="str">
        <f t="shared" ca="1" si="44"/>
        <v/>
      </c>
    </row>
    <row r="963" spans="2:6" x14ac:dyDescent="0.2">
      <c r="B963" t="str">
        <f>IFERROR(IF('PDCA review'!$D$2=Plan!B964,Plan!G964,""),"")</f>
        <v/>
      </c>
      <c r="C963">
        <f t="shared" si="42"/>
        <v>0</v>
      </c>
      <c r="D963">
        <f>SUM($C$3:C963)</f>
        <v>7</v>
      </c>
      <c r="E963" t="e">
        <f t="shared" si="43"/>
        <v>#N/A</v>
      </c>
      <c r="F963" s="28" t="str">
        <f t="shared" ca="1" si="44"/>
        <v/>
      </c>
    </row>
    <row r="964" spans="2:6" x14ac:dyDescent="0.2">
      <c r="B964" t="str">
        <f>IFERROR(IF('PDCA review'!$D$2=Plan!B965,Plan!G965,""),"")</f>
        <v/>
      </c>
      <c r="C964">
        <f t="shared" ref="C964:C1027" si="45">IF(B964&lt;&gt;"",1,0)</f>
        <v>0</v>
      </c>
      <c r="D964">
        <f>SUM($C$3:C964)</f>
        <v>7</v>
      </c>
      <c r="E964" t="e">
        <f t="shared" ref="E964:E1027" si="46">MATCH(ROW()-$D$2,$D$3:$D$2000,0)+$D$2</f>
        <v>#N/A</v>
      </c>
      <c r="F964" s="28" t="str">
        <f t="shared" ref="F964:F1027" ca="1" si="47">IFERROR(INDIRECT("B"&amp;E964),"")</f>
        <v/>
      </c>
    </row>
    <row r="965" spans="2:6" x14ac:dyDescent="0.2">
      <c r="B965" t="str">
        <f>IFERROR(IF('PDCA review'!$D$2=Plan!B966,Plan!G966,""),"")</f>
        <v/>
      </c>
      <c r="C965">
        <f t="shared" si="45"/>
        <v>0</v>
      </c>
      <c r="D965">
        <f>SUM($C$3:C965)</f>
        <v>7</v>
      </c>
      <c r="E965" t="e">
        <f t="shared" si="46"/>
        <v>#N/A</v>
      </c>
      <c r="F965" s="28" t="str">
        <f t="shared" ca="1" si="47"/>
        <v/>
      </c>
    </row>
    <row r="966" spans="2:6" x14ac:dyDescent="0.2">
      <c r="B966" t="str">
        <f>IFERROR(IF('PDCA review'!$D$2=Plan!B967,Plan!G967,""),"")</f>
        <v/>
      </c>
      <c r="C966">
        <f t="shared" si="45"/>
        <v>0</v>
      </c>
      <c r="D966">
        <f>SUM($C$3:C966)</f>
        <v>7</v>
      </c>
      <c r="E966" t="e">
        <f t="shared" si="46"/>
        <v>#N/A</v>
      </c>
      <c r="F966" s="28" t="str">
        <f t="shared" ca="1" si="47"/>
        <v/>
      </c>
    </row>
    <row r="967" spans="2:6" x14ac:dyDescent="0.2">
      <c r="B967" t="str">
        <f>IFERROR(IF('PDCA review'!$D$2=Plan!B968,Plan!G968,""),"")</f>
        <v/>
      </c>
      <c r="C967">
        <f t="shared" si="45"/>
        <v>0</v>
      </c>
      <c r="D967">
        <f>SUM($C$3:C967)</f>
        <v>7</v>
      </c>
      <c r="E967" t="e">
        <f t="shared" si="46"/>
        <v>#N/A</v>
      </c>
      <c r="F967" s="28" t="str">
        <f t="shared" ca="1" si="47"/>
        <v/>
      </c>
    </row>
    <row r="968" spans="2:6" x14ac:dyDescent="0.2">
      <c r="B968" t="str">
        <f>IFERROR(IF('PDCA review'!$D$2=Plan!B969,Plan!G969,""),"")</f>
        <v/>
      </c>
      <c r="C968">
        <f t="shared" si="45"/>
        <v>0</v>
      </c>
      <c r="D968">
        <f>SUM($C$3:C968)</f>
        <v>7</v>
      </c>
      <c r="E968" t="e">
        <f t="shared" si="46"/>
        <v>#N/A</v>
      </c>
      <c r="F968" s="28" t="str">
        <f t="shared" ca="1" si="47"/>
        <v/>
      </c>
    </row>
    <row r="969" spans="2:6" x14ac:dyDescent="0.2">
      <c r="B969" t="str">
        <f>IFERROR(IF('PDCA review'!$D$2=Plan!B970,Plan!G970,""),"")</f>
        <v/>
      </c>
      <c r="C969">
        <f t="shared" si="45"/>
        <v>0</v>
      </c>
      <c r="D969">
        <f>SUM($C$3:C969)</f>
        <v>7</v>
      </c>
      <c r="E969" t="e">
        <f t="shared" si="46"/>
        <v>#N/A</v>
      </c>
      <c r="F969" s="28" t="str">
        <f t="shared" ca="1" si="47"/>
        <v/>
      </c>
    </row>
    <row r="970" spans="2:6" x14ac:dyDescent="0.2">
      <c r="B970" t="str">
        <f>IFERROR(IF('PDCA review'!$D$2=Plan!B971,Plan!G971,""),"")</f>
        <v/>
      </c>
      <c r="C970">
        <f t="shared" si="45"/>
        <v>0</v>
      </c>
      <c r="D970">
        <f>SUM($C$3:C970)</f>
        <v>7</v>
      </c>
      <c r="E970" t="e">
        <f t="shared" si="46"/>
        <v>#N/A</v>
      </c>
      <c r="F970" s="28" t="str">
        <f t="shared" ca="1" si="47"/>
        <v/>
      </c>
    </row>
    <row r="971" spans="2:6" x14ac:dyDescent="0.2">
      <c r="B971" t="str">
        <f>IFERROR(IF('PDCA review'!$D$2=Plan!B972,Plan!G972,""),"")</f>
        <v/>
      </c>
      <c r="C971">
        <f t="shared" si="45"/>
        <v>0</v>
      </c>
      <c r="D971">
        <f>SUM($C$3:C971)</f>
        <v>7</v>
      </c>
      <c r="E971" t="e">
        <f t="shared" si="46"/>
        <v>#N/A</v>
      </c>
      <c r="F971" s="28" t="str">
        <f t="shared" ca="1" si="47"/>
        <v/>
      </c>
    </row>
    <row r="972" spans="2:6" x14ac:dyDescent="0.2">
      <c r="B972" t="str">
        <f>IFERROR(IF('PDCA review'!$D$2=Plan!B973,Plan!G973,""),"")</f>
        <v/>
      </c>
      <c r="C972">
        <f t="shared" si="45"/>
        <v>0</v>
      </c>
      <c r="D972">
        <f>SUM($C$3:C972)</f>
        <v>7</v>
      </c>
      <c r="E972" t="e">
        <f t="shared" si="46"/>
        <v>#N/A</v>
      </c>
      <c r="F972" s="28" t="str">
        <f t="shared" ca="1" si="47"/>
        <v/>
      </c>
    </row>
    <row r="973" spans="2:6" x14ac:dyDescent="0.2">
      <c r="B973" t="str">
        <f>IFERROR(IF('PDCA review'!$D$2=Plan!B974,Plan!G974,""),"")</f>
        <v/>
      </c>
      <c r="C973">
        <f t="shared" si="45"/>
        <v>0</v>
      </c>
      <c r="D973">
        <f>SUM($C$3:C973)</f>
        <v>7</v>
      </c>
      <c r="E973" t="e">
        <f t="shared" si="46"/>
        <v>#N/A</v>
      </c>
      <c r="F973" s="28" t="str">
        <f t="shared" ca="1" si="47"/>
        <v/>
      </c>
    </row>
    <row r="974" spans="2:6" x14ac:dyDescent="0.2">
      <c r="B974" t="str">
        <f>IFERROR(IF('PDCA review'!$D$2=Plan!B975,Plan!G975,""),"")</f>
        <v/>
      </c>
      <c r="C974">
        <f t="shared" si="45"/>
        <v>0</v>
      </c>
      <c r="D974">
        <f>SUM($C$3:C974)</f>
        <v>7</v>
      </c>
      <c r="E974" t="e">
        <f t="shared" si="46"/>
        <v>#N/A</v>
      </c>
      <c r="F974" s="28" t="str">
        <f t="shared" ca="1" si="47"/>
        <v/>
      </c>
    </row>
    <row r="975" spans="2:6" x14ac:dyDescent="0.2">
      <c r="B975" t="str">
        <f>IFERROR(IF('PDCA review'!$D$2=Plan!B976,Plan!G976,""),"")</f>
        <v/>
      </c>
      <c r="C975">
        <f t="shared" si="45"/>
        <v>0</v>
      </c>
      <c r="D975">
        <f>SUM($C$3:C975)</f>
        <v>7</v>
      </c>
      <c r="E975" t="e">
        <f t="shared" si="46"/>
        <v>#N/A</v>
      </c>
      <c r="F975" s="28" t="str">
        <f t="shared" ca="1" si="47"/>
        <v/>
      </c>
    </row>
    <row r="976" spans="2:6" x14ac:dyDescent="0.2">
      <c r="B976" t="str">
        <f>IFERROR(IF('PDCA review'!$D$2=Plan!B977,Plan!G977,""),"")</f>
        <v/>
      </c>
      <c r="C976">
        <f t="shared" si="45"/>
        <v>0</v>
      </c>
      <c r="D976">
        <f>SUM($C$3:C976)</f>
        <v>7</v>
      </c>
      <c r="E976" t="e">
        <f t="shared" si="46"/>
        <v>#N/A</v>
      </c>
      <c r="F976" s="28" t="str">
        <f t="shared" ca="1" si="47"/>
        <v/>
      </c>
    </row>
    <row r="977" spans="2:6" x14ac:dyDescent="0.2">
      <c r="B977" t="str">
        <f>IFERROR(IF('PDCA review'!$D$2=Plan!B978,Plan!G978,""),"")</f>
        <v/>
      </c>
      <c r="C977">
        <f t="shared" si="45"/>
        <v>0</v>
      </c>
      <c r="D977">
        <f>SUM($C$3:C977)</f>
        <v>7</v>
      </c>
      <c r="E977" t="e">
        <f t="shared" si="46"/>
        <v>#N/A</v>
      </c>
      <c r="F977" s="28" t="str">
        <f t="shared" ca="1" si="47"/>
        <v/>
      </c>
    </row>
    <row r="978" spans="2:6" x14ac:dyDescent="0.2">
      <c r="B978" t="str">
        <f>IFERROR(IF('PDCA review'!$D$2=Plan!B979,Plan!G979,""),"")</f>
        <v/>
      </c>
      <c r="C978">
        <f t="shared" si="45"/>
        <v>0</v>
      </c>
      <c r="D978">
        <f>SUM($C$3:C978)</f>
        <v>7</v>
      </c>
      <c r="E978" t="e">
        <f t="shared" si="46"/>
        <v>#N/A</v>
      </c>
      <c r="F978" s="28" t="str">
        <f t="shared" ca="1" si="47"/>
        <v/>
      </c>
    </row>
    <row r="979" spans="2:6" x14ac:dyDescent="0.2">
      <c r="B979" t="str">
        <f>IFERROR(IF('PDCA review'!$D$2=Plan!B980,Plan!G980,""),"")</f>
        <v/>
      </c>
      <c r="C979">
        <f t="shared" si="45"/>
        <v>0</v>
      </c>
      <c r="D979">
        <f>SUM($C$3:C979)</f>
        <v>7</v>
      </c>
      <c r="E979" t="e">
        <f t="shared" si="46"/>
        <v>#N/A</v>
      </c>
      <c r="F979" s="28" t="str">
        <f t="shared" ca="1" si="47"/>
        <v/>
      </c>
    </row>
    <row r="980" spans="2:6" x14ac:dyDescent="0.2">
      <c r="B980" t="str">
        <f>IFERROR(IF('PDCA review'!$D$2=Plan!B981,Plan!G981,""),"")</f>
        <v/>
      </c>
      <c r="C980">
        <f t="shared" si="45"/>
        <v>0</v>
      </c>
      <c r="D980">
        <f>SUM($C$3:C980)</f>
        <v>7</v>
      </c>
      <c r="E980" t="e">
        <f t="shared" si="46"/>
        <v>#N/A</v>
      </c>
      <c r="F980" s="28" t="str">
        <f t="shared" ca="1" si="47"/>
        <v/>
      </c>
    </row>
    <row r="981" spans="2:6" x14ac:dyDescent="0.2">
      <c r="B981" t="str">
        <f>IFERROR(IF('PDCA review'!$D$2=Plan!B982,Plan!G982,""),"")</f>
        <v/>
      </c>
      <c r="C981">
        <f t="shared" si="45"/>
        <v>0</v>
      </c>
      <c r="D981">
        <f>SUM($C$3:C981)</f>
        <v>7</v>
      </c>
      <c r="E981" t="e">
        <f t="shared" si="46"/>
        <v>#N/A</v>
      </c>
      <c r="F981" s="28" t="str">
        <f t="shared" ca="1" si="47"/>
        <v/>
      </c>
    </row>
    <row r="982" spans="2:6" x14ac:dyDescent="0.2">
      <c r="B982" t="str">
        <f>IFERROR(IF('PDCA review'!$D$2=Plan!B983,Plan!G983,""),"")</f>
        <v/>
      </c>
      <c r="C982">
        <f t="shared" si="45"/>
        <v>0</v>
      </c>
      <c r="D982">
        <f>SUM($C$3:C982)</f>
        <v>7</v>
      </c>
      <c r="E982" t="e">
        <f t="shared" si="46"/>
        <v>#N/A</v>
      </c>
      <c r="F982" s="28" t="str">
        <f t="shared" ca="1" si="47"/>
        <v/>
      </c>
    </row>
    <row r="983" spans="2:6" x14ac:dyDescent="0.2">
      <c r="B983" t="str">
        <f>IFERROR(IF('PDCA review'!$D$2=Plan!B984,Plan!G984,""),"")</f>
        <v/>
      </c>
      <c r="C983">
        <f t="shared" si="45"/>
        <v>0</v>
      </c>
      <c r="D983">
        <f>SUM($C$3:C983)</f>
        <v>7</v>
      </c>
      <c r="E983" t="e">
        <f t="shared" si="46"/>
        <v>#N/A</v>
      </c>
      <c r="F983" s="28" t="str">
        <f t="shared" ca="1" si="47"/>
        <v/>
      </c>
    </row>
    <row r="984" spans="2:6" x14ac:dyDescent="0.2">
      <c r="B984" t="str">
        <f>IFERROR(IF('PDCA review'!$D$2=Plan!B985,Plan!G985,""),"")</f>
        <v/>
      </c>
      <c r="C984">
        <f t="shared" si="45"/>
        <v>0</v>
      </c>
      <c r="D984">
        <f>SUM($C$3:C984)</f>
        <v>7</v>
      </c>
      <c r="E984" t="e">
        <f t="shared" si="46"/>
        <v>#N/A</v>
      </c>
      <c r="F984" s="28" t="str">
        <f t="shared" ca="1" si="47"/>
        <v/>
      </c>
    </row>
    <row r="985" spans="2:6" x14ac:dyDescent="0.2">
      <c r="B985" t="str">
        <f>IFERROR(IF('PDCA review'!$D$2=Plan!B986,Plan!G986,""),"")</f>
        <v/>
      </c>
      <c r="C985">
        <f t="shared" si="45"/>
        <v>0</v>
      </c>
      <c r="D985">
        <f>SUM($C$3:C985)</f>
        <v>7</v>
      </c>
      <c r="E985" t="e">
        <f t="shared" si="46"/>
        <v>#N/A</v>
      </c>
      <c r="F985" s="28" t="str">
        <f t="shared" ca="1" si="47"/>
        <v/>
      </c>
    </row>
    <row r="986" spans="2:6" x14ac:dyDescent="0.2">
      <c r="B986" t="str">
        <f>IFERROR(IF('PDCA review'!$D$2=Plan!B987,Plan!G987,""),"")</f>
        <v/>
      </c>
      <c r="C986">
        <f t="shared" si="45"/>
        <v>0</v>
      </c>
      <c r="D986">
        <f>SUM($C$3:C986)</f>
        <v>7</v>
      </c>
      <c r="E986" t="e">
        <f t="shared" si="46"/>
        <v>#N/A</v>
      </c>
      <c r="F986" s="28" t="str">
        <f t="shared" ca="1" si="47"/>
        <v/>
      </c>
    </row>
    <row r="987" spans="2:6" x14ac:dyDescent="0.2">
      <c r="B987" t="str">
        <f>IFERROR(IF('PDCA review'!$D$2=Plan!B988,Plan!G988,""),"")</f>
        <v/>
      </c>
      <c r="C987">
        <f t="shared" si="45"/>
        <v>0</v>
      </c>
      <c r="D987">
        <f>SUM($C$3:C987)</f>
        <v>7</v>
      </c>
      <c r="E987" t="e">
        <f t="shared" si="46"/>
        <v>#N/A</v>
      </c>
      <c r="F987" s="28" t="str">
        <f t="shared" ca="1" si="47"/>
        <v/>
      </c>
    </row>
    <row r="988" spans="2:6" x14ac:dyDescent="0.2">
      <c r="B988" t="str">
        <f>IFERROR(IF('PDCA review'!$D$2=Plan!B989,Plan!G989,""),"")</f>
        <v/>
      </c>
      <c r="C988">
        <f t="shared" si="45"/>
        <v>0</v>
      </c>
      <c r="D988">
        <f>SUM($C$3:C988)</f>
        <v>7</v>
      </c>
      <c r="E988" t="e">
        <f t="shared" si="46"/>
        <v>#N/A</v>
      </c>
      <c r="F988" s="28" t="str">
        <f t="shared" ca="1" si="47"/>
        <v/>
      </c>
    </row>
    <row r="989" spans="2:6" x14ac:dyDescent="0.2">
      <c r="B989" t="str">
        <f>IFERROR(IF('PDCA review'!$D$2=Plan!B990,Plan!G990,""),"")</f>
        <v/>
      </c>
      <c r="C989">
        <f t="shared" si="45"/>
        <v>0</v>
      </c>
      <c r="D989">
        <f>SUM($C$3:C989)</f>
        <v>7</v>
      </c>
      <c r="E989" t="e">
        <f t="shared" si="46"/>
        <v>#N/A</v>
      </c>
      <c r="F989" s="28" t="str">
        <f t="shared" ca="1" si="47"/>
        <v/>
      </c>
    </row>
    <row r="990" spans="2:6" x14ac:dyDescent="0.2">
      <c r="B990" t="str">
        <f>IFERROR(IF('PDCA review'!$D$2=Plan!B991,Plan!G991,""),"")</f>
        <v/>
      </c>
      <c r="C990">
        <f t="shared" si="45"/>
        <v>0</v>
      </c>
      <c r="D990">
        <f>SUM($C$3:C990)</f>
        <v>7</v>
      </c>
      <c r="E990" t="e">
        <f t="shared" si="46"/>
        <v>#N/A</v>
      </c>
      <c r="F990" s="28" t="str">
        <f t="shared" ca="1" si="47"/>
        <v/>
      </c>
    </row>
    <row r="991" spans="2:6" x14ac:dyDescent="0.2">
      <c r="B991" t="str">
        <f>IFERROR(IF('PDCA review'!$D$2=Plan!B992,Plan!G992,""),"")</f>
        <v/>
      </c>
      <c r="C991">
        <f t="shared" si="45"/>
        <v>0</v>
      </c>
      <c r="D991">
        <f>SUM($C$3:C991)</f>
        <v>7</v>
      </c>
      <c r="E991" t="e">
        <f t="shared" si="46"/>
        <v>#N/A</v>
      </c>
      <c r="F991" s="28" t="str">
        <f t="shared" ca="1" si="47"/>
        <v/>
      </c>
    </row>
    <row r="992" spans="2:6" x14ac:dyDescent="0.2">
      <c r="B992" t="str">
        <f>IFERROR(IF('PDCA review'!$D$2=Plan!B993,Plan!G993,""),"")</f>
        <v/>
      </c>
      <c r="C992">
        <f t="shared" si="45"/>
        <v>0</v>
      </c>
      <c r="D992">
        <f>SUM($C$3:C992)</f>
        <v>7</v>
      </c>
      <c r="E992" t="e">
        <f t="shared" si="46"/>
        <v>#N/A</v>
      </c>
      <c r="F992" s="28" t="str">
        <f t="shared" ca="1" si="47"/>
        <v/>
      </c>
    </row>
    <row r="993" spans="2:6" x14ac:dyDescent="0.2">
      <c r="B993" t="str">
        <f>IFERROR(IF('PDCA review'!$D$2=Plan!B994,Plan!G994,""),"")</f>
        <v/>
      </c>
      <c r="C993">
        <f t="shared" si="45"/>
        <v>0</v>
      </c>
      <c r="D993">
        <f>SUM($C$3:C993)</f>
        <v>7</v>
      </c>
      <c r="E993" t="e">
        <f t="shared" si="46"/>
        <v>#N/A</v>
      </c>
      <c r="F993" s="28" t="str">
        <f t="shared" ca="1" si="47"/>
        <v/>
      </c>
    </row>
    <row r="994" spans="2:6" x14ac:dyDescent="0.2">
      <c r="B994" t="str">
        <f>IFERROR(IF('PDCA review'!$D$2=Plan!B995,Plan!G995,""),"")</f>
        <v/>
      </c>
      <c r="C994">
        <f t="shared" si="45"/>
        <v>0</v>
      </c>
      <c r="D994">
        <f>SUM($C$3:C994)</f>
        <v>7</v>
      </c>
      <c r="E994" t="e">
        <f t="shared" si="46"/>
        <v>#N/A</v>
      </c>
      <c r="F994" s="28" t="str">
        <f t="shared" ca="1" si="47"/>
        <v/>
      </c>
    </row>
    <row r="995" spans="2:6" x14ac:dyDescent="0.2">
      <c r="B995" t="str">
        <f>IFERROR(IF('PDCA review'!$D$2=Plan!B996,Plan!G996,""),"")</f>
        <v/>
      </c>
      <c r="C995">
        <f t="shared" si="45"/>
        <v>0</v>
      </c>
      <c r="D995">
        <f>SUM($C$3:C995)</f>
        <v>7</v>
      </c>
      <c r="E995" t="e">
        <f t="shared" si="46"/>
        <v>#N/A</v>
      </c>
      <c r="F995" s="28" t="str">
        <f t="shared" ca="1" si="47"/>
        <v/>
      </c>
    </row>
    <row r="996" spans="2:6" x14ac:dyDescent="0.2">
      <c r="B996" t="str">
        <f>IFERROR(IF('PDCA review'!$D$2=Plan!B997,Plan!G997,""),"")</f>
        <v/>
      </c>
      <c r="C996">
        <f t="shared" si="45"/>
        <v>0</v>
      </c>
      <c r="D996">
        <f>SUM($C$3:C996)</f>
        <v>7</v>
      </c>
      <c r="E996" t="e">
        <f t="shared" si="46"/>
        <v>#N/A</v>
      </c>
      <c r="F996" s="28" t="str">
        <f t="shared" ca="1" si="47"/>
        <v/>
      </c>
    </row>
    <row r="997" spans="2:6" x14ac:dyDescent="0.2">
      <c r="B997" t="str">
        <f>IFERROR(IF('PDCA review'!$D$2=Plan!B998,Plan!G998,""),"")</f>
        <v/>
      </c>
      <c r="C997">
        <f t="shared" si="45"/>
        <v>0</v>
      </c>
      <c r="D997">
        <f>SUM($C$3:C997)</f>
        <v>7</v>
      </c>
      <c r="E997" t="e">
        <f t="shared" si="46"/>
        <v>#N/A</v>
      </c>
      <c r="F997" s="28" t="str">
        <f t="shared" ca="1" si="47"/>
        <v/>
      </c>
    </row>
    <row r="998" spans="2:6" x14ac:dyDescent="0.2">
      <c r="B998" t="str">
        <f>IFERROR(IF('PDCA review'!$D$2=Plan!B999,Plan!G999,""),"")</f>
        <v/>
      </c>
      <c r="C998">
        <f t="shared" si="45"/>
        <v>0</v>
      </c>
      <c r="D998">
        <f>SUM($C$3:C998)</f>
        <v>7</v>
      </c>
      <c r="E998" t="e">
        <f t="shared" si="46"/>
        <v>#N/A</v>
      </c>
      <c r="F998" s="28" t="str">
        <f t="shared" ca="1" si="47"/>
        <v/>
      </c>
    </row>
    <row r="999" spans="2:6" x14ac:dyDescent="0.2">
      <c r="B999" t="str">
        <f>IFERROR(IF('PDCA review'!$D$2=Plan!B1000,Plan!G1000,""),"")</f>
        <v/>
      </c>
      <c r="C999">
        <f t="shared" si="45"/>
        <v>0</v>
      </c>
      <c r="D999">
        <f>SUM($C$3:C999)</f>
        <v>7</v>
      </c>
      <c r="E999" t="e">
        <f t="shared" si="46"/>
        <v>#N/A</v>
      </c>
      <c r="F999" s="28" t="str">
        <f t="shared" ca="1" si="47"/>
        <v/>
      </c>
    </row>
    <row r="1000" spans="2:6" x14ac:dyDescent="0.2">
      <c r="B1000" t="str">
        <f>IFERROR(IF('PDCA review'!$D$2=Plan!B1001,Plan!G1001,""),"")</f>
        <v/>
      </c>
      <c r="C1000">
        <f t="shared" si="45"/>
        <v>0</v>
      </c>
      <c r="D1000">
        <f>SUM($C$3:C1000)</f>
        <v>7</v>
      </c>
      <c r="E1000" t="e">
        <f t="shared" si="46"/>
        <v>#N/A</v>
      </c>
      <c r="F1000" s="28" t="str">
        <f t="shared" ca="1" si="47"/>
        <v/>
      </c>
    </row>
    <row r="1001" spans="2:6" x14ac:dyDescent="0.2">
      <c r="B1001" t="str">
        <f>IFERROR(IF('PDCA review'!$D$2=Plan!B1002,Plan!G1002,""),"")</f>
        <v/>
      </c>
      <c r="C1001">
        <f t="shared" si="45"/>
        <v>0</v>
      </c>
      <c r="D1001">
        <f>SUM($C$3:C1001)</f>
        <v>7</v>
      </c>
      <c r="E1001" t="e">
        <f t="shared" si="46"/>
        <v>#N/A</v>
      </c>
      <c r="F1001" s="28" t="str">
        <f t="shared" ca="1" si="47"/>
        <v/>
      </c>
    </row>
    <row r="1002" spans="2:6" x14ac:dyDescent="0.2">
      <c r="B1002" t="str">
        <f>IFERROR(IF('PDCA review'!$D$2=Plan!B1003,Plan!G1003,""),"")</f>
        <v/>
      </c>
      <c r="C1002">
        <f t="shared" si="45"/>
        <v>0</v>
      </c>
      <c r="D1002">
        <f>SUM($C$3:C1002)</f>
        <v>7</v>
      </c>
      <c r="E1002" t="e">
        <f t="shared" si="46"/>
        <v>#N/A</v>
      </c>
      <c r="F1002" s="28" t="str">
        <f t="shared" ca="1" si="47"/>
        <v/>
      </c>
    </row>
    <row r="1003" spans="2:6" x14ac:dyDescent="0.2">
      <c r="B1003" t="str">
        <f>IFERROR(IF('PDCA review'!$D$2=Plan!B1004,Plan!G1004,""),"")</f>
        <v/>
      </c>
      <c r="C1003">
        <f t="shared" si="45"/>
        <v>0</v>
      </c>
      <c r="D1003">
        <f>SUM($C$3:C1003)</f>
        <v>7</v>
      </c>
      <c r="E1003" t="e">
        <f t="shared" si="46"/>
        <v>#N/A</v>
      </c>
      <c r="F1003" s="28" t="str">
        <f t="shared" ca="1" si="47"/>
        <v/>
      </c>
    </row>
    <row r="1004" spans="2:6" x14ac:dyDescent="0.2">
      <c r="B1004" t="str">
        <f>IFERROR(IF('PDCA review'!$D$2=Plan!B1005,Plan!G1005,""),"")</f>
        <v/>
      </c>
      <c r="C1004">
        <f t="shared" si="45"/>
        <v>0</v>
      </c>
      <c r="D1004">
        <f>SUM($C$3:C1004)</f>
        <v>7</v>
      </c>
      <c r="E1004" t="e">
        <f t="shared" si="46"/>
        <v>#N/A</v>
      </c>
      <c r="F1004" s="28" t="str">
        <f t="shared" ca="1" si="47"/>
        <v/>
      </c>
    </row>
    <row r="1005" spans="2:6" x14ac:dyDescent="0.2">
      <c r="B1005" t="str">
        <f>IFERROR(IF('PDCA review'!$D$2=Plan!B1006,Plan!G1006,""),"")</f>
        <v/>
      </c>
      <c r="C1005">
        <f t="shared" si="45"/>
        <v>0</v>
      </c>
      <c r="D1005">
        <f>SUM($C$3:C1005)</f>
        <v>7</v>
      </c>
      <c r="E1005" t="e">
        <f t="shared" si="46"/>
        <v>#N/A</v>
      </c>
      <c r="F1005" s="28" t="str">
        <f t="shared" ca="1" si="47"/>
        <v/>
      </c>
    </row>
    <row r="1006" spans="2:6" x14ac:dyDescent="0.2">
      <c r="B1006" t="str">
        <f>IFERROR(IF('PDCA review'!$D$2=Plan!B1007,Plan!G1007,""),"")</f>
        <v/>
      </c>
      <c r="C1006">
        <f t="shared" si="45"/>
        <v>0</v>
      </c>
      <c r="D1006">
        <f>SUM($C$3:C1006)</f>
        <v>7</v>
      </c>
      <c r="E1006" t="e">
        <f t="shared" si="46"/>
        <v>#N/A</v>
      </c>
      <c r="F1006" s="28" t="str">
        <f t="shared" ca="1" si="47"/>
        <v/>
      </c>
    </row>
    <row r="1007" spans="2:6" x14ac:dyDescent="0.2">
      <c r="B1007" t="str">
        <f>IFERROR(IF('PDCA review'!$D$2=Plan!B1008,Plan!G1008,""),"")</f>
        <v/>
      </c>
      <c r="C1007">
        <f t="shared" si="45"/>
        <v>0</v>
      </c>
      <c r="D1007">
        <f>SUM($C$3:C1007)</f>
        <v>7</v>
      </c>
      <c r="E1007" t="e">
        <f t="shared" si="46"/>
        <v>#N/A</v>
      </c>
      <c r="F1007" s="28" t="str">
        <f t="shared" ca="1" si="47"/>
        <v/>
      </c>
    </row>
    <row r="1008" spans="2:6" x14ac:dyDescent="0.2">
      <c r="B1008" t="str">
        <f>IFERROR(IF('PDCA review'!$D$2=Plan!B1009,Plan!G1009,""),"")</f>
        <v/>
      </c>
      <c r="C1008">
        <f t="shared" si="45"/>
        <v>0</v>
      </c>
      <c r="D1008">
        <f>SUM($C$3:C1008)</f>
        <v>7</v>
      </c>
      <c r="E1008" t="e">
        <f t="shared" si="46"/>
        <v>#N/A</v>
      </c>
      <c r="F1008" s="28" t="str">
        <f t="shared" ca="1" si="47"/>
        <v/>
      </c>
    </row>
    <row r="1009" spans="2:6" x14ac:dyDescent="0.2">
      <c r="B1009" t="str">
        <f>IFERROR(IF('PDCA review'!$D$2=Plan!B1010,Plan!G1010,""),"")</f>
        <v/>
      </c>
      <c r="C1009">
        <f t="shared" si="45"/>
        <v>0</v>
      </c>
      <c r="D1009">
        <f>SUM($C$3:C1009)</f>
        <v>7</v>
      </c>
      <c r="E1009" t="e">
        <f t="shared" si="46"/>
        <v>#N/A</v>
      </c>
      <c r="F1009" s="28" t="str">
        <f t="shared" ca="1" si="47"/>
        <v/>
      </c>
    </row>
    <row r="1010" spans="2:6" x14ac:dyDescent="0.2">
      <c r="B1010" t="str">
        <f>IFERROR(IF('PDCA review'!$D$2=Plan!B1011,Plan!G1011,""),"")</f>
        <v/>
      </c>
      <c r="C1010">
        <f t="shared" si="45"/>
        <v>0</v>
      </c>
      <c r="D1010">
        <f>SUM($C$3:C1010)</f>
        <v>7</v>
      </c>
      <c r="E1010" t="e">
        <f t="shared" si="46"/>
        <v>#N/A</v>
      </c>
      <c r="F1010" s="28" t="str">
        <f t="shared" ca="1" si="47"/>
        <v/>
      </c>
    </row>
    <row r="1011" spans="2:6" x14ac:dyDescent="0.2">
      <c r="B1011" t="str">
        <f>IFERROR(IF('PDCA review'!$D$2=Plan!B1012,Plan!G1012,""),"")</f>
        <v/>
      </c>
      <c r="C1011">
        <f t="shared" si="45"/>
        <v>0</v>
      </c>
      <c r="D1011">
        <f>SUM($C$3:C1011)</f>
        <v>7</v>
      </c>
      <c r="E1011" t="e">
        <f t="shared" si="46"/>
        <v>#N/A</v>
      </c>
      <c r="F1011" s="28" t="str">
        <f t="shared" ca="1" si="47"/>
        <v/>
      </c>
    </row>
    <row r="1012" spans="2:6" x14ac:dyDescent="0.2">
      <c r="B1012" t="str">
        <f>IFERROR(IF('PDCA review'!$D$2=Plan!B1013,Plan!G1013,""),"")</f>
        <v/>
      </c>
      <c r="C1012">
        <f t="shared" si="45"/>
        <v>0</v>
      </c>
      <c r="D1012">
        <f>SUM($C$3:C1012)</f>
        <v>7</v>
      </c>
      <c r="E1012" t="e">
        <f t="shared" si="46"/>
        <v>#N/A</v>
      </c>
      <c r="F1012" s="28" t="str">
        <f t="shared" ca="1" si="47"/>
        <v/>
      </c>
    </row>
    <row r="1013" spans="2:6" x14ac:dyDescent="0.2">
      <c r="B1013" t="str">
        <f>IFERROR(IF('PDCA review'!$D$2=Plan!B1014,Plan!G1014,""),"")</f>
        <v/>
      </c>
      <c r="C1013">
        <f t="shared" si="45"/>
        <v>0</v>
      </c>
      <c r="D1013">
        <f>SUM($C$3:C1013)</f>
        <v>7</v>
      </c>
      <c r="E1013" t="e">
        <f t="shared" si="46"/>
        <v>#N/A</v>
      </c>
      <c r="F1013" s="28" t="str">
        <f t="shared" ca="1" si="47"/>
        <v/>
      </c>
    </row>
    <row r="1014" spans="2:6" x14ac:dyDescent="0.2">
      <c r="B1014" t="str">
        <f>IFERROR(IF('PDCA review'!$D$2=Plan!B1015,Plan!G1015,""),"")</f>
        <v/>
      </c>
      <c r="C1014">
        <f t="shared" si="45"/>
        <v>0</v>
      </c>
      <c r="D1014">
        <f>SUM($C$3:C1014)</f>
        <v>7</v>
      </c>
      <c r="E1014" t="e">
        <f t="shared" si="46"/>
        <v>#N/A</v>
      </c>
      <c r="F1014" s="28" t="str">
        <f t="shared" ca="1" si="47"/>
        <v/>
      </c>
    </row>
    <row r="1015" spans="2:6" x14ac:dyDescent="0.2">
      <c r="B1015" t="str">
        <f>IFERROR(IF('PDCA review'!$D$2=Plan!B1016,Plan!G1016,""),"")</f>
        <v/>
      </c>
      <c r="C1015">
        <f t="shared" si="45"/>
        <v>0</v>
      </c>
      <c r="D1015">
        <f>SUM($C$3:C1015)</f>
        <v>7</v>
      </c>
      <c r="E1015" t="e">
        <f t="shared" si="46"/>
        <v>#N/A</v>
      </c>
      <c r="F1015" s="28" t="str">
        <f t="shared" ca="1" si="47"/>
        <v/>
      </c>
    </row>
    <row r="1016" spans="2:6" x14ac:dyDescent="0.2">
      <c r="B1016" t="str">
        <f>IFERROR(IF('PDCA review'!$D$2=Plan!B1017,Plan!G1017,""),"")</f>
        <v/>
      </c>
      <c r="C1016">
        <f t="shared" si="45"/>
        <v>0</v>
      </c>
      <c r="D1016">
        <f>SUM($C$3:C1016)</f>
        <v>7</v>
      </c>
      <c r="E1016" t="e">
        <f t="shared" si="46"/>
        <v>#N/A</v>
      </c>
      <c r="F1016" s="28" t="str">
        <f t="shared" ca="1" si="47"/>
        <v/>
      </c>
    </row>
    <row r="1017" spans="2:6" x14ac:dyDescent="0.2">
      <c r="B1017" t="str">
        <f>IFERROR(IF('PDCA review'!$D$2=Plan!B1018,Plan!G1018,""),"")</f>
        <v/>
      </c>
      <c r="C1017">
        <f t="shared" si="45"/>
        <v>0</v>
      </c>
      <c r="D1017">
        <f>SUM($C$3:C1017)</f>
        <v>7</v>
      </c>
      <c r="E1017" t="e">
        <f t="shared" si="46"/>
        <v>#N/A</v>
      </c>
      <c r="F1017" s="28" t="str">
        <f t="shared" ca="1" si="47"/>
        <v/>
      </c>
    </row>
    <row r="1018" spans="2:6" x14ac:dyDescent="0.2">
      <c r="B1018" t="str">
        <f>IFERROR(IF('PDCA review'!$D$2=Plan!B1019,Plan!G1019,""),"")</f>
        <v/>
      </c>
      <c r="C1018">
        <f t="shared" si="45"/>
        <v>0</v>
      </c>
      <c r="D1018">
        <f>SUM($C$3:C1018)</f>
        <v>7</v>
      </c>
      <c r="E1018" t="e">
        <f t="shared" si="46"/>
        <v>#N/A</v>
      </c>
      <c r="F1018" s="28" t="str">
        <f t="shared" ca="1" si="47"/>
        <v/>
      </c>
    </row>
    <row r="1019" spans="2:6" x14ac:dyDescent="0.2">
      <c r="B1019" t="str">
        <f>IFERROR(IF('PDCA review'!$D$2=Plan!B1020,Plan!G1020,""),"")</f>
        <v/>
      </c>
      <c r="C1019">
        <f t="shared" si="45"/>
        <v>0</v>
      </c>
      <c r="D1019">
        <f>SUM($C$3:C1019)</f>
        <v>7</v>
      </c>
      <c r="E1019" t="e">
        <f t="shared" si="46"/>
        <v>#N/A</v>
      </c>
      <c r="F1019" s="28" t="str">
        <f t="shared" ca="1" si="47"/>
        <v/>
      </c>
    </row>
    <row r="1020" spans="2:6" x14ac:dyDescent="0.2">
      <c r="B1020" t="str">
        <f>IFERROR(IF('PDCA review'!$D$2=Plan!B1021,Plan!G1021,""),"")</f>
        <v/>
      </c>
      <c r="C1020">
        <f t="shared" si="45"/>
        <v>0</v>
      </c>
      <c r="D1020">
        <f>SUM($C$3:C1020)</f>
        <v>7</v>
      </c>
      <c r="E1020" t="e">
        <f t="shared" si="46"/>
        <v>#N/A</v>
      </c>
      <c r="F1020" s="28" t="str">
        <f t="shared" ca="1" si="47"/>
        <v/>
      </c>
    </row>
    <row r="1021" spans="2:6" x14ac:dyDescent="0.2">
      <c r="B1021" t="str">
        <f>IFERROR(IF('PDCA review'!$D$2=Plan!B1022,Plan!G1022,""),"")</f>
        <v/>
      </c>
      <c r="C1021">
        <f t="shared" si="45"/>
        <v>0</v>
      </c>
      <c r="D1021">
        <f>SUM($C$3:C1021)</f>
        <v>7</v>
      </c>
      <c r="E1021" t="e">
        <f t="shared" si="46"/>
        <v>#N/A</v>
      </c>
      <c r="F1021" s="28" t="str">
        <f t="shared" ca="1" si="47"/>
        <v/>
      </c>
    </row>
    <row r="1022" spans="2:6" x14ac:dyDescent="0.2">
      <c r="B1022" t="str">
        <f>IFERROR(IF('PDCA review'!$D$2=Plan!B1023,Plan!G1023,""),"")</f>
        <v/>
      </c>
      <c r="C1022">
        <f t="shared" si="45"/>
        <v>0</v>
      </c>
      <c r="D1022">
        <f>SUM($C$3:C1022)</f>
        <v>7</v>
      </c>
      <c r="E1022" t="e">
        <f t="shared" si="46"/>
        <v>#N/A</v>
      </c>
      <c r="F1022" s="28" t="str">
        <f t="shared" ca="1" si="47"/>
        <v/>
      </c>
    </row>
    <row r="1023" spans="2:6" x14ac:dyDescent="0.2">
      <c r="B1023" t="str">
        <f>IFERROR(IF('PDCA review'!$D$2=Plan!B1024,Plan!G1024,""),"")</f>
        <v/>
      </c>
      <c r="C1023">
        <f t="shared" si="45"/>
        <v>0</v>
      </c>
      <c r="D1023">
        <f>SUM($C$3:C1023)</f>
        <v>7</v>
      </c>
      <c r="E1023" t="e">
        <f t="shared" si="46"/>
        <v>#N/A</v>
      </c>
      <c r="F1023" s="28" t="str">
        <f t="shared" ca="1" si="47"/>
        <v/>
      </c>
    </row>
    <row r="1024" spans="2:6" x14ac:dyDescent="0.2">
      <c r="B1024" t="str">
        <f>IFERROR(IF('PDCA review'!$D$2=Plan!B1025,Plan!G1025,""),"")</f>
        <v/>
      </c>
      <c r="C1024">
        <f t="shared" si="45"/>
        <v>0</v>
      </c>
      <c r="D1024">
        <f>SUM($C$3:C1024)</f>
        <v>7</v>
      </c>
      <c r="E1024" t="e">
        <f t="shared" si="46"/>
        <v>#N/A</v>
      </c>
      <c r="F1024" s="28" t="str">
        <f t="shared" ca="1" si="47"/>
        <v/>
      </c>
    </row>
    <row r="1025" spans="2:6" x14ac:dyDescent="0.2">
      <c r="B1025" t="str">
        <f>IFERROR(IF('PDCA review'!$D$2=Plan!B1026,Plan!G1026,""),"")</f>
        <v/>
      </c>
      <c r="C1025">
        <f t="shared" si="45"/>
        <v>0</v>
      </c>
      <c r="D1025">
        <f>SUM($C$3:C1025)</f>
        <v>7</v>
      </c>
      <c r="E1025" t="e">
        <f t="shared" si="46"/>
        <v>#N/A</v>
      </c>
      <c r="F1025" s="28" t="str">
        <f t="shared" ca="1" si="47"/>
        <v/>
      </c>
    </row>
    <row r="1026" spans="2:6" x14ac:dyDescent="0.2">
      <c r="B1026" t="str">
        <f>IFERROR(IF('PDCA review'!$D$2=Plan!B1027,Plan!G1027,""),"")</f>
        <v/>
      </c>
      <c r="C1026">
        <f t="shared" si="45"/>
        <v>0</v>
      </c>
      <c r="D1026">
        <f>SUM($C$3:C1026)</f>
        <v>7</v>
      </c>
      <c r="E1026" t="e">
        <f t="shared" si="46"/>
        <v>#N/A</v>
      </c>
      <c r="F1026" s="28" t="str">
        <f t="shared" ca="1" si="47"/>
        <v/>
      </c>
    </row>
    <row r="1027" spans="2:6" x14ac:dyDescent="0.2">
      <c r="B1027" t="str">
        <f>IFERROR(IF('PDCA review'!$D$2=Plan!B1028,Plan!G1028,""),"")</f>
        <v/>
      </c>
      <c r="C1027">
        <f t="shared" si="45"/>
        <v>0</v>
      </c>
      <c r="D1027">
        <f>SUM($C$3:C1027)</f>
        <v>7</v>
      </c>
      <c r="E1027" t="e">
        <f t="shared" si="46"/>
        <v>#N/A</v>
      </c>
      <c r="F1027" s="28" t="str">
        <f t="shared" ca="1" si="47"/>
        <v/>
      </c>
    </row>
    <row r="1028" spans="2:6" x14ac:dyDescent="0.2">
      <c r="B1028" t="str">
        <f>IFERROR(IF('PDCA review'!$D$2=Plan!B1029,Plan!G1029,""),"")</f>
        <v/>
      </c>
      <c r="C1028">
        <f t="shared" ref="C1028:C1091" si="48">IF(B1028&lt;&gt;"",1,0)</f>
        <v>0</v>
      </c>
      <c r="D1028">
        <f>SUM($C$3:C1028)</f>
        <v>7</v>
      </c>
      <c r="E1028" t="e">
        <f t="shared" ref="E1028:E1091" si="49">MATCH(ROW()-$D$2,$D$3:$D$2000,0)+$D$2</f>
        <v>#N/A</v>
      </c>
      <c r="F1028" s="28" t="str">
        <f t="shared" ref="F1028:F1091" ca="1" si="50">IFERROR(INDIRECT("B"&amp;E1028),"")</f>
        <v/>
      </c>
    </row>
    <row r="1029" spans="2:6" x14ac:dyDescent="0.2">
      <c r="B1029" t="str">
        <f>IFERROR(IF('PDCA review'!$D$2=Plan!B1030,Plan!G1030,""),"")</f>
        <v/>
      </c>
      <c r="C1029">
        <f t="shared" si="48"/>
        <v>0</v>
      </c>
      <c r="D1029">
        <f>SUM($C$3:C1029)</f>
        <v>7</v>
      </c>
      <c r="E1029" t="e">
        <f t="shared" si="49"/>
        <v>#N/A</v>
      </c>
      <c r="F1029" s="28" t="str">
        <f t="shared" ca="1" si="50"/>
        <v/>
      </c>
    </row>
    <row r="1030" spans="2:6" x14ac:dyDescent="0.2">
      <c r="B1030" t="str">
        <f>IFERROR(IF('PDCA review'!$D$2=Plan!B1031,Plan!G1031,""),"")</f>
        <v/>
      </c>
      <c r="C1030">
        <f t="shared" si="48"/>
        <v>0</v>
      </c>
      <c r="D1030">
        <f>SUM($C$3:C1030)</f>
        <v>7</v>
      </c>
      <c r="E1030" t="e">
        <f t="shared" si="49"/>
        <v>#N/A</v>
      </c>
      <c r="F1030" s="28" t="str">
        <f t="shared" ca="1" si="50"/>
        <v/>
      </c>
    </row>
    <row r="1031" spans="2:6" x14ac:dyDescent="0.2">
      <c r="B1031" t="str">
        <f>IFERROR(IF('PDCA review'!$D$2=Plan!B1032,Plan!G1032,""),"")</f>
        <v/>
      </c>
      <c r="C1031">
        <f t="shared" si="48"/>
        <v>0</v>
      </c>
      <c r="D1031">
        <f>SUM($C$3:C1031)</f>
        <v>7</v>
      </c>
      <c r="E1031" t="e">
        <f t="shared" si="49"/>
        <v>#N/A</v>
      </c>
      <c r="F1031" s="28" t="str">
        <f t="shared" ca="1" si="50"/>
        <v/>
      </c>
    </row>
    <row r="1032" spans="2:6" x14ac:dyDescent="0.2">
      <c r="B1032" t="str">
        <f>IFERROR(IF('PDCA review'!$D$2=Plan!B1033,Plan!G1033,""),"")</f>
        <v/>
      </c>
      <c r="C1032">
        <f t="shared" si="48"/>
        <v>0</v>
      </c>
      <c r="D1032">
        <f>SUM($C$3:C1032)</f>
        <v>7</v>
      </c>
      <c r="E1032" t="e">
        <f t="shared" si="49"/>
        <v>#N/A</v>
      </c>
      <c r="F1032" s="28" t="str">
        <f t="shared" ca="1" si="50"/>
        <v/>
      </c>
    </row>
    <row r="1033" spans="2:6" x14ac:dyDescent="0.2">
      <c r="B1033" t="str">
        <f>IFERROR(IF('PDCA review'!$D$2=Plan!B1034,Plan!G1034,""),"")</f>
        <v/>
      </c>
      <c r="C1033">
        <f t="shared" si="48"/>
        <v>0</v>
      </c>
      <c r="D1033">
        <f>SUM($C$3:C1033)</f>
        <v>7</v>
      </c>
      <c r="E1033" t="e">
        <f t="shared" si="49"/>
        <v>#N/A</v>
      </c>
      <c r="F1033" s="28" t="str">
        <f t="shared" ca="1" si="50"/>
        <v/>
      </c>
    </row>
    <row r="1034" spans="2:6" x14ac:dyDescent="0.2">
      <c r="B1034" t="str">
        <f>IFERROR(IF('PDCA review'!$D$2=Plan!B1035,Plan!G1035,""),"")</f>
        <v/>
      </c>
      <c r="C1034">
        <f t="shared" si="48"/>
        <v>0</v>
      </c>
      <c r="D1034">
        <f>SUM($C$3:C1034)</f>
        <v>7</v>
      </c>
      <c r="E1034" t="e">
        <f t="shared" si="49"/>
        <v>#N/A</v>
      </c>
      <c r="F1034" s="28" t="str">
        <f t="shared" ca="1" si="50"/>
        <v/>
      </c>
    </row>
    <row r="1035" spans="2:6" x14ac:dyDescent="0.2">
      <c r="B1035" t="str">
        <f>IFERROR(IF('PDCA review'!$D$2=Plan!B1036,Plan!G1036,""),"")</f>
        <v/>
      </c>
      <c r="C1035">
        <f t="shared" si="48"/>
        <v>0</v>
      </c>
      <c r="D1035">
        <f>SUM($C$3:C1035)</f>
        <v>7</v>
      </c>
      <c r="E1035" t="e">
        <f t="shared" si="49"/>
        <v>#N/A</v>
      </c>
      <c r="F1035" s="28" t="str">
        <f t="shared" ca="1" si="50"/>
        <v/>
      </c>
    </row>
    <row r="1036" spans="2:6" x14ac:dyDescent="0.2">
      <c r="B1036" t="str">
        <f>IFERROR(IF('PDCA review'!$D$2=Plan!B1037,Plan!G1037,""),"")</f>
        <v/>
      </c>
      <c r="C1036">
        <f t="shared" si="48"/>
        <v>0</v>
      </c>
      <c r="D1036">
        <f>SUM($C$3:C1036)</f>
        <v>7</v>
      </c>
      <c r="E1036" t="e">
        <f t="shared" si="49"/>
        <v>#N/A</v>
      </c>
      <c r="F1036" s="28" t="str">
        <f t="shared" ca="1" si="50"/>
        <v/>
      </c>
    </row>
    <row r="1037" spans="2:6" x14ac:dyDescent="0.2">
      <c r="B1037" t="str">
        <f>IFERROR(IF('PDCA review'!$D$2=Plan!B1038,Plan!G1038,""),"")</f>
        <v/>
      </c>
      <c r="C1037">
        <f t="shared" si="48"/>
        <v>0</v>
      </c>
      <c r="D1037">
        <f>SUM($C$3:C1037)</f>
        <v>7</v>
      </c>
      <c r="E1037" t="e">
        <f t="shared" si="49"/>
        <v>#N/A</v>
      </c>
      <c r="F1037" s="28" t="str">
        <f t="shared" ca="1" si="50"/>
        <v/>
      </c>
    </row>
    <row r="1038" spans="2:6" x14ac:dyDescent="0.2">
      <c r="B1038" t="str">
        <f>IFERROR(IF('PDCA review'!$D$2=Plan!B1039,Plan!G1039,""),"")</f>
        <v/>
      </c>
      <c r="C1038">
        <f t="shared" si="48"/>
        <v>0</v>
      </c>
      <c r="D1038">
        <f>SUM($C$3:C1038)</f>
        <v>7</v>
      </c>
      <c r="E1038" t="e">
        <f t="shared" si="49"/>
        <v>#N/A</v>
      </c>
      <c r="F1038" s="28" t="str">
        <f t="shared" ca="1" si="50"/>
        <v/>
      </c>
    </row>
    <row r="1039" spans="2:6" x14ac:dyDescent="0.2">
      <c r="B1039" t="str">
        <f>IFERROR(IF('PDCA review'!$D$2=Plan!B1040,Plan!G1040,""),"")</f>
        <v/>
      </c>
      <c r="C1039">
        <f t="shared" si="48"/>
        <v>0</v>
      </c>
      <c r="D1039">
        <f>SUM($C$3:C1039)</f>
        <v>7</v>
      </c>
      <c r="E1039" t="e">
        <f t="shared" si="49"/>
        <v>#N/A</v>
      </c>
      <c r="F1039" s="28" t="str">
        <f t="shared" ca="1" si="50"/>
        <v/>
      </c>
    </row>
    <row r="1040" spans="2:6" x14ac:dyDescent="0.2">
      <c r="B1040" t="str">
        <f>IFERROR(IF('PDCA review'!$D$2=Plan!B1041,Plan!G1041,""),"")</f>
        <v/>
      </c>
      <c r="C1040">
        <f t="shared" si="48"/>
        <v>0</v>
      </c>
      <c r="D1040">
        <f>SUM($C$3:C1040)</f>
        <v>7</v>
      </c>
      <c r="E1040" t="e">
        <f t="shared" si="49"/>
        <v>#N/A</v>
      </c>
      <c r="F1040" s="28" t="str">
        <f t="shared" ca="1" si="50"/>
        <v/>
      </c>
    </row>
    <row r="1041" spans="2:6" x14ac:dyDescent="0.2">
      <c r="B1041" t="str">
        <f>IFERROR(IF('PDCA review'!$D$2=Plan!B1042,Plan!G1042,""),"")</f>
        <v/>
      </c>
      <c r="C1041">
        <f t="shared" si="48"/>
        <v>0</v>
      </c>
      <c r="D1041">
        <f>SUM($C$3:C1041)</f>
        <v>7</v>
      </c>
      <c r="E1041" t="e">
        <f t="shared" si="49"/>
        <v>#N/A</v>
      </c>
      <c r="F1041" s="28" t="str">
        <f t="shared" ca="1" si="50"/>
        <v/>
      </c>
    </row>
    <row r="1042" spans="2:6" x14ac:dyDescent="0.2">
      <c r="B1042" t="str">
        <f>IFERROR(IF('PDCA review'!$D$2=Plan!B1043,Plan!G1043,""),"")</f>
        <v/>
      </c>
      <c r="C1042">
        <f t="shared" si="48"/>
        <v>0</v>
      </c>
      <c r="D1042">
        <f>SUM($C$3:C1042)</f>
        <v>7</v>
      </c>
      <c r="E1042" t="e">
        <f t="shared" si="49"/>
        <v>#N/A</v>
      </c>
      <c r="F1042" s="28" t="str">
        <f t="shared" ca="1" si="50"/>
        <v/>
      </c>
    </row>
    <row r="1043" spans="2:6" x14ac:dyDescent="0.2">
      <c r="B1043" t="str">
        <f>IFERROR(IF('PDCA review'!$D$2=Plan!B1044,Plan!G1044,""),"")</f>
        <v/>
      </c>
      <c r="C1043">
        <f t="shared" si="48"/>
        <v>0</v>
      </c>
      <c r="D1043">
        <f>SUM($C$3:C1043)</f>
        <v>7</v>
      </c>
      <c r="E1043" t="e">
        <f t="shared" si="49"/>
        <v>#N/A</v>
      </c>
      <c r="F1043" s="28" t="str">
        <f t="shared" ca="1" si="50"/>
        <v/>
      </c>
    </row>
    <row r="1044" spans="2:6" x14ac:dyDescent="0.2">
      <c r="B1044" t="str">
        <f>IFERROR(IF('PDCA review'!$D$2=Plan!B1045,Plan!G1045,""),"")</f>
        <v/>
      </c>
      <c r="C1044">
        <f t="shared" si="48"/>
        <v>0</v>
      </c>
      <c r="D1044">
        <f>SUM($C$3:C1044)</f>
        <v>7</v>
      </c>
      <c r="E1044" t="e">
        <f t="shared" si="49"/>
        <v>#N/A</v>
      </c>
      <c r="F1044" s="28" t="str">
        <f t="shared" ca="1" si="50"/>
        <v/>
      </c>
    </row>
    <row r="1045" spans="2:6" x14ac:dyDescent="0.2">
      <c r="B1045" t="str">
        <f>IFERROR(IF('PDCA review'!$D$2=Plan!B1046,Plan!G1046,""),"")</f>
        <v/>
      </c>
      <c r="C1045">
        <f t="shared" si="48"/>
        <v>0</v>
      </c>
      <c r="D1045">
        <f>SUM($C$3:C1045)</f>
        <v>7</v>
      </c>
      <c r="E1045" t="e">
        <f t="shared" si="49"/>
        <v>#N/A</v>
      </c>
      <c r="F1045" s="28" t="str">
        <f t="shared" ca="1" si="50"/>
        <v/>
      </c>
    </row>
    <row r="1046" spans="2:6" x14ac:dyDescent="0.2">
      <c r="B1046" t="str">
        <f>IFERROR(IF('PDCA review'!$D$2=Plan!B1047,Plan!G1047,""),"")</f>
        <v/>
      </c>
      <c r="C1046">
        <f t="shared" si="48"/>
        <v>0</v>
      </c>
      <c r="D1046">
        <f>SUM($C$3:C1046)</f>
        <v>7</v>
      </c>
      <c r="E1046" t="e">
        <f t="shared" si="49"/>
        <v>#N/A</v>
      </c>
      <c r="F1046" s="28" t="str">
        <f t="shared" ca="1" si="50"/>
        <v/>
      </c>
    </row>
    <row r="1047" spans="2:6" x14ac:dyDescent="0.2">
      <c r="B1047" t="str">
        <f>IFERROR(IF('PDCA review'!$D$2=Plan!B1048,Plan!G1048,""),"")</f>
        <v/>
      </c>
      <c r="C1047">
        <f t="shared" si="48"/>
        <v>0</v>
      </c>
      <c r="D1047">
        <f>SUM($C$3:C1047)</f>
        <v>7</v>
      </c>
      <c r="E1047" t="e">
        <f t="shared" si="49"/>
        <v>#N/A</v>
      </c>
      <c r="F1047" s="28" t="str">
        <f t="shared" ca="1" si="50"/>
        <v/>
      </c>
    </row>
    <row r="1048" spans="2:6" x14ac:dyDescent="0.2">
      <c r="B1048" t="str">
        <f>IFERROR(IF('PDCA review'!$D$2=Plan!B1049,Plan!G1049,""),"")</f>
        <v/>
      </c>
      <c r="C1048">
        <f t="shared" si="48"/>
        <v>0</v>
      </c>
      <c r="D1048">
        <f>SUM($C$3:C1048)</f>
        <v>7</v>
      </c>
      <c r="E1048" t="e">
        <f t="shared" si="49"/>
        <v>#N/A</v>
      </c>
      <c r="F1048" s="28" t="str">
        <f t="shared" ca="1" si="50"/>
        <v/>
      </c>
    </row>
    <row r="1049" spans="2:6" x14ac:dyDescent="0.2">
      <c r="B1049" t="str">
        <f>IFERROR(IF('PDCA review'!$D$2=Plan!B1050,Plan!G1050,""),"")</f>
        <v/>
      </c>
      <c r="C1049">
        <f t="shared" si="48"/>
        <v>0</v>
      </c>
      <c r="D1049">
        <f>SUM($C$3:C1049)</f>
        <v>7</v>
      </c>
      <c r="E1049" t="e">
        <f t="shared" si="49"/>
        <v>#N/A</v>
      </c>
      <c r="F1049" s="28" t="str">
        <f t="shared" ca="1" si="50"/>
        <v/>
      </c>
    </row>
    <row r="1050" spans="2:6" x14ac:dyDescent="0.2">
      <c r="B1050" t="str">
        <f>IFERROR(IF('PDCA review'!$D$2=Plan!B1051,Plan!G1051,""),"")</f>
        <v/>
      </c>
      <c r="C1050">
        <f t="shared" si="48"/>
        <v>0</v>
      </c>
      <c r="D1050">
        <f>SUM($C$3:C1050)</f>
        <v>7</v>
      </c>
      <c r="E1050" t="e">
        <f t="shared" si="49"/>
        <v>#N/A</v>
      </c>
      <c r="F1050" s="28" t="str">
        <f t="shared" ca="1" si="50"/>
        <v/>
      </c>
    </row>
    <row r="1051" spans="2:6" x14ac:dyDescent="0.2">
      <c r="B1051" t="str">
        <f>IFERROR(IF('PDCA review'!$D$2=Plan!B1052,Plan!G1052,""),"")</f>
        <v/>
      </c>
      <c r="C1051">
        <f t="shared" si="48"/>
        <v>0</v>
      </c>
      <c r="D1051">
        <f>SUM($C$3:C1051)</f>
        <v>7</v>
      </c>
      <c r="E1051" t="e">
        <f t="shared" si="49"/>
        <v>#N/A</v>
      </c>
      <c r="F1051" s="28" t="str">
        <f t="shared" ca="1" si="50"/>
        <v/>
      </c>
    </row>
    <row r="1052" spans="2:6" x14ac:dyDescent="0.2">
      <c r="B1052" t="str">
        <f>IFERROR(IF('PDCA review'!$D$2=Plan!B1053,Plan!G1053,""),"")</f>
        <v/>
      </c>
      <c r="C1052">
        <f t="shared" si="48"/>
        <v>0</v>
      </c>
      <c r="D1052">
        <f>SUM($C$3:C1052)</f>
        <v>7</v>
      </c>
      <c r="E1052" t="e">
        <f t="shared" si="49"/>
        <v>#N/A</v>
      </c>
      <c r="F1052" s="28" t="str">
        <f t="shared" ca="1" si="50"/>
        <v/>
      </c>
    </row>
    <row r="1053" spans="2:6" x14ac:dyDescent="0.2">
      <c r="B1053" t="str">
        <f>IFERROR(IF('PDCA review'!$D$2=Plan!B1054,Plan!G1054,""),"")</f>
        <v/>
      </c>
      <c r="C1053">
        <f t="shared" si="48"/>
        <v>0</v>
      </c>
      <c r="D1053">
        <f>SUM($C$3:C1053)</f>
        <v>7</v>
      </c>
      <c r="E1053" t="e">
        <f t="shared" si="49"/>
        <v>#N/A</v>
      </c>
      <c r="F1053" s="28" t="str">
        <f t="shared" ca="1" si="50"/>
        <v/>
      </c>
    </row>
    <row r="1054" spans="2:6" x14ac:dyDescent="0.2">
      <c r="B1054" t="str">
        <f>IFERROR(IF('PDCA review'!$D$2=Plan!B1055,Plan!G1055,""),"")</f>
        <v/>
      </c>
      <c r="C1054">
        <f t="shared" si="48"/>
        <v>0</v>
      </c>
      <c r="D1054">
        <f>SUM($C$3:C1054)</f>
        <v>7</v>
      </c>
      <c r="E1054" t="e">
        <f t="shared" si="49"/>
        <v>#N/A</v>
      </c>
      <c r="F1054" s="28" t="str">
        <f t="shared" ca="1" si="50"/>
        <v/>
      </c>
    </row>
    <row r="1055" spans="2:6" x14ac:dyDescent="0.2">
      <c r="B1055" t="str">
        <f>IFERROR(IF('PDCA review'!$D$2=Plan!B1056,Plan!G1056,""),"")</f>
        <v/>
      </c>
      <c r="C1055">
        <f t="shared" si="48"/>
        <v>0</v>
      </c>
      <c r="D1055">
        <f>SUM($C$3:C1055)</f>
        <v>7</v>
      </c>
      <c r="E1055" t="e">
        <f t="shared" si="49"/>
        <v>#N/A</v>
      </c>
      <c r="F1055" s="28" t="str">
        <f t="shared" ca="1" si="50"/>
        <v/>
      </c>
    </row>
    <row r="1056" spans="2:6" x14ac:dyDescent="0.2">
      <c r="B1056" t="str">
        <f>IFERROR(IF('PDCA review'!$D$2=Plan!B1057,Plan!G1057,""),"")</f>
        <v/>
      </c>
      <c r="C1056">
        <f t="shared" si="48"/>
        <v>0</v>
      </c>
      <c r="D1056">
        <f>SUM($C$3:C1056)</f>
        <v>7</v>
      </c>
      <c r="E1056" t="e">
        <f t="shared" si="49"/>
        <v>#N/A</v>
      </c>
      <c r="F1056" s="28" t="str">
        <f t="shared" ca="1" si="50"/>
        <v/>
      </c>
    </row>
    <row r="1057" spans="2:6" x14ac:dyDescent="0.2">
      <c r="B1057" t="str">
        <f>IFERROR(IF('PDCA review'!$D$2=Plan!B1058,Plan!G1058,""),"")</f>
        <v/>
      </c>
      <c r="C1057">
        <f t="shared" si="48"/>
        <v>0</v>
      </c>
      <c r="D1057">
        <f>SUM($C$3:C1057)</f>
        <v>7</v>
      </c>
      <c r="E1057" t="e">
        <f t="shared" si="49"/>
        <v>#N/A</v>
      </c>
      <c r="F1057" s="28" t="str">
        <f t="shared" ca="1" si="50"/>
        <v/>
      </c>
    </row>
    <row r="1058" spans="2:6" x14ac:dyDescent="0.2">
      <c r="B1058" t="str">
        <f>IFERROR(IF('PDCA review'!$D$2=Plan!B1059,Plan!G1059,""),"")</f>
        <v/>
      </c>
      <c r="C1058">
        <f t="shared" si="48"/>
        <v>0</v>
      </c>
      <c r="D1058">
        <f>SUM($C$3:C1058)</f>
        <v>7</v>
      </c>
      <c r="E1058" t="e">
        <f t="shared" si="49"/>
        <v>#N/A</v>
      </c>
      <c r="F1058" s="28" t="str">
        <f t="shared" ca="1" si="50"/>
        <v/>
      </c>
    </row>
    <row r="1059" spans="2:6" x14ac:dyDescent="0.2">
      <c r="B1059" t="str">
        <f>IFERROR(IF('PDCA review'!$D$2=Plan!B1060,Plan!G1060,""),"")</f>
        <v/>
      </c>
      <c r="C1059">
        <f t="shared" si="48"/>
        <v>0</v>
      </c>
      <c r="D1059">
        <f>SUM($C$3:C1059)</f>
        <v>7</v>
      </c>
      <c r="E1059" t="e">
        <f t="shared" si="49"/>
        <v>#N/A</v>
      </c>
      <c r="F1059" s="28" t="str">
        <f t="shared" ca="1" si="50"/>
        <v/>
      </c>
    </row>
    <row r="1060" spans="2:6" x14ac:dyDescent="0.2">
      <c r="B1060" t="str">
        <f>IFERROR(IF('PDCA review'!$D$2=Plan!B1061,Plan!G1061,""),"")</f>
        <v/>
      </c>
      <c r="C1060">
        <f t="shared" si="48"/>
        <v>0</v>
      </c>
      <c r="D1060">
        <f>SUM($C$3:C1060)</f>
        <v>7</v>
      </c>
      <c r="E1060" t="e">
        <f t="shared" si="49"/>
        <v>#N/A</v>
      </c>
      <c r="F1060" s="28" t="str">
        <f t="shared" ca="1" si="50"/>
        <v/>
      </c>
    </row>
    <row r="1061" spans="2:6" x14ac:dyDescent="0.2">
      <c r="B1061" t="str">
        <f>IFERROR(IF('PDCA review'!$D$2=Plan!B1062,Plan!G1062,""),"")</f>
        <v/>
      </c>
      <c r="C1061">
        <f t="shared" si="48"/>
        <v>0</v>
      </c>
      <c r="D1061">
        <f>SUM($C$3:C1061)</f>
        <v>7</v>
      </c>
      <c r="E1061" t="e">
        <f t="shared" si="49"/>
        <v>#N/A</v>
      </c>
      <c r="F1061" s="28" t="str">
        <f t="shared" ca="1" si="50"/>
        <v/>
      </c>
    </row>
    <row r="1062" spans="2:6" x14ac:dyDescent="0.2">
      <c r="B1062" t="str">
        <f>IFERROR(IF('PDCA review'!$D$2=Plan!B1063,Plan!G1063,""),"")</f>
        <v/>
      </c>
      <c r="C1062">
        <f t="shared" si="48"/>
        <v>0</v>
      </c>
      <c r="D1062">
        <f>SUM($C$3:C1062)</f>
        <v>7</v>
      </c>
      <c r="E1062" t="e">
        <f t="shared" si="49"/>
        <v>#N/A</v>
      </c>
      <c r="F1062" s="28" t="str">
        <f t="shared" ca="1" si="50"/>
        <v/>
      </c>
    </row>
    <row r="1063" spans="2:6" x14ac:dyDescent="0.2">
      <c r="B1063" t="str">
        <f>IFERROR(IF('PDCA review'!$D$2=Plan!B1064,Plan!G1064,""),"")</f>
        <v/>
      </c>
      <c r="C1063">
        <f t="shared" si="48"/>
        <v>0</v>
      </c>
      <c r="D1063">
        <f>SUM($C$3:C1063)</f>
        <v>7</v>
      </c>
      <c r="E1063" t="e">
        <f t="shared" si="49"/>
        <v>#N/A</v>
      </c>
      <c r="F1063" s="28" t="str">
        <f t="shared" ca="1" si="50"/>
        <v/>
      </c>
    </row>
    <row r="1064" spans="2:6" x14ac:dyDescent="0.2">
      <c r="B1064" t="str">
        <f>IFERROR(IF('PDCA review'!$D$2=Plan!B1065,Plan!G1065,""),"")</f>
        <v/>
      </c>
      <c r="C1064">
        <f t="shared" si="48"/>
        <v>0</v>
      </c>
      <c r="D1064">
        <f>SUM($C$3:C1064)</f>
        <v>7</v>
      </c>
      <c r="E1064" t="e">
        <f t="shared" si="49"/>
        <v>#N/A</v>
      </c>
      <c r="F1064" s="28" t="str">
        <f t="shared" ca="1" si="50"/>
        <v/>
      </c>
    </row>
    <row r="1065" spans="2:6" x14ac:dyDescent="0.2">
      <c r="B1065" t="str">
        <f>IFERROR(IF('PDCA review'!$D$2=Plan!B1066,Plan!G1066,""),"")</f>
        <v/>
      </c>
      <c r="C1065">
        <f t="shared" si="48"/>
        <v>0</v>
      </c>
      <c r="D1065">
        <f>SUM($C$3:C1065)</f>
        <v>7</v>
      </c>
      <c r="E1065" t="e">
        <f t="shared" si="49"/>
        <v>#N/A</v>
      </c>
      <c r="F1065" s="28" t="str">
        <f t="shared" ca="1" si="50"/>
        <v/>
      </c>
    </row>
    <row r="1066" spans="2:6" x14ac:dyDescent="0.2">
      <c r="B1066" t="str">
        <f>IFERROR(IF('PDCA review'!$D$2=Plan!B1067,Plan!G1067,""),"")</f>
        <v/>
      </c>
      <c r="C1066">
        <f t="shared" si="48"/>
        <v>0</v>
      </c>
      <c r="D1066">
        <f>SUM($C$3:C1066)</f>
        <v>7</v>
      </c>
      <c r="E1066" t="e">
        <f t="shared" si="49"/>
        <v>#N/A</v>
      </c>
      <c r="F1066" s="28" t="str">
        <f t="shared" ca="1" si="50"/>
        <v/>
      </c>
    </row>
    <row r="1067" spans="2:6" x14ac:dyDescent="0.2">
      <c r="B1067" t="str">
        <f>IFERROR(IF('PDCA review'!$D$2=Plan!B1068,Plan!G1068,""),"")</f>
        <v/>
      </c>
      <c r="C1067">
        <f t="shared" si="48"/>
        <v>0</v>
      </c>
      <c r="D1067">
        <f>SUM($C$3:C1067)</f>
        <v>7</v>
      </c>
      <c r="E1067" t="e">
        <f t="shared" si="49"/>
        <v>#N/A</v>
      </c>
      <c r="F1067" s="28" t="str">
        <f t="shared" ca="1" si="50"/>
        <v/>
      </c>
    </row>
    <row r="1068" spans="2:6" x14ac:dyDescent="0.2">
      <c r="B1068" t="str">
        <f>IFERROR(IF('PDCA review'!$D$2=Plan!B1069,Plan!G1069,""),"")</f>
        <v/>
      </c>
      <c r="C1068">
        <f t="shared" si="48"/>
        <v>0</v>
      </c>
      <c r="D1068">
        <f>SUM($C$3:C1068)</f>
        <v>7</v>
      </c>
      <c r="E1068" t="e">
        <f t="shared" si="49"/>
        <v>#N/A</v>
      </c>
      <c r="F1068" s="28" t="str">
        <f t="shared" ca="1" si="50"/>
        <v/>
      </c>
    </row>
    <row r="1069" spans="2:6" x14ac:dyDescent="0.2">
      <c r="B1069" t="str">
        <f>IFERROR(IF('PDCA review'!$D$2=Plan!B1070,Plan!G1070,""),"")</f>
        <v/>
      </c>
      <c r="C1069">
        <f t="shared" si="48"/>
        <v>0</v>
      </c>
      <c r="D1069">
        <f>SUM($C$3:C1069)</f>
        <v>7</v>
      </c>
      <c r="E1069" t="e">
        <f t="shared" si="49"/>
        <v>#N/A</v>
      </c>
      <c r="F1069" s="28" t="str">
        <f t="shared" ca="1" si="50"/>
        <v/>
      </c>
    </row>
    <row r="1070" spans="2:6" x14ac:dyDescent="0.2">
      <c r="B1070" t="str">
        <f>IFERROR(IF('PDCA review'!$D$2=Plan!B1071,Plan!G1071,""),"")</f>
        <v/>
      </c>
      <c r="C1070">
        <f t="shared" si="48"/>
        <v>0</v>
      </c>
      <c r="D1070">
        <f>SUM($C$3:C1070)</f>
        <v>7</v>
      </c>
      <c r="E1070" t="e">
        <f t="shared" si="49"/>
        <v>#N/A</v>
      </c>
      <c r="F1070" s="28" t="str">
        <f t="shared" ca="1" si="50"/>
        <v/>
      </c>
    </row>
    <row r="1071" spans="2:6" x14ac:dyDescent="0.2">
      <c r="B1071" t="str">
        <f>IFERROR(IF('PDCA review'!$D$2=Plan!B1072,Plan!G1072,""),"")</f>
        <v/>
      </c>
      <c r="C1071">
        <f t="shared" si="48"/>
        <v>0</v>
      </c>
      <c r="D1071">
        <f>SUM($C$3:C1071)</f>
        <v>7</v>
      </c>
      <c r="E1071" t="e">
        <f t="shared" si="49"/>
        <v>#N/A</v>
      </c>
      <c r="F1071" s="28" t="str">
        <f t="shared" ca="1" si="50"/>
        <v/>
      </c>
    </row>
    <row r="1072" spans="2:6" x14ac:dyDescent="0.2">
      <c r="B1072" t="str">
        <f>IFERROR(IF('PDCA review'!$D$2=Plan!B1073,Plan!G1073,""),"")</f>
        <v/>
      </c>
      <c r="C1072">
        <f t="shared" si="48"/>
        <v>0</v>
      </c>
      <c r="D1072">
        <f>SUM($C$3:C1072)</f>
        <v>7</v>
      </c>
      <c r="E1072" t="e">
        <f t="shared" si="49"/>
        <v>#N/A</v>
      </c>
      <c r="F1072" s="28" t="str">
        <f t="shared" ca="1" si="50"/>
        <v/>
      </c>
    </row>
    <row r="1073" spans="2:6" x14ac:dyDescent="0.2">
      <c r="B1073" t="str">
        <f>IFERROR(IF('PDCA review'!$D$2=Plan!B1074,Plan!G1074,""),"")</f>
        <v/>
      </c>
      <c r="C1073">
        <f t="shared" si="48"/>
        <v>0</v>
      </c>
      <c r="D1073">
        <f>SUM($C$3:C1073)</f>
        <v>7</v>
      </c>
      <c r="E1073" t="e">
        <f t="shared" si="49"/>
        <v>#N/A</v>
      </c>
      <c r="F1073" s="28" t="str">
        <f t="shared" ca="1" si="50"/>
        <v/>
      </c>
    </row>
    <row r="1074" spans="2:6" x14ac:dyDescent="0.2">
      <c r="B1074" t="str">
        <f>IFERROR(IF('PDCA review'!$D$2=Plan!B1075,Plan!G1075,""),"")</f>
        <v/>
      </c>
      <c r="C1074">
        <f t="shared" si="48"/>
        <v>0</v>
      </c>
      <c r="D1074">
        <f>SUM($C$3:C1074)</f>
        <v>7</v>
      </c>
      <c r="E1074" t="e">
        <f t="shared" si="49"/>
        <v>#N/A</v>
      </c>
      <c r="F1074" s="28" t="str">
        <f t="shared" ca="1" si="50"/>
        <v/>
      </c>
    </row>
    <row r="1075" spans="2:6" x14ac:dyDescent="0.2">
      <c r="B1075" t="str">
        <f>IFERROR(IF('PDCA review'!$D$2=Plan!B1076,Plan!G1076,""),"")</f>
        <v/>
      </c>
      <c r="C1075">
        <f t="shared" si="48"/>
        <v>0</v>
      </c>
      <c r="D1075">
        <f>SUM($C$3:C1075)</f>
        <v>7</v>
      </c>
      <c r="E1075" t="e">
        <f t="shared" si="49"/>
        <v>#N/A</v>
      </c>
      <c r="F1075" s="28" t="str">
        <f t="shared" ca="1" si="50"/>
        <v/>
      </c>
    </row>
    <row r="1076" spans="2:6" x14ac:dyDescent="0.2">
      <c r="B1076" t="str">
        <f>IFERROR(IF('PDCA review'!$D$2=Plan!B1077,Plan!G1077,""),"")</f>
        <v/>
      </c>
      <c r="C1076">
        <f t="shared" si="48"/>
        <v>0</v>
      </c>
      <c r="D1076">
        <f>SUM($C$3:C1076)</f>
        <v>7</v>
      </c>
      <c r="E1076" t="e">
        <f t="shared" si="49"/>
        <v>#N/A</v>
      </c>
      <c r="F1076" s="28" t="str">
        <f t="shared" ca="1" si="50"/>
        <v/>
      </c>
    </row>
    <row r="1077" spans="2:6" x14ac:dyDescent="0.2">
      <c r="B1077" t="str">
        <f>IFERROR(IF('PDCA review'!$D$2=Plan!B1078,Plan!G1078,""),"")</f>
        <v/>
      </c>
      <c r="C1077">
        <f t="shared" si="48"/>
        <v>0</v>
      </c>
      <c r="D1077">
        <f>SUM($C$3:C1077)</f>
        <v>7</v>
      </c>
      <c r="E1077" t="e">
        <f t="shared" si="49"/>
        <v>#N/A</v>
      </c>
      <c r="F1077" s="28" t="str">
        <f t="shared" ca="1" si="50"/>
        <v/>
      </c>
    </row>
    <row r="1078" spans="2:6" x14ac:dyDescent="0.2">
      <c r="B1078" t="str">
        <f>IFERROR(IF('PDCA review'!$D$2=Plan!B1079,Plan!G1079,""),"")</f>
        <v/>
      </c>
      <c r="C1078">
        <f t="shared" si="48"/>
        <v>0</v>
      </c>
      <c r="D1078">
        <f>SUM($C$3:C1078)</f>
        <v>7</v>
      </c>
      <c r="E1078" t="e">
        <f t="shared" si="49"/>
        <v>#N/A</v>
      </c>
      <c r="F1078" s="28" t="str">
        <f t="shared" ca="1" si="50"/>
        <v/>
      </c>
    </row>
    <row r="1079" spans="2:6" x14ac:dyDescent="0.2">
      <c r="B1079" t="str">
        <f>IFERROR(IF('PDCA review'!$D$2=Plan!B1080,Plan!G1080,""),"")</f>
        <v/>
      </c>
      <c r="C1079">
        <f t="shared" si="48"/>
        <v>0</v>
      </c>
      <c r="D1079">
        <f>SUM($C$3:C1079)</f>
        <v>7</v>
      </c>
      <c r="E1079" t="e">
        <f t="shared" si="49"/>
        <v>#N/A</v>
      </c>
      <c r="F1079" s="28" t="str">
        <f t="shared" ca="1" si="50"/>
        <v/>
      </c>
    </row>
    <row r="1080" spans="2:6" x14ac:dyDescent="0.2">
      <c r="B1080" t="str">
        <f>IFERROR(IF('PDCA review'!$D$2=Plan!B1081,Plan!G1081,""),"")</f>
        <v/>
      </c>
      <c r="C1080">
        <f t="shared" si="48"/>
        <v>0</v>
      </c>
      <c r="D1080">
        <f>SUM($C$3:C1080)</f>
        <v>7</v>
      </c>
      <c r="E1080" t="e">
        <f t="shared" si="49"/>
        <v>#N/A</v>
      </c>
      <c r="F1080" s="28" t="str">
        <f t="shared" ca="1" si="50"/>
        <v/>
      </c>
    </row>
    <row r="1081" spans="2:6" x14ac:dyDescent="0.2">
      <c r="B1081" t="str">
        <f>IFERROR(IF('PDCA review'!$D$2=Plan!B1082,Plan!G1082,""),"")</f>
        <v/>
      </c>
      <c r="C1081">
        <f t="shared" si="48"/>
        <v>0</v>
      </c>
      <c r="D1081">
        <f>SUM($C$3:C1081)</f>
        <v>7</v>
      </c>
      <c r="E1081" t="e">
        <f t="shared" si="49"/>
        <v>#N/A</v>
      </c>
      <c r="F1081" s="28" t="str">
        <f t="shared" ca="1" si="50"/>
        <v/>
      </c>
    </row>
    <row r="1082" spans="2:6" x14ac:dyDescent="0.2">
      <c r="B1082" t="str">
        <f>IFERROR(IF('PDCA review'!$D$2=Plan!B1083,Plan!G1083,""),"")</f>
        <v/>
      </c>
      <c r="C1082">
        <f t="shared" si="48"/>
        <v>0</v>
      </c>
      <c r="D1082">
        <f>SUM($C$3:C1082)</f>
        <v>7</v>
      </c>
      <c r="E1082" t="e">
        <f t="shared" si="49"/>
        <v>#N/A</v>
      </c>
      <c r="F1082" s="28" t="str">
        <f t="shared" ca="1" si="50"/>
        <v/>
      </c>
    </row>
    <row r="1083" spans="2:6" x14ac:dyDescent="0.2">
      <c r="B1083" t="str">
        <f>IFERROR(IF('PDCA review'!$D$2=Plan!B1084,Plan!G1084,""),"")</f>
        <v/>
      </c>
      <c r="C1083">
        <f t="shared" si="48"/>
        <v>0</v>
      </c>
      <c r="D1083">
        <f>SUM($C$3:C1083)</f>
        <v>7</v>
      </c>
      <c r="E1083" t="e">
        <f t="shared" si="49"/>
        <v>#N/A</v>
      </c>
      <c r="F1083" s="28" t="str">
        <f t="shared" ca="1" si="50"/>
        <v/>
      </c>
    </row>
    <row r="1084" spans="2:6" x14ac:dyDescent="0.2">
      <c r="B1084" t="str">
        <f>IFERROR(IF('PDCA review'!$D$2=Plan!B1085,Plan!G1085,""),"")</f>
        <v/>
      </c>
      <c r="C1084">
        <f t="shared" si="48"/>
        <v>0</v>
      </c>
      <c r="D1084">
        <f>SUM($C$3:C1084)</f>
        <v>7</v>
      </c>
      <c r="E1084" t="e">
        <f t="shared" si="49"/>
        <v>#N/A</v>
      </c>
      <c r="F1084" s="28" t="str">
        <f t="shared" ca="1" si="50"/>
        <v/>
      </c>
    </row>
    <row r="1085" spans="2:6" x14ac:dyDescent="0.2">
      <c r="B1085" t="str">
        <f>IFERROR(IF('PDCA review'!$D$2=Plan!B1086,Plan!G1086,""),"")</f>
        <v/>
      </c>
      <c r="C1085">
        <f t="shared" si="48"/>
        <v>0</v>
      </c>
      <c r="D1085">
        <f>SUM($C$3:C1085)</f>
        <v>7</v>
      </c>
      <c r="E1085" t="e">
        <f t="shared" si="49"/>
        <v>#N/A</v>
      </c>
      <c r="F1085" s="28" t="str">
        <f t="shared" ca="1" si="50"/>
        <v/>
      </c>
    </row>
    <row r="1086" spans="2:6" x14ac:dyDescent="0.2">
      <c r="B1086" t="str">
        <f>IFERROR(IF('PDCA review'!$D$2=Plan!B1087,Plan!G1087,""),"")</f>
        <v/>
      </c>
      <c r="C1086">
        <f t="shared" si="48"/>
        <v>0</v>
      </c>
      <c r="D1086">
        <f>SUM($C$3:C1086)</f>
        <v>7</v>
      </c>
      <c r="E1086" t="e">
        <f t="shared" si="49"/>
        <v>#N/A</v>
      </c>
      <c r="F1086" s="28" t="str">
        <f t="shared" ca="1" si="50"/>
        <v/>
      </c>
    </row>
    <row r="1087" spans="2:6" x14ac:dyDescent="0.2">
      <c r="B1087" t="str">
        <f>IFERROR(IF('PDCA review'!$D$2=Plan!B1088,Plan!G1088,""),"")</f>
        <v/>
      </c>
      <c r="C1087">
        <f t="shared" si="48"/>
        <v>0</v>
      </c>
      <c r="D1087">
        <f>SUM($C$3:C1087)</f>
        <v>7</v>
      </c>
      <c r="E1087" t="e">
        <f t="shared" si="49"/>
        <v>#N/A</v>
      </c>
      <c r="F1087" s="28" t="str">
        <f t="shared" ca="1" si="50"/>
        <v/>
      </c>
    </row>
    <row r="1088" spans="2:6" x14ac:dyDescent="0.2">
      <c r="B1088" t="str">
        <f>IFERROR(IF('PDCA review'!$D$2=Plan!B1089,Plan!G1089,""),"")</f>
        <v/>
      </c>
      <c r="C1088">
        <f t="shared" si="48"/>
        <v>0</v>
      </c>
      <c r="D1088">
        <f>SUM($C$3:C1088)</f>
        <v>7</v>
      </c>
      <c r="E1088" t="e">
        <f t="shared" si="49"/>
        <v>#N/A</v>
      </c>
      <c r="F1088" s="28" t="str">
        <f t="shared" ca="1" si="50"/>
        <v/>
      </c>
    </row>
    <row r="1089" spans="2:6" x14ac:dyDescent="0.2">
      <c r="B1089" t="str">
        <f>IFERROR(IF('PDCA review'!$D$2=Plan!B1090,Plan!G1090,""),"")</f>
        <v/>
      </c>
      <c r="C1089">
        <f t="shared" si="48"/>
        <v>0</v>
      </c>
      <c r="D1089">
        <f>SUM($C$3:C1089)</f>
        <v>7</v>
      </c>
      <c r="E1089" t="e">
        <f t="shared" si="49"/>
        <v>#N/A</v>
      </c>
      <c r="F1089" s="28" t="str">
        <f t="shared" ca="1" si="50"/>
        <v/>
      </c>
    </row>
    <row r="1090" spans="2:6" x14ac:dyDescent="0.2">
      <c r="B1090" t="str">
        <f>IFERROR(IF('PDCA review'!$D$2=Plan!B1091,Plan!G1091,""),"")</f>
        <v/>
      </c>
      <c r="C1090">
        <f t="shared" si="48"/>
        <v>0</v>
      </c>
      <c r="D1090">
        <f>SUM($C$3:C1090)</f>
        <v>7</v>
      </c>
      <c r="E1090" t="e">
        <f t="shared" si="49"/>
        <v>#N/A</v>
      </c>
      <c r="F1090" s="28" t="str">
        <f t="shared" ca="1" si="50"/>
        <v/>
      </c>
    </row>
    <row r="1091" spans="2:6" x14ac:dyDescent="0.2">
      <c r="B1091" t="str">
        <f>IFERROR(IF('PDCA review'!$D$2=Plan!B1092,Plan!G1092,""),"")</f>
        <v/>
      </c>
      <c r="C1091">
        <f t="shared" si="48"/>
        <v>0</v>
      </c>
      <c r="D1091">
        <f>SUM($C$3:C1091)</f>
        <v>7</v>
      </c>
      <c r="E1091" t="e">
        <f t="shared" si="49"/>
        <v>#N/A</v>
      </c>
      <c r="F1091" s="28" t="str">
        <f t="shared" ca="1" si="50"/>
        <v/>
      </c>
    </row>
    <row r="1092" spans="2:6" x14ac:dyDescent="0.2">
      <c r="B1092" t="str">
        <f>IFERROR(IF('PDCA review'!$D$2=Plan!B1093,Plan!G1093,""),"")</f>
        <v/>
      </c>
      <c r="C1092">
        <f t="shared" ref="C1092:C1155" si="51">IF(B1092&lt;&gt;"",1,0)</f>
        <v>0</v>
      </c>
      <c r="D1092">
        <f>SUM($C$3:C1092)</f>
        <v>7</v>
      </c>
      <c r="E1092" t="e">
        <f t="shared" ref="E1092:E1155" si="52">MATCH(ROW()-$D$2,$D$3:$D$2000,0)+$D$2</f>
        <v>#N/A</v>
      </c>
      <c r="F1092" s="28" t="str">
        <f t="shared" ref="F1092:F1155" ca="1" si="53">IFERROR(INDIRECT("B"&amp;E1092),"")</f>
        <v/>
      </c>
    </row>
    <row r="1093" spans="2:6" x14ac:dyDescent="0.2">
      <c r="B1093" t="str">
        <f>IFERROR(IF('PDCA review'!$D$2=Plan!B1094,Plan!G1094,""),"")</f>
        <v/>
      </c>
      <c r="C1093">
        <f t="shared" si="51"/>
        <v>0</v>
      </c>
      <c r="D1093">
        <f>SUM($C$3:C1093)</f>
        <v>7</v>
      </c>
      <c r="E1093" t="e">
        <f t="shared" si="52"/>
        <v>#N/A</v>
      </c>
      <c r="F1093" s="28" t="str">
        <f t="shared" ca="1" si="53"/>
        <v/>
      </c>
    </row>
    <row r="1094" spans="2:6" x14ac:dyDescent="0.2">
      <c r="B1094" t="str">
        <f>IFERROR(IF('PDCA review'!$D$2=Plan!B1095,Plan!G1095,""),"")</f>
        <v/>
      </c>
      <c r="C1094">
        <f t="shared" si="51"/>
        <v>0</v>
      </c>
      <c r="D1094">
        <f>SUM($C$3:C1094)</f>
        <v>7</v>
      </c>
      <c r="E1094" t="e">
        <f t="shared" si="52"/>
        <v>#N/A</v>
      </c>
      <c r="F1094" s="28" t="str">
        <f t="shared" ca="1" si="53"/>
        <v/>
      </c>
    </row>
    <row r="1095" spans="2:6" x14ac:dyDescent="0.2">
      <c r="B1095" t="str">
        <f>IFERROR(IF('PDCA review'!$D$2=Plan!B1096,Plan!G1096,""),"")</f>
        <v/>
      </c>
      <c r="C1095">
        <f t="shared" si="51"/>
        <v>0</v>
      </c>
      <c r="D1095">
        <f>SUM($C$3:C1095)</f>
        <v>7</v>
      </c>
      <c r="E1095" t="e">
        <f t="shared" si="52"/>
        <v>#N/A</v>
      </c>
      <c r="F1095" s="28" t="str">
        <f t="shared" ca="1" si="53"/>
        <v/>
      </c>
    </row>
    <row r="1096" spans="2:6" x14ac:dyDescent="0.2">
      <c r="B1096" t="str">
        <f>IFERROR(IF('PDCA review'!$D$2=Plan!B1097,Plan!G1097,""),"")</f>
        <v/>
      </c>
      <c r="C1096">
        <f t="shared" si="51"/>
        <v>0</v>
      </c>
      <c r="D1096">
        <f>SUM($C$3:C1096)</f>
        <v>7</v>
      </c>
      <c r="E1096" t="e">
        <f t="shared" si="52"/>
        <v>#N/A</v>
      </c>
      <c r="F1096" s="28" t="str">
        <f t="shared" ca="1" si="53"/>
        <v/>
      </c>
    </row>
    <row r="1097" spans="2:6" x14ac:dyDescent="0.2">
      <c r="B1097" t="str">
        <f>IFERROR(IF('PDCA review'!$D$2=Plan!B1098,Plan!G1098,""),"")</f>
        <v/>
      </c>
      <c r="C1097">
        <f t="shared" si="51"/>
        <v>0</v>
      </c>
      <c r="D1097">
        <f>SUM($C$3:C1097)</f>
        <v>7</v>
      </c>
      <c r="E1097" t="e">
        <f t="shared" si="52"/>
        <v>#N/A</v>
      </c>
      <c r="F1097" s="28" t="str">
        <f t="shared" ca="1" si="53"/>
        <v/>
      </c>
    </row>
    <row r="1098" spans="2:6" x14ac:dyDescent="0.2">
      <c r="B1098" t="str">
        <f>IFERROR(IF('PDCA review'!$D$2=Plan!B1099,Plan!G1099,""),"")</f>
        <v/>
      </c>
      <c r="C1098">
        <f t="shared" si="51"/>
        <v>0</v>
      </c>
      <c r="D1098">
        <f>SUM($C$3:C1098)</f>
        <v>7</v>
      </c>
      <c r="E1098" t="e">
        <f t="shared" si="52"/>
        <v>#N/A</v>
      </c>
      <c r="F1098" s="28" t="str">
        <f t="shared" ca="1" si="53"/>
        <v/>
      </c>
    </row>
    <row r="1099" spans="2:6" x14ac:dyDescent="0.2">
      <c r="B1099" t="str">
        <f>IFERROR(IF('PDCA review'!$D$2=Plan!B1100,Plan!G1100,""),"")</f>
        <v/>
      </c>
      <c r="C1099">
        <f t="shared" si="51"/>
        <v>0</v>
      </c>
      <c r="D1099">
        <f>SUM($C$3:C1099)</f>
        <v>7</v>
      </c>
      <c r="E1099" t="e">
        <f t="shared" si="52"/>
        <v>#N/A</v>
      </c>
      <c r="F1099" s="28" t="str">
        <f t="shared" ca="1" si="53"/>
        <v/>
      </c>
    </row>
    <row r="1100" spans="2:6" x14ac:dyDescent="0.2">
      <c r="B1100" t="str">
        <f>IFERROR(IF('PDCA review'!$D$2=Plan!B1101,Plan!G1101,""),"")</f>
        <v/>
      </c>
      <c r="C1100">
        <f t="shared" si="51"/>
        <v>0</v>
      </c>
      <c r="D1100">
        <f>SUM($C$3:C1100)</f>
        <v>7</v>
      </c>
      <c r="E1100" t="e">
        <f t="shared" si="52"/>
        <v>#N/A</v>
      </c>
      <c r="F1100" s="28" t="str">
        <f t="shared" ca="1" si="53"/>
        <v/>
      </c>
    </row>
    <row r="1101" spans="2:6" x14ac:dyDescent="0.2">
      <c r="B1101" t="str">
        <f>IFERROR(IF('PDCA review'!$D$2=Plan!B1102,Plan!G1102,""),"")</f>
        <v/>
      </c>
      <c r="C1101">
        <f t="shared" si="51"/>
        <v>0</v>
      </c>
      <c r="D1101">
        <f>SUM($C$3:C1101)</f>
        <v>7</v>
      </c>
      <c r="E1101" t="e">
        <f t="shared" si="52"/>
        <v>#N/A</v>
      </c>
      <c r="F1101" s="28" t="str">
        <f t="shared" ca="1" si="53"/>
        <v/>
      </c>
    </row>
    <row r="1102" spans="2:6" x14ac:dyDescent="0.2">
      <c r="B1102" t="str">
        <f>IFERROR(IF('PDCA review'!$D$2=Plan!B1103,Plan!G1103,""),"")</f>
        <v/>
      </c>
      <c r="C1102">
        <f t="shared" si="51"/>
        <v>0</v>
      </c>
      <c r="D1102">
        <f>SUM($C$3:C1102)</f>
        <v>7</v>
      </c>
      <c r="E1102" t="e">
        <f t="shared" si="52"/>
        <v>#N/A</v>
      </c>
      <c r="F1102" s="28" t="str">
        <f t="shared" ca="1" si="53"/>
        <v/>
      </c>
    </row>
    <row r="1103" spans="2:6" x14ac:dyDescent="0.2">
      <c r="B1103" t="str">
        <f>IFERROR(IF('PDCA review'!$D$2=Plan!B1104,Plan!G1104,""),"")</f>
        <v/>
      </c>
      <c r="C1103">
        <f t="shared" si="51"/>
        <v>0</v>
      </c>
      <c r="D1103">
        <f>SUM($C$3:C1103)</f>
        <v>7</v>
      </c>
      <c r="E1103" t="e">
        <f t="shared" si="52"/>
        <v>#N/A</v>
      </c>
      <c r="F1103" s="28" t="str">
        <f t="shared" ca="1" si="53"/>
        <v/>
      </c>
    </row>
    <row r="1104" spans="2:6" x14ac:dyDescent="0.2">
      <c r="B1104" t="str">
        <f>IFERROR(IF('PDCA review'!$D$2=Plan!B1105,Plan!G1105,""),"")</f>
        <v/>
      </c>
      <c r="C1104">
        <f t="shared" si="51"/>
        <v>0</v>
      </c>
      <c r="D1104">
        <f>SUM($C$3:C1104)</f>
        <v>7</v>
      </c>
      <c r="E1104" t="e">
        <f t="shared" si="52"/>
        <v>#N/A</v>
      </c>
      <c r="F1104" s="28" t="str">
        <f t="shared" ca="1" si="53"/>
        <v/>
      </c>
    </row>
    <row r="1105" spans="2:6" x14ac:dyDescent="0.2">
      <c r="B1105" t="str">
        <f>IFERROR(IF('PDCA review'!$D$2=Plan!B1106,Plan!G1106,""),"")</f>
        <v/>
      </c>
      <c r="C1105">
        <f t="shared" si="51"/>
        <v>0</v>
      </c>
      <c r="D1105">
        <f>SUM($C$3:C1105)</f>
        <v>7</v>
      </c>
      <c r="E1105" t="e">
        <f t="shared" si="52"/>
        <v>#N/A</v>
      </c>
      <c r="F1105" s="28" t="str">
        <f t="shared" ca="1" si="53"/>
        <v/>
      </c>
    </row>
    <row r="1106" spans="2:6" x14ac:dyDescent="0.2">
      <c r="B1106" t="str">
        <f>IFERROR(IF('PDCA review'!$D$2=Plan!B1107,Plan!G1107,""),"")</f>
        <v/>
      </c>
      <c r="C1106">
        <f t="shared" si="51"/>
        <v>0</v>
      </c>
      <c r="D1106">
        <f>SUM($C$3:C1106)</f>
        <v>7</v>
      </c>
      <c r="E1106" t="e">
        <f t="shared" si="52"/>
        <v>#N/A</v>
      </c>
      <c r="F1106" s="28" t="str">
        <f t="shared" ca="1" si="53"/>
        <v/>
      </c>
    </row>
    <row r="1107" spans="2:6" x14ac:dyDescent="0.2">
      <c r="B1107" t="str">
        <f>IFERROR(IF('PDCA review'!$D$2=Plan!B1108,Plan!G1108,""),"")</f>
        <v/>
      </c>
      <c r="C1107">
        <f t="shared" si="51"/>
        <v>0</v>
      </c>
      <c r="D1107">
        <f>SUM($C$3:C1107)</f>
        <v>7</v>
      </c>
      <c r="E1107" t="e">
        <f t="shared" si="52"/>
        <v>#N/A</v>
      </c>
      <c r="F1107" s="28" t="str">
        <f t="shared" ca="1" si="53"/>
        <v/>
      </c>
    </row>
    <row r="1108" spans="2:6" x14ac:dyDescent="0.2">
      <c r="B1108" t="str">
        <f>IFERROR(IF('PDCA review'!$D$2=Plan!B1109,Plan!G1109,""),"")</f>
        <v/>
      </c>
      <c r="C1108">
        <f t="shared" si="51"/>
        <v>0</v>
      </c>
      <c r="D1108">
        <f>SUM($C$3:C1108)</f>
        <v>7</v>
      </c>
      <c r="E1108" t="e">
        <f t="shared" si="52"/>
        <v>#N/A</v>
      </c>
      <c r="F1108" s="28" t="str">
        <f t="shared" ca="1" si="53"/>
        <v/>
      </c>
    </row>
    <row r="1109" spans="2:6" x14ac:dyDescent="0.2">
      <c r="B1109" t="str">
        <f>IFERROR(IF('PDCA review'!$D$2=Plan!B1110,Plan!G1110,""),"")</f>
        <v/>
      </c>
      <c r="C1109">
        <f t="shared" si="51"/>
        <v>0</v>
      </c>
      <c r="D1109">
        <f>SUM($C$3:C1109)</f>
        <v>7</v>
      </c>
      <c r="E1109" t="e">
        <f t="shared" si="52"/>
        <v>#N/A</v>
      </c>
      <c r="F1109" s="28" t="str">
        <f t="shared" ca="1" si="53"/>
        <v/>
      </c>
    </row>
    <row r="1110" spans="2:6" x14ac:dyDescent="0.2">
      <c r="B1110" t="str">
        <f>IFERROR(IF('PDCA review'!$D$2=Plan!B1111,Plan!G1111,""),"")</f>
        <v/>
      </c>
      <c r="C1110">
        <f t="shared" si="51"/>
        <v>0</v>
      </c>
      <c r="D1110">
        <f>SUM($C$3:C1110)</f>
        <v>7</v>
      </c>
      <c r="E1110" t="e">
        <f t="shared" si="52"/>
        <v>#N/A</v>
      </c>
      <c r="F1110" s="28" t="str">
        <f t="shared" ca="1" si="53"/>
        <v/>
      </c>
    </row>
    <row r="1111" spans="2:6" x14ac:dyDescent="0.2">
      <c r="B1111" t="str">
        <f>IFERROR(IF('PDCA review'!$D$2=Plan!B1112,Plan!G1112,""),"")</f>
        <v/>
      </c>
      <c r="C1111">
        <f t="shared" si="51"/>
        <v>0</v>
      </c>
      <c r="D1111">
        <f>SUM($C$3:C1111)</f>
        <v>7</v>
      </c>
      <c r="E1111" t="e">
        <f t="shared" si="52"/>
        <v>#N/A</v>
      </c>
      <c r="F1111" s="28" t="str">
        <f t="shared" ca="1" si="53"/>
        <v/>
      </c>
    </row>
    <row r="1112" spans="2:6" x14ac:dyDescent="0.2">
      <c r="B1112" t="str">
        <f>IFERROR(IF('PDCA review'!$D$2=Plan!B1113,Plan!G1113,""),"")</f>
        <v/>
      </c>
      <c r="C1112">
        <f t="shared" si="51"/>
        <v>0</v>
      </c>
      <c r="D1112">
        <f>SUM($C$3:C1112)</f>
        <v>7</v>
      </c>
      <c r="E1112" t="e">
        <f t="shared" si="52"/>
        <v>#N/A</v>
      </c>
      <c r="F1112" s="28" t="str">
        <f t="shared" ca="1" si="53"/>
        <v/>
      </c>
    </row>
    <row r="1113" spans="2:6" x14ac:dyDescent="0.2">
      <c r="B1113" t="str">
        <f>IFERROR(IF('PDCA review'!$D$2=Plan!B1114,Plan!G1114,""),"")</f>
        <v/>
      </c>
      <c r="C1113">
        <f t="shared" si="51"/>
        <v>0</v>
      </c>
      <c r="D1113">
        <f>SUM($C$3:C1113)</f>
        <v>7</v>
      </c>
      <c r="E1113" t="e">
        <f t="shared" si="52"/>
        <v>#N/A</v>
      </c>
      <c r="F1113" s="28" t="str">
        <f t="shared" ca="1" si="53"/>
        <v/>
      </c>
    </row>
    <row r="1114" spans="2:6" x14ac:dyDescent="0.2">
      <c r="B1114" t="str">
        <f>IFERROR(IF('PDCA review'!$D$2=Plan!B1115,Plan!G1115,""),"")</f>
        <v/>
      </c>
      <c r="C1114">
        <f t="shared" si="51"/>
        <v>0</v>
      </c>
      <c r="D1114">
        <f>SUM($C$3:C1114)</f>
        <v>7</v>
      </c>
      <c r="E1114" t="e">
        <f t="shared" si="52"/>
        <v>#N/A</v>
      </c>
      <c r="F1114" s="28" t="str">
        <f t="shared" ca="1" si="53"/>
        <v/>
      </c>
    </row>
    <row r="1115" spans="2:6" x14ac:dyDescent="0.2">
      <c r="B1115" t="str">
        <f>IFERROR(IF('PDCA review'!$D$2=Plan!B1116,Plan!G1116,""),"")</f>
        <v/>
      </c>
      <c r="C1115">
        <f t="shared" si="51"/>
        <v>0</v>
      </c>
      <c r="D1115">
        <f>SUM($C$3:C1115)</f>
        <v>7</v>
      </c>
      <c r="E1115" t="e">
        <f t="shared" si="52"/>
        <v>#N/A</v>
      </c>
      <c r="F1115" s="28" t="str">
        <f t="shared" ca="1" si="53"/>
        <v/>
      </c>
    </row>
    <row r="1116" spans="2:6" x14ac:dyDescent="0.2">
      <c r="B1116" t="str">
        <f>IFERROR(IF('PDCA review'!$D$2=Plan!B1117,Plan!G1117,""),"")</f>
        <v/>
      </c>
      <c r="C1116">
        <f t="shared" si="51"/>
        <v>0</v>
      </c>
      <c r="D1116">
        <f>SUM($C$3:C1116)</f>
        <v>7</v>
      </c>
      <c r="E1116" t="e">
        <f t="shared" si="52"/>
        <v>#N/A</v>
      </c>
      <c r="F1116" s="28" t="str">
        <f t="shared" ca="1" si="53"/>
        <v/>
      </c>
    </row>
    <row r="1117" spans="2:6" x14ac:dyDescent="0.2">
      <c r="B1117" t="str">
        <f>IFERROR(IF('PDCA review'!$D$2=Plan!B1118,Plan!G1118,""),"")</f>
        <v/>
      </c>
      <c r="C1117">
        <f t="shared" si="51"/>
        <v>0</v>
      </c>
      <c r="D1117">
        <f>SUM($C$3:C1117)</f>
        <v>7</v>
      </c>
      <c r="E1117" t="e">
        <f t="shared" si="52"/>
        <v>#N/A</v>
      </c>
      <c r="F1117" s="28" t="str">
        <f t="shared" ca="1" si="53"/>
        <v/>
      </c>
    </row>
    <row r="1118" spans="2:6" x14ac:dyDescent="0.2">
      <c r="B1118" t="str">
        <f>IFERROR(IF('PDCA review'!$D$2=Plan!B1119,Plan!G1119,""),"")</f>
        <v/>
      </c>
      <c r="C1118">
        <f t="shared" si="51"/>
        <v>0</v>
      </c>
      <c r="D1118">
        <f>SUM($C$3:C1118)</f>
        <v>7</v>
      </c>
      <c r="E1118" t="e">
        <f t="shared" si="52"/>
        <v>#N/A</v>
      </c>
      <c r="F1118" s="28" t="str">
        <f t="shared" ca="1" si="53"/>
        <v/>
      </c>
    </row>
    <row r="1119" spans="2:6" x14ac:dyDescent="0.2">
      <c r="B1119" t="str">
        <f>IFERROR(IF('PDCA review'!$D$2=Plan!B1120,Plan!G1120,""),"")</f>
        <v/>
      </c>
      <c r="C1119">
        <f t="shared" si="51"/>
        <v>0</v>
      </c>
      <c r="D1119">
        <f>SUM($C$3:C1119)</f>
        <v>7</v>
      </c>
      <c r="E1119" t="e">
        <f t="shared" si="52"/>
        <v>#N/A</v>
      </c>
      <c r="F1119" s="28" t="str">
        <f t="shared" ca="1" si="53"/>
        <v/>
      </c>
    </row>
    <row r="1120" spans="2:6" x14ac:dyDescent="0.2">
      <c r="B1120" t="str">
        <f>IFERROR(IF('PDCA review'!$D$2=Plan!B1121,Plan!G1121,""),"")</f>
        <v/>
      </c>
      <c r="C1120">
        <f t="shared" si="51"/>
        <v>0</v>
      </c>
      <c r="D1120">
        <f>SUM($C$3:C1120)</f>
        <v>7</v>
      </c>
      <c r="E1120" t="e">
        <f t="shared" si="52"/>
        <v>#N/A</v>
      </c>
      <c r="F1120" s="28" t="str">
        <f t="shared" ca="1" si="53"/>
        <v/>
      </c>
    </row>
    <row r="1121" spans="2:6" x14ac:dyDescent="0.2">
      <c r="B1121" t="str">
        <f>IFERROR(IF('PDCA review'!$D$2=Plan!B1122,Plan!G1122,""),"")</f>
        <v/>
      </c>
      <c r="C1121">
        <f t="shared" si="51"/>
        <v>0</v>
      </c>
      <c r="D1121">
        <f>SUM($C$3:C1121)</f>
        <v>7</v>
      </c>
      <c r="E1121" t="e">
        <f t="shared" si="52"/>
        <v>#N/A</v>
      </c>
      <c r="F1121" s="28" t="str">
        <f t="shared" ca="1" si="53"/>
        <v/>
      </c>
    </row>
    <row r="1122" spans="2:6" x14ac:dyDescent="0.2">
      <c r="B1122" t="str">
        <f>IFERROR(IF('PDCA review'!$D$2=Plan!B1123,Plan!G1123,""),"")</f>
        <v/>
      </c>
      <c r="C1122">
        <f t="shared" si="51"/>
        <v>0</v>
      </c>
      <c r="D1122">
        <f>SUM($C$3:C1122)</f>
        <v>7</v>
      </c>
      <c r="E1122" t="e">
        <f t="shared" si="52"/>
        <v>#N/A</v>
      </c>
      <c r="F1122" s="28" t="str">
        <f t="shared" ca="1" si="53"/>
        <v/>
      </c>
    </row>
    <row r="1123" spans="2:6" x14ac:dyDescent="0.2">
      <c r="B1123" t="str">
        <f>IFERROR(IF('PDCA review'!$D$2=Plan!B1124,Plan!G1124,""),"")</f>
        <v/>
      </c>
      <c r="C1123">
        <f t="shared" si="51"/>
        <v>0</v>
      </c>
      <c r="D1123">
        <f>SUM($C$3:C1123)</f>
        <v>7</v>
      </c>
      <c r="E1123" t="e">
        <f t="shared" si="52"/>
        <v>#N/A</v>
      </c>
      <c r="F1123" s="28" t="str">
        <f t="shared" ca="1" si="53"/>
        <v/>
      </c>
    </row>
    <row r="1124" spans="2:6" x14ac:dyDescent="0.2">
      <c r="B1124" t="str">
        <f>IFERROR(IF('PDCA review'!$D$2=Plan!B1125,Plan!G1125,""),"")</f>
        <v/>
      </c>
      <c r="C1124">
        <f t="shared" si="51"/>
        <v>0</v>
      </c>
      <c r="D1124">
        <f>SUM($C$3:C1124)</f>
        <v>7</v>
      </c>
      <c r="E1124" t="e">
        <f t="shared" si="52"/>
        <v>#N/A</v>
      </c>
      <c r="F1124" s="28" t="str">
        <f t="shared" ca="1" si="53"/>
        <v/>
      </c>
    </row>
    <row r="1125" spans="2:6" x14ac:dyDescent="0.2">
      <c r="B1125" t="str">
        <f>IFERROR(IF('PDCA review'!$D$2=Plan!B1126,Plan!G1126,""),"")</f>
        <v/>
      </c>
      <c r="C1125">
        <f t="shared" si="51"/>
        <v>0</v>
      </c>
      <c r="D1125">
        <f>SUM($C$3:C1125)</f>
        <v>7</v>
      </c>
      <c r="E1125" t="e">
        <f t="shared" si="52"/>
        <v>#N/A</v>
      </c>
      <c r="F1125" s="28" t="str">
        <f t="shared" ca="1" si="53"/>
        <v/>
      </c>
    </row>
    <row r="1126" spans="2:6" x14ac:dyDescent="0.2">
      <c r="B1126" t="str">
        <f>IFERROR(IF('PDCA review'!$D$2=Plan!B1127,Plan!G1127,""),"")</f>
        <v/>
      </c>
      <c r="C1126">
        <f t="shared" si="51"/>
        <v>0</v>
      </c>
      <c r="D1126">
        <f>SUM($C$3:C1126)</f>
        <v>7</v>
      </c>
      <c r="E1126" t="e">
        <f t="shared" si="52"/>
        <v>#N/A</v>
      </c>
      <c r="F1126" s="28" t="str">
        <f t="shared" ca="1" si="53"/>
        <v/>
      </c>
    </row>
    <row r="1127" spans="2:6" x14ac:dyDescent="0.2">
      <c r="B1127" t="str">
        <f>IFERROR(IF('PDCA review'!$D$2=Plan!B1128,Plan!G1128,""),"")</f>
        <v/>
      </c>
      <c r="C1127">
        <f t="shared" si="51"/>
        <v>0</v>
      </c>
      <c r="D1127">
        <f>SUM($C$3:C1127)</f>
        <v>7</v>
      </c>
      <c r="E1127" t="e">
        <f t="shared" si="52"/>
        <v>#N/A</v>
      </c>
      <c r="F1127" s="28" t="str">
        <f t="shared" ca="1" si="53"/>
        <v/>
      </c>
    </row>
    <row r="1128" spans="2:6" x14ac:dyDescent="0.2">
      <c r="B1128" t="str">
        <f>IFERROR(IF('PDCA review'!$D$2=Plan!B1129,Plan!G1129,""),"")</f>
        <v/>
      </c>
      <c r="C1128">
        <f t="shared" si="51"/>
        <v>0</v>
      </c>
      <c r="D1128">
        <f>SUM($C$3:C1128)</f>
        <v>7</v>
      </c>
      <c r="E1128" t="e">
        <f t="shared" si="52"/>
        <v>#N/A</v>
      </c>
      <c r="F1128" s="28" t="str">
        <f t="shared" ca="1" si="53"/>
        <v/>
      </c>
    </row>
    <row r="1129" spans="2:6" x14ac:dyDescent="0.2">
      <c r="B1129" t="str">
        <f>IFERROR(IF('PDCA review'!$D$2=Plan!B1130,Plan!G1130,""),"")</f>
        <v/>
      </c>
      <c r="C1129">
        <f t="shared" si="51"/>
        <v>0</v>
      </c>
      <c r="D1129">
        <f>SUM($C$3:C1129)</f>
        <v>7</v>
      </c>
      <c r="E1129" t="e">
        <f t="shared" si="52"/>
        <v>#N/A</v>
      </c>
      <c r="F1129" s="28" t="str">
        <f t="shared" ca="1" si="53"/>
        <v/>
      </c>
    </row>
    <row r="1130" spans="2:6" x14ac:dyDescent="0.2">
      <c r="B1130" t="str">
        <f>IFERROR(IF('PDCA review'!$D$2=Plan!B1131,Plan!G1131,""),"")</f>
        <v/>
      </c>
      <c r="C1130">
        <f t="shared" si="51"/>
        <v>0</v>
      </c>
      <c r="D1130">
        <f>SUM($C$3:C1130)</f>
        <v>7</v>
      </c>
      <c r="E1130" t="e">
        <f t="shared" si="52"/>
        <v>#N/A</v>
      </c>
      <c r="F1130" s="28" t="str">
        <f t="shared" ca="1" si="53"/>
        <v/>
      </c>
    </row>
    <row r="1131" spans="2:6" x14ac:dyDescent="0.2">
      <c r="B1131" t="str">
        <f>IFERROR(IF('PDCA review'!$D$2=Plan!B1132,Plan!G1132,""),"")</f>
        <v/>
      </c>
      <c r="C1131">
        <f t="shared" si="51"/>
        <v>0</v>
      </c>
      <c r="D1131">
        <f>SUM($C$3:C1131)</f>
        <v>7</v>
      </c>
      <c r="E1131" t="e">
        <f t="shared" si="52"/>
        <v>#N/A</v>
      </c>
      <c r="F1131" s="28" t="str">
        <f t="shared" ca="1" si="53"/>
        <v/>
      </c>
    </row>
    <row r="1132" spans="2:6" x14ac:dyDescent="0.2">
      <c r="B1132" t="str">
        <f>IFERROR(IF('PDCA review'!$D$2=Plan!B1133,Plan!G1133,""),"")</f>
        <v/>
      </c>
      <c r="C1132">
        <f t="shared" si="51"/>
        <v>0</v>
      </c>
      <c r="D1132">
        <f>SUM($C$3:C1132)</f>
        <v>7</v>
      </c>
      <c r="E1132" t="e">
        <f t="shared" si="52"/>
        <v>#N/A</v>
      </c>
      <c r="F1132" s="28" t="str">
        <f t="shared" ca="1" si="53"/>
        <v/>
      </c>
    </row>
    <row r="1133" spans="2:6" x14ac:dyDescent="0.2">
      <c r="B1133" t="str">
        <f>IFERROR(IF('PDCA review'!$D$2=Plan!B1134,Plan!G1134,""),"")</f>
        <v/>
      </c>
      <c r="C1133">
        <f t="shared" si="51"/>
        <v>0</v>
      </c>
      <c r="D1133">
        <f>SUM($C$3:C1133)</f>
        <v>7</v>
      </c>
      <c r="E1133" t="e">
        <f t="shared" si="52"/>
        <v>#N/A</v>
      </c>
      <c r="F1133" s="28" t="str">
        <f t="shared" ca="1" si="53"/>
        <v/>
      </c>
    </row>
    <row r="1134" spans="2:6" x14ac:dyDescent="0.2">
      <c r="B1134" t="str">
        <f>IFERROR(IF('PDCA review'!$D$2=Plan!B1135,Plan!G1135,""),"")</f>
        <v/>
      </c>
      <c r="C1134">
        <f t="shared" si="51"/>
        <v>0</v>
      </c>
      <c r="D1134">
        <f>SUM($C$3:C1134)</f>
        <v>7</v>
      </c>
      <c r="E1134" t="e">
        <f t="shared" si="52"/>
        <v>#N/A</v>
      </c>
      <c r="F1134" s="28" t="str">
        <f t="shared" ca="1" si="53"/>
        <v/>
      </c>
    </row>
    <row r="1135" spans="2:6" x14ac:dyDescent="0.2">
      <c r="B1135" t="str">
        <f>IFERROR(IF('PDCA review'!$D$2=Plan!B1136,Plan!G1136,""),"")</f>
        <v/>
      </c>
      <c r="C1135">
        <f t="shared" si="51"/>
        <v>0</v>
      </c>
      <c r="D1135">
        <f>SUM($C$3:C1135)</f>
        <v>7</v>
      </c>
      <c r="E1135" t="e">
        <f t="shared" si="52"/>
        <v>#N/A</v>
      </c>
      <c r="F1135" s="28" t="str">
        <f t="shared" ca="1" si="53"/>
        <v/>
      </c>
    </row>
    <row r="1136" spans="2:6" x14ac:dyDescent="0.2">
      <c r="B1136" t="str">
        <f>IFERROR(IF('PDCA review'!$D$2=Plan!B1137,Plan!G1137,""),"")</f>
        <v/>
      </c>
      <c r="C1136">
        <f t="shared" si="51"/>
        <v>0</v>
      </c>
      <c r="D1136">
        <f>SUM($C$3:C1136)</f>
        <v>7</v>
      </c>
      <c r="E1136" t="e">
        <f t="shared" si="52"/>
        <v>#N/A</v>
      </c>
      <c r="F1136" s="28" t="str">
        <f t="shared" ca="1" si="53"/>
        <v/>
      </c>
    </row>
    <row r="1137" spans="2:6" x14ac:dyDescent="0.2">
      <c r="B1137" t="str">
        <f>IFERROR(IF('PDCA review'!$D$2=Plan!B1138,Plan!G1138,""),"")</f>
        <v/>
      </c>
      <c r="C1137">
        <f t="shared" si="51"/>
        <v>0</v>
      </c>
      <c r="D1137">
        <f>SUM($C$3:C1137)</f>
        <v>7</v>
      </c>
      <c r="E1137" t="e">
        <f t="shared" si="52"/>
        <v>#N/A</v>
      </c>
      <c r="F1137" s="28" t="str">
        <f t="shared" ca="1" si="53"/>
        <v/>
      </c>
    </row>
    <row r="1138" spans="2:6" x14ac:dyDescent="0.2">
      <c r="B1138" t="str">
        <f>IFERROR(IF('PDCA review'!$D$2=Plan!B1139,Plan!G1139,""),"")</f>
        <v/>
      </c>
      <c r="C1138">
        <f t="shared" si="51"/>
        <v>0</v>
      </c>
      <c r="D1138">
        <f>SUM($C$3:C1138)</f>
        <v>7</v>
      </c>
      <c r="E1138" t="e">
        <f t="shared" si="52"/>
        <v>#N/A</v>
      </c>
      <c r="F1138" s="28" t="str">
        <f t="shared" ca="1" si="53"/>
        <v/>
      </c>
    </row>
    <row r="1139" spans="2:6" x14ac:dyDescent="0.2">
      <c r="B1139" t="str">
        <f>IFERROR(IF('PDCA review'!$D$2=Plan!B1140,Plan!G1140,""),"")</f>
        <v/>
      </c>
      <c r="C1139">
        <f t="shared" si="51"/>
        <v>0</v>
      </c>
      <c r="D1139">
        <f>SUM($C$3:C1139)</f>
        <v>7</v>
      </c>
      <c r="E1139" t="e">
        <f t="shared" si="52"/>
        <v>#N/A</v>
      </c>
      <c r="F1139" s="28" t="str">
        <f t="shared" ca="1" si="53"/>
        <v/>
      </c>
    </row>
    <row r="1140" spans="2:6" x14ac:dyDescent="0.2">
      <c r="B1140" t="str">
        <f>IFERROR(IF('PDCA review'!$D$2=Plan!B1141,Plan!G1141,""),"")</f>
        <v/>
      </c>
      <c r="C1140">
        <f t="shared" si="51"/>
        <v>0</v>
      </c>
      <c r="D1140">
        <f>SUM($C$3:C1140)</f>
        <v>7</v>
      </c>
      <c r="E1140" t="e">
        <f t="shared" si="52"/>
        <v>#N/A</v>
      </c>
      <c r="F1140" s="28" t="str">
        <f t="shared" ca="1" si="53"/>
        <v/>
      </c>
    </row>
    <row r="1141" spans="2:6" x14ac:dyDescent="0.2">
      <c r="B1141" t="str">
        <f>IFERROR(IF('PDCA review'!$D$2=Plan!B1142,Plan!G1142,""),"")</f>
        <v/>
      </c>
      <c r="C1141">
        <f t="shared" si="51"/>
        <v>0</v>
      </c>
      <c r="D1141">
        <f>SUM($C$3:C1141)</f>
        <v>7</v>
      </c>
      <c r="E1141" t="e">
        <f t="shared" si="52"/>
        <v>#N/A</v>
      </c>
      <c r="F1141" s="28" t="str">
        <f t="shared" ca="1" si="53"/>
        <v/>
      </c>
    </row>
    <row r="1142" spans="2:6" x14ac:dyDescent="0.2">
      <c r="B1142" t="str">
        <f>IFERROR(IF('PDCA review'!$D$2=Plan!B1143,Plan!G1143,""),"")</f>
        <v/>
      </c>
      <c r="C1142">
        <f t="shared" si="51"/>
        <v>0</v>
      </c>
      <c r="D1142">
        <f>SUM($C$3:C1142)</f>
        <v>7</v>
      </c>
      <c r="E1142" t="e">
        <f t="shared" si="52"/>
        <v>#N/A</v>
      </c>
      <c r="F1142" s="28" t="str">
        <f t="shared" ca="1" si="53"/>
        <v/>
      </c>
    </row>
    <row r="1143" spans="2:6" x14ac:dyDescent="0.2">
      <c r="B1143" t="str">
        <f>IFERROR(IF('PDCA review'!$D$2=Plan!B1144,Plan!G1144,""),"")</f>
        <v/>
      </c>
      <c r="C1143">
        <f t="shared" si="51"/>
        <v>0</v>
      </c>
      <c r="D1143">
        <f>SUM($C$3:C1143)</f>
        <v>7</v>
      </c>
      <c r="E1143" t="e">
        <f t="shared" si="52"/>
        <v>#N/A</v>
      </c>
      <c r="F1143" s="28" t="str">
        <f t="shared" ca="1" si="53"/>
        <v/>
      </c>
    </row>
    <row r="1144" spans="2:6" x14ac:dyDescent="0.2">
      <c r="B1144" t="str">
        <f>IFERROR(IF('PDCA review'!$D$2=Plan!B1145,Plan!G1145,""),"")</f>
        <v/>
      </c>
      <c r="C1144">
        <f t="shared" si="51"/>
        <v>0</v>
      </c>
      <c r="D1144">
        <f>SUM($C$3:C1144)</f>
        <v>7</v>
      </c>
      <c r="E1144" t="e">
        <f t="shared" si="52"/>
        <v>#N/A</v>
      </c>
      <c r="F1144" s="28" t="str">
        <f t="shared" ca="1" si="53"/>
        <v/>
      </c>
    </row>
    <row r="1145" spans="2:6" x14ac:dyDescent="0.2">
      <c r="B1145" t="str">
        <f>IFERROR(IF('PDCA review'!$D$2=Plan!B1146,Plan!G1146,""),"")</f>
        <v/>
      </c>
      <c r="C1145">
        <f t="shared" si="51"/>
        <v>0</v>
      </c>
      <c r="D1145">
        <f>SUM($C$3:C1145)</f>
        <v>7</v>
      </c>
      <c r="E1145" t="e">
        <f t="shared" si="52"/>
        <v>#N/A</v>
      </c>
      <c r="F1145" s="28" t="str">
        <f t="shared" ca="1" si="53"/>
        <v/>
      </c>
    </row>
    <row r="1146" spans="2:6" x14ac:dyDescent="0.2">
      <c r="B1146" t="str">
        <f>IFERROR(IF('PDCA review'!$D$2=Plan!B1147,Plan!G1147,""),"")</f>
        <v/>
      </c>
      <c r="C1146">
        <f t="shared" si="51"/>
        <v>0</v>
      </c>
      <c r="D1146">
        <f>SUM($C$3:C1146)</f>
        <v>7</v>
      </c>
      <c r="E1146" t="e">
        <f t="shared" si="52"/>
        <v>#N/A</v>
      </c>
      <c r="F1146" s="28" t="str">
        <f t="shared" ca="1" si="53"/>
        <v/>
      </c>
    </row>
    <row r="1147" spans="2:6" x14ac:dyDescent="0.2">
      <c r="B1147" t="str">
        <f>IFERROR(IF('PDCA review'!$D$2=Plan!B1148,Plan!G1148,""),"")</f>
        <v/>
      </c>
      <c r="C1147">
        <f t="shared" si="51"/>
        <v>0</v>
      </c>
      <c r="D1147">
        <f>SUM($C$3:C1147)</f>
        <v>7</v>
      </c>
      <c r="E1147" t="e">
        <f t="shared" si="52"/>
        <v>#N/A</v>
      </c>
      <c r="F1147" s="28" t="str">
        <f t="shared" ca="1" si="53"/>
        <v/>
      </c>
    </row>
    <row r="1148" spans="2:6" x14ac:dyDescent="0.2">
      <c r="B1148" t="str">
        <f>IFERROR(IF('PDCA review'!$D$2=Plan!B1149,Plan!G1149,""),"")</f>
        <v/>
      </c>
      <c r="C1148">
        <f t="shared" si="51"/>
        <v>0</v>
      </c>
      <c r="D1148">
        <f>SUM($C$3:C1148)</f>
        <v>7</v>
      </c>
      <c r="E1148" t="e">
        <f t="shared" si="52"/>
        <v>#N/A</v>
      </c>
      <c r="F1148" s="28" t="str">
        <f t="shared" ca="1" si="53"/>
        <v/>
      </c>
    </row>
    <row r="1149" spans="2:6" x14ac:dyDescent="0.2">
      <c r="B1149" t="str">
        <f>IFERROR(IF('PDCA review'!$D$2=Plan!B1150,Plan!G1150,""),"")</f>
        <v/>
      </c>
      <c r="C1149">
        <f t="shared" si="51"/>
        <v>0</v>
      </c>
      <c r="D1149">
        <f>SUM($C$3:C1149)</f>
        <v>7</v>
      </c>
      <c r="E1149" t="e">
        <f t="shared" si="52"/>
        <v>#N/A</v>
      </c>
      <c r="F1149" s="28" t="str">
        <f t="shared" ca="1" si="53"/>
        <v/>
      </c>
    </row>
    <row r="1150" spans="2:6" x14ac:dyDescent="0.2">
      <c r="B1150" t="str">
        <f>IFERROR(IF('PDCA review'!$D$2=Plan!B1151,Plan!G1151,""),"")</f>
        <v/>
      </c>
      <c r="C1150">
        <f t="shared" si="51"/>
        <v>0</v>
      </c>
      <c r="D1150">
        <f>SUM($C$3:C1150)</f>
        <v>7</v>
      </c>
      <c r="E1150" t="e">
        <f t="shared" si="52"/>
        <v>#N/A</v>
      </c>
      <c r="F1150" s="28" t="str">
        <f t="shared" ca="1" si="53"/>
        <v/>
      </c>
    </row>
    <row r="1151" spans="2:6" x14ac:dyDescent="0.2">
      <c r="B1151" t="str">
        <f>IFERROR(IF('PDCA review'!$D$2=Plan!B1152,Plan!G1152,""),"")</f>
        <v/>
      </c>
      <c r="C1151">
        <f t="shared" si="51"/>
        <v>0</v>
      </c>
      <c r="D1151">
        <f>SUM($C$3:C1151)</f>
        <v>7</v>
      </c>
      <c r="E1151" t="e">
        <f t="shared" si="52"/>
        <v>#N/A</v>
      </c>
      <c r="F1151" s="28" t="str">
        <f t="shared" ca="1" si="53"/>
        <v/>
      </c>
    </row>
    <row r="1152" spans="2:6" x14ac:dyDescent="0.2">
      <c r="B1152" t="str">
        <f>IFERROR(IF('PDCA review'!$D$2=Plan!B1153,Plan!G1153,""),"")</f>
        <v/>
      </c>
      <c r="C1152">
        <f t="shared" si="51"/>
        <v>0</v>
      </c>
      <c r="D1152">
        <f>SUM($C$3:C1152)</f>
        <v>7</v>
      </c>
      <c r="E1152" t="e">
        <f t="shared" si="52"/>
        <v>#N/A</v>
      </c>
      <c r="F1152" s="28" t="str">
        <f t="shared" ca="1" si="53"/>
        <v/>
      </c>
    </row>
    <row r="1153" spans="2:6" x14ac:dyDescent="0.2">
      <c r="B1153" t="str">
        <f>IFERROR(IF('PDCA review'!$D$2=Plan!B1154,Plan!G1154,""),"")</f>
        <v/>
      </c>
      <c r="C1153">
        <f t="shared" si="51"/>
        <v>0</v>
      </c>
      <c r="D1153">
        <f>SUM($C$3:C1153)</f>
        <v>7</v>
      </c>
      <c r="E1153" t="e">
        <f t="shared" si="52"/>
        <v>#N/A</v>
      </c>
      <c r="F1153" s="28" t="str">
        <f t="shared" ca="1" si="53"/>
        <v/>
      </c>
    </row>
    <row r="1154" spans="2:6" x14ac:dyDescent="0.2">
      <c r="B1154" t="str">
        <f>IFERROR(IF('PDCA review'!$D$2=Plan!B1155,Plan!G1155,""),"")</f>
        <v/>
      </c>
      <c r="C1154">
        <f t="shared" si="51"/>
        <v>0</v>
      </c>
      <c r="D1154">
        <f>SUM($C$3:C1154)</f>
        <v>7</v>
      </c>
      <c r="E1154" t="e">
        <f t="shared" si="52"/>
        <v>#N/A</v>
      </c>
      <c r="F1154" s="28" t="str">
        <f t="shared" ca="1" si="53"/>
        <v/>
      </c>
    </row>
    <row r="1155" spans="2:6" x14ac:dyDescent="0.2">
      <c r="B1155" t="str">
        <f>IFERROR(IF('PDCA review'!$D$2=Plan!B1156,Plan!G1156,""),"")</f>
        <v/>
      </c>
      <c r="C1155">
        <f t="shared" si="51"/>
        <v>0</v>
      </c>
      <c r="D1155">
        <f>SUM($C$3:C1155)</f>
        <v>7</v>
      </c>
      <c r="E1155" t="e">
        <f t="shared" si="52"/>
        <v>#N/A</v>
      </c>
      <c r="F1155" s="28" t="str">
        <f t="shared" ca="1" si="53"/>
        <v/>
      </c>
    </row>
    <row r="1156" spans="2:6" x14ac:dyDescent="0.2">
      <c r="B1156" t="str">
        <f>IFERROR(IF('PDCA review'!$D$2=Plan!B1157,Plan!G1157,""),"")</f>
        <v/>
      </c>
      <c r="C1156">
        <f t="shared" ref="C1156:C1219" si="54">IF(B1156&lt;&gt;"",1,0)</f>
        <v>0</v>
      </c>
      <c r="D1156">
        <f>SUM($C$3:C1156)</f>
        <v>7</v>
      </c>
      <c r="E1156" t="e">
        <f t="shared" ref="E1156:E1219" si="55">MATCH(ROW()-$D$2,$D$3:$D$2000,0)+$D$2</f>
        <v>#N/A</v>
      </c>
      <c r="F1156" s="28" t="str">
        <f t="shared" ref="F1156:F1219" ca="1" si="56">IFERROR(INDIRECT("B"&amp;E1156),"")</f>
        <v/>
      </c>
    </row>
    <row r="1157" spans="2:6" x14ac:dyDescent="0.2">
      <c r="B1157" t="str">
        <f>IFERROR(IF('PDCA review'!$D$2=Plan!B1158,Plan!G1158,""),"")</f>
        <v/>
      </c>
      <c r="C1157">
        <f t="shared" si="54"/>
        <v>0</v>
      </c>
      <c r="D1157">
        <f>SUM($C$3:C1157)</f>
        <v>7</v>
      </c>
      <c r="E1157" t="e">
        <f t="shared" si="55"/>
        <v>#N/A</v>
      </c>
      <c r="F1157" s="28" t="str">
        <f t="shared" ca="1" si="56"/>
        <v/>
      </c>
    </row>
    <row r="1158" spans="2:6" x14ac:dyDescent="0.2">
      <c r="B1158" t="str">
        <f>IFERROR(IF('PDCA review'!$D$2=Plan!B1159,Plan!G1159,""),"")</f>
        <v/>
      </c>
      <c r="C1158">
        <f t="shared" si="54"/>
        <v>0</v>
      </c>
      <c r="D1158">
        <f>SUM($C$3:C1158)</f>
        <v>7</v>
      </c>
      <c r="E1158" t="e">
        <f t="shared" si="55"/>
        <v>#N/A</v>
      </c>
      <c r="F1158" s="28" t="str">
        <f t="shared" ca="1" si="56"/>
        <v/>
      </c>
    </row>
    <row r="1159" spans="2:6" x14ac:dyDescent="0.2">
      <c r="B1159" t="str">
        <f>IFERROR(IF('PDCA review'!$D$2=Plan!B1160,Plan!G1160,""),"")</f>
        <v/>
      </c>
      <c r="C1159">
        <f t="shared" si="54"/>
        <v>0</v>
      </c>
      <c r="D1159">
        <f>SUM($C$3:C1159)</f>
        <v>7</v>
      </c>
      <c r="E1159" t="e">
        <f t="shared" si="55"/>
        <v>#N/A</v>
      </c>
      <c r="F1159" s="28" t="str">
        <f t="shared" ca="1" si="56"/>
        <v/>
      </c>
    </row>
    <row r="1160" spans="2:6" x14ac:dyDescent="0.2">
      <c r="B1160" t="str">
        <f>IFERROR(IF('PDCA review'!$D$2=Plan!B1161,Plan!G1161,""),"")</f>
        <v/>
      </c>
      <c r="C1160">
        <f t="shared" si="54"/>
        <v>0</v>
      </c>
      <c r="D1160">
        <f>SUM($C$3:C1160)</f>
        <v>7</v>
      </c>
      <c r="E1160" t="e">
        <f t="shared" si="55"/>
        <v>#N/A</v>
      </c>
      <c r="F1160" s="28" t="str">
        <f t="shared" ca="1" si="56"/>
        <v/>
      </c>
    </row>
    <row r="1161" spans="2:6" x14ac:dyDescent="0.2">
      <c r="B1161" t="str">
        <f>IFERROR(IF('PDCA review'!$D$2=Plan!B1162,Plan!G1162,""),"")</f>
        <v/>
      </c>
      <c r="C1161">
        <f t="shared" si="54"/>
        <v>0</v>
      </c>
      <c r="D1161">
        <f>SUM($C$3:C1161)</f>
        <v>7</v>
      </c>
      <c r="E1161" t="e">
        <f t="shared" si="55"/>
        <v>#N/A</v>
      </c>
      <c r="F1161" s="28" t="str">
        <f t="shared" ca="1" si="56"/>
        <v/>
      </c>
    </row>
    <row r="1162" spans="2:6" x14ac:dyDescent="0.2">
      <c r="B1162" t="str">
        <f>IFERROR(IF('PDCA review'!$D$2=Plan!B1163,Plan!G1163,""),"")</f>
        <v/>
      </c>
      <c r="C1162">
        <f t="shared" si="54"/>
        <v>0</v>
      </c>
      <c r="D1162">
        <f>SUM($C$3:C1162)</f>
        <v>7</v>
      </c>
      <c r="E1162" t="e">
        <f t="shared" si="55"/>
        <v>#N/A</v>
      </c>
      <c r="F1162" s="28" t="str">
        <f t="shared" ca="1" si="56"/>
        <v/>
      </c>
    </row>
    <row r="1163" spans="2:6" x14ac:dyDescent="0.2">
      <c r="B1163" t="str">
        <f>IFERROR(IF('PDCA review'!$D$2=Plan!B1164,Plan!G1164,""),"")</f>
        <v/>
      </c>
      <c r="C1163">
        <f t="shared" si="54"/>
        <v>0</v>
      </c>
      <c r="D1163">
        <f>SUM($C$3:C1163)</f>
        <v>7</v>
      </c>
      <c r="E1163" t="e">
        <f t="shared" si="55"/>
        <v>#N/A</v>
      </c>
      <c r="F1163" s="28" t="str">
        <f t="shared" ca="1" si="56"/>
        <v/>
      </c>
    </row>
    <row r="1164" spans="2:6" x14ac:dyDescent="0.2">
      <c r="B1164" t="str">
        <f>IFERROR(IF('PDCA review'!$D$2=Plan!B1165,Plan!G1165,""),"")</f>
        <v/>
      </c>
      <c r="C1164">
        <f t="shared" si="54"/>
        <v>0</v>
      </c>
      <c r="D1164">
        <f>SUM($C$3:C1164)</f>
        <v>7</v>
      </c>
      <c r="E1164" t="e">
        <f t="shared" si="55"/>
        <v>#N/A</v>
      </c>
      <c r="F1164" s="28" t="str">
        <f t="shared" ca="1" si="56"/>
        <v/>
      </c>
    </row>
    <row r="1165" spans="2:6" x14ac:dyDescent="0.2">
      <c r="B1165" t="str">
        <f>IFERROR(IF('PDCA review'!$D$2=Plan!B1166,Plan!G1166,""),"")</f>
        <v/>
      </c>
      <c r="C1165">
        <f t="shared" si="54"/>
        <v>0</v>
      </c>
      <c r="D1165">
        <f>SUM($C$3:C1165)</f>
        <v>7</v>
      </c>
      <c r="E1165" t="e">
        <f t="shared" si="55"/>
        <v>#N/A</v>
      </c>
      <c r="F1165" s="28" t="str">
        <f t="shared" ca="1" si="56"/>
        <v/>
      </c>
    </row>
    <row r="1166" spans="2:6" x14ac:dyDescent="0.2">
      <c r="B1166" t="str">
        <f>IFERROR(IF('PDCA review'!$D$2=Plan!B1167,Plan!G1167,""),"")</f>
        <v/>
      </c>
      <c r="C1166">
        <f t="shared" si="54"/>
        <v>0</v>
      </c>
      <c r="D1166">
        <f>SUM($C$3:C1166)</f>
        <v>7</v>
      </c>
      <c r="E1166" t="e">
        <f t="shared" si="55"/>
        <v>#N/A</v>
      </c>
      <c r="F1166" s="28" t="str">
        <f t="shared" ca="1" si="56"/>
        <v/>
      </c>
    </row>
    <row r="1167" spans="2:6" x14ac:dyDescent="0.2">
      <c r="B1167" t="str">
        <f>IFERROR(IF('PDCA review'!$D$2=Plan!B1168,Plan!G1168,""),"")</f>
        <v/>
      </c>
      <c r="C1167">
        <f t="shared" si="54"/>
        <v>0</v>
      </c>
      <c r="D1167">
        <f>SUM($C$3:C1167)</f>
        <v>7</v>
      </c>
      <c r="E1167" t="e">
        <f t="shared" si="55"/>
        <v>#N/A</v>
      </c>
      <c r="F1167" s="28" t="str">
        <f t="shared" ca="1" si="56"/>
        <v/>
      </c>
    </row>
    <row r="1168" spans="2:6" x14ac:dyDescent="0.2">
      <c r="B1168" t="str">
        <f>IFERROR(IF('PDCA review'!$D$2=Plan!B1169,Plan!G1169,""),"")</f>
        <v/>
      </c>
      <c r="C1168">
        <f t="shared" si="54"/>
        <v>0</v>
      </c>
      <c r="D1168">
        <f>SUM($C$3:C1168)</f>
        <v>7</v>
      </c>
      <c r="E1168" t="e">
        <f t="shared" si="55"/>
        <v>#N/A</v>
      </c>
      <c r="F1168" s="28" t="str">
        <f t="shared" ca="1" si="56"/>
        <v/>
      </c>
    </row>
    <row r="1169" spans="2:6" x14ac:dyDescent="0.2">
      <c r="B1169" t="str">
        <f>IFERROR(IF('PDCA review'!$D$2=Plan!B1170,Plan!G1170,""),"")</f>
        <v/>
      </c>
      <c r="C1169">
        <f t="shared" si="54"/>
        <v>0</v>
      </c>
      <c r="D1169">
        <f>SUM($C$3:C1169)</f>
        <v>7</v>
      </c>
      <c r="E1169" t="e">
        <f t="shared" si="55"/>
        <v>#N/A</v>
      </c>
      <c r="F1169" s="28" t="str">
        <f t="shared" ca="1" si="56"/>
        <v/>
      </c>
    </row>
    <row r="1170" spans="2:6" x14ac:dyDescent="0.2">
      <c r="B1170" t="str">
        <f>IFERROR(IF('PDCA review'!$D$2=Plan!B1171,Plan!G1171,""),"")</f>
        <v/>
      </c>
      <c r="C1170">
        <f t="shared" si="54"/>
        <v>0</v>
      </c>
      <c r="D1170">
        <f>SUM($C$3:C1170)</f>
        <v>7</v>
      </c>
      <c r="E1170" t="e">
        <f t="shared" si="55"/>
        <v>#N/A</v>
      </c>
      <c r="F1170" s="28" t="str">
        <f t="shared" ca="1" si="56"/>
        <v/>
      </c>
    </row>
    <row r="1171" spans="2:6" x14ac:dyDescent="0.2">
      <c r="B1171" t="str">
        <f>IFERROR(IF('PDCA review'!$D$2=Plan!B1172,Plan!G1172,""),"")</f>
        <v/>
      </c>
      <c r="C1171">
        <f t="shared" si="54"/>
        <v>0</v>
      </c>
      <c r="D1171">
        <f>SUM($C$3:C1171)</f>
        <v>7</v>
      </c>
      <c r="E1171" t="e">
        <f t="shared" si="55"/>
        <v>#N/A</v>
      </c>
      <c r="F1171" s="28" t="str">
        <f t="shared" ca="1" si="56"/>
        <v/>
      </c>
    </row>
    <row r="1172" spans="2:6" x14ac:dyDescent="0.2">
      <c r="B1172" t="str">
        <f>IFERROR(IF('PDCA review'!$D$2=Plan!B1173,Plan!G1173,""),"")</f>
        <v/>
      </c>
      <c r="C1172">
        <f t="shared" si="54"/>
        <v>0</v>
      </c>
      <c r="D1172">
        <f>SUM($C$3:C1172)</f>
        <v>7</v>
      </c>
      <c r="E1172" t="e">
        <f t="shared" si="55"/>
        <v>#N/A</v>
      </c>
      <c r="F1172" s="28" t="str">
        <f t="shared" ca="1" si="56"/>
        <v/>
      </c>
    </row>
    <row r="1173" spans="2:6" x14ac:dyDescent="0.2">
      <c r="B1173" t="str">
        <f>IFERROR(IF('PDCA review'!$D$2=Plan!B1174,Plan!G1174,""),"")</f>
        <v/>
      </c>
      <c r="C1173">
        <f t="shared" si="54"/>
        <v>0</v>
      </c>
      <c r="D1173">
        <f>SUM($C$3:C1173)</f>
        <v>7</v>
      </c>
      <c r="E1173" t="e">
        <f t="shared" si="55"/>
        <v>#N/A</v>
      </c>
      <c r="F1173" s="28" t="str">
        <f t="shared" ca="1" si="56"/>
        <v/>
      </c>
    </row>
    <row r="1174" spans="2:6" x14ac:dyDescent="0.2">
      <c r="B1174" t="str">
        <f>IFERROR(IF('PDCA review'!$D$2=Plan!B1175,Plan!G1175,""),"")</f>
        <v/>
      </c>
      <c r="C1174">
        <f t="shared" si="54"/>
        <v>0</v>
      </c>
      <c r="D1174">
        <f>SUM($C$3:C1174)</f>
        <v>7</v>
      </c>
      <c r="E1174" t="e">
        <f t="shared" si="55"/>
        <v>#N/A</v>
      </c>
      <c r="F1174" s="28" t="str">
        <f t="shared" ca="1" si="56"/>
        <v/>
      </c>
    </row>
    <row r="1175" spans="2:6" x14ac:dyDescent="0.2">
      <c r="B1175" t="str">
        <f>IFERROR(IF('PDCA review'!$D$2=Plan!B1176,Plan!G1176,""),"")</f>
        <v/>
      </c>
      <c r="C1175">
        <f t="shared" si="54"/>
        <v>0</v>
      </c>
      <c r="D1175">
        <f>SUM($C$3:C1175)</f>
        <v>7</v>
      </c>
      <c r="E1175" t="e">
        <f t="shared" si="55"/>
        <v>#N/A</v>
      </c>
      <c r="F1175" s="28" t="str">
        <f t="shared" ca="1" si="56"/>
        <v/>
      </c>
    </row>
    <row r="1176" spans="2:6" x14ac:dyDescent="0.2">
      <c r="B1176" t="str">
        <f>IFERROR(IF('PDCA review'!$D$2=Plan!B1177,Plan!G1177,""),"")</f>
        <v/>
      </c>
      <c r="C1176">
        <f t="shared" si="54"/>
        <v>0</v>
      </c>
      <c r="D1176">
        <f>SUM($C$3:C1176)</f>
        <v>7</v>
      </c>
      <c r="E1176" t="e">
        <f t="shared" si="55"/>
        <v>#N/A</v>
      </c>
      <c r="F1176" s="28" t="str">
        <f t="shared" ca="1" si="56"/>
        <v/>
      </c>
    </row>
    <row r="1177" spans="2:6" x14ac:dyDescent="0.2">
      <c r="B1177" t="str">
        <f>IFERROR(IF('PDCA review'!$D$2=Plan!B1178,Plan!G1178,""),"")</f>
        <v/>
      </c>
      <c r="C1177">
        <f t="shared" si="54"/>
        <v>0</v>
      </c>
      <c r="D1177">
        <f>SUM($C$3:C1177)</f>
        <v>7</v>
      </c>
      <c r="E1177" t="e">
        <f t="shared" si="55"/>
        <v>#N/A</v>
      </c>
      <c r="F1177" s="28" t="str">
        <f t="shared" ca="1" si="56"/>
        <v/>
      </c>
    </row>
    <row r="1178" spans="2:6" x14ac:dyDescent="0.2">
      <c r="B1178" t="str">
        <f>IFERROR(IF('PDCA review'!$D$2=Plan!B1179,Plan!G1179,""),"")</f>
        <v/>
      </c>
      <c r="C1178">
        <f t="shared" si="54"/>
        <v>0</v>
      </c>
      <c r="D1178">
        <f>SUM($C$3:C1178)</f>
        <v>7</v>
      </c>
      <c r="E1178" t="e">
        <f t="shared" si="55"/>
        <v>#N/A</v>
      </c>
      <c r="F1178" s="28" t="str">
        <f t="shared" ca="1" si="56"/>
        <v/>
      </c>
    </row>
    <row r="1179" spans="2:6" x14ac:dyDescent="0.2">
      <c r="B1179" t="str">
        <f>IFERROR(IF('PDCA review'!$D$2=Plan!B1180,Plan!G1180,""),"")</f>
        <v/>
      </c>
      <c r="C1179">
        <f t="shared" si="54"/>
        <v>0</v>
      </c>
      <c r="D1179">
        <f>SUM($C$3:C1179)</f>
        <v>7</v>
      </c>
      <c r="E1179" t="e">
        <f t="shared" si="55"/>
        <v>#N/A</v>
      </c>
      <c r="F1179" s="28" t="str">
        <f t="shared" ca="1" si="56"/>
        <v/>
      </c>
    </row>
    <row r="1180" spans="2:6" x14ac:dyDescent="0.2">
      <c r="B1180" t="str">
        <f>IFERROR(IF('PDCA review'!$D$2=Plan!B1181,Plan!G1181,""),"")</f>
        <v/>
      </c>
      <c r="C1180">
        <f t="shared" si="54"/>
        <v>0</v>
      </c>
      <c r="D1180">
        <f>SUM($C$3:C1180)</f>
        <v>7</v>
      </c>
      <c r="E1180" t="e">
        <f t="shared" si="55"/>
        <v>#N/A</v>
      </c>
      <c r="F1180" s="28" t="str">
        <f t="shared" ca="1" si="56"/>
        <v/>
      </c>
    </row>
    <row r="1181" spans="2:6" x14ac:dyDescent="0.2">
      <c r="B1181" t="str">
        <f>IFERROR(IF('PDCA review'!$D$2=Plan!B1182,Plan!G1182,""),"")</f>
        <v/>
      </c>
      <c r="C1181">
        <f t="shared" si="54"/>
        <v>0</v>
      </c>
      <c r="D1181">
        <f>SUM($C$3:C1181)</f>
        <v>7</v>
      </c>
      <c r="E1181" t="e">
        <f t="shared" si="55"/>
        <v>#N/A</v>
      </c>
      <c r="F1181" s="28" t="str">
        <f t="shared" ca="1" si="56"/>
        <v/>
      </c>
    </row>
    <row r="1182" spans="2:6" x14ac:dyDescent="0.2">
      <c r="B1182" t="str">
        <f>IFERROR(IF('PDCA review'!$D$2=Plan!B1183,Plan!G1183,""),"")</f>
        <v/>
      </c>
      <c r="C1182">
        <f t="shared" si="54"/>
        <v>0</v>
      </c>
      <c r="D1182">
        <f>SUM($C$3:C1182)</f>
        <v>7</v>
      </c>
      <c r="E1182" t="e">
        <f t="shared" si="55"/>
        <v>#N/A</v>
      </c>
      <c r="F1182" s="28" t="str">
        <f t="shared" ca="1" si="56"/>
        <v/>
      </c>
    </row>
    <row r="1183" spans="2:6" x14ac:dyDescent="0.2">
      <c r="B1183" t="str">
        <f>IFERROR(IF('PDCA review'!$D$2=Plan!B1184,Plan!G1184,""),"")</f>
        <v/>
      </c>
      <c r="C1183">
        <f t="shared" si="54"/>
        <v>0</v>
      </c>
      <c r="D1183">
        <f>SUM($C$3:C1183)</f>
        <v>7</v>
      </c>
      <c r="E1183" t="e">
        <f t="shared" si="55"/>
        <v>#N/A</v>
      </c>
      <c r="F1183" s="28" t="str">
        <f t="shared" ca="1" si="56"/>
        <v/>
      </c>
    </row>
    <row r="1184" spans="2:6" x14ac:dyDescent="0.2">
      <c r="B1184" t="str">
        <f>IFERROR(IF('PDCA review'!$D$2=Plan!B1185,Plan!G1185,""),"")</f>
        <v/>
      </c>
      <c r="C1184">
        <f t="shared" si="54"/>
        <v>0</v>
      </c>
      <c r="D1184">
        <f>SUM($C$3:C1184)</f>
        <v>7</v>
      </c>
      <c r="E1184" t="e">
        <f t="shared" si="55"/>
        <v>#N/A</v>
      </c>
      <c r="F1184" s="28" t="str">
        <f t="shared" ca="1" si="56"/>
        <v/>
      </c>
    </row>
    <row r="1185" spans="2:6" x14ac:dyDescent="0.2">
      <c r="B1185" t="str">
        <f>IFERROR(IF('PDCA review'!$D$2=Plan!B1186,Plan!G1186,""),"")</f>
        <v/>
      </c>
      <c r="C1185">
        <f t="shared" si="54"/>
        <v>0</v>
      </c>
      <c r="D1185">
        <f>SUM($C$3:C1185)</f>
        <v>7</v>
      </c>
      <c r="E1185" t="e">
        <f t="shared" si="55"/>
        <v>#N/A</v>
      </c>
      <c r="F1185" s="28" t="str">
        <f t="shared" ca="1" si="56"/>
        <v/>
      </c>
    </row>
    <row r="1186" spans="2:6" x14ac:dyDescent="0.2">
      <c r="B1186" t="str">
        <f>IFERROR(IF('PDCA review'!$D$2=Plan!B1187,Plan!G1187,""),"")</f>
        <v/>
      </c>
      <c r="C1186">
        <f t="shared" si="54"/>
        <v>0</v>
      </c>
      <c r="D1186">
        <f>SUM($C$3:C1186)</f>
        <v>7</v>
      </c>
      <c r="E1186" t="e">
        <f t="shared" si="55"/>
        <v>#N/A</v>
      </c>
      <c r="F1186" s="28" t="str">
        <f t="shared" ca="1" si="56"/>
        <v/>
      </c>
    </row>
    <row r="1187" spans="2:6" x14ac:dyDescent="0.2">
      <c r="B1187" t="str">
        <f>IFERROR(IF('PDCA review'!$D$2=Plan!B1188,Plan!G1188,""),"")</f>
        <v/>
      </c>
      <c r="C1187">
        <f t="shared" si="54"/>
        <v>0</v>
      </c>
      <c r="D1187">
        <f>SUM($C$3:C1187)</f>
        <v>7</v>
      </c>
      <c r="E1187" t="e">
        <f t="shared" si="55"/>
        <v>#N/A</v>
      </c>
      <c r="F1187" s="28" t="str">
        <f t="shared" ca="1" si="56"/>
        <v/>
      </c>
    </row>
    <row r="1188" spans="2:6" x14ac:dyDescent="0.2">
      <c r="B1188" t="str">
        <f>IFERROR(IF('PDCA review'!$D$2=Plan!B1189,Plan!G1189,""),"")</f>
        <v/>
      </c>
      <c r="C1188">
        <f t="shared" si="54"/>
        <v>0</v>
      </c>
      <c r="D1188">
        <f>SUM($C$3:C1188)</f>
        <v>7</v>
      </c>
      <c r="E1188" t="e">
        <f t="shared" si="55"/>
        <v>#N/A</v>
      </c>
      <c r="F1188" s="28" t="str">
        <f t="shared" ca="1" si="56"/>
        <v/>
      </c>
    </row>
    <row r="1189" spans="2:6" x14ac:dyDescent="0.2">
      <c r="B1189" t="str">
        <f>IFERROR(IF('PDCA review'!$D$2=Plan!B1190,Plan!G1190,""),"")</f>
        <v/>
      </c>
      <c r="C1189">
        <f t="shared" si="54"/>
        <v>0</v>
      </c>
      <c r="D1189">
        <f>SUM($C$3:C1189)</f>
        <v>7</v>
      </c>
      <c r="E1189" t="e">
        <f t="shared" si="55"/>
        <v>#N/A</v>
      </c>
      <c r="F1189" s="28" t="str">
        <f t="shared" ca="1" si="56"/>
        <v/>
      </c>
    </row>
    <row r="1190" spans="2:6" x14ac:dyDescent="0.2">
      <c r="B1190" t="str">
        <f>IFERROR(IF('PDCA review'!$D$2=Plan!B1191,Plan!G1191,""),"")</f>
        <v/>
      </c>
      <c r="C1190">
        <f t="shared" si="54"/>
        <v>0</v>
      </c>
      <c r="D1190">
        <f>SUM($C$3:C1190)</f>
        <v>7</v>
      </c>
      <c r="E1190" t="e">
        <f t="shared" si="55"/>
        <v>#N/A</v>
      </c>
      <c r="F1190" s="28" t="str">
        <f t="shared" ca="1" si="56"/>
        <v/>
      </c>
    </row>
    <row r="1191" spans="2:6" x14ac:dyDescent="0.2">
      <c r="B1191" t="str">
        <f>IFERROR(IF('PDCA review'!$D$2=Plan!B1192,Plan!G1192,""),"")</f>
        <v/>
      </c>
      <c r="C1191">
        <f t="shared" si="54"/>
        <v>0</v>
      </c>
      <c r="D1191">
        <f>SUM($C$3:C1191)</f>
        <v>7</v>
      </c>
      <c r="E1191" t="e">
        <f t="shared" si="55"/>
        <v>#N/A</v>
      </c>
      <c r="F1191" s="28" t="str">
        <f t="shared" ca="1" si="56"/>
        <v/>
      </c>
    </row>
    <row r="1192" spans="2:6" x14ac:dyDescent="0.2">
      <c r="B1192" t="str">
        <f>IFERROR(IF('PDCA review'!$D$2=Plan!B1193,Plan!G1193,""),"")</f>
        <v/>
      </c>
      <c r="C1192">
        <f t="shared" si="54"/>
        <v>0</v>
      </c>
      <c r="D1192">
        <f>SUM($C$3:C1192)</f>
        <v>7</v>
      </c>
      <c r="E1192" t="e">
        <f t="shared" si="55"/>
        <v>#N/A</v>
      </c>
      <c r="F1192" s="28" t="str">
        <f t="shared" ca="1" si="56"/>
        <v/>
      </c>
    </row>
    <row r="1193" spans="2:6" x14ac:dyDescent="0.2">
      <c r="B1193" t="str">
        <f>IFERROR(IF('PDCA review'!$D$2=Plan!B1194,Plan!G1194,""),"")</f>
        <v/>
      </c>
      <c r="C1193">
        <f t="shared" si="54"/>
        <v>0</v>
      </c>
      <c r="D1193">
        <f>SUM($C$3:C1193)</f>
        <v>7</v>
      </c>
      <c r="E1193" t="e">
        <f t="shared" si="55"/>
        <v>#N/A</v>
      </c>
      <c r="F1193" s="28" t="str">
        <f t="shared" ca="1" si="56"/>
        <v/>
      </c>
    </row>
    <row r="1194" spans="2:6" x14ac:dyDescent="0.2">
      <c r="B1194" t="str">
        <f>IFERROR(IF('PDCA review'!$D$2=Plan!B1195,Plan!G1195,""),"")</f>
        <v/>
      </c>
      <c r="C1194">
        <f t="shared" si="54"/>
        <v>0</v>
      </c>
      <c r="D1194">
        <f>SUM($C$3:C1194)</f>
        <v>7</v>
      </c>
      <c r="E1194" t="e">
        <f t="shared" si="55"/>
        <v>#N/A</v>
      </c>
      <c r="F1194" s="28" t="str">
        <f t="shared" ca="1" si="56"/>
        <v/>
      </c>
    </row>
    <row r="1195" spans="2:6" x14ac:dyDescent="0.2">
      <c r="B1195" t="str">
        <f>IFERROR(IF('PDCA review'!$D$2=Plan!B1196,Plan!G1196,""),"")</f>
        <v/>
      </c>
      <c r="C1195">
        <f t="shared" si="54"/>
        <v>0</v>
      </c>
      <c r="D1195">
        <f>SUM($C$3:C1195)</f>
        <v>7</v>
      </c>
      <c r="E1195" t="e">
        <f t="shared" si="55"/>
        <v>#N/A</v>
      </c>
      <c r="F1195" s="28" t="str">
        <f t="shared" ca="1" si="56"/>
        <v/>
      </c>
    </row>
    <row r="1196" spans="2:6" x14ac:dyDescent="0.2">
      <c r="B1196" t="str">
        <f>IFERROR(IF('PDCA review'!$D$2=Plan!B1197,Plan!G1197,""),"")</f>
        <v/>
      </c>
      <c r="C1196">
        <f t="shared" si="54"/>
        <v>0</v>
      </c>
      <c r="D1196">
        <f>SUM($C$3:C1196)</f>
        <v>7</v>
      </c>
      <c r="E1196" t="e">
        <f t="shared" si="55"/>
        <v>#N/A</v>
      </c>
      <c r="F1196" s="28" t="str">
        <f t="shared" ca="1" si="56"/>
        <v/>
      </c>
    </row>
    <row r="1197" spans="2:6" x14ac:dyDescent="0.2">
      <c r="B1197" t="str">
        <f>IFERROR(IF('PDCA review'!$D$2=Plan!B1198,Plan!G1198,""),"")</f>
        <v/>
      </c>
      <c r="C1197">
        <f t="shared" si="54"/>
        <v>0</v>
      </c>
      <c r="D1197">
        <f>SUM($C$3:C1197)</f>
        <v>7</v>
      </c>
      <c r="E1197" t="e">
        <f t="shared" si="55"/>
        <v>#N/A</v>
      </c>
      <c r="F1197" s="28" t="str">
        <f t="shared" ca="1" si="56"/>
        <v/>
      </c>
    </row>
    <row r="1198" spans="2:6" x14ac:dyDescent="0.2">
      <c r="B1198" t="str">
        <f>IFERROR(IF('PDCA review'!$D$2=Plan!B1199,Plan!G1199,""),"")</f>
        <v/>
      </c>
      <c r="C1198">
        <f t="shared" si="54"/>
        <v>0</v>
      </c>
      <c r="D1198">
        <f>SUM($C$3:C1198)</f>
        <v>7</v>
      </c>
      <c r="E1198" t="e">
        <f t="shared" si="55"/>
        <v>#N/A</v>
      </c>
      <c r="F1198" s="28" t="str">
        <f t="shared" ca="1" si="56"/>
        <v/>
      </c>
    </row>
    <row r="1199" spans="2:6" x14ac:dyDescent="0.2">
      <c r="B1199" t="str">
        <f>IFERROR(IF('PDCA review'!$D$2=Plan!B1200,Plan!G1200,""),"")</f>
        <v/>
      </c>
      <c r="C1199">
        <f t="shared" si="54"/>
        <v>0</v>
      </c>
      <c r="D1199">
        <f>SUM($C$3:C1199)</f>
        <v>7</v>
      </c>
      <c r="E1199" t="e">
        <f t="shared" si="55"/>
        <v>#N/A</v>
      </c>
      <c r="F1199" s="28" t="str">
        <f t="shared" ca="1" si="56"/>
        <v/>
      </c>
    </row>
    <row r="1200" spans="2:6" x14ac:dyDescent="0.2">
      <c r="B1200" t="str">
        <f>IFERROR(IF('PDCA review'!$D$2=Plan!B1201,Plan!G1201,""),"")</f>
        <v/>
      </c>
      <c r="C1200">
        <f t="shared" si="54"/>
        <v>0</v>
      </c>
      <c r="D1200">
        <f>SUM($C$3:C1200)</f>
        <v>7</v>
      </c>
      <c r="E1200" t="e">
        <f t="shared" si="55"/>
        <v>#N/A</v>
      </c>
      <c r="F1200" s="28" t="str">
        <f t="shared" ca="1" si="56"/>
        <v/>
      </c>
    </row>
    <row r="1201" spans="2:6" x14ac:dyDescent="0.2">
      <c r="B1201" t="str">
        <f>IFERROR(IF('PDCA review'!$D$2=Plan!B1202,Plan!G1202,""),"")</f>
        <v/>
      </c>
      <c r="C1201">
        <f t="shared" si="54"/>
        <v>0</v>
      </c>
      <c r="D1201">
        <f>SUM($C$3:C1201)</f>
        <v>7</v>
      </c>
      <c r="E1201" t="e">
        <f t="shared" si="55"/>
        <v>#N/A</v>
      </c>
      <c r="F1201" s="28" t="str">
        <f t="shared" ca="1" si="56"/>
        <v/>
      </c>
    </row>
    <row r="1202" spans="2:6" x14ac:dyDescent="0.2">
      <c r="B1202" t="str">
        <f>IFERROR(IF('PDCA review'!$D$2=Plan!B1203,Plan!G1203,""),"")</f>
        <v/>
      </c>
      <c r="C1202">
        <f t="shared" si="54"/>
        <v>0</v>
      </c>
      <c r="D1202">
        <f>SUM($C$3:C1202)</f>
        <v>7</v>
      </c>
      <c r="E1202" t="e">
        <f t="shared" si="55"/>
        <v>#N/A</v>
      </c>
      <c r="F1202" s="28" t="str">
        <f t="shared" ca="1" si="56"/>
        <v/>
      </c>
    </row>
    <row r="1203" spans="2:6" x14ac:dyDescent="0.2">
      <c r="B1203" t="str">
        <f>IFERROR(IF('PDCA review'!$D$2=Plan!B1204,Plan!G1204,""),"")</f>
        <v/>
      </c>
      <c r="C1203">
        <f t="shared" si="54"/>
        <v>0</v>
      </c>
      <c r="D1203">
        <f>SUM($C$3:C1203)</f>
        <v>7</v>
      </c>
      <c r="E1203" t="e">
        <f t="shared" si="55"/>
        <v>#N/A</v>
      </c>
      <c r="F1203" s="28" t="str">
        <f t="shared" ca="1" si="56"/>
        <v/>
      </c>
    </row>
    <row r="1204" spans="2:6" x14ac:dyDescent="0.2">
      <c r="B1204" t="str">
        <f>IFERROR(IF('PDCA review'!$D$2=Plan!B1205,Plan!G1205,""),"")</f>
        <v/>
      </c>
      <c r="C1204">
        <f t="shared" si="54"/>
        <v>0</v>
      </c>
      <c r="D1204">
        <f>SUM($C$3:C1204)</f>
        <v>7</v>
      </c>
      <c r="E1204" t="e">
        <f t="shared" si="55"/>
        <v>#N/A</v>
      </c>
      <c r="F1204" s="28" t="str">
        <f t="shared" ca="1" si="56"/>
        <v/>
      </c>
    </row>
    <row r="1205" spans="2:6" x14ac:dyDescent="0.2">
      <c r="B1205" t="str">
        <f>IFERROR(IF('PDCA review'!$D$2=Plan!B1206,Plan!G1206,""),"")</f>
        <v/>
      </c>
      <c r="C1205">
        <f t="shared" si="54"/>
        <v>0</v>
      </c>
      <c r="D1205">
        <f>SUM($C$3:C1205)</f>
        <v>7</v>
      </c>
      <c r="E1205" t="e">
        <f t="shared" si="55"/>
        <v>#N/A</v>
      </c>
      <c r="F1205" s="28" t="str">
        <f t="shared" ca="1" si="56"/>
        <v/>
      </c>
    </row>
    <row r="1206" spans="2:6" x14ac:dyDescent="0.2">
      <c r="B1206" t="str">
        <f>IFERROR(IF('PDCA review'!$D$2=Plan!B1207,Plan!G1207,""),"")</f>
        <v/>
      </c>
      <c r="C1206">
        <f t="shared" si="54"/>
        <v>0</v>
      </c>
      <c r="D1206">
        <f>SUM($C$3:C1206)</f>
        <v>7</v>
      </c>
      <c r="E1206" t="e">
        <f t="shared" si="55"/>
        <v>#N/A</v>
      </c>
      <c r="F1206" s="28" t="str">
        <f t="shared" ca="1" si="56"/>
        <v/>
      </c>
    </row>
    <row r="1207" spans="2:6" x14ac:dyDescent="0.2">
      <c r="B1207" t="str">
        <f>IFERROR(IF('PDCA review'!$D$2=Plan!B1208,Plan!G1208,""),"")</f>
        <v/>
      </c>
      <c r="C1207">
        <f t="shared" si="54"/>
        <v>0</v>
      </c>
      <c r="D1207">
        <f>SUM($C$3:C1207)</f>
        <v>7</v>
      </c>
      <c r="E1207" t="e">
        <f t="shared" si="55"/>
        <v>#N/A</v>
      </c>
      <c r="F1207" s="28" t="str">
        <f t="shared" ca="1" si="56"/>
        <v/>
      </c>
    </row>
    <row r="1208" spans="2:6" x14ac:dyDescent="0.2">
      <c r="B1208" t="str">
        <f>IFERROR(IF('PDCA review'!$D$2=Plan!B1209,Plan!G1209,""),"")</f>
        <v/>
      </c>
      <c r="C1208">
        <f t="shared" si="54"/>
        <v>0</v>
      </c>
      <c r="D1208">
        <f>SUM($C$3:C1208)</f>
        <v>7</v>
      </c>
      <c r="E1208" t="e">
        <f t="shared" si="55"/>
        <v>#N/A</v>
      </c>
      <c r="F1208" s="28" t="str">
        <f t="shared" ca="1" si="56"/>
        <v/>
      </c>
    </row>
    <row r="1209" spans="2:6" x14ac:dyDescent="0.2">
      <c r="B1209" t="str">
        <f>IFERROR(IF('PDCA review'!$D$2=Plan!B1210,Plan!G1210,""),"")</f>
        <v/>
      </c>
      <c r="C1209">
        <f t="shared" si="54"/>
        <v>0</v>
      </c>
      <c r="D1209">
        <f>SUM($C$3:C1209)</f>
        <v>7</v>
      </c>
      <c r="E1209" t="e">
        <f t="shared" si="55"/>
        <v>#N/A</v>
      </c>
      <c r="F1209" s="28" t="str">
        <f t="shared" ca="1" si="56"/>
        <v/>
      </c>
    </row>
    <row r="1210" spans="2:6" x14ac:dyDescent="0.2">
      <c r="B1210" t="str">
        <f>IFERROR(IF('PDCA review'!$D$2=Plan!B1211,Plan!G1211,""),"")</f>
        <v/>
      </c>
      <c r="C1210">
        <f t="shared" si="54"/>
        <v>0</v>
      </c>
      <c r="D1210">
        <f>SUM($C$3:C1210)</f>
        <v>7</v>
      </c>
      <c r="E1210" t="e">
        <f t="shared" si="55"/>
        <v>#N/A</v>
      </c>
      <c r="F1210" s="28" t="str">
        <f t="shared" ca="1" si="56"/>
        <v/>
      </c>
    </row>
    <row r="1211" spans="2:6" x14ac:dyDescent="0.2">
      <c r="B1211" t="str">
        <f>IFERROR(IF('PDCA review'!$D$2=Plan!B1212,Plan!G1212,""),"")</f>
        <v/>
      </c>
      <c r="C1211">
        <f t="shared" si="54"/>
        <v>0</v>
      </c>
      <c r="D1211">
        <f>SUM($C$3:C1211)</f>
        <v>7</v>
      </c>
      <c r="E1211" t="e">
        <f t="shared" si="55"/>
        <v>#N/A</v>
      </c>
      <c r="F1211" s="28" t="str">
        <f t="shared" ca="1" si="56"/>
        <v/>
      </c>
    </row>
    <row r="1212" spans="2:6" x14ac:dyDescent="0.2">
      <c r="B1212" t="str">
        <f>IFERROR(IF('PDCA review'!$D$2=Plan!B1213,Plan!G1213,""),"")</f>
        <v/>
      </c>
      <c r="C1212">
        <f t="shared" si="54"/>
        <v>0</v>
      </c>
      <c r="D1212">
        <f>SUM($C$3:C1212)</f>
        <v>7</v>
      </c>
      <c r="E1212" t="e">
        <f t="shared" si="55"/>
        <v>#N/A</v>
      </c>
      <c r="F1212" s="28" t="str">
        <f t="shared" ca="1" si="56"/>
        <v/>
      </c>
    </row>
    <row r="1213" spans="2:6" x14ac:dyDescent="0.2">
      <c r="B1213" t="str">
        <f>IFERROR(IF('PDCA review'!$D$2=Plan!B1214,Plan!G1214,""),"")</f>
        <v/>
      </c>
      <c r="C1213">
        <f t="shared" si="54"/>
        <v>0</v>
      </c>
      <c r="D1213">
        <f>SUM($C$3:C1213)</f>
        <v>7</v>
      </c>
      <c r="E1213" t="e">
        <f t="shared" si="55"/>
        <v>#N/A</v>
      </c>
      <c r="F1213" s="28" t="str">
        <f t="shared" ca="1" si="56"/>
        <v/>
      </c>
    </row>
    <row r="1214" spans="2:6" x14ac:dyDescent="0.2">
      <c r="B1214" t="str">
        <f>IFERROR(IF('PDCA review'!$D$2=Plan!B1215,Plan!G1215,""),"")</f>
        <v/>
      </c>
      <c r="C1214">
        <f t="shared" si="54"/>
        <v>0</v>
      </c>
      <c r="D1214">
        <f>SUM($C$3:C1214)</f>
        <v>7</v>
      </c>
      <c r="E1214" t="e">
        <f t="shared" si="55"/>
        <v>#N/A</v>
      </c>
      <c r="F1214" s="28" t="str">
        <f t="shared" ca="1" si="56"/>
        <v/>
      </c>
    </row>
    <row r="1215" spans="2:6" x14ac:dyDescent="0.2">
      <c r="B1215" t="str">
        <f>IFERROR(IF('PDCA review'!$D$2=Plan!B1216,Plan!G1216,""),"")</f>
        <v/>
      </c>
      <c r="C1215">
        <f t="shared" si="54"/>
        <v>0</v>
      </c>
      <c r="D1215">
        <f>SUM($C$3:C1215)</f>
        <v>7</v>
      </c>
      <c r="E1215" t="e">
        <f t="shared" si="55"/>
        <v>#N/A</v>
      </c>
      <c r="F1215" s="28" t="str">
        <f t="shared" ca="1" si="56"/>
        <v/>
      </c>
    </row>
    <row r="1216" spans="2:6" x14ac:dyDescent="0.2">
      <c r="B1216" t="str">
        <f>IFERROR(IF('PDCA review'!$D$2=Plan!B1217,Plan!G1217,""),"")</f>
        <v/>
      </c>
      <c r="C1216">
        <f t="shared" si="54"/>
        <v>0</v>
      </c>
      <c r="D1216">
        <f>SUM($C$3:C1216)</f>
        <v>7</v>
      </c>
      <c r="E1216" t="e">
        <f t="shared" si="55"/>
        <v>#N/A</v>
      </c>
      <c r="F1216" s="28" t="str">
        <f t="shared" ca="1" si="56"/>
        <v/>
      </c>
    </row>
    <row r="1217" spans="2:6" x14ac:dyDescent="0.2">
      <c r="B1217" t="str">
        <f>IFERROR(IF('PDCA review'!$D$2=Plan!B1218,Plan!G1218,""),"")</f>
        <v/>
      </c>
      <c r="C1217">
        <f t="shared" si="54"/>
        <v>0</v>
      </c>
      <c r="D1217">
        <f>SUM($C$3:C1217)</f>
        <v>7</v>
      </c>
      <c r="E1217" t="e">
        <f t="shared" si="55"/>
        <v>#N/A</v>
      </c>
      <c r="F1217" s="28" t="str">
        <f t="shared" ca="1" si="56"/>
        <v/>
      </c>
    </row>
    <row r="1218" spans="2:6" x14ac:dyDescent="0.2">
      <c r="B1218" t="str">
        <f>IFERROR(IF('PDCA review'!$D$2=Plan!B1219,Plan!G1219,""),"")</f>
        <v/>
      </c>
      <c r="C1218">
        <f t="shared" si="54"/>
        <v>0</v>
      </c>
      <c r="D1218">
        <f>SUM($C$3:C1218)</f>
        <v>7</v>
      </c>
      <c r="E1218" t="e">
        <f t="shared" si="55"/>
        <v>#N/A</v>
      </c>
      <c r="F1218" s="28" t="str">
        <f t="shared" ca="1" si="56"/>
        <v/>
      </c>
    </row>
    <row r="1219" spans="2:6" x14ac:dyDescent="0.2">
      <c r="B1219" t="str">
        <f>IFERROR(IF('PDCA review'!$D$2=Plan!B1220,Plan!G1220,""),"")</f>
        <v/>
      </c>
      <c r="C1219">
        <f t="shared" si="54"/>
        <v>0</v>
      </c>
      <c r="D1219">
        <f>SUM($C$3:C1219)</f>
        <v>7</v>
      </c>
      <c r="E1219" t="e">
        <f t="shared" si="55"/>
        <v>#N/A</v>
      </c>
      <c r="F1219" s="28" t="str">
        <f t="shared" ca="1" si="56"/>
        <v/>
      </c>
    </row>
    <row r="1220" spans="2:6" x14ac:dyDescent="0.2">
      <c r="B1220" t="str">
        <f>IFERROR(IF('PDCA review'!$D$2=Plan!B1221,Plan!G1221,""),"")</f>
        <v/>
      </c>
      <c r="C1220">
        <f t="shared" ref="C1220:C1283" si="57">IF(B1220&lt;&gt;"",1,0)</f>
        <v>0</v>
      </c>
      <c r="D1220">
        <f>SUM($C$3:C1220)</f>
        <v>7</v>
      </c>
      <c r="E1220" t="e">
        <f t="shared" ref="E1220:E1283" si="58">MATCH(ROW()-$D$2,$D$3:$D$2000,0)+$D$2</f>
        <v>#N/A</v>
      </c>
      <c r="F1220" s="28" t="str">
        <f t="shared" ref="F1220:F1283" ca="1" si="59">IFERROR(INDIRECT("B"&amp;E1220),"")</f>
        <v/>
      </c>
    </row>
    <row r="1221" spans="2:6" x14ac:dyDescent="0.2">
      <c r="B1221" t="str">
        <f>IFERROR(IF('PDCA review'!$D$2=Plan!B1222,Plan!G1222,""),"")</f>
        <v/>
      </c>
      <c r="C1221">
        <f t="shared" si="57"/>
        <v>0</v>
      </c>
      <c r="D1221">
        <f>SUM($C$3:C1221)</f>
        <v>7</v>
      </c>
      <c r="E1221" t="e">
        <f t="shared" si="58"/>
        <v>#N/A</v>
      </c>
      <c r="F1221" s="28" t="str">
        <f t="shared" ca="1" si="59"/>
        <v/>
      </c>
    </row>
    <row r="1222" spans="2:6" x14ac:dyDescent="0.2">
      <c r="B1222" t="str">
        <f>IFERROR(IF('PDCA review'!$D$2=Plan!B1223,Plan!G1223,""),"")</f>
        <v/>
      </c>
      <c r="C1222">
        <f t="shared" si="57"/>
        <v>0</v>
      </c>
      <c r="D1222">
        <f>SUM($C$3:C1222)</f>
        <v>7</v>
      </c>
      <c r="E1222" t="e">
        <f t="shared" si="58"/>
        <v>#N/A</v>
      </c>
      <c r="F1222" s="28" t="str">
        <f t="shared" ca="1" si="59"/>
        <v/>
      </c>
    </row>
    <row r="1223" spans="2:6" x14ac:dyDescent="0.2">
      <c r="B1223" t="str">
        <f>IFERROR(IF('PDCA review'!$D$2=Plan!B1224,Plan!G1224,""),"")</f>
        <v/>
      </c>
      <c r="C1223">
        <f t="shared" si="57"/>
        <v>0</v>
      </c>
      <c r="D1223">
        <f>SUM($C$3:C1223)</f>
        <v>7</v>
      </c>
      <c r="E1223" t="e">
        <f t="shared" si="58"/>
        <v>#N/A</v>
      </c>
      <c r="F1223" s="28" t="str">
        <f t="shared" ca="1" si="59"/>
        <v/>
      </c>
    </row>
    <row r="1224" spans="2:6" x14ac:dyDescent="0.2">
      <c r="B1224" t="str">
        <f>IFERROR(IF('PDCA review'!$D$2=Plan!B1225,Plan!G1225,""),"")</f>
        <v/>
      </c>
      <c r="C1224">
        <f t="shared" si="57"/>
        <v>0</v>
      </c>
      <c r="D1224">
        <f>SUM($C$3:C1224)</f>
        <v>7</v>
      </c>
      <c r="E1224" t="e">
        <f t="shared" si="58"/>
        <v>#N/A</v>
      </c>
      <c r="F1224" s="28" t="str">
        <f t="shared" ca="1" si="59"/>
        <v/>
      </c>
    </row>
    <row r="1225" spans="2:6" x14ac:dyDescent="0.2">
      <c r="B1225" t="str">
        <f>IFERROR(IF('PDCA review'!$D$2=Plan!B1226,Plan!G1226,""),"")</f>
        <v/>
      </c>
      <c r="C1225">
        <f t="shared" si="57"/>
        <v>0</v>
      </c>
      <c r="D1225">
        <f>SUM($C$3:C1225)</f>
        <v>7</v>
      </c>
      <c r="E1225" t="e">
        <f t="shared" si="58"/>
        <v>#N/A</v>
      </c>
      <c r="F1225" s="28" t="str">
        <f t="shared" ca="1" si="59"/>
        <v/>
      </c>
    </row>
    <row r="1226" spans="2:6" x14ac:dyDescent="0.2">
      <c r="B1226" t="str">
        <f>IFERROR(IF('PDCA review'!$D$2=Plan!B1227,Plan!G1227,""),"")</f>
        <v/>
      </c>
      <c r="C1226">
        <f t="shared" si="57"/>
        <v>0</v>
      </c>
      <c r="D1226">
        <f>SUM($C$3:C1226)</f>
        <v>7</v>
      </c>
      <c r="E1226" t="e">
        <f t="shared" si="58"/>
        <v>#N/A</v>
      </c>
      <c r="F1226" s="28" t="str">
        <f t="shared" ca="1" si="59"/>
        <v/>
      </c>
    </row>
    <row r="1227" spans="2:6" x14ac:dyDescent="0.2">
      <c r="B1227" t="str">
        <f>IFERROR(IF('PDCA review'!$D$2=Plan!B1228,Plan!G1228,""),"")</f>
        <v/>
      </c>
      <c r="C1227">
        <f t="shared" si="57"/>
        <v>0</v>
      </c>
      <c r="D1227">
        <f>SUM($C$3:C1227)</f>
        <v>7</v>
      </c>
      <c r="E1227" t="e">
        <f t="shared" si="58"/>
        <v>#N/A</v>
      </c>
      <c r="F1227" s="28" t="str">
        <f t="shared" ca="1" si="59"/>
        <v/>
      </c>
    </row>
    <row r="1228" spans="2:6" x14ac:dyDescent="0.2">
      <c r="B1228" t="str">
        <f>IFERROR(IF('PDCA review'!$D$2=Plan!B1229,Plan!G1229,""),"")</f>
        <v/>
      </c>
      <c r="C1228">
        <f t="shared" si="57"/>
        <v>0</v>
      </c>
      <c r="D1228">
        <f>SUM($C$3:C1228)</f>
        <v>7</v>
      </c>
      <c r="E1228" t="e">
        <f t="shared" si="58"/>
        <v>#N/A</v>
      </c>
      <c r="F1228" s="28" t="str">
        <f t="shared" ca="1" si="59"/>
        <v/>
      </c>
    </row>
    <row r="1229" spans="2:6" x14ac:dyDescent="0.2">
      <c r="B1229" t="str">
        <f>IFERROR(IF('PDCA review'!$D$2=Plan!B1230,Plan!G1230,""),"")</f>
        <v/>
      </c>
      <c r="C1229">
        <f t="shared" si="57"/>
        <v>0</v>
      </c>
      <c r="D1229">
        <f>SUM($C$3:C1229)</f>
        <v>7</v>
      </c>
      <c r="E1229" t="e">
        <f t="shared" si="58"/>
        <v>#N/A</v>
      </c>
      <c r="F1229" s="28" t="str">
        <f t="shared" ca="1" si="59"/>
        <v/>
      </c>
    </row>
    <row r="1230" spans="2:6" x14ac:dyDescent="0.2">
      <c r="B1230" t="str">
        <f>IFERROR(IF('PDCA review'!$D$2=Plan!B1231,Plan!G1231,""),"")</f>
        <v/>
      </c>
      <c r="C1230">
        <f t="shared" si="57"/>
        <v>0</v>
      </c>
      <c r="D1230">
        <f>SUM($C$3:C1230)</f>
        <v>7</v>
      </c>
      <c r="E1230" t="e">
        <f t="shared" si="58"/>
        <v>#N/A</v>
      </c>
      <c r="F1230" s="28" t="str">
        <f t="shared" ca="1" si="59"/>
        <v/>
      </c>
    </row>
    <row r="1231" spans="2:6" x14ac:dyDescent="0.2">
      <c r="B1231" t="str">
        <f>IFERROR(IF('PDCA review'!$D$2=Plan!B1232,Plan!G1232,""),"")</f>
        <v/>
      </c>
      <c r="C1231">
        <f t="shared" si="57"/>
        <v>0</v>
      </c>
      <c r="D1231">
        <f>SUM($C$3:C1231)</f>
        <v>7</v>
      </c>
      <c r="E1231" t="e">
        <f t="shared" si="58"/>
        <v>#N/A</v>
      </c>
      <c r="F1231" s="28" t="str">
        <f t="shared" ca="1" si="59"/>
        <v/>
      </c>
    </row>
    <row r="1232" spans="2:6" x14ac:dyDescent="0.2">
      <c r="B1232" t="str">
        <f>IFERROR(IF('PDCA review'!$D$2=Plan!B1233,Plan!G1233,""),"")</f>
        <v/>
      </c>
      <c r="C1232">
        <f t="shared" si="57"/>
        <v>0</v>
      </c>
      <c r="D1232">
        <f>SUM($C$3:C1232)</f>
        <v>7</v>
      </c>
      <c r="E1232" t="e">
        <f t="shared" si="58"/>
        <v>#N/A</v>
      </c>
      <c r="F1232" s="28" t="str">
        <f t="shared" ca="1" si="59"/>
        <v/>
      </c>
    </row>
    <row r="1233" spans="2:6" x14ac:dyDescent="0.2">
      <c r="B1233" t="str">
        <f>IFERROR(IF('PDCA review'!$D$2=Plan!B1234,Plan!G1234,""),"")</f>
        <v/>
      </c>
      <c r="C1233">
        <f t="shared" si="57"/>
        <v>0</v>
      </c>
      <c r="D1233">
        <f>SUM($C$3:C1233)</f>
        <v>7</v>
      </c>
      <c r="E1233" t="e">
        <f t="shared" si="58"/>
        <v>#N/A</v>
      </c>
      <c r="F1233" s="28" t="str">
        <f t="shared" ca="1" si="59"/>
        <v/>
      </c>
    </row>
    <row r="1234" spans="2:6" x14ac:dyDescent="0.2">
      <c r="B1234" t="str">
        <f>IFERROR(IF('PDCA review'!$D$2=Plan!B1235,Plan!G1235,""),"")</f>
        <v/>
      </c>
      <c r="C1234">
        <f t="shared" si="57"/>
        <v>0</v>
      </c>
      <c r="D1234">
        <f>SUM($C$3:C1234)</f>
        <v>7</v>
      </c>
      <c r="E1234" t="e">
        <f t="shared" si="58"/>
        <v>#N/A</v>
      </c>
      <c r="F1234" s="28" t="str">
        <f t="shared" ca="1" si="59"/>
        <v/>
      </c>
    </row>
    <row r="1235" spans="2:6" x14ac:dyDescent="0.2">
      <c r="B1235" t="str">
        <f>IFERROR(IF('PDCA review'!$D$2=Plan!B1236,Plan!G1236,""),"")</f>
        <v/>
      </c>
      <c r="C1235">
        <f t="shared" si="57"/>
        <v>0</v>
      </c>
      <c r="D1235">
        <f>SUM($C$3:C1235)</f>
        <v>7</v>
      </c>
      <c r="E1235" t="e">
        <f t="shared" si="58"/>
        <v>#N/A</v>
      </c>
      <c r="F1235" s="28" t="str">
        <f t="shared" ca="1" si="59"/>
        <v/>
      </c>
    </row>
    <row r="1236" spans="2:6" x14ac:dyDescent="0.2">
      <c r="B1236" t="str">
        <f>IFERROR(IF('PDCA review'!$D$2=Plan!B1237,Plan!G1237,""),"")</f>
        <v/>
      </c>
      <c r="C1236">
        <f t="shared" si="57"/>
        <v>0</v>
      </c>
      <c r="D1236">
        <f>SUM($C$3:C1236)</f>
        <v>7</v>
      </c>
      <c r="E1236" t="e">
        <f t="shared" si="58"/>
        <v>#N/A</v>
      </c>
      <c r="F1236" s="28" t="str">
        <f t="shared" ca="1" si="59"/>
        <v/>
      </c>
    </row>
    <row r="1237" spans="2:6" x14ac:dyDescent="0.2">
      <c r="B1237" t="str">
        <f>IFERROR(IF('PDCA review'!$D$2=Plan!B1238,Plan!G1238,""),"")</f>
        <v/>
      </c>
      <c r="C1237">
        <f t="shared" si="57"/>
        <v>0</v>
      </c>
      <c r="D1237">
        <f>SUM($C$3:C1237)</f>
        <v>7</v>
      </c>
      <c r="E1237" t="e">
        <f t="shared" si="58"/>
        <v>#N/A</v>
      </c>
      <c r="F1237" s="28" t="str">
        <f t="shared" ca="1" si="59"/>
        <v/>
      </c>
    </row>
    <row r="1238" spans="2:6" x14ac:dyDescent="0.2">
      <c r="B1238" t="str">
        <f>IFERROR(IF('PDCA review'!$D$2=Plan!B1239,Plan!G1239,""),"")</f>
        <v/>
      </c>
      <c r="C1238">
        <f t="shared" si="57"/>
        <v>0</v>
      </c>
      <c r="D1238">
        <f>SUM($C$3:C1238)</f>
        <v>7</v>
      </c>
      <c r="E1238" t="e">
        <f t="shared" si="58"/>
        <v>#N/A</v>
      </c>
      <c r="F1238" s="28" t="str">
        <f t="shared" ca="1" si="59"/>
        <v/>
      </c>
    </row>
    <row r="1239" spans="2:6" x14ac:dyDescent="0.2">
      <c r="B1239" t="str">
        <f>IFERROR(IF('PDCA review'!$D$2=Plan!B1240,Plan!G1240,""),"")</f>
        <v/>
      </c>
      <c r="C1239">
        <f t="shared" si="57"/>
        <v>0</v>
      </c>
      <c r="D1239">
        <f>SUM($C$3:C1239)</f>
        <v>7</v>
      </c>
      <c r="E1239" t="e">
        <f t="shared" si="58"/>
        <v>#N/A</v>
      </c>
      <c r="F1239" s="28" t="str">
        <f t="shared" ca="1" si="59"/>
        <v/>
      </c>
    </row>
    <row r="1240" spans="2:6" x14ac:dyDescent="0.2">
      <c r="B1240" t="str">
        <f>IFERROR(IF('PDCA review'!$D$2=Plan!B1241,Plan!G1241,""),"")</f>
        <v/>
      </c>
      <c r="C1240">
        <f t="shared" si="57"/>
        <v>0</v>
      </c>
      <c r="D1240">
        <f>SUM($C$3:C1240)</f>
        <v>7</v>
      </c>
      <c r="E1240" t="e">
        <f t="shared" si="58"/>
        <v>#N/A</v>
      </c>
      <c r="F1240" s="28" t="str">
        <f t="shared" ca="1" si="59"/>
        <v/>
      </c>
    </row>
    <row r="1241" spans="2:6" x14ac:dyDescent="0.2">
      <c r="B1241" t="str">
        <f>IFERROR(IF('PDCA review'!$D$2=Plan!B1242,Plan!G1242,""),"")</f>
        <v/>
      </c>
      <c r="C1241">
        <f t="shared" si="57"/>
        <v>0</v>
      </c>
      <c r="D1241">
        <f>SUM($C$3:C1241)</f>
        <v>7</v>
      </c>
      <c r="E1241" t="e">
        <f t="shared" si="58"/>
        <v>#N/A</v>
      </c>
      <c r="F1241" s="28" t="str">
        <f t="shared" ca="1" si="59"/>
        <v/>
      </c>
    </row>
    <row r="1242" spans="2:6" x14ac:dyDescent="0.2">
      <c r="B1242" t="str">
        <f>IFERROR(IF('PDCA review'!$D$2=Plan!B1243,Plan!G1243,""),"")</f>
        <v/>
      </c>
      <c r="C1242">
        <f t="shared" si="57"/>
        <v>0</v>
      </c>
      <c r="D1242">
        <f>SUM($C$3:C1242)</f>
        <v>7</v>
      </c>
      <c r="E1242" t="e">
        <f t="shared" si="58"/>
        <v>#N/A</v>
      </c>
      <c r="F1242" s="28" t="str">
        <f t="shared" ca="1" si="59"/>
        <v/>
      </c>
    </row>
    <row r="1243" spans="2:6" x14ac:dyDescent="0.2">
      <c r="B1243" t="str">
        <f>IFERROR(IF('PDCA review'!$D$2=Plan!B1244,Plan!G1244,""),"")</f>
        <v/>
      </c>
      <c r="C1243">
        <f t="shared" si="57"/>
        <v>0</v>
      </c>
      <c r="D1243">
        <f>SUM($C$3:C1243)</f>
        <v>7</v>
      </c>
      <c r="E1243" t="e">
        <f t="shared" si="58"/>
        <v>#N/A</v>
      </c>
      <c r="F1243" s="28" t="str">
        <f t="shared" ca="1" si="59"/>
        <v/>
      </c>
    </row>
    <row r="1244" spans="2:6" x14ac:dyDescent="0.2">
      <c r="B1244" t="str">
        <f>IFERROR(IF('PDCA review'!$D$2=Plan!B1245,Plan!G1245,""),"")</f>
        <v/>
      </c>
      <c r="C1244">
        <f t="shared" si="57"/>
        <v>0</v>
      </c>
      <c r="D1244">
        <f>SUM($C$3:C1244)</f>
        <v>7</v>
      </c>
      <c r="E1244" t="e">
        <f t="shared" si="58"/>
        <v>#N/A</v>
      </c>
      <c r="F1244" s="28" t="str">
        <f t="shared" ca="1" si="59"/>
        <v/>
      </c>
    </row>
    <row r="1245" spans="2:6" x14ac:dyDescent="0.2">
      <c r="B1245" t="str">
        <f>IFERROR(IF('PDCA review'!$D$2=Plan!B1246,Plan!G1246,""),"")</f>
        <v/>
      </c>
      <c r="C1245">
        <f t="shared" si="57"/>
        <v>0</v>
      </c>
      <c r="D1245">
        <f>SUM($C$3:C1245)</f>
        <v>7</v>
      </c>
      <c r="E1245" t="e">
        <f t="shared" si="58"/>
        <v>#N/A</v>
      </c>
      <c r="F1245" s="28" t="str">
        <f t="shared" ca="1" si="59"/>
        <v/>
      </c>
    </row>
    <row r="1246" spans="2:6" x14ac:dyDescent="0.2">
      <c r="B1246" t="str">
        <f>IFERROR(IF('PDCA review'!$D$2=Plan!B1247,Plan!G1247,""),"")</f>
        <v/>
      </c>
      <c r="C1246">
        <f t="shared" si="57"/>
        <v>0</v>
      </c>
      <c r="D1246">
        <f>SUM($C$3:C1246)</f>
        <v>7</v>
      </c>
      <c r="E1246" t="e">
        <f t="shared" si="58"/>
        <v>#N/A</v>
      </c>
      <c r="F1246" s="28" t="str">
        <f t="shared" ca="1" si="59"/>
        <v/>
      </c>
    </row>
    <row r="1247" spans="2:6" x14ac:dyDescent="0.2">
      <c r="B1247" t="str">
        <f>IFERROR(IF('PDCA review'!$D$2=Plan!B1248,Plan!G1248,""),"")</f>
        <v/>
      </c>
      <c r="C1247">
        <f t="shared" si="57"/>
        <v>0</v>
      </c>
      <c r="D1247">
        <f>SUM($C$3:C1247)</f>
        <v>7</v>
      </c>
      <c r="E1247" t="e">
        <f t="shared" si="58"/>
        <v>#N/A</v>
      </c>
      <c r="F1247" s="28" t="str">
        <f t="shared" ca="1" si="59"/>
        <v/>
      </c>
    </row>
    <row r="1248" spans="2:6" x14ac:dyDescent="0.2">
      <c r="B1248" t="str">
        <f>IFERROR(IF('PDCA review'!$D$2=Plan!B1249,Plan!G1249,""),"")</f>
        <v/>
      </c>
      <c r="C1248">
        <f t="shared" si="57"/>
        <v>0</v>
      </c>
      <c r="D1248">
        <f>SUM($C$3:C1248)</f>
        <v>7</v>
      </c>
      <c r="E1248" t="e">
        <f t="shared" si="58"/>
        <v>#N/A</v>
      </c>
      <c r="F1248" s="28" t="str">
        <f t="shared" ca="1" si="59"/>
        <v/>
      </c>
    </row>
    <row r="1249" spans="2:6" x14ac:dyDescent="0.2">
      <c r="B1249" t="str">
        <f>IFERROR(IF('PDCA review'!$D$2=Plan!B1250,Plan!G1250,""),"")</f>
        <v/>
      </c>
      <c r="C1249">
        <f t="shared" si="57"/>
        <v>0</v>
      </c>
      <c r="D1249">
        <f>SUM($C$3:C1249)</f>
        <v>7</v>
      </c>
      <c r="E1249" t="e">
        <f t="shared" si="58"/>
        <v>#N/A</v>
      </c>
      <c r="F1249" s="28" t="str">
        <f t="shared" ca="1" si="59"/>
        <v/>
      </c>
    </row>
    <row r="1250" spans="2:6" x14ac:dyDescent="0.2">
      <c r="B1250" t="str">
        <f>IFERROR(IF('PDCA review'!$D$2=Plan!B1251,Plan!G1251,""),"")</f>
        <v/>
      </c>
      <c r="C1250">
        <f t="shared" si="57"/>
        <v>0</v>
      </c>
      <c r="D1250">
        <f>SUM($C$3:C1250)</f>
        <v>7</v>
      </c>
      <c r="E1250" t="e">
        <f t="shared" si="58"/>
        <v>#N/A</v>
      </c>
      <c r="F1250" s="28" t="str">
        <f t="shared" ca="1" si="59"/>
        <v/>
      </c>
    </row>
    <row r="1251" spans="2:6" x14ac:dyDescent="0.2">
      <c r="B1251" t="str">
        <f>IFERROR(IF('PDCA review'!$D$2=Plan!B1252,Plan!G1252,""),"")</f>
        <v/>
      </c>
      <c r="C1251">
        <f t="shared" si="57"/>
        <v>0</v>
      </c>
      <c r="D1251">
        <f>SUM($C$3:C1251)</f>
        <v>7</v>
      </c>
      <c r="E1251" t="e">
        <f t="shared" si="58"/>
        <v>#N/A</v>
      </c>
      <c r="F1251" s="28" t="str">
        <f t="shared" ca="1" si="59"/>
        <v/>
      </c>
    </row>
    <row r="1252" spans="2:6" x14ac:dyDescent="0.2">
      <c r="B1252" t="str">
        <f>IFERROR(IF('PDCA review'!$D$2=Plan!B1253,Plan!G1253,""),"")</f>
        <v/>
      </c>
      <c r="C1252">
        <f t="shared" si="57"/>
        <v>0</v>
      </c>
      <c r="D1252">
        <f>SUM($C$3:C1252)</f>
        <v>7</v>
      </c>
      <c r="E1252" t="e">
        <f t="shared" si="58"/>
        <v>#N/A</v>
      </c>
      <c r="F1252" s="28" t="str">
        <f t="shared" ca="1" si="59"/>
        <v/>
      </c>
    </row>
    <row r="1253" spans="2:6" x14ac:dyDescent="0.2">
      <c r="B1253" t="str">
        <f>IFERROR(IF('PDCA review'!$D$2=Plan!B1254,Plan!G1254,""),"")</f>
        <v/>
      </c>
      <c r="C1253">
        <f t="shared" si="57"/>
        <v>0</v>
      </c>
      <c r="D1253">
        <f>SUM($C$3:C1253)</f>
        <v>7</v>
      </c>
      <c r="E1253" t="e">
        <f t="shared" si="58"/>
        <v>#N/A</v>
      </c>
      <c r="F1253" s="28" t="str">
        <f t="shared" ca="1" si="59"/>
        <v/>
      </c>
    </row>
    <row r="1254" spans="2:6" x14ac:dyDescent="0.2">
      <c r="B1254" t="str">
        <f>IFERROR(IF('PDCA review'!$D$2=Plan!B1255,Plan!G1255,""),"")</f>
        <v/>
      </c>
      <c r="C1254">
        <f t="shared" si="57"/>
        <v>0</v>
      </c>
      <c r="D1254">
        <f>SUM($C$3:C1254)</f>
        <v>7</v>
      </c>
      <c r="E1254" t="e">
        <f t="shared" si="58"/>
        <v>#N/A</v>
      </c>
      <c r="F1254" s="28" t="str">
        <f t="shared" ca="1" si="59"/>
        <v/>
      </c>
    </row>
    <row r="1255" spans="2:6" x14ac:dyDescent="0.2">
      <c r="B1255" t="str">
        <f>IFERROR(IF('PDCA review'!$D$2=Plan!B1256,Plan!G1256,""),"")</f>
        <v/>
      </c>
      <c r="C1255">
        <f t="shared" si="57"/>
        <v>0</v>
      </c>
      <c r="D1255">
        <f>SUM($C$3:C1255)</f>
        <v>7</v>
      </c>
      <c r="E1255" t="e">
        <f t="shared" si="58"/>
        <v>#N/A</v>
      </c>
      <c r="F1255" s="28" t="str">
        <f t="shared" ca="1" si="59"/>
        <v/>
      </c>
    </row>
    <row r="1256" spans="2:6" x14ac:dyDescent="0.2">
      <c r="B1256" t="str">
        <f>IFERROR(IF('PDCA review'!$D$2=Plan!B1257,Plan!G1257,""),"")</f>
        <v/>
      </c>
      <c r="C1256">
        <f t="shared" si="57"/>
        <v>0</v>
      </c>
      <c r="D1256">
        <f>SUM($C$3:C1256)</f>
        <v>7</v>
      </c>
      <c r="E1256" t="e">
        <f t="shared" si="58"/>
        <v>#N/A</v>
      </c>
      <c r="F1256" s="28" t="str">
        <f t="shared" ca="1" si="59"/>
        <v/>
      </c>
    </row>
    <row r="1257" spans="2:6" x14ac:dyDescent="0.2">
      <c r="B1257" t="str">
        <f>IFERROR(IF('PDCA review'!$D$2=Plan!B1258,Plan!G1258,""),"")</f>
        <v/>
      </c>
      <c r="C1257">
        <f t="shared" si="57"/>
        <v>0</v>
      </c>
      <c r="D1257">
        <f>SUM($C$3:C1257)</f>
        <v>7</v>
      </c>
      <c r="E1257" t="e">
        <f t="shared" si="58"/>
        <v>#N/A</v>
      </c>
      <c r="F1257" s="28" t="str">
        <f t="shared" ca="1" si="59"/>
        <v/>
      </c>
    </row>
    <row r="1258" spans="2:6" x14ac:dyDescent="0.2">
      <c r="B1258" t="str">
        <f>IFERROR(IF('PDCA review'!$D$2=Plan!B1259,Plan!G1259,""),"")</f>
        <v/>
      </c>
      <c r="C1258">
        <f t="shared" si="57"/>
        <v>0</v>
      </c>
      <c r="D1258">
        <f>SUM($C$3:C1258)</f>
        <v>7</v>
      </c>
      <c r="E1258" t="e">
        <f t="shared" si="58"/>
        <v>#N/A</v>
      </c>
      <c r="F1258" s="28" t="str">
        <f t="shared" ca="1" si="59"/>
        <v/>
      </c>
    </row>
    <row r="1259" spans="2:6" x14ac:dyDescent="0.2">
      <c r="B1259" t="str">
        <f>IFERROR(IF('PDCA review'!$D$2=Plan!B1260,Plan!G1260,""),"")</f>
        <v/>
      </c>
      <c r="C1259">
        <f t="shared" si="57"/>
        <v>0</v>
      </c>
      <c r="D1259">
        <f>SUM($C$3:C1259)</f>
        <v>7</v>
      </c>
      <c r="E1259" t="e">
        <f t="shared" si="58"/>
        <v>#N/A</v>
      </c>
      <c r="F1259" s="28" t="str">
        <f t="shared" ca="1" si="59"/>
        <v/>
      </c>
    </row>
    <row r="1260" spans="2:6" x14ac:dyDescent="0.2">
      <c r="B1260" t="str">
        <f>IFERROR(IF('PDCA review'!$D$2=Plan!B1261,Plan!G1261,""),"")</f>
        <v/>
      </c>
      <c r="C1260">
        <f t="shared" si="57"/>
        <v>0</v>
      </c>
      <c r="D1260">
        <f>SUM($C$3:C1260)</f>
        <v>7</v>
      </c>
      <c r="E1260" t="e">
        <f t="shared" si="58"/>
        <v>#N/A</v>
      </c>
      <c r="F1260" s="28" t="str">
        <f t="shared" ca="1" si="59"/>
        <v/>
      </c>
    </row>
    <row r="1261" spans="2:6" x14ac:dyDescent="0.2">
      <c r="B1261" t="str">
        <f>IFERROR(IF('PDCA review'!$D$2=Plan!B1262,Plan!G1262,""),"")</f>
        <v/>
      </c>
      <c r="C1261">
        <f t="shared" si="57"/>
        <v>0</v>
      </c>
      <c r="D1261">
        <f>SUM($C$3:C1261)</f>
        <v>7</v>
      </c>
      <c r="E1261" t="e">
        <f t="shared" si="58"/>
        <v>#N/A</v>
      </c>
      <c r="F1261" s="28" t="str">
        <f t="shared" ca="1" si="59"/>
        <v/>
      </c>
    </row>
    <row r="1262" spans="2:6" x14ac:dyDescent="0.2">
      <c r="B1262" t="str">
        <f>IFERROR(IF('PDCA review'!$D$2=Plan!B1263,Plan!G1263,""),"")</f>
        <v/>
      </c>
      <c r="C1262">
        <f t="shared" si="57"/>
        <v>0</v>
      </c>
      <c r="D1262">
        <f>SUM($C$3:C1262)</f>
        <v>7</v>
      </c>
      <c r="E1262" t="e">
        <f t="shared" si="58"/>
        <v>#N/A</v>
      </c>
      <c r="F1262" s="28" t="str">
        <f t="shared" ca="1" si="59"/>
        <v/>
      </c>
    </row>
    <row r="1263" spans="2:6" x14ac:dyDescent="0.2">
      <c r="B1263" t="str">
        <f>IFERROR(IF('PDCA review'!$D$2=Plan!B1264,Plan!G1264,""),"")</f>
        <v/>
      </c>
      <c r="C1263">
        <f t="shared" si="57"/>
        <v>0</v>
      </c>
      <c r="D1263">
        <f>SUM($C$3:C1263)</f>
        <v>7</v>
      </c>
      <c r="E1263" t="e">
        <f t="shared" si="58"/>
        <v>#N/A</v>
      </c>
      <c r="F1263" s="28" t="str">
        <f t="shared" ca="1" si="59"/>
        <v/>
      </c>
    </row>
    <row r="1264" spans="2:6" x14ac:dyDescent="0.2">
      <c r="B1264" t="str">
        <f>IFERROR(IF('PDCA review'!$D$2=Plan!B1265,Plan!G1265,""),"")</f>
        <v/>
      </c>
      <c r="C1264">
        <f t="shared" si="57"/>
        <v>0</v>
      </c>
      <c r="D1264">
        <f>SUM($C$3:C1264)</f>
        <v>7</v>
      </c>
      <c r="E1264" t="e">
        <f t="shared" si="58"/>
        <v>#N/A</v>
      </c>
      <c r="F1264" s="28" t="str">
        <f t="shared" ca="1" si="59"/>
        <v/>
      </c>
    </row>
    <row r="1265" spans="2:6" x14ac:dyDescent="0.2">
      <c r="B1265" t="str">
        <f>IFERROR(IF('PDCA review'!$D$2=Plan!B1266,Plan!G1266,""),"")</f>
        <v/>
      </c>
      <c r="C1265">
        <f t="shared" si="57"/>
        <v>0</v>
      </c>
      <c r="D1265">
        <f>SUM($C$3:C1265)</f>
        <v>7</v>
      </c>
      <c r="E1265" t="e">
        <f t="shared" si="58"/>
        <v>#N/A</v>
      </c>
      <c r="F1265" s="28" t="str">
        <f t="shared" ca="1" si="59"/>
        <v/>
      </c>
    </row>
    <row r="1266" spans="2:6" x14ac:dyDescent="0.2">
      <c r="B1266" t="str">
        <f>IFERROR(IF('PDCA review'!$D$2=Plan!B1267,Plan!G1267,""),"")</f>
        <v/>
      </c>
      <c r="C1266">
        <f t="shared" si="57"/>
        <v>0</v>
      </c>
      <c r="D1266">
        <f>SUM($C$3:C1266)</f>
        <v>7</v>
      </c>
      <c r="E1266" t="e">
        <f t="shared" si="58"/>
        <v>#N/A</v>
      </c>
      <c r="F1266" s="28" t="str">
        <f t="shared" ca="1" si="59"/>
        <v/>
      </c>
    </row>
    <row r="1267" spans="2:6" x14ac:dyDescent="0.2">
      <c r="B1267" t="str">
        <f>IFERROR(IF('PDCA review'!$D$2=Plan!B1268,Plan!G1268,""),"")</f>
        <v/>
      </c>
      <c r="C1267">
        <f t="shared" si="57"/>
        <v>0</v>
      </c>
      <c r="D1267">
        <f>SUM($C$3:C1267)</f>
        <v>7</v>
      </c>
      <c r="E1267" t="e">
        <f t="shared" si="58"/>
        <v>#N/A</v>
      </c>
      <c r="F1267" s="28" t="str">
        <f t="shared" ca="1" si="59"/>
        <v/>
      </c>
    </row>
    <row r="1268" spans="2:6" x14ac:dyDescent="0.2">
      <c r="B1268" t="str">
        <f>IFERROR(IF('PDCA review'!$D$2=Plan!B1269,Plan!G1269,""),"")</f>
        <v/>
      </c>
      <c r="C1268">
        <f t="shared" si="57"/>
        <v>0</v>
      </c>
      <c r="D1268">
        <f>SUM($C$3:C1268)</f>
        <v>7</v>
      </c>
      <c r="E1268" t="e">
        <f t="shared" si="58"/>
        <v>#N/A</v>
      </c>
      <c r="F1268" s="28" t="str">
        <f t="shared" ca="1" si="59"/>
        <v/>
      </c>
    </row>
    <row r="1269" spans="2:6" x14ac:dyDescent="0.2">
      <c r="B1269" t="str">
        <f>IFERROR(IF('PDCA review'!$D$2=Plan!B1270,Plan!G1270,""),"")</f>
        <v/>
      </c>
      <c r="C1269">
        <f t="shared" si="57"/>
        <v>0</v>
      </c>
      <c r="D1269">
        <f>SUM($C$3:C1269)</f>
        <v>7</v>
      </c>
      <c r="E1269" t="e">
        <f t="shared" si="58"/>
        <v>#N/A</v>
      </c>
      <c r="F1269" s="28" t="str">
        <f t="shared" ca="1" si="59"/>
        <v/>
      </c>
    </row>
    <row r="1270" spans="2:6" x14ac:dyDescent="0.2">
      <c r="B1270" t="str">
        <f>IFERROR(IF('PDCA review'!$D$2=Plan!B1271,Plan!G1271,""),"")</f>
        <v/>
      </c>
      <c r="C1270">
        <f t="shared" si="57"/>
        <v>0</v>
      </c>
      <c r="D1270">
        <f>SUM($C$3:C1270)</f>
        <v>7</v>
      </c>
      <c r="E1270" t="e">
        <f t="shared" si="58"/>
        <v>#N/A</v>
      </c>
      <c r="F1270" s="28" t="str">
        <f t="shared" ca="1" si="59"/>
        <v/>
      </c>
    </row>
    <row r="1271" spans="2:6" x14ac:dyDescent="0.2">
      <c r="B1271" t="str">
        <f>IFERROR(IF('PDCA review'!$D$2=Plan!B1272,Plan!G1272,""),"")</f>
        <v/>
      </c>
      <c r="C1271">
        <f t="shared" si="57"/>
        <v>0</v>
      </c>
      <c r="D1271">
        <f>SUM($C$3:C1271)</f>
        <v>7</v>
      </c>
      <c r="E1271" t="e">
        <f t="shared" si="58"/>
        <v>#N/A</v>
      </c>
      <c r="F1271" s="28" t="str">
        <f t="shared" ca="1" si="59"/>
        <v/>
      </c>
    </row>
    <row r="1272" spans="2:6" x14ac:dyDescent="0.2">
      <c r="B1272" t="str">
        <f>IFERROR(IF('PDCA review'!$D$2=Plan!B1273,Plan!G1273,""),"")</f>
        <v/>
      </c>
      <c r="C1272">
        <f t="shared" si="57"/>
        <v>0</v>
      </c>
      <c r="D1272">
        <f>SUM($C$3:C1272)</f>
        <v>7</v>
      </c>
      <c r="E1272" t="e">
        <f t="shared" si="58"/>
        <v>#N/A</v>
      </c>
      <c r="F1272" s="28" t="str">
        <f t="shared" ca="1" si="59"/>
        <v/>
      </c>
    </row>
    <row r="1273" spans="2:6" x14ac:dyDescent="0.2">
      <c r="B1273" t="str">
        <f>IFERROR(IF('PDCA review'!$D$2=Plan!B1274,Plan!G1274,""),"")</f>
        <v/>
      </c>
      <c r="C1273">
        <f t="shared" si="57"/>
        <v>0</v>
      </c>
      <c r="D1273">
        <f>SUM($C$3:C1273)</f>
        <v>7</v>
      </c>
      <c r="E1273" t="e">
        <f t="shared" si="58"/>
        <v>#N/A</v>
      </c>
      <c r="F1273" s="28" t="str">
        <f t="shared" ca="1" si="59"/>
        <v/>
      </c>
    </row>
    <row r="1274" spans="2:6" x14ac:dyDescent="0.2">
      <c r="B1274" t="str">
        <f>IFERROR(IF('PDCA review'!$D$2=Plan!B1275,Plan!G1275,""),"")</f>
        <v/>
      </c>
      <c r="C1274">
        <f t="shared" si="57"/>
        <v>0</v>
      </c>
      <c r="D1274">
        <f>SUM($C$3:C1274)</f>
        <v>7</v>
      </c>
      <c r="E1274" t="e">
        <f t="shared" si="58"/>
        <v>#N/A</v>
      </c>
      <c r="F1274" s="28" t="str">
        <f t="shared" ca="1" si="59"/>
        <v/>
      </c>
    </row>
    <row r="1275" spans="2:6" x14ac:dyDescent="0.2">
      <c r="B1275" t="str">
        <f>IFERROR(IF('PDCA review'!$D$2=Plan!B1276,Plan!G1276,""),"")</f>
        <v/>
      </c>
      <c r="C1275">
        <f t="shared" si="57"/>
        <v>0</v>
      </c>
      <c r="D1275">
        <f>SUM($C$3:C1275)</f>
        <v>7</v>
      </c>
      <c r="E1275" t="e">
        <f t="shared" si="58"/>
        <v>#N/A</v>
      </c>
      <c r="F1275" s="28" t="str">
        <f t="shared" ca="1" si="59"/>
        <v/>
      </c>
    </row>
    <row r="1276" spans="2:6" x14ac:dyDescent="0.2">
      <c r="B1276" t="str">
        <f>IFERROR(IF('PDCA review'!$D$2=Plan!B1277,Plan!G1277,""),"")</f>
        <v/>
      </c>
      <c r="C1276">
        <f t="shared" si="57"/>
        <v>0</v>
      </c>
      <c r="D1276">
        <f>SUM($C$3:C1276)</f>
        <v>7</v>
      </c>
      <c r="E1276" t="e">
        <f t="shared" si="58"/>
        <v>#N/A</v>
      </c>
      <c r="F1276" s="28" t="str">
        <f t="shared" ca="1" si="59"/>
        <v/>
      </c>
    </row>
    <row r="1277" spans="2:6" x14ac:dyDescent="0.2">
      <c r="B1277" t="str">
        <f>IFERROR(IF('PDCA review'!$D$2=Plan!B1278,Plan!G1278,""),"")</f>
        <v/>
      </c>
      <c r="C1277">
        <f t="shared" si="57"/>
        <v>0</v>
      </c>
      <c r="D1277">
        <f>SUM($C$3:C1277)</f>
        <v>7</v>
      </c>
      <c r="E1277" t="e">
        <f t="shared" si="58"/>
        <v>#N/A</v>
      </c>
      <c r="F1277" s="28" t="str">
        <f t="shared" ca="1" si="59"/>
        <v/>
      </c>
    </row>
    <row r="1278" spans="2:6" x14ac:dyDescent="0.2">
      <c r="B1278" t="str">
        <f>IFERROR(IF('PDCA review'!$D$2=Plan!B1279,Plan!G1279,""),"")</f>
        <v/>
      </c>
      <c r="C1278">
        <f t="shared" si="57"/>
        <v>0</v>
      </c>
      <c r="D1278">
        <f>SUM($C$3:C1278)</f>
        <v>7</v>
      </c>
      <c r="E1278" t="e">
        <f t="shared" si="58"/>
        <v>#N/A</v>
      </c>
      <c r="F1278" s="28" t="str">
        <f t="shared" ca="1" si="59"/>
        <v/>
      </c>
    </row>
    <row r="1279" spans="2:6" x14ac:dyDescent="0.2">
      <c r="B1279" t="str">
        <f>IFERROR(IF('PDCA review'!$D$2=Plan!B1280,Plan!G1280,""),"")</f>
        <v/>
      </c>
      <c r="C1279">
        <f t="shared" si="57"/>
        <v>0</v>
      </c>
      <c r="D1279">
        <f>SUM($C$3:C1279)</f>
        <v>7</v>
      </c>
      <c r="E1279" t="e">
        <f t="shared" si="58"/>
        <v>#N/A</v>
      </c>
      <c r="F1279" s="28" t="str">
        <f t="shared" ca="1" si="59"/>
        <v/>
      </c>
    </row>
    <row r="1280" spans="2:6" x14ac:dyDescent="0.2">
      <c r="B1280" t="str">
        <f>IFERROR(IF('PDCA review'!$D$2=Plan!B1281,Plan!G1281,""),"")</f>
        <v/>
      </c>
      <c r="C1280">
        <f t="shared" si="57"/>
        <v>0</v>
      </c>
      <c r="D1280">
        <f>SUM($C$3:C1280)</f>
        <v>7</v>
      </c>
      <c r="E1280" t="e">
        <f t="shared" si="58"/>
        <v>#N/A</v>
      </c>
      <c r="F1280" s="28" t="str">
        <f t="shared" ca="1" si="59"/>
        <v/>
      </c>
    </row>
    <row r="1281" spans="2:6" x14ac:dyDescent="0.2">
      <c r="B1281" t="str">
        <f>IFERROR(IF('PDCA review'!$D$2=Plan!B1282,Plan!G1282,""),"")</f>
        <v/>
      </c>
      <c r="C1281">
        <f t="shared" si="57"/>
        <v>0</v>
      </c>
      <c r="D1281">
        <f>SUM($C$3:C1281)</f>
        <v>7</v>
      </c>
      <c r="E1281" t="e">
        <f t="shared" si="58"/>
        <v>#N/A</v>
      </c>
      <c r="F1281" s="28" t="str">
        <f t="shared" ca="1" si="59"/>
        <v/>
      </c>
    </row>
    <row r="1282" spans="2:6" x14ac:dyDescent="0.2">
      <c r="B1282" t="str">
        <f>IFERROR(IF('PDCA review'!$D$2=Plan!B1283,Plan!G1283,""),"")</f>
        <v/>
      </c>
      <c r="C1282">
        <f t="shared" si="57"/>
        <v>0</v>
      </c>
      <c r="D1282">
        <f>SUM($C$3:C1282)</f>
        <v>7</v>
      </c>
      <c r="E1282" t="e">
        <f t="shared" si="58"/>
        <v>#N/A</v>
      </c>
      <c r="F1282" s="28" t="str">
        <f t="shared" ca="1" si="59"/>
        <v/>
      </c>
    </row>
    <row r="1283" spans="2:6" x14ac:dyDescent="0.2">
      <c r="B1283" t="str">
        <f>IFERROR(IF('PDCA review'!$D$2=Plan!B1284,Plan!G1284,""),"")</f>
        <v/>
      </c>
      <c r="C1283">
        <f t="shared" si="57"/>
        <v>0</v>
      </c>
      <c r="D1283">
        <f>SUM($C$3:C1283)</f>
        <v>7</v>
      </c>
      <c r="E1283" t="e">
        <f t="shared" si="58"/>
        <v>#N/A</v>
      </c>
      <c r="F1283" s="28" t="str">
        <f t="shared" ca="1" si="59"/>
        <v/>
      </c>
    </row>
    <row r="1284" spans="2:6" x14ac:dyDescent="0.2">
      <c r="B1284" t="str">
        <f>IFERROR(IF('PDCA review'!$D$2=Plan!B1285,Plan!G1285,""),"")</f>
        <v/>
      </c>
      <c r="C1284">
        <f t="shared" ref="C1284:C1347" si="60">IF(B1284&lt;&gt;"",1,0)</f>
        <v>0</v>
      </c>
      <c r="D1284">
        <f>SUM($C$3:C1284)</f>
        <v>7</v>
      </c>
      <c r="E1284" t="e">
        <f t="shared" ref="E1284:E1347" si="61">MATCH(ROW()-$D$2,$D$3:$D$2000,0)+$D$2</f>
        <v>#N/A</v>
      </c>
      <c r="F1284" s="28" t="str">
        <f t="shared" ref="F1284:F1347" ca="1" si="62">IFERROR(INDIRECT("B"&amp;E1284),"")</f>
        <v/>
      </c>
    </row>
    <row r="1285" spans="2:6" x14ac:dyDescent="0.2">
      <c r="B1285" t="str">
        <f>IFERROR(IF('PDCA review'!$D$2=Plan!B1286,Plan!G1286,""),"")</f>
        <v/>
      </c>
      <c r="C1285">
        <f t="shared" si="60"/>
        <v>0</v>
      </c>
      <c r="D1285">
        <f>SUM($C$3:C1285)</f>
        <v>7</v>
      </c>
      <c r="E1285" t="e">
        <f t="shared" si="61"/>
        <v>#N/A</v>
      </c>
      <c r="F1285" s="28" t="str">
        <f t="shared" ca="1" si="62"/>
        <v/>
      </c>
    </row>
    <row r="1286" spans="2:6" x14ac:dyDescent="0.2">
      <c r="B1286" t="str">
        <f>IFERROR(IF('PDCA review'!$D$2=Plan!B1287,Plan!G1287,""),"")</f>
        <v/>
      </c>
      <c r="C1286">
        <f t="shared" si="60"/>
        <v>0</v>
      </c>
      <c r="D1286">
        <f>SUM($C$3:C1286)</f>
        <v>7</v>
      </c>
      <c r="E1286" t="e">
        <f t="shared" si="61"/>
        <v>#N/A</v>
      </c>
      <c r="F1286" s="28" t="str">
        <f t="shared" ca="1" si="62"/>
        <v/>
      </c>
    </row>
    <row r="1287" spans="2:6" x14ac:dyDescent="0.2">
      <c r="B1287" t="str">
        <f>IFERROR(IF('PDCA review'!$D$2=Plan!B1288,Plan!G1288,""),"")</f>
        <v/>
      </c>
      <c r="C1287">
        <f t="shared" si="60"/>
        <v>0</v>
      </c>
      <c r="D1287">
        <f>SUM($C$3:C1287)</f>
        <v>7</v>
      </c>
      <c r="E1287" t="e">
        <f t="shared" si="61"/>
        <v>#N/A</v>
      </c>
      <c r="F1287" s="28" t="str">
        <f t="shared" ca="1" si="62"/>
        <v/>
      </c>
    </row>
    <row r="1288" spans="2:6" x14ac:dyDescent="0.2">
      <c r="B1288" t="str">
        <f>IFERROR(IF('PDCA review'!$D$2=Plan!B1289,Plan!G1289,""),"")</f>
        <v/>
      </c>
      <c r="C1288">
        <f t="shared" si="60"/>
        <v>0</v>
      </c>
      <c r="D1288">
        <f>SUM($C$3:C1288)</f>
        <v>7</v>
      </c>
      <c r="E1288" t="e">
        <f t="shared" si="61"/>
        <v>#N/A</v>
      </c>
      <c r="F1288" s="28" t="str">
        <f t="shared" ca="1" si="62"/>
        <v/>
      </c>
    </row>
    <row r="1289" spans="2:6" x14ac:dyDescent="0.2">
      <c r="B1289" t="str">
        <f>IFERROR(IF('PDCA review'!$D$2=Plan!B1290,Plan!G1290,""),"")</f>
        <v/>
      </c>
      <c r="C1289">
        <f t="shared" si="60"/>
        <v>0</v>
      </c>
      <c r="D1289">
        <f>SUM($C$3:C1289)</f>
        <v>7</v>
      </c>
      <c r="E1289" t="e">
        <f t="shared" si="61"/>
        <v>#N/A</v>
      </c>
      <c r="F1289" s="28" t="str">
        <f t="shared" ca="1" si="62"/>
        <v/>
      </c>
    </row>
    <row r="1290" spans="2:6" x14ac:dyDescent="0.2">
      <c r="B1290" t="str">
        <f>IFERROR(IF('PDCA review'!$D$2=Plan!B1291,Plan!G1291,""),"")</f>
        <v/>
      </c>
      <c r="C1290">
        <f t="shared" si="60"/>
        <v>0</v>
      </c>
      <c r="D1290">
        <f>SUM($C$3:C1290)</f>
        <v>7</v>
      </c>
      <c r="E1290" t="e">
        <f t="shared" si="61"/>
        <v>#N/A</v>
      </c>
      <c r="F1290" s="28" t="str">
        <f t="shared" ca="1" si="62"/>
        <v/>
      </c>
    </row>
    <row r="1291" spans="2:6" x14ac:dyDescent="0.2">
      <c r="B1291" t="str">
        <f>IFERROR(IF('PDCA review'!$D$2=Plan!B1292,Plan!G1292,""),"")</f>
        <v/>
      </c>
      <c r="C1291">
        <f t="shared" si="60"/>
        <v>0</v>
      </c>
      <c r="D1291">
        <f>SUM($C$3:C1291)</f>
        <v>7</v>
      </c>
      <c r="E1291" t="e">
        <f t="shared" si="61"/>
        <v>#N/A</v>
      </c>
      <c r="F1291" s="28" t="str">
        <f t="shared" ca="1" si="62"/>
        <v/>
      </c>
    </row>
    <row r="1292" spans="2:6" x14ac:dyDescent="0.2">
      <c r="B1292" t="str">
        <f>IFERROR(IF('PDCA review'!$D$2=Plan!B1293,Plan!G1293,""),"")</f>
        <v/>
      </c>
      <c r="C1292">
        <f t="shared" si="60"/>
        <v>0</v>
      </c>
      <c r="D1292">
        <f>SUM($C$3:C1292)</f>
        <v>7</v>
      </c>
      <c r="E1292" t="e">
        <f t="shared" si="61"/>
        <v>#N/A</v>
      </c>
      <c r="F1292" s="28" t="str">
        <f t="shared" ca="1" si="62"/>
        <v/>
      </c>
    </row>
    <row r="1293" spans="2:6" x14ac:dyDescent="0.2">
      <c r="B1293" t="str">
        <f>IFERROR(IF('PDCA review'!$D$2=Plan!B1294,Plan!G1294,""),"")</f>
        <v/>
      </c>
      <c r="C1293">
        <f t="shared" si="60"/>
        <v>0</v>
      </c>
      <c r="D1293">
        <f>SUM($C$3:C1293)</f>
        <v>7</v>
      </c>
      <c r="E1293" t="e">
        <f t="shared" si="61"/>
        <v>#N/A</v>
      </c>
      <c r="F1293" s="28" t="str">
        <f t="shared" ca="1" si="62"/>
        <v/>
      </c>
    </row>
    <row r="1294" spans="2:6" x14ac:dyDescent="0.2">
      <c r="B1294" t="str">
        <f>IFERROR(IF('PDCA review'!$D$2=Plan!B1295,Plan!G1295,""),"")</f>
        <v/>
      </c>
      <c r="C1294">
        <f t="shared" si="60"/>
        <v>0</v>
      </c>
      <c r="D1294">
        <f>SUM($C$3:C1294)</f>
        <v>7</v>
      </c>
      <c r="E1294" t="e">
        <f t="shared" si="61"/>
        <v>#N/A</v>
      </c>
      <c r="F1294" s="28" t="str">
        <f t="shared" ca="1" si="62"/>
        <v/>
      </c>
    </row>
    <row r="1295" spans="2:6" x14ac:dyDescent="0.2">
      <c r="B1295" t="str">
        <f>IFERROR(IF('PDCA review'!$D$2=Plan!B1296,Plan!G1296,""),"")</f>
        <v/>
      </c>
      <c r="C1295">
        <f t="shared" si="60"/>
        <v>0</v>
      </c>
      <c r="D1295">
        <f>SUM($C$3:C1295)</f>
        <v>7</v>
      </c>
      <c r="E1295" t="e">
        <f t="shared" si="61"/>
        <v>#N/A</v>
      </c>
      <c r="F1295" s="28" t="str">
        <f t="shared" ca="1" si="62"/>
        <v/>
      </c>
    </row>
    <row r="1296" spans="2:6" x14ac:dyDescent="0.2">
      <c r="B1296" t="str">
        <f>IFERROR(IF('PDCA review'!$D$2=Plan!B1297,Plan!G1297,""),"")</f>
        <v/>
      </c>
      <c r="C1296">
        <f t="shared" si="60"/>
        <v>0</v>
      </c>
      <c r="D1296">
        <f>SUM($C$3:C1296)</f>
        <v>7</v>
      </c>
      <c r="E1296" t="e">
        <f t="shared" si="61"/>
        <v>#N/A</v>
      </c>
      <c r="F1296" s="28" t="str">
        <f t="shared" ca="1" si="62"/>
        <v/>
      </c>
    </row>
    <row r="1297" spans="2:6" x14ac:dyDescent="0.2">
      <c r="B1297" t="str">
        <f>IFERROR(IF('PDCA review'!$D$2=Plan!B1298,Plan!G1298,""),"")</f>
        <v/>
      </c>
      <c r="C1297">
        <f t="shared" si="60"/>
        <v>0</v>
      </c>
      <c r="D1297">
        <f>SUM($C$3:C1297)</f>
        <v>7</v>
      </c>
      <c r="E1297" t="e">
        <f t="shared" si="61"/>
        <v>#N/A</v>
      </c>
      <c r="F1297" s="28" t="str">
        <f t="shared" ca="1" si="62"/>
        <v/>
      </c>
    </row>
    <row r="1298" spans="2:6" x14ac:dyDescent="0.2">
      <c r="B1298" t="str">
        <f>IFERROR(IF('PDCA review'!$D$2=Plan!B1299,Plan!G1299,""),"")</f>
        <v/>
      </c>
      <c r="C1298">
        <f t="shared" si="60"/>
        <v>0</v>
      </c>
      <c r="D1298">
        <f>SUM($C$3:C1298)</f>
        <v>7</v>
      </c>
      <c r="E1298" t="e">
        <f t="shared" si="61"/>
        <v>#N/A</v>
      </c>
      <c r="F1298" s="28" t="str">
        <f t="shared" ca="1" si="62"/>
        <v/>
      </c>
    </row>
    <row r="1299" spans="2:6" x14ac:dyDescent="0.2">
      <c r="B1299" t="str">
        <f>IFERROR(IF('PDCA review'!$D$2=Plan!B1300,Plan!G1300,""),"")</f>
        <v/>
      </c>
      <c r="C1299">
        <f t="shared" si="60"/>
        <v>0</v>
      </c>
      <c r="D1299">
        <f>SUM($C$3:C1299)</f>
        <v>7</v>
      </c>
      <c r="E1299" t="e">
        <f t="shared" si="61"/>
        <v>#N/A</v>
      </c>
      <c r="F1299" s="28" t="str">
        <f t="shared" ca="1" si="62"/>
        <v/>
      </c>
    </row>
    <row r="1300" spans="2:6" x14ac:dyDescent="0.2">
      <c r="B1300" t="str">
        <f>IFERROR(IF('PDCA review'!$D$2=Plan!B1301,Plan!G1301,""),"")</f>
        <v/>
      </c>
      <c r="C1300">
        <f t="shared" si="60"/>
        <v>0</v>
      </c>
      <c r="D1300">
        <f>SUM($C$3:C1300)</f>
        <v>7</v>
      </c>
      <c r="E1300" t="e">
        <f t="shared" si="61"/>
        <v>#N/A</v>
      </c>
      <c r="F1300" s="28" t="str">
        <f t="shared" ca="1" si="62"/>
        <v/>
      </c>
    </row>
    <row r="1301" spans="2:6" x14ac:dyDescent="0.2">
      <c r="B1301" t="str">
        <f>IFERROR(IF('PDCA review'!$D$2=Plan!B1302,Plan!G1302,""),"")</f>
        <v/>
      </c>
      <c r="C1301">
        <f t="shared" si="60"/>
        <v>0</v>
      </c>
      <c r="D1301">
        <f>SUM($C$3:C1301)</f>
        <v>7</v>
      </c>
      <c r="E1301" t="e">
        <f t="shared" si="61"/>
        <v>#N/A</v>
      </c>
      <c r="F1301" s="28" t="str">
        <f t="shared" ca="1" si="62"/>
        <v/>
      </c>
    </row>
    <row r="1302" spans="2:6" x14ac:dyDescent="0.2">
      <c r="B1302" t="str">
        <f>IFERROR(IF('PDCA review'!$D$2=Plan!B1303,Plan!G1303,""),"")</f>
        <v/>
      </c>
      <c r="C1302">
        <f t="shared" si="60"/>
        <v>0</v>
      </c>
      <c r="D1302">
        <f>SUM($C$3:C1302)</f>
        <v>7</v>
      </c>
      <c r="E1302" t="e">
        <f t="shared" si="61"/>
        <v>#N/A</v>
      </c>
      <c r="F1302" s="28" t="str">
        <f t="shared" ca="1" si="62"/>
        <v/>
      </c>
    </row>
    <row r="1303" spans="2:6" x14ac:dyDescent="0.2">
      <c r="B1303" t="str">
        <f>IFERROR(IF('PDCA review'!$D$2=Plan!B1304,Plan!G1304,""),"")</f>
        <v/>
      </c>
      <c r="C1303">
        <f t="shared" si="60"/>
        <v>0</v>
      </c>
      <c r="D1303">
        <f>SUM($C$3:C1303)</f>
        <v>7</v>
      </c>
      <c r="E1303" t="e">
        <f t="shared" si="61"/>
        <v>#N/A</v>
      </c>
      <c r="F1303" s="28" t="str">
        <f t="shared" ca="1" si="62"/>
        <v/>
      </c>
    </row>
    <row r="1304" spans="2:6" x14ac:dyDescent="0.2">
      <c r="B1304" t="str">
        <f>IFERROR(IF('PDCA review'!$D$2=Plan!B1305,Plan!G1305,""),"")</f>
        <v/>
      </c>
      <c r="C1304">
        <f t="shared" si="60"/>
        <v>0</v>
      </c>
      <c r="D1304">
        <f>SUM($C$3:C1304)</f>
        <v>7</v>
      </c>
      <c r="E1304" t="e">
        <f t="shared" si="61"/>
        <v>#N/A</v>
      </c>
      <c r="F1304" s="28" t="str">
        <f t="shared" ca="1" si="62"/>
        <v/>
      </c>
    </row>
    <row r="1305" spans="2:6" x14ac:dyDescent="0.2">
      <c r="B1305" t="str">
        <f>IFERROR(IF('PDCA review'!$D$2=Plan!B1306,Plan!G1306,""),"")</f>
        <v/>
      </c>
      <c r="C1305">
        <f t="shared" si="60"/>
        <v>0</v>
      </c>
      <c r="D1305">
        <f>SUM($C$3:C1305)</f>
        <v>7</v>
      </c>
      <c r="E1305" t="e">
        <f t="shared" si="61"/>
        <v>#N/A</v>
      </c>
      <c r="F1305" s="28" t="str">
        <f t="shared" ca="1" si="62"/>
        <v/>
      </c>
    </row>
    <row r="1306" spans="2:6" x14ac:dyDescent="0.2">
      <c r="B1306" t="str">
        <f>IFERROR(IF('PDCA review'!$D$2=Plan!B1307,Plan!G1307,""),"")</f>
        <v/>
      </c>
      <c r="C1306">
        <f t="shared" si="60"/>
        <v>0</v>
      </c>
      <c r="D1306">
        <f>SUM($C$3:C1306)</f>
        <v>7</v>
      </c>
      <c r="E1306" t="e">
        <f t="shared" si="61"/>
        <v>#N/A</v>
      </c>
      <c r="F1306" s="28" t="str">
        <f t="shared" ca="1" si="62"/>
        <v/>
      </c>
    </row>
    <row r="1307" spans="2:6" x14ac:dyDescent="0.2">
      <c r="B1307" t="str">
        <f>IFERROR(IF('PDCA review'!$D$2=Plan!B1308,Plan!G1308,""),"")</f>
        <v/>
      </c>
      <c r="C1307">
        <f t="shared" si="60"/>
        <v>0</v>
      </c>
      <c r="D1307">
        <f>SUM($C$3:C1307)</f>
        <v>7</v>
      </c>
      <c r="E1307" t="e">
        <f t="shared" si="61"/>
        <v>#N/A</v>
      </c>
      <c r="F1307" s="28" t="str">
        <f t="shared" ca="1" si="62"/>
        <v/>
      </c>
    </row>
    <row r="1308" spans="2:6" x14ac:dyDescent="0.2">
      <c r="B1308" t="str">
        <f>IFERROR(IF('PDCA review'!$D$2=Plan!B1309,Plan!G1309,""),"")</f>
        <v/>
      </c>
      <c r="C1308">
        <f t="shared" si="60"/>
        <v>0</v>
      </c>
      <c r="D1308">
        <f>SUM($C$3:C1308)</f>
        <v>7</v>
      </c>
      <c r="E1308" t="e">
        <f t="shared" si="61"/>
        <v>#N/A</v>
      </c>
      <c r="F1308" s="28" t="str">
        <f t="shared" ca="1" si="62"/>
        <v/>
      </c>
    </row>
    <row r="1309" spans="2:6" x14ac:dyDescent="0.2">
      <c r="B1309" t="str">
        <f>IFERROR(IF('PDCA review'!$D$2=Plan!B1310,Plan!G1310,""),"")</f>
        <v/>
      </c>
      <c r="C1309">
        <f t="shared" si="60"/>
        <v>0</v>
      </c>
      <c r="D1309">
        <f>SUM($C$3:C1309)</f>
        <v>7</v>
      </c>
      <c r="E1309" t="e">
        <f t="shared" si="61"/>
        <v>#N/A</v>
      </c>
      <c r="F1309" s="28" t="str">
        <f t="shared" ca="1" si="62"/>
        <v/>
      </c>
    </row>
    <row r="1310" spans="2:6" x14ac:dyDescent="0.2">
      <c r="B1310" t="str">
        <f>IFERROR(IF('PDCA review'!$D$2=Plan!B1311,Plan!G1311,""),"")</f>
        <v/>
      </c>
      <c r="C1310">
        <f t="shared" si="60"/>
        <v>0</v>
      </c>
      <c r="D1310">
        <f>SUM($C$3:C1310)</f>
        <v>7</v>
      </c>
      <c r="E1310" t="e">
        <f t="shared" si="61"/>
        <v>#N/A</v>
      </c>
      <c r="F1310" s="28" t="str">
        <f t="shared" ca="1" si="62"/>
        <v/>
      </c>
    </row>
    <row r="1311" spans="2:6" x14ac:dyDescent="0.2">
      <c r="B1311" t="str">
        <f>IFERROR(IF('PDCA review'!$D$2=Plan!B1312,Plan!G1312,""),"")</f>
        <v/>
      </c>
      <c r="C1311">
        <f t="shared" si="60"/>
        <v>0</v>
      </c>
      <c r="D1311">
        <f>SUM($C$3:C1311)</f>
        <v>7</v>
      </c>
      <c r="E1311" t="e">
        <f t="shared" si="61"/>
        <v>#N/A</v>
      </c>
      <c r="F1311" s="28" t="str">
        <f t="shared" ca="1" si="62"/>
        <v/>
      </c>
    </row>
    <row r="1312" spans="2:6" x14ac:dyDescent="0.2">
      <c r="B1312" t="str">
        <f>IFERROR(IF('PDCA review'!$D$2=Plan!B1313,Plan!G1313,""),"")</f>
        <v/>
      </c>
      <c r="C1312">
        <f t="shared" si="60"/>
        <v>0</v>
      </c>
      <c r="D1312">
        <f>SUM($C$3:C1312)</f>
        <v>7</v>
      </c>
      <c r="E1312" t="e">
        <f t="shared" si="61"/>
        <v>#N/A</v>
      </c>
      <c r="F1312" s="28" t="str">
        <f t="shared" ca="1" si="62"/>
        <v/>
      </c>
    </row>
    <row r="1313" spans="2:6" x14ac:dyDescent="0.2">
      <c r="B1313" t="str">
        <f>IFERROR(IF('PDCA review'!$D$2=Plan!B1314,Plan!G1314,""),"")</f>
        <v/>
      </c>
      <c r="C1313">
        <f t="shared" si="60"/>
        <v>0</v>
      </c>
      <c r="D1313">
        <f>SUM($C$3:C1313)</f>
        <v>7</v>
      </c>
      <c r="E1313" t="e">
        <f t="shared" si="61"/>
        <v>#N/A</v>
      </c>
      <c r="F1313" s="28" t="str">
        <f t="shared" ca="1" si="62"/>
        <v/>
      </c>
    </row>
    <row r="1314" spans="2:6" x14ac:dyDescent="0.2">
      <c r="B1314" t="str">
        <f>IFERROR(IF('PDCA review'!$D$2=Plan!B1315,Plan!G1315,""),"")</f>
        <v/>
      </c>
      <c r="C1314">
        <f t="shared" si="60"/>
        <v>0</v>
      </c>
      <c r="D1314">
        <f>SUM($C$3:C1314)</f>
        <v>7</v>
      </c>
      <c r="E1314" t="e">
        <f t="shared" si="61"/>
        <v>#N/A</v>
      </c>
      <c r="F1314" s="28" t="str">
        <f t="shared" ca="1" si="62"/>
        <v/>
      </c>
    </row>
    <row r="1315" spans="2:6" x14ac:dyDescent="0.2">
      <c r="B1315" t="str">
        <f>IFERROR(IF('PDCA review'!$D$2=Plan!B1316,Plan!G1316,""),"")</f>
        <v/>
      </c>
      <c r="C1315">
        <f t="shared" si="60"/>
        <v>0</v>
      </c>
      <c r="D1315">
        <f>SUM($C$3:C1315)</f>
        <v>7</v>
      </c>
      <c r="E1315" t="e">
        <f t="shared" si="61"/>
        <v>#N/A</v>
      </c>
      <c r="F1315" s="28" t="str">
        <f t="shared" ca="1" si="62"/>
        <v/>
      </c>
    </row>
    <row r="1316" spans="2:6" x14ac:dyDescent="0.2">
      <c r="B1316" t="str">
        <f>IFERROR(IF('PDCA review'!$D$2=Plan!B1317,Plan!G1317,""),"")</f>
        <v/>
      </c>
      <c r="C1316">
        <f t="shared" si="60"/>
        <v>0</v>
      </c>
      <c r="D1316">
        <f>SUM($C$3:C1316)</f>
        <v>7</v>
      </c>
      <c r="E1316" t="e">
        <f t="shared" si="61"/>
        <v>#N/A</v>
      </c>
      <c r="F1316" s="28" t="str">
        <f t="shared" ca="1" si="62"/>
        <v/>
      </c>
    </row>
    <row r="1317" spans="2:6" x14ac:dyDescent="0.2">
      <c r="B1317" t="str">
        <f>IFERROR(IF('PDCA review'!$D$2=Plan!B1318,Plan!G1318,""),"")</f>
        <v/>
      </c>
      <c r="C1317">
        <f t="shared" si="60"/>
        <v>0</v>
      </c>
      <c r="D1317">
        <f>SUM($C$3:C1317)</f>
        <v>7</v>
      </c>
      <c r="E1317" t="e">
        <f t="shared" si="61"/>
        <v>#N/A</v>
      </c>
      <c r="F1317" s="28" t="str">
        <f t="shared" ca="1" si="62"/>
        <v/>
      </c>
    </row>
    <row r="1318" spans="2:6" x14ac:dyDescent="0.2">
      <c r="B1318" t="str">
        <f>IFERROR(IF('PDCA review'!$D$2=Plan!B1319,Plan!G1319,""),"")</f>
        <v/>
      </c>
      <c r="C1318">
        <f t="shared" si="60"/>
        <v>0</v>
      </c>
      <c r="D1318">
        <f>SUM($C$3:C1318)</f>
        <v>7</v>
      </c>
      <c r="E1318" t="e">
        <f t="shared" si="61"/>
        <v>#N/A</v>
      </c>
      <c r="F1318" s="28" t="str">
        <f t="shared" ca="1" si="62"/>
        <v/>
      </c>
    </row>
    <row r="1319" spans="2:6" x14ac:dyDescent="0.2">
      <c r="B1319" t="str">
        <f>IFERROR(IF('PDCA review'!$D$2=Plan!B1320,Plan!G1320,""),"")</f>
        <v/>
      </c>
      <c r="C1319">
        <f t="shared" si="60"/>
        <v>0</v>
      </c>
      <c r="D1319">
        <f>SUM($C$3:C1319)</f>
        <v>7</v>
      </c>
      <c r="E1319" t="e">
        <f t="shared" si="61"/>
        <v>#N/A</v>
      </c>
      <c r="F1319" s="28" t="str">
        <f t="shared" ca="1" si="62"/>
        <v/>
      </c>
    </row>
    <row r="1320" spans="2:6" x14ac:dyDescent="0.2">
      <c r="B1320" t="str">
        <f>IFERROR(IF('PDCA review'!$D$2=Plan!B1321,Plan!G1321,""),"")</f>
        <v/>
      </c>
      <c r="C1320">
        <f t="shared" si="60"/>
        <v>0</v>
      </c>
      <c r="D1320">
        <f>SUM($C$3:C1320)</f>
        <v>7</v>
      </c>
      <c r="E1320" t="e">
        <f t="shared" si="61"/>
        <v>#N/A</v>
      </c>
      <c r="F1320" s="28" t="str">
        <f t="shared" ca="1" si="62"/>
        <v/>
      </c>
    </row>
    <row r="1321" spans="2:6" x14ac:dyDescent="0.2">
      <c r="B1321" t="str">
        <f>IFERROR(IF('PDCA review'!$D$2=Plan!B1322,Plan!G1322,""),"")</f>
        <v/>
      </c>
      <c r="C1321">
        <f t="shared" si="60"/>
        <v>0</v>
      </c>
      <c r="D1321">
        <f>SUM($C$3:C1321)</f>
        <v>7</v>
      </c>
      <c r="E1321" t="e">
        <f t="shared" si="61"/>
        <v>#N/A</v>
      </c>
      <c r="F1321" s="28" t="str">
        <f t="shared" ca="1" si="62"/>
        <v/>
      </c>
    </row>
    <row r="1322" spans="2:6" x14ac:dyDescent="0.2">
      <c r="B1322" t="str">
        <f>IFERROR(IF('PDCA review'!$D$2=Plan!B1323,Plan!G1323,""),"")</f>
        <v/>
      </c>
      <c r="C1322">
        <f t="shared" si="60"/>
        <v>0</v>
      </c>
      <c r="D1322">
        <f>SUM($C$3:C1322)</f>
        <v>7</v>
      </c>
      <c r="E1322" t="e">
        <f t="shared" si="61"/>
        <v>#N/A</v>
      </c>
      <c r="F1322" s="28" t="str">
        <f t="shared" ca="1" si="62"/>
        <v/>
      </c>
    </row>
    <row r="1323" spans="2:6" x14ac:dyDescent="0.2">
      <c r="B1323" t="str">
        <f>IFERROR(IF('PDCA review'!$D$2=Plan!B1324,Plan!G1324,""),"")</f>
        <v/>
      </c>
      <c r="C1323">
        <f t="shared" si="60"/>
        <v>0</v>
      </c>
      <c r="D1323">
        <f>SUM($C$3:C1323)</f>
        <v>7</v>
      </c>
      <c r="E1323" t="e">
        <f t="shared" si="61"/>
        <v>#N/A</v>
      </c>
      <c r="F1323" s="28" t="str">
        <f t="shared" ca="1" si="62"/>
        <v/>
      </c>
    </row>
    <row r="1324" spans="2:6" x14ac:dyDescent="0.2">
      <c r="B1324" t="str">
        <f>IFERROR(IF('PDCA review'!$D$2=Plan!B1325,Plan!G1325,""),"")</f>
        <v/>
      </c>
      <c r="C1324">
        <f t="shared" si="60"/>
        <v>0</v>
      </c>
      <c r="D1324">
        <f>SUM($C$3:C1324)</f>
        <v>7</v>
      </c>
      <c r="E1324" t="e">
        <f t="shared" si="61"/>
        <v>#N/A</v>
      </c>
      <c r="F1324" s="28" t="str">
        <f t="shared" ca="1" si="62"/>
        <v/>
      </c>
    </row>
    <row r="1325" spans="2:6" x14ac:dyDescent="0.2">
      <c r="B1325" t="str">
        <f>IFERROR(IF('PDCA review'!$D$2=Plan!B1326,Plan!G1326,""),"")</f>
        <v/>
      </c>
      <c r="C1325">
        <f t="shared" si="60"/>
        <v>0</v>
      </c>
      <c r="D1325">
        <f>SUM($C$3:C1325)</f>
        <v>7</v>
      </c>
      <c r="E1325" t="e">
        <f t="shared" si="61"/>
        <v>#N/A</v>
      </c>
      <c r="F1325" s="28" t="str">
        <f t="shared" ca="1" si="62"/>
        <v/>
      </c>
    </row>
    <row r="1326" spans="2:6" x14ac:dyDescent="0.2">
      <c r="B1326" t="str">
        <f>IFERROR(IF('PDCA review'!$D$2=Plan!B1327,Plan!G1327,""),"")</f>
        <v/>
      </c>
      <c r="C1326">
        <f t="shared" si="60"/>
        <v>0</v>
      </c>
      <c r="D1326">
        <f>SUM($C$3:C1326)</f>
        <v>7</v>
      </c>
      <c r="E1326" t="e">
        <f t="shared" si="61"/>
        <v>#N/A</v>
      </c>
      <c r="F1326" s="28" t="str">
        <f t="shared" ca="1" si="62"/>
        <v/>
      </c>
    </row>
    <row r="1327" spans="2:6" x14ac:dyDescent="0.2">
      <c r="B1327" t="str">
        <f>IFERROR(IF('PDCA review'!$D$2=Plan!B1328,Plan!G1328,""),"")</f>
        <v/>
      </c>
      <c r="C1327">
        <f t="shared" si="60"/>
        <v>0</v>
      </c>
      <c r="D1327">
        <f>SUM($C$3:C1327)</f>
        <v>7</v>
      </c>
      <c r="E1327" t="e">
        <f t="shared" si="61"/>
        <v>#N/A</v>
      </c>
      <c r="F1327" s="28" t="str">
        <f t="shared" ca="1" si="62"/>
        <v/>
      </c>
    </row>
    <row r="1328" spans="2:6" x14ac:dyDescent="0.2">
      <c r="B1328" t="str">
        <f>IFERROR(IF('PDCA review'!$D$2=Plan!B1329,Plan!G1329,""),"")</f>
        <v/>
      </c>
      <c r="C1328">
        <f t="shared" si="60"/>
        <v>0</v>
      </c>
      <c r="D1328">
        <f>SUM($C$3:C1328)</f>
        <v>7</v>
      </c>
      <c r="E1328" t="e">
        <f t="shared" si="61"/>
        <v>#N/A</v>
      </c>
      <c r="F1328" s="28" t="str">
        <f t="shared" ca="1" si="62"/>
        <v/>
      </c>
    </row>
    <row r="1329" spans="2:6" x14ac:dyDescent="0.2">
      <c r="B1329" t="str">
        <f>IFERROR(IF('PDCA review'!$D$2=Plan!B1330,Plan!G1330,""),"")</f>
        <v/>
      </c>
      <c r="C1329">
        <f t="shared" si="60"/>
        <v>0</v>
      </c>
      <c r="D1329">
        <f>SUM($C$3:C1329)</f>
        <v>7</v>
      </c>
      <c r="E1329" t="e">
        <f t="shared" si="61"/>
        <v>#N/A</v>
      </c>
      <c r="F1329" s="28" t="str">
        <f t="shared" ca="1" si="62"/>
        <v/>
      </c>
    </row>
    <row r="1330" spans="2:6" x14ac:dyDescent="0.2">
      <c r="B1330" t="str">
        <f>IFERROR(IF('PDCA review'!$D$2=Plan!B1331,Plan!G1331,""),"")</f>
        <v/>
      </c>
      <c r="C1330">
        <f t="shared" si="60"/>
        <v>0</v>
      </c>
      <c r="D1330">
        <f>SUM($C$3:C1330)</f>
        <v>7</v>
      </c>
      <c r="E1330" t="e">
        <f t="shared" si="61"/>
        <v>#N/A</v>
      </c>
      <c r="F1330" s="28" t="str">
        <f t="shared" ca="1" si="62"/>
        <v/>
      </c>
    </row>
    <row r="1331" spans="2:6" x14ac:dyDescent="0.2">
      <c r="B1331" t="str">
        <f>IFERROR(IF('PDCA review'!$D$2=Plan!B1332,Plan!G1332,""),"")</f>
        <v/>
      </c>
      <c r="C1331">
        <f t="shared" si="60"/>
        <v>0</v>
      </c>
      <c r="D1331">
        <f>SUM($C$3:C1331)</f>
        <v>7</v>
      </c>
      <c r="E1331" t="e">
        <f t="shared" si="61"/>
        <v>#N/A</v>
      </c>
      <c r="F1331" s="28" t="str">
        <f t="shared" ca="1" si="62"/>
        <v/>
      </c>
    </row>
    <row r="1332" spans="2:6" x14ac:dyDescent="0.2">
      <c r="B1332" t="str">
        <f>IFERROR(IF('PDCA review'!$D$2=Plan!B1333,Plan!G1333,""),"")</f>
        <v/>
      </c>
      <c r="C1332">
        <f t="shared" si="60"/>
        <v>0</v>
      </c>
      <c r="D1332">
        <f>SUM($C$3:C1332)</f>
        <v>7</v>
      </c>
      <c r="E1332" t="e">
        <f t="shared" si="61"/>
        <v>#N/A</v>
      </c>
      <c r="F1332" s="28" t="str">
        <f t="shared" ca="1" si="62"/>
        <v/>
      </c>
    </row>
    <row r="1333" spans="2:6" x14ac:dyDescent="0.2">
      <c r="B1333" t="str">
        <f>IFERROR(IF('PDCA review'!$D$2=Plan!B1334,Plan!G1334,""),"")</f>
        <v/>
      </c>
      <c r="C1333">
        <f t="shared" si="60"/>
        <v>0</v>
      </c>
      <c r="D1333">
        <f>SUM($C$3:C1333)</f>
        <v>7</v>
      </c>
      <c r="E1333" t="e">
        <f t="shared" si="61"/>
        <v>#N/A</v>
      </c>
      <c r="F1333" s="28" t="str">
        <f t="shared" ca="1" si="62"/>
        <v/>
      </c>
    </row>
    <row r="1334" spans="2:6" x14ac:dyDescent="0.2">
      <c r="B1334" t="str">
        <f>IFERROR(IF('PDCA review'!$D$2=Plan!B1335,Plan!G1335,""),"")</f>
        <v/>
      </c>
      <c r="C1334">
        <f t="shared" si="60"/>
        <v>0</v>
      </c>
      <c r="D1334">
        <f>SUM($C$3:C1334)</f>
        <v>7</v>
      </c>
      <c r="E1334" t="e">
        <f t="shared" si="61"/>
        <v>#N/A</v>
      </c>
      <c r="F1334" s="28" t="str">
        <f t="shared" ca="1" si="62"/>
        <v/>
      </c>
    </row>
    <row r="1335" spans="2:6" x14ac:dyDescent="0.2">
      <c r="B1335" t="str">
        <f>IFERROR(IF('PDCA review'!$D$2=Plan!B1336,Plan!G1336,""),"")</f>
        <v/>
      </c>
      <c r="C1335">
        <f t="shared" si="60"/>
        <v>0</v>
      </c>
      <c r="D1335">
        <f>SUM($C$3:C1335)</f>
        <v>7</v>
      </c>
      <c r="E1335" t="e">
        <f t="shared" si="61"/>
        <v>#N/A</v>
      </c>
      <c r="F1335" s="28" t="str">
        <f t="shared" ca="1" si="62"/>
        <v/>
      </c>
    </row>
    <row r="1336" spans="2:6" x14ac:dyDescent="0.2">
      <c r="B1336" t="str">
        <f>IFERROR(IF('PDCA review'!$D$2=Plan!B1337,Plan!G1337,""),"")</f>
        <v/>
      </c>
      <c r="C1336">
        <f t="shared" si="60"/>
        <v>0</v>
      </c>
      <c r="D1336">
        <f>SUM($C$3:C1336)</f>
        <v>7</v>
      </c>
      <c r="E1336" t="e">
        <f t="shared" si="61"/>
        <v>#N/A</v>
      </c>
      <c r="F1336" s="28" t="str">
        <f t="shared" ca="1" si="62"/>
        <v/>
      </c>
    </row>
    <row r="1337" spans="2:6" x14ac:dyDescent="0.2">
      <c r="B1337" t="str">
        <f>IFERROR(IF('PDCA review'!$D$2=Plan!B1338,Plan!G1338,""),"")</f>
        <v/>
      </c>
      <c r="C1337">
        <f t="shared" si="60"/>
        <v>0</v>
      </c>
      <c r="D1337">
        <f>SUM($C$3:C1337)</f>
        <v>7</v>
      </c>
      <c r="E1337" t="e">
        <f t="shared" si="61"/>
        <v>#N/A</v>
      </c>
      <c r="F1337" s="28" t="str">
        <f t="shared" ca="1" si="62"/>
        <v/>
      </c>
    </row>
    <row r="1338" spans="2:6" x14ac:dyDescent="0.2">
      <c r="B1338" t="str">
        <f>IFERROR(IF('PDCA review'!$D$2=Plan!B1339,Plan!G1339,""),"")</f>
        <v/>
      </c>
      <c r="C1338">
        <f t="shared" si="60"/>
        <v>0</v>
      </c>
      <c r="D1338">
        <f>SUM($C$3:C1338)</f>
        <v>7</v>
      </c>
      <c r="E1338" t="e">
        <f t="shared" si="61"/>
        <v>#N/A</v>
      </c>
      <c r="F1338" s="28" t="str">
        <f t="shared" ca="1" si="62"/>
        <v/>
      </c>
    </row>
    <row r="1339" spans="2:6" x14ac:dyDescent="0.2">
      <c r="B1339" t="str">
        <f>IFERROR(IF('PDCA review'!$D$2=Plan!B1340,Plan!G1340,""),"")</f>
        <v/>
      </c>
      <c r="C1339">
        <f t="shared" si="60"/>
        <v>0</v>
      </c>
      <c r="D1339">
        <f>SUM($C$3:C1339)</f>
        <v>7</v>
      </c>
      <c r="E1339" t="e">
        <f t="shared" si="61"/>
        <v>#N/A</v>
      </c>
      <c r="F1339" s="28" t="str">
        <f t="shared" ca="1" si="62"/>
        <v/>
      </c>
    </row>
    <row r="1340" spans="2:6" x14ac:dyDescent="0.2">
      <c r="B1340" t="str">
        <f>IFERROR(IF('PDCA review'!$D$2=Plan!B1341,Plan!G1341,""),"")</f>
        <v/>
      </c>
      <c r="C1340">
        <f t="shared" si="60"/>
        <v>0</v>
      </c>
      <c r="D1340">
        <f>SUM($C$3:C1340)</f>
        <v>7</v>
      </c>
      <c r="E1340" t="e">
        <f t="shared" si="61"/>
        <v>#N/A</v>
      </c>
      <c r="F1340" s="28" t="str">
        <f t="shared" ca="1" si="62"/>
        <v/>
      </c>
    </row>
    <row r="1341" spans="2:6" x14ac:dyDescent="0.2">
      <c r="B1341" t="str">
        <f>IFERROR(IF('PDCA review'!$D$2=Plan!B1342,Plan!G1342,""),"")</f>
        <v/>
      </c>
      <c r="C1341">
        <f t="shared" si="60"/>
        <v>0</v>
      </c>
      <c r="D1341">
        <f>SUM($C$3:C1341)</f>
        <v>7</v>
      </c>
      <c r="E1341" t="e">
        <f t="shared" si="61"/>
        <v>#N/A</v>
      </c>
      <c r="F1341" s="28" t="str">
        <f t="shared" ca="1" si="62"/>
        <v/>
      </c>
    </row>
    <row r="1342" spans="2:6" x14ac:dyDescent="0.2">
      <c r="B1342" t="str">
        <f>IFERROR(IF('PDCA review'!$D$2=Plan!B1343,Plan!G1343,""),"")</f>
        <v/>
      </c>
      <c r="C1342">
        <f t="shared" si="60"/>
        <v>0</v>
      </c>
      <c r="D1342">
        <f>SUM($C$3:C1342)</f>
        <v>7</v>
      </c>
      <c r="E1342" t="e">
        <f t="shared" si="61"/>
        <v>#N/A</v>
      </c>
      <c r="F1342" s="28" t="str">
        <f t="shared" ca="1" si="62"/>
        <v/>
      </c>
    </row>
    <row r="1343" spans="2:6" x14ac:dyDescent="0.2">
      <c r="B1343" t="str">
        <f>IFERROR(IF('PDCA review'!$D$2=Plan!B1344,Plan!G1344,""),"")</f>
        <v/>
      </c>
      <c r="C1343">
        <f t="shared" si="60"/>
        <v>0</v>
      </c>
      <c r="D1343">
        <f>SUM($C$3:C1343)</f>
        <v>7</v>
      </c>
      <c r="E1343" t="e">
        <f t="shared" si="61"/>
        <v>#N/A</v>
      </c>
      <c r="F1343" s="28" t="str">
        <f t="shared" ca="1" si="62"/>
        <v/>
      </c>
    </row>
    <row r="1344" spans="2:6" x14ac:dyDescent="0.2">
      <c r="B1344" t="str">
        <f>IFERROR(IF('PDCA review'!$D$2=Plan!B1345,Plan!G1345,""),"")</f>
        <v/>
      </c>
      <c r="C1344">
        <f t="shared" si="60"/>
        <v>0</v>
      </c>
      <c r="D1344">
        <f>SUM($C$3:C1344)</f>
        <v>7</v>
      </c>
      <c r="E1344" t="e">
        <f t="shared" si="61"/>
        <v>#N/A</v>
      </c>
      <c r="F1344" s="28" t="str">
        <f t="shared" ca="1" si="62"/>
        <v/>
      </c>
    </row>
    <row r="1345" spans="2:6" x14ac:dyDescent="0.2">
      <c r="B1345" t="str">
        <f>IFERROR(IF('PDCA review'!$D$2=Plan!B1346,Plan!G1346,""),"")</f>
        <v/>
      </c>
      <c r="C1345">
        <f t="shared" si="60"/>
        <v>0</v>
      </c>
      <c r="D1345">
        <f>SUM($C$3:C1345)</f>
        <v>7</v>
      </c>
      <c r="E1345" t="e">
        <f t="shared" si="61"/>
        <v>#N/A</v>
      </c>
      <c r="F1345" s="28" t="str">
        <f t="shared" ca="1" si="62"/>
        <v/>
      </c>
    </row>
    <row r="1346" spans="2:6" x14ac:dyDescent="0.2">
      <c r="B1346" t="str">
        <f>IFERROR(IF('PDCA review'!$D$2=Plan!B1347,Plan!G1347,""),"")</f>
        <v/>
      </c>
      <c r="C1346">
        <f t="shared" si="60"/>
        <v>0</v>
      </c>
      <c r="D1346">
        <f>SUM($C$3:C1346)</f>
        <v>7</v>
      </c>
      <c r="E1346" t="e">
        <f t="shared" si="61"/>
        <v>#N/A</v>
      </c>
      <c r="F1346" s="28" t="str">
        <f t="shared" ca="1" si="62"/>
        <v/>
      </c>
    </row>
    <row r="1347" spans="2:6" x14ac:dyDescent="0.2">
      <c r="B1347" t="str">
        <f>IFERROR(IF('PDCA review'!$D$2=Plan!B1348,Plan!G1348,""),"")</f>
        <v/>
      </c>
      <c r="C1347">
        <f t="shared" si="60"/>
        <v>0</v>
      </c>
      <c r="D1347">
        <f>SUM($C$3:C1347)</f>
        <v>7</v>
      </c>
      <c r="E1347" t="e">
        <f t="shared" si="61"/>
        <v>#N/A</v>
      </c>
      <c r="F1347" s="28" t="str">
        <f t="shared" ca="1" si="62"/>
        <v/>
      </c>
    </row>
    <row r="1348" spans="2:6" x14ac:dyDescent="0.2">
      <c r="B1348" t="str">
        <f>IFERROR(IF('PDCA review'!$D$2=Plan!B1349,Plan!G1349,""),"")</f>
        <v/>
      </c>
      <c r="C1348">
        <f t="shared" ref="C1348:C1411" si="63">IF(B1348&lt;&gt;"",1,0)</f>
        <v>0</v>
      </c>
      <c r="D1348">
        <f>SUM($C$3:C1348)</f>
        <v>7</v>
      </c>
      <c r="E1348" t="e">
        <f t="shared" ref="E1348:E1411" si="64">MATCH(ROW()-$D$2,$D$3:$D$2000,0)+$D$2</f>
        <v>#N/A</v>
      </c>
      <c r="F1348" s="28" t="str">
        <f t="shared" ref="F1348:F1411" ca="1" si="65">IFERROR(INDIRECT("B"&amp;E1348),"")</f>
        <v/>
      </c>
    </row>
    <row r="1349" spans="2:6" x14ac:dyDescent="0.2">
      <c r="B1349" t="str">
        <f>IFERROR(IF('PDCA review'!$D$2=Plan!B1350,Plan!G1350,""),"")</f>
        <v/>
      </c>
      <c r="C1349">
        <f t="shared" si="63"/>
        <v>0</v>
      </c>
      <c r="D1349">
        <f>SUM($C$3:C1349)</f>
        <v>7</v>
      </c>
      <c r="E1349" t="e">
        <f t="shared" si="64"/>
        <v>#N/A</v>
      </c>
      <c r="F1349" s="28" t="str">
        <f t="shared" ca="1" si="65"/>
        <v/>
      </c>
    </row>
    <row r="1350" spans="2:6" x14ac:dyDescent="0.2">
      <c r="B1350" t="str">
        <f>IFERROR(IF('PDCA review'!$D$2=Plan!B1351,Plan!G1351,""),"")</f>
        <v/>
      </c>
      <c r="C1350">
        <f t="shared" si="63"/>
        <v>0</v>
      </c>
      <c r="D1350">
        <f>SUM($C$3:C1350)</f>
        <v>7</v>
      </c>
      <c r="E1350" t="e">
        <f t="shared" si="64"/>
        <v>#N/A</v>
      </c>
      <c r="F1350" s="28" t="str">
        <f t="shared" ca="1" si="65"/>
        <v/>
      </c>
    </row>
    <row r="1351" spans="2:6" x14ac:dyDescent="0.2">
      <c r="B1351" t="str">
        <f>IFERROR(IF('PDCA review'!$D$2=Plan!B1352,Plan!G1352,""),"")</f>
        <v/>
      </c>
      <c r="C1351">
        <f t="shared" si="63"/>
        <v>0</v>
      </c>
      <c r="D1351">
        <f>SUM($C$3:C1351)</f>
        <v>7</v>
      </c>
      <c r="E1351" t="e">
        <f t="shared" si="64"/>
        <v>#N/A</v>
      </c>
      <c r="F1351" s="28" t="str">
        <f t="shared" ca="1" si="65"/>
        <v/>
      </c>
    </row>
    <row r="1352" spans="2:6" x14ac:dyDescent="0.2">
      <c r="B1352" t="str">
        <f>IFERROR(IF('PDCA review'!$D$2=Plan!B1353,Plan!G1353,""),"")</f>
        <v/>
      </c>
      <c r="C1352">
        <f t="shared" si="63"/>
        <v>0</v>
      </c>
      <c r="D1352">
        <f>SUM($C$3:C1352)</f>
        <v>7</v>
      </c>
      <c r="E1352" t="e">
        <f t="shared" si="64"/>
        <v>#N/A</v>
      </c>
      <c r="F1352" s="28" t="str">
        <f t="shared" ca="1" si="65"/>
        <v/>
      </c>
    </row>
    <row r="1353" spans="2:6" x14ac:dyDescent="0.2">
      <c r="B1353" t="str">
        <f>IFERROR(IF('PDCA review'!$D$2=Plan!B1354,Plan!G1354,""),"")</f>
        <v/>
      </c>
      <c r="C1353">
        <f t="shared" si="63"/>
        <v>0</v>
      </c>
      <c r="D1353">
        <f>SUM($C$3:C1353)</f>
        <v>7</v>
      </c>
      <c r="E1353" t="e">
        <f t="shared" si="64"/>
        <v>#N/A</v>
      </c>
      <c r="F1353" s="28" t="str">
        <f t="shared" ca="1" si="65"/>
        <v/>
      </c>
    </row>
    <row r="1354" spans="2:6" x14ac:dyDescent="0.2">
      <c r="B1354" t="str">
        <f>IFERROR(IF('PDCA review'!$D$2=Plan!B1355,Plan!G1355,""),"")</f>
        <v/>
      </c>
      <c r="C1354">
        <f t="shared" si="63"/>
        <v>0</v>
      </c>
      <c r="D1354">
        <f>SUM($C$3:C1354)</f>
        <v>7</v>
      </c>
      <c r="E1354" t="e">
        <f t="shared" si="64"/>
        <v>#N/A</v>
      </c>
      <c r="F1354" s="28" t="str">
        <f t="shared" ca="1" si="65"/>
        <v/>
      </c>
    </row>
    <row r="1355" spans="2:6" x14ac:dyDescent="0.2">
      <c r="B1355" t="str">
        <f>IFERROR(IF('PDCA review'!$D$2=Plan!B1356,Plan!G1356,""),"")</f>
        <v/>
      </c>
      <c r="C1355">
        <f t="shared" si="63"/>
        <v>0</v>
      </c>
      <c r="D1355">
        <f>SUM($C$3:C1355)</f>
        <v>7</v>
      </c>
      <c r="E1355" t="e">
        <f t="shared" si="64"/>
        <v>#N/A</v>
      </c>
      <c r="F1355" s="28" t="str">
        <f t="shared" ca="1" si="65"/>
        <v/>
      </c>
    </row>
    <row r="1356" spans="2:6" x14ac:dyDescent="0.2">
      <c r="B1356" t="str">
        <f>IFERROR(IF('PDCA review'!$D$2=Plan!B1357,Plan!G1357,""),"")</f>
        <v/>
      </c>
      <c r="C1356">
        <f t="shared" si="63"/>
        <v>0</v>
      </c>
      <c r="D1356">
        <f>SUM($C$3:C1356)</f>
        <v>7</v>
      </c>
      <c r="E1356" t="e">
        <f t="shared" si="64"/>
        <v>#N/A</v>
      </c>
      <c r="F1356" s="28" t="str">
        <f t="shared" ca="1" si="65"/>
        <v/>
      </c>
    </row>
    <row r="1357" spans="2:6" x14ac:dyDescent="0.2">
      <c r="B1357" t="str">
        <f>IFERROR(IF('PDCA review'!$D$2=Plan!B1358,Plan!G1358,""),"")</f>
        <v/>
      </c>
      <c r="C1357">
        <f t="shared" si="63"/>
        <v>0</v>
      </c>
      <c r="D1357">
        <f>SUM($C$3:C1357)</f>
        <v>7</v>
      </c>
      <c r="E1357" t="e">
        <f t="shared" si="64"/>
        <v>#N/A</v>
      </c>
      <c r="F1357" s="28" t="str">
        <f t="shared" ca="1" si="65"/>
        <v/>
      </c>
    </row>
    <row r="1358" spans="2:6" x14ac:dyDescent="0.2">
      <c r="B1358" t="str">
        <f>IFERROR(IF('PDCA review'!$D$2=Plan!B1359,Plan!G1359,""),"")</f>
        <v/>
      </c>
      <c r="C1358">
        <f t="shared" si="63"/>
        <v>0</v>
      </c>
      <c r="D1358">
        <f>SUM($C$3:C1358)</f>
        <v>7</v>
      </c>
      <c r="E1358" t="e">
        <f t="shared" si="64"/>
        <v>#N/A</v>
      </c>
      <c r="F1358" s="28" t="str">
        <f t="shared" ca="1" si="65"/>
        <v/>
      </c>
    </row>
    <row r="1359" spans="2:6" x14ac:dyDescent="0.2">
      <c r="B1359" t="str">
        <f>IFERROR(IF('PDCA review'!$D$2=Plan!B1360,Plan!G1360,""),"")</f>
        <v/>
      </c>
      <c r="C1359">
        <f t="shared" si="63"/>
        <v>0</v>
      </c>
      <c r="D1359">
        <f>SUM($C$3:C1359)</f>
        <v>7</v>
      </c>
      <c r="E1359" t="e">
        <f t="shared" si="64"/>
        <v>#N/A</v>
      </c>
      <c r="F1359" s="28" t="str">
        <f t="shared" ca="1" si="65"/>
        <v/>
      </c>
    </row>
    <row r="1360" spans="2:6" x14ac:dyDescent="0.2">
      <c r="B1360" t="str">
        <f>IFERROR(IF('PDCA review'!$D$2=Plan!B1361,Plan!G1361,""),"")</f>
        <v/>
      </c>
      <c r="C1360">
        <f t="shared" si="63"/>
        <v>0</v>
      </c>
      <c r="D1360">
        <f>SUM($C$3:C1360)</f>
        <v>7</v>
      </c>
      <c r="E1360" t="e">
        <f t="shared" si="64"/>
        <v>#N/A</v>
      </c>
      <c r="F1360" s="28" t="str">
        <f t="shared" ca="1" si="65"/>
        <v/>
      </c>
    </row>
    <row r="1361" spans="2:6" x14ac:dyDescent="0.2">
      <c r="B1361" t="str">
        <f>IFERROR(IF('PDCA review'!$D$2=Plan!B1362,Plan!G1362,""),"")</f>
        <v/>
      </c>
      <c r="C1361">
        <f t="shared" si="63"/>
        <v>0</v>
      </c>
      <c r="D1361">
        <f>SUM($C$3:C1361)</f>
        <v>7</v>
      </c>
      <c r="E1361" t="e">
        <f t="shared" si="64"/>
        <v>#N/A</v>
      </c>
      <c r="F1361" s="28" t="str">
        <f t="shared" ca="1" si="65"/>
        <v/>
      </c>
    </row>
    <row r="1362" spans="2:6" x14ac:dyDescent="0.2">
      <c r="B1362" t="str">
        <f>IFERROR(IF('PDCA review'!$D$2=Plan!B1363,Plan!G1363,""),"")</f>
        <v/>
      </c>
      <c r="C1362">
        <f t="shared" si="63"/>
        <v>0</v>
      </c>
      <c r="D1362">
        <f>SUM($C$3:C1362)</f>
        <v>7</v>
      </c>
      <c r="E1362" t="e">
        <f t="shared" si="64"/>
        <v>#N/A</v>
      </c>
      <c r="F1362" s="28" t="str">
        <f t="shared" ca="1" si="65"/>
        <v/>
      </c>
    </row>
    <row r="1363" spans="2:6" x14ac:dyDescent="0.2">
      <c r="B1363" t="str">
        <f>IFERROR(IF('PDCA review'!$D$2=Plan!B1364,Plan!G1364,""),"")</f>
        <v/>
      </c>
      <c r="C1363">
        <f t="shared" si="63"/>
        <v>0</v>
      </c>
      <c r="D1363">
        <f>SUM($C$3:C1363)</f>
        <v>7</v>
      </c>
      <c r="E1363" t="e">
        <f t="shared" si="64"/>
        <v>#N/A</v>
      </c>
      <c r="F1363" s="28" t="str">
        <f t="shared" ca="1" si="65"/>
        <v/>
      </c>
    </row>
    <row r="1364" spans="2:6" x14ac:dyDescent="0.2">
      <c r="B1364" t="str">
        <f>IFERROR(IF('PDCA review'!$D$2=Plan!B1365,Plan!G1365,""),"")</f>
        <v/>
      </c>
      <c r="C1364">
        <f t="shared" si="63"/>
        <v>0</v>
      </c>
      <c r="D1364">
        <f>SUM($C$3:C1364)</f>
        <v>7</v>
      </c>
      <c r="E1364" t="e">
        <f t="shared" si="64"/>
        <v>#N/A</v>
      </c>
      <c r="F1364" s="28" t="str">
        <f t="shared" ca="1" si="65"/>
        <v/>
      </c>
    </row>
    <row r="1365" spans="2:6" x14ac:dyDescent="0.2">
      <c r="B1365" t="str">
        <f>IFERROR(IF('PDCA review'!$D$2=Plan!B1366,Plan!G1366,""),"")</f>
        <v/>
      </c>
      <c r="C1365">
        <f t="shared" si="63"/>
        <v>0</v>
      </c>
      <c r="D1365">
        <f>SUM($C$3:C1365)</f>
        <v>7</v>
      </c>
      <c r="E1365" t="e">
        <f t="shared" si="64"/>
        <v>#N/A</v>
      </c>
      <c r="F1365" s="28" t="str">
        <f t="shared" ca="1" si="65"/>
        <v/>
      </c>
    </row>
    <row r="1366" spans="2:6" x14ac:dyDescent="0.2">
      <c r="B1366" t="str">
        <f>IFERROR(IF('PDCA review'!$D$2=Plan!B1367,Plan!G1367,""),"")</f>
        <v/>
      </c>
      <c r="C1366">
        <f t="shared" si="63"/>
        <v>0</v>
      </c>
      <c r="D1366">
        <f>SUM($C$3:C1366)</f>
        <v>7</v>
      </c>
      <c r="E1366" t="e">
        <f t="shared" si="64"/>
        <v>#N/A</v>
      </c>
      <c r="F1366" s="28" t="str">
        <f t="shared" ca="1" si="65"/>
        <v/>
      </c>
    </row>
    <row r="1367" spans="2:6" x14ac:dyDescent="0.2">
      <c r="B1367" t="str">
        <f>IFERROR(IF('PDCA review'!$D$2=Plan!B1368,Plan!G1368,""),"")</f>
        <v/>
      </c>
      <c r="C1367">
        <f t="shared" si="63"/>
        <v>0</v>
      </c>
      <c r="D1367">
        <f>SUM($C$3:C1367)</f>
        <v>7</v>
      </c>
      <c r="E1367" t="e">
        <f t="shared" si="64"/>
        <v>#N/A</v>
      </c>
      <c r="F1367" s="28" t="str">
        <f t="shared" ca="1" si="65"/>
        <v/>
      </c>
    </row>
    <row r="1368" spans="2:6" x14ac:dyDescent="0.2">
      <c r="B1368" t="str">
        <f>IFERROR(IF('PDCA review'!$D$2=Plan!B1369,Plan!G1369,""),"")</f>
        <v/>
      </c>
      <c r="C1368">
        <f t="shared" si="63"/>
        <v>0</v>
      </c>
      <c r="D1368">
        <f>SUM($C$3:C1368)</f>
        <v>7</v>
      </c>
      <c r="E1368" t="e">
        <f t="shared" si="64"/>
        <v>#N/A</v>
      </c>
      <c r="F1368" s="28" t="str">
        <f t="shared" ca="1" si="65"/>
        <v/>
      </c>
    </row>
    <row r="1369" spans="2:6" x14ac:dyDescent="0.2">
      <c r="B1369" t="str">
        <f>IFERROR(IF('PDCA review'!$D$2=Plan!B1370,Plan!G1370,""),"")</f>
        <v/>
      </c>
      <c r="C1369">
        <f t="shared" si="63"/>
        <v>0</v>
      </c>
      <c r="D1369">
        <f>SUM($C$3:C1369)</f>
        <v>7</v>
      </c>
      <c r="E1369" t="e">
        <f t="shared" si="64"/>
        <v>#N/A</v>
      </c>
      <c r="F1369" s="28" t="str">
        <f t="shared" ca="1" si="65"/>
        <v/>
      </c>
    </row>
    <row r="1370" spans="2:6" x14ac:dyDescent="0.2">
      <c r="B1370" t="str">
        <f>IFERROR(IF('PDCA review'!$D$2=Plan!B1371,Plan!G1371,""),"")</f>
        <v/>
      </c>
      <c r="C1370">
        <f t="shared" si="63"/>
        <v>0</v>
      </c>
      <c r="D1370">
        <f>SUM($C$3:C1370)</f>
        <v>7</v>
      </c>
      <c r="E1370" t="e">
        <f t="shared" si="64"/>
        <v>#N/A</v>
      </c>
      <c r="F1370" s="28" t="str">
        <f t="shared" ca="1" si="65"/>
        <v/>
      </c>
    </row>
    <row r="1371" spans="2:6" x14ac:dyDescent="0.2">
      <c r="B1371" t="str">
        <f>IFERROR(IF('PDCA review'!$D$2=Plan!B1372,Plan!G1372,""),"")</f>
        <v/>
      </c>
      <c r="C1371">
        <f t="shared" si="63"/>
        <v>0</v>
      </c>
      <c r="D1371">
        <f>SUM($C$3:C1371)</f>
        <v>7</v>
      </c>
      <c r="E1371" t="e">
        <f t="shared" si="64"/>
        <v>#N/A</v>
      </c>
      <c r="F1371" s="28" t="str">
        <f t="shared" ca="1" si="65"/>
        <v/>
      </c>
    </row>
    <row r="1372" spans="2:6" x14ac:dyDescent="0.2">
      <c r="B1372" t="str">
        <f>IFERROR(IF('PDCA review'!$D$2=Plan!B1373,Plan!G1373,""),"")</f>
        <v/>
      </c>
      <c r="C1372">
        <f t="shared" si="63"/>
        <v>0</v>
      </c>
      <c r="D1372">
        <f>SUM($C$3:C1372)</f>
        <v>7</v>
      </c>
      <c r="E1372" t="e">
        <f t="shared" si="64"/>
        <v>#N/A</v>
      </c>
      <c r="F1372" s="28" t="str">
        <f t="shared" ca="1" si="65"/>
        <v/>
      </c>
    </row>
    <row r="1373" spans="2:6" x14ac:dyDescent="0.2">
      <c r="B1373" t="str">
        <f>IFERROR(IF('PDCA review'!$D$2=Plan!B1374,Plan!G1374,""),"")</f>
        <v/>
      </c>
      <c r="C1373">
        <f t="shared" si="63"/>
        <v>0</v>
      </c>
      <c r="D1373">
        <f>SUM($C$3:C1373)</f>
        <v>7</v>
      </c>
      <c r="E1373" t="e">
        <f t="shared" si="64"/>
        <v>#N/A</v>
      </c>
      <c r="F1373" s="28" t="str">
        <f t="shared" ca="1" si="65"/>
        <v/>
      </c>
    </row>
    <row r="1374" spans="2:6" x14ac:dyDescent="0.2">
      <c r="B1374" t="str">
        <f>IFERROR(IF('PDCA review'!$D$2=Plan!B1375,Plan!G1375,""),"")</f>
        <v/>
      </c>
      <c r="C1374">
        <f t="shared" si="63"/>
        <v>0</v>
      </c>
      <c r="D1374">
        <f>SUM($C$3:C1374)</f>
        <v>7</v>
      </c>
      <c r="E1374" t="e">
        <f t="shared" si="64"/>
        <v>#N/A</v>
      </c>
      <c r="F1374" s="28" t="str">
        <f t="shared" ca="1" si="65"/>
        <v/>
      </c>
    </row>
    <row r="1375" spans="2:6" x14ac:dyDescent="0.2">
      <c r="B1375" t="str">
        <f>IFERROR(IF('PDCA review'!$D$2=Plan!B1376,Plan!G1376,""),"")</f>
        <v/>
      </c>
      <c r="C1375">
        <f t="shared" si="63"/>
        <v>0</v>
      </c>
      <c r="D1375">
        <f>SUM($C$3:C1375)</f>
        <v>7</v>
      </c>
      <c r="E1375" t="e">
        <f t="shared" si="64"/>
        <v>#N/A</v>
      </c>
      <c r="F1375" s="28" t="str">
        <f t="shared" ca="1" si="65"/>
        <v/>
      </c>
    </row>
    <row r="1376" spans="2:6" x14ac:dyDescent="0.2">
      <c r="B1376" t="str">
        <f>IFERROR(IF('PDCA review'!$D$2=Plan!B1377,Plan!G1377,""),"")</f>
        <v/>
      </c>
      <c r="C1376">
        <f t="shared" si="63"/>
        <v>0</v>
      </c>
      <c r="D1376">
        <f>SUM($C$3:C1376)</f>
        <v>7</v>
      </c>
      <c r="E1376" t="e">
        <f t="shared" si="64"/>
        <v>#N/A</v>
      </c>
      <c r="F1376" s="28" t="str">
        <f t="shared" ca="1" si="65"/>
        <v/>
      </c>
    </row>
    <row r="1377" spans="2:6" x14ac:dyDescent="0.2">
      <c r="B1377" t="str">
        <f>IFERROR(IF('PDCA review'!$D$2=Plan!B1378,Plan!G1378,""),"")</f>
        <v/>
      </c>
      <c r="C1377">
        <f t="shared" si="63"/>
        <v>0</v>
      </c>
      <c r="D1377">
        <f>SUM($C$3:C1377)</f>
        <v>7</v>
      </c>
      <c r="E1377" t="e">
        <f t="shared" si="64"/>
        <v>#N/A</v>
      </c>
      <c r="F1377" s="28" t="str">
        <f t="shared" ca="1" si="65"/>
        <v/>
      </c>
    </row>
    <row r="1378" spans="2:6" x14ac:dyDescent="0.2">
      <c r="B1378" t="str">
        <f>IFERROR(IF('PDCA review'!$D$2=Plan!B1379,Plan!G1379,""),"")</f>
        <v/>
      </c>
      <c r="C1378">
        <f t="shared" si="63"/>
        <v>0</v>
      </c>
      <c r="D1378">
        <f>SUM($C$3:C1378)</f>
        <v>7</v>
      </c>
      <c r="E1378" t="e">
        <f t="shared" si="64"/>
        <v>#N/A</v>
      </c>
      <c r="F1378" s="28" t="str">
        <f t="shared" ca="1" si="65"/>
        <v/>
      </c>
    </row>
    <row r="1379" spans="2:6" x14ac:dyDescent="0.2">
      <c r="B1379" t="str">
        <f>IFERROR(IF('PDCA review'!$D$2=Plan!B1380,Plan!G1380,""),"")</f>
        <v/>
      </c>
      <c r="C1379">
        <f t="shared" si="63"/>
        <v>0</v>
      </c>
      <c r="D1379">
        <f>SUM($C$3:C1379)</f>
        <v>7</v>
      </c>
      <c r="E1379" t="e">
        <f t="shared" si="64"/>
        <v>#N/A</v>
      </c>
      <c r="F1379" s="28" t="str">
        <f t="shared" ca="1" si="65"/>
        <v/>
      </c>
    </row>
    <row r="1380" spans="2:6" x14ac:dyDescent="0.2">
      <c r="B1380" t="str">
        <f>IFERROR(IF('PDCA review'!$D$2=Plan!B1381,Plan!G1381,""),"")</f>
        <v/>
      </c>
      <c r="C1380">
        <f t="shared" si="63"/>
        <v>0</v>
      </c>
      <c r="D1380">
        <f>SUM($C$3:C1380)</f>
        <v>7</v>
      </c>
      <c r="E1380" t="e">
        <f t="shared" si="64"/>
        <v>#N/A</v>
      </c>
      <c r="F1380" s="28" t="str">
        <f t="shared" ca="1" si="65"/>
        <v/>
      </c>
    </row>
    <row r="1381" spans="2:6" x14ac:dyDescent="0.2">
      <c r="B1381" t="str">
        <f>IFERROR(IF('PDCA review'!$D$2=Plan!B1382,Plan!G1382,""),"")</f>
        <v/>
      </c>
      <c r="C1381">
        <f t="shared" si="63"/>
        <v>0</v>
      </c>
      <c r="D1381">
        <f>SUM($C$3:C1381)</f>
        <v>7</v>
      </c>
      <c r="E1381" t="e">
        <f t="shared" si="64"/>
        <v>#N/A</v>
      </c>
      <c r="F1381" s="28" t="str">
        <f t="shared" ca="1" si="65"/>
        <v/>
      </c>
    </row>
    <row r="1382" spans="2:6" x14ac:dyDescent="0.2">
      <c r="B1382" t="str">
        <f>IFERROR(IF('PDCA review'!$D$2=Plan!B1383,Plan!G1383,""),"")</f>
        <v/>
      </c>
      <c r="C1382">
        <f t="shared" si="63"/>
        <v>0</v>
      </c>
      <c r="D1382">
        <f>SUM($C$3:C1382)</f>
        <v>7</v>
      </c>
      <c r="E1382" t="e">
        <f t="shared" si="64"/>
        <v>#N/A</v>
      </c>
      <c r="F1382" s="28" t="str">
        <f t="shared" ca="1" si="65"/>
        <v/>
      </c>
    </row>
    <row r="1383" spans="2:6" x14ac:dyDescent="0.2">
      <c r="B1383" t="str">
        <f>IFERROR(IF('PDCA review'!$D$2=Plan!B1384,Plan!G1384,""),"")</f>
        <v/>
      </c>
      <c r="C1383">
        <f t="shared" si="63"/>
        <v>0</v>
      </c>
      <c r="D1383">
        <f>SUM($C$3:C1383)</f>
        <v>7</v>
      </c>
      <c r="E1383" t="e">
        <f t="shared" si="64"/>
        <v>#N/A</v>
      </c>
      <c r="F1383" s="28" t="str">
        <f t="shared" ca="1" si="65"/>
        <v/>
      </c>
    </row>
    <row r="1384" spans="2:6" x14ac:dyDescent="0.2">
      <c r="B1384" t="str">
        <f>IFERROR(IF('PDCA review'!$D$2=Plan!B1385,Plan!G1385,""),"")</f>
        <v/>
      </c>
      <c r="C1384">
        <f t="shared" si="63"/>
        <v>0</v>
      </c>
      <c r="D1384">
        <f>SUM($C$3:C1384)</f>
        <v>7</v>
      </c>
      <c r="E1384" t="e">
        <f t="shared" si="64"/>
        <v>#N/A</v>
      </c>
      <c r="F1384" s="28" t="str">
        <f t="shared" ca="1" si="65"/>
        <v/>
      </c>
    </row>
    <row r="1385" spans="2:6" x14ac:dyDescent="0.2">
      <c r="B1385" t="str">
        <f>IFERROR(IF('PDCA review'!$D$2=Plan!B1386,Plan!G1386,""),"")</f>
        <v/>
      </c>
      <c r="C1385">
        <f t="shared" si="63"/>
        <v>0</v>
      </c>
      <c r="D1385">
        <f>SUM($C$3:C1385)</f>
        <v>7</v>
      </c>
      <c r="E1385" t="e">
        <f t="shared" si="64"/>
        <v>#N/A</v>
      </c>
      <c r="F1385" s="28" t="str">
        <f t="shared" ca="1" si="65"/>
        <v/>
      </c>
    </row>
    <row r="1386" spans="2:6" x14ac:dyDescent="0.2">
      <c r="B1386" t="str">
        <f>IFERROR(IF('PDCA review'!$D$2=Plan!B1387,Plan!G1387,""),"")</f>
        <v/>
      </c>
      <c r="C1386">
        <f t="shared" si="63"/>
        <v>0</v>
      </c>
      <c r="D1386">
        <f>SUM($C$3:C1386)</f>
        <v>7</v>
      </c>
      <c r="E1386" t="e">
        <f t="shared" si="64"/>
        <v>#N/A</v>
      </c>
      <c r="F1386" s="28" t="str">
        <f t="shared" ca="1" si="65"/>
        <v/>
      </c>
    </row>
    <row r="1387" spans="2:6" x14ac:dyDescent="0.2">
      <c r="B1387" t="str">
        <f>IFERROR(IF('PDCA review'!$D$2=Plan!B1388,Plan!G1388,""),"")</f>
        <v/>
      </c>
      <c r="C1387">
        <f t="shared" si="63"/>
        <v>0</v>
      </c>
      <c r="D1387">
        <f>SUM($C$3:C1387)</f>
        <v>7</v>
      </c>
      <c r="E1387" t="e">
        <f t="shared" si="64"/>
        <v>#N/A</v>
      </c>
      <c r="F1387" s="28" t="str">
        <f t="shared" ca="1" si="65"/>
        <v/>
      </c>
    </row>
    <row r="1388" spans="2:6" x14ac:dyDescent="0.2">
      <c r="B1388" t="str">
        <f>IFERROR(IF('PDCA review'!$D$2=Plan!B1389,Plan!G1389,""),"")</f>
        <v/>
      </c>
      <c r="C1388">
        <f t="shared" si="63"/>
        <v>0</v>
      </c>
      <c r="D1388">
        <f>SUM($C$3:C1388)</f>
        <v>7</v>
      </c>
      <c r="E1388" t="e">
        <f t="shared" si="64"/>
        <v>#N/A</v>
      </c>
      <c r="F1388" s="28" t="str">
        <f t="shared" ca="1" si="65"/>
        <v/>
      </c>
    </row>
    <row r="1389" spans="2:6" x14ac:dyDescent="0.2">
      <c r="B1389" t="str">
        <f>IFERROR(IF('PDCA review'!$D$2=Plan!B1390,Plan!G1390,""),"")</f>
        <v/>
      </c>
      <c r="C1389">
        <f t="shared" si="63"/>
        <v>0</v>
      </c>
      <c r="D1389">
        <f>SUM($C$3:C1389)</f>
        <v>7</v>
      </c>
      <c r="E1389" t="e">
        <f t="shared" si="64"/>
        <v>#N/A</v>
      </c>
      <c r="F1389" s="28" t="str">
        <f t="shared" ca="1" si="65"/>
        <v/>
      </c>
    </row>
    <row r="1390" spans="2:6" x14ac:dyDescent="0.2">
      <c r="B1390" t="str">
        <f>IFERROR(IF('PDCA review'!$D$2=Plan!B1391,Plan!G1391,""),"")</f>
        <v/>
      </c>
      <c r="C1390">
        <f t="shared" si="63"/>
        <v>0</v>
      </c>
      <c r="D1390">
        <f>SUM($C$3:C1390)</f>
        <v>7</v>
      </c>
      <c r="E1390" t="e">
        <f t="shared" si="64"/>
        <v>#N/A</v>
      </c>
      <c r="F1390" s="28" t="str">
        <f t="shared" ca="1" si="65"/>
        <v/>
      </c>
    </row>
    <row r="1391" spans="2:6" x14ac:dyDescent="0.2">
      <c r="B1391" t="str">
        <f>IFERROR(IF('PDCA review'!$D$2=Plan!B1392,Plan!G1392,""),"")</f>
        <v/>
      </c>
      <c r="C1391">
        <f t="shared" si="63"/>
        <v>0</v>
      </c>
      <c r="D1391">
        <f>SUM($C$3:C1391)</f>
        <v>7</v>
      </c>
      <c r="E1391" t="e">
        <f t="shared" si="64"/>
        <v>#N/A</v>
      </c>
      <c r="F1391" s="28" t="str">
        <f t="shared" ca="1" si="65"/>
        <v/>
      </c>
    </row>
    <row r="1392" spans="2:6" x14ac:dyDescent="0.2">
      <c r="B1392" t="str">
        <f>IFERROR(IF('PDCA review'!$D$2=Plan!B1393,Plan!G1393,""),"")</f>
        <v/>
      </c>
      <c r="C1392">
        <f t="shared" si="63"/>
        <v>0</v>
      </c>
      <c r="D1392">
        <f>SUM($C$3:C1392)</f>
        <v>7</v>
      </c>
      <c r="E1392" t="e">
        <f t="shared" si="64"/>
        <v>#N/A</v>
      </c>
      <c r="F1392" s="28" t="str">
        <f t="shared" ca="1" si="65"/>
        <v/>
      </c>
    </row>
    <row r="1393" spans="2:6" x14ac:dyDescent="0.2">
      <c r="B1393" t="str">
        <f>IFERROR(IF('PDCA review'!$D$2=Plan!B1394,Plan!G1394,""),"")</f>
        <v/>
      </c>
      <c r="C1393">
        <f t="shared" si="63"/>
        <v>0</v>
      </c>
      <c r="D1393">
        <f>SUM($C$3:C1393)</f>
        <v>7</v>
      </c>
      <c r="E1393" t="e">
        <f t="shared" si="64"/>
        <v>#N/A</v>
      </c>
      <c r="F1393" s="28" t="str">
        <f t="shared" ca="1" si="65"/>
        <v/>
      </c>
    </row>
    <row r="1394" spans="2:6" x14ac:dyDescent="0.2">
      <c r="B1394" t="str">
        <f>IFERROR(IF('PDCA review'!$D$2=Plan!B1395,Plan!G1395,""),"")</f>
        <v/>
      </c>
      <c r="C1394">
        <f t="shared" si="63"/>
        <v>0</v>
      </c>
      <c r="D1394">
        <f>SUM($C$3:C1394)</f>
        <v>7</v>
      </c>
      <c r="E1394" t="e">
        <f t="shared" si="64"/>
        <v>#N/A</v>
      </c>
      <c r="F1394" s="28" t="str">
        <f t="shared" ca="1" si="65"/>
        <v/>
      </c>
    </row>
    <row r="1395" spans="2:6" x14ac:dyDescent="0.2">
      <c r="B1395" t="str">
        <f>IFERROR(IF('PDCA review'!$D$2=Plan!B1396,Plan!G1396,""),"")</f>
        <v/>
      </c>
      <c r="C1395">
        <f t="shared" si="63"/>
        <v>0</v>
      </c>
      <c r="D1395">
        <f>SUM($C$3:C1395)</f>
        <v>7</v>
      </c>
      <c r="E1395" t="e">
        <f t="shared" si="64"/>
        <v>#N/A</v>
      </c>
      <c r="F1395" s="28" t="str">
        <f t="shared" ca="1" si="65"/>
        <v/>
      </c>
    </row>
    <row r="1396" spans="2:6" x14ac:dyDescent="0.2">
      <c r="B1396" t="str">
        <f>IFERROR(IF('PDCA review'!$D$2=Plan!B1397,Plan!G1397,""),"")</f>
        <v/>
      </c>
      <c r="C1396">
        <f t="shared" si="63"/>
        <v>0</v>
      </c>
      <c r="D1396">
        <f>SUM($C$3:C1396)</f>
        <v>7</v>
      </c>
      <c r="E1396" t="e">
        <f t="shared" si="64"/>
        <v>#N/A</v>
      </c>
      <c r="F1396" s="28" t="str">
        <f t="shared" ca="1" si="65"/>
        <v/>
      </c>
    </row>
    <row r="1397" spans="2:6" x14ac:dyDescent="0.2">
      <c r="B1397" t="str">
        <f>IFERROR(IF('PDCA review'!$D$2=Plan!B1398,Plan!G1398,""),"")</f>
        <v/>
      </c>
      <c r="C1397">
        <f t="shared" si="63"/>
        <v>0</v>
      </c>
      <c r="D1397">
        <f>SUM($C$3:C1397)</f>
        <v>7</v>
      </c>
      <c r="E1397" t="e">
        <f t="shared" si="64"/>
        <v>#N/A</v>
      </c>
      <c r="F1397" s="28" t="str">
        <f t="shared" ca="1" si="65"/>
        <v/>
      </c>
    </row>
    <row r="1398" spans="2:6" x14ac:dyDescent="0.2">
      <c r="B1398" t="str">
        <f>IFERROR(IF('PDCA review'!$D$2=Plan!B1399,Plan!G1399,""),"")</f>
        <v/>
      </c>
      <c r="C1398">
        <f t="shared" si="63"/>
        <v>0</v>
      </c>
      <c r="D1398">
        <f>SUM($C$3:C1398)</f>
        <v>7</v>
      </c>
      <c r="E1398" t="e">
        <f t="shared" si="64"/>
        <v>#N/A</v>
      </c>
      <c r="F1398" s="28" t="str">
        <f t="shared" ca="1" si="65"/>
        <v/>
      </c>
    </row>
    <row r="1399" spans="2:6" x14ac:dyDescent="0.2">
      <c r="B1399" t="str">
        <f>IFERROR(IF('PDCA review'!$D$2=Plan!B1400,Plan!G1400,""),"")</f>
        <v/>
      </c>
      <c r="C1399">
        <f t="shared" si="63"/>
        <v>0</v>
      </c>
      <c r="D1399">
        <f>SUM($C$3:C1399)</f>
        <v>7</v>
      </c>
      <c r="E1399" t="e">
        <f t="shared" si="64"/>
        <v>#N/A</v>
      </c>
      <c r="F1399" s="28" t="str">
        <f t="shared" ca="1" si="65"/>
        <v/>
      </c>
    </row>
    <row r="1400" spans="2:6" x14ac:dyDescent="0.2">
      <c r="B1400" t="str">
        <f>IFERROR(IF('PDCA review'!$D$2=Plan!B1401,Plan!G1401,""),"")</f>
        <v/>
      </c>
      <c r="C1400">
        <f t="shared" si="63"/>
        <v>0</v>
      </c>
      <c r="D1400">
        <f>SUM($C$3:C1400)</f>
        <v>7</v>
      </c>
      <c r="E1400" t="e">
        <f t="shared" si="64"/>
        <v>#N/A</v>
      </c>
      <c r="F1400" s="28" t="str">
        <f t="shared" ca="1" si="65"/>
        <v/>
      </c>
    </row>
    <row r="1401" spans="2:6" x14ac:dyDescent="0.2">
      <c r="B1401" t="str">
        <f>IFERROR(IF('PDCA review'!$D$2=Plan!B1402,Plan!G1402,""),"")</f>
        <v/>
      </c>
      <c r="C1401">
        <f t="shared" si="63"/>
        <v>0</v>
      </c>
      <c r="D1401">
        <f>SUM($C$3:C1401)</f>
        <v>7</v>
      </c>
      <c r="E1401" t="e">
        <f t="shared" si="64"/>
        <v>#N/A</v>
      </c>
      <c r="F1401" s="28" t="str">
        <f t="shared" ca="1" si="65"/>
        <v/>
      </c>
    </row>
    <row r="1402" spans="2:6" x14ac:dyDescent="0.2">
      <c r="B1402" t="str">
        <f>IFERROR(IF('PDCA review'!$D$2=Plan!B1403,Plan!G1403,""),"")</f>
        <v/>
      </c>
      <c r="C1402">
        <f t="shared" si="63"/>
        <v>0</v>
      </c>
      <c r="D1402">
        <f>SUM($C$3:C1402)</f>
        <v>7</v>
      </c>
      <c r="E1402" t="e">
        <f t="shared" si="64"/>
        <v>#N/A</v>
      </c>
      <c r="F1402" s="28" t="str">
        <f t="shared" ca="1" si="65"/>
        <v/>
      </c>
    </row>
    <row r="1403" spans="2:6" x14ac:dyDescent="0.2">
      <c r="B1403" t="str">
        <f>IFERROR(IF('PDCA review'!$D$2=Plan!B1404,Plan!G1404,""),"")</f>
        <v/>
      </c>
      <c r="C1403">
        <f t="shared" si="63"/>
        <v>0</v>
      </c>
      <c r="D1403">
        <f>SUM($C$3:C1403)</f>
        <v>7</v>
      </c>
      <c r="E1403" t="e">
        <f t="shared" si="64"/>
        <v>#N/A</v>
      </c>
      <c r="F1403" s="28" t="str">
        <f t="shared" ca="1" si="65"/>
        <v/>
      </c>
    </row>
    <row r="1404" spans="2:6" x14ac:dyDescent="0.2">
      <c r="B1404" t="str">
        <f>IFERROR(IF('PDCA review'!$D$2=Plan!B1405,Plan!G1405,""),"")</f>
        <v/>
      </c>
      <c r="C1404">
        <f t="shared" si="63"/>
        <v>0</v>
      </c>
      <c r="D1404">
        <f>SUM($C$3:C1404)</f>
        <v>7</v>
      </c>
      <c r="E1404" t="e">
        <f t="shared" si="64"/>
        <v>#N/A</v>
      </c>
      <c r="F1404" s="28" t="str">
        <f t="shared" ca="1" si="65"/>
        <v/>
      </c>
    </row>
    <row r="1405" spans="2:6" x14ac:dyDescent="0.2">
      <c r="B1405" t="str">
        <f>IFERROR(IF('PDCA review'!$D$2=Plan!B1406,Plan!G1406,""),"")</f>
        <v/>
      </c>
      <c r="C1405">
        <f t="shared" si="63"/>
        <v>0</v>
      </c>
      <c r="D1405">
        <f>SUM($C$3:C1405)</f>
        <v>7</v>
      </c>
      <c r="E1405" t="e">
        <f t="shared" si="64"/>
        <v>#N/A</v>
      </c>
      <c r="F1405" s="28" t="str">
        <f t="shared" ca="1" si="65"/>
        <v/>
      </c>
    </row>
    <row r="1406" spans="2:6" x14ac:dyDescent="0.2">
      <c r="B1406" t="str">
        <f>IFERROR(IF('PDCA review'!$D$2=Plan!B1407,Plan!G1407,""),"")</f>
        <v/>
      </c>
      <c r="C1406">
        <f t="shared" si="63"/>
        <v>0</v>
      </c>
      <c r="D1406">
        <f>SUM($C$3:C1406)</f>
        <v>7</v>
      </c>
      <c r="E1406" t="e">
        <f t="shared" si="64"/>
        <v>#N/A</v>
      </c>
      <c r="F1406" s="28" t="str">
        <f t="shared" ca="1" si="65"/>
        <v/>
      </c>
    </row>
    <row r="1407" spans="2:6" x14ac:dyDescent="0.2">
      <c r="B1407" t="str">
        <f>IFERROR(IF('PDCA review'!$D$2=Plan!B1408,Plan!G1408,""),"")</f>
        <v/>
      </c>
      <c r="C1407">
        <f t="shared" si="63"/>
        <v>0</v>
      </c>
      <c r="D1407">
        <f>SUM($C$3:C1407)</f>
        <v>7</v>
      </c>
      <c r="E1407" t="e">
        <f t="shared" si="64"/>
        <v>#N/A</v>
      </c>
      <c r="F1407" s="28" t="str">
        <f t="shared" ca="1" si="65"/>
        <v/>
      </c>
    </row>
    <row r="1408" spans="2:6" x14ac:dyDescent="0.2">
      <c r="B1408" t="str">
        <f>IFERROR(IF('PDCA review'!$D$2=Plan!B1409,Plan!G1409,""),"")</f>
        <v/>
      </c>
      <c r="C1408">
        <f t="shared" si="63"/>
        <v>0</v>
      </c>
      <c r="D1408">
        <f>SUM($C$3:C1408)</f>
        <v>7</v>
      </c>
      <c r="E1408" t="e">
        <f t="shared" si="64"/>
        <v>#N/A</v>
      </c>
      <c r="F1408" s="28" t="str">
        <f t="shared" ca="1" si="65"/>
        <v/>
      </c>
    </row>
    <row r="1409" spans="2:6" x14ac:dyDescent="0.2">
      <c r="B1409" t="str">
        <f>IFERROR(IF('PDCA review'!$D$2=Plan!B1410,Plan!G1410,""),"")</f>
        <v/>
      </c>
      <c r="C1409">
        <f t="shared" si="63"/>
        <v>0</v>
      </c>
      <c r="D1409">
        <f>SUM($C$3:C1409)</f>
        <v>7</v>
      </c>
      <c r="E1409" t="e">
        <f t="shared" si="64"/>
        <v>#N/A</v>
      </c>
      <c r="F1409" s="28" t="str">
        <f t="shared" ca="1" si="65"/>
        <v/>
      </c>
    </row>
    <row r="1410" spans="2:6" x14ac:dyDescent="0.2">
      <c r="B1410" t="str">
        <f>IFERROR(IF('PDCA review'!$D$2=Plan!B1411,Plan!G1411,""),"")</f>
        <v/>
      </c>
      <c r="C1410">
        <f t="shared" si="63"/>
        <v>0</v>
      </c>
      <c r="D1410">
        <f>SUM($C$3:C1410)</f>
        <v>7</v>
      </c>
      <c r="E1410" t="e">
        <f t="shared" si="64"/>
        <v>#N/A</v>
      </c>
      <c r="F1410" s="28" t="str">
        <f t="shared" ca="1" si="65"/>
        <v/>
      </c>
    </row>
    <row r="1411" spans="2:6" x14ac:dyDescent="0.2">
      <c r="B1411" t="str">
        <f>IFERROR(IF('PDCA review'!$D$2=Plan!B1412,Plan!G1412,""),"")</f>
        <v/>
      </c>
      <c r="C1411">
        <f t="shared" si="63"/>
        <v>0</v>
      </c>
      <c r="D1411">
        <f>SUM($C$3:C1411)</f>
        <v>7</v>
      </c>
      <c r="E1411" t="e">
        <f t="shared" si="64"/>
        <v>#N/A</v>
      </c>
      <c r="F1411" s="28" t="str">
        <f t="shared" ca="1" si="65"/>
        <v/>
      </c>
    </row>
    <row r="1412" spans="2:6" x14ac:dyDescent="0.2">
      <c r="B1412" t="str">
        <f>IFERROR(IF('PDCA review'!$D$2=Plan!B1413,Plan!G1413,""),"")</f>
        <v/>
      </c>
      <c r="C1412">
        <f t="shared" ref="C1412:C1475" si="66">IF(B1412&lt;&gt;"",1,0)</f>
        <v>0</v>
      </c>
      <c r="D1412">
        <f>SUM($C$3:C1412)</f>
        <v>7</v>
      </c>
      <c r="E1412" t="e">
        <f t="shared" ref="E1412:E1475" si="67">MATCH(ROW()-$D$2,$D$3:$D$2000,0)+$D$2</f>
        <v>#N/A</v>
      </c>
      <c r="F1412" s="28" t="str">
        <f t="shared" ref="F1412:F1475" ca="1" si="68">IFERROR(INDIRECT("B"&amp;E1412),"")</f>
        <v/>
      </c>
    </row>
    <row r="1413" spans="2:6" x14ac:dyDescent="0.2">
      <c r="B1413" t="str">
        <f>IFERROR(IF('PDCA review'!$D$2=Plan!B1414,Plan!G1414,""),"")</f>
        <v/>
      </c>
      <c r="C1413">
        <f t="shared" si="66"/>
        <v>0</v>
      </c>
      <c r="D1413">
        <f>SUM($C$3:C1413)</f>
        <v>7</v>
      </c>
      <c r="E1413" t="e">
        <f t="shared" si="67"/>
        <v>#N/A</v>
      </c>
      <c r="F1413" s="28" t="str">
        <f t="shared" ca="1" si="68"/>
        <v/>
      </c>
    </row>
    <row r="1414" spans="2:6" x14ac:dyDescent="0.2">
      <c r="B1414" t="str">
        <f>IFERROR(IF('PDCA review'!$D$2=Plan!B1415,Plan!G1415,""),"")</f>
        <v/>
      </c>
      <c r="C1414">
        <f t="shared" si="66"/>
        <v>0</v>
      </c>
      <c r="D1414">
        <f>SUM($C$3:C1414)</f>
        <v>7</v>
      </c>
      <c r="E1414" t="e">
        <f t="shared" si="67"/>
        <v>#N/A</v>
      </c>
      <c r="F1414" s="28" t="str">
        <f t="shared" ca="1" si="68"/>
        <v/>
      </c>
    </row>
    <row r="1415" spans="2:6" x14ac:dyDescent="0.2">
      <c r="B1415" t="str">
        <f>IFERROR(IF('PDCA review'!$D$2=Plan!B1416,Plan!G1416,""),"")</f>
        <v/>
      </c>
      <c r="C1415">
        <f t="shared" si="66"/>
        <v>0</v>
      </c>
      <c r="D1415">
        <f>SUM($C$3:C1415)</f>
        <v>7</v>
      </c>
      <c r="E1415" t="e">
        <f t="shared" si="67"/>
        <v>#N/A</v>
      </c>
      <c r="F1415" s="28" t="str">
        <f t="shared" ca="1" si="68"/>
        <v/>
      </c>
    </row>
    <row r="1416" spans="2:6" x14ac:dyDescent="0.2">
      <c r="B1416" t="str">
        <f>IFERROR(IF('PDCA review'!$D$2=Plan!B1417,Plan!G1417,""),"")</f>
        <v/>
      </c>
      <c r="C1416">
        <f t="shared" si="66"/>
        <v>0</v>
      </c>
      <c r="D1416">
        <f>SUM($C$3:C1416)</f>
        <v>7</v>
      </c>
      <c r="E1416" t="e">
        <f t="shared" si="67"/>
        <v>#N/A</v>
      </c>
      <c r="F1416" s="28" t="str">
        <f t="shared" ca="1" si="68"/>
        <v/>
      </c>
    </row>
    <row r="1417" spans="2:6" x14ac:dyDescent="0.2">
      <c r="B1417" t="str">
        <f>IFERROR(IF('PDCA review'!$D$2=Plan!B1418,Plan!G1418,""),"")</f>
        <v/>
      </c>
      <c r="C1417">
        <f t="shared" si="66"/>
        <v>0</v>
      </c>
      <c r="D1417">
        <f>SUM($C$3:C1417)</f>
        <v>7</v>
      </c>
      <c r="E1417" t="e">
        <f t="shared" si="67"/>
        <v>#N/A</v>
      </c>
      <c r="F1417" s="28" t="str">
        <f t="shared" ca="1" si="68"/>
        <v/>
      </c>
    </row>
    <row r="1418" spans="2:6" x14ac:dyDescent="0.2">
      <c r="B1418" t="str">
        <f>IFERROR(IF('PDCA review'!$D$2=Plan!B1419,Plan!G1419,""),"")</f>
        <v/>
      </c>
      <c r="C1418">
        <f t="shared" si="66"/>
        <v>0</v>
      </c>
      <c r="D1418">
        <f>SUM($C$3:C1418)</f>
        <v>7</v>
      </c>
      <c r="E1418" t="e">
        <f t="shared" si="67"/>
        <v>#N/A</v>
      </c>
      <c r="F1418" s="28" t="str">
        <f t="shared" ca="1" si="68"/>
        <v/>
      </c>
    </row>
    <row r="1419" spans="2:6" x14ac:dyDescent="0.2">
      <c r="B1419" t="str">
        <f>IFERROR(IF('PDCA review'!$D$2=Plan!B1420,Plan!G1420,""),"")</f>
        <v/>
      </c>
      <c r="C1419">
        <f t="shared" si="66"/>
        <v>0</v>
      </c>
      <c r="D1419">
        <f>SUM($C$3:C1419)</f>
        <v>7</v>
      </c>
      <c r="E1419" t="e">
        <f t="shared" si="67"/>
        <v>#N/A</v>
      </c>
      <c r="F1419" s="28" t="str">
        <f t="shared" ca="1" si="68"/>
        <v/>
      </c>
    </row>
    <row r="1420" spans="2:6" x14ac:dyDescent="0.2">
      <c r="B1420" t="str">
        <f>IFERROR(IF('PDCA review'!$D$2=Plan!B1421,Plan!G1421,""),"")</f>
        <v/>
      </c>
      <c r="C1420">
        <f t="shared" si="66"/>
        <v>0</v>
      </c>
      <c r="D1420">
        <f>SUM($C$3:C1420)</f>
        <v>7</v>
      </c>
      <c r="E1420" t="e">
        <f t="shared" si="67"/>
        <v>#N/A</v>
      </c>
      <c r="F1420" s="28" t="str">
        <f t="shared" ca="1" si="68"/>
        <v/>
      </c>
    </row>
    <row r="1421" spans="2:6" x14ac:dyDescent="0.2">
      <c r="B1421" t="str">
        <f>IFERROR(IF('PDCA review'!$D$2=Plan!B1422,Plan!G1422,""),"")</f>
        <v/>
      </c>
      <c r="C1421">
        <f t="shared" si="66"/>
        <v>0</v>
      </c>
      <c r="D1421">
        <f>SUM($C$3:C1421)</f>
        <v>7</v>
      </c>
      <c r="E1421" t="e">
        <f t="shared" si="67"/>
        <v>#N/A</v>
      </c>
      <c r="F1421" s="28" t="str">
        <f t="shared" ca="1" si="68"/>
        <v/>
      </c>
    </row>
    <row r="1422" spans="2:6" x14ac:dyDescent="0.2">
      <c r="B1422" t="str">
        <f>IFERROR(IF('PDCA review'!$D$2=Plan!B1423,Plan!G1423,""),"")</f>
        <v/>
      </c>
      <c r="C1422">
        <f t="shared" si="66"/>
        <v>0</v>
      </c>
      <c r="D1422">
        <f>SUM($C$3:C1422)</f>
        <v>7</v>
      </c>
      <c r="E1422" t="e">
        <f t="shared" si="67"/>
        <v>#N/A</v>
      </c>
      <c r="F1422" s="28" t="str">
        <f t="shared" ca="1" si="68"/>
        <v/>
      </c>
    </row>
    <row r="1423" spans="2:6" x14ac:dyDescent="0.2">
      <c r="B1423" t="str">
        <f>IFERROR(IF('PDCA review'!$D$2=Plan!B1424,Plan!G1424,""),"")</f>
        <v/>
      </c>
      <c r="C1423">
        <f t="shared" si="66"/>
        <v>0</v>
      </c>
      <c r="D1423">
        <f>SUM($C$3:C1423)</f>
        <v>7</v>
      </c>
      <c r="E1423" t="e">
        <f t="shared" si="67"/>
        <v>#N/A</v>
      </c>
      <c r="F1423" s="28" t="str">
        <f t="shared" ca="1" si="68"/>
        <v/>
      </c>
    </row>
    <row r="1424" spans="2:6" x14ac:dyDescent="0.2">
      <c r="B1424" t="str">
        <f>IFERROR(IF('PDCA review'!$D$2=Plan!B1425,Plan!G1425,""),"")</f>
        <v/>
      </c>
      <c r="C1424">
        <f t="shared" si="66"/>
        <v>0</v>
      </c>
      <c r="D1424">
        <f>SUM($C$3:C1424)</f>
        <v>7</v>
      </c>
      <c r="E1424" t="e">
        <f t="shared" si="67"/>
        <v>#N/A</v>
      </c>
      <c r="F1424" s="28" t="str">
        <f t="shared" ca="1" si="68"/>
        <v/>
      </c>
    </row>
    <row r="1425" spans="2:6" x14ac:dyDescent="0.2">
      <c r="B1425" t="str">
        <f>IFERROR(IF('PDCA review'!$D$2=Plan!B1426,Plan!G1426,""),"")</f>
        <v/>
      </c>
      <c r="C1425">
        <f t="shared" si="66"/>
        <v>0</v>
      </c>
      <c r="D1425">
        <f>SUM($C$3:C1425)</f>
        <v>7</v>
      </c>
      <c r="E1425" t="e">
        <f t="shared" si="67"/>
        <v>#N/A</v>
      </c>
      <c r="F1425" s="28" t="str">
        <f t="shared" ca="1" si="68"/>
        <v/>
      </c>
    </row>
    <row r="1426" spans="2:6" x14ac:dyDescent="0.2">
      <c r="B1426" t="str">
        <f>IFERROR(IF('PDCA review'!$D$2=Plan!B1427,Plan!G1427,""),"")</f>
        <v/>
      </c>
      <c r="C1426">
        <f t="shared" si="66"/>
        <v>0</v>
      </c>
      <c r="D1426">
        <f>SUM($C$3:C1426)</f>
        <v>7</v>
      </c>
      <c r="E1426" t="e">
        <f t="shared" si="67"/>
        <v>#N/A</v>
      </c>
      <c r="F1426" s="28" t="str">
        <f t="shared" ca="1" si="68"/>
        <v/>
      </c>
    </row>
    <row r="1427" spans="2:6" x14ac:dyDescent="0.2">
      <c r="B1427" t="str">
        <f>IFERROR(IF('PDCA review'!$D$2=Plan!B1428,Plan!G1428,""),"")</f>
        <v/>
      </c>
      <c r="C1427">
        <f t="shared" si="66"/>
        <v>0</v>
      </c>
      <c r="D1427">
        <f>SUM($C$3:C1427)</f>
        <v>7</v>
      </c>
      <c r="E1427" t="e">
        <f t="shared" si="67"/>
        <v>#N/A</v>
      </c>
      <c r="F1427" s="28" t="str">
        <f t="shared" ca="1" si="68"/>
        <v/>
      </c>
    </row>
    <row r="1428" spans="2:6" x14ac:dyDescent="0.2">
      <c r="B1428" t="str">
        <f>IFERROR(IF('PDCA review'!$D$2=Plan!B1429,Plan!G1429,""),"")</f>
        <v/>
      </c>
      <c r="C1428">
        <f t="shared" si="66"/>
        <v>0</v>
      </c>
      <c r="D1428">
        <f>SUM($C$3:C1428)</f>
        <v>7</v>
      </c>
      <c r="E1428" t="e">
        <f t="shared" si="67"/>
        <v>#N/A</v>
      </c>
      <c r="F1428" s="28" t="str">
        <f t="shared" ca="1" si="68"/>
        <v/>
      </c>
    </row>
    <row r="1429" spans="2:6" x14ac:dyDescent="0.2">
      <c r="B1429" t="str">
        <f>IFERROR(IF('PDCA review'!$D$2=Plan!B1430,Plan!G1430,""),"")</f>
        <v/>
      </c>
      <c r="C1429">
        <f t="shared" si="66"/>
        <v>0</v>
      </c>
      <c r="D1429">
        <f>SUM($C$3:C1429)</f>
        <v>7</v>
      </c>
      <c r="E1429" t="e">
        <f t="shared" si="67"/>
        <v>#N/A</v>
      </c>
      <c r="F1429" s="28" t="str">
        <f t="shared" ca="1" si="68"/>
        <v/>
      </c>
    </row>
    <row r="1430" spans="2:6" x14ac:dyDescent="0.2">
      <c r="B1430" t="str">
        <f>IFERROR(IF('PDCA review'!$D$2=Plan!B1431,Plan!G1431,""),"")</f>
        <v/>
      </c>
      <c r="C1430">
        <f t="shared" si="66"/>
        <v>0</v>
      </c>
      <c r="D1430">
        <f>SUM($C$3:C1430)</f>
        <v>7</v>
      </c>
      <c r="E1430" t="e">
        <f t="shared" si="67"/>
        <v>#N/A</v>
      </c>
      <c r="F1430" s="28" t="str">
        <f t="shared" ca="1" si="68"/>
        <v/>
      </c>
    </row>
    <row r="1431" spans="2:6" x14ac:dyDescent="0.2">
      <c r="B1431" t="str">
        <f>IFERROR(IF('PDCA review'!$D$2=Plan!B1432,Plan!G1432,""),"")</f>
        <v/>
      </c>
      <c r="C1431">
        <f t="shared" si="66"/>
        <v>0</v>
      </c>
      <c r="D1431">
        <f>SUM($C$3:C1431)</f>
        <v>7</v>
      </c>
      <c r="E1431" t="e">
        <f t="shared" si="67"/>
        <v>#N/A</v>
      </c>
      <c r="F1431" s="28" t="str">
        <f t="shared" ca="1" si="68"/>
        <v/>
      </c>
    </row>
    <row r="1432" spans="2:6" x14ac:dyDescent="0.2">
      <c r="B1432" t="str">
        <f>IFERROR(IF('PDCA review'!$D$2=Plan!B1433,Plan!G1433,""),"")</f>
        <v/>
      </c>
      <c r="C1432">
        <f t="shared" si="66"/>
        <v>0</v>
      </c>
      <c r="D1432">
        <f>SUM($C$3:C1432)</f>
        <v>7</v>
      </c>
      <c r="E1432" t="e">
        <f t="shared" si="67"/>
        <v>#N/A</v>
      </c>
      <c r="F1432" s="28" t="str">
        <f t="shared" ca="1" si="68"/>
        <v/>
      </c>
    </row>
    <row r="1433" spans="2:6" x14ac:dyDescent="0.2">
      <c r="B1433" t="str">
        <f>IFERROR(IF('PDCA review'!$D$2=Plan!B1434,Plan!G1434,""),"")</f>
        <v/>
      </c>
      <c r="C1433">
        <f t="shared" si="66"/>
        <v>0</v>
      </c>
      <c r="D1433">
        <f>SUM($C$3:C1433)</f>
        <v>7</v>
      </c>
      <c r="E1433" t="e">
        <f t="shared" si="67"/>
        <v>#N/A</v>
      </c>
      <c r="F1433" s="28" t="str">
        <f t="shared" ca="1" si="68"/>
        <v/>
      </c>
    </row>
    <row r="1434" spans="2:6" x14ac:dyDescent="0.2">
      <c r="B1434" t="str">
        <f>IFERROR(IF('PDCA review'!$D$2=Plan!B1435,Plan!G1435,""),"")</f>
        <v/>
      </c>
      <c r="C1434">
        <f t="shared" si="66"/>
        <v>0</v>
      </c>
      <c r="D1434">
        <f>SUM($C$3:C1434)</f>
        <v>7</v>
      </c>
      <c r="E1434" t="e">
        <f t="shared" si="67"/>
        <v>#N/A</v>
      </c>
      <c r="F1434" s="28" t="str">
        <f t="shared" ca="1" si="68"/>
        <v/>
      </c>
    </row>
    <row r="1435" spans="2:6" x14ac:dyDescent="0.2">
      <c r="B1435" t="str">
        <f>IFERROR(IF('PDCA review'!$D$2=Plan!B1436,Plan!G1436,""),"")</f>
        <v/>
      </c>
      <c r="C1435">
        <f t="shared" si="66"/>
        <v>0</v>
      </c>
      <c r="D1435">
        <f>SUM($C$3:C1435)</f>
        <v>7</v>
      </c>
      <c r="E1435" t="e">
        <f t="shared" si="67"/>
        <v>#N/A</v>
      </c>
      <c r="F1435" s="28" t="str">
        <f t="shared" ca="1" si="68"/>
        <v/>
      </c>
    </row>
    <row r="1436" spans="2:6" x14ac:dyDescent="0.2">
      <c r="B1436" t="str">
        <f>IFERROR(IF('PDCA review'!$D$2=Plan!B1437,Plan!G1437,""),"")</f>
        <v/>
      </c>
      <c r="C1436">
        <f t="shared" si="66"/>
        <v>0</v>
      </c>
      <c r="D1436">
        <f>SUM($C$3:C1436)</f>
        <v>7</v>
      </c>
      <c r="E1436" t="e">
        <f t="shared" si="67"/>
        <v>#N/A</v>
      </c>
      <c r="F1436" s="28" t="str">
        <f t="shared" ca="1" si="68"/>
        <v/>
      </c>
    </row>
    <row r="1437" spans="2:6" x14ac:dyDescent="0.2">
      <c r="B1437" t="str">
        <f>IFERROR(IF('PDCA review'!$D$2=Plan!B1438,Plan!G1438,""),"")</f>
        <v/>
      </c>
      <c r="C1437">
        <f t="shared" si="66"/>
        <v>0</v>
      </c>
      <c r="D1437">
        <f>SUM($C$3:C1437)</f>
        <v>7</v>
      </c>
      <c r="E1437" t="e">
        <f t="shared" si="67"/>
        <v>#N/A</v>
      </c>
      <c r="F1437" s="28" t="str">
        <f t="shared" ca="1" si="68"/>
        <v/>
      </c>
    </row>
    <row r="1438" spans="2:6" x14ac:dyDescent="0.2">
      <c r="B1438" t="str">
        <f>IFERROR(IF('PDCA review'!$D$2=Plan!B1439,Plan!G1439,""),"")</f>
        <v/>
      </c>
      <c r="C1438">
        <f t="shared" si="66"/>
        <v>0</v>
      </c>
      <c r="D1438">
        <f>SUM($C$3:C1438)</f>
        <v>7</v>
      </c>
      <c r="E1438" t="e">
        <f t="shared" si="67"/>
        <v>#N/A</v>
      </c>
      <c r="F1438" s="28" t="str">
        <f t="shared" ca="1" si="68"/>
        <v/>
      </c>
    </row>
    <row r="1439" spans="2:6" x14ac:dyDescent="0.2">
      <c r="B1439" t="str">
        <f>IFERROR(IF('PDCA review'!$D$2=Plan!B1440,Plan!G1440,""),"")</f>
        <v/>
      </c>
      <c r="C1439">
        <f t="shared" si="66"/>
        <v>0</v>
      </c>
      <c r="D1439">
        <f>SUM($C$3:C1439)</f>
        <v>7</v>
      </c>
      <c r="E1439" t="e">
        <f t="shared" si="67"/>
        <v>#N/A</v>
      </c>
      <c r="F1439" s="28" t="str">
        <f t="shared" ca="1" si="68"/>
        <v/>
      </c>
    </row>
    <row r="1440" spans="2:6" x14ac:dyDescent="0.2">
      <c r="B1440" t="str">
        <f>IFERROR(IF('PDCA review'!$D$2=Plan!B1441,Plan!G1441,""),"")</f>
        <v/>
      </c>
      <c r="C1440">
        <f t="shared" si="66"/>
        <v>0</v>
      </c>
      <c r="D1440">
        <f>SUM($C$3:C1440)</f>
        <v>7</v>
      </c>
      <c r="E1440" t="e">
        <f t="shared" si="67"/>
        <v>#N/A</v>
      </c>
      <c r="F1440" s="28" t="str">
        <f t="shared" ca="1" si="68"/>
        <v/>
      </c>
    </row>
    <row r="1441" spans="2:6" x14ac:dyDescent="0.2">
      <c r="B1441" t="str">
        <f>IFERROR(IF('PDCA review'!$D$2=Plan!B1442,Plan!G1442,""),"")</f>
        <v/>
      </c>
      <c r="C1441">
        <f t="shared" si="66"/>
        <v>0</v>
      </c>
      <c r="D1441">
        <f>SUM($C$3:C1441)</f>
        <v>7</v>
      </c>
      <c r="E1441" t="e">
        <f t="shared" si="67"/>
        <v>#N/A</v>
      </c>
      <c r="F1441" s="28" t="str">
        <f t="shared" ca="1" si="68"/>
        <v/>
      </c>
    </row>
    <row r="1442" spans="2:6" x14ac:dyDescent="0.2">
      <c r="B1442" t="str">
        <f>IFERROR(IF('PDCA review'!$D$2=Plan!B1443,Plan!G1443,""),"")</f>
        <v/>
      </c>
      <c r="C1442">
        <f t="shared" si="66"/>
        <v>0</v>
      </c>
      <c r="D1442">
        <f>SUM($C$3:C1442)</f>
        <v>7</v>
      </c>
      <c r="E1442" t="e">
        <f t="shared" si="67"/>
        <v>#N/A</v>
      </c>
      <c r="F1442" s="28" t="str">
        <f t="shared" ca="1" si="68"/>
        <v/>
      </c>
    </row>
    <row r="1443" spans="2:6" x14ac:dyDescent="0.2">
      <c r="B1443" t="str">
        <f>IFERROR(IF('PDCA review'!$D$2=Plan!B1444,Plan!G1444,""),"")</f>
        <v/>
      </c>
      <c r="C1443">
        <f t="shared" si="66"/>
        <v>0</v>
      </c>
      <c r="D1443">
        <f>SUM($C$3:C1443)</f>
        <v>7</v>
      </c>
      <c r="E1443" t="e">
        <f t="shared" si="67"/>
        <v>#N/A</v>
      </c>
      <c r="F1443" s="28" t="str">
        <f t="shared" ca="1" si="68"/>
        <v/>
      </c>
    </row>
    <row r="1444" spans="2:6" x14ac:dyDescent="0.2">
      <c r="B1444" t="str">
        <f>IFERROR(IF('PDCA review'!$D$2=Plan!B1445,Plan!G1445,""),"")</f>
        <v/>
      </c>
      <c r="C1444">
        <f t="shared" si="66"/>
        <v>0</v>
      </c>
      <c r="D1444">
        <f>SUM($C$3:C1444)</f>
        <v>7</v>
      </c>
      <c r="E1444" t="e">
        <f t="shared" si="67"/>
        <v>#N/A</v>
      </c>
      <c r="F1444" s="28" t="str">
        <f t="shared" ca="1" si="68"/>
        <v/>
      </c>
    </row>
    <row r="1445" spans="2:6" x14ac:dyDescent="0.2">
      <c r="B1445" t="str">
        <f>IFERROR(IF('PDCA review'!$D$2=Plan!B1446,Plan!G1446,""),"")</f>
        <v/>
      </c>
      <c r="C1445">
        <f t="shared" si="66"/>
        <v>0</v>
      </c>
      <c r="D1445">
        <f>SUM($C$3:C1445)</f>
        <v>7</v>
      </c>
      <c r="E1445" t="e">
        <f t="shared" si="67"/>
        <v>#N/A</v>
      </c>
      <c r="F1445" s="28" t="str">
        <f t="shared" ca="1" si="68"/>
        <v/>
      </c>
    </row>
    <row r="1446" spans="2:6" x14ac:dyDescent="0.2">
      <c r="B1446" t="str">
        <f>IFERROR(IF('PDCA review'!$D$2=Plan!B1447,Plan!G1447,""),"")</f>
        <v/>
      </c>
      <c r="C1446">
        <f t="shared" si="66"/>
        <v>0</v>
      </c>
      <c r="D1446">
        <f>SUM($C$3:C1446)</f>
        <v>7</v>
      </c>
      <c r="E1446" t="e">
        <f t="shared" si="67"/>
        <v>#N/A</v>
      </c>
      <c r="F1446" s="28" t="str">
        <f t="shared" ca="1" si="68"/>
        <v/>
      </c>
    </row>
    <row r="1447" spans="2:6" x14ac:dyDescent="0.2">
      <c r="B1447" t="str">
        <f>IFERROR(IF('PDCA review'!$D$2=Plan!B1448,Plan!G1448,""),"")</f>
        <v/>
      </c>
      <c r="C1447">
        <f t="shared" si="66"/>
        <v>0</v>
      </c>
      <c r="D1447">
        <f>SUM($C$3:C1447)</f>
        <v>7</v>
      </c>
      <c r="E1447" t="e">
        <f t="shared" si="67"/>
        <v>#N/A</v>
      </c>
      <c r="F1447" s="28" t="str">
        <f t="shared" ca="1" si="68"/>
        <v/>
      </c>
    </row>
    <row r="1448" spans="2:6" x14ac:dyDescent="0.2">
      <c r="B1448" t="str">
        <f>IFERROR(IF('PDCA review'!$D$2=Plan!B1449,Plan!G1449,""),"")</f>
        <v/>
      </c>
      <c r="C1448">
        <f t="shared" si="66"/>
        <v>0</v>
      </c>
      <c r="D1448">
        <f>SUM($C$3:C1448)</f>
        <v>7</v>
      </c>
      <c r="E1448" t="e">
        <f t="shared" si="67"/>
        <v>#N/A</v>
      </c>
      <c r="F1448" s="28" t="str">
        <f t="shared" ca="1" si="68"/>
        <v/>
      </c>
    </row>
    <row r="1449" spans="2:6" x14ac:dyDescent="0.2">
      <c r="B1449" t="str">
        <f>IFERROR(IF('PDCA review'!$D$2=Plan!B1450,Plan!G1450,""),"")</f>
        <v/>
      </c>
      <c r="C1449">
        <f t="shared" si="66"/>
        <v>0</v>
      </c>
      <c r="D1449">
        <f>SUM($C$3:C1449)</f>
        <v>7</v>
      </c>
      <c r="E1449" t="e">
        <f t="shared" si="67"/>
        <v>#N/A</v>
      </c>
      <c r="F1449" s="28" t="str">
        <f t="shared" ca="1" si="68"/>
        <v/>
      </c>
    </row>
    <row r="1450" spans="2:6" x14ac:dyDescent="0.2">
      <c r="B1450" t="str">
        <f>IFERROR(IF('PDCA review'!$D$2=Plan!B1451,Plan!G1451,""),"")</f>
        <v/>
      </c>
      <c r="C1450">
        <f t="shared" si="66"/>
        <v>0</v>
      </c>
      <c r="D1450">
        <f>SUM($C$3:C1450)</f>
        <v>7</v>
      </c>
      <c r="E1450" t="e">
        <f t="shared" si="67"/>
        <v>#N/A</v>
      </c>
      <c r="F1450" s="28" t="str">
        <f t="shared" ca="1" si="68"/>
        <v/>
      </c>
    </row>
    <row r="1451" spans="2:6" x14ac:dyDescent="0.2">
      <c r="B1451" t="str">
        <f>IFERROR(IF('PDCA review'!$D$2=Plan!B1452,Plan!G1452,""),"")</f>
        <v/>
      </c>
      <c r="C1451">
        <f t="shared" si="66"/>
        <v>0</v>
      </c>
      <c r="D1451">
        <f>SUM($C$3:C1451)</f>
        <v>7</v>
      </c>
      <c r="E1451" t="e">
        <f t="shared" si="67"/>
        <v>#N/A</v>
      </c>
      <c r="F1451" s="28" t="str">
        <f t="shared" ca="1" si="68"/>
        <v/>
      </c>
    </row>
    <row r="1452" spans="2:6" x14ac:dyDescent="0.2">
      <c r="B1452" t="str">
        <f>IFERROR(IF('PDCA review'!$D$2=Plan!B1453,Plan!G1453,""),"")</f>
        <v/>
      </c>
      <c r="C1452">
        <f t="shared" si="66"/>
        <v>0</v>
      </c>
      <c r="D1452">
        <f>SUM($C$3:C1452)</f>
        <v>7</v>
      </c>
      <c r="E1452" t="e">
        <f t="shared" si="67"/>
        <v>#N/A</v>
      </c>
      <c r="F1452" s="28" t="str">
        <f t="shared" ca="1" si="68"/>
        <v/>
      </c>
    </row>
    <row r="1453" spans="2:6" x14ac:dyDescent="0.2">
      <c r="B1453" t="str">
        <f>IFERROR(IF('PDCA review'!$D$2=Plan!B1454,Plan!G1454,""),"")</f>
        <v/>
      </c>
      <c r="C1453">
        <f t="shared" si="66"/>
        <v>0</v>
      </c>
      <c r="D1453">
        <f>SUM($C$3:C1453)</f>
        <v>7</v>
      </c>
      <c r="E1453" t="e">
        <f t="shared" si="67"/>
        <v>#N/A</v>
      </c>
      <c r="F1453" s="28" t="str">
        <f t="shared" ca="1" si="68"/>
        <v/>
      </c>
    </row>
    <row r="1454" spans="2:6" x14ac:dyDescent="0.2">
      <c r="B1454" t="str">
        <f>IFERROR(IF('PDCA review'!$D$2=Plan!B1455,Plan!G1455,""),"")</f>
        <v/>
      </c>
      <c r="C1454">
        <f t="shared" si="66"/>
        <v>0</v>
      </c>
      <c r="D1454">
        <f>SUM($C$3:C1454)</f>
        <v>7</v>
      </c>
      <c r="E1454" t="e">
        <f t="shared" si="67"/>
        <v>#N/A</v>
      </c>
      <c r="F1454" s="28" t="str">
        <f t="shared" ca="1" si="68"/>
        <v/>
      </c>
    </row>
    <row r="1455" spans="2:6" x14ac:dyDescent="0.2">
      <c r="B1455" t="str">
        <f>IFERROR(IF('PDCA review'!$D$2=Plan!B1456,Plan!G1456,""),"")</f>
        <v/>
      </c>
      <c r="C1455">
        <f t="shared" si="66"/>
        <v>0</v>
      </c>
      <c r="D1455">
        <f>SUM($C$3:C1455)</f>
        <v>7</v>
      </c>
      <c r="E1455" t="e">
        <f t="shared" si="67"/>
        <v>#N/A</v>
      </c>
      <c r="F1455" s="28" t="str">
        <f t="shared" ca="1" si="68"/>
        <v/>
      </c>
    </row>
    <row r="1456" spans="2:6" x14ac:dyDescent="0.2">
      <c r="B1456" t="str">
        <f>IFERROR(IF('PDCA review'!$D$2=Plan!B1457,Plan!G1457,""),"")</f>
        <v/>
      </c>
      <c r="C1456">
        <f t="shared" si="66"/>
        <v>0</v>
      </c>
      <c r="D1456">
        <f>SUM($C$3:C1456)</f>
        <v>7</v>
      </c>
      <c r="E1456" t="e">
        <f t="shared" si="67"/>
        <v>#N/A</v>
      </c>
      <c r="F1456" s="28" t="str">
        <f t="shared" ca="1" si="68"/>
        <v/>
      </c>
    </row>
    <row r="1457" spans="2:6" x14ac:dyDescent="0.2">
      <c r="B1457" t="str">
        <f>IFERROR(IF('PDCA review'!$D$2=Plan!B1458,Plan!G1458,""),"")</f>
        <v/>
      </c>
      <c r="C1457">
        <f t="shared" si="66"/>
        <v>0</v>
      </c>
      <c r="D1457">
        <f>SUM($C$3:C1457)</f>
        <v>7</v>
      </c>
      <c r="E1457" t="e">
        <f t="shared" si="67"/>
        <v>#N/A</v>
      </c>
      <c r="F1457" s="28" t="str">
        <f t="shared" ca="1" si="68"/>
        <v/>
      </c>
    </row>
    <row r="1458" spans="2:6" x14ac:dyDescent="0.2">
      <c r="B1458" t="str">
        <f>IFERROR(IF('PDCA review'!$D$2=Plan!B1459,Plan!G1459,""),"")</f>
        <v/>
      </c>
      <c r="C1458">
        <f t="shared" si="66"/>
        <v>0</v>
      </c>
      <c r="D1458">
        <f>SUM($C$3:C1458)</f>
        <v>7</v>
      </c>
      <c r="E1458" t="e">
        <f t="shared" si="67"/>
        <v>#N/A</v>
      </c>
      <c r="F1458" s="28" t="str">
        <f t="shared" ca="1" si="68"/>
        <v/>
      </c>
    </row>
    <row r="1459" spans="2:6" x14ac:dyDescent="0.2">
      <c r="B1459" t="str">
        <f>IFERROR(IF('PDCA review'!$D$2=Plan!B1460,Plan!G1460,""),"")</f>
        <v/>
      </c>
      <c r="C1459">
        <f t="shared" si="66"/>
        <v>0</v>
      </c>
      <c r="D1459">
        <f>SUM($C$3:C1459)</f>
        <v>7</v>
      </c>
      <c r="E1459" t="e">
        <f t="shared" si="67"/>
        <v>#N/A</v>
      </c>
      <c r="F1459" s="28" t="str">
        <f t="shared" ca="1" si="68"/>
        <v/>
      </c>
    </row>
    <row r="1460" spans="2:6" x14ac:dyDescent="0.2">
      <c r="B1460" t="str">
        <f>IFERROR(IF('PDCA review'!$D$2=Plan!B1461,Plan!G1461,""),"")</f>
        <v/>
      </c>
      <c r="C1460">
        <f t="shared" si="66"/>
        <v>0</v>
      </c>
      <c r="D1460">
        <f>SUM($C$3:C1460)</f>
        <v>7</v>
      </c>
      <c r="E1460" t="e">
        <f t="shared" si="67"/>
        <v>#N/A</v>
      </c>
      <c r="F1460" s="28" t="str">
        <f t="shared" ca="1" si="68"/>
        <v/>
      </c>
    </row>
    <row r="1461" spans="2:6" x14ac:dyDescent="0.2">
      <c r="B1461" t="str">
        <f>IFERROR(IF('PDCA review'!$D$2=Plan!B1462,Plan!G1462,""),"")</f>
        <v/>
      </c>
      <c r="C1461">
        <f t="shared" si="66"/>
        <v>0</v>
      </c>
      <c r="D1461">
        <f>SUM($C$3:C1461)</f>
        <v>7</v>
      </c>
      <c r="E1461" t="e">
        <f t="shared" si="67"/>
        <v>#N/A</v>
      </c>
      <c r="F1461" s="28" t="str">
        <f t="shared" ca="1" si="68"/>
        <v/>
      </c>
    </row>
    <row r="1462" spans="2:6" x14ac:dyDescent="0.2">
      <c r="B1462" t="str">
        <f>IFERROR(IF('PDCA review'!$D$2=Plan!B1463,Plan!G1463,""),"")</f>
        <v/>
      </c>
      <c r="C1462">
        <f t="shared" si="66"/>
        <v>0</v>
      </c>
      <c r="D1462">
        <f>SUM($C$3:C1462)</f>
        <v>7</v>
      </c>
      <c r="E1462" t="e">
        <f t="shared" si="67"/>
        <v>#N/A</v>
      </c>
      <c r="F1462" s="28" t="str">
        <f t="shared" ca="1" si="68"/>
        <v/>
      </c>
    </row>
    <row r="1463" spans="2:6" x14ac:dyDescent="0.2">
      <c r="B1463" t="str">
        <f>IFERROR(IF('PDCA review'!$D$2=Plan!B1464,Plan!G1464,""),"")</f>
        <v/>
      </c>
      <c r="C1463">
        <f t="shared" si="66"/>
        <v>0</v>
      </c>
      <c r="D1463">
        <f>SUM($C$3:C1463)</f>
        <v>7</v>
      </c>
      <c r="E1463" t="e">
        <f t="shared" si="67"/>
        <v>#N/A</v>
      </c>
      <c r="F1463" s="28" t="str">
        <f t="shared" ca="1" si="68"/>
        <v/>
      </c>
    </row>
    <row r="1464" spans="2:6" x14ac:dyDescent="0.2">
      <c r="B1464" t="str">
        <f>IFERROR(IF('PDCA review'!$D$2=Plan!B1465,Plan!G1465,""),"")</f>
        <v/>
      </c>
      <c r="C1464">
        <f t="shared" si="66"/>
        <v>0</v>
      </c>
      <c r="D1464">
        <f>SUM($C$3:C1464)</f>
        <v>7</v>
      </c>
      <c r="E1464" t="e">
        <f t="shared" si="67"/>
        <v>#N/A</v>
      </c>
      <c r="F1464" s="28" t="str">
        <f t="shared" ca="1" si="68"/>
        <v/>
      </c>
    </row>
    <row r="1465" spans="2:6" x14ac:dyDescent="0.2">
      <c r="B1465" t="str">
        <f>IFERROR(IF('PDCA review'!$D$2=Plan!B1466,Plan!G1466,""),"")</f>
        <v/>
      </c>
      <c r="C1465">
        <f t="shared" si="66"/>
        <v>0</v>
      </c>
      <c r="D1465">
        <f>SUM($C$3:C1465)</f>
        <v>7</v>
      </c>
      <c r="E1465" t="e">
        <f t="shared" si="67"/>
        <v>#N/A</v>
      </c>
      <c r="F1465" s="28" t="str">
        <f t="shared" ca="1" si="68"/>
        <v/>
      </c>
    </row>
    <row r="1466" spans="2:6" x14ac:dyDescent="0.2">
      <c r="B1466" t="str">
        <f>IFERROR(IF('PDCA review'!$D$2=Plan!B1467,Plan!G1467,""),"")</f>
        <v/>
      </c>
      <c r="C1466">
        <f t="shared" si="66"/>
        <v>0</v>
      </c>
      <c r="D1466">
        <f>SUM($C$3:C1466)</f>
        <v>7</v>
      </c>
      <c r="E1466" t="e">
        <f t="shared" si="67"/>
        <v>#N/A</v>
      </c>
      <c r="F1466" s="28" t="str">
        <f t="shared" ca="1" si="68"/>
        <v/>
      </c>
    </row>
    <row r="1467" spans="2:6" x14ac:dyDescent="0.2">
      <c r="B1467" t="str">
        <f>IFERROR(IF('PDCA review'!$D$2=Plan!B1468,Plan!G1468,""),"")</f>
        <v/>
      </c>
      <c r="C1467">
        <f t="shared" si="66"/>
        <v>0</v>
      </c>
      <c r="D1467">
        <f>SUM($C$3:C1467)</f>
        <v>7</v>
      </c>
      <c r="E1467" t="e">
        <f t="shared" si="67"/>
        <v>#N/A</v>
      </c>
      <c r="F1467" s="28" t="str">
        <f t="shared" ca="1" si="68"/>
        <v/>
      </c>
    </row>
    <row r="1468" spans="2:6" x14ac:dyDescent="0.2">
      <c r="B1468" t="str">
        <f>IFERROR(IF('PDCA review'!$D$2=Plan!B1469,Plan!G1469,""),"")</f>
        <v/>
      </c>
      <c r="C1468">
        <f t="shared" si="66"/>
        <v>0</v>
      </c>
      <c r="D1468">
        <f>SUM($C$3:C1468)</f>
        <v>7</v>
      </c>
      <c r="E1468" t="e">
        <f t="shared" si="67"/>
        <v>#N/A</v>
      </c>
      <c r="F1468" s="28" t="str">
        <f t="shared" ca="1" si="68"/>
        <v/>
      </c>
    </row>
    <row r="1469" spans="2:6" x14ac:dyDescent="0.2">
      <c r="B1469" t="str">
        <f>IFERROR(IF('PDCA review'!$D$2=Plan!B1470,Plan!G1470,""),"")</f>
        <v/>
      </c>
      <c r="C1469">
        <f t="shared" si="66"/>
        <v>0</v>
      </c>
      <c r="D1469">
        <f>SUM($C$3:C1469)</f>
        <v>7</v>
      </c>
      <c r="E1469" t="e">
        <f t="shared" si="67"/>
        <v>#N/A</v>
      </c>
      <c r="F1469" s="28" t="str">
        <f t="shared" ca="1" si="68"/>
        <v/>
      </c>
    </row>
    <row r="1470" spans="2:6" x14ac:dyDescent="0.2">
      <c r="B1470" t="str">
        <f>IFERROR(IF('PDCA review'!$D$2=Plan!B1471,Plan!G1471,""),"")</f>
        <v/>
      </c>
      <c r="C1470">
        <f t="shared" si="66"/>
        <v>0</v>
      </c>
      <c r="D1470">
        <f>SUM($C$3:C1470)</f>
        <v>7</v>
      </c>
      <c r="E1470" t="e">
        <f t="shared" si="67"/>
        <v>#N/A</v>
      </c>
      <c r="F1470" s="28" t="str">
        <f t="shared" ca="1" si="68"/>
        <v/>
      </c>
    </row>
    <row r="1471" spans="2:6" x14ac:dyDescent="0.2">
      <c r="B1471" t="str">
        <f>IFERROR(IF('PDCA review'!$D$2=Plan!B1472,Plan!G1472,""),"")</f>
        <v/>
      </c>
      <c r="C1471">
        <f t="shared" si="66"/>
        <v>0</v>
      </c>
      <c r="D1471">
        <f>SUM($C$3:C1471)</f>
        <v>7</v>
      </c>
      <c r="E1471" t="e">
        <f t="shared" si="67"/>
        <v>#N/A</v>
      </c>
      <c r="F1471" s="28" t="str">
        <f t="shared" ca="1" si="68"/>
        <v/>
      </c>
    </row>
    <row r="1472" spans="2:6" x14ac:dyDescent="0.2">
      <c r="B1472" t="str">
        <f>IFERROR(IF('PDCA review'!$D$2=Plan!B1473,Plan!G1473,""),"")</f>
        <v/>
      </c>
      <c r="C1472">
        <f t="shared" si="66"/>
        <v>0</v>
      </c>
      <c r="D1472">
        <f>SUM($C$3:C1472)</f>
        <v>7</v>
      </c>
      <c r="E1472" t="e">
        <f t="shared" si="67"/>
        <v>#N/A</v>
      </c>
      <c r="F1472" s="28" t="str">
        <f t="shared" ca="1" si="68"/>
        <v/>
      </c>
    </row>
    <row r="1473" spans="2:6" x14ac:dyDescent="0.2">
      <c r="B1473" t="str">
        <f>IFERROR(IF('PDCA review'!$D$2=Plan!B1474,Plan!G1474,""),"")</f>
        <v/>
      </c>
      <c r="C1473">
        <f t="shared" si="66"/>
        <v>0</v>
      </c>
      <c r="D1473">
        <f>SUM($C$3:C1473)</f>
        <v>7</v>
      </c>
      <c r="E1473" t="e">
        <f t="shared" si="67"/>
        <v>#N/A</v>
      </c>
      <c r="F1473" s="28" t="str">
        <f t="shared" ca="1" si="68"/>
        <v/>
      </c>
    </row>
    <row r="1474" spans="2:6" x14ac:dyDescent="0.2">
      <c r="B1474" t="str">
        <f>IFERROR(IF('PDCA review'!$D$2=Plan!B1475,Plan!G1475,""),"")</f>
        <v/>
      </c>
      <c r="C1474">
        <f t="shared" si="66"/>
        <v>0</v>
      </c>
      <c r="D1474">
        <f>SUM($C$3:C1474)</f>
        <v>7</v>
      </c>
      <c r="E1474" t="e">
        <f t="shared" si="67"/>
        <v>#N/A</v>
      </c>
      <c r="F1474" s="28" t="str">
        <f t="shared" ca="1" si="68"/>
        <v/>
      </c>
    </row>
    <row r="1475" spans="2:6" x14ac:dyDescent="0.2">
      <c r="B1475" t="str">
        <f>IFERROR(IF('PDCA review'!$D$2=Plan!B1476,Plan!G1476,""),"")</f>
        <v/>
      </c>
      <c r="C1475">
        <f t="shared" si="66"/>
        <v>0</v>
      </c>
      <c r="D1475">
        <f>SUM($C$3:C1475)</f>
        <v>7</v>
      </c>
      <c r="E1475" t="e">
        <f t="shared" si="67"/>
        <v>#N/A</v>
      </c>
      <c r="F1475" s="28" t="str">
        <f t="shared" ca="1" si="68"/>
        <v/>
      </c>
    </row>
    <row r="1476" spans="2:6" x14ac:dyDescent="0.2">
      <c r="B1476" t="str">
        <f>IFERROR(IF('PDCA review'!$D$2=Plan!B1477,Plan!G1477,""),"")</f>
        <v/>
      </c>
      <c r="C1476">
        <f t="shared" ref="C1476:C1539" si="69">IF(B1476&lt;&gt;"",1,0)</f>
        <v>0</v>
      </c>
      <c r="D1476">
        <f>SUM($C$3:C1476)</f>
        <v>7</v>
      </c>
      <c r="E1476" t="e">
        <f t="shared" ref="E1476:E1539" si="70">MATCH(ROW()-$D$2,$D$3:$D$2000,0)+$D$2</f>
        <v>#N/A</v>
      </c>
      <c r="F1476" s="28" t="str">
        <f t="shared" ref="F1476:F1539" ca="1" si="71">IFERROR(INDIRECT("B"&amp;E1476),"")</f>
        <v/>
      </c>
    </row>
    <row r="1477" spans="2:6" x14ac:dyDescent="0.2">
      <c r="B1477" t="str">
        <f>IFERROR(IF('PDCA review'!$D$2=Plan!B1478,Plan!G1478,""),"")</f>
        <v/>
      </c>
      <c r="C1477">
        <f t="shared" si="69"/>
        <v>0</v>
      </c>
      <c r="D1477">
        <f>SUM($C$3:C1477)</f>
        <v>7</v>
      </c>
      <c r="E1477" t="e">
        <f t="shared" si="70"/>
        <v>#N/A</v>
      </c>
      <c r="F1477" s="28" t="str">
        <f t="shared" ca="1" si="71"/>
        <v/>
      </c>
    </row>
    <row r="1478" spans="2:6" x14ac:dyDescent="0.2">
      <c r="B1478" t="str">
        <f>IFERROR(IF('PDCA review'!$D$2=Plan!B1479,Plan!G1479,""),"")</f>
        <v/>
      </c>
      <c r="C1478">
        <f t="shared" si="69"/>
        <v>0</v>
      </c>
      <c r="D1478">
        <f>SUM($C$3:C1478)</f>
        <v>7</v>
      </c>
      <c r="E1478" t="e">
        <f t="shared" si="70"/>
        <v>#N/A</v>
      </c>
      <c r="F1478" s="28" t="str">
        <f t="shared" ca="1" si="71"/>
        <v/>
      </c>
    </row>
    <row r="1479" spans="2:6" x14ac:dyDescent="0.2">
      <c r="B1479" t="str">
        <f>IFERROR(IF('PDCA review'!$D$2=Plan!B1480,Plan!G1480,""),"")</f>
        <v/>
      </c>
      <c r="C1479">
        <f t="shared" si="69"/>
        <v>0</v>
      </c>
      <c r="D1479">
        <f>SUM($C$3:C1479)</f>
        <v>7</v>
      </c>
      <c r="E1479" t="e">
        <f t="shared" si="70"/>
        <v>#N/A</v>
      </c>
      <c r="F1479" s="28" t="str">
        <f t="shared" ca="1" si="71"/>
        <v/>
      </c>
    </row>
    <row r="1480" spans="2:6" x14ac:dyDescent="0.2">
      <c r="B1480" t="str">
        <f>IFERROR(IF('PDCA review'!$D$2=Plan!B1481,Plan!G1481,""),"")</f>
        <v/>
      </c>
      <c r="C1480">
        <f t="shared" si="69"/>
        <v>0</v>
      </c>
      <c r="D1480">
        <f>SUM($C$3:C1480)</f>
        <v>7</v>
      </c>
      <c r="E1480" t="e">
        <f t="shared" si="70"/>
        <v>#N/A</v>
      </c>
      <c r="F1480" s="28" t="str">
        <f t="shared" ca="1" si="71"/>
        <v/>
      </c>
    </row>
    <row r="1481" spans="2:6" x14ac:dyDescent="0.2">
      <c r="B1481" t="str">
        <f>IFERROR(IF('PDCA review'!$D$2=Plan!B1482,Plan!G1482,""),"")</f>
        <v/>
      </c>
      <c r="C1481">
        <f t="shared" si="69"/>
        <v>0</v>
      </c>
      <c r="D1481">
        <f>SUM($C$3:C1481)</f>
        <v>7</v>
      </c>
      <c r="E1481" t="e">
        <f t="shared" si="70"/>
        <v>#N/A</v>
      </c>
      <c r="F1481" s="28" t="str">
        <f t="shared" ca="1" si="71"/>
        <v/>
      </c>
    </row>
    <row r="1482" spans="2:6" x14ac:dyDescent="0.2">
      <c r="B1482" t="str">
        <f>IFERROR(IF('PDCA review'!$D$2=Plan!B1483,Plan!G1483,""),"")</f>
        <v/>
      </c>
      <c r="C1482">
        <f t="shared" si="69"/>
        <v>0</v>
      </c>
      <c r="D1482">
        <f>SUM($C$3:C1482)</f>
        <v>7</v>
      </c>
      <c r="E1482" t="e">
        <f t="shared" si="70"/>
        <v>#N/A</v>
      </c>
      <c r="F1482" s="28" t="str">
        <f t="shared" ca="1" si="71"/>
        <v/>
      </c>
    </row>
    <row r="1483" spans="2:6" x14ac:dyDescent="0.2">
      <c r="B1483" t="str">
        <f>IFERROR(IF('PDCA review'!$D$2=Plan!B1484,Plan!G1484,""),"")</f>
        <v/>
      </c>
      <c r="C1483">
        <f t="shared" si="69"/>
        <v>0</v>
      </c>
      <c r="D1483">
        <f>SUM($C$3:C1483)</f>
        <v>7</v>
      </c>
      <c r="E1483" t="e">
        <f t="shared" si="70"/>
        <v>#N/A</v>
      </c>
      <c r="F1483" s="28" t="str">
        <f t="shared" ca="1" si="71"/>
        <v/>
      </c>
    </row>
    <row r="1484" spans="2:6" x14ac:dyDescent="0.2">
      <c r="B1484" t="str">
        <f>IFERROR(IF('PDCA review'!$D$2=Plan!B1485,Plan!G1485,""),"")</f>
        <v/>
      </c>
      <c r="C1484">
        <f t="shared" si="69"/>
        <v>0</v>
      </c>
      <c r="D1484">
        <f>SUM($C$3:C1484)</f>
        <v>7</v>
      </c>
      <c r="E1484" t="e">
        <f t="shared" si="70"/>
        <v>#N/A</v>
      </c>
      <c r="F1484" s="28" t="str">
        <f t="shared" ca="1" si="71"/>
        <v/>
      </c>
    </row>
    <row r="1485" spans="2:6" x14ac:dyDescent="0.2">
      <c r="B1485" t="str">
        <f>IFERROR(IF('PDCA review'!$D$2=Plan!B1486,Plan!G1486,""),"")</f>
        <v/>
      </c>
      <c r="C1485">
        <f t="shared" si="69"/>
        <v>0</v>
      </c>
      <c r="D1485">
        <f>SUM($C$3:C1485)</f>
        <v>7</v>
      </c>
      <c r="E1485" t="e">
        <f t="shared" si="70"/>
        <v>#N/A</v>
      </c>
      <c r="F1485" s="28" t="str">
        <f t="shared" ca="1" si="71"/>
        <v/>
      </c>
    </row>
    <row r="1486" spans="2:6" x14ac:dyDescent="0.2">
      <c r="B1486" t="str">
        <f>IFERROR(IF('PDCA review'!$D$2=Plan!B1487,Plan!G1487,""),"")</f>
        <v/>
      </c>
      <c r="C1486">
        <f t="shared" si="69"/>
        <v>0</v>
      </c>
      <c r="D1486">
        <f>SUM($C$3:C1486)</f>
        <v>7</v>
      </c>
      <c r="E1486" t="e">
        <f t="shared" si="70"/>
        <v>#N/A</v>
      </c>
      <c r="F1486" s="28" t="str">
        <f t="shared" ca="1" si="71"/>
        <v/>
      </c>
    </row>
    <row r="1487" spans="2:6" x14ac:dyDescent="0.2">
      <c r="B1487" t="str">
        <f>IFERROR(IF('PDCA review'!$D$2=Plan!B1488,Plan!G1488,""),"")</f>
        <v/>
      </c>
      <c r="C1487">
        <f t="shared" si="69"/>
        <v>0</v>
      </c>
      <c r="D1487">
        <f>SUM($C$3:C1487)</f>
        <v>7</v>
      </c>
      <c r="E1487" t="e">
        <f t="shared" si="70"/>
        <v>#N/A</v>
      </c>
      <c r="F1487" s="28" t="str">
        <f t="shared" ca="1" si="71"/>
        <v/>
      </c>
    </row>
    <row r="1488" spans="2:6" x14ac:dyDescent="0.2">
      <c r="B1488" t="str">
        <f>IFERROR(IF('PDCA review'!$D$2=Plan!B1489,Plan!G1489,""),"")</f>
        <v/>
      </c>
      <c r="C1488">
        <f t="shared" si="69"/>
        <v>0</v>
      </c>
      <c r="D1488">
        <f>SUM($C$3:C1488)</f>
        <v>7</v>
      </c>
      <c r="E1488" t="e">
        <f t="shared" si="70"/>
        <v>#N/A</v>
      </c>
      <c r="F1488" s="28" t="str">
        <f t="shared" ca="1" si="71"/>
        <v/>
      </c>
    </row>
    <row r="1489" spans="2:6" x14ac:dyDescent="0.2">
      <c r="B1489" t="str">
        <f>IFERROR(IF('PDCA review'!$D$2=Plan!B1490,Plan!G1490,""),"")</f>
        <v/>
      </c>
      <c r="C1489">
        <f t="shared" si="69"/>
        <v>0</v>
      </c>
      <c r="D1489">
        <f>SUM($C$3:C1489)</f>
        <v>7</v>
      </c>
      <c r="E1489" t="e">
        <f t="shared" si="70"/>
        <v>#N/A</v>
      </c>
      <c r="F1489" s="28" t="str">
        <f t="shared" ca="1" si="71"/>
        <v/>
      </c>
    </row>
    <row r="1490" spans="2:6" x14ac:dyDescent="0.2">
      <c r="B1490" t="str">
        <f>IFERROR(IF('PDCA review'!$D$2=Plan!B1491,Plan!G1491,""),"")</f>
        <v/>
      </c>
      <c r="C1490">
        <f t="shared" si="69"/>
        <v>0</v>
      </c>
      <c r="D1490">
        <f>SUM($C$3:C1490)</f>
        <v>7</v>
      </c>
      <c r="E1490" t="e">
        <f t="shared" si="70"/>
        <v>#N/A</v>
      </c>
      <c r="F1490" s="28" t="str">
        <f t="shared" ca="1" si="71"/>
        <v/>
      </c>
    </row>
    <row r="1491" spans="2:6" x14ac:dyDescent="0.2">
      <c r="B1491" t="str">
        <f>IFERROR(IF('PDCA review'!$D$2=Plan!B1492,Plan!G1492,""),"")</f>
        <v/>
      </c>
      <c r="C1491">
        <f t="shared" si="69"/>
        <v>0</v>
      </c>
      <c r="D1491">
        <f>SUM($C$3:C1491)</f>
        <v>7</v>
      </c>
      <c r="E1491" t="e">
        <f t="shared" si="70"/>
        <v>#N/A</v>
      </c>
      <c r="F1491" s="28" t="str">
        <f t="shared" ca="1" si="71"/>
        <v/>
      </c>
    </row>
    <row r="1492" spans="2:6" x14ac:dyDescent="0.2">
      <c r="B1492" t="str">
        <f>IFERROR(IF('PDCA review'!$D$2=Plan!B1493,Plan!G1493,""),"")</f>
        <v/>
      </c>
      <c r="C1492">
        <f t="shared" si="69"/>
        <v>0</v>
      </c>
      <c r="D1492">
        <f>SUM($C$3:C1492)</f>
        <v>7</v>
      </c>
      <c r="E1492" t="e">
        <f t="shared" si="70"/>
        <v>#N/A</v>
      </c>
      <c r="F1492" s="28" t="str">
        <f t="shared" ca="1" si="71"/>
        <v/>
      </c>
    </row>
    <row r="1493" spans="2:6" x14ac:dyDescent="0.2">
      <c r="B1493" t="str">
        <f>IFERROR(IF('PDCA review'!$D$2=Plan!B1494,Plan!G1494,""),"")</f>
        <v/>
      </c>
      <c r="C1493">
        <f t="shared" si="69"/>
        <v>0</v>
      </c>
      <c r="D1493">
        <f>SUM($C$3:C1493)</f>
        <v>7</v>
      </c>
      <c r="E1493" t="e">
        <f t="shared" si="70"/>
        <v>#N/A</v>
      </c>
      <c r="F1493" s="28" t="str">
        <f t="shared" ca="1" si="71"/>
        <v/>
      </c>
    </row>
    <row r="1494" spans="2:6" x14ac:dyDescent="0.2">
      <c r="B1494" t="str">
        <f>IFERROR(IF('PDCA review'!$D$2=Plan!B1495,Plan!G1495,""),"")</f>
        <v/>
      </c>
      <c r="C1494">
        <f t="shared" si="69"/>
        <v>0</v>
      </c>
      <c r="D1494">
        <f>SUM($C$3:C1494)</f>
        <v>7</v>
      </c>
      <c r="E1494" t="e">
        <f t="shared" si="70"/>
        <v>#N/A</v>
      </c>
      <c r="F1494" s="28" t="str">
        <f t="shared" ca="1" si="71"/>
        <v/>
      </c>
    </row>
    <row r="1495" spans="2:6" x14ac:dyDescent="0.2">
      <c r="B1495" t="str">
        <f>IFERROR(IF('PDCA review'!$D$2=Plan!B1496,Plan!G1496,""),"")</f>
        <v/>
      </c>
      <c r="C1495">
        <f t="shared" si="69"/>
        <v>0</v>
      </c>
      <c r="D1495">
        <f>SUM($C$3:C1495)</f>
        <v>7</v>
      </c>
      <c r="E1495" t="e">
        <f t="shared" si="70"/>
        <v>#N/A</v>
      </c>
      <c r="F1495" s="28" t="str">
        <f t="shared" ca="1" si="71"/>
        <v/>
      </c>
    </row>
    <row r="1496" spans="2:6" x14ac:dyDescent="0.2">
      <c r="B1496" t="str">
        <f>IFERROR(IF('PDCA review'!$D$2=Plan!B1497,Plan!G1497,""),"")</f>
        <v/>
      </c>
      <c r="C1496">
        <f t="shared" si="69"/>
        <v>0</v>
      </c>
      <c r="D1496">
        <f>SUM($C$3:C1496)</f>
        <v>7</v>
      </c>
      <c r="E1496" t="e">
        <f t="shared" si="70"/>
        <v>#N/A</v>
      </c>
      <c r="F1496" s="28" t="str">
        <f t="shared" ca="1" si="71"/>
        <v/>
      </c>
    </row>
    <row r="1497" spans="2:6" x14ac:dyDescent="0.2">
      <c r="B1497" t="str">
        <f>IFERROR(IF('PDCA review'!$D$2=Plan!B1498,Plan!G1498,""),"")</f>
        <v/>
      </c>
      <c r="C1497">
        <f t="shared" si="69"/>
        <v>0</v>
      </c>
      <c r="D1497">
        <f>SUM($C$3:C1497)</f>
        <v>7</v>
      </c>
      <c r="E1497" t="e">
        <f t="shared" si="70"/>
        <v>#N/A</v>
      </c>
      <c r="F1497" s="28" t="str">
        <f t="shared" ca="1" si="71"/>
        <v/>
      </c>
    </row>
    <row r="1498" spans="2:6" x14ac:dyDescent="0.2">
      <c r="B1498" t="str">
        <f>IFERROR(IF('PDCA review'!$D$2=Plan!B1499,Plan!G1499,""),"")</f>
        <v/>
      </c>
      <c r="C1498">
        <f t="shared" si="69"/>
        <v>0</v>
      </c>
      <c r="D1498">
        <f>SUM($C$3:C1498)</f>
        <v>7</v>
      </c>
      <c r="E1498" t="e">
        <f t="shared" si="70"/>
        <v>#N/A</v>
      </c>
      <c r="F1498" s="28" t="str">
        <f t="shared" ca="1" si="71"/>
        <v/>
      </c>
    </row>
    <row r="1499" spans="2:6" x14ac:dyDescent="0.2">
      <c r="B1499" t="str">
        <f>IFERROR(IF('PDCA review'!$D$2=Plan!B1500,Plan!G1500,""),"")</f>
        <v/>
      </c>
      <c r="C1499">
        <f t="shared" si="69"/>
        <v>0</v>
      </c>
      <c r="D1499">
        <f>SUM($C$3:C1499)</f>
        <v>7</v>
      </c>
      <c r="E1499" t="e">
        <f t="shared" si="70"/>
        <v>#N/A</v>
      </c>
      <c r="F1499" s="28" t="str">
        <f t="shared" ca="1" si="71"/>
        <v/>
      </c>
    </row>
    <row r="1500" spans="2:6" x14ac:dyDescent="0.2">
      <c r="B1500" t="str">
        <f>IFERROR(IF('PDCA review'!$D$2=Plan!B1501,Plan!G1501,""),"")</f>
        <v/>
      </c>
      <c r="C1500">
        <f t="shared" si="69"/>
        <v>0</v>
      </c>
      <c r="D1500">
        <f>SUM($C$3:C1500)</f>
        <v>7</v>
      </c>
      <c r="E1500" t="e">
        <f t="shared" si="70"/>
        <v>#N/A</v>
      </c>
      <c r="F1500" s="28" t="str">
        <f t="shared" ca="1" si="71"/>
        <v/>
      </c>
    </row>
    <row r="1501" spans="2:6" x14ac:dyDescent="0.2">
      <c r="B1501" t="str">
        <f>IFERROR(IF('PDCA review'!$D$2=Plan!B1502,Plan!G1502,""),"")</f>
        <v/>
      </c>
      <c r="C1501">
        <f t="shared" si="69"/>
        <v>0</v>
      </c>
      <c r="D1501">
        <f>SUM($C$3:C1501)</f>
        <v>7</v>
      </c>
      <c r="E1501" t="e">
        <f t="shared" si="70"/>
        <v>#N/A</v>
      </c>
      <c r="F1501" s="28" t="str">
        <f t="shared" ca="1" si="71"/>
        <v/>
      </c>
    </row>
    <row r="1502" spans="2:6" x14ac:dyDescent="0.2">
      <c r="B1502" t="str">
        <f>IFERROR(IF('PDCA review'!$D$2=Plan!B1503,Plan!G1503,""),"")</f>
        <v/>
      </c>
      <c r="C1502">
        <f t="shared" si="69"/>
        <v>0</v>
      </c>
      <c r="D1502">
        <f>SUM($C$3:C1502)</f>
        <v>7</v>
      </c>
      <c r="E1502" t="e">
        <f t="shared" si="70"/>
        <v>#N/A</v>
      </c>
      <c r="F1502" s="28" t="str">
        <f t="shared" ca="1" si="71"/>
        <v/>
      </c>
    </row>
    <row r="1503" spans="2:6" x14ac:dyDescent="0.2">
      <c r="B1503" t="str">
        <f>IFERROR(IF('PDCA review'!$D$2=Plan!B1504,Plan!G1504,""),"")</f>
        <v/>
      </c>
      <c r="C1503">
        <f t="shared" si="69"/>
        <v>0</v>
      </c>
      <c r="D1503">
        <f>SUM($C$3:C1503)</f>
        <v>7</v>
      </c>
      <c r="E1503" t="e">
        <f t="shared" si="70"/>
        <v>#N/A</v>
      </c>
      <c r="F1503" s="28" t="str">
        <f t="shared" ca="1" si="71"/>
        <v/>
      </c>
    </row>
    <row r="1504" spans="2:6" x14ac:dyDescent="0.2">
      <c r="B1504" t="str">
        <f>IFERROR(IF('PDCA review'!$D$2=Plan!B1505,Plan!G1505,""),"")</f>
        <v/>
      </c>
      <c r="C1504">
        <f t="shared" si="69"/>
        <v>0</v>
      </c>
      <c r="D1504">
        <f>SUM($C$3:C1504)</f>
        <v>7</v>
      </c>
      <c r="E1504" t="e">
        <f t="shared" si="70"/>
        <v>#N/A</v>
      </c>
      <c r="F1504" s="28" t="str">
        <f t="shared" ca="1" si="71"/>
        <v/>
      </c>
    </row>
    <row r="1505" spans="2:6" x14ac:dyDescent="0.2">
      <c r="B1505" t="str">
        <f>IFERROR(IF('PDCA review'!$D$2=Plan!B1506,Plan!G1506,""),"")</f>
        <v/>
      </c>
      <c r="C1505">
        <f t="shared" si="69"/>
        <v>0</v>
      </c>
      <c r="D1505">
        <f>SUM($C$3:C1505)</f>
        <v>7</v>
      </c>
      <c r="E1505" t="e">
        <f t="shared" si="70"/>
        <v>#N/A</v>
      </c>
      <c r="F1505" s="28" t="str">
        <f t="shared" ca="1" si="71"/>
        <v/>
      </c>
    </row>
    <row r="1506" spans="2:6" x14ac:dyDescent="0.2">
      <c r="B1506" t="str">
        <f>IFERROR(IF('PDCA review'!$D$2=Plan!B1507,Plan!G1507,""),"")</f>
        <v/>
      </c>
      <c r="C1506">
        <f t="shared" si="69"/>
        <v>0</v>
      </c>
      <c r="D1506">
        <f>SUM($C$3:C1506)</f>
        <v>7</v>
      </c>
      <c r="E1506" t="e">
        <f t="shared" si="70"/>
        <v>#N/A</v>
      </c>
      <c r="F1506" s="28" t="str">
        <f t="shared" ca="1" si="71"/>
        <v/>
      </c>
    </row>
    <row r="1507" spans="2:6" x14ac:dyDescent="0.2">
      <c r="B1507" t="str">
        <f>IFERROR(IF('PDCA review'!$D$2=Plan!B1508,Plan!G1508,""),"")</f>
        <v/>
      </c>
      <c r="C1507">
        <f t="shared" si="69"/>
        <v>0</v>
      </c>
      <c r="D1507">
        <f>SUM($C$3:C1507)</f>
        <v>7</v>
      </c>
      <c r="E1507" t="e">
        <f t="shared" si="70"/>
        <v>#N/A</v>
      </c>
      <c r="F1507" s="28" t="str">
        <f t="shared" ca="1" si="71"/>
        <v/>
      </c>
    </row>
    <row r="1508" spans="2:6" x14ac:dyDescent="0.2">
      <c r="B1508" t="str">
        <f>IFERROR(IF('PDCA review'!$D$2=Plan!B1509,Plan!G1509,""),"")</f>
        <v/>
      </c>
      <c r="C1508">
        <f t="shared" si="69"/>
        <v>0</v>
      </c>
      <c r="D1508">
        <f>SUM($C$3:C1508)</f>
        <v>7</v>
      </c>
      <c r="E1508" t="e">
        <f t="shared" si="70"/>
        <v>#N/A</v>
      </c>
      <c r="F1508" s="28" t="str">
        <f t="shared" ca="1" si="71"/>
        <v/>
      </c>
    </row>
    <row r="1509" spans="2:6" x14ac:dyDescent="0.2">
      <c r="B1509" t="str">
        <f>IFERROR(IF('PDCA review'!$D$2=Plan!B1510,Plan!G1510,""),"")</f>
        <v/>
      </c>
      <c r="C1509">
        <f t="shared" si="69"/>
        <v>0</v>
      </c>
      <c r="D1509">
        <f>SUM($C$3:C1509)</f>
        <v>7</v>
      </c>
      <c r="E1509" t="e">
        <f t="shared" si="70"/>
        <v>#N/A</v>
      </c>
      <c r="F1509" s="28" t="str">
        <f t="shared" ca="1" si="71"/>
        <v/>
      </c>
    </row>
    <row r="1510" spans="2:6" x14ac:dyDescent="0.2">
      <c r="B1510" t="str">
        <f>IFERROR(IF('PDCA review'!$D$2=Plan!B1511,Plan!G1511,""),"")</f>
        <v/>
      </c>
      <c r="C1510">
        <f t="shared" si="69"/>
        <v>0</v>
      </c>
      <c r="D1510">
        <f>SUM($C$3:C1510)</f>
        <v>7</v>
      </c>
      <c r="E1510" t="e">
        <f t="shared" si="70"/>
        <v>#N/A</v>
      </c>
      <c r="F1510" s="28" t="str">
        <f t="shared" ca="1" si="71"/>
        <v/>
      </c>
    </row>
    <row r="1511" spans="2:6" x14ac:dyDescent="0.2">
      <c r="B1511" t="str">
        <f>IFERROR(IF('PDCA review'!$D$2=Plan!B1512,Plan!G1512,""),"")</f>
        <v/>
      </c>
      <c r="C1511">
        <f t="shared" si="69"/>
        <v>0</v>
      </c>
      <c r="D1511">
        <f>SUM($C$3:C1511)</f>
        <v>7</v>
      </c>
      <c r="E1511" t="e">
        <f t="shared" si="70"/>
        <v>#N/A</v>
      </c>
      <c r="F1511" s="28" t="str">
        <f t="shared" ca="1" si="71"/>
        <v/>
      </c>
    </row>
    <row r="1512" spans="2:6" x14ac:dyDescent="0.2">
      <c r="B1512" t="str">
        <f>IFERROR(IF('PDCA review'!$D$2=Plan!B1513,Plan!G1513,""),"")</f>
        <v/>
      </c>
      <c r="C1512">
        <f t="shared" si="69"/>
        <v>0</v>
      </c>
      <c r="D1512">
        <f>SUM($C$3:C1512)</f>
        <v>7</v>
      </c>
      <c r="E1512" t="e">
        <f t="shared" si="70"/>
        <v>#N/A</v>
      </c>
      <c r="F1512" s="28" t="str">
        <f t="shared" ca="1" si="71"/>
        <v/>
      </c>
    </row>
    <row r="1513" spans="2:6" x14ac:dyDescent="0.2">
      <c r="B1513" t="str">
        <f>IFERROR(IF('PDCA review'!$D$2=Plan!B1514,Plan!G1514,""),"")</f>
        <v/>
      </c>
      <c r="C1513">
        <f t="shared" si="69"/>
        <v>0</v>
      </c>
      <c r="D1513">
        <f>SUM($C$3:C1513)</f>
        <v>7</v>
      </c>
      <c r="E1513" t="e">
        <f t="shared" si="70"/>
        <v>#N/A</v>
      </c>
      <c r="F1513" s="28" t="str">
        <f t="shared" ca="1" si="71"/>
        <v/>
      </c>
    </row>
    <row r="1514" spans="2:6" x14ac:dyDescent="0.2">
      <c r="B1514" t="str">
        <f>IFERROR(IF('PDCA review'!$D$2=Plan!B1515,Plan!G1515,""),"")</f>
        <v/>
      </c>
      <c r="C1514">
        <f t="shared" si="69"/>
        <v>0</v>
      </c>
      <c r="D1514">
        <f>SUM($C$3:C1514)</f>
        <v>7</v>
      </c>
      <c r="E1514" t="e">
        <f t="shared" si="70"/>
        <v>#N/A</v>
      </c>
      <c r="F1514" s="28" t="str">
        <f t="shared" ca="1" si="71"/>
        <v/>
      </c>
    </row>
    <row r="1515" spans="2:6" x14ac:dyDescent="0.2">
      <c r="B1515" t="str">
        <f>IFERROR(IF('PDCA review'!$D$2=Plan!B1516,Plan!G1516,""),"")</f>
        <v/>
      </c>
      <c r="C1515">
        <f t="shared" si="69"/>
        <v>0</v>
      </c>
      <c r="D1515">
        <f>SUM($C$3:C1515)</f>
        <v>7</v>
      </c>
      <c r="E1515" t="e">
        <f t="shared" si="70"/>
        <v>#N/A</v>
      </c>
      <c r="F1515" s="28" t="str">
        <f t="shared" ca="1" si="71"/>
        <v/>
      </c>
    </row>
    <row r="1516" spans="2:6" x14ac:dyDescent="0.2">
      <c r="B1516" t="str">
        <f>IFERROR(IF('PDCA review'!$D$2=Plan!B1517,Plan!G1517,""),"")</f>
        <v/>
      </c>
      <c r="C1516">
        <f t="shared" si="69"/>
        <v>0</v>
      </c>
      <c r="D1516">
        <f>SUM($C$3:C1516)</f>
        <v>7</v>
      </c>
      <c r="E1516" t="e">
        <f t="shared" si="70"/>
        <v>#N/A</v>
      </c>
      <c r="F1516" s="28" t="str">
        <f t="shared" ca="1" si="71"/>
        <v/>
      </c>
    </row>
    <row r="1517" spans="2:6" x14ac:dyDescent="0.2">
      <c r="B1517" t="str">
        <f>IFERROR(IF('PDCA review'!$D$2=Plan!B1518,Plan!G1518,""),"")</f>
        <v/>
      </c>
      <c r="C1517">
        <f t="shared" si="69"/>
        <v>0</v>
      </c>
      <c r="D1517">
        <f>SUM($C$3:C1517)</f>
        <v>7</v>
      </c>
      <c r="E1517" t="e">
        <f t="shared" si="70"/>
        <v>#N/A</v>
      </c>
      <c r="F1517" s="28" t="str">
        <f t="shared" ca="1" si="71"/>
        <v/>
      </c>
    </row>
    <row r="1518" spans="2:6" x14ac:dyDescent="0.2">
      <c r="B1518" t="str">
        <f>IFERROR(IF('PDCA review'!$D$2=Plan!B1519,Plan!G1519,""),"")</f>
        <v/>
      </c>
      <c r="C1518">
        <f t="shared" si="69"/>
        <v>0</v>
      </c>
      <c r="D1518">
        <f>SUM($C$3:C1518)</f>
        <v>7</v>
      </c>
      <c r="E1518" t="e">
        <f t="shared" si="70"/>
        <v>#N/A</v>
      </c>
      <c r="F1518" s="28" t="str">
        <f t="shared" ca="1" si="71"/>
        <v/>
      </c>
    </row>
    <row r="1519" spans="2:6" x14ac:dyDescent="0.2">
      <c r="B1519" t="str">
        <f>IFERROR(IF('PDCA review'!$D$2=Plan!B1520,Plan!G1520,""),"")</f>
        <v/>
      </c>
      <c r="C1519">
        <f t="shared" si="69"/>
        <v>0</v>
      </c>
      <c r="D1519">
        <f>SUM($C$3:C1519)</f>
        <v>7</v>
      </c>
      <c r="E1519" t="e">
        <f t="shared" si="70"/>
        <v>#N/A</v>
      </c>
      <c r="F1519" s="28" t="str">
        <f t="shared" ca="1" si="71"/>
        <v/>
      </c>
    </row>
    <row r="1520" spans="2:6" x14ac:dyDescent="0.2">
      <c r="B1520" t="str">
        <f>IFERROR(IF('PDCA review'!$D$2=Plan!B1521,Plan!G1521,""),"")</f>
        <v/>
      </c>
      <c r="C1520">
        <f t="shared" si="69"/>
        <v>0</v>
      </c>
      <c r="D1520">
        <f>SUM($C$3:C1520)</f>
        <v>7</v>
      </c>
      <c r="E1520" t="e">
        <f t="shared" si="70"/>
        <v>#N/A</v>
      </c>
      <c r="F1520" s="28" t="str">
        <f t="shared" ca="1" si="71"/>
        <v/>
      </c>
    </row>
    <row r="1521" spans="2:6" x14ac:dyDescent="0.2">
      <c r="B1521" t="str">
        <f>IFERROR(IF('PDCA review'!$D$2=Plan!B1522,Plan!G1522,""),"")</f>
        <v/>
      </c>
      <c r="C1521">
        <f t="shared" si="69"/>
        <v>0</v>
      </c>
      <c r="D1521">
        <f>SUM($C$3:C1521)</f>
        <v>7</v>
      </c>
      <c r="E1521" t="e">
        <f t="shared" si="70"/>
        <v>#N/A</v>
      </c>
      <c r="F1521" s="28" t="str">
        <f t="shared" ca="1" si="71"/>
        <v/>
      </c>
    </row>
    <row r="1522" spans="2:6" x14ac:dyDescent="0.2">
      <c r="B1522" t="str">
        <f>IFERROR(IF('PDCA review'!$D$2=Plan!B1523,Plan!G1523,""),"")</f>
        <v/>
      </c>
      <c r="C1522">
        <f t="shared" si="69"/>
        <v>0</v>
      </c>
      <c r="D1522">
        <f>SUM($C$3:C1522)</f>
        <v>7</v>
      </c>
      <c r="E1522" t="e">
        <f t="shared" si="70"/>
        <v>#N/A</v>
      </c>
      <c r="F1522" s="28" t="str">
        <f t="shared" ca="1" si="71"/>
        <v/>
      </c>
    </row>
    <row r="1523" spans="2:6" x14ac:dyDescent="0.2">
      <c r="B1523" t="str">
        <f>IFERROR(IF('PDCA review'!$D$2=Plan!B1524,Plan!G1524,""),"")</f>
        <v/>
      </c>
      <c r="C1523">
        <f t="shared" si="69"/>
        <v>0</v>
      </c>
      <c r="D1523">
        <f>SUM($C$3:C1523)</f>
        <v>7</v>
      </c>
      <c r="E1523" t="e">
        <f t="shared" si="70"/>
        <v>#N/A</v>
      </c>
      <c r="F1523" s="28" t="str">
        <f t="shared" ca="1" si="71"/>
        <v/>
      </c>
    </row>
    <row r="1524" spans="2:6" x14ac:dyDescent="0.2">
      <c r="B1524" t="str">
        <f>IFERROR(IF('PDCA review'!$D$2=Plan!B1525,Plan!G1525,""),"")</f>
        <v/>
      </c>
      <c r="C1524">
        <f t="shared" si="69"/>
        <v>0</v>
      </c>
      <c r="D1524">
        <f>SUM($C$3:C1524)</f>
        <v>7</v>
      </c>
      <c r="E1524" t="e">
        <f t="shared" si="70"/>
        <v>#N/A</v>
      </c>
      <c r="F1524" s="28" t="str">
        <f t="shared" ca="1" si="71"/>
        <v/>
      </c>
    </row>
    <row r="1525" spans="2:6" x14ac:dyDescent="0.2">
      <c r="B1525" t="str">
        <f>IFERROR(IF('PDCA review'!$D$2=Plan!B1526,Plan!G1526,""),"")</f>
        <v/>
      </c>
      <c r="C1525">
        <f t="shared" si="69"/>
        <v>0</v>
      </c>
      <c r="D1525">
        <f>SUM($C$3:C1525)</f>
        <v>7</v>
      </c>
      <c r="E1525" t="e">
        <f t="shared" si="70"/>
        <v>#N/A</v>
      </c>
      <c r="F1525" s="28" t="str">
        <f t="shared" ca="1" si="71"/>
        <v/>
      </c>
    </row>
    <row r="1526" spans="2:6" x14ac:dyDescent="0.2">
      <c r="B1526" t="str">
        <f>IFERROR(IF('PDCA review'!$D$2=Plan!B1527,Plan!G1527,""),"")</f>
        <v/>
      </c>
      <c r="C1526">
        <f t="shared" si="69"/>
        <v>0</v>
      </c>
      <c r="D1526">
        <f>SUM($C$3:C1526)</f>
        <v>7</v>
      </c>
      <c r="E1526" t="e">
        <f t="shared" si="70"/>
        <v>#N/A</v>
      </c>
      <c r="F1526" s="28" t="str">
        <f t="shared" ca="1" si="71"/>
        <v/>
      </c>
    </row>
    <row r="1527" spans="2:6" x14ac:dyDescent="0.2">
      <c r="B1527" t="str">
        <f>IFERROR(IF('PDCA review'!$D$2=Plan!B1528,Plan!G1528,""),"")</f>
        <v/>
      </c>
      <c r="C1527">
        <f t="shared" si="69"/>
        <v>0</v>
      </c>
      <c r="D1527">
        <f>SUM($C$3:C1527)</f>
        <v>7</v>
      </c>
      <c r="E1527" t="e">
        <f t="shared" si="70"/>
        <v>#N/A</v>
      </c>
      <c r="F1527" s="28" t="str">
        <f t="shared" ca="1" si="71"/>
        <v/>
      </c>
    </row>
    <row r="1528" spans="2:6" x14ac:dyDescent="0.2">
      <c r="B1528" t="str">
        <f>IFERROR(IF('PDCA review'!$D$2=Plan!B1529,Plan!G1529,""),"")</f>
        <v/>
      </c>
      <c r="C1528">
        <f t="shared" si="69"/>
        <v>0</v>
      </c>
      <c r="D1528">
        <f>SUM($C$3:C1528)</f>
        <v>7</v>
      </c>
      <c r="E1528" t="e">
        <f t="shared" si="70"/>
        <v>#N/A</v>
      </c>
      <c r="F1528" s="28" t="str">
        <f t="shared" ca="1" si="71"/>
        <v/>
      </c>
    </row>
    <row r="1529" spans="2:6" x14ac:dyDescent="0.2">
      <c r="B1529" t="str">
        <f>IFERROR(IF('PDCA review'!$D$2=Plan!B1530,Plan!G1530,""),"")</f>
        <v/>
      </c>
      <c r="C1529">
        <f t="shared" si="69"/>
        <v>0</v>
      </c>
      <c r="D1529">
        <f>SUM($C$3:C1529)</f>
        <v>7</v>
      </c>
      <c r="E1529" t="e">
        <f t="shared" si="70"/>
        <v>#N/A</v>
      </c>
      <c r="F1529" s="28" t="str">
        <f t="shared" ca="1" si="71"/>
        <v/>
      </c>
    </row>
    <row r="1530" spans="2:6" x14ac:dyDescent="0.2">
      <c r="B1530" t="str">
        <f>IFERROR(IF('PDCA review'!$D$2=Plan!B1531,Plan!G1531,""),"")</f>
        <v/>
      </c>
      <c r="C1530">
        <f t="shared" si="69"/>
        <v>0</v>
      </c>
      <c r="D1530">
        <f>SUM($C$3:C1530)</f>
        <v>7</v>
      </c>
      <c r="E1530" t="e">
        <f t="shared" si="70"/>
        <v>#N/A</v>
      </c>
      <c r="F1530" s="28" t="str">
        <f t="shared" ca="1" si="71"/>
        <v/>
      </c>
    </row>
    <row r="1531" spans="2:6" x14ac:dyDescent="0.2">
      <c r="B1531" t="str">
        <f>IFERROR(IF('PDCA review'!$D$2=Plan!B1532,Plan!G1532,""),"")</f>
        <v/>
      </c>
      <c r="C1531">
        <f t="shared" si="69"/>
        <v>0</v>
      </c>
      <c r="D1531">
        <f>SUM($C$3:C1531)</f>
        <v>7</v>
      </c>
      <c r="E1531" t="e">
        <f t="shared" si="70"/>
        <v>#N/A</v>
      </c>
      <c r="F1531" s="28" t="str">
        <f t="shared" ca="1" si="71"/>
        <v/>
      </c>
    </row>
    <row r="1532" spans="2:6" x14ac:dyDescent="0.2">
      <c r="B1532" t="str">
        <f>IFERROR(IF('PDCA review'!$D$2=Plan!B1533,Plan!G1533,""),"")</f>
        <v/>
      </c>
      <c r="C1532">
        <f t="shared" si="69"/>
        <v>0</v>
      </c>
      <c r="D1532">
        <f>SUM($C$3:C1532)</f>
        <v>7</v>
      </c>
      <c r="E1532" t="e">
        <f t="shared" si="70"/>
        <v>#N/A</v>
      </c>
      <c r="F1532" s="28" t="str">
        <f t="shared" ca="1" si="71"/>
        <v/>
      </c>
    </row>
    <row r="1533" spans="2:6" x14ac:dyDescent="0.2">
      <c r="B1533" t="str">
        <f>IFERROR(IF('PDCA review'!$D$2=Plan!B1534,Plan!G1534,""),"")</f>
        <v/>
      </c>
      <c r="C1533">
        <f t="shared" si="69"/>
        <v>0</v>
      </c>
      <c r="D1533">
        <f>SUM($C$3:C1533)</f>
        <v>7</v>
      </c>
      <c r="E1533" t="e">
        <f t="shared" si="70"/>
        <v>#N/A</v>
      </c>
      <c r="F1533" s="28" t="str">
        <f t="shared" ca="1" si="71"/>
        <v/>
      </c>
    </row>
    <row r="1534" spans="2:6" x14ac:dyDescent="0.2">
      <c r="B1534" t="str">
        <f>IFERROR(IF('PDCA review'!$D$2=Plan!B1535,Plan!G1535,""),"")</f>
        <v/>
      </c>
      <c r="C1534">
        <f t="shared" si="69"/>
        <v>0</v>
      </c>
      <c r="D1534">
        <f>SUM($C$3:C1534)</f>
        <v>7</v>
      </c>
      <c r="E1534" t="e">
        <f t="shared" si="70"/>
        <v>#N/A</v>
      </c>
      <c r="F1534" s="28" t="str">
        <f t="shared" ca="1" si="71"/>
        <v/>
      </c>
    </row>
    <row r="1535" spans="2:6" x14ac:dyDescent="0.2">
      <c r="B1535" t="str">
        <f>IFERROR(IF('PDCA review'!$D$2=Plan!B1536,Plan!G1536,""),"")</f>
        <v/>
      </c>
      <c r="C1535">
        <f t="shared" si="69"/>
        <v>0</v>
      </c>
      <c r="D1535">
        <f>SUM($C$3:C1535)</f>
        <v>7</v>
      </c>
      <c r="E1535" t="e">
        <f t="shared" si="70"/>
        <v>#N/A</v>
      </c>
      <c r="F1535" s="28" t="str">
        <f t="shared" ca="1" si="71"/>
        <v/>
      </c>
    </row>
    <row r="1536" spans="2:6" x14ac:dyDescent="0.2">
      <c r="B1536" t="str">
        <f>IFERROR(IF('PDCA review'!$D$2=Plan!B1537,Plan!G1537,""),"")</f>
        <v/>
      </c>
      <c r="C1536">
        <f t="shared" si="69"/>
        <v>0</v>
      </c>
      <c r="D1536">
        <f>SUM($C$3:C1536)</f>
        <v>7</v>
      </c>
      <c r="E1536" t="e">
        <f t="shared" si="70"/>
        <v>#N/A</v>
      </c>
      <c r="F1536" s="28" t="str">
        <f t="shared" ca="1" si="71"/>
        <v/>
      </c>
    </row>
    <row r="1537" spans="2:6" x14ac:dyDescent="0.2">
      <c r="B1537" t="str">
        <f>IFERROR(IF('PDCA review'!$D$2=Plan!B1538,Plan!G1538,""),"")</f>
        <v/>
      </c>
      <c r="C1537">
        <f t="shared" si="69"/>
        <v>0</v>
      </c>
      <c r="D1537">
        <f>SUM($C$3:C1537)</f>
        <v>7</v>
      </c>
      <c r="E1537" t="e">
        <f t="shared" si="70"/>
        <v>#N/A</v>
      </c>
      <c r="F1537" s="28" t="str">
        <f t="shared" ca="1" si="71"/>
        <v/>
      </c>
    </row>
    <row r="1538" spans="2:6" x14ac:dyDescent="0.2">
      <c r="B1538" t="str">
        <f>IFERROR(IF('PDCA review'!$D$2=Plan!B1539,Plan!G1539,""),"")</f>
        <v/>
      </c>
      <c r="C1538">
        <f t="shared" si="69"/>
        <v>0</v>
      </c>
      <c r="D1538">
        <f>SUM($C$3:C1538)</f>
        <v>7</v>
      </c>
      <c r="E1538" t="e">
        <f t="shared" si="70"/>
        <v>#N/A</v>
      </c>
      <c r="F1538" s="28" t="str">
        <f t="shared" ca="1" si="71"/>
        <v/>
      </c>
    </row>
    <row r="1539" spans="2:6" x14ac:dyDescent="0.2">
      <c r="B1539" t="str">
        <f>IFERROR(IF('PDCA review'!$D$2=Plan!B1540,Plan!G1540,""),"")</f>
        <v/>
      </c>
      <c r="C1539">
        <f t="shared" si="69"/>
        <v>0</v>
      </c>
      <c r="D1539">
        <f>SUM($C$3:C1539)</f>
        <v>7</v>
      </c>
      <c r="E1539" t="e">
        <f t="shared" si="70"/>
        <v>#N/A</v>
      </c>
      <c r="F1539" s="28" t="str">
        <f t="shared" ca="1" si="71"/>
        <v/>
      </c>
    </row>
    <row r="1540" spans="2:6" x14ac:dyDescent="0.2">
      <c r="B1540" t="str">
        <f>IFERROR(IF('PDCA review'!$D$2=Plan!B1541,Plan!G1541,""),"")</f>
        <v/>
      </c>
      <c r="C1540">
        <f t="shared" ref="C1540:C1603" si="72">IF(B1540&lt;&gt;"",1,0)</f>
        <v>0</v>
      </c>
      <c r="D1540">
        <f>SUM($C$3:C1540)</f>
        <v>7</v>
      </c>
      <c r="E1540" t="e">
        <f t="shared" ref="E1540:E1603" si="73">MATCH(ROW()-$D$2,$D$3:$D$2000,0)+$D$2</f>
        <v>#N/A</v>
      </c>
      <c r="F1540" s="28" t="str">
        <f t="shared" ref="F1540:F1603" ca="1" si="74">IFERROR(INDIRECT("B"&amp;E1540),"")</f>
        <v/>
      </c>
    </row>
    <row r="1541" spans="2:6" x14ac:dyDescent="0.2">
      <c r="B1541" t="str">
        <f>IFERROR(IF('PDCA review'!$D$2=Plan!B1542,Plan!G1542,""),"")</f>
        <v/>
      </c>
      <c r="C1541">
        <f t="shared" si="72"/>
        <v>0</v>
      </c>
      <c r="D1541">
        <f>SUM($C$3:C1541)</f>
        <v>7</v>
      </c>
      <c r="E1541" t="e">
        <f t="shared" si="73"/>
        <v>#N/A</v>
      </c>
      <c r="F1541" s="28" t="str">
        <f t="shared" ca="1" si="74"/>
        <v/>
      </c>
    </row>
    <row r="1542" spans="2:6" x14ac:dyDescent="0.2">
      <c r="B1542" t="str">
        <f>IFERROR(IF('PDCA review'!$D$2=Plan!B1543,Plan!G1543,""),"")</f>
        <v/>
      </c>
      <c r="C1542">
        <f t="shared" si="72"/>
        <v>0</v>
      </c>
      <c r="D1542">
        <f>SUM($C$3:C1542)</f>
        <v>7</v>
      </c>
      <c r="E1542" t="e">
        <f t="shared" si="73"/>
        <v>#N/A</v>
      </c>
      <c r="F1542" s="28" t="str">
        <f t="shared" ca="1" si="74"/>
        <v/>
      </c>
    </row>
    <row r="1543" spans="2:6" x14ac:dyDescent="0.2">
      <c r="B1543" t="str">
        <f>IFERROR(IF('PDCA review'!$D$2=Plan!B1544,Plan!G1544,""),"")</f>
        <v/>
      </c>
      <c r="C1543">
        <f t="shared" si="72"/>
        <v>0</v>
      </c>
      <c r="D1543">
        <f>SUM($C$3:C1543)</f>
        <v>7</v>
      </c>
      <c r="E1543" t="e">
        <f t="shared" si="73"/>
        <v>#N/A</v>
      </c>
      <c r="F1543" s="28" t="str">
        <f t="shared" ca="1" si="74"/>
        <v/>
      </c>
    </row>
    <row r="1544" spans="2:6" x14ac:dyDescent="0.2">
      <c r="B1544" t="str">
        <f>IFERROR(IF('PDCA review'!$D$2=Plan!B1545,Plan!G1545,""),"")</f>
        <v/>
      </c>
      <c r="C1544">
        <f t="shared" si="72"/>
        <v>0</v>
      </c>
      <c r="D1544">
        <f>SUM($C$3:C1544)</f>
        <v>7</v>
      </c>
      <c r="E1544" t="e">
        <f t="shared" si="73"/>
        <v>#N/A</v>
      </c>
      <c r="F1544" s="28" t="str">
        <f t="shared" ca="1" si="74"/>
        <v/>
      </c>
    </row>
    <row r="1545" spans="2:6" x14ac:dyDescent="0.2">
      <c r="B1545" t="str">
        <f>IFERROR(IF('PDCA review'!$D$2=Plan!B1546,Plan!G1546,""),"")</f>
        <v/>
      </c>
      <c r="C1545">
        <f t="shared" si="72"/>
        <v>0</v>
      </c>
      <c r="D1545">
        <f>SUM($C$3:C1545)</f>
        <v>7</v>
      </c>
      <c r="E1545" t="e">
        <f t="shared" si="73"/>
        <v>#N/A</v>
      </c>
      <c r="F1545" s="28" t="str">
        <f t="shared" ca="1" si="74"/>
        <v/>
      </c>
    </row>
    <row r="1546" spans="2:6" x14ac:dyDescent="0.2">
      <c r="B1546" t="str">
        <f>IFERROR(IF('PDCA review'!$D$2=Plan!B1547,Plan!G1547,""),"")</f>
        <v/>
      </c>
      <c r="C1546">
        <f t="shared" si="72"/>
        <v>0</v>
      </c>
      <c r="D1546">
        <f>SUM($C$3:C1546)</f>
        <v>7</v>
      </c>
      <c r="E1546" t="e">
        <f t="shared" si="73"/>
        <v>#N/A</v>
      </c>
      <c r="F1546" s="28" t="str">
        <f t="shared" ca="1" si="74"/>
        <v/>
      </c>
    </row>
    <row r="1547" spans="2:6" x14ac:dyDescent="0.2">
      <c r="B1547" t="str">
        <f>IFERROR(IF('PDCA review'!$D$2=Plan!B1548,Plan!G1548,""),"")</f>
        <v/>
      </c>
      <c r="C1547">
        <f t="shared" si="72"/>
        <v>0</v>
      </c>
      <c r="D1547">
        <f>SUM($C$3:C1547)</f>
        <v>7</v>
      </c>
      <c r="E1547" t="e">
        <f t="shared" si="73"/>
        <v>#N/A</v>
      </c>
      <c r="F1547" s="28" t="str">
        <f t="shared" ca="1" si="74"/>
        <v/>
      </c>
    </row>
    <row r="1548" spans="2:6" x14ac:dyDescent="0.2">
      <c r="B1548" t="str">
        <f>IFERROR(IF('PDCA review'!$D$2=Plan!B1549,Plan!G1549,""),"")</f>
        <v/>
      </c>
      <c r="C1548">
        <f t="shared" si="72"/>
        <v>0</v>
      </c>
      <c r="D1548">
        <f>SUM($C$3:C1548)</f>
        <v>7</v>
      </c>
      <c r="E1548" t="e">
        <f t="shared" si="73"/>
        <v>#N/A</v>
      </c>
      <c r="F1548" s="28" t="str">
        <f t="shared" ca="1" si="74"/>
        <v/>
      </c>
    </row>
    <row r="1549" spans="2:6" x14ac:dyDescent="0.2">
      <c r="B1549" t="str">
        <f>IFERROR(IF('PDCA review'!$D$2=Plan!B1550,Plan!G1550,""),"")</f>
        <v/>
      </c>
      <c r="C1549">
        <f t="shared" si="72"/>
        <v>0</v>
      </c>
      <c r="D1549">
        <f>SUM($C$3:C1549)</f>
        <v>7</v>
      </c>
      <c r="E1549" t="e">
        <f t="shared" si="73"/>
        <v>#N/A</v>
      </c>
      <c r="F1549" s="28" t="str">
        <f t="shared" ca="1" si="74"/>
        <v/>
      </c>
    </row>
    <row r="1550" spans="2:6" x14ac:dyDescent="0.2">
      <c r="B1550" t="str">
        <f>IFERROR(IF('PDCA review'!$D$2=Plan!B1551,Plan!G1551,""),"")</f>
        <v/>
      </c>
      <c r="C1550">
        <f t="shared" si="72"/>
        <v>0</v>
      </c>
      <c r="D1550">
        <f>SUM($C$3:C1550)</f>
        <v>7</v>
      </c>
      <c r="E1550" t="e">
        <f t="shared" si="73"/>
        <v>#N/A</v>
      </c>
      <c r="F1550" s="28" t="str">
        <f t="shared" ca="1" si="74"/>
        <v/>
      </c>
    </row>
    <row r="1551" spans="2:6" x14ac:dyDescent="0.2">
      <c r="B1551" t="str">
        <f>IFERROR(IF('PDCA review'!$D$2=Plan!B1552,Plan!G1552,""),"")</f>
        <v/>
      </c>
      <c r="C1551">
        <f t="shared" si="72"/>
        <v>0</v>
      </c>
      <c r="D1551">
        <f>SUM($C$3:C1551)</f>
        <v>7</v>
      </c>
      <c r="E1551" t="e">
        <f t="shared" si="73"/>
        <v>#N/A</v>
      </c>
      <c r="F1551" s="28" t="str">
        <f t="shared" ca="1" si="74"/>
        <v/>
      </c>
    </row>
    <row r="1552" spans="2:6" x14ac:dyDescent="0.2">
      <c r="B1552" t="str">
        <f>IFERROR(IF('PDCA review'!$D$2=Plan!B1553,Plan!G1553,""),"")</f>
        <v/>
      </c>
      <c r="C1552">
        <f t="shared" si="72"/>
        <v>0</v>
      </c>
      <c r="D1552">
        <f>SUM($C$3:C1552)</f>
        <v>7</v>
      </c>
      <c r="E1552" t="e">
        <f t="shared" si="73"/>
        <v>#N/A</v>
      </c>
      <c r="F1552" s="28" t="str">
        <f t="shared" ca="1" si="74"/>
        <v/>
      </c>
    </row>
    <row r="1553" spans="2:6" x14ac:dyDescent="0.2">
      <c r="B1553" t="str">
        <f>IFERROR(IF('PDCA review'!$D$2=Plan!B1554,Plan!G1554,""),"")</f>
        <v/>
      </c>
      <c r="C1553">
        <f t="shared" si="72"/>
        <v>0</v>
      </c>
      <c r="D1553">
        <f>SUM($C$3:C1553)</f>
        <v>7</v>
      </c>
      <c r="E1553" t="e">
        <f t="shared" si="73"/>
        <v>#N/A</v>
      </c>
      <c r="F1553" s="28" t="str">
        <f t="shared" ca="1" si="74"/>
        <v/>
      </c>
    </row>
    <row r="1554" spans="2:6" x14ac:dyDescent="0.2">
      <c r="B1554" t="str">
        <f>IFERROR(IF('PDCA review'!$D$2=Plan!B1555,Plan!G1555,""),"")</f>
        <v/>
      </c>
      <c r="C1554">
        <f t="shared" si="72"/>
        <v>0</v>
      </c>
      <c r="D1554">
        <f>SUM($C$3:C1554)</f>
        <v>7</v>
      </c>
      <c r="E1554" t="e">
        <f t="shared" si="73"/>
        <v>#N/A</v>
      </c>
      <c r="F1554" s="28" t="str">
        <f t="shared" ca="1" si="74"/>
        <v/>
      </c>
    </row>
    <row r="1555" spans="2:6" x14ac:dyDescent="0.2">
      <c r="B1555" t="str">
        <f>IFERROR(IF('PDCA review'!$D$2=Plan!B1556,Plan!G1556,""),"")</f>
        <v/>
      </c>
      <c r="C1555">
        <f t="shared" si="72"/>
        <v>0</v>
      </c>
      <c r="D1555">
        <f>SUM($C$3:C1555)</f>
        <v>7</v>
      </c>
      <c r="E1555" t="e">
        <f t="shared" si="73"/>
        <v>#N/A</v>
      </c>
      <c r="F1555" s="28" t="str">
        <f t="shared" ca="1" si="74"/>
        <v/>
      </c>
    </row>
    <row r="1556" spans="2:6" x14ac:dyDescent="0.2">
      <c r="B1556" t="str">
        <f>IFERROR(IF('PDCA review'!$D$2=Plan!B1557,Plan!G1557,""),"")</f>
        <v/>
      </c>
      <c r="C1556">
        <f t="shared" si="72"/>
        <v>0</v>
      </c>
      <c r="D1556">
        <f>SUM($C$3:C1556)</f>
        <v>7</v>
      </c>
      <c r="E1556" t="e">
        <f t="shared" si="73"/>
        <v>#N/A</v>
      </c>
      <c r="F1556" s="28" t="str">
        <f t="shared" ca="1" si="74"/>
        <v/>
      </c>
    </row>
    <row r="1557" spans="2:6" x14ac:dyDescent="0.2">
      <c r="B1557" t="str">
        <f>IFERROR(IF('PDCA review'!$D$2=Plan!B1558,Plan!G1558,""),"")</f>
        <v/>
      </c>
      <c r="C1557">
        <f t="shared" si="72"/>
        <v>0</v>
      </c>
      <c r="D1557">
        <f>SUM($C$3:C1557)</f>
        <v>7</v>
      </c>
      <c r="E1557" t="e">
        <f t="shared" si="73"/>
        <v>#N/A</v>
      </c>
      <c r="F1557" s="28" t="str">
        <f t="shared" ca="1" si="74"/>
        <v/>
      </c>
    </row>
    <row r="1558" spans="2:6" x14ac:dyDescent="0.2">
      <c r="B1558" t="str">
        <f>IFERROR(IF('PDCA review'!$D$2=Plan!B1559,Plan!G1559,""),"")</f>
        <v/>
      </c>
      <c r="C1558">
        <f t="shared" si="72"/>
        <v>0</v>
      </c>
      <c r="D1558">
        <f>SUM($C$3:C1558)</f>
        <v>7</v>
      </c>
      <c r="E1558" t="e">
        <f t="shared" si="73"/>
        <v>#N/A</v>
      </c>
      <c r="F1558" s="28" t="str">
        <f t="shared" ca="1" si="74"/>
        <v/>
      </c>
    </row>
    <row r="1559" spans="2:6" x14ac:dyDescent="0.2">
      <c r="B1559" t="str">
        <f>IFERROR(IF('PDCA review'!$D$2=Plan!B1560,Plan!G1560,""),"")</f>
        <v/>
      </c>
      <c r="C1559">
        <f t="shared" si="72"/>
        <v>0</v>
      </c>
      <c r="D1559">
        <f>SUM($C$3:C1559)</f>
        <v>7</v>
      </c>
      <c r="E1559" t="e">
        <f t="shared" si="73"/>
        <v>#N/A</v>
      </c>
      <c r="F1559" s="28" t="str">
        <f t="shared" ca="1" si="74"/>
        <v/>
      </c>
    </row>
    <row r="1560" spans="2:6" x14ac:dyDescent="0.2">
      <c r="B1560" t="str">
        <f>IFERROR(IF('PDCA review'!$D$2=Plan!B1561,Plan!G1561,""),"")</f>
        <v/>
      </c>
      <c r="C1560">
        <f t="shared" si="72"/>
        <v>0</v>
      </c>
      <c r="D1560">
        <f>SUM($C$3:C1560)</f>
        <v>7</v>
      </c>
      <c r="E1560" t="e">
        <f t="shared" si="73"/>
        <v>#N/A</v>
      </c>
      <c r="F1560" s="28" t="str">
        <f t="shared" ca="1" si="74"/>
        <v/>
      </c>
    </row>
    <row r="1561" spans="2:6" x14ac:dyDescent="0.2">
      <c r="B1561" t="str">
        <f>IFERROR(IF('PDCA review'!$D$2=Plan!B1562,Plan!G1562,""),"")</f>
        <v/>
      </c>
      <c r="C1561">
        <f t="shared" si="72"/>
        <v>0</v>
      </c>
      <c r="D1561">
        <f>SUM($C$3:C1561)</f>
        <v>7</v>
      </c>
      <c r="E1561" t="e">
        <f t="shared" si="73"/>
        <v>#N/A</v>
      </c>
      <c r="F1561" s="28" t="str">
        <f t="shared" ca="1" si="74"/>
        <v/>
      </c>
    </row>
    <row r="1562" spans="2:6" x14ac:dyDescent="0.2">
      <c r="B1562" t="str">
        <f>IFERROR(IF('PDCA review'!$D$2=Plan!B1563,Plan!G1563,""),"")</f>
        <v/>
      </c>
      <c r="C1562">
        <f t="shared" si="72"/>
        <v>0</v>
      </c>
      <c r="D1562">
        <f>SUM($C$3:C1562)</f>
        <v>7</v>
      </c>
      <c r="E1562" t="e">
        <f t="shared" si="73"/>
        <v>#N/A</v>
      </c>
      <c r="F1562" s="28" t="str">
        <f t="shared" ca="1" si="74"/>
        <v/>
      </c>
    </row>
    <row r="1563" spans="2:6" x14ac:dyDescent="0.2">
      <c r="B1563" t="str">
        <f>IFERROR(IF('PDCA review'!$D$2=Plan!B1564,Plan!G1564,""),"")</f>
        <v/>
      </c>
      <c r="C1563">
        <f t="shared" si="72"/>
        <v>0</v>
      </c>
      <c r="D1563">
        <f>SUM($C$3:C1563)</f>
        <v>7</v>
      </c>
      <c r="E1563" t="e">
        <f t="shared" si="73"/>
        <v>#N/A</v>
      </c>
      <c r="F1563" s="28" t="str">
        <f t="shared" ca="1" si="74"/>
        <v/>
      </c>
    </row>
    <row r="1564" spans="2:6" x14ac:dyDescent="0.2">
      <c r="B1564" t="str">
        <f>IFERROR(IF('PDCA review'!$D$2=Plan!B1565,Plan!G1565,""),"")</f>
        <v/>
      </c>
      <c r="C1564">
        <f t="shared" si="72"/>
        <v>0</v>
      </c>
      <c r="D1564">
        <f>SUM($C$3:C1564)</f>
        <v>7</v>
      </c>
      <c r="E1564" t="e">
        <f t="shared" si="73"/>
        <v>#N/A</v>
      </c>
      <c r="F1564" s="28" t="str">
        <f t="shared" ca="1" si="74"/>
        <v/>
      </c>
    </row>
    <row r="1565" spans="2:6" x14ac:dyDescent="0.2">
      <c r="B1565" t="str">
        <f>IFERROR(IF('PDCA review'!$D$2=Plan!B1566,Plan!G1566,""),"")</f>
        <v/>
      </c>
      <c r="C1565">
        <f t="shared" si="72"/>
        <v>0</v>
      </c>
      <c r="D1565">
        <f>SUM($C$3:C1565)</f>
        <v>7</v>
      </c>
      <c r="E1565" t="e">
        <f t="shared" si="73"/>
        <v>#N/A</v>
      </c>
      <c r="F1565" s="28" t="str">
        <f t="shared" ca="1" si="74"/>
        <v/>
      </c>
    </row>
    <row r="1566" spans="2:6" x14ac:dyDescent="0.2">
      <c r="B1566" t="str">
        <f>IFERROR(IF('PDCA review'!$D$2=Plan!B1567,Plan!G1567,""),"")</f>
        <v/>
      </c>
      <c r="C1566">
        <f t="shared" si="72"/>
        <v>0</v>
      </c>
      <c r="D1566">
        <f>SUM($C$3:C1566)</f>
        <v>7</v>
      </c>
      <c r="E1566" t="e">
        <f t="shared" si="73"/>
        <v>#N/A</v>
      </c>
      <c r="F1566" s="28" t="str">
        <f t="shared" ca="1" si="74"/>
        <v/>
      </c>
    </row>
    <row r="1567" spans="2:6" x14ac:dyDescent="0.2">
      <c r="B1567" t="str">
        <f>IFERROR(IF('PDCA review'!$D$2=Plan!B1568,Plan!G1568,""),"")</f>
        <v/>
      </c>
      <c r="C1567">
        <f t="shared" si="72"/>
        <v>0</v>
      </c>
      <c r="D1567">
        <f>SUM($C$3:C1567)</f>
        <v>7</v>
      </c>
      <c r="E1567" t="e">
        <f t="shared" si="73"/>
        <v>#N/A</v>
      </c>
      <c r="F1567" s="28" t="str">
        <f t="shared" ca="1" si="74"/>
        <v/>
      </c>
    </row>
    <row r="1568" spans="2:6" x14ac:dyDescent="0.2">
      <c r="B1568" t="str">
        <f>IFERROR(IF('PDCA review'!$D$2=Plan!B1569,Plan!G1569,""),"")</f>
        <v/>
      </c>
      <c r="C1568">
        <f t="shared" si="72"/>
        <v>0</v>
      </c>
      <c r="D1568">
        <f>SUM($C$3:C1568)</f>
        <v>7</v>
      </c>
      <c r="E1568" t="e">
        <f t="shared" si="73"/>
        <v>#N/A</v>
      </c>
      <c r="F1568" s="28" t="str">
        <f t="shared" ca="1" si="74"/>
        <v/>
      </c>
    </row>
    <row r="1569" spans="2:6" x14ac:dyDescent="0.2">
      <c r="B1569" t="str">
        <f>IFERROR(IF('PDCA review'!$D$2=Plan!B1570,Plan!G1570,""),"")</f>
        <v/>
      </c>
      <c r="C1569">
        <f t="shared" si="72"/>
        <v>0</v>
      </c>
      <c r="D1569">
        <f>SUM($C$3:C1569)</f>
        <v>7</v>
      </c>
      <c r="E1569" t="e">
        <f t="shared" si="73"/>
        <v>#N/A</v>
      </c>
      <c r="F1569" s="28" t="str">
        <f t="shared" ca="1" si="74"/>
        <v/>
      </c>
    </row>
    <row r="1570" spans="2:6" x14ac:dyDescent="0.2">
      <c r="B1570" t="str">
        <f>IFERROR(IF('PDCA review'!$D$2=Plan!B1571,Plan!G1571,""),"")</f>
        <v/>
      </c>
      <c r="C1570">
        <f t="shared" si="72"/>
        <v>0</v>
      </c>
      <c r="D1570">
        <f>SUM($C$3:C1570)</f>
        <v>7</v>
      </c>
      <c r="E1570" t="e">
        <f t="shared" si="73"/>
        <v>#N/A</v>
      </c>
      <c r="F1570" s="28" t="str">
        <f t="shared" ca="1" si="74"/>
        <v/>
      </c>
    </row>
    <row r="1571" spans="2:6" x14ac:dyDescent="0.2">
      <c r="B1571" t="str">
        <f>IFERROR(IF('PDCA review'!$D$2=Plan!B1572,Plan!G1572,""),"")</f>
        <v/>
      </c>
      <c r="C1571">
        <f t="shared" si="72"/>
        <v>0</v>
      </c>
      <c r="D1571">
        <f>SUM($C$3:C1571)</f>
        <v>7</v>
      </c>
      <c r="E1571" t="e">
        <f t="shared" si="73"/>
        <v>#N/A</v>
      </c>
      <c r="F1571" s="28" t="str">
        <f t="shared" ca="1" si="74"/>
        <v/>
      </c>
    </row>
    <row r="1572" spans="2:6" x14ac:dyDescent="0.2">
      <c r="B1572" t="str">
        <f>IFERROR(IF('PDCA review'!$D$2=Plan!B1573,Plan!G1573,""),"")</f>
        <v/>
      </c>
      <c r="C1572">
        <f t="shared" si="72"/>
        <v>0</v>
      </c>
      <c r="D1572">
        <f>SUM($C$3:C1572)</f>
        <v>7</v>
      </c>
      <c r="E1572" t="e">
        <f t="shared" si="73"/>
        <v>#N/A</v>
      </c>
      <c r="F1572" s="28" t="str">
        <f t="shared" ca="1" si="74"/>
        <v/>
      </c>
    </row>
    <row r="1573" spans="2:6" x14ac:dyDescent="0.2">
      <c r="B1573" t="str">
        <f>IFERROR(IF('PDCA review'!$D$2=Plan!B1574,Plan!G1574,""),"")</f>
        <v/>
      </c>
      <c r="C1573">
        <f t="shared" si="72"/>
        <v>0</v>
      </c>
      <c r="D1573">
        <f>SUM($C$3:C1573)</f>
        <v>7</v>
      </c>
      <c r="E1573" t="e">
        <f t="shared" si="73"/>
        <v>#N/A</v>
      </c>
      <c r="F1573" s="28" t="str">
        <f t="shared" ca="1" si="74"/>
        <v/>
      </c>
    </row>
    <row r="1574" spans="2:6" x14ac:dyDescent="0.2">
      <c r="B1574" t="str">
        <f>IFERROR(IF('PDCA review'!$D$2=Plan!B1575,Plan!G1575,""),"")</f>
        <v/>
      </c>
      <c r="C1574">
        <f t="shared" si="72"/>
        <v>0</v>
      </c>
      <c r="D1574">
        <f>SUM($C$3:C1574)</f>
        <v>7</v>
      </c>
      <c r="E1574" t="e">
        <f t="shared" si="73"/>
        <v>#N/A</v>
      </c>
      <c r="F1574" s="28" t="str">
        <f t="shared" ca="1" si="74"/>
        <v/>
      </c>
    </row>
    <row r="1575" spans="2:6" x14ac:dyDescent="0.2">
      <c r="B1575" t="str">
        <f>IFERROR(IF('PDCA review'!$D$2=Plan!B1576,Plan!G1576,""),"")</f>
        <v/>
      </c>
      <c r="C1575">
        <f t="shared" si="72"/>
        <v>0</v>
      </c>
      <c r="D1575">
        <f>SUM($C$3:C1575)</f>
        <v>7</v>
      </c>
      <c r="E1575" t="e">
        <f t="shared" si="73"/>
        <v>#N/A</v>
      </c>
      <c r="F1575" s="28" t="str">
        <f t="shared" ca="1" si="74"/>
        <v/>
      </c>
    </row>
    <row r="1576" spans="2:6" x14ac:dyDescent="0.2">
      <c r="B1576" t="str">
        <f>IFERROR(IF('PDCA review'!$D$2=Plan!B1577,Plan!G1577,""),"")</f>
        <v/>
      </c>
      <c r="C1576">
        <f t="shared" si="72"/>
        <v>0</v>
      </c>
      <c r="D1576">
        <f>SUM($C$3:C1576)</f>
        <v>7</v>
      </c>
      <c r="E1576" t="e">
        <f t="shared" si="73"/>
        <v>#N/A</v>
      </c>
      <c r="F1576" s="28" t="str">
        <f t="shared" ca="1" si="74"/>
        <v/>
      </c>
    </row>
    <row r="1577" spans="2:6" x14ac:dyDescent="0.2">
      <c r="B1577" t="str">
        <f>IFERROR(IF('PDCA review'!$D$2=Plan!B1578,Plan!G1578,""),"")</f>
        <v/>
      </c>
      <c r="C1577">
        <f t="shared" si="72"/>
        <v>0</v>
      </c>
      <c r="D1577">
        <f>SUM($C$3:C1577)</f>
        <v>7</v>
      </c>
      <c r="E1577" t="e">
        <f t="shared" si="73"/>
        <v>#N/A</v>
      </c>
      <c r="F1577" s="28" t="str">
        <f t="shared" ca="1" si="74"/>
        <v/>
      </c>
    </row>
    <row r="1578" spans="2:6" x14ac:dyDescent="0.2">
      <c r="B1578" t="str">
        <f>IFERROR(IF('PDCA review'!$D$2=Plan!B1579,Plan!G1579,""),"")</f>
        <v/>
      </c>
      <c r="C1578">
        <f t="shared" si="72"/>
        <v>0</v>
      </c>
      <c r="D1578">
        <f>SUM($C$3:C1578)</f>
        <v>7</v>
      </c>
      <c r="E1578" t="e">
        <f t="shared" si="73"/>
        <v>#N/A</v>
      </c>
      <c r="F1578" s="28" t="str">
        <f t="shared" ca="1" si="74"/>
        <v/>
      </c>
    </row>
    <row r="1579" spans="2:6" x14ac:dyDescent="0.2">
      <c r="B1579" t="str">
        <f>IFERROR(IF('PDCA review'!$D$2=Plan!B1580,Plan!G1580,""),"")</f>
        <v/>
      </c>
      <c r="C1579">
        <f t="shared" si="72"/>
        <v>0</v>
      </c>
      <c r="D1579">
        <f>SUM($C$3:C1579)</f>
        <v>7</v>
      </c>
      <c r="E1579" t="e">
        <f t="shared" si="73"/>
        <v>#N/A</v>
      </c>
      <c r="F1579" s="28" t="str">
        <f t="shared" ca="1" si="74"/>
        <v/>
      </c>
    </row>
    <row r="1580" spans="2:6" x14ac:dyDescent="0.2">
      <c r="B1580" t="str">
        <f>IFERROR(IF('PDCA review'!$D$2=Plan!B1581,Plan!G1581,""),"")</f>
        <v/>
      </c>
      <c r="C1580">
        <f t="shared" si="72"/>
        <v>0</v>
      </c>
      <c r="D1580">
        <f>SUM($C$3:C1580)</f>
        <v>7</v>
      </c>
      <c r="E1580" t="e">
        <f t="shared" si="73"/>
        <v>#N/A</v>
      </c>
      <c r="F1580" s="28" t="str">
        <f t="shared" ca="1" si="74"/>
        <v/>
      </c>
    </row>
    <row r="1581" spans="2:6" x14ac:dyDescent="0.2">
      <c r="B1581" t="str">
        <f>IFERROR(IF('PDCA review'!$D$2=Plan!B1582,Plan!G1582,""),"")</f>
        <v/>
      </c>
      <c r="C1581">
        <f t="shared" si="72"/>
        <v>0</v>
      </c>
      <c r="D1581">
        <f>SUM($C$3:C1581)</f>
        <v>7</v>
      </c>
      <c r="E1581" t="e">
        <f t="shared" si="73"/>
        <v>#N/A</v>
      </c>
      <c r="F1581" s="28" t="str">
        <f t="shared" ca="1" si="74"/>
        <v/>
      </c>
    </row>
    <row r="1582" spans="2:6" x14ac:dyDescent="0.2">
      <c r="B1582" t="str">
        <f>IFERROR(IF('PDCA review'!$D$2=Plan!B1583,Plan!G1583,""),"")</f>
        <v/>
      </c>
      <c r="C1582">
        <f t="shared" si="72"/>
        <v>0</v>
      </c>
      <c r="D1582">
        <f>SUM($C$3:C1582)</f>
        <v>7</v>
      </c>
      <c r="E1582" t="e">
        <f t="shared" si="73"/>
        <v>#N/A</v>
      </c>
      <c r="F1582" s="28" t="str">
        <f t="shared" ca="1" si="74"/>
        <v/>
      </c>
    </row>
    <row r="1583" spans="2:6" x14ac:dyDescent="0.2">
      <c r="B1583" t="str">
        <f>IFERROR(IF('PDCA review'!$D$2=Plan!B1584,Plan!G1584,""),"")</f>
        <v/>
      </c>
      <c r="C1583">
        <f t="shared" si="72"/>
        <v>0</v>
      </c>
      <c r="D1583">
        <f>SUM($C$3:C1583)</f>
        <v>7</v>
      </c>
      <c r="E1583" t="e">
        <f t="shared" si="73"/>
        <v>#N/A</v>
      </c>
      <c r="F1583" s="28" t="str">
        <f t="shared" ca="1" si="74"/>
        <v/>
      </c>
    </row>
    <row r="1584" spans="2:6" x14ac:dyDescent="0.2">
      <c r="B1584" t="str">
        <f>IFERROR(IF('PDCA review'!$D$2=Plan!B1585,Plan!G1585,""),"")</f>
        <v/>
      </c>
      <c r="C1584">
        <f t="shared" si="72"/>
        <v>0</v>
      </c>
      <c r="D1584">
        <f>SUM($C$3:C1584)</f>
        <v>7</v>
      </c>
      <c r="E1584" t="e">
        <f t="shared" si="73"/>
        <v>#N/A</v>
      </c>
      <c r="F1584" s="28" t="str">
        <f t="shared" ca="1" si="74"/>
        <v/>
      </c>
    </row>
    <row r="1585" spans="2:6" x14ac:dyDescent="0.2">
      <c r="B1585" t="str">
        <f>IFERROR(IF('PDCA review'!$D$2=Plan!B1586,Plan!G1586,""),"")</f>
        <v/>
      </c>
      <c r="C1585">
        <f t="shared" si="72"/>
        <v>0</v>
      </c>
      <c r="D1585">
        <f>SUM($C$3:C1585)</f>
        <v>7</v>
      </c>
      <c r="E1585" t="e">
        <f t="shared" si="73"/>
        <v>#N/A</v>
      </c>
      <c r="F1585" s="28" t="str">
        <f t="shared" ca="1" si="74"/>
        <v/>
      </c>
    </row>
    <row r="1586" spans="2:6" x14ac:dyDescent="0.2">
      <c r="B1586" t="str">
        <f>IFERROR(IF('PDCA review'!$D$2=Plan!B1587,Plan!G1587,""),"")</f>
        <v/>
      </c>
      <c r="C1586">
        <f t="shared" si="72"/>
        <v>0</v>
      </c>
      <c r="D1586">
        <f>SUM($C$3:C1586)</f>
        <v>7</v>
      </c>
      <c r="E1586" t="e">
        <f t="shared" si="73"/>
        <v>#N/A</v>
      </c>
      <c r="F1586" s="28" t="str">
        <f t="shared" ca="1" si="74"/>
        <v/>
      </c>
    </row>
    <row r="1587" spans="2:6" x14ac:dyDescent="0.2">
      <c r="B1587" t="str">
        <f>IFERROR(IF('PDCA review'!$D$2=Plan!B1588,Plan!G1588,""),"")</f>
        <v/>
      </c>
      <c r="C1587">
        <f t="shared" si="72"/>
        <v>0</v>
      </c>
      <c r="D1587">
        <f>SUM($C$3:C1587)</f>
        <v>7</v>
      </c>
      <c r="E1587" t="e">
        <f t="shared" si="73"/>
        <v>#N/A</v>
      </c>
      <c r="F1587" s="28" t="str">
        <f t="shared" ca="1" si="74"/>
        <v/>
      </c>
    </row>
    <row r="1588" spans="2:6" x14ac:dyDescent="0.2">
      <c r="B1588" t="str">
        <f>IFERROR(IF('PDCA review'!$D$2=Plan!B1589,Plan!G1589,""),"")</f>
        <v/>
      </c>
      <c r="C1588">
        <f t="shared" si="72"/>
        <v>0</v>
      </c>
      <c r="D1588">
        <f>SUM($C$3:C1588)</f>
        <v>7</v>
      </c>
      <c r="E1588" t="e">
        <f t="shared" si="73"/>
        <v>#N/A</v>
      </c>
      <c r="F1588" s="28" t="str">
        <f t="shared" ca="1" si="74"/>
        <v/>
      </c>
    </row>
    <row r="1589" spans="2:6" x14ac:dyDescent="0.2">
      <c r="B1589" t="str">
        <f>IFERROR(IF('PDCA review'!$D$2=Plan!B1590,Plan!G1590,""),"")</f>
        <v/>
      </c>
      <c r="C1589">
        <f t="shared" si="72"/>
        <v>0</v>
      </c>
      <c r="D1589">
        <f>SUM($C$3:C1589)</f>
        <v>7</v>
      </c>
      <c r="E1589" t="e">
        <f t="shared" si="73"/>
        <v>#N/A</v>
      </c>
      <c r="F1589" s="28" t="str">
        <f t="shared" ca="1" si="74"/>
        <v/>
      </c>
    </row>
    <row r="1590" spans="2:6" x14ac:dyDescent="0.2">
      <c r="B1590" t="str">
        <f>IFERROR(IF('PDCA review'!$D$2=Plan!B1591,Plan!G1591,""),"")</f>
        <v/>
      </c>
      <c r="C1590">
        <f t="shared" si="72"/>
        <v>0</v>
      </c>
      <c r="D1590">
        <f>SUM($C$3:C1590)</f>
        <v>7</v>
      </c>
      <c r="E1590" t="e">
        <f t="shared" si="73"/>
        <v>#N/A</v>
      </c>
      <c r="F1590" s="28" t="str">
        <f t="shared" ca="1" si="74"/>
        <v/>
      </c>
    </row>
    <row r="1591" spans="2:6" x14ac:dyDescent="0.2">
      <c r="B1591" t="str">
        <f>IFERROR(IF('PDCA review'!$D$2=Plan!B1592,Plan!G1592,""),"")</f>
        <v/>
      </c>
      <c r="C1591">
        <f t="shared" si="72"/>
        <v>0</v>
      </c>
      <c r="D1591">
        <f>SUM($C$3:C1591)</f>
        <v>7</v>
      </c>
      <c r="E1591" t="e">
        <f t="shared" si="73"/>
        <v>#N/A</v>
      </c>
      <c r="F1591" s="28" t="str">
        <f t="shared" ca="1" si="74"/>
        <v/>
      </c>
    </row>
    <row r="1592" spans="2:6" x14ac:dyDescent="0.2">
      <c r="B1592" t="str">
        <f>IFERROR(IF('PDCA review'!$D$2=Plan!B1593,Plan!G1593,""),"")</f>
        <v/>
      </c>
      <c r="C1592">
        <f t="shared" si="72"/>
        <v>0</v>
      </c>
      <c r="D1592">
        <f>SUM($C$3:C1592)</f>
        <v>7</v>
      </c>
      <c r="E1592" t="e">
        <f t="shared" si="73"/>
        <v>#N/A</v>
      </c>
      <c r="F1592" s="28" t="str">
        <f t="shared" ca="1" si="74"/>
        <v/>
      </c>
    </row>
    <row r="1593" spans="2:6" x14ac:dyDescent="0.2">
      <c r="B1593" t="str">
        <f>IFERROR(IF('PDCA review'!$D$2=Plan!B1594,Plan!G1594,""),"")</f>
        <v/>
      </c>
      <c r="C1593">
        <f t="shared" si="72"/>
        <v>0</v>
      </c>
      <c r="D1593">
        <f>SUM($C$3:C1593)</f>
        <v>7</v>
      </c>
      <c r="E1593" t="e">
        <f t="shared" si="73"/>
        <v>#N/A</v>
      </c>
      <c r="F1593" s="28" t="str">
        <f t="shared" ca="1" si="74"/>
        <v/>
      </c>
    </row>
    <row r="1594" spans="2:6" x14ac:dyDescent="0.2">
      <c r="B1594" t="str">
        <f>IFERROR(IF('PDCA review'!$D$2=Plan!B1595,Plan!G1595,""),"")</f>
        <v/>
      </c>
      <c r="C1594">
        <f t="shared" si="72"/>
        <v>0</v>
      </c>
      <c r="D1594">
        <f>SUM($C$3:C1594)</f>
        <v>7</v>
      </c>
      <c r="E1594" t="e">
        <f t="shared" si="73"/>
        <v>#N/A</v>
      </c>
      <c r="F1594" s="28" t="str">
        <f t="shared" ca="1" si="74"/>
        <v/>
      </c>
    </row>
    <row r="1595" spans="2:6" x14ac:dyDescent="0.2">
      <c r="B1595" t="str">
        <f>IFERROR(IF('PDCA review'!$D$2=Plan!B1596,Plan!G1596,""),"")</f>
        <v/>
      </c>
      <c r="C1595">
        <f t="shared" si="72"/>
        <v>0</v>
      </c>
      <c r="D1595">
        <f>SUM($C$3:C1595)</f>
        <v>7</v>
      </c>
      <c r="E1595" t="e">
        <f t="shared" si="73"/>
        <v>#N/A</v>
      </c>
      <c r="F1595" s="28" t="str">
        <f t="shared" ca="1" si="74"/>
        <v/>
      </c>
    </row>
    <row r="1596" spans="2:6" x14ac:dyDescent="0.2">
      <c r="B1596" t="str">
        <f>IFERROR(IF('PDCA review'!$D$2=Plan!B1597,Plan!G1597,""),"")</f>
        <v/>
      </c>
      <c r="C1596">
        <f t="shared" si="72"/>
        <v>0</v>
      </c>
      <c r="D1596">
        <f>SUM($C$3:C1596)</f>
        <v>7</v>
      </c>
      <c r="E1596" t="e">
        <f t="shared" si="73"/>
        <v>#N/A</v>
      </c>
      <c r="F1596" s="28" t="str">
        <f t="shared" ca="1" si="74"/>
        <v/>
      </c>
    </row>
    <row r="1597" spans="2:6" x14ac:dyDescent="0.2">
      <c r="B1597" t="str">
        <f>IFERROR(IF('PDCA review'!$D$2=Plan!B1598,Plan!G1598,""),"")</f>
        <v/>
      </c>
      <c r="C1597">
        <f t="shared" si="72"/>
        <v>0</v>
      </c>
      <c r="D1597">
        <f>SUM($C$3:C1597)</f>
        <v>7</v>
      </c>
      <c r="E1597" t="e">
        <f t="shared" si="73"/>
        <v>#N/A</v>
      </c>
      <c r="F1597" s="28" t="str">
        <f t="shared" ca="1" si="74"/>
        <v/>
      </c>
    </row>
    <row r="1598" spans="2:6" x14ac:dyDescent="0.2">
      <c r="B1598" t="str">
        <f>IFERROR(IF('PDCA review'!$D$2=Plan!B1599,Plan!G1599,""),"")</f>
        <v/>
      </c>
      <c r="C1598">
        <f t="shared" si="72"/>
        <v>0</v>
      </c>
      <c r="D1598">
        <f>SUM($C$3:C1598)</f>
        <v>7</v>
      </c>
      <c r="E1598" t="e">
        <f t="shared" si="73"/>
        <v>#N/A</v>
      </c>
      <c r="F1598" s="28" t="str">
        <f t="shared" ca="1" si="74"/>
        <v/>
      </c>
    </row>
    <row r="1599" spans="2:6" x14ac:dyDescent="0.2">
      <c r="B1599" t="str">
        <f>IFERROR(IF('PDCA review'!$D$2=Plan!B1600,Plan!G1600,""),"")</f>
        <v/>
      </c>
      <c r="C1599">
        <f t="shared" si="72"/>
        <v>0</v>
      </c>
      <c r="D1599">
        <f>SUM($C$3:C1599)</f>
        <v>7</v>
      </c>
      <c r="E1599" t="e">
        <f t="shared" si="73"/>
        <v>#N/A</v>
      </c>
      <c r="F1599" s="28" t="str">
        <f t="shared" ca="1" si="74"/>
        <v/>
      </c>
    </row>
    <row r="1600" spans="2:6" x14ac:dyDescent="0.2">
      <c r="B1600" t="str">
        <f>IFERROR(IF('PDCA review'!$D$2=Plan!B1601,Plan!G1601,""),"")</f>
        <v/>
      </c>
      <c r="C1600">
        <f t="shared" si="72"/>
        <v>0</v>
      </c>
      <c r="D1600">
        <f>SUM($C$3:C1600)</f>
        <v>7</v>
      </c>
      <c r="E1600" t="e">
        <f t="shared" si="73"/>
        <v>#N/A</v>
      </c>
      <c r="F1600" s="28" t="str">
        <f t="shared" ca="1" si="74"/>
        <v/>
      </c>
    </row>
    <row r="1601" spans="2:6" x14ac:dyDescent="0.2">
      <c r="B1601" t="str">
        <f>IFERROR(IF('PDCA review'!$D$2=Plan!B1602,Plan!G1602,""),"")</f>
        <v/>
      </c>
      <c r="C1601">
        <f t="shared" si="72"/>
        <v>0</v>
      </c>
      <c r="D1601">
        <f>SUM($C$3:C1601)</f>
        <v>7</v>
      </c>
      <c r="E1601" t="e">
        <f t="shared" si="73"/>
        <v>#N/A</v>
      </c>
      <c r="F1601" s="28" t="str">
        <f t="shared" ca="1" si="74"/>
        <v/>
      </c>
    </row>
    <row r="1602" spans="2:6" x14ac:dyDescent="0.2">
      <c r="B1602" t="str">
        <f>IFERROR(IF('PDCA review'!$D$2=Plan!B1603,Plan!G1603,""),"")</f>
        <v/>
      </c>
      <c r="C1602">
        <f t="shared" si="72"/>
        <v>0</v>
      </c>
      <c r="D1602">
        <f>SUM($C$3:C1602)</f>
        <v>7</v>
      </c>
      <c r="E1602" t="e">
        <f t="shared" si="73"/>
        <v>#N/A</v>
      </c>
      <c r="F1602" s="28" t="str">
        <f t="shared" ca="1" si="74"/>
        <v/>
      </c>
    </row>
    <row r="1603" spans="2:6" x14ac:dyDescent="0.2">
      <c r="B1603" t="str">
        <f>IFERROR(IF('PDCA review'!$D$2=Plan!B1604,Plan!G1604,""),"")</f>
        <v/>
      </c>
      <c r="C1603">
        <f t="shared" si="72"/>
        <v>0</v>
      </c>
      <c r="D1603">
        <f>SUM($C$3:C1603)</f>
        <v>7</v>
      </c>
      <c r="E1603" t="e">
        <f t="shared" si="73"/>
        <v>#N/A</v>
      </c>
      <c r="F1603" s="28" t="str">
        <f t="shared" ca="1" si="74"/>
        <v/>
      </c>
    </row>
    <row r="1604" spans="2:6" x14ac:dyDescent="0.2">
      <c r="B1604" t="str">
        <f>IFERROR(IF('PDCA review'!$D$2=Plan!B1605,Plan!G1605,""),"")</f>
        <v/>
      </c>
      <c r="C1604">
        <f t="shared" ref="C1604:C1667" si="75">IF(B1604&lt;&gt;"",1,0)</f>
        <v>0</v>
      </c>
      <c r="D1604">
        <f>SUM($C$3:C1604)</f>
        <v>7</v>
      </c>
      <c r="E1604" t="e">
        <f t="shared" ref="E1604:E1667" si="76">MATCH(ROW()-$D$2,$D$3:$D$2000,0)+$D$2</f>
        <v>#N/A</v>
      </c>
      <c r="F1604" s="28" t="str">
        <f t="shared" ref="F1604:F1667" ca="1" si="77">IFERROR(INDIRECT("B"&amp;E1604),"")</f>
        <v/>
      </c>
    </row>
    <row r="1605" spans="2:6" x14ac:dyDescent="0.2">
      <c r="B1605" t="str">
        <f>IFERROR(IF('PDCA review'!$D$2=Plan!B1606,Plan!G1606,""),"")</f>
        <v/>
      </c>
      <c r="C1605">
        <f t="shared" si="75"/>
        <v>0</v>
      </c>
      <c r="D1605">
        <f>SUM($C$3:C1605)</f>
        <v>7</v>
      </c>
      <c r="E1605" t="e">
        <f t="shared" si="76"/>
        <v>#N/A</v>
      </c>
      <c r="F1605" s="28" t="str">
        <f t="shared" ca="1" si="77"/>
        <v/>
      </c>
    </row>
    <row r="1606" spans="2:6" x14ac:dyDescent="0.2">
      <c r="B1606" t="str">
        <f>IFERROR(IF('PDCA review'!$D$2=Plan!B1607,Plan!G1607,""),"")</f>
        <v/>
      </c>
      <c r="C1606">
        <f t="shared" si="75"/>
        <v>0</v>
      </c>
      <c r="D1606">
        <f>SUM($C$3:C1606)</f>
        <v>7</v>
      </c>
      <c r="E1606" t="e">
        <f t="shared" si="76"/>
        <v>#N/A</v>
      </c>
      <c r="F1606" s="28" t="str">
        <f t="shared" ca="1" si="77"/>
        <v/>
      </c>
    </row>
    <row r="1607" spans="2:6" x14ac:dyDescent="0.2">
      <c r="B1607" t="str">
        <f>IFERROR(IF('PDCA review'!$D$2=Plan!B1608,Plan!G1608,""),"")</f>
        <v/>
      </c>
      <c r="C1607">
        <f t="shared" si="75"/>
        <v>0</v>
      </c>
      <c r="D1607">
        <f>SUM($C$3:C1607)</f>
        <v>7</v>
      </c>
      <c r="E1607" t="e">
        <f t="shared" si="76"/>
        <v>#N/A</v>
      </c>
      <c r="F1607" s="28" t="str">
        <f t="shared" ca="1" si="77"/>
        <v/>
      </c>
    </row>
    <row r="1608" spans="2:6" x14ac:dyDescent="0.2">
      <c r="B1608" t="str">
        <f>IFERROR(IF('PDCA review'!$D$2=Plan!B1609,Plan!G1609,""),"")</f>
        <v/>
      </c>
      <c r="C1608">
        <f t="shared" si="75"/>
        <v>0</v>
      </c>
      <c r="D1608">
        <f>SUM($C$3:C1608)</f>
        <v>7</v>
      </c>
      <c r="E1608" t="e">
        <f t="shared" si="76"/>
        <v>#N/A</v>
      </c>
      <c r="F1608" s="28" t="str">
        <f t="shared" ca="1" si="77"/>
        <v/>
      </c>
    </row>
    <row r="1609" spans="2:6" x14ac:dyDescent="0.2">
      <c r="B1609" t="str">
        <f>IFERROR(IF('PDCA review'!$D$2=Plan!B1610,Plan!G1610,""),"")</f>
        <v/>
      </c>
      <c r="C1609">
        <f t="shared" si="75"/>
        <v>0</v>
      </c>
      <c r="D1609">
        <f>SUM($C$3:C1609)</f>
        <v>7</v>
      </c>
      <c r="E1609" t="e">
        <f t="shared" si="76"/>
        <v>#N/A</v>
      </c>
      <c r="F1609" s="28" t="str">
        <f t="shared" ca="1" si="77"/>
        <v/>
      </c>
    </row>
    <row r="1610" spans="2:6" x14ac:dyDescent="0.2">
      <c r="B1610" t="str">
        <f>IFERROR(IF('PDCA review'!$D$2=Plan!B1611,Plan!G1611,""),"")</f>
        <v/>
      </c>
      <c r="C1610">
        <f t="shared" si="75"/>
        <v>0</v>
      </c>
      <c r="D1610">
        <f>SUM($C$3:C1610)</f>
        <v>7</v>
      </c>
      <c r="E1610" t="e">
        <f t="shared" si="76"/>
        <v>#N/A</v>
      </c>
      <c r="F1610" s="28" t="str">
        <f t="shared" ca="1" si="77"/>
        <v/>
      </c>
    </row>
    <row r="1611" spans="2:6" x14ac:dyDescent="0.2">
      <c r="B1611" t="str">
        <f>IFERROR(IF('PDCA review'!$D$2=Plan!B1612,Plan!G1612,""),"")</f>
        <v/>
      </c>
      <c r="C1611">
        <f t="shared" si="75"/>
        <v>0</v>
      </c>
      <c r="D1611">
        <f>SUM($C$3:C1611)</f>
        <v>7</v>
      </c>
      <c r="E1611" t="e">
        <f t="shared" si="76"/>
        <v>#N/A</v>
      </c>
      <c r="F1611" s="28" t="str">
        <f t="shared" ca="1" si="77"/>
        <v/>
      </c>
    </row>
    <row r="1612" spans="2:6" x14ac:dyDescent="0.2">
      <c r="B1612" t="str">
        <f>IFERROR(IF('PDCA review'!$D$2=Plan!B1613,Plan!G1613,""),"")</f>
        <v/>
      </c>
      <c r="C1612">
        <f t="shared" si="75"/>
        <v>0</v>
      </c>
      <c r="D1612">
        <f>SUM($C$3:C1612)</f>
        <v>7</v>
      </c>
      <c r="E1612" t="e">
        <f t="shared" si="76"/>
        <v>#N/A</v>
      </c>
      <c r="F1612" s="28" t="str">
        <f t="shared" ca="1" si="77"/>
        <v/>
      </c>
    </row>
    <row r="1613" spans="2:6" x14ac:dyDescent="0.2">
      <c r="B1613" t="str">
        <f>IFERROR(IF('PDCA review'!$D$2=Plan!B1614,Plan!G1614,""),"")</f>
        <v/>
      </c>
      <c r="C1613">
        <f t="shared" si="75"/>
        <v>0</v>
      </c>
      <c r="D1613">
        <f>SUM($C$3:C1613)</f>
        <v>7</v>
      </c>
      <c r="E1613" t="e">
        <f t="shared" si="76"/>
        <v>#N/A</v>
      </c>
      <c r="F1613" s="28" t="str">
        <f t="shared" ca="1" si="77"/>
        <v/>
      </c>
    </row>
    <row r="1614" spans="2:6" x14ac:dyDescent="0.2">
      <c r="B1614" t="str">
        <f>IFERROR(IF('PDCA review'!$D$2=Plan!B1615,Plan!G1615,""),"")</f>
        <v/>
      </c>
      <c r="C1614">
        <f t="shared" si="75"/>
        <v>0</v>
      </c>
      <c r="D1614">
        <f>SUM($C$3:C1614)</f>
        <v>7</v>
      </c>
      <c r="E1614" t="e">
        <f t="shared" si="76"/>
        <v>#N/A</v>
      </c>
      <c r="F1614" s="28" t="str">
        <f t="shared" ca="1" si="77"/>
        <v/>
      </c>
    </row>
    <row r="1615" spans="2:6" x14ac:dyDescent="0.2">
      <c r="B1615" t="str">
        <f>IFERROR(IF('PDCA review'!$D$2=Plan!B1616,Plan!G1616,""),"")</f>
        <v/>
      </c>
      <c r="C1615">
        <f t="shared" si="75"/>
        <v>0</v>
      </c>
      <c r="D1615">
        <f>SUM($C$3:C1615)</f>
        <v>7</v>
      </c>
      <c r="E1615" t="e">
        <f t="shared" si="76"/>
        <v>#N/A</v>
      </c>
      <c r="F1615" s="28" t="str">
        <f t="shared" ca="1" si="77"/>
        <v/>
      </c>
    </row>
    <row r="1616" spans="2:6" x14ac:dyDescent="0.2">
      <c r="B1616" t="str">
        <f>IFERROR(IF('PDCA review'!$D$2=Plan!B1617,Plan!G1617,""),"")</f>
        <v/>
      </c>
      <c r="C1616">
        <f t="shared" si="75"/>
        <v>0</v>
      </c>
      <c r="D1616">
        <f>SUM($C$3:C1616)</f>
        <v>7</v>
      </c>
      <c r="E1616" t="e">
        <f t="shared" si="76"/>
        <v>#N/A</v>
      </c>
      <c r="F1616" s="28" t="str">
        <f t="shared" ca="1" si="77"/>
        <v/>
      </c>
    </row>
    <row r="1617" spans="2:6" x14ac:dyDescent="0.2">
      <c r="B1617" t="str">
        <f>IFERROR(IF('PDCA review'!$D$2=Plan!B1618,Plan!G1618,""),"")</f>
        <v/>
      </c>
      <c r="C1617">
        <f t="shared" si="75"/>
        <v>0</v>
      </c>
      <c r="D1617">
        <f>SUM($C$3:C1617)</f>
        <v>7</v>
      </c>
      <c r="E1617" t="e">
        <f t="shared" si="76"/>
        <v>#N/A</v>
      </c>
      <c r="F1617" s="28" t="str">
        <f t="shared" ca="1" si="77"/>
        <v/>
      </c>
    </row>
    <row r="1618" spans="2:6" x14ac:dyDescent="0.2">
      <c r="B1618" t="str">
        <f>IFERROR(IF('PDCA review'!$D$2=Plan!B1619,Plan!G1619,""),"")</f>
        <v/>
      </c>
      <c r="C1618">
        <f t="shared" si="75"/>
        <v>0</v>
      </c>
      <c r="D1618">
        <f>SUM($C$3:C1618)</f>
        <v>7</v>
      </c>
      <c r="E1618" t="e">
        <f t="shared" si="76"/>
        <v>#N/A</v>
      </c>
      <c r="F1618" s="28" t="str">
        <f t="shared" ca="1" si="77"/>
        <v/>
      </c>
    </row>
    <row r="1619" spans="2:6" x14ac:dyDescent="0.2">
      <c r="B1619" t="str">
        <f>IFERROR(IF('PDCA review'!$D$2=Plan!B1620,Plan!G1620,""),"")</f>
        <v/>
      </c>
      <c r="C1619">
        <f t="shared" si="75"/>
        <v>0</v>
      </c>
      <c r="D1619">
        <f>SUM($C$3:C1619)</f>
        <v>7</v>
      </c>
      <c r="E1619" t="e">
        <f t="shared" si="76"/>
        <v>#N/A</v>
      </c>
      <c r="F1619" s="28" t="str">
        <f t="shared" ca="1" si="77"/>
        <v/>
      </c>
    </row>
    <row r="1620" spans="2:6" x14ac:dyDescent="0.2">
      <c r="B1620" t="str">
        <f>IFERROR(IF('PDCA review'!$D$2=Plan!B1621,Plan!G1621,""),"")</f>
        <v/>
      </c>
      <c r="C1620">
        <f t="shared" si="75"/>
        <v>0</v>
      </c>
      <c r="D1620">
        <f>SUM($C$3:C1620)</f>
        <v>7</v>
      </c>
      <c r="E1620" t="e">
        <f t="shared" si="76"/>
        <v>#N/A</v>
      </c>
      <c r="F1620" s="28" t="str">
        <f t="shared" ca="1" si="77"/>
        <v/>
      </c>
    </row>
    <row r="1621" spans="2:6" x14ac:dyDescent="0.2">
      <c r="B1621" t="str">
        <f>IFERROR(IF('PDCA review'!$D$2=Plan!B1622,Plan!G1622,""),"")</f>
        <v/>
      </c>
      <c r="C1621">
        <f t="shared" si="75"/>
        <v>0</v>
      </c>
      <c r="D1621">
        <f>SUM($C$3:C1621)</f>
        <v>7</v>
      </c>
      <c r="E1621" t="e">
        <f t="shared" si="76"/>
        <v>#N/A</v>
      </c>
      <c r="F1621" s="28" t="str">
        <f t="shared" ca="1" si="77"/>
        <v/>
      </c>
    </row>
    <row r="1622" spans="2:6" x14ac:dyDescent="0.2">
      <c r="B1622" t="str">
        <f>IFERROR(IF('PDCA review'!$D$2=Plan!B1623,Plan!G1623,""),"")</f>
        <v/>
      </c>
      <c r="C1622">
        <f t="shared" si="75"/>
        <v>0</v>
      </c>
      <c r="D1622">
        <f>SUM($C$3:C1622)</f>
        <v>7</v>
      </c>
      <c r="E1622" t="e">
        <f t="shared" si="76"/>
        <v>#N/A</v>
      </c>
      <c r="F1622" s="28" t="str">
        <f t="shared" ca="1" si="77"/>
        <v/>
      </c>
    </row>
    <row r="1623" spans="2:6" x14ac:dyDescent="0.2">
      <c r="B1623" t="str">
        <f>IFERROR(IF('PDCA review'!$D$2=Plan!B1624,Plan!G1624,""),"")</f>
        <v/>
      </c>
      <c r="C1623">
        <f t="shared" si="75"/>
        <v>0</v>
      </c>
      <c r="D1623">
        <f>SUM($C$3:C1623)</f>
        <v>7</v>
      </c>
      <c r="E1623" t="e">
        <f t="shared" si="76"/>
        <v>#N/A</v>
      </c>
      <c r="F1623" s="28" t="str">
        <f t="shared" ca="1" si="77"/>
        <v/>
      </c>
    </row>
    <row r="1624" spans="2:6" x14ac:dyDescent="0.2">
      <c r="B1624" t="str">
        <f>IFERROR(IF('PDCA review'!$D$2=Plan!B1625,Plan!G1625,""),"")</f>
        <v/>
      </c>
      <c r="C1624">
        <f t="shared" si="75"/>
        <v>0</v>
      </c>
      <c r="D1624">
        <f>SUM($C$3:C1624)</f>
        <v>7</v>
      </c>
      <c r="E1624" t="e">
        <f t="shared" si="76"/>
        <v>#N/A</v>
      </c>
      <c r="F1624" s="28" t="str">
        <f t="shared" ca="1" si="77"/>
        <v/>
      </c>
    </row>
    <row r="1625" spans="2:6" x14ac:dyDescent="0.2">
      <c r="B1625" t="str">
        <f>IFERROR(IF('PDCA review'!$D$2=Plan!B1626,Plan!G1626,""),"")</f>
        <v/>
      </c>
      <c r="C1625">
        <f t="shared" si="75"/>
        <v>0</v>
      </c>
      <c r="D1625">
        <f>SUM($C$3:C1625)</f>
        <v>7</v>
      </c>
      <c r="E1625" t="e">
        <f t="shared" si="76"/>
        <v>#N/A</v>
      </c>
      <c r="F1625" s="28" t="str">
        <f t="shared" ca="1" si="77"/>
        <v/>
      </c>
    </row>
    <row r="1626" spans="2:6" x14ac:dyDescent="0.2">
      <c r="B1626" t="str">
        <f>IFERROR(IF('PDCA review'!$D$2=Plan!B1627,Plan!G1627,""),"")</f>
        <v/>
      </c>
      <c r="C1626">
        <f t="shared" si="75"/>
        <v>0</v>
      </c>
      <c r="D1626">
        <f>SUM($C$3:C1626)</f>
        <v>7</v>
      </c>
      <c r="E1626" t="e">
        <f t="shared" si="76"/>
        <v>#N/A</v>
      </c>
      <c r="F1626" s="28" t="str">
        <f t="shared" ca="1" si="77"/>
        <v/>
      </c>
    </row>
    <row r="1627" spans="2:6" x14ac:dyDescent="0.2">
      <c r="B1627" t="str">
        <f>IFERROR(IF('PDCA review'!$D$2=Plan!B1628,Plan!G1628,""),"")</f>
        <v/>
      </c>
      <c r="C1627">
        <f t="shared" si="75"/>
        <v>0</v>
      </c>
      <c r="D1627">
        <f>SUM($C$3:C1627)</f>
        <v>7</v>
      </c>
      <c r="E1627" t="e">
        <f t="shared" si="76"/>
        <v>#N/A</v>
      </c>
      <c r="F1627" s="28" t="str">
        <f t="shared" ca="1" si="77"/>
        <v/>
      </c>
    </row>
    <row r="1628" spans="2:6" x14ac:dyDescent="0.2">
      <c r="B1628" t="str">
        <f>IFERROR(IF('PDCA review'!$D$2=Plan!B1629,Plan!G1629,""),"")</f>
        <v/>
      </c>
      <c r="C1628">
        <f t="shared" si="75"/>
        <v>0</v>
      </c>
      <c r="D1628">
        <f>SUM($C$3:C1628)</f>
        <v>7</v>
      </c>
      <c r="E1628" t="e">
        <f t="shared" si="76"/>
        <v>#N/A</v>
      </c>
      <c r="F1628" s="28" t="str">
        <f t="shared" ca="1" si="77"/>
        <v/>
      </c>
    </row>
    <row r="1629" spans="2:6" x14ac:dyDescent="0.2">
      <c r="B1629" t="str">
        <f>IFERROR(IF('PDCA review'!$D$2=Plan!B1630,Plan!G1630,""),"")</f>
        <v/>
      </c>
      <c r="C1629">
        <f t="shared" si="75"/>
        <v>0</v>
      </c>
      <c r="D1629">
        <f>SUM($C$3:C1629)</f>
        <v>7</v>
      </c>
      <c r="E1629" t="e">
        <f t="shared" si="76"/>
        <v>#N/A</v>
      </c>
      <c r="F1629" s="28" t="str">
        <f t="shared" ca="1" si="77"/>
        <v/>
      </c>
    </row>
    <row r="1630" spans="2:6" x14ac:dyDescent="0.2">
      <c r="B1630" t="str">
        <f>IFERROR(IF('PDCA review'!$D$2=Plan!B1631,Plan!G1631,""),"")</f>
        <v/>
      </c>
      <c r="C1630">
        <f t="shared" si="75"/>
        <v>0</v>
      </c>
      <c r="D1630">
        <f>SUM($C$3:C1630)</f>
        <v>7</v>
      </c>
      <c r="E1630" t="e">
        <f t="shared" si="76"/>
        <v>#N/A</v>
      </c>
      <c r="F1630" s="28" t="str">
        <f t="shared" ca="1" si="77"/>
        <v/>
      </c>
    </row>
    <row r="1631" spans="2:6" x14ac:dyDescent="0.2">
      <c r="B1631" t="str">
        <f>IFERROR(IF('PDCA review'!$D$2=Plan!B1632,Plan!G1632,""),"")</f>
        <v/>
      </c>
      <c r="C1631">
        <f t="shared" si="75"/>
        <v>0</v>
      </c>
      <c r="D1631">
        <f>SUM($C$3:C1631)</f>
        <v>7</v>
      </c>
      <c r="E1631" t="e">
        <f t="shared" si="76"/>
        <v>#N/A</v>
      </c>
      <c r="F1631" s="28" t="str">
        <f t="shared" ca="1" si="77"/>
        <v/>
      </c>
    </row>
    <row r="1632" spans="2:6" x14ac:dyDescent="0.2">
      <c r="B1632" t="str">
        <f>IFERROR(IF('PDCA review'!$D$2=Plan!B1633,Plan!G1633,""),"")</f>
        <v/>
      </c>
      <c r="C1632">
        <f t="shared" si="75"/>
        <v>0</v>
      </c>
      <c r="D1632">
        <f>SUM($C$3:C1632)</f>
        <v>7</v>
      </c>
      <c r="E1632" t="e">
        <f t="shared" si="76"/>
        <v>#N/A</v>
      </c>
      <c r="F1632" s="28" t="str">
        <f t="shared" ca="1" si="77"/>
        <v/>
      </c>
    </row>
    <row r="1633" spans="2:6" x14ac:dyDescent="0.2">
      <c r="B1633" t="str">
        <f>IFERROR(IF('PDCA review'!$D$2=Plan!B1634,Plan!G1634,""),"")</f>
        <v/>
      </c>
      <c r="C1633">
        <f t="shared" si="75"/>
        <v>0</v>
      </c>
      <c r="D1633">
        <f>SUM($C$3:C1633)</f>
        <v>7</v>
      </c>
      <c r="E1633" t="e">
        <f t="shared" si="76"/>
        <v>#N/A</v>
      </c>
      <c r="F1633" s="28" t="str">
        <f t="shared" ca="1" si="77"/>
        <v/>
      </c>
    </row>
    <row r="1634" spans="2:6" x14ac:dyDescent="0.2">
      <c r="B1634" t="str">
        <f>IFERROR(IF('PDCA review'!$D$2=Plan!B1635,Plan!G1635,""),"")</f>
        <v/>
      </c>
      <c r="C1634">
        <f t="shared" si="75"/>
        <v>0</v>
      </c>
      <c r="D1634">
        <f>SUM($C$3:C1634)</f>
        <v>7</v>
      </c>
      <c r="E1634" t="e">
        <f t="shared" si="76"/>
        <v>#N/A</v>
      </c>
      <c r="F1634" s="28" t="str">
        <f t="shared" ca="1" si="77"/>
        <v/>
      </c>
    </row>
    <row r="1635" spans="2:6" x14ac:dyDescent="0.2">
      <c r="B1635" t="str">
        <f>IFERROR(IF('PDCA review'!$D$2=Plan!B1636,Plan!G1636,""),"")</f>
        <v/>
      </c>
      <c r="C1635">
        <f t="shared" si="75"/>
        <v>0</v>
      </c>
      <c r="D1635">
        <f>SUM($C$3:C1635)</f>
        <v>7</v>
      </c>
      <c r="E1635" t="e">
        <f t="shared" si="76"/>
        <v>#N/A</v>
      </c>
      <c r="F1635" s="28" t="str">
        <f t="shared" ca="1" si="77"/>
        <v/>
      </c>
    </row>
    <row r="1636" spans="2:6" x14ac:dyDescent="0.2">
      <c r="B1636" t="str">
        <f>IFERROR(IF('PDCA review'!$D$2=Plan!B1637,Plan!G1637,""),"")</f>
        <v/>
      </c>
      <c r="C1636">
        <f t="shared" si="75"/>
        <v>0</v>
      </c>
      <c r="D1636">
        <f>SUM($C$3:C1636)</f>
        <v>7</v>
      </c>
      <c r="E1636" t="e">
        <f t="shared" si="76"/>
        <v>#N/A</v>
      </c>
      <c r="F1636" s="28" t="str">
        <f t="shared" ca="1" si="77"/>
        <v/>
      </c>
    </row>
    <row r="1637" spans="2:6" x14ac:dyDescent="0.2">
      <c r="B1637" t="str">
        <f>IFERROR(IF('PDCA review'!$D$2=Plan!B1638,Plan!G1638,""),"")</f>
        <v/>
      </c>
      <c r="C1637">
        <f t="shared" si="75"/>
        <v>0</v>
      </c>
      <c r="D1637">
        <f>SUM($C$3:C1637)</f>
        <v>7</v>
      </c>
      <c r="E1637" t="e">
        <f t="shared" si="76"/>
        <v>#N/A</v>
      </c>
      <c r="F1637" s="28" t="str">
        <f t="shared" ca="1" si="77"/>
        <v/>
      </c>
    </row>
    <row r="1638" spans="2:6" x14ac:dyDescent="0.2">
      <c r="B1638" t="str">
        <f>IFERROR(IF('PDCA review'!$D$2=Plan!B1639,Plan!G1639,""),"")</f>
        <v/>
      </c>
      <c r="C1638">
        <f t="shared" si="75"/>
        <v>0</v>
      </c>
      <c r="D1638">
        <f>SUM($C$3:C1638)</f>
        <v>7</v>
      </c>
      <c r="E1638" t="e">
        <f t="shared" si="76"/>
        <v>#N/A</v>
      </c>
      <c r="F1638" s="28" t="str">
        <f t="shared" ca="1" si="77"/>
        <v/>
      </c>
    </row>
    <row r="1639" spans="2:6" x14ac:dyDescent="0.2">
      <c r="B1639" t="str">
        <f>IFERROR(IF('PDCA review'!$D$2=Plan!B1640,Plan!G1640,""),"")</f>
        <v/>
      </c>
      <c r="C1639">
        <f t="shared" si="75"/>
        <v>0</v>
      </c>
      <c r="D1639">
        <f>SUM($C$3:C1639)</f>
        <v>7</v>
      </c>
      <c r="E1639" t="e">
        <f t="shared" si="76"/>
        <v>#N/A</v>
      </c>
      <c r="F1639" s="28" t="str">
        <f t="shared" ca="1" si="77"/>
        <v/>
      </c>
    </row>
    <row r="1640" spans="2:6" x14ac:dyDescent="0.2">
      <c r="B1640" t="str">
        <f>IFERROR(IF('PDCA review'!$D$2=Plan!B1641,Plan!G1641,""),"")</f>
        <v/>
      </c>
      <c r="C1640">
        <f t="shared" si="75"/>
        <v>0</v>
      </c>
      <c r="D1640">
        <f>SUM($C$3:C1640)</f>
        <v>7</v>
      </c>
      <c r="E1640" t="e">
        <f t="shared" si="76"/>
        <v>#N/A</v>
      </c>
      <c r="F1640" s="28" t="str">
        <f t="shared" ca="1" si="77"/>
        <v/>
      </c>
    </row>
    <row r="1641" spans="2:6" x14ac:dyDescent="0.2">
      <c r="B1641" t="str">
        <f>IFERROR(IF('PDCA review'!$D$2=Plan!B1642,Plan!G1642,""),"")</f>
        <v/>
      </c>
      <c r="C1641">
        <f t="shared" si="75"/>
        <v>0</v>
      </c>
      <c r="D1641">
        <f>SUM($C$3:C1641)</f>
        <v>7</v>
      </c>
      <c r="E1641" t="e">
        <f t="shared" si="76"/>
        <v>#N/A</v>
      </c>
      <c r="F1641" s="28" t="str">
        <f t="shared" ca="1" si="77"/>
        <v/>
      </c>
    </row>
    <row r="1642" spans="2:6" x14ac:dyDescent="0.2">
      <c r="B1642" t="str">
        <f>IFERROR(IF('PDCA review'!$D$2=Plan!B1643,Plan!G1643,""),"")</f>
        <v/>
      </c>
      <c r="C1642">
        <f t="shared" si="75"/>
        <v>0</v>
      </c>
      <c r="D1642">
        <f>SUM($C$3:C1642)</f>
        <v>7</v>
      </c>
      <c r="E1642" t="e">
        <f t="shared" si="76"/>
        <v>#N/A</v>
      </c>
      <c r="F1642" s="28" t="str">
        <f t="shared" ca="1" si="77"/>
        <v/>
      </c>
    </row>
    <row r="1643" spans="2:6" x14ac:dyDescent="0.2">
      <c r="B1643" t="str">
        <f>IFERROR(IF('PDCA review'!$D$2=Plan!B1644,Plan!G1644,""),"")</f>
        <v/>
      </c>
      <c r="C1643">
        <f t="shared" si="75"/>
        <v>0</v>
      </c>
      <c r="D1643">
        <f>SUM($C$3:C1643)</f>
        <v>7</v>
      </c>
      <c r="E1643" t="e">
        <f t="shared" si="76"/>
        <v>#N/A</v>
      </c>
      <c r="F1643" s="28" t="str">
        <f t="shared" ca="1" si="77"/>
        <v/>
      </c>
    </row>
    <row r="1644" spans="2:6" x14ac:dyDescent="0.2">
      <c r="B1644" t="str">
        <f>IFERROR(IF('PDCA review'!$D$2=Plan!B1645,Plan!G1645,""),"")</f>
        <v/>
      </c>
      <c r="C1644">
        <f t="shared" si="75"/>
        <v>0</v>
      </c>
      <c r="D1644">
        <f>SUM($C$3:C1644)</f>
        <v>7</v>
      </c>
      <c r="E1644" t="e">
        <f t="shared" si="76"/>
        <v>#N/A</v>
      </c>
      <c r="F1644" s="28" t="str">
        <f t="shared" ca="1" si="77"/>
        <v/>
      </c>
    </row>
    <row r="1645" spans="2:6" x14ac:dyDescent="0.2">
      <c r="B1645" t="str">
        <f>IFERROR(IF('PDCA review'!$D$2=Plan!B1646,Plan!G1646,""),"")</f>
        <v/>
      </c>
      <c r="C1645">
        <f t="shared" si="75"/>
        <v>0</v>
      </c>
      <c r="D1645">
        <f>SUM($C$3:C1645)</f>
        <v>7</v>
      </c>
      <c r="E1645" t="e">
        <f t="shared" si="76"/>
        <v>#N/A</v>
      </c>
      <c r="F1645" s="28" t="str">
        <f t="shared" ca="1" si="77"/>
        <v/>
      </c>
    </row>
    <row r="1646" spans="2:6" x14ac:dyDescent="0.2">
      <c r="B1646" t="str">
        <f>IFERROR(IF('PDCA review'!$D$2=Plan!B1647,Plan!G1647,""),"")</f>
        <v/>
      </c>
      <c r="C1646">
        <f t="shared" si="75"/>
        <v>0</v>
      </c>
      <c r="D1646">
        <f>SUM($C$3:C1646)</f>
        <v>7</v>
      </c>
      <c r="E1646" t="e">
        <f t="shared" si="76"/>
        <v>#N/A</v>
      </c>
      <c r="F1646" s="28" t="str">
        <f t="shared" ca="1" si="77"/>
        <v/>
      </c>
    </row>
    <row r="1647" spans="2:6" x14ac:dyDescent="0.2">
      <c r="B1647" t="str">
        <f>IFERROR(IF('PDCA review'!$D$2=Plan!B1648,Plan!G1648,""),"")</f>
        <v/>
      </c>
      <c r="C1647">
        <f t="shared" si="75"/>
        <v>0</v>
      </c>
      <c r="D1647">
        <f>SUM($C$3:C1647)</f>
        <v>7</v>
      </c>
      <c r="E1647" t="e">
        <f t="shared" si="76"/>
        <v>#N/A</v>
      </c>
      <c r="F1647" s="28" t="str">
        <f t="shared" ca="1" si="77"/>
        <v/>
      </c>
    </row>
    <row r="1648" spans="2:6" x14ac:dyDescent="0.2">
      <c r="B1648" t="str">
        <f>IFERROR(IF('PDCA review'!$D$2=Plan!B1649,Plan!G1649,""),"")</f>
        <v/>
      </c>
      <c r="C1648">
        <f t="shared" si="75"/>
        <v>0</v>
      </c>
      <c r="D1648">
        <f>SUM($C$3:C1648)</f>
        <v>7</v>
      </c>
      <c r="E1648" t="e">
        <f t="shared" si="76"/>
        <v>#N/A</v>
      </c>
      <c r="F1648" s="28" t="str">
        <f t="shared" ca="1" si="77"/>
        <v/>
      </c>
    </row>
    <row r="1649" spans="2:6" x14ac:dyDescent="0.2">
      <c r="B1649" t="str">
        <f>IFERROR(IF('PDCA review'!$D$2=Plan!B1650,Plan!G1650,""),"")</f>
        <v/>
      </c>
      <c r="C1649">
        <f t="shared" si="75"/>
        <v>0</v>
      </c>
      <c r="D1649">
        <f>SUM($C$3:C1649)</f>
        <v>7</v>
      </c>
      <c r="E1649" t="e">
        <f t="shared" si="76"/>
        <v>#N/A</v>
      </c>
      <c r="F1649" s="28" t="str">
        <f t="shared" ca="1" si="77"/>
        <v/>
      </c>
    </row>
    <row r="1650" spans="2:6" x14ac:dyDescent="0.2">
      <c r="B1650" t="str">
        <f>IFERROR(IF('PDCA review'!$D$2=Plan!B1651,Plan!G1651,""),"")</f>
        <v/>
      </c>
      <c r="C1650">
        <f t="shared" si="75"/>
        <v>0</v>
      </c>
      <c r="D1650">
        <f>SUM($C$3:C1650)</f>
        <v>7</v>
      </c>
      <c r="E1650" t="e">
        <f t="shared" si="76"/>
        <v>#N/A</v>
      </c>
      <c r="F1650" s="28" t="str">
        <f t="shared" ca="1" si="77"/>
        <v/>
      </c>
    </row>
    <row r="1651" spans="2:6" x14ac:dyDescent="0.2">
      <c r="B1651" t="str">
        <f>IFERROR(IF('PDCA review'!$D$2=Plan!B1652,Plan!G1652,""),"")</f>
        <v/>
      </c>
      <c r="C1651">
        <f t="shared" si="75"/>
        <v>0</v>
      </c>
      <c r="D1651">
        <f>SUM($C$3:C1651)</f>
        <v>7</v>
      </c>
      <c r="E1651" t="e">
        <f t="shared" si="76"/>
        <v>#N/A</v>
      </c>
      <c r="F1651" s="28" t="str">
        <f t="shared" ca="1" si="77"/>
        <v/>
      </c>
    </row>
    <row r="1652" spans="2:6" x14ac:dyDescent="0.2">
      <c r="B1652" t="str">
        <f>IFERROR(IF('PDCA review'!$D$2=Plan!B1653,Plan!G1653,""),"")</f>
        <v/>
      </c>
      <c r="C1652">
        <f t="shared" si="75"/>
        <v>0</v>
      </c>
      <c r="D1652">
        <f>SUM($C$3:C1652)</f>
        <v>7</v>
      </c>
      <c r="E1652" t="e">
        <f t="shared" si="76"/>
        <v>#N/A</v>
      </c>
      <c r="F1652" s="28" t="str">
        <f t="shared" ca="1" si="77"/>
        <v/>
      </c>
    </row>
    <row r="1653" spans="2:6" x14ac:dyDescent="0.2">
      <c r="B1653" t="str">
        <f>IFERROR(IF('PDCA review'!$D$2=Plan!B1654,Plan!G1654,""),"")</f>
        <v/>
      </c>
      <c r="C1653">
        <f t="shared" si="75"/>
        <v>0</v>
      </c>
      <c r="D1653">
        <f>SUM($C$3:C1653)</f>
        <v>7</v>
      </c>
      <c r="E1653" t="e">
        <f t="shared" si="76"/>
        <v>#N/A</v>
      </c>
      <c r="F1653" s="28" t="str">
        <f t="shared" ca="1" si="77"/>
        <v/>
      </c>
    </row>
    <row r="1654" spans="2:6" x14ac:dyDescent="0.2">
      <c r="B1654" t="str">
        <f>IFERROR(IF('PDCA review'!$D$2=Plan!B1655,Plan!G1655,""),"")</f>
        <v/>
      </c>
      <c r="C1654">
        <f t="shared" si="75"/>
        <v>0</v>
      </c>
      <c r="D1654">
        <f>SUM($C$3:C1654)</f>
        <v>7</v>
      </c>
      <c r="E1654" t="e">
        <f t="shared" si="76"/>
        <v>#N/A</v>
      </c>
      <c r="F1654" s="28" t="str">
        <f t="shared" ca="1" si="77"/>
        <v/>
      </c>
    </row>
    <row r="1655" spans="2:6" x14ac:dyDescent="0.2">
      <c r="B1655" t="str">
        <f>IFERROR(IF('PDCA review'!$D$2=Plan!B1656,Plan!G1656,""),"")</f>
        <v/>
      </c>
      <c r="C1655">
        <f t="shared" si="75"/>
        <v>0</v>
      </c>
      <c r="D1655">
        <f>SUM($C$3:C1655)</f>
        <v>7</v>
      </c>
      <c r="E1655" t="e">
        <f t="shared" si="76"/>
        <v>#N/A</v>
      </c>
      <c r="F1655" s="28" t="str">
        <f t="shared" ca="1" si="77"/>
        <v/>
      </c>
    </row>
    <row r="1656" spans="2:6" x14ac:dyDescent="0.2">
      <c r="B1656" t="str">
        <f>IFERROR(IF('PDCA review'!$D$2=Plan!B1657,Plan!G1657,""),"")</f>
        <v/>
      </c>
      <c r="C1656">
        <f t="shared" si="75"/>
        <v>0</v>
      </c>
      <c r="D1656">
        <f>SUM($C$3:C1656)</f>
        <v>7</v>
      </c>
      <c r="E1656" t="e">
        <f t="shared" si="76"/>
        <v>#N/A</v>
      </c>
      <c r="F1656" s="28" t="str">
        <f t="shared" ca="1" si="77"/>
        <v/>
      </c>
    </row>
    <row r="1657" spans="2:6" x14ac:dyDescent="0.2">
      <c r="B1657" t="str">
        <f>IFERROR(IF('PDCA review'!$D$2=Plan!B1658,Plan!G1658,""),"")</f>
        <v/>
      </c>
      <c r="C1657">
        <f t="shared" si="75"/>
        <v>0</v>
      </c>
      <c r="D1657">
        <f>SUM($C$3:C1657)</f>
        <v>7</v>
      </c>
      <c r="E1657" t="e">
        <f t="shared" si="76"/>
        <v>#N/A</v>
      </c>
      <c r="F1657" s="28" t="str">
        <f t="shared" ca="1" si="77"/>
        <v/>
      </c>
    </row>
    <row r="1658" spans="2:6" x14ac:dyDescent="0.2">
      <c r="B1658" t="str">
        <f>IFERROR(IF('PDCA review'!$D$2=Plan!B1659,Plan!G1659,""),"")</f>
        <v/>
      </c>
      <c r="C1658">
        <f t="shared" si="75"/>
        <v>0</v>
      </c>
      <c r="D1658">
        <f>SUM($C$3:C1658)</f>
        <v>7</v>
      </c>
      <c r="E1658" t="e">
        <f t="shared" si="76"/>
        <v>#N/A</v>
      </c>
      <c r="F1658" s="28" t="str">
        <f t="shared" ca="1" si="77"/>
        <v/>
      </c>
    </row>
    <row r="1659" spans="2:6" x14ac:dyDescent="0.2">
      <c r="B1659" t="str">
        <f>IFERROR(IF('PDCA review'!$D$2=Plan!B1660,Plan!G1660,""),"")</f>
        <v/>
      </c>
      <c r="C1659">
        <f t="shared" si="75"/>
        <v>0</v>
      </c>
      <c r="D1659">
        <f>SUM($C$3:C1659)</f>
        <v>7</v>
      </c>
      <c r="E1659" t="e">
        <f t="shared" si="76"/>
        <v>#N/A</v>
      </c>
      <c r="F1659" s="28" t="str">
        <f t="shared" ca="1" si="77"/>
        <v/>
      </c>
    </row>
    <row r="1660" spans="2:6" x14ac:dyDescent="0.2">
      <c r="B1660" t="str">
        <f>IFERROR(IF('PDCA review'!$D$2=Plan!B1661,Plan!G1661,""),"")</f>
        <v/>
      </c>
      <c r="C1660">
        <f t="shared" si="75"/>
        <v>0</v>
      </c>
      <c r="D1660">
        <f>SUM($C$3:C1660)</f>
        <v>7</v>
      </c>
      <c r="E1660" t="e">
        <f t="shared" si="76"/>
        <v>#N/A</v>
      </c>
      <c r="F1660" s="28" t="str">
        <f t="shared" ca="1" si="77"/>
        <v/>
      </c>
    </row>
    <row r="1661" spans="2:6" x14ac:dyDescent="0.2">
      <c r="B1661" t="str">
        <f>IFERROR(IF('PDCA review'!$D$2=Plan!B1662,Plan!G1662,""),"")</f>
        <v/>
      </c>
      <c r="C1661">
        <f t="shared" si="75"/>
        <v>0</v>
      </c>
      <c r="D1661">
        <f>SUM($C$3:C1661)</f>
        <v>7</v>
      </c>
      <c r="E1661" t="e">
        <f t="shared" si="76"/>
        <v>#N/A</v>
      </c>
      <c r="F1661" s="28" t="str">
        <f t="shared" ca="1" si="77"/>
        <v/>
      </c>
    </row>
    <row r="1662" spans="2:6" x14ac:dyDescent="0.2">
      <c r="B1662" t="str">
        <f>IFERROR(IF('PDCA review'!$D$2=Plan!B1663,Plan!G1663,""),"")</f>
        <v/>
      </c>
      <c r="C1662">
        <f t="shared" si="75"/>
        <v>0</v>
      </c>
      <c r="D1662">
        <f>SUM($C$3:C1662)</f>
        <v>7</v>
      </c>
      <c r="E1662" t="e">
        <f t="shared" si="76"/>
        <v>#N/A</v>
      </c>
      <c r="F1662" s="28" t="str">
        <f t="shared" ca="1" si="77"/>
        <v/>
      </c>
    </row>
    <row r="1663" spans="2:6" x14ac:dyDescent="0.2">
      <c r="B1663" t="str">
        <f>IFERROR(IF('PDCA review'!$D$2=Plan!B1664,Plan!G1664,""),"")</f>
        <v/>
      </c>
      <c r="C1663">
        <f t="shared" si="75"/>
        <v>0</v>
      </c>
      <c r="D1663">
        <f>SUM($C$3:C1663)</f>
        <v>7</v>
      </c>
      <c r="E1663" t="e">
        <f t="shared" si="76"/>
        <v>#N/A</v>
      </c>
      <c r="F1663" s="28" t="str">
        <f t="shared" ca="1" si="77"/>
        <v/>
      </c>
    </row>
    <row r="1664" spans="2:6" x14ac:dyDescent="0.2">
      <c r="B1664" t="str">
        <f>IFERROR(IF('PDCA review'!$D$2=Plan!B1665,Plan!G1665,""),"")</f>
        <v/>
      </c>
      <c r="C1664">
        <f t="shared" si="75"/>
        <v>0</v>
      </c>
      <c r="D1664">
        <f>SUM($C$3:C1664)</f>
        <v>7</v>
      </c>
      <c r="E1664" t="e">
        <f t="shared" si="76"/>
        <v>#N/A</v>
      </c>
      <c r="F1664" s="28" t="str">
        <f t="shared" ca="1" si="77"/>
        <v/>
      </c>
    </row>
    <row r="1665" spans="2:6" x14ac:dyDescent="0.2">
      <c r="B1665" t="str">
        <f>IFERROR(IF('PDCA review'!$D$2=Plan!B1666,Plan!G1666,""),"")</f>
        <v/>
      </c>
      <c r="C1665">
        <f t="shared" si="75"/>
        <v>0</v>
      </c>
      <c r="D1665">
        <f>SUM($C$3:C1665)</f>
        <v>7</v>
      </c>
      <c r="E1665" t="e">
        <f t="shared" si="76"/>
        <v>#N/A</v>
      </c>
      <c r="F1665" s="28" t="str">
        <f t="shared" ca="1" si="77"/>
        <v/>
      </c>
    </row>
    <row r="1666" spans="2:6" x14ac:dyDescent="0.2">
      <c r="B1666" t="str">
        <f>IFERROR(IF('PDCA review'!$D$2=Plan!B1667,Plan!G1667,""),"")</f>
        <v/>
      </c>
      <c r="C1666">
        <f t="shared" si="75"/>
        <v>0</v>
      </c>
      <c r="D1666">
        <f>SUM($C$3:C1666)</f>
        <v>7</v>
      </c>
      <c r="E1666" t="e">
        <f t="shared" si="76"/>
        <v>#N/A</v>
      </c>
      <c r="F1666" s="28" t="str">
        <f t="shared" ca="1" si="77"/>
        <v/>
      </c>
    </row>
    <row r="1667" spans="2:6" x14ac:dyDescent="0.2">
      <c r="B1667" t="str">
        <f>IFERROR(IF('PDCA review'!$D$2=Plan!B1668,Plan!G1668,""),"")</f>
        <v/>
      </c>
      <c r="C1667">
        <f t="shared" si="75"/>
        <v>0</v>
      </c>
      <c r="D1667">
        <f>SUM($C$3:C1667)</f>
        <v>7</v>
      </c>
      <c r="E1667" t="e">
        <f t="shared" si="76"/>
        <v>#N/A</v>
      </c>
      <c r="F1667" s="28" t="str">
        <f t="shared" ca="1" si="77"/>
        <v/>
      </c>
    </row>
    <row r="1668" spans="2:6" x14ac:dyDescent="0.2">
      <c r="B1668" t="str">
        <f>IFERROR(IF('PDCA review'!$D$2=Plan!B1669,Plan!G1669,""),"")</f>
        <v/>
      </c>
      <c r="C1668">
        <f t="shared" ref="C1668:C1731" si="78">IF(B1668&lt;&gt;"",1,0)</f>
        <v>0</v>
      </c>
      <c r="D1668">
        <f>SUM($C$3:C1668)</f>
        <v>7</v>
      </c>
      <c r="E1668" t="e">
        <f t="shared" ref="E1668:E1731" si="79">MATCH(ROW()-$D$2,$D$3:$D$2000,0)+$D$2</f>
        <v>#N/A</v>
      </c>
      <c r="F1668" s="28" t="str">
        <f t="shared" ref="F1668:F1731" ca="1" si="80">IFERROR(INDIRECT("B"&amp;E1668),"")</f>
        <v/>
      </c>
    </row>
    <row r="1669" spans="2:6" x14ac:dyDescent="0.2">
      <c r="B1669" t="str">
        <f>IFERROR(IF('PDCA review'!$D$2=Plan!B1670,Plan!G1670,""),"")</f>
        <v/>
      </c>
      <c r="C1669">
        <f t="shared" si="78"/>
        <v>0</v>
      </c>
      <c r="D1669">
        <f>SUM($C$3:C1669)</f>
        <v>7</v>
      </c>
      <c r="E1669" t="e">
        <f t="shared" si="79"/>
        <v>#N/A</v>
      </c>
      <c r="F1669" s="28" t="str">
        <f t="shared" ca="1" si="80"/>
        <v/>
      </c>
    </row>
    <row r="1670" spans="2:6" x14ac:dyDescent="0.2">
      <c r="B1670" t="str">
        <f>IFERROR(IF('PDCA review'!$D$2=Plan!B1671,Plan!G1671,""),"")</f>
        <v/>
      </c>
      <c r="C1670">
        <f t="shared" si="78"/>
        <v>0</v>
      </c>
      <c r="D1670">
        <f>SUM($C$3:C1670)</f>
        <v>7</v>
      </c>
      <c r="E1670" t="e">
        <f t="shared" si="79"/>
        <v>#N/A</v>
      </c>
      <c r="F1670" s="28" t="str">
        <f t="shared" ca="1" si="80"/>
        <v/>
      </c>
    </row>
    <row r="1671" spans="2:6" x14ac:dyDescent="0.2">
      <c r="B1671" t="str">
        <f>IFERROR(IF('PDCA review'!$D$2=Plan!B1672,Plan!G1672,""),"")</f>
        <v/>
      </c>
      <c r="C1671">
        <f t="shared" si="78"/>
        <v>0</v>
      </c>
      <c r="D1671">
        <f>SUM($C$3:C1671)</f>
        <v>7</v>
      </c>
      <c r="E1671" t="e">
        <f t="shared" si="79"/>
        <v>#N/A</v>
      </c>
      <c r="F1671" s="28" t="str">
        <f t="shared" ca="1" si="80"/>
        <v/>
      </c>
    </row>
    <row r="1672" spans="2:6" x14ac:dyDescent="0.2">
      <c r="B1672" t="str">
        <f>IFERROR(IF('PDCA review'!$D$2=Plan!B1673,Plan!G1673,""),"")</f>
        <v/>
      </c>
      <c r="C1672">
        <f t="shared" si="78"/>
        <v>0</v>
      </c>
      <c r="D1672">
        <f>SUM($C$3:C1672)</f>
        <v>7</v>
      </c>
      <c r="E1672" t="e">
        <f t="shared" si="79"/>
        <v>#N/A</v>
      </c>
      <c r="F1672" s="28" t="str">
        <f t="shared" ca="1" si="80"/>
        <v/>
      </c>
    </row>
    <row r="1673" spans="2:6" x14ac:dyDescent="0.2">
      <c r="B1673" t="str">
        <f>IFERROR(IF('PDCA review'!$D$2=Plan!B1674,Plan!G1674,""),"")</f>
        <v/>
      </c>
      <c r="C1673">
        <f t="shared" si="78"/>
        <v>0</v>
      </c>
      <c r="D1673">
        <f>SUM($C$3:C1673)</f>
        <v>7</v>
      </c>
      <c r="E1673" t="e">
        <f t="shared" si="79"/>
        <v>#N/A</v>
      </c>
      <c r="F1673" s="28" t="str">
        <f t="shared" ca="1" si="80"/>
        <v/>
      </c>
    </row>
    <row r="1674" spans="2:6" x14ac:dyDescent="0.2">
      <c r="B1674" t="str">
        <f>IFERROR(IF('PDCA review'!$D$2=Plan!B1675,Plan!G1675,""),"")</f>
        <v/>
      </c>
      <c r="C1674">
        <f t="shared" si="78"/>
        <v>0</v>
      </c>
      <c r="D1674">
        <f>SUM($C$3:C1674)</f>
        <v>7</v>
      </c>
      <c r="E1674" t="e">
        <f t="shared" si="79"/>
        <v>#N/A</v>
      </c>
      <c r="F1674" s="28" t="str">
        <f t="shared" ca="1" si="80"/>
        <v/>
      </c>
    </row>
    <row r="1675" spans="2:6" x14ac:dyDescent="0.2">
      <c r="B1675" t="str">
        <f>IFERROR(IF('PDCA review'!$D$2=Plan!B1676,Plan!G1676,""),"")</f>
        <v/>
      </c>
      <c r="C1675">
        <f t="shared" si="78"/>
        <v>0</v>
      </c>
      <c r="D1675">
        <f>SUM($C$3:C1675)</f>
        <v>7</v>
      </c>
      <c r="E1675" t="e">
        <f t="shared" si="79"/>
        <v>#N/A</v>
      </c>
      <c r="F1675" s="28" t="str">
        <f t="shared" ca="1" si="80"/>
        <v/>
      </c>
    </row>
    <row r="1676" spans="2:6" x14ac:dyDescent="0.2">
      <c r="B1676" t="str">
        <f>IFERROR(IF('PDCA review'!$D$2=Plan!B1677,Plan!G1677,""),"")</f>
        <v/>
      </c>
      <c r="C1676">
        <f t="shared" si="78"/>
        <v>0</v>
      </c>
      <c r="D1676">
        <f>SUM($C$3:C1676)</f>
        <v>7</v>
      </c>
      <c r="E1676" t="e">
        <f t="shared" si="79"/>
        <v>#N/A</v>
      </c>
      <c r="F1676" s="28" t="str">
        <f t="shared" ca="1" si="80"/>
        <v/>
      </c>
    </row>
    <row r="1677" spans="2:6" x14ac:dyDescent="0.2">
      <c r="B1677" t="str">
        <f>IFERROR(IF('PDCA review'!$D$2=Plan!B1678,Plan!G1678,""),"")</f>
        <v/>
      </c>
      <c r="C1677">
        <f t="shared" si="78"/>
        <v>0</v>
      </c>
      <c r="D1677">
        <f>SUM($C$3:C1677)</f>
        <v>7</v>
      </c>
      <c r="E1677" t="e">
        <f t="shared" si="79"/>
        <v>#N/A</v>
      </c>
      <c r="F1677" s="28" t="str">
        <f t="shared" ca="1" si="80"/>
        <v/>
      </c>
    </row>
    <row r="1678" spans="2:6" x14ac:dyDescent="0.2">
      <c r="B1678" t="str">
        <f>IFERROR(IF('PDCA review'!$D$2=Plan!B1679,Plan!G1679,""),"")</f>
        <v/>
      </c>
      <c r="C1678">
        <f t="shared" si="78"/>
        <v>0</v>
      </c>
      <c r="D1678">
        <f>SUM($C$3:C1678)</f>
        <v>7</v>
      </c>
      <c r="E1678" t="e">
        <f t="shared" si="79"/>
        <v>#N/A</v>
      </c>
      <c r="F1678" s="28" t="str">
        <f t="shared" ca="1" si="80"/>
        <v/>
      </c>
    </row>
    <row r="1679" spans="2:6" x14ac:dyDescent="0.2">
      <c r="B1679" t="str">
        <f>IFERROR(IF('PDCA review'!$D$2=Plan!B1680,Plan!G1680,""),"")</f>
        <v/>
      </c>
      <c r="C1679">
        <f t="shared" si="78"/>
        <v>0</v>
      </c>
      <c r="D1679">
        <f>SUM($C$3:C1679)</f>
        <v>7</v>
      </c>
      <c r="E1679" t="e">
        <f t="shared" si="79"/>
        <v>#N/A</v>
      </c>
      <c r="F1679" s="28" t="str">
        <f t="shared" ca="1" si="80"/>
        <v/>
      </c>
    </row>
    <row r="1680" spans="2:6" x14ac:dyDescent="0.2">
      <c r="B1680" t="str">
        <f>IFERROR(IF('PDCA review'!$D$2=Plan!B1681,Plan!G1681,""),"")</f>
        <v/>
      </c>
      <c r="C1680">
        <f t="shared" si="78"/>
        <v>0</v>
      </c>
      <c r="D1680">
        <f>SUM($C$3:C1680)</f>
        <v>7</v>
      </c>
      <c r="E1680" t="e">
        <f t="shared" si="79"/>
        <v>#N/A</v>
      </c>
      <c r="F1680" s="28" t="str">
        <f t="shared" ca="1" si="80"/>
        <v/>
      </c>
    </row>
    <row r="1681" spans="2:6" x14ac:dyDescent="0.2">
      <c r="B1681" t="str">
        <f>IFERROR(IF('PDCA review'!$D$2=Plan!B1682,Plan!G1682,""),"")</f>
        <v/>
      </c>
      <c r="C1681">
        <f t="shared" si="78"/>
        <v>0</v>
      </c>
      <c r="D1681">
        <f>SUM($C$3:C1681)</f>
        <v>7</v>
      </c>
      <c r="E1681" t="e">
        <f t="shared" si="79"/>
        <v>#N/A</v>
      </c>
      <c r="F1681" s="28" t="str">
        <f t="shared" ca="1" si="80"/>
        <v/>
      </c>
    </row>
    <row r="1682" spans="2:6" x14ac:dyDescent="0.2">
      <c r="B1682" t="str">
        <f>IFERROR(IF('PDCA review'!$D$2=Plan!B1683,Plan!G1683,""),"")</f>
        <v/>
      </c>
      <c r="C1682">
        <f t="shared" si="78"/>
        <v>0</v>
      </c>
      <c r="D1682">
        <f>SUM($C$3:C1682)</f>
        <v>7</v>
      </c>
      <c r="E1682" t="e">
        <f t="shared" si="79"/>
        <v>#N/A</v>
      </c>
      <c r="F1682" s="28" t="str">
        <f t="shared" ca="1" si="80"/>
        <v/>
      </c>
    </row>
    <row r="1683" spans="2:6" x14ac:dyDescent="0.2">
      <c r="B1683" t="str">
        <f>IFERROR(IF('PDCA review'!$D$2=Plan!B1684,Plan!G1684,""),"")</f>
        <v/>
      </c>
      <c r="C1683">
        <f t="shared" si="78"/>
        <v>0</v>
      </c>
      <c r="D1683">
        <f>SUM($C$3:C1683)</f>
        <v>7</v>
      </c>
      <c r="E1683" t="e">
        <f t="shared" si="79"/>
        <v>#N/A</v>
      </c>
      <c r="F1683" s="28" t="str">
        <f t="shared" ca="1" si="80"/>
        <v/>
      </c>
    </row>
    <row r="1684" spans="2:6" x14ac:dyDescent="0.2">
      <c r="B1684" t="str">
        <f>IFERROR(IF('PDCA review'!$D$2=Plan!B1685,Plan!G1685,""),"")</f>
        <v/>
      </c>
      <c r="C1684">
        <f t="shared" si="78"/>
        <v>0</v>
      </c>
      <c r="D1684">
        <f>SUM($C$3:C1684)</f>
        <v>7</v>
      </c>
      <c r="E1684" t="e">
        <f t="shared" si="79"/>
        <v>#N/A</v>
      </c>
      <c r="F1684" s="28" t="str">
        <f t="shared" ca="1" si="80"/>
        <v/>
      </c>
    </row>
    <row r="1685" spans="2:6" x14ac:dyDescent="0.2">
      <c r="B1685" t="str">
        <f>IFERROR(IF('PDCA review'!$D$2=Plan!B1686,Plan!G1686,""),"")</f>
        <v/>
      </c>
      <c r="C1685">
        <f t="shared" si="78"/>
        <v>0</v>
      </c>
      <c r="D1685">
        <f>SUM($C$3:C1685)</f>
        <v>7</v>
      </c>
      <c r="E1685" t="e">
        <f t="shared" si="79"/>
        <v>#N/A</v>
      </c>
      <c r="F1685" s="28" t="str">
        <f t="shared" ca="1" si="80"/>
        <v/>
      </c>
    </row>
    <row r="1686" spans="2:6" x14ac:dyDescent="0.2">
      <c r="B1686" t="str">
        <f>IFERROR(IF('PDCA review'!$D$2=Plan!B1687,Plan!G1687,""),"")</f>
        <v/>
      </c>
      <c r="C1686">
        <f t="shared" si="78"/>
        <v>0</v>
      </c>
      <c r="D1686">
        <f>SUM($C$3:C1686)</f>
        <v>7</v>
      </c>
      <c r="E1686" t="e">
        <f t="shared" si="79"/>
        <v>#N/A</v>
      </c>
      <c r="F1686" s="28" t="str">
        <f t="shared" ca="1" si="80"/>
        <v/>
      </c>
    </row>
    <row r="1687" spans="2:6" x14ac:dyDescent="0.2">
      <c r="B1687" t="str">
        <f>IFERROR(IF('PDCA review'!$D$2=Plan!B1688,Plan!G1688,""),"")</f>
        <v/>
      </c>
      <c r="C1687">
        <f t="shared" si="78"/>
        <v>0</v>
      </c>
      <c r="D1687">
        <f>SUM($C$3:C1687)</f>
        <v>7</v>
      </c>
      <c r="E1687" t="e">
        <f t="shared" si="79"/>
        <v>#N/A</v>
      </c>
      <c r="F1687" s="28" t="str">
        <f t="shared" ca="1" si="80"/>
        <v/>
      </c>
    </row>
    <row r="1688" spans="2:6" x14ac:dyDescent="0.2">
      <c r="B1688" t="str">
        <f>IFERROR(IF('PDCA review'!$D$2=Plan!B1689,Plan!G1689,""),"")</f>
        <v/>
      </c>
      <c r="C1688">
        <f t="shared" si="78"/>
        <v>0</v>
      </c>
      <c r="D1688">
        <f>SUM($C$3:C1688)</f>
        <v>7</v>
      </c>
      <c r="E1688" t="e">
        <f t="shared" si="79"/>
        <v>#N/A</v>
      </c>
      <c r="F1688" s="28" t="str">
        <f t="shared" ca="1" si="80"/>
        <v/>
      </c>
    </row>
    <row r="1689" spans="2:6" x14ac:dyDescent="0.2">
      <c r="B1689" t="str">
        <f>IFERROR(IF('PDCA review'!$D$2=Plan!B1690,Plan!G1690,""),"")</f>
        <v/>
      </c>
      <c r="C1689">
        <f t="shared" si="78"/>
        <v>0</v>
      </c>
      <c r="D1689">
        <f>SUM($C$3:C1689)</f>
        <v>7</v>
      </c>
      <c r="E1689" t="e">
        <f t="shared" si="79"/>
        <v>#N/A</v>
      </c>
      <c r="F1689" s="28" t="str">
        <f t="shared" ca="1" si="80"/>
        <v/>
      </c>
    </row>
    <row r="1690" spans="2:6" x14ac:dyDescent="0.2">
      <c r="B1690" t="str">
        <f>IFERROR(IF('PDCA review'!$D$2=Plan!B1691,Plan!G1691,""),"")</f>
        <v/>
      </c>
      <c r="C1690">
        <f t="shared" si="78"/>
        <v>0</v>
      </c>
      <c r="D1690">
        <f>SUM($C$3:C1690)</f>
        <v>7</v>
      </c>
      <c r="E1690" t="e">
        <f t="shared" si="79"/>
        <v>#N/A</v>
      </c>
      <c r="F1690" s="28" t="str">
        <f t="shared" ca="1" si="80"/>
        <v/>
      </c>
    </row>
    <row r="1691" spans="2:6" x14ac:dyDescent="0.2">
      <c r="B1691" t="str">
        <f>IFERROR(IF('PDCA review'!$D$2=Plan!B1692,Plan!G1692,""),"")</f>
        <v/>
      </c>
      <c r="C1691">
        <f t="shared" si="78"/>
        <v>0</v>
      </c>
      <c r="D1691">
        <f>SUM($C$3:C1691)</f>
        <v>7</v>
      </c>
      <c r="E1691" t="e">
        <f t="shared" si="79"/>
        <v>#N/A</v>
      </c>
      <c r="F1691" s="28" t="str">
        <f t="shared" ca="1" si="80"/>
        <v/>
      </c>
    </row>
    <row r="1692" spans="2:6" x14ac:dyDescent="0.2">
      <c r="B1692" t="str">
        <f>IFERROR(IF('PDCA review'!$D$2=Plan!B1693,Plan!G1693,""),"")</f>
        <v/>
      </c>
      <c r="C1692">
        <f t="shared" si="78"/>
        <v>0</v>
      </c>
      <c r="D1692">
        <f>SUM($C$3:C1692)</f>
        <v>7</v>
      </c>
      <c r="E1692" t="e">
        <f t="shared" si="79"/>
        <v>#N/A</v>
      </c>
      <c r="F1692" s="28" t="str">
        <f t="shared" ca="1" si="80"/>
        <v/>
      </c>
    </row>
    <row r="1693" spans="2:6" x14ac:dyDescent="0.2">
      <c r="B1693" t="str">
        <f>IFERROR(IF('PDCA review'!$D$2=Plan!B1694,Plan!G1694,""),"")</f>
        <v/>
      </c>
      <c r="C1693">
        <f t="shared" si="78"/>
        <v>0</v>
      </c>
      <c r="D1693">
        <f>SUM($C$3:C1693)</f>
        <v>7</v>
      </c>
      <c r="E1693" t="e">
        <f t="shared" si="79"/>
        <v>#N/A</v>
      </c>
      <c r="F1693" s="28" t="str">
        <f t="shared" ca="1" si="80"/>
        <v/>
      </c>
    </row>
    <row r="1694" spans="2:6" x14ac:dyDescent="0.2">
      <c r="B1694" t="str">
        <f>IFERROR(IF('PDCA review'!$D$2=Plan!B1695,Plan!G1695,""),"")</f>
        <v/>
      </c>
      <c r="C1694">
        <f t="shared" si="78"/>
        <v>0</v>
      </c>
      <c r="D1694">
        <f>SUM($C$3:C1694)</f>
        <v>7</v>
      </c>
      <c r="E1694" t="e">
        <f t="shared" si="79"/>
        <v>#N/A</v>
      </c>
      <c r="F1694" s="28" t="str">
        <f t="shared" ca="1" si="80"/>
        <v/>
      </c>
    </row>
    <row r="1695" spans="2:6" x14ac:dyDescent="0.2">
      <c r="B1695" t="str">
        <f>IFERROR(IF('PDCA review'!$D$2=Plan!B1696,Plan!G1696,""),"")</f>
        <v/>
      </c>
      <c r="C1695">
        <f t="shared" si="78"/>
        <v>0</v>
      </c>
      <c r="D1695">
        <f>SUM($C$3:C1695)</f>
        <v>7</v>
      </c>
      <c r="E1695" t="e">
        <f t="shared" si="79"/>
        <v>#N/A</v>
      </c>
      <c r="F1695" s="28" t="str">
        <f t="shared" ca="1" si="80"/>
        <v/>
      </c>
    </row>
    <row r="1696" spans="2:6" x14ac:dyDescent="0.2">
      <c r="B1696" t="str">
        <f>IFERROR(IF('PDCA review'!$D$2=Plan!B1697,Plan!G1697,""),"")</f>
        <v/>
      </c>
      <c r="C1696">
        <f t="shared" si="78"/>
        <v>0</v>
      </c>
      <c r="D1696">
        <f>SUM($C$3:C1696)</f>
        <v>7</v>
      </c>
      <c r="E1696" t="e">
        <f t="shared" si="79"/>
        <v>#N/A</v>
      </c>
      <c r="F1696" s="28" t="str">
        <f t="shared" ca="1" si="80"/>
        <v/>
      </c>
    </row>
    <row r="1697" spans="2:6" x14ac:dyDescent="0.2">
      <c r="B1697" t="str">
        <f>IFERROR(IF('PDCA review'!$D$2=Plan!B1698,Plan!G1698,""),"")</f>
        <v/>
      </c>
      <c r="C1697">
        <f t="shared" si="78"/>
        <v>0</v>
      </c>
      <c r="D1697">
        <f>SUM($C$3:C1697)</f>
        <v>7</v>
      </c>
      <c r="E1697" t="e">
        <f t="shared" si="79"/>
        <v>#N/A</v>
      </c>
      <c r="F1697" s="28" t="str">
        <f t="shared" ca="1" si="80"/>
        <v/>
      </c>
    </row>
    <row r="1698" spans="2:6" x14ac:dyDescent="0.2">
      <c r="B1698" t="str">
        <f>IFERROR(IF('PDCA review'!$D$2=Plan!B1699,Plan!G1699,""),"")</f>
        <v/>
      </c>
      <c r="C1698">
        <f t="shared" si="78"/>
        <v>0</v>
      </c>
      <c r="D1698">
        <f>SUM($C$3:C1698)</f>
        <v>7</v>
      </c>
      <c r="E1698" t="e">
        <f t="shared" si="79"/>
        <v>#N/A</v>
      </c>
      <c r="F1698" s="28" t="str">
        <f t="shared" ca="1" si="80"/>
        <v/>
      </c>
    </row>
    <row r="1699" spans="2:6" x14ac:dyDescent="0.2">
      <c r="B1699" t="str">
        <f>IFERROR(IF('PDCA review'!$D$2=Plan!B1700,Plan!G1700,""),"")</f>
        <v/>
      </c>
      <c r="C1699">
        <f t="shared" si="78"/>
        <v>0</v>
      </c>
      <c r="D1699">
        <f>SUM($C$3:C1699)</f>
        <v>7</v>
      </c>
      <c r="E1699" t="e">
        <f t="shared" si="79"/>
        <v>#N/A</v>
      </c>
      <c r="F1699" s="28" t="str">
        <f t="shared" ca="1" si="80"/>
        <v/>
      </c>
    </row>
    <row r="1700" spans="2:6" x14ac:dyDescent="0.2">
      <c r="B1700" t="str">
        <f>IFERROR(IF('PDCA review'!$D$2=Plan!B1701,Plan!G1701,""),"")</f>
        <v/>
      </c>
      <c r="C1700">
        <f t="shared" si="78"/>
        <v>0</v>
      </c>
      <c r="D1700">
        <f>SUM($C$3:C1700)</f>
        <v>7</v>
      </c>
      <c r="E1700" t="e">
        <f t="shared" si="79"/>
        <v>#N/A</v>
      </c>
      <c r="F1700" s="28" t="str">
        <f t="shared" ca="1" si="80"/>
        <v/>
      </c>
    </row>
    <row r="1701" spans="2:6" x14ac:dyDescent="0.2">
      <c r="B1701" t="str">
        <f>IFERROR(IF('PDCA review'!$D$2=Plan!B1702,Plan!G1702,""),"")</f>
        <v/>
      </c>
      <c r="C1701">
        <f t="shared" si="78"/>
        <v>0</v>
      </c>
      <c r="D1701">
        <f>SUM($C$3:C1701)</f>
        <v>7</v>
      </c>
      <c r="E1701" t="e">
        <f t="shared" si="79"/>
        <v>#N/A</v>
      </c>
      <c r="F1701" s="28" t="str">
        <f t="shared" ca="1" si="80"/>
        <v/>
      </c>
    </row>
    <row r="1702" spans="2:6" x14ac:dyDescent="0.2">
      <c r="B1702" t="str">
        <f>IFERROR(IF('PDCA review'!$D$2=Plan!B1703,Plan!G1703,""),"")</f>
        <v/>
      </c>
      <c r="C1702">
        <f t="shared" si="78"/>
        <v>0</v>
      </c>
      <c r="D1702">
        <f>SUM($C$3:C1702)</f>
        <v>7</v>
      </c>
      <c r="E1702" t="e">
        <f t="shared" si="79"/>
        <v>#N/A</v>
      </c>
      <c r="F1702" s="28" t="str">
        <f t="shared" ca="1" si="80"/>
        <v/>
      </c>
    </row>
    <row r="1703" spans="2:6" x14ac:dyDescent="0.2">
      <c r="B1703" t="str">
        <f>IFERROR(IF('PDCA review'!$D$2=Plan!B1704,Plan!G1704,""),"")</f>
        <v/>
      </c>
      <c r="C1703">
        <f t="shared" si="78"/>
        <v>0</v>
      </c>
      <c r="D1703">
        <f>SUM($C$3:C1703)</f>
        <v>7</v>
      </c>
      <c r="E1703" t="e">
        <f t="shared" si="79"/>
        <v>#N/A</v>
      </c>
      <c r="F1703" s="28" t="str">
        <f t="shared" ca="1" si="80"/>
        <v/>
      </c>
    </row>
    <row r="1704" spans="2:6" x14ac:dyDescent="0.2">
      <c r="B1704" t="str">
        <f>IFERROR(IF('PDCA review'!$D$2=Plan!B1705,Plan!G1705,""),"")</f>
        <v/>
      </c>
      <c r="C1704">
        <f t="shared" si="78"/>
        <v>0</v>
      </c>
      <c r="D1704">
        <f>SUM($C$3:C1704)</f>
        <v>7</v>
      </c>
      <c r="E1704" t="e">
        <f t="shared" si="79"/>
        <v>#N/A</v>
      </c>
      <c r="F1704" s="28" t="str">
        <f t="shared" ca="1" si="80"/>
        <v/>
      </c>
    </row>
    <row r="1705" spans="2:6" x14ac:dyDescent="0.2">
      <c r="B1705" t="str">
        <f>IFERROR(IF('PDCA review'!$D$2=Plan!B1706,Plan!G1706,""),"")</f>
        <v/>
      </c>
      <c r="C1705">
        <f t="shared" si="78"/>
        <v>0</v>
      </c>
      <c r="D1705">
        <f>SUM($C$3:C1705)</f>
        <v>7</v>
      </c>
      <c r="E1705" t="e">
        <f t="shared" si="79"/>
        <v>#N/A</v>
      </c>
      <c r="F1705" s="28" t="str">
        <f t="shared" ca="1" si="80"/>
        <v/>
      </c>
    </row>
    <row r="1706" spans="2:6" x14ac:dyDescent="0.2">
      <c r="B1706" t="str">
        <f>IFERROR(IF('PDCA review'!$D$2=Plan!B1707,Plan!G1707,""),"")</f>
        <v/>
      </c>
      <c r="C1706">
        <f t="shared" si="78"/>
        <v>0</v>
      </c>
      <c r="D1706">
        <f>SUM($C$3:C1706)</f>
        <v>7</v>
      </c>
      <c r="E1706" t="e">
        <f t="shared" si="79"/>
        <v>#N/A</v>
      </c>
      <c r="F1706" s="28" t="str">
        <f t="shared" ca="1" si="80"/>
        <v/>
      </c>
    </row>
    <row r="1707" spans="2:6" x14ac:dyDescent="0.2">
      <c r="B1707" t="str">
        <f>IFERROR(IF('PDCA review'!$D$2=Plan!B1708,Plan!G1708,""),"")</f>
        <v/>
      </c>
      <c r="C1707">
        <f t="shared" si="78"/>
        <v>0</v>
      </c>
      <c r="D1707">
        <f>SUM($C$3:C1707)</f>
        <v>7</v>
      </c>
      <c r="E1707" t="e">
        <f t="shared" si="79"/>
        <v>#N/A</v>
      </c>
      <c r="F1707" s="28" t="str">
        <f t="shared" ca="1" si="80"/>
        <v/>
      </c>
    </row>
    <row r="1708" spans="2:6" x14ac:dyDescent="0.2">
      <c r="B1708" t="str">
        <f>IFERROR(IF('PDCA review'!$D$2=Plan!B1709,Plan!G1709,""),"")</f>
        <v/>
      </c>
      <c r="C1708">
        <f t="shared" si="78"/>
        <v>0</v>
      </c>
      <c r="D1708">
        <f>SUM($C$3:C1708)</f>
        <v>7</v>
      </c>
      <c r="E1708" t="e">
        <f t="shared" si="79"/>
        <v>#N/A</v>
      </c>
      <c r="F1708" s="28" t="str">
        <f t="shared" ca="1" si="80"/>
        <v/>
      </c>
    </row>
    <row r="1709" spans="2:6" x14ac:dyDescent="0.2">
      <c r="B1709" t="str">
        <f>IFERROR(IF('PDCA review'!$D$2=Plan!B1710,Plan!G1710,""),"")</f>
        <v/>
      </c>
      <c r="C1709">
        <f t="shared" si="78"/>
        <v>0</v>
      </c>
      <c r="D1709">
        <f>SUM($C$3:C1709)</f>
        <v>7</v>
      </c>
      <c r="E1709" t="e">
        <f t="shared" si="79"/>
        <v>#N/A</v>
      </c>
      <c r="F1709" s="28" t="str">
        <f t="shared" ca="1" si="80"/>
        <v/>
      </c>
    </row>
    <row r="1710" spans="2:6" x14ac:dyDescent="0.2">
      <c r="B1710" t="str">
        <f>IFERROR(IF('PDCA review'!$D$2=Plan!B1711,Plan!G1711,""),"")</f>
        <v/>
      </c>
      <c r="C1710">
        <f t="shared" si="78"/>
        <v>0</v>
      </c>
      <c r="D1710">
        <f>SUM($C$3:C1710)</f>
        <v>7</v>
      </c>
      <c r="E1710" t="e">
        <f t="shared" si="79"/>
        <v>#N/A</v>
      </c>
      <c r="F1710" s="28" t="str">
        <f t="shared" ca="1" si="80"/>
        <v/>
      </c>
    </row>
    <row r="1711" spans="2:6" x14ac:dyDescent="0.2">
      <c r="B1711" t="str">
        <f>IFERROR(IF('PDCA review'!$D$2=Plan!B1712,Plan!G1712,""),"")</f>
        <v/>
      </c>
      <c r="C1711">
        <f t="shared" si="78"/>
        <v>0</v>
      </c>
      <c r="D1711">
        <f>SUM($C$3:C1711)</f>
        <v>7</v>
      </c>
      <c r="E1711" t="e">
        <f t="shared" si="79"/>
        <v>#N/A</v>
      </c>
      <c r="F1711" s="28" t="str">
        <f t="shared" ca="1" si="80"/>
        <v/>
      </c>
    </row>
    <row r="1712" spans="2:6" x14ac:dyDescent="0.2">
      <c r="B1712" t="str">
        <f>IFERROR(IF('PDCA review'!$D$2=Plan!B1713,Plan!G1713,""),"")</f>
        <v/>
      </c>
      <c r="C1712">
        <f t="shared" si="78"/>
        <v>0</v>
      </c>
      <c r="D1712">
        <f>SUM($C$3:C1712)</f>
        <v>7</v>
      </c>
      <c r="E1712" t="e">
        <f t="shared" si="79"/>
        <v>#N/A</v>
      </c>
      <c r="F1712" s="28" t="str">
        <f t="shared" ca="1" si="80"/>
        <v/>
      </c>
    </row>
    <row r="1713" spans="2:6" x14ac:dyDescent="0.2">
      <c r="B1713" t="str">
        <f>IFERROR(IF('PDCA review'!$D$2=Plan!B1714,Plan!G1714,""),"")</f>
        <v/>
      </c>
      <c r="C1713">
        <f t="shared" si="78"/>
        <v>0</v>
      </c>
      <c r="D1713">
        <f>SUM($C$3:C1713)</f>
        <v>7</v>
      </c>
      <c r="E1713" t="e">
        <f t="shared" si="79"/>
        <v>#N/A</v>
      </c>
      <c r="F1713" s="28" t="str">
        <f t="shared" ca="1" si="80"/>
        <v/>
      </c>
    </row>
    <row r="1714" spans="2:6" x14ac:dyDescent="0.2">
      <c r="B1714" t="str">
        <f>IFERROR(IF('PDCA review'!$D$2=Plan!B1715,Plan!G1715,""),"")</f>
        <v/>
      </c>
      <c r="C1714">
        <f t="shared" si="78"/>
        <v>0</v>
      </c>
      <c r="D1714">
        <f>SUM($C$3:C1714)</f>
        <v>7</v>
      </c>
      <c r="E1714" t="e">
        <f t="shared" si="79"/>
        <v>#N/A</v>
      </c>
      <c r="F1714" s="28" t="str">
        <f t="shared" ca="1" si="80"/>
        <v/>
      </c>
    </row>
    <row r="1715" spans="2:6" x14ac:dyDescent="0.2">
      <c r="B1715" t="str">
        <f>IFERROR(IF('PDCA review'!$D$2=Plan!B1716,Plan!G1716,""),"")</f>
        <v/>
      </c>
      <c r="C1715">
        <f t="shared" si="78"/>
        <v>0</v>
      </c>
      <c r="D1715">
        <f>SUM($C$3:C1715)</f>
        <v>7</v>
      </c>
      <c r="E1715" t="e">
        <f t="shared" si="79"/>
        <v>#N/A</v>
      </c>
      <c r="F1715" s="28" t="str">
        <f t="shared" ca="1" si="80"/>
        <v/>
      </c>
    </row>
    <row r="1716" spans="2:6" x14ac:dyDescent="0.2">
      <c r="B1716" t="str">
        <f>IFERROR(IF('PDCA review'!$D$2=Plan!B1717,Plan!G1717,""),"")</f>
        <v/>
      </c>
      <c r="C1716">
        <f t="shared" si="78"/>
        <v>0</v>
      </c>
      <c r="D1716">
        <f>SUM($C$3:C1716)</f>
        <v>7</v>
      </c>
      <c r="E1716" t="e">
        <f t="shared" si="79"/>
        <v>#N/A</v>
      </c>
      <c r="F1716" s="28" t="str">
        <f t="shared" ca="1" si="80"/>
        <v/>
      </c>
    </row>
    <row r="1717" spans="2:6" x14ac:dyDescent="0.2">
      <c r="B1717" t="str">
        <f>IFERROR(IF('PDCA review'!$D$2=Plan!B1718,Plan!G1718,""),"")</f>
        <v/>
      </c>
      <c r="C1717">
        <f t="shared" si="78"/>
        <v>0</v>
      </c>
      <c r="D1717">
        <f>SUM($C$3:C1717)</f>
        <v>7</v>
      </c>
      <c r="E1717" t="e">
        <f t="shared" si="79"/>
        <v>#N/A</v>
      </c>
      <c r="F1717" s="28" t="str">
        <f t="shared" ca="1" si="80"/>
        <v/>
      </c>
    </row>
    <row r="1718" spans="2:6" x14ac:dyDescent="0.2">
      <c r="B1718" t="str">
        <f>IFERROR(IF('PDCA review'!$D$2=Plan!B1719,Plan!G1719,""),"")</f>
        <v/>
      </c>
      <c r="C1718">
        <f t="shared" si="78"/>
        <v>0</v>
      </c>
      <c r="D1718">
        <f>SUM($C$3:C1718)</f>
        <v>7</v>
      </c>
      <c r="E1718" t="e">
        <f t="shared" si="79"/>
        <v>#N/A</v>
      </c>
      <c r="F1718" s="28" t="str">
        <f t="shared" ca="1" si="80"/>
        <v/>
      </c>
    </row>
    <row r="1719" spans="2:6" x14ac:dyDescent="0.2">
      <c r="B1719" t="str">
        <f>IFERROR(IF('PDCA review'!$D$2=Plan!B1720,Plan!G1720,""),"")</f>
        <v/>
      </c>
      <c r="C1719">
        <f t="shared" si="78"/>
        <v>0</v>
      </c>
      <c r="D1719">
        <f>SUM($C$3:C1719)</f>
        <v>7</v>
      </c>
      <c r="E1719" t="e">
        <f t="shared" si="79"/>
        <v>#N/A</v>
      </c>
      <c r="F1719" s="28" t="str">
        <f t="shared" ca="1" si="80"/>
        <v/>
      </c>
    </row>
    <row r="1720" spans="2:6" x14ac:dyDescent="0.2">
      <c r="B1720" t="str">
        <f>IFERROR(IF('PDCA review'!$D$2=Plan!B1721,Plan!G1721,""),"")</f>
        <v/>
      </c>
      <c r="C1720">
        <f t="shared" si="78"/>
        <v>0</v>
      </c>
      <c r="D1720">
        <f>SUM($C$3:C1720)</f>
        <v>7</v>
      </c>
      <c r="E1720" t="e">
        <f t="shared" si="79"/>
        <v>#N/A</v>
      </c>
      <c r="F1720" s="28" t="str">
        <f t="shared" ca="1" si="80"/>
        <v/>
      </c>
    </row>
    <row r="1721" spans="2:6" x14ac:dyDescent="0.2">
      <c r="B1721" t="str">
        <f>IFERROR(IF('PDCA review'!$D$2=Plan!B1722,Plan!G1722,""),"")</f>
        <v/>
      </c>
      <c r="C1721">
        <f t="shared" si="78"/>
        <v>0</v>
      </c>
      <c r="D1721">
        <f>SUM($C$3:C1721)</f>
        <v>7</v>
      </c>
      <c r="E1721" t="e">
        <f t="shared" si="79"/>
        <v>#N/A</v>
      </c>
      <c r="F1721" s="28" t="str">
        <f t="shared" ca="1" si="80"/>
        <v/>
      </c>
    </row>
    <row r="1722" spans="2:6" x14ac:dyDescent="0.2">
      <c r="B1722" t="str">
        <f>IFERROR(IF('PDCA review'!$D$2=Plan!B1723,Plan!G1723,""),"")</f>
        <v/>
      </c>
      <c r="C1722">
        <f t="shared" si="78"/>
        <v>0</v>
      </c>
      <c r="D1722">
        <f>SUM($C$3:C1722)</f>
        <v>7</v>
      </c>
      <c r="E1722" t="e">
        <f t="shared" si="79"/>
        <v>#N/A</v>
      </c>
      <c r="F1722" s="28" t="str">
        <f t="shared" ca="1" si="80"/>
        <v/>
      </c>
    </row>
    <row r="1723" spans="2:6" x14ac:dyDescent="0.2">
      <c r="B1723" t="str">
        <f>IFERROR(IF('PDCA review'!$D$2=Plan!B1724,Plan!G1724,""),"")</f>
        <v/>
      </c>
      <c r="C1723">
        <f t="shared" si="78"/>
        <v>0</v>
      </c>
      <c r="D1723">
        <f>SUM($C$3:C1723)</f>
        <v>7</v>
      </c>
      <c r="E1723" t="e">
        <f t="shared" si="79"/>
        <v>#N/A</v>
      </c>
      <c r="F1723" s="28" t="str">
        <f t="shared" ca="1" si="80"/>
        <v/>
      </c>
    </row>
    <row r="1724" spans="2:6" x14ac:dyDescent="0.2">
      <c r="B1724" t="str">
        <f>IFERROR(IF('PDCA review'!$D$2=Plan!B1725,Plan!G1725,""),"")</f>
        <v/>
      </c>
      <c r="C1724">
        <f t="shared" si="78"/>
        <v>0</v>
      </c>
      <c r="D1724">
        <f>SUM($C$3:C1724)</f>
        <v>7</v>
      </c>
      <c r="E1724" t="e">
        <f t="shared" si="79"/>
        <v>#N/A</v>
      </c>
      <c r="F1724" s="28" t="str">
        <f t="shared" ca="1" si="80"/>
        <v/>
      </c>
    </row>
    <row r="1725" spans="2:6" x14ac:dyDescent="0.2">
      <c r="B1725" t="str">
        <f>IFERROR(IF('PDCA review'!$D$2=Plan!B1726,Plan!G1726,""),"")</f>
        <v/>
      </c>
      <c r="C1725">
        <f t="shared" si="78"/>
        <v>0</v>
      </c>
      <c r="D1725">
        <f>SUM($C$3:C1725)</f>
        <v>7</v>
      </c>
      <c r="E1725" t="e">
        <f t="shared" si="79"/>
        <v>#N/A</v>
      </c>
      <c r="F1725" s="28" t="str">
        <f t="shared" ca="1" si="80"/>
        <v/>
      </c>
    </row>
    <row r="1726" spans="2:6" x14ac:dyDescent="0.2">
      <c r="B1726" t="str">
        <f>IFERROR(IF('PDCA review'!$D$2=Plan!B1727,Plan!G1727,""),"")</f>
        <v/>
      </c>
      <c r="C1726">
        <f t="shared" si="78"/>
        <v>0</v>
      </c>
      <c r="D1726">
        <f>SUM($C$3:C1726)</f>
        <v>7</v>
      </c>
      <c r="E1726" t="e">
        <f t="shared" si="79"/>
        <v>#N/A</v>
      </c>
      <c r="F1726" s="28" t="str">
        <f t="shared" ca="1" si="80"/>
        <v/>
      </c>
    </row>
    <row r="1727" spans="2:6" x14ac:dyDescent="0.2">
      <c r="B1727" t="str">
        <f>IFERROR(IF('PDCA review'!$D$2=Plan!B1728,Plan!G1728,""),"")</f>
        <v/>
      </c>
      <c r="C1727">
        <f t="shared" si="78"/>
        <v>0</v>
      </c>
      <c r="D1727">
        <f>SUM($C$3:C1727)</f>
        <v>7</v>
      </c>
      <c r="E1727" t="e">
        <f t="shared" si="79"/>
        <v>#N/A</v>
      </c>
      <c r="F1727" s="28" t="str">
        <f t="shared" ca="1" si="80"/>
        <v/>
      </c>
    </row>
    <row r="1728" spans="2:6" x14ac:dyDescent="0.2">
      <c r="B1728" t="str">
        <f>IFERROR(IF('PDCA review'!$D$2=Plan!B1729,Plan!G1729,""),"")</f>
        <v/>
      </c>
      <c r="C1728">
        <f t="shared" si="78"/>
        <v>0</v>
      </c>
      <c r="D1728">
        <f>SUM($C$3:C1728)</f>
        <v>7</v>
      </c>
      <c r="E1728" t="e">
        <f t="shared" si="79"/>
        <v>#N/A</v>
      </c>
      <c r="F1728" s="28" t="str">
        <f t="shared" ca="1" si="80"/>
        <v/>
      </c>
    </row>
    <row r="1729" spans="2:6" x14ac:dyDescent="0.2">
      <c r="B1729" t="str">
        <f>IFERROR(IF('PDCA review'!$D$2=Plan!B1730,Plan!G1730,""),"")</f>
        <v/>
      </c>
      <c r="C1729">
        <f t="shared" si="78"/>
        <v>0</v>
      </c>
      <c r="D1729">
        <f>SUM($C$3:C1729)</f>
        <v>7</v>
      </c>
      <c r="E1729" t="e">
        <f t="shared" si="79"/>
        <v>#N/A</v>
      </c>
      <c r="F1729" s="28" t="str">
        <f t="shared" ca="1" si="80"/>
        <v/>
      </c>
    </row>
    <row r="1730" spans="2:6" x14ac:dyDescent="0.2">
      <c r="B1730" t="str">
        <f>IFERROR(IF('PDCA review'!$D$2=Plan!B1731,Plan!G1731,""),"")</f>
        <v/>
      </c>
      <c r="C1730">
        <f t="shared" si="78"/>
        <v>0</v>
      </c>
      <c r="D1730">
        <f>SUM($C$3:C1730)</f>
        <v>7</v>
      </c>
      <c r="E1730" t="e">
        <f t="shared" si="79"/>
        <v>#N/A</v>
      </c>
      <c r="F1730" s="28" t="str">
        <f t="shared" ca="1" si="80"/>
        <v/>
      </c>
    </row>
    <row r="1731" spans="2:6" x14ac:dyDescent="0.2">
      <c r="B1731" t="str">
        <f>IFERROR(IF('PDCA review'!$D$2=Plan!B1732,Plan!G1732,""),"")</f>
        <v/>
      </c>
      <c r="C1731">
        <f t="shared" si="78"/>
        <v>0</v>
      </c>
      <c r="D1731">
        <f>SUM($C$3:C1731)</f>
        <v>7</v>
      </c>
      <c r="E1731" t="e">
        <f t="shared" si="79"/>
        <v>#N/A</v>
      </c>
      <c r="F1731" s="28" t="str">
        <f t="shared" ca="1" si="80"/>
        <v/>
      </c>
    </row>
    <row r="1732" spans="2:6" x14ac:dyDescent="0.2">
      <c r="B1732" t="str">
        <f>IFERROR(IF('PDCA review'!$D$2=Plan!B1733,Plan!G1733,""),"")</f>
        <v/>
      </c>
      <c r="C1732">
        <f t="shared" ref="C1732:C1795" si="81">IF(B1732&lt;&gt;"",1,0)</f>
        <v>0</v>
      </c>
      <c r="D1732">
        <f>SUM($C$3:C1732)</f>
        <v>7</v>
      </c>
      <c r="E1732" t="e">
        <f t="shared" ref="E1732:E1795" si="82">MATCH(ROW()-$D$2,$D$3:$D$2000,0)+$D$2</f>
        <v>#N/A</v>
      </c>
      <c r="F1732" s="28" t="str">
        <f t="shared" ref="F1732:F1795" ca="1" si="83">IFERROR(INDIRECT("B"&amp;E1732),"")</f>
        <v/>
      </c>
    </row>
    <row r="1733" spans="2:6" x14ac:dyDescent="0.2">
      <c r="B1733" t="str">
        <f>IFERROR(IF('PDCA review'!$D$2=Plan!B1734,Plan!G1734,""),"")</f>
        <v/>
      </c>
      <c r="C1733">
        <f t="shared" si="81"/>
        <v>0</v>
      </c>
      <c r="D1733">
        <f>SUM($C$3:C1733)</f>
        <v>7</v>
      </c>
      <c r="E1733" t="e">
        <f t="shared" si="82"/>
        <v>#N/A</v>
      </c>
      <c r="F1733" s="28" t="str">
        <f t="shared" ca="1" si="83"/>
        <v/>
      </c>
    </row>
    <row r="1734" spans="2:6" x14ac:dyDescent="0.2">
      <c r="B1734" t="str">
        <f>IFERROR(IF('PDCA review'!$D$2=Plan!B1735,Plan!G1735,""),"")</f>
        <v/>
      </c>
      <c r="C1734">
        <f t="shared" si="81"/>
        <v>0</v>
      </c>
      <c r="D1734">
        <f>SUM($C$3:C1734)</f>
        <v>7</v>
      </c>
      <c r="E1734" t="e">
        <f t="shared" si="82"/>
        <v>#N/A</v>
      </c>
      <c r="F1734" s="28" t="str">
        <f t="shared" ca="1" si="83"/>
        <v/>
      </c>
    </row>
    <row r="1735" spans="2:6" x14ac:dyDescent="0.2">
      <c r="B1735" t="str">
        <f>IFERROR(IF('PDCA review'!$D$2=Plan!B1736,Plan!G1736,""),"")</f>
        <v/>
      </c>
      <c r="C1735">
        <f t="shared" si="81"/>
        <v>0</v>
      </c>
      <c r="D1735">
        <f>SUM($C$3:C1735)</f>
        <v>7</v>
      </c>
      <c r="E1735" t="e">
        <f t="shared" si="82"/>
        <v>#N/A</v>
      </c>
      <c r="F1735" s="28" t="str">
        <f t="shared" ca="1" si="83"/>
        <v/>
      </c>
    </row>
    <row r="1736" spans="2:6" x14ac:dyDescent="0.2">
      <c r="B1736" t="str">
        <f>IFERROR(IF('PDCA review'!$D$2=Plan!B1737,Plan!G1737,""),"")</f>
        <v/>
      </c>
      <c r="C1736">
        <f t="shared" si="81"/>
        <v>0</v>
      </c>
      <c r="D1736">
        <f>SUM($C$3:C1736)</f>
        <v>7</v>
      </c>
      <c r="E1736" t="e">
        <f t="shared" si="82"/>
        <v>#N/A</v>
      </c>
      <c r="F1736" s="28" t="str">
        <f t="shared" ca="1" si="83"/>
        <v/>
      </c>
    </row>
    <row r="1737" spans="2:6" x14ac:dyDescent="0.2">
      <c r="B1737" t="str">
        <f>IFERROR(IF('PDCA review'!$D$2=Plan!B1738,Plan!G1738,""),"")</f>
        <v/>
      </c>
      <c r="C1737">
        <f t="shared" si="81"/>
        <v>0</v>
      </c>
      <c r="D1737">
        <f>SUM($C$3:C1737)</f>
        <v>7</v>
      </c>
      <c r="E1737" t="e">
        <f t="shared" si="82"/>
        <v>#N/A</v>
      </c>
      <c r="F1737" s="28" t="str">
        <f t="shared" ca="1" si="83"/>
        <v/>
      </c>
    </row>
    <row r="1738" spans="2:6" x14ac:dyDescent="0.2">
      <c r="B1738" t="str">
        <f>IFERROR(IF('PDCA review'!$D$2=Plan!B1739,Plan!G1739,""),"")</f>
        <v/>
      </c>
      <c r="C1738">
        <f t="shared" si="81"/>
        <v>0</v>
      </c>
      <c r="D1738">
        <f>SUM($C$3:C1738)</f>
        <v>7</v>
      </c>
      <c r="E1738" t="e">
        <f t="shared" si="82"/>
        <v>#N/A</v>
      </c>
      <c r="F1738" s="28" t="str">
        <f t="shared" ca="1" si="83"/>
        <v/>
      </c>
    </row>
    <row r="1739" spans="2:6" x14ac:dyDescent="0.2">
      <c r="B1739" t="str">
        <f>IFERROR(IF('PDCA review'!$D$2=Plan!B1740,Plan!G1740,""),"")</f>
        <v/>
      </c>
      <c r="C1739">
        <f t="shared" si="81"/>
        <v>0</v>
      </c>
      <c r="D1739">
        <f>SUM($C$3:C1739)</f>
        <v>7</v>
      </c>
      <c r="E1739" t="e">
        <f t="shared" si="82"/>
        <v>#N/A</v>
      </c>
      <c r="F1739" s="28" t="str">
        <f t="shared" ca="1" si="83"/>
        <v/>
      </c>
    </row>
    <row r="1740" spans="2:6" x14ac:dyDescent="0.2">
      <c r="B1740" t="str">
        <f>IFERROR(IF('PDCA review'!$D$2=Plan!B1741,Plan!G1741,""),"")</f>
        <v/>
      </c>
      <c r="C1740">
        <f t="shared" si="81"/>
        <v>0</v>
      </c>
      <c r="D1740">
        <f>SUM($C$3:C1740)</f>
        <v>7</v>
      </c>
      <c r="E1740" t="e">
        <f t="shared" si="82"/>
        <v>#N/A</v>
      </c>
      <c r="F1740" s="28" t="str">
        <f t="shared" ca="1" si="83"/>
        <v/>
      </c>
    </row>
    <row r="1741" spans="2:6" x14ac:dyDescent="0.2">
      <c r="B1741" t="str">
        <f>IFERROR(IF('PDCA review'!$D$2=Plan!B1742,Plan!G1742,""),"")</f>
        <v/>
      </c>
      <c r="C1741">
        <f t="shared" si="81"/>
        <v>0</v>
      </c>
      <c r="D1741">
        <f>SUM($C$3:C1741)</f>
        <v>7</v>
      </c>
      <c r="E1741" t="e">
        <f t="shared" si="82"/>
        <v>#N/A</v>
      </c>
      <c r="F1741" s="28" t="str">
        <f t="shared" ca="1" si="83"/>
        <v/>
      </c>
    </row>
    <row r="1742" spans="2:6" x14ac:dyDescent="0.2">
      <c r="B1742" t="str">
        <f>IFERROR(IF('PDCA review'!$D$2=Plan!B1743,Plan!G1743,""),"")</f>
        <v/>
      </c>
      <c r="C1742">
        <f t="shared" si="81"/>
        <v>0</v>
      </c>
      <c r="D1742">
        <f>SUM($C$3:C1742)</f>
        <v>7</v>
      </c>
      <c r="E1742" t="e">
        <f t="shared" si="82"/>
        <v>#N/A</v>
      </c>
      <c r="F1742" s="28" t="str">
        <f t="shared" ca="1" si="83"/>
        <v/>
      </c>
    </row>
    <row r="1743" spans="2:6" x14ac:dyDescent="0.2">
      <c r="B1743" t="str">
        <f>IFERROR(IF('PDCA review'!$D$2=Plan!B1744,Plan!G1744,""),"")</f>
        <v/>
      </c>
      <c r="C1743">
        <f t="shared" si="81"/>
        <v>0</v>
      </c>
      <c r="D1743">
        <f>SUM($C$3:C1743)</f>
        <v>7</v>
      </c>
      <c r="E1743" t="e">
        <f t="shared" si="82"/>
        <v>#N/A</v>
      </c>
      <c r="F1743" s="28" t="str">
        <f t="shared" ca="1" si="83"/>
        <v/>
      </c>
    </row>
    <row r="1744" spans="2:6" x14ac:dyDescent="0.2">
      <c r="B1744" t="str">
        <f>IFERROR(IF('PDCA review'!$D$2=Plan!B1745,Plan!G1745,""),"")</f>
        <v/>
      </c>
      <c r="C1744">
        <f t="shared" si="81"/>
        <v>0</v>
      </c>
      <c r="D1744">
        <f>SUM($C$3:C1744)</f>
        <v>7</v>
      </c>
      <c r="E1744" t="e">
        <f t="shared" si="82"/>
        <v>#N/A</v>
      </c>
      <c r="F1744" s="28" t="str">
        <f t="shared" ca="1" si="83"/>
        <v/>
      </c>
    </row>
    <row r="1745" spans="2:6" x14ac:dyDescent="0.2">
      <c r="B1745" t="str">
        <f>IFERROR(IF('PDCA review'!$D$2=Plan!B1746,Plan!G1746,""),"")</f>
        <v/>
      </c>
      <c r="C1745">
        <f t="shared" si="81"/>
        <v>0</v>
      </c>
      <c r="D1745">
        <f>SUM($C$3:C1745)</f>
        <v>7</v>
      </c>
      <c r="E1745" t="e">
        <f t="shared" si="82"/>
        <v>#N/A</v>
      </c>
      <c r="F1745" s="28" t="str">
        <f t="shared" ca="1" si="83"/>
        <v/>
      </c>
    </row>
    <row r="1746" spans="2:6" x14ac:dyDescent="0.2">
      <c r="B1746" t="str">
        <f>IFERROR(IF('PDCA review'!$D$2=Plan!B1747,Plan!G1747,""),"")</f>
        <v/>
      </c>
      <c r="C1746">
        <f t="shared" si="81"/>
        <v>0</v>
      </c>
      <c r="D1746">
        <f>SUM($C$3:C1746)</f>
        <v>7</v>
      </c>
      <c r="E1746" t="e">
        <f t="shared" si="82"/>
        <v>#N/A</v>
      </c>
      <c r="F1746" s="28" t="str">
        <f t="shared" ca="1" si="83"/>
        <v/>
      </c>
    </row>
    <row r="1747" spans="2:6" x14ac:dyDescent="0.2">
      <c r="B1747" t="str">
        <f>IFERROR(IF('PDCA review'!$D$2=Plan!B1748,Plan!G1748,""),"")</f>
        <v/>
      </c>
      <c r="C1747">
        <f t="shared" si="81"/>
        <v>0</v>
      </c>
      <c r="D1747">
        <f>SUM($C$3:C1747)</f>
        <v>7</v>
      </c>
      <c r="E1747" t="e">
        <f t="shared" si="82"/>
        <v>#N/A</v>
      </c>
      <c r="F1747" s="28" t="str">
        <f t="shared" ca="1" si="83"/>
        <v/>
      </c>
    </row>
    <row r="1748" spans="2:6" x14ac:dyDescent="0.2">
      <c r="B1748" t="str">
        <f>IFERROR(IF('PDCA review'!$D$2=Plan!B1749,Plan!G1749,""),"")</f>
        <v/>
      </c>
      <c r="C1748">
        <f t="shared" si="81"/>
        <v>0</v>
      </c>
      <c r="D1748">
        <f>SUM($C$3:C1748)</f>
        <v>7</v>
      </c>
      <c r="E1748" t="e">
        <f t="shared" si="82"/>
        <v>#N/A</v>
      </c>
      <c r="F1748" s="28" t="str">
        <f t="shared" ca="1" si="83"/>
        <v/>
      </c>
    </row>
    <row r="1749" spans="2:6" x14ac:dyDescent="0.2">
      <c r="B1749" t="str">
        <f>IFERROR(IF('PDCA review'!$D$2=Plan!B1750,Plan!G1750,""),"")</f>
        <v/>
      </c>
      <c r="C1749">
        <f t="shared" si="81"/>
        <v>0</v>
      </c>
      <c r="D1749">
        <f>SUM($C$3:C1749)</f>
        <v>7</v>
      </c>
      <c r="E1749" t="e">
        <f t="shared" si="82"/>
        <v>#N/A</v>
      </c>
      <c r="F1749" s="28" t="str">
        <f t="shared" ca="1" si="83"/>
        <v/>
      </c>
    </row>
    <row r="1750" spans="2:6" x14ac:dyDescent="0.2">
      <c r="B1750" t="str">
        <f>IFERROR(IF('PDCA review'!$D$2=Plan!B1751,Plan!G1751,""),"")</f>
        <v/>
      </c>
      <c r="C1750">
        <f t="shared" si="81"/>
        <v>0</v>
      </c>
      <c r="D1750">
        <f>SUM($C$3:C1750)</f>
        <v>7</v>
      </c>
      <c r="E1750" t="e">
        <f t="shared" si="82"/>
        <v>#N/A</v>
      </c>
      <c r="F1750" s="28" t="str">
        <f t="shared" ca="1" si="83"/>
        <v/>
      </c>
    </row>
    <row r="1751" spans="2:6" x14ac:dyDescent="0.2">
      <c r="B1751" t="str">
        <f>IFERROR(IF('PDCA review'!$D$2=Plan!B1752,Plan!G1752,""),"")</f>
        <v/>
      </c>
      <c r="C1751">
        <f t="shared" si="81"/>
        <v>0</v>
      </c>
      <c r="D1751">
        <f>SUM($C$3:C1751)</f>
        <v>7</v>
      </c>
      <c r="E1751" t="e">
        <f t="shared" si="82"/>
        <v>#N/A</v>
      </c>
      <c r="F1751" s="28" t="str">
        <f t="shared" ca="1" si="83"/>
        <v/>
      </c>
    </row>
    <row r="1752" spans="2:6" x14ac:dyDescent="0.2">
      <c r="B1752" t="str">
        <f>IFERROR(IF('PDCA review'!$D$2=Plan!B1753,Plan!G1753,""),"")</f>
        <v/>
      </c>
      <c r="C1752">
        <f t="shared" si="81"/>
        <v>0</v>
      </c>
      <c r="D1752">
        <f>SUM($C$3:C1752)</f>
        <v>7</v>
      </c>
      <c r="E1752" t="e">
        <f t="shared" si="82"/>
        <v>#N/A</v>
      </c>
      <c r="F1752" s="28" t="str">
        <f t="shared" ca="1" si="83"/>
        <v/>
      </c>
    </row>
    <row r="1753" spans="2:6" x14ac:dyDescent="0.2">
      <c r="B1753" t="str">
        <f>IFERROR(IF('PDCA review'!$D$2=Plan!B1754,Plan!G1754,""),"")</f>
        <v/>
      </c>
      <c r="C1753">
        <f t="shared" si="81"/>
        <v>0</v>
      </c>
      <c r="D1753">
        <f>SUM($C$3:C1753)</f>
        <v>7</v>
      </c>
      <c r="E1753" t="e">
        <f t="shared" si="82"/>
        <v>#N/A</v>
      </c>
      <c r="F1753" s="28" t="str">
        <f t="shared" ca="1" si="83"/>
        <v/>
      </c>
    </row>
    <row r="1754" spans="2:6" x14ac:dyDescent="0.2">
      <c r="B1754" t="str">
        <f>IFERROR(IF('PDCA review'!$D$2=Plan!B1755,Plan!G1755,""),"")</f>
        <v/>
      </c>
      <c r="C1754">
        <f t="shared" si="81"/>
        <v>0</v>
      </c>
      <c r="D1754">
        <f>SUM($C$3:C1754)</f>
        <v>7</v>
      </c>
      <c r="E1754" t="e">
        <f t="shared" si="82"/>
        <v>#N/A</v>
      </c>
      <c r="F1754" s="28" t="str">
        <f t="shared" ca="1" si="83"/>
        <v/>
      </c>
    </row>
    <row r="1755" spans="2:6" x14ac:dyDescent="0.2">
      <c r="B1755" t="str">
        <f>IFERROR(IF('PDCA review'!$D$2=Plan!B1756,Plan!G1756,""),"")</f>
        <v/>
      </c>
      <c r="C1755">
        <f t="shared" si="81"/>
        <v>0</v>
      </c>
      <c r="D1755">
        <f>SUM($C$3:C1755)</f>
        <v>7</v>
      </c>
      <c r="E1755" t="e">
        <f t="shared" si="82"/>
        <v>#N/A</v>
      </c>
      <c r="F1755" s="28" t="str">
        <f t="shared" ca="1" si="83"/>
        <v/>
      </c>
    </row>
    <row r="1756" spans="2:6" x14ac:dyDescent="0.2">
      <c r="B1756" t="str">
        <f>IFERROR(IF('PDCA review'!$D$2=Plan!B1757,Plan!G1757,""),"")</f>
        <v/>
      </c>
      <c r="C1756">
        <f t="shared" si="81"/>
        <v>0</v>
      </c>
      <c r="D1756">
        <f>SUM($C$3:C1756)</f>
        <v>7</v>
      </c>
      <c r="E1756" t="e">
        <f t="shared" si="82"/>
        <v>#N/A</v>
      </c>
      <c r="F1756" s="28" t="str">
        <f t="shared" ca="1" si="83"/>
        <v/>
      </c>
    </row>
    <row r="1757" spans="2:6" x14ac:dyDescent="0.2">
      <c r="B1757" t="str">
        <f>IFERROR(IF('PDCA review'!$D$2=Plan!B1758,Plan!G1758,""),"")</f>
        <v/>
      </c>
      <c r="C1757">
        <f t="shared" si="81"/>
        <v>0</v>
      </c>
      <c r="D1757">
        <f>SUM($C$3:C1757)</f>
        <v>7</v>
      </c>
      <c r="E1757" t="e">
        <f t="shared" si="82"/>
        <v>#N/A</v>
      </c>
      <c r="F1757" s="28" t="str">
        <f t="shared" ca="1" si="83"/>
        <v/>
      </c>
    </row>
    <row r="1758" spans="2:6" x14ac:dyDescent="0.2">
      <c r="B1758" t="str">
        <f>IFERROR(IF('PDCA review'!$D$2=Plan!B1759,Plan!G1759,""),"")</f>
        <v/>
      </c>
      <c r="C1758">
        <f t="shared" si="81"/>
        <v>0</v>
      </c>
      <c r="D1758">
        <f>SUM($C$3:C1758)</f>
        <v>7</v>
      </c>
      <c r="E1758" t="e">
        <f t="shared" si="82"/>
        <v>#N/A</v>
      </c>
      <c r="F1758" s="28" t="str">
        <f t="shared" ca="1" si="83"/>
        <v/>
      </c>
    </row>
    <row r="1759" spans="2:6" x14ac:dyDescent="0.2">
      <c r="B1759" t="str">
        <f>IFERROR(IF('PDCA review'!$D$2=Plan!B1760,Plan!G1760,""),"")</f>
        <v/>
      </c>
      <c r="C1759">
        <f t="shared" si="81"/>
        <v>0</v>
      </c>
      <c r="D1759">
        <f>SUM($C$3:C1759)</f>
        <v>7</v>
      </c>
      <c r="E1759" t="e">
        <f t="shared" si="82"/>
        <v>#N/A</v>
      </c>
      <c r="F1759" s="28" t="str">
        <f t="shared" ca="1" si="83"/>
        <v/>
      </c>
    </row>
    <row r="1760" spans="2:6" x14ac:dyDescent="0.2">
      <c r="B1760" t="str">
        <f>IFERROR(IF('PDCA review'!$D$2=Plan!B1761,Plan!G1761,""),"")</f>
        <v/>
      </c>
      <c r="C1760">
        <f t="shared" si="81"/>
        <v>0</v>
      </c>
      <c r="D1760">
        <f>SUM($C$3:C1760)</f>
        <v>7</v>
      </c>
      <c r="E1760" t="e">
        <f t="shared" si="82"/>
        <v>#N/A</v>
      </c>
      <c r="F1760" s="28" t="str">
        <f t="shared" ca="1" si="83"/>
        <v/>
      </c>
    </row>
    <row r="1761" spans="2:6" x14ac:dyDescent="0.2">
      <c r="B1761" t="str">
        <f>IFERROR(IF('PDCA review'!$D$2=Plan!B1762,Plan!G1762,""),"")</f>
        <v/>
      </c>
      <c r="C1761">
        <f t="shared" si="81"/>
        <v>0</v>
      </c>
      <c r="D1761">
        <f>SUM($C$3:C1761)</f>
        <v>7</v>
      </c>
      <c r="E1761" t="e">
        <f t="shared" si="82"/>
        <v>#N/A</v>
      </c>
      <c r="F1761" s="28" t="str">
        <f t="shared" ca="1" si="83"/>
        <v/>
      </c>
    </row>
    <row r="1762" spans="2:6" x14ac:dyDescent="0.2">
      <c r="B1762" t="str">
        <f>IFERROR(IF('PDCA review'!$D$2=Plan!B1763,Plan!G1763,""),"")</f>
        <v/>
      </c>
      <c r="C1762">
        <f t="shared" si="81"/>
        <v>0</v>
      </c>
      <c r="D1762">
        <f>SUM($C$3:C1762)</f>
        <v>7</v>
      </c>
      <c r="E1762" t="e">
        <f t="shared" si="82"/>
        <v>#N/A</v>
      </c>
      <c r="F1762" s="28" t="str">
        <f t="shared" ca="1" si="83"/>
        <v/>
      </c>
    </row>
    <row r="1763" spans="2:6" x14ac:dyDescent="0.2">
      <c r="B1763" t="str">
        <f>IFERROR(IF('PDCA review'!$D$2=Plan!B1764,Plan!G1764,""),"")</f>
        <v/>
      </c>
      <c r="C1763">
        <f t="shared" si="81"/>
        <v>0</v>
      </c>
      <c r="D1763">
        <f>SUM($C$3:C1763)</f>
        <v>7</v>
      </c>
      <c r="E1763" t="e">
        <f t="shared" si="82"/>
        <v>#N/A</v>
      </c>
      <c r="F1763" s="28" t="str">
        <f t="shared" ca="1" si="83"/>
        <v/>
      </c>
    </row>
    <row r="1764" spans="2:6" x14ac:dyDescent="0.2">
      <c r="B1764" t="str">
        <f>IFERROR(IF('PDCA review'!$D$2=Plan!B1765,Plan!G1765,""),"")</f>
        <v/>
      </c>
      <c r="C1764">
        <f t="shared" si="81"/>
        <v>0</v>
      </c>
      <c r="D1764">
        <f>SUM($C$3:C1764)</f>
        <v>7</v>
      </c>
      <c r="E1764" t="e">
        <f t="shared" si="82"/>
        <v>#N/A</v>
      </c>
      <c r="F1764" s="28" t="str">
        <f t="shared" ca="1" si="83"/>
        <v/>
      </c>
    </row>
    <row r="1765" spans="2:6" x14ac:dyDescent="0.2">
      <c r="B1765" t="str">
        <f>IFERROR(IF('PDCA review'!$D$2=Plan!B1766,Plan!G1766,""),"")</f>
        <v/>
      </c>
      <c r="C1765">
        <f t="shared" si="81"/>
        <v>0</v>
      </c>
      <c r="D1765">
        <f>SUM($C$3:C1765)</f>
        <v>7</v>
      </c>
      <c r="E1765" t="e">
        <f t="shared" si="82"/>
        <v>#N/A</v>
      </c>
      <c r="F1765" s="28" t="str">
        <f t="shared" ca="1" si="83"/>
        <v/>
      </c>
    </row>
    <row r="1766" spans="2:6" x14ac:dyDescent="0.2">
      <c r="B1766" t="str">
        <f>IFERROR(IF('PDCA review'!$D$2=Plan!B1767,Plan!G1767,""),"")</f>
        <v/>
      </c>
      <c r="C1766">
        <f t="shared" si="81"/>
        <v>0</v>
      </c>
      <c r="D1766">
        <f>SUM($C$3:C1766)</f>
        <v>7</v>
      </c>
      <c r="E1766" t="e">
        <f t="shared" si="82"/>
        <v>#N/A</v>
      </c>
      <c r="F1766" s="28" t="str">
        <f t="shared" ca="1" si="83"/>
        <v/>
      </c>
    </row>
    <row r="1767" spans="2:6" x14ac:dyDescent="0.2">
      <c r="B1767" t="str">
        <f>IFERROR(IF('PDCA review'!$D$2=Plan!B1768,Plan!G1768,""),"")</f>
        <v/>
      </c>
      <c r="C1767">
        <f t="shared" si="81"/>
        <v>0</v>
      </c>
      <c r="D1767">
        <f>SUM($C$3:C1767)</f>
        <v>7</v>
      </c>
      <c r="E1767" t="e">
        <f t="shared" si="82"/>
        <v>#N/A</v>
      </c>
      <c r="F1767" s="28" t="str">
        <f t="shared" ca="1" si="83"/>
        <v/>
      </c>
    </row>
    <row r="1768" spans="2:6" x14ac:dyDescent="0.2">
      <c r="B1768" t="str">
        <f>IFERROR(IF('PDCA review'!$D$2=Plan!B1769,Plan!G1769,""),"")</f>
        <v/>
      </c>
      <c r="C1768">
        <f t="shared" si="81"/>
        <v>0</v>
      </c>
      <c r="D1768">
        <f>SUM($C$3:C1768)</f>
        <v>7</v>
      </c>
      <c r="E1768" t="e">
        <f t="shared" si="82"/>
        <v>#N/A</v>
      </c>
      <c r="F1768" s="28" t="str">
        <f t="shared" ca="1" si="83"/>
        <v/>
      </c>
    </row>
    <row r="1769" spans="2:6" x14ac:dyDescent="0.2">
      <c r="B1769" t="str">
        <f>IFERROR(IF('PDCA review'!$D$2=Plan!B1770,Plan!G1770,""),"")</f>
        <v/>
      </c>
      <c r="C1769">
        <f t="shared" si="81"/>
        <v>0</v>
      </c>
      <c r="D1769">
        <f>SUM($C$3:C1769)</f>
        <v>7</v>
      </c>
      <c r="E1769" t="e">
        <f t="shared" si="82"/>
        <v>#N/A</v>
      </c>
      <c r="F1769" s="28" t="str">
        <f t="shared" ca="1" si="83"/>
        <v/>
      </c>
    </row>
    <row r="1770" spans="2:6" x14ac:dyDescent="0.2">
      <c r="B1770" t="str">
        <f>IFERROR(IF('PDCA review'!$D$2=Plan!B1771,Plan!G1771,""),"")</f>
        <v/>
      </c>
      <c r="C1770">
        <f t="shared" si="81"/>
        <v>0</v>
      </c>
      <c r="D1770">
        <f>SUM($C$3:C1770)</f>
        <v>7</v>
      </c>
      <c r="E1770" t="e">
        <f t="shared" si="82"/>
        <v>#N/A</v>
      </c>
      <c r="F1770" s="28" t="str">
        <f t="shared" ca="1" si="83"/>
        <v/>
      </c>
    </row>
    <row r="1771" spans="2:6" x14ac:dyDescent="0.2">
      <c r="B1771" t="str">
        <f>IFERROR(IF('PDCA review'!$D$2=Plan!B1772,Plan!G1772,""),"")</f>
        <v/>
      </c>
      <c r="C1771">
        <f t="shared" si="81"/>
        <v>0</v>
      </c>
      <c r="D1771">
        <f>SUM($C$3:C1771)</f>
        <v>7</v>
      </c>
      <c r="E1771" t="e">
        <f t="shared" si="82"/>
        <v>#N/A</v>
      </c>
      <c r="F1771" s="28" t="str">
        <f t="shared" ca="1" si="83"/>
        <v/>
      </c>
    </row>
    <row r="1772" spans="2:6" x14ac:dyDescent="0.2">
      <c r="B1772" t="str">
        <f>IFERROR(IF('PDCA review'!$D$2=Plan!B1773,Plan!G1773,""),"")</f>
        <v/>
      </c>
      <c r="C1772">
        <f t="shared" si="81"/>
        <v>0</v>
      </c>
      <c r="D1772">
        <f>SUM($C$3:C1772)</f>
        <v>7</v>
      </c>
      <c r="E1772" t="e">
        <f t="shared" si="82"/>
        <v>#N/A</v>
      </c>
      <c r="F1772" s="28" t="str">
        <f t="shared" ca="1" si="83"/>
        <v/>
      </c>
    </row>
    <row r="1773" spans="2:6" x14ac:dyDescent="0.2">
      <c r="B1773" t="str">
        <f>IFERROR(IF('PDCA review'!$D$2=Plan!B1774,Plan!G1774,""),"")</f>
        <v/>
      </c>
      <c r="C1773">
        <f t="shared" si="81"/>
        <v>0</v>
      </c>
      <c r="D1773">
        <f>SUM($C$3:C1773)</f>
        <v>7</v>
      </c>
      <c r="E1773" t="e">
        <f t="shared" si="82"/>
        <v>#N/A</v>
      </c>
      <c r="F1773" s="28" t="str">
        <f t="shared" ca="1" si="83"/>
        <v/>
      </c>
    </row>
    <row r="1774" spans="2:6" x14ac:dyDescent="0.2">
      <c r="B1774" t="str">
        <f>IFERROR(IF('PDCA review'!$D$2=Plan!B1775,Plan!G1775,""),"")</f>
        <v/>
      </c>
      <c r="C1774">
        <f t="shared" si="81"/>
        <v>0</v>
      </c>
      <c r="D1774">
        <f>SUM($C$3:C1774)</f>
        <v>7</v>
      </c>
      <c r="E1774" t="e">
        <f t="shared" si="82"/>
        <v>#N/A</v>
      </c>
      <c r="F1774" s="28" t="str">
        <f t="shared" ca="1" si="83"/>
        <v/>
      </c>
    </row>
    <row r="1775" spans="2:6" x14ac:dyDescent="0.2">
      <c r="B1775" t="str">
        <f>IFERROR(IF('PDCA review'!$D$2=Plan!B1776,Plan!G1776,""),"")</f>
        <v/>
      </c>
      <c r="C1775">
        <f t="shared" si="81"/>
        <v>0</v>
      </c>
      <c r="D1775">
        <f>SUM($C$3:C1775)</f>
        <v>7</v>
      </c>
      <c r="E1775" t="e">
        <f t="shared" si="82"/>
        <v>#N/A</v>
      </c>
      <c r="F1775" s="28" t="str">
        <f t="shared" ca="1" si="83"/>
        <v/>
      </c>
    </row>
    <row r="1776" spans="2:6" x14ac:dyDescent="0.2">
      <c r="B1776" t="str">
        <f>IFERROR(IF('PDCA review'!$D$2=Plan!B1777,Plan!G1777,""),"")</f>
        <v/>
      </c>
      <c r="C1776">
        <f t="shared" si="81"/>
        <v>0</v>
      </c>
      <c r="D1776">
        <f>SUM($C$3:C1776)</f>
        <v>7</v>
      </c>
      <c r="E1776" t="e">
        <f t="shared" si="82"/>
        <v>#N/A</v>
      </c>
      <c r="F1776" s="28" t="str">
        <f t="shared" ca="1" si="83"/>
        <v/>
      </c>
    </row>
    <row r="1777" spans="2:6" x14ac:dyDescent="0.2">
      <c r="B1777" t="str">
        <f>IFERROR(IF('PDCA review'!$D$2=Plan!B1778,Plan!G1778,""),"")</f>
        <v/>
      </c>
      <c r="C1777">
        <f t="shared" si="81"/>
        <v>0</v>
      </c>
      <c r="D1777">
        <f>SUM($C$3:C1777)</f>
        <v>7</v>
      </c>
      <c r="E1777" t="e">
        <f t="shared" si="82"/>
        <v>#N/A</v>
      </c>
      <c r="F1777" s="28" t="str">
        <f t="shared" ca="1" si="83"/>
        <v/>
      </c>
    </row>
    <row r="1778" spans="2:6" x14ac:dyDescent="0.2">
      <c r="B1778" t="str">
        <f>IFERROR(IF('PDCA review'!$D$2=Plan!B1779,Plan!G1779,""),"")</f>
        <v/>
      </c>
      <c r="C1778">
        <f t="shared" si="81"/>
        <v>0</v>
      </c>
      <c r="D1778">
        <f>SUM($C$3:C1778)</f>
        <v>7</v>
      </c>
      <c r="E1778" t="e">
        <f t="shared" si="82"/>
        <v>#N/A</v>
      </c>
      <c r="F1778" s="28" t="str">
        <f t="shared" ca="1" si="83"/>
        <v/>
      </c>
    </row>
    <row r="1779" spans="2:6" x14ac:dyDescent="0.2">
      <c r="B1779" t="str">
        <f>IFERROR(IF('PDCA review'!$D$2=Plan!B1780,Plan!G1780,""),"")</f>
        <v/>
      </c>
      <c r="C1779">
        <f t="shared" si="81"/>
        <v>0</v>
      </c>
      <c r="D1779">
        <f>SUM($C$3:C1779)</f>
        <v>7</v>
      </c>
      <c r="E1779" t="e">
        <f t="shared" si="82"/>
        <v>#N/A</v>
      </c>
      <c r="F1779" s="28" t="str">
        <f t="shared" ca="1" si="83"/>
        <v/>
      </c>
    </row>
    <row r="1780" spans="2:6" x14ac:dyDescent="0.2">
      <c r="B1780" t="str">
        <f>IFERROR(IF('PDCA review'!$D$2=Plan!B1781,Plan!G1781,""),"")</f>
        <v/>
      </c>
      <c r="C1780">
        <f t="shared" si="81"/>
        <v>0</v>
      </c>
      <c r="D1780">
        <f>SUM($C$3:C1780)</f>
        <v>7</v>
      </c>
      <c r="E1780" t="e">
        <f t="shared" si="82"/>
        <v>#N/A</v>
      </c>
      <c r="F1780" s="28" t="str">
        <f t="shared" ca="1" si="83"/>
        <v/>
      </c>
    </row>
    <row r="1781" spans="2:6" x14ac:dyDescent="0.2">
      <c r="B1781" t="str">
        <f>IFERROR(IF('PDCA review'!$D$2=Plan!B1782,Plan!G1782,""),"")</f>
        <v/>
      </c>
      <c r="C1781">
        <f t="shared" si="81"/>
        <v>0</v>
      </c>
      <c r="D1781">
        <f>SUM($C$3:C1781)</f>
        <v>7</v>
      </c>
      <c r="E1781" t="e">
        <f t="shared" si="82"/>
        <v>#N/A</v>
      </c>
      <c r="F1781" s="28" t="str">
        <f t="shared" ca="1" si="83"/>
        <v/>
      </c>
    </row>
    <row r="1782" spans="2:6" x14ac:dyDescent="0.2">
      <c r="B1782" t="str">
        <f>IFERROR(IF('PDCA review'!$D$2=Plan!B1783,Plan!G1783,""),"")</f>
        <v/>
      </c>
      <c r="C1782">
        <f t="shared" si="81"/>
        <v>0</v>
      </c>
      <c r="D1782">
        <f>SUM($C$3:C1782)</f>
        <v>7</v>
      </c>
      <c r="E1782" t="e">
        <f t="shared" si="82"/>
        <v>#N/A</v>
      </c>
      <c r="F1782" s="28" t="str">
        <f t="shared" ca="1" si="83"/>
        <v/>
      </c>
    </row>
    <row r="1783" spans="2:6" x14ac:dyDescent="0.2">
      <c r="B1783" t="str">
        <f>IFERROR(IF('PDCA review'!$D$2=Plan!B1784,Plan!G1784,""),"")</f>
        <v/>
      </c>
      <c r="C1783">
        <f t="shared" si="81"/>
        <v>0</v>
      </c>
      <c r="D1783">
        <f>SUM($C$3:C1783)</f>
        <v>7</v>
      </c>
      <c r="E1783" t="e">
        <f t="shared" si="82"/>
        <v>#N/A</v>
      </c>
      <c r="F1783" s="28" t="str">
        <f t="shared" ca="1" si="83"/>
        <v/>
      </c>
    </row>
    <row r="1784" spans="2:6" x14ac:dyDescent="0.2">
      <c r="B1784" t="str">
        <f>IFERROR(IF('PDCA review'!$D$2=Plan!B1785,Plan!G1785,""),"")</f>
        <v/>
      </c>
      <c r="C1784">
        <f t="shared" si="81"/>
        <v>0</v>
      </c>
      <c r="D1784">
        <f>SUM($C$3:C1784)</f>
        <v>7</v>
      </c>
      <c r="E1784" t="e">
        <f t="shared" si="82"/>
        <v>#N/A</v>
      </c>
      <c r="F1784" s="28" t="str">
        <f t="shared" ca="1" si="83"/>
        <v/>
      </c>
    </row>
    <row r="1785" spans="2:6" x14ac:dyDescent="0.2">
      <c r="B1785" t="str">
        <f>IFERROR(IF('PDCA review'!$D$2=Plan!B1786,Plan!G1786,""),"")</f>
        <v/>
      </c>
      <c r="C1785">
        <f t="shared" si="81"/>
        <v>0</v>
      </c>
      <c r="D1785">
        <f>SUM($C$3:C1785)</f>
        <v>7</v>
      </c>
      <c r="E1785" t="e">
        <f t="shared" si="82"/>
        <v>#N/A</v>
      </c>
      <c r="F1785" s="28" t="str">
        <f t="shared" ca="1" si="83"/>
        <v/>
      </c>
    </row>
    <row r="1786" spans="2:6" x14ac:dyDescent="0.2">
      <c r="B1786" t="str">
        <f>IFERROR(IF('PDCA review'!$D$2=Plan!B1787,Plan!G1787,""),"")</f>
        <v/>
      </c>
      <c r="C1786">
        <f t="shared" si="81"/>
        <v>0</v>
      </c>
      <c r="D1786">
        <f>SUM($C$3:C1786)</f>
        <v>7</v>
      </c>
      <c r="E1786" t="e">
        <f t="shared" si="82"/>
        <v>#N/A</v>
      </c>
      <c r="F1786" s="28" t="str">
        <f t="shared" ca="1" si="83"/>
        <v/>
      </c>
    </row>
    <row r="1787" spans="2:6" x14ac:dyDescent="0.2">
      <c r="B1787" t="str">
        <f>IFERROR(IF('PDCA review'!$D$2=Plan!B1788,Plan!G1788,""),"")</f>
        <v/>
      </c>
      <c r="C1787">
        <f t="shared" si="81"/>
        <v>0</v>
      </c>
      <c r="D1787">
        <f>SUM($C$3:C1787)</f>
        <v>7</v>
      </c>
      <c r="E1787" t="e">
        <f t="shared" si="82"/>
        <v>#N/A</v>
      </c>
      <c r="F1787" s="28" t="str">
        <f t="shared" ca="1" si="83"/>
        <v/>
      </c>
    </row>
    <row r="1788" spans="2:6" x14ac:dyDescent="0.2">
      <c r="B1788" t="str">
        <f>IFERROR(IF('PDCA review'!$D$2=Plan!B1789,Plan!G1789,""),"")</f>
        <v/>
      </c>
      <c r="C1788">
        <f t="shared" si="81"/>
        <v>0</v>
      </c>
      <c r="D1788">
        <f>SUM($C$3:C1788)</f>
        <v>7</v>
      </c>
      <c r="E1788" t="e">
        <f t="shared" si="82"/>
        <v>#N/A</v>
      </c>
      <c r="F1788" s="28" t="str">
        <f t="shared" ca="1" si="83"/>
        <v/>
      </c>
    </row>
    <row r="1789" spans="2:6" x14ac:dyDescent="0.2">
      <c r="B1789" t="str">
        <f>IFERROR(IF('PDCA review'!$D$2=Plan!B1790,Plan!G1790,""),"")</f>
        <v/>
      </c>
      <c r="C1789">
        <f t="shared" si="81"/>
        <v>0</v>
      </c>
      <c r="D1789">
        <f>SUM($C$3:C1789)</f>
        <v>7</v>
      </c>
      <c r="E1789" t="e">
        <f t="shared" si="82"/>
        <v>#N/A</v>
      </c>
      <c r="F1789" s="28" t="str">
        <f t="shared" ca="1" si="83"/>
        <v/>
      </c>
    </row>
    <row r="1790" spans="2:6" x14ac:dyDescent="0.2">
      <c r="B1790" t="str">
        <f>IFERROR(IF('PDCA review'!$D$2=Plan!B1791,Plan!G1791,""),"")</f>
        <v/>
      </c>
      <c r="C1790">
        <f t="shared" si="81"/>
        <v>0</v>
      </c>
      <c r="D1790">
        <f>SUM($C$3:C1790)</f>
        <v>7</v>
      </c>
      <c r="E1790" t="e">
        <f t="shared" si="82"/>
        <v>#N/A</v>
      </c>
      <c r="F1790" s="28" t="str">
        <f t="shared" ca="1" si="83"/>
        <v/>
      </c>
    </row>
    <row r="1791" spans="2:6" x14ac:dyDescent="0.2">
      <c r="B1791" t="str">
        <f>IFERROR(IF('PDCA review'!$D$2=Plan!B1792,Plan!G1792,""),"")</f>
        <v/>
      </c>
      <c r="C1791">
        <f t="shared" si="81"/>
        <v>0</v>
      </c>
      <c r="D1791">
        <f>SUM($C$3:C1791)</f>
        <v>7</v>
      </c>
      <c r="E1791" t="e">
        <f t="shared" si="82"/>
        <v>#N/A</v>
      </c>
      <c r="F1791" s="28" t="str">
        <f t="shared" ca="1" si="83"/>
        <v/>
      </c>
    </row>
    <row r="1792" spans="2:6" x14ac:dyDescent="0.2">
      <c r="B1792" t="str">
        <f>IFERROR(IF('PDCA review'!$D$2=Plan!B1793,Plan!G1793,""),"")</f>
        <v/>
      </c>
      <c r="C1792">
        <f t="shared" si="81"/>
        <v>0</v>
      </c>
      <c r="D1792">
        <f>SUM($C$3:C1792)</f>
        <v>7</v>
      </c>
      <c r="E1792" t="e">
        <f t="shared" si="82"/>
        <v>#N/A</v>
      </c>
      <c r="F1792" s="28" t="str">
        <f t="shared" ca="1" si="83"/>
        <v/>
      </c>
    </row>
    <row r="1793" spans="2:6" x14ac:dyDescent="0.2">
      <c r="B1793" t="str">
        <f>IFERROR(IF('PDCA review'!$D$2=Plan!B1794,Plan!G1794,""),"")</f>
        <v/>
      </c>
      <c r="C1793">
        <f t="shared" si="81"/>
        <v>0</v>
      </c>
      <c r="D1793">
        <f>SUM($C$3:C1793)</f>
        <v>7</v>
      </c>
      <c r="E1793" t="e">
        <f t="shared" si="82"/>
        <v>#N/A</v>
      </c>
      <c r="F1793" s="28" t="str">
        <f t="shared" ca="1" si="83"/>
        <v/>
      </c>
    </row>
    <row r="1794" spans="2:6" x14ac:dyDescent="0.2">
      <c r="B1794" t="str">
        <f>IFERROR(IF('PDCA review'!$D$2=Plan!B1795,Plan!G1795,""),"")</f>
        <v/>
      </c>
      <c r="C1794">
        <f t="shared" si="81"/>
        <v>0</v>
      </c>
      <c r="D1794">
        <f>SUM($C$3:C1794)</f>
        <v>7</v>
      </c>
      <c r="E1794" t="e">
        <f t="shared" si="82"/>
        <v>#N/A</v>
      </c>
      <c r="F1794" s="28" t="str">
        <f t="shared" ca="1" si="83"/>
        <v/>
      </c>
    </row>
    <row r="1795" spans="2:6" x14ac:dyDescent="0.2">
      <c r="B1795" t="str">
        <f>IFERROR(IF('PDCA review'!$D$2=Plan!B1796,Plan!G1796,""),"")</f>
        <v/>
      </c>
      <c r="C1795">
        <f t="shared" si="81"/>
        <v>0</v>
      </c>
      <c r="D1795">
        <f>SUM($C$3:C1795)</f>
        <v>7</v>
      </c>
      <c r="E1795" t="e">
        <f t="shared" si="82"/>
        <v>#N/A</v>
      </c>
      <c r="F1795" s="28" t="str">
        <f t="shared" ca="1" si="83"/>
        <v/>
      </c>
    </row>
    <row r="1796" spans="2:6" x14ac:dyDescent="0.2">
      <c r="B1796" t="str">
        <f>IFERROR(IF('PDCA review'!$D$2=Plan!B1797,Plan!G1797,""),"")</f>
        <v/>
      </c>
      <c r="C1796">
        <f t="shared" ref="C1796:C1859" si="84">IF(B1796&lt;&gt;"",1,0)</f>
        <v>0</v>
      </c>
      <c r="D1796">
        <f>SUM($C$3:C1796)</f>
        <v>7</v>
      </c>
      <c r="E1796" t="e">
        <f t="shared" ref="E1796:E1859" si="85">MATCH(ROW()-$D$2,$D$3:$D$2000,0)+$D$2</f>
        <v>#N/A</v>
      </c>
      <c r="F1796" s="28" t="str">
        <f t="shared" ref="F1796:F1859" ca="1" si="86">IFERROR(INDIRECT("B"&amp;E1796),"")</f>
        <v/>
      </c>
    </row>
    <row r="1797" spans="2:6" x14ac:dyDescent="0.2">
      <c r="B1797" t="str">
        <f>IFERROR(IF('PDCA review'!$D$2=Plan!B1798,Plan!G1798,""),"")</f>
        <v/>
      </c>
      <c r="C1797">
        <f t="shared" si="84"/>
        <v>0</v>
      </c>
      <c r="D1797">
        <f>SUM($C$3:C1797)</f>
        <v>7</v>
      </c>
      <c r="E1797" t="e">
        <f t="shared" si="85"/>
        <v>#N/A</v>
      </c>
      <c r="F1797" s="28" t="str">
        <f t="shared" ca="1" si="86"/>
        <v/>
      </c>
    </row>
    <row r="1798" spans="2:6" x14ac:dyDescent="0.2">
      <c r="B1798" t="str">
        <f>IFERROR(IF('PDCA review'!$D$2=Plan!B1799,Plan!G1799,""),"")</f>
        <v/>
      </c>
      <c r="C1798">
        <f t="shared" si="84"/>
        <v>0</v>
      </c>
      <c r="D1798">
        <f>SUM($C$3:C1798)</f>
        <v>7</v>
      </c>
      <c r="E1798" t="e">
        <f t="shared" si="85"/>
        <v>#N/A</v>
      </c>
      <c r="F1798" s="28" t="str">
        <f t="shared" ca="1" si="86"/>
        <v/>
      </c>
    </row>
    <row r="1799" spans="2:6" x14ac:dyDescent="0.2">
      <c r="B1799" t="str">
        <f>IFERROR(IF('PDCA review'!$D$2=Plan!B1800,Plan!G1800,""),"")</f>
        <v/>
      </c>
      <c r="C1799">
        <f t="shared" si="84"/>
        <v>0</v>
      </c>
      <c r="D1799">
        <f>SUM($C$3:C1799)</f>
        <v>7</v>
      </c>
      <c r="E1799" t="e">
        <f t="shared" si="85"/>
        <v>#N/A</v>
      </c>
      <c r="F1799" s="28" t="str">
        <f t="shared" ca="1" si="86"/>
        <v/>
      </c>
    </row>
    <row r="1800" spans="2:6" x14ac:dyDescent="0.2">
      <c r="B1800" t="str">
        <f>IFERROR(IF('PDCA review'!$D$2=Plan!B1801,Plan!G1801,""),"")</f>
        <v/>
      </c>
      <c r="C1800">
        <f t="shared" si="84"/>
        <v>0</v>
      </c>
      <c r="D1800">
        <f>SUM($C$3:C1800)</f>
        <v>7</v>
      </c>
      <c r="E1800" t="e">
        <f t="shared" si="85"/>
        <v>#N/A</v>
      </c>
      <c r="F1800" s="28" t="str">
        <f t="shared" ca="1" si="86"/>
        <v/>
      </c>
    </row>
    <row r="1801" spans="2:6" x14ac:dyDescent="0.2">
      <c r="B1801" t="str">
        <f>IFERROR(IF('PDCA review'!$D$2=Plan!B1802,Plan!G1802,""),"")</f>
        <v/>
      </c>
      <c r="C1801">
        <f t="shared" si="84"/>
        <v>0</v>
      </c>
      <c r="D1801">
        <f>SUM($C$3:C1801)</f>
        <v>7</v>
      </c>
      <c r="E1801" t="e">
        <f t="shared" si="85"/>
        <v>#N/A</v>
      </c>
      <c r="F1801" s="28" t="str">
        <f t="shared" ca="1" si="86"/>
        <v/>
      </c>
    </row>
    <row r="1802" spans="2:6" x14ac:dyDescent="0.2">
      <c r="B1802" t="str">
        <f>IFERROR(IF('PDCA review'!$D$2=Plan!B1803,Plan!G1803,""),"")</f>
        <v/>
      </c>
      <c r="C1802">
        <f t="shared" si="84"/>
        <v>0</v>
      </c>
      <c r="D1802">
        <f>SUM($C$3:C1802)</f>
        <v>7</v>
      </c>
      <c r="E1802" t="e">
        <f t="shared" si="85"/>
        <v>#N/A</v>
      </c>
      <c r="F1802" s="28" t="str">
        <f t="shared" ca="1" si="86"/>
        <v/>
      </c>
    </row>
    <row r="1803" spans="2:6" x14ac:dyDescent="0.2">
      <c r="B1803" t="str">
        <f>IFERROR(IF('PDCA review'!$D$2=Plan!B1804,Plan!G1804,""),"")</f>
        <v/>
      </c>
      <c r="C1803">
        <f t="shared" si="84"/>
        <v>0</v>
      </c>
      <c r="D1803">
        <f>SUM($C$3:C1803)</f>
        <v>7</v>
      </c>
      <c r="E1803" t="e">
        <f t="shared" si="85"/>
        <v>#N/A</v>
      </c>
      <c r="F1803" s="28" t="str">
        <f t="shared" ca="1" si="86"/>
        <v/>
      </c>
    </row>
    <row r="1804" spans="2:6" x14ac:dyDescent="0.2">
      <c r="B1804" t="str">
        <f>IFERROR(IF('PDCA review'!$D$2=Plan!B1805,Plan!G1805,""),"")</f>
        <v/>
      </c>
      <c r="C1804">
        <f t="shared" si="84"/>
        <v>0</v>
      </c>
      <c r="D1804">
        <f>SUM($C$3:C1804)</f>
        <v>7</v>
      </c>
      <c r="E1804" t="e">
        <f t="shared" si="85"/>
        <v>#N/A</v>
      </c>
      <c r="F1804" s="28" t="str">
        <f t="shared" ca="1" si="86"/>
        <v/>
      </c>
    </row>
    <row r="1805" spans="2:6" x14ac:dyDescent="0.2">
      <c r="B1805" t="str">
        <f>IFERROR(IF('PDCA review'!$D$2=Plan!B1806,Plan!G1806,""),"")</f>
        <v/>
      </c>
      <c r="C1805">
        <f t="shared" si="84"/>
        <v>0</v>
      </c>
      <c r="D1805">
        <f>SUM($C$3:C1805)</f>
        <v>7</v>
      </c>
      <c r="E1805" t="e">
        <f t="shared" si="85"/>
        <v>#N/A</v>
      </c>
      <c r="F1805" s="28" t="str">
        <f t="shared" ca="1" si="86"/>
        <v/>
      </c>
    </row>
    <row r="1806" spans="2:6" x14ac:dyDescent="0.2">
      <c r="B1806" t="str">
        <f>IFERROR(IF('PDCA review'!$D$2=Plan!B1807,Plan!G1807,""),"")</f>
        <v/>
      </c>
      <c r="C1806">
        <f t="shared" si="84"/>
        <v>0</v>
      </c>
      <c r="D1806">
        <f>SUM($C$3:C1806)</f>
        <v>7</v>
      </c>
      <c r="E1806" t="e">
        <f t="shared" si="85"/>
        <v>#N/A</v>
      </c>
      <c r="F1806" s="28" t="str">
        <f t="shared" ca="1" si="86"/>
        <v/>
      </c>
    </row>
    <row r="1807" spans="2:6" x14ac:dyDescent="0.2">
      <c r="B1807" t="str">
        <f>IFERROR(IF('PDCA review'!$D$2=Plan!B1808,Plan!G1808,""),"")</f>
        <v/>
      </c>
      <c r="C1807">
        <f t="shared" si="84"/>
        <v>0</v>
      </c>
      <c r="D1807">
        <f>SUM($C$3:C1807)</f>
        <v>7</v>
      </c>
      <c r="E1807" t="e">
        <f t="shared" si="85"/>
        <v>#N/A</v>
      </c>
      <c r="F1807" s="28" t="str">
        <f t="shared" ca="1" si="86"/>
        <v/>
      </c>
    </row>
    <row r="1808" spans="2:6" x14ac:dyDescent="0.2">
      <c r="B1808" t="str">
        <f>IFERROR(IF('PDCA review'!$D$2=Plan!B1809,Plan!G1809,""),"")</f>
        <v/>
      </c>
      <c r="C1808">
        <f t="shared" si="84"/>
        <v>0</v>
      </c>
      <c r="D1808">
        <f>SUM($C$3:C1808)</f>
        <v>7</v>
      </c>
      <c r="E1808" t="e">
        <f t="shared" si="85"/>
        <v>#N/A</v>
      </c>
      <c r="F1808" s="28" t="str">
        <f t="shared" ca="1" si="86"/>
        <v/>
      </c>
    </row>
    <row r="1809" spans="2:6" x14ac:dyDescent="0.2">
      <c r="B1809" t="str">
        <f>IFERROR(IF('PDCA review'!$D$2=Plan!B1810,Plan!G1810,""),"")</f>
        <v/>
      </c>
      <c r="C1809">
        <f t="shared" si="84"/>
        <v>0</v>
      </c>
      <c r="D1809">
        <f>SUM($C$3:C1809)</f>
        <v>7</v>
      </c>
      <c r="E1809" t="e">
        <f t="shared" si="85"/>
        <v>#N/A</v>
      </c>
      <c r="F1809" s="28" t="str">
        <f t="shared" ca="1" si="86"/>
        <v/>
      </c>
    </row>
    <row r="1810" spans="2:6" x14ac:dyDescent="0.2">
      <c r="B1810" t="str">
        <f>IFERROR(IF('PDCA review'!$D$2=Plan!B1811,Plan!G1811,""),"")</f>
        <v/>
      </c>
      <c r="C1810">
        <f t="shared" si="84"/>
        <v>0</v>
      </c>
      <c r="D1810">
        <f>SUM($C$3:C1810)</f>
        <v>7</v>
      </c>
      <c r="E1810" t="e">
        <f t="shared" si="85"/>
        <v>#N/A</v>
      </c>
      <c r="F1810" s="28" t="str">
        <f t="shared" ca="1" si="86"/>
        <v/>
      </c>
    </row>
    <row r="1811" spans="2:6" x14ac:dyDescent="0.2">
      <c r="B1811" t="str">
        <f>IFERROR(IF('PDCA review'!$D$2=Plan!B1812,Plan!G1812,""),"")</f>
        <v/>
      </c>
      <c r="C1811">
        <f t="shared" si="84"/>
        <v>0</v>
      </c>
      <c r="D1811">
        <f>SUM($C$3:C1811)</f>
        <v>7</v>
      </c>
      <c r="E1811" t="e">
        <f t="shared" si="85"/>
        <v>#N/A</v>
      </c>
      <c r="F1811" s="28" t="str">
        <f t="shared" ca="1" si="86"/>
        <v/>
      </c>
    </row>
    <row r="1812" spans="2:6" x14ac:dyDescent="0.2">
      <c r="B1812" t="str">
        <f>IFERROR(IF('PDCA review'!$D$2=Plan!B1813,Plan!G1813,""),"")</f>
        <v/>
      </c>
      <c r="C1812">
        <f t="shared" si="84"/>
        <v>0</v>
      </c>
      <c r="D1812">
        <f>SUM($C$3:C1812)</f>
        <v>7</v>
      </c>
      <c r="E1812" t="e">
        <f t="shared" si="85"/>
        <v>#N/A</v>
      </c>
      <c r="F1812" s="28" t="str">
        <f t="shared" ca="1" si="86"/>
        <v/>
      </c>
    </row>
    <row r="1813" spans="2:6" x14ac:dyDescent="0.2">
      <c r="B1813" t="str">
        <f>IFERROR(IF('PDCA review'!$D$2=Plan!B1814,Plan!G1814,""),"")</f>
        <v/>
      </c>
      <c r="C1813">
        <f t="shared" si="84"/>
        <v>0</v>
      </c>
      <c r="D1813">
        <f>SUM($C$3:C1813)</f>
        <v>7</v>
      </c>
      <c r="E1813" t="e">
        <f t="shared" si="85"/>
        <v>#N/A</v>
      </c>
      <c r="F1813" s="28" t="str">
        <f t="shared" ca="1" si="86"/>
        <v/>
      </c>
    </row>
    <row r="1814" spans="2:6" x14ac:dyDescent="0.2">
      <c r="B1814" t="str">
        <f>IFERROR(IF('PDCA review'!$D$2=Plan!B1815,Plan!G1815,""),"")</f>
        <v/>
      </c>
      <c r="C1814">
        <f t="shared" si="84"/>
        <v>0</v>
      </c>
      <c r="D1814">
        <f>SUM($C$3:C1814)</f>
        <v>7</v>
      </c>
      <c r="E1814" t="e">
        <f t="shared" si="85"/>
        <v>#N/A</v>
      </c>
      <c r="F1814" s="28" t="str">
        <f t="shared" ca="1" si="86"/>
        <v/>
      </c>
    </row>
    <row r="1815" spans="2:6" x14ac:dyDescent="0.2">
      <c r="B1815" t="str">
        <f>IFERROR(IF('PDCA review'!$D$2=Plan!B1816,Plan!G1816,""),"")</f>
        <v/>
      </c>
      <c r="C1815">
        <f t="shared" si="84"/>
        <v>0</v>
      </c>
      <c r="D1815">
        <f>SUM($C$3:C1815)</f>
        <v>7</v>
      </c>
      <c r="E1815" t="e">
        <f t="shared" si="85"/>
        <v>#N/A</v>
      </c>
      <c r="F1815" s="28" t="str">
        <f t="shared" ca="1" si="86"/>
        <v/>
      </c>
    </row>
    <row r="1816" spans="2:6" x14ac:dyDescent="0.2">
      <c r="B1816" t="str">
        <f>IFERROR(IF('PDCA review'!$D$2=Plan!B1817,Plan!G1817,""),"")</f>
        <v/>
      </c>
      <c r="C1816">
        <f t="shared" si="84"/>
        <v>0</v>
      </c>
      <c r="D1816">
        <f>SUM($C$3:C1816)</f>
        <v>7</v>
      </c>
      <c r="E1816" t="e">
        <f t="shared" si="85"/>
        <v>#N/A</v>
      </c>
      <c r="F1816" s="28" t="str">
        <f t="shared" ca="1" si="86"/>
        <v/>
      </c>
    </row>
    <row r="1817" spans="2:6" x14ac:dyDescent="0.2">
      <c r="B1817" t="str">
        <f>IFERROR(IF('PDCA review'!$D$2=Plan!B1818,Plan!G1818,""),"")</f>
        <v/>
      </c>
      <c r="C1817">
        <f t="shared" si="84"/>
        <v>0</v>
      </c>
      <c r="D1817">
        <f>SUM($C$3:C1817)</f>
        <v>7</v>
      </c>
      <c r="E1817" t="e">
        <f t="shared" si="85"/>
        <v>#N/A</v>
      </c>
      <c r="F1817" s="28" t="str">
        <f t="shared" ca="1" si="86"/>
        <v/>
      </c>
    </row>
    <row r="1818" spans="2:6" x14ac:dyDescent="0.2">
      <c r="B1818" t="str">
        <f>IFERROR(IF('PDCA review'!$D$2=Plan!B1819,Plan!G1819,""),"")</f>
        <v/>
      </c>
      <c r="C1818">
        <f t="shared" si="84"/>
        <v>0</v>
      </c>
      <c r="D1818">
        <f>SUM($C$3:C1818)</f>
        <v>7</v>
      </c>
      <c r="E1818" t="e">
        <f t="shared" si="85"/>
        <v>#N/A</v>
      </c>
      <c r="F1818" s="28" t="str">
        <f t="shared" ca="1" si="86"/>
        <v/>
      </c>
    </row>
    <row r="1819" spans="2:6" x14ac:dyDescent="0.2">
      <c r="B1819" t="str">
        <f>IFERROR(IF('PDCA review'!$D$2=Plan!B1820,Plan!G1820,""),"")</f>
        <v/>
      </c>
      <c r="C1819">
        <f t="shared" si="84"/>
        <v>0</v>
      </c>
      <c r="D1819">
        <f>SUM($C$3:C1819)</f>
        <v>7</v>
      </c>
      <c r="E1819" t="e">
        <f t="shared" si="85"/>
        <v>#N/A</v>
      </c>
      <c r="F1819" s="28" t="str">
        <f t="shared" ca="1" si="86"/>
        <v/>
      </c>
    </row>
    <row r="1820" spans="2:6" x14ac:dyDescent="0.2">
      <c r="B1820" t="str">
        <f>IFERROR(IF('PDCA review'!$D$2=Plan!B1821,Plan!G1821,""),"")</f>
        <v/>
      </c>
      <c r="C1820">
        <f t="shared" si="84"/>
        <v>0</v>
      </c>
      <c r="D1820">
        <f>SUM($C$3:C1820)</f>
        <v>7</v>
      </c>
      <c r="E1820" t="e">
        <f t="shared" si="85"/>
        <v>#N/A</v>
      </c>
      <c r="F1820" s="28" t="str">
        <f t="shared" ca="1" si="86"/>
        <v/>
      </c>
    </row>
    <row r="1821" spans="2:6" x14ac:dyDescent="0.2">
      <c r="B1821" t="str">
        <f>IFERROR(IF('PDCA review'!$D$2=Plan!B1822,Plan!G1822,""),"")</f>
        <v/>
      </c>
      <c r="C1821">
        <f t="shared" si="84"/>
        <v>0</v>
      </c>
      <c r="D1821">
        <f>SUM($C$3:C1821)</f>
        <v>7</v>
      </c>
      <c r="E1821" t="e">
        <f t="shared" si="85"/>
        <v>#N/A</v>
      </c>
      <c r="F1821" s="28" t="str">
        <f t="shared" ca="1" si="86"/>
        <v/>
      </c>
    </row>
    <row r="1822" spans="2:6" x14ac:dyDescent="0.2">
      <c r="B1822" t="str">
        <f>IFERROR(IF('PDCA review'!$D$2=Plan!B1823,Plan!G1823,""),"")</f>
        <v/>
      </c>
      <c r="C1822">
        <f t="shared" si="84"/>
        <v>0</v>
      </c>
      <c r="D1822">
        <f>SUM($C$3:C1822)</f>
        <v>7</v>
      </c>
      <c r="E1822" t="e">
        <f t="shared" si="85"/>
        <v>#N/A</v>
      </c>
      <c r="F1822" s="28" t="str">
        <f t="shared" ca="1" si="86"/>
        <v/>
      </c>
    </row>
    <row r="1823" spans="2:6" x14ac:dyDescent="0.2">
      <c r="B1823" t="str">
        <f>IFERROR(IF('PDCA review'!$D$2=Plan!B1824,Plan!G1824,""),"")</f>
        <v/>
      </c>
      <c r="C1823">
        <f t="shared" si="84"/>
        <v>0</v>
      </c>
      <c r="D1823">
        <f>SUM($C$3:C1823)</f>
        <v>7</v>
      </c>
      <c r="E1823" t="e">
        <f t="shared" si="85"/>
        <v>#N/A</v>
      </c>
      <c r="F1823" s="28" t="str">
        <f t="shared" ca="1" si="86"/>
        <v/>
      </c>
    </row>
    <row r="1824" spans="2:6" x14ac:dyDescent="0.2">
      <c r="B1824" t="str">
        <f>IFERROR(IF('PDCA review'!$D$2=Plan!B1825,Plan!G1825,""),"")</f>
        <v/>
      </c>
      <c r="C1824">
        <f t="shared" si="84"/>
        <v>0</v>
      </c>
      <c r="D1824">
        <f>SUM($C$3:C1824)</f>
        <v>7</v>
      </c>
      <c r="E1824" t="e">
        <f t="shared" si="85"/>
        <v>#N/A</v>
      </c>
      <c r="F1824" s="28" t="str">
        <f t="shared" ca="1" si="86"/>
        <v/>
      </c>
    </row>
    <row r="1825" spans="2:6" x14ac:dyDescent="0.2">
      <c r="B1825" t="str">
        <f>IFERROR(IF('PDCA review'!$D$2=Plan!B1826,Plan!G1826,""),"")</f>
        <v/>
      </c>
      <c r="C1825">
        <f t="shared" si="84"/>
        <v>0</v>
      </c>
      <c r="D1825">
        <f>SUM($C$3:C1825)</f>
        <v>7</v>
      </c>
      <c r="E1825" t="e">
        <f t="shared" si="85"/>
        <v>#N/A</v>
      </c>
      <c r="F1825" s="28" t="str">
        <f t="shared" ca="1" si="86"/>
        <v/>
      </c>
    </row>
    <row r="1826" spans="2:6" x14ac:dyDescent="0.2">
      <c r="B1826" t="str">
        <f>IFERROR(IF('PDCA review'!$D$2=Plan!B1827,Plan!G1827,""),"")</f>
        <v/>
      </c>
      <c r="C1826">
        <f t="shared" si="84"/>
        <v>0</v>
      </c>
      <c r="D1826">
        <f>SUM($C$3:C1826)</f>
        <v>7</v>
      </c>
      <c r="E1826" t="e">
        <f t="shared" si="85"/>
        <v>#N/A</v>
      </c>
      <c r="F1826" s="28" t="str">
        <f t="shared" ca="1" si="86"/>
        <v/>
      </c>
    </row>
    <row r="1827" spans="2:6" x14ac:dyDescent="0.2">
      <c r="B1827" t="str">
        <f>IFERROR(IF('PDCA review'!$D$2=Plan!B1828,Plan!G1828,""),"")</f>
        <v/>
      </c>
      <c r="C1827">
        <f t="shared" si="84"/>
        <v>0</v>
      </c>
      <c r="D1827">
        <f>SUM($C$3:C1827)</f>
        <v>7</v>
      </c>
      <c r="E1827" t="e">
        <f t="shared" si="85"/>
        <v>#N/A</v>
      </c>
      <c r="F1827" s="28" t="str">
        <f t="shared" ca="1" si="86"/>
        <v/>
      </c>
    </row>
    <row r="1828" spans="2:6" x14ac:dyDescent="0.2">
      <c r="B1828" t="str">
        <f>IFERROR(IF('PDCA review'!$D$2=Plan!B1829,Plan!G1829,""),"")</f>
        <v/>
      </c>
      <c r="C1828">
        <f t="shared" si="84"/>
        <v>0</v>
      </c>
      <c r="D1828">
        <f>SUM($C$3:C1828)</f>
        <v>7</v>
      </c>
      <c r="E1828" t="e">
        <f t="shared" si="85"/>
        <v>#N/A</v>
      </c>
      <c r="F1828" s="28" t="str">
        <f t="shared" ca="1" si="86"/>
        <v/>
      </c>
    </row>
    <row r="1829" spans="2:6" x14ac:dyDescent="0.2">
      <c r="B1829" t="str">
        <f>IFERROR(IF('PDCA review'!$D$2=Plan!B1830,Plan!G1830,""),"")</f>
        <v/>
      </c>
      <c r="C1829">
        <f t="shared" si="84"/>
        <v>0</v>
      </c>
      <c r="D1829">
        <f>SUM($C$3:C1829)</f>
        <v>7</v>
      </c>
      <c r="E1829" t="e">
        <f t="shared" si="85"/>
        <v>#N/A</v>
      </c>
      <c r="F1829" s="28" t="str">
        <f t="shared" ca="1" si="86"/>
        <v/>
      </c>
    </row>
    <row r="1830" spans="2:6" x14ac:dyDescent="0.2">
      <c r="B1830" t="str">
        <f>IFERROR(IF('PDCA review'!$D$2=Plan!B1831,Plan!G1831,""),"")</f>
        <v/>
      </c>
      <c r="C1830">
        <f t="shared" si="84"/>
        <v>0</v>
      </c>
      <c r="D1830">
        <f>SUM($C$3:C1830)</f>
        <v>7</v>
      </c>
      <c r="E1830" t="e">
        <f t="shared" si="85"/>
        <v>#N/A</v>
      </c>
      <c r="F1830" s="28" t="str">
        <f t="shared" ca="1" si="86"/>
        <v/>
      </c>
    </row>
    <row r="1831" spans="2:6" x14ac:dyDescent="0.2">
      <c r="B1831" t="str">
        <f>IFERROR(IF('PDCA review'!$D$2=Plan!B1832,Plan!G1832,""),"")</f>
        <v/>
      </c>
      <c r="C1831">
        <f t="shared" si="84"/>
        <v>0</v>
      </c>
      <c r="D1831">
        <f>SUM($C$3:C1831)</f>
        <v>7</v>
      </c>
      <c r="E1831" t="e">
        <f t="shared" si="85"/>
        <v>#N/A</v>
      </c>
      <c r="F1831" s="28" t="str">
        <f t="shared" ca="1" si="86"/>
        <v/>
      </c>
    </row>
    <row r="1832" spans="2:6" x14ac:dyDescent="0.2">
      <c r="B1832" t="str">
        <f>IFERROR(IF('PDCA review'!$D$2=Plan!B1833,Plan!G1833,""),"")</f>
        <v/>
      </c>
      <c r="C1832">
        <f t="shared" si="84"/>
        <v>0</v>
      </c>
      <c r="D1832">
        <f>SUM($C$3:C1832)</f>
        <v>7</v>
      </c>
      <c r="E1832" t="e">
        <f t="shared" si="85"/>
        <v>#N/A</v>
      </c>
      <c r="F1832" s="28" t="str">
        <f t="shared" ca="1" si="86"/>
        <v/>
      </c>
    </row>
    <row r="1833" spans="2:6" x14ac:dyDescent="0.2">
      <c r="B1833" t="str">
        <f>IFERROR(IF('PDCA review'!$D$2=Plan!B1834,Plan!G1834,""),"")</f>
        <v/>
      </c>
      <c r="C1833">
        <f t="shared" si="84"/>
        <v>0</v>
      </c>
      <c r="D1833">
        <f>SUM($C$3:C1833)</f>
        <v>7</v>
      </c>
      <c r="E1833" t="e">
        <f t="shared" si="85"/>
        <v>#N/A</v>
      </c>
      <c r="F1833" s="28" t="str">
        <f t="shared" ca="1" si="86"/>
        <v/>
      </c>
    </row>
    <row r="1834" spans="2:6" x14ac:dyDescent="0.2">
      <c r="B1834" t="str">
        <f>IFERROR(IF('PDCA review'!$D$2=Plan!B1835,Plan!G1835,""),"")</f>
        <v/>
      </c>
      <c r="C1834">
        <f t="shared" si="84"/>
        <v>0</v>
      </c>
      <c r="D1834">
        <f>SUM($C$3:C1834)</f>
        <v>7</v>
      </c>
      <c r="E1834" t="e">
        <f t="shared" si="85"/>
        <v>#N/A</v>
      </c>
      <c r="F1834" s="28" t="str">
        <f t="shared" ca="1" si="86"/>
        <v/>
      </c>
    </row>
    <row r="1835" spans="2:6" x14ac:dyDescent="0.2">
      <c r="B1835" t="str">
        <f>IFERROR(IF('PDCA review'!$D$2=Plan!B1836,Plan!G1836,""),"")</f>
        <v/>
      </c>
      <c r="C1835">
        <f t="shared" si="84"/>
        <v>0</v>
      </c>
      <c r="D1835">
        <f>SUM($C$3:C1835)</f>
        <v>7</v>
      </c>
      <c r="E1835" t="e">
        <f t="shared" si="85"/>
        <v>#N/A</v>
      </c>
      <c r="F1835" s="28" t="str">
        <f t="shared" ca="1" si="86"/>
        <v/>
      </c>
    </row>
    <row r="1836" spans="2:6" x14ac:dyDescent="0.2">
      <c r="B1836" t="str">
        <f>IFERROR(IF('PDCA review'!$D$2=Plan!B1837,Plan!G1837,""),"")</f>
        <v/>
      </c>
      <c r="C1836">
        <f t="shared" si="84"/>
        <v>0</v>
      </c>
      <c r="D1836">
        <f>SUM($C$3:C1836)</f>
        <v>7</v>
      </c>
      <c r="E1836" t="e">
        <f t="shared" si="85"/>
        <v>#N/A</v>
      </c>
      <c r="F1836" s="28" t="str">
        <f t="shared" ca="1" si="86"/>
        <v/>
      </c>
    </row>
    <row r="1837" spans="2:6" x14ac:dyDescent="0.2">
      <c r="B1837" t="str">
        <f>IFERROR(IF('PDCA review'!$D$2=Plan!B1838,Plan!G1838,""),"")</f>
        <v/>
      </c>
      <c r="C1837">
        <f t="shared" si="84"/>
        <v>0</v>
      </c>
      <c r="D1837">
        <f>SUM($C$3:C1837)</f>
        <v>7</v>
      </c>
      <c r="E1837" t="e">
        <f t="shared" si="85"/>
        <v>#N/A</v>
      </c>
      <c r="F1837" s="28" t="str">
        <f t="shared" ca="1" si="86"/>
        <v/>
      </c>
    </row>
    <row r="1838" spans="2:6" x14ac:dyDescent="0.2">
      <c r="B1838" t="str">
        <f>IFERROR(IF('PDCA review'!$D$2=Plan!B1839,Plan!G1839,""),"")</f>
        <v/>
      </c>
      <c r="C1838">
        <f t="shared" si="84"/>
        <v>0</v>
      </c>
      <c r="D1838">
        <f>SUM($C$3:C1838)</f>
        <v>7</v>
      </c>
      <c r="E1838" t="e">
        <f t="shared" si="85"/>
        <v>#N/A</v>
      </c>
      <c r="F1838" s="28" t="str">
        <f t="shared" ca="1" si="86"/>
        <v/>
      </c>
    </row>
    <row r="1839" spans="2:6" x14ac:dyDescent="0.2">
      <c r="B1839" t="str">
        <f>IFERROR(IF('PDCA review'!$D$2=Plan!B1840,Plan!G1840,""),"")</f>
        <v/>
      </c>
      <c r="C1839">
        <f t="shared" si="84"/>
        <v>0</v>
      </c>
      <c r="D1839">
        <f>SUM($C$3:C1839)</f>
        <v>7</v>
      </c>
      <c r="E1839" t="e">
        <f t="shared" si="85"/>
        <v>#N/A</v>
      </c>
      <c r="F1839" s="28" t="str">
        <f t="shared" ca="1" si="86"/>
        <v/>
      </c>
    </row>
    <row r="1840" spans="2:6" x14ac:dyDescent="0.2">
      <c r="B1840" t="str">
        <f>IFERROR(IF('PDCA review'!$D$2=Plan!B1841,Plan!G1841,""),"")</f>
        <v/>
      </c>
      <c r="C1840">
        <f t="shared" si="84"/>
        <v>0</v>
      </c>
      <c r="D1840">
        <f>SUM($C$3:C1840)</f>
        <v>7</v>
      </c>
      <c r="E1840" t="e">
        <f t="shared" si="85"/>
        <v>#N/A</v>
      </c>
      <c r="F1840" s="28" t="str">
        <f t="shared" ca="1" si="86"/>
        <v/>
      </c>
    </row>
    <row r="1841" spans="2:6" x14ac:dyDescent="0.2">
      <c r="B1841" t="str">
        <f>IFERROR(IF('PDCA review'!$D$2=Plan!B1842,Plan!G1842,""),"")</f>
        <v/>
      </c>
      <c r="C1841">
        <f t="shared" si="84"/>
        <v>0</v>
      </c>
      <c r="D1841">
        <f>SUM($C$3:C1841)</f>
        <v>7</v>
      </c>
      <c r="E1841" t="e">
        <f t="shared" si="85"/>
        <v>#N/A</v>
      </c>
      <c r="F1841" s="28" t="str">
        <f t="shared" ca="1" si="86"/>
        <v/>
      </c>
    </row>
    <row r="1842" spans="2:6" x14ac:dyDescent="0.2">
      <c r="B1842" t="str">
        <f>IFERROR(IF('PDCA review'!$D$2=Plan!B1843,Plan!G1843,""),"")</f>
        <v/>
      </c>
      <c r="C1842">
        <f t="shared" si="84"/>
        <v>0</v>
      </c>
      <c r="D1842">
        <f>SUM($C$3:C1842)</f>
        <v>7</v>
      </c>
      <c r="E1842" t="e">
        <f t="shared" si="85"/>
        <v>#N/A</v>
      </c>
      <c r="F1842" s="28" t="str">
        <f t="shared" ca="1" si="86"/>
        <v/>
      </c>
    </row>
    <row r="1843" spans="2:6" x14ac:dyDescent="0.2">
      <c r="B1843" t="str">
        <f>IFERROR(IF('PDCA review'!$D$2=Plan!B1844,Plan!G1844,""),"")</f>
        <v/>
      </c>
      <c r="C1843">
        <f t="shared" si="84"/>
        <v>0</v>
      </c>
      <c r="D1843">
        <f>SUM($C$3:C1843)</f>
        <v>7</v>
      </c>
      <c r="E1843" t="e">
        <f t="shared" si="85"/>
        <v>#N/A</v>
      </c>
      <c r="F1843" s="28" t="str">
        <f t="shared" ca="1" si="86"/>
        <v/>
      </c>
    </row>
    <row r="1844" spans="2:6" x14ac:dyDescent="0.2">
      <c r="B1844" t="str">
        <f>IFERROR(IF('PDCA review'!$D$2=Plan!B1845,Plan!G1845,""),"")</f>
        <v/>
      </c>
      <c r="C1844">
        <f t="shared" si="84"/>
        <v>0</v>
      </c>
      <c r="D1844">
        <f>SUM($C$3:C1844)</f>
        <v>7</v>
      </c>
      <c r="E1844" t="e">
        <f t="shared" si="85"/>
        <v>#N/A</v>
      </c>
      <c r="F1844" s="28" t="str">
        <f t="shared" ca="1" si="86"/>
        <v/>
      </c>
    </row>
    <row r="1845" spans="2:6" x14ac:dyDescent="0.2">
      <c r="B1845" t="str">
        <f>IFERROR(IF('PDCA review'!$D$2=Plan!B1846,Plan!G1846,""),"")</f>
        <v/>
      </c>
      <c r="C1845">
        <f t="shared" si="84"/>
        <v>0</v>
      </c>
      <c r="D1845">
        <f>SUM($C$3:C1845)</f>
        <v>7</v>
      </c>
      <c r="E1845" t="e">
        <f t="shared" si="85"/>
        <v>#N/A</v>
      </c>
      <c r="F1845" s="28" t="str">
        <f t="shared" ca="1" si="86"/>
        <v/>
      </c>
    </row>
    <row r="1846" spans="2:6" x14ac:dyDescent="0.2">
      <c r="B1846" t="str">
        <f>IFERROR(IF('PDCA review'!$D$2=Plan!B1847,Plan!G1847,""),"")</f>
        <v/>
      </c>
      <c r="C1846">
        <f t="shared" si="84"/>
        <v>0</v>
      </c>
      <c r="D1846">
        <f>SUM($C$3:C1846)</f>
        <v>7</v>
      </c>
      <c r="E1846" t="e">
        <f t="shared" si="85"/>
        <v>#N/A</v>
      </c>
      <c r="F1846" s="28" t="str">
        <f t="shared" ca="1" si="86"/>
        <v/>
      </c>
    </row>
    <row r="1847" spans="2:6" x14ac:dyDescent="0.2">
      <c r="B1847" t="str">
        <f>IFERROR(IF('PDCA review'!$D$2=Plan!B1848,Plan!G1848,""),"")</f>
        <v/>
      </c>
      <c r="C1847">
        <f t="shared" si="84"/>
        <v>0</v>
      </c>
      <c r="D1847">
        <f>SUM($C$3:C1847)</f>
        <v>7</v>
      </c>
      <c r="E1847" t="e">
        <f t="shared" si="85"/>
        <v>#N/A</v>
      </c>
      <c r="F1847" s="28" t="str">
        <f t="shared" ca="1" si="86"/>
        <v/>
      </c>
    </row>
    <row r="1848" spans="2:6" x14ac:dyDescent="0.2">
      <c r="B1848" t="str">
        <f>IFERROR(IF('PDCA review'!$D$2=Plan!B1849,Plan!G1849,""),"")</f>
        <v/>
      </c>
      <c r="C1848">
        <f t="shared" si="84"/>
        <v>0</v>
      </c>
      <c r="D1848">
        <f>SUM($C$3:C1848)</f>
        <v>7</v>
      </c>
      <c r="E1848" t="e">
        <f t="shared" si="85"/>
        <v>#N/A</v>
      </c>
      <c r="F1848" s="28" t="str">
        <f t="shared" ca="1" si="86"/>
        <v/>
      </c>
    </row>
    <row r="1849" spans="2:6" x14ac:dyDescent="0.2">
      <c r="B1849" t="str">
        <f>IFERROR(IF('PDCA review'!$D$2=Plan!B1850,Plan!G1850,""),"")</f>
        <v/>
      </c>
      <c r="C1849">
        <f t="shared" si="84"/>
        <v>0</v>
      </c>
      <c r="D1849">
        <f>SUM($C$3:C1849)</f>
        <v>7</v>
      </c>
      <c r="E1849" t="e">
        <f t="shared" si="85"/>
        <v>#N/A</v>
      </c>
      <c r="F1849" s="28" t="str">
        <f t="shared" ca="1" si="86"/>
        <v/>
      </c>
    </row>
    <row r="1850" spans="2:6" x14ac:dyDescent="0.2">
      <c r="B1850" t="str">
        <f>IFERROR(IF('PDCA review'!$D$2=Plan!B1851,Plan!G1851,""),"")</f>
        <v/>
      </c>
      <c r="C1850">
        <f t="shared" si="84"/>
        <v>0</v>
      </c>
      <c r="D1850">
        <f>SUM($C$3:C1850)</f>
        <v>7</v>
      </c>
      <c r="E1850" t="e">
        <f t="shared" si="85"/>
        <v>#N/A</v>
      </c>
      <c r="F1850" s="28" t="str">
        <f t="shared" ca="1" si="86"/>
        <v/>
      </c>
    </row>
    <row r="1851" spans="2:6" x14ac:dyDescent="0.2">
      <c r="B1851" t="str">
        <f>IFERROR(IF('PDCA review'!$D$2=Plan!B1852,Plan!G1852,""),"")</f>
        <v/>
      </c>
      <c r="C1851">
        <f t="shared" si="84"/>
        <v>0</v>
      </c>
      <c r="D1851">
        <f>SUM($C$3:C1851)</f>
        <v>7</v>
      </c>
      <c r="E1851" t="e">
        <f t="shared" si="85"/>
        <v>#N/A</v>
      </c>
      <c r="F1851" s="28" t="str">
        <f t="shared" ca="1" si="86"/>
        <v/>
      </c>
    </row>
    <row r="1852" spans="2:6" x14ac:dyDescent="0.2">
      <c r="B1852" t="str">
        <f>IFERROR(IF('PDCA review'!$D$2=Plan!B1853,Plan!G1853,""),"")</f>
        <v/>
      </c>
      <c r="C1852">
        <f t="shared" si="84"/>
        <v>0</v>
      </c>
      <c r="D1852">
        <f>SUM($C$3:C1852)</f>
        <v>7</v>
      </c>
      <c r="E1852" t="e">
        <f t="shared" si="85"/>
        <v>#N/A</v>
      </c>
      <c r="F1852" s="28" t="str">
        <f t="shared" ca="1" si="86"/>
        <v/>
      </c>
    </row>
    <row r="1853" spans="2:6" x14ac:dyDescent="0.2">
      <c r="B1853" t="str">
        <f>IFERROR(IF('PDCA review'!$D$2=Plan!B1854,Plan!G1854,""),"")</f>
        <v/>
      </c>
      <c r="C1853">
        <f t="shared" si="84"/>
        <v>0</v>
      </c>
      <c r="D1853">
        <f>SUM($C$3:C1853)</f>
        <v>7</v>
      </c>
      <c r="E1853" t="e">
        <f t="shared" si="85"/>
        <v>#N/A</v>
      </c>
      <c r="F1853" s="28" t="str">
        <f t="shared" ca="1" si="86"/>
        <v/>
      </c>
    </row>
    <row r="1854" spans="2:6" x14ac:dyDescent="0.2">
      <c r="B1854" t="str">
        <f>IFERROR(IF('PDCA review'!$D$2=Plan!B1855,Plan!G1855,""),"")</f>
        <v/>
      </c>
      <c r="C1854">
        <f t="shared" si="84"/>
        <v>0</v>
      </c>
      <c r="D1854">
        <f>SUM($C$3:C1854)</f>
        <v>7</v>
      </c>
      <c r="E1854" t="e">
        <f t="shared" si="85"/>
        <v>#N/A</v>
      </c>
      <c r="F1854" s="28" t="str">
        <f t="shared" ca="1" si="86"/>
        <v/>
      </c>
    </row>
    <row r="1855" spans="2:6" x14ac:dyDescent="0.2">
      <c r="B1855" t="str">
        <f>IFERROR(IF('PDCA review'!$D$2=Plan!B1856,Plan!G1856,""),"")</f>
        <v/>
      </c>
      <c r="C1855">
        <f t="shared" si="84"/>
        <v>0</v>
      </c>
      <c r="D1855">
        <f>SUM($C$3:C1855)</f>
        <v>7</v>
      </c>
      <c r="E1855" t="e">
        <f t="shared" si="85"/>
        <v>#N/A</v>
      </c>
      <c r="F1855" s="28" t="str">
        <f t="shared" ca="1" si="86"/>
        <v/>
      </c>
    </row>
    <row r="1856" spans="2:6" x14ac:dyDescent="0.2">
      <c r="B1856" t="str">
        <f>IFERROR(IF('PDCA review'!$D$2=Plan!B1857,Plan!G1857,""),"")</f>
        <v/>
      </c>
      <c r="C1856">
        <f t="shared" si="84"/>
        <v>0</v>
      </c>
      <c r="D1856">
        <f>SUM($C$3:C1856)</f>
        <v>7</v>
      </c>
      <c r="E1856" t="e">
        <f t="shared" si="85"/>
        <v>#N/A</v>
      </c>
      <c r="F1856" s="28" t="str">
        <f t="shared" ca="1" si="86"/>
        <v/>
      </c>
    </row>
    <row r="1857" spans="2:6" x14ac:dyDescent="0.2">
      <c r="B1857" t="str">
        <f>IFERROR(IF('PDCA review'!$D$2=Plan!B1858,Plan!G1858,""),"")</f>
        <v/>
      </c>
      <c r="C1857">
        <f t="shared" si="84"/>
        <v>0</v>
      </c>
      <c r="D1857">
        <f>SUM($C$3:C1857)</f>
        <v>7</v>
      </c>
      <c r="E1857" t="e">
        <f t="shared" si="85"/>
        <v>#N/A</v>
      </c>
      <c r="F1857" s="28" t="str">
        <f t="shared" ca="1" si="86"/>
        <v/>
      </c>
    </row>
    <row r="1858" spans="2:6" x14ac:dyDescent="0.2">
      <c r="B1858" t="str">
        <f>IFERROR(IF('PDCA review'!$D$2=Plan!B1859,Plan!G1859,""),"")</f>
        <v/>
      </c>
      <c r="C1858">
        <f t="shared" si="84"/>
        <v>0</v>
      </c>
      <c r="D1858">
        <f>SUM($C$3:C1858)</f>
        <v>7</v>
      </c>
      <c r="E1858" t="e">
        <f t="shared" si="85"/>
        <v>#N/A</v>
      </c>
      <c r="F1858" s="28" t="str">
        <f t="shared" ca="1" si="86"/>
        <v/>
      </c>
    </row>
    <row r="1859" spans="2:6" x14ac:dyDescent="0.2">
      <c r="B1859" t="str">
        <f>IFERROR(IF('PDCA review'!$D$2=Plan!B1860,Plan!G1860,""),"")</f>
        <v/>
      </c>
      <c r="C1859">
        <f t="shared" si="84"/>
        <v>0</v>
      </c>
      <c r="D1859">
        <f>SUM($C$3:C1859)</f>
        <v>7</v>
      </c>
      <c r="E1859" t="e">
        <f t="shared" si="85"/>
        <v>#N/A</v>
      </c>
      <c r="F1859" s="28" t="str">
        <f t="shared" ca="1" si="86"/>
        <v/>
      </c>
    </row>
    <row r="1860" spans="2:6" x14ac:dyDescent="0.2">
      <c r="B1860" t="str">
        <f>IFERROR(IF('PDCA review'!$D$2=Plan!B1861,Plan!G1861,""),"")</f>
        <v/>
      </c>
      <c r="C1860">
        <f t="shared" ref="C1860:C1923" si="87">IF(B1860&lt;&gt;"",1,0)</f>
        <v>0</v>
      </c>
      <c r="D1860">
        <f>SUM($C$3:C1860)</f>
        <v>7</v>
      </c>
      <c r="E1860" t="e">
        <f t="shared" ref="E1860:E1923" si="88">MATCH(ROW()-$D$2,$D$3:$D$2000,0)+$D$2</f>
        <v>#N/A</v>
      </c>
      <c r="F1860" s="28" t="str">
        <f t="shared" ref="F1860:F1923" ca="1" si="89">IFERROR(INDIRECT("B"&amp;E1860),"")</f>
        <v/>
      </c>
    </row>
    <row r="1861" spans="2:6" x14ac:dyDescent="0.2">
      <c r="B1861" t="str">
        <f>IFERROR(IF('PDCA review'!$D$2=Plan!B1862,Plan!G1862,""),"")</f>
        <v/>
      </c>
      <c r="C1861">
        <f t="shared" si="87"/>
        <v>0</v>
      </c>
      <c r="D1861">
        <f>SUM($C$3:C1861)</f>
        <v>7</v>
      </c>
      <c r="E1861" t="e">
        <f t="shared" si="88"/>
        <v>#N/A</v>
      </c>
      <c r="F1861" s="28" t="str">
        <f t="shared" ca="1" si="89"/>
        <v/>
      </c>
    </row>
    <row r="1862" spans="2:6" x14ac:dyDescent="0.2">
      <c r="B1862" t="str">
        <f>IFERROR(IF('PDCA review'!$D$2=Plan!B1863,Plan!G1863,""),"")</f>
        <v/>
      </c>
      <c r="C1862">
        <f t="shared" si="87"/>
        <v>0</v>
      </c>
      <c r="D1862">
        <f>SUM($C$3:C1862)</f>
        <v>7</v>
      </c>
      <c r="E1862" t="e">
        <f t="shared" si="88"/>
        <v>#N/A</v>
      </c>
      <c r="F1862" s="28" t="str">
        <f t="shared" ca="1" si="89"/>
        <v/>
      </c>
    </row>
    <row r="1863" spans="2:6" x14ac:dyDescent="0.2">
      <c r="B1863" t="str">
        <f>IFERROR(IF('PDCA review'!$D$2=Plan!B1864,Plan!G1864,""),"")</f>
        <v/>
      </c>
      <c r="C1863">
        <f t="shared" si="87"/>
        <v>0</v>
      </c>
      <c r="D1863">
        <f>SUM($C$3:C1863)</f>
        <v>7</v>
      </c>
      <c r="E1863" t="e">
        <f t="shared" si="88"/>
        <v>#N/A</v>
      </c>
      <c r="F1863" s="28" t="str">
        <f t="shared" ca="1" si="89"/>
        <v/>
      </c>
    </row>
    <row r="1864" spans="2:6" x14ac:dyDescent="0.2">
      <c r="B1864" t="str">
        <f>IFERROR(IF('PDCA review'!$D$2=Plan!B1865,Plan!G1865,""),"")</f>
        <v/>
      </c>
      <c r="C1864">
        <f t="shared" si="87"/>
        <v>0</v>
      </c>
      <c r="D1864">
        <f>SUM($C$3:C1864)</f>
        <v>7</v>
      </c>
      <c r="E1864" t="e">
        <f t="shared" si="88"/>
        <v>#N/A</v>
      </c>
      <c r="F1864" s="28" t="str">
        <f t="shared" ca="1" si="89"/>
        <v/>
      </c>
    </row>
    <row r="1865" spans="2:6" x14ac:dyDescent="0.2">
      <c r="B1865" t="str">
        <f>IFERROR(IF('PDCA review'!$D$2=Plan!B1866,Plan!G1866,""),"")</f>
        <v/>
      </c>
      <c r="C1865">
        <f t="shared" si="87"/>
        <v>0</v>
      </c>
      <c r="D1865">
        <f>SUM($C$3:C1865)</f>
        <v>7</v>
      </c>
      <c r="E1865" t="e">
        <f t="shared" si="88"/>
        <v>#N/A</v>
      </c>
      <c r="F1865" s="28" t="str">
        <f t="shared" ca="1" si="89"/>
        <v/>
      </c>
    </row>
    <row r="1866" spans="2:6" x14ac:dyDescent="0.2">
      <c r="B1866" t="str">
        <f>IFERROR(IF('PDCA review'!$D$2=Plan!B1867,Plan!G1867,""),"")</f>
        <v/>
      </c>
      <c r="C1866">
        <f t="shared" si="87"/>
        <v>0</v>
      </c>
      <c r="D1866">
        <f>SUM($C$3:C1866)</f>
        <v>7</v>
      </c>
      <c r="E1866" t="e">
        <f t="shared" si="88"/>
        <v>#N/A</v>
      </c>
      <c r="F1866" s="28" t="str">
        <f t="shared" ca="1" si="89"/>
        <v/>
      </c>
    </row>
    <row r="1867" spans="2:6" x14ac:dyDescent="0.2">
      <c r="B1867" t="str">
        <f>IFERROR(IF('PDCA review'!$D$2=Plan!B1868,Plan!G1868,""),"")</f>
        <v/>
      </c>
      <c r="C1867">
        <f t="shared" si="87"/>
        <v>0</v>
      </c>
      <c r="D1867">
        <f>SUM($C$3:C1867)</f>
        <v>7</v>
      </c>
      <c r="E1867" t="e">
        <f t="shared" si="88"/>
        <v>#N/A</v>
      </c>
      <c r="F1867" s="28" t="str">
        <f t="shared" ca="1" si="89"/>
        <v/>
      </c>
    </row>
    <row r="1868" spans="2:6" x14ac:dyDescent="0.2">
      <c r="B1868" t="str">
        <f>IFERROR(IF('PDCA review'!$D$2=Plan!B1869,Plan!G1869,""),"")</f>
        <v/>
      </c>
      <c r="C1868">
        <f t="shared" si="87"/>
        <v>0</v>
      </c>
      <c r="D1868">
        <f>SUM($C$3:C1868)</f>
        <v>7</v>
      </c>
      <c r="E1868" t="e">
        <f t="shared" si="88"/>
        <v>#N/A</v>
      </c>
      <c r="F1868" s="28" t="str">
        <f t="shared" ca="1" si="89"/>
        <v/>
      </c>
    </row>
    <row r="1869" spans="2:6" x14ac:dyDescent="0.2">
      <c r="B1869" t="str">
        <f>IFERROR(IF('PDCA review'!$D$2=Plan!B1870,Plan!G1870,""),"")</f>
        <v/>
      </c>
      <c r="C1869">
        <f t="shared" si="87"/>
        <v>0</v>
      </c>
      <c r="D1869">
        <f>SUM($C$3:C1869)</f>
        <v>7</v>
      </c>
      <c r="E1869" t="e">
        <f t="shared" si="88"/>
        <v>#N/A</v>
      </c>
      <c r="F1869" s="28" t="str">
        <f t="shared" ca="1" si="89"/>
        <v/>
      </c>
    </row>
    <row r="1870" spans="2:6" x14ac:dyDescent="0.2">
      <c r="B1870" t="str">
        <f>IFERROR(IF('PDCA review'!$D$2=Plan!B1871,Plan!G1871,""),"")</f>
        <v/>
      </c>
      <c r="C1870">
        <f t="shared" si="87"/>
        <v>0</v>
      </c>
      <c r="D1870">
        <f>SUM($C$3:C1870)</f>
        <v>7</v>
      </c>
      <c r="E1870" t="e">
        <f t="shared" si="88"/>
        <v>#N/A</v>
      </c>
      <c r="F1870" s="28" t="str">
        <f t="shared" ca="1" si="89"/>
        <v/>
      </c>
    </row>
    <row r="1871" spans="2:6" x14ac:dyDescent="0.2">
      <c r="B1871" t="str">
        <f>IFERROR(IF('PDCA review'!$D$2=Plan!B1872,Plan!G1872,""),"")</f>
        <v/>
      </c>
      <c r="C1871">
        <f t="shared" si="87"/>
        <v>0</v>
      </c>
      <c r="D1871">
        <f>SUM($C$3:C1871)</f>
        <v>7</v>
      </c>
      <c r="E1871" t="e">
        <f t="shared" si="88"/>
        <v>#N/A</v>
      </c>
      <c r="F1871" s="28" t="str">
        <f t="shared" ca="1" si="89"/>
        <v/>
      </c>
    </row>
    <row r="1872" spans="2:6" x14ac:dyDescent="0.2">
      <c r="B1872" t="str">
        <f>IFERROR(IF('PDCA review'!$D$2=Plan!B1873,Plan!G1873,""),"")</f>
        <v/>
      </c>
      <c r="C1872">
        <f t="shared" si="87"/>
        <v>0</v>
      </c>
      <c r="D1872">
        <f>SUM($C$3:C1872)</f>
        <v>7</v>
      </c>
      <c r="E1872" t="e">
        <f t="shared" si="88"/>
        <v>#N/A</v>
      </c>
      <c r="F1872" s="28" t="str">
        <f t="shared" ca="1" si="89"/>
        <v/>
      </c>
    </row>
    <row r="1873" spans="2:6" x14ac:dyDescent="0.2">
      <c r="B1873" t="str">
        <f>IFERROR(IF('PDCA review'!$D$2=Plan!B1874,Plan!G1874,""),"")</f>
        <v/>
      </c>
      <c r="C1873">
        <f t="shared" si="87"/>
        <v>0</v>
      </c>
      <c r="D1873">
        <f>SUM($C$3:C1873)</f>
        <v>7</v>
      </c>
      <c r="E1873" t="e">
        <f t="shared" si="88"/>
        <v>#N/A</v>
      </c>
      <c r="F1873" s="28" t="str">
        <f t="shared" ca="1" si="89"/>
        <v/>
      </c>
    </row>
    <row r="1874" spans="2:6" x14ac:dyDescent="0.2">
      <c r="B1874" t="str">
        <f>IFERROR(IF('PDCA review'!$D$2=Plan!B1875,Plan!G1875,""),"")</f>
        <v/>
      </c>
      <c r="C1874">
        <f t="shared" si="87"/>
        <v>0</v>
      </c>
      <c r="D1874">
        <f>SUM($C$3:C1874)</f>
        <v>7</v>
      </c>
      <c r="E1874" t="e">
        <f t="shared" si="88"/>
        <v>#N/A</v>
      </c>
      <c r="F1874" s="28" t="str">
        <f t="shared" ca="1" si="89"/>
        <v/>
      </c>
    </row>
    <row r="1875" spans="2:6" x14ac:dyDescent="0.2">
      <c r="B1875" t="str">
        <f>IFERROR(IF('PDCA review'!$D$2=Plan!B1876,Plan!G1876,""),"")</f>
        <v/>
      </c>
      <c r="C1875">
        <f t="shared" si="87"/>
        <v>0</v>
      </c>
      <c r="D1875">
        <f>SUM($C$3:C1875)</f>
        <v>7</v>
      </c>
      <c r="E1875" t="e">
        <f t="shared" si="88"/>
        <v>#N/A</v>
      </c>
      <c r="F1875" s="28" t="str">
        <f t="shared" ca="1" si="89"/>
        <v/>
      </c>
    </row>
    <row r="1876" spans="2:6" x14ac:dyDescent="0.2">
      <c r="B1876" t="str">
        <f>IFERROR(IF('PDCA review'!$D$2=Plan!B1877,Plan!G1877,""),"")</f>
        <v/>
      </c>
      <c r="C1876">
        <f t="shared" si="87"/>
        <v>0</v>
      </c>
      <c r="D1876">
        <f>SUM($C$3:C1876)</f>
        <v>7</v>
      </c>
      <c r="E1876" t="e">
        <f t="shared" si="88"/>
        <v>#N/A</v>
      </c>
      <c r="F1876" s="28" t="str">
        <f t="shared" ca="1" si="89"/>
        <v/>
      </c>
    </row>
    <row r="1877" spans="2:6" x14ac:dyDescent="0.2">
      <c r="B1877" t="str">
        <f>IFERROR(IF('PDCA review'!$D$2=Plan!B1878,Plan!G1878,""),"")</f>
        <v/>
      </c>
      <c r="C1877">
        <f t="shared" si="87"/>
        <v>0</v>
      </c>
      <c r="D1877">
        <f>SUM($C$3:C1877)</f>
        <v>7</v>
      </c>
      <c r="E1877" t="e">
        <f t="shared" si="88"/>
        <v>#N/A</v>
      </c>
      <c r="F1877" s="28" t="str">
        <f t="shared" ca="1" si="89"/>
        <v/>
      </c>
    </row>
    <row r="1878" spans="2:6" x14ac:dyDescent="0.2">
      <c r="B1878" t="str">
        <f>IFERROR(IF('PDCA review'!$D$2=Plan!B1879,Plan!G1879,""),"")</f>
        <v/>
      </c>
      <c r="C1878">
        <f t="shared" si="87"/>
        <v>0</v>
      </c>
      <c r="D1878">
        <f>SUM($C$3:C1878)</f>
        <v>7</v>
      </c>
      <c r="E1878" t="e">
        <f t="shared" si="88"/>
        <v>#N/A</v>
      </c>
      <c r="F1878" s="28" t="str">
        <f t="shared" ca="1" si="89"/>
        <v/>
      </c>
    </row>
    <row r="1879" spans="2:6" x14ac:dyDescent="0.2">
      <c r="B1879" t="str">
        <f>IFERROR(IF('PDCA review'!$D$2=Plan!B1880,Plan!G1880,""),"")</f>
        <v/>
      </c>
      <c r="C1879">
        <f t="shared" si="87"/>
        <v>0</v>
      </c>
      <c r="D1879">
        <f>SUM($C$3:C1879)</f>
        <v>7</v>
      </c>
      <c r="E1879" t="e">
        <f t="shared" si="88"/>
        <v>#N/A</v>
      </c>
      <c r="F1879" s="28" t="str">
        <f t="shared" ca="1" si="89"/>
        <v/>
      </c>
    </row>
    <row r="1880" spans="2:6" x14ac:dyDescent="0.2">
      <c r="B1880" t="str">
        <f>IFERROR(IF('PDCA review'!$D$2=Plan!B1881,Plan!G1881,""),"")</f>
        <v/>
      </c>
      <c r="C1880">
        <f t="shared" si="87"/>
        <v>0</v>
      </c>
      <c r="D1880">
        <f>SUM($C$3:C1880)</f>
        <v>7</v>
      </c>
      <c r="E1880" t="e">
        <f t="shared" si="88"/>
        <v>#N/A</v>
      </c>
      <c r="F1880" s="28" t="str">
        <f t="shared" ca="1" si="89"/>
        <v/>
      </c>
    </row>
    <row r="1881" spans="2:6" x14ac:dyDescent="0.2">
      <c r="B1881" t="str">
        <f>IFERROR(IF('PDCA review'!$D$2=Plan!B1882,Plan!G1882,""),"")</f>
        <v/>
      </c>
      <c r="C1881">
        <f t="shared" si="87"/>
        <v>0</v>
      </c>
      <c r="D1881">
        <f>SUM($C$3:C1881)</f>
        <v>7</v>
      </c>
      <c r="E1881" t="e">
        <f t="shared" si="88"/>
        <v>#N/A</v>
      </c>
      <c r="F1881" s="28" t="str">
        <f t="shared" ca="1" si="89"/>
        <v/>
      </c>
    </row>
    <row r="1882" spans="2:6" x14ac:dyDescent="0.2">
      <c r="B1882" t="str">
        <f>IFERROR(IF('PDCA review'!$D$2=Plan!B1883,Plan!G1883,""),"")</f>
        <v/>
      </c>
      <c r="C1882">
        <f t="shared" si="87"/>
        <v>0</v>
      </c>
      <c r="D1882">
        <f>SUM($C$3:C1882)</f>
        <v>7</v>
      </c>
      <c r="E1882" t="e">
        <f t="shared" si="88"/>
        <v>#N/A</v>
      </c>
      <c r="F1882" s="28" t="str">
        <f t="shared" ca="1" si="89"/>
        <v/>
      </c>
    </row>
    <row r="1883" spans="2:6" x14ac:dyDescent="0.2">
      <c r="B1883" t="str">
        <f>IFERROR(IF('PDCA review'!$D$2=Plan!B1884,Plan!G1884,""),"")</f>
        <v/>
      </c>
      <c r="C1883">
        <f t="shared" si="87"/>
        <v>0</v>
      </c>
      <c r="D1883">
        <f>SUM($C$3:C1883)</f>
        <v>7</v>
      </c>
      <c r="E1883" t="e">
        <f t="shared" si="88"/>
        <v>#N/A</v>
      </c>
      <c r="F1883" s="28" t="str">
        <f t="shared" ca="1" si="89"/>
        <v/>
      </c>
    </row>
    <row r="1884" spans="2:6" x14ac:dyDescent="0.2">
      <c r="B1884" t="str">
        <f>IFERROR(IF('PDCA review'!$D$2=Plan!B1885,Plan!G1885,""),"")</f>
        <v/>
      </c>
      <c r="C1884">
        <f t="shared" si="87"/>
        <v>0</v>
      </c>
      <c r="D1884">
        <f>SUM($C$3:C1884)</f>
        <v>7</v>
      </c>
      <c r="E1884" t="e">
        <f t="shared" si="88"/>
        <v>#N/A</v>
      </c>
      <c r="F1884" s="28" t="str">
        <f t="shared" ca="1" si="89"/>
        <v/>
      </c>
    </row>
    <row r="1885" spans="2:6" x14ac:dyDescent="0.2">
      <c r="B1885" t="str">
        <f>IFERROR(IF('PDCA review'!$D$2=Plan!B1886,Plan!G1886,""),"")</f>
        <v/>
      </c>
      <c r="C1885">
        <f t="shared" si="87"/>
        <v>0</v>
      </c>
      <c r="D1885">
        <f>SUM($C$3:C1885)</f>
        <v>7</v>
      </c>
      <c r="E1885" t="e">
        <f t="shared" si="88"/>
        <v>#N/A</v>
      </c>
      <c r="F1885" s="28" t="str">
        <f t="shared" ca="1" si="89"/>
        <v/>
      </c>
    </row>
    <row r="1886" spans="2:6" x14ac:dyDescent="0.2">
      <c r="B1886" t="str">
        <f>IFERROR(IF('PDCA review'!$D$2=Plan!B1887,Plan!G1887,""),"")</f>
        <v/>
      </c>
      <c r="C1886">
        <f t="shared" si="87"/>
        <v>0</v>
      </c>
      <c r="D1886">
        <f>SUM($C$3:C1886)</f>
        <v>7</v>
      </c>
      <c r="E1886" t="e">
        <f t="shared" si="88"/>
        <v>#N/A</v>
      </c>
      <c r="F1886" s="28" t="str">
        <f t="shared" ca="1" si="89"/>
        <v/>
      </c>
    </row>
    <row r="1887" spans="2:6" x14ac:dyDescent="0.2">
      <c r="B1887" t="str">
        <f>IFERROR(IF('PDCA review'!$D$2=Plan!B1888,Plan!G1888,""),"")</f>
        <v/>
      </c>
      <c r="C1887">
        <f t="shared" si="87"/>
        <v>0</v>
      </c>
      <c r="D1887">
        <f>SUM($C$3:C1887)</f>
        <v>7</v>
      </c>
      <c r="E1887" t="e">
        <f t="shared" si="88"/>
        <v>#N/A</v>
      </c>
      <c r="F1887" s="28" t="str">
        <f t="shared" ca="1" si="89"/>
        <v/>
      </c>
    </row>
    <row r="1888" spans="2:6" x14ac:dyDescent="0.2">
      <c r="B1888" t="str">
        <f>IFERROR(IF('PDCA review'!$D$2=Plan!B1889,Plan!G1889,""),"")</f>
        <v/>
      </c>
      <c r="C1888">
        <f t="shared" si="87"/>
        <v>0</v>
      </c>
      <c r="D1888">
        <f>SUM($C$3:C1888)</f>
        <v>7</v>
      </c>
      <c r="E1888" t="e">
        <f t="shared" si="88"/>
        <v>#N/A</v>
      </c>
      <c r="F1888" s="28" t="str">
        <f t="shared" ca="1" si="89"/>
        <v/>
      </c>
    </row>
    <row r="1889" spans="2:6" x14ac:dyDescent="0.2">
      <c r="B1889" t="str">
        <f>IFERROR(IF('PDCA review'!$D$2=Plan!B1890,Plan!G1890,""),"")</f>
        <v/>
      </c>
      <c r="C1889">
        <f t="shared" si="87"/>
        <v>0</v>
      </c>
      <c r="D1889">
        <f>SUM($C$3:C1889)</f>
        <v>7</v>
      </c>
      <c r="E1889" t="e">
        <f t="shared" si="88"/>
        <v>#N/A</v>
      </c>
      <c r="F1889" s="28" t="str">
        <f t="shared" ca="1" si="89"/>
        <v/>
      </c>
    </row>
    <row r="1890" spans="2:6" x14ac:dyDescent="0.2">
      <c r="B1890" t="str">
        <f>IFERROR(IF('PDCA review'!$D$2=Plan!B1891,Plan!G1891,""),"")</f>
        <v/>
      </c>
      <c r="C1890">
        <f t="shared" si="87"/>
        <v>0</v>
      </c>
      <c r="D1890">
        <f>SUM($C$3:C1890)</f>
        <v>7</v>
      </c>
      <c r="E1890" t="e">
        <f t="shared" si="88"/>
        <v>#N/A</v>
      </c>
      <c r="F1890" s="28" t="str">
        <f t="shared" ca="1" si="89"/>
        <v/>
      </c>
    </row>
    <row r="1891" spans="2:6" x14ac:dyDescent="0.2">
      <c r="B1891" t="str">
        <f>IFERROR(IF('PDCA review'!$D$2=Plan!B1892,Plan!G1892,""),"")</f>
        <v/>
      </c>
      <c r="C1891">
        <f t="shared" si="87"/>
        <v>0</v>
      </c>
      <c r="D1891">
        <f>SUM($C$3:C1891)</f>
        <v>7</v>
      </c>
      <c r="E1891" t="e">
        <f t="shared" si="88"/>
        <v>#N/A</v>
      </c>
      <c r="F1891" s="28" t="str">
        <f t="shared" ca="1" si="89"/>
        <v/>
      </c>
    </row>
    <row r="1892" spans="2:6" x14ac:dyDescent="0.2">
      <c r="B1892" t="str">
        <f>IFERROR(IF('PDCA review'!$D$2=Plan!B1893,Plan!G1893,""),"")</f>
        <v/>
      </c>
      <c r="C1892">
        <f t="shared" si="87"/>
        <v>0</v>
      </c>
      <c r="D1892">
        <f>SUM($C$3:C1892)</f>
        <v>7</v>
      </c>
      <c r="E1892" t="e">
        <f t="shared" si="88"/>
        <v>#N/A</v>
      </c>
      <c r="F1892" s="28" t="str">
        <f t="shared" ca="1" si="89"/>
        <v/>
      </c>
    </row>
    <row r="1893" spans="2:6" x14ac:dyDescent="0.2">
      <c r="B1893" t="str">
        <f>IFERROR(IF('PDCA review'!$D$2=Plan!B1894,Plan!G1894,""),"")</f>
        <v/>
      </c>
      <c r="C1893">
        <f t="shared" si="87"/>
        <v>0</v>
      </c>
      <c r="D1893">
        <f>SUM($C$3:C1893)</f>
        <v>7</v>
      </c>
      <c r="E1893" t="e">
        <f t="shared" si="88"/>
        <v>#N/A</v>
      </c>
      <c r="F1893" s="28" t="str">
        <f t="shared" ca="1" si="89"/>
        <v/>
      </c>
    </row>
    <row r="1894" spans="2:6" x14ac:dyDescent="0.2">
      <c r="B1894" t="str">
        <f>IFERROR(IF('PDCA review'!$D$2=Plan!B1895,Plan!G1895,""),"")</f>
        <v/>
      </c>
      <c r="C1894">
        <f t="shared" si="87"/>
        <v>0</v>
      </c>
      <c r="D1894">
        <f>SUM($C$3:C1894)</f>
        <v>7</v>
      </c>
      <c r="E1894" t="e">
        <f t="shared" si="88"/>
        <v>#N/A</v>
      </c>
      <c r="F1894" s="28" t="str">
        <f t="shared" ca="1" si="89"/>
        <v/>
      </c>
    </row>
    <row r="1895" spans="2:6" x14ac:dyDescent="0.2">
      <c r="B1895" t="str">
        <f>IFERROR(IF('PDCA review'!$D$2=Plan!B1896,Plan!G1896,""),"")</f>
        <v/>
      </c>
      <c r="C1895">
        <f t="shared" si="87"/>
        <v>0</v>
      </c>
      <c r="D1895">
        <f>SUM($C$3:C1895)</f>
        <v>7</v>
      </c>
      <c r="E1895" t="e">
        <f t="shared" si="88"/>
        <v>#N/A</v>
      </c>
      <c r="F1895" s="28" t="str">
        <f t="shared" ca="1" si="89"/>
        <v/>
      </c>
    </row>
    <row r="1896" spans="2:6" x14ac:dyDescent="0.2">
      <c r="B1896" t="str">
        <f>IFERROR(IF('PDCA review'!$D$2=Plan!B1897,Plan!G1897,""),"")</f>
        <v/>
      </c>
      <c r="C1896">
        <f t="shared" si="87"/>
        <v>0</v>
      </c>
      <c r="D1896">
        <f>SUM($C$3:C1896)</f>
        <v>7</v>
      </c>
      <c r="E1896" t="e">
        <f t="shared" si="88"/>
        <v>#N/A</v>
      </c>
      <c r="F1896" s="28" t="str">
        <f t="shared" ca="1" si="89"/>
        <v/>
      </c>
    </row>
    <row r="1897" spans="2:6" x14ac:dyDescent="0.2">
      <c r="B1897" t="str">
        <f>IFERROR(IF('PDCA review'!$D$2=Plan!B1898,Plan!G1898,""),"")</f>
        <v/>
      </c>
      <c r="C1897">
        <f t="shared" si="87"/>
        <v>0</v>
      </c>
      <c r="D1897">
        <f>SUM($C$3:C1897)</f>
        <v>7</v>
      </c>
      <c r="E1897" t="e">
        <f t="shared" si="88"/>
        <v>#N/A</v>
      </c>
      <c r="F1897" s="28" t="str">
        <f t="shared" ca="1" si="89"/>
        <v/>
      </c>
    </row>
    <row r="1898" spans="2:6" x14ac:dyDescent="0.2">
      <c r="B1898" t="str">
        <f>IFERROR(IF('PDCA review'!$D$2=Plan!B1899,Plan!G1899,""),"")</f>
        <v/>
      </c>
      <c r="C1898">
        <f t="shared" si="87"/>
        <v>0</v>
      </c>
      <c r="D1898">
        <f>SUM($C$3:C1898)</f>
        <v>7</v>
      </c>
      <c r="E1898" t="e">
        <f t="shared" si="88"/>
        <v>#N/A</v>
      </c>
      <c r="F1898" s="28" t="str">
        <f t="shared" ca="1" si="89"/>
        <v/>
      </c>
    </row>
    <row r="1899" spans="2:6" x14ac:dyDescent="0.2">
      <c r="B1899" t="str">
        <f>IFERROR(IF('PDCA review'!$D$2=Plan!B1900,Plan!G1900,""),"")</f>
        <v/>
      </c>
      <c r="C1899">
        <f t="shared" si="87"/>
        <v>0</v>
      </c>
      <c r="D1899">
        <f>SUM($C$3:C1899)</f>
        <v>7</v>
      </c>
      <c r="E1899" t="e">
        <f t="shared" si="88"/>
        <v>#N/A</v>
      </c>
      <c r="F1899" s="28" t="str">
        <f t="shared" ca="1" si="89"/>
        <v/>
      </c>
    </row>
    <row r="1900" spans="2:6" x14ac:dyDescent="0.2">
      <c r="B1900" t="str">
        <f>IFERROR(IF('PDCA review'!$D$2=Plan!B1901,Plan!G1901,""),"")</f>
        <v/>
      </c>
      <c r="C1900">
        <f t="shared" si="87"/>
        <v>0</v>
      </c>
      <c r="D1900">
        <f>SUM($C$3:C1900)</f>
        <v>7</v>
      </c>
      <c r="E1900" t="e">
        <f t="shared" si="88"/>
        <v>#N/A</v>
      </c>
      <c r="F1900" s="28" t="str">
        <f t="shared" ca="1" si="89"/>
        <v/>
      </c>
    </row>
    <row r="1901" spans="2:6" x14ac:dyDescent="0.2">
      <c r="B1901" t="str">
        <f>IFERROR(IF('PDCA review'!$D$2=Plan!B1902,Plan!G1902,""),"")</f>
        <v/>
      </c>
      <c r="C1901">
        <f t="shared" si="87"/>
        <v>0</v>
      </c>
      <c r="D1901">
        <f>SUM($C$3:C1901)</f>
        <v>7</v>
      </c>
      <c r="E1901" t="e">
        <f t="shared" si="88"/>
        <v>#N/A</v>
      </c>
      <c r="F1901" s="28" t="str">
        <f t="shared" ca="1" si="89"/>
        <v/>
      </c>
    </row>
    <row r="1902" spans="2:6" x14ac:dyDescent="0.2">
      <c r="B1902" t="str">
        <f>IFERROR(IF('PDCA review'!$D$2=Plan!B1903,Plan!G1903,""),"")</f>
        <v/>
      </c>
      <c r="C1902">
        <f t="shared" si="87"/>
        <v>0</v>
      </c>
      <c r="D1902">
        <f>SUM($C$3:C1902)</f>
        <v>7</v>
      </c>
      <c r="E1902" t="e">
        <f t="shared" si="88"/>
        <v>#N/A</v>
      </c>
      <c r="F1902" s="28" t="str">
        <f t="shared" ca="1" si="89"/>
        <v/>
      </c>
    </row>
    <row r="1903" spans="2:6" x14ac:dyDescent="0.2">
      <c r="B1903" t="str">
        <f>IFERROR(IF('PDCA review'!$D$2=Plan!B1904,Plan!G1904,""),"")</f>
        <v/>
      </c>
      <c r="C1903">
        <f t="shared" si="87"/>
        <v>0</v>
      </c>
      <c r="D1903">
        <f>SUM($C$3:C1903)</f>
        <v>7</v>
      </c>
      <c r="E1903" t="e">
        <f t="shared" si="88"/>
        <v>#N/A</v>
      </c>
      <c r="F1903" s="28" t="str">
        <f t="shared" ca="1" si="89"/>
        <v/>
      </c>
    </row>
    <row r="1904" spans="2:6" x14ac:dyDescent="0.2">
      <c r="B1904" t="str">
        <f>IFERROR(IF('PDCA review'!$D$2=Plan!B1905,Plan!G1905,""),"")</f>
        <v/>
      </c>
      <c r="C1904">
        <f t="shared" si="87"/>
        <v>0</v>
      </c>
      <c r="D1904">
        <f>SUM($C$3:C1904)</f>
        <v>7</v>
      </c>
      <c r="E1904" t="e">
        <f t="shared" si="88"/>
        <v>#N/A</v>
      </c>
      <c r="F1904" s="28" t="str">
        <f t="shared" ca="1" si="89"/>
        <v/>
      </c>
    </row>
    <row r="1905" spans="2:6" x14ac:dyDescent="0.2">
      <c r="B1905" t="str">
        <f>IFERROR(IF('PDCA review'!$D$2=Plan!B1906,Plan!G1906,""),"")</f>
        <v/>
      </c>
      <c r="C1905">
        <f t="shared" si="87"/>
        <v>0</v>
      </c>
      <c r="D1905">
        <f>SUM($C$3:C1905)</f>
        <v>7</v>
      </c>
      <c r="E1905" t="e">
        <f t="shared" si="88"/>
        <v>#N/A</v>
      </c>
      <c r="F1905" s="28" t="str">
        <f t="shared" ca="1" si="89"/>
        <v/>
      </c>
    </row>
    <row r="1906" spans="2:6" x14ac:dyDescent="0.2">
      <c r="B1906" t="str">
        <f>IFERROR(IF('PDCA review'!$D$2=Plan!B1907,Plan!G1907,""),"")</f>
        <v/>
      </c>
      <c r="C1906">
        <f t="shared" si="87"/>
        <v>0</v>
      </c>
      <c r="D1906">
        <f>SUM($C$3:C1906)</f>
        <v>7</v>
      </c>
      <c r="E1906" t="e">
        <f t="shared" si="88"/>
        <v>#N/A</v>
      </c>
      <c r="F1906" s="28" t="str">
        <f t="shared" ca="1" si="89"/>
        <v/>
      </c>
    </row>
    <row r="1907" spans="2:6" x14ac:dyDescent="0.2">
      <c r="B1907" t="str">
        <f>IFERROR(IF('PDCA review'!$D$2=Plan!B1908,Plan!G1908,""),"")</f>
        <v/>
      </c>
      <c r="C1907">
        <f t="shared" si="87"/>
        <v>0</v>
      </c>
      <c r="D1907">
        <f>SUM($C$3:C1907)</f>
        <v>7</v>
      </c>
      <c r="E1907" t="e">
        <f t="shared" si="88"/>
        <v>#N/A</v>
      </c>
      <c r="F1907" s="28" t="str">
        <f t="shared" ca="1" si="89"/>
        <v/>
      </c>
    </row>
    <row r="1908" spans="2:6" x14ac:dyDescent="0.2">
      <c r="B1908" t="str">
        <f>IFERROR(IF('PDCA review'!$D$2=Plan!B1909,Plan!G1909,""),"")</f>
        <v/>
      </c>
      <c r="C1908">
        <f t="shared" si="87"/>
        <v>0</v>
      </c>
      <c r="D1908">
        <f>SUM($C$3:C1908)</f>
        <v>7</v>
      </c>
      <c r="E1908" t="e">
        <f t="shared" si="88"/>
        <v>#N/A</v>
      </c>
      <c r="F1908" s="28" t="str">
        <f t="shared" ca="1" si="89"/>
        <v/>
      </c>
    </row>
    <row r="1909" spans="2:6" x14ac:dyDescent="0.2">
      <c r="B1909" t="str">
        <f>IFERROR(IF('PDCA review'!$D$2=Plan!B1910,Plan!G1910,""),"")</f>
        <v/>
      </c>
      <c r="C1909">
        <f t="shared" si="87"/>
        <v>0</v>
      </c>
      <c r="D1909">
        <f>SUM($C$3:C1909)</f>
        <v>7</v>
      </c>
      <c r="E1909" t="e">
        <f t="shared" si="88"/>
        <v>#N/A</v>
      </c>
      <c r="F1909" s="28" t="str">
        <f t="shared" ca="1" si="89"/>
        <v/>
      </c>
    </row>
    <row r="1910" spans="2:6" x14ac:dyDescent="0.2">
      <c r="B1910" t="str">
        <f>IFERROR(IF('PDCA review'!$D$2=Plan!B1911,Plan!G1911,""),"")</f>
        <v/>
      </c>
      <c r="C1910">
        <f t="shared" si="87"/>
        <v>0</v>
      </c>
      <c r="D1910">
        <f>SUM($C$3:C1910)</f>
        <v>7</v>
      </c>
      <c r="E1910" t="e">
        <f t="shared" si="88"/>
        <v>#N/A</v>
      </c>
      <c r="F1910" s="28" t="str">
        <f t="shared" ca="1" si="89"/>
        <v/>
      </c>
    </row>
    <row r="1911" spans="2:6" x14ac:dyDescent="0.2">
      <c r="B1911" t="str">
        <f>IFERROR(IF('PDCA review'!$D$2=Plan!B1912,Plan!G1912,""),"")</f>
        <v/>
      </c>
      <c r="C1911">
        <f t="shared" si="87"/>
        <v>0</v>
      </c>
      <c r="D1911">
        <f>SUM($C$3:C1911)</f>
        <v>7</v>
      </c>
      <c r="E1911" t="e">
        <f t="shared" si="88"/>
        <v>#N/A</v>
      </c>
      <c r="F1911" s="28" t="str">
        <f t="shared" ca="1" si="89"/>
        <v/>
      </c>
    </row>
    <row r="1912" spans="2:6" x14ac:dyDescent="0.2">
      <c r="B1912" t="str">
        <f>IFERROR(IF('PDCA review'!$D$2=Plan!B1913,Plan!G1913,""),"")</f>
        <v/>
      </c>
      <c r="C1912">
        <f t="shared" si="87"/>
        <v>0</v>
      </c>
      <c r="D1912">
        <f>SUM($C$3:C1912)</f>
        <v>7</v>
      </c>
      <c r="E1912" t="e">
        <f t="shared" si="88"/>
        <v>#N/A</v>
      </c>
      <c r="F1912" s="28" t="str">
        <f t="shared" ca="1" si="89"/>
        <v/>
      </c>
    </row>
    <row r="1913" spans="2:6" x14ac:dyDescent="0.2">
      <c r="B1913" t="str">
        <f>IFERROR(IF('PDCA review'!$D$2=Plan!B1914,Plan!G1914,""),"")</f>
        <v/>
      </c>
      <c r="C1913">
        <f t="shared" si="87"/>
        <v>0</v>
      </c>
      <c r="D1913">
        <f>SUM($C$3:C1913)</f>
        <v>7</v>
      </c>
      <c r="E1913" t="e">
        <f t="shared" si="88"/>
        <v>#N/A</v>
      </c>
      <c r="F1913" s="28" t="str">
        <f t="shared" ca="1" si="89"/>
        <v/>
      </c>
    </row>
    <row r="1914" spans="2:6" x14ac:dyDescent="0.2">
      <c r="B1914" t="str">
        <f>IFERROR(IF('PDCA review'!$D$2=Plan!B1915,Plan!G1915,""),"")</f>
        <v/>
      </c>
      <c r="C1914">
        <f t="shared" si="87"/>
        <v>0</v>
      </c>
      <c r="D1914">
        <f>SUM($C$3:C1914)</f>
        <v>7</v>
      </c>
      <c r="E1914" t="e">
        <f t="shared" si="88"/>
        <v>#N/A</v>
      </c>
      <c r="F1914" s="28" t="str">
        <f t="shared" ca="1" si="89"/>
        <v/>
      </c>
    </row>
    <row r="1915" spans="2:6" x14ac:dyDescent="0.2">
      <c r="B1915" t="str">
        <f>IFERROR(IF('PDCA review'!$D$2=Plan!B1916,Plan!G1916,""),"")</f>
        <v/>
      </c>
      <c r="C1915">
        <f t="shared" si="87"/>
        <v>0</v>
      </c>
      <c r="D1915">
        <f>SUM($C$3:C1915)</f>
        <v>7</v>
      </c>
      <c r="E1915" t="e">
        <f t="shared" si="88"/>
        <v>#N/A</v>
      </c>
      <c r="F1915" s="28" t="str">
        <f t="shared" ca="1" si="89"/>
        <v/>
      </c>
    </row>
    <row r="1916" spans="2:6" x14ac:dyDescent="0.2">
      <c r="B1916" t="str">
        <f>IFERROR(IF('PDCA review'!$D$2=Plan!B1917,Plan!G1917,""),"")</f>
        <v/>
      </c>
      <c r="C1916">
        <f t="shared" si="87"/>
        <v>0</v>
      </c>
      <c r="D1916">
        <f>SUM($C$3:C1916)</f>
        <v>7</v>
      </c>
      <c r="E1916" t="e">
        <f t="shared" si="88"/>
        <v>#N/A</v>
      </c>
      <c r="F1916" s="28" t="str">
        <f t="shared" ca="1" si="89"/>
        <v/>
      </c>
    </row>
    <row r="1917" spans="2:6" x14ac:dyDescent="0.2">
      <c r="B1917" t="str">
        <f>IFERROR(IF('PDCA review'!$D$2=Plan!B1918,Plan!G1918,""),"")</f>
        <v/>
      </c>
      <c r="C1917">
        <f t="shared" si="87"/>
        <v>0</v>
      </c>
      <c r="D1917">
        <f>SUM($C$3:C1917)</f>
        <v>7</v>
      </c>
      <c r="E1917" t="e">
        <f t="shared" si="88"/>
        <v>#N/A</v>
      </c>
      <c r="F1917" s="28" t="str">
        <f t="shared" ca="1" si="89"/>
        <v/>
      </c>
    </row>
    <row r="1918" spans="2:6" x14ac:dyDescent="0.2">
      <c r="B1918" t="str">
        <f>IFERROR(IF('PDCA review'!$D$2=Plan!B1919,Plan!G1919,""),"")</f>
        <v/>
      </c>
      <c r="C1918">
        <f t="shared" si="87"/>
        <v>0</v>
      </c>
      <c r="D1918">
        <f>SUM($C$3:C1918)</f>
        <v>7</v>
      </c>
      <c r="E1918" t="e">
        <f t="shared" si="88"/>
        <v>#N/A</v>
      </c>
      <c r="F1918" s="28" t="str">
        <f t="shared" ca="1" si="89"/>
        <v/>
      </c>
    </row>
    <row r="1919" spans="2:6" x14ac:dyDescent="0.2">
      <c r="B1919" t="str">
        <f>IFERROR(IF('PDCA review'!$D$2=Plan!B1920,Plan!G1920,""),"")</f>
        <v/>
      </c>
      <c r="C1919">
        <f t="shared" si="87"/>
        <v>0</v>
      </c>
      <c r="D1919">
        <f>SUM($C$3:C1919)</f>
        <v>7</v>
      </c>
      <c r="E1919" t="e">
        <f t="shared" si="88"/>
        <v>#N/A</v>
      </c>
      <c r="F1919" s="28" t="str">
        <f t="shared" ca="1" si="89"/>
        <v/>
      </c>
    </row>
    <row r="1920" spans="2:6" x14ac:dyDescent="0.2">
      <c r="B1920" t="str">
        <f>IFERROR(IF('PDCA review'!$D$2=Plan!B1921,Plan!G1921,""),"")</f>
        <v/>
      </c>
      <c r="C1920">
        <f t="shared" si="87"/>
        <v>0</v>
      </c>
      <c r="D1920">
        <f>SUM($C$3:C1920)</f>
        <v>7</v>
      </c>
      <c r="E1920" t="e">
        <f t="shared" si="88"/>
        <v>#N/A</v>
      </c>
      <c r="F1920" s="28" t="str">
        <f t="shared" ca="1" si="89"/>
        <v/>
      </c>
    </row>
    <row r="1921" spans="2:6" x14ac:dyDescent="0.2">
      <c r="B1921" t="str">
        <f>IFERROR(IF('PDCA review'!$D$2=Plan!B1922,Plan!G1922,""),"")</f>
        <v/>
      </c>
      <c r="C1921">
        <f t="shared" si="87"/>
        <v>0</v>
      </c>
      <c r="D1921">
        <f>SUM($C$3:C1921)</f>
        <v>7</v>
      </c>
      <c r="E1921" t="e">
        <f t="shared" si="88"/>
        <v>#N/A</v>
      </c>
      <c r="F1921" s="28" t="str">
        <f t="shared" ca="1" si="89"/>
        <v/>
      </c>
    </row>
    <row r="1922" spans="2:6" x14ac:dyDescent="0.2">
      <c r="B1922" t="str">
        <f>IFERROR(IF('PDCA review'!$D$2=Plan!B1923,Plan!G1923,""),"")</f>
        <v/>
      </c>
      <c r="C1922">
        <f t="shared" si="87"/>
        <v>0</v>
      </c>
      <c r="D1922">
        <f>SUM($C$3:C1922)</f>
        <v>7</v>
      </c>
      <c r="E1922" t="e">
        <f t="shared" si="88"/>
        <v>#N/A</v>
      </c>
      <c r="F1922" s="28" t="str">
        <f t="shared" ca="1" si="89"/>
        <v/>
      </c>
    </row>
    <row r="1923" spans="2:6" x14ac:dyDescent="0.2">
      <c r="B1923" t="str">
        <f>IFERROR(IF('PDCA review'!$D$2=Plan!B1924,Plan!G1924,""),"")</f>
        <v/>
      </c>
      <c r="C1923">
        <f t="shared" si="87"/>
        <v>0</v>
      </c>
      <c r="D1923">
        <f>SUM($C$3:C1923)</f>
        <v>7</v>
      </c>
      <c r="E1923" t="e">
        <f t="shared" si="88"/>
        <v>#N/A</v>
      </c>
      <c r="F1923" s="28" t="str">
        <f t="shared" ca="1" si="89"/>
        <v/>
      </c>
    </row>
    <row r="1924" spans="2:6" x14ac:dyDescent="0.2">
      <c r="B1924" t="str">
        <f>IFERROR(IF('PDCA review'!$D$2=Plan!B1925,Plan!G1925,""),"")</f>
        <v/>
      </c>
      <c r="C1924">
        <f t="shared" ref="C1924:C1987" si="90">IF(B1924&lt;&gt;"",1,0)</f>
        <v>0</v>
      </c>
      <c r="D1924">
        <f>SUM($C$3:C1924)</f>
        <v>7</v>
      </c>
      <c r="E1924" t="e">
        <f t="shared" ref="E1924:E1987" si="91">MATCH(ROW()-$D$2,$D$3:$D$2000,0)+$D$2</f>
        <v>#N/A</v>
      </c>
      <c r="F1924" s="28" t="str">
        <f t="shared" ref="F1924:F1987" ca="1" si="92">IFERROR(INDIRECT("B"&amp;E1924),"")</f>
        <v/>
      </c>
    </row>
    <row r="1925" spans="2:6" x14ac:dyDescent="0.2">
      <c r="B1925" t="str">
        <f>IFERROR(IF('PDCA review'!$D$2=Plan!B1926,Plan!G1926,""),"")</f>
        <v/>
      </c>
      <c r="C1925">
        <f t="shared" si="90"/>
        <v>0</v>
      </c>
      <c r="D1925">
        <f>SUM($C$3:C1925)</f>
        <v>7</v>
      </c>
      <c r="E1925" t="e">
        <f t="shared" si="91"/>
        <v>#N/A</v>
      </c>
      <c r="F1925" s="28" t="str">
        <f t="shared" ca="1" si="92"/>
        <v/>
      </c>
    </row>
    <row r="1926" spans="2:6" x14ac:dyDescent="0.2">
      <c r="B1926" t="str">
        <f>IFERROR(IF('PDCA review'!$D$2=Plan!B1927,Plan!G1927,""),"")</f>
        <v/>
      </c>
      <c r="C1926">
        <f t="shared" si="90"/>
        <v>0</v>
      </c>
      <c r="D1926">
        <f>SUM($C$3:C1926)</f>
        <v>7</v>
      </c>
      <c r="E1926" t="e">
        <f t="shared" si="91"/>
        <v>#N/A</v>
      </c>
      <c r="F1926" s="28" t="str">
        <f t="shared" ca="1" si="92"/>
        <v/>
      </c>
    </row>
    <row r="1927" spans="2:6" x14ac:dyDescent="0.2">
      <c r="B1927" t="str">
        <f>IFERROR(IF('PDCA review'!$D$2=Plan!B1928,Plan!G1928,""),"")</f>
        <v/>
      </c>
      <c r="C1927">
        <f t="shared" si="90"/>
        <v>0</v>
      </c>
      <c r="D1927">
        <f>SUM($C$3:C1927)</f>
        <v>7</v>
      </c>
      <c r="E1927" t="e">
        <f t="shared" si="91"/>
        <v>#N/A</v>
      </c>
      <c r="F1927" s="28" t="str">
        <f t="shared" ca="1" si="92"/>
        <v/>
      </c>
    </row>
    <row r="1928" spans="2:6" x14ac:dyDescent="0.2">
      <c r="B1928" t="str">
        <f>IFERROR(IF('PDCA review'!$D$2=Plan!B1929,Plan!G1929,""),"")</f>
        <v/>
      </c>
      <c r="C1928">
        <f t="shared" si="90"/>
        <v>0</v>
      </c>
      <c r="D1928">
        <f>SUM($C$3:C1928)</f>
        <v>7</v>
      </c>
      <c r="E1928" t="e">
        <f t="shared" si="91"/>
        <v>#N/A</v>
      </c>
      <c r="F1928" s="28" t="str">
        <f t="shared" ca="1" si="92"/>
        <v/>
      </c>
    </row>
    <row r="1929" spans="2:6" x14ac:dyDescent="0.2">
      <c r="B1929" t="str">
        <f>IFERROR(IF('PDCA review'!$D$2=Plan!B1930,Plan!G1930,""),"")</f>
        <v/>
      </c>
      <c r="C1929">
        <f t="shared" si="90"/>
        <v>0</v>
      </c>
      <c r="D1929">
        <f>SUM($C$3:C1929)</f>
        <v>7</v>
      </c>
      <c r="E1929" t="e">
        <f t="shared" si="91"/>
        <v>#N/A</v>
      </c>
      <c r="F1929" s="28" t="str">
        <f t="shared" ca="1" si="92"/>
        <v/>
      </c>
    </row>
    <row r="1930" spans="2:6" x14ac:dyDescent="0.2">
      <c r="B1930" t="str">
        <f>IFERROR(IF('PDCA review'!$D$2=Plan!B1931,Plan!G1931,""),"")</f>
        <v/>
      </c>
      <c r="C1930">
        <f t="shared" si="90"/>
        <v>0</v>
      </c>
      <c r="D1930">
        <f>SUM($C$3:C1930)</f>
        <v>7</v>
      </c>
      <c r="E1930" t="e">
        <f t="shared" si="91"/>
        <v>#N/A</v>
      </c>
      <c r="F1930" s="28" t="str">
        <f t="shared" ca="1" si="92"/>
        <v/>
      </c>
    </row>
    <row r="1931" spans="2:6" x14ac:dyDescent="0.2">
      <c r="B1931" t="str">
        <f>IFERROR(IF('PDCA review'!$D$2=Plan!B1932,Plan!G1932,""),"")</f>
        <v/>
      </c>
      <c r="C1931">
        <f t="shared" si="90"/>
        <v>0</v>
      </c>
      <c r="D1931">
        <f>SUM($C$3:C1931)</f>
        <v>7</v>
      </c>
      <c r="E1931" t="e">
        <f t="shared" si="91"/>
        <v>#N/A</v>
      </c>
      <c r="F1931" s="28" t="str">
        <f t="shared" ca="1" si="92"/>
        <v/>
      </c>
    </row>
    <row r="1932" spans="2:6" x14ac:dyDescent="0.2">
      <c r="B1932" t="str">
        <f>IFERROR(IF('PDCA review'!$D$2=Plan!B1933,Plan!G1933,""),"")</f>
        <v/>
      </c>
      <c r="C1932">
        <f t="shared" si="90"/>
        <v>0</v>
      </c>
      <c r="D1932">
        <f>SUM($C$3:C1932)</f>
        <v>7</v>
      </c>
      <c r="E1932" t="e">
        <f t="shared" si="91"/>
        <v>#N/A</v>
      </c>
      <c r="F1932" s="28" t="str">
        <f t="shared" ca="1" si="92"/>
        <v/>
      </c>
    </row>
    <row r="1933" spans="2:6" x14ac:dyDescent="0.2">
      <c r="B1933" t="str">
        <f>IFERROR(IF('PDCA review'!$D$2=Plan!B1934,Plan!G1934,""),"")</f>
        <v/>
      </c>
      <c r="C1933">
        <f t="shared" si="90"/>
        <v>0</v>
      </c>
      <c r="D1933">
        <f>SUM($C$3:C1933)</f>
        <v>7</v>
      </c>
      <c r="E1933" t="e">
        <f t="shared" si="91"/>
        <v>#N/A</v>
      </c>
      <c r="F1933" s="28" t="str">
        <f t="shared" ca="1" si="92"/>
        <v/>
      </c>
    </row>
    <row r="1934" spans="2:6" x14ac:dyDescent="0.2">
      <c r="B1934" t="str">
        <f>IFERROR(IF('PDCA review'!$D$2=Plan!B1935,Plan!G1935,""),"")</f>
        <v/>
      </c>
      <c r="C1934">
        <f t="shared" si="90"/>
        <v>0</v>
      </c>
      <c r="D1934">
        <f>SUM($C$3:C1934)</f>
        <v>7</v>
      </c>
      <c r="E1934" t="e">
        <f t="shared" si="91"/>
        <v>#N/A</v>
      </c>
      <c r="F1934" s="28" t="str">
        <f t="shared" ca="1" si="92"/>
        <v/>
      </c>
    </row>
    <row r="1935" spans="2:6" x14ac:dyDescent="0.2">
      <c r="B1935" t="str">
        <f>IFERROR(IF('PDCA review'!$D$2=Plan!B1936,Plan!G1936,""),"")</f>
        <v/>
      </c>
      <c r="C1935">
        <f t="shared" si="90"/>
        <v>0</v>
      </c>
      <c r="D1935">
        <f>SUM($C$3:C1935)</f>
        <v>7</v>
      </c>
      <c r="E1935" t="e">
        <f t="shared" si="91"/>
        <v>#N/A</v>
      </c>
      <c r="F1935" s="28" t="str">
        <f t="shared" ca="1" si="92"/>
        <v/>
      </c>
    </row>
    <row r="1936" spans="2:6" x14ac:dyDescent="0.2">
      <c r="B1936" t="str">
        <f>IFERROR(IF('PDCA review'!$D$2=Plan!B1937,Plan!G1937,""),"")</f>
        <v/>
      </c>
      <c r="C1936">
        <f t="shared" si="90"/>
        <v>0</v>
      </c>
      <c r="D1936">
        <f>SUM($C$3:C1936)</f>
        <v>7</v>
      </c>
      <c r="E1936" t="e">
        <f t="shared" si="91"/>
        <v>#N/A</v>
      </c>
      <c r="F1936" s="28" t="str">
        <f t="shared" ca="1" si="92"/>
        <v/>
      </c>
    </row>
    <row r="1937" spans="2:6" x14ac:dyDescent="0.2">
      <c r="B1937" t="str">
        <f>IFERROR(IF('PDCA review'!$D$2=Plan!B1938,Plan!G1938,""),"")</f>
        <v/>
      </c>
      <c r="C1937">
        <f t="shared" si="90"/>
        <v>0</v>
      </c>
      <c r="D1937">
        <f>SUM($C$3:C1937)</f>
        <v>7</v>
      </c>
      <c r="E1937" t="e">
        <f t="shared" si="91"/>
        <v>#N/A</v>
      </c>
      <c r="F1937" s="28" t="str">
        <f t="shared" ca="1" si="92"/>
        <v/>
      </c>
    </row>
    <row r="1938" spans="2:6" x14ac:dyDescent="0.2">
      <c r="B1938" t="str">
        <f>IFERROR(IF('PDCA review'!$D$2=Plan!B1939,Plan!G1939,""),"")</f>
        <v/>
      </c>
      <c r="C1938">
        <f t="shared" si="90"/>
        <v>0</v>
      </c>
      <c r="D1938">
        <f>SUM($C$3:C1938)</f>
        <v>7</v>
      </c>
      <c r="E1938" t="e">
        <f t="shared" si="91"/>
        <v>#N/A</v>
      </c>
      <c r="F1938" s="28" t="str">
        <f t="shared" ca="1" si="92"/>
        <v/>
      </c>
    </row>
    <row r="1939" spans="2:6" x14ac:dyDescent="0.2">
      <c r="B1939" t="str">
        <f>IFERROR(IF('PDCA review'!$D$2=Plan!B1940,Plan!G1940,""),"")</f>
        <v/>
      </c>
      <c r="C1939">
        <f t="shared" si="90"/>
        <v>0</v>
      </c>
      <c r="D1939">
        <f>SUM($C$3:C1939)</f>
        <v>7</v>
      </c>
      <c r="E1939" t="e">
        <f t="shared" si="91"/>
        <v>#N/A</v>
      </c>
      <c r="F1939" s="28" t="str">
        <f t="shared" ca="1" si="92"/>
        <v/>
      </c>
    </row>
    <row r="1940" spans="2:6" x14ac:dyDescent="0.2">
      <c r="B1940" t="str">
        <f>IFERROR(IF('PDCA review'!$D$2=Plan!B1941,Plan!G1941,""),"")</f>
        <v/>
      </c>
      <c r="C1940">
        <f t="shared" si="90"/>
        <v>0</v>
      </c>
      <c r="D1940">
        <f>SUM($C$3:C1940)</f>
        <v>7</v>
      </c>
      <c r="E1940" t="e">
        <f t="shared" si="91"/>
        <v>#N/A</v>
      </c>
      <c r="F1940" s="28" t="str">
        <f t="shared" ca="1" si="92"/>
        <v/>
      </c>
    </row>
    <row r="1941" spans="2:6" x14ac:dyDescent="0.2">
      <c r="B1941" t="str">
        <f>IFERROR(IF('PDCA review'!$D$2=Plan!B1942,Plan!G1942,""),"")</f>
        <v/>
      </c>
      <c r="C1941">
        <f t="shared" si="90"/>
        <v>0</v>
      </c>
      <c r="D1941">
        <f>SUM($C$3:C1941)</f>
        <v>7</v>
      </c>
      <c r="E1941" t="e">
        <f t="shared" si="91"/>
        <v>#N/A</v>
      </c>
      <c r="F1941" s="28" t="str">
        <f t="shared" ca="1" si="92"/>
        <v/>
      </c>
    </row>
    <row r="1942" spans="2:6" x14ac:dyDescent="0.2">
      <c r="B1942" t="str">
        <f>IFERROR(IF('PDCA review'!$D$2=Plan!B1943,Plan!G1943,""),"")</f>
        <v/>
      </c>
      <c r="C1942">
        <f t="shared" si="90"/>
        <v>0</v>
      </c>
      <c r="D1942">
        <f>SUM($C$3:C1942)</f>
        <v>7</v>
      </c>
      <c r="E1942" t="e">
        <f t="shared" si="91"/>
        <v>#N/A</v>
      </c>
      <c r="F1942" s="28" t="str">
        <f t="shared" ca="1" si="92"/>
        <v/>
      </c>
    </row>
    <row r="1943" spans="2:6" x14ac:dyDescent="0.2">
      <c r="B1943" t="str">
        <f>IFERROR(IF('PDCA review'!$D$2=Plan!B1944,Plan!G1944,""),"")</f>
        <v/>
      </c>
      <c r="C1943">
        <f t="shared" si="90"/>
        <v>0</v>
      </c>
      <c r="D1943">
        <f>SUM($C$3:C1943)</f>
        <v>7</v>
      </c>
      <c r="E1943" t="e">
        <f t="shared" si="91"/>
        <v>#N/A</v>
      </c>
      <c r="F1943" s="28" t="str">
        <f t="shared" ca="1" si="92"/>
        <v/>
      </c>
    </row>
    <row r="1944" spans="2:6" x14ac:dyDescent="0.2">
      <c r="B1944" t="str">
        <f>IFERROR(IF('PDCA review'!$D$2=Plan!B1945,Plan!G1945,""),"")</f>
        <v/>
      </c>
      <c r="C1944">
        <f t="shared" si="90"/>
        <v>0</v>
      </c>
      <c r="D1944">
        <f>SUM($C$3:C1944)</f>
        <v>7</v>
      </c>
      <c r="E1944" t="e">
        <f t="shared" si="91"/>
        <v>#N/A</v>
      </c>
      <c r="F1944" s="28" t="str">
        <f t="shared" ca="1" si="92"/>
        <v/>
      </c>
    </row>
    <row r="1945" spans="2:6" x14ac:dyDescent="0.2">
      <c r="B1945" t="str">
        <f>IFERROR(IF('PDCA review'!$D$2=Plan!B1946,Plan!G1946,""),"")</f>
        <v/>
      </c>
      <c r="C1945">
        <f t="shared" si="90"/>
        <v>0</v>
      </c>
      <c r="D1945">
        <f>SUM($C$3:C1945)</f>
        <v>7</v>
      </c>
      <c r="E1945" t="e">
        <f t="shared" si="91"/>
        <v>#N/A</v>
      </c>
      <c r="F1945" s="28" t="str">
        <f t="shared" ca="1" si="92"/>
        <v/>
      </c>
    </row>
    <row r="1946" spans="2:6" x14ac:dyDescent="0.2">
      <c r="B1946" t="str">
        <f>IFERROR(IF('PDCA review'!$D$2=Plan!B1947,Plan!G1947,""),"")</f>
        <v/>
      </c>
      <c r="C1946">
        <f t="shared" si="90"/>
        <v>0</v>
      </c>
      <c r="D1946">
        <f>SUM($C$3:C1946)</f>
        <v>7</v>
      </c>
      <c r="E1946" t="e">
        <f t="shared" si="91"/>
        <v>#N/A</v>
      </c>
      <c r="F1946" s="28" t="str">
        <f t="shared" ca="1" si="92"/>
        <v/>
      </c>
    </row>
    <row r="1947" spans="2:6" x14ac:dyDescent="0.2">
      <c r="B1947" t="str">
        <f>IFERROR(IF('PDCA review'!$D$2=Plan!B1948,Plan!G1948,""),"")</f>
        <v/>
      </c>
      <c r="C1947">
        <f t="shared" si="90"/>
        <v>0</v>
      </c>
      <c r="D1947">
        <f>SUM($C$3:C1947)</f>
        <v>7</v>
      </c>
      <c r="E1947" t="e">
        <f t="shared" si="91"/>
        <v>#N/A</v>
      </c>
      <c r="F1947" s="28" t="str">
        <f t="shared" ca="1" si="92"/>
        <v/>
      </c>
    </row>
    <row r="1948" spans="2:6" x14ac:dyDescent="0.2">
      <c r="B1948" t="str">
        <f>IFERROR(IF('PDCA review'!$D$2=Plan!B1949,Plan!G1949,""),"")</f>
        <v/>
      </c>
      <c r="C1948">
        <f t="shared" si="90"/>
        <v>0</v>
      </c>
      <c r="D1948">
        <f>SUM($C$3:C1948)</f>
        <v>7</v>
      </c>
      <c r="E1948" t="e">
        <f t="shared" si="91"/>
        <v>#N/A</v>
      </c>
      <c r="F1948" s="28" t="str">
        <f t="shared" ca="1" si="92"/>
        <v/>
      </c>
    </row>
    <row r="1949" spans="2:6" x14ac:dyDescent="0.2">
      <c r="B1949" t="str">
        <f>IFERROR(IF('PDCA review'!$D$2=Plan!B1950,Plan!G1950,""),"")</f>
        <v/>
      </c>
      <c r="C1949">
        <f t="shared" si="90"/>
        <v>0</v>
      </c>
      <c r="D1949">
        <f>SUM($C$3:C1949)</f>
        <v>7</v>
      </c>
      <c r="E1949" t="e">
        <f t="shared" si="91"/>
        <v>#N/A</v>
      </c>
      <c r="F1949" s="28" t="str">
        <f t="shared" ca="1" si="92"/>
        <v/>
      </c>
    </row>
    <row r="1950" spans="2:6" x14ac:dyDescent="0.2">
      <c r="B1950" t="str">
        <f>IFERROR(IF('PDCA review'!$D$2=Plan!B1951,Plan!G1951,""),"")</f>
        <v/>
      </c>
      <c r="C1950">
        <f t="shared" si="90"/>
        <v>0</v>
      </c>
      <c r="D1950">
        <f>SUM($C$3:C1950)</f>
        <v>7</v>
      </c>
      <c r="E1950" t="e">
        <f t="shared" si="91"/>
        <v>#N/A</v>
      </c>
      <c r="F1950" s="28" t="str">
        <f t="shared" ca="1" si="92"/>
        <v/>
      </c>
    </row>
    <row r="1951" spans="2:6" x14ac:dyDescent="0.2">
      <c r="B1951" t="str">
        <f>IFERROR(IF('PDCA review'!$D$2=Plan!B1952,Plan!G1952,""),"")</f>
        <v/>
      </c>
      <c r="C1951">
        <f t="shared" si="90"/>
        <v>0</v>
      </c>
      <c r="D1951">
        <f>SUM($C$3:C1951)</f>
        <v>7</v>
      </c>
      <c r="E1951" t="e">
        <f t="shared" si="91"/>
        <v>#N/A</v>
      </c>
      <c r="F1951" s="28" t="str">
        <f t="shared" ca="1" si="92"/>
        <v/>
      </c>
    </row>
    <row r="1952" spans="2:6" x14ac:dyDescent="0.2">
      <c r="B1952" t="str">
        <f>IFERROR(IF('PDCA review'!$D$2=Plan!B1953,Plan!G1953,""),"")</f>
        <v/>
      </c>
      <c r="C1952">
        <f t="shared" si="90"/>
        <v>0</v>
      </c>
      <c r="D1952">
        <f>SUM($C$3:C1952)</f>
        <v>7</v>
      </c>
      <c r="E1952" t="e">
        <f t="shared" si="91"/>
        <v>#N/A</v>
      </c>
      <c r="F1952" s="28" t="str">
        <f t="shared" ca="1" si="92"/>
        <v/>
      </c>
    </row>
    <row r="1953" spans="2:6" x14ac:dyDescent="0.2">
      <c r="B1953" t="str">
        <f>IFERROR(IF('PDCA review'!$D$2=Plan!B1954,Plan!G1954,""),"")</f>
        <v/>
      </c>
      <c r="C1953">
        <f t="shared" si="90"/>
        <v>0</v>
      </c>
      <c r="D1953">
        <f>SUM($C$3:C1953)</f>
        <v>7</v>
      </c>
      <c r="E1953" t="e">
        <f t="shared" si="91"/>
        <v>#N/A</v>
      </c>
      <c r="F1953" s="28" t="str">
        <f t="shared" ca="1" si="92"/>
        <v/>
      </c>
    </row>
    <row r="1954" spans="2:6" x14ac:dyDescent="0.2">
      <c r="B1954" t="str">
        <f>IFERROR(IF('PDCA review'!$D$2=Plan!B1955,Plan!G1955,""),"")</f>
        <v/>
      </c>
      <c r="C1954">
        <f t="shared" si="90"/>
        <v>0</v>
      </c>
      <c r="D1954">
        <f>SUM($C$3:C1954)</f>
        <v>7</v>
      </c>
      <c r="E1954" t="e">
        <f t="shared" si="91"/>
        <v>#N/A</v>
      </c>
      <c r="F1954" s="28" t="str">
        <f t="shared" ca="1" si="92"/>
        <v/>
      </c>
    </row>
    <row r="1955" spans="2:6" x14ac:dyDescent="0.2">
      <c r="B1955" t="str">
        <f>IFERROR(IF('PDCA review'!$D$2=Plan!B1956,Plan!G1956,""),"")</f>
        <v/>
      </c>
      <c r="C1955">
        <f t="shared" si="90"/>
        <v>0</v>
      </c>
      <c r="D1955">
        <f>SUM($C$3:C1955)</f>
        <v>7</v>
      </c>
      <c r="E1955" t="e">
        <f t="shared" si="91"/>
        <v>#N/A</v>
      </c>
      <c r="F1955" s="28" t="str">
        <f t="shared" ca="1" si="92"/>
        <v/>
      </c>
    </row>
    <row r="1956" spans="2:6" x14ac:dyDescent="0.2">
      <c r="B1956" t="str">
        <f>IFERROR(IF('PDCA review'!$D$2=Plan!B1957,Plan!G1957,""),"")</f>
        <v/>
      </c>
      <c r="C1956">
        <f t="shared" si="90"/>
        <v>0</v>
      </c>
      <c r="D1956">
        <f>SUM($C$3:C1956)</f>
        <v>7</v>
      </c>
      <c r="E1956" t="e">
        <f t="shared" si="91"/>
        <v>#N/A</v>
      </c>
      <c r="F1956" s="28" t="str">
        <f t="shared" ca="1" si="92"/>
        <v/>
      </c>
    </row>
    <row r="1957" spans="2:6" x14ac:dyDescent="0.2">
      <c r="B1957" t="str">
        <f>IFERROR(IF('PDCA review'!$D$2=Plan!B1958,Plan!G1958,""),"")</f>
        <v/>
      </c>
      <c r="C1957">
        <f t="shared" si="90"/>
        <v>0</v>
      </c>
      <c r="D1957">
        <f>SUM($C$3:C1957)</f>
        <v>7</v>
      </c>
      <c r="E1957" t="e">
        <f t="shared" si="91"/>
        <v>#N/A</v>
      </c>
      <c r="F1957" s="28" t="str">
        <f t="shared" ca="1" si="92"/>
        <v/>
      </c>
    </row>
    <row r="1958" spans="2:6" x14ac:dyDescent="0.2">
      <c r="B1958" t="str">
        <f>IFERROR(IF('PDCA review'!$D$2=Plan!B1959,Plan!G1959,""),"")</f>
        <v/>
      </c>
      <c r="C1958">
        <f t="shared" si="90"/>
        <v>0</v>
      </c>
      <c r="D1958">
        <f>SUM($C$3:C1958)</f>
        <v>7</v>
      </c>
      <c r="E1958" t="e">
        <f t="shared" si="91"/>
        <v>#N/A</v>
      </c>
      <c r="F1958" s="28" t="str">
        <f t="shared" ca="1" si="92"/>
        <v/>
      </c>
    </row>
    <row r="1959" spans="2:6" x14ac:dyDescent="0.2">
      <c r="B1959" t="str">
        <f>IFERROR(IF('PDCA review'!$D$2=Plan!B1960,Plan!G1960,""),"")</f>
        <v/>
      </c>
      <c r="C1959">
        <f t="shared" si="90"/>
        <v>0</v>
      </c>
      <c r="D1959">
        <f>SUM($C$3:C1959)</f>
        <v>7</v>
      </c>
      <c r="E1959" t="e">
        <f t="shared" si="91"/>
        <v>#N/A</v>
      </c>
      <c r="F1959" s="28" t="str">
        <f t="shared" ca="1" si="92"/>
        <v/>
      </c>
    </row>
    <row r="1960" spans="2:6" x14ac:dyDescent="0.2">
      <c r="B1960" t="str">
        <f>IFERROR(IF('PDCA review'!$D$2=Plan!B1961,Plan!G1961,""),"")</f>
        <v/>
      </c>
      <c r="C1960">
        <f t="shared" si="90"/>
        <v>0</v>
      </c>
      <c r="D1960">
        <f>SUM($C$3:C1960)</f>
        <v>7</v>
      </c>
      <c r="E1960" t="e">
        <f t="shared" si="91"/>
        <v>#N/A</v>
      </c>
      <c r="F1960" s="28" t="str">
        <f t="shared" ca="1" si="92"/>
        <v/>
      </c>
    </row>
    <row r="1961" spans="2:6" x14ac:dyDescent="0.2">
      <c r="B1961" t="str">
        <f>IFERROR(IF('PDCA review'!$D$2=Plan!B1962,Plan!G1962,""),"")</f>
        <v/>
      </c>
      <c r="C1961">
        <f t="shared" si="90"/>
        <v>0</v>
      </c>
      <c r="D1961">
        <f>SUM($C$3:C1961)</f>
        <v>7</v>
      </c>
      <c r="E1961" t="e">
        <f t="shared" si="91"/>
        <v>#N/A</v>
      </c>
      <c r="F1961" s="28" t="str">
        <f t="shared" ca="1" si="92"/>
        <v/>
      </c>
    </row>
    <row r="1962" spans="2:6" x14ac:dyDescent="0.2">
      <c r="B1962" t="str">
        <f>IFERROR(IF('PDCA review'!$D$2=Plan!B1963,Plan!G1963,""),"")</f>
        <v/>
      </c>
      <c r="C1962">
        <f t="shared" si="90"/>
        <v>0</v>
      </c>
      <c r="D1962">
        <f>SUM($C$3:C1962)</f>
        <v>7</v>
      </c>
      <c r="E1962" t="e">
        <f t="shared" si="91"/>
        <v>#N/A</v>
      </c>
      <c r="F1962" s="28" t="str">
        <f t="shared" ca="1" si="92"/>
        <v/>
      </c>
    </row>
    <row r="1963" spans="2:6" x14ac:dyDescent="0.2">
      <c r="B1963" t="str">
        <f>IFERROR(IF('PDCA review'!$D$2=Plan!B1964,Plan!G1964,""),"")</f>
        <v/>
      </c>
      <c r="C1963">
        <f t="shared" si="90"/>
        <v>0</v>
      </c>
      <c r="D1963">
        <f>SUM($C$3:C1963)</f>
        <v>7</v>
      </c>
      <c r="E1963" t="e">
        <f t="shared" si="91"/>
        <v>#N/A</v>
      </c>
      <c r="F1963" s="28" t="str">
        <f t="shared" ca="1" si="92"/>
        <v/>
      </c>
    </row>
    <row r="1964" spans="2:6" x14ac:dyDescent="0.2">
      <c r="B1964" t="str">
        <f>IFERROR(IF('PDCA review'!$D$2=Plan!B1965,Plan!G1965,""),"")</f>
        <v/>
      </c>
      <c r="C1964">
        <f t="shared" si="90"/>
        <v>0</v>
      </c>
      <c r="D1964">
        <f>SUM($C$3:C1964)</f>
        <v>7</v>
      </c>
      <c r="E1964" t="e">
        <f t="shared" si="91"/>
        <v>#N/A</v>
      </c>
      <c r="F1964" s="28" t="str">
        <f t="shared" ca="1" si="92"/>
        <v/>
      </c>
    </row>
    <row r="1965" spans="2:6" x14ac:dyDescent="0.2">
      <c r="B1965" t="str">
        <f>IFERROR(IF('PDCA review'!$D$2=Plan!B1966,Plan!G1966,""),"")</f>
        <v/>
      </c>
      <c r="C1965">
        <f t="shared" si="90"/>
        <v>0</v>
      </c>
      <c r="D1965">
        <f>SUM($C$3:C1965)</f>
        <v>7</v>
      </c>
      <c r="E1965" t="e">
        <f t="shared" si="91"/>
        <v>#N/A</v>
      </c>
      <c r="F1965" s="28" t="str">
        <f t="shared" ca="1" si="92"/>
        <v/>
      </c>
    </row>
    <row r="1966" spans="2:6" x14ac:dyDescent="0.2">
      <c r="B1966" t="str">
        <f>IFERROR(IF('PDCA review'!$D$2=Plan!B1967,Plan!G1967,""),"")</f>
        <v/>
      </c>
      <c r="C1966">
        <f t="shared" si="90"/>
        <v>0</v>
      </c>
      <c r="D1966">
        <f>SUM($C$3:C1966)</f>
        <v>7</v>
      </c>
      <c r="E1966" t="e">
        <f t="shared" si="91"/>
        <v>#N/A</v>
      </c>
      <c r="F1966" s="28" t="str">
        <f t="shared" ca="1" si="92"/>
        <v/>
      </c>
    </row>
    <row r="1967" spans="2:6" x14ac:dyDescent="0.2">
      <c r="B1967" t="str">
        <f>IFERROR(IF('PDCA review'!$D$2=Plan!B1968,Plan!G1968,""),"")</f>
        <v/>
      </c>
      <c r="C1967">
        <f t="shared" si="90"/>
        <v>0</v>
      </c>
      <c r="D1967">
        <f>SUM($C$3:C1967)</f>
        <v>7</v>
      </c>
      <c r="E1967" t="e">
        <f t="shared" si="91"/>
        <v>#N/A</v>
      </c>
      <c r="F1967" s="28" t="str">
        <f t="shared" ca="1" si="92"/>
        <v/>
      </c>
    </row>
    <row r="1968" spans="2:6" x14ac:dyDescent="0.2">
      <c r="B1968" t="str">
        <f>IFERROR(IF('PDCA review'!$D$2=Plan!B1969,Plan!G1969,""),"")</f>
        <v/>
      </c>
      <c r="C1968">
        <f t="shared" si="90"/>
        <v>0</v>
      </c>
      <c r="D1968">
        <f>SUM($C$3:C1968)</f>
        <v>7</v>
      </c>
      <c r="E1968" t="e">
        <f t="shared" si="91"/>
        <v>#N/A</v>
      </c>
      <c r="F1968" s="28" t="str">
        <f t="shared" ca="1" si="92"/>
        <v/>
      </c>
    </row>
    <row r="1969" spans="2:6" x14ac:dyDescent="0.2">
      <c r="B1969" t="str">
        <f>IFERROR(IF('PDCA review'!$D$2=Plan!B1970,Plan!G1970,""),"")</f>
        <v/>
      </c>
      <c r="C1969">
        <f t="shared" si="90"/>
        <v>0</v>
      </c>
      <c r="D1969">
        <f>SUM($C$3:C1969)</f>
        <v>7</v>
      </c>
      <c r="E1969" t="e">
        <f t="shared" si="91"/>
        <v>#N/A</v>
      </c>
      <c r="F1969" s="28" t="str">
        <f t="shared" ca="1" si="92"/>
        <v/>
      </c>
    </row>
    <row r="1970" spans="2:6" x14ac:dyDescent="0.2">
      <c r="B1970" t="str">
        <f>IFERROR(IF('PDCA review'!$D$2=Plan!B1971,Plan!G1971,""),"")</f>
        <v/>
      </c>
      <c r="C1970">
        <f t="shared" si="90"/>
        <v>0</v>
      </c>
      <c r="D1970">
        <f>SUM($C$3:C1970)</f>
        <v>7</v>
      </c>
      <c r="E1970" t="e">
        <f t="shared" si="91"/>
        <v>#N/A</v>
      </c>
      <c r="F1970" s="28" t="str">
        <f t="shared" ca="1" si="92"/>
        <v/>
      </c>
    </row>
    <row r="1971" spans="2:6" x14ac:dyDescent="0.2">
      <c r="B1971" t="str">
        <f>IFERROR(IF('PDCA review'!$D$2=Plan!B1972,Plan!G1972,""),"")</f>
        <v/>
      </c>
      <c r="C1971">
        <f t="shared" si="90"/>
        <v>0</v>
      </c>
      <c r="D1971">
        <f>SUM($C$3:C1971)</f>
        <v>7</v>
      </c>
      <c r="E1971" t="e">
        <f t="shared" si="91"/>
        <v>#N/A</v>
      </c>
      <c r="F1971" s="28" t="str">
        <f t="shared" ca="1" si="92"/>
        <v/>
      </c>
    </row>
    <row r="1972" spans="2:6" x14ac:dyDescent="0.2">
      <c r="B1972" t="str">
        <f>IFERROR(IF('PDCA review'!$D$2=Plan!B1973,Plan!G1973,""),"")</f>
        <v/>
      </c>
      <c r="C1972">
        <f t="shared" si="90"/>
        <v>0</v>
      </c>
      <c r="D1972">
        <f>SUM($C$3:C1972)</f>
        <v>7</v>
      </c>
      <c r="E1972" t="e">
        <f t="shared" si="91"/>
        <v>#N/A</v>
      </c>
      <c r="F1972" s="28" t="str">
        <f t="shared" ca="1" si="92"/>
        <v/>
      </c>
    </row>
    <row r="1973" spans="2:6" x14ac:dyDescent="0.2">
      <c r="B1973" t="str">
        <f>IFERROR(IF('PDCA review'!$D$2=Plan!B1974,Plan!G1974,""),"")</f>
        <v/>
      </c>
      <c r="C1973">
        <f t="shared" si="90"/>
        <v>0</v>
      </c>
      <c r="D1973">
        <f>SUM($C$3:C1973)</f>
        <v>7</v>
      </c>
      <c r="E1973" t="e">
        <f t="shared" si="91"/>
        <v>#N/A</v>
      </c>
      <c r="F1973" s="28" t="str">
        <f t="shared" ca="1" si="92"/>
        <v/>
      </c>
    </row>
    <row r="1974" spans="2:6" x14ac:dyDescent="0.2">
      <c r="B1974" t="str">
        <f>IFERROR(IF('PDCA review'!$D$2=Plan!B1975,Plan!G1975,""),"")</f>
        <v/>
      </c>
      <c r="C1974">
        <f t="shared" si="90"/>
        <v>0</v>
      </c>
      <c r="D1974">
        <f>SUM($C$3:C1974)</f>
        <v>7</v>
      </c>
      <c r="E1974" t="e">
        <f t="shared" si="91"/>
        <v>#N/A</v>
      </c>
      <c r="F1974" s="28" t="str">
        <f t="shared" ca="1" si="92"/>
        <v/>
      </c>
    </row>
    <row r="1975" spans="2:6" x14ac:dyDescent="0.2">
      <c r="B1975" t="str">
        <f>IFERROR(IF('PDCA review'!$D$2=Plan!B1976,Plan!G1976,""),"")</f>
        <v/>
      </c>
      <c r="C1975">
        <f t="shared" si="90"/>
        <v>0</v>
      </c>
      <c r="D1975">
        <f>SUM($C$3:C1975)</f>
        <v>7</v>
      </c>
      <c r="E1975" t="e">
        <f t="shared" si="91"/>
        <v>#N/A</v>
      </c>
      <c r="F1975" s="28" t="str">
        <f t="shared" ca="1" si="92"/>
        <v/>
      </c>
    </row>
    <row r="1976" spans="2:6" x14ac:dyDescent="0.2">
      <c r="B1976" t="str">
        <f>IFERROR(IF('PDCA review'!$D$2=Plan!B1977,Plan!G1977,""),"")</f>
        <v/>
      </c>
      <c r="C1976">
        <f t="shared" si="90"/>
        <v>0</v>
      </c>
      <c r="D1976">
        <f>SUM($C$3:C1976)</f>
        <v>7</v>
      </c>
      <c r="E1976" t="e">
        <f t="shared" si="91"/>
        <v>#N/A</v>
      </c>
      <c r="F1976" s="28" t="str">
        <f t="shared" ca="1" si="92"/>
        <v/>
      </c>
    </row>
    <row r="1977" spans="2:6" x14ac:dyDescent="0.2">
      <c r="B1977" t="str">
        <f>IFERROR(IF('PDCA review'!$D$2=Plan!B1978,Plan!G1978,""),"")</f>
        <v/>
      </c>
      <c r="C1977">
        <f t="shared" si="90"/>
        <v>0</v>
      </c>
      <c r="D1977">
        <f>SUM($C$3:C1977)</f>
        <v>7</v>
      </c>
      <c r="E1977" t="e">
        <f t="shared" si="91"/>
        <v>#N/A</v>
      </c>
      <c r="F1977" s="28" t="str">
        <f t="shared" ca="1" si="92"/>
        <v/>
      </c>
    </row>
    <row r="1978" spans="2:6" x14ac:dyDescent="0.2">
      <c r="B1978" t="str">
        <f>IFERROR(IF('PDCA review'!$D$2=Plan!B1979,Plan!G1979,""),"")</f>
        <v/>
      </c>
      <c r="C1978">
        <f t="shared" si="90"/>
        <v>0</v>
      </c>
      <c r="D1978">
        <f>SUM($C$3:C1978)</f>
        <v>7</v>
      </c>
      <c r="E1978" t="e">
        <f t="shared" si="91"/>
        <v>#N/A</v>
      </c>
      <c r="F1978" s="28" t="str">
        <f t="shared" ca="1" si="92"/>
        <v/>
      </c>
    </row>
    <row r="1979" spans="2:6" x14ac:dyDescent="0.2">
      <c r="B1979" t="str">
        <f>IFERROR(IF('PDCA review'!$D$2=Plan!B1980,Plan!G1980,""),"")</f>
        <v/>
      </c>
      <c r="C1979">
        <f t="shared" si="90"/>
        <v>0</v>
      </c>
      <c r="D1979">
        <f>SUM($C$3:C1979)</f>
        <v>7</v>
      </c>
      <c r="E1979" t="e">
        <f t="shared" si="91"/>
        <v>#N/A</v>
      </c>
      <c r="F1979" s="28" t="str">
        <f t="shared" ca="1" si="92"/>
        <v/>
      </c>
    </row>
    <row r="1980" spans="2:6" x14ac:dyDescent="0.2">
      <c r="B1980" t="str">
        <f>IFERROR(IF('PDCA review'!$D$2=Plan!B1981,Plan!G1981,""),"")</f>
        <v/>
      </c>
      <c r="C1980">
        <f t="shared" si="90"/>
        <v>0</v>
      </c>
      <c r="D1980">
        <f>SUM($C$3:C1980)</f>
        <v>7</v>
      </c>
      <c r="E1980" t="e">
        <f t="shared" si="91"/>
        <v>#N/A</v>
      </c>
      <c r="F1980" s="28" t="str">
        <f t="shared" ca="1" si="92"/>
        <v/>
      </c>
    </row>
    <row r="1981" spans="2:6" x14ac:dyDescent="0.2">
      <c r="B1981" t="str">
        <f>IFERROR(IF('PDCA review'!$D$2=Plan!B1982,Plan!G1982,""),"")</f>
        <v/>
      </c>
      <c r="C1981">
        <f t="shared" si="90"/>
        <v>0</v>
      </c>
      <c r="D1981">
        <f>SUM($C$3:C1981)</f>
        <v>7</v>
      </c>
      <c r="E1981" t="e">
        <f t="shared" si="91"/>
        <v>#N/A</v>
      </c>
      <c r="F1981" s="28" t="str">
        <f t="shared" ca="1" si="92"/>
        <v/>
      </c>
    </row>
    <row r="1982" spans="2:6" x14ac:dyDescent="0.2">
      <c r="B1982" t="str">
        <f>IFERROR(IF('PDCA review'!$D$2=Plan!B1983,Plan!G1983,""),"")</f>
        <v/>
      </c>
      <c r="C1982">
        <f t="shared" si="90"/>
        <v>0</v>
      </c>
      <c r="D1982">
        <f>SUM($C$3:C1982)</f>
        <v>7</v>
      </c>
      <c r="E1982" t="e">
        <f t="shared" si="91"/>
        <v>#N/A</v>
      </c>
      <c r="F1982" s="28" t="str">
        <f t="shared" ca="1" si="92"/>
        <v/>
      </c>
    </row>
    <row r="1983" spans="2:6" x14ac:dyDescent="0.2">
      <c r="B1983" t="str">
        <f>IFERROR(IF('PDCA review'!$D$2=Plan!B1984,Plan!G1984,""),"")</f>
        <v/>
      </c>
      <c r="C1983">
        <f t="shared" si="90"/>
        <v>0</v>
      </c>
      <c r="D1983">
        <f>SUM($C$3:C1983)</f>
        <v>7</v>
      </c>
      <c r="E1983" t="e">
        <f t="shared" si="91"/>
        <v>#N/A</v>
      </c>
      <c r="F1983" s="28" t="str">
        <f t="shared" ca="1" si="92"/>
        <v/>
      </c>
    </row>
    <row r="1984" spans="2:6" x14ac:dyDescent="0.2">
      <c r="B1984" t="str">
        <f>IFERROR(IF('PDCA review'!$D$2=Plan!B1985,Plan!G1985,""),"")</f>
        <v/>
      </c>
      <c r="C1984">
        <f t="shared" si="90"/>
        <v>0</v>
      </c>
      <c r="D1984">
        <f>SUM($C$3:C1984)</f>
        <v>7</v>
      </c>
      <c r="E1984" t="e">
        <f t="shared" si="91"/>
        <v>#N/A</v>
      </c>
      <c r="F1984" s="28" t="str">
        <f t="shared" ca="1" si="92"/>
        <v/>
      </c>
    </row>
    <row r="1985" spans="2:6" x14ac:dyDescent="0.2">
      <c r="B1985" t="str">
        <f>IFERROR(IF('PDCA review'!$D$2=Plan!B1986,Plan!G1986,""),"")</f>
        <v/>
      </c>
      <c r="C1985">
        <f t="shared" si="90"/>
        <v>0</v>
      </c>
      <c r="D1985">
        <f>SUM($C$3:C1985)</f>
        <v>7</v>
      </c>
      <c r="E1985" t="e">
        <f t="shared" si="91"/>
        <v>#N/A</v>
      </c>
      <c r="F1985" s="28" t="str">
        <f t="shared" ca="1" si="92"/>
        <v/>
      </c>
    </row>
    <row r="1986" spans="2:6" x14ac:dyDescent="0.2">
      <c r="B1986" t="str">
        <f>IFERROR(IF('PDCA review'!$D$2=Plan!B1987,Plan!G1987,""),"")</f>
        <v/>
      </c>
      <c r="C1986">
        <f t="shared" si="90"/>
        <v>0</v>
      </c>
      <c r="D1986">
        <f>SUM($C$3:C1986)</f>
        <v>7</v>
      </c>
      <c r="E1986" t="e">
        <f t="shared" si="91"/>
        <v>#N/A</v>
      </c>
      <c r="F1986" s="28" t="str">
        <f t="shared" ca="1" si="92"/>
        <v/>
      </c>
    </row>
    <row r="1987" spans="2:6" x14ac:dyDescent="0.2">
      <c r="B1987" t="str">
        <f>IFERROR(IF('PDCA review'!$D$2=Plan!B1988,Plan!G1988,""),"")</f>
        <v/>
      </c>
      <c r="C1987">
        <f t="shared" si="90"/>
        <v>0</v>
      </c>
      <c r="D1987">
        <f>SUM($C$3:C1987)</f>
        <v>7</v>
      </c>
      <c r="E1987" t="e">
        <f t="shared" si="91"/>
        <v>#N/A</v>
      </c>
      <c r="F1987" s="28" t="str">
        <f t="shared" ca="1" si="92"/>
        <v/>
      </c>
    </row>
    <row r="1988" spans="2:6" x14ac:dyDescent="0.2">
      <c r="B1988" t="str">
        <f>IFERROR(IF('PDCA review'!$D$2=Plan!B1989,Plan!G1989,""),"")</f>
        <v/>
      </c>
      <c r="C1988">
        <f t="shared" ref="C1988:C2000" si="93">IF(B1988&lt;&gt;"",1,0)</f>
        <v>0</v>
      </c>
      <c r="D1988">
        <f>SUM($C$3:C1988)</f>
        <v>7</v>
      </c>
      <c r="E1988" t="e">
        <f t="shared" ref="E1988:E2000" si="94">MATCH(ROW()-$D$2,$D$3:$D$2000,0)+$D$2</f>
        <v>#N/A</v>
      </c>
      <c r="F1988" s="28" t="str">
        <f t="shared" ref="F1988:F2000" ca="1" si="95">IFERROR(INDIRECT("B"&amp;E1988),"")</f>
        <v/>
      </c>
    </row>
    <row r="1989" spans="2:6" x14ac:dyDescent="0.2">
      <c r="B1989" t="str">
        <f>IFERROR(IF('PDCA review'!$D$2=Plan!B1990,Plan!G1990,""),"")</f>
        <v/>
      </c>
      <c r="C1989">
        <f t="shared" si="93"/>
        <v>0</v>
      </c>
      <c r="D1989">
        <f>SUM($C$3:C1989)</f>
        <v>7</v>
      </c>
      <c r="E1989" t="e">
        <f t="shared" si="94"/>
        <v>#N/A</v>
      </c>
      <c r="F1989" s="28" t="str">
        <f t="shared" ca="1" si="95"/>
        <v/>
      </c>
    </row>
    <row r="1990" spans="2:6" x14ac:dyDescent="0.2">
      <c r="B1990" t="str">
        <f>IFERROR(IF('PDCA review'!$D$2=Plan!B1991,Plan!G1991,""),"")</f>
        <v/>
      </c>
      <c r="C1990">
        <f t="shared" si="93"/>
        <v>0</v>
      </c>
      <c r="D1990">
        <f>SUM($C$3:C1990)</f>
        <v>7</v>
      </c>
      <c r="E1990" t="e">
        <f t="shared" si="94"/>
        <v>#N/A</v>
      </c>
      <c r="F1990" s="28" t="str">
        <f t="shared" ca="1" si="95"/>
        <v/>
      </c>
    </row>
    <row r="1991" spans="2:6" x14ac:dyDescent="0.2">
      <c r="B1991" t="str">
        <f>IFERROR(IF('PDCA review'!$D$2=Plan!B1992,Plan!G1992,""),"")</f>
        <v/>
      </c>
      <c r="C1991">
        <f t="shared" si="93"/>
        <v>0</v>
      </c>
      <c r="D1991">
        <f>SUM($C$3:C1991)</f>
        <v>7</v>
      </c>
      <c r="E1991" t="e">
        <f t="shared" si="94"/>
        <v>#N/A</v>
      </c>
      <c r="F1991" s="28" t="str">
        <f t="shared" ca="1" si="95"/>
        <v/>
      </c>
    </row>
    <row r="1992" spans="2:6" x14ac:dyDescent="0.2">
      <c r="B1992" t="str">
        <f>IFERROR(IF('PDCA review'!$D$2=Plan!B1993,Plan!G1993,""),"")</f>
        <v/>
      </c>
      <c r="C1992">
        <f t="shared" si="93"/>
        <v>0</v>
      </c>
      <c r="D1992">
        <f>SUM($C$3:C1992)</f>
        <v>7</v>
      </c>
      <c r="E1992" t="e">
        <f t="shared" si="94"/>
        <v>#N/A</v>
      </c>
      <c r="F1992" s="28" t="str">
        <f t="shared" ca="1" si="95"/>
        <v/>
      </c>
    </row>
    <row r="1993" spans="2:6" x14ac:dyDescent="0.2">
      <c r="B1993" t="str">
        <f>IFERROR(IF('PDCA review'!$D$2=Plan!B1994,Plan!G1994,""),"")</f>
        <v/>
      </c>
      <c r="C1993">
        <f t="shared" si="93"/>
        <v>0</v>
      </c>
      <c r="D1993">
        <f>SUM($C$3:C1993)</f>
        <v>7</v>
      </c>
      <c r="E1993" t="e">
        <f t="shared" si="94"/>
        <v>#N/A</v>
      </c>
      <c r="F1993" s="28" t="str">
        <f t="shared" ca="1" si="95"/>
        <v/>
      </c>
    </row>
    <row r="1994" spans="2:6" x14ac:dyDescent="0.2">
      <c r="B1994" t="str">
        <f>IFERROR(IF('PDCA review'!$D$2=Plan!B1995,Plan!G1995,""),"")</f>
        <v/>
      </c>
      <c r="C1994">
        <f t="shared" si="93"/>
        <v>0</v>
      </c>
      <c r="D1994">
        <f>SUM($C$3:C1994)</f>
        <v>7</v>
      </c>
      <c r="E1994" t="e">
        <f t="shared" si="94"/>
        <v>#N/A</v>
      </c>
      <c r="F1994" s="28" t="str">
        <f t="shared" ca="1" si="95"/>
        <v/>
      </c>
    </row>
    <row r="1995" spans="2:6" x14ac:dyDescent="0.2">
      <c r="B1995" t="str">
        <f>IFERROR(IF('PDCA review'!$D$2=Plan!B1996,Plan!G1996,""),"")</f>
        <v/>
      </c>
      <c r="C1995">
        <f t="shared" si="93"/>
        <v>0</v>
      </c>
      <c r="D1995">
        <f>SUM($C$3:C1995)</f>
        <v>7</v>
      </c>
      <c r="E1995" t="e">
        <f t="shared" si="94"/>
        <v>#N/A</v>
      </c>
      <c r="F1995" s="28" t="str">
        <f t="shared" ca="1" si="95"/>
        <v/>
      </c>
    </row>
    <row r="1996" spans="2:6" x14ac:dyDescent="0.2">
      <c r="B1996" t="str">
        <f>IFERROR(IF('PDCA review'!$D$2=Plan!B1997,Plan!G1997,""),"")</f>
        <v/>
      </c>
      <c r="C1996">
        <f t="shared" si="93"/>
        <v>0</v>
      </c>
      <c r="D1996">
        <f>SUM($C$3:C1996)</f>
        <v>7</v>
      </c>
      <c r="E1996" t="e">
        <f t="shared" si="94"/>
        <v>#N/A</v>
      </c>
      <c r="F1996" s="28" t="str">
        <f t="shared" ca="1" si="95"/>
        <v/>
      </c>
    </row>
    <row r="1997" spans="2:6" x14ac:dyDescent="0.2">
      <c r="B1997" t="str">
        <f>IFERROR(IF('PDCA review'!$D$2=Plan!B1998,Plan!G1998,""),"")</f>
        <v/>
      </c>
      <c r="C1997">
        <f t="shared" si="93"/>
        <v>0</v>
      </c>
      <c r="D1997">
        <f>SUM($C$3:C1997)</f>
        <v>7</v>
      </c>
      <c r="E1997" t="e">
        <f t="shared" si="94"/>
        <v>#N/A</v>
      </c>
      <c r="F1997" s="28" t="str">
        <f t="shared" ca="1" si="95"/>
        <v/>
      </c>
    </row>
    <row r="1998" spans="2:6" x14ac:dyDescent="0.2">
      <c r="B1998" t="str">
        <f>IFERROR(IF('PDCA review'!$D$2=Plan!B1999,Plan!G1999,""),"")</f>
        <v/>
      </c>
      <c r="C1998">
        <f t="shared" si="93"/>
        <v>0</v>
      </c>
      <c r="D1998">
        <f>SUM($C$3:C1998)</f>
        <v>7</v>
      </c>
      <c r="E1998" t="e">
        <f t="shared" si="94"/>
        <v>#N/A</v>
      </c>
      <c r="F1998" s="28" t="str">
        <f t="shared" ca="1" si="95"/>
        <v/>
      </c>
    </row>
    <row r="1999" spans="2:6" x14ac:dyDescent="0.2">
      <c r="B1999" t="str">
        <f>IFERROR(IF('PDCA review'!$D$2=Plan!B2000,Plan!G2000,""),"")</f>
        <v/>
      </c>
      <c r="C1999">
        <f t="shared" si="93"/>
        <v>0</v>
      </c>
      <c r="D1999">
        <f>SUM($C$3:C1999)</f>
        <v>7</v>
      </c>
      <c r="E1999" t="e">
        <f t="shared" si="94"/>
        <v>#N/A</v>
      </c>
      <c r="F1999" s="28" t="str">
        <f t="shared" ca="1" si="95"/>
        <v/>
      </c>
    </row>
    <row r="2000" spans="2:6" x14ac:dyDescent="0.2">
      <c r="B2000" t="str">
        <f>IFERROR(IF('PDCA review'!$D$2=Plan!B2001,Plan!G2001,""),"")</f>
        <v/>
      </c>
      <c r="C2000">
        <f t="shared" si="93"/>
        <v>0</v>
      </c>
      <c r="D2000">
        <f>SUM($C$3:C2000)</f>
        <v>7</v>
      </c>
      <c r="E2000" t="e">
        <f t="shared" si="94"/>
        <v>#N/A</v>
      </c>
      <c r="F2000" s="28" t="str">
        <f t="shared" ca="1" si="95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28E6-FAF0-437E-B248-7C91AEF1E9B3}">
  <dimension ref="B1:F2000"/>
  <sheetViews>
    <sheetView showGridLines="0" workbookViewId="0">
      <selection activeCell="B5" sqref="B5"/>
    </sheetView>
  </sheetViews>
  <sheetFormatPr defaultRowHeight="12.75" x14ac:dyDescent="0.2"/>
  <cols>
    <col min="2" max="2" width="33.5703125" customWidth="1"/>
    <col min="3" max="5" width="16.7109375" customWidth="1"/>
    <col min="6" max="6" width="31.28515625" style="28" customWidth="1"/>
  </cols>
  <sheetData>
    <row r="1" spans="2:6" x14ac:dyDescent="0.2">
      <c r="F1"/>
    </row>
    <row r="2" spans="2:6" x14ac:dyDescent="0.2">
      <c r="B2" s="29"/>
      <c r="C2" s="29"/>
      <c r="D2" s="29">
        <f>ROW()</f>
        <v>2</v>
      </c>
      <c r="E2" s="29"/>
      <c r="F2" s="30" t="s">
        <v>14</v>
      </c>
    </row>
    <row r="3" spans="2:6" x14ac:dyDescent="0.2">
      <c r="B3" t="str">
        <f>IFERROR(IF('PDCA review'!$D$2=Do!#REF!,Do!#REF!,""),"")</f>
        <v/>
      </c>
      <c r="C3">
        <f>IF(B3&lt;&gt;"",1,0)</f>
        <v>0</v>
      </c>
      <c r="D3">
        <f>SUM($C$3:C3)</f>
        <v>0</v>
      </c>
      <c r="E3">
        <f>MATCH(ROW()-$D$2,$D$3:$D$2000,0)+$D$2</f>
        <v>7</v>
      </c>
      <c r="F3" s="28" t="str">
        <f ca="1">IFERROR(INDIRECT("B"&amp;E3),"")</f>
        <v>Train people to interpret the plan</v>
      </c>
    </row>
    <row r="4" spans="2:6" x14ac:dyDescent="0.2">
      <c r="B4" t="str">
        <f>IFERROR(IF('PDCA review'!$D$2=Do!B4,Do!G4,""),"")</f>
        <v/>
      </c>
      <c r="C4">
        <f t="shared" ref="C4:C67" si="0">IF(B4&lt;&gt;"",1,0)</f>
        <v>0</v>
      </c>
      <c r="D4">
        <f>SUM($C$3:C4)</f>
        <v>0</v>
      </c>
      <c r="E4">
        <f t="shared" ref="E4:E67" si="1">MATCH(ROW()-$D$2,$D$3:$D$2000,0)+$D$2</f>
        <v>8</v>
      </c>
      <c r="F4" s="28" t="str">
        <f t="shared" ref="F4:F67" ca="1" si="2">IFERROR(INDIRECT("B"&amp;E4),"")</f>
        <v>Perform the steps defined in the plan.</v>
      </c>
    </row>
    <row r="5" spans="2:6" x14ac:dyDescent="0.2">
      <c r="B5" t="str">
        <f>IFERROR(IF('PDCA review'!$D$2=Do!B5,Do!G5,""),"")</f>
        <v/>
      </c>
      <c r="C5">
        <f t="shared" si="0"/>
        <v>0</v>
      </c>
      <c r="D5">
        <f>SUM($C$3:C5)</f>
        <v>0</v>
      </c>
      <c r="E5">
        <f t="shared" si="1"/>
        <v>9</v>
      </c>
      <c r="F5" s="28" t="str">
        <f t="shared" ca="1" si="2"/>
        <v>Observe the predicted schedule.</v>
      </c>
    </row>
    <row r="6" spans="2:6" x14ac:dyDescent="0.2">
      <c r="B6" t="str">
        <f>IFERROR(IF('PDCA review'!$D$2=Do!B6,Do!G6,""),"")</f>
        <v/>
      </c>
      <c r="C6">
        <f t="shared" si="0"/>
        <v>0</v>
      </c>
      <c r="D6">
        <f>SUM($C$3:C6)</f>
        <v>0</v>
      </c>
      <c r="E6">
        <f t="shared" si="1"/>
        <v>10</v>
      </c>
      <c r="F6" s="28" t="str">
        <f t="shared" ca="1" si="2"/>
        <v>The people involved give feedback</v>
      </c>
    </row>
    <row r="7" spans="2:6" x14ac:dyDescent="0.2">
      <c r="B7" t="str">
        <f>IFERROR(IF('PDCA review'!$D$2=Do!B7,Do!G7,""),"")</f>
        <v>Train people to interpret the plan</v>
      </c>
      <c r="C7">
        <f t="shared" si="0"/>
        <v>1</v>
      </c>
      <c r="D7">
        <f>SUM($C$3:C7)</f>
        <v>1</v>
      </c>
      <c r="E7" t="e">
        <f t="shared" si="1"/>
        <v>#N/A</v>
      </c>
      <c r="F7" s="28" t="str">
        <f t="shared" ca="1" si="2"/>
        <v/>
      </c>
    </row>
    <row r="8" spans="2:6" x14ac:dyDescent="0.2">
      <c r="B8" t="str">
        <f>IFERROR(IF('PDCA review'!$D$2=Do!B8,Do!G8,""),"")</f>
        <v>Perform the steps defined in the plan.</v>
      </c>
      <c r="C8">
        <f t="shared" si="0"/>
        <v>1</v>
      </c>
      <c r="D8">
        <f>SUM($C$3:C8)</f>
        <v>2</v>
      </c>
      <c r="E8" t="e">
        <f t="shared" si="1"/>
        <v>#N/A</v>
      </c>
      <c r="F8" s="28" t="str">
        <f t="shared" ca="1" si="2"/>
        <v/>
      </c>
    </row>
    <row r="9" spans="2:6" x14ac:dyDescent="0.2">
      <c r="B9" t="str">
        <f>IFERROR(IF('PDCA review'!$D$2=Do!B9,Do!G9,""),"")</f>
        <v>Observe the predicted schedule.</v>
      </c>
      <c r="C9">
        <f t="shared" si="0"/>
        <v>1</v>
      </c>
      <c r="D9">
        <f>SUM($C$3:C9)</f>
        <v>3</v>
      </c>
      <c r="E9" t="e">
        <f t="shared" si="1"/>
        <v>#N/A</v>
      </c>
      <c r="F9" s="28" t="str">
        <f t="shared" ca="1" si="2"/>
        <v/>
      </c>
    </row>
    <row r="10" spans="2:6" x14ac:dyDescent="0.2">
      <c r="B10" t="str">
        <f>IFERROR(IF('PDCA review'!$D$2=Do!B10,Do!G10,""),"")</f>
        <v>The people involved give feedback</v>
      </c>
      <c r="C10">
        <f t="shared" si="0"/>
        <v>1</v>
      </c>
      <c r="D10">
        <f>SUM($C$3:C10)</f>
        <v>4</v>
      </c>
      <c r="E10" t="e">
        <f t="shared" si="1"/>
        <v>#N/A</v>
      </c>
      <c r="F10" s="28" t="str">
        <f t="shared" ca="1" si="2"/>
        <v/>
      </c>
    </row>
    <row r="11" spans="2:6" x14ac:dyDescent="0.2">
      <c r="B11" t="str">
        <f>IFERROR(IF('PDCA review'!$D$2=Do!#REF!,Do!#REF!,""),"")</f>
        <v/>
      </c>
      <c r="C11">
        <f t="shared" si="0"/>
        <v>0</v>
      </c>
      <c r="D11">
        <f>SUM($C$3:C11)</f>
        <v>4</v>
      </c>
      <c r="E11" t="e">
        <f t="shared" si="1"/>
        <v>#N/A</v>
      </c>
      <c r="F11" s="28" t="str">
        <f t="shared" ca="1" si="2"/>
        <v/>
      </c>
    </row>
    <row r="12" spans="2:6" x14ac:dyDescent="0.2">
      <c r="B12" t="str">
        <f>IFERROR(IF('PDCA review'!$D$2=Do!#REF!,Do!#REF!,""),"")</f>
        <v/>
      </c>
      <c r="C12">
        <f t="shared" si="0"/>
        <v>0</v>
      </c>
      <c r="D12">
        <f>SUM($C$3:C12)</f>
        <v>4</v>
      </c>
      <c r="E12" t="e">
        <f t="shared" si="1"/>
        <v>#N/A</v>
      </c>
      <c r="F12" s="28" t="str">
        <f t="shared" ca="1" si="2"/>
        <v/>
      </c>
    </row>
    <row r="13" spans="2:6" x14ac:dyDescent="0.2">
      <c r="B13" t="str">
        <f>IFERROR(IF('PDCA review'!$D$2=Do!B11,Do!G11,""),"")</f>
        <v/>
      </c>
      <c r="C13">
        <f t="shared" si="0"/>
        <v>0</v>
      </c>
      <c r="D13">
        <f>SUM($C$3:C13)</f>
        <v>4</v>
      </c>
      <c r="E13" t="e">
        <f t="shared" si="1"/>
        <v>#N/A</v>
      </c>
      <c r="F13" s="28" t="str">
        <f t="shared" ca="1" si="2"/>
        <v/>
      </c>
    </row>
    <row r="14" spans="2:6" x14ac:dyDescent="0.2">
      <c r="B14" t="str">
        <f>IFERROR(IF('PDCA review'!$D$2=Do!B12,Do!G12,""),"")</f>
        <v/>
      </c>
      <c r="C14">
        <f t="shared" si="0"/>
        <v>0</v>
      </c>
      <c r="D14">
        <f>SUM($C$3:C14)</f>
        <v>4</v>
      </c>
      <c r="E14" t="e">
        <f t="shared" si="1"/>
        <v>#N/A</v>
      </c>
      <c r="F14" s="28" t="str">
        <f t="shared" ca="1" si="2"/>
        <v/>
      </c>
    </row>
    <row r="15" spans="2:6" x14ac:dyDescent="0.2">
      <c r="B15" t="str">
        <f>IFERROR(IF('PDCA review'!$D$2=Do!B13,Do!G13,""),"")</f>
        <v/>
      </c>
      <c r="C15">
        <f t="shared" si="0"/>
        <v>0</v>
      </c>
      <c r="D15">
        <f>SUM($C$3:C15)</f>
        <v>4</v>
      </c>
      <c r="E15" t="e">
        <f t="shared" si="1"/>
        <v>#N/A</v>
      </c>
      <c r="F15" s="28" t="str">
        <f t="shared" ca="1" si="2"/>
        <v/>
      </c>
    </row>
    <row r="16" spans="2:6" x14ac:dyDescent="0.2">
      <c r="B16" t="str">
        <f>IFERROR(IF('PDCA review'!$D$2=Do!B14,Do!G14,""),"")</f>
        <v/>
      </c>
      <c r="C16">
        <f t="shared" si="0"/>
        <v>0</v>
      </c>
      <c r="D16">
        <f>SUM($C$3:C16)</f>
        <v>4</v>
      </c>
      <c r="E16" t="e">
        <f t="shared" si="1"/>
        <v>#N/A</v>
      </c>
      <c r="F16" s="28" t="str">
        <f t="shared" ca="1" si="2"/>
        <v/>
      </c>
    </row>
    <row r="17" spans="2:6" x14ac:dyDescent="0.2">
      <c r="B17" t="str">
        <f>IFERROR(IF('PDCA review'!$D$2=Do!B15,Do!G15,""),"")</f>
        <v/>
      </c>
      <c r="C17">
        <f t="shared" si="0"/>
        <v>0</v>
      </c>
      <c r="D17">
        <f>SUM($C$3:C17)</f>
        <v>4</v>
      </c>
      <c r="E17" t="e">
        <f t="shared" si="1"/>
        <v>#N/A</v>
      </c>
      <c r="F17" s="28" t="str">
        <f t="shared" ca="1" si="2"/>
        <v/>
      </c>
    </row>
    <row r="18" spans="2:6" x14ac:dyDescent="0.2">
      <c r="B18" t="str">
        <f>IFERROR(IF('PDCA review'!$D$2=Do!B16,Do!G16,""),"")</f>
        <v/>
      </c>
      <c r="C18">
        <f t="shared" si="0"/>
        <v>0</v>
      </c>
      <c r="D18">
        <f>SUM($C$3:C18)</f>
        <v>4</v>
      </c>
      <c r="E18" t="e">
        <f t="shared" si="1"/>
        <v>#N/A</v>
      </c>
      <c r="F18" s="28" t="str">
        <f t="shared" ca="1" si="2"/>
        <v/>
      </c>
    </row>
    <row r="19" spans="2:6" x14ac:dyDescent="0.2">
      <c r="B19" t="str">
        <f>IFERROR(IF('PDCA review'!$D$2=Do!B17,Do!G17,""),"")</f>
        <v/>
      </c>
      <c r="C19">
        <f t="shared" si="0"/>
        <v>0</v>
      </c>
      <c r="D19">
        <f>SUM($C$3:C19)</f>
        <v>4</v>
      </c>
      <c r="E19" t="e">
        <f t="shared" si="1"/>
        <v>#N/A</v>
      </c>
      <c r="F19" s="28" t="str">
        <f t="shared" ca="1" si="2"/>
        <v/>
      </c>
    </row>
    <row r="20" spans="2:6" x14ac:dyDescent="0.2">
      <c r="B20" t="str">
        <f>IFERROR(IF('PDCA review'!$D$2=Do!B18,Do!G18,""),"")</f>
        <v/>
      </c>
      <c r="C20">
        <f t="shared" si="0"/>
        <v>0</v>
      </c>
      <c r="D20">
        <f>SUM($C$3:C20)</f>
        <v>4</v>
      </c>
      <c r="E20" t="e">
        <f t="shared" si="1"/>
        <v>#N/A</v>
      </c>
      <c r="F20" s="28" t="str">
        <f t="shared" ca="1" si="2"/>
        <v/>
      </c>
    </row>
    <row r="21" spans="2:6" x14ac:dyDescent="0.2">
      <c r="B21" t="str">
        <f>IFERROR(IF('PDCA review'!$D$2=Do!B19,Do!G19,""),"")</f>
        <v/>
      </c>
      <c r="C21">
        <f t="shared" si="0"/>
        <v>0</v>
      </c>
      <c r="D21">
        <f>SUM($C$3:C21)</f>
        <v>4</v>
      </c>
      <c r="E21" t="e">
        <f t="shared" si="1"/>
        <v>#N/A</v>
      </c>
      <c r="F21" s="28" t="str">
        <f t="shared" ca="1" si="2"/>
        <v/>
      </c>
    </row>
    <row r="22" spans="2:6" x14ac:dyDescent="0.2">
      <c r="B22" t="str">
        <f>IFERROR(IF('PDCA review'!$D$2=Do!B20,Do!G20,""),"")</f>
        <v/>
      </c>
      <c r="C22">
        <f t="shared" si="0"/>
        <v>0</v>
      </c>
      <c r="D22">
        <f>SUM($C$3:C22)</f>
        <v>4</v>
      </c>
      <c r="E22" t="e">
        <f t="shared" si="1"/>
        <v>#N/A</v>
      </c>
      <c r="F22" s="28" t="str">
        <f t="shared" ca="1" si="2"/>
        <v/>
      </c>
    </row>
    <row r="23" spans="2:6" x14ac:dyDescent="0.2">
      <c r="B23" t="str">
        <f>IFERROR(IF('PDCA review'!$D$2=Do!B21,Do!G21,""),"")</f>
        <v/>
      </c>
      <c r="C23">
        <f t="shared" si="0"/>
        <v>0</v>
      </c>
      <c r="D23">
        <f>SUM($C$3:C23)</f>
        <v>4</v>
      </c>
      <c r="E23" t="e">
        <f t="shared" si="1"/>
        <v>#N/A</v>
      </c>
      <c r="F23" s="28" t="str">
        <f t="shared" ca="1" si="2"/>
        <v/>
      </c>
    </row>
    <row r="24" spans="2:6" x14ac:dyDescent="0.2">
      <c r="B24" t="str">
        <f>IFERROR(IF('PDCA review'!$D$2=Do!B22,Do!G22,""),"")</f>
        <v/>
      </c>
      <c r="C24">
        <f t="shared" si="0"/>
        <v>0</v>
      </c>
      <c r="D24">
        <f>SUM($C$3:C24)</f>
        <v>4</v>
      </c>
      <c r="E24" t="e">
        <f t="shared" si="1"/>
        <v>#N/A</v>
      </c>
      <c r="F24" s="28" t="str">
        <f t="shared" ca="1" si="2"/>
        <v/>
      </c>
    </row>
    <row r="25" spans="2:6" x14ac:dyDescent="0.2">
      <c r="B25" t="str">
        <f>IFERROR(IF('PDCA review'!$D$2=Do!B23,Do!G23,""),"")</f>
        <v/>
      </c>
      <c r="C25">
        <f t="shared" si="0"/>
        <v>0</v>
      </c>
      <c r="D25">
        <f>SUM($C$3:C25)</f>
        <v>4</v>
      </c>
      <c r="E25" t="e">
        <f t="shared" si="1"/>
        <v>#N/A</v>
      </c>
      <c r="F25" s="28" t="str">
        <f t="shared" ca="1" si="2"/>
        <v/>
      </c>
    </row>
    <row r="26" spans="2:6" x14ac:dyDescent="0.2">
      <c r="B26" t="str">
        <f>IFERROR(IF('PDCA review'!$D$2=Do!B24,Do!G24,""),"")</f>
        <v/>
      </c>
      <c r="C26">
        <f t="shared" si="0"/>
        <v>0</v>
      </c>
      <c r="D26">
        <f>SUM($C$3:C26)</f>
        <v>4</v>
      </c>
      <c r="E26" t="e">
        <f t="shared" si="1"/>
        <v>#N/A</v>
      </c>
      <c r="F26" s="28" t="str">
        <f t="shared" ca="1" si="2"/>
        <v/>
      </c>
    </row>
    <row r="27" spans="2:6" x14ac:dyDescent="0.2">
      <c r="B27" t="str">
        <f>IFERROR(IF('PDCA review'!$D$2=Do!B25,Do!G25,""),"")</f>
        <v/>
      </c>
      <c r="C27">
        <f t="shared" si="0"/>
        <v>0</v>
      </c>
      <c r="D27">
        <f>SUM($C$3:C27)</f>
        <v>4</v>
      </c>
      <c r="E27" t="e">
        <f t="shared" si="1"/>
        <v>#N/A</v>
      </c>
      <c r="F27" s="28" t="str">
        <f t="shared" ca="1" si="2"/>
        <v/>
      </c>
    </row>
    <row r="28" spans="2:6" x14ac:dyDescent="0.2">
      <c r="B28" t="str">
        <f>IFERROR(IF('PDCA review'!$D$2=Do!B26,Do!G26,""),"")</f>
        <v/>
      </c>
      <c r="C28">
        <f t="shared" si="0"/>
        <v>0</v>
      </c>
      <c r="D28">
        <f>SUM($C$3:C28)</f>
        <v>4</v>
      </c>
      <c r="E28" t="e">
        <f t="shared" si="1"/>
        <v>#N/A</v>
      </c>
      <c r="F28" s="28" t="str">
        <f t="shared" ca="1" si="2"/>
        <v/>
      </c>
    </row>
    <row r="29" spans="2:6" x14ac:dyDescent="0.2">
      <c r="B29" t="str">
        <f>IFERROR(IF('PDCA review'!$D$2=Do!B27,Do!G27,""),"")</f>
        <v/>
      </c>
      <c r="C29">
        <f t="shared" si="0"/>
        <v>0</v>
      </c>
      <c r="D29">
        <f>SUM($C$3:C29)</f>
        <v>4</v>
      </c>
      <c r="E29" t="e">
        <f t="shared" si="1"/>
        <v>#N/A</v>
      </c>
      <c r="F29" s="28" t="str">
        <f t="shared" ca="1" si="2"/>
        <v/>
      </c>
    </row>
    <row r="30" spans="2:6" x14ac:dyDescent="0.2">
      <c r="B30" t="str">
        <f>IFERROR(IF('PDCA review'!$D$2=Do!B28,Do!G28,""),"")</f>
        <v/>
      </c>
      <c r="C30">
        <f t="shared" si="0"/>
        <v>0</v>
      </c>
      <c r="D30">
        <f>SUM($C$3:C30)</f>
        <v>4</v>
      </c>
      <c r="E30" t="e">
        <f t="shared" si="1"/>
        <v>#N/A</v>
      </c>
      <c r="F30" s="28" t="str">
        <f t="shared" ca="1" si="2"/>
        <v/>
      </c>
    </row>
    <row r="31" spans="2:6" x14ac:dyDescent="0.2">
      <c r="B31" t="str">
        <f>IFERROR(IF('PDCA review'!$D$2=Do!B29,Do!G29,""),"")</f>
        <v/>
      </c>
      <c r="C31">
        <f t="shared" si="0"/>
        <v>0</v>
      </c>
      <c r="D31">
        <f>SUM($C$3:C31)</f>
        <v>4</v>
      </c>
      <c r="E31" t="e">
        <f t="shared" si="1"/>
        <v>#N/A</v>
      </c>
      <c r="F31" s="28" t="str">
        <f t="shared" ca="1" si="2"/>
        <v/>
      </c>
    </row>
    <row r="32" spans="2:6" x14ac:dyDescent="0.2">
      <c r="B32" t="str">
        <f>IFERROR(IF('PDCA review'!$D$2=Do!B30,Do!G30,""),"")</f>
        <v/>
      </c>
      <c r="C32">
        <f t="shared" si="0"/>
        <v>0</v>
      </c>
      <c r="D32">
        <f>SUM($C$3:C32)</f>
        <v>4</v>
      </c>
      <c r="E32" t="e">
        <f t="shared" si="1"/>
        <v>#N/A</v>
      </c>
      <c r="F32" s="28" t="str">
        <f t="shared" ca="1" si="2"/>
        <v/>
      </c>
    </row>
    <row r="33" spans="2:6" x14ac:dyDescent="0.2">
      <c r="B33" t="str">
        <f>IFERROR(IF('PDCA review'!$D$2=Do!B31,Do!G31,""),"")</f>
        <v/>
      </c>
      <c r="C33">
        <f t="shared" si="0"/>
        <v>0</v>
      </c>
      <c r="D33">
        <f>SUM($C$3:C33)</f>
        <v>4</v>
      </c>
      <c r="E33" t="e">
        <f t="shared" si="1"/>
        <v>#N/A</v>
      </c>
      <c r="F33" s="28" t="str">
        <f t="shared" ca="1" si="2"/>
        <v/>
      </c>
    </row>
    <row r="34" spans="2:6" x14ac:dyDescent="0.2">
      <c r="B34" t="str">
        <f>IFERROR(IF('PDCA review'!$D$2=Do!B32,Do!G32,""),"")</f>
        <v/>
      </c>
      <c r="C34">
        <f t="shared" si="0"/>
        <v>0</v>
      </c>
      <c r="D34">
        <f>SUM($C$3:C34)</f>
        <v>4</v>
      </c>
      <c r="E34" t="e">
        <f t="shared" si="1"/>
        <v>#N/A</v>
      </c>
      <c r="F34" s="28" t="str">
        <f t="shared" ca="1" si="2"/>
        <v/>
      </c>
    </row>
    <row r="35" spans="2:6" x14ac:dyDescent="0.2">
      <c r="B35" t="str">
        <f>IFERROR(IF('PDCA review'!$D$2=Do!B33,Do!G33,""),"")</f>
        <v/>
      </c>
      <c r="C35">
        <f t="shared" si="0"/>
        <v>0</v>
      </c>
      <c r="D35">
        <f>SUM($C$3:C35)</f>
        <v>4</v>
      </c>
      <c r="E35" t="e">
        <f t="shared" si="1"/>
        <v>#N/A</v>
      </c>
      <c r="F35" s="28" t="str">
        <f t="shared" ca="1" si="2"/>
        <v/>
      </c>
    </row>
    <row r="36" spans="2:6" x14ac:dyDescent="0.2">
      <c r="B36" t="str">
        <f>IFERROR(IF('PDCA review'!$D$2=Do!B34,Do!G34,""),"")</f>
        <v/>
      </c>
      <c r="C36">
        <f t="shared" si="0"/>
        <v>0</v>
      </c>
      <c r="D36">
        <f>SUM($C$3:C36)</f>
        <v>4</v>
      </c>
      <c r="E36" t="e">
        <f t="shared" si="1"/>
        <v>#N/A</v>
      </c>
      <c r="F36" s="28" t="str">
        <f t="shared" ca="1" si="2"/>
        <v/>
      </c>
    </row>
    <row r="37" spans="2:6" x14ac:dyDescent="0.2">
      <c r="B37" t="str">
        <f>IFERROR(IF('PDCA review'!$D$2=Do!B35,Do!G35,""),"")</f>
        <v/>
      </c>
      <c r="C37">
        <f t="shared" si="0"/>
        <v>0</v>
      </c>
      <c r="D37">
        <f>SUM($C$3:C37)</f>
        <v>4</v>
      </c>
      <c r="E37" t="e">
        <f t="shared" si="1"/>
        <v>#N/A</v>
      </c>
      <c r="F37" s="28" t="str">
        <f t="shared" ca="1" si="2"/>
        <v/>
      </c>
    </row>
    <row r="38" spans="2:6" x14ac:dyDescent="0.2">
      <c r="B38" t="str">
        <f>IFERROR(IF('PDCA review'!$D$2=Do!B36,Do!G36,""),"")</f>
        <v/>
      </c>
      <c r="C38">
        <f t="shared" si="0"/>
        <v>0</v>
      </c>
      <c r="D38">
        <f>SUM($C$3:C38)</f>
        <v>4</v>
      </c>
      <c r="E38" t="e">
        <f t="shared" si="1"/>
        <v>#N/A</v>
      </c>
      <c r="F38" s="28" t="str">
        <f t="shared" ca="1" si="2"/>
        <v/>
      </c>
    </row>
    <row r="39" spans="2:6" x14ac:dyDescent="0.2">
      <c r="B39" t="str">
        <f>IFERROR(IF('PDCA review'!$D$2=Do!B37,Do!G37,""),"")</f>
        <v/>
      </c>
      <c r="C39">
        <f t="shared" si="0"/>
        <v>0</v>
      </c>
      <c r="D39">
        <f>SUM($C$3:C39)</f>
        <v>4</v>
      </c>
      <c r="E39" t="e">
        <f t="shared" si="1"/>
        <v>#N/A</v>
      </c>
      <c r="F39" s="28" t="str">
        <f t="shared" ca="1" si="2"/>
        <v/>
      </c>
    </row>
    <row r="40" spans="2:6" x14ac:dyDescent="0.2">
      <c r="B40" t="str">
        <f>IFERROR(IF('PDCA review'!$D$2=Do!B38,Do!G38,""),"")</f>
        <v/>
      </c>
      <c r="C40">
        <f t="shared" si="0"/>
        <v>0</v>
      </c>
      <c r="D40">
        <f>SUM($C$3:C40)</f>
        <v>4</v>
      </c>
      <c r="E40" t="e">
        <f t="shared" si="1"/>
        <v>#N/A</v>
      </c>
      <c r="F40" s="28" t="str">
        <f t="shared" ca="1" si="2"/>
        <v/>
      </c>
    </row>
    <row r="41" spans="2:6" x14ac:dyDescent="0.2">
      <c r="B41" t="str">
        <f>IFERROR(IF('PDCA review'!$D$2=Do!B39,Do!G39,""),"")</f>
        <v/>
      </c>
      <c r="C41">
        <f t="shared" si="0"/>
        <v>0</v>
      </c>
      <c r="D41">
        <f>SUM($C$3:C41)</f>
        <v>4</v>
      </c>
      <c r="E41" t="e">
        <f t="shared" si="1"/>
        <v>#N/A</v>
      </c>
      <c r="F41" s="28" t="str">
        <f t="shared" ca="1" si="2"/>
        <v/>
      </c>
    </row>
    <row r="42" spans="2:6" x14ac:dyDescent="0.2">
      <c r="B42" t="str">
        <f>IFERROR(IF('PDCA review'!$D$2=Do!B40,Do!G40,""),"")</f>
        <v/>
      </c>
      <c r="C42">
        <f t="shared" si="0"/>
        <v>0</v>
      </c>
      <c r="D42">
        <f>SUM($C$3:C42)</f>
        <v>4</v>
      </c>
      <c r="E42" t="e">
        <f t="shared" si="1"/>
        <v>#N/A</v>
      </c>
      <c r="F42" s="28" t="str">
        <f t="shared" ca="1" si="2"/>
        <v/>
      </c>
    </row>
    <row r="43" spans="2:6" x14ac:dyDescent="0.2">
      <c r="B43" t="str">
        <f>IFERROR(IF('PDCA review'!$D$2=Do!B41,Do!G41,""),"")</f>
        <v/>
      </c>
      <c r="C43">
        <f t="shared" si="0"/>
        <v>0</v>
      </c>
      <c r="D43">
        <f>SUM($C$3:C43)</f>
        <v>4</v>
      </c>
      <c r="E43" t="e">
        <f t="shared" si="1"/>
        <v>#N/A</v>
      </c>
      <c r="F43" s="28" t="str">
        <f t="shared" ca="1" si="2"/>
        <v/>
      </c>
    </row>
    <row r="44" spans="2:6" x14ac:dyDescent="0.2">
      <c r="B44" t="str">
        <f>IFERROR(IF('PDCA review'!$D$2=Do!B42,Do!G42,""),"")</f>
        <v/>
      </c>
      <c r="C44">
        <f t="shared" si="0"/>
        <v>0</v>
      </c>
      <c r="D44">
        <f>SUM($C$3:C44)</f>
        <v>4</v>
      </c>
      <c r="E44" t="e">
        <f t="shared" si="1"/>
        <v>#N/A</v>
      </c>
      <c r="F44" s="28" t="str">
        <f t="shared" ca="1" si="2"/>
        <v/>
      </c>
    </row>
    <row r="45" spans="2:6" x14ac:dyDescent="0.2">
      <c r="B45" t="str">
        <f>IFERROR(IF('PDCA review'!$D$2=Do!B43,Do!G43,""),"")</f>
        <v/>
      </c>
      <c r="C45">
        <f t="shared" si="0"/>
        <v>0</v>
      </c>
      <c r="D45">
        <f>SUM($C$3:C45)</f>
        <v>4</v>
      </c>
      <c r="E45" t="e">
        <f t="shared" si="1"/>
        <v>#N/A</v>
      </c>
      <c r="F45" s="28" t="str">
        <f t="shared" ca="1" si="2"/>
        <v/>
      </c>
    </row>
    <row r="46" spans="2:6" x14ac:dyDescent="0.2">
      <c r="B46" t="str">
        <f>IFERROR(IF('PDCA review'!$D$2=Do!B44,Do!G44,""),"")</f>
        <v/>
      </c>
      <c r="C46">
        <f t="shared" si="0"/>
        <v>0</v>
      </c>
      <c r="D46">
        <f>SUM($C$3:C46)</f>
        <v>4</v>
      </c>
      <c r="E46" t="e">
        <f t="shared" si="1"/>
        <v>#N/A</v>
      </c>
      <c r="F46" s="28" t="str">
        <f t="shared" ca="1" si="2"/>
        <v/>
      </c>
    </row>
    <row r="47" spans="2:6" x14ac:dyDescent="0.2">
      <c r="B47" t="str">
        <f>IFERROR(IF('PDCA review'!$D$2=Do!B45,Do!G45,""),"")</f>
        <v/>
      </c>
      <c r="C47">
        <f t="shared" si="0"/>
        <v>0</v>
      </c>
      <c r="D47">
        <f>SUM($C$3:C47)</f>
        <v>4</v>
      </c>
      <c r="E47" t="e">
        <f t="shared" si="1"/>
        <v>#N/A</v>
      </c>
      <c r="F47" s="28" t="str">
        <f t="shared" ca="1" si="2"/>
        <v/>
      </c>
    </row>
    <row r="48" spans="2:6" x14ac:dyDescent="0.2">
      <c r="B48" t="str">
        <f>IFERROR(IF('PDCA review'!$D$2=Do!B46,Do!G46,""),"")</f>
        <v/>
      </c>
      <c r="C48">
        <f t="shared" si="0"/>
        <v>0</v>
      </c>
      <c r="D48">
        <f>SUM($C$3:C48)</f>
        <v>4</v>
      </c>
      <c r="E48" t="e">
        <f t="shared" si="1"/>
        <v>#N/A</v>
      </c>
      <c r="F48" s="28" t="str">
        <f t="shared" ca="1" si="2"/>
        <v/>
      </c>
    </row>
    <row r="49" spans="2:6" x14ac:dyDescent="0.2">
      <c r="B49" t="str">
        <f>IFERROR(IF('PDCA review'!$D$2=Do!B47,Do!G47,""),"")</f>
        <v/>
      </c>
      <c r="C49">
        <f t="shared" si="0"/>
        <v>0</v>
      </c>
      <c r="D49">
        <f>SUM($C$3:C49)</f>
        <v>4</v>
      </c>
      <c r="E49" t="e">
        <f t="shared" si="1"/>
        <v>#N/A</v>
      </c>
      <c r="F49" s="28" t="str">
        <f t="shared" ca="1" si="2"/>
        <v/>
      </c>
    </row>
    <row r="50" spans="2:6" x14ac:dyDescent="0.2">
      <c r="B50" t="str">
        <f>IFERROR(IF('PDCA review'!$D$2=Do!B48,Do!G48,""),"")</f>
        <v/>
      </c>
      <c r="C50">
        <f t="shared" si="0"/>
        <v>0</v>
      </c>
      <c r="D50">
        <f>SUM($C$3:C50)</f>
        <v>4</v>
      </c>
      <c r="E50" t="e">
        <f t="shared" si="1"/>
        <v>#N/A</v>
      </c>
      <c r="F50" s="28" t="str">
        <f t="shared" ca="1" si="2"/>
        <v/>
      </c>
    </row>
    <row r="51" spans="2:6" x14ac:dyDescent="0.2">
      <c r="B51" t="str">
        <f>IFERROR(IF('PDCA review'!$D$2=Do!B49,Do!G49,""),"")</f>
        <v/>
      </c>
      <c r="C51">
        <f t="shared" si="0"/>
        <v>0</v>
      </c>
      <c r="D51">
        <f>SUM($C$3:C51)</f>
        <v>4</v>
      </c>
      <c r="E51" t="e">
        <f t="shared" si="1"/>
        <v>#N/A</v>
      </c>
      <c r="F51" s="28" t="str">
        <f t="shared" ca="1" si="2"/>
        <v/>
      </c>
    </row>
    <row r="52" spans="2:6" x14ac:dyDescent="0.2">
      <c r="B52" t="str">
        <f>IFERROR(IF('PDCA review'!$D$2=Do!B50,Do!G50,""),"")</f>
        <v/>
      </c>
      <c r="C52">
        <f t="shared" si="0"/>
        <v>0</v>
      </c>
      <c r="D52">
        <f>SUM($C$3:C52)</f>
        <v>4</v>
      </c>
      <c r="E52" t="e">
        <f t="shared" si="1"/>
        <v>#N/A</v>
      </c>
      <c r="F52" s="28" t="str">
        <f t="shared" ca="1" si="2"/>
        <v/>
      </c>
    </row>
    <row r="53" spans="2:6" x14ac:dyDescent="0.2">
      <c r="B53" t="str">
        <f>IFERROR(IF('PDCA review'!$D$2=Do!B51,Do!G51,""),"")</f>
        <v/>
      </c>
      <c r="C53">
        <f t="shared" si="0"/>
        <v>0</v>
      </c>
      <c r="D53">
        <f>SUM($C$3:C53)</f>
        <v>4</v>
      </c>
      <c r="E53" t="e">
        <f t="shared" si="1"/>
        <v>#N/A</v>
      </c>
      <c r="F53" s="28" t="str">
        <f t="shared" ca="1" si="2"/>
        <v/>
      </c>
    </row>
    <row r="54" spans="2:6" x14ac:dyDescent="0.2">
      <c r="B54" t="str">
        <f>IFERROR(IF('PDCA review'!$D$2=Do!B52,Do!G52,""),"")</f>
        <v/>
      </c>
      <c r="C54">
        <f t="shared" si="0"/>
        <v>0</v>
      </c>
      <c r="D54">
        <f>SUM($C$3:C54)</f>
        <v>4</v>
      </c>
      <c r="E54" t="e">
        <f t="shared" si="1"/>
        <v>#N/A</v>
      </c>
      <c r="F54" s="28" t="str">
        <f t="shared" ca="1" si="2"/>
        <v/>
      </c>
    </row>
    <row r="55" spans="2:6" x14ac:dyDescent="0.2">
      <c r="B55" t="str">
        <f>IFERROR(IF('PDCA review'!$D$2=Do!B53,Do!G53,""),"")</f>
        <v/>
      </c>
      <c r="C55">
        <f t="shared" si="0"/>
        <v>0</v>
      </c>
      <c r="D55">
        <f>SUM($C$3:C55)</f>
        <v>4</v>
      </c>
      <c r="E55" t="e">
        <f t="shared" si="1"/>
        <v>#N/A</v>
      </c>
      <c r="F55" s="28" t="str">
        <f t="shared" ca="1" si="2"/>
        <v/>
      </c>
    </row>
    <row r="56" spans="2:6" x14ac:dyDescent="0.2">
      <c r="B56" t="str">
        <f>IFERROR(IF('PDCA review'!$D$2=Do!B54,Do!G54,""),"")</f>
        <v/>
      </c>
      <c r="C56">
        <f t="shared" si="0"/>
        <v>0</v>
      </c>
      <c r="D56">
        <f>SUM($C$3:C56)</f>
        <v>4</v>
      </c>
      <c r="E56" t="e">
        <f t="shared" si="1"/>
        <v>#N/A</v>
      </c>
      <c r="F56" s="28" t="str">
        <f t="shared" ca="1" si="2"/>
        <v/>
      </c>
    </row>
    <row r="57" spans="2:6" x14ac:dyDescent="0.2">
      <c r="B57" t="str">
        <f>IFERROR(IF('PDCA review'!$D$2=Do!B55,Do!G55,""),"")</f>
        <v/>
      </c>
      <c r="C57">
        <f t="shared" si="0"/>
        <v>0</v>
      </c>
      <c r="D57">
        <f>SUM($C$3:C57)</f>
        <v>4</v>
      </c>
      <c r="E57" t="e">
        <f t="shared" si="1"/>
        <v>#N/A</v>
      </c>
      <c r="F57" s="28" t="str">
        <f t="shared" ca="1" si="2"/>
        <v/>
      </c>
    </row>
    <row r="58" spans="2:6" x14ac:dyDescent="0.2">
      <c r="B58" t="str">
        <f>IFERROR(IF('PDCA review'!$D$2=Do!B56,Do!G56,""),"")</f>
        <v/>
      </c>
      <c r="C58">
        <f t="shared" si="0"/>
        <v>0</v>
      </c>
      <c r="D58">
        <f>SUM($C$3:C58)</f>
        <v>4</v>
      </c>
      <c r="E58" t="e">
        <f t="shared" si="1"/>
        <v>#N/A</v>
      </c>
      <c r="F58" s="28" t="str">
        <f t="shared" ca="1" si="2"/>
        <v/>
      </c>
    </row>
    <row r="59" spans="2:6" x14ac:dyDescent="0.2">
      <c r="B59" t="str">
        <f>IFERROR(IF('PDCA review'!$D$2=Do!B57,Do!G57,""),"")</f>
        <v/>
      </c>
      <c r="C59">
        <f t="shared" si="0"/>
        <v>0</v>
      </c>
      <c r="D59">
        <f>SUM($C$3:C59)</f>
        <v>4</v>
      </c>
      <c r="E59" t="e">
        <f t="shared" si="1"/>
        <v>#N/A</v>
      </c>
      <c r="F59" s="28" t="str">
        <f t="shared" ca="1" si="2"/>
        <v/>
      </c>
    </row>
    <row r="60" spans="2:6" x14ac:dyDescent="0.2">
      <c r="B60" t="str">
        <f>IFERROR(IF('PDCA review'!$D$2=Do!B58,Do!G58,""),"")</f>
        <v/>
      </c>
      <c r="C60">
        <f t="shared" si="0"/>
        <v>0</v>
      </c>
      <c r="D60">
        <f>SUM($C$3:C60)</f>
        <v>4</v>
      </c>
      <c r="E60" t="e">
        <f t="shared" si="1"/>
        <v>#N/A</v>
      </c>
      <c r="F60" s="28" t="str">
        <f t="shared" ca="1" si="2"/>
        <v/>
      </c>
    </row>
    <row r="61" spans="2:6" x14ac:dyDescent="0.2">
      <c r="B61" t="str">
        <f>IFERROR(IF('PDCA review'!$D$2=Do!B59,Do!G59,""),"")</f>
        <v/>
      </c>
      <c r="C61">
        <f t="shared" si="0"/>
        <v>0</v>
      </c>
      <c r="D61">
        <f>SUM($C$3:C61)</f>
        <v>4</v>
      </c>
      <c r="E61" t="e">
        <f t="shared" si="1"/>
        <v>#N/A</v>
      </c>
      <c r="F61" s="28" t="str">
        <f t="shared" ca="1" si="2"/>
        <v/>
      </c>
    </row>
    <row r="62" spans="2:6" x14ac:dyDescent="0.2">
      <c r="B62" t="str">
        <f>IFERROR(IF('PDCA review'!$D$2=Do!B60,Do!G60,""),"")</f>
        <v/>
      </c>
      <c r="C62">
        <f t="shared" si="0"/>
        <v>0</v>
      </c>
      <c r="D62">
        <f>SUM($C$3:C62)</f>
        <v>4</v>
      </c>
      <c r="E62" t="e">
        <f t="shared" si="1"/>
        <v>#N/A</v>
      </c>
      <c r="F62" s="28" t="str">
        <f t="shared" ca="1" si="2"/>
        <v/>
      </c>
    </row>
    <row r="63" spans="2:6" x14ac:dyDescent="0.2">
      <c r="B63" t="str">
        <f>IFERROR(IF('PDCA review'!$D$2=Do!B61,Do!G61,""),"")</f>
        <v/>
      </c>
      <c r="C63">
        <f t="shared" si="0"/>
        <v>0</v>
      </c>
      <c r="D63">
        <f>SUM($C$3:C63)</f>
        <v>4</v>
      </c>
      <c r="E63" t="e">
        <f t="shared" si="1"/>
        <v>#N/A</v>
      </c>
      <c r="F63" s="28" t="str">
        <f t="shared" ca="1" si="2"/>
        <v/>
      </c>
    </row>
    <row r="64" spans="2:6" x14ac:dyDescent="0.2">
      <c r="B64" t="str">
        <f>IFERROR(IF('PDCA review'!$D$2=Do!B62,Do!G62,""),"")</f>
        <v/>
      </c>
      <c r="C64">
        <f t="shared" si="0"/>
        <v>0</v>
      </c>
      <c r="D64">
        <f>SUM($C$3:C64)</f>
        <v>4</v>
      </c>
      <c r="E64" t="e">
        <f t="shared" si="1"/>
        <v>#N/A</v>
      </c>
      <c r="F64" s="28" t="str">
        <f t="shared" ca="1" si="2"/>
        <v/>
      </c>
    </row>
    <row r="65" spans="2:6" x14ac:dyDescent="0.2">
      <c r="B65" t="str">
        <f>IFERROR(IF('PDCA review'!$D$2=Do!B63,Do!G63,""),"")</f>
        <v/>
      </c>
      <c r="C65">
        <f t="shared" si="0"/>
        <v>0</v>
      </c>
      <c r="D65">
        <f>SUM($C$3:C65)</f>
        <v>4</v>
      </c>
      <c r="E65" t="e">
        <f t="shared" si="1"/>
        <v>#N/A</v>
      </c>
      <c r="F65" s="28" t="str">
        <f t="shared" ca="1" si="2"/>
        <v/>
      </c>
    </row>
    <row r="66" spans="2:6" x14ac:dyDescent="0.2">
      <c r="B66" t="str">
        <f>IFERROR(IF('PDCA review'!$D$2=Do!B64,Do!G64,""),"")</f>
        <v/>
      </c>
      <c r="C66">
        <f t="shared" si="0"/>
        <v>0</v>
      </c>
      <c r="D66">
        <f>SUM($C$3:C66)</f>
        <v>4</v>
      </c>
      <c r="E66" t="e">
        <f t="shared" si="1"/>
        <v>#N/A</v>
      </c>
      <c r="F66" s="28" t="str">
        <f t="shared" ca="1" si="2"/>
        <v/>
      </c>
    </row>
    <row r="67" spans="2:6" x14ac:dyDescent="0.2">
      <c r="B67" t="str">
        <f>IFERROR(IF('PDCA review'!$D$2=Do!B65,Do!G65,""),"")</f>
        <v/>
      </c>
      <c r="C67">
        <f t="shared" si="0"/>
        <v>0</v>
      </c>
      <c r="D67">
        <f>SUM($C$3:C67)</f>
        <v>4</v>
      </c>
      <c r="E67" t="e">
        <f t="shared" si="1"/>
        <v>#N/A</v>
      </c>
      <c r="F67" s="28" t="str">
        <f t="shared" ca="1" si="2"/>
        <v/>
      </c>
    </row>
    <row r="68" spans="2:6" x14ac:dyDescent="0.2">
      <c r="B68" t="str">
        <f>IFERROR(IF('PDCA review'!$D$2=Do!B66,Do!G66,""),"")</f>
        <v/>
      </c>
      <c r="C68">
        <f t="shared" ref="C68:C131" si="3">IF(B68&lt;&gt;"",1,0)</f>
        <v>0</v>
      </c>
      <c r="D68">
        <f>SUM($C$3:C68)</f>
        <v>4</v>
      </c>
      <c r="E68" t="e">
        <f t="shared" ref="E68:E131" si="4">MATCH(ROW()-$D$2,$D$3:$D$2000,0)+$D$2</f>
        <v>#N/A</v>
      </c>
      <c r="F68" s="28" t="str">
        <f t="shared" ref="F68:F131" ca="1" si="5">IFERROR(INDIRECT("B"&amp;E68),"")</f>
        <v/>
      </c>
    </row>
    <row r="69" spans="2:6" x14ac:dyDescent="0.2">
      <c r="B69" t="str">
        <f>IFERROR(IF('PDCA review'!$D$2=Do!B67,Do!G67,""),"")</f>
        <v/>
      </c>
      <c r="C69">
        <f t="shared" si="3"/>
        <v>0</v>
      </c>
      <c r="D69">
        <f>SUM($C$3:C69)</f>
        <v>4</v>
      </c>
      <c r="E69" t="e">
        <f t="shared" si="4"/>
        <v>#N/A</v>
      </c>
      <c r="F69" s="28" t="str">
        <f t="shared" ca="1" si="5"/>
        <v/>
      </c>
    </row>
    <row r="70" spans="2:6" x14ac:dyDescent="0.2">
      <c r="B70" t="str">
        <f>IFERROR(IF('PDCA review'!$D$2=Do!B68,Do!G68,""),"")</f>
        <v/>
      </c>
      <c r="C70">
        <f t="shared" si="3"/>
        <v>0</v>
      </c>
      <c r="D70">
        <f>SUM($C$3:C70)</f>
        <v>4</v>
      </c>
      <c r="E70" t="e">
        <f t="shared" si="4"/>
        <v>#N/A</v>
      </c>
      <c r="F70" s="28" t="str">
        <f t="shared" ca="1" si="5"/>
        <v/>
      </c>
    </row>
    <row r="71" spans="2:6" x14ac:dyDescent="0.2">
      <c r="B71" t="str">
        <f>IFERROR(IF('PDCA review'!$D$2=Do!B69,Do!G69,""),"")</f>
        <v/>
      </c>
      <c r="C71">
        <f t="shared" si="3"/>
        <v>0</v>
      </c>
      <c r="D71">
        <f>SUM($C$3:C71)</f>
        <v>4</v>
      </c>
      <c r="E71" t="e">
        <f t="shared" si="4"/>
        <v>#N/A</v>
      </c>
      <c r="F71" s="28" t="str">
        <f t="shared" ca="1" si="5"/>
        <v/>
      </c>
    </row>
    <row r="72" spans="2:6" x14ac:dyDescent="0.2">
      <c r="B72" t="str">
        <f>IFERROR(IF('PDCA review'!$D$2=Do!B70,Do!G70,""),"")</f>
        <v/>
      </c>
      <c r="C72">
        <f t="shared" si="3"/>
        <v>0</v>
      </c>
      <c r="D72">
        <f>SUM($C$3:C72)</f>
        <v>4</v>
      </c>
      <c r="E72" t="e">
        <f t="shared" si="4"/>
        <v>#N/A</v>
      </c>
      <c r="F72" s="28" t="str">
        <f t="shared" ca="1" si="5"/>
        <v/>
      </c>
    </row>
    <row r="73" spans="2:6" x14ac:dyDescent="0.2">
      <c r="B73" t="str">
        <f>IFERROR(IF('PDCA review'!$D$2=Do!B71,Do!G71,""),"")</f>
        <v/>
      </c>
      <c r="C73">
        <f t="shared" si="3"/>
        <v>0</v>
      </c>
      <c r="D73">
        <f>SUM($C$3:C73)</f>
        <v>4</v>
      </c>
      <c r="E73" t="e">
        <f t="shared" si="4"/>
        <v>#N/A</v>
      </c>
      <c r="F73" s="28" t="str">
        <f t="shared" ca="1" si="5"/>
        <v/>
      </c>
    </row>
    <row r="74" spans="2:6" x14ac:dyDescent="0.2">
      <c r="B74" t="str">
        <f>IFERROR(IF('PDCA review'!$D$2=Do!B72,Do!G72,""),"")</f>
        <v/>
      </c>
      <c r="C74">
        <f t="shared" si="3"/>
        <v>0</v>
      </c>
      <c r="D74">
        <f>SUM($C$3:C74)</f>
        <v>4</v>
      </c>
      <c r="E74" t="e">
        <f t="shared" si="4"/>
        <v>#N/A</v>
      </c>
      <c r="F74" s="28" t="str">
        <f t="shared" ca="1" si="5"/>
        <v/>
      </c>
    </row>
    <row r="75" spans="2:6" x14ac:dyDescent="0.2">
      <c r="B75" t="str">
        <f>IFERROR(IF('PDCA review'!$D$2=Do!B73,Do!G73,""),"")</f>
        <v/>
      </c>
      <c r="C75">
        <f t="shared" si="3"/>
        <v>0</v>
      </c>
      <c r="D75">
        <f>SUM($C$3:C75)</f>
        <v>4</v>
      </c>
      <c r="E75" t="e">
        <f t="shared" si="4"/>
        <v>#N/A</v>
      </c>
      <c r="F75" s="28" t="str">
        <f t="shared" ca="1" si="5"/>
        <v/>
      </c>
    </row>
    <row r="76" spans="2:6" x14ac:dyDescent="0.2">
      <c r="B76" t="str">
        <f>IFERROR(IF('PDCA review'!$D$2=Do!B74,Do!G74,""),"")</f>
        <v/>
      </c>
      <c r="C76">
        <f t="shared" si="3"/>
        <v>0</v>
      </c>
      <c r="D76">
        <f>SUM($C$3:C76)</f>
        <v>4</v>
      </c>
      <c r="E76" t="e">
        <f t="shared" si="4"/>
        <v>#N/A</v>
      </c>
      <c r="F76" s="28" t="str">
        <f t="shared" ca="1" si="5"/>
        <v/>
      </c>
    </row>
    <row r="77" spans="2:6" x14ac:dyDescent="0.2">
      <c r="B77" t="str">
        <f>IFERROR(IF('PDCA review'!$D$2=Do!B75,Do!G75,""),"")</f>
        <v/>
      </c>
      <c r="C77">
        <f t="shared" si="3"/>
        <v>0</v>
      </c>
      <c r="D77">
        <f>SUM($C$3:C77)</f>
        <v>4</v>
      </c>
      <c r="E77" t="e">
        <f t="shared" si="4"/>
        <v>#N/A</v>
      </c>
      <c r="F77" s="28" t="str">
        <f t="shared" ca="1" si="5"/>
        <v/>
      </c>
    </row>
    <row r="78" spans="2:6" x14ac:dyDescent="0.2">
      <c r="B78" t="str">
        <f>IFERROR(IF('PDCA review'!$D$2=Do!B76,Do!G76,""),"")</f>
        <v/>
      </c>
      <c r="C78">
        <f t="shared" si="3"/>
        <v>0</v>
      </c>
      <c r="D78">
        <f>SUM($C$3:C78)</f>
        <v>4</v>
      </c>
      <c r="E78" t="e">
        <f t="shared" si="4"/>
        <v>#N/A</v>
      </c>
      <c r="F78" s="28" t="str">
        <f t="shared" ca="1" si="5"/>
        <v/>
      </c>
    </row>
    <row r="79" spans="2:6" x14ac:dyDescent="0.2">
      <c r="B79" t="str">
        <f>IFERROR(IF('PDCA review'!$D$2=Do!B77,Do!G77,""),"")</f>
        <v/>
      </c>
      <c r="C79">
        <f t="shared" si="3"/>
        <v>0</v>
      </c>
      <c r="D79">
        <f>SUM($C$3:C79)</f>
        <v>4</v>
      </c>
      <c r="E79" t="e">
        <f t="shared" si="4"/>
        <v>#N/A</v>
      </c>
      <c r="F79" s="28" t="str">
        <f t="shared" ca="1" si="5"/>
        <v/>
      </c>
    </row>
    <row r="80" spans="2:6" x14ac:dyDescent="0.2">
      <c r="B80" t="str">
        <f>IFERROR(IF('PDCA review'!$D$2=Do!B78,Do!G78,""),"")</f>
        <v/>
      </c>
      <c r="C80">
        <f t="shared" si="3"/>
        <v>0</v>
      </c>
      <c r="D80">
        <f>SUM($C$3:C80)</f>
        <v>4</v>
      </c>
      <c r="E80" t="e">
        <f t="shared" si="4"/>
        <v>#N/A</v>
      </c>
      <c r="F80" s="28" t="str">
        <f t="shared" ca="1" si="5"/>
        <v/>
      </c>
    </row>
    <row r="81" spans="2:6" x14ac:dyDescent="0.2">
      <c r="B81" t="str">
        <f>IFERROR(IF('PDCA review'!$D$2=Do!B79,Do!G79,""),"")</f>
        <v/>
      </c>
      <c r="C81">
        <f t="shared" si="3"/>
        <v>0</v>
      </c>
      <c r="D81">
        <f>SUM($C$3:C81)</f>
        <v>4</v>
      </c>
      <c r="E81" t="e">
        <f t="shared" si="4"/>
        <v>#N/A</v>
      </c>
      <c r="F81" s="28" t="str">
        <f t="shared" ca="1" si="5"/>
        <v/>
      </c>
    </row>
    <row r="82" spans="2:6" x14ac:dyDescent="0.2">
      <c r="B82" t="str">
        <f>IFERROR(IF('PDCA review'!$D$2=Do!B80,Do!G80,""),"")</f>
        <v/>
      </c>
      <c r="C82">
        <f t="shared" si="3"/>
        <v>0</v>
      </c>
      <c r="D82">
        <f>SUM($C$3:C82)</f>
        <v>4</v>
      </c>
      <c r="E82" t="e">
        <f t="shared" si="4"/>
        <v>#N/A</v>
      </c>
      <c r="F82" s="28" t="str">
        <f t="shared" ca="1" si="5"/>
        <v/>
      </c>
    </row>
    <row r="83" spans="2:6" x14ac:dyDescent="0.2">
      <c r="B83" t="str">
        <f>IFERROR(IF('PDCA review'!$D$2=Do!B81,Do!G81,""),"")</f>
        <v/>
      </c>
      <c r="C83">
        <f t="shared" si="3"/>
        <v>0</v>
      </c>
      <c r="D83">
        <f>SUM($C$3:C83)</f>
        <v>4</v>
      </c>
      <c r="E83" t="e">
        <f t="shared" si="4"/>
        <v>#N/A</v>
      </c>
      <c r="F83" s="28" t="str">
        <f t="shared" ca="1" si="5"/>
        <v/>
      </c>
    </row>
    <row r="84" spans="2:6" x14ac:dyDescent="0.2">
      <c r="B84" t="str">
        <f>IFERROR(IF('PDCA review'!$D$2=Do!B82,Do!G82,""),"")</f>
        <v/>
      </c>
      <c r="C84">
        <f t="shared" si="3"/>
        <v>0</v>
      </c>
      <c r="D84">
        <f>SUM($C$3:C84)</f>
        <v>4</v>
      </c>
      <c r="E84" t="e">
        <f t="shared" si="4"/>
        <v>#N/A</v>
      </c>
      <c r="F84" s="28" t="str">
        <f t="shared" ca="1" si="5"/>
        <v/>
      </c>
    </row>
    <row r="85" spans="2:6" x14ac:dyDescent="0.2">
      <c r="B85" t="str">
        <f>IFERROR(IF('PDCA review'!$D$2=Do!B83,Do!G83,""),"")</f>
        <v/>
      </c>
      <c r="C85">
        <f t="shared" si="3"/>
        <v>0</v>
      </c>
      <c r="D85">
        <f>SUM($C$3:C85)</f>
        <v>4</v>
      </c>
      <c r="E85" t="e">
        <f t="shared" si="4"/>
        <v>#N/A</v>
      </c>
      <c r="F85" s="28" t="str">
        <f t="shared" ca="1" si="5"/>
        <v/>
      </c>
    </row>
    <row r="86" spans="2:6" x14ac:dyDescent="0.2">
      <c r="B86" t="str">
        <f>IFERROR(IF('PDCA review'!$D$2=Do!B84,Do!G84,""),"")</f>
        <v/>
      </c>
      <c r="C86">
        <f t="shared" si="3"/>
        <v>0</v>
      </c>
      <c r="D86">
        <f>SUM($C$3:C86)</f>
        <v>4</v>
      </c>
      <c r="E86" t="e">
        <f t="shared" si="4"/>
        <v>#N/A</v>
      </c>
      <c r="F86" s="28" t="str">
        <f t="shared" ca="1" si="5"/>
        <v/>
      </c>
    </row>
    <row r="87" spans="2:6" x14ac:dyDescent="0.2">
      <c r="B87" t="str">
        <f>IFERROR(IF('PDCA review'!$D$2=Do!B85,Do!G85,""),"")</f>
        <v/>
      </c>
      <c r="C87">
        <f t="shared" si="3"/>
        <v>0</v>
      </c>
      <c r="D87">
        <f>SUM($C$3:C87)</f>
        <v>4</v>
      </c>
      <c r="E87" t="e">
        <f t="shared" si="4"/>
        <v>#N/A</v>
      </c>
      <c r="F87" s="28" t="str">
        <f t="shared" ca="1" si="5"/>
        <v/>
      </c>
    </row>
    <row r="88" spans="2:6" x14ac:dyDescent="0.2">
      <c r="B88" t="str">
        <f>IFERROR(IF('PDCA review'!$D$2=Do!B86,Do!G86,""),"")</f>
        <v/>
      </c>
      <c r="C88">
        <f t="shared" si="3"/>
        <v>0</v>
      </c>
      <c r="D88">
        <f>SUM($C$3:C88)</f>
        <v>4</v>
      </c>
      <c r="E88" t="e">
        <f t="shared" si="4"/>
        <v>#N/A</v>
      </c>
      <c r="F88" s="28" t="str">
        <f t="shared" ca="1" si="5"/>
        <v/>
      </c>
    </row>
    <row r="89" spans="2:6" x14ac:dyDescent="0.2">
      <c r="B89" t="str">
        <f>IFERROR(IF('PDCA review'!$D$2=Do!B87,Do!G87,""),"")</f>
        <v/>
      </c>
      <c r="C89">
        <f t="shared" si="3"/>
        <v>0</v>
      </c>
      <c r="D89">
        <f>SUM($C$3:C89)</f>
        <v>4</v>
      </c>
      <c r="E89" t="e">
        <f t="shared" si="4"/>
        <v>#N/A</v>
      </c>
      <c r="F89" s="28" t="str">
        <f t="shared" ca="1" si="5"/>
        <v/>
      </c>
    </row>
    <row r="90" spans="2:6" x14ac:dyDescent="0.2">
      <c r="B90" t="str">
        <f>IFERROR(IF('PDCA review'!$D$2=Do!B88,Do!G88,""),"")</f>
        <v/>
      </c>
      <c r="C90">
        <f t="shared" si="3"/>
        <v>0</v>
      </c>
      <c r="D90">
        <f>SUM($C$3:C90)</f>
        <v>4</v>
      </c>
      <c r="E90" t="e">
        <f t="shared" si="4"/>
        <v>#N/A</v>
      </c>
      <c r="F90" s="28" t="str">
        <f t="shared" ca="1" si="5"/>
        <v/>
      </c>
    </row>
    <row r="91" spans="2:6" x14ac:dyDescent="0.2">
      <c r="B91" t="str">
        <f>IFERROR(IF('PDCA review'!$D$2=Do!B89,Do!G89,""),"")</f>
        <v/>
      </c>
      <c r="C91">
        <f t="shared" si="3"/>
        <v>0</v>
      </c>
      <c r="D91">
        <f>SUM($C$3:C91)</f>
        <v>4</v>
      </c>
      <c r="E91" t="e">
        <f t="shared" si="4"/>
        <v>#N/A</v>
      </c>
      <c r="F91" s="28" t="str">
        <f t="shared" ca="1" si="5"/>
        <v/>
      </c>
    </row>
    <row r="92" spans="2:6" x14ac:dyDescent="0.2">
      <c r="B92" t="str">
        <f>IFERROR(IF('PDCA review'!$D$2=Do!B90,Do!G90,""),"")</f>
        <v/>
      </c>
      <c r="C92">
        <f t="shared" si="3"/>
        <v>0</v>
      </c>
      <c r="D92">
        <f>SUM($C$3:C92)</f>
        <v>4</v>
      </c>
      <c r="E92" t="e">
        <f t="shared" si="4"/>
        <v>#N/A</v>
      </c>
      <c r="F92" s="28" t="str">
        <f t="shared" ca="1" si="5"/>
        <v/>
      </c>
    </row>
    <row r="93" spans="2:6" x14ac:dyDescent="0.2">
      <c r="B93" t="str">
        <f>IFERROR(IF('PDCA review'!$D$2=Do!B91,Do!G91,""),"")</f>
        <v/>
      </c>
      <c r="C93">
        <f t="shared" si="3"/>
        <v>0</v>
      </c>
      <c r="D93">
        <f>SUM($C$3:C93)</f>
        <v>4</v>
      </c>
      <c r="E93" t="e">
        <f t="shared" si="4"/>
        <v>#N/A</v>
      </c>
      <c r="F93" s="28" t="str">
        <f t="shared" ca="1" si="5"/>
        <v/>
      </c>
    </row>
    <row r="94" spans="2:6" x14ac:dyDescent="0.2">
      <c r="B94" t="str">
        <f>IFERROR(IF('PDCA review'!$D$2=Do!B92,Do!G92,""),"")</f>
        <v/>
      </c>
      <c r="C94">
        <f t="shared" si="3"/>
        <v>0</v>
      </c>
      <c r="D94">
        <f>SUM($C$3:C94)</f>
        <v>4</v>
      </c>
      <c r="E94" t="e">
        <f t="shared" si="4"/>
        <v>#N/A</v>
      </c>
      <c r="F94" s="28" t="str">
        <f t="shared" ca="1" si="5"/>
        <v/>
      </c>
    </row>
    <row r="95" spans="2:6" x14ac:dyDescent="0.2">
      <c r="B95" t="str">
        <f>IFERROR(IF('PDCA review'!$D$2=Do!B93,Do!G93,""),"")</f>
        <v/>
      </c>
      <c r="C95">
        <f t="shared" si="3"/>
        <v>0</v>
      </c>
      <c r="D95">
        <f>SUM($C$3:C95)</f>
        <v>4</v>
      </c>
      <c r="E95" t="e">
        <f t="shared" si="4"/>
        <v>#N/A</v>
      </c>
      <c r="F95" s="28" t="str">
        <f t="shared" ca="1" si="5"/>
        <v/>
      </c>
    </row>
    <row r="96" spans="2:6" x14ac:dyDescent="0.2">
      <c r="B96" t="str">
        <f>IFERROR(IF('PDCA review'!$D$2=Do!B94,Do!G94,""),"")</f>
        <v/>
      </c>
      <c r="C96">
        <f t="shared" si="3"/>
        <v>0</v>
      </c>
      <c r="D96">
        <f>SUM($C$3:C96)</f>
        <v>4</v>
      </c>
      <c r="E96" t="e">
        <f t="shared" si="4"/>
        <v>#N/A</v>
      </c>
      <c r="F96" s="28" t="str">
        <f t="shared" ca="1" si="5"/>
        <v/>
      </c>
    </row>
    <row r="97" spans="2:6" x14ac:dyDescent="0.2">
      <c r="B97" t="str">
        <f>IFERROR(IF('PDCA review'!$D$2=Do!B95,Do!G95,""),"")</f>
        <v/>
      </c>
      <c r="C97">
        <f t="shared" si="3"/>
        <v>0</v>
      </c>
      <c r="D97">
        <f>SUM($C$3:C97)</f>
        <v>4</v>
      </c>
      <c r="E97" t="e">
        <f t="shared" si="4"/>
        <v>#N/A</v>
      </c>
      <c r="F97" s="28" t="str">
        <f t="shared" ca="1" si="5"/>
        <v/>
      </c>
    </row>
    <row r="98" spans="2:6" x14ac:dyDescent="0.2">
      <c r="B98" t="str">
        <f>IFERROR(IF('PDCA review'!$D$2=Do!B96,Do!G96,""),"")</f>
        <v/>
      </c>
      <c r="C98">
        <f t="shared" si="3"/>
        <v>0</v>
      </c>
      <c r="D98">
        <f>SUM($C$3:C98)</f>
        <v>4</v>
      </c>
      <c r="E98" t="e">
        <f t="shared" si="4"/>
        <v>#N/A</v>
      </c>
      <c r="F98" s="28" t="str">
        <f t="shared" ca="1" si="5"/>
        <v/>
      </c>
    </row>
    <row r="99" spans="2:6" x14ac:dyDescent="0.2">
      <c r="B99" t="str">
        <f>IFERROR(IF('PDCA review'!$D$2=Do!B97,Do!G97,""),"")</f>
        <v/>
      </c>
      <c r="C99">
        <f t="shared" si="3"/>
        <v>0</v>
      </c>
      <c r="D99">
        <f>SUM($C$3:C99)</f>
        <v>4</v>
      </c>
      <c r="E99" t="e">
        <f t="shared" si="4"/>
        <v>#N/A</v>
      </c>
      <c r="F99" s="28" t="str">
        <f t="shared" ca="1" si="5"/>
        <v/>
      </c>
    </row>
    <row r="100" spans="2:6" x14ac:dyDescent="0.2">
      <c r="B100" t="str">
        <f>IFERROR(IF('PDCA review'!$D$2=Do!B98,Do!G98,""),"")</f>
        <v/>
      </c>
      <c r="C100">
        <f t="shared" si="3"/>
        <v>0</v>
      </c>
      <c r="D100">
        <f>SUM($C$3:C100)</f>
        <v>4</v>
      </c>
      <c r="E100" t="e">
        <f t="shared" si="4"/>
        <v>#N/A</v>
      </c>
      <c r="F100" s="28" t="str">
        <f t="shared" ca="1" si="5"/>
        <v/>
      </c>
    </row>
    <row r="101" spans="2:6" x14ac:dyDescent="0.2">
      <c r="B101" t="str">
        <f>IFERROR(IF('PDCA review'!$D$2=Do!B99,Do!G99,""),"")</f>
        <v/>
      </c>
      <c r="C101">
        <f t="shared" si="3"/>
        <v>0</v>
      </c>
      <c r="D101">
        <f>SUM($C$3:C101)</f>
        <v>4</v>
      </c>
      <c r="E101" t="e">
        <f t="shared" si="4"/>
        <v>#N/A</v>
      </c>
      <c r="F101" s="28" t="str">
        <f t="shared" ca="1" si="5"/>
        <v/>
      </c>
    </row>
    <row r="102" spans="2:6" x14ac:dyDescent="0.2">
      <c r="B102" t="str">
        <f>IFERROR(IF('PDCA review'!$D$2=Do!B100,Do!G100,""),"")</f>
        <v/>
      </c>
      <c r="C102">
        <f t="shared" si="3"/>
        <v>0</v>
      </c>
      <c r="D102">
        <f>SUM($C$3:C102)</f>
        <v>4</v>
      </c>
      <c r="E102" t="e">
        <f t="shared" si="4"/>
        <v>#N/A</v>
      </c>
      <c r="F102" s="28" t="str">
        <f t="shared" ca="1" si="5"/>
        <v/>
      </c>
    </row>
    <row r="103" spans="2:6" x14ac:dyDescent="0.2">
      <c r="B103" t="str">
        <f>IFERROR(IF('PDCA review'!$D$2=Do!B101,Do!G101,""),"")</f>
        <v/>
      </c>
      <c r="C103">
        <f t="shared" si="3"/>
        <v>0</v>
      </c>
      <c r="D103">
        <f>SUM($C$3:C103)</f>
        <v>4</v>
      </c>
      <c r="E103" t="e">
        <f t="shared" si="4"/>
        <v>#N/A</v>
      </c>
      <c r="F103" s="28" t="str">
        <f t="shared" ca="1" si="5"/>
        <v/>
      </c>
    </row>
    <row r="104" spans="2:6" x14ac:dyDescent="0.2">
      <c r="B104" t="str">
        <f>IFERROR(IF('PDCA review'!$D$2=Do!B102,Do!G102,""),"")</f>
        <v/>
      </c>
      <c r="C104">
        <f t="shared" si="3"/>
        <v>0</v>
      </c>
      <c r="D104">
        <f>SUM($C$3:C104)</f>
        <v>4</v>
      </c>
      <c r="E104" t="e">
        <f t="shared" si="4"/>
        <v>#N/A</v>
      </c>
      <c r="F104" s="28" t="str">
        <f t="shared" ca="1" si="5"/>
        <v/>
      </c>
    </row>
    <row r="105" spans="2:6" x14ac:dyDescent="0.2">
      <c r="B105" t="str">
        <f>IFERROR(IF('PDCA review'!$D$2=Do!B103,Do!G103,""),"")</f>
        <v/>
      </c>
      <c r="C105">
        <f t="shared" si="3"/>
        <v>0</v>
      </c>
      <c r="D105">
        <f>SUM($C$3:C105)</f>
        <v>4</v>
      </c>
      <c r="E105" t="e">
        <f t="shared" si="4"/>
        <v>#N/A</v>
      </c>
      <c r="F105" s="28" t="str">
        <f t="shared" ca="1" si="5"/>
        <v/>
      </c>
    </row>
    <row r="106" spans="2:6" x14ac:dyDescent="0.2">
      <c r="B106" t="str">
        <f>IFERROR(IF('PDCA review'!$D$2=Do!B104,Do!G104,""),"")</f>
        <v/>
      </c>
      <c r="C106">
        <f t="shared" si="3"/>
        <v>0</v>
      </c>
      <c r="D106">
        <f>SUM($C$3:C106)</f>
        <v>4</v>
      </c>
      <c r="E106" t="e">
        <f t="shared" si="4"/>
        <v>#N/A</v>
      </c>
      <c r="F106" s="28" t="str">
        <f t="shared" ca="1" si="5"/>
        <v/>
      </c>
    </row>
    <row r="107" spans="2:6" x14ac:dyDescent="0.2">
      <c r="B107" t="str">
        <f>IFERROR(IF('PDCA review'!$D$2=Do!B105,Do!G105,""),"")</f>
        <v/>
      </c>
      <c r="C107">
        <f t="shared" si="3"/>
        <v>0</v>
      </c>
      <c r="D107">
        <f>SUM($C$3:C107)</f>
        <v>4</v>
      </c>
      <c r="E107" t="e">
        <f t="shared" si="4"/>
        <v>#N/A</v>
      </c>
      <c r="F107" s="28" t="str">
        <f t="shared" ca="1" si="5"/>
        <v/>
      </c>
    </row>
    <row r="108" spans="2:6" x14ac:dyDescent="0.2">
      <c r="B108" t="str">
        <f>IFERROR(IF('PDCA review'!$D$2=Do!B106,Do!G106,""),"")</f>
        <v/>
      </c>
      <c r="C108">
        <f t="shared" si="3"/>
        <v>0</v>
      </c>
      <c r="D108">
        <f>SUM($C$3:C108)</f>
        <v>4</v>
      </c>
      <c r="E108" t="e">
        <f t="shared" si="4"/>
        <v>#N/A</v>
      </c>
      <c r="F108" s="28" t="str">
        <f t="shared" ca="1" si="5"/>
        <v/>
      </c>
    </row>
    <row r="109" spans="2:6" x14ac:dyDescent="0.2">
      <c r="B109" t="str">
        <f>IFERROR(IF('PDCA review'!$D$2=Do!B107,Do!G107,""),"")</f>
        <v/>
      </c>
      <c r="C109">
        <f t="shared" si="3"/>
        <v>0</v>
      </c>
      <c r="D109">
        <f>SUM($C$3:C109)</f>
        <v>4</v>
      </c>
      <c r="E109" t="e">
        <f t="shared" si="4"/>
        <v>#N/A</v>
      </c>
      <c r="F109" s="28" t="str">
        <f t="shared" ca="1" si="5"/>
        <v/>
      </c>
    </row>
    <row r="110" spans="2:6" x14ac:dyDescent="0.2">
      <c r="B110" t="str">
        <f>IFERROR(IF('PDCA review'!$D$2=Do!B108,Do!G108,""),"")</f>
        <v/>
      </c>
      <c r="C110">
        <f t="shared" si="3"/>
        <v>0</v>
      </c>
      <c r="D110">
        <f>SUM($C$3:C110)</f>
        <v>4</v>
      </c>
      <c r="E110" t="e">
        <f t="shared" si="4"/>
        <v>#N/A</v>
      </c>
      <c r="F110" s="28" t="str">
        <f t="shared" ca="1" si="5"/>
        <v/>
      </c>
    </row>
    <row r="111" spans="2:6" x14ac:dyDescent="0.2">
      <c r="B111" t="str">
        <f>IFERROR(IF('PDCA review'!$D$2=Do!B109,Do!G109,""),"")</f>
        <v/>
      </c>
      <c r="C111">
        <f t="shared" si="3"/>
        <v>0</v>
      </c>
      <c r="D111">
        <f>SUM($C$3:C111)</f>
        <v>4</v>
      </c>
      <c r="E111" t="e">
        <f t="shared" si="4"/>
        <v>#N/A</v>
      </c>
      <c r="F111" s="28" t="str">
        <f t="shared" ca="1" si="5"/>
        <v/>
      </c>
    </row>
    <row r="112" spans="2:6" x14ac:dyDescent="0.2">
      <c r="B112" t="str">
        <f>IFERROR(IF('PDCA review'!$D$2=Do!B110,Do!G110,""),"")</f>
        <v/>
      </c>
      <c r="C112">
        <f t="shared" si="3"/>
        <v>0</v>
      </c>
      <c r="D112">
        <f>SUM($C$3:C112)</f>
        <v>4</v>
      </c>
      <c r="E112" t="e">
        <f t="shared" si="4"/>
        <v>#N/A</v>
      </c>
      <c r="F112" s="28" t="str">
        <f t="shared" ca="1" si="5"/>
        <v/>
      </c>
    </row>
    <row r="113" spans="2:6" x14ac:dyDescent="0.2">
      <c r="B113" t="str">
        <f>IFERROR(IF('PDCA review'!$D$2=Do!B111,Do!G111,""),"")</f>
        <v/>
      </c>
      <c r="C113">
        <f t="shared" si="3"/>
        <v>0</v>
      </c>
      <c r="D113">
        <f>SUM($C$3:C113)</f>
        <v>4</v>
      </c>
      <c r="E113" t="e">
        <f t="shared" si="4"/>
        <v>#N/A</v>
      </c>
      <c r="F113" s="28" t="str">
        <f t="shared" ca="1" si="5"/>
        <v/>
      </c>
    </row>
    <row r="114" spans="2:6" x14ac:dyDescent="0.2">
      <c r="B114" t="str">
        <f>IFERROR(IF('PDCA review'!$D$2=Do!B112,Do!G112,""),"")</f>
        <v/>
      </c>
      <c r="C114">
        <f t="shared" si="3"/>
        <v>0</v>
      </c>
      <c r="D114">
        <f>SUM($C$3:C114)</f>
        <v>4</v>
      </c>
      <c r="E114" t="e">
        <f t="shared" si="4"/>
        <v>#N/A</v>
      </c>
      <c r="F114" s="28" t="str">
        <f t="shared" ca="1" si="5"/>
        <v/>
      </c>
    </row>
    <row r="115" spans="2:6" x14ac:dyDescent="0.2">
      <c r="B115" t="str">
        <f>IFERROR(IF('PDCA review'!$D$2=Do!B113,Do!G113,""),"")</f>
        <v/>
      </c>
      <c r="C115">
        <f t="shared" si="3"/>
        <v>0</v>
      </c>
      <c r="D115">
        <f>SUM($C$3:C115)</f>
        <v>4</v>
      </c>
      <c r="E115" t="e">
        <f t="shared" si="4"/>
        <v>#N/A</v>
      </c>
      <c r="F115" s="28" t="str">
        <f t="shared" ca="1" si="5"/>
        <v/>
      </c>
    </row>
    <row r="116" spans="2:6" x14ac:dyDescent="0.2">
      <c r="B116" t="str">
        <f>IFERROR(IF('PDCA review'!$D$2=Do!B114,Do!G114,""),"")</f>
        <v/>
      </c>
      <c r="C116">
        <f t="shared" si="3"/>
        <v>0</v>
      </c>
      <c r="D116">
        <f>SUM($C$3:C116)</f>
        <v>4</v>
      </c>
      <c r="E116" t="e">
        <f t="shared" si="4"/>
        <v>#N/A</v>
      </c>
      <c r="F116" s="28" t="str">
        <f t="shared" ca="1" si="5"/>
        <v/>
      </c>
    </row>
    <row r="117" spans="2:6" x14ac:dyDescent="0.2">
      <c r="B117" t="str">
        <f>IFERROR(IF('PDCA review'!$D$2=Do!B115,Do!G115,""),"")</f>
        <v/>
      </c>
      <c r="C117">
        <f t="shared" si="3"/>
        <v>0</v>
      </c>
      <c r="D117">
        <f>SUM($C$3:C117)</f>
        <v>4</v>
      </c>
      <c r="E117" t="e">
        <f t="shared" si="4"/>
        <v>#N/A</v>
      </c>
      <c r="F117" s="28" t="str">
        <f t="shared" ca="1" si="5"/>
        <v/>
      </c>
    </row>
    <row r="118" spans="2:6" x14ac:dyDescent="0.2">
      <c r="B118" t="str">
        <f>IFERROR(IF('PDCA review'!$D$2=Do!B116,Do!G116,""),"")</f>
        <v/>
      </c>
      <c r="C118">
        <f t="shared" si="3"/>
        <v>0</v>
      </c>
      <c r="D118">
        <f>SUM($C$3:C118)</f>
        <v>4</v>
      </c>
      <c r="E118" t="e">
        <f t="shared" si="4"/>
        <v>#N/A</v>
      </c>
      <c r="F118" s="28" t="str">
        <f t="shared" ca="1" si="5"/>
        <v/>
      </c>
    </row>
    <row r="119" spans="2:6" x14ac:dyDescent="0.2">
      <c r="B119" t="str">
        <f>IFERROR(IF('PDCA review'!$D$2=Do!B117,Do!G117,""),"")</f>
        <v/>
      </c>
      <c r="C119">
        <f t="shared" si="3"/>
        <v>0</v>
      </c>
      <c r="D119">
        <f>SUM($C$3:C119)</f>
        <v>4</v>
      </c>
      <c r="E119" t="e">
        <f t="shared" si="4"/>
        <v>#N/A</v>
      </c>
      <c r="F119" s="28" t="str">
        <f t="shared" ca="1" si="5"/>
        <v/>
      </c>
    </row>
    <row r="120" spans="2:6" x14ac:dyDescent="0.2">
      <c r="B120" t="str">
        <f>IFERROR(IF('PDCA review'!$D$2=Do!B118,Do!G118,""),"")</f>
        <v/>
      </c>
      <c r="C120">
        <f t="shared" si="3"/>
        <v>0</v>
      </c>
      <c r="D120">
        <f>SUM($C$3:C120)</f>
        <v>4</v>
      </c>
      <c r="E120" t="e">
        <f t="shared" si="4"/>
        <v>#N/A</v>
      </c>
      <c r="F120" s="28" t="str">
        <f t="shared" ca="1" si="5"/>
        <v/>
      </c>
    </row>
    <row r="121" spans="2:6" x14ac:dyDescent="0.2">
      <c r="B121" t="str">
        <f>IFERROR(IF('PDCA review'!$D$2=Do!B119,Do!G119,""),"")</f>
        <v/>
      </c>
      <c r="C121">
        <f t="shared" si="3"/>
        <v>0</v>
      </c>
      <c r="D121">
        <f>SUM($C$3:C121)</f>
        <v>4</v>
      </c>
      <c r="E121" t="e">
        <f t="shared" si="4"/>
        <v>#N/A</v>
      </c>
      <c r="F121" s="28" t="str">
        <f t="shared" ca="1" si="5"/>
        <v/>
      </c>
    </row>
    <row r="122" spans="2:6" x14ac:dyDescent="0.2">
      <c r="B122" t="str">
        <f>IFERROR(IF('PDCA review'!$D$2=Do!B120,Do!G120,""),"")</f>
        <v/>
      </c>
      <c r="C122">
        <f t="shared" si="3"/>
        <v>0</v>
      </c>
      <c r="D122">
        <f>SUM($C$3:C122)</f>
        <v>4</v>
      </c>
      <c r="E122" t="e">
        <f t="shared" si="4"/>
        <v>#N/A</v>
      </c>
      <c r="F122" s="28" t="str">
        <f t="shared" ca="1" si="5"/>
        <v/>
      </c>
    </row>
    <row r="123" spans="2:6" x14ac:dyDescent="0.2">
      <c r="B123" t="str">
        <f>IFERROR(IF('PDCA review'!$D$2=Do!B121,Do!G121,""),"")</f>
        <v/>
      </c>
      <c r="C123">
        <f t="shared" si="3"/>
        <v>0</v>
      </c>
      <c r="D123">
        <f>SUM($C$3:C123)</f>
        <v>4</v>
      </c>
      <c r="E123" t="e">
        <f t="shared" si="4"/>
        <v>#N/A</v>
      </c>
      <c r="F123" s="28" t="str">
        <f t="shared" ca="1" si="5"/>
        <v/>
      </c>
    </row>
    <row r="124" spans="2:6" x14ac:dyDescent="0.2">
      <c r="B124" t="str">
        <f>IFERROR(IF('PDCA review'!$D$2=Do!B122,Do!G122,""),"")</f>
        <v/>
      </c>
      <c r="C124">
        <f t="shared" si="3"/>
        <v>0</v>
      </c>
      <c r="D124">
        <f>SUM($C$3:C124)</f>
        <v>4</v>
      </c>
      <c r="E124" t="e">
        <f t="shared" si="4"/>
        <v>#N/A</v>
      </c>
      <c r="F124" s="28" t="str">
        <f t="shared" ca="1" si="5"/>
        <v/>
      </c>
    </row>
    <row r="125" spans="2:6" x14ac:dyDescent="0.2">
      <c r="B125" t="str">
        <f>IFERROR(IF('PDCA review'!$D$2=Do!B123,Do!G123,""),"")</f>
        <v/>
      </c>
      <c r="C125">
        <f t="shared" si="3"/>
        <v>0</v>
      </c>
      <c r="D125">
        <f>SUM($C$3:C125)</f>
        <v>4</v>
      </c>
      <c r="E125" t="e">
        <f t="shared" si="4"/>
        <v>#N/A</v>
      </c>
      <c r="F125" s="28" t="str">
        <f t="shared" ca="1" si="5"/>
        <v/>
      </c>
    </row>
    <row r="126" spans="2:6" x14ac:dyDescent="0.2">
      <c r="B126" t="str">
        <f>IFERROR(IF('PDCA review'!$D$2=Do!B124,Do!G124,""),"")</f>
        <v/>
      </c>
      <c r="C126">
        <f t="shared" si="3"/>
        <v>0</v>
      </c>
      <c r="D126">
        <f>SUM($C$3:C126)</f>
        <v>4</v>
      </c>
      <c r="E126" t="e">
        <f t="shared" si="4"/>
        <v>#N/A</v>
      </c>
      <c r="F126" s="28" t="str">
        <f t="shared" ca="1" si="5"/>
        <v/>
      </c>
    </row>
    <row r="127" spans="2:6" x14ac:dyDescent="0.2">
      <c r="B127" t="str">
        <f>IFERROR(IF('PDCA review'!$D$2=Do!B125,Do!G125,""),"")</f>
        <v/>
      </c>
      <c r="C127">
        <f t="shared" si="3"/>
        <v>0</v>
      </c>
      <c r="D127">
        <f>SUM($C$3:C127)</f>
        <v>4</v>
      </c>
      <c r="E127" t="e">
        <f t="shared" si="4"/>
        <v>#N/A</v>
      </c>
      <c r="F127" s="28" t="str">
        <f t="shared" ca="1" si="5"/>
        <v/>
      </c>
    </row>
    <row r="128" spans="2:6" x14ac:dyDescent="0.2">
      <c r="B128" t="str">
        <f>IFERROR(IF('PDCA review'!$D$2=Do!B126,Do!G126,""),"")</f>
        <v/>
      </c>
      <c r="C128">
        <f t="shared" si="3"/>
        <v>0</v>
      </c>
      <c r="D128">
        <f>SUM($C$3:C128)</f>
        <v>4</v>
      </c>
      <c r="E128" t="e">
        <f t="shared" si="4"/>
        <v>#N/A</v>
      </c>
      <c r="F128" s="28" t="str">
        <f t="shared" ca="1" si="5"/>
        <v/>
      </c>
    </row>
    <row r="129" spans="2:6" x14ac:dyDescent="0.2">
      <c r="B129" t="str">
        <f>IFERROR(IF('PDCA review'!$D$2=Do!B127,Do!G127,""),"")</f>
        <v/>
      </c>
      <c r="C129">
        <f t="shared" si="3"/>
        <v>0</v>
      </c>
      <c r="D129">
        <f>SUM($C$3:C129)</f>
        <v>4</v>
      </c>
      <c r="E129" t="e">
        <f t="shared" si="4"/>
        <v>#N/A</v>
      </c>
      <c r="F129" s="28" t="str">
        <f t="shared" ca="1" si="5"/>
        <v/>
      </c>
    </row>
    <row r="130" spans="2:6" x14ac:dyDescent="0.2">
      <c r="B130" t="str">
        <f>IFERROR(IF('PDCA review'!$D$2=Do!B128,Do!G128,""),"")</f>
        <v/>
      </c>
      <c r="C130">
        <f t="shared" si="3"/>
        <v>0</v>
      </c>
      <c r="D130">
        <f>SUM($C$3:C130)</f>
        <v>4</v>
      </c>
      <c r="E130" t="e">
        <f t="shared" si="4"/>
        <v>#N/A</v>
      </c>
      <c r="F130" s="28" t="str">
        <f t="shared" ca="1" si="5"/>
        <v/>
      </c>
    </row>
    <row r="131" spans="2:6" x14ac:dyDescent="0.2">
      <c r="B131" t="str">
        <f>IFERROR(IF('PDCA review'!$D$2=Do!B129,Do!G129,""),"")</f>
        <v/>
      </c>
      <c r="C131">
        <f t="shared" si="3"/>
        <v>0</v>
      </c>
      <c r="D131">
        <f>SUM($C$3:C131)</f>
        <v>4</v>
      </c>
      <c r="E131" t="e">
        <f t="shared" si="4"/>
        <v>#N/A</v>
      </c>
      <c r="F131" s="28" t="str">
        <f t="shared" ca="1" si="5"/>
        <v/>
      </c>
    </row>
    <row r="132" spans="2:6" x14ac:dyDescent="0.2">
      <c r="B132" t="str">
        <f>IFERROR(IF('PDCA review'!$D$2=Do!B130,Do!G130,""),"")</f>
        <v/>
      </c>
      <c r="C132">
        <f t="shared" ref="C132:C195" si="6">IF(B132&lt;&gt;"",1,0)</f>
        <v>0</v>
      </c>
      <c r="D132">
        <f>SUM($C$3:C132)</f>
        <v>4</v>
      </c>
      <c r="E132" t="e">
        <f t="shared" ref="E132:E195" si="7">MATCH(ROW()-$D$2,$D$3:$D$2000,0)+$D$2</f>
        <v>#N/A</v>
      </c>
      <c r="F132" s="28" t="str">
        <f t="shared" ref="F132:F195" ca="1" si="8">IFERROR(INDIRECT("B"&amp;E132),"")</f>
        <v/>
      </c>
    </row>
    <row r="133" spans="2:6" x14ac:dyDescent="0.2">
      <c r="B133" t="str">
        <f>IFERROR(IF('PDCA review'!$D$2=Do!B131,Do!G131,""),"")</f>
        <v/>
      </c>
      <c r="C133">
        <f t="shared" si="6"/>
        <v>0</v>
      </c>
      <c r="D133">
        <f>SUM($C$3:C133)</f>
        <v>4</v>
      </c>
      <c r="E133" t="e">
        <f t="shared" si="7"/>
        <v>#N/A</v>
      </c>
      <c r="F133" s="28" t="str">
        <f t="shared" ca="1" si="8"/>
        <v/>
      </c>
    </row>
    <row r="134" spans="2:6" x14ac:dyDescent="0.2">
      <c r="B134" t="str">
        <f>IFERROR(IF('PDCA review'!$D$2=Do!B132,Do!G132,""),"")</f>
        <v/>
      </c>
      <c r="C134">
        <f t="shared" si="6"/>
        <v>0</v>
      </c>
      <c r="D134">
        <f>SUM($C$3:C134)</f>
        <v>4</v>
      </c>
      <c r="E134" t="e">
        <f t="shared" si="7"/>
        <v>#N/A</v>
      </c>
      <c r="F134" s="28" t="str">
        <f t="shared" ca="1" si="8"/>
        <v/>
      </c>
    </row>
    <row r="135" spans="2:6" x14ac:dyDescent="0.2">
      <c r="B135" t="str">
        <f>IFERROR(IF('PDCA review'!$D$2=Do!B133,Do!G133,""),"")</f>
        <v/>
      </c>
      <c r="C135">
        <f t="shared" si="6"/>
        <v>0</v>
      </c>
      <c r="D135">
        <f>SUM($C$3:C135)</f>
        <v>4</v>
      </c>
      <c r="E135" t="e">
        <f t="shared" si="7"/>
        <v>#N/A</v>
      </c>
      <c r="F135" s="28" t="str">
        <f t="shared" ca="1" si="8"/>
        <v/>
      </c>
    </row>
    <row r="136" spans="2:6" x14ac:dyDescent="0.2">
      <c r="B136" t="str">
        <f>IFERROR(IF('PDCA review'!$D$2=Do!B134,Do!G134,""),"")</f>
        <v/>
      </c>
      <c r="C136">
        <f t="shared" si="6"/>
        <v>0</v>
      </c>
      <c r="D136">
        <f>SUM($C$3:C136)</f>
        <v>4</v>
      </c>
      <c r="E136" t="e">
        <f t="shared" si="7"/>
        <v>#N/A</v>
      </c>
      <c r="F136" s="28" t="str">
        <f t="shared" ca="1" si="8"/>
        <v/>
      </c>
    </row>
    <row r="137" spans="2:6" x14ac:dyDescent="0.2">
      <c r="B137" t="str">
        <f>IFERROR(IF('PDCA review'!$D$2=Do!B135,Do!G135,""),"")</f>
        <v/>
      </c>
      <c r="C137">
        <f t="shared" si="6"/>
        <v>0</v>
      </c>
      <c r="D137">
        <f>SUM($C$3:C137)</f>
        <v>4</v>
      </c>
      <c r="E137" t="e">
        <f t="shared" si="7"/>
        <v>#N/A</v>
      </c>
      <c r="F137" s="28" t="str">
        <f t="shared" ca="1" si="8"/>
        <v/>
      </c>
    </row>
    <row r="138" spans="2:6" x14ac:dyDescent="0.2">
      <c r="B138" t="str">
        <f>IFERROR(IF('PDCA review'!$D$2=Do!B136,Do!G136,""),"")</f>
        <v/>
      </c>
      <c r="C138">
        <f t="shared" si="6"/>
        <v>0</v>
      </c>
      <c r="D138">
        <f>SUM($C$3:C138)</f>
        <v>4</v>
      </c>
      <c r="E138" t="e">
        <f t="shared" si="7"/>
        <v>#N/A</v>
      </c>
      <c r="F138" s="28" t="str">
        <f t="shared" ca="1" si="8"/>
        <v/>
      </c>
    </row>
    <row r="139" spans="2:6" x14ac:dyDescent="0.2">
      <c r="B139" t="str">
        <f>IFERROR(IF('PDCA review'!$D$2=Do!B137,Do!G137,""),"")</f>
        <v/>
      </c>
      <c r="C139">
        <f t="shared" si="6"/>
        <v>0</v>
      </c>
      <c r="D139">
        <f>SUM($C$3:C139)</f>
        <v>4</v>
      </c>
      <c r="E139" t="e">
        <f t="shared" si="7"/>
        <v>#N/A</v>
      </c>
      <c r="F139" s="28" t="str">
        <f t="shared" ca="1" si="8"/>
        <v/>
      </c>
    </row>
    <row r="140" spans="2:6" x14ac:dyDescent="0.2">
      <c r="B140" t="str">
        <f>IFERROR(IF('PDCA review'!$D$2=Do!B138,Do!G138,""),"")</f>
        <v/>
      </c>
      <c r="C140">
        <f t="shared" si="6"/>
        <v>0</v>
      </c>
      <c r="D140">
        <f>SUM($C$3:C140)</f>
        <v>4</v>
      </c>
      <c r="E140" t="e">
        <f t="shared" si="7"/>
        <v>#N/A</v>
      </c>
      <c r="F140" s="28" t="str">
        <f t="shared" ca="1" si="8"/>
        <v/>
      </c>
    </row>
    <row r="141" spans="2:6" x14ac:dyDescent="0.2">
      <c r="B141" t="str">
        <f>IFERROR(IF('PDCA review'!$D$2=Do!B139,Do!G139,""),"")</f>
        <v/>
      </c>
      <c r="C141">
        <f t="shared" si="6"/>
        <v>0</v>
      </c>
      <c r="D141">
        <f>SUM($C$3:C141)</f>
        <v>4</v>
      </c>
      <c r="E141" t="e">
        <f t="shared" si="7"/>
        <v>#N/A</v>
      </c>
      <c r="F141" s="28" t="str">
        <f t="shared" ca="1" si="8"/>
        <v/>
      </c>
    </row>
    <row r="142" spans="2:6" x14ac:dyDescent="0.2">
      <c r="B142" t="str">
        <f>IFERROR(IF('PDCA review'!$D$2=Do!B140,Do!G140,""),"")</f>
        <v/>
      </c>
      <c r="C142">
        <f t="shared" si="6"/>
        <v>0</v>
      </c>
      <c r="D142">
        <f>SUM($C$3:C142)</f>
        <v>4</v>
      </c>
      <c r="E142" t="e">
        <f t="shared" si="7"/>
        <v>#N/A</v>
      </c>
      <c r="F142" s="28" t="str">
        <f t="shared" ca="1" si="8"/>
        <v/>
      </c>
    </row>
    <row r="143" spans="2:6" x14ac:dyDescent="0.2">
      <c r="B143" t="str">
        <f>IFERROR(IF('PDCA review'!$D$2=Do!B141,Do!G141,""),"")</f>
        <v/>
      </c>
      <c r="C143">
        <f t="shared" si="6"/>
        <v>0</v>
      </c>
      <c r="D143">
        <f>SUM($C$3:C143)</f>
        <v>4</v>
      </c>
      <c r="E143" t="e">
        <f t="shared" si="7"/>
        <v>#N/A</v>
      </c>
      <c r="F143" s="28" t="str">
        <f t="shared" ca="1" si="8"/>
        <v/>
      </c>
    </row>
    <row r="144" spans="2:6" x14ac:dyDescent="0.2">
      <c r="B144" t="str">
        <f>IFERROR(IF('PDCA review'!$D$2=Do!B142,Do!G142,""),"")</f>
        <v/>
      </c>
      <c r="C144">
        <f t="shared" si="6"/>
        <v>0</v>
      </c>
      <c r="D144">
        <f>SUM($C$3:C144)</f>
        <v>4</v>
      </c>
      <c r="E144" t="e">
        <f t="shared" si="7"/>
        <v>#N/A</v>
      </c>
      <c r="F144" s="28" t="str">
        <f t="shared" ca="1" si="8"/>
        <v/>
      </c>
    </row>
    <row r="145" spans="2:6" x14ac:dyDescent="0.2">
      <c r="B145" t="str">
        <f>IFERROR(IF('PDCA review'!$D$2=Do!B143,Do!G143,""),"")</f>
        <v/>
      </c>
      <c r="C145">
        <f t="shared" si="6"/>
        <v>0</v>
      </c>
      <c r="D145">
        <f>SUM($C$3:C145)</f>
        <v>4</v>
      </c>
      <c r="E145" t="e">
        <f t="shared" si="7"/>
        <v>#N/A</v>
      </c>
      <c r="F145" s="28" t="str">
        <f t="shared" ca="1" si="8"/>
        <v/>
      </c>
    </row>
    <row r="146" spans="2:6" x14ac:dyDescent="0.2">
      <c r="B146" t="str">
        <f>IFERROR(IF('PDCA review'!$D$2=Do!B144,Do!G144,""),"")</f>
        <v/>
      </c>
      <c r="C146">
        <f t="shared" si="6"/>
        <v>0</v>
      </c>
      <c r="D146">
        <f>SUM($C$3:C146)</f>
        <v>4</v>
      </c>
      <c r="E146" t="e">
        <f t="shared" si="7"/>
        <v>#N/A</v>
      </c>
      <c r="F146" s="28" t="str">
        <f t="shared" ca="1" si="8"/>
        <v/>
      </c>
    </row>
    <row r="147" spans="2:6" x14ac:dyDescent="0.2">
      <c r="B147" t="str">
        <f>IFERROR(IF('PDCA review'!$D$2=Do!B145,Do!G145,""),"")</f>
        <v/>
      </c>
      <c r="C147">
        <f t="shared" si="6"/>
        <v>0</v>
      </c>
      <c r="D147">
        <f>SUM($C$3:C147)</f>
        <v>4</v>
      </c>
      <c r="E147" t="e">
        <f t="shared" si="7"/>
        <v>#N/A</v>
      </c>
      <c r="F147" s="28" t="str">
        <f t="shared" ca="1" si="8"/>
        <v/>
      </c>
    </row>
    <row r="148" spans="2:6" x14ac:dyDescent="0.2">
      <c r="B148" t="str">
        <f>IFERROR(IF('PDCA review'!$D$2=Do!B146,Do!G146,""),"")</f>
        <v/>
      </c>
      <c r="C148">
        <f t="shared" si="6"/>
        <v>0</v>
      </c>
      <c r="D148">
        <f>SUM($C$3:C148)</f>
        <v>4</v>
      </c>
      <c r="E148" t="e">
        <f t="shared" si="7"/>
        <v>#N/A</v>
      </c>
      <c r="F148" s="28" t="str">
        <f t="shared" ca="1" si="8"/>
        <v/>
      </c>
    </row>
    <row r="149" spans="2:6" x14ac:dyDescent="0.2">
      <c r="B149" t="str">
        <f>IFERROR(IF('PDCA review'!$D$2=Do!B147,Do!G147,""),"")</f>
        <v/>
      </c>
      <c r="C149">
        <f t="shared" si="6"/>
        <v>0</v>
      </c>
      <c r="D149">
        <f>SUM($C$3:C149)</f>
        <v>4</v>
      </c>
      <c r="E149" t="e">
        <f t="shared" si="7"/>
        <v>#N/A</v>
      </c>
      <c r="F149" s="28" t="str">
        <f t="shared" ca="1" si="8"/>
        <v/>
      </c>
    </row>
    <row r="150" spans="2:6" x14ac:dyDescent="0.2">
      <c r="B150" t="str">
        <f>IFERROR(IF('PDCA review'!$D$2=Do!B148,Do!G148,""),"")</f>
        <v/>
      </c>
      <c r="C150">
        <f t="shared" si="6"/>
        <v>0</v>
      </c>
      <c r="D150">
        <f>SUM($C$3:C150)</f>
        <v>4</v>
      </c>
      <c r="E150" t="e">
        <f t="shared" si="7"/>
        <v>#N/A</v>
      </c>
      <c r="F150" s="28" t="str">
        <f t="shared" ca="1" si="8"/>
        <v/>
      </c>
    </row>
    <row r="151" spans="2:6" x14ac:dyDescent="0.2">
      <c r="B151" t="str">
        <f>IFERROR(IF('PDCA review'!$D$2=Do!B149,Do!G149,""),"")</f>
        <v/>
      </c>
      <c r="C151">
        <f t="shared" si="6"/>
        <v>0</v>
      </c>
      <c r="D151">
        <f>SUM($C$3:C151)</f>
        <v>4</v>
      </c>
      <c r="E151" t="e">
        <f t="shared" si="7"/>
        <v>#N/A</v>
      </c>
      <c r="F151" s="28" t="str">
        <f t="shared" ca="1" si="8"/>
        <v/>
      </c>
    </row>
    <row r="152" spans="2:6" x14ac:dyDescent="0.2">
      <c r="B152" t="str">
        <f>IFERROR(IF('PDCA review'!$D$2=Do!B150,Do!G150,""),"")</f>
        <v/>
      </c>
      <c r="C152">
        <f t="shared" si="6"/>
        <v>0</v>
      </c>
      <c r="D152">
        <f>SUM($C$3:C152)</f>
        <v>4</v>
      </c>
      <c r="E152" t="e">
        <f t="shared" si="7"/>
        <v>#N/A</v>
      </c>
      <c r="F152" s="28" t="str">
        <f t="shared" ca="1" si="8"/>
        <v/>
      </c>
    </row>
    <row r="153" spans="2:6" x14ac:dyDescent="0.2">
      <c r="B153" t="str">
        <f>IFERROR(IF('PDCA review'!$D$2=Do!B151,Do!G151,""),"")</f>
        <v/>
      </c>
      <c r="C153">
        <f t="shared" si="6"/>
        <v>0</v>
      </c>
      <c r="D153">
        <f>SUM($C$3:C153)</f>
        <v>4</v>
      </c>
      <c r="E153" t="e">
        <f t="shared" si="7"/>
        <v>#N/A</v>
      </c>
      <c r="F153" s="28" t="str">
        <f t="shared" ca="1" si="8"/>
        <v/>
      </c>
    </row>
    <row r="154" spans="2:6" x14ac:dyDescent="0.2">
      <c r="B154" t="str">
        <f>IFERROR(IF('PDCA review'!$D$2=Do!B152,Do!G152,""),"")</f>
        <v/>
      </c>
      <c r="C154">
        <f t="shared" si="6"/>
        <v>0</v>
      </c>
      <c r="D154">
        <f>SUM($C$3:C154)</f>
        <v>4</v>
      </c>
      <c r="E154" t="e">
        <f t="shared" si="7"/>
        <v>#N/A</v>
      </c>
      <c r="F154" s="28" t="str">
        <f t="shared" ca="1" si="8"/>
        <v/>
      </c>
    </row>
    <row r="155" spans="2:6" x14ac:dyDescent="0.2">
      <c r="B155" t="str">
        <f>IFERROR(IF('PDCA review'!$D$2=Do!B153,Do!G153,""),"")</f>
        <v/>
      </c>
      <c r="C155">
        <f t="shared" si="6"/>
        <v>0</v>
      </c>
      <c r="D155">
        <f>SUM($C$3:C155)</f>
        <v>4</v>
      </c>
      <c r="E155" t="e">
        <f t="shared" si="7"/>
        <v>#N/A</v>
      </c>
      <c r="F155" s="28" t="str">
        <f t="shared" ca="1" si="8"/>
        <v/>
      </c>
    </row>
    <row r="156" spans="2:6" x14ac:dyDescent="0.2">
      <c r="B156" t="str">
        <f>IFERROR(IF('PDCA review'!$D$2=Do!B154,Do!G154,""),"")</f>
        <v/>
      </c>
      <c r="C156">
        <f t="shared" si="6"/>
        <v>0</v>
      </c>
      <c r="D156">
        <f>SUM($C$3:C156)</f>
        <v>4</v>
      </c>
      <c r="E156" t="e">
        <f t="shared" si="7"/>
        <v>#N/A</v>
      </c>
      <c r="F156" s="28" t="str">
        <f t="shared" ca="1" si="8"/>
        <v/>
      </c>
    </row>
    <row r="157" spans="2:6" x14ac:dyDescent="0.2">
      <c r="B157" t="str">
        <f>IFERROR(IF('PDCA review'!$D$2=Do!B155,Do!G155,""),"")</f>
        <v/>
      </c>
      <c r="C157">
        <f t="shared" si="6"/>
        <v>0</v>
      </c>
      <c r="D157">
        <f>SUM($C$3:C157)</f>
        <v>4</v>
      </c>
      <c r="E157" t="e">
        <f t="shared" si="7"/>
        <v>#N/A</v>
      </c>
      <c r="F157" s="28" t="str">
        <f t="shared" ca="1" si="8"/>
        <v/>
      </c>
    </row>
    <row r="158" spans="2:6" x14ac:dyDescent="0.2">
      <c r="B158" t="str">
        <f>IFERROR(IF('PDCA review'!$D$2=Do!B156,Do!G156,""),"")</f>
        <v/>
      </c>
      <c r="C158">
        <f t="shared" si="6"/>
        <v>0</v>
      </c>
      <c r="D158">
        <f>SUM($C$3:C158)</f>
        <v>4</v>
      </c>
      <c r="E158" t="e">
        <f t="shared" si="7"/>
        <v>#N/A</v>
      </c>
      <c r="F158" s="28" t="str">
        <f t="shared" ca="1" si="8"/>
        <v/>
      </c>
    </row>
    <row r="159" spans="2:6" x14ac:dyDescent="0.2">
      <c r="B159" t="str">
        <f>IFERROR(IF('PDCA review'!$D$2=Do!B157,Do!G157,""),"")</f>
        <v/>
      </c>
      <c r="C159">
        <f t="shared" si="6"/>
        <v>0</v>
      </c>
      <c r="D159">
        <f>SUM($C$3:C159)</f>
        <v>4</v>
      </c>
      <c r="E159" t="e">
        <f t="shared" si="7"/>
        <v>#N/A</v>
      </c>
      <c r="F159" s="28" t="str">
        <f t="shared" ca="1" si="8"/>
        <v/>
      </c>
    </row>
    <row r="160" spans="2:6" x14ac:dyDescent="0.2">
      <c r="B160" t="str">
        <f>IFERROR(IF('PDCA review'!$D$2=Do!B158,Do!G158,""),"")</f>
        <v/>
      </c>
      <c r="C160">
        <f t="shared" si="6"/>
        <v>0</v>
      </c>
      <c r="D160">
        <f>SUM($C$3:C160)</f>
        <v>4</v>
      </c>
      <c r="E160" t="e">
        <f t="shared" si="7"/>
        <v>#N/A</v>
      </c>
      <c r="F160" s="28" t="str">
        <f t="shared" ca="1" si="8"/>
        <v/>
      </c>
    </row>
    <row r="161" spans="2:6" x14ac:dyDescent="0.2">
      <c r="B161" t="str">
        <f>IFERROR(IF('PDCA review'!$D$2=Do!B159,Do!G159,""),"")</f>
        <v/>
      </c>
      <c r="C161">
        <f t="shared" si="6"/>
        <v>0</v>
      </c>
      <c r="D161">
        <f>SUM($C$3:C161)</f>
        <v>4</v>
      </c>
      <c r="E161" t="e">
        <f t="shared" si="7"/>
        <v>#N/A</v>
      </c>
      <c r="F161" s="28" t="str">
        <f t="shared" ca="1" si="8"/>
        <v/>
      </c>
    </row>
    <row r="162" spans="2:6" x14ac:dyDescent="0.2">
      <c r="B162" t="str">
        <f>IFERROR(IF('PDCA review'!$D$2=Do!B160,Do!G160,""),"")</f>
        <v/>
      </c>
      <c r="C162">
        <f t="shared" si="6"/>
        <v>0</v>
      </c>
      <c r="D162">
        <f>SUM($C$3:C162)</f>
        <v>4</v>
      </c>
      <c r="E162" t="e">
        <f t="shared" si="7"/>
        <v>#N/A</v>
      </c>
      <c r="F162" s="28" t="str">
        <f t="shared" ca="1" si="8"/>
        <v/>
      </c>
    </row>
    <row r="163" spans="2:6" x14ac:dyDescent="0.2">
      <c r="B163" t="str">
        <f>IFERROR(IF('PDCA review'!$D$2=Do!B161,Do!G161,""),"")</f>
        <v/>
      </c>
      <c r="C163">
        <f t="shared" si="6"/>
        <v>0</v>
      </c>
      <c r="D163">
        <f>SUM($C$3:C163)</f>
        <v>4</v>
      </c>
      <c r="E163" t="e">
        <f t="shared" si="7"/>
        <v>#N/A</v>
      </c>
      <c r="F163" s="28" t="str">
        <f t="shared" ca="1" si="8"/>
        <v/>
      </c>
    </row>
    <row r="164" spans="2:6" x14ac:dyDescent="0.2">
      <c r="B164" t="str">
        <f>IFERROR(IF('PDCA review'!$D$2=Do!B162,Do!G162,""),"")</f>
        <v/>
      </c>
      <c r="C164">
        <f t="shared" si="6"/>
        <v>0</v>
      </c>
      <c r="D164">
        <f>SUM($C$3:C164)</f>
        <v>4</v>
      </c>
      <c r="E164" t="e">
        <f t="shared" si="7"/>
        <v>#N/A</v>
      </c>
      <c r="F164" s="28" t="str">
        <f t="shared" ca="1" si="8"/>
        <v/>
      </c>
    </row>
    <row r="165" spans="2:6" x14ac:dyDescent="0.2">
      <c r="B165" t="str">
        <f>IFERROR(IF('PDCA review'!$D$2=Do!B163,Do!G163,""),"")</f>
        <v/>
      </c>
      <c r="C165">
        <f t="shared" si="6"/>
        <v>0</v>
      </c>
      <c r="D165">
        <f>SUM($C$3:C165)</f>
        <v>4</v>
      </c>
      <c r="E165" t="e">
        <f t="shared" si="7"/>
        <v>#N/A</v>
      </c>
      <c r="F165" s="28" t="str">
        <f t="shared" ca="1" si="8"/>
        <v/>
      </c>
    </row>
    <row r="166" spans="2:6" x14ac:dyDescent="0.2">
      <c r="B166" t="str">
        <f>IFERROR(IF('PDCA review'!$D$2=Do!B164,Do!G164,""),"")</f>
        <v/>
      </c>
      <c r="C166">
        <f t="shared" si="6"/>
        <v>0</v>
      </c>
      <c r="D166">
        <f>SUM($C$3:C166)</f>
        <v>4</v>
      </c>
      <c r="E166" t="e">
        <f t="shared" si="7"/>
        <v>#N/A</v>
      </c>
      <c r="F166" s="28" t="str">
        <f t="shared" ca="1" si="8"/>
        <v/>
      </c>
    </row>
    <row r="167" spans="2:6" x14ac:dyDescent="0.2">
      <c r="B167" t="str">
        <f>IFERROR(IF('PDCA review'!$D$2=Do!B165,Do!G165,""),"")</f>
        <v/>
      </c>
      <c r="C167">
        <f t="shared" si="6"/>
        <v>0</v>
      </c>
      <c r="D167">
        <f>SUM($C$3:C167)</f>
        <v>4</v>
      </c>
      <c r="E167" t="e">
        <f t="shared" si="7"/>
        <v>#N/A</v>
      </c>
      <c r="F167" s="28" t="str">
        <f t="shared" ca="1" si="8"/>
        <v/>
      </c>
    </row>
    <row r="168" spans="2:6" x14ac:dyDescent="0.2">
      <c r="B168" t="str">
        <f>IFERROR(IF('PDCA review'!$D$2=Do!B166,Do!G166,""),"")</f>
        <v/>
      </c>
      <c r="C168">
        <f t="shared" si="6"/>
        <v>0</v>
      </c>
      <c r="D168">
        <f>SUM($C$3:C168)</f>
        <v>4</v>
      </c>
      <c r="E168" t="e">
        <f t="shared" si="7"/>
        <v>#N/A</v>
      </c>
      <c r="F168" s="28" t="str">
        <f t="shared" ca="1" si="8"/>
        <v/>
      </c>
    </row>
    <row r="169" spans="2:6" x14ac:dyDescent="0.2">
      <c r="B169" t="str">
        <f>IFERROR(IF('PDCA review'!$D$2=Do!B167,Do!G167,""),"")</f>
        <v/>
      </c>
      <c r="C169">
        <f t="shared" si="6"/>
        <v>0</v>
      </c>
      <c r="D169">
        <f>SUM($C$3:C169)</f>
        <v>4</v>
      </c>
      <c r="E169" t="e">
        <f t="shared" si="7"/>
        <v>#N/A</v>
      </c>
      <c r="F169" s="28" t="str">
        <f t="shared" ca="1" si="8"/>
        <v/>
      </c>
    </row>
    <row r="170" spans="2:6" x14ac:dyDescent="0.2">
      <c r="B170" t="str">
        <f>IFERROR(IF('PDCA review'!$D$2=Do!B168,Do!G168,""),"")</f>
        <v/>
      </c>
      <c r="C170">
        <f t="shared" si="6"/>
        <v>0</v>
      </c>
      <c r="D170">
        <f>SUM($C$3:C170)</f>
        <v>4</v>
      </c>
      <c r="E170" t="e">
        <f t="shared" si="7"/>
        <v>#N/A</v>
      </c>
      <c r="F170" s="28" t="str">
        <f t="shared" ca="1" si="8"/>
        <v/>
      </c>
    </row>
    <row r="171" spans="2:6" x14ac:dyDescent="0.2">
      <c r="B171" t="str">
        <f>IFERROR(IF('PDCA review'!$D$2=Do!B169,Do!G169,""),"")</f>
        <v/>
      </c>
      <c r="C171">
        <f t="shared" si="6"/>
        <v>0</v>
      </c>
      <c r="D171">
        <f>SUM($C$3:C171)</f>
        <v>4</v>
      </c>
      <c r="E171" t="e">
        <f t="shared" si="7"/>
        <v>#N/A</v>
      </c>
      <c r="F171" s="28" t="str">
        <f t="shared" ca="1" si="8"/>
        <v/>
      </c>
    </row>
    <row r="172" spans="2:6" x14ac:dyDescent="0.2">
      <c r="B172" t="str">
        <f>IFERROR(IF('PDCA review'!$D$2=Do!B170,Do!G170,""),"")</f>
        <v/>
      </c>
      <c r="C172">
        <f t="shared" si="6"/>
        <v>0</v>
      </c>
      <c r="D172">
        <f>SUM($C$3:C172)</f>
        <v>4</v>
      </c>
      <c r="E172" t="e">
        <f t="shared" si="7"/>
        <v>#N/A</v>
      </c>
      <c r="F172" s="28" t="str">
        <f t="shared" ca="1" si="8"/>
        <v/>
      </c>
    </row>
    <row r="173" spans="2:6" x14ac:dyDescent="0.2">
      <c r="B173" t="str">
        <f>IFERROR(IF('PDCA review'!$D$2=Do!B171,Do!G171,""),"")</f>
        <v/>
      </c>
      <c r="C173">
        <f t="shared" si="6"/>
        <v>0</v>
      </c>
      <c r="D173">
        <f>SUM($C$3:C173)</f>
        <v>4</v>
      </c>
      <c r="E173" t="e">
        <f t="shared" si="7"/>
        <v>#N/A</v>
      </c>
      <c r="F173" s="28" t="str">
        <f t="shared" ca="1" si="8"/>
        <v/>
      </c>
    </row>
    <row r="174" spans="2:6" x14ac:dyDescent="0.2">
      <c r="B174" t="str">
        <f>IFERROR(IF('PDCA review'!$D$2=Do!B172,Do!G172,""),"")</f>
        <v/>
      </c>
      <c r="C174">
        <f t="shared" si="6"/>
        <v>0</v>
      </c>
      <c r="D174">
        <f>SUM($C$3:C174)</f>
        <v>4</v>
      </c>
      <c r="E174" t="e">
        <f t="shared" si="7"/>
        <v>#N/A</v>
      </c>
      <c r="F174" s="28" t="str">
        <f t="shared" ca="1" si="8"/>
        <v/>
      </c>
    </row>
    <row r="175" spans="2:6" x14ac:dyDescent="0.2">
      <c r="B175" t="str">
        <f>IFERROR(IF('PDCA review'!$D$2=Do!B173,Do!G173,""),"")</f>
        <v/>
      </c>
      <c r="C175">
        <f t="shared" si="6"/>
        <v>0</v>
      </c>
      <c r="D175">
        <f>SUM($C$3:C175)</f>
        <v>4</v>
      </c>
      <c r="E175" t="e">
        <f t="shared" si="7"/>
        <v>#N/A</v>
      </c>
      <c r="F175" s="28" t="str">
        <f t="shared" ca="1" si="8"/>
        <v/>
      </c>
    </row>
    <row r="176" spans="2:6" x14ac:dyDescent="0.2">
      <c r="B176" t="str">
        <f>IFERROR(IF('PDCA review'!$D$2=Do!B174,Do!G174,""),"")</f>
        <v/>
      </c>
      <c r="C176">
        <f t="shared" si="6"/>
        <v>0</v>
      </c>
      <c r="D176">
        <f>SUM($C$3:C176)</f>
        <v>4</v>
      </c>
      <c r="E176" t="e">
        <f t="shared" si="7"/>
        <v>#N/A</v>
      </c>
      <c r="F176" s="28" t="str">
        <f t="shared" ca="1" si="8"/>
        <v/>
      </c>
    </row>
    <row r="177" spans="2:6" x14ac:dyDescent="0.2">
      <c r="B177" t="str">
        <f>IFERROR(IF('PDCA review'!$D$2=Do!B175,Do!G175,""),"")</f>
        <v/>
      </c>
      <c r="C177">
        <f t="shared" si="6"/>
        <v>0</v>
      </c>
      <c r="D177">
        <f>SUM($C$3:C177)</f>
        <v>4</v>
      </c>
      <c r="E177" t="e">
        <f t="shared" si="7"/>
        <v>#N/A</v>
      </c>
      <c r="F177" s="28" t="str">
        <f t="shared" ca="1" si="8"/>
        <v/>
      </c>
    </row>
    <row r="178" spans="2:6" x14ac:dyDescent="0.2">
      <c r="B178" t="str">
        <f>IFERROR(IF('PDCA review'!$D$2=Do!B176,Do!G176,""),"")</f>
        <v/>
      </c>
      <c r="C178">
        <f t="shared" si="6"/>
        <v>0</v>
      </c>
      <c r="D178">
        <f>SUM($C$3:C178)</f>
        <v>4</v>
      </c>
      <c r="E178" t="e">
        <f t="shared" si="7"/>
        <v>#N/A</v>
      </c>
      <c r="F178" s="28" t="str">
        <f t="shared" ca="1" si="8"/>
        <v/>
      </c>
    </row>
    <row r="179" spans="2:6" x14ac:dyDescent="0.2">
      <c r="B179" t="str">
        <f>IFERROR(IF('PDCA review'!$D$2=Do!B177,Do!G177,""),"")</f>
        <v/>
      </c>
      <c r="C179">
        <f t="shared" si="6"/>
        <v>0</v>
      </c>
      <c r="D179">
        <f>SUM($C$3:C179)</f>
        <v>4</v>
      </c>
      <c r="E179" t="e">
        <f t="shared" si="7"/>
        <v>#N/A</v>
      </c>
      <c r="F179" s="28" t="str">
        <f t="shared" ca="1" si="8"/>
        <v/>
      </c>
    </row>
    <row r="180" spans="2:6" x14ac:dyDescent="0.2">
      <c r="B180" t="str">
        <f>IFERROR(IF('PDCA review'!$D$2=Do!B178,Do!G178,""),"")</f>
        <v/>
      </c>
      <c r="C180">
        <f t="shared" si="6"/>
        <v>0</v>
      </c>
      <c r="D180">
        <f>SUM($C$3:C180)</f>
        <v>4</v>
      </c>
      <c r="E180" t="e">
        <f t="shared" si="7"/>
        <v>#N/A</v>
      </c>
      <c r="F180" s="28" t="str">
        <f t="shared" ca="1" si="8"/>
        <v/>
      </c>
    </row>
    <row r="181" spans="2:6" x14ac:dyDescent="0.2">
      <c r="B181" t="str">
        <f>IFERROR(IF('PDCA review'!$D$2=Do!B179,Do!G179,""),"")</f>
        <v/>
      </c>
      <c r="C181">
        <f t="shared" si="6"/>
        <v>0</v>
      </c>
      <c r="D181">
        <f>SUM($C$3:C181)</f>
        <v>4</v>
      </c>
      <c r="E181" t="e">
        <f t="shared" si="7"/>
        <v>#N/A</v>
      </c>
      <c r="F181" s="28" t="str">
        <f t="shared" ca="1" si="8"/>
        <v/>
      </c>
    </row>
    <row r="182" spans="2:6" x14ac:dyDescent="0.2">
      <c r="B182" t="str">
        <f>IFERROR(IF('PDCA review'!$D$2=Do!B180,Do!G180,""),"")</f>
        <v/>
      </c>
      <c r="C182">
        <f t="shared" si="6"/>
        <v>0</v>
      </c>
      <c r="D182">
        <f>SUM($C$3:C182)</f>
        <v>4</v>
      </c>
      <c r="E182" t="e">
        <f t="shared" si="7"/>
        <v>#N/A</v>
      </c>
      <c r="F182" s="28" t="str">
        <f t="shared" ca="1" si="8"/>
        <v/>
      </c>
    </row>
    <row r="183" spans="2:6" x14ac:dyDescent="0.2">
      <c r="B183" t="str">
        <f>IFERROR(IF('PDCA review'!$D$2=Do!B181,Do!G181,""),"")</f>
        <v/>
      </c>
      <c r="C183">
        <f t="shared" si="6"/>
        <v>0</v>
      </c>
      <c r="D183">
        <f>SUM($C$3:C183)</f>
        <v>4</v>
      </c>
      <c r="E183" t="e">
        <f t="shared" si="7"/>
        <v>#N/A</v>
      </c>
      <c r="F183" s="28" t="str">
        <f t="shared" ca="1" si="8"/>
        <v/>
      </c>
    </row>
    <row r="184" spans="2:6" x14ac:dyDescent="0.2">
      <c r="B184" t="str">
        <f>IFERROR(IF('PDCA review'!$D$2=Do!B182,Do!G182,""),"")</f>
        <v/>
      </c>
      <c r="C184">
        <f t="shared" si="6"/>
        <v>0</v>
      </c>
      <c r="D184">
        <f>SUM($C$3:C184)</f>
        <v>4</v>
      </c>
      <c r="E184" t="e">
        <f t="shared" si="7"/>
        <v>#N/A</v>
      </c>
      <c r="F184" s="28" t="str">
        <f t="shared" ca="1" si="8"/>
        <v/>
      </c>
    </row>
    <row r="185" spans="2:6" x14ac:dyDescent="0.2">
      <c r="B185" t="str">
        <f>IFERROR(IF('PDCA review'!$D$2=Do!B183,Do!G183,""),"")</f>
        <v/>
      </c>
      <c r="C185">
        <f t="shared" si="6"/>
        <v>0</v>
      </c>
      <c r="D185">
        <f>SUM($C$3:C185)</f>
        <v>4</v>
      </c>
      <c r="E185" t="e">
        <f t="shared" si="7"/>
        <v>#N/A</v>
      </c>
      <c r="F185" s="28" t="str">
        <f t="shared" ca="1" si="8"/>
        <v/>
      </c>
    </row>
    <row r="186" spans="2:6" x14ac:dyDescent="0.2">
      <c r="B186" t="str">
        <f>IFERROR(IF('PDCA review'!$D$2=Do!B184,Do!G184,""),"")</f>
        <v/>
      </c>
      <c r="C186">
        <f t="shared" si="6"/>
        <v>0</v>
      </c>
      <c r="D186">
        <f>SUM($C$3:C186)</f>
        <v>4</v>
      </c>
      <c r="E186" t="e">
        <f t="shared" si="7"/>
        <v>#N/A</v>
      </c>
      <c r="F186" s="28" t="str">
        <f t="shared" ca="1" si="8"/>
        <v/>
      </c>
    </row>
    <row r="187" spans="2:6" x14ac:dyDescent="0.2">
      <c r="B187" t="str">
        <f>IFERROR(IF('PDCA review'!$D$2=Do!B185,Do!G185,""),"")</f>
        <v/>
      </c>
      <c r="C187">
        <f t="shared" si="6"/>
        <v>0</v>
      </c>
      <c r="D187">
        <f>SUM($C$3:C187)</f>
        <v>4</v>
      </c>
      <c r="E187" t="e">
        <f t="shared" si="7"/>
        <v>#N/A</v>
      </c>
      <c r="F187" s="28" t="str">
        <f t="shared" ca="1" si="8"/>
        <v/>
      </c>
    </row>
    <row r="188" spans="2:6" x14ac:dyDescent="0.2">
      <c r="B188" t="str">
        <f>IFERROR(IF('PDCA review'!$D$2=Do!B186,Do!G186,""),"")</f>
        <v/>
      </c>
      <c r="C188">
        <f t="shared" si="6"/>
        <v>0</v>
      </c>
      <c r="D188">
        <f>SUM($C$3:C188)</f>
        <v>4</v>
      </c>
      <c r="E188" t="e">
        <f t="shared" si="7"/>
        <v>#N/A</v>
      </c>
      <c r="F188" s="28" t="str">
        <f t="shared" ca="1" si="8"/>
        <v/>
      </c>
    </row>
    <row r="189" spans="2:6" x14ac:dyDescent="0.2">
      <c r="B189" t="str">
        <f>IFERROR(IF('PDCA review'!$D$2=Do!B187,Do!G187,""),"")</f>
        <v/>
      </c>
      <c r="C189">
        <f t="shared" si="6"/>
        <v>0</v>
      </c>
      <c r="D189">
        <f>SUM($C$3:C189)</f>
        <v>4</v>
      </c>
      <c r="E189" t="e">
        <f t="shared" si="7"/>
        <v>#N/A</v>
      </c>
      <c r="F189" s="28" t="str">
        <f t="shared" ca="1" si="8"/>
        <v/>
      </c>
    </row>
    <row r="190" spans="2:6" x14ac:dyDescent="0.2">
      <c r="B190" t="str">
        <f>IFERROR(IF('PDCA review'!$D$2=Do!B188,Do!G188,""),"")</f>
        <v/>
      </c>
      <c r="C190">
        <f t="shared" si="6"/>
        <v>0</v>
      </c>
      <c r="D190">
        <f>SUM($C$3:C190)</f>
        <v>4</v>
      </c>
      <c r="E190" t="e">
        <f t="shared" si="7"/>
        <v>#N/A</v>
      </c>
      <c r="F190" s="28" t="str">
        <f t="shared" ca="1" si="8"/>
        <v/>
      </c>
    </row>
    <row r="191" spans="2:6" x14ac:dyDescent="0.2">
      <c r="B191" t="str">
        <f>IFERROR(IF('PDCA review'!$D$2=Do!B189,Do!G189,""),"")</f>
        <v/>
      </c>
      <c r="C191">
        <f t="shared" si="6"/>
        <v>0</v>
      </c>
      <c r="D191">
        <f>SUM($C$3:C191)</f>
        <v>4</v>
      </c>
      <c r="E191" t="e">
        <f t="shared" si="7"/>
        <v>#N/A</v>
      </c>
      <c r="F191" s="28" t="str">
        <f t="shared" ca="1" si="8"/>
        <v/>
      </c>
    </row>
    <row r="192" spans="2:6" x14ac:dyDescent="0.2">
      <c r="B192" t="str">
        <f>IFERROR(IF('PDCA review'!$D$2=Do!B190,Do!G190,""),"")</f>
        <v/>
      </c>
      <c r="C192">
        <f t="shared" si="6"/>
        <v>0</v>
      </c>
      <c r="D192">
        <f>SUM($C$3:C192)</f>
        <v>4</v>
      </c>
      <c r="E192" t="e">
        <f t="shared" si="7"/>
        <v>#N/A</v>
      </c>
      <c r="F192" s="28" t="str">
        <f t="shared" ca="1" si="8"/>
        <v/>
      </c>
    </row>
    <row r="193" spans="2:6" x14ac:dyDescent="0.2">
      <c r="B193" t="str">
        <f>IFERROR(IF('PDCA review'!$D$2=Do!B191,Do!G191,""),"")</f>
        <v/>
      </c>
      <c r="C193">
        <f t="shared" si="6"/>
        <v>0</v>
      </c>
      <c r="D193">
        <f>SUM($C$3:C193)</f>
        <v>4</v>
      </c>
      <c r="E193" t="e">
        <f t="shared" si="7"/>
        <v>#N/A</v>
      </c>
      <c r="F193" s="28" t="str">
        <f t="shared" ca="1" si="8"/>
        <v/>
      </c>
    </row>
    <row r="194" spans="2:6" x14ac:dyDescent="0.2">
      <c r="B194" t="str">
        <f>IFERROR(IF('PDCA review'!$D$2=Do!B192,Do!G192,""),"")</f>
        <v/>
      </c>
      <c r="C194">
        <f t="shared" si="6"/>
        <v>0</v>
      </c>
      <c r="D194">
        <f>SUM($C$3:C194)</f>
        <v>4</v>
      </c>
      <c r="E194" t="e">
        <f t="shared" si="7"/>
        <v>#N/A</v>
      </c>
      <c r="F194" s="28" t="str">
        <f t="shared" ca="1" si="8"/>
        <v/>
      </c>
    </row>
    <row r="195" spans="2:6" x14ac:dyDescent="0.2">
      <c r="B195" t="str">
        <f>IFERROR(IF('PDCA review'!$D$2=Do!B193,Do!G193,""),"")</f>
        <v/>
      </c>
      <c r="C195">
        <f t="shared" si="6"/>
        <v>0</v>
      </c>
      <c r="D195">
        <f>SUM($C$3:C195)</f>
        <v>4</v>
      </c>
      <c r="E195" t="e">
        <f t="shared" si="7"/>
        <v>#N/A</v>
      </c>
      <c r="F195" s="28" t="str">
        <f t="shared" ca="1" si="8"/>
        <v/>
      </c>
    </row>
    <row r="196" spans="2:6" x14ac:dyDescent="0.2">
      <c r="B196" t="str">
        <f>IFERROR(IF('PDCA review'!$D$2=Do!B194,Do!G194,""),"")</f>
        <v/>
      </c>
      <c r="C196">
        <f t="shared" ref="C196:C259" si="9">IF(B196&lt;&gt;"",1,0)</f>
        <v>0</v>
      </c>
      <c r="D196">
        <f>SUM($C$3:C196)</f>
        <v>4</v>
      </c>
      <c r="E196" t="e">
        <f t="shared" ref="E196:E259" si="10">MATCH(ROW()-$D$2,$D$3:$D$2000,0)+$D$2</f>
        <v>#N/A</v>
      </c>
      <c r="F196" s="28" t="str">
        <f t="shared" ref="F196:F259" ca="1" si="11">IFERROR(INDIRECT("B"&amp;E196),"")</f>
        <v/>
      </c>
    </row>
    <row r="197" spans="2:6" x14ac:dyDescent="0.2">
      <c r="B197" t="str">
        <f>IFERROR(IF('PDCA review'!$D$2=Do!B195,Do!G195,""),"")</f>
        <v/>
      </c>
      <c r="C197">
        <f t="shared" si="9"/>
        <v>0</v>
      </c>
      <c r="D197">
        <f>SUM($C$3:C197)</f>
        <v>4</v>
      </c>
      <c r="E197" t="e">
        <f t="shared" si="10"/>
        <v>#N/A</v>
      </c>
      <c r="F197" s="28" t="str">
        <f t="shared" ca="1" si="11"/>
        <v/>
      </c>
    </row>
    <row r="198" spans="2:6" x14ac:dyDescent="0.2">
      <c r="B198" t="str">
        <f>IFERROR(IF('PDCA review'!$D$2=Do!B196,Do!G196,""),"")</f>
        <v/>
      </c>
      <c r="C198">
        <f t="shared" si="9"/>
        <v>0</v>
      </c>
      <c r="D198">
        <f>SUM($C$3:C198)</f>
        <v>4</v>
      </c>
      <c r="E198" t="e">
        <f t="shared" si="10"/>
        <v>#N/A</v>
      </c>
      <c r="F198" s="28" t="str">
        <f t="shared" ca="1" si="11"/>
        <v/>
      </c>
    </row>
    <row r="199" spans="2:6" x14ac:dyDescent="0.2">
      <c r="B199" t="str">
        <f>IFERROR(IF('PDCA review'!$D$2=Do!B197,Do!G197,""),"")</f>
        <v/>
      </c>
      <c r="C199">
        <f t="shared" si="9"/>
        <v>0</v>
      </c>
      <c r="D199">
        <f>SUM($C$3:C199)</f>
        <v>4</v>
      </c>
      <c r="E199" t="e">
        <f t="shared" si="10"/>
        <v>#N/A</v>
      </c>
      <c r="F199" s="28" t="str">
        <f t="shared" ca="1" si="11"/>
        <v/>
      </c>
    </row>
    <row r="200" spans="2:6" x14ac:dyDescent="0.2">
      <c r="B200" t="str">
        <f>IFERROR(IF('PDCA review'!$D$2=Do!B198,Do!G198,""),"")</f>
        <v/>
      </c>
      <c r="C200">
        <f t="shared" si="9"/>
        <v>0</v>
      </c>
      <c r="D200">
        <f>SUM($C$3:C200)</f>
        <v>4</v>
      </c>
      <c r="E200" t="e">
        <f t="shared" si="10"/>
        <v>#N/A</v>
      </c>
      <c r="F200" s="28" t="str">
        <f t="shared" ca="1" si="11"/>
        <v/>
      </c>
    </row>
    <row r="201" spans="2:6" x14ac:dyDescent="0.2">
      <c r="B201" t="str">
        <f>IFERROR(IF('PDCA review'!$D$2=Do!B199,Do!G199,""),"")</f>
        <v/>
      </c>
      <c r="C201">
        <f t="shared" si="9"/>
        <v>0</v>
      </c>
      <c r="D201">
        <f>SUM($C$3:C201)</f>
        <v>4</v>
      </c>
      <c r="E201" t="e">
        <f t="shared" si="10"/>
        <v>#N/A</v>
      </c>
      <c r="F201" s="28" t="str">
        <f t="shared" ca="1" si="11"/>
        <v/>
      </c>
    </row>
    <row r="202" spans="2:6" x14ac:dyDescent="0.2">
      <c r="B202" t="str">
        <f>IFERROR(IF('PDCA review'!$D$2=Do!B200,Do!G200,""),"")</f>
        <v/>
      </c>
      <c r="C202">
        <f t="shared" si="9"/>
        <v>0</v>
      </c>
      <c r="D202">
        <f>SUM($C$3:C202)</f>
        <v>4</v>
      </c>
      <c r="E202" t="e">
        <f t="shared" si="10"/>
        <v>#N/A</v>
      </c>
      <c r="F202" s="28" t="str">
        <f t="shared" ca="1" si="11"/>
        <v/>
      </c>
    </row>
    <row r="203" spans="2:6" x14ac:dyDescent="0.2">
      <c r="B203" t="str">
        <f>IFERROR(IF('PDCA review'!$D$2=Do!B201,Do!G201,""),"")</f>
        <v/>
      </c>
      <c r="C203">
        <f t="shared" si="9"/>
        <v>0</v>
      </c>
      <c r="D203">
        <f>SUM($C$3:C203)</f>
        <v>4</v>
      </c>
      <c r="E203" t="e">
        <f t="shared" si="10"/>
        <v>#N/A</v>
      </c>
      <c r="F203" s="28" t="str">
        <f t="shared" ca="1" si="11"/>
        <v/>
      </c>
    </row>
    <row r="204" spans="2:6" x14ac:dyDescent="0.2">
      <c r="B204" t="str">
        <f>IFERROR(IF('PDCA review'!$D$2=Do!B202,Do!G202,""),"")</f>
        <v/>
      </c>
      <c r="C204">
        <f t="shared" si="9"/>
        <v>0</v>
      </c>
      <c r="D204">
        <f>SUM($C$3:C204)</f>
        <v>4</v>
      </c>
      <c r="E204" t="e">
        <f t="shared" si="10"/>
        <v>#N/A</v>
      </c>
      <c r="F204" s="28" t="str">
        <f t="shared" ca="1" si="11"/>
        <v/>
      </c>
    </row>
    <row r="205" spans="2:6" x14ac:dyDescent="0.2">
      <c r="B205" t="str">
        <f>IFERROR(IF('PDCA review'!$D$2=Do!B203,Do!G203,""),"")</f>
        <v/>
      </c>
      <c r="C205">
        <f t="shared" si="9"/>
        <v>0</v>
      </c>
      <c r="D205">
        <f>SUM($C$3:C205)</f>
        <v>4</v>
      </c>
      <c r="E205" t="e">
        <f t="shared" si="10"/>
        <v>#N/A</v>
      </c>
      <c r="F205" s="28" t="str">
        <f t="shared" ca="1" si="11"/>
        <v/>
      </c>
    </row>
    <row r="206" spans="2:6" x14ac:dyDescent="0.2">
      <c r="B206" t="str">
        <f>IFERROR(IF('PDCA review'!$D$2=Do!B204,Do!G204,""),"")</f>
        <v/>
      </c>
      <c r="C206">
        <f t="shared" si="9"/>
        <v>0</v>
      </c>
      <c r="D206">
        <f>SUM($C$3:C206)</f>
        <v>4</v>
      </c>
      <c r="E206" t="e">
        <f t="shared" si="10"/>
        <v>#N/A</v>
      </c>
      <c r="F206" s="28" t="str">
        <f t="shared" ca="1" si="11"/>
        <v/>
      </c>
    </row>
    <row r="207" spans="2:6" x14ac:dyDescent="0.2">
      <c r="B207" t="str">
        <f>IFERROR(IF('PDCA review'!$D$2=Do!B205,Do!G205,""),"")</f>
        <v/>
      </c>
      <c r="C207">
        <f t="shared" si="9"/>
        <v>0</v>
      </c>
      <c r="D207">
        <f>SUM($C$3:C207)</f>
        <v>4</v>
      </c>
      <c r="E207" t="e">
        <f t="shared" si="10"/>
        <v>#N/A</v>
      </c>
      <c r="F207" s="28" t="str">
        <f t="shared" ca="1" si="11"/>
        <v/>
      </c>
    </row>
    <row r="208" spans="2:6" x14ac:dyDescent="0.2">
      <c r="B208" t="str">
        <f>IFERROR(IF('PDCA review'!$D$2=Do!B206,Do!G206,""),"")</f>
        <v/>
      </c>
      <c r="C208">
        <f t="shared" si="9"/>
        <v>0</v>
      </c>
      <c r="D208">
        <f>SUM($C$3:C208)</f>
        <v>4</v>
      </c>
      <c r="E208" t="e">
        <f t="shared" si="10"/>
        <v>#N/A</v>
      </c>
      <c r="F208" s="28" t="str">
        <f t="shared" ca="1" si="11"/>
        <v/>
      </c>
    </row>
    <row r="209" spans="2:6" x14ac:dyDescent="0.2">
      <c r="B209" t="str">
        <f>IFERROR(IF('PDCA review'!$D$2=Do!B207,Do!G207,""),"")</f>
        <v/>
      </c>
      <c r="C209">
        <f t="shared" si="9"/>
        <v>0</v>
      </c>
      <c r="D209">
        <f>SUM($C$3:C209)</f>
        <v>4</v>
      </c>
      <c r="E209" t="e">
        <f t="shared" si="10"/>
        <v>#N/A</v>
      </c>
      <c r="F209" s="28" t="str">
        <f t="shared" ca="1" si="11"/>
        <v/>
      </c>
    </row>
    <row r="210" spans="2:6" x14ac:dyDescent="0.2">
      <c r="B210" t="str">
        <f>IFERROR(IF('PDCA review'!$D$2=Do!B208,Do!G208,""),"")</f>
        <v/>
      </c>
      <c r="C210">
        <f t="shared" si="9"/>
        <v>0</v>
      </c>
      <c r="D210">
        <f>SUM($C$3:C210)</f>
        <v>4</v>
      </c>
      <c r="E210" t="e">
        <f t="shared" si="10"/>
        <v>#N/A</v>
      </c>
      <c r="F210" s="28" t="str">
        <f t="shared" ca="1" si="11"/>
        <v/>
      </c>
    </row>
    <row r="211" spans="2:6" x14ac:dyDescent="0.2">
      <c r="B211" t="str">
        <f>IFERROR(IF('PDCA review'!$D$2=Do!B209,Do!G209,""),"")</f>
        <v/>
      </c>
      <c r="C211">
        <f t="shared" si="9"/>
        <v>0</v>
      </c>
      <c r="D211">
        <f>SUM($C$3:C211)</f>
        <v>4</v>
      </c>
      <c r="E211" t="e">
        <f t="shared" si="10"/>
        <v>#N/A</v>
      </c>
      <c r="F211" s="28" t="str">
        <f t="shared" ca="1" si="11"/>
        <v/>
      </c>
    </row>
    <row r="212" spans="2:6" x14ac:dyDescent="0.2">
      <c r="B212" t="str">
        <f>IFERROR(IF('PDCA review'!$D$2=Do!B210,Do!G210,""),"")</f>
        <v/>
      </c>
      <c r="C212">
        <f t="shared" si="9"/>
        <v>0</v>
      </c>
      <c r="D212">
        <f>SUM($C$3:C212)</f>
        <v>4</v>
      </c>
      <c r="E212" t="e">
        <f t="shared" si="10"/>
        <v>#N/A</v>
      </c>
      <c r="F212" s="28" t="str">
        <f t="shared" ca="1" si="11"/>
        <v/>
      </c>
    </row>
    <row r="213" spans="2:6" x14ac:dyDescent="0.2">
      <c r="B213" t="str">
        <f>IFERROR(IF('PDCA review'!$D$2=Do!B211,Do!G211,""),"")</f>
        <v/>
      </c>
      <c r="C213">
        <f t="shared" si="9"/>
        <v>0</v>
      </c>
      <c r="D213">
        <f>SUM($C$3:C213)</f>
        <v>4</v>
      </c>
      <c r="E213" t="e">
        <f t="shared" si="10"/>
        <v>#N/A</v>
      </c>
      <c r="F213" s="28" t="str">
        <f t="shared" ca="1" si="11"/>
        <v/>
      </c>
    </row>
    <row r="214" spans="2:6" x14ac:dyDescent="0.2">
      <c r="B214" t="str">
        <f>IFERROR(IF('PDCA review'!$D$2=Do!B212,Do!G212,""),"")</f>
        <v/>
      </c>
      <c r="C214">
        <f t="shared" si="9"/>
        <v>0</v>
      </c>
      <c r="D214">
        <f>SUM($C$3:C214)</f>
        <v>4</v>
      </c>
      <c r="E214" t="e">
        <f t="shared" si="10"/>
        <v>#N/A</v>
      </c>
      <c r="F214" s="28" t="str">
        <f t="shared" ca="1" si="11"/>
        <v/>
      </c>
    </row>
    <row r="215" spans="2:6" x14ac:dyDescent="0.2">
      <c r="B215" t="str">
        <f>IFERROR(IF('PDCA review'!$D$2=Do!B213,Do!G213,""),"")</f>
        <v/>
      </c>
      <c r="C215">
        <f t="shared" si="9"/>
        <v>0</v>
      </c>
      <c r="D215">
        <f>SUM($C$3:C215)</f>
        <v>4</v>
      </c>
      <c r="E215" t="e">
        <f t="shared" si="10"/>
        <v>#N/A</v>
      </c>
      <c r="F215" s="28" t="str">
        <f t="shared" ca="1" si="11"/>
        <v/>
      </c>
    </row>
    <row r="216" spans="2:6" x14ac:dyDescent="0.2">
      <c r="B216" t="str">
        <f>IFERROR(IF('PDCA review'!$D$2=Do!B214,Do!G214,""),"")</f>
        <v/>
      </c>
      <c r="C216">
        <f t="shared" si="9"/>
        <v>0</v>
      </c>
      <c r="D216">
        <f>SUM($C$3:C216)</f>
        <v>4</v>
      </c>
      <c r="E216" t="e">
        <f t="shared" si="10"/>
        <v>#N/A</v>
      </c>
      <c r="F216" s="28" t="str">
        <f t="shared" ca="1" si="11"/>
        <v/>
      </c>
    </row>
    <row r="217" spans="2:6" x14ac:dyDescent="0.2">
      <c r="B217" t="str">
        <f>IFERROR(IF('PDCA review'!$D$2=Do!B215,Do!G215,""),"")</f>
        <v/>
      </c>
      <c r="C217">
        <f t="shared" si="9"/>
        <v>0</v>
      </c>
      <c r="D217">
        <f>SUM($C$3:C217)</f>
        <v>4</v>
      </c>
      <c r="E217" t="e">
        <f t="shared" si="10"/>
        <v>#N/A</v>
      </c>
      <c r="F217" s="28" t="str">
        <f t="shared" ca="1" si="11"/>
        <v/>
      </c>
    </row>
    <row r="218" spans="2:6" x14ac:dyDescent="0.2">
      <c r="B218" t="str">
        <f>IFERROR(IF('PDCA review'!$D$2=Do!B216,Do!G216,""),"")</f>
        <v/>
      </c>
      <c r="C218">
        <f t="shared" si="9"/>
        <v>0</v>
      </c>
      <c r="D218">
        <f>SUM($C$3:C218)</f>
        <v>4</v>
      </c>
      <c r="E218" t="e">
        <f t="shared" si="10"/>
        <v>#N/A</v>
      </c>
      <c r="F218" s="28" t="str">
        <f t="shared" ca="1" si="11"/>
        <v/>
      </c>
    </row>
    <row r="219" spans="2:6" x14ac:dyDescent="0.2">
      <c r="B219" t="str">
        <f>IFERROR(IF('PDCA review'!$D$2=Do!B217,Do!G217,""),"")</f>
        <v/>
      </c>
      <c r="C219">
        <f t="shared" si="9"/>
        <v>0</v>
      </c>
      <c r="D219">
        <f>SUM($C$3:C219)</f>
        <v>4</v>
      </c>
      <c r="E219" t="e">
        <f t="shared" si="10"/>
        <v>#N/A</v>
      </c>
      <c r="F219" s="28" t="str">
        <f t="shared" ca="1" si="11"/>
        <v/>
      </c>
    </row>
    <row r="220" spans="2:6" x14ac:dyDescent="0.2">
      <c r="B220" t="str">
        <f>IFERROR(IF('PDCA review'!$D$2=Do!B218,Do!G218,""),"")</f>
        <v/>
      </c>
      <c r="C220">
        <f t="shared" si="9"/>
        <v>0</v>
      </c>
      <c r="D220">
        <f>SUM($C$3:C220)</f>
        <v>4</v>
      </c>
      <c r="E220" t="e">
        <f t="shared" si="10"/>
        <v>#N/A</v>
      </c>
      <c r="F220" s="28" t="str">
        <f t="shared" ca="1" si="11"/>
        <v/>
      </c>
    </row>
    <row r="221" spans="2:6" x14ac:dyDescent="0.2">
      <c r="B221" t="str">
        <f>IFERROR(IF('PDCA review'!$D$2=Do!B219,Do!G219,""),"")</f>
        <v/>
      </c>
      <c r="C221">
        <f t="shared" si="9"/>
        <v>0</v>
      </c>
      <c r="D221">
        <f>SUM($C$3:C221)</f>
        <v>4</v>
      </c>
      <c r="E221" t="e">
        <f t="shared" si="10"/>
        <v>#N/A</v>
      </c>
      <c r="F221" s="28" t="str">
        <f t="shared" ca="1" si="11"/>
        <v/>
      </c>
    </row>
    <row r="222" spans="2:6" x14ac:dyDescent="0.2">
      <c r="B222" t="str">
        <f>IFERROR(IF('PDCA review'!$D$2=Do!B220,Do!G220,""),"")</f>
        <v/>
      </c>
      <c r="C222">
        <f t="shared" si="9"/>
        <v>0</v>
      </c>
      <c r="D222">
        <f>SUM($C$3:C222)</f>
        <v>4</v>
      </c>
      <c r="E222" t="e">
        <f t="shared" si="10"/>
        <v>#N/A</v>
      </c>
      <c r="F222" s="28" t="str">
        <f t="shared" ca="1" si="11"/>
        <v/>
      </c>
    </row>
    <row r="223" spans="2:6" x14ac:dyDescent="0.2">
      <c r="B223" t="str">
        <f>IFERROR(IF('PDCA review'!$D$2=Do!B221,Do!G221,""),"")</f>
        <v/>
      </c>
      <c r="C223">
        <f t="shared" si="9"/>
        <v>0</v>
      </c>
      <c r="D223">
        <f>SUM($C$3:C223)</f>
        <v>4</v>
      </c>
      <c r="E223" t="e">
        <f t="shared" si="10"/>
        <v>#N/A</v>
      </c>
      <c r="F223" s="28" t="str">
        <f t="shared" ca="1" si="11"/>
        <v/>
      </c>
    </row>
    <row r="224" spans="2:6" x14ac:dyDescent="0.2">
      <c r="B224" t="str">
        <f>IFERROR(IF('PDCA review'!$D$2=Do!B222,Do!G222,""),"")</f>
        <v/>
      </c>
      <c r="C224">
        <f t="shared" si="9"/>
        <v>0</v>
      </c>
      <c r="D224">
        <f>SUM($C$3:C224)</f>
        <v>4</v>
      </c>
      <c r="E224" t="e">
        <f t="shared" si="10"/>
        <v>#N/A</v>
      </c>
      <c r="F224" s="28" t="str">
        <f t="shared" ca="1" si="11"/>
        <v/>
      </c>
    </row>
    <row r="225" spans="2:6" x14ac:dyDescent="0.2">
      <c r="B225" t="str">
        <f>IFERROR(IF('PDCA review'!$D$2=Do!B223,Do!G223,""),"")</f>
        <v/>
      </c>
      <c r="C225">
        <f t="shared" si="9"/>
        <v>0</v>
      </c>
      <c r="D225">
        <f>SUM($C$3:C225)</f>
        <v>4</v>
      </c>
      <c r="E225" t="e">
        <f t="shared" si="10"/>
        <v>#N/A</v>
      </c>
      <c r="F225" s="28" t="str">
        <f t="shared" ca="1" si="11"/>
        <v/>
      </c>
    </row>
    <row r="226" spans="2:6" x14ac:dyDescent="0.2">
      <c r="B226" t="str">
        <f>IFERROR(IF('PDCA review'!$D$2=Do!B224,Do!G224,""),"")</f>
        <v/>
      </c>
      <c r="C226">
        <f t="shared" si="9"/>
        <v>0</v>
      </c>
      <c r="D226">
        <f>SUM($C$3:C226)</f>
        <v>4</v>
      </c>
      <c r="E226" t="e">
        <f t="shared" si="10"/>
        <v>#N/A</v>
      </c>
      <c r="F226" s="28" t="str">
        <f t="shared" ca="1" si="11"/>
        <v/>
      </c>
    </row>
    <row r="227" spans="2:6" x14ac:dyDescent="0.2">
      <c r="B227" t="str">
        <f>IFERROR(IF('PDCA review'!$D$2=Do!B225,Do!G225,""),"")</f>
        <v/>
      </c>
      <c r="C227">
        <f t="shared" si="9"/>
        <v>0</v>
      </c>
      <c r="D227">
        <f>SUM($C$3:C227)</f>
        <v>4</v>
      </c>
      <c r="E227" t="e">
        <f t="shared" si="10"/>
        <v>#N/A</v>
      </c>
      <c r="F227" s="28" t="str">
        <f t="shared" ca="1" si="11"/>
        <v/>
      </c>
    </row>
    <row r="228" spans="2:6" x14ac:dyDescent="0.2">
      <c r="B228" t="str">
        <f>IFERROR(IF('PDCA review'!$D$2=Do!B226,Do!G226,""),"")</f>
        <v/>
      </c>
      <c r="C228">
        <f t="shared" si="9"/>
        <v>0</v>
      </c>
      <c r="D228">
        <f>SUM($C$3:C228)</f>
        <v>4</v>
      </c>
      <c r="E228" t="e">
        <f t="shared" si="10"/>
        <v>#N/A</v>
      </c>
      <c r="F228" s="28" t="str">
        <f t="shared" ca="1" si="11"/>
        <v/>
      </c>
    </row>
    <row r="229" spans="2:6" x14ac:dyDescent="0.2">
      <c r="B229" t="str">
        <f>IFERROR(IF('PDCA review'!$D$2=Do!B227,Do!G227,""),"")</f>
        <v/>
      </c>
      <c r="C229">
        <f t="shared" si="9"/>
        <v>0</v>
      </c>
      <c r="D229">
        <f>SUM($C$3:C229)</f>
        <v>4</v>
      </c>
      <c r="E229" t="e">
        <f t="shared" si="10"/>
        <v>#N/A</v>
      </c>
      <c r="F229" s="28" t="str">
        <f t="shared" ca="1" si="11"/>
        <v/>
      </c>
    </row>
    <row r="230" spans="2:6" x14ac:dyDescent="0.2">
      <c r="B230" t="str">
        <f>IFERROR(IF('PDCA review'!$D$2=Do!B228,Do!G228,""),"")</f>
        <v/>
      </c>
      <c r="C230">
        <f t="shared" si="9"/>
        <v>0</v>
      </c>
      <c r="D230">
        <f>SUM($C$3:C230)</f>
        <v>4</v>
      </c>
      <c r="E230" t="e">
        <f t="shared" si="10"/>
        <v>#N/A</v>
      </c>
      <c r="F230" s="28" t="str">
        <f t="shared" ca="1" si="11"/>
        <v/>
      </c>
    </row>
    <row r="231" spans="2:6" x14ac:dyDescent="0.2">
      <c r="B231" t="str">
        <f>IFERROR(IF('PDCA review'!$D$2=Do!B229,Do!G229,""),"")</f>
        <v/>
      </c>
      <c r="C231">
        <f t="shared" si="9"/>
        <v>0</v>
      </c>
      <c r="D231">
        <f>SUM($C$3:C231)</f>
        <v>4</v>
      </c>
      <c r="E231" t="e">
        <f t="shared" si="10"/>
        <v>#N/A</v>
      </c>
      <c r="F231" s="28" t="str">
        <f t="shared" ca="1" si="11"/>
        <v/>
      </c>
    </row>
    <row r="232" spans="2:6" x14ac:dyDescent="0.2">
      <c r="B232" t="str">
        <f>IFERROR(IF('PDCA review'!$D$2=Do!B230,Do!G230,""),"")</f>
        <v/>
      </c>
      <c r="C232">
        <f t="shared" si="9"/>
        <v>0</v>
      </c>
      <c r="D232">
        <f>SUM($C$3:C232)</f>
        <v>4</v>
      </c>
      <c r="E232" t="e">
        <f t="shared" si="10"/>
        <v>#N/A</v>
      </c>
      <c r="F232" s="28" t="str">
        <f t="shared" ca="1" si="11"/>
        <v/>
      </c>
    </row>
    <row r="233" spans="2:6" x14ac:dyDescent="0.2">
      <c r="B233" t="str">
        <f>IFERROR(IF('PDCA review'!$D$2=Do!B231,Do!G231,""),"")</f>
        <v/>
      </c>
      <c r="C233">
        <f t="shared" si="9"/>
        <v>0</v>
      </c>
      <c r="D233">
        <f>SUM($C$3:C233)</f>
        <v>4</v>
      </c>
      <c r="E233" t="e">
        <f t="shared" si="10"/>
        <v>#N/A</v>
      </c>
      <c r="F233" s="28" t="str">
        <f t="shared" ca="1" si="11"/>
        <v/>
      </c>
    </row>
    <row r="234" spans="2:6" x14ac:dyDescent="0.2">
      <c r="B234" t="str">
        <f>IFERROR(IF('PDCA review'!$D$2=Do!B232,Do!G232,""),"")</f>
        <v/>
      </c>
      <c r="C234">
        <f t="shared" si="9"/>
        <v>0</v>
      </c>
      <c r="D234">
        <f>SUM($C$3:C234)</f>
        <v>4</v>
      </c>
      <c r="E234" t="e">
        <f t="shared" si="10"/>
        <v>#N/A</v>
      </c>
      <c r="F234" s="28" t="str">
        <f t="shared" ca="1" si="11"/>
        <v/>
      </c>
    </row>
    <row r="235" spans="2:6" x14ac:dyDescent="0.2">
      <c r="B235" t="str">
        <f>IFERROR(IF('PDCA review'!$D$2=Do!B233,Do!G233,""),"")</f>
        <v/>
      </c>
      <c r="C235">
        <f t="shared" si="9"/>
        <v>0</v>
      </c>
      <c r="D235">
        <f>SUM($C$3:C235)</f>
        <v>4</v>
      </c>
      <c r="E235" t="e">
        <f t="shared" si="10"/>
        <v>#N/A</v>
      </c>
      <c r="F235" s="28" t="str">
        <f t="shared" ca="1" si="11"/>
        <v/>
      </c>
    </row>
    <row r="236" spans="2:6" x14ac:dyDescent="0.2">
      <c r="B236" t="str">
        <f>IFERROR(IF('PDCA review'!$D$2=Do!B234,Do!G234,""),"")</f>
        <v/>
      </c>
      <c r="C236">
        <f t="shared" si="9"/>
        <v>0</v>
      </c>
      <c r="D236">
        <f>SUM($C$3:C236)</f>
        <v>4</v>
      </c>
      <c r="E236" t="e">
        <f t="shared" si="10"/>
        <v>#N/A</v>
      </c>
      <c r="F236" s="28" t="str">
        <f t="shared" ca="1" si="11"/>
        <v/>
      </c>
    </row>
    <row r="237" spans="2:6" x14ac:dyDescent="0.2">
      <c r="B237" t="str">
        <f>IFERROR(IF('PDCA review'!$D$2=Do!B235,Do!G235,""),"")</f>
        <v/>
      </c>
      <c r="C237">
        <f t="shared" si="9"/>
        <v>0</v>
      </c>
      <c r="D237">
        <f>SUM($C$3:C237)</f>
        <v>4</v>
      </c>
      <c r="E237" t="e">
        <f t="shared" si="10"/>
        <v>#N/A</v>
      </c>
      <c r="F237" s="28" t="str">
        <f t="shared" ca="1" si="11"/>
        <v/>
      </c>
    </row>
    <row r="238" spans="2:6" x14ac:dyDescent="0.2">
      <c r="B238" t="str">
        <f>IFERROR(IF('PDCA review'!$D$2=Do!B236,Do!G236,""),"")</f>
        <v/>
      </c>
      <c r="C238">
        <f t="shared" si="9"/>
        <v>0</v>
      </c>
      <c r="D238">
        <f>SUM($C$3:C238)</f>
        <v>4</v>
      </c>
      <c r="E238" t="e">
        <f t="shared" si="10"/>
        <v>#N/A</v>
      </c>
      <c r="F238" s="28" t="str">
        <f t="shared" ca="1" si="11"/>
        <v/>
      </c>
    </row>
    <row r="239" spans="2:6" x14ac:dyDescent="0.2">
      <c r="B239" t="str">
        <f>IFERROR(IF('PDCA review'!$D$2=Do!B237,Do!G237,""),"")</f>
        <v/>
      </c>
      <c r="C239">
        <f t="shared" si="9"/>
        <v>0</v>
      </c>
      <c r="D239">
        <f>SUM($C$3:C239)</f>
        <v>4</v>
      </c>
      <c r="E239" t="e">
        <f t="shared" si="10"/>
        <v>#N/A</v>
      </c>
      <c r="F239" s="28" t="str">
        <f t="shared" ca="1" si="11"/>
        <v/>
      </c>
    </row>
    <row r="240" spans="2:6" x14ac:dyDescent="0.2">
      <c r="B240" t="str">
        <f>IFERROR(IF('PDCA review'!$D$2=Do!B238,Do!G238,""),"")</f>
        <v/>
      </c>
      <c r="C240">
        <f t="shared" si="9"/>
        <v>0</v>
      </c>
      <c r="D240">
        <f>SUM($C$3:C240)</f>
        <v>4</v>
      </c>
      <c r="E240" t="e">
        <f t="shared" si="10"/>
        <v>#N/A</v>
      </c>
      <c r="F240" s="28" t="str">
        <f t="shared" ca="1" si="11"/>
        <v/>
      </c>
    </row>
    <row r="241" spans="2:6" x14ac:dyDescent="0.2">
      <c r="B241" t="str">
        <f>IFERROR(IF('PDCA review'!$D$2=Do!B239,Do!G239,""),"")</f>
        <v/>
      </c>
      <c r="C241">
        <f t="shared" si="9"/>
        <v>0</v>
      </c>
      <c r="D241">
        <f>SUM($C$3:C241)</f>
        <v>4</v>
      </c>
      <c r="E241" t="e">
        <f t="shared" si="10"/>
        <v>#N/A</v>
      </c>
      <c r="F241" s="28" t="str">
        <f t="shared" ca="1" si="11"/>
        <v/>
      </c>
    </row>
    <row r="242" spans="2:6" x14ac:dyDescent="0.2">
      <c r="B242" t="str">
        <f>IFERROR(IF('PDCA review'!$D$2=Do!B240,Do!G240,""),"")</f>
        <v/>
      </c>
      <c r="C242">
        <f t="shared" si="9"/>
        <v>0</v>
      </c>
      <c r="D242">
        <f>SUM($C$3:C242)</f>
        <v>4</v>
      </c>
      <c r="E242" t="e">
        <f t="shared" si="10"/>
        <v>#N/A</v>
      </c>
      <c r="F242" s="28" t="str">
        <f t="shared" ca="1" si="11"/>
        <v/>
      </c>
    </row>
    <row r="243" spans="2:6" x14ac:dyDescent="0.2">
      <c r="B243" t="str">
        <f>IFERROR(IF('PDCA review'!$D$2=Do!B241,Do!G241,""),"")</f>
        <v/>
      </c>
      <c r="C243">
        <f t="shared" si="9"/>
        <v>0</v>
      </c>
      <c r="D243">
        <f>SUM($C$3:C243)</f>
        <v>4</v>
      </c>
      <c r="E243" t="e">
        <f t="shared" si="10"/>
        <v>#N/A</v>
      </c>
      <c r="F243" s="28" t="str">
        <f t="shared" ca="1" si="11"/>
        <v/>
      </c>
    </row>
    <row r="244" spans="2:6" x14ac:dyDescent="0.2">
      <c r="B244" t="str">
        <f>IFERROR(IF('PDCA review'!$D$2=Do!B242,Do!G242,""),"")</f>
        <v/>
      </c>
      <c r="C244">
        <f t="shared" si="9"/>
        <v>0</v>
      </c>
      <c r="D244">
        <f>SUM($C$3:C244)</f>
        <v>4</v>
      </c>
      <c r="E244" t="e">
        <f t="shared" si="10"/>
        <v>#N/A</v>
      </c>
      <c r="F244" s="28" t="str">
        <f t="shared" ca="1" si="11"/>
        <v/>
      </c>
    </row>
    <row r="245" spans="2:6" x14ac:dyDescent="0.2">
      <c r="B245" t="str">
        <f>IFERROR(IF('PDCA review'!$D$2=Do!B243,Do!G243,""),"")</f>
        <v/>
      </c>
      <c r="C245">
        <f t="shared" si="9"/>
        <v>0</v>
      </c>
      <c r="D245">
        <f>SUM($C$3:C245)</f>
        <v>4</v>
      </c>
      <c r="E245" t="e">
        <f t="shared" si="10"/>
        <v>#N/A</v>
      </c>
      <c r="F245" s="28" t="str">
        <f t="shared" ca="1" si="11"/>
        <v/>
      </c>
    </row>
    <row r="246" spans="2:6" x14ac:dyDescent="0.2">
      <c r="B246" t="str">
        <f>IFERROR(IF('PDCA review'!$D$2=Do!B244,Do!G244,""),"")</f>
        <v/>
      </c>
      <c r="C246">
        <f t="shared" si="9"/>
        <v>0</v>
      </c>
      <c r="D246">
        <f>SUM($C$3:C246)</f>
        <v>4</v>
      </c>
      <c r="E246" t="e">
        <f t="shared" si="10"/>
        <v>#N/A</v>
      </c>
      <c r="F246" s="28" t="str">
        <f t="shared" ca="1" si="11"/>
        <v/>
      </c>
    </row>
    <row r="247" spans="2:6" x14ac:dyDescent="0.2">
      <c r="B247" t="str">
        <f>IFERROR(IF('PDCA review'!$D$2=Do!B245,Do!G245,""),"")</f>
        <v/>
      </c>
      <c r="C247">
        <f t="shared" si="9"/>
        <v>0</v>
      </c>
      <c r="D247">
        <f>SUM($C$3:C247)</f>
        <v>4</v>
      </c>
      <c r="E247" t="e">
        <f t="shared" si="10"/>
        <v>#N/A</v>
      </c>
      <c r="F247" s="28" t="str">
        <f t="shared" ca="1" si="11"/>
        <v/>
      </c>
    </row>
    <row r="248" spans="2:6" x14ac:dyDescent="0.2">
      <c r="B248" t="str">
        <f>IFERROR(IF('PDCA review'!$D$2=Do!B246,Do!G246,""),"")</f>
        <v/>
      </c>
      <c r="C248">
        <f t="shared" si="9"/>
        <v>0</v>
      </c>
      <c r="D248">
        <f>SUM($C$3:C248)</f>
        <v>4</v>
      </c>
      <c r="E248" t="e">
        <f t="shared" si="10"/>
        <v>#N/A</v>
      </c>
      <c r="F248" s="28" t="str">
        <f t="shared" ca="1" si="11"/>
        <v/>
      </c>
    </row>
    <row r="249" spans="2:6" x14ac:dyDescent="0.2">
      <c r="B249" t="str">
        <f>IFERROR(IF('PDCA review'!$D$2=Do!B247,Do!G247,""),"")</f>
        <v/>
      </c>
      <c r="C249">
        <f t="shared" si="9"/>
        <v>0</v>
      </c>
      <c r="D249">
        <f>SUM($C$3:C249)</f>
        <v>4</v>
      </c>
      <c r="E249" t="e">
        <f t="shared" si="10"/>
        <v>#N/A</v>
      </c>
      <c r="F249" s="28" t="str">
        <f t="shared" ca="1" si="11"/>
        <v/>
      </c>
    </row>
    <row r="250" spans="2:6" x14ac:dyDescent="0.2">
      <c r="B250" t="str">
        <f>IFERROR(IF('PDCA review'!$D$2=Do!B248,Do!G248,""),"")</f>
        <v/>
      </c>
      <c r="C250">
        <f t="shared" si="9"/>
        <v>0</v>
      </c>
      <c r="D250">
        <f>SUM($C$3:C250)</f>
        <v>4</v>
      </c>
      <c r="E250" t="e">
        <f t="shared" si="10"/>
        <v>#N/A</v>
      </c>
      <c r="F250" s="28" t="str">
        <f t="shared" ca="1" si="11"/>
        <v/>
      </c>
    </row>
    <row r="251" spans="2:6" x14ac:dyDescent="0.2">
      <c r="B251" t="str">
        <f>IFERROR(IF('PDCA review'!$D$2=Do!B249,Do!G249,""),"")</f>
        <v/>
      </c>
      <c r="C251">
        <f t="shared" si="9"/>
        <v>0</v>
      </c>
      <c r="D251">
        <f>SUM($C$3:C251)</f>
        <v>4</v>
      </c>
      <c r="E251" t="e">
        <f t="shared" si="10"/>
        <v>#N/A</v>
      </c>
      <c r="F251" s="28" t="str">
        <f t="shared" ca="1" si="11"/>
        <v/>
      </c>
    </row>
    <row r="252" spans="2:6" x14ac:dyDescent="0.2">
      <c r="B252" t="str">
        <f>IFERROR(IF('PDCA review'!$D$2=Do!B250,Do!G250,""),"")</f>
        <v/>
      </c>
      <c r="C252">
        <f t="shared" si="9"/>
        <v>0</v>
      </c>
      <c r="D252">
        <f>SUM($C$3:C252)</f>
        <v>4</v>
      </c>
      <c r="E252" t="e">
        <f t="shared" si="10"/>
        <v>#N/A</v>
      </c>
      <c r="F252" s="28" t="str">
        <f t="shared" ca="1" si="11"/>
        <v/>
      </c>
    </row>
    <row r="253" spans="2:6" x14ac:dyDescent="0.2">
      <c r="B253" t="str">
        <f>IFERROR(IF('PDCA review'!$D$2=Do!B251,Do!G251,""),"")</f>
        <v/>
      </c>
      <c r="C253">
        <f t="shared" si="9"/>
        <v>0</v>
      </c>
      <c r="D253">
        <f>SUM($C$3:C253)</f>
        <v>4</v>
      </c>
      <c r="E253" t="e">
        <f t="shared" si="10"/>
        <v>#N/A</v>
      </c>
      <c r="F253" s="28" t="str">
        <f t="shared" ca="1" si="11"/>
        <v/>
      </c>
    </row>
    <row r="254" spans="2:6" x14ac:dyDescent="0.2">
      <c r="B254" t="str">
        <f>IFERROR(IF('PDCA review'!$D$2=Do!B252,Do!G252,""),"")</f>
        <v/>
      </c>
      <c r="C254">
        <f t="shared" si="9"/>
        <v>0</v>
      </c>
      <c r="D254">
        <f>SUM($C$3:C254)</f>
        <v>4</v>
      </c>
      <c r="E254" t="e">
        <f t="shared" si="10"/>
        <v>#N/A</v>
      </c>
      <c r="F254" s="28" t="str">
        <f t="shared" ca="1" si="11"/>
        <v/>
      </c>
    </row>
    <row r="255" spans="2:6" x14ac:dyDescent="0.2">
      <c r="B255" t="str">
        <f>IFERROR(IF('PDCA review'!$D$2=Do!B253,Do!G253,""),"")</f>
        <v/>
      </c>
      <c r="C255">
        <f t="shared" si="9"/>
        <v>0</v>
      </c>
      <c r="D255">
        <f>SUM($C$3:C255)</f>
        <v>4</v>
      </c>
      <c r="E255" t="e">
        <f t="shared" si="10"/>
        <v>#N/A</v>
      </c>
      <c r="F255" s="28" t="str">
        <f t="shared" ca="1" si="11"/>
        <v/>
      </c>
    </row>
    <row r="256" spans="2:6" x14ac:dyDescent="0.2">
      <c r="B256" t="str">
        <f>IFERROR(IF('PDCA review'!$D$2=Do!B254,Do!G254,""),"")</f>
        <v/>
      </c>
      <c r="C256">
        <f t="shared" si="9"/>
        <v>0</v>
      </c>
      <c r="D256">
        <f>SUM($C$3:C256)</f>
        <v>4</v>
      </c>
      <c r="E256" t="e">
        <f t="shared" si="10"/>
        <v>#N/A</v>
      </c>
      <c r="F256" s="28" t="str">
        <f t="shared" ca="1" si="11"/>
        <v/>
      </c>
    </row>
    <row r="257" spans="2:6" x14ac:dyDescent="0.2">
      <c r="B257" t="str">
        <f>IFERROR(IF('PDCA review'!$D$2=Do!B255,Do!G255,""),"")</f>
        <v/>
      </c>
      <c r="C257">
        <f t="shared" si="9"/>
        <v>0</v>
      </c>
      <c r="D257">
        <f>SUM($C$3:C257)</f>
        <v>4</v>
      </c>
      <c r="E257" t="e">
        <f t="shared" si="10"/>
        <v>#N/A</v>
      </c>
      <c r="F257" s="28" t="str">
        <f t="shared" ca="1" si="11"/>
        <v/>
      </c>
    </row>
    <row r="258" spans="2:6" x14ac:dyDescent="0.2">
      <c r="B258" t="str">
        <f>IFERROR(IF('PDCA review'!$D$2=Do!B256,Do!G256,""),"")</f>
        <v/>
      </c>
      <c r="C258">
        <f t="shared" si="9"/>
        <v>0</v>
      </c>
      <c r="D258">
        <f>SUM($C$3:C258)</f>
        <v>4</v>
      </c>
      <c r="E258" t="e">
        <f t="shared" si="10"/>
        <v>#N/A</v>
      </c>
      <c r="F258" s="28" t="str">
        <f t="shared" ca="1" si="11"/>
        <v/>
      </c>
    </row>
    <row r="259" spans="2:6" x14ac:dyDescent="0.2">
      <c r="B259" t="str">
        <f>IFERROR(IF('PDCA review'!$D$2=Do!B257,Do!G257,""),"")</f>
        <v/>
      </c>
      <c r="C259">
        <f t="shared" si="9"/>
        <v>0</v>
      </c>
      <c r="D259">
        <f>SUM($C$3:C259)</f>
        <v>4</v>
      </c>
      <c r="E259" t="e">
        <f t="shared" si="10"/>
        <v>#N/A</v>
      </c>
      <c r="F259" s="28" t="str">
        <f t="shared" ca="1" si="11"/>
        <v/>
      </c>
    </row>
    <row r="260" spans="2:6" x14ac:dyDescent="0.2">
      <c r="B260" t="str">
        <f>IFERROR(IF('PDCA review'!$D$2=Do!B258,Do!G258,""),"")</f>
        <v/>
      </c>
      <c r="C260">
        <f t="shared" ref="C260:C323" si="12">IF(B260&lt;&gt;"",1,0)</f>
        <v>0</v>
      </c>
      <c r="D260">
        <f>SUM($C$3:C260)</f>
        <v>4</v>
      </c>
      <c r="E260" t="e">
        <f t="shared" ref="E260:E323" si="13">MATCH(ROW()-$D$2,$D$3:$D$2000,0)+$D$2</f>
        <v>#N/A</v>
      </c>
      <c r="F260" s="28" t="str">
        <f t="shared" ref="F260:F323" ca="1" si="14">IFERROR(INDIRECT("B"&amp;E260),"")</f>
        <v/>
      </c>
    </row>
    <row r="261" spans="2:6" x14ac:dyDescent="0.2">
      <c r="B261" t="str">
        <f>IFERROR(IF('PDCA review'!$D$2=Do!B259,Do!G259,""),"")</f>
        <v/>
      </c>
      <c r="C261">
        <f t="shared" si="12"/>
        <v>0</v>
      </c>
      <c r="D261">
        <f>SUM($C$3:C261)</f>
        <v>4</v>
      </c>
      <c r="E261" t="e">
        <f t="shared" si="13"/>
        <v>#N/A</v>
      </c>
      <c r="F261" s="28" t="str">
        <f t="shared" ca="1" si="14"/>
        <v/>
      </c>
    </row>
    <row r="262" spans="2:6" x14ac:dyDescent="0.2">
      <c r="B262" t="str">
        <f>IFERROR(IF('PDCA review'!$D$2=Do!B260,Do!G260,""),"")</f>
        <v/>
      </c>
      <c r="C262">
        <f t="shared" si="12"/>
        <v>0</v>
      </c>
      <c r="D262">
        <f>SUM($C$3:C262)</f>
        <v>4</v>
      </c>
      <c r="E262" t="e">
        <f t="shared" si="13"/>
        <v>#N/A</v>
      </c>
      <c r="F262" s="28" t="str">
        <f t="shared" ca="1" si="14"/>
        <v/>
      </c>
    </row>
    <row r="263" spans="2:6" x14ac:dyDescent="0.2">
      <c r="B263" t="str">
        <f>IFERROR(IF('PDCA review'!$D$2=Do!B261,Do!G261,""),"")</f>
        <v/>
      </c>
      <c r="C263">
        <f t="shared" si="12"/>
        <v>0</v>
      </c>
      <c r="D263">
        <f>SUM($C$3:C263)</f>
        <v>4</v>
      </c>
      <c r="E263" t="e">
        <f t="shared" si="13"/>
        <v>#N/A</v>
      </c>
      <c r="F263" s="28" t="str">
        <f t="shared" ca="1" si="14"/>
        <v/>
      </c>
    </row>
    <row r="264" spans="2:6" x14ac:dyDescent="0.2">
      <c r="B264" t="str">
        <f>IFERROR(IF('PDCA review'!$D$2=Do!B262,Do!G262,""),"")</f>
        <v/>
      </c>
      <c r="C264">
        <f t="shared" si="12"/>
        <v>0</v>
      </c>
      <c r="D264">
        <f>SUM($C$3:C264)</f>
        <v>4</v>
      </c>
      <c r="E264" t="e">
        <f t="shared" si="13"/>
        <v>#N/A</v>
      </c>
      <c r="F264" s="28" t="str">
        <f t="shared" ca="1" si="14"/>
        <v/>
      </c>
    </row>
    <row r="265" spans="2:6" x14ac:dyDescent="0.2">
      <c r="B265" t="str">
        <f>IFERROR(IF('PDCA review'!$D$2=Do!B263,Do!G263,""),"")</f>
        <v/>
      </c>
      <c r="C265">
        <f t="shared" si="12"/>
        <v>0</v>
      </c>
      <c r="D265">
        <f>SUM($C$3:C265)</f>
        <v>4</v>
      </c>
      <c r="E265" t="e">
        <f t="shared" si="13"/>
        <v>#N/A</v>
      </c>
      <c r="F265" s="28" t="str">
        <f t="shared" ca="1" si="14"/>
        <v/>
      </c>
    </row>
    <row r="266" spans="2:6" x14ac:dyDescent="0.2">
      <c r="B266" t="str">
        <f>IFERROR(IF('PDCA review'!$D$2=Do!B264,Do!G264,""),"")</f>
        <v/>
      </c>
      <c r="C266">
        <f t="shared" si="12"/>
        <v>0</v>
      </c>
      <c r="D266">
        <f>SUM($C$3:C266)</f>
        <v>4</v>
      </c>
      <c r="E266" t="e">
        <f t="shared" si="13"/>
        <v>#N/A</v>
      </c>
      <c r="F266" s="28" t="str">
        <f t="shared" ca="1" si="14"/>
        <v/>
      </c>
    </row>
    <row r="267" spans="2:6" x14ac:dyDescent="0.2">
      <c r="B267" t="str">
        <f>IFERROR(IF('PDCA review'!$D$2=Do!B265,Do!G265,""),"")</f>
        <v/>
      </c>
      <c r="C267">
        <f t="shared" si="12"/>
        <v>0</v>
      </c>
      <c r="D267">
        <f>SUM($C$3:C267)</f>
        <v>4</v>
      </c>
      <c r="E267" t="e">
        <f t="shared" si="13"/>
        <v>#N/A</v>
      </c>
      <c r="F267" s="28" t="str">
        <f t="shared" ca="1" si="14"/>
        <v/>
      </c>
    </row>
    <row r="268" spans="2:6" x14ac:dyDescent="0.2">
      <c r="B268" t="str">
        <f>IFERROR(IF('PDCA review'!$D$2=Do!B266,Do!G266,""),"")</f>
        <v/>
      </c>
      <c r="C268">
        <f t="shared" si="12"/>
        <v>0</v>
      </c>
      <c r="D268">
        <f>SUM($C$3:C268)</f>
        <v>4</v>
      </c>
      <c r="E268" t="e">
        <f t="shared" si="13"/>
        <v>#N/A</v>
      </c>
      <c r="F268" s="28" t="str">
        <f t="shared" ca="1" si="14"/>
        <v/>
      </c>
    </row>
    <row r="269" spans="2:6" x14ac:dyDescent="0.2">
      <c r="B269" t="str">
        <f>IFERROR(IF('PDCA review'!$D$2=Do!B267,Do!G267,""),"")</f>
        <v/>
      </c>
      <c r="C269">
        <f t="shared" si="12"/>
        <v>0</v>
      </c>
      <c r="D269">
        <f>SUM($C$3:C269)</f>
        <v>4</v>
      </c>
      <c r="E269" t="e">
        <f t="shared" si="13"/>
        <v>#N/A</v>
      </c>
      <c r="F269" s="28" t="str">
        <f t="shared" ca="1" si="14"/>
        <v/>
      </c>
    </row>
    <row r="270" spans="2:6" x14ac:dyDescent="0.2">
      <c r="B270" t="str">
        <f>IFERROR(IF('PDCA review'!$D$2=Do!B268,Do!G268,""),"")</f>
        <v/>
      </c>
      <c r="C270">
        <f t="shared" si="12"/>
        <v>0</v>
      </c>
      <c r="D270">
        <f>SUM($C$3:C270)</f>
        <v>4</v>
      </c>
      <c r="E270" t="e">
        <f t="shared" si="13"/>
        <v>#N/A</v>
      </c>
      <c r="F270" s="28" t="str">
        <f t="shared" ca="1" si="14"/>
        <v/>
      </c>
    </row>
    <row r="271" spans="2:6" x14ac:dyDescent="0.2">
      <c r="B271" t="str">
        <f>IFERROR(IF('PDCA review'!$D$2=Do!B269,Do!G269,""),"")</f>
        <v/>
      </c>
      <c r="C271">
        <f t="shared" si="12"/>
        <v>0</v>
      </c>
      <c r="D271">
        <f>SUM($C$3:C271)</f>
        <v>4</v>
      </c>
      <c r="E271" t="e">
        <f t="shared" si="13"/>
        <v>#N/A</v>
      </c>
      <c r="F271" s="28" t="str">
        <f t="shared" ca="1" si="14"/>
        <v/>
      </c>
    </row>
    <row r="272" spans="2:6" x14ac:dyDescent="0.2">
      <c r="B272" t="str">
        <f>IFERROR(IF('PDCA review'!$D$2=Do!B270,Do!G270,""),"")</f>
        <v/>
      </c>
      <c r="C272">
        <f t="shared" si="12"/>
        <v>0</v>
      </c>
      <c r="D272">
        <f>SUM($C$3:C272)</f>
        <v>4</v>
      </c>
      <c r="E272" t="e">
        <f t="shared" si="13"/>
        <v>#N/A</v>
      </c>
      <c r="F272" s="28" t="str">
        <f t="shared" ca="1" si="14"/>
        <v/>
      </c>
    </row>
    <row r="273" spans="2:6" x14ac:dyDescent="0.2">
      <c r="B273" t="str">
        <f>IFERROR(IF('PDCA review'!$D$2=Do!B271,Do!G271,""),"")</f>
        <v/>
      </c>
      <c r="C273">
        <f t="shared" si="12"/>
        <v>0</v>
      </c>
      <c r="D273">
        <f>SUM($C$3:C273)</f>
        <v>4</v>
      </c>
      <c r="E273" t="e">
        <f t="shared" si="13"/>
        <v>#N/A</v>
      </c>
      <c r="F273" s="28" t="str">
        <f t="shared" ca="1" si="14"/>
        <v/>
      </c>
    </row>
    <row r="274" spans="2:6" x14ac:dyDescent="0.2">
      <c r="B274" t="str">
        <f>IFERROR(IF('PDCA review'!$D$2=Do!B272,Do!G272,""),"")</f>
        <v/>
      </c>
      <c r="C274">
        <f t="shared" si="12"/>
        <v>0</v>
      </c>
      <c r="D274">
        <f>SUM($C$3:C274)</f>
        <v>4</v>
      </c>
      <c r="E274" t="e">
        <f t="shared" si="13"/>
        <v>#N/A</v>
      </c>
      <c r="F274" s="28" t="str">
        <f t="shared" ca="1" si="14"/>
        <v/>
      </c>
    </row>
    <row r="275" spans="2:6" x14ac:dyDescent="0.2">
      <c r="B275" t="str">
        <f>IFERROR(IF('PDCA review'!$D$2=Do!B273,Do!G273,""),"")</f>
        <v/>
      </c>
      <c r="C275">
        <f t="shared" si="12"/>
        <v>0</v>
      </c>
      <c r="D275">
        <f>SUM($C$3:C275)</f>
        <v>4</v>
      </c>
      <c r="E275" t="e">
        <f t="shared" si="13"/>
        <v>#N/A</v>
      </c>
      <c r="F275" s="28" t="str">
        <f t="shared" ca="1" si="14"/>
        <v/>
      </c>
    </row>
    <row r="276" spans="2:6" x14ac:dyDescent="0.2">
      <c r="B276" t="str">
        <f>IFERROR(IF('PDCA review'!$D$2=Do!B274,Do!G274,""),"")</f>
        <v/>
      </c>
      <c r="C276">
        <f t="shared" si="12"/>
        <v>0</v>
      </c>
      <c r="D276">
        <f>SUM($C$3:C276)</f>
        <v>4</v>
      </c>
      <c r="E276" t="e">
        <f t="shared" si="13"/>
        <v>#N/A</v>
      </c>
      <c r="F276" s="28" t="str">
        <f t="shared" ca="1" si="14"/>
        <v/>
      </c>
    </row>
    <row r="277" spans="2:6" x14ac:dyDescent="0.2">
      <c r="B277" t="str">
        <f>IFERROR(IF('PDCA review'!$D$2=Do!B275,Do!G275,""),"")</f>
        <v/>
      </c>
      <c r="C277">
        <f t="shared" si="12"/>
        <v>0</v>
      </c>
      <c r="D277">
        <f>SUM($C$3:C277)</f>
        <v>4</v>
      </c>
      <c r="E277" t="e">
        <f t="shared" si="13"/>
        <v>#N/A</v>
      </c>
      <c r="F277" s="28" t="str">
        <f t="shared" ca="1" si="14"/>
        <v/>
      </c>
    </row>
    <row r="278" spans="2:6" x14ac:dyDescent="0.2">
      <c r="B278" t="str">
        <f>IFERROR(IF('PDCA review'!$D$2=Do!B276,Do!G276,""),"")</f>
        <v/>
      </c>
      <c r="C278">
        <f t="shared" si="12"/>
        <v>0</v>
      </c>
      <c r="D278">
        <f>SUM($C$3:C278)</f>
        <v>4</v>
      </c>
      <c r="E278" t="e">
        <f t="shared" si="13"/>
        <v>#N/A</v>
      </c>
      <c r="F278" s="28" t="str">
        <f t="shared" ca="1" si="14"/>
        <v/>
      </c>
    </row>
    <row r="279" spans="2:6" x14ac:dyDescent="0.2">
      <c r="B279" t="str">
        <f>IFERROR(IF('PDCA review'!$D$2=Do!B277,Do!G277,""),"")</f>
        <v/>
      </c>
      <c r="C279">
        <f t="shared" si="12"/>
        <v>0</v>
      </c>
      <c r="D279">
        <f>SUM($C$3:C279)</f>
        <v>4</v>
      </c>
      <c r="E279" t="e">
        <f t="shared" si="13"/>
        <v>#N/A</v>
      </c>
      <c r="F279" s="28" t="str">
        <f t="shared" ca="1" si="14"/>
        <v/>
      </c>
    </row>
    <row r="280" spans="2:6" x14ac:dyDescent="0.2">
      <c r="B280" t="str">
        <f>IFERROR(IF('PDCA review'!$D$2=Do!B278,Do!G278,""),"")</f>
        <v/>
      </c>
      <c r="C280">
        <f t="shared" si="12"/>
        <v>0</v>
      </c>
      <c r="D280">
        <f>SUM($C$3:C280)</f>
        <v>4</v>
      </c>
      <c r="E280" t="e">
        <f t="shared" si="13"/>
        <v>#N/A</v>
      </c>
      <c r="F280" s="28" t="str">
        <f t="shared" ca="1" si="14"/>
        <v/>
      </c>
    </row>
    <row r="281" spans="2:6" x14ac:dyDescent="0.2">
      <c r="B281" t="str">
        <f>IFERROR(IF('PDCA review'!$D$2=Do!B279,Do!G279,""),"")</f>
        <v/>
      </c>
      <c r="C281">
        <f t="shared" si="12"/>
        <v>0</v>
      </c>
      <c r="D281">
        <f>SUM($C$3:C281)</f>
        <v>4</v>
      </c>
      <c r="E281" t="e">
        <f t="shared" si="13"/>
        <v>#N/A</v>
      </c>
      <c r="F281" s="28" t="str">
        <f t="shared" ca="1" si="14"/>
        <v/>
      </c>
    </row>
    <row r="282" spans="2:6" x14ac:dyDescent="0.2">
      <c r="B282" t="str">
        <f>IFERROR(IF('PDCA review'!$D$2=Do!B280,Do!G280,""),"")</f>
        <v/>
      </c>
      <c r="C282">
        <f t="shared" si="12"/>
        <v>0</v>
      </c>
      <c r="D282">
        <f>SUM($C$3:C282)</f>
        <v>4</v>
      </c>
      <c r="E282" t="e">
        <f t="shared" si="13"/>
        <v>#N/A</v>
      </c>
      <c r="F282" s="28" t="str">
        <f t="shared" ca="1" si="14"/>
        <v/>
      </c>
    </row>
    <row r="283" spans="2:6" x14ac:dyDescent="0.2">
      <c r="B283" t="str">
        <f>IFERROR(IF('PDCA review'!$D$2=Do!B281,Do!G281,""),"")</f>
        <v/>
      </c>
      <c r="C283">
        <f t="shared" si="12"/>
        <v>0</v>
      </c>
      <c r="D283">
        <f>SUM($C$3:C283)</f>
        <v>4</v>
      </c>
      <c r="E283" t="e">
        <f t="shared" si="13"/>
        <v>#N/A</v>
      </c>
      <c r="F283" s="28" t="str">
        <f t="shared" ca="1" si="14"/>
        <v/>
      </c>
    </row>
    <row r="284" spans="2:6" x14ac:dyDescent="0.2">
      <c r="B284" t="str">
        <f>IFERROR(IF('PDCA review'!$D$2=Do!B282,Do!G282,""),"")</f>
        <v/>
      </c>
      <c r="C284">
        <f t="shared" si="12"/>
        <v>0</v>
      </c>
      <c r="D284">
        <f>SUM($C$3:C284)</f>
        <v>4</v>
      </c>
      <c r="E284" t="e">
        <f t="shared" si="13"/>
        <v>#N/A</v>
      </c>
      <c r="F284" s="28" t="str">
        <f t="shared" ca="1" si="14"/>
        <v/>
      </c>
    </row>
    <row r="285" spans="2:6" x14ac:dyDescent="0.2">
      <c r="B285" t="str">
        <f>IFERROR(IF('PDCA review'!$D$2=Do!B283,Do!G283,""),"")</f>
        <v/>
      </c>
      <c r="C285">
        <f t="shared" si="12"/>
        <v>0</v>
      </c>
      <c r="D285">
        <f>SUM($C$3:C285)</f>
        <v>4</v>
      </c>
      <c r="E285" t="e">
        <f t="shared" si="13"/>
        <v>#N/A</v>
      </c>
      <c r="F285" s="28" t="str">
        <f t="shared" ca="1" si="14"/>
        <v/>
      </c>
    </row>
    <row r="286" spans="2:6" x14ac:dyDescent="0.2">
      <c r="B286" t="str">
        <f>IFERROR(IF('PDCA review'!$D$2=Do!B284,Do!G284,""),"")</f>
        <v/>
      </c>
      <c r="C286">
        <f t="shared" si="12"/>
        <v>0</v>
      </c>
      <c r="D286">
        <f>SUM($C$3:C286)</f>
        <v>4</v>
      </c>
      <c r="E286" t="e">
        <f t="shared" si="13"/>
        <v>#N/A</v>
      </c>
      <c r="F286" s="28" t="str">
        <f t="shared" ca="1" si="14"/>
        <v/>
      </c>
    </row>
    <row r="287" spans="2:6" x14ac:dyDescent="0.2">
      <c r="B287" t="str">
        <f>IFERROR(IF('PDCA review'!$D$2=Do!B285,Do!G285,""),"")</f>
        <v/>
      </c>
      <c r="C287">
        <f t="shared" si="12"/>
        <v>0</v>
      </c>
      <c r="D287">
        <f>SUM($C$3:C287)</f>
        <v>4</v>
      </c>
      <c r="E287" t="e">
        <f t="shared" si="13"/>
        <v>#N/A</v>
      </c>
      <c r="F287" s="28" t="str">
        <f t="shared" ca="1" si="14"/>
        <v/>
      </c>
    </row>
    <row r="288" spans="2:6" x14ac:dyDescent="0.2">
      <c r="B288" t="str">
        <f>IFERROR(IF('PDCA review'!$D$2=Do!B286,Do!G286,""),"")</f>
        <v/>
      </c>
      <c r="C288">
        <f t="shared" si="12"/>
        <v>0</v>
      </c>
      <c r="D288">
        <f>SUM($C$3:C288)</f>
        <v>4</v>
      </c>
      <c r="E288" t="e">
        <f t="shared" si="13"/>
        <v>#N/A</v>
      </c>
      <c r="F288" s="28" t="str">
        <f t="shared" ca="1" si="14"/>
        <v/>
      </c>
    </row>
    <row r="289" spans="2:6" x14ac:dyDescent="0.2">
      <c r="B289" t="str">
        <f>IFERROR(IF('PDCA review'!$D$2=Do!B287,Do!G287,""),"")</f>
        <v/>
      </c>
      <c r="C289">
        <f t="shared" si="12"/>
        <v>0</v>
      </c>
      <c r="D289">
        <f>SUM($C$3:C289)</f>
        <v>4</v>
      </c>
      <c r="E289" t="e">
        <f t="shared" si="13"/>
        <v>#N/A</v>
      </c>
      <c r="F289" s="28" t="str">
        <f t="shared" ca="1" si="14"/>
        <v/>
      </c>
    </row>
    <row r="290" spans="2:6" x14ac:dyDescent="0.2">
      <c r="B290" t="str">
        <f>IFERROR(IF('PDCA review'!$D$2=Do!B288,Do!G288,""),"")</f>
        <v/>
      </c>
      <c r="C290">
        <f t="shared" si="12"/>
        <v>0</v>
      </c>
      <c r="D290">
        <f>SUM($C$3:C290)</f>
        <v>4</v>
      </c>
      <c r="E290" t="e">
        <f t="shared" si="13"/>
        <v>#N/A</v>
      </c>
      <c r="F290" s="28" t="str">
        <f t="shared" ca="1" si="14"/>
        <v/>
      </c>
    </row>
    <row r="291" spans="2:6" x14ac:dyDescent="0.2">
      <c r="B291" t="str">
        <f>IFERROR(IF('PDCA review'!$D$2=Do!B289,Do!G289,""),"")</f>
        <v/>
      </c>
      <c r="C291">
        <f t="shared" si="12"/>
        <v>0</v>
      </c>
      <c r="D291">
        <f>SUM($C$3:C291)</f>
        <v>4</v>
      </c>
      <c r="E291" t="e">
        <f t="shared" si="13"/>
        <v>#N/A</v>
      </c>
      <c r="F291" s="28" t="str">
        <f t="shared" ca="1" si="14"/>
        <v/>
      </c>
    </row>
    <row r="292" spans="2:6" x14ac:dyDescent="0.2">
      <c r="B292" t="str">
        <f>IFERROR(IF('PDCA review'!$D$2=Do!B290,Do!G290,""),"")</f>
        <v/>
      </c>
      <c r="C292">
        <f t="shared" si="12"/>
        <v>0</v>
      </c>
      <c r="D292">
        <f>SUM($C$3:C292)</f>
        <v>4</v>
      </c>
      <c r="E292" t="e">
        <f t="shared" si="13"/>
        <v>#N/A</v>
      </c>
      <c r="F292" s="28" t="str">
        <f t="shared" ca="1" si="14"/>
        <v/>
      </c>
    </row>
    <row r="293" spans="2:6" x14ac:dyDescent="0.2">
      <c r="B293" t="str">
        <f>IFERROR(IF('PDCA review'!$D$2=Do!B291,Do!G291,""),"")</f>
        <v/>
      </c>
      <c r="C293">
        <f t="shared" si="12"/>
        <v>0</v>
      </c>
      <c r="D293">
        <f>SUM($C$3:C293)</f>
        <v>4</v>
      </c>
      <c r="E293" t="e">
        <f t="shared" si="13"/>
        <v>#N/A</v>
      </c>
      <c r="F293" s="28" t="str">
        <f t="shared" ca="1" si="14"/>
        <v/>
      </c>
    </row>
    <row r="294" spans="2:6" x14ac:dyDescent="0.2">
      <c r="B294" t="str">
        <f>IFERROR(IF('PDCA review'!$D$2=Do!B292,Do!G292,""),"")</f>
        <v/>
      </c>
      <c r="C294">
        <f t="shared" si="12"/>
        <v>0</v>
      </c>
      <c r="D294">
        <f>SUM($C$3:C294)</f>
        <v>4</v>
      </c>
      <c r="E294" t="e">
        <f t="shared" si="13"/>
        <v>#N/A</v>
      </c>
      <c r="F294" s="28" t="str">
        <f t="shared" ca="1" si="14"/>
        <v/>
      </c>
    </row>
    <row r="295" spans="2:6" x14ac:dyDescent="0.2">
      <c r="B295" t="str">
        <f>IFERROR(IF('PDCA review'!$D$2=Do!B293,Do!G293,""),"")</f>
        <v/>
      </c>
      <c r="C295">
        <f t="shared" si="12"/>
        <v>0</v>
      </c>
      <c r="D295">
        <f>SUM($C$3:C295)</f>
        <v>4</v>
      </c>
      <c r="E295" t="e">
        <f t="shared" si="13"/>
        <v>#N/A</v>
      </c>
      <c r="F295" s="28" t="str">
        <f t="shared" ca="1" si="14"/>
        <v/>
      </c>
    </row>
    <row r="296" spans="2:6" x14ac:dyDescent="0.2">
      <c r="B296" t="str">
        <f>IFERROR(IF('PDCA review'!$D$2=Do!B294,Do!G294,""),"")</f>
        <v/>
      </c>
      <c r="C296">
        <f t="shared" si="12"/>
        <v>0</v>
      </c>
      <c r="D296">
        <f>SUM($C$3:C296)</f>
        <v>4</v>
      </c>
      <c r="E296" t="e">
        <f t="shared" si="13"/>
        <v>#N/A</v>
      </c>
      <c r="F296" s="28" t="str">
        <f t="shared" ca="1" si="14"/>
        <v/>
      </c>
    </row>
    <row r="297" spans="2:6" x14ac:dyDescent="0.2">
      <c r="B297" t="str">
        <f>IFERROR(IF('PDCA review'!$D$2=Do!B295,Do!G295,""),"")</f>
        <v/>
      </c>
      <c r="C297">
        <f t="shared" si="12"/>
        <v>0</v>
      </c>
      <c r="D297">
        <f>SUM($C$3:C297)</f>
        <v>4</v>
      </c>
      <c r="E297" t="e">
        <f t="shared" si="13"/>
        <v>#N/A</v>
      </c>
      <c r="F297" s="28" t="str">
        <f t="shared" ca="1" si="14"/>
        <v/>
      </c>
    </row>
    <row r="298" spans="2:6" x14ac:dyDescent="0.2">
      <c r="B298" t="str">
        <f>IFERROR(IF('PDCA review'!$D$2=Do!B296,Do!G296,""),"")</f>
        <v/>
      </c>
      <c r="C298">
        <f t="shared" si="12"/>
        <v>0</v>
      </c>
      <c r="D298">
        <f>SUM($C$3:C298)</f>
        <v>4</v>
      </c>
      <c r="E298" t="e">
        <f t="shared" si="13"/>
        <v>#N/A</v>
      </c>
      <c r="F298" s="28" t="str">
        <f t="shared" ca="1" si="14"/>
        <v/>
      </c>
    </row>
    <row r="299" spans="2:6" x14ac:dyDescent="0.2">
      <c r="B299" t="str">
        <f>IFERROR(IF('PDCA review'!$D$2=Do!B297,Do!G297,""),"")</f>
        <v/>
      </c>
      <c r="C299">
        <f t="shared" si="12"/>
        <v>0</v>
      </c>
      <c r="D299">
        <f>SUM($C$3:C299)</f>
        <v>4</v>
      </c>
      <c r="E299" t="e">
        <f t="shared" si="13"/>
        <v>#N/A</v>
      </c>
      <c r="F299" s="28" t="str">
        <f t="shared" ca="1" si="14"/>
        <v/>
      </c>
    </row>
    <row r="300" spans="2:6" x14ac:dyDescent="0.2">
      <c r="B300" t="str">
        <f>IFERROR(IF('PDCA review'!$D$2=Do!B298,Do!G298,""),"")</f>
        <v/>
      </c>
      <c r="C300">
        <f t="shared" si="12"/>
        <v>0</v>
      </c>
      <c r="D300">
        <f>SUM($C$3:C300)</f>
        <v>4</v>
      </c>
      <c r="E300" t="e">
        <f t="shared" si="13"/>
        <v>#N/A</v>
      </c>
      <c r="F300" s="28" t="str">
        <f t="shared" ca="1" si="14"/>
        <v/>
      </c>
    </row>
    <row r="301" spans="2:6" x14ac:dyDescent="0.2">
      <c r="B301" t="str">
        <f>IFERROR(IF('PDCA review'!$D$2=Do!B299,Do!G299,""),"")</f>
        <v/>
      </c>
      <c r="C301">
        <f t="shared" si="12"/>
        <v>0</v>
      </c>
      <c r="D301">
        <f>SUM($C$3:C301)</f>
        <v>4</v>
      </c>
      <c r="E301" t="e">
        <f t="shared" si="13"/>
        <v>#N/A</v>
      </c>
      <c r="F301" s="28" t="str">
        <f t="shared" ca="1" si="14"/>
        <v/>
      </c>
    </row>
    <row r="302" spans="2:6" x14ac:dyDescent="0.2">
      <c r="B302" t="str">
        <f>IFERROR(IF('PDCA review'!$D$2=Do!B300,Do!G300,""),"")</f>
        <v/>
      </c>
      <c r="C302">
        <f t="shared" si="12"/>
        <v>0</v>
      </c>
      <c r="D302">
        <f>SUM($C$3:C302)</f>
        <v>4</v>
      </c>
      <c r="E302" t="e">
        <f t="shared" si="13"/>
        <v>#N/A</v>
      </c>
      <c r="F302" s="28" t="str">
        <f t="shared" ca="1" si="14"/>
        <v/>
      </c>
    </row>
    <row r="303" spans="2:6" x14ac:dyDescent="0.2">
      <c r="B303" t="str">
        <f>IFERROR(IF('PDCA review'!$D$2=Do!B301,Do!G301,""),"")</f>
        <v/>
      </c>
      <c r="C303">
        <f t="shared" si="12"/>
        <v>0</v>
      </c>
      <c r="D303">
        <f>SUM($C$3:C303)</f>
        <v>4</v>
      </c>
      <c r="E303" t="e">
        <f t="shared" si="13"/>
        <v>#N/A</v>
      </c>
      <c r="F303" s="28" t="str">
        <f t="shared" ca="1" si="14"/>
        <v/>
      </c>
    </row>
    <row r="304" spans="2:6" x14ac:dyDescent="0.2">
      <c r="B304" t="str">
        <f>IFERROR(IF('PDCA review'!$D$2=Do!B302,Do!G302,""),"")</f>
        <v/>
      </c>
      <c r="C304">
        <f t="shared" si="12"/>
        <v>0</v>
      </c>
      <c r="D304">
        <f>SUM($C$3:C304)</f>
        <v>4</v>
      </c>
      <c r="E304" t="e">
        <f t="shared" si="13"/>
        <v>#N/A</v>
      </c>
      <c r="F304" s="28" t="str">
        <f t="shared" ca="1" si="14"/>
        <v/>
      </c>
    </row>
    <row r="305" spans="2:6" x14ac:dyDescent="0.2">
      <c r="B305" t="str">
        <f>IFERROR(IF('PDCA review'!$D$2=Do!B303,Do!G303,""),"")</f>
        <v/>
      </c>
      <c r="C305">
        <f t="shared" si="12"/>
        <v>0</v>
      </c>
      <c r="D305">
        <f>SUM($C$3:C305)</f>
        <v>4</v>
      </c>
      <c r="E305" t="e">
        <f t="shared" si="13"/>
        <v>#N/A</v>
      </c>
      <c r="F305" s="28" t="str">
        <f t="shared" ca="1" si="14"/>
        <v/>
      </c>
    </row>
    <row r="306" spans="2:6" x14ac:dyDescent="0.2">
      <c r="B306" t="str">
        <f>IFERROR(IF('PDCA review'!$D$2=Do!B304,Do!G304,""),"")</f>
        <v/>
      </c>
      <c r="C306">
        <f t="shared" si="12"/>
        <v>0</v>
      </c>
      <c r="D306">
        <f>SUM($C$3:C306)</f>
        <v>4</v>
      </c>
      <c r="E306" t="e">
        <f t="shared" si="13"/>
        <v>#N/A</v>
      </c>
      <c r="F306" s="28" t="str">
        <f t="shared" ca="1" si="14"/>
        <v/>
      </c>
    </row>
    <row r="307" spans="2:6" x14ac:dyDescent="0.2">
      <c r="B307" t="str">
        <f>IFERROR(IF('PDCA review'!$D$2=Do!B305,Do!G305,""),"")</f>
        <v/>
      </c>
      <c r="C307">
        <f t="shared" si="12"/>
        <v>0</v>
      </c>
      <c r="D307">
        <f>SUM($C$3:C307)</f>
        <v>4</v>
      </c>
      <c r="E307" t="e">
        <f t="shared" si="13"/>
        <v>#N/A</v>
      </c>
      <c r="F307" s="28" t="str">
        <f t="shared" ca="1" si="14"/>
        <v/>
      </c>
    </row>
    <row r="308" spans="2:6" x14ac:dyDescent="0.2">
      <c r="B308" t="str">
        <f>IFERROR(IF('PDCA review'!$D$2=Do!B306,Do!G306,""),"")</f>
        <v/>
      </c>
      <c r="C308">
        <f t="shared" si="12"/>
        <v>0</v>
      </c>
      <c r="D308">
        <f>SUM($C$3:C308)</f>
        <v>4</v>
      </c>
      <c r="E308" t="e">
        <f t="shared" si="13"/>
        <v>#N/A</v>
      </c>
      <c r="F308" s="28" t="str">
        <f t="shared" ca="1" si="14"/>
        <v/>
      </c>
    </row>
    <row r="309" spans="2:6" x14ac:dyDescent="0.2">
      <c r="B309" t="str">
        <f>IFERROR(IF('PDCA review'!$D$2=Do!B307,Do!G307,""),"")</f>
        <v/>
      </c>
      <c r="C309">
        <f t="shared" si="12"/>
        <v>0</v>
      </c>
      <c r="D309">
        <f>SUM($C$3:C309)</f>
        <v>4</v>
      </c>
      <c r="E309" t="e">
        <f t="shared" si="13"/>
        <v>#N/A</v>
      </c>
      <c r="F309" s="28" t="str">
        <f t="shared" ca="1" si="14"/>
        <v/>
      </c>
    </row>
    <row r="310" spans="2:6" x14ac:dyDescent="0.2">
      <c r="B310" t="str">
        <f>IFERROR(IF('PDCA review'!$D$2=Do!B308,Do!G308,""),"")</f>
        <v/>
      </c>
      <c r="C310">
        <f t="shared" si="12"/>
        <v>0</v>
      </c>
      <c r="D310">
        <f>SUM($C$3:C310)</f>
        <v>4</v>
      </c>
      <c r="E310" t="e">
        <f t="shared" si="13"/>
        <v>#N/A</v>
      </c>
      <c r="F310" s="28" t="str">
        <f t="shared" ca="1" si="14"/>
        <v/>
      </c>
    </row>
    <row r="311" spans="2:6" x14ac:dyDescent="0.2">
      <c r="B311" t="str">
        <f>IFERROR(IF('PDCA review'!$D$2=Do!B309,Do!G309,""),"")</f>
        <v/>
      </c>
      <c r="C311">
        <f t="shared" si="12"/>
        <v>0</v>
      </c>
      <c r="D311">
        <f>SUM($C$3:C311)</f>
        <v>4</v>
      </c>
      <c r="E311" t="e">
        <f t="shared" si="13"/>
        <v>#N/A</v>
      </c>
      <c r="F311" s="28" t="str">
        <f t="shared" ca="1" si="14"/>
        <v/>
      </c>
    </row>
    <row r="312" spans="2:6" x14ac:dyDescent="0.2">
      <c r="B312" t="str">
        <f>IFERROR(IF('PDCA review'!$D$2=Do!B310,Do!G310,""),"")</f>
        <v/>
      </c>
      <c r="C312">
        <f t="shared" si="12"/>
        <v>0</v>
      </c>
      <c r="D312">
        <f>SUM($C$3:C312)</f>
        <v>4</v>
      </c>
      <c r="E312" t="e">
        <f t="shared" si="13"/>
        <v>#N/A</v>
      </c>
      <c r="F312" s="28" t="str">
        <f t="shared" ca="1" si="14"/>
        <v/>
      </c>
    </row>
    <row r="313" spans="2:6" x14ac:dyDescent="0.2">
      <c r="B313" t="str">
        <f>IFERROR(IF('PDCA review'!$D$2=Do!B311,Do!G311,""),"")</f>
        <v/>
      </c>
      <c r="C313">
        <f t="shared" si="12"/>
        <v>0</v>
      </c>
      <c r="D313">
        <f>SUM($C$3:C313)</f>
        <v>4</v>
      </c>
      <c r="E313" t="e">
        <f t="shared" si="13"/>
        <v>#N/A</v>
      </c>
      <c r="F313" s="28" t="str">
        <f t="shared" ca="1" si="14"/>
        <v/>
      </c>
    </row>
    <row r="314" spans="2:6" x14ac:dyDescent="0.2">
      <c r="B314" t="str">
        <f>IFERROR(IF('PDCA review'!$D$2=Do!B312,Do!G312,""),"")</f>
        <v/>
      </c>
      <c r="C314">
        <f t="shared" si="12"/>
        <v>0</v>
      </c>
      <c r="D314">
        <f>SUM($C$3:C314)</f>
        <v>4</v>
      </c>
      <c r="E314" t="e">
        <f t="shared" si="13"/>
        <v>#N/A</v>
      </c>
      <c r="F314" s="28" t="str">
        <f t="shared" ca="1" si="14"/>
        <v/>
      </c>
    </row>
    <row r="315" spans="2:6" x14ac:dyDescent="0.2">
      <c r="B315" t="str">
        <f>IFERROR(IF('PDCA review'!$D$2=Do!B313,Do!G313,""),"")</f>
        <v/>
      </c>
      <c r="C315">
        <f t="shared" si="12"/>
        <v>0</v>
      </c>
      <c r="D315">
        <f>SUM($C$3:C315)</f>
        <v>4</v>
      </c>
      <c r="E315" t="e">
        <f t="shared" si="13"/>
        <v>#N/A</v>
      </c>
      <c r="F315" s="28" t="str">
        <f t="shared" ca="1" si="14"/>
        <v/>
      </c>
    </row>
    <row r="316" spans="2:6" x14ac:dyDescent="0.2">
      <c r="B316" t="str">
        <f>IFERROR(IF('PDCA review'!$D$2=Do!B314,Do!G314,""),"")</f>
        <v/>
      </c>
      <c r="C316">
        <f t="shared" si="12"/>
        <v>0</v>
      </c>
      <c r="D316">
        <f>SUM($C$3:C316)</f>
        <v>4</v>
      </c>
      <c r="E316" t="e">
        <f t="shared" si="13"/>
        <v>#N/A</v>
      </c>
      <c r="F316" s="28" t="str">
        <f t="shared" ca="1" si="14"/>
        <v/>
      </c>
    </row>
    <row r="317" spans="2:6" x14ac:dyDescent="0.2">
      <c r="B317" t="str">
        <f>IFERROR(IF('PDCA review'!$D$2=Do!B315,Do!G315,""),"")</f>
        <v/>
      </c>
      <c r="C317">
        <f t="shared" si="12"/>
        <v>0</v>
      </c>
      <c r="D317">
        <f>SUM($C$3:C317)</f>
        <v>4</v>
      </c>
      <c r="E317" t="e">
        <f t="shared" si="13"/>
        <v>#N/A</v>
      </c>
      <c r="F317" s="28" t="str">
        <f t="shared" ca="1" si="14"/>
        <v/>
      </c>
    </row>
    <row r="318" spans="2:6" x14ac:dyDescent="0.2">
      <c r="B318" t="str">
        <f>IFERROR(IF('PDCA review'!$D$2=Do!B316,Do!G316,""),"")</f>
        <v/>
      </c>
      <c r="C318">
        <f t="shared" si="12"/>
        <v>0</v>
      </c>
      <c r="D318">
        <f>SUM($C$3:C318)</f>
        <v>4</v>
      </c>
      <c r="E318" t="e">
        <f t="shared" si="13"/>
        <v>#N/A</v>
      </c>
      <c r="F318" s="28" t="str">
        <f t="shared" ca="1" si="14"/>
        <v/>
      </c>
    </row>
    <row r="319" spans="2:6" x14ac:dyDescent="0.2">
      <c r="B319" t="str">
        <f>IFERROR(IF('PDCA review'!$D$2=Do!B317,Do!G317,""),"")</f>
        <v/>
      </c>
      <c r="C319">
        <f t="shared" si="12"/>
        <v>0</v>
      </c>
      <c r="D319">
        <f>SUM($C$3:C319)</f>
        <v>4</v>
      </c>
      <c r="E319" t="e">
        <f t="shared" si="13"/>
        <v>#N/A</v>
      </c>
      <c r="F319" s="28" t="str">
        <f t="shared" ca="1" si="14"/>
        <v/>
      </c>
    </row>
    <row r="320" spans="2:6" x14ac:dyDescent="0.2">
      <c r="B320" t="str">
        <f>IFERROR(IF('PDCA review'!$D$2=Do!B318,Do!G318,""),"")</f>
        <v/>
      </c>
      <c r="C320">
        <f t="shared" si="12"/>
        <v>0</v>
      </c>
      <c r="D320">
        <f>SUM($C$3:C320)</f>
        <v>4</v>
      </c>
      <c r="E320" t="e">
        <f t="shared" si="13"/>
        <v>#N/A</v>
      </c>
      <c r="F320" s="28" t="str">
        <f t="shared" ca="1" si="14"/>
        <v/>
      </c>
    </row>
    <row r="321" spans="2:6" x14ac:dyDescent="0.2">
      <c r="B321" t="str">
        <f>IFERROR(IF('PDCA review'!$D$2=Do!B319,Do!G319,""),"")</f>
        <v/>
      </c>
      <c r="C321">
        <f t="shared" si="12"/>
        <v>0</v>
      </c>
      <c r="D321">
        <f>SUM($C$3:C321)</f>
        <v>4</v>
      </c>
      <c r="E321" t="e">
        <f t="shared" si="13"/>
        <v>#N/A</v>
      </c>
      <c r="F321" s="28" t="str">
        <f t="shared" ca="1" si="14"/>
        <v/>
      </c>
    </row>
    <row r="322" spans="2:6" x14ac:dyDescent="0.2">
      <c r="B322" t="str">
        <f>IFERROR(IF('PDCA review'!$D$2=Do!B320,Do!G320,""),"")</f>
        <v/>
      </c>
      <c r="C322">
        <f t="shared" si="12"/>
        <v>0</v>
      </c>
      <c r="D322">
        <f>SUM($C$3:C322)</f>
        <v>4</v>
      </c>
      <c r="E322" t="e">
        <f t="shared" si="13"/>
        <v>#N/A</v>
      </c>
      <c r="F322" s="28" t="str">
        <f t="shared" ca="1" si="14"/>
        <v/>
      </c>
    </row>
    <row r="323" spans="2:6" x14ac:dyDescent="0.2">
      <c r="B323" t="str">
        <f>IFERROR(IF('PDCA review'!$D$2=Do!B321,Do!G321,""),"")</f>
        <v/>
      </c>
      <c r="C323">
        <f t="shared" si="12"/>
        <v>0</v>
      </c>
      <c r="D323">
        <f>SUM($C$3:C323)</f>
        <v>4</v>
      </c>
      <c r="E323" t="e">
        <f t="shared" si="13"/>
        <v>#N/A</v>
      </c>
      <c r="F323" s="28" t="str">
        <f t="shared" ca="1" si="14"/>
        <v/>
      </c>
    </row>
    <row r="324" spans="2:6" x14ac:dyDescent="0.2">
      <c r="B324" t="str">
        <f>IFERROR(IF('PDCA review'!$D$2=Do!B322,Do!G322,""),"")</f>
        <v/>
      </c>
      <c r="C324">
        <f t="shared" ref="C324:C387" si="15">IF(B324&lt;&gt;"",1,0)</f>
        <v>0</v>
      </c>
      <c r="D324">
        <f>SUM($C$3:C324)</f>
        <v>4</v>
      </c>
      <c r="E324" t="e">
        <f t="shared" ref="E324:E387" si="16">MATCH(ROW()-$D$2,$D$3:$D$2000,0)+$D$2</f>
        <v>#N/A</v>
      </c>
      <c r="F324" s="28" t="str">
        <f t="shared" ref="F324:F387" ca="1" si="17">IFERROR(INDIRECT("B"&amp;E324),"")</f>
        <v/>
      </c>
    </row>
    <row r="325" spans="2:6" x14ac:dyDescent="0.2">
      <c r="B325" t="str">
        <f>IFERROR(IF('PDCA review'!$D$2=Do!B323,Do!G323,""),"")</f>
        <v/>
      </c>
      <c r="C325">
        <f t="shared" si="15"/>
        <v>0</v>
      </c>
      <c r="D325">
        <f>SUM($C$3:C325)</f>
        <v>4</v>
      </c>
      <c r="E325" t="e">
        <f t="shared" si="16"/>
        <v>#N/A</v>
      </c>
      <c r="F325" s="28" t="str">
        <f t="shared" ca="1" si="17"/>
        <v/>
      </c>
    </row>
    <row r="326" spans="2:6" x14ac:dyDescent="0.2">
      <c r="B326" t="str">
        <f>IFERROR(IF('PDCA review'!$D$2=Do!B324,Do!G324,""),"")</f>
        <v/>
      </c>
      <c r="C326">
        <f t="shared" si="15"/>
        <v>0</v>
      </c>
      <c r="D326">
        <f>SUM($C$3:C326)</f>
        <v>4</v>
      </c>
      <c r="E326" t="e">
        <f t="shared" si="16"/>
        <v>#N/A</v>
      </c>
      <c r="F326" s="28" t="str">
        <f t="shared" ca="1" si="17"/>
        <v/>
      </c>
    </row>
    <row r="327" spans="2:6" x14ac:dyDescent="0.2">
      <c r="B327" t="str">
        <f>IFERROR(IF('PDCA review'!$D$2=Do!B325,Do!G325,""),"")</f>
        <v/>
      </c>
      <c r="C327">
        <f t="shared" si="15"/>
        <v>0</v>
      </c>
      <c r="D327">
        <f>SUM($C$3:C327)</f>
        <v>4</v>
      </c>
      <c r="E327" t="e">
        <f t="shared" si="16"/>
        <v>#N/A</v>
      </c>
      <c r="F327" s="28" t="str">
        <f t="shared" ca="1" si="17"/>
        <v/>
      </c>
    </row>
    <row r="328" spans="2:6" x14ac:dyDescent="0.2">
      <c r="B328" t="str">
        <f>IFERROR(IF('PDCA review'!$D$2=Do!B326,Do!G326,""),"")</f>
        <v/>
      </c>
      <c r="C328">
        <f t="shared" si="15"/>
        <v>0</v>
      </c>
      <c r="D328">
        <f>SUM($C$3:C328)</f>
        <v>4</v>
      </c>
      <c r="E328" t="e">
        <f t="shared" si="16"/>
        <v>#N/A</v>
      </c>
      <c r="F328" s="28" t="str">
        <f t="shared" ca="1" si="17"/>
        <v/>
      </c>
    </row>
    <row r="329" spans="2:6" x14ac:dyDescent="0.2">
      <c r="B329" t="str">
        <f>IFERROR(IF('PDCA review'!$D$2=Do!B327,Do!G327,""),"")</f>
        <v/>
      </c>
      <c r="C329">
        <f t="shared" si="15"/>
        <v>0</v>
      </c>
      <c r="D329">
        <f>SUM($C$3:C329)</f>
        <v>4</v>
      </c>
      <c r="E329" t="e">
        <f t="shared" si="16"/>
        <v>#N/A</v>
      </c>
      <c r="F329" s="28" t="str">
        <f t="shared" ca="1" si="17"/>
        <v/>
      </c>
    </row>
    <row r="330" spans="2:6" x14ac:dyDescent="0.2">
      <c r="B330" t="str">
        <f>IFERROR(IF('PDCA review'!$D$2=Do!B328,Do!G328,""),"")</f>
        <v/>
      </c>
      <c r="C330">
        <f t="shared" si="15"/>
        <v>0</v>
      </c>
      <c r="D330">
        <f>SUM($C$3:C330)</f>
        <v>4</v>
      </c>
      <c r="E330" t="e">
        <f t="shared" si="16"/>
        <v>#N/A</v>
      </c>
      <c r="F330" s="28" t="str">
        <f t="shared" ca="1" si="17"/>
        <v/>
      </c>
    </row>
    <row r="331" spans="2:6" x14ac:dyDescent="0.2">
      <c r="B331" t="str">
        <f>IFERROR(IF('PDCA review'!$D$2=Do!B329,Do!G329,""),"")</f>
        <v/>
      </c>
      <c r="C331">
        <f t="shared" si="15"/>
        <v>0</v>
      </c>
      <c r="D331">
        <f>SUM($C$3:C331)</f>
        <v>4</v>
      </c>
      <c r="E331" t="e">
        <f t="shared" si="16"/>
        <v>#N/A</v>
      </c>
      <c r="F331" s="28" t="str">
        <f t="shared" ca="1" si="17"/>
        <v/>
      </c>
    </row>
    <row r="332" spans="2:6" x14ac:dyDescent="0.2">
      <c r="B332" t="str">
        <f>IFERROR(IF('PDCA review'!$D$2=Do!B330,Do!G330,""),"")</f>
        <v/>
      </c>
      <c r="C332">
        <f t="shared" si="15"/>
        <v>0</v>
      </c>
      <c r="D332">
        <f>SUM($C$3:C332)</f>
        <v>4</v>
      </c>
      <c r="E332" t="e">
        <f t="shared" si="16"/>
        <v>#N/A</v>
      </c>
      <c r="F332" s="28" t="str">
        <f t="shared" ca="1" si="17"/>
        <v/>
      </c>
    </row>
    <row r="333" spans="2:6" x14ac:dyDescent="0.2">
      <c r="B333" t="str">
        <f>IFERROR(IF('PDCA review'!$D$2=Do!B331,Do!G331,""),"")</f>
        <v/>
      </c>
      <c r="C333">
        <f t="shared" si="15"/>
        <v>0</v>
      </c>
      <c r="D333">
        <f>SUM($C$3:C333)</f>
        <v>4</v>
      </c>
      <c r="E333" t="e">
        <f t="shared" si="16"/>
        <v>#N/A</v>
      </c>
      <c r="F333" s="28" t="str">
        <f t="shared" ca="1" si="17"/>
        <v/>
      </c>
    </row>
    <row r="334" spans="2:6" x14ac:dyDescent="0.2">
      <c r="B334" t="str">
        <f>IFERROR(IF('PDCA review'!$D$2=Do!B332,Do!G332,""),"")</f>
        <v/>
      </c>
      <c r="C334">
        <f t="shared" si="15"/>
        <v>0</v>
      </c>
      <c r="D334">
        <f>SUM($C$3:C334)</f>
        <v>4</v>
      </c>
      <c r="E334" t="e">
        <f t="shared" si="16"/>
        <v>#N/A</v>
      </c>
      <c r="F334" s="28" t="str">
        <f t="shared" ca="1" si="17"/>
        <v/>
      </c>
    </row>
    <row r="335" spans="2:6" x14ac:dyDescent="0.2">
      <c r="B335" t="str">
        <f>IFERROR(IF('PDCA review'!$D$2=Do!B333,Do!G333,""),"")</f>
        <v/>
      </c>
      <c r="C335">
        <f t="shared" si="15"/>
        <v>0</v>
      </c>
      <c r="D335">
        <f>SUM($C$3:C335)</f>
        <v>4</v>
      </c>
      <c r="E335" t="e">
        <f t="shared" si="16"/>
        <v>#N/A</v>
      </c>
      <c r="F335" s="28" t="str">
        <f t="shared" ca="1" si="17"/>
        <v/>
      </c>
    </row>
    <row r="336" spans="2:6" x14ac:dyDescent="0.2">
      <c r="B336" t="str">
        <f>IFERROR(IF('PDCA review'!$D$2=Do!B334,Do!G334,""),"")</f>
        <v/>
      </c>
      <c r="C336">
        <f t="shared" si="15"/>
        <v>0</v>
      </c>
      <c r="D336">
        <f>SUM($C$3:C336)</f>
        <v>4</v>
      </c>
      <c r="E336" t="e">
        <f t="shared" si="16"/>
        <v>#N/A</v>
      </c>
      <c r="F336" s="28" t="str">
        <f t="shared" ca="1" si="17"/>
        <v/>
      </c>
    </row>
    <row r="337" spans="2:6" x14ac:dyDescent="0.2">
      <c r="B337" t="str">
        <f>IFERROR(IF('PDCA review'!$D$2=Do!B335,Do!G335,""),"")</f>
        <v/>
      </c>
      <c r="C337">
        <f t="shared" si="15"/>
        <v>0</v>
      </c>
      <c r="D337">
        <f>SUM($C$3:C337)</f>
        <v>4</v>
      </c>
      <c r="E337" t="e">
        <f t="shared" si="16"/>
        <v>#N/A</v>
      </c>
      <c r="F337" s="28" t="str">
        <f t="shared" ca="1" si="17"/>
        <v/>
      </c>
    </row>
    <row r="338" spans="2:6" x14ac:dyDescent="0.2">
      <c r="B338" t="str">
        <f>IFERROR(IF('PDCA review'!$D$2=Do!B336,Do!G336,""),"")</f>
        <v/>
      </c>
      <c r="C338">
        <f t="shared" si="15"/>
        <v>0</v>
      </c>
      <c r="D338">
        <f>SUM($C$3:C338)</f>
        <v>4</v>
      </c>
      <c r="E338" t="e">
        <f t="shared" si="16"/>
        <v>#N/A</v>
      </c>
      <c r="F338" s="28" t="str">
        <f t="shared" ca="1" si="17"/>
        <v/>
      </c>
    </row>
    <row r="339" spans="2:6" x14ac:dyDescent="0.2">
      <c r="B339" t="str">
        <f>IFERROR(IF('PDCA review'!$D$2=Do!B337,Do!G337,""),"")</f>
        <v/>
      </c>
      <c r="C339">
        <f t="shared" si="15"/>
        <v>0</v>
      </c>
      <c r="D339">
        <f>SUM($C$3:C339)</f>
        <v>4</v>
      </c>
      <c r="E339" t="e">
        <f t="shared" si="16"/>
        <v>#N/A</v>
      </c>
      <c r="F339" s="28" t="str">
        <f t="shared" ca="1" si="17"/>
        <v/>
      </c>
    </row>
    <row r="340" spans="2:6" x14ac:dyDescent="0.2">
      <c r="B340" t="str">
        <f>IFERROR(IF('PDCA review'!$D$2=Do!B338,Do!G338,""),"")</f>
        <v/>
      </c>
      <c r="C340">
        <f t="shared" si="15"/>
        <v>0</v>
      </c>
      <c r="D340">
        <f>SUM($C$3:C340)</f>
        <v>4</v>
      </c>
      <c r="E340" t="e">
        <f t="shared" si="16"/>
        <v>#N/A</v>
      </c>
      <c r="F340" s="28" t="str">
        <f t="shared" ca="1" si="17"/>
        <v/>
      </c>
    </row>
    <row r="341" spans="2:6" x14ac:dyDescent="0.2">
      <c r="B341" t="str">
        <f>IFERROR(IF('PDCA review'!$D$2=Do!B339,Do!G339,""),"")</f>
        <v/>
      </c>
      <c r="C341">
        <f t="shared" si="15"/>
        <v>0</v>
      </c>
      <c r="D341">
        <f>SUM($C$3:C341)</f>
        <v>4</v>
      </c>
      <c r="E341" t="e">
        <f t="shared" si="16"/>
        <v>#N/A</v>
      </c>
      <c r="F341" s="28" t="str">
        <f t="shared" ca="1" si="17"/>
        <v/>
      </c>
    </row>
    <row r="342" spans="2:6" x14ac:dyDescent="0.2">
      <c r="B342" t="str">
        <f>IFERROR(IF('PDCA review'!$D$2=Do!B340,Do!G340,""),"")</f>
        <v/>
      </c>
      <c r="C342">
        <f t="shared" si="15"/>
        <v>0</v>
      </c>
      <c r="D342">
        <f>SUM($C$3:C342)</f>
        <v>4</v>
      </c>
      <c r="E342" t="e">
        <f t="shared" si="16"/>
        <v>#N/A</v>
      </c>
      <c r="F342" s="28" t="str">
        <f t="shared" ca="1" si="17"/>
        <v/>
      </c>
    </row>
    <row r="343" spans="2:6" x14ac:dyDescent="0.2">
      <c r="B343" t="str">
        <f>IFERROR(IF('PDCA review'!$D$2=Do!B341,Do!G341,""),"")</f>
        <v/>
      </c>
      <c r="C343">
        <f t="shared" si="15"/>
        <v>0</v>
      </c>
      <c r="D343">
        <f>SUM($C$3:C343)</f>
        <v>4</v>
      </c>
      <c r="E343" t="e">
        <f t="shared" si="16"/>
        <v>#N/A</v>
      </c>
      <c r="F343" s="28" t="str">
        <f t="shared" ca="1" si="17"/>
        <v/>
      </c>
    </row>
    <row r="344" spans="2:6" x14ac:dyDescent="0.2">
      <c r="B344" t="str">
        <f>IFERROR(IF('PDCA review'!$D$2=Do!B342,Do!G342,""),"")</f>
        <v/>
      </c>
      <c r="C344">
        <f t="shared" si="15"/>
        <v>0</v>
      </c>
      <c r="D344">
        <f>SUM($C$3:C344)</f>
        <v>4</v>
      </c>
      <c r="E344" t="e">
        <f t="shared" si="16"/>
        <v>#N/A</v>
      </c>
      <c r="F344" s="28" t="str">
        <f t="shared" ca="1" si="17"/>
        <v/>
      </c>
    </row>
    <row r="345" spans="2:6" x14ac:dyDescent="0.2">
      <c r="B345" t="str">
        <f>IFERROR(IF('PDCA review'!$D$2=Do!B343,Do!G343,""),"")</f>
        <v/>
      </c>
      <c r="C345">
        <f t="shared" si="15"/>
        <v>0</v>
      </c>
      <c r="D345">
        <f>SUM($C$3:C345)</f>
        <v>4</v>
      </c>
      <c r="E345" t="e">
        <f t="shared" si="16"/>
        <v>#N/A</v>
      </c>
      <c r="F345" s="28" t="str">
        <f t="shared" ca="1" si="17"/>
        <v/>
      </c>
    </row>
    <row r="346" spans="2:6" x14ac:dyDescent="0.2">
      <c r="B346" t="str">
        <f>IFERROR(IF('PDCA review'!$D$2=Do!B344,Do!G344,""),"")</f>
        <v/>
      </c>
      <c r="C346">
        <f t="shared" si="15"/>
        <v>0</v>
      </c>
      <c r="D346">
        <f>SUM($C$3:C346)</f>
        <v>4</v>
      </c>
      <c r="E346" t="e">
        <f t="shared" si="16"/>
        <v>#N/A</v>
      </c>
      <c r="F346" s="28" t="str">
        <f t="shared" ca="1" si="17"/>
        <v/>
      </c>
    </row>
    <row r="347" spans="2:6" x14ac:dyDescent="0.2">
      <c r="B347" t="str">
        <f>IFERROR(IF('PDCA review'!$D$2=Do!B345,Do!G345,""),"")</f>
        <v/>
      </c>
      <c r="C347">
        <f t="shared" si="15"/>
        <v>0</v>
      </c>
      <c r="D347">
        <f>SUM($C$3:C347)</f>
        <v>4</v>
      </c>
      <c r="E347" t="e">
        <f t="shared" si="16"/>
        <v>#N/A</v>
      </c>
      <c r="F347" s="28" t="str">
        <f t="shared" ca="1" si="17"/>
        <v/>
      </c>
    </row>
    <row r="348" spans="2:6" x14ac:dyDescent="0.2">
      <c r="B348" t="str">
        <f>IFERROR(IF('PDCA review'!$D$2=Do!B346,Do!G346,""),"")</f>
        <v/>
      </c>
      <c r="C348">
        <f t="shared" si="15"/>
        <v>0</v>
      </c>
      <c r="D348">
        <f>SUM($C$3:C348)</f>
        <v>4</v>
      </c>
      <c r="E348" t="e">
        <f t="shared" si="16"/>
        <v>#N/A</v>
      </c>
      <c r="F348" s="28" t="str">
        <f t="shared" ca="1" si="17"/>
        <v/>
      </c>
    </row>
    <row r="349" spans="2:6" x14ac:dyDescent="0.2">
      <c r="B349" t="str">
        <f>IFERROR(IF('PDCA review'!$D$2=Do!B347,Do!G347,""),"")</f>
        <v/>
      </c>
      <c r="C349">
        <f t="shared" si="15"/>
        <v>0</v>
      </c>
      <c r="D349">
        <f>SUM($C$3:C349)</f>
        <v>4</v>
      </c>
      <c r="E349" t="e">
        <f t="shared" si="16"/>
        <v>#N/A</v>
      </c>
      <c r="F349" s="28" t="str">
        <f t="shared" ca="1" si="17"/>
        <v/>
      </c>
    </row>
    <row r="350" spans="2:6" x14ac:dyDescent="0.2">
      <c r="B350" t="str">
        <f>IFERROR(IF('PDCA review'!$D$2=Do!B348,Do!G348,""),"")</f>
        <v/>
      </c>
      <c r="C350">
        <f t="shared" si="15"/>
        <v>0</v>
      </c>
      <c r="D350">
        <f>SUM($C$3:C350)</f>
        <v>4</v>
      </c>
      <c r="E350" t="e">
        <f t="shared" si="16"/>
        <v>#N/A</v>
      </c>
      <c r="F350" s="28" t="str">
        <f t="shared" ca="1" si="17"/>
        <v/>
      </c>
    </row>
    <row r="351" spans="2:6" x14ac:dyDescent="0.2">
      <c r="B351" t="str">
        <f>IFERROR(IF('PDCA review'!$D$2=Do!B349,Do!G349,""),"")</f>
        <v/>
      </c>
      <c r="C351">
        <f t="shared" si="15"/>
        <v>0</v>
      </c>
      <c r="D351">
        <f>SUM($C$3:C351)</f>
        <v>4</v>
      </c>
      <c r="E351" t="e">
        <f t="shared" si="16"/>
        <v>#N/A</v>
      </c>
      <c r="F351" s="28" t="str">
        <f t="shared" ca="1" si="17"/>
        <v/>
      </c>
    </row>
    <row r="352" spans="2:6" x14ac:dyDescent="0.2">
      <c r="B352" t="str">
        <f>IFERROR(IF('PDCA review'!$D$2=Do!B350,Do!G350,""),"")</f>
        <v/>
      </c>
      <c r="C352">
        <f t="shared" si="15"/>
        <v>0</v>
      </c>
      <c r="D352">
        <f>SUM($C$3:C352)</f>
        <v>4</v>
      </c>
      <c r="E352" t="e">
        <f t="shared" si="16"/>
        <v>#N/A</v>
      </c>
      <c r="F352" s="28" t="str">
        <f t="shared" ca="1" si="17"/>
        <v/>
      </c>
    </row>
    <row r="353" spans="2:6" x14ac:dyDescent="0.2">
      <c r="B353" t="str">
        <f>IFERROR(IF('PDCA review'!$D$2=Do!B351,Do!G351,""),"")</f>
        <v/>
      </c>
      <c r="C353">
        <f t="shared" si="15"/>
        <v>0</v>
      </c>
      <c r="D353">
        <f>SUM($C$3:C353)</f>
        <v>4</v>
      </c>
      <c r="E353" t="e">
        <f t="shared" si="16"/>
        <v>#N/A</v>
      </c>
      <c r="F353" s="28" t="str">
        <f t="shared" ca="1" si="17"/>
        <v/>
      </c>
    </row>
    <row r="354" spans="2:6" x14ac:dyDescent="0.2">
      <c r="B354" t="str">
        <f>IFERROR(IF('PDCA review'!$D$2=Do!B352,Do!G352,""),"")</f>
        <v/>
      </c>
      <c r="C354">
        <f t="shared" si="15"/>
        <v>0</v>
      </c>
      <c r="D354">
        <f>SUM($C$3:C354)</f>
        <v>4</v>
      </c>
      <c r="E354" t="e">
        <f t="shared" si="16"/>
        <v>#N/A</v>
      </c>
      <c r="F354" s="28" t="str">
        <f t="shared" ca="1" si="17"/>
        <v/>
      </c>
    </row>
    <row r="355" spans="2:6" x14ac:dyDescent="0.2">
      <c r="B355" t="str">
        <f>IFERROR(IF('PDCA review'!$D$2=Do!B353,Do!G353,""),"")</f>
        <v/>
      </c>
      <c r="C355">
        <f t="shared" si="15"/>
        <v>0</v>
      </c>
      <c r="D355">
        <f>SUM($C$3:C355)</f>
        <v>4</v>
      </c>
      <c r="E355" t="e">
        <f t="shared" si="16"/>
        <v>#N/A</v>
      </c>
      <c r="F355" s="28" t="str">
        <f t="shared" ca="1" si="17"/>
        <v/>
      </c>
    </row>
    <row r="356" spans="2:6" x14ac:dyDescent="0.2">
      <c r="B356" t="str">
        <f>IFERROR(IF('PDCA review'!$D$2=Do!B354,Do!G354,""),"")</f>
        <v/>
      </c>
      <c r="C356">
        <f t="shared" si="15"/>
        <v>0</v>
      </c>
      <c r="D356">
        <f>SUM($C$3:C356)</f>
        <v>4</v>
      </c>
      <c r="E356" t="e">
        <f t="shared" si="16"/>
        <v>#N/A</v>
      </c>
      <c r="F356" s="28" t="str">
        <f t="shared" ca="1" si="17"/>
        <v/>
      </c>
    </row>
    <row r="357" spans="2:6" x14ac:dyDescent="0.2">
      <c r="B357" t="str">
        <f>IFERROR(IF('PDCA review'!$D$2=Do!B355,Do!G355,""),"")</f>
        <v/>
      </c>
      <c r="C357">
        <f t="shared" si="15"/>
        <v>0</v>
      </c>
      <c r="D357">
        <f>SUM($C$3:C357)</f>
        <v>4</v>
      </c>
      <c r="E357" t="e">
        <f t="shared" si="16"/>
        <v>#N/A</v>
      </c>
      <c r="F357" s="28" t="str">
        <f t="shared" ca="1" si="17"/>
        <v/>
      </c>
    </row>
    <row r="358" spans="2:6" x14ac:dyDescent="0.2">
      <c r="B358" t="str">
        <f>IFERROR(IF('PDCA review'!$D$2=Do!B356,Do!G356,""),"")</f>
        <v/>
      </c>
      <c r="C358">
        <f t="shared" si="15"/>
        <v>0</v>
      </c>
      <c r="D358">
        <f>SUM($C$3:C358)</f>
        <v>4</v>
      </c>
      <c r="E358" t="e">
        <f t="shared" si="16"/>
        <v>#N/A</v>
      </c>
      <c r="F358" s="28" t="str">
        <f t="shared" ca="1" si="17"/>
        <v/>
      </c>
    </row>
    <row r="359" spans="2:6" x14ac:dyDescent="0.2">
      <c r="B359" t="str">
        <f>IFERROR(IF('PDCA review'!$D$2=Do!B357,Do!G357,""),"")</f>
        <v/>
      </c>
      <c r="C359">
        <f t="shared" si="15"/>
        <v>0</v>
      </c>
      <c r="D359">
        <f>SUM($C$3:C359)</f>
        <v>4</v>
      </c>
      <c r="E359" t="e">
        <f t="shared" si="16"/>
        <v>#N/A</v>
      </c>
      <c r="F359" s="28" t="str">
        <f t="shared" ca="1" si="17"/>
        <v/>
      </c>
    </row>
    <row r="360" spans="2:6" x14ac:dyDescent="0.2">
      <c r="B360" t="str">
        <f>IFERROR(IF('PDCA review'!$D$2=Do!B358,Do!G358,""),"")</f>
        <v/>
      </c>
      <c r="C360">
        <f t="shared" si="15"/>
        <v>0</v>
      </c>
      <c r="D360">
        <f>SUM($C$3:C360)</f>
        <v>4</v>
      </c>
      <c r="E360" t="e">
        <f t="shared" si="16"/>
        <v>#N/A</v>
      </c>
      <c r="F360" s="28" t="str">
        <f t="shared" ca="1" si="17"/>
        <v/>
      </c>
    </row>
    <row r="361" spans="2:6" x14ac:dyDescent="0.2">
      <c r="B361" t="str">
        <f>IFERROR(IF('PDCA review'!$D$2=Do!B359,Do!G359,""),"")</f>
        <v/>
      </c>
      <c r="C361">
        <f t="shared" si="15"/>
        <v>0</v>
      </c>
      <c r="D361">
        <f>SUM($C$3:C361)</f>
        <v>4</v>
      </c>
      <c r="E361" t="e">
        <f t="shared" si="16"/>
        <v>#N/A</v>
      </c>
      <c r="F361" s="28" t="str">
        <f t="shared" ca="1" si="17"/>
        <v/>
      </c>
    </row>
    <row r="362" spans="2:6" x14ac:dyDescent="0.2">
      <c r="B362" t="str">
        <f>IFERROR(IF('PDCA review'!$D$2=Do!B360,Do!G360,""),"")</f>
        <v/>
      </c>
      <c r="C362">
        <f t="shared" si="15"/>
        <v>0</v>
      </c>
      <c r="D362">
        <f>SUM($C$3:C362)</f>
        <v>4</v>
      </c>
      <c r="E362" t="e">
        <f t="shared" si="16"/>
        <v>#N/A</v>
      </c>
      <c r="F362" s="28" t="str">
        <f t="shared" ca="1" si="17"/>
        <v/>
      </c>
    </row>
    <row r="363" spans="2:6" x14ac:dyDescent="0.2">
      <c r="B363" t="str">
        <f>IFERROR(IF('PDCA review'!$D$2=Do!B361,Do!G361,""),"")</f>
        <v/>
      </c>
      <c r="C363">
        <f t="shared" si="15"/>
        <v>0</v>
      </c>
      <c r="D363">
        <f>SUM($C$3:C363)</f>
        <v>4</v>
      </c>
      <c r="E363" t="e">
        <f t="shared" si="16"/>
        <v>#N/A</v>
      </c>
      <c r="F363" s="28" t="str">
        <f t="shared" ca="1" si="17"/>
        <v/>
      </c>
    </row>
    <row r="364" spans="2:6" x14ac:dyDescent="0.2">
      <c r="B364" t="str">
        <f>IFERROR(IF('PDCA review'!$D$2=Do!B362,Do!G362,""),"")</f>
        <v/>
      </c>
      <c r="C364">
        <f t="shared" si="15"/>
        <v>0</v>
      </c>
      <c r="D364">
        <f>SUM($C$3:C364)</f>
        <v>4</v>
      </c>
      <c r="E364" t="e">
        <f t="shared" si="16"/>
        <v>#N/A</v>
      </c>
      <c r="F364" s="28" t="str">
        <f t="shared" ca="1" si="17"/>
        <v/>
      </c>
    </row>
    <row r="365" spans="2:6" x14ac:dyDescent="0.2">
      <c r="B365" t="str">
        <f>IFERROR(IF('PDCA review'!$D$2=Do!B363,Do!G363,""),"")</f>
        <v/>
      </c>
      <c r="C365">
        <f t="shared" si="15"/>
        <v>0</v>
      </c>
      <c r="D365">
        <f>SUM($C$3:C365)</f>
        <v>4</v>
      </c>
      <c r="E365" t="e">
        <f t="shared" si="16"/>
        <v>#N/A</v>
      </c>
      <c r="F365" s="28" t="str">
        <f t="shared" ca="1" si="17"/>
        <v/>
      </c>
    </row>
    <row r="366" spans="2:6" x14ac:dyDescent="0.2">
      <c r="B366" t="str">
        <f>IFERROR(IF('PDCA review'!$D$2=Do!B364,Do!G364,""),"")</f>
        <v/>
      </c>
      <c r="C366">
        <f t="shared" si="15"/>
        <v>0</v>
      </c>
      <c r="D366">
        <f>SUM($C$3:C366)</f>
        <v>4</v>
      </c>
      <c r="E366" t="e">
        <f t="shared" si="16"/>
        <v>#N/A</v>
      </c>
      <c r="F366" s="28" t="str">
        <f t="shared" ca="1" si="17"/>
        <v/>
      </c>
    </row>
    <row r="367" spans="2:6" x14ac:dyDescent="0.2">
      <c r="B367" t="str">
        <f>IFERROR(IF('PDCA review'!$D$2=Do!B365,Do!G365,""),"")</f>
        <v/>
      </c>
      <c r="C367">
        <f t="shared" si="15"/>
        <v>0</v>
      </c>
      <c r="D367">
        <f>SUM($C$3:C367)</f>
        <v>4</v>
      </c>
      <c r="E367" t="e">
        <f t="shared" si="16"/>
        <v>#N/A</v>
      </c>
      <c r="F367" s="28" t="str">
        <f t="shared" ca="1" si="17"/>
        <v/>
      </c>
    </row>
    <row r="368" spans="2:6" x14ac:dyDescent="0.2">
      <c r="B368" t="str">
        <f>IFERROR(IF('PDCA review'!$D$2=Do!B366,Do!G366,""),"")</f>
        <v/>
      </c>
      <c r="C368">
        <f t="shared" si="15"/>
        <v>0</v>
      </c>
      <c r="D368">
        <f>SUM($C$3:C368)</f>
        <v>4</v>
      </c>
      <c r="E368" t="e">
        <f t="shared" si="16"/>
        <v>#N/A</v>
      </c>
      <c r="F368" s="28" t="str">
        <f t="shared" ca="1" si="17"/>
        <v/>
      </c>
    </row>
    <row r="369" spans="2:6" x14ac:dyDescent="0.2">
      <c r="B369" t="str">
        <f>IFERROR(IF('PDCA review'!$D$2=Do!B367,Do!G367,""),"")</f>
        <v/>
      </c>
      <c r="C369">
        <f t="shared" si="15"/>
        <v>0</v>
      </c>
      <c r="D369">
        <f>SUM($C$3:C369)</f>
        <v>4</v>
      </c>
      <c r="E369" t="e">
        <f t="shared" si="16"/>
        <v>#N/A</v>
      </c>
      <c r="F369" s="28" t="str">
        <f t="shared" ca="1" si="17"/>
        <v/>
      </c>
    </row>
    <row r="370" spans="2:6" x14ac:dyDescent="0.2">
      <c r="B370" t="str">
        <f>IFERROR(IF('PDCA review'!$D$2=Do!B368,Do!G368,""),"")</f>
        <v/>
      </c>
      <c r="C370">
        <f t="shared" si="15"/>
        <v>0</v>
      </c>
      <c r="D370">
        <f>SUM($C$3:C370)</f>
        <v>4</v>
      </c>
      <c r="E370" t="e">
        <f t="shared" si="16"/>
        <v>#N/A</v>
      </c>
      <c r="F370" s="28" t="str">
        <f t="shared" ca="1" si="17"/>
        <v/>
      </c>
    </row>
    <row r="371" spans="2:6" x14ac:dyDescent="0.2">
      <c r="B371" t="str">
        <f>IFERROR(IF('PDCA review'!$D$2=Do!B369,Do!G369,""),"")</f>
        <v/>
      </c>
      <c r="C371">
        <f t="shared" si="15"/>
        <v>0</v>
      </c>
      <c r="D371">
        <f>SUM($C$3:C371)</f>
        <v>4</v>
      </c>
      <c r="E371" t="e">
        <f t="shared" si="16"/>
        <v>#N/A</v>
      </c>
      <c r="F371" s="28" t="str">
        <f t="shared" ca="1" si="17"/>
        <v/>
      </c>
    </row>
    <row r="372" spans="2:6" x14ac:dyDescent="0.2">
      <c r="B372" t="str">
        <f>IFERROR(IF('PDCA review'!$D$2=Do!B370,Do!G370,""),"")</f>
        <v/>
      </c>
      <c r="C372">
        <f t="shared" si="15"/>
        <v>0</v>
      </c>
      <c r="D372">
        <f>SUM($C$3:C372)</f>
        <v>4</v>
      </c>
      <c r="E372" t="e">
        <f t="shared" si="16"/>
        <v>#N/A</v>
      </c>
      <c r="F372" s="28" t="str">
        <f t="shared" ca="1" si="17"/>
        <v/>
      </c>
    </row>
    <row r="373" spans="2:6" x14ac:dyDescent="0.2">
      <c r="B373" t="str">
        <f>IFERROR(IF('PDCA review'!$D$2=Do!B371,Do!G371,""),"")</f>
        <v/>
      </c>
      <c r="C373">
        <f t="shared" si="15"/>
        <v>0</v>
      </c>
      <c r="D373">
        <f>SUM($C$3:C373)</f>
        <v>4</v>
      </c>
      <c r="E373" t="e">
        <f t="shared" si="16"/>
        <v>#N/A</v>
      </c>
      <c r="F373" s="28" t="str">
        <f t="shared" ca="1" si="17"/>
        <v/>
      </c>
    </row>
    <row r="374" spans="2:6" x14ac:dyDescent="0.2">
      <c r="B374" t="str">
        <f>IFERROR(IF('PDCA review'!$D$2=Do!B372,Do!G372,""),"")</f>
        <v/>
      </c>
      <c r="C374">
        <f t="shared" si="15"/>
        <v>0</v>
      </c>
      <c r="D374">
        <f>SUM($C$3:C374)</f>
        <v>4</v>
      </c>
      <c r="E374" t="e">
        <f t="shared" si="16"/>
        <v>#N/A</v>
      </c>
      <c r="F374" s="28" t="str">
        <f t="shared" ca="1" si="17"/>
        <v/>
      </c>
    </row>
    <row r="375" spans="2:6" x14ac:dyDescent="0.2">
      <c r="B375" t="str">
        <f>IFERROR(IF('PDCA review'!$D$2=Do!B373,Do!G373,""),"")</f>
        <v/>
      </c>
      <c r="C375">
        <f t="shared" si="15"/>
        <v>0</v>
      </c>
      <c r="D375">
        <f>SUM($C$3:C375)</f>
        <v>4</v>
      </c>
      <c r="E375" t="e">
        <f t="shared" si="16"/>
        <v>#N/A</v>
      </c>
      <c r="F375" s="28" t="str">
        <f t="shared" ca="1" si="17"/>
        <v/>
      </c>
    </row>
    <row r="376" spans="2:6" x14ac:dyDescent="0.2">
      <c r="B376" t="str">
        <f>IFERROR(IF('PDCA review'!$D$2=Do!B374,Do!G374,""),"")</f>
        <v/>
      </c>
      <c r="C376">
        <f t="shared" si="15"/>
        <v>0</v>
      </c>
      <c r="D376">
        <f>SUM($C$3:C376)</f>
        <v>4</v>
      </c>
      <c r="E376" t="e">
        <f t="shared" si="16"/>
        <v>#N/A</v>
      </c>
      <c r="F376" s="28" t="str">
        <f t="shared" ca="1" si="17"/>
        <v/>
      </c>
    </row>
    <row r="377" spans="2:6" x14ac:dyDescent="0.2">
      <c r="B377" t="str">
        <f>IFERROR(IF('PDCA review'!$D$2=Do!B375,Do!G375,""),"")</f>
        <v/>
      </c>
      <c r="C377">
        <f t="shared" si="15"/>
        <v>0</v>
      </c>
      <c r="D377">
        <f>SUM($C$3:C377)</f>
        <v>4</v>
      </c>
      <c r="E377" t="e">
        <f t="shared" si="16"/>
        <v>#N/A</v>
      </c>
      <c r="F377" s="28" t="str">
        <f t="shared" ca="1" si="17"/>
        <v/>
      </c>
    </row>
    <row r="378" spans="2:6" x14ac:dyDescent="0.2">
      <c r="B378" t="str">
        <f>IFERROR(IF('PDCA review'!$D$2=Do!B376,Do!G376,""),"")</f>
        <v/>
      </c>
      <c r="C378">
        <f t="shared" si="15"/>
        <v>0</v>
      </c>
      <c r="D378">
        <f>SUM($C$3:C378)</f>
        <v>4</v>
      </c>
      <c r="E378" t="e">
        <f t="shared" si="16"/>
        <v>#N/A</v>
      </c>
      <c r="F378" s="28" t="str">
        <f t="shared" ca="1" si="17"/>
        <v/>
      </c>
    </row>
    <row r="379" spans="2:6" x14ac:dyDescent="0.2">
      <c r="B379" t="str">
        <f>IFERROR(IF('PDCA review'!$D$2=Do!B377,Do!G377,""),"")</f>
        <v/>
      </c>
      <c r="C379">
        <f t="shared" si="15"/>
        <v>0</v>
      </c>
      <c r="D379">
        <f>SUM($C$3:C379)</f>
        <v>4</v>
      </c>
      <c r="E379" t="e">
        <f t="shared" si="16"/>
        <v>#N/A</v>
      </c>
      <c r="F379" s="28" t="str">
        <f t="shared" ca="1" si="17"/>
        <v/>
      </c>
    </row>
    <row r="380" spans="2:6" x14ac:dyDescent="0.2">
      <c r="B380" t="str">
        <f>IFERROR(IF('PDCA review'!$D$2=Do!B378,Do!G378,""),"")</f>
        <v/>
      </c>
      <c r="C380">
        <f t="shared" si="15"/>
        <v>0</v>
      </c>
      <c r="D380">
        <f>SUM($C$3:C380)</f>
        <v>4</v>
      </c>
      <c r="E380" t="e">
        <f t="shared" si="16"/>
        <v>#N/A</v>
      </c>
      <c r="F380" s="28" t="str">
        <f t="shared" ca="1" si="17"/>
        <v/>
      </c>
    </row>
    <row r="381" spans="2:6" x14ac:dyDescent="0.2">
      <c r="B381" t="str">
        <f>IFERROR(IF('PDCA review'!$D$2=Do!B379,Do!G379,""),"")</f>
        <v/>
      </c>
      <c r="C381">
        <f t="shared" si="15"/>
        <v>0</v>
      </c>
      <c r="D381">
        <f>SUM($C$3:C381)</f>
        <v>4</v>
      </c>
      <c r="E381" t="e">
        <f t="shared" si="16"/>
        <v>#N/A</v>
      </c>
      <c r="F381" s="28" t="str">
        <f t="shared" ca="1" si="17"/>
        <v/>
      </c>
    </row>
    <row r="382" spans="2:6" x14ac:dyDescent="0.2">
      <c r="B382" t="str">
        <f>IFERROR(IF('PDCA review'!$D$2=Do!B380,Do!G380,""),"")</f>
        <v/>
      </c>
      <c r="C382">
        <f t="shared" si="15"/>
        <v>0</v>
      </c>
      <c r="D382">
        <f>SUM($C$3:C382)</f>
        <v>4</v>
      </c>
      <c r="E382" t="e">
        <f t="shared" si="16"/>
        <v>#N/A</v>
      </c>
      <c r="F382" s="28" t="str">
        <f t="shared" ca="1" si="17"/>
        <v/>
      </c>
    </row>
    <row r="383" spans="2:6" x14ac:dyDescent="0.2">
      <c r="B383" t="str">
        <f>IFERROR(IF('PDCA review'!$D$2=Do!B381,Do!G381,""),"")</f>
        <v/>
      </c>
      <c r="C383">
        <f t="shared" si="15"/>
        <v>0</v>
      </c>
      <c r="D383">
        <f>SUM($C$3:C383)</f>
        <v>4</v>
      </c>
      <c r="E383" t="e">
        <f t="shared" si="16"/>
        <v>#N/A</v>
      </c>
      <c r="F383" s="28" t="str">
        <f t="shared" ca="1" si="17"/>
        <v/>
      </c>
    </row>
    <row r="384" spans="2:6" x14ac:dyDescent="0.2">
      <c r="B384" t="str">
        <f>IFERROR(IF('PDCA review'!$D$2=Do!B382,Do!G382,""),"")</f>
        <v/>
      </c>
      <c r="C384">
        <f t="shared" si="15"/>
        <v>0</v>
      </c>
      <c r="D384">
        <f>SUM($C$3:C384)</f>
        <v>4</v>
      </c>
      <c r="E384" t="e">
        <f t="shared" si="16"/>
        <v>#N/A</v>
      </c>
      <c r="F384" s="28" t="str">
        <f t="shared" ca="1" si="17"/>
        <v/>
      </c>
    </row>
    <row r="385" spans="2:6" x14ac:dyDescent="0.2">
      <c r="B385" t="str">
        <f>IFERROR(IF('PDCA review'!$D$2=Do!B383,Do!G383,""),"")</f>
        <v/>
      </c>
      <c r="C385">
        <f t="shared" si="15"/>
        <v>0</v>
      </c>
      <c r="D385">
        <f>SUM($C$3:C385)</f>
        <v>4</v>
      </c>
      <c r="E385" t="e">
        <f t="shared" si="16"/>
        <v>#N/A</v>
      </c>
      <c r="F385" s="28" t="str">
        <f t="shared" ca="1" si="17"/>
        <v/>
      </c>
    </row>
    <row r="386" spans="2:6" x14ac:dyDescent="0.2">
      <c r="B386" t="str">
        <f>IFERROR(IF('PDCA review'!$D$2=Do!B384,Do!G384,""),"")</f>
        <v/>
      </c>
      <c r="C386">
        <f t="shared" si="15"/>
        <v>0</v>
      </c>
      <c r="D386">
        <f>SUM($C$3:C386)</f>
        <v>4</v>
      </c>
      <c r="E386" t="e">
        <f t="shared" si="16"/>
        <v>#N/A</v>
      </c>
      <c r="F386" s="28" t="str">
        <f t="shared" ca="1" si="17"/>
        <v/>
      </c>
    </row>
    <row r="387" spans="2:6" x14ac:dyDescent="0.2">
      <c r="B387" t="str">
        <f>IFERROR(IF('PDCA review'!$D$2=Do!B385,Do!G385,""),"")</f>
        <v/>
      </c>
      <c r="C387">
        <f t="shared" si="15"/>
        <v>0</v>
      </c>
      <c r="D387">
        <f>SUM($C$3:C387)</f>
        <v>4</v>
      </c>
      <c r="E387" t="e">
        <f t="shared" si="16"/>
        <v>#N/A</v>
      </c>
      <c r="F387" s="28" t="str">
        <f t="shared" ca="1" si="17"/>
        <v/>
      </c>
    </row>
    <row r="388" spans="2:6" x14ac:dyDescent="0.2">
      <c r="B388" t="str">
        <f>IFERROR(IF('PDCA review'!$D$2=Do!B386,Do!G386,""),"")</f>
        <v/>
      </c>
      <c r="C388">
        <f t="shared" ref="C388:C451" si="18">IF(B388&lt;&gt;"",1,0)</f>
        <v>0</v>
      </c>
      <c r="D388">
        <f>SUM($C$3:C388)</f>
        <v>4</v>
      </c>
      <c r="E388" t="e">
        <f t="shared" ref="E388:E451" si="19">MATCH(ROW()-$D$2,$D$3:$D$2000,0)+$D$2</f>
        <v>#N/A</v>
      </c>
      <c r="F388" s="28" t="str">
        <f t="shared" ref="F388:F451" ca="1" si="20">IFERROR(INDIRECT("B"&amp;E388),"")</f>
        <v/>
      </c>
    </row>
    <row r="389" spans="2:6" x14ac:dyDescent="0.2">
      <c r="B389" t="str">
        <f>IFERROR(IF('PDCA review'!$D$2=Do!B387,Do!G387,""),"")</f>
        <v/>
      </c>
      <c r="C389">
        <f t="shared" si="18"/>
        <v>0</v>
      </c>
      <c r="D389">
        <f>SUM($C$3:C389)</f>
        <v>4</v>
      </c>
      <c r="E389" t="e">
        <f t="shared" si="19"/>
        <v>#N/A</v>
      </c>
      <c r="F389" s="28" t="str">
        <f t="shared" ca="1" si="20"/>
        <v/>
      </c>
    </row>
    <row r="390" spans="2:6" x14ac:dyDescent="0.2">
      <c r="B390" t="str">
        <f>IFERROR(IF('PDCA review'!$D$2=Do!B388,Do!G388,""),"")</f>
        <v/>
      </c>
      <c r="C390">
        <f t="shared" si="18"/>
        <v>0</v>
      </c>
      <c r="D390">
        <f>SUM($C$3:C390)</f>
        <v>4</v>
      </c>
      <c r="E390" t="e">
        <f t="shared" si="19"/>
        <v>#N/A</v>
      </c>
      <c r="F390" s="28" t="str">
        <f t="shared" ca="1" si="20"/>
        <v/>
      </c>
    </row>
    <row r="391" spans="2:6" x14ac:dyDescent="0.2">
      <c r="B391" t="str">
        <f>IFERROR(IF('PDCA review'!$D$2=Do!B389,Do!G389,""),"")</f>
        <v/>
      </c>
      <c r="C391">
        <f t="shared" si="18"/>
        <v>0</v>
      </c>
      <c r="D391">
        <f>SUM($C$3:C391)</f>
        <v>4</v>
      </c>
      <c r="E391" t="e">
        <f t="shared" si="19"/>
        <v>#N/A</v>
      </c>
      <c r="F391" s="28" t="str">
        <f t="shared" ca="1" si="20"/>
        <v/>
      </c>
    </row>
    <row r="392" spans="2:6" x14ac:dyDescent="0.2">
      <c r="B392" t="str">
        <f>IFERROR(IF('PDCA review'!$D$2=Do!B390,Do!G390,""),"")</f>
        <v/>
      </c>
      <c r="C392">
        <f t="shared" si="18"/>
        <v>0</v>
      </c>
      <c r="D392">
        <f>SUM($C$3:C392)</f>
        <v>4</v>
      </c>
      <c r="E392" t="e">
        <f t="shared" si="19"/>
        <v>#N/A</v>
      </c>
      <c r="F392" s="28" t="str">
        <f t="shared" ca="1" si="20"/>
        <v/>
      </c>
    </row>
    <row r="393" spans="2:6" x14ac:dyDescent="0.2">
      <c r="B393" t="str">
        <f>IFERROR(IF('PDCA review'!$D$2=Do!B391,Do!G391,""),"")</f>
        <v/>
      </c>
      <c r="C393">
        <f t="shared" si="18"/>
        <v>0</v>
      </c>
      <c r="D393">
        <f>SUM($C$3:C393)</f>
        <v>4</v>
      </c>
      <c r="E393" t="e">
        <f t="shared" si="19"/>
        <v>#N/A</v>
      </c>
      <c r="F393" s="28" t="str">
        <f t="shared" ca="1" si="20"/>
        <v/>
      </c>
    </row>
    <row r="394" spans="2:6" x14ac:dyDescent="0.2">
      <c r="B394" t="str">
        <f>IFERROR(IF('PDCA review'!$D$2=Do!B392,Do!G392,""),"")</f>
        <v/>
      </c>
      <c r="C394">
        <f t="shared" si="18"/>
        <v>0</v>
      </c>
      <c r="D394">
        <f>SUM($C$3:C394)</f>
        <v>4</v>
      </c>
      <c r="E394" t="e">
        <f t="shared" si="19"/>
        <v>#N/A</v>
      </c>
      <c r="F394" s="28" t="str">
        <f t="shared" ca="1" si="20"/>
        <v/>
      </c>
    </row>
    <row r="395" spans="2:6" x14ac:dyDescent="0.2">
      <c r="B395" t="str">
        <f>IFERROR(IF('PDCA review'!$D$2=Do!B393,Do!G393,""),"")</f>
        <v/>
      </c>
      <c r="C395">
        <f t="shared" si="18"/>
        <v>0</v>
      </c>
      <c r="D395">
        <f>SUM($C$3:C395)</f>
        <v>4</v>
      </c>
      <c r="E395" t="e">
        <f t="shared" si="19"/>
        <v>#N/A</v>
      </c>
      <c r="F395" s="28" t="str">
        <f t="shared" ca="1" si="20"/>
        <v/>
      </c>
    </row>
    <row r="396" spans="2:6" x14ac:dyDescent="0.2">
      <c r="B396" t="str">
        <f>IFERROR(IF('PDCA review'!$D$2=Do!B394,Do!G394,""),"")</f>
        <v/>
      </c>
      <c r="C396">
        <f t="shared" si="18"/>
        <v>0</v>
      </c>
      <c r="D396">
        <f>SUM($C$3:C396)</f>
        <v>4</v>
      </c>
      <c r="E396" t="e">
        <f t="shared" si="19"/>
        <v>#N/A</v>
      </c>
      <c r="F396" s="28" t="str">
        <f t="shared" ca="1" si="20"/>
        <v/>
      </c>
    </row>
    <row r="397" spans="2:6" x14ac:dyDescent="0.2">
      <c r="B397" t="str">
        <f>IFERROR(IF('PDCA review'!$D$2=Do!B395,Do!G395,""),"")</f>
        <v/>
      </c>
      <c r="C397">
        <f t="shared" si="18"/>
        <v>0</v>
      </c>
      <c r="D397">
        <f>SUM($C$3:C397)</f>
        <v>4</v>
      </c>
      <c r="E397" t="e">
        <f t="shared" si="19"/>
        <v>#N/A</v>
      </c>
      <c r="F397" s="28" t="str">
        <f t="shared" ca="1" si="20"/>
        <v/>
      </c>
    </row>
    <row r="398" spans="2:6" x14ac:dyDescent="0.2">
      <c r="B398" t="str">
        <f>IFERROR(IF('PDCA review'!$D$2=Do!B396,Do!G396,""),"")</f>
        <v/>
      </c>
      <c r="C398">
        <f t="shared" si="18"/>
        <v>0</v>
      </c>
      <c r="D398">
        <f>SUM($C$3:C398)</f>
        <v>4</v>
      </c>
      <c r="E398" t="e">
        <f t="shared" si="19"/>
        <v>#N/A</v>
      </c>
      <c r="F398" s="28" t="str">
        <f t="shared" ca="1" si="20"/>
        <v/>
      </c>
    </row>
    <row r="399" spans="2:6" x14ac:dyDescent="0.2">
      <c r="B399" t="str">
        <f>IFERROR(IF('PDCA review'!$D$2=Do!B397,Do!G397,""),"")</f>
        <v/>
      </c>
      <c r="C399">
        <f t="shared" si="18"/>
        <v>0</v>
      </c>
      <c r="D399">
        <f>SUM($C$3:C399)</f>
        <v>4</v>
      </c>
      <c r="E399" t="e">
        <f t="shared" si="19"/>
        <v>#N/A</v>
      </c>
      <c r="F399" s="28" t="str">
        <f t="shared" ca="1" si="20"/>
        <v/>
      </c>
    </row>
    <row r="400" spans="2:6" x14ac:dyDescent="0.2">
      <c r="B400" t="str">
        <f>IFERROR(IF('PDCA review'!$D$2=Do!B398,Do!G398,""),"")</f>
        <v/>
      </c>
      <c r="C400">
        <f t="shared" si="18"/>
        <v>0</v>
      </c>
      <c r="D400">
        <f>SUM($C$3:C400)</f>
        <v>4</v>
      </c>
      <c r="E400" t="e">
        <f t="shared" si="19"/>
        <v>#N/A</v>
      </c>
      <c r="F400" s="28" t="str">
        <f t="shared" ca="1" si="20"/>
        <v/>
      </c>
    </row>
    <row r="401" spans="2:6" x14ac:dyDescent="0.2">
      <c r="B401" t="str">
        <f>IFERROR(IF('PDCA review'!$D$2=Do!B399,Do!G399,""),"")</f>
        <v/>
      </c>
      <c r="C401">
        <f t="shared" si="18"/>
        <v>0</v>
      </c>
      <c r="D401">
        <f>SUM($C$3:C401)</f>
        <v>4</v>
      </c>
      <c r="E401" t="e">
        <f t="shared" si="19"/>
        <v>#N/A</v>
      </c>
      <c r="F401" s="28" t="str">
        <f t="shared" ca="1" si="20"/>
        <v/>
      </c>
    </row>
    <row r="402" spans="2:6" x14ac:dyDescent="0.2">
      <c r="B402" t="str">
        <f>IFERROR(IF('PDCA review'!$D$2=Do!B400,Do!G400,""),"")</f>
        <v/>
      </c>
      <c r="C402">
        <f t="shared" si="18"/>
        <v>0</v>
      </c>
      <c r="D402">
        <f>SUM($C$3:C402)</f>
        <v>4</v>
      </c>
      <c r="E402" t="e">
        <f t="shared" si="19"/>
        <v>#N/A</v>
      </c>
      <c r="F402" s="28" t="str">
        <f t="shared" ca="1" si="20"/>
        <v/>
      </c>
    </row>
    <row r="403" spans="2:6" x14ac:dyDescent="0.2">
      <c r="B403" t="str">
        <f>IFERROR(IF('PDCA review'!$D$2=Do!B401,Do!G401,""),"")</f>
        <v/>
      </c>
      <c r="C403">
        <f t="shared" si="18"/>
        <v>0</v>
      </c>
      <c r="D403">
        <f>SUM($C$3:C403)</f>
        <v>4</v>
      </c>
      <c r="E403" t="e">
        <f t="shared" si="19"/>
        <v>#N/A</v>
      </c>
      <c r="F403" s="28" t="str">
        <f t="shared" ca="1" si="20"/>
        <v/>
      </c>
    </row>
    <row r="404" spans="2:6" x14ac:dyDescent="0.2">
      <c r="B404" t="str">
        <f>IFERROR(IF('PDCA review'!$D$2=Do!B402,Do!G402,""),"")</f>
        <v/>
      </c>
      <c r="C404">
        <f t="shared" si="18"/>
        <v>0</v>
      </c>
      <c r="D404">
        <f>SUM($C$3:C404)</f>
        <v>4</v>
      </c>
      <c r="E404" t="e">
        <f t="shared" si="19"/>
        <v>#N/A</v>
      </c>
      <c r="F404" s="28" t="str">
        <f t="shared" ca="1" si="20"/>
        <v/>
      </c>
    </row>
    <row r="405" spans="2:6" x14ac:dyDescent="0.2">
      <c r="B405" t="str">
        <f>IFERROR(IF('PDCA review'!$D$2=Do!B403,Do!G403,""),"")</f>
        <v/>
      </c>
      <c r="C405">
        <f t="shared" si="18"/>
        <v>0</v>
      </c>
      <c r="D405">
        <f>SUM($C$3:C405)</f>
        <v>4</v>
      </c>
      <c r="E405" t="e">
        <f t="shared" si="19"/>
        <v>#N/A</v>
      </c>
      <c r="F405" s="28" t="str">
        <f t="shared" ca="1" si="20"/>
        <v/>
      </c>
    </row>
    <row r="406" spans="2:6" x14ac:dyDescent="0.2">
      <c r="B406" t="str">
        <f>IFERROR(IF('PDCA review'!$D$2=Do!B404,Do!G404,""),"")</f>
        <v/>
      </c>
      <c r="C406">
        <f t="shared" si="18"/>
        <v>0</v>
      </c>
      <c r="D406">
        <f>SUM($C$3:C406)</f>
        <v>4</v>
      </c>
      <c r="E406" t="e">
        <f t="shared" si="19"/>
        <v>#N/A</v>
      </c>
      <c r="F406" s="28" t="str">
        <f t="shared" ca="1" si="20"/>
        <v/>
      </c>
    </row>
    <row r="407" spans="2:6" x14ac:dyDescent="0.2">
      <c r="B407" t="str">
        <f>IFERROR(IF('PDCA review'!$D$2=Do!B405,Do!G405,""),"")</f>
        <v/>
      </c>
      <c r="C407">
        <f t="shared" si="18"/>
        <v>0</v>
      </c>
      <c r="D407">
        <f>SUM($C$3:C407)</f>
        <v>4</v>
      </c>
      <c r="E407" t="e">
        <f t="shared" si="19"/>
        <v>#N/A</v>
      </c>
      <c r="F407" s="28" t="str">
        <f t="shared" ca="1" si="20"/>
        <v/>
      </c>
    </row>
    <row r="408" spans="2:6" x14ac:dyDescent="0.2">
      <c r="B408" t="str">
        <f>IFERROR(IF('PDCA review'!$D$2=Do!B406,Do!G406,""),"")</f>
        <v/>
      </c>
      <c r="C408">
        <f t="shared" si="18"/>
        <v>0</v>
      </c>
      <c r="D408">
        <f>SUM($C$3:C408)</f>
        <v>4</v>
      </c>
      <c r="E408" t="e">
        <f t="shared" si="19"/>
        <v>#N/A</v>
      </c>
      <c r="F408" s="28" t="str">
        <f t="shared" ca="1" si="20"/>
        <v/>
      </c>
    </row>
    <row r="409" spans="2:6" x14ac:dyDescent="0.2">
      <c r="B409" t="str">
        <f>IFERROR(IF('PDCA review'!$D$2=Do!B407,Do!G407,""),"")</f>
        <v/>
      </c>
      <c r="C409">
        <f t="shared" si="18"/>
        <v>0</v>
      </c>
      <c r="D409">
        <f>SUM($C$3:C409)</f>
        <v>4</v>
      </c>
      <c r="E409" t="e">
        <f t="shared" si="19"/>
        <v>#N/A</v>
      </c>
      <c r="F409" s="28" t="str">
        <f t="shared" ca="1" si="20"/>
        <v/>
      </c>
    </row>
    <row r="410" spans="2:6" x14ac:dyDescent="0.2">
      <c r="B410" t="str">
        <f>IFERROR(IF('PDCA review'!$D$2=Do!B408,Do!G408,""),"")</f>
        <v/>
      </c>
      <c r="C410">
        <f t="shared" si="18"/>
        <v>0</v>
      </c>
      <c r="D410">
        <f>SUM($C$3:C410)</f>
        <v>4</v>
      </c>
      <c r="E410" t="e">
        <f t="shared" si="19"/>
        <v>#N/A</v>
      </c>
      <c r="F410" s="28" t="str">
        <f t="shared" ca="1" si="20"/>
        <v/>
      </c>
    </row>
    <row r="411" spans="2:6" x14ac:dyDescent="0.2">
      <c r="B411" t="str">
        <f>IFERROR(IF('PDCA review'!$D$2=Do!B409,Do!G409,""),"")</f>
        <v/>
      </c>
      <c r="C411">
        <f t="shared" si="18"/>
        <v>0</v>
      </c>
      <c r="D411">
        <f>SUM($C$3:C411)</f>
        <v>4</v>
      </c>
      <c r="E411" t="e">
        <f t="shared" si="19"/>
        <v>#N/A</v>
      </c>
      <c r="F411" s="28" t="str">
        <f t="shared" ca="1" si="20"/>
        <v/>
      </c>
    </row>
    <row r="412" spans="2:6" x14ac:dyDescent="0.2">
      <c r="B412" t="str">
        <f>IFERROR(IF('PDCA review'!$D$2=Do!B410,Do!G410,""),"")</f>
        <v/>
      </c>
      <c r="C412">
        <f t="shared" si="18"/>
        <v>0</v>
      </c>
      <c r="D412">
        <f>SUM($C$3:C412)</f>
        <v>4</v>
      </c>
      <c r="E412" t="e">
        <f t="shared" si="19"/>
        <v>#N/A</v>
      </c>
      <c r="F412" s="28" t="str">
        <f t="shared" ca="1" si="20"/>
        <v/>
      </c>
    </row>
    <row r="413" spans="2:6" x14ac:dyDescent="0.2">
      <c r="B413" t="str">
        <f>IFERROR(IF('PDCA review'!$D$2=Do!B411,Do!G411,""),"")</f>
        <v/>
      </c>
      <c r="C413">
        <f t="shared" si="18"/>
        <v>0</v>
      </c>
      <c r="D413">
        <f>SUM($C$3:C413)</f>
        <v>4</v>
      </c>
      <c r="E413" t="e">
        <f t="shared" si="19"/>
        <v>#N/A</v>
      </c>
      <c r="F413" s="28" t="str">
        <f t="shared" ca="1" si="20"/>
        <v/>
      </c>
    </row>
    <row r="414" spans="2:6" x14ac:dyDescent="0.2">
      <c r="B414" t="str">
        <f>IFERROR(IF('PDCA review'!$D$2=Do!B412,Do!G412,""),"")</f>
        <v/>
      </c>
      <c r="C414">
        <f t="shared" si="18"/>
        <v>0</v>
      </c>
      <c r="D414">
        <f>SUM($C$3:C414)</f>
        <v>4</v>
      </c>
      <c r="E414" t="e">
        <f t="shared" si="19"/>
        <v>#N/A</v>
      </c>
      <c r="F414" s="28" t="str">
        <f t="shared" ca="1" si="20"/>
        <v/>
      </c>
    </row>
    <row r="415" spans="2:6" x14ac:dyDescent="0.2">
      <c r="B415" t="str">
        <f>IFERROR(IF('PDCA review'!$D$2=Do!B413,Do!G413,""),"")</f>
        <v/>
      </c>
      <c r="C415">
        <f t="shared" si="18"/>
        <v>0</v>
      </c>
      <c r="D415">
        <f>SUM($C$3:C415)</f>
        <v>4</v>
      </c>
      <c r="E415" t="e">
        <f t="shared" si="19"/>
        <v>#N/A</v>
      </c>
      <c r="F415" s="28" t="str">
        <f t="shared" ca="1" si="20"/>
        <v/>
      </c>
    </row>
    <row r="416" spans="2:6" x14ac:dyDescent="0.2">
      <c r="B416" t="str">
        <f>IFERROR(IF('PDCA review'!$D$2=Do!B414,Do!G414,""),"")</f>
        <v/>
      </c>
      <c r="C416">
        <f t="shared" si="18"/>
        <v>0</v>
      </c>
      <c r="D416">
        <f>SUM($C$3:C416)</f>
        <v>4</v>
      </c>
      <c r="E416" t="e">
        <f t="shared" si="19"/>
        <v>#N/A</v>
      </c>
      <c r="F416" s="28" t="str">
        <f t="shared" ca="1" si="20"/>
        <v/>
      </c>
    </row>
    <row r="417" spans="2:6" x14ac:dyDescent="0.2">
      <c r="B417" t="str">
        <f>IFERROR(IF('PDCA review'!$D$2=Do!B415,Do!G415,""),"")</f>
        <v/>
      </c>
      <c r="C417">
        <f t="shared" si="18"/>
        <v>0</v>
      </c>
      <c r="D417">
        <f>SUM($C$3:C417)</f>
        <v>4</v>
      </c>
      <c r="E417" t="e">
        <f t="shared" si="19"/>
        <v>#N/A</v>
      </c>
      <c r="F417" s="28" t="str">
        <f t="shared" ca="1" si="20"/>
        <v/>
      </c>
    </row>
    <row r="418" spans="2:6" x14ac:dyDescent="0.2">
      <c r="B418" t="str">
        <f>IFERROR(IF('PDCA review'!$D$2=Do!B416,Do!G416,""),"")</f>
        <v/>
      </c>
      <c r="C418">
        <f t="shared" si="18"/>
        <v>0</v>
      </c>
      <c r="D418">
        <f>SUM($C$3:C418)</f>
        <v>4</v>
      </c>
      <c r="E418" t="e">
        <f t="shared" si="19"/>
        <v>#N/A</v>
      </c>
      <c r="F418" s="28" t="str">
        <f t="shared" ca="1" si="20"/>
        <v/>
      </c>
    </row>
    <row r="419" spans="2:6" x14ac:dyDescent="0.2">
      <c r="B419" t="str">
        <f>IFERROR(IF('PDCA review'!$D$2=Do!B417,Do!G417,""),"")</f>
        <v/>
      </c>
      <c r="C419">
        <f t="shared" si="18"/>
        <v>0</v>
      </c>
      <c r="D419">
        <f>SUM($C$3:C419)</f>
        <v>4</v>
      </c>
      <c r="E419" t="e">
        <f t="shared" si="19"/>
        <v>#N/A</v>
      </c>
      <c r="F419" s="28" t="str">
        <f t="shared" ca="1" si="20"/>
        <v/>
      </c>
    </row>
    <row r="420" spans="2:6" x14ac:dyDescent="0.2">
      <c r="B420" t="str">
        <f>IFERROR(IF('PDCA review'!$D$2=Do!B418,Do!G418,""),"")</f>
        <v/>
      </c>
      <c r="C420">
        <f t="shared" si="18"/>
        <v>0</v>
      </c>
      <c r="D420">
        <f>SUM($C$3:C420)</f>
        <v>4</v>
      </c>
      <c r="E420" t="e">
        <f t="shared" si="19"/>
        <v>#N/A</v>
      </c>
      <c r="F420" s="28" t="str">
        <f t="shared" ca="1" si="20"/>
        <v/>
      </c>
    </row>
    <row r="421" spans="2:6" x14ac:dyDescent="0.2">
      <c r="B421" t="str">
        <f>IFERROR(IF('PDCA review'!$D$2=Do!B419,Do!G419,""),"")</f>
        <v/>
      </c>
      <c r="C421">
        <f t="shared" si="18"/>
        <v>0</v>
      </c>
      <c r="D421">
        <f>SUM($C$3:C421)</f>
        <v>4</v>
      </c>
      <c r="E421" t="e">
        <f t="shared" si="19"/>
        <v>#N/A</v>
      </c>
      <c r="F421" s="28" t="str">
        <f t="shared" ca="1" si="20"/>
        <v/>
      </c>
    </row>
    <row r="422" spans="2:6" x14ac:dyDescent="0.2">
      <c r="B422" t="str">
        <f>IFERROR(IF('PDCA review'!$D$2=Do!B420,Do!G420,""),"")</f>
        <v/>
      </c>
      <c r="C422">
        <f t="shared" si="18"/>
        <v>0</v>
      </c>
      <c r="D422">
        <f>SUM($C$3:C422)</f>
        <v>4</v>
      </c>
      <c r="E422" t="e">
        <f t="shared" si="19"/>
        <v>#N/A</v>
      </c>
      <c r="F422" s="28" t="str">
        <f t="shared" ca="1" si="20"/>
        <v/>
      </c>
    </row>
    <row r="423" spans="2:6" x14ac:dyDescent="0.2">
      <c r="B423" t="str">
        <f>IFERROR(IF('PDCA review'!$D$2=Do!B421,Do!G421,""),"")</f>
        <v/>
      </c>
      <c r="C423">
        <f t="shared" si="18"/>
        <v>0</v>
      </c>
      <c r="D423">
        <f>SUM($C$3:C423)</f>
        <v>4</v>
      </c>
      <c r="E423" t="e">
        <f t="shared" si="19"/>
        <v>#N/A</v>
      </c>
      <c r="F423" s="28" t="str">
        <f t="shared" ca="1" si="20"/>
        <v/>
      </c>
    </row>
    <row r="424" spans="2:6" x14ac:dyDescent="0.2">
      <c r="B424" t="str">
        <f>IFERROR(IF('PDCA review'!$D$2=Do!B422,Do!G422,""),"")</f>
        <v/>
      </c>
      <c r="C424">
        <f t="shared" si="18"/>
        <v>0</v>
      </c>
      <c r="D424">
        <f>SUM($C$3:C424)</f>
        <v>4</v>
      </c>
      <c r="E424" t="e">
        <f t="shared" si="19"/>
        <v>#N/A</v>
      </c>
      <c r="F424" s="28" t="str">
        <f t="shared" ca="1" si="20"/>
        <v/>
      </c>
    </row>
    <row r="425" spans="2:6" x14ac:dyDescent="0.2">
      <c r="B425" t="str">
        <f>IFERROR(IF('PDCA review'!$D$2=Do!B423,Do!G423,""),"")</f>
        <v/>
      </c>
      <c r="C425">
        <f t="shared" si="18"/>
        <v>0</v>
      </c>
      <c r="D425">
        <f>SUM($C$3:C425)</f>
        <v>4</v>
      </c>
      <c r="E425" t="e">
        <f t="shared" si="19"/>
        <v>#N/A</v>
      </c>
      <c r="F425" s="28" t="str">
        <f t="shared" ca="1" si="20"/>
        <v/>
      </c>
    </row>
    <row r="426" spans="2:6" x14ac:dyDescent="0.2">
      <c r="B426" t="str">
        <f>IFERROR(IF('PDCA review'!$D$2=Do!B424,Do!G424,""),"")</f>
        <v/>
      </c>
      <c r="C426">
        <f t="shared" si="18"/>
        <v>0</v>
      </c>
      <c r="D426">
        <f>SUM($C$3:C426)</f>
        <v>4</v>
      </c>
      <c r="E426" t="e">
        <f t="shared" si="19"/>
        <v>#N/A</v>
      </c>
      <c r="F426" s="28" t="str">
        <f t="shared" ca="1" si="20"/>
        <v/>
      </c>
    </row>
    <row r="427" spans="2:6" x14ac:dyDescent="0.2">
      <c r="B427" t="str">
        <f>IFERROR(IF('PDCA review'!$D$2=Do!B425,Do!G425,""),"")</f>
        <v/>
      </c>
      <c r="C427">
        <f t="shared" si="18"/>
        <v>0</v>
      </c>
      <c r="D427">
        <f>SUM($C$3:C427)</f>
        <v>4</v>
      </c>
      <c r="E427" t="e">
        <f t="shared" si="19"/>
        <v>#N/A</v>
      </c>
      <c r="F427" s="28" t="str">
        <f t="shared" ca="1" si="20"/>
        <v/>
      </c>
    </row>
    <row r="428" spans="2:6" x14ac:dyDescent="0.2">
      <c r="B428" t="str">
        <f>IFERROR(IF('PDCA review'!$D$2=Do!B426,Do!G426,""),"")</f>
        <v/>
      </c>
      <c r="C428">
        <f t="shared" si="18"/>
        <v>0</v>
      </c>
      <c r="D428">
        <f>SUM($C$3:C428)</f>
        <v>4</v>
      </c>
      <c r="E428" t="e">
        <f t="shared" si="19"/>
        <v>#N/A</v>
      </c>
      <c r="F428" s="28" t="str">
        <f t="shared" ca="1" si="20"/>
        <v/>
      </c>
    </row>
    <row r="429" spans="2:6" x14ac:dyDescent="0.2">
      <c r="B429" t="str">
        <f>IFERROR(IF('PDCA review'!$D$2=Do!B427,Do!G427,""),"")</f>
        <v/>
      </c>
      <c r="C429">
        <f t="shared" si="18"/>
        <v>0</v>
      </c>
      <c r="D429">
        <f>SUM($C$3:C429)</f>
        <v>4</v>
      </c>
      <c r="E429" t="e">
        <f t="shared" si="19"/>
        <v>#N/A</v>
      </c>
      <c r="F429" s="28" t="str">
        <f t="shared" ca="1" si="20"/>
        <v/>
      </c>
    </row>
    <row r="430" spans="2:6" x14ac:dyDescent="0.2">
      <c r="B430" t="str">
        <f>IFERROR(IF('PDCA review'!$D$2=Do!B428,Do!G428,""),"")</f>
        <v/>
      </c>
      <c r="C430">
        <f t="shared" si="18"/>
        <v>0</v>
      </c>
      <c r="D430">
        <f>SUM($C$3:C430)</f>
        <v>4</v>
      </c>
      <c r="E430" t="e">
        <f t="shared" si="19"/>
        <v>#N/A</v>
      </c>
      <c r="F430" s="28" t="str">
        <f t="shared" ca="1" si="20"/>
        <v/>
      </c>
    </row>
    <row r="431" spans="2:6" x14ac:dyDescent="0.2">
      <c r="B431" t="str">
        <f>IFERROR(IF('PDCA review'!$D$2=Do!B429,Do!G429,""),"")</f>
        <v/>
      </c>
      <c r="C431">
        <f t="shared" si="18"/>
        <v>0</v>
      </c>
      <c r="D431">
        <f>SUM($C$3:C431)</f>
        <v>4</v>
      </c>
      <c r="E431" t="e">
        <f t="shared" si="19"/>
        <v>#N/A</v>
      </c>
      <c r="F431" s="28" t="str">
        <f t="shared" ca="1" si="20"/>
        <v/>
      </c>
    </row>
    <row r="432" spans="2:6" x14ac:dyDescent="0.2">
      <c r="B432" t="str">
        <f>IFERROR(IF('PDCA review'!$D$2=Do!B430,Do!G430,""),"")</f>
        <v/>
      </c>
      <c r="C432">
        <f t="shared" si="18"/>
        <v>0</v>
      </c>
      <c r="D432">
        <f>SUM($C$3:C432)</f>
        <v>4</v>
      </c>
      <c r="E432" t="e">
        <f t="shared" si="19"/>
        <v>#N/A</v>
      </c>
      <c r="F432" s="28" t="str">
        <f t="shared" ca="1" si="20"/>
        <v/>
      </c>
    </row>
    <row r="433" spans="2:6" x14ac:dyDescent="0.2">
      <c r="B433" t="str">
        <f>IFERROR(IF('PDCA review'!$D$2=Do!B431,Do!G431,""),"")</f>
        <v/>
      </c>
      <c r="C433">
        <f t="shared" si="18"/>
        <v>0</v>
      </c>
      <c r="D433">
        <f>SUM($C$3:C433)</f>
        <v>4</v>
      </c>
      <c r="E433" t="e">
        <f t="shared" si="19"/>
        <v>#N/A</v>
      </c>
      <c r="F433" s="28" t="str">
        <f t="shared" ca="1" si="20"/>
        <v/>
      </c>
    </row>
    <row r="434" spans="2:6" x14ac:dyDescent="0.2">
      <c r="B434" t="str">
        <f>IFERROR(IF('PDCA review'!$D$2=Do!B432,Do!G432,""),"")</f>
        <v/>
      </c>
      <c r="C434">
        <f t="shared" si="18"/>
        <v>0</v>
      </c>
      <c r="D434">
        <f>SUM($C$3:C434)</f>
        <v>4</v>
      </c>
      <c r="E434" t="e">
        <f t="shared" si="19"/>
        <v>#N/A</v>
      </c>
      <c r="F434" s="28" t="str">
        <f t="shared" ca="1" si="20"/>
        <v/>
      </c>
    </row>
    <row r="435" spans="2:6" x14ac:dyDescent="0.2">
      <c r="B435" t="str">
        <f>IFERROR(IF('PDCA review'!$D$2=Do!B433,Do!G433,""),"")</f>
        <v/>
      </c>
      <c r="C435">
        <f t="shared" si="18"/>
        <v>0</v>
      </c>
      <c r="D435">
        <f>SUM($C$3:C435)</f>
        <v>4</v>
      </c>
      <c r="E435" t="e">
        <f t="shared" si="19"/>
        <v>#N/A</v>
      </c>
      <c r="F435" s="28" t="str">
        <f t="shared" ca="1" si="20"/>
        <v/>
      </c>
    </row>
    <row r="436" spans="2:6" x14ac:dyDescent="0.2">
      <c r="B436" t="str">
        <f>IFERROR(IF('PDCA review'!$D$2=Do!B434,Do!G434,""),"")</f>
        <v/>
      </c>
      <c r="C436">
        <f t="shared" si="18"/>
        <v>0</v>
      </c>
      <c r="D436">
        <f>SUM($C$3:C436)</f>
        <v>4</v>
      </c>
      <c r="E436" t="e">
        <f t="shared" si="19"/>
        <v>#N/A</v>
      </c>
      <c r="F436" s="28" t="str">
        <f t="shared" ca="1" si="20"/>
        <v/>
      </c>
    </row>
    <row r="437" spans="2:6" x14ac:dyDescent="0.2">
      <c r="B437" t="str">
        <f>IFERROR(IF('PDCA review'!$D$2=Do!B435,Do!G435,""),"")</f>
        <v/>
      </c>
      <c r="C437">
        <f t="shared" si="18"/>
        <v>0</v>
      </c>
      <c r="D437">
        <f>SUM($C$3:C437)</f>
        <v>4</v>
      </c>
      <c r="E437" t="e">
        <f t="shared" si="19"/>
        <v>#N/A</v>
      </c>
      <c r="F437" s="28" t="str">
        <f t="shared" ca="1" si="20"/>
        <v/>
      </c>
    </row>
    <row r="438" spans="2:6" x14ac:dyDescent="0.2">
      <c r="B438" t="str">
        <f>IFERROR(IF('PDCA review'!$D$2=Do!B436,Do!G436,""),"")</f>
        <v/>
      </c>
      <c r="C438">
        <f t="shared" si="18"/>
        <v>0</v>
      </c>
      <c r="D438">
        <f>SUM($C$3:C438)</f>
        <v>4</v>
      </c>
      <c r="E438" t="e">
        <f t="shared" si="19"/>
        <v>#N/A</v>
      </c>
      <c r="F438" s="28" t="str">
        <f t="shared" ca="1" si="20"/>
        <v/>
      </c>
    </row>
    <row r="439" spans="2:6" x14ac:dyDescent="0.2">
      <c r="B439" t="str">
        <f>IFERROR(IF('PDCA review'!$D$2=Do!B437,Do!G437,""),"")</f>
        <v/>
      </c>
      <c r="C439">
        <f t="shared" si="18"/>
        <v>0</v>
      </c>
      <c r="D439">
        <f>SUM($C$3:C439)</f>
        <v>4</v>
      </c>
      <c r="E439" t="e">
        <f t="shared" si="19"/>
        <v>#N/A</v>
      </c>
      <c r="F439" s="28" t="str">
        <f t="shared" ca="1" si="20"/>
        <v/>
      </c>
    </row>
    <row r="440" spans="2:6" x14ac:dyDescent="0.2">
      <c r="B440" t="str">
        <f>IFERROR(IF('PDCA review'!$D$2=Do!B438,Do!G438,""),"")</f>
        <v/>
      </c>
      <c r="C440">
        <f t="shared" si="18"/>
        <v>0</v>
      </c>
      <c r="D440">
        <f>SUM($C$3:C440)</f>
        <v>4</v>
      </c>
      <c r="E440" t="e">
        <f t="shared" si="19"/>
        <v>#N/A</v>
      </c>
      <c r="F440" s="28" t="str">
        <f t="shared" ca="1" si="20"/>
        <v/>
      </c>
    </row>
    <row r="441" spans="2:6" x14ac:dyDescent="0.2">
      <c r="B441" t="str">
        <f>IFERROR(IF('PDCA review'!$D$2=Do!B439,Do!G439,""),"")</f>
        <v/>
      </c>
      <c r="C441">
        <f t="shared" si="18"/>
        <v>0</v>
      </c>
      <c r="D441">
        <f>SUM($C$3:C441)</f>
        <v>4</v>
      </c>
      <c r="E441" t="e">
        <f t="shared" si="19"/>
        <v>#N/A</v>
      </c>
      <c r="F441" s="28" t="str">
        <f t="shared" ca="1" si="20"/>
        <v/>
      </c>
    </row>
    <row r="442" spans="2:6" x14ac:dyDescent="0.2">
      <c r="B442" t="str">
        <f>IFERROR(IF('PDCA review'!$D$2=Do!B440,Do!G440,""),"")</f>
        <v/>
      </c>
      <c r="C442">
        <f t="shared" si="18"/>
        <v>0</v>
      </c>
      <c r="D442">
        <f>SUM($C$3:C442)</f>
        <v>4</v>
      </c>
      <c r="E442" t="e">
        <f t="shared" si="19"/>
        <v>#N/A</v>
      </c>
      <c r="F442" s="28" t="str">
        <f t="shared" ca="1" si="20"/>
        <v/>
      </c>
    </row>
    <row r="443" spans="2:6" x14ac:dyDescent="0.2">
      <c r="B443" t="str">
        <f>IFERROR(IF('PDCA review'!$D$2=Do!B441,Do!G441,""),"")</f>
        <v/>
      </c>
      <c r="C443">
        <f t="shared" si="18"/>
        <v>0</v>
      </c>
      <c r="D443">
        <f>SUM($C$3:C443)</f>
        <v>4</v>
      </c>
      <c r="E443" t="e">
        <f t="shared" si="19"/>
        <v>#N/A</v>
      </c>
      <c r="F443" s="28" t="str">
        <f t="shared" ca="1" si="20"/>
        <v/>
      </c>
    </row>
    <row r="444" spans="2:6" x14ac:dyDescent="0.2">
      <c r="B444" t="str">
        <f>IFERROR(IF('PDCA review'!$D$2=Do!B442,Do!G442,""),"")</f>
        <v/>
      </c>
      <c r="C444">
        <f t="shared" si="18"/>
        <v>0</v>
      </c>
      <c r="D444">
        <f>SUM($C$3:C444)</f>
        <v>4</v>
      </c>
      <c r="E444" t="e">
        <f t="shared" si="19"/>
        <v>#N/A</v>
      </c>
      <c r="F444" s="28" t="str">
        <f t="shared" ca="1" si="20"/>
        <v/>
      </c>
    </row>
    <row r="445" spans="2:6" x14ac:dyDescent="0.2">
      <c r="B445" t="str">
        <f>IFERROR(IF('PDCA review'!$D$2=Do!B443,Do!G443,""),"")</f>
        <v/>
      </c>
      <c r="C445">
        <f t="shared" si="18"/>
        <v>0</v>
      </c>
      <c r="D445">
        <f>SUM($C$3:C445)</f>
        <v>4</v>
      </c>
      <c r="E445" t="e">
        <f t="shared" si="19"/>
        <v>#N/A</v>
      </c>
      <c r="F445" s="28" t="str">
        <f t="shared" ca="1" si="20"/>
        <v/>
      </c>
    </row>
    <row r="446" spans="2:6" x14ac:dyDescent="0.2">
      <c r="B446" t="str">
        <f>IFERROR(IF('PDCA review'!$D$2=Do!B444,Do!G444,""),"")</f>
        <v/>
      </c>
      <c r="C446">
        <f t="shared" si="18"/>
        <v>0</v>
      </c>
      <c r="D446">
        <f>SUM($C$3:C446)</f>
        <v>4</v>
      </c>
      <c r="E446" t="e">
        <f t="shared" si="19"/>
        <v>#N/A</v>
      </c>
      <c r="F446" s="28" t="str">
        <f t="shared" ca="1" si="20"/>
        <v/>
      </c>
    </row>
    <row r="447" spans="2:6" x14ac:dyDescent="0.2">
      <c r="B447" t="str">
        <f>IFERROR(IF('PDCA review'!$D$2=Do!B445,Do!G445,""),"")</f>
        <v/>
      </c>
      <c r="C447">
        <f t="shared" si="18"/>
        <v>0</v>
      </c>
      <c r="D447">
        <f>SUM($C$3:C447)</f>
        <v>4</v>
      </c>
      <c r="E447" t="e">
        <f t="shared" si="19"/>
        <v>#N/A</v>
      </c>
      <c r="F447" s="28" t="str">
        <f t="shared" ca="1" si="20"/>
        <v/>
      </c>
    </row>
    <row r="448" spans="2:6" x14ac:dyDescent="0.2">
      <c r="B448" t="str">
        <f>IFERROR(IF('PDCA review'!$D$2=Do!B446,Do!G446,""),"")</f>
        <v/>
      </c>
      <c r="C448">
        <f t="shared" si="18"/>
        <v>0</v>
      </c>
      <c r="D448">
        <f>SUM($C$3:C448)</f>
        <v>4</v>
      </c>
      <c r="E448" t="e">
        <f t="shared" si="19"/>
        <v>#N/A</v>
      </c>
      <c r="F448" s="28" t="str">
        <f t="shared" ca="1" si="20"/>
        <v/>
      </c>
    </row>
    <row r="449" spans="2:6" x14ac:dyDescent="0.2">
      <c r="B449" t="str">
        <f>IFERROR(IF('PDCA review'!$D$2=Do!B447,Do!G447,""),"")</f>
        <v/>
      </c>
      <c r="C449">
        <f t="shared" si="18"/>
        <v>0</v>
      </c>
      <c r="D449">
        <f>SUM($C$3:C449)</f>
        <v>4</v>
      </c>
      <c r="E449" t="e">
        <f t="shared" si="19"/>
        <v>#N/A</v>
      </c>
      <c r="F449" s="28" t="str">
        <f t="shared" ca="1" si="20"/>
        <v/>
      </c>
    </row>
    <row r="450" spans="2:6" x14ac:dyDescent="0.2">
      <c r="B450" t="str">
        <f>IFERROR(IF('PDCA review'!$D$2=Do!B448,Do!G448,""),"")</f>
        <v/>
      </c>
      <c r="C450">
        <f t="shared" si="18"/>
        <v>0</v>
      </c>
      <c r="D450">
        <f>SUM($C$3:C450)</f>
        <v>4</v>
      </c>
      <c r="E450" t="e">
        <f t="shared" si="19"/>
        <v>#N/A</v>
      </c>
      <c r="F450" s="28" t="str">
        <f t="shared" ca="1" si="20"/>
        <v/>
      </c>
    </row>
    <row r="451" spans="2:6" x14ac:dyDescent="0.2">
      <c r="B451" t="str">
        <f>IFERROR(IF('PDCA review'!$D$2=Do!B449,Do!G449,""),"")</f>
        <v/>
      </c>
      <c r="C451">
        <f t="shared" si="18"/>
        <v>0</v>
      </c>
      <c r="D451">
        <f>SUM($C$3:C451)</f>
        <v>4</v>
      </c>
      <c r="E451" t="e">
        <f t="shared" si="19"/>
        <v>#N/A</v>
      </c>
      <c r="F451" s="28" t="str">
        <f t="shared" ca="1" si="20"/>
        <v/>
      </c>
    </row>
    <row r="452" spans="2:6" x14ac:dyDescent="0.2">
      <c r="B452" t="str">
        <f>IFERROR(IF('PDCA review'!$D$2=Do!B450,Do!G450,""),"")</f>
        <v/>
      </c>
      <c r="C452">
        <f t="shared" ref="C452:C515" si="21">IF(B452&lt;&gt;"",1,0)</f>
        <v>0</v>
      </c>
      <c r="D452">
        <f>SUM($C$3:C452)</f>
        <v>4</v>
      </c>
      <c r="E452" t="e">
        <f t="shared" ref="E452:E515" si="22">MATCH(ROW()-$D$2,$D$3:$D$2000,0)+$D$2</f>
        <v>#N/A</v>
      </c>
      <c r="F452" s="28" t="str">
        <f t="shared" ref="F452:F515" ca="1" si="23">IFERROR(INDIRECT("B"&amp;E452),"")</f>
        <v/>
      </c>
    </row>
    <row r="453" spans="2:6" x14ac:dyDescent="0.2">
      <c r="B453" t="str">
        <f>IFERROR(IF('PDCA review'!$D$2=Do!B451,Do!G451,""),"")</f>
        <v/>
      </c>
      <c r="C453">
        <f t="shared" si="21"/>
        <v>0</v>
      </c>
      <c r="D453">
        <f>SUM($C$3:C453)</f>
        <v>4</v>
      </c>
      <c r="E453" t="e">
        <f t="shared" si="22"/>
        <v>#N/A</v>
      </c>
      <c r="F453" s="28" t="str">
        <f t="shared" ca="1" si="23"/>
        <v/>
      </c>
    </row>
    <row r="454" spans="2:6" x14ac:dyDescent="0.2">
      <c r="B454" t="str">
        <f>IFERROR(IF('PDCA review'!$D$2=Do!B452,Do!G452,""),"")</f>
        <v/>
      </c>
      <c r="C454">
        <f t="shared" si="21"/>
        <v>0</v>
      </c>
      <c r="D454">
        <f>SUM($C$3:C454)</f>
        <v>4</v>
      </c>
      <c r="E454" t="e">
        <f t="shared" si="22"/>
        <v>#N/A</v>
      </c>
      <c r="F454" s="28" t="str">
        <f t="shared" ca="1" si="23"/>
        <v/>
      </c>
    </row>
    <row r="455" spans="2:6" x14ac:dyDescent="0.2">
      <c r="B455" t="str">
        <f>IFERROR(IF('PDCA review'!$D$2=Do!B453,Do!G453,""),"")</f>
        <v/>
      </c>
      <c r="C455">
        <f t="shared" si="21"/>
        <v>0</v>
      </c>
      <c r="D455">
        <f>SUM($C$3:C455)</f>
        <v>4</v>
      </c>
      <c r="E455" t="e">
        <f t="shared" si="22"/>
        <v>#N/A</v>
      </c>
      <c r="F455" s="28" t="str">
        <f t="shared" ca="1" si="23"/>
        <v/>
      </c>
    </row>
    <row r="456" spans="2:6" x14ac:dyDescent="0.2">
      <c r="B456" t="str">
        <f>IFERROR(IF('PDCA review'!$D$2=Do!B454,Do!G454,""),"")</f>
        <v/>
      </c>
      <c r="C456">
        <f t="shared" si="21"/>
        <v>0</v>
      </c>
      <c r="D456">
        <f>SUM($C$3:C456)</f>
        <v>4</v>
      </c>
      <c r="E456" t="e">
        <f t="shared" si="22"/>
        <v>#N/A</v>
      </c>
      <c r="F456" s="28" t="str">
        <f t="shared" ca="1" si="23"/>
        <v/>
      </c>
    </row>
    <row r="457" spans="2:6" x14ac:dyDescent="0.2">
      <c r="B457" t="str">
        <f>IFERROR(IF('PDCA review'!$D$2=Do!B455,Do!G455,""),"")</f>
        <v/>
      </c>
      <c r="C457">
        <f t="shared" si="21"/>
        <v>0</v>
      </c>
      <c r="D457">
        <f>SUM($C$3:C457)</f>
        <v>4</v>
      </c>
      <c r="E457" t="e">
        <f t="shared" si="22"/>
        <v>#N/A</v>
      </c>
      <c r="F457" s="28" t="str">
        <f t="shared" ca="1" si="23"/>
        <v/>
      </c>
    </row>
    <row r="458" spans="2:6" x14ac:dyDescent="0.2">
      <c r="B458" t="str">
        <f>IFERROR(IF('PDCA review'!$D$2=Do!B456,Do!G456,""),"")</f>
        <v/>
      </c>
      <c r="C458">
        <f t="shared" si="21"/>
        <v>0</v>
      </c>
      <c r="D458">
        <f>SUM($C$3:C458)</f>
        <v>4</v>
      </c>
      <c r="E458" t="e">
        <f t="shared" si="22"/>
        <v>#N/A</v>
      </c>
      <c r="F458" s="28" t="str">
        <f t="shared" ca="1" si="23"/>
        <v/>
      </c>
    </row>
    <row r="459" spans="2:6" x14ac:dyDescent="0.2">
      <c r="B459" t="str">
        <f>IFERROR(IF('PDCA review'!$D$2=Do!B457,Do!G457,""),"")</f>
        <v/>
      </c>
      <c r="C459">
        <f t="shared" si="21"/>
        <v>0</v>
      </c>
      <c r="D459">
        <f>SUM($C$3:C459)</f>
        <v>4</v>
      </c>
      <c r="E459" t="e">
        <f t="shared" si="22"/>
        <v>#N/A</v>
      </c>
      <c r="F459" s="28" t="str">
        <f t="shared" ca="1" si="23"/>
        <v/>
      </c>
    </row>
    <row r="460" spans="2:6" x14ac:dyDescent="0.2">
      <c r="B460" t="str">
        <f>IFERROR(IF('PDCA review'!$D$2=Do!B458,Do!G458,""),"")</f>
        <v/>
      </c>
      <c r="C460">
        <f t="shared" si="21"/>
        <v>0</v>
      </c>
      <c r="D460">
        <f>SUM($C$3:C460)</f>
        <v>4</v>
      </c>
      <c r="E460" t="e">
        <f t="shared" si="22"/>
        <v>#N/A</v>
      </c>
      <c r="F460" s="28" t="str">
        <f t="shared" ca="1" si="23"/>
        <v/>
      </c>
    </row>
    <row r="461" spans="2:6" x14ac:dyDescent="0.2">
      <c r="B461" t="str">
        <f>IFERROR(IF('PDCA review'!$D$2=Do!B459,Do!G459,""),"")</f>
        <v/>
      </c>
      <c r="C461">
        <f t="shared" si="21"/>
        <v>0</v>
      </c>
      <c r="D461">
        <f>SUM($C$3:C461)</f>
        <v>4</v>
      </c>
      <c r="E461" t="e">
        <f t="shared" si="22"/>
        <v>#N/A</v>
      </c>
      <c r="F461" s="28" t="str">
        <f t="shared" ca="1" si="23"/>
        <v/>
      </c>
    </row>
    <row r="462" spans="2:6" x14ac:dyDescent="0.2">
      <c r="B462" t="str">
        <f>IFERROR(IF('PDCA review'!$D$2=Do!B460,Do!G460,""),"")</f>
        <v/>
      </c>
      <c r="C462">
        <f t="shared" si="21"/>
        <v>0</v>
      </c>
      <c r="D462">
        <f>SUM($C$3:C462)</f>
        <v>4</v>
      </c>
      <c r="E462" t="e">
        <f t="shared" si="22"/>
        <v>#N/A</v>
      </c>
      <c r="F462" s="28" t="str">
        <f t="shared" ca="1" si="23"/>
        <v/>
      </c>
    </row>
    <row r="463" spans="2:6" x14ac:dyDescent="0.2">
      <c r="B463" t="str">
        <f>IFERROR(IF('PDCA review'!$D$2=Do!B461,Do!G461,""),"")</f>
        <v/>
      </c>
      <c r="C463">
        <f t="shared" si="21"/>
        <v>0</v>
      </c>
      <c r="D463">
        <f>SUM($C$3:C463)</f>
        <v>4</v>
      </c>
      <c r="E463" t="e">
        <f t="shared" si="22"/>
        <v>#N/A</v>
      </c>
      <c r="F463" s="28" t="str">
        <f t="shared" ca="1" si="23"/>
        <v/>
      </c>
    </row>
    <row r="464" spans="2:6" x14ac:dyDescent="0.2">
      <c r="B464" t="str">
        <f>IFERROR(IF('PDCA review'!$D$2=Do!B462,Do!G462,""),"")</f>
        <v/>
      </c>
      <c r="C464">
        <f t="shared" si="21"/>
        <v>0</v>
      </c>
      <c r="D464">
        <f>SUM($C$3:C464)</f>
        <v>4</v>
      </c>
      <c r="E464" t="e">
        <f t="shared" si="22"/>
        <v>#N/A</v>
      </c>
      <c r="F464" s="28" t="str">
        <f t="shared" ca="1" si="23"/>
        <v/>
      </c>
    </row>
    <row r="465" spans="2:6" x14ac:dyDescent="0.2">
      <c r="B465" t="str">
        <f>IFERROR(IF('PDCA review'!$D$2=Do!B463,Do!G463,""),"")</f>
        <v/>
      </c>
      <c r="C465">
        <f t="shared" si="21"/>
        <v>0</v>
      </c>
      <c r="D465">
        <f>SUM($C$3:C465)</f>
        <v>4</v>
      </c>
      <c r="E465" t="e">
        <f t="shared" si="22"/>
        <v>#N/A</v>
      </c>
      <c r="F465" s="28" t="str">
        <f t="shared" ca="1" si="23"/>
        <v/>
      </c>
    </row>
    <row r="466" spans="2:6" x14ac:dyDescent="0.2">
      <c r="B466" t="str">
        <f>IFERROR(IF('PDCA review'!$D$2=Do!B464,Do!G464,""),"")</f>
        <v/>
      </c>
      <c r="C466">
        <f t="shared" si="21"/>
        <v>0</v>
      </c>
      <c r="D466">
        <f>SUM($C$3:C466)</f>
        <v>4</v>
      </c>
      <c r="E466" t="e">
        <f t="shared" si="22"/>
        <v>#N/A</v>
      </c>
      <c r="F466" s="28" t="str">
        <f t="shared" ca="1" si="23"/>
        <v/>
      </c>
    </row>
    <row r="467" spans="2:6" x14ac:dyDescent="0.2">
      <c r="B467" t="str">
        <f>IFERROR(IF('PDCA review'!$D$2=Do!B465,Do!G465,""),"")</f>
        <v/>
      </c>
      <c r="C467">
        <f t="shared" si="21"/>
        <v>0</v>
      </c>
      <c r="D467">
        <f>SUM($C$3:C467)</f>
        <v>4</v>
      </c>
      <c r="E467" t="e">
        <f t="shared" si="22"/>
        <v>#N/A</v>
      </c>
      <c r="F467" s="28" t="str">
        <f t="shared" ca="1" si="23"/>
        <v/>
      </c>
    </row>
    <row r="468" spans="2:6" x14ac:dyDescent="0.2">
      <c r="B468" t="str">
        <f>IFERROR(IF('PDCA review'!$D$2=Do!B466,Do!G466,""),"")</f>
        <v/>
      </c>
      <c r="C468">
        <f t="shared" si="21"/>
        <v>0</v>
      </c>
      <c r="D468">
        <f>SUM($C$3:C468)</f>
        <v>4</v>
      </c>
      <c r="E468" t="e">
        <f t="shared" si="22"/>
        <v>#N/A</v>
      </c>
      <c r="F468" s="28" t="str">
        <f t="shared" ca="1" si="23"/>
        <v/>
      </c>
    </row>
    <row r="469" spans="2:6" x14ac:dyDescent="0.2">
      <c r="B469" t="str">
        <f>IFERROR(IF('PDCA review'!$D$2=Do!B467,Do!G467,""),"")</f>
        <v/>
      </c>
      <c r="C469">
        <f t="shared" si="21"/>
        <v>0</v>
      </c>
      <c r="D469">
        <f>SUM($C$3:C469)</f>
        <v>4</v>
      </c>
      <c r="E469" t="e">
        <f t="shared" si="22"/>
        <v>#N/A</v>
      </c>
      <c r="F469" s="28" t="str">
        <f t="shared" ca="1" si="23"/>
        <v/>
      </c>
    </row>
    <row r="470" spans="2:6" x14ac:dyDescent="0.2">
      <c r="B470" t="str">
        <f>IFERROR(IF('PDCA review'!$D$2=Do!B468,Do!G468,""),"")</f>
        <v/>
      </c>
      <c r="C470">
        <f t="shared" si="21"/>
        <v>0</v>
      </c>
      <c r="D470">
        <f>SUM($C$3:C470)</f>
        <v>4</v>
      </c>
      <c r="E470" t="e">
        <f t="shared" si="22"/>
        <v>#N/A</v>
      </c>
      <c r="F470" s="28" t="str">
        <f t="shared" ca="1" si="23"/>
        <v/>
      </c>
    </row>
    <row r="471" spans="2:6" x14ac:dyDescent="0.2">
      <c r="B471" t="str">
        <f>IFERROR(IF('PDCA review'!$D$2=Do!B469,Do!G469,""),"")</f>
        <v/>
      </c>
      <c r="C471">
        <f t="shared" si="21"/>
        <v>0</v>
      </c>
      <c r="D471">
        <f>SUM($C$3:C471)</f>
        <v>4</v>
      </c>
      <c r="E471" t="e">
        <f t="shared" si="22"/>
        <v>#N/A</v>
      </c>
      <c r="F471" s="28" t="str">
        <f t="shared" ca="1" si="23"/>
        <v/>
      </c>
    </row>
    <row r="472" spans="2:6" x14ac:dyDescent="0.2">
      <c r="B472" t="str">
        <f>IFERROR(IF('PDCA review'!$D$2=Do!B470,Do!G470,""),"")</f>
        <v/>
      </c>
      <c r="C472">
        <f t="shared" si="21"/>
        <v>0</v>
      </c>
      <c r="D472">
        <f>SUM($C$3:C472)</f>
        <v>4</v>
      </c>
      <c r="E472" t="e">
        <f t="shared" si="22"/>
        <v>#N/A</v>
      </c>
      <c r="F472" s="28" t="str">
        <f t="shared" ca="1" si="23"/>
        <v/>
      </c>
    </row>
    <row r="473" spans="2:6" x14ac:dyDescent="0.2">
      <c r="B473" t="str">
        <f>IFERROR(IF('PDCA review'!$D$2=Do!B471,Do!G471,""),"")</f>
        <v/>
      </c>
      <c r="C473">
        <f t="shared" si="21"/>
        <v>0</v>
      </c>
      <c r="D473">
        <f>SUM($C$3:C473)</f>
        <v>4</v>
      </c>
      <c r="E473" t="e">
        <f t="shared" si="22"/>
        <v>#N/A</v>
      </c>
      <c r="F473" s="28" t="str">
        <f t="shared" ca="1" si="23"/>
        <v/>
      </c>
    </row>
    <row r="474" spans="2:6" x14ac:dyDescent="0.2">
      <c r="B474" t="str">
        <f>IFERROR(IF('PDCA review'!$D$2=Do!B472,Do!G472,""),"")</f>
        <v/>
      </c>
      <c r="C474">
        <f t="shared" si="21"/>
        <v>0</v>
      </c>
      <c r="D474">
        <f>SUM($C$3:C474)</f>
        <v>4</v>
      </c>
      <c r="E474" t="e">
        <f t="shared" si="22"/>
        <v>#N/A</v>
      </c>
      <c r="F474" s="28" t="str">
        <f t="shared" ca="1" si="23"/>
        <v/>
      </c>
    </row>
    <row r="475" spans="2:6" x14ac:dyDescent="0.2">
      <c r="B475" t="str">
        <f>IFERROR(IF('PDCA review'!$D$2=Do!B473,Do!G473,""),"")</f>
        <v/>
      </c>
      <c r="C475">
        <f t="shared" si="21"/>
        <v>0</v>
      </c>
      <c r="D475">
        <f>SUM($C$3:C475)</f>
        <v>4</v>
      </c>
      <c r="E475" t="e">
        <f t="shared" si="22"/>
        <v>#N/A</v>
      </c>
      <c r="F475" s="28" t="str">
        <f t="shared" ca="1" si="23"/>
        <v/>
      </c>
    </row>
    <row r="476" spans="2:6" x14ac:dyDescent="0.2">
      <c r="B476" t="str">
        <f>IFERROR(IF('PDCA review'!$D$2=Do!B474,Do!G474,""),"")</f>
        <v/>
      </c>
      <c r="C476">
        <f t="shared" si="21"/>
        <v>0</v>
      </c>
      <c r="D476">
        <f>SUM($C$3:C476)</f>
        <v>4</v>
      </c>
      <c r="E476" t="e">
        <f t="shared" si="22"/>
        <v>#N/A</v>
      </c>
      <c r="F476" s="28" t="str">
        <f t="shared" ca="1" si="23"/>
        <v/>
      </c>
    </row>
    <row r="477" spans="2:6" x14ac:dyDescent="0.2">
      <c r="B477" t="str">
        <f>IFERROR(IF('PDCA review'!$D$2=Do!B475,Do!G475,""),"")</f>
        <v/>
      </c>
      <c r="C477">
        <f t="shared" si="21"/>
        <v>0</v>
      </c>
      <c r="D477">
        <f>SUM($C$3:C477)</f>
        <v>4</v>
      </c>
      <c r="E477" t="e">
        <f t="shared" si="22"/>
        <v>#N/A</v>
      </c>
      <c r="F477" s="28" t="str">
        <f t="shared" ca="1" si="23"/>
        <v/>
      </c>
    </row>
    <row r="478" spans="2:6" x14ac:dyDescent="0.2">
      <c r="B478" t="str">
        <f>IFERROR(IF('PDCA review'!$D$2=Do!B476,Do!G476,""),"")</f>
        <v/>
      </c>
      <c r="C478">
        <f t="shared" si="21"/>
        <v>0</v>
      </c>
      <c r="D478">
        <f>SUM($C$3:C478)</f>
        <v>4</v>
      </c>
      <c r="E478" t="e">
        <f t="shared" si="22"/>
        <v>#N/A</v>
      </c>
      <c r="F478" s="28" t="str">
        <f t="shared" ca="1" si="23"/>
        <v/>
      </c>
    </row>
    <row r="479" spans="2:6" x14ac:dyDescent="0.2">
      <c r="B479" t="str">
        <f>IFERROR(IF('PDCA review'!$D$2=Do!B477,Do!G477,""),"")</f>
        <v/>
      </c>
      <c r="C479">
        <f t="shared" si="21"/>
        <v>0</v>
      </c>
      <c r="D479">
        <f>SUM($C$3:C479)</f>
        <v>4</v>
      </c>
      <c r="E479" t="e">
        <f t="shared" si="22"/>
        <v>#N/A</v>
      </c>
      <c r="F479" s="28" t="str">
        <f t="shared" ca="1" si="23"/>
        <v/>
      </c>
    </row>
    <row r="480" spans="2:6" x14ac:dyDescent="0.2">
      <c r="B480" t="str">
        <f>IFERROR(IF('PDCA review'!$D$2=Do!B478,Do!G478,""),"")</f>
        <v/>
      </c>
      <c r="C480">
        <f t="shared" si="21"/>
        <v>0</v>
      </c>
      <c r="D480">
        <f>SUM($C$3:C480)</f>
        <v>4</v>
      </c>
      <c r="E480" t="e">
        <f t="shared" si="22"/>
        <v>#N/A</v>
      </c>
      <c r="F480" s="28" t="str">
        <f t="shared" ca="1" si="23"/>
        <v/>
      </c>
    </row>
    <row r="481" spans="2:6" x14ac:dyDescent="0.2">
      <c r="B481" t="str">
        <f>IFERROR(IF('PDCA review'!$D$2=Do!B479,Do!G479,""),"")</f>
        <v/>
      </c>
      <c r="C481">
        <f t="shared" si="21"/>
        <v>0</v>
      </c>
      <c r="D481">
        <f>SUM($C$3:C481)</f>
        <v>4</v>
      </c>
      <c r="E481" t="e">
        <f t="shared" si="22"/>
        <v>#N/A</v>
      </c>
      <c r="F481" s="28" t="str">
        <f t="shared" ca="1" si="23"/>
        <v/>
      </c>
    </row>
    <row r="482" spans="2:6" x14ac:dyDescent="0.2">
      <c r="B482" t="str">
        <f>IFERROR(IF('PDCA review'!$D$2=Do!B480,Do!G480,""),"")</f>
        <v/>
      </c>
      <c r="C482">
        <f t="shared" si="21"/>
        <v>0</v>
      </c>
      <c r="D482">
        <f>SUM($C$3:C482)</f>
        <v>4</v>
      </c>
      <c r="E482" t="e">
        <f t="shared" si="22"/>
        <v>#N/A</v>
      </c>
      <c r="F482" s="28" t="str">
        <f t="shared" ca="1" si="23"/>
        <v/>
      </c>
    </row>
    <row r="483" spans="2:6" x14ac:dyDescent="0.2">
      <c r="B483" t="str">
        <f>IFERROR(IF('PDCA review'!$D$2=Do!B481,Do!G481,""),"")</f>
        <v/>
      </c>
      <c r="C483">
        <f t="shared" si="21"/>
        <v>0</v>
      </c>
      <c r="D483">
        <f>SUM($C$3:C483)</f>
        <v>4</v>
      </c>
      <c r="E483" t="e">
        <f t="shared" si="22"/>
        <v>#N/A</v>
      </c>
      <c r="F483" s="28" t="str">
        <f t="shared" ca="1" si="23"/>
        <v/>
      </c>
    </row>
    <row r="484" spans="2:6" x14ac:dyDescent="0.2">
      <c r="B484" t="str">
        <f>IFERROR(IF('PDCA review'!$D$2=Do!B482,Do!G482,""),"")</f>
        <v/>
      </c>
      <c r="C484">
        <f t="shared" si="21"/>
        <v>0</v>
      </c>
      <c r="D484">
        <f>SUM($C$3:C484)</f>
        <v>4</v>
      </c>
      <c r="E484" t="e">
        <f t="shared" si="22"/>
        <v>#N/A</v>
      </c>
      <c r="F484" s="28" t="str">
        <f t="shared" ca="1" si="23"/>
        <v/>
      </c>
    </row>
    <row r="485" spans="2:6" x14ac:dyDescent="0.2">
      <c r="B485" t="str">
        <f>IFERROR(IF('PDCA review'!$D$2=Do!B483,Do!G483,""),"")</f>
        <v/>
      </c>
      <c r="C485">
        <f t="shared" si="21"/>
        <v>0</v>
      </c>
      <c r="D485">
        <f>SUM($C$3:C485)</f>
        <v>4</v>
      </c>
      <c r="E485" t="e">
        <f t="shared" si="22"/>
        <v>#N/A</v>
      </c>
      <c r="F485" s="28" t="str">
        <f t="shared" ca="1" si="23"/>
        <v/>
      </c>
    </row>
    <row r="486" spans="2:6" x14ac:dyDescent="0.2">
      <c r="B486" t="str">
        <f>IFERROR(IF('PDCA review'!$D$2=Do!B484,Do!G484,""),"")</f>
        <v/>
      </c>
      <c r="C486">
        <f t="shared" si="21"/>
        <v>0</v>
      </c>
      <c r="D486">
        <f>SUM($C$3:C486)</f>
        <v>4</v>
      </c>
      <c r="E486" t="e">
        <f t="shared" si="22"/>
        <v>#N/A</v>
      </c>
      <c r="F486" s="28" t="str">
        <f t="shared" ca="1" si="23"/>
        <v/>
      </c>
    </row>
    <row r="487" spans="2:6" x14ac:dyDescent="0.2">
      <c r="B487" t="str">
        <f>IFERROR(IF('PDCA review'!$D$2=Do!B485,Do!G485,""),"")</f>
        <v/>
      </c>
      <c r="C487">
        <f t="shared" si="21"/>
        <v>0</v>
      </c>
      <c r="D487">
        <f>SUM($C$3:C487)</f>
        <v>4</v>
      </c>
      <c r="E487" t="e">
        <f t="shared" si="22"/>
        <v>#N/A</v>
      </c>
      <c r="F487" s="28" t="str">
        <f t="shared" ca="1" si="23"/>
        <v/>
      </c>
    </row>
    <row r="488" spans="2:6" x14ac:dyDescent="0.2">
      <c r="B488" t="str">
        <f>IFERROR(IF('PDCA review'!$D$2=Do!B486,Do!G486,""),"")</f>
        <v/>
      </c>
      <c r="C488">
        <f t="shared" si="21"/>
        <v>0</v>
      </c>
      <c r="D488">
        <f>SUM($C$3:C488)</f>
        <v>4</v>
      </c>
      <c r="E488" t="e">
        <f t="shared" si="22"/>
        <v>#N/A</v>
      </c>
      <c r="F488" s="28" t="str">
        <f t="shared" ca="1" si="23"/>
        <v/>
      </c>
    </row>
    <row r="489" spans="2:6" x14ac:dyDescent="0.2">
      <c r="B489" t="str">
        <f>IFERROR(IF('PDCA review'!$D$2=Do!B487,Do!G487,""),"")</f>
        <v/>
      </c>
      <c r="C489">
        <f t="shared" si="21"/>
        <v>0</v>
      </c>
      <c r="D489">
        <f>SUM($C$3:C489)</f>
        <v>4</v>
      </c>
      <c r="E489" t="e">
        <f t="shared" si="22"/>
        <v>#N/A</v>
      </c>
      <c r="F489" s="28" t="str">
        <f t="shared" ca="1" si="23"/>
        <v/>
      </c>
    </row>
    <row r="490" spans="2:6" x14ac:dyDescent="0.2">
      <c r="B490" t="str">
        <f>IFERROR(IF('PDCA review'!$D$2=Do!B488,Do!G488,""),"")</f>
        <v/>
      </c>
      <c r="C490">
        <f t="shared" si="21"/>
        <v>0</v>
      </c>
      <c r="D490">
        <f>SUM($C$3:C490)</f>
        <v>4</v>
      </c>
      <c r="E490" t="e">
        <f t="shared" si="22"/>
        <v>#N/A</v>
      </c>
      <c r="F490" s="28" t="str">
        <f t="shared" ca="1" si="23"/>
        <v/>
      </c>
    </row>
    <row r="491" spans="2:6" x14ac:dyDescent="0.2">
      <c r="B491" t="str">
        <f>IFERROR(IF('PDCA review'!$D$2=Do!B489,Do!G489,""),"")</f>
        <v/>
      </c>
      <c r="C491">
        <f t="shared" si="21"/>
        <v>0</v>
      </c>
      <c r="D491">
        <f>SUM($C$3:C491)</f>
        <v>4</v>
      </c>
      <c r="E491" t="e">
        <f t="shared" si="22"/>
        <v>#N/A</v>
      </c>
      <c r="F491" s="28" t="str">
        <f t="shared" ca="1" si="23"/>
        <v/>
      </c>
    </row>
    <row r="492" spans="2:6" x14ac:dyDescent="0.2">
      <c r="B492" t="str">
        <f>IFERROR(IF('PDCA review'!$D$2=Do!B490,Do!G490,""),"")</f>
        <v/>
      </c>
      <c r="C492">
        <f t="shared" si="21"/>
        <v>0</v>
      </c>
      <c r="D492">
        <f>SUM($C$3:C492)</f>
        <v>4</v>
      </c>
      <c r="E492" t="e">
        <f t="shared" si="22"/>
        <v>#N/A</v>
      </c>
      <c r="F492" s="28" t="str">
        <f t="shared" ca="1" si="23"/>
        <v/>
      </c>
    </row>
    <row r="493" spans="2:6" x14ac:dyDescent="0.2">
      <c r="B493" t="str">
        <f>IFERROR(IF('PDCA review'!$D$2=Do!B491,Do!G491,""),"")</f>
        <v/>
      </c>
      <c r="C493">
        <f t="shared" si="21"/>
        <v>0</v>
      </c>
      <c r="D493">
        <f>SUM($C$3:C493)</f>
        <v>4</v>
      </c>
      <c r="E493" t="e">
        <f t="shared" si="22"/>
        <v>#N/A</v>
      </c>
      <c r="F493" s="28" t="str">
        <f t="shared" ca="1" si="23"/>
        <v/>
      </c>
    </row>
    <row r="494" spans="2:6" x14ac:dyDescent="0.2">
      <c r="B494" t="str">
        <f>IFERROR(IF('PDCA review'!$D$2=Do!B492,Do!G492,""),"")</f>
        <v/>
      </c>
      <c r="C494">
        <f t="shared" si="21"/>
        <v>0</v>
      </c>
      <c r="D494">
        <f>SUM($C$3:C494)</f>
        <v>4</v>
      </c>
      <c r="E494" t="e">
        <f t="shared" si="22"/>
        <v>#N/A</v>
      </c>
      <c r="F494" s="28" t="str">
        <f t="shared" ca="1" si="23"/>
        <v/>
      </c>
    </row>
    <row r="495" spans="2:6" x14ac:dyDescent="0.2">
      <c r="B495" t="str">
        <f>IFERROR(IF('PDCA review'!$D$2=Do!B493,Do!G493,""),"")</f>
        <v/>
      </c>
      <c r="C495">
        <f t="shared" si="21"/>
        <v>0</v>
      </c>
      <c r="D495">
        <f>SUM($C$3:C495)</f>
        <v>4</v>
      </c>
      <c r="E495" t="e">
        <f t="shared" si="22"/>
        <v>#N/A</v>
      </c>
      <c r="F495" s="28" t="str">
        <f t="shared" ca="1" si="23"/>
        <v/>
      </c>
    </row>
    <row r="496" spans="2:6" x14ac:dyDescent="0.2">
      <c r="B496" t="str">
        <f>IFERROR(IF('PDCA review'!$D$2=Do!B494,Do!G494,""),"")</f>
        <v/>
      </c>
      <c r="C496">
        <f t="shared" si="21"/>
        <v>0</v>
      </c>
      <c r="D496">
        <f>SUM($C$3:C496)</f>
        <v>4</v>
      </c>
      <c r="E496" t="e">
        <f t="shared" si="22"/>
        <v>#N/A</v>
      </c>
      <c r="F496" s="28" t="str">
        <f t="shared" ca="1" si="23"/>
        <v/>
      </c>
    </row>
    <row r="497" spans="2:6" x14ac:dyDescent="0.2">
      <c r="B497" t="str">
        <f>IFERROR(IF('PDCA review'!$D$2=Do!B495,Do!G495,""),"")</f>
        <v/>
      </c>
      <c r="C497">
        <f t="shared" si="21"/>
        <v>0</v>
      </c>
      <c r="D497">
        <f>SUM($C$3:C497)</f>
        <v>4</v>
      </c>
      <c r="E497" t="e">
        <f t="shared" si="22"/>
        <v>#N/A</v>
      </c>
      <c r="F497" s="28" t="str">
        <f t="shared" ca="1" si="23"/>
        <v/>
      </c>
    </row>
    <row r="498" spans="2:6" x14ac:dyDescent="0.2">
      <c r="B498" t="str">
        <f>IFERROR(IF('PDCA review'!$D$2=Do!B496,Do!G496,""),"")</f>
        <v/>
      </c>
      <c r="C498">
        <f t="shared" si="21"/>
        <v>0</v>
      </c>
      <c r="D498">
        <f>SUM($C$3:C498)</f>
        <v>4</v>
      </c>
      <c r="E498" t="e">
        <f t="shared" si="22"/>
        <v>#N/A</v>
      </c>
      <c r="F498" s="28" t="str">
        <f t="shared" ca="1" si="23"/>
        <v/>
      </c>
    </row>
    <row r="499" spans="2:6" x14ac:dyDescent="0.2">
      <c r="B499" t="str">
        <f>IFERROR(IF('PDCA review'!$D$2=Do!B497,Do!G497,""),"")</f>
        <v/>
      </c>
      <c r="C499">
        <f t="shared" si="21"/>
        <v>0</v>
      </c>
      <c r="D499">
        <f>SUM($C$3:C499)</f>
        <v>4</v>
      </c>
      <c r="E499" t="e">
        <f t="shared" si="22"/>
        <v>#N/A</v>
      </c>
      <c r="F499" s="28" t="str">
        <f t="shared" ca="1" si="23"/>
        <v/>
      </c>
    </row>
    <row r="500" spans="2:6" x14ac:dyDescent="0.2">
      <c r="B500" t="str">
        <f>IFERROR(IF('PDCA review'!$D$2=Do!B498,Do!G498,""),"")</f>
        <v/>
      </c>
      <c r="C500">
        <f t="shared" si="21"/>
        <v>0</v>
      </c>
      <c r="D500">
        <f>SUM($C$3:C500)</f>
        <v>4</v>
      </c>
      <c r="E500" t="e">
        <f t="shared" si="22"/>
        <v>#N/A</v>
      </c>
      <c r="F500" s="28" t="str">
        <f t="shared" ca="1" si="23"/>
        <v/>
      </c>
    </row>
    <row r="501" spans="2:6" x14ac:dyDescent="0.2">
      <c r="B501" t="str">
        <f>IFERROR(IF('PDCA review'!$D$2=Do!B499,Do!G499,""),"")</f>
        <v/>
      </c>
      <c r="C501">
        <f t="shared" si="21"/>
        <v>0</v>
      </c>
      <c r="D501">
        <f>SUM($C$3:C501)</f>
        <v>4</v>
      </c>
      <c r="E501" t="e">
        <f t="shared" si="22"/>
        <v>#N/A</v>
      </c>
      <c r="F501" s="28" t="str">
        <f t="shared" ca="1" si="23"/>
        <v/>
      </c>
    </row>
    <row r="502" spans="2:6" x14ac:dyDescent="0.2">
      <c r="B502" t="str">
        <f>IFERROR(IF('PDCA review'!$D$2=Do!B500,Do!G500,""),"")</f>
        <v/>
      </c>
      <c r="C502">
        <f t="shared" si="21"/>
        <v>0</v>
      </c>
      <c r="D502">
        <f>SUM($C$3:C502)</f>
        <v>4</v>
      </c>
      <c r="E502" t="e">
        <f t="shared" si="22"/>
        <v>#N/A</v>
      </c>
      <c r="F502" s="28" t="str">
        <f t="shared" ca="1" si="23"/>
        <v/>
      </c>
    </row>
    <row r="503" spans="2:6" x14ac:dyDescent="0.2">
      <c r="B503" t="str">
        <f>IFERROR(IF('PDCA review'!$D$2=Do!B501,Do!G501,""),"")</f>
        <v/>
      </c>
      <c r="C503">
        <f t="shared" si="21"/>
        <v>0</v>
      </c>
      <c r="D503">
        <f>SUM($C$3:C503)</f>
        <v>4</v>
      </c>
      <c r="E503" t="e">
        <f t="shared" si="22"/>
        <v>#N/A</v>
      </c>
      <c r="F503" s="28" t="str">
        <f t="shared" ca="1" si="23"/>
        <v/>
      </c>
    </row>
    <row r="504" spans="2:6" x14ac:dyDescent="0.2">
      <c r="B504" t="str">
        <f>IFERROR(IF('PDCA review'!$D$2=Do!B502,Do!G502,""),"")</f>
        <v/>
      </c>
      <c r="C504">
        <f t="shared" si="21"/>
        <v>0</v>
      </c>
      <c r="D504">
        <f>SUM($C$3:C504)</f>
        <v>4</v>
      </c>
      <c r="E504" t="e">
        <f t="shared" si="22"/>
        <v>#N/A</v>
      </c>
      <c r="F504" s="28" t="str">
        <f t="shared" ca="1" si="23"/>
        <v/>
      </c>
    </row>
    <row r="505" spans="2:6" x14ac:dyDescent="0.2">
      <c r="B505" t="str">
        <f>IFERROR(IF('PDCA review'!$D$2=Do!B503,Do!G503,""),"")</f>
        <v/>
      </c>
      <c r="C505">
        <f t="shared" si="21"/>
        <v>0</v>
      </c>
      <c r="D505">
        <f>SUM($C$3:C505)</f>
        <v>4</v>
      </c>
      <c r="E505" t="e">
        <f t="shared" si="22"/>
        <v>#N/A</v>
      </c>
      <c r="F505" s="28" t="str">
        <f t="shared" ca="1" si="23"/>
        <v/>
      </c>
    </row>
    <row r="506" spans="2:6" x14ac:dyDescent="0.2">
      <c r="B506" t="str">
        <f>IFERROR(IF('PDCA review'!$D$2=Do!B504,Do!G504,""),"")</f>
        <v/>
      </c>
      <c r="C506">
        <f t="shared" si="21"/>
        <v>0</v>
      </c>
      <c r="D506">
        <f>SUM($C$3:C506)</f>
        <v>4</v>
      </c>
      <c r="E506" t="e">
        <f t="shared" si="22"/>
        <v>#N/A</v>
      </c>
      <c r="F506" s="28" t="str">
        <f t="shared" ca="1" si="23"/>
        <v/>
      </c>
    </row>
    <row r="507" spans="2:6" x14ac:dyDescent="0.2">
      <c r="B507" t="str">
        <f>IFERROR(IF('PDCA review'!$D$2=Do!B505,Do!G505,""),"")</f>
        <v/>
      </c>
      <c r="C507">
        <f t="shared" si="21"/>
        <v>0</v>
      </c>
      <c r="D507">
        <f>SUM($C$3:C507)</f>
        <v>4</v>
      </c>
      <c r="E507" t="e">
        <f t="shared" si="22"/>
        <v>#N/A</v>
      </c>
      <c r="F507" s="28" t="str">
        <f t="shared" ca="1" si="23"/>
        <v/>
      </c>
    </row>
    <row r="508" spans="2:6" x14ac:dyDescent="0.2">
      <c r="B508" t="str">
        <f>IFERROR(IF('PDCA review'!$D$2=Do!B506,Do!G506,""),"")</f>
        <v/>
      </c>
      <c r="C508">
        <f t="shared" si="21"/>
        <v>0</v>
      </c>
      <c r="D508">
        <f>SUM($C$3:C508)</f>
        <v>4</v>
      </c>
      <c r="E508" t="e">
        <f t="shared" si="22"/>
        <v>#N/A</v>
      </c>
      <c r="F508" s="28" t="str">
        <f t="shared" ca="1" si="23"/>
        <v/>
      </c>
    </row>
    <row r="509" spans="2:6" x14ac:dyDescent="0.2">
      <c r="B509" t="str">
        <f>IFERROR(IF('PDCA review'!$D$2=Do!B507,Do!G507,""),"")</f>
        <v/>
      </c>
      <c r="C509">
        <f t="shared" si="21"/>
        <v>0</v>
      </c>
      <c r="D509">
        <f>SUM($C$3:C509)</f>
        <v>4</v>
      </c>
      <c r="E509" t="e">
        <f t="shared" si="22"/>
        <v>#N/A</v>
      </c>
      <c r="F509" s="28" t="str">
        <f t="shared" ca="1" si="23"/>
        <v/>
      </c>
    </row>
    <row r="510" spans="2:6" x14ac:dyDescent="0.2">
      <c r="B510" t="str">
        <f>IFERROR(IF('PDCA review'!$D$2=Do!B508,Do!G508,""),"")</f>
        <v/>
      </c>
      <c r="C510">
        <f t="shared" si="21"/>
        <v>0</v>
      </c>
      <c r="D510">
        <f>SUM($C$3:C510)</f>
        <v>4</v>
      </c>
      <c r="E510" t="e">
        <f t="shared" si="22"/>
        <v>#N/A</v>
      </c>
      <c r="F510" s="28" t="str">
        <f t="shared" ca="1" si="23"/>
        <v/>
      </c>
    </row>
    <row r="511" spans="2:6" x14ac:dyDescent="0.2">
      <c r="B511" t="str">
        <f>IFERROR(IF('PDCA review'!$D$2=Do!B509,Do!G509,""),"")</f>
        <v/>
      </c>
      <c r="C511">
        <f t="shared" si="21"/>
        <v>0</v>
      </c>
      <c r="D511">
        <f>SUM($C$3:C511)</f>
        <v>4</v>
      </c>
      <c r="E511" t="e">
        <f t="shared" si="22"/>
        <v>#N/A</v>
      </c>
      <c r="F511" s="28" t="str">
        <f t="shared" ca="1" si="23"/>
        <v/>
      </c>
    </row>
    <row r="512" spans="2:6" x14ac:dyDescent="0.2">
      <c r="B512" t="str">
        <f>IFERROR(IF('PDCA review'!$D$2=Do!B510,Do!G510,""),"")</f>
        <v/>
      </c>
      <c r="C512">
        <f t="shared" si="21"/>
        <v>0</v>
      </c>
      <c r="D512">
        <f>SUM($C$3:C512)</f>
        <v>4</v>
      </c>
      <c r="E512" t="e">
        <f t="shared" si="22"/>
        <v>#N/A</v>
      </c>
      <c r="F512" s="28" t="str">
        <f t="shared" ca="1" si="23"/>
        <v/>
      </c>
    </row>
    <row r="513" spans="2:6" x14ac:dyDescent="0.2">
      <c r="B513" t="str">
        <f>IFERROR(IF('PDCA review'!$D$2=Do!B511,Do!G511,""),"")</f>
        <v/>
      </c>
      <c r="C513">
        <f t="shared" si="21"/>
        <v>0</v>
      </c>
      <c r="D513">
        <f>SUM($C$3:C513)</f>
        <v>4</v>
      </c>
      <c r="E513" t="e">
        <f t="shared" si="22"/>
        <v>#N/A</v>
      </c>
      <c r="F513" s="28" t="str">
        <f t="shared" ca="1" si="23"/>
        <v/>
      </c>
    </row>
    <row r="514" spans="2:6" x14ac:dyDescent="0.2">
      <c r="B514" t="str">
        <f>IFERROR(IF('PDCA review'!$D$2=Do!B512,Do!G512,""),"")</f>
        <v/>
      </c>
      <c r="C514">
        <f t="shared" si="21"/>
        <v>0</v>
      </c>
      <c r="D514">
        <f>SUM($C$3:C514)</f>
        <v>4</v>
      </c>
      <c r="E514" t="e">
        <f t="shared" si="22"/>
        <v>#N/A</v>
      </c>
      <c r="F514" s="28" t="str">
        <f t="shared" ca="1" si="23"/>
        <v/>
      </c>
    </row>
    <row r="515" spans="2:6" x14ac:dyDescent="0.2">
      <c r="B515" t="str">
        <f>IFERROR(IF('PDCA review'!$D$2=Do!B513,Do!G513,""),"")</f>
        <v/>
      </c>
      <c r="C515">
        <f t="shared" si="21"/>
        <v>0</v>
      </c>
      <c r="D515">
        <f>SUM($C$3:C515)</f>
        <v>4</v>
      </c>
      <c r="E515" t="e">
        <f t="shared" si="22"/>
        <v>#N/A</v>
      </c>
      <c r="F515" s="28" t="str">
        <f t="shared" ca="1" si="23"/>
        <v/>
      </c>
    </row>
    <row r="516" spans="2:6" x14ac:dyDescent="0.2">
      <c r="B516" t="str">
        <f>IFERROR(IF('PDCA review'!$D$2=Do!B514,Do!G514,""),"")</f>
        <v/>
      </c>
      <c r="C516">
        <f t="shared" ref="C516:C579" si="24">IF(B516&lt;&gt;"",1,0)</f>
        <v>0</v>
      </c>
      <c r="D516">
        <f>SUM($C$3:C516)</f>
        <v>4</v>
      </c>
      <c r="E516" t="e">
        <f t="shared" ref="E516:E579" si="25">MATCH(ROW()-$D$2,$D$3:$D$2000,0)+$D$2</f>
        <v>#N/A</v>
      </c>
      <c r="F516" s="28" t="str">
        <f t="shared" ref="F516:F579" ca="1" si="26">IFERROR(INDIRECT("B"&amp;E516),"")</f>
        <v/>
      </c>
    </row>
    <row r="517" spans="2:6" x14ac:dyDescent="0.2">
      <c r="B517" t="str">
        <f>IFERROR(IF('PDCA review'!$D$2=Do!B515,Do!G515,""),"")</f>
        <v/>
      </c>
      <c r="C517">
        <f t="shared" si="24"/>
        <v>0</v>
      </c>
      <c r="D517">
        <f>SUM($C$3:C517)</f>
        <v>4</v>
      </c>
      <c r="E517" t="e">
        <f t="shared" si="25"/>
        <v>#N/A</v>
      </c>
      <c r="F517" s="28" t="str">
        <f t="shared" ca="1" si="26"/>
        <v/>
      </c>
    </row>
    <row r="518" spans="2:6" x14ac:dyDescent="0.2">
      <c r="B518" t="str">
        <f>IFERROR(IF('PDCA review'!$D$2=Do!B516,Do!G516,""),"")</f>
        <v/>
      </c>
      <c r="C518">
        <f t="shared" si="24"/>
        <v>0</v>
      </c>
      <c r="D518">
        <f>SUM($C$3:C518)</f>
        <v>4</v>
      </c>
      <c r="E518" t="e">
        <f t="shared" si="25"/>
        <v>#N/A</v>
      </c>
      <c r="F518" s="28" t="str">
        <f t="shared" ca="1" si="26"/>
        <v/>
      </c>
    </row>
    <row r="519" spans="2:6" x14ac:dyDescent="0.2">
      <c r="B519" t="str">
        <f>IFERROR(IF('PDCA review'!$D$2=Do!B517,Do!G517,""),"")</f>
        <v/>
      </c>
      <c r="C519">
        <f t="shared" si="24"/>
        <v>0</v>
      </c>
      <c r="D519">
        <f>SUM($C$3:C519)</f>
        <v>4</v>
      </c>
      <c r="E519" t="e">
        <f t="shared" si="25"/>
        <v>#N/A</v>
      </c>
      <c r="F519" s="28" t="str">
        <f t="shared" ca="1" si="26"/>
        <v/>
      </c>
    </row>
    <row r="520" spans="2:6" x14ac:dyDescent="0.2">
      <c r="B520" t="str">
        <f>IFERROR(IF('PDCA review'!$D$2=Do!B518,Do!G518,""),"")</f>
        <v/>
      </c>
      <c r="C520">
        <f t="shared" si="24"/>
        <v>0</v>
      </c>
      <c r="D520">
        <f>SUM($C$3:C520)</f>
        <v>4</v>
      </c>
      <c r="E520" t="e">
        <f t="shared" si="25"/>
        <v>#N/A</v>
      </c>
      <c r="F520" s="28" t="str">
        <f t="shared" ca="1" si="26"/>
        <v/>
      </c>
    </row>
    <row r="521" spans="2:6" x14ac:dyDescent="0.2">
      <c r="B521" t="str">
        <f>IFERROR(IF('PDCA review'!$D$2=Do!B519,Do!G519,""),"")</f>
        <v/>
      </c>
      <c r="C521">
        <f t="shared" si="24"/>
        <v>0</v>
      </c>
      <c r="D521">
        <f>SUM($C$3:C521)</f>
        <v>4</v>
      </c>
      <c r="E521" t="e">
        <f t="shared" si="25"/>
        <v>#N/A</v>
      </c>
      <c r="F521" s="28" t="str">
        <f t="shared" ca="1" si="26"/>
        <v/>
      </c>
    </row>
    <row r="522" spans="2:6" x14ac:dyDescent="0.2">
      <c r="B522" t="str">
        <f>IFERROR(IF('PDCA review'!$D$2=Do!B520,Do!G520,""),"")</f>
        <v/>
      </c>
      <c r="C522">
        <f t="shared" si="24"/>
        <v>0</v>
      </c>
      <c r="D522">
        <f>SUM($C$3:C522)</f>
        <v>4</v>
      </c>
      <c r="E522" t="e">
        <f t="shared" si="25"/>
        <v>#N/A</v>
      </c>
      <c r="F522" s="28" t="str">
        <f t="shared" ca="1" si="26"/>
        <v/>
      </c>
    </row>
    <row r="523" spans="2:6" x14ac:dyDescent="0.2">
      <c r="B523" t="str">
        <f>IFERROR(IF('PDCA review'!$D$2=Do!B521,Do!G521,""),"")</f>
        <v/>
      </c>
      <c r="C523">
        <f t="shared" si="24"/>
        <v>0</v>
      </c>
      <c r="D523">
        <f>SUM($C$3:C523)</f>
        <v>4</v>
      </c>
      <c r="E523" t="e">
        <f t="shared" si="25"/>
        <v>#N/A</v>
      </c>
      <c r="F523" s="28" t="str">
        <f t="shared" ca="1" si="26"/>
        <v/>
      </c>
    </row>
    <row r="524" spans="2:6" x14ac:dyDescent="0.2">
      <c r="B524" t="str">
        <f>IFERROR(IF('PDCA review'!$D$2=Do!B522,Do!G522,""),"")</f>
        <v/>
      </c>
      <c r="C524">
        <f t="shared" si="24"/>
        <v>0</v>
      </c>
      <c r="D524">
        <f>SUM($C$3:C524)</f>
        <v>4</v>
      </c>
      <c r="E524" t="e">
        <f t="shared" si="25"/>
        <v>#N/A</v>
      </c>
      <c r="F524" s="28" t="str">
        <f t="shared" ca="1" si="26"/>
        <v/>
      </c>
    </row>
    <row r="525" spans="2:6" x14ac:dyDescent="0.2">
      <c r="B525" t="str">
        <f>IFERROR(IF('PDCA review'!$D$2=Do!B523,Do!G523,""),"")</f>
        <v/>
      </c>
      <c r="C525">
        <f t="shared" si="24"/>
        <v>0</v>
      </c>
      <c r="D525">
        <f>SUM($C$3:C525)</f>
        <v>4</v>
      </c>
      <c r="E525" t="e">
        <f t="shared" si="25"/>
        <v>#N/A</v>
      </c>
      <c r="F525" s="28" t="str">
        <f t="shared" ca="1" si="26"/>
        <v/>
      </c>
    </row>
    <row r="526" spans="2:6" x14ac:dyDescent="0.2">
      <c r="B526" t="str">
        <f>IFERROR(IF('PDCA review'!$D$2=Do!B524,Do!G524,""),"")</f>
        <v/>
      </c>
      <c r="C526">
        <f t="shared" si="24"/>
        <v>0</v>
      </c>
      <c r="D526">
        <f>SUM($C$3:C526)</f>
        <v>4</v>
      </c>
      <c r="E526" t="e">
        <f t="shared" si="25"/>
        <v>#N/A</v>
      </c>
      <c r="F526" s="28" t="str">
        <f t="shared" ca="1" si="26"/>
        <v/>
      </c>
    </row>
    <row r="527" spans="2:6" x14ac:dyDescent="0.2">
      <c r="B527" t="str">
        <f>IFERROR(IF('PDCA review'!$D$2=Do!B525,Do!G525,""),"")</f>
        <v/>
      </c>
      <c r="C527">
        <f t="shared" si="24"/>
        <v>0</v>
      </c>
      <c r="D527">
        <f>SUM($C$3:C527)</f>
        <v>4</v>
      </c>
      <c r="E527" t="e">
        <f t="shared" si="25"/>
        <v>#N/A</v>
      </c>
      <c r="F527" s="28" t="str">
        <f t="shared" ca="1" si="26"/>
        <v/>
      </c>
    </row>
    <row r="528" spans="2:6" x14ac:dyDescent="0.2">
      <c r="B528" t="str">
        <f>IFERROR(IF('PDCA review'!$D$2=Do!B526,Do!G526,""),"")</f>
        <v/>
      </c>
      <c r="C528">
        <f t="shared" si="24"/>
        <v>0</v>
      </c>
      <c r="D528">
        <f>SUM($C$3:C528)</f>
        <v>4</v>
      </c>
      <c r="E528" t="e">
        <f t="shared" si="25"/>
        <v>#N/A</v>
      </c>
      <c r="F528" s="28" t="str">
        <f t="shared" ca="1" si="26"/>
        <v/>
      </c>
    </row>
    <row r="529" spans="2:6" x14ac:dyDescent="0.2">
      <c r="B529" t="str">
        <f>IFERROR(IF('PDCA review'!$D$2=Do!B527,Do!G527,""),"")</f>
        <v/>
      </c>
      <c r="C529">
        <f t="shared" si="24"/>
        <v>0</v>
      </c>
      <c r="D529">
        <f>SUM($C$3:C529)</f>
        <v>4</v>
      </c>
      <c r="E529" t="e">
        <f t="shared" si="25"/>
        <v>#N/A</v>
      </c>
      <c r="F529" s="28" t="str">
        <f t="shared" ca="1" si="26"/>
        <v/>
      </c>
    </row>
    <row r="530" spans="2:6" x14ac:dyDescent="0.2">
      <c r="B530" t="str">
        <f>IFERROR(IF('PDCA review'!$D$2=Do!B528,Do!G528,""),"")</f>
        <v/>
      </c>
      <c r="C530">
        <f t="shared" si="24"/>
        <v>0</v>
      </c>
      <c r="D530">
        <f>SUM($C$3:C530)</f>
        <v>4</v>
      </c>
      <c r="E530" t="e">
        <f t="shared" si="25"/>
        <v>#N/A</v>
      </c>
      <c r="F530" s="28" t="str">
        <f t="shared" ca="1" si="26"/>
        <v/>
      </c>
    </row>
    <row r="531" spans="2:6" x14ac:dyDescent="0.2">
      <c r="B531" t="str">
        <f>IFERROR(IF('PDCA review'!$D$2=Do!B529,Do!G529,""),"")</f>
        <v/>
      </c>
      <c r="C531">
        <f t="shared" si="24"/>
        <v>0</v>
      </c>
      <c r="D531">
        <f>SUM($C$3:C531)</f>
        <v>4</v>
      </c>
      <c r="E531" t="e">
        <f t="shared" si="25"/>
        <v>#N/A</v>
      </c>
      <c r="F531" s="28" t="str">
        <f t="shared" ca="1" si="26"/>
        <v/>
      </c>
    </row>
    <row r="532" spans="2:6" x14ac:dyDescent="0.2">
      <c r="B532" t="str">
        <f>IFERROR(IF('PDCA review'!$D$2=Do!B530,Do!G530,""),"")</f>
        <v/>
      </c>
      <c r="C532">
        <f t="shared" si="24"/>
        <v>0</v>
      </c>
      <c r="D532">
        <f>SUM($C$3:C532)</f>
        <v>4</v>
      </c>
      <c r="E532" t="e">
        <f t="shared" si="25"/>
        <v>#N/A</v>
      </c>
      <c r="F532" s="28" t="str">
        <f t="shared" ca="1" si="26"/>
        <v/>
      </c>
    </row>
    <row r="533" spans="2:6" x14ac:dyDescent="0.2">
      <c r="B533" t="str">
        <f>IFERROR(IF('PDCA review'!$D$2=Do!B531,Do!G531,""),"")</f>
        <v/>
      </c>
      <c r="C533">
        <f t="shared" si="24"/>
        <v>0</v>
      </c>
      <c r="D533">
        <f>SUM($C$3:C533)</f>
        <v>4</v>
      </c>
      <c r="E533" t="e">
        <f t="shared" si="25"/>
        <v>#N/A</v>
      </c>
      <c r="F533" s="28" t="str">
        <f t="shared" ca="1" si="26"/>
        <v/>
      </c>
    </row>
    <row r="534" spans="2:6" x14ac:dyDescent="0.2">
      <c r="B534" t="str">
        <f>IFERROR(IF('PDCA review'!$D$2=Do!B532,Do!G532,""),"")</f>
        <v/>
      </c>
      <c r="C534">
        <f t="shared" si="24"/>
        <v>0</v>
      </c>
      <c r="D534">
        <f>SUM($C$3:C534)</f>
        <v>4</v>
      </c>
      <c r="E534" t="e">
        <f t="shared" si="25"/>
        <v>#N/A</v>
      </c>
      <c r="F534" s="28" t="str">
        <f t="shared" ca="1" si="26"/>
        <v/>
      </c>
    </row>
    <row r="535" spans="2:6" x14ac:dyDescent="0.2">
      <c r="B535" t="str">
        <f>IFERROR(IF('PDCA review'!$D$2=Do!B533,Do!G533,""),"")</f>
        <v/>
      </c>
      <c r="C535">
        <f t="shared" si="24"/>
        <v>0</v>
      </c>
      <c r="D535">
        <f>SUM($C$3:C535)</f>
        <v>4</v>
      </c>
      <c r="E535" t="e">
        <f t="shared" si="25"/>
        <v>#N/A</v>
      </c>
      <c r="F535" s="28" t="str">
        <f t="shared" ca="1" si="26"/>
        <v/>
      </c>
    </row>
    <row r="536" spans="2:6" x14ac:dyDescent="0.2">
      <c r="B536" t="str">
        <f>IFERROR(IF('PDCA review'!$D$2=Do!B534,Do!G534,""),"")</f>
        <v/>
      </c>
      <c r="C536">
        <f t="shared" si="24"/>
        <v>0</v>
      </c>
      <c r="D536">
        <f>SUM($C$3:C536)</f>
        <v>4</v>
      </c>
      <c r="E536" t="e">
        <f t="shared" si="25"/>
        <v>#N/A</v>
      </c>
      <c r="F536" s="28" t="str">
        <f t="shared" ca="1" si="26"/>
        <v/>
      </c>
    </row>
    <row r="537" spans="2:6" x14ac:dyDescent="0.2">
      <c r="B537" t="str">
        <f>IFERROR(IF('PDCA review'!$D$2=Do!B535,Do!G535,""),"")</f>
        <v/>
      </c>
      <c r="C537">
        <f t="shared" si="24"/>
        <v>0</v>
      </c>
      <c r="D537">
        <f>SUM($C$3:C537)</f>
        <v>4</v>
      </c>
      <c r="E537" t="e">
        <f t="shared" si="25"/>
        <v>#N/A</v>
      </c>
      <c r="F537" s="28" t="str">
        <f t="shared" ca="1" si="26"/>
        <v/>
      </c>
    </row>
    <row r="538" spans="2:6" x14ac:dyDescent="0.2">
      <c r="B538" t="str">
        <f>IFERROR(IF('PDCA review'!$D$2=Do!B536,Do!G536,""),"")</f>
        <v/>
      </c>
      <c r="C538">
        <f t="shared" si="24"/>
        <v>0</v>
      </c>
      <c r="D538">
        <f>SUM($C$3:C538)</f>
        <v>4</v>
      </c>
      <c r="E538" t="e">
        <f t="shared" si="25"/>
        <v>#N/A</v>
      </c>
      <c r="F538" s="28" t="str">
        <f t="shared" ca="1" si="26"/>
        <v/>
      </c>
    </row>
    <row r="539" spans="2:6" x14ac:dyDescent="0.2">
      <c r="B539" t="str">
        <f>IFERROR(IF('PDCA review'!$D$2=Do!B537,Do!G537,""),"")</f>
        <v/>
      </c>
      <c r="C539">
        <f t="shared" si="24"/>
        <v>0</v>
      </c>
      <c r="D539">
        <f>SUM($C$3:C539)</f>
        <v>4</v>
      </c>
      <c r="E539" t="e">
        <f t="shared" si="25"/>
        <v>#N/A</v>
      </c>
      <c r="F539" s="28" t="str">
        <f t="shared" ca="1" si="26"/>
        <v/>
      </c>
    </row>
    <row r="540" spans="2:6" x14ac:dyDescent="0.2">
      <c r="B540" t="str">
        <f>IFERROR(IF('PDCA review'!$D$2=Do!B538,Do!G538,""),"")</f>
        <v/>
      </c>
      <c r="C540">
        <f t="shared" si="24"/>
        <v>0</v>
      </c>
      <c r="D540">
        <f>SUM($C$3:C540)</f>
        <v>4</v>
      </c>
      <c r="E540" t="e">
        <f t="shared" si="25"/>
        <v>#N/A</v>
      </c>
      <c r="F540" s="28" t="str">
        <f t="shared" ca="1" si="26"/>
        <v/>
      </c>
    </row>
    <row r="541" spans="2:6" x14ac:dyDescent="0.2">
      <c r="B541" t="str">
        <f>IFERROR(IF('PDCA review'!$D$2=Do!B539,Do!G539,""),"")</f>
        <v/>
      </c>
      <c r="C541">
        <f t="shared" si="24"/>
        <v>0</v>
      </c>
      <c r="D541">
        <f>SUM($C$3:C541)</f>
        <v>4</v>
      </c>
      <c r="E541" t="e">
        <f t="shared" si="25"/>
        <v>#N/A</v>
      </c>
      <c r="F541" s="28" t="str">
        <f t="shared" ca="1" si="26"/>
        <v/>
      </c>
    </row>
    <row r="542" spans="2:6" x14ac:dyDescent="0.2">
      <c r="B542" t="str">
        <f>IFERROR(IF('PDCA review'!$D$2=Do!B540,Do!G540,""),"")</f>
        <v/>
      </c>
      <c r="C542">
        <f t="shared" si="24"/>
        <v>0</v>
      </c>
      <c r="D542">
        <f>SUM($C$3:C542)</f>
        <v>4</v>
      </c>
      <c r="E542" t="e">
        <f t="shared" si="25"/>
        <v>#N/A</v>
      </c>
      <c r="F542" s="28" t="str">
        <f t="shared" ca="1" si="26"/>
        <v/>
      </c>
    </row>
    <row r="543" spans="2:6" x14ac:dyDescent="0.2">
      <c r="B543" t="str">
        <f>IFERROR(IF('PDCA review'!$D$2=Do!B541,Do!G541,""),"")</f>
        <v/>
      </c>
      <c r="C543">
        <f t="shared" si="24"/>
        <v>0</v>
      </c>
      <c r="D543">
        <f>SUM($C$3:C543)</f>
        <v>4</v>
      </c>
      <c r="E543" t="e">
        <f t="shared" si="25"/>
        <v>#N/A</v>
      </c>
      <c r="F543" s="28" t="str">
        <f t="shared" ca="1" si="26"/>
        <v/>
      </c>
    </row>
    <row r="544" spans="2:6" x14ac:dyDescent="0.2">
      <c r="B544" t="str">
        <f>IFERROR(IF('PDCA review'!$D$2=Do!B542,Do!G542,""),"")</f>
        <v/>
      </c>
      <c r="C544">
        <f t="shared" si="24"/>
        <v>0</v>
      </c>
      <c r="D544">
        <f>SUM($C$3:C544)</f>
        <v>4</v>
      </c>
      <c r="E544" t="e">
        <f t="shared" si="25"/>
        <v>#N/A</v>
      </c>
      <c r="F544" s="28" t="str">
        <f t="shared" ca="1" si="26"/>
        <v/>
      </c>
    </row>
    <row r="545" spans="2:6" x14ac:dyDescent="0.2">
      <c r="B545" t="str">
        <f>IFERROR(IF('PDCA review'!$D$2=Do!B543,Do!G543,""),"")</f>
        <v/>
      </c>
      <c r="C545">
        <f t="shared" si="24"/>
        <v>0</v>
      </c>
      <c r="D545">
        <f>SUM($C$3:C545)</f>
        <v>4</v>
      </c>
      <c r="E545" t="e">
        <f t="shared" si="25"/>
        <v>#N/A</v>
      </c>
      <c r="F545" s="28" t="str">
        <f t="shared" ca="1" si="26"/>
        <v/>
      </c>
    </row>
    <row r="546" spans="2:6" x14ac:dyDescent="0.2">
      <c r="B546" t="str">
        <f>IFERROR(IF('PDCA review'!$D$2=Do!B544,Do!G544,""),"")</f>
        <v/>
      </c>
      <c r="C546">
        <f t="shared" si="24"/>
        <v>0</v>
      </c>
      <c r="D546">
        <f>SUM($C$3:C546)</f>
        <v>4</v>
      </c>
      <c r="E546" t="e">
        <f t="shared" si="25"/>
        <v>#N/A</v>
      </c>
      <c r="F546" s="28" t="str">
        <f t="shared" ca="1" si="26"/>
        <v/>
      </c>
    </row>
    <row r="547" spans="2:6" x14ac:dyDescent="0.2">
      <c r="B547" t="str">
        <f>IFERROR(IF('PDCA review'!$D$2=Do!B545,Do!G545,""),"")</f>
        <v/>
      </c>
      <c r="C547">
        <f t="shared" si="24"/>
        <v>0</v>
      </c>
      <c r="D547">
        <f>SUM($C$3:C547)</f>
        <v>4</v>
      </c>
      <c r="E547" t="e">
        <f t="shared" si="25"/>
        <v>#N/A</v>
      </c>
      <c r="F547" s="28" t="str">
        <f t="shared" ca="1" si="26"/>
        <v/>
      </c>
    </row>
    <row r="548" spans="2:6" x14ac:dyDescent="0.2">
      <c r="B548" t="str">
        <f>IFERROR(IF('PDCA review'!$D$2=Do!B546,Do!G546,""),"")</f>
        <v/>
      </c>
      <c r="C548">
        <f t="shared" si="24"/>
        <v>0</v>
      </c>
      <c r="D548">
        <f>SUM($C$3:C548)</f>
        <v>4</v>
      </c>
      <c r="E548" t="e">
        <f t="shared" si="25"/>
        <v>#N/A</v>
      </c>
      <c r="F548" s="28" t="str">
        <f t="shared" ca="1" si="26"/>
        <v/>
      </c>
    </row>
    <row r="549" spans="2:6" x14ac:dyDescent="0.2">
      <c r="B549" t="str">
        <f>IFERROR(IF('PDCA review'!$D$2=Do!B547,Do!G547,""),"")</f>
        <v/>
      </c>
      <c r="C549">
        <f t="shared" si="24"/>
        <v>0</v>
      </c>
      <c r="D549">
        <f>SUM($C$3:C549)</f>
        <v>4</v>
      </c>
      <c r="E549" t="e">
        <f t="shared" si="25"/>
        <v>#N/A</v>
      </c>
      <c r="F549" s="28" t="str">
        <f t="shared" ca="1" si="26"/>
        <v/>
      </c>
    </row>
    <row r="550" spans="2:6" x14ac:dyDescent="0.2">
      <c r="B550" t="str">
        <f>IFERROR(IF('PDCA review'!$D$2=Do!B548,Do!G548,""),"")</f>
        <v/>
      </c>
      <c r="C550">
        <f t="shared" si="24"/>
        <v>0</v>
      </c>
      <c r="D550">
        <f>SUM($C$3:C550)</f>
        <v>4</v>
      </c>
      <c r="E550" t="e">
        <f t="shared" si="25"/>
        <v>#N/A</v>
      </c>
      <c r="F550" s="28" t="str">
        <f t="shared" ca="1" si="26"/>
        <v/>
      </c>
    </row>
    <row r="551" spans="2:6" x14ac:dyDescent="0.2">
      <c r="B551" t="str">
        <f>IFERROR(IF('PDCA review'!$D$2=Do!B549,Do!G549,""),"")</f>
        <v/>
      </c>
      <c r="C551">
        <f t="shared" si="24"/>
        <v>0</v>
      </c>
      <c r="D551">
        <f>SUM($C$3:C551)</f>
        <v>4</v>
      </c>
      <c r="E551" t="e">
        <f t="shared" si="25"/>
        <v>#N/A</v>
      </c>
      <c r="F551" s="28" t="str">
        <f t="shared" ca="1" si="26"/>
        <v/>
      </c>
    </row>
    <row r="552" spans="2:6" x14ac:dyDescent="0.2">
      <c r="B552" t="str">
        <f>IFERROR(IF('PDCA review'!$D$2=Do!B550,Do!G550,""),"")</f>
        <v/>
      </c>
      <c r="C552">
        <f t="shared" si="24"/>
        <v>0</v>
      </c>
      <c r="D552">
        <f>SUM($C$3:C552)</f>
        <v>4</v>
      </c>
      <c r="E552" t="e">
        <f t="shared" si="25"/>
        <v>#N/A</v>
      </c>
      <c r="F552" s="28" t="str">
        <f t="shared" ca="1" si="26"/>
        <v/>
      </c>
    </row>
    <row r="553" spans="2:6" x14ac:dyDescent="0.2">
      <c r="B553" t="str">
        <f>IFERROR(IF('PDCA review'!$D$2=Do!B551,Do!G551,""),"")</f>
        <v/>
      </c>
      <c r="C553">
        <f t="shared" si="24"/>
        <v>0</v>
      </c>
      <c r="D553">
        <f>SUM($C$3:C553)</f>
        <v>4</v>
      </c>
      <c r="E553" t="e">
        <f t="shared" si="25"/>
        <v>#N/A</v>
      </c>
      <c r="F553" s="28" t="str">
        <f t="shared" ca="1" si="26"/>
        <v/>
      </c>
    </row>
    <row r="554" spans="2:6" x14ac:dyDescent="0.2">
      <c r="B554" t="str">
        <f>IFERROR(IF('PDCA review'!$D$2=Do!B552,Do!G552,""),"")</f>
        <v/>
      </c>
      <c r="C554">
        <f t="shared" si="24"/>
        <v>0</v>
      </c>
      <c r="D554">
        <f>SUM($C$3:C554)</f>
        <v>4</v>
      </c>
      <c r="E554" t="e">
        <f t="shared" si="25"/>
        <v>#N/A</v>
      </c>
      <c r="F554" s="28" t="str">
        <f t="shared" ca="1" si="26"/>
        <v/>
      </c>
    </row>
    <row r="555" spans="2:6" x14ac:dyDescent="0.2">
      <c r="B555" t="str">
        <f>IFERROR(IF('PDCA review'!$D$2=Do!B553,Do!G553,""),"")</f>
        <v/>
      </c>
      <c r="C555">
        <f t="shared" si="24"/>
        <v>0</v>
      </c>
      <c r="D555">
        <f>SUM($C$3:C555)</f>
        <v>4</v>
      </c>
      <c r="E555" t="e">
        <f t="shared" si="25"/>
        <v>#N/A</v>
      </c>
      <c r="F555" s="28" t="str">
        <f t="shared" ca="1" si="26"/>
        <v/>
      </c>
    </row>
    <row r="556" spans="2:6" x14ac:dyDescent="0.2">
      <c r="B556" t="str">
        <f>IFERROR(IF('PDCA review'!$D$2=Do!B554,Do!G554,""),"")</f>
        <v/>
      </c>
      <c r="C556">
        <f t="shared" si="24"/>
        <v>0</v>
      </c>
      <c r="D556">
        <f>SUM($C$3:C556)</f>
        <v>4</v>
      </c>
      <c r="E556" t="e">
        <f t="shared" si="25"/>
        <v>#N/A</v>
      </c>
      <c r="F556" s="28" t="str">
        <f t="shared" ca="1" si="26"/>
        <v/>
      </c>
    </row>
    <row r="557" spans="2:6" x14ac:dyDescent="0.2">
      <c r="B557" t="str">
        <f>IFERROR(IF('PDCA review'!$D$2=Do!B555,Do!G555,""),"")</f>
        <v/>
      </c>
      <c r="C557">
        <f t="shared" si="24"/>
        <v>0</v>
      </c>
      <c r="D557">
        <f>SUM($C$3:C557)</f>
        <v>4</v>
      </c>
      <c r="E557" t="e">
        <f t="shared" si="25"/>
        <v>#N/A</v>
      </c>
      <c r="F557" s="28" t="str">
        <f t="shared" ca="1" si="26"/>
        <v/>
      </c>
    </row>
    <row r="558" spans="2:6" x14ac:dyDescent="0.2">
      <c r="B558" t="str">
        <f>IFERROR(IF('PDCA review'!$D$2=Do!B556,Do!G556,""),"")</f>
        <v/>
      </c>
      <c r="C558">
        <f t="shared" si="24"/>
        <v>0</v>
      </c>
      <c r="D558">
        <f>SUM($C$3:C558)</f>
        <v>4</v>
      </c>
      <c r="E558" t="e">
        <f t="shared" si="25"/>
        <v>#N/A</v>
      </c>
      <c r="F558" s="28" t="str">
        <f t="shared" ca="1" si="26"/>
        <v/>
      </c>
    </row>
    <row r="559" spans="2:6" x14ac:dyDescent="0.2">
      <c r="B559" t="str">
        <f>IFERROR(IF('PDCA review'!$D$2=Do!B557,Do!G557,""),"")</f>
        <v/>
      </c>
      <c r="C559">
        <f t="shared" si="24"/>
        <v>0</v>
      </c>
      <c r="D559">
        <f>SUM($C$3:C559)</f>
        <v>4</v>
      </c>
      <c r="E559" t="e">
        <f t="shared" si="25"/>
        <v>#N/A</v>
      </c>
      <c r="F559" s="28" t="str">
        <f t="shared" ca="1" si="26"/>
        <v/>
      </c>
    </row>
    <row r="560" spans="2:6" x14ac:dyDescent="0.2">
      <c r="B560" t="str">
        <f>IFERROR(IF('PDCA review'!$D$2=Do!B558,Do!G558,""),"")</f>
        <v/>
      </c>
      <c r="C560">
        <f t="shared" si="24"/>
        <v>0</v>
      </c>
      <c r="D560">
        <f>SUM($C$3:C560)</f>
        <v>4</v>
      </c>
      <c r="E560" t="e">
        <f t="shared" si="25"/>
        <v>#N/A</v>
      </c>
      <c r="F560" s="28" t="str">
        <f t="shared" ca="1" si="26"/>
        <v/>
      </c>
    </row>
    <row r="561" spans="2:6" x14ac:dyDescent="0.2">
      <c r="B561" t="str">
        <f>IFERROR(IF('PDCA review'!$D$2=Do!B559,Do!G559,""),"")</f>
        <v/>
      </c>
      <c r="C561">
        <f t="shared" si="24"/>
        <v>0</v>
      </c>
      <c r="D561">
        <f>SUM($C$3:C561)</f>
        <v>4</v>
      </c>
      <c r="E561" t="e">
        <f t="shared" si="25"/>
        <v>#N/A</v>
      </c>
      <c r="F561" s="28" t="str">
        <f t="shared" ca="1" si="26"/>
        <v/>
      </c>
    </row>
    <row r="562" spans="2:6" x14ac:dyDescent="0.2">
      <c r="B562" t="str">
        <f>IFERROR(IF('PDCA review'!$D$2=Do!B560,Do!G560,""),"")</f>
        <v/>
      </c>
      <c r="C562">
        <f t="shared" si="24"/>
        <v>0</v>
      </c>
      <c r="D562">
        <f>SUM($C$3:C562)</f>
        <v>4</v>
      </c>
      <c r="E562" t="e">
        <f t="shared" si="25"/>
        <v>#N/A</v>
      </c>
      <c r="F562" s="28" t="str">
        <f t="shared" ca="1" si="26"/>
        <v/>
      </c>
    </row>
    <row r="563" spans="2:6" x14ac:dyDescent="0.2">
      <c r="B563" t="str">
        <f>IFERROR(IF('PDCA review'!$D$2=Do!B561,Do!G561,""),"")</f>
        <v/>
      </c>
      <c r="C563">
        <f t="shared" si="24"/>
        <v>0</v>
      </c>
      <c r="D563">
        <f>SUM($C$3:C563)</f>
        <v>4</v>
      </c>
      <c r="E563" t="e">
        <f t="shared" si="25"/>
        <v>#N/A</v>
      </c>
      <c r="F563" s="28" t="str">
        <f t="shared" ca="1" si="26"/>
        <v/>
      </c>
    </row>
    <row r="564" spans="2:6" x14ac:dyDescent="0.2">
      <c r="B564" t="str">
        <f>IFERROR(IF('PDCA review'!$D$2=Do!B562,Do!G562,""),"")</f>
        <v/>
      </c>
      <c r="C564">
        <f t="shared" si="24"/>
        <v>0</v>
      </c>
      <c r="D564">
        <f>SUM($C$3:C564)</f>
        <v>4</v>
      </c>
      <c r="E564" t="e">
        <f t="shared" si="25"/>
        <v>#N/A</v>
      </c>
      <c r="F564" s="28" t="str">
        <f t="shared" ca="1" si="26"/>
        <v/>
      </c>
    </row>
    <row r="565" spans="2:6" x14ac:dyDescent="0.2">
      <c r="B565" t="str">
        <f>IFERROR(IF('PDCA review'!$D$2=Do!B563,Do!G563,""),"")</f>
        <v/>
      </c>
      <c r="C565">
        <f t="shared" si="24"/>
        <v>0</v>
      </c>
      <c r="D565">
        <f>SUM($C$3:C565)</f>
        <v>4</v>
      </c>
      <c r="E565" t="e">
        <f t="shared" si="25"/>
        <v>#N/A</v>
      </c>
      <c r="F565" s="28" t="str">
        <f t="shared" ca="1" si="26"/>
        <v/>
      </c>
    </row>
    <row r="566" spans="2:6" x14ac:dyDescent="0.2">
      <c r="B566" t="str">
        <f>IFERROR(IF('PDCA review'!$D$2=Do!B564,Do!G564,""),"")</f>
        <v/>
      </c>
      <c r="C566">
        <f t="shared" si="24"/>
        <v>0</v>
      </c>
      <c r="D566">
        <f>SUM($C$3:C566)</f>
        <v>4</v>
      </c>
      <c r="E566" t="e">
        <f t="shared" si="25"/>
        <v>#N/A</v>
      </c>
      <c r="F566" s="28" t="str">
        <f t="shared" ca="1" si="26"/>
        <v/>
      </c>
    </row>
    <row r="567" spans="2:6" x14ac:dyDescent="0.2">
      <c r="B567" t="str">
        <f>IFERROR(IF('PDCA review'!$D$2=Do!B565,Do!G565,""),"")</f>
        <v/>
      </c>
      <c r="C567">
        <f t="shared" si="24"/>
        <v>0</v>
      </c>
      <c r="D567">
        <f>SUM($C$3:C567)</f>
        <v>4</v>
      </c>
      <c r="E567" t="e">
        <f t="shared" si="25"/>
        <v>#N/A</v>
      </c>
      <c r="F567" s="28" t="str">
        <f t="shared" ca="1" si="26"/>
        <v/>
      </c>
    </row>
    <row r="568" spans="2:6" x14ac:dyDescent="0.2">
      <c r="B568" t="str">
        <f>IFERROR(IF('PDCA review'!$D$2=Do!B566,Do!G566,""),"")</f>
        <v/>
      </c>
      <c r="C568">
        <f t="shared" si="24"/>
        <v>0</v>
      </c>
      <c r="D568">
        <f>SUM($C$3:C568)</f>
        <v>4</v>
      </c>
      <c r="E568" t="e">
        <f t="shared" si="25"/>
        <v>#N/A</v>
      </c>
      <c r="F568" s="28" t="str">
        <f t="shared" ca="1" si="26"/>
        <v/>
      </c>
    </row>
    <row r="569" spans="2:6" x14ac:dyDescent="0.2">
      <c r="B569" t="str">
        <f>IFERROR(IF('PDCA review'!$D$2=Do!B567,Do!G567,""),"")</f>
        <v/>
      </c>
      <c r="C569">
        <f t="shared" si="24"/>
        <v>0</v>
      </c>
      <c r="D569">
        <f>SUM($C$3:C569)</f>
        <v>4</v>
      </c>
      <c r="E569" t="e">
        <f t="shared" si="25"/>
        <v>#N/A</v>
      </c>
      <c r="F569" s="28" t="str">
        <f t="shared" ca="1" si="26"/>
        <v/>
      </c>
    </row>
    <row r="570" spans="2:6" x14ac:dyDescent="0.2">
      <c r="B570" t="str">
        <f>IFERROR(IF('PDCA review'!$D$2=Do!B568,Do!G568,""),"")</f>
        <v/>
      </c>
      <c r="C570">
        <f t="shared" si="24"/>
        <v>0</v>
      </c>
      <c r="D570">
        <f>SUM($C$3:C570)</f>
        <v>4</v>
      </c>
      <c r="E570" t="e">
        <f t="shared" si="25"/>
        <v>#N/A</v>
      </c>
      <c r="F570" s="28" t="str">
        <f t="shared" ca="1" si="26"/>
        <v/>
      </c>
    </row>
    <row r="571" spans="2:6" x14ac:dyDescent="0.2">
      <c r="B571" t="str">
        <f>IFERROR(IF('PDCA review'!$D$2=Do!B569,Do!G569,""),"")</f>
        <v/>
      </c>
      <c r="C571">
        <f t="shared" si="24"/>
        <v>0</v>
      </c>
      <c r="D571">
        <f>SUM($C$3:C571)</f>
        <v>4</v>
      </c>
      <c r="E571" t="e">
        <f t="shared" si="25"/>
        <v>#N/A</v>
      </c>
      <c r="F571" s="28" t="str">
        <f t="shared" ca="1" si="26"/>
        <v/>
      </c>
    </row>
    <row r="572" spans="2:6" x14ac:dyDescent="0.2">
      <c r="B572" t="str">
        <f>IFERROR(IF('PDCA review'!$D$2=Do!B570,Do!G570,""),"")</f>
        <v/>
      </c>
      <c r="C572">
        <f t="shared" si="24"/>
        <v>0</v>
      </c>
      <c r="D572">
        <f>SUM($C$3:C572)</f>
        <v>4</v>
      </c>
      <c r="E572" t="e">
        <f t="shared" si="25"/>
        <v>#N/A</v>
      </c>
      <c r="F572" s="28" t="str">
        <f t="shared" ca="1" si="26"/>
        <v/>
      </c>
    </row>
    <row r="573" spans="2:6" x14ac:dyDescent="0.2">
      <c r="B573" t="str">
        <f>IFERROR(IF('PDCA review'!$D$2=Do!B571,Do!G571,""),"")</f>
        <v/>
      </c>
      <c r="C573">
        <f t="shared" si="24"/>
        <v>0</v>
      </c>
      <c r="D573">
        <f>SUM($C$3:C573)</f>
        <v>4</v>
      </c>
      <c r="E573" t="e">
        <f t="shared" si="25"/>
        <v>#N/A</v>
      </c>
      <c r="F573" s="28" t="str">
        <f t="shared" ca="1" si="26"/>
        <v/>
      </c>
    </row>
    <row r="574" spans="2:6" x14ac:dyDescent="0.2">
      <c r="B574" t="str">
        <f>IFERROR(IF('PDCA review'!$D$2=Do!B572,Do!G572,""),"")</f>
        <v/>
      </c>
      <c r="C574">
        <f t="shared" si="24"/>
        <v>0</v>
      </c>
      <c r="D574">
        <f>SUM($C$3:C574)</f>
        <v>4</v>
      </c>
      <c r="E574" t="e">
        <f t="shared" si="25"/>
        <v>#N/A</v>
      </c>
      <c r="F574" s="28" t="str">
        <f t="shared" ca="1" si="26"/>
        <v/>
      </c>
    </row>
    <row r="575" spans="2:6" x14ac:dyDescent="0.2">
      <c r="B575" t="str">
        <f>IFERROR(IF('PDCA review'!$D$2=Do!B573,Do!G573,""),"")</f>
        <v/>
      </c>
      <c r="C575">
        <f t="shared" si="24"/>
        <v>0</v>
      </c>
      <c r="D575">
        <f>SUM($C$3:C575)</f>
        <v>4</v>
      </c>
      <c r="E575" t="e">
        <f t="shared" si="25"/>
        <v>#N/A</v>
      </c>
      <c r="F575" s="28" t="str">
        <f t="shared" ca="1" si="26"/>
        <v/>
      </c>
    </row>
    <row r="576" spans="2:6" x14ac:dyDescent="0.2">
      <c r="B576" t="str">
        <f>IFERROR(IF('PDCA review'!$D$2=Do!B574,Do!G574,""),"")</f>
        <v/>
      </c>
      <c r="C576">
        <f t="shared" si="24"/>
        <v>0</v>
      </c>
      <c r="D576">
        <f>SUM($C$3:C576)</f>
        <v>4</v>
      </c>
      <c r="E576" t="e">
        <f t="shared" si="25"/>
        <v>#N/A</v>
      </c>
      <c r="F576" s="28" t="str">
        <f t="shared" ca="1" si="26"/>
        <v/>
      </c>
    </row>
    <row r="577" spans="2:6" x14ac:dyDescent="0.2">
      <c r="B577" t="str">
        <f>IFERROR(IF('PDCA review'!$D$2=Do!B575,Do!G575,""),"")</f>
        <v/>
      </c>
      <c r="C577">
        <f t="shared" si="24"/>
        <v>0</v>
      </c>
      <c r="D577">
        <f>SUM($C$3:C577)</f>
        <v>4</v>
      </c>
      <c r="E577" t="e">
        <f t="shared" si="25"/>
        <v>#N/A</v>
      </c>
      <c r="F577" s="28" t="str">
        <f t="shared" ca="1" si="26"/>
        <v/>
      </c>
    </row>
    <row r="578" spans="2:6" x14ac:dyDescent="0.2">
      <c r="B578" t="str">
        <f>IFERROR(IF('PDCA review'!$D$2=Do!B576,Do!G576,""),"")</f>
        <v/>
      </c>
      <c r="C578">
        <f t="shared" si="24"/>
        <v>0</v>
      </c>
      <c r="D578">
        <f>SUM($C$3:C578)</f>
        <v>4</v>
      </c>
      <c r="E578" t="e">
        <f t="shared" si="25"/>
        <v>#N/A</v>
      </c>
      <c r="F578" s="28" t="str">
        <f t="shared" ca="1" si="26"/>
        <v/>
      </c>
    </row>
    <row r="579" spans="2:6" x14ac:dyDescent="0.2">
      <c r="B579" t="str">
        <f>IFERROR(IF('PDCA review'!$D$2=Do!B577,Do!G577,""),"")</f>
        <v/>
      </c>
      <c r="C579">
        <f t="shared" si="24"/>
        <v>0</v>
      </c>
      <c r="D579">
        <f>SUM($C$3:C579)</f>
        <v>4</v>
      </c>
      <c r="E579" t="e">
        <f t="shared" si="25"/>
        <v>#N/A</v>
      </c>
      <c r="F579" s="28" t="str">
        <f t="shared" ca="1" si="26"/>
        <v/>
      </c>
    </row>
    <row r="580" spans="2:6" x14ac:dyDescent="0.2">
      <c r="B580" t="str">
        <f>IFERROR(IF('PDCA review'!$D$2=Do!B578,Do!G578,""),"")</f>
        <v/>
      </c>
      <c r="C580">
        <f t="shared" ref="C580:C643" si="27">IF(B580&lt;&gt;"",1,0)</f>
        <v>0</v>
      </c>
      <c r="D580">
        <f>SUM($C$3:C580)</f>
        <v>4</v>
      </c>
      <c r="E580" t="e">
        <f t="shared" ref="E580:E643" si="28">MATCH(ROW()-$D$2,$D$3:$D$2000,0)+$D$2</f>
        <v>#N/A</v>
      </c>
      <c r="F580" s="28" t="str">
        <f t="shared" ref="F580:F643" ca="1" si="29">IFERROR(INDIRECT("B"&amp;E580),"")</f>
        <v/>
      </c>
    </row>
    <row r="581" spans="2:6" x14ac:dyDescent="0.2">
      <c r="B581" t="str">
        <f>IFERROR(IF('PDCA review'!$D$2=Do!B579,Do!G579,""),"")</f>
        <v/>
      </c>
      <c r="C581">
        <f t="shared" si="27"/>
        <v>0</v>
      </c>
      <c r="D581">
        <f>SUM($C$3:C581)</f>
        <v>4</v>
      </c>
      <c r="E581" t="e">
        <f t="shared" si="28"/>
        <v>#N/A</v>
      </c>
      <c r="F581" s="28" t="str">
        <f t="shared" ca="1" si="29"/>
        <v/>
      </c>
    </row>
    <row r="582" spans="2:6" x14ac:dyDescent="0.2">
      <c r="B582" t="str">
        <f>IFERROR(IF('PDCA review'!$D$2=Do!B580,Do!G580,""),"")</f>
        <v/>
      </c>
      <c r="C582">
        <f t="shared" si="27"/>
        <v>0</v>
      </c>
      <c r="D582">
        <f>SUM($C$3:C582)</f>
        <v>4</v>
      </c>
      <c r="E582" t="e">
        <f t="shared" si="28"/>
        <v>#N/A</v>
      </c>
      <c r="F582" s="28" t="str">
        <f t="shared" ca="1" si="29"/>
        <v/>
      </c>
    </row>
    <row r="583" spans="2:6" x14ac:dyDescent="0.2">
      <c r="B583" t="str">
        <f>IFERROR(IF('PDCA review'!$D$2=Do!B581,Do!G581,""),"")</f>
        <v/>
      </c>
      <c r="C583">
        <f t="shared" si="27"/>
        <v>0</v>
      </c>
      <c r="D583">
        <f>SUM($C$3:C583)</f>
        <v>4</v>
      </c>
      <c r="E583" t="e">
        <f t="shared" si="28"/>
        <v>#N/A</v>
      </c>
      <c r="F583" s="28" t="str">
        <f t="shared" ca="1" si="29"/>
        <v/>
      </c>
    </row>
    <row r="584" spans="2:6" x14ac:dyDescent="0.2">
      <c r="B584" t="str">
        <f>IFERROR(IF('PDCA review'!$D$2=Do!B582,Do!G582,""),"")</f>
        <v/>
      </c>
      <c r="C584">
        <f t="shared" si="27"/>
        <v>0</v>
      </c>
      <c r="D584">
        <f>SUM($C$3:C584)</f>
        <v>4</v>
      </c>
      <c r="E584" t="e">
        <f t="shared" si="28"/>
        <v>#N/A</v>
      </c>
      <c r="F584" s="28" t="str">
        <f t="shared" ca="1" si="29"/>
        <v/>
      </c>
    </row>
    <row r="585" spans="2:6" x14ac:dyDescent="0.2">
      <c r="B585" t="str">
        <f>IFERROR(IF('PDCA review'!$D$2=Do!B583,Do!G583,""),"")</f>
        <v/>
      </c>
      <c r="C585">
        <f t="shared" si="27"/>
        <v>0</v>
      </c>
      <c r="D585">
        <f>SUM($C$3:C585)</f>
        <v>4</v>
      </c>
      <c r="E585" t="e">
        <f t="shared" si="28"/>
        <v>#N/A</v>
      </c>
      <c r="F585" s="28" t="str">
        <f t="shared" ca="1" si="29"/>
        <v/>
      </c>
    </row>
    <row r="586" spans="2:6" x14ac:dyDescent="0.2">
      <c r="B586" t="str">
        <f>IFERROR(IF('PDCA review'!$D$2=Do!B584,Do!G584,""),"")</f>
        <v/>
      </c>
      <c r="C586">
        <f t="shared" si="27"/>
        <v>0</v>
      </c>
      <c r="D586">
        <f>SUM($C$3:C586)</f>
        <v>4</v>
      </c>
      <c r="E586" t="e">
        <f t="shared" si="28"/>
        <v>#N/A</v>
      </c>
      <c r="F586" s="28" t="str">
        <f t="shared" ca="1" si="29"/>
        <v/>
      </c>
    </row>
    <row r="587" spans="2:6" x14ac:dyDescent="0.2">
      <c r="B587" t="str">
        <f>IFERROR(IF('PDCA review'!$D$2=Do!B585,Do!G585,""),"")</f>
        <v/>
      </c>
      <c r="C587">
        <f t="shared" si="27"/>
        <v>0</v>
      </c>
      <c r="D587">
        <f>SUM($C$3:C587)</f>
        <v>4</v>
      </c>
      <c r="E587" t="e">
        <f t="shared" si="28"/>
        <v>#N/A</v>
      </c>
      <c r="F587" s="28" t="str">
        <f t="shared" ca="1" si="29"/>
        <v/>
      </c>
    </row>
    <row r="588" spans="2:6" x14ac:dyDescent="0.2">
      <c r="B588" t="str">
        <f>IFERROR(IF('PDCA review'!$D$2=Do!B586,Do!G586,""),"")</f>
        <v/>
      </c>
      <c r="C588">
        <f t="shared" si="27"/>
        <v>0</v>
      </c>
      <c r="D588">
        <f>SUM($C$3:C588)</f>
        <v>4</v>
      </c>
      <c r="E588" t="e">
        <f t="shared" si="28"/>
        <v>#N/A</v>
      </c>
      <c r="F588" s="28" t="str">
        <f t="shared" ca="1" si="29"/>
        <v/>
      </c>
    </row>
    <row r="589" spans="2:6" x14ac:dyDescent="0.2">
      <c r="B589" t="str">
        <f>IFERROR(IF('PDCA review'!$D$2=Do!B587,Do!G587,""),"")</f>
        <v/>
      </c>
      <c r="C589">
        <f t="shared" si="27"/>
        <v>0</v>
      </c>
      <c r="D589">
        <f>SUM($C$3:C589)</f>
        <v>4</v>
      </c>
      <c r="E589" t="e">
        <f t="shared" si="28"/>
        <v>#N/A</v>
      </c>
      <c r="F589" s="28" t="str">
        <f t="shared" ca="1" si="29"/>
        <v/>
      </c>
    </row>
    <row r="590" spans="2:6" x14ac:dyDescent="0.2">
      <c r="B590" t="str">
        <f>IFERROR(IF('PDCA review'!$D$2=Do!B588,Do!G588,""),"")</f>
        <v/>
      </c>
      <c r="C590">
        <f t="shared" si="27"/>
        <v>0</v>
      </c>
      <c r="D590">
        <f>SUM($C$3:C590)</f>
        <v>4</v>
      </c>
      <c r="E590" t="e">
        <f t="shared" si="28"/>
        <v>#N/A</v>
      </c>
      <c r="F590" s="28" t="str">
        <f t="shared" ca="1" si="29"/>
        <v/>
      </c>
    </row>
    <row r="591" spans="2:6" x14ac:dyDescent="0.2">
      <c r="B591" t="str">
        <f>IFERROR(IF('PDCA review'!$D$2=Do!B589,Do!G589,""),"")</f>
        <v/>
      </c>
      <c r="C591">
        <f t="shared" si="27"/>
        <v>0</v>
      </c>
      <c r="D591">
        <f>SUM($C$3:C591)</f>
        <v>4</v>
      </c>
      <c r="E591" t="e">
        <f t="shared" si="28"/>
        <v>#N/A</v>
      </c>
      <c r="F591" s="28" t="str">
        <f t="shared" ca="1" si="29"/>
        <v/>
      </c>
    </row>
    <row r="592" spans="2:6" x14ac:dyDescent="0.2">
      <c r="B592" t="str">
        <f>IFERROR(IF('PDCA review'!$D$2=Do!B590,Do!G590,""),"")</f>
        <v/>
      </c>
      <c r="C592">
        <f t="shared" si="27"/>
        <v>0</v>
      </c>
      <c r="D592">
        <f>SUM($C$3:C592)</f>
        <v>4</v>
      </c>
      <c r="E592" t="e">
        <f t="shared" si="28"/>
        <v>#N/A</v>
      </c>
      <c r="F592" s="28" t="str">
        <f t="shared" ca="1" si="29"/>
        <v/>
      </c>
    </row>
    <row r="593" spans="2:6" x14ac:dyDescent="0.2">
      <c r="B593" t="str">
        <f>IFERROR(IF('PDCA review'!$D$2=Do!B591,Do!G591,""),"")</f>
        <v/>
      </c>
      <c r="C593">
        <f t="shared" si="27"/>
        <v>0</v>
      </c>
      <c r="D593">
        <f>SUM($C$3:C593)</f>
        <v>4</v>
      </c>
      <c r="E593" t="e">
        <f t="shared" si="28"/>
        <v>#N/A</v>
      </c>
      <c r="F593" s="28" t="str">
        <f t="shared" ca="1" si="29"/>
        <v/>
      </c>
    </row>
    <row r="594" spans="2:6" x14ac:dyDescent="0.2">
      <c r="B594" t="str">
        <f>IFERROR(IF('PDCA review'!$D$2=Do!B592,Do!G592,""),"")</f>
        <v/>
      </c>
      <c r="C594">
        <f t="shared" si="27"/>
        <v>0</v>
      </c>
      <c r="D594">
        <f>SUM($C$3:C594)</f>
        <v>4</v>
      </c>
      <c r="E594" t="e">
        <f t="shared" si="28"/>
        <v>#N/A</v>
      </c>
      <c r="F594" s="28" t="str">
        <f t="shared" ca="1" si="29"/>
        <v/>
      </c>
    </row>
    <row r="595" spans="2:6" x14ac:dyDescent="0.2">
      <c r="B595" t="str">
        <f>IFERROR(IF('PDCA review'!$D$2=Do!B593,Do!G593,""),"")</f>
        <v/>
      </c>
      <c r="C595">
        <f t="shared" si="27"/>
        <v>0</v>
      </c>
      <c r="D595">
        <f>SUM($C$3:C595)</f>
        <v>4</v>
      </c>
      <c r="E595" t="e">
        <f t="shared" si="28"/>
        <v>#N/A</v>
      </c>
      <c r="F595" s="28" t="str">
        <f t="shared" ca="1" si="29"/>
        <v/>
      </c>
    </row>
    <row r="596" spans="2:6" x14ac:dyDescent="0.2">
      <c r="B596" t="str">
        <f>IFERROR(IF('PDCA review'!$D$2=Do!B594,Do!G594,""),"")</f>
        <v/>
      </c>
      <c r="C596">
        <f t="shared" si="27"/>
        <v>0</v>
      </c>
      <c r="D596">
        <f>SUM($C$3:C596)</f>
        <v>4</v>
      </c>
      <c r="E596" t="e">
        <f t="shared" si="28"/>
        <v>#N/A</v>
      </c>
      <c r="F596" s="28" t="str">
        <f t="shared" ca="1" si="29"/>
        <v/>
      </c>
    </row>
    <row r="597" spans="2:6" x14ac:dyDescent="0.2">
      <c r="B597" t="str">
        <f>IFERROR(IF('PDCA review'!$D$2=Do!B595,Do!G595,""),"")</f>
        <v/>
      </c>
      <c r="C597">
        <f t="shared" si="27"/>
        <v>0</v>
      </c>
      <c r="D597">
        <f>SUM($C$3:C597)</f>
        <v>4</v>
      </c>
      <c r="E597" t="e">
        <f t="shared" si="28"/>
        <v>#N/A</v>
      </c>
      <c r="F597" s="28" t="str">
        <f t="shared" ca="1" si="29"/>
        <v/>
      </c>
    </row>
    <row r="598" spans="2:6" x14ac:dyDescent="0.2">
      <c r="B598" t="str">
        <f>IFERROR(IF('PDCA review'!$D$2=Do!B596,Do!G596,""),"")</f>
        <v/>
      </c>
      <c r="C598">
        <f t="shared" si="27"/>
        <v>0</v>
      </c>
      <c r="D598">
        <f>SUM($C$3:C598)</f>
        <v>4</v>
      </c>
      <c r="E598" t="e">
        <f t="shared" si="28"/>
        <v>#N/A</v>
      </c>
      <c r="F598" s="28" t="str">
        <f t="shared" ca="1" si="29"/>
        <v/>
      </c>
    </row>
    <row r="599" spans="2:6" x14ac:dyDescent="0.2">
      <c r="B599" t="str">
        <f>IFERROR(IF('PDCA review'!$D$2=Do!B597,Do!G597,""),"")</f>
        <v/>
      </c>
      <c r="C599">
        <f t="shared" si="27"/>
        <v>0</v>
      </c>
      <c r="D599">
        <f>SUM($C$3:C599)</f>
        <v>4</v>
      </c>
      <c r="E599" t="e">
        <f t="shared" si="28"/>
        <v>#N/A</v>
      </c>
      <c r="F599" s="28" t="str">
        <f t="shared" ca="1" si="29"/>
        <v/>
      </c>
    </row>
    <row r="600" spans="2:6" x14ac:dyDescent="0.2">
      <c r="B600" t="str">
        <f>IFERROR(IF('PDCA review'!$D$2=Do!B598,Do!G598,""),"")</f>
        <v/>
      </c>
      <c r="C600">
        <f t="shared" si="27"/>
        <v>0</v>
      </c>
      <c r="D600">
        <f>SUM($C$3:C600)</f>
        <v>4</v>
      </c>
      <c r="E600" t="e">
        <f t="shared" si="28"/>
        <v>#N/A</v>
      </c>
      <c r="F600" s="28" t="str">
        <f t="shared" ca="1" si="29"/>
        <v/>
      </c>
    </row>
    <row r="601" spans="2:6" x14ac:dyDescent="0.2">
      <c r="B601" t="str">
        <f>IFERROR(IF('PDCA review'!$D$2=Do!B599,Do!G599,""),"")</f>
        <v/>
      </c>
      <c r="C601">
        <f t="shared" si="27"/>
        <v>0</v>
      </c>
      <c r="D601">
        <f>SUM($C$3:C601)</f>
        <v>4</v>
      </c>
      <c r="E601" t="e">
        <f t="shared" si="28"/>
        <v>#N/A</v>
      </c>
      <c r="F601" s="28" t="str">
        <f t="shared" ca="1" si="29"/>
        <v/>
      </c>
    </row>
    <row r="602" spans="2:6" x14ac:dyDescent="0.2">
      <c r="B602" t="str">
        <f>IFERROR(IF('PDCA review'!$D$2=Do!B600,Do!G600,""),"")</f>
        <v/>
      </c>
      <c r="C602">
        <f t="shared" si="27"/>
        <v>0</v>
      </c>
      <c r="D602">
        <f>SUM($C$3:C602)</f>
        <v>4</v>
      </c>
      <c r="E602" t="e">
        <f t="shared" si="28"/>
        <v>#N/A</v>
      </c>
      <c r="F602" s="28" t="str">
        <f t="shared" ca="1" si="29"/>
        <v/>
      </c>
    </row>
    <row r="603" spans="2:6" x14ac:dyDescent="0.2">
      <c r="B603" t="str">
        <f>IFERROR(IF('PDCA review'!$D$2=Do!B601,Do!G601,""),"")</f>
        <v/>
      </c>
      <c r="C603">
        <f t="shared" si="27"/>
        <v>0</v>
      </c>
      <c r="D603">
        <f>SUM($C$3:C603)</f>
        <v>4</v>
      </c>
      <c r="E603" t="e">
        <f t="shared" si="28"/>
        <v>#N/A</v>
      </c>
      <c r="F603" s="28" t="str">
        <f t="shared" ca="1" si="29"/>
        <v/>
      </c>
    </row>
    <row r="604" spans="2:6" x14ac:dyDescent="0.2">
      <c r="B604" t="str">
        <f>IFERROR(IF('PDCA review'!$D$2=Do!B602,Do!G602,""),"")</f>
        <v/>
      </c>
      <c r="C604">
        <f t="shared" si="27"/>
        <v>0</v>
      </c>
      <c r="D604">
        <f>SUM($C$3:C604)</f>
        <v>4</v>
      </c>
      <c r="E604" t="e">
        <f t="shared" si="28"/>
        <v>#N/A</v>
      </c>
      <c r="F604" s="28" t="str">
        <f t="shared" ca="1" si="29"/>
        <v/>
      </c>
    </row>
    <row r="605" spans="2:6" x14ac:dyDescent="0.2">
      <c r="B605" t="str">
        <f>IFERROR(IF('PDCA review'!$D$2=Do!B603,Do!G603,""),"")</f>
        <v/>
      </c>
      <c r="C605">
        <f t="shared" si="27"/>
        <v>0</v>
      </c>
      <c r="D605">
        <f>SUM($C$3:C605)</f>
        <v>4</v>
      </c>
      <c r="E605" t="e">
        <f t="shared" si="28"/>
        <v>#N/A</v>
      </c>
      <c r="F605" s="28" t="str">
        <f t="shared" ca="1" si="29"/>
        <v/>
      </c>
    </row>
    <row r="606" spans="2:6" x14ac:dyDescent="0.2">
      <c r="B606" t="str">
        <f>IFERROR(IF('PDCA review'!$D$2=Do!B604,Do!G604,""),"")</f>
        <v/>
      </c>
      <c r="C606">
        <f t="shared" si="27"/>
        <v>0</v>
      </c>
      <c r="D606">
        <f>SUM($C$3:C606)</f>
        <v>4</v>
      </c>
      <c r="E606" t="e">
        <f t="shared" si="28"/>
        <v>#N/A</v>
      </c>
      <c r="F606" s="28" t="str">
        <f t="shared" ca="1" si="29"/>
        <v/>
      </c>
    </row>
    <row r="607" spans="2:6" x14ac:dyDescent="0.2">
      <c r="B607" t="str">
        <f>IFERROR(IF('PDCA review'!$D$2=Do!B605,Do!G605,""),"")</f>
        <v/>
      </c>
      <c r="C607">
        <f t="shared" si="27"/>
        <v>0</v>
      </c>
      <c r="D607">
        <f>SUM($C$3:C607)</f>
        <v>4</v>
      </c>
      <c r="E607" t="e">
        <f t="shared" si="28"/>
        <v>#N/A</v>
      </c>
      <c r="F607" s="28" t="str">
        <f t="shared" ca="1" si="29"/>
        <v/>
      </c>
    </row>
    <row r="608" spans="2:6" x14ac:dyDescent="0.2">
      <c r="B608" t="str">
        <f>IFERROR(IF('PDCA review'!$D$2=Do!B606,Do!G606,""),"")</f>
        <v/>
      </c>
      <c r="C608">
        <f t="shared" si="27"/>
        <v>0</v>
      </c>
      <c r="D608">
        <f>SUM($C$3:C608)</f>
        <v>4</v>
      </c>
      <c r="E608" t="e">
        <f t="shared" si="28"/>
        <v>#N/A</v>
      </c>
      <c r="F608" s="28" t="str">
        <f t="shared" ca="1" si="29"/>
        <v/>
      </c>
    </row>
    <row r="609" spans="2:6" x14ac:dyDescent="0.2">
      <c r="B609" t="str">
        <f>IFERROR(IF('PDCA review'!$D$2=Do!B607,Do!G607,""),"")</f>
        <v/>
      </c>
      <c r="C609">
        <f t="shared" si="27"/>
        <v>0</v>
      </c>
      <c r="D609">
        <f>SUM($C$3:C609)</f>
        <v>4</v>
      </c>
      <c r="E609" t="e">
        <f t="shared" si="28"/>
        <v>#N/A</v>
      </c>
      <c r="F609" s="28" t="str">
        <f t="shared" ca="1" si="29"/>
        <v/>
      </c>
    </row>
    <row r="610" spans="2:6" x14ac:dyDescent="0.2">
      <c r="B610" t="str">
        <f>IFERROR(IF('PDCA review'!$D$2=Do!B608,Do!G608,""),"")</f>
        <v/>
      </c>
      <c r="C610">
        <f t="shared" si="27"/>
        <v>0</v>
      </c>
      <c r="D610">
        <f>SUM($C$3:C610)</f>
        <v>4</v>
      </c>
      <c r="E610" t="e">
        <f t="shared" si="28"/>
        <v>#N/A</v>
      </c>
      <c r="F610" s="28" t="str">
        <f t="shared" ca="1" si="29"/>
        <v/>
      </c>
    </row>
    <row r="611" spans="2:6" x14ac:dyDescent="0.2">
      <c r="B611" t="str">
        <f>IFERROR(IF('PDCA review'!$D$2=Do!B609,Do!G609,""),"")</f>
        <v/>
      </c>
      <c r="C611">
        <f t="shared" si="27"/>
        <v>0</v>
      </c>
      <c r="D611">
        <f>SUM($C$3:C611)</f>
        <v>4</v>
      </c>
      <c r="E611" t="e">
        <f t="shared" si="28"/>
        <v>#N/A</v>
      </c>
      <c r="F611" s="28" t="str">
        <f t="shared" ca="1" si="29"/>
        <v/>
      </c>
    </row>
    <row r="612" spans="2:6" x14ac:dyDescent="0.2">
      <c r="B612" t="str">
        <f>IFERROR(IF('PDCA review'!$D$2=Do!B610,Do!G610,""),"")</f>
        <v/>
      </c>
      <c r="C612">
        <f t="shared" si="27"/>
        <v>0</v>
      </c>
      <c r="D612">
        <f>SUM($C$3:C612)</f>
        <v>4</v>
      </c>
      <c r="E612" t="e">
        <f t="shared" si="28"/>
        <v>#N/A</v>
      </c>
      <c r="F612" s="28" t="str">
        <f t="shared" ca="1" si="29"/>
        <v/>
      </c>
    </row>
    <row r="613" spans="2:6" x14ac:dyDescent="0.2">
      <c r="B613" t="str">
        <f>IFERROR(IF('PDCA review'!$D$2=Do!B611,Do!G611,""),"")</f>
        <v/>
      </c>
      <c r="C613">
        <f t="shared" si="27"/>
        <v>0</v>
      </c>
      <c r="D613">
        <f>SUM($C$3:C613)</f>
        <v>4</v>
      </c>
      <c r="E613" t="e">
        <f t="shared" si="28"/>
        <v>#N/A</v>
      </c>
      <c r="F613" s="28" t="str">
        <f t="shared" ca="1" si="29"/>
        <v/>
      </c>
    </row>
    <row r="614" spans="2:6" x14ac:dyDescent="0.2">
      <c r="B614" t="str">
        <f>IFERROR(IF('PDCA review'!$D$2=Do!B612,Do!G612,""),"")</f>
        <v/>
      </c>
      <c r="C614">
        <f t="shared" si="27"/>
        <v>0</v>
      </c>
      <c r="D614">
        <f>SUM($C$3:C614)</f>
        <v>4</v>
      </c>
      <c r="E614" t="e">
        <f t="shared" si="28"/>
        <v>#N/A</v>
      </c>
      <c r="F614" s="28" t="str">
        <f t="shared" ca="1" si="29"/>
        <v/>
      </c>
    </row>
    <row r="615" spans="2:6" x14ac:dyDescent="0.2">
      <c r="B615" t="str">
        <f>IFERROR(IF('PDCA review'!$D$2=Do!B613,Do!G613,""),"")</f>
        <v/>
      </c>
      <c r="C615">
        <f t="shared" si="27"/>
        <v>0</v>
      </c>
      <c r="D615">
        <f>SUM($C$3:C615)</f>
        <v>4</v>
      </c>
      <c r="E615" t="e">
        <f t="shared" si="28"/>
        <v>#N/A</v>
      </c>
      <c r="F615" s="28" t="str">
        <f t="shared" ca="1" si="29"/>
        <v/>
      </c>
    </row>
    <row r="616" spans="2:6" x14ac:dyDescent="0.2">
      <c r="B616" t="str">
        <f>IFERROR(IF('PDCA review'!$D$2=Do!B614,Do!G614,""),"")</f>
        <v/>
      </c>
      <c r="C616">
        <f t="shared" si="27"/>
        <v>0</v>
      </c>
      <c r="D616">
        <f>SUM($C$3:C616)</f>
        <v>4</v>
      </c>
      <c r="E616" t="e">
        <f t="shared" si="28"/>
        <v>#N/A</v>
      </c>
      <c r="F616" s="28" t="str">
        <f t="shared" ca="1" si="29"/>
        <v/>
      </c>
    </row>
    <row r="617" spans="2:6" x14ac:dyDescent="0.2">
      <c r="B617" t="str">
        <f>IFERROR(IF('PDCA review'!$D$2=Do!B615,Do!G615,""),"")</f>
        <v/>
      </c>
      <c r="C617">
        <f t="shared" si="27"/>
        <v>0</v>
      </c>
      <c r="D617">
        <f>SUM($C$3:C617)</f>
        <v>4</v>
      </c>
      <c r="E617" t="e">
        <f t="shared" si="28"/>
        <v>#N/A</v>
      </c>
      <c r="F617" s="28" t="str">
        <f t="shared" ca="1" si="29"/>
        <v/>
      </c>
    </row>
    <row r="618" spans="2:6" x14ac:dyDescent="0.2">
      <c r="B618" t="str">
        <f>IFERROR(IF('PDCA review'!$D$2=Do!B616,Do!G616,""),"")</f>
        <v/>
      </c>
      <c r="C618">
        <f t="shared" si="27"/>
        <v>0</v>
      </c>
      <c r="D618">
        <f>SUM($C$3:C618)</f>
        <v>4</v>
      </c>
      <c r="E618" t="e">
        <f t="shared" si="28"/>
        <v>#N/A</v>
      </c>
      <c r="F618" s="28" t="str">
        <f t="shared" ca="1" si="29"/>
        <v/>
      </c>
    </row>
    <row r="619" spans="2:6" x14ac:dyDescent="0.2">
      <c r="B619" t="str">
        <f>IFERROR(IF('PDCA review'!$D$2=Do!B617,Do!G617,""),"")</f>
        <v/>
      </c>
      <c r="C619">
        <f t="shared" si="27"/>
        <v>0</v>
      </c>
      <c r="D619">
        <f>SUM($C$3:C619)</f>
        <v>4</v>
      </c>
      <c r="E619" t="e">
        <f t="shared" si="28"/>
        <v>#N/A</v>
      </c>
      <c r="F619" s="28" t="str">
        <f t="shared" ca="1" si="29"/>
        <v/>
      </c>
    </row>
    <row r="620" spans="2:6" x14ac:dyDescent="0.2">
      <c r="B620" t="str">
        <f>IFERROR(IF('PDCA review'!$D$2=Do!B618,Do!G618,""),"")</f>
        <v/>
      </c>
      <c r="C620">
        <f t="shared" si="27"/>
        <v>0</v>
      </c>
      <c r="D620">
        <f>SUM($C$3:C620)</f>
        <v>4</v>
      </c>
      <c r="E620" t="e">
        <f t="shared" si="28"/>
        <v>#N/A</v>
      </c>
      <c r="F620" s="28" t="str">
        <f t="shared" ca="1" si="29"/>
        <v/>
      </c>
    </row>
    <row r="621" spans="2:6" x14ac:dyDescent="0.2">
      <c r="B621" t="str">
        <f>IFERROR(IF('PDCA review'!$D$2=Do!B619,Do!G619,""),"")</f>
        <v/>
      </c>
      <c r="C621">
        <f t="shared" si="27"/>
        <v>0</v>
      </c>
      <c r="D621">
        <f>SUM($C$3:C621)</f>
        <v>4</v>
      </c>
      <c r="E621" t="e">
        <f t="shared" si="28"/>
        <v>#N/A</v>
      </c>
      <c r="F621" s="28" t="str">
        <f t="shared" ca="1" si="29"/>
        <v/>
      </c>
    </row>
    <row r="622" spans="2:6" x14ac:dyDescent="0.2">
      <c r="B622" t="str">
        <f>IFERROR(IF('PDCA review'!$D$2=Do!B620,Do!G620,""),"")</f>
        <v/>
      </c>
      <c r="C622">
        <f t="shared" si="27"/>
        <v>0</v>
      </c>
      <c r="D622">
        <f>SUM($C$3:C622)</f>
        <v>4</v>
      </c>
      <c r="E622" t="e">
        <f t="shared" si="28"/>
        <v>#N/A</v>
      </c>
      <c r="F622" s="28" t="str">
        <f t="shared" ca="1" si="29"/>
        <v/>
      </c>
    </row>
    <row r="623" spans="2:6" x14ac:dyDescent="0.2">
      <c r="B623" t="str">
        <f>IFERROR(IF('PDCA review'!$D$2=Do!B621,Do!G621,""),"")</f>
        <v/>
      </c>
      <c r="C623">
        <f t="shared" si="27"/>
        <v>0</v>
      </c>
      <c r="D623">
        <f>SUM($C$3:C623)</f>
        <v>4</v>
      </c>
      <c r="E623" t="e">
        <f t="shared" si="28"/>
        <v>#N/A</v>
      </c>
      <c r="F623" s="28" t="str">
        <f t="shared" ca="1" si="29"/>
        <v/>
      </c>
    </row>
    <row r="624" spans="2:6" x14ac:dyDescent="0.2">
      <c r="B624" t="str">
        <f>IFERROR(IF('PDCA review'!$D$2=Do!B622,Do!G622,""),"")</f>
        <v/>
      </c>
      <c r="C624">
        <f t="shared" si="27"/>
        <v>0</v>
      </c>
      <c r="D624">
        <f>SUM($C$3:C624)</f>
        <v>4</v>
      </c>
      <c r="E624" t="e">
        <f t="shared" si="28"/>
        <v>#N/A</v>
      </c>
      <c r="F624" s="28" t="str">
        <f t="shared" ca="1" si="29"/>
        <v/>
      </c>
    </row>
    <row r="625" spans="2:6" x14ac:dyDescent="0.2">
      <c r="B625" t="str">
        <f>IFERROR(IF('PDCA review'!$D$2=Do!B623,Do!G623,""),"")</f>
        <v/>
      </c>
      <c r="C625">
        <f t="shared" si="27"/>
        <v>0</v>
      </c>
      <c r="D625">
        <f>SUM($C$3:C625)</f>
        <v>4</v>
      </c>
      <c r="E625" t="e">
        <f t="shared" si="28"/>
        <v>#N/A</v>
      </c>
      <c r="F625" s="28" t="str">
        <f t="shared" ca="1" si="29"/>
        <v/>
      </c>
    </row>
    <row r="626" spans="2:6" x14ac:dyDescent="0.2">
      <c r="B626" t="str">
        <f>IFERROR(IF('PDCA review'!$D$2=Do!B624,Do!G624,""),"")</f>
        <v/>
      </c>
      <c r="C626">
        <f t="shared" si="27"/>
        <v>0</v>
      </c>
      <c r="D626">
        <f>SUM($C$3:C626)</f>
        <v>4</v>
      </c>
      <c r="E626" t="e">
        <f t="shared" si="28"/>
        <v>#N/A</v>
      </c>
      <c r="F626" s="28" t="str">
        <f t="shared" ca="1" si="29"/>
        <v/>
      </c>
    </row>
    <row r="627" spans="2:6" x14ac:dyDescent="0.2">
      <c r="B627" t="str">
        <f>IFERROR(IF('PDCA review'!$D$2=Do!B625,Do!G625,""),"")</f>
        <v/>
      </c>
      <c r="C627">
        <f t="shared" si="27"/>
        <v>0</v>
      </c>
      <c r="D627">
        <f>SUM($C$3:C627)</f>
        <v>4</v>
      </c>
      <c r="E627" t="e">
        <f t="shared" si="28"/>
        <v>#N/A</v>
      </c>
      <c r="F627" s="28" t="str">
        <f t="shared" ca="1" si="29"/>
        <v/>
      </c>
    </row>
    <row r="628" spans="2:6" x14ac:dyDescent="0.2">
      <c r="B628" t="str">
        <f>IFERROR(IF('PDCA review'!$D$2=Do!B626,Do!G626,""),"")</f>
        <v/>
      </c>
      <c r="C628">
        <f t="shared" si="27"/>
        <v>0</v>
      </c>
      <c r="D628">
        <f>SUM($C$3:C628)</f>
        <v>4</v>
      </c>
      <c r="E628" t="e">
        <f t="shared" si="28"/>
        <v>#N/A</v>
      </c>
      <c r="F628" s="28" t="str">
        <f t="shared" ca="1" si="29"/>
        <v/>
      </c>
    </row>
    <row r="629" spans="2:6" x14ac:dyDescent="0.2">
      <c r="B629" t="str">
        <f>IFERROR(IF('PDCA review'!$D$2=Do!B627,Do!G627,""),"")</f>
        <v/>
      </c>
      <c r="C629">
        <f t="shared" si="27"/>
        <v>0</v>
      </c>
      <c r="D629">
        <f>SUM($C$3:C629)</f>
        <v>4</v>
      </c>
      <c r="E629" t="e">
        <f t="shared" si="28"/>
        <v>#N/A</v>
      </c>
      <c r="F629" s="28" t="str">
        <f t="shared" ca="1" si="29"/>
        <v/>
      </c>
    </row>
    <row r="630" spans="2:6" x14ac:dyDescent="0.2">
      <c r="B630" t="str">
        <f>IFERROR(IF('PDCA review'!$D$2=Do!B628,Do!G628,""),"")</f>
        <v/>
      </c>
      <c r="C630">
        <f t="shared" si="27"/>
        <v>0</v>
      </c>
      <c r="D630">
        <f>SUM($C$3:C630)</f>
        <v>4</v>
      </c>
      <c r="E630" t="e">
        <f t="shared" si="28"/>
        <v>#N/A</v>
      </c>
      <c r="F630" s="28" t="str">
        <f t="shared" ca="1" si="29"/>
        <v/>
      </c>
    </row>
    <row r="631" spans="2:6" x14ac:dyDescent="0.2">
      <c r="B631" t="str">
        <f>IFERROR(IF('PDCA review'!$D$2=Do!B629,Do!G629,""),"")</f>
        <v/>
      </c>
      <c r="C631">
        <f t="shared" si="27"/>
        <v>0</v>
      </c>
      <c r="D631">
        <f>SUM($C$3:C631)</f>
        <v>4</v>
      </c>
      <c r="E631" t="e">
        <f t="shared" si="28"/>
        <v>#N/A</v>
      </c>
      <c r="F631" s="28" t="str">
        <f t="shared" ca="1" si="29"/>
        <v/>
      </c>
    </row>
    <row r="632" spans="2:6" x14ac:dyDescent="0.2">
      <c r="B632" t="str">
        <f>IFERROR(IF('PDCA review'!$D$2=Do!B630,Do!G630,""),"")</f>
        <v/>
      </c>
      <c r="C632">
        <f t="shared" si="27"/>
        <v>0</v>
      </c>
      <c r="D632">
        <f>SUM($C$3:C632)</f>
        <v>4</v>
      </c>
      <c r="E632" t="e">
        <f t="shared" si="28"/>
        <v>#N/A</v>
      </c>
      <c r="F632" s="28" t="str">
        <f t="shared" ca="1" si="29"/>
        <v/>
      </c>
    </row>
    <row r="633" spans="2:6" x14ac:dyDescent="0.2">
      <c r="B633" t="str">
        <f>IFERROR(IF('PDCA review'!$D$2=Do!B631,Do!G631,""),"")</f>
        <v/>
      </c>
      <c r="C633">
        <f t="shared" si="27"/>
        <v>0</v>
      </c>
      <c r="D633">
        <f>SUM($C$3:C633)</f>
        <v>4</v>
      </c>
      <c r="E633" t="e">
        <f t="shared" si="28"/>
        <v>#N/A</v>
      </c>
      <c r="F633" s="28" t="str">
        <f t="shared" ca="1" si="29"/>
        <v/>
      </c>
    </row>
    <row r="634" spans="2:6" x14ac:dyDescent="0.2">
      <c r="B634" t="str">
        <f>IFERROR(IF('PDCA review'!$D$2=Do!B632,Do!G632,""),"")</f>
        <v/>
      </c>
      <c r="C634">
        <f t="shared" si="27"/>
        <v>0</v>
      </c>
      <c r="D634">
        <f>SUM($C$3:C634)</f>
        <v>4</v>
      </c>
      <c r="E634" t="e">
        <f t="shared" si="28"/>
        <v>#N/A</v>
      </c>
      <c r="F634" s="28" t="str">
        <f t="shared" ca="1" si="29"/>
        <v/>
      </c>
    </row>
    <row r="635" spans="2:6" x14ac:dyDescent="0.2">
      <c r="B635" t="str">
        <f>IFERROR(IF('PDCA review'!$D$2=Do!B633,Do!G633,""),"")</f>
        <v/>
      </c>
      <c r="C635">
        <f t="shared" si="27"/>
        <v>0</v>
      </c>
      <c r="D635">
        <f>SUM($C$3:C635)</f>
        <v>4</v>
      </c>
      <c r="E635" t="e">
        <f t="shared" si="28"/>
        <v>#N/A</v>
      </c>
      <c r="F635" s="28" t="str">
        <f t="shared" ca="1" si="29"/>
        <v/>
      </c>
    </row>
    <row r="636" spans="2:6" x14ac:dyDescent="0.2">
      <c r="B636" t="str">
        <f>IFERROR(IF('PDCA review'!$D$2=Do!B634,Do!G634,""),"")</f>
        <v/>
      </c>
      <c r="C636">
        <f t="shared" si="27"/>
        <v>0</v>
      </c>
      <c r="D636">
        <f>SUM($C$3:C636)</f>
        <v>4</v>
      </c>
      <c r="E636" t="e">
        <f t="shared" si="28"/>
        <v>#N/A</v>
      </c>
      <c r="F636" s="28" t="str">
        <f t="shared" ca="1" si="29"/>
        <v/>
      </c>
    </row>
    <row r="637" spans="2:6" x14ac:dyDescent="0.2">
      <c r="B637" t="str">
        <f>IFERROR(IF('PDCA review'!$D$2=Do!B635,Do!G635,""),"")</f>
        <v/>
      </c>
      <c r="C637">
        <f t="shared" si="27"/>
        <v>0</v>
      </c>
      <c r="D637">
        <f>SUM($C$3:C637)</f>
        <v>4</v>
      </c>
      <c r="E637" t="e">
        <f t="shared" si="28"/>
        <v>#N/A</v>
      </c>
      <c r="F637" s="28" t="str">
        <f t="shared" ca="1" si="29"/>
        <v/>
      </c>
    </row>
    <row r="638" spans="2:6" x14ac:dyDescent="0.2">
      <c r="B638" t="str">
        <f>IFERROR(IF('PDCA review'!$D$2=Do!B636,Do!G636,""),"")</f>
        <v/>
      </c>
      <c r="C638">
        <f t="shared" si="27"/>
        <v>0</v>
      </c>
      <c r="D638">
        <f>SUM($C$3:C638)</f>
        <v>4</v>
      </c>
      <c r="E638" t="e">
        <f t="shared" si="28"/>
        <v>#N/A</v>
      </c>
      <c r="F638" s="28" t="str">
        <f t="shared" ca="1" si="29"/>
        <v/>
      </c>
    </row>
    <row r="639" spans="2:6" x14ac:dyDescent="0.2">
      <c r="B639" t="str">
        <f>IFERROR(IF('PDCA review'!$D$2=Do!B637,Do!G637,""),"")</f>
        <v/>
      </c>
      <c r="C639">
        <f t="shared" si="27"/>
        <v>0</v>
      </c>
      <c r="D639">
        <f>SUM($C$3:C639)</f>
        <v>4</v>
      </c>
      <c r="E639" t="e">
        <f t="shared" si="28"/>
        <v>#N/A</v>
      </c>
      <c r="F639" s="28" t="str">
        <f t="shared" ca="1" si="29"/>
        <v/>
      </c>
    </row>
    <row r="640" spans="2:6" x14ac:dyDescent="0.2">
      <c r="B640" t="str">
        <f>IFERROR(IF('PDCA review'!$D$2=Do!B638,Do!G638,""),"")</f>
        <v/>
      </c>
      <c r="C640">
        <f t="shared" si="27"/>
        <v>0</v>
      </c>
      <c r="D640">
        <f>SUM($C$3:C640)</f>
        <v>4</v>
      </c>
      <c r="E640" t="e">
        <f t="shared" si="28"/>
        <v>#N/A</v>
      </c>
      <c r="F640" s="28" t="str">
        <f t="shared" ca="1" si="29"/>
        <v/>
      </c>
    </row>
    <row r="641" spans="2:6" x14ac:dyDescent="0.2">
      <c r="B641" t="str">
        <f>IFERROR(IF('PDCA review'!$D$2=Do!B639,Do!G639,""),"")</f>
        <v/>
      </c>
      <c r="C641">
        <f t="shared" si="27"/>
        <v>0</v>
      </c>
      <c r="D641">
        <f>SUM($C$3:C641)</f>
        <v>4</v>
      </c>
      <c r="E641" t="e">
        <f t="shared" si="28"/>
        <v>#N/A</v>
      </c>
      <c r="F641" s="28" t="str">
        <f t="shared" ca="1" si="29"/>
        <v/>
      </c>
    </row>
    <row r="642" spans="2:6" x14ac:dyDescent="0.2">
      <c r="B642" t="str">
        <f>IFERROR(IF('PDCA review'!$D$2=Do!B640,Do!G640,""),"")</f>
        <v/>
      </c>
      <c r="C642">
        <f t="shared" si="27"/>
        <v>0</v>
      </c>
      <c r="D642">
        <f>SUM($C$3:C642)</f>
        <v>4</v>
      </c>
      <c r="E642" t="e">
        <f t="shared" si="28"/>
        <v>#N/A</v>
      </c>
      <c r="F642" s="28" t="str">
        <f t="shared" ca="1" si="29"/>
        <v/>
      </c>
    </row>
    <row r="643" spans="2:6" x14ac:dyDescent="0.2">
      <c r="B643" t="str">
        <f>IFERROR(IF('PDCA review'!$D$2=Do!B641,Do!G641,""),"")</f>
        <v/>
      </c>
      <c r="C643">
        <f t="shared" si="27"/>
        <v>0</v>
      </c>
      <c r="D643">
        <f>SUM($C$3:C643)</f>
        <v>4</v>
      </c>
      <c r="E643" t="e">
        <f t="shared" si="28"/>
        <v>#N/A</v>
      </c>
      <c r="F643" s="28" t="str">
        <f t="shared" ca="1" si="29"/>
        <v/>
      </c>
    </row>
    <row r="644" spans="2:6" x14ac:dyDescent="0.2">
      <c r="B644" t="str">
        <f>IFERROR(IF('PDCA review'!$D$2=Do!B642,Do!G642,""),"")</f>
        <v/>
      </c>
      <c r="C644">
        <f t="shared" ref="C644:C707" si="30">IF(B644&lt;&gt;"",1,0)</f>
        <v>0</v>
      </c>
      <c r="D644">
        <f>SUM($C$3:C644)</f>
        <v>4</v>
      </c>
      <c r="E644" t="e">
        <f t="shared" ref="E644:E707" si="31">MATCH(ROW()-$D$2,$D$3:$D$2000,0)+$D$2</f>
        <v>#N/A</v>
      </c>
      <c r="F644" s="28" t="str">
        <f t="shared" ref="F644:F707" ca="1" si="32">IFERROR(INDIRECT("B"&amp;E644),"")</f>
        <v/>
      </c>
    </row>
    <row r="645" spans="2:6" x14ac:dyDescent="0.2">
      <c r="B645" t="str">
        <f>IFERROR(IF('PDCA review'!$D$2=Do!B643,Do!G643,""),"")</f>
        <v/>
      </c>
      <c r="C645">
        <f t="shared" si="30"/>
        <v>0</v>
      </c>
      <c r="D645">
        <f>SUM($C$3:C645)</f>
        <v>4</v>
      </c>
      <c r="E645" t="e">
        <f t="shared" si="31"/>
        <v>#N/A</v>
      </c>
      <c r="F645" s="28" t="str">
        <f t="shared" ca="1" si="32"/>
        <v/>
      </c>
    </row>
    <row r="646" spans="2:6" x14ac:dyDescent="0.2">
      <c r="B646" t="str">
        <f>IFERROR(IF('PDCA review'!$D$2=Do!B644,Do!G644,""),"")</f>
        <v/>
      </c>
      <c r="C646">
        <f t="shared" si="30"/>
        <v>0</v>
      </c>
      <c r="D646">
        <f>SUM($C$3:C646)</f>
        <v>4</v>
      </c>
      <c r="E646" t="e">
        <f t="shared" si="31"/>
        <v>#N/A</v>
      </c>
      <c r="F646" s="28" t="str">
        <f t="shared" ca="1" si="32"/>
        <v/>
      </c>
    </row>
    <row r="647" spans="2:6" x14ac:dyDescent="0.2">
      <c r="B647" t="str">
        <f>IFERROR(IF('PDCA review'!$D$2=Do!B645,Do!G645,""),"")</f>
        <v/>
      </c>
      <c r="C647">
        <f t="shared" si="30"/>
        <v>0</v>
      </c>
      <c r="D647">
        <f>SUM($C$3:C647)</f>
        <v>4</v>
      </c>
      <c r="E647" t="e">
        <f t="shared" si="31"/>
        <v>#N/A</v>
      </c>
      <c r="F647" s="28" t="str">
        <f t="shared" ca="1" si="32"/>
        <v/>
      </c>
    </row>
    <row r="648" spans="2:6" x14ac:dyDescent="0.2">
      <c r="B648" t="str">
        <f>IFERROR(IF('PDCA review'!$D$2=Do!B646,Do!G646,""),"")</f>
        <v/>
      </c>
      <c r="C648">
        <f t="shared" si="30"/>
        <v>0</v>
      </c>
      <c r="D648">
        <f>SUM($C$3:C648)</f>
        <v>4</v>
      </c>
      <c r="E648" t="e">
        <f t="shared" si="31"/>
        <v>#N/A</v>
      </c>
      <c r="F648" s="28" t="str">
        <f t="shared" ca="1" si="32"/>
        <v/>
      </c>
    </row>
    <row r="649" spans="2:6" x14ac:dyDescent="0.2">
      <c r="B649" t="str">
        <f>IFERROR(IF('PDCA review'!$D$2=Do!B647,Do!G647,""),"")</f>
        <v/>
      </c>
      <c r="C649">
        <f t="shared" si="30"/>
        <v>0</v>
      </c>
      <c r="D649">
        <f>SUM($C$3:C649)</f>
        <v>4</v>
      </c>
      <c r="E649" t="e">
        <f t="shared" si="31"/>
        <v>#N/A</v>
      </c>
      <c r="F649" s="28" t="str">
        <f t="shared" ca="1" si="32"/>
        <v/>
      </c>
    </row>
    <row r="650" spans="2:6" x14ac:dyDescent="0.2">
      <c r="B650" t="str">
        <f>IFERROR(IF('PDCA review'!$D$2=Do!B648,Do!G648,""),"")</f>
        <v/>
      </c>
      <c r="C650">
        <f t="shared" si="30"/>
        <v>0</v>
      </c>
      <c r="D650">
        <f>SUM($C$3:C650)</f>
        <v>4</v>
      </c>
      <c r="E650" t="e">
        <f t="shared" si="31"/>
        <v>#N/A</v>
      </c>
      <c r="F650" s="28" t="str">
        <f t="shared" ca="1" si="32"/>
        <v/>
      </c>
    </row>
    <row r="651" spans="2:6" x14ac:dyDescent="0.2">
      <c r="B651" t="str">
        <f>IFERROR(IF('PDCA review'!$D$2=Do!B649,Do!G649,""),"")</f>
        <v/>
      </c>
      <c r="C651">
        <f t="shared" si="30"/>
        <v>0</v>
      </c>
      <c r="D651">
        <f>SUM($C$3:C651)</f>
        <v>4</v>
      </c>
      <c r="E651" t="e">
        <f t="shared" si="31"/>
        <v>#N/A</v>
      </c>
      <c r="F651" s="28" t="str">
        <f t="shared" ca="1" si="32"/>
        <v/>
      </c>
    </row>
    <row r="652" spans="2:6" x14ac:dyDescent="0.2">
      <c r="B652" t="str">
        <f>IFERROR(IF('PDCA review'!$D$2=Do!B650,Do!G650,""),"")</f>
        <v/>
      </c>
      <c r="C652">
        <f t="shared" si="30"/>
        <v>0</v>
      </c>
      <c r="D652">
        <f>SUM($C$3:C652)</f>
        <v>4</v>
      </c>
      <c r="E652" t="e">
        <f t="shared" si="31"/>
        <v>#N/A</v>
      </c>
      <c r="F652" s="28" t="str">
        <f t="shared" ca="1" si="32"/>
        <v/>
      </c>
    </row>
    <row r="653" spans="2:6" x14ac:dyDescent="0.2">
      <c r="B653" t="str">
        <f>IFERROR(IF('PDCA review'!$D$2=Do!B651,Do!G651,""),"")</f>
        <v/>
      </c>
      <c r="C653">
        <f t="shared" si="30"/>
        <v>0</v>
      </c>
      <c r="D653">
        <f>SUM($C$3:C653)</f>
        <v>4</v>
      </c>
      <c r="E653" t="e">
        <f t="shared" si="31"/>
        <v>#N/A</v>
      </c>
      <c r="F653" s="28" t="str">
        <f t="shared" ca="1" si="32"/>
        <v/>
      </c>
    </row>
    <row r="654" spans="2:6" x14ac:dyDescent="0.2">
      <c r="B654" t="str">
        <f>IFERROR(IF('PDCA review'!$D$2=Do!B652,Do!G652,""),"")</f>
        <v/>
      </c>
      <c r="C654">
        <f t="shared" si="30"/>
        <v>0</v>
      </c>
      <c r="D654">
        <f>SUM($C$3:C654)</f>
        <v>4</v>
      </c>
      <c r="E654" t="e">
        <f t="shared" si="31"/>
        <v>#N/A</v>
      </c>
      <c r="F654" s="28" t="str">
        <f t="shared" ca="1" si="32"/>
        <v/>
      </c>
    </row>
    <row r="655" spans="2:6" x14ac:dyDescent="0.2">
      <c r="B655" t="str">
        <f>IFERROR(IF('PDCA review'!$D$2=Do!B653,Do!G653,""),"")</f>
        <v/>
      </c>
      <c r="C655">
        <f t="shared" si="30"/>
        <v>0</v>
      </c>
      <c r="D655">
        <f>SUM($C$3:C655)</f>
        <v>4</v>
      </c>
      <c r="E655" t="e">
        <f t="shared" si="31"/>
        <v>#N/A</v>
      </c>
      <c r="F655" s="28" t="str">
        <f t="shared" ca="1" si="32"/>
        <v/>
      </c>
    </row>
    <row r="656" spans="2:6" x14ac:dyDescent="0.2">
      <c r="B656" t="str">
        <f>IFERROR(IF('PDCA review'!$D$2=Do!B654,Do!G654,""),"")</f>
        <v/>
      </c>
      <c r="C656">
        <f t="shared" si="30"/>
        <v>0</v>
      </c>
      <c r="D656">
        <f>SUM($C$3:C656)</f>
        <v>4</v>
      </c>
      <c r="E656" t="e">
        <f t="shared" si="31"/>
        <v>#N/A</v>
      </c>
      <c r="F656" s="28" t="str">
        <f t="shared" ca="1" si="32"/>
        <v/>
      </c>
    </row>
    <row r="657" spans="2:6" x14ac:dyDescent="0.2">
      <c r="B657" t="str">
        <f>IFERROR(IF('PDCA review'!$D$2=Do!B655,Do!G655,""),"")</f>
        <v/>
      </c>
      <c r="C657">
        <f t="shared" si="30"/>
        <v>0</v>
      </c>
      <c r="D657">
        <f>SUM($C$3:C657)</f>
        <v>4</v>
      </c>
      <c r="E657" t="e">
        <f t="shared" si="31"/>
        <v>#N/A</v>
      </c>
      <c r="F657" s="28" t="str">
        <f t="shared" ca="1" si="32"/>
        <v/>
      </c>
    </row>
    <row r="658" spans="2:6" x14ac:dyDescent="0.2">
      <c r="B658" t="str">
        <f>IFERROR(IF('PDCA review'!$D$2=Do!B656,Do!G656,""),"")</f>
        <v/>
      </c>
      <c r="C658">
        <f t="shared" si="30"/>
        <v>0</v>
      </c>
      <c r="D658">
        <f>SUM($C$3:C658)</f>
        <v>4</v>
      </c>
      <c r="E658" t="e">
        <f t="shared" si="31"/>
        <v>#N/A</v>
      </c>
      <c r="F658" s="28" t="str">
        <f t="shared" ca="1" si="32"/>
        <v/>
      </c>
    </row>
    <row r="659" spans="2:6" x14ac:dyDescent="0.2">
      <c r="B659" t="str">
        <f>IFERROR(IF('PDCA review'!$D$2=Do!B657,Do!G657,""),"")</f>
        <v/>
      </c>
      <c r="C659">
        <f t="shared" si="30"/>
        <v>0</v>
      </c>
      <c r="D659">
        <f>SUM($C$3:C659)</f>
        <v>4</v>
      </c>
      <c r="E659" t="e">
        <f t="shared" si="31"/>
        <v>#N/A</v>
      </c>
      <c r="F659" s="28" t="str">
        <f t="shared" ca="1" si="32"/>
        <v/>
      </c>
    </row>
    <row r="660" spans="2:6" x14ac:dyDescent="0.2">
      <c r="B660" t="str">
        <f>IFERROR(IF('PDCA review'!$D$2=Do!B658,Do!G658,""),"")</f>
        <v/>
      </c>
      <c r="C660">
        <f t="shared" si="30"/>
        <v>0</v>
      </c>
      <c r="D660">
        <f>SUM($C$3:C660)</f>
        <v>4</v>
      </c>
      <c r="E660" t="e">
        <f t="shared" si="31"/>
        <v>#N/A</v>
      </c>
      <c r="F660" s="28" t="str">
        <f t="shared" ca="1" si="32"/>
        <v/>
      </c>
    </row>
    <row r="661" spans="2:6" x14ac:dyDescent="0.2">
      <c r="B661" t="str">
        <f>IFERROR(IF('PDCA review'!$D$2=Do!B659,Do!G659,""),"")</f>
        <v/>
      </c>
      <c r="C661">
        <f t="shared" si="30"/>
        <v>0</v>
      </c>
      <c r="D661">
        <f>SUM($C$3:C661)</f>
        <v>4</v>
      </c>
      <c r="E661" t="e">
        <f t="shared" si="31"/>
        <v>#N/A</v>
      </c>
      <c r="F661" s="28" t="str">
        <f t="shared" ca="1" si="32"/>
        <v/>
      </c>
    </row>
    <row r="662" spans="2:6" x14ac:dyDescent="0.2">
      <c r="B662" t="str">
        <f>IFERROR(IF('PDCA review'!$D$2=Do!B660,Do!G660,""),"")</f>
        <v/>
      </c>
      <c r="C662">
        <f t="shared" si="30"/>
        <v>0</v>
      </c>
      <c r="D662">
        <f>SUM($C$3:C662)</f>
        <v>4</v>
      </c>
      <c r="E662" t="e">
        <f t="shared" si="31"/>
        <v>#N/A</v>
      </c>
      <c r="F662" s="28" t="str">
        <f t="shared" ca="1" si="32"/>
        <v/>
      </c>
    </row>
    <row r="663" spans="2:6" x14ac:dyDescent="0.2">
      <c r="B663" t="str">
        <f>IFERROR(IF('PDCA review'!$D$2=Do!B661,Do!G661,""),"")</f>
        <v/>
      </c>
      <c r="C663">
        <f t="shared" si="30"/>
        <v>0</v>
      </c>
      <c r="D663">
        <f>SUM($C$3:C663)</f>
        <v>4</v>
      </c>
      <c r="E663" t="e">
        <f t="shared" si="31"/>
        <v>#N/A</v>
      </c>
      <c r="F663" s="28" t="str">
        <f t="shared" ca="1" si="32"/>
        <v/>
      </c>
    </row>
    <row r="664" spans="2:6" x14ac:dyDescent="0.2">
      <c r="B664" t="str">
        <f>IFERROR(IF('PDCA review'!$D$2=Do!B662,Do!G662,""),"")</f>
        <v/>
      </c>
      <c r="C664">
        <f t="shared" si="30"/>
        <v>0</v>
      </c>
      <c r="D664">
        <f>SUM($C$3:C664)</f>
        <v>4</v>
      </c>
      <c r="E664" t="e">
        <f t="shared" si="31"/>
        <v>#N/A</v>
      </c>
      <c r="F664" s="28" t="str">
        <f t="shared" ca="1" si="32"/>
        <v/>
      </c>
    </row>
    <row r="665" spans="2:6" x14ac:dyDescent="0.2">
      <c r="B665" t="str">
        <f>IFERROR(IF('PDCA review'!$D$2=Do!B663,Do!G663,""),"")</f>
        <v/>
      </c>
      <c r="C665">
        <f t="shared" si="30"/>
        <v>0</v>
      </c>
      <c r="D665">
        <f>SUM($C$3:C665)</f>
        <v>4</v>
      </c>
      <c r="E665" t="e">
        <f t="shared" si="31"/>
        <v>#N/A</v>
      </c>
      <c r="F665" s="28" t="str">
        <f t="shared" ca="1" si="32"/>
        <v/>
      </c>
    </row>
    <row r="666" spans="2:6" x14ac:dyDescent="0.2">
      <c r="B666" t="str">
        <f>IFERROR(IF('PDCA review'!$D$2=Do!B664,Do!G664,""),"")</f>
        <v/>
      </c>
      <c r="C666">
        <f t="shared" si="30"/>
        <v>0</v>
      </c>
      <c r="D666">
        <f>SUM($C$3:C666)</f>
        <v>4</v>
      </c>
      <c r="E666" t="e">
        <f t="shared" si="31"/>
        <v>#N/A</v>
      </c>
      <c r="F666" s="28" t="str">
        <f t="shared" ca="1" si="32"/>
        <v/>
      </c>
    </row>
    <row r="667" spans="2:6" x14ac:dyDescent="0.2">
      <c r="B667" t="str">
        <f>IFERROR(IF('PDCA review'!$D$2=Do!B665,Do!G665,""),"")</f>
        <v/>
      </c>
      <c r="C667">
        <f t="shared" si="30"/>
        <v>0</v>
      </c>
      <c r="D667">
        <f>SUM($C$3:C667)</f>
        <v>4</v>
      </c>
      <c r="E667" t="e">
        <f t="shared" si="31"/>
        <v>#N/A</v>
      </c>
      <c r="F667" s="28" t="str">
        <f t="shared" ca="1" si="32"/>
        <v/>
      </c>
    </row>
    <row r="668" spans="2:6" x14ac:dyDescent="0.2">
      <c r="B668" t="str">
        <f>IFERROR(IF('PDCA review'!$D$2=Do!B666,Do!G666,""),"")</f>
        <v/>
      </c>
      <c r="C668">
        <f t="shared" si="30"/>
        <v>0</v>
      </c>
      <c r="D668">
        <f>SUM($C$3:C668)</f>
        <v>4</v>
      </c>
      <c r="E668" t="e">
        <f t="shared" si="31"/>
        <v>#N/A</v>
      </c>
      <c r="F668" s="28" t="str">
        <f t="shared" ca="1" si="32"/>
        <v/>
      </c>
    </row>
    <row r="669" spans="2:6" x14ac:dyDescent="0.2">
      <c r="B669" t="str">
        <f>IFERROR(IF('PDCA review'!$D$2=Do!B667,Do!G667,""),"")</f>
        <v/>
      </c>
      <c r="C669">
        <f t="shared" si="30"/>
        <v>0</v>
      </c>
      <c r="D669">
        <f>SUM($C$3:C669)</f>
        <v>4</v>
      </c>
      <c r="E669" t="e">
        <f t="shared" si="31"/>
        <v>#N/A</v>
      </c>
      <c r="F669" s="28" t="str">
        <f t="shared" ca="1" si="32"/>
        <v/>
      </c>
    </row>
    <row r="670" spans="2:6" x14ac:dyDescent="0.2">
      <c r="B670" t="str">
        <f>IFERROR(IF('PDCA review'!$D$2=Do!B668,Do!G668,""),"")</f>
        <v/>
      </c>
      <c r="C670">
        <f t="shared" si="30"/>
        <v>0</v>
      </c>
      <c r="D670">
        <f>SUM($C$3:C670)</f>
        <v>4</v>
      </c>
      <c r="E670" t="e">
        <f t="shared" si="31"/>
        <v>#N/A</v>
      </c>
      <c r="F670" s="28" t="str">
        <f t="shared" ca="1" si="32"/>
        <v/>
      </c>
    </row>
    <row r="671" spans="2:6" x14ac:dyDescent="0.2">
      <c r="B671" t="str">
        <f>IFERROR(IF('PDCA review'!$D$2=Do!B669,Do!G669,""),"")</f>
        <v/>
      </c>
      <c r="C671">
        <f t="shared" si="30"/>
        <v>0</v>
      </c>
      <c r="D671">
        <f>SUM($C$3:C671)</f>
        <v>4</v>
      </c>
      <c r="E671" t="e">
        <f t="shared" si="31"/>
        <v>#N/A</v>
      </c>
      <c r="F671" s="28" t="str">
        <f t="shared" ca="1" si="32"/>
        <v/>
      </c>
    </row>
    <row r="672" spans="2:6" x14ac:dyDescent="0.2">
      <c r="B672" t="str">
        <f>IFERROR(IF('PDCA review'!$D$2=Do!B670,Do!G670,""),"")</f>
        <v/>
      </c>
      <c r="C672">
        <f t="shared" si="30"/>
        <v>0</v>
      </c>
      <c r="D672">
        <f>SUM($C$3:C672)</f>
        <v>4</v>
      </c>
      <c r="E672" t="e">
        <f t="shared" si="31"/>
        <v>#N/A</v>
      </c>
      <c r="F672" s="28" t="str">
        <f t="shared" ca="1" si="32"/>
        <v/>
      </c>
    </row>
    <row r="673" spans="2:6" x14ac:dyDescent="0.2">
      <c r="B673" t="str">
        <f>IFERROR(IF('PDCA review'!$D$2=Do!B671,Do!G671,""),"")</f>
        <v/>
      </c>
      <c r="C673">
        <f t="shared" si="30"/>
        <v>0</v>
      </c>
      <c r="D673">
        <f>SUM($C$3:C673)</f>
        <v>4</v>
      </c>
      <c r="E673" t="e">
        <f t="shared" si="31"/>
        <v>#N/A</v>
      </c>
      <c r="F673" s="28" t="str">
        <f t="shared" ca="1" si="32"/>
        <v/>
      </c>
    </row>
    <row r="674" spans="2:6" x14ac:dyDescent="0.2">
      <c r="B674" t="str">
        <f>IFERROR(IF('PDCA review'!$D$2=Do!B672,Do!G672,""),"")</f>
        <v/>
      </c>
      <c r="C674">
        <f t="shared" si="30"/>
        <v>0</v>
      </c>
      <c r="D674">
        <f>SUM($C$3:C674)</f>
        <v>4</v>
      </c>
      <c r="E674" t="e">
        <f t="shared" si="31"/>
        <v>#N/A</v>
      </c>
      <c r="F674" s="28" t="str">
        <f t="shared" ca="1" si="32"/>
        <v/>
      </c>
    </row>
    <row r="675" spans="2:6" x14ac:dyDescent="0.2">
      <c r="B675" t="str">
        <f>IFERROR(IF('PDCA review'!$D$2=Do!B673,Do!G673,""),"")</f>
        <v/>
      </c>
      <c r="C675">
        <f t="shared" si="30"/>
        <v>0</v>
      </c>
      <c r="D675">
        <f>SUM($C$3:C675)</f>
        <v>4</v>
      </c>
      <c r="E675" t="e">
        <f t="shared" si="31"/>
        <v>#N/A</v>
      </c>
      <c r="F675" s="28" t="str">
        <f t="shared" ca="1" si="32"/>
        <v/>
      </c>
    </row>
    <row r="676" spans="2:6" x14ac:dyDescent="0.2">
      <c r="B676" t="str">
        <f>IFERROR(IF('PDCA review'!$D$2=Do!B674,Do!G674,""),"")</f>
        <v/>
      </c>
      <c r="C676">
        <f t="shared" si="30"/>
        <v>0</v>
      </c>
      <c r="D676">
        <f>SUM($C$3:C676)</f>
        <v>4</v>
      </c>
      <c r="E676" t="e">
        <f t="shared" si="31"/>
        <v>#N/A</v>
      </c>
      <c r="F676" s="28" t="str">
        <f t="shared" ca="1" si="32"/>
        <v/>
      </c>
    </row>
    <row r="677" spans="2:6" x14ac:dyDescent="0.2">
      <c r="B677" t="str">
        <f>IFERROR(IF('PDCA review'!$D$2=Do!B675,Do!G675,""),"")</f>
        <v/>
      </c>
      <c r="C677">
        <f t="shared" si="30"/>
        <v>0</v>
      </c>
      <c r="D677">
        <f>SUM($C$3:C677)</f>
        <v>4</v>
      </c>
      <c r="E677" t="e">
        <f t="shared" si="31"/>
        <v>#N/A</v>
      </c>
      <c r="F677" s="28" t="str">
        <f t="shared" ca="1" si="32"/>
        <v/>
      </c>
    </row>
    <row r="678" spans="2:6" x14ac:dyDescent="0.2">
      <c r="B678" t="str">
        <f>IFERROR(IF('PDCA review'!$D$2=Do!B676,Do!G676,""),"")</f>
        <v/>
      </c>
      <c r="C678">
        <f t="shared" si="30"/>
        <v>0</v>
      </c>
      <c r="D678">
        <f>SUM($C$3:C678)</f>
        <v>4</v>
      </c>
      <c r="E678" t="e">
        <f t="shared" si="31"/>
        <v>#N/A</v>
      </c>
      <c r="F678" s="28" t="str">
        <f t="shared" ca="1" si="32"/>
        <v/>
      </c>
    </row>
    <row r="679" spans="2:6" x14ac:dyDescent="0.2">
      <c r="B679" t="str">
        <f>IFERROR(IF('PDCA review'!$D$2=Do!B677,Do!G677,""),"")</f>
        <v/>
      </c>
      <c r="C679">
        <f t="shared" si="30"/>
        <v>0</v>
      </c>
      <c r="D679">
        <f>SUM($C$3:C679)</f>
        <v>4</v>
      </c>
      <c r="E679" t="e">
        <f t="shared" si="31"/>
        <v>#N/A</v>
      </c>
      <c r="F679" s="28" t="str">
        <f t="shared" ca="1" si="32"/>
        <v/>
      </c>
    </row>
    <row r="680" spans="2:6" x14ac:dyDescent="0.2">
      <c r="B680" t="str">
        <f>IFERROR(IF('PDCA review'!$D$2=Do!B678,Do!G678,""),"")</f>
        <v/>
      </c>
      <c r="C680">
        <f t="shared" si="30"/>
        <v>0</v>
      </c>
      <c r="D680">
        <f>SUM($C$3:C680)</f>
        <v>4</v>
      </c>
      <c r="E680" t="e">
        <f t="shared" si="31"/>
        <v>#N/A</v>
      </c>
      <c r="F680" s="28" t="str">
        <f t="shared" ca="1" si="32"/>
        <v/>
      </c>
    </row>
    <row r="681" spans="2:6" x14ac:dyDescent="0.2">
      <c r="B681" t="str">
        <f>IFERROR(IF('PDCA review'!$D$2=Do!B679,Do!G679,""),"")</f>
        <v/>
      </c>
      <c r="C681">
        <f t="shared" si="30"/>
        <v>0</v>
      </c>
      <c r="D681">
        <f>SUM($C$3:C681)</f>
        <v>4</v>
      </c>
      <c r="E681" t="e">
        <f t="shared" si="31"/>
        <v>#N/A</v>
      </c>
      <c r="F681" s="28" t="str">
        <f t="shared" ca="1" si="32"/>
        <v/>
      </c>
    </row>
    <row r="682" spans="2:6" x14ac:dyDescent="0.2">
      <c r="B682" t="str">
        <f>IFERROR(IF('PDCA review'!$D$2=Do!B680,Do!G680,""),"")</f>
        <v/>
      </c>
      <c r="C682">
        <f t="shared" si="30"/>
        <v>0</v>
      </c>
      <c r="D682">
        <f>SUM($C$3:C682)</f>
        <v>4</v>
      </c>
      <c r="E682" t="e">
        <f t="shared" si="31"/>
        <v>#N/A</v>
      </c>
      <c r="F682" s="28" t="str">
        <f t="shared" ca="1" si="32"/>
        <v/>
      </c>
    </row>
    <row r="683" spans="2:6" x14ac:dyDescent="0.2">
      <c r="B683" t="str">
        <f>IFERROR(IF('PDCA review'!$D$2=Do!B681,Do!G681,""),"")</f>
        <v/>
      </c>
      <c r="C683">
        <f t="shared" si="30"/>
        <v>0</v>
      </c>
      <c r="D683">
        <f>SUM($C$3:C683)</f>
        <v>4</v>
      </c>
      <c r="E683" t="e">
        <f t="shared" si="31"/>
        <v>#N/A</v>
      </c>
      <c r="F683" s="28" t="str">
        <f t="shared" ca="1" si="32"/>
        <v/>
      </c>
    </row>
    <row r="684" spans="2:6" x14ac:dyDescent="0.2">
      <c r="B684" t="str">
        <f>IFERROR(IF('PDCA review'!$D$2=Do!B682,Do!G682,""),"")</f>
        <v/>
      </c>
      <c r="C684">
        <f t="shared" si="30"/>
        <v>0</v>
      </c>
      <c r="D684">
        <f>SUM($C$3:C684)</f>
        <v>4</v>
      </c>
      <c r="E684" t="e">
        <f t="shared" si="31"/>
        <v>#N/A</v>
      </c>
      <c r="F684" s="28" t="str">
        <f t="shared" ca="1" si="32"/>
        <v/>
      </c>
    </row>
    <row r="685" spans="2:6" x14ac:dyDescent="0.2">
      <c r="B685" t="str">
        <f>IFERROR(IF('PDCA review'!$D$2=Do!B683,Do!G683,""),"")</f>
        <v/>
      </c>
      <c r="C685">
        <f t="shared" si="30"/>
        <v>0</v>
      </c>
      <c r="D685">
        <f>SUM($C$3:C685)</f>
        <v>4</v>
      </c>
      <c r="E685" t="e">
        <f t="shared" si="31"/>
        <v>#N/A</v>
      </c>
      <c r="F685" s="28" t="str">
        <f t="shared" ca="1" si="32"/>
        <v/>
      </c>
    </row>
    <row r="686" spans="2:6" x14ac:dyDescent="0.2">
      <c r="B686" t="str">
        <f>IFERROR(IF('PDCA review'!$D$2=Do!B684,Do!G684,""),"")</f>
        <v/>
      </c>
      <c r="C686">
        <f t="shared" si="30"/>
        <v>0</v>
      </c>
      <c r="D686">
        <f>SUM($C$3:C686)</f>
        <v>4</v>
      </c>
      <c r="E686" t="e">
        <f t="shared" si="31"/>
        <v>#N/A</v>
      </c>
      <c r="F686" s="28" t="str">
        <f t="shared" ca="1" si="32"/>
        <v/>
      </c>
    </row>
    <row r="687" spans="2:6" x14ac:dyDescent="0.2">
      <c r="B687" t="str">
        <f>IFERROR(IF('PDCA review'!$D$2=Do!B685,Do!G685,""),"")</f>
        <v/>
      </c>
      <c r="C687">
        <f t="shared" si="30"/>
        <v>0</v>
      </c>
      <c r="D687">
        <f>SUM($C$3:C687)</f>
        <v>4</v>
      </c>
      <c r="E687" t="e">
        <f t="shared" si="31"/>
        <v>#N/A</v>
      </c>
      <c r="F687" s="28" t="str">
        <f t="shared" ca="1" si="32"/>
        <v/>
      </c>
    </row>
    <row r="688" spans="2:6" x14ac:dyDescent="0.2">
      <c r="B688" t="str">
        <f>IFERROR(IF('PDCA review'!$D$2=Do!B686,Do!G686,""),"")</f>
        <v/>
      </c>
      <c r="C688">
        <f t="shared" si="30"/>
        <v>0</v>
      </c>
      <c r="D688">
        <f>SUM($C$3:C688)</f>
        <v>4</v>
      </c>
      <c r="E688" t="e">
        <f t="shared" si="31"/>
        <v>#N/A</v>
      </c>
      <c r="F688" s="28" t="str">
        <f t="shared" ca="1" si="32"/>
        <v/>
      </c>
    </row>
    <row r="689" spans="2:6" x14ac:dyDescent="0.2">
      <c r="B689" t="str">
        <f>IFERROR(IF('PDCA review'!$D$2=Do!B687,Do!G687,""),"")</f>
        <v/>
      </c>
      <c r="C689">
        <f t="shared" si="30"/>
        <v>0</v>
      </c>
      <c r="D689">
        <f>SUM($C$3:C689)</f>
        <v>4</v>
      </c>
      <c r="E689" t="e">
        <f t="shared" si="31"/>
        <v>#N/A</v>
      </c>
      <c r="F689" s="28" t="str">
        <f t="shared" ca="1" si="32"/>
        <v/>
      </c>
    </row>
    <row r="690" spans="2:6" x14ac:dyDescent="0.2">
      <c r="B690" t="str">
        <f>IFERROR(IF('PDCA review'!$D$2=Do!B688,Do!G688,""),"")</f>
        <v/>
      </c>
      <c r="C690">
        <f t="shared" si="30"/>
        <v>0</v>
      </c>
      <c r="D690">
        <f>SUM($C$3:C690)</f>
        <v>4</v>
      </c>
      <c r="E690" t="e">
        <f t="shared" si="31"/>
        <v>#N/A</v>
      </c>
      <c r="F690" s="28" t="str">
        <f t="shared" ca="1" si="32"/>
        <v/>
      </c>
    </row>
    <row r="691" spans="2:6" x14ac:dyDescent="0.2">
      <c r="B691" t="str">
        <f>IFERROR(IF('PDCA review'!$D$2=Do!B689,Do!G689,""),"")</f>
        <v/>
      </c>
      <c r="C691">
        <f t="shared" si="30"/>
        <v>0</v>
      </c>
      <c r="D691">
        <f>SUM($C$3:C691)</f>
        <v>4</v>
      </c>
      <c r="E691" t="e">
        <f t="shared" si="31"/>
        <v>#N/A</v>
      </c>
      <c r="F691" s="28" t="str">
        <f t="shared" ca="1" si="32"/>
        <v/>
      </c>
    </row>
    <row r="692" spans="2:6" x14ac:dyDescent="0.2">
      <c r="B692" t="str">
        <f>IFERROR(IF('PDCA review'!$D$2=Do!B690,Do!G690,""),"")</f>
        <v/>
      </c>
      <c r="C692">
        <f t="shared" si="30"/>
        <v>0</v>
      </c>
      <c r="D692">
        <f>SUM($C$3:C692)</f>
        <v>4</v>
      </c>
      <c r="E692" t="e">
        <f t="shared" si="31"/>
        <v>#N/A</v>
      </c>
      <c r="F692" s="28" t="str">
        <f t="shared" ca="1" si="32"/>
        <v/>
      </c>
    </row>
    <row r="693" spans="2:6" x14ac:dyDescent="0.2">
      <c r="B693" t="str">
        <f>IFERROR(IF('PDCA review'!$D$2=Do!B691,Do!G691,""),"")</f>
        <v/>
      </c>
      <c r="C693">
        <f t="shared" si="30"/>
        <v>0</v>
      </c>
      <c r="D693">
        <f>SUM($C$3:C693)</f>
        <v>4</v>
      </c>
      <c r="E693" t="e">
        <f t="shared" si="31"/>
        <v>#N/A</v>
      </c>
      <c r="F693" s="28" t="str">
        <f t="shared" ca="1" si="32"/>
        <v/>
      </c>
    </row>
    <row r="694" spans="2:6" x14ac:dyDescent="0.2">
      <c r="B694" t="str">
        <f>IFERROR(IF('PDCA review'!$D$2=Do!B692,Do!G692,""),"")</f>
        <v/>
      </c>
      <c r="C694">
        <f t="shared" si="30"/>
        <v>0</v>
      </c>
      <c r="D694">
        <f>SUM($C$3:C694)</f>
        <v>4</v>
      </c>
      <c r="E694" t="e">
        <f t="shared" si="31"/>
        <v>#N/A</v>
      </c>
      <c r="F694" s="28" t="str">
        <f t="shared" ca="1" si="32"/>
        <v/>
      </c>
    </row>
    <row r="695" spans="2:6" x14ac:dyDescent="0.2">
      <c r="B695" t="str">
        <f>IFERROR(IF('PDCA review'!$D$2=Do!B693,Do!G693,""),"")</f>
        <v/>
      </c>
      <c r="C695">
        <f t="shared" si="30"/>
        <v>0</v>
      </c>
      <c r="D695">
        <f>SUM($C$3:C695)</f>
        <v>4</v>
      </c>
      <c r="E695" t="e">
        <f t="shared" si="31"/>
        <v>#N/A</v>
      </c>
      <c r="F695" s="28" t="str">
        <f t="shared" ca="1" si="32"/>
        <v/>
      </c>
    </row>
    <row r="696" spans="2:6" x14ac:dyDescent="0.2">
      <c r="B696" t="str">
        <f>IFERROR(IF('PDCA review'!$D$2=Do!B694,Do!G694,""),"")</f>
        <v/>
      </c>
      <c r="C696">
        <f t="shared" si="30"/>
        <v>0</v>
      </c>
      <c r="D696">
        <f>SUM($C$3:C696)</f>
        <v>4</v>
      </c>
      <c r="E696" t="e">
        <f t="shared" si="31"/>
        <v>#N/A</v>
      </c>
      <c r="F696" s="28" t="str">
        <f t="shared" ca="1" si="32"/>
        <v/>
      </c>
    </row>
    <row r="697" spans="2:6" x14ac:dyDescent="0.2">
      <c r="B697" t="str">
        <f>IFERROR(IF('PDCA review'!$D$2=Do!B695,Do!G695,""),"")</f>
        <v/>
      </c>
      <c r="C697">
        <f t="shared" si="30"/>
        <v>0</v>
      </c>
      <c r="D697">
        <f>SUM($C$3:C697)</f>
        <v>4</v>
      </c>
      <c r="E697" t="e">
        <f t="shared" si="31"/>
        <v>#N/A</v>
      </c>
      <c r="F697" s="28" t="str">
        <f t="shared" ca="1" si="32"/>
        <v/>
      </c>
    </row>
    <row r="698" spans="2:6" x14ac:dyDescent="0.2">
      <c r="B698" t="str">
        <f>IFERROR(IF('PDCA review'!$D$2=Do!B696,Do!G696,""),"")</f>
        <v/>
      </c>
      <c r="C698">
        <f t="shared" si="30"/>
        <v>0</v>
      </c>
      <c r="D698">
        <f>SUM($C$3:C698)</f>
        <v>4</v>
      </c>
      <c r="E698" t="e">
        <f t="shared" si="31"/>
        <v>#N/A</v>
      </c>
      <c r="F698" s="28" t="str">
        <f t="shared" ca="1" si="32"/>
        <v/>
      </c>
    </row>
    <row r="699" spans="2:6" x14ac:dyDescent="0.2">
      <c r="B699" t="str">
        <f>IFERROR(IF('PDCA review'!$D$2=Do!B697,Do!G697,""),"")</f>
        <v/>
      </c>
      <c r="C699">
        <f t="shared" si="30"/>
        <v>0</v>
      </c>
      <c r="D699">
        <f>SUM($C$3:C699)</f>
        <v>4</v>
      </c>
      <c r="E699" t="e">
        <f t="shared" si="31"/>
        <v>#N/A</v>
      </c>
      <c r="F699" s="28" t="str">
        <f t="shared" ca="1" si="32"/>
        <v/>
      </c>
    </row>
    <row r="700" spans="2:6" x14ac:dyDescent="0.2">
      <c r="B700" t="str">
        <f>IFERROR(IF('PDCA review'!$D$2=Do!B698,Do!G698,""),"")</f>
        <v/>
      </c>
      <c r="C700">
        <f t="shared" si="30"/>
        <v>0</v>
      </c>
      <c r="D700">
        <f>SUM($C$3:C700)</f>
        <v>4</v>
      </c>
      <c r="E700" t="e">
        <f t="shared" si="31"/>
        <v>#N/A</v>
      </c>
      <c r="F700" s="28" t="str">
        <f t="shared" ca="1" si="32"/>
        <v/>
      </c>
    </row>
    <row r="701" spans="2:6" x14ac:dyDescent="0.2">
      <c r="B701" t="str">
        <f>IFERROR(IF('PDCA review'!$D$2=Do!B699,Do!G699,""),"")</f>
        <v/>
      </c>
      <c r="C701">
        <f t="shared" si="30"/>
        <v>0</v>
      </c>
      <c r="D701">
        <f>SUM($C$3:C701)</f>
        <v>4</v>
      </c>
      <c r="E701" t="e">
        <f t="shared" si="31"/>
        <v>#N/A</v>
      </c>
      <c r="F701" s="28" t="str">
        <f t="shared" ca="1" si="32"/>
        <v/>
      </c>
    </row>
    <row r="702" spans="2:6" x14ac:dyDescent="0.2">
      <c r="B702" t="str">
        <f>IFERROR(IF('PDCA review'!$D$2=Do!B700,Do!G700,""),"")</f>
        <v/>
      </c>
      <c r="C702">
        <f t="shared" si="30"/>
        <v>0</v>
      </c>
      <c r="D702">
        <f>SUM($C$3:C702)</f>
        <v>4</v>
      </c>
      <c r="E702" t="e">
        <f t="shared" si="31"/>
        <v>#N/A</v>
      </c>
      <c r="F702" s="28" t="str">
        <f t="shared" ca="1" si="32"/>
        <v/>
      </c>
    </row>
    <row r="703" spans="2:6" x14ac:dyDescent="0.2">
      <c r="B703" t="str">
        <f>IFERROR(IF('PDCA review'!$D$2=Do!B701,Do!G701,""),"")</f>
        <v/>
      </c>
      <c r="C703">
        <f t="shared" si="30"/>
        <v>0</v>
      </c>
      <c r="D703">
        <f>SUM($C$3:C703)</f>
        <v>4</v>
      </c>
      <c r="E703" t="e">
        <f t="shared" si="31"/>
        <v>#N/A</v>
      </c>
      <c r="F703" s="28" t="str">
        <f t="shared" ca="1" si="32"/>
        <v/>
      </c>
    </row>
    <row r="704" spans="2:6" x14ac:dyDescent="0.2">
      <c r="B704" t="str">
        <f>IFERROR(IF('PDCA review'!$D$2=Do!B702,Do!G702,""),"")</f>
        <v/>
      </c>
      <c r="C704">
        <f t="shared" si="30"/>
        <v>0</v>
      </c>
      <c r="D704">
        <f>SUM($C$3:C704)</f>
        <v>4</v>
      </c>
      <c r="E704" t="e">
        <f t="shared" si="31"/>
        <v>#N/A</v>
      </c>
      <c r="F704" s="28" t="str">
        <f t="shared" ca="1" si="32"/>
        <v/>
      </c>
    </row>
    <row r="705" spans="2:6" x14ac:dyDescent="0.2">
      <c r="B705" t="str">
        <f>IFERROR(IF('PDCA review'!$D$2=Do!B703,Do!G703,""),"")</f>
        <v/>
      </c>
      <c r="C705">
        <f t="shared" si="30"/>
        <v>0</v>
      </c>
      <c r="D705">
        <f>SUM($C$3:C705)</f>
        <v>4</v>
      </c>
      <c r="E705" t="e">
        <f t="shared" si="31"/>
        <v>#N/A</v>
      </c>
      <c r="F705" s="28" t="str">
        <f t="shared" ca="1" si="32"/>
        <v/>
      </c>
    </row>
    <row r="706" spans="2:6" x14ac:dyDescent="0.2">
      <c r="B706" t="str">
        <f>IFERROR(IF('PDCA review'!$D$2=Do!B704,Do!G704,""),"")</f>
        <v/>
      </c>
      <c r="C706">
        <f t="shared" si="30"/>
        <v>0</v>
      </c>
      <c r="D706">
        <f>SUM($C$3:C706)</f>
        <v>4</v>
      </c>
      <c r="E706" t="e">
        <f t="shared" si="31"/>
        <v>#N/A</v>
      </c>
      <c r="F706" s="28" t="str">
        <f t="shared" ca="1" si="32"/>
        <v/>
      </c>
    </row>
    <row r="707" spans="2:6" x14ac:dyDescent="0.2">
      <c r="B707" t="str">
        <f>IFERROR(IF('PDCA review'!$D$2=Do!B705,Do!G705,""),"")</f>
        <v/>
      </c>
      <c r="C707">
        <f t="shared" si="30"/>
        <v>0</v>
      </c>
      <c r="D707">
        <f>SUM($C$3:C707)</f>
        <v>4</v>
      </c>
      <c r="E707" t="e">
        <f t="shared" si="31"/>
        <v>#N/A</v>
      </c>
      <c r="F707" s="28" t="str">
        <f t="shared" ca="1" si="32"/>
        <v/>
      </c>
    </row>
    <row r="708" spans="2:6" x14ac:dyDescent="0.2">
      <c r="B708" t="str">
        <f>IFERROR(IF('PDCA review'!$D$2=Do!B706,Do!G706,""),"")</f>
        <v/>
      </c>
      <c r="C708">
        <f t="shared" ref="C708:C771" si="33">IF(B708&lt;&gt;"",1,0)</f>
        <v>0</v>
      </c>
      <c r="D708">
        <f>SUM($C$3:C708)</f>
        <v>4</v>
      </c>
      <c r="E708" t="e">
        <f t="shared" ref="E708:E771" si="34">MATCH(ROW()-$D$2,$D$3:$D$2000,0)+$D$2</f>
        <v>#N/A</v>
      </c>
      <c r="F708" s="28" t="str">
        <f t="shared" ref="F708:F771" ca="1" si="35">IFERROR(INDIRECT("B"&amp;E708),"")</f>
        <v/>
      </c>
    </row>
    <row r="709" spans="2:6" x14ac:dyDescent="0.2">
      <c r="B709" t="str">
        <f>IFERROR(IF('PDCA review'!$D$2=Do!B707,Do!G707,""),"")</f>
        <v/>
      </c>
      <c r="C709">
        <f t="shared" si="33"/>
        <v>0</v>
      </c>
      <c r="D709">
        <f>SUM($C$3:C709)</f>
        <v>4</v>
      </c>
      <c r="E709" t="e">
        <f t="shared" si="34"/>
        <v>#N/A</v>
      </c>
      <c r="F709" s="28" t="str">
        <f t="shared" ca="1" si="35"/>
        <v/>
      </c>
    </row>
    <row r="710" spans="2:6" x14ac:dyDescent="0.2">
      <c r="B710" t="str">
        <f>IFERROR(IF('PDCA review'!$D$2=Do!B708,Do!G708,""),"")</f>
        <v/>
      </c>
      <c r="C710">
        <f t="shared" si="33"/>
        <v>0</v>
      </c>
      <c r="D710">
        <f>SUM($C$3:C710)</f>
        <v>4</v>
      </c>
      <c r="E710" t="e">
        <f t="shared" si="34"/>
        <v>#N/A</v>
      </c>
      <c r="F710" s="28" t="str">
        <f t="shared" ca="1" si="35"/>
        <v/>
      </c>
    </row>
    <row r="711" spans="2:6" x14ac:dyDescent="0.2">
      <c r="B711" t="str">
        <f>IFERROR(IF('PDCA review'!$D$2=Do!B709,Do!G709,""),"")</f>
        <v/>
      </c>
      <c r="C711">
        <f t="shared" si="33"/>
        <v>0</v>
      </c>
      <c r="D711">
        <f>SUM($C$3:C711)</f>
        <v>4</v>
      </c>
      <c r="E711" t="e">
        <f t="shared" si="34"/>
        <v>#N/A</v>
      </c>
      <c r="F711" s="28" t="str">
        <f t="shared" ca="1" si="35"/>
        <v/>
      </c>
    </row>
    <row r="712" spans="2:6" x14ac:dyDescent="0.2">
      <c r="B712" t="str">
        <f>IFERROR(IF('PDCA review'!$D$2=Do!B710,Do!G710,""),"")</f>
        <v/>
      </c>
      <c r="C712">
        <f t="shared" si="33"/>
        <v>0</v>
      </c>
      <c r="D712">
        <f>SUM($C$3:C712)</f>
        <v>4</v>
      </c>
      <c r="E712" t="e">
        <f t="shared" si="34"/>
        <v>#N/A</v>
      </c>
      <c r="F712" s="28" t="str">
        <f t="shared" ca="1" si="35"/>
        <v/>
      </c>
    </row>
    <row r="713" spans="2:6" x14ac:dyDescent="0.2">
      <c r="B713" t="str">
        <f>IFERROR(IF('PDCA review'!$D$2=Do!B711,Do!G711,""),"")</f>
        <v/>
      </c>
      <c r="C713">
        <f t="shared" si="33"/>
        <v>0</v>
      </c>
      <c r="D713">
        <f>SUM($C$3:C713)</f>
        <v>4</v>
      </c>
      <c r="E713" t="e">
        <f t="shared" si="34"/>
        <v>#N/A</v>
      </c>
      <c r="F713" s="28" t="str">
        <f t="shared" ca="1" si="35"/>
        <v/>
      </c>
    </row>
    <row r="714" spans="2:6" x14ac:dyDescent="0.2">
      <c r="B714" t="str">
        <f>IFERROR(IF('PDCA review'!$D$2=Do!B712,Do!G712,""),"")</f>
        <v/>
      </c>
      <c r="C714">
        <f t="shared" si="33"/>
        <v>0</v>
      </c>
      <c r="D714">
        <f>SUM($C$3:C714)</f>
        <v>4</v>
      </c>
      <c r="E714" t="e">
        <f t="shared" si="34"/>
        <v>#N/A</v>
      </c>
      <c r="F714" s="28" t="str">
        <f t="shared" ca="1" si="35"/>
        <v/>
      </c>
    </row>
    <row r="715" spans="2:6" x14ac:dyDescent="0.2">
      <c r="B715" t="str">
        <f>IFERROR(IF('PDCA review'!$D$2=Do!B713,Do!G713,""),"")</f>
        <v/>
      </c>
      <c r="C715">
        <f t="shared" si="33"/>
        <v>0</v>
      </c>
      <c r="D715">
        <f>SUM($C$3:C715)</f>
        <v>4</v>
      </c>
      <c r="E715" t="e">
        <f t="shared" si="34"/>
        <v>#N/A</v>
      </c>
      <c r="F715" s="28" t="str">
        <f t="shared" ca="1" si="35"/>
        <v/>
      </c>
    </row>
    <row r="716" spans="2:6" x14ac:dyDescent="0.2">
      <c r="B716" t="str">
        <f>IFERROR(IF('PDCA review'!$D$2=Do!B714,Do!G714,""),"")</f>
        <v/>
      </c>
      <c r="C716">
        <f t="shared" si="33"/>
        <v>0</v>
      </c>
      <c r="D716">
        <f>SUM($C$3:C716)</f>
        <v>4</v>
      </c>
      <c r="E716" t="e">
        <f t="shared" si="34"/>
        <v>#N/A</v>
      </c>
      <c r="F716" s="28" t="str">
        <f t="shared" ca="1" si="35"/>
        <v/>
      </c>
    </row>
    <row r="717" spans="2:6" x14ac:dyDescent="0.2">
      <c r="B717" t="str">
        <f>IFERROR(IF('PDCA review'!$D$2=Do!B715,Do!G715,""),"")</f>
        <v/>
      </c>
      <c r="C717">
        <f t="shared" si="33"/>
        <v>0</v>
      </c>
      <c r="D717">
        <f>SUM($C$3:C717)</f>
        <v>4</v>
      </c>
      <c r="E717" t="e">
        <f t="shared" si="34"/>
        <v>#N/A</v>
      </c>
      <c r="F717" s="28" t="str">
        <f t="shared" ca="1" si="35"/>
        <v/>
      </c>
    </row>
    <row r="718" spans="2:6" x14ac:dyDescent="0.2">
      <c r="B718" t="str">
        <f>IFERROR(IF('PDCA review'!$D$2=Do!B716,Do!G716,""),"")</f>
        <v/>
      </c>
      <c r="C718">
        <f t="shared" si="33"/>
        <v>0</v>
      </c>
      <c r="D718">
        <f>SUM($C$3:C718)</f>
        <v>4</v>
      </c>
      <c r="E718" t="e">
        <f t="shared" si="34"/>
        <v>#N/A</v>
      </c>
      <c r="F718" s="28" t="str">
        <f t="shared" ca="1" si="35"/>
        <v/>
      </c>
    </row>
    <row r="719" spans="2:6" x14ac:dyDescent="0.2">
      <c r="B719" t="str">
        <f>IFERROR(IF('PDCA review'!$D$2=Do!B717,Do!G717,""),"")</f>
        <v/>
      </c>
      <c r="C719">
        <f t="shared" si="33"/>
        <v>0</v>
      </c>
      <c r="D719">
        <f>SUM($C$3:C719)</f>
        <v>4</v>
      </c>
      <c r="E719" t="e">
        <f t="shared" si="34"/>
        <v>#N/A</v>
      </c>
      <c r="F719" s="28" t="str">
        <f t="shared" ca="1" si="35"/>
        <v/>
      </c>
    </row>
    <row r="720" spans="2:6" x14ac:dyDescent="0.2">
      <c r="B720" t="str">
        <f>IFERROR(IF('PDCA review'!$D$2=Do!B718,Do!G718,""),"")</f>
        <v/>
      </c>
      <c r="C720">
        <f t="shared" si="33"/>
        <v>0</v>
      </c>
      <c r="D720">
        <f>SUM($C$3:C720)</f>
        <v>4</v>
      </c>
      <c r="E720" t="e">
        <f t="shared" si="34"/>
        <v>#N/A</v>
      </c>
      <c r="F720" s="28" t="str">
        <f t="shared" ca="1" si="35"/>
        <v/>
      </c>
    </row>
    <row r="721" spans="2:6" x14ac:dyDescent="0.2">
      <c r="B721" t="str">
        <f>IFERROR(IF('PDCA review'!$D$2=Do!B719,Do!G719,""),"")</f>
        <v/>
      </c>
      <c r="C721">
        <f t="shared" si="33"/>
        <v>0</v>
      </c>
      <c r="D721">
        <f>SUM($C$3:C721)</f>
        <v>4</v>
      </c>
      <c r="E721" t="e">
        <f t="shared" si="34"/>
        <v>#N/A</v>
      </c>
      <c r="F721" s="28" t="str">
        <f t="shared" ca="1" si="35"/>
        <v/>
      </c>
    </row>
    <row r="722" spans="2:6" x14ac:dyDescent="0.2">
      <c r="B722" t="str">
        <f>IFERROR(IF('PDCA review'!$D$2=Do!B720,Do!G720,""),"")</f>
        <v/>
      </c>
      <c r="C722">
        <f t="shared" si="33"/>
        <v>0</v>
      </c>
      <c r="D722">
        <f>SUM($C$3:C722)</f>
        <v>4</v>
      </c>
      <c r="E722" t="e">
        <f t="shared" si="34"/>
        <v>#N/A</v>
      </c>
      <c r="F722" s="28" t="str">
        <f t="shared" ca="1" si="35"/>
        <v/>
      </c>
    </row>
    <row r="723" spans="2:6" x14ac:dyDescent="0.2">
      <c r="B723" t="str">
        <f>IFERROR(IF('PDCA review'!$D$2=Do!B721,Do!G721,""),"")</f>
        <v/>
      </c>
      <c r="C723">
        <f t="shared" si="33"/>
        <v>0</v>
      </c>
      <c r="D723">
        <f>SUM($C$3:C723)</f>
        <v>4</v>
      </c>
      <c r="E723" t="e">
        <f t="shared" si="34"/>
        <v>#N/A</v>
      </c>
      <c r="F723" s="28" t="str">
        <f t="shared" ca="1" si="35"/>
        <v/>
      </c>
    </row>
    <row r="724" spans="2:6" x14ac:dyDescent="0.2">
      <c r="B724" t="str">
        <f>IFERROR(IF('PDCA review'!$D$2=Do!B722,Do!G722,""),"")</f>
        <v/>
      </c>
      <c r="C724">
        <f t="shared" si="33"/>
        <v>0</v>
      </c>
      <c r="D724">
        <f>SUM($C$3:C724)</f>
        <v>4</v>
      </c>
      <c r="E724" t="e">
        <f t="shared" si="34"/>
        <v>#N/A</v>
      </c>
      <c r="F724" s="28" t="str">
        <f t="shared" ca="1" si="35"/>
        <v/>
      </c>
    </row>
    <row r="725" spans="2:6" x14ac:dyDescent="0.2">
      <c r="B725" t="str">
        <f>IFERROR(IF('PDCA review'!$D$2=Do!B723,Do!G723,""),"")</f>
        <v/>
      </c>
      <c r="C725">
        <f t="shared" si="33"/>
        <v>0</v>
      </c>
      <c r="D725">
        <f>SUM($C$3:C725)</f>
        <v>4</v>
      </c>
      <c r="E725" t="e">
        <f t="shared" si="34"/>
        <v>#N/A</v>
      </c>
      <c r="F725" s="28" t="str">
        <f t="shared" ca="1" si="35"/>
        <v/>
      </c>
    </row>
    <row r="726" spans="2:6" x14ac:dyDescent="0.2">
      <c r="B726" t="str">
        <f>IFERROR(IF('PDCA review'!$D$2=Do!B724,Do!G724,""),"")</f>
        <v/>
      </c>
      <c r="C726">
        <f t="shared" si="33"/>
        <v>0</v>
      </c>
      <c r="D726">
        <f>SUM($C$3:C726)</f>
        <v>4</v>
      </c>
      <c r="E726" t="e">
        <f t="shared" si="34"/>
        <v>#N/A</v>
      </c>
      <c r="F726" s="28" t="str">
        <f t="shared" ca="1" si="35"/>
        <v/>
      </c>
    </row>
    <row r="727" spans="2:6" x14ac:dyDescent="0.2">
      <c r="B727" t="str">
        <f>IFERROR(IF('PDCA review'!$D$2=Do!B725,Do!G725,""),"")</f>
        <v/>
      </c>
      <c r="C727">
        <f t="shared" si="33"/>
        <v>0</v>
      </c>
      <c r="D727">
        <f>SUM($C$3:C727)</f>
        <v>4</v>
      </c>
      <c r="E727" t="e">
        <f t="shared" si="34"/>
        <v>#N/A</v>
      </c>
      <c r="F727" s="28" t="str">
        <f t="shared" ca="1" si="35"/>
        <v/>
      </c>
    </row>
    <row r="728" spans="2:6" x14ac:dyDescent="0.2">
      <c r="B728" t="str">
        <f>IFERROR(IF('PDCA review'!$D$2=Do!B726,Do!G726,""),"")</f>
        <v/>
      </c>
      <c r="C728">
        <f t="shared" si="33"/>
        <v>0</v>
      </c>
      <c r="D728">
        <f>SUM($C$3:C728)</f>
        <v>4</v>
      </c>
      <c r="E728" t="e">
        <f t="shared" si="34"/>
        <v>#N/A</v>
      </c>
      <c r="F728" s="28" t="str">
        <f t="shared" ca="1" si="35"/>
        <v/>
      </c>
    </row>
    <row r="729" spans="2:6" x14ac:dyDescent="0.2">
      <c r="B729" t="str">
        <f>IFERROR(IF('PDCA review'!$D$2=Do!B727,Do!G727,""),"")</f>
        <v/>
      </c>
      <c r="C729">
        <f t="shared" si="33"/>
        <v>0</v>
      </c>
      <c r="D729">
        <f>SUM($C$3:C729)</f>
        <v>4</v>
      </c>
      <c r="E729" t="e">
        <f t="shared" si="34"/>
        <v>#N/A</v>
      </c>
      <c r="F729" s="28" t="str">
        <f t="shared" ca="1" si="35"/>
        <v/>
      </c>
    </row>
    <row r="730" spans="2:6" x14ac:dyDescent="0.2">
      <c r="B730" t="str">
        <f>IFERROR(IF('PDCA review'!$D$2=Do!B728,Do!G728,""),"")</f>
        <v/>
      </c>
      <c r="C730">
        <f t="shared" si="33"/>
        <v>0</v>
      </c>
      <c r="D730">
        <f>SUM($C$3:C730)</f>
        <v>4</v>
      </c>
      <c r="E730" t="e">
        <f t="shared" si="34"/>
        <v>#N/A</v>
      </c>
      <c r="F730" s="28" t="str">
        <f t="shared" ca="1" si="35"/>
        <v/>
      </c>
    </row>
    <row r="731" spans="2:6" x14ac:dyDescent="0.2">
      <c r="B731" t="str">
        <f>IFERROR(IF('PDCA review'!$D$2=Do!B729,Do!G729,""),"")</f>
        <v/>
      </c>
      <c r="C731">
        <f t="shared" si="33"/>
        <v>0</v>
      </c>
      <c r="D731">
        <f>SUM($C$3:C731)</f>
        <v>4</v>
      </c>
      <c r="E731" t="e">
        <f t="shared" si="34"/>
        <v>#N/A</v>
      </c>
      <c r="F731" s="28" t="str">
        <f t="shared" ca="1" si="35"/>
        <v/>
      </c>
    </row>
    <row r="732" spans="2:6" x14ac:dyDescent="0.2">
      <c r="B732" t="str">
        <f>IFERROR(IF('PDCA review'!$D$2=Do!B730,Do!G730,""),"")</f>
        <v/>
      </c>
      <c r="C732">
        <f t="shared" si="33"/>
        <v>0</v>
      </c>
      <c r="D732">
        <f>SUM($C$3:C732)</f>
        <v>4</v>
      </c>
      <c r="E732" t="e">
        <f t="shared" si="34"/>
        <v>#N/A</v>
      </c>
      <c r="F732" s="28" t="str">
        <f t="shared" ca="1" si="35"/>
        <v/>
      </c>
    </row>
    <row r="733" spans="2:6" x14ac:dyDescent="0.2">
      <c r="B733" t="str">
        <f>IFERROR(IF('PDCA review'!$D$2=Do!B731,Do!G731,""),"")</f>
        <v/>
      </c>
      <c r="C733">
        <f t="shared" si="33"/>
        <v>0</v>
      </c>
      <c r="D733">
        <f>SUM($C$3:C733)</f>
        <v>4</v>
      </c>
      <c r="E733" t="e">
        <f t="shared" si="34"/>
        <v>#N/A</v>
      </c>
      <c r="F733" s="28" t="str">
        <f t="shared" ca="1" si="35"/>
        <v/>
      </c>
    </row>
    <row r="734" spans="2:6" x14ac:dyDescent="0.2">
      <c r="B734" t="str">
        <f>IFERROR(IF('PDCA review'!$D$2=Do!B732,Do!G732,""),"")</f>
        <v/>
      </c>
      <c r="C734">
        <f t="shared" si="33"/>
        <v>0</v>
      </c>
      <c r="D734">
        <f>SUM($C$3:C734)</f>
        <v>4</v>
      </c>
      <c r="E734" t="e">
        <f t="shared" si="34"/>
        <v>#N/A</v>
      </c>
      <c r="F734" s="28" t="str">
        <f t="shared" ca="1" si="35"/>
        <v/>
      </c>
    </row>
    <row r="735" spans="2:6" x14ac:dyDescent="0.2">
      <c r="B735" t="str">
        <f>IFERROR(IF('PDCA review'!$D$2=Do!B733,Do!G733,""),"")</f>
        <v/>
      </c>
      <c r="C735">
        <f t="shared" si="33"/>
        <v>0</v>
      </c>
      <c r="D735">
        <f>SUM($C$3:C735)</f>
        <v>4</v>
      </c>
      <c r="E735" t="e">
        <f t="shared" si="34"/>
        <v>#N/A</v>
      </c>
      <c r="F735" s="28" t="str">
        <f t="shared" ca="1" si="35"/>
        <v/>
      </c>
    </row>
    <row r="736" spans="2:6" x14ac:dyDescent="0.2">
      <c r="B736" t="str">
        <f>IFERROR(IF('PDCA review'!$D$2=Do!B734,Do!G734,""),"")</f>
        <v/>
      </c>
      <c r="C736">
        <f t="shared" si="33"/>
        <v>0</v>
      </c>
      <c r="D736">
        <f>SUM($C$3:C736)</f>
        <v>4</v>
      </c>
      <c r="E736" t="e">
        <f t="shared" si="34"/>
        <v>#N/A</v>
      </c>
      <c r="F736" s="28" t="str">
        <f t="shared" ca="1" si="35"/>
        <v/>
      </c>
    </row>
    <row r="737" spans="2:6" x14ac:dyDescent="0.2">
      <c r="B737" t="str">
        <f>IFERROR(IF('PDCA review'!$D$2=Do!B735,Do!G735,""),"")</f>
        <v/>
      </c>
      <c r="C737">
        <f t="shared" si="33"/>
        <v>0</v>
      </c>
      <c r="D737">
        <f>SUM($C$3:C737)</f>
        <v>4</v>
      </c>
      <c r="E737" t="e">
        <f t="shared" si="34"/>
        <v>#N/A</v>
      </c>
      <c r="F737" s="28" t="str">
        <f t="shared" ca="1" si="35"/>
        <v/>
      </c>
    </row>
    <row r="738" spans="2:6" x14ac:dyDescent="0.2">
      <c r="B738" t="str">
        <f>IFERROR(IF('PDCA review'!$D$2=Do!B736,Do!G736,""),"")</f>
        <v/>
      </c>
      <c r="C738">
        <f t="shared" si="33"/>
        <v>0</v>
      </c>
      <c r="D738">
        <f>SUM($C$3:C738)</f>
        <v>4</v>
      </c>
      <c r="E738" t="e">
        <f t="shared" si="34"/>
        <v>#N/A</v>
      </c>
      <c r="F738" s="28" t="str">
        <f t="shared" ca="1" si="35"/>
        <v/>
      </c>
    </row>
    <row r="739" spans="2:6" x14ac:dyDescent="0.2">
      <c r="B739" t="str">
        <f>IFERROR(IF('PDCA review'!$D$2=Do!B737,Do!G737,""),"")</f>
        <v/>
      </c>
      <c r="C739">
        <f t="shared" si="33"/>
        <v>0</v>
      </c>
      <c r="D739">
        <f>SUM($C$3:C739)</f>
        <v>4</v>
      </c>
      <c r="E739" t="e">
        <f t="shared" si="34"/>
        <v>#N/A</v>
      </c>
      <c r="F739" s="28" t="str">
        <f t="shared" ca="1" si="35"/>
        <v/>
      </c>
    </row>
    <row r="740" spans="2:6" x14ac:dyDescent="0.2">
      <c r="B740" t="str">
        <f>IFERROR(IF('PDCA review'!$D$2=Do!B738,Do!G738,""),"")</f>
        <v/>
      </c>
      <c r="C740">
        <f t="shared" si="33"/>
        <v>0</v>
      </c>
      <c r="D740">
        <f>SUM($C$3:C740)</f>
        <v>4</v>
      </c>
      <c r="E740" t="e">
        <f t="shared" si="34"/>
        <v>#N/A</v>
      </c>
      <c r="F740" s="28" t="str">
        <f t="shared" ca="1" si="35"/>
        <v/>
      </c>
    </row>
    <row r="741" spans="2:6" x14ac:dyDescent="0.2">
      <c r="B741" t="str">
        <f>IFERROR(IF('PDCA review'!$D$2=Do!B739,Do!G739,""),"")</f>
        <v/>
      </c>
      <c r="C741">
        <f t="shared" si="33"/>
        <v>0</v>
      </c>
      <c r="D741">
        <f>SUM($C$3:C741)</f>
        <v>4</v>
      </c>
      <c r="E741" t="e">
        <f t="shared" si="34"/>
        <v>#N/A</v>
      </c>
      <c r="F741" s="28" t="str">
        <f t="shared" ca="1" si="35"/>
        <v/>
      </c>
    </row>
    <row r="742" spans="2:6" x14ac:dyDescent="0.2">
      <c r="B742" t="str">
        <f>IFERROR(IF('PDCA review'!$D$2=Do!B740,Do!G740,""),"")</f>
        <v/>
      </c>
      <c r="C742">
        <f t="shared" si="33"/>
        <v>0</v>
      </c>
      <c r="D742">
        <f>SUM($C$3:C742)</f>
        <v>4</v>
      </c>
      <c r="E742" t="e">
        <f t="shared" si="34"/>
        <v>#N/A</v>
      </c>
      <c r="F742" s="28" t="str">
        <f t="shared" ca="1" si="35"/>
        <v/>
      </c>
    </row>
    <row r="743" spans="2:6" x14ac:dyDescent="0.2">
      <c r="B743" t="str">
        <f>IFERROR(IF('PDCA review'!$D$2=Do!B741,Do!G741,""),"")</f>
        <v/>
      </c>
      <c r="C743">
        <f t="shared" si="33"/>
        <v>0</v>
      </c>
      <c r="D743">
        <f>SUM($C$3:C743)</f>
        <v>4</v>
      </c>
      <c r="E743" t="e">
        <f t="shared" si="34"/>
        <v>#N/A</v>
      </c>
      <c r="F743" s="28" t="str">
        <f t="shared" ca="1" si="35"/>
        <v/>
      </c>
    </row>
    <row r="744" spans="2:6" x14ac:dyDescent="0.2">
      <c r="B744" t="str">
        <f>IFERROR(IF('PDCA review'!$D$2=Do!B742,Do!G742,""),"")</f>
        <v/>
      </c>
      <c r="C744">
        <f t="shared" si="33"/>
        <v>0</v>
      </c>
      <c r="D744">
        <f>SUM($C$3:C744)</f>
        <v>4</v>
      </c>
      <c r="E744" t="e">
        <f t="shared" si="34"/>
        <v>#N/A</v>
      </c>
      <c r="F744" s="28" t="str">
        <f t="shared" ca="1" si="35"/>
        <v/>
      </c>
    </row>
    <row r="745" spans="2:6" x14ac:dyDescent="0.2">
      <c r="B745" t="str">
        <f>IFERROR(IF('PDCA review'!$D$2=Do!B743,Do!G743,""),"")</f>
        <v/>
      </c>
      <c r="C745">
        <f t="shared" si="33"/>
        <v>0</v>
      </c>
      <c r="D745">
        <f>SUM($C$3:C745)</f>
        <v>4</v>
      </c>
      <c r="E745" t="e">
        <f t="shared" si="34"/>
        <v>#N/A</v>
      </c>
      <c r="F745" s="28" t="str">
        <f t="shared" ca="1" si="35"/>
        <v/>
      </c>
    </row>
    <row r="746" spans="2:6" x14ac:dyDescent="0.2">
      <c r="B746" t="str">
        <f>IFERROR(IF('PDCA review'!$D$2=Do!B744,Do!G744,""),"")</f>
        <v/>
      </c>
      <c r="C746">
        <f t="shared" si="33"/>
        <v>0</v>
      </c>
      <c r="D746">
        <f>SUM($C$3:C746)</f>
        <v>4</v>
      </c>
      <c r="E746" t="e">
        <f t="shared" si="34"/>
        <v>#N/A</v>
      </c>
      <c r="F746" s="28" t="str">
        <f t="shared" ca="1" si="35"/>
        <v/>
      </c>
    </row>
    <row r="747" spans="2:6" x14ac:dyDescent="0.2">
      <c r="B747" t="str">
        <f>IFERROR(IF('PDCA review'!$D$2=Do!B745,Do!G745,""),"")</f>
        <v/>
      </c>
      <c r="C747">
        <f t="shared" si="33"/>
        <v>0</v>
      </c>
      <c r="D747">
        <f>SUM($C$3:C747)</f>
        <v>4</v>
      </c>
      <c r="E747" t="e">
        <f t="shared" si="34"/>
        <v>#N/A</v>
      </c>
      <c r="F747" s="28" t="str">
        <f t="shared" ca="1" si="35"/>
        <v/>
      </c>
    </row>
    <row r="748" spans="2:6" x14ac:dyDescent="0.2">
      <c r="B748" t="str">
        <f>IFERROR(IF('PDCA review'!$D$2=Do!B746,Do!G746,""),"")</f>
        <v/>
      </c>
      <c r="C748">
        <f t="shared" si="33"/>
        <v>0</v>
      </c>
      <c r="D748">
        <f>SUM($C$3:C748)</f>
        <v>4</v>
      </c>
      <c r="E748" t="e">
        <f t="shared" si="34"/>
        <v>#N/A</v>
      </c>
      <c r="F748" s="28" t="str">
        <f t="shared" ca="1" si="35"/>
        <v/>
      </c>
    </row>
    <row r="749" spans="2:6" x14ac:dyDescent="0.2">
      <c r="B749" t="str">
        <f>IFERROR(IF('PDCA review'!$D$2=Do!B747,Do!G747,""),"")</f>
        <v/>
      </c>
      <c r="C749">
        <f t="shared" si="33"/>
        <v>0</v>
      </c>
      <c r="D749">
        <f>SUM($C$3:C749)</f>
        <v>4</v>
      </c>
      <c r="E749" t="e">
        <f t="shared" si="34"/>
        <v>#N/A</v>
      </c>
      <c r="F749" s="28" t="str">
        <f t="shared" ca="1" si="35"/>
        <v/>
      </c>
    </row>
    <row r="750" spans="2:6" x14ac:dyDescent="0.2">
      <c r="B750" t="str">
        <f>IFERROR(IF('PDCA review'!$D$2=Do!B748,Do!G748,""),"")</f>
        <v/>
      </c>
      <c r="C750">
        <f t="shared" si="33"/>
        <v>0</v>
      </c>
      <c r="D750">
        <f>SUM($C$3:C750)</f>
        <v>4</v>
      </c>
      <c r="E750" t="e">
        <f t="shared" si="34"/>
        <v>#N/A</v>
      </c>
      <c r="F750" s="28" t="str">
        <f t="shared" ca="1" si="35"/>
        <v/>
      </c>
    </row>
    <row r="751" spans="2:6" x14ac:dyDescent="0.2">
      <c r="B751" t="str">
        <f>IFERROR(IF('PDCA review'!$D$2=Do!B749,Do!G749,""),"")</f>
        <v/>
      </c>
      <c r="C751">
        <f t="shared" si="33"/>
        <v>0</v>
      </c>
      <c r="D751">
        <f>SUM($C$3:C751)</f>
        <v>4</v>
      </c>
      <c r="E751" t="e">
        <f t="shared" si="34"/>
        <v>#N/A</v>
      </c>
      <c r="F751" s="28" t="str">
        <f t="shared" ca="1" si="35"/>
        <v/>
      </c>
    </row>
    <row r="752" spans="2:6" x14ac:dyDescent="0.2">
      <c r="B752" t="str">
        <f>IFERROR(IF('PDCA review'!$D$2=Do!B750,Do!G750,""),"")</f>
        <v/>
      </c>
      <c r="C752">
        <f t="shared" si="33"/>
        <v>0</v>
      </c>
      <c r="D752">
        <f>SUM($C$3:C752)</f>
        <v>4</v>
      </c>
      <c r="E752" t="e">
        <f t="shared" si="34"/>
        <v>#N/A</v>
      </c>
      <c r="F752" s="28" t="str">
        <f t="shared" ca="1" si="35"/>
        <v/>
      </c>
    </row>
    <row r="753" spans="2:6" x14ac:dyDescent="0.2">
      <c r="B753" t="str">
        <f>IFERROR(IF('PDCA review'!$D$2=Do!B751,Do!G751,""),"")</f>
        <v/>
      </c>
      <c r="C753">
        <f t="shared" si="33"/>
        <v>0</v>
      </c>
      <c r="D753">
        <f>SUM($C$3:C753)</f>
        <v>4</v>
      </c>
      <c r="E753" t="e">
        <f t="shared" si="34"/>
        <v>#N/A</v>
      </c>
      <c r="F753" s="28" t="str">
        <f t="shared" ca="1" si="35"/>
        <v/>
      </c>
    </row>
    <row r="754" spans="2:6" x14ac:dyDescent="0.2">
      <c r="B754" t="str">
        <f>IFERROR(IF('PDCA review'!$D$2=Do!B752,Do!G752,""),"")</f>
        <v/>
      </c>
      <c r="C754">
        <f t="shared" si="33"/>
        <v>0</v>
      </c>
      <c r="D754">
        <f>SUM($C$3:C754)</f>
        <v>4</v>
      </c>
      <c r="E754" t="e">
        <f t="shared" si="34"/>
        <v>#N/A</v>
      </c>
      <c r="F754" s="28" t="str">
        <f t="shared" ca="1" si="35"/>
        <v/>
      </c>
    </row>
    <row r="755" spans="2:6" x14ac:dyDescent="0.2">
      <c r="B755" t="str">
        <f>IFERROR(IF('PDCA review'!$D$2=Do!B753,Do!G753,""),"")</f>
        <v/>
      </c>
      <c r="C755">
        <f t="shared" si="33"/>
        <v>0</v>
      </c>
      <c r="D755">
        <f>SUM($C$3:C755)</f>
        <v>4</v>
      </c>
      <c r="E755" t="e">
        <f t="shared" si="34"/>
        <v>#N/A</v>
      </c>
      <c r="F755" s="28" t="str">
        <f t="shared" ca="1" si="35"/>
        <v/>
      </c>
    </row>
    <row r="756" spans="2:6" x14ac:dyDescent="0.2">
      <c r="B756" t="str">
        <f>IFERROR(IF('PDCA review'!$D$2=Do!B754,Do!G754,""),"")</f>
        <v/>
      </c>
      <c r="C756">
        <f t="shared" si="33"/>
        <v>0</v>
      </c>
      <c r="D756">
        <f>SUM($C$3:C756)</f>
        <v>4</v>
      </c>
      <c r="E756" t="e">
        <f t="shared" si="34"/>
        <v>#N/A</v>
      </c>
      <c r="F756" s="28" t="str">
        <f t="shared" ca="1" si="35"/>
        <v/>
      </c>
    </row>
    <row r="757" spans="2:6" x14ac:dyDescent="0.2">
      <c r="B757" t="str">
        <f>IFERROR(IF('PDCA review'!$D$2=Do!B755,Do!G755,""),"")</f>
        <v/>
      </c>
      <c r="C757">
        <f t="shared" si="33"/>
        <v>0</v>
      </c>
      <c r="D757">
        <f>SUM($C$3:C757)</f>
        <v>4</v>
      </c>
      <c r="E757" t="e">
        <f t="shared" si="34"/>
        <v>#N/A</v>
      </c>
      <c r="F757" s="28" t="str">
        <f t="shared" ca="1" si="35"/>
        <v/>
      </c>
    </row>
    <row r="758" spans="2:6" x14ac:dyDescent="0.2">
      <c r="B758" t="str">
        <f>IFERROR(IF('PDCA review'!$D$2=Do!B756,Do!G756,""),"")</f>
        <v/>
      </c>
      <c r="C758">
        <f t="shared" si="33"/>
        <v>0</v>
      </c>
      <c r="D758">
        <f>SUM($C$3:C758)</f>
        <v>4</v>
      </c>
      <c r="E758" t="e">
        <f t="shared" si="34"/>
        <v>#N/A</v>
      </c>
      <c r="F758" s="28" t="str">
        <f t="shared" ca="1" si="35"/>
        <v/>
      </c>
    </row>
    <row r="759" spans="2:6" x14ac:dyDescent="0.2">
      <c r="B759" t="str">
        <f>IFERROR(IF('PDCA review'!$D$2=Do!B757,Do!G757,""),"")</f>
        <v/>
      </c>
      <c r="C759">
        <f t="shared" si="33"/>
        <v>0</v>
      </c>
      <c r="D759">
        <f>SUM($C$3:C759)</f>
        <v>4</v>
      </c>
      <c r="E759" t="e">
        <f t="shared" si="34"/>
        <v>#N/A</v>
      </c>
      <c r="F759" s="28" t="str">
        <f t="shared" ca="1" si="35"/>
        <v/>
      </c>
    </row>
    <row r="760" spans="2:6" x14ac:dyDescent="0.2">
      <c r="B760" t="str">
        <f>IFERROR(IF('PDCA review'!$D$2=Do!B758,Do!G758,""),"")</f>
        <v/>
      </c>
      <c r="C760">
        <f t="shared" si="33"/>
        <v>0</v>
      </c>
      <c r="D760">
        <f>SUM($C$3:C760)</f>
        <v>4</v>
      </c>
      <c r="E760" t="e">
        <f t="shared" si="34"/>
        <v>#N/A</v>
      </c>
      <c r="F760" s="28" t="str">
        <f t="shared" ca="1" si="35"/>
        <v/>
      </c>
    </row>
    <row r="761" spans="2:6" x14ac:dyDescent="0.2">
      <c r="B761" t="str">
        <f>IFERROR(IF('PDCA review'!$D$2=Do!B759,Do!G759,""),"")</f>
        <v/>
      </c>
      <c r="C761">
        <f t="shared" si="33"/>
        <v>0</v>
      </c>
      <c r="D761">
        <f>SUM($C$3:C761)</f>
        <v>4</v>
      </c>
      <c r="E761" t="e">
        <f t="shared" si="34"/>
        <v>#N/A</v>
      </c>
      <c r="F761" s="28" t="str">
        <f t="shared" ca="1" si="35"/>
        <v/>
      </c>
    </row>
    <row r="762" spans="2:6" x14ac:dyDescent="0.2">
      <c r="B762" t="str">
        <f>IFERROR(IF('PDCA review'!$D$2=Do!B760,Do!G760,""),"")</f>
        <v/>
      </c>
      <c r="C762">
        <f t="shared" si="33"/>
        <v>0</v>
      </c>
      <c r="D762">
        <f>SUM($C$3:C762)</f>
        <v>4</v>
      </c>
      <c r="E762" t="e">
        <f t="shared" si="34"/>
        <v>#N/A</v>
      </c>
      <c r="F762" s="28" t="str">
        <f t="shared" ca="1" si="35"/>
        <v/>
      </c>
    </row>
    <row r="763" spans="2:6" x14ac:dyDescent="0.2">
      <c r="B763" t="str">
        <f>IFERROR(IF('PDCA review'!$D$2=Do!B761,Do!G761,""),"")</f>
        <v/>
      </c>
      <c r="C763">
        <f t="shared" si="33"/>
        <v>0</v>
      </c>
      <c r="D763">
        <f>SUM($C$3:C763)</f>
        <v>4</v>
      </c>
      <c r="E763" t="e">
        <f t="shared" si="34"/>
        <v>#N/A</v>
      </c>
      <c r="F763" s="28" t="str">
        <f t="shared" ca="1" si="35"/>
        <v/>
      </c>
    </row>
    <row r="764" spans="2:6" x14ac:dyDescent="0.2">
      <c r="B764" t="str">
        <f>IFERROR(IF('PDCA review'!$D$2=Do!B762,Do!G762,""),"")</f>
        <v/>
      </c>
      <c r="C764">
        <f t="shared" si="33"/>
        <v>0</v>
      </c>
      <c r="D764">
        <f>SUM($C$3:C764)</f>
        <v>4</v>
      </c>
      <c r="E764" t="e">
        <f t="shared" si="34"/>
        <v>#N/A</v>
      </c>
      <c r="F764" s="28" t="str">
        <f t="shared" ca="1" si="35"/>
        <v/>
      </c>
    </row>
    <row r="765" spans="2:6" x14ac:dyDescent="0.2">
      <c r="B765" t="str">
        <f>IFERROR(IF('PDCA review'!$D$2=Do!B763,Do!G763,""),"")</f>
        <v/>
      </c>
      <c r="C765">
        <f t="shared" si="33"/>
        <v>0</v>
      </c>
      <c r="D765">
        <f>SUM($C$3:C765)</f>
        <v>4</v>
      </c>
      <c r="E765" t="e">
        <f t="shared" si="34"/>
        <v>#N/A</v>
      </c>
      <c r="F765" s="28" t="str">
        <f t="shared" ca="1" si="35"/>
        <v/>
      </c>
    </row>
    <row r="766" spans="2:6" x14ac:dyDescent="0.2">
      <c r="B766" t="str">
        <f>IFERROR(IF('PDCA review'!$D$2=Do!B764,Do!G764,""),"")</f>
        <v/>
      </c>
      <c r="C766">
        <f t="shared" si="33"/>
        <v>0</v>
      </c>
      <c r="D766">
        <f>SUM($C$3:C766)</f>
        <v>4</v>
      </c>
      <c r="E766" t="e">
        <f t="shared" si="34"/>
        <v>#N/A</v>
      </c>
      <c r="F766" s="28" t="str">
        <f t="shared" ca="1" si="35"/>
        <v/>
      </c>
    </row>
    <row r="767" spans="2:6" x14ac:dyDescent="0.2">
      <c r="B767" t="str">
        <f>IFERROR(IF('PDCA review'!$D$2=Do!B765,Do!G765,""),"")</f>
        <v/>
      </c>
      <c r="C767">
        <f t="shared" si="33"/>
        <v>0</v>
      </c>
      <c r="D767">
        <f>SUM($C$3:C767)</f>
        <v>4</v>
      </c>
      <c r="E767" t="e">
        <f t="shared" si="34"/>
        <v>#N/A</v>
      </c>
      <c r="F767" s="28" t="str">
        <f t="shared" ca="1" si="35"/>
        <v/>
      </c>
    </row>
    <row r="768" spans="2:6" x14ac:dyDescent="0.2">
      <c r="B768" t="str">
        <f>IFERROR(IF('PDCA review'!$D$2=Do!B766,Do!G766,""),"")</f>
        <v/>
      </c>
      <c r="C768">
        <f t="shared" si="33"/>
        <v>0</v>
      </c>
      <c r="D768">
        <f>SUM($C$3:C768)</f>
        <v>4</v>
      </c>
      <c r="E768" t="e">
        <f t="shared" si="34"/>
        <v>#N/A</v>
      </c>
      <c r="F768" s="28" t="str">
        <f t="shared" ca="1" si="35"/>
        <v/>
      </c>
    </row>
    <row r="769" spans="2:6" x14ac:dyDescent="0.2">
      <c r="B769" t="str">
        <f>IFERROR(IF('PDCA review'!$D$2=Do!B767,Do!G767,""),"")</f>
        <v/>
      </c>
      <c r="C769">
        <f t="shared" si="33"/>
        <v>0</v>
      </c>
      <c r="D769">
        <f>SUM($C$3:C769)</f>
        <v>4</v>
      </c>
      <c r="E769" t="e">
        <f t="shared" si="34"/>
        <v>#N/A</v>
      </c>
      <c r="F769" s="28" t="str">
        <f t="shared" ca="1" si="35"/>
        <v/>
      </c>
    </row>
    <row r="770" spans="2:6" x14ac:dyDescent="0.2">
      <c r="B770" t="str">
        <f>IFERROR(IF('PDCA review'!$D$2=Do!B768,Do!G768,""),"")</f>
        <v/>
      </c>
      <c r="C770">
        <f t="shared" si="33"/>
        <v>0</v>
      </c>
      <c r="D770">
        <f>SUM($C$3:C770)</f>
        <v>4</v>
      </c>
      <c r="E770" t="e">
        <f t="shared" si="34"/>
        <v>#N/A</v>
      </c>
      <c r="F770" s="28" t="str">
        <f t="shared" ca="1" si="35"/>
        <v/>
      </c>
    </row>
    <row r="771" spans="2:6" x14ac:dyDescent="0.2">
      <c r="B771" t="str">
        <f>IFERROR(IF('PDCA review'!$D$2=Do!B769,Do!G769,""),"")</f>
        <v/>
      </c>
      <c r="C771">
        <f t="shared" si="33"/>
        <v>0</v>
      </c>
      <c r="D771">
        <f>SUM($C$3:C771)</f>
        <v>4</v>
      </c>
      <c r="E771" t="e">
        <f t="shared" si="34"/>
        <v>#N/A</v>
      </c>
      <c r="F771" s="28" t="str">
        <f t="shared" ca="1" si="35"/>
        <v/>
      </c>
    </row>
    <row r="772" spans="2:6" x14ac:dyDescent="0.2">
      <c r="B772" t="str">
        <f>IFERROR(IF('PDCA review'!$D$2=Do!B770,Do!G770,""),"")</f>
        <v/>
      </c>
      <c r="C772">
        <f t="shared" ref="C772:C835" si="36">IF(B772&lt;&gt;"",1,0)</f>
        <v>0</v>
      </c>
      <c r="D772">
        <f>SUM($C$3:C772)</f>
        <v>4</v>
      </c>
      <c r="E772" t="e">
        <f t="shared" ref="E772:E835" si="37">MATCH(ROW()-$D$2,$D$3:$D$2000,0)+$D$2</f>
        <v>#N/A</v>
      </c>
      <c r="F772" s="28" t="str">
        <f t="shared" ref="F772:F835" ca="1" si="38">IFERROR(INDIRECT("B"&amp;E772),"")</f>
        <v/>
      </c>
    </row>
    <row r="773" spans="2:6" x14ac:dyDescent="0.2">
      <c r="B773" t="str">
        <f>IFERROR(IF('PDCA review'!$D$2=Do!B771,Do!G771,""),"")</f>
        <v/>
      </c>
      <c r="C773">
        <f t="shared" si="36"/>
        <v>0</v>
      </c>
      <c r="D773">
        <f>SUM($C$3:C773)</f>
        <v>4</v>
      </c>
      <c r="E773" t="e">
        <f t="shared" si="37"/>
        <v>#N/A</v>
      </c>
      <c r="F773" s="28" t="str">
        <f t="shared" ca="1" si="38"/>
        <v/>
      </c>
    </row>
    <row r="774" spans="2:6" x14ac:dyDescent="0.2">
      <c r="B774" t="str">
        <f>IFERROR(IF('PDCA review'!$D$2=Do!B772,Do!G772,""),"")</f>
        <v/>
      </c>
      <c r="C774">
        <f t="shared" si="36"/>
        <v>0</v>
      </c>
      <c r="D774">
        <f>SUM($C$3:C774)</f>
        <v>4</v>
      </c>
      <c r="E774" t="e">
        <f t="shared" si="37"/>
        <v>#N/A</v>
      </c>
      <c r="F774" s="28" t="str">
        <f t="shared" ca="1" si="38"/>
        <v/>
      </c>
    </row>
    <row r="775" spans="2:6" x14ac:dyDescent="0.2">
      <c r="B775" t="str">
        <f>IFERROR(IF('PDCA review'!$D$2=Do!B773,Do!G773,""),"")</f>
        <v/>
      </c>
      <c r="C775">
        <f t="shared" si="36"/>
        <v>0</v>
      </c>
      <c r="D775">
        <f>SUM($C$3:C775)</f>
        <v>4</v>
      </c>
      <c r="E775" t="e">
        <f t="shared" si="37"/>
        <v>#N/A</v>
      </c>
      <c r="F775" s="28" t="str">
        <f t="shared" ca="1" si="38"/>
        <v/>
      </c>
    </row>
    <row r="776" spans="2:6" x14ac:dyDescent="0.2">
      <c r="B776" t="str">
        <f>IFERROR(IF('PDCA review'!$D$2=Do!B774,Do!G774,""),"")</f>
        <v/>
      </c>
      <c r="C776">
        <f t="shared" si="36"/>
        <v>0</v>
      </c>
      <c r="D776">
        <f>SUM($C$3:C776)</f>
        <v>4</v>
      </c>
      <c r="E776" t="e">
        <f t="shared" si="37"/>
        <v>#N/A</v>
      </c>
      <c r="F776" s="28" t="str">
        <f t="shared" ca="1" si="38"/>
        <v/>
      </c>
    </row>
    <row r="777" spans="2:6" x14ac:dyDescent="0.2">
      <c r="B777" t="str">
        <f>IFERROR(IF('PDCA review'!$D$2=Do!B775,Do!G775,""),"")</f>
        <v/>
      </c>
      <c r="C777">
        <f t="shared" si="36"/>
        <v>0</v>
      </c>
      <c r="D777">
        <f>SUM($C$3:C777)</f>
        <v>4</v>
      </c>
      <c r="E777" t="e">
        <f t="shared" si="37"/>
        <v>#N/A</v>
      </c>
      <c r="F777" s="28" t="str">
        <f t="shared" ca="1" si="38"/>
        <v/>
      </c>
    </row>
    <row r="778" spans="2:6" x14ac:dyDescent="0.2">
      <c r="B778" t="str">
        <f>IFERROR(IF('PDCA review'!$D$2=Do!B776,Do!G776,""),"")</f>
        <v/>
      </c>
      <c r="C778">
        <f t="shared" si="36"/>
        <v>0</v>
      </c>
      <c r="D778">
        <f>SUM($C$3:C778)</f>
        <v>4</v>
      </c>
      <c r="E778" t="e">
        <f t="shared" si="37"/>
        <v>#N/A</v>
      </c>
      <c r="F778" s="28" t="str">
        <f t="shared" ca="1" si="38"/>
        <v/>
      </c>
    </row>
    <row r="779" spans="2:6" x14ac:dyDescent="0.2">
      <c r="B779" t="str">
        <f>IFERROR(IF('PDCA review'!$D$2=Do!B777,Do!G777,""),"")</f>
        <v/>
      </c>
      <c r="C779">
        <f t="shared" si="36"/>
        <v>0</v>
      </c>
      <c r="D779">
        <f>SUM($C$3:C779)</f>
        <v>4</v>
      </c>
      <c r="E779" t="e">
        <f t="shared" si="37"/>
        <v>#N/A</v>
      </c>
      <c r="F779" s="28" t="str">
        <f t="shared" ca="1" si="38"/>
        <v/>
      </c>
    </row>
    <row r="780" spans="2:6" x14ac:dyDescent="0.2">
      <c r="B780" t="str">
        <f>IFERROR(IF('PDCA review'!$D$2=Do!B778,Do!G778,""),"")</f>
        <v/>
      </c>
      <c r="C780">
        <f t="shared" si="36"/>
        <v>0</v>
      </c>
      <c r="D780">
        <f>SUM($C$3:C780)</f>
        <v>4</v>
      </c>
      <c r="E780" t="e">
        <f t="shared" si="37"/>
        <v>#N/A</v>
      </c>
      <c r="F780" s="28" t="str">
        <f t="shared" ca="1" si="38"/>
        <v/>
      </c>
    </row>
    <row r="781" spans="2:6" x14ac:dyDescent="0.2">
      <c r="B781" t="str">
        <f>IFERROR(IF('PDCA review'!$D$2=Do!B779,Do!G779,""),"")</f>
        <v/>
      </c>
      <c r="C781">
        <f t="shared" si="36"/>
        <v>0</v>
      </c>
      <c r="D781">
        <f>SUM($C$3:C781)</f>
        <v>4</v>
      </c>
      <c r="E781" t="e">
        <f t="shared" si="37"/>
        <v>#N/A</v>
      </c>
      <c r="F781" s="28" t="str">
        <f t="shared" ca="1" si="38"/>
        <v/>
      </c>
    </row>
    <row r="782" spans="2:6" x14ac:dyDescent="0.2">
      <c r="B782" t="str">
        <f>IFERROR(IF('PDCA review'!$D$2=Do!B780,Do!G780,""),"")</f>
        <v/>
      </c>
      <c r="C782">
        <f t="shared" si="36"/>
        <v>0</v>
      </c>
      <c r="D782">
        <f>SUM($C$3:C782)</f>
        <v>4</v>
      </c>
      <c r="E782" t="e">
        <f t="shared" si="37"/>
        <v>#N/A</v>
      </c>
      <c r="F782" s="28" t="str">
        <f t="shared" ca="1" si="38"/>
        <v/>
      </c>
    </row>
    <row r="783" spans="2:6" x14ac:dyDescent="0.2">
      <c r="B783" t="str">
        <f>IFERROR(IF('PDCA review'!$D$2=Do!B781,Do!G781,""),"")</f>
        <v/>
      </c>
      <c r="C783">
        <f t="shared" si="36"/>
        <v>0</v>
      </c>
      <c r="D783">
        <f>SUM($C$3:C783)</f>
        <v>4</v>
      </c>
      <c r="E783" t="e">
        <f t="shared" si="37"/>
        <v>#N/A</v>
      </c>
      <c r="F783" s="28" t="str">
        <f t="shared" ca="1" si="38"/>
        <v/>
      </c>
    </row>
    <row r="784" spans="2:6" x14ac:dyDescent="0.2">
      <c r="B784" t="str">
        <f>IFERROR(IF('PDCA review'!$D$2=Do!B782,Do!G782,""),"")</f>
        <v/>
      </c>
      <c r="C784">
        <f t="shared" si="36"/>
        <v>0</v>
      </c>
      <c r="D784">
        <f>SUM($C$3:C784)</f>
        <v>4</v>
      </c>
      <c r="E784" t="e">
        <f t="shared" si="37"/>
        <v>#N/A</v>
      </c>
      <c r="F784" s="28" t="str">
        <f t="shared" ca="1" si="38"/>
        <v/>
      </c>
    </row>
    <row r="785" spans="2:6" x14ac:dyDescent="0.2">
      <c r="B785" t="str">
        <f>IFERROR(IF('PDCA review'!$D$2=Do!B783,Do!G783,""),"")</f>
        <v/>
      </c>
      <c r="C785">
        <f t="shared" si="36"/>
        <v>0</v>
      </c>
      <c r="D785">
        <f>SUM($C$3:C785)</f>
        <v>4</v>
      </c>
      <c r="E785" t="e">
        <f t="shared" si="37"/>
        <v>#N/A</v>
      </c>
      <c r="F785" s="28" t="str">
        <f t="shared" ca="1" si="38"/>
        <v/>
      </c>
    </row>
    <row r="786" spans="2:6" x14ac:dyDescent="0.2">
      <c r="B786" t="str">
        <f>IFERROR(IF('PDCA review'!$D$2=Do!B784,Do!G784,""),"")</f>
        <v/>
      </c>
      <c r="C786">
        <f t="shared" si="36"/>
        <v>0</v>
      </c>
      <c r="D786">
        <f>SUM($C$3:C786)</f>
        <v>4</v>
      </c>
      <c r="E786" t="e">
        <f t="shared" si="37"/>
        <v>#N/A</v>
      </c>
      <c r="F786" s="28" t="str">
        <f t="shared" ca="1" si="38"/>
        <v/>
      </c>
    </row>
    <row r="787" spans="2:6" x14ac:dyDescent="0.2">
      <c r="B787" t="str">
        <f>IFERROR(IF('PDCA review'!$D$2=Do!B785,Do!G785,""),"")</f>
        <v/>
      </c>
      <c r="C787">
        <f t="shared" si="36"/>
        <v>0</v>
      </c>
      <c r="D787">
        <f>SUM($C$3:C787)</f>
        <v>4</v>
      </c>
      <c r="E787" t="e">
        <f t="shared" si="37"/>
        <v>#N/A</v>
      </c>
      <c r="F787" s="28" t="str">
        <f t="shared" ca="1" si="38"/>
        <v/>
      </c>
    </row>
    <row r="788" spans="2:6" x14ac:dyDescent="0.2">
      <c r="B788" t="str">
        <f>IFERROR(IF('PDCA review'!$D$2=Do!B786,Do!G786,""),"")</f>
        <v/>
      </c>
      <c r="C788">
        <f t="shared" si="36"/>
        <v>0</v>
      </c>
      <c r="D788">
        <f>SUM($C$3:C788)</f>
        <v>4</v>
      </c>
      <c r="E788" t="e">
        <f t="shared" si="37"/>
        <v>#N/A</v>
      </c>
      <c r="F788" s="28" t="str">
        <f t="shared" ca="1" si="38"/>
        <v/>
      </c>
    </row>
    <row r="789" spans="2:6" x14ac:dyDescent="0.2">
      <c r="B789" t="str">
        <f>IFERROR(IF('PDCA review'!$D$2=Do!B787,Do!G787,""),"")</f>
        <v/>
      </c>
      <c r="C789">
        <f t="shared" si="36"/>
        <v>0</v>
      </c>
      <c r="D789">
        <f>SUM($C$3:C789)</f>
        <v>4</v>
      </c>
      <c r="E789" t="e">
        <f t="shared" si="37"/>
        <v>#N/A</v>
      </c>
      <c r="F789" s="28" t="str">
        <f t="shared" ca="1" si="38"/>
        <v/>
      </c>
    </row>
    <row r="790" spans="2:6" x14ac:dyDescent="0.2">
      <c r="B790" t="str">
        <f>IFERROR(IF('PDCA review'!$D$2=Do!B788,Do!G788,""),"")</f>
        <v/>
      </c>
      <c r="C790">
        <f t="shared" si="36"/>
        <v>0</v>
      </c>
      <c r="D790">
        <f>SUM($C$3:C790)</f>
        <v>4</v>
      </c>
      <c r="E790" t="e">
        <f t="shared" si="37"/>
        <v>#N/A</v>
      </c>
      <c r="F790" s="28" t="str">
        <f t="shared" ca="1" si="38"/>
        <v/>
      </c>
    </row>
    <row r="791" spans="2:6" x14ac:dyDescent="0.2">
      <c r="B791" t="str">
        <f>IFERROR(IF('PDCA review'!$D$2=Do!B789,Do!G789,""),"")</f>
        <v/>
      </c>
      <c r="C791">
        <f t="shared" si="36"/>
        <v>0</v>
      </c>
      <c r="D791">
        <f>SUM($C$3:C791)</f>
        <v>4</v>
      </c>
      <c r="E791" t="e">
        <f t="shared" si="37"/>
        <v>#N/A</v>
      </c>
      <c r="F791" s="28" t="str">
        <f t="shared" ca="1" si="38"/>
        <v/>
      </c>
    </row>
    <row r="792" spans="2:6" x14ac:dyDescent="0.2">
      <c r="B792" t="str">
        <f>IFERROR(IF('PDCA review'!$D$2=Do!B790,Do!G790,""),"")</f>
        <v/>
      </c>
      <c r="C792">
        <f t="shared" si="36"/>
        <v>0</v>
      </c>
      <c r="D792">
        <f>SUM($C$3:C792)</f>
        <v>4</v>
      </c>
      <c r="E792" t="e">
        <f t="shared" si="37"/>
        <v>#N/A</v>
      </c>
      <c r="F792" s="28" t="str">
        <f t="shared" ca="1" si="38"/>
        <v/>
      </c>
    </row>
    <row r="793" spans="2:6" x14ac:dyDescent="0.2">
      <c r="B793" t="str">
        <f>IFERROR(IF('PDCA review'!$D$2=Do!B791,Do!G791,""),"")</f>
        <v/>
      </c>
      <c r="C793">
        <f t="shared" si="36"/>
        <v>0</v>
      </c>
      <c r="D793">
        <f>SUM($C$3:C793)</f>
        <v>4</v>
      </c>
      <c r="E793" t="e">
        <f t="shared" si="37"/>
        <v>#N/A</v>
      </c>
      <c r="F793" s="28" t="str">
        <f t="shared" ca="1" si="38"/>
        <v/>
      </c>
    </row>
    <row r="794" spans="2:6" x14ac:dyDescent="0.2">
      <c r="B794" t="str">
        <f>IFERROR(IF('PDCA review'!$D$2=Do!B792,Do!G792,""),"")</f>
        <v/>
      </c>
      <c r="C794">
        <f t="shared" si="36"/>
        <v>0</v>
      </c>
      <c r="D794">
        <f>SUM($C$3:C794)</f>
        <v>4</v>
      </c>
      <c r="E794" t="e">
        <f t="shared" si="37"/>
        <v>#N/A</v>
      </c>
      <c r="F794" s="28" t="str">
        <f t="shared" ca="1" si="38"/>
        <v/>
      </c>
    </row>
    <row r="795" spans="2:6" x14ac:dyDescent="0.2">
      <c r="B795" t="str">
        <f>IFERROR(IF('PDCA review'!$D$2=Do!B793,Do!G793,""),"")</f>
        <v/>
      </c>
      <c r="C795">
        <f t="shared" si="36"/>
        <v>0</v>
      </c>
      <c r="D795">
        <f>SUM($C$3:C795)</f>
        <v>4</v>
      </c>
      <c r="E795" t="e">
        <f t="shared" si="37"/>
        <v>#N/A</v>
      </c>
      <c r="F795" s="28" t="str">
        <f t="shared" ca="1" si="38"/>
        <v/>
      </c>
    </row>
    <row r="796" spans="2:6" x14ac:dyDescent="0.2">
      <c r="B796" t="str">
        <f>IFERROR(IF('PDCA review'!$D$2=Do!B794,Do!G794,""),"")</f>
        <v/>
      </c>
      <c r="C796">
        <f t="shared" si="36"/>
        <v>0</v>
      </c>
      <c r="D796">
        <f>SUM($C$3:C796)</f>
        <v>4</v>
      </c>
      <c r="E796" t="e">
        <f t="shared" si="37"/>
        <v>#N/A</v>
      </c>
      <c r="F796" s="28" t="str">
        <f t="shared" ca="1" si="38"/>
        <v/>
      </c>
    </row>
    <row r="797" spans="2:6" x14ac:dyDescent="0.2">
      <c r="B797" t="str">
        <f>IFERROR(IF('PDCA review'!$D$2=Do!B795,Do!G795,""),"")</f>
        <v/>
      </c>
      <c r="C797">
        <f t="shared" si="36"/>
        <v>0</v>
      </c>
      <c r="D797">
        <f>SUM($C$3:C797)</f>
        <v>4</v>
      </c>
      <c r="E797" t="e">
        <f t="shared" si="37"/>
        <v>#N/A</v>
      </c>
      <c r="F797" s="28" t="str">
        <f t="shared" ca="1" si="38"/>
        <v/>
      </c>
    </row>
    <row r="798" spans="2:6" x14ac:dyDescent="0.2">
      <c r="B798" t="str">
        <f>IFERROR(IF('PDCA review'!$D$2=Do!B796,Do!G796,""),"")</f>
        <v/>
      </c>
      <c r="C798">
        <f t="shared" si="36"/>
        <v>0</v>
      </c>
      <c r="D798">
        <f>SUM($C$3:C798)</f>
        <v>4</v>
      </c>
      <c r="E798" t="e">
        <f t="shared" si="37"/>
        <v>#N/A</v>
      </c>
      <c r="F798" s="28" t="str">
        <f t="shared" ca="1" si="38"/>
        <v/>
      </c>
    </row>
    <row r="799" spans="2:6" x14ac:dyDescent="0.2">
      <c r="B799" t="str">
        <f>IFERROR(IF('PDCA review'!$D$2=Do!B797,Do!G797,""),"")</f>
        <v/>
      </c>
      <c r="C799">
        <f t="shared" si="36"/>
        <v>0</v>
      </c>
      <c r="D799">
        <f>SUM($C$3:C799)</f>
        <v>4</v>
      </c>
      <c r="E799" t="e">
        <f t="shared" si="37"/>
        <v>#N/A</v>
      </c>
      <c r="F799" s="28" t="str">
        <f t="shared" ca="1" si="38"/>
        <v/>
      </c>
    </row>
    <row r="800" spans="2:6" x14ac:dyDescent="0.2">
      <c r="B800" t="str">
        <f>IFERROR(IF('PDCA review'!$D$2=Do!B798,Do!G798,""),"")</f>
        <v/>
      </c>
      <c r="C800">
        <f t="shared" si="36"/>
        <v>0</v>
      </c>
      <c r="D800">
        <f>SUM($C$3:C800)</f>
        <v>4</v>
      </c>
      <c r="E800" t="e">
        <f t="shared" si="37"/>
        <v>#N/A</v>
      </c>
      <c r="F800" s="28" t="str">
        <f t="shared" ca="1" si="38"/>
        <v/>
      </c>
    </row>
    <row r="801" spans="2:6" x14ac:dyDescent="0.2">
      <c r="B801" t="str">
        <f>IFERROR(IF('PDCA review'!$D$2=Do!B799,Do!G799,""),"")</f>
        <v/>
      </c>
      <c r="C801">
        <f t="shared" si="36"/>
        <v>0</v>
      </c>
      <c r="D801">
        <f>SUM($C$3:C801)</f>
        <v>4</v>
      </c>
      <c r="E801" t="e">
        <f t="shared" si="37"/>
        <v>#N/A</v>
      </c>
      <c r="F801" s="28" t="str">
        <f t="shared" ca="1" si="38"/>
        <v/>
      </c>
    </row>
    <row r="802" spans="2:6" x14ac:dyDescent="0.2">
      <c r="B802" t="str">
        <f>IFERROR(IF('PDCA review'!$D$2=Do!B800,Do!G800,""),"")</f>
        <v/>
      </c>
      <c r="C802">
        <f t="shared" si="36"/>
        <v>0</v>
      </c>
      <c r="D802">
        <f>SUM($C$3:C802)</f>
        <v>4</v>
      </c>
      <c r="E802" t="e">
        <f t="shared" si="37"/>
        <v>#N/A</v>
      </c>
      <c r="F802" s="28" t="str">
        <f t="shared" ca="1" si="38"/>
        <v/>
      </c>
    </row>
    <row r="803" spans="2:6" x14ac:dyDescent="0.2">
      <c r="B803" t="str">
        <f>IFERROR(IF('PDCA review'!$D$2=Do!B801,Do!G801,""),"")</f>
        <v/>
      </c>
      <c r="C803">
        <f t="shared" si="36"/>
        <v>0</v>
      </c>
      <c r="D803">
        <f>SUM($C$3:C803)</f>
        <v>4</v>
      </c>
      <c r="E803" t="e">
        <f t="shared" si="37"/>
        <v>#N/A</v>
      </c>
      <c r="F803" s="28" t="str">
        <f t="shared" ca="1" si="38"/>
        <v/>
      </c>
    </row>
    <row r="804" spans="2:6" x14ac:dyDescent="0.2">
      <c r="B804" t="str">
        <f>IFERROR(IF('PDCA review'!$D$2=Do!B802,Do!G802,""),"")</f>
        <v/>
      </c>
      <c r="C804">
        <f t="shared" si="36"/>
        <v>0</v>
      </c>
      <c r="D804">
        <f>SUM($C$3:C804)</f>
        <v>4</v>
      </c>
      <c r="E804" t="e">
        <f t="shared" si="37"/>
        <v>#N/A</v>
      </c>
      <c r="F804" s="28" t="str">
        <f t="shared" ca="1" si="38"/>
        <v/>
      </c>
    </row>
    <row r="805" spans="2:6" x14ac:dyDescent="0.2">
      <c r="B805" t="str">
        <f>IFERROR(IF('PDCA review'!$D$2=Do!B803,Do!G803,""),"")</f>
        <v/>
      </c>
      <c r="C805">
        <f t="shared" si="36"/>
        <v>0</v>
      </c>
      <c r="D805">
        <f>SUM($C$3:C805)</f>
        <v>4</v>
      </c>
      <c r="E805" t="e">
        <f t="shared" si="37"/>
        <v>#N/A</v>
      </c>
      <c r="F805" s="28" t="str">
        <f t="shared" ca="1" si="38"/>
        <v/>
      </c>
    </row>
    <row r="806" spans="2:6" x14ac:dyDescent="0.2">
      <c r="B806" t="str">
        <f>IFERROR(IF('PDCA review'!$D$2=Do!B804,Do!G804,""),"")</f>
        <v/>
      </c>
      <c r="C806">
        <f t="shared" si="36"/>
        <v>0</v>
      </c>
      <c r="D806">
        <f>SUM($C$3:C806)</f>
        <v>4</v>
      </c>
      <c r="E806" t="e">
        <f t="shared" si="37"/>
        <v>#N/A</v>
      </c>
      <c r="F806" s="28" t="str">
        <f t="shared" ca="1" si="38"/>
        <v/>
      </c>
    </row>
    <row r="807" spans="2:6" x14ac:dyDescent="0.2">
      <c r="B807" t="str">
        <f>IFERROR(IF('PDCA review'!$D$2=Do!B805,Do!G805,""),"")</f>
        <v/>
      </c>
      <c r="C807">
        <f t="shared" si="36"/>
        <v>0</v>
      </c>
      <c r="D807">
        <f>SUM($C$3:C807)</f>
        <v>4</v>
      </c>
      <c r="E807" t="e">
        <f t="shared" si="37"/>
        <v>#N/A</v>
      </c>
      <c r="F807" s="28" t="str">
        <f t="shared" ca="1" si="38"/>
        <v/>
      </c>
    </row>
    <row r="808" spans="2:6" x14ac:dyDescent="0.2">
      <c r="B808" t="str">
        <f>IFERROR(IF('PDCA review'!$D$2=Do!B806,Do!G806,""),"")</f>
        <v/>
      </c>
      <c r="C808">
        <f t="shared" si="36"/>
        <v>0</v>
      </c>
      <c r="D808">
        <f>SUM($C$3:C808)</f>
        <v>4</v>
      </c>
      <c r="E808" t="e">
        <f t="shared" si="37"/>
        <v>#N/A</v>
      </c>
      <c r="F808" s="28" t="str">
        <f t="shared" ca="1" si="38"/>
        <v/>
      </c>
    </row>
    <row r="809" spans="2:6" x14ac:dyDescent="0.2">
      <c r="B809" t="str">
        <f>IFERROR(IF('PDCA review'!$D$2=Do!B807,Do!G807,""),"")</f>
        <v/>
      </c>
      <c r="C809">
        <f t="shared" si="36"/>
        <v>0</v>
      </c>
      <c r="D809">
        <f>SUM($C$3:C809)</f>
        <v>4</v>
      </c>
      <c r="E809" t="e">
        <f t="shared" si="37"/>
        <v>#N/A</v>
      </c>
      <c r="F809" s="28" t="str">
        <f t="shared" ca="1" si="38"/>
        <v/>
      </c>
    </row>
    <row r="810" spans="2:6" x14ac:dyDescent="0.2">
      <c r="B810" t="str">
        <f>IFERROR(IF('PDCA review'!$D$2=Do!B808,Do!G808,""),"")</f>
        <v/>
      </c>
      <c r="C810">
        <f t="shared" si="36"/>
        <v>0</v>
      </c>
      <c r="D810">
        <f>SUM($C$3:C810)</f>
        <v>4</v>
      </c>
      <c r="E810" t="e">
        <f t="shared" si="37"/>
        <v>#N/A</v>
      </c>
      <c r="F810" s="28" t="str">
        <f t="shared" ca="1" si="38"/>
        <v/>
      </c>
    </row>
    <row r="811" spans="2:6" x14ac:dyDescent="0.2">
      <c r="B811" t="str">
        <f>IFERROR(IF('PDCA review'!$D$2=Do!B809,Do!G809,""),"")</f>
        <v/>
      </c>
      <c r="C811">
        <f t="shared" si="36"/>
        <v>0</v>
      </c>
      <c r="D811">
        <f>SUM($C$3:C811)</f>
        <v>4</v>
      </c>
      <c r="E811" t="e">
        <f t="shared" si="37"/>
        <v>#N/A</v>
      </c>
      <c r="F811" s="28" t="str">
        <f t="shared" ca="1" si="38"/>
        <v/>
      </c>
    </row>
    <row r="812" spans="2:6" x14ac:dyDescent="0.2">
      <c r="B812" t="str">
        <f>IFERROR(IF('PDCA review'!$D$2=Do!B810,Do!G810,""),"")</f>
        <v/>
      </c>
      <c r="C812">
        <f t="shared" si="36"/>
        <v>0</v>
      </c>
      <c r="D812">
        <f>SUM($C$3:C812)</f>
        <v>4</v>
      </c>
      <c r="E812" t="e">
        <f t="shared" si="37"/>
        <v>#N/A</v>
      </c>
      <c r="F812" s="28" t="str">
        <f t="shared" ca="1" si="38"/>
        <v/>
      </c>
    </row>
    <row r="813" spans="2:6" x14ac:dyDescent="0.2">
      <c r="B813" t="str">
        <f>IFERROR(IF('PDCA review'!$D$2=Do!B811,Do!G811,""),"")</f>
        <v/>
      </c>
      <c r="C813">
        <f t="shared" si="36"/>
        <v>0</v>
      </c>
      <c r="D813">
        <f>SUM($C$3:C813)</f>
        <v>4</v>
      </c>
      <c r="E813" t="e">
        <f t="shared" si="37"/>
        <v>#N/A</v>
      </c>
      <c r="F813" s="28" t="str">
        <f t="shared" ca="1" si="38"/>
        <v/>
      </c>
    </row>
    <row r="814" spans="2:6" x14ac:dyDescent="0.2">
      <c r="B814" t="str">
        <f>IFERROR(IF('PDCA review'!$D$2=Do!B812,Do!G812,""),"")</f>
        <v/>
      </c>
      <c r="C814">
        <f t="shared" si="36"/>
        <v>0</v>
      </c>
      <c r="D814">
        <f>SUM($C$3:C814)</f>
        <v>4</v>
      </c>
      <c r="E814" t="e">
        <f t="shared" si="37"/>
        <v>#N/A</v>
      </c>
      <c r="F814" s="28" t="str">
        <f t="shared" ca="1" si="38"/>
        <v/>
      </c>
    </row>
    <row r="815" spans="2:6" x14ac:dyDescent="0.2">
      <c r="B815" t="str">
        <f>IFERROR(IF('PDCA review'!$D$2=Do!B813,Do!G813,""),"")</f>
        <v/>
      </c>
      <c r="C815">
        <f t="shared" si="36"/>
        <v>0</v>
      </c>
      <c r="D815">
        <f>SUM($C$3:C815)</f>
        <v>4</v>
      </c>
      <c r="E815" t="e">
        <f t="shared" si="37"/>
        <v>#N/A</v>
      </c>
      <c r="F815" s="28" t="str">
        <f t="shared" ca="1" si="38"/>
        <v/>
      </c>
    </row>
    <row r="816" spans="2:6" x14ac:dyDescent="0.2">
      <c r="B816" t="str">
        <f>IFERROR(IF('PDCA review'!$D$2=Do!B814,Do!G814,""),"")</f>
        <v/>
      </c>
      <c r="C816">
        <f t="shared" si="36"/>
        <v>0</v>
      </c>
      <c r="D816">
        <f>SUM($C$3:C816)</f>
        <v>4</v>
      </c>
      <c r="E816" t="e">
        <f t="shared" si="37"/>
        <v>#N/A</v>
      </c>
      <c r="F816" s="28" t="str">
        <f t="shared" ca="1" si="38"/>
        <v/>
      </c>
    </row>
    <row r="817" spans="2:6" x14ac:dyDescent="0.2">
      <c r="B817" t="str">
        <f>IFERROR(IF('PDCA review'!$D$2=Do!B815,Do!G815,""),"")</f>
        <v/>
      </c>
      <c r="C817">
        <f t="shared" si="36"/>
        <v>0</v>
      </c>
      <c r="D817">
        <f>SUM($C$3:C817)</f>
        <v>4</v>
      </c>
      <c r="E817" t="e">
        <f t="shared" si="37"/>
        <v>#N/A</v>
      </c>
      <c r="F817" s="28" t="str">
        <f t="shared" ca="1" si="38"/>
        <v/>
      </c>
    </row>
    <row r="818" spans="2:6" x14ac:dyDescent="0.2">
      <c r="B818" t="str">
        <f>IFERROR(IF('PDCA review'!$D$2=Do!B816,Do!G816,""),"")</f>
        <v/>
      </c>
      <c r="C818">
        <f t="shared" si="36"/>
        <v>0</v>
      </c>
      <c r="D818">
        <f>SUM($C$3:C818)</f>
        <v>4</v>
      </c>
      <c r="E818" t="e">
        <f t="shared" si="37"/>
        <v>#N/A</v>
      </c>
      <c r="F818" s="28" t="str">
        <f t="shared" ca="1" si="38"/>
        <v/>
      </c>
    </row>
    <row r="819" spans="2:6" x14ac:dyDescent="0.2">
      <c r="B819" t="str">
        <f>IFERROR(IF('PDCA review'!$D$2=Do!B817,Do!G817,""),"")</f>
        <v/>
      </c>
      <c r="C819">
        <f t="shared" si="36"/>
        <v>0</v>
      </c>
      <c r="D819">
        <f>SUM($C$3:C819)</f>
        <v>4</v>
      </c>
      <c r="E819" t="e">
        <f t="shared" si="37"/>
        <v>#N/A</v>
      </c>
      <c r="F819" s="28" t="str">
        <f t="shared" ca="1" si="38"/>
        <v/>
      </c>
    </row>
    <row r="820" spans="2:6" x14ac:dyDescent="0.2">
      <c r="B820" t="str">
        <f>IFERROR(IF('PDCA review'!$D$2=Do!B818,Do!G818,""),"")</f>
        <v/>
      </c>
      <c r="C820">
        <f t="shared" si="36"/>
        <v>0</v>
      </c>
      <c r="D820">
        <f>SUM($C$3:C820)</f>
        <v>4</v>
      </c>
      <c r="E820" t="e">
        <f t="shared" si="37"/>
        <v>#N/A</v>
      </c>
      <c r="F820" s="28" t="str">
        <f t="shared" ca="1" si="38"/>
        <v/>
      </c>
    </row>
    <row r="821" spans="2:6" x14ac:dyDescent="0.2">
      <c r="B821" t="str">
        <f>IFERROR(IF('PDCA review'!$D$2=Do!B819,Do!G819,""),"")</f>
        <v/>
      </c>
      <c r="C821">
        <f t="shared" si="36"/>
        <v>0</v>
      </c>
      <c r="D821">
        <f>SUM($C$3:C821)</f>
        <v>4</v>
      </c>
      <c r="E821" t="e">
        <f t="shared" si="37"/>
        <v>#N/A</v>
      </c>
      <c r="F821" s="28" t="str">
        <f t="shared" ca="1" si="38"/>
        <v/>
      </c>
    </row>
    <row r="822" spans="2:6" x14ac:dyDescent="0.2">
      <c r="B822" t="str">
        <f>IFERROR(IF('PDCA review'!$D$2=Do!B820,Do!G820,""),"")</f>
        <v/>
      </c>
      <c r="C822">
        <f t="shared" si="36"/>
        <v>0</v>
      </c>
      <c r="D822">
        <f>SUM($C$3:C822)</f>
        <v>4</v>
      </c>
      <c r="E822" t="e">
        <f t="shared" si="37"/>
        <v>#N/A</v>
      </c>
      <c r="F822" s="28" t="str">
        <f t="shared" ca="1" si="38"/>
        <v/>
      </c>
    </row>
    <row r="823" spans="2:6" x14ac:dyDescent="0.2">
      <c r="B823" t="str">
        <f>IFERROR(IF('PDCA review'!$D$2=Do!B821,Do!G821,""),"")</f>
        <v/>
      </c>
      <c r="C823">
        <f t="shared" si="36"/>
        <v>0</v>
      </c>
      <c r="D823">
        <f>SUM($C$3:C823)</f>
        <v>4</v>
      </c>
      <c r="E823" t="e">
        <f t="shared" si="37"/>
        <v>#N/A</v>
      </c>
      <c r="F823" s="28" t="str">
        <f t="shared" ca="1" si="38"/>
        <v/>
      </c>
    </row>
    <row r="824" spans="2:6" x14ac:dyDescent="0.2">
      <c r="B824" t="str">
        <f>IFERROR(IF('PDCA review'!$D$2=Do!B822,Do!G822,""),"")</f>
        <v/>
      </c>
      <c r="C824">
        <f t="shared" si="36"/>
        <v>0</v>
      </c>
      <c r="D824">
        <f>SUM($C$3:C824)</f>
        <v>4</v>
      </c>
      <c r="E824" t="e">
        <f t="shared" si="37"/>
        <v>#N/A</v>
      </c>
      <c r="F824" s="28" t="str">
        <f t="shared" ca="1" si="38"/>
        <v/>
      </c>
    </row>
    <row r="825" spans="2:6" x14ac:dyDescent="0.2">
      <c r="B825" t="str">
        <f>IFERROR(IF('PDCA review'!$D$2=Do!B823,Do!G823,""),"")</f>
        <v/>
      </c>
      <c r="C825">
        <f t="shared" si="36"/>
        <v>0</v>
      </c>
      <c r="D825">
        <f>SUM($C$3:C825)</f>
        <v>4</v>
      </c>
      <c r="E825" t="e">
        <f t="shared" si="37"/>
        <v>#N/A</v>
      </c>
      <c r="F825" s="28" t="str">
        <f t="shared" ca="1" si="38"/>
        <v/>
      </c>
    </row>
    <row r="826" spans="2:6" x14ac:dyDescent="0.2">
      <c r="B826" t="str">
        <f>IFERROR(IF('PDCA review'!$D$2=Do!B824,Do!G824,""),"")</f>
        <v/>
      </c>
      <c r="C826">
        <f t="shared" si="36"/>
        <v>0</v>
      </c>
      <c r="D826">
        <f>SUM($C$3:C826)</f>
        <v>4</v>
      </c>
      <c r="E826" t="e">
        <f t="shared" si="37"/>
        <v>#N/A</v>
      </c>
      <c r="F826" s="28" t="str">
        <f t="shared" ca="1" si="38"/>
        <v/>
      </c>
    </row>
    <row r="827" spans="2:6" x14ac:dyDescent="0.2">
      <c r="B827" t="str">
        <f>IFERROR(IF('PDCA review'!$D$2=Do!B825,Do!G825,""),"")</f>
        <v/>
      </c>
      <c r="C827">
        <f t="shared" si="36"/>
        <v>0</v>
      </c>
      <c r="D827">
        <f>SUM($C$3:C827)</f>
        <v>4</v>
      </c>
      <c r="E827" t="e">
        <f t="shared" si="37"/>
        <v>#N/A</v>
      </c>
      <c r="F827" s="28" t="str">
        <f t="shared" ca="1" si="38"/>
        <v/>
      </c>
    </row>
    <row r="828" spans="2:6" x14ac:dyDescent="0.2">
      <c r="B828" t="str">
        <f>IFERROR(IF('PDCA review'!$D$2=Do!B826,Do!G826,""),"")</f>
        <v/>
      </c>
      <c r="C828">
        <f t="shared" si="36"/>
        <v>0</v>
      </c>
      <c r="D828">
        <f>SUM($C$3:C828)</f>
        <v>4</v>
      </c>
      <c r="E828" t="e">
        <f t="shared" si="37"/>
        <v>#N/A</v>
      </c>
      <c r="F828" s="28" t="str">
        <f t="shared" ca="1" si="38"/>
        <v/>
      </c>
    </row>
    <row r="829" spans="2:6" x14ac:dyDescent="0.2">
      <c r="B829" t="str">
        <f>IFERROR(IF('PDCA review'!$D$2=Do!B827,Do!G827,""),"")</f>
        <v/>
      </c>
      <c r="C829">
        <f t="shared" si="36"/>
        <v>0</v>
      </c>
      <c r="D829">
        <f>SUM($C$3:C829)</f>
        <v>4</v>
      </c>
      <c r="E829" t="e">
        <f t="shared" si="37"/>
        <v>#N/A</v>
      </c>
      <c r="F829" s="28" t="str">
        <f t="shared" ca="1" si="38"/>
        <v/>
      </c>
    </row>
    <row r="830" spans="2:6" x14ac:dyDescent="0.2">
      <c r="B830" t="str">
        <f>IFERROR(IF('PDCA review'!$D$2=Do!B828,Do!G828,""),"")</f>
        <v/>
      </c>
      <c r="C830">
        <f t="shared" si="36"/>
        <v>0</v>
      </c>
      <c r="D830">
        <f>SUM($C$3:C830)</f>
        <v>4</v>
      </c>
      <c r="E830" t="e">
        <f t="shared" si="37"/>
        <v>#N/A</v>
      </c>
      <c r="F830" s="28" t="str">
        <f t="shared" ca="1" si="38"/>
        <v/>
      </c>
    </row>
    <row r="831" spans="2:6" x14ac:dyDescent="0.2">
      <c r="B831" t="str">
        <f>IFERROR(IF('PDCA review'!$D$2=Do!B829,Do!G829,""),"")</f>
        <v/>
      </c>
      <c r="C831">
        <f t="shared" si="36"/>
        <v>0</v>
      </c>
      <c r="D831">
        <f>SUM($C$3:C831)</f>
        <v>4</v>
      </c>
      <c r="E831" t="e">
        <f t="shared" si="37"/>
        <v>#N/A</v>
      </c>
      <c r="F831" s="28" t="str">
        <f t="shared" ca="1" si="38"/>
        <v/>
      </c>
    </row>
    <row r="832" spans="2:6" x14ac:dyDescent="0.2">
      <c r="B832" t="str">
        <f>IFERROR(IF('PDCA review'!$D$2=Do!B830,Do!G830,""),"")</f>
        <v/>
      </c>
      <c r="C832">
        <f t="shared" si="36"/>
        <v>0</v>
      </c>
      <c r="D832">
        <f>SUM($C$3:C832)</f>
        <v>4</v>
      </c>
      <c r="E832" t="e">
        <f t="shared" si="37"/>
        <v>#N/A</v>
      </c>
      <c r="F832" s="28" t="str">
        <f t="shared" ca="1" si="38"/>
        <v/>
      </c>
    </row>
    <row r="833" spans="2:6" x14ac:dyDescent="0.2">
      <c r="B833" t="str">
        <f>IFERROR(IF('PDCA review'!$D$2=Do!B831,Do!G831,""),"")</f>
        <v/>
      </c>
      <c r="C833">
        <f t="shared" si="36"/>
        <v>0</v>
      </c>
      <c r="D833">
        <f>SUM($C$3:C833)</f>
        <v>4</v>
      </c>
      <c r="E833" t="e">
        <f t="shared" si="37"/>
        <v>#N/A</v>
      </c>
      <c r="F833" s="28" t="str">
        <f t="shared" ca="1" si="38"/>
        <v/>
      </c>
    </row>
    <row r="834" spans="2:6" x14ac:dyDescent="0.2">
      <c r="B834" t="str">
        <f>IFERROR(IF('PDCA review'!$D$2=Do!B832,Do!G832,""),"")</f>
        <v/>
      </c>
      <c r="C834">
        <f t="shared" si="36"/>
        <v>0</v>
      </c>
      <c r="D834">
        <f>SUM($C$3:C834)</f>
        <v>4</v>
      </c>
      <c r="E834" t="e">
        <f t="shared" si="37"/>
        <v>#N/A</v>
      </c>
      <c r="F834" s="28" t="str">
        <f t="shared" ca="1" si="38"/>
        <v/>
      </c>
    </row>
    <row r="835" spans="2:6" x14ac:dyDescent="0.2">
      <c r="B835" t="str">
        <f>IFERROR(IF('PDCA review'!$D$2=Do!B833,Do!G833,""),"")</f>
        <v/>
      </c>
      <c r="C835">
        <f t="shared" si="36"/>
        <v>0</v>
      </c>
      <c r="D835">
        <f>SUM($C$3:C835)</f>
        <v>4</v>
      </c>
      <c r="E835" t="e">
        <f t="shared" si="37"/>
        <v>#N/A</v>
      </c>
      <c r="F835" s="28" t="str">
        <f t="shared" ca="1" si="38"/>
        <v/>
      </c>
    </row>
    <row r="836" spans="2:6" x14ac:dyDescent="0.2">
      <c r="B836" t="str">
        <f>IFERROR(IF('PDCA review'!$D$2=Do!B834,Do!G834,""),"")</f>
        <v/>
      </c>
      <c r="C836">
        <f t="shared" ref="C836:C899" si="39">IF(B836&lt;&gt;"",1,0)</f>
        <v>0</v>
      </c>
      <c r="D836">
        <f>SUM($C$3:C836)</f>
        <v>4</v>
      </c>
      <c r="E836" t="e">
        <f t="shared" ref="E836:E899" si="40">MATCH(ROW()-$D$2,$D$3:$D$2000,0)+$D$2</f>
        <v>#N/A</v>
      </c>
      <c r="F836" s="28" t="str">
        <f t="shared" ref="F836:F899" ca="1" si="41">IFERROR(INDIRECT("B"&amp;E836),"")</f>
        <v/>
      </c>
    </row>
    <row r="837" spans="2:6" x14ac:dyDescent="0.2">
      <c r="B837" t="str">
        <f>IFERROR(IF('PDCA review'!$D$2=Do!B835,Do!G835,""),"")</f>
        <v/>
      </c>
      <c r="C837">
        <f t="shared" si="39"/>
        <v>0</v>
      </c>
      <c r="D837">
        <f>SUM($C$3:C837)</f>
        <v>4</v>
      </c>
      <c r="E837" t="e">
        <f t="shared" si="40"/>
        <v>#N/A</v>
      </c>
      <c r="F837" s="28" t="str">
        <f t="shared" ca="1" si="41"/>
        <v/>
      </c>
    </row>
    <row r="838" spans="2:6" x14ac:dyDescent="0.2">
      <c r="B838" t="str">
        <f>IFERROR(IF('PDCA review'!$D$2=Do!B836,Do!G836,""),"")</f>
        <v/>
      </c>
      <c r="C838">
        <f t="shared" si="39"/>
        <v>0</v>
      </c>
      <c r="D838">
        <f>SUM($C$3:C838)</f>
        <v>4</v>
      </c>
      <c r="E838" t="e">
        <f t="shared" si="40"/>
        <v>#N/A</v>
      </c>
      <c r="F838" s="28" t="str">
        <f t="shared" ca="1" si="41"/>
        <v/>
      </c>
    </row>
    <row r="839" spans="2:6" x14ac:dyDescent="0.2">
      <c r="B839" t="str">
        <f>IFERROR(IF('PDCA review'!$D$2=Do!B837,Do!G837,""),"")</f>
        <v/>
      </c>
      <c r="C839">
        <f t="shared" si="39"/>
        <v>0</v>
      </c>
      <c r="D839">
        <f>SUM($C$3:C839)</f>
        <v>4</v>
      </c>
      <c r="E839" t="e">
        <f t="shared" si="40"/>
        <v>#N/A</v>
      </c>
      <c r="F839" s="28" t="str">
        <f t="shared" ca="1" si="41"/>
        <v/>
      </c>
    </row>
    <row r="840" spans="2:6" x14ac:dyDescent="0.2">
      <c r="B840" t="str">
        <f>IFERROR(IF('PDCA review'!$D$2=Do!B838,Do!G838,""),"")</f>
        <v/>
      </c>
      <c r="C840">
        <f t="shared" si="39"/>
        <v>0</v>
      </c>
      <c r="D840">
        <f>SUM($C$3:C840)</f>
        <v>4</v>
      </c>
      <c r="E840" t="e">
        <f t="shared" si="40"/>
        <v>#N/A</v>
      </c>
      <c r="F840" s="28" t="str">
        <f t="shared" ca="1" si="41"/>
        <v/>
      </c>
    </row>
    <row r="841" spans="2:6" x14ac:dyDescent="0.2">
      <c r="B841" t="str">
        <f>IFERROR(IF('PDCA review'!$D$2=Do!B839,Do!G839,""),"")</f>
        <v/>
      </c>
      <c r="C841">
        <f t="shared" si="39"/>
        <v>0</v>
      </c>
      <c r="D841">
        <f>SUM($C$3:C841)</f>
        <v>4</v>
      </c>
      <c r="E841" t="e">
        <f t="shared" si="40"/>
        <v>#N/A</v>
      </c>
      <c r="F841" s="28" t="str">
        <f t="shared" ca="1" si="41"/>
        <v/>
      </c>
    </row>
    <row r="842" spans="2:6" x14ac:dyDescent="0.2">
      <c r="B842" t="str">
        <f>IFERROR(IF('PDCA review'!$D$2=Do!B840,Do!G840,""),"")</f>
        <v/>
      </c>
      <c r="C842">
        <f t="shared" si="39"/>
        <v>0</v>
      </c>
      <c r="D842">
        <f>SUM($C$3:C842)</f>
        <v>4</v>
      </c>
      <c r="E842" t="e">
        <f t="shared" si="40"/>
        <v>#N/A</v>
      </c>
      <c r="F842" s="28" t="str">
        <f t="shared" ca="1" si="41"/>
        <v/>
      </c>
    </row>
    <row r="843" spans="2:6" x14ac:dyDescent="0.2">
      <c r="B843" t="str">
        <f>IFERROR(IF('PDCA review'!$D$2=Do!B841,Do!G841,""),"")</f>
        <v/>
      </c>
      <c r="C843">
        <f t="shared" si="39"/>
        <v>0</v>
      </c>
      <c r="D843">
        <f>SUM($C$3:C843)</f>
        <v>4</v>
      </c>
      <c r="E843" t="e">
        <f t="shared" si="40"/>
        <v>#N/A</v>
      </c>
      <c r="F843" s="28" t="str">
        <f t="shared" ca="1" si="41"/>
        <v/>
      </c>
    </row>
    <row r="844" spans="2:6" x14ac:dyDescent="0.2">
      <c r="B844" t="str">
        <f>IFERROR(IF('PDCA review'!$D$2=Do!B842,Do!G842,""),"")</f>
        <v/>
      </c>
      <c r="C844">
        <f t="shared" si="39"/>
        <v>0</v>
      </c>
      <c r="D844">
        <f>SUM($C$3:C844)</f>
        <v>4</v>
      </c>
      <c r="E844" t="e">
        <f t="shared" si="40"/>
        <v>#N/A</v>
      </c>
      <c r="F844" s="28" t="str">
        <f t="shared" ca="1" si="41"/>
        <v/>
      </c>
    </row>
    <row r="845" spans="2:6" x14ac:dyDescent="0.2">
      <c r="B845" t="str">
        <f>IFERROR(IF('PDCA review'!$D$2=Do!B843,Do!G843,""),"")</f>
        <v/>
      </c>
      <c r="C845">
        <f t="shared" si="39"/>
        <v>0</v>
      </c>
      <c r="D845">
        <f>SUM($C$3:C845)</f>
        <v>4</v>
      </c>
      <c r="E845" t="e">
        <f t="shared" si="40"/>
        <v>#N/A</v>
      </c>
      <c r="F845" s="28" t="str">
        <f t="shared" ca="1" si="41"/>
        <v/>
      </c>
    </row>
    <row r="846" spans="2:6" x14ac:dyDescent="0.2">
      <c r="B846" t="str">
        <f>IFERROR(IF('PDCA review'!$D$2=Do!B844,Do!G844,""),"")</f>
        <v/>
      </c>
      <c r="C846">
        <f t="shared" si="39"/>
        <v>0</v>
      </c>
      <c r="D846">
        <f>SUM($C$3:C846)</f>
        <v>4</v>
      </c>
      <c r="E846" t="e">
        <f t="shared" si="40"/>
        <v>#N/A</v>
      </c>
      <c r="F846" s="28" t="str">
        <f t="shared" ca="1" si="41"/>
        <v/>
      </c>
    </row>
    <row r="847" spans="2:6" x14ac:dyDescent="0.2">
      <c r="B847" t="str">
        <f>IFERROR(IF('PDCA review'!$D$2=Do!B845,Do!G845,""),"")</f>
        <v/>
      </c>
      <c r="C847">
        <f t="shared" si="39"/>
        <v>0</v>
      </c>
      <c r="D847">
        <f>SUM($C$3:C847)</f>
        <v>4</v>
      </c>
      <c r="E847" t="e">
        <f t="shared" si="40"/>
        <v>#N/A</v>
      </c>
      <c r="F847" s="28" t="str">
        <f t="shared" ca="1" si="41"/>
        <v/>
      </c>
    </row>
    <row r="848" spans="2:6" x14ac:dyDescent="0.2">
      <c r="B848" t="str">
        <f>IFERROR(IF('PDCA review'!$D$2=Do!B846,Do!G846,""),"")</f>
        <v/>
      </c>
      <c r="C848">
        <f t="shared" si="39"/>
        <v>0</v>
      </c>
      <c r="D848">
        <f>SUM($C$3:C848)</f>
        <v>4</v>
      </c>
      <c r="E848" t="e">
        <f t="shared" si="40"/>
        <v>#N/A</v>
      </c>
      <c r="F848" s="28" t="str">
        <f t="shared" ca="1" si="41"/>
        <v/>
      </c>
    </row>
    <row r="849" spans="2:6" x14ac:dyDescent="0.2">
      <c r="B849" t="str">
        <f>IFERROR(IF('PDCA review'!$D$2=Do!B847,Do!G847,""),"")</f>
        <v/>
      </c>
      <c r="C849">
        <f t="shared" si="39"/>
        <v>0</v>
      </c>
      <c r="D849">
        <f>SUM($C$3:C849)</f>
        <v>4</v>
      </c>
      <c r="E849" t="e">
        <f t="shared" si="40"/>
        <v>#N/A</v>
      </c>
      <c r="F849" s="28" t="str">
        <f t="shared" ca="1" si="41"/>
        <v/>
      </c>
    </row>
    <row r="850" spans="2:6" x14ac:dyDescent="0.2">
      <c r="B850" t="str">
        <f>IFERROR(IF('PDCA review'!$D$2=Do!B848,Do!G848,""),"")</f>
        <v/>
      </c>
      <c r="C850">
        <f t="shared" si="39"/>
        <v>0</v>
      </c>
      <c r="D850">
        <f>SUM($C$3:C850)</f>
        <v>4</v>
      </c>
      <c r="E850" t="e">
        <f t="shared" si="40"/>
        <v>#N/A</v>
      </c>
      <c r="F850" s="28" t="str">
        <f t="shared" ca="1" si="41"/>
        <v/>
      </c>
    </row>
    <row r="851" spans="2:6" x14ac:dyDescent="0.2">
      <c r="B851" t="str">
        <f>IFERROR(IF('PDCA review'!$D$2=Do!B849,Do!G849,""),"")</f>
        <v/>
      </c>
      <c r="C851">
        <f t="shared" si="39"/>
        <v>0</v>
      </c>
      <c r="D851">
        <f>SUM($C$3:C851)</f>
        <v>4</v>
      </c>
      <c r="E851" t="e">
        <f t="shared" si="40"/>
        <v>#N/A</v>
      </c>
      <c r="F851" s="28" t="str">
        <f t="shared" ca="1" si="41"/>
        <v/>
      </c>
    </row>
    <row r="852" spans="2:6" x14ac:dyDescent="0.2">
      <c r="B852" t="str">
        <f>IFERROR(IF('PDCA review'!$D$2=Do!B850,Do!G850,""),"")</f>
        <v/>
      </c>
      <c r="C852">
        <f t="shared" si="39"/>
        <v>0</v>
      </c>
      <c r="D852">
        <f>SUM($C$3:C852)</f>
        <v>4</v>
      </c>
      <c r="E852" t="e">
        <f t="shared" si="40"/>
        <v>#N/A</v>
      </c>
      <c r="F852" s="28" t="str">
        <f t="shared" ca="1" si="41"/>
        <v/>
      </c>
    </row>
    <row r="853" spans="2:6" x14ac:dyDescent="0.2">
      <c r="B853" t="str">
        <f>IFERROR(IF('PDCA review'!$D$2=Do!B851,Do!G851,""),"")</f>
        <v/>
      </c>
      <c r="C853">
        <f t="shared" si="39"/>
        <v>0</v>
      </c>
      <c r="D853">
        <f>SUM($C$3:C853)</f>
        <v>4</v>
      </c>
      <c r="E853" t="e">
        <f t="shared" si="40"/>
        <v>#N/A</v>
      </c>
      <c r="F853" s="28" t="str">
        <f t="shared" ca="1" si="41"/>
        <v/>
      </c>
    </row>
    <row r="854" spans="2:6" x14ac:dyDescent="0.2">
      <c r="B854" t="str">
        <f>IFERROR(IF('PDCA review'!$D$2=Do!B852,Do!G852,""),"")</f>
        <v/>
      </c>
      <c r="C854">
        <f t="shared" si="39"/>
        <v>0</v>
      </c>
      <c r="D854">
        <f>SUM($C$3:C854)</f>
        <v>4</v>
      </c>
      <c r="E854" t="e">
        <f t="shared" si="40"/>
        <v>#N/A</v>
      </c>
      <c r="F854" s="28" t="str">
        <f t="shared" ca="1" si="41"/>
        <v/>
      </c>
    </row>
    <row r="855" spans="2:6" x14ac:dyDescent="0.2">
      <c r="B855" t="str">
        <f>IFERROR(IF('PDCA review'!$D$2=Do!B853,Do!G853,""),"")</f>
        <v/>
      </c>
      <c r="C855">
        <f t="shared" si="39"/>
        <v>0</v>
      </c>
      <c r="D855">
        <f>SUM($C$3:C855)</f>
        <v>4</v>
      </c>
      <c r="E855" t="e">
        <f t="shared" si="40"/>
        <v>#N/A</v>
      </c>
      <c r="F855" s="28" t="str">
        <f t="shared" ca="1" si="41"/>
        <v/>
      </c>
    </row>
    <row r="856" spans="2:6" x14ac:dyDescent="0.2">
      <c r="B856" t="str">
        <f>IFERROR(IF('PDCA review'!$D$2=Do!B854,Do!G854,""),"")</f>
        <v/>
      </c>
      <c r="C856">
        <f t="shared" si="39"/>
        <v>0</v>
      </c>
      <c r="D856">
        <f>SUM($C$3:C856)</f>
        <v>4</v>
      </c>
      <c r="E856" t="e">
        <f t="shared" si="40"/>
        <v>#N/A</v>
      </c>
      <c r="F856" s="28" t="str">
        <f t="shared" ca="1" si="41"/>
        <v/>
      </c>
    </row>
    <row r="857" spans="2:6" x14ac:dyDescent="0.2">
      <c r="B857" t="str">
        <f>IFERROR(IF('PDCA review'!$D$2=Do!B855,Do!G855,""),"")</f>
        <v/>
      </c>
      <c r="C857">
        <f t="shared" si="39"/>
        <v>0</v>
      </c>
      <c r="D857">
        <f>SUM($C$3:C857)</f>
        <v>4</v>
      </c>
      <c r="E857" t="e">
        <f t="shared" si="40"/>
        <v>#N/A</v>
      </c>
      <c r="F857" s="28" t="str">
        <f t="shared" ca="1" si="41"/>
        <v/>
      </c>
    </row>
    <row r="858" spans="2:6" x14ac:dyDescent="0.2">
      <c r="B858" t="str">
        <f>IFERROR(IF('PDCA review'!$D$2=Do!B856,Do!G856,""),"")</f>
        <v/>
      </c>
      <c r="C858">
        <f t="shared" si="39"/>
        <v>0</v>
      </c>
      <c r="D858">
        <f>SUM($C$3:C858)</f>
        <v>4</v>
      </c>
      <c r="E858" t="e">
        <f t="shared" si="40"/>
        <v>#N/A</v>
      </c>
      <c r="F858" s="28" t="str">
        <f t="shared" ca="1" si="41"/>
        <v/>
      </c>
    </row>
    <row r="859" spans="2:6" x14ac:dyDescent="0.2">
      <c r="B859" t="str">
        <f>IFERROR(IF('PDCA review'!$D$2=Do!B857,Do!G857,""),"")</f>
        <v/>
      </c>
      <c r="C859">
        <f t="shared" si="39"/>
        <v>0</v>
      </c>
      <c r="D859">
        <f>SUM($C$3:C859)</f>
        <v>4</v>
      </c>
      <c r="E859" t="e">
        <f t="shared" si="40"/>
        <v>#N/A</v>
      </c>
      <c r="F859" s="28" t="str">
        <f t="shared" ca="1" si="41"/>
        <v/>
      </c>
    </row>
    <row r="860" spans="2:6" x14ac:dyDescent="0.2">
      <c r="B860" t="str">
        <f>IFERROR(IF('PDCA review'!$D$2=Do!B858,Do!G858,""),"")</f>
        <v/>
      </c>
      <c r="C860">
        <f t="shared" si="39"/>
        <v>0</v>
      </c>
      <c r="D860">
        <f>SUM($C$3:C860)</f>
        <v>4</v>
      </c>
      <c r="E860" t="e">
        <f t="shared" si="40"/>
        <v>#N/A</v>
      </c>
      <c r="F860" s="28" t="str">
        <f t="shared" ca="1" si="41"/>
        <v/>
      </c>
    </row>
    <row r="861" spans="2:6" x14ac:dyDescent="0.2">
      <c r="B861" t="str">
        <f>IFERROR(IF('PDCA review'!$D$2=Do!B859,Do!G859,""),"")</f>
        <v/>
      </c>
      <c r="C861">
        <f t="shared" si="39"/>
        <v>0</v>
      </c>
      <c r="D861">
        <f>SUM($C$3:C861)</f>
        <v>4</v>
      </c>
      <c r="E861" t="e">
        <f t="shared" si="40"/>
        <v>#N/A</v>
      </c>
      <c r="F861" s="28" t="str">
        <f t="shared" ca="1" si="41"/>
        <v/>
      </c>
    </row>
    <row r="862" spans="2:6" x14ac:dyDescent="0.2">
      <c r="B862" t="str">
        <f>IFERROR(IF('PDCA review'!$D$2=Do!B860,Do!G860,""),"")</f>
        <v/>
      </c>
      <c r="C862">
        <f t="shared" si="39"/>
        <v>0</v>
      </c>
      <c r="D862">
        <f>SUM($C$3:C862)</f>
        <v>4</v>
      </c>
      <c r="E862" t="e">
        <f t="shared" si="40"/>
        <v>#N/A</v>
      </c>
      <c r="F862" s="28" t="str">
        <f t="shared" ca="1" si="41"/>
        <v/>
      </c>
    </row>
    <row r="863" spans="2:6" x14ac:dyDescent="0.2">
      <c r="B863" t="str">
        <f>IFERROR(IF('PDCA review'!$D$2=Do!B861,Do!G861,""),"")</f>
        <v/>
      </c>
      <c r="C863">
        <f t="shared" si="39"/>
        <v>0</v>
      </c>
      <c r="D863">
        <f>SUM($C$3:C863)</f>
        <v>4</v>
      </c>
      <c r="E863" t="e">
        <f t="shared" si="40"/>
        <v>#N/A</v>
      </c>
      <c r="F863" s="28" t="str">
        <f t="shared" ca="1" si="41"/>
        <v/>
      </c>
    </row>
    <row r="864" spans="2:6" x14ac:dyDescent="0.2">
      <c r="B864" t="str">
        <f>IFERROR(IF('PDCA review'!$D$2=Do!B862,Do!G862,""),"")</f>
        <v/>
      </c>
      <c r="C864">
        <f t="shared" si="39"/>
        <v>0</v>
      </c>
      <c r="D864">
        <f>SUM($C$3:C864)</f>
        <v>4</v>
      </c>
      <c r="E864" t="e">
        <f t="shared" si="40"/>
        <v>#N/A</v>
      </c>
      <c r="F864" s="28" t="str">
        <f t="shared" ca="1" si="41"/>
        <v/>
      </c>
    </row>
    <row r="865" spans="2:6" x14ac:dyDescent="0.2">
      <c r="B865" t="str">
        <f>IFERROR(IF('PDCA review'!$D$2=Do!B863,Do!G863,""),"")</f>
        <v/>
      </c>
      <c r="C865">
        <f t="shared" si="39"/>
        <v>0</v>
      </c>
      <c r="D865">
        <f>SUM($C$3:C865)</f>
        <v>4</v>
      </c>
      <c r="E865" t="e">
        <f t="shared" si="40"/>
        <v>#N/A</v>
      </c>
      <c r="F865" s="28" t="str">
        <f t="shared" ca="1" si="41"/>
        <v/>
      </c>
    </row>
    <row r="866" spans="2:6" x14ac:dyDescent="0.2">
      <c r="B866" t="str">
        <f>IFERROR(IF('PDCA review'!$D$2=Do!B864,Do!G864,""),"")</f>
        <v/>
      </c>
      <c r="C866">
        <f t="shared" si="39"/>
        <v>0</v>
      </c>
      <c r="D866">
        <f>SUM($C$3:C866)</f>
        <v>4</v>
      </c>
      <c r="E866" t="e">
        <f t="shared" si="40"/>
        <v>#N/A</v>
      </c>
      <c r="F866" s="28" t="str">
        <f t="shared" ca="1" si="41"/>
        <v/>
      </c>
    </row>
    <row r="867" spans="2:6" x14ac:dyDescent="0.2">
      <c r="B867" t="str">
        <f>IFERROR(IF('PDCA review'!$D$2=Do!B865,Do!G865,""),"")</f>
        <v/>
      </c>
      <c r="C867">
        <f t="shared" si="39"/>
        <v>0</v>
      </c>
      <c r="D867">
        <f>SUM($C$3:C867)</f>
        <v>4</v>
      </c>
      <c r="E867" t="e">
        <f t="shared" si="40"/>
        <v>#N/A</v>
      </c>
      <c r="F867" s="28" t="str">
        <f t="shared" ca="1" si="41"/>
        <v/>
      </c>
    </row>
    <row r="868" spans="2:6" x14ac:dyDescent="0.2">
      <c r="B868" t="str">
        <f>IFERROR(IF('PDCA review'!$D$2=Do!B866,Do!G866,""),"")</f>
        <v/>
      </c>
      <c r="C868">
        <f t="shared" si="39"/>
        <v>0</v>
      </c>
      <c r="D868">
        <f>SUM($C$3:C868)</f>
        <v>4</v>
      </c>
      <c r="E868" t="e">
        <f t="shared" si="40"/>
        <v>#N/A</v>
      </c>
      <c r="F868" s="28" t="str">
        <f t="shared" ca="1" si="41"/>
        <v/>
      </c>
    </row>
    <row r="869" spans="2:6" x14ac:dyDescent="0.2">
      <c r="B869" t="str">
        <f>IFERROR(IF('PDCA review'!$D$2=Do!B867,Do!G867,""),"")</f>
        <v/>
      </c>
      <c r="C869">
        <f t="shared" si="39"/>
        <v>0</v>
      </c>
      <c r="D869">
        <f>SUM($C$3:C869)</f>
        <v>4</v>
      </c>
      <c r="E869" t="e">
        <f t="shared" si="40"/>
        <v>#N/A</v>
      </c>
      <c r="F869" s="28" t="str">
        <f t="shared" ca="1" si="41"/>
        <v/>
      </c>
    </row>
    <row r="870" spans="2:6" x14ac:dyDescent="0.2">
      <c r="B870" t="str">
        <f>IFERROR(IF('PDCA review'!$D$2=Do!B868,Do!G868,""),"")</f>
        <v/>
      </c>
      <c r="C870">
        <f t="shared" si="39"/>
        <v>0</v>
      </c>
      <c r="D870">
        <f>SUM($C$3:C870)</f>
        <v>4</v>
      </c>
      <c r="E870" t="e">
        <f t="shared" si="40"/>
        <v>#N/A</v>
      </c>
      <c r="F870" s="28" t="str">
        <f t="shared" ca="1" si="41"/>
        <v/>
      </c>
    </row>
    <row r="871" spans="2:6" x14ac:dyDescent="0.2">
      <c r="B871" t="str">
        <f>IFERROR(IF('PDCA review'!$D$2=Do!B869,Do!G869,""),"")</f>
        <v/>
      </c>
      <c r="C871">
        <f t="shared" si="39"/>
        <v>0</v>
      </c>
      <c r="D871">
        <f>SUM($C$3:C871)</f>
        <v>4</v>
      </c>
      <c r="E871" t="e">
        <f t="shared" si="40"/>
        <v>#N/A</v>
      </c>
      <c r="F871" s="28" t="str">
        <f t="shared" ca="1" si="41"/>
        <v/>
      </c>
    </row>
    <row r="872" spans="2:6" x14ac:dyDescent="0.2">
      <c r="B872" t="str">
        <f>IFERROR(IF('PDCA review'!$D$2=Do!B870,Do!G870,""),"")</f>
        <v/>
      </c>
      <c r="C872">
        <f t="shared" si="39"/>
        <v>0</v>
      </c>
      <c r="D872">
        <f>SUM($C$3:C872)</f>
        <v>4</v>
      </c>
      <c r="E872" t="e">
        <f t="shared" si="40"/>
        <v>#N/A</v>
      </c>
      <c r="F872" s="28" t="str">
        <f t="shared" ca="1" si="41"/>
        <v/>
      </c>
    </row>
    <row r="873" spans="2:6" x14ac:dyDescent="0.2">
      <c r="B873" t="str">
        <f>IFERROR(IF('PDCA review'!$D$2=Do!B871,Do!G871,""),"")</f>
        <v/>
      </c>
      <c r="C873">
        <f t="shared" si="39"/>
        <v>0</v>
      </c>
      <c r="D873">
        <f>SUM($C$3:C873)</f>
        <v>4</v>
      </c>
      <c r="E873" t="e">
        <f t="shared" si="40"/>
        <v>#N/A</v>
      </c>
      <c r="F873" s="28" t="str">
        <f t="shared" ca="1" si="41"/>
        <v/>
      </c>
    </row>
    <row r="874" spans="2:6" x14ac:dyDescent="0.2">
      <c r="B874" t="str">
        <f>IFERROR(IF('PDCA review'!$D$2=Do!B872,Do!G872,""),"")</f>
        <v/>
      </c>
      <c r="C874">
        <f t="shared" si="39"/>
        <v>0</v>
      </c>
      <c r="D874">
        <f>SUM($C$3:C874)</f>
        <v>4</v>
      </c>
      <c r="E874" t="e">
        <f t="shared" si="40"/>
        <v>#N/A</v>
      </c>
      <c r="F874" s="28" t="str">
        <f t="shared" ca="1" si="41"/>
        <v/>
      </c>
    </row>
    <row r="875" spans="2:6" x14ac:dyDescent="0.2">
      <c r="B875" t="str">
        <f>IFERROR(IF('PDCA review'!$D$2=Do!B873,Do!G873,""),"")</f>
        <v/>
      </c>
      <c r="C875">
        <f t="shared" si="39"/>
        <v>0</v>
      </c>
      <c r="D875">
        <f>SUM($C$3:C875)</f>
        <v>4</v>
      </c>
      <c r="E875" t="e">
        <f t="shared" si="40"/>
        <v>#N/A</v>
      </c>
      <c r="F875" s="28" t="str">
        <f t="shared" ca="1" si="41"/>
        <v/>
      </c>
    </row>
    <row r="876" spans="2:6" x14ac:dyDescent="0.2">
      <c r="B876" t="str">
        <f>IFERROR(IF('PDCA review'!$D$2=Do!B874,Do!G874,""),"")</f>
        <v/>
      </c>
      <c r="C876">
        <f t="shared" si="39"/>
        <v>0</v>
      </c>
      <c r="D876">
        <f>SUM($C$3:C876)</f>
        <v>4</v>
      </c>
      <c r="E876" t="e">
        <f t="shared" si="40"/>
        <v>#N/A</v>
      </c>
      <c r="F876" s="28" t="str">
        <f t="shared" ca="1" si="41"/>
        <v/>
      </c>
    </row>
    <row r="877" spans="2:6" x14ac:dyDescent="0.2">
      <c r="B877" t="str">
        <f>IFERROR(IF('PDCA review'!$D$2=Do!B875,Do!G875,""),"")</f>
        <v/>
      </c>
      <c r="C877">
        <f t="shared" si="39"/>
        <v>0</v>
      </c>
      <c r="D877">
        <f>SUM($C$3:C877)</f>
        <v>4</v>
      </c>
      <c r="E877" t="e">
        <f t="shared" si="40"/>
        <v>#N/A</v>
      </c>
      <c r="F877" s="28" t="str">
        <f t="shared" ca="1" si="41"/>
        <v/>
      </c>
    </row>
    <row r="878" spans="2:6" x14ac:dyDescent="0.2">
      <c r="B878" t="str">
        <f>IFERROR(IF('PDCA review'!$D$2=Do!B876,Do!G876,""),"")</f>
        <v/>
      </c>
      <c r="C878">
        <f t="shared" si="39"/>
        <v>0</v>
      </c>
      <c r="D878">
        <f>SUM($C$3:C878)</f>
        <v>4</v>
      </c>
      <c r="E878" t="e">
        <f t="shared" si="40"/>
        <v>#N/A</v>
      </c>
      <c r="F878" s="28" t="str">
        <f t="shared" ca="1" si="41"/>
        <v/>
      </c>
    </row>
    <row r="879" spans="2:6" x14ac:dyDescent="0.2">
      <c r="B879" t="str">
        <f>IFERROR(IF('PDCA review'!$D$2=Do!B877,Do!G877,""),"")</f>
        <v/>
      </c>
      <c r="C879">
        <f t="shared" si="39"/>
        <v>0</v>
      </c>
      <c r="D879">
        <f>SUM($C$3:C879)</f>
        <v>4</v>
      </c>
      <c r="E879" t="e">
        <f t="shared" si="40"/>
        <v>#N/A</v>
      </c>
      <c r="F879" s="28" t="str">
        <f t="shared" ca="1" si="41"/>
        <v/>
      </c>
    </row>
    <row r="880" spans="2:6" x14ac:dyDescent="0.2">
      <c r="B880" t="str">
        <f>IFERROR(IF('PDCA review'!$D$2=Do!B878,Do!G878,""),"")</f>
        <v/>
      </c>
      <c r="C880">
        <f t="shared" si="39"/>
        <v>0</v>
      </c>
      <c r="D880">
        <f>SUM($C$3:C880)</f>
        <v>4</v>
      </c>
      <c r="E880" t="e">
        <f t="shared" si="40"/>
        <v>#N/A</v>
      </c>
      <c r="F880" s="28" t="str">
        <f t="shared" ca="1" si="41"/>
        <v/>
      </c>
    </row>
    <row r="881" spans="2:6" x14ac:dyDescent="0.2">
      <c r="B881" t="str">
        <f>IFERROR(IF('PDCA review'!$D$2=Do!B879,Do!G879,""),"")</f>
        <v/>
      </c>
      <c r="C881">
        <f t="shared" si="39"/>
        <v>0</v>
      </c>
      <c r="D881">
        <f>SUM($C$3:C881)</f>
        <v>4</v>
      </c>
      <c r="E881" t="e">
        <f t="shared" si="40"/>
        <v>#N/A</v>
      </c>
      <c r="F881" s="28" t="str">
        <f t="shared" ca="1" si="41"/>
        <v/>
      </c>
    </row>
    <row r="882" spans="2:6" x14ac:dyDescent="0.2">
      <c r="B882" t="str">
        <f>IFERROR(IF('PDCA review'!$D$2=Do!B880,Do!G880,""),"")</f>
        <v/>
      </c>
      <c r="C882">
        <f t="shared" si="39"/>
        <v>0</v>
      </c>
      <c r="D882">
        <f>SUM($C$3:C882)</f>
        <v>4</v>
      </c>
      <c r="E882" t="e">
        <f t="shared" si="40"/>
        <v>#N/A</v>
      </c>
      <c r="F882" s="28" t="str">
        <f t="shared" ca="1" si="41"/>
        <v/>
      </c>
    </row>
    <row r="883" spans="2:6" x14ac:dyDescent="0.2">
      <c r="B883" t="str">
        <f>IFERROR(IF('PDCA review'!$D$2=Do!B881,Do!G881,""),"")</f>
        <v/>
      </c>
      <c r="C883">
        <f t="shared" si="39"/>
        <v>0</v>
      </c>
      <c r="D883">
        <f>SUM($C$3:C883)</f>
        <v>4</v>
      </c>
      <c r="E883" t="e">
        <f t="shared" si="40"/>
        <v>#N/A</v>
      </c>
      <c r="F883" s="28" t="str">
        <f t="shared" ca="1" si="41"/>
        <v/>
      </c>
    </row>
    <row r="884" spans="2:6" x14ac:dyDescent="0.2">
      <c r="B884" t="str">
        <f>IFERROR(IF('PDCA review'!$D$2=Do!B882,Do!G882,""),"")</f>
        <v/>
      </c>
      <c r="C884">
        <f t="shared" si="39"/>
        <v>0</v>
      </c>
      <c r="D884">
        <f>SUM($C$3:C884)</f>
        <v>4</v>
      </c>
      <c r="E884" t="e">
        <f t="shared" si="40"/>
        <v>#N/A</v>
      </c>
      <c r="F884" s="28" t="str">
        <f t="shared" ca="1" si="41"/>
        <v/>
      </c>
    </row>
    <row r="885" spans="2:6" x14ac:dyDescent="0.2">
      <c r="B885" t="str">
        <f>IFERROR(IF('PDCA review'!$D$2=Do!B883,Do!G883,""),"")</f>
        <v/>
      </c>
      <c r="C885">
        <f t="shared" si="39"/>
        <v>0</v>
      </c>
      <c r="D885">
        <f>SUM($C$3:C885)</f>
        <v>4</v>
      </c>
      <c r="E885" t="e">
        <f t="shared" si="40"/>
        <v>#N/A</v>
      </c>
      <c r="F885" s="28" t="str">
        <f t="shared" ca="1" si="41"/>
        <v/>
      </c>
    </row>
    <row r="886" spans="2:6" x14ac:dyDescent="0.2">
      <c r="B886" t="str">
        <f>IFERROR(IF('PDCA review'!$D$2=Do!B884,Do!G884,""),"")</f>
        <v/>
      </c>
      <c r="C886">
        <f t="shared" si="39"/>
        <v>0</v>
      </c>
      <c r="D886">
        <f>SUM($C$3:C886)</f>
        <v>4</v>
      </c>
      <c r="E886" t="e">
        <f t="shared" si="40"/>
        <v>#N/A</v>
      </c>
      <c r="F886" s="28" t="str">
        <f t="shared" ca="1" si="41"/>
        <v/>
      </c>
    </row>
    <row r="887" spans="2:6" x14ac:dyDescent="0.2">
      <c r="B887" t="str">
        <f>IFERROR(IF('PDCA review'!$D$2=Do!B885,Do!G885,""),"")</f>
        <v/>
      </c>
      <c r="C887">
        <f t="shared" si="39"/>
        <v>0</v>
      </c>
      <c r="D887">
        <f>SUM($C$3:C887)</f>
        <v>4</v>
      </c>
      <c r="E887" t="e">
        <f t="shared" si="40"/>
        <v>#N/A</v>
      </c>
      <c r="F887" s="28" t="str">
        <f t="shared" ca="1" si="41"/>
        <v/>
      </c>
    </row>
    <row r="888" spans="2:6" x14ac:dyDescent="0.2">
      <c r="B888" t="str">
        <f>IFERROR(IF('PDCA review'!$D$2=Do!B886,Do!G886,""),"")</f>
        <v/>
      </c>
      <c r="C888">
        <f t="shared" si="39"/>
        <v>0</v>
      </c>
      <c r="D888">
        <f>SUM($C$3:C888)</f>
        <v>4</v>
      </c>
      <c r="E888" t="e">
        <f t="shared" si="40"/>
        <v>#N/A</v>
      </c>
      <c r="F888" s="28" t="str">
        <f t="shared" ca="1" si="41"/>
        <v/>
      </c>
    </row>
    <row r="889" spans="2:6" x14ac:dyDescent="0.2">
      <c r="B889" t="str">
        <f>IFERROR(IF('PDCA review'!$D$2=Do!B887,Do!G887,""),"")</f>
        <v/>
      </c>
      <c r="C889">
        <f t="shared" si="39"/>
        <v>0</v>
      </c>
      <c r="D889">
        <f>SUM($C$3:C889)</f>
        <v>4</v>
      </c>
      <c r="E889" t="e">
        <f t="shared" si="40"/>
        <v>#N/A</v>
      </c>
      <c r="F889" s="28" t="str">
        <f t="shared" ca="1" si="41"/>
        <v/>
      </c>
    </row>
    <row r="890" spans="2:6" x14ac:dyDescent="0.2">
      <c r="B890" t="str">
        <f>IFERROR(IF('PDCA review'!$D$2=Do!B888,Do!G888,""),"")</f>
        <v/>
      </c>
      <c r="C890">
        <f t="shared" si="39"/>
        <v>0</v>
      </c>
      <c r="D890">
        <f>SUM($C$3:C890)</f>
        <v>4</v>
      </c>
      <c r="E890" t="e">
        <f t="shared" si="40"/>
        <v>#N/A</v>
      </c>
      <c r="F890" s="28" t="str">
        <f t="shared" ca="1" si="41"/>
        <v/>
      </c>
    </row>
    <row r="891" spans="2:6" x14ac:dyDescent="0.2">
      <c r="B891" t="str">
        <f>IFERROR(IF('PDCA review'!$D$2=Do!B889,Do!G889,""),"")</f>
        <v/>
      </c>
      <c r="C891">
        <f t="shared" si="39"/>
        <v>0</v>
      </c>
      <c r="D891">
        <f>SUM($C$3:C891)</f>
        <v>4</v>
      </c>
      <c r="E891" t="e">
        <f t="shared" si="40"/>
        <v>#N/A</v>
      </c>
      <c r="F891" s="28" t="str">
        <f t="shared" ca="1" si="41"/>
        <v/>
      </c>
    </row>
    <row r="892" spans="2:6" x14ac:dyDescent="0.2">
      <c r="B892" t="str">
        <f>IFERROR(IF('PDCA review'!$D$2=Do!B890,Do!G890,""),"")</f>
        <v/>
      </c>
      <c r="C892">
        <f t="shared" si="39"/>
        <v>0</v>
      </c>
      <c r="D892">
        <f>SUM($C$3:C892)</f>
        <v>4</v>
      </c>
      <c r="E892" t="e">
        <f t="shared" si="40"/>
        <v>#N/A</v>
      </c>
      <c r="F892" s="28" t="str">
        <f t="shared" ca="1" si="41"/>
        <v/>
      </c>
    </row>
    <row r="893" spans="2:6" x14ac:dyDescent="0.2">
      <c r="B893" t="str">
        <f>IFERROR(IF('PDCA review'!$D$2=Do!B891,Do!G891,""),"")</f>
        <v/>
      </c>
      <c r="C893">
        <f t="shared" si="39"/>
        <v>0</v>
      </c>
      <c r="D893">
        <f>SUM($C$3:C893)</f>
        <v>4</v>
      </c>
      <c r="E893" t="e">
        <f t="shared" si="40"/>
        <v>#N/A</v>
      </c>
      <c r="F893" s="28" t="str">
        <f t="shared" ca="1" si="41"/>
        <v/>
      </c>
    </row>
    <row r="894" spans="2:6" x14ac:dyDescent="0.2">
      <c r="B894" t="str">
        <f>IFERROR(IF('PDCA review'!$D$2=Do!B892,Do!G892,""),"")</f>
        <v/>
      </c>
      <c r="C894">
        <f t="shared" si="39"/>
        <v>0</v>
      </c>
      <c r="D894">
        <f>SUM($C$3:C894)</f>
        <v>4</v>
      </c>
      <c r="E894" t="e">
        <f t="shared" si="40"/>
        <v>#N/A</v>
      </c>
      <c r="F894" s="28" t="str">
        <f t="shared" ca="1" si="41"/>
        <v/>
      </c>
    </row>
    <row r="895" spans="2:6" x14ac:dyDescent="0.2">
      <c r="B895" t="str">
        <f>IFERROR(IF('PDCA review'!$D$2=Do!B893,Do!G893,""),"")</f>
        <v/>
      </c>
      <c r="C895">
        <f t="shared" si="39"/>
        <v>0</v>
      </c>
      <c r="D895">
        <f>SUM($C$3:C895)</f>
        <v>4</v>
      </c>
      <c r="E895" t="e">
        <f t="shared" si="40"/>
        <v>#N/A</v>
      </c>
      <c r="F895" s="28" t="str">
        <f t="shared" ca="1" si="41"/>
        <v/>
      </c>
    </row>
    <row r="896" spans="2:6" x14ac:dyDescent="0.2">
      <c r="B896" t="str">
        <f>IFERROR(IF('PDCA review'!$D$2=Do!B894,Do!G894,""),"")</f>
        <v/>
      </c>
      <c r="C896">
        <f t="shared" si="39"/>
        <v>0</v>
      </c>
      <c r="D896">
        <f>SUM($C$3:C896)</f>
        <v>4</v>
      </c>
      <c r="E896" t="e">
        <f t="shared" si="40"/>
        <v>#N/A</v>
      </c>
      <c r="F896" s="28" t="str">
        <f t="shared" ca="1" si="41"/>
        <v/>
      </c>
    </row>
    <row r="897" spans="2:6" x14ac:dyDescent="0.2">
      <c r="B897" t="str">
        <f>IFERROR(IF('PDCA review'!$D$2=Do!B895,Do!G895,""),"")</f>
        <v/>
      </c>
      <c r="C897">
        <f t="shared" si="39"/>
        <v>0</v>
      </c>
      <c r="D897">
        <f>SUM($C$3:C897)</f>
        <v>4</v>
      </c>
      <c r="E897" t="e">
        <f t="shared" si="40"/>
        <v>#N/A</v>
      </c>
      <c r="F897" s="28" t="str">
        <f t="shared" ca="1" si="41"/>
        <v/>
      </c>
    </row>
    <row r="898" spans="2:6" x14ac:dyDescent="0.2">
      <c r="B898" t="str">
        <f>IFERROR(IF('PDCA review'!$D$2=Do!B896,Do!G896,""),"")</f>
        <v/>
      </c>
      <c r="C898">
        <f t="shared" si="39"/>
        <v>0</v>
      </c>
      <c r="D898">
        <f>SUM($C$3:C898)</f>
        <v>4</v>
      </c>
      <c r="E898" t="e">
        <f t="shared" si="40"/>
        <v>#N/A</v>
      </c>
      <c r="F898" s="28" t="str">
        <f t="shared" ca="1" si="41"/>
        <v/>
      </c>
    </row>
    <row r="899" spans="2:6" x14ac:dyDescent="0.2">
      <c r="B899" t="str">
        <f>IFERROR(IF('PDCA review'!$D$2=Do!B897,Do!G897,""),"")</f>
        <v/>
      </c>
      <c r="C899">
        <f t="shared" si="39"/>
        <v>0</v>
      </c>
      <c r="D899">
        <f>SUM($C$3:C899)</f>
        <v>4</v>
      </c>
      <c r="E899" t="e">
        <f t="shared" si="40"/>
        <v>#N/A</v>
      </c>
      <c r="F899" s="28" t="str">
        <f t="shared" ca="1" si="41"/>
        <v/>
      </c>
    </row>
    <row r="900" spans="2:6" x14ac:dyDescent="0.2">
      <c r="B900" t="str">
        <f>IFERROR(IF('PDCA review'!$D$2=Do!B898,Do!G898,""),"")</f>
        <v/>
      </c>
      <c r="C900">
        <f t="shared" ref="C900:C963" si="42">IF(B900&lt;&gt;"",1,0)</f>
        <v>0</v>
      </c>
      <c r="D900">
        <f>SUM($C$3:C900)</f>
        <v>4</v>
      </c>
      <c r="E900" t="e">
        <f t="shared" ref="E900:E963" si="43">MATCH(ROW()-$D$2,$D$3:$D$2000,0)+$D$2</f>
        <v>#N/A</v>
      </c>
      <c r="F900" s="28" t="str">
        <f t="shared" ref="F900:F963" ca="1" si="44">IFERROR(INDIRECT("B"&amp;E900),"")</f>
        <v/>
      </c>
    </row>
    <row r="901" spans="2:6" x14ac:dyDescent="0.2">
      <c r="B901" t="str">
        <f>IFERROR(IF('PDCA review'!$D$2=Do!B899,Do!G899,""),"")</f>
        <v/>
      </c>
      <c r="C901">
        <f t="shared" si="42"/>
        <v>0</v>
      </c>
      <c r="D901">
        <f>SUM($C$3:C901)</f>
        <v>4</v>
      </c>
      <c r="E901" t="e">
        <f t="shared" si="43"/>
        <v>#N/A</v>
      </c>
      <c r="F901" s="28" t="str">
        <f t="shared" ca="1" si="44"/>
        <v/>
      </c>
    </row>
    <row r="902" spans="2:6" x14ac:dyDescent="0.2">
      <c r="B902" t="str">
        <f>IFERROR(IF('PDCA review'!$D$2=Do!B900,Do!G900,""),"")</f>
        <v/>
      </c>
      <c r="C902">
        <f t="shared" si="42"/>
        <v>0</v>
      </c>
      <c r="D902">
        <f>SUM($C$3:C902)</f>
        <v>4</v>
      </c>
      <c r="E902" t="e">
        <f t="shared" si="43"/>
        <v>#N/A</v>
      </c>
      <c r="F902" s="28" t="str">
        <f t="shared" ca="1" si="44"/>
        <v/>
      </c>
    </row>
    <row r="903" spans="2:6" x14ac:dyDescent="0.2">
      <c r="B903" t="str">
        <f>IFERROR(IF('PDCA review'!$D$2=Do!B901,Do!G901,""),"")</f>
        <v/>
      </c>
      <c r="C903">
        <f t="shared" si="42"/>
        <v>0</v>
      </c>
      <c r="D903">
        <f>SUM($C$3:C903)</f>
        <v>4</v>
      </c>
      <c r="E903" t="e">
        <f t="shared" si="43"/>
        <v>#N/A</v>
      </c>
      <c r="F903" s="28" t="str">
        <f t="shared" ca="1" si="44"/>
        <v/>
      </c>
    </row>
    <row r="904" spans="2:6" x14ac:dyDescent="0.2">
      <c r="B904" t="str">
        <f>IFERROR(IF('PDCA review'!$D$2=Do!B902,Do!G902,""),"")</f>
        <v/>
      </c>
      <c r="C904">
        <f t="shared" si="42"/>
        <v>0</v>
      </c>
      <c r="D904">
        <f>SUM($C$3:C904)</f>
        <v>4</v>
      </c>
      <c r="E904" t="e">
        <f t="shared" si="43"/>
        <v>#N/A</v>
      </c>
      <c r="F904" s="28" t="str">
        <f t="shared" ca="1" si="44"/>
        <v/>
      </c>
    </row>
    <row r="905" spans="2:6" x14ac:dyDescent="0.2">
      <c r="B905" t="str">
        <f>IFERROR(IF('PDCA review'!$D$2=Do!B903,Do!G903,""),"")</f>
        <v/>
      </c>
      <c r="C905">
        <f t="shared" si="42"/>
        <v>0</v>
      </c>
      <c r="D905">
        <f>SUM($C$3:C905)</f>
        <v>4</v>
      </c>
      <c r="E905" t="e">
        <f t="shared" si="43"/>
        <v>#N/A</v>
      </c>
      <c r="F905" s="28" t="str">
        <f t="shared" ca="1" si="44"/>
        <v/>
      </c>
    </row>
    <row r="906" spans="2:6" x14ac:dyDescent="0.2">
      <c r="B906" t="str">
        <f>IFERROR(IF('PDCA review'!$D$2=Do!B904,Do!G904,""),"")</f>
        <v/>
      </c>
      <c r="C906">
        <f t="shared" si="42"/>
        <v>0</v>
      </c>
      <c r="D906">
        <f>SUM($C$3:C906)</f>
        <v>4</v>
      </c>
      <c r="E906" t="e">
        <f t="shared" si="43"/>
        <v>#N/A</v>
      </c>
      <c r="F906" s="28" t="str">
        <f t="shared" ca="1" si="44"/>
        <v/>
      </c>
    </row>
    <row r="907" spans="2:6" x14ac:dyDescent="0.2">
      <c r="B907" t="str">
        <f>IFERROR(IF('PDCA review'!$D$2=Do!B905,Do!G905,""),"")</f>
        <v/>
      </c>
      <c r="C907">
        <f t="shared" si="42"/>
        <v>0</v>
      </c>
      <c r="D907">
        <f>SUM($C$3:C907)</f>
        <v>4</v>
      </c>
      <c r="E907" t="e">
        <f t="shared" si="43"/>
        <v>#N/A</v>
      </c>
      <c r="F907" s="28" t="str">
        <f t="shared" ca="1" si="44"/>
        <v/>
      </c>
    </row>
    <row r="908" spans="2:6" x14ac:dyDescent="0.2">
      <c r="B908" t="str">
        <f>IFERROR(IF('PDCA review'!$D$2=Do!B906,Do!G906,""),"")</f>
        <v/>
      </c>
      <c r="C908">
        <f t="shared" si="42"/>
        <v>0</v>
      </c>
      <c r="D908">
        <f>SUM($C$3:C908)</f>
        <v>4</v>
      </c>
      <c r="E908" t="e">
        <f t="shared" si="43"/>
        <v>#N/A</v>
      </c>
      <c r="F908" s="28" t="str">
        <f t="shared" ca="1" si="44"/>
        <v/>
      </c>
    </row>
    <row r="909" spans="2:6" x14ac:dyDescent="0.2">
      <c r="B909" t="str">
        <f>IFERROR(IF('PDCA review'!$D$2=Do!B907,Do!G907,""),"")</f>
        <v/>
      </c>
      <c r="C909">
        <f t="shared" si="42"/>
        <v>0</v>
      </c>
      <c r="D909">
        <f>SUM($C$3:C909)</f>
        <v>4</v>
      </c>
      <c r="E909" t="e">
        <f t="shared" si="43"/>
        <v>#N/A</v>
      </c>
      <c r="F909" s="28" t="str">
        <f t="shared" ca="1" si="44"/>
        <v/>
      </c>
    </row>
    <row r="910" spans="2:6" x14ac:dyDescent="0.2">
      <c r="B910" t="str">
        <f>IFERROR(IF('PDCA review'!$D$2=Do!B908,Do!G908,""),"")</f>
        <v/>
      </c>
      <c r="C910">
        <f t="shared" si="42"/>
        <v>0</v>
      </c>
      <c r="D910">
        <f>SUM($C$3:C910)</f>
        <v>4</v>
      </c>
      <c r="E910" t="e">
        <f t="shared" si="43"/>
        <v>#N/A</v>
      </c>
      <c r="F910" s="28" t="str">
        <f t="shared" ca="1" si="44"/>
        <v/>
      </c>
    </row>
    <row r="911" spans="2:6" x14ac:dyDescent="0.2">
      <c r="B911" t="str">
        <f>IFERROR(IF('PDCA review'!$D$2=Do!B909,Do!G909,""),"")</f>
        <v/>
      </c>
      <c r="C911">
        <f t="shared" si="42"/>
        <v>0</v>
      </c>
      <c r="D911">
        <f>SUM($C$3:C911)</f>
        <v>4</v>
      </c>
      <c r="E911" t="e">
        <f t="shared" si="43"/>
        <v>#N/A</v>
      </c>
      <c r="F911" s="28" t="str">
        <f t="shared" ca="1" si="44"/>
        <v/>
      </c>
    </row>
    <row r="912" spans="2:6" x14ac:dyDescent="0.2">
      <c r="B912" t="str">
        <f>IFERROR(IF('PDCA review'!$D$2=Do!B910,Do!G910,""),"")</f>
        <v/>
      </c>
      <c r="C912">
        <f t="shared" si="42"/>
        <v>0</v>
      </c>
      <c r="D912">
        <f>SUM($C$3:C912)</f>
        <v>4</v>
      </c>
      <c r="E912" t="e">
        <f t="shared" si="43"/>
        <v>#N/A</v>
      </c>
      <c r="F912" s="28" t="str">
        <f t="shared" ca="1" si="44"/>
        <v/>
      </c>
    </row>
    <row r="913" spans="2:6" x14ac:dyDescent="0.2">
      <c r="B913" t="str">
        <f>IFERROR(IF('PDCA review'!$D$2=Do!B911,Do!G911,""),"")</f>
        <v/>
      </c>
      <c r="C913">
        <f t="shared" si="42"/>
        <v>0</v>
      </c>
      <c r="D913">
        <f>SUM($C$3:C913)</f>
        <v>4</v>
      </c>
      <c r="E913" t="e">
        <f t="shared" si="43"/>
        <v>#N/A</v>
      </c>
      <c r="F913" s="28" t="str">
        <f t="shared" ca="1" si="44"/>
        <v/>
      </c>
    </row>
    <row r="914" spans="2:6" x14ac:dyDescent="0.2">
      <c r="B914" t="str">
        <f>IFERROR(IF('PDCA review'!$D$2=Do!B912,Do!G912,""),"")</f>
        <v/>
      </c>
      <c r="C914">
        <f t="shared" si="42"/>
        <v>0</v>
      </c>
      <c r="D914">
        <f>SUM($C$3:C914)</f>
        <v>4</v>
      </c>
      <c r="E914" t="e">
        <f t="shared" si="43"/>
        <v>#N/A</v>
      </c>
      <c r="F914" s="28" t="str">
        <f t="shared" ca="1" si="44"/>
        <v/>
      </c>
    </row>
    <row r="915" spans="2:6" x14ac:dyDescent="0.2">
      <c r="B915" t="str">
        <f>IFERROR(IF('PDCA review'!$D$2=Do!B913,Do!G913,""),"")</f>
        <v/>
      </c>
      <c r="C915">
        <f t="shared" si="42"/>
        <v>0</v>
      </c>
      <c r="D915">
        <f>SUM($C$3:C915)</f>
        <v>4</v>
      </c>
      <c r="E915" t="e">
        <f t="shared" si="43"/>
        <v>#N/A</v>
      </c>
      <c r="F915" s="28" t="str">
        <f t="shared" ca="1" si="44"/>
        <v/>
      </c>
    </row>
    <row r="916" spans="2:6" x14ac:dyDescent="0.2">
      <c r="B916" t="str">
        <f>IFERROR(IF('PDCA review'!$D$2=Do!B914,Do!G914,""),"")</f>
        <v/>
      </c>
      <c r="C916">
        <f t="shared" si="42"/>
        <v>0</v>
      </c>
      <c r="D916">
        <f>SUM($C$3:C916)</f>
        <v>4</v>
      </c>
      <c r="E916" t="e">
        <f t="shared" si="43"/>
        <v>#N/A</v>
      </c>
      <c r="F916" s="28" t="str">
        <f t="shared" ca="1" si="44"/>
        <v/>
      </c>
    </row>
    <row r="917" spans="2:6" x14ac:dyDescent="0.2">
      <c r="B917" t="str">
        <f>IFERROR(IF('PDCA review'!$D$2=Do!B915,Do!G915,""),"")</f>
        <v/>
      </c>
      <c r="C917">
        <f t="shared" si="42"/>
        <v>0</v>
      </c>
      <c r="D917">
        <f>SUM($C$3:C917)</f>
        <v>4</v>
      </c>
      <c r="E917" t="e">
        <f t="shared" si="43"/>
        <v>#N/A</v>
      </c>
      <c r="F917" s="28" t="str">
        <f t="shared" ca="1" si="44"/>
        <v/>
      </c>
    </row>
    <row r="918" spans="2:6" x14ac:dyDescent="0.2">
      <c r="B918" t="str">
        <f>IFERROR(IF('PDCA review'!$D$2=Do!B916,Do!G916,""),"")</f>
        <v/>
      </c>
      <c r="C918">
        <f t="shared" si="42"/>
        <v>0</v>
      </c>
      <c r="D918">
        <f>SUM($C$3:C918)</f>
        <v>4</v>
      </c>
      <c r="E918" t="e">
        <f t="shared" si="43"/>
        <v>#N/A</v>
      </c>
      <c r="F918" s="28" t="str">
        <f t="shared" ca="1" si="44"/>
        <v/>
      </c>
    </row>
    <row r="919" spans="2:6" x14ac:dyDescent="0.2">
      <c r="B919" t="str">
        <f>IFERROR(IF('PDCA review'!$D$2=Do!B917,Do!G917,""),"")</f>
        <v/>
      </c>
      <c r="C919">
        <f t="shared" si="42"/>
        <v>0</v>
      </c>
      <c r="D919">
        <f>SUM($C$3:C919)</f>
        <v>4</v>
      </c>
      <c r="E919" t="e">
        <f t="shared" si="43"/>
        <v>#N/A</v>
      </c>
      <c r="F919" s="28" t="str">
        <f t="shared" ca="1" si="44"/>
        <v/>
      </c>
    </row>
    <row r="920" spans="2:6" x14ac:dyDescent="0.2">
      <c r="B920" t="str">
        <f>IFERROR(IF('PDCA review'!$D$2=Do!B918,Do!G918,""),"")</f>
        <v/>
      </c>
      <c r="C920">
        <f t="shared" si="42"/>
        <v>0</v>
      </c>
      <c r="D920">
        <f>SUM($C$3:C920)</f>
        <v>4</v>
      </c>
      <c r="E920" t="e">
        <f t="shared" si="43"/>
        <v>#N/A</v>
      </c>
      <c r="F920" s="28" t="str">
        <f t="shared" ca="1" si="44"/>
        <v/>
      </c>
    </row>
    <row r="921" spans="2:6" x14ac:dyDescent="0.2">
      <c r="B921" t="str">
        <f>IFERROR(IF('PDCA review'!$D$2=Do!B919,Do!G919,""),"")</f>
        <v/>
      </c>
      <c r="C921">
        <f t="shared" si="42"/>
        <v>0</v>
      </c>
      <c r="D921">
        <f>SUM($C$3:C921)</f>
        <v>4</v>
      </c>
      <c r="E921" t="e">
        <f t="shared" si="43"/>
        <v>#N/A</v>
      </c>
      <c r="F921" s="28" t="str">
        <f t="shared" ca="1" si="44"/>
        <v/>
      </c>
    </row>
    <row r="922" spans="2:6" x14ac:dyDescent="0.2">
      <c r="B922" t="str">
        <f>IFERROR(IF('PDCA review'!$D$2=Do!B920,Do!G920,""),"")</f>
        <v/>
      </c>
      <c r="C922">
        <f t="shared" si="42"/>
        <v>0</v>
      </c>
      <c r="D922">
        <f>SUM($C$3:C922)</f>
        <v>4</v>
      </c>
      <c r="E922" t="e">
        <f t="shared" si="43"/>
        <v>#N/A</v>
      </c>
      <c r="F922" s="28" t="str">
        <f t="shared" ca="1" si="44"/>
        <v/>
      </c>
    </row>
    <row r="923" spans="2:6" x14ac:dyDescent="0.2">
      <c r="B923" t="str">
        <f>IFERROR(IF('PDCA review'!$D$2=Do!B921,Do!G921,""),"")</f>
        <v/>
      </c>
      <c r="C923">
        <f t="shared" si="42"/>
        <v>0</v>
      </c>
      <c r="D923">
        <f>SUM($C$3:C923)</f>
        <v>4</v>
      </c>
      <c r="E923" t="e">
        <f t="shared" si="43"/>
        <v>#N/A</v>
      </c>
      <c r="F923" s="28" t="str">
        <f t="shared" ca="1" si="44"/>
        <v/>
      </c>
    </row>
    <row r="924" spans="2:6" x14ac:dyDescent="0.2">
      <c r="B924" t="str">
        <f>IFERROR(IF('PDCA review'!$D$2=Do!B922,Do!G922,""),"")</f>
        <v/>
      </c>
      <c r="C924">
        <f t="shared" si="42"/>
        <v>0</v>
      </c>
      <c r="D924">
        <f>SUM($C$3:C924)</f>
        <v>4</v>
      </c>
      <c r="E924" t="e">
        <f t="shared" si="43"/>
        <v>#N/A</v>
      </c>
      <c r="F924" s="28" t="str">
        <f t="shared" ca="1" si="44"/>
        <v/>
      </c>
    </row>
    <row r="925" spans="2:6" x14ac:dyDescent="0.2">
      <c r="B925" t="str">
        <f>IFERROR(IF('PDCA review'!$D$2=Do!B923,Do!G923,""),"")</f>
        <v/>
      </c>
      <c r="C925">
        <f t="shared" si="42"/>
        <v>0</v>
      </c>
      <c r="D925">
        <f>SUM($C$3:C925)</f>
        <v>4</v>
      </c>
      <c r="E925" t="e">
        <f t="shared" si="43"/>
        <v>#N/A</v>
      </c>
      <c r="F925" s="28" t="str">
        <f t="shared" ca="1" si="44"/>
        <v/>
      </c>
    </row>
    <row r="926" spans="2:6" x14ac:dyDescent="0.2">
      <c r="B926" t="str">
        <f>IFERROR(IF('PDCA review'!$D$2=Do!B924,Do!G924,""),"")</f>
        <v/>
      </c>
      <c r="C926">
        <f t="shared" si="42"/>
        <v>0</v>
      </c>
      <c r="D926">
        <f>SUM($C$3:C926)</f>
        <v>4</v>
      </c>
      <c r="E926" t="e">
        <f t="shared" si="43"/>
        <v>#N/A</v>
      </c>
      <c r="F926" s="28" t="str">
        <f t="shared" ca="1" si="44"/>
        <v/>
      </c>
    </row>
    <row r="927" spans="2:6" x14ac:dyDescent="0.2">
      <c r="B927" t="str">
        <f>IFERROR(IF('PDCA review'!$D$2=Do!B925,Do!G925,""),"")</f>
        <v/>
      </c>
      <c r="C927">
        <f t="shared" si="42"/>
        <v>0</v>
      </c>
      <c r="D927">
        <f>SUM($C$3:C927)</f>
        <v>4</v>
      </c>
      <c r="E927" t="e">
        <f t="shared" si="43"/>
        <v>#N/A</v>
      </c>
      <c r="F927" s="28" t="str">
        <f t="shared" ca="1" si="44"/>
        <v/>
      </c>
    </row>
    <row r="928" spans="2:6" x14ac:dyDescent="0.2">
      <c r="B928" t="str">
        <f>IFERROR(IF('PDCA review'!$D$2=Do!B926,Do!G926,""),"")</f>
        <v/>
      </c>
      <c r="C928">
        <f t="shared" si="42"/>
        <v>0</v>
      </c>
      <c r="D928">
        <f>SUM($C$3:C928)</f>
        <v>4</v>
      </c>
      <c r="E928" t="e">
        <f t="shared" si="43"/>
        <v>#N/A</v>
      </c>
      <c r="F928" s="28" t="str">
        <f t="shared" ca="1" si="44"/>
        <v/>
      </c>
    </row>
    <row r="929" spans="2:6" x14ac:dyDescent="0.2">
      <c r="B929" t="str">
        <f>IFERROR(IF('PDCA review'!$D$2=Do!B927,Do!G927,""),"")</f>
        <v/>
      </c>
      <c r="C929">
        <f t="shared" si="42"/>
        <v>0</v>
      </c>
      <c r="D929">
        <f>SUM($C$3:C929)</f>
        <v>4</v>
      </c>
      <c r="E929" t="e">
        <f t="shared" si="43"/>
        <v>#N/A</v>
      </c>
      <c r="F929" s="28" t="str">
        <f t="shared" ca="1" si="44"/>
        <v/>
      </c>
    </row>
    <row r="930" spans="2:6" x14ac:dyDescent="0.2">
      <c r="B930" t="str">
        <f>IFERROR(IF('PDCA review'!$D$2=Do!B928,Do!G928,""),"")</f>
        <v/>
      </c>
      <c r="C930">
        <f t="shared" si="42"/>
        <v>0</v>
      </c>
      <c r="D930">
        <f>SUM($C$3:C930)</f>
        <v>4</v>
      </c>
      <c r="E930" t="e">
        <f t="shared" si="43"/>
        <v>#N/A</v>
      </c>
      <c r="F930" s="28" t="str">
        <f t="shared" ca="1" si="44"/>
        <v/>
      </c>
    </row>
    <row r="931" spans="2:6" x14ac:dyDescent="0.2">
      <c r="B931" t="str">
        <f>IFERROR(IF('PDCA review'!$D$2=Do!B929,Do!G929,""),"")</f>
        <v/>
      </c>
      <c r="C931">
        <f t="shared" si="42"/>
        <v>0</v>
      </c>
      <c r="D931">
        <f>SUM($C$3:C931)</f>
        <v>4</v>
      </c>
      <c r="E931" t="e">
        <f t="shared" si="43"/>
        <v>#N/A</v>
      </c>
      <c r="F931" s="28" t="str">
        <f t="shared" ca="1" si="44"/>
        <v/>
      </c>
    </row>
    <row r="932" spans="2:6" x14ac:dyDescent="0.2">
      <c r="B932" t="str">
        <f>IFERROR(IF('PDCA review'!$D$2=Do!B930,Do!G930,""),"")</f>
        <v/>
      </c>
      <c r="C932">
        <f t="shared" si="42"/>
        <v>0</v>
      </c>
      <c r="D932">
        <f>SUM($C$3:C932)</f>
        <v>4</v>
      </c>
      <c r="E932" t="e">
        <f t="shared" si="43"/>
        <v>#N/A</v>
      </c>
      <c r="F932" s="28" t="str">
        <f t="shared" ca="1" si="44"/>
        <v/>
      </c>
    </row>
    <row r="933" spans="2:6" x14ac:dyDescent="0.2">
      <c r="B933" t="str">
        <f>IFERROR(IF('PDCA review'!$D$2=Do!B931,Do!G931,""),"")</f>
        <v/>
      </c>
      <c r="C933">
        <f t="shared" si="42"/>
        <v>0</v>
      </c>
      <c r="D933">
        <f>SUM($C$3:C933)</f>
        <v>4</v>
      </c>
      <c r="E933" t="e">
        <f t="shared" si="43"/>
        <v>#N/A</v>
      </c>
      <c r="F933" s="28" t="str">
        <f t="shared" ca="1" si="44"/>
        <v/>
      </c>
    </row>
    <row r="934" spans="2:6" x14ac:dyDescent="0.2">
      <c r="B934" t="str">
        <f>IFERROR(IF('PDCA review'!$D$2=Do!B932,Do!G932,""),"")</f>
        <v/>
      </c>
      <c r="C934">
        <f t="shared" si="42"/>
        <v>0</v>
      </c>
      <c r="D934">
        <f>SUM($C$3:C934)</f>
        <v>4</v>
      </c>
      <c r="E934" t="e">
        <f t="shared" si="43"/>
        <v>#N/A</v>
      </c>
      <c r="F934" s="28" t="str">
        <f t="shared" ca="1" si="44"/>
        <v/>
      </c>
    </row>
    <row r="935" spans="2:6" x14ac:dyDescent="0.2">
      <c r="B935" t="str">
        <f>IFERROR(IF('PDCA review'!$D$2=Do!B933,Do!G933,""),"")</f>
        <v/>
      </c>
      <c r="C935">
        <f t="shared" si="42"/>
        <v>0</v>
      </c>
      <c r="D935">
        <f>SUM($C$3:C935)</f>
        <v>4</v>
      </c>
      <c r="E935" t="e">
        <f t="shared" si="43"/>
        <v>#N/A</v>
      </c>
      <c r="F935" s="28" t="str">
        <f t="shared" ca="1" si="44"/>
        <v/>
      </c>
    </row>
    <row r="936" spans="2:6" x14ac:dyDescent="0.2">
      <c r="B936" t="str">
        <f>IFERROR(IF('PDCA review'!$D$2=Do!B934,Do!G934,""),"")</f>
        <v/>
      </c>
      <c r="C936">
        <f t="shared" si="42"/>
        <v>0</v>
      </c>
      <c r="D936">
        <f>SUM($C$3:C936)</f>
        <v>4</v>
      </c>
      <c r="E936" t="e">
        <f t="shared" si="43"/>
        <v>#N/A</v>
      </c>
      <c r="F936" s="28" t="str">
        <f t="shared" ca="1" si="44"/>
        <v/>
      </c>
    </row>
    <row r="937" spans="2:6" x14ac:dyDescent="0.2">
      <c r="B937" t="str">
        <f>IFERROR(IF('PDCA review'!$D$2=Do!B935,Do!G935,""),"")</f>
        <v/>
      </c>
      <c r="C937">
        <f t="shared" si="42"/>
        <v>0</v>
      </c>
      <c r="D937">
        <f>SUM($C$3:C937)</f>
        <v>4</v>
      </c>
      <c r="E937" t="e">
        <f t="shared" si="43"/>
        <v>#N/A</v>
      </c>
      <c r="F937" s="28" t="str">
        <f t="shared" ca="1" si="44"/>
        <v/>
      </c>
    </row>
    <row r="938" spans="2:6" x14ac:dyDescent="0.2">
      <c r="B938" t="str">
        <f>IFERROR(IF('PDCA review'!$D$2=Do!B936,Do!G936,""),"")</f>
        <v/>
      </c>
      <c r="C938">
        <f t="shared" si="42"/>
        <v>0</v>
      </c>
      <c r="D938">
        <f>SUM($C$3:C938)</f>
        <v>4</v>
      </c>
      <c r="E938" t="e">
        <f t="shared" si="43"/>
        <v>#N/A</v>
      </c>
      <c r="F938" s="28" t="str">
        <f t="shared" ca="1" si="44"/>
        <v/>
      </c>
    </row>
    <row r="939" spans="2:6" x14ac:dyDescent="0.2">
      <c r="B939" t="str">
        <f>IFERROR(IF('PDCA review'!$D$2=Do!B937,Do!G937,""),"")</f>
        <v/>
      </c>
      <c r="C939">
        <f t="shared" si="42"/>
        <v>0</v>
      </c>
      <c r="D939">
        <f>SUM($C$3:C939)</f>
        <v>4</v>
      </c>
      <c r="E939" t="e">
        <f t="shared" si="43"/>
        <v>#N/A</v>
      </c>
      <c r="F939" s="28" t="str">
        <f t="shared" ca="1" si="44"/>
        <v/>
      </c>
    </row>
    <row r="940" spans="2:6" x14ac:dyDescent="0.2">
      <c r="B940" t="str">
        <f>IFERROR(IF('PDCA review'!$D$2=Do!B938,Do!G938,""),"")</f>
        <v/>
      </c>
      <c r="C940">
        <f t="shared" si="42"/>
        <v>0</v>
      </c>
      <c r="D940">
        <f>SUM($C$3:C940)</f>
        <v>4</v>
      </c>
      <c r="E940" t="e">
        <f t="shared" si="43"/>
        <v>#N/A</v>
      </c>
      <c r="F940" s="28" t="str">
        <f t="shared" ca="1" si="44"/>
        <v/>
      </c>
    </row>
    <row r="941" spans="2:6" x14ac:dyDescent="0.2">
      <c r="B941" t="str">
        <f>IFERROR(IF('PDCA review'!$D$2=Do!B939,Do!G939,""),"")</f>
        <v/>
      </c>
      <c r="C941">
        <f t="shared" si="42"/>
        <v>0</v>
      </c>
      <c r="D941">
        <f>SUM($C$3:C941)</f>
        <v>4</v>
      </c>
      <c r="E941" t="e">
        <f t="shared" si="43"/>
        <v>#N/A</v>
      </c>
      <c r="F941" s="28" t="str">
        <f t="shared" ca="1" si="44"/>
        <v/>
      </c>
    </row>
    <row r="942" spans="2:6" x14ac:dyDescent="0.2">
      <c r="B942" t="str">
        <f>IFERROR(IF('PDCA review'!$D$2=Do!B940,Do!G940,""),"")</f>
        <v/>
      </c>
      <c r="C942">
        <f t="shared" si="42"/>
        <v>0</v>
      </c>
      <c r="D942">
        <f>SUM($C$3:C942)</f>
        <v>4</v>
      </c>
      <c r="E942" t="e">
        <f t="shared" si="43"/>
        <v>#N/A</v>
      </c>
      <c r="F942" s="28" t="str">
        <f t="shared" ca="1" si="44"/>
        <v/>
      </c>
    </row>
    <row r="943" spans="2:6" x14ac:dyDescent="0.2">
      <c r="B943" t="str">
        <f>IFERROR(IF('PDCA review'!$D$2=Do!B941,Do!G941,""),"")</f>
        <v/>
      </c>
      <c r="C943">
        <f t="shared" si="42"/>
        <v>0</v>
      </c>
      <c r="D943">
        <f>SUM($C$3:C943)</f>
        <v>4</v>
      </c>
      <c r="E943" t="e">
        <f t="shared" si="43"/>
        <v>#N/A</v>
      </c>
      <c r="F943" s="28" t="str">
        <f t="shared" ca="1" si="44"/>
        <v/>
      </c>
    </row>
    <row r="944" spans="2:6" x14ac:dyDescent="0.2">
      <c r="B944" t="str">
        <f>IFERROR(IF('PDCA review'!$D$2=Do!B942,Do!G942,""),"")</f>
        <v/>
      </c>
      <c r="C944">
        <f t="shared" si="42"/>
        <v>0</v>
      </c>
      <c r="D944">
        <f>SUM($C$3:C944)</f>
        <v>4</v>
      </c>
      <c r="E944" t="e">
        <f t="shared" si="43"/>
        <v>#N/A</v>
      </c>
      <c r="F944" s="28" t="str">
        <f t="shared" ca="1" si="44"/>
        <v/>
      </c>
    </row>
    <row r="945" spans="2:6" x14ac:dyDescent="0.2">
      <c r="B945" t="str">
        <f>IFERROR(IF('PDCA review'!$D$2=Do!B943,Do!G943,""),"")</f>
        <v/>
      </c>
      <c r="C945">
        <f t="shared" si="42"/>
        <v>0</v>
      </c>
      <c r="D945">
        <f>SUM($C$3:C945)</f>
        <v>4</v>
      </c>
      <c r="E945" t="e">
        <f t="shared" si="43"/>
        <v>#N/A</v>
      </c>
      <c r="F945" s="28" t="str">
        <f t="shared" ca="1" si="44"/>
        <v/>
      </c>
    </row>
    <row r="946" spans="2:6" x14ac:dyDescent="0.2">
      <c r="B946" t="str">
        <f>IFERROR(IF('PDCA review'!$D$2=Do!B944,Do!G944,""),"")</f>
        <v/>
      </c>
      <c r="C946">
        <f t="shared" si="42"/>
        <v>0</v>
      </c>
      <c r="D946">
        <f>SUM($C$3:C946)</f>
        <v>4</v>
      </c>
      <c r="E946" t="e">
        <f t="shared" si="43"/>
        <v>#N/A</v>
      </c>
      <c r="F946" s="28" t="str">
        <f t="shared" ca="1" si="44"/>
        <v/>
      </c>
    </row>
    <row r="947" spans="2:6" x14ac:dyDescent="0.2">
      <c r="B947" t="str">
        <f>IFERROR(IF('PDCA review'!$D$2=Do!B945,Do!G945,""),"")</f>
        <v/>
      </c>
      <c r="C947">
        <f t="shared" si="42"/>
        <v>0</v>
      </c>
      <c r="D947">
        <f>SUM($C$3:C947)</f>
        <v>4</v>
      </c>
      <c r="E947" t="e">
        <f t="shared" si="43"/>
        <v>#N/A</v>
      </c>
      <c r="F947" s="28" t="str">
        <f t="shared" ca="1" si="44"/>
        <v/>
      </c>
    </row>
    <row r="948" spans="2:6" x14ac:dyDescent="0.2">
      <c r="B948" t="str">
        <f>IFERROR(IF('PDCA review'!$D$2=Do!B946,Do!G946,""),"")</f>
        <v/>
      </c>
      <c r="C948">
        <f t="shared" si="42"/>
        <v>0</v>
      </c>
      <c r="D948">
        <f>SUM($C$3:C948)</f>
        <v>4</v>
      </c>
      <c r="E948" t="e">
        <f t="shared" si="43"/>
        <v>#N/A</v>
      </c>
      <c r="F948" s="28" t="str">
        <f t="shared" ca="1" si="44"/>
        <v/>
      </c>
    </row>
    <row r="949" spans="2:6" x14ac:dyDescent="0.2">
      <c r="B949" t="str">
        <f>IFERROR(IF('PDCA review'!$D$2=Do!B947,Do!G947,""),"")</f>
        <v/>
      </c>
      <c r="C949">
        <f t="shared" si="42"/>
        <v>0</v>
      </c>
      <c r="D949">
        <f>SUM($C$3:C949)</f>
        <v>4</v>
      </c>
      <c r="E949" t="e">
        <f t="shared" si="43"/>
        <v>#N/A</v>
      </c>
      <c r="F949" s="28" t="str">
        <f t="shared" ca="1" si="44"/>
        <v/>
      </c>
    </row>
    <row r="950" spans="2:6" x14ac:dyDescent="0.2">
      <c r="B950" t="str">
        <f>IFERROR(IF('PDCA review'!$D$2=Do!B948,Do!G948,""),"")</f>
        <v/>
      </c>
      <c r="C950">
        <f t="shared" si="42"/>
        <v>0</v>
      </c>
      <c r="D950">
        <f>SUM($C$3:C950)</f>
        <v>4</v>
      </c>
      <c r="E950" t="e">
        <f t="shared" si="43"/>
        <v>#N/A</v>
      </c>
      <c r="F950" s="28" t="str">
        <f t="shared" ca="1" si="44"/>
        <v/>
      </c>
    </row>
    <row r="951" spans="2:6" x14ac:dyDescent="0.2">
      <c r="B951" t="str">
        <f>IFERROR(IF('PDCA review'!$D$2=Do!B949,Do!G949,""),"")</f>
        <v/>
      </c>
      <c r="C951">
        <f t="shared" si="42"/>
        <v>0</v>
      </c>
      <c r="D951">
        <f>SUM($C$3:C951)</f>
        <v>4</v>
      </c>
      <c r="E951" t="e">
        <f t="shared" si="43"/>
        <v>#N/A</v>
      </c>
      <c r="F951" s="28" t="str">
        <f t="shared" ca="1" si="44"/>
        <v/>
      </c>
    </row>
    <row r="952" spans="2:6" x14ac:dyDescent="0.2">
      <c r="B952" t="str">
        <f>IFERROR(IF('PDCA review'!$D$2=Do!B950,Do!G950,""),"")</f>
        <v/>
      </c>
      <c r="C952">
        <f t="shared" si="42"/>
        <v>0</v>
      </c>
      <c r="D952">
        <f>SUM($C$3:C952)</f>
        <v>4</v>
      </c>
      <c r="E952" t="e">
        <f t="shared" si="43"/>
        <v>#N/A</v>
      </c>
      <c r="F952" s="28" t="str">
        <f t="shared" ca="1" si="44"/>
        <v/>
      </c>
    </row>
    <row r="953" spans="2:6" x14ac:dyDescent="0.2">
      <c r="B953" t="str">
        <f>IFERROR(IF('PDCA review'!$D$2=Do!B951,Do!G951,""),"")</f>
        <v/>
      </c>
      <c r="C953">
        <f t="shared" si="42"/>
        <v>0</v>
      </c>
      <c r="D953">
        <f>SUM($C$3:C953)</f>
        <v>4</v>
      </c>
      <c r="E953" t="e">
        <f t="shared" si="43"/>
        <v>#N/A</v>
      </c>
      <c r="F953" s="28" t="str">
        <f t="shared" ca="1" si="44"/>
        <v/>
      </c>
    </row>
    <row r="954" spans="2:6" x14ac:dyDescent="0.2">
      <c r="B954" t="str">
        <f>IFERROR(IF('PDCA review'!$D$2=Do!B952,Do!G952,""),"")</f>
        <v/>
      </c>
      <c r="C954">
        <f t="shared" si="42"/>
        <v>0</v>
      </c>
      <c r="D954">
        <f>SUM($C$3:C954)</f>
        <v>4</v>
      </c>
      <c r="E954" t="e">
        <f t="shared" si="43"/>
        <v>#N/A</v>
      </c>
      <c r="F954" s="28" t="str">
        <f t="shared" ca="1" si="44"/>
        <v/>
      </c>
    </row>
    <row r="955" spans="2:6" x14ac:dyDescent="0.2">
      <c r="B955" t="str">
        <f>IFERROR(IF('PDCA review'!$D$2=Do!B953,Do!G953,""),"")</f>
        <v/>
      </c>
      <c r="C955">
        <f t="shared" si="42"/>
        <v>0</v>
      </c>
      <c r="D955">
        <f>SUM($C$3:C955)</f>
        <v>4</v>
      </c>
      <c r="E955" t="e">
        <f t="shared" si="43"/>
        <v>#N/A</v>
      </c>
      <c r="F955" s="28" t="str">
        <f t="shared" ca="1" si="44"/>
        <v/>
      </c>
    </row>
    <row r="956" spans="2:6" x14ac:dyDescent="0.2">
      <c r="B956" t="str">
        <f>IFERROR(IF('PDCA review'!$D$2=Do!B954,Do!G954,""),"")</f>
        <v/>
      </c>
      <c r="C956">
        <f t="shared" si="42"/>
        <v>0</v>
      </c>
      <c r="D956">
        <f>SUM($C$3:C956)</f>
        <v>4</v>
      </c>
      <c r="E956" t="e">
        <f t="shared" si="43"/>
        <v>#N/A</v>
      </c>
      <c r="F956" s="28" t="str">
        <f t="shared" ca="1" si="44"/>
        <v/>
      </c>
    </row>
    <row r="957" spans="2:6" x14ac:dyDescent="0.2">
      <c r="B957" t="str">
        <f>IFERROR(IF('PDCA review'!$D$2=Do!B955,Do!G955,""),"")</f>
        <v/>
      </c>
      <c r="C957">
        <f t="shared" si="42"/>
        <v>0</v>
      </c>
      <c r="D957">
        <f>SUM($C$3:C957)</f>
        <v>4</v>
      </c>
      <c r="E957" t="e">
        <f t="shared" si="43"/>
        <v>#N/A</v>
      </c>
      <c r="F957" s="28" t="str">
        <f t="shared" ca="1" si="44"/>
        <v/>
      </c>
    </row>
    <row r="958" spans="2:6" x14ac:dyDescent="0.2">
      <c r="B958" t="str">
        <f>IFERROR(IF('PDCA review'!$D$2=Do!B956,Do!G956,""),"")</f>
        <v/>
      </c>
      <c r="C958">
        <f t="shared" si="42"/>
        <v>0</v>
      </c>
      <c r="D958">
        <f>SUM($C$3:C958)</f>
        <v>4</v>
      </c>
      <c r="E958" t="e">
        <f t="shared" si="43"/>
        <v>#N/A</v>
      </c>
      <c r="F958" s="28" t="str">
        <f t="shared" ca="1" si="44"/>
        <v/>
      </c>
    </row>
    <row r="959" spans="2:6" x14ac:dyDescent="0.2">
      <c r="B959" t="str">
        <f>IFERROR(IF('PDCA review'!$D$2=Do!B957,Do!G957,""),"")</f>
        <v/>
      </c>
      <c r="C959">
        <f t="shared" si="42"/>
        <v>0</v>
      </c>
      <c r="D959">
        <f>SUM($C$3:C959)</f>
        <v>4</v>
      </c>
      <c r="E959" t="e">
        <f t="shared" si="43"/>
        <v>#N/A</v>
      </c>
      <c r="F959" s="28" t="str">
        <f t="shared" ca="1" si="44"/>
        <v/>
      </c>
    </row>
    <row r="960" spans="2:6" x14ac:dyDescent="0.2">
      <c r="B960" t="str">
        <f>IFERROR(IF('PDCA review'!$D$2=Do!B958,Do!G958,""),"")</f>
        <v/>
      </c>
      <c r="C960">
        <f t="shared" si="42"/>
        <v>0</v>
      </c>
      <c r="D960">
        <f>SUM($C$3:C960)</f>
        <v>4</v>
      </c>
      <c r="E960" t="e">
        <f t="shared" si="43"/>
        <v>#N/A</v>
      </c>
      <c r="F960" s="28" t="str">
        <f t="shared" ca="1" si="44"/>
        <v/>
      </c>
    </row>
    <row r="961" spans="2:6" x14ac:dyDescent="0.2">
      <c r="B961" t="str">
        <f>IFERROR(IF('PDCA review'!$D$2=Do!B959,Do!G959,""),"")</f>
        <v/>
      </c>
      <c r="C961">
        <f t="shared" si="42"/>
        <v>0</v>
      </c>
      <c r="D961">
        <f>SUM($C$3:C961)</f>
        <v>4</v>
      </c>
      <c r="E961" t="e">
        <f t="shared" si="43"/>
        <v>#N/A</v>
      </c>
      <c r="F961" s="28" t="str">
        <f t="shared" ca="1" si="44"/>
        <v/>
      </c>
    </row>
    <row r="962" spans="2:6" x14ac:dyDescent="0.2">
      <c r="B962" t="str">
        <f>IFERROR(IF('PDCA review'!$D$2=Do!B960,Do!G960,""),"")</f>
        <v/>
      </c>
      <c r="C962">
        <f t="shared" si="42"/>
        <v>0</v>
      </c>
      <c r="D962">
        <f>SUM($C$3:C962)</f>
        <v>4</v>
      </c>
      <c r="E962" t="e">
        <f t="shared" si="43"/>
        <v>#N/A</v>
      </c>
      <c r="F962" s="28" t="str">
        <f t="shared" ca="1" si="44"/>
        <v/>
      </c>
    </row>
    <row r="963" spans="2:6" x14ac:dyDescent="0.2">
      <c r="B963" t="str">
        <f>IFERROR(IF('PDCA review'!$D$2=Do!B961,Do!G961,""),"")</f>
        <v/>
      </c>
      <c r="C963">
        <f t="shared" si="42"/>
        <v>0</v>
      </c>
      <c r="D963">
        <f>SUM($C$3:C963)</f>
        <v>4</v>
      </c>
      <c r="E963" t="e">
        <f t="shared" si="43"/>
        <v>#N/A</v>
      </c>
      <c r="F963" s="28" t="str">
        <f t="shared" ca="1" si="44"/>
        <v/>
      </c>
    </row>
    <row r="964" spans="2:6" x14ac:dyDescent="0.2">
      <c r="B964" t="str">
        <f>IFERROR(IF('PDCA review'!$D$2=Do!B962,Do!G962,""),"")</f>
        <v/>
      </c>
      <c r="C964">
        <f t="shared" ref="C964:C1027" si="45">IF(B964&lt;&gt;"",1,0)</f>
        <v>0</v>
      </c>
      <c r="D964">
        <f>SUM($C$3:C964)</f>
        <v>4</v>
      </c>
      <c r="E964" t="e">
        <f t="shared" ref="E964:E1027" si="46">MATCH(ROW()-$D$2,$D$3:$D$2000,0)+$D$2</f>
        <v>#N/A</v>
      </c>
      <c r="F964" s="28" t="str">
        <f t="shared" ref="F964:F1027" ca="1" si="47">IFERROR(INDIRECT("B"&amp;E964),"")</f>
        <v/>
      </c>
    </row>
    <row r="965" spans="2:6" x14ac:dyDescent="0.2">
      <c r="B965" t="str">
        <f>IFERROR(IF('PDCA review'!$D$2=Do!B963,Do!G963,""),"")</f>
        <v/>
      </c>
      <c r="C965">
        <f t="shared" si="45"/>
        <v>0</v>
      </c>
      <c r="D965">
        <f>SUM($C$3:C965)</f>
        <v>4</v>
      </c>
      <c r="E965" t="e">
        <f t="shared" si="46"/>
        <v>#N/A</v>
      </c>
      <c r="F965" s="28" t="str">
        <f t="shared" ca="1" si="47"/>
        <v/>
      </c>
    </row>
    <row r="966" spans="2:6" x14ac:dyDescent="0.2">
      <c r="B966" t="str">
        <f>IFERROR(IF('PDCA review'!$D$2=Do!B964,Do!G964,""),"")</f>
        <v/>
      </c>
      <c r="C966">
        <f t="shared" si="45"/>
        <v>0</v>
      </c>
      <c r="D966">
        <f>SUM($C$3:C966)</f>
        <v>4</v>
      </c>
      <c r="E966" t="e">
        <f t="shared" si="46"/>
        <v>#N/A</v>
      </c>
      <c r="F966" s="28" t="str">
        <f t="shared" ca="1" si="47"/>
        <v/>
      </c>
    </row>
    <row r="967" spans="2:6" x14ac:dyDescent="0.2">
      <c r="B967" t="str">
        <f>IFERROR(IF('PDCA review'!$D$2=Do!B965,Do!G965,""),"")</f>
        <v/>
      </c>
      <c r="C967">
        <f t="shared" si="45"/>
        <v>0</v>
      </c>
      <c r="D967">
        <f>SUM($C$3:C967)</f>
        <v>4</v>
      </c>
      <c r="E967" t="e">
        <f t="shared" si="46"/>
        <v>#N/A</v>
      </c>
      <c r="F967" s="28" t="str">
        <f t="shared" ca="1" si="47"/>
        <v/>
      </c>
    </row>
    <row r="968" spans="2:6" x14ac:dyDescent="0.2">
      <c r="B968" t="str">
        <f>IFERROR(IF('PDCA review'!$D$2=Do!B966,Do!G966,""),"")</f>
        <v/>
      </c>
      <c r="C968">
        <f t="shared" si="45"/>
        <v>0</v>
      </c>
      <c r="D968">
        <f>SUM($C$3:C968)</f>
        <v>4</v>
      </c>
      <c r="E968" t="e">
        <f t="shared" si="46"/>
        <v>#N/A</v>
      </c>
      <c r="F968" s="28" t="str">
        <f t="shared" ca="1" si="47"/>
        <v/>
      </c>
    </row>
    <row r="969" spans="2:6" x14ac:dyDescent="0.2">
      <c r="B969" t="str">
        <f>IFERROR(IF('PDCA review'!$D$2=Do!B967,Do!G967,""),"")</f>
        <v/>
      </c>
      <c r="C969">
        <f t="shared" si="45"/>
        <v>0</v>
      </c>
      <c r="D969">
        <f>SUM($C$3:C969)</f>
        <v>4</v>
      </c>
      <c r="E969" t="e">
        <f t="shared" si="46"/>
        <v>#N/A</v>
      </c>
      <c r="F969" s="28" t="str">
        <f t="shared" ca="1" si="47"/>
        <v/>
      </c>
    </row>
    <row r="970" spans="2:6" x14ac:dyDescent="0.2">
      <c r="B970" t="str">
        <f>IFERROR(IF('PDCA review'!$D$2=Do!B968,Do!G968,""),"")</f>
        <v/>
      </c>
      <c r="C970">
        <f t="shared" si="45"/>
        <v>0</v>
      </c>
      <c r="D970">
        <f>SUM($C$3:C970)</f>
        <v>4</v>
      </c>
      <c r="E970" t="e">
        <f t="shared" si="46"/>
        <v>#N/A</v>
      </c>
      <c r="F970" s="28" t="str">
        <f t="shared" ca="1" si="47"/>
        <v/>
      </c>
    </row>
    <row r="971" spans="2:6" x14ac:dyDescent="0.2">
      <c r="B971" t="str">
        <f>IFERROR(IF('PDCA review'!$D$2=Do!B969,Do!G969,""),"")</f>
        <v/>
      </c>
      <c r="C971">
        <f t="shared" si="45"/>
        <v>0</v>
      </c>
      <c r="D971">
        <f>SUM($C$3:C971)</f>
        <v>4</v>
      </c>
      <c r="E971" t="e">
        <f t="shared" si="46"/>
        <v>#N/A</v>
      </c>
      <c r="F971" s="28" t="str">
        <f t="shared" ca="1" si="47"/>
        <v/>
      </c>
    </row>
    <row r="972" spans="2:6" x14ac:dyDescent="0.2">
      <c r="B972" t="str">
        <f>IFERROR(IF('PDCA review'!$D$2=Do!B970,Do!G970,""),"")</f>
        <v/>
      </c>
      <c r="C972">
        <f t="shared" si="45"/>
        <v>0</v>
      </c>
      <c r="D972">
        <f>SUM($C$3:C972)</f>
        <v>4</v>
      </c>
      <c r="E972" t="e">
        <f t="shared" si="46"/>
        <v>#N/A</v>
      </c>
      <c r="F972" s="28" t="str">
        <f t="shared" ca="1" si="47"/>
        <v/>
      </c>
    </row>
    <row r="973" spans="2:6" x14ac:dyDescent="0.2">
      <c r="B973" t="str">
        <f>IFERROR(IF('PDCA review'!$D$2=Do!B971,Do!G971,""),"")</f>
        <v/>
      </c>
      <c r="C973">
        <f t="shared" si="45"/>
        <v>0</v>
      </c>
      <c r="D973">
        <f>SUM($C$3:C973)</f>
        <v>4</v>
      </c>
      <c r="E973" t="e">
        <f t="shared" si="46"/>
        <v>#N/A</v>
      </c>
      <c r="F973" s="28" t="str">
        <f t="shared" ca="1" si="47"/>
        <v/>
      </c>
    </row>
    <row r="974" spans="2:6" x14ac:dyDescent="0.2">
      <c r="B974" t="str">
        <f>IFERROR(IF('PDCA review'!$D$2=Do!B972,Do!G972,""),"")</f>
        <v/>
      </c>
      <c r="C974">
        <f t="shared" si="45"/>
        <v>0</v>
      </c>
      <c r="D974">
        <f>SUM($C$3:C974)</f>
        <v>4</v>
      </c>
      <c r="E974" t="e">
        <f t="shared" si="46"/>
        <v>#N/A</v>
      </c>
      <c r="F974" s="28" t="str">
        <f t="shared" ca="1" si="47"/>
        <v/>
      </c>
    </row>
    <row r="975" spans="2:6" x14ac:dyDescent="0.2">
      <c r="B975" t="str">
        <f>IFERROR(IF('PDCA review'!$D$2=Do!B973,Do!G973,""),"")</f>
        <v/>
      </c>
      <c r="C975">
        <f t="shared" si="45"/>
        <v>0</v>
      </c>
      <c r="D975">
        <f>SUM($C$3:C975)</f>
        <v>4</v>
      </c>
      <c r="E975" t="e">
        <f t="shared" si="46"/>
        <v>#N/A</v>
      </c>
      <c r="F975" s="28" t="str">
        <f t="shared" ca="1" si="47"/>
        <v/>
      </c>
    </row>
    <row r="976" spans="2:6" x14ac:dyDescent="0.2">
      <c r="B976" t="str">
        <f>IFERROR(IF('PDCA review'!$D$2=Do!B974,Do!G974,""),"")</f>
        <v/>
      </c>
      <c r="C976">
        <f t="shared" si="45"/>
        <v>0</v>
      </c>
      <c r="D976">
        <f>SUM($C$3:C976)</f>
        <v>4</v>
      </c>
      <c r="E976" t="e">
        <f t="shared" si="46"/>
        <v>#N/A</v>
      </c>
      <c r="F976" s="28" t="str">
        <f t="shared" ca="1" si="47"/>
        <v/>
      </c>
    </row>
    <row r="977" spans="2:6" x14ac:dyDescent="0.2">
      <c r="B977" t="str">
        <f>IFERROR(IF('PDCA review'!$D$2=Do!B975,Do!G975,""),"")</f>
        <v/>
      </c>
      <c r="C977">
        <f t="shared" si="45"/>
        <v>0</v>
      </c>
      <c r="D977">
        <f>SUM($C$3:C977)</f>
        <v>4</v>
      </c>
      <c r="E977" t="e">
        <f t="shared" si="46"/>
        <v>#N/A</v>
      </c>
      <c r="F977" s="28" t="str">
        <f t="shared" ca="1" si="47"/>
        <v/>
      </c>
    </row>
    <row r="978" spans="2:6" x14ac:dyDescent="0.2">
      <c r="B978" t="str">
        <f>IFERROR(IF('PDCA review'!$D$2=Do!B976,Do!G976,""),"")</f>
        <v/>
      </c>
      <c r="C978">
        <f t="shared" si="45"/>
        <v>0</v>
      </c>
      <c r="D978">
        <f>SUM($C$3:C978)</f>
        <v>4</v>
      </c>
      <c r="E978" t="e">
        <f t="shared" si="46"/>
        <v>#N/A</v>
      </c>
      <c r="F978" s="28" t="str">
        <f t="shared" ca="1" si="47"/>
        <v/>
      </c>
    </row>
    <row r="979" spans="2:6" x14ac:dyDescent="0.2">
      <c r="B979" t="str">
        <f>IFERROR(IF('PDCA review'!$D$2=Do!B977,Do!G977,""),"")</f>
        <v/>
      </c>
      <c r="C979">
        <f t="shared" si="45"/>
        <v>0</v>
      </c>
      <c r="D979">
        <f>SUM($C$3:C979)</f>
        <v>4</v>
      </c>
      <c r="E979" t="e">
        <f t="shared" si="46"/>
        <v>#N/A</v>
      </c>
      <c r="F979" s="28" t="str">
        <f t="shared" ca="1" si="47"/>
        <v/>
      </c>
    </row>
    <row r="980" spans="2:6" x14ac:dyDescent="0.2">
      <c r="B980" t="str">
        <f>IFERROR(IF('PDCA review'!$D$2=Do!B978,Do!G978,""),"")</f>
        <v/>
      </c>
      <c r="C980">
        <f t="shared" si="45"/>
        <v>0</v>
      </c>
      <c r="D980">
        <f>SUM($C$3:C980)</f>
        <v>4</v>
      </c>
      <c r="E980" t="e">
        <f t="shared" si="46"/>
        <v>#N/A</v>
      </c>
      <c r="F980" s="28" t="str">
        <f t="shared" ca="1" si="47"/>
        <v/>
      </c>
    </row>
    <row r="981" spans="2:6" x14ac:dyDescent="0.2">
      <c r="B981" t="str">
        <f>IFERROR(IF('PDCA review'!$D$2=Do!B979,Do!G979,""),"")</f>
        <v/>
      </c>
      <c r="C981">
        <f t="shared" si="45"/>
        <v>0</v>
      </c>
      <c r="D981">
        <f>SUM($C$3:C981)</f>
        <v>4</v>
      </c>
      <c r="E981" t="e">
        <f t="shared" si="46"/>
        <v>#N/A</v>
      </c>
      <c r="F981" s="28" t="str">
        <f t="shared" ca="1" si="47"/>
        <v/>
      </c>
    </row>
    <row r="982" spans="2:6" x14ac:dyDescent="0.2">
      <c r="B982" t="str">
        <f>IFERROR(IF('PDCA review'!$D$2=Do!B980,Do!G980,""),"")</f>
        <v/>
      </c>
      <c r="C982">
        <f t="shared" si="45"/>
        <v>0</v>
      </c>
      <c r="D982">
        <f>SUM($C$3:C982)</f>
        <v>4</v>
      </c>
      <c r="E982" t="e">
        <f t="shared" si="46"/>
        <v>#N/A</v>
      </c>
      <c r="F982" s="28" t="str">
        <f t="shared" ca="1" si="47"/>
        <v/>
      </c>
    </row>
    <row r="983" spans="2:6" x14ac:dyDescent="0.2">
      <c r="B983" t="str">
        <f>IFERROR(IF('PDCA review'!$D$2=Do!B981,Do!G981,""),"")</f>
        <v/>
      </c>
      <c r="C983">
        <f t="shared" si="45"/>
        <v>0</v>
      </c>
      <c r="D983">
        <f>SUM($C$3:C983)</f>
        <v>4</v>
      </c>
      <c r="E983" t="e">
        <f t="shared" si="46"/>
        <v>#N/A</v>
      </c>
      <c r="F983" s="28" t="str">
        <f t="shared" ca="1" si="47"/>
        <v/>
      </c>
    </row>
    <row r="984" spans="2:6" x14ac:dyDescent="0.2">
      <c r="B984" t="str">
        <f>IFERROR(IF('PDCA review'!$D$2=Do!B982,Do!G982,""),"")</f>
        <v/>
      </c>
      <c r="C984">
        <f t="shared" si="45"/>
        <v>0</v>
      </c>
      <c r="D984">
        <f>SUM($C$3:C984)</f>
        <v>4</v>
      </c>
      <c r="E984" t="e">
        <f t="shared" si="46"/>
        <v>#N/A</v>
      </c>
      <c r="F984" s="28" t="str">
        <f t="shared" ca="1" si="47"/>
        <v/>
      </c>
    </row>
    <row r="985" spans="2:6" x14ac:dyDescent="0.2">
      <c r="B985" t="str">
        <f>IFERROR(IF('PDCA review'!$D$2=Do!B983,Do!G983,""),"")</f>
        <v/>
      </c>
      <c r="C985">
        <f t="shared" si="45"/>
        <v>0</v>
      </c>
      <c r="D985">
        <f>SUM($C$3:C985)</f>
        <v>4</v>
      </c>
      <c r="E985" t="e">
        <f t="shared" si="46"/>
        <v>#N/A</v>
      </c>
      <c r="F985" s="28" t="str">
        <f t="shared" ca="1" si="47"/>
        <v/>
      </c>
    </row>
    <row r="986" spans="2:6" x14ac:dyDescent="0.2">
      <c r="B986" t="str">
        <f>IFERROR(IF('PDCA review'!$D$2=Do!B984,Do!G984,""),"")</f>
        <v/>
      </c>
      <c r="C986">
        <f t="shared" si="45"/>
        <v>0</v>
      </c>
      <c r="D986">
        <f>SUM($C$3:C986)</f>
        <v>4</v>
      </c>
      <c r="E986" t="e">
        <f t="shared" si="46"/>
        <v>#N/A</v>
      </c>
      <c r="F986" s="28" t="str">
        <f t="shared" ca="1" si="47"/>
        <v/>
      </c>
    </row>
    <row r="987" spans="2:6" x14ac:dyDescent="0.2">
      <c r="B987" t="str">
        <f>IFERROR(IF('PDCA review'!$D$2=Do!B985,Do!G985,""),"")</f>
        <v/>
      </c>
      <c r="C987">
        <f t="shared" si="45"/>
        <v>0</v>
      </c>
      <c r="D987">
        <f>SUM($C$3:C987)</f>
        <v>4</v>
      </c>
      <c r="E987" t="e">
        <f t="shared" si="46"/>
        <v>#N/A</v>
      </c>
      <c r="F987" s="28" t="str">
        <f t="shared" ca="1" si="47"/>
        <v/>
      </c>
    </row>
    <row r="988" spans="2:6" x14ac:dyDescent="0.2">
      <c r="B988" t="str">
        <f>IFERROR(IF('PDCA review'!$D$2=Do!B986,Do!G986,""),"")</f>
        <v/>
      </c>
      <c r="C988">
        <f t="shared" si="45"/>
        <v>0</v>
      </c>
      <c r="D988">
        <f>SUM($C$3:C988)</f>
        <v>4</v>
      </c>
      <c r="E988" t="e">
        <f t="shared" si="46"/>
        <v>#N/A</v>
      </c>
      <c r="F988" s="28" t="str">
        <f t="shared" ca="1" si="47"/>
        <v/>
      </c>
    </row>
    <row r="989" spans="2:6" x14ac:dyDescent="0.2">
      <c r="B989" t="str">
        <f>IFERROR(IF('PDCA review'!$D$2=Do!B987,Do!G987,""),"")</f>
        <v/>
      </c>
      <c r="C989">
        <f t="shared" si="45"/>
        <v>0</v>
      </c>
      <c r="D989">
        <f>SUM($C$3:C989)</f>
        <v>4</v>
      </c>
      <c r="E989" t="e">
        <f t="shared" si="46"/>
        <v>#N/A</v>
      </c>
      <c r="F989" s="28" t="str">
        <f t="shared" ca="1" si="47"/>
        <v/>
      </c>
    </row>
    <row r="990" spans="2:6" x14ac:dyDescent="0.2">
      <c r="B990" t="str">
        <f>IFERROR(IF('PDCA review'!$D$2=Do!B988,Do!G988,""),"")</f>
        <v/>
      </c>
      <c r="C990">
        <f t="shared" si="45"/>
        <v>0</v>
      </c>
      <c r="D990">
        <f>SUM($C$3:C990)</f>
        <v>4</v>
      </c>
      <c r="E990" t="e">
        <f t="shared" si="46"/>
        <v>#N/A</v>
      </c>
      <c r="F990" s="28" t="str">
        <f t="shared" ca="1" si="47"/>
        <v/>
      </c>
    </row>
    <row r="991" spans="2:6" x14ac:dyDescent="0.2">
      <c r="B991" t="str">
        <f>IFERROR(IF('PDCA review'!$D$2=Do!B989,Do!G989,""),"")</f>
        <v/>
      </c>
      <c r="C991">
        <f t="shared" si="45"/>
        <v>0</v>
      </c>
      <c r="D991">
        <f>SUM($C$3:C991)</f>
        <v>4</v>
      </c>
      <c r="E991" t="e">
        <f t="shared" si="46"/>
        <v>#N/A</v>
      </c>
      <c r="F991" s="28" t="str">
        <f t="shared" ca="1" si="47"/>
        <v/>
      </c>
    </row>
    <row r="992" spans="2:6" x14ac:dyDescent="0.2">
      <c r="B992" t="str">
        <f>IFERROR(IF('PDCA review'!$D$2=Do!B990,Do!G990,""),"")</f>
        <v/>
      </c>
      <c r="C992">
        <f t="shared" si="45"/>
        <v>0</v>
      </c>
      <c r="D992">
        <f>SUM($C$3:C992)</f>
        <v>4</v>
      </c>
      <c r="E992" t="e">
        <f t="shared" si="46"/>
        <v>#N/A</v>
      </c>
      <c r="F992" s="28" t="str">
        <f t="shared" ca="1" si="47"/>
        <v/>
      </c>
    </row>
    <row r="993" spans="2:6" x14ac:dyDescent="0.2">
      <c r="B993" t="str">
        <f>IFERROR(IF('PDCA review'!$D$2=Do!B991,Do!G991,""),"")</f>
        <v/>
      </c>
      <c r="C993">
        <f t="shared" si="45"/>
        <v>0</v>
      </c>
      <c r="D993">
        <f>SUM($C$3:C993)</f>
        <v>4</v>
      </c>
      <c r="E993" t="e">
        <f t="shared" si="46"/>
        <v>#N/A</v>
      </c>
      <c r="F993" s="28" t="str">
        <f t="shared" ca="1" si="47"/>
        <v/>
      </c>
    </row>
    <row r="994" spans="2:6" x14ac:dyDescent="0.2">
      <c r="B994" t="str">
        <f>IFERROR(IF('PDCA review'!$D$2=Do!B992,Do!G992,""),"")</f>
        <v/>
      </c>
      <c r="C994">
        <f t="shared" si="45"/>
        <v>0</v>
      </c>
      <c r="D994">
        <f>SUM($C$3:C994)</f>
        <v>4</v>
      </c>
      <c r="E994" t="e">
        <f t="shared" si="46"/>
        <v>#N/A</v>
      </c>
      <c r="F994" s="28" t="str">
        <f t="shared" ca="1" si="47"/>
        <v/>
      </c>
    </row>
    <row r="995" spans="2:6" x14ac:dyDescent="0.2">
      <c r="B995" t="str">
        <f>IFERROR(IF('PDCA review'!$D$2=Do!B993,Do!G993,""),"")</f>
        <v/>
      </c>
      <c r="C995">
        <f t="shared" si="45"/>
        <v>0</v>
      </c>
      <c r="D995">
        <f>SUM($C$3:C995)</f>
        <v>4</v>
      </c>
      <c r="E995" t="e">
        <f t="shared" si="46"/>
        <v>#N/A</v>
      </c>
      <c r="F995" s="28" t="str">
        <f t="shared" ca="1" si="47"/>
        <v/>
      </c>
    </row>
    <row r="996" spans="2:6" x14ac:dyDescent="0.2">
      <c r="B996" t="str">
        <f>IFERROR(IF('PDCA review'!$D$2=Do!B994,Do!G994,""),"")</f>
        <v/>
      </c>
      <c r="C996">
        <f t="shared" si="45"/>
        <v>0</v>
      </c>
      <c r="D996">
        <f>SUM($C$3:C996)</f>
        <v>4</v>
      </c>
      <c r="E996" t="e">
        <f t="shared" si="46"/>
        <v>#N/A</v>
      </c>
      <c r="F996" s="28" t="str">
        <f t="shared" ca="1" si="47"/>
        <v/>
      </c>
    </row>
    <row r="997" spans="2:6" x14ac:dyDescent="0.2">
      <c r="B997" t="str">
        <f>IFERROR(IF('PDCA review'!$D$2=Do!B995,Do!G995,""),"")</f>
        <v/>
      </c>
      <c r="C997">
        <f t="shared" si="45"/>
        <v>0</v>
      </c>
      <c r="D997">
        <f>SUM($C$3:C997)</f>
        <v>4</v>
      </c>
      <c r="E997" t="e">
        <f t="shared" si="46"/>
        <v>#N/A</v>
      </c>
      <c r="F997" s="28" t="str">
        <f t="shared" ca="1" si="47"/>
        <v/>
      </c>
    </row>
    <row r="998" spans="2:6" x14ac:dyDescent="0.2">
      <c r="B998" t="str">
        <f>IFERROR(IF('PDCA review'!$D$2=Do!B996,Do!G996,""),"")</f>
        <v/>
      </c>
      <c r="C998">
        <f t="shared" si="45"/>
        <v>0</v>
      </c>
      <c r="D998">
        <f>SUM($C$3:C998)</f>
        <v>4</v>
      </c>
      <c r="E998" t="e">
        <f t="shared" si="46"/>
        <v>#N/A</v>
      </c>
      <c r="F998" s="28" t="str">
        <f t="shared" ca="1" si="47"/>
        <v/>
      </c>
    </row>
    <row r="999" spans="2:6" x14ac:dyDescent="0.2">
      <c r="B999" t="str">
        <f>IFERROR(IF('PDCA review'!$D$2=Do!B997,Do!G997,""),"")</f>
        <v/>
      </c>
      <c r="C999">
        <f t="shared" si="45"/>
        <v>0</v>
      </c>
      <c r="D999">
        <f>SUM($C$3:C999)</f>
        <v>4</v>
      </c>
      <c r="E999" t="e">
        <f t="shared" si="46"/>
        <v>#N/A</v>
      </c>
      <c r="F999" s="28" t="str">
        <f t="shared" ca="1" si="47"/>
        <v/>
      </c>
    </row>
    <row r="1000" spans="2:6" x14ac:dyDescent="0.2">
      <c r="B1000" t="str">
        <f>IFERROR(IF('PDCA review'!$D$2=Do!B998,Do!G998,""),"")</f>
        <v/>
      </c>
      <c r="C1000">
        <f t="shared" si="45"/>
        <v>0</v>
      </c>
      <c r="D1000">
        <f>SUM($C$3:C1000)</f>
        <v>4</v>
      </c>
      <c r="E1000" t="e">
        <f t="shared" si="46"/>
        <v>#N/A</v>
      </c>
      <c r="F1000" s="28" t="str">
        <f t="shared" ca="1" si="47"/>
        <v/>
      </c>
    </row>
    <row r="1001" spans="2:6" x14ac:dyDescent="0.2">
      <c r="B1001" t="str">
        <f>IFERROR(IF('PDCA review'!$D$2=Do!B999,Do!G999,""),"")</f>
        <v/>
      </c>
      <c r="C1001">
        <f t="shared" si="45"/>
        <v>0</v>
      </c>
      <c r="D1001">
        <f>SUM($C$3:C1001)</f>
        <v>4</v>
      </c>
      <c r="E1001" t="e">
        <f t="shared" si="46"/>
        <v>#N/A</v>
      </c>
      <c r="F1001" s="28" t="str">
        <f t="shared" ca="1" si="47"/>
        <v/>
      </c>
    </row>
    <row r="1002" spans="2:6" x14ac:dyDescent="0.2">
      <c r="B1002" t="str">
        <f>IFERROR(IF('PDCA review'!$D$2=Do!B1000,Do!G1000,""),"")</f>
        <v/>
      </c>
      <c r="C1002">
        <f t="shared" si="45"/>
        <v>0</v>
      </c>
      <c r="D1002">
        <f>SUM($C$3:C1002)</f>
        <v>4</v>
      </c>
      <c r="E1002" t="e">
        <f t="shared" si="46"/>
        <v>#N/A</v>
      </c>
      <c r="F1002" s="28" t="str">
        <f t="shared" ca="1" si="47"/>
        <v/>
      </c>
    </row>
    <row r="1003" spans="2:6" x14ac:dyDescent="0.2">
      <c r="B1003" t="str">
        <f>IFERROR(IF('PDCA review'!$D$2=Do!B1001,Do!G1001,""),"")</f>
        <v/>
      </c>
      <c r="C1003">
        <f t="shared" si="45"/>
        <v>0</v>
      </c>
      <c r="D1003">
        <f>SUM($C$3:C1003)</f>
        <v>4</v>
      </c>
      <c r="E1003" t="e">
        <f t="shared" si="46"/>
        <v>#N/A</v>
      </c>
      <c r="F1003" s="28" t="str">
        <f t="shared" ca="1" si="47"/>
        <v/>
      </c>
    </row>
    <row r="1004" spans="2:6" x14ac:dyDescent="0.2">
      <c r="B1004" t="str">
        <f>IFERROR(IF('PDCA review'!$D$2=Do!B1002,Do!G1002,""),"")</f>
        <v/>
      </c>
      <c r="C1004">
        <f t="shared" si="45"/>
        <v>0</v>
      </c>
      <c r="D1004">
        <f>SUM($C$3:C1004)</f>
        <v>4</v>
      </c>
      <c r="E1004" t="e">
        <f t="shared" si="46"/>
        <v>#N/A</v>
      </c>
      <c r="F1004" s="28" t="str">
        <f t="shared" ca="1" si="47"/>
        <v/>
      </c>
    </row>
    <row r="1005" spans="2:6" x14ac:dyDescent="0.2">
      <c r="B1005" t="str">
        <f>IFERROR(IF('PDCA review'!$D$2=Do!B1003,Do!G1003,""),"")</f>
        <v/>
      </c>
      <c r="C1005">
        <f t="shared" si="45"/>
        <v>0</v>
      </c>
      <c r="D1005">
        <f>SUM($C$3:C1005)</f>
        <v>4</v>
      </c>
      <c r="E1005" t="e">
        <f t="shared" si="46"/>
        <v>#N/A</v>
      </c>
      <c r="F1005" s="28" t="str">
        <f t="shared" ca="1" si="47"/>
        <v/>
      </c>
    </row>
    <row r="1006" spans="2:6" x14ac:dyDescent="0.2">
      <c r="B1006" t="str">
        <f>IFERROR(IF('PDCA review'!$D$2=Do!B1004,Do!G1004,""),"")</f>
        <v/>
      </c>
      <c r="C1006">
        <f t="shared" si="45"/>
        <v>0</v>
      </c>
      <c r="D1006">
        <f>SUM($C$3:C1006)</f>
        <v>4</v>
      </c>
      <c r="E1006" t="e">
        <f t="shared" si="46"/>
        <v>#N/A</v>
      </c>
      <c r="F1006" s="28" t="str">
        <f t="shared" ca="1" si="47"/>
        <v/>
      </c>
    </row>
    <row r="1007" spans="2:6" x14ac:dyDescent="0.2">
      <c r="B1007" t="str">
        <f>IFERROR(IF('PDCA review'!$D$2=Do!B1005,Do!G1005,""),"")</f>
        <v/>
      </c>
      <c r="C1007">
        <f t="shared" si="45"/>
        <v>0</v>
      </c>
      <c r="D1007">
        <f>SUM($C$3:C1007)</f>
        <v>4</v>
      </c>
      <c r="E1007" t="e">
        <f t="shared" si="46"/>
        <v>#N/A</v>
      </c>
      <c r="F1007" s="28" t="str">
        <f t="shared" ca="1" si="47"/>
        <v/>
      </c>
    </row>
    <row r="1008" spans="2:6" x14ac:dyDescent="0.2">
      <c r="B1008" t="str">
        <f>IFERROR(IF('PDCA review'!$D$2=Do!B1006,Do!G1006,""),"")</f>
        <v/>
      </c>
      <c r="C1008">
        <f t="shared" si="45"/>
        <v>0</v>
      </c>
      <c r="D1008">
        <f>SUM($C$3:C1008)</f>
        <v>4</v>
      </c>
      <c r="E1008" t="e">
        <f t="shared" si="46"/>
        <v>#N/A</v>
      </c>
      <c r="F1008" s="28" t="str">
        <f t="shared" ca="1" si="47"/>
        <v/>
      </c>
    </row>
    <row r="1009" spans="2:6" x14ac:dyDescent="0.2">
      <c r="B1009" t="str">
        <f>IFERROR(IF('PDCA review'!$D$2=Do!B1007,Do!G1007,""),"")</f>
        <v/>
      </c>
      <c r="C1009">
        <f t="shared" si="45"/>
        <v>0</v>
      </c>
      <c r="D1009">
        <f>SUM($C$3:C1009)</f>
        <v>4</v>
      </c>
      <c r="E1009" t="e">
        <f t="shared" si="46"/>
        <v>#N/A</v>
      </c>
      <c r="F1009" s="28" t="str">
        <f t="shared" ca="1" si="47"/>
        <v/>
      </c>
    </row>
    <row r="1010" spans="2:6" x14ac:dyDescent="0.2">
      <c r="B1010" t="str">
        <f>IFERROR(IF('PDCA review'!$D$2=Do!B1008,Do!G1008,""),"")</f>
        <v/>
      </c>
      <c r="C1010">
        <f t="shared" si="45"/>
        <v>0</v>
      </c>
      <c r="D1010">
        <f>SUM($C$3:C1010)</f>
        <v>4</v>
      </c>
      <c r="E1010" t="e">
        <f t="shared" si="46"/>
        <v>#N/A</v>
      </c>
      <c r="F1010" s="28" t="str">
        <f t="shared" ca="1" si="47"/>
        <v/>
      </c>
    </row>
    <row r="1011" spans="2:6" x14ac:dyDescent="0.2">
      <c r="B1011" t="str">
        <f>IFERROR(IF('PDCA review'!$D$2=Do!B1009,Do!G1009,""),"")</f>
        <v/>
      </c>
      <c r="C1011">
        <f t="shared" si="45"/>
        <v>0</v>
      </c>
      <c r="D1011">
        <f>SUM($C$3:C1011)</f>
        <v>4</v>
      </c>
      <c r="E1011" t="e">
        <f t="shared" si="46"/>
        <v>#N/A</v>
      </c>
      <c r="F1011" s="28" t="str">
        <f t="shared" ca="1" si="47"/>
        <v/>
      </c>
    </row>
    <row r="1012" spans="2:6" x14ac:dyDescent="0.2">
      <c r="B1012" t="str">
        <f>IFERROR(IF('PDCA review'!$D$2=Do!B1010,Do!G1010,""),"")</f>
        <v/>
      </c>
      <c r="C1012">
        <f t="shared" si="45"/>
        <v>0</v>
      </c>
      <c r="D1012">
        <f>SUM($C$3:C1012)</f>
        <v>4</v>
      </c>
      <c r="E1012" t="e">
        <f t="shared" si="46"/>
        <v>#N/A</v>
      </c>
      <c r="F1012" s="28" t="str">
        <f t="shared" ca="1" si="47"/>
        <v/>
      </c>
    </row>
    <row r="1013" spans="2:6" x14ac:dyDescent="0.2">
      <c r="B1013" t="str">
        <f>IFERROR(IF('PDCA review'!$D$2=Do!B1011,Do!G1011,""),"")</f>
        <v/>
      </c>
      <c r="C1013">
        <f t="shared" si="45"/>
        <v>0</v>
      </c>
      <c r="D1013">
        <f>SUM($C$3:C1013)</f>
        <v>4</v>
      </c>
      <c r="E1013" t="e">
        <f t="shared" si="46"/>
        <v>#N/A</v>
      </c>
      <c r="F1013" s="28" t="str">
        <f t="shared" ca="1" si="47"/>
        <v/>
      </c>
    </row>
    <row r="1014" spans="2:6" x14ac:dyDescent="0.2">
      <c r="B1014" t="str">
        <f>IFERROR(IF('PDCA review'!$D$2=Do!B1012,Do!G1012,""),"")</f>
        <v/>
      </c>
      <c r="C1014">
        <f t="shared" si="45"/>
        <v>0</v>
      </c>
      <c r="D1014">
        <f>SUM($C$3:C1014)</f>
        <v>4</v>
      </c>
      <c r="E1014" t="e">
        <f t="shared" si="46"/>
        <v>#N/A</v>
      </c>
      <c r="F1014" s="28" t="str">
        <f t="shared" ca="1" si="47"/>
        <v/>
      </c>
    </row>
    <row r="1015" spans="2:6" x14ac:dyDescent="0.2">
      <c r="B1015" t="str">
        <f>IFERROR(IF('PDCA review'!$D$2=Do!B1013,Do!G1013,""),"")</f>
        <v/>
      </c>
      <c r="C1015">
        <f t="shared" si="45"/>
        <v>0</v>
      </c>
      <c r="D1015">
        <f>SUM($C$3:C1015)</f>
        <v>4</v>
      </c>
      <c r="E1015" t="e">
        <f t="shared" si="46"/>
        <v>#N/A</v>
      </c>
      <c r="F1015" s="28" t="str">
        <f t="shared" ca="1" si="47"/>
        <v/>
      </c>
    </row>
    <row r="1016" spans="2:6" x14ac:dyDescent="0.2">
      <c r="B1016" t="str">
        <f>IFERROR(IF('PDCA review'!$D$2=Do!B1014,Do!G1014,""),"")</f>
        <v/>
      </c>
      <c r="C1016">
        <f t="shared" si="45"/>
        <v>0</v>
      </c>
      <c r="D1016">
        <f>SUM($C$3:C1016)</f>
        <v>4</v>
      </c>
      <c r="E1016" t="e">
        <f t="shared" si="46"/>
        <v>#N/A</v>
      </c>
      <c r="F1016" s="28" t="str">
        <f t="shared" ca="1" si="47"/>
        <v/>
      </c>
    </row>
    <row r="1017" spans="2:6" x14ac:dyDescent="0.2">
      <c r="B1017" t="str">
        <f>IFERROR(IF('PDCA review'!$D$2=Do!B1015,Do!G1015,""),"")</f>
        <v/>
      </c>
      <c r="C1017">
        <f t="shared" si="45"/>
        <v>0</v>
      </c>
      <c r="D1017">
        <f>SUM($C$3:C1017)</f>
        <v>4</v>
      </c>
      <c r="E1017" t="e">
        <f t="shared" si="46"/>
        <v>#N/A</v>
      </c>
      <c r="F1017" s="28" t="str">
        <f t="shared" ca="1" si="47"/>
        <v/>
      </c>
    </row>
    <row r="1018" spans="2:6" x14ac:dyDescent="0.2">
      <c r="B1018" t="str">
        <f>IFERROR(IF('PDCA review'!$D$2=Do!B1016,Do!G1016,""),"")</f>
        <v/>
      </c>
      <c r="C1018">
        <f t="shared" si="45"/>
        <v>0</v>
      </c>
      <c r="D1018">
        <f>SUM($C$3:C1018)</f>
        <v>4</v>
      </c>
      <c r="E1018" t="e">
        <f t="shared" si="46"/>
        <v>#N/A</v>
      </c>
      <c r="F1018" s="28" t="str">
        <f t="shared" ca="1" si="47"/>
        <v/>
      </c>
    </row>
    <row r="1019" spans="2:6" x14ac:dyDescent="0.2">
      <c r="B1019" t="str">
        <f>IFERROR(IF('PDCA review'!$D$2=Do!B1017,Do!G1017,""),"")</f>
        <v/>
      </c>
      <c r="C1019">
        <f t="shared" si="45"/>
        <v>0</v>
      </c>
      <c r="D1019">
        <f>SUM($C$3:C1019)</f>
        <v>4</v>
      </c>
      <c r="E1019" t="e">
        <f t="shared" si="46"/>
        <v>#N/A</v>
      </c>
      <c r="F1019" s="28" t="str">
        <f t="shared" ca="1" si="47"/>
        <v/>
      </c>
    </row>
    <row r="1020" spans="2:6" x14ac:dyDescent="0.2">
      <c r="B1020" t="str">
        <f>IFERROR(IF('PDCA review'!$D$2=Do!B1018,Do!G1018,""),"")</f>
        <v/>
      </c>
      <c r="C1020">
        <f t="shared" si="45"/>
        <v>0</v>
      </c>
      <c r="D1020">
        <f>SUM($C$3:C1020)</f>
        <v>4</v>
      </c>
      <c r="E1020" t="e">
        <f t="shared" si="46"/>
        <v>#N/A</v>
      </c>
      <c r="F1020" s="28" t="str">
        <f t="shared" ca="1" si="47"/>
        <v/>
      </c>
    </row>
    <row r="1021" spans="2:6" x14ac:dyDescent="0.2">
      <c r="B1021" t="str">
        <f>IFERROR(IF('PDCA review'!$D$2=Do!B1019,Do!G1019,""),"")</f>
        <v/>
      </c>
      <c r="C1021">
        <f t="shared" si="45"/>
        <v>0</v>
      </c>
      <c r="D1021">
        <f>SUM($C$3:C1021)</f>
        <v>4</v>
      </c>
      <c r="E1021" t="e">
        <f t="shared" si="46"/>
        <v>#N/A</v>
      </c>
      <c r="F1021" s="28" t="str">
        <f t="shared" ca="1" si="47"/>
        <v/>
      </c>
    </row>
    <row r="1022" spans="2:6" x14ac:dyDescent="0.2">
      <c r="B1022" t="str">
        <f>IFERROR(IF('PDCA review'!$D$2=Do!B1020,Do!G1020,""),"")</f>
        <v/>
      </c>
      <c r="C1022">
        <f t="shared" si="45"/>
        <v>0</v>
      </c>
      <c r="D1022">
        <f>SUM($C$3:C1022)</f>
        <v>4</v>
      </c>
      <c r="E1022" t="e">
        <f t="shared" si="46"/>
        <v>#N/A</v>
      </c>
      <c r="F1022" s="28" t="str">
        <f t="shared" ca="1" si="47"/>
        <v/>
      </c>
    </row>
    <row r="1023" spans="2:6" x14ac:dyDescent="0.2">
      <c r="B1023" t="str">
        <f>IFERROR(IF('PDCA review'!$D$2=Do!B1021,Do!G1021,""),"")</f>
        <v/>
      </c>
      <c r="C1023">
        <f t="shared" si="45"/>
        <v>0</v>
      </c>
      <c r="D1023">
        <f>SUM($C$3:C1023)</f>
        <v>4</v>
      </c>
      <c r="E1023" t="e">
        <f t="shared" si="46"/>
        <v>#N/A</v>
      </c>
      <c r="F1023" s="28" t="str">
        <f t="shared" ca="1" si="47"/>
        <v/>
      </c>
    </row>
    <row r="1024" spans="2:6" x14ac:dyDescent="0.2">
      <c r="B1024" t="str">
        <f>IFERROR(IF('PDCA review'!$D$2=Do!B1022,Do!G1022,""),"")</f>
        <v/>
      </c>
      <c r="C1024">
        <f t="shared" si="45"/>
        <v>0</v>
      </c>
      <c r="D1024">
        <f>SUM($C$3:C1024)</f>
        <v>4</v>
      </c>
      <c r="E1024" t="e">
        <f t="shared" si="46"/>
        <v>#N/A</v>
      </c>
      <c r="F1024" s="28" t="str">
        <f t="shared" ca="1" si="47"/>
        <v/>
      </c>
    </row>
    <row r="1025" spans="2:6" x14ac:dyDescent="0.2">
      <c r="B1025" t="str">
        <f>IFERROR(IF('PDCA review'!$D$2=Do!B1023,Do!G1023,""),"")</f>
        <v/>
      </c>
      <c r="C1025">
        <f t="shared" si="45"/>
        <v>0</v>
      </c>
      <c r="D1025">
        <f>SUM($C$3:C1025)</f>
        <v>4</v>
      </c>
      <c r="E1025" t="e">
        <f t="shared" si="46"/>
        <v>#N/A</v>
      </c>
      <c r="F1025" s="28" t="str">
        <f t="shared" ca="1" si="47"/>
        <v/>
      </c>
    </row>
    <row r="1026" spans="2:6" x14ac:dyDescent="0.2">
      <c r="B1026" t="str">
        <f>IFERROR(IF('PDCA review'!$D$2=Do!B1024,Do!G1024,""),"")</f>
        <v/>
      </c>
      <c r="C1026">
        <f t="shared" si="45"/>
        <v>0</v>
      </c>
      <c r="D1026">
        <f>SUM($C$3:C1026)</f>
        <v>4</v>
      </c>
      <c r="E1026" t="e">
        <f t="shared" si="46"/>
        <v>#N/A</v>
      </c>
      <c r="F1026" s="28" t="str">
        <f t="shared" ca="1" si="47"/>
        <v/>
      </c>
    </row>
    <row r="1027" spans="2:6" x14ac:dyDescent="0.2">
      <c r="B1027" t="str">
        <f>IFERROR(IF('PDCA review'!$D$2=Do!B1025,Do!G1025,""),"")</f>
        <v/>
      </c>
      <c r="C1027">
        <f t="shared" si="45"/>
        <v>0</v>
      </c>
      <c r="D1027">
        <f>SUM($C$3:C1027)</f>
        <v>4</v>
      </c>
      <c r="E1027" t="e">
        <f t="shared" si="46"/>
        <v>#N/A</v>
      </c>
      <c r="F1027" s="28" t="str">
        <f t="shared" ca="1" si="47"/>
        <v/>
      </c>
    </row>
    <row r="1028" spans="2:6" x14ac:dyDescent="0.2">
      <c r="B1028" t="str">
        <f>IFERROR(IF('PDCA review'!$D$2=Do!B1026,Do!G1026,""),"")</f>
        <v/>
      </c>
      <c r="C1028">
        <f t="shared" ref="C1028:C1091" si="48">IF(B1028&lt;&gt;"",1,0)</f>
        <v>0</v>
      </c>
      <c r="D1028">
        <f>SUM($C$3:C1028)</f>
        <v>4</v>
      </c>
      <c r="E1028" t="e">
        <f t="shared" ref="E1028:E1091" si="49">MATCH(ROW()-$D$2,$D$3:$D$2000,0)+$D$2</f>
        <v>#N/A</v>
      </c>
      <c r="F1028" s="28" t="str">
        <f t="shared" ref="F1028:F1091" ca="1" si="50">IFERROR(INDIRECT("B"&amp;E1028),"")</f>
        <v/>
      </c>
    </row>
    <row r="1029" spans="2:6" x14ac:dyDescent="0.2">
      <c r="B1029" t="str">
        <f>IFERROR(IF('PDCA review'!$D$2=Do!B1027,Do!G1027,""),"")</f>
        <v/>
      </c>
      <c r="C1029">
        <f t="shared" si="48"/>
        <v>0</v>
      </c>
      <c r="D1029">
        <f>SUM($C$3:C1029)</f>
        <v>4</v>
      </c>
      <c r="E1029" t="e">
        <f t="shared" si="49"/>
        <v>#N/A</v>
      </c>
      <c r="F1029" s="28" t="str">
        <f t="shared" ca="1" si="50"/>
        <v/>
      </c>
    </row>
    <row r="1030" spans="2:6" x14ac:dyDescent="0.2">
      <c r="B1030" t="str">
        <f>IFERROR(IF('PDCA review'!$D$2=Do!B1028,Do!G1028,""),"")</f>
        <v/>
      </c>
      <c r="C1030">
        <f t="shared" si="48"/>
        <v>0</v>
      </c>
      <c r="D1030">
        <f>SUM($C$3:C1030)</f>
        <v>4</v>
      </c>
      <c r="E1030" t="e">
        <f t="shared" si="49"/>
        <v>#N/A</v>
      </c>
      <c r="F1030" s="28" t="str">
        <f t="shared" ca="1" si="50"/>
        <v/>
      </c>
    </row>
    <row r="1031" spans="2:6" x14ac:dyDescent="0.2">
      <c r="B1031" t="str">
        <f>IFERROR(IF('PDCA review'!$D$2=Do!B1029,Do!G1029,""),"")</f>
        <v/>
      </c>
      <c r="C1031">
        <f t="shared" si="48"/>
        <v>0</v>
      </c>
      <c r="D1031">
        <f>SUM($C$3:C1031)</f>
        <v>4</v>
      </c>
      <c r="E1031" t="e">
        <f t="shared" si="49"/>
        <v>#N/A</v>
      </c>
      <c r="F1031" s="28" t="str">
        <f t="shared" ca="1" si="50"/>
        <v/>
      </c>
    </row>
    <row r="1032" spans="2:6" x14ac:dyDescent="0.2">
      <c r="B1032" t="str">
        <f>IFERROR(IF('PDCA review'!$D$2=Do!B1030,Do!G1030,""),"")</f>
        <v/>
      </c>
      <c r="C1032">
        <f t="shared" si="48"/>
        <v>0</v>
      </c>
      <c r="D1032">
        <f>SUM($C$3:C1032)</f>
        <v>4</v>
      </c>
      <c r="E1032" t="e">
        <f t="shared" si="49"/>
        <v>#N/A</v>
      </c>
      <c r="F1032" s="28" t="str">
        <f t="shared" ca="1" si="50"/>
        <v/>
      </c>
    </row>
    <row r="1033" spans="2:6" x14ac:dyDescent="0.2">
      <c r="B1033" t="str">
        <f>IFERROR(IF('PDCA review'!$D$2=Do!B1031,Do!G1031,""),"")</f>
        <v/>
      </c>
      <c r="C1033">
        <f t="shared" si="48"/>
        <v>0</v>
      </c>
      <c r="D1033">
        <f>SUM($C$3:C1033)</f>
        <v>4</v>
      </c>
      <c r="E1033" t="e">
        <f t="shared" si="49"/>
        <v>#N/A</v>
      </c>
      <c r="F1033" s="28" t="str">
        <f t="shared" ca="1" si="50"/>
        <v/>
      </c>
    </row>
    <row r="1034" spans="2:6" x14ac:dyDescent="0.2">
      <c r="B1034" t="str">
        <f>IFERROR(IF('PDCA review'!$D$2=Do!B1032,Do!G1032,""),"")</f>
        <v/>
      </c>
      <c r="C1034">
        <f t="shared" si="48"/>
        <v>0</v>
      </c>
      <c r="D1034">
        <f>SUM($C$3:C1034)</f>
        <v>4</v>
      </c>
      <c r="E1034" t="e">
        <f t="shared" si="49"/>
        <v>#N/A</v>
      </c>
      <c r="F1034" s="28" t="str">
        <f t="shared" ca="1" si="50"/>
        <v/>
      </c>
    </row>
    <row r="1035" spans="2:6" x14ac:dyDescent="0.2">
      <c r="B1035" t="str">
        <f>IFERROR(IF('PDCA review'!$D$2=Do!B1033,Do!G1033,""),"")</f>
        <v/>
      </c>
      <c r="C1035">
        <f t="shared" si="48"/>
        <v>0</v>
      </c>
      <c r="D1035">
        <f>SUM($C$3:C1035)</f>
        <v>4</v>
      </c>
      <c r="E1035" t="e">
        <f t="shared" si="49"/>
        <v>#N/A</v>
      </c>
      <c r="F1035" s="28" t="str">
        <f t="shared" ca="1" si="50"/>
        <v/>
      </c>
    </row>
    <row r="1036" spans="2:6" x14ac:dyDescent="0.2">
      <c r="B1036" t="str">
        <f>IFERROR(IF('PDCA review'!$D$2=Do!B1034,Do!G1034,""),"")</f>
        <v/>
      </c>
      <c r="C1036">
        <f t="shared" si="48"/>
        <v>0</v>
      </c>
      <c r="D1036">
        <f>SUM($C$3:C1036)</f>
        <v>4</v>
      </c>
      <c r="E1036" t="e">
        <f t="shared" si="49"/>
        <v>#N/A</v>
      </c>
      <c r="F1036" s="28" t="str">
        <f t="shared" ca="1" si="50"/>
        <v/>
      </c>
    </row>
    <row r="1037" spans="2:6" x14ac:dyDescent="0.2">
      <c r="B1037" t="str">
        <f>IFERROR(IF('PDCA review'!$D$2=Do!B1035,Do!G1035,""),"")</f>
        <v/>
      </c>
      <c r="C1037">
        <f t="shared" si="48"/>
        <v>0</v>
      </c>
      <c r="D1037">
        <f>SUM($C$3:C1037)</f>
        <v>4</v>
      </c>
      <c r="E1037" t="e">
        <f t="shared" si="49"/>
        <v>#N/A</v>
      </c>
      <c r="F1037" s="28" t="str">
        <f t="shared" ca="1" si="50"/>
        <v/>
      </c>
    </row>
    <row r="1038" spans="2:6" x14ac:dyDescent="0.2">
      <c r="B1038" t="str">
        <f>IFERROR(IF('PDCA review'!$D$2=Do!B1036,Do!G1036,""),"")</f>
        <v/>
      </c>
      <c r="C1038">
        <f t="shared" si="48"/>
        <v>0</v>
      </c>
      <c r="D1038">
        <f>SUM($C$3:C1038)</f>
        <v>4</v>
      </c>
      <c r="E1038" t="e">
        <f t="shared" si="49"/>
        <v>#N/A</v>
      </c>
      <c r="F1038" s="28" t="str">
        <f t="shared" ca="1" si="50"/>
        <v/>
      </c>
    </row>
    <row r="1039" spans="2:6" x14ac:dyDescent="0.2">
      <c r="B1039" t="str">
        <f>IFERROR(IF('PDCA review'!$D$2=Do!B1037,Do!G1037,""),"")</f>
        <v/>
      </c>
      <c r="C1039">
        <f t="shared" si="48"/>
        <v>0</v>
      </c>
      <c r="D1039">
        <f>SUM($C$3:C1039)</f>
        <v>4</v>
      </c>
      <c r="E1039" t="e">
        <f t="shared" si="49"/>
        <v>#N/A</v>
      </c>
      <c r="F1039" s="28" t="str">
        <f t="shared" ca="1" si="50"/>
        <v/>
      </c>
    </row>
    <row r="1040" spans="2:6" x14ac:dyDescent="0.2">
      <c r="B1040" t="str">
        <f>IFERROR(IF('PDCA review'!$D$2=Do!B1038,Do!G1038,""),"")</f>
        <v/>
      </c>
      <c r="C1040">
        <f t="shared" si="48"/>
        <v>0</v>
      </c>
      <c r="D1040">
        <f>SUM($C$3:C1040)</f>
        <v>4</v>
      </c>
      <c r="E1040" t="e">
        <f t="shared" si="49"/>
        <v>#N/A</v>
      </c>
      <c r="F1040" s="28" t="str">
        <f t="shared" ca="1" si="50"/>
        <v/>
      </c>
    </row>
    <row r="1041" spans="2:6" x14ac:dyDescent="0.2">
      <c r="B1041" t="str">
        <f>IFERROR(IF('PDCA review'!$D$2=Do!B1039,Do!G1039,""),"")</f>
        <v/>
      </c>
      <c r="C1041">
        <f t="shared" si="48"/>
        <v>0</v>
      </c>
      <c r="D1041">
        <f>SUM($C$3:C1041)</f>
        <v>4</v>
      </c>
      <c r="E1041" t="e">
        <f t="shared" si="49"/>
        <v>#N/A</v>
      </c>
      <c r="F1041" s="28" t="str">
        <f t="shared" ca="1" si="50"/>
        <v/>
      </c>
    </row>
    <row r="1042" spans="2:6" x14ac:dyDescent="0.2">
      <c r="B1042" t="str">
        <f>IFERROR(IF('PDCA review'!$D$2=Do!B1040,Do!G1040,""),"")</f>
        <v/>
      </c>
      <c r="C1042">
        <f t="shared" si="48"/>
        <v>0</v>
      </c>
      <c r="D1042">
        <f>SUM($C$3:C1042)</f>
        <v>4</v>
      </c>
      <c r="E1042" t="e">
        <f t="shared" si="49"/>
        <v>#N/A</v>
      </c>
      <c r="F1042" s="28" t="str">
        <f t="shared" ca="1" si="50"/>
        <v/>
      </c>
    </row>
    <row r="1043" spans="2:6" x14ac:dyDescent="0.2">
      <c r="B1043" t="str">
        <f>IFERROR(IF('PDCA review'!$D$2=Do!B1041,Do!G1041,""),"")</f>
        <v/>
      </c>
      <c r="C1043">
        <f t="shared" si="48"/>
        <v>0</v>
      </c>
      <c r="D1043">
        <f>SUM($C$3:C1043)</f>
        <v>4</v>
      </c>
      <c r="E1043" t="e">
        <f t="shared" si="49"/>
        <v>#N/A</v>
      </c>
      <c r="F1043" s="28" t="str">
        <f t="shared" ca="1" si="50"/>
        <v/>
      </c>
    </row>
    <row r="1044" spans="2:6" x14ac:dyDescent="0.2">
      <c r="B1044" t="str">
        <f>IFERROR(IF('PDCA review'!$D$2=Do!B1042,Do!G1042,""),"")</f>
        <v/>
      </c>
      <c r="C1044">
        <f t="shared" si="48"/>
        <v>0</v>
      </c>
      <c r="D1044">
        <f>SUM($C$3:C1044)</f>
        <v>4</v>
      </c>
      <c r="E1044" t="e">
        <f t="shared" si="49"/>
        <v>#N/A</v>
      </c>
      <c r="F1044" s="28" t="str">
        <f t="shared" ca="1" si="50"/>
        <v/>
      </c>
    </row>
    <row r="1045" spans="2:6" x14ac:dyDescent="0.2">
      <c r="B1045" t="str">
        <f>IFERROR(IF('PDCA review'!$D$2=Do!B1043,Do!G1043,""),"")</f>
        <v/>
      </c>
      <c r="C1045">
        <f t="shared" si="48"/>
        <v>0</v>
      </c>
      <c r="D1045">
        <f>SUM($C$3:C1045)</f>
        <v>4</v>
      </c>
      <c r="E1045" t="e">
        <f t="shared" si="49"/>
        <v>#N/A</v>
      </c>
      <c r="F1045" s="28" t="str">
        <f t="shared" ca="1" si="50"/>
        <v/>
      </c>
    </row>
    <row r="1046" spans="2:6" x14ac:dyDescent="0.2">
      <c r="B1046" t="str">
        <f>IFERROR(IF('PDCA review'!$D$2=Do!B1044,Do!G1044,""),"")</f>
        <v/>
      </c>
      <c r="C1046">
        <f t="shared" si="48"/>
        <v>0</v>
      </c>
      <c r="D1046">
        <f>SUM($C$3:C1046)</f>
        <v>4</v>
      </c>
      <c r="E1046" t="e">
        <f t="shared" si="49"/>
        <v>#N/A</v>
      </c>
      <c r="F1046" s="28" t="str">
        <f t="shared" ca="1" si="50"/>
        <v/>
      </c>
    </row>
    <row r="1047" spans="2:6" x14ac:dyDescent="0.2">
      <c r="B1047" t="str">
        <f>IFERROR(IF('PDCA review'!$D$2=Do!B1045,Do!G1045,""),"")</f>
        <v/>
      </c>
      <c r="C1047">
        <f t="shared" si="48"/>
        <v>0</v>
      </c>
      <c r="D1047">
        <f>SUM($C$3:C1047)</f>
        <v>4</v>
      </c>
      <c r="E1047" t="e">
        <f t="shared" si="49"/>
        <v>#N/A</v>
      </c>
      <c r="F1047" s="28" t="str">
        <f t="shared" ca="1" si="50"/>
        <v/>
      </c>
    </row>
    <row r="1048" spans="2:6" x14ac:dyDescent="0.2">
      <c r="B1048" t="str">
        <f>IFERROR(IF('PDCA review'!$D$2=Do!B1046,Do!G1046,""),"")</f>
        <v/>
      </c>
      <c r="C1048">
        <f t="shared" si="48"/>
        <v>0</v>
      </c>
      <c r="D1048">
        <f>SUM($C$3:C1048)</f>
        <v>4</v>
      </c>
      <c r="E1048" t="e">
        <f t="shared" si="49"/>
        <v>#N/A</v>
      </c>
      <c r="F1048" s="28" t="str">
        <f t="shared" ca="1" si="50"/>
        <v/>
      </c>
    </row>
    <row r="1049" spans="2:6" x14ac:dyDescent="0.2">
      <c r="B1049" t="str">
        <f>IFERROR(IF('PDCA review'!$D$2=Do!B1047,Do!G1047,""),"")</f>
        <v/>
      </c>
      <c r="C1049">
        <f t="shared" si="48"/>
        <v>0</v>
      </c>
      <c r="D1049">
        <f>SUM($C$3:C1049)</f>
        <v>4</v>
      </c>
      <c r="E1049" t="e">
        <f t="shared" si="49"/>
        <v>#N/A</v>
      </c>
      <c r="F1049" s="28" t="str">
        <f t="shared" ca="1" si="50"/>
        <v/>
      </c>
    </row>
    <row r="1050" spans="2:6" x14ac:dyDescent="0.2">
      <c r="B1050" t="str">
        <f>IFERROR(IF('PDCA review'!$D$2=Do!B1048,Do!G1048,""),"")</f>
        <v/>
      </c>
      <c r="C1050">
        <f t="shared" si="48"/>
        <v>0</v>
      </c>
      <c r="D1050">
        <f>SUM($C$3:C1050)</f>
        <v>4</v>
      </c>
      <c r="E1050" t="e">
        <f t="shared" si="49"/>
        <v>#N/A</v>
      </c>
      <c r="F1050" s="28" t="str">
        <f t="shared" ca="1" si="50"/>
        <v/>
      </c>
    </row>
    <row r="1051" spans="2:6" x14ac:dyDescent="0.2">
      <c r="B1051" t="str">
        <f>IFERROR(IF('PDCA review'!$D$2=Do!B1049,Do!G1049,""),"")</f>
        <v/>
      </c>
      <c r="C1051">
        <f t="shared" si="48"/>
        <v>0</v>
      </c>
      <c r="D1051">
        <f>SUM($C$3:C1051)</f>
        <v>4</v>
      </c>
      <c r="E1051" t="e">
        <f t="shared" si="49"/>
        <v>#N/A</v>
      </c>
      <c r="F1051" s="28" t="str">
        <f t="shared" ca="1" si="50"/>
        <v/>
      </c>
    </row>
    <row r="1052" spans="2:6" x14ac:dyDescent="0.2">
      <c r="B1052" t="str">
        <f>IFERROR(IF('PDCA review'!$D$2=Do!B1050,Do!G1050,""),"")</f>
        <v/>
      </c>
      <c r="C1052">
        <f t="shared" si="48"/>
        <v>0</v>
      </c>
      <c r="D1052">
        <f>SUM($C$3:C1052)</f>
        <v>4</v>
      </c>
      <c r="E1052" t="e">
        <f t="shared" si="49"/>
        <v>#N/A</v>
      </c>
      <c r="F1052" s="28" t="str">
        <f t="shared" ca="1" si="50"/>
        <v/>
      </c>
    </row>
    <row r="1053" spans="2:6" x14ac:dyDescent="0.2">
      <c r="B1053" t="str">
        <f>IFERROR(IF('PDCA review'!$D$2=Do!B1051,Do!G1051,""),"")</f>
        <v/>
      </c>
      <c r="C1053">
        <f t="shared" si="48"/>
        <v>0</v>
      </c>
      <c r="D1053">
        <f>SUM($C$3:C1053)</f>
        <v>4</v>
      </c>
      <c r="E1053" t="e">
        <f t="shared" si="49"/>
        <v>#N/A</v>
      </c>
      <c r="F1053" s="28" t="str">
        <f t="shared" ca="1" si="50"/>
        <v/>
      </c>
    </row>
    <row r="1054" spans="2:6" x14ac:dyDescent="0.2">
      <c r="B1054" t="str">
        <f>IFERROR(IF('PDCA review'!$D$2=Do!B1052,Do!G1052,""),"")</f>
        <v/>
      </c>
      <c r="C1054">
        <f t="shared" si="48"/>
        <v>0</v>
      </c>
      <c r="D1054">
        <f>SUM($C$3:C1054)</f>
        <v>4</v>
      </c>
      <c r="E1054" t="e">
        <f t="shared" si="49"/>
        <v>#N/A</v>
      </c>
      <c r="F1054" s="28" t="str">
        <f t="shared" ca="1" si="50"/>
        <v/>
      </c>
    </row>
    <row r="1055" spans="2:6" x14ac:dyDescent="0.2">
      <c r="B1055" t="str">
        <f>IFERROR(IF('PDCA review'!$D$2=Do!B1053,Do!G1053,""),"")</f>
        <v/>
      </c>
      <c r="C1055">
        <f t="shared" si="48"/>
        <v>0</v>
      </c>
      <c r="D1055">
        <f>SUM($C$3:C1055)</f>
        <v>4</v>
      </c>
      <c r="E1055" t="e">
        <f t="shared" si="49"/>
        <v>#N/A</v>
      </c>
      <c r="F1055" s="28" t="str">
        <f t="shared" ca="1" si="50"/>
        <v/>
      </c>
    </row>
    <row r="1056" spans="2:6" x14ac:dyDescent="0.2">
      <c r="B1056" t="str">
        <f>IFERROR(IF('PDCA review'!$D$2=Do!B1054,Do!G1054,""),"")</f>
        <v/>
      </c>
      <c r="C1056">
        <f t="shared" si="48"/>
        <v>0</v>
      </c>
      <c r="D1056">
        <f>SUM($C$3:C1056)</f>
        <v>4</v>
      </c>
      <c r="E1056" t="e">
        <f t="shared" si="49"/>
        <v>#N/A</v>
      </c>
      <c r="F1056" s="28" t="str">
        <f t="shared" ca="1" si="50"/>
        <v/>
      </c>
    </row>
    <row r="1057" spans="2:6" x14ac:dyDescent="0.2">
      <c r="B1057" t="str">
        <f>IFERROR(IF('PDCA review'!$D$2=Do!B1055,Do!G1055,""),"")</f>
        <v/>
      </c>
      <c r="C1057">
        <f t="shared" si="48"/>
        <v>0</v>
      </c>
      <c r="D1057">
        <f>SUM($C$3:C1057)</f>
        <v>4</v>
      </c>
      <c r="E1057" t="e">
        <f t="shared" si="49"/>
        <v>#N/A</v>
      </c>
      <c r="F1057" s="28" t="str">
        <f t="shared" ca="1" si="50"/>
        <v/>
      </c>
    </row>
    <row r="1058" spans="2:6" x14ac:dyDescent="0.2">
      <c r="B1058" t="str">
        <f>IFERROR(IF('PDCA review'!$D$2=Do!B1056,Do!G1056,""),"")</f>
        <v/>
      </c>
      <c r="C1058">
        <f t="shared" si="48"/>
        <v>0</v>
      </c>
      <c r="D1058">
        <f>SUM($C$3:C1058)</f>
        <v>4</v>
      </c>
      <c r="E1058" t="e">
        <f t="shared" si="49"/>
        <v>#N/A</v>
      </c>
      <c r="F1058" s="28" t="str">
        <f t="shared" ca="1" si="50"/>
        <v/>
      </c>
    </row>
    <row r="1059" spans="2:6" x14ac:dyDescent="0.2">
      <c r="B1059" t="str">
        <f>IFERROR(IF('PDCA review'!$D$2=Do!B1057,Do!G1057,""),"")</f>
        <v/>
      </c>
      <c r="C1059">
        <f t="shared" si="48"/>
        <v>0</v>
      </c>
      <c r="D1059">
        <f>SUM($C$3:C1059)</f>
        <v>4</v>
      </c>
      <c r="E1059" t="e">
        <f t="shared" si="49"/>
        <v>#N/A</v>
      </c>
      <c r="F1059" s="28" t="str">
        <f t="shared" ca="1" si="50"/>
        <v/>
      </c>
    </row>
    <row r="1060" spans="2:6" x14ac:dyDescent="0.2">
      <c r="B1060" t="str">
        <f>IFERROR(IF('PDCA review'!$D$2=Do!B1058,Do!G1058,""),"")</f>
        <v/>
      </c>
      <c r="C1060">
        <f t="shared" si="48"/>
        <v>0</v>
      </c>
      <c r="D1060">
        <f>SUM($C$3:C1060)</f>
        <v>4</v>
      </c>
      <c r="E1060" t="e">
        <f t="shared" si="49"/>
        <v>#N/A</v>
      </c>
      <c r="F1060" s="28" t="str">
        <f t="shared" ca="1" si="50"/>
        <v/>
      </c>
    </row>
    <row r="1061" spans="2:6" x14ac:dyDescent="0.2">
      <c r="B1061" t="str">
        <f>IFERROR(IF('PDCA review'!$D$2=Do!B1059,Do!G1059,""),"")</f>
        <v/>
      </c>
      <c r="C1061">
        <f t="shared" si="48"/>
        <v>0</v>
      </c>
      <c r="D1061">
        <f>SUM($C$3:C1061)</f>
        <v>4</v>
      </c>
      <c r="E1061" t="e">
        <f t="shared" si="49"/>
        <v>#N/A</v>
      </c>
      <c r="F1061" s="28" t="str">
        <f t="shared" ca="1" si="50"/>
        <v/>
      </c>
    </row>
    <row r="1062" spans="2:6" x14ac:dyDescent="0.2">
      <c r="B1062" t="str">
        <f>IFERROR(IF('PDCA review'!$D$2=Do!B1060,Do!G1060,""),"")</f>
        <v/>
      </c>
      <c r="C1062">
        <f t="shared" si="48"/>
        <v>0</v>
      </c>
      <c r="D1062">
        <f>SUM($C$3:C1062)</f>
        <v>4</v>
      </c>
      <c r="E1062" t="e">
        <f t="shared" si="49"/>
        <v>#N/A</v>
      </c>
      <c r="F1062" s="28" t="str">
        <f t="shared" ca="1" si="50"/>
        <v/>
      </c>
    </row>
    <row r="1063" spans="2:6" x14ac:dyDescent="0.2">
      <c r="B1063" t="str">
        <f>IFERROR(IF('PDCA review'!$D$2=Do!B1061,Do!G1061,""),"")</f>
        <v/>
      </c>
      <c r="C1063">
        <f t="shared" si="48"/>
        <v>0</v>
      </c>
      <c r="D1063">
        <f>SUM($C$3:C1063)</f>
        <v>4</v>
      </c>
      <c r="E1063" t="e">
        <f t="shared" si="49"/>
        <v>#N/A</v>
      </c>
      <c r="F1063" s="28" t="str">
        <f t="shared" ca="1" si="50"/>
        <v/>
      </c>
    </row>
    <row r="1064" spans="2:6" x14ac:dyDescent="0.2">
      <c r="B1064" t="str">
        <f>IFERROR(IF('PDCA review'!$D$2=Do!B1062,Do!G1062,""),"")</f>
        <v/>
      </c>
      <c r="C1064">
        <f t="shared" si="48"/>
        <v>0</v>
      </c>
      <c r="D1064">
        <f>SUM($C$3:C1064)</f>
        <v>4</v>
      </c>
      <c r="E1064" t="e">
        <f t="shared" si="49"/>
        <v>#N/A</v>
      </c>
      <c r="F1064" s="28" t="str">
        <f t="shared" ca="1" si="50"/>
        <v/>
      </c>
    </row>
    <row r="1065" spans="2:6" x14ac:dyDescent="0.2">
      <c r="B1065" t="str">
        <f>IFERROR(IF('PDCA review'!$D$2=Do!B1063,Do!G1063,""),"")</f>
        <v/>
      </c>
      <c r="C1065">
        <f t="shared" si="48"/>
        <v>0</v>
      </c>
      <c r="D1065">
        <f>SUM($C$3:C1065)</f>
        <v>4</v>
      </c>
      <c r="E1065" t="e">
        <f t="shared" si="49"/>
        <v>#N/A</v>
      </c>
      <c r="F1065" s="28" t="str">
        <f t="shared" ca="1" si="50"/>
        <v/>
      </c>
    </row>
    <row r="1066" spans="2:6" x14ac:dyDescent="0.2">
      <c r="B1066" t="str">
        <f>IFERROR(IF('PDCA review'!$D$2=Do!B1064,Do!G1064,""),"")</f>
        <v/>
      </c>
      <c r="C1066">
        <f t="shared" si="48"/>
        <v>0</v>
      </c>
      <c r="D1066">
        <f>SUM($C$3:C1066)</f>
        <v>4</v>
      </c>
      <c r="E1066" t="e">
        <f t="shared" si="49"/>
        <v>#N/A</v>
      </c>
      <c r="F1066" s="28" t="str">
        <f t="shared" ca="1" si="50"/>
        <v/>
      </c>
    </row>
    <row r="1067" spans="2:6" x14ac:dyDescent="0.2">
      <c r="B1067" t="str">
        <f>IFERROR(IF('PDCA review'!$D$2=Do!B1065,Do!G1065,""),"")</f>
        <v/>
      </c>
      <c r="C1067">
        <f t="shared" si="48"/>
        <v>0</v>
      </c>
      <c r="D1067">
        <f>SUM($C$3:C1067)</f>
        <v>4</v>
      </c>
      <c r="E1067" t="e">
        <f t="shared" si="49"/>
        <v>#N/A</v>
      </c>
      <c r="F1067" s="28" t="str">
        <f t="shared" ca="1" si="50"/>
        <v/>
      </c>
    </row>
    <row r="1068" spans="2:6" x14ac:dyDescent="0.2">
      <c r="B1068" t="str">
        <f>IFERROR(IF('PDCA review'!$D$2=Do!B1066,Do!G1066,""),"")</f>
        <v/>
      </c>
      <c r="C1068">
        <f t="shared" si="48"/>
        <v>0</v>
      </c>
      <c r="D1068">
        <f>SUM($C$3:C1068)</f>
        <v>4</v>
      </c>
      <c r="E1068" t="e">
        <f t="shared" si="49"/>
        <v>#N/A</v>
      </c>
      <c r="F1068" s="28" t="str">
        <f t="shared" ca="1" si="50"/>
        <v/>
      </c>
    </row>
    <row r="1069" spans="2:6" x14ac:dyDescent="0.2">
      <c r="B1069" t="str">
        <f>IFERROR(IF('PDCA review'!$D$2=Do!B1067,Do!G1067,""),"")</f>
        <v/>
      </c>
      <c r="C1069">
        <f t="shared" si="48"/>
        <v>0</v>
      </c>
      <c r="D1069">
        <f>SUM($C$3:C1069)</f>
        <v>4</v>
      </c>
      <c r="E1069" t="e">
        <f t="shared" si="49"/>
        <v>#N/A</v>
      </c>
      <c r="F1069" s="28" t="str">
        <f t="shared" ca="1" si="50"/>
        <v/>
      </c>
    </row>
    <row r="1070" spans="2:6" x14ac:dyDescent="0.2">
      <c r="B1070" t="str">
        <f>IFERROR(IF('PDCA review'!$D$2=Do!B1068,Do!G1068,""),"")</f>
        <v/>
      </c>
      <c r="C1070">
        <f t="shared" si="48"/>
        <v>0</v>
      </c>
      <c r="D1070">
        <f>SUM($C$3:C1070)</f>
        <v>4</v>
      </c>
      <c r="E1070" t="e">
        <f t="shared" si="49"/>
        <v>#N/A</v>
      </c>
      <c r="F1070" s="28" t="str">
        <f t="shared" ca="1" si="50"/>
        <v/>
      </c>
    </row>
    <row r="1071" spans="2:6" x14ac:dyDescent="0.2">
      <c r="B1071" t="str">
        <f>IFERROR(IF('PDCA review'!$D$2=Do!B1069,Do!G1069,""),"")</f>
        <v/>
      </c>
      <c r="C1071">
        <f t="shared" si="48"/>
        <v>0</v>
      </c>
      <c r="D1071">
        <f>SUM($C$3:C1071)</f>
        <v>4</v>
      </c>
      <c r="E1071" t="e">
        <f t="shared" si="49"/>
        <v>#N/A</v>
      </c>
      <c r="F1071" s="28" t="str">
        <f t="shared" ca="1" si="50"/>
        <v/>
      </c>
    </row>
    <row r="1072" spans="2:6" x14ac:dyDescent="0.2">
      <c r="B1072" t="str">
        <f>IFERROR(IF('PDCA review'!$D$2=Do!B1070,Do!G1070,""),"")</f>
        <v/>
      </c>
      <c r="C1072">
        <f t="shared" si="48"/>
        <v>0</v>
      </c>
      <c r="D1072">
        <f>SUM($C$3:C1072)</f>
        <v>4</v>
      </c>
      <c r="E1072" t="e">
        <f t="shared" si="49"/>
        <v>#N/A</v>
      </c>
      <c r="F1072" s="28" t="str">
        <f t="shared" ca="1" si="50"/>
        <v/>
      </c>
    </row>
    <row r="1073" spans="2:6" x14ac:dyDescent="0.2">
      <c r="B1073" t="str">
        <f>IFERROR(IF('PDCA review'!$D$2=Do!B1071,Do!G1071,""),"")</f>
        <v/>
      </c>
      <c r="C1073">
        <f t="shared" si="48"/>
        <v>0</v>
      </c>
      <c r="D1073">
        <f>SUM($C$3:C1073)</f>
        <v>4</v>
      </c>
      <c r="E1073" t="e">
        <f t="shared" si="49"/>
        <v>#N/A</v>
      </c>
      <c r="F1073" s="28" t="str">
        <f t="shared" ca="1" si="50"/>
        <v/>
      </c>
    </row>
    <row r="1074" spans="2:6" x14ac:dyDescent="0.2">
      <c r="B1074" t="str">
        <f>IFERROR(IF('PDCA review'!$D$2=Do!B1072,Do!G1072,""),"")</f>
        <v/>
      </c>
      <c r="C1074">
        <f t="shared" si="48"/>
        <v>0</v>
      </c>
      <c r="D1074">
        <f>SUM($C$3:C1074)</f>
        <v>4</v>
      </c>
      <c r="E1074" t="e">
        <f t="shared" si="49"/>
        <v>#N/A</v>
      </c>
      <c r="F1074" s="28" t="str">
        <f t="shared" ca="1" si="50"/>
        <v/>
      </c>
    </row>
    <row r="1075" spans="2:6" x14ac:dyDescent="0.2">
      <c r="B1075" t="str">
        <f>IFERROR(IF('PDCA review'!$D$2=Do!B1073,Do!G1073,""),"")</f>
        <v/>
      </c>
      <c r="C1075">
        <f t="shared" si="48"/>
        <v>0</v>
      </c>
      <c r="D1075">
        <f>SUM($C$3:C1075)</f>
        <v>4</v>
      </c>
      <c r="E1075" t="e">
        <f t="shared" si="49"/>
        <v>#N/A</v>
      </c>
      <c r="F1075" s="28" t="str">
        <f t="shared" ca="1" si="50"/>
        <v/>
      </c>
    </row>
    <row r="1076" spans="2:6" x14ac:dyDescent="0.2">
      <c r="B1076" t="str">
        <f>IFERROR(IF('PDCA review'!$D$2=Do!B1074,Do!G1074,""),"")</f>
        <v/>
      </c>
      <c r="C1076">
        <f t="shared" si="48"/>
        <v>0</v>
      </c>
      <c r="D1076">
        <f>SUM($C$3:C1076)</f>
        <v>4</v>
      </c>
      <c r="E1076" t="e">
        <f t="shared" si="49"/>
        <v>#N/A</v>
      </c>
      <c r="F1076" s="28" t="str">
        <f t="shared" ca="1" si="50"/>
        <v/>
      </c>
    </row>
    <row r="1077" spans="2:6" x14ac:dyDescent="0.2">
      <c r="B1077" t="str">
        <f>IFERROR(IF('PDCA review'!$D$2=Do!B1075,Do!G1075,""),"")</f>
        <v/>
      </c>
      <c r="C1077">
        <f t="shared" si="48"/>
        <v>0</v>
      </c>
      <c r="D1077">
        <f>SUM($C$3:C1077)</f>
        <v>4</v>
      </c>
      <c r="E1077" t="e">
        <f t="shared" si="49"/>
        <v>#N/A</v>
      </c>
      <c r="F1077" s="28" t="str">
        <f t="shared" ca="1" si="50"/>
        <v/>
      </c>
    </row>
    <row r="1078" spans="2:6" x14ac:dyDescent="0.2">
      <c r="B1078" t="str">
        <f>IFERROR(IF('PDCA review'!$D$2=Do!B1076,Do!G1076,""),"")</f>
        <v/>
      </c>
      <c r="C1078">
        <f t="shared" si="48"/>
        <v>0</v>
      </c>
      <c r="D1078">
        <f>SUM($C$3:C1078)</f>
        <v>4</v>
      </c>
      <c r="E1078" t="e">
        <f t="shared" si="49"/>
        <v>#N/A</v>
      </c>
      <c r="F1078" s="28" t="str">
        <f t="shared" ca="1" si="50"/>
        <v/>
      </c>
    </row>
    <row r="1079" spans="2:6" x14ac:dyDescent="0.2">
      <c r="B1079" t="str">
        <f>IFERROR(IF('PDCA review'!$D$2=Do!B1077,Do!G1077,""),"")</f>
        <v/>
      </c>
      <c r="C1079">
        <f t="shared" si="48"/>
        <v>0</v>
      </c>
      <c r="D1079">
        <f>SUM($C$3:C1079)</f>
        <v>4</v>
      </c>
      <c r="E1079" t="e">
        <f t="shared" si="49"/>
        <v>#N/A</v>
      </c>
      <c r="F1079" s="28" t="str">
        <f t="shared" ca="1" si="50"/>
        <v/>
      </c>
    </row>
    <row r="1080" spans="2:6" x14ac:dyDescent="0.2">
      <c r="B1080" t="str">
        <f>IFERROR(IF('PDCA review'!$D$2=Do!B1078,Do!G1078,""),"")</f>
        <v/>
      </c>
      <c r="C1080">
        <f t="shared" si="48"/>
        <v>0</v>
      </c>
      <c r="D1080">
        <f>SUM($C$3:C1080)</f>
        <v>4</v>
      </c>
      <c r="E1080" t="e">
        <f t="shared" si="49"/>
        <v>#N/A</v>
      </c>
      <c r="F1080" s="28" t="str">
        <f t="shared" ca="1" si="50"/>
        <v/>
      </c>
    </row>
    <row r="1081" spans="2:6" x14ac:dyDescent="0.2">
      <c r="B1081" t="str">
        <f>IFERROR(IF('PDCA review'!$D$2=Do!B1079,Do!G1079,""),"")</f>
        <v/>
      </c>
      <c r="C1081">
        <f t="shared" si="48"/>
        <v>0</v>
      </c>
      <c r="D1081">
        <f>SUM($C$3:C1081)</f>
        <v>4</v>
      </c>
      <c r="E1081" t="e">
        <f t="shared" si="49"/>
        <v>#N/A</v>
      </c>
      <c r="F1081" s="28" t="str">
        <f t="shared" ca="1" si="50"/>
        <v/>
      </c>
    </row>
    <row r="1082" spans="2:6" x14ac:dyDescent="0.2">
      <c r="B1082" t="str">
        <f>IFERROR(IF('PDCA review'!$D$2=Do!B1080,Do!G1080,""),"")</f>
        <v/>
      </c>
      <c r="C1082">
        <f t="shared" si="48"/>
        <v>0</v>
      </c>
      <c r="D1082">
        <f>SUM($C$3:C1082)</f>
        <v>4</v>
      </c>
      <c r="E1082" t="e">
        <f t="shared" si="49"/>
        <v>#N/A</v>
      </c>
      <c r="F1082" s="28" t="str">
        <f t="shared" ca="1" si="50"/>
        <v/>
      </c>
    </row>
    <row r="1083" spans="2:6" x14ac:dyDescent="0.2">
      <c r="B1083" t="str">
        <f>IFERROR(IF('PDCA review'!$D$2=Do!B1081,Do!G1081,""),"")</f>
        <v/>
      </c>
      <c r="C1083">
        <f t="shared" si="48"/>
        <v>0</v>
      </c>
      <c r="D1083">
        <f>SUM($C$3:C1083)</f>
        <v>4</v>
      </c>
      <c r="E1083" t="e">
        <f t="shared" si="49"/>
        <v>#N/A</v>
      </c>
      <c r="F1083" s="28" t="str">
        <f t="shared" ca="1" si="50"/>
        <v/>
      </c>
    </row>
    <row r="1084" spans="2:6" x14ac:dyDescent="0.2">
      <c r="B1084" t="str">
        <f>IFERROR(IF('PDCA review'!$D$2=Do!B1082,Do!G1082,""),"")</f>
        <v/>
      </c>
      <c r="C1084">
        <f t="shared" si="48"/>
        <v>0</v>
      </c>
      <c r="D1084">
        <f>SUM($C$3:C1084)</f>
        <v>4</v>
      </c>
      <c r="E1084" t="e">
        <f t="shared" si="49"/>
        <v>#N/A</v>
      </c>
      <c r="F1084" s="28" t="str">
        <f t="shared" ca="1" si="50"/>
        <v/>
      </c>
    </row>
    <row r="1085" spans="2:6" x14ac:dyDescent="0.2">
      <c r="B1085" t="str">
        <f>IFERROR(IF('PDCA review'!$D$2=Do!B1083,Do!G1083,""),"")</f>
        <v/>
      </c>
      <c r="C1085">
        <f t="shared" si="48"/>
        <v>0</v>
      </c>
      <c r="D1085">
        <f>SUM($C$3:C1085)</f>
        <v>4</v>
      </c>
      <c r="E1085" t="e">
        <f t="shared" si="49"/>
        <v>#N/A</v>
      </c>
      <c r="F1085" s="28" t="str">
        <f t="shared" ca="1" si="50"/>
        <v/>
      </c>
    </row>
    <row r="1086" spans="2:6" x14ac:dyDescent="0.2">
      <c r="B1086" t="str">
        <f>IFERROR(IF('PDCA review'!$D$2=Do!B1084,Do!G1084,""),"")</f>
        <v/>
      </c>
      <c r="C1086">
        <f t="shared" si="48"/>
        <v>0</v>
      </c>
      <c r="D1086">
        <f>SUM($C$3:C1086)</f>
        <v>4</v>
      </c>
      <c r="E1086" t="e">
        <f t="shared" si="49"/>
        <v>#N/A</v>
      </c>
      <c r="F1086" s="28" t="str">
        <f t="shared" ca="1" si="50"/>
        <v/>
      </c>
    </row>
    <row r="1087" spans="2:6" x14ac:dyDescent="0.2">
      <c r="B1087" t="str">
        <f>IFERROR(IF('PDCA review'!$D$2=Do!B1085,Do!G1085,""),"")</f>
        <v/>
      </c>
      <c r="C1087">
        <f t="shared" si="48"/>
        <v>0</v>
      </c>
      <c r="D1087">
        <f>SUM($C$3:C1087)</f>
        <v>4</v>
      </c>
      <c r="E1087" t="e">
        <f t="shared" si="49"/>
        <v>#N/A</v>
      </c>
      <c r="F1087" s="28" t="str">
        <f t="shared" ca="1" si="50"/>
        <v/>
      </c>
    </row>
    <row r="1088" spans="2:6" x14ac:dyDescent="0.2">
      <c r="B1088" t="str">
        <f>IFERROR(IF('PDCA review'!$D$2=Do!B1086,Do!G1086,""),"")</f>
        <v/>
      </c>
      <c r="C1088">
        <f t="shared" si="48"/>
        <v>0</v>
      </c>
      <c r="D1088">
        <f>SUM($C$3:C1088)</f>
        <v>4</v>
      </c>
      <c r="E1088" t="e">
        <f t="shared" si="49"/>
        <v>#N/A</v>
      </c>
      <c r="F1088" s="28" t="str">
        <f t="shared" ca="1" si="50"/>
        <v/>
      </c>
    </row>
    <row r="1089" spans="2:6" x14ac:dyDescent="0.2">
      <c r="B1089" t="str">
        <f>IFERROR(IF('PDCA review'!$D$2=Do!B1087,Do!G1087,""),"")</f>
        <v/>
      </c>
      <c r="C1089">
        <f t="shared" si="48"/>
        <v>0</v>
      </c>
      <c r="D1089">
        <f>SUM($C$3:C1089)</f>
        <v>4</v>
      </c>
      <c r="E1089" t="e">
        <f t="shared" si="49"/>
        <v>#N/A</v>
      </c>
      <c r="F1089" s="28" t="str">
        <f t="shared" ca="1" si="50"/>
        <v/>
      </c>
    </row>
    <row r="1090" spans="2:6" x14ac:dyDescent="0.2">
      <c r="B1090" t="str">
        <f>IFERROR(IF('PDCA review'!$D$2=Do!B1088,Do!G1088,""),"")</f>
        <v/>
      </c>
      <c r="C1090">
        <f t="shared" si="48"/>
        <v>0</v>
      </c>
      <c r="D1090">
        <f>SUM($C$3:C1090)</f>
        <v>4</v>
      </c>
      <c r="E1090" t="e">
        <f t="shared" si="49"/>
        <v>#N/A</v>
      </c>
      <c r="F1090" s="28" t="str">
        <f t="shared" ca="1" si="50"/>
        <v/>
      </c>
    </row>
    <row r="1091" spans="2:6" x14ac:dyDescent="0.2">
      <c r="B1091" t="str">
        <f>IFERROR(IF('PDCA review'!$D$2=Do!B1089,Do!G1089,""),"")</f>
        <v/>
      </c>
      <c r="C1091">
        <f t="shared" si="48"/>
        <v>0</v>
      </c>
      <c r="D1091">
        <f>SUM($C$3:C1091)</f>
        <v>4</v>
      </c>
      <c r="E1091" t="e">
        <f t="shared" si="49"/>
        <v>#N/A</v>
      </c>
      <c r="F1091" s="28" t="str">
        <f t="shared" ca="1" si="50"/>
        <v/>
      </c>
    </row>
    <row r="1092" spans="2:6" x14ac:dyDescent="0.2">
      <c r="B1092" t="str">
        <f>IFERROR(IF('PDCA review'!$D$2=Do!B1090,Do!G1090,""),"")</f>
        <v/>
      </c>
      <c r="C1092">
        <f t="shared" ref="C1092:C1155" si="51">IF(B1092&lt;&gt;"",1,0)</f>
        <v>0</v>
      </c>
      <c r="D1092">
        <f>SUM($C$3:C1092)</f>
        <v>4</v>
      </c>
      <c r="E1092" t="e">
        <f t="shared" ref="E1092:E1155" si="52">MATCH(ROW()-$D$2,$D$3:$D$2000,0)+$D$2</f>
        <v>#N/A</v>
      </c>
      <c r="F1092" s="28" t="str">
        <f t="shared" ref="F1092:F1155" ca="1" si="53">IFERROR(INDIRECT("B"&amp;E1092),"")</f>
        <v/>
      </c>
    </row>
    <row r="1093" spans="2:6" x14ac:dyDescent="0.2">
      <c r="B1093" t="str">
        <f>IFERROR(IF('PDCA review'!$D$2=Do!B1091,Do!G1091,""),"")</f>
        <v/>
      </c>
      <c r="C1093">
        <f t="shared" si="51"/>
        <v>0</v>
      </c>
      <c r="D1093">
        <f>SUM($C$3:C1093)</f>
        <v>4</v>
      </c>
      <c r="E1093" t="e">
        <f t="shared" si="52"/>
        <v>#N/A</v>
      </c>
      <c r="F1093" s="28" t="str">
        <f t="shared" ca="1" si="53"/>
        <v/>
      </c>
    </row>
    <row r="1094" spans="2:6" x14ac:dyDescent="0.2">
      <c r="B1094" t="str">
        <f>IFERROR(IF('PDCA review'!$D$2=Do!B1092,Do!G1092,""),"")</f>
        <v/>
      </c>
      <c r="C1094">
        <f t="shared" si="51"/>
        <v>0</v>
      </c>
      <c r="D1094">
        <f>SUM($C$3:C1094)</f>
        <v>4</v>
      </c>
      <c r="E1094" t="e">
        <f t="shared" si="52"/>
        <v>#N/A</v>
      </c>
      <c r="F1094" s="28" t="str">
        <f t="shared" ca="1" si="53"/>
        <v/>
      </c>
    </row>
    <row r="1095" spans="2:6" x14ac:dyDescent="0.2">
      <c r="B1095" t="str">
        <f>IFERROR(IF('PDCA review'!$D$2=Do!B1093,Do!G1093,""),"")</f>
        <v/>
      </c>
      <c r="C1095">
        <f t="shared" si="51"/>
        <v>0</v>
      </c>
      <c r="D1095">
        <f>SUM($C$3:C1095)</f>
        <v>4</v>
      </c>
      <c r="E1095" t="e">
        <f t="shared" si="52"/>
        <v>#N/A</v>
      </c>
      <c r="F1095" s="28" t="str">
        <f t="shared" ca="1" si="53"/>
        <v/>
      </c>
    </row>
    <row r="1096" spans="2:6" x14ac:dyDescent="0.2">
      <c r="B1096" t="str">
        <f>IFERROR(IF('PDCA review'!$D$2=Do!B1094,Do!G1094,""),"")</f>
        <v/>
      </c>
      <c r="C1096">
        <f t="shared" si="51"/>
        <v>0</v>
      </c>
      <c r="D1096">
        <f>SUM($C$3:C1096)</f>
        <v>4</v>
      </c>
      <c r="E1096" t="e">
        <f t="shared" si="52"/>
        <v>#N/A</v>
      </c>
      <c r="F1096" s="28" t="str">
        <f t="shared" ca="1" si="53"/>
        <v/>
      </c>
    </row>
    <row r="1097" spans="2:6" x14ac:dyDescent="0.2">
      <c r="B1097" t="str">
        <f>IFERROR(IF('PDCA review'!$D$2=Do!B1095,Do!G1095,""),"")</f>
        <v/>
      </c>
      <c r="C1097">
        <f t="shared" si="51"/>
        <v>0</v>
      </c>
      <c r="D1097">
        <f>SUM($C$3:C1097)</f>
        <v>4</v>
      </c>
      <c r="E1097" t="e">
        <f t="shared" si="52"/>
        <v>#N/A</v>
      </c>
      <c r="F1097" s="28" t="str">
        <f t="shared" ca="1" si="53"/>
        <v/>
      </c>
    </row>
    <row r="1098" spans="2:6" x14ac:dyDescent="0.2">
      <c r="B1098" t="str">
        <f>IFERROR(IF('PDCA review'!$D$2=Do!B1096,Do!G1096,""),"")</f>
        <v/>
      </c>
      <c r="C1098">
        <f t="shared" si="51"/>
        <v>0</v>
      </c>
      <c r="D1098">
        <f>SUM($C$3:C1098)</f>
        <v>4</v>
      </c>
      <c r="E1098" t="e">
        <f t="shared" si="52"/>
        <v>#N/A</v>
      </c>
      <c r="F1098" s="28" t="str">
        <f t="shared" ca="1" si="53"/>
        <v/>
      </c>
    </row>
    <row r="1099" spans="2:6" x14ac:dyDescent="0.2">
      <c r="B1099" t="str">
        <f>IFERROR(IF('PDCA review'!$D$2=Do!B1097,Do!G1097,""),"")</f>
        <v/>
      </c>
      <c r="C1099">
        <f t="shared" si="51"/>
        <v>0</v>
      </c>
      <c r="D1099">
        <f>SUM($C$3:C1099)</f>
        <v>4</v>
      </c>
      <c r="E1099" t="e">
        <f t="shared" si="52"/>
        <v>#N/A</v>
      </c>
      <c r="F1099" s="28" t="str">
        <f t="shared" ca="1" si="53"/>
        <v/>
      </c>
    </row>
    <row r="1100" spans="2:6" x14ac:dyDescent="0.2">
      <c r="B1100" t="str">
        <f>IFERROR(IF('PDCA review'!$D$2=Do!B1098,Do!G1098,""),"")</f>
        <v/>
      </c>
      <c r="C1100">
        <f t="shared" si="51"/>
        <v>0</v>
      </c>
      <c r="D1100">
        <f>SUM($C$3:C1100)</f>
        <v>4</v>
      </c>
      <c r="E1100" t="e">
        <f t="shared" si="52"/>
        <v>#N/A</v>
      </c>
      <c r="F1100" s="28" t="str">
        <f t="shared" ca="1" si="53"/>
        <v/>
      </c>
    </row>
    <row r="1101" spans="2:6" x14ac:dyDescent="0.2">
      <c r="B1101" t="str">
        <f>IFERROR(IF('PDCA review'!$D$2=Do!B1099,Do!G1099,""),"")</f>
        <v/>
      </c>
      <c r="C1101">
        <f t="shared" si="51"/>
        <v>0</v>
      </c>
      <c r="D1101">
        <f>SUM($C$3:C1101)</f>
        <v>4</v>
      </c>
      <c r="E1101" t="e">
        <f t="shared" si="52"/>
        <v>#N/A</v>
      </c>
      <c r="F1101" s="28" t="str">
        <f t="shared" ca="1" si="53"/>
        <v/>
      </c>
    </row>
    <row r="1102" spans="2:6" x14ac:dyDescent="0.2">
      <c r="B1102" t="str">
        <f>IFERROR(IF('PDCA review'!$D$2=Do!B1100,Do!G1100,""),"")</f>
        <v/>
      </c>
      <c r="C1102">
        <f t="shared" si="51"/>
        <v>0</v>
      </c>
      <c r="D1102">
        <f>SUM($C$3:C1102)</f>
        <v>4</v>
      </c>
      <c r="E1102" t="e">
        <f t="shared" si="52"/>
        <v>#N/A</v>
      </c>
      <c r="F1102" s="28" t="str">
        <f t="shared" ca="1" si="53"/>
        <v/>
      </c>
    </row>
    <row r="1103" spans="2:6" x14ac:dyDescent="0.2">
      <c r="B1103" t="str">
        <f>IFERROR(IF('PDCA review'!$D$2=Do!B1101,Do!G1101,""),"")</f>
        <v/>
      </c>
      <c r="C1103">
        <f t="shared" si="51"/>
        <v>0</v>
      </c>
      <c r="D1103">
        <f>SUM($C$3:C1103)</f>
        <v>4</v>
      </c>
      <c r="E1103" t="e">
        <f t="shared" si="52"/>
        <v>#N/A</v>
      </c>
      <c r="F1103" s="28" t="str">
        <f t="shared" ca="1" si="53"/>
        <v/>
      </c>
    </row>
    <row r="1104" spans="2:6" x14ac:dyDescent="0.2">
      <c r="B1104" t="str">
        <f>IFERROR(IF('PDCA review'!$D$2=Do!B1102,Do!G1102,""),"")</f>
        <v/>
      </c>
      <c r="C1104">
        <f t="shared" si="51"/>
        <v>0</v>
      </c>
      <c r="D1104">
        <f>SUM($C$3:C1104)</f>
        <v>4</v>
      </c>
      <c r="E1104" t="e">
        <f t="shared" si="52"/>
        <v>#N/A</v>
      </c>
      <c r="F1104" s="28" t="str">
        <f t="shared" ca="1" si="53"/>
        <v/>
      </c>
    </row>
    <row r="1105" spans="2:6" x14ac:dyDescent="0.2">
      <c r="B1105" t="str">
        <f>IFERROR(IF('PDCA review'!$D$2=Do!B1103,Do!G1103,""),"")</f>
        <v/>
      </c>
      <c r="C1105">
        <f t="shared" si="51"/>
        <v>0</v>
      </c>
      <c r="D1105">
        <f>SUM($C$3:C1105)</f>
        <v>4</v>
      </c>
      <c r="E1105" t="e">
        <f t="shared" si="52"/>
        <v>#N/A</v>
      </c>
      <c r="F1105" s="28" t="str">
        <f t="shared" ca="1" si="53"/>
        <v/>
      </c>
    </row>
    <row r="1106" spans="2:6" x14ac:dyDescent="0.2">
      <c r="B1106" t="str">
        <f>IFERROR(IF('PDCA review'!$D$2=Do!B1104,Do!G1104,""),"")</f>
        <v/>
      </c>
      <c r="C1106">
        <f t="shared" si="51"/>
        <v>0</v>
      </c>
      <c r="D1106">
        <f>SUM($C$3:C1106)</f>
        <v>4</v>
      </c>
      <c r="E1106" t="e">
        <f t="shared" si="52"/>
        <v>#N/A</v>
      </c>
      <c r="F1106" s="28" t="str">
        <f t="shared" ca="1" si="53"/>
        <v/>
      </c>
    </row>
    <row r="1107" spans="2:6" x14ac:dyDescent="0.2">
      <c r="B1107" t="str">
        <f>IFERROR(IF('PDCA review'!$D$2=Do!B1105,Do!G1105,""),"")</f>
        <v/>
      </c>
      <c r="C1107">
        <f t="shared" si="51"/>
        <v>0</v>
      </c>
      <c r="D1107">
        <f>SUM($C$3:C1107)</f>
        <v>4</v>
      </c>
      <c r="E1107" t="e">
        <f t="shared" si="52"/>
        <v>#N/A</v>
      </c>
      <c r="F1107" s="28" t="str">
        <f t="shared" ca="1" si="53"/>
        <v/>
      </c>
    </row>
    <row r="1108" spans="2:6" x14ac:dyDescent="0.2">
      <c r="B1108" t="str">
        <f>IFERROR(IF('PDCA review'!$D$2=Do!B1106,Do!G1106,""),"")</f>
        <v/>
      </c>
      <c r="C1108">
        <f t="shared" si="51"/>
        <v>0</v>
      </c>
      <c r="D1108">
        <f>SUM($C$3:C1108)</f>
        <v>4</v>
      </c>
      <c r="E1108" t="e">
        <f t="shared" si="52"/>
        <v>#N/A</v>
      </c>
      <c r="F1108" s="28" t="str">
        <f t="shared" ca="1" si="53"/>
        <v/>
      </c>
    </row>
    <row r="1109" spans="2:6" x14ac:dyDescent="0.2">
      <c r="B1109" t="str">
        <f>IFERROR(IF('PDCA review'!$D$2=Do!B1107,Do!G1107,""),"")</f>
        <v/>
      </c>
      <c r="C1109">
        <f t="shared" si="51"/>
        <v>0</v>
      </c>
      <c r="D1109">
        <f>SUM($C$3:C1109)</f>
        <v>4</v>
      </c>
      <c r="E1109" t="e">
        <f t="shared" si="52"/>
        <v>#N/A</v>
      </c>
      <c r="F1109" s="28" t="str">
        <f t="shared" ca="1" si="53"/>
        <v/>
      </c>
    </row>
    <row r="1110" spans="2:6" x14ac:dyDescent="0.2">
      <c r="B1110" t="str">
        <f>IFERROR(IF('PDCA review'!$D$2=Do!B1108,Do!G1108,""),"")</f>
        <v/>
      </c>
      <c r="C1110">
        <f t="shared" si="51"/>
        <v>0</v>
      </c>
      <c r="D1110">
        <f>SUM($C$3:C1110)</f>
        <v>4</v>
      </c>
      <c r="E1110" t="e">
        <f t="shared" si="52"/>
        <v>#N/A</v>
      </c>
      <c r="F1110" s="28" t="str">
        <f t="shared" ca="1" si="53"/>
        <v/>
      </c>
    </row>
    <row r="1111" spans="2:6" x14ac:dyDescent="0.2">
      <c r="B1111" t="str">
        <f>IFERROR(IF('PDCA review'!$D$2=Do!B1109,Do!G1109,""),"")</f>
        <v/>
      </c>
      <c r="C1111">
        <f t="shared" si="51"/>
        <v>0</v>
      </c>
      <c r="D1111">
        <f>SUM($C$3:C1111)</f>
        <v>4</v>
      </c>
      <c r="E1111" t="e">
        <f t="shared" si="52"/>
        <v>#N/A</v>
      </c>
      <c r="F1111" s="28" t="str">
        <f t="shared" ca="1" si="53"/>
        <v/>
      </c>
    </row>
    <row r="1112" spans="2:6" x14ac:dyDescent="0.2">
      <c r="B1112" t="str">
        <f>IFERROR(IF('PDCA review'!$D$2=Do!B1110,Do!G1110,""),"")</f>
        <v/>
      </c>
      <c r="C1112">
        <f t="shared" si="51"/>
        <v>0</v>
      </c>
      <c r="D1112">
        <f>SUM($C$3:C1112)</f>
        <v>4</v>
      </c>
      <c r="E1112" t="e">
        <f t="shared" si="52"/>
        <v>#N/A</v>
      </c>
      <c r="F1112" s="28" t="str">
        <f t="shared" ca="1" si="53"/>
        <v/>
      </c>
    </row>
    <row r="1113" spans="2:6" x14ac:dyDescent="0.2">
      <c r="B1113" t="str">
        <f>IFERROR(IF('PDCA review'!$D$2=Do!B1111,Do!G1111,""),"")</f>
        <v/>
      </c>
      <c r="C1113">
        <f t="shared" si="51"/>
        <v>0</v>
      </c>
      <c r="D1113">
        <f>SUM($C$3:C1113)</f>
        <v>4</v>
      </c>
      <c r="E1113" t="e">
        <f t="shared" si="52"/>
        <v>#N/A</v>
      </c>
      <c r="F1113" s="28" t="str">
        <f t="shared" ca="1" si="53"/>
        <v/>
      </c>
    </row>
    <row r="1114" spans="2:6" x14ac:dyDescent="0.2">
      <c r="B1114" t="str">
        <f>IFERROR(IF('PDCA review'!$D$2=Do!B1112,Do!G1112,""),"")</f>
        <v/>
      </c>
      <c r="C1114">
        <f t="shared" si="51"/>
        <v>0</v>
      </c>
      <c r="D1114">
        <f>SUM($C$3:C1114)</f>
        <v>4</v>
      </c>
      <c r="E1114" t="e">
        <f t="shared" si="52"/>
        <v>#N/A</v>
      </c>
      <c r="F1114" s="28" t="str">
        <f t="shared" ca="1" si="53"/>
        <v/>
      </c>
    </row>
    <row r="1115" spans="2:6" x14ac:dyDescent="0.2">
      <c r="B1115" t="str">
        <f>IFERROR(IF('PDCA review'!$D$2=Do!B1113,Do!G1113,""),"")</f>
        <v/>
      </c>
      <c r="C1115">
        <f t="shared" si="51"/>
        <v>0</v>
      </c>
      <c r="D1115">
        <f>SUM($C$3:C1115)</f>
        <v>4</v>
      </c>
      <c r="E1115" t="e">
        <f t="shared" si="52"/>
        <v>#N/A</v>
      </c>
      <c r="F1115" s="28" t="str">
        <f t="shared" ca="1" si="53"/>
        <v/>
      </c>
    </row>
    <row r="1116" spans="2:6" x14ac:dyDescent="0.2">
      <c r="B1116" t="str">
        <f>IFERROR(IF('PDCA review'!$D$2=Do!B1114,Do!G1114,""),"")</f>
        <v/>
      </c>
      <c r="C1116">
        <f t="shared" si="51"/>
        <v>0</v>
      </c>
      <c r="D1116">
        <f>SUM($C$3:C1116)</f>
        <v>4</v>
      </c>
      <c r="E1116" t="e">
        <f t="shared" si="52"/>
        <v>#N/A</v>
      </c>
      <c r="F1116" s="28" t="str">
        <f t="shared" ca="1" si="53"/>
        <v/>
      </c>
    </row>
    <row r="1117" spans="2:6" x14ac:dyDescent="0.2">
      <c r="B1117" t="str">
        <f>IFERROR(IF('PDCA review'!$D$2=Do!B1115,Do!G1115,""),"")</f>
        <v/>
      </c>
      <c r="C1117">
        <f t="shared" si="51"/>
        <v>0</v>
      </c>
      <c r="D1117">
        <f>SUM($C$3:C1117)</f>
        <v>4</v>
      </c>
      <c r="E1117" t="e">
        <f t="shared" si="52"/>
        <v>#N/A</v>
      </c>
      <c r="F1117" s="28" t="str">
        <f t="shared" ca="1" si="53"/>
        <v/>
      </c>
    </row>
    <row r="1118" spans="2:6" x14ac:dyDescent="0.2">
      <c r="B1118" t="str">
        <f>IFERROR(IF('PDCA review'!$D$2=Do!B1116,Do!G1116,""),"")</f>
        <v/>
      </c>
      <c r="C1118">
        <f t="shared" si="51"/>
        <v>0</v>
      </c>
      <c r="D1118">
        <f>SUM($C$3:C1118)</f>
        <v>4</v>
      </c>
      <c r="E1118" t="e">
        <f t="shared" si="52"/>
        <v>#N/A</v>
      </c>
      <c r="F1118" s="28" t="str">
        <f t="shared" ca="1" si="53"/>
        <v/>
      </c>
    </row>
    <row r="1119" spans="2:6" x14ac:dyDescent="0.2">
      <c r="B1119" t="str">
        <f>IFERROR(IF('PDCA review'!$D$2=Do!B1117,Do!G1117,""),"")</f>
        <v/>
      </c>
      <c r="C1119">
        <f t="shared" si="51"/>
        <v>0</v>
      </c>
      <c r="D1119">
        <f>SUM($C$3:C1119)</f>
        <v>4</v>
      </c>
      <c r="E1119" t="e">
        <f t="shared" si="52"/>
        <v>#N/A</v>
      </c>
      <c r="F1119" s="28" t="str">
        <f t="shared" ca="1" si="53"/>
        <v/>
      </c>
    </row>
    <row r="1120" spans="2:6" x14ac:dyDescent="0.2">
      <c r="B1120" t="str">
        <f>IFERROR(IF('PDCA review'!$D$2=Do!B1118,Do!G1118,""),"")</f>
        <v/>
      </c>
      <c r="C1120">
        <f t="shared" si="51"/>
        <v>0</v>
      </c>
      <c r="D1120">
        <f>SUM($C$3:C1120)</f>
        <v>4</v>
      </c>
      <c r="E1120" t="e">
        <f t="shared" si="52"/>
        <v>#N/A</v>
      </c>
      <c r="F1120" s="28" t="str">
        <f t="shared" ca="1" si="53"/>
        <v/>
      </c>
    </row>
    <row r="1121" spans="2:6" x14ac:dyDescent="0.2">
      <c r="B1121" t="str">
        <f>IFERROR(IF('PDCA review'!$D$2=Do!B1119,Do!G1119,""),"")</f>
        <v/>
      </c>
      <c r="C1121">
        <f t="shared" si="51"/>
        <v>0</v>
      </c>
      <c r="D1121">
        <f>SUM($C$3:C1121)</f>
        <v>4</v>
      </c>
      <c r="E1121" t="e">
        <f t="shared" si="52"/>
        <v>#N/A</v>
      </c>
      <c r="F1121" s="28" t="str">
        <f t="shared" ca="1" si="53"/>
        <v/>
      </c>
    </row>
    <row r="1122" spans="2:6" x14ac:dyDescent="0.2">
      <c r="B1122" t="str">
        <f>IFERROR(IF('PDCA review'!$D$2=Do!B1120,Do!G1120,""),"")</f>
        <v/>
      </c>
      <c r="C1122">
        <f t="shared" si="51"/>
        <v>0</v>
      </c>
      <c r="D1122">
        <f>SUM($C$3:C1122)</f>
        <v>4</v>
      </c>
      <c r="E1122" t="e">
        <f t="shared" si="52"/>
        <v>#N/A</v>
      </c>
      <c r="F1122" s="28" t="str">
        <f t="shared" ca="1" si="53"/>
        <v/>
      </c>
    </row>
    <row r="1123" spans="2:6" x14ac:dyDescent="0.2">
      <c r="B1123" t="str">
        <f>IFERROR(IF('PDCA review'!$D$2=Do!B1121,Do!G1121,""),"")</f>
        <v/>
      </c>
      <c r="C1123">
        <f t="shared" si="51"/>
        <v>0</v>
      </c>
      <c r="D1123">
        <f>SUM($C$3:C1123)</f>
        <v>4</v>
      </c>
      <c r="E1123" t="e">
        <f t="shared" si="52"/>
        <v>#N/A</v>
      </c>
      <c r="F1123" s="28" t="str">
        <f t="shared" ca="1" si="53"/>
        <v/>
      </c>
    </row>
    <row r="1124" spans="2:6" x14ac:dyDescent="0.2">
      <c r="B1124" t="str">
        <f>IFERROR(IF('PDCA review'!$D$2=Do!B1122,Do!G1122,""),"")</f>
        <v/>
      </c>
      <c r="C1124">
        <f t="shared" si="51"/>
        <v>0</v>
      </c>
      <c r="D1124">
        <f>SUM($C$3:C1124)</f>
        <v>4</v>
      </c>
      <c r="E1124" t="e">
        <f t="shared" si="52"/>
        <v>#N/A</v>
      </c>
      <c r="F1124" s="28" t="str">
        <f t="shared" ca="1" si="53"/>
        <v/>
      </c>
    </row>
    <row r="1125" spans="2:6" x14ac:dyDescent="0.2">
      <c r="B1125" t="str">
        <f>IFERROR(IF('PDCA review'!$D$2=Do!B1123,Do!G1123,""),"")</f>
        <v/>
      </c>
      <c r="C1125">
        <f t="shared" si="51"/>
        <v>0</v>
      </c>
      <c r="D1125">
        <f>SUM($C$3:C1125)</f>
        <v>4</v>
      </c>
      <c r="E1125" t="e">
        <f t="shared" si="52"/>
        <v>#N/A</v>
      </c>
      <c r="F1125" s="28" t="str">
        <f t="shared" ca="1" si="53"/>
        <v/>
      </c>
    </row>
    <row r="1126" spans="2:6" x14ac:dyDescent="0.2">
      <c r="B1126" t="str">
        <f>IFERROR(IF('PDCA review'!$D$2=Do!B1124,Do!G1124,""),"")</f>
        <v/>
      </c>
      <c r="C1126">
        <f t="shared" si="51"/>
        <v>0</v>
      </c>
      <c r="D1126">
        <f>SUM($C$3:C1126)</f>
        <v>4</v>
      </c>
      <c r="E1126" t="e">
        <f t="shared" si="52"/>
        <v>#N/A</v>
      </c>
      <c r="F1126" s="28" t="str">
        <f t="shared" ca="1" si="53"/>
        <v/>
      </c>
    </row>
    <row r="1127" spans="2:6" x14ac:dyDescent="0.2">
      <c r="B1127" t="str">
        <f>IFERROR(IF('PDCA review'!$D$2=Do!B1125,Do!G1125,""),"")</f>
        <v/>
      </c>
      <c r="C1127">
        <f t="shared" si="51"/>
        <v>0</v>
      </c>
      <c r="D1127">
        <f>SUM($C$3:C1127)</f>
        <v>4</v>
      </c>
      <c r="E1127" t="e">
        <f t="shared" si="52"/>
        <v>#N/A</v>
      </c>
      <c r="F1127" s="28" t="str">
        <f t="shared" ca="1" si="53"/>
        <v/>
      </c>
    </row>
    <row r="1128" spans="2:6" x14ac:dyDescent="0.2">
      <c r="B1128" t="str">
        <f>IFERROR(IF('PDCA review'!$D$2=Do!B1126,Do!G1126,""),"")</f>
        <v/>
      </c>
      <c r="C1128">
        <f t="shared" si="51"/>
        <v>0</v>
      </c>
      <c r="D1128">
        <f>SUM($C$3:C1128)</f>
        <v>4</v>
      </c>
      <c r="E1128" t="e">
        <f t="shared" si="52"/>
        <v>#N/A</v>
      </c>
      <c r="F1128" s="28" t="str">
        <f t="shared" ca="1" si="53"/>
        <v/>
      </c>
    </row>
    <row r="1129" spans="2:6" x14ac:dyDescent="0.2">
      <c r="B1129" t="str">
        <f>IFERROR(IF('PDCA review'!$D$2=Do!B1127,Do!G1127,""),"")</f>
        <v/>
      </c>
      <c r="C1129">
        <f t="shared" si="51"/>
        <v>0</v>
      </c>
      <c r="D1129">
        <f>SUM($C$3:C1129)</f>
        <v>4</v>
      </c>
      <c r="E1129" t="e">
        <f t="shared" si="52"/>
        <v>#N/A</v>
      </c>
      <c r="F1129" s="28" t="str">
        <f t="shared" ca="1" si="53"/>
        <v/>
      </c>
    </row>
    <row r="1130" spans="2:6" x14ac:dyDescent="0.2">
      <c r="B1130" t="str">
        <f>IFERROR(IF('PDCA review'!$D$2=Do!B1128,Do!G1128,""),"")</f>
        <v/>
      </c>
      <c r="C1130">
        <f t="shared" si="51"/>
        <v>0</v>
      </c>
      <c r="D1130">
        <f>SUM($C$3:C1130)</f>
        <v>4</v>
      </c>
      <c r="E1130" t="e">
        <f t="shared" si="52"/>
        <v>#N/A</v>
      </c>
      <c r="F1130" s="28" t="str">
        <f t="shared" ca="1" si="53"/>
        <v/>
      </c>
    </row>
    <row r="1131" spans="2:6" x14ac:dyDescent="0.2">
      <c r="B1131" t="str">
        <f>IFERROR(IF('PDCA review'!$D$2=Do!B1129,Do!G1129,""),"")</f>
        <v/>
      </c>
      <c r="C1131">
        <f t="shared" si="51"/>
        <v>0</v>
      </c>
      <c r="D1131">
        <f>SUM($C$3:C1131)</f>
        <v>4</v>
      </c>
      <c r="E1131" t="e">
        <f t="shared" si="52"/>
        <v>#N/A</v>
      </c>
      <c r="F1131" s="28" t="str">
        <f t="shared" ca="1" si="53"/>
        <v/>
      </c>
    </row>
    <row r="1132" spans="2:6" x14ac:dyDescent="0.2">
      <c r="B1132" t="str">
        <f>IFERROR(IF('PDCA review'!$D$2=Do!B1130,Do!G1130,""),"")</f>
        <v/>
      </c>
      <c r="C1132">
        <f t="shared" si="51"/>
        <v>0</v>
      </c>
      <c r="D1132">
        <f>SUM($C$3:C1132)</f>
        <v>4</v>
      </c>
      <c r="E1132" t="e">
        <f t="shared" si="52"/>
        <v>#N/A</v>
      </c>
      <c r="F1132" s="28" t="str">
        <f t="shared" ca="1" si="53"/>
        <v/>
      </c>
    </row>
    <row r="1133" spans="2:6" x14ac:dyDescent="0.2">
      <c r="B1133" t="str">
        <f>IFERROR(IF('PDCA review'!$D$2=Do!B1131,Do!G1131,""),"")</f>
        <v/>
      </c>
      <c r="C1133">
        <f t="shared" si="51"/>
        <v>0</v>
      </c>
      <c r="D1133">
        <f>SUM($C$3:C1133)</f>
        <v>4</v>
      </c>
      <c r="E1133" t="e">
        <f t="shared" si="52"/>
        <v>#N/A</v>
      </c>
      <c r="F1133" s="28" t="str">
        <f t="shared" ca="1" si="53"/>
        <v/>
      </c>
    </row>
    <row r="1134" spans="2:6" x14ac:dyDescent="0.2">
      <c r="B1134" t="str">
        <f>IFERROR(IF('PDCA review'!$D$2=Do!B1132,Do!G1132,""),"")</f>
        <v/>
      </c>
      <c r="C1134">
        <f t="shared" si="51"/>
        <v>0</v>
      </c>
      <c r="D1134">
        <f>SUM($C$3:C1134)</f>
        <v>4</v>
      </c>
      <c r="E1134" t="e">
        <f t="shared" si="52"/>
        <v>#N/A</v>
      </c>
      <c r="F1134" s="28" t="str">
        <f t="shared" ca="1" si="53"/>
        <v/>
      </c>
    </row>
    <row r="1135" spans="2:6" x14ac:dyDescent="0.2">
      <c r="B1135" t="str">
        <f>IFERROR(IF('PDCA review'!$D$2=Do!B1133,Do!G1133,""),"")</f>
        <v/>
      </c>
      <c r="C1135">
        <f t="shared" si="51"/>
        <v>0</v>
      </c>
      <c r="D1135">
        <f>SUM($C$3:C1135)</f>
        <v>4</v>
      </c>
      <c r="E1135" t="e">
        <f t="shared" si="52"/>
        <v>#N/A</v>
      </c>
      <c r="F1135" s="28" t="str">
        <f t="shared" ca="1" si="53"/>
        <v/>
      </c>
    </row>
    <row r="1136" spans="2:6" x14ac:dyDescent="0.2">
      <c r="B1136" t="str">
        <f>IFERROR(IF('PDCA review'!$D$2=Do!B1134,Do!G1134,""),"")</f>
        <v/>
      </c>
      <c r="C1136">
        <f t="shared" si="51"/>
        <v>0</v>
      </c>
      <c r="D1136">
        <f>SUM($C$3:C1136)</f>
        <v>4</v>
      </c>
      <c r="E1136" t="e">
        <f t="shared" si="52"/>
        <v>#N/A</v>
      </c>
      <c r="F1136" s="28" t="str">
        <f t="shared" ca="1" si="53"/>
        <v/>
      </c>
    </row>
    <row r="1137" spans="2:6" x14ac:dyDescent="0.2">
      <c r="B1137" t="str">
        <f>IFERROR(IF('PDCA review'!$D$2=Do!B1135,Do!G1135,""),"")</f>
        <v/>
      </c>
      <c r="C1137">
        <f t="shared" si="51"/>
        <v>0</v>
      </c>
      <c r="D1137">
        <f>SUM($C$3:C1137)</f>
        <v>4</v>
      </c>
      <c r="E1137" t="e">
        <f t="shared" si="52"/>
        <v>#N/A</v>
      </c>
      <c r="F1137" s="28" t="str">
        <f t="shared" ca="1" si="53"/>
        <v/>
      </c>
    </row>
    <row r="1138" spans="2:6" x14ac:dyDescent="0.2">
      <c r="B1138" t="str">
        <f>IFERROR(IF('PDCA review'!$D$2=Do!B1136,Do!G1136,""),"")</f>
        <v/>
      </c>
      <c r="C1138">
        <f t="shared" si="51"/>
        <v>0</v>
      </c>
      <c r="D1138">
        <f>SUM($C$3:C1138)</f>
        <v>4</v>
      </c>
      <c r="E1138" t="e">
        <f t="shared" si="52"/>
        <v>#N/A</v>
      </c>
      <c r="F1138" s="28" t="str">
        <f t="shared" ca="1" si="53"/>
        <v/>
      </c>
    </row>
    <row r="1139" spans="2:6" x14ac:dyDescent="0.2">
      <c r="B1139" t="str">
        <f>IFERROR(IF('PDCA review'!$D$2=Do!B1137,Do!G1137,""),"")</f>
        <v/>
      </c>
      <c r="C1139">
        <f t="shared" si="51"/>
        <v>0</v>
      </c>
      <c r="D1139">
        <f>SUM($C$3:C1139)</f>
        <v>4</v>
      </c>
      <c r="E1139" t="e">
        <f t="shared" si="52"/>
        <v>#N/A</v>
      </c>
      <c r="F1139" s="28" t="str">
        <f t="shared" ca="1" si="53"/>
        <v/>
      </c>
    </row>
    <row r="1140" spans="2:6" x14ac:dyDescent="0.2">
      <c r="B1140" t="str">
        <f>IFERROR(IF('PDCA review'!$D$2=Do!B1138,Do!G1138,""),"")</f>
        <v/>
      </c>
      <c r="C1140">
        <f t="shared" si="51"/>
        <v>0</v>
      </c>
      <c r="D1140">
        <f>SUM($C$3:C1140)</f>
        <v>4</v>
      </c>
      <c r="E1140" t="e">
        <f t="shared" si="52"/>
        <v>#N/A</v>
      </c>
      <c r="F1140" s="28" t="str">
        <f t="shared" ca="1" si="53"/>
        <v/>
      </c>
    </row>
    <row r="1141" spans="2:6" x14ac:dyDescent="0.2">
      <c r="B1141" t="str">
        <f>IFERROR(IF('PDCA review'!$D$2=Do!B1139,Do!G1139,""),"")</f>
        <v/>
      </c>
      <c r="C1141">
        <f t="shared" si="51"/>
        <v>0</v>
      </c>
      <c r="D1141">
        <f>SUM($C$3:C1141)</f>
        <v>4</v>
      </c>
      <c r="E1141" t="e">
        <f t="shared" si="52"/>
        <v>#N/A</v>
      </c>
      <c r="F1141" s="28" t="str">
        <f t="shared" ca="1" si="53"/>
        <v/>
      </c>
    </row>
    <row r="1142" spans="2:6" x14ac:dyDescent="0.2">
      <c r="B1142" t="str">
        <f>IFERROR(IF('PDCA review'!$D$2=Do!B1140,Do!G1140,""),"")</f>
        <v/>
      </c>
      <c r="C1142">
        <f t="shared" si="51"/>
        <v>0</v>
      </c>
      <c r="D1142">
        <f>SUM($C$3:C1142)</f>
        <v>4</v>
      </c>
      <c r="E1142" t="e">
        <f t="shared" si="52"/>
        <v>#N/A</v>
      </c>
      <c r="F1142" s="28" t="str">
        <f t="shared" ca="1" si="53"/>
        <v/>
      </c>
    </row>
    <row r="1143" spans="2:6" x14ac:dyDescent="0.2">
      <c r="B1143" t="str">
        <f>IFERROR(IF('PDCA review'!$D$2=Do!B1141,Do!G1141,""),"")</f>
        <v/>
      </c>
      <c r="C1143">
        <f t="shared" si="51"/>
        <v>0</v>
      </c>
      <c r="D1143">
        <f>SUM($C$3:C1143)</f>
        <v>4</v>
      </c>
      <c r="E1143" t="e">
        <f t="shared" si="52"/>
        <v>#N/A</v>
      </c>
      <c r="F1143" s="28" t="str">
        <f t="shared" ca="1" si="53"/>
        <v/>
      </c>
    </row>
    <row r="1144" spans="2:6" x14ac:dyDescent="0.2">
      <c r="B1144" t="str">
        <f>IFERROR(IF('PDCA review'!$D$2=Do!B1142,Do!G1142,""),"")</f>
        <v/>
      </c>
      <c r="C1144">
        <f t="shared" si="51"/>
        <v>0</v>
      </c>
      <c r="D1144">
        <f>SUM($C$3:C1144)</f>
        <v>4</v>
      </c>
      <c r="E1144" t="e">
        <f t="shared" si="52"/>
        <v>#N/A</v>
      </c>
      <c r="F1144" s="28" t="str">
        <f t="shared" ca="1" si="53"/>
        <v/>
      </c>
    </row>
    <row r="1145" spans="2:6" x14ac:dyDescent="0.2">
      <c r="B1145" t="str">
        <f>IFERROR(IF('PDCA review'!$D$2=Do!B1143,Do!G1143,""),"")</f>
        <v/>
      </c>
      <c r="C1145">
        <f t="shared" si="51"/>
        <v>0</v>
      </c>
      <c r="D1145">
        <f>SUM($C$3:C1145)</f>
        <v>4</v>
      </c>
      <c r="E1145" t="e">
        <f t="shared" si="52"/>
        <v>#N/A</v>
      </c>
      <c r="F1145" s="28" t="str">
        <f t="shared" ca="1" si="53"/>
        <v/>
      </c>
    </row>
    <row r="1146" spans="2:6" x14ac:dyDescent="0.2">
      <c r="B1146" t="str">
        <f>IFERROR(IF('PDCA review'!$D$2=Do!B1144,Do!G1144,""),"")</f>
        <v/>
      </c>
      <c r="C1146">
        <f t="shared" si="51"/>
        <v>0</v>
      </c>
      <c r="D1146">
        <f>SUM($C$3:C1146)</f>
        <v>4</v>
      </c>
      <c r="E1146" t="e">
        <f t="shared" si="52"/>
        <v>#N/A</v>
      </c>
      <c r="F1146" s="28" t="str">
        <f t="shared" ca="1" si="53"/>
        <v/>
      </c>
    </row>
    <row r="1147" spans="2:6" x14ac:dyDescent="0.2">
      <c r="B1147" t="str">
        <f>IFERROR(IF('PDCA review'!$D$2=Do!B1145,Do!G1145,""),"")</f>
        <v/>
      </c>
      <c r="C1147">
        <f t="shared" si="51"/>
        <v>0</v>
      </c>
      <c r="D1147">
        <f>SUM($C$3:C1147)</f>
        <v>4</v>
      </c>
      <c r="E1147" t="e">
        <f t="shared" si="52"/>
        <v>#N/A</v>
      </c>
      <c r="F1147" s="28" t="str">
        <f t="shared" ca="1" si="53"/>
        <v/>
      </c>
    </row>
    <row r="1148" spans="2:6" x14ac:dyDescent="0.2">
      <c r="B1148" t="str">
        <f>IFERROR(IF('PDCA review'!$D$2=Do!B1146,Do!G1146,""),"")</f>
        <v/>
      </c>
      <c r="C1148">
        <f t="shared" si="51"/>
        <v>0</v>
      </c>
      <c r="D1148">
        <f>SUM($C$3:C1148)</f>
        <v>4</v>
      </c>
      <c r="E1148" t="e">
        <f t="shared" si="52"/>
        <v>#N/A</v>
      </c>
      <c r="F1148" s="28" t="str">
        <f t="shared" ca="1" si="53"/>
        <v/>
      </c>
    </row>
    <row r="1149" spans="2:6" x14ac:dyDescent="0.2">
      <c r="B1149" t="str">
        <f>IFERROR(IF('PDCA review'!$D$2=Do!B1147,Do!G1147,""),"")</f>
        <v/>
      </c>
      <c r="C1149">
        <f t="shared" si="51"/>
        <v>0</v>
      </c>
      <c r="D1149">
        <f>SUM($C$3:C1149)</f>
        <v>4</v>
      </c>
      <c r="E1149" t="e">
        <f t="shared" si="52"/>
        <v>#N/A</v>
      </c>
      <c r="F1149" s="28" t="str">
        <f t="shared" ca="1" si="53"/>
        <v/>
      </c>
    </row>
    <row r="1150" spans="2:6" x14ac:dyDescent="0.2">
      <c r="B1150" t="str">
        <f>IFERROR(IF('PDCA review'!$D$2=Do!B1148,Do!G1148,""),"")</f>
        <v/>
      </c>
      <c r="C1150">
        <f t="shared" si="51"/>
        <v>0</v>
      </c>
      <c r="D1150">
        <f>SUM($C$3:C1150)</f>
        <v>4</v>
      </c>
      <c r="E1150" t="e">
        <f t="shared" si="52"/>
        <v>#N/A</v>
      </c>
      <c r="F1150" s="28" t="str">
        <f t="shared" ca="1" si="53"/>
        <v/>
      </c>
    </row>
    <row r="1151" spans="2:6" x14ac:dyDescent="0.2">
      <c r="B1151" t="str">
        <f>IFERROR(IF('PDCA review'!$D$2=Do!B1149,Do!G1149,""),"")</f>
        <v/>
      </c>
      <c r="C1151">
        <f t="shared" si="51"/>
        <v>0</v>
      </c>
      <c r="D1151">
        <f>SUM($C$3:C1151)</f>
        <v>4</v>
      </c>
      <c r="E1151" t="e">
        <f t="shared" si="52"/>
        <v>#N/A</v>
      </c>
      <c r="F1151" s="28" t="str">
        <f t="shared" ca="1" si="53"/>
        <v/>
      </c>
    </row>
    <row r="1152" spans="2:6" x14ac:dyDescent="0.2">
      <c r="B1152" t="str">
        <f>IFERROR(IF('PDCA review'!$D$2=Do!B1150,Do!G1150,""),"")</f>
        <v/>
      </c>
      <c r="C1152">
        <f t="shared" si="51"/>
        <v>0</v>
      </c>
      <c r="D1152">
        <f>SUM($C$3:C1152)</f>
        <v>4</v>
      </c>
      <c r="E1152" t="e">
        <f t="shared" si="52"/>
        <v>#N/A</v>
      </c>
      <c r="F1152" s="28" t="str">
        <f t="shared" ca="1" si="53"/>
        <v/>
      </c>
    </row>
    <row r="1153" spans="2:6" x14ac:dyDescent="0.2">
      <c r="B1153" t="str">
        <f>IFERROR(IF('PDCA review'!$D$2=Do!B1151,Do!G1151,""),"")</f>
        <v/>
      </c>
      <c r="C1153">
        <f t="shared" si="51"/>
        <v>0</v>
      </c>
      <c r="D1153">
        <f>SUM($C$3:C1153)</f>
        <v>4</v>
      </c>
      <c r="E1153" t="e">
        <f t="shared" si="52"/>
        <v>#N/A</v>
      </c>
      <c r="F1153" s="28" t="str">
        <f t="shared" ca="1" si="53"/>
        <v/>
      </c>
    </row>
    <row r="1154" spans="2:6" x14ac:dyDescent="0.2">
      <c r="B1154" t="str">
        <f>IFERROR(IF('PDCA review'!$D$2=Do!B1152,Do!G1152,""),"")</f>
        <v/>
      </c>
      <c r="C1154">
        <f t="shared" si="51"/>
        <v>0</v>
      </c>
      <c r="D1154">
        <f>SUM($C$3:C1154)</f>
        <v>4</v>
      </c>
      <c r="E1154" t="e">
        <f t="shared" si="52"/>
        <v>#N/A</v>
      </c>
      <c r="F1154" s="28" t="str">
        <f t="shared" ca="1" si="53"/>
        <v/>
      </c>
    </row>
    <row r="1155" spans="2:6" x14ac:dyDescent="0.2">
      <c r="B1155" t="str">
        <f>IFERROR(IF('PDCA review'!$D$2=Do!B1153,Do!G1153,""),"")</f>
        <v/>
      </c>
      <c r="C1155">
        <f t="shared" si="51"/>
        <v>0</v>
      </c>
      <c r="D1155">
        <f>SUM($C$3:C1155)</f>
        <v>4</v>
      </c>
      <c r="E1155" t="e">
        <f t="shared" si="52"/>
        <v>#N/A</v>
      </c>
      <c r="F1155" s="28" t="str">
        <f t="shared" ca="1" si="53"/>
        <v/>
      </c>
    </row>
    <row r="1156" spans="2:6" x14ac:dyDescent="0.2">
      <c r="B1156" t="str">
        <f>IFERROR(IF('PDCA review'!$D$2=Do!B1154,Do!G1154,""),"")</f>
        <v/>
      </c>
      <c r="C1156">
        <f t="shared" ref="C1156:C1219" si="54">IF(B1156&lt;&gt;"",1,0)</f>
        <v>0</v>
      </c>
      <c r="D1156">
        <f>SUM($C$3:C1156)</f>
        <v>4</v>
      </c>
      <c r="E1156" t="e">
        <f t="shared" ref="E1156:E1219" si="55">MATCH(ROW()-$D$2,$D$3:$D$2000,0)+$D$2</f>
        <v>#N/A</v>
      </c>
      <c r="F1156" s="28" t="str">
        <f t="shared" ref="F1156:F1219" ca="1" si="56">IFERROR(INDIRECT("B"&amp;E1156),"")</f>
        <v/>
      </c>
    </row>
    <row r="1157" spans="2:6" x14ac:dyDescent="0.2">
      <c r="B1157" t="str">
        <f>IFERROR(IF('PDCA review'!$D$2=Do!B1155,Do!G1155,""),"")</f>
        <v/>
      </c>
      <c r="C1157">
        <f t="shared" si="54"/>
        <v>0</v>
      </c>
      <c r="D1157">
        <f>SUM($C$3:C1157)</f>
        <v>4</v>
      </c>
      <c r="E1157" t="e">
        <f t="shared" si="55"/>
        <v>#N/A</v>
      </c>
      <c r="F1157" s="28" t="str">
        <f t="shared" ca="1" si="56"/>
        <v/>
      </c>
    </row>
    <row r="1158" spans="2:6" x14ac:dyDescent="0.2">
      <c r="B1158" t="str">
        <f>IFERROR(IF('PDCA review'!$D$2=Do!B1156,Do!G1156,""),"")</f>
        <v/>
      </c>
      <c r="C1158">
        <f t="shared" si="54"/>
        <v>0</v>
      </c>
      <c r="D1158">
        <f>SUM($C$3:C1158)</f>
        <v>4</v>
      </c>
      <c r="E1158" t="e">
        <f t="shared" si="55"/>
        <v>#N/A</v>
      </c>
      <c r="F1158" s="28" t="str">
        <f t="shared" ca="1" si="56"/>
        <v/>
      </c>
    </row>
    <row r="1159" spans="2:6" x14ac:dyDescent="0.2">
      <c r="B1159" t="str">
        <f>IFERROR(IF('PDCA review'!$D$2=Do!B1157,Do!G1157,""),"")</f>
        <v/>
      </c>
      <c r="C1159">
        <f t="shared" si="54"/>
        <v>0</v>
      </c>
      <c r="D1159">
        <f>SUM($C$3:C1159)</f>
        <v>4</v>
      </c>
      <c r="E1159" t="e">
        <f t="shared" si="55"/>
        <v>#N/A</v>
      </c>
      <c r="F1159" s="28" t="str">
        <f t="shared" ca="1" si="56"/>
        <v/>
      </c>
    </row>
    <row r="1160" spans="2:6" x14ac:dyDescent="0.2">
      <c r="B1160" t="str">
        <f>IFERROR(IF('PDCA review'!$D$2=Do!B1158,Do!G1158,""),"")</f>
        <v/>
      </c>
      <c r="C1160">
        <f t="shared" si="54"/>
        <v>0</v>
      </c>
      <c r="D1160">
        <f>SUM($C$3:C1160)</f>
        <v>4</v>
      </c>
      <c r="E1160" t="e">
        <f t="shared" si="55"/>
        <v>#N/A</v>
      </c>
      <c r="F1160" s="28" t="str">
        <f t="shared" ca="1" si="56"/>
        <v/>
      </c>
    </row>
    <row r="1161" spans="2:6" x14ac:dyDescent="0.2">
      <c r="B1161" t="str">
        <f>IFERROR(IF('PDCA review'!$D$2=Do!B1159,Do!G1159,""),"")</f>
        <v/>
      </c>
      <c r="C1161">
        <f t="shared" si="54"/>
        <v>0</v>
      </c>
      <c r="D1161">
        <f>SUM($C$3:C1161)</f>
        <v>4</v>
      </c>
      <c r="E1161" t="e">
        <f t="shared" si="55"/>
        <v>#N/A</v>
      </c>
      <c r="F1161" s="28" t="str">
        <f t="shared" ca="1" si="56"/>
        <v/>
      </c>
    </row>
    <row r="1162" spans="2:6" x14ac:dyDescent="0.2">
      <c r="B1162" t="str">
        <f>IFERROR(IF('PDCA review'!$D$2=Do!B1160,Do!G1160,""),"")</f>
        <v/>
      </c>
      <c r="C1162">
        <f t="shared" si="54"/>
        <v>0</v>
      </c>
      <c r="D1162">
        <f>SUM($C$3:C1162)</f>
        <v>4</v>
      </c>
      <c r="E1162" t="e">
        <f t="shared" si="55"/>
        <v>#N/A</v>
      </c>
      <c r="F1162" s="28" t="str">
        <f t="shared" ca="1" si="56"/>
        <v/>
      </c>
    </row>
    <row r="1163" spans="2:6" x14ac:dyDescent="0.2">
      <c r="B1163" t="str">
        <f>IFERROR(IF('PDCA review'!$D$2=Do!B1161,Do!G1161,""),"")</f>
        <v/>
      </c>
      <c r="C1163">
        <f t="shared" si="54"/>
        <v>0</v>
      </c>
      <c r="D1163">
        <f>SUM($C$3:C1163)</f>
        <v>4</v>
      </c>
      <c r="E1163" t="e">
        <f t="shared" si="55"/>
        <v>#N/A</v>
      </c>
      <c r="F1163" s="28" t="str">
        <f t="shared" ca="1" si="56"/>
        <v/>
      </c>
    </row>
    <row r="1164" spans="2:6" x14ac:dyDescent="0.2">
      <c r="B1164" t="str">
        <f>IFERROR(IF('PDCA review'!$D$2=Do!B1162,Do!G1162,""),"")</f>
        <v/>
      </c>
      <c r="C1164">
        <f t="shared" si="54"/>
        <v>0</v>
      </c>
      <c r="D1164">
        <f>SUM($C$3:C1164)</f>
        <v>4</v>
      </c>
      <c r="E1164" t="e">
        <f t="shared" si="55"/>
        <v>#N/A</v>
      </c>
      <c r="F1164" s="28" t="str">
        <f t="shared" ca="1" si="56"/>
        <v/>
      </c>
    </row>
    <row r="1165" spans="2:6" x14ac:dyDescent="0.2">
      <c r="B1165" t="str">
        <f>IFERROR(IF('PDCA review'!$D$2=Do!B1163,Do!G1163,""),"")</f>
        <v/>
      </c>
      <c r="C1165">
        <f t="shared" si="54"/>
        <v>0</v>
      </c>
      <c r="D1165">
        <f>SUM($C$3:C1165)</f>
        <v>4</v>
      </c>
      <c r="E1165" t="e">
        <f t="shared" si="55"/>
        <v>#N/A</v>
      </c>
      <c r="F1165" s="28" t="str">
        <f t="shared" ca="1" si="56"/>
        <v/>
      </c>
    </row>
    <row r="1166" spans="2:6" x14ac:dyDescent="0.2">
      <c r="B1166" t="str">
        <f>IFERROR(IF('PDCA review'!$D$2=Do!B1164,Do!G1164,""),"")</f>
        <v/>
      </c>
      <c r="C1166">
        <f t="shared" si="54"/>
        <v>0</v>
      </c>
      <c r="D1166">
        <f>SUM($C$3:C1166)</f>
        <v>4</v>
      </c>
      <c r="E1166" t="e">
        <f t="shared" si="55"/>
        <v>#N/A</v>
      </c>
      <c r="F1166" s="28" t="str">
        <f t="shared" ca="1" si="56"/>
        <v/>
      </c>
    </row>
    <row r="1167" spans="2:6" x14ac:dyDescent="0.2">
      <c r="B1167" t="str">
        <f>IFERROR(IF('PDCA review'!$D$2=Do!B1165,Do!G1165,""),"")</f>
        <v/>
      </c>
      <c r="C1167">
        <f t="shared" si="54"/>
        <v>0</v>
      </c>
      <c r="D1167">
        <f>SUM($C$3:C1167)</f>
        <v>4</v>
      </c>
      <c r="E1167" t="e">
        <f t="shared" si="55"/>
        <v>#N/A</v>
      </c>
      <c r="F1167" s="28" t="str">
        <f t="shared" ca="1" si="56"/>
        <v/>
      </c>
    </row>
    <row r="1168" spans="2:6" x14ac:dyDescent="0.2">
      <c r="B1168" t="str">
        <f>IFERROR(IF('PDCA review'!$D$2=Do!B1166,Do!G1166,""),"")</f>
        <v/>
      </c>
      <c r="C1168">
        <f t="shared" si="54"/>
        <v>0</v>
      </c>
      <c r="D1168">
        <f>SUM($C$3:C1168)</f>
        <v>4</v>
      </c>
      <c r="E1168" t="e">
        <f t="shared" si="55"/>
        <v>#N/A</v>
      </c>
      <c r="F1168" s="28" t="str">
        <f t="shared" ca="1" si="56"/>
        <v/>
      </c>
    </row>
    <row r="1169" spans="2:6" x14ac:dyDescent="0.2">
      <c r="B1169" t="str">
        <f>IFERROR(IF('PDCA review'!$D$2=Do!B1167,Do!G1167,""),"")</f>
        <v/>
      </c>
      <c r="C1169">
        <f t="shared" si="54"/>
        <v>0</v>
      </c>
      <c r="D1169">
        <f>SUM($C$3:C1169)</f>
        <v>4</v>
      </c>
      <c r="E1169" t="e">
        <f t="shared" si="55"/>
        <v>#N/A</v>
      </c>
      <c r="F1169" s="28" t="str">
        <f t="shared" ca="1" si="56"/>
        <v/>
      </c>
    </row>
    <row r="1170" spans="2:6" x14ac:dyDescent="0.2">
      <c r="B1170" t="str">
        <f>IFERROR(IF('PDCA review'!$D$2=Do!B1168,Do!G1168,""),"")</f>
        <v/>
      </c>
      <c r="C1170">
        <f t="shared" si="54"/>
        <v>0</v>
      </c>
      <c r="D1170">
        <f>SUM($C$3:C1170)</f>
        <v>4</v>
      </c>
      <c r="E1170" t="e">
        <f t="shared" si="55"/>
        <v>#N/A</v>
      </c>
      <c r="F1170" s="28" t="str">
        <f t="shared" ca="1" si="56"/>
        <v/>
      </c>
    </row>
    <row r="1171" spans="2:6" x14ac:dyDescent="0.2">
      <c r="B1171" t="str">
        <f>IFERROR(IF('PDCA review'!$D$2=Do!B1169,Do!G1169,""),"")</f>
        <v/>
      </c>
      <c r="C1171">
        <f t="shared" si="54"/>
        <v>0</v>
      </c>
      <c r="D1171">
        <f>SUM($C$3:C1171)</f>
        <v>4</v>
      </c>
      <c r="E1171" t="e">
        <f t="shared" si="55"/>
        <v>#N/A</v>
      </c>
      <c r="F1171" s="28" t="str">
        <f t="shared" ca="1" si="56"/>
        <v/>
      </c>
    </row>
    <row r="1172" spans="2:6" x14ac:dyDescent="0.2">
      <c r="B1172" t="str">
        <f>IFERROR(IF('PDCA review'!$D$2=Do!B1170,Do!G1170,""),"")</f>
        <v/>
      </c>
      <c r="C1172">
        <f t="shared" si="54"/>
        <v>0</v>
      </c>
      <c r="D1172">
        <f>SUM($C$3:C1172)</f>
        <v>4</v>
      </c>
      <c r="E1172" t="e">
        <f t="shared" si="55"/>
        <v>#N/A</v>
      </c>
      <c r="F1172" s="28" t="str">
        <f t="shared" ca="1" si="56"/>
        <v/>
      </c>
    </row>
    <row r="1173" spans="2:6" x14ac:dyDescent="0.2">
      <c r="B1173" t="str">
        <f>IFERROR(IF('PDCA review'!$D$2=Do!B1171,Do!G1171,""),"")</f>
        <v/>
      </c>
      <c r="C1173">
        <f t="shared" si="54"/>
        <v>0</v>
      </c>
      <c r="D1173">
        <f>SUM($C$3:C1173)</f>
        <v>4</v>
      </c>
      <c r="E1173" t="e">
        <f t="shared" si="55"/>
        <v>#N/A</v>
      </c>
      <c r="F1173" s="28" t="str">
        <f t="shared" ca="1" si="56"/>
        <v/>
      </c>
    </row>
    <row r="1174" spans="2:6" x14ac:dyDescent="0.2">
      <c r="B1174" t="str">
        <f>IFERROR(IF('PDCA review'!$D$2=Do!B1172,Do!G1172,""),"")</f>
        <v/>
      </c>
      <c r="C1174">
        <f t="shared" si="54"/>
        <v>0</v>
      </c>
      <c r="D1174">
        <f>SUM($C$3:C1174)</f>
        <v>4</v>
      </c>
      <c r="E1174" t="e">
        <f t="shared" si="55"/>
        <v>#N/A</v>
      </c>
      <c r="F1174" s="28" t="str">
        <f t="shared" ca="1" si="56"/>
        <v/>
      </c>
    </row>
    <row r="1175" spans="2:6" x14ac:dyDescent="0.2">
      <c r="B1175" t="str">
        <f>IFERROR(IF('PDCA review'!$D$2=Do!B1173,Do!G1173,""),"")</f>
        <v/>
      </c>
      <c r="C1175">
        <f t="shared" si="54"/>
        <v>0</v>
      </c>
      <c r="D1175">
        <f>SUM($C$3:C1175)</f>
        <v>4</v>
      </c>
      <c r="E1175" t="e">
        <f t="shared" si="55"/>
        <v>#N/A</v>
      </c>
      <c r="F1175" s="28" t="str">
        <f t="shared" ca="1" si="56"/>
        <v/>
      </c>
    </row>
    <row r="1176" spans="2:6" x14ac:dyDescent="0.2">
      <c r="B1176" t="str">
        <f>IFERROR(IF('PDCA review'!$D$2=Do!B1174,Do!G1174,""),"")</f>
        <v/>
      </c>
      <c r="C1176">
        <f t="shared" si="54"/>
        <v>0</v>
      </c>
      <c r="D1176">
        <f>SUM($C$3:C1176)</f>
        <v>4</v>
      </c>
      <c r="E1176" t="e">
        <f t="shared" si="55"/>
        <v>#N/A</v>
      </c>
      <c r="F1176" s="28" t="str">
        <f t="shared" ca="1" si="56"/>
        <v/>
      </c>
    </row>
    <row r="1177" spans="2:6" x14ac:dyDescent="0.2">
      <c r="B1177" t="str">
        <f>IFERROR(IF('PDCA review'!$D$2=Do!B1175,Do!G1175,""),"")</f>
        <v/>
      </c>
      <c r="C1177">
        <f t="shared" si="54"/>
        <v>0</v>
      </c>
      <c r="D1177">
        <f>SUM($C$3:C1177)</f>
        <v>4</v>
      </c>
      <c r="E1177" t="e">
        <f t="shared" si="55"/>
        <v>#N/A</v>
      </c>
      <c r="F1177" s="28" t="str">
        <f t="shared" ca="1" si="56"/>
        <v/>
      </c>
    </row>
    <row r="1178" spans="2:6" x14ac:dyDescent="0.2">
      <c r="B1178" t="str">
        <f>IFERROR(IF('PDCA review'!$D$2=Do!B1176,Do!G1176,""),"")</f>
        <v/>
      </c>
      <c r="C1178">
        <f t="shared" si="54"/>
        <v>0</v>
      </c>
      <c r="D1178">
        <f>SUM($C$3:C1178)</f>
        <v>4</v>
      </c>
      <c r="E1178" t="e">
        <f t="shared" si="55"/>
        <v>#N/A</v>
      </c>
      <c r="F1178" s="28" t="str">
        <f t="shared" ca="1" si="56"/>
        <v/>
      </c>
    </row>
    <row r="1179" spans="2:6" x14ac:dyDescent="0.2">
      <c r="B1179" t="str">
        <f>IFERROR(IF('PDCA review'!$D$2=Do!B1177,Do!G1177,""),"")</f>
        <v/>
      </c>
      <c r="C1179">
        <f t="shared" si="54"/>
        <v>0</v>
      </c>
      <c r="D1179">
        <f>SUM($C$3:C1179)</f>
        <v>4</v>
      </c>
      <c r="E1179" t="e">
        <f t="shared" si="55"/>
        <v>#N/A</v>
      </c>
      <c r="F1179" s="28" t="str">
        <f t="shared" ca="1" si="56"/>
        <v/>
      </c>
    </row>
    <row r="1180" spans="2:6" x14ac:dyDescent="0.2">
      <c r="B1180" t="str">
        <f>IFERROR(IF('PDCA review'!$D$2=Do!B1178,Do!G1178,""),"")</f>
        <v/>
      </c>
      <c r="C1180">
        <f t="shared" si="54"/>
        <v>0</v>
      </c>
      <c r="D1180">
        <f>SUM($C$3:C1180)</f>
        <v>4</v>
      </c>
      <c r="E1180" t="e">
        <f t="shared" si="55"/>
        <v>#N/A</v>
      </c>
      <c r="F1180" s="28" t="str">
        <f t="shared" ca="1" si="56"/>
        <v/>
      </c>
    </row>
    <row r="1181" spans="2:6" x14ac:dyDescent="0.2">
      <c r="B1181" t="str">
        <f>IFERROR(IF('PDCA review'!$D$2=Do!B1179,Do!G1179,""),"")</f>
        <v/>
      </c>
      <c r="C1181">
        <f t="shared" si="54"/>
        <v>0</v>
      </c>
      <c r="D1181">
        <f>SUM($C$3:C1181)</f>
        <v>4</v>
      </c>
      <c r="E1181" t="e">
        <f t="shared" si="55"/>
        <v>#N/A</v>
      </c>
      <c r="F1181" s="28" t="str">
        <f t="shared" ca="1" si="56"/>
        <v/>
      </c>
    </row>
    <row r="1182" spans="2:6" x14ac:dyDescent="0.2">
      <c r="B1182" t="str">
        <f>IFERROR(IF('PDCA review'!$D$2=Do!B1180,Do!G1180,""),"")</f>
        <v/>
      </c>
      <c r="C1182">
        <f t="shared" si="54"/>
        <v>0</v>
      </c>
      <c r="D1182">
        <f>SUM($C$3:C1182)</f>
        <v>4</v>
      </c>
      <c r="E1182" t="e">
        <f t="shared" si="55"/>
        <v>#N/A</v>
      </c>
      <c r="F1182" s="28" t="str">
        <f t="shared" ca="1" si="56"/>
        <v/>
      </c>
    </row>
    <row r="1183" spans="2:6" x14ac:dyDescent="0.2">
      <c r="B1183" t="str">
        <f>IFERROR(IF('PDCA review'!$D$2=Do!B1181,Do!G1181,""),"")</f>
        <v/>
      </c>
      <c r="C1183">
        <f t="shared" si="54"/>
        <v>0</v>
      </c>
      <c r="D1183">
        <f>SUM($C$3:C1183)</f>
        <v>4</v>
      </c>
      <c r="E1183" t="e">
        <f t="shared" si="55"/>
        <v>#N/A</v>
      </c>
      <c r="F1183" s="28" t="str">
        <f t="shared" ca="1" si="56"/>
        <v/>
      </c>
    </row>
    <row r="1184" spans="2:6" x14ac:dyDescent="0.2">
      <c r="B1184" t="str">
        <f>IFERROR(IF('PDCA review'!$D$2=Do!B1182,Do!G1182,""),"")</f>
        <v/>
      </c>
      <c r="C1184">
        <f t="shared" si="54"/>
        <v>0</v>
      </c>
      <c r="D1184">
        <f>SUM($C$3:C1184)</f>
        <v>4</v>
      </c>
      <c r="E1184" t="e">
        <f t="shared" si="55"/>
        <v>#N/A</v>
      </c>
      <c r="F1184" s="28" t="str">
        <f t="shared" ca="1" si="56"/>
        <v/>
      </c>
    </row>
    <row r="1185" spans="2:6" x14ac:dyDescent="0.2">
      <c r="B1185" t="str">
        <f>IFERROR(IF('PDCA review'!$D$2=Do!B1183,Do!G1183,""),"")</f>
        <v/>
      </c>
      <c r="C1185">
        <f t="shared" si="54"/>
        <v>0</v>
      </c>
      <c r="D1185">
        <f>SUM($C$3:C1185)</f>
        <v>4</v>
      </c>
      <c r="E1185" t="e">
        <f t="shared" si="55"/>
        <v>#N/A</v>
      </c>
      <c r="F1185" s="28" t="str">
        <f t="shared" ca="1" si="56"/>
        <v/>
      </c>
    </row>
    <row r="1186" spans="2:6" x14ac:dyDescent="0.2">
      <c r="B1186" t="str">
        <f>IFERROR(IF('PDCA review'!$D$2=Do!B1184,Do!G1184,""),"")</f>
        <v/>
      </c>
      <c r="C1186">
        <f t="shared" si="54"/>
        <v>0</v>
      </c>
      <c r="D1186">
        <f>SUM($C$3:C1186)</f>
        <v>4</v>
      </c>
      <c r="E1186" t="e">
        <f t="shared" si="55"/>
        <v>#N/A</v>
      </c>
      <c r="F1186" s="28" t="str">
        <f t="shared" ca="1" si="56"/>
        <v/>
      </c>
    </row>
    <row r="1187" spans="2:6" x14ac:dyDescent="0.2">
      <c r="B1187" t="str">
        <f>IFERROR(IF('PDCA review'!$D$2=Do!B1185,Do!G1185,""),"")</f>
        <v/>
      </c>
      <c r="C1187">
        <f t="shared" si="54"/>
        <v>0</v>
      </c>
      <c r="D1187">
        <f>SUM($C$3:C1187)</f>
        <v>4</v>
      </c>
      <c r="E1187" t="e">
        <f t="shared" si="55"/>
        <v>#N/A</v>
      </c>
      <c r="F1187" s="28" t="str">
        <f t="shared" ca="1" si="56"/>
        <v/>
      </c>
    </row>
    <row r="1188" spans="2:6" x14ac:dyDescent="0.2">
      <c r="B1188" t="str">
        <f>IFERROR(IF('PDCA review'!$D$2=Do!B1186,Do!G1186,""),"")</f>
        <v/>
      </c>
      <c r="C1188">
        <f t="shared" si="54"/>
        <v>0</v>
      </c>
      <c r="D1188">
        <f>SUM($C$3:C1188)</f>
        <v>4</v>
      </c>
      <c r="E1188" t="e">
        <f t="shared" si="55"/>
        <v>#N/A</v>
      </c>
      <c r="F1188" s="28" t="str">
        <f t="shared" ca="1" si="56"/>
        <v/>
      </c>
    </row>
    <row r="1189" spans="2:6" x14ac:dyDescent="0.2">
      <c r="B1189" t="str">
        <f>IFERROR(IF('PDCA review'!$D$2=Do!B1187,Do!G1187,""),"")</f>
        <v/>
      </c>
      <c r="C1189">
        <f t="shared" si="54"/>
        <v>0</v>
      </c>
      <c r="D1189">
        <f>SUM($C$3:C1189)</f>
        <v>4</v>
      </c>
      <c r="E1189" t="e">
        <f t="shared" si="55"/>
        <v>#N/A</v>
      </c>
      <c r="F1189" s="28" t="str">
        <f t="shared" ca="1" si="56"/>
        <v/>
      </c>
    </row>
    <row r="1190" spans="2:6" x14ac:dyDescent="0.2">
      <c r="B1190" t="str">
        <f>IFERROR(IF('PDCA review'!$D$2=Do!B1188,Do!G1188,""),"")</f>
        <v/>
      </c>
      <c r="C1190">
        <f t="shared" si="54"/>
        <v>0</v>
      </c>
      <c r="D1190">
        <f>SUM($C$3:C1190)</f>
        <v>4</v>
      </c>
      <c r="E1190" t="e">
        <f t="shared" si="55"/>
        <v>#N/A</v>
      </c>
      <c r="F1190" s="28" t="str">
        <f t="shared" ca="1" si="56"/>
        <v/>
      </c>
    </row>
    <row r="1191" spans="2:6" x14ac:dyDescent="0.2">
      <c r="B1191" t="str">
        <f>IFERROR(IF('PDCA review'!$D$2=Do!B1189,Do!G1189,""),"")</f>
        <v/>
      </c>
      <c r="C1191">
        <f t="shared" si="54"/>
        <v>0</v>
      </c>
      <c r="D1191">
        <f>SUM($C$3:C1191)</f>
        <v>4</v>
      </c>
      <c r="E1191" t="e">
        <f t="shared" si="55"/>
        <v>#N/A</v>
      </c>
      <c r="F1191" s="28" t="str">
        <f t="shared" ca="1" si="56"/>
        <v/>
      </c>
    </row>
    <row r="1192" spans="2:6" x14ac:dyDescent="0.2">
      <c r="B1192" t="str">
        <f>IFERROR(IF('PDCA review'!$D$2=Do!B1190,Do!G1190,""),"")</f>
        <v/>
      </c>
      <c r="C1192">
        <f t="shared" si="54"/>
        <v>0</v>
      </c>
      <c r="D1192">
        <f>SUM($C$3:C1192)</f>
        <v>4</v>
      </c>
      <c r="E1192" t="e">
        <f t="shared" si="55"/>
        <v>#N/A</v>
      </c>
      <c r="F1192" s="28" t="str">
        <f t="shared" ca="1" si="56"/>
        <v/>
      </c>
    </row>
    <row r="1193" spans="2:6" x14ac:dyDescent="0.2">
      <c r="B1193" t="str">
        <f>IFERROR(IF('PDCA review'!$D$2=Do!B1191,Do!G1191,""),"")</f>
        <v/>
      </c>
      <c r="C1193">
        <f t="shared" si="54"/>
        <v>0</v>
      </c>
      <c r="D1193">
        <f>SUM($C$3:C1193)</f>
        <v>4</v>
      </c>
      <c r="E1193" t="e">
        <f t="shared" si="55"/>
        <v>#N/A</v>
      </c>
      <c r="F1193" s="28" t="str">
        <f t="shared" ca="1" si="56"/>
        <v/>
      </c>
    </row>
    <row r="1194" spans="2:6" x14ac:dyDescent="0.2">
      <c r="B1194" t="str">
        <f>IFERROR(IF('PDCA review'!$D$2=Do!B1192,Do!G1192,""),"")</f>
        <v/>
      </c>
      <c r="C1194">
        <f t="shared" si="54"/>
        <v>0</v>
      </c>
      <c r="D1194">
        <f>SUM($C$3:C1194)</f>
        <v>4</v>
      </c>
      <c r="E1194" t="e">
        <f t="shared" si="55"/>
        <v>#N/A</v>
      </c>
      <c r="F1194" s="28" t="str">
        <f t="shared" ca="1" si="56"/>
        <v/>
      </c>
    </row>
    <row r="1195" spans="2:6" x14ac:dyDescent="0.2">
      <c r="B1195" t="str">
        <f>IFERROR(IF('PDCA review'!$D$2=Do!B1193,Do!G1193,""),"")</f>
        <v/>
      </c>
      <c r="C1195">
        <f t="shared" si="54"/>
        <v>0</v>
      </c>
      <c r="D1195">
        <f>SUM($C$3:C1195)</f>
        <v>4</v>
      </c>
      <c r="E1195" t="e">
        <f t="shared" si="55"/>
        <v>#N/A</v>
      </c>
      <c r="F1195" s="28" t="str">
        <f t="shared" ca="1" si="56"/>
        <v/>
      </c>
    </row>
    <row r="1196" spans="2:6" x14ac:dyDescent="0.2">
      <c r="B1196" t="str">
        <f>IFERROR(IF('PDCA review'!$D$2=Do!B1194,Do!G1194,""),"")</f>
        <v/>
      </c>
      <c r="C1196">
        <f t="shared" si="54"/>
        <v>0</v>
      </c>
      <c r="D1196">
        <f>SUM($C$3:C1196)</f>
        <v>4</v>
      </c>
      <c r="E1196" t="e">
        <f t="shared" si="55"/>
        <v>#N/A</v>
      </c>
      <c r="F1196" s="28" t="str">
        <f t="shared" ca="1" si="56"/>
        <v/>
      </c>
    </row>
    <row r="1197" spans="2:6" x14ac:dyDescent="0.2">
      <c r="B1197" t="str">
        <f>IFERROR(IF('PDCA review'!$D$2=Do!B1195,Do!G1195,""),"")</f>
        <v/>
      </c>
      <c r="C1197">
        <f t="shared" si="54"/>
        <v>0</v>
      </c>
      <c r="D1197">
        <f>SUM($C$3:C1197)</f>
        <v>4</v>
      </c>
      <c r="E1197" t="e">
        <f t="shared" si="55"/>
        <v>#N/A</v>
      </c>
      <c r="F1197" s="28" t="str">
        <f t="shared" ca="1" si="56"/>
        <v/>
      </c>
    </row>
    <row r="1198" spans="2:6" x14ac:dyDescent="0.2">
      <c r="B1198" t="str">
        <f>IFERROR(IF('PDCA review'!$D$2=Do!B1196,Do!G1196,""),"")</f>
        <v/>
      </c>
      <c r="C1198">
        <f t="shared" si="54"/>
        <v>0</v>
      </c>
      <c r="D1198">
        <f>SUM($C$3:C1198)</f>
        <v>4</v>
      </c>
      <c r="E1198" t="e">
        <f t="shared" si="55"/>
        <v>#N/A</v>
      </c>
      <c r="F1198" s="28" t="str">
        <f t="shared" ca="1" si="56"/>
        <v/>
      </c>
    </row>
    <row r="1199" spans="2:6" x14ac:dyDescent="0.2">
      <c r="B1199" t="str">
        <f>IFERROR(IF('PDCA review'!$D$2=Do!B1197,Do!G1197,""),"")</f>
        <v/>
      </c>
      <c r="C1199">
        <f t="shared" si="54"/>
        <v>0</v>
      </c>
      <c r="D1199">
        <f>SUM($C$3:C1199)</f>
        <v>4</v>
      </c>
      <c r="E1199" t="e">
        <f t="shared" si="55"/>
        <v>#N/A</v>
      </c>
      <c r="F1199" s="28" t="str">
        <f t="shared" ca="1" si="56"/>
        <v/>
      </c>
    </row>
    <row r="1200" spans="2:6" x14ac:dyDescent="0.2">
      <c r="B1200" t="str">
        <f>IFERROR(IF('PDCA review'!$D$2=Do!B1198,Do!G1198,""),"")</f>
        <v/>
      </c>
      <c r="C1200">
        <f t="shared" si="54"/>
        <v>0</v>
      </c>
      <c r="D1200">
        <f>SUM($C$3:C1200)</f>
        <v>4</v>
      </c>
      <c r="E1200" t="e">
        <f t="shared" si="55"/>
        <v>#N/A</v>
      </c>
      <c r="F1200" s="28" t="str">
        <f t="shared" ca="1" si="56"/>
        <v/>
      </c>
    </row>
    <row r="1201" spans="2:6" x14ac:dyDescent="0.2">
      <c r="B1201" t="str">
        <f>IFERROR(IF('PDCA review'!$D$2=Do!B1199,Do!G1199,""),"")</f>
        <v/>
      </c>
      <c r="C1201">
        <f t="shared" si="54"/>
        <v>0</v>
      </c>
      <c r="D1201">
        <f>SUM($C$3:C1201)</f>
        <v>4</v>
      </c>
      <c r="E1201" t="e">
        <f t="shared" si="55"/>
        <v>#N/A</v>
      </c>
      <c r="F1201" s="28" t="str">
        <f t="shared" ca="1" si="56"/>
        <v/>
      </c>
    </row>
    <row r="1202" spans="2:6" x14ac:dyDescent="0.2">
      <c r="B1202" t="str">
        <f>IFERROR(IF('PDCA review'!$D$2=Do!B1200,Do!G1200,""),"")</f>
        <v/>
      </c>
      <c r="C1202">
        <f t="shared" si="54"/>
        <v>0</v>
      </c>
      <c r="D1202">
        <f>SUM($C$3:C1202)</f>
        <v>4</v>
      </c>
      <c r="E1202" t="e">
        <f t="shared" si="55"/>
        <v>#N/A</v>
      </c>
      <c r="F1202" s="28" t="str">
        <f t="shared" ca="1" si="56"/>
        <v/>
      </c>
    </row>
    <row r="1203" spans="2:6" x14ac:dyDescent="0.2">
      <c r="B1203" t="str">
        <f>IFERROR(IF('PDCA review'!$D$2=Do!B1201,Do!G1201,""),"")</f>
        <v/>
      </c>
      <c r="C1203">
        <f t="shared" si="54"/>
        <v>0</v>
      </c>
      <c r="D1203">
        <f>SUM($C$3:C1203)</f>
        <v>4</v>
      </c>
      <c r="E1203" t="e">
        <f t="shared" si="55"/>
        <v>#N/A</v>
      </c>
      <c r="F1203" s="28" t="str">
        <f t="shared" ca="1" si="56"/>
        <v/>
      </c>
    </row>
    <row r="1204" spans="2:6" x14ac:dyDescent="0.2">
      <c r="B1204" t="str">
        <f>IFERROR(IF('PDCA review'!$D$2=Do!B1202,Do!G1202,""),"")</f>
        <v/>
      </c>
      <c r="C1204">
        <f t="shared" si="54"/>
        <v>0</v>
      </c>
      <c r="D1204">
        <f>SUM($C$3:C1204)</f>
        <v>4</v>
      </c>
      <c r="E1204" t="e">
        <f t="shared" si="55"/>
        <v>#N/A</v>
      </c>
      <c r="F1204" s="28" t="str">
        <f t="shared" ca="1" si="56"/>
        <v/>
      </c>
    </row>
    <row r="1205" spans="2:6" x14ac:dyDescent="0.2">
      <c r="B1205" t="str">
        <f>IFERROR(IF('PDCA review'!$D$2=Do!B1203,Do!G1203,""),"")</f>
        <v/>
      </c>
      <c r="C1205">
        <f t="shared" si="54"/>
        <v>0</v>
      </c>
      <c r="D1205">
        <f>SUM($C$3:C1205)</f>
        <v>4</v>
      </c>
      <c r="E1205" t="e">
        <f t="shared" si="55"/>
        <v>#N/A</v>
      </c>
      <c r="F1205" s="28" t="str">
        <f t="shared" ca="1" si="56"/>
        <v/>
      </c>
    </row>
    <row r="1206" spans="2:6" x14ac:dyDescent="0.2">
      <c r="B1206" t="str">
        <f>IFERROR(IF('PDCA review'!$D$2=Do!B1204,Do!G1204,""),"")</f>
        <v/>
      </c>
      <c r="C1206">
        <f t="shared" si="54"/>
        <v>0</v>
      </c>
      <c r="D1206">
        <f>SUM($C$3:C1206)</f>
        <v>4</v>
      </c>
      <c r="E1206" t="e">
        <f t="shared" si="55"/>
        <v>#N/A</v>
      </c>
      <c r="F1206" s="28" t="str">
        <f t="shared" ca="1" si="56"/>
        <v/>
      </c>
    </row>
    <row r="1207" spans="2:6" x14ac:dyDescent="0.2">
      <c r="B1207" t="str">
        <f>IFERROR(IF('PDCA review'!$D$2=Do!B1205,Do!G1205,""),"")</f>
        <v/>
      </c>
      <c r="C1207">
        <f t="shared" si="54"/>
        <v>0</v>
      </c>
      <c r="D1207">
        <f>SUM($C$3:C1207)</f>
        <v>4</v>
      </c>
      <c r="E1207" t="e">
        <f t="shared" si="55"/>
        <v>#N/A</v>
      </c>
      <c r="F1207" s="28" t="str">
        <f t="shared" ca="1" si="56"/>
        <v/>
      </c>
    </row>
    <row r="1208" spans="2:6" x14ac:dyDescent="0.2">
      <c r="B1208" t="str">
        <f>IFERROR(IF('PDCA review'!$D$2=Do!B1206,Do!G1206,""),"")</f>
        <v/>
      </c>
      <c r="C1208">
        <f t="shared" si="54"/>
        <v>0</v>
      </c>
      <c r="D1208">
        <f>SUM($C$3:C1208)</f>
        <v>4</v>
      </c>
      <c r="E1208" t="e">
        <f t="shared" si="55"/>
        <v>#N/A</v>
      </c>
      <c r="F1208" s="28" t="str">
        <f t="shared" ca="1" si="56"/>
        <v/>
      </c>
    </row>
    <row r="1209" spans="2:6" x14ac:dyDescent="0.2">
      <c r="B1209" t="str">
        <f>IFERROR(IF('PDCA review'!$D$2=Do!B1207,Do!G1207,""),"")</f>
        <v/>
      </c>
      <c r="C1209">
        <f t="shared" si="54"/>
        <v>0</v>
      </c>
      <c r="D1209">
        <f>SUM($C$3:C1209)</f>
        <v>4</v>
      </c>
      <c r="E1209" t="e">
        <f t="shared" si="55"/>
        <v>#N/A</v>
      </c>
      <c r="F1209" s="28" t="str">
        <f t="shared" ca="1" si="56"/>
        <v/>
      </c>
    </row>
    <row r="1210" spans="2:6" x14ac:dyDescent="0.2">
      <c r="B1210" t="str">
        <f>IFERROR(IF('PDCA review'!$D$2=Do!B1208,Do!G1208,""),"")</f>
        <v/>
      </c>
      <c r="C1210">
        <f t="shared" si="54"/>
        <v>0</v>
      </c>
      <c r="D1210">
        <f>SUM($C$3:C1210)</f>
        <v>4</v>
      </c>
      <c r="E1210" t="e">
        <f t="shared" si="55"/>
        <v>#N/A</v>
      </c>
      <c r="F1210" s="28" t="str">
        <f t="shared" ca="1" si="56"/>
        <v/>
      </c>
    </row>
    <row r="1211" spans="2:6" x14ac:dyDescent="0.2">
      <c r="B1211" t="str">
        <f>IFERROR(IF('PDCA review'!$D$2=Do!B1209,Do!G1209,""),"")</f>
        <v/>
      </c>
      <c r="C1211">
        <f t="shared" si="54"/>
        <v>0</v>
      </c>
      <c r="D1211">
        <f>SUM($C$3:C1211)</f>
        <v>4</v>
      </c>
      <c r="E1211" t="e">
        <f t="shared" si="55"/>
        <v>#N/A</v>
      </c>
      <c r="F1211" s="28" t="str">
        <f t="shared" ca="1" si="56"/>
        <v/>
      </c>
    </row>
    <row r="1212" spans="2:6" x14ac:dyDescent="0.2">
      <c r="B1212" t="str">
        <f>IFERROR(IF('PDCA review'!$D$2=Do!B1210,Do!G1210,""),"")</f>
        <v/>
      </c>
      <c r="C1212">
        <f t="shared" si="54"/>
        <v>0</v>
      </c>
      <c r="D1212">
        <f>SUM($C$3:C1212)</f>
        <v>4</v>
      </c>
      <c r="E1212" t="e">
        <f t="shared" si="55"/>
        <v>#N/A</v>
      </c>
      <c r="F1212" s="28" t="str">
        <f t="shared" ca="1" si="56"/>
        <v/>
      </c>
    </row>
    <row r="1213" spans="2:6" x14ac:dyDescent="0.2">
      <c r="B1213" t="str">
        <f>IFERROR(IF('PDCA review'!$D$2=Do!B1211,Do!G1211,""),"")</f>
        <v/>
      </c>
      <c r="C1213">
        <f t="shared" si="54"/>
        <v>0</v>
      </c>
      <c r="D1213">
        <f>SUM($C$3:C1213)</f>
        <v>4</v>
      </c>
      <c r="E1213" t="e">
        <f t="shared" si="55"/>
        <v>#N/A</v>
      </c>
      <c r="F1213" s="28" t="str">
        <f t="shared" ca="1" si="56"/>
        <v/>
      </c>
    </row>
    <row r="1214" spans="2:6" x14ac:dyDescent="0.2">
      <c r="B1214" t="str">
        <f>IFERROR(IF('PDCA review'!$D$2=Do!B1212,Do!G1212,""),"")</f>
        <v/>
      </c>
      <c r="C1214">
        <f t="shared" si="54"/>
        <v>0</v>
      </c>
      <c r="D1214">
        <f>SUM($C$3:C1214)</f>
        <v>4</v>
      </c>
      <c r="E1214" t="e">
        <f t="shared" si="55"/>
        <v>#N/A</v>
      </c>
      <c r="F1214" s="28" t="str">
        <f t="shared" ca="1" si="56"/>
        <v/>
      </c>
    </row>
    <row r="1215" spans="2:6" x14ac:dyDescent="0.2">
      <c r="B1215" t="str">
        <f>IFERROR(IF('PDCA review'!$D$2=Do!B1213,Do!G1213,""),"")</f>
        <v/>
      </c>
      <c r="C1215">
        <f t="shared" si="54"/>
        <v>0</v>
      </c>
      <c r="D1215">
        <f>SUM($C$3:C1215)</f>
        <v>4</v>
      </c>
      <c r="E1215" t="e">
        <f t="shared" si="55"/>
        <v>#N/A</v>
      </c>
      <c r="F1215" s="28" t="str">
        <f t="shared" ca="1" si="56"/>
        <v/>
      </c>
    </row>
    <row r="1216" spans="2:6" x14ac:dyDescent="0.2">
      <c r="B1216" t="str">
        <f>IFERROR(IF('PDCA review'!$D$2=Do!B1214,Do!G1214,""),"")</f>
        <v/>
      </c>
      <c r="C1216">
        <f t="shared" si="54"/>
        <v>0</v>
      </c>
      <c r="D1216">
        <f>SUM($C$3:C1216)</f>
        <v>4</v>
      </c>
      <c r="E1216" t="e">
        <f t="shared" si="55"/>
        <v>#N/A</v>
      </c>
      <c r="F1216" s="28" t="str">
        <f t="shared" ca="1" si="56"/>
        <v/>
      </c>
    </row>
    <row r="1217" spans="2:6" x14ac:dyDescent="0.2">
      <c r="B1217" t="str">
        <f>IFERROR(IF('PDCA review'!$D$2=Do!B1215,Do!G1215,""),"")</f>
        <v/>
      </c>
      <c r="C1217">
        <f t="shared" si="54"/>
        <v>0</v>
      </c>
      <c r="D1217">
        <f>SUM($C$3:C1217)</f>
        <v>4</v>
      </c>
      <c r="E1217" t="e">
        <f t="shared" si="55"/>
        <v>#N/A</v>
      </c>
      <c r="F1217" s="28" t="str">
        <f t="shared" ca="1" si="56"/>
        <v/>
      </c>
    </row>
    <row r="1218" spans="2:6" x14ac:dyDescent="0.2">
      <c r="B1218" t="str">
        <f>IFERROR(IF('PDCA review'!$D$2=Do!B1216,Do!G1216,""),"")</f>
        <v/>
      </c>
      <c r="C1218">
        <f t="shared" si="54"/>
        <v>0</v>
      </c>
      <c r="D1218">
        <f>SUM($C$3:C1218)</f>
        <v>4</v>
      </c>
      <c r="E1218" t="e">
        <f t="shared" si="55"/>
        <v>#N/A</v>
      </c>
      <c r="F1218" s="28" t="str">
        <f t="shared" ca="1" si="56"/>
        <v/>
      </c>
    </row>
    <row r="1219" spans="2:6" x14ac:dyDescent="0.2">
      <c r="B1219" t="str">
        <f>IFERROR(IF('PDCA review'!$D$2=Do!B1217,Do!G1217,""),"")</f>
        <v/>
      </c>
      <c r="C1219">
        <f t="shared" si="54"/>
        <v>0</v>
      </c>
      <c r="D1219">
        <f>SUM($C$3:C1219)</f>
        <v>4</v>
      </c>
      <c r="E1219" t="e">
        <f t="shared" si="55"/>
        <v>#N/A</v>
      </c>
      <c r="F1219" s="28" t="str">
        <f t="shared" ca="1" si="56"/>
        <v/>
      </c>
    </row>
    <row r="1220" spans="2:6" x14ac:dyDescent="0.2">
      <c r="B1220" t="str">
        <f>IFERROR(IF('PDCA review'!$D$2=Do!B1218,Do!G1218,""),"")</f>
        <v/>
      </c>
      <c r="C1220">
        <f t="shared" ref="C1220:C1283" si="57">IF(B1220&lt;&gt;"",1,0)</f>
        <v>0</v>
      </c>
      <c r="D1220">
        <f>SUM($C$3:C1220)</f>
        <v>4</v>
      </c>
      <c r="E1220" t="e">
        <f t="shared" ref="E1220:E1283" si="58">MATCH(ROW()-$D$2,$D$3:$D$2000,0)+$D$2</f>
        <v>#N/A</v>
      </c>
      <c r="F1220" s="28" t="str">
        <f t="shared" ref="F1220:F1283" ca="1" si="59">IFERROR(INDIRECT("B"&amp;E1220),"")</f>
        <v/>
      </c>
    </row>
    <row r="1221" spans="2:6" x14ac:dyDescent="0.2">
      <c r="B1221" t="str">
        <f>IFERROR(IF('PDCA review'!$D$2=Do!B1219,Do!G1219,""),"")</f>
        <v/>
      </c>
      <c r="C1221">
        <f t="shared" si="57"/>
        <v>0</v>
      </c>
      <c r="D1221">
        <f>SUM($C$3:C1221)</f>
        <v>4</v>
      </c>
      <c r="E1221" t="e">
        <f t="shared" si="58"/>
        <v>#N/A</v>
      </c>
      <c r="F1221" s="28" t="str">
        <f t="shared" ca="1" si="59"/>
        <v/>
      </c>
    </row>
    <row r="1222" spans="2:6" x14ac:dyDescent="0.2">
      <c r="B1222" t="str">
        <f>IFERROR(IF('PDCA review'!$D$2=Do!B1220,Do!G1220,""),"")</f>
        <v/>
      </c>
      <c r="C1222">
        <f t="shared" si="57"/>
        <v>0</v>
      </c>
      <c r="D1222">
        <f>SUM($C$3:C1222)</f>
        <v>4</v>
      </c>
      <c r="E1222" t="e">
        <f t="shared" si="58"/>
        <v>#N/A</v>
      </c>
      <c r="F1222" s="28" t="str">
        <f t="shared" ca="1" si="59"/>
        <v/>
      </c>
    </row>
    <row r="1223" spans="2:6" x14ac:dyDescent="0.2">
      <c r="B1223" t="str">
        <f>IFERROR(IF('PDCA review'!$D$2=Do!B1221,Do!G1221,""),"")</f>
        <v/>
      </c>
      <c r="C1223">
        <f t="shared" si="57"/>
        <v>0</v>
      </c>
      <c r="D1223">
        <f>SUM($C$3:C1223)</f>
        <v>4</v>
      </c>
      <c r="E1223" t="e">
        <f t="shared" si="58"/>
        <v>#N/A</v>
      </c>
      <c r="F1223" s="28" t="str">
        <f t="shared" ca="1" si="59"/>
        <v/>
      </c>
    </row>
    <row r="1224" spans="2:6" x14ac:dyDescent="0.2">
      <c r="B1224" t="str">
        <f>IFERROR(IF('PDCA review'!$D$2=Do!B1222,Do!G1222,""),"")</f>
        <v/>
      </c>
      <c r="C1224">
        <f t="shared" si="57"/>
        <v>0</v>
      </c>
      <c r="D1224">
        <f>SUM($C$3:C1224)</f>
        <v>4</v>
      </c>
      <c r="E1224" t="e">
        <f t="shared" si="58"/>
        <v>#N/A</v>
      </c>
      <c r="F1224" s="28" t="str">
        <f t="shared" ca="1" si="59"/>
        <v/>
      </c>
    </row>
    <row r="1225" spans="2:6" x14ac:dyDescent="0.2">
      <c r="B1225" t="str">
        <f>IFERROR(IF('PDCA review'!$D$2=Do!B1223,Do!G1223,""),"")</f>
        <v/>
      </c>
      <c r="C1225">
        <f t="shared" si="57"/>
        <v>0</v>
      </c>
      <c r="D1225">
        <f>SUM($C$3:C1225)</f>
        <v>4</v>
      </c>
      <c r="E1225" t="e">
        <f t="shared" si="58"/>
        <v>#N/A</v>
      </c>
      <c r="F1225" s="28" t="str">
        <f t="shared" ca="1" si="59"/>
        <v/>
      </c>
    </row>
    <row r="1226" spans="2:6" x14ac:dyDescent="0.2">
      <c r="B1226" t="str">
        <f>IFERROR(IF('PDCA review'!$D$2=Do!B1224,Do!G1224,""),"")</f>
        <v/>
      </c>
      <c r="C1226">
        <f t="shared" si="57"/>
        <v>0</v>
      </c>
      <c r="D1226">
        <f>SUM($C$3:C1226)</f>
        <v>4</v>
      </c>
      <c r="E1226" t="e">
        <f t="shared" si="58"/>
        <v>#N/A</v>
      </c>
      <c r="F1226" s="28" t="str">
        <f t="shared" ca="1" si="59"/>
        <v/>
      </c>
    </row>
    <row r="1227" spans="2:6" x14ac:dyDescent="0.2">
      <c r="B1227" t="str">
        <f>IFERROR(IF('PDCA review'!$D$2=Do!B1225,Do!G1225,""),"")</f>
        <v/>
      </c>
      <c r="C1227">
        <f t="shared" si="57"/>
        <v>0</v>
      </c>
      <c r="D1227">
        <f>SUM($C$3:C1227)</f>
        <v>4</v>
      </c>
      <c r="E1227" t="e">
        <f t="shared" si="58"/>
        <v>#N/A</v>
      </c>
      <c r="F1227" s="28" t="str">
        <f t="shared" ca="1" si="59"/>
        <v/>
      </c>
    </row>
    <row r="1228" spans="2:6" x14ac:dyDescent="0.2">
      <c r="B1228" t="str">
        <f>IFERROR(IF('PDCA review'!$D$2=Do!B1226,Do!G1226,""),"")</f>
        <v/>
      </c>
      <c r="C1228">
        <f t="shared" si="57"/>
        <v>0</v>
      </c>
      <c r="D1228">
        <f>SUM($C$3:C1228)</f>
        <v>4</v>
      </c>
      <c r="E1228" t="e">
        <f t="shared" si="58"/>
        <v>#N/A</v>
      </c>
      <c r="F1228" s="28" t="str">
        <f t="shared" ca="1" si="59"/>
        <v/>
      </c>
    </row>
    <row r="1229" spans="2:6" x14ac:dyDescent="0.2">
      <c r="B1229" t="str">
        <f>IFERROR(IF('PDCA review'!$D$2=Do!B1227,Do!G1227,""),"")</f>
        <v/>
      </c>
      <c r="C1229">
        <f t="shared" si="57"/>
        <v>0</v>
      </c>
      <c r="D1229">
        <f>SUM($C$3:C1229)</f>
        <v>4</v>
      </c>
      <c r="E1229" t="e">
        <f t="shared" si="58"/>
        <v>#N/A</v>
      </c>
      <c r="F1229" s="28" t="str">
        <f t="shared" ca="1" si="59"/>
        <v/>
      </c>
    </row>
    <row r="1230" spans="2:6" x14ac:dyDescent="0.2">
      <c r="B1230" t="str">
        <f>IFERROR(IF('PDCA review'!$D$2=Do!B1228,Do!G1228,""),"")</f>
        <v/>
      </c>
      <c r="C1230">
        <f t="shared" si="57"/>
        <v>0</v>
      </c>
      <c r="D1230">
        <f>SUM($C$3:C1230)</f>
        <v>4</v>
      </c>
      <c r="E1230" t="e">
        <f t="shared" si="58"/>
        <v>#N/A</v>
      </c>
      <c r="F1230" s="28" t="str">
        <f t="shared" ca="1" si="59"/>
        <v/>
      </c>
    </row>
    <row r="1231" spans="2:6" x14ac:dyDescent="0.2">
      <c r="B1231" t="str">
        <f>IFERROR(IF('PDCA review'!$D$2=Do!B1229,Do!G1229,""),"")</f>
        <v/>
      </c>
      <c r="C1231">
        <f t="shared" si="57"/>
        <v>0</v>
      </c>
      <c r="D1231">
        <f>SUM($C$3:C1231)</f>
        <v>4</v>
      </c>
      <c r="E1231" t="e">
        <f t="shared" si="58"/>
        <v>#N/A</v>
      </c>
      <c r="F1231" s="28" t="str">
        <f t="shared" ca="1" si="59"/>
        <v/>
      </c>
    </row>
    <row r="1232" spans="2:6" x14ac:dyDescent="0.2">
      <c r="B1232" t="str">
        <f>IFERROR(IF('PDCA review'!$D$2=Do!B1230,Do!G1230,""),"")</f>
        <v/>
      </c>
      <c r="C1232">
        <f t="shared" si="57"/>
        <v>0</v>
      </c>
      <c r="D1232">
        <f>SUM($C$3:C1232)</f>
        <v>4</v>
      </c>
      <c r="E1232" t="e">
        <f t="shared" si="58"/>
        <v>#N/A</v>
      </c>
      <c r="F1232" s="28" t="str">
        <f t="shared" ca="1" si="59"/>
        <v/>
      </c>
    </row>
    <row r="1233" spans="2:6" x14ac:dyDescent="0.2">
      <c r="B1233" t="str">
        <f>IFERROR(IF('PDCA review'!$D$2=Do!B1231,Do!G1231,""),"")</f>
        <v/>
      </c>
      <c r="C1233">
        <f t="shared" si="57"/>
        <v>0</v>
      </c>
      <c r="D1233">
        <f>SUM($C$3:C1233)</f>
        <v>4</v>
      </c>
      <c r="E1233" t="e">
        <f t="shared" si="58"/>
        <v>#N/A</v>
      </c>
      <c r="F1233" s="28" t="str">
        <f t="shared" ca="1" si="59"/>
        <v/>
      </c>
    </row>
    <row r="1234" spans="2:6" x14ac:dyDescent="0.2">
      <c r="B1234" t="str">
        <f>IFERROR(IF('PDCA review'!$D$2=Do!B1232,Do!G1232,""),"")</f>
        <v/>
      </c>
      <c r="C1234">
        <f t="shared" si="57"/>
        <v>0</v>
      </c>
      <c r="D1234">
        <f>SUM($C$3:C1234)</f>
        <v>4</v>
      </c>
      <c r="E1234" t="e">
        <f t="shared" si="58"/>
        <v>#N/A</v>
      </c>
      <c r="F1234" s="28" t="str">
        <f t="shared" ca="1" si="59"/>
        <v/>
      </c>
    </row>
    <row r="1235" spans="2:6" x14ac:dyDescent="0.2">
      <c r="B1235" t="str">
        <f>IFERROR(IF('PDCA review'!$D$2=Do!B1233,Do!G1233,""),"")</f>
        <v/>
      </c>
      <c r="C1235">
        <f t="shared" si="57"/>
        <v>0</v>
      </c>
      <c r="D1235">
        <f>SUM($C$3:C1235)</f>
        <v>4</v>
      </c>
      <c r="E1235" t="e">
        <f t="shared" si="58"/>
        <v>#N/A</v>
      </c>
      <c r="F1235" s="28" t="str">
        <f t="shared" ca="1" si="59"/>
        <v/>
      </c>
    </row>
    <row r="1236" spans="2:6" x14ac:dyDescent="0.2">
      <c r="B1236" t="str">
        <f>IFERROR(IF('PDCA review'!$D$2=Do!B1234,Do!G1234,""),"")</f>
        <v/>
      </c>
      <c r="C1236">
        <f t="shared" si="57"/>
        <v>0</v>
      </c>
      <c r="D1236">
        <f>SUM($C$3:C1236)</f>
        <v>4</v>
      </c>
      <c r="E1236" t="e">
        <f t="shared" si="58"/>
        <v>#N/A</v>
      </c>
      <c r="F1236" s="28" t="str">
        <f t="shared" ca="1" si="59"/>
        <v/>
      </c>
    </row>
    <row r="1237" spans="2:6" x14ac:dyDescent="0.2">
      <c r="B1237" t="str">
        <f>IFERROR(IF('PDCA review'!$D$2=Do!B1235,Do!G1235,""),"")</f>
        <v/>
      </c>
      <c r="C1237">
        <f t="shared" si="57"/>
        <v>0</v>
      </c>
      <c r="D1237">
        <f>SUM($C$3:C1237)</f>
        <v>4</v>
      </c>
      <c r="E1237" t="e">
        <f t="shared" si="58"/>
        <v>#N/A</v>
      </c>
      <c r="F1237" s="28" t="str">
        <f t="shared" ca="1" si="59"/>
        <v/>
      </c>
    </row>
    <row r="1238" spans="2:6" x14ac:dyDescent="0.2">
      <c r="B1238" t="str">
        <f>IFERROR(IF('PDCA review'!$D$2=Do!B1236,Do!G1236,""),"")</f>
        <v/>
      </c>
      <c r="C1238">
        <f t="shared" si="57"/>
        <v>0</v>
      </c>
      <c r="D1238">
        <f>SUM($C$3:C1238)</f>
        <v>4</v>
      </c>
      <c r="E1238" t="e">
        <f t="shared" si="58"/>
        <v>#N/A</v>
      </c>
      <c r="F1238" s="28" t="str">
        <f t="shared" ca="1" si="59"/>
        <v/>
      </c>
    </row>
    <row r="1239" spans="2:6" x14ac:dyDescent="0.2">
      <c r="B1239" t="str">
        <f>IFERROR(IF('PDCA review'!$D$2=Do!B1237,Do!G1237,""),"")</f>
        <v/>
      </c>
      <c r="C1239">
        <f t="shared" si="57"/>
        <v>0</v>
      </c>
      <c r="D1239">
        <f>SUM($C$3:C1239)</f>
        <v>4</v>
      </c>
      <c r="E1239" t="e">
        <f t="shared" si="58"/>
        <v>#N/A</v>
      </c>
      <c r="F1239" s="28" t="str">
        <f t="shared" ca="1" si="59"/>
        <v/>
      </c>
    </row>
    <row r="1240" spans="2:6" x14ac:dyDescent="0.2">
      <c r="B1240" t="str">
        <f>IFERROR(IF('PDCA review'!$D$2=Do!B1238,Do!G1238,""),"")</f>
        <v/>
      </c>
      <c r="C1240">
        <f t="shared" si="57"/>
        <v>0</v>
      </c>
      <c r="D1240">
        <f>SUM($C$3:C1240)</f>
        <v>4</v>
      </c>
      <c r="E1240" t="e">
        <f t="shared" si="58"/>
        <v>#N/A</v>
      </c>
      <c r="F1240" s="28" t="str">
        <f t="shared" ca="1" si="59"/>
        <v/>
      </c>
    </row>
    <row r="1241" spans="2:6" x14ac:dyDescent="0.2">
      <c r="B1241" t="str">
        <f>IFERROR(IF('PDCA review'!$D$2=Do!B1239,Do!G1239,""),"")</f>
        <v/>
      </c>
      <c r="C1241">
        <f t="shared" si="57"/>
        <v>0</v>
      </c>
      <c r="D1241">
        <f>SUM($C$3:C1241)</f>
        <v>4</v>
      </c>
      <c r="E1241" t="e">
        <f t="shared" si="58"/>
        <v>#N/A</v>
      </c>
      <c r="F1241" s="28" t="str">
        <f t="shared" ca="1" si="59"/>
        <v/>
      </c>
    </row>
    <row r="1242" spans="2:6" x14ac:dyDescent="0.2">
      <c r="B1242" t="str">
        <f>IFERROR(IF('PDCA review'!$D$2=Do!B1240,Do!G1240,""),"")</f>
        <v/>
      </c>
      <c r="C1242">
        <f t="shared" si="57"/>
        <v>0</v>
      </c>
      <c r="D1242">
        <f>SUM($C$3:C1242)</f>
        <v>4</v>
      </c>
      <c r="E1242" t="e">
        <f t="shared" si="58"/>
        <v>#N/A</v>
      </c>
      <c r="F1242" s="28" t="str">
        <f t="shared" ca="1" si="59"/>
        <v/>
      </c>
    </row>
    <row r="1243" spans="2:6" x14ac:dyDescent="0.2">
      <c r="B1243" t="str">
        <f>IFERROR(IF('PDCA review'!$D$2=Do!B1241,Do!G1241,""),"")</f>
        <v/>
      </c>
      <c r="C1243">
        <f t="shared" si="57"/>
        <v>0</v>
      </c>
      <c r="D1243">
        <f>SUM($C$3:C1243)</f>
        <v>4</v>
      </c>
      <c r="E1243" t="e">
        <f t="shared" si="58"/>
        <v>#N/A</v>
      </c>
      <c r="F1243" s="28" t="str">
        <f t="shared" ca="1" si="59"/>
        <v/>
      </c>
    </row>
    <row r="1244" spans="2:6" x14ac:dyDescent="0.2">
      <c r="B1244" t="str">
        <f>IFERROR(IF('PDCA review'!$D$2=Do!B1242,Do!G1242,""),"")</f>
        <v/>
      </c>
      <c r="C1244">
        <f t="shared" si="57"/>
        <v>0</v>
      </c>
      <c r="D1244">
        <f>SUM($C$3:C1244)</f>
        <v>4</v>
      </c>
      <c r="E1244" t="e">
        <f t="shared" si="58"/>
        <v>#N/A</v>
      </c>
      <c r="F1244" s="28" t="str">
        <f t="shared" ca="1" si="59"/>
        <v/>
      </c>
    </row>
    <row r="1245" spans="2:6" x14ac:dyDescent="0.2">
      <c r="B1245" t="str">
        <f>IFERROR(IF('PDCA review'!$D$2=Do!B1243,Do!G1243,""),"")</f>
        <v/>
      </c>
      <c r="C1245">
        <f t="shared" si="57"/>
        <v>0</v>
      </c>
      <c r="D1245">
        <f>SUM($C$3:C1245)</f>
        <v>4</v>
      </c>
      <c r="E1245" t="e">
        <f t="shared" si="58"/>
        <v>#N/A</v>
      </c>
      <c r="F1245" s="28" t="str">
        <f t="shared" ca="1" si="59"/>
        <v/>
      </c>
    </row>
    <row r="1246" spans="2:6" x14ac:dyDescent="0.2">
      <c r="B1246" t="str">
        <f>IFERROR(IF('PDCA review'!$D$2=Do!B1244,Do!G1244,""),"")</f>
        <v/>
      </c>
      <c r="C1246">
        <f t="shared" si="57"/>
        <v>0</v>
      </c>
      <c r="D1246">
        <f>SUM($C$3:C1246)</f>
        <v>4</v>
      </c>
      <c r="E1246" t="e">
        <f t="shared" si="58"/>
        <v>#N/A</v>
      </c>
      <c r="F1246" s="28" t="str">
        <f t="shared" ca="1" si="59"/>
        <v/>
      </c>
    </row>
    <row r="1247" spans="2:6" x14ac:dyDescent="0.2">
      <c r="B1247" t="str">
        <f>IFERROR(IF('PDCA review'!$D$2=Do!B1245,Do!G1245,""),"")</f>
        <v/>
      </c>
      <c r="C1247">
        <f t="shared" si="57"/>
        <v>0</v>
      </c>
      <c r="D1247">
        <f>SUM($C$3:C1247)</f>
        <v>4</v>
      </c>
      <c r="E1247" t="e">
        <f t="shared" si="58"/>
        <v>#N/A</v>
      </c>
      <c r="F1247" s="28" t="str">
        <f t="shared" ca="1" si="59"/>
        <v/>
      </c>
    </row>
    <row r="1248" spans="2:6" x14ac:dyDescent="0.2">
      <c r="B1248" t="str">
        <f>IFERROR(IF('PDCA review'!$D$2=Do!B1246,Do!G1246,""),"")</f>
        <v/>
      </c>
      <c r="C1248">
        <f t="shared" si="57"/>
        <v>0</v>
      </c>
      <c r="D1248">
        <f>SUM($C$3:C1248)</f>
        <v>4</v>
      </c>
      <c r="E1248" t="e">
        <f t="shared" si="58"/>
        <v>#N/A</v>
      </c>
      <c r="F1248" s="28" t="str">
        <f t="shared" ca="1" si="59"/>
        <v/>
      </c>
    </row>
    <row r="1249" spans="2:6" x14ac:dyDescent="0.2">
      <c r="B1249" t="str">
        <f>IFERROR(IF('PDCA review'!$D$2=Do!B1247,Do!G1247,""),"")</f>
        <v/>
      </c>
      <c r="C1249">
        <f t="shared" si="57"/>
        <v>0</v>
      </c>
      <c r="D1249">
        <f>SUM($C$3:C1249)</f>
        <v>4</v>
      </c>
      <c r="E1249" t="e">
        <f t="shared" si="58"/>
        <v>#N/A</v>
      </c>
      <c r="F1249" s="28" t="str">
        <f t="shared" ca="1" si="59"/>
        <v/>
      </c>
    </row>
    <row r="1250" spans="2:6" x14ac:dyDescent="0.2">
      <c r="B1250" t="str">
        <f>IFERROR(IF('PDCA review'!$D$2=Do!B1248,Do!G1248,""),"")</f>
        <v/>
      </c>
      <c r="C1250">
        <f t="shared" si="57"/>
        <v>0</v>
      </c>
      <c r="D1250">
        <f>SUM($C$3:C1250)</f>
        <v>4</v>
      </c>
      <c r="E1250" t="e">
        <f t="shared" si="58"/>
        <v>#N/A</v>
      </c>
      <c r="F1250" s="28" t="str">
        <f t="shared" ca="1" si="59"/>
        <v/>
      </c>
    </row>
    <row r="1251" spans="2:6" x14ac:dyDescent="0.2">
      <c r="B1251" t="str">
        <f>IFERROR(IF('PDCA review'!$D$2=Do!B1249,Do!G1249,""),"")</f>
        <v/>
      </c>
      <c r="C1251">
        <f t="shared" si="57"/>
        <v>0</v>
      </c>
      <c r="D1251">
        <f>SUM($C$3:C1251)</f>
        <v>4</v>
      </c>
      <c r="E1251" t="e">
        <f t="shared" si="58"/>
        <v>#N/A</v>
      </c>
      <c r="F1251" s="28" t="str">
        <f t="shared" ca="1" si="59"/>
        <v/>
      </c>
    </row>
    <row r="1252" spans="2:6" x14ac:dyDescent="0.2">
      <c r="B1252" t="str">
        <f>IFERROR(IF('PDCA review'!$D$2=Do!B1250,Do!G1250,""),"")</f>
        <v/>
      </c>
      <c r="C1252">
        <f t="shared" si="57"/>
        <v>0</v>
      </c>
      <c r="D1252">
        <f>SUM($C$3:C1252)</f>
        <v>4</v>
      </c>
      <c r="E1252" t="e">
        <f t="shared" si="58"/>
        <v>#N/A</v>
      </c>
      <c r="F1252" s="28" t="str">
        <f t="shared" ca="1" si="59"/>
        <v/>
      </c>
    </row>
    <row r="1253" spans="2:6" x14ac:dyDescent="0.2">
      <c r="B1253" t="str">
        <f>IFERROR(IF('PDCA review'!$D$2=Do!B1251,Do!G1251,""),"")</f>
        <v/>
      </c>
      <c r="C1253">
        <f t="shared" si="57"/>
        <v>0</v>
      </c>
      <c r="D1253">
        <f>SUM($C$3:C1253)</f>
        <v>4</v>
      </c>
      <c r="E1253" t="e">
        <f t="shared" si="58"/>
        <v>#N/A</v>
      </c>
      <c r="F1253" s="28" t="str">
        <f t="shared" ca="1" si="59"/>
        <v/>
      </c>
    </row>
    <row r="1254" spans="2:6" x14ac:dyDescent="0.2">
      <c r="B1254" t="str">
        <f>IFERROR(IF('PDCA review'!$D$2=Do!B1252,Do!G1252,""),"")</f>
        <v/>
      </c>
      <c r="C1254">
        <f t="shared" si="57"/>
        <v>0</v>
      </c>
      <c r="D1254">
        <f>SUM($C$3:C1254)</f>
        <v>4</v>
      </c>
      <c r="E1254" t="e">
        <f t="shared" si="58"/>
        <v>#N/A</v>
      </c>
      <c r="F1254" s="28" t="str">
        <f t="shared" ca="1" si="59"/>
        <v/>
      </c>
    </row>
    <row r="1255" spans="2:6" x14ac:dyDescent="0.2">
      <c r="B1255" t="str">
        <f>IFERROR(IF('PDCA review'!$D$2=Do!B1253,Do!G1253,""),"")</f>
        <v/>
      </c>
      <c r="C1255">
        <f t="shared" si="57"/>
        <v>0</v>
      </c>
      <c r="D1255">
        <f>SUM($C$3:C1255)</f>
        <v>4</v>
      </c>
      <c r="E1255" t="e">
        <f t="shared" si="58"/>
        <v>#N/A</v>
      </c>
      <c r="F1255" s="28" t="str">
        <f t="shared" ca="1" si="59"/>
        <v/>
      </c>
    </row>
    <row r="1256" spans="2:6" x14ac:dyDescent="0.2">
      <c r="B1256" t="str">
        <f>IFERROR(IF('PDCA review'!$D$2=Do!B1254,Do!G1254,""),"")</f>
        <v/>
      </c>
      <c r="C1256">
        <f t="shared" si="57"/>
        <v>0</v>
      </c>
      <c r="D1256">
        <f>SUM($C$3:C1256)</f>
        <v>4</v>
      </c>
      <c r="E1256" t="e">
        <f t="shared" si="58"/>
        <v>#N/A</v>
      </c>
      <c r="F1256" s="28" t="str">
        <f t="shared" ca="1" si="59"/>
        <v/>
      </c>
    </row>
    <row r="1257" spans="2:6" x14ac:dyDescent="0.2">
      <c r="B1257" t="str">
        <f>IFERROR(IF('PDCA review'!$D$2=Do!B1255,Do!G1255,""),"")</f>
        <v/>
      </c>
      <c r="C1257">
        <f t="shared" si="57"/>
        <v>0</v>
      </c>
      <c r="D1257">
        <f>SUM($C$3:C1257)</f>
        <v>4</v>
      </c>
      <c r="E1257" t="e">
        <f t="shared" si="58"/>
        <v>#N/A</v>
      </c>
      <c r="F1257" s="28" t="str">
        <f t="shared" ca="1" si="59"/>
        <v/>
      </c>
    </row>
    <row r="1258" spans="2:6" x14ac:dyDescent="0.2">
      <c r="B1258" t="str">
        <f>IFERROR(IF('PDCA review'!$D$2=Do!B1256,Do!G1256,""),"")</f>
        <v/>
      </c>
      <c r="C1258">
        <f t="shared" si="57"/>
        <v>0</v>
      </c>
      <c r="D1258">
        <f>SUM($C$3:C1258)</f>
        <v>4</v>
      </c>
      <c r="E1258" t="e">
        <f t="shared" si="58"/>
        <v>#N/A</v>
      </c>
      <c r="F1258" s="28" t="str">
        <f t="shared" ca="1" si="59"/>
        <v/>
      </c>
    </row>
    <row r="1259" spans="2:6" x14ac:dyDescent="0.2">
      <c r="B1259" t="str">
        <f>IFERROR(IF('PDCA review'!$D$2=Do!B1257,Do!G1257,""),"")</f>
        <v/>
      </c>
      <c r="C1259">
        <f t="shared" si="57"/>
        <v>0</v>
      </c>
      <c r="D1259">
        <f>SUM($C$3:C1259)</f>
        <v>4</v>
      </c>
      <c r="E1259" t="e">
        <f t="shared" si="58"/>
        <v>#N/A</v>
      </c>
      <c r="F1259" s="28" t="str">
        <f t="shared" ca="1" si="59"/>
        <v/>
      </c>
    </row>
    <row r="1260" spans="2:6" x14ac:dyDescent="0.2">
      <c r="B1260" t="str">
        <f>IFERROR(IF('PDCA review'!$D$2=Do!B1258,Do!G1258,""),"")</f>
        <v/>
      </c>
      <c r="C1260">
        <f t="shared" si="57"/>
        <v>0</v>
      </c>
      <c r="D1260">
        <f>SUM($C$3:C1260)</f>
        <v>4</v>
      </c>
      <c r="E1260" t="e">
        <f t="shared" si="58"/>
        <v>#N/A</v>
      </c>
      <c r="F1260" s="28" t="str">
        <f t="shared" ca="1" si="59"/>
        <v/>
      </c>
    </row>
    <row r="1261" spans="2:6" x14ac:dyDescent="0.2">
      <c r="B1261" t="str">
        <f>IFERROR(IF('PDCA review'!$D$2=Do!B1259,Do!G1259,""),"")</f>
        <v/>
      </c>
      <c r="C1261">
        <f t="shared" si="57"/>
        <v>0</v>
      </c>
      <c r="D1261">
        <f>SUM($C$3:C1261)</f>
        <v>4</v>
      </c>
      <c r="E1261" t="e">
        <f t="shared" si="58"/>
        <v>#N/A</v>
      </c>
      <c r="F1261" s="28" t="str">
        <f t="shared" ca="1" si="59"/>
        <v/>
      </c>
    </row>
    <row r="1262" spans="2:6" x14ac:dyDescent="0.2">
      <c r="B1262" t="str">
        <f>IFERROR(IF('PDCA review'!$D$2=Do!B1260,Do!G1260,""),"")</f>
        <v/>
      </c>
      <c r="C1262">
        <f t="shared" si="57"/>
        <v>0</v>
      </c>
      <c r="D1262">
        <f>SUM($C$3:C1262)</f>
        <v>4</v>
      </c>
      <c r="E1262" t="e">
        <f t="shared" si="58"/>
        <v>#N/A</v>
      </c>
      <c r="F1262" s="28" t="str">
        <f t="shared" ca="1" si="59"/>
        <v/>
      </c>
    </row>
    <row r="1263" spans="2:6" x14ac:dyDescent="0.2">
      <c r="B1263" t="str">
        <f>IFERROR(IF('PDCA review'!$D$2=Do!B1261,Do!G1261,""),"")</f>
        <v/>
      </c>
      <c r="C1263">
        <f t="shared" si="57"/>
        <v>0</v>
      </c>
      <c r="D1263">
        <f>SUM($C$3:C1263)</f>
        <v>4</v>
      </c>
      <c r="E1263" t="e">
        <f t="shared" si="58"/>
        <v>#N/A</v>
      </c>
      <c r="F1263" s="28" t="str">
        <f t="shared" ca="1" si="59"/>
        <v/>
      </c>
    </row>
    <row r="1264" spans="2:6" x14ac:dyDescent="0.2">
      <c r="B1264" t="str">
        <f>IFERROR(IF('PDCA review'!$D$2=Do!B1262,Do!G1262,""),"")</f>
        <v/>
      </c>
      <c r="C1264">
        <f t="shared" si="57"/>
        <v>0</v>
      </c>
      <c r="D1264">
        <f>SUM($C$3:C1264)</f>
        <v>4</v>
      </c>
      <c r="E1264" t="e">
        <f t="shared" si="58"/>
        <v>#N/A</v>
      </c>
      <c r="F1264" s="28" t="str">
        <f t="shared" ca="1" si="59"/>
        <v/>
      </c>
    </row>
    <row r="1265" spans="2:6" x14ac:dyDescent="0.2">
      <c r="B1265" t="str">
        <f>IFERROR(IF('PDCA review'!$D$2=Do!B1263,Do!G1263,""),"")</f>
        <v/>
      </c>
      <c r="C1265">
        <f t="shared" si="57"/>
        <v>0</v>
      </c>
      <c r="D1265">
        <f>SUM($C$3:C1265)</f>
        <v>4</v>
      </c>
      <c r="E1265" t="e">
        <f t="shared" si="58"/>
        <v>#N/A</v>
      </c>
      <c r="F1265" s="28" t="str">
        <f t="shared" ca="1" si="59"/>
        <v/>
      </c>
    </row>
    <row r="1266" spans="2:6" x14ac:dyDescent="0.2">
      <c r="B1266" t="str">
        <f>IFERROR(IF('PDCA review'!$D$2=Do!B1264,Do!G1264,""),"")</f>
        <v/>
      </c>
      <c r="C1266">
        <f t="shared" si="57"/>
        <v>0</v>
      </c>
      <c r="D1266">
        <f>SUM($C$3:C1266)</f>
        <v>4</v>
      </c>
      <c r="E1266" t="e">
        <f t="shared" si="58"/>
        <v>#N/A</v>
      </c>
      <c r="F1266" s="28" t="str">
        <f t="shared" ca="1" si="59"/>
        <v/>
      </c>
    </row>
    <row r="1267" spans="2:6" x14ac:dyDescent="0.2">
      <c r="B1267" t="str">
        <f>IFERROR(IF('PDCA review'!$D$2=Do!B1265,Do!G1265,""),"")</f>
        <v/>
      </c>
      <c r="C1267">
        <f t="shared" si="57"/>
        <v>0</v>
      </c>
      <c r="D1267">
        <f>SUM($C$3:C1267)</f>
        <v>4</v>
      </c>
      <c r="E1267" t="e">
        <f t="shared" si="58"/>
        <v>#N/A</v>
      </c>
      <c r="F1267" s="28" t="str">
        <f t="shared" ca="1" si="59"/>
        <v/>
      </c>
    </row>
    <row r="1268" spans="2:6" x14ac:dyDescent="0.2">
      <c r="B1268" t="str">
        <f>IFERROR(IF('PDCA review'!$D$2=Do!B1266,Do!G1266,""),"")</f>
        <v/>
      </c>
      <c r="C1268">
        <f t="shared" si="57"/>
        <v>0</v>
      </c>
      <c r="D1268">
        <f>SUM($C$3:C1268)</f>
        <v>4</v>
      </c>
      <c r="E1268" t="e">
        <f t="shared" si="58"/>
        <v>#N/A</v>
      </c>
      <c r="F1268" s="28" t="str">
        <f t="shared" ca="1" si="59"/>
        <v/>
      </c>
    </row>
    <row r="1269" spans="2:6" x14ac:dyDescent="0.2">
      <c r="B1269" t="str">
        <f>IFERROR(IF('PDCA review'!$D$2=Do!B1267,Do!G1267,""),"")</f>
        <v/>
      </c>
      <c r="C1269">
        <f t="shared" si="57"/>
        <v>0</v>
      </c>
      <c r="D1269">
        <f>SUM($C$3:C1269)</f>
        <v>4</v>
      </c>
      <c r="E1269" t="e">
        <f t="shared" si="58"/>
        <v>#N/A</v>
      </c>
      <c r="F1269" s="28" t="str">
        <f t="shared" ca="1" si="59"/>
        <v/>
      </c>
    </row>
    <row r="1270" spans="2:6" x14ac:dyDescent="0.2">
      <c r="B1270" t="str">
        <f>IFERROR(IF('PDCA review'!$D$2=Do!B1268,Do!G1268,""),"")</f>
        <v/>
      </c>
      <c r="C1270">
        <f t="shared" si="57"/>
        <v>0</v>
      </c>
      <c r="D1270">
        <f>SUM($C$3:C1270)</f>
        <v>4</v>
      </c>
      <c r="E1270" t="e">
        <f t="shared" si="58"/>
        <v>#N/A</v>
      </c>
      <c r="F1270" s="28" t="str">
        <f t="shared" ca="1" si="59"/>
        <v/>
      </c>
    </row>
    <row r="1271" spans="2:6" x14ac:dyDescent="0.2">
      <c r="B1271" t="str">
        <f>IFERROR(IF('PDCA review'!$D$2=Do!B1269,Do!G1269,""),"")</f>
        <v/>
      </c>
      <c r="C1271">
        <f t="shared" si="57"/>
        <v>0</v>
      </c>
      <c r="D1271">
        <f>SUM($C$3:C1271)</f>
        <v>4</v>
      </c>
      <c r="E1271" t="e">
        <f t="shared" si="58"/>
        <v>#N/A</v>
      </c>
      <c r="F1271" s="28" t="str">
        <f t="shared" ca="1" si="59"/>
        <v/>
      </c>
    </row>
    <row r="1272" spans="2:6" x14ac:dyDescent="0.2">
      <c r="B1272" t="str">
        <f>IFERROR(IF('PDCA review'!$D$2=Do!B1270,Do!G1270,""),"")</f>
        <v/>
      </c>
      <c r="C1272">
        <f t="shared" si="57"/>
        <v>0</v>
      </c>
      <c r="D1272">
        <f>SUM($C$3:C1272)</f>
        <v>4</v>
      </c>
      <c r="E1272" t="e">
        <f t="shared" si="58"/>
        <v>#N/A</v>
      </c>
      <c r="F1272" s="28" t="str">
        <f t="shared" ca="1" si="59"/>
        <v/>
      </c>
    </row>
    <row r="1273" spans="2:6" x14ac:dyDescent="0.2">
      <c r="B1273" t="str">
        <f>IFERROR(IF('PDCA review'!$D$2=Do!B1271,Do!G1271,""),"")</f>
        <v/>
      </c>
      <c r="C1273">
        <f t="shared" si="57"/>
        <v>0</v>
      </c>
      <c r="D1273">
        <f>SUM($C$3:C1273)</f>
        <v>4</v>
      </c>
      <c r="E1273" t="e">
        <f t="shared" si="58"/>
        <v>#N/A</v>
      </c>
      <c r="F1273" s="28" t="str">
        <f t="shared" ca="1" si="59"/>
        <v/>
      </c>
    </row>
    <row r="1274" spans="2:6" x14ac:dyDescent="0.2">
      <c r="B1274" t="str">
        <f>IFERROR(IF('PDCA review'!$D$2=Do!B1272,Do!G1272,""),"")</f>
        <v/>
      </c>
      <c r="C1274">
        <f t="shared" si="57"/>
        <v>0</v>
      </c>
      <c r="D1274">
        <f>SUM($C$3:C1274)</f>
        <v>4</v>
      </c>
      <c r="E1274" t="e">
        <f t="shared" si="58"/>
        <v>#N/A</v>
      </c>
      <c r="F1274" s="28" t="str">
        <f t="shared" ca="1" si="59"/>
        <v/>
      </c>
    </row>
    <row r="1275" spans="2:6" x14ac:dyDescent="0.2">
      <c r="B1275" t="str">
        <f>IFERROR(IF('PDCA review'!$D$2=Do!B1273,Do!G1273,""),"")</f>
        <v/>
      </c>
      <c r="C1275">
        <f t="shared" si="57"/>
        <v>0</v>
      </c>
      <c r="D1275">
        <f>SUM($C$3:C1275)</f>
        <v>4</v>
      </c>
      <c r="E1275" t="e">
        <f t="shared" si="58"/>
        <v>#N/A</v>
      </c>
      <c r="F1275" s="28" t="str">
        <f t="shared" ca="1" si="59"/>
        <v/>
      </c>
    </row>
    <row r="1276" spans="2:6" x14ac:dyDescent="0.2">
      <c r="B1276" t="str">
        <f>IFERROR(IF('PDCA review'!$D$2=Do!B1274,Do!G1274,""),"")</f>
        <v/>
      </c>
      <c r="C1276">
        <f t="shared" si="57"/>
        <v>0</v>
      </c>
      <c r="D1276">
        <f>SUM($C$3:C1276)</f>
        <v>4</v>
      </c>
      <c r="E1276" t="e">
        <f t="shared" si="58"/>
        <v>#N/A</v>
      </c>
      <c r="F1276" s="28" t="str">
        <f t="shared" ca="1" si="59"/>
        <v/>
      </c>
    </row>
    <row r="1277" spans="2:6" x14ac:dyDescent="0.2">
      <c r="B1277" t="str">
        <f>IFERROR(IF('PDCA review'!$D$2=Do!B1275,Do!G1275,""),"")</f>
        <v/>
      </c>
      <c r="C1277">
        <f t="shared" si="57"/>
        <v>0</v>
      </c>
      <c r="D1277">
        <f>SUM($C$3:C1277)</f>
        <v>4</v>
      </c>
      <c r="E1277" t="e">
        <f t="shared" si="58"/>
        <v>#N/A</v>
      </c>
      <c r="F1277" s="28" t="str">
        <f t="shared" ca="1" si="59"/>
        <v/>
      </c>
    </row>
    <row r="1278" spans="2:6" x14ac:dyDescent="0.2">
      <c r="B1278" t="str">
        <f>IFERROR(IF('PDCA review'!$D$2=Do!B1276,Do!G1276,""),"")</f>
        <v/>
      </c>
      <c r="C1278">
        <f t="shared" si="57"/>
        <v>0</v>
      </c>
      <c r="D1278">
        <f>SUM($C$3:C1278)</f>
        <v>4</v>
      </c>
      <c r="E1278" t="e">
        <f t="shared" si="58"/>
        <v>#N/A</v>
      </c>
      <c r="F1278" s="28" t="str">
        <f t="shared" ca="1" si="59"/>
        <v/>
      </c>
    </row>
    <row r="1279" spans="2:6" x14ac:dyDescent="0.2">
      <c r="B1279" t="str">
        <f>IFERROR(IF('PDCA review'!$D$2=Do!B1277,Do!G1277,""),"")</f>
        <v/>
      </c>
      <c r="C1279">
        <f t="shared" si="57"/>
        <v>0</v>
      </c>
      <c r="D1279">
        <f>SUM($C$3:C1279)</f>
        <v>4</v>
      </c>
      <c r="E1279" t="e">
        <f t="shared" si="58"/>
        <v>#N/A</v>
      </c>
      <c r="F1279" s="28" t="str">
        <f t="shared" ca="1" si="59"/>
        <v/>
      </c>
    </row>
    <row r="1280" spans="2:6" x14ac:dyDescent="0.2">
      <c r="B1280" t="str">
        <f>IFERROR(IF('PDCA review'!$D$2=Do!B1278,Do!G1278,""),"")</f>
        <v/>
      </c>
      <c r="C1280">
        <f t="shared" si="57"/>
        <v>0</v>
      </c>
      <c r="D1280">
        <f>SUM($C$3:C1280)</f>
        <v>4</v>
      </c>
      <c r="E1280" t="e">
        <f t="shared" si="58"/>
        <v>#N/A</v>
      </c>
      <c r="F1280" s="28" t="str">
        <f t="shared" ca="1" si="59"/>
        <v/>
      </c>
    </row>
    <row r="1281" spans="2:6" x14ac:dyDescent="0.2">
      <c r="B1281" t="str">
        <f>IFERROR(IF('PDCA review'!$D$2=Do!B1279,Do!G1279,""),"")</f>
        <v/>
      </c>
      <c r="C1281">
        <f t="shared" si="57"/>
        <v>0</v>
      </c>
      <c r="D1281">
        <f>SUM($C$3:C1281)</f>
        <v>4</v>
      </c>
      <c r="E1281" t="e">
        <f t="shared" si="58"/>
        <v>#N/A</v>
      </c>
      <c r="F1281" s="28" t="str">
        <f t="shared" ca="1" si="59"/>
        <v/>
      </c>
    </row>
    <row r="1282" spans="2:6" x14ac:dyDescent="0.2">
      <c r="B1282" t="str">
        <f>IFERROR(IF('PDCA review'!$D$2=Do!B1280,Do!G1280,""),"")</f>
        <v/>
      </c>
      <c r="C1282">
        <f t="shared" si="57"/>
        <v>0</v>
      </c>
      <c r="D1282">
        <f>SUM($C$3:C1282)</f>
        <v>4</v>
      </c>
      <c r="E1282" t="e">
        <f t="shared" si="58"/>
        <v>#N/A</v>
      </c>
      <c r="F1282" s="28" t="str">
        <f t="shared" ca="1" si="59"/>
        <v/>
      </c>
    </row>
    <row r="1283" spans="2:6" x14ac:dyDescent="0.2">
      <c r="B1283" t="str">
        <f>IFERROR(IF('PDCA review'!$D$2=Do!B1281,Do!G1281,""),"")</f>
        <v/>
      </c>
      <c r="C1283">
        <f t="shared" si="57"/>
        <v>0</v>
      </c>
      <c r="D1283">
        <f>SUM($C$3:C1283)</f>
        <v>4</v>
      </c>
      <c r="E1283" t="e">
        <f t="shared" si="58"/>
        <v>#N/A</v>
      </c>
      <c r="F1283" s="28" t="str">
        <f t="shared" ca="1" si="59"/>
        <v/>
      </c>
    </row>
    <row r="1284" spans="2:6" x14ac:dyDescent="0.2">
      <c r="B1284" t="str">
        <f>IFERROR(IF('PDCA review'!$D$2=Do!B1282,Do!G1282,""),"")</f>
        <v/>
      </c>
      <c r="C1284">
        <f t="shared" ref="C1284:C1347" si="60">IF(B1284&lt;&gt;"",1,0)</f>
        <v>0</v>
      </c>
      <c r="D1284">
        <f>SUM($C$3:C1284)</f>
        <v>4</v>
      </c>
      <c r="E1284" t="e">
        <f t="shared" ref="E1284:E1347" si="61">MATCH(ROW()-$D$2,$D$3:$D$2000,0)+$D$2</f>
        <v>#N/A</v>
      </c>
      <c r="F1284" s="28" t="str">
        <f t="shared" ref="F1284:F1347" ca="1" si="62">IFERROR(INDIRECT("B"&amp;E1284),"")</f>
        <v/>
      </c>
    </row>
    <row r="1285" spans="2:6" x14ac:dyDescent="0.2">
      <c r="B1285" t="str">
        <f>IFERROR(IF('PDCA review'!$D$2=Do!B1283,Do!G1283,""),"")</f>
        <v/>
      </c>
      <c r="C1285">
        <f t="shared" si="60"/>
        <v>0</v>
      </c>
      <c r="D1285">
        <f>SUM($C$3:C1285)</f>
        <v>4</v>
      </c>
      <c r="E1285" t="e">
        <f t="shared" si="61"/>
        <v>#N/A</v>
      </c>
      <c r="F1285" s="28" t="str">
        <f t="shared" ca="1" si="62"/>
        <v/>
      </c>
    </row>
    <row r="1286" spans="2:6" x14ac:dyDescent="0.2">
      <c r="B1286" t="str">
        <f>IFERROR(IF('PDCA review'!$D$2=Do!B1284,Do!G1284,""),"")</f>
        <v/>
      </c>
      <c r="C1286">
        <f t="shared" si="60"/>
        <v>0</v>
      </c>
      <c r="D1286">
        <f>SUM($C$3:C1286)</f>
        <v>4</v>
      </c>
      <c r="E1286" t="e">
        <f t="shared" si="61"/>
        <v>#N/A</v>
      </c>
      <c r="F1286" s="28" t="str">
        <f t="shared" ca="1" si="62"/>
        <v/>
      </c>
    </row>
    <row r="1287" spans="2:6" x14ac:dyDescent="0.2">
      <c r="B1287" t="str">
        <f>IFERROR(IF('PDCA review'!$D$2=Do!B1285,Do!G1285,""),"")</f>
        <v/>
      </c>
      <c r="C1287">
        <f t="shared" si="60"/>
        <v>0</v>
      </c>
      <c r="D1287">
        <f>SUM($C$3:C1287)</f>
        <v>4</v>
      </c>
      <c r="E1287" t="e">
        <f t="shared" si="61"/>
        <v>#N/A</v>
      </c>
      <c r="F1287" s="28" t="str">
        <f t="shared" ca="1" si="62"/>
        <v/>
      </c>
    </row>
    <row r="1288" spans="2:6" x14ac:dyDescent="0.2">
      <c r="B1288" t="str">
        <f>IFERROR(IF('PDCA review'!$D$2=Do!B1286,Do!G1286,""),"")</f>
        <v/>
      </c>
      <c r="C1288">
        <f t="shared" si="60"/>
        <v>0</v>
      </c>
      <c r="D1288">
        <f>SUM($C$3:C1288)</f>
        <v>4</v>
      </c>
      <c r="E1288" t="e">
        <f t="shared" si="61"/>
        <v>#N/A</v>
      </c>
      <c r="F1288" s="28" t="str">
        <f t="shared" ca="1" si="62"/>
        <v/>
      </c>
    </row>
    <row r="1289" spans="2:6" x14ac:dyDescent="0.2">
      <c r="B1289" t="str">
        <f>IFERROR(IF('PDCA review'!$D$2=Do!B1287,Do!G1287,""),"")</f>
        <v/>
      </c>
      <c r="C1289">
        <f t="shared" si="60"/>
        <v>0</v>
      </c>
      <c r="D1289">
        <f>SUM($C$3:C1289)</f>
        <v>4</v>
      </c>
      <c r="E1289" t="e">
        <f t="shared" si="61"/>
        <v>#N/A</v>
      </c>
      <c r="F1289" s="28" t="str">
        <f t="shared" ca="1" si="62"/>
        <v/>
      </c>
    </row>
    <row r="1290" spans="2:6" x14ac:dyDescent="0.2">
      <c r="B1290" t="str">
        <f>IFERROR(IF('PDCA review'!$D$2=Do!B1288,Do!G1288,""),"")</f>
        <v/>
      </c>
      <c r="C1290">
        <f t="shared" si="60"/>
        <v>0</v>
      </c>
      <c r="D1290">
        <f>SUM($C$3:C1290)</f>
        <v>4</v>
      </c>
      <c r="E1290" t="e">
        <f t="shared" si="61"/>
        <v>#N/A</v>
      </c>
      <c r="F1290" s="28" t="str">
        <f t="shared" ca="1" si="62"/>
        <v/>
      </c>
    </row>
    <row r="1291" spans="2:6" x14ac:dyDescent="0.2">
      <c r="B1291" t="str">
        <f>IFERROR(IF('PDCA review'!$D$2=Do!B1289,Do!G1289,""),"")</f>
        <v/>
      </c>
      <c r="C1291">
        <f t="shared" si="60"/>
        <v>0</v>
      </c>
      <c r="D1291">
        <f>SUM($C$3:C1291)</f>
        <v>4</v>
      </c>
      <c r="E1291" t="e">
        <f t="shared" si="61"/>
        <v>#N/A</v>
      </c>
      <c r="F1291" s="28" t="str">
        <f t="shared" ca="1" si="62"/>
        <v/>
      </c>
    </row>
    <row r="1292" spans="2:6" x14ac:dyDescent="0.2">
      <c r="B1292" t="str">
        <f>IFERROR(IF('PDCA review'!$D$2=Do!B1290,Do!G1290,""),"")</f>
        <v/>
      </c>
      <c r="C1292">
        <f t="shared" si="60"/>
        <v>0</v>
      </c>
      <c r="D1292">
        <f>SUM($C$3:C1292)</f>
        <v>4</v>
      </c>
      <c r="E1292" t="e">
        <f t="shared" si="61"/>
        <v>#N/A</v>
      </c>
      <c r="F1292" s="28" t="str">
        <f t="shared" ca="1" si="62"/>
        <v/>
      </c>
    </row>
    <row r="1293" spans="2:6" x14ac:dyDescent="0.2">
      <c r="B1293" t="str">
        <f>IFERROR(IF('PDCA review'!$D$2=Do!B1291,Do!G1291,""),"")</f>
        <v/>
      </c>
      <c r="C1293">
        <f t="shared" si="60"/>
        <v>0</v>
      </c>
      <c r="D1293">
        <f>SUM($C$3:C1293)</f>
        <v>4</v>
      </c>
      <c r="E1293" t="e">
        <f t="shared" si="61"/>
        <v>#N/A</v>
      </c>
      <c r="F1293" s="28" t="str">
        <f t="shared" ca="1" si="62"/>
        <v/>
      </c>
    </row>
    <row r="1294" spans="2:6" x14ac:dyDescent="0.2">
      <c r="B1294" t="str">
        <f>IFERROR(IF('PDCA review'!$D$2=Do!B1292,Do!G1292,""),"")</f>
        <v/>
      </c>
      <c r="C1294">
        <f t="shared" si="60"/>
        <v>0</v>
      </c>
      <c r="D1294">
        <f>SUM($C$3:C1294)</f>
        <v>4</v>
      </c>
      <c r="E1294" t="e">
        <f t="shared" si="61"/>
        <v>#N/A</v>
      </c>
      <c r="F1294" s="28" t="str">
        <f t="shared" ca="1" si="62"/>
        <v/>
      </c>
    </row>
    <row r="1295" spans="2:6" x14ac:dyDescent="0.2">
      <c r="B1295" t="str">
        <f>IFERROR(IF('PDCA review'!$D$2=Do!B1293,Do!G1293,""),"")</f>
        <v/>
      </c>
      <c r="C1295">
        <f t="shared" si="60"/>
        <v>0</v>
      </c>
      <c r="D1295">
        <f>SUM($C$3:C1295)</f>
        <v>4</v>
      </c>
      <c r="E1295" t="e">
        <f t="shared" si="61"/>
        <v>#N/A</v>
      </c>
      <c r="F1295" s="28" t="str">
        <f t="shared" ca="1" si="62"/>
        <v/>
      </c>
    </row>
    <row r="1296" spans="2:6" x14ac:dyDescent="0.2">
      <c r="B1296" t="str">
        <f>IFERROR(IF('PDCA review'!$D$2=Do!B1294,Do!G1294,""),"")</f>
        <v/>
      </c>
      <c r="C1296">
        <f t="shared" si="60"/>
        <v>0</v>
      </c>
      <c r="D1296">
        <f>SUM($C$3:C1296)</f>
        <v>4</v>
      </c>
      <c r="E1296" t="e">
        <f t="shared" si="61"/>
        <v>#N/A</v>
      </c>
      <c r="F1296" s="28" t="str">
        <f t="shared" ca="1" si="62"/>
        <v/>
      </c>
    </row>
    <row r="1297" spans="2:6" x14ac:dyDescent="0.2">
      <c r="B1297" t="str">
        <f>IFERROR(IF('PDCA review'!$D$2=Do!B1295,Do!G1295,""),"")</f>
        <v/>
      </c>
      <c r="C1297">
        <f t="shared" si="60"/>
        <v>0</v>
      </c>
      <c r="D1297">
        <f>SUM($C$3:C1297)</f>
        <v>4</v>
      </c>
      <c r="E1297" t="e">
        <f t="shared" si="61"/>
        <v>#N/A</v>
      </c>
      <c r="F1297" s="28" t="str">
        <f t="shared" ca="1" si="62"/>
        <v/>
      </c>
    </row>
    <row r="1298" spans="2:6" x14ac:dyDescent="0.2">
      <c r="B1298" t="str">
        <f>IFERROR(IF('PDCA review'!$D$2=Do!B1296,Do!G1296,""),"")</f>
        <v/>
      </c>
      <c r="C1298">
        <f t="shared" si="60"/>
        <v>0</v>
      </c>
      <c r="D1298">
        <f>SUM($C$3:C1298)</f>
        <v>4</v>
      </c>
      <c r="E1298" t="e">
        <f t="shared" si="61"/>
        <v>#N/A</v>
      </c>
      <c r="F1298" s="28" t="str">
        <f t="shared" ca="1" si="62"/>
        <v/>
      </c>
    </row>
    <row r="1299" spans="2:6" x14ac:dyDescent="0.2">
      <c r="B1299" t="str">
        <f>IFERROR(IF('PDCA review'!$D$2=Do!B1297,Do!G1297,""),"")</f>
        <v/>
      </c>
      <c r="C1299">
        <f t="shared" si="60"/>
        <v>0</v>
      </c>
      <c r="D1299">
        <f>SUM($C$3:C1299)</f>
        <v>4</v>
      </c>
      <c r="E1299" t="e">
        <f t="shared" si="61"/>
        <v>#N/A</v>
      </c>
      <c r="F1299" s="28" t="str">
        <f t="shared" ca="1" si="62"/>
        <v/>
      </c>
    </row>
    <row r="1300" spans="2:6" x14ac:dyDescent="0.2">
      <c r="B1300" t="str">
        <f>IFERROR(IF('PDCA review'!$D$2=Do!B1298,Do!G1298,""),"")</f>
        <v/>
      </c>
      <c r="C1300">
        <f t="shared" si="60"/>
        <v>0</v>
      </c>
      <c r="D1300">
        <f>SUM($C$3:C1300)</f>
        <v>4</v>
      </c>
      <c r="E1300" t="e">
        <f t="shared" si="61"/>
        <v>#N/A</v>
      </c>
      <c r="F1300" s="28" t="str">
        <f t="shared" ca="1" si="62"/>
        <v/>
      </c>
    </row>
    <row r="1301" spans="2:6" x14ac:dyDescent="0.2">
      <c r="B1301" t="str">
        <f>IFERROR(IF('PDCA review'!$D$2=Do!B1299,Do!G1299,""),"")</f>
        <v/>
      </c>
      <c r="C1301">
        <f t="shared" si="60"/>
        <v>0</v>
      </c>
      <c r="D1301">
        <f>SUM($C$3:C1301)</f>
        <v>4</v>
      </c>
      <c r="E1301" t="e">
        <f t="shared" si="61"/>
        <v>#N/A</v>
      </c>
      <c r="F1301" s="28" t="str">
        <f t="shared" ca="1" si="62"/>
        <v/>
      </c>
    </row>
    <row r="1302" spans="2:6" x14ac:dyDescent="0.2">
      <c r="B1302" t="str">
        <f>IFERROR(IF('PDCA review'!$D$2=Do!B1300,Do!G1300,""),"")</f>
        <v/>
      </c>
      <c r="C1302">
        <f t="shared" si="60"/>
        <v>0</v>
      </c>
      <c r="D1302">
        <f>SUM($C$3:C1302)</f>
        <v>4</v>
      </c>
      <c r="E1302" t="e">
        <f t="shared" si="61"/>
        <v>#N/A</v>
      </c>
      <c r="F1302" s="28" t="str">
        <f t="shared" ca="1" si="62"/>
        <v/>
      </c>
    </row>
    <row r="1303" spans="2:6" x14ac:dyDescent="0.2">
      <c r="B1303" t="str">
        <f>IFERROR(IF('PDCA review'!$D$2=Do!B1301,Do!G1301,""),"")</f>
        <v/>
      </c>
      <c r="C1303">
        <f t="shared" si="60"/>
        <v>0</v>
      </c>
      <c r="D1303">
        <f>SUM($C$3:C1303)</f>
        <v>4</v>
      </c>
      <c r="E1303" t="e">
        <f t="shared" si="61"/>
        <v>#N/A</v>
      </c>
      <c r="F1303" s="28" t="str">
        <f t="shared" ca="1" si="62"/>
        <v/>
      </c>
    </row>
    <row r="1304" spans="2:6" x14ac:dyDescent="0.2">
      <c r="B1304" t="str">
        <f>IFERROR(IF('PDCA review'!$D$2=Do!B1302,Do!G1302,""),"")</f>
        <v/>
      </c>
      <c r="C1304">
        <f t="shared" si="60"/>
        <v>0</v>
      </c>
      <c r="D1304">
        <f>SUM($C$3:C1304)</f>
        <v>4</v>
      </c>
      <c r="E1304" t="e">
        <f t="shared" si="61"/>
        <v>#N/A</v>
      </c>
      <c r="F1304" s="28" t="str">
        <f t="shared" ca="1" si="62"/>
        <v/>
      </c>
    </row>
    <row r="1305" spans="2:6" x14ac:dyDescent="0.2">
      <c r="B1305" t="str">
        <f>IFERROR(IF('PDCA review'!$D$2=Do!B1303,Do!G1303,""),"")</f>
        <v/>
      </c>
      <c r="C1305">
        <f t="shared" si="60"/>
        <v>0</v>
      </c>
      <c r="D1305">
        <f>SUM($C$3:C1305)</f>
        <v>4</v>
      </c>
      <c r="E1305" t="e">
        <f t="shared" si="61"/>
        <v>#N/A</v>
      </c>
      <c r="F1305" s="28" t="str">
        <f t="shared" ca="1" si="62"/>
        <v/>
      </c>
    </row>
    <row r="1306" spans="2:6" x14ac:dyDescent="0.2">
      <c r="B1306" t="str">
        <f>IFERROR(IF('PDCA review'!$D$2=Do!B1304,Do!G1304,""),"")</f>
        <v/>
      </c>
      <c r="C1306">
        <f t="shared" si="60"/>
        <v>0</v>
      </c>
      <c r="D1306">
        <f>SUM($C$3:C1306)</f>
        <v>4</v>
      </c>
      <c r="E1306" t="e">
        <f t="shared" si="61"/>
        <v>#N/A</v>
      </c>
      <c r="F1306" s="28" t="str">
        <f t="shared" ca="1" si="62"/>
        <v/>
      </c>
    </row>
    <row r="1307" spans="2:6" x14ac:dyDescent="0.2">
      <c r="B1307" t="str">
        <f>IFERROR(IF('PDCA review'!$D$2=Do!B1305,Do!G1305,""),"")</f>
        <v/>
      </c>
      <c r="C1307">
        <f t="shared" si="60"/>
        <v>0</v>
      </c>
      <c r="D1307">
        <f>SUM($C$3:C1307)</f>
        <v>4</v>
      </c>
      <c r="E1307" t="e">
        <f t="shared" si="61"/>
        <v>#N/A</v>
      </c>
      <c r="F1307" s="28" t="str">
        <f t="shared" ca="1" si="62"/>
        <v/>
      </c>
    </row>
    <row r="1308" spans="2:6" x14ac:dyDescent="0.2">
      <c r="B1308" t="str">
        <f>IFERROR(IF('PDCA review'!$D$2=Do!B1306,Do!G1306,""),"")</f>
        <v/>
      </c>
      <c r="C1308">
        <f t="shared" si="60"/>
        <v>0</v>
      </c>
      <c r="D1308">
        <f>SUM($C$3:C1308)</f>
        <v>4</v>
      </c>
      <c r="E1308" t="e">
        <f t="shared" si="61"/>
        <v>#N/A</v>
      </c>
      <c r="F1308" s="28" t="str">
        <f t="shared" ca="1" si="62"/>
        <v/>
      </c>
    </row>
    <row r="1309" spans="2:6" x14ac:dyDescent="0.2">
      <c r="B1309" t="str">
        <f>IFERROR(IF('PDCA review'!$D$2=Do!B1307,Do!G1307,""),"")</f>
        <v/>
      </c>
      <c r="C1309">
        <f t="shared" si="60"/>
        <v>0</v>
      </c>
      <c r="D1309">
        <f>SUM($C$3:C1309)</f>
        <v>4</v>
      </c>
      <c r="E1309" t="e">
        <f t="shared" si="61"/>
        <v>#N/A</v>
      </c>
      <c r="F1309" s="28" t="str">
        <f t="shared" ca="1" si="62"/>
        <v/>
      </c>
    </row>
    <row r="1310" spans="2:6" x14ac:dyDescent="0.2">
      <c r="B1310" t="str">
        <f>IFERROR(IF('PDCA review'!$D$2=Do!B1308,Do!G1308,""),"")</f>
        <v/>
      </c>
      <c r="C1310">
        <f t="shared" si="60"/>
        <v>0</v>
      </c>
      <c r="D1310">
        <f>SUM($C$3:C1310)</f>
        <v>4</v>
      </c>
      <c r="E1310" t="e">
        <f t="shared" si="61"/>
        <v>#N/A</v>
      </c>
      <c r="F1310" s="28" t="str">
        <f t="shared" ca="1" si="62"/>
        <v/>
      </c>
    </row>
    <row r="1311" spans="2:6" x14ac:dyDescent="0.2">
      <c r="B1311" t="str">
        <f>IFERROR(IF('PDCA review'!$D$2=Do!B1309,Do!G1309,""),"")</f>
        <v/>
      </c>
      <c r="C1311">
        <f t="shared" si="60"/>
        <v>0</v>
      </c>
      <c r="D1311">
        <f>SUM($C$3:C1311)</f>
        <v>4</v>
      </c>
      <c r="E1311" t="e">
        <f t="shared" si="61"/>
        <v>#N/A</v>
      </c>
      <c r="F1311" s="28" t="str">
        <f t="shared" ca="1" si="62"/>
        <v/>
      </c>
    </row>
    <row r="1312" spans="2:6" x14ac:dyDescent="0.2">
      <c r="B1312" t="str">
        <f>IFERROR(IF('PDCA review'!$D$2=Do!B1310,Do!G1310,""),"")</f>
        <v/>
      </c>
      <c r="C1312">
        <f t="shared" si="60"/>
        <v>0</v>
      </c>
      <c r="D1312">
        <f>SUM($C$3:C1312)</f>
        <v>4</v>
      </c>
      <c r="E1312" t="e">
        <f t="shared" si="61"/>
        <v>#N/A</v>
      </c>
      <c r="F1312" s="28" t="str">
        <f t="shared" ca="1" si="62"/>
        <v/>
      </c>
    </row>
    <row r="1313" spans="2:6" x14ac:dyDescent="0.2">
      <c r="B1313" t="str">
        <f>IFERROR(IF('PDCA review'!$D$2=Do!B1311,Do!G1311,""),"")</f>
        <v/>
      </c>
      <c r="C1313">
        <f t="shared" si="60"/>
        <v>0</v>
      </c>
      <c r="D1313">
        <f>SUM($C$3:C1313)</f>
        <v>4</v>
      </c>
      <c r="E1313" t="e">
        <f t="shared" si="61"/>
        <v>#N/A</v>
      </c>
      <c r="F1313" s="28" t="str">
        <f t="shared" ca="1" si="62"/>
        <v/>
      </c>
    </row>
    <row r="1314" spans="2:6" x14ac:dyDescent="0.2">
      <c r="B1314" t="str">
        <f>IFERROR(IF('PDCA review'!$D$2=Do!B1312,Do!G1312,""),"")</f>
        <v/>
      </c>
      <c r="C1314">
        <f t="shared" si="60"/>
        <v>0</v>
      </c>
      <c r="D1314">
        <f>SUM($C$3:C1314)</f>
        <v>4</v>
      </c>
      <c r="E1314" t="e">
        <f t="shared" si="61"/>
        <v>#N/A</v>
      </c>
      <c r="F1314" s="28" t="str">
        <f t="shared" ca="1" si="62"/>
        <v/>
      </c>
    </row>
    <row r="1315" spans="2:6" x14ac:dyDescent="0.2">
      <c r="B1315" t="str">
        <f>IFERROR(IF('PDCA review'!$D$2=Do!B1313,Do!G1313,""),"")</f>
        <v/>
      </c>
      <c r="C1315">
        <f t="shared" si="60"/>
        <v>0</v>
      </c>
      <c r="D1315">
        <f>SUM($C$3:C1315)</f>
        <v>4</v>
      </c>
      <c r="E1315" t="e">
        <f t="shared" si="61"/>
        <v>#N/A</v>
      </c>
      <c r="F1315" s="28" t="str">
        <f t="shared" ca="1" si="62"/>
        <v/>
      </c>
    </row>
    <row r="1316" spans="2:6" x14ac:dyDescent="0.2">
      <c r="B1316" t="str">
        <f>IFERROR(IF('PDCA review'!$D$2=Do!B1314,Do!G1314,""),"")</f>
        <v/>
      </c>
      <c r="C1316">
        <f t="shared" si="60"/>
        <v>0</v>
      </c>
      <c r="D1316">
        <f>SUM($C$3:C1316)</f>
        <v>4</v>
      </c>
      <c r="E1316" t="e">
        <f t="shared" si="61"/>
        <v>#N/A</v>
      </c>
      <c r="F1316" s="28" t="str">
        <f t="shared" ca="1" si="62"/>
        <v/>
      </c>
    </row>
    <row r="1317" spans="2:6" x14ac:dyDescent="0.2">
      <c r="B1317" t="str">
        <f>IFERROR(IF('PDCA review'!$D$2=Do!B1315,Do!G1315,""),"")</f>
        <v/>
      </c>
      <c r="C1317">
        <f t="shared" si="60"/>
        <v>0</v>
      </c>
      <c r="D1317">
        <f>SUM($C$3:C1317)</f>
        <v>4</v>
      </c>
      <c r="E1317" t="e">
        <f t="shared" si="61"/>
        <v>#N/A</v>
      </c>
      <c r="F1317" s="28" t="str">
        <f t="shared" ca="1" si="62"/>
        <v/>
      </c>
    </row>
    <row r="1318" spans="2:6" x14ac:dyDescent="0.2">
      <c r="B1318" t="str">
        <f>IFERROR(IF('PDCA review'!$D$2=Do!B1316,Do!G1316,""),"")</f>
        <v/>
      </c>
      <c r="C1318">
        <f t="shared" si="60"/>
        <v>0</v>
      </c>
      <c r="D1318">
        <f>SUM($C$3:C1318)</f>
        <v>4</v>
      </c>
      <c r="E1318" t="e">
        <f t="shared" si="61"/>
        <v>#N/A</v>
      </c>
      <c r="F1318" s="28" t="str">
        <f t="shared" ca="1" si="62"/>
        <v/>
      </c>
    </row>
    <row r="1319" spans="2:6" x14ac:dyDescent="0.2">
      <c r="B1319" t="str">
        <f>IFERROR(IF('PDCA review'!$D$2=Do!B1317,Do!G1317,""),"")</f>
        <v/>
      </c>
      <c r="C1319">
        <f t="shared" si="60"/>
        <v>0</v>
      </c>
      <c r="D1319">
        <f>SUM($C$3:C1319)</f>
        <v>4</v>
      </c>
      <c r="E1319" t="e">
        <f t="shared" si="61"/>
        <v>#N/A</v>
      </c>
      <c r="F1319" s="28" t="str">
        <f t="shared" ca="1" si="62"/>
        <v/>
      </c>
    </row>
    <row r="1320" spans="2:6" x14ac:dyDescent="0.2">
      <c r="B1320" t="str">
        <f>IFERROR(IF('PDCA review'!$D$2=Do!B1318,Do!G1318,""),"")</f>
        <v/>
      </c>
      <c r="C1320">
        <f t="shared" si="60"/>
        <v>0</v>
      </c>
      <c r="D1320">
        <f>SUM($C$3:C1320)</f>
        <v>4</v>
      </c>
      <c r="E1320" t="e">
        <f t="shared" si="61"/>
        <v>#N/A</v>
      </c>
      <c r="F1320" s="28" t="str">
        <f t="shared" ca="1" si="62"/>
        <v/>
      </c>
    </row>
    <row r="1321" spans="2:6" x14ac:dyDescent="0.2">
      <c r="B1321" t="str">
        <f>IFERROR(IF('PDCA review'!$D$2=Do!B1319,Do!G1319,""),"")</f>
        <v/>
      </c>
      <c r="C1321">
        <f t="shared" si="60"/>
        <v>0</v>
      </c>
      <c r="D1321">
        <f>SUM($C$3:C1321)</f>
        <v>4</v>
      </c>
      <c r="E1321" t="e">
        <f t="shared" si="61"/>
        <v>#N/A</v>
      </c>
      <c r="F1321" s="28" t="str">
        <f t="shared" ca="1" si="62"/>
        <v/>
      </c>
    </row>
    <row r="1322" spans="2:6" x14ac:dyDescent="0.2">
      <c r="B1322" t="str">
        <f>IFERROR(IF('PDCA review'!$D$2=Do!B1320,Do!G1320,""),"")</f>
        <v/>
      </c>
      <c r="C1322">
        <f t="shared" si="60"/>
        <v>0</v>
      </c>
      <c r="D1322">
        <f>SUM($C$3:C1322)</f>
        <v>4</v>
      </c>
      <c r="E1322" t="e">
        <f t="shared" si="61"/>
        <v>#N/A</v>
      </c>
      <c r="F1322" s="28" t="str">
        <f t="shared" ca="1" si="62"/>
        <v/>
      </c>
    </row>
    <row r="1323" spans="2:6" x14ac:dyDescent="0.2">
      <c r="B1323" t="str">
        <f>IFERROR(IF('PDCA review'!$D$2=Do!B1321,Do!G1321,""),"")</f>
        <v/>
      </c>
      <c r="C1323">
        <f t="shared" si="60"/>
        <v>0</v>
      </c>
      <c r="D1323">
        <f>SUM($C$3:C1323)</f>
        <v>4</v>
      </c>
      <c r="E1323" t="e">
        <f t="shared" si="61"/>
        <v>#N/A</v>
      </c>
      <c r="F1323" s="28" t="str">
        <f t="shared" ca="1" si="62"/>
        <v/>
      </c>
    </row>
    <row r="1324" spans="2:6" x14ac:dyDescent="0.2">
      <c r="B1324" t="str">
        <f>IFERROR(IF('PDCA review'!$D$2=Do!B1322,Do!G1322,""),"")</f>
        <v/>
      </c>
      <c r="C1324">
        <f t="shared" si="60"/>
        <v>0</v>
      </c>
      <c r="D1324">
        <f>SUM($C$3:C1324)</f>
        <v>4</v>
      </c>
      <c r="E1324" t="e">
        <f t="shared" si="61"/>
        <v>#N/A</v>
      </c>
      <c r="F1324" s="28" t="str">
        <f t="shared" ca="1" si="62"/>
        <v/>
      </c>
    </row>
    <row r="1325" spans="2:6" x14ac:dyDescent="0.2">
      <c r="B1325" t="str">
        <f>IFERROR(IF('PDCA review'!$D$2=Do!B1323,Do!G1323,""),"")</f>
        <v/>
      </c>
      <c r="C1325">
        <f t="shared" si="60"/>
        <v>0</v>
      </c>
      <c r="D1325">
        <f>SUM($C$3:C1325)</f>
        <v>4</v>
      </c>
      <c r="E1325" t="e">
        <f t="shared" si="61"/>
        <v>#N/A</v>
      </c>
      <c r="F1325" s="28" t="str">
        <f t="shared" ca="1" si="62"/>
        <v/>
      </c>
    </row>
    <row r="1326" spans="2:6" x14ac:dyDescent="0.2">
      <c r="B1326" t="str">
        <f>IFERROR(IF('PDCA review'!$D$2=Do!B1324,Do!G1324,""),"")</f>
        <v/>
      </c>
      <c r="C1326">
        <f t="shared" si="60"/>
        <v>0</v>
      </c>
      <c r="D1326">
        <f>SUM($C$3:C1326)</f>
        <v>4</v>
      </c>
      <c r="E1326" t="e">
        <f t="shared" si="61"/>
        <v>#N/A</v>
      </c>
      <c r="F1326" s="28" t="str">
        <f t="shared" ca="1" si="62"/>
        <v/>
      </c>
    </row>
    <row r="1327" spans="2:6" x14ac:dyDescent="0.2">
      <c r="B1327" t="str">
        <f>IFERROR(IF('PDCA review'!$D$2=Do!B1325,Do!G1325,""),"")</f>
        <v/>
      </c>
      <c r="C1327">
        <f t="shared" si="60"/>
        <v>0</v>
      </c>
      <c r="D1327">
        <f>SUM($C$3:C1327)</f>
        <v>4</v>
      </c>
      <c r="E1327" t="e">
        <f t="shared" si="61"/>
        <v>#N/A</v>
      </c>
      <c r="F1327" s="28" t="str">
        <f t="shared" ca="1" si="62"/>
        <v/>
      </c>
    </row>
    <row r="1328" spans="2:6" x14ac:dyDescent="0.2">
      <c r="B1328" t="str">
        <f>IFERROR(IF('PDCA review'!$D$2=Do!B1326,Do!G1326,""),"")</f>
        <v/>
      </c>
      <c r="C1328">
        <f t="shared" si="60"/>
        <v>0</v>
      </c>
      <c r="D1328">
        <f>SUM($C$3:C1328)</f>
        <v>4</v>
      </c>
      <c r="E1328" t="e">
        <f t="shared" si="61"/>
        <v>#N/A</v>
      </c>
      <c r="F1328" s="28" t="str">
        <f t="shared" ca="1" si="62"/>
        <v/>
      </c>
    </row>
    <row r="1329" spans="2:6" x14ac:dyDescent="0.2">
      <c r="B1329" t="str">
        <f>IFERROR(IF('PDCA review'!$D$2=Do!B1327,Do!G1327,""),"")</f>
        <v/>
      </c>
      <c r="C1329">
        <f t="shared" si="60"/>
        <v>0</v>
      </c>
      <c r="D1329">
        <f>SUM($C$3:C1329)</f>
        <v>4</v>
      </c>
      <c r="E1329" t="e">
        <f t="shared" si="61"/>
        <v>#N/A</v>
      </c>
      <c r="F1329" s="28" t="str">
        <f t="shared" ca="1" si="62"/>
        <v/>
      </c>
    </row>
    <row r="1330" spans="2:6" x14ac:dyDescent="0.2">
      <c r="B1330" t="str">
        <f>IFERROR(IF('PDCA review'!$D$2=Do!B1328,Do!G1328,""),"")</f>
        <v/>
      </c>
      <c r="C1330">
        <f t="shared" si="60"/>
        <v>0</v>
      </c>
      <c r="D1330">
        <f>SUM($C$3:C1330)</f>
        <v>4</v>
      </c>
      <c r="E1330" t="e">
        <f t="shared" si="61"/>
        <v>#N/A</v>
      </c>
      <c r="F1330" s="28" t="str">
        <f t="shared" ca="1" si="62"/>
        <v/>
      </c>
    </row>
    <row r="1331" spans="2:6" x14ac:dyDescent="0.2">
      <c r="B1331" t="str">
        <f>IFERROR(IF('PDCA review'!$D$2=Do!B1329,Do!G1329,""),"")</f>
        <v/>
      </c>
      <c r="C1331">
        <f t="shared" si="60"/>
        <v>0</v>
      </c>
      <c r="D1331">
        <f>SUM($C$3:C1331)</f>
        <v>4</v>
      </c>
      <c r="E1331" t="e">
        <f t="shared" si="61"/>
        <v>#N/A</v>
      </c>
      <c r="F1331" s="28" t="str">
        <f t="shared" ca="1" si="62"/>
        <v/>
      </c>
    </row>
    <row r="1332" spans="2:6" x14ac:dyDescent="0.2">
      <c r="B1332" t="str">
        <f>IFERROR(IF('PDCA review'!$D$2=Do!B1330,Do!G1330,""),"")</f>
        <v/>
      </c>
      <c r="C1332">
        <f t="shared" si="60"/>
        <v>0</v>
      </c>
      <c r="D1332">
        <f>SUM($C$3:C1332)</f>
        <v>4</v>
      </c>
      <c r="E1332" t="e">
        <f t="shared" si="61"/>
        <v>#N/A</v>
      </c>
      <c r="F1332" s="28" t="str">
        <f t="shared" ca="1" si="62"/>
        <v/>
      </c>
    </row>
    <row r="1333" spans="2:6" x14ac:dyDescent="0.2">
      <c r="B1333" t="str">
        <f>IFERROR(IF('PDCA review'!$D$2=Do!B1331,Do!G1331,""),"")</f>
        <v/>
      </c>
      <c r="C1333">
        <f t="shared" si="60"/>
        <v>0</v>
      </c>
      <c r="D1333">
        <f>SUM($C$3:C1333)</f>
        <v>4</v>
      </c>
      <c r="E1333" t="e">
        <f t="shared" si="61"/>
        <v>#N/A</v>
      </c>
      <c r="F1333" s="28" t="str">
        <f t="shared" ca="1" si="62"/>
        <v/>
      </c>
    </row>
    <row r="1334" spans="2:6" x14ac:dyDescent="0.2">
      <c r="B1334" t="str">
        <f>IFERROR(IF('PDCA review'!$D$2=Do!B1332,Do!G1332,""),"")</f>
        <v/>
      </c>
      <c r="C1334">
        <f t="shared" si="60"/>
        <v>0</v>
      </c>
      <c r="D1334">
        <f>SUM($C$3:C1334)</f>
        <v>4</v>
      </c>
      <c r="E1334" t="e">
        <f t="shared" si="61"/>
        <v>#N/A</v>
      </c>
      <c r="F1334" s="28" t="str">
        <f t="shared" ca="1" si="62"/>
        <v/>
      </c>
    </row>
    <row r="1335" spans="2:6" x14ac:dyDescent="0.2">
      <c r="B1335" t="str">
        <f>IFERROR(IF('PDCA review'!$D$2=Do!B1333,Do!G1333,""),"")</f>
        <v/>
      </c>
      <c r="C1335">
        <f t="shared" si="60"/>
        <v>0</v>
      </c>
      <c r="D1335">
        <f>SUM($C$3:C1335)</f>
        <v>4</v>
      </c>
      <c r="E1335" t="e">
        <f t="shared" si="61"/>
        <v>#N/A</v>
      </c>
      <c r="F1335" s="28" t="str">
        <f t="shared" ca="1" si="62"/>
        <v/>
      </c>
    </row>
    <row r="1336" spans="2:6" x14ac:dyDescent="0.2">
      <c r="B1336" t="str">
        <f>IFERROR(IF('PDCA review'!$D$2=Do!B1334,Do!G1334,""),"")</f>
        <v/>
      </c>
      <c r="C1336">
        <f t="shared" si="60"/>
        <v>0</v>
      </c>
      <c r="D1336">
        <f>SUM($C$3:C1336)</f>
        <v>4</v>
      </c>
      <c r="E1336" t="e">
        <f t="shared" si="61"/>
        <v>#N/A</v>
      </c>
      <c r="F1336" s="28" t="str">
        <f t="shared" ca="1" si="62"/>
        <v/>
      </c>
    </row>
    <row r="1337" spans="2:6" x14ac:dyDescent="0.2">
      <c r="B1337" t="str">
        <f>IFERROR(IF('PDCA review'!$D$2=Do!B1335,Do!G1335,""),"")</f>
        <v/>
      </c>
      <c r="C1337">
        <f t="shared" si="60"/>
        <v>0</v>
      </c>
      <c r="D1337">
        <f>SUM($C$3:C1337)</f>
        <v>4</v>
      </c>
      <c r="E1337" t="e">
        <f t="shared" si="61"/>
        <v>#N/A</v>
      </c>
      <c r="F1337" s="28" t="str">
        <f t="shared" ca="1" si="62"/>
        <v/>
      </c>
    </row>
    <row r="1338" spans="2:6" x14ac:dyDescent="0.2">
      <c r="B1338" t="str">
        <f>IFERROR(IF('PDCA review'!$D$2=Do!B1336,Do!G1336,""),"")</f>
        <v/>
      </c>
      <c r="C1338">
        <f t="shared" si="60"/>
        <v>0</v>
      </c>
      <c r="D1338">
        <f>SUM($C$3:C1338)</f>
        <v>4</v>
      </c>
      <c r="E1338" t="e">
        <f t="shared" si="61"/>
        <v>#N/A</v>
      </c>
      <c r="F1338" s="28" t="str">
        <f t="shared" ca="1" si="62"/>
        <v/>
      </c>
    </row>
    <row r="1339" spans="2:6" x14ac:dyDescent="0.2">
      <c r="B1339" t="str">
        <f>IFERROR(IF('PDCA review'!$D$2=Do!B1337,Do!G1337,""),"")</f>
        <v/>
      </c>
      <c r="C1339">
        <f t="shared" si="60"/>
        <v>0</v>
      </c>
      <c r="D1339">
        <f>SUM($C$3:C1339)</f>
        <v>4</v>
      </c>
      <c r="E1339" t="e">
        <f t="shared" si="61"/>
        <v>#N/A</v>
      </c>
      <c r="F1339" s="28" t="str">
        <f t="shared" ca="1" si="62"/>
        <v/>
      </c>
    </row>
    <row r="1340" spans="2:6" x14ac:dyDescent="0.2">
      <c r="B1340" t="str">
        <f>IFERROR(IF('PDCA review'!$D$2=Do!B1338,Do!G1338,""),"")</f>
        <v/>
      </c>
      <c r="C1340">
        <f t="shared" si="60"/>
        <v>0</v>
      </c>
      <c r="D1340">
        <f>SUM($C$3:C1340)</f>
        <v>4</v>
      </c>
      <c r="E1340" t="e">
        <f t="shared" si="61"/>
        <v>#N/A</v>
      </c>
      <c r="F1340" s="28" t="str">
        <f t="shared" ca="1" si="62"/>
        <v/>
      </c>
    </row>
    <row r="1341" spans="2:6" x14ac:dyDescent="0.2">
      <c r="B1341" t="str">
        <f>IFERROR(IF('PDCA review'!$D$2=Do!B1339,Do!G1339,""),"")</f>
        <v/>
      </c>
      <c r="C1341">
        <f t="shared" si="60"/>
        <v>0</v>
      </c>
      <c r="D1341">
        <f>SUM($C$3:C1341)</f>
        <v>4</v>
      </c>
      <c r="E1341" t="e">
        <f t="shared" si="61"/>
        <v>#N/A</v>
      </c>
      <c r="F1341" s="28" t="str">
        <f t="shared" ca="1" si="62"/>
        <v/>
      </c>
    </row>
    <row r="1342" spans="2:6" x14ac:dyDescent="0.2">
      <c r="B1342" t="str">
        <f>IFERROR(IF('PDCA review'!$D$2=Do!B1340,Do!G1340,""),"")</f>
        <v/>
      </c>
      <c r="C1342">
        <f t="shared" si="60"/>
        <v>0</v>
      </c>
      <c r="D1342">
        <f>SUM($C$3:C1342)</f>
        <v>4</v>
      </c>
      <c r="E1342" t="e">
        <f t="shared" si="61"/>
        <v>#N/A</v>
      </c>
      <c r="F1342" s="28" t="str">
        <f t="shared" ca="1" si="62"/>
        <v/>
      </c>
    </row>
    <row r="1343" spans="2:6" x14ac:dyDescent="0.2">
      <c r="B1343" t="str">
        <f>IFERROR(IF('PDCA review'!$D$2=Do!B1341,Do!G1341,""),"")</f>
        <v/>
      </c>
      <c r="C1343">
        <f t="shared" si="60"/>
        <v>0</v>
      </c>
      <c r="D1343">
        <f>SUM($C$3:C1343)</f>
        <v>4</v>
      </c>
      <c r="E1343" t="e">
        <f t="shared" si="61"/>
        <v>#N/A</v>
      </c>
      <c r="F1343" s="28" t="str">
        <f t="shared" ca="1" si="62"/>
        <v/>
      </c>
    </row>
    <row r="1344" spans="2:6" x14ac:dyDescent="0.2">
      <c r="B1344" t="str">
        <f>IFERROR(IF('PDCA review'!$D$2=Do!B1342,Do!G1342,""),"")</f>
        <v/>
      </c>
      <c r="C1344">
        <f t="shared" si="60"/>
        <v>0</v>
      </c>
      <c r="D1344">
        <f>SUM($C$3:C1344)</f>
        <v>4</v>
      </c>
      <c r="E1344" t="e">
        <f t="shared" si="61"/>
        <v>#N/A</v>
      </c>
      <c r="F1344" s="28" t="str">
        <f t="shared" ca="1" si="62"/>
        <v/>
      </c>
    </row>
    <row r="1345" spans="2:6" x14ac:dyDescent="0.2">
      <c r="B1345" t="str">
        <f>IFERROR(IF('PDCA review'!$D$2=Do!B1343,Do!G1343,""),"")</f>
        <v/>
      </c>
      <c r="C1345">
        <f t="shared" si="60"/>
        <v>0</v>
      </c>
      <c r="D1345">
        <f>SUM($C$3:C1345)</f>
        <v>4</v>
      </c>
      <c r="E1345" t="e">
        <f t="shared" si="61"/>
        <v>#N/A</v>
      </c>
      <c r="F1345" s="28" t="str">
        <f t="shared" ca="1" si="62"/>
        <v/>
      </c>
    </row>
    <row r="1346" spans="2:6" x14ac:dyDescent="0.2">
      <c r="B1346" t="str">
        <f>IFERROR(IF('PDCA review'!$D$2=Do!B1344,Do!G1344,""),"")</f>
        <v/>
      </c>
      <c r="C1346">
        <f t="shared" si="60"/>
        <v>0</v>
      </c>
      <c r="D1346">
        <f>SUM($C$3:C1346)</f>
        <v>4</v>
      </c>
      <c r="E1346" t="e">
        <f t="shared" si="61"/>
        <v>#N/A</v>
      </c>
      <c r="F1346" s="28" t="str">
        <f t="shared" ca="1" si="62"/>
        <v/>
      </c>
    </row>
    <row r="1347" spans="2:6" x14ac:dyDescent="0.2">
      <c r="B1347" t="str">
        <f>IFERROR(IF('PDCA review'!$D$2=Do!B1345,Do!G1345,""),"")</f>
        <v/>
      </c>
      <c r="C1347">
        <f t="shared" si="60"/>
        <v>0</v>
      </c>
      <c r="D1347">
        <f>SUM($C$3:C1347)</f>
        <v>4</v>
      </c>
      <c r="E1347" t="e">
        <f t="shared" si="61"/>
        <v>#N/A</v>
      </c>
      <c r="F1347" s="28" t="str">
        <f t="shared" ca="1" si="62"/>
        <v/>
      </c>
    </row>
    <row r="1348" spans="2:6" x14ac:dyDescent="0.2">
      <c r="B1348" t="str">
        <f>IFERROR(IF('PDCA review'!$D$2=Do!B1346,Do!G1346,""),"")</f>
        <v/>
      </c>
      <c r="C1348">
        <f t="shared" ref="C1348:C1411" si="63">IF(B1348&lt;&gt;"",1,0)</f>
        <v>0</v>
      </c>
      <c r="D1348">
        <f>SUM($C$3:C1348)</f>
        <v>4</v>
      </c>
      <c r="E1348" t="e">
        <f t="shared" ref="E1348:E1411" si="64">MATCH(ROW()-$D$2,$D$3:$D$2000,0)+$D$2</f>
        <v>#N/A</v>
      </c>
      <c r="F1348" s="28" t="str">
        <f t="shared" ref="F1348:F1411" ca="1" si="65">IFERROR(INDIRECT("B"&amp;E1348),"")</f>
        <v/>
      </c>
    </row>
    <row r="1349" spans="2:6" x14ac:dyDescent="0.2">
      <c r="B1349" t="str">
        <f>IFERROR(IF('PDCA review'!$D$2=Do!B1347,Do!G1347,""),"")</f>
        <v/>
      </c>
      <c r="C1349">
        <f t="shared" si="63"/>
        <v>0</v>
      </c>
      <c r="D1349">
        <f>SUM($C$3:C1349)</f>
        <v>4</v>
      </c>
      <c r="E1349" t="e">
        <f t="shared" si="64"/>
        <v>#N/A</v>
      </c>
      <c r="F1349" s="28" t="str">
        <f t="shared" ca="1" si="65"/>
        <v/>
      </c>
    </row>
    <row r="1350" spans="2:6" x14ac:dyDescent="0.2">
      <c r="B1350" t="str">
        <f>IFERROR(IF('PDCA review'!$D$2=Do!B1348,Do!G1348,""),"")</f>
        <v/>
      </c>
      <c r="C1350">
        <f t="shared" si="63"/>
        <v>0</v>
      </c>
      <c r="D1350">
        <f>SUM($C$3:C1350)</f>
        <v>4</v>
      </c>
      <c r="E1350" t="e">
        <f t="shared" si="64"/>
        <v>#N/A</v>
      </c>
      <c r="F1350" s="28" t="str">
        <f t="shared" ca="1" si="65"/>
        <v/>
      </c>
    </row>
    <row r="1351" spans="2:6" x14ac:dyDescent="0.2">
      <c r="B1351" t="str">
        <f>IFERROR(IF('PDCA review'!$D$2=Do!B1349,Do!G1349,""),"")</f>
        <v/>
      </c>
      <c r="C1351">
        <f t="shared" si="63"/>
        <v>0</v>
      </c>
      <c r="D1351">
        <f>SUM($C$3:C1351)</f>
        <v>4</v>
      </c>
      <c r="E1351" t="e">
        <f t="shared" si="64"/>
        <v>#N/A</v>
      </c>
      <c r="F1351" s="28" t="str">
        <f t="shared" ca="1" si="65"/>
        <v/>
      </c>
    </row>
    <row r="1352" spans="2:6" x14ac:dyDescent="0.2">
      <c r="B1352" t="str">
        <f>IFERROR(IF('PDCA review'!$D$2=Do!B1350,Do!G1350,""),"")</f>
        <v/>
      </c>
      <c r="C1352">
        <f t="shared" si="63"/>
        <v>0</v>
      </c>
      <c r="D1352">
        <f>SUM($C$3:C1352)</f>
        <v>4</v>
      </c>
      <c r="E1352" t="e">
        <f t="shared" si="64"/>
        <v>#N/A</v>
      </c>
      <c r="F1352" s="28" t="str">
        <f t="shared" ca="1" si="65"/>
        <v/>
      </c>
    </row>
    <row r="1353" spans="2:6" x14ac:dyDescent="0.2">
      <c r="B1353" t="str">
        <f>IFERROR(IF('PDCA review'!$D$2=Do!B1351,Do!G1351,""),"")</f>
        <v/>
      </c>
      <c r="C1353">
        <f t="shared" si="63"/>
        <v>0</v>
      </c>
      <c r="D1353">
        <f>SUM($C$3:C1353)</f>
        <v>4</v>
      </c>
      <c r="E1353" t="e">
        <f t="shared" si="64"/>
        <v>#N/A</v>
      </c>
      <c r="F1353" s="28" t="str">
        <f t="shared" ca="1" si="65"/>
        <v/>
      </c>
    </row>
    <row r="1354" spans="2:6" x14ac:dyDescent="0.2">
      <c r="B1354" t="str">
        <f>IFERROR(IF('PDCA review'!$D$2=Do!B1352,Do!G1352,""),"")</f>
        <v/>
      </c>
      <c r="C1354">
        <f t="shared" si="63"/>
        <v>0</v>
      </c>
      <c r="D1354">
        <f>SUM($C$3:C1354)</f>
        <v>4</v>
      </c>
      <c r="E1354" t="e">
        <f t="shared" si="64"/>
        <v>#N/A</v>
      </c>
      <c r="F1354" s="28" t="str">
        <f t="shared" ca="1" si="65"/>
        <v/>
      </c>
    </row>
    <row r="1355" spans="2:6" x14ac:dyDescent="0.2">
      <c r="B1355" t="str">
        <f>IFERROR(IF('PDCA review'!$D$2=Do!B1353,Do!G1353,""),"")</f>
        <v/>
      </c>
      <c r="C1355">
        <f t="shared" si="63"/>
        <v>0</v>
      </c>
      <c r="D1355">
        <f>SUM($C$3:C1355)</f>
        <v>4</v>
      </c>
      <c r="E1355" t="e">
        <f t="shared" si="64"/>
        <v>#N/A</v>
      </c>
      <c r="F1355" s="28" t="str">
        <f t="shared" ca="1" si="65"/>
        <v/>
      </c>
    </row>
    <row r="1356" spans="2:6" x14ac:dyDescent="0.2">
      <c r="B1356" t="str">
        <f>IFERROR(IF('PDCA review'!$D$2=Do!B1354,Do!G1354,""),"")</f>
        <v/>
      </c>
      <c r="C1356">
        <f t="shared" si="63"/>
        <v>0</v>
      </c>
      <c r="D1356">
        <f>SUM($C$3:C1356)</f>
        <v>4</v>
      </c>
      <c r="E1356" t="e">
        <f t="shared" si="64"/>
        <v>#N/A</v>
      </c>
      <c r="F1356" s="28" t="str">
        <f t="shared" ca="1" si="65"/>
        <v/>
      </c>
    </row>
    <row r="1357" spans="2:6" x14ac:dyDescent="0.2">
      <c r="B1357" t="str">
        <f>IFERROR(IF('PDCA review'!$D$2=Do!B1355,Do!G1355,""),"")</f>
        <v/>
      </c>
      <c r="C1357">
        <f t="shared" si="63"/>
        <v>0</v>
      </c>
      <c r="D1357">
        <f>SUM($C$3:C1357)</f>
        <v>4</v>
      </c>
      <c r="E1357" t="e">
        <f t="shared" si="64"/>
        <v>#N/A</v>
      </c>
      <c r="F1357" s="28" t="str">
        <f t="shared" ca="1" si="65"/>
        <v/>
      </c>
    </row>
    <row r="1358" spans="2:6" x14ac:dyDescent="0.2">
      <c r="B1358" t="str">
        <f>IFERROR(IF('PDCA review'!$D$2=Do!B1356,Do!G1356,""),"")</f>
        <v/>
      </c>
      <c r="C1358">
        <f t="shared" si="63"/>
        <v>0</v>
      </c>
      <c r="D1358">
        <f>SUM($C$3:C1358)</f>
        <v>4</v>
      </c>
      <c r="E1358" t="e">
        <f t="shared" si="64"/>
        <v>#N/A</v>
      </c>
      <c r="F1358" s="28" t="str">
        <f t="shared" ca="1" si="65"/>
        <v/>
      </c>
    </row>
    <row r="1359" spans="2:6" x14ac:dyDescent="0.2">
      <c r="B1359" t="str">
        <f>IFERROR(IF('PDCA review'!$D$2=Do!B1357,Do!G1357,""),"")</f>
        <v/>
      </c>
      <c r="C1359">
        <f t="shared" si="63"/>
        <v>0</v>
      </c>
      <c r="D1359">
        <f>SUM($C$3:C1359)</f>
        <v>4</v>
      </c>
      <c r="E1359" t="e">
        <f t="shared" si="64"/>
        <v>#N/A</v>
      </c>
      <c r="F1359" s="28" t="str">
        <f t="shared" ca="1" si="65"/>
        <v/>
      </c>
    </row>
    <row r="1360" spans="2:6" x14ac:dyDescent="0.2">
      <c r="B1360" t="str">
        <f>IFERROR(IF('PDCA review'!$D$2=Do!B1358,Do!G1358,""),"")</f>
        <v/>
      </c>
      <c r="C1360">
        <f t="shared" si="63"/>
        <v>0</v>
      </c>
      <c r="D1360">
        <f>SUM($C$3:C1360)</f>
        <v>4</v>
      </c>
      <c r="E1360" t="e">
        <f t="shared" si="64"/>
        <v>#N/A</v>
      </c>
      <c r="F1360" s="28" t="str">
        <f t="shared" ca="1" si="65"/>
        <v/>
      </c>
    </row>
    <row r="1361" spans="2:6" x14ac:dyDescent="0.2">
      <c r="B1361" t="str">
        <f>IFERROR(IF('PDCA review'!$D$2=Do!B1359,Do!G1359,""),"")</f>
        <v/>
      </c>
      <c r="C1361">
        <f t="shared" si="63"/>
        <v>0</v>
      </c>
      <c r="D1361">
        <f>SUM($C$3:C1361)</f>
        <v>4</v>
      </c>
      <c r="E1361" t="e">
        <f t="shared" si="64"/>
        <v>#N/A</v>
      </c>
      <c r="F1361" s="28" t="str">
        <f t="shared" ca="1" si="65"/>
        <v/>
      </c>
    </row>
    <row r="1362" spans="2:6" x14ac:dyDescent="0.2">
      <c r="B1362" t="str">
        <f>IFERROR(IF('PDCA review'!$D$2=Do!B1360,Do!G1360,""),"")</f>
        <v/>
      </c>
      <c r="C1362">
        <f t="shared" si="63"/>
        <v>0</v>
      </c>
      <c r="D1362">
        <f>SUM($C$3:C1362)</f>
        <v>4</v>
      </c>
      <c r="E1362" t="e">
        <f t="shared" si="64"/>
        <v>#N/A</v>
      </c>
      <c r="F1362" s="28" t="str">
        <f t="shared" ca="1" si="65"/>
        <v/>
      </c>
    </row>
    <row r="1363" spans="2:6" x14ac:dyDescent="0.2">
      <c r="B1363" t="str">
        <f>IFERROR(IF('PDCA review'!$D$2=Do!B1361,Do!G1361,""),"")</f>
        <v/>
      </c>
      <c r="C1363">
        <f t="shared" si="63"/>
        <v>0</v>
      </c>
      <c r="D1363">
        <f>SUM($C$3:C1363)</f>
        <v>4</v>
      </c>
      <c r="E1363" t="e">
        <f t="shared" si="64"/>
        <v>#N/A</v>
      </c>
      <c r="F1363" s="28" t="str">
        <f t="shared" ca="1" si="65"/>
        <v/>
      </c>
    </row>
    <row r="1364" spans="2:6" x14ac:dyDescent="0.2">
      <c r="B1364" t="str">
        <f>IFERROR(IF('PDCA review'!$D$2=Do!B1362,Do!G1362,""),"")</f>
        <v/>
      </c>
      <c r="C1364">
        <f t="shared" si="63"/>
        <v>0</v>
      </c>
      <c r="D1364">
        <f>SUM($C$3:C1364)</f>
        <v>4</v>
      </c>
      <c r="E1364" t="e">
        <f t="shared" si="64"/>
        <v>#N/A</v>
      </c>
      <c r="F1364" s="28" t="str">
        <f t="shared" ca="1" si="65"/>
        <v/>
      </c>
    </row>
    <row r="1365" spans="2:6" x14ac:dyDescent="0.2">
      <c r="B1365" t="str">
        <f>IFERROR(IF('PDCA review'!$D$2=Do!B1363,Do!G1363,""),"")</f>
        <v/>
      </c>
      <c r="C1365">
        <f t="shared" si="63"/>
        <v>0</v>
      </c>
      <c r="D1365">
        <f>SUM($C$3:C1365)</f>
        <v>4</v>
      </c>
      <c r="E1365" t="e">
        <f t="shared" si="64"/>
        <v>#N/A</v>
      </c>
      <c r="F1365" s="28" t="str">
        <f t="shared" ca="1" si="65"/>
        <v/>
      </c>
    </row>
    <row r="1366" spans="2:6" x14ac:dyDescent="0.2">
      <c r="B1366" t="str">
        <f>IFERROR(IF('PDCA review'!$D$2=Do!B1364,Do!G1364,""),"")</f>
        <v/>
      </c>
      <c r="C1366">
        <f t="shared" si="63"/>
        <v>0</v>
      </c>
      <c r="D1366">
        <f>SUM($C$3:C1366)</f>
        <v>4</v>
      </c>
      <c r="E1366" t="e">
        <f t="shared" si="64"/>
        <v>#N/A</v>
      </c>
      <c r="F1366" s="28" t="str">
        <f t="shared" ca="1" si="65"/>
        <v/>
      </c>
    </row>
    <row r="1367" spans="2:6" x14ac:dyDescent="0.2">
      <c r="B1367" t="str">
        <f>IFERROR(IF('PDCA review'!$D$2=Do!B1365,Do!G1365,""),"")</f>
        <v/>
      </c>
      <c r="C1367">
        <f t="shared" si="63"/>
        <v>0</v>
      </c>
      <c r="D1367">
        <f>SUM($C$3:C1367)</f>
        <v>4</v>
      </c>
      <c r="E1367" t="e">
        <f t="shared" si="64"/>
        <v>#N/A</v>
      </c>
      <c r="F1367" s="28" t="str">
        <f t="shared" ca="1" si="65"/>
        <v/>
      </c>
    </row>
    <row r="1368" spans="2:6" x14ac:dyDescent="0.2">
      <c r="B1368" t="str">
        <f>IFERROR(IF('PDCA review'!$D$2=Do!B1366,Do!G1366,""),"")</f>
        <v/>
      </c>
      <c r="C1368">
        <f t="shared" si="63"/>
        <v>0</v>
      </c>
      <c r="D1368">
        <f>SUM($C$3:C1368)</f>
        <v>4</v>
      </c>
      <c r="E1368" t="e">
        <f t="shared" si="64"/>
        <v>#N/A</v>
      </c>
      <c r="F1368" s="28" t="str">
        <f t="shared" ca="1" si="65"/>
        <v/>
      </c>
    </row>
    <row r="1369" spans="2:6" x14ac:dyDescent="0.2">
      <c r="B1369" t="str">
        <f>IFERROR(IF('PDCA review'!$D$2=Do!B1367,Do!G1367,""),"")</f>
        <v/>
      </c>
      <c r="C1369">
        <f t="shared" si="63"/>
        <v>0</v>
      </c>
      <c r="D1369">
        <f>SUM($C$3:C1369)</f>
        <v>4</v>
      </c>
      <c r="E1369" t="e">
        <f t="shared" si="64"/>
        <v>#N/A</v>
      </c>
      <c r="F1369" s="28" t="str">
        <f t="shared" ca="1" si="65"/>
        <v/>
      </c>
    </row>
    <row r="1370" spans="2:6" x14ac:dyDescent="0.2">
      <c r="B1370" t="str">
        <f>IFERROR(IF('PDCA review'!$D$2=Do!B1368,Do!G1368,""),"")</f>
        <v/>
      </c>
      <c r="C1370">
        <f t="shared" si="63"/>
        <v>0</v>
      </c>
      <c r="D1370">
        <f>SUM($C$3:C1370)</f>
        <v>4</v>
      </c>
      <c r="E1370" t="e">
        <f t="shared" si="64"/>
        <v>#N/A</v>
      </c>
      <c r="F1370" s="28" t="str">
        <f t="shared" ca="1" si="65"/>
        <v/>
      </c>
    </row>
    <row r="1371" spans="2:6" x14ac:dyDescent="0.2">
      <c r="B1371" t="str">
        <f>IFERROR(IF('PDCA review'!$D$2=Do!B1369,Do!G1369,""),"")</f>
        <v/>
      </c>
      <c r="C1371">
        <f t="shared" si="63"/>
        <v>0</v>
      </c>
      <c r="D1371">
        <f>SUM($C$3:C1371)</f>
        <v>4</v>
      </c>
      <c r="E1371" t="e">
        <f t="shared" si="64"/>
        <v>#N/A</v>
      </c>
      <c r="F1371" s="28" t="str">
        <f t="shared" ca="1" si="65"/>
        <v/>
      </c>
    </row>
    <row r="1372" spans="2:6" x14ac:dyDescent="0.2">
      <c r="B1372" t="str">
        <f>IFERROR(IF('PDCA review'!$D$2=Do!B1370,Do!G1370,""),"")</f>
        <v/>
      </c>
      <c r="C1372">
        <f t="shared" si="63"/>
        <v>0</v>
      </c>
      <c r="D1372">
        <f>SUM($C$3:C1372)</f>
        <v>4</v>
      </c>
      <c r="E1372" t="e">
        <f t="shared" si="64"/>
        <v>#N/A</v>
      </c>
      <c r="F1372" s="28" t="str">
        <f t="shared" ca="1" si="65"/>
        <v/>
      </c>
    </row>
    <row r="1373" spans="2:6" x14ac:dyDescent="0.2">
      <c r="B1373" t="str">
        <f>IFERROR(IF('PDCA review'!$D$2=Do!B1371,Do!G1371,""),"")</f>
        <v/>
      </c>
      <c r="C1373">
        <f t="shared" si="63"/>
        <v>0</v>
      </c>
      <c r="D1373">
        <f>SUM($C$3:C1373)</f>
        <v>4</v>
      </c>
      <c r="E1373" t="e">
        <f t="shared" si="64"/>
        <v>#N/A</v>
      </c>
      <c r="F1373" s="28" t="str">
        <f t="shared" ca="1" si="65"/>
        <v/>
      </c>
    </row>
    <row r="1374" spans="2:6" x14ac:dyDescent="0.2">
      <c r="B1374" t="str">
        <f>IFERROR(IF('PDCA review'!$D$2=Do!B1372,Do!G1372,""),"")</f>
        <v/>
      </c>
      <c r="C1374">
        <f t="shared" si="63"/>
        <v>0</v>
      </c>
      <c r="D1374">
        <f>SUM($C$3:C1374)</f>
        <v>4</v>
      </c>
      <c r="E1374" t="e">
        <f t="shared" si="64"/>
        <v>#N/A</v>
      </c>
      <c r="F1374" s="28" t="str">
        <f t="shared" ca="1" si="65"/>
        <v/>
      </c>
    </row>
    <row r="1375" spans="2:6" x14ac:dyDescent="0.2">
      <c r="B1375" t="str">
        <f>IFERROR(IF('PDCA review'!$D$2=Do!B1373,Do!G1373,""),"")</f>
        <v/>
      </c>
      <c r="C1375">
        <f t="shared" si="63"/>
        <v>0</v>
      </c>
      <c r="D1375">
        <f>SUM($C$3:C1375)</f>
        <v>4</v>
      </c>
      <c r="E1375" t="e">
        <f t="shared" si="64"/>
        <v>#N/A</v>
      </c>
      <c r="F1375" s="28" t="str">
        <f t="shared" ca="1" si="65"/>
        <v/>
      </c>
    </row>
    <row r="1376" spans="2:6" x14ac:dyDescent="0.2">
      <c r="B1376" t="str">
        <f>IFERROR(IF('PDCA review'!$D$2=Do!B1374,Do!G1374,""),"")</f>
        <v/>
      </c>
      <c r="C1376">
        <f t="shared" si="63"/>
        <v>0</v>
      </c>
      <c r="D1376">
        <f>SUM($C$3:C1376)</f>
        <v>4</v>
      </c>
      <c r="E1376" t="e">
        <f t="shared" si="64"/>
        <v>#N/A</v>
      </c>
      <c r="F1376" s="28" t="str">
        <f t="shared" ca="1" si="65"/>
        <v/>
      </c>
    </row>
    <row r="1377" spans="2:6" x14ac:dyDescent="0.2">
      <c r="B1377" t="str">
        <f>IFERROR(IF('PDCA review'!$D$2=Do!B1375,Do!G1375,""),"")</f>
        <v/>
      </c>
      <c r="C1377">
        <f t="shared" si="63"/>
        <v>0</v>
      </c>
      <c r="D1377">
        <f>SUM($C$3:C1377)</f>
        <v>4</v>
      </c>
      <c r="E1377" t="e">
        <f t="shared" si="64"/>
        <v>#N/A</v>
      </c>
      <c r="F1377" s="28" t="str">
        <f t="shared" ca="1" si="65"/>
        <v/>
      </c>
    </row>
    <row r="1378" spans="2:6" x14ac:dyDescent="0.2">
      <c r="B1378" t="str">
        <f>IFERROR(IF('PDCA review'!$D$2=Do!B1376,Do!G1376,""),"")</f>
        <v/>
      </c>
      <c r="C1378">
        <f t="shared" si="63"/>
        <v>0</v>
      </c>
      <c r="D1378">
        <f>SUM($C$3:C1378)</f>
        <v>4</v>
      </c>
      <c r="E1378" t="e">
        <f t="shared" si="64"/>
        <v>#N/A</v>
      </c>
      <c r="F1378" s="28" t="str">
        <f t="shared" ca="1" si="65"/>
        <v/>
      </c>
    </row>
    <row r="1379" spans="2:6" x14ac:dyDescent="0.2">
      <c r="B1379" t="str">
        <f>IFERROR(IF('PDCA review'!$D$2=Do!B1377,Do!G1377,""),"")</f>
        <v/>
      </c>
      <c r="C1379">
        <f t="shared" si="63"/>
        <v>0</v>
      </c>
      <c r="D1379">
        <f>SUM($C$3:C1379)</f>
        <v>4</v>
      </c>
      <c r="E1379" t="e">
        <f t="shared" si="64"/>
        <v>#N/A</v>
      </c>
      <c r="F1379" s="28" t="str">
        <f t="shared" ca="1" si="65"/>
        <v/>
      </c>
    </row>
    <row r="1380" spans="2:6" x14ac:dyDescent="0.2">
      <c r="B1380" t="str">
        <f>IFERROR(IF('PDCA review'!$D$2=Do!B1378,Do!G1378,""),"")</f>
        <v/>
      </c>
      <c r="C1380">
        <f t="shared" si="63"/>
        <v>0</v>
      </c>
      <c r="D1380">
        <f>SUM($C$3:C1380)</f>
        <v>4</v>
      </c>
      <c r="E1380" t="e">
        <f t="shared" si="64"/>
        <v>#N/A</v>
      </c>
      <c r="F1380" s="28" t="str">
        <f t="shared" ca="1" si="65"/>
        <v/>
      </c>
    </row>
    <row r="1381" spans="2:6" x14ac:dyDescent="0.2">
      <c r="B1381" t="str">
        <f>IFERROR(IF('PDCA review'!$D$2=Do!B1379,Do!G1379,""),"")</f>
        <v/>
      </c>
      <c r="C1381">
        <f t="shared" si="63"/>
        <v>0</v>
      </c>
      <c r="D1381">
        <f>SUM($C$3:C1381)</f>
        <v>4</v>
      </c>
      <c r="E1381" t="e">
        <f t="shared" si="64"/>
        <v>#N/A</v>
      </c>
      <c r="F1381" s="28" t="str">
        <f t="shared" ca="1" si="65"/>
        <v/>
      </c>
    </row>
    <row r="1382" spans="2:6" x14ac:dyDescent="0.2">
      <c r="B1382" t="str">
        <f>IFERROR(IF('PDCA review'!$D$2=Do!B1380,Do!G1380,""),"")</f>
        <v/>
      </c>
      <c r="C1382">
        <f t="shared" si="63"/>
        <v>0</v>
      </c>
      <c r="D1382">
        <f>SUM($C$3:C1382)</f>
        <v>4</v>
      </c>
      <c r="E1382" t="e">
        <f t="shared" si="64"/>
        <v>#N/A</v>
      </c>
      <c r="F1382" s="28" t="str">
        <f t="shared" ca="1" si="65"/>
        <v/>
      </c>
    </row>
    <row r="1383" spans="2:6" x14ac:dyDescent="0.2">
      <c r="B1383" t="str">
        <f>IFERROR(IF('PDCA review'!$D$2=Do!B1381,Do!G1381,""),"")</f>
        <v/>
      </c>
      <c r="C1383">
        <f t="shared" si="63"/>
        <v>0</v>
      </c>
      <c r="D1383">
        <f>SUM($C$3:C1383)</f>
        <v>4</v>
      </c>
      <c r="E1383" t="e">
        <f t="shared" si="64"/>
        <v>#N/A</v>
      </c>
      <c r="F1383" s="28" t="str">
        <f t="shared" ca="1" si="65"/>
        <v/>
      </c>
    </row>
    <row r="1384" spans="2:6" x14ac:dyDescent="0.2">
      <c r="B1384" t="str">
        <f>IFERROR(IF('PDCA review'!$D$2=Do!B1382,Do!G1382,""),"")</f>
        <v/>
      </c>
      <c r="C1384">
        <f t="shared" si="63"/>
        <v>0</v>
      </c>
      <c r="D1384">
        <f>SUM($C$3:C1384)</f>
        <v>4</v>
      </c>
      <c r="E1384" t="e">
        <f t="shared" si="64"/>
        <v>#N/A</v>
      </c>
      <c r="F1384" s="28" t="str">
        <f t="shared" ca="1" si="65"/>
        <v/>
      </c>
    </row>
    <row r="1385" spans="2:6" x14ac:dyDescent="0.2">
      <c r="B1385" t="str">
        <f>IFERROR(IF('PDCA review'!$D$2=Do!B1383,Do!G1383,""),"")</f>
        <v/>
      </c>
      <c r="C1385">
        <f t="shared" si="63"/>
        <v>0</v>
      </c>
      <c r="D1385">
        <f>SUM($C$3:C1385)</f>
        <v>4</v>
      </c>
      <c r="E1385" t="e">
        <f t="shared" si="64"/>
        <v>#N/A</v>
      </c>
      <c r="F1385" s="28" t="str">
        <f t="shared" ca="1" si="65"/>
        <v/>
      </c>
    </row>
    <row r="1386" spans="2:6" x14ac:dyDescent="0.2">
      <c r="B1386" t="str">
        <f>IFERROR(IF('PDCA review'!$D$2=Do!B1384,Do!G1384,""),"")</f>
        <v/>
      </c>
      <c r="C1386">
        <f t="shared" si="63"/>
        <v>0</v>
      </c>
      <c r="D1386">
        <f>SUM($C$3:C1386)</f>
        <v>4</v>
      </c>
      <c r="E1386" t="e">
        <f t="shared" si="64"/>
        <v>#N/A</v>
      </c>
      <c r="F1386" s="28" t="str">
        <f t="shared" ca="1" si="65"/>
        <v/>
      </c>
    </row>
    <row r="1387" spans="2:6" x14ac:dyDescent="0.2">
      <c r="B1387" t="str">
        <f>IFERROR(IF('PDCA review'!$D$2=Do!B1385,Do!G1385,""),"")</f>
        <v/>
      </c>
      <c r="C1387">
        <f t="shared" si="63"/>
        <v>0</v>
      </c>
      <c r="D1387">
        <f>SUM($C$3:C1387)</f>
        <v>4</v>
      </c>
      <c r="E1387" t="e">
        <f t="shared" si="64"/>
        <v>#N/A</v>
      </c>
      <c r="F1387" s="28" t="str">
        <f t="shared" ca="1" si="65"/>
        <v/>
      </c>
    </row>
    <row r="1388" spans="2:6" x14ac:dyDescent="0.2">
      <c r="B1388" t="str">
        <f>IFERROR(IF('PDCA review'!$D$2=Do!B1386,Do!G1386,""),"")</f>
        <v/>
      </c>
      <c r="C1388">
        <f t="shared" si="63"/>
        <v>0</v>
      </c>
      <c r="D1388">
        <f>SUM($C$3:C1388)</f>
        <v>4</v>
      </c>
      <c r="E1388" t="e">
        <f t="shared" si="64"/>
        <v>#N/A</v>
      </c>
      <c r="F1388" s="28" t="str">
        <f t="shared" ca="1" si="65"/>
        <v/>
      </c>
    </row>
    <row r="1389" spans="2:6" x14ac:dyDescent="0.2">
      <c r="B1389" t="str">
        <f>IFERROR(IF('PDCA review'!$D$2=Do!B1387,Do!G1387,""),"")</f>
        <v/>
      </c>
      <c r="C1389">
        <f t="shared" si="63"/>
        <v>0</v>
      </c>
      <c r="D1389">
        <f>SUM($C$3:C1389)</f>
        <v>4</v>
      </c>
      <c r="E1389" t="e">
        <f t="shared" si="64"/>
        <v>#N/A</v>
      </c>
      <c r="F1389" s="28" t="str">
        <f t="shared" ca="1" si="65"/>
        <v/>
      </c>
    </row>
    <row r="1390" spans="2:6" x14ac:dyDescent="0.2">
      <c r="B1390" t="str">
        <f>IFERROR(IF('PDCA review'!$D$2=Do!B1388,Do!G1388,""),"")</f>
        <v/>
      </c>
      <c r="C1390">
        <f t="shared" si="63"/>
        <v>0</v>
      </c>
      <c r="D1390">
        <f>SUM($C$3:C1390)</f>
        <v>4</v>
      </c>
      <c r="E1390" t="e">
        <f t="shared" si="64"/>
        <v>#N/A</v>
      </c>
      <c r="F1390" s="28" t="str">
        <f t="shared" ca="1" si="65"/>
        <v/>
      </c>
    </row>
    <row r="1391" spans="2:6" x14ac:dyDescent="0.2">
      <c r="B1391" t="str">
        <f>IFERROR(IF('PDCA review'!$D$2=Do!B1389,Do!G1389,""),"")</f>
        <v/>
      </c>
      <c r="C1391">
        <f t="shared" si="63"/>
        <v>0</v>
      </c>
      <c r="D1391">
        <f>SUM($C$3:C1391)</f>
        <v>4</v>
      </c>
      <c r="E1391" t="e">
        <f t="shared" si="64"/>
        <v>#N/A</v>
      </c>
      <c r="F1391" s="28" t="str">
        <f t="shared" ca="1" si="65"/>
        <v/>
      </c>
    </row>
    <row r="1392" spans="2:6" x14ac:dyDescent="0.2">
      <c r="B1392" t="str">
        <f>IFERROR(IF('PDCA review'!$D$2=Do!B1390,Do!G1390,""),"")</f>
        <v/>
      </c>
      <c r="C1392">
        <f t="shared" si="63"/>
        <v>0</v>
      </c>
      <c r="D1392">
        <f>SUM($C$3:C1392)</f>
        <v>4</v>
      </c>
      <c r="E1392" t="e">
        <f t="shared" si="64"/>
        <v>#N/A</v>
      </c>
      <c r="F1392" s="28" t="str">
        <f t="shared" ca="1" si="65"/>
        <v/>
      </c>
    </row>
    <row r="1393" spans="2:6" x14ac:dyDescent="0.2">
      <c r="B1393" t="str">
        <f>IFERROR(IF('PDCA review'!$D$2=Do!B1391,Do!G1391,""),"")</f>
        <v/>
      </c>
      <c r="C1393">
        <f t="shared" si="63"/>
        <v>0</v>
      </c>
      <c r="D1393">
        <f>SUM($C$3:C1393)</f>
        <v>4</v>
      </c>
      <c r="E1393" t="e">
        <f t="shared" si="64"/>
        <v>#N/A</v>
      </c>
      <c r="F1393" s="28" t="str">
        <f t="shared" ca="1" si="65"/>
        <v/>
      </c>
    </row>
    <row r="1394" spans="2:6" x14ac:dyDescent="0.2">
      <c r="B1394" t="str">
        <f>IFERROR(IF('PDCA review'!$D$2=Do!B1392,Do!G1392,""),"")</f>
        <v/>
      </c>
      <c r="C1394">
        <f t="shared" si="63"/>
        <v>0</v>
      </c>
      <c r="D1394">
        <f>SUM($C$3:C1394)</f>
        <v>4</v>
      </c>
      <c r="E1394" t="e">
        <f t="shared" si="64"/>
        <v>#N/A</v>
      </c>
      <c r="F1394" s="28" t="str">
        <f t="shared" ca="1" si="65"/>
        <v/>
      </c>
    </row>
    <row r="1395" spans="2:6" x14ac:dyDescent="0.2">
      <c r="B1395" t="str">
        <f>IFERROR(IF('PDCA review'!$D$2=Do!B1393,Do!G1393,""),"")</f>
        <v/>
      </c>
      <c r="C1395">
        <f t="shared" si="63"/>
        <v>0</v>
      </c>
      <c r="D1395">
        <f>SUM($C$3:C1395)</f>
        <v>4</v>
      </c>
      <c r="E1395" t="e">
        <f t="shared" si="64"/>
        <v>#N/A</v>
      </c>
      <c r="F1395" s="28" t="str">
        <f t="shared" ca="1" si="65"/>
        <v/>
      </c>
    </row>
    <row r="1396" spans="2:6" x14ac:dyDescent="0.2">
      <c r="B1396" t="str">
        <f>IFERROR(IF('PDCA review'!$D$2=Do!B1394,Do!G1394,""),"")</f>
        <v/>
      </c>
      <c r="C1396">
        <f t="shared" si="63"/>
        <v>0</v>
      </c>
      <c r="D1396">
        <f>SUM($C$3:C1396)</f>
        <v>4</v>
      </c>
      <c r="E1396" t="e">
        <f t="shared" si="64"/>
        <v>#N/A</v>
      </c>
      <c r="F1396" s="28" t="str">
        <f t="shared" ca="1" si="65"/>
        <v/>
      </c>
    </row>
    <row r="1397" spans="2:6" x14ac:dyDescent="0.2">
      <c r="B1397" t="str">
        <f>IFERROR(IF('PDCA review'!$D$2=Do!B1395,Do!G1395,""),"")</f>
        <v/>
      </c>
      <c r="C1397">
        <f t="shared" si="63"/>
        <v>0</v>
      </c>
      <c r="D1397">
        <f>SUM($C$3:C1397)</f>
        <v>4</v>
      </c>
      <c r="E1397" t="e">
        <f t="shared" si="64"/>
        <v>#N/A</v>
      </c>
      <c r="F1397" s="28" t="str">
        <f t="shared" ca="1" si="65"/>
        <v/>
      </c>
    </row>
    <row r="1398" spans="2:6" x14ac:dyDescent="0.2">
      <c r="B1398" t="str">
        <f>IFERROR(IF('PDCA review'!$D$2=Do!B1396,Do!G1396,""),"")</f>
        <v/>
      </c>
      <c r="C1398">
        <f t="shared" si="63"/>
        <v>0</v>
      </c>
      <c r="D1398">
        <f>SUM($C$3:C1398)</f>
        <v>4</v>
      </c>
      <c r="E1398" t="e">
        <f t="shared" si="64"/>
        <v>#N/A</v>
      </c>
      <c r="F1398" s="28" t="str">
        <f t="shared" ca="1" si="65"/>
        <v/>
      </c>
    </row>
    <row r="1399" spans="2:6" x14ac:dyDescent="0.2">
      <c r="B1399" t="str">
        <f>IFERROR(IF('PDCA review'!$D$2=Do!B1397,Do!G1397,""),"")</f>
        <v/>
      </c>
      <c r="C1399">
        <f t="shared" si="63"/>
        <v>0</v>
      </c>
      <c r="D1399">
        <f>SUM($C$3:C1399)</f>
        <v>4</v>
      </c>
      <c r="E1399" t="e">
        <f t="shared" si="64"/>
        <v>#N/A</v>
      </c>
      <c r="F1399" s="28" t="str">
        <f t="shared" ca="1" si="65"/>
        <v/>
      </c>
    </row>
    <row r="1400" spans="2:6" x14ac:dyDescent="0.2">
      <c r="B1400" t="str">
        <f>IFERROR(IF('PDCA review'!$D$2=Do!B1398,Do!G1398,""),"")</f>
        <v/>
      </c>
      <c r="C1400">
        <f t="shared" si="63"/>
        <v>0</v>
      </c>
      <c r="D1400">
        <f>SUM($C$3:C1400)</f>
        <v>4</v>
      </c>
      <c r="E1400" t="e">
        <f t="shared" si="64"/>
        <v>#N/A</v>
      </c>
      <c r="F1400" s="28" t="str">
        <f t="shared" ca="1" si="65"/>
        <v/>
      </c>
    </row>
    <row r="1401" spans="2:6" x14ac:dyDescent="0.2">
      <c r="B1401" t="str">
        <f>IFERROR(IF('PDCA review'!$D$2=Do!B1399,Do!G1399,""),"")</f>
        <v/>
      </c>
      <c r="C1401">
        <f t="shared" si="63"/>
        <v>0</v>
      </c>
      <c r="D1401">
        <f>SUM($C$3:C1401)</f>
        <v>4</v>
      </c>
      <c r="E1401" t="e">
        <f t="shared" si="64"/>
        <v>#N/A</v>
      </c>
      <c r="F1401" s="28" t="str">
        <f t="shared" ca="1" si="65"/>
        <v/>
      </c>
    </row>
    <row r="1402" spans="2:6" x14ac:dyDescent="0.2">
      <c r="B1402" t="str">
        <f>IFERROR(IF('PDCA review'!$D$2=Do!B1400,Do!G1400,""),"")</f>
        <v/>
      </c>
      <c r="C1402">
        <f t="shared" si="63"/>
        <v>0</v>
      </c>
      <c r="D1402">
        <f>SUM($C$3:C1402)</f>
        <v>4</v>
      </c>
      <c r="E1402" t="e">
        <f t="shared" si="64"/>
        <v>#N/A</v>
      </c>
      <c r="F1402" s="28" t="str">
        <f t="shared" ca="1" si="65"/>
        <v/>
      </c>
    </row>
    <row r="1403" spans="2:6" x14ac:dyDescent="0.2">
      <c r="B1403" t="str">
        <f>IFERROR(IF('PDCA review'!$D$2=Do!B1401,Do!G1401,""),"")</f>
        <v/>
      </c>
      <c r="C1403">
        <f t="shared" si="63"/>
        <v>0</v>
      </c>
      <c r="D1403">
        <f>SUM($C$3:C1403)</f>
        <v>4</v>
      </c>
      <c r="E1403" t="e">
        <f t="shared" si="64"/>
        <v>#N/A</v>
      </c>
      <c r="F1403" s="28" t="str">
        <f t="shared" ca="1" si="65"/>
        <v/>
      </c>
    </row>
    <row r="1404" spans="2:6" x14ac:dyDescent="0.2">
      <c r="B1404" t="str">
        <f>IFERROR(IF('PDCA review'!$D$2=Do!B1402,Do!G1402,""),"")</f>
        <v/>
      </c>
      <c r="C1404">
        <f t="shared" si="63"/>
        <v>0</v>
      </c>
      <c r="D1404">
        <f>SUM($C$3:C1404)</f>
        <v>4</v>
      </c>
      <c r="E1404" t="e">
        <f t="shared" si="64"/>
        <v>#N/A</v>
      </c>
      <c r="F1404" s="28" t="str">
        <f t="shared" ca="1" si="65"/>
        <v/>
      </c>
    </row>
    <row r="1405" spans="2:6" x14ac:dyDescent="0.2">
      <c r="B1405" t="str">
        <f>IFERROR(IF('PDCA review'!$D$2=Do!B1403,Do!G1403,""),"")</f>
        <v/>
      </c>
      <c r="C1405">
        <f t="shared" si="63"/>
        <v>0</v>
      </c>
      <c r="D1405">
        <f>SUM($C$3:C1405)</f>
        <v>4</v>
      </c>
      <c r="E1405" t="e">
        <f t="shared" si="64"/>
        <v>#N/A</v>
      </c>
      <c r="F1405" s="28" t="str">
        <f t="shared" ca="1" si="65"/>
        <v/>
      </c>
    </row>
    <row r="1406" spans="2:6" x14ac:dyDescent="0.2">
      <c r="B1406" t="str">
        <f>IFERROR(IF('PDCA review'!$D$2=Do!B1404,Do!G1404,""),"")</f>
        <v/>
      </c>
      <c r="C1406">
        <f t="shared" si="63"/>
        <v>0</v>
      </c>
      <c r="D1406">
        <f>SUM($C$3:C1406)</f>
        <v>4</v>
      </c>
      <c r="E1406" t="e">
        <f t="shared" si="64"/>
        <v>#N/A</v>
      </c>
      <c r="F1406" s="28" t="str">
        <f t="shared" ca="1" si="65"/>
        <v/>
      </c>
    </row>
    <row r="1407" spans="2:6" x14ac:dyDescent="0.2">
      <c r="B1407" t="str">
        <f>IFERROR(IF('PDCA review'!$D$2=Do!B1405,Do!G1405,""),"")</f>
        <v/>
      </c>
      <c r="C1407">
        <f t="shared" si="63"/>
        <v>0</v>
      </c>
      <c r="D1407">
        <f>SUM($C$3:C1407)</f>
        <v>4</v>
      </c>
      <c r="E1407" t="e">
        <f t="shared" si="64"/>
        <v>#N/A</v>
      </c>
      <c r="F1407" s="28" t="str">
        <f t="shared" ca="1" si="65"/>
        <v/>
      </c>
    </row>
    <row r="1408" spans="2:6" x14ac:dyDescent="0.2">
      <c r="B1408" t="str">
        <f>IFERROR(IF('PDCA review'!$D$2=Do!B1406,Do!G1406,""),"")</f>
        <v/>
      </c>
      <c r="C1408">
        <f t="shared" si="63"/>
        <v>0</v>
      </c>
      <c r="D1408">
        <f>SUM($C$3:C1408)</f>
        <v>4</v>
      </c>
      <c r="E1408" t="e">
        <f t="shared" si="64"/>
        <v>#N/A</v>
      </c>
      <c r="F1408" s="28" t="str">
        <f t="shared" ca="1" si="65"/>
        <v/>
      </c>
    </row>
    <row r="1409" spans="2:6" x14ac:dyDescent="0.2">
      <c r="B1409" t="str">
        <f>IFERROR(IF('PDCA review'!$D$2=Do!B1407,Do!G1407,""),"")</f>
        <v/>
      </c>
      <c r="C1409">
        <f t="shared" si="63"/>
        <v>0</v>
      </c>
      <c r="D1409">
        <f>SUM($C$3:C1409)</f>
        <v>4</v>
      </c>
      <c r="E1409" t="e">
        <f t="shared" si="64"/>
        <v>#N/A</v>
      </c>
      <c r="F1409" s="28" t="str">
        <f t="shared" ca="1" si="65"/>
        <v/>
      </c>
    </row>
    <row r="1410" spans="2:6" x14ac:dyDescent="0.2">
      <c r="B1410" t="str">
        <f>IFERROR(IF('PDCA review'!$D$2=Do!B1408,Do!G1408,""),"")</f>
        <v/>
      </c>
      <c r="C1410">
        <f t="shared" si="63"/>
        <v>0</v>
      </c>
      <c r="D1410">
        <f>SUM($C$3:C1410)</f>
        <v>4</v>
      </c>
      <c r="E1410" t="e">
        <f t="shared" si="64"/>
        <v>#N/A</v>
      </c>
      <c r="F1410" s="28" t="str">
        <f t="shared" ca="1" si="65"/>
        <v/>
      </c>
    </row>
    <row r="1411" spans="2:6" x14ac:dyDescent="0.2">
      <c r="B1411" t="str">
        <f>IFERROR(IF('PDCA review'!$D$2=Do!B1409,Do!G1409,""),"")</f>
        <v/>
      </c>
      <c r="C1411">
        <f t="shared" si="63"/>
        <v>0</v>
      </c>
      <c r="D1411">
        <f>SUM($C$3:C1411)</f>
        <v>4</v>
      </c>
      <c r="E1411" t="e">
        <f t="shared" si="64"/>
        <v>#N/A</v>
      </c>
      <c r="F1411" s="28" t="str">
        <f t="shared" ca="1" si="65"/>
        <v/>
      </c>
    </row>
    <row r="1412" spans="2:6" x14ac:dyDescent="0.2">
      <c r="B1412" t="str">
        <f>IFERROR(IF('PDCA review'!$D$2=Do!B1410,Do!G1410,""),"")</f>
        <v/>
      </c>
      <c r="C1412">
        <f t="shared" ref="C1412:C1475" si="66">IF(B1412&lt;&gt;"",1,0)</f>
        <v>0</v>
      </c>
      <c r="D1412">
        <f>SUM($C$3:C1412)</f>
        <v>4</v>
      </c>
      <c r="E1412" t="e">
        <f t="shared" ref="E1412:E1475" si="67">MATCH(ROW()-$D$2,$D$3:$D$2000,0)+$D$2</f>
        <v>#N/A</v>
      </c>
      <c r="F1412" s="28" t="str">
        <f t="shared" ref="F1412:F1475" ca="1" si="68">IFERROR(INDIRECT("B"&amp;E1412),"")</f>
        <v/>
      </c>
    </row>
    <row r="1413" spans="2:6" x14ac:dyDescent="0.2">
      <c r="B1413" t="str">
        <f>IFERROR(IF('PDCA review'!$D$2=Do!B1411,Do!G1411,""),"")</f>
        <v/>
      </c>
      <c r="C1413">
        <f t="shared" si="66"/>
        <v>0</v>
      </c>
      <c r="D1413">
        <f>SUM($C$3:C1413)</f>
        <v>4</v>
      </c>
      <c r="E1413" t="e">
        <f t="shared" si="67"/>
        <v>#N/A</v>
      </c>
      <c r="F1413" s="28" t="str">
        <f t="shared" ca="1" si="68"/>
        <v/>
      </c>
    </row>
    <row r="1414" spans="2:6" x14ac:dyDescent="0.2">
      <c r="B1414" t="str">
        <f>IFERROR(IF('PDCA review'!$D$2=Do!B1412,Do!G1412,""),"")</f>
        <v/>
      </c>
      <c r="C1414">
        <f t="shared" si="66"/>
        <v>0</v>
      </c>
      <c r="D1414">
        <f>SUM($C$3:C1414)</f>
        <v>4</v>
      </c>
      <c r="E1414" t="e">
        <f t="shared" si="67"/>
        <v>#N/A</v>
      </c>
      <c r="F1414" s="28" t="str">
        <f t="shared" ca="1" si="68"/>
        <v/>
      </c>
    </row>
    <row r="1415" spans="2:6" x14ac:dyDescent="0.2">
      <c r="B1415" t="str">
        <f>IFERROR(IF('PDCA review'!$D$2=Do!B1413,Do!G1413,""),"")</f>
        <v/>
      </c>
      <c r="C1415">
        <f t="shared" si="66"/>
        <v>0</v>
      </c>
      <c r="D1415">
        <f>SUM($C$3:C1415)</f>
        <v>4</v>
      </c>
      <c r="E1415" t="e">
        <f t="shared" si="67"/>
        <v>#N/A</v>
      </c>
      <c r="F1415" s="28" t="str">
        <f t="shared" ca="1" si="68"/>
        <v/>
      </c>
    </row>
    <row r="1416" spans="2:6" x14ac:dyDescent="0.2">
      <c r="B1416" t="str">
        <f>IFERROR(IF('PDCA review'!$D$2=Do!B1414,Do!G1414,""),"")</f>
        <v/>
      </c>
      <c r="C1416">
        <f t="shared" si="66"/>
        <v>0</v>
      </c>
      <c r="D1416">
        <f>SUM($C$3:C1416)</f>
        <v>4</v>
      </c>
      <c r="E1416" t="e">
        <f t="shared" si="67"/>
        <v>#N/A</v>
      </c>
      <c r="F1416" s="28" t="str">
        <f t="shared" ca="1" si="68"/>
        <v/>
      </c>
    </row>
    <row r="1417" spans="2:6" x14ac:dyDescent="0.2">
      <c r="B1417" t="str">
        <f>IFERROR(IF('PDCA review'!$D$2=Do!B1415,Do!G1415,""),"")</f>
        <v/>
      </c>
      <c r="C1417">
        <f t="shared" si="66"/>
        <v>0</v>
      </c>
      <c r="D1417">
        <f>SUM($C$3:C1417)</f>
        <v>4</v>
      </c>
      <c r="E1417" t="e">
        <f t="shared" si="67"/>
        <v>#N/A</v>
      </c>
      <c r="F1417" s="28" t="str">
        <f t="shared" ca="1" si="68"/>
        <v/>
      </c>
    </row>
    <row r="1418" spans="2:6" x14ac:dyDescent="0.2">
      <c r="B1418" t="str">
        <f>IFERROR(IF('PDCA review'!$D$2=Do!B1416,Do!G1416,""),"")</f>
        <v/>
      </c>
      <c r="C1418">
        <f t="shared" si="66"/>
        <v>0</v>
      </c>
      <c r="D1418">
        <f>SUM($C$3:C1418)</f>
        <v>4</v>
      </c>
      <c r="E1418" t="e">
        <f t="shared" si="67"/>
        <v>#N/A</v>
      </c>
      <c r="F1418" s="28" t="str">
        <f t="shared" ca="1" si="68"/>
        <v/>
      </c>
    </row>
    <row r="1419" spans="2:6" x14ac:dyDescent="0.2">
      <c r="B1419" t="str">
        <f>IFERROR(IF('PDCA review'!$D$2=Do!B1417,Do!G1417,""),"")</f>
        <v/>
      </c>
      <c r="C1419">
        <f t="shared" si="66"/>
        <v>0</v>
      </c>
      <c r="D1419">
        <f>SUM($C$3:C1419)</f>
        <v>4</v>
      </c>
      <c r="E1419" t="e">
        <f t="shared" si="67"/>
        <v>#N/A</v>
      </c>
      <c r="F1419" s="28" t="str">
        <f t="shared" ca="1" si="68"/>
        <v/>
      </c>
    </row>
    <row r="1420" spans="2:6" x14ac:dyDescent="0.2">
      <c r="B1420" t="str">
        <f>IFERROR(IF('PDCA review'!$D$2=Do!B1418,Do!G1418,""),"")</f>
        <v/>
      </c>
      <c r="C1420">
        <f t="shared" si="66"/>
        <v>0</v>
      </c>
      <c r="D1420">
        <f>SUM($C$3:C1420)</f>
        <v>4</v>
      </c>
      <c r="E1420" t="e">
        <f t="shared" si="67"/>
        <v>#N/A</v>
      </c>
      <c r="F1420" s="28" t="str">
        <f t="shared" ca="1" si="68"/>
        <v/>
      </c>
    </row>
    <row r="1421" spans="2:6" x14ac:dyDescent="0.2">
      <c r="B1421" t="str">
        <f>IFERROR(IF('PDCA review'!$D$2=Do!B1419,Do!G1419,""),"")</f>
        <v/>
      </c>
      <c r="C1421">
        <f t="shared" si="66"/>
        <v>0</v>
      </c>
      <c r="D1421">
        <f>SUM($C$3:C1421)</f>
        <v>4</v>
      </c>
      <c r="E1421" t="e">
        <f t="shared" si="67"/>
        <v>#N/A</v>
      </c>
      <c r="F1421" s="28" t="str">
        <f t="shared" ca="1" si="68"/>
        <v/>
      </c>
    </row>
    <row r="1422" spans="2:6" x14ac:dyDescent="0.2">
      <c r="B1422" t="str">
        <f>IFERROR(IF('PDCA review'!$D$2=Do!B1420,Do!G1420,""),"")</f>
        <v/>
      </c>
      <c r="C1422">
        <f t="shared" si="66"/>
        <v>0</v>
      </c>
      <c r="D1422">
        <f>SUM($C$3:C1422)</f>
        <v>4</v>
      </c>
      <c r="E1422" t="e">
        <f t="shared" si="67"/>
        <v>#N/A</v>
      </c>
      <c r="F1422" s="28" t="str">
        <f t="shared" ca="1" si="68"/>
        <v/>
      </c>
    </row>
    <row r="1423" spans="2:6" x14ac:dyDescent="0.2">
      <c r="B1423" t="str">
        <f>IFERROR(IF('PDCA review'!$D$2=Do!B1421,Do!G1421,""),"")</f>
        <v/>
      </c>
      <c r="C1423">
        <f t="shared" si="66"/>
        <v>0</v>
      </c>
      <c r="D1423">
        <f>SUM($C$3:C1423)</f>
        <v>4</v>
      </c>
      <c r="E1423" t="e">
        <f t="shared" si="67"/>
        <v>#N/A</v>
      </c>
      <c r="F1423" s="28" t="str">
        <f t="shared" ca="1" si="68"/>
        <v/>
      </c>
    </row>
    <row r="1424" spans="2:6" x14ac:dyDescent="0.2">
      <c r="B1424" t="str">
        <f>IFERROR(IF('PDCA review'!$D$2=Do!B1422,Do!G1422,""),"")</f>
        <v/>
      </c>
      <c r="C1424">
        <f t="shared" si="66"/>
        <v>0</v>
      </c>
      <c r="D1424">
        <f>SUM($C$3:C1424)</f>
        <v>4</v>
      </c>
      <c r="E1424" t="e">
        <f t="shared" si="67"/>
        <v>#N/A</v>
      </c>
      <c r="F1424" s="28" t="str">
        <f t="shared" ca="1" si="68"/>
        <v/>
      </c>
    </row>
    <row r="1425" spans="2:6" x14ac:dyDescent="0.2">
      <c r="B1425" t="str">
        <f>IFERROR(IF('PDCA review'!$D$2=Do!B1423,Do!G1423,""),"")</f>
        <v/>
      </c>
      <c r="C1425">
        <f t="shared" si="66"/>
        <v>0</v>
      </c>
      <c r="D1425">
        <f>SUM($C$3:C1425)</f>
        <v>4</v>
      </c>
      <c r="E1425" t="e">
        <f t="shared" si="67"/>
        <v>#N/A</v>
      </c>
      <c r="F1425" s="28" t="str">
        <f t="shared" ca="1" si="68"/>
        <v/>
      </c>
    </row>
    <row r="1426" spans="2:6" x14ac:dyDescent="0.2">
      <c r="B1426" t="str">
        <f>IFERROR(IF('PDCA review'!$D$2=Do!B1424,Do!G1424,""),"")</f>
        <v/>
      </c>
      <c r="C1426">
        <f t="shared" si="66"/>
        <v>0</v>
      </c>
      <c r="D1426">
        <f>SUM($C$3:C1426)</f>
        <v>4</v>
      </c>
      <c r="E1426" t="e">
        <f t="shared" si="67"/>
        <v>#N/A</v>
      </c>
      <c r="F1426" s="28" t="str">
        <f t="shared" ca="1" si="68"/>
        <v/>
      </c>
    </row>
    <row r="1427" spans="2:6" x14ac:dyDescent="0.2">
      <c r="B1427" t="str">
        <f>IFERROR(IF('PDCA review'!$D$2=Do!B1425,Do!G1425,""),"")</f>
        <v/>
      </c>
      <c r="C1427">
        <f t="shared" si="66"/>
        <v>0</v>
      </c>
      <c r="D1427">
        <f>SUM($C$3:C1427)</f>
        <v>4</v>
      </c>
      <c r="E1427" t="e">
        <f t="shared" si="67"/>
        <v>#N/A</v>
      </c>
      <c r="F1427" s="28" t="str">
        <f t="shared" ca="1" si="68"/>
        <v/>
      </c>
    </row>
    <row r="1428" spans="2:6" x14ac:dyDescent="0.2">
      <c r="B1428" t="str">
        <f>IFERROR(IF('PDCA review'!$D$2=Do!B1426,Do!G1426,""),"")</f>
        <v/>
      </c>
      <c r="C1428">
        <f t="shared" si="66"/>
        <v>0</v>
      </c>
      <c r="D1428">
        <f>SUM($C$3:C1428)</f>
        <v>4</v>
      </c>
      <c r="E1428" t="e">
        <f t="shared" si="67"/>
        <v>#N/A</v>
      </c>
      <c r="F1428" s="28" t="str">
        <f t="shared" ca="1" si="68"/>
        <v/>
      </c>
    </row>
    <row r="1429" spans="2:6" x14ac:dyDescent="0.2">
      <c r="B1429" t="str">
        <f>IFERROR(IF('PDCA review'!$D$2=Do!B1427,Do!G1427,""),"")</f>
        <v/>
      </c>
      <c r="C1429">
        <f t="shared" si="66"/>
        <v>0</v>
      </c>
      <c r="D1429">
        <f>SUM($C$3:C1429)</f>
        <v>4</v>
      </c>
      <c r="E1429" t="e">
        <f t="shared" si="67"/>
        <v>#N/A</v>
      </c>
      <c r="F1429" s="28" t="str">
        <f t="shared" ca="1" si="68"/>
        <v/>
      </c>
    </row>
    <row r="1430" spans="2:6" x14ac:dyDescent="0.2">
      <c r="B1430" t="str">
        <f>IFERROR(IF('PDCA review'!$D$2=Do!B1428,Do!G1428,""),"")</f>
        <v/>
      </c>
      <c r="C1430">
        <f t="shared" si="66"/>
        <v>0</v>
      </c>
      <c r="D1430">
        <f>SUM($C$3:C1430)</f>
        <v>4</v>
      </c>
      <c r="E1430" t="e">
        <f t="shared" si="67"/>
        <v>#N/A</v>
      </c>
      <c r="F1430" s="28" t="str">
        <f t="shared" ca="1" si="68"/>
        <v/>
      </c>
    </row>
    <row r="1431" spans="2:6" x14ac:dyDescent="0.2">
      <c r="B1431" t="str">
        <f>IFERROR(IF('PDCA review'!$D$2=Do!B1429,Do!G1429,""),"")</f>
        <v/>
      </c>
      <c r="C1431">
        <f t="shared" si="66"/>
        <v>0</v>
      </c>
      <c r="D1431">
        <f>SUM($C$3:C1431)</f>
        <v>4</v>
      </c>
      <c r="E1431" t="e">
        <f t="shared" si="67"/>
        <v>#N/A</v>
      </c>
      <c r="F1431" s="28" t="str">
        <f t="shared" ca="1" si="68"/>
        <v/>
      </c>
    </row>
    <row r="1432" spans="2:6" x14ac:dyDescent="0.2">
      <c r="B1432" t="str">
        <f>IFERROR(IF('PDCA review'!$D$2=Do!B1430,Do!G1430,""),"")</f>
        <v/>
      </c>
      <c r="C1432">
        <f t="shared" si="66"/>
        <v>0</v>
      </c>
      <c r="D1432">
        <f>SUM($C$3:C1432)</f>
        <v>4</v>
      </c>
      <c r="E1432" t="e">
        <f t="shared" si="67"/>
        <v>#N/A</v>
      </c>
      <c r="F1432" s="28" t="str">
        <f t="shared" ca="1" si="68"/>
        <v/>
      </c>
    </row>
    <row r="1433" spans="2:6" x14ac:dyDescent="0.2">
      <c r="B1433" t="str">
        <f>IFERROR(IF('PDCA review'!$D$2=Do!B1431,Do!G1431,""),"")</f>
        <v/>
      </c>
      <c r="C1433">
        <f t="shared" si="66"/>
        <v>0</v>
      </c>
      <c r="D1433">
        <f>SUM($C$3:C1433)</f>
        <v>4</v>
      </c>
      <c r="E1433" t="e">
        <f t="shared" si="67"/>
        <v>#N/A</v>
      </c>
      <c r="F1433" s="28" t="str">
        <f t="shared" ca="1" si="68"/>
        <v/>
      </c>
    </row>
    <row r="1434" spans="2:6" x14ac:dyDescent="0.2">
      <c r="B1434" t="str">
        <f>IFERROR(IF('PDCA review'!$D$2=Do!B1432,Do!G1432,""),"")</f>
        <v/>
      </c>
      <c r="C1434">
        <f t="shared" si="66"/>
        <v>0</v>
      </c>
      <c r="D1434">
        <f>SUM($C$3:C1434)</f>
        <v>4</v>
      </c>
      <c r="E1434" t="e">
        <f t="shared" si="67"/>
        <v>#N/A</v>
      </c>
      <c r="F1434" s="28" t="str">
        <f t="shared" ca="1" si="68"/>
        <v/>
      </c>
    </row>
    <row r="1435" spans="2:6" x14ac:dyDescent="0.2">
      <c r="B1435" t="str">
        <f>IFERROR(IF('PDCA review'!$D$2=Do!B1433,Do!G1433,""),"")</f>
        <v/>
      </c>
      <c r="C1435">
        <f t="shared" si="66"/>
        <v>0</v>
      </c>
      <c r="D1435">
        <f>SUM($C$3:C1435)</f>
        <v>4</v>
      </c>
      <c r="E1435" t="e">
        <f t="shared" si="67"/>
        <v>#N/A</v>
      </c>
      <c r="F1435" s="28" t="str">
        <f t="shared" ca="1" si="68"/>
        <v/>
      </c>
    </row>
    <row r="1436" spans="2:6" x14ac:dyDescent="0.2">
      <c r="B1436" t="str">
        <f>IFERROR(IF('PDCA review'!$D$2=Do!B1434,Do!G1434,""),"")</f>
        <v/>
      </c>
      <c r="C1436">
        <f t="shared" si="66"/>
        <v>0</v>
      </c>
      <c r="D1436">
        <f>SUM($C$3:C1436)</f>
        <v>4</v>
      </c>
      <c r="E1436" t="e">
        <f t="shared" si="67"/>
        <v>#N/A</v>
      </c>
      <c r="F1436" s="28" t="str">
        <f t="shared" ca="1" si="68"/>
        <v/>
      </c>
    </row>
    <row r="1437" spans="2:6" x14ac:dyDescent="0.2">
      <c r="B1437" t="str">
        <f>IFERROR(IF('PDCA review'!$D$2=Do!B1435,Do!G1435,""),"")</f>
        <v/>
      </c>
      <c r="C1437">
        <f t="shared" si="66"/>
        <v>0</v>
      </c>
      <c r="D1437">
        <f>SUM($C$3:C1437)</f>
        <v>4</v>
      </c>
      <c r="E1437" t="e">
        <f t="shared" si="67"/>
        <v>#N/A</v>
      </c>
      <c r="F1437" s="28" t="str">
        <f t="shared" ca="1" si="68"/>
        <v/>
      </c>
    </row>
    <row r="1438" spans="2:6" x14ac:dyDescent="0.2">
      <c r="B1438" t="str">
        <f>IFERROR(IF('PDCA review'!$D$2=Do!B1436,Do!G1436,""),"")</f>
        <v/>
      </c>
      <c r="C1438">
        <f t="shared" si="66"/>
        <v>0</v>
      </c>
      <c r="D1438">
        <f>SUM($C$3:C1438)</f>
        <v>4</v>
      </c>
      <c r="E1438" t="e">
        <f t="shared" si="67"/>
        <v>#N/A</v>
      </c>
      <c r="F1438" s="28" t="str">
        <f t="shared" ca="1" si="68"/>
        <v/>
      </c>
    </row>
    <row r="1439" spans="2:6" x14ac:dyDescent="0.2">
      <c r="B1439" t="str">
        <f>IFERROR(IF('PDCA review'!$D$2=Do!B1437,Do!G1437,""),"")</f>
        <v/>
      </c>
      <c r="C1439">
        <f t="shared" si="66"/>
        <v>0</v>
      </c>
      <c r="D1439">
        <f>SUM($C$3:C1439)</f>
        <v>4</v>
      </c>
      <c r="E1439" t="e">
        <f t="shared" si="67"/>
        <v>#N/A</v>
      </c>
      <c r="F1439" s="28" t="str">
        <f t="shared" ca="1" si="68"/>
        <v/>
      </c>
    </row>
    <row r="1440" spans="2:6" x14ac:dyDescent="0.2">
      <c r="B1440" t="str">
        <f>IFERROR(IF('PDCA review'!$D$2=Do!B1438,Do!G1438,""),"")</f>
        <v/>
      </c>
      <c r="C1440">
        <f t="shared" si="66"/>
        <v>0</v>
      </c>
      <c r="D1440">
        <f>SUM($C$3:C1440)</f>
        <v>4</v>
      </c>
      <c r="E1440" t="e">
        <f t="shared" si="67"/>
        <v>#N/A</v>
      </c>
      <c r="F1440" s="28" t="str">
        <f t="shared" ca="1" si="68"/>
        <v/>
      </c>
    </row>
    <row r="1441" spans="2:6" x14ac:dyDescent="0.2">
      <c r="B1441" t="str">
        <f>IFERROR(IF('PDCA review'!$D$2=Do!B1439,Do!G1439,""),"")</f>
        <v/>
      </c>
      <c r="C1441">
        <f t="shared" si="66"/>
        <v>0</v>
      </c>
      <c r="D1441">
        <f>SUM($C$3:C1441)</f>
        <v>4</v>
      </c>
      <c r="E1441" t="e">
        <f t="shared" si="67"/>
        <v>#N/A</v>
      </c>
      <c r="F1441" s="28" t="str">
        <f t="shared" ca="1" si="68"/>
        <v/>
      </c>
    </row>
    <row r="1442" spans="2:6" x14ac:dyDescent="0.2">
      <c r="B1442" t="str">
        <f>IFERROR(IF('PDCA review'!$D$2=Do!B1440,Do!G1440,""),"")</f>
        <v/>
      </c>
      <c r="C1442">
        <f t="shared" si="66"/>
        <v>0</v>
      </c>
      <c r="D1442">
        <f>SUM($C$3:C1442)</f>
        <v>4</v>
      </c>
      <c r="E1442" t="e">
        <f t="shared" si="67"/>
        <v>#N/A</v>
      </c>
      <c r="F1442" s="28" t="str">
        <f t="shared" ca="1" si="68"/>
        <v/>
      </c>
    </row>
    <row r="1443" spans="2:6" x14ac:dyDescent="0.2">
      <c r="B1443" t="str">
        <f>IFERROR(IF('PDCA review'!$D$2=Do!B1441,Do!G1441,""),"")</f>
        <v/>
      </c>
      <c r="C1443">
        <f t="shared" si="66"/>
        <v>0</v>
      </c>
      <c r="D1443">
        <f>SUM($C$3:C1443)</f>
        <v>4</v>
      </c>
      <c r="E1443" t="e">
        <f t="shared" si="67"/>
        <v>#N/A</v>
      </c>
      <c r="F1443" s="28" t="str">
        <f t="shared" ca="1" si="68"/>
        <v/>
      </c>
    </row>
    <row r="1444" spans="2:6" x14ac:dyDescent="0.2">
      <c r="B1444" t="str">
        <f>IFERROR(IF('PDCA review'!$D$2=Do!B1442,Do!G1442,""),"")</f>
        <v/>
      </c>
      <c r="C1444">
        <f t="shared" si="66"/>
        <v>0</v>
      </c>
      <c r="D1444">
        <f>SUM($C$3:C1444)</f>
        <v>4</v>
      </c>
      <c r="E1444" t="e">
        <f t="shared" si="67"/>
        <v>#N/A</v>
      </c>
      <c r="F1444" s="28" t="str">
        <f t="shared" ca="1" si="68"/>
        <v/>
      </c>
    </row>
    <row r="1445" spans="2:6" x14ac:dyDescent="0.2">
      <c r="B1445" t="str">
        <f>IFERROR(IF('PDCA review'!$D$2=Do!B1443,Do!G1443,""),"")</f>
        <v/>
      </c>
      <c r="C1445">
        <f t="shared" si="66"/>
        <v>0</v>
      </c>
      <c r="D1445">
        <f>SUM($C$3:C1445)</f>
        <v>4</v>
      </c>
      <c r="E1445" t="e">
        <f t="shared" si="67"/>
        <v>#N/A</v>
      </c>
      <c r="F1445" s="28" t="str">
        <f t="shared" ca="1" si="68"/>
        <v/>
      </c>
    </row>
    <row r="1446" spans="2:6" x14ac:dyDescent="0.2">
      <c r="B1446" t="str">
        <f>IFERROR(IF('PDCA review'!$D$2=Do!B1444,Do!G1444,""),"")</f>
        <v/>
      </c>
      <c r="C1446">
        <f t="shared" si="66"/>
        <v>0</v>
      </c>
      <c r="D1446">
        <f>SUM($C$3:C1446)</f>
        <v>4</v>
      </c>
      <c r="E1446" t="e">
        <f t="shared" si="67"/>
        <v>#N/A</v>
      </c>
      <c r="F1446" s="28" t="str">
        <f t="shared" ca="1" si="68"/>
        <v/>
      </c>
    </row>
    <row r="1447" spans="2:6" x14ac:dyDescent="0.2">
      <c r="B1447" t="str">
        <f>IFERROR(IF('PDCA review'!$D$2=Do!B1445,Do!G1445,""),"")</f>
        <v/>
      </c>
      <c r="C1447">
        <f t="shared" si="66"/>
        <v>0</v>
      </c>
      <c r="D1447">
        <f>SUM($C$3:C1447)</f>
        <v>4</v>
      </c>
      <c r="E1447" t="e">
        <f t="shared" si="67"/>
        <v>#N/A</v>
      </c>
      <c r="F1447" s="28" t="str">
        <f t="shared" ca="1" si="68"/>
        <v/>
      </c>
    </row>
    <row r="1448" spans="2:6" x14ac:dyDescent="0.2">
      <c r="B1448" t="str">
        <f>IFERROR(IF('PDCA review'!$D$2=Do!B1446,Do!G1446,""),"")</f>
        <v/>
      </c>
      <c r="C1448">
        <f t="shared" si="66"/>
        <v>0</v>
      </c>
      <c r="D1448">
        <f>SUM($C$3:C1448)</f>
        <v>4</v>
      </c>
      <c r="E1448" t="e">
        <f t="shared" si="67"/>
        <v>#N/A</v>
      </c>
      <c r="F1448" s="28" t="str">
        <f t="shared" ca="1" si="68"/>
        <v/>
      </c>
    </row>
    <row r="1449" spans="2:6" x14ac:dyDescent="0.2">
      <c r="B1449" t="str">
        <f>IFERROR(IF('PDCA review'!$D$2=Do!B1447,Do!G1447,""),"")</f>
        <v/>
      </c>
      <c r="C1449">
        <f t="shared" si="66"/>
        <v>0</v>
      </c>
      <c r="D1449">
        <f>SUM($C$3:C1449)</f>
        <v>4</v>
      </c>
      <c r="E1449" t="e">
        <f t="shared" si="67"/>
        <v>#N/A</v>
      </c>
      <c r="F1449" s="28" t="str">
        <f t="shared" ca="1" si="68"/>
        <v/>
      </c>
    </row>
    <row r="1450" spans="2:6" x14ac:dyDescent="0.2">
      <c r="B1450" t="str">
        <f>IFERROR(IF('PDCA review'!$D$2=Do!B1448,Do!G1448,""),"")</f>
        <v/>
      </c>
      <c r="C1450">
        <f t="shared" si="66"/>
        <v>0</v>
      </c>
      <c r="D1450">
        <f>SUM($C$3:C1450)</f>
        <v>4</v>
      </c>
      <c r="E1450" t="e">
        <f t="shared" si="67"/>
        <v>#N/A</v>
      </c>
      <c r="F1450" s="28" t="str">
        <f t="shared" ca="1" si="68"/>
        <v/>
      </c>
    </row>
    <row r="1451" spans="2:6" x14ac:dyDescent="0.2">
      <c r="B1451" t="str">
        <f>IFERROR(IF('PDCA review'!$D$2=Do!B1449,Do!G1449,""),"")</f>
        <v/>
      </c>
      <c r="C1451">
        <f t="shared" si="66"/>
        <v>0</v>
      </c>
      <c r="D1451">
        <f>SUM($C$3:C1451)</f>
        <v>4</v>
      </c>
      <c r="E1451" t="e">
        <f t="shared" si="67"/>
        <v>#N/A</v>
      </c>
      <c r="F1451" s="28" t="str">
        <f t="shared" ca="1" si="68"/>
        <v/>
      </c>
    </row>
    <row r="1452" spans="2:6" x14ac:dyDescent="0.2">
      <c r="B1452" t="str">
        <f>IFERROR(IF('PDCA review'!$D$2=Do!B1450,Do!G1450,""),"")</f>
        <v/>
      </c>
      <c r="C1452">
        <f t="shared" si="66"/>
        <v>0</v>
      </c>
      <c r="D1452">
        <f>SUM($C$3:C1452)</f>
        <v>4</v>
      </c>
      <c r="E1452" t="e">
        <f t="shared" si="67"/>
        <v>#N/A</v>
      </c>
      <c r="F1452" s="28" t="str">
        <f t="shared" ca="1" si="68"/>
        <v/>
      </c>
    </row>
    <row r="1453" spans="2:6" x14ac:dyDescent="0.2">
      <c r="B1453" t="str">
        <f>IFERROR(IF('PDCA review'!$D$2=Do!B1451,Do!G1451,""),"")</f>
        <v/>
      </c>
      <c r="C1453">
        <f t="shared" si="66"/>
        <v>0</v>
      </c>
      <c r="D1453">
        <f>SUM($C$3:C1453)</f>
        <v>4</v>
      </c>
      <c r="E1453" t="e">
        <f t="shared" si="67"/>
        <v>#N/A</v>
      </c>
      <c r="F1453" s="28" t="str">
        <f t="shared" ca="1" si="68"/>
        <v/>
      </c>
    </row>
    <row r="1454" spans="2:6" x14ac:dyDescent="0.2">
      <c r="B1454" t="str">
        <f>IFERROR(IF('PDCA review'!$D$2=Do!B1452,Do!G1452,""),"")</f>
        <v/>
      </c>
      <c r="C1454">
        <f t="shared" si="66"/>
        <v>0</v>
      </c>
      <c r="D1454">
        <f>SUM($C$3:C1454)</f>
        <v>4</v>
      </c>
      <c r="E1454" t="e">
        <f t="shared" si="67"/>
        <v>#N/A</v>
      </c>
      <c r="F1454" s="28" t="str">
        <f t="shared" ca="1" si="68"/>
        <v/>
      </c>
    </row>
    <row r="1455" spans="2:6" x14ac:dyDescent="0.2">
      <c r="B1455" t="str">
        <f>IFERROR(IF('PDCA review'!$D$2=Do!B1453,Do!G1453,""),"")</f>
        <v/>
      </c>
      <c r="C1455">
        <f t="shared" si="66"/>
        <v>0</v>
      </c>
      <c r="D1455">
        <f>SUM($C$3:C1455)</f>
        <v>4</v>
      </c>
      <c r="E1455" t="e">
        <f t="shared" si="67"/>
        <v>#N/A</v>
      </c>
      <c r="F1455" s="28" t="str">
        <f t="shared" ca="1" si="68"/>
        <v/>
      </c>
    </row>
    <row r="1456" spans="2:6" x14ac:dyDescent="0.2">
      <c r="B1456" t="str">
        <f>IFERROR(IF('PDCA review'!$D$2=Do!B1454,Do!G1454,""),"")</f>
        <v/>
      </c>
      <c r="C1456">
        <f t="shared" si="66"/>
        <v>0</v>
      </c>
      <c r="D1456">
        <f>SUM($C$3:C1456)</f>
        <v>4</v>
      </c>
      <c r="E1456" t="e">
        <f t="shared" si="67"/>
        <v>#N/A</v>
      </c>
      <c r="F1456" s="28" t="str">
        <f t="shared" ca="1" si="68"/>
        <v/>
      </c>
    </row>
    <row r="1457" spans="2:6" x14ac:dyDescent="0.2">
      <c r="B1457" t="str">
        <f>IFERROR(IF('PDCA review'!$D$2=Do!B1455,Do!G1455,""),"")</f>
        <v/>
      </c>
      <c r="C1457">
        <f t="shared" si="66"/>
        <v>0</v>
      </c>
      <c r="D1457">
        <f>SUM($C$3:C1457)</f>
        <v>4</v>
      </c>
      <c r="E1457" t="e">
        <f t="shared" si="67"/>
        <v>#N/A</v>
      </c>
      <c r="F1457" s="28" t="str">
        <f t="shared" ca="1" si="68"/>
        <v/>
      </c>
    </row>
    <row r="1458" spans="2:6" x14ac:dyDescent="0.2">
      <c r="B1458" t="str">
        <f>IFERROR(IF('PDCA review'!$D$2=Do!B1456,Do!G1456,""),"")</f>
        <v/>
      </c>
      <c r="C1458">
        <f t="shared" si="66"/>
        <v>0</v>
      </c>
      <c r="D1458">
        <f>SUM($C$3:C1458)</f>
        <v>4</v>
      </c>
      <c r="E1458" t="e">
        <f t="shared" si="67"/>
        <v>#N/A</v>
      </c>
      <c r="F1458" s="28" t="str">
        <f t="shared" ca="1" si="68"/>
        <v/>
      </c>
    </row>
    <row r="1459" spans="2:6" x14ac:dyDescent="0.2">
      <c r="B1459" t="str">
        <f>IFERROR(IF('PDCA review'!$D$2=Do!B1457,Do!G1457,""),"")</f>
        <v/>
      </c>
      <c r="C1459">
        <f t="shared" si="66"/>
        <v>0</v>
      </c>
      <c r="D1459">
        <f>SUM($C$3:C1459)</f>
        <v>4</v>
      </c>
      <c r="E1459" t="e">
        <f t="shared" si="67"/>
        <v>#N/A</v>
      </c>
      <c r="F1459" s="28" t="str">
        <f t="shared" ca="1" si="68"/>
        <v/>
      </c>
    </row>
    <row r="1460" spans="2:6" x14ac:dyDescent="0.2">
      <c r="B1460" t="str">
        <f>IFERROR(IF('PDCA review'!$D$2=Do!B1458,Do!G1458,""),"")</f>
        <v/>
      </c>
      <c r="C1460">
        <f t="shared" si="66"/>
        <v>0</v>
      </c>
      <c r="D1460">
        <f>SUM($C$3:C1460)</f>
        <v>4</v>
      </c>
      <c r="E1460" t="e">
        <f t="shared" si="67"/>
        <v>#N/A</v>
      </c>
      <c r="F1460" s="28" t="str">
        <f t="shared" ca="1" si="68"/>
        <v/>
      </c>
    </row>
    <row r="1461" spans="2:6" x14ac:dyDescent="0.2">
      <c r="B1461" t="str">
        <f>IFERROR(IF('PDCA review'!$D$2=Do!B1459,Do!G1459,""),"")</f>
        <v/>
      </c>
      <c r="C1461">
        <f t="shared" si="66"/>
        <v>0</v>
      </c>
      <c r="D1461">
        <f>SUM($C$3:C1461)</f>
        <v>4</v>
      </c>
      <c r="E1461" t="e">
        <f t="shared" si="67"/>
        <v>#N/A</v>
      </c>
      <c r="F1461" s="28" t="str">
        <f t="shared" ca="1" si="68"/>
        <v/>
      </c>
    </row>
    <row r="1462" spans="2:6" x14ac:dyDescent="0.2">
      <c r="B1462" t="str">
        <f>IFERROR(IF('PDCA review'!$D$2=Do!B1460,Do!G1460,""),"")</f>
        <v/>
      </c>
      <c r="C1462">
        <f t="shared" si="66"/>
        <v>0</v>
      </c>
      <c r="D1462">
        <f>SUM($C$3:C1462)</f>
        <v>4</v>
      </c>
      <c r="E1462" t="e">
        <f t="shared" si="67"/>
        <v>#N/A</v>
      </c>
      <c r="F1462" s="28" t="str">
        <f t="shared" ca="1" si="68"/>
        <v/>
      </c>
    </row>
    <row r="1463" spans="2:6" x14ac:dyDescent="0.2">
      <c r="B1463" t="str">
        <f>IFERROR(IF('PDCA review'!$D$2=Do!B1461,Do!G1461,""),"")</f>
        <v/>
      </c>
      <c r="C1463">
        <f t="shared" si="66"/>
        <v>0</v>
      </c>
      <c r="D1463">
        <f>SUM($C$3:C1463)</f>
        <v>4</v>
      </c>
      <c r="E1463" t="e">
        <f t="shared" si="67"/>
        <v>#N/A</v>
      </c>
      <c r="F1463" s="28" t="str">
        <f t="shared" ca="1" si="68"/>
        <v/>
      </c>
    </row>
    <row r="1464" spans="2:6" x14ac:dyDescent="0.2">
      <c r="B1464" t="str">
        <f>IFERROR(IF('PDCA review'!$D$2=Do!B1462,Do!G1462,""),"")</f>
        <v/>
      </c>
      <c r="C1464">
        <f t="shared" si="66"/>
        <v>0</v>
      </c>
      <c r="D1464">
        <f>SUM($C$3:C1464)</f>
        <v>4</v>
      </c>
      <c r="E1464" t="e">
        <f t="shared" si="67"/>
        <v>#N/A</v>
      </c>
      <c r="F1464" s="28" t="str">
        <f t="shared" ca="1" si="68"/>
        <v/>
      </c>
    </row>
    <row r="1465" spans="2:6" x14ac:dyDescent="0.2">
      <c r="B1465" t="str">
        <f>IFERROR(IF('PDCA review'!$D$2=Do!B1463,Do!G1463,""),"")</f>
        <v/>
      </c>
      <c r="C1465">
        <f t="shared" si="66"/>
        <v>0</v>
      </c>
      <c r="D1465">
        <f>SUM($C$3:C1465)</f>
        <v>4</v>
      </c>
      <c r="E1465" t="e">
        <f t="shared" si="67"/>
        <v>#N/A</v>
      </c>
      <c r="F1465" s="28" t="str">
        <f t="shared" ca="1" si="68"/>
        <v/>
      </c>
    </row>
    <row r="1466" spans="2:6" x14ac:dyDescent="0.2">
      <c r="B1466" t="str">
        <f>IFERROR(IF('PDCA review'!$D$2=Do!B1464,Do!G1464,""),"")</f>
        <v/>
      </c>
      <c r="C1466">
        <f t="shared" si="66"/>
        <v>0</v>
      </c>
      <c r="D1466">
        <f>SUM($C$3:C1466)</f>
        <v>4</v>
      </c>
      <c r="E1466" t="e">
        <f t="shared" si="67"/>
        <v>#N/A</v>
      </c>
      <c r="F1466" s="28" t="str">
        <f t="shared" ca="1" si="68"/>
        <v/>
      </c>
    </row>
    <row r="1467" spans="2:6" x14ac:dyDescent="0.2">
      <c r="B1467" t="str">
        <f>IFERROR(IF('PDCA review'!$D$2=Do!B1465,Do!G1465,""),"")</f>
        <v/>
      </c>
      <c r="C1467">
        <f t="shared" si="66"/>
        <v>0</v>
      </c>
      <c r="D1467">
        <f>SUM($C$3:C1467)</f>
        <v>4</v>
      </c>
      <c r="E1467" t="e">
        <f t="shared" si="67"/>
        <v>#N/A</v>
      </c>
      <c r="F1467" s="28" t="str">
        <f t="shared" ca="1" si="68"/>
        <v/>
      </c>
    </row>
    <row r="1468" spans="2:6" x14ac:dyDescent="0.2">
      <c r="B1468" t="str">
        <f>IFERROR(IF('PDCA review'!$D$2=Do!B1466,Do!G1466,""),"")</f>
        <v/>
      </c>
      <c r="C1468">
        <f t="shared" si="66"/>
        <v>0</v>
      </c>
      <c r="D1468">
        <f>SUM($C$3:C1468)</f>
        <v>4</v>
      </c>
      <c r="E1468" t="e">
        <f t="shared" si="67"/>
        <v>#N/A</v>
      </c>
      <c r="F1468" s="28" t="str">
        <f t="shared" ca="1" si="68"/>
        <v/>
      </c>
    </row>
    <row r="1469" spans="2:6" x14ac:dyDescent="0.2">
      <c r="B1469" t="str">
        <f>IFERROR(IF('PDCA review'!$D$2=Do!B1467,Do!G1467,""),"")</f>
        <v/>
      </c>
      <c r="C1469">
        <f t="shared" si="66"/>
        <v>0</v>
      </c>
      <c r="D1469">
        <f>SUM($C$3:C1469)</f>
        <v>4</v>
      </c>
      <c r="E1469" t="e">
        <f t="shared" si="67"/>
        <v>#N/A</v>
      </c>
      <c r="F1469" s="28" t="str">
        <f t="shared" ca="1" si="68"/>
        <v/>
      </c>
    </row>
    <row r="1470" spans="2:6" x14ac:dyDescent="0.2">
      <c r="B1470" t="str">
        <f>IFERROR(IF('PDCA review'!$D$2=Do!B1468,Do!G1468,""),"")</f>
        <v/>
      </c>
      <c r="C1470">
        <f t="shared" si="66"/>
        <v>0</v>
      </c>
      <c r="D1470">
        <f>SUM($C$3:C1470)</f>
        <v>4</v>
      </c>
      <c r="E1470" t="e">
        <f t="shared" si="67"/>
        <v>#N/A</v>
      </c>
      <c r="F1470" s="28" t="str">
        <f t="shared" ca="1" si="68"/>
        <v/>
      </c>
    </row>
    <row r="1471" spans="2:6" x14ac:dyDescent="0.2">
      <c r="B1471" t="str">
        <f>IFERROR(IF('PDCA review'!$D$2=Do!B1469,Do!G1469,""),"")</f>
        <v/>
      </c>
      <c r="C1471">
        <f t="shared" si="66"/>
        <v>0</v>
      </c>
      <c r="D1471">
        <f>SUM($C$3:C1471)</f>
        <v>4</v>
      </c>
      <c r="E1471" t="e">
        <f t="shared" si="67"/>
        <v>#N/A</v>
      </c>
      <c r="F1471" s="28" t="str">
        <f t="shared" ca="1" si="68"/>
        <v/>
      </c>
    </row>
    <row r="1472" spans="2:6" x14ac:dyDescent="0.2">
      <c r="B1472" t="str">
        <f>IFERROR(IF('PDCA review'!$D$2=Do!B1470,Do!G1470,""),"")</f>
        <v/>
      </c>
      <c r="C1472">
        <f t="shared" si="66"/>
        <v>0</v>
      </c>
      <c r="D1472">
        <f>SUM($C$3:C1472)</f>
        <v>4</v>
      </c>
      <c r="E1472" t="e">
        <f t="shared" si="67"/>
        <v>#N/A</v>
      </c>
      <c r="F1472" s="28" t="str">
        <f t="shared" ca="1" si="68"/>
        <v/>
      </c>
    </row>
    <row r="1473" spans="2:6" x14ac:dyDescent="0.2">
      <c r="B1473" t="str">
        <f>IFERROR(IF('PDCA review'!$D$2=Do!B1471,Do!G1471,""),"")</f>
        <v/>
      </c>
      <c r="C1473">
        <f t="shared" si="66"/>
        <v>0</v>
      </c>
      <c r="D1473">
        <f>SUM($C$3:C1473)</f>
        <v>4</v>
      </c>
      <c r="E1473" t="e">
        <f t="shared" si="67"/>
        <v>#N/A</v>
      </c>
      <c r="F1473" s="28" t="str">
        <f t="shared" ca="1" si="68"/>
        <v/>
      </c>
    </row>
    <row r="1474" spans="2:6" x14ac:dyDescent="0.2">
      <c r="B1474" t="str">
        <f>IFERROR(IF('PDCA review'!$D$2=Do!B1472,Do!G1472,""),"")</f>
        <v/>
      </c>
      <c r="C1474">
        <f t="shared" si="66"/>
        <v>0</v>
      </c>
      <c r="D1474">
        <f>SUM($C$3:C1474)</f>
        <v>4</v>
      </c>
      <c r="E1474" t="e">
        <f t="shared" si="67"/>
        <v>#N/A</v>
      </c>
      <c r="F1474" s="28" t="str">
        <f t="shared" ca="1" si="68"/>
        <v/>
      </c>
    </row>
    <row r="1475" spans="2:6" x14ac:dyDescent="0.2">
      <c r="B1475" t="str">
        <f>IFERROR(IF('PDCA review'!$D$2=Do!B1473,Do!G1473,""),"")</f>
        <v/>
      </c>
      <c r="C1475">
        <f t="shared" si="66"/>
        <v>0</v>
      </c>
      <c r="D1475">
        <f>SUM($C$3:C1475)</f>
        <v>4</v>
      </c>
      <c r="E1475" t="e">
        <f t="shared" si="67"/>
        <v>#N/A</v>
      </c>
      <c r="F1475" s="28" t="str">
        <f t="shared" ca="1" si="68"/>
        <v/>
      </c>
    </row>
    <row r="1476" spans="2:6" x14ac:dyDescent="0.2">
      <c r="B1476" t="str">
        <f>IFERROR(IF('PDCA review'!$D$2=Do!B1474,Do!G1474,""),"")</f>
        <v/>
      </c>
      <c r="C1476">
        <f t="shared" ref="C1476:C1539" si="69">IF(B1476&lt;&gt;"",1,0)</f>
        <v>0</v>
      </c>
      <c r="D1476">
        <f>SUM($C$3:C1476)</f>
        <v>4</v>
      </c>
      <c r="E1476" t="e">
        <f t="shared" ref="E1476:E1539" si="70">MATCH(ROW()-$D$2,$D$3:$D$2000,0)+$D$2</f>
        <v>#N/A</v>
      </c>
      <c r="F1476" s="28" t="str">
        <f t="shared" ref="F1476:F1539" ca="1" si="71">IFERROR(INDIRECT("B"&amp;E1476),"")</f>
        <v/>
      </c>
    </row>
    <row r="1477" spans="2:6" x14ac:dyDescent="0.2">
      <c r="B1477" t="str">
        <f>IFERROR(IF('PDCA review'!$D$2=Do!B1475,Do!G1475,""),"")</f>
        <v/>
      </c>
      <c r="C1477">
        <f t="shared" si="69"/>
        <v>0</v>
      </c>
      <c r="D1477">
        <f>SUM($C$3:C1477)</f>
        <v>4</v>
      </c>
      <c r="E1477" t="e">
        <f t="shared" si="70"/>
        <v>#N/A</v>
      </c>
      <c r="F1477" s="28" t="str">
        <f t="shared" ca="1" si="71"/>
        <v/>
      </c>
    </row>
    <row r="1478" spans="2:6" x14ac:dyDescent="0.2">
      <c r="B1478" t="str">
        <f>IFERROR(IF('PDCA review'!$D$2=Do!B1476,Do!G1476,""),"")</f>
        <v/>
      </c>
      <c r="C1478">
        <f t="shared" si="69"/>
        <v>0</v>
      </c>
      <c r="D1478">
        <f>SUM($C$3:C1478)</f>
        <v>4</v>
      </c>
      <c r="E1478" t="e">
        <f t="shared" si="70"/>
        <v>#N/A</v>
      </c>
      <c r="F1478" s="28" t="str">
        <f t="shared" ca="1" si="71"/>
        <v/>
      </c>
    </row>
    <row r="1479" spans="2:6" x14ac:dyDescent="0.2">
      <c r="B1479" t="str">
        <f>IFERROR(IF('PDCA review'!$D$2=Do!B1477,Do!G1477,""),"")</f>
        <v/>
      </c>
      <c r="C1479">
        <f t="shared" si="69"/>
        <v>0</v>
      </c>
      <c r="D1479">
        <f>SUM($C$3:C1479)</f>
        <v>4</v>
      </c>
      <c r="E1479" t="e">
        <f t="shared" si="70"/>
        <v>#N/A</v>
      </c>
      <c r="F1479" s="28" t="str">
        <f t="shared" ca="1" si="71"/>
        <v/>
      </c>
    </row>
    <row r="1480" spans="2:6" x14ac:dyDescent="0.2">
      <c r="B1480" t="str">
        <f>IFERROR(IF('PDCA review'!$D$2=Do!B1478,Do!G1478,""),"")</f>
        <v/>
      </c>
      <c r="C1480">
        <f t="shared" si="69"/>
        <v>0</v>
      </c>
      <c r="D1480">
        <f>SUM($C$3:C1480)</f>
        <v>4</v>
      </c>
      <c r="E1480" t="e">
        <f t="shared" si="70"/>
        <v>#N/A</v>
      </c>
      <c r="F1480" s="28" t="str">
        <f t="shared" ca="1" si="71"/>
        <v/>
      </c>
    </row>
    <row r="1481" spans="2:6" x14ac:dyDescent="0.2">
      <c r="B1481" t="str">
        <f>IFERROR(IF('PDCA review'!$D$2=Do!B1479,Do!G1479,""),"")</f>
        <v/>
      </c>
      <c r="C1481">
        <f t="shared" si="69"/>
        <v>0</v>
      </c>
      <c r="D1481">
        <f>SUM($C$3:C1481)</f>
        <v>4</v>
      </c>
      <c r="E1481" t="e">
        <f t="shared" si="70"/>
        <v>#N/A</v>
      </c>
      <c r="F1481" s="28" t="str">
        <f t="shared" ca="1" si="71"/>
        <v/>
      </c>
    </row>
    <row r="1482" spans="2:6" x14ac:dyDescent="0.2">
      <c r="B1482" t="str">
        <f>IFERROR(IF('PDCA review'!$D$2=Do!B1480,Do!G1480,""),"")</f>
        <v/>
      </c>
      <c r="C1482">
        <f t="shared" si="69"/>
        <v>0</v>
      </c>
      <c r="D1482">
        <f>SUM($C$3:C1482)</f>
        <v>4</v>
      </c>
      <c r="E1482" t="e">
        <f t="shared" si="70"/>
        <v>#N/A</v>
      </c>
      <c r="F1482" s="28" t="str">
        <f t="shared" ca="1" si="71"/>
        <v/>
      </c>
    </row>
    <row r="1483" spans="2:6" x14ac:dyDescent="0.2">
      <c r="B1483" t="str">
        <f>IFERROR(IF('PDCA review'!$D$2=Do!B1481,Do!G1481,""),"")</f>
        <v/>
      </c>
      <c r="C1483">
        <f t="shared" si="69"/>
        <v>0</v>
      </c>
      <c r="D1483">
        <f>SUM($C$3:C1483)</f>
        <v>4</v>
      </c>
      <c r="E1483" t="e">
        <f t="shared" si="70"/>
        <v>#N/A</v>
      </c>
      <c r="F1483" s="28" t="str">
        <f t="shared" ca="1" si="71"/>
        <v/>
      </c>
    </row>
    <row r="1484" spans="2:6" x14ac:dyDescent="0.2">
      <c r="B1484" t="str">
        <f>IFERROR(IF('PDCA review'!$D$2=Do!B1482,Do!G1482,""),"")</f>
        <v/>
      </c>
      <c r="C1484">
        <f t="shared" si="69"/>
        <v>0</v>
      </c>
      <c r="D1484">
        <f>SUM($C$3:C1484)</f>
        <v>4</v>
      </c>
      <c r="E1484" t="e">
        <f t="shared" si="70"/>
        <v>#N/A</v>
      </c>
      <c r="F1484" s="28" t="str">
        <f t="shared" ca="1" si="71"/>
        <v/>
      </c>
    </row>
    <row r="1485" spans="2:6" x14ac:dyDescent="0.2">
      <c r="B1485" t="str">
        <f>IFERROR(IF('PDCA review'!$D$2=Do!B1483,Do!G1483,""),"")</f>
        <v/>
      </c>
      <c r="C1485">
        <f t="shared" si="69"/>
        <v>0</v>
      </c>
      <c r="D1485">
        <f>SUM($C$3:C1485)</f>
        <v>4</v>
      </c>
      <c r="E1485" t="e">
        <f t="shared" si="70"/>
        <v>#N/A</v>
      </c>
      <c r="F1485" s="28" t="str">
        <f t="shared" ca="1" si="71"/>
        <v/>
      </c>
    </row>
    <row r="1486" spans="2:6" x14ac:dyDescent="0.2">
      <c r="B1486" t="str">
        <f>IFERROR(IF('PDCA review'!$D$2=Do!B1484,Do!G1484,""),"")</f>
        <v/>
      </c>
      <c r="C1486">
        <f t="shared" si="69"/>
        <v>0</v>
      </c>
      <c r="D1486">
        <f>SUM($C$3:C1486)</f>
        <v>4</v>
      </c>
      <c r="E1486" t="e">
        <f t="shared" si="70"/>
        <v>#N/A</v>
      </c>
      <c r="F1486" s="28" t="str">
        <f t="shared" ca="1" si="71"/>
        <v/>
      </c>
    </row>
    <row r="1487" spans="2:6" x14ac:dyDescent="0.2">
      <c r="B1487" t="str">
        <f>IFERROR(IF('PDCA review'!$D$2=Do!B1485,Do!G1485,""),"")</f>
        <v/>
      </c>
      <c r="C1487">
        <f t="shared" si="69"/>
        <v>0</v>
      </c>
      <c r="D1487">
        <f>SUM($C$3:C1487)</f>
        <v>4</v>
      </c>
      <c r="E1487" t="e">
        <f t="shared" si="70"/>
        <v>#N/A</v>
      </c>
      <c r="F1487" s="28" t="str">
        <f t="shared" ca="1" si="71"/>
        <v/>
      </c>
    </row>
    <row r="1488" spans="2:6" x14ac:dyDescent="0.2">
      <c r="B1488" t="str">
        <f>IFERROR(IF('PDCA review'!$D$2=Do!B1486,Do!G1486,""),"")</f>
        <v/>
      </c>
      <c r="C1488">
        <f t="shared" si="69"/>
        <v>0</v>
      </c>
      <c r="D1488">
        <f>SUM($C$3:C1488)</f>
        <v>4</v>
      </c>
      <c r="E1488" t="e">
        <f t="shared" si="70"/>
        <v>#N/A</v>
      </c>
      <c r="F1488" s="28" t="str">
        <f t="shared" ca="1" si="71"/>
        <v/>
      </c>
    </row>
    <row r="1489" spans="2:6" x14ac:dyDescent="0.2">
      <c r="B1489" t="str">
        <f>IFERROR(IF('PDCA review'!$D$2=Do!B1487,Do!G1487,""),"")</f>
        <v/>
      </c>
      <c r="C1489">
        <f t="shared" si="69"/>
        <v>0</v>
      </c>
      <c r="D1489">
        <f>SUM($C$3:C1489)</f>
        <v>4</v>
      </c>
      <c r="E1489" t="e">
        <f t="shared" si="70"/>
        <v>#N/A</v>
      </c>
      <c r="F1489" s="28" t="str">
        <f t="shared" ca="1" si="71"/>
        <v/>
      </c>
    </row>
    <row r="1490" spans="2:6" x14ac:dyDescent="0.2">
      <c r="B1490" t="str">
        <f>IFERROR(IF('PDCA review'!$D$2=Do!B1488,Do!G1488,""),"")</f>
        <v/>
      </c>
      <c r="C1490">
        <f t="shared" si="69"/>
        <v>0</v>
      </c>
      <c r="D1490">
        <f>SUM($C$3:C1490)</f>
        <v>4</v>
      </c>
      <c r="E1490" t="e">
        <f t="shared" si="70"/>
        <v>#N/A</v>
      </c>
      <c r="F1490" s="28" t="str">
        <f t="shared" ca="1" si="71"/>
        <v/>
      </c>
    </row>
    <row r="1491" spans="2:6" x14ac:dyDescent="0.2">
      <c r="B1491" t="str">
        <f>IFERROR(IF('PDCA review'!$D$2=Do!B1489,Do!G1489,""),"")</f>
        <v/>
      </c>
      <c r="C1491">
        <f t="shared" si="69"/>
        <v>0</v>
      </c>
      <c r="D1491">
        <f>SUM($C$3:C1491)</f>
        <v>4</v>
      </c>
      <c r="E1491" t="e">
        <f t="shared" si="70"/>
        <v>#N/A</v>
      </c>
      <c r="F1491" s="28" t="str">
        <f t="shared" ca="1" si="71"/>
        <v/>
      </c>
    </row>
    <row r="1492" spans="2:6" x14ac:dyDescent="0.2">
      <c r="B1492" t="str">
        <f>IFERROR(IF('PDCA review'!$D$2=Do!B1490,Do!G1490,""),"")</f>
        <v/>
      </c>
      <c r="C1492">
        <f t="shared" si="69"/>
        <v>0</v>
      </c>
      <c r="D1492">
        <f>SUM($C$3:C1492)</f>
        <v>4</v>
      </c>
      <c r="E1492" t="e">
        <f t="shared" si="70"/>
        <v>#N/A</v>
      </c>
      <c r="F1492" s="28" t="str">
        <f t="shared" ca="1" si="71"/>
        <v/>
      </c>
    </row>
    <row r="1493" spans="2:6" x14ac:dyDescent="0.2">
      <c r="B1493" t="str">
        <f>IFERROR(IF('PDCA review'!$D$2=Do!B1491,Do!G1491,""),"")</f>
        <v/>
      </c>
      <c r="C1493">
        <f t="shared" si="69"/>
        <v>0</v>
      </c>
      <c r="D1493">
        <f>SUM($C$3:C1493)</f>
        <v>4</v>
      </c>
      <c r="E1493" t="e">
        <f t="shared" si="70"/>
        <v>#N/A</v>
      </c>
      <c r="F1493" s="28" t="str">
        <f t="shared" ca="1" si="71"/>
        <v/>
      </c>
    </row>
    <row r="1494" spans="2:6" x14ac:dyDescent="0.2">
      <c r="B1494" t="str">
        <f>IFERROR(IF('PDCA review'!$D$2=Do!B1492,Do!G1492,""),"")</f>
        <v/>
      </c>
      <c r="C1494">
        <f t="shared" si="69"/>
        <v>0</v>
      </c>
      <c r="D1494">
        <f>SUM($C$3:C1494)</f>
        <v>4</v>
      </c>
      <c r="E1494" t="e">
        <f t="shared" si="70"/>
        <v>#N/A</v>
      </c>
      <c r="F1494" s="28" t="str">
        <f t="shared" ca="1" si="71"/>
        <v/>
      </c>
    </row>
    <row r="1495" spans="2:6" x14ac:dyDescent="0.2">
      <c r="B1495" t="str">
        <f>IFERROR(IF('PDCA review'!$D$2=Do!B1493,Do!G1493,""),"")</f>
        <v/>
      </c>
      <c r="C1495">
        <f t="shared" si="69"/>
        <v>0</v>
      </c>
      <c r="D1495">
        <f>SUM($C$3:C1495)</f>
        <v>4</v>
      </c>
      <c r="E1495" t="e">
        <f t="shared" si="70"/>
        <v>#N/A</v>
      </c>
      <c r="F1495" s="28" t="str">
        <f t="shared" ca="1" si="71"/>
        <v/>
      </c>
    </row>
    <row r="1496" spans="2:6" x14ac:dyDescent="0.2">
      <c r="B1496" t="str">
        <f>IFERROR(IF('PDCA review'!$D$2=Do!B1494,Do!G1494,""),"")</f>
        <v/>
      </c>
      <c r="C1496">
        <f t="shared" si="69"/>
        <v>0</v>
      </c>
      <c r="D1496">
        <f>SUM($C$3:C1496)</f>
        <v>4</v>
      </c>
      <c r="E1496" t="e">
        <f t="shared" si="70"/>
        <v>#N/A</v>
      </c>
      <c r="F1496" s="28" t="str">
        <f t="shared" ca="1" si="71"/>
        <v/>
      </c>
    </row>
    <row r="1497" spans="2:6" x14ac:dyDescent="0.2">
      <c r="B1497" t="str">
        <f>IFERROR(IF('PDCA review'!$D$2=Do!B1495,Do!G1495,""),"")</f>
        <v/>
      </c>
      <c r="C1497">
        <f t="shared" si="69"/>
        <v>0</v>
      </c>
      <c r="D1497">
        <f>SUM($C$3:C1497)</f>
        <v>4</v>
      </c>
      <c r="E1497" t="e">
        <f t="shared" si="70"/>
        <v>#N/A</v>
      </c>
      <c r="F1497" s="28" t="str">
        <f t="shared" ca="1" si="71"/>
        <v/>
      </c>
    </row>
    <row r="1498" spans="2:6" x14ac:dyDescent="0.2">
      <c r="B1498" t="str">
        <f>IFERROR(IF('PDCA review'!$D$2=Do!B1496,Do!G1496,""),"")</f>
        <v/>
      </c>
      <c r="C1498">
        <f t="shared" si="69"/>
        <v>0</v>
      </c>
      <c r="D1498">
        <f>SUM($C$3:C1498)</f>
        <v>4</v>
      </c>
      <c r="E1498" t="e">
        <f t="shared" si="70"/>
        <v>#N/A</v>
      </c>
      <c r="F1498" s="28" t="str">
        <f t="shared" ca="1" si="71"/>
        <v/>
      </c>
    </row>
    <row r="1499" spans="2:6" x14ac:dyDescent="0.2">
      <c r="B1499" t="str">
        <f>IFERROR(IF('PDCA review'!$D$2=Do!B1497,Do!G1497,""),"")</f>
        <v/>
      </c>
      <c r="C1499">
        <f t="shared" si="69"/>
        <v>0</v>
      </c>
      <c r="D1499">
        <f>SUM($C$3:C1499)</f>
        <v>4</v>
      </c>
      <c r="E1499" t="e">
        <f t="shared" si="70"/>
        <v>#N/A</v>
      </c>
      <c r="F1499" s="28" t="str">
        <f t="shared" ca="1" si="71"/>
        <v/>
      </c>
    </row>
    <row r="1500" spans="2:6" x14ac:dyDescent="0.2">
      <c r="B1500" t="str">
        <f>IFERROR(IF('PDCA review'!$D$2=Do!B1498,Do!G1498,""),"")</f>
        <v/>
      </c>
      <c r="C1500">
        <f t="shared" si="69"/>
        <v>0</v>
      </c>
      <c r="D1500">
        <f>SUM($C$3:C1500)</f>
        <v>4</v>
      </c>
      <c r="E1500" t="e">
        <f t="shared" si="70"/>
        <v>#N/A</v>
      </c>
      <c r="F1500" s="28" t="str">
        <f t="shared" ca="1" si="71"/>
        <v/>
      </c>
    </row>
    <row r="1501" spans="2:6" x14ac:dyDescent="0.2">
      <c r="B1501" t="str">
        <f>IFERROR(IF('PDCA review'!$D$2=Do!B1499,Do!G1499,""),"")</f>
        <v/>
      </c>
      <c r="C1501">
        <f t="shared" si="69"/>
        <v>0</v>
      </c>
      <c r="D1501">
        <f>SUM($C$3:C1501)</f>
        <v>4</v>
      </c>
      <c r="E1501" t="e">
        <f t="shared" si="70"/>
        <v>#N/A</v>
      </c>
      <c r="F1501" s="28" t="str">
        <f t="shared" ca="1" si="71"/>
        <v/>
      </c>
    </row>
    <row r="1502" spans="2:6" x14ac:dyDescent="0.2">
      <c r="B1502" t="str">
        <f>IFERROR(IF('PDCA review'!$D$2=Do!B1500,Do!G1500,""),"")</f>
        <v/>
      </c>
      <c r="C1502">
        <f t="shared" si="69"/>
        <v>0</v>
      </c>
      <c r="D1502">
        <f>SUM($C$3:C1502)</f>
        <v>4</v>
      </c>
      <c r="E1502" t="e">
        <f t="shared" si="70"/>
        <v>#N/A</v>
      </c>
      <c r="F1502" s="28" t="str">
        <f t="shared" ca="1" si="71"/>
        <v/>
      </c>
    </row>
    <row r="1503" spans="2:6" x14ac:dyDescent="0.2">
      <c r="B1503" t="str">
        <f>IFERROR(IF('PDCA review'!$D$2=Do!B1501,Do!G1501,""),"")</f>
        <v/>
      </c>
      <c r="C1503">
        <f t="shared" si="69"/>
        <v>0</v>
      </c>
      <c r="D1503">
        <f>SUM($C$3:C1503)</f>
        <v>4</v>
      </c>
      <c r="E1503" t="e">
        <f t="shared" si="70"/>
        <v>#N/A</v>
      </c>
      <c r="F1503" s="28" t="str">
        <f t="shared" ca="1" si="71"/>
        <v/>
      </c>
    </row>
    <row r="1504" spans="2:6" x14ac:dyDescent="0.2">
      <c r="B1504" t="str">
        <f>IFERROR(IF('PDCA review'!$D$2=Do!B1502,Do!G1502,""),"")</f>
        <v/>
      </c>
      <c r="C1504">
        <f t="shared" si="69"/>
        <v>0</v>
      </c>
      <c r="D1504">
        <f>SUM($C$3:C1504)</f>
        <v>4</v>
      </c>
      <c r="E1504" t="e">
        <f t="shared" si="70"/>
        <v>#N/A</v>
      </c>
      <c r="F1504" s="28" t="str">
        <f t="shared" ca="1" si="71"/>
        <v/>
      </c>
    </row>
    <row r="1505" spans="2:6" x14ac:dyDescent="0.2">
      <c r="B1505" t="str">
        <f>IFERROR(IF('PDCA review'!$D$2=Do!B1503,Do!G1503,""),"")</f>
        <v/>
      </c>
      <c r="C1505">
        <f t="shared" si="69"/>
        <v>0</v>
      </c>
      <c r="D1505">
        <f>SUM($C$3:C1505)</f>
        <v>4</v>
      </c>
      <c r="E1505" t="e">
        <f t="shared" si="70"/>
        <v>#N/A</v>
      </c>
      <c r="F1505" s="28" t="str">
        <f t="shared" ca="1" si="71"/>
        <v/>
      </c>
    </row>
    <row r="1506" spans="2:6" x14ac:dyDescent="0.2">
      <c r="B1506" t="str">
        <f>IFERROR(IF('PDCA review'!$D$2=Do!B1504,Do!G1504,""),"")</f>
        <v/>
      </c>
      <c r="C1506">
        <f t="shared" si="69"/>
        <v>0</v>
      </c>
      <c r="D1506">
        <f>SUM($C$3:C1506)</f>
        <v>4</v>
      </c>
      <c r="E1506" t="e">
        <f t="shared" si="70"/>
        <v>#N/A</v>
      </c>
      <c r="F1506" s="28" t="str">
        <f t="shared" ca="1" si="71"/>
        <v/>
      </c>
    </row>
    <row r="1507" spans="2:6" x14ac:dyDescent="0.2">
      <c r="B1507" t="str">
        <f>IFERROR(IF('PDCA review'!$D$2=Do!B1505,Do!G1505,""),"")</f>
        <v/>
      </c>
      <c r="C1507">
        <f t="shared" si="69"/>
        <v>0</v>
      </c>
      <c r="D1507">
        <f>SUM($C$3:C1507)</f>
        <v>4</v>
      </c>
      <c r="E1507" t="e">
        <f t="shared" si="70"/>
        <v>#N/A</v>
      </c>
      <c r="F1507" s="28" t="str">
        <f t="shared" ca="1" si="71"/>
        <v/>
      </c>
    </row>
    <row r="1508" spans="2:6" x14ac:dyDescent="0.2">
      <c r="B1508" t="str">
        <f>IFERROR(IF('PDCA review'!$D$2=Do!B1506,Do!G1506,""),"")</f>
        <v/>
      </c>
      <c r="C1508">
        <f t="shared" si="69"/>
        <v>0</v>
      </c>
      <c r="D1508">
        <f>SUM($C$3:C1508)</f>
        <v>4</v>
      </c>
      <c r="E1508" t="e">
        <f t="shared" si="70"/>
        <v>#N/A</v>
      </c>
      <c r="F1508" s="28" t="str">
        <f t="shared" ca="1" si="71"/>
        <v/>
      </c>
    </row>
    <row r="1509" spans="2:6" x14ac:dyDescent="0.2">
      <c r="B1509" t="str">
        <f>IFERROR(IF('PDCA review'!$D$2=Do!B1507,Do!G1507,""),"")</f>
        <v/>
      </c>
      <c r="C1509">
        <f t="shared" si="69"/>
        <v>0</v>
      </c>
      <c r="D1509">
        <f>SUM($C$3:C1509)</f>
        <v>4</v>
      </c>
      <c r="E1509" t="e">
        <f t="shared" si="70"/>
        <v>#N/A</v>
      </c>
      <c r="F1509" s="28" t="str">
        <f t="shared" ca="1" si="71"/>
        <v/>
      </c>
    </row>
    <row r="1510" spans="2:6" x14ac:dyDescent="0.2">
      <c r="B1510" t="str">
        <f>IFERROR(IF('PDCA review'!$D$2=Do!B1508,Do!G1508,""),"")</f>
        <v/>
      </c>
      <c r="C1510">
        <f t="shared" si="69"/>
        <v>0</v>
      </c>
      <c r="D1510">
        <f>SUM($C$3:C1510)</f>
        <v>4</v>
      </c>
      <c r="E1510" t="e">
        <f t="shared" si="70"/>
        <v>#N/A</v>
      </c>
      <c r="F1510" s="28" t="str">
        <f t="shared" ca="1" si="71"/>
        <v/>
      </c>
    </row>
    <row r="1511" spans="2:6" x14ac:dyDescent="0.2">
      <c r="B1511" t="str">
        <f>IFERROR(IF('PDCA review'!$D$2=Do!B1509,Do!G1509,""),"")</f>
        <v/>
      </c>
      <c r="C1511">
        <f t="shared" si="69"/>
        <v>0</v>
      </c>
      <c r="D1511">
        <f>SUM($C$3:C1511)</f>
        <v>4</v>
      </c>
      <c r="E1511" t="e">
        <f t="shared" si="70"/>
        <v>#N/A</v>
      </c>
      <c r="F1511" s="28" t="str">
        <f t="shared" ca="1" si="71"/>
        <v/>
      </c>
    </row>
    <row r="1512" spans="2:6" x14ac:dyDescent="0.2">
      <c r="B1512" t="str">
        <f>IFERROR(IF('PDCA review'!$D$2=Do!B1510,Do!G1510,""),"")</f>
        <v/>
      </c>
      <c r="C1512">
        <f t="shared" si="69"/>
        <v>0</v>
      </c>
      <c r="D1512">
        <f>SUM($C$3:C1512)</f>
        <v>4</v>
      </c>
      <c r="E1512" t="e">
        <f t="shared" si="70"/>
        <v>#N/A</v>
      </c>
      <c r="F1512" s="28" t="str">
        <f t="shared" ca="1" si="71"/>
        <v/>
      </c>
    </row>
    <row r="1513" spans="2:6" x14ac:dyDescent="0.2">
      <c r="B1513" t="str">
        <f>IFERROR(IF('PDCA review'!$D$2=Do!B1511,Do!G1511,""),"")</f>
        <v/>
      </c>
      <c r="C1513">
        <f t="shared" si="69"/>
        <v>0</v>
      </c>
      <c r="D1513">
        <f>SUM($C$3:C1513)</f>
        <v>4</v>
      </c>
      <c r="E1513" t="e">
        <f t="shared" si="70"/>
        <v>#N/A</v>
      </c>
      <c r="F1513" s="28" t="str">
        <f t="shared" ca="1" si="71"/>
        <v/>
      </c>
    </row>
    <row r="1514" spans="2:6" x14ac:dyDescent="0.2">
      <c r="B1514" t="str">
        <f>IFERROR(IF('PDCA review'!$D$2=Do!B1512,Do!G1512,""),"")</f>
        <v/>
      </c>
      <c r="C1514">
        <f t="shared" si="69"/>
        <v>0</v>
      </c>
      <c r="D1514">
        <f>SUM($C$3:C1514)</f>
        <v>4</v>
      </c>
      <c r="E1514" t="e">
        <f t="shared" si="70"/>
        <v>#N/A</v>
      </c>
      <c r="F1514" s="28" t="str">
        <f t="shared" ca="1" si="71"/>
        <v/>
      </c>
    </row>
    <row r="1515" spans="2:6" x14ac:dyDescent="0.2">
      <c r="B1515" t="str">
        <f>IFERROR(IF('PDCA review'!$D$2=Do!B1513,Do!G1513,""),"")</f>
        <v/>
      </c>
      <c r="C1515">
        <f t="shared" si="69"/>
        <v>0</v>
      </c>
      <c r="D1515">
        <f>SUM($C$3:C1515)</f>
        <v>4</v>
      </c>
      <c r="E1515" t="e">
        <f t="shared" si="70"/>
        <v>#N/A</v>
      </c>
      <c r="F1515" s="28" t="str">
        <f t="shared" ca="1" si="71"/>
        <v/>
      </c>
    </row>
    <row r="1516" spans="2:6" x14ac:dyDescent="0.2">
      <c r="B1516" t="str">
        <f>IFERROR(IF('PDCA review'!$D$2=Do!B1514,Do!G1514,""),"")</f>
        <v/>
      </c>
      <c r="C1516">
        <f t="shared" si="69"/>
        <v>0</v>
      </c>
      <c r="D1516">
        <f>SUM($C$3:C1516)</f>
        <v>4</v>
      </c>
      <c r="E1516" t="e">
        <f t="shared" si="70"/>
        <v>#N/A</v>
      </c>
      <c r="F1516" s="28" t="str">
        <f t="shared" ca="1" si="71"/>
        <v/>
      </c>
    </row>
    <row r="1517" spans="2:6" x14ac:dyDescent="0.2">
      <c r="B1517" t="str">
        <f>IFERROR(IF('PDCA review'!$D$2=Do!B1515,Do!G1515,""),"")</f>
        <v/>
      </c>
      <c r="C1517">
        <f t="shared" si="69"/>
        <v>0</v>
      </c>
      <c r="D1517">
        <f>SUM($C$3:C1517)</f>
        <v>4</v>
      </c>
      <c r="E1517" t="e">
        <f t="shared" si="70"/>
        <v>#N/A</v>
      </c>
      <c r="F1517" s="28" t="str">
        <f t="shared" ca="1" si="71"/>
        <v/>
      </c>
    </row>
    <row r="1518" spans="2:6" x14ac:dyDescent="0.2">
      <c r="B1518" t="str">
        <f>IFERROR(IF('PDCA review'!$D$2=Do!B1516,Do!G1516,""),"")</f>
        <v/>
      </c>
      <c r="C1518">
        <f t="shared" si="69"/>
        <v>0</v>
      </c>
      <c r="D1518">
        <f>SUM($C$3:C1518)</f>
        <v>4</v>
      </c>
      <c r="E1518" t="e">
        <f t="shared" si="70"/>
        <v>#N/A</v>
      </c>
      <c r="F1518" s="28" t="str">
        <f t="shared" ca="1" si="71"/>
        <v/>
      </c>
    </row>
    <row r="1519" spans="2:6" x14ac:dyDescent="0.2">
      <c r="B1519" t="str">
        <f>IFERROR(IF('PDCA review'!$D$2=Do!B1517,Do!G1517,""),"")</f>
        <v/>
      </c>
      <c r="C1519">
        <f t="shared" si="69"/>
        <v>0</v>
      </c>
      <c r="D1519">
        <f>SUM($C$3:C1519)</f>
        <v>4</v>
      </c>
      <c r="E1519" t="e">
        <f t="shared" si="70"/>
        <v>#N/A</v>
      </c>
      <c r="F1519" s="28" t="str">
        <f t="shared" ca="1" si="71"/>
        <v/>
      </c>
    </row>
    <row r="1520" spans="2:6" x14ac:dyDescent="0.2">
      <c r="B1520" t="str">
        <f>IFERROR(IF('PDCA review'!$D$2=Do!B1518,Do!G1518,""),"")</f>
        <v/>
      </c>
      <c r="C1520">
        <f t="shared" si="69"/>
        <v>0</v>
      </c>
      <c r="D1520">
        <f>SUM($C$3:C1520)</f>
        <v>4</v>
      </c>
      <c r="E1520" t="e">
        <f t="shared" si="70"/>
        <v>#N/A</v>
      </c>
      <c r="F1520" s="28" t="str">
        <f t="shared" ca="1" si="71"/>
        <v/>
      </c>
    </row>
    <row r="1521" spans="2:6" x14ac:dyDescent="0.2">
      <c r="B1521" t="str">
        <f>IFERROR(IF('PDCA review'!$D$2=Do!B1519,Do!G1519,""),"")</f>
        <v/>
      </c>
      <c r="C1521">
        <f t="shared" si="69"/>
        <v>0</v>
      </c>
      <c r="D1521">
        <f>SUM($C$3:C1521)</f>
        <v>4</v>
      </c>
      <c r="E1521" t="e">
        <f t="shared" si="70"/>
        <v>#N/A</v>
      </c>
      <c r="F1521" s="28" t="str">
        <f t="shared" ca="1" si="71"/>
        <v/>
      </c>
    </row>
    <row r="1522" spans="2:6" x14ac:dyDescent="0.2">
      <c r="B1522" t="str">
        <f>IFERROR(IF('PDCA review'!$D$2=Do!B1520,Do!G1520,""),"")</f>
        <v/>
      </c>
      <c r="C1522">
        <f t="shared" si="69"/>
        <v>0</v>
      </c>
      <c r="D1522">
        <f>SUM($C$3:C1522)</f>
        <v>4</v>
      </c>
      <c r="E1522" t="e">
        <f t="shared" si="70"/>
        <v>#N/A</v>
      </c>
      <c r="F1522" s="28" t="str">
        <f t="shared" ca="1" si="71"/>
        <v/>
      </c>
    </row>
    <row r="1523" spans="2:6" x14ac:dyDescent="0.2">
      <c r="B1523" t="str">
        <f>IFERROR(IF('PDCA review'!$D$2=Do!B1521,Do!G1521,""),"")</f>
        <v/>
      </c>
      <c r="C1523">
        <f t="shared" si="69"/>
        <v>0</v>
      </c>
      <c r="D1523">
        <f>SUM($C$3:C1523)</f>
        <v>4</v>
      </c>
      <c r="E1523" t="e">
        <f t="shared" si="70"/>
        <v>#N/A</v>
      </c>
      <c r="F1523" s="28" t="str">
        <f t="shared" ca="1" si="71"/>
        <v/>
      </c>
    </row>
    <row r="1524" spans="2:6" x14ac:dyDescent="0.2">
      <c r="B1524" t="str">
        <f>IFERROR(IF('PDCA review'!$D$2=Do!B1522,Do!G1522,""),"")</f>
        <v/>
      </c>
      <c r="C1524">
        <f t="shared" si="69"/>
        <v>0</v>
      </c>
      <c r="D1524">
        <f>SUM($C$3:C1524)</f>
        <v>4</v>
      </c>
      <c r="E1524" t="e">
        <f t="shared" si="70"/>
        <v>#N/A</v>
      </c>
      <c r="F1524" s="28" t="str">
        <f t="shared" ca="1" si="71"/>
        <v/>
      </c>
    </row>
    <row r="1525" spans="2:6" x14ac:dyDescent="0.2">
      <c r="B1525" t="str">
        <f>IFERROR(IF('PDCA review'!$D$2=Do!B1523,Do!G1523,""),"")</f>
        <v/>
      </c>
      <c r="C1525">
        <f t="shared" si="69"/>
        <v>0</v>
      </c>
      <c r="D1525">
        <f>SUM($C$3:C1525)</f>
        <v>4</v>
      </c>
      <c r="E1525" t="e">
        <f t="shared" si="70"/>
        <v>#N/A</v>
      </c>
      <c r="F1525" s="28" t="str">
        <f t="shared" ca="1" si="71"/>
        <v/>
      </c>
    </row>
    <row r="1526" spans="2:6" x14ac:dyDescent="0.2">
      <c r="B1526" t="str">
        <f>IFERROR(IF('PDCA review'!$D$2=Do!B1524,Do!G1524,""),"")</f>
        <v/>
      </c>
      <c r="C1526">
        <f t="shared" si="69"/>
        <v>0</v>
      </c>
      <c r="D1526">
        <f>SUM($C$3:C1526)</f>
        <v>4</v>
      </c>
      <c r="E1526" t="e">
        <f t="shared" si="70"/>
        <v>#N/A</v>
      </c>
      <c r="F1526" s="28" t="str">
        <f t="shared" ca="1" si="71"/>
        <v/>
      </c>
    </row>
    <row r="1527" spans="2:6" x14ac:dyDescent="0.2">
      <c r="B1527" t="str">
        <f>IFERROR(IF('PDCA review'!$D$2=Do!B1525,Do!G1525,""),"")</f>
        <v/>
      </c>
      <c r="C1527">
        <f t="shared" si="69"/>
        <v>0</v>
      </c>
      <c r="D1527">
        <f>SUM($C$3:C1527)</f>
        <v>4</v>
      </c>
      <c r="E1527" t="e">
        <f t="shared" si="70"/>
        <v>#N/A</v>
      </c>
      <c r="F1527" s="28" t="str">
        <f t="shared" ca="1" si="71"/>
        <v/>
      </c>
    </row>
    <row r="1528" spans="2:6" x14ac:dyDescent="0.2">
      <c r="B1528" t="str">
        <f>IFERROR(IF('PDCA review'!$D$2=Do!B1526,Do!G1526,""),"")</f>
        <v/>
      </c>
      <c r="C1528">
        <f t="shared" si="69"/>
        <v>0</v>
      </c>
      <c r="D1528">
        <f>SUM($C$3:C1528)</f>
        <v>4</v>
      </c>
      <c r="E1528" t="e">
        <f t="shared" si="70"/>
        <v>#N/A</v>
      </c>
      <c r="F1528" s="28" t="str">
        <f t="shared" ca="1" si="71"/>
        <v/>
      </c>
    </row>
    <row r="1529" spans="2:6" x14ac:dyDescent="0.2">
      <c r="B1529" t="str">
        <f>IFERROR(IF('PDCA review'!$D$2=Do!B1527,Do!G1527,""),"")</f>
        <v/>
      </c>
      <c r="C1529">
        <f t="shared" si="69"/>
        <v>0</v>
      </c>
      <c r="D1529">
        <f>SUM($C$3:C1529)</f>
        <v>4</v>
      </c>
      <c r="E1529" t="e">
        <f t="shared" si="70"/>
        <v>#N/A</v>
      </c>
      <c r="F1529" s="28" t="str">
        <f t="shared" ca="1" si="71"/>
        <v/>
      </c>
    </row>
    <row r="1530" spans="2:6" x14ac:dyDescent="0.2">
      <c r="B1530" t="str">
        <f>IFERROR(IF('PDCA review'!$D$2=Do!B1528,Do!G1528,""),"")</f>
        <v/>
      </c>
      <c r="C1530">
        <f t="shared" si="69"/>
        <v>0</v>
      </c>
      <c r="D1530">
        <f>SUM($C$3:C1530)</f>
        <v>4</v>
      </c>
      <c r="E1530" t="e">
        <f t="shared" si="70"/>
        <v>#N/A</v>
      </c>
      <c r="F1530" s="28" t="str">
        <f t="shared" ca="1" si="71"/>
        <v/>
      </c>
    </row>
    <row r="1531" spans="2:6" x14ac:dyDescent="0.2">
      <c r="B1531" t="str">
        <f>IFERROR(IF('PDCA review'!$D$2=Do!B1529,Do!G1529,""),"")</f>
        <v/>
      </c>
      <c r="C1531">
        <f t="shared" si="69"/>
        <v>0</v>
      </c>
      <c r="D1531">
        <f>SUM($C$3:C1531)</f>
        <v>4</v>
      </c>
      <c r="E1531" t="e">
        <f t="shared" si="70"/>
        <v>#N/A</v>
      </c>
      <c r="F1531" s="28" t="str">
        <f t="shared" ca="1" si="71"/>
        <v/>
      </c>
    </row>
    <row r="1532" spans="2:6" x14ac:dyDescent="0.2">
      <c r="B1532" t="str">
        <f>IFERROR(IF('PDCA review'!$D$2=Do!B1530,Do!G1530,""),"")</f>
        <v/>
      </c>
      <c r="C1532">
        <f t="shared" si="69"/>
        <v>0</v>
      </c>
      <c r="D1532">
        <f>SUM($C$3:C1532)</f>
        <v>4</v>
      </c>
      <c r="E1532" t="e">
        <f t="shared" si="70"/>
        <v>#N/A</v>
      </c>
      <c r="F1532" s="28" t="str">
        <f t="shared" ca="1" si="71"/>
        <v/>
      </c>
    </row>
    <row r="1533" spans="2:6" x14ac:dyDescent="0.2">
      <c r="B1533" t="str">
        <f>IFERROR(IF('PDCA review'!$D$2=Do!B1531,Do!G1531,""),"")</f>
        <v/>
      </c>
      <c r="C1533">
        <f t="shared" si="69"/>
        <v>0</v>
      </c>
      <c r="D1533">
        <f>SUM($C$3:C1533)</f>
        <v>4</v>
      </c>
      <c r="E1533" t="e">
        <f t="shared" si="70"/>
        <v>#N/A</v>
      </c>
      <c r="F1533" s="28" t="str">
        <f t="shared" ca="1" si="71"/>
        <v/>
      </c>
    </row>
    <row r="1534" spans="2:6" x14ac:dyDescent="0.2">
      <c r="B1534" t="str">
        <f>IFERROR(IF('PDCA review'!$D$2=Do!B1532,Do!G1532,""),"")</f>
        <v/>
      </c>
      <c r="C1534">
        <f t="shared" si="69"/>
        <v>0</v>
      </c>
      <c r="D1534">
        <f>SUM($C$3:C1534)</f>
        <v>4</v>
      </c>
      <c r="E1534" t="e">
        <f t="shared" si="70"/>
        <v>#N/A</v>
      </c>
      <c r="F1534" s="28" t="str">
        <f t="shared" ca="1" si="71"/>
        <v/>
      </c>
    </row>
    <row r="1535" spans="2:6" x14ac:dyDescent="0.2">
      <c r="B1535" t="str">
        <f>IFERROR(IF('PDCA review'!$D$2=Do!B1533,Do!G1533,""),"")</f>
        <v/>
      </c>
      <c r="C1535">
        <f t="shared" si="69"/>
        <v>0</v>
      </c>
      <c r="D1535">
        <f>SUM($C$3:C1535)</f>
        <v>4</v>
      </c>
      <c r="E1535" t="e">
        <f t="shared" si="70"/>
        <v>#N/A</v>
      </c>
      <c r="F1535" s="28" t="str">
        <f t="shared" ca="1" si="71"/>
        <v/>
      </c>
    </row>
    <row r="1536" spans="2:6" x14ac:dyDescent="0.2">
      <c r="B1536" t="str">
        <f>IFERROR(IF('PDCA review'!$D$2=Do!B1534,Do!G1534,""),"")</f>
        <v/>
      </c>
      <c r="C1536">
        <f t="shared" si="69"/>
        <v>0</v>
      </c>
      <c r="D1536">
        <f>SUM($C$3:C1536)</f>
        <v>4</v>
      </c>
      <c r="E1536" t="e">
        <f t="shared" si="70"/>
        <v>#N/A</v>
      </c>
      <c r="F1536" s="28" t="str">
        <f t="shared" ca="1" si="71"/>
        <v/>
      </c>
    </row>
    <row r="1537" spans="2:6" x14ac:dyDescent="0.2">
      <c r="B1537" t="str">
        <f>IFERROR(IF('PDCA review'!$D$2=Do!B1535,Do!G1535,""),"")</f>
        <v/>
      </c>
      <c r="C1537">
        <f t="shared" si="69"/>
        <v>0</v>
      </c>
      <c r="D1537">
        <f>SUM($C$3:C1537)</f>
        <v>4</v>
      </c>
      <c r="E1537" t="e">
        <f t="shared" si="70"/>
        <v>#N/A</v>
      </c>
      <c r="F1537" s="28" t="str">
        <f t="shared" ca="1" si="71"/>
        <v/>
      </c>
    </row>
    <row r="1538" spans="2:6" x14ac:dyDescent="0.2">
      <c r="B1538" t="str">
        <f>IFERROR(IF('PDCA review'!$D$2=Do!B1536,Do!G1536,""),"")</f>
        <v/>
      </c>
      <c r="C1538">
        <f t="shared" si="69"/>
        <v>0</v>
      </c>
      <c r="D1538">
        <f>SUM($C$3:C1538)</f>
        <v>4</v>
      </c>
      <c r="E1538" t="e">
        <f t="shared" si="70"/>
        <v>#N/A</v>
      </c>
      <c r="F1538" s="28" t="str">
        <f t="shared" ca="1" si="71"/>
        <v/>
      </c>
    </row>
    <row r="1539" spans="2:6" x14ac:dyDescent="0.2">
      <c r="B1539" t="str">
        <f>IFERROR(IF('PDCA review'!$D$2=Do!B1537,Do!G1537,""),"")</f>
        <v/>
      </c>
      <c r="C1539">
        <f t="shared" si="69"/>
        <v>0</v>
      </c>
      <c r="D1539">
        <f>SUM($C$3:C1539)</f>
        <v>4</v>
      </c>
      <c r="E1539" t="e">
        <f t="shared" si="70"/>
        <v>#N/A</v>
      </c>
      <c r="F1539" s="28" t="str">
        <f t="shared" ca="1" si="71"/>
        <v/>
      </c>
    </row>
    <row r="1540" spans="2:6" x14ac:dyDescent="0.2">
      <c r="B1540" t="str">
        <f>IFERROR(IF('PDCA review'!$D$2=Do!B1538,Do!G1538,""),"")</f>
        <v/>
      </c>
      <c r="C1540">
        <f t="shared" ref="C1540:C1603" si="72">IF(B1540&lt;&gt;"",1,0)</f>
        <v>0</v>
      </c>
      <c r="D1540">
        <f>SUM($C$3:C1540)</f>
        <v>4</v>
      </c>
      <c r="E1540" t="e">
        <f t="shared" ref="E1540:E1603" si="73">MATCH(ROW()-$D$2,$D$3:$D$2000,0)+$D$2</f>
        <v>#N/A</v>
      </c>
      <c r="F1540" s="28" t="str">
        <f t="shared" ref="F1540:F1603" ca="1" si="74">IFERROR(INDIRECT("B"&amp;E1540),"")</f>
        <v/>
      </c>
    </row>
    <row r="1541" spans="2:6" x14ac:dyDescent="0.2">
      <c r="B1541" t="str">
        <f>IFERROR(IF('PDCA review'!$D$2=Do!B1539,Do!G1539,""),"")</f>
        <v/>
      </c>
      <c r="C1541">
        <f t="shared" si="72"/>
        <v>0</v>
      </c>
      <c r="D1541">
        <f>SUM($C$3:C1541)</f>
        <v>4</v>
      </c>
      <c r="E1541" t="e">
        <f t="shared" si="73"/>
        <v>#N/A</v>
      </c>
      <c r="F1541" s="28" t="str">
        <f t="shared" ca="1" si="74"/>
        <v/>
      </c>
    </row>
    <row r="1542" spans="2:6" x14ac:dyDescent="0.2">
      <c r="B1542" t="str">
        <f>IFERROR(IF('PDCA review'!$D$2=Do!B1540,Do!G1540,""),"")</f>
        <v/>
      </c>
      <c r="C1542">
        <f t="shared" si="72"/>
        <v>0</v>
      </c>
      <c r="D1542">
        <f>SUM($C$3:C1542)</f>
        <v>4</v>
      </c>
      <c r="E1542" t="e">
        <f t="shared" si="73"/>
        <v>#N/A</v>
      </c>
      <c r="F1542" s="28" t="str">
        <f t="shared" ca="1" si="74"/>
        <v/>
      </c>
    </row>
    <row r="1543" spans="2:6" x14ac:dyDescent="0.2">
      <c r="B1543" t="str">
        <f>IFERROR(IF('PDCA review'!$D$2=Do!B1541,Do!G1541,""),"")</f>
        <v/>
      </c>
      <c r="C1543">
        <f t="shared" si="72"/>
        <v>0</v>
      </c>
      <c r="D1543">
        <f>SUM($C$3:C1543)</f>
        <v>4</v>
      </c>
      <c r="E1543" t="e">
        <f t="shared" si="73"/>
        <v>#N/A</v>
      </c>
      <c r="F1543" s="28" t="str">
        <f t="shared" ca="1" si="74"/>
        <v/>
      </c>
    </row>
    <row r="1544" spans="2:6" x14ac:dyDescent="0.2">
      <c r="B1544" t="str">
        <f>IFERROR(IF('PDCA review'!$D$2=Do!B1542,Do!G1542,""),"")</f>
        <v/>
      </c>
      <c r="C1544">
        <f t="shared" si="72"/>
        <v>0</v>
      </c>
      <c r="D1544">
        <f>SUM($C$3:C1544)</f>
        <v>4</v>
      </c>
      <c r="E1544" t="e">
        <f t="shared" si="73"/>
        <v>#N/A</v>
      </c>
      <c r="F1544" s="28" t="str">
        <f t="shared" ca="1" si="74"/>
        <v/>
      </c>
    </row>
    <row r="1545" spans="2:6" x14ac:dyDescent="0.2">
      <c r="B1545" t="str">
        <f>IFERROR(IF('PDCA review'!$D$2=Do!B1543,Do!G1543,""),"")</f>
        <v/>
      </c>
      <c r="C1545">
        <f t="shared" si="72"/>
        <v>0</v>
      </c>
      <c r="D1545">
        <f>SUM($C$3:C1545)</f>
        <v>4</v>
      </c>
      <c r="E1545" t="e">
        <f t="shared" si="73"/>
        <v>#N/A</v>
      </c>
      <c r="F1545" s="28" t="str">
        <f t="shared" ca="1" si="74"/>
        <v/>
      </c>
    </row>
    <row r="1546" spans="2:6" x14ac:dyDescent="0.2">
      <c r="B1546" t="str">
        <f>IFERROR(IF('PDCA review'!$D$2=Do!B1544,Do!G1544,""),"")</f>
        <v/>
      </c>
      <c r="C1546">
        <f t="shared" si="72"/>
        <v>0</v>
      </c>
      <c r="D1546">
        <f>SUM($C$3:C1546)</f>
        <v>4</v>
      </c>
      <c r="E1546" t="e">
        <f t="shared" si="73"/>
        <v>#N/A</v>
      </c>
      <c r="F1546" s="28" t="str">
        <f t="shared" ca="1" si="74"/>
        <v/>
      </c>
    </row>
    <row r="1547" spans="2:6" x14ac:dyDescent="0.2">
      <c r="B1547" t="str">
        <f>IFERROR(IF('PDCA review'!$D$2=Do!B1545,Do!G1545,""),"")</f>
        <v/>
      </c>
      <c r="C1547">
        <f t="shared" si="72"/>
        <v>0</v>
      </c>
      <c r="D1547">
        <f>SUM($C$3:C1547)</f>
        <v>4</v>
      </c>
      <c r="E1547" t="e">
        <f t="shared" si="73"/>
        <v>#N/A</v>
      </c>
      <c r="F1547" s="28" t="str">
        <f t="shared" ca="1" si="74"/>
        <v/>
      </c>
    </row>
    <row r="1548" spans="2:6" x14ac:dyDescent="0.2">
      <c r="B1548" t="str">
        <f>IFERROR(IF('PDCA review'!$D$2=Do!B1546,Do!G1546,""),"")</f>
        <v/>
      </c>
      <c r="C1548">
        <f t="shared" si="72"/>
        <v>0</v>
      </c>
      <c r="D1548">
        <f>SUM($C$3:C1548)</f>
        <v>4</v>
      </c>
      <c r="E1548" t="e">
        <f t="shared" si="73"/>
        <v>#N/A</v>
      </c>
      <c r="F1548" s="28" t="str">
        <f t="shared" ca="1" si="74"/>
        <v/>
      </c>
    </row>
    <row r="1549" spans="2:6" x14ac:dyDescent="0.2">
      <c r="B1549" t="str">
        <f>IFERROR(IF('PDCA review'!$D$2=Do!B1547,Do!G1547,""),"")</f>
        <v/>
      </c>
      <c r="C1549">
        <f t="shared" si="72"/>
        <v>0</v>
      </c>
      <c r="D1549">
        <f>SUM($C$3:C1549)</f>
        <v>4</v>
      </c>
      <c r="E1549" t="e">
        <f t="shared" si="73"/>
        <v>#N/A</v>
      </c>
      <c r="F1549" s="28" t="str">
        <f t="shared" ca="1" si="74"/>
        <v/>
      </c>
    </row>
    <row r="1550" spans="2:6" x14ac:dyDescent="0.2">
      <c r="B1550" t="str">
        <f>IFERROR(IF('PDCA review'!$D$2=Do!B1548,Do!G1548,""),"")</f>
        <v/>
      </c>
      <c r="C1550">
        <f t="shared" si="72"/>
        <v>0</v>
      </c>
      <c r="D1550">
        <f>SUM($C$3:C1550)</f>
        <v>4</v>
      </c>
      <c r="E1550" t="e">
        <f t="shared" si="73"/>
        <v>#N/A</v>
      </c>
      <c r="F1550" s="28" t="str">
        <f t="shared" ca="1" si="74"/>
        <v/>
      </c>
    </row>
    <row r="1551" spans="2:6" x14ac:dyDescent="0.2">
      <c r="B1551" t="str">
        <f>IFERROR(IF('PDCA review'!$D$2=Do!B1549,Do!G1549,""),"")</f>
        <v/>
      </c>
      <c r="C1551">
        <f t="shared" si="72"/>
        <v>0</v>
      </c>
      <c r="D1551">
        <f>SUM($C$3:C1551)</f>
        <v>4</v>
      </c>
      <c r="E1551" t="e">
        <f t="shared" si="73"/>
        <v>#N/A</v>
      </c>
      <c r="F1551" s="28" t="str">
        <f t="shared" ca="1" si="74"/>
        <v/>
      </c>
    </row>
    <row r="1552" spans="2:6" x14ac:dyDescent="0.2">
      <c r="B1552" t="str">
        <f>IFERROR(IF('PDCA review'!$D$2=Do!B1550,Do!G1550,""),"")</f>
        <v/>
      </c>
      <c r="C1552">
        <f t="shared" si="72"/>
        <v>0</v>
      </c>
      <c r="D1552">
        <f>SUM($C$3:C1552)</f>
        <v>4</v>
      </c>
      <c r="E1552" t="e">
        <f t="shared" si="73"/>
        <v>#N/A</v>
      </c>
      <c r="F1552" s="28" t="str">
        <f t="shared" ca="1" si="74"/>
        <v/>
      </c>
    </row>
    <row r="1553" spans="2:6" x14ac:dyDescent="0.2">
      <c r="B1553" t="str">
        <f>IFERROR(IF('PDCA review'!$D$2=Do!B1551,Do!G1551,""),"")</f>
        <v/>
      </c>
      <c r="C1553">
        <f t="shared" si="72"/>
        <v>0</v>
      </c>
      <c r="D1553">
        <f>SUM($C$3:C1553)</f>
        <v>4</v>
      </c>
      <c r="E1553" t="e">
        <f t="shared" si="73"/>
        <v>#N/A</v>
      </c>
      <c r="F1553" s="28" t="str">
        <f t="shared" ca="1" si="74"/>
        <v/>
      </c>
    </row>
    <row r="1554" spans="2:6" x14ac:dyDescent="0.2">
      <c r="B1554" t="str">
        <f>IFERROR(IF('PDCA review'!$D$2=Do!B1552,Do!G1552,""),"")</f>
        <v/>
      </c>
      <c r="C1554">
        <f t="shared" si="72"/>
        <v>0</v>
      </c>
      <c r="D1554">
        <f>SUM($C$3:C1554)</f>
        <v>4</v>
      </c>
      <c r="E1554" t="e">
        <f t="shared" si="73"/>
        <v>#N/A</v>
      </c>
      <c r="F1554" s="28" t="str">
        <f t="shared" ca="1" si="74"/>
        <v/>
      </c>
    </row>
    <row r="1555" spans="2:6" x14ac:dyDescent="0.2">
      <c r="B1555" t="str">
        <f>IFERROR(IF('PDCA review'!$D$2=Do!B1553,Do!G1553,""),"")</f>
        <v/>
      </c>
      <c r="C1555">
        <f t="shared" si="72"/>
        <v>0</v>
      </c>
      <c r="D1555">
        <f>SUM($C$3:C1555)</f>
        <v>4</v>
      </c>
      <c r="E1555" t="e">
        <f t="shared" si="73"/>
        <v>#N/A</v>
      </c>
      <c r="F1555" s="28" t="str">
        <f t="shared" ca="1" si="74"/>
        <v/>
      </c>
    </row>
    <row r="1556" spans="2:6" x14ac:dyDescent="0.2">
      <c r="B1556" t="str">
        <f>IFERROR(IF('PDCA review'!$D$2=Do!B1554,Do!G1554,""),"")</f>
        <v/>
      </c>
      <c r="C1556">
        <f t="shared" si="72"/>
        <v>0</v>
      </c>
      <c r="D1556">
        <f>SUM($C$3:C1556)</f>
        <v>4</v>
      </c>
      <c r="E1556" t="e">
        <f t="shared" si="73"/>
        <v>#N/A</v>
      </c>
      <c r="F1556" s="28" t="str">
        <f t="shared" ca="1" si="74"/>
        <v/>
      </c>
    </row>
    <row r="1557" spans="2:6" x14ac:dyDescent="0.2">
      <c r="B1557" t="str">
        <f>IFERROR(IF('PDCA review'!$D$2=Do!B1555,Do!G1555,""),"")</f>
        <v/>
      </c>
      <c r="C1557">
        <f t="shared" si="72"/>
        <v>0</v>
      </c>
      <c r="D1557">
        <f>SUM($C$3:C1557)</f>
        <v>4</v>
      </c>
      <c r="E1557" t="e">
        <f t="shared" si="73"/>
        <v>#N/A</v>
      </c>
      <c r="F1557" s="28" t="str">
        <f t="shared" ca="1" si="74"/>
        <v/>
      </c>
    </row>
    <row r="1558" spans="2:6" x14ac:dyDescent="0.2">
      <c r="B1558" t="str">
        <f>IFERROR(IF('PDCA review'!$D$2=Do!B1556,Do!G1556,""),"")</f>
        <v/>
      </c>
      <c r="C1558">
        <f t="shared" si="72"/>
        <v>0</v>
      </c>
      <c r="D1558">
        <f>SUM($C$3:C1558)</f>
        <v>4</v>
      </c>
      <c r="E1558" t="e">
        <f t="shared" si="73"/>
        <v>#N/A</v>
      </c>
      <c r="F1558" s="28" t="str">
        <f t="shared" ca="1" si="74"/>
        <v/>
      </c>
    </row>
    <row r="1559" spans="2:6" x14ac:dyDescent="0.2">
      <c r="B1559" t="str">
        <f>IFERROR(IF('PDCA review'!$D$2=Do!B1557,Do!G1557,""),"")</f>
        <v/>
      </c>
      <c r="C1559">
        <f t="shared" si="72"/>
        <v>0</v>
      </c>
      <c r="D1559">
        <f>SUM($C$3:C1559)</f>
        <v>4</v>
      </c>
      <c r="E1559" t="e">
        <f t="shared" si="73"/>
        <v>#N/A</v>
      </c>
      <c r="F1559" s="28" t="str">
        <f t="shared" ca="1" si="74"/>
        <v/>
      </c>
    </row>
    <row r="1560" spans="2:6" x14ac:dyDescent="0.2">
      <c r="B1560" t="str">
        <f>IFERROR(IF('PDCA review'!$D$2=Do!B1558,Do!G1558,""),"")</f>
        <v/>
      </c>
      <c r="C1560">
        <f t="shared" si="72"/>
        <v>0</v>
      </c>
      <c r="D1560">
        <f>SUM($C$3:C1560)</f>
        <v>4</v>
      </c>
      <c r="E1560" t="e">
        <f t="shared" si="73"/>
        <v>#N/A</v>
      </c>
      <c r="F1560" s="28" t="str">
        <f t="shared" ca="1" si="74"/>
        <v/>
      </c>
    </row>
    <row r="1561" spans="2:6" x14ac:dyDescent="0.2">
      <c r="B1561" t="str">
        <f>IFERROR(IF('PDCA review'!$D$2=Do!B1559,Do!G1559,""),"")</f>
        <v/>
      </c>
      <c r="C1561">
        <f t="shared" si="72"/>
        <v>0</v>
      </c>
      <c r="D1561">
        <f>SUM($C$3:C1561)</f>
        <v>4</v>
      </c>
      <c r="E1561" t="e">
        <f t="shared" si="73"/>
        <v>#N/A</v>
      </c>
      <c r="F1561" s="28" t="str">
        <f t="shared" ca="1" si="74"/>
        <v/>
      </c>
    </row>
    <row r="1562" spans="2:6" x14ac:dyDescent="0.2">
      <c r="B1562" t="str">
        <f>IFERROR(IF('PDCA review'!$D$2=Do!B1560,Do!G1560,""),"")</f>
        <v/>
      </c>
      <c r="C1562">
        <f t="shared" si="72"/>
        <v>0</v>
      </c>
      <c r="D1562">
        <f>SUM($C$3:C1562)</f>
        <v>4</v>
      </c>
      <c r="E1562" t="e">
        <f t="shared" si="73"/>
        <v>#N/A</v>
      </c>
      <c r="F1562" s="28" t="str">
        <f t="shared" ca="1" si="74"/>
        <v/>
      </c>
    </row>
    <row r="1563" spans="2:6" x14ac:dyDescent="0.2">
      <c r="B1563" t="str">
        <f>IFERROR(IF('PDCA review'!$D$2=Do!B1561,Do!G1561,""),"")</f>
        <v/>
      </c>
      <c r="C1563">
        <f t="shared" si="72"/>
        <v>0</v>
      </c>
      <c r="D1563">
        <f>SUM($C$3:C1563)</f>
        <v>4</v>
      </c>
      <c r="E1563" t="e">
        <f t="shared" si="73"/>
        <v>#N/A</v>
      </c>
      <c r="F1563" s="28" t="str">
        <f t="shared" ca="1" si="74"/>
        <v/>
      </c>
    </row>
    <row r="1564" spans="2:6" x14ac:dyDescent="0.2">
      <c r="B1564" t="str">
        <f>IFERROR(IF('PDCA review'!$D$2=Do!B1562,Do!G1562,""),"")</f>
        <v/>
      </c>
      <c r="C1564">
        <f t="shared" si="72"/>
        <v>0</v>
      </c>
      <c r="D1564">
        <f>SUM($C$3:C1564)</f>
        <v>4</v>
      </c>
      <c r="E1564" t="e">
        <f t="shared" si="73"/>
        <v>#N/A</v>
      </c>
      <c r="F1564" s="28" t="str">
        <f t="shared" ca="1" si="74"/>
        <v/>
      </c>
    </row>
    <row r="1565" spans="2:6" x14ac:dyDescent="0.2">
      <c r="B1565" t="str">
        <f>IFERROR(IF('PDCA review'!$D$2=Do!B1563,Do!G1563,""),"")</f>
        <v/>
      </c>
      <c r="C1565">
        <f t="shared" si="72"/>
        <v>0</v>
      </c>
      <c r="D1565">
        <f>SUM($C$3:C1565)</f>
        <v>4</v>
      </c>
      <c r="E1565" t="e">
        <f t="shared" si="73"/>
        <v>#N/A</v>
      </c>
      <c r="F1565" s="28" t="str">
        <f t="shared" ca="1" si="74"/>
        <v/>
      </c>
    </row>
    <row r="1566" spans="2:6" x14ac:dyDescent="0.2">
      <c r="B1566" t="str">
        <f>IFERROR(IF('PDCA review'!$D$2=Do!B1564,Do!G1564,""),"")</f>
        <v/>
      </c>
      <c r="C1566">
        <f t="shared" si="72"/>
        <v>0</v>
      </c>
      <c r="D1566">
        <f>SUM($C$3:C1566)</f>
        <v>4</v>
      </c>
      <c r="E1566" t="e">
        <f t="shared" si="73"/>
        <v>#N/A</v>
      </c>
      <c r="F1566" s="28" t="str">
        <f t="shared" ca="1" si="74"/>
        <v/>
      </c>
    </row>
    <row r="1567" spans="2:6" x14ac:dyDescent="0.2">
      <c r="B1567" t="str">
        <f>IFERROR(IF('PDCA review'!$D$2=Do!B1565,Do!G1565,""),"")</f>
        <v/>
      </c>
      <c r="C1567">
        <f t="shared" si="72"/>
        <v>0</v>
      </c>
      <c r="D1567">
        <f>SUM($C$3:C1567)</f>
        <v>4</v>
      </c>
      <c r="E1567" t="e">
        <f t="shared" si="73"/>
        <v>#N/A</v>
      </c>
      <c r="F1567" s="28" t="str">
        <f t="shared" ca="1" si="74"/>
        <v/>
      </c>
    </row>
    <row r="1568" spans="2:6" x14ac:dyDescent="0.2">
      <c r="B1568" t="str">
        <f>IFERROR(IF('PDCA review'!$D$2=Do!B1566,Do!G1566,""),"")</f>
        <v/>
      </c>
      <c r="C1568">
        <f t="shared" si="72"/>
        <v>0</v>
      </c>
      <c r="D1568">
        <f>SUM($C$3:C1568)</f>
        <v>4</v>
      </c>
      <c r="E1568" t="e">
        <f t="shared" si="73"/>
        <v>#N/A</v>
      </c>
      <c r="F1568" s="28" t="str">
        <f t="shared" ca="1" si="74"/>
        <v/>
      </c>
    </row>
    <row r="1569" spans="2:6" x14ac:dyDescent="0.2">
      <c r="B1569" t="str">
        <f>IFERROR(IF('PDCA review'!$D$2=Do!B1567,Do!G1567,""),"")</f>
        <v/>
      </c>
      <c r="C1569">
        <f t="shared" si="72"/>
        <v>0</v>
      </c>
      <c r="D1569">
        <f>SUM($C$3:C1569)</f>
        <v>4</v>
      </c>
      <c r="E1569" t="e">
        <f t="shared" si="73"/>
        <v>#N/A</v>
      </c>
      <c r="F1569" s="28" t="str">
        <f t="shared" ca="1" si="74"/>
        <v/>
      </c>
    </row>
    <row r="1570" spans="2:6" x14ac:dyDescent="0.2">
      <c r="B1570" t="str">
        <f>IFERROR(IF('PDCA review'!$D$2=Do!B1568,Do!G1568,""),"")</f>
        <v/>
      </c>
      <c r="C1570">
        <f t="shared" si="72"/>
        <v>0</v>
      </c>
      <c r="D1570">
        <f>SUM($C$3:C1570)</f>
        <v>4</v>
      </c>
      <c r="E1570" t="e">
        <f t="shared" si="73"/>
        <v>#N/A</v>
      </c>
      <c r="F1570" s="28" t="str">
        <f t="shared" ca="1" si="74"/>
        <v/>
      </c>
    </row>
    <row r="1571" spans="2:6" x14ac:dyDescent="0.2">
      <c r="B1571" t="str">
        <f>IFERROR(IF('PDCA review'!$D$2=Do!B1569,Do!G1569,""),"")</f>
        <v/>
      </c>
      <c r="C1571">
        <f t="shared" si="72"/>
        <v>0</v>
      </c>
      <c r="D1571">
        <f>SUM($C$3:C1571)</f>
        <v>4</v>
      </c>
      <c r="E1571" t="e">
        <f t="shared" si="73"/>
        <v>#N/A</v>
      </c>
      <c r="F1571" s="28" t="str">
        <f t="shared" ca="1" si="74"/>
        <v/>
      </c>
    </row>
    <row r="1572" spans="2:6" x14ac:dyDescent="0.2">
      <c r="B1572" t="str">
        <f>IFERROR(IF('PDCA review'!$D$2=Do!B1570,Do!G1570,""),"")</f>
        <v/>
      </c>
      <c r="C1572">
        <f t="shared" si="72"/>
        <v>0</v>
      </c>
      <c r="D1572">
        <f>SUM($C$3:C1572)</f>
        <v>4</v>
      </c>
      <c r="E1572" t="e">
        <f t="shared" si="73"/>
        <v>#N/A</v>
      </c>
      <c r="F1572" s="28" t="str">
        <f t="shared" ca="1" si="74"/>
        <v/>
      </c>
    </row>
    <row r="1573" spans="2:6" x14ac:dyDescent="0.2">
      <c r="B1573" t="str">
        <f>IFERROR(IF('PDCA review'!$D$2=Do!B1571,Do!G1571,""),"")</f>
        <v/>
      </c>
      <c r="C1573">
        <f t="shared" si="72"/>
        <v>0</v>
      </c>
      <c r="D1573">
        <f>SUM($C$3:C1573)</f>
        <v>4</v>
      </c>
      <c r="E1573" t="e">
        <f t="shared" si="73"/>
        <v>#N/A</v>
      </c>
      <c r="F1573" s="28" t="str">
        <f t="shared" ca="1" si="74"/>
        <v/>
      </c>
    </row>
    <row r="1574" spans="2:6" x14ac:dyDescent="0.2">
      <c r="B1574" t="str">
        <f>IFERROR(IF('PDCA review'!$D$2=Do!B1572,Do!G1572,""),"")</f>
        <v/>
      </c>
      <c r="C1574">
        <f t="shared" si="72"/>
        <v>0</v>
      </c>
      <c r="D1574">
        <f>SUM($C$3:C1574)</f>
        <v>4</v>
      </c>
      <c r="E1574" t="e">
        <f t="shared" si="73"/>
        <v>#N/A</v>
      </c>
      <c r="F1574" s="28" t="str">
        <f t="shared" ca="1" si="74"/>
        <v/>
      </c>
    </row>
    <row r="1575" spans="2:6" x14ac:dyDescent="0.2">
      <c r="B1575" t="str">
        <f>IFERROR(IF('PDCA review'!$D$2=Do!B1573,Do!G1573,""),"")</f>
        <v/>
      </c>
      <c r="C1575">
        <f t="shared" si="72"/>
        <v>0</v>
      </c>
      <c r="D1575">
        <f>SUM($C$3:C1575)</f>
        <v>4</v>
      </c>
      <c r="E1575" t="e">
        <f t="shared" si="73"/>
        <v>#N/A</v>
      </c>
      <c r="F1575" s="28" t="str">
        <f t="shared" ca="1" si="74"/>
        <v/>
      </c>
    </row>
    <row r="1576" spans="2:6" x14ac:dyDescent="0.2">
      <c r="B1576" t="str">
        <f>IFERROR(IF('PDCA review'!$D$2=Do!B1574,Do!G1574,""),"")</f>
        <v/>
      </c>
      <c r="C1576">
        <f t="shared" si="72"/>
        <v>0</v>
      </c>
      <c r="D1576">
        <f>SUM($C$3:C1576)</f>
        <v>4</v>
      </c>
      <c r="E1576" t="e">
        <f t="shared" si="73"/>
        <v>#N/A</v>
      </c>
      <c r="F1576" s="28" t="str">
        <f t="shared" ca="1" si="74"/>
        <v/>
      </c>
    </row>
    <row r="1577" spans="2:6" x14ac:dyDescent="0.2">
      <c r="B1577" t="str">
        <f>IFERROR(IF('PDCA review'!$D$2=Do!B1575,Do!G1575,""),"")</f>
        <v/>
      </c>
      <c r="C1577">
        <f t="shared" si="72"/>
        <v>0</v>
      </c>
      <c r="D1577">
        <f>SUM($C$3:C1577)</f>
        <v>4</v>
      </c>
      <c r="E1577" t="e">
        <f t="shared" si="73"/>
        <v>#N/A</v>
      </c>
      <c r="F1577" s="28" t="str">
        <f t="shared" ca="1" si="74"/>
        <v/>
      </c>
    </row>
    <row r="1578" spans="2:6" x14ac:dyDescent="0.2">
      <c r="B1578" t="str">
        <f>IFERROR(IF('PDCA review'!$D$2=Do!B1576,Do!G1576,""),"")</f>
        <v/>
      </c>
      <c r="C1578">
        <f t="shared" si="72"/>
        <v>0</v>
      </c>
      <c r="D1578">
        <f>SUM($C$3:C1578)</f>
        <v>4</v>
      </c>
      <c r="E1578" t="e">
        <f t="shared" si="73"/>
        <v>#N/A</v>
      </c>
      <c r="F1578" s="28" t="str">
        <f t="shared" ca="1" si="74"/>
        <v/>
      </c>
    </row>
    <row r="1579" spans="2:6" x14ac:dyDescent="0.2">
      <c r="B1579" t="str">
        <f>IFERROR(IF('PDCA review'!$D$2=Do!B1577,Do!G1577,""),"")</f>
        <v/>
      </c>
      <c r="C1579">
        <f t="shared" si="72"/>
        <v>0</v>
      </c>
      <c r="D1579">
        <f>SUM($C$3:C1579)</f>
        <v>4</v>
      </c>
      <c r="E1579" t="e">
        <f t="shared" si="73"/>
        <v>#N/A</v>
      </c>
      <c r="F1579" s="28" t="str">
        <f t="shared" ca="1" si="74"/>
        <v/>
      </c>
    </row>
    <row r="1580" spans="2:6" x14ac:dyDescent="0.2">
      <c r="B1580" t="str">
        <f>IFERROR(IF('PDCA review'!$D$2=Do!B1578,Do!G1578,""),"")</f>
        <v/>
      </c>
      <c r="C1580">
        <f t="shared" si="72"/>
        <v>0</v>
      </c>
      <c r="D1580">
        <f>SUM($C$3:C1580)</f>
        <v>4</v>
      </c>
      <c r="E1580" t="e">
        <f t="shared" si="73"/>
        <v>#N/A</v>
      </c>
      <c r="F1580" s="28" t="str">
        <f t="shared" ca="1" si="74"/>
        <v/>
      </c>
    </row>
    <row r="1581" spans="2:6" x14ac:dyDescent="0.2">
      <c r="B1581" t="str">
        <f>IFERROR(IF('PDCA review'!$D$2=Do!B1579,Do!G1579,""),"")</f>
        <v/>
      </c>
      <c r="C1581">
        <f t="shared" si="72"/>
        <v>0</v>
      </c>
      <c r="D1581">
        <f>SUM($C$3:C1581)</f>
        <v>4</v>
      </c>
      <c r="E1581" t="e">
        <f t="shared" si="73"/>
        <v>#N/A</v>
      </c>
      <c r="F1581" s="28" t="str">
        <f t="shared" ca="1" si="74"/>
        <v/>
      </c>
    </row>
    <row r="1582" spans="2:6" x14ac:dyDescent="0.2">
      <c r="B1582" t="str">
        <f>IFERROR(IF('PDCA review'!$D$2=Do!B1580,Do!G1580,""),"")</f>
        <v/>
      </c>
      <c r="C1582">
        <f t="shared" si="72"/>
        <v>0</v>
      </c>
      <c r="D1582">
        <f>SUM($C$3:C1582)</f>
        <v>4</v>
      </c>
      <c r="E1582" t="e">
        <f t="shared" si="73"/>
        <v>#N/A</v>
      </c>
      <c r="F1582" s="28" t="str">
        <f t="shared" ca="1" si="74"/>
        <v/>
      </c>
    </row>
    <row r="1583" spans="2:6" x14ac:dyDescent="0.2">
      <c r="B1583" t="str">
        <f>IFERROR(IF('PDCA review'!$D$2=Do!B1581,Do!G1581,""),"")</f>
        <v/>
      </c>
      <c r="C1583">
        <f t="shared" si="72"/>
        <v>0</v>
      </c>
      <c r="D1583">
        <f>SUM($C$3:C1583)</f>
        <v>4</v>
      </c>
      <c r="E1583" t="e">
        <f t="shared" si="73"/>
        <v>#N/A</v>
      </c>
      <c r="F1583" s="28" t="str">
        <f t="shared" ca="1" si="74"/>
        <v/>
      </c>
    </row>
    <row r="1584" spans="2:6" x14ac:dyDescent="0.2">
      <c r="B1584" t="str">
        <f>IFERROR(IF('PDCA review'!$D$2=Do!B1582,Do!G1582,""),"")</f>
        <v/>
      </c>
      <c r="C1584">
        <f t="shared" si="72"/>
        <v>0</v>
      </c>
      <c r="D1584">
        <f>SUM($C$3:C1584)</f>
        <v>4</v>
      </c>
      <c r="E1584" t="e">
        <f t="shared" si="73"/>
        <v>#N/A</v>
      </c>
      <c r="F1584" s="28" t="str">
        <f t="shared" ca="1" si="74"/>
        <v/>
      </c>
    </row>
    <row r="1585" spans="2:6" x14ac:dyDescent="0.2">
      <c r="B1585" t="str">
        <f>IFERROR(IF('PDCA review'!$D$2=Do!B1583,Do!G1583,""),"")</f>
        <v/>
      </c>
      <c r="C1585">
        <f t="shared" si="72"/>
        <v>0</v>
      </c>
      <c r="D1585">
        <f>SUM($C$3:C1585)</f>
        <v>4</v>
      </c>
      <c r="E1585" t="e">
        <f t="shared" si="73"/>
        <v>#N/A</v>
      </c>
      <c r="F1585" s="28" t="str">
        <f t="shared" ca="1" si="74"/>
        <v/>
      </c>
    </row>
    <row r="1586" spans="2:6" x14ac:dyDescent="0.2">
      <c r="B1586" t="str">
        <f>IFERROR(IF('PDCA review'!$D$2=Do!B1584,Do!G1584,""),"")</f>
        <v/>
      </c>
      <c r="C1586">
        <f t="shared" si="72"/>
        <v>0</v>
      </c>
      <c r="D1586">
        <f>SUM($C$3:C1586)</f>
        <v>4</v>
      </c>
      <c r="E1586" t="e">
        <f t="shared" si="73"/>
        <v>#N/A</v>
      </c>
      <c r="F1586" s="28" t="str">
        <f t="shared" ca="1" si="74"/>
        <v/>
      </c>
    </row>
    <row r="1587" spans="2:6" x14ac:dyDescent="0.2">
      <c r="B1587" t="str">
        <f>IFERROR(IF('PDCA review'!$D$2=Do!B1585,Do!G1585,""),"")</f>
        <v/>
      </c>
      <c r="C1587">
        <f t="shared" si="72"/>
        <v>0</v>
      </c>
      <c r="D1587">
        <f>SUM($C$3:C1587)</f>
        <v>4</v>
      </c>
      <c r="E1587" t="e">
        <f t="shared" si="73"/>
        <v>#N/A</v>
      </c>
      <c r="F1587" s="28" t="str">
        <f t="shared" ca="1" si="74"/>
        <v/>
      </c>
    </row>
    <row r="1588" spans="2:6" x14ac:dyDescent="0.2">
      <c r="B1588" t="str">
        <f>IFERROR(IF('PDCA review'!$D$2=Do!B1586,Do!G1586,""),"")</f>
        <v/>
      </c>
      <c r="C1588">
        <f t="shared" si="72"/>
        <v>0</v>
      </c>
      <c r="D1588">
        <f>SUM($C$3:C1588)</f>
        <v>4</v>
      </c>
      <c r="E1588" t="e">
        <f t="shared" si="73"/>
        <v>#N/A</v>
      </c>
      <c r="F1588" s="28" t="str">
        <f t="shared" ca="1" si="74"/>
        <v/>
      </c>
    </row>
    <row r="1589" spans="2:6" x14ac:dyDescent="0.2">
      <c r="B1589" t="str">
        <f>IFERROR(IF('PDCA review'!$D$2=Do!B1587,Do!G1587,""),"")</f>
        <v/>
      </c>
      <c r="C1589">
        <f t="shared" si="72"/>
        <v>0</v>
      </c>
      <c r="D1589">
        <f>SUM($C$3:C1589)</f>
        <v>4</v>
      </c>
      <c r="E1589" t="e">
        <f t="shared" si="73"/>
        <v>#N/A</v>
      </c>
      <c r="F1589" s="28" t="str">
        <f t="shared" ca="1" si="74"/>
        <v/>
      </c>
    </row>
    <row r="1590" spans="2:6" x14ac:dyDescent="0.2">
      <c r="B1590" t="str">
        <f>IFERROR(IF('PDCA review'!$D$2=Do!B1588,Do!G1588,""),"")</f>
        <v/>
      </c>
      <c r="C1590">
        <f t="shared" si="72"/>
        <v>0</v>
      </c>
      <c r="D1590">
        <f>SUM($C$3:C1590)</f>
        <v>4</v>
      </c>
      <c r="E1590" t="e">
        <f t="shared" si="73"/>
        <v>#N/A</v>
      </c>
      <c r="F1590" s="28" t="str">
        <f t="shared" ca="1" si="74"/>
        <v/>
      </c>
    </row>
    <row r="1591" spans="2:6" x14ac:dyDescent="0.2">
      <c r="B1591" t="str">
        <f>IFERROR(IF('PDCA review'!$D$2=Do!B1589,Do!G1589,""),"")</f>
        <v/>
      </c>
      <c r="C1591">
        <f t="shared" si="72"/>
        <v>0</v>
      </c>
      <c r="D1591">
        <f>SUM($C$3:C1591)</f>
        <v>4</v>
      </c>
      <c r="E1591" t="e">
        <f t="shared" si="73"/>
        <v>#N/A</v>
      </c>
      <c r="F1591" s="28" t="str">
        <f t="shared" ca="1" si="74"/>
        <v/>
      </c>
    </row>
    <row r="1592" spans="2:6" x14ac:dyDescent="0.2">
      <c r="B1592" t="str">
        <f>IFERROR(IF('PDCA review'!$D$2=Do!B1590,Do!G1590,""),"")</f>
        <v/>
      </c>
      <c r="C1592">
        <f t="shared" si="72"/>
        <v>0</v>
      </c>
      <c r="D1592">
        <f>SUM($C$3:C1592)</f>
        <v>4</v>
      </c>
      <c r="E1592" t="e">
        <f t="shared" si="73"/>
        <v>#N/A</v>
      </c>
      <c r="F1592" s="28" t="str">
        <f t="shared" ca="1" si="74"/>
        <v/>
      </c>
    </row>
    <row r="1593" spans="2:6" x14ac:dyDescent="0.2">
      <c r="B1593" t="str">
        <f>IFERROR(IF('PDCA review'!$D$2=Do!B1591,Do!G1591,""),"")</f>
        <v/>
      </c>
      <c r="C1593">
        <f t="shared" si="72"/>
        <v>0</v>
      </c>
      <c r="D1593">
        <f>SUM($C$3:C1593)</f>
        <v>4</v>
      </c>
      <c r="E1593" t="e">
        <f t="shared" si="73"/>
        <v>#N/A</v>
      </c>
      <c r="F1593" s="28" t="str">
        <f t="shared" ca="1" si="74"/>
        <v/>
      </c>
    </row>
    <row r="1594" spans="2:6" x14ac:dyDescent="0.2">
      <c r="B1594" t="str">
        <f>IFERROR(IF('PDCA review'!$D$2=Do!B1592,Do!G1592,""),"")</f>
        <v/>
      </c>
      <c r="C1594">
        <f t="shared" si="72"/>
        <v>0</v>
      </c>
      <c r="D1594">
        <f>SUM($C$3:C1594)</f>
        <v>4</v>
      </c>
      <c r="E1594" t="e">
        <f t="shared" si="73"/>
        <v>#N/A</v>
      </c>
      <c r="F1594" s="28" t="str">
        <f t="shared" ca="1" si="74"/>
        <v/>
      </c>
    </row>
    <row r="1595" spans="2:6" x14ac:dyDescent="0.2">
      <c r="B1595" t="str">
        <f>IFERROR(IF('PDCA review'!$D$2=Do!B1593,Do!G1593,""),"")</f>
        <v/>
      </c>
      <c r="C1595">
        <f t="shared" si="72"/>
        <v>0</v>
      </c>
      <c r="D1595">
        <f>SUM($C$3:C1595)</f>
        <v>4</v>
      </c>
      <c r="E1595" t="e">
        <f t="shared" si="73"/>
        <v>#N/A</v>
      </c>
      <c r="F1595" s="28" t="str">
        <f t="shared" ca="1" si="74"/>
        <v/>
      </c>
    </row>
    <row r="1596" spans="2:6" x14ac:dyDescent="0.2">
      <c r="B1596" t="str">
        <f>IFERROR(IF('PDCA review'!$D$2=Do!B1594,Do!G1594,""),"")</f>
        <v/>
      </c>
      <c r="C1596">
        <f t="shared" si="72"/>
        <v>0</v>
      </c>
      <c r="D1596">
        <f>SUM($C$3:C1596)</f>
        <v>4</v>
      </c>
      <c r="E1596" t="e">
        <f t="shared" si="73"/>
        <v>#N/A</v>
      </c>
      <c r="F1596" s="28" t="str">
        <f t="shared" ca="1" si="74"/>
        <v/>
      </c>
    </row>
    <row r="1597" spans="2:6" x14ac:dyDescent="0.2">
      <c r="B1597" t="str">
        <f>IFERROR(IF('PDCA review'!$D$2=Do!B1595,Do!G1595,""),"")</f>
        <v/>
      </c>
      <c r="C1597">
        <f t="shared" si="72"/>
        <v>0</v>
      </c>
      <c r="D1597">
        <f>SUM($C$3:C1597)</f>
        <v>4</v>
      </c>
      <c r="E1597" t="e">
        <f t="shared" si="73"/>
        <v>#N/A</v>
      </c>
      <c r="F1597" s="28" t="str">
        <f t="shared" ca="1" si="74"/>
        <v/>
      </c>
    </row>
    <row r="1598" spans="2:6" x14ac:dyDescent="0.2">
      <c r="B1598" t="str">
        <f>IFERROR(IF('PDCA review'!$D$2=Do!B1596,Do!G1596,""),"")</f>
        <v/>
      </c>
      <c r="C1598">
        <f t="shared" si="72"/>
        <v>0</v>
      </c>
      <c r="D1598">
        <f>SUM($C$3:C1598)</f>
        <v>4</v>
      </c>
      <c r="E1598" t="e">
        <f t="shared" si="73"/>
        <v>#N/A</v>
      </c>
      <c r="F1598" s="28" t="str">
        <f t="shared" ca="1" si="74"/>
        <v/>
      </c>
    </row>
    <row r="1599" spans="2:6" x14ac:dyDescent="0.2">
      <c r="B1599" t="str">
        <f>IFERROR(IF('PDCA review'!$D$2=Do!B1597,Do!G1597,""),"")</f>
        <v/>
      </c>
      <c r="C1599">
        <f t="shared" si="72"/>
        <v>0</v>
      </c>
      <c r="D1599">
        <f>SUM($C$3:C1599)</f>
        <v>4</v>
      </c>
      <c r="E1599" t="e">
        <f t="shared" si="73"/>
        <v>#N/A</v>
      </c>
      <c r="F1599" s="28" t="str">
        <f t="shared" ca="1" si="74"/>
        <v/>
      </c>
    </row>
    <row r="1600" spans="2:6" x14ac:dyDescent="0.2">
      <c r="B1600" t="str">
        <f>IFERROR(IF('PDCA review'!$D$2=Do!B1598,Do!G1598,""),"")</f>
        <v/>
      </c>
      <c r="C1600">
        <f t="shared" si="72"/>
        <v>0</v>
      </c>
      <c r="D1600">
        <f>SUM($C$3:C1600)</f>
        <v>4</v>
      </c>
      <c r="E1600" t="e">
        <f t="shared" si="73"/>
        <v>#N/A</v>
      </c>
      <c r="F1600" s="28" t="str">
        <f t="shared" ca="1" si="74"/>
        <v/>
      </c>
    </row>
    <row r="1601" spans="2:6" x14ac:dyDescent="0.2">
      <c r="B1601" t="str">
        <f>IFERROR(IF('PDCA review'!$D$2=Do!B1599,Do!G1599,""),"")</f>
        <v/>
      </c>
      <c r="C1601">
        <f t="shared" si="72"/>
        <v>0</v>
      </c>
      <c r="D1601">
        <f>SUM($C$3:C1601)</f>
        <v>4</v>
      </c>
      <c r="E1601" t="e">
        <f t="shared" si="73"/>
        <v>#N/A</v>
      </c>
      <c r="F1601" s="28" t="str">
        <f t="shared" ca="1" si="74"/>
        <v/>
      </c>
    </row>
    <row r="1602" spans="2:6" x14ac:dyDescent="0.2">
      <c r="B1602" t="str">
        <f>IFERROR(IF('PDCA review'!$D$2=Do!B1600,Do!G1600,""),"")</f>
        <v/>
      </c>
      <c r="C1602">
        <f t="shared" si="72"/>
        <v>0</v>
      </c>
      <c r="D1602">
        <f>SUM($C$3:C1602)</f>
        <v>4</v>
      </c>
      <c r="E1602" t="e">
        <f t="shared" si="73"/>
        <v>#N/A</v>
      </c>
      <c r="F1602" s="28" t="str">
        <f t="shared" ca="1" si="74"/>
        <v/>
      </c>
    </row>
    <row r="1603" spans="2:6" x14ac:dyDescent="0.2">
      <c r="B1603" t="str">
        <f>IFERROR(IF('PDCA review'!$D$2=Do!B1601,Do!G1601,""),"")</f>
        <v/>
      </c>
      <c r="C1603">
        <f t="shared" si="72"/>
        <v>0</v>
      </c>
      <c r="D1603">
        <f>SUM($C$3:C1603)</f>
        <v>4</v>
      </c>
      <c r="E1603" t="e">
        <f t="shared" si="73"/>
        <v>#N/A</v>
      </c>
      <c r="F1603" s="28" t="str">
        <f t="shared" ca="1" si="74"/>
        <v/>
      </c>
    </row>
    <row r="1604" spans="2:6" x14ac:dyDescent="0.2">
      <c r="B1604" t="str">
        <f>IFERROR(IF('PDCA review'!$D$2=Do!B1602,Do!G1602,""),"")</f>
        <v/>
      </c>
      <c r="C1604">
        <f t="shared" ref="C1604:C1667" si="75">IF(B1604&lt;&gt;"",1,0)</f>
        <v>0</v>
      </c>
      <c r="D1604">
        <f>SUM($C$3:C1604)</f>
        <v>4</v>
      </c>
      <c r="E1604" t="e">
        <f t="shared" ref="E1604:E1667" si="76">MATCH(ROW()-$D$2,$D$3:$D$2000,0)+$D$2</f>
        <v>#N/A</v>
      </c>
      <c r="F1604" s="28" t="str">
        <f t="shared" ref="F1604:F1667" ca="1" si="77">IFERROR(INDIRECT("B"&amp;E1604),"")</f>
        <v/>
      </c>
    </row>
    <row r="1605" spans="2:6" x14ac:dyDescent="0.2">
      <c r="B1605" t="str">
        <f>IFERROR(IF('PDCA review'!$D$2=Do!B1603,Do!G1603,""),"")</f>
        <v/>
      </c>
      <c r="C1605">
        <f t="shared" si="75"/>
        <v>0</v>
      </c>
      <c r="D1605">
        <f>SUM($C$3:C1605)</f>
        <v>4</v>
      </c>
      <c r="E1605" t="e">
        <f t="shared" si="76"/>
        <v>#N/A</v>
      </c>
      <c r="F1605" s="28" t="str">
        <f t="shared" ca="1" si="77"/>
        <v/>
      </c>
    </row>
    <row r="1606" spans="2:6" x14ac:dyDescent="0.2">
      <c r="B1606" t="str">
        <f>IFERROR(IF('PDCA review'!$D$2=Do!B1604,Do!G1604,""),"")</f>
        <v/>
      </c>
      <c r="C1606">
        <f t="shared" si="75"/>
        <v>0</v>
      </c>
      <c r="D1606">
        <f>SUM($C$3:C1606)</f>
        <v>4</v>
      </c>
      <c r="E1606" t="e">
        <f t="shared" si="76"/>
        <v>#N/A</v>
      </c>
      <c r="F1606" s="28" t="str">
        <f t="shared" ca="1" si="77"/>
        <v/>
      </c>
    </row>
    <row r="1607" spans="2:6" x14ac:dyDescent="0.2">
      <c r="B1607" t="str">
        <f>IFERROR(IF('PDCA review'!$D$2=Do!B1605,Do!G1605,""),"")</f>
        <v/>
      </c>
      <c r="C1607">
        <f t="shared" si="75"/>
        <v>0</v>
      </c>
      <c r="D1607">
        <f>SUM($C$3:C1607)</f>
        <v>4</v>
      </c>
      <c r="E1607" t="e">
        <f t="shared" si="76"/>
        <v>#N/A</v>
      </c>
      <c r="F1607" s="28" t="str">
        <f t="shared" ca="1" si="77"/>
        <v/>
      </c>
    </row>
    <row r="1608" spans="2:6" x14ac:dyDescent="0.2">
      <c r="B1608" t="str">
        <f>IFERROR(IF('PDCA review'!$D$2=Do!B1606,Do!G1606,""),"")</f>
        <v/>
      </c>
      <c r="C1608">
        <f t="shared" si="75"/>
        <v>0</v>
      </c>
      <c r="D1608">
        <f>SUM($C$3:C1608)</f>
        <v>4</v>
      </c>
      <c r="E1608" t="e">
        <f t="shared" si="76"/>
        <v>#N/A</v>
      </c>
      <c r="F1608" s="28" t="str">
        <f t="shared" ca="1" si="77"/>
        <v/>
      </c>
    </row>
    <row r="1609" spans="2:6" x14ac:dyDescent="0.2">
      <c r="B1609" t="str">
        <f>IFERROR(IF('PDCA review'!$D$2=Do!B1607,Do!G1607,""),"")</f>
        <v/>
      </c>
      <c r="C1609">
        <f t="shared" si="75"/>
        <v>0</v>
      </c>
      <c r="D1609">
        <f>SUM($C$3:C1609)</f>
        <v>4</v>
      </c>
      <c r="E1609" t="e">
        <f t="shared" si="76"/>
        <v>#N/A</v>
      </c>
      <c r="F1609" s="28" t="str">
        <f t="shared" ca="1" si="77"/>
        <v/>
      </c>
    </row>
    <row r="1610" spans="2:6" x14ac:dyDescent="0.2">
      <c r="B1610" t="str">
        <f>IFERROR(IF('PDCA review'!$D$2=Do!B1608,Do!G1608,""),"")</f>
        <v/>
      </c>
      <c r="C1610">
        <f t="shared" si="75"/>
        <v>0</v>
      </c>
      <c r="D1610">
        <f>SUM($C$3:C1610)</f>
        <v>4</v>
      </c>
      <c r="E1610" t="e">
        <f t="shared" si="76"/>
        <v>#N/A</v>
      </c>
      <c r="F1610" s="28" t="str">
        <f t="shared" ca="1" si="77"/>
        <v/>
      </c>
    </row>
    <row r="1611" spans="2:6" x14ac:dyDescent="0.2">
      <c r="B1611" t="str">
        <f>IFERROR(IF('PDCA review'!$D$2=Do!B1609,Do!G1609,""),"")</f>
        <v/>
      </c>
      <c r="C1611">
        <f t="shared" si="75"/>
        <v>0</v>
      </c>
      <c r="D1611">
        <f>SUM($C$3:C1611)</f>
        <v>4</v>
      </c>
      <c r="E1611" t="e">
        <f t="shared" si="76"/>
        <v>#N/A</v>
      </c>
      <c r="F1611" s="28" t="str">
        <f t="shared" ca="1" si="77"/>
        <v/>
      </c>
    </row>
    <row r="1612" spans="2:6" x14ac:dyDescent="0.2">
      <c r="B1612" t="str">
        <f>IFERROR(IF('PDCA review'!$D$2=Do!B1610,Do!G1610,""),"")</f>
        <v/>
      </c>
      <c r="C1612">
        <f t="shared" si="75"/>
        <v>0</v>
      </c>
      <c r="D1612">
        <f>SUM($C$3:C1612)</f>
        <v>4</v>
      </c>
      <c r="E1612" t="e">
        <f t="shared" si="76"/>
        <v>#N/A</v>
      </c>
      <c r="F1612" s="28" t="str">
        <f t="shared" ca="1" si="77"/>
        <v/>
      </c>
    </row>
    <row r="1613" spans="2:6" x14ac:dyDescent="0.2">
      <c r="B1613" t="str">
        <f>IFERROR(IF('PDCA review'!$D$2=Do!B1611,Do!G1611,""),"")</f>
        <v/>
      </c>
      <c r="C1613">
        <f t="shared" si="75"/>
        <v>0</v>
      </c>
      <c r="D1613">
        <f>SUM($C$3:C1613)</f>
        <v>4</v>
      </c>
      <c r="E1613" t="e">
        <f t="shared" si="76"/>
        <v>#N/A</v>
      </c>
      <c r="F1613" s="28" t="str">
        <f t="shared" ca="1" si="77"/>
        <v/>
      </c>
    </row>
    <row r="1614" spans="2:6" x14ac:dyDescent="0.2">
      <c r="B1614" t="str">
        <f>IFERROR(IF('PDCA review'!$D$2=Do!B1612,Do!G1612,""),"")</f>
        <v/>
      </c>
      <c r="C1614">
        <f t="shared" si="75"/>
        <v>0</v>
      </c>
      <c r="D1614">
        <f>SUM($C$3:C1614)</f>
        <v>4</v>
      </c>
      <c r="E1614" t="e">
        <f t="shared" si="76"/>
        <v>#N/A</v>
      </c>
      <c r="F1614" s="28" t="str">
        <f t="shared" ca="1" si="77"/>
        <v/>
      </c>
    </row>
    <row r="1615" spans="2:6" x14ac:dyDescent="0.2">
      <c r="B1615" t="str">
        <f>IFERROR(IF('PDCA review'!$D$2=Do!B1613,Do!G1613,""),"")</f>
        <v/>
      </c>
      <c r="C1615">
        <f t="shared" si="75"/>
        <v>0</v>
      </c>
      <c r="D1615">
        <f>SUM($C$3:C1615)</f>
        <v>4</v>
      </c>
      <c r="E1615" t="e">
        <f t="shared" si="76"/>
        <v>#N/A</v>
      </c>
      <c r="F1615" s="28" t="str">
        <f t="shared" ca="1" si="77"/>
        <v/>
      </c>
    </row>
    <row r="1616" spans="2:6" x14ac:dyDescent="0.2">
      <c r="B1616" t="str">
        <f>IFERROR(IF('PDCA review'!$D$2=Do!B1614,Do!G1614,""),"")</f>
        <v/>
      </c>
      <c r="C1616">
        <f t="shared" si="75"/>
        <v>0</v>
      </c>
      <c r="D1616">
        <f>SUM($C$3:C1616)</f>
        <v>4</v>
      </c>
      <c r="E1616" t="e">
        <f t="shared" si="76"/>
        <v>#N/A</v>
      </c>
      <c r="F1616" s="28" t="str">
        <f t="shared" ca="1" si="77"/>
        <v/>
      </c>
    </row>
    <row r="1617" spans="2:6" x14ac:dyDescent="0.2">
      <c r="B1617" t="str">
        <f>IFERROR(IF('PDCA review'!$D$2=Do!B1615,Do!G1615,""),"")</f>
        <v/>
      </c>
      <c r="C1617">
        <f t="shared" si="75"/>
        <v>0</v>
      </c>
      <c r="D1617">
        <f>SUM($C$3:C1617)</f>
        <v>4</v>
      </c>
      <c r="E1617" t="e">
        <f t="shared" si="76"/>
        <v>#N/A</v>
      </c>
      <c r="F1617" s="28" t="str">
        <f t="shared" ca="1" si="77"/>
        <v/>
      </c>
    </row>
    <row r="1618" spans="2:6" x14ac:dyDescent="0.2">
      <c r="B1618" t="str">
        <f>IFERROR(IF('PDCA review'!$D$2=Do!B1616,Do!G1616,""),"")</f>
        <v/>
      </c>
      <c r="C1618">
        <f t="shared" si="75"/>
        <v>0</v>
      </c>
      <c r="D1618">
        <f>SUM($C$3:C1618)</f>
        <v>4</v>
      </c>
      <c r="E1618" t="e">
        <f t="shared" si="76"/>
        <v>#N/A</v>
      </c>
      <c r="F1618" s="28" t="str">
        <f t="shared" ca="1" si="77"/>
        <v/>
      </c>
    </row>
    <row r="1619" spans="2:6" x14ac:dyDescent="0.2">
      <c r="B1619" t="str">
        <f>IFERROR(IF('PDCA review'!$D$2=Do!B1617,Do!G1617,""),"")</f>
        <v/>
      </c>
      <c r="C1619">
        <f t="shared" si="75"/>
        <v>0</v>
      </c>
      <c r="D1619">
        <f>SUM($C$3:C1619)</f>
        <v>4</v>
      </c>
      <c r="E1619" t="e">
        <f t="shared" si="76"/>
        <v>#N/A</v>
      </c>
      <c r="F1619" s="28" t="str">
        <f t="shared" ca="1" si="77"/>
        <v/>
      </c>
    </row>
    <row r="1620" spans="2:6" x14ac:dyDescent="0.2">
      <c r="B1620" t="str">
        <f>IFERROR(IF('PDCA review'!$D$2=Do!B1618,Do!G1618,""),"")</f>
        <v/>
      </c>
      <c r="C1620">
        <f t="shared" si="75"/>
        <v>0</v>
      </c>
      <c r="D1620">
        <f>SUM($C$3:C1620)</f>
        <v>4</v>
      </c>
      <c r="E1620" t="e">
        <f t="shared" si="76"/>
        <v>#N/A</v>
      </c>
      <c r="F1620" s="28" t="str">
        <f t="shared" ca="1" si="77"/>
        <v/>
      </c>
    </row>
    <row r="1621" spans="2:6" x14ac:dyDescent="0.2">
      <c r="B1621" t="str">
        <f>IFERROR(IF('PDCA review'!$D$2=Do!B1619,Do!G1619,""),"")</f>
        <v/>
      </c>
      <c r="C1621">
        <f t="shared" si="75"/>
        <v>0</v>
      </c>
      <c r="D1621">
        <f>SUM($C$3:C1621)</f>
        <v>4</v>
      </c>
      <c r="E1621" t="e">
        <f t="shared" si="76"/>
        <v>#N/A</v>
      </c>
      <c r="F1621" s="28" t="str">
        <f t="shared" ca="1" si="77"/>
        <v/>
      </c>
    </row>
    <row r="1622" spans="2:6" x14ac:dyDescent="0.2">
      <c r="B1622" t="str">
        <f>IFERROR(IF('PDCA review'!$D$2=Do!B1620,Do!G1620,""),"")</f>
        <v/>
      </c>
      <c r="C1622">
        <f t="shared" si="75"/>
        <v>0</v>
      </c>
      <c r="D1622">
        <f>SUM($C$3:C1622)</f>
        <v>4</v>
      </c>
      <c r="E1622" t="e">
        <f t="shared" si="76"/>
        <v>#N/A</v>
      </c>
      <c r="F1622" s="28" t="str">
        <f t="shared" ca="1" si="77"/>
        <v/>
      </c>
    </row>
    <row r="1623" spans="2:6" x14ac:dyDescent="0.2">
      <c r="B1623" t="str">
        <f>IFERROR(IF('PDCA review'!$D$2=Do!B1621,Do!G1621,""),"")</f>
        <v/>
      </c>
      <c r="C1623">
        <f t="shared" si="75"/>
        <v>0</v>
      </c>
      <c r="D1623">
        <f>SUM($C$3:C1623)</f>
        <v>4</v>
      </c>
      <c r="E1623" t="e">
        <f t="shared" si="76"/>
        <v>#N/A</v>
      </c>
      <c r="F1623" s="28" t="str">
        <f t="shared" ca="1" si="77"/>
        <v/>
      </c>
    </row>
    <row r="1624" spans="2:6" x14ac:dyDescent="0.2">
      <c r="B1624" t="str">
        <f>IFERROR(IF('PDCA review'!$D$2=Do!B1622,Do!G1622,""),"")</f>
        <v/>
      </c>
      <c r="C1624">
        <f t="shared" si="75"/>
        <v>0</v>
      </c>
      <c r="D1624">
        <f>SUM($C$3:C1624)</f>
        <v>4</v>
      </c>
      <c r="E1624" t="e">
        <f t="shared" si="76"/>
        <v>#N/A</v>
      </c>
      <c r="F1624" s="28" t="str">
        <f t="shared" ca="1" si="77"/>
        <v/>
      </c>
    </row>
    <row r="1625" spans="2:6" x14ac:dyDescent="0.2">
      <c r="B1625" t="str">
        <f>IFERROR(IF('PDCA review'!$D$2=Do!B1623,Do!G1623,""),"")</f>
        <v/>
      </c>
      <c r="C1625">
        <f t="shared" si="75"/>
        <v>0</v>
      </c>
      <c r="D1625">
        <f>SUM($C$3:C1625)</f>
        <v>4</v>
      </c>
      <c r="E1625" t="e">
        <f t="shared" si="76"/>
        <v>#N/A</v>
      </c>
      <c r="F1625" s="28" t="str">
        <f t="shared" ca="1" si="77"/>
        <v/>
      </c>
    </row>
    <row r="1626" spans="2:6" x14ac:dyDescent="0.2">
      <c r="B1626" t="str">
        <f>IFERROR(IF('PDCA review'!$D$2=Do!B1624,Do!G1624,""),"")</f>
        <v/>
      </c>
      <c r="C1626">
        <f t="shared" si="75"/>
        <v>0</v>
      </c>
      <c r="D1626">
        <f>SUM($C$3:C1626)</f>
        <v>4</v>
      </c>
      <c r="E1626" t="e">
        <f t="shared" si="76"/>
        <v>#N/A</v>
      </c>
      <c r="F1626" s="28" t="str">
        <f t="shared" ca="1" si="77"/>
        <v/>
      </c>
    </row>
    <row r="1627" spans="2:6" x14ac:dyDescent="0.2">
      <c r="B1627" t="str">
        <f>IFERROR(IF('PDCA review'!$D$2=Do!B1625,Do!G1625,""),"")</f>
        <v/>
      </c>
      <c r="C1627">
        <f t="shared" si="75"/>
        <v>0</v>
      </c>
      <c r="D1627">
        <f>SUM($C$3:C1627)</f>
        <v>4</v>
      </c>
      <c r="E1627" t="e">
        <f t="shared" si="76"/>
        <v>#N/A</v>
      </c>
      <c r="F1627" s="28" t="str">
        <f t="shared" ca="1" si="77"/>
        <v/>
      </c>
    </row>
    <row r="1628" spans="2:6" x14ac:dyDescent="0.2">
      <c r="B1628" t="str">
        <f>IFERROR(IF('PDCA review'!$D$2=Do!B1626,Do!G1626,""),"")</f>
        <v/>
      </c>
      <c r="C1628">
        <f t="shared" si="75"/>
        <v>0</v>
      </c>
      <c r="D1628">
        <f>SUM($C$3:C1628)</f>
        <v>4</v>
      </c>
      <c r="E1628" t="e">
        <f t="shared" si="76"/>
        <v>#N/A</v>
      </c>
      <c r="F1628" s="28" t="str">
        <f t="shared" ca="1" si="77"/>
        <v/>
      </c>
    </row>
    <row r="1629" spans="2:6" x14ac:dyDescent="0.2">
      <c r="B1629" t="str">
        <f>IFERROR(IF('PDCA review'!$D$2=Do!B1627,Do!G1627,""),"")</f>
        <v/>
      </c>
      <c r="C1629">
        <f t="shared" si="75"/>
        <v>0</v>
      </c>
      <c r="D1629">
        <f>SUM($C$3:C1629)</f>
        <v>4</v>
      </c>
      <c r="E1629" t="e">
        <f t="shared" si="76"/>
        <v>#N/A</v>
      </c>
      <c r="F1629" s="28" t="str">
        <f t="shared" ca="1" si="77"/>
        <v/>
      </c>
    </row>
    <row r="1630" spans="2:6" x14ac:dyDescent="0.2">
      <c r="B1630" t="str">
        <f>IFERROR(IF('PDCA review'!$D$2=Do!B1628,Do!G1628,""),"")</f>
        <v/>
      </c>
      <c r="C1630">
        <f t="shared" si="75"/>
        <v>0</v>
      </c>
      <c r="D1630">
        <f>SUM($C$3:C1630)</f>
        <v>4</v>
      </c>
      <c r="E1630" t="e">
        <f t="shared" si="76"/>
        <v>#N/A</v>
      </c>
      <c r="F1630" s="28" t="str">
        <f t="shared" ca="1" si="77"/>
        <v/>
      </c>
    </row>
    <row r="1631" spans="2:6" x14ac:dyDescent="0.2">
      <c r="B1631" t="str">
        <f>IFERROR(IF('PDCA review'!$D$2=Do!B1629,Do!G1629,""),"")</f>
        <v/>
      </c>
      <c r="C1631">
        <f t="shared" si="75"/>
        <v>0</v>
      </c>
      <c r="D1631">
        <f>SUM($C$3:C1631)</f>
        <v>4</v>
      </c>
      <c r="E1631" t="e">
        <f t="shared" si="76"/>
        <v>#N/A</v>
      </c>
      <c r="F1631" s="28" t="str">
        <f t="shared" ca="1" si="77"/>
        <v/>
      </c>
    </row>
    <row r="1632" spans="2:6" x14ac:dyDescent="0.2">
      <c r="B1632" t="str">
        <f>IFERROR(IF('PDCA review'!$D$2=Do!B1630,Do!G1630,""),"")</f>
        <v/>
      </c>
      <c r="C1632">
        <f t="shared" si="75"/>
        <v>0</v>
      </c>
      <c r="D1632">
        <f>SUM($C$3:C1632)</f>
        <v>4</v>
      </c>
      <c r="E1632" t="e">
        <f t="shared" si="76"/>
        <v>#N/A</v>
      </c>
      <c r="F1632" s="28" t="str">
        <f t="shared" ca="1" si="77"/>
        <v/>
      </c>
    </row>
    <row r="1633" spans="2:6" x14ac:dyDescent="0.2">
      <c r="B1633" t="str">
        <f>IFERROR(IF('PDCA review'!$D$2=Do!B1631,Do!G1631,""),"")</f>
        <v/>
      </c>
      <c r="C1633">
        <f t="shared" si="75"/>
        <v>0</v>
      </c>
      <c r="D1633">
        <f>SUM($C$3:C1633)</f>
        <v>4</v>
      </c>
      <c r="E1633" t="e">
        <f t="shared" si="76"/>
        <v>#N/A</v>
      </c>
      <c r="F1633" s="28" t="str">
        <f t="shared" ca="1" si="77"/>
        <v/>
      </c>
    </row>
    <row r="1634" spans="2:6" x14ac:dyDescent="0.2">
      <c r="B1634" t="str">
        <f>IFERROR(IF('PDCA review'!$D$2=Do!B1632,Do!G1632,""),"")</f>
        <v/>
      </c>
      <c r="C1634">
        <f t="shared" si="75"/>
        <v>0</v>
      </c>
      <c r="D1634">
        <f>SUM($C$3:C1634)</f>
        <v>4</v>
      </c>
      <c r="E1634" t="e">
        <f t="shared" si="76"/>
        <v>#N/A</v>
      </c>
      <c r="F1634" s="28" t="str">
        <f t="shared" ca="1" si="77"/>
        <v/>
      </c>
    </row>
    <row r="1635" spans="2:6" x14ac:dyDescent="0.2">
      <c r="B1635" t="str">
        <f>IFERROR(IF('PDCA review'!$D$2=Do!B1633,Do!G1633,""),"")</f>
        <v/>
      </c>
      <c r="C1635">
        <f t="shared" si="75"/>
        <v>0</v>
      </c>
      <c r="D1635">
        <f>SUM($C$3:C1635)</f>
        <v>4</v>
      </c>
      <c r="E1635" t="e">
        <f t="shared" si="76"/>
        <v>#N/A</v>
      </c>
      <c r="F1635" s="28" t="str">
        <f t="shared" ca="1" si="77"/>
        <v/>
      </c>
    </row>
    <row r="1636" spans="2:6" x14ac:dyDescent="0.2">
      <c r="B1636" t="str">
        <f>IFERROR(IF('PDCA review'!$D$2=Do!B1634,Do!G1634,""),"")</f>
        <v/>
      </c>
      <c r="C1636">
        <f t="shared" si="75"/>
        <v>0</v>
      </c>
      <c r="D1636">
        <f>SUM($C$3:C1636)</f>
        <v>4</v>
      </c>
      <c r="E1636" t="e">
        <f t="shared" si="76"/>
        <v>#N/A</v>
      </c>
      <c r="F1636" s="28" t="str">
        <f t="shared" ca="1" si="77"/>
        <v/>
      </c>
    </row>
    <row r="1637" spans="2:6" x14ac:dyDescent="0.2">
      <c r="B1637" t="str">
        <f>IFERROR(IF('PDCA review'!$D$2=Do!B1635,Do!G1635,""),"")</f>
        <v/>
      </c>
      <c r="C1637">
        <f t="shared" si="75"/>
        <v>0</v>
      </c>
      <c r="D1637">
        <f>SUM($C$3:C1637)</f>
        <v>4</v>
      </c>
      <c r="E1637" t="e">
        <f t="shared" si="76"/>
        <v>#N/A</v>
      </c>
      <c r="F1637" s="28" t="str">
        <f t="shared" ca="1" si="77"/>
        <v/>
      </c>
    </row>
    <row r="1638" spans="2:6" x14ac:dyDescent="0.2">
      <c r="B1638" t="str">
        <f>IFERROR(IF('PDCA review'!$D$2=Do!B1636,Do!G1636,""),"")</f>
        <v/>
      </c>
      <c r="C1638">
        <f t="shared" si="75"/>
        <v>0</v>
      </c>
      <c r="D1638">
        <f>SUM($C$3:C1638)</f>
        <v>4</v>
      </c>
      <c r="E1638" t="e">
        <f t="shared" si="76"/>
        <v>#N/A</v>
      </c>
      <c r="F1638" s="28" t="str">
        <f t="shared" ca="1" si="77"/>
        <v/>
      </c>
    </row>
    <row r="1639" spans="2:6" x14ac:dyDescent="0.2">
      <c r="B1639" t="str">
        <f>IFERROR(IF('PDCA review'!$D$2=Do!B1637,Do!G1637,""),"")</f>
        <v/>
      </c>
      <c r="C1639">
        <f t="shared" si="75"/>
        <v>0</v>
      </c>
      <c r="D1639">
        <f>SUM($C$3:C1639)</f>
        <v>4</v>
      </c>
      <c r="E1639" t="e">
        <f t="shared" si="76"/>
        <v>#N/A</v>
      </c>
      <c r="F1639" s="28" t="str">
        <f t="shared" ca="1" si="77"/>
        <v/>
      </c>
    </row>
    <row r="1640" spans="2:6" x14ac:dyDescent="0.2">
      <c r="B1640" t="str">
        <f>IFERROR(IF('PDCA review'!$D$2=Do!B1638,Do!G1638,""),"")</f>
        <v/>
      </c>
      <c r="C1640">
        <f t="shared" si="75"/>
        <v>0</v>
      </c>
      <c r="D1640">
        <f>SUM($C$3:C1640)</f>
        <v>4</v>
      </c>
      <c r="E1640" t="e">
        <f t="shared" si="76"/>
        <v>#N/A</v>
      </c>
      <c r="F1640" s="28" t="str">
        <f t="shared" ca="1" si="77"/>
        <v/>
      </c>
    </row>
    <row r="1641" spans="2:6" x14ac:dyDescent="0.2">
      <c r="B1641" t="str">
        <f>IFERROR(IF('PDCA review'!$D$2=Do!B1639,Do!G1639,""),"")</f>
        <v/>
      </c>
      <c r="C1641">
        <f t="shared" si="75"/>
        <v>0</v>
      </c>
      <c r="D1641">
        <f>SUM($C$3:C1641)</f>
        <v>4</v>
      </c>
      <c r="E1641" t="e">
        <f t="shared" si="76"/>
        <v>#N/A</v>
      </c>
      <c r="F1641" s="28" t="str">
        <f t="shared" ca="1" si="77"/>
        <v/>
      </c>
    </row>
    <row r="1642" spans="2:6" x14ac:dyDescent="0.2">
      <c r="B1642" t="str">
        <f>IFERROR(IF('PDCA review'!$D$2=Do!B1640,Do!G1640,""),"")</f>
        <v/>
      </c>
      <c r="C1642">
        <f t="shared" si="75"/>
        <v>0</v>
      </c>
      <c r="D1642">
        <f>SUM($C$3:C1642)</f>
        <v>4</v>
      </c>
      <c r="E1642" t="e">
        <f t="shared" si="76"/>
        <v>#N/A</v>
      </c>
      <c r="F1642" s="28" t="str">
        <f t="shared" ca="1" si="77"/>
        <v/>
      </c>
    </row>
    <row r="1643" spans="2:6" x14ac:dyDescent="0.2">
      <c r="B1643" t="str">
        <f>IFERROR(IF('PDCA review'!$D$2=Do!B1641,Do!G1641,""),"")</f>
        <v/>
      </c>
      <c r="C1643">
        <f t="shared" si="75"/>
        <v>0</v>
      </c>
      <c r="D1643">
        <f>SUM($C$3:C1643)</f>
        <v>4</v>
      </c>
      <c r="E1643" t="e">
        <f t="shared" si="76"/>
        <v>#N/A</v>
      </c>
      <c r="F1643" s="28" t="str">
        <f t="shared" ca="1" si="77"/>
        <v/>
      </c>
    </row>
    <row r="1644" spans="2:6" x14ac:dyDescent="0.2">
      <c r="B1644" t="str">
        <f>IFERROR(IF('PDCA review'!$D$2=Do!B1642,Do!G1642,""),"")</f>
        <v/>
      </c>
      <c r="C1644">
        <f t="shared" si="75"/>
        <v>0</v>
      </c>
      <c r="D1644">
        <f>SUM($C$3:C1644)</f>
        <v>4</v>
      </c>
      <c r="E1644" t="e">
        <f t="shared" si="76"/>
        <v>#N/A</v>
      </c>
      <c r="F1644" s="28" t="str">
        <f t="shared" ca="1" si="77"/>
        <v/>
      </c>
    </row>
    <row r="1645" spans="2:6" x14ac:dyDescent="0.2">
      <c r="B1645" t="str">
        <f>IFERROR(IF('PDCA review'!$D$2=Do!B1643,Do!G1643,""),"")</f>
        <v/>
      </c>
      <c r="C1645">
        <f t="shared" si="75"/>
        <v>0</v>
      </c>
      <c r="D1645">
        <f>SUM($C$3:C1645)</f>
        <v>4</v>
      </c>
      <c r="E1645" t="e">
        <f t="shared" si="76"/>
        <v>#N/A</v>
      </c>
      <c r="F1645" s="28" t="str">
        <f t="shared" ca="1" si="77"/>
        <v/>
      </c>
    </row>
    <row r="1646" spans="2:6" x14ac:dyDescent="0.2">
      <c r="B1646" t="str">
        <f>IFERROR(IF('PDCA review'!$D$2=Do!B1644,Do!G1644,""),"")</f>
        <v/>
      </c>
      <c r="C1646">
        <f t="shared" si="75"/>
        <v>0</v>
      </c>
      <c r="D1646">
        <f>SUM($C$3:C1646)</f>
        <v>4</v>
      </c>
      <c r="E1646" t="e">
        <f t="shared" si="76"/>
        <v>#N/A</v>
      </c>
      <c r="F1646" s="28" t="str">
        <f t="shared" ca="1" si="77"/>
        <v/>
      </c>
    </row>
    <row r="1647" spans="2:6" x14ac:dyDescent="0.2">
      <c r="B1647" t="str">
        <f>IFERROR(IF('PDCA review'!$D$2=Do!B1645,Do!G1645,""),"")</f>
        <v/>
      </c>
      <c r="C1647">
        <f t="shared" si="75"/>
        <v>0</v>
      </c>
      <c r="D1647">
        <f>SUM($C$3:C1647)</f>
        <v>4</v>
      </c>
      <c r="E1647" t="e">
        <f t="shared" si="76"/>
        <v>#N/A</v>
      </c>
      <c r="F1647" s="28" t="str">
        <f t="shared" ca="1" si="77"/>
        <v/>
      </c>
    </row>
    <row r="1648" spans="2:6" x14ac:dyDescent="0.2">
      <c r="B1648" t="str">
        <f>IFERROR(IF('PDCA review'!$D$2=Do!B1646,Do!G1646,""),"")</f>
        <v/>
      </c>
      <c r="C1648">
        <f t="shared" si="75"/>
        <v>0</v>
      </c>
      <c r="D1648">
        <f>SUM($C$3:C1648)</f>
        <v>4</v>
      </c>
      <c r="E1648" t="e">
        <f t="shared" si="76"/>
        <v>#N/A</v>
      </c>
      <c r="F1648" s="28" t="str">
        <f t="shared" ca="1" si="77"/>
        <v/>
      </c>
    </row>
    <row r="1649" spans="2:6" x14ac:dyDescent="0.2">
      <c r="B1649" t="str">
        <f>IFERROR(IF('PDCA review'!$D$2=Do!B1647,Do!G1647,""),"")</f>
        <v/>
      </c>
      <c r="C1649">
        <f t="shared" si="75"/>
        <v>0</v>
      </c>
      <c r="D1649">
        <f>SUM($C$3:C1649)</f>
        <v>4</v>
      </c>
      <c r="E1649" t="e">
        <f t="shared" si="76"/>
        <v>#N/A</v>
      </c>
      <c r="F1649" s="28" t="str">
        <f t="shared" ca="1" si="77"/>
        <v/>
      </c>
    </row>
    <row r="1650" spans="2:6" x14ac:dyDescent="0.2">
      <c r="B1650" t="str">
        <f>IFERROR(IF('PDCA review'!$D$2=Do!B1648,Do!G1648,""),"")</f>
        <v/>
      </c>
      <c r="C1650">
        <f t="shared" si="75"/>
        <v>0</v>
      </c>
      <c r="D1650">
        <f>SUM($C$3:C1650)</f>
        <v>4</v>
      </c>
      <c r="E1650" t="e">
        <f t="shared" si="76"/>
        <v>#N/A</v>
      </c>
      <c r="F1650" s="28" t="str">
        <f t="shared" ca="1" si="77"/>
        <v/>
      </c>
    </row>
    <row r="1651" spans="2:6" x14ac:dyDescent="0.2">
      <c r="B1651" t="str">
        <f>IFERROR(IF('PDCA review'!$D$2=Do!B1649,Do!G1649,""),"")</f>
        <v/>
      </c>
      <c r="C1651">
        <f t="shared" si="75"/>
        <v>0</v>
      </c>
      <c r="D1651">
        <f>SUM($C$3:C1651)</f>
        <v>4</v>
      </c>
      <c r="E1651" t="e">
        <f t="shared" si="76"/>
        <v>#N/A</v>
      </c>
      <c r="F1651" s="28" t="str">
        <f t="shared" ca="1" si="77"/>
        <v/>
      </c>
    </row>
    <row r="1652" spans="2:6" x14ac:dyDescent="0.2">
      <c r="B1652" t="str">
        <f>IFERROR(IF('PDCA review'!$D$2=Do!B1650,Do!G1650,""),"")</f>
        <v/>
      </c>
      <c r="C1652">
        <f t="shared" si="75"/>
        <v>0</v>
      </c>
      <c r="D1652">
        <f>SUM($C$3:C1652)</f>
        <v>4</v>
      </c>
      <c r="E1652" t="e">
        <f t="shared" si="76"/>
        <v>#N/A</v>
      </c>
      <c r="F1652" s="28" t="str">
        <f t="shared" ca="1" si="77"/>
        <v/>
      </c>
    </row>
    <row r="1653" spans="2:6" x14ac:dyDescent="0.2">
      <c r="B1653" t="str">
        <f>IFERROR(IF('PDCA review'!$D$2=Do!B1651,Do!G1651,""),"")</f>
        <v/>
      </c>
      <c r="C1653">
        <f t="shared" si="75"/>
        <v>0</v>
      </c>
      <c r="D1653">
        <f>SUM($C$3:C1653)</f>
        <v>4</v>
      </c>
      <c r="E1653" t="e">
        <f t="shared" si="76"/>
        <v>#N/A</v>
      </c>
      <c r="F1653" s="28" t="str">
        <f t="shared" ca="1" si="77"/>
        <v/>
      </c>
    </row>
    <row r="1654" spans="2:6" x14ac:dyDescent="0.2">
      <c r="B1654" t="str">
        <f>IFERROR(IF('PDCA review'!$D$2=Do!B1652,Do!G1652,""),"")</f>
        <v/>
      </c>
      <c r="C1654">
        <f t="shared" si="75"/>
        <v>0</v>
      </c>
      <c r="D1654">
        <f>SUM($C$3:C1654)</f>
        <v>4</v>
      </c>
      <c r="E1654" t="e">
        <f t="shared" si="76"/>
        <v>#N/A</v>
      </c>
      <c r="F1654" s="28" t="str">
        <f t="shared" ca="1" si="77"/>
        <v/>
      </c>
    </row>
    <row r="1655" spans="2:6" x14ac:dyDescent="0.2">
      <c r="B1655" t="str">
        <f>IFERROR(IF('PDCA review'!$D$2=Do!B1653,Do!G1653,""),"")</f>
        <v/>
      </c>
      <c r="C1655">
        <f t="shared" si="75"/>
        <v>0</v>
      </c>
      <c r="D1655">
        <f>SUM($C$3:C1655)</f>
        <v>4</v>
      </c>
      <c r="E1655" t="e">
        <f t="shared" si="76"/>
        <v>#N/A</v>
      </c>
      <c r="F1655" s="28" t="str">
        <f t="shared" ca="1" si="77"/>
        <v/>
      </c>
    </row>
    <row r="1656" spans="2:6" x14ac:dyDescent="0.2">
      <c r="B1656" t="str">
        <f>IFERROR(IF('PDCA review'!$D$2=Do!B1654,Do!G1654,""),"")</f>
        <v/>
      </c>
      <c r="C1656">
        <f t="shared" si="75"/>
        <v>0</v>
      </c>
      <c r="D1656">
        <f>SUM($C$3:C1656)</f>
        <v>4</v>
      </c>
      <c r="E1656" t="e">
        <f t="shared" si="76"/>
        <v>#N/A</v>
      </c>
      <c r="F1656" s="28" t="str">
        <f t="shared" ca="1" si="77"/>
        <v/>
      </c>
    </row>
    <row r="1657" spans="2:6" x14ac:dyDescent="0.2">
      <c r="B1657" t="str">
        <f>IFERROR(IF('PDCA review'!$D$2=Do!B1655,Do!G1655,""),"")</f>
        <v/>
      </c>
      <c r="C1657">
        <f t="shared" si="75"/>
        <v>0</v>
      </c>
      <c r="D1657">
        <f>SUM($C$3:C1657)</f>
        <v>4</v>
      </c>
      <c r="E1657" t="e">
        <f t="shared" si="76"/>
        <v>#N/A</v>
      </c>
      <c r="F1657" s="28" t="str">
        <f t="shared" ca="1" si="77"/>
        <v/>
      </c>
    </row>
    <row r="1658" spans="2:6" x14ac:dyDescent="0.2">
      <c r="B1658" t="str">
        <f>IFERROR(IF('PDCA review'!$D$2=Do!B1656,Do!G1656,""),"")</f>
        <v/>
      </c>
      <c r="C1658">
        <f t="shared" si="75"/>
        <v>0</v>
      </c>
      <c r="D1658">
        <f>SUM($C$3:C1658)</f>
        <v>4</v>
      </c>
      <c r="E1658" t="e">
        <f t="shared" si="76"/>
        <v>#N/A</v>
      </c>
      <c r="F1658" s="28" t="str">
        <f t="shared" ca="1" si="77"/>
        <v/>
      </c>
    </row>
    <row r="1659" spans="2:6" x14ac:dyDescent="0.2">
      <c r="B1659" t="str">
        <f>IFERROR(IF('PDCA review'!$D$2=Do!B1657,Do!G1657,""),"")</f>
        <v/>
      </c>
      <c r="C1659">
        <f t="shared" si="75"/>
        <v>0</v>
      </c>
      <c r="D1659">
        <f>SUM($C$3:C1659)</f>
        <v>4</v>
      </c>
      <c r="E1659" t="e">
        <f t="shared" si="76"/>
        <v>#N/A</v>
      </c>
      <c r="F1659" s="28" t="str">
        <f t="shared" ca="1" si="77"/>
        <v/>
      </c>
    </row>
    <row r="1660" spans="2:6" x14ac:dyDescent="0.2">
      <c r="B1660" t="str">
        <f>IFERROR(IF('PDCA review'!$D$2=Do!B1658,Do!G1658,""),"")</f>
        <v/>
      </c>
      <c r="C1660">
        <f t="shared" si="75"/>
        <v>0</v>
      </c>
      <c r="D1660">
        <f>SUM($C$3:C1660)</f>
        <v>4</v>
      </c>
      <c r="E1660" t="e">
        <f t="shared" si="76"/>
        <v>#N/A</v>
      </c>
      <c r="F1660" s="28" t="str">
        <f t="shared" ca="1" si="77"/>
        <v/>
      </c>
    </row>
    <row r="1661" spans="2:6" x14ac:dyDescent="0.2">
      <c r="B1661" t="str">
        <f>IFERROR(IF('PDCA review'!$D$2=Do!B1659,Do!G1659,""),"")</f>
        <v/>
      </c>
      <c r="C1661">
        <f t="shared" si="75"/>
        <v>0</v>
      </c>
      <c r="D1661">
        <f>SUM($C$3:C1661)</f>
        <v>4</v>
      </c>
      <c r="E1661" t="e">
        <f t="shared" si="76"/>
        <v>#N/A</v>
      </c>
      <c r="F1661" s="28" t="str">
        <f t="shared" ca="1" si="77"/>
        <v/>
      </c>
    </row>
    <row r="1662" spans="2:6" x14ac:dyDescent="0.2">
      <c r="B1662" t="str">
        <f>IFERROR(IF('PDCA review'!$D$2=Do!B1660,Do!G1660,""),"")</f>
        <v/>
      </c>
      <c r="C1662">
        <f t="shared" si="75"/>
        <v>0</v>
      </c>
      <c r="D1662">
        <f>SUM($C$3:C1662)</f>
        <v>4</v>
      </c>
      <c r="E1662" t="e">
        <f t="shared" si="76"/>
        <v>#N/A</v>
      </c>
      <c r="F1662" s="28" t="str">
        <f t="shared" ca="1" si="77"/>
        <v/>
      </c>
    </row>
    <row r="1663" spans="2:6" x14ac:dyDescent="0.2">
      <c r="B1663" t="str">
        <f>IFERROR(IF('PDCA review'!$D$2=Do!B1661,Do!G1661,""),"")</f>
        <v/>
      </c>
      <c r="C1663">
        <f t="shared" si="75"/>
        <v>0</v>
      </c>
      <c r="D1663">
        <f>SUM($C$3:C1663)</f>
        <v>4</v>
      </c>
      <c r="E1663" t="e">
        <f t="shared" si="76"/>
        <v>#N/A</v>
      </c>
      <c r="F1663" s="28" t="str">
        <f t="shared" ca="1" si="77"/>
        <v/>
      </c>
    </row>
    <row r="1664" spans="2:6" x14ac:dyDescent="0.2">
      <c r="B1664" t="str">
        <f>IFERROR(IF('PDCA review'!$D$2=Do!B1662,Do!G1662,""),"")</f>
        <v/>
      </c>
      <c r="C1664">
        <f t="shared" si="75"/>
        <v>0</v>
      </c>
      <c r="D1664">
        <f>SUM($C$3:C1664)</f>
        <v>4</v>
      </c>
      <c r="E1664" t="e">
        <f t="shared" si="76"/>
        <v>#N/A</v>
      </c>
      <c r="F1664" s="28" t="str">
        <f t="shared" ca="1" si="77"/>
        <v/>
      </c>
    </row>
    <row r="1665" spans="2:6" x14ac:dyDescent="0.2">
      <c r="B1665" t="str">
        <f>IFERROR(IF('PDCA review'!$D$2=Do!B1663,Do!G1663,""),"")</f>
        <v/>
      </c>
      <c r="C1665">
        <f t="shared" si="75"/>
        <v>0</v>
      </c>
      <c r="D1665">
        <f>SUM($C$3:C1665)</f>
        <v>4</v>
      </c>
      <c r="E1665" t="e">
        <f t="shared" si="76"/>
        <v>#N/A</v>
      </c>
      <c r="F1665" s="28" t="str">
        <f t="shared" ca="1" si="77"/>
        <v/>
      </c>
    </row>
    <row r="1666" spans="2:6" x14ac:dyDescent="0.2">
      <c r="B1666" t="str">
        <f>IFERROR(IF('PDCA review'!$D$2=Do!B1664,Do!G1664,""),"")</f>
        <v/>
      </c>
      <c r="C1666">
        <f t="shared" si="75"/>
        <v>0</v>
      </c>
      <c r="D1666">
        <f>SUM($C$3:C1666)</f>
        <v>4</v>
      </c>
      <c r="E1666" t="e">
        <f t="shared" si="76"/>
        <v>#N/A</v>
      </c>
      <c r="F1666" s="28" t="str">
        <f t="shared" ca="1" si="77"/>
        <v/>
      </c>
    </row>
    <row r="1667" spans="2:6" x14ac:dyDescent="0.2">
      <c r="B1667" t="str">
        <f>IFERROR(IF('PDCA review'!$D$2=Do!B1665,Do!G1665,""),"")</f>
        <v/>
      </c>
      <c r="C1667">
        <f t="shared" si="75"/>
        <v>0</v>
      </c>
      <c r="D1667">
        <f>SUM($C$3:C1667)</f>
        <v>4</v>
      </c>
      <c r="E1667" t="e">
        <f t="shared" si="76"/>
        <v>#N/A</v>
      </c>
      <c r="F1667" s="28" t="str">
        <f t="shared" ca="1" si="77"/>
        <v/>
      </c>
    </row>
    <row r="1668" spans="2:6" x14ac:dyDescent="0.2">
      <c r="B1668" t="str">
        <f>IFERROR(IF('PDCA review'!$D$2=Do!B1666,Do!G1666,""),"")</f>
        <v/>
      </c>
      <c r="C1668">
        <f t="shared" ref="C1668:C1731" si="78">IF(B1668&lt;&gt;"",1,0)</f>
        <v>0</v>
      </c>
      <c r="D1668">
        <f>SUM($C$3:C1668)</f>
        <v>4</v>
      </c>
      <c r="E1668" t="e">
        <f t="shared" ref="E1668:E1731" si="79">MATCH(ROW()-$D$2,$D$3:$D$2000,0)+$D$2</f>
        <v>#N/A</v>
      </c>
      <c r="F1668" s="28" t="str">
        <f t="shared" ref="F1668:F1731" ca="1" si="80">IFERROR(INDIRECT("B"&amp;E1668),"")</f>
        <v/>
      </c>
    </row>
    <row r="1669" spans="2:6" x14ac:dyDescent="0.2">
      <c r="B1669" t="str">
        <f>IFERROR(IF('PDCA review'!$D$2=Do!B1667,Do!G1667,""),"")</f>
        <v/>
      </c>
      <c r="C1669">
        <f t="shared" si="78"/>
        <v>0</v>
      </c>
      <c r="D1669">
        <f>SUM($C$3:C1669)</f>
        <v>4</v>
      </c>
      <c r="E1669" t="e">
        <f t="shared" si="79"/>
        <v>#N/A</v>
      </c>
      <c r="F1669" s="28" t="str">
        <f t="shared" ca="1" si="80"/>
        <v/>
      </c>
    </row>
    <row r="1670" spans="2:6" x14ac:dyDescent="0.2">
      <c r="B1670" t="str">
        <f>IFERROR(IF('PDCA review'!$D$2=Do!B1668,Do!G1668,""),"")</f>
        <v/>
      </c>
      <c r="C1670">
        <f t="shared" si="78"/>
        <v>0</v>
      </c>
      <c r="D1670">
        <f>SUM($C$3:C1670)</f>
        <v>4</v>
      </c>
      <c r="E1670" t="e">
        <f t="shared" si="79"/>
        <v>#N/A</v>
      </c>
      <c r="F1670" s="28" t="str">
        <f t="shared" ca="1" si="80"/>
        <v/>
      </c>
    </row>
    <row r="1671" spans="2:6" x14ac:dyDescent="0.2">
      <c r="B1671" t="str">
        <f>IFERROR(IF('PDCA review'!$D$2=Do!B1669,Do!G1669,""),"")</f>
        <v/>
      </c>
      <c r="C1671">
        <f t="shared" si="78"/>
        <v>0</v>
      </c>
      <c r="D1671">
        <f>SUM($C$3:C1671)</f>
        <v>4</v>
      </c>
      <c r="E1671" t="e">
        <f t="shared" si="79"/>
        <v>#N/A</v>
      </c>
      <c r="F1671" s="28" t="str">
        <f t="shared" ca="1" si="80"/>
        <v/>
      </c>
    </row>
    <row r="1672" spans="2:6" x14ac:dyDescent="0.2">
      <c r="B1672" t="str">
        <f>IFERROR(IF('PDCA review'!$D$2=Do!B1670,Do!G1670,""),"")</f>
        <v/>
      </c>
      <c r="C1672">
        <f t="shared" si="78"/>
        <v>0</v>
      </c>
      <c r="D1672">
        <f>SUM($C$3:C1672)</f>
        <v>4</v>
      </c>
      <c r="E1672" t="e">
        <f t="shared" si="79"/>
        <v>#N/A</v>
      </c>
      <c r="F1672" s="28" t="str">
        <f t="shared" ca="1" si="80"/>
        <v/>
      </c>
    </row>
    <row r="1673" spans="2:6" x14ac:dyDescent="0.2">
      <c r="B1673" t="str">
        <f>IFERROR(IF('PDCA review'!$D$2=Do!B1671,Do!G1671,""),"")</f>
        <v/>
      </c>
      <c r="C1673">
        <f t="shared" si="78"/>
        <v>0</v>
      </c>
      <c r="D1673">
        <f>SUM($C$3:C1673)</f>
        <v>4</v>
      </c>
      <c r="E1673" t="e">
        <f t="shared" si="79"/>
        <v>#N/A</v>
      </c>
      <c r="F1673" s="28" t="str">
        <f t="shared" ca="1" si="80"/>
        <v/>
      </c>
    </row>
    <row r="1674" spans="2:6" x14ac:dyDescent="0.2">
      <c r="B1674" t="str">
        <f>IFERROR(IF('PDCA review'!$D$2=Do!B1672,Do!G1672,""),"")</f>
        <v/>
      </c>
      <c r="C1674">
        <f t="shared" si="78"/>
        <v>0</v>
      </c>
      <c r="D1674">
        <f>SUM($C$3:C1674)</f>
        <v>4</v>
      </c>
      <c r="E1674" t="e">
        <f t="shared" si="79"/>
        <v>#N/A</v>
      </c>
      <c r="F1674" s="28" t="str">
        <f t="shared" ca="1" si="80"/>
        <v/>
      </c>
    </row>
    <row r="1675" spans="2:6" x14ac:dyDescent="0.2">
      <c r="B1675" t="str">
        <f>IFERROR(IF('PDCA review'!$D$2=Do!B1673,Do!G1673,""),"")</f>
        <v/>
      </c>
      <c r="C1675">
        <f t="shared" si="78"/>
        <v>0</v>
      </c>
      <c r="D1675">
        <f>SUM($C$3:C1675)</f>
        <v>4</v>
      </c>
      <c r="E1675" t="e">
        <f t="shared" si="79"/>
        <v>#N/A</v>
      </c>
      <c r="F1675" s="28" t="str">
        <f t="shared" ca="1" si="80"/>
        <v/>
      </c>
    </row>
    <row r="1676" spans="2:6" x14ac:dyDescent="0.2">
      <c r="B1676" t="str">
        <f>IFERROR(IF('PDCA review'!$D$2=Do!B1674,Do!G1674,""),"")</f>
        <v/>
      </c>
      <c r="C1676">
        <f t="shared" si="78"/>
        <v>0</v>
      </c>
      <c r="D1676">
        <f>SUM($C$3:C1676)</f>
        <v>4</v>
      </c>
      <c r="E1676" t="e">
        <f t="shared" si="79"/>
        <v>#N/A</v>
      </c>
      <c r="F1676" s="28" t="str">
        <f t="shared" ca="1" si="80"/>
        <v/>
      </c>
    </row>
    <row r="1677" spans="2:6" x14ac:dyDescent="0.2">
      <c r="B1677" t="str">
        <f>IFERROR(IF('PDCA review'!$D$2=Do!B1675,Do!G1675,""),"")</f>
        <v/>
      </c>
      <c r="C1677">
        <f t="shared" si="78"/>
        <v>0</v>
      </c>
      <c r="D1677">
        <f>SUM($C$3:C1677)</f>
        <v>4</v>
      </c>
      <c r="E1677" t="e">
        <f t="shared" si="79"/>
        <v>#N/A</v>
      </c>
      <c r="F1677" s="28" t="str">
        <f t="shared" ca="1" si="80"/>
        <v/>
      </c>
    </row>
    <row r="1678" spans="2:6" x14ac:dyDescent="0.2">
      <c r="B1678" t="str">
        <f>IFERROR(IF('PDCA review'!$D$2=Do!B1676,Do!G1676,""),"")</f>
        <v/>
      </c>
      <c r="C1678">
        <f t="shared" si="78"/>
        <v>0</v>
      </c>
      <c r="D1678">
        <f>SUM($C$3:C1678)</f>
        <v>4</v>
      </c>
      <c r="E1678" t="e">
        <f t="shared" si="79"/>
        <v>#N/A</v>
      </c>
      <c r="F1678" s="28" t="str">
        <f t="shared" ca="1" si="80"/>
        <v/>
      </c>
    </row>
    <row r="1679" spans="2:6" x14ac:dyDescent="0.2">
      <c r="B1679" t="str">
        <f>IFERROR(IF('PDCA review'!$D$2=Do!B1677,Do!G1677,""),"")</f>
        <v/>
      </c>
      <c r="C1679">
        <f t="shared" si="78"/>
        <v>0</v>
      </c>
      <c r="D1679">
        <f>SUM($C$3:C1679)</f>
        <v>4</v>
      </c>
      <c r="E1679" t="e">
        <f t="shared" si="79"/>
        <v>#N/A</v>
      </c>
      <c r="F1679" s="28" t="str">
        <f t="shared" ca="1" si="80"/>
        <v/>
      </c>
    </row>
    <row r="1680" spans="2:6" x14ac:dyDescent="0.2">
      <c r="B1680" t="str">
        <f>IFERROR(IF('PDCA review'!$D$2=Do!B1678,Do!G1678,""),"")</f>
        <v/>
      </c>
      <c r="C1680">
        <f t="shared" si="78"/>
        <v>0</v>
      </c>
      <c r="D1680">
        <f>SUM($C$3:C1680)</f>
        <v>4</v>
      </c>
      <c r="E1680" t="e">
        <f t="shared" si="79"/>
        <v>#N/A</v>
      </c>
      <c r="F1680" s="28" t="str">
        <f t="shared" ca="1" si="80"/>
        <v/>
      </c>
    </row>
    <row r="1681" spans="2:6" x14ac:dyDescent="0.2">
      <c r="B1681" t="str">
        <f>IFERROR(IF('PDCA review'!$D$2=Do!B1679,Do!G1679,""),"")</f>
        <v/>
      </c>
      <c r="C1681">
        <f t="shared" si="78"/>
        <v>0</v>
      </c>
      <c r="D1681">
        <f>SUM($C$3:C1681)</f>
        <v>4</v>
      </c>
      <c r="E1681" t="e">
        <f t="shared" si="79"/>
        <v>#N/A</v>
      </c>
      <c r="F1681" s="28" t="str">
        <f t="shared" ca="1" si="80"/>
        <v/>
      </c>
    </row>
    <row r="1682" spans="2:6" x14ac:dyDescent="0.2">
      <c r="B1682" t="str">
        <f>IFERROR(IF('PDCA review'!$D$2=Do!B1680,Do!G1680,""),"")</f>
        <v/>
      </c>
      <c r="C1682">
        <f t="shared" si="78"/>
        <v>0</v>
      </c>
      <c r="D1682">
        <f>SUM($C$3:C1682)</f>
        <v>4</v>
      </c>
      <c r="E1682" t="e">
        <f t="shared" si="79"/>
        <v>#N/A</v>
      </c>
      <c r="F1682" s="28" t="str">
        <f t="shared" ca="1" si="80"/>
        <v/>
      </c>
    </row>
    <row r="1683" spans="2:6" x14ac:dyDescent="0.2">
      <c r="B1683" t="str">
        <f>IFERROR(IF('PDCA review'!$D$2=Do!B1681,Do!G1681,""),"")</f>
        <v/>
      </c>
      <c r="C1683">
        <f t="shared" si="78"/>
        <v>0</v>
      </c>
      <c r="D1683">
        <f>SUM($C$3:C1683)</f>
        <v>4</v>
      </c>
      <c r="E1683" t="e">
        <f t="shared" si="79"/>
        <v>#N/A</v>
      </c>
      <c r="F1683" s="28" t="str">
        <f t="shared" ca="1" si="80"/>
        <v/>
      </c>
    </row>
    <row r="1684" spans="2:6" x14ac:dyDescent="0.2">
      <c r="B1684" t="str">
        <f>IFERROR(IF('PDCA review'!$D$2=Do!B1682,Do!G1682,""),"")</f>
        <v/>
      </c>
      <c r="C1684">
        <f t="shared" si="78"/>
        <v>0</v>
      </c>
      <c r="D1684">
        <f>SUM($C$3:C1684)</f>
        <v>4</v>
      </c>
      <c r="E1684" t="e">
        <f t="shared" si="79"/>
        <v>#N/A</v>
      </c>
      <c r="F1684" s="28" t="str">
        <f t="shared" ca="1" si="80"/>
        <v/>
      </c>
    </row>
    <row r="1685" spans="2:6" x14ac:dyDescent="0.2">
      <c r="B1685" t="str">
        <f>IFERROR(IF('PDCA review'!$D$2=Do!B1683,Do!G1683,""),"")</f>
        <v/>
      </c>
      <c r="C1685">
        <f t="shared" si="78"/>
        <v>0</v>
      </c>
      <c r="D1685">
        <f>SUM($C$3:C1685)</f>
        <v>4</v>
      </c>
      <c r="E1685" t="e">
        <f t="shared" si="79"/>
        <v>#N/A</v>
      </c>
      <c r="F1685" s="28" t="str">
        <f t="shared" ca="1" si="80"/>
        <v/>
      </c>
    </row>
    <row r="1686" spans="2:6" x14ac:dyDescent="0.2">
      <c r="B1686" t="str">
        <f>IFERROR(IF('PDCA review'!$D$2=Do!B1684,Do!G1684,""),"")</f>
        <v/>
      </c>
      <c r="C1686">
        <f t="shared" si="78"/>
        <v>0</v>
      </c>
      <c r="D1686">
        <f>SUM($C$3:C1686)</f>
        <v>4</v>
      </c>
      <c r="E1686" t="e">
        <f t="shared" si="79"/>
        <v>#N/A</v>
      </c>
      <c r="F1686" s="28" t="str">
        <f t="shared" ca="1" si="80"/>
        <v/>
      </c>
    </row>
    <row r="1687" spans="2:6" x14ac:dyDescent="0.2">
      <c r="B1687" t="str">
        <f>IFERROR(IF('PDCA review'!$D$2=Do!B1685,Do!G1685,""),"")</f>
        <v/>
      </c>
      <c r="C1687">
        <f t="shared" si="78"/>
        <v>0</v>
      </c>
      <c r="D1687">
        <f>SUM($C$3:C1687)</f>
        <v>4</v>
      </c>
      <c r="E1687" t="e">
        <f t="shared" si="79"/>
        <v>#N/A</v>
      </c>
      <c r="F1687" s="28" t="str">
        <f t="shared" ca="1" si="80"/>
        <v/>
      </c>
    </row>
    <row r="1688" spans="2:6" x14ac:dyDescent="0.2">
      <c r="B1688" t="str">
        <f>IFERROR(IF('PDCA review'!$D$2=Do!B1686,Do!G1686,""),"")</f>
        <v/>
      </c>
      <c r="C1688">
        <f t="shared" si="78"/>
        <v>0</v>
      </c>
      <c r="D1688">
        <f>SUM($C$3:C1688)</f>
        <v>4</v>
      </c>
      <c r="E1688" t="e">
        <f t="shared" si="79"/>
        <v>#N/A</v>
      </c>
      <c r="F1688" s="28" t="str">
        <f t="shared" ca="1" si="80"/>
        <v/>
      </c>
    </row>
    <row r="1689" spans="2:6" x14ac:dyDescent="0.2">
      <c r="B1689" t="str">
        <f>IFERROR(IF('PDCA review'!$D$2=Do!B1687,Do!G1687,""),"")</f>
        <v/>
      </c>
      <c r="C1689">
        <f t="shared" si="78"/>
        <v>0</v>
      </c>
      <c r="D1689">
        <f>SUM($C$3:C1689)</f>
        <v>4</v>
      </c>
      <c r="E1689" t="e">
        <f t="shared" si="79"/>
        <v>#N/A</v>
      </c>
      <c r="F1689" s="28" t="str">
        <f t="shared" ca="1" si="80"/>
        <v/>
      </c>
    </row>
    <row r="1690" spans="2:6" x14ac:dyDescent="0.2">
      <c r="B1690" t="str">
        <f>IFERROR(IF('PDCA review'!$D$2=Do!B1688,Do!G1688,""),"")</f>
        <v/>
      </c>
      <c r="C1690">
        <f t="shared" si="78"/>
        <v>0</v>
      </c>
      <c r="D1690">
        <f>SUM($C$3:C1690)</f>
        <v>4</v>
      </c>
      <c r="E1690" t="e">
        <f t="shared" si="79"/>
        <v>#N/A</v>
      </c>
      <c r="F1690" s="28" t="str">
        <f t="shared" ca="1" si="80"/>
        <v/>
      </c>
    </row>
    <row r="1691" spans="2:6" x14ac:dyDescent="0.2">
      <c r="B1691" t="str">
        <f>IFERROR(IF('PDCA review'!$D$2=Do!B1689,Do!G1689,""),"")</f>
        <v/>
      </c>
      <c r="C1691">
        <f t="shared" si="78"/>
        <v>0</v>
      </c>
      <c r="D1691">
        <f>SUM($C$3:C1691)</f>
        <v>4</v>
      </c>
      <c r="E1691" t="e">
        <f t="shared" si="79"/>
        <v>#N/A</v>
      </c>
      <c r="F1691" s="28" t="str">
        <f t="shared" ca="1" si="80"/>
        <v/>
      </c>
    </row>
    <row r="1692" spans="2:6" x14ac:dyDescent="0.2">
      <c r="B1692" t="str">
        <f>IFERROR(IF('PDCA review'!$D$2=Do!B1690,Do!G1690,""),"")</f>
        <v/>
      </c>
      <c r="C1692">
        <f t="shared" si="78"/>
        <v>0</v>
      </c>
      <c r="D1692">
        <f>SUM($C$3:C1692)</f>
        <v>4</v>
      </c>
      <c r="E1692" t="e">
        <f t="shared" si="79"/>
        <v>#N/A</v>
      </c>
      <c r="F1692" s="28" t="str">
        <f t="shared" ca="1" si="80"/>
        <v/>
      </c>
    </row>
    <row r="1693" spans="2:6" x14ac:dyDescent="0.2">
      <c r="B1693" t="str">
        <f>IFERROR(IF('PDCA review'!$D$2=Do!B1691,Do!G1691,""),"")</f>
        <v/>
      </c>
      <c r="C1693">
        <f t="shared" si="78"/>
        <v>0</v>
      </c>
      <c r="D1693">
        <f>SUM($C$3:C1693)</f>
        <v>4</v>
      </c>
      <c r="E1693" t="e">
        <f t="shared" si="79"/>
        <v>#N/A</v>
      </c>
      <c r="F1693" s="28" t="str">
        <f t="shared" ca="1" si="80"/>
        <v/>
      </c>
    </row>
    <row r="1694" spans="2:6" x14ac:dyDescent="0.2">
      <c r="B1694" t="str">
        <f>IFERROR(IF('PDCA review'!$D$2=Do!B1692,Do!G1692,""),"")</f>
        <v/>
      </c>
      <c r="C1694">
        <f t="shared" si="78"/>
        <v>0</v>
      </c>
      <c r="D1694">
        <f>SUM($C$3:C1694)</f>
        <v>4</v>
      </c>
      <c r="E1694" t="e">
        <f t="shared" si="79"/>
        <v>#N/A</v>
      </c>
      <c r="F1694" s="28" t="str">
        <f t="shared" ca="1" si="80"/>
        <v/>
      </c>
    </row>
    <row r="1695" spans="2:6" x14ac:dyDescent="0.2">
      <c r="B1695" t="str">
        <f>IFERROR(IF('PDCA review'!$D$2=Do!B1693,Do!G1693,""),"")</f>
        <v/>
      </c>
      <c r="C1695">
        <f t="shared" si="78"/>
        <v>0</v>
      </c>
      <c r="D1695">
        <f>SUM($C$3:C1695)</f>
        <v>4</v>
      </c>
      <c r="E1695" t="e">
        <f t="shared" si="79"/>
        <v>#N/A</v>
      </c>
      <c r="F1695" s="28" t="str">
        <f t="shared" ca="1" si="80"/>
        <v/>
      </c>
    </row>
    <row r="1696" spans="2:6" x14ac:dyDescent="0.2">
      <c r="B1696" t="str">
        <f>IFERROR(IF('PDCA review'!$D$2=Do!B1694,Do!G1694,""),"")</f>
        <v/>
      </c>
      <c r="C1696">
        <f t="shared" si="78"/>
        <v>0</v>
      </c>
      <c r="D1696">
        <f>SUM($C$3:C1696)</f>
        <v>4</v>
      </c>
      <c r="E1696" t="e">
        <f t="shared" si="79"/>
        <v>#N/A</v>
      </c>
      <c r="F1696" s="28" t="str">
        <f t="shared" ca="1" si="80"/>
        <v/>
      </c>
    </row>
    <row r="1697" spans="2:6" x14ac:dyDescent="0.2">
      <c r="B1697" t="str">
        <f>IFERROR(IF('PDCA review'!$D$2=Do!B1695,Do!G1695,""),"")</f>
        <v/>
      </c>
      <c r="C1697">
        <f t="shared" si="78"/>
        <v>0</v>
      </c>
      <c r="D1697">
        <f>SUM($C$3:C1697)</f>
        <v>4</v>
      </c>
      <c r="E1697" t="e">
        <f t="shared" si="79"/>
        <v>#N/A</v>
      </c>
      <c r="F1697" s="28" t="str">
        <f t="shared" ca="1" si="80"/>
        <v/>
      </c>
    </row>
    <row r="1698" spans="2:6" x14ac:dyDescent="0.2">
      <c r="B1698" t="str">
        <f>IFERROR(IF('PDCA review'!$D$2=Do!B1696,Do!G1696,""),"")</f>
        <v/>
      </c>
      <c r="C1698">
        <f t="shared" si="78"/>
        <v>0</v>
      </c>
      <c r="D1698">
        <f>SUM($C$3:C1698)</f>
        <v>4</v>
      </c>
      <c r="E1698" t="e">
        <f t="shared" si="79"/>
        <v>#N/A</v>
      </c>
      <c r="F1698" s="28" t="str">
        <f t="shared" ca="1" si="80"/>
        <v/>
      </c>
    </row>
    <row r="1699" spans="2:6" x14ac:dyDescent="0.2">
      <c r="B1699" t="str">
        <f>IFERROR(IF('PDCA review'!$D$2=Do!B1697,Do!G1697,""),"")</f>
        <v/>
      </c>
      <c r="C1699">
        <f t="shared" si="78"/>
        <v>0</v>
      </c>
      <c r="D1699">
        <f>SUM($C$3:C1699)</f>
        <v>4</v>
      </c>
      <c r="E1699" t="e">
        <f t="shared" si="79"/>
        <v>#N/A</v>
      </c>
      <c r="F1699" s="28" t="str">
        <f t="shared" ca="1" si="80"/>
        <v/>
      </c>
    </row>
    <row r="1700" spans="2:6" x14ac:dyDescent="0.2">
      <c r="B1700" t="str">
        <f>IFERROR(IF('PDCA review'!$D$2=Do!B1698,Do!G1698,""),"")</f>
        <v/>
      </c>
      <c r="C1700">
        <f t="shared" si="78"/>
        <v>0</v>
      </c>
      <c r="D1700">
        <f>SUM($C$3:C1700)</f>
        <v>4</v>
      </c>
      <c r="E1700" t="e">
        <f t="shared" si="79"/>
        <v>#N/A</v>
      </c>
      <c r="F1700" s="28" t="str">
        <f t="shared" ca="1" si="80"/>
        <v/>
      </c>
    </row>
    <row r="1701" spans="2:6" x14ac:dyDescent="0.2">
      <c r="B1701" t="str">
        <f>IFERROR(IF('PDCA review'!$D$2=Do!B1699,Do!G1699,""),"")</f>
        <v/>
      </c>
      <c r="C1701">
        <f t="shared" si="78"/>
        <v>0</v>
      </c>
      <c r="D1701">
        <f>SUM($C$3:C1701)</f>
        <v>4</v>
      </c>
      <c r="E1701" t="e">
        <f t="shared" si="79"/>
        <v>#N/A</v>
      </c>
      <c r="F1701" s="28" t="str">
        <f t="shared" ca="1" si="80"/>
        <v/>
      </c>
    </row>
    <row r="1702" spans="2:6" x14ac:dyDescent="0.2">
      <c r="B1702" t="str">
        <f>IFERROR(IF('PDCA review'!$D$2=Do!B1700,Do!G1700,""),"")</f>
        <v/>
      </c>
      <c r="C1702">
        <f t="shared" si="78"/>
        <v>0</v>
      </c>
      <c r="D1702">
        <f>SUM($C$3:C1702)</f>
        <v>4</v>
      </c>
      <c r="E1702" t="e">
        <f t="shared" si="79"/>
        <v>#N/A</v>
      </c>
      <c r="F1702" s="28" t="str">
        <f t="shared" ca="1" si="80"/>
        <v/>
      </c>
    </row>
    <row r="1703" spans="2:6" x14ac:dyDescent="0.2">
      <c r="B1703" t="str">
        <f>IFERROR(IF('PDCA review'!$D$2=Do!B1701,Do!G1701,""),"")</f>
        <v/>
      </c>
      <c r="C1703">
        <f t="shared" si="78"/>
        <v>0</v>
      </c>
      <c r="D1703">
        <f>SUM($C$3:C1703)</f>
        <v>4</v>
      </c>
      <c r="E1703" t="e">
        <f t="shared" si="79"/>
        <v>#N/A</v>
      </c>
      <c r="F1703" s="28" t="str">
        <f t="shared" ca="1" si="80"/>
        <v/>
      </c>
    </row>
    <row r="1704" spans="2:6" x14ac:dyDescent="0.2">
      <c r="B1704" t="str">
        <f>IFERROR(IF('PDCA review'!$D$2=Do!B1702,Do!G1702,""),"")</f>
        <v/>
      </c>
      <c r="C1704">
        <f t="shared" si="78"/>
        <v>0</v>
      </c>
      <c r="D1704">
        <f>SUM($C$3:C1704)</f>
        <v>4</v>
      </c>
      <c r="E1704" t="e">
        <f t="shared" si="79"/>
        <v>#N/A</v>
      </c>
      <c r="F1704" s="28" t="str">
        <f t="shared" ca="1" si="80"/>
        <v/>
      </c>
    </row>
    <row r="1705" spans="2:6" x14ac:dyDescent="0.2">
      <c r="B1705" t="str">
        <f>IFERROR(IF('PDCA review'!$D$2=Do!B1703,Do!G1703,""),"")</f>
        <v/>
      </c>
      <c r="C1705">
        <f t="shared" si="78"/>
        <v>0</v>
      </c>
      <c r="D1705">
        <f>SUM($C$3:C1705)</f>
        <v>4</v>
      </c>
      <c r="E1705" t="e">
        <f t="shared" si="79"/>
        <v>#N/A</v>
      </c>
      <c r="F1705" s="28" t="str">
        <f t="shared" ca="1" si="80"/>
        <v/>
      </c>
    </row>
    <row r="1706" spans="2:6" x14ac:dyDescent="0.2">
      <c r="B1706" t="str">
        <f>IFERROR(IF('PDCA review'!$D$2=Do!B1704,Do!G1704,""),"")</f>
        <v/>
      </c>
      <c r="C1706">
        <f t="shared" si="78"/>
        <v>0</v>
      </c>
      <c r="D1706">
        <f>SUM($C$3:C1706)</f>
        <v>4</v>
      </c>
      <c r="E1706" t="e">
        <f t="shared" si="79"/>
        <v>#N/A</v>
      </c>
      <c r="F1706" s="28" t="str">
        <f t="shared" ca="1" si="80"/>
        <v/>
      </c>
    </row>
    <row r="1707" spans="2:6" x14ac:dyDescent="0.2">
      <c r="B1707" t="str">
        <f>IFERROR(IF('PDCA review'!$D$2=Do!B1705,Do!G1705,""),"")</f>
        <v/>
      </c>
      <c r="C1707">
        <f t="shared" si="78"/>
        <v>0</v>
      </c>
      <c r="D1707">
        <f>SUM($C$3:C1707)</f>
        <v>4</v>
      </c>
      <c r="E1707" t="e">
        <f t="shared" si="79"/>
        <v>#N/A</v>
      </c>
      <c r="F1707" s="28" t="str">
        <f t="shared" ca="1" si="80"/>
        <v/>
      </c>
    </row>
    <row r="1708" spans="2:6" x14ac:dyDescent="0.2">
      <c r="B1708" t="str">
        <f>IFERROR(IF('PDCA review'!$D$2=Do!B1706,Do!G1706,""),"")</f>
        <v/>
      </c>
      <c r="C1708">
        <f t="shared" si="78"/>
        <v>0</v>
      </c>
      <c r="D1708">
        <f>SUM($C$3:C1708)</f>
        <v>4</v>
      </c>
      <c r="E1708" t="e">
        <f t="shared" si="79"/>
        <v>#N/A</v>
      </c>
      <c r="F1708" s="28" t="str">
        <f t="shared" ca="1" si="80"/>
        <v/>
      </c>
    </row>
    <row r="1709" spans="2:6" x14ac:dyDescent="0.2">
      <c r="B1709" t="str">
        <f>IFERROR(IF('PDCA review'!$D$2=Do!B1707,Do!G1707,""),"")</f>
        <v/>
      </c>
      <c r="C1709">
        <f t="shared" si="78"/>
        <v>0</v>
      </c>
      <c r="D1709">
        <f>SUM($C$3:C1709)</f>
        <v>4</v>
      </c>
      <c r="E1709" t="e">
        <f t="shared" si="79"/>
        <v>#N/A</v>
      </c>
      <c r="F1709" s="28" t="str">
        <f t="shared" ca="1" si="80"/>
        <v/>
      </c>
    </row>
    <row r="1710" spans="2:6" x14ac:dyDescent="0.2">
      <c r="B1710" t="str">
        <f>IFERROR(IF('PDCA review'!$D$2=Do!B1708,Do!G1708,""),"")</f>
        <v/>
      </c>
      <c r="C1710">
        <f t="shared" si="78"/>
        <v>0</v>
      </c>
      <c r="D1710">
        <f>SUM($C$3:C1710)</f>
        <v>4</v>
      </c>
      <c r="E1710" t="e">
        <f t="shared" si="79"/>
        <v>#N/A</v>
      </c>
      <c r="F1710" s="28" t="str">
        <f t="shared" ca="1" si="80"/>
        <v/>
      </c>
    </row>
    <row r="1711" spans="2:6" x14ac:dyDescent="0.2">
      <c r="B1711" t="str">
        <f>IFERROR(IF('PDCA review'!$D$2=Do!B1709,Do!G1709,""),"")</f>
        <v/>
      </c>
      <c r="C1711">
        <f t="shared" si="78"/>
        <v>0</v>
      </c>
      <c r="D1711">
        <f>SUM($C$3:C1711)</f>
        <v>4</v>
      </c>
      <c r="E1711" t="e">
        <f t="shared" si="79"/>
        <v>#N/A</v>
      </c>
      <c r="F1711" s="28" t="str">
        <f t="shared" ca="1" si="80"/>
        <v/>
      </c>
    </row>
    <row r="1712" spans="2:6" x14ac:dyDescent="0.2">
      <c r="B1712" t="str">
        <f>IFERROR(IF('PDCA review'!$D$2=Do!B1710,Do!G1710,""),"")</f>
        <v/>
      </c>
      <c r="C1712">
        <f t="shared" si="78"/>
        <v>0</v>
      </c>
      <c r="D1712">
        <f>SUM($C$3:C1712)</f>
        <v>4</v>
      </c>
      <c r="E1712" t="e">
        <f t="shared" si="79"/>
        <v>#N/A</v>
      </c>
      <c r="F1712" s="28" t="str">
        <f t="shared" ca="1" si="80"/>
        <v/>
      </c>
    </row>
    <row r="1713" spans="2:6" x14ac:dyDescent="0.2">
      <c r="B1713" t="str">
        <f>IFERROR(IF('PDCA review'!$D$2=Do!B1711,Do!G1711,""),"")</f>
        <v/>
      </c>
      <c r="C1713">
        <f t="shared" si="78"/>
        <v>0</v>
      </c>
      <c r="D1713">
        <f>SUM($C$3:C1713)</f>
        <v>4</v>
      </c>
      <c r="E1713" t="e">
        <f t="shared" si="79"/>
        <v>#N/A</v>
      </c>
      <c r="F1713" s="28" t="str">
        <f t="shared" ca="1" si="80"/>
        <v/>
      </c>
    </row>
    <row r="1714" spans="2:6" x14ac:dyDescent="0.2">
      <c r="B1714" t="str">
        <f>IFERROR(IF('PDCA review'!$D$2=Do!B1712,Do!G1712,""),"")</f>
        <v/>
      </c>
      <c r="C1714">
        <f t="shared" si="78"/>
        <v>0</v>
      </c>
      <c r="D1714">
        <f>SUM($C$3:C1714)</f>
        <v>4</v>
      </c>
      <c r="E1714" t="e">
        <f t="shared" si="79"/>
        <v>#N/A</v>
      </c>
      <c r="F1714" s="28" t="str">
        <f t="shared" ca="1" si="80"/>
        <v/>
      </c>
    </row>
    <row r="1715" spans="2:6" x14ac:dyDescent="0.2">
      <c r="B1715" t="str">
        <f>IFERROR(IF('PDCA review'!$D$2=Do!B1713,Do!G1713,""),"")</f>
        <v/>
      </c>
      <c r="C1715">
        <f t="shared" si="78"/>
        <v>0</v>
      </c>
      <c r="D1715">
        <f>SUM($C$3:C1715)</f>
        <v>4</v>
      </c>
      <c r="E1715" t="e">
        <f t="shared" si="79"/>
        <v>#N/A</v>
      </c>
      <c r="F1715" s="28" t="str">
        <f t="shared" ca="1" si="80"/>
        <v/>
      </c>
    </row>
    <row r="1716" spans="2:6" x14ac:dyDescent="0.2">
      <c r="B1716" t="str">
        <f>IFERROR(IF('PDCA review'!$D$2=Do!B1714,Do!G1714,""),"")</f>
        <v/>
      </c>
      <c r="C1716">
        <f t="shared" si="78"/>
        <v>0</v>
      </c>
      <c r="D1716">
        <f>SUM($C$3:C1716)</f>
        <v>4</v>
      </c>
      <c r="E1716" t="e">
        <f t="shared" si="79"/>
        <v>#N/A</v>
      </c>
      <c r="F1716" s="28" t="str">
        <f t="shared" ca="1" si="80"/>
        <v/>
      </c>
    </row>
    <row r="1717" spans="2:6" x14ac:dyDescent="0.2">
      <c r="B1717" t="str">
        <f>IFERROR(IF('PDCA review'!$D$2=Do!B1715,Do!G1715,""),"")</f>
        <v/>
      </c>
      <c r="C1717">
        <f t="shared" si="78"/>
        <v>0</v>
      </c>
      <c r="D1717">
        <f>SUM($C$3:C1717)</f>
        <v>4</v>
      </c>
      <c r="E1717" t="e">
        <f t="shared" si="79"/>
        <v>#N/A</v>
      </c>
      <c r="F1717" s="28" t="str">
        <f t="shared" ca="1" si="80"/>
        <v/>
      </c>
    </row>
    <row r="1718" spans="2:6" x14ac:dyDescent="0.2">
      <c r="B1718" t="str">
        <f>IFERROR(IF('PDCA review'!$D$2=Do!B1716,Do!G1716,""),"")</f>
        <v/>
      </c>
      <c r="C1718">
        <f t="shared" si="78"/>
        <v>0</v>
      </c>
      <c r="D1718">
        <f>SUM($C$3:C1718)</f>
        <v>4</v>
      </c>
      <c r="E1718" t="e">
        <f t="shared" si="79"/>
        <v>#N/A</v>
      </c>
      <c r="F1718" s="28" t="str">
        <f t="shared" ca="1" si="80"/>
        <v/>
      </c>
    </row>
    <row r="1719" spans="2:6" x14ac:dyDescent="0.2">
      <c r="B1719" t="str">
        <f>IFERROR(IF('PDCA review'!$D$2=Do!B1717,Do!G1717,""),"")</f>
        <v/>
      </c>
      <c r="C1719">
        <f t="shared" si="78"/>
        <v>0</v>
      </c>
      <c r="D1719">
        <f>SUM($C$3:C1719)</f>
        <v>4</v>
      </c>
      <c r="E1719" t="e">
        <f t="shared" si="79"/>
        <v>#N/A</v>
      </c>
      <c r="F1719" s="28" t="str">
        <f t="shared" ca="1" si="80"/>
        <v/>
      </c>
    </row>
    <row r="1720" spans="2:6" x14ac:dyDescent="0.2">
      <c r="B1720" t="str">
        <f>IFERROR(IF('PDCA review'!$D$2=Do!B1718,Do!G1718,""),"")</f>
        <v/>
      </c>
      <c r="C1720">
        <f t="shared" si="78"/>
        <v>0</v>
      </c>
      <c r="D1720">
        <f>SUM($C$3:C1720)</f>
        <v>4</v>
      </c>
      <c r="E1720" t="e">
        <f t="shared" si="79"/>
        <v>#N/A</v>
      </c>
      <c r="F1720" s="28" t="str">
        <f t="shared" ca="1" si="80"/>
        <v/>
      </c>
    </row>
    <row r="1721" spans="2:6" x14ac:dyDescent="0.2">
      <c r="B1721" t="str">
        <f>IFERROR(IF('PDCA review'!$D$2=Do!B1719,Do!G1719,""),"")</f>
        <v/>
      </c>
      <c r="C1721">
        <f t="shared" si="78"/>
        <v>0</v>
      </c>
      <c r="D1721">
        <f>SUM($C$3:C1721)</f>
        <v>4</v>
      </c>
      <c r="E1721" t="e">
        <f t="shared" si="79"/>
        <v>#N/A</v>
      </c>
      <c r="F1721" s="28" t="str">
        <f t="shared" ca="1" si="80"/>
        <v/>
      </c>
    </row>
    <row r="1722" spans="2:6" x14ac:dyDescent="0.2">
      <c r="B1722" t="str">
        <f>IFERROR(IF('PDCA review'!$D$2=Do!B1720,Do!G1720,""),"")</f>
        <v/>
      </c>
      <c r="C1722">
        <f t="shared" si="78"/>
        <v>0</v>
      </c>
      <c r="D1722">
        <f>SUM($C$3:C1722)</f>
        <v>4</v>
      </c>
      <c r="E1722" t="e">
        <f t="shared" si="79"/>
        <v>#N/A</v>
      </c>
      <c r="F1722" s="28" t="str">
        <f t="shared" ca="1" si="80"/>
        <v/>
      </c>
    </row>
    <row r="1723" spans="2:6" x14ac:dyDescent="0.2">
      <c r="B1723" t="str">
        <f>IFERROR(IF('PDCA review'!$D$2=Do!B1721,Do!G1721,""),"")</f>
        <v/>
      </c>
      <c r="C1723">
        <f t="shared" si="78"/>
        <v>0</v>
      </c>
      <c r="D1723">
        <f>SUM($C$3:C1723)</f>
        <v>4</v>
      </c>
      <c r="E1723" t="e">
        <f t="shared" si="79"/>
        <v>#N/A</v>
      </c>
      <c r="F1723" s="28" t="str">
        <f t="shared" ca="1" si="80"/>
        <v/>
      </c>
    </row>
    <row r="1724" spans="2:6" x14ac:dyDescent="0.2">
      <c r="B1724" t="str">
        <f>IFERROR(IF('PDCA review'!$D$2=Do!B1722,Do!G1722,""),"")</f>
        <v/>
      </c>
      <c r="C1724">
        <f t="shared" si="78"/>
        <v>0</v>
      </c>
      <c r="D1724">
        <f>SUM($C$3:C1724)</f>
        <v>4</v>
      </c>
      <c r="E1724" t="e">
        <f t="shared" si="79"/>
        <v>#N/A</v>
      </c>
      <c r="F1724" s="28" t="str">
        <f t="shared" ca="1" si="80"/>
        <v/>
      </c>
    </row>
    <row r="1725" spans="2:6" x14ac:dyDescent="0.2">
      <c r="B1725" t="str">
        <f>IFERROR(IF('PDCA review'!$D$2=Do!B1723,Do!G1723,""),"")</f>
        <v/>
      </c>
      <c r="C1725">
        <f t="shared" si="78"/>
        <v>0</v>
      </c>
      <c r="D1725">
        <f>SUM($C$3:C1725)</f>
        <v>4</v>
      </c>
      <c r="E1725" t="e">
        <f t="shared" si="79"/>
        <v>#N/A</v>
      </c>
      <c r="F1725" s="28" t="str">
        <f t="shared" ca="1" si="80"/>
        <v/>
      </c>
    </row>
    <row r="1726" spans="2:6" x14ac:dyDescent="0.2">
      <c r="B1726" t="str">
        <f>IFERROR(IF('PDCA review'!$D$2=Do!B1724,Do!G1724,""),"")</f>
        <v/>
      </c>
      <c r="C1726">
        <f t="shared" si="78"/>
        <v>0</v>
      </c>
      <c r="D1726">
        <f>SUM($C$3:C1726)</f>
        <v>4</v>
      </c>
      <c r="E1726" t="e">
        <f t="shared" si="79"/>
        <v>#N/A</v>
      </c>
      <c r="F1726" s="28" t="str">
        <f t="shared" ca="1" si="80"/>
        <v/>
      </c>
    </row>
    <row r="1727" spans="2:6" x14ac:dyDescent="0.2">
      <c r="B1727" t="str">
        <f>IFERROR(IF('PDCA review'!$D$2=Do!B1725,Do!G1725,""),"")</f>
        <v/>
      </c>
      <c r="C1727">
        <f t="shared" si="78"/>
        <v>0</v>
      </c>
      <c r="D1727">
        <f>SUM($C$3:C1727)</f>
        <v>4</v>
      </c>
      <c r="E1727" t="e">
        <f t="shared" si="79"/>
        <v>#N/A</v>
      </c>
      <c r="F1727" s="28" t="str">
        <f t="shared" ca="1" si="80"/>
        <v/>
      </c>
    </row>
    <row r="1728" spans="2:6" x14ac:dyDescent="0.2">
      <c r="B1728" t="str">
        <f>IFERROR(IF('PDCA review'!$D$2=Do!B1726,Do!G1726,""),"")</f>
        <v/>
      </c>
      <c r="C1728">
        <f t="shared" si="78"/>
        <v>0</v>
      </c>
      <c r="D1728">
        <f>SUM($C$3:C1728)</f>
        <v>4</v>
      </c>
      <c r="E1728" t="e">
        <f t="shared" si="79"/>
        <v>#N/A</v>
      </c>
      <c r="F1728" s="28" t="str">
        <f t="shared" ca="1" si="80"/>
        <v/>
      </c>
    </row>
    <row r="1729" spans="2:6" x14ac:dyDescent="0.2">
      <c r="B1729" t="str">
        <f>IFERROR(IF('PDCA review'!$D$2=Do!B1727,Do!G1727,""),"")</f>
        <v/>
      </c>
      <c r="C1729">
        <f t="shared" si="78"/>
        <v>0</v>
      </c>
      <c r="D1729">
        <f>SUM($C$3:C1729)</f>
        <v>4</v>
      </c>
      <c r="E1729" t="e">
        <f t="shared" si="79"/>
        <v>#N/A</v>
      </c>
      <c r="F1729" s="28" t="str">
        <f t="shared" ca="1" si="80"/>
        <v/>
      </c>
    </row>
    <row r="1730" spans="2:6" x14ac:dyDescent="0.2">
      <c r="B1730" t="str">
        <f>IFERROR(IF('PDCA review'!$D$2=Do!B1728,Do!G1728,""),"")</f>
        <v/>
      </c>
      <c r="C1730">
        <f t="shared" si="78"/>
        <v>0</v>
      </c>
      <c r="D1730">
        <f>SUM($C$3:C1730)</f>
        <v>4</v>
      </c>
      <c r="E1730" t="e">
        <f t="shared" si="79"/>
        <v>#N/A</v>
      </c>
      <c r="F1730" s="28" t="str">
        <f t="shared" ca="1" si="80"/>
        <v/>
      </c>
    </row>
    <row r="1731" spans="2:6" x14ac:dyDescent="0.2">
      <c r="B1731" t="str">
        <f>IFERROR(IF('PDCA review'!$D$2=Do!B1729,Do!G1729,""),"")</f>
        <v/>
      </c>
      <c r="C1731">
        <f t="shared" si="78"/>
        <v>0</v>
      </c>
      <c r="D1731">
        <f>SUM($C$3:C1731)</f>
        <v>4</v>
      </c>
      <c r="E1731" t="e">
        <f t="shared" si="79"/>
        <v>#N/A</v>
      </c>
      <c r="F1731" s="28" t="str">
        <f t="shared" ca="1" si="80"/>
        <v/>
      </c>
    </row>
    <row r="1732" spans="2:6" x14ac:dyDescent="0.2">
      <c r="B1732" t="str">
        <f>IFERROR(IF('PDCA review'!$D$2=Do!B1730,Do!G1730,""),"")</f>
        <v/>
      </c>
      <c r="C1732">
        <f t="shared" ref="C1732:C1795" si="81">IF(B1732&lt;&gt;"",1,0)</f>
        <v>0</v>
      </c>
      <c r="D1732">
        <f>SUM($C$3:C1732)</f>
        <v>4</v>
      </c>
      <c r="E1732" t="e">
        <f t="shared" ref="E1732:E1795" si="82">MATCH(ROW()-$D$2,$D$3:$D$2000,0)+$D$2</f>
        <v>#N/A</v>
      </c>
      <c r="F1732" s="28" t="str">
        <f t="shared" ref="F1732:F1795" ca="1" si="83">IFERROR(INDIRECT("B"&amp;E1732),"")</f>
        <v/>
      </c>
    </row>
    <row r="1733" spans="2:6" x14ac:dyDescent="0.2">
      <c r="B1733" t="str">
        <f>IFERROR(IF('PDCA review'!$D$2=Do!B1731,Do!G1731,""),"")</f>
        <v/>
      </c>
      <c r="C1733">
        <f t="shared" si="81"/>
        <v>0</v>
      </c>
      <c r="D1733">
        <f>SUM($C$3:C1733)</f>
        <v>4</v>
      </c>
      <c r="E1733" t="e">
        <f t="shared" si="82"/>
        <v>#N/A</v>
      </c>
      <c r="F1733" s="28" t="str">
        <f t="shared" ca="1" si="83"/>
        <v/>
      </c>
    </row>
    <row r="1734" spans="2:6" x14ac:dyDescent="0.2">
      <c r="B1734" t="str">
        <f>IFERROR(IF('PDCA review'!$D$2=Do!B1732,Do!G1732,""),"")</f>
        <v/>
      </c>
      <c r="C1734">
        <f t="shared" si="81"/>
        <v>0</v>
      </c>
      <c r="D1734">
        <f>SUM($C$3:C1734)</f>
        <v>4</v>
      </c>
      <c r="E1734" t="e">
        <f t="shared" si="82"/>
        <v>#N/A</v>
      </c>
      <c r="F1734" s="28" t="str">
        <f t="shared" ca="1" si="83"/>
        <v/>
      </c>
    </row>
    <row r="1735" spans="2:6" x14ac:dyDescent="0.2">
      <c r="B1735" t="str">
        <f>IFERROR(IF('PDCA review'!$D$2=Do!B1733,Do!G1733,""),"")</f>
        <v/>
      </c>
      <c r="C1735">
        <f t="shared" si="81"/>
        <v>0</v>
      </c>
      <c r="D1735">
        <f>SUM($C$3:C1735)</f>
        <v>4</v>
      </c>
      <c r="E1735" t="e">
        <f t="shared" si="82"/>
        <v>#N/A</v>
      </c>
      <c r="F1735" s="28" t="str">
        <f t="shared" ca="1" si="83"/>
        <v/>
      </c>
    </row>
    <row r="1736" spans="2:6" x14ac:dyDescent="0.2">
      <c r="B1736" t="str">
        <f>IFERROR(IF('PDCA review'!$D$2=Do!B1734,Do!G1734,""),"")</f>
        <v/>
      </c>
      <c r="C1736">
        <f t="shared" si="81"/>
        <v>0</v>
      </c>
      <c r="D1736">
        <f>SUM($C$3:C1736)</f>
        <v>4</v>
      </c>
      <c r="E1736" t="e">
        <f t="shared" si="82"/>
        <v>#N/A</v>
      </c>
      <c r="F1736" s="28" t="str">
        <f t="shared" ca="1" si="83"/>
        <v/>
      </c>
    </row>
    <row r="1737" spans="2:6" x14ac:dyDescent="0.2">
      <c r="B1737" t="str">
        <f>IFERROR(IF('PDCA review'!$D$2=Do!B1735,Do!G1735,""),"")</f>
        <v/>
      </c>
      <c r="C1737">
        <f t="shared" si="81"/>
        <v>0</v>
      </c>
      <c r="D1737">
        <f>SUM($C$3:C1737)</f>
        <v>4</v>
      </c>
      <c r="E1737" t="e">
        <f t="shared" si="82"/>
        <v>#N/A</v>
      </c>
      <c r="F1737" s="28" t="str">
        <f t="shared" ca="1" si="83"/>
        <v/>
      </c>
    </row>
    <row r="1738" spans="2:6" x14ac:dyDescent="0.2">
      <c r="B1738" t="str">
        <f>IFERROR(IF('PDCA review'!$D$2=Do!B1736,Do!G1736,""),"")</f>
        <v/>
      </c>
      <c r="C1738">
        <f t="shared" si="81"/>
        <v>0</v>
      </c>
      <c r="D1738">
        <f>SUM($C$3:C1738)</f>
        <v>4</v>
      </c>
      <c r="E1738" t="e">
        <f t="shared" si="82"/>
        <v>#N/A</v>
      </c>
      <c r="F1738" s="28" t="str">
        <f t="shared" ca="1" si="83"/>
        <v/>
      </c>
    </row>
    <row r="1739" spans="2:6" x14ac:dyDescent="0.2">
      <c r="B1739" t="str">
        <f>IFERROR(IF('PDCA review'!$D$2=Do!B1737,Do!G1737,""),"")</f>
        <v/>
      </c>
      <c r="C1739">
        <f t="shared" si="81"/>
        <v>0</v>
      </c>
      <c r="D1739">
        <f>SUM($C$3:C1739)</f>
        <v>4</v>
      </c>
      <c r="E1739" t="e">
        <f t="shared" si="82"/>
        <v>#N/A</v>
      </c>
      <c r="F1739" s="28" t="str">
        <f t="shared" ca="1" si="83"/>
        <v/>
      </c>
    </row>
    <row r="1740" spans="2:6" x14ac:dyDescent="0.2">
      <c r="B1740" t="str">
        <f>IFERROR(IF('PDCA review'!$D$2=Do!B1738,Do!G1738,""),"")</f>
        <v/>
      </c>
      <c r="C1740">
        <f t="shared" si="81"/>
        <v>0</v>
      </c>
      <c r="D1740">
        <f>SUM($C$3:C1740)</f>
        <v>4</v>
      </c>
      <c r="E1740" t="e">
        <f t="shared" si="82"/>
        <v>#N/A</v>
      </c>
      <c r="F1740" s="28" t="str">
        <f t="shared" ca="1" si="83"/>
        <v/>
      </c>
    </row>
    <row r="1741" spans="2:6" x14ac:dyDescent="0.2">
      <c r="B1741" t="str">
        <f>IFERROR(IF('PDCA review'!$D$2=Do!B1739,Do!G1739,""),"")</f>
        <v/>
      </c>
      <c r="C1741">
        <f t="shared" si="81"/>
        <v>0</v>
      </c>
      <c r="D1741">
        <f>SUM($C$3:C1741)</f>
        <v>4</v>
      </c>
      <c r="E1741" t="e">
        <f t="shared" si="82"/>
        <v>#N/A</v>
      </c>
      <c r="F1741" s="28" t="str">
        <f t="shared" ca="1" si="83"/>
        <v/>
      </c>
    </row>
    <row r="1742" spans="2:6" x14ac:dyDescent="0.2">
      <c r="B1742" t="str">
        <f>IFERROR(IF('PDCA review'!$D$2=Do!B1740,Do!G1740,""),"")</f>
        <v/>
      </c>
      <c r="C1742">
        <f t="shared" si="81"/>
        <v>0</v>
      </c>
      <c r="D1742">
        <f>SUM($C$3:C1742)</f>
        <v>4</v>
      </c>
      <c r="E1742" t="e">
        <f t="shared" si="82"/>
        <v>#N/A</v>
      </c>
      <c r="F1742" s="28" t="str">
        <f t="shared" ca="1" si="83"/>
        <v/>
      </c>
    </row>
    <row r="1743" spans="2:6" x14ac:dyDescent="0.2">
      <c r="B1743" t="str">
        <f>IFERROR(IF('PDCA review'!$D$2=Do!B1741,Do!G1741,""),"")</f>
        <v/>
      </c>
      <c r="C1743">
        <f t="shared" si="81"/>
        <v>0</v>
      </c>
      <c r="D1743">
        <f>SUM($C$3:C1743)</f>
        <v>4</v>
      </c>
      <c r="E1743" t="e">
        <f t="shared" si="82"/>
        <v>#N/A</v>
      </c>
      <c r="F1743" s="28" t="str">
        <f t="shared" ca="1" si="83"/>
        <v/>
      </c>
    </row>
    <row r="1744" spans="2:6" x14ac:dyDescent="0.2">
      <c r="B1744" t="str">
        <f>IFERROR(IF('PDCA review'!$D$2=Do!B1742,Do!G1742,""),"")</f>
        <v/>
      </c>
      <c r="C1744">
        <f t="shared" si="81"/>
        <v>0</v>
      </c>
      <c r="D1744">
        <f>SUM($C$3:C1744)</f>
        <v>4</v>
      </c>
      <c r="E1744" t="e">
        <f t="shared" si="82"/>
        <v>#N/A</v>
      </c>
      <c r="F1744" s="28" t="str">
        <f t="shared" ca="1" si="83"/>
        <v/>
      </c>
    </row>
    <row r="1745" spans="2:6" x14ac:dyDescent="0.2">
      <c r="B1745" t="str">
        <f>IFERROR(IF('PDCA review'!$D$2=Do!B1743,Do!G1743,""),"")</f>
        <v/>
      </c>
      <c r="C1745">
        <f t="shared" si="81"/>
        <v>0</v>
      </c>
      <c r="D1745">
        <f>SUM($C$3:C1745)</f>
        <v>4</v>
      </c>
      <c r="E1745" t="e">
        <f t="shared" si="82"/>
        <v>#N/A</v>
      </c>
      <c r="F1745" s="28" t="str">
        <f t="shared" ca="1" si="83"/>
        <v/>
      </c>
    </row>
    <row r="1746" spans="2:6" x14ac:dyDescent="0.2">
      <c r="B1746" t="str">
        <f>IFERROR(IF('PDCA review'!$D$2=Do!B1744,Do!G1744,""),"")</f>
        <v/>
      </c>
      <c r="C1746">
        <f t="shared" si="81"/>
        <v>0</v>
      </c>
      <c r="D1746">
        <f>SUM($C$3:C1746)</f>
        <v>4</v>
      </c>
      <c r="E1746" t="e">
        <f t="shared" si="82"/>
        <v>#N/A</v>
      </c>
      <c r="F1746" s="28" t="str">
        <f t="shared" ca="1" si="83"/>
        <v/>
      </c>
    </row>
    <row r="1747" spans="2:6" x14ac:dyDescent="0.2">
      <c r="B1747" t="str">
        <f>IFERROR(IF('PDCA review'!$D$2=Do!B1745,Do!G1745,""),"")</f>
        <v/>
      </c>
      <c r="C1747">
        <f t="shared" si="81"/>
        <v>0</v>
      </c>
      <c r="D1747">
        <f>SUM($C$3:C1747)</f>
        <v>4</v>
      </c>
      <c r="E1747" t="e">
        <f t="shared" si="82"/>
        <v>#N/A</v>
      </c>
      <c r="F1747" s="28" t="str">
        <f t="shared" ca="1" si="83"/>
        <v/>
      </c>
    </row>
    <row r="1748" spans="2:6" x14ac:dyDescent="0.2">
      <c r="B1748" t="str">
        <f>IFERROR(IF('PDCA review'!$D$2=Do!B1746,Do!G1746,""),"")</f>
        <v/>
      </c>
      <c r="C1748">
        <f t="shared" si="81"/>
        <v>0</v>
      </c>
      <c r="D1748">
        <f>SUM($C$3:C1748)</f>
        <v>4</v>
      </c>
      <c r="E1748" t="e">
        <f t="shared" si="82"/>
        <v>#N/A</v>
      </c>
      <c r="F1748" s="28" t="str">
        <f t="shared" ca="1" si="83"/>
        <v/>
      </c>
    </row>
    <row r="1749" spans="2:6" x14ac:dyDescent="0.2">
      <c r="B1749" t="str">
        <f>IFERROR(IF('PDCA review'!$D$2=Do!B1747,Do!G1747,""),"")</f>
        <v/>
      </c>
      <c r="C1749">
        <f t="shared" si="81"/>
        <v>0</v>
      </c>
      <c r="D1749">
        <f>SUM($C$3:C1749)</f>
        <v>4</v>
      </c>
      <c r="E1749" t="e">
        <f t="shared" si="82"/>
        <v>#N/A</v>
      </c>
      <c r="F1749" s="28" t="str">
        <f t="shared" ca="1" si="83"/>
        <v/>
      </c>
    </row>
    <row r="1750" spans="2:6" x14ac:dyDescent="0.2">
      <c r="B1750" t="str">
        <f>IFERROR(IF('PDCA review'!$D$2=Do!B1748,Do!G1748,""),"")</f>
        <v/>
      </c>
      <c r="C1750">
        <f t="shared" si="81"/>
        <v>0</v>
      </c>
      <c r="D1750">
        <f>SUM($C$3:C1750)</f>
        <v>4</v>
      </c>
      <c r="E1750" t="e">
        <f t="shared" si="82"/>
        <v>#N/A</v>
      </c>
      <c r="F1750" s="28" t="str">
        <f t="shared" ca="1" si="83"/>
        <v/>
      </c>
    </row>
    <row r="1751" spans="2:6" x14ac:dyDescent="0.2">
      <c r="B1751" t="str">
        <f>IFERROR(IF('PDCA review'!$D$2=Do!B1749,Do!G1749,""),"")</f>
        <v/>
      </c>
      <c r="C1751">
        <f t="shared" si="81"/>
        <v>0</v>
      </c>
      <c r="D1751">
        <f>SUM($C$3:C1751)</f>
        <v>4</v>
      </c>
      <c r="E1751" t="e">
        <f t="shared" si="82"/>
        <v>#N/A</v>
      </c>
      <c r="F1751" s="28" t="str">
        <f t="shared" ca="1" si="83"/>
        <v/>
      </c>
    </row>
    <row r="1752" spans="2:6" x14ac:dyDescent="0.2">
      <c r="B1752" t="str">
        <f>IFERROR(IF('PDCA review'!$D$2=Do!B1750,Do!G1750,""),"")</f>
        <v/>
      </c>
      <c r="C1752">
        <f t="shared" si="81"/>
        <v>0</v>
      </c>
      <c r="D1752">
        <f>SUM($C$3:C1752)</f>
        <v>4</v>
      </c>
      <c r="E1752" t="e">
        <f t="shared" si="82"/>
        <v>#N/A</v>
      </c>
      <c r="F1752" s="28" t="str">
        <f t="shared" ca="1" si="83"/>
        <v/>
      </c>
    </row>
    <row r="1753" spans="2:6" x14ac:dyDescent="0.2">
      <c r="B1753" t="str">
        <f>IFERROR(IF('PDCA review'!$D$2=Do!B1751,Do!G1751,""),"")</f>
        <v/>
      </c>
      <c r="C1753">
        <f t="shared" si="81"/>
        <v>0</v>
      </c>
      <c r="D1753">
        <f>SUM($C$3:C1753)</f>
        <v>4</v>
      </c>
      <c r="E1753" t="e">
        <f t="shared" si="82"/>
        <v>#N/A</v>
      </c>
      <c r="F1753" s="28" t="str">
        <f t="shared" ca="1" si="83"/>
        <v/>
      </c>
    </row>
    <row r="1754" spans="2:6" x14ac:dyDescent="0.2">
      <c r="B1754" t="str">
        <f>IFERROR(IF('PDCA review'!$D$2=Do!B1752,Do!G1752,""),"")</f>
        <v/>
      </c>
      <c r="C1754">
        <f t="shared" si="81"/>
        <v>0</v>
      </c>
      <c r="D1754">
        <f>SUM($C$3:C1754)</f>
        <v>4</v>
      </c>
      <c r="E1754" t="e">
        <f t="shared" si="82"/>
        <v>#N/A</v>
      </c>
      <c r="F1754" s="28" t="str">
        <f t="shared" ca="1" si="83"/>
        <v/>
      </c>
    </row>
    <row r="1755" spans="2:6" x14ac:dyDescent="0.2">
      <c r="B1755" t="str">
        <f>IFERROR(IF('PDCA review'!$D$2=Do!B1753,Do!G1753,""),"")</f>
        <v/>
      </c>
      <c r="C1755">
        <f t="shared" si="81"/>
        <v>0</v>
      </c>
      <c r="D1755">
        <f>SUM($C$3:C1755)</f>
        <v>4</v>
      </c>
      <c r="E1755" t="e">
        <f t="shared" si="82"/>
        <v>#N/A</v>
      </c>
      <c r="F1755" s="28" t="str">
        <f t="shared" ca="1" si="83"/>
        <v/>
      </c>
    </row>
    <row r="1756" spans="2:6" x14ac:dyDescent="0.2">
      <c r="B1756" t="str">
        <f>IFERROR(IF('PDCA review'!$D$2=Do!B1754,Do!G1754,""),"")</f>
        <v/>
      </c>
      <c r="C1756">
        <f t="shared" si="81"/>
        <v>0</v>
      </c>
      <c r="D1756">
        <f>SUM($C$3:C1756)</f>
        <v>4</v>
      </c>
      <c r="E1756" t="e">
        <f t="shared" si="82"/>
        <v>#N/A</v>
      </c>
      <c r="F1756" s="28" t="str">
        <f t="shared" ca="1" si="83"/>
        <v/>
      </c>
    </row>
    <row r="1757" spans="2:6" x14ac:dyDescent="0.2">
      <c r="B1757" t="str">
        <f>IFERROR(IF('PDCA review'!$D$2=Do!B1755,Do!G1755,""),"")</f>
        <v/>
      </c>
      <c r="C1757">
        <f t="shared" si="81"/>
        <v>0</v>
      </c>
      <c r="D1757">
        <f>SUM($C$3:C1757)</f>
        <v>4</v>
      </c>
      <c r="E1757" t="e">
        <f t="shared" si="82"/>
        <v>#N/A</v>
      </c>
      <c r="F1757" s="28" t="str">
        <f t="shared" ca="1" si="83"/>
        <v/>
      </c>
    </row>
    <row r="1758" spans="2:6" x14ac:dyDescent="0.2">
      <c r="B1758" t="str">
        <f>IFERROR(IF('PDCA review'!$D$2=Do!B1756,Do!G1756,""),"")</f>
        <v/>
      </c>
      <c r="C1758">
        <f t="shared" si="81"/>
        <v>0</v>
      </c>
      <c r="D1758">
        <f>SUM($C$3:C1758)</f>
        <v>4</v>
      </c>
      <c r="E1758" t="e">
        <f t="shared" si="82"/>
        <v>#N/A</v>
      </c>
      <c r="F1758" s="28" t="str">
        <f t="shared" ca="1" si="83"/>
        <v/>
      </c>
    </row>
    <row r="1759" spans="2:6" x14ac:dyDescent="0.2">
      <c r="B1759" t="str">
        <f>IFERROR(IF('PDCA review'!$D$2=Do!B1757,Do!G1757,""),"")</f>
        <v/>
      </c>
      <c r="C1759">
        <f t="shared" si="81"/>
        <v>0</v>
      </c>
      <c r="D1759">
        <f>SUM($C$3:C1759)</f>
        <v>4</v>
      </c>
      <c r="E1759" t="e">
        <f t="shared" si="82"/>
        <v>#N/A</v>
      </c>
      <c r="F1759" s="28" t="str">
        <f t="shared" ca="1" si="83"/>
        <v/>
      </c>
    </row>
    <row r="1760" spans="2:6" x14ac:dyDescent="0.2">
      <c r="B1760" t="str">
        <f>IFERROR(IF('PDCA review'!$D$2=Do!B1758,Do!G1758,""),"")</f>
        <v/>
      </c>
      <c r="C1760">
        <f t="shared" si="81"/>
        <v>0</v>
      </c>
      <c r="D1760">
        <f>SUM($C$3:C1760)</f>
        <v>4</v>
      </c>
      <c r="E1760" t="e">
        <f t="shared" si="82"/>
        <v>#N/A</v>
      </c>
      <c r="F1760" s="28" t="str">
        <f t="shared" ca="1" si="83"/>
        <v/>
      </c>
    </row>
    <row r="1761" spans="2:6" x14ac:dyDescent="0.2">
      <c r="B1761" t="str">
        <f>IFERROR(IF('PDCA review'!$D$2=Do!B1759,Do!G1759,""),"")</f>
        <v/>
      </c>
      <c r="C1761">
        <f t="shared" si="81"/>
        <v>0</v>
      </c>
      <c r="D1761">
        <f>SUM($C$3:C1761)</f>
        <v>4</v>
      </c>
      <c r="E1761" t="e">
        <f t="shared" si="82"/>
        <v>#N/A</v>
      </c>
      <c r="F1761" s="28" t="str">
        <f t="shared" ca="1" si="83"/>
        <v/>
      </c>
    </row>
    <row r="1762" spans="2:6" x14ac:dyDescent="0.2">
      <c r="B1762" t="str">
        <f>IFERROR(IF('PDCA review'!$D$2=Do!B1760,Do!G1760,""),"")</f>
        <v/>
      </c>
      <c r="C1762">
        <f t="shared" si="81"/>
        <v>0</v>
      </c>
      <c r="D1762">
        <f>SUM($C$3:C1762)</f>
        <v>4</v>
      </c>
      <c r="E1762" t="e">
        <f t="shared" si="82"/>
        <v>#N/A</v>
      </c>
      <c r="F1762" s="28" t="str">
        <f t="shared" ca="1" si="83"/>
        <v/>
      </c>
    </row>
    <row r="1763" spans="2:6" x14ac:dyDescent="0.2">
      <c r="B1763" t="str">
        <f>IFERROR(IF('PDCA review'!$D$2=Do!B1761,Do!G1761,""),"")</f>
        <v/>
      </c>
      <c r="C1763">
        <f t="shared" si="81"/>
        <v>0</v>
      </c>
      <c r="D1763">
        <f>SUM($C$3:C1763)</f>
        <v>4</v>
      </c>
      <c r="E1763" t="e">
        <f t="shared" si="82"/>
        <v>#N/A</v>
      </c>
      <c r="F1763" s="28" t="str">
        <f t="shared" ca="1" si="83"/>
        <v/>
      </c>
    </row>
    <row r="1764" spans="2:6" x14ac:dyDescent="0.2">
      <c r="B1764" t="str">
        <f>IFERROR(IF('PDCA review'!$D$2=Do!B1762,Do!G1762,""),"")</f>
        <v/>
      </c>
      <c r="C1764">
        <f t="shared" si="81"/>
        <v>0</v>
      </c>
      <c r="D1764">
        <f>SUM($C$3:C1764)</f>
        <v>4</v>
      </c>
      <c r="E1764" t="e">
        <f t="shared" si="82"/>
        <v>#N/A</v>
      </c>
      <c r="F1764" s="28" t="str">
        <f t="shared" ca="1" si="83"/>
        <v/>
      </c>
    </row>
    <row r="1765" spans="2:6" x14ac:dyDescent="0.2">
      <c r="B1765" t="str">
        <f>IFERROR(IF('PDCA review'!$D$2=Do!B1763,Do!G1763,""),"")</f>
        <v/>
      </c>
      <c r="C1765">
        <f t="shared" si="81"/>
        <v>0</v>
      </c>
      <c r="D1765">
        <f>SUM($C$3:C1765)</f>
        <v>4</v>
      </c>
      <c r="E1765" t="e">
        <f t="shared" si="82"/>
        <v>#N/A</v>
      </c>
      <c r="F1765" s="28" t="str">
        <f t="shared" ca="1" si="83"/>
        <v/>
      </c>
    </row>
    <row r="1766" spans="2:6" x14ac:dyDescent="0.2">
      <c r="B1766" t="str">
        <f>IFERROR(IF('PDCA review'!$D$2=Do!B1764,Do!G1764,""),"")</f>
        <v/>
      </c>
      <c r="C1766">
        <f t="shared" si="81"/>
        <v>0</v>
      </c>
      <c r="D1766">
        <f>SUM($C$3:C1766)</f>
        <v>4</v>
      </c>
      <c r="E1766" t="e">
        <f t="shared" si="82"/>
        <v>#N/A</v>
      </c>
      <c r="F1766" s="28" t="str">
        <f t="shared" ca="1" si="83"/>
        <v/>
      </c>
    </row>
    <row r="1767" spans="2:6" x14ac:dyDescent="0.2">
      <c r="B1767" t="str">
        <f>IFERROR(IF('PDCA review'!$D$2=Do!B1765,Do!G1765,""),"")</f>
        <v/>
      </c>
      <c r="C1767">
        <f t="shared" si="81"/>
        <v>0</v>
      </c>
      <c r="D1767">
        <f>SUM($C$3:C1767)</f>
        <v>4</v>
      </c>
      <c r="E1767" t="e">
        <f t="shared" si="82"/>
        <v>#N/A</v>
      </c>
      <c r="F1767" s="28" t="str">
        <f t="shared" ca="1" si="83"/>
        <v/>
      </c>
    </row>
    <row r="1768" spans="2:6" x14ac:dyDescent="0.2">
      <c r="B1768" t="str">
        <f>IFERROR(IF('PDCA review'!$D$2=Do!B1766,Do!G1766,""),"")</f>
        <v/>
      </c>
      <c r="C1768">
        <f t="shared" si="81"/>
        <v>0</v>
      </c>
      <c r="D1768">
        <f>SUM($C$3:C1768)</f>
        <v>4</v>
      </c>
      <c r="E1768" t="e">
        <f t="shared" si="82"/>
        <v>#N/A</v>
      </c>
      <c r="F1768" s="28" t="str">
        <f t="shared" ca="1" si="83"/>
        <v/>
      </c>
    </row>
    <row r="1769" spans="2:6" x14ac:dyDescent="0.2">
      <c r="B1769" t="str">
        <f>IFERROR(IF('PDCA review'!$D$2=Do!B1767,Do!G1767,""),"")</f>
        <v/>
      </c>
      <c r="C1769">
        <f t="shared" si="81"/>
        <v>0</v>
      </c>
      <c r="D1769">
        <f>SUM($C$3:C1769)</f>
        <v>4</v>
      </c>
      <c r="E1769" t="e">
        <f t="shared" si="82"/>
        <v>#N/A</v>
      </c>
      <c r="F1769" s="28" t="str">
        <f t="shared" ca="1" si="83"/>
        <v/>
      </c>
    </row>
    <row r="1770" spans="2:6" x14ac:dyDescent="0.2">
      <c r="B1770" t="str">
        <f>IFERROR(IF('PDCA review'!$D$2=Do!B1768,Do!G1768,""),"")</f>
        <v/>
      </c>
      <c r="C1770">
        <f t="shared" si="81"/>
        <v>0</v>
      </c>
      <c r="D1770">
        <f>SUM($C$3:C1770)</f>
        <v>4</v>
      </c>
      <c r="E1770" t="e">
        <f t="shared" si="82"/>
        <v>#N/A</v>
      </c>
      <c r="F1770" s="28" t="str">
        <f t="shared" ca="1" si="83"/>
        <v/>
      </c>
    </row>
    <row r="1771" spans="2:6" x14ac:dyDescent="0.2">
      <c r="B1771" t="str">
        <f>IFERROR(IF('PDCA review'!$D$2=Do!B1769,Do!G1769,""),"")</f>
        <v/>
      </c>
      <c r="C1771">
        <f t="shared" si="81"/>
        <v>0</v>
      </c>
      <c r="D1771">
        <f>SUM($C$3:C1771)</f>
        <v>4</v>
      </c>
      <c r="E1771" t="e">
        <f t="shared" si="82"/>
        <v>#N/A</v>
      </c>
      <c r="F1771" s="28" t="str">
        <f t="shared" ca="1" si="83"/>
        <v/>
      </c>
    </row>
    <row r="1772" spans="2:6" x14ac:dyDescent="0.2">
      <c r="B1772" t="str">
        <f>IFERROR(IF('PDCA review'!$D$2=Do!B1770,Do!G1770,""),"")</f>
        <v/>
      </c>
      <c r="C1772">
        <f t="shared" si="81"/>
        <v>0</v>
      </c>
      <c r="D1772">
        <f>SUM($C$3:C1772)</f>
        <v>4</v>
      </c>
      <c r="E1772" t="e">
        <f t="shared" si="82"/>
        <v>#N/A</v>
      </c>
      <c r="F1772" s="28" t="str">
        <f t="shared" ca="1" si="83"/>
        <v/>
      </c>
    </row>
    <row r="1773" spans="2:6" x14ac:dyDescent="0.2">
      <c r="B1773" t="str">
        <f>IFERROR(IF('PDCA review'!$D$2=Do!B1771,Do!G1771,""),"")</f>
        <v/>
      </c>
      <c r="C1773">
        <f t="shared" si="81"/>
        <v>0</v>
      </c>
      <c r="D1773">
        <f>SUM($C$3:C1773)</f>
        <v>4</v>
      </c>
      <c r="E1773" t="e">
        <f t="shared" si="82"/>
        <v>#N/A</v>
      </c>
      <c r="F1773" s="28" t="str">
        <f t="shared" ca="1" si="83"/>
        <v/>
      </c>
    </row>
    <row r="1774" spans="2:6" x14ac:dyDescent="0.2">
      <c r="B1774" t="str">
        <f>IFERROR(IF('PDCA review'!$D$2=Do!B1772,Do!G1772,""),"")</f>
        <v/>
      </c>
      <c r="C1774">
        <f t="shared" si="81"/>
        <v>0</v>
      </c>
      <c r="D1774">
        <f>SUM($C$3:C1774)</f>
        <v>4</v>
      </c>
      <c r="E1774" t="e">
        <f t="shared" si="82"/>
        <v>#N/A</v>
      </c>
      <c r="F1774" s="28" t="str">
        <f t="shared" ca="1" si="83"/>
        <v/>
      </c>
    </row>
    <row r="1775" spans="2:6" x14ac:dyDescent="0.2">
      <c r="B1775" t="str">
        <f>IFERROR(IF('PDCA review'!$D$2=Do!B1773,Do!G1773,""),"")</f>
        <v/>
      </c>
      <c r="C1775">
        <f t="shared" si="81"/>
        <v>0</v>
      </c>
      <c r="D1775">
        <f>SUM($C$3:C1775)</f>
        <v>4</v>
      </c>
      <c r="E1775" t="e">
        <f t="shared" si="82"/>
        <v>#N/A</v>
      </c>
      <c r="F1775" s="28" t="str">
        <f t="shared" ca="1" si="83"/>
        <v/>
      </c>
    </row>
    <row r="1776" spans="2:6" x14ac:dyDescent="0.2">
      <c r="B1776" t="str">
        <f>IFERROR(IF('PDCA review'!$D$2=Do!B1774,Do!G1774,""),"")</f>
        <v/>
      </c>
      <c r="C1776">
        <f t="shared" si="81"/>
        <v>0</v>
      </c>
      <c r="D1776">
        <f>SUM($C$3:C1776)</f>
        <v>4</v>
      </c>
      <c r="E1776" t="e">
        <f t="shared" si="82"/>
        <v>#N/A</v>
      </c>
      <c r="F1776" s="28" t="str">
        <f t="shared" ca="1" si="83"/>
        <v/>
      </c>
    </row>
    <row r="1777" spans="2:6" x14ac:dyDescent="0.2">
      <c r="B1777" t="str">
        <f>IFERROR(IF('PDCA review'!$D$2=Do!B1775,Do!G1775,""),"")</f>
        <v/>
      </c>
      <c r="C1777">
        <f t="shared" si="81"/>
        <v>0</v>
      </c>
      <c r="D1777">
        <f>SUM($C$3:C1777)</f>
        <v>4</v>
      </c>
      <c r="E1777" t="e">
        <f t="shared" si="82"/>
        <v>#N/A</v>
      </c>
      <c r="F1777" s="28" t="str">
        <f t="shared" ca="1" si="83"/>
        <v/>
      </c>
    </row>
    <row r="1778" spans="2:6" x14ac:dyDescent="0.2">
      <c r="B1778" t="str">
        <f>IFERROR(IF('PDCA review'!$D$2=Do!B1776,Do!G1776,""),"")</f>
        <v/>
      </c>
      <c r="C1778">
        <f t="shared" si="81"/>
        <v>0</v>
      </c>
      <c r="D1778">
        <f>SUM($C$3:C1778)</f>
        <v>4</v>
      </c>
      <c r="E1778" t="e">
        <f t="shared" si="82"/>
        <v>#N/A</v>
      </c>
      <c r="F1778" s="28" t="str">
        <f t="shared" ca="1" si="83"/>
        <v/>
      </c>
    </row>
    <row r="1779" spans="2:6" x14ac:dyDescent="0.2">
      <c r="B1779" t="str">
        <f>IFERROR(IF('PDCA review'!$D$2=Do!B1777,Do!G1777,""),"")</f>
        <v/>
      </c>
      <c r="C1779">
        <f t="shared" si="81"/>
        <v>0</v>
      </c>
      <c r="D1779">
        <f>SUM($C$3:C1779)</f>
        <v>4</v>
      </c>
      <c r="E1779" t="e">
        <f t="shared" si="82"/>
        <v>#N/A</v>
      </c>
      <c r="F1779" s="28" t="str">
        <f t="shared" ca="1" si="83"/>
        <v/>
      </c>
    </row>
    <row r="1780" spans="2:6" x14ac:dyDescent="0.2">
      <c r="B1780" t="str">
        <f>IFERROR(IF('PDCA review'!$D$2=Do!B1778,Do!G1778,""),"")</f>
        <v/>
      </c>
      <c r="C1780">
        <f t="shared" si="81"/>
        <v>0</v>
      </c>
      <c r="D1780">
        <f>SUM($C$3:C1780)</f>
        <v>4</v>
      </c>
      <c r="E1780" t="e">
        <f t="shared" si="82"/>
        <v>#N/A</v>
      </c>
      <c r="F1780" s="28" t="str">
        <f t="shared" ca="1" si="83"/>
        <v/>
      </c>
    </row>
    <row r="1781" spans="2:6" x14ac:dyDescent="0.2">
      <c r="B1781" t="str">
        <f>IFERROR(IF('PDCA review'!$D$2=Do!B1779,Do!G1779,""),"")</f>
        <v/>
      </c>
      <c r="C1781">
        <f t="shared" si="81"/>
        <v>0</v>
      </c>
      <c r="D1781">
        <f>SUM($C$3:C1781)</f>
        <v>4</v>
      </c>
      <c r="E1781" t="e">
        <f t="shared" si="82"/>
        <v>#N/A</v>
      </c>
      <c r="F1781" s="28" t="str">
        <f t="shared" ca="1" si="83"/>
        <v/>
      </c>
    </row>
    <row r="1782" spans="2:6" x14ac:dyDescent="0.2">
      <c r="B1782" t="str">
        <f>IFERROR(IF('PDCA review'!$D$2=Do!B1780,Do!G1780,""),"")</f>
        <v/>
      </c>
      <c r="C1782">
        <f t="shared" si="81"/>
        <v>0</v>
      </c>
      <c r="D1782">
        <f>SUM($C$3:C1782)</f>
        <v>4</v>
      </c>
      <c r="E1782" t="e">
        <f t="shared" si="82"/>
        <v>#N/A</v>
      </c>
      <c r="F1782" s="28" t="str">
        <f t="shared" ca="1" si="83"/>
        <v/>
      </c>
    </row>
    <row r="1783" spans="2:6" x14ac:dyDescent="0.2">
      <c r="B1783" t="str">
        <f>IFERROR(IF('PDCA review'!$D$2=Do!B1781,Do!G1781,""),"")</f>
        <v/>
      </c>
      <c r="C1783">
        <f t="shared" si="81"/>
        <v>0</v>
      </c>
      <c r="D1783">
        <f>SUM($C$3:C1783)</f>
        <v>4</v>
      </c>
      <c r="E1783" t="e">
        <f t="shared" si="82"/>
        <v>#N/A</v>
      </c>
      <c r="F1783" s="28" t="str">
        <f t="shared" ca="1" si="83"/>
        <v/>
      </c>
    </row>
    <row r="1784" spans="2:6" x14ac:dyDescent="0.2">
      <c r="B1784" t="str">
        <f>IFERROR(IF('PDCA review'!$D$2=Do!B1782,Do!G1782,""),"")</f>
        <v/>
      </c>
      <c r="C1784">
        <f t="shared" si="81"/>
        <v>0</v>
      </c>
      <c r="D1784">
        <f>SUM($C$3:C1784)</f>
        <v>4</v>
      </c>
      <c r="E1784" t="e">
        <f t="shared" si="82"/>
        <v>#N/A</v>
      </c>
      <c r="F1784" s="28" t="str">
        <f t="shared" ca="1" si="83"/>
        <v/>
      </c>
    </row>
    <row r="1785" spans="2:6" x14ac:dyDescent="0.2">
      <c r="B1785" t="str">
        <f>IFERROR(IF('PDCA review'!$D$2=Do!B1783,Do!G1783,""),"")</f>
        <v/>
      </c>
      <c r="C1785">
        <f t="shared" si="81"/>
        <v>0</v>
      </c>
      <c r="D1785">
        <f>SUM($C$3:C1785)</f>
        <v>4</v>
      </c>
      <c r="E1785" t="e">
        <f t="shared" si="82"/>
        <v>#N/A</v>
      </c>
      <c r="F1785" s="28" t="str">
        <f t="shared" ca="1" si="83"/>
        <v/>
      </c>
    </row>
    <row r="1786" spans="2:6" x14ac:dyDescent="0.2">
      <c r="B1786" t="str">
        <f>IFERROR(IF('PDCA review'!$D$2=Do!B1784,Do!G1784,""),"")</f>
        <v/>
      </c>
      <c r="C1786">
        <f t="shared" si="81"/>
        <v>0</v>
      </c>
      <c r="D1786">
        <f>SUM($C$3:C1786)</f>
        <v>4</v>
      </c>
      <c r="E1786" t="e">
        <f t="shared" si="82"/>
        <v>#N/A</v>
      </c>
      <c r="F1786" s="28" t="str">
        <f t="shared" ca="1" si="83"/>
        <v/>
      </c>
    </row>
    <row r="1787" spans="2:6" x14ac:dyDescent="0.2">
      <c r="B1787" t="str">
        <f>IFERROR(IF('PDCA review'!$D$2=Do!B1785,Do!G1785,""),"")</f>
        <v/>
      </c>
      <c r="C1787">
        <f t="shared" si="81"/>
        <v>0</v>
      </c>
      <c r="D1787">
        <f>SUM($C$3:C1787)</f>
        <v>4</v>
      </c>
      <c r="E1787" t="e">
        <f t="shared" si="82"/>
        <v>#N/A</v>
      </c>
      <c r="F1787" s="28" t="str">
        <f t="shared" ca="1" si="83"/>
        <v/>
      </c>
    </row>
    <row r="1788" spans="2:6" x14ac:dyDescent="0.2">
      <c r="B1788" t="str">
        <f>IFERROR(IF('PDCA review'!$D$2=Do!B1786,Do!G1786,""),"")</f>
        <v/>
      </c>
      <c r="C1788">
        <f t="shared" si="81"/>
        <v>0</v>
      </c>
      <c r="D1788">
        <f>SUM($C$3:C1788)</f>
        <v>4</v>
      </c>
      <c r="E1788" t="e">
        <f t="shared" si="82"/>
        <v>#N/A</v>
      </c>
      <c r="F1788" s="28" t="str">
        <f t="shared" ca="1" si="83"/>
        <v/>
      </c>
    </row>
    <row r="1789" spans="2:6" x14ac:dyDescent="0.2">
      <c r="B1789" t="str">
        <f>IFERROR(IF('PDCA review'!$D$2=Do!B1787,Do!G1787,""),"")</f>
        <v/>
      </c>
      <c r="C1789">
        <f t="shared" si="81"/>
        <v>0</v>
      </c>
      <c r="D1789">
        <f>SUM($C$3:C1789)</f>
        <v>4</v>
      </c>
      <c r="E1789" t="e">
        <f t="shared" si="82"/>
        <v>#N/A</v>
      </c>
      <c r="F1789" s="28" t="str">
        <f t="shared" ca="1" si="83"/>
        <v/>
      </c>
    </row>
    <row r="1790" spans="2:6" x14ac:dyDescent="0.2">
      <c r="B1790" t="str">
        <f>IFERROR(IF('PDCA review'!$D$2=Do!B1788,Do!G1788,""),"")</f>
        <v/>
      </c>
      <c r="C1790">
        <f t="shared" si="81"/>
        <v>0</v>
      </c>
      <c r="D1790">
        <f>SUM($C$3:C1790)</f>
        <v>4</v>
      </c>
      <c r="E1790" t="e">
        <f t="shared" si="82"/>
        <v>#N/A</v>
      </c>
      <c r="F1790" s="28" t="str">
        <f t="shared" ca="1" si="83"/>
        <v/>
      </c>
    </row>
    <row r="1791" spans="2:6" x14ac:dyDescent="0.2">
      <c r="B1791" t="str">
        <f>IFERROR(IF('PDCA review'!$D$2=Do!B1789,Do!G1789,""),"")</f>
        <v/>
      </c>
      <c r="C1791">
        <f t="shared" si="81"/>
        <v>0</v>
      </c>
      <c r="D1791">
        <f>SUM($C$3:C1791)</f>
        <v>4</v>
      </c>
      <c r="E1791" t="e">
        <f t="shared" si="82"/>
        <v>#N/A</v>
      </c>
      <c r="F1791" s="28" t="str">
        <f t="shared" ca="1" si="83"/>
        <v/>
      </c>
    </row>
    <row r="1792" spans="2:6" x14ac:dyDescent="0.2">
      <c r="B1792" t="str">
        <f>IFERROR(IF('PDCA review'!$D$2=Do!B1790,Do!G1790,""),"")</f>
        <v/>
      </c>
      <c r="C1792">
        <f t="shared" si="81"/>
        <v>0</v>
      </c>
      <c r="D1792">
        <f>SUM($C$3:C1792)</f>
        <v>4</v>
      </c>
      <c r="E1792" t="e">
        <f t="shared" si="82"/>
        <v>#N/A</v>
      </c>
      <c r="F1792" s="28" t="str">
        <f t="shared" ca="1" si="83"/>
        <v/>
      </c>
    </row>
    <row r="1793" spans="2:6" x14ac:dyDescent="0.2">
      <c r="B1793" t="str">
        <f>IFERROR(IF('PDCA review'!$D$2=Do!B1791,Do!G1791,""),"")</f>
        <v/>
      </c>
      <c r="C1793">
        <f t="shared" si="81"/>
        <v>0</v>
      </c>
      <c r="D1793">
        <f>SUM($C$3:C1793)</f>
        <v>4</v>
      </c>
      <c r="E1793" t="e">
        <f t="shared" si="82"/>
        <v>#N/A</v>
      </c>
      <c r="F1793" s="28" t="str">
        <f t="shared" ca="1" si="83"/>
        <v/>
      </c>
    </row>
    <row r="1794" spans="2:6" x14ac:dyDescent="0.2">
      <c r="B1794" t="str">
        <f>IFERROR(IF('PDCA review'!$D$2=Do!B1792,Do!G1792,""),"")</f>
        <v/>
      </c>
      <c r="C1794">
        <f t="shared" si="81"/>
        <v>0</v>
      </c>
      <c r="D1794">
        <f>SUM($C$3:C1794)</f>
        <v>4</v>
      </c>
      <c r="E1794" t="e">
        <f t="shared" si="82"/>
        <v>#N/A</v>
      </c>
      <c r="F1794" s="28" t="str">
        <f t="shared" ca="1" si="83"/>
        <v/>
      </c>
    </row>
    <row r="1795" spans="2:6" x14ac:dyDescent="0.2">
      <c r="B1795" t="str">
        <f>IFERROR(IF('PDCA review'!$D$2=Do!B1793,Do!G1793,""),"")</f>
        <v/>
      </c>
      <c r="C1795">
        <f t="shared" si="81"/>
        <v>0</v>
      </c>
      <c r="D1795">
        <f>SUM($C$3:C1795)</f>
        <v>4</v>
      </c>
      <c r="E1795" t="e">
        <f t="shared" si="82"/>
        <v>#N/A</v>
      </c>
      <c r="F1795" s="28" t="str">
        <f t="shared" ca="1" si="83"/>
        <v/>
      </c>
    </row>
    <row r="1796" spans="2:6" x14ac:dyDescent="0.2">
      <c r="B1796" t="str">
        <f>IFERROR(IF('PDCA review'!$D$2=Do!B1794,Do!G1794,""),"")</f>
        <v/>
      </c>
      <c r="C1796">
        <f t="shared" ref="C1796:C1859" si="84">IF(B1796&lt;&gt;"",1,0)</f>
        <v>0</v>
      </c>
      <c r="D1796">
        <f>SUM($C$3:C1796)</f>
        <v>4</v>
      </c>
      <c r="E1796" t="e">
        <f t="shared" ref="E1796:E1859" si="85">MATCH(ROW()-$D$2,$D$3:$D$2000,0)+$D$2</f>
        <v>#N/A</v>
      </c>
      <c r="F1796" s="28" t="str">
        <f t="shared" ref="F1796:F1859" ca="1" si="86">IFERROR(INDIRECT("B"&amp;E1796),"")</f>
        <v/>
      </c>
    </row>
    <row r="1797" spans="2:6" x14ac:dyDescent="0.2">
      <c r="B1797" t="str">
        <f>IFERROR(IF('PDCA review'!$D$2=Do!B1795,Do!G1795,""),"")</f>
        <v/>
      </c>
      <c r="C1797">
        <f t="shared" si="84"/>
        <v>0</v>
      </c>
      <c r="D1797">
        <f>SUM($C$3:C1797)</f>
        <v>4</v>
      </c>
      <c r="E1797" t="e">
        <f t="shared" si="85"/>
        <v>#N/A</v>
      </c>
      <c r="F1797" s="28" t="str">
        <f t="shared" ca="1" si="86"/>
        <v/>
      </c>
    </row>
    <row r="1798" spans="2:6" x14ac:dyDescent="0.2">
      <c r="B1798" t="str">
        <f>IFERROR(IF('PDCA review'!$D$2=Do!B1796,Do!G1796,""),"")</f>
        <v/>
      </c>
      <c r="C1798">
        <f t="shared" si="84"/>
        <v>0</v>
      </c>
      <c r="D1798">
        <f>SUM($C$3:C1798)</f>
        <v>4</v>
      </c>
      <c r="E1798" t="e">
        <f t="shared" si="85"/>
        <v>#N/A</v>
      </c>
      <c r="F1798" s="28" t="str">
        <f t="shared" ca="1" si="86"/>
        <v/>
      </c>
    </row>
    <row r="1799" spans="2:6" x14ac:dyDescent="0.2">
      <c r="B1799" t="str">
        <f>IFERROR(IF('PDCA review'!$D$2=Do!B1797,Do!G1797,""),"")</f>
        <v/>
      </c>
      <c r="C1799">
        <f t="shared" si="84"/>
        <v>0</v>
      </c>
      <c r="D1799">
        <f>SUM($C$3:C1799)</f>
        <v>4</v>
      </c>
      <c r="E1799" t="e">
        <f t="shared" si="85"/>
        <v>#N/A</v>
      </c>
      <c r="F1799" s="28" t="str">
        <f t="shared" ca="1" si="86"/>
        <v/>
      </c>
    </row>
    <row r="1800" spans="2:6" x14ac:dyDescent="0.2">
      <c r="B1800" t="str">
        <f>IFERROR(IF('PDCA review'!$D$2=Do!B1798,Do!G1798,""),"")</f>
        <v/>
      </c>
      <c r="C1800">
        <f t="shared" si="84"/>
        <v>0</v>
      </c>
      <c r="D1800">
        <f>SUM($C$3:C1800)</f>
        <v>4</v>
      </c>
      <c r="E1800" t="e">
        <f t="shared" si="85"/>
        <v>#N/A</v>
      </c>
      <c r="F1800" s="28" t="str">
        <f t="shared" ca="1" si="86"/>
        <v/>
      </c>
    </row>
    <row r="1801" spans="2:6" x14ac:dyDescent="0.2">
      <c r="B1801" t="str">
        <f>IFERROR(IF('PDCA review'!$D$2=Do!B1799,Do!G1799,""),"")</f>
        <v/>
      </c>
      <c r="C1801">
        <f t="shared" si="84"/>
        <v>0</v>
      </c>
      <c r="D1801">
        <f>SUM($C$3:C1801)</f>
        <v>4</v>
      </c>
      <c r="E1801" t="e">
        <f t="shared" si="85"/>
        <v>#N/A</v>
      </c>
      <c r="F1801" s="28" t="str">
        <f t="shared" ca="1" si="86"/>
        <v/>
      </c>
    </row>
    <row r="1802" spans="2:6" x14ac:dyDescent="0.2">
      <c r="B1802" t="str">
        <f>IFERROR(IF('PDCA review'!$D$2=Do!B1800,Do!G1800,""),"")</f>
        <v/>
      </c>
      <c r="C1802">
        <f t="shared" si="84"/>
        <v>0</v>
      </c>
      <c r="D1802">
        <f>SUM($C$3:C1802)</f>
        <v>4</v>
      </c>
      <c r="E1802" t="e">
        <f t="shared" si="85"/>
        <v>#N/A</v>
      </c>
      <c r="F1802" s="28" t="str">
        <f t="shared" ca="1" si="86"/>
        <v/>
      </c>
    </row>
    <row r="1803" spans="2:6" x14ac:dyDescent="0.2">
      <c r="B1803" t="str">
        <f>IFERROR(IF('PDCA review'!$D$2=Do!B1801,Do!G1801,""),"")</f>
        <v/>
      </c>
      <c r="C1803">
        <f t="shared" si="84"/>
        <v>0</v>
      </c>
      <c r="D1803">
        <f>SUM($C$3:C1803)</f>
        <v>4</v>
      </c>
      <c r="E1803" t="e">
        <f t="shared" si="85"/>
        <v>#N/A</v>
      </c>
      <c r="F1803" s="28" t="str">
        <f t="shared" ca="1" si="86"/>
        <v/>
      </c>
    </row>
    <row r="1804" spans="2:6" x14ac:dyDescent="0.2">
      <c r="B1804" t="str">
        <f>IFERROR(IF('PDCA review'!$D$2=Do!B1802,Do!G1802,""),"")</f>
        <v/>
      </c>
      <c r="C1804">
        <f t="shared" si="84"/>
        <v>0</v>
      </c>
      <c r="D1804">
        <f>SUM($C$3:C1804)</f>
        <v>4</v>
      </c>
      <c r="E1804" t="e">
        <f t="shared" si="85"/>
        <v>#N/A</v>
      </c>
      <c r="F1804" s="28" t="str">
        <f t="shared" ca="1" si="86"/>
        <v/>
      </c>
    </row>
    <row r="1805" spans="2:6" x14ac:dyDescent="0.2">
      <c r="B1805" t="str">
        <f>IFERROR(IF('PDCA review'!$D$2=Do!B1803,Do!G1803,""),"")</f>
        <v/>
      </c>
      <c r="C1805">
        <f t="shared" si="84"/>
        <v>0</v>
      </c>
      <c r="D1805">
        <f>SUM($C$3:C1805)</f>
        <v>4</v>
      </c>
      <c r="E1805" t="e">
        <f t="shared" si="85"/>
        <v>#N/A</v>
      </c>
      <c r="F1805" s="28" t="str">
        <f t="shared" ca="1" si="86"/>
        <v/>
      </c>
    </row>
    <row r="1806" spans="2:6" x14ac:dyDescent="0.2">
      <c r="B1806" t="str">
        <f>IFERROR(IF('PDCA review'!$D$2=Do!B1804,Do!G1804,""),"")</f>
        <v/>
      </c>
      <c r="C1806">
        <f t="shared" si="84"/>
        <v>0</v>
      </c>
      <c r="D1806">
        <f>SUM($C$3:C1806)</f>
        <v>4</v>
      </c>
      <c r="E1806" t="e">
        <f t="shared" si="85"/>
        <v>#N/A</v>
      </c>
      <c r="F1806" s="28" t="str">
        <f t="shared" ca="1" si="86"/>
        <v/>
      </c>
    </row>
    <row r="1807" spans="2:6" x14ac:dyDescent="0.2">
      <c r="B1807" t="str">
        <f>IFERROR(IF('PDCA review'!$D$2=Do!B1805,Do!G1805,""),"")</f>
        <v/>
      </c>
      <c r="C1807">
        <f t="shared" si="84"/>
        <v>0</v>
      </c>
      <c r="D1807">
        <f>SUM($C$3:C1807)</f>
        <v>4</v>
      </c>
      <c r="E1807" t="e">
        <f t="shared" si="85"/>
        <v>#N/A</v>
      </c>
      <c r="F1807" s="28" t="str">
        <f t="shared" ca="1" si="86"/>
        <v/>
      </c>
    </row>
    <row r="1808" spans="2:6" x14ac:dyDescent="0.2">
      <c r="B1808" t="str">
        <f>IFERROR(IF('PDCA review'!$D$2=Do!B1806,Do!G1806,""),"")</f>
        <v/>
      </c>
      <c r="C1808">
        <f t="shared" si="84"/>
        <v>0</v>
      </c>
      <c r="D1808">
        <f>SUM($C$3:C1808)</f>
        <v>4</v>
      </c>
      <c r="E1808" t="e">
        <f t="shared" si="85"/>
        <v>#N/A</v>
      </c>
      <c r="F1808" s="28" t="str">
        <f t="shared" ca="1" si="86"/>
        <v/>
      </c>
    </row>
    <row r="1809" spans="2:6" x14ac:dyDescent="0.2">
      <c r="B1809" t="str">
        <f>IFERROR(IF('PDCA review'!$D$2=Do!B1807,Do!G1807,""),"")</f>
        <v/>
      </c>
      <c r="C1809">
        <f t="shared" si="84"/>
        <v>0</v>
      </c>
      <c r="D1809">
        <f>SUM($C$3:C1809)</f>
        <v>4</v>
      </c>
      <c r="E1809" t="e">
        <f t="shared" si="85"/>
        <v>#N/A</v>
      </c>
      <c r="F1809" s="28" t="str">
        <f t="shared" ca="1" si="86"/>
        <v/>
      </c>
    </row>
    <row r="1810" spans="2:6" x14ac:dyDescent="0.2">
      <c r="B1810" t="str">
        <f>IFERROR(IF('PDCA review'!$D$2=Do!B1808,Do!G1808,""),"")</f>
        <v/>
      </c>
      <c r="C1810">
        <f t="shared" si="84"/>
        <v>0</v>
      </c>
      <c r="D1810">
        <f>SUM($C$3:C1810)</f>
        <v>4</v>
      </c>
      <c r="E1810" t="e">
        <f t="shared" si="85"/>
        <v>#N/A</v>
      </c>
      <c r="F1810" s="28" t="str">
        <f t="shared" ca="1" si="86"/>
        <v/>
      </c>
    </row>
    <row r="1811" spans="2:6" x14ac:dyDescent="0.2">
      <c r="B1811" t="str">
        <f>IFERROR(IF('PDCA review'!$D$2=Do!B1809,Do!G1809,""),"")</f>
        <v/>
      </c>
      <c r="C1811">
        <f t="shared" si="84"/>
        <v>0</v>
      </c>
      <c r="D1811">
        <f>SUM($C$3:C1811)</f>
        <v>4</v>
      </c>
      <c r="E1811" t="e">
        <f t="shared" si="85"/>
        <v>#N/A</v>
      </c>
      <c r="F1811" s="28" t="str">
        <f t="shared" ca="1" si="86"/>
        <v/>
      </c>
    </row>
    <row r="1812" spans="2:6" x14ac:dyDescent="0.2">
      <c r="B1812" t="str">
        <f>IFERROR(IF('PDCA review'!$D$2=Do!B1810,Do!G1810,""),"")</f>
        <v/>
      </c>
      <c r="C1812">
        <f t="shared" si="84"/>
        <v>0</v>
      </c>
      <c r="D1812">
        <f>SUM($C$3:C1812)</f>
        <v>4</v>
      </c>
      <c r="E1812" t="e">
        <f t="shared" si="85"/>
        <v>#N/A</v>
      </c>
      <c r="F1812" s="28" t="str">
        <f t="shared" ca="1" si="86"/>
        <v/>
      </c>
    </row>
    <row r="1813" spans="2:6" x14ac:dyDescent="0.2">
      <c r="B1813" t="str">
        <f>IFERROR(IF('PDCA review'!$D$2=Do!B1811,Do!G1811,""),"")</f>
        <v/>
      </c>
      <c r="C1813">
        <f t="shared" si="84"/>
        <v>0</v>
      </c>
      <c r="D1813">
        <f>SUM($C$3:C1813)</f>
        <v>4</v>
      </c>
      <c r="E1813" t="e">
        <f t="shared" si="85"/>
        <v>#N/A</v>
      </c>
      <c r="F1813" s="28" t="str">
        <f t="shared" ca="1" si="86"/>
        <v/>
      </c>
    </row>
    <row r="1814" spans="2:6" x14ac:dyDescent="0.2">
      <c r="B1814" t="str">
        <f>IFERROR(IF('PDCA review'!$D$2=Do!B1812,Do!G1812,""),"")</f>
        <v/>
      </c>
      <c r="C1814">
        <f t="shared" si="84"/>
        <v>0</v>
      </c>
      <c r="D1814">
        <f>SUM($C$3:C1814)</f>
        <v>4</v>
      </c>
      <c r="E1814" t="e">
        <f t="shared" si="85"/>
        <v>#N/A</v>
      </c>
      <c r="F1814" s="28" t="str">
        <f t="shared" ca="1" si="86"/>
        <v/>
      </c>
    </row>
    <row r="1815" spans="2:6" x14ac:dyDescent="0.2">
      <c r="B1815" t="str">
        <f>IFERROR(IF('PDCA review'!$D$2=Do!B1813,Do!G1813,""),"")</f>
        <v/>
      </c>
      <c r="C1815">
        <f t="shared" si="84"/>
        <v>0</v>
      </c>
      <c r="D1815">
        <f>SUM($C$3:C1815)</f>
        <v>4</v>
      </c>
      <c r="E1815" t="e">
        <f t="shared" si="85"/>
        <v>#N/A</v>
      </c>
      <c r="F1815" s="28" t="str">
        <f t="shared" ca="1" si="86"/>
        <v/>
      </c>
    </row>
    <row r="1816" spans="2:6" x14ac:dyDescent="0.2">
      <c r="B1816" t="str">
        <f>IFERROR(IF('PDCA review'!$D$2=Do!B1814,Do!G1814,""),"")</f>
        <v/>
      </c>
      <c r="C1816">
        <f t="shared" si="84"/>
        <v>0</v>
      </c>
      <c r="D1816">
        <f>SUM($C$3:C1816)</f>
        <v>4</v>
      </c>
      <c r="E1816" t="e">
        <f t="shared" si="85"/>
        <v>#N/A</v>
      </c>
      <c r="F1816" s="28" t="str">
        <f t="shared" ca="1" si="86"/>
        <v/>
      </c>
    </row>
    <row r="1817" spans="2:6" x14ac:dyDescent="0.2">
      <c r="B1817" t="str">
        <f>IFERROR(IF('PDCA review'!$D$2=Do!B1815,Do!G1815,""),"")</f>
        <v/>
      </c>
      <c r="C1817">
        <f t="shared" si="84"/>
        <v>0</v>
      </c>
      <c r="D1817">
        <f>SUM($C$3:C1817)</f>
        <v>4</v>
      </c>
      <c r="E1817" t="e">
        <f t="shared" si="85"/>
        <v>#N/A</v>
      </c>
      <c r="F1817" s="28" t="str">
        <f t="shared" ca="1" si="86"/>
        <v/>
      </c>
    </row>
    <row r="1818" spans="2:6" x14ac:dyDescent="0.2">
      <c r="B1818" t="str">
        <f>IFERROR(IF('PDCA review'!$D$2=Do!B1816,Do!G1816,""),"")</f>
        <v/>
      </c>
      <c r="C1818">
        <f t="shared" si="84"/>
        <v>0</v>
      </c>
      <c r="D1818">
        <f>SUM($C$3:C1818)</f>
        <v>4</v>
      </c>
      <c r="E1818" t="e">
        <f t="shared" si="85"/>
        <v>#N/A</v>
      </c>
      <c r="F1818" s="28" t="str">
        <f t="shared" ca="1" si="86"/>
        <v/>
      </c>
    </row>
    <row r="1819" spans="2:6" x14ac:dyDescent="0.2">
      <c r="B1819" t="str">
        <f>IFERROR(IF('PDCA review'!$D$2=Do!B1817,Do!G1817,""),"")</f>
        <v/>
      </c>
      <c r="C1819">
        <f t="shared" si="84"/>
        <v>0</v>
      </c>
      <c r="D1819">
        <f>SUM($C$3:C1819)</f>
        <v>4</v>
      </c>
      <c r="E1819" t="e">
        <f t="shared" si="85"/>
        <v>#N/A</v>
      </c>
      <c r="F1819" s="28" t="str">
        <f t="shared" ca="1" si="86"/>
        <v/>
      </c>
    </row>
    <row r="1820" spans="2:6" x14ac:dyDescent="0.2">
      <c r="B1820" t="str">
        <f>IFERROR(IF('PDCA review'!$D$2=Do!B1818,Do!G1818,""),"")</f>
        <v/>
      </c>
      <c r="C1820">
        <f t="shared" si="84"/>
        <v>0</v>
      </c>
      <c r="D1820">
        <f>SUM($C$3:C1820)</f>
        <v>4</v>
      </c>
      <c r="E1820" t="e">
        <f t="shared" si="85"/>
        <v>#N/A</v>
      </c>
      <c r="F1820" s="28" t="str">
        <f t="shared" ca="1" si="86"/>
        <v/>
      </c>
    </row>
    <row r="1821" spans="2:6" x14ac:dyDescent="0.2">
      <c r="B1821" t="str">
        <f>IFERROR(IF('PDCA review'!$D$2=Do!B1819,Do!G1819,""),"")</f>
        <v/>
      </c>
      <c r="C1821">
        <f t="shared" si="84"/>
        <v>0</v>
      </c>
      <c r="D1821">
        <f>SUM($C$3:C1821)</f>
        <v>4</v>
      </c>
      <c r="E1821" t="e">
        <f t="shared" si="85"/>
        <v>#N/A</v>
      </c>
      <c r="F1821" s="28" t="str">
        <f t="shared" ca="1" si="86"/>
        <v/>
      </c>
    </row>
    <row r="1822" spans="2:6" x14ac:dyDescent="0.2">
      <c r="B1822" t="str">
        <f>IFERROR(IF('PDCA review'!$D$2=Do!B1820,Do!G1820,""),"")</f>
        <v/>
      </c>
      <c r="C1822">
        <f t="shared" si="84"/>
        <v>0</v>
      </c>
      <c r="D1822">
        <f>SUM($C$3:C1822)</f>
        <v>4</v>
      </c>
      <c r="E1822" t="e">
        <f t="shared" si="85"/>
        <v>#N/A</v>
      </c>
      <c r="F1822" s="28" t="str">
        <f t="shared" ca="1" si="86"/>
        <v/>
      </c>
    </row>
    <row r="1823" spans="2:6" x14ac:dyDescent="0.2">
      <c r="B1823" t="str">
        <f>IFERROR(IF('PDCA review'!$D$2=Do!B1821,Do!G1821,""),"")</f>
        <v/>
      </c>
      <c r="C1823">
        <f t="shared" si="84"/>
        <v>0</v>
      </c>
      <c r="D1823">
        <f>SUM($C$3:C1823)</f>
        <v>4</v>
      </c>
      <c r="E1823" t="e">
        <f t="shared" si="85"/>
        <v>#N/A</v>
      </c>
      <c r="F1823" s="28" t="str">
        <f t="shared" ca="1" si="86"/>
        <v/>
      </c>
    </row>
    <row r="1824" spans="2:6" x14ac:dyDescent="0.2">
      <c r="B1824" t="str">
        <f>IFERROR(IF('PDCA review'!$D$2=Do!B1822,Do!G1822,""),"")</f>
        <v/>
      </c>
      <c r="C1824">
        <f t="shared" si="84"/>
        <v>0</v>
      </c>
      <c r="D1824">
        <f>SUM($C$3:C1824)</f>
        <v>4</v>
      </c>
      <c r="E1824" t="e">
        <f t="shared" si="85"/>
        <v>#N/A</v>
      </c>
      <c r="F1824" s="28" t="str">
        <f t="shared" ca="1" si="86"/>
        <v/>
      </c>
    </row>
    <row r="1825" spans="2:6" x14ac:dyDescent="0.2">
      <c r="B1825" t="str">
        <f>IFERROR(IF('PDCA review'!$D$2=Do!B1823,Do!G1823,""),"")</f>
        <v/>
      </c>
      <c r="C1825">
        <f t="shared" si="84"/>
        <v>0</v>
      </c>
      <c r="D1825">
        <f>SUM($C$3:C1825)</f>
        <v>4</v>
      </c>
      <c r="E1825" t="e">
        <f t="shared" si="85"/>
        <v>#N/A</v>
      </c>
      <c r="F1825" s="28" t="str">
        <f t="shared" ca="1" si="86"/>
        <v/>
      </c>
    </row>
    <row r="1826" spans="2:6" x14ac:dyDescent="0.2">
      <c r="B1826" t="str">
        <f>IFERROR(IF('PDCA review'!$D$2=Do!B1824,Do!G1824,""),"")</f>
        <v/>
      </c>
      <c r="C1826">
        <f t="shared" si="84"/>
        <v>0</v>
      </c>
      <c r="D1826">
        <f>SUM($C$3:C1826)</f>
        <v>4</v>
      </c>
      <c r="E1826" t="e">
        <f t="shared" si="85"/>
        <v>#N/A</v>
      </c>
      <c r="F1826" s="28" t="str">
        <f t="shared" ca="1" si="86"/>
        <v/>
      </c>
    </row>
    <row r="1827" spans="2:6" x14ac:dyDescent="0.2">
      <c r="B1827" t="str">
        <f>IFERROR(IF('PDCA review'!$D$2=Do!B1825,Do!G1825,""),"")</f>
        <v/>
      </c>
      <c r="C1827">
        <f t="shared" si="84"/>
        <v>0</v>
      </c>
      <c r="D1827">
        <f>SUM($C$3:C1827)</f>
        <v>4</v>
      </c>
      <c r="E1827" t="e">
        <f t="shared" si="85"/>
        <v>#N/A</v>
      </c>
      <c r="F1827" s="28" t="str">
        <f t="shared" ca="1" si="86"/>
        <v/>
      </c>
    </row>
    <row r="1828" spans="2:6" x14ac:dyDescent="0.2">
      <c r="B1828" t="str">
        <f>IFERROR(IF('PDCA review'!$D$2=Do!B1826,Do!G1826,""),"")</f>
        <v/>
      </c>
      <c r="C1828">
        <f t="shared" si="84"/>
        <v>0</v>
      </c>
      <c r="D1828">
        <f>SUM($C$3:C1828)</f>
        <v>4</v>
      </c>
      <c r="E1828" t="e">
        <f t="shared" si="85"/>
        <v>#N/A</v>
      </c>
      <c r="F1828" s="28" t="str">
        <f t="shared" ca="1" si="86"/>
        <v/>
      </c>
    </row>
    <row r="1829" spans="2:6" x14ac:dyDescent="0.2">
      <c r="B1829" t="str">
        <f>IFERROR(IF('PDCA review'!$D$2=Do!B1827,Do!G1827,""),"")</f>
        <v/>
      </c>
      <c r="C1829">
        <f t="shared" si="84"/>
        <v>0</v>
      </c>
      <c r="D1829">
        <f>SUM($C$3:C1829)</f>
        <v>4</v>
      </c>
      <c r="E1829" t="e">
        <f t="shared" si="85"/>
        <v>#N/A</v>
      </c>
      <c r="F1829" s="28" t="str">
        <f t="shared" ca="1" si="86"/>
        <v/>
      </c>
    </row>
    <row r="1830" spans="2:6" x14ac:dyDescent="0.2">
      <c r="B1830" t="str">
        <f>IFERROR(IF('PDCA review'!$D$2=Do!B1828,Do!G1828,""),"")</f>
        <v/>
      </c>
      <c r="C1830">
        <f t="shared" si="84"/>
        <v>0</v>
      </c>
      <c r="D1830">
        <f>SUM($C$3:C1830)</f>
        <v>4</v>
      </c>
      <c r="E1830" t="e">
        <f t="shared" si="85"/>
        <v>#N/A</v>
      </c>
      <c r="F1830" s="28" t="str">
        <f t="shared" ca="1" si="86"/>
        <v/>
      </c>
    </row>
    <row r="1831" spans="2:6" x14ac:dyDescent="0.2">
      <c r="B1831" t="str">
        <f>IFERROR(IF('PDCA review'!$D$2=Do!B1829,Do!G1829,""),"")</f>
        <v/>
      </c>
      <c r="C1831">
        <f t="shared" si="84"/>
        <v>0</v>
      </c>
      <c r="D1831">
        <f>SUM($C$3:C1831)</f>
        <v>4</v>
      </c>
      <c r="E1831" t="e">
        <f t="shared" si="85"/>
        <v>#N/A</v>
      </c>
      <c r="F1831" s="28" t="str">
        <f t="shared" ca="1" si="86"/>
        <v/>
      </c>
    </row>
    <row r="1832" spans="2:6" x14ac:dyDescent="0.2">
      <c r="B1832" t="str">
        <f>IFERROR(IF('PDCA review'!$D$2=Do!B1830,Do!G1830,""),"")</f>
        <v/>
      </c>
      <c r="C1832">
        <f t="shared" si="84"/>
        <v>0</v>
      </c>
      <c r="D1832">
        <f>SUM($C$3:C1832)</f>
        <v>4</v>
      </c>
      <c r="E1832" t="e">
        <f t="shared" si="85"/>
        <v>#N/A</v>
      </c>
      <c r="F1832" s="28" t="str">
        <f t="shared" ca="1" si="86"/>
        <v/>
      </c>
    </row>
    <row r="1833" spans="2:6" x14ac:dyDescent="0.2">
      <c r="B1833" t="str">
        <f>IFERROR(IF('PDCA review'!$D$2=Do!B1831,Do!G1831,""),"")</f>
        <v/>
      </c>
      <c r="C1833">
        <f t="shared" si="84"/>
        <v>0</v>
      </c>
      <c r="D1833">
        <f>SUM($C$3:C1833)</f>
        <v>4</v>
      </c>
      <c r="E1833" t="e">
        <f t="shared" si="85"/>
        <v>#N/A</v>
      </c>
      <c r="F1833" s="28" t="str">
        <f t="shared" ca="1" si="86"/>
        <v/>
      </c>
    </row>
    <row r="1834" spans="2:6" x14ac:dyDescent="0.2">
      <c r="B1834" t="str">
        <f>IFERROR(IF('PDCA review'!$D$2=Do!B1832,Do!G1832,""),"")</f>
        <v/>
      </c>
      <c r="C1834">
        <f t="shared" si="84"/>
        <v>0</v>
      </c>
      <c r="D1834">
        <f>SUM($C$3:C1834)</f>
        <v>4</v>
      </c>
      <c r="E1834" t="e">
        <f t="shared" si="85"/>
        <v>#N/A</v>
      </c>
      <c r="F1834" s="28" t="str">
        <f t="shared" ca="1" si="86"/>
        <v/>
      </c>
    </row>
    <row r="1835" spans="2:6" x14ac:dyDescent="0.2">
      <c r="B1835" t="str">
        <f>IFERROR(IF('PDCA review'!$D$2=Do!B1833,Do!G1833,""),"")</f>
        <v/>
      </c>
      <c r="C1835">
        <f t="shared" si="84"/>
        <v>0</v>
      </c>
      <c r="D1835">
        <f>SUM($C$3:C1835)</f>
        <v>4</v>
      </c>
      <c r="E1835" t="e">
        <f t="shared" si="85"/>
        <v>#N/A</v>
      </c>
      <c r="F1835" s="28" t="str">
        <f t="shared" ca="1" si="86"/>
        <v/>
      </c>
    </row>
    <row r="1836" spans="2:6" x14ac:dyDescent="0.2">
      <c r="B1836" t="str">
        <f>IFERROR(IF('PDCA review'!$D$2=Do!B1834,Do!G1834,""),"")</f>
        <v/>
      </c>
      <c r="C1836">
        <f t="shared" si="84"/>
        <v>0</v>
      </c>
      <c r="D1836">
        <f>SUM($C$3:C1836)</f>
        <v>4</v>
      </c>
      <c r="E1836" t="e">
        <f t="shared" si="85"/>
        <v>#N/A</v>
      </c>
      <c r="F1836" s="28" t="str">
        <f t="shared" ca="1" si="86"/>
        <v/>
      </c>
    </row>
    <row r="1837" spans="2:6" x14ac:dyDescent="0.2">
      <c r="B1837" t="str">
        <f>IFERROR(IF('PDCA review'!$D$2=Do!B1835,Do!G1835,""),"")</f>
        <v/>
      </c>
      <c r="C1837">
        <f t="shared" si="84"/>
        <v>0</v>
      </c>
      <c r="D1837">
        <f>SUM($C$3:C1837)</f>
        <v>4</v>
      </c>
      <c r="E1837" t="e">
        <f t="shared" si="85"/>
        <v>#N/A</v>
      </c>
      <c r="F1837" s="28" t="str">
        <f t="shared" ca="1" si="86"/>
        <v/>
      </c>
    </row>
    <row r="1838" spans="2:6" x14ac:dyDescent="0.2">
      <c r="B1838" t="str">
        <f>IFERROR(IF('PDCA review'!$D$2=Do!B1836,Do!G1836,""),"")</f>
        <v/>
      </c>
      <c r="C1838">
        <f t="shared" si="84"/>
        <v>0</v>
      </c>
      <c r="D1838">
        <f>SUM($C$3:C1838)</f>
        <v>4</v>
      </c>
      <c r="E1838" t="e">
        <f t="shared" si="85"/>
        <v>#N/A</v>
      </c>
      <c r="F1838" s="28" t="str">
        <f t="shared" ca="1" si="86"/>
        <v/>
      </c>
    </row>
    <row r="1839" spans="2:6" x14ac:dyDescent="0.2">
      <c r="B1839" t="str">
        <f>IFERROR(IF('PDCA review'!$D$2=Do!B1837,Do!G1837,""),"")</f>
        <v/>
      </c>
      <c r="C1839">
        <f t="shared" si="84"/>
        <v>0</v>
      </c>
      <c r="D1839">
        <f>SUM($C$3:C1839)</f>
        <v>4</v>
      </c>
      <c r="E1839" t="e">
        <f t="shared" si="85"/>
        <v>#N/A</v>
      </c>
      <c r="F1839" s="28" t="str">
        <f t="shared" ca="1" si="86"/>
        <v/>
      </c>
    </row>
    <row r="1840" spans="2:6" x14ac:dyDescent="0.2">
      <c r="B1840" t="str">
        <f>IFERROR(IF('PDCA review'!$D$2=Do!B1838,Do!G1838,""),"")</f>
        <v/>
      </c>
      <c r="C1840">
        <f t="shared" si="84"/>
        <v>0</v>
      </c>
      <c r="D1840">
        <f>SUM($C$3:C1840)</f>
        <v>4</v>
      </c>
      <c r="E1840" t="e">
        <f t="shared" si="85"/>
        <v>#N/A</v>
      </c>
      <c r="F1840" s="28" t="str">
        <f t="shared" ca="1" si="86"/>
        <v/>
      </c>
    </row>
    <row r="1841" spans="2:6" x14ac:dyDescent="0.2">
      <c r="B1841" t="str">
        <f>IFERROR(IF('PDCA review'!$D$2=Do!B1839,Do!G1839,""),"")</f>
        <v/>
      </c>
      <c r="C1841">
        <f t="shared" si="84"/>
        <v>0</v>
      </c>
      <c r="D1841">
        <f>SUM($C$3:C1841)</f>
        <v>4</v>
      </c>
      <c r="E1841" t="e">
        <f t="shared" si="85"/>
        <v>#N/A</v>
      </c>
      <c r="F1841" s="28" t="str">
        <f t="shared" ca="1" si="86"/>
        <v/>
      </c>
    </row>
    <row r="1842" spans="2:6" x14ac:dyDescent="0.2">
      <c r="B1842" t="str">
        <f>IFERROR(IF('PDCA review'!$D$2=Do!B1840,Do!G1840,""),"")</f>
        <v/>
      </c>
      <c r="C1842">
        <f t="shared" si="84"/>
        <v>0</v>
      </c>
      <c r="D1842">
        <f>SUM($C$3:C1842)</f>
        <v>4</v>
      </c>
      <c r="E1842" t="e">
        <f t="shared" si="85"/>
        <v>#N/A</v>
      </c>
      <c r="F1842" s="28" t="str">
        <f t="shared" ca="1" si="86"/>
        <v/>
      </c>
    </row>
    <row r="1843" spans="2:6" x14ac:dyDescent="0.2">
      <c r="B1843" t="str">
        <f>IFERROR(IF('PDCA review'!$D$2=Do!B1841,Do!G1841,""),"")</f>
        <v/>
      </c>
      <c r="C1843">
        <f t="shared" si="84"/>
        <v>0</v>
      </c>
      <c r="D1843">
        <f>SUM($C$3:C1843)</f>
        <v>4</v>
      </c>
      <c r="E1843" t="e">
        <f t="shared" si="85"/>
        <v>#N/A</v>
      </c>
      <c r="F1843" s="28" t="str">
        <f t="shared" ca="1" si="86"/>
        <v/>
      </c>
    </row>
    <row r="1844" spans="2:6" x14ac:dyDescent="0.2">
      <c r="B1844" t="str">
        <f>IFERROR(IF('PDCA review'!$D$2=Do!B1842,Do!G1842,""),"")</f>
        <v/>
      </c>
      <c r="C1844">
        <f t="shared" si="84"/>
        <v>0</v>
      </c>
      <c r="D1844">
        <f>SUM($C$3:C1844)</f>
        <v>4</v>
      </c>
      <c r="E1844" t="e">
        <f t="shared" si="85"/>
        <v>#N/A</v>
      </c>
      <c r="F1844" s="28" t="str">
        <f t="shared" ca="1" si="86"/>
        <v/>
      </c>
    </row>
    <row r="1845" spans="2:6" x14ac:dyDescent="0.2">
      <c r="B1845" t="str">
        <f>IFERROR(IF('PDCA review'!$D$2=Do!B1843,Do!G1843,""),"")</f>
        <v/>
      </c>
      <c r="C1845">
        <f t="shared" si="84"/>
        <v>0</v>
      </c>
      <c r="D1845">
        <f>SUM($C$3:C1845)</f>
        <v>4</v>
      </c>
      <c r="E1845" t="e">
        <f t="shared" si="85"/>
        <v>#N/A</v>
      </c>
      <c r="F1845" s="28" t="str">
        <f t="shared" ca="1" si="86"/>
        <v/>
      </c>
    </row>
    <row r="1846" spans="2:6" x14ac:dyDescent="0.2">
      <c r="B1846" t="str">
        <f>IFERROR(IF('PDCA review'!$D$2=Do!B1844,Do!G1844,""),"")</f>
        <v/>
      </c>
      <c r="C1846">
        <f t="shared" si="84"/>
        <v>0</v>
      </c>
      <c r="D1846">
        <f>SUM($C$3:C1846)</f>
        <v>4</v>
      </c>
      <c r="E1846" t="e">
        <f t="shared" si="85"/>
        <v>#N/A</v>
      </c>
      <c r="F1846" s="28" t="str">
        <f t="shared" ca="1" si="86"/>
        <v/>
      </c>
    </row>
    <row r="1847" spans="2:6" x14ac:dyDescent="0.2">
      <c r="B1847" t="str">
        <f>IFERROR(IF('PDCA review'!$D$2=Do!B1845,Do!G1845,""),"")</f>
        <v/>
      </c>
      <c r="C1847">
        <f t="shared" si="84"/>
        <v>0</v>
      </c>
      <c r="D1847">
        <f>SUM($C$3:C1847)</f>
        <v>4</v>
      </c>
      <c r="E1847" t="e">
        <f t="shared" si="85"/>
        <v>#N/A</v>
      </c>
      <c r="F1847" s="28" t="str">
        <f t="shared" ca="1" si="86"/>
        <v/>
      </c>
    </row>
    <row r="1848" spans="2:6" x14ac:dyDescent="0.2">
      <c r="B1848" t="str">
        <f>IFERROR(IF('PDCA review'!$D$2=Do!B1846,Do!G1846,""),"")</f>
        <v/>
      </c>
      <c r="C1848">
        <f t="shared" si="84"/>
        <v>0</v>
      </c>
      <c r="D1848">
        <f>SUM($C$3:C1848)</f>
        <v>4</v>
      </c>
      <c r="E1848" t="e">
        <f t="shared" si="85"/>
        <v>#N/A</v>
      </c>
      <c r="F1848" s="28" t="str">
        <f t="shared" ca="1" si="86"/>
        <v/>
      </c>
    </row>
    <row r="1849" spans="2:6" x14ac:dyDescent="0.2">
      <c r="B1849" t="str">
        <f>IFERROR(IF('PDCA review'!$D$2=Do!B1847,Do!G1847,""),"")</f>
        <v/>
      </c>
      <c r="C1849">
        <f t="shared" si="84"/>
        <v>0</v>
      </c>
      <c r="D1849">
        <f>SUM($C$3:C1849)</f>
        <v>4</v>
      </c>
      <c r="E1849" t="e">
        <f t="shared" si="85"/>
        <v>#N/A</v>
      </c>
      <c r="F1849" s="28" t="str">
        <f t="shared" ca="1" si="86"/>
        <v/>
      </c>
    </row>
    <row r="1850" spans="2:6" x14ac:dyDescent="0.2">
      <c r="B1850" t="str">
        <f>IFERROR(IF('PDCA review'!$D$2=Do!B1848,Do!G1848,""),"")</f>
        <v/>
      </c>
      <c r="C1850">
        <f t="shared" si="84"/>
        <v>0</v>
      </c>
      <c r="D1850">
        <f>SUM($C$3:C1850)</f>
        <v>4</v>
      </c>
      <c r="E1850" t="e">
        <f t="shared" si="85"/>
        <v>#N/A</v>
      </c>
      <c r="F1850" s="28" t="str">
        <f t="shared" ca="1" si="86"/>
        <v/>
      </c>
    </row>
    <row r="1851" spans="2:6" x14ac:dyDescent="0.2">
      <c r="B1851" t="str">
        <f>IFERROR(IF('PDCA review'!$D$2=Do!B1849,Do!G1849,""),"")</f>
        <v/>
      </c>
      <c r="C1851">
        <f t="shared" si="84"/>
        <v>0</v>
      </c>
      <c r="D1851">
        <f>SUM($C$3:C1851)</f>
        <v>4</v>
      </c>
      <c r="E1851" t="e">
        <f t="shared" si="85"/>
        <v>#N/A</v>
      </c>
      <c r="F1851" s="28" t="str">
        <f t="shared" ca="1" si="86"/>
        <v/>
      </c>
    </row>
    <row r="1852" spans="2:6" x14ac:dyDescent="0.2">
      <c r="B1852" t="str">
        <f>IFERROR(IF('PDCA review'!$D$2=Do!B1850,Do!G1850,""),"")</f>
        <v/>
      </c>
      <c r="C1852">
        <f t="shared" si="84"/>
        <v>0</v>
      </c>
      <c r="D1852">
        <f>SUM($C$3:C1852)</f>
        <v>4</v>
      </c>
      <c r="E1852" t="e">
        <f t="shared" si="85"/>
        <v>#N/A</v>
      </c>
      <c r="F1852" s="28" t="str">
        <f t="shared" ca="1" si="86"/>
        <v/>
      </c>
    </row>
    <row r="1853" spans="2:6" x14ac:dyDescent="0.2">
      <c r="B1853" t="str">
        <f>IFERROR(IF('PDCA review'!$D$2=Do!B1851,Do!G1851,""),"")</f>
        <v/>
      </c>
      <c r="C1853">
        <f t="shared" si="84"/>
        <v>0</v>
      </c>
      <c r="D1853">
        <f>SUM($C$3:C1853)</f>
        <v>4</v>
      </c>
      <c r="E1853" t="e">
        <f t="shared" si="85"/>
        <v>#N/A</v>
      </c>
      <c r="F1853" s="28" t="str">
        <f t="shared" ca="1" si="86"/>
        <v/>
      </c>
    </row>
    <row r="1854" spans="2:6" x14ac:dyDescent="0.2">
      <c r="B1854" t="str">
        <f>IFERROR(IF('PDCA review'!$D$2=Do!B1852,Do!G1852,""),"")</f>
        <v/>
      </c>
      <c r="C1854">
        <f t="shared" si="84"/>
        <v>0</v>
      </c>
      <c r="D1854">
        <f>SUM($C$3:C1854)</f>
        <v>4</v>
      </c>
      <c r="E1854" t="e">
        <f t="shared" si="85"/>
        <v>#N/A</v>
      </c>
      <c r="F1854" s="28" t="str">
        <f t="shared" ca="1" si="86"/>
        <v/>
      </c>
    </row>
    <row r="1855" spans="2:6" x14ac:dyDescent="0.2">
      <c r="B1855" t="str">
        <f>IFERROR(IF('PDCA review'!$D$2=Do!B1853,Do!G1853,""),"")</f>
        <v/>
      </c>
      <c r="C1855">
        <f t="shared" si="84"/>
        <v>0</v>
      </c>
      <c r="D1855">
        <f>SUM($C$3:C1855)</f>
        <v>4</v>
      </c>
      <c r="E1855" t="e">
        <f t="shared" si="85"/>
        <v>#N/A</v>
      </c>
      <c r="F1855" s="28" t="str">
        <f t="shared" ca="1" si="86"/>
        <v/>
      </c>
    </row>
    <row r="1856" spans="2:6" x14ac:dyDescent="0.2">
      <c r="B1856" t="str">
        <f>IFERROR(IF('PDCA review'!$D$2=Do!B1854,Do!G1854,""),"")</f>
        <v/>
      </c>
      <c r="C1856">
        <f t="shared" si="84"/>
        <v>0</v>
      </c>
      <c r="D1856">
        <f>SUM($C$3:C1856)</f>
        <v>4</v>
      </c>
      <c r="E1856" t="e">
        <f t="shared" si="85"/>
        <v>#N/A</v>
      </c>
      <c r="F1856" s="28" t="str">
        <f t="shared" ca="1" si="86"/>
        <v/>
      </c>
    </row>
    <row r="1857" spans="2:6" x14ac:dyDescent="0.2">
      <c r="B1857" t="str">
        <f>IFERROR(IF('PDCA review'!$D$2=Do!B1855,Do!G1855,""),"")</f>
        <v/>
      </c>
      <c r="C1857">
        <f t="shared" si="84"/>
        <v>0</v>
      </c>
      <c r="D1857">
        <f>SUM($C$3:C1857)</f>
        <v>4</v>
      </c>
      <c r="E1857" t="e">
        <f t="shared" si="85"/>
        <v>#N/A</v>
      </c>
      <c r="F1857" s="28" t="str">
        <f t="shared" ca="1" si="86"/>
        <v/>
      </c>
    </row>
    <row r="1858" spans="2:6" x14ac:dyDescent="0.2">
      <c r="B1858" t="str">
        <f>IFERROR(IF('PDCA review'!$D$2=Do!B1856,Do!G1856,""),"")</f>
        <v/>
      </c>
      <c r="C1858">
        <f t="shared" si="84"/>
        <v>0</v>
      </c>
      <c r="D1858">
        <f>SUM($C$3:C1858)</f>
        <v>4</v>
      </c>
      <c r="E1858" t="e">
        <f t="shared" si="85"/>
        <v>#N/A</v>
      </c>
      <c r="F1858" s="28" t="str">
        <f t="shared" ca="1" si="86"/>
        <v/>
      </c>
    </row>
    <row r="1859" spans="2:6" x14ac:dyDescent="0.2">
      <c r="B1859" t="str">
        <f>IFERROR(IF('PDCA review'!$D$2=Do!B1857,Do!G1857,""),"")</f>
        <v/>
      </c>
      <c r="C1859">
        <f t="shared" si="84"/>
        <v>0</v>
      </c>
      <c r="D1859">
        <f>SUM($C$3:C1859)</f>
        <v>4</v>
      </c>
      <c r="E1859" t="e">
        <f t="shared" si="85"/>
        <v>#N/A</v>
      </c>
      <c r="F1859" s="28" t="str">
        <f t="shared" ca="1" si="86"/>
        <v/>
      </c>
    </row>
    <row r="1860" spans="2:6" x14ac:dyDescent="0.2">
      <c r="B1860" t="str">
        <f>IFERROR(IF('PDCA review'!$D$2=Do!B1858,Do!G1858,""),"")</f>
        <v/>
      </c>
      <c r="C1860">
        <f t="shared" ref="C1860:C1923" si="87">IF(B1860&lt;&gt;"",1,0)</f>
        <v>0</v>
      </c>
      <c r="D1860">
        <f>SUM($C$3:C1860)</f>
        <v>4</v>
      </c>
      <c r="E1860" t="e">
        <f t="shared" ref="E1860:E1923" si="88">MATCH(ROW()-$D$2,$D$3:$D$2000,0)+$D$2</f>
        <v>#N/A</v>
      </c>
      <c r="F1860" s="28" t="str">
        <f t="shared" ref="F1860:F1923" ca="1" si="89">IFERROR(INDIRECT("B"&amp;E1860),"")</f>
        <v/>
      </c>
    </row>
    <row r="1861" spans="2:6" x14ac:dyDescent="0.2">
      <c r="B1861" t="str">
        <f>IFERROR(IF('PDCA review'!$D$2=Do!B1859,Do!G1859,""),"")</f>
        <v/>
      </c>
      <c r="C1861">
        <f t="shared" si="87"/>
        <v>0</v>
      </c>
      <c r="D1861">
        <f>SUM($C$3:C1861)</f>
        <v>4</v>
      </c>
      <c r="E1861" t="e">
        <f t="shared" si="88"/>
        <v>#N/A</v>
      </c>
      <c r="F1861" s="28" t="str">
        <f t="shared" ca="1" si="89"/>
        <v/>
      </c>
    </row>
    <row r="1862" spans="2:6" x14ac:dyDescent="0.2">
      <c r="B1862" t="str">
        <f>IFERROR(IF('PDCA review'!$D$2=Do!B1860,Do!G1860,""),"")</f>
        <v/>
      </c>
      <c r="C1862">
        <f t="shared" si="87"/>
        <v>0</v>
      </c>
      <c r="D1862">
        <f>SUM($C$3:C1862)</f>
        <v>4</v>
      </c>
      <c r="E1862" t="e">
        <f t="shared" si="88"/>
        <v>#N/A</v>
      </c>
      <c r="F1862" s="28" t="str">
        <f t="shared" ca="1" si="89"/>
        <v/>
      </c>
    </row>
    <row r="1863" spans="2:6" x14ac:dyDescent="0.2">
      <c r="B1863" t="str">
        <f>IFERROR(IF('PDCA review'!$D$2=Do!B1861,Do!G1861,""),"")</f>
        <v/>
      </c>
      <c r="C1863">
        <f t="shared" si="87"/>
        <v>0</v>
      </c>
      <c r="D1863">
        <f>SUM($C$3:C1863)</f>
        <v>4</v>
      </c>
      <c r="E1863" t="e">
        <f t="shared" si="88"/>
        <v>#N/A</v>
      </c>
      <c r="F1863" s="28" t="str">
        <f t="shared" ca="1" si="89"/>
        <v/>
      </c>
    </row>
    <row r="1864" spans="2:6" x14ac:dyDescent="0.2">
      <c r="B1864" t="str">
        <f>IFERROR(IF('PDCA review'!$D$2=Do!B1862,Do!G1862,""),"")</f>
        <v/>
      </c>
      <c r="C1864">
        <f t="shared" si="87"/>
        <v>0</v>
      </c>
      <c r="D1864">
        <f>SUM($C$3:C1864)</f>
        <v>4</v>
      </c>
      <c r="E1864" t="e">
        <f t="shared" si="88"/>
        <v>#N/A</v>
      </c>
      <c r="F1864" s="28" t="str">
        <f t="shared" ca="1" si="89"/>
        <v/>
      </c>
    </row>
    <row r="1865" spans="2:6" x14ac:dyDescent="0.2">
      <c r="B1865" t="str">
        <f>IFERROR(IF('PDCA review'!$D$2=Do!B1863,Do!G1863,""),"")</f>
        <v/>
      </c>
      <c r="C1865">
        <f t="shared" si="87"/>
        <v>0</v>
      </c>
      <c r="D1865">
        <f>SUM($C$3:C1865)</f>
        <v>4</v>
      </c>
      <c r="E1865" t="e">
        <f t="shared" si="88"/>
        <v>#N/A</v>
      </c>
      <c r="F1865" s="28" t="str">
        <f t="shared" ca="1" si="89"/>
        <v/>
      </c>
    </row>
    <row r="1866" spans="2:6" x14ac:dyDescent="0.2">
      <c r="B1866" t="str">
        <f>IFERROR(IF('PDCA review'!$D$2=Do!B1864,Do!G1864,""),"")</f>
        <v/>
      </c>
      <c r="C1866">
        <f t="shared" si="87"/>
        <v>0</v>
      </c>
      <c r="D1866">
        <f>SUM($C$3:C1866)</f>
        <v>4</v>
      </c>
      <c r="E1866" t="e">
        <f t="shared" si="88"/>
        <v>#N/A</v>
      </c>
      <c r="F1866" s="28" t="str">
        <f t="shared" ca="1" si="89"/>
        <v/>
      </c>
    </row>
    <row r="1867" spans="2:6" x14ac:dyDescent="0.2">
      <c r="B1867" t="str">
        <f>IFERROR(IF('PDCA review'!$D$2=Do!B1865,Do!G1865,""),"")</f>
        <v/>
      </c>
      <c r="C1867">
        <f t="shared" si="87"/>
        <v>0</v>
      </c>
      <c r="D1867">
        <f>SUM($C$3:C1867)</f>
        <v>4</v>
      </c>
      <c r="E1867" t="e">
        <f t="shared" si="88"/>
        <v>#N/A</v>
      </c>
      <c r="F1867" s="28" t="str">
        <f t="shared" ca="1" si="89"/>
        <v/>
      </c>
    </row>
    <row r="1868" spans="2:6" x14ac:dyDescent="0.2">
      <c r="B1868" t="str">
        <f>IFERROR(IF('PDCA review'!$D$2=Do!B1866,Do!G1866,""),"")</f>
        <v/>
      </c>
      <c r="C1868">
        <f t="shared" si="87"/>
        <v>0</v>
      </c>
      <c r="D1868">
        <f>SUM($C$3:C1868)</f>
        <v>4</v>
      </c>
      <c r="E1868" t="e">
        <f t="shared" si="88"/>
        <v>#N/A</v>
      </c>
      <c r="F1868" s="28" t="str">
        <f t="shared" ca="1" si="89"/>
        <v/>
      </c>
    </row>
    <row r="1869" spans="2:6" x14ac:dyDescent="0.2">
      <c r="B1869" t="str">
        <f>IFERROR(IF('PDCA review'!$D$2=Do!B1867,Do!G1867,""),"")</f>
        <v/>
      </c>
      <c r="C1869">
        <f t="shared" si="87"/>
        <v>0</v>
      </c>
      <c r="D1869">
        <f>SUM($C$3:C1869)</f>
        <v>4</v>
      </c>
      <c r="E1869" t="e">
        <f t="shared" si="88"/>
        <v>#N/A</v>
      </c>
      <c r="F1869" s="28" t="str">
        <f t="shared" ca="1" si="89"/>
        <v/>
      </c>
    </row>
    <row r="1870" spans="2:6" x14ac:dyDescent="0.2">
      <c r="B1870" t="str">
        <f>IFERROR(IF('PDCA review'!$D$2=Do!B1868,Do!G1868,""),"")</f>
        <v/>
      </c>
      <c r="C1870">
        <f t="shared" si="87"/>
        <v>0</v>
      </c>
      <c r="D1870">
        <f>SUM($C$3:C1870)</f>
        <v>4</v>
      </c>
      <c r="E1870" t="e">
        <f t="shared" si="88"/>
        <v>#N/A</v>
      </c>
      <c r="F1870" s="28" t="str">
        <f t="shared" ca="1" si="89"/>
        <v/>
      </c>
    </row>
    <row r="1871" spans="2:6" x14ac:dyDescent="0.2">
      <c r="B1871" t="str">
        <f>IFERROR(IF('PDCA review'!$D$2=Do!B1869,Do!G1869,""),"")</f>
        <v/>
      </c>
      <c r="C1871">
        <f t="shared" si="87"/>
        <v>0</v>
      </c>
      <c r="D1871">
        <f>SUM($C$3:C1871)</f>
        <v>4</v>
      </c>
      <c r="E1871" t="e">
        <f t="shared" si="88"/>
        <v>#N/A</v>
      </c>
      <c r="F1871" s="28" t="str">
        <f t="shared" ca="1" si="89"/>
        <v/>
      </c>
    </row>
    <row r="1872" spans="2:6" x14ac:dyDescent="0.2">
      <c r="B1872" t="str">
        <f>IFERROR(IF('PDCA review'!$D$2=Do!B1870,Do!G1870,""),"")</f>
        <v/>
      </c>
      <c r="C1872">
        <f t="shared" si="87"/>
        <v>0</v>
      </c>
      <c r="D1872">
        <f>SUM($C$3:C1872)</f>
        <v>4</v>
      </c>
      <c r="E1872" t="e">
        <f t="shared" si="88"/>
        <v>#N/A</v>
      </c>
      <c r="F1872" s="28" t="str">
        <f t="shared" ca="1" si="89"/>
        <v/>
      </c>
    </row>
    <row r="1873" spans="2:6" x14ac:dyDescent="0.2">
      <c r="B1873" t="str">
        <f>IFERROR(IF('PDCA review'!$D$2=Do!B1871,Do!G1871,""),"")</f>
        <v/>
      </c>
      <c r="C1873">
        <f t="shared" si="87"/>
        <v>0</v>
      </c>
      <c r="D1873">
        <f>SUM($C$3:C1873)</f>
        <v>4</v>
      </c>
      <c r="E1873" t="e">
        <f t="shared" si="88"/>
        <v>#N/A</v>
      </c>
      <c r="F1873" s="28" t="str">
        <f t="shared" ca="1" si="89"/>
        <v/>
      </c>
    </row>
    <row r="1874" spans="2:6" x14ac:dyDescent="0.2">
      <c r="B1874" t="str">
        <f>IFERROR(IF('PDCA review'!$D$2=Do!B1872,Do!G1872,""),"")</f>
        <v/>
      </c>
      <c r="C1874">
        <f t="shared" si="87"/>
        <v>0</v>
      </c>
      <c r="D1874">
        <f>SUM($C$3:C1874)</f>
        <v>4</v>
      </c>
      <c r="E1874" t="e">
        <f t="shared" si="88"/>
        <v>#N/A</v>
      </c>
      <c r="F1874" s="28" t="str">
        <f t="shared" ca="1" si="89"/>
        <v/>
      </c>
    </row>
    <row r="1875" spans="2:6" x14ac:dyDescent="0.2">
      <c r="B1875" t="str">
        <f>IFERROR(IF('PDCA review'!$D$2=Do!B1873,Do!G1873,""),"")</f>
        <v/>
      </c>
      <c r="C1875">
        <f t="shared" si="87"/>
        <v>0</v>
      </c>
      <c r="D1875">
        <f>SUM($C$3:C1875)</f>
        <v>4</v>
      </c>
      <c r="E1875" t="e">
        <f t="shared" si="88"/>
        <v>#N/A</v>
      </c>
      <c r="F1875" s="28" t="str">
        <f t="shared" ca="1" si="89"/>
        <v/>
      </c>
    </row>
    <row r="1876" spans="2:6" x14ac:dyDescent="0.2">
      <c r="B1876" t="str">
        <f>IFERROR(IF('PDCA review'!$D$2=Do!B1874,Do!G1874,""),"")</f>
        <v/>
      </c>
      <c r="C1876">
        <f t="shared" si="87"/>
        <v>0</v>
      </c>
      <c r="D1876">
        <f>SUM($C$3:C1876)</f>
        <v>4</v>
      </c>
      <c r="E1876" t="e">
        <f t="shared" si="88"/>
        <v>#N/A</v>
      </c>
      <c r="F1876" s="28" t="str">
        <f t="shared" ca="1" si="89"/>
        <v/>
      </c>
    </row>
    <row r="1877" spans="2:6" x14ac:dyDescent="0.2">
      <c r="B1877" t="str">
        <f>IFERROR(IF('PDCA review'!$D$2=Do!B1875,Do!G1875,""),"")</f>
        <v/>
      </c>
      <c r="C1877">
        <f t="shared" si="87"/>
        <v>0</v>
      </c>
      <c r="D1877">
        <f>SUM($C$3:C1877)</f>
        <v>4</v>
      </c>
      <c r="E1877" t="e">
        <f t="shared" si="88"/>
        <v>#N/A</v>
      </c>
      <c r="F1877" s="28" t="str">
        <f t="shared" ca="1" si="89"/>
        <v/>
      </c>
    </row>
    <row r="1878" spans="2:6" x14ac:dyDescent="0.2">
      <c r="B1878" t="str">
        <f>IFERROR(IF('PDCA review'!$D$2=Do!B1876,Do!G1876,""),"")</f>
        <v/>
      </c>
      <c r="C1878">
        <f t="shared" si="87"/>
        <v>0</v>
      </c>
      <c r="D1878">
        <f>SUM($C$3:C1878)</f>
        <v>4</v>
      </c>
      <c r="E1878" t="e">
        <f t="shared" si="88"/>
        <v>#N/A</v>
      </c>
      <c r="F1878" s="28" t="str">
        <f t="shared" ca="1" si="89"/>
        <v/>
      </c>
    </row>
    <row r="1879" spans="2:6" x14ac:dyDescent="0.2">
      <c r="B1879" t="str">
        <f>IFERROR(IF('PDCA review'!$D$2=Do!B1877,Do!G1877,""),"")</f>
        <v/>
      </c>
      <c r="C1879">
        <f t="shared" si="87"/>
        <v>0</v>
      </c>
      <c r="D1879">
        <f>SUM($C$3:C1879)</f>
        <v>4</v>
      </c>
      <c r="E1879" t="e">
        <f t="shared" si="88"/>
        <v>#N/A</v>
      </c>
      <c r="F1879" s="28" t="str">
        <f t="shared" ca="1" si="89"/>
        <v/>
      </c>
    </row>
    <row r="1880" spans="2:6" x14ac:dyDescent="0.2">
      <c r="B1880" t="str">
        <f>IFERROR(IF('PDCA review'!$D$2=Do!B1878,Do!G1878,""),"")</f>
        <v/>
      </c>
      <c r="C1880">
        <f t="shared" si="87"/>
        <v>0</v>
      </c>
      <c r="D1880">
        <f>SUM($C$3:C1880)</f>
        <v>4</v>
      </c>
      <c r="E1880" t="e">
        <f t="shared" si="88"/>
        <v>#N/A</v>
      </c>
      <c r="F1880" s="28" t="str">
        <f t="shared" ca="1" si="89"/>
        <v/>
      </c>
    </row>
    <row r="1881" spans="2:6" x14ac:dyDescent="0.2">
      <c r="B1881" t="str">
        <f>IFERROR(IF('PDCA review'!$D$2=Do!B1879,Do!G1879,""),"")</f>
        <v/>
      </c>
      <c r="C1881">
        <f t="shared" si="87"/>
        <v>0</v>
      </c>
      <c r="D1881">
        <f>SUM($C$3:C1881)</f>
        <v>4</v>
      </c>
      <c r="E1881" t="e">
        <f t="shared" si="88"/>
        <v>#N/A</v>
      </c>
      <c r="F1881" s="28" t="str">
        <f t="shared" ca="1" si="89"/>
        <v/>
      </c>
    </row>
    <row r="1882" spans="2:6" x14ac:dyDescent="0.2">
      <c r="B1882" t="str">
        <f>IFERROR(IF('PDCA review'!$D$2=Do!B1880,Do!G1880,""),"")</f>
        <v/>
      </c>
      <c r="C1882">
        <f t="shared" si="87"/>
        <v>0</v>
      </c>
      <c r="D1882">
        <f>SUM($C$3:C1882)</f>
        <v>4</v>
      </c>
      <c r="E1882" t="e">
        <f t="shared" si="88"/>
        <v>#N/A</v>
      </c>
      <c r="F1882" s="28" t="str">
        <f t="shared" ca="1" si="89"/>
        <v/>
      </c>
    </row>
    <row r="1883" spans="2:6" x14ac:dyDescent="0.2">
      <c r="B1883" t="str">
        <f>IFERROR(IF('PDCA review'!$D$2=Do!B1881,Do!G1881,""),"")</f>
        <v/>
      </c>
      <c r="C1883">
        <f t="shared" si="87"/>
        <v>0</v>
      </c>
      <c r="D1883">
        <f>SUM($C$3:C1883)</f>
        <v>4</v>
      </c>
      <c r="E1883" t="e">
        <f t="shared" si="88"/>
        <v>#N/A</v>
      </c>
      <c r="F1883" s="28" t="str">
        <f t="shared" ca="1" si="89"/>
        <v/>
      </c>
    </row>
    <row r="1884" spans="2:6" x14ac:dyDescent="0.2">
      <c r="B1884" t="str">
        <f>IFERROR(IF('PDCA review'!$D$2=Do!B1882,Do!G1882,""),"")</f>
        <v/>
      </c>
      <c r="C1884">
        <f t="shared" si="87"/>
        <v>0</v>
      </c>
      <c r="D1884">
        <f>SUM($C$3:C1884)</f>
        <v>4</v>
      </c>
      <c r="E1884" t="e">
        <f t="shared" si="88"/>
        <v>#N/A</v>
      </c>
      <c r="F1884" s="28" t="str">
        <f t="shared" ca="1" si="89"/>
        <v/>
      </c>
    </row>
    <row r="1885" spans="2:6" x14ac:dyDescent="0.2">
      <c r="B1885" t="str">
        <f>IFERROR(IF('PDCA review'!$D$2=Do!B1883,Do!G1883,""),"")</f>
        <v/>
      </c>
      <c r="C1885">
        <f t="shared" si="87"/>
        <v>0</v>
      </c>
      <c r="D1885">
        <f>SUM($C$3:C1885)</f>
        <v>4</v>
      </c>
      <c r="E1885" t="e">
        <f t="shared" si="88"/>
        <v>#N/A</v>
      </c>
      <c r="F1885" s="28" t="str">
        <f t="shared" ca="1" si="89"/>
        <v/>
      </c>
    </row>
    <row r="1886" spans="2:6" x14ac:dyDescent="0.2">
      <c r="B1886" t="str">
        <f>IFERROR(IF('PDCA review'!$D$2=Do!B1884,Do!G1884,""),"")</f>
        <v/>
      </c>
      <c r="C1886">
        <f t="shared" si="87"/>
        <v>0</v>
      </c>
      <c r="D1886">
        <f>SUM($C$3:C1886)</f>
        <v>4</v>
      </c>
      <c r="E1886" t="e">
        <f t="shared" si="88"/>
        <v>#N/A</v>
      </c>
      <c r="F1886" s="28" t="str">
        <f t="shared" ca="1" si="89"/>
        <v/>
      </c>
    </row>
    <row r="1887" spans="2:6" x14ac:dyDescent="0.2">
      <c r="B1887" t="str">
        <f>IFERROR(IF('PDCA review'!$D$2=Do!B1885,Do!G1885,""),"")</f>
        <v/>
      </c>
      <c r="C1887">
        <f t="shared" si="87"/>
        <v>0</v>
      </c>
      <c r="D1887">
        <f>SUM($C$3:C1887)</f>
        <v>4</v>
      </c>
      <c r="E1887" t="e">
        <f t="shared" si="88"/>
        <v>#N/A</v>
      </c>
      <c r="F1887" s="28" t="str">
        <f t="shared" ca="1" si="89"/>
        <v/>
      </c>
    </row>
    <row r="1888" spans="2:6" x14ac:dyDescent="0.2">
      <c r="B1888" t="str">
        <f>IFERROR(IF('PDCA review'!$D$2=Do!B1886,Do!G1886,""),"")</f>
        <v/>
      </c>
      <c r="C1888">
        <f t="shared" si="87"/>
        <v>0</v>
      </c>
      <c r="D1888">
        <f>SUM($C$3:C1888)</f>
        <v>4</v>
      </c>
      <c r="E1888" t="e">
        <f t="shared" si="88"/>
        <v>#N/A</v>
      </c>
      <c r="F1888" s="28" t="str">
        <f t="shared" ca="1" si="89"/>
        <v/>
      </c>
    </row>
    <row r="1889" spans="2:6" x14ac:dyDescent="0.2">
      <c r="B1889" t="str">
        <f>IFERROR(IF('PDCA review'!$D$2=Do!B1887,Do!G1887,""),"")</f>
        <v/>
      </c>
      <c r="C1889">
        <f t="shared" si="87"/>
        <v>0</v>
      </c>
      <c r="D1889">
        <f>SUM($C$3:C1889)</f>
        <v>4</v>
      </c>
      <c r="E1889" t="e">
        <f t="shared" si="88"/>
        <v>#N/A</v>
      </c>
      <c r="F1889" s="28" t="str">
        <f t="shared" ca="1" si="89"/>
        <v/>
      </c>
    </row>
    <row r="1890" spans="2:6" x14ac:dyDescent="0.2">
      <c r="B1890" t="str">
        <f>IFERROR(IF('PDCA review'!$D$2=Do!B1888,Do!G1888,""),"")</f>
        <v/>
      </c>
      <c r="C1890">
        <f t="shared" si="87"/>
        <v>0</v>
      </c>
      <c r="D1890">
        <f>SUM($C$3:C1890)</f>
        <v>4</v>
      </c>
      <c r="E1890" t="e">
        <f t="shared" si="88"/>
        <v>#N/A</v>
      </c>
      <c r="F1890" s="28" t="str">
        <f t="shared" ca="1" si="89"/>
        <v/>
      </c>
    </row>
    <row r="1891" spans="2:6" x14ac:dyDescent="0.2">
      <c r="B1891" t="str">
        <f>IFERROR(IF('PDCA review'!$D$2=Do!B1889,Do!G1889,""),"")</f>
        <v/>
      </c>
      <c r="C1891">
        <f t="shared" si="87"/>
        <v>0</v>
      </c>
      <c r="D1891">
        <f>SUM($C$3:C1891)</f>
        <v>4</v>
      </c>
      <c r="E1891" t="e">
        <f t="shared" si="88"/>
        <v>#N/A</v>
      </c>
      <c r="F1891" s="28" t="str">
        <f t="shared" ca="1" si="89"/>
        <v/>
      </c>
    </row>
    <row r="1892" spans="2:6" x14ac:dyDescent="0.2">
      <c r="B1892" t="str">
        <f>IFERROR(IF('PDCA review'!$D$2=Do!B1890,Do!G1890,""),"")</f>
        <v/>
      </c>
      <c r="C1892">
        <f t="shared" si="87"/>
        <v>0</v>
      </c>
      <c r="D1892">
        <f>SUM($C$3:C1892)</f>
        <v>4</v>
      </c>
      <c r="E1892" t="e">
        <f t="shared" si="88"/>
        <v>#N/A</v>
      </c>
      <c r="F1892" s="28" t="str">
        <f t="shared" ca="1" si="89"/>
        <v/>
      </c>
    </row>
    <row r="1893" spans="2:6" x14ac:dyDescent="0.2">
      <c r="B1893" t="str">
        <f>IFERROR(IF('PDCA review'!$D$2=Do!B1891,Do!G1891,""),"")</f>
        <v/>
      </c>
      <c r="C1893">
        <f t="shared" si="87"/>
        <v>0</v>
      </c>
      <c r="D1893">
        <f>SUM($C$3:C1893)</f>
        <v>4</v>
      </c>
      <c r="E1893" t="e">
        <f t="shared" si="88"/>
        <v>#N/A</v>
      </c>
      <c r="F1893" s="28" t="str">
        <f t="shared" ca="1" si="89"/>
        <v/>
      </c>
    </row>
    <row r="1894" spans="2:6" x14ac:dyDescent="0.2">
      <c r="B1894" t="str">
        <f>IFERROR(IF('PDCA review'!$D$2=Do!B1892,Do!G1892,""),"")</f>
        <v/>
      </c>
      <c r="C1894">
        <f t="shared" si="87"/>
        <v>0</v>
      </c>
      <c r="D1894">
        <f>SUM($C$3:C1894)</f>
        <v>4</v>
      </c>
      <c r="E1894" t="e">
        <f t="shared" si="88"/>
        <v>#N/A</v>
      </c>
      <c r="F1894" s="28" t="str">
        <f t="shared" ca="1" si="89"/>
        <v/>
      </c>
    </row>
    <row r="1895" spans="2:6" x14ac:dyDescent="0.2">
      <c r="B1895" t="str">
        <f>IFERROR(IF('PDCA review'!$D$2=Do!B1893,Do!G1893,""),"")</f>
        <v/>
      </c>
      <c r="C1895">
        <f t="shared" si="87"/>
        <v>0</v>
      </c>
      <c r="D1895">
        <f>SUM($C$3:C1895)</f>
        <v>4</v>
      </c>
      <c r="E1895" t="e">
        <f t="shared" si="88"/>
        <v>#N/A</v>
      </c>
      <c r="F1895" s="28" t="str">
        <f t="shared" ca="1" si="89"/>
        <v/>
      </c>
    </row>
    <row r="1896" spans="2:6" x14ac:dyDescent="0.2">
      <c r="B1896" t="str">
        <f>IFERROR(IF('PDCA review'!$D$2=Do!B1894,Do!G1894,""),"")</f>
        <v/>
      </c>
      <c r="C1896">
        <f t="shared" si="87"/>
        <v>0</v>
      </c>
      <c r="D1896">
        <f>SUM($C$3:C1896)</f>
        <v>4</v>
      </c>
      <c r="E1896" t="e">
        <f t="shared" si="88"/>
        <v>#N/A</v>
      </c>
      <c r="F1896" s="28" t="str">
        <f t="shared" ca="1" si="89"/>
        <v/>
      </c>
    </row>
    <row r="1897" spans="2:6" x14ac:dyDescent="0.2">
      <c r="B1897" t="str">
        <f>IFERROR(IF('PDCA review'!$D$2=Do!B1895,Do!G1895,""),"")</f>
        <v/>
      </c>
      <c r="C1897">
        <f t="shared" si="87"/>
        <v>0</v>
      </c>
      <c r="D1897">
        <f>SUM($C$3:C1897)</f>
        <v>4</v>
      </c>
      <c r="E1897" t="e">
        <f t="shared" si="88"/>
        <v>#N/A</v>
      </c>
      <c r="F1897" s="28" t="str">
        <f t="shared" ca="1" si="89"/>
        <v/>
      </c>
    </row>
    <row r="1898" spans="2:6" x14ac:dyDescent="0.2">
      <c r="B1898" t="str">
        <f>IFERROR(IF('PDCA review'!$D$2=Do!B1896,Do!G1896,""),"")</f>
        <v/>
      </c>
      <c r="C1898">
        <f t="shared" si="87"/>
        <v>0</v>
      </c>
      <c r="D1898">
        <f>SUM($C$3:C1898)</f>
        <v>4</v>
      </c>
      <c r="E1898" t="e">
        <f t="shared" si="88"/>
        <v>#N/A</v>
      </c>
      <c r="F1898" s="28" t="str">
        <f t="shared" ca="1" si="89"/>
        <v/>
      </c>
    </row>
    <row r="1899" spans="2:6" x14ac:dyDescent="0.2">
      <c r="B1899" t="str">
        <f>IFERROR(IF('PDCA review'!$D$2=Do!B1897,Do!G1897,""),"")</f>
        <v/>
      </c>
      <c r="C1899">
        <f t="shared" si="87"/>
        <v>0</v>
      </c>
      <c r="D1899">
        <f>SUM($C$3:C1899)</f>
        <v>4</v>
      </c>
      <c r="E1899" t="e">
        <f t="shared" si="88"/>
        <v>#N/A</v>
      </c>
      <c r="F1899" s="28" t="str">
        <f t="shared" ca="1" si="89"/>
        <v/>
      </c>
    </row>
    <row r="1900" spans="2:6" x14ac:dyDescent="0.2">
      <c r="B1900" t="str">
        <f>IFERROR(IF('PDCA review'!$D$2=Do!B1898,Do!G1898,""),"")</f>
        <v/>
      </c>
      <c r="C1900">
        <f t="shared" si="87"/>
        <v>0</v>
      </c>
      <c r="D1900">
        <f>SUM($C$3:C1900)</f>
        <v>4</v>
      </c>
      <c r="E1900" t="e">
        <f t="shared" si="88"/>
        <v>#N/A</v>
      </c>
      <c r="F1900" s="28" t="str">
        <f t="shared" ca="1" si="89"/>
        <v/>
      </c>
    </row>
    <row r="1901" spans="2:6" x14ac:dyDescent="0.2">
      <c r="B1901" t="str">
        <f>IFERROR(IF('PDCA review'!$D$2=Do!B1899,Do!G1899,""),"")</f>
        <v/>
      </c>
      <c r="C1901">
        <f t="shared" si="87"/>
        <v>0</v>
      </c>
      <c r="D1901">
        <f>SUM($C$3:C1901)</f>
        <v>4</v>
      </c>
      <c r="E1901" t="e">
        <f t="shared" si="88"/>
        <v>#N/A</v>
      </c>
      <c r="F1901" s="28" t="str">
        <f t="shared" ca="1" si="89"/>
        <v/>
      </c>
    </row>
    <row r="1902" spans="2:6" x14ac:dyDescent="0.2">
      <c r="B1902" t="str">
        <f>IFERROR(IF('PDCA review'!$D$2=Do!B1900,Do!G1900,""),"")</f>
        <v/>
      </c>
      <c r="C1902">
        <f t="shared" si="87"/>
        <v>0</v>
      </c>
      <c r="D1902">
        <f>SUM($C$3:C1902)</f>
        <v>4</v>
      </c>
      <c r="E1902" t="e">
        <f t="shared" si="88"/>
        <v>#N/A</v>
      </c>
      <c r="F1902" s="28" t="str">
        <f t="shared" ca="1" si="89"/>
        <v/>
      </c>
    </row>
    <row r="1903" spans="2:6" x14ac:dyDescent="0.2">
      <c r="B1903" t="str">
        <f>IFERROR(IF('PDCA review'!$D$2=Do!B1901,Do!G1901,""),"")</f>
        <v/>
      </c>
      <c r="C1903">
        <f t="shared" si="87"/>
        <v>0</v>
      </c>
      <c r="D1903">
        <f>SUM($C$3:C1903)</f>
        <v>4</v>
      </c>
      <c r="E1903" t="e">
        <f t="shared" si="88"/>
        <v>#N/A</v>
      </c>
      <c r="F1903" s="28" t="str">
        <f t="shared" ca="1" si="89"/>
        <v/>
      </c>
    </row>
    <row r="1904" spans="2:6" x14ac:dyDescent="0.2">
      <c r="B1904" t="str">
        <f>IFERROR(IF('PDCA review'!$D$2=Do!B1902,Do!G1902,""),"")</f>
        <v/>
      </c>
      <c r="C1904">
        <f t="shared" si="87"/>
        <v>0</v>
      </c>
      <c r="D1904">
        <f>SUM($C$3:C1904)</f>
        <v>4</v>
      </c>
      <c r="E1904" t="e">
        <f t="shared" si="88"/>
        <v>#N/A</v>
      </c>
      <c r="F1904" s="28" t="str">
        <f t="shared" ca="1" si="89"/>
        <v/>
      </c>
    </row>
    <row r="1905" spans="2:6" x14ac:dyDescent="0.2">
      <c r="B1905" t="str">
        <f>IFERROR(IF('PDCA review'!$D$2=Do!B1903,Do!G1903,""),"")</f>
        <v/>
      </c>
      <c r="C1905">
        <f t="shared" si="87"/>
        <v>0</v>
      </c>
      <c r="D1905">
        <f>SUM($C$3:C1905)</f>
        <v>4</v>
      </c>
      <c r="E1905" t="e">
        <f t="shared" si="88"/>
        <v>#N/A</v>
      </c>
      <c r="F1905" s="28" t="str">
        <f t="shared" ca="1" si="89"/>
        <v/>
      </c>
    </row>
    <row r="1906" spans="2:6" x14ac:dyDescent="0.2">
      <c r="B1906" t="str">
        <f>IFERROR(IF('PDCA review'!$D$2=Do!B1904,Do!G1904,""),"")</f>
        <v/>
      </c>
      <c r="C1906">
        <f t="shared" si="87"/>
        <v>0</v>
      </c>
      <c r="D1906">
        <f>SUM($C$3:C1906)</f>
        <v>4</v>
      </c>
      <c r="E1906" t="e">
        <f t="shared" si="88"/>
        <v>#N/A</v>
      </c>
      <c r="F1906" s="28" t="str">
        <f t="shared" ca="1" si="89"/>
        <v/>
      </c>
    </row>
    <row r="1907" spans="2:6" x14ac:dyDescent="0.2">
      <c r="B1907" t="str">
        <f>IFERROR(IF('PDCA review'!$D$2=Do!B1905,Do!G1905,""),"")</f>
        <v/>
      </c>
      <c r="C1907">
        <f t="shared" si="87"/>
        <v>0</v>
      </c>
      <c r="D1907">
        <f>SUM($C$3:C1907)</f>
        <v>4</v>
      </c>
      <c r="E1907" t="e">
        <f t="shared" si="88"/>
        <v>#N/A</v>
      </c>
      <c r="F1907" s="28" t="str">
        <f t="shared" ca="1" si="89"/>
        <v/>
      </c>
    </row>
    <row r="1908" spans="2:6" x14ac:dyDescent="0.2">
      <c r="B1908" t="str">
        <f>IFERROR(IF('PDCA review'!$D$2=Do!B1906,Do!G1906,""),"")</f>
        <v/>
      </c>
      <c r="C1908">
        <f t="shared" si="87"/>
        <v>0</v>
      </c>
      <c r="D1908">
        <f>SUM($C$3:C1908)</f>
        <v>4</v>
      </c>
      <c r="E1908" t="e">
        <f t="shared" si="88"/>
        <v>#N/A</v>
      </c>
      <c r="F1908" s="28" t="str">
        <f t="shared" ca="1" si="89"/>
        <v/>
      </c>
    </row>
    <row r="1909" spans="2:6" x14ac:dyDescent="0.2">
      <c r="B1909" t="str">
        <f>IFERROR(IF('PDCA review'!$D$2=Do!B1907,Do!G1907,""),"")</f>
        <v/>
      </c>
      <c r="C1909">
        <f t="shared" si="87"/>
        <v>0</v>
      </c>
      <c r="D1909">
        <f>SUM($C$3:C1909)</f>
        <v>4</v>
      </c>
      <c r="E1909" t="e">
        <f t="shared" si="88"/>
        <v>#N/A</v>
      </c>
      <c r="F1909" s="28" t="str">
        <f t="shared" ca="1" si="89"/>
        <v/>
      </c>
    </row>
    <row r="1910" spans="2:6" x14ac:dyDescent="0.2">
      <c r="B1910" t="str">
        <f>IFERROR(IF('PDCA review'!$D$2=Do!B1908,Do!G1908,""),"")</f>
        <v/>
      </c>
      <c r="C1910">
        <f t="shared" si="87"/>
        <v>0</v>
      </c>
      <c r="D1910">
        <f>SUM($C$3:C1910)</f>
        <v>4</v>
      </c>
      <c r="E1910" t="e">
        <f t="shared" si="88"/>
        <v>#N/A</v>
      </c>
      <c r="F1910" s="28" t="str">
        <f t="shared" ca="1" si="89"/>
        <v/>
      </c>
    </row>
    <row r="1911" spans="2:6" x14ac:dyDescent="0.2">
      <c r="B1911" t="str">
        <f>IFERROR(IF('PDCA review'!$D$2=Do!B1909,Do!G1909,""),"")</f>
        <v/>
      </c>
      <c r="C1911">
        <f t="shared" si="87"/>
        <v>0</v>
      </c>
      <c r="D1911">
        <f>SUM($C$3:C1911)</f>
        <v>4</v>
      </c>
      <c r="E1911" t="e">
        <f t="shared" si="88"/>
        <v>#N/A</v>
      </c>
      <c r="F1911" s="28" t="str">
        <f t="shared" ca="1" si="89"/>
        <v/>
      </c>
    </row>
    <row r="1912" spans="2:6" x14ac:dyDescent="0.2">
      <c r="B1912" t="str">
        <f>IFERROR(IF('PDCA review'!$D$2=Do!B1910,Do!G1910,""),"")</f>
        <v/>
      </c>
      <c r="C1912">
        <f t="shared" si="87"/>
        <v>0</v>
      </c>
      <c r="D1912">
        <f>SUM($C$3:C1912)</f>
        <v>4</v>
      </c>
      <c r="E1912" t="e">
        <f t="shared" si="88"/>
        <v>#N/A</v>
      </c>
      <c r="F1912" s="28" t="str">
        <f t="shared" ca="1" si="89"/>
        <v/>
      </c>
    </row>
    <row r="1913" spans="2:6" x14ac:dyDescent="0.2">
      <c r="B1913" t="str">
        <f>IFERROR(IF('PDCA review'!$D$2=Do!B1911,Do!G1911,""),"")</f>
        <v/>
      </c>
      <c r="C1913">
        <f t="shared" si="87"/>
        <v>0</v>
      </c>
      <c r="D1913">
        <f>SUM($C$3:C1913)</f>
        <v>4</v>
      </c>
      <c r="E1913" t="e">
        <f t="shared" si="88"/>
        <v>#N/A</v>
      </c>
      <c r="F1913" s="28" t="str">
        <f t="shared" ca="1" si="89"/>
        <v/>
      </c>
    </row>
    <row r="1914" spans="2:6" x14ac:dyDescent="0.2">
      <c r="B1914" t="str">
        <f>IFERROR(IF('PDCA review'!$D$2=Do!B1912,Do!G1912,""),"")</f>
        <v/>
      </c>
      <c r="C1914">
        <f t="shared" si="87"/>
        <v>0</v>
      </c>
      <c r="D1914">
        <f>SUM($C$3:C1914)</f>
        <v>4</v>
      </c>
      <c r="E1914" t="e">
        <f t="shared" si="88"/>
        <v>#N/A</v>
      </c>
      <c r="F1914" s="28" t="str">
        <f t="shared" ca="1" si="89"/>
        <v/>
      </c>
    </row>
    <row r="1915" spans="2:6" x14ac:dyDescent="0.2">
      <c r="B1915" t="str">
        <f>IFERROR(IF('PDCA review'!$D$2=Do!B1913,Do!G1913,""),"")</f>
        <v/>
      </c>
      <c r="C1915">
        <f t="shared" si="87"/>
        <v>0</v>
      </c>
      <c r="D1915">
        <f>SUM($C$3:C1915)</f>
        <v>4</v>
      </c>
      <c r="E1915" t="e">
        <f t="shared" si="88"/>
        <v>#N/A</v>
      </c>
      <c r="F1915" s="28" t="str">
        <f t="shared" ca="1" si="89"/>
        <v/>
      </c>
    </row>
    <row r="1916" spans="2:6" x14ac:dyDescent="0.2">
      <c r="B1916" t="str">
        <f>IFERROR(IF('PDCA review'!$D$2=Do!B1914,Do!G1914,""),"")</f>
        <v/>
      </c>
      <c r="C1916">
        <f t="shared" si="87"/>
        <v>0</v>
      </c>
      <c r="D1916">
        <f>SUM($C$3:C1916)</f>
        <v>4</v>
      </c>
      <c r="E1916" t="e">
        <f t="shared" si="88"/>
        <v>#N/A</v>
      </c>
      <c r="F1916" s="28" t="str">
        <f t="shared" ca="1" si="89"/>
        <v/>
      </c>
    </row>
    <row r="1917" spans="2:6" x14ac:dyDescent="0.2">
      <c r="B1917" t="str">
        <f>IFERROR(IF('PDCA review'!$D$2=Do!B1915,Do!G1915,""),"")</f>
        <v/>
      </c>
      <c r="C1917">
        <f t="shared" si="87"/>
        <v>0</v>
      </c>
      <c r="D1917">
        <f>SUM($C$3:C1917)</f>
        <v>4</v>
      </c>
      <c r="E1917" t="e">
        <f t="shared" si="88"/>
        <v>#N/A</v>
      </c>
      <c r="F1917" s="28" t="str">
        <f t="shared" ca="1" si="89"/>
        <v/>
      </c>
    </row>
    <row r="1918" spans="2:6" x14ac:dyDescent="0.2">
      <c r="B1918" t="str">
        <f>IFERROR(IF('PDCA review'!$D$2=Do!B1916,Do!G1916,""),"")</f>
        <v/>
      </c>
      <c r="C1918">
        <f t="shared" si="87"/>
        <v>0</v>
      </c>
      <c r="D1918">
        <f>SUM($C$3:C1918)</f>
        <v>4</v>
      </c>
      <c r="E1918" t="e">
        <f t="shared" si="88"/>
        <v>#N/A</v>
      </c>
      <c r="F1918" s="28" t="str">
        <f t="shared" ca="1" si="89"/>
        <v/>
      </c>
    </row>
    <row r="1919" spans="2:6" x14ac:dyDescent="0.2">
      <c r="B1919" t="str">
        <f>IFERROR(IF('PDCA review'!$D$2=Do!B1917,Do!G1917,""),"")</f>
        <v/>
      </c>
      <c r="C1919">
        <f t="shared" si="87"/>
        <v>0</v>
      </c>
      <c r="D1919">
        <f>SUM($C$3:C1919)</f>
        <v>4</v>
      </c>
      <c r="E1919" t="e">
        <f t="shared" si="88"/>
        <v>#N/A</v>
      </c>
      <c r="F1919" s="28" t="str">
        <f t="shared" ca="1" si="89"/>
        <v/>
      </c>
    </row>
    <row r="1920" spans="2:6" x14ac:dyDescent="0.2">
      <c r="B1920" t="str">
        <f>IFERROR(IF('PDCA review'!$D$2=Do!B1918,Do!G1918,""),"")</f>
        <v/>
      </c>
      <c r="C1920">
        <f t="shared" si="87"/>
        <v>0</v>
      </c>
      <c r="D1920">
        <f>SUM($C$3:C1920)</f>
        <v>4</v>
      </c>
      <c r="E1920" t="e">
        <f t="shared" si="88"/>
        <v>#N/A</v>
      </c>
      <c r="F1920" s="28" t="str">
        <f t="shared" ca="1" si="89"/>
        <v/>
      </c>
    </row>
    <row r="1921" spans="2:6" x14ac:dyDescent="0.2">
      <c r="B1921" t="str">
        <f>IFERROR(IF('PDCA review'!$D$2=Do!B1919,Do!G1919,""),"")</f>
        <v/>
      </c>
      <c r="C1921">
        <f t="shared" si="87"/>
        <v>0</v>
      </c>
      <c r="D1921">
        <f>SUM($C$3:C1921)</f>
        <v>4</v>
      </c>
      <c r="E1921" t="e">
        <f t="shared" si="88"/>
        <v>#N/A</v>
      </c>
      <c r="F1921" s="28" t="str">
        <f t="shared" ca="1" si="89"/>
        <v/>
      </c>
    </row>
    <row r="1922" spans="2:6" x14ac:dyDescent="0.2">
      <c r="B1922" t="str">
        <f>IFERROR(IF('PDCA review'!$D$2=Do!B1920,Do!G1920,""),"")</f>
        <v/>
      </c>
      <c r="C1922">
        <f t="shared" si="87"/>
        <v>0</v>
      </c>
      <c r="D1922">
        <f>SUM($C$3:C1922)</f>
        <v>4</v>
      </c>
      <c r="E1922" t="e">
        <f t="shared" si="88"/>
        <v>#N/A</v>
      </c>
      <c r="F1922" s="28" t="str">
        <f t="shared" ca="1" si="89"/>
        <v/>
      </c>
    </row>
    <row r="1923" spans="2:6" x14ac:dyDescent="0.2">
      <c r="B1923" t="str">
        <f>IFERROR(IF('PDCA review'!$D$2=Do!B1921,Do!G1921,""),"")</f>
        <v/>
      </c>
      <c r="C1923">
        <f t="shared" si="87"/>
        <v>0</v>
      </c>
      <c r="D1923">
        <f>SUM($C$3:C1923)</f>
        <v>4</v>
      </c>
      <c r="E1923" t="e">
        <f t="shared" si="88"/>
        <v>#N/A</v>
      </c>
      <c r="F1923" s="28" t="str">
        <f t="shared" ca="1" si="89"/>
        <v/>
      </c>
    </row>
    <row r="1924" spans="2:6" x14ac:dyDescent="0.2">
      <c r="B1924" t="str">
        <f>IFERROR(IF('PDCA review'!$D$2=Do!B1922,Do!G1922,""),"")</f>
        <v/>
      </c>
      <c r="C1924">
        <f t="shared" ref="C1924:C1987" si="90">IF(B1924&lt;&gt;"",1,0)</f>
        <v>0</v>
      </c>
      <c r="D1924">
        <f>SUM($C$3:C1924)</f>
        <v>4</v>
      </c>
      <c r="E1924" t="e">
        <f t="shared" ref="E1924:E1987" si="91">MATCH(ROW()-$D$2,$D$3:$D$2000,0)+$D$2</f>
        <v>#N/A</v>
      </c>
      <c r="F1924" s="28" t="str">
        <f t="shared" ref="F1924:F1987" ca="1" si="92">IFERROR(INDIRECT("B"&amp;E1924),"")</f>
        <v/>
      </c>
    </row>
    <row r="1925" spans="2:6" x14ac:dyDescent="0.2">
      <c r="B1925" t="str">
        <f>IFERROR(IF('PDCA review'!$D$2=Do!B1923,Do!G1923,""),"")</f>
        <v/>
      </c>
      <c r="C1925">
        <f t="shared" si="90"/>
        <v>0</v>
      </c>
      <c r="D1925">
        <f>SUM($C$3:C1925)</f>
        <v>4</v>
      </c>
      <c r="E1925" t="e">
        <f t="shared" si="91"/>
        <v>#N/A</v>
      </c>
      <c r="F1925" s="28" t="str">
        <f t="shared" ca="1" si="92"/>
        <v/>
      </c>
    </row>
    <row r="1926" spans="2:6" x14ac:dyDescent="0.2">
      <c r="B1926" t="str">
        <f>IFERROR(IF('PDCA review'!$D$2=Do!B1924,Do!G1924,""),"")</f>
        <v/>
      </c>
      <c r="C1926">
        <f t="shared" si="90"/>
        <v>0</v>
      </c>
      <c r="D1926">
        <f>SUM($C$3:C1926)</f>
        <v>4</v>
      </c>
      <c r="E1926" t="e">
        <f t="shared" si="91"/>
        <v>#N/A</v>
      </c>
      <c r="F1926" s="28" t="str">
        <f t="shared" ca="1" si="92"/>
        <v/>
      </c>
    </row>
    <row r="1927" spans="2:6" x14ac:dyDescent="0.2">
      <c r="B1927" t="str">
        <f>IFERROR(IF('PDCA review'!$D$2=Do!B1925,Do!G1925,""),"")</f>
        <v/>
      </c>
      <c r="C1927">
        <f t="shared" si="90"/>
        <v>0</v>
      </c>
      <c r="D1927">
        <f>SUM($C$3:C1927)</f>
        <v>4</v>
      </c>
      <c r="E1927" t="e">
        <f t="shared" si="91"/>
        <v>#N/A</v>
      </c>
      <c r="F1927" s="28" t="str">
        <f t="shared" ca="1" si="92"/>
        <v/>
      </c>
    </row>
    <row r="1928" spans="2:6" x14ac:dyDescent="0.2">
      <c r="B1928" t="str">
        <f>IFERROR(IF('PDCA review'!$D$2=Do!B1926,Do!G1926,""),"")</f>
        <v/>
      </c>
      <c r="C1928">
        <f t="shared" si="90"/>
        <v>0</v>
      </c>
      <c r="D1928">
        <f>SUM($C$3:C1928)</f>
        <v>4</v>
      </c>
      <c r="E1928" t="e">
        <f t="shared" si="91"/>
        <v>#N/A</v>
      </c>
      <c r="F1928" s="28" t="str">
        <f t="shared" ca="1" si="92"/>
        <v/>
      </c>
    </row>
    <row r="1929" spans="2:6" x14ac:dyDescent="0.2">
      <c r="B1929" t="str">
        <f>IFERROR(IF('PDCA review'!$D$2=Do!B1927,Do!G1927,""),"")</f>
        <v/>
      </c>
      <c r="C1929">
        <f t="shared" si="90"/>
        <v>0</v>
      </c>
      <c r="D1929">
        <f>SUM($C$3:C1929)</f>
        <v>4</v>
      </c>
      <c r="E1929" t="e">
        <f t="shared" si="91"/>
        <v>#N/A</v>
      </c>
      <c r="F1929" s="28" t="str">
        <f t="shared" ca="1" si="92"/>
        <v/>
      </c>
    </row>
    <row r="1930" spans="2:6" x14ac:dyDescent="0.2">
      <c r="B1930" t="str">
        <f>IFERROR(IF('PDCA review'!$D$2=Do!B1928,Do!G1928,""),"")</f>
        <v/>
      </c>
      <c r="C1930">
        <f t="shared" si="90"/>
        <v>0</v>
      </c>
      <c r="D1930">
        <f>SUM($C$3:C1930)</f>
        <v>4</v>
      </c>
      <c r="E1930" t="e">
        <f t="shared" si="91"/>
        <v>#N/A</v>
      </c>
      <c r="F1930" s="28" t="str">
        <f t="shared" ca="1" si="92"/>
        <v/>
      </c>
    </row>
    <row r="1931" spans="2:6" x14ac:dyDescent="0.2">
      <c r="B1931" t="str">
        <f>IFERROR(IF('PDCA review'!$D$2=Do!B1929,Do!G1929,""),"")</f>
        <v/>
      </c>
      <c r="C1931">
        <f t="shared" si="90"/>
        <v>0</v>
      </c>
      <c r="D1931">
        <f>SUM($C$3:C1931)</f>
        <v>4</v>
      </c>
      <c r="E1931" t="e">
        <f t="shared" si="91"/>
        <v>#N/A</v>
      </c>
      <c r="F1931" s="28" t="str">
        <f t="shared" ca="1" si="92"/>
        <v/>
      </c>
    </row>
    <row r="1932" spans="2:6" x14ac:dyDescent="0.2">
      <c r="B1932" t="str">
        <f>IFERROR(IF('PDCA review'!$D$2=Do!B1930,Do!G1930,""),"")</f>
        <v/>
      </c>
      <c r="C1932">
        <f t="shared" si="90"/>
        <v>0</v>
      </c>
      <c r="D1932">
        <f>SUM($C$3:C1932)</f>
        <v>4</v>
      </c>
      <c r="E1932" t="e">
        <f t="shared" si="91"/>
        <v>#N/A</v>
      </c>
      <c r="F1932" s="28" t="str">
        <f t="shared" ca="1" si="92"/>
        <v/>
      </c>
    </row>
    <row r="1933" spans="2:6" x14ac:dyDescent="0.2">
      <c r="B1933" t="str">
        <f>IFERROR(IF('PDCA review'!$D$2=Do!B1931,Do!G1931,""),"")</f>
        <v/>
      </c>
      <c r="C1933">
        <f t="shared" si="90"/>
        <v>0</v>
      </c>
      <c r="D1933">
        <f>SUM($C$3:C1933)</f>
        <v>4</v>
      </c>
      <c r="E1933" t="e">
        <f t="shared" si="91"/>
        <v>#N/A</v>
      </c>
      <c r="F1933" s="28" t="str">
        <f t="shared" ca="1" si="92"/>
        <v/>
      </c>
    </row>
    <row r="1934" spans="2:6" x14ac:dyDescent="0.2">
      <c r="B1934" t="str">
        <f>IFERROR(IF('PDCA review'!$D$2=Do!B1932,Do!G1932,""),"")</f>
        <v/>
      </c>
      <c r="C1934">
        <f t="shared" si="90"/>
        <v>0</v>
      </c>
      <c r="D1934">
        <f>SUM($C$3:C1934)</f>
        <v>4</v>
      </c>
      <c r="E1934" t="e">
        <f t="shared" si="91"/>
        <v>#N/A</v>
      </c>
      <c r="F1934" s="28" t="str">
        <f t="shared" ca="1" si="92"/>
        <v/>
      </c>
    </row>
    <row r="1935" spans="2:6" x14ac:dyDescent="0.2">
      <c r="B1935" t="str">
        <f>IFERROR(IF('PDCA review'!$D$2=Do!B1933,Do!G1933,""),"")</f>
        <v/>
      </c>
      <c r="C1935">
        <f t="shared" si="90"/>
        <v>0</v>
      </c>
      <c r="D1935">
        <f>SUM($C$3:C1935)</f>
        <v>4</v>
      </c>
      <c r="E1935" t="e">
        <f t="shared" si="91"/>
        <v>#N/A</v>
      </c>
      <c r="F1935" s="28" t="str">
        <f t="shared" ca="1" si="92"/>
        <v/>
      </c>
    </row>
    <row r="1936" spans="2:6" x14ac:dyDescent="0.2">
      <c r="B1936" t="str">
        <f>IFERROR(IF('PDCA review'!$D$2=Do!B1934,Do!G1934,""),"")</f>
        <v/>
      </c>
      <c r="C1936">
        <f t="shared" si="90"/>
        <v>0</v>
      </c>
      <c r="D1936">
        <f>SUM($C$3:C1936)</f>
        <v>4</v>
      </c>
      <c r="E1936" t="e">
        <f t="shared" si="91"/>
        <v>#N/A</v>
      </c>
      <c r="F1936" s="28" t="str">
        <f t="shared" ca="1" si="92"/>
        <v/>
      </c>
    </row>
    <row r="1937" spans="2:6" x14ac:dyDescent="0.2">
      <c r="B1937" t="str">
        <f>IFERROR(IF('PDCA review'!$D$2=Do!B1935,Do!G1935,""),"")</f>
        <v/>
      </c>
      <c r="C1937">
        <f t="shared" si="90"/>
        <v>0</v>
      </c>
      <c r="D1937">
        <f>SUM($C$3:C1937)</f>
        <v>4</v>
      </c>
      <c r="E1937" t="e">
        <f t="shared" si="91"/>
        <v>#N/A</v>
      </c>
      <c r="F1937" s="28" t="str">
        <f t="shared" ca="1" si="92"/>
        <v/>
      </c>
    </row>
    <row r="1938" spans="2:6" x14ac:dyDescent="0.2">
      <c r="B1938" t="str">
        <f>IFERROR(IF('PDCA review'!$D$2=Do!B1936,Do!G1936,""),"")</f>
        <v/>
      </c>
      <c r="C1938">
        <f t="shared" si="90"/>
        <v>0</v>
      </c>
      <c r="D1938">
        <f>SUM($C$3:C1938)</f>
        <v>4</v>
      </c>
      <c r="E1938" t="e">
        <f t="shared" si="91"/>
        <v>#N/A</v>
      </c>
      <c r="F1938" s="28" t="str">
        <f t="shared" ca="1" si="92"/>
        <v/>
      </c>
    </row>
    <row r="1939" spans="2:6" x14ac:dyDescent="0.2">
      <c r="B1939" t="str">
        <f>IFERROR(IF('PDCA review'!$D$2=Do!B1937,Do!G1937,""),"")</f>
        <v/>
      </c>
      <c r="C1939">
        <f t="shared" si="90"/>
        <v>0</v>
      </c>
      <c r="D1939">
        <f>SUM($C$3:C1939)</f>
        <v>4</v>
      </c>
      <c r="E1939" t="e">
        <f t="shared" si="91"/>
        <v>#N/A</v>
      </c>
      <c r="F1939" s="28" t="str">
        <f t="shared" ca="1" si="92"/>
        <v/>
      </c>
    </row>
    <row r="1940" spans="2:6" x14ac:dyDescent="0.2">
      <c r="B1940" t="str">
        <f>IFERROR(IF('PDCA review'!$D$2=Do!B1938,Do!G1938,""),"")</f>
        <v/>
      </c>
      <c r="C1940">
        <f t="shared" si="90"/>
        <v>0</v>
      </c>
      <c r="D1940">
        <f>SUM($C$3:C1940)</f>
        <v>4</v>
      </c>
      <c r="E1940" t="e">
        <f t="shared" si="91"/>
        <v>#N/A</v>
      </c>
      <c r="F1940" s="28" t="str">
        <f t="shared" ca="1" si="92"/>
        <v/>
      </c>
    </row>
    <row r="1941" spans="2:6" x14ac:dyDescent="0.2">
      <c r="B1941" t="str">
        <f>IFERROR(IF('PDCA review'!$D$2=Do!B1939,Do!G1939,""),"")</f>
        <v/>
      </c>
      <c r="C1941">
        <f t="shared" si="90"/>
        <v>0</v>
      </c>
      <c r="D1941">
        <f>SUM($C$3:C1941)</f>
        <v>4</v>
      </c>
      <c r="E1941" t="e">
        <f t="shared" si="91"/>
        <v>#N/A</v>
      </c>
      <c r="F1941" s="28" t="str">
        <f t="shared" ca="1" si="92"/>
        <v/>
      </c>
    </row>
    <row r="1942" spans="2:6" x14ac:dyDescent="0.2">
      <c r="B1942" t="str">
        <f>IFERROR(IF('PDCA review'!$D$2=Do!B1940,Do!G1940,""),"")</f>
        <v/>
      </c>
      <c r="C1942">
        <f t="shared" si="90"/>
        <v>0</v>
      </c>
      <c r="D1942">
        <f>SUM($C$3:C1942)</f>
        <v>4</v>
      </c>
      <c r="E1942" t="e">
        <f t="shared" si="91"/>
        <v>#N/A</v>
      </c>
      <c r="F1942" s="28" t="str">
        <f t="shared" ca="1" si="92"/>
        <v/>
      </c>
    </row>
    <row r="1943" spans="2:6" x14ac:dyDescent="0.2">
      <c r="B1943" t="str">
        <f>IFERROR(IF('PDCA review'!$D$2=Do!B1941,Do!G1941,""),"")</f>
        <v/>
      </c>
      <c r="C1943">
        <f t="shared" si="90"/>
        <v>0</v>
      </c>
      <c r="D1943">
        <f>SUM($C$3:C1943)</f>
        <v>4</v>
      </c>
      <c r="E1943" t="e">
        <f t="shared" si="91"/>
        <v>#N/A</v>
      </c>
      <c r="F1943" s="28" t="str">
        <f t="shared" ca="1" si="92"/>
        <v/>
      </c>
    </row>
    <row r="1944" spans="2:6" x14ac:dyDescent="0.2">
      <c r="B1944" t="str">
        <f>IFERROR(IF('PDCA review'!$D$2=Do!B1942,Do!G1942,""),"")</f>
        <v/>
      </c>
      <c r="C1944">
        <f t="shared" si="90"/>
        <v>0</v>
      </c>
      <c r="D1944">
        <f>SUM($C$3:C1944)</f>
        <v>4</v>
      </c>
      <c r="E1944" t="e">
        <f t="shared" si="91"/>
        <v>#N/A</v>
      </c>
      <c r="F1944" s="28" t="str">
        <f t="shared" ca="1" si="92"/>
        <v/>
      </c>
    </row>
    <row r="1945" spans="2:6" x14ac:dyDescent="0.2">
      <c r="B1945" t="str">
        <f>IFERROR(IF('PDCA review'!$D$2=Do!B1943,Do!G1943,""),"")</f>
        <v/>
      </c>
      <c r="C1945">
        <f t="shared" si="90"/>
        <v>0</v>
      </c>
      <c r="D1945">
        <f>SUM($C$3:C1945)</f>
        <v>4</v>
      </c>
      <c r="E1945" t="e">
        <f t="shared" si="91"/>
        <v>#N/A</v>
      </c>
      <c r="F1945" s="28" t="str">
        <f t="shared" ca="1" si="92"/>
        <v/>
      </c>
    </row>
    <row r="1946" spans="2:6" x14ac:dyDescent="0.2">
      <c r="B1946" t="str">
        <f>IFERROR(IF('PDCA review'!$D$2=Do!B1944,Do!G1944,""),"")</f>
        <v/>
      </c>
      <c r="C1946">
        <f t="shared" si="90"/>
        <v>0</v>
      </c>
      <c r="D1946">
        <f>SUM($C$3:C1946)</f>
        <v>4</v>
      </c>
      <c r="E1946" t="e">
        <f t="shared" si="91"/>
        <v>#N/A</v>
      </c>
      <c r="F1946" s="28" t="str">
        <f t="shared" ca="1" si="92"/>
        <v/>
      </c>
    </row>
    <row r="1947" spans="2:6" x14ac:dyDescent="0.2">
      <c r="B1947" t="str">
        <f>IFERROR(IF('PDCA review'!$D$2=Do!B1945,Do!G1945,""),"")</f>
        <v/>
      </c>
      <c r="C1947">
        <f t="shared" si="90"/>
        <v>0</v>
      </c>
      <c r="D1947">
        <f>SUM($C$3:C1947)</f>
        <v>4</v>
      </c>
      <c r="E1947" t="e">
        <f t="shared" si="91"/>
        <v>#N/A</v>
      </c>
      <c r="F1947" s="28" t="str">
        <f t="shared" ca="1" si="92"/>
        <v/>
      </c>
    </row>
    <row r="1948" spans="2:6" x14ac:dyDescent="0.2">
      <c r="B1948" t="str">
        <f>IFERROR(IF('PDCA review'!$D$2=Do!B1946,Do!G1946,""),"")</f>
        <v/>
      </c>
      <c r="C1948">
        <f t="shared" si="90"/>
        <v>0</v>
      </c>
      <c r="D1948">
        <f>SUM($C$3:C1948)</f>
        <v>4</v>
      </c>
      <c r="E1948" t="e">
        <f t="shared" si="91"/>
        <v>#N/A</v>
      </c>
      <c r="F1948" s="28" t="str">
        <f t="shared" ca="1" si="92"/>
        <v/>
      </c>
    </row>
    <row r="1949" spans="2:6" x14ac:dyDescent="0.2">
      <c r="B1949" t="str">
        <f>IFERROR(IF('PDCA review'!$D$2=Do!B1947,Do!G1947,""),"")</f>
        <v/>
      </c>
      <c r="C1949">
        <f t="shared" si="90"/>
        <v>0</v>
      </c>
      <c r="D1949">
        <f>SUM($C$3:C1949)</f>
        <v>4</v>
      </c>
      <c r="E1949" t="e">
        <f t="shared" si="91"/>
        <v>#N/A</v>
      </c>
      <c r="F1949" s="28" t="str">
        <f t="shared" ca="1" si="92"/>
        <v/>
      </c>
    </row>
    <row r="1950" spans="2:6" x14ac:dyDescent="0.2">
      <c r="B1950" t="str">
        <f>IFERROR(IF('PDCA review'!$D$2=Do!B1948,Do!G1948,""),"")</f>
        <v/>
      </c>
      <c r="C1950">
        <f t="shared" si="90"/>
        <v>0</v>
      </c>
      <c r="D1950">
        <f>SUM($C$3:C1950)</f>
        <v>4</v>
      </c>
      <c r="E1950" t="e">
        <f t="shared" si="91"/>
        <v>#N/A</v>
      </c>
      <c r="F1950" s="28" t="str">
        <f t="shared" ca="1" si="92"/>
        <v/>
      </c>
    </row>
    <row r="1951" spans="2:6" x14ac:dyDescent="0.2">
      <c r="B1951" t="str">
        <f>IFERROR(IF('PDCA review'!$D$2=Do!B1949,Do!G1949,""),"")</f>
        <v/>
      </c>
      <c r="C1951">
        <f t="shared" si="90"/>
        <v>0</v>
      </c>
      <c r="D1951">
        <f>SUM($C$3:C1951)</f>
        <v>4</v>
      </c>
      <c r="E1951" t="e">
        <f t="shared" si="91"/>
        <v>#N/A</v>
      </c>
      <c r="F1951" s="28" t="str">
        <f t="shared" ca="1" si="92"/>
        <v/>
      </c>
    </row>
    <row r="1952" spans="2:6" x14ac:dyDescent="0.2">
      <c r="B1952" t="str">
        <f>IFERROR(IF('PDCA review'!$D$2=Do!B1950,Do!G1950,""),"")</f>
        <v/>
      </c>
      <c r="C1952">
        <f t="shared" si="90"/>
        <v>0</v>
      </c>
      <c r="D1952">
        <f>SUM($C$3:C1952)</f>
        <v>4</v>
      </c>
      <c r="E1952" t="e">
        <f t="shared" si="91"/>
        <v>#N/A</v>
      </c>
      <c r="F1952" s="28" t="str">
        <f t="shared" ca="1" si="92"/>
        <v/>
      </c>
    </row>
    <row r="1953" spans="2:6" x14ac:dyDescent="0.2">
      <c r="B1953" t="str">
        <f>IFERROR(IF('PDCA review'!$D$2=Do!B1951,Do!G1951,""),"")</f>
        <v/>
      </c>
      <c r="C1953">
        <f t="shared" si="90"/>
        <v>0</v>
      </c>
      <c r="D1953">
        <f>SUM($C$3:C1953)</f>
        <v>4</v>
      </c>
      <c r="E1953" t="e">
        <f t="shared" si="91"/>
        <v>#N/A</v>
      </c>
      <c r="F1953" s="28" t="str">
        <f t="shared" ca="1" si="92"/>
        <v/>
      </c>
    </row>
    <row r="1954" spans="2:6" x14ac:dyDescent="0.2">
      <c r="B1954" t="str">
        <f>IFERROR(IF('PDCA review'!$D$2=Do!B1952,Do!G1952,""),"")</f>
        <v/>
      </c>
      <c r="C1954">
        <f t="shared" si="90"/>
        <v>0</v>
      </c>
      <c r="D1954">
        <f>SUM($C$3:C1954)</f>
        <v>4</v>
      </c>
      <c r="E1954" t="e">
        <f t="shared" si="91"/>
        <v>#N/A</v>
      </c>
      <c r="F1954" s="28" t="str">
        <f t="shared" ca="1" si="92"/>
        <v/>
      </c>
    </row>
    <row r="1955" spans="2:6" x14ac:dyDescent="0.2">
      <c r="B1955" t="str">
        <f>IFERROR(IF('PDCA review'!$D$2=Do!B1953,Do!G1953,""),"")</f>
        <v/>
      </c>
      <c r="C1955">
        <f t="shared" si="90"/>
        <v>0</v>
      </c>
      <c r="D1955">
        <f>SUM($C$3:C1955)</f>
        <v>4</v>
      </c>
      <c r="E1955" t="e">
        <f t="shared" si="91"/>
        <v>#N/A</v>
      </c>
      <c r="F1955" s="28" t="str">
        <f t="shared" ca="1" si="92"/>
        <v/>
      </c>
    </row>
    <row r="1956" spans="2:6" x14ac:dyDescent="0.2">
      <c r="B1956" t="str">
        <f>IFERROR(IF('PDCA review'!$D$2=Do!B1954,Do!G1954,""),"")</f>
        <v/>
      </c>
      <c r="C1956">
        <f t="shared" si="90"/>
        <v>0</v>
      </c>
      <c r="D1956">
        <f>SUM($C$3:C1956)</f>
        <v>4</v>
      </c>
      <c r="E1956" t="e">
        <f t="shared" si="91"/>
        <v>#N/A</v>
      </c>
      <c r="F1956" s="28" t="str">
        <f t="shared" ca="1" si="92"/>
        <v/>
      </c>
    </row>
    <row r="1957" spans="2:6" x14ac:dyDescent="0.2">
      <c r="B1957" t="str">
        <f>IFERROR(IF('PDCA review'!$D$2=Do!B1955,Do!G1955,""),"")</f>
        <v/>
      </c>
      <c r="C1957">
        <f t="shared" si="90"/>
        <v>0</v>
      </c>
      <c r="D1957">
        <f>SUM($C$3:C1957)</f>
        <v>4</v>
      </c>
      <c r="E1957" t="e">
        <f t="shared" si="91"/>
        <v>#N/A</v>
      </c>
      <c r="F1957" s="28" t="str">
        <f t="shared" ca="1" si="92"/>
        <v/>
      </c>
    </row>
    <row r="1958" spans="2:6" x14ac:dyDescent="0.2">
      <c r="B1958" t="str">
        <f>IFERROR(IF('PDCA review'!$D$2=Do!B1956,Do!G1956,""),"")</f>
        <v/>
      </c>
      <c r="C1958">
        <f t="shared" si="90"/>
        <v>0</v>
      </c>
      <c r="D1958">
        <f>SUM($C$3:C1958)</f>
        <v>4</v>
      </c>
      <c r="E1958" t="e">
        <f t="shared" si="91"/>
        <v>#N/A</v>
      </c>
      <c r="F1958" s="28" t="str">
        <f t="shared" ca="1" si="92"/>
        <v/>
      </c>
    </row>
    <row r="1959" spans="2:6" x14ac:dyDescent="0.2">
      <c r="B1959" t="str">
        <f>IFERROR(IF('PDCA review'!$D$2=Do!B1957,Do!G1957,""),"")</f>
        <v/>
      </c>
      <c r="C1959">
        <f t="shared" si="90"/>
        <v>0</v>
      </c>
      <c r="D1959">
        <f>SUM($C$3:C1959)</f>
        <v>4</v>
      </c>
      <c r="E1959" t="e">
        <f t="shared" si="91"/>
        <v>#N/A</v>
      </c>
      <c r="F1959" s="28" t="str">
        <f t="shared" ca="1" si="92"/>
        <v/>
      </c>
    </row>
    <row r="1960" spans="2:6" x14ac:dyDescent="0.2">
      <c r="B1960" t="str">
        <f>IFERROR(IF('PDCA review'!$D$2=Do!B1958,Do!G1958,""),"")</f>
        <v/>
      </c>
      <c r="C1960">
        <f t="shared" si="90"/>
        <v>0</v>
      </c>
      <c r="D1960">
        <f>SUM($C$3:C1960)</f>
        <v>4</v>
      </c>
      <c r="E1960" t="e">
        <f t="shared" si="91"/>
        <v>#N/A</v>
      </c>
      <c r="F1960" s="28" t="str">
        <f t="shared" ca="1" si="92"/>
        <v/>
      </c>
    </row>
    <row r="1961" spans="2:6" x14ac:dyDescent="0.2">
      <c r="B1961" t="str">
        <f>IFERROR(IF('PDCA review'!$D$2=Do!B1959,Do!G1959,""),"")</f>
        <v/>
      </c>
      <c r="C1961">
        <f t="shared" si="90"/>
        <v>0</v>
      </c>
      <c r="D1961">
        <f>SUM($C$3:C1961)</f>
        <v>4</v>
      </c>
      <c r="E1961" t="e">
        <f t="shared" si="91"/>
        <v>#N/A</v>
      </c>
      <c r="F1961" s="28" t="str">
        <f t="shared" ca="1" si="92"/>
        <v/>
      </c>
    </row>
    <row r="1962" spans="2:6" x14ac:dyDescent="0.2">
      <c r="B1962" t="str">
        <f>IFERROR(IF('PDCA review'!$D$2=Do!B1960,Do!G1960,""),"")</f>
        <v/>
      </c>
      <c r="C1962">
        <f t="shared" si="90"/>
        <v>0</v>
      </c>
      <c r="D1962">
        <f>SUM($C$3:C1962)</f>
        <v>4</v>
      </c>
      <c r="E1962" t="e">
        <f t="shared" si="91"/>
        <v>#N/A</v>
      </c>
      <c r="F1962" s="28" t="str">
        <f t="shared" ca="1" si="92"/>
        <v/>
      </c>
    </row>
    <row r="1963" spans="2:6" x14ac:dyDescent="0.2">
      <c r="B1963" t="str">
        <f>IFERROR(IF('PDCA review'!$D$2=Do!B1961,Do!G1961,""),"")</f>
        <v/>
      </c>
      <c r="C1963">
        <f t="shared" si="90"/>
        <v>0</v>
      </c>
      <c r="D1963">
        <f>SUM($C$3:C1963)</f>
        <v>4</v>
      </c>
      <c r="E1963" t="e">
        <f t="shared" si="91"/>
        <v>#N/A</v>
      </c>
      <c r="F1963" s="28" t="str">
        <f t="shared" ca="1" si="92"/>
        <v/>
      </c>
    </row>
    <row r="1964" spans="2:6" x14ac:dyDescent="0.2">
      <c r="B1964" t="str">
        <f>IFERROR(IF('PDCA review'!$D$2=Do!B1962,Do!G1962,""),"")</f>
        <v/>
      </c>
      <c r="C1964">
        <f t="shared" si="90"/>
        <v>0</v>
      </c>
      <c r="D1964">
        <f>SUM($C$3:C1964)</f>
        <v>4</v>
      </c>
      <c r="E1964" t="e">
        <f t="shared" si="91"/>
        <v>#N/A</v>
      </c>
      <c r="F1964" s="28" t="str">
        <f t="shared" ca="1" si="92"/>
        <v/>
      </c>
    </row>
    <row r="1965" spans="2:6" x14ac:dyDescent="0.2">
      <c r="B1965" t="str">
        <f>IFERROR(IF('PDCA review'!$D$2=Do!B1963,Do!G1963,""),"")</f>
        <v/>
      </c>
      <c r="C1965">
        <f t="shared" si="90"/>
        <v>0</v>
      </c>
      <c r="D1965">
        <f>SUM($C$3:C1965)</f>
        <v>4</v>
      </c>
      <c r="E1965" t="e">
        <f t="shared" si="91"/>
        <v>#N/A</v>
      </c>
      <c r="F1965" s="28" t="str">
        <f t="shared" ca="1" si="92"/>
        <v/>
      </c>
    </row>
    <row r="1966" spans="2:6" x14ac:dyDescent="0.2">
      <c r="B1966" t="str">
        <f>IFERROR(IF('PDCA review'!$D$2=Do!B1964,Do!G1964,""),"")</f>
        <v/>
      </c>
      <c r="C1966">
        <f t="shared" si="90"/>
        <v>0</v>
      </c>
      <c r="D1966">
        <f>SUM($C$3:C1966)</f>
        <v>4</v>
      </c>
      <c r="E1966" t="e">
        <f t="shared" si="91"/>
        <v>#N/A</v>
      </c>
      <c r="F1966" s="28" t="str">
        <f t="shared" ca="1" si="92"/>
        <v/>
      </c>
    </row>
    <row r="1967" spans="2:6" x14ac:dyDescent="0.2">
      <c r="B1967" t="str">
        <f>IFERROR(IF('PDCA review'!$D$2=Do!B1965,Do!G1965,""),"")</f>
        <v/>
      </c>
      <c r="C1967">
        <f t="shared" si="90"/>
        <v>0</v>
      </c>
      <c r="D1967">
        <f>SUM($C$3:C1967)</f>
        <v>4</v>
      </c>
      <c r="E1967" t="e">
        <f t="shared" si="91"/>
        <v>#N/A</v>
      </c>
      <c r="F1967" s="28" t="str">
        <f t="shared" ca="1" si="92"/>
        <v/>
      </c>
    </row>
    <row r="1968" spans="2:6" x14ac:dyDescent="0.2">
      <c r="B1968" t="str">
        <f>IFERROR(IF('PDCA review'!$D$2=Do!B1966,Do!G1966,""),"")</f>
        <v/>
      </c>
      <c r="C1968">
        <f t="shared" si="90"/>
        <v>0</v>
      </c>
      <c r="D1968">
        <f>SUM($C$3:C1968)</f>
        <v>4</v>
      </c>
      <c r="E1968" t="e">
        <f t="shared" si="91"/>
        <v>#N/A</v>
      </c>
      <c r="F1968" s="28" t="str">
        <f t="shared" ca="1" si="92"/>
        <v/>
      </c>
    </row>
    <row r="1969" spans="2:6" x14ac:dyDescent="0.2">
      <c r="B1969" t="str">
        <f>IFERROR(IF('PDCA review'!$D$2=Do!B1967,Do!G1967,""),"")</f>
        <v/>
      </c>
      <c r="C1969">
        <f t="shared" si="90"/>
        <v>0</v>
      </c>
      <c r="D1969">
        <f>SUM($C$3:C1969)</f>
        <v>4</v>
      </c>
      <c r="E1969" t="e">
        <f t="shared" si="91"/>
        <v>#N/A</v>
      </c>
      <c r="F1969" s="28" t="str">
        <f t="shared" ca="1" si="92"/>
        <v/>
      </c>
    </row>
    <row r="1970" spans="2:6" x14ac:dyDescent="0.2">
      <c r="B1970" t="str">
        <f>IFERROR(IF('PDCA review'!$D$2=Do!B1968,Do!G1968,""),"")</f>
        <v/>
      </c>
      <c r="C1970">
        <f t="shared" si="90"/>
        <v>0</v>
      </c>
      <c r="D1970">
        <f>SUM($C$3:C1970)</f>
        <v>4</v>
      </c>
      <c r="E1970" t="e">
        <f t="shared" si="91"/>
        <v>#N/A</v>
      </c>
      <c r="F1970" s="28" t="str">
        <f t="shared" ca="1" si="92"/>
        <v/>
      </c>
    </row>
    <row r="1971" spans="2:6" x14ac:dyDescent="0.2">
      <c r="B1971" t="str">
        <f>IFERROR(IF('PDCA review'!$D$2=Do!B1969,Do!G1969,""),"")</f>
        <v/>
      </c>
      <c r="C1971">
        <f t="shared" si="90"/>
        <v>0</v>
      </c>
      <c r="D1971">
        <f>SUM($C$3:C1971)</f>
        <v>4</v>
      </c>
      <c r="E1971" t="e">
        <f t="shared" si="91"/>
        <v>#N/A</v>
      </c>
      <c r="F1971" s="28" t="str">
        <f t="shared" ca="1" si="92"/>
        <v/>
      </c>
    </row>
    <row r="1972" spans="2:6" x14ac:dyDescent="0.2">
      <c r="B1972" t="str">
        <f>IFERROR(IF('PDCA review'!$D$2=Do!B1970,Do!G1970,""),"")</f>
        <v/>
      </c>
      <c r="C1972">
        <f t="shared" si="90"/>
        <v>0</v>
      </c>
      <c r="D1972">
        <f>SUM($C$3:C1972)</f>
        <v>4</v>
      </c>
      <c r="E1972" t="e">
        <f t="shared" si="91"/>
        <v>#N/A</v>
      </c>
      <c r="F1972" s="28" t="str">
        <f t="shared" ca="1" si="92"/>
        <v/>
      </c>
    </row>
    <row r="1973" spans="2:6" x14ac:dyDescent="0.2">
      <c r="B1973" t="str">
        <f>IFERROR(IF('PDCA review'!$D$2=Do!B1971,Do!G1971,""),"")</f>
        <v/>
      </c>
      <c r="C1973">
        <f t="shared" si="90"/>
        <v>0</v>
      </c>
      <c r="D1973">
        <f>SUM($C$3:C1973)</f>
        <v>4</v>
      </c>
      <c r="E1973" t="e">
        <f t="shared" si="91"/>
        <v>#N/A</v>
      </c>
      <c r="F1973" s="28" t="str">
        <f t="shared" ca="1" si="92"/>
        <v/>
      </c>
    </row>
    <row r="1974" spans="2:6" x14ac:dyDescent="0.2">
      <c r="B1974" t="str">
        <f>IFERROR(IF('PDCA review'!$D$2=Do!B1972,Do!G1972,""),"")</f>
        <v/>
      </c>
      <c r="C1974">
        <f t="shared" si="90"/>
        <v>0</v>
      </c>
      <c r="D1974">
        <f>SUM($C$3:C1974)</f>
        <v>4</v>
      </c>
      <c r="E1974" t="e">
        <f t="shared" si="91"/>
        <v>#N/A</v>
      </c>
      <c r="F1974" s="28" t="str">
        <f t="shared" ca="1" si="92"/>
        <v/>
      </c>
    </row>
    <row r="1975" spans="2:6" x14ac:dyDescent="0.2">
      <c r="B1975" t="str">
        <f>IFERROR(IF('PDCA review'!$D$2=Do!B1973,Do!G1973,""),"")</f>
        <v/>
      </c>
      <c r="C1975">
        <f t="shared" si="90"/>
        <v>0</v>
      </c>
      <c r="D1975">
        <f>SUM($C$3:C1975)</f>
        <v>4</v>
      </c>
      <c r="E1975" t="e">
        <f t="shared" si="91"/>
        <v>#N/A</v>
      </c>
      <c r="F1975" s="28" t="str">
        <f t="shared" ca="1" si="92"/>
        <v/>
      </c>
    </row>
    <row r="1976" spans="2:6" x14ac:dyDescent="0.2">
      <c r="B1976" t="str">
        <f>IFERROR(IF('PDCA review'!$D$2=Do!B1974,Do!G1974,""),"")</f>
        <v/>
      </c>
      <c r="C1976">
        <f t="shared" si="90"/>
        <v>0</v>
      </c>
      <c r="D1976">
        <f>SUM($C$3:C1976)</f>
        <v>4</v>
      </c>
      <c r="E1976" t="e">
        <f t="shared" si="91"/>
        <v>#N/A</v>
      </c>
      <c r="F1976" s="28" t="str">
        <f t="shared" ca="1" si="92"/>
        <v/>
      </c>
    </row>
    <row r="1977" spans="2:6" x14ac:dyDescent="0.2">
      <c r="B1977" t="str">
        <f>IFERROR(IF('PDCA review'!$D$2=Do!B1975,Do!G1975,""),"")</f>
        <v/>
      </c>
      <c r="C1977">
        <f t="shared" si="90"/>
        <v>0</v>
      </c>
      <c r="D1977">
        <f>SUM($C$3:C1977)</f>
        <v>4</v>
      </c>
      <c r="E1977" t="e">
        <f t="shared" si="91"/>
        <v>#N/A</v>
      </c>
      <c r="F1977" s="28" t="str">
        <f t="shared" ca="1" si="92"/>
        <v/>
      </c>
    </row>
    <row r="1978" spans="2:6" x14ac:dyDescent="0.2">
      <c r="B1978" t="str">
        <f>IFERROR(IF('PDCA review'!$D$2=Do!B1976,Do!G1976,""),"")</f>
        <v/>
      </c>
      <c r="C1978">
        <f t="shared" si="90"/>
        <v>0</v>
      </c>
      <c r="D1978">
        <f>SUM($C$3:C1978)</f>
        <v>4</v>
      </c>
      <c r="E1978" t="e">
        <f t="shared" si="91"/>
        <v>#N/A</v>
      </c>
      <c r="F1978" s="28" t="str">
        <f t="shared" ca="1" si="92"/>
        <v/>
      </c>
    </row>
    <row r="1979" spans="2:6" x14ac:dyDescent="0.2">
      <c r="B1979" t="str">
        <f>IFERROR(IF('PDCA review'!$D$2=Do!B1977,Do!G1977,""),"")</f>
        <v/>
      </c>
      <c r="C1979">
        <f t="shared" si="90"/>
        <v>0</v>
      </c>
      <c r="D1979">
        <f>SUM($C$3:C1979)</f>
        <v>4</v>
      </c>
      <c r="E1979" t="e">
        <f t="shared" si="91"/>
        <v>#N/A</v>
      </c>
      <c r="F1979" s="28" t="str">
        <f t="shared" ca="1" si="92"/>
        <v/>
      </c>
    </row>
    <row r="1980" spans="2:6" x14ac:dyDescent="0.2">
      <c r="B1980" t="str">
        <f>IFERROR(IF('PDCA review'!$D$2=Do!B1978,Do!G1978,""),"")</f>
        <v/>
      </c>
      <c r="C1980">
        <f t="shared" si="90"/>
        <v>0</v>
      </c>
      <c r="D1980">
        <f>SUM($C$3:C1980)</f>
        <v>4</v>
      </c>
      <c r="E1980" t="e">
        <f t="shared" si="91"/>
        <v>#N/A</v>
      </c>
      <c r="F1980" s="28" t="str">
        <f t="shared" ca="1" si="92"/>
        <v/>
      </c>
    </row>
    <row r="1981" spans="2:6" x14ac:dyDescent="0.2">
      <c r="B1981" t="str">
        <f>IFERROR(IF('PDCA review'!$D$2=Do!B1979,Do!G1979,""),"")</f>
        <v/>
      </c>
      <c r="C1981">
        <f t="shared" si="90"/>
        <v>0</v>
      </c>
      <c r="D1981">
        <f>SUM($C$3:C1981)</f>
        <v>4</v>
      </c>
      <c r="E1981" t="e">
        <f t="shared" si="91"/>
        <v>#N/A</v>
      </c>
      <c r="F1981" s="28" t="str">
        <f t="shared" ca="1" si="92"/>
        <v/>
      </c>
    </row>
    <row r="1982" spans="2:6" x14ac:dyDescent="0.2">
      <c r="B1982" t="str">
        <f>IFERROR(IF('PDCA review'!$D$2=Do!B1980,Do!G1980,""),"")</f>
        <v/>
      </c>
      <c r="C1982">
        <f t="shared" si="90"/>
        <v>0</v>
      </c>
      <c r="D1982">
        <f>SUM($C$3:C1982)</f>
        <v>4</v>
      </c>
      <c r="E1982" t="e">
        <f t="shared" si="91"/>
        <v>#N/A</v>
      </c>
      <c r="F1982" s="28" t="str">
        <f t="shared" ca="1" si="92"/>
        <v/>
      </c>
    </row>
    <row r="1983" spans="2:6" x14ac:dyDescent="0.2">
      <c r="B1983" t="str">
        <f>IFERROR(IF('PDCA review'!$D$2=Do!B1981,Do!G1981,""),"")</f>
        <v/>
      </c>
      <c r="C1983">
        <f t="shared" si="90"/>
        <v>0</v>
      </c>
      <c r="D1983">
        <f>SUM($C$3:C1983)</f>
        <v>4</v>
      </c>
      <c r="E1983" t="e">
        <f t="shared" si="91"/>
        <v>#N/A</v>
      </c>
      <c r="F1983" s="28" t="str">
        <f t="shared" ca="1" si="92"/>
        <v/>
      </c>
    </row>
    <row r="1984" spans="2:6" x14ac:dyDescent="0.2">
      <c r="B1984" t="str">
        <f>IFERROR(IF('PDCA review'!$D$2=Do!B1982,Do!G1982,""),"")</f>
        <v/>
      </c>
      <c r="C1984">
        <f t="shared" si="90"/>
        <v>0</v>
      </c>
      <c r="D1984">
        <f>SUM($C$3:C1984)</f>
        <v>4</v>
      </c>
      <c r="E1984" t="e">
        <f t="shared" si="91"/>
        <v>#N/A</v>
      </c>
      <c r="F1984" s="28" t="str">
        <f t="shared" ca="1" si="92"/>
        <v/>
      </c>
    </row>
    <row r="1985" spans="2:6" x14ac:dyDescent="0.2">
      <c r="B1985" t="str">
        <f>IFERROR(IF('PDCA review'!$D$2=Do!B1983,Do!G1983,""),"")</f>
        <v/>
      </c>
      <c r="C1985">
        <f t="shared" si="90"/>
        <v>0</v>
      </c>
      <c r="D1985">
        <f>SUM($C$3:C1985)</f>
        <v>4</v>
      </c>
      <c r="E1985" t="e">
        <f t="shared" si="91"/>
        <v>#N/A</v>
      </c>
      <c r="F1985" s="28" t="str">
        <f t="shared" ca="1" si="92"/>
        <v/>
      </c>
    </row>
    <row r="1986" spans="2:6" x14ac:dyDescent="0.2">
      <c r="B1986" t="str">
        <f>IFERROR(IF('PDCA review'!$D$2=Do!B1984,Do!G1984,""),"")</f>
        <v/>
      </c>
      <c r="C1986">
        <f t="shared" si="90"/>
        <v>0</v>
      </c>
      <c r="D1986">
        <f>SUM($C$3:C1986)</f>
        <v>4</v>
      </c>
      <c r="E1986" t="e">
        <f t="shared" si="91"/>
        <v>#N/A</v>
      </c>
      <c r="F1986" s="28" t="str">
        <f t="shared" ca="1" si="92"/>
        <v/>
      </c>
    </row>
    <row r="1987" spans="2:6" x14ac:dyDescent="0.2">
      <c r="B1987" t="str">
        <f>IFERROR(IF('PDCA review'!$D$2=Do!B1985,Do!G1985,""),"")</f>
        <v/>
      </c>
      <c r="C1987">
        <f t="shared" si="90"/>
        <v>0</v>
      </c>
      <c r="D1987">
        <f>SUM($C$3:C1987)</f>
        <v>4</v>
      </c>
      <c r="E1987" t="e">
        <f t="shared" si="91"/>
        <v>#N/A</v>
      </c>
      <c r="F1987" s="28" t="str">
        <f t="shared" ca="1" si="92"/>
        <v/>
      </c>
    </row>
    <row r="1988" spans="2:6" x14ac:dyDescent="0.2">
      <c r="B1988" t="str">
        <f>IFERROR(IF('PDCA review'!$D$2=Do!B1986,Do!G1986,""),"")</f>
        <v/>
      </c>
      <c r="C1988">
        <f t="shared" ref="C1988:C2000" si="93">IF(B1988&lt;&gt;"",1,0)</f>
        <v>0</v>
      </c>
      <c r="D1988">
        <f>SUM($C$3:C1988)</f>
        <v>4</v>
      </c>
      <c r="E1988" t="e">
        <f t="shared" ref="E1988:E2000" si="94">MATCH(ROW()-$D$2,$D$3:$D$2000,0)+$D$2</f>
        <v>#N/A</v>
      </c>
      <c r="F1988" s="28" t="str">
        <f t="shared" ref="F1988:F2000" ca="1" si="95">IFERROR(INDIRECT("B"&amp;E1988),"")</f>
        <v/>
      </c>
    </row>
    <row r="1989" spans="2:6" x14ac:dyDescent="0.2">
      <c r="B1989" t="str">
        <f>IFERROR(IF('PDCA review'!$D$2=Do!B1987,Do!G1987,""),"")</f>
        <v/>
      </c>
      <c r="C1989">
        <f t="shared" si="93"/>
        <v>0</v>
      </c>
      <c r="D1989">
        <f>SUM($C$3:C1989)</f>
        <v>4</v>
      </c>
      <c r="E1989" t="e">
        <f t="shared" si="94"/>
        <v>#N/A</v>
      </c>
      <c r="F1989" s="28" t="str">
        <f t="shared" ca="1" si="95"/>
        <v/>
      </c>
    </row>
    <row r="1990" spans="2:6" x14ac:dyDescent="0.2">
      <c r="B1990" t="str">
        <f>IFERROR(IF('PDCA review'!$D$2=Do!B1988,Do!G1988,""),"")</f>
        <v/>
      </c>
      <c r="C1990">
        <f t="shared" si="93"/>
        <v>0</v>
      </c>
      <c r="D1990">
        <f>SUM($C$3:C1990)</f>
        <v>4</v>
      </c>
      <c r="E1990" t="e">
        <f t="shared" si="94"/>
        <v>#N/A</v>
      </c>
      <c r="F1990" s="28" t="str">
        <f t="shared" ca="1" si="95"/>
        <v/>
      </c>
    </row>
    <row r="1991" spans="2:6" x14ac:dyDescent="0.2">
      <c r="B1991" t="str">
        <f>IFERROR(IF('PDCA review'!$D$2=Do!B1989,Do!G1989,""),"")</f>
        <v/>
      </c>
      <c r="C1991">
        <f t="shared" si="93"/>
        <v>0</v>
      </c>
      <c r="D1991">
        <f>SUM($C$3:C1991)</f>
        <v>4</v>
      </c>
      <c r="E1991" t="e">
        <f t="shared" si="94"/>
        <v>#N/A</v>
      </c>
      <c r="F1991" s="28" t="str">
        <f t="shared" ca="1" si="95"/>
        <v/>
      </c>
    </row>
    <row r="1992" spans="2:6" x14ac:dyDescent="0.2">
      <c r="B1992" t="str">
        <f>IFERROR(IF('PDCA review'!$D$2=Do!B1990,Do!G1990,""),"")</f>
        <v/>
      </c>
      <c r="C1992">
        <f t="shared" si="93"/>
        <v>0</v>
      </c>
      <c r="D1992">
        <f>SUM($C$3:C1992)</f>
        <v>4</v>
      </c>
      <c r="E1992" t="e">
        <f t="shared" si="94"/>
        <v>#N/A</v>
      </c>
      <c r="F1992" s="28" t="str">
        <f t="shared" ca="1" si="95"/>
        <v/>
      </c>
    </row>
    <row r="1993" spans="2:6" x14ac:dyDescent="0.2">
      <c r="B1993" t="str">
        <f>IFERROR(IF('PDCA review'!$D$2=Do!B1991,Do!G1991,""),"")</f>
        <v/>
      </c>
      <c r="C1993">
        <f t="shared" si="93"/>
        <v>0</v>
      </c>
      <c r="D1993">
        <f>SUM($C$3:C1993)</f>
        <v>4</v>
      </c>
      <c r="E1993" t="e">
        <f t="shared" si="94"/>
        <v>#N/A</v>
      </c>
      <c r="F1993" s="28" t="str">
        <f t="shared" ca="1" si="95"/>
        <v/>
      </c>
    </row>
    <row r="1994" spans="2:6" x14ac:dyDescent="0.2">
      <c r="B1994" t="str">
        <f>IFERROR(IF('PDCA review'!$D$2=Do!B1992,Do!G1992,""),"")</f>
        <v/>
      </c>
      <c r="C1994">
        <f t="shared" si="93"/>
        <v>0</v>
      </c>
      <c r="D1994">
        <f>SUM($C$3:C1994)</f>
        <v>4</v>
      </c>
      <c r="E1994" t="e">
        <f t="shared" si="94"/>
        <v>#N/A</v>
      </c>
      <c r="F1994" s="28" t="str">
        <f t="shared" ca="1" si="95"/>
        <v/>
      </c>
    </row>
    <row r="1995" spans="2:6" x14ac:dyDescent="0.2">
      <c r="B1995" t="str">
        <f>IFERROR(IF('PDCA review'!$D$2=Do!B1993,Do!G1993,""),"")</f>
        <v/>
      </c>
      <c r="C1995">
        <f t="shared" si="93"/>
        <v>0</v>
      </c>
      <c r="D1995">
        <f>SUM($C$3:C1995)</f>
        <v>4</v>
      </c>
      <c r="E1995" t="e">
        <f t="shared" si="94"/>
        <v>#N/A</v>
      </c>
      <c r="F1995" s="28" t="str">
        <f t="shared" ca="1" si="95"/>
        <v/>
      </c>
    </row>
    <row r="1996" spans="2:6" x14ac:dyDescent="0.2">
      <c r="B1996" t="str">
        <f>IFERROR(IF('PDCA review'!$D$2=Do!B1994,Do!G1994,""),"")</f>
        <v/>
      </c>
      <c r="C1996">
        <f t="shared" si="93"/>
        <v>0</v>
      </c>
      <c r="D1996">
        <f>SUM($C$3:C1996)</f>
        <v>4</v>
      </c>
      <c r="E1996" t="e">
        <f t="shared" si="94"/>
        <v>#N/A</v>
      </c>
      <c r="F1996" s="28" t="str">
        <f t="shared" ca="1" si="95"/>
        <v/>
      </c>
    </row>
    <row r="1997" spans="2:6" x14ac:dyDescent="0.2">
      <c r="B1997" t="str">
        <f>IFERROR(IF('PDCA review'!$D$2=Do!B1995,Do!G1995,""),"")</f>
        <v/>
      </c>
      <c r="C1997">
        <f t="shared" si="93"/>
        <v>0</v>
      </c>
      <c r="D1997">
        <f>SUM($C$3:C1997)</f>
        <v>4</v>
      </c>
      <c r="E1997" t="e">
        <f t="shared" si="94"/>
        <v>#N/A</v>
      </c>
      <c r="F1997" s="28" t="str">
        <f t="shared" ca="1" si="95"/>
        <v/>
      </c>
    </row>
    <row r="1998" spans="2:6" x14ac:dyDescent="0.2">
      <c r="B1998" t="str">
        <f>IFERROR(IF('PDCA review'!$D$2=Do!B1996,Do!G1996,""),"")</f>
        <v/>
      </c>
      <c r="C1998">
        <f t="shared" si="93"/>
        <v>0</v>
      </c>
      <c r="D1998">
        <f>SUM($C$3:C1998)</f>
        <v>4</v>
      </c>
      <c r="E1998" t="e">
        <f t="shared" si="94"/>
        <v>#N/A</v>
      </c>
      <c r="F1998" s="28" t="str">
        <f t="shared" ca="1" si="95"/>
        <v/>
      </c>
    </row>
    <row r="1999" spans="2:6" x14ac:dyDescent="0.2">
      <c r="B1999" t="str">
        <f>IFERROR(IF('PDCA review'!$D$2=Do!B1997,Do!G1997,""),"")</f>
        <v/>
      </c>
      <c r="C1999">
        <f t="shared" si="93"/>
        <v>0</v>
      </c>
      <c r="D1999">
        <f>SUM($C$3:C1999)</f>
        <v>4</v>
      </c>
      <c r="E1999" t="e">
        <f t="shared" si="94"/>
        <v>#N/A</v>
      </c>
      <c r="F1999" s="28" t="str">
        <f t="shared" ca="1" si="95"/>
        <v/>
      </c>
    </row>
    <row r="2000" spans="2:6" x14ac:dyDescent="0.2">
      <c r="B2000" t="str">
        <f>IFERROR(IF('PDCA review'!$D$2=Do!B1998,Do!G1998,""),"")</f>
        <v/>
      </c>
      <c r="C2000">
        <f t="shared" si="93"/>
        <v>0</v>
      </c>
      <c r="D2000">
        <f>SUM($C$3:C2000)</f>
        <v>4</v>
      </c>
      <c r="E2000" t="e">
        <f t="shared" si="94"/>
        <v>#N/A</v>
      </c>
      <c r="F2000" s="28" t="str">
        <f t="shared" ca="1" si="95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EF146-EA2D-4B49-9CF1-4A28A58C33A6}">
  <dimension ref="B1:F2000"/>
  <sheetViews>
    <sheetView showGridLines="0" workbookViewId="0">
      <selection activeCell="B3" sqref="B3:B2000"/>
    </sheetView>
  </sheetViews>
  <sheetFormatPr defaultRowHeight="12.75" x14ac:dyDescent="0.2"/>
  <cols>
    <col min="2" max="2" width="33.5703125" customWidth="1"/>
    <col min="3" max="5" width="16.7109375" customWidth="1"/>
    <col min="6" max="6" width="31.28515625" style="28" customWidth="1"/>
  </cols>
  <sheetData>
    <row r="1" spans="2:6" x14ac:dyDescent="0.2">
      <c r="F1"/>
    </row>
    <row r="2" spans="2:6" x14ac:dyDescent="0.2">
      <c r="B2" s="29"/>
      <c r="C2" s="29"/>
      <c r="D2" s="29">
        <f>ROW()</f>
        <v>2</v>
      </c>
      <c r="E2" s="29"/>
      <c r="F2" s="30" t="s">
        <v>14</v>
      </c>
    </row>
    <row r="3" spans="2:6" x14ac:dyDescent="0.2">
      <c r="B3" t="str">
        <f>IFERROR(IF('PDCA review'!$D$2='Check'!#REF!,'Check'!#REF!,""),"")</f>
        <v/>
      </c>
      <c r="C3">
        <f>IF(B3&lt;&gt;"",1,0)</f>
        <v>0</v>
      </c>
      <c r="D3">
        <f>SUM($C$3:C3)</f>
        <v>0</v>
      </c>
      <c r="E3">
        <f>MATCH(ROW()-$D$2,$D$3:$D$2000,0)+$D$2</f>
        <v>6</v>
      </c>
      <c r="F3" s="28" t="str">
        <f ca="1">IFERROR(INDIRECT("B"&amp;E3),"")</f>
        <v>Monitor results and create indicators.</v>
      </c>
    </row>
    <row r="4" spans="2:6" x14ac:dyDescent="0.2">
      <c r="B4" t="str">
        <f>IFERROR(IF('PDCA review'!$D$2='Check'!B4,'Check'!G4,""),"")</f>
        <v/>
      </c>
      <c r="C4">
        <f t="shared" ref="C4:C67" si="0">IF(B4&lt;&gt;"",1,0)</f>
        <v>0</v>
      </c>
      <c r="D4">
        <f>SUM($C$3:C4)</f>
        <v>0</v>
      </c>
      <c r="E4">
        <f t="shared" ref="E4:E67" si="1">MATCH(ROW()-$D$2,$D$3:$D$2000,0)+$D$2</f>
        <v>7</v>
      </c>
      <c r="F4" s="28" t="str">
        <f t="shared" ref="F4:F67" ca="1" si="2">IFERROR(INDIRECT("B"&amp;E4),"")</f>
        <v>Check for cause prevention.</v>
      </c>
    </row>
    <row r="5" spans="2:6" x14ac:dyDescent="0.2">
      <c r="B5" t="str">
        <f>IFERROR(IF('PDCA review'!$D$2='Check'!B5,'Check'!G5,""),"")</f>
        <v/>
      </c>
      <c r="C5">
        <f t="shared" si="0"/>
        <v>0</v>
      </c>
      <c r="D5">
        <f>SUM($C$3:C5)</f>
        <v>0</v>
      </c>
      <c r="E5">
        <f t="shared" si="1"/>
        <v>8</v>
      </c>
      <c r="F5" s="28" t="str">
        <f t="shared" ca="1" si="2"/>
        <v>Identify the necessary corrections.</v>
      </c>
    </row>
    <row r="6" spans="2:6" x14ac:dyDescent="0.2">
      <c r="B6" t="str">
        <f>IFERROR(IF('PDCA review'!$D$2='Check'!B6,'Check'!G6,""),"")</f>
        <v>Monitor results and create indicators.</v>
      </c>
      <c r="C6">
        <f t="shared" si="0"/>
        <v>1</v>
      </c>
      <c r="D6">
        <f>SUM($C$3:C6)</f>
        <v>1</v>
      </c>
      <c r="E6">
        <f t="shared" si="1"/>
        <v>9</v>
      </c>
      <c r="F6" s="28" t="str">
        <f t="shared" ca="1" si="2"/>
        <v>Evaluate the learning and review goals</v>
      </c>
    </row>
    <row r="7" spans="2:6" x14ac:dyDescent="0.2">
      <c r="B7" t="str">
        <f>IFERROR(IF('PDCA review'!$D$2='Check'!B7,'Check'!G7,""),"")</f>
        <v>Check for cause prevention.</v>
      </c>
      <c r="C7">
        <f t="shared" si="0"/>
        <v>1</v>
      </c>
      <c r="D7">
        <f>SUM($C$3:C7)</f>
        <v>2</v>
      </c>
      <c r="E7" t="e">
        <f t="shared" si="1"/>
        <v>#N/A</v>
      </c>
      <c r="F7" s="28" t="str">
        <f t="shared" ca="1" si="2"/>
        <v/>
      </c>
    </row>
    <row r="8" spans="2:6" x14ac:dyDescent="0.2">
      <c r="B8" t="str">
        <f>IFERROR(IF('PDCA review'!$D$2='Check'!B8,'Check'!G8,""),"")</f>
        <v>Identify the necessary corrections.</v>
      </c>
      <c r="C8">
        <f t="shared" si="0"/>
        <v>1</v>
      </c>
      <c r="D8">
        <f>SUM($C$3:C8)</f>
        <v>3</v>
      </c>
      <c r="E8" t="e">
        <f t="shared" si="1"/>
        <v>#N/A</v>
      </c>
      <c r="F8" s="28" t="str">
        <f t="shared" ca="1" si="2"/>
        <v/>
      </c>
    </row>
    <row r="9" spans="2:6" x14ac:dyDescent="0.2">
      <c r="B9" t="str">
        <f>IFERROR(IF('PDCA review'!$D$2='Check'!B9,'Check'!G9,""),"")</f>
        <v>Evaluate the learning and review goals</v>
      </c>
      <c r="C9">
        <f t="shared" si="0"/>
        <v>1</v>
      </c>
      <c r="D9">
        <f>SUM($C$3:C9)</f>
        <v>4</v>
      </c>
      <c r="E9" t="e">
        <f t="shared" si="1"/>
        <v>#N/A</v>
      </c>
      <c r="F9" s="28" t="str">
        <f t="shared" ca="1" si="2"/>
        <v/>
      </c>
    </row>
    <row r="10" spans="2:6" x14ac:dyDescent="0.2">
      <c r="B10" t="str">
        <f>IFERROR(IF('PDCA review'!$D$2='Check'!B10,'Check'!G10,""),"")</f>
        <v/>
      </c>
      <c r="C10">
        <f t="shared" si="0"/>
        <v>0</v>
      </c>
      <c r="D10">
        <f>SUM($C$3:C10)</f>
        <v>4</v>
      </c>
      <c r="E10" t="e">
        <f t="shared" si="1"/>
        <v>#N/A</v>
      </c>
      <c r="F10" s="28" t="str">
        <f t="shared" ca="1" si="2"/>
        <v/>
      </c>
    </row>
    <row r="11" spans="2:6" x14ac:dyDescent="0.2">
      <c r="B11" t="str">
        <f>IFERROR(IF('PDCA review'!$D$2='Check'!B11,'Check'!G11,""),"")</f>
        <v/>
      </c>
      <c r="C11">
        <f t="shared" si="0"/>
        <v>0</v>
      </c>
      <c r="D11">
        <f>SUM($C$3:C11)</f>
        <v>4</v>
      </c>
      <c r="E11" t="e">
        <f t="shared" si="1"/>
        <v>#N/A</v>
      </c>
      <c r="F11" s="28" t="str">
        <f t="shared" ca="1" si="2"/>
        <v/>
      </c>
    </row>
    <row r="12" spans="2:6" x14ac:dyDescent="0.2">
      <c r="B12" t="str">
        <f>IFERROR(IF('PDCA review'!$D$2='Check'!B12,'Check'!G12,""),"")</f>
        <v/>
      </c>
      <c r="C12">
        <f t="shared" si="0"/>
        <v>0</v>
      </c>
      <c r="D12">
        <f>SUM($C$3:C12)</f>
        <v>4</v>
      </c>
      <c r="E12" t="e">
        <f t="shared" si="1"/>
        <v>#N/A</v>
      </c>
      <c r="F12" s="28" t="str">
        <f t="shared" ca="1" si="2"/>
        <v/>
      </c>
    </row>
    <row r="13" spans="2:6" x14ac:dyDescent="0.2">
      <c r="B13" t="str">
        <f>IFERROR(IF('PDCA review'!$D$2='Check'!B13,'Check'!G13,""),"")</f>
        <v/>
      </c>
      <c r="C13">
        <f t="shared" si="0"/>
        <v>0</v>
      </c>
      <c r="D13">
        <f>SUM($C$3:C13)</f>
        <v>4</v>
      </c>
      <c r="E13" t="e">
        <f t="shared" si="1"/>
        <v>#N/A</v>
      </c>
      <c r="F13" s="28" t="str">
        <f t="shared" ca="1" si="2"/>
        <v/>
      </c>
    </row>
    <row r="14" spans="2:6" x14ac:dyDescent="0.2">
      <c r="B14" t="str">
        <f>IFERROR(IF('PDCA review'!$D$2='Check'!B14,'Check'!G14,""),"")</f>
        <v/>
      </c>
      <c r="C14">
        <f t="shared" si="0"/>
        <v>0</v>
      </c>
      <c r="D14">
        <f>SUM($C$3:C14)</f>
        <v>4</v>
      </c>
      <c r="E14" t="e">
        <f t="shared" si="1"/>
        <v>#N/A</v>
      </c>
      <c r="F14" s="28" t="str">
        <f t="shared" ca="1" si="2"/>
        <v/>
      </c>
    </row>
    <row r="15" spans="2:6" x14ac:dyDescent="0.2">
      <c r="B15" t="str">
        <f>IFERROR(IF('PDCA review'!$D$2='Check'!B15,'Check'!G15,""),"")</f>
        <v/>
      </c>
      <c r="C15">
        <f t="shared" si="0"/>
        <v>0</v>
      </c>
      <c r="D15">
        <f>SUM($C$3:C15)</f>
        <v>4</v>
      </c>
      <c r="E15" t="e">
        <f t="shared" si="1"/>
        <v>#N/A</v>
      </c>
      <c r="F15" s="28" t="str">
        <f t="shared" ca="1" si="2"/>
        <v/>
      </c>
    </row>
    <row r="16" spans="2:6" x14ac:dyDescent="0.2">
      <c r="B16" t="str">
        <f>IFERROR(IF('PDCA review'!$D$2='Check'!B16,'Check'!G16,""),"")</f>
        <v/>
      </c>
      <c r="C16">
        <f t="shared" si="0"/>
        <v>0</v>
      </c>
      <c r="D16">
        <f>SUM($C$3:C16)</f>
        <v>4</v>
      </c>
      <c r="E16" t="e">
        <f t="shared" si="1"/>
        <v>#N/A</v>
      </c>
      <c r="F16" s="28" t="str">
        <f t="shared" ca="1" si="2"/>
        <v/>
      </c>
    </row>
    <row r="17" spans="2:6" x14ac:dyDescent="0.2">
      <c r="B17" t="str">
        <f>IFERROR(IF('PDCA review'!$D$2='Check'!B17,'Check'!G17,""),"")</f>
        <v/>
      </c>
      <c r="C17">
        <f t="shared" si="0"/>
        <v>0</v>
      </c>
      <c r="D17">
        <f>SUM($C$3:C17)</f>
        <v>4</v>
      </c>
      <c r="E17" t="e">
        <f t="shared" si="1"/>
        <v>#N/A</v>
      </c>
      <c r="F17" s="28" t="str">
        <f t="shared" ca="1" si="2"/>
        <v/>
      </c>
    </row>
    <row r="18" spans="2:6" x14ac:dyDescent="0.2">
      <c r="B18" t="str">
        <f>IFERROR(IF('PDCA review'!$D$2='Check'!B18,'Check'!G18,""),"")</f>
        <v/>
      </c>
      <c r="C18">
        <f t="shared" si="0"/>
        <v>0</v>
      </c>
      <c r="D18">
        <f>SUM($C$3:C18)</f>
        <v>4</v>
      </c>
      <c r="E18" t="e">
        <f t="shared" si="1"/>
        <v>#N/A</v>
      </c>
      <c r="F18" s="28" t="str">
        <f t="shared" ca="1" si="2"/>
        <v/>
      </c>
    </row>
    <row r="19" spans="2:6" x14ac:dyDescent="0.2">
      <c r="B19" t="str">
        <f>IFERROR(IF('PDCA review'!$D$2='Check'!B19,'Check'!G19,""),"")</f>
        <v/>
      </c>
      <c r="C19">
        <f t="shared" si="0"/>
        <v>0</v>
      </c>
      <c r="D19">
        <f>SUM($C$3:C19)</f>
        <v>4</v>
      </c>
      <c r="E19" t="e">
        <f t="shared" si="1"/>
        <v>#N/A</v>
      </c>
      <c r="F19" s="28" t="str">
        <f t="shared" ca="1" si="2"/>
        <v/>
      </c>
    </row>
    <row r="20" spans="2:6" x14ac:dyDescent="0.2">
      <c r="B20" t="str">
        <f>IFERROR(IF('PDCA review'!$D$2='Check'!B20,'Check'!G20,""),"")</f>
        <v/>
      </c>
      <c r="C20">
        <f t="shared" si="0"/>
        <v>0</v>
      </c>
      <c r="D20">
        <f>SUM($C$3:C20)</f>
        <v>4</v>
      </c>
      <c r="E20" t="e">
        <f t="shared" si="1"/>
        <v>#N/A</v>
      </c>
      <c r="F20" s="28" t="str">
        <f t="shared" ca="1" si="2"/>
        <v/>
      </c>
    </row>
    <row r="21" spans="2:6" x14ac:dyDescent="0.2">
      <c r="B21" t="str">
        <f>IFERROR(IF('PDCA review'!$D$2='Check'!B21,'Check'!G21,""),"")</f>
        <v/>
      </c>
      <c r="C21">
        <f t="shared" si="0"/>
        <v>0</v>
      </c>
      <c r="D21">
        <f>SUM($C$3:C21)</f>
        <v>4</v>
      </c>
      <c r="E21" t="e">
        <f t="shared" si="1"/>
        <v>#N/A</v>
      </c>
      <c r="F21" s="28" t="str">
        <f t="shared" ca="1" si="2"/>
        <v/>
      </c>
    </row>
    <row r="22" spans="2:6" x14ac:dyDescent="0.2">
      <c r="B22" t="str">
        <f>IFERROR(IF('PDCA review'!$D$2='Check'!B22,'Check'!G22,""),"")</f>
        <v/>
      </c>
      <c r="C22">
        <f t="shared" si="0"/>
        <v>0</v>
      </c>
      <c r="D22">
        <f>SUM($C$3:C22)</f>
        <v>4</v>
      </c>
      <c r="E22" t="e">
        <f t="shared" si="1"/>
        <v>#N/A</v>
      </c>
      <c r="F22" s="28" t="str">
        <f t="shared" ca="1" si="2"/>
        <v/>
      </c>
    </row>
    <row r="23" spans="2:6" x14ac:dyDescent="0.2">
      <c r="B23" t="str">
        <f>IFERROR(IF('PDCA review'!$D$2='Check'!B23,'Check'!G23,""),"")</f>
        <v/>
      </c>
      <c r="C23">
        <f t="shared" si="0"/>
        <v>0</v>
      </c>
      <c r="D23">
        <f>SUM($C$3:C23)</f>
        <v>4</v>
      </c>
      <c r="E23" t="e">
        <f t="shared" si="1"/>
        <v>#N/A</v>
      </c>
      <c r="F23" s="28" t="str">
        <f t="shared" ca="1" si="2"/>
        <v/>
      </c>
    </row>
    <row r="24" spans="2:6" x14ac:dyDescent="0.2">
      <c r="B24" t="str">
        <f>IFERROR(IF('PDCA review'!$D$2='Check'!B24,'Check'!G24,""),"")</f>
        <v/>
      </c>
      <c r="C24">
        <f t="shared" si="0"/>
        <v>0</v>
      </c>
      <c r="D24">
        <f>SUM($C$3:C24)</f>
        <v>4</v>
      </c>
      <c r="E24" t="e">
        <f t="shared" si="1"/>
        <v>#N/A</v>
      </c>
      <c r="F24" s="28" t="str">
        <f t="shared" ca="1" si="2"/>
        <v/>
      </c>
    </row>
    <row r="25" spans="2:6" x14ac:dyDescent="0.2">
      <c r="B25" t="str">
        <f>IFERROR(IF('PDCA review'!$D$2='Check'!B25,'Check'!G25,""),"")</f>
        <v/>
      </c>
      <c r="C25">
        <f t="shared" si="0"/>
        <v>0</v>
      </c>
      <c r="D25">
        <f>SUM($C$3:C25)</f>
        <v>4</v>
      </c>
      <c r="E25" t="e">
        <f t="shared" si="1"/>
        <v>#N/A</v>
      </c>
      <c r="F25" s="28" t="str">
        <f t="shared" ca="1" si="2"/>
        <v/>
      </c>
    </row>
    <row r="26" spans="2:6" x14ac:dyDescent="0.2">
      <c r="B26" t="str">
        <f>IFERROR(IF('PDCA review'!$D$2='Check'!B26,'Check'!G26,""),"")</f>
        <v/>
      </c>
      <c r="C26">
        <f t="shared" si="0"/>
        <v>0</v>
      </c>
      <c r="D26">
        <f>SUM($C$3:C26)</f>
        <v>4</v>
      </c>
      <c r="E26" t="e">
        <f t="shared" si="1"/>
        <v>#N/A</v>
      </c>
      <c r="F26" s="28" t="str">
        <f t="shared" ca="1" si="2"/>
        <v/>
      </c>
    </row>
    <row r="27" spans="2:6" x14ac:dyDescent="0.2">
      <c r="B27" t="str">
        <f>IFERROR(IF('PDCA review'!$D$2='Check'!B27,'Check'!G27,""),"")</f>
        <v/>
      </c>
      <c r="C27">
        <f t="shared" si="0"/>
        <v>0</v>
      </c>
      <c r="D27">
        <f>SUM($C$3:C27)</f>
        <v>4</v>
      </c>
      <c r="E27" t="e">
        <f t="shared" si="1"/>
        <v>#N/A</v>
      </c>
      <c r="F27" s="28" t="str">
        <f t="shared" ca="1" si="2"/>
        <v/>
      </c>
    </row>
    <row r="28" spans="2:6" x14ac:dyDescent="0.2">
      <c r="B28" t="str">
        <f>IFERROR(IF('PDCA review'!$D$2='Check'!B28,'Check'!G28,""),"")</f>
        <v/>
      </c>
      <c r="C28">
        <f t="shared" si="0"/>
        <v>0</v>
      </c>
      <c r="D28">
        <f>SUM($C$3:C28)</f>
        <v>4</v>
      </c>
      <c r="E28" t="e">
        <f t="shared" si="1"/>
        <v>#N/A</v>
      </c>
      <c r="F28" s="28" t="str">
        <f t="shared" ca="1" si="2"/>
        <v/>
      </c>
    </row>
    <row r="29" spans="2:6" x14ac:dyDescent="0.2">
      <c r="B29" t="str">
        <f>IFERROR(IF('PDCA review'!$D$2='Check'!B29,'Check'!G29,""),"")</f>
        <v/>
      </c>
      <c r="C29">
        <f t="shared" si="0"/>
        <v>0</v>
      </c>
      <c r="D29">
        <f>SUM($C$3:C29)</f>
        <v>4</v>
      </c>
      <c r="E29" t="e">
        <f t="shared" si="1"/>
        <v>#N/A</v>
      </c>
      <c r="F29" s="28" t="str">
        <f t="shared" ca="1" si="2"/>
        <v/>
      </c>
    </row>
    <row r="30" spans="2:6" x14ac:dyDescent="0.2">
      <c r="B30" t="str">
        <f>IFERROR(IF('PDCA review'!$D$2='Check'!B30,'Check'!G30,""),"")</f>
        <v/>
      </c>
      <c r="C30">
        <f t="shared" si="0"/>
        <v>0</v>
      </c>
      <c r="D30">
        <f>SUM($C$3:C30)</f>
        <v>4</v>
      </c>
      <c r="E30" t="e">
        <f t="shared" si="1"/>
        <v>#N/A</v>
      </c>
      <c r="F30" s="28" t="str">
        <f t="shared" ca="1" si="2"/>
        <v/>
      </c>
    </row>
    <row r="31" spans="2:6" x14ac:dyDescent="0.2">
      <c r="B31" t="str">
        <f>IFERROR(IF('PDCA review'!$D$2='Check'!B31,'Check'!G31,""),"")</f>
        <v/>
      </c>
      <c r="C31">
        <f t="shared" si="0"/>
        <v>0</v>
      </c>
      <c r="D31">
        <f>SUM($C$3:C31)</f>
        <v>4</v>
      </c>
      <c r="E31" t="e">
        <f t="shared" si="1"/>
        <v>#N/A</v>
      </c>
      <c r="F31" s="28" t="str">
        <f t="shared" ca="1" si="2"/>
        <v/>
      </c>
    </row>
    <row r="32" spans="2:6" x14ac:dyDescent="0.2">
      <c r="B32" t="str">
        <f>IFERROR(IF('PDCA review'!$D$2='Check'!B32,'Check'!G32,""),"")</f>
        <v/>
      </c>
      <c r="C32">
        <f t="shared" si="0"/>
        <v>0</v>
      </c>
      <c r="D32">
        <f>SUM($C$3:C32)</f>
        <v>4</v>
      </c>
      <c r="E32" t="e">
        <f t="shared" si="1"/>
        <v>#N/A</v>
      </c>
      <c r="F32" s="28" t="str">
        <f t="shared" ca="1" si="2"/>
        <v/>
      </c>
    </row>
    <row r="33" spans="2:6" x14ac:dyDescent="0.2">
      <c r="B33" t="str">
        <f>IFERROR(IF('PDCA review'!$D$2='Check'!B33,'Check'!G33,""),"")</f>
        <v/>
      </c>
      <c r="C33">
        <f t="shared" si="0"/>
        <v>0</v>
      </c>
      <c r="D33">
        <f>SUM($C$3:C33)</f>
        <v>4</v>
      </c>
      <c r="E33" t="e">
        <f t="shared" si="1"/>
        <v>#N/A</v>
      </c>
      <c r="F33" s="28" t="str">
        <f t="shared" ca="1" si="2"/>
        <v/>
      </c>
    </row>
    <row r="34" spans="2:6" x14ac:dyDescent="0.2">
      <c r="B34" t="str">
        <f>IFERROR(IF('PDCA review'!$D$2='Check'!B34,'Check'!G34,""),"")</f>
        <v/>
      </c>
      <c r="C34">
        <f t="shared" si="0"/>
        <v>0</v>
      </c>
      <c r="D34">
        <f>SUM($C$3:C34)</f>
        <v>4</v>
      </c>
      <c r="E34" t="e">
        <f t="shared" si="1"/>
        <v>#N/A</v>
      </c>
      <c r="F34" s="28" t="str">
        <f t="shared" ca="1" si="2"/>
        <v/>
      </c>
    </row>
    <row r="35" spans="2:6" x14ac:dyDescent="0.2">
      <c r="B35" t="str">
        <f>IFERROR(IF('PDCA review'!$D$2='Check'!B35,'Check'!G35,""),"")</f>
        <v/>
      </c>
      <c r="C35">
        <f t="shared" si="0"/>
        <v>0</v>
      </c>
      <c r="D35">
        <f>SUM($C$3:C35)</f>
        <v>4</v>
      </c>
      <c r="E35" t="e">
        <f t="shared" si="1"/>
        <v>#N/A</v>
      </c>
      <c r="F35" s="28" t="str">
        <f t="shared" ca="1" si="2"/>
        <v/>
      </c>
    </row>
    <row r="36" spans="2:6" x14ac:dyDescent="0.2">
      <c r="B36" t="str">
        <f>IFERROR(IF('PDCA review'!$D$2='Check'!B36,'Check'!G36,""),"")</f>
        <v/>
      </c>
      <c r="C36">
        <f t="shared" si="0"/>
        <v>0</v>
      </c>
      <c r="D36">
        <f>SUM($C$3:C36)</f>
        <v>4</v>
      </c>
      <c r="E36" t="e">
        <f t="shared" si="1"/>
        <v>#N/A</v>
      </c>
      <c r="F36" s="28" t="str">
        <f t="shared" ca="1" si="2"/>
        <v/>
      </c>
    </row>
    <row r="37" spans="2:6" x14ac:dyDescent="0.2">
      <c r="B37" t="str">
        <f>IFERROR(IF('PDCA review'!$D$2='Check'!B37,'Check'!G37,""),"")</f>
        <v/>
      </c>
      <c r="C37">
        <f t="shared" si="0"/>
        <v>0</v>
      </c>
      <c r="D37">
        <f>SUM($C$3:C37)</f>
        <v>4</v>
      </c>
      <c r="E37" t="e">
        <f t="shared" si="1"/>
        <v>#N/A</v>
      </c>
      <c r="F37" s="28" t="str">
        <f t="shared" ca="1" si="2"/>
        <v/>
      </c>
    </row>
    <row r="38" spans="2:6" x14ac:dyDescent="0.2">
      <c r="B38" t="str">
        <f>IFERROR(IF('PDCA review'!$D$2='Check'!B38,'Check'!G38,""),"")</f>
        <v/>
      </c>
      <c r="C38">
        <f t="shared" si="0"/>
        <v>0</v>
      </c>
      <c r="D38">
        <f>SUM($C$3:C38)</f>
        <v>4</v>
      </c>
      <c r="E38" t="e">
        <f t="shared" si="1"/>
        <v>#N/A</v>
      </c>
      <c r="F38" s="28" t="str">
        <f t="shared" ca="1" si="2"/>
        <v/>
      </c>
    </row>
    <row r="39" spans="2:6" x14ac:dyDescent="0.2">
      <c r="B39" t="str">
        <f>IFERROR(IF('PDCA review'!$D$2='Check'!B39,'Check'!G39,""),"")</f>
        <v/>
      </c>
      <c r="C39">
        <f t="shared" si="0"/>
        <v>0</v>
      </c>
      <c r="D39">
        <f>SUM($C$3:C39)</f>
        <v>4</v>
      </c>
      <c r="E39" t="e">
        <f t="shared" si="1"/>
        <v>#N/A</v>
      </c>
      <c r="F39" s="28" t="str">
        <f t="shared" ca="1" si="2"/>
        <v/>
      </c>
    </row>
    <row r="40" spans="2:6" x14ac:dyDescent="0.2">
      <c r="B40" t="str">
        <f>IFERROR(IF('PDCA review'!$D$2='Check'!B40,'Check'!G40,""),"")</f>
        <v/>
      </c>
      <c r="C40">
        <f t="shared" si="0"/>
        <v>0</v>
      </c>
      <c r="D40">
        <f>SUM($C$3:C40)</f>
        <v>4</v>
      </c>
      <c r="E40" t="e">
        <f t="shared" si="1"/>
        <v>#N/A</v>
      </c>
      <c r="F40" s="28" t="str">
        <f t="shared" ca="1" si="2"/>
        <v/>
      </c>
    </row>
    <row r="41" spans="2:6" x14ac:dyDescent="0.2">
      <c r="B41" t="str">
        <f>IFERROR(IF('PDCA review'!$D$2='Check'!B41,'Check'!G41,""),"")</f>
        <v/>
      </c>
      <c r="C41">
        <f t="shared" si="0"/>
        <v>0</v>
      </c>
      <c r="D41">
        <f>SUM($C$3:C41)</f>
        <v>4</v>
      </c>
      <c r="E41" t="e">
        <f t="shared" si="1"/>
        <v>#N/A</v>
      </c>
      <c r="F41" s="28" t="str">
        <f t="shared" ca="1" si="2"/>
        <v/>
      </c>
    </row>
    <row r="42" spans="2:6" x14ac:dyDescent="0.2">
      <c r="B42" t="str">
        <f>IFERROR(IF('PDCA review'!$D$2='Check'!B42,'Check'!G42,""),"")</f>
        <v/>
      </c>
      <c r="C42">
        <f t="shared" si="0"/>
        <v>0</v>
      </c>
      <c r="D42">
        <f>SUM($C$3:C42)</f>
        <v>4</v>
      </c>
      <c r="E42" t="e">
        <f t="shared" si="1"/>
        <v>#N/A</v>
      </c>
      <c r="F42" s="28" t="str">
        <f t="shared" ca="1" si="2"/>
        <v/>
      </c>
    </row>
    <row r="43" spans="2:6" x14ac:dyDescent="0.2">
      <c r="B43" t="str">
        <f>IFERROR(IF('PDCA review'!$D$2='Check'!B43,'Check'!G43,""),"")</f>
        <v/>
      </c>
      <c r="C43">
        <f t="shared" si="0"/>
        <v>0</v>
      </c>
      <c r="D43">
        <f>SUM($C$3:C43)</f>
        <v>4</v>
      </c>
      <c r="E43" t="e">
        <f t="shared" si="1"/>
        <v>#N/A</v>
      </c>
      <c r="F43" s="28" t="str">
        <f t="shared" ca="1" si="2"/>
        <v/>
      </c>
    </row>
    <row r="44" spans="2:6" x14ac:dyDescent="0.2">
      <c r="B44" t="str">
        <f>IFERROR(IF('PDCA review'!$D$2='Check'!B44,'Check'!G44,""),"")</f>
        <v/>
      </c>
      <c r="C44">
        <f t="shared" si="0"/>
        <v>0</v>
      </c>
      <c r="D44">
        <f>SUM($C$3:C44)</f>
        <v>4</v>
      </c>
      <c r="E44" t="e">
        <f t="shared" si="1"/>
        <v>#N/A</v>
      </c>
      <c r="F44" s="28" t="str">
        <f t="shared" ca="1" si="2"/>
        <v/>
      </c>
    </row>
    <row r="45" spans="2:6" x14ac:dyDescent="0.2">
      <c r="B45" t="str">
        <f>IFERROR(IF('PDCA review'!$D$2='Check'!B45,'Check'!G45,""),"")</f>
        <v/>
      </c>
      <c r="C45">
        <f t="shared" si="0"/>
        <v>0</v>
      </c>
      <c r="D45">
        <f>SUM($C$3:C45)</f>
        <v>4</v>
      </c>
      <c r="E45" t="e">
        <f t="shared" si="1"/>
        <v>#N/A</v>
      </c>
      <c r="F45" s="28" t="str">
        <f t="shared" ca="1" si="2"/>
        <v/>
      </c>
    </row>
    <row r="46" spans="2:6" x14ac:dyDescent="0.2">
      <c r="B46" t="str">
        <f>IFERROR(IF('PDCA review'!$D$2='Check'!B46,'Check'!G46,""),"")</f>
        <v/>
      </c>
      <c r="C46">
        <f t="shared" si="0"/>
        <v>0</v>
      </c>
      <c r="D46">
        <f>SUM($C$3:C46)</f>
        <v>4</v>
      </c>
      <c r="E46" t="e">
        <f t="shared" si="1"/>
        <v>#N/A</v>
      </c>
      <c r="F46" s="28" t="str">
        <f t="shared" ca="1" si="2"/>
        <v/>
      </c>
    </row>
    <row r="47" spans="2:6" x14ac:dyDescent="0.2">
      <c r="B47" t="str">
        <f>IFERROR(IF('PDCA review'!$D$2='Check'!B47,'Check'!G47,""),"")</f>
        <v/>
      </c>
      <c r="C47">
        <f t="shared" si="0"/>
        <v>0</v>
      </c>
      <c r="D47">
        <f>SUM($C$3:C47)</f>
        <v>4</v>
      </c>
      <c r="E47" t="e">
        <f t="shared" si="1"/>
        <v>#N/A</v>
      </c>
      <c r="F47" s="28" t="str">
        <f t="shared" ca="1" si="2"/>
        <v/>
      </c>
    </row>
    <row r="48" spans="2:6" x14ac:dyDescent="0.2">
      <c r="B48" t="str">
        <f>IFERROR(IF('PDCA review'!$D$2='Check'!B48,'Check'!G48,""),"")</f>
        <v/>
      </c>
      <c r="C48">
        <f t="shared" si="0"/>
        <v>0</v>
      </c>
      <c r="D48">
        <f>SUM($C$3:C48)</f>
        <v>4</v>
      </c>
      <c r="E48" t="e">
        <f t="shared" si="1"/>
        <v>#N/A</v>
      </c>
      <c r="F48" s="28" t="str">
        <f t="shared" ca="1" si="2"/>
        <v/>
      </c>
    </row>
    <row r="49" spans="2:6" x14ac:dyDescent="0.2">
      <c r="B49" t="str">
        <f>IFERROR(IF('PDCA review'!$D$2='Check'!B49,'Check'!G49,""),"")</f>
        <v/>
      </c>
      <c r="C49">
        <f t="shared" si="0"/>
        <v>0</v>
      </c>
      <c r="D49">
        <f>SUM($C$3:C49)</f>
        <v>4</v>
      </c>
      <c r="E49" t="e">
        <f t="shared" si="1"/>
        <v>#N/A</v>
      </c>
      <c r="F49" s="28" t="str">
        <f t="shared" ca="1" si="2"/>
        <v/>
      </c>
    </row>
    <row r="50" spans="2:6" x14ac:dyDescent="0.2">
      <c r="B50" t="str">
        <f>IFERROR(IF('PDCA review'!$D$2='Check'!B50,'Check'!G50,""),"")</f>
        <v/>
      </c>
      <c r="C50">
        <f t="shared" si="0"/>
        <v>0</v>
      </c>
      <c r="D50">
        <f>SUM($C$3:C50)</f>
        <v>4</v>
      </c>
      <c r="E50" t="e">
        <f t="shared" si="1"/>
        <v>#N/A</v>
      </c>
      <c r="F50" s="28" t="str">
        <f t="shared" ca="1" si="2"/>
        <v/>
      </c>
    </row>
    <row r="51" spans="2:6" x14ac:dyDescent="0.2">
      <c r="B51" t="str">
        <f>IFERROR(IF('PDCA review'!$D$2='Check'!B51,'Check'!G51,""),"")</f>
        <v/>
      </c>
      <c r="C51">
        <f t="shared" si="0"/>
        <v>0</v>
      </c>
      <c r="D51">
        <f>SUM($C$3:C51)</f>
        <v>4</v>
      </c>
      <c r="E51" t="e">
        <f t="shared" si="1"/>
        <v>#N/A</v>
      </c>
      <c r="F51" s="28" t="str">
        <f t="shared" ca="1" si="2"/>
        <v/>
      </c>
    </row>
    <row r="52" spans="2:6" x14ac:dyDescent="0.2">
      <c r="B52" t="str">
        <f>IFERROR(IF('PDCA review'!$D$2='Check'!B52,'Check'!G52,""),"")</f>
        <v/>
      </c>
      <c r="C52">
        <f t="shared" si="0"/>
        <v>0</v>
      </c>
      <c r="D52">
        <f>SUM($C$3:C52)</f>
        <v>4</v>
      </c>
      <c r="E52" t="e">
        <f t="shared" si="1"/>
        <v>#N/A</v>
      </c>
      <c r="F52" s="28" t="str">
        <f t="shared" ca="1" si="2"/>
        <v/>
      </c>
    </row>
    <row r="53" spans="2:6" x14ac:dyDescent="0.2">
      <c r="B53" t="str">
        <f>IFERROR(IF('PDCA review'!$D$2='Check'!B53,'Check'!G53,""),"")</f>
        <v/>
      </c>
      <c r="C53">
        <f t="shared" si="0"/>
        <v>0</v>
      </c>
      <c r="D53">
        <f>SUM($C$3:C53)</f>
        <v>4</v>
      </c>
      <c r="E53" t="e">
        <f t="shared" si="1"/>
        <v>#N/A</v>
      </c>
      <c r="F53" s="28" t="str">
        <f t="shared" ca="1" si="2"/>
        <v/>
      </c>
    </row>
    <row r="54" spans="2:6" x14ac:dyDescent="0.2">
      <c r="B54" t="str">
        <f>IFERROR(IF('PDCA review'!$D$2='Check'!B54,'Check'!G54,""),"")</f>
        <v/>
      </c>
      <c r="C54">
        <f t="shared" si="0"/>
        <v>0</v>
      </c>
      <c r="D54">
        <f>SUM($C$3:C54)</f>
        <v>4</v>
      </c>
      <c r="E54" t="e">
        <f t="shared" si="1"/>
        <v>#N/A</v>
      </c>
      <c r="F54" s="28" t="str">
        <f t="shared" ca="1" si="2"/>
        <v/>
      </c>
    </row>
    <row r="55" spans="2:6" x14ac:dyDescent="0.2">
      <c r="B55" t="str">
        <f>IFERROR(IF('PDCA review'!$D$2='Check'!B55,'Check'!G55,""),"")</f>
        <v/>
      </c>
      <c r="C55">
        <f t="shared" si="0"/>
        <v>0</v>
      </c>
      <c r="D55">
        <f>SUM($C$3:C55)</f>
        <v>4</v>
      </c>
      <c r="E55" t="e">
        <f t="shared" si="1"/>
        <v>#N/A</v>
      </c>
      <c r="F55" s="28" t="str">
        <f t="shared" ca="1" si="2"/>
        <v/>
      </c>
    </row>
    <row r="56" spans="2:6" x14ac:dyDescent="0.2">
      <c r="B56" t="str">
        <f>IFERROR(IF('PDCA review'!$D$2='Check'!B56,'Check'!G56,""),"")</f>
        <v/>
      </c>
      <c r="C56">
        <f t="shared" si="0"/>
        <v>0</v>
      </c>
      <c r="D56">
        <f>SUM($C$3:C56)</f>
        <v>4</v>
      </c>
      <c r="E56" t="e">
        <f t="shared" si="1"/>
        <v>#N/A</v>
      </c>
      <c r="F56" s="28" t="str">
        <f t="shared" ca="1" si="2"/>
        <v/>
      </c>
    </row>
    <row r="57" spans="2:6" x14ac:dyDescent="0.2">
      <c r="B57" t="str">
        <f>IFERROR(IF('PDCA review'!$D$2='Check'!B57,'Check'!G57,""),"")</f>
        <v/>
      </c>
      <c r="C57">
        <f t="shared" si="0"/>
        <v>0</v>
      </c>
      <c r="D57">
        <f>SUM($C$3:C57)</f>
        <v>4</v>
      </c>
      <c r="E57" t="e">
        <f t="shared" si="1"/>
        <v>#N/A</v>
      </c>
      <c r="F57" s="28" t="str">
        <f t="shared" ca="1" si="2"/>
        <v/>
      </c>
    </row>
    <row r="58" spans="2:6" x14ac:dyDescent="0.2">
      <c r="B58" t="str">
        <f>IFERROR(IF('PDCA review'!$D$2='Check'!B58,'Check'!G58,""),"")</f>
        <v/>
      </c>
      <c r="C58">
        <f t="shared" si="0"/>
        <v>0</v>
      </c>
      <c r="D58">
        <f>SUM($C$3:C58)</f>
        <v>4</v>
      </c>
      <c r="E58" t="e">
        <f t="shared" si="1"/>
        <v>#N/A</v>
      </c>
      <c r="F58" s="28" t="str">
        <f t="shared" ca="1" si="2"/>
        <v/>
      </c>
    </row>
    <row r="59" spans="2:6" x14ac:dyDescent="0.2">
      <c r="B59" t="str">
        <f>IFERROR(IF('PDCA review'!$D$2='Check'!B59,'Check'!G59,""),"")</f>
        <v/>
      </c>
      <c r="C59">
        <f t="shared" si="0"/>
        <v>0</v>
      </c>
      <c r="D59">
        <f>SUM($C$3:C59)</f>
        <v>4</v>
      </c>
      <c r="E59" t="e">
        <f t="shared" si="1"/>
        <v>#N/A</v>
      </c>
      <c r="F59" s="28" t="str">
        <f t="shared" ca="1" si="2"/>
        <v/>
      </c>
    </row>
    <row r="60" spans="2:6" x14ac:dyDescent="0.2">
      <c r="B60" t="str">
        <f>IFERROR(IF('PDCA review'!$D$2='Check'!B60,'Check'!G60,""),"")</f>
        <v/>
      </c>
      <c r="C60">
        <f t="shared" si="0"/>
        <v>0</v>
      </c>
      <c r="D60">
        <f>SUM($C$3:C60)</f>
        <v>4</v>
      </c>
      <c r="E60" t="e">
        <f t="shared" si="1"/>
        <v>#N/A</v>
      </c>
      <c r="F60" s="28" t="str">
        <f t="shared" ca="1" si="2"/>
        <v/>
      </c>
    </row>
    <row r="61" spans="2:6" x14ac:dyDescent="0.2">
      <c r="B61" t="str">
        <f>IFERROR(IF('PDCA review'!$D$2='Check'!B61,'Check'!G61,""),"")</f>
        <v/>
      </c>
      <c r="C61">
        <f t="shared" si="0"/>
        <v>0</v>
      </c>
      <c r="D61">
        <f>SUM($C$3:C61)</f>
        <v>4</v>
      </c>
      <c r="E61" t="e">
        <f t="shared" si="1"/>
        <v>#N/A</v>
      </c>
      <c r="F61" s="28" t="str">
        <f t="shared" ca="1" si="2"/>
        <v/>
      </c>
    </row>
    <row r="62" spans="2:6" x14ac:dyDescent="0.2">
      <c r="B62" t="str">
        <f>IFERROR(IF('PDCA review'!$D$2='Check'!B62,'Check'!G62,""),"")</f>
        <v/>
      </c>
      <c r="C62">
        <f t="shared" si="0"/>
        <v>0</v>
      </c>
      <c r="D62">
        <f>SUM($C$3:C62)</f>
        <v>4</v>
      </c>
      <c r="E62" t="e">
        <f t="shared" si="1"/>
        <v>#N/A</v>
      </c>
      <c r="F62" s="28" t="str">
        <f t="shared" ca="1" si="2"/>
        <v/>
      </c>
    </row>
    <row r="63" spans="2:6" x14ac:dyDescent="0.2">
      <c r="B63" t="str">
        <f>IFERROR(IF('PDCA review'!$D$2='Check'!B63,'Check'!G63,""),"")</f>
        <v/>
      </c>
      <c r="C63">
        <f t="shared" si="0"/>
        <v>0</v>
      </c>
      <c r="D63">
        <f>SUM($C$3:C63)</f>
        <v>4</v>
      </c>
      <c r="E63" t="e">
        <f t="shared" si="1"/>
        <v>#N/A</v>
      </c>
      <c r="F63" s="28" t="str">
        <f t="shared" ca="1" si="2"/>
        <v/>
      </c>
    </row>
    <row r="64" spans="2:6" x14ac:dyDescent="0.2">
      <c r="B64" t="str">
        <f>IFERROR(IF('PDCA review'!$D$2='Check'!B64,'Check'!G64,""),"")</f>
        <v/>
      </c>
      <c r="C64">
        <f t="shared" si="0"/>
        <v>0</v>
      </c>
      <c r="D64">
        <f>SUM($C$3:C64)</f>
        <v>4</v>
      </c>
      <c r="E64" t="e">
        <f t="shared" si="1"/>
        <v>#N/A</v>
      </c>
      <c r="F64" s="28" t="str">
        <f t="shared" ca="1" si="2"/>
        <v/>
      </c>
    </row>
    <row r="65" spans="2:6" x14ac:dyDescent="0.2">
      <c r="B65" t="str">
        <f>IFERROR(IF('PDCA review'!$D$2='Check'!B65,'Check'!G65,""),"")</f>
        <v/>
      </c>
      <c r="C65">
        <f t="shared" si="0"/>
        <v>0</v>
      </c>
      <c r="D65">
        <f>SUM($C$3:C65)</f>
        <v>4</v>
      </c>
      <c r="E65" t="e">
        <f t="shared" si="1"/>
        <v>#N/A</v>
      </c>
      <c r="F65" s="28" t="str">
        <f t="shared" ca="1" si="2"/>
        <v/>
      </c>
    </row>
    <row r="66" spans="2:6" x14ac:dyDescent="0.2">
      <c r="B66" t="str">
        <f>IFERROR(IF('PDCA review'!$D$2='Check'!B66,'Check'!G66,""),"")</f>
        <v/>
      </c>
      <c r="C66">
        <f t="shared" si="0"/>
        <v>0</v>
      </c>
      <c r="D66">
        <f>SUM($C$3:C66)</f>
        <v>4</v>
      </c>
      <c r="E66" t="e">
        <f t="shared" si="1"/>
        <v>#N/A</v>
      </c>
      <c r="F66" s="28" t="str">
        <f t="shared" ca="1" si="2"/>
        <v/>
      </c>
    </row>
    <row r="67" spans="2:6" x14ac:dyDescent="0.2">
      <c r="B67" t="str">
        <f>IFERROR(IF('PDCA review'!$D$2='Check'!B67,'Check'!G67,""),"")</f>
        <v/>
      </c>
      <c r="C67">
        <f t="shared" si="0"/>
        <v>0</v>
      </c>
      <c r="D67">
        <f>SUM($C$3:C67)</f>
        <v>4</v>
      </c>
      <c r="E67" t="e">
        <f t="shared" si="1"/>
        <v>#N/A</v>
      </c>
      <c r="F67" s="28" t="str">
        <f t="shared" ca="1" si="2"/>
        <v/>
      </c>
    </row>
    <row r="68" spans="2:6" x14ac:dyDescent="0.2">
      <c r="B68" t="str">
        <f>IFERROR(IF('PDCA review'!$D$2='Check'!B68,'Check'!G68,""),"")</f>
        <v/>
      </c>
      <c r="C68">
        <f t="shared" ref="C68:C131" si="3">IF(B68&lt;&gt;"",1,0)</f>
        <v>0</v>
      </c>
      <c r="D68">
        <f>SUM($C$3:C68)</f>
        <v>4</v>
      </c>
      <c r="E68" t="e">
        <f t="shared" ref="E68:E131" si="4">MATCH(ROW()-$D$2,$D$3:$D$2000,0)+$D$2</f>
        <v>#N/A</v>
      </c>
      <c r="F68" s="28" t="str">
        <f t="shared" ref="F68:F131" ca="1" si="5">IFERROR(INDIRECT("B"&amp;E68),"")</f>
        <v/>
      </c>
    </row>
    <row r="69" spans="2:6" x14ac:dyDescent="0.2">
      <c r="B69" t="str">
        <f>IFERROR(IF('PDCA review'!$D$2='Check'!B69,'Check'!G69,""),"")</f>
        <v/>
      </c>
      <c r="C69">
        <f t="shared" si="3"/>
        <v>0</v>
      </c>
      <c r="D69">
        <f>SUM($C$3:C69)</f>
        <v>4</v>
      </c>
      <c r="E69" t="e">
        <f t="shared" si="4"/>
        <v>#N/A</v>
      </c>
      <c r="F69" s="28" t="str">
        <f t="shared" ca="1" si="5"/>
        <v/>
      </c>
    </row>
    <row r="70" spans="2:6" x14ac:dyDescent="0.2">
      <c r="B70" t="str">
        <f>IFERROR(IF('PDCA review'!$D$2='Check'!B70,'Check'!G70,""),"")</f>
        <v/>
      </c>
      <c r="C70">
        <f t="shared" si="3"/>
        <v>0</v>
      </c>
      <c r="D70">
        <f>SUM($C$3:C70)</f>
        <v>4</v>
      </c>
      <c r="E70" t="e">
        <f t="shared" si="4"/>
        <v>#N/A</v>
      </c>
      <c r="F70" s="28" t="str">
        <f t="shared" ca="1" si="5"/>
        <v/>
      </c>
    </row>
    <row r="71" spans="2:6" x14ac:dyDescent="0.2">
      <c r="B71" t="str">
        <f>IFERROR(IF('PDCA review'!$D$2='Check'!B71,'Check'!G71,""),"")</f>
        <v/>
      </c>
      <c r="C71">
        <f t="shared" si="3"/>
        <v>0</v>
      </c>
      <c r="D71">
        <f>SUM($C$3:C71)</f>
        <v>4</v>
      </c>
      <c r="E71" t="e">
        <f t="shared" si="4"/>
        <v>#N/A</v>
      </c>
      <c r="F71" s="28" t="str">
        <f t="shared" ca="1" si="5"/>
        <v/>
      </c>
    </row>
    <row r="72" spans="2:6" x14ac:dyDescent="0.2">
      <c r="B72" t="str">
        <f>IFERROR(IF('PDCA review'!$D$2='Check'!B72,'Check'!G72,""),"")</f>
        <v/>
      </c>
      <c r="C72">
        <f t="shared" si="3"/>
        <v>0</v>
      </c>
      <c r="D72">
        <f>SUM($C$3:C72)</f>
        <v>4</v>
      </c>
      <c r="E72" t="e">
        <f t="shared" si="4"/>
        <v>#N/A</v>
      </c>
      <c r="F72" s="28" t="str">
        <f t="shared" ca="1" si="5"/>
        <v/>
      </c>
    </row>
    <row r="73" spans="2:6" x14ac:dyDescent="0.2">
      <c r="B73" t="str">
        <f>IFERROR(IF('PDCA review'!$D$2='Check'!B73,'Check'!G73,""),"")</f>
        <v/>
      </c>
      <c r="C73">
        <f t="shared" si="3"/>
        <v>0</v>
      </c>
      <c r="D73">
        <f>SUM($C$3:C73)</f>
        <v>4</v>
      </c>
      <c r="E73" t="e">
        <f t="shared" si="4"/>
        <v>#N/A</v>
      </c>
      <c r="F73" s="28" t="str">
        <f t="shared" ca="1" si="5"/>
        <v/>
      </c>
    </row>
    <row r="74" spans="2:6" x14ac:dyDescent="0.2">
      <c r="B74" t="str">
        <f>IFERROR(IF('PDCA review'!$D$2='Check'!B74,'Check'!G74,""),"")</f>
        <v/>
      </c>
      <c r="C74">
        <f t="shared" si="3"/>
        <v>0</v>
      </c>
      <c r="D74">
        <f>SUM($C$3:C74)</f>
        <v>4</v>
      </c>
      <c r="E74" t="e">
        <f t="shared" si="4"/>
        <v>#N/A</v>
      </c>
      <c r="F74" s="28" t="str">
        <f t="shared" ca="1" si="5"/>
        <v/>
      </c>
    </row>
    <row r="75" spans="2:6" x14ac:dyDescent="0.2">
      <c r="B75" t="str">
        <f>IFERROR(IF('PDCA review'!$D$2='Check'!B75,'Check'!G75,""),"")</f>
        <v/>
      </c>
      <c r="C75">
        <f t="shared" si="3"/>
        <v>0</v>
      </c>
      <c r="D75">
        <f>SUM($C$3:C75)</f>
        <v>4</v>
      </c>
      <c r="E75" t="e">
        <f t="shared" si="4"/>
        <v>#N/A</v>
      </c>
      <c r="F75" s="28" t="str">
        <f t="shared" ca="1" si="5"/>
        <v/>
      </c>
    </row>
    <row r="76" spans="2:6" x14ac:dyDescent="0.2">
      <c r="B76" t="str">
        <f>IFERROR(IF('PDCA review'!$D$2='Check'!B76,'Check'!G76,""),"")</f>
        <v/>
      </c>
      <c r="C76">
        <f t="shared" si="3"/>
        <v>0</v>
      </c>
      <c r="D76">
        <f>SUM($C$3:C76)</f>
        <v>4</v>
      </c>
      <c r="E76" t="e">
        <f t="shared" si="4"/>
        <v>#N/A</v>
      </c>
      <c r="F76" s="28" t="str">
        <f t="shared" ca="1" si="5"/>
        <v/>
      </c>
    </row>
    <row r="77" spans="2:6" x14ac:dyDescent="0.2">
      <c r="B77" t="str">
        <f>IFERROR(IF('PDCA review'!$D$2='Check'!B77,'Check'!G77,""),"")</f>
        <v/>
      </c>
      <c r="C77">
        <f t="shared" si="3"/>
        <v>0</v>
      </c>
      <c r="D77">
        <f>SUM($C$3:C77)</f>
        <v>4</v>
      </c>
      <c r="E77" t="e">
        <f t="shared" si="4"/>
        <v>#N/A</v>
      </c>
      <c r="F77" s="28" t="str">
        <f t="shared" ca="1" si="5"/>
        <v/>
      </c>
    </row>
    <row r="78" spans="2:6" x14ac:dyDescent="0.2">
      <c r="B78" t="str">
        <f>IFERROR(IF('PDCA review'!$D$2='Check'!B78,'Check'!G78,""),"")</f>
        <v/>
      </c>
      <c r="C78">
        <f t="shared" si="3"/>
        <v>0</v>
      </c>
      <c r="D78">
        <f>SUM($C$3:C78)</f>
        <v>4</v>
      </c>
      <c r="E78" t="e">
        <f t="shared" si="4"/>
        <v>#N/A</v>
      </c>
      <c r="F78" s="28" t="str">
        <f t="shared" ca="1" si="5"/>
        <v/>
      </c>
    </row>
    <row r="79" spans="2:6" x14ac:dyDescent="0.2">
      <c r="B79" t="str">
        <f>IFERROR(IF('PDCA review'!$D$2='Check'!B79,'Check'!G79,""),"")</f>
        <v/>
      </c>
      <c r="C79">
        <f t="shared" si="3"/>
        <v>0</v>
      </c>
      <c r="D79">
        <f>SUM($C$3:C79)</f>
        <v>4</v>
      </c>
      <c r="E79" t="e">
        <f t="shared" si="4"/>
        <v>#N/A</v>
      </c>
      <c r="F79" s="28" t="str">
        <f t="shared" ca="1" si="5"/>
        <v/>
      </c>
    </row>
    <row r="80" spans="2:6" x14ac:dyDescent="0.2">
      <c r="B80" t="str">
        <f>IFERROR(IF('PDCA review'!$D$2='Check'!B80,'Check'!G80,""),"")</f>
        <v/>
      </c>
      <c r="C80">
        <f t="shared" si="3"/>
        <v>0</v>
      </c>
      <c r="D80">
        <f>SUM($C$3:C80)</f>
        <v>4</v>
      </c>
      <c r="E80" t="e">
        <f t="shared" si="4"/>
        <v>#N/A</v>
      </c>
      <c r="F80" s="28" t="str">
        <f t="shared" ca="1" si="5"/>
        <v/>
      </c>
    </row>
    <row r="81" spans="2:6" x14ac:dyDescent="0.2">
      <c r="B81" t="str">
        <f>IFERROR(IF('PDCA review'!$D$2='Check'!B81,'Check'!G81,""),"")</f>
        <v/>
      </c>
      <c r="C81">
        <f t="shared" si="3"/>
        <v>0</v>
      </c>
      <c r="D81">
        <f>SUM($C$3:C81)</f>
        <v>4</v>
      </c>
      <c r="E81" t="e">
        <f t="shared" si="4"/>
        <v>#N/A</v>
      </c>
      <c r="F81" s="28" t="str">
        <f t="shared" ca="1" si="5"/>
        <v/>
      </c>
    </row>
    <row r="82" spans="2:6" x14ac:dyDescent="0.2">
      <c r="B82" t="str">
        <f>IFERROR(IF('PDCA review'!$D$2='Check'!B82,'Check'!G82,""),"")</f>
        <v/>
      </c>
      <c r="C82">
        <f t="shared" si="3"/>
        <v>0</v>
      </c>
      <c r="D82">
        <f>SUM($C$3:C82)</f>
        <v>4</v>
      </c>
      <c r="E82" t="e">
        <f t="shared" si="4"/>
        <v>#N/A</v>
      </c>
      <c r="F82" s="28" t="str">
        <f t="shared" ca="1" si="5"/>
        <v/>
      </c>
    </row>
    <row r="83" spans="2:6" x14ac:dyDescent="0.2">
      <c r="B83" t="str">
        <f>IFERROR(IF('PDCA review'!$D$2='Check'!B83,'Check'!G83,""),"")</f>
        <v/>
      </c>
      <c r="C83">
        <f t="shared" si="3"/>
        <v>0</v>
      </c>
      <c r="D83">
        <f>SUM($C$3:C83)</f>
        <v>4</v>
      </c>
      <c r="E83" t="e">
        <f t="shared" si="4"/>
        <v>#N/A</v>
      </c>
      <c r="F83" s="28" t="str">
        <f t="shared" ca="1" si="5"/>
        <v/>
      </c>
    </row>
    <row r="84" spans="2:6" x14ac:dyDescent="0.2">
      <c r="B84" t="str">
        <f>IFERROR(IF('PDCA review'!$D$2='Check'!B84,'Check'!G84,""),"")</f>
        <v/>
      </c>
      <c r="C84">
        <f t="shared" si="3"/>
        <v>0</v>
      </c>
      <c r="D84">
        <f>SUM($C$3:C84)</f>
        <v>4</v>
      </c>
      <c r="E84" t="e">
        <f t="shared" si="4"/>
        <v>#N/A</v>
      </c>
      <c r="F84" s="28" t="str">
        <f t="shared" ca="1" si="5"/>
        <v/>
      </c>
    </row>
    <row r="85" spans="2:6" x14ac:dyDescent="0.2">
      <c r="B85" t="str">
        <f>IFERROR(IF('PDCA review'!$D$2='Check'!B85,'Check'!G85,""),"")</f>
        <v/>
      </c>
      <c r="C85">
        <f t="shared" si="3"/>
        <v>0</v>
      </c>
      <c r="D85">
        <f>SUM($C$3:C85)</f>
        <v>4</v>
      </c>
      <c r="E85" t="e">
        <f t="shared" si="4"/>
        <v>#N/A</v>
      </c>
      <c r="F85" s="28" t="str">
        <f t="shared" ca="1" si="5"/>
        <v/>
      </c>
    </row>
    <row r="86" spans="2:6" x14ac:dyDescent="0.2">
      <c r="B86" t="str">
        <f>IFERROR(IF('PDCA review'!$D$2='Check'!B86,'Check'!G86,""),"")</f>
        <v/>
      </c>
      <c r="C86">
        <f t="shared" si="3"/>
        <v>0</v>
      </c>
      <c r="D86">
        <f>SUM($C$3:C86)</f>
        <v>4</v>
      </c>
      <c r="E86" t="e">
        <f t="shared" si="4"/>
        <v>#N/A</v>
      </c>
      <c r="F86" s="28" t="str">
        <f t="shared" ca="1" si="5"/>
        <v/>
      </c>
    </row>
    <row r="87" spans="2:6" x14ac:dyDescent="0.2">
      <c r="B87" t="str">
        <f>IFERROR(IF('PDCA review'!$D$2='Check'!B87,'Check'!G87,""),"")</f>
        <v/>
      </c>
      <c r="C87">
        <f t="shared" si="3"/>
        <v>0</v>
      </c>
      <c r="D87">
        <f>SUM($C$3:C87)</f>
        <v>4</v>
      </c>
      <c r="E87" t="e">
        <f t="shared" si="4"/>
        <v>#N/A</v>
      </c>
      <c r="F87" s="28" t="str">
        <f t="shared" ca="1" si="5"/>
        <v/>
      </c>
    </row>
    <row r="88" spans="2:6" x14ac:dyDescent="0.2">
      <c r="B88" t="str">
        <f>IFERROR(IF('PDCA review'!$D$2='Check'!B88,'Check'!G88,""),"")</f>
        <v/>
      </c>
      <c r="C88">
        <f t="shared" si="3"/>
        <v>0</v>
      </c>
      <c r="D88">
        <f>SUM($C$3:C88)</f>
        <v>4</v>
      </c>
      <c r="E88" t="e">
        <f t="shared" si="4"/>
        <v>#N/A</v>
      </c>
      <c r="F88" s="28" t="str">
        <f t="shared" ca="1" si="5"/>
        <v/>
      </c>
    </row>
    <row r="89" spans="2:6" x14ac:dyDescent="0.2">
      <c r="B89" t="str">
        <f>IFERROR(IF('PDCA review'!$D$2='Check'!B89,'Check'!G89,""),"")</f>
        <v/>
      </c>
      <c r="C89">
        <f t="shared" si="3"/>
        <v>0</v>
      </c>
      <c r="D89">
        <f>SUM($C$3:C89)</f>
        <v>4</v>
      </c>
      <c r="E89" t="e">
        <f t="shared" si="4"/>
        <v>#N/A</v>
      </c>
      <c r="F89" s="28" t="str">
        <f t="shared" ca="1" si="5"/>
        <v/>
      </c>
    </row>
    <row r="90" spans="2:6" x14ac:dyDescent="0.2">
      <c r="B90" t="str">
        <f>IFERROR(IF('PDCA review'!$D$2='Check'!B90,'Check'!G90,""),"")</f>
        <v/>
      </c>
      <c r="C90">
        <f t="shared" si="3"/>
        <v>0</v>
      </c>
      <c r="D90">
        <f>SUM($C$3:C90)</f>
        <v>4</v>
      </c>
      <c r="E90" t="e">
        <f t="shared" si="4"/>
        <v>#N/A</v>
      </c>
      <c r="F90" s="28" t="str">
        <f t="shared" ca="1" si="5"/>
        <v/>
      </c>
    </row>
    <row r="91" spans="2:6" x14ac:dyDescent="0.2">
      <c r="B91" t="str">
        <f>IFERROR(IF('PDCA review'!$D$2='Check'!B91,'Check'!G91,""),"")</f>
        <v/>
      </c>
      <c r="C91">
        <f t="shared" si="3"/>
        <v>0</v>
      </c>
      <c r="D91">
        <f>SUM($C$3:C91)</f>
        <v>4</v>
      </c>
      <c r="E91" t="e">
        <f t="shared" si="4"/>
        <v>#N/A</v>
      </c>
      <c r="F91" s="28" t="str">
        <f t="shared" ca="1" si="5"/>
        <v/>
      </c>
    </row>
    <row r="92" spans="2:6" x14ac:dyDescent="0.2">
      <c r="B92" t="str">
        <f>IFERROR(IF('PDCA review'!$D$2='Check'!B92,'Check'!G92,""),"")</f>
        <v/>
      </c>
      <c r="C92">
        <f t="shared" si="3"/>
        <v>0</v>
      </c>
      <c r="D92">
        <f>SUM($C$3:C92)</f>
        <v>4</v>
      </c>
      <c r="E92" t="e">
        <f t="shared" si="4"/>
        <v>#N/A</v>
      </c>
      <c r="F92" s="28" t="str">
        <f t="shared" ca="1" si="5"/>
        <v/>
      </c>
    </row>
    <row r="93" spans="2:6" x14ac:dyDescent="0.2">
      <c r="B93" t="str">
        <f>IFERROR(IF('PDCA review'!$D$2='Check'!B93,'Check'!G93,""),"")</f>
        <v/>
      </c>
      <c r="C93">
        <f t="shared" si="3"/>
        <v>0</v>
      </c>
      <c r="D93">
        <f>SUM($C$3:C93)</f>
        <v>4</v>
      </c>
      <c r="E93" t="e">
        <f t="shared" si="4"/>
        <v>#N/A</v>
      </c>
      <c r="F93" s="28" t="str">
        <f t="shared" ca="1" si="5"/>
        <v/>
      </c>
    </row>
    <row r="94" spans="2:6" x14ac:dyDescent="0.2">
      <c r="B94" t="str">
        <f>IFERROR(IF('PDCA review'!$D$2='Check'!B94,'Check'!G94,""),"")</f>
        <v/>
      </c>
      <c r="C94">
        <f t="shared" si="3"/>
        <v>0</v>
      </c>
      <c r="D94">
        <f>SUM($C$3:C94)</f>
        <v>4</v>
      </c>
      <c r="E94" t="e">
        <f t="shared" si="4"/>
        <v>#N/A</v>
      </c>
      <c r="F94" s="28" t="str">
        <f t="shared" ca="1" si="5"/>
        <v/>
      </c>
    </row>
    <row r="95" spans="2:6" x14ac:dyDescent="0.2">
      <c r="B95" t="str">
        <f>IFERROR(IF('PDCA review'!$D$2='Check'!B95,'Check'!G95,""),"")</f>
        <v/>
      </c>
      <c r="C95">
        <f t="shared" si="3"/>
        <v>0</v>
      </c>
      <c r="D95">
        <f>SUM($C$3:C95)</f>
        <v>4</v>
      </c>
      <c r="E95" t="e">
        <f t="shared" si="4"/>
        <v>#N/A</v>
      </c>
      <c r="F95" s="28" t="str">
        <f t="shared" ca="1" si="5"/>
        <v/>
      </c>
    </row>
    <row r="96" spans="2:6" x14ac:dyDescent="0.2">
      <c r="B96" t="str">
        <f>IFERROR(IF('PDCA review'!$D$2='Check'!B96,'Check'!G96,""),"")</f>
        <v/>
      </c>
      <c r="C96">
        <f t="shared" si="3"/>
        <v>0</v>
      </c>
      <c r="D96">
        <f>SUM($C$3:C96)</f>
        <v>4</v>
      </c>
      <c r="E96" t="e">
        <f t="shared" si="4"/>
        <v>#N/A</v>
      </c>
      <c r="F96" s="28" t="str">
        <f t="shared" ca="1" si="5"/>
        <v/>
      </c>
    </row>
    <row r="97" spans="2:6" x14ac:dyDescent="0.2">
      <c r="B97" t="str">
        <f>IFERROR(IF('PDCA review'!$D$2='Check'!B97,'Check'!G97,""),"")</f>
        <v/>
      </c>
      <c r="C97">
        <f t="shared" si="3"/>
        <v>0</v>
      </c>
      <c r="D97">
        <f>SUM($C$3:C97)</f>
        <v>4</v>
      </c>
      <c r="E97" t="e">
        <f t="shared" si="4"/>
        <v>#N/A</v>
      </c>
      <c r="F97" s="28" t="str">
        <f t="shared" ca="1" si="5"/>
        <v/>
      </c>
    </row>
    <row r="98" spans="2:6" x14ac:dyDescent="0.2">
      <c r="B98" t="str">
        <f>IFERROR(IF('PDCA review'!$D$2='Check'!B98,'Check'!G98,""),"")</f>
        <v/>
      </c>
      <c r="C98">
        <f t="shared" si="3"/>
        <v>0</v>
      </c>
      <c r="D98">
        <f>SUM($C$3:C98)</f>
        <v>4</v>
      </c>
      <c r="E98" t="e">
        <f t="shared" si="4"/>
        <v>#N/A</v>
      </c>
      <c r="F98" s="28" t="str">
        <f t="shared" ca="1" si="5"/>
        <v/>
      </c>
    </row>
    <row r="99" spans="2:6" x14ac:dyDescent="0.2">
      <c r="B99" t="str">
        <f>IFERROR(IF('PDCA review'!$D$2='Check'!B99,'Check'!G99,""),"")</f>
        <v/>
      </c>
      <c r="C99">
        <f t="shared" si="3"/>
        <v>0</v>
      </c>
      <c r="D99">
        <f>SUM($C$3:C99)</f>
        <v>4</v>
      </c>
      <c r="E99" t="e">
        <f t="shared" si="4"/>
        <v>#N/A</v>
      </c>
      <c r="F99" s="28" t="str">
        <f t="shared" ca="1" si="5"/>
        <v/>
      </c>
    </row>
    <row r="100" spans="2:6" x14ac:dyDescent="0.2">
      <c r="B100" t="str">
        <f>IFERROR(IF('PDCA review'!$D$2='Check'!B100,'Check'!G100,""),"")</f>
        <v/>
      </c>
      <c r="C100">
        <f t="shared" si="3"/>
        <v>0</v>
      </c>
      <c r="D100">
        <f>SUM($C$3:C100)</f>
        <v>4</v>
      </c>
      <c r="E100" t="e">
        <f t="shared" si="4"/>
        <v>#N/A</v>
      </c>
      <c r="F100" s="28" t="str">
        <f t="shared" ca="1" si="5"/>
        <v/>
      </c>
    </row>
    <row r="101" spans="2:6" x14ac:dyDescent="0.2">
      <c r="B101" t="str">
        <f>IFERROR(IF('PDCA review'!$D$2='Check'!B101,'Check'!G101,""),"")</f>
        <v/>
      </c>
      <c r="C101">
        <f t="shared" si="3"/>
        <v>0</v>
      </c>
      <c r="D101">
        <f>SUM($C$3:C101)</f>
        <v>4</v>
      </c>
      <c r="E101" t="e">
        <f t="shared" si="4"/>
        <v>#N/A</v>
      </c>
      <c r="F101" s="28" t="str">
        <f t="shared" ca="1" si="5"/>
        <v/>
      </c>
    </row>
    <row r="102" spans="2:6" x14ac:dyDescent="0.2">
      <c r="B102" t="str">
        <f>IFERROR(IF('PDCA review'!$D$2='Check'!B102,'Check'!G102,""),"")</f>
        <v/>
      </c>
      <c r="C102">
        <f t="shared" si="3"/>
        <v>0</v>
      </c>
      <c r="D102">
        <f>SUM($C$3:C102)</f>
        <v>4</v>
      </c>
      <c r="E102" t="e">
        <f t="shared" si="4"/>
        <v>#N/A</v>
      </c>
      <c r="F102" s="28" t="str">
        <f t="shared" ca="1" si="5"/>
        <v/>
      </c>
    </row>
    <row r="103" spans="2:6" x14ac:dyDescent="0.2">
      <c r="B103" t="str">
        <f>IFERROR(IF('PDCA review'!$D$2='Check'!B103,'Check'!G103,""),"")</f>
        <v/>
      </c>
      <c r="C103">
        <f t="shared" si="3"/>
        <v>0</v>
      </c>
      <c r="D103">
        <f>SUM($C$3:C103)</f>
        <v>4</v>
      </c>
      <c r="E103" t="e">
        <f t="shared" si="4"/>
        <v>#N/A</v>
      </c>
      <c r="F103" s="28" t="str">
        <f t="shared" ca="1" si="5"/>
        <v/>
      </c>
    </row>
    <row r="104" spans="2:6" x14ac:dyDescent="0.2">
      <c r="B104" t="str">
        <f>IFERROR(IF('PDCA review'!$D$2='Check'!B104,'Check'!G104,""),"")</f>
        <v/>
      </c>
      <c r="C104">
        <f t="shared" si="3"/>
        <v>0</v>
      </c>
      <c r="D104">
        <f>SUM($C$3:C104)</f>
        <v>4</v>
      </c>
      <c r="E104" t="e">
        <f t="shared" si="4"/>
        <v>#N/A</v>
      </c>
      <c r="F104" s="28" t="str">
        <f t="shared" ca="1" si="5"/>
        <v/>
      </c>
    </row>
    <row r="105" spans="2:6" x14ac:dyDescent="0.2">
      <c r="B105" t="str">
        <f>IFERROR(IF('PDCA review'!$D$2='Check'!B105,'Check'!G105,""),"")</f>
        <v/>
      </c>
      <c r="C105">
        <f t="shared" si="3"/>
        <v>0</v>
      </c>
      <c r="D105">
        <f>SUM($C$3:C105)</f>
        <v>4</v>
      </c>
      <c r="E105" t="e">
        <f t="shared" si="4"/>
        <v>#N/A</v>
      </c>
      <c r="F105" s="28" t="str">
        <f t="shared" ca="1" si="5"/>
        <v/>
      </c>
    </row>
    <row r="106" spans="2:6" x14ac:dyDescent="0.2">
      <c r="B106" t="str">
        <f>IFERROR(IF('PDCA review'!$D$2='Check'!B106,'Check'!G106,""),"")</f>
        <v/>
      </c>
      <c r="C106">
        <f t="shared" si="3"/>
        <v>0</v>
      </c>
      <c r="D106">
        <f>SUM($C$3:C106)</f>
        <v>4</v>
      </c>
      <c r="E106" t="e">
        <f t="shared" si="4"/>
        <v>#N/A</v>
      </c>
      <c r="F106" s="28" t="str">
        <f t="shared" ca="1" si="5"/>
        <v/>
      </c>
    </row>
    <row r="107" spans="2:6" x14ac:dyDescent="0.2">
      <c r="B107" t="str">
        <f>IFERROR(IF('PDCA review'!$D$2='Check'!B107,'Check'!G107,""),"")</f>
        <v/>
      </c>
      <c r="C107">
        <f t="shared" si="3"/>
        <v>0</v>
      </c>
      <c r="D107">
        <f>SUM($C$3:C107)</f>
        <v>4</v>
      </c>
      <c r="E107" t="e">
        <f t="shared" si="4"/>
        <v>#N/A</v>
      </c>
      <c r="F107" s="28" t="str">
        <f t="shared" ca="1" si="5"/>
        <v/>
      </c>
    </row>
    <row r="108" spans="2:6" x14ac:dyDescent="0.2">
      <c r="B108" t="str">
        <f>IFERROR(IF('PDCA review'!$D$2='Check'!B108,'Check'!G108,""),"")</f>
        <v/>
      </c>
      <c r="C108">
        <f t="shared" si="3"/>
        <v>0</v>
      </c>
      <c r="D108">
        <f>SUM($C$3:C108)</f>
        <v>4</v>
      </c>
      <c r="E108" t="e">
        <f t="shared" si="4"/>
        <v>#N/A</v>
      </c>
      <c r="F108" s="28" t="str">
        <f t="shared" ca="1" si="5"/>
        <v/>
      </c>
    </row>
    <row r="109" spans="2:6" x14ac:dyDescent="0.2">
      <c r="B109" t="str">
        <f>IFERROR(IF('PDCA review'!$D$2='Check'!B109,'Check'!G109,""),"")</f>
        <v/>
      </c>
      <c r="C109">
        <f t="shared" si="3"/>
        <v>0</v>
      </c>
      <c r="D109">
        <f>SUM($C$3:C109)</f>
        <v>4</v>
      </c>
      <c r="E109" t="e">
        <f t="shared" si="4"/>
        <v>#N/A</v>
      </c>
      <c r="F109" s="28" t="str">
        <f t="shared" ca="1" si="5"/>
        <v/>
      </c>
    </row>
    <row r="110" spans="2:6" x14ac:dyDescent="0.2">
      <c r="B110" t="str">
        <f>IFERROR(IF('PDCA review'!$D$2='Check'!B110,'Check'!G110,""),"")</f>
        <v/>
      </c>
      <c r="C110">
        <f t="shared" si="3"/>
        <v>0</v>
      </c>
      <c r="D110">
        <f>SUM($C$3:C110)</f>
        <v>4</v>
      </c>
      <c r="E110" t="e">
        <f t="shared" si="4"/>
        <v>#N/A</v>
      </c>
      <c r="F110" s="28" t="str">
        <f t="shared" ca="1" si="5"/>
        <v/>
      </c>
    </row>
    <row r="111" spans="2:6" x14ac:dyDescent="0.2">
      <c r="B111" t="str">
        <f>IFERROR(IF('PDCA review'!$D$2='Check'!B111,'Check'!G111,""),"")</f>
        <v/>
      </c>
      <c r="C111">
        <f t="shared" si="3"/>
        <v>0</v>
      </c>
      <c r="D111">
        <f>SUM($C$3:C111)</f>
        <v>4</v>
      </c>
      <c r="E111" t="e">
        <f t="shared" si="4"/>
        <v>#N/A</v>
      </c>
      <c r="F111" s="28" t="str">
        <f t="shared" ca="1" si="5"/>
        <v/>
      </c>
    </row>
    <row r="112" spans="2:6" x14ac:dyDescent="0.2">
      <c r="B112" t="str">
        <f>IFERROR(IF('PDCA review'!$D$2='Check'!B112,'Check'!G112,""),"")</f>
        <v/>
      </c>
      <c r="C112">
        <f t="shared" si="3"/>
        <v>0</v>
      </c>
      <c r="D112">
        <f>SUM($C$3:C112)</f>
        <v>4</v>
      </c>
      <c r="E112" t="e">
        <f t="shared" si="4"/>
        <v>#N/A</v>
      </c>
      <c r="F112" s="28" t="str">
        <f t="shared" ca="1" si="5"/>
        <v/>
      </c>
    </row>
    <row r="113" spans="2:6" x14ac:dyDescent="0.2">
      <c r="B113" t="str">
        <f>IFERROR(IF('PDCA review'!$D$2='Check'!B113,'Check'!G113,""),"")</f>
        <v/>
      </c>
      <c r="C113">
        <f t="shared" si="3"/>
        <v>0</v>
      </c>
      <c r="D113">
        <f>SUM($C$3:C113)</f>
        <v>4</v>
      </c>
      <c r="E113" t="e">
        <f t="shared" si="4"/>
        <v>#N/A</v>
      </c>
      <c r="F113" s="28" t="str">
        <f t="shared" ca="1" si="5"/>
        <v/>
      </c>
    </row>
    <row r="114" spans="2:6" x14ac:dyDescent="0.2">
      <c r="B114" t="str">
        <f>IFERROR(IF('PDCA review'!$D$2='Check'!B114,'Check'!G114,""),"")</f>
        <v/>
      </c>
      <c r="C114">
        <f t="shared" si="3"/>
        <v>0</v>
      </c>
      <c r="D114">
        <f>SUM($C$3:C114)</f>
        <v>4</v>
      </c>
      <c r="E114" t="e">
        <f t="shared" si="4"/>
        <v>#N/A</v>
      </c>
      <c r="F114" s="28" t="str">
        <f t="shared" ca="1" si="5"/>
        <v/>
      </c>
    </row>
    <row r="115" spans="2:6" x14ac:dyDescent="0.2">
      <c r="B115" t="str">
        <f>IFERROR(IF('PDCA review'!$D$2='Check'!B115,'Check'!G115,""),"")</f>
        <v/>
      </c>
      <c r="C115">
        <f t="shared" si="3"/>
        <v>0</v>
      </c>
      <c r="D115">
        <f>SUM($C$3:C115)</f>
        <v>4</v>
      </c>
      <c r="E115" t="e">
        <f t="shared" si="4"/>
        <v>#N/A</v>
      </c>
      <c r="F115" s="28" t="str">
        <f t="shared" ca="1" si="5"/>
        <v/>
      </c>
    </row>
    <row r="116" spans="2:6" x14ac:dyDescent="0.2">
      <c r="B116" t="str">
        <f>IFERROR(IF('PDCA review'!$D$2='Check'!B116,'Check'!G116,""),"")</f>
        <v/>
      </c>
      <c r="C116">
        <f t="shared" si="3"/>
        <v>0</v>
      </c>
      <c r="D116">
        <f>SUM($C$3:C116)</f>
        <v>4</v>
      </c>
      <c r="E116" t="e">
        <f t="shared" si="4"/>
        <v>#N/A</v>
      </c>
      <c r="F116" s="28" t="str">
        <f t="shared" ca="1" si="5"/>
        <v/>
      </c>
    </row>
    <row r="117" spans="2:6" x14ac:dyDescent="0.2">
      <c r="B117" t="str">
        <f>IFERROR(IF('PDCA review'!$D$2='Check'!B117,'Check'!G117,""),"")</f>
        <v/>
      </c>
      <c r="C117">
        <f t="shared" si="3"/>
        <v>0</v>
      </c>
      <c r="D117">
        <f>SUM($C$3:C117)</f>
        <v>4</v>
      </c>
      <c r="E117" t="e">
        <f t="shared" si="4"/>
        <v>#N/A</v>
      </c>
      <c r="F117" s="28" t="str">
        <f t="shared" ca="1" si="5"/>
        <v/>
      </c>
    </row>
    <row r="118" spans="2:6" x14ac:dyDescent="0.2">
      <c r="B118" t="str">
        <f>IFERROR(IF('PDCA review'!$D$2='Check'!B118,'Check'!G118,""),"")</f>
        <v/>
      </c>
      <c r="C118">
        <f t="shared" si="3"/>
        <v>0</v>
      </c>
      <c r="D118">
        <f>SUM($C$3:C118)</f>
        <v>4</v>
      </c>
      <c r="E118" t="e">
        <f t="shared" si="4"/>
        <v>#N/A</v>
      </c>
      <c r="F118" s="28" t="str">
        <f t="shared" ca="1" si="5"/>
        <v/>
      </c>
    </row>
    <row r="119" spans="2:6" x14ac:dyDescent="0.2">
      <c r="B119" t="str">
        <f>IFERROR(IF('PDCA review'!$D$2='Check'!B119,'Check'!G119,""),"")</f>
        <v/>
      </c>
      <c r="C119">
        <f t="shared" si="3"/>
        <v>0</v>
      </c>
      <c r="D119">
        <f>SUM($C$3:C119)</f>
        <v>4</v>
      </c>
      <c r="E119" t="e">
        <f t="shared" si="4"/>
        <v>#N/A</v>
      </c>
      <c r="F119" s="28" t="str">
        <f t="shared" ca="1" si="5"/>
        <v/>
      </c>
    </row>
    <row r="120" spans="2:6" x14ac:dyDescent="0.2">
      <c r="B120" t="str">
        <f>IFERROR(IF('PDCA review'!$D$2='Check'!B120,'Check'!G120,""),"")</f>
        <v/>
      </c>
      <c r="C120">
        <f t="shared" si="3"/>
        <v>0</v>
      </c>
      <c r="D120">
        <f>SUM($C$3:C120)</f>
        <v>4</v>
      </c>
      <c r="E120" t="e">
        <f t="shared" si="4"/>
        <v>#N/A</v>
      </c>
      <c r="F120" s="28" t="str">
        <f t="shared" ca="1" si="5"/>
        <v/>
      </c>
    </row>
    <row r="121" spans="2:6" x14ac:dyDescent="0.2">
      <c r="B121" t="str">
        <f>IFERROR(IF('PDCA review'!$D$2='Check'!B121,'Check'!G121,""),"")</f>
        <v/>
      </c>
      <c r="C121">
        <f t="shared" si="3"/>
        <v>0</v>
      </c>
      <c r="D121">
        <f>SUM($C$3:C121)</f>
        <v>4</v>
      </c>
      <c r="E121" t="e">
        <f t="shared" si="4"/>
        <v>#N/A</v>
      </c>
      <c r="F121" s="28" t="str">
        <f t="shared" ca="1" si="5"/>
        <v/>
      </c>
    </row>
    <row r="122" spans="2:6" x14ac:dyDescent="0.2">
      <c r="B122" t="str">
        <f>IFERROR(IF('PDCA review'!$D$2='Check'!B122,'Check'!G122,""),"")</f>
        <v/>
      </c>
      <c r="C122">
        <f t="shared" si="3"/>
        <v>0</v>
      </c>
      <c r="D122">
        <f>SUM($C$3:C122)</f>
        <v>4</v>
      </c>
      <c r="E122" t="e">
        <f t="shared" si="4"/>
        <v>#N/A</v>
      </c>
      <c r="F122" s="28" t="str">
        <f t="shared" ca="1" si="5"/>
        <v/>
      </c>
    </row>
    <row r="123" spans="2:6" x14ac:dyDescent="0.2">
      <c r="B123" t="str">
        <f>IFERROR(IF('PDCA review'!$D$2='Check'!B123,'Check'!G123,""),"")</f>
        <v/>
      </c>
      <c r="C123">
        <f t="shared" si="3"/>
        <v>0</v>
      </c>
      <c r="D123">
        <f>SUM($C$3:C123)</f>
        <v>4</v>
      </c>
      <c r="E123" t="e">
        <f t="shared" si="4"/>
        <v>#N/A</v>
      </c>
      <c r="F123" s="28" t="str">
        <f t="shared" ca="1" si="5"/>
        <v/>
      </c>
    </row>
    <row r="124" spans="2:6" x14ac:dyDescent="0.2">
      <c r="B124" t="str">
        <f>IFERROR(IF('PDCA review'!$D$2='Check'!B124,'Check'!G124,""),"")</f>
        <v/>
      </c>
      <c r="C124">
        <f t="shared" si="3"/>
        <v>0</v>
      </c>
      <c r="D124">
        <f>SUM($C$3:C124)</f>
        <v>4</v>
      </c>
      <c r="E124" t="e">
        <f t="shared" si="4"/>
        <v>#N/A</v>
      </c>
      <c r="F124" s="28" t="str">
        <f t="shared" ca="1" si="5"/>
        <v/>
      </c>
    </row>
    <row r="125" spans="2:6" x14ac:dyDescent="0.2">
      <c r="B125" t="str">
        <f>IFERROR(IF('PDCA review'!$D$2='Check'!B125,'Check'!G125,""),"")</f>
        <v/>
      </c>
      <c r="C125">
        <f t="shared" si="3"/>
        <v>0</v>
      </c>
      <c r="D125">
        <f>SUM($C$3:C125)</f>
        <v>4</v>
      </c>
      <c r="E125" t="e">
        <f t="shared" si="4"/>
        <v>#N/A</v>
      </c>
      <c r="F125" s="28" t="str">
        <f t="shared" ca="1" si="5"/>
        <v/>
      </c>
    </row>
    <row r="126" spans="2:6" x14ac:dyDescent="0.2">
      <c r="B126" t="str">
        <f>IFERROR(IF('PDCA review'!$D$2='Check'!B126,'Check'!G126,""),"")</f>
        <v/>
      </c>
      <c r="C126">
        <f t="shared" si="3"/>
        <v>0</v>
      </c>
      <c r="D126">
        <f>SUM($C$3:C126)</f>
        <v>4</v>
      </c>
      <c r="E126" t="e">
        <f t="shared" si="4"/>
        <v>#N/A</v>
      </c>
      <c r="F126" s="28" t="str">
        <f t="shared" ca="1" si="5"/>
        <v/>
      </c>
    </row>
    <row r="127" spans="2:6" x14ac:dyDescent="0.2">
      <c r="B127" t="str">
        <f>IFERROR(IF('PDCA review'!$D$2='Check'!B127,'Check'!G127,""),"")</f>
        <v/>
      </c>
      <c r="C127">
        <f t="shared" si="3"/>
        <v>0</v>
      </c>
      <c r="D127">
        <f>SUM($C$3:C127)</f>
        <v>4</v>
      </c>
      <c r="E127" t="e">
        <f t="shared" si="4"/>
        <v>#N/A</v>
      </c>
      <c r="F127" s="28" t="str">
        <f t="shared" ca="1" si="5"/>
        <v/>
      </c>
    </row>
    <row r="128" spans="2:6" x14ac:dyDescent="0.2">
      <c r="B128" t="str">
        <f>IFERROR(IF('PDCA review'!$D$2='Check'!B128,'Check'!G128,""),"")</f>
        <v/>
      </c>
      <c r="C128">
        <f t="shared" si="3"/>
        <v>0</v>
      </c>
      <c r="D128">
        <f>SUM($C$3:C128)</f>
        <v>4</v>
      </c>
      <c r="E128" t="e">
        <f t="shared" si="4"/>
        <v>#N/A</v>
      </c>
      <c r="F128" s="28" t="str">
        <f t="shared" ca="1" si="5"/>
        <v/>
      </c>
    </row>
    <row r="129" spans="2:6" x14ac:dyDescent="0.2">
      <c r="B129" t="str">
        <f>IFERROR(IF('PDCA review'!$D$2='Check'!B129,'Check'!G129,""),"")</f>
        <v/>
      </c>
      <c r="C129">
        <f t="shared" si="3"/>
        <v>0</v>
      </c>
      <c r="D129">
        <f>SUM($C$3:C129)</f>
        <v>4</v>
      </c>
      <c r="E129" t="e">
        <f t="shared" si="4"/>
        <v>#N/A</v>
      </c>
      <c r="F129" s="28" t="str">
        <f t="shared" ca="1" si="5"/>
        <v/>
      </c>
    </row>
    <row r="130" spans="2:6" x14ac:dyDescent="0.2">
      <c r="B130" t="str">
        <f>IFERROR(IF('PDCA review'!$D$2='Check'!B130,'Check'!G130,""),"")</f>
        <v/>
      </c>
      <c r="C130">
        <f t="shared" si="3"/>
        <v>0</v>
      </c>
      <c r="D130">
        <f>SUM($C$3:C130)</f>
        <v>4</v>
      </c>
      <c r="E130" t="e">
        <f t="shared" si="4"/>
        <v>#N/A</v>
      </c>
      <c r="F130" s="28" t="str">
        <f t="shared" ca="1" si="5"/>
        <v/>
      </c>
    </row>
    <row r="131" spans="2:6" x14ac:dyDescent="0.2">
      <c r="B131" t="str">
        <f>IFERROR(IF('PDCA review'!$D$2='Check'!B131,'Check'!G131,""),"")</f>
        <v/>
      </c>
      <c r="C131">
        <f t="shared" si="3"/>
        <v>0</v>
      </c>
      <c r="D131">
        <f>SUM($C$3:C131)</f>
        <v>4</v>
      </c>
      <c r="E131" t="e">
        <f t="shared" si="4"/>
        <v>#N/A</v>
      </c>
      <c r="F131" s="28" t="str">
        <f t="shared" ca="1" si="5"/>
        <v/>
      </c>
    </row>
    <row r="132" spans="2:6" x14ac:dyDescent="0.2">
      <c r="B132" t="str">
        <f>IFERROR(IF('PDCA review'!$D$2='Check'!B132,'Check'!G132,""),"")</f>
        <v/>
      </c>
      <c r="C132">
        <f t="shared" ref="C132:C195" si="6">IF(B132&lt;&gt;"",1,0)</f>
        <v>0</v>
      </c>
      <c r="D132">
        <f>SUM($C$3:C132)</f>
        <v>4</v>
      </c>
      <c r="E132" t="e">
        <f t="shared" ref="E132:E195" si="7">MATCH(ROW()-$D$2,$D$3:$D$2000,0)+$D$2</f>
        <v>#N/A</v>
      </c>
      <c r="F132" s="28" t="str">
        <f t="shared" ref="F132:F195" ca="1" si="8">IFERROR(INDIRECT("B"&amp;E132),"")</f>
        <v/>
      </c>
    </row>
    <row r="133" spans="2:6" x14ac:dyDescent="0.2">
      <c r="B133" t="str">
        <f>IFERROR(IF('PDCA review'!$D$2='Check'!B133,'Check'!G133,""),"")</f>
        <v/>
      </c>
      <c r="C133">
        <f t="shared" si="6"/>
        <v>0</v>
      </c>
      <c r="D133">
        <f>SUM($C$3:C133)</f>
        <v>4</v>
      </c>
      <c r="E133" t="e">
        <f t="shared" si="7"/>
        <v>#N/A</v>
      </c>
      <c r="F133" s="28" t="str">
        <f t="shared" ca="1" si="8"/>
        <v/>
      </c>
    </row>
    <row r="134" spans="2:6" x14ac:dyDescent="0.2">
      <c r="B134" t="str">
        <f>IFERROR(IF('PDCA review'!$D$2='Check'!B134,'Check'!G134,""),"")</f>
        <v/>
      </c>
      <c r="C134">
        <f t="shared" si="6"/>
        <v>0</v>
      </c>
      <c r="D134">
        <f>SUM($C$3:C134)</f>
        <v>4</v>
      </c>
      <c r="E134" t="e">
        <f t="shared" si="7"/>
        <v>#N/A</v>
      </c>
      <c r="F134" s="28" t="str">
        <f t="shared" ca="1" si="8"/>
        <v/>
      </c>
    </row>
    <row r="135" spans="2:6" x14ac:dyDescent="0.2">
      <c r="B135" t="str">
        <f>IFERROR(IF('PDCA review'!$D$2='Check'!B135,'Check'!G135,""),"")</f>
        <v/>
      </c>
      <c r="C135">
        <f t="shared" si="6"/>
        <v>0</v>
      </c>
      <c r="D135">
        <f>SUM($C$3:C135)</f>
        <v>4</v>
      </c>
      <c r="E135" t="e">
        <f t="shared" si="7"/>
        <v>#N/A</v>
      </c>
      <c r="F135" s="28" t="str">
        <f t="shared" ca="1" si="8"/>
        <v/>
      </c>
    </row>
    <row r="136" spans="2:6" x14ac:dyDescent="0.2">
      <c r="B136" t="str">
        <f>IFERROR(IF('PDCA review'!$D$2='Check'!B136,'Check'!G136,""),"")</f>
        <v/>
      </c>
      <c r="C136">
        <f t="shared" si="6"/>
        <v>0</v>
      </c>
      <c r="D136">
        <f>SUM($C$3:C136)</f>
        <v>4</v>
      </c>
      <c r="E136" t="e">
        <f t="shared" si="7"/>
        <v>#N/A</v>
      </c>
      <c r="F136" s="28" t="str">
        <f t="shared" ca="1" si="8"/>
        <v/>
      </c>
    </row>
    <row r="137" spans="2:6" x14ac:dyDescent="0.2">
      <c r="B137" t="str">
        <f>IFERROR(IF('PDCA review'!$D$2='Check'!B137,'Check'!G137,""),"")</f>
        <v/>
      </c>
      <c r="C137">
        <f t="shared" si="6"/>
        <v>0</v>
      </c>
      <c r="D137">
        <f>SUM($C$3:C137)</f>
        <v>4</v>
      </c>
      <c r="E137" t="e">
        <f t="shared" si="7"/>
        <v>#N/A</v>
      </c>
      <c r="F137" s="28" t="str">
        <f t="shared" ca="1" si="8"/>
        <v/>
      </c>
    </row>
    <row r="138" spans="2:6" x14ac:dyDescent="0.2">
      <c r="B138" t="str">
        <f>IFERROR(IF('PDCA review'!$D$2='Check'!B138,'Check'!G138,""),"")</f>
        <v/>
      </c>
      <c r="C138">
        <f t="shared" si="6"/>
        <v>0</v>
      </c>
      <c r="D138">
        <f>SUM($C$3:C138)</f>
        <v>4</v>
      </c>
      <c r="E138" t="e">
        <f t="shared" si="7"/>
        <v>#N/A</v>
      </c>
      <c r="F138" s="28" t="str">
        <f t="shared" ca="1" si="8"/>
        <v/>
      </c>
    </row>
    <row r="139" spans="2:6" x14ac:dyDescent="0.2">
      <c r="B139" t="str">
        <f>IFERROR(IF('PDCA review'!$D$2='Check'!B139,'Check'!G139,""),"")</f>
        <v/>
      </c>
      <c r="C139">
        <f t="shared" si="6"/>
        <v>0</v>
      </c>
      <c r="D139">
        <f>SUM($C$3:C139)</f>
        <v>4</v>
      </c>
      <c r="E139" t="e">
        <f t="shared" si="7"/>
        <v>#N/A</v>
      </c>
      <c r="F139" s="28" t="str">
        <f t="shared" ca="1" si="8"/>
        <v/>
      </c>
    </row>
    <row r="140" spans="2:6" x14ac:dyDescent="0.2">
      <c r="B140" t="str">
        <f>IFERROR(IF('PDCA review'!$D$2='Check'!B140,'Check'!G140,""),"")</f>
        <v/>
      </c>
      <c r="C140">
        <f t="shared" si="6"/>
        <v>0</v>
      </c>
      <c r="D140">
        <f>SUM($C$3:C140)</f>
        <v>4</v>
      </c>
      <c r="E140" t="e">
        <f t="shared" si="7"/>
        <v>#N/A</v>
      </c>
      <c r="F140" s="28" t="str">
        <f t="shared" ca="1" si="8"/>
        <v/>
      </c>
    </row>
    <row r="141" spans="2:6" x14ac:dyDescent="0.2">
      <c r="B141" t="str">
        <f>IFERROR(IF('PDCA review'!$D$2='Check'!B141,'Check'!G141,""),"")</f>
        <v/>
      </c>
      <c r="C141">
        <f t="shared" si="6"/>
        <v>0</v>
      </c>
      <c r="D141">
        <f>SUM($C$3:C141)</f>
        <v>4</v>
      </c>
      <c r="E141" t="e">
        <f t="shared" si="7"/>
        <v>#N/A</v>
      </c>
      <c r="F141" s="28" t="str">
        <f t="shared" ca="1" si="8"/>
        <v/>
      </c>
    </row>
    <row r="142" spans="2:6" x14ac:dyDescent="0.2">
      <c r="B142" t="str">
        <f>IFERROR(IF('PDCA review'!$D$2='Check'!B142,'Check'!G142,""),"")</f>
        <v/>
      </c>
      <c r="C142">
        <f t="shared" si="6"/>
        <v>0</v>
      </c>
      <c r="D142">
        <f>SUM($C$3:C142)</f>
        <v>4</v>
      </c>
      <c r="E142" t="e">
        <f t="shared" si="7"/>
        <v>#N/A</v>
      </c>
      <c r="F142" s="28" t="str">
        <f t="shared" ca="1" si="8"/>
        <v/>
      </c>
    </row>
    <row r="143" spans="2:6" x14ac:dyDescent="0.2">
      <c r="B143" t="str">
        <f>IFERROR(IF('PDCA review'!$D$2='Check'!B143,'Check'!G143,""),"")</f>
        <v/>
      </c>
      <c r="C143">
        <f t="shared" si="6"/>
        <v>0</v>
      </c>
      <c r="D143">
        <f>SUM($C$3:C143)</f>
        <v>4</v>
      </c>
      <c r="E143" t="e">
        <f t="shared" si="7"/>
        <v>#N/A</v>
      </c>
      <c r="F143" s="28" t="str">
        <f t="shared" ca="1" si="8"/>
        <v/>
      </c>
    </row>
    <row r="144" spans="2:6" x14ac:dyDescent="0.2">
      <c r="B144" t="str">
        <f>IFERROR(IF('PDCA review'!$D$2='Check'!B144,'Check'!G144,""),"")</f>
        <v/>
      </c>
      <c r="C144">
        <f t="shared" si="6"/>
        <v>0</v>
      </c>
      <c r="D144">
        <f>SUM($C$3:C144)</f>
        <v>4</v>
      </c>
      <c r="E144" t="e">
        <f t="shared" si="7"/>
        <v>#N/A</v>
      </c>
      <c r="F144" s="28" t="str">
        <f t="shared" ca="1" si="8"/>
        <v/>
      </c>
    </row>
    <row r="145" spans="2:6" x14ac:dyDescent="0.2">
      <c r="B145" t="str">
        <f>IFERROR(IF('PDCA review'!$D$2='Check'!B145,'Check'!G145,""),"")</f>
        <v/>
      </c>
      <c r="C145">
        <f t="shared" si="6"/>
        <v>0</v>
      </c>
      <c r="D145">
        <f>SUM($C$3:C145)</f>
        <v>4</v>
      </c>
      <c r="E145" t="e">
        <f t="shared" si="7"/>
        <v>#N/A</v>
      </c>
      <c r="F145" s="28" t="str">
        <f t="shared" ca="1" si="8"/>
        <v/>
      </c>
    </row>
    <row r="146" spans="2:6" x14ac:dyDescent="0.2">
      <c r="B146" t="str">
        <f>IFERROR(IF('PDCA review'!$D$2='Check'!B146,'Check'!G146,""),"")</f>
        <v/>
      </c>
      <c r="C146">
        <f t="shared" si="6"/>
        <v>0</v>
      </c>
      <c r="D146">
        <f>SUM($C$3:C146)</f>
        <v>4</v>
      </c>
      <c r="E146" t="e">
        <f t="shared" si="7"/>
        <v>#N/A</v>
      </c>
      <c r="F146" s="28" t="str">
        <f t="shared" ca="1" si="8"/>
        <v/>
      </c>
    </row>
    <row r="147" spans="2:6" x14ac:dyDescent="0.2">
      <c r="B147" t="str">
        <f>IFERROR(IF('PDCA review'!$D$2='Check'!B147,'Check'!G147,""),"")</f>
        <v/>
      </c>
      <c r="C147">
        <f t="shared" si="6"/>
        <v>0</v>
      </c>
      <c r="D147">
        <f>SUM($C$3:C147)</f>
        <v>4</v>
      </c>
      <c r="E147" t="e">
        <f t="shared" si="7"/>
        <v>#N/A</v>
      </c>
      <c r="F147" s="28" t="str">
        <f t="shared" ca="1" si="8"/>
        <v/>
      </c>
    </row>
    <row r="148" spans="2:6" x14ac:dyDescent="0.2">
      <c r="B148" t="str">
        <f>IFERROR(IF('PDCA review'!$D$2='Check'!B148,'Check'!G148,""),"")</f>
        <v/>
      </c>
      <c r="C148">
        <f t="shared" si="6"/>
        <v>0</v>
      </c>
      <c r="D148">
        <f>SUM($C$3:C148)</f>
        <v>4</v>
      </c>
      <c r="E148" t="e">
        <f t="shared" si="7"/>
        <v>#N/A</v>
      </c>
      <c r="F148" s="28" t="str">
        <f t="shared" ca="1" si="8"/>
        <v/>
      </c>
    </row>
    <row r="149" spans="2:6" x14ac:dyDescent="0.2">
      <c r="B149" t="str">
        <f>IFERROR(IF('PDCA review'!$D$2='Check'!B149,'Check'!G149,""),"")</f>
        <v/>
      </c>
      <c r="C149">
        <f t="shared" si="6"/>
        <v>0</v>
      </c>
      <c r="D149">
        <f>SUM($C$3:C149)</f>
        <v>4</v>
      </c>
      <c r="E149" t="e">
        <f t="shared" si="7"/>
        <v>#N/A</v>
      </c>
      <c r="F149" s="28" t="str">
        <f t="shared" ca="1" si="8"/>
        <v/>
      </c>
    </row>
    <row r="150" spans="2:6" x14ac:dyDescent="0.2">
      <c r="B150" t="str">
        <f>IFERROR(IF('PDCA review'!$D$2='Check'!B150,'Check'!G150,""),"")</f>
        <v/>
      </c>
      <c r="C150">
        <f t="shared" si="6"/>
        <v>0</v>
      </c>
      <c r="D150">
        <f>SUM($C$3:C150)</f>
        <v>4</v>
      </c>
      <c r="E150" t="e">
        <f t="shared" si="7"/>
        <v>#N/A</v>
      </c>
      <c r="F150" s="28" t="str">
        <f t="shared" ca="1" si="8"/>
        <v/>
      </c>
    </row>
    <row r="151" spans="2:6" x14ac:dyDescent="0.2">
      <c r="B151" t="str">
        <f>IFERROR(IF('PDCA review'!$D$2='Check'!B151,'Check'!G151,""),"")</f>
        <v/>
      </c>
      <c r="C151">
        <f t="shared" si="6"/>
        <v>0</v>
      </c>
      <c r="D151">
        <f>SUM($C$3:C151)</f>
        <v>4</v>
      </c>
      <c r="E151" t="e">
        <f t="shared" si="7"/>
        <v>#N/A</v>
      </c>
      <c r="F151" s="28" t="str">
        <f t="shared" ca="1" si="8"/>
        <v/>
      </c>
    </row>
    <row r="152" spans="2:6" x14ac:dyDescent="0.2">
      <c r="B152" t="str">
        <f>IFERROR(IF('PDCA review'!$D$2='Check'!B152,'Check'!G152,""),"")</f>
        <v/>
      </c>
      <c r="C152">
        <f t="shared" si="6"/>
        <v>0</v>
      </c>
      <c r="D152">
        <f>SUM($C$3:C152)</f>
        <v>4</v>
      </c>
      <c r="E152" t="e">
        <f t="shared" si="7"/>
        <v>#N/A</v>
      </c>
      <c r="F152" s="28" t="str">
        <f t="shared" ca="1" si="8"/>
        <v/>
      </c>
    </row>
    <row r="153" spans="2:6" x14ac:dyDescent="0.2">
      <c r="B153" t="str">
        <f>IFERROR(IF('PDCA review'!$D$2='Check'!B153,'Check'!G153,""),"")</f>
        <v/>
      </c>
      <c r="C153">
        <f t="shared" si="6"/>
        <v>0</v>
      </c>
      <c r="D153">
        <f>SUM($C$3:C153)</f>
        <v>4</v>
      </c>
      <c r="E153" t="e">
        <f t="shared" si="7"/>
        <v>#N/A</v>
      </c>
      <c r="F153" s="28" t="str">
        <f t="shared" ca="1" si="8"/>
        <v/>
      </c>
    </row>
    <row r="154" spans="2:6" x14ac:dyDescent="0.2">
      <c r="B154" t="str">
        <f>IFERROR(IF('PDCA review'!$D$2='Check'!B154,'Check'!G154,""),"")</f>
        <v/>
      </c>
      <c r="C154">
        <f t="shared" si="6"/>
        <v>0</v>
      </c>
      <c r="D154">
        <f>SUM($C$3:C154)</f>
        <v>4</v>
      </c>
      <c r="E154" t="e">
        <f t="shared" si="7"/>
        <v>#N/A</v>
      </c>
      <c r="F154" s="28" t="str">
        <f t="shared" ca="1" si="8"/>
        <v/>
      </c>
    </row>
    <row r="155" spans="2:6" x14ac:dyDescent="0.2">
      <c r="B155" t="str">
        <f>IFERROR(IF('PDCA review'!$D$2='Check'!B155,'Check'!G155,""),"")</f>
        <v/>
      </c>
      <c r="C155">
        <f t="shared" si="6"/>
        <v>0</v>
      </c>
      <c r="D155">
        <f>SUM($C$3:C155)</f>
        <v>4</v>
      </c>
      <c r="E155" t="e">
        <f t="shared" si="7"/>
        <v>#N/A</v>
      </c>
      <c r="F155" s="28" t="str">
        <f t="shared" ca="1" si="8"/>
        <v/>
      </c>
    </row>
    <row r="156" spans="2:6" x14ac:dyDescent="0.2">
      <c r="B156" t="str">
        <f>IFERROR(IF('PDCA review'!$D$2='Check'!B156,'Check'!G156,""),"")</f>
        <v/>
      </c>
      <c r="C156">
        <f t="shared" si="6"/>
        <v>0</v>
      </c>
      <c r="D156">
        <f>SUM($C$3:C156)</f>
        <v>4</v>
      </c>
      <c r="E156" t="e">
        <f t="shared" si="7"/>
        <v>#N/A</v>
      </c>
      <c r="F156" s="28" t="str">
        <f t="shared" ca="1" si="8"/>
        <v/>
      </c>
    </row>
    <row r="157" spans="2:6" x14ac:dyDescent="0.2">
      <c r="B157" t="str">
        <f>IFERROR(IF('PDCA review'!$D$2='Check'!B157,'Check'!G157,""),"")</f>
        <v/>
      </c>
      <c r="C157">
        <f t="shared" si="6"/>
        <v>0</v>
      </c>
      <c r="D157">
        <f>SUM($C$3:C157)</f>
        <v>4</v>
      </c>
      <c r="E157" t="e">
        <f t="shared" si="7"/>
        <v>#N/A</v>
      </c>
      <c r="F157" s="28" t="str">
        <f t="shared" ca="1" si="8"/>
        <v/>
      </c>
    </row>
    <row r="158" spans="2:6" x14ac:dyDescent="0.2">
      <c r="B158" t="str">
        <f>IFERROR(IF('PDCA review'!$D$2='Check'!B158,'Check'!G158,""),"")</f>
        <v/>
      </c>
      <c r="C158">
        <f t="shared" si="6"/>
        <v>0</v>
      </c>
      <c r="D158">
        <f>SUM($C$3:C158)</f>
        <v>4</v>
      </c>
      <c r="E158" t="e">
        <f t="shared" si="7"/>
        <v>#N/A</v>
      </c>
      <c r="F158" s="28" t="str">
        <f t="shared" ca="1" si="8"/>
        <v/>
      </c>
    </row>
    <row r="159" spans="2:6" x14ac:dyDescent="0.2">
      <c r="B159" t="str">
        <f>IFERROR(IF('PDCA review'!$D$2='Check'!B159,'Check'!G159,""),"")</f>
        <v/>
      </c>
      <c r="C159">
        <f t="shared" si="6"/>
        <v>0</v>
      </c>
      <c r="D159">
        <f>SUM($C$3:C159)</f>
        <v>4</v>
      </c>
      <c r="E159" t="e">
        <f t="shared" si="7"/>
        <v>#N/A</v>
      </c>
      <c r="F159" s="28" t="str">
        <f t="shared" ca="1" si="8"/>
        <v/>
      </c>
    </row>
    <row r="160" spans="2:6" x14ac:dyDescent="0.2">
      <c r="B160" t="str">
        <f>IFERROR(IF('PDCA review'!$D$2='Check'!B160,'Check'!G160,""),"")</f>
        <v/>
      </c>
      <c r="C160">
        <f t="shared" si="6"/>
        <v>0</v>
      </c>
      <c r="D160">
        <f>SUM($C$3:C160)</f>
        <v>4</v>
      </c>
      <c r="E160" t="e">
        <f t="shared" si="7"/>
        <v>#N/A</v>
      </c>
      <c r="F160" s="28" t="str">
        <f t="shared" ca="1" si="8"/>
        <v/>
      </c>
    </row>
    <row r="161" spans="2:6" x14ac:dyDescent="0.2">
      <c r="B161" t="str">
        <f>IFERROR(IF('PDCA review'!$D$2='Check'!B161,'Check'!G161,""),"")</f>
        <v/>
      </c>
      <c r="C161">
        <f t="shared" si="6"/>
        <v>0</v>
      </c>
      <c r="D161">
        <f>SUM($C$3:C161)</f>
        <v>4</v>
      </c>
      <c r="E161" t="e">
        <f t="shared" si="7"/>
        <v>#N/A</v>
      </c>
      <c r="F161" s="28" t="str">
        <f t="shared" ca="1" si="8"/>
        <v/>
      </c>
    </row>
    <row r="162" spans="2:6" x14ac:dyDescent="0.2">
      <c r="B162" t="str">
        <f>IFERROR(IF('PDCA review'!$D$2='Check'!B162,'Check'!G162,""),"")</f>
        <v/>
      </c>
      <c r="C162">
        <f t="shared" si="6"/>
        <v>0</v>
      </c>
      <c r="D162">
        <f>SUM($C$3:C162)</f>
        <v>4</v>
      </c>
      <c r="E162" t="e">
        <f t="shared" si="7"/>
        <v>#N/A</v>
      </c>
      <c r="F162" s="28" t="str">
        <f t="shared" ca="1" si="8"/>
        <v/>
      </c>
    </row>
    <row r="163" spans="2:6" x14ac:dyDescent="0.2">
      <c r="B163" t="str">
        <f>IFERROR(IF('PDCA review'!$D$2='Check'!B163,'Check'!G163,""),"")</f>
        <v/>
      </c>
      <c r="C163">
        <f t="shared" si="6"/>
        <v>0</v>
      </c>
      <c r="D163">
        <f>SUM($C$3:C163)</f>
        <v>4</v>
      </c>
      <c r="E163" t="e">
        <f t="shared" si="7"/>
        <v>#N/A</v>
      </c>
      <c r="F163" s="28" t="str">
        <f t="shared" ca="1" si="8"/>
        <v/>
      </c>
    </row>
    <row r="164" spans="2:6" x14ac:dyDescent="0.2">
      <c r="B164" t="str">
        <f>IFERROR(IF('PDCA review'!$D$2='Check'!B164,'Check'!G164,""),"")</f>
        <v/>
      </c>
      <c r="C164">
        <f t="shared" si="6"/>
        <v>0</v>
      </c>
      <c r="D164">
        <f>SUM($C$3:C164)</f>
        <v>4</v>
      </c>
      <c r="E164" t="e">
        <f t="shared" si="7"/>
        <v>#N/A</v>
      </c>
      <c r="F164" s="28" t="str">
        <f t="shared" ca="1" si="8"/>
        <v/>
      </c>
    </row>
    <row r="165" spans="2:6" x14ac:dyDescent="0.2">
      <c r="B165" t="str">
        <f>IFERROR(IF('PDCA review'!$D$2='Check'!B165,'Check'!G165,""),"")</f>
        <v/>
      </c>
      <c r="C165">
        <f t="shared" si="6"/>
        <v>0</v>
      </c>
      <c r="D165">
        <f>SUM($C$3:C165)</f>
        <v>4</v>
      </c>
      <c r="E165" t="e">
        <f t="shared" si="7"/>
        <v>#N/A</v>
      </c>
      <c r="F165" s="28" t="str">
        <f t="shared" ca="1" si="8"/>
        <v/>
      </c>
    </row>
    <row r="166" spans="2:6" x14ac:dyDescent="0.2">
      <c r="B166" t="str">
        <f>IFERROR(IF('PDCA review'!$D$2='Check'!B166,'Check'!G166,""),"")</f>
        <v/>
      </c>
      <c r="C166">
        <f t="shared" si="6"/>
        <v>0</v>
      </c>
      <c r="D166">
        <f>SUM($C$3:C166)</f>
        <v>4</v>
      </c>
      <c r="E166" t="e">
        <f t="shared" si="7"/>
        <v>#N/A</v>
      </c>
      <c r="F166" s="28" t="str">
        <f t="shared" ca="1" si="8"/>
        <v/>
      </c>
    </row>
    <row r="167" spans="2:6" x14ac:dyDescent="0.2">
      <c r="B167" t="str">
        <f>IFERROR(IF('PDCA review'!$D$2='Check'!B167,'Check'!G167,""),"")</f>
        <v/>
      </c>
      <c r="C167">
        <f t="shared" si="6"/>
        <v>0</v>
      </c>
      <c r="D167">
        <f>SUM($C$3:C167)</f>
        <v>4</v>
      </c>
      <c r="E167" t="e">
        <f t="shared" si="7"/>
        <v>#N/A</v>
      </c>
      <c r="F167" s="28" t="str">
        <f t="shared" ca="1" si="8"/>
        <v/>
      </c>
    </row>
    <row r="168" spans="2:6" x14ac:dyDescent="0.2">
      <c r="B168" t="str">
        <f>IFERROR(IF('PDCA review'!$D$2='Check'!B168,'Check'!G168,""),"")</f>
        <v/>
      </c>
      <c r="C168">
        <f t="shared" si="6"/>
        <v>0</v>
      </c>
      <c r="D168">
        <f>SUM($C$3:C168)</f>
        <v>4</v>
      </c>
      <c r="E168" t="e">
        <f t="shared" si="7"/>
        <v>#N/A</v>
      </c>
      <c r="F168" s="28" t="str">
        <f t="shared" ca="1" si="8"/>
        <v/>
      </c>
    </row>
    <row r="169" spans="2:6" x14ac:dyDescent="0.2">
      <c r="B169" t="str">
        <f>IFERROR(IF('PDCA review'!$D$2='Check'!B169,'Check'!G169,""),"")</f>
        <v/>
      </c>
      <c r="C169">
        <f t="shared" si="6"/>
        <v>0</v>
      </c>
      <c r="D169">
        <f>SUM($C$3:C169)</f>
        <v>4</v>
      </c>
      <c r="E169" t="e">
        <f t="shared" si="7"/>
        <v>#N/A</v>
      </c>
      <c r="F169" s="28" t="str">
        <f t="shared" ca="1" si="8"/>
        <v/>
      </c>
    </row>
    <row r="170" spans="2:6" x14ac:dyDescent="0.2">
      <c r="B170" t="str">
        <f>IFERROR(IF('PDCA review'!$D$2='Check'!B170,'Check'!G170,""),"")</f>
        <v/>
      </c>
      <c r="C170">
        <f t="shared" si="6"/>
        <v>0</v>
      </c>
      <c r="D170">
        <f>SUM($C$3:C170)</f>
        <v>4</v>
      </c>
      <c r="E170" t="e">
        <f t="shared" si="7"/>
        <v>#N/A</v>
      </c>
      <c r="F170" s="28" t="str">
        <f t="shared" ca="1" si="8"/>
        <v/>
      </c>
    </row>
    <row r="171" spans="2:6" x14ac:dyDescent="0.2">
      <c r="B171" t="str">
        <f>IFERROR(IF('PDCA review'!$D$2='Check'!B171,'Check'!G171,""),"")</f>
        <v/>
      </c>
      <c r="C171">
        <f t="shared" si="6"/>
        <v>0</v>
      </c>
      <c r="D171">
        <f>SUM($C$3:C171)</f>
        <v>4</v>
      </c>
      <c r="E171" t="e">
        <f t="shared" si="7"/>
        <v>#N/A</v>
      </c>
      <c r="F171" s="28" t="str">
        <f t="shared" ca="1" si="8"/>
        <v/>
      </c>
    </row>
    <row r="172" spans="2:6" x14ac:dyDescent="0.2">
      <c r="B172" t="str">
        <f>IFERROR(IF('PDCA review'!$D$2='Check'!B172,'Check'!G172,""),"")</f>
        <v/>
      </c>
      <c r="C172">
        <f t="shared" si="6"/>
        <v>0</v>
      </c>
      <c r="D172">
        <f>SUM($C$3:C172)</f>
        <v>4</v>
      </c>
      <c r="E172" t="e">
        <f t="shared" si="7"/>
        <v>#N/A</v>
      </c>
      <c r="F172" s="28" t="str">
        <f t="shared" ca="1" si="8"/>
        <v/>
      </c>
    </row>
    <row r="173" spans="2:6" x14ac:dyDescent="0.2">
      <c r="B173" t="str">
        <f>IFERROR(IF('PDCA review'!$D$2='Check'!B173,'Check'!G173,""),"")</f>
        <v/>
      </c>
      <c r="C173">
        <f t="shared" si="6"/>
        <v>0</v>
      </c>
      <c r="D173">
        <f>SUM($C$3:C173)</f>
        <v>4</v>
      </c>
      <c r="E173" t="e">
        <f t="shared" si="7"/>
        <v>#N/A</v>
      </c>
      <c r="F173" s="28" t="str">
        <f t="shared" ca="1" si="8"/>
        <v/>
      </c>
    </row>
    <row r="174" spans="2:6" x14ac:dyDescent="0.2">
      <c r="B174" t="str">
        <f>IFERROR(IF('PDCA review'!$D$2='Check'!B174,'Check'!G174,""),"")</f>
        <v/>
      </c>
      <c r="C174">
        <f t="shared" si="6"/>
        <v>0</v>
      </c>
      <c r="D174">
        <f>SUM($C$3:C174)</f>
        <v>4</v>
      </c>
      <c r="E174" t="e">
        <f t="shared" si="7"/>
        <v>#N/A</v>
      </c>
      <c r="F174" s="28" t="str">
        <f t="shared" ca="1" si="8"/>
        <v/>
      </c>
    </row>
    <row r="175" spans="2:6" x14ac:dyDescent="0.2">
      <c r="B175" t="str">
        <f>IFERROR(IF('PDCA review'!$D$2='Check'!B175,'Check'!G175,""),"")</f>
        <v/>
      </c>
      <c r="C175">
        <f t="shared" si="6"/>
        <v>0</v>
      </c>
      <c r="D175">
        <f>SUM($C$3:C175)</f>
        <v>4</v>
      </c>
      <c r="E175" t="e">
        <f t="shared" si="7"/>
        <v>#N/A</v>
      </c>
      <c r="F175" s="28" t="str">
        <f t="shared" ca="1" si="8"/>
        <v/>
      </c>
    </row>
    <row r="176" spans="2:6" x14ac:dyDescent="0.2">
      <c r="B176" t="str">
        <f>IFERROR(IF('PDCA review'!$D$2='Check'!B176,'Check'!G176,""),"")</f>
        <v/>
      </c>
      <c r="C176">
        <f t="shared" si="6"/>
        <v>0</v>
      </c>
      <c r="D176">
        <f>SUM($C$3:C176)</f>
        <v>4</v>
      </c>
      <c r="E176" t="e">
        <f t="shared" si="7"/>
        <v>#N/A</v>
      </c>
      <c r="F176" s="28" t="str">
        <f t="shared" ca="1" si="8"/>
        <v/>
      </c>
    </row>
    <row r="177" spans="2:6" x14ac:dyDescent="0.2">
      <c r="B177" t="str">
        <f>IFERROR(IF('PDCA review'!$D$2='Check'!B177,'Check'!G177,""),"")</f>
        <v/>
      </c>
      <c r="C177">
        <f t="shared" si="6"/>
        <v>0</v>
      </c>
      <c r="D177">
        <f>SUM($C$3:C177)</f>
        <v>4</v>
      </c>
      <c r="E177" t="e">
        <f t="shared" si="7"/>
        <v>#N/A</v>
      </c>
      <c r="F177" s="28" t="str">
        <f t="shared" ca="1" si="8"/>
        <v/>
      </c>
    </row>
    <row r="178" spans="2:6" x14ac:dyDescent="0.2">
      <c r="B178" t="str">
        <f>IFERROR(IF('PDCA review'!$D$2='Check'!B178,'Check'!G178,""),"")</f>
        <v/>
      </c>
      <c r="C178">
        <f t="shared" si="6"/>
        <v>0</v>
      </c>
      <c r="D178">
        <f>SUM($C$3:C178)</f>
        <v>4</v>
      </c>
      <c r="E178" t="e">
        <f t="shared" si="7"/>
        <v>#N/A</v>
      </c>
      <c r="F178" s="28" t="str">
        <f t="shared" ca="1" si="8"/>
        <v/>
      </c>
    </row>
    <row r="179" spans="2:6" x14ac:dyDescent="0.2">
      <c r="B179" t="str">
        <f>IFERROR(IF('PDCA review'!$D$2='Check'!B179,'Check'!G179,""),"")</f>
        <v/>
      </c>
      <c r="C179">
        <f t="shared" si="6"/>
        <v>0</v>
      </c>
      <c r="D179">
        <f>SUM($C$3:C179)</f>
        <v>4</v>
      </c>
      <c r="E179" t="e">
        <f t="shared" si="7"/>
        <v>#N/A</v>
      </c>
      <c r="F179" s="28" t="str">
        <f t="shared" ca="1" si="8"/>
        <v/>
      </c>
    </row>
    <row r="180" spans="2:6" x14ac:dyDescent="0.2">
      <c r="B180" t="str">
        <f>IFERROR(IF('PDCA review'!$D$2='Check'!B180,'Check'!G180,""),"")</f>
        <v/>
      </c>
      <c r="C180">
        <f t="shared" si="6"/>
        <v>0</v>
      </c>
      <c r="D180">
        <f>SUM($C$3:C180)</f>
        <v>4</v>
      </c>
      <c r="E180" t="e">
        <f t="shared" si="7"/>
        <v>#N/A</v>
      </c>
      <c r="F180" s="28" t="str">
        <f t="shared" ca="1" si="8"/>
        <v/>
      </c>
    </row>
    <row r="181" spans="2:6" x14ac:dyDescent="0.2">
      <c r="B181" t="str">
        <f>IFERROR(IF('PDCA review'!$D$2='Check'!B181,'Check'!G181,""),"")</f>
        <v/>
      </c>
      <c r="C181">
        <f t="shared" si="6"/>
        <v>0</v>
      </c>
      <c r="D181">
        <f>SUM($C$3:C181)</f>
        <v>4</v>
      </c>
      <c r="E181" t="e">
        <f t="shared" si="7"/>
        <v>#N/A</v>
      </c>
      <c r="F181" s="28" t="str">
        <f t="shared" ca="1" si="8"/>
        <v/>
      </c>
    </row>
    <row r="182" spans="2:6" x14ac:dyDescent="0.2">
      <c r="B182" t="str">
        <f>IFERROR(IF('PDCA review'!$D$2='Check'!B182,'Check'!G182,""),"")</f>
        <v/>
      </c>
      <c r="C182">
        <f t="shared" si="6"/>
        <v>0</v>
      </c>
      <c r="D182">
        <f>SUM($C$3:C182)</f>
        <v>4</v>
      </c>
      <c r="E182" t="e">
        <f t="shared" si="7"/>
        <v>#N/A</v>
      </c>
      <c r="F182" s="28" t="str">
        <f t="shared" ca="1" si="8"/>
        <v/>
      </c>
    </row>
    <row r="183" spans="2:6" x14ac:dyDescent="0.2">
      <c r="B183" t="str">
        <f>IFERROR(IF('PDCA review'!$D$2='Check'!B183,'Check'!G183,""),"")</f>
        <v/>
      </c>
      <c r="C183">
        <f t="shared" si="6"/>
        <v>0</v>
      </c>
      <c r="D183">
        <f>SUM($C$3:C183)</f>
        <v>4</v>
      </c>
      <c r="E183" t="e">
        <f t="shared" si="7"/>
        <v>#N/A</v>
      </c>
      <c r="F183" s="28" t="str">
        <f t="shared" ca="1" si="8"/>
        <v/>
      </c>
    </row>
    <row r="184" spans="2:6" x14ac:dyDescent="0.2">
      <c r="B184" t="str">
        <f>IFERROR(IF('PDCA review'!$D$2='Check'!B184,'Check'!G184,""),"")</f>
        <v/>
      </c>
      <c r="C184">
        <f t="shared" si="6"/>
        <v>0</v>
      </c>
      <c r="D184">
        <f>SUM($C$3:C184)</f>
        <v>4</v>
      </c>
      <c r="E184" t="e">
        <f t="shared" si="7"/>
        <v>#N/A</v>
      </c>
      <c r="F184" s="28" t="str">
        <f t="shared" ca="1" si="8"/>
        <v/>
      </c>
    </row>
    <row r="185" spans="2:6" x14ac:dyDescent="0.2">
      <c r="B185" t="str">
        <f>IFERROR(IF('PDCA review'!$D$2='Check'!B185,'Check'!G185,""),"")</f>
        <v/>
      </c>
      <c r="C185">
        <f t="shared" si="6"/>
        <v>0</v>
      </c>
      <c r="D185">
        <f>SUM($C$3:C185)</f>
        <v>4</v>
      </c>
      <c r="E185" t="e">
        <f t="shared" si="7"/>
        <v>#N/A</v>
      </c>
      <c r="F185" s="28" t="str">
        <f t="shared" ca="1" si="8"/>
        <v/>
      </c>
    </row>
    <row r="186" spans="2:6" x14ac:dyDescent="0.2">
      <c r="B186" t="str">
        <f>IFERROR(IF('PDCA review'!$D$2='Check'!B186,'Check'!G186,""),"")</f>
        <v/>
      </c>
      <c r="C186">
        <f t="shared" si="6"/>
        <v>0</v>
      </c>
      <c r="D186">
        <f>SUM($C$3:C186)</f>
        <v>4</v>
      </c>
      <c r="E186" t="e">
        <f t="shared" si="7"/>
        <v>#N/A</v>
      </c>
      <c r="F186" s="28" t="str">
        <f t="shared" ca="1" si="8"/>
        <v/>
      </c>
    </row>
    <row r="187" spans="2:6" x14ac:dyDescent="0.2">
      <c r="B187" t="str">
        <f>IFERROR(IF('PDCA review'!$D$2='Check'!B187,'Check'!G187,""),"")</f>
        <v/>
      </c>
      <c r="C187">
        <f t="shared" si="6"/>
        <v>0</v>
      </c>
      <c r="D187">
        <f>SUM($C$3:C187)</f>
        <v>4</v>
      </c>
      <c r="E187" t="e">
        <f t="shared" si="7"/>
        <v>#N/A</v>
      </c>
      <c r="F187" s="28" t="str">
        <f t="shared" ca="1" si="8"/>
        <v/>
      </c>
    </row>
    <row r="188" spans="2:6" x14ac:dyDescent="0.2">
      <c r="B188" t="str">
        <f>IFERROR(IF('PDCA review'!$D$2='Check'!B188,'Check'!G188,""),"")</f>
        <v/>
      </c>
      <c r="C188">
        <f t="shared" si="6"/>
        <v>0</v>
      </c>
      <c r="D188">
        <f>SUM($C$3:C188)</f>
        <v>4</v>
      </c>
      <c r="E188" t="e">
        <f t="shared" si="7"/>
        <v>#N/A</v>
      </c>
      <c r="F188" s="28" t="str">
        <f t="shared" ca="1" si="8"/>
        <v/>
      </c>
    </row>
    <row r="189" spans="2:6" x14ac:dyDescent="0.2">
      <c r="B189" t="str">
        <f>IFERROR(IF('PDCA review'!$D$2='Check'!B189,'Check'!G189,""),"")</f>
        <v/>
      </c>
      <c r="C189">
        <f t="shared" si="6"/>
        <v>0</v>
      </c>
      <c r="D189">
        <f>SUM($C$3:C189)</f>
        <v>4</v>
      </c>
      <c r="E189" t="e">
        <f t="shared" si="7"/>
        <v>#N/A</v>
      </c>
      <c r="F189" s="28" t="str">
        <f t="shared" ca="1" si="8"/>
        <v/>
      </c>
    </row>
    <row r="190" spans="2:6" x14ac:dyDescent="0.2">
      <c r="B190" t="str">
        <f>IFERROR(IF('PDCA review'!$D$2='Check'!B190,'Check'!G190,""),"")</f>
        <v/>
      </c>
      <c r="C190">
        <f t="shared" si="6"/>
        <v>0</v>
      </c>
      <c r="D190">
        <f>SUM($C$3:C190)</f>
        <v>4</v>
      </c>
      <c r="E190" t="e">
        <f t="shared" si="7"/>
        <v>#N/A</v>
      </c>
      <c r="F190" s="28" t="str">
        <f t="shared" ca="1" si="8"/>
        <v/>
      </c>
    </row>
    <row r="191" spans="2:6" x14ac:dyDescent="0.2">
      <c r="B191" t="str">
        <f>IFERROR(IF('PDCA review'!$D$2='Check'!B191,'Check'!G191,""),"")</f>
        <v/>
      </c>
      <c r="C191">
        <f t="shared" si="6"/>
        <v>0</v>
      </c>
      <c r="D191">
        <f>SUM($C$3:C191)</f>
        <v>4</v>
      </c>
      <c r="E191" t="e">
        <f t="shared" si="7"/>
        <v>#N/A</v>
      </c>
      <c r="F191" s="28" t="str">
        <f t="shared" ca="1" si="8"/>
        <v/>
      </c>
    </row>
    <row r="192" spans="2:6" x14ac:dyDescent="0.2">
      <c r="B192" t="str">
        <f>IFERROR(IF('PDCA review'!$D$2='Check'!B192,'Check'!G192,""),"")</f>
        <v/>
      </c>
      <c r="C192">
        <f t="shared" si="6"/>
        <v>0</v>
      </c>
      <c r="D192">
        <f>SUM($C$3:C192)</f>
        <v>4</v>
      </c>
      <c r="E192" t="e">
        <f t="shared" si="7"/>
        <v>#N/A</v>
      </c>
      <c r="F192" s="28" t="str">
        <f t="shared" ca="1" si="8"/>
        <v/>
      </c>
    </row>
    <row r="193" spans="2:6" x14ac:dyDescent="0.2">
      <c r="B193" t="str">
        <f>IFERROR(IF('PDCA review'!$D$2='Check'!B193,'Check'!G193,""),"")</f>
        <v/>
      </c>
      <c r="C193">
        <f t="shared" si="6"/>
        <v>0</v>
      </c>
      <c r="D193">
        <f>SUM($C$3:C193)</f>
        <v>4</v>
      </c>
      <c r="E193" t="e">
        <f t="shared" si="7"/>
        <v>#N/A</v>
      </c>
      <c r="F193" s="28" t="str">
        <f t="shared" ca="1" si="8"/>
        <v/>
      </c>
    </row>
    <row r="194" spans="2:6" x14ac:dyDescent="0.2">
      <c r="B194" t="str">
        <f>IFERROR(IF('PDCA review'!$D$2='Check'!B194,'Check'!G194,""),"")</f>
        <v/>
      </c>
      <c r="C194">
        <f t="shared" si="6"/>
        <v>0</v>
      </c>
      <c r="D194">
        <f>SUM($C$3:C194)</f>
        <v>4</v>
      </c>
      <c r="E194" t="e">
        <f t="shared" si="7"/>
        <v>#N/A</v>
      </c>
      <c r="F194" s="28" t="str">
        <f t="shared" ca="1" si="8"/>
        <v/>
      </c>
    </row>
    <row r="195" spans="2:6" x14ac:dyDescent="0.2">
      <c r="B195" t="str">
        <f>IFERROR(IF('PDCA review'!$D$2='Check'!B195,'Check'!G195,""),"")</f>
        <v/>
      </c>
      <c r="C195">
        <f t="shared" si="6"/>
        <v>0</v>
      </c>
      <c r="D195">
        <f>SUM($C$3:C195)</f>
        <v>4</v>
      </c>
      <c r="E195" t="e">
        <f t="shared" si="7"/>
        <v>#N/A</v>
      </c>
      <c r="F195" s="28" t="str">
        <f t="shared" ca="1" si="8"/>
        <v/>
      </c>
    </row>
    <row r="196" spans="2:6" x14ac:dyDescent="0.2">
      <c r="B196" t="str">
        <f>IFERROR(IF('PDCA review'!$D$2='Check'!B196,'Check'!G196,""),"")</f>
        <v/>
      </c>
      <c r="C196">
        <f t="shared" ref="C196:C259" si="9">IF(B196&lt;&gt;"",1,0)</f>
        <v>0</v>
      </c>
      <c r="D196">
        <f>SUM($C$3:C196)</f>
        <v>4</v>
      </c>
      <c r="E196" t="e">
        <f t="shared" ref="E196:E259" si="10">MATCH(ROW()-$D$2,$D$3:$D$2000,0)+$D$2</f>
        <v>#N/A</v>
      </c>
      <c r="F196" s="28" t="str">
        <f t="shared" ref="F196:F259" ca="1" si="11">IFERROR(INDIRECT("B"&amp;E196),"")</f>
        <v/>
      </c>
    </row>
    <row r="197" spans="2:6" x14ac:dyDescent="0.2">
      <c r="B197" t="str">
        <f>IFERROR(IF('PDCA review'!$D$2='Check'!B197,'Check'!G197,""),"")</f>
        <v/>
      </c>
      <c r="C197">
        <f t="shared" si="9"/>
        <v>0</v>
      </c>
      <c r="D197">
        <f>SUM($C$3:C197)</f>
        <v>4</v>
      </c>
      <c r="E197" t="e">
        <f t="shared" si="10"/>
        <v>#N/A</v>
      </c>
      <c r="F197" s="28" t="str">
        <f t="shared" ca="1" si="11"/>
        <v/>
      </c>
    </row>
    <row r="198" spans="2:6" x14ac:dyDescent="0.2">
      <c r="B198" t="str">
        <f>IFERROR(IF('PDCA review'!$D$2='Check'!B198,'Check'!G198,""),"")</f>
        <v/>
      </c>
      <c r="C198">
        <f t="shared" si="9"/>
        <v>0</v>
      </c>
      <c r="D198">
        <f>SUM($C$3:C198)</f>
        <v>4</v>
      </c>
      <c r="E198" t="e">
        <f t="shared" si="10"/>
        <v>#N/A</v>
      </c>
      <c r="F198" s="28" t="str">
        <f t="shared" ca="1" si="11"/>
        <v/>
      </c>
    </row>
    <row r="199" spans="2:6" x14ac:dyDescent="0.2">
      <c r="B199" t="str">
        <f>IFERROR(IF('PDCA review'!$D$2='Check'!B199,'Check'!G199,""),"")</f>
        <v/>
      </c>
      <c r="C199">
        <f t="shared" si="9"/>
        <v>0</v>
      </c>
      <c r="D199">
        <f>SUM($C$3:C199)</f>
        <v>4</v>
      </c>
      <c r="E199" t="e">
        <f t="shared" si="10"/>
        <v>#N/A</v>
      </c>
      <c r="F199" s="28" t="str">
        <f t="shared" ca="1" si="11"/>
        <v/>
      </c>
    </row>
    <row r="200" spans="2:6" x14ac:dyDescent="0.2">
      <c r="B200" t="str">
        <f>IFERROR(IF('PDCA review'!$D$2='Check'!B200,'Check'!G200,""),"")</f>
        <v/>
      </c>
      <c r="C200">
        <f t="shared" si="9"/>
        <v>0</v>
      </c>
      <c r="D200">
        <f>SUM($C$3:C200)</f>
        <v>4</v>
      </c>
      <c r="E200" t="e">
        <f t="shared" si="10"/>
        <v>#N/A</v>
      </c>
      <c r="F200" s="28" t="str">
        <f t="shared" ca="1" si="11"/>
        <v/>
      </c>
    </row>
    <row r="201" spans="2:6" x14ac:dyDescent="0.2">
      <c r="B201" t="str">
        <f>IFERROR(IF('PDCA review'!$D$2='Check'!B201,'Check'!G201,""),"")</f>
        <v/>
      </c>
      <c r="C201">
        <f t="shared" si="9"/>
        <v>0</v>
      </c>
      <c r="D201">
        <f>SUM($C$3:C201)</f>
        <v>4</v>
      </c>
      <c r="E201" t="e">
        <f t="shared" si="10"/>
        <v>#N/A</v>
      </c>
      <c r="F201" s="28" t="str">
        <f t="shared" ca="1" si="11"/>
        <v/>
      </c>
    </row>
    <row r="202" spans="2:6" x14ac:dyDescent="0.2">
      <c r="B202" t="str">
        <f>IFERROR(IF('PDCA review'!$D$2='Check'!B202,'Check'!G202,""),"")</f>
        <v/>
      </c>
      <c r="C202">
        <f t="shared" si="9"/>
        <v>0</v>
      </c>
      <c r="D202">
        <f>SUM($C$3:C202)</f>
        <v>4</v>
      </c>
      <c r="E202" t="e">
        <f t="shared" si="10"/>
        <v>#N/A</v>
      </c>
      <c r="F202" s="28" t="str">
        <f t="shared" ca="1" si="11"/>
        <v/>
      </c>
    </row>
    <row r="203" spans="2:6" x14ac:dyDescent="0.2">
      <c r="B203" t="str">
        <f>IFERROR(IF('PDCA review'!$D$2='Check'!B203,'Check'!G203,""),"")</f>
        <v/>
      </c>
      <c r="C203">
        <f t="shared" si="9"/>
        <v>0</v>
      </c>
      <c r="D203">
        <f>SUM($C$3:C203)</f>
        <v>4</v>
      </c>
      <c r="E203" t="e">
        <f t="shared" si="10"/>
        <v>#N/A</v>
      </c>
      <c r="F203" s="28" t="str">
        <f t="shared" ca="1" si="11"/>
        <v/>
      </c>
    </row>
    <row r="204" spans="2:6" x14ac:dyDescent="0.2">
      <c r="B204" t="str">
        <f>IFERROR(IF('PDCA review'!$D$2='Check'!B204,'Check'!G204,""),"")</f>
        <v/>
      </c>
      <c r="C204">
        <f t="shared" si="9"/>
        <v>0</v>
      </c>
      <c r="D204">
        <f>SUM($C$3:C204)</f>
        <v>4</v>
      </c>
      <c r="E204" t="e">
        <f t="shared" si="10"/>
        <v>#N/A</v>
      </c>
      <c r="F204" s="28" t="str">
        <f t="shared" ca="1" si="11"/>
        <v/>
      </c>
    </row>
    <row r="205" spans="2:6" x14ac:dyDescent="0.2">
      <c r="B205" t="str">
        <f>IFERROR(IF('PDCA review'!$D$2='Check'!B205,'Check'!G205,""),"")</f>
        <v/>
      </c>
      <c r="C205">
        <f t="shared" si="9"/>
        <v>0</v>
      </c>
      <c r="D205">
        <f>SUM($C$3:C205)</f>
        <v>4</v>
      </c>
      <c r="E205" t="e">
        <f t="shared" si="10"/>
        <v>#N/A</v>
      </c>
      <c r="F205" s="28" t="str">
        <f t="shared" ca="1" si="11"/>
        <v/>
      </c>
    </row>
    <row r="206" spans="2:6" x14ac:dyDescent="0.2">
      <c r="B206" t="str">
        <f>IFERROR(IF('PDCA review'!$D$2='Check'!B206,'Check'!G206,""),"")</f>
        <v/>
      </c>
      <c r="C206">
        <f t="shared" si="9"/>
        <v>0</v>
      </c>
      <c r="D206">
        <f>SUM($C$3:C206)</f>
        <v>4</v>
      </c>
      <c r="E206" t="e">
        <f t="shared" si="10"/>
        <v>#N/A</v>
      </c>
      <c r="F206" s="28" t="str">
        <f t="shared" ca="1" si="11"/>
        <v/>
      </c>
    </row>
    <row r="207" spans="2:6" x14ac:dyDescent="0.2">
      <c r="B207" t="str">
        <f>IFERROR(IF('PDCA review'!$D$2='Check'!B207,'Check'!G207,""),"")</f>
        <v/>
      </c>
      <c r="C207">
        <f t="shared" si="9"/>
        <v>0</v>
      </c>
      <c r="D207">
        <f>SUM($C$3:C207)</f>
        <v>4</v>
      </c>
      <c r="E207" t="e">
        <f t="shared" si="10"/>
        <v>#N/A</v>
      </c>
      <c r="F207" s="28" t="str">
        <f t="shared" ca="1" si="11"/>
        <v/>
      </c>
    </row>
    <row r="208" spans="2:6" x14ac:dyDescent="0.2">
      <c r="B208" t="str">
        <f>IFERROR(IF('PDCA review'!$D$2='Check'!B208,'Check'!G208,""),"")</f>
        <v/>
      </c>
      <c r="C208">
        <f t="shared" si="9"/>
        <v>0</v>
      </c>
      <c r="D208">
        <f>SUM($C$3:C208)</f>
        <v>4</v>
      </c>
      <c r="E208" t="e">
        <f t="shared" si="10"/>
        <v>#N/A</v>
      </c>
      <c r="F208" s="28" t="str">
        <f t="shared" ca="1" si="11"/>
        <v/>
      </c>
    </row>
    <row r="209" spans="2:6" x14ac:dyDescent="0.2">
      <c r="B209" t="str">
        <f>IFERROR(IF('PDCA review'!$D$2='Check'!B209,'Check'!G209,""),"")</f>
        <v/>
      </c>
      <c r="C209">
        <f t="shared" si="9"/>
        <v>0</v>
      </c>
      <c r="D209">
        <f>SUM($C$3:C209)</f>
        <v>4</v>
      </c>
      <c r="E209" t="e">
        <f t="shared" si="10"/>
        <v>#N/A</v>
      </c>
      <c r="F209" s="28" t="str">
        <f t="shared" ca="1" si="11"/>
        <v/>
      </c>
    </row>
    <row r="210" spans="2:6" x14ac:dyDescent="0.2">
      <c r="B210" t="str">
        <f>IFERROR(IF('PDCA review'!$D$2='Check'!B210,'Check'!G210,""),"")</f>
        <v/>
      </c>
      <c r="C210">
        <f t="shared" si="9"/>
        <v>0</v>
      </c>
      <c r="D210">
        <f>SUM($C$3:C210)</f>
        <v>4</v>
      </c>
      <c r="E210" t="e">
        <f t="shared" si="10"/>
        <v>#N/A</v>
      </c>
      <c r="F210" s="28" t="str">
        <f t="shared" ca="1" si="11"/>
        <v/>
      </c>
    </row>
    <row r="211" spans="2:6" x14ac:dyDescent="0.2">
      <c r="B211" t="str">
        <f>IFERROR(IF('PDCA review'!$D$2='Check'!B211,'Check'!G211,""),"")</f>
        <v/>
      </c>
      <c r="C211">
        <f t="shared" si="9"/>
        <v>0</v>
      </c>
      <c r="D211">
        <f>SUM($C$3:C211)</f>
        <v>4</v>
      </c>
      <c r="E211" t="e">
        <f t="shared" si="10"/>
        <v>#N/A</v>
      </c>
      <c r="F211" s="28" t="str">
        <f t="shared" ca="1" si="11"/>
        <v/>
      </c>
    </row>
    <row r="212" spans="2:6" x14ac:dyDescent="0.2">
      <c r="B212" t="str">
        <f>IFERROR(IF('PDCA review'!$D$2='Check'!B212,'Check'!G212,""),"")</f>
        <v/>
      </c>
      <c r="C212">
        <f t="shared" si="9"/>
        <v>0</v>
      </c>
      <c r="D212">
        <f>SUM($C$3:C212)</f>
        <v>4</v>
      </c>
      <c r="E212" t="e">
        <f t="shared" si="10"/>
        <v>#N/A</v>
      </c>
      <c r="F212" s="28" t="str">
        <f t="shared" ca="1" si="11"/>
        <v/>
      </c>
    </row>
    <row r="213" spans="2:6" x14ac:dyDescent="0.2">
      <c r="B213" t="str">
        <f>IFERROR(IF('PDCA review'!$D$2='Check'!B213,'Check'!G213,""),"")</f>
        <v/>
      </c>
      <c r="C213">
        <f t="shared" si="9"/>
        <v>0</v>
      </c>
      <c r="D213">
        <f>SUM($C$3:C213)</f>
        <v>4</v>
      </c>
      <c r="E213" t="e">
        <f t="shared" si="10"/>
        <v>#N/A</v>
      </c>
      <c r="F213" s="28" t="str">
        <f t="shared" ca="1" si="11"/>
        <v/>
      </c>
    </row>
    <row r="214" spans="2:6" x14ac:dyDescent="0.2">
      <c r="B214" t="str">
        <f>IFERROR(IF('PDCA review'!$D$2='Check'!B214,'Check'!G214,""),"")</f>
        <v/>
      </c>
      <c r="C214">
        <f t="shared" si="9"/>
        <v>0</v>
      </c>
      <c r="D214">
        <f>SUM($C$3:C214)</f>
        <v>4</v>
      </c>
      <c r="E214" t="e">
        <f t="shared" si="10"/>
        <v>#N/A</v>
      </c>
      <c r="F214" s="28" t="str">
        <f t="shared" ca="1" si="11"/>
        <v/>
      </c>
    </row>
    <row r="215" spans="2:6" x14ac:dyDescent="0.2">
      <c r="B215" t="str">
        <f>IFERROR(IF('PDCA review'!$D$2='Check'!B215,'Check'!G215,""),"")</f>
        <v/>
      </c>
      <c r="C215">
        <f t="shared" si="9"/>
        <v>0</v>
      </c>
      <c r="D215">
        <f>SUM($C$3:C215)</f>
        <v>4</v>
      </c>
      <c r="E215" t="e">
        <f t="shared" si="10"/>
        <v>#N/A</v>
      </c>
      <c r="F215" s="28" t="str">
        <f t="shared" ca="1" si="11"/>
        <v/>
      </c>
    </row>
    <row r="216" spans="2:6" x14ac:dyDescent="0.2">
      <c r="B216" t="str">
        <f>IFERROR(IF('PDCA review'!$D$2='Check'!B216,'Check'!G216,""),"")</f>
        <v/>
      </c>
      <c r="C216">
        <f t="shared" si="9"/>
        <v>0</v>
      </c>
      <c r="D216">
        <f>SUM($C$3:C216)</f>
        <v>4</v>
      </c>
      <c r="E216" t="e">
        <f t="shared" si="10"/>
        <v>#N/A</v>
      </c>
      <c r="F216" s="28" t="str">
        <f t="shared" ca="1" si="11"/>
        <v/>
      </c>
    </row>
    <row r="217" spans="2:6" x14ac:dyDescent="0.2">
      <c r="B217" t="str">
        <f>IFERROR(IF('PDCA review'!$D$2='Check'!B217,'Check'!G217,""),"")</f>
        <v/>
      </c>
      <c r="C217">
        <f t="shared" si="9"/>
        <v>0</v>
      </c>
      <c r="D217">
        <f>SUM($C$3:C217)</f>
        <v>4</v>
      </c>
      <c r="E217" t="e">
        <f t="shared" si="10"/>
        <v>#N/A</v>
      </c>
      <c r="F217" s="28" t="str">
        <f t="shared" ca="1" si="11"/>
        <v/>
      </c>
    </row>
    <row r="218" spans="2:6" x14ac:dyDescent="0.2">
      <c r="B218" t="str">
        <f>IFERROR(IF('PDCA review'!$D$2='Check'!B218,'Check'!G218,""),"")</f>
        <v/>
      </c>
      <c r="C218">
        <f t="shared" si="9"/>
        <v>0</v>
      </c>
      <c r="D218">
        <f>SUM($C$3:C218)</f>
        <v>4</v>
      </c>
      <c r="E218" t="e">
        <f t="shared" si="10"/>
        <v>#N/A</v>
      </c>
      <c r="F218" s="28" t="str">
        <f t="shared" ca="1" si="11"/>
        <v/>
      </c>
    </row>
    <row r="219" spans="2:6" x14ac:dyDescent="0.2">
      <c r="B219" t="str">
        <f>IFERROR(IF('PDCA review'!$D$2='Check'!B219,'Check'!G219,""),"")</f>
        <v/>
      </c>
      <c r="C219">
        <f t="shared" si="9"/>
        <v>0</v>
      </c>
      <c r="D219">
        <f>SUM($C$3:C219)</f>
        <v>4</v>
      </c>
      <c r="E219" t="e">
        <f t="shared" si="10"/>
        <v>#N/A</v>
      </c>
      <c r="F219" s="28" t="str">
        <f t="shared" ca="1" si="11"/>
        <v/>
      </c>
    </row>
    <row r="220" spans="2:6" x14ac:dyDescent="0.2">
      <c r="B220" t="str">
        <f>IFERROR(IF('PDCA review'!$D$2='Check'!B220,'Check'!G220,""),"")</f>
        <v/>
      </c>
      <c r="C220">
        <f t="shared" si="9"/>
        <v>0</v>
      </c>
      <c r="D220">
        <f>SUM($C$3:C220)</f>
        <v>4</v>
      </c>
      <c r="E220" t="e">
        <f t="shared" si="10"/>
        <v>#N/A</v>
      </c>
      <c r="F220" s="28" t="str">
        <f t="shared" ca="1" si="11"/>
        <v/>
      </c>
    </row>
    <row r="221" spans="2:6" x14ac:dyDescent="0.2">
      <c r="B221" t="str">
        <f>IFERROR(IF('PDCA review'!$D$2='Check'!B221,'Check'!G221,""),"")</f>
        <v/>
      </c>
      <c r="C221">
        <f t="shared" si="9"/>
        <v>0</v>
      </c>
      <c r="D221">
        <f>SUM($C$3:C221)</f>
        <v>4</v>
      </c>
      <c r="E221" t="e">
        <f t="shared" si="10"/>
        <v>#N/A</v>
      </c>
      <c r="F221" s="28" t="str">
        <f t="shared" ca="1" si="11"/>
        <v/>
      </c>
    </row>
    <row r="222" spans="2:6" x14ac:dyDescent="0.2">
      <c r="B222" t="str">
        <f>IFERROR(IF('PDCA review'!$D$2='Check'!B222,'Check'!G222,""),"")</f>
        <v/>
      </c>
      <c r="C222">
        <f t="shared" si="9"/>
        <v>0</v>
      </c>
      <c r="D222">
        <f>SUM($C$3:C222)</f>
        <v>4</v>
      </c>
      <c r="E222" t="e">
        <f t="shared" si="10"/>
        <v>#N/A</v>
      </c>
      <c r="F222" s="28" t="str">
        <f t="shared" ca="1" si="11"/>
        <v/>
      </c>
    </row>
    <row r="223" spans="2:6" x14ac:dyDescent="0.2">
      <c r="B223" t="str">
        <f>IFERROR(IF('PDCA review'!$D$2='Check'!B223,'Check'!G223,""),"")</f>
        <v/>
      </c>
      <c r="C223">
        <f t="shared" si="9"/>
        <v>0</v>
      </c>
      <c r="D223">
        <f>SUM($C$3:C223)</f>
        <v>4</v>
      </c>
      <c r="E223" t="e">
        <f t="shared" si="10"/>
        <v>#N/A</v>
      </c>
      <c r="F223" s="28" t="str">
        <f t="shared" ca="1" si="11"/>
        <v/>
      </c>
    </row>
    <row r="224" spans="2:6" x14ac:dyDescent="0.2">
      <c r="B224" t="str">
        <f>IFERROR(IF('PDCA review'!$D$2='Check'!B224,'Check'!G224,""),"")</f>
        <v/>
      </c>
      <c r="C224">
        <f t="shared" si="9"/>
        <v>0</v>
      </c>
      <c r="D224">
        <f>SUM($C$3:C224)</f>
        <v>4</v>
      </c>
      <c r="E224" t="e">
        <f t="shared" si="10"/>
        <v>#N/A</v>
      </c>
      <c r="F224" s="28" t="str">
        <f t="shared" ca="1" si="11"/>
        <v/>
      </c>
    </row>
    <row r="225" spans="2:6" x14ac:dyDescent="0.2">
      <c r="B225" t="str">
        <f>IFERROR(IF('PDCA review'!$D$2='Check'!B225,'Check'!G225,""),"")</f>
        <v/>
      </c>
      <c r="C225">
        <f t="shared" si="9"/>
        <v>0</v>
      </c>
      <c r="D225">
        <f>SUM($C$3:C225)</f>
        <v>4</v>
      </c>
      <c r="E225" t="e">
        <f t="shared" si="10"/>
        <v>#N/A</v>
      </c>
      <c r="F225" s="28" t="str">
        <f t="shared" ca="1" si="11"/>
        <v/>
      </c>
    </row>
    <row r="226" spans="2:6" x14ac:dyDescent="0.2">
      <c r="B226" t="str">
        <f>IFERROR(IF('PDCA review'!$D$2='Check'!B226,'Check'!G226,""),"")</f>
        <v/>
      </c>
      <c r="C226">
        <f t="shared" si="9"/>
        <v>0</v>
      </c>
      <c r="D226">
        <f>SUM($C$3:C226)</f>
        <v>4</v>
      </c>
      <c r="E226" t="e">
        <f t="shared" si="10"/>
        <v>#N/A</v>
      </c>
      <c r="F226" s="28" t="str">
        <f t="shared" ca="1" si="11"/>
        <v/>
      </c>
    </row>
    <row r="227" spans="2:6" x14ac:dyDescent="0.2">
      <c r="B227" t="str">
        <f>IFERROR(IF('PDCA review'!$D$2='Check'!B227,'Check'!G227,""),"")</f>
        <v/>
      </c>
      <c r="C227">
        <f t="shared" si="9"/>
        <v>0</v>
      </c>
      <c r="D227">
        <f>SUM($C$3:C227)</f>
        <v>4</v>
      </c>
      <c r="E227" t="e">
        <f t="shared" si="10"/>
        <v>#N/A</v>
      </c>
      <c r="F227" s="28" t="str">
        <f t="shared" ca="1" si="11"/>
        <v/>
      </c>
    </row>
    <row r="228" spans="2:6" x14ac:dyDescent="0.2">
      <c r="B228" t="str">
        <f>IFERROR(IF('PDCA review'!$D$2='Check'!B228,'Check'!G228,""),"")</f>
        <v/>
      </c>
      <c r="C228">
        <f t="shared" si="9"/>
        <v>0</v>
      </c>
      <c r="D228">
        <f>SUM($C$3:C228)</f>
        <v>4</v>
      </c>
      <c r="E228" t="e">
        <f t="shared" si="10"/>
        <v>#N/A</v>
      </c>
      <c r="F228" s="28" t="str">
        <f t="shared" ca="1" si="11"/>
        <v/>
      </c>
    </row>
    <row r="229" spans="2:6" x14ac:dyDescent="0.2">
      <c r="B229" t="str">
        <f>IFERROR(IF('PDCA review'!$D$2='Check'!B229,'Check'!G229,""),"")</f>
        <v/>
      </c>
      <c r="C229">
        <f t="shared" si="9"/>
        <v>0</v>
      </c>
      <c r="D229">
        <f>SUM($C$3:C229)</f>
        <v>4</v>
      </c>
      <c r="E229" t="e">
        <f t="shared" si="10"/>
        <v>#N/A</v>
      </c>
      <c r="F229" s="28" t="str">
        <f t="shared" ca="1" si="11"/>
        <v/>
      </c>
    </row>
    <row r="230" spans="2:6" x14ac:dyDescent="0.2">
      <c r="B230" t="str">
        <f>IFERROR(IF('PDCA review'!$D$2='Check'!B230,'Check'!G230,""),"")</f>
        <v/>
      </c>
      <c r="C230">
        <f t="shared" si="9"/>
        <v>0</v>
      </c>
      <c r="D230">
        <f>SUM($C$3:C230)</f>
        <v>4</v>
      </c>
      <c r="E230" t="e">
        <f t="shared" si="10"/>
        <v>#N/A</v>
      </c>
      <c r="F230" s="28" t="str">
        <f t="shared" ca="1" si="11"/>
        <v/>
      </c>
    </row>
    <row r="231" spans="2:6" x14ac:dyDescent="0.2">
      <c r="B231" t="str">
        <f>IFERROR(IF('PDCA review'!$D$2='Check'!B231,'Check'!G231,""),"")</f>
        <v/>
      </c>
      <c r="C231">
        <f t="shared" si="9"/>
        <v>0</v>
      </c>
      <c r="D231">
        <f>SUM($C$3:C231)</f>
        <v>4</v>
      </c>
      <c r="E231" t="e">
        <f t="shared" si="10"/>
        <v>#N/A</v>
      </c>
      <c r="F231" s="28" t="str">
        <f t="shared" ca="1" si="11"/>
        <v/>
      </c>
    </row>
    <row r="232" spans="2:6" x14ac:dyDescent="0.2">
      <c r="B232" t="str">
        <f>IFERROR(IF('PDCA review'!$D$2='Check'!B232,'Check'!G232,""),"")</f>
        <v/>
      </c>
      <c r="C232">
        <f t="shared" si="9"/>
        <v>0</v>
      </c>
      <c r="D232">
        <f>SUM($C$3:C232)</f>
        <v>4</v>
      </c>
      <c r="E232" t="e">
        <f t="shared" si="10"/>
        <v>#N/A</v>
      </c>
      <c r="F232" s="28" t="str">
        <f t="shared" ca="1" si="11"/>
        <v/>
      </c>
    </row>
    <row r="233" spans="2:6" x14ac:dyDescent="0.2">
      <c r="B233" t="str">
        <f>IFERROR(IF('PDCA review'!$D$2='Check'!B233,'Check'!G233,""),"")</f>
        <v/>
      </c>
      <c r="C233">
        <f t="shared" si="9"/>
        <v>0</v>
      </c>
      <c r="D233">
        <f>SUM($C$3:C233)</f>
        <v>4</v>
      </c>
      <c r="E233" t="e">
        <f t="shared" si="10"/>
        <v>#N/A</v>
      </c>
      <c r="F233" s="28" t="str">
        <f t="shared" ca="1" si="11"/>
        <v/>
      </c>
    </row>
    <row r="234" spans="2:6" x14ac:dyDescent="0.2">
      <c r="B234" t="str">
        <f>IFERROR(IF('PDCA review'!$D$2='Check'!B234,'Check'!G234,""),"")</f>
        <v/>
      </c>
      <c r="C234">
        <f t="shared" si="9"/>
        <v>0</v>
      </c>
      <c r="D234">
        <f>SUM($C$3:C234)</f>
        <v>4</v>
      </c>
      <c r="E234" t="e">
        <f t="shared" si="10"/>
        <v>#N/A</v>
      </c>
      <c r="F234" s="28" t="str">
        <f t="shared" ca="1" si="11"/>
        <v/>
      </c>
    </row>
    <row r="235" spans="2:6" x14ac:dyDescent="0.2">
      <c r="B235" t="str">
        <f>IFERROR(IF('PDCA review'!$D$2='Check'!B235,'Check'!G235,""),"")</f>
        <v/>
      </c>
      <c r="C235">
        <f t="shared" si="9"/>
        <v>0</v>
      </c>
      <c r="D235">
        <f>SUM($C$3:C235)</f>
        <v>4</v>
      </c>
      <c r="E235" t="e">
        <f t="shared" si="10"/>
        <v>#N/A</v>
      </c>
      <c r="F235" s="28" t="str">
        <f t="shared" ca="1" si="11"/>
        <v/>
      </c>
    </row>
    <row r="236" spans="2:6" x14ac:dyDescent="0.2">
      <c r="B236" t="str">
        <f>IFERROR(IF('PDCA review'!$D$2='Check'!B236,'Check'!G236,""),"")</f>
        <v/>
      </c>
      <c r="C236">
        <f t="shared" si="9"/>
        <v>0</v>
      </c>
      <c r="D236">
        <f>SUM($C$3:C236)</f>
        <v>4</v>
      </c>
      <c r="E236" t="e">
        <f t="shared" si="10"/>
        <v>#N/A</v>
      </c>
      <c r="F236" s="28" t="str">
        <f t="shared" ca="1" si="11"/>
        <v/>
      </c>
    </row>
    <row r="237" spans="2:6" x14ac:dyDescent="0.2">
      <c r="B237" t="str">
        <f>IFERROR(IF('PDCA review'!$D$2='Check'!B237,'Check'!G237,""),"")</f>
        <v/>
      </c>
      <c r="C237">
        <f t="shared" si="9"/>
        <v>0</v>
      </c>
      <c r="D237">
        <f>SUM($C$3:C237)</f>
        <v>4</v>
      </c>
      <c r="E237" t="e">
        <f t="shared" si="10"/>
        <v>#N/A</v>
      </c>
      <c r="F237" s="28" t="str">
        <f t="shared" ca="1" si="11"/>
        <v/>
      </c>
    </row>
    <row r="238" spans="2:6" x14ac:dyDescent="0.2">
      <c r="B238" t="str">
        <f>IFERROR(IF('PDCA review'!$D$2='Check'!B238,'Check'!G238,""),"")</f>
        <v/>
      </c>
      <c r="C238">
        <f t="shared" si="9"/>
        <v>0</v>
      </c>
      <c r="D238">
        <f>SUM($C$3:C238)</f>
        <v>4</v>
      </c>
      <c r="E238" t="e">
        <f t="shared" si="10"/>
        <v>#N/A</v>
      </c>
      <c r="F238" s="28" t="str">
        <f t="shared" ca="1" si="11"/>
        <v/>
      </c>
    </row>
    <row r="239" spans="2:6" x14ac:dyDescent="0.2">
      <c r="B239" t="str">
        <f>IFERROR(IF('PDCA review'!$D$2='Check'!B239,'Check'!G239,""),"")</f>
        <v/>
      </c>
      <c r="C239">
        <f t="shared" si="9"/>
        <v>0</v>
      </c>
      <c r="D239">
        <f>SUM($C$3:C239)</f>
        <v>4</v>
      </c>
      <c r="E239" t="e">
        <f t="shared" si="10"/>
        <v>#N/A</v>
      </c>
      <c r="F239" s="28" t="str">
        <f t="shared" ca="1" si="11"/>
        <v/>
      </c>
    </row>
    <row r="240" spans="2:6" x14ac:dyDescent="0.2">
      <c r="B240" t="str">
        <f>IFERROR(IF('PDCA review'!$D$2='Check'!B240,'Check'!G240,""),"")</f>
        <v/>
      </c>
      <c r="C240">
        <f t="shared" si="9"/>
        <v>0</v>
      </c>
      <c r="D240">
        <f>SUM($C$3:C240)</f>
        <v>4</v>
      </c>
      <c r="E240" t="e">
        <f t="shared" si="10"/>
        <v>#N/A</v>
      </c>
      <c r="F240" s="28" t="str">
        <f t="shared" ca="1" si="11"/>
        <v/>
      </c>
    </row>
    <row r="241" spans="2:6" x14ac:dyDescent="0.2">
      <c r="B241" t="str">
        <f>IFERROR(IF('PDCA review'!$D$2='Check'!B241,'Check'!G241,""),"")</f>
        <v/>
      </c>
      <c r="C241">
        <f t="shared" si="9"/>
        <v>0</v>
      </c>
      <c r="D241">
        <f>SUM($C$3:C241)</f>
        <v>4</v>
      </c>
      <c r="E241" t="e">
        <f t="shared" si="10"/>
        <v>#N/A</v>
      </c>
      <c r="F241" s="28" t="str">
        <f t="shared" ca="1" si="11"/>
        <v/>
      </c>
    </row>
    <row r="242" spans="2:6" x14ac:dyDescent="0.2">
      <c r="B242" t="str">
        <f>IFERROR(IF('PDCA review'!$D$2='Check'!B242,'Check'!G242,""),"")</f>
        <v/>
      </c>
      <c r="C242">
        <f t="shared" si="9"/>
        <v>0</v>
      </c>
      <c r="D242">
        <f>SUM($C$3:C242)</f>
        <v>4</v>
      </c>
      <c r="E242" t="e">
        <f t="shared" si="10"/>
        <v>#N/A</v>
      </c>
      <c r="F242" s="28" t="str">
        <f t="shared" ca="1" si="11"/>
        <v/>
      </c>
    </row>
    <row r="243" spans="2:6" x14ac:dyDescent="0.2">
      <c r="B243" t="str">
        <f>IFERROR(IF('PDCA review'!$D$2='Check'!B243,'Check'!G243,""),"")</f>
        <v/>
      </c>
      <c r="C243">
        <f t="shared" si="9"/>
        <v>0</v>
      </c>
      <c r="D243">
        <f>SUM($C$3:C243)</f>
        <v>4</v>
      </c>
      <c r="E243" t="e">
        <f t="shared" si="10"/>
        <v>#N/A</v>
      </c>
      <c r="F243" s="28" t="str">
        <f t="shared" ca="1" si="11"/>
        <v/>
      </c>
    </row>
    <row r="244" spans="2:6" x14ac:dyDescent="0.2">
      <c r="B244" t="str">
        <f>IFERROR(IF('PDCA review'!$D$2='Check'!B244,'Check'!G244,""),"")</f>
        <v/>
      </c>
      <c r="C244">
        <f t="shared" si="9"/>
        <v>0</v>
      </c>
      <c r="D244">
        <f>SUM($C$3:C244)</f>
        <v>4</v>
      </c>
      <c r="E244" t="e">
        <f t="shared" si="10"/>
        <v>#N/A</v>
      </c>
      <c r="F244" s="28" t="str">
        <f t="shared" ca="1" si="11"/>
        <v/>
      </c>
    </row>
    <row r="245" spans="2:6" x14ac:dyDescent="0.2">
      <c r="B245" t="str">
        <f>IFERROR(IF('PDCA review'!$D$2='Check'!B245,'Check'!G245,""),"")</f>
        <v/>
      </c>
      <c r="C245">
        <f t="shared" si="9"/>
        <v>0</v>
      </c>
      <c r="D245">
        <f>SUM($C$3:C245)</f>
        <v>4</v>
      </c>
      <c r="E245" t="e">
        <f t="shared" si="10"/>
        <v>#N/A</v>
      </c>
      <c r="F245" s="28" t="str">
        <f t="shared" ca="1" si="11"/>
        <v/>
      </c>
    </row>
    <row r="246" spans="2:6" x14ac:dyDescent="0.2">
      <c r="B246" t="str">
        <f>IFERROR(IF('PDCA review'!$D$2='Check'!B246,'Check'!G246,""),"")</f>
        <v/>
      </c>
      <c r="C246">
        <f t="shared" si="9"/>
        <v>0</v>
      </c>
      <c r="D246">
        <f>SUM($C$3:C246)</f>
        <v>4</v>
      </c>
      <c r="E246" t="e">
        <f t="shared" si="10"/>
        <v>#N/A</v>
      </c>
      <c r="F246" s="28" t="str">
        <f t="shared" ca="1" si="11"/>
        <v/>
      </c>
    </row>
    <row r="247" spans="2:6" x14ac:dyDescent="0.2">
      <c r="B247" t="str">
        <f>IFERROR(IF('PDCA review'!$D$2='Check'!B247,'Check'!G247,""),"")</f>
        <v/>
      </c>
      <c r="C247">
        <f t="shared" si="9"/>
        <v>0</v>
      </c>
      <c r="D247">
        <f>SUM($C$3:C247)</f>
        <v>4</v>
      </c>
      <c r="E247" t="e">
        <f t="shared" si="10"/>
        <v>#N/A</v>
      </c>
      <c r="F247" s="28" t="str">
        <f t="shared" ca="1" si="11"/>
        <v/>
      </c>
    </row>
    <row r="248" spans="2:6" x14ac:dyDescent="0.2">
      <c r="B248" t="str">
        <f>IFERROR(IF('PDCA review'!$D$2='Check'!B248,'Check'!G248,""),"")</f>
        <v/>
      </c>
      <c r="C248">
        <f t="shared" si="9"/>
        <v>0</v>
      </c>
      <c r="D248">
        <f>SUM($C$3:C248)</f>
        <v>4</v>
      </c>
      <c r="E248" t="e">
        <f t="shared" si="10"/>
        <v>#N/A</v>
      </c>
      <c r="F248" s="28" t="str">
        <f t="shared" ca="1" si="11"/>
        <v/>
      </c>
    </row>
    <row r="249" spans="2:6" x14ac:dyDescent="0.2">
      <c r="B249" t="str">
        <f>IFERROR(IF('PDCA review'!$D$2='Check'!B249,'Check'!G249,""),"")</f>
        <v/>
      </c>
      <c r="C249">
        <f t="shared" si="9"/>
        <v>0</v>
      </c>
      <c r="D249">
        <f>SUM($C$3:C249)</f>
        <v>4</v>
      </c>
      <c r="E249" t="e">
        <f t="shared" si="10"/>
        <v>#N/A</v>
      </c>
      <c r="F249" s="28" t="str">
        <f t="shared" ca="1" si="11"/>
        <v/>
      </c>
    </row>
    <row r="250" spans="2:6" x14ac:dyDescent="0.2">
      <c r="B250" t="str">
        <f>IFERROR(IF('PDCA review'!$D$2='Check'!B250,'Check'!G250,""),"")</f>
        <v/>
      </c>
      <c r="C250">
        <f t="shared" si="9"/>
        <v>0</v>
      </c>
      <c r="D250">
        <f>SUM($C$3:C250)</f>
        <v>4</v>
      </c>
      <c r="E250" t="e">
        <f t="shared" si="10"/>
        <v>#N/A</v>
      </c>
      <c r="F250" s="28" t="str">
        <f t="shared" ca="1" si="11"/>
        <v/>
      </c>
    </row>
    <row r="251" spans="2:6" x14ac:dyDescent="0.2">
      <c r="B251" t="str">
        <f>IFERROR(IF('PDCA review'!$D$2='Check'!B251,'Check'!G251,""),"")</f>
        <v/>
      </c>
      <c r="C251">
        <f t="shared" si="9"/>
        <v>0</v>
      </c>
      <c r="D251">
        <f>SUM($C$3:C251)</f>
        <v>4</v>
      </c>
      <c r="E251" t="e">
        <f t="shared" si="10"/>
        <v>#N/A</v>
      </c>
      <c r="F251" s="28" t="str">
        <f t="shared" ca="1" si="11"/>
        <v/>
      </c>
    </row>
    <row r="252" spans="2:6" x14ac:dyDescent="0.2">
      <c r="B252" t="str">
        <f>IFERROR(IF('PDCA review'!$D$2='Check'!B252,'Check'!G252,""),"")</f>
        <v/>
      </c>
      <c r="C252">
        <f t="shared" si="9"/>
        <v>0</v>
      </c>
      <c r="D252">
        <f>SUM($C$3:C252)</f>
        <v>4</v>
      </c>
      <c r="E252" t="e">
        <f t="shared" si="10"/>
        <v>#N/A</v>
      </c>
      <c r="F252" s="28" t="str">
        <f t="shared" ca="1" si="11"/>
        <v/>
      </c>
    </row>
    <row r="253" spans="2:6" x14ac:dyDescent="0.2">
      <c r="B253" t="str">
        <f>IFERROR(IF('PDCA review'!$D$2='Check'!B253,'Check'!G253,""),"")</f>
        <v/>
      </c>
      <c r="C253">
        <f t="shared" si="9"/>
        <v>0</v>
      </c>
      <c r="D253">
        <f>SUM($C$3:C253)</f>
        <v>4</v>
      </c>
      <c r="E253" t="e">
        <f t="shared" si="10"/>
        <v>#N/A</v>
      </c>
      <c r="F253" s="28" t="str">
        <f t="shared" ca="1" si="11"/>
        <v/>
      </c>
    </row>
    <row r="254" spans="2:6" x14ac:dyDescent="0.2">
      <c r="B254" t="str">
        <f>IFERROR(IF('PDCA review'!$D$2='Check'!B254,'Check'!G254,""),"")</f>
        <v/>
      </c>
      <c r="C254">
        <f t="shared" si="9"/>
        <v>0</v>
      </c>
      <c r="D254">
        <f>SUM($C$3:C254)</f>
        <v>4</v>
      </c>
      <c r="E254" t="e">
        <f t="shared" si="10"/>
        <v>#N/A</v>
      </c>
      <c r="F254" s="28" t="str">
        <f t="shared" ca="1" si="11"/>
        <v/>
      </c>
    </row>
    <row r="255" spans="2:6" x14ac:dyDescent="0.2">
      <c r="B255" t="str">
        <f>IFERROR(IF('PDCA review'!$D$2='Check'!B255,'Check'!G255,""),"")</f>
        <v/>
      </c>
      <c r="C255">
        <f t="shared" si="9"/>
        <v>0</v>
      </c>
      <c r="D255">
        <f>SUM($C$3:C255)</f>
        <v>4</v>
      </c>
      <c r="E255" t="e">
        <f t="shared" si="10"/>
        <v>#N/A</v>
      </c>
      <c r="F255" s="28" t="str">
        <f t="shared" ca="1" si="11"/>
        <v/>
      </c>
    </row>
    <row r="256" spans="2:6" x14ac:dyDescent="0.2">
      <c r="B256" t="str">
        <f>IFERROR(IF('PDCA review'!$D$2='Check'!B256,'Check'!G256,""),"")</f>
        <v/>
      </c>
      <c r="C256">
        <f t="shared" si="9"/>
        <v>0</v>
      </c>
      <c r="D256">
        <f>SUM($C$3:C256)</f>
        <v>4</v>
      </c>
      <c r="E256" t="e">
        <f t="shared" si="10"/>
        <v>#N/A</v>
      </c>
      <c r="F256" s="28" t="str">
        <f t="shared" ca="1" si="11"/>
        <v/>
      </c>
    </row>
    <row r="257" spans="2:6" x14ac:dyDescent="0.2">
      <c r="B257" t="str">
        <f>IFERROR(IF('PDCA review'!$D$2='Check'!B257,'Check'!G257,""),"")</f>
        <v/>
      </c>
      <c r="C257">
        <f t="shared" si="9"/>
        <v>0</v>
      </c>
      <c r="D257">
        <f>SUM($C$3:C257)</f>
        <v>4</v>
      </c>
      <c r="E257" t="e">
        <f t="shared" si="10"/>
        <v>#N/A</v>
      </c>
      <c r="F257" s="28" t="str">
        <f t="shared" ca="1" si="11"/>
        <v/>
      </c>
    </row>
    <row r="258" spans="2:6" x14ac:dyDescent="0.2">
      <c r="B258" t="str">
        <f>IFERROR(IF('PDCA review'!$D$2='Check'!B258,'Check'!G258,""),"")</f>
        <v/>
      </c>
      <c r="C258">
        <f t="shared" si="9"/>
        <v>0</v>
      </c>
      <c r="D258">
        <f>SUM($C$3:C258)</f>
        <v>4</v>
      </c>
      <c r="E258" t="e">
        <f t="shared" si="10"/>
        <v>#N/A</v>
      </c>
      <c r="F258" s="28" t="str">
        <f t="shared" ca="1" si="11"/>
        <v/>
      </c>
    </row>
    <row r="259" spans="2:6" x14ac:dyDescent="0.2">
      <c r="B259" t="str">
        <f>IFERROR(IF('PDCA review'!$D$2='Check'!B259,'Check'!G259,""),"")</f>
        <v/>
      </c>
      <c r="C259">
        <f t="shared" si="9"/>
        <v>0</v>
      </c>
      <c r="D259">
        <f>SUM($C$3:C259)</f>
        <v>4</v>
      </c>
      <c r="E259" t="e">
        <f t="shared" si="10"/>
        <v>#N/A</v>
      </c>
      <c r="F259" s="28" t="str">
        <f t="shared" ca="1" si="11"/>
        <v/>
      </c>
    </row>
    <row r="260" spans="2:6" x14ac:dyDescent="0.2">
      <c r="B260" t="str">
        <f>IFERROR(IF('PDCA review'!$D$2='Check'!B260,'Check'!G260,""),"")</f>
        <v/>
      </c>
      <c r="C260">
        <f t="shared" ref="C260:C323" si="12">IF(B260&lt;&gt;"",1,0)</f>
        <v>0</v>
      </c>
      <c r="D260">
        <f>SUM($C$3:C260)</f>
        <v>4</v>
      </c>
      <c r="E260" t="e">
        <f t="shared" ref="E260:E323" si="13">MATCH(ROW()-$D$2,$D$3:$D$2000,0)+$D$2</f>
        <v>#N/A</v>
      </c>
      <c r="F260" s="28" t="str">
        <f t="shared" ref="F260:F323" ca="1" si="14">IFERROR(INDIRECT("B"&amp;E260),"")</f>
        <v/>
      </c>
    </row>
    <row r="261" spans="2:6" x14ac:dyDescent="0.2">
      <c r="B261" t="str">
        <f>IFERROR(IF('PDCA review'!$D$2='Check'!B261,'Check'!G261,""),"")</f>
        <v/>
      </c>
      <c r="C261">
        <f t="shared" si="12"/>
        <v>0</v>
      </c>
      <c r="D261">
        <f>SUM($C$3:C261)</f>
        <v>4</v>
      </c>
      <c r="E261" t="e">
        <f t="shared" si="13"/>
        <v>#N/A</v>
      </c>
      <c r="F261" s="28" t="str">
        <f t="shared" ca="1" si="14"/>
        <v/>
      </c>
    </row>
    <row r="262" spans="2:6" x14ac:dyDescent="0.2">
      <c r="B262" t="str">
        <f>IFERROR(IF('PDCA review'!$D$2='Check'!B262,'Check'!G262,""),"")</f>
        <v/>
      </c>
      <c r="C262">
        <f t="shared" si="12"/>
        <v>0</v>
      </c>
      <c r="D262">
        <f>SUM($C$3:C262)</f>
        <v>4</v>
      </c>
      <c r="E262" t="e">
        <f t="shared" si="13"/>
        <v>#N/A</v>
      </c>
      <c r="F262" s="28" t="str">
        <f t="shared" ca="1" si="14"/>
        <v/>
      </c>
    </row>
    <row r="263" spans="2:6" x14ac:dyDescent="0.2">
      <c r="B263" t="str">
        <f>IFERROR(IF('PDCA review'!$D$2='Check'!B263,'Check'!G263,""),"")</f>
        <v/>
      </c>
      <c r="C263">
        <f t="shared" si="12"/>
        <v>0</v>
      </c>
      <c r="D263">
        <f>SUM($C$3:C263)</f>
        <v>4</v>
      </c>
      <c r="E263" t="e">
        <f t="shared" si="13"/>
        <v>#N/A</v>
      </c>
      <c r="F263" s="28" t="str">
        <f t="shared" ca="1" si="14"/>
        <v/>
      </c>
    </row>
    <row r="264" spans="2:6" x14ac:dyDescent="0.2">
      <c r="B264" t="str">
        <f>IFERROR(IF('PDCA review'!$D$2='Check'!B264,'Check'!G264,""),"")</f>
        <v/>
      </c>
      <c r="C264">
        <f t="shared" si="12"/>
        <v>0</v>
      </c>
      <c r="D264">
        <f>SUM($C$3:C264)</f>
        <v>4</v>
      </c>
      <c r="E264" t="e">
        <f t="shared" si="13"/>
        <v>#N/A</v>
      </c>
      <c r="F264" s="28" t="str">
        <f t="shared" ca="1" si="14"/>
        <v/>
      </c>
    </row>
    <row r="265" spans="2:6" x14ac:dyDescent="0.2">
      <c r="B265" t="str">
        <f>IFERROR(IF('PDCA review'!$D$2='Check'!B265,'Check'!G265,""),"")</f>
        <v/>
      </c>
      <c r="C265">
        <f t="shared" si="12"/>
        <v>0</v>
      </c>
      <c r="D265">
        <f>SUM($C$3:C265)</f>
        <v>4</v>
      </c>
      <c r="E265" t="e">
        <f t="shared" si="13"/>
        <v>#N/A</v>
      </c>
      <c r="F265" s="28" t="str">
        <f t="shared" ca="1" si="14"/>
        <v/>
      </c>
    </row>
    <row r="266" spans="2:6" x14ac:dyDescent="0.2">
      <c r="B266" t="str">
        <f>IFERROR(IF('PDCA review'!$D$2='Check'!B266,'Check'!G266,""),"")</f>
        <v/>
      </c>
      <c r="C266">
        <f t="shared" si="12"/>
        <v>0</v>
      </c>
      <c r="D266">
        <f>SUM($C$3:C266)</f>
        <v>4</v>
      </c>
      <c r="E266" t="e">
        <f t="shared" si="13"/>
        <v>#N/A</v>
      </c>
      <c r="F266" s="28" t="str">
        <f t="shared" ca="1" si="14"/>
        <v/>
      </c>
    </row>
    <row r="267" spans="2:6" x14ac:dyDescent="0.2">
      <c r="B267" t="str">
        <f>IFERROR(IF('PDCA review'!$D$2='Check'!B267,'Check'!G267,""),"")</f>
        <v/>
      </c>
      <c r="C267">
        <f t="shared" si="12"/>
        <v>0</v>
      </c>
      <c r="D267">
        <f>SUM($C$3:C267)</f>
        <v>4</v>
      </c>
      <c r="E267" t="e">
        <f t="shared" si="13"/>
        <v>#N/A</v>
      </c>
      <c r="F267" s="28" t="str">
        <f t="shared" ca="1" si="14"/>
        <v/>
      </c>
    </row>
    <row r="268" spans="2:6" x14ac:dyDescent="0.2">
      <c r="B268" t="str">
        <f>IFERROR(IF('PDCA review'!$D$2='Check'!B268,'Check'!G268,""),"")</f>
        <v/>
      </c>
      <c r="C268">
        <f t="shared" si="12"/>
        <v>0</v>
      </c>
      <c r="D268">
        <f>SUM($C$3:C268)</f>
        <v>4</v>
      </c>
      <c r="E268" t="e">
        <f t="shared" si="13"/>
        <v>#N/A</v>
      </c>
      <c r="F268" s="28" t="str">
        <f t="shared" ca="1" si="14"/>
        <v/>
      </c>
    </row>
    <row r="269" spans="2:6" x14ac:dyDescent="0.2">
      <c r="B269" t="str">
        <f>IFERROR(IF('PDCA review'!$D$2='Check'!B269,'Check'!G269,""),"")</f>
        <v/>
      </c>
      <c r="C269">
        <f t="shared" si="12"/>
        <v>0</v>
      </c>
      <c r="D269">
        <f>SUM($C$3:C269)</f>
        <v>4</v>
      </c>
      <c r="E269" t="e">
        <f t="shared" si="13"/>
        <v>#N/A</v>
      </c>
      <c r="F269" s="28" t="str">
        <f t="shared" ca="1" si="14"/>
        <v/>
      </c>
    </row>
    <row r="270" spans="2:6" x14ac:dyDescent="0.2">
      <c r="B270" t="str">
        <f>IFERROR(IF('PDCA review'!$D$2='Check'!B270,'Check'!G270,""),"")</f>
        <v/>
      </c>
      <c r="C270">
        <f t="shared" si="12"/>
        <v>0</v>
      </c>
      <c r="D270">
        <f>SUM($C$3:C270)</f>
        <v>4</v>
      </c>
      <c r="E270" t="e">
        <f t="shared" si="13"/>
        <v>#N/A</v>
      </c>
      <c r="F270" s="28" t="str">
        <f t="shared" ca="1" si="14"/>
        <v/>
      </c>
    </row>
    <row r="271" spans="2:6" x14ac:dyDescent="0.2">
      <c r="B271" t="str">
        <f>IFERROR(IF('PDCA review'!$D$2='Check'!B271,'Check'!G271,""),"")</f>
        <v/>
      </c>
      <c r="C271">
        <f t="shared" si="12"/>
        <v>0</v>
      </c>
      <c r="D271">
        <f>SUM($C$3:C271)</f>
        <v>4</v>
      </c>
      <c r="E271" t="e">
        <f t="shared" si="13"/>
        <v>#N/A</v>
      </c>
      <c r="F271" s="28" t="str">
        <f t="shared" ca="1" si="14"/>
        <v/>
      </c>
    </row>
    <row r="272" spans="2:6" x14ac:dyDescent="0.2">
      <c r="B272" t="str">
        <f>IFERROR(IF('PDCA review'!$D$2='Check'!B272,'Check'!G272,""),"")</f>
        <v/>
      </c>
      <c r="C272">
        <f t="shared" si="12"/>
        <v>0</v>
      </c>
      <c r="D272">
        <f>SUM($C$3:C272)</f>
        <v>4</v>
      </c>
      <c r="E272" t="e">
        <f t="shared" si="13"/>
        <v>#N/A</v>
      </c>
      <c r="F272" s="28" t="str">
        <f t="shared" ca="1" si="14"/>
        <v/>
      </c>
    </row>
    <row r="273" spans="2:6" x14ac:dyDescent="0.2">
      <c r="B273" t="str">
        <f>IFERROR(IF('PDCA review'!$D$2='Check'!B273,'Check'!G273,""),"")</f>
        <v/>
      </c>
      <c r="C273">
        <f t="shared" si="12"/>
        <v>0</v>
      </c>
      <c r="D273">
        <f>SUM($C$3:C273)</f>
        <v>4</v>
      </c>
      <c r="E273" t="e">
        <f t="shared" si="13"/>
        <v>#N/A</v>
      </c>
      <c r="F273" s="28" t="str">
        <f t="shared" ca="1" si="14"/>
        <v/>
      </c>
    </row>
    <row r="274" spans="2:6" x14ac:dyDescent="0.2">
      <c r="B274" t="str">
        <f>IFERROR(IF('PDCA review'!$D$2='Check'!B274,'Check'!G274,""),"")</f>
        <v/>
      </c>
      <c r="C274">
        <f t="shared" si="12"/>
        <v>0</v>
      </c>
      <c r="D274">
        <f>SUM($C$3:C274)</f>
        <v>4</v>
      </c>
      <c r="E274" t="e">
        <f t="shared" si="13"/>
        <v>#N/A</v>
      </c>
      <c r="F274" s="28" t="str">
        <f t="shared" ca="1" si="14"/>
        <v/>
      </c>
    </row>
    <row r="275" spans="2:6" x14ac:dyDescent="0.2">
      <c r="B275" t="str">
        <f>IFERROR(IF('PDCA review'!$D$2='Check'!B275,'Check'!G275,""),"")</f>
        <v/>
      </c>
      <c r="C275">
        <f t="shared" si="12"/>
        <v>0</v>
      </c>
      <c r="D275">
        <f>SUM($C$3:C275)</f>
        <v>4</v>
      </c>
      <c r="E275" t="e">
        <f t="shared" si="13"/>
        <v>#N/A</v>
      </c>
      <c r="F275" s="28" t="str">
        <f t="shared" ca="1" si="14"/>
        <v/>
      </c>
    </row>
    <row r="276" spans="2:6" x14ac:dyDescent="0.2">
      <c r="B276" t="str">
        <f>IFERROR(IF('PDCA review'!$D$2='Check'!B276,'Check'!G276,""),"")</f>
        <v/>
      </c>
      <c r="C276">
        <f t="shared" si="12"/>
        <v>0</v>
      </c>
      <c r="D276">
        <f>SUM($C$3:C276)</f>
        <v>4</v>
      </c>
      <c r="E276" t="e">
        <f t="shared" si="13"/>
        <v>#N/A</v>
      </c>
      <c r="F276" s="28" t="str">
        <f t="shared" ca="1" si="14"/>
        <v/>
      </c>
    </row>
    <row r="277" spans="2:6" x14ac:dyDescent="0.2">
      <c r="B277" t="str">
        <f>IFERROR(IF('PDCA review'!$D$2='Check'!B277,'Check'!G277,""),"")</f>
        <v/>
      </c>
      <c r="C277">
        <f t="shared" si="12"/>
        <v>0</v>
      </c>
      <c r="D277">
        <f>SUM($C$3:C277)</f>
        <v>4</v>
      </c>
      <c r="E277" t="e">
        <f t="shared" si="13"/>
        <v>#N/A</v>
      </c>
      <c r="F277" s="28" t="str">
        <f t="shared" ca="1" si="14"/>
        <v/>
      </c>
    </row>
    <row r="278" spans="2:6" x14ac:dyDescent="0.2">
      <c r="B278" t="str">
        <f>IFERROR(IF('PDCA review'!$D$2='Check'!B278,'Check'!G278,""),"")</f>
        <v/>
      </c>
      <c r="C278">
        <f t="shared" si="12"/>
        <v>0</v>
      </c>
      <c r="D278">
        <f>SUM($C$3:C278)</f>
        <v>4</v>
      </c>
      <c r="E278" t="e">
        <f t="shared" si="13"/>
        <v>#N/A</v>
      </c>
      <c r="F278" s="28" t="str">
        <f t="shared" ca="1" si="14"/>
        <v/>
      </c>
    </row>
    <row r="279" spans="2:6" x14ac:dyDescent="0.2">
      <c r="B279" t="str">
        <f>IFERROR(IF('PDCA review'!$D$2='Check'!B279,'Check'!G279,""),"")</f>
        <v/>
      </c>
      <c r="C279">
        <f t="shared" si="12"/>
        <v>0</v>
      </c>
      <c r="D279">
        <f>SUM($C$3:C279)</f>
        <v>4</v>
      </c>
      <c r="E279" t="e">
        <f t="shared" si="13"/>
        <v>#N/A</v>
      </c>
      <c r="F279" s="28" t="str">
        <f t="shared" ca="1" si="14"/>
        <v/>
      </c>
    </row>
    <row r="280" spans="2:6" x14ac:dyDescent="0.2">
      <c r="B280" t="str">
        <f>IFERROR(IF('PDCA review'!$D$2='Check'!B280,'Check'!G280,""),"")</f>
        <v/>
      </c>
      <c r="C280">
        <f t="shared" si="12"/>
        <v>0</v>
      </c>
      <c r="D280">
        <f>SUM($C$3:C280)</f>
        <v>4</v>
      </c>
      <c r="E280" t="e">
        <f t="shared" si="13"/>
        <v>#N/A</v>
      </c>
      <c r="F280" s="28" t="str">
        <f t="shared" ca="1" si="14"/>
        <v/>
      </c>
    </row>
    <row r="281" spans="2:6" x14ac:dyDescent="0.2">
      <c r="B281" t="str">
        <f>IFERROR(IF('PDCA review'!$D$2='Check'!B281,'Check'!G281,""),"")</f>
        <v/>
      </c>
      <c r="C281">
        <f t="shared" si="12"/>
        <v>0</v>
      </c>
      <c r="D281">
        <f>SUM($C$3:C281)</f>
        <v>4</v>
      </c>
      <c r="E281" t="e">
        <f t="shared" si="13"/>
        <v>#N/A</v>
      </c>
      <c r="F281" s="28" t="str">
        <f t="shared" ca="1" si="14"/>
        <v/>
      </c>
    </row>
    <row r="282" spans="2:6" x14ac:dyDescent="0.2">
      <c r="B282" t="str">
        <f>IFERROR(IF('PDCA review'!$D$2='Check'!B282,'Check'!G282,""),"")</f>
        <v/>
      </c>
      <c r="C282">
        <f t="shared" si="12"/>
        <v>0</v>
      </c>
      <c r="D282">
        <f>SUM($C$3:C282)</f>
        <v>4</v>
      </c>
      <c r="E282" t="e">
        <f t="shared" si="13"/>
        <v>#N/A</v>
      </c>
      <c r="F282" s="28" t="str">
        <f t="shared" ca="1" si="14"/>
        <v/>
      </c>
    </row>
    <row r="283" spans="2:6" x14ac:dyDescent="0.2">
      <c r="B283" t="str">
        <f>IFERROR(IF('PDCA review'!$D$2='Check'!B283,'Check'!G283,""),"")</f>
        <v/>
      </c>
      <c r="C283">
        <f t="shared" si="12"/>
        <v>0</v>
      </c>
      <c r="D283">
        <f>SUM($C$3:C283)</f>
        <v>4</v>
      </c>
      <c r="E283" t="e">
        <f t="shared" si="13"/>
        <v>#N/A</v>
      </c>
      <c r="F283" s="28" t="str">
        <f t="shared" ca="1" si="14"/>
        <v/>
      </c>
    </row>
    <row r="284" spans="2:6" x14ac:dyDescent="0.2">
      <c r="B284" t="str">
        <f>IFERROR(IF('PDCA review'!$D$2='Check'!B284,'Check'!G284,""),"")</f>
        <v/>
      </c>
      <c r="C284">
        <f t="shared" si="12"/>
        <v>0</v>
      </c>
      <c r="D284">
        <f>SUM($C$3:C284)</f>
        <v>4</v>
      </c>
      <c r="E284" t="e">
        <f t="shared" si="13"/>
        <v>#N/A</v>
      </c>
      <c r="F284" s="28" t="str">
        <f t="shared" ca="1" si="14"/>
        <v/>
      </c>
    </row>
    <row r="285" spans="2:6" x14ac:dyDescent="0.2">
      <c r="B285" t="str">
        <f>IFERROR(IF('PDCA review'!$D$2='Check'!B285,'Check'!G285,""),"")</f>
        <v/>
      </c>
      <c r="C285">
        <f t="shared" si="12"/>
        <v>0</v>
      </c>
      <c r="D285">
        <f>SUM($C$3:C285)</f>
        <v>4</v>
      </c>
      <c r="E285" t="e">
        <f t="shared" si="13"/>
        <v>#N/A</v>
      </c>
      <c r="F285" s="28" t="str">
        <f t="shared" ca="1" si="14"/>
        <v/>
      </c>
    </row>
    <row r="286" spans="2:6" x14ac:dyDescent="0.2">
      <c r="B286" t="str">
        <f>IFERROR(IF('PDCA review'!$D$2='Check'!B286,'Check'!G286,""),"")</f>
        <v/>
      </c>
      <c r="C286">
        <f t="shared" si="12"/>
        <v>0</v>
      </c>
      <c r="D286">
        <f>SUM($C$3:C286)</f>
        <v>4</v>
      </c>
      <c r="E286" t="e">
        <f t="shared" si="13"/>
        <v>#N/A</v>
      </c>
      <c r="F286" s="28" t="str">
        <f t="shared" ca="1" si="14"/>
        <v/>
      </c>
    </row>
    <row r="287" spans="2:6" x14ac:dyDescent="0.2">
      <c r="B287" t="str">
        <f>IFERROR(IF('PDCA review'!$D$2='Check'!B287,'Check'!G287,""),"")</f>
        <v/>
      </c>
      <c r="C287">
        <f t="shared" si="12"/>
        <v>0</v>
      </c>
      <c r="D287">
        <f>SUM($C$3:C287)</f>
        <v>4</v>
      </c>
      <c r="E287" t="e">
        <f t="shared" si="13"/>
        <v>#N/A</v>
      </c>
      <c r="F287" s="28" t="str">
        <f t="shared" ca="1" si="14"/>
        <v/>
      </c>
    </row>
    <row r="288" spans="2:6" x14ac:dyDescent="0.2">
      <c r="B288" t="str">
        <f>IFERROR(IF('PDCA review'!$D$2='Check'!B288,'Check'!G288,""),"")</f>
        <v/>
      </c>
      <c r="C288">
        <f t="shared" si="12"/>
        <v>0</v>
      </c>
      <c r="D288">
        <f>SUM($C$3:C288)</f>
        <v>4</v>
      </c>
      <c r="E288" t="e">
        <f t="shared" si="13"/>
        <v>#N/A</v>
      </c>
      <c r="F288" s="28" t="str">
        <f t="shared" ca="1" si="14"/>
        <v/>
      </c>
    </row>
    <row r="289" spans="2:6" x14ac:dyDescent="0.2">
      <c r="B289" t="str">
        <f>IFERROR(IF('PDCA review'!$D$2='Check'!B289,'Check'!G289,""),"")</f>
        <v/>
      </c>
      <c r="C289">
        <f t="shared" si="12"/>
        <v>0</v>
      </c>
      <c r="D289">
        <f>SUM($C$3:C289)</f>
        <v>4</v>
      </c>
      <c r="E289" t="e">
        <f t="shared" si="13"/>
        <v>#N/A</v>
      </c>
      <c r="F289" s="28" t="str">
        <f t="shared" ca="1" si="14"/>
        <v/>
      </c>
    </row>
    <row r="290" spans="2:6" x14ac:dyDescent="0.2">
      <c r="B290" t="str">
        <f>IFERROR(IF('PDCA review'!$D$2='Check'!B290,'Check'!G290,""),"")</f>
        <v/>
      </c>
      <c r="C290">
        <f t="shared" si="12"/>
        <v>0</v>
      </c>
      <c r="D290">
        <f>SUM($C$3:C290)</f>
        <v>4</v>
      </c>
      <c r="E290" t="e">
        <f t="shared" si="13"/>
        <v>#N/A</v>
      </c>
      <c r="F290" s="28" t="str">
        <f t="shared" ca="1" si="14"/>
        <v/>
      </c>
    </row>
    <row r="291" spans="2:6" x14ac:dyDescent="0.2">
      <c r="B291" t="str">
        <f>IFERROR(IF('PDCA review'!$D$2='Check'!B291,'Check'!G291,""),"")</f>
        <v/>
      </c>
      <c r="C291">
        <f t="shared" si="12"/>
        <v>0</v>
      </c>
      <c r="D291">
        <f>SUM($C$3:C291)</f>
        <v>4</v>
      </c>
      <c r="E291" t="e">
        <f t="shared" si="13"/>
        <v>#N/A</v>
      </c>
      <c r="F291" s="28" t="str">
        <f t="shared" ca="1" si="14"/>
        <v/>
      </c>
    </row>
    <row r="292" spans="2:6" x14ac:dyDescent="0.2">
      <c r="B292" t="str">
        <f>IFERROR(IF('PDCA review'!$D$2='Check'!B292,'Check'!G292,""),"")</f>
        <v/>
      </c>
      <c r="C292">
        <f t="shared" si="12"/>
        <v>0</v>
      </c>
      <c r="D292">
        <f>SUM($C$3:C292)</f>
        <v>4</v>
      </c>
      <c r="E292" t="e">
        <f t="shared" si="13"/>
        <v>#N/A</v>
      </c>
      <c r="F292" s="28" t="str">
        <f t="shared" ca="1" si="14"/>
        <v/>
      </c>
    </row>
    <row r="293" spans="2:6" x14ac:dyDescent="0.2">
      <c r="B293" t="str">
        <f>IFERROR(IF('PDCA review'!$D$2='Check'!B293,'Check'!G293,""),"")</f>
        <v/>
      </c>
      <c r="C293">
        <f t="shared" si="12"/>
        <v>0</v>
      </c>
      <c r="D293">
        <f>SUM($C$3:C293)</f>
        <v>4</v>
      </c>
      <c r="E293" t="e">
        <f t="shared" si="13"/>
        <v>#N/A</v>
      </c>
      <c r="F293" s="28" t="str">
        <f t="shared" ca="1" si="14"/>
        <v/>
      </c>
    </row>
    <row r="294" spans="2:6" x14ac:dyDescent="0.2">
      <c r="B294" t="str">
        <f>IFERROR(IF('PDCA review'!$D$2='Check'!B294,'Check'!G294,""),"")</f>
        <v/>
      </c>
      <c r="C294">
        <f t="shared" si="12"/>
        <v>0</v>
      </c>
      <c r="D294">
        <f>SUM($C$3:C294)</f>
        <v>4</v>
      </c>
      <c r="E294" t="e">
        <f t="shared" si="13"/>
        <v>#N/A</v>
      </c>
      <c r="F294" s="28" t="str">
        <f t="shared" ca="1" si="14"/>
        <v/>
      </c>
    </row>
    <row r="295" spans="2:6" x14ac:dyDescent="0.2">
      <c r="B295" t="str">
        <f>IFERROR(IF('PDCA review'!$D$2='Check'!B295,'Check'!G295,""),"")</f>
        <v/>
      </c>
      <c r="C295">
        <f t="shared" si="12"/>
        <v>0</v>
      </c>
      <c r="D295">
        <f>SUM($C$3:C295)</f>
        <v>4</v>
      </c>
      <c r="E295" t="e">
        <f t="shared" si="13"/>
        <v>#N/A</v>
      </c>
      <c r="F295" s="28" t="str">
        <f t="shared" ca="1" si="14"/>
        <v/>
      </c>
    </row>
    <row r="296" spans="2:6" x14ac:dyDescent="0.2">
      <c r="B296" t="str">
        <f>IFERROR(IF('PDCA review'!$D$2='Check'!B296,'Check'!G296,""),"")</f>
        <v/>
      </c>
      <c r="C296">
        <f t="shared" si="12"/>
        <v>0</v>
      </c>
      <c r="D296">
        <f>SUM($C$3:C296)</f>
        <v>4</v>
      </c>
      <c r="E296" t="e">
        <f t="shared" si="13"/>
        <v>#N/A</v>
      </c>
      <c r="F296" s="28" t="str">
        <f t="shared" ca="1" si="14"/>
        <v/>
      </c>
    </row>
    <row r="297" spans="2:6" x14ac:dyDescent="0.2">
      <c r="B297" t="str">
        <f>IFERROR(IF('PDCA review'!$D$2='Check'!B297,'Check'!G297,""),"")</f>
        <v/>
      </c>
      <c r="C297">
        <f t="shared" si="12"/>
        <v>0</v>
      </c>
      <c r="D297">
        <f>SUM($C$3:C297)</f>
        <v>4</v>
      </c>
      <c r="E297" t="e">
        <f t="shared" si="13"/>
        <v>#N/A</v>
      </c>
      <c r="F297" s="28" t="str">
        <f t="shared" ca="1" si="14"/>
        <v/>
      </c>
    </row>
    <row r="298" spans="2:6" x14ac:dyDescent="0.2">
      <c r="B298" t="str">
        <f>IFERROR(IF('PDCA review'!$D$2='Check'!B298,'Check'!G298,""),"")</f>
        <v/>
      </c>
      <c r="C298">
        <f t="shared" si="12"/>
        <v>0</v>
      </c>
      <c r="D298">
        <f>SUM($C$3:C298)</f>
        <v>4</v>
      </c>
      <c r="E298" t="e">
        <f t="shared" si="13"/>
        <v>#N/A</v>
      </c>
      <c r="F298" s="28" t="str">
        <f t="shared" ca="1" si="14"/>
        <v/>
      </c>
    </row>
    <row r="299" spans="2:6" x14ac:dyDescent="0.2">
      <c r="B299" t="str">
        <f>IFERROR(IF('PDCA review'!$D$2='Check'!B299,'Check'!G299,""),"")</f>
        <v/>
      </c>
      <c r="C299">
        <f t="shared" si="12"/>
        <v>0</v>
      </c>
      <c r="D299">
        <f>SUM($C$3:C299)</f>
        <v>4</v>
      </c>
      <c r="E299" t="e">
        <f t="shared" si="13"/>
        <v>#N/A</v>
      </c>
      <c r="F299" s="28" t="str">
        <f t="shared" ca="1" si="14"/>
        <v/>
      </c>
    </row>
    <row r="300" spans="2:6" x14ac:dyDescent="0.2">
      <c r="B300" t="str">
        <f>IFERROR(IF('PDCA review'!$D$2='Check'!B300,'Check'!G300,""),"")</f>
        <v/>
      </c>
      <c r="C300">
        <f t="shared" si="12"/>
        <v>0</v>
      </c>
      <c r="D300">
        <f>SUM($C$3:C300)</f>
        <v>4</v>
      </c>
      <c r="E300" t="e">
        <f t="shared" si="13"/>
        <v>#N/A</v>
      </c>
      <c r="F300" s="28" t="str">
        <f t="shared" ca="1" si="14"/>
        <v/>
      </c>
    </row>
    <row r="301" spans="2:6" x14ac:dyDescent="0.2">
      <c r="B301" t="str">
        <f>IFERROR(IF('PDCA review'!$D$2='Check'!B301,'Check'!G301,""),"")</f>
        <v/>
      </c>
      <c r="C301">
        <f t="shared" si="12"/>
        <v>0</v>
      </c>
      <c r="D301">
        <f>SUM($C$3:C301)</f>
        <v>4</v>
      </c>
      <c r="E301" t="e">
        <f t="shared" si="13"/>
        <v>#N/A</v>
      </c>
      <c r="F301" s="28" t="str">
        <f t="shared" ca="1" si="14"/>
        <v/>
      </c>
    </row>
    <row r="302" spans="2:6" x14ac:dyDescent="0.2">
      <c r="B302" t="str">
        <f>IFERROR(IF('PDCA review'!$D$2='Check'!B302,'Check'!G302,""),"")</f>
        <v/>
      </c>
      <c r="C302">
        <f t="shared" si="12"/>
        <v>0</v>
      </c>
      <c r="D302">
        <f>SUM($C$3:C302)</f>
        <v>4</v>
      </c>
      <c r="E302" t="e">
        <f t="shared" si="13"/>
        <v>#N/A</v>
      </c>
      <c r="F302" s="28" t="str">
        <f t="shared" ca="1" si="14"/>
        <v/>
      </c>
    </row>
    <row r="303" spans="2:6" x14ac:dyDescent="0.2">
      <c r="B303" t="str">
        <f>IFERROR(IF('PDCA review'!$D$2='Check'!B303,'Check'!G303,""),"")</f>
        <v/>
      </c>
      <c r="C303">
        <f t="shared" si="12"/>
        <v>0</v>
      </c>
      <c r="D303">
        <f>SUM($C$3:C303)</f>
        <v>4</v>
      </c>
      <c r="E303" t="e">
        <f t="shared" si="13"/>
        <v>#N/A</v>
      </c>
      <c r="F303" s="28" t="str">
        <f t="shared" ca="1" si="14"/>
        <v/>
      </c>
    </row>
    <row r="304" spans="2:6" x14ac:dyDescent="0.2">
      <c r="B304" t="str">
        <f>IFERROR(IF('PDCA review'!$D$2='Check'!B304,'Check'!G304,""),"")</f>
        <v/>
      </c>
      <c r="C304">
        <f t="shared" si="12"/>
        <v>0</v>
      </c>
      <c r="D304">
        <f>SUM($C$3:C304)</f>
        <v>4</v>
      </c>
      <c r="E304" t="e">
        <f t="shared" si="13"/>
        <v>#N/A</v>
      </c>
      <c r="F304" s="28" t="str">
        <f t="shared" ca="1" si="14"/>
        <v/>
      </c>
    </row>
    <row r="305" spans="2:6" x14ac:dyDescent="0.2">
      <c r="B305" t="str">
        <f>IFERROR(IF('PDCA review'!$D$2='Check'!B305,'Check'!G305,""),"")</f>
        <v/>
      </c>
      <c r="C305">
        <f t="shared" si="12"/>
        <v>0</v>
      </c>
      <c r="D305">
        <f>SUM($C$3:C305)</f>
        <v>4</v>
      </c>
      <c r="E305" t="e">
        <f t="shared" si="13"/>
        <v>#N/A</v>
      </c>
      <c r="F305" s="28" t="str">
        <f t="shared" ca="1" si="14"/>
        <v/>
      </c>
    </row>
    <row r="306" spans="2:6" x14ac:dyDescent="0.2">
      <c r="B306" t="str">
        <f>IFERROR(IF('PDCA review'!$D$2='Check'!B306,'Check'!G306,""),"")</f>
        <v/>
      </c>
      <c r="C306">
        <f t="shared" si="12"/>
        <v>0</v>
      </c>
      <c r="D306">
        <f>SUM($C$3:C306)</f>
        <v>4</v>
      </c>
      <c r="E306" t="e">
        <f t="shared" si="13"/>
        <v>#N/A</v>
      </c>
      <c r="F306" s="28" t="str">
        <f t="shared" ca="1" si="14"/>
        <v/>
      </c>
    </row>
    <row r="307" spans="2:6" x14ac:dyDescent="0.2">
      <c r="B307" t="str">
        <f>IFERROR(IF('PDCA review'!$D$2='Check'!B307,'Check'!G307,""),"")</f>
        <v/>
      </c>
      <c r="C307">
        <f t="shared" si="12"/>
        <v>0</v>
      </c>
      <c r="D307">
        <f>SUM($C$3:C307)</f>
        <v>4</v>
      </c>
      <c r="E307" t="e">
        <f t="shared" si="13"/>
        <v>#N/A</v>
      </c>
      <c r="F307" s="28" t="str">
        <f t="shared" ca="1" si="14"/>
        <v/>
      </c>
    </row>
    <row r="308" spans="2:6" x14ac:dyDescent="0.2">
      <c r="B308" t="str">
        <f>IFERROR(IF('PDCA review'!$D$2='Check'!B308,'Check'!G308,""),"")</f>
        <v/>
      </c>
      <c r="C308">
        <f t="shared" si="12"/>
        <v>0</v>
      </c>
      <c r="D308">
        <f>SUM($C$3:C308)</f>
        <v>4</v>
      </c>
      <c r="E308" t="e">
        <f t="shared" si="13"/>
        <v>#N/A</v>
      </c>
      <c r="F308" s="28" t="str">
        <f t="shared" ca="1" si="14"/>
        <v/>
      </c>
    </row>
    <row r="309" spans="2:6" x14ac:dyDescent="0.2">
      <c r="B309" t="str">
        <f>IFERROR(IF('PDCA review'!$D$2='Check'!B309,'Check'!G309,""),"")</f>
        <v/>
      </c>
      <c r="C309">
        <f t="shared" si="12"/>
        <v>0</v>
      </c>
      <c r="D309">
        <f>SUM($C$3:C309)</f>
        <v>4</v>
      </c>
      <c r="E309" t="e">
        <f t="shared" si="13"/>
        <v>#N/A</v>
      </c>
      <c r="F309" s="28" t="str">
        <f t="shared" ca="1" si="14"/>
        <v/>
      </c>
    </row>
    <row r="310" spans="2:6" x14ac:dyDescent="0.2">
      <c r="B310" t="str">
        <f>IFERROR(IF('PDCA review'!$D$2='Check'!B310,'Check'!G310,""),"")</f>
        <v/>
      </c>
      <c r="C310">
        <f t="shared" si="12"/>
        <v>0</v>
      </c>
      <c r="D310">
        <f>SUM($C$3:C310)</f>
        <v>4</v>
      </c>
      <c r="E310" t="e">
        <f t="shared" si="13"/>
        <v>#N/A</v>
      </c>
      <c r="F310" s="28" t="str">
        <f t="shared" ca="1" si="14"/>
        <v/>
      </c>
    </row>
    <row r="311" spans="2:6" x14ac:dyDescent="0.2">
      <c r="B311" t="str">
        <f>IFERROR(IF('PDCA review'!$D$2='Check'!B311,'Check'!G311,""),"")</f>
        <v/>
      </c>
      <c r="C311">
        <f t="shared" si="12"/>
        <v>0</v>
      </c>
      <c r="D311">
        <f>SUM($C$3:C311)</f>
        <v>4</v>
      </c>
      <c r="E311" t="e">
        <f t="shared" si="13"/>
        <v>#N/A</v>
      </c>
      <c r="F311" s="28" t="str">
        <f t="shared" ca="1" si="14"/>
        <v/>
      </c>
    </row>
    <row r="312" spans="2:6" x14ac:dyDescent="0.2">
      <c r="B312" t="str">
        <f>IFERROR(IF('PDCA review'!$D$2='Check'!B312,'Check'!G312,""),"")</f>
        <v/>
      </c>
      <c r="C312">
        <f t="shared" si="12"/>
        <v>0</v>
      </c>
      <c r="D312">
        <f>SUM($C$3:C312)</f>
        <v>4</v>
      </c>
      <c r="E312" t="e">
        <f t="shared" si="13"/>
        <v>#N/A</v>
      </c>
      <c r="F312" s="28" t="str">
        <f t="shared" ca="1" si="14"/>
        <v/>
      </c>
    </row>
    <row r="313" spans="2:6" x14ac:dyDescent="0.2">
      <c r="B313" t="str">
        <f>IFERROR(IF('PDCA review'!$D$2='Check'!B313,'Check'!G313,""),"")</f>
        <v/>
      </c>
      <c r="C313">
        <f t="shared" si="12"/>
        <v>0</v>
      </c>
      <c r="D313">
        <f>SUM($C$3:C313)</f>
        <v>4</v>
      </c>
      <c r="E313" t="e">
        <f t="shared" si="13"/>
        <v>#N/A</v>
      </c>
      <c r="F313" s="28" t="str">
        <f t="shared" ca="1" si="14"/>
        <v/>
      </c>
    </row>
    <row r="314" spans="2:6" x14ac:dyDescent="0.2">
      <c r="B314" t="str">
        <f>IFERROR(IF('PDCA review'!$D$2='Check'!B314,'Check'!G314,""),"")</f>
        <v/>
      </c>
      <c r="C314">
        <f t="shared" si="12"/>
        <v>0</v>
      </c>
      <c r="D314">
        <f>SUM($C$3:C314)</f>
        <v>4</v>
      </c>
      <c r="E314" t="e">
        <f t="shared" si="13"/>
        <v>#N/A</v>
      </c>
      <c r="F314" s="28" t="str">
        <f t="shared" ca="1" si="14"/>
        <v/>
      </c>
    </row>
    <row r="315" spans="2:6" x14ac:dyDescent="0.2">
      <c r="B315" t="str">
        <f>IFERROR(IF('PDCA review'!$D$2='Check'!B315,'Check'!G315,""),"")</f>
        <v/>
      </c>
      <c r="C315">
        <f t="shared" si="12"/>
        <v>0</v>
      </c>
      <c r="D315">
        <f>SUM($C$3:C315)</f>
        <v>4</v>
      </c>
      <c r="E315" t="e">
        <f t="shared" si="13"/>
        <v>#N/A</v>
      </c>
      <c r="F315" s="28" t="str">
        <f t="shared" ca="1" si="14"/>
        <v/>
      </c>
    </row>
    <row r="316" spans="2:6" x14ac:dyDescent="0.2">
      <c r="B316" t="str">
        <f>IFERROR(IF('PDCA review'!$D$2='Check'!B316,'Check'!G316,""),"")</f>
        <v/>
      </c>
      <c r="C316">
        <f t="shared" si="12"/>
        <v>0</v>
      </c>
      <c r="D316">
        <f>SUM($C$3:C316)</f>
        <v>4</v>
      </c>
      <c r="E316" t="e">
        <f t="shared" si="13"/>
        <v>#N/A</v>
      </c>
      <c r="F316" s="28" t="str">
        <f t="shared" ca="1" si="14"/>
        <v/>
      </c>
    </row>
    <row r="317" spans="2:6" x14ac:dyDescent="0.2">
      <c r="B317" t="str">
        <f>IFERROR(IF('PDCA review'!$D$2='Check'!B317,'Check'!G317,""),"")</f>
        <v/>
      </c>
      <c r="C317">
        <f t="shared" si="12"/>
        <v>0</v>
      </c>
      <c r="D317">
        <f>SUM($C$3:C317)</f>
        <v>4</v>
      </c>
      <c r="E317" t="e">
        <f t="shared" si="13"/>
        <v>#N/A</v>
      </c>
      <c r="F317" s="28" t="str">
        <f t="shared" ca="1" si="14"/>
        <v/>
      </c>
    </row>
    <row r="318" spans="2:6" x14ac:dyDescent="0.2">
      <c r="B318" t="str">
        <f>IFERROR(IF('PDCA review'!$D$2='Check'!B318,'Check'!G318,""),"")</f>
        <v/>
      </c>
      <c r="C318">
        <f t="shared" si="12"/>
        <v>0</v>
      </c>
      <c r="D318">
        <f>SUM($C$3:C318)</f>
        <v>4</v>
      </c>
      <c r="E318" t="e">
        <f t="shared" si="13"/>
        <v>#N/A</v>
      </c>
      <c r="F318" s="28" t="str">
        <f t="shared" ca="1" si="14"/>
        <v/>
      </c>
    </row>
    <row r="319" spans="2:6" x14ac:dyDescent="0.2">
      <c r="B319" t="str">
        <f>IFERROR(IF('PDCA review'!$D$2='Check'!B319,'Check'!G319,""),"")</f>
        <v/>
      </c>
      <c r="C319">
        <f t="shared" si="12"/>
        <v>0</v>
      </c>
      <c r="D319">
        <f>SUM($C$3:C319)</f>
        <v>4</v>
      </c>
      <c r="E319" t="e">
        <f t="shared" si="13"/>
        <v>#N/A</v>
      </c>
      <c r="F319" s="28" t="str">
        <f t="shared" ca="1" si="14"/>
        <v/>
      </c>
    </row>
    <row r="320" spans="2:6" x14ac:dyDescent="0.2">
      <c r="B320" t="str">
        <f>IFERROR(IF('PDCA review'!$D$2='Check'!B320,'Check'!G320,""),"")</f>
        <v/>
      </c>
      <c r="C320">
        <f t="shared" si="12"/>
        <v>0</v>
      </c>
      <c r="D320">
        <f>SUM($C$3:C320)</f>
        <v>4</v>
      </c>
      <c r="E320" t="e">
        <f t="shared" si="13"/>
        <v>#N/A</v>
      </c>
      <c r="F320" s="28" t="str">
        <f t="shared" ca="1" si="14"/>
        <v/>
      </c>
    </row>
    <row r="321" spans="2:6" x14ac:dyDescent="0.2">
      <c r="B321" t="str">
        <f>IFERROR(IF('PDCA review'!$D$2='Check'!B321,'Check'!G321,""),"")</f>
        <v/>
      </c>
      <c r="C321">
        <f t="shared" si="12"/>
        <v>0</v>
      </c>
      <c r="D321">
        <f>SUM($C$3:C321)</f>
        <v>4</v>
      </c>
      <c r="E321" t="e">
        <f t="shared" si="13"/>
        <v>#N/A</v>
      </c>
      <c r="F321" s="28" t="str">
        <f t="shared" ca="1" si="14"/>
        <v/>
      </c>
    </row>
    <row r="322" spans="2:6" x14ac:dyDescent="0.2">
      <c r="B322" t="str">
        <f>IFERROR(IF('PDCA review'!$D$2='Check'!B322,'Check'!G322,""),"")</f>
        <v/>
      </c>
      <c r="C322">
        <f t="shared" si="12"/>
        <v>0</v>
      </c>
      <c r="D322">
        <f>SUM($C$3:C322)</f>
        <v>4</v>
      </c>
      <c r="E322" t="e">
        <f t="shared" si="13"/>
        <v>#N/A</v>
      </c>
      <c r="F322" s="28" t="str">
        <f t="shared" ca="1" si="14"/>
        <v/>
      </c>
    </row>
    <row r="323" spans="2:6" x14ac:dyDescent="0.2">
      <c r="B323" t="str">
        <f>IFERROR(IF('PDCA review'!$D$2='Check'!B323,'Check'!G323,""),"")</f>
        <v/>
      </c>
      <c r="C323">
        <f t="shared" si="12"/>
        <v>0</v>
      </c>
      <c r="D323">
        <f>SUM($C$3:C323)</f>
        <v>4</v>
      </c>
      <c r="E323" t="e">
        <f t="shared" si="13"/>
        <v>#N/A</v>
      </c>
      <c r="F323" s="28" t="str">
        <f t="shared" ca="1" si="14"/>
        <v/>
      </c>
    </row>
    <row r="324" spans="2:6" x14ac:dyDescent="0.2">
      <c r="B324" t="str">
        <f>IFERROR(IF('PDCA review'!$D$2='Check'!B324,'Check'!G324,""),"")</f>
        <v/>
      </c>
      <c r="C324">
        <f t="shared" ref="C324:C387" si="15">IF(B324&lt;&gt;"",1,0)</f>
        <v>0</v>
      </c>
      <c r="D324">
        <f>SUM($C$3:C324)</f>
        <v>4</v>
      </c>
      <c r="E324" t="e">
        <f t="shared" ref="E324:E387" si="16">MATCH(ROW()-$D$2,$D$3:$D$2000,0)+$D$2</f>
        <v>#N/A</v>
      </c>
      <c r="F324" s="28" t="str">
        <f t="shared" ref="F324:F387" ca="1" si="17">IFERROR(INDIRECT("B"&amp;E324),"")</f>
        <v/>
      </c>
    </row>
    <row r="325" spans="2:6" x14ac:dyDescent="0.2">
      <c r="B325" t="str">
        <f>IFERROR(IF('PDCA review'!$D$2='Check'!B325,'Check'!G325,""),"")</f>
        <v/>
      </c>
      <c r="C325">
        <f t="shared" si="15"/>
        <v>0</v>
      </c>
      <c r="D325">
        <f>SUM($C$3:C325)</f>
        <v>4</v>
      </c>
      <c r="E325" t="e">
        <f t="shared" si="16"/>
        <v>#N/A</v>
      </c>
      <c r="F325" s="28" t="str">
        <f t="shared" ca="1" si="17"/>
        <v/>
      </c>
    </row>
    <row r="326" spans="2:6" x14ac:dyDescent="0.2">
      <c r="B326" t="str">
        <f>IFERROR(IF('PDCA review'!$D$2='Check'!B326,'Check'!G326,""),"")</f>
        <v/>
      </c>
      <c r="C326">
        <f t="shared" si="15"/>
        <v>0</v>
      </c>
      <c r="D326">
        <f>SUM($C$3:C326)</f>
        <v>4</v>
      </c>
      <c r="E326" t="e">
        <f t="shared" si="16"/>
        <v>#N/A</v>
      </c>
      <c r="F326" s="28" t="str">
        <f t="shared" ca="1" si="17"/>
        <v/>
      </c>
    </row>
    <row r="327" spans="2:6" x14ac:dyDescent="0.2">
      <c r="B327" t="str">
        <f>IFERROR(IF('PDCA review'!$D$2='Check'!B327,'Check'!G327,""),"")</f>
        <v/>
      </c>
      <c r="C327">
        <f t="shared" si="15"/>
        <v>0</v>
      </c>
      <c r="D327">
        <f>SUM($C$3:C327)</f>
        <v>4</v>
      </c>
      <c r="E327" t="e">
        <f t="shared" si="16"/>
        <v>#N/A</v>
      </c>
      <c r="F327" s="28" t="str">
        <f t="shared" ca="1" si="17"/>
        <v/>
      </c>
    </row>
    <row r="328" spans="2:6" x14ac:dyDescent="0.2">
      <c r="B328" t="str">
        <f>IFERROR(IF('PDCA review'!$D$2='Check'!B328,'Check'!G328,""),"")</f>
        <v/>
      </c>
      <c r="C328">
        <f t="shared" si="15"/>
        <v>0</v>
      </c>
      <c r="D328">
        <f>SUM($C$3:C328)</f>
        <v>4</v>
      </c>
      <c r="E328" t="e">
        <f t="shared" si="16"/>
        <v>#N/A</v>
      </c>
      <c r="F328" s="28" t="str">
        <f t="shared" ca="1" si="17"/>
        <v/>
      </c>
    </row>
    <row r="329" spans="2:6" x14ac:dyDescent="0.2">
      <c r="B329" t="str">
        <f>IFERROR(IF('PDCA review'!$D$2='Check'!B329,'Check'!G329,""),"")</f>
        <v/>
      </c>
      <c r="C329">
        <f t="shared" si="15"/>
        <v>0</v>
      </c>
      <c r="D329">
        <f>SUM($C$3:C329)</f>
        <v>4</v>
      </c>
      <c r="E329" t="e">
        <f t="shared" si="16"/>
        <v>#N/A</v>
      </c>
      <c r="F329" s="28" t="str">
        <f t="shared" ca="1" si="17"/>
        <v/>
      </c>
    </row>
    <row r="330" spans="2:6" x14ac:dyDescent="0.2">
      <c r="B330" t="str">
        <f>IFERROR(IF('PDCA review'!$D$2='Check'!B330,'Check'!G330,""),"")</f>
        <v/>
      </c>
      <c r="C330">
        <f t="shared" si="15"/>
        <v>0</v>
      </c>
      <c r="D330">
        <f>SUM($C$3:C330)</f>
        <v>4</v>
      </c>
      <c r="E330" t="e">
        <f t="shared" si="16"/>
        <v>#N/A</v>
      </c>
      <c r="F330" s="28" t="str">
        <f t="shared" ca="1" si="17"/>
        <v/>
      </c>
    </row>
    <row r="331" spans="2:6" x14ac:dyDescent="0.2">
      <c r="B331" t="str">
        <f>IFERROR(IF('PDCA review'!$D$2='Check'!B331,'Check'!G331,""),"")</f>
        <v/>
      </c>
      <c r="C331">
        <f t="shared" si="15"/>
        <v>0</v>
      </c>
      <c r="D331">
        <f>SUM($C$3:C331)</f>
        <v>4</v>
      </c>
      <c r="E331" t="e">
        <f t="shared" si="16"/>
        <v>#N/A</v>
      </c>
      <c r="F331" s="28" t="str">
        <f t="shared" ca="1" si="17"/>
        <v/>
      </c>
    </row>
    <row r="332" spans="2:6" x14ac:dyDescent="0.2">
      <c r="B332" t="str">
        <f>IFERROR(IF('PDCA review'!$D$2='Check'!B332,'Check'!G332,""),"")</f>
        <v/>
      </c>
      <c r="C332">
        <f t="shared" si="15"/>
        <v>0</v>
      </c>
      <c r="D332">
        <f>SUM($C$3:C332)</f>
        <v>4</v>
      </c>
      <c r="E332" t="e">
        <f t="shared" si="16"/>
        <v>#N/A</v>
      </c>
      <c r="F332" s="28" t="str">
        <f t="shared" ca="1" si="17"/>
        <v/>
      </c>
    </row>
    <row r="333" spans="2:6" x14ac:dyDescent="0.2">
      <c r="B333" t="str">
        <f>IFERROR(IF('PDCA review'!$D$2='Check'!B333,'Check'!G333,""),"")</f>
        <v/>
      </c>
      <c r="C333">
        <f t="shared" si="15"/>
        <v>0</v>
      </c>
      <c r="D333">
        <f>SUM($C$3:C333)</f>
        <v>4</v>
      </c>
      <c r="E333" t="e">
        <f t="shared" si="16"/>
        <v>#N/A</v>
      </c>
      <c r="F333" s="28" t="str">
        <f t="shared" ca="1" si="17"/>
        <v/>
      </c>
    </row>
    <row r="334" spans="2:6" x14ac:dyDescent="0.2">
      <c r="B334" t="str">
        <f>IFERROR(IF('PDCA review'!$D$2='Check'!B334,'Check'!G334,""),"")</f>
        <v/>
      </c>
      <c r="C334">
        <f t="shared" si="15"/>
        <v>0</v>
      </c>
      <c r="D334">
        <f>SUM($C$3:C334)</f>
        <v>4</v>
      </c>
      <c r="E334" t="e">
        <f t="shared" si="16"/>
        <v>#N/A</v>
      </c>
      <c r="F334" s="28" t="str">
        <f t="shared" ca="1" si="17"/>
        <v/>
      </c>
    </row>
    <row r="335" spans="2:6" x14ac:dyDescent="0.2">
      <c r="B335" t="str">
        <f>IFERROR(IF('PDCA review'!$D$2='Check'!B335,'Check'!G335,""),"")</f>
        <v/>
      </c>
      <c r="C335">
        <f t="shared" si="15"/>
        <v>0</v>
      </c>
      <c r="D335">
        <f>SUM($C$3:C335)</f>
        <v>4</v>
      </c>
      <c r="E335" t="e">
        <f t="shared" si="16"/>
        <v>#N/A</v>
      </c>
      <c r="F335" s="28" t="str">
        <f t="shared" ca="1" si="17"/>
        <v/>
      </c>
    </row>
    <row r="336" spans="2:6" x14ac:dyDescent="0.2">
      <c r="B336" t="str">
        <f>IFERROR(IF('PDCA review'!$D$2='Check'!B336,'Check'!G336,""),"")</f>
        <v/>
      </c>
      <c r="C336">
        <f t="shared" si="15"/>
        <v>0</v>
      </c>
      <c r="D336">
        <f>SUM($C$3:C336)</f>
        <v>4</v>
      </c>
      <c r="E336" t="e">
        <f t="shared" si="16"/>
        <v>#N/A</v>
      </c>
      <c r="F336" s="28" t="str">
        <f t="shared" ca="1" si="17"/>
        <v/>
      </c>
    </row>
    <row r="337" spans="2:6" x14ac:dyDescent="0.2">
      <c r="B337" t="str">
        <f>IFERROR(IF('PDCA review'!$D$2='Check'!B337,'Check'!G337,""),"")</f>
        <v/>
      </c>
      <c r="C337">
        <f t="shared" si="15"/>
        <v>0</v>
      </c>
      <c r="D337">
        <f>SUM($C$3:C337)</f>
        <v>4</v>
      </c>
      <c r="E337" t="e">
        <f t="shared" si="16"/>
        <v>#N/A</v>
      </c>
      <c r="F337" s="28" t="str">
        <f t="shared" ca="1" si="17"/>
        <v/>
      </c>
    </row>
    <row r="338" spans="2:6" x14ac:dyDescent="0.2">
      <c r="B338" t="str">
        <f>IFERROR(IF('PDCA review'!$D$2='Check'!B338,'Check'!G338,""),"")</f>
        <v/>
      </c>
      <c r="C338">
        <f t="shared" si="15"/>
        <v>0</v>
      </c>
      <c r="D338">
        <f>SUM($C$3:C338)</f>
        <v>4</v>
      </c>
      <c r="E338" t="e">
        <f t="shared" si="16"/>
        <v>#N/A</v>
      </c>
      <c r="F338" s="28" t="str">
        <f t="shared" ca="1" si="17"/>
        <v/>
      </c>
    </row>
    <row r="339" spans="2:6" x14ac:dyDescent="0.2">
      <c r="B339" t="str">
        <f>IFERROR(IF('PDCA review'!$D$2='Check'!B339,'Check'!G339,""),"")</f>
        <v/>
      </c>
      <c r="C339">
        <f t="shared" si="15"/>
        <v>0</v>
      </c>
      <c r="D339">
        <f>SUM($C$3:C339)</f>
        <v>4</v>
      </c>
      <c r="E339" t="e">
        <f t="shared" si="16"/>
        <v>#N/A</v>
      </c>
      <c r="F339" s="28" t="str">
        <f t="shared" ca="1" si="17"/>
        <v/>
      </c>
    </row>
    <row r="340" spans="2:6" x14ac:dyDescent="0.2">
      <c r="B340" t="str">
        <f>IFERROR(IF('PDCA review'!$D$2='Check'!B340,'Check'!G340,""),"")</f>
        <v/>
      </c>
      <c r="C340">
        <f t="shared" si="15"/>
        <v>0</v>
      </c>
      <c r="D340">
        <f>SUM($C$3:C340)</f>
        <v>4</v>
      </c>
      <c r="E340" t="e">
        <f t="shared" si="16"/>
        <v>#N/A</v>
      </c>
      <c r="F340" s="28" t="str">
        <f t="shared" ca="1" si="17"/>
        <v/>
      </c>
    </row>
    <row r="341" spans="2:6" x14ac:dyDescent="0.2">
      <c r="B341" t="str">
        <f>IFERROR(IF('PDCA review'!$D$2='Check'!B341,'Check'!G341,""),"")</f>
        <v/>
      </c>
      <c r="C341">
        <f t="shared" si="15"/>
        <v>0</v>
      </c>
      <c r="D341">
        <f>SUM($C$3:C341)</f>
        <v>4</v>
      </c>
      <c r="E341" t="e">
        <f t="shared" si="16"/>
        <v>#N/A</v>
      </c>
      <c r="F341" s="28" t="str">
        <f t="shared" ca="1" si="17"/>
        <v/>
      </c>
    </row>
    <row r="342" spans="2:6" x14ac:dyDescent="0.2">
      <c r="B342" t="str">
        <f>IFERROR(IF('PDCA review'!$D$2='Check'!B342,'Check'!G342,""),"")</f>
        <v/>
      </c>
      <c r="C342">
        <f t="shared" si="15"/>
        <v>0</v>
      </c>
      <c r="D342">
        <f>SUM($C$3:C342)</f>
        <v>4</v>
      </c>
      <c r="E342" t="e">
        <f t="shared" si="16"/>
        <v>#N/A</v>
      </c>
      <c r="F342" s="28" t="str">
        <f t="shared" ca="1" si="17"/>
        <v/>
      </c>
    </row>
    <row r="343" spans="2:6" x14ac:dyDescent="0.2">
      <c r="B343" t="str">
        <f>IFERROR(IF('PDCA review'!$D$2='Check'!B343,'Check'!G343,""),"")</f>
        <v/>
      </c>
      <c r="C343">
        <f t="shared" si="15"/>
        <v>0</v>
      </c>
      <c r="D343">
        <f>SUM($C$3:C343)</f>
        <v>4</v>
      </c>
      <c r="E343" t="e">
        <f t="shared" si="16"/>
        <v>#N/A</v>
      </c>
      <c r="F343" s="28" t="str">
        <f t="shared" ca="1" si="17"/>
        <v/>
      </c>
    </row>
    <row r="344" spans="2:6" x14ac:dyDescent="0.2">
      <c r="B344" t="str">
        <f>IFERROR(IF('PDCA review'!$D$2='Check'!B344,'Check'!G344,""),"")</f>
        <v/>
      </c>
      <c r="C344">
        <f t="shared" si="15"/>
        <v>0</v>
      </c>
      <c r="D344">
        <f>SUM($C$3:C344)</f>
        <v>4</v>
      </c>
      <c r="E344" t="e">
        <f t="shared" si="16"/>
        <v>#N/A</v>
      </c>
      <c r="F344" s="28" t="str">
        <f t="shared" ca="1" si="17"/>
        <v/>
      </c>
    </row>
    <row r="345" spans="2:6" x14ac:dyDescent="0.2">
      <c r="B345" t="str">
        <f>IFERROR(IF('PDCA review'!$D$2='Check'!B345,'Check'!G345,""),"")</f>
        <v/>
      </c>
      <c r="C345">
        <f t="shared" si="15"/>
        <v>0</v>
      </c>
      <c r="D345">
        <f>SUM($C$3:C345)</f>
        <v>4</v>
      </c>
      <c r="E345" t="e">
        <f t="shared" si="16"/>
        <v>#N/A</v>
      </c>
      <c r="F345" s="28" t="str">
        <f t="shared" ca="1" si="17"/>
        <v/>
      </c>
    </row>
    <row r="346" spans="2:6" x14ac:dyDescent="0.2">
      <c r="B346" t="str">
        <f>IFERROR(IF('PDCA review'!$D$2='Check'!B346,'Check'!G346,""),"")</f>
        <v/>
      </c>
      <c r="C346">
        <f t="shared" si="15"/>
        <v>0</v>
      </c>
      <c r="D346">
        <f>SUM($C$3:C346)</f>
        <v>4</v>
      </c>
      <c r="E346" t="e">
        <f t="shared" si="16"/>
        <v>#N/A</v>
      </c>
      <c r="F346" s="28" t="str">
        <f t="shared" ca="1" si="17"/>
        <v/>
      </c>
    </row>
    <row r="347" spans="2:6" x14ac:dyDescent="0.2">
      <c r="B347" t="str">
        <f>IFERROR(IF('PDCA review'!$D$2='Check'!B347,'Check'!G347,""),"")</f>
        <v/>
      </c>
      <c r="C347">
        <f t="shared" si="15"/>
        <v>0</v>
      </c>
      <c r="D347">
        <f>SUM($C$3:C347)</f>
        <v>4</v>
      </c>
      <c r="E347" t="e">
        <f t="shared" si="16"/>
        <v>#N/A</v>
      </c>
      <c r="F347" s="28" t="str">
        <f t="shared" ca="1" si="17"/>
        <v/>
      </c>
    </row>
    <row r="348" spans="2:6" x14ac:dyDescent="0.2">
      <c r="B348" t="str">
        <f>IFERROR(IF('PDCA review'!$D$2='Check'!B348,'Check'!G348,""),"")</f>
        <v/>
      </c>
      <c r="C348">
        <f t="shared" si="15"/>
        <v>0</v>
      </c>
      <c r="D348">
        <f>SUM($C$3:C348)</f>
        <v>4</v>
      </c>
      <c r="E348" t="e">
        <f t="shared" si="16"/>
        <v>#N/A</v>
      </c>
      <c r="F348" s="28" t="str">
        <f t="shared" ca="1" si="17"/>
        <v/>
      </c>
    </row>
    <row r="349" spans="2:6" x14ac:dyDescent="0.2">
      <c r="B349" t="str">
        <f>IFERROR(IF('PDCA review'!$D$2='Check'!B349,'Check'!G349,""),"")</f>
        <v/>
      </c>
      <c r="C349">
        <f t="shared" si="15"/>
        <v>0</v>
      </c>
      <c r="D349">
        <f>SUM($C$3:C349)</f>
        <v>4</v>
      </c>
      <c r="E349" t="e">
        <f t="shared" si="16"/>
        <v>#N/A</v>
      </c>
      <c r="F349" s="28" t="str">
        <f t="shared" ca="1" si="17"/>
        <v/>
      </c>
    </row>
    <row r="350" spans="2:6" x14ac:dyDescent="0.2">
      <c r="B350" t="str">
        <f>IFERROR(IF('PDCA review'!$D$2='Check'!B350,'Check'!G350,""),"")</f>
        <v/>
      </c>
      <c r="C350">
        <f t="shared" si="15"/>
        <v>0</v>
      </c>
      <c r="D350">
        <f>SUM($C$3:C350)</f>
        <v>4</v>
      </c>
      <c r="E350" t="e">
        <f t="shared" si="16"/>
        <v>#N/A</v>
      </c>
      <c r="F350" s="28" t="str">
        <f t="shared" ca="1" si="17"/>
        <v/>
      </c>
    </row>
    <row r="351" spans="2:6" x14ac:dyDescent="0.2">
      <c r="B351" t="str">
        <f>IFERROR(IF('PDCA review'!$D$2='Check'!B351,'Check'!G351,""),"")</f>
        <v/>
      </c>
      <c r="C351">
        <f t="shared" si="15"/>
        <v>0</v>
      </c>
      <c r="D351">
        <f>SUM($C$3:C351)</f>
        <v>4</v>
      </c>
      <c r="E351" t="e">
        <f t="shared" si="16"/>
        <v>#N/A</v>
      </c>
      <c r="F351" s="28" t="str">
        <f t="shared" ca="1" si="17"/>
        <v/>
      </c>
    </row>
    <row r="352" spans="2:6" x14ac:dyDescent="0.2">
      <c r="B352" t="str">
        <f>IFERROR(IF('PDCA review'!$D$2='Check'!B352,'Check'!G352,""),"")</f>
        <v/>
      </c>
      <c r="C352">
        <f t="shared" si="15"/>
        <v>0</v>
      </c>
      <c r="D352">
        <f>SUM($C$3:C352)</f>
        <v>4</v>
      </c>
      <c r="E352" t="e">
        <f t="shared" si="16"/>
        <v>#N/A</v>
      </c>
      <c r="F352" s="28" t="str">
        <f t="shared" ca="1" si="17"/>
        <v/>
      </c>
    </row>
    <row r="353" spans="2:6" x14ac:dyDescent="0.2">
      <c r="B353" t="str">
        <f>IFERROR(IF('PDCA review'!$D$2='Check'!B353,'Check'!G353,""),"")</f>
        <v/>
      </c>
      <c r="C353">
        <f t="shared" si="15"/>
        <v>0</v>
      </c>
      <c r="D353">
        <f>SUM($C$3:C353)</f>
        <v>4</v>
      </c>
      <c r="E353" t="e">
        <f t="shared" si="16"/>
        <v>#N/A</v>
      </c>
      <c r="F353" s="28" t="str">
        <f t="shared" ca="1" si="17"/>
        <v/>
      </c>
    </row>
    <row r="354" spans="2:6" x14ac:dyDescent="0.2">
      <c r="B354" t="str">
        <f>IFERROR(IF('PDCA review'!$D$2='Check'!B354,'Check'!G354,""),"")</f>
        <v/>
      </c>
      <c r="C354">
        <f t="shared" si="15"/>
        <v>0</v>
      </c>
      <c r="D354">
        <f>SUM($C$3:C354)</f>
        <v>4</v>
      </c>
      <c r="E354" t="e">
        <f t="shared" si="16"/>
        <v>#N/A</v>
      </c>
      <c r="F354" s="28" t="str">
        <f t="shared" ca="1" si="17"/>
        <v/>
      </c>
    </row>
    <row r="355" spans="2:6" x14ac:dyDescent="0.2">
      <c r="B355" t="str">
        <f>IFERROR(IF('PDCA review'!$D$2='Check'!B355,'Check'!G355,""),"")</f>
        <v/>
      </c>
      <c r="C355">
        <f t="shared" si="15"/>
        <v>0</v>
      </c>
      <c r="D355">
        <f>SUM($C$3:C355)</f>
        <v>4</v>
      </c>
      <c r="E355" t="e">
        <f t="shared" si="16"/>
        <v>#N/A</v>
      </c>
      <c r="F355" s="28" t="str">
        <f t="shared" ca="1" si="17"/>
        <v/>
      </c>
    </row>
    <row r="356" spans="2:6" x14ac:dyDescent="0.2">
      <c r="B356" t="str">
        <f>IFERROR(IF('PDCA review'!$D$2='Check'!B356,'Check'!G356,""),"")</f>
        <v/>
      </c>
      <c r="C356">
        <f t="shared" si="15"/>
        <v>0</v>
      </c>
      <c r="D356">
        <f>SUM($C$3:C356)</f>
        <v>4</v>
      </c>
      <c r="E356" t="e">
        <f t="shared" si="16"/>
        <v>#N/A</v>
      </c>
      <c r="F356" s="28" t="str">
        <f t="shared" ca="1" si="17"/>
        <v/>
      </c>
    </row>
    <row r="357" spans="2:6" x14ac:dyDescent="0.2">
      <c r="B357" t="str">
        <f>IFERROR(IF('PDCA review'!$D$2='Check'!B357,'Check'!G357,""),"")</f>
        <v/>
      </c>
      <c r="C357">
        <f t="shared" si="15"/>
        <v>0</v>
      </c>
      <c r="D357">
        <f>SUM($C$3:C357)</f>
        <v>4</v>
      </c>
      <c r="E357" t="e">
        <f t="shared" si="16"/>
        <v>#N/A</v>
      </c>
      <c r="F357" s="28" t="str">
        <f t="shared" ca="1" si="17"/>
        <v/>
      </c>
    </row>
    <row r="358" spans="2:6" x14ac:dyDescent="0.2">
      <c r="B358" t="str">
        <f>IFERROR(IF('PDCA review'!$D$2='Check'!B358,'Check'!G358,""),"")</f>
        <v/>
      </c>
      <c r="C358">
        <f t="shared" si="15"/>
        <v>0</v>
      </c>
      <c r="D358">
        <f>SUM($C$3:C358)</f>
        <v>4</v>
      </c>
      <c r="E358" t="e">
        <f t="shared" si="16"/>
        <v>#N/A</v>
      </c>
      <c r="F358" s="28" t="str">
        <f t="shared" ca="1" si="17"/>
        <v/>
      </c>
    </row>
    <row r="359" spans="2:6" x14ac:dyDescent="0.2">
      <c r="B359" t="str">
        <f>IFERROR(IF('PDCA review'!$D$2='Check'!B359,'Check'!G359,""),"")</f>
        <v/>
      </c>
      <c r="C359">
        <f t="shared" si="15"/>
        <v>0</v>
      </c>
      <c r="D359">
        <f>SUM($C$3:C359)</f>
        <v>4</v>
      </c>
      <c r="E359" t="e">
        <f t="shared" si="16"/>
        <v>#N/A</v>
      </c>
      <c r="F359" s="28" t="str">
        <f t="shared" ca="1" si="17"/>
        <v/>
      </c>
    </row>
    <row r="360" spans="2:6" x14ac:dyDescent="0.2">
      <c r="B360" t="str">
        <f>IFERROR(IF('PDCA review'!$D$2='Check'!B360,'Check'!G360,""),"")</f>
        <v/>
      </c>
      <c r="C360">
        <f t="shared" si="15"/>
        <v>0</v>
      </c>
      <c r="D360">
        <f>SUM($C$3:C360)</f>
        <v>4</v>
      </c>
      <c r="E360" t="e">
        <f t="shared" si="16"/>
        <v>#N/A</v>
      </c>
      <c r="F360" s="28" t="str">
        <f t="shared" ca="1" si="17"/>
        <v/>
      </c>
    </row>
    <row r="361" spans="2:6" x14ac:dyDescent="0.2">
      <c r="B361" t="str">
        <f>IFERROR(IF('PDCA review'!$D$2='Check'!B361,'Check'!G361,""),"")</f>
        <v/>
      </c>
      <c r="C361">
        <f t="shared" si="15"/>
        <v>0</v>
      </c>
      <c r="D361">
        <f>SUM($C$3:C361)</f>
        <v>4</v>
      </c>
      <c r="E361" t="e">
        <f t="shared" si="16"/>
        <v>#N/A</v>
      </c>
      <c r="F361" s="28" t="str">
        <f t="shared" ca="1" si="17"/>
        <v/>
      </c>
    </row>
    <row r="362" spans="2:6" x14ac:dyDescent="0.2">
      <c r="B362" t="str">
        <f>IFERROR(IF('PDCA review'!$D$2='Check'!B362,'Check'!G362,""),"")</f>
        <v/>
      </c>
      <c r="C362">
        <f t="shared" si="15"/>
        <v>0</v>
      </c>
      <c r="D362">
        <f>SUM($C$3:C362)</f>
        <v>4</v>
      </c>
      <c r="E362" t="e">
        <f t="shared" si="16"/>
        <v>#N/A</v>
      </c>
      <c r="F362" s="28" t="str">
        <f t="shared" ca="1" si="17"/>
        <v/>
      </c>
    </row>
    <row r="363" spans="2:6" x14ac:dyDescent="0.2">
      <c r="B363" t="str">
        <f>IFERROR(IF('PDCA review'!$D$2='Check'!B363,'Check'!G363,""),"")</f>
        <v/>
      </c>
      <c r="C363">
        <f t="shared" si="15"/>
        <v>0</v>
      </c>
      <c r="D363">
        <f>SUM($C$3:C363)</f>
        <v>4</v>
      </c>
      <c r="E363" t="e">
        <f t="shared" si="16"/>
        <v>#N/A</v>
      </c>
      <c r="F363" s="28" t="str">
        <f t="shared" ca="1" si="17"/>
        <v/>
      </c>
    </row>
    <row r="364" spans="2:6" x14ac:dyDescent="0.2">
      <c r="B364" t="str">
        <f>IFERROR(IF('PDCA review'!$D$2='Check'!B364,'Check'!G364,""),"")</f>
        <v/>
      </c>
      <c r="C364">
        <f t="shared" si="15"/>
        <v>0</v>
      </c>
      <c r="D364">
        <f>SUM($C$3:C364)</f>
        <v>4</v>
      </c>
      <c r="E364" t="e">
        <f t="shared" si="16"/>
        <v>#N/A</v>
      </c>
      <c r="F364" s="28" t="str">
        <f t="shared" ca="1" si="17"/>
        <v/>
      </c>
    </row>
    <row r="365" spans="2:6" x14ac:dyDescent="0.2">
      <c r="B365" t="str">
        <f>IFERROR(IF('PDCA review'!$D$2='Check'!B365,'Check'!G365,""),"")</f>
        <v/>
      </c>
      <c r="C365">
        <f t="shared" si="15"/>
        <v>0</v>
      </c>
      <c r="D365">
        <f>SUM($C$3:C365)</f>
        <v>4</v>
      </c>
      <c r="E365" t="e">
        <f t="shared" si="16"/>
        <v>#N/A</v>
      </c>
      <c r="F365" s="28" t="str">
        <f t="shared" ca="1" si="17"/>
        <v/>
      </c>
    </row>
    <row r="366" spans="2:6" x14ac:dyDescent="0.2">
      <c r="B366" t="str">
        <f>IFERROR(IF('PDCA review'!$D$2='Check'!B366,'Check'!G366,""),"")</f>
        <v/>
      </c>
      <c r="C366">
        <f t="shared" si="15"/>
        <v>0</v>
      </c>
      <c r="D366">
        <f>SUM($C$3:C366)</f>
        <v>4</v>
      </c>
      <c r="E366" t="e">
        <f t="shared" si="16"/>
        <v>#N/A</v>
      </c>
      <c r="F366" s="28" t="str">
        <f t="shared" ca="1" si="17"/>
        <v/>
      </c>
    </row>
    <row r="367" spans="2:6" x14ac:dyDescent="0.2">
      <c r="B367" t="str">
        <f>IFERROR(IF('PDCA review'!$D$2='Check'!B367,'Check'!G367,""),"")</f>
        <v/>
      </c>
      <c r="C367">
        <f t="shared" si="15"/>
        <v>0</v>
      </c>
      <c r="D367">
        <f>SUM($C$3:C367)</f>
        <v>4</v>
      </c>
      <c r="E367" t="e">
        <f t="shared" si="16"/>
        <v>#N/A</v>
      </c>
      <c r="F367" s="28" t="str">
        <f t="shared" ca="1" si="17"/>
        <v/>
      </c>
    </row>
    <row r="368" spans="2:6" x14ac:dyDescent="0.2">
      <c r="B368" t="str">
        <f>IFERROR(IF('PDCA review'!$D$2='Check'!B368,'Check'!G368,""),"")</f>
        <v/>
      </c>
      <c r="C368">
        <f t="shared" si="15"/>
        <v>0</v>
      </c>
      <c r="D368">
        <f>SUM($C$3:C368)</f>
        <v>4</v>
      </c>
      <c r="E368" t="e">
        <f t="shared" si="16"/>
        <v>#N/A</v>
      </c>
      <c r="F368" s="28" t="str">
        <f t="shared" ca="1" si="17"/>
        <v/>
      </c>
    </row>
    <row r="369" spans="2:6" x14ac:dyDescent="0.2">
      <c r="B369" t="str">
        <f>IFERROR(IF('PDCA review'!$D$2='Check'!B369,'Check'!G369,""),"")</f>
        <v/>
      </c>
      <c r="C369">
        <f t="shared" si="15"/>
        <v>0</v>
      </c>
      <c r="D369">
        <f>SUM($C$3:C369)</f>
        <v>4</v>
      </c>
      <c r="E369" t="e">
        <f t="shared" si="16"/>
        <v>#N/A</v>
      </c>
      <c r="F369" s="28" t="str">
        <f t="shared" ca="1" si="17"/>
        <v/>
      </c>
    </row>
    <row r="370" spans="2:6" x14ac:dyDescent="0.2">
      <c r="B370" t="str">
        <f>IFERROR(IF('PDCA review'!$D$2='Check'!B370,'Check'!G370,""),"")</f>
        <v/>
      </c>
      <c r="C370">
        <f t="shared" si="15"/>
        <v>0</v>
      </c>
      <c r="D370">
        <f>SUM($C$3:C370)</f>
        <v>4</v>
      </c>
      <c r="E370" t="e">
        <f t="shared" si="16"/>
        <v>#N/A</v>
      </c>
      <c r="F370" s="28" t="str">
        <f t="shared" ca="1" si="17"/>
        <v/>
      </c>
    </row>
    <row r="371" spans="2:6" x14ac:dyDescent="0.2">
      <c r="B371" t="str">
        <f>IFERROR(IF('PDCA review'!$D$2='Check'!B371,'Check'!G371,""),"")</f>
        <v/>
      </c>
      <c r="C371">
        <f t="shared" si="15"/>
        <v>0</v>
      </c>
      <c r="D371">
        <f>SUM($C$3:C371)</f>
        <v>4</v>
      </c>
      <c r="E371" t="e">
        <f t="shared" si="16"/>
        <v>#N/A</v>
      </c>
      <c r="F371" s="28" t="str">
        <f t="shared" ca="1" si="17"/>
        <v/>
      </c>
    </row>
    <row r="372" spans="2:6" x14ac:dyDescent="0.2">
      <c r="B372" t="str">
        <f>IFERROR(IF('PDCA review'!$D$2='Check'!B372,'Check'!G372,""),"")</f>
        <v/>
      </c>
      <c r="C372">
        <f t="shared" si="15"/>
        <v>0</v>
      </c>
      <c r="D372">
        <f>SUM($C$3:C372)</f>
        <v>4</v>
      </c>
      <c r="E372" t="e">
        <f t="shared" si="16"/>
        <v>#N/A</v>
      </c>
      <c r="F372" s="28" t="str">
        <f t="shared" ca="1" si="17"/>
        <v/>
      </c>
    </row>
    <row r="373" spans="2:6" x14ac:dyDescent="0.2">
      <c r="B373" t="str">
        <f>IFERROR(IF('PDCA review'!$D$2='Check'!B373,'Check'!G373,""),"")</f>
        <v/>
      </c>
      <c r="C373">
        <f t="shared" si="15"/>
        <v>0</v>
      </c>
      <c r="D373">
        <f>SUM($C$3:C373)</f>
        <v>4</v>
      </c>
      <c r="E373" t="e">
        <f t="shared" si="16"/>
        <v>#N/A</v>
      </c>
      <c r="F373" s="28" t="str">
        <f t="shared" ca="1" si="17"/>
        <v/>
      </c>
    </row>
    <row r="374" spans="2:6" x14ac:dyDescent="0.2">
      <c r="B374" t="str">
        <f>IFERROR(IF('PDCA review'!$D$2='Check'!B374,'Check'!G374,""),"")</f>
        <v/>
      </c>
      <c r="C374">
        <f t="shared" si="15"/>
        <v>0</v>
      </c>
      <c r="D374">
        <f>SUM($C$3:C374)</f>
        <v>4</v>
      </c>
      <c r="E374" t="e">
        <f t="shared" si="16"/>
        <v>#N/A</v>
      </c>
      <c r="F374" s="28" t="str">
        <f t="shared" ca="1" si="17"/>
        <v/>
      </c>
    </row>
    <row r="375" spans="2:6" x14ac:dyDescent="0.2">
      <c r="B375" t="str">
        <f>IFERROR(IF('PDCA review'!$D$2='Check'!B375,'Check'!G375,""),"")</f>
        <v/>
      </c>
      <c r="C375">
        <f t="shared" si="15"/>
        <v>0</v>
      </c>
      <c r="D375">
        <f>SUM($C$3:C375)</f>
        <v>4</v>
      </c>
      <c r="E375" t="e">
        <f t="shared" si="16"/>
        <v>#N/A</v>
      </c>
      <c r="F375" s="28" t="str">
        <f t="shared" ca="1" si="17"/>
        <v/>
      </c>
    </row>
    <row r="376" spans="2:6" x14ac:dyDescent="0.2">
      <c r="B376" t="str">
        <f>IFERROR(IF('PDCA review'!$D$2='Check'!B376,'Check'!G376,""),"")</f>
        <v/>
      </c>
      <c r="C376">
        <f t="shared" si="15"/>
        <v>0</v>
      </c>
      <c r="D376">
        <f>SUM($C$3:C376)</f>
        <v>4</v>
      </c>
      <c r="E376" t="e">
        <f t="shared" si="16"/>
        <v>#N/A</v>
      </c>
      <c r="F376" s="28" t="str">
        <f t="shared" ca="1" si="17"/>
        <v/>
      </c>
    </row>
    <row r="377" spans="2:6" x14ac:dyDescent="0.2">
      <c r="B377" t="str">
        <f>IFERROR(IF('PDCA review'!$D$2='Check'!B377,'Check'!G377,""),"")</f>
        <v/>
      </c>
      <c r="C377">
        <f t="shared" si="15"/>
        <v>0</v>
      </c>
      <c r="D377">
        <f>SUM($C$3:C377)</f>
        <v>4</v>
      </c>
      <c r="E377" t="e">
        <f t="shared" si="16"/>
        <v>#N/A</v>
      </c>
      <c r="F377" s="28" t="str">
        <f t="shared" ca="1" si="17"/>
        <v/>
      </c>
    </row>
    <row r="378" spans="2:6" x14ac:dyDescent="0.2">
      <c r="B378" t="str">
        <f>IFERROR(IF('PDCA review'!$D$2='Check'!B378,'Check'!G378,""),"")</f>
        <v/>
      </c>
      <c r="C378">
        <f t="shared" si="15"/>
        <v>0</v>
      </c>
      <c r="D378">
        <f>SUM($C$3:C378)</f>
        <v>4</v>
      </c>
      <c r="E378" t="e">
        <f t="shared" si="16"/>
        <v>#N/A</v>
      </c>
      <c r="F378" s="28" t="str">
        <f t="shared" ca="1" si="17"/>
        <v/>
      </c>
    </row>
    <row r="379" spans="2:6" x14ac:dyDescent="0.2">
      <c r="B379" t="str">
        <f>IFERROR(IF('PDCA review'!$D$2='Check'!B379,'Check'!G379,""),"")</f>
        <v/>
      </c>
      <c r="C379">
        <f t="shared" si="15"/>
        <v>0</v>
      </c>
      <c r="D379">
        <f>SUM($C$3:C379)</f>
        <v>4</v>
      </c>
      <c r="E379" t="e">
        <f t="shared" si="16"/>
        <v>#N/A</v>
      </c>
      <c r="F379" s="28" t="str">
        <f t="shared" ca="1" si="17"/>
        <v/>
      </c>
    </row>
    <row r="380" spans="2:6" x14ac:dyDescent="0.2">
      <c r="B380" t="str">
        <f>IFERROR(IF('PDCA review'!$D$2='Check'!B380,'Check'!G380,""),"")</f>
        <v/>
      </c>
      <c r="C380">
        <f t="shared" si="15"/>
        <v>0</v>
      </c>
      <c r="D380">
        <f>SUM($C$3:C380)</f>
        <v>4</v>
      </c>
      <c r="E380" t="e">
        <f t="shared" si="16"/>
        <v>#N/A</v>
      </c>
      <c r="F380" s="28" t="str">
        <f t="shared" ca="1" si="17"/>
        <v/>
      </c>
    </row>
    <row r="381" spans="2:6" x14ac:dyDescent="0.2">
      <c r="B381" t="str">
        <f>IFERROR(IF('PDCA review'!$D$2='Check'!B381,'Check'!G381,""),"")</f>
        <v/>
      </c>
      <c r="C381">
        <f t="shared" si="15"/>
        <v>0</v>
      </c>
      <c r="D381">
        <f>SUM($C$3:C381)</f>
        <v>4</v>
      </c>
      <c r="E381" t="e">
        <f t="shared" si="16"/>
        <v>#N/A</v>
      </c>
      <c r="F381" s="28" t="str">
        <f t="shared" ca="1" si="17"/>
        <v/>
      </c>
    </row>
    <row r="382" spans="2:6" x14ac:dyDescent="0.2">
      <c r="B382" t="str">
        <f>IFERROR(IF('PDCA review'!$D$2='Check'!B382,'Check'!G382,""),"")</f>
        <v/>
      </c>
      <c r="C382">
        <f t="shared" si="15"/>
        <v>0</v>
      </c>
      <c r="D382">
        <f>SUM($C$3:C382)</f>
        <v>4</v>
      </c>
      <c r="E382" t="e">
        <f t="shared" si="16"/>
        <v>#N/A</v>
      </c>
      <c r="F382" s="28" t="str">
        <f t="shared" ca="1" si="17"/>
        <v/>
      </c>
    </row>
    <row r="383" spans="2:6" x14ac:dyDescent="0.2">
      <c r="B383" t="str">
        <f>IFERROR(IF('PDCA review'!$D$2='Check'!B383,'Check'!G383,""),"")</f>
        <v/>
      </c>
      <c r="C383">
        <f t="shared" si="15"/>
        <v>0</v>
      </c>
      <c r="D383">
        <f>SUM($C$3:C383)</f>
        <v>4</v>
      </c>
      <c r="E383" t="e">
        <f t="shared" si="16"/>
        <v>#N/A</v>
      </c>
      <c r="F383" s="28" t="str">
        <f t="shared" ca="1" si="17"/>
        <v/>
      </c>
    </row>
    <row r="384" spans="2:6" x14ac:dyDescent="0.2">
      <c r="B384" t="str">
        <f>IFERROR(IF('PDCA review'!$D$2='Check'!B384,'Check'!G384,""),"")</f>
        <v/>
      </c>
      <c r="C384">
        <f t="shared" si="15"/>
        <v>0</v>
      </c>
      <c r="D384">
        <f>SUM($C$3:C384)</f>
        <v>4</v>
      </c>
      <c r="E384" t="e">
        <f t="shared" si="16"/>
        <v>#N/A</v>
      </c>
      <c r="F384" s="28" t="str">
        <f t="shared" ca="1" si="17"/>
        <v/>
      </c>
    </row>
    <row r="385" spans="2:6" x14ac:dyDescent="0.2">
      <c r="B385" t="str">
        <f>IFERROR(IF('PDCA review'!$D$2='Check'!B385,'Check'!G385,""),"")</f>
        <v/>
      </c>
      <c r="C385">
        <f t="shared" si="15"/>
        <v>0</v>
      </c>
      <c r="D385">
        <f>SUM($C$3:C385)</f>
        <v>4</v>
      </c>
      <c r="E385" t="e">
        <f t="shared" si="16"/>
        <v>#N/A</v>
      </c>
      <c r="F385" s="28" t="str">
        <f t="shared" ca="1" si="17"/>
        <v/>
      </c>
    </row>
    <row r="386" spans="2:6" x14ac:dyDescent="0.2">
      <c r="B386" t="str">
        <f>IFERROR(IF('PDCA review'!$D$2='Check'!B386,'Check'!G386,""),"")</f>
        <v/>
      </c>
      <c r="C386">
        <f t="shared" si="15"/>
        <v>0</v>
      </c>
      <c r="D386">
        <f>SUM($C$3:C386)</f>
        <v>4</v>
      </c>
      <c r="E386" t="e">
        <f t="shared" si="16"/>
        <v>#N/A</v>
      </c>
      <c r="F386" s="28" t="str">
        <f t="shared" ca="1" si="17"/>
        <v/>
      </c>
    </row>
    <row r="387" spans="2:6" x14ac:dyDescent="0.2">
      <c r="B387" t="str">
        <f>IFERROR(IF('PDCA review'!$D$2='Check'!B387,'Check'!G387,""),"")</f>
        <v/>
      </c>
      <c r="C387">
        <f t="shared" si="15"/>
        <v>0</v>
      </c>
      <c r="D387">
        <f>SUM($C$3:C387)</f>
        <v>4</v>
      </c>
      <c r="E387" t="e">
        <f t="shared" si="16"/>
        <v>#N/A</v>
      </c>
      <c r="F387" s="28" t="str">
        <f t="shared" ca="1" si="17"/>
        <v/>
      </c>
    </row>
    <row r="388" spans="2:6" x14ac:dyDescent="0.2">
      <c r="B388" t="str">
        <f>IFERROR(IF('PDCA review'!$D$2='Check'!B388,'Check'!G388,""),"")</f>
        <v/>
      </c>
      <c r="C388">
        <f t="shared" ref="C388:C451" si="18">IF(B388&lt;&gt;"",1,0)</f>
        <v>0</v>
      </c>
      <c r="D388">
        <f>SUM($C$3:C388)</f>
        <v>4</v>
      </c>
      <c r="E388" t="e">
        <f t="shared" ref="E388:E451" si="19">MATCH(ROW()-$D$2,$D$3:$D$2000,0)+$D$2</f>
        <v>#N/A</v>
      </c>
      <c r="F388" s="28" t="str">
        <f t="shared" ref="F388:F451" ca="1" si="20">IFERROR(INDIRECT("B"&amp;E388),"")</f>
        <v/>
      </c>
    </row>
    <row r="389" spans="2:6" x14ac:dyDescent="0.2">
      <c r="B389" t="str">
        <f>IFERROR(IF('PDCA review'!$D$2='Check'!B389,'Check'!G389,""),"")</f>
        <v/>
      </c>
      <c r="C389">
        <f t="shared" si="18"/>
        <v>0</v>
      </c>
      <c r="D389">
        <f>SUM($C$3:C389)</f>
        <v>4</v>
      </c>
      <c r="E389" t="e">
        <f t="shared" si="19"/>
        <v>#N/A</v>
      </c>
      <c r="F389" s="28" t="str">
        <f t="shared" ca="1" si="20"/>
        <v/>
      </c>
    </row>
    <row r="390" spans="2:6" x14ac:dyDescent="0.2">
      <c r="B390" t="str">
        <f>IFERROR(IF('PDCA review'!$D$2='Check'!B390,'Check'!G390,""),"")</f>
        <v/>
      </c>
      <c r="C390">
        <f t="shared" si="18"/>
        <v>0</v>
      </c>
      <c r="D390">
        <f>SUM($C$3:C390)</f>
        <v>4</v>
      </c>
      <c r="E390" t="e">
        <f t="shared" si="19"/>
        <v>#N/A</v>
      </c>
      <c r="F390" s="28" t="str">
        <f t="shared" ca="1" si="20"/>
        <v/>
      </c>
    </row>
    <row r="391" spans="2:6" x14ac:dyDescent="0.2">
      <c r="B391" t="str">
        <f>IFERROR(IF('PDCA review'!$D$2='Check'!B391,'Check'!G391,""),"")</f>
        <v/>
      </c>
      <c r="C391">
        <f t="shared" si="18"/>
        <v>0</v>
      </c>
      <c r="D391">
        <f>SUM($C$3:C391)</f>
        <v>4</v>
      </c>
      <c r="E391" t="e">
        <f t="shared" si="19"/>
        <v>#N/A</v>
      </c>
      <c r="F391" s="28" t="str">
        <f t="shared" ca="1" si="20"/>
        <v/>
      </c>
    </row>
    <row r="392" spans="2:6" x14ac:dyDescent="0.2">
      <c r="B392" t="str">
        <f>IFERROR(IF('PDCA review'!$D$2='Check'!B392,'Check'!G392,""),"")</f>
        <v/>
      </c>
      <c r="C392">
        <f t="shared" si="18"/>
        <v>0</v>
      </c>
      <c r="D392">
        <f>SUM($C$3:C392)</f>
        <v>4</v>
      </c>
      <c r="E392" t="e">
        <f t="shared" si="19"/>
        <v>#N/A</v>
      </c>
      <c r="F392" s="28" t="str">
        <f t="shared" ca="1" si="20"/>
        <v/>
      </c>
    </row>
    <row r="393" spans="2:6" x14ac:dyDescent="0.2">
      <c r="B393" t="str">
        <f>IFERROR(IF('PDCA review'!$D$2='Check'!B393,'Check'!G393,""),"")</f>
        <v/>
      </c>
      <c r="C393">
        <f t="shared" si="18"/>
        <v>0</v>
      </c>
      <c r="D393">
        <f>SUM($C$3:C393)</f>
        <v>4</v>
      </c>
      <c r="E393" t="e">
        <f t="shared" si="19"/>
        <v>#N/A</v>
      </c>
      <c r="F393" s="28" t="str">
        <f t="shared" ca="1" si="20"/>
        <v/>
      </c>
    </row>
    <row r="394" spans="2:6" x14ac:dyDescent="0.2">
      <c r="B394" t="str">
        <f>IFERROR(IF('PDCA review'!$D$2='Check'!B394,'Check'!G394,""),"")</f>
        <v/>
      </c>
      <c r="C394">
        <f t="shared" si="18"/>
        <v>0</v>
      </c>
      <c r="D394">
        <f>SUM($C$3:C394)</f>
        <v>4</v>
      </c>
      <c r="E394" t="e">
        <f t="shared" si="19"/>
        <v>#N/A</v>
      </c>
      <c r="F394" s="28" t="str">
        <f t="shared" ca="1" si="20"/>
        <v/>
      </c>
    </row>
    <row r="395" spans="2:6" x14ac:dyDescent="0.2">
      <c r="B395" t="str">
        <f>IFERROR(IF('PDCA review'!$D$2='Check'!B395,'Check'!G395,""),"")</f>
        <v/>
      </c>
      <c r="C395">
        <f t="shared" si="18"/>
        <v>0</v>
      </c>
      <c r="D395">
        <f>SUM($C$3:C395)</f>
        <v>4</v>
      </c>
      <c r="E395" t="e">
        <f t="shared" si="19"/>
        <v>#N/A</v>
      </c>
      <c r="F395" s="28" t="str">
        <f t="shared" ca="1" si="20"/>
        <v/>
      </c>
    </row>
    <row r="396" spans="2:6" x14ac:dyDescent="0.2">
      <c r="B396" t="str">
        <f>IFERROR(IF('PDCA review'!$D$2='Check'!B396,'Check'!G396,""),"")</f>
        <v/>
      </c>
      <c r="C396">
        <f t="shared" si="18"/>
        <v>0</v>
      </c>
      <c r="D396">
        <f>SUM($C$3:C396)</f>
        <v>4</v>
      </c>
      <c r="E396" t="e">
        <f t="shared" si="19"/>
        <v>#N/A</v>
      </c>
      <c r="F396" s="28" t="str">
        <f t="shared" ca="1" si="20"/>
        <v/>
      </c>
    </row>
    <row r="397" spans="2:6" x14ac:dyDescent="0.2">
      <c r="B397" t="str">
        <f>IFERROR(IF('PDCA review'!$D$2='Check'!B397,'Check'!G397,""),"")</f>
        <v/>
      </c>
      <c r="C397">
        <f t="shared" si="18"/>
        <v>0</v>
      </c>
      <c r="D397">
        <f>SUM($C$3:C397)</f>
        <v>4</v>
      </c>
      <c r="E397" t="e">
        <f t="shared" si="19"/>
        <v>#N/A</v>
      </c>
      <c r="F397" s="28" t="str">
        <f t="shared" ca="1" si="20"/>
        <v/>
      </c>
    </row>
    <row r="398" spans="2:6" x14ac:dyDescent="0.2">
      <c r="B398" t="str">
        <f>IFERROR(IF('PDCA review'!$D$2='Check'!B398,'Check'!G398,""),"")</f>
        <v/>
      </c>
      <c r="C398">
        <f t="shared" si="18"/>
        <v>0</v>
      </c>
      <c r="D398">
        <f>SUM($C$3:C398)</f>
        <v>4</v>
      </c>
      <c r="E398" t="e">
        <f t="shared" si="19"/>
        <v>#N/A</v>
      </c>
      <c r="F398" s="28" t="str">
        <f t="shared" ca="1" si="20"/>
        <v/>
      </c>
    </row>
    <row r="399" spans="2:6" x14ac:dyDescent="0.2">
      <c r="B399" t="str">
        <f>IFERROR(IF('PDCA review'!$D$2='Check'!B399,'Check'!G399,""),"")</f>
        <v/>
      </c>
      <c r="C399">
        <f t="shared" si="18"/>
        <v>0</v>
      </c>
      <c r="D399">
        <f>SUM($C$3:C399)</f>
        <v>4</v>
      </c>
      <c r="E399" t="e">
        <f t="shared" si="19"/>
        <v>#N/A</v>
      </c>
      <c r="F399" s="28" t="str">
        <f t="shared" ca="1" si="20"/>
        <v/>
      </c>
    </row>
    <row r="400" spans="2:6" x14ac:dyDescent="0.2">
      <c r="B400" t="str">
        <f>IFERROR(IF('PDCA review'!$D$2='Check'!B400,'Check'!G400,""),"")</f>
        <v/>
      </c>
      <c r="C400">
        <f t="shared" si="18"/>
        <v>0</v>
      </c>
      <c r="D400">
        <f>SUM($C$3:C400)</f>
        <v>4</v>
      </c>
      <c r="E400" t="e">
        <f t="shared" si="19"/>
        <v>#N/A</v>
      </c>
      <c r="F400" s="28" t="str">
        <f t="shared" ca="1" si="20"/>
        <v/>
      </c>
    </row>
    <row r="401" spans="2:6" x14ac:dyDescent="0.2">
      <c r="B401" t="str">
        <f>IFERROR(IF('PDCA review'!$D$2='Check'!B401,'Check'!G401,""),"")</f>
        <v/>
      </c>
      <c r="C401">
        <f t="shared" si="18"/>
        <v>0</v>
      </c>
      <c r="D401">
        <f>SUM($C$3:C401)</f>
        <v>4</v>
      </c>
      <c r="E401" t="e">
        <f t="shared" si="19"/>
        <v>#N/A</v>
      </c>
      <c r="F401" s="28" t="str">
        <f t="shared" ca="1" si="20"/>
        <v/>
      </c>
    </row>
    <row r="402" spans="2:6" x14ac:dyDescent="0.2">
      <c r="B402" t="str">
        <f>IFERROR(IF('PDCA review'!$D$2='Check'!B402,'Check'!G402,""),"")</f>
        <v/>
      </c>
      <c r="C402">
        <f t="shared" si="18"/>
        <v>0</v>
      </c>
      <c r="D402">
        <f>SUM($C$3:C402)</f>
        <v>4</v>
      </c>
      <c r="E402" t="e">
        <f t="shared" si="19"/>
        <v>#N/A</v>
      </c>
      <c r="F402" s="28" t="str">
        <f t="shared" ca="1" si="20"/>
        <v/>
      </c>
    </row>
    <row r="403" spans="2:6" x14ac:dyDescent="0.2">
      <c r="B403" t="str">
        <f>IFERROR(IF('PDCA review'!$D$2='Check'!B403,'Check'!G403,""),"")</f>
        <v/>
      </c>
      <c r="C403">
        <f t="shared" si="18"/>
        <v>0</v>
      </c>
      <c r="D403">
        <f>SUM($C$3:C403)</f>
        <v>4</v>
      </c>
      <c r="E403" t="e">
        <f t="shared" si="19"/>
        <v>#N/A</v>
      </c>
      <c r="F403" s="28" t="str">
        <f t="shared" ca="1" si="20"/>
        <v/>
      </c>
    </row>
    <row r="404" spans="2:6" x14ac:dyDescent="0.2">
      <c r="B404" t="str">
        <f>IFERROR(IF('PDCA review'!$D$2='Check'!B404,'Check'!G404,""),"")</f>
        <v/>
      </c>
      <c r="C404">
        <f t="shared" si="18"/>
        <v>0</v>
      </c>
      <c r="D404">
        <f>SUM($C$3:C404)</f>
        <v>4</v>
      </c>
      <c r="E404" t="e">
        <f t="shared" si="19"/>
        <v>#N/A</v>
      </c>
      <c r="F404" s="28" t="str">
        <f t="shared" ca="1" si="20"/>
        <v/>
      </c>
    </row>
    <row r="405" spans="2:6" x14ac:dyDescent="0.2">
      <c r="B405" t="str">
        <f>IFERROR(IF('PDCA review'!$D$2='Check'!B405,'Check'!G405,""),"")</f>
        <v/>
      </c>
      <c r="C405">
        <f t="shared" si="18"/>
        <v>0</v>
      </c>
      <c r="D405">
        <f>SUM($C$3:C405)</f>
        <v>4</v>
      </c>
      <c r="E405" t="e">
        <f t="shared" si="19"/>
        <v>#N/A</v>
      </c>
      <c r="F405" s="28" t="str">
        <f t="shared" ca="1" si="20"/>
        <v/>
      </c>
    </row>
    <row r="406" spans="2:6" x14ac:dyDescent="0.2">
      <c r="B406" t="str">
        <f>IFERROR(IF('PDCA review'!$D$2='Check'!B406,'Check'!G406,""),"")</f>
        <v/>
      </c>
      <c r="C406">
        <f t="shared" si="18"/>
        <v>0</v>
      </c>
      <c r="D406">
        <f>SUM($C$3:C406)</f>
        <v>4</v>
      </c>
      <c r="E406" t="e">
        <f t="shared" si="19"/>
        <v>#N/A</v>
      </c>
      <c r="F406" s="28" t="str">
        <f t="shared" ca="1" si="20"/>
        <v/>
      </c>
    </row>
    <row r="407" spans="2:6" x14ac:dyDescent="0.2">
      <c r="B407" t="str">
        <f>IFERROR(IF('PDCA review'!$D$2='Check'!B407,'Check'!G407,""),"")</f>
        <v/>
      </c>
      <c r="C407">
        <f t="shared" si="18"/>
        <v>0</v>
      </c>
      <c r="D407">
        <f>SUM($C$3:C407)</f>
        <v>4</v>
      </c>
      <c r="E407" t="e">
        <f t="shared" si="19"/>
        <v>#N/A</v>
      </c>
      <c r="F407" s="28" t="str">
        <f t="shared" ca="1" si="20"/>
        <v/>
      </c>
    </row>
    <row r="408" spans="2:6" x14ac:dyDescent="0.2">
      <c r="B408" t="str">
        <f>IFERROR(IF('PDCA review'!$D$2='Check'!B408,'Check'!G408,""),"")</f>
        <v/>
      </c>
      <c r="C408">
        <f t="shared" si="18"/>
        <v>0</v>
      </c>
      <c r="D408">
        <f>SUM($C$3:C408)</f>
        <v>4</v>
      </c>
      <c r="E408" t="e">
        <f t="shared" si="19"/>
        <v>#N/A</v>
      </c>
      <c r="F408" s="28" t="str">
        <f t="shared" ca="1" si="20"/>
        <v/>
      </c>
    </row>
    <row r="409" spans="2:6" x14ac:dyDescent="0.2">
      <c r="B409" t="str">
        <f>IFERROR(IF('PDCA review'!$D$2='Check'!B409,'Check'!G409,""),"")</f>
        <v/>
      </c>
      <c r="C409">
        <f t="shared" si="18"/>
        <v>0</v>
      </c>
      <c r="D409">
        <f>SUM($C$3:C409)</f>
        <v>4</v>
      </c>
      <c r="E409" t="e">
        <f t="shared" si="19"/>
        <v>#N/A</v>
      </c>
      <c r="F409" s="28" t="str">
        <f t="shared" ca="1" si="20"/>
        <v/>
      </c>
    </row>
    <row r="410" spans="2:6" x14ac:dyDescent="0.2">
      <c r="B410" t="str">
        <f>IFERROR(IF('PDCA review'!$D$2='Check'!B410,'Check'!G410,""),"")</f>
        <v/>
      </c>
      <c r="C410">
        <f t="shared" si="18"/>
        <v>0</v>
      </c>
      <c r="D410">
        <f>SUM($C$3:C410)</f>
        <v>4</v>
      </c>
      <c r="E410" t="e">
        <f t="shared" si="19"/>
        <v>#N/A</v>
      </c>
      <c r="F410" s="28" t="str">
        <f t="shared" ca="1" si="20"/>
        <v/>
      </c>
    </row>
    <row r="411" spans="2:6" x14ac:dyDescent="0.2">
      <c r="B411" t="str">
        <f>IFERROR(IF('PDCA review'!$D$2='Check'!B411,'Check'!G411,""),"")</f>
        <v/>
      </c>
      <c r="C411">
        <f t="shared" si="18"/>
        <v>0</v>
      </c>
      <c r="D411">
        <f>SUM($C$3:C411)</f>
        <v>4</v>
      </c>
      <c r="E411" t="e">
        <f t="shared" si="19"/>
        <v>#N/A</v>
      </c>
      <c r="F411" s="28" t="str">
        <f t="shared" ca="1" si="20"/>
        <v/>
      </c>
    </row>
    <row r="412" spans="2:6" x14ac:dyDescent="0.2">
      <c r="B412" t="str">
        <f>IFERROR(IF('PDCA review'!$D$2='Check'!B412,'Check'!G412,""),"")</f>
        <v/>
      </c>
      <c r="C412">
        <f t="shared" si="18"/>
        <v>0</v>
      </c>
      <c r="D412">
        <f>SUM($C$3:C412)</f>
        <v>4</v>
      </c>
      <c r="E412" t="e">
        <f t="shared" si="19"/>
        <v>#N/A</v>
      </c>
      <c r="F412" s="28" t="str">
        <f t="shared" ca="1" si="20"/>
        <v/>
      </c>
    </row>
    <row r="413" spans="2:6" x14ac:dyDescent="0.2">
      <c r="B413" t="str">
        <f>IFERROR(IF('PDCA review'!$D$2='Check'!B413,'Check'!G413,""),"")</f>
        <v/>
      </c>
      <c r="C413">
        <f t="shared" si="18"/>
        <v>0</v>
      </c>
      <c r="D413">
        <f>SUM($C$3:C413)</f>
        <v>4</v>
      </c>
      <c r="E413" t="e">
        <f t="shared" si="19"/>
        <v>#N/A</v>
      </c>
      <c r="F413" s="28" t="str">
        <f t="shared" ca="1" si="20"/>
        <v/>
      </c>
    </row>
    <row r="414" spans="2:6" x14ac:dyDescent="0.2">
      <c r="B414" t="str">
        <f>IFERROR(IF('PDCA review'!$D$2='Check'!B414,'Check'!G414,""),"")</f>
        <v/>
      </c>
      <c r="C414">
        <f t="shared" si="18"/>
        <v>0</v>
      </c>
      <c r="D414">
        <f>SUM($C$3:C414)</f>
        <v>4</v>
      </c>
      <c r="E414" t="e">
        <f t="shared" si="19"/>
        <v>#N/A</v>
      </c>
      <c r="F414" s="28" t="str">
        <f t="shared" ca="1" si="20"/>
        <v/>
      </c>
    </row>
    <row r="415" spans="2:6" x14ac:dyDescent="0.2">
      <c r="B415" t="str">
        <f>IFERROR(IF('PDCA review'!$D$2='Check'!B415,'Check'!G415,""),"")</f>
        <v/>
      </c>
      <c r="C415">
        <f t="shared" si="18"/>
        <v>0</v>
      </c>
      <c r="D415">
        <f>SUM($C$3:C415)</f>
        <v>4</v>
      </c>
      <c r="E415" t="e">
        <f t="shared" si="19"/>
        <v>#N/A</v>
      </c>
      <c r="F415" s="28" t="str">
        <f t="shared" ca="1" si="20"/>
        <v/>
      </c>
    </row>
    <row r="416" spans="2:6" x14ac:dyDescent="0.2">
      <c r="B416" t="str">
        <f>IFERROR(IF('PDCA review'!$D$2='Check'!B416,'Check'!G416,""),"")</f>
        <v/>
      </c>
      <c r="C416">
        <f t="shared" si="18"/>
        <v>0</v>
      </c>
      <c r="D416">
        <f>SUM($C$3:C416)</f>
        <v>4</v>
      </c>
      <c r="E416" t="e">
        <f t="shared" si="19"/>
        <v>#N/A</v>
      </c>
      <c r="F416" s="28" t="str">
        <f t="shared" ca="1" si="20"/>
        <v/>
      </c>
    </row>
    <row r="417" spans="2:6" x14ac:dyDescent="0.2">
      <c r="B417" t="str">
        <f>IFERROR(IF('PDCA review'!$D$2='Check'!B417,'Check'!G417,""),"")</f>
        <v/>
      </c>
      <c r="C417">
        <f t="shared" si="18"/>
        <v>0</v>
      </c>
      <c r="D417">
        <f>SUM($C$3:C417)</f>
        <v>4</v>
      </c>
      <c r="E417" t="e">
        <f t="shared" si="19"/>
        <v>#N/A</v>
      </c>
      <c r="F417" s="28" t="str">
        <f t="shared" ca="1" si="20"/>
        <v/>
      </c>
    </row>
    <row r="418" spans="2:6" x14ac:dyDescent="0.2">
      <c r="B418" t="str">
        <f>IFERROR(IF('PDCA review'!$D$2='Check'!B418,'Check'!G418,""),"")</f>
        <v/>
      </c>
      <c r="C418">
        <f t="shared" si="18"/>
        <v>0</v>
      </c>
      <c r="D418">
        <f>SUM($C$3:C418)</f>
        <v>4</v>
      </c>
      <c r="E418" t="e">
        <f t="shared" si="19"/>
        <v>#N/A</v>
      </c>
      <c r="F418" s="28" t="str">
        <f t="shared" ca="1" si="20"/>
        <v/>
      </c>
    </row>
    <row r="419" spans="2:6" x14ac:dyDescent="0.2">
      <c r="B419" t="str">
        <f>IFERROR(IF('PDCA review'!$D$2='Check'!B419,'Check'!G419,""),"")</f>
        <v/>
      </c>
      <c r="C419">
        <f t="shared" si="18"/>
        <v>0</v>
      </c>
      <c r="D419">
        <f>SUM($C$3:C419)</f>
        <v>4</v>
      </c>
      <c r="E419" t="e">
        <f t="shared" si="19"/>
        <v>#N/A</v>
      </c>
      <c r="F419" s="28" t="str">
        <f t="shared" ca="1" si="20"/>
        <v/>
      </c>
    </row>
    <row r="420" spans="2:6" x14ac:dyDescent="0.2">
      <c r="B420" t="str">
        <f>IFERROR(IF('PDCA review'!$D$2='Check'!B420,'Check'!G420,""),"")</f>
        <v/>
      </c>
      <c r="C420">
        <f t="shared" si="18"/>
        <v>0</v>
      </c>
      <c r="D420">
        <f>SUM($C$3:C420)</f>
        <v>4</v>
      </c>
      <c r="E420" t="e">
        <f t="shared" si="19"/>
        <v>#N/A</v>
      </c>
      <c r="F420" s="28" t="str">
        <f t="shared" ca="1" si="20"/>
        <v/>
      </c>
    </row>
    <row r="421" spans="2:6" x14ac:dyDescent="0.2">
      <c r="B421" t="str">
        <f>IFERROR(IF('PDCA review'!$D$2='Check'!B421,'Check'!G421,""),"")</f>
        <v/>
      </c>
      <c r="C421">
        <f t="shared" si="18"/>
        <v>0</v>
      </c>
      <c r="D421">
        <f>SUM($C$3:C421)</f>
        <v>4</v>
      </c>
      <c r="E421" t="e">
        <f t="shared" si="19"/>
        <v>#N/A</v>
      </c>
      <c r="F421" s="28" t="str">
        <f t="shared" ca="1" si="20"/>
        <v/>
      </c>
    </row>
    <row r="422" spans="2:6" x14ac:dyDescent="0.2">
      <c r="B422" t="str">
        <f>IFERROR(IF('PDCA review'!$D$2='Check'!B422,'Check'!G422,""),"")</f>
        <v/>
      </c>
      <c r="C422">
        <f t="shared" si="18"/>
        <v>0</v>
      </c>
      <c r="D422">
        <f>SUM($C$3:C422)</f>
        <v>4</v>
      </c>
      <c r="E422" t="e">
        <f t="shared" si="19"/>
        <v>#N/A</v>
      </c>
      <c r="F422" s="28" t="str">
        <f t="shared" ca="1" si="20"/>
        <v/>
      </c>
    </row>
    <row r="423" spans="2:6" x14ac:dyDescent="0.2">
      <c r="B423" t="str">
        <f>IFERROR(IF('PDCA review'!$D$2='Check'!B423,'Check'!G423,""),"")</f>
        <v/>
      </c>
      <c r="C423">
        <f t="shared" si="18"/>
        <v>0</v>
      </c>
      <c r="D423">
        <f>SUM($C$3:C423)</f>
        <v>4</v>
      </c>
      <c r="E423" t="e">
        <f t="shared" si="19"/>
        <v>#N/A</v>
      </c>
      <c r="F423" s="28" t="str">
        <f t="shared" ca="1" si="20"/>
        <v/>
      </c>
    </row>
    <row r="424" spans="2:6" x14ac:dyDescent="0.2">
      <c r="B424" t="str">
        <f>IFERROR(IF('PDCA review'!$D$2='Check'!B424,'Check'!G424,""),"")</f>
        <v/>
      </c>
      <c r="C424">
        <f t="shared" si="18"/>
        <v>0</v>
      </c>
      <c r="D424">
        <f>SUM($C$3:C424)</f>
        <v>4</v>
      </c>
      <c r="E424" t="e">
        <f t="shared" si="19"/>
        <v>#N/A</v>
      </c>
      <c r="F424" s="28" t="str">
        <f t="shared" ca="1" si="20"/>
        <v/>
      </c>
    </row>
    <row r="425" spans="2:6" x14ac:dyDescent="0.2">
      <c r="B425" t="str">
        <f>IFERROR(IF('PDCA review'!$D$2='Check'!B425,'Check'!G425,""),"")</f>
        <v/>
      </c>
      <c r="C425">
        <f t="shared" si="18"/>
        <v>0</v>
      </c>
      <c r="D425">
        <f>SUM($C$3:C425)</f>
        <v>4</v>
      </c>
      <c r="E425" t="e">
        <f t="shared" si="19"/>
        <v>#N/A</v>
      </c>
      <c r="F425" s="28" t="str">
        <f t="shared" ca="1" si="20"/>
        <v/>
      </c>
    </row>
    <row r="426" spans="2:6" x14ac:dyDescent="0.2">
      <c r="B426" t="str">
        <f>IFERROR(IF('PDCA review'!$D$2='Check'!B426,'Check'!G426,""),"")</f>
        <v/>
      </c>
      <c r="C426">
        <f t="shared" si="18"/>
        <v>0</v>
      </c>
      <c r="D426">
        <f>SUM($C$3:C426)</f>
        <v>4</v>
      </c>
      <c r="E426" t="e">
        <f t="shared" si="19"/>
        <v>#N/A</v>
      </c>
      <c r="F426" s="28" t="str">
        <f t="shared" ca="1" si="20"/>
        <v/>
      </c>
    </row>
    <row r="427" spans="2:6" x14ac:dyDescent="0.2">
      <c r="B427" t="str">
        <f>IFERROR(IF('PDCA review'!$D$2='Check'!B427,'Check'!G427,""),"")</f>
        <v/>
      </c>
      <c r="C427">
        <f t="shared" si="18"/>
        <v>0</v>
      </c>
      <c r="D427">
        <f>SUM($C$3:C427)</f>
        <v>4</v>
      </c>
      <c r="E427" t="e">
        <f t="shared" si="19"/>
        <v>#N/A</v>
      </c>
      <c r="F427" s="28" t="str">
        <f t="shared" ca="1" si="20"/>
        <v/>
      </c>
    </row>
    <row r="428" spans="2:6" x14ac:dyDescent="0.2">
      <c r="B428" t="str">
        <f>IFERROR(IF('PDCA review'!$D$2='Check'!B428,'Check'!G428,""),"")</f>
        <v/>
      </c>
      <c r="C428">
        <f t="shared" si="18"/>
        <v>0</v>
      </c>
      <c r="D428">
        <f>SUM($C$3:C428)</f>
        <v>4</v>
      </c>
      <c r="E428" t="e">
        <f t="shared" si="19"/>
        <v>#N/A</v>
      </c>
      <c r="F428" s="28" t="str">
        <f t="shared" ca="1" si="20"/>
        <v/>
      </c>
    </row>
    <row r="429" spans="2:6" x14ac:dyDescent="0.2">
      <c r="B429" t="str">
        <f>IFERROR(IF('PDCA review'!$D$2='Check'!B429,'Check'!G429,""),"")</f>
        <v/>
      </c>
      <c r="C429">
        <f t="shared" si="18"/>
        <v>0</v>
      </c>
      <c r="D429">
        <f>SUM($C$3:C429)</f>
        <v>4</v>
      </c>
      <c r="E429" t="e">
        <f t="shared" si="19"/>
        <v>#N/A</v>
      </c>
      <c r="F429" s="28" t="str">
        <f t="shared" ca="1" si="20"/>
        <v/>
      </c>
    </row>
    <row r="430" spans="2:6" x14ac:dyDescent="0.2">
      <c r="B430" t="str">
        <f>IFERROR(IF('PDCA review'!$D$2='Check'!B430,'Check'!G430,""),"")</f>
        <v/>
      </c>
      <c r="C430">
        <f t="shared" si="18"/>
        <v>0</v>
      </c>
      <c r="D430">
        <f>SUM($C$3:C430)</f>
        <v>4</v>
      </c>
      <c r="E430" t="e">
        <f t="shared" si="19"/>
        <v>#N/A</v>
      </c>
      <c r="F430" s="28" t="str">
        <f t="shared" ca="1" si="20"/>
        <v/>
      </c>
    </row>
    <row r="431" spans="2:6" x14ac:dyDescent="0.2">
      <c r="B431" t="str">
        <f>IFERROR(IF('PDCA review'!$D$2='Check'!B431,'Check'!G431,""),"")</f>
        <v/>
      </c>
      <c r="C431">
        <f t="shared" si="18"/>
        <v>0</v>
      </c>
      <c r="D431">
        <f>SUM($C$3:C431)</f>
        <v>4</v>
      </c>
      <c r="E431" t="e">
        <f t="shared" si="19"/>
        <v>#N/A</v>
      </c>
      <c r="F431" s="28" t="str">
        <f t="shared" ca="1" si="20"/>
        <v/>
      </c>
    </row>
    <row r="432" spans="2:6" x14ac:dyDescent="0.2">
      <c r="B432" t="str">
        <f>IFERROR(IF('PDCA review'!$D$2='Check'!B432,'Check'!G432,""),"")</f>
        <v/>
      </c>
      <c r="C432">
        <f t="shared" si="18"/>
        <v>0</v>
      </c>
      <c r="D432">
        <f>SUM($C$3:C432)</f>
        <v>4</v>
      </c>
      <c r="E432" t="e">
        <f t="shared" si="19"/>
        <v>#N/A</v>
      </c>
      <c r="F432" s="28" t="str">
        <f t="shared" ca="1" si="20"/>
        <v/>
      </c>
    </row>
    <row r="433" spans="2:6" x14ac:dyDescent="0.2">
      <c r="B433" t="str">
        <f>IFERROR(IF('PDCA review'!$D$2='Check'!B433,'Check'!G433,""),"")</f>
        <v/>
      </c>
      <c r="C433">
        <f t="shared" si="18"/>
        <v>0</v>
      </c>
      <c r="D433">
        <f>SUM($C$3:C433)</f>
        <v>4</v>
      </c>
      <c r="E433" t="e">
        <f t="shared" si="19"/>
        <v>#N/A</v>
      </c>
      <c r="F433" s="28" t="str">
        <f t="shared" ca="1" si="20"/>
        <v/>
      </c>
    </row>
    <row r="434" spans="2:6" x14ac:dyDescent="0.2">
      <c r="B434" t="str">
        <f>IFERROR(IF('PDCA review'!$D$2='Check'!B434,'Check'!G434,""),"")</f>
        <v/>
      </c>
      <c r="C434">
        <f t="shared" si="18"/>
        <v>0</v>
      </c>
      <c r="D434">
        <f>SUM($C$3:C434)</f>
        <v>4</v>
      </c>
      <c r="E434" t="e">
        <f t="shared" si="19"/>
        <v>#N/A</v>
      </c>
      <c r="F434" s="28" t="str">
        <f t="shared" ca="1" si="20"/>
        <v/>
      </c>
    </row>
    <row r="435" spans="2:6" x14ac:dyDescent="0.2">
      <c r="B435" t="str">
        <f>IFERROR(IF('PDCA review'!$D$2='Check'!B435,'Check'!G435,""),"")</f>
        <v/>
      </c>
      <c r="C435">
        <f t="shared" si="18"/>
        <v>0</v>
      </c>
      <c r="D435">
        <f>SUM($C$3:C435)</f>
        <v>4</v>
      </c>
      <c r="E435" t="e">
        <f t="shared" si="19"/>
        <v>#N/A</v>
      </c>
      <c r="F435" s="28" t="str">
        <f t="shared" ca="1" si="20"/>
        <v/>
      </c>
    </row>
    <row r="436" spans="2:6" x14ac:dyDescent="0.2">
      <c r="B436" t="str">
        <f>IFERROR(IF('PDCA review'!$D$2='Check'!B436,'Check'!G436,""),"")</f>
        <v/>
      </c>
      <c r="C436">
        <f t="shared" si="18"/>
        <v>0</v>
      </c>
      <c r="D436">
        <f>SUM($C$3:C436)</f>
        <v>4</v>
      </c>
      <c r="E436" t="e">
        <f t="shared" si="19"/>
        <v>#N/A</v>
      </c>
      <c r="F436" s="28" t="str">
        <f t="shared" ca="1" si="20"/>
        <v/>
      </c>
    </row>
    <row r="437" spans="2:6" x14ac:dyDescent="0.2">
      <c r="B437" t="str">
        <f>IFERROR(IF('PDCA review'!$D$2='Check'!B437,'Check'!G437,""),"")</f>
        <v/>
      </c>
      <c r="C437">
        <f t="shared" si="18"/>
        <v>0</v>
      </c>
      <c r="D437">
        <f>SUM($C$3:C437)</f>
        <v>4</v>
      </c>
      <c r="E437" t="e">
        <f t="shared" si="19"/>
        <v>#N/A</v>
      </c>
      <c r="F437" s="28" t="str">
        <f t="shared" ca="1" si="20"/>
        <v/>
      </c>
    </row>
    <row r="438" spans="2:6" x14ac:dyDescent="0.2">
      <c r="B438" t="str">
        <f>IFERROR(IF('PDCA review'!$D$2='Check'!B438,'Check'!G438,""),"")</f>
        <v/>
      </c>
      <c r="C438">
        <f t="shared" si="18"/>
        <v>0</v>
      </c>
      <c r="D438">
        <f>SUM($C$3:C438)</f>
        <v>4</v>
      </c>
      <c r="E438" t="e">
        <f t="shared" si="19"/>
        <v>#N/A</v>
      </c>
      <c r="F438" s="28" t="str">
        <f t="shared" ca="1" si="20"/>
        <v/>
      </c>
    </row>
    <row r="439" spans="2:6" x14ac:dyDescent="0.2">
      <c r="B439" t="str">
        <f>IFERROR(IF('PDCA review'!$D$2='Check'!B439,'Check'!G439,""),"")</f>
        <v/>
      </c>
      <c r="C439">
        <f t="shared" si="18"/>
        <v>0</v>
      </c>
      <c r="D439">
        <f>SUM($C$3:C439)</f>
        <v>4</v>
      </c>
      <c r="E439" t="e">
        <f t="shared" si="19"/>
        <v>#N/A</v>
      </c>
      <c r="F439" s="28" t="str">
        <f t="shared" ca="1" si="20"/>
        <v/>
      </c>
    </row>
    <row r="440" spans="2:6" x14ac:dyDescent="0.2">
      <c r="B440" t="str">
        <f>IFERROR(IF('PDCA review'!$D$2='Check'!B440,'Check'!G440,""),"")</f>
        <v/>
      </c>
      <c r="C440">
        <f t="shared" si="18"/>
        <v>0</v>
      </c>
      <c r="D440">
        <f>SUM($C$3:C440)</f>
        <v>4</v>
      </c>
      <c r="E440" t="e">
        <f t="shared" si="19"/>
        <v>#N/A</v>
      </c>
      <c r="F440" s="28" t="str">
        <f t="shared" ca="1" si="20"/>
        <v/>
      </c>
    </row>
    <row r="441" spans="2:6" x14ac:dyDescent="0.2">
      <c r="B441" t="str">
        <f>IFERROR(IF('PDCA review'!$D$2='Check'!B441,'Check'!G441,""),"")</f>
        <v/>
      </c>
      <c r="C441">
        <f t="shared" si="18"/>
        <v>0</v>
      </c>
      <c r="D441">
        <f>SUM($C$3:C441)</f>
        <v>4</v>
      </c>
      <c r="E441" t="e">
        <f t="shared" si="19"/>
        <v>#N/A</v>
      </c>
      <c r="F441" s="28" t="str">
        <f t="shared" ca="1" si="20"/>
        <v/>
      </c>
    </row>
    <row r="442" spans="2:6" x14ac:dyDescent="0.2">
      <c r="B442" t="str">
        <f>IFERROR(IF('PDCA review'!$D$2='Check'!B442,'Check'!G442,""),"")</f>
        <v/>
      </c>
      <c r="C442">
        <f t="shared" si="18"/>
        <v>0</v>
      </c>
      <c r="D442">
        <f>SUM($C$3:C442)</f>
        <v>4</v>
      </c>
      <c r="E442" t="e">
        <f t="shared" si="19"/>
        <v>#N/A</v>
      </c>
      <c r="F442" s="28" t="str">
        <f t="shared" ca="1" si="20"/>
        <v/>
      </c>
    </row>
    <row r="443" spans="2:6" x14ac:dyDescent="0.2">
      <c r="B443" t="str">
        <f>IFERROR(IF('PDCA review'!$D$2='Check'!B443,'Check'!G443,""),"")</f>
        <v/>
      </c>
      <c r="C443">
        <f t="shared" si="18"/>
        <v>0</v>
      </c>
      <c r="D443">
        <f>SUM($C$3:C443)</f>
        <v>4</v>
      </c>
      <c r="E443" t="e">
        <f t="shared" si="19"/>
        <v>#N/A</v>
      </c>
      <c r="F443" s="28" t="str">
        <f t="shared" ca="1" si="20"/>
        <v/>
      </c>
    </row>
    <row r="444" spans="2:6" x14ac:dyDescent="0.2">
      <c r="B444" t="str">
        <f>IFERROR(IF('PDCA review'!$D$2='Check'!B444,'Check'!G444,""),"")</f>
        <v/>
      </c>
      <c r="C444">
        <f t="shared" si="18"/>
        <v>0</v>
      </c>
      <c r="D444">
        <f>SUM($C$3:C444)</f>
        <v>4</v>
      </c>
      <c r="E444" t="e">
        <f t="shared" si="19"/>
        <v>#N/A</v>
      </c>
      <c r="F444" s="28" t="str">
        <f t="shared" ca="1" si="20"/>
        <v/>
      </c>
    </row>
    <row r="445" spans="2:6" x14ac:dyDescent="0.2">
      <c r="B445" t="str">
        <f>IFERROR(IF('PDCA review'!$D$2='Check'!B445,'Check'!G445,""),"")</f>
        <v/>
      </c>
      <c r="C445">
        <f t="shared" si="18"/>
        <v>0</v>
      </c>
      <c r="D445">
        <f>SUM($C$3:C445)</f>
        <v>4</v>
      </c>
      <c r="E445" t="e">
        <f t="shared" si="19"/>
        <v>#N/A</v>
      </c>
      <c r="F445" s="28" t="str">
        <f t="shared" ca="1" si="20"/>
        <v/>
      </c>
    </row>
    <row r="446" spans="2:6" x14ac:dyDescent="0.2">
      <c r="B446" t="str">
        <f>IFERROR(IF('PDCA review'!$D$2='Check'!B446,'Check'!G446,""),"")</f>
        <v/>
      </c>
      <c r="C446">
        <f t="shared" si="18"/>
        <v>0</v>
      </c>
      <c r="D446">
        <f>SUM($C$3:C446)</f>
        <v>4</v>
      </c>
      <c r="E446" t="e">
        <f t="shared" si="19"/>
        <v>#N/A</v>
      </c>
      <c r="F446" s="28" t="str">
        <f t="shared" ca="1" si="20"/>
        <v/>
      </c>
    </row>
    <row r="447" spans="2:6" x14ac:dyDescent="0.2">
      <c r="B447" t="str">
        <f>IFERROR(IF('PDCA review'!$D$2='Check'!B447,'Check'!G447,""),"")</f>
        <v/>
      </c>
      <c r="C447">
        <f t="shared" si="18"/>
        <v>0</v>
      </c>
      <c r="D447">
        <f>SUM($C$3:C447)</f>
        <v>4</v>
      </c>
      <c r="E447" t="e">
        <f t="shared" si="19"/>
        <v>#N/A</v>
      </c>
      <c r="F447" s="28" t="str">
        <f t="shared" ca="1" si="20"/>
        <v/>
      </c>
    </row>
    <row r="448" spans="2:6" x14ac:dyDescent="0.2">
      <c r="B448" t="str">
        <f>IFERROR(IF('PDCA review'!$D$2='Check'!B448,'Check'!G448,""),"")</f>
        <v/>
      </c>
      <c r="C448">
        <f t="shared" si="18"/>
        <v>0</v>
      </c>
      <c r="D448">
        <f>SUM($C$3:C448)</f>
        <v>4</v>
      </c>
      <c r="E448" t="e">
        <f t="shared" si="19"/>
        <v>#N/A</v>
      </c>
      <c r="F448" s="28" t="str">
        <f t="shared" ca="1" si="20"/>
        <v/>
      </c>
    </row>
    <row r="449" spans="2:6" x14ac:dyDescent="0.2">
      <c r="B449" t="str">
        <f>IFERROR(IF('PDCA review'!$D$2='Check'!B449,'Check'!G449,""),"")</f>
        <v/>
      </c>
      <c r="C449">
        <f t="shared" si="18"/>
        <v>0</v>
      </c>
      <c r="D449">
        <f>SUM($C$3:C449)</f>
        <v>4</v>
      </c>
      <c r="E449" t="e">
        <f t="shared" si="19"/>
        <v>#N/A</v>
      </c>
      <c r="F449" s="28" t="str">
        <f t="shared" ca="1" si="20"/>
        <v/>
      </c>
    </row>
    <row r="450" spans="2:6" x14ac:dyDescent="0.2">
      <c r="B450" t="str">
        <f>IFERROR(IF('PDCA review'!$D$2='Check'!B450,'Check'!G450,""),"")</f>
        <v/>
      </c>
      <c r="C450">
        <f t="shared" si="18"/>
        <v>0</v>
      </c>
      <c r="D450">
        <f>SUM($C$3:C450)</f>
        <v>4</v>
      </c>
      <c r="E450" t="e">
        <f t="shared" si="19"/>
        <v>#N/A</v>
      </c>
      <c r="F450" s="28" t="str">
        <f t="shared" ca="1" si="20"/>
        <v/>
      </c>
    </row>
    <row r="451" spans="2:6" x14ac:dyDescent="0.2">
      <c r="B451" t="str">
        <f>IFERROR(IF('PDCA review'!$D$2='Check'!B451,'Check'!G451,""),"")</f>
        <v/>
      </c>
      <c r="C451">
        <f t="shared" si="18"/>
        <v>0</v>
      </c>
      <c r="D451">
        <f>SUM($C$3:C451)</f>
        <v>4</v>
      </c>
      <c r="E451" t="e">
        <f t="shared" si="19"/>
        <v>#N/A</v>
      </c>
      <c r="F451" s="28" t="str">
        <f t="shared" ca="1" si="20"/>
        <v/>
      </c>
    </row>
    <row r="452" spans="2:6" x14ac:dyDescent="0.2">
      <c r="B452" t="str">
        <f>IFERROR(IF('PDCA review'!$D$2='Check'!B452,'Check'!G452,""),"")</f>
        <v/>
      </c>
      <c r="C452">
        <f t="shared" ref="C452:C515" si="21">IF(B452&lt;&gt;"",1,0)</f>
        <v>0</v>
      </c>
      <c r="D452">
        <f>SUM($C$3:C452)</f>
        <v>4</v>
      </c>
      <c r="E452" t="e">
        <f t="shared" ref="E452:E515" si="22">MATCH(ROW()-$D$2,$D$3:$D$2000,0)+$D$2</f>
        <v>#N/A</v>
      </c>
      <c r="F452" s="28" t="str">
        <f t="shared" ref="F452:F515" ca="1" si="23">IFERROR(INDIRECT("B"&amp;E452),"")</f>
        <v/>
      </c>
    </row>
    <row r="453" spans="2:6" x14ac:dyDescent="0.2">
      <c r="B453" t="str">
        <f>IFERROR(IF('PDCA review'!$D$2='Check'!B453,'Check'!G453,""),"")</f>
        <v/>
      </c>
      <c r="C453">
        <f t="shared" si="21"/>
        <v>0</v>
      </c>
      <c r="D453">
        <f>SUM($C$3:C453)</f>
        <v>4</v>
      </c>
      <c r="E453" t="e">
        <f t="shared" si="22"/>
        <v>#N/A</v>
      </c>
      <c r="F453" s="28" t="str">
        <f t="shared" ca="1" si="23"/>
        <v/>
      </c>
    </row>
    <row r="454" spans="2:6" x14ac:dyDescent="0.2">
      <c r="B454" t="str">
        <f>IFERROR(IF('PDCA review'!$D$2='Check'!B454,'Check'!G454,""),"")</f>
        <v/>
      </c>
      <c r="C454">
        <f t="shared" si="21"/>
        <v>0</v>
      </c>
      <c r="D454">
        <f>SUM($C$3:C454)</f>
        <v>4</v>
      </c>
      <c r="E454" t="e">
        <f t="shared" si="22"/>
        <v>#N/A</v>
      </c>
      <c r="F454" s="28" t="str">
        <f t="shared" ca="1" si="23"/>
        <v/>
      </c>
    </row>
    <row r="455" spans="2:6" x14ac:dyDescent="0.2">
      <c r="B455" t="str">
        <f>IFERROR(IF('PDCA review'!$D$2='Check'!B455,'Check'!G455,""),"")</f>
        <v/>
      </c>
      <c r="C455">
        <f t="shared" si="21"/>
        <v>0</v>
      </c>
      <c r="D455">
        <f>SUM($C$3:C455)</f>
        <v>4</v>
      </c>
      <c r="E455" t="e">
        <f t="shared" si="22"/>
        <v>#N/A</v>
      </c>
      <c r="F455" s="28" t="str">
        <f t="shared" ca="1" si="23"/>
        <v/>
      </c>
    </row>
    <row r="456" spans="2:6" x14ac:dyDescent="0.2">
      <c r="B456" t="str">
        <f>IFERROR(IF('PDCA review'!$D$2='Check'!B456,'Check'!G456,""),"")</f>
        <v/>
      </c>
      <c r="C456">
        <f t="shared" si="21"/>
        <v>0</v>
      </c>
      <c r="D456">
        <f>SUM($C$3:C456)</f>
        <v>4</v>
      </c>
      <c r="E456" t="e">
        <f t="shared" si="22"/>
        <v>#N/A</v>
      </c>
      <c r="F456" s="28" t="str">
        <f t="shared" ca="1" si="23"/>
        <v/>
      </c>
    </row>
    <row r="457" spans="2:6" x14ac:dyDescent="0.2">
      <c r="B457" t="str">
        <f>IFERROR(IF('PDCA review'!$D$2='Check'!B457,'Check'!G457,""),"")</f>
        <v/>
      </c>
      <c r="C457">
        <f t="shared" si="21"/>
        <v>0</v>
      </c>
      <c r="D457">
        <f>SUM($C$3:C457)</f>
        <v>4</v>
      </c>
      <c r="E457" t="e">
        <f t="shared" si="22"/>
        <v>#N/A</v>
      </c>
      <c r="F457" s="28" t="str">
        <f t="shared" ca="1" si="23"/>
        <v/>
      </c>
    </row>
    <row r="458" spans="2:6" x14ac:dyDescent="0.2">
      <c r="B458" t="str">
        <f>IFERROR(IF('PDCA review'!$D$2='Check'!B458,'Check'!G458,""),"")</f>
        <v/>
      </c>
      <c r="C458">
        <f t="shared" si="21"/>
        <v>0</v>
      </c>
      <c r="D458">
        <f>SUM($C$3:C458)</f>
        <v>4</v>
      </c>
      <c r="E458" t="e">
        <f t="shared" si="22"/>
        <v>#N/A</v>
      </c>
      <c r="F458" s="28" t="str">
        <f t="shared" ca="1" si="23"/>
        <v/>
      </c>
    </row>
    <row r="459" spans="2:6" x14ac:dyDescent="0.2">
      <c r="B459" t="str">
        <f>IFERROR(IF('PDCA review'!$D$2='Check'!B459,'Check'!G459,""),"")</f>
        <v/>
      </c>
      <c r="C459">
        <f t="shared" si="21"/>
        <v>0</v>
      </c>
      <c r="D459">
        <f>SUM($C$3:C459)</f>
        <v>4</v>
      </c>
      <c r="E459" t="e">
        <f t="shared" si="22"/>
        <v>#N/A</v>
      </c>
      <c r="F459" s="28" t="str">
        <f t="shared" ca="1" si="23"/>
        <v/>
      </c>
    </row>
    <row r="460" spans="2:6" x14ac:dyDescent="0.2">
      <c r="B460" t="str">
        <f>IFERROR(IF('PDCA review'!$D$2='Check'!B460,'Check'!G460,""),"")</f>
        <v/>
      </c>
      <c r="C460">
        <f t="shared" si="21"/>
        <v>0</v>
      </c>
      <c r="D460">
        <f>SUM($C$3:C460)</f>
        <v>4</v>
      </c>
      <c r="E460" t="e">
        <f t="shared" si="22"/>
        <v>#N/A</v>
      </c>
      <c r="F460" s="28" t="str">
        <f t="shared" ca="1" si="23"/>
        <v/>
      </c>
    </row>
    <row r="461" spans="2:6" x14ac:dyDescent="0.2">
      <c r="B461" t="str">
        <f>IFERROR(IF('PDCA review'!$D$2='Check'!B461,'Check'!G461,""),"")</f>
        <v/>
      </c>
      <c r="C461">
        <f t="shared" si="21"/>
        <v>0</v>
      </c>
      <c r="D461">
        <f>SUM($C$3:C461)</f>
        <v>4</v>
      </c>
      <c r="E461" t="e">
        <f t="shared" si="22"/>
        <v>#N/A</v>
      </c>
      <c r="F461" s="28" t="str">
        <f t="shared" ca="1" si="23"/>
        <v/>
      </c>
    </row>
    <row r="462" spans="2:6" x14ac:dyDescent="0.2">
      <c r="B462" t="str">
        <f>IFERROR(IF('PDCA review'!$D$2='Check'!B462,'Check'!G462,""),"")</f>
        <v/>
      </c>
      <c r="C462">
        <f t="shared" si="21"/>
        <v>0</v>
      </c>
      <c r="D462">
        <f>SUM($C$3:C462)</f>
        <v>4</v>
      </c>
      <c r="E462" t="e">
        <f t="shared" si="22"/>
        <v>#N/A</v>
      </c>
      <c r="F462" s="28" t="str">
        <f t="shared" ca="1" si="23"/>
        <v/>
      </c>
    </row>
    <row r="463" spans="2:6" x14ac:dyDescent="0.2">
      <c r="B463" t="str">
        <f>IFERROR(IF('PDCA review'!$D$2='Check'!B463,'Check'!G463,""),"")</f>
        <v/>
      </c>
      <c r="C463">
        <f t="shared" si="21"/>
        <v>0</v>
      </c>
      <c r="D463">
        <f>SUM($C$3:C463)</f>
        <v>4</v>
      </c>
      <c r="E463" t="e">
        <f t="shared" si="22"/>
        <v>#N/A</v>
      </c>
      <c r="F463" s="28" t="str">
        <f t="shared" ca="1" si="23"/>
        <v/>
      </c>
    </row>
    <row r="464" spans="2:6" x14ac:dyDescent="0.2">
      <c r="B464" t="str">
        <f>IFERROR(IF('PDCA review'!$D$2='Check'!B464,'Check'!G464,""),"")</f>
        <v/>
      </c>
      <c r="C464">
        <f t="shared" si="21"/>
        <v>0</v>
      </c>
      <c r="D464">
        <f>SUM($C$3:C464)</f>
        <v>4</v>
      </c>
      <c r="E464" t="e">
        <f t="shared" si="22"/>
        <v>#N/A</v>
      </c>
      <c r="F464" s="28" t="str">
        <f t="shared" ca="1" si="23"/>
        <v/>
      </c>
    </row>
    <row r="465" spans="2:6" x14ac:dyDescent="0.2">
      <c r="B465" t="str">
        <f>IFERROR(IF('PDCA review'!$D$2='Check'!B465,'Check'!G465,""),"")</f>
        <v/>
      </c>
      <c r="C465">
        <f t="shared" si="21"/>
        <v>0</v>
      </c>
      <c r="D465">
        <f>SUM($C$3:C465)</f>
        <v>4</v>
      </c>
      <c r="E465" t="e">
        <f t="shared" si="22"/>
        <v>#N/A</v>
      </c>
      <c r="F465" s="28" t="str">
        <f t="shared" ca="1" si="23"/>
        <v/>
      </c>
    </row>
    <row r="466" spans="2:6" x14ac:dyDescent="0.2">
      <c r="B466" t="str">
        <f>IFERROR(IF('PDCA review'!$D$2='Check'!B466,'Check'!G466,""),"")</f>
        <v/>
      </c>
      <c r="C466">
        <f t="shared" si="21"/>
        <v>0</v>
      </c>
      <c r="D466">
        <f>SUM($C$3:C466)</f>
        <v>4</v>
      </c>
      <c r="E466" t="e">
        <f t="shared" si="22"/>
        <v>#N/A</v>
      </c>
      <c r="F466" s="28" t="str">
        <f t="shared" ca="1" si="23"/>
        <v/>
      </c>
    </row>
    <row r="467" spans="2:6" x14ac:dyDescent="0.2">
      <c r="B467" t="str">
        <f>IFERROR(IF('PDCA review'!$D$2='Check'!B467,'Check'!G467,""),"")</f>
        <v/>
      </c>
      <c r="C467">
        <f t="shared" si="21"/>
        <v>0</v>
      </c>
      <c r="D467">
        <f>SUM($C$3:C467)</f>
        <v>4</v>
      </c>
      <c r="E467" t="e">
        <f t="shared" si="22"/>
        <v>#N/A</v>
      </c>
      <c r="F467" s="28" t="str">
        <f t="shared" ca="1" si="23"/>
        <v/>
      </c>
    </row>
    <row r="468" spans="2:6" x14ac:dyDescent="0.2">
      <c r="B468" t="str">
        <f>IFERROR(IF('PDCA review'!$D$2='Check'!B468,'Check'!G468,""),"")</f>
        <v/>
      </c>
      <c r="C468">
        <f t="shared" si="21"/>
        <v>0</v>
      </c>
      <c r="D468">
        <f>SUM($C$3:C468)</f>
        <v>4</v>
      </c>
      <c r="E468" t="e">
        <f t="shared" si="22"/>
        <v>#N/A</v>
      </c>
      <c r="F468" s="28" t="str">
        <f t="shared" ca="1" si="23"/>
        <v/>
      </c>
    </row>
    <row r="469" spans="2:6" x14ac:dyDescent="0.2">
      <c r="B469" t="str">
        <f>IFERROR(IF('PDCA review'!$D$2='Check'!B469,'Check'!G469,""),"")</f>
        <v/>
      </c>
      <c r="C469">
        <f t="shared" si="21"/>
        <v>0</v>
      </c>
      <c r="D469">
        <f>SUM($C$3:C469)</f>
        <v>4</v>
      </c>
      <c r="E469" t="e">
        <f t="shared" si="22"/>
        <v>#N/A</v>
      </c>
      <c r="F469" s="28" t="str">
        <f t="shared" ca="1" si="23"/>
        <v/>
      </c>
    </row>
    <row r="470" spans="2:6" x14ac:dyDescent="0.2">
      <c r="B470" t="str">
        <f>IFERROR(IF('PDCA review'!$D$2='Check'!B470,'Check'!G470,""),"")</f>
        <v/>
      </c>
      <c r="C470">
        <f t="shared" si="21"/>
        <v>0</v>
      </c>
      <c r="D470">
        <f>SUM($C$3:C470)</f>
        <v>4</v>
      </c>
      <c r="E470" t="e">
        <f t="shared" si="22"/>
        <v>#N/A</v>
      </c>
      <c r="F470" s="28" t="str">
        <f t="shared" ca="1" si="23"/>
        <v/>
      </c>
    </row>
    <row r="471" spans="2:6" x14ac:dyDescent="0.2">
      <c r="B471" t="str">
        <f>IFERROR(IF('PDCA review'!$D$2='Check'!B471,'Check'!G471,""),"")</f>
        <v/>
      </c>
      <c r="C471">
        <f t="shared" si="21"/>
        <v>0</v>
      </c>
      <c r="D471">
        <f>SUM($C$3:C471)</f>
        <v>4</v>
      </c>
      <c r="E471" t="e">
        <f t="shared" si="22"/>
        <v>#N/A</v>
      </c>
      <c r="F471" s="28" t="str">
        <f t="shared" ca="1" si="23"/>
        <v/>
      </c>
    </row>
    <row r="472" spans="2:6" x14ac:dyDescent="0.2">
      <c r="B472" t="str">
        <f>IFERROR(IF('PDCA review'!$D$2='Check'!B472,'Check'!G472,""),"")</f>
        <v/>
      </c>
      <c r="C472">
        <f t="shared" si="21"/>
        <v>0</v>
      </c>
      <c r="D472">
        <f>SUM($C$3:C472)</f>
        <v>4</v>
      </c>
      <c r="E472" t="e">
        <f t="shared" si="22"/>
        <v>#N/A</v>
      </c>
      <c r="F472" s="28" t="str">
        <f t="shared" ca="1" si="23"/>
        <v/>
      </c>
    </row>
    <row r="473" spans="2:6" x14ac:dyDescent="0.2">
      <c r="B473" t="str">
        <f>IFERROR(IF('PDCA review'!$D$2='Check'!B473,'Check'!G473,""),"")</f>
        <v/>
      </c>
      <c r="C473">
        <f t="shared" si="21"/>
        <v>0</v>
      </c>
      <c r="D473">
        <f>SUM($C$3:C473)</f>
        <v>4</v>
      </c>
      <c r="E473" t="e">
        <f t="shared" si="22"/>
        <v>#N/A</v>
      </c>
      <c r="F473" s="28" t="str">
        <f t="shared" ca="1" si="23"/>
        <v/>
      </c>
    </row>
    <row r="474" spans="2:6" x14ac:dyDescent="0.2">
      <c r="B474" t="str">
        <f>IFERROR(IF('PDCA review'!$D$2='Check'!B474,'Check'!G474,""),"")</f>
        <v/>
      </c>
      <c r="C474">
        <f t="shared" si="21"/>
        <v>0</v>
      </c>
      <c r="D474">
        <f>SUM($C$3:C474)</f>
        <v>4</v>
      </c>
      <c r="E474" t="e">
        <f t="shared" si="22"/>
        <v>#N/A</v>
      </c>
      <c r="F474" s="28" t="str">
        <f t="shared" ca="1" si="23"/>
        <v/>
      </c>
    </row>
    <row r="475" spans="2:6" x14ac:dyDescent="0.2">
      <c r="B475" t="str">
        <f>IFERROR(IF('PDCA review'!$D$2='Check'!B475,'Check'!G475,""),"")</f>
        <v/>
      </c>
      <c r="C475">
        <f t="shared" si="21"/>
        <v>0</v>
      </c>
      <c r="D475">
        <f>SUM($C$3:C475)</f>
        <v>4</v>
      </c>
      <c r="E475" t="e">
        <f t="shared" si="22"/>
        <v>#N/A</v>
      </c>
      <c r="F475" s="28" t="str">
        <f t="shared" ca="1" si="23"/>
        <v/>
      </c>
    </row>
    <row r="476" spans="2:6" x14ac:dyDescent="0.2">
      <c r="B476" t="str">
        <f>IFERROR(IF('PDCA review'!$D$2='Check'!B476,'Check'!G476,""),"")</f>
        <v/>
      </c>
      <c r="C476">
        <f t="shared" si="21"/>
        <v>0</v>
      </c>
      <c r="D476">
        <f>SUM($C$3:C476)</f>
        <v>4</v>
      </c>
      <c r="E476" t="e">
        <f t="shared" si="22"/>
        <v>#N/A</v>
      </c>
      <c r="F476" s="28" t="str">
        <f t="shared" ca="1" si="23"/>
        <v/>
      </c>
    </row>
    <row r="477" spans="2:6" x14ac:dyDescent="0.2">
      <c r="B477" t="str">
        <f>IFERROR(IF('PDCA review'!$D$2='Check'!B477,'Check'!G477,""),"")</f>
        <v/>
      </c>
      <c r="C477">
        <f t="shared" si="21"/>
        <v>0</v>
      </c>
      <c r="D477">
        <f>SUM($C$3:C477)</f>
        <v>4</v>
      </c>
      <c r="E477" t="e">
        <f t="shared" si="22"/>
        <v>#N/A</v>
      </c>
      <c r="F477" s="28" t="str">
        <f t="shared" ca="1" si="23"/>
        <v/>
      </c>
    </row>
    <row r="478" spans="2:6" x14ac:dyDescent="0.2">
      <c r="B478" t="str">
        <f>IFERROR(IF('PDCA review'!$D$2='Check'!B478,'Check'!G478,""),"")</f>
        <v/>
      </c>
      <c r="C478">
        <f t="shared" si="21"/>
        <v>0</v>
      </c>
      <c r="D478">
        <f>SUM($C$3:C478)</f>
        <v>4</v>
      </c>
      <c r="E478" t="e">
        <f t="shared" si="22"/>
        <v>#N/A</v>
      </c>
      <c r="F478" s="28" t="str">
        <f t="shared" ca="1" si="23"/>
        <v/>
      </c>
    </row>
    <row r="479" spans="2:6" x14ac:dyDescent="0.2">
      <c r="B479" t="str">
        <f>IFERROR(IF('PDCA review'!$D$2='Check'!B479,'Check'!G479,""),"")</f>
        <v/>
      </c>
      <c r="C479">
        <f t="shared" si="21"/>
        <v>0</v>
      </c>
      <c r="D479">
        <f>SUM($C$3:C479)</f>
        <v>4</v>
      </c>
      <c r="E479" t="e">
        <f t="shared" si="22"/>
        <v>#N/A</v>
      </c>
      <c r="F479" s="28" t="str">
        <f t="shared" ca="1" si="23"/>
        <v/>
      </c>
    </row>
    <row r="480" spans="2:6" x14ac:dyDescent="0.2">
      <c r="B480" t="str">
        <f>IFERROR(IF('PDCA review'!$D$2='Check'!B480,'Check'!G480,""),"")</f>
        <v/>
      </c>
      <c r="C480">
        <f t="shared" si="21"/>
        <v>0</v>
      </c>
      <c r="D480">
        <f>SUM($C$3:C480)</f>
        <v>4</v>
      </c>
      <c r="E480" t="e">
        <f t="shared" si="22"/>
        <v>#N/A</v>
      </c>
      <c r="F480" s="28" t="str">
        <f t="shared" ca="1" si="23"/>
        <v/>
      </c>
    </row>
    <row r="481" spans="2:6" x14ac:dyDescent="0.2">
      <c r="B481" t="str">
        <f>IFERROR(IF('PDCA review'!$D$2='Check'!B481,'Check'!G481,""),"")</f>
        <v/>
      </c>
      <c r="C481">
        <f t="shared" si="21"/>
        <v>0</v>
      </c>
      <c r="D481">
        <f>SUM($C$3:C481)</f>
        <v>4</v>
      </c>
      <c r="E481" t="e">
        <f t="shared" si="22"/>
        <v>#N/A</v>
      </c>
      <c r="F481" s="28" t="str">
        <f t="shared" ca="1" si="23"/>
        <v/>
      </c>
    </row>
    <row r="482" spans="2:6" x14ac:dyDescent="0.2">
      <c r="B482" t="str">
        <f>IFERROR(IF('PDCA review'!$D$2='Check'!B482,'Check'!G482,""),"")</f>
        <v/>
      </c>
      <c r="C482">
        <f t="shared" si="21"/>
        <v>0</v>
      </c>
      <c r="D482">
        <f>SUM($C$3:C482)</f>
        <v>4</v>
      </c>
      <c r="E482" t="e">
        <f t="shared" si="22"/>
        <v>#N/A</v>
      </c>
      <c r="F482" s="28" t="str">
        <f t="shared" ca="1" si="23"/>
        <v/>
      </c>
    </row>
    <row r="483" spans="2:6" x14ac:dyDescent="0.2">
      <c r="B483" t="str">
        <f>IFERROR(IF('PDCA review'!$D$2='Check'!B483,'Check'!G483,""),"")</f>
        <v/>
      </c>
      <c r="C483">
        <f t="shared" si="21"/>
        <v>0</v>
      </c>
      <c r="D483">
        <f>SUM($C$3:C483)</f>
        <v>4</v>
      </c>
      <c r="E483" t="e">
        <f t="shared" si="22"/>
        <v>#N/A</v>
      </c>
      <c r="F483" s="28" t="str">
        <f t="shared" ca="1" si="23"/>
        <v/>
      </c>
    </row>
    <row r="484" spans="2:6" x14ac:dyDescent="0.2">
      <c r="B484" t="str">
        <f>IFERROR(IF('PDCA review'!$D$2='Check'!B484,'Check'!G484,""),"")</f>
        <v/>
      </c>
      <c r="C484">
        <f t="shared" si="21"/>
        <v>0</v>
      </c>
      <c r="D484">
        <f>SUM($C$3:C484)</f>
        <v>4</v>
      </c>
      <c r="E484" t="e">
        <f t="shared" si="22"/>
        <v>#N/A</v>
      </c>
      <c r="F484" s="28" t="str">
        <f t="shared" ca="1" si="23"/>
        <v/>
      </c>
    </row>
    <row r="485" spans="2:6" x14ac:dyDescent="0.2">
      <c r="B485" t="str">
        <f>IFERROR(IF('PDCA review'!$D$2='Check'!B485,'Check'!G485,""),"")</f>
        <v/>
      </c>
      <c r="C485">
        <f t="shared" si="21"/>
        <v>0</v>
      </c>
      <c r="D485">
        <f>SUM($C$3:C485)</f>
        <v>4</v>
      </c>
      <c r="E485" t="e">
        <f t="shared" si="22"/>
        <v>#N/A</v>
      </c>
      <c r="F485" s="28" t="str">
        <f t="shared" ca="1" si="23"/>
        <v/>
      </c>
    </row>
    <row r="486" spans="2:6" x14ac:dyDescent="0.2">
      <c r="B486" t="str">
        <f>IFERROR(IF('PDCA review'!$D$2='Check'!B486,'Check'!G486,""),"")</f>
        <v/>
      </c>
      <c r="C486">
        <f t="shared" si="21"/>
        <v>0</v>
      </c>
      <c r="D486">
        <f>SUM($C$3:C486)</f>
        <v>4</v>
      </c>
      <c r="E486" t="e">
        <f t="shared" si="22"/>
        <v>#N/A</v>
      </c>
      <c r="F486" s="28" t="str">
        <f t="shared" ca="1" si="23"/>
        <v/>
      </c>
    </row>
    <row r="487" spans="2:6" x14ac:dyDescent="0.2">
      <c r="B487" t="str">
        <f>IFERROR(IF('PDCA review'!$D$2='Check'!B487,'Check'!G487,""),"")</f>
        <v/>
      </c>
      <c r="C487">
        <f t="shared" si="21"/>
        <v>0</v>
      </c>
      <c r="D487">
        <f>SUM($C$3:C487)</f>
        <v>4</v>
      </c>
      <c r="E487" t="e">
        <f t="shared" si="22"/>
        <v>#N/A</v>
      </c>
      <c r="F487" s="28" t="str">
        <f t="shared" ca="1" si="23"/>
        <v/>
      </c>
    </row>
    <row r="488" spans="2:6" x14ac:dyDescent="0.2">
      <c r="B488" t="str">
        <f>IFERROR(IF('PDCA review'!$D$2='Check'!B488,'Check'!G488,""),"")</f>
        <v/>
      </c>
      <c r="C488">
        <f t="shared" si="21"/>
        <v>0</v>
      </c>
      <c r="D488">
        <f>SUM($C$3:C488)</f>
        <v>4</v>
      </c>
      <c r="E488" t="e">
        <f t="shared" si="22"/>
        <v>#N/A</v>
      </c>
      <c r="F488" s="28" t="str">
        <f t="shared" ca="1" si="23"/>
        <v/>
      </c>
    </row>
    <row r="489" spans="2:6" x14ac:dyDescent="0.2">
      <c r="B489" t="str">
        <f>IFERROR(IF('PDCA review'!$D$2='Check'!B489,'Check'!G489,""),"")</f>
        <v/>
      </c>
      <c r="C489">
        <f t="shared" si="21"/>
        <v>0</v>
      </c>
      <c r="D489">
        <f>SUM($C$3:C489)</f>
        <v>4</v>
      </c>
      <c r="E489" t="e">
        <f t="shared" si="22"/>
        <v>#N/A</v>
      </c>
      <c r="F489" s="28" t="str">
        <f t="shared" ca="1" si="23"/>
        <v/>
      </c>
    </row>
    <row r="490" spans="2:6" x14ac:dyDescent="0.2">
      <c r="B490" t="str">
        <f>IFERROR(IF('PDCA review'!$D$2='Check'!B490,'Check'!G490,""),"")</f>
        <v/>
      </c>
      <c r="C490">
        <f t="shared" si="21"/>
        <v>0</v>
      </c>
      <c r="D490">
        <f>SUM($C$3:C490)</f>
        <v>4</v>
      </c>
      <c r="E490" t="e">
        <f t="shared" si="22"/>
        <v>#N/A</v>
      </c>
      <c r="F490" s="28" t="str">
        <f t="shared" ca="1" si="23"/>
        <v/>
      </c>
    </row>
    <row r="491" spans="2:6" x14ac:dyDescent="0.2">
      <c r="B491" t="str">
        <f>IFERROR(IF('PDCA review'!$D$2='Check'!B491,'Check'!G491,""),"")</f>
        <v/>
      </c>
      <c r="C491">
        <f t="shared" si="21"/>
        <v>0</v>
      </c>
      <c r="D491">
        <f>SUM($C$3:C491)</f>
        <v>4</v>
      </c>
      <c r="E491" t="e">
        <f t="shared" si="22"/>
        <v>#N/A</v>
      </c>
      <c r="F491" s="28" t="str">
        <f t="shared" ca="1" si="23"/>
        <v/>
      </c>
    </row>
    <row r="492" spans="2:6" x14ac:dyDescent="0.2">
      <c r="B492" t="str">
        <f>IFERROR(IF('PDCA review'!$D$2='Check'!B492,'Check'!G492,""),"")</f>
        <v/>
      </c>
      <c r="C492">
        <f t="shared" si="21"/>
        <v>0</v>
      </c>
      <c r="D492">
        <f>SUM($C$3:C492)</f>
        <v>4</v>
      </c>
      <c r="E492" t="e">
        <f t="shared" si="22"/>
        <v>#N/A</v>
      </c>
      <c r="F492" s="28" t="str">
        <f t="shared" ca="1" si="23"/>
        <v/>
      </c>
    </row>
    <row r="493" spans="2:6" x14ac:dyDescent="0.2">
      <c r="B493" t="str">
        <f>IFERROR(IF('PDCA review'!$D$2='Check'!B493,'Check'!G493,""),"")</f>
        <v/>
      </c>
      <c r="C493">
        <f t="shared" si="21"/>
        <v>0</v>
      </c>
      <c r="D493">
        <f>SUM($C$3:C493)</f>
        <v>4</v>
      </c>
      <c r="E493" t="e">
        <f t="shared" si="22"/>
        <v>#N/A</v>
      </c>
      <c r="F493" s="28" t="str">
        <f t="shared" ca="1" si="23"/>
        <v/>
      </c>
    </row>
    <row r="494" spans="2:6" x14ac:dyDescent="0.2">
      <c r="B494" t="str">
        <f>IFERROR(IF('PDCA review'!$D$2='Check'!B494,'Check'!G494,""),"")</f>
        <v/>
      </c>
      <c r="C494">
        <f t="shared" si="21"/>
        <v>0</v>
      </c>
      <c r="D494">
        <f>SUM($C$3:C494)</f>
        <v>4</v>
      </c>
      <c r="E494" t="e">
        <f t="shared" si="22"/>
        <v>#N/A</v>
      </c>
      <c r="F494" s="28" t="str">
        <f t="shared" ca="1" si="23"/>
        <v/>
      </c>
    </row>
    <row r="495" spans="2:6" x14ac:dyDescent="0.2">
      <c r="B495" t="str">
        <f>IFERROR(IF('PDCA review'!$D$2='Check'!B495,'Check'!G495,""),"")</f>
        <v/>
      </c>
      <c r="C495">
        <f t="shared" si="21"/>
        <v>0</v>
      </c>
      <c r="D495">
        <f>SUM($C$3:C495)</f>
        <v>4</v>
      </c>
      <c r="E495" t="e">
        <f t="shared" si="22"/>
        <v>#N/A</v>
      </c>
      <c r="F495" s="28" t="str">
        <f t="shared" ca="1" si="23"/>
        <v/>
      </c>
    </row>
    <row r="496" spans="2:6" x14ac:dyDescent="0.2">
      <c r="B496" t="str">
        <f>IFERROR(IF('PDCA review'!$D$2='Check'!B496,'Check'!G496,""),"")</f>
        <v/>
      </c>
      <c r="C496">
        <f t="shared" si="21"/>
        <v>0</v>
      </c>
      <c r="D496">
        <f>SUM($C$3:C496)</f>
        <v>4</v>
      </c>
      <c r="E496" t="e">
        <f t="shared" si="22"/>
        <v>#N/A</v>
      </c>
      <c r="F496" s="28" t="str">
        <f t="shared" ca="1" si="23"/>
        <v/>
      </c>
    </row>
    <row r="497" spans="2:6" x14ac:dyDescent="0.2">
      <c r="B497" t="str">
        <f>IFERROR(IF('PDCA review'!$D$2='Check'!B497,'Check'!G497,""),"")</f>
        <v/>
      </c>
      <c r="C497">
        <f t="shared" si="21"/>
        <v>0</v>
      </c>
      <c r="D497">
        <f>SUM($C$3:C497)</f>
        <v>4</v>
      </c>
      <c r="E497" t="e">
        <f t="shared" si="22"/>
        <v>#N/A</v>
      </c>
      <c r="F497" s="28" t="str">
        <f t="shared" ca="1" si="23"/>
        <v/>
      </c>
    </row>
    <row r="498" spans="2:6" x14ac:dyDescent="0.2">
      <c r="B498" t="str">
        <f>IFERROR(IF('PDCA review'!$D$2='Check'!B498,'Check'!G498,""),"")</f>
        <v/>
      </c>
      <c r="C498">
        <f t="shared" si="21"/>
        <v>0</v>
      </c>
      <c r="D498">
        <f>SUM($C$3:C498)</f>
        <v>4</v>
      </c>
      <c r="E498" t="e">
        <f t="shared" si="22"/>
        <v>#N/A</v>
      </c>
      <c r="F498" s="28" t="str">
        <f t="shared" ca="1" si="23"/>
        <v/>
      </c>
    </row>
    <row r="499" spans="2:6" x14ac:dyDescent="0.2">
      <c r="B499" t="str">
        <f>IFERROR(IF('PDCA review'!$D$2='Check'!B499,'Check'!G499,""),"")</f>
        <v/>
      </c>
      <c r="C499">
        <f t="shared" si="21"/>
        <v>0</v>
      </c>
      <c r="D499">
        <f>SUM($C$3:C499)</f>
        <v>4</v>
      </c>
      <c r="E499" t="e">
        <f t="shared" si="22"/>
        <v>#N/A</v>
      </c>
      <c r="F499" s="28" t="str">
        <f t="shared" ca="1" si="23"/>
        <v/>
      </c>
    </row>
    <row r="500" spans="2:6" x14ac:dyDescent="0.2">
      <c r="B500" t="str">
        <f>IFERROR(IF('PDCA review'!$D$2='Check'!B500,'Check'!G500,""),"")</f>
        <v/>
      </c>
      <c r="C500">
        <f t="shared" si="21"/>
        <v>0</v>
      </c>
      <c r="D500">
        <f>SUM($C$3:C500)</f>
        <v>4</v>
      </c>
      <c r="E500" t="e">
        <f t="shared" si="22"/>
        <v>#N/A</v>
      </c>
      <c r="F500" s="28" t="str">
        <f t="shared" ca="1" si="23"/>
        <v/>
      </c>
    </row>
    <row r="501" spans="2:6" x14ac:dyDescent="0.2">
      <c r="B501" t="str">
        <f>IFERROR(IF('PDCA review'!$D$2='Check'!B501,'Check'!G501,""),"")</f>
        <v/>
      </c>
      <c r="C501">
        <f t="shared" si="21"/>
        <v>0</v>
      </c>
      <c r="D501">
        <f>SUM($C$3:C501)</f>
        <v>4</v>
      </c>
      <c r="E501" t="e">
        <f t="shared" si="22"/>
        <v>#N/A</v>
      </c>
      <c r="F501" s="28" t="str">
        <f t="shared" ca="1" si="23"/>
        <v/>
      </c>
    </row>
    <row r="502" spans="2:6" x14ac:dyDescent="0.2">
      <c r="B502" t="str">
        <f>IFERROR(IF('PDCA review'!$D$2='Check'!B502,'Check'!G502,""),"")</f>
        <v/>
      </c>
      <c r="C502">
        <f t="shared" si="21"/>
        <v>0</v>
      </c>
      <c r="D502">
        <f>SUM($C$3:C502)</f>
        <v>4</v>
      </c>
      <c r="E502" t="e">
        <f t="shared" si="22"/>
        <v>#N/A</v>
      </c>
      <c r="F502" s="28" t="str">
        <f t="shared" ca="1" si="23"/>
        <v/>
      </c>
    </row>
    <row r="503" spans="2:6" x14ac:dyDescent="0.2">
      <c r="B503" t="str">
        <f>IFERROR(IF('PDCA review'!$D$2='Check'!B503,'Check'!G503,""),"")</f>
        <v/>
      </c>
      <c r="C503">
        <f t="shared" si="21"/>
        <v>0</v>
      </c>
      <c r="D503">
        <f>SUM($C$3:C503)</f>
        <v>4</v>
      </c>
      <c r="E503" t="e">
        <f t="shared" si="22"/>
        <v>#N/A</v>
      </c>
      <c r="F503" s="28" t="str">
        <f t="shared" ca="1" si="23"/>
        <v/>
      </c>
    </row>
    <row r="504" spans="2:6" x14ac:dyDescent="0.2">
      <c r="B504" t="str">
        <f>IFERROR(IF('PDCA review'!$D$2='Check'!B504,'Check'!G504,""),"")</f>
        <v/>
      </c>
      <c r="C504">
        <f t="shared" si="21"/>
        <v>0</v>
      </c>
      <c r="D504">
        <f>SUM($C$3:C504)</f>
        <v>4</v>
      </c>
      <c r="E504" t="e">
        <f t="shared" si="22"/>
        <v>#N/A</v>
      </c>
      <c r="F504" s="28" t="str">
        <f t="shared" ca="1" si="23"/>
        <v/>
      </c>
    </row>
    <row r="505" spans="2:6" x14ac:dyDescent="0.2">
      <c r="B505" t="str">
        <f>IFERROR(IF('PDCA review'!$D$2='Check'!B505,'Check'!G505,""),"")</f>
        <v/>
      </c>
      <c r="C505">
        <f t="shared" si="21"/>
        <v>0</v>
      </c>
      <c r="D505">
        <f>SUM($C$3:C505)</f>
        <v>4</v>
      </c>
      <c r="E505" t="e">
        <f t="shared" si="22"/>
        <v>#N/A</v>
      </c>
      <c r="F505" s="28" t="str">
        <f t="shared" ca="1" si="23"/>
        <v/>
      </c>
    </row>
    <row r="506" spans="2:6" x14ac:dyDescent="0.2">
      <c r="B506" t="str">
        <f>IFERROR(IF('PDCA review'!$D$2='Check'!B506,'Check'!G506,""),"")</f>
        <v/>
      </c>
      <c r="C506">
        <f t="shared" si="21"/>
        <v>0</v>
      </c>
      <c r="D506">
        <f>SUM($C$3:C506)</f>
        <v>4</v>
      </c>
      <c r="E506" t="e">
        <f t="shared" si="22"/>
        <v>#N/A</v>
      </c>
      <c r="F506" s="28" t="str">
        <f t="shared" ca="1" si="23"/>
        <v/>
      </c>
    </row>
    <row r="507" spans="2:6" x14ac:dyDescent="0.2">
      <c r="B507" t="str">
        <f>IFERROR(IF('PDCA review'!$D$2='Check'!B507,'Check'!G507,""),"")</f>
        <v/>
      </c>
      <c r="C507">
        <f t="shared" si="21"/>
        <v>0</v>
      </c>
      <c r="D507">
        <f>SUM($C$3:C507)</f>
        <v>4</v>
      </c>
      <c r="E507" t="e">
        <f t="shared" si="22"/>
        <v>#N/A</v>
      </c>
      <c r="F507" s="28" t="str">
        <f t="shared" ca="1" si="23"/>
        <v/>
      </c>
    </row>
    <row r="508" spans="2:6" x14ac:dyDescent="0.2">
      <c r="B508" t="str">
        <f>IFERROR(IF('PDCA review'!$D$2='Check'!B508,'Check'!G508,""),"")</f>
        <v/>
      </c>
      <c r="C508">
        <f t="shared" si="21"/>
        <v>0</v>
      </c>
      <c r="D508">
        <f>SUM($C$3:C508)</f>
        <v>4</v>
      </c>
      <c r="E508" t="e">
        <f t="shared" si="22"/>
        <v>#N/A</v>
      </c>
      <c r="F508" s="28" t="str">
        <f t="shared" ca="1" si="23"/>
        <v/>
      </c>
    </row>
    <row r="509" spans="2:6" x14ac:dyDescent="0.2">
      <c r="B509" t="str">
        <f>IFERROR(IF('PDCA review'!$D$2='Check'!B509,'Check'!G509,""),"")</f>
        <v/>
      </c>
      <c r="C509">
        <f t="shared" si="21"/>
        <v>0</v>
      </c>
      <c r="D509">
        <f>SUM($C$3:C509)</f>
        <v>4</v>
      </c>
      <c r="E509" t="e">
        <f t="shared" si="22"/>
        <v>#N/A</v>
      </c>
      <c r="F509" s="28" t="str">
        <f t="shared" ca="1" si="23"/>
        <v/>
      </c>
    </row>
    <row r="510" spans="2:6" x14ac:dyDescent="0.2">
      <c r="B510" t="str">
        <f>IFERROR(IF('PDCA review'!$D$2='Check'!B510,'Check'!G510,""),"")</f>
        <v/>
      </c>
      <c r="C510">
        <f t="shared" si="21"/>
        <v>0</v>
      </c>
      <c r="D510">
        <f>SUM($C$3:C510)</f>
        <v>4</v>
      </c>
      <c r="E510" t="e">
        <f t="shared" si="22"/>
        <v>#N/A</v>
      </c>
      <c r="F510" s="28" t="str">
        <f t="shared" ca="1" si="23"/>
        <v/>
      </c>
    </row>
    <row r="511" spans="2:6" x14ac:dyDescent="0.2">
      <c r="B511" t="str">
        <f>IFERROR(IF('PDCA review'!$D$2='Check'!B511,'Check'!G511,""),"")</f>
        <v/>
      </c>
      <c r="C511">
        <f t="shared" si="21"/>
        <v>0</v>
      </c>
      <c r="D511">
        <f>SUM($C$3:C511)</f>
        <v>4</v>
      </c>
      <c r="E511" t="e">
        <f t="shared" si="22"/>
        <v>#N/A</v>
      </c>
      <c r="F511" s="28" t="str">
        <f t="shared" ca="1" si="23"/>
        <v/>
      </c>
    </row>
    <row r="512" spans="2:6" x14ac:dyDescent="0.2">
      <c r="B512" t="str">
        <f>IFERROR(IF('PDCA review'!$D$2='Check'!B512,'Check'!G512,""),"")</f>
        <v/>
      </c>
      <c r="C512">
        <f t="shared" si="21"/>
        <v>0</v>
      </c>
      <c r="D512">
        <f>SUM($C$3:C512)</f>
        <v>4</v>
      </c>
      <c r="E512" t="e">
        <f t="shared" si="22"/>
        <v>#N/A</v>
      </c>
      <c r="F512" s="28" t="str">
        <f t="shared" ca="1" si="23"/>
        <v/>
      </c>
    </row>
    <row r="513" spans="2:6" x14ac:dyDescent="0.2">
      <c r="B513" t="str">
        <f>IFERROR(IF('PDCA review'!$D$2='Check'!B513,'Check'!G513,""),"")</f>
        <v/>
      </c>
      <c r="C513">
        <f t="shared" si="21"/>
        <v>0</v>
      </c>
      <c r="D513">
        <f>SUM($C$3:C513)</f>
        <v>4</v>
      </c>
      <c r="E513" t="e">
        <f t="shared" si="22"/>
        <v>#N/A</v>
      </c>
      <c r="F513" s="28" t="str">
        <f t="shared" ca="1" si="23"/>
        <v/>
      </c>
    </row>
    <row r="514" spans="2:6" x14ac:dyDescent="0.2">
      <c r="B514" t="str">
        <f>IFERROR(IF('PDCA review'!$D$2='Check'!B514,'Check'!G514,""),"")</f>
        <v/>
      </c>
      <c r="C514">
        <f t="shared" si="21"/>
        <v>0</v>
      </c>
      <c r="D514">
        <f>SUM($C$3:C514)</f>
        <v>4</v>
      </c>
      <c r="E514" t="e">
        <f t="shared" si="22"/>
        <v>#N/A</v>
      </c>
      <c r="F514" s="28" t="str">
        <f t="shared" ca="1" si="23"/>
        <v/>
      </c>
    </row>
    <row r="515" spans="2:6" x14ac:dyDescent="0.2">
      <c r="B515" t="str">
        <f>IFERROR(IF('PDCA review'!$D$2='Check'!B515,'Check'!G515,""),"")</f>
        <v/>
      </c>
      <c r="C515">
        <f t="shared" si="21"/>
        <v>0</v>
      </c>
      <c r="D515">
        <f>SUM($C$3:C515)</f>
        <v>4</v>
      </c>
      <c r="E515" t="e">
        <f t="shared" si="22"/>
        <v>#N/A</v>
      </c>
      <c r="F515" s="28" t="str">
        <f t="shared" ca="1" si="23"/>
        <v/>
      </c>
    </row>
    <row r="516" spans="2:6" x14ac:dyDescent="0.2">
      <c r="B516" t="str">
        <f>IFERROR(IF('PDCA review'!$D$2='Check'!B516,'Check'!G516,""),"")</f>
        <v/>
      </c>
      <c r="C516">
        <f t="shared" ref="C516:C579" si="24">IF(B516&lt;&gt;"",1,0)</f>
        <v>0</v>
      </c>
      <c r="D516">
        <f>SUM($C$3:C516)</f>
        <v>4</v>
      </c>
      <c r="E516" t="e">
        <f t="shared" ref="E516:E579" si="25">MATCH(ROW()-$D$2,$D$3:$D$2000,0)+$D$2</f>
        <v>#N/A</v>
      </c>
      <c r="F516" s="28" t="str">
        <f t="shared" ref="F516:F579" ca="1" si="26">IFERROR(INDIRECT("B"&amp;E516),"")</f>
        <v/>
      </c>
    </row>
    <row r="517" spans="2:6" x14ac:dyDescent="0.2">
      <c r="B517" t="str">
        <f>IFERROR(IF('PDCA review'!$D$2='Check'!B517,'Check'!G517,""),"")</f>
        <v/>
      </c>
      <c r="C517">
        <f t="shared" si="24"/>
        <v>0</v>
      </c>
      <c r="D517">
        <f>SUM($C$3:C517)</f>
        <v>4</v>
      </c>
      <c r="E517" t="e">
        <f t="shared" si="25"/>
        <v>#N/A</v>
      </c>
      <c r="F517" s="28" t="str">
        <f t="shared" ca="1" si="26"/>
        <v/>
      </c>
    </row>
    <row r="518" spans="2:6" x14ac:dyDescent="0.2">
      <c r="B518" t="str">
        <f>IFERROR(IF('PDCA review'!$D$2='Check'!B518,'Check'!G518,""),"")</f>
        <v/>
      </c>
      <c r="C518">
        <f t="shared" si="24"/>
        <v>0</v>
      </c>
      <c r="D518">
        <f>SUM($C$3:C518)</f>
        <v>4</v>
      </c>
      <c r="E518" t="e">
        <f t="shared" si="25"/>
        <v>#N/A</v>
      </c>
      <c r="F518" s="28" t="str">
        <f t="shared" ca="1" si="26"/>
        <v/>
      </c>
    </row>
    <row r="519" spans="2:6" x14ac:dyDescent="0.2">
      <c r="B519" t="str">
        <f>IFERROR(IF('PDCA review'!$D$2='Check'!B519,'Check'!G519,""),"")</f>
        <v/>
      </c>
      <c r="C519">
        <f t="shared" si="24"/>
        <v>0</v>
      </c>
      <c r="D519">
        <f>SUM($C$3:C519)</f>
        <v>4</v>
      </c>
      <c r="E519" t="e">
        <f t="shared" si="25"/>
        <v>#N/A</v>
      </c>
      <c r="F519" s="28" t="str">
        <f t="shared" ca="1" si="26"/>
        <v/>
      </c>
    </row>
    <row r="520" spans="2:6" x14ac:dyDescent="0.2">
      <c r="B520" t="str">
        <f>IFERROR(IF('PDCA review'!$D$2='Check'!B520,'Check'!G520,""),"")</f>
        <v/>
      </c>
      <c r="C520">
        <f t="shared" si="24"/>
        <v>0</v>
      </c>
      <c r="D520">
        <f>SUM($C$3:C520)</f>
        <v>4</v>
      </c>
      <c r="E520" t="e">
        <f t="shared" si="25"/>
        <v>#N/A</v>
      </c>
      <c r="F520" s="28" t="str">
        <f t="shared" ca="1" si="26"/>
        <v/>
      </c>
    </row>
    <row r="521" spans="2:6" x14ac:dyDescent="0.2">
      <c r="B521" t="str">
        <f>IFERROR(IF('PDCA review'!$D$2='Check'!B521,'Check'!G521,""),"")</f>
        <v/>
      </c>
      <c r="C521">
        <f t="shared" si="24"/>
        <v>0</v>
      </c>
      <c r="D521">
        <f>SUM($C$3:C521)</f>
        <v>4</v>
      </c>
      <c r="E521" t="e">
        <f t="shared" si="25"/>
        <v>#N/A</v>
      </c>
      <c r="F521" s="28" t="str">
        <f t="shared" ca="1" si="26"/>
        <v/>
      </c>
    </row>
    <row r="522" spans="2:6" x14ac:dyDescent="0.2">
      <c r="B522" t="str">
        <f>IFERROR(IF('PDCA review'!$D$2='Check'!B522,'Check'!G522,""),"")</f>
        <v/>
      </c>
      <c r="C522">
        <f t="shared" si="24"/>
        <v>0</v>
      </c>
      <c r="D522">
        <f>SUM($C$3:C522)</f>
        <v>4</v>
      </c>
      <c r="E522" t="e">
        <f t="shared" si="25"/>
        <v>#N/A</v>
      </c>
      <c r="F522" s="28" t="str">
        <f t="shared" ca="1" si="26"/>
        <v/>
      </c>
    </row>
    <row r="523" spans="2:6" x14ac:dyDescent="0.2">
      <c r="B523" t="str">
        <f>IFERROR(IF('PDCA review'!$D$2='Check'!B523,'Check'!G523,""),"")</f>
        <v/>
      </c>
      <c r="C523">
        <f t="shared" si="24"/>
        <v>0</v>
      </c>
      <c r="D523">
        <f>SUM($C$3:C523)</f>
        <v>4</v>
      </c>
      <c r="E523" t="e">
        <f t="shared" si="25"/>
        <v>#N/A</v>
      </c>
      <c r="F523" s="28" t="str">
        <f t="shared" ca="1" si="26"/>
        <v/>
      </c>
    </row>
    <row r="524" spans="2:6" x14ac:dyDescent="0.2">
      <c r="B524" t="str">
        <f>IFERROR(IF('PDCA review'!$D$2='Check'!B524,'Check'!G524,""),"")</f>
        <v/>
      </c>
      <c r="C524">
        <f t="shared" si="24"/>
        <v>0</v>
      </c>
      <c r="D524">
        <f>SUM($C$3:C524)</f>
        <v>4</v>
      </c>
      <c r="E524" t="e">
        <f t="shared" si="25"/>
        <v>#N/A</v>
      </c>
      <c r="F524" s="28" t="str">
        <f t="shared" ca="1" si="26"/>
        <v/>
      </c>
    </row>
    <row r="525" spans="2:6" x14ac:dyDescent="0.2">
      <c r="B525" t="str">
        <f>IFERROR(IF('PDCA review'!$D$2='Check'!B525,'Check'!G525,""),"")</f>
        <v/>
      </c>
      <c r="C525">
        <f t="shared" si="24"/>
        <v>0</v>
      </c>
      <c r="D525">
        <f>SUM($C$3:C525)</f>
        <v>4</v>
      </c>
      <c r="E525" t="e">
        <f t="shared" si="25"/>
        <v>#N/A</v>
      </c>
      <c r="F525" s="28" t="str">
        <f t="shared" ca="1" si="26"/>
        <v/>
      </c>
    </row>
    <row r="526" spans="2:6" x14ac:dyDescent="0.2">
      <c r="B526" t="str">
        <f>IFERROR(IF('PDCA review'!$D$2='Check'!B526,'Check'!G526,""),"")</f>
        <v/>
      </c>
      <c r="C526">
        <f t="shared" si="24"/>
        <v>0</v>
      </c>
      <c r="D526">
        <f>SUM($C$3:C526)</f>
        <v>4</v>
      </c>
      <c r="E526" t="e">
        <f t="shared" si="25"/>
        <v>#N/A</v>
      </c>
      <c r="F526" s="28" t="str">
        <f t="shared" ca="1" si="26"/>
        <v/>
      </c>
    </row>
    <row r="527" spans="2:6" x14ac:dyDescent="0.2">
      <c r="B527" t="str">
        <f>IFERROR(IF('PDCA review'!$D$2='Check'!B527,'Check'!G527,""),"")</f>
        <v/>
      </c>
      <c r="C527">
        <f t="shared" si="24"/>
        <v>0</v>
      </c>
      <c r="D527">
        <f>SUM($C$3:C527)</f>
        <v>4</v>
      </c>
      <c r="E527" t="e">
        <f t="shared" si="25"/>
        <v>#N/A</v>
      </c>
      <c r="F527" s="28" t="str">
        <f t="shared" ca="1" si="26"/>
        <v/>
      </c>
    </row>
    <row r="528" spans="2:6" x14ac:dyDescent="0.2">
      <c r="B528" t="str">
        <f>IFERROR(IF('PDCA review'!$D$2='Check'!B528,'Check'!G528,""),"")</f>
        <v/>
      </c>
      <c r="C528">
        <f t="shared" si="24"/>
        <v>0</v>
      </c>
      <c r="D528">
        <f>SUM($C$3:C528)</f>
        <v>4</v>
      </c>
      <c r="E528" t="e">
        <f t="shared" si="25"/>
        <v>#N/A</v>
      </c>
      <c r="F528" s="28" t="str">
        <f t="shared" ca="1" si="26"/>
        <v/>
      </c>
    </row>
    <row r="529" spans="2:6" x14ac:dyDescent="0.2">
      <c r="B529" t="str">
        <f>IFERROR(IF('PDCA review'!$D$2='Check'!B529,'Check'!G529,""),"")</f>
        <v/>
      </c>
      <c r="C529">
        <f t="shared" si="24"/>
        <v>0</v>
      </c>
      <c r="D529">
        <f>SUM($C$3:C529)</f>
        <v>4</v>
      </c>
      <c r="E529" t="e">
        <f t="shared" si="25"/>
        <v>#N/A</v>
      </c>
      <c r="F529" s="28" t="str">
        <f t="shared" ca="1" si="26"/>
        <v/>
      </c>
    </row>
    <row r="530" spans="2:6" x14ac:dyDescent="0.2">
      <c r="B530" t="str">
        <f>IFERROR(IF('PDCA review'!$D$2='Check'!B530,'Check'!G530,""),"")</f>
        <v/>
      </c>
      <c r="C530">
        <f t="shared" si="24"/>
        <v>0</v>
      </c>
      <c r="D530">
        <f>SUM($C$3:C530)</f>
        <v>4</v>
      </c>
      <c r="E530" t="e">
        <f t="shared" si="25"/>
        <v>#N/A</v>
      </c>
      <c r="F530" s="28" t="str">
        <f t="shared" ca="1" si="26"/>
        <v/>
      </c>
    </row>
    <row r="531" spans="2:6" x14ac:dyDescent="0.2">
      <c r="B531" t="str">
        <f>IFERROR(IF('PDCA review'!$D$2='Check'!B531,'Check'!G531,""),"")</f>
        <v/>
      </c>
      <c r="C531">
        <f t="shared" si="24"/>
        <v>0</v>
      </c>
      <c r="D531">
        <f>SUM($C$3:C531)</f>
        <v>4</v>
      </c>
      <c r="E531" t="e">
        <f t="shared" si="25"/>
        <v>#N/A</v>
      </c>
      <c r="F531" s="28" t="str">
        <f t="shared" ca="1" si="26"/>
        <v/>
      </c>
    </row>
    <row r="532" spans="2:6" x14ac:dyDescent="0.2">
      <c r="B532" t="str">
        <f>IFERROR(IF('PDCA review'!$D$2='Check'!B532,'Check'!G532,""),"")</f>
        <v/>
      </c>
      <c r="C532">
        <f t="shared" si="24"/>
        <v>0</v>
      </c>
      <c r="D532">
        <f>SUM($C$3:C532)</f>
        <v>4</v>
      </c>
      <c r="E532" t="e">
        <f t="shared" si="25"/>
        <v>#N/A</v>
      </c>
      <c r="F532" s="28" t="str">
        <f t="shared" ca="1" si="26"/>
        <v/>
      </c>
    </row>
    <row r="533" spans="2:6" x14ac:dyDescent="0.2">
      <c r="B533" t="str">
        <f>IFERROR(IF('PDCA review'!$D$2='Check'!B533,'Check'!G533,""),"")</f>
        <v/>
      </c>
      <c r="C533">
        <f t="shared" si="24"/>
        <v>0</v>
      </c>
      <c r="D533">
        <f>SUM($C$3:C533)</f>
        <v>4</v>
      </c>
      <c r="E533" t="e">
        <f t="shared" si="25"/>
        <v>#N/A</v>
      </c>
      <c r="F533" s="28" t="str">
        <f t="shared" ca="1" si="26"/>
        <v/>
      </c>
    </row>
    <row r="534" spans="2:6" x14ac:dyDescent="0.2">
      <c r="B534" t="str">
        <f>IFERROR(IF('PDCA review'!$D$2='Check'!B534,'Check'!G534,""),"")</f>
        <v/>
      </c>
      <c r="C534">
        <f t="shared" si="24"/>
        <v>0</v>
      </c>
      <c r="D534">
        <f>SUM($C$3:C534)</f>
        <v>4</v>
      </c>
      <c r="E534" t="e">
        <f t="shared" si="25"/>
        <v>#N/A</v>
      </c>
      <c r="F534" s="28" t="str">
        <f t="shared" ca="1" si="26"/>
        <v/>
      </c>
    </row>
    <row r="535" spans="2:6" x14ac:dyDescent="0.2">
      <c r="B535" t="str">
        <f>IFERROR(IF('PDCA review'!$D$2='Check'!B535,'Check'!G535,""),"")</f>
        <v/>
      </c>
      <c r="C535">
        <f t="shared" si="24"/>
        <v>0</v>
      </c>
      <c r="D535">
        <f>SUM($C$3:C535)</f>
        <v>4</v>
      </c>
      <c r="E535" t="e">
        <f t="shared" si="25"/>
        <v>#N/A</v>
      </c>
      <c r="F535" s="28" t="str">
        <f t="shared" ca="1" si="26"/>
        <v/>
      </c>
    </row>
    <row r="536" spans="2:6" x14ac:dyDescent="0.2">
      <c r="B536" t="str">
        <f>IFERROR(IF('PDCA review'!$D$2='Check'!B536,'Check'!G536,""),"")</f>
        <v/>
      </c>
      <c r="C536">
        <f t="shared" si="24"/>
        <v>0</v>
      </c>
      <c r="D536">
        <f>SUM($C$3:C536)</f>
        <v>4</v>
      </c>
      <c r="E536" t="e">
        <f t="shared" si="25"/>
        <v>#N/A</v>
      </c>
      <c r="F536" s="28" t="str">
        <f t="shared" ca="1" si="26"/>
        <v/>
      </c>
    </row>
    <row r="537" spans="2:6" x14ac:dyDescent="0.2">
      <c r="B537" t="str">
        <f>IFERROR(IF('PDCA review'!$D$2='Check'!B537,'Check'!G537,""),"")</f>
        <v/>
      </c>
      <c r="C537">
        <f t="shared" si="24"/>
        <v>0</v>
      </c>
      <c r="D537">
        <f>SUM($C$3:C537)</f>
        <v>4</v>
      </c>
      <c r="E537" t="e">
        <f t="shared" si="25"/>
        <v>#N/A</v>
      </c>
      <c r="F537" s="28" t="str">
        <f t="shared" ca="1" si="26"/>
        <v/>
      </c>
    </row>
    <row r="538" spans="2:6" x14ac:dyDescent="0.2">
      <c r="B538" t="str">
        <f>IFERROR(IF('PDCA review'!$D$2='Check'!B538,'Check'!G538,""),"")</f>
        <v/>
      </c>
      <c r="C538">
        <f t="shared" si="24"/>
        <v>0</v>
      </c>
      <c r="D538">
        <f>SUM($C$3:C538)</f>
        <v>4</v>
      </c>
      <c r="E538" t="e">
        <f t="shared" si="25"/>
        <v>#N/A</v>
      </c>
      <c r="F538" s="28" t="str">
        <f t="shared" ca="1" si="26"/>
        <v/>
      </c>
    </row>
    <row r="539" spans="2:6" x14ac:dyDescent="0.2">
      <c r="B539" t="str">
        <f>IFERROR(IF('PDCA review'!$D$2='Check'!B539,'Check'!G539,""),"")</f>
        <v/>
      </c>
      <c r="C539">
        <f t="shared" si="24"/>
        <v>0</v>
      </c>
      <c r="D539">
        <f>SUM($C$3:C539)</f>
        <v>4</v>
      </c>
      <c r="E539" t="e">
        <f t="shared" si="25"/>
        <v>#N/A</v>
      </c>
      <c r="F539" s="28" t="str">
        <f t="shared" ca="1" si="26"/>
        <v/>
      </c>
    </row>
    <row r="540" spans="2:6" x14ac:dyDescent="0.2">
      <c r="B540" t="str">
        <f>IFERROR(IF('PDCA review'!$D$2='Check'!B540,'Check'!G540,""),"")</f>
        <v/>
      </c>
      <c r="C540">
        <f t="shared" si="24"/>
        <v>0</v>
      </c>
      <c r="D540">
        <f>SUM($C$3:C540)</f>
        <v>4</v>
      </c>
      <c r="E540" t="e">
        <f t="shared" si="25"/>
        <v>#N/A</v>
      </c>
      <c r="F540" s="28" t="str">
        <f t="shared" ca="1" si="26"/>
        <v/>
      </c>
    </row>
    <row r="541" spans="2:6" x14ac:dyDescent="0.2">
      <c r="B541" t="str">
        <f>IFERROR(IF('PDCA review'!$D$2='Check'!B541,'Check'!G541,""),"")</f>
        <v/>
      </c>
      <c r="C541">
        <f t="shared" si="24"/>
        <v>0</v>
      </c>
      <c r="D541">
        <f>SUM($C$3:C541)</f>
        <v>4</v>
      </c>
      <c r="E541" t="e">
        <f t="shared" si="25"/>
        <v>#N/A</v>
      </c>
      <c r="F541" s="28" t="str">
        <f t="shared" ca="1" si="26"/>
        <v/>
      </c>
    </row>
    <row r="542" spans="2:6" x14ac:dyDescent="0.2">
      <c r="B542" t="str">
        <f>IFERROR(IF('PDCA review'!$D$2='Check'!B542,'Check'!G542,""),"")</f>
        <v/>
      </c>
      <c r="C542">
        <f t="shared" si="24"/>
        <v>0</v>
      </c>
      <c r="D542">
        <f>SUM($C$3:C542)</f>
        <v>4</v>
      </c>
      <c r="E542" t="e">
        <f t="shared" si="25"/>
        <v>#N/A</v>
      </c>
      <c r="F542" s="28" t="str">
        <f t="shared" ca="1" si="26"/>
        <v/>
      </c>
    </row>
    <row r="543" spans="2:6" x14ac:dyDescent="0.2">
      <c r="B543" t="str">
        <f>IFERROR(IF('PDCA review'!$D$2='Check'!B543,'Check'!G543,""),"")</f>
        <v/>
      </c>
      <c r="C543">
        <f t="shared" si="24"/>
        <v>0</v>
      </c>
      <c r="D543">
        <f>SUM($C$3:C543)</f>
        <v>4</v>
      </c>
      <c r="E543" t="e">
        <f t="shared" si="25"/>
        <v>#N/A</v>
      </c>
      <c r="F543" s="28" t="str">
        <f t="shared" ca="1" si="26"/>
        <v/>
      </c>
    </row>
    <row r="544" spans="2:6" x14ac:dyDescent="0.2">
      <c r="B544" t="str">
        <f>IFERROR(IF('PDCA review'!$D$2='Check'!B544,'Check'!G544,""),"")</f>
        <v/>
      </c>
      <c r="C544">
        <f t="shared" si="24"/>
        <v>0</v>
      </c>
      <c r="D544">
        <f>SUM($C$3:C544)</f>
        <v>4</v>
      </c>
      <c r="E544" t="e">
        <f t="shared" si="25"/>
        <v>#N/A</v>
      </c>
      <c r="F544" s="28" t="str">
        <f t="shared" ca="1" si="26"/>
        <v/>
      </c>
    </row>
    <row r="545" spans="2:6" x14ac:dyDescent="0.2">
      <c r="B545" t="str">
        <f>IFERROR(IF('PDCA review'!$D$2='Check'!B545,'Check'!G545,""),"")</f>
        <v/>
      </c>
      <c r="C545">
        <f t="shared" si="24"/>
        <v>0</v>
      </c>
      <c r="D545">
        <f>SUM($C$3:C545)</f>
        <v>4</v>
      </c>
      <c r="E545" t="e">
        <f t="shared" si="25"/>
        <v>#N/A</v>
      </c>
      <c r="F545" s="28" t="str">
        <f t="shared" ca="1" si="26"/>
        <v/>
      </c>
    </row>
    <row r="546" spans="2:6" x14ac:dyDescent="0.2">
      <c r="B546" t="str">
        <f>IFERROR(IF('PDCA review'!$D$2='Check'!B546,'Check'!G546,""),"")</f>
        <v/>
      </c>
      <c r="C546">
        <f t="shared" si="24"/>
        <v>0</v>
      </c>
      <c r="D546">
        <f>SUM($C$3:C546)</f>
        <v>4</v>
      </c>
      <c r="E546" t="e">
        <f t="shared" si="25"/>
        <v>#N/A</v>
      </c>
      <c r="F546" s="28" t="str">
        <f t="shared" ca="1" si="26"/>
        <v/>
      </c>
    </row>
    <row r="547" spans="2:6" x14ac:dyDescent="0.2">
      <c r="B547" t="str">
        <f>IFERROR(IF('PDCA review'!$D$2='Check'!B547,'Check'!G547,""),"")</f>
        <v/>
      </c>
      <c r="C547">
        <f t="shared" si="24"/>
        <v>0</v>
      </c>
      <c r="D547">
        <f>SUM($C$3:C547)</f>
        <v>4</v>
      </c>
      <c r="E547" t="e">
        <f t="shared" si="25"/>
        <v>#N/A</v>
      </c>
      <c r="F547" s="28" t="str">
        <f t="shared" ca="1" si="26"/>
        <v/>
      </c>
    </row>
    <row r="548" spans="2:6" x14ac:dyDescent="0.2">
      <c r="B548" t="str">
        <f>IFERROR(IF('PDCA review'!$D$2='Check'!B548,'Check'!G548,""),"")</f>
        <v/>
      </c>
      <c r="C548">
        <f t="shared" si="24"/>
        <v>0</v>
      </c>
      <c r="D548">
        <f>SUM($C$3:C548)</f>
        <v>4</v>
      </c>
      <c r="E548" t="e">
        <f t="shared" si="25"/>
        <v>#N/A</v>
      </c>
      <c r="F548" s="28" t="str">
        <f t="shared" ca="1" si="26"/>
        <v/>
      </c>
    </row>
    <row r="549" spans="2:6" x14ac:dyDescent="0.2">
      <c r="B549" t="str">
        <f>IFERROR(IF('PDCA review'!$D$2='Check'!B549,'Check'!G549,""),"")</f>
        <v/>
      </c>
      <c r="C549">
        <f t="shared" si="24"/>
        <v>0</v>
      </c>
      <c r="D549">
        <f>SUM($C$3:C549)</f>
        <v>4</v>
      </c>
      <c r="E549" t="e">
        <f t="shared" si="25"/>
        <v>#N/A</v>
      </c>
      <c r="F549" s="28" t="str">
        <f t="shared" ca="1" si="26"/>
        <v/>
      </c>
    </row>
    <row r="550" spans="2:6" x14ac:dyDescent="0.2">
      <c r="B550" t="str">
        <f>IFERROR(IF('PDCA review'!$D$2='Check'!B550,'Check'!G550,""),"")</f>
        <v/>
      </c>
      <c r="C550">
        <f t="shared" si="24"/>
        <v>0</v>
      </c>
      <c r="D550">
        <f>SUM($C$3:C550)</f>
        <v>4</v>
      </c>
      <c r="E550" t="e">
        <f t="shared" si="25"/>
        <v>#N/A</v>
      </c>
      <c r="F550" s="28" t="str">
        <f t="shared" ca="1" si="26"/>
        <v/>
      </c>
    </row>
    <row r="551" spans="2:6" x14ac:dyDescent="0.2">
      <c r="B551" t="str">
        <f>IFERROR(IF('PDCA review'!$D$2='Check'!B551,'Check'!G551,""),"")</f>
        <v/>
      </c>
      <c r="C551">
        <f t="shared" si="24"/>
        <v>0</v>
      </c>
      <c r="D551">
        <f>SUM($C$3:C551)</f>
        <v>4</v>
      </c>
      <c r="E551" t="e">
        <f t="shared" si="25"/>
        <v>#N/A</v>
      </c>
      <c r="F551" s="28" t="str">
        <f t="shared" ca="1" si="26"/>
        <v/>
      </c>
    </row>
    <row r="552" spans="2:6" x14ac:dyDescent="0.2">
      <c r="B552" t="str">
        <f>IFERROR(IF('PDCA review'!$D$2='Check'!B552,'Check'!G552,""),"")</f>
        <v/>
      </c>
      <c r="C552">
        <f t="shared" si="24"/>
        <v>0</v>
      </c>
      <c r="D552">
        <f>SUM($C$3:C552)</f>
        <v>4</v>
      </c>
      <c r="E552" t="e">
        <f t="shared" si="25"/>
        <v>#N/A</v>
      </c>
      <c r="F552" s="28" t="str">
        <f t="shared" ca="1" si="26"/>
        <v/>
      </c>
    </row>
    <row r="553" spans="2:6" x14ac:dyDescent="0.2">
      <c r="B553" t="str">
        <f>IFERROR(IF('PDCA review'!$D$2='Check'!B553,'Check'!G553,""),"")</f>
        <v/>
      </c>
      <c r="C553">
        <f t="shared" si="24"/>
        <v>0</v>
      </c>
      <c r="D553">
        <f>SUM($C$3:C553)</f>
        <v>4</v>
      </c>
      <c r="E553" t="e">
        <f t="shared" si="25"/>
        <v>#N/A</v>
      </c>
      <c r="F553" s="28" t="str">
        <f t="shared" ca="1" si="26"/>
        <v/>
      </c>
    </row>
    <row r="554" spans="2:6" x14ac:dyDescent="0.2">
      <c r="B554" t="str">
        <f>IFERROR(IF('PDCA review'!$D$2='Check'!B554,'Check'!G554,""),"")</f>
        <v/>
      </c>
      <c r="C554">
        <f t="shared" si="24"/>
        <v>0</v>
      </c>
      <c r="D554">
        <f>SUM($C$3:C554)</f>
        <v>4</v>
      </c>
      <c r="E554" t="e">
        <f t="shared" si="25"/>
        <v>#N/A</v>
      </c>
      <c r="F554" s="28" t="str">
        <f t="shared" ca="1" si="26"/>
        <v/>
      </c>
    </row>
    <row r="555" spans="2:6" x14ac:dyDescent="0.2">
      <c r="B555" t="str">
        <f>IFERROR(IF('PDCA review'!$D$2='Check'!B555,'Check'!G555,""),"")</f>
        <v/>
      </c>
      <c r="C555">
        <f t="shared" si="24"/>
        <v>0</v>
      </c>
      <c r="D555">
        <f>SUM($C$3:C555)</f>
        <v>4</v>
      </c>
      <c r="E555" t="e">
        <f t="shared" si="25"/>
        <v>#N/A</v>
      </c>
      <c r="F555" s="28" t="str">
        <f t="shared" ca="1" si="26"/>
        <v/>
      </c>
    </row>
    <row r="556" spans="2:6" x14ac:dyDescent="0.2">
      <c r="B556" t="str">
        <f>IFERROR(IF('PDCA review'!$D$2='Check'!B556,'Check'!G556,""),"")</f>
        <v/>
      </c>
      <c r="C556">
        <f t="shared" si="24"/>
        <v>0</v>
      </c>
      <c r="D556">
        <f>SUM($C$3:C556)</f>
        <v>4</v>
      </c>
      <c r="E556" t="e">
        <f t="shared" si="25"/>
        <v>#N/A</v>
      </c>
      <c r="F556" s="28" t="str">
        <f t="shared" ca="1" si="26"/>
        <v/>
      </c>
    </row>
    <row r="557" spans="2:6" x14ac:dyDescent="0.2">
      <c r="B557" t="str">
        <f>IFERROR(IF('PDCA review'!$D$2='Check'!B557,'Check'!G557,""),"")</f>
        <v/>
      </c>
      <c r="C557">
        <f t="shared" si="24"/>
        <v>0</v>
      </c>
      <c r="D557">
        <f>SUM($C$3:C557)</f>
        <v>4</v>
      </c>
      <c r="E557" t="e">
        <f t="shared" si="25"/>
        <v>#N/A</v>
      </c>
      <c r="F557" s="28" t="str">
        <f t="shared" ca="1" si="26"/>
        <v/>
      </c>
    </row>
    <row r="558" spans="2:6" x14ac:dyDescent="0.2">
      <c r="B558" t="str">
        <f>IFERROR(IF('PDCA review'!$D$2='Check'!B558,'Check'!G558,""),"")</f>
        <v/>
      </c>
      <c r="C558">
        <f t="shared" si="24"/>
        <v>0</v>
      </c>
      <c r="D558">
        <f>SUM($C$3:C558)</f>
        <v>4</v>
      </c>
      <c r="E558" t="e">
        <f t="shared" si="25"/>
        <v>#N/A</v>
      </c>
      <c r="F558" s="28" t="str">
        <f t="shared" ca="1" si="26"/>
        <v/>
      </c>
    </row>
    <row r="559" spans="2:6" x14ac:dyDescent="0.2">
      <c r="B559" t="str">
        <f>IFERROR(IF('PDCA review'!$D$2='Check'!B559,'Check'!G559,""),"")</f>
        <v/>
      </c>
      <c r="C559">
        <f t="shared" si="24"/>
        <v>0</v>
      </c>
      <c r="D559">
        <f>SUM($C$3:C559)</f>
        <v>4</v>
      </c>
      <c r="E559" t="e">
        <f t="shared" si="25"/>
        <v>#N/A</v>
      </c>
      <c r="F559" s="28" t="str">
        <f t="shared" ca="1" si="26"/>
        <v/>
      </c>
    </row>
    <row r="560" spans="2:6" x14ac:dyDescent="0.2">
      <c r="B560" t="str">
        <f>IFERROR(IF('PDCA review'!$D$2='Check'!B560,'Check'!G560,""),"")</f>
        <v/>
      </c>
      <c r="C560">
        <f t="shared" si="24"/>
        <v>0</v>
      </c>
      <c r="D560">
        <f>SUM($C$3:C560)</f>
        <v>4</v>
      </c>
      <c r="E560" t="e">
        <f t="shared" si="25"/>
        <v>#N/A</v>
      </c>
      <c r="F560" s="28" t="str">
        <f t="shared" ca="1" si="26"/>
        <v/>
      </c>
    </row>
    <row r="561" spans="2:6" x14ac:dyDescent="0.2">
      <c r="B561" t="str">
        <f>IFERROR(IF('PDCA review'!$D$2='Check'!B561,'Check'!G561,""),"")</f>
        <v/>
      </c>
      <c r="C561">
        <f t="shared" si="24"/>
        <v>0</v>
      </c>
      <c r="D561">
        <f>SUM($C$3:C561)</f>
        <v>4</v>
      </c>
      <c r="E561" t="e">
        <f t="shared" si="25"/>
        <v>#N/A</v>
      </c>
      <c r="F561" s="28" t="str">
        <f t="shared" ca="1" si="26"/>
        <v/>
      </c>
    </row>
    <row r="562" spans="2:6" x14ac:dyDescent="0.2">
      <c r="B562" t="str">
        <f>IFERROR(IF('PDCA review'!$D$2='Check'!B562,'Check'!G562,""),"")</f>
        <v/>
      </c>
      <c r="C562">
        <f t="shared" si="24"/>
        <v>0</v>
      </c>
      <c r="D562">
        <f>SUM($C$3:C562)</f>
        <v>4</v>
      </c>
      <c r="E562" t="e">
        <f t="shared" si="25"/>
        <v>#N/A</v>
      </c>
      <c r="F562" s="28" t="str">
        <f t="shared" ca="1" si="26"/>
        <v/>
      </c>
    </row>
    <row r="563" spans="2:6" x14ac:dyDescent="0.2">
      <c r="B563" t="str">
        <f>IFERROR(IF('PDCA review'!$D$2='Check'!B563,'Check'!G563,""),"")</f>
        <v/>
      </c>
      <c r="C563">
        <f t="shared" si="24"/>
        <v>0</v>
      </c>
      <c r="D563">
        <f>SUM($C$3:C563)</f>
        <v>4</v>
      </c>
      <c r="E563" t="e">
        <f t="shared" si="25"/>
        <v>#N/A</v>
      </c>
      <c r="F563" s="28" t="str">
        <f t="shared" ca="1" si="26"/>
        <v/>
      </c>
    </row>
    <row r="564" spans="2:6" x14ac:dyDescent="0.2">
      <c r="B564" t="str">
        <f>IFERROR(IF('PDCA review'!$D$2='Check'!B564,'Check'!G564,""),"")</f>
        <v/>
      </c>
      <c r="C564">
        <f t="shared" si="24"/>
        <v>0</v>
      </c>
      <c r="D564">
        <f>SUM($C$3:C564)</f>
        <v>4</v>
      </c>
      <c r="E564" t="e">
        <f t="shared" si="25"/>
        <v>#N/A</v>
      </c>
      <c r="F564" s="28" t="str">
        <f t="shared" ca="1" si="26"/>
        <v/>
      </c>
    </row>
    <row r="565" spans="2:6" x14ac:dyDescent="0.2">
      <c r="B565" t="str">
        <f>IFERROR(IF('PDCA review'!$D$2='Check'!B565,'Check'!G565,""),"")</f>
        <v/>
      </c>
      <c r="C565">
        <f t="shared" si="24"/>
        <v>0</v>
      </c>
      <c r="D565">
        <f>SUM($C$3:C565)</f>
        <v>4</v>
      </c>
      <c r="E565" t="e">
        <f t="shared" si="25"/>
        <v>#N/A</v>
      </c>
      <c r="F565" s="28" t="str">
        <f t="shared" ca="1" si="26"/>
        <v/>
      </c>
    </row>
    <row r="566" spans="2:6" x14ac:dyDescent="0.2">
      <c r="B566" t="str">
        <f>IFERROR(IF('PDCA review'!$D$2='Check'!B566,'Check'!G566,""),"")</f>
        <v/>
      </c>
      <c r="C566">
        <f t="shared" si="24"/>
        <v>0</v>
      </c>
      <c r="D566">
        <f>SUM($C$3:C566)</f>
        <v>4</v>
      </c>
      <c r="E566" t="e">
        <f t="shared" si="25"/>
        <v>#N/A</v>
      </c>
      <c r="F566" s="28" t="str">
        <f t="shared" ca="1" si="26"/>
        <v/>
      </c>
    </row>
    <row r="567" spans="2:6" x14ac:dyDescent="0.2">
      <c r="B567" t="str">
        <f>IFERROR(IF('PDCA review'!$D$2='Check'!B567,'Check'!G567,""),"")</f>
        <v/>
      </c>
      <c r="C567">
        <f t="shared" si="24"/>
        <v>0</v>
      </c>
      <c r="D567">
        <f>SUM($C$3:C567)</f>
        <v>4</v>
      </c>
      <c r="E567" t="e">
        <f t="shared" si="25"/>
        <v>#N/A</v>
      </c>
      <c r="F567" s="28" t="str">
        <f t="shared" ca="1" si="26"/>
        <v/>
      </c>
    </row>
    <row r="568" spans="2:6" x14ac:dyDescent="0.2">
      <c r="B568" t="str">
        <f>IFERROR(IF('PDCA review'!$D$2='Check'!B568,'Check'!G568,""),"")</f>
        <v/>
      </c>
      <c r="C568">
        <f t="shared" si="24"/>
        <v>0</v>
      </c>
      <c r="D568">
        <f>SUM($C$3:C568)</f>
        <v>4</v>
      </c>
      <c r="E568" t="e">
        <f t="shared" si="25"/>
        <v>#N/A</v>
      </c>
      <c r="F568" s="28" t="str">
        <f t="shared" ca="1" si="26"/>
        <v/>
      </c>
    </row>
    <row r="569" spans="2:6" x14ac:dyDescent="0.2">
      <c r="B569" t="str">
        <f>IFERROR(IF('PDCA review'!$D$2='Check'!B569,'Check'!G569,""),"")</f>
        <v/>
      </c>
      <c r="C569">
        <f t="shared" si="24"/>
        <v>0</v>
      </c>
      <c r="D569">
        <f>SUM($C$3:C569)</f>
        <v>4</v>
      </c>
      <c r="E569" t="e">
        <f t="shared" si="25"/>
        <v>#N/A</v>
      </c>
      <c r="F569" s="28" t="str">
        <f t="shared" ca="1" si="26"/>
        <v/>
      </c>
    </row>
    <row r="570" spans="2:6" x14ac:dyDescent="0.2">
      <c r="B570" t="str">
        <f>IFERROR(IF('PDCA review'!$D$2='Check'!B570,'Check'!G570,""),"")</f>
        <v/>
      </c>
      <c r="C570">
        <f t="shared" si="24"/>
        <v>0</v>
      </c>
      <c r="D570">
        <f>SUM($C$3:C570)</f>
        <v>4</v>
      </c>
      <c r="E570" t="e">
        <f t="shared" si="25"/>
        <v>#N/A</v>
      </c>
      <c r="F570" s="28" t="str">
        <f t="shared" ca="1" si="26"/>
        <v/>
      </c>
    </row>
    <row r="571" spans="2:6" x14ac:dyDescent="0.2">
      <c r="B571" t="str">
        <f>IFERROR(IF('PDCA review'!$D$2='Check'!B571,'Check'!G571,""),"")</f>
        <v/>
      </c>
      <c r="C571">
        <f t="shared" si="24"/>
        <v>0</v>
      </c>
      <c r="D571">
        <f>SUM($C$3:C571)</f>
        <v>4</v>
      </c>
      <c r="E571" t="e">
        <f t="shared" si="25"/>
        <v>#N/A</v>
      </c>
      <c r="F571" s="28" t="str">
        <f t="shared" ca="1" si="26"/>
        <v/>
      </c>
    </row>
    <row r="572" spans="2:6" x14ac:dyDescent="0.2">
      <c r="B572" t="str">
        <f>IFERROR(IF('PDCA review'!$D$2='Check'!B572,'Check'!G572,""),"")</f>
        <v/>
      </c>
      <c r="C572">
        <f t="shared" si="24"/>
        <v>0</v>
      </c>
      <c r="D572">
        <f>SUM($C$3:C572)</f>
        <v>4</v>
      </c>
      <c r="E572" t="e">
        <f t="shared" si="25"/>
        <v>#N/A</v>
      </c>
      <c r="F572" s="28" t="str">
        <f t="shared" ca="1" si="26"/>
        <v/>
      </c>
    </row>
    <row r="573" spans="2:6" x14ac:dyDescent="0.2">
      <c r="B573" t="str">
        <f>IFERROR(IF('PDCA review'!$D$2='Check'!B573,'Check'!G573,""),"")</f>
        <v/>
      </c>
      <c r="C573">
        <f t="shared" si="24"/>
        <v>0</v>
      </c>
      <c r="D573">
        <f>SUM($C$3:C573)</f>
        <v>4</v>
      </c>
      <c r="E573" t="e">
        <f t="shared" si="25"/>
        <v>#N/A</v>
      </c>
      <c r="F573" s="28" t="str">
        <f t="shared" ca="1" si="26"/>
        <v/>
      </c>
    </row>
    <row r="574" spans="2:6" x14ac:dyDescent="0.2">
      <c r="B574" t="str">
        <f>IFERROR(IF('PDCA review'!$D$2='Check'!B574,'Check'!G574,""),"")</f>
        <v/>
      </c>
      <c r="C574">
        <f t="shared" si="24"/>
        <v>0</v>
      </c>
      <c r="D574">
        <f>SUM($C$3:C574)</f>
        <v>4</v>
      </c>
      <c r="E574" t="e">
        <f t="shared" si="25"/>
        <v>#N/A</v>
      </c>
      <c r="F574" s="28" t="str">
        <f t="shared" ca="1" si="26"/>
        <v/>
      </c>
    </row>
    <row r="575" spans="2:6" x14ac:dyDescent="0.2">
      <c r="B575" t="str">
        <f>IFERROR(IF('PDCA review'!$D$2='Check'!B575,'Check'!G575,""),"")</f>
        <v/>
      </c>
      <c r="C575">
        <f t="shared" si="24"/>
        <v>0</v>
      </c>
      <c r="D575">
        <f>SUM($C$3:C575)</f>
        <v>4</v>
      </c>
      <c r="E575" t="e">
        <f t="shared" si="25"/>
        <v>#N/A</v>
      </c>
      <c r="F575" s="28" t="str">
        <f t="shared" ca="1" si="26"/>
        <v/>
      </c>
    </row>
    <row r="576" spans="2:6" x14ac:dyDescent="0.2">
      <c r="B576" t="str">
        <f>IFERROR(IF('PDCA review'!$D$2='Check'!B576,'Check'!G576,""),"")</f>
        <v/>
      </c>
      <c r="C576">
        <f t="shared" si="24"/>
        <v>0</v>
      </c>
      <c r="D576">
        <f>SUM($C$3:C576)</f>
        <v>4</v>
      </c>
      <c r="E576" t="e">
        <f t="shared" si="25"/>
        <v>#N/A</v>
      </c>
      <c r="F576" s="28" t="str">
        <f t="shared" ca="1" si="26"/>
        <v/>
      </c>
    </row>
    <row r="577" spans="2:6" x14ac:dyDescent="0.2">
      <c r="B577" t="str">
        <f>IFERROR(IF('PDCA review'!$D$2='Check'!B577,'Check'!G577,""),"")</f>
        <v/>
      </c>
      <c r="C577">
        <f t="shared" si="24"/>
        <v>0</v>
      </c>
      <c r="D577">
        <f>SUM($C$3:C577)</f>
        <v>4</v>
      </c>
      <c r="E577" t="e">
        <f t="shared" si="25"/>
        <v>#N/A</v>
      </c>
      <c r="F577" s="28" t="str">
        <f t="shared" ca="1" si="26"/>
        <v/>
      </c>
    </row>
    <row r="578" spans="2:6" x14ac:dyDescent="0.2">
      <c r="B578" t="str">
        <f>IFERROR(IF('PDCA review'!$D$2='Check'!B578,'Check'!G578,""),"")</f>
        <v/>
      </c>
      <c r="C578">
        <f t="shared" si="24"/>
        <v>0</v>
      </c>
      <c r="D578">
        <f>SUM($C$3:C578)</f>
        <v>4</v>
      </c>
      <c r="E578" t="e">
        <f t="shared" si="25"/>
        <v>#N/A</v>
      </c>
      <c r="F578" s="28" t="str">
        <f t="shared" ca="1" si="26"/>
        <v/>
      </c>
    </row>
    <row r="579" spans="2:6" x14ac:dyDescent="0.2">
      <c r="B579" t="str">
        <f>IFERROR(IF('PDCA review'!$D$2='Check'!B579,'Check'!G579,""),"")</f>
        <v/>
      </c>
      <c r="C579">
        <f t="shared" si="24"/>
        <v>0</v>
      </c>
      <c r="D579">
        <f>SUM($C$3:C579)</f>
        <v>4</v>
      </c>
      <c r="E579" t="e">
        <f t="shared" si="25"/>
        <v>#N/A</v>
      </c>
      <c r="F579" s="28" t="str">
        <f t="shared" ca="1" si="26"/>
        <v/>
      </c>
    </row>
    <row r="580" spans="2:6" x14ac:dyDescent="0.2">
      <c r="B580" t="str">
        <f>IFERROR(IF('PDCA review'!$D$2='Check'!B580,'Check'!G580,""),"")</f>
        <v/>
      </c>
      <c r="C580">
        <f t="shared" ref="C580:C643" si="27">IF(B580&lt;&gt;"",1,0)</f>
        <v>0</v>
      </c>
      <c r="D580">
        <f>SUM($C$3:C580)</f>
        <v>4</v>
      </c>
      <c r="E580" t="e">
        <f t="shared" ref="E580:E643" si="28">MATCH(ROW()-$D$2,$D$3:$D$2000,0)+$D$2</f>
        <v>#N/A</v>
      </c>
      <c r="F580" s="28" t="str">
        <f t="shared" ref="F580:F643" ca="1" si="29">IFERROR(INDIRECT("B"&amp;E580),"")</f>
        <v/>
      </c>
    </row>
    <row r="581" spans="2:6" x14ac:dyDescent="0.2">
      <c r="B581" t="str">
        <f>IFERROR(IF('PDCA review'!$D$2='Check'!B581,'Check'!G581,""),"")</f>
        <v/>
      </c>
      <c r="C581">
        <f t="shared" si="27"/>
        <v>0</v>
      </c>
      <c r="D581">
        <f>SUM($C$3:C581)</f>
        <v>4</v>
      </c>
      <c r="E581" t="e">
        <f t="shared" si="28"/>
        <v>#N/A</v>
      </c>
      <c r="F581" s="28" t="str">
        <f t="shared" ca="1" si="29"/>
        <v/>
      </c>
    </row>
    <row r="582" spans="2:6" x14ac:dyDescent="0.2">
      <c r="B582" t="str">
        <f>IFERROR(IF('PDCA review'!$D$2='Check'!B582,'Check'!G582,""),"")</f>
        <v/>
      </c>
      <c r="C582">
        <f t="shared" si="27"/>
        <v>0</v>
      </c>
      <c r="D582">
        <f>SUM($C$3:C582)</f>
        <v>4</v>
      </c>
      <c r="E582" t="e">
        <f t="shared" si="28"/>
        <v>#N/A</v>
      </c>
      <c r="F582" s="28" t="str">
        <f t="shared" ca="1" si="29"/>
        <v/>
      </c>
    </row>
    <row r="583" spans="2:6" x14ac:dyDescent="0.2">
      <c r="B583" t="str">
        <f>IFERROR(IF('PDCA review'!$D$2='Check'!B583,'Check'!G583,""),"")</f>
        <v/>
      </c>
      <c r="C583">
        <f t="shared" si="27"/>
        <v>0</v>
      </c>
      <c r="D583">
        <f>SUM($C$3:C583)</f>
        <v>4</v>
      </c>
      <c r="E583" t="e">
        <f t="shared" si="28"/>
        <v>#N/A</v>
      </c>
      <c r="F583" s="28" t="str">
        <f t="shared" ca="1" si="29"/>
        <v/>
      </c>
    </row>
    <row r="584" spans="2:6" x14ac:dyDescent="0.2">
      <c r="B584" t="str">
        <f>IFERROR(IF('PDCA review'!$D$2='Check'!B584,'Check'!G584,""),"")</f>
        <v/>
      </c>
      <c r="C584">
        <f t="shared" si="27"/>
        <v>0</v>
      </c>
      <c r="D584">
        <f>SUM($C$3:C584)</f>
        <v>4</v>
      </c>
      <c r="E584" t="e">
        <f t="shared" si="28"/>
        <v>#N/A</v>
      </c>
      <c r="F584" s="28" t="str">
        <f t="shared" ca="1" si="29"/>
        <v/>
      </c>
    </row>
    <row r="585" spans="2:6" x14ac:dyDescent="0.2">
      <c r="B585" t="str">
        <f>IFERROR(IF('PDCA review'!$D$2='Check'!B585,'Check'!G585,""),"")</f>
        <v/>
      </c>
      <c r="C585">
        <f t="shared" si="27"/>
        <v>0</v>
      </c>
      <c r="D585">
        <f>SUM($C$3:C585)</f>
        <v>4</v>
      </c>
      <c r="E585" t="e">
        <f t="shared" si="28"/>
        <v>#N/A</v>
      </c>
      <c r="F585" s="28" t="str">
        <f t="shared" ca="1" si="29"/>
        <v/>
      </c>
    </row>
    <row r="586" spans="2:6" x14ac:dyDescent="0.2">
      <c r="B586" t="str">
        <f>IFERROR(IF('PDCA review'!$D$2='Check'!B586,'Check'!G586,""),"")</f>
        <v/>
      </c>
      <c r="C586">
        <f t="shared" si="27"/>
        <v>0</v>
      </c>
      <c r="D586">
        <f>SUM($C$3:C586)</f>
        <v>4</v>
      </c>
      <c r="E586" t="e">
        <f t="shared" si="28"/>
        <v>#N/A</v>
      </c>
      <c r="F586" s="28" t="str">
        <f t="shared" ca="1" si="29"/>
        <v/>
      </c>
    </row>
    <row r="587" spans="2:6" x14ac:dyDescent="0.2">
      <c r="B587" t="str">
        <f>IFERROR(IF('PDCA review'!$D$2='Check'!B587,'Check'!G587,""),"")</f>
        <v/>
      </c>
      <c r="C587">
        <f t="shared" si="27"/>
        <v>0</v>
      </c>
      <c r="D587">
        <f>SUM($C$3:C587)</f>
        <v>4</v>
      </c>
      <c r="E587" t="e">
        <f t="shared" si="28"/>
        <v>#N/A</v>
      </c>
      <c r="F587" s="28" t="str">
        <f t="shared" ca="1" si="29"/>
        <v/>
      </c>
    </row>
    <row r="588" spans="2:6" x14ac:dyDescent="0.2">
      <c r="B588" t="str">
        <f>IFERROR(IF('PDCA review'!$D$2='Check'!B588,'Check'!G588,""),"")</f>
        <v/>
      </c>
      <c r="C588">
        <f t="shared" si="27"/>
        <v>0</v>
      </c>
      <c r="D588">
        <f>SUM($C$3:C588)</f>
        <v>4</v>
      </c>
      <c r="E588" t="e">
        <f t="shared" si="28"/>
        <v>#N/A</v>
      </c>
      <c r="F588" s="28" t="str">
        <f t="shared" ca="1" si="29"/>
        <v/>
      </c>
    </row>
    <row r="589" spans="2:6" x14ac:dyDescent="0.2">
      <c r="B589" t="str">
        <f>IFERROR(IF('PDCA review'!$D$2='Check'!B589,'Check'!G589,""),"")</f>
        <v/>
      </c>
      <c r="C589">
        <f t="shared" si="27"/>
        <v>0</v>
      </c>
      <c r="D589">
        <f>SUM($C$3:C589)</f>
        <v>4</v>
      </c>
      <c r="E589" t="e">
        <f t="shared" si="28"/>
        <v>#N/A</v>
      </c>
      <c r="F589" s="28" t="str">
        <f t="shared" ca="1" si="29"/>
        <v/>
      </c>
    </row>
    <row r="590" spans="2:6" x14ac:dyDescent="0.2">
      <c r="B590" t="str">
        <f>IFERROR(IF('PDCA review'!$D$2='Check'!B590,'Check'!G590,""),"")</f>
        <v/>
      </c>
      <c r="C590">
        <f t="shared" si="27"/>
        <v>0</v>
      </c>
      <c r="D590">
        <f>SUM($C$3:C590)</f>
        <v>4</v>
      </c>
      <c r="E590" t="e">
        <f t="shared" si="28"/>
        <v>#N/A</v>
      </c>
      <c r="F590" s="28" t="str">
        <f t="shared" ca="1" si="29"/>
        <v/>
      </c>
    </row>
    <row r="591" spans="2:6" x14ac:dyDescent="0.2">
      <c r="B591" t="str">
        <f>IFERROR(IF('PDCA review'!$D$2='Check'!B591,'Check'!G591,""),"")</f>
        <v/>
      </c>
      <c r="C591">
        <f t="shared" si="27"/>
        <v>0</v>
      </c>
      <c r="D591">
        <f>SUM($C$3:C591)</f>
        <v>4</v>
      </c>
      <c r="E591" t="e">
        <f t="shared" si="28"/>
        <v>#N/A</v>
      </c>
      <c r="F591" s="28" t="str">
        <f t="shared" ca="1" si="29"/>
        <v/>
      </c>
    </row>
    <row r="592" spans="2:6" x14ac:dyDescent="0.2">
      <c r="B592" t="str">
        <f>IFERROR(IF('PDCA review'!$D$2='Check'!B592,'Check'!G592,""),"")</f>
        <v/>
      </c>
      <c r="C592">
        <f t="shared" si="27"/>
        <v>0</v>
      </c>
      <c r="D592">
        <f>SUM($C$3:C592)</f>
        <v>4</v>
      </c>
      <c r="E592" t="e">
        <f t="shared" si="28"/>
        <v>#N/A</v>
      </c>
      <c r="F592" s="28" t="str">
        <f t="shared" ca="1" si="29"/>
        <v/>
      </c>
    </row>
    <row r="593" spans="2:6" x14ac:dyDescent="0.2">
      <c r="B593" t="str">
        <f>IFERROR(IF('PDCA review'!$D$2='Check'!B593,'Check'!G593,""),"")</f>
        <v/>
      </c>
      <c r="C593">
        <f t="shared" si="27"/>
        <v>0</v>
      </c>
      <c r="D593">
        <f>SUM($C$3:C593)</f>
        <v>4</v>
      </c>
      <c r="E593" t="e">
        <f t="shared" si="28"/>
        <v>#N/A</v>
      </c>
      <c r="F593" s="28" t="str">
        <f t="shared" ca="1" si="29"/>
        <v/>
      </c>
    </row>
    <row r="594" spans="2:6" x14ac:dyDescent="0.2">
      <c r="B594" t="str">
        <f>IFERROR(IF('PDCA review'!$D$2='Check'!B594,'Check'!G594,""),"")</f>
        <v/>
      </c>
      <c r="C594">
        <f t="shared" si="27"/>
        <v>0</v>
      </c>
      <c r="D594">
        <f>SUM($C$3:C594)</f>
        <v>4</v>
      </c>
      <c r="E594" t="e">
        <f t="shared" si="28"/>
        <v>#N/A</v>
      </c>
      <c r="F594" s="28" t="str">
        <f t="shared" ca="1" si="29"/>
        <v/>
      </c>
    </row>
    <row r="595" spans="2:6" x14ac:dyDescent="0.2">
      <c r="B595" t="str">
        <f>IFERROR(IF('PDCA review'!$D$2='Check'!B595,'Check'!G595,""),"")</f>
        <v/>
      </c>
      <c r="C595">
        <f t="shared" si="27"/>
        <v>0</v>
      </c>
      <c r="D595">
        <f>SUM($C$3:C595)</f>
        <v>4</v>
      </c>
      <c r="E595" t="e">
        <f t="shared" si="28"/>
        <v>#N/A</v>
      </c>
      <c r="F595" s="28" t="str">
        <f t="shared" ca="1" si="29"/>
        <v/>
      </c>
    </row>
    <row r="596" spans="2:6" x14ac:dyDescent="0.2">
      <c r="B596" t="str">
        <f>IFERROR(IF('PDCA review'!$D$2='Check'!B596,'Check'!G596,""),"")</f>
        <v/>
      </c>
      <c r="C596">
        <f t="shared" si="27"/>
        <v>0</v>
      </c>
      <c r="D596">
        <f>SUM($C$3:C596)</f>
        <v>4</v>
      </c>
      <c r="E596" t="e">
        <f t="shared" si="28"/>
        <v>#N/A</v>
      </c>
      <c r="F596" s="28" t="str">
        <f t="shared" ca="1" si="29"/>
        <v/>
      </c>
    </row>
    <row r="597" spans="2:6" x14ac:dyDescent="0.2">
      <c r="B597" t="str">
        <f>IFERROR(IF('PDCA review'!$D$2='Check'!B597,'Check'!G597,""),"")</f>
        <v/>
      </c>
      <c r="C597">
        <f t="shared" si="27"/>
        <v>0</v>
      </c>
      <c r="D597">
        <f>SUM($C$3:C597)</f>
        <v>4</v>
      </c>
      <c r="E597" t="e">
        <f t="shared" si="28"/>
        <v>#N/A</v>
      </c>
      <c r="F597" s="28" t="str">
        <f t="shared" ca="1" si="29"/>
        <v/>
      </c>
    </row>
    <row r="598" spans="2:6" x14ac:dyDescent="0.2">
      <c r="B598" t="str">
        <f>IFERROR(IF('PDCA review'!$D$2='Check'!B598,'Check'!G598,""),"")</f>
        <v/>
      </c>
      <c r="C598">
        <f t="shared" si="27"/>
        <v>0</v>
      </c>
      <c r="D598">
        <f>SUM($C$3:C598)</f>
        <v>4</v>
      </c>
      <c r="E598" t="e">
        <f t="shared" si="28"/>
        <v>#N/A</v>
      </c>
      <c r="F598" s="28" t="str">
        <f t="shared" ca="1" si="29"/>
        <v/>
      </c>
    </row>
    <row r="599" spans="2:6" x14ac:dyDescent="0.2">
      <c r="B599" t="str">
        <f>IFERROR(IF('PDCA review'!$D$2='Check'!B599,'Check'!G599,""),"")</f>
        <v/>
      </c>
      <c r="C599">
        <f t="shared" si="27"/>
        <v>0</v>
      </c>
      <c r="D599">
        <f>SUM($C$3:C599)</f>
        <v>4</v>
      </c>
      <c r="E599" t="e">
        <f t="shared" si="28"/>
        <v>#N/A</v>
      </c>
      <c r="F599" s="28" t="str">
        <f t="shared" ca="1" si="29"/>
        <v/>
      </c>
    </row>
    <row r="600" spans="2:6" x14ac:dyDescent="0.2">
      <c r="B600" t="str">
        <f>IFERROR(IF('PDCA review'!$D$2='Check'!B600,'Check'!G600,""),"")</f>
        <v/>
      </c>
      <c r="C600">
        <f t="shared" si="27"/>
        <v>0</v>
      </c>
      <c r="D600">
        <f>SUM($C$3:C600)</f>
        <v>4</v>
      </c>
      <c r="E600" t="e">
        <f t="shared" si="28"/>
        <v>#N/A</v>
      </c>
      <c r="F600" s="28" t="str">
        <f t="shared" ca="1" si="29"/>
        <v/>
      </c>
    </row>
    <row r="601" spans="2:6" x14ac:dyDescent="0.2">
      <c r="B601" t="str">
        <f>IFERROR(IF('PDCA review'!$D$2='Check'!B601,'Check'!G601,""),"")</f>
        <v/>
      </c>
      <c r="C601">
        <f t="shared" si="27"/>
        <v>0</v>
      </c>
      <c r="D601">
        <f>SUM($C$3:C601)</f>
        <v>4</v>
      </c>
      <c r="E601" t="e">
        <f t="shared" si="28"/>
        <v>#N/A</v>
      </c>
      <c r="F601" s="28" t="str">
        <f t="shared" ca="1" si="29"/>
        <v/>
      </c>
    </row>
    <row r="602" spans="2:6" x14ac:dyDescent="0.2">
      <c r="B602" t="str">
        <f>IFERROR(IF('PDCA review'!$D$2='Check'!B602,'Check'!G602,""),"")</f>
        <v/>
      </c>
      <c r="C602">
        <f t="shared" si="27"/>
        <v>0</v>
      </c>
      <c r="D602">
        <f>SUM($C$3:C602)</f>
        <v>4</v>
      </c>
      <c r="E602" t="e">
        <f t="shared" si="28"/>
        <v>#N/A</v>
      </c>
      <c r="F602" s="28" t="str">
        <f t="shared" ca="1" si="29"/>
        <v/>
      </c>
    </row>
    <row r="603" spans="2:6" x14ac:dyDescent="0.2">
      <c r="B603" t="str">
        <f>IFERROR(IF('PDCA review'!$D$2='Check'!B603,'Check'!G603,""),"")</f>
        <v/>
      </c>
      <c r="C603">
        <f t="shared" si="27"/>
        <v>0</v>
      </c>
      <c r="D603">
        <f>SUM($C$3:C603)</f>
        <v>4</v>
      </c>
      <c r="E603" t="e">
        <f t="shared" si="28"/>
        <v>#N/A</v>
      </c>
      <c r="F603" s="28" t="str">
        <f t="shared" ca="1" si="29"/>
        <v/>
      </c>
    </row>
    <row r="604" spans="2:6" x14ac:dyDescent="0.2">
      <c r="B604" t="str">
        <f>IFERROR(IF('PDCA review'!$D$2='Check'!B604,'Check'!G604,""),"")</f>
        <v/>
      </c>
      <c r="C604">
        <f t="shared" si="27"/>
        <v>0</v>
      </c>
      <c r="D604">
        <f>SUM($C$3:C604)</f>
        <v>4</v>
      </c>
      <c r="E604" t="e">
        <f t="shared" si="28"/>
        <v>#N/A</v>
      </c>
      <c r="F604" s="28" t="str">
        <f t="shared" ca="1" si="29"/>
        <v/>
      </c>
    </row>
    <row r="605" spans="2:6" x14ac:dyDescent="0.2">
      <c r="B605" t="str">
        <f>IFERROR(IF('PDCA review'!$D$2='Check'!B605,'Check'!G605,""),"")</f>
        <v/>
      </c>
      <c r="C605">
        <f t="shared" si="27"/>
        <v>0</v>
      </c>
      <c r="D605">
        <f>SUM($C$3:C605)</f>
        <v>4</v>
      </c>
      <c r="E605" t="e">
        <f t="shared" si="28"/>
        <v>#N/A</v>
      </c>
      <c r="F605" s="28" t="str">
        <f t="shared" ca="1" si="29"/>
        <v/>
      </c>
    </row>
    <row r="606" spans="2:6" x14ac:dyDescent="0.2">
      <c r="B606" t="str">
        <f>IFERROR(IF('PDCA review'!$D$2='Check'!B606,'Check'!G606,""),"")</f>
        <v/>
      </c>
      <c r="C606">
        <f t="shared" si="27"/>
        <v>0</v>
      </c>
      <c r="D606">
        <f>SUM($C$3:C606)</f>
        <v>4</v>
      </c>
      <c r="E606" t="e">
        <f t="shared" si="28"/>
        <v>#N/A</v>
      </c>
      <c r="F606" s="28" t="str">
        <f t="shared" ca="1" si="29"/>
        <v/>
      </c>
    </row>
    <row r="607" spans="2:6" x14ac:dyDescent="0.2">
      <c r="B607" t="str">
        <f>IFERROR(IF('PDCA review'!$D$2='Check'!B607,'Check'!G607,""),"")</f>
        <v/>
      </c>
      <c r="C607">
        <f t="shared" si="27"/>
        <v>0</v>
      </c>
      <c r="D607">
        <f>SUM($C$3:C607)</f>
        <v>4</v>
      </c>
      <c r="E607" t="e">
        <f t="shared" si="28"/>
        <v>#N/A</v>
      </c>
      <c r="F607" s="28" t="str">
        <f t="shared" ca="1" si="29"/>
        <v/>
      </c>
    </row>
    <row r="608" spans="2:6" x14ac:dyDescent="0.2">
      <c r="B608" t="str">
        <f>IFERROR(IF('PDCA review'!$D$2='Check'!B608,'Check'!G608,""),"")</f>
        <v/>
      </c>
      <c r="C608">
        <f t="shared" si="27"/>
        <v>0</v>
      </c>
      <c r="D608">
        <f>SUM($C$3:C608)</f>
        <v>4</v>
      </c>
      <c r="E608" t="e">
        <f t="shared" si="28"/>
        <v>#N/A</v>
      </c>
      <c r="F608" s="28" t="str">
        <f t="shared" ca="1" si="29"/>
        <v/>
      </c>
    </row>
    <row r="609" spans="2:6" x14ac:dyDescent="0.2">
      <c r="B609" t="str">
        <f>IFERROR(IF('PDCA review'!$D$2='Check'!B609,'Check'!G609,""),"")</f>
        <v/>
      </c>
      <c r="C609">
        <f t="shared" si="27"/>
        <v>0</v>
      </c>
      <c r="D609">
        <f>SUM($C$3:C609)</f>
        <v>4</v>
      </c>
      <c r="E609" t="e">
        <f t="shared" si="28"/>
        <v>#N/A</v>
      </c>
      <c r="F609" s="28" t="str">
        <f t="shared" ca="1" si="29"/>
        <v/>
      </c>
    </row>
    <row r="610" spans="2:6" x14ac:dyDescent="0.2">
      <c r="B610" t="str">
        <f>IFERROR(IF('PDCA review'!$D$2='Check'!B610,'Check'!G610,""),"")</f>
        <v/>
      </c>
      <c r="C610">
        <f t="shared" si="27"/>
        <v>0</v>
      </c>
      <c r="D610">
        <f>SUM($C$3:C610)</f>
        <v>4</v>
      </c>
      <c r="E610" t="e">
        <f t="shared" si="28"/>
        <v>#N/A</v>
      </c>
      <c r="F610" s="28" t="str">
        <f t="shared" ca="1" si="29"/>
        <v/>
      </c>
    </row>
    <row r="611" spans="2:6" x14ac:dyDescent="0.2">
      <c r="B611" t="str">
        <f>IFERROR(IF('PDCA review'!$D$2='Check'!B611,'Check'!G611,""),"")</f>
        <v/>
      </c>
      <c r="C611">
        <f t="shared" si="27"/>
        <v>0</v>
      </c>
      <c r="D611">
        <f>SUM($C$3:C611)</f>
        <v>4</v>
      </c>
      <c r="E611" t="e">
        <f t="shared" si="28"/>
        <v>#N/A</v>
      </c>
      <c r="F611" s="28" t="str">
        <f t="shared" ca="1" si="29"/>
        <v/>
      </c>
    </row>
    <row r="612" spans="2:6" x14ac:dyDescent="0.2">
      <c r="B612" t="str">
        <f>IFERROR(IF('PDCA review'!$D$2='Check'!B612,'Check'!G612,""),"")</f>
        <v/>
      </c>
      <c r="C612">
        <f t="shared" si="27"/>
        <v>0</v>
      </c>
      <c r="D612">
        <f>SUM($C$3:C612)</f>
        <v>4</v>
      </c>
      <c r="E612" t="e">
        <f t="shared" si="28"/>
        <v>#N/A</v>
      </c>
      <c r="F612" s="28" t="str">
        <f t="shared" ca="1" si="29"/>
        <v/>
      </c>
    </row>
    <row r="613" spans="2:6" x14ac:dyDescent="0.2">
      <c r="B613" t="str">
        <f>IFERROR(IF('PDCA review'!$D$2='Check'!B613,'Check'!G613,""),"")</f>
        <v/>
      </c>
      <c r="C613">
        <f t="shared" si="27"/>
        <v>0</v>
      </c>
      <c r="D613">
        <f>SUM($C$3:C613)</f>
        <v>4</v>
      </c>
      <c r="E613" t="e">
        <f t="shared" si="28"/>
        <v>#N/A</v>
      </c>
      <c r="F613" s="28" t="str">
        <f t="shared" ca="1" si="29"/>
        <v/>
      </c>
    </row>
    <row r="614" spans="2:6" x14ac:dyDescent="0.2">
      <c r="B614" t="str">
        <f>IFERROR(IF('PDCA review'!$D$2='Check'!B614,'Check'!G614,""),"")</f>
        <v/>
      </c>
      <c r="C614">
        <f t="shared" si="27"/>
        <v>0</v>
      </c>
      <c r="D614">
        <f>SUM($C$3:C614)</f>
        <v>4</v>
      </c>
      <c r="E614" t="e">
        <f t="shared" si="28"/>
        <v>#N/A</v>
      </c>
      <c r="F614" s="28" t="str">
        <f t="shared" ca="1" si="29"/>
        <v/>
      </c>
    </row>
    <row r="615" spans="2:6" x14ac:dyDescent="0.2">
      <c r="B615" t="str">
        <f>IFERROR(IF('PDCA review'!$D$2='Check'!B615,'Check'!G615,""),"")</f>
        <v/>
      </c>
      <c r="C615">
        <f t="shared" si="27"/>
        <v>0</v>
      </c>
      <c r="D615">
        <f>SUM($C$3:C615)</f>
        <v>4</v>
      </c>
      <c r="E615" t="e">
        <f t="shared" si="28"/>
        <v>#N/A</v>
      </c>
      <c r="F615" s="28" t="str">
        <f t="shared" ca="1" si="29"/>
        <v/>
      </c>
    </row>
    <row r="616" spans="2:6" x14ac:dyDescent="0.2">
      <c r="B616" t="str">
        <f>IFERROR(IF('PDCA review'!$D$2='Check'!B616,'Check'!G616,""),"")</f>
        <v/>
      </c>
      <c r="C616">
        <f t="shared" si="27"/>
        <v>0</v>
      </c>
      <c r="D616">
        <f>SUM($C$3:C616)</f>
        <v>4</v>
      </c>
      <c r="E616" t="e">
        <f t="shared" si="28"/>
        <v>#N/A</v>
      </c>
      <c r="F616" s="28" t="str">
        <f t="shared" ca="1" si="29"/>
        <v/>
      </c>
    </row>
    <row r="617" spans="2:6" x14ac:dyDescent="0.2">
      <c r="B617" t="str">
        <f>IFERROR(IF('PDCA review'!$D$2='Check'!B617,'Check'!G617,""),"")</f>
        <v/>
      </c>
      <c r="C617">
        <f t="shared" si="27"/>
        <v>0</v>
      </c>
      <c r="D617">
        <f>SUM($C$3:C617)</f>
        <v>4</v>
      </c>
      <c r="E617" t="e">
        <f t="shared" si="28"/>
        <v>#N/A</v>
      </c>
      <c r="F617" s="28" t="str">
        <f t="shared" ca="1" si="29"/>
        <v/>
      </c>
    </row>
    <row r="618" spans="2:6" x14ac:dyDescent="0.2">
      <c r="B618" t="str">
        <f>IFERROR(IF('PDCA review'!$D$2='Check'!B618,'Check'!G618,""),"")</f>
        <v/>
      </c>
      <c r="C618">
        <f t="shared" si="27"/>
        <v>0</v>
      </c>
      <c r="D618">
        <f>SUM($C$3:C618)</f>
        <v>4</v>
      </c>
      <c r="E618" t="e">
        <f t="shared" si="28"/>
        <v>#N/A</v>
      </c>
      <c r="F618" s="28" t="str">
        <f t="shared" ca="1" si="29"/>
        <v/>
      </c>
    </row>
    <row r="619" spans="2:6" x14ac:dyDescent="0.2">
      <c r="B619" t="str">
        <f>IFERROR(IF('PDCA review'!$D$2='Check'!B619,'Check'!G619,""),"")</f>
        <v/>
      </c>
      <c r="C619">
        <f t="shared" si="27"/>
        <v>0</v>
      </c>
      <c r="D619">
        <f>SUM($C$3:C619)</f>
        <v>4</v>
      </c>
      <c r="E619" t="e">
        <f t="shared" si="28"/>
        <v>#N/A</v>
      </c>
      <c r="F619" s="28" t="str">
        <f t="shared" ca="1" si="29"/>
        <v/>
      </c>
    </row>
    <row r="620" spans="2:6" x14ac:dyDescent="0.2">
      <c r="B620" t="str">
        <f>IFERROR(IF('PDCA review'!$D$2='Check'!B620,'Check'!G620,""),"")</f>
        <v/>
      </c>
      <c r="C620">
        <f t="shared" si="27"/>
        <v>0</v>
      </c>
      <c r="D620">
        <f>SUM($C$3:C620)</f>
        <v>4</v>
      </c>
      <c r="E620" t="e">
        <f t="shared" si="28"/>
        <v>#N/A</v>
      </c>
      <c r="F620" s="28" t="str">
        <f t="shared" ca="1" si="29"/>
        <v/>
      </c>
    </row>
    <row r="621" spans="2:6" x14ac:dyDescent="0.2">
      <c r="B621" t="str">
        <f>IFERROR(IF('PDCA review'!$D$2='Check'!B621,'Check'!G621,""),"")</f>
        <v/>
      </c>
      <c r="C621">
        <f t="shared" si="27"/>
        <v>0</v>
      </c>
      <c r="D621">
        <f>SUM($C$3:C621)</f>
        <v>4</v>
      </c>
      <c r="E621" t="e">
        <f t="shared" si="28"/>
        <v>#N/A</v>
      </c>
      <c r="F621" s="28" t="str">
        <f t="shared" ca="1" si="29"/>
        <v/>
      </c>
    </row>
    <row r="622" spans="2:6" x14ac:dyDescent="0.2">
      <c r="B622" t="str">
        <f>IFERROR(IF('PDCA review'!$D$2='Check'!B622,'Check'!G622,""),"")</f>
        <v/>
      </c>
      <c r="C622">
        <f t="shared" si="27"/>
        <v>0</v>
      </c>
      <c r="D622">
        <f>SUM($C$3:C622)</f>
        <v>4</v>
      </c>
      <c r="E622" t="e">
        <f t="shared" si="28"/>
        <v>#N/A</v>
      </c>
      <c r="F622" s="28" t="str">
        <f t="shared" ca="1" si="29"/>
        <v/>
      </c>
    </row>
    <row r="623" spans="2:6" x14ac:dyDescent="0.2">
      <c r="B623" t="str">
        <f>IFERROR(IF('PDCA review'!$D$2='Check'!B623,'Check'!G623,""),"")</f>
        <v/>
      </c>
      <c r="C623">
        <f t="shared" si="27"/>
        <v>0</v>
      </c>
      <c r="D623">
        <f>SUM($C$3:C623)</f>
        <v>4</v>
      </c>
      <c r="E623" t="e">
        <f t="shared" si="28"/>
        <v>#N/A</v>
      </c>
      <c r="F623" s="28" t="str">
        <f t="shared" ca="1" si="29"/>
        <v/>
      </c>
    </row>
    <row r="624" spans="2:6" x14ac:dyDescent="0.2">
      <c r="B624" t="str">
        <f>IFERROR(IF('PDCA review'!$D$2='Check'!B624,'Check'!G624,""),"")</f>
        <v/>
      </c>
      <c r="C624">
        <f t="shared" si="27"/>
        <v>0</v>
      </c>
      <c r="D624">
        <f>SUM($C$3:C624)</f>
        <v>4</v>
      </c>
      <c r="E624" t="e">
        <f t="shared" si="28"/>
        <v>#N/A</v>
      </c>
      <c r="F624" s="28" t="str">
        <f t="shared" ca="1" si="29"/>
        <v/>
      </c>
    </row>
    <row r="625" spans="2:6" x14ac:dyDescent="0.2">
      <c r="B625" t="str">
        <f>IFERROR(IF('PDCA review'!$D$2='Check'!B625,'Check'!G625,""),"")</f>
        <v/>
      </c>
      <c r="C625">
        <f t="shared" si="27"/>
        <v>0</v>
      </c>
      <c r="D625">
        <f>SUM($C$3:C625)</f>
        <v>4</v>
      </c>
      <c r="E625" t="e">
        <f t="shared" si="28"/>
        <v>#N/A</v>
      </c>
      <c r="F625" s="28" t="str">
        <f t="shared" ca="1" si="29"/>
        <v/>
      </c>
    </row>
    <row r="626" spans="2:6" x14ac:dyDescent="0.2">
      <c r="B626" t="str">
        <f>IFERROR(IF('PDCA review'!$D$2='Check'!B626,'Check'!G626,""),"")</f>
        <v/>
      </c>
      <c r="C626">
        <f t="shared" si="27"/>
        <v>0</v>
      </c>
      <c r="D626">
        <f>SUM($C$3:C626)</f>
        <v>4</v>
      </c>
      <c r="E626" t="e">
        <f t="shared" si="28"/>
        <v>#N/A</v>
      </c>
      <c r="F626" s="28" t="str">
        <f t="shared" ca="1" si="29"/>
        <v/>
      </c>
    </row>
    <row r="627" spans="2:6" x14ac:dyDescent="0.2">
      <c r="B627" t="str">
        <f>IFERROR(IF('PDCA review'!$D$2='Check'!B627,'Check'!G627,""),"")</f>
        <v/>
      </c>
      <c r="C627">
        <f t="shared" si="27"/>
        <v>0</v>
      </c>
      <c r="D627">
        <f>SUM($C$3:C627)</f>
        <v>4</v>
      </c>
      <c r="E627" t="e">
        <f t="shared" si="28"/>
        <v>#N/A</v>
      </c>
      <c r="F627" s="28" t="str">
        <f t="shared" ca="1" si="29"/>
        <v/>
      </c>
    </row>
    <row r="628" spans="2:6" x14ac:dyDescent="0.2">
      <c r="B628" t="str">
        <f>IFERROR(IF('PDCA review'!$D$2='Check'!B628,'Check'!G628,""),"")</f>
        <v/>
      </c>
      <c r="C628">
        <f t="shared" si="27"/>
        <v>0</v>
      </c>
      <c r="D628">
        <f>SUM($C$3:C628)</f>
        <v>4</v>
      </c>
      <c r="E628" t="e">
        <f t="shared" si="28"/>
        <v>#N/A</v>
      </c>
      <c r="F628" s="28" t="str">
        <f t="shared" ca="1" si="29"/>
        <v/>
      </c>
    </row>
    <row r="629" spans="2:6" x14ac:dyDescent="0.2">
      <c r="B629" t="str">
        <f>IFERROR(IF('PDCA review'!$D$2='Check'!B629,'Check'!G629,""),"")</f>
        <v/>
      </c>
      <c r="C629">
        <f t="shared" si="27"/>
        <v>0</v>
      </c>
      <c r="D629">
        <f>SUM($C$3:C629)</f>
        <v>4</v>
      </c>
      <c r="E629" t="e">
        <f t="shared" si="28"/>
        <v>#N/A</v>
      </c>
      <c r="F629" s="28" t="str">
        <f t="shared" ca="1" si="29"/>
        <v/>
      </c>
    </row>
    <row r="630" spans="2:6" x14ac:dyDescent="0.2">
      <c r="B630" t="str">
        <f>IFERROR(IF('PDCA review'!$D$2='Check'!B630,'Check'!G630,""),"")</f>
        <v/>
      </c>
      <c r="C630">
        <f t="shared" si="27"/>
        <v>0</v>
      </c>
      <c r="D630">
        <f>SUM($C$3:C630)</f>
        <v>4</v>
      </c>
      <c r="E630" t="e">
        <f t="shared" si="28"/>
        <v>#N/A</v>
      </c>
      <c r="F630" s="28" t="str">
        <f t="shared" ca="1" si="29"/>
        <v/>
      </c>
    </row>
    <row r="631" spans="2:6" x14ac:dyDescent="0.2">
      <c r="B631" t="str">
        <f>IFERROR(IF('PDCA review'!$D$2='Check'!B631,'Check'!G631,""),"")</f>
        <v/>
      </c>
      <c r="C631">
        <f t="shared" si="27"/>
        <v>0</v>
      </c>
      <c r="D631">
        <f>SUM($C$3:C631)</f>
        <v>4</v>
      </c>
      <c r="E631" t="e">
        <f t="shared" si="28"/>
        <v>#N/A</v>
      </c>
      <c r="F631" s="28" t="str">
        <f t="shared" ca="1" si="29"/>
        <v/>
      </c>
    </row>
    <row r="632" spans="2:6" x14ac:dyDescent="0.2">
      <c r="B632" t="str">
        <f>IFERROR(IF('PDCA review'!$D$2='Check'!B632,'Check'!G632,""),"")</f>
        <v/>
      </c>
      <c r="C632">
        <f t="shared" si="27"/>
        <v>0</v>
      </c>
      <c r="D632">
        <f>SUM($C$3:C632)</f>
        <v>4</v>
      </c>
      <c r="E632" t="e">
        <f t="shared" si="28"/>
        <v>#N/A</v>
      </c>
      <c r="F632" s="28" t="str">
        <f t="shared" ca="1" si="29"/>
        <v/>
      </c>
    </row>
    <row r="633" spans="2:6" x14ac:dyDescent="0.2">
      <c r="B633" t="str">
        <f>IFERROR(IF('PDCA review'!$D$2='Check'!B633,'Check'!G633,""),"")</f>
        <v/>
      </c>
      <c r="C633">
        <f t="shared" si="27"/>
        <v>0</v>
      </c>
      <c r="D633">
        <f>SUM($C$3:C633)</f>
        <v>4</v>
      </c>
      <c r="E633" t="e">
        <f t="shared" si="28"/>
        <v>#N/A</v>
      </c>
      <c r="F633" s="28" t="str">
        <f t="shared" ca="1" si="29"/>
        <v/>
      </c>
    </row>
    <row r="634" spans="2:6" x14ac:dyDescent="0.2">
      <c r="B634" t="str">
        <f>IFERROR(IF('PDCA review'!$D$2='Check'!B634,'Check'!G634,""),"")</f>
        <v/>
      </c>
      <c r="C634">
        <f t="shared" si="27"/>
        <v>0</v>
      </c>
      <c r="D634">
        <f>SUM($C$3:C634)</f>
        <v>4</v>
      </c>
      <c r="E634" t="e">
        <f t="shared" si="28"/>
        <v>#N/A</v>
      </c>
      <c r="F634" s="28" t="str">
        <f t="shared" ca="1" si="29"/>
        <v/>
      </c>
    </row>
    <row r="635" spans="2:6" x14ac:dyDescent="0.2">
      <c r="B635" t="str">
        <f>IFERROR(IF('PDCA review'!$D$2='Check'!B635,'Check'!G635,""),"")</f>
        <v/>
      </c>
      <c r="C635">
        <f t="shared" si="27"/>
        <v>0</v>
      </c>
      <c r="D635">
        <f>SUM($C$3:C635)</f>
        <v>4</v>
      </c>
      <c r="E635" t="e">
        <f t="shared" si="28"/>
        <v>#N/A</v>
      </c>
      <c r="F635" s="28" t="str">
        <f t="shared" ca="1" si="29"/>
        <v/>
      </c>
    </row>
    <row r="636" spans="2:6" x14ac:dyDescent="0.2">
      <c r="B636" t="str">
        <f>IFERROR(IF('PDCA review'!$D$2='Check'!B636,'Check'!G636,""),"")</f>
        <v/>
      </c>
      <c r="C636">
        <f t="shared" si="27"/>
        <v>0</v>
      </c>
      <c r="D636">
        <f>SUM($C$3:C636)</f>
        <v>4</v>
      </c>
      <c r="E636" t="e">
        <f t="shared" si="28"/>
        <v>#N/A</v>
      </c>
      <c r="F636" s="28" t="str">
        <f t="shared" ca="1" si="29"/>
        <v/>
      </c>
    </row>
    <row r="637" spans="2:6" x14ac:dyDescent="0.2">
      <c r="B637" t="str">
        <f>IFERROR(IF('PDCA review'!$D$2='Check'!B637,'Check'!G637,""),"")</f>
        <v/>
      </c>
      <c r="C637">
        <f t="shared" si="27"/>
        <v>0</v>
      </c>
      <c r="D637">
        <f>SUM($C$3:C637)</f>
        <v>4</v>
      </c>
      <c r="E637" t="e">
        <f t="shared" si="28"/>
        <v>#N/A</v>
      </c>
      <c r="F637" s="28" t="str">
        <f t="shared" ca="1" si="29"/>
        <v/>
      </c>
    </row>
    <row r="638" spans="2:6" x14ac:dyDescent="0.2">
      <c r="B638" t="str">
        <f>IFERROR(IF('PDCA review'!$D$2='Check'!B638,'Check'!G638,""),"")</f>
        <v/>
      </c>
      <c r="C638">
        <f t="shared" si="27"/>
        <v>0</v>
      </c>
      <c r="D638">
        <f>SUM($C$3:C638)</f>
        <v>4</v>
      </c>
      <c r="E638" t="e">
        <f t="shared" si="28"/>
        <v>#N/A</v>
      </c>
      <c r="F638" s="28" t="str">
        <f t="shared" ca="1" si="29"/>
        <v/>
      </c>
    </row>
    <row r="639" spans="2:6" x14ac:dyDescent="0.2">
      <c r="B639" t="str">
        <f>IFERROR(IF('PDCA review'!$D$2='Check'!B639,'Check'!G639,""),"")</f>
        <v/>
      </c>
      <c r="C639">
        <f t="shared" si="27"/>
        <v>0</v>
      </c>
      <c r="D639">
        <f>SUM($C$3:C639)</f>
        <v>4</v>
      </c>
      <c r="E639" t="e">
        <f t="shared" si="28"/>
        <v>#N/A</v>
      </c>
      <c r="F639" s="28" t="str">
        <f t="shared" ca="1" si="29"/>
        <v/>
      </c>
    </row>
    <row r="640" spans="2:6" x14ac:dyDescent="0.2">
      <c r="B640" t="str">
        <f>IFERROR(IF('PDCA review'!$D$2='Check'!B640,'Check'!G640,""),"")</f>
        <v/>
      </c>
      <c r="C640">
        <f t="shared" si="27"/>
        <v>0</v>
      </c>
      <c r="D640">
        <f>SUM($C$3:C640)</f>
        <v>4</v>
      </c>
      <c r="E640" t="e">
        <f t="shared" si="28"/>
        <v>#N/A</v>
      </c>
      <c r="F640" s="28" t="str">
        <f t="shared" ca="1" si="29"/>
        <v/>
      </c>
    </row>
    <row r="641" spans="2:6" x14ac:dyDescent="0.2">
      <c r="B641" t="str">
        <f>IFERROR(IF('PDCA review'!$D$2='Check'!B641,'Check'!G641,""),"")</f>
        <v/>
      </c>
      <c r="C641">
        <f t="shared" si="27"/>
        <v>0</v>
      </c>
      <c r="D641">
        <f>SUM($C$3:C641)</f>
        <v>4</v>
      </c>
      <c r="E641" t="e">
        <f t="shared" si="28"/>
        <v>#N/A</v>
      </c>
      <c r="F641" s="28" t="str">
        <f t="shared" ca="1" si="29"/>
        <v/>
      </c>
    </row>
    <row r="642" spans="2:6" x14ac:dyDescent="0.2">
      <c r="B642" t="str">
        <f>IFERROR(IF('PDCA review'!$D$2='Check'!B642,'Check'!G642,""),"")</f>
        <v/>
      </c>
      <c r="C642">
        <f t="shared" si="27"/>
        <v>0</v>
      </c>
      <c r="D642">
        <f>SUM($C$3:C642)</f>
        <v>4</v>
      </c>
      <c r="E642" t="e">
        <f t="shared" si="28"/>
        <v>#N/A</v>
      </c>
      <c r="F642" s="28" t="str">
        <f t="shared" ca="1" si="29"/>
        <v/>
      </c>
    </row>
    <row r="643" spans="2:6" x14ac:dyDescent="0.2">
      <c r="B643" t="str">
        <f>IFERROR(IF('PDCA review'!$D$2='Check'!B643,'Check'!G643,""),"")</f>
        <v/>
      </c>
      <c r="C643">
        <f t="shared" si="27"/>
        <v>0</v>
      </c>
      <c r="D643">
        <f>SUM($C$3:C643)</f>
        <v>4</v>
      </c>
      <c r="E643" t="e">
        <f t="shared" si="28"/>
        <v>#N/A</v>
      </c>
      <c r="F643" s="28" t="str">
        <f t="shared" ca="1" si="29"/>
        <v/>
      </c>
    </row>
    <row r="644" spans="2:6" x14ac:dyDescent="0.2">
      <c r="B644" t="str">
        <f>IFERROR(IF('PDCA review'!$D$2='Check'!B644,'Check'!G644,""),"")</f>
        <v/>
      </c>
      <c r="C644">
        <f t="shared" ref="C644:C707" si="30">IF(B644&lt;&gt;"",1,0)</f>
        <v>0</v>
      </c>
      <c r="D644">
        <f>SUM($C$3:C644)</f>
        <v>4</v>
      </c>
      <c r="E644" t="e">
        <f t="shared" ref="E644:E707" si="31">MATCH(ROW()-$D$2,$D$3:$D$2000,0)+$D$2</f>
        <v>#N/A</v>
      </c>
      <c r="F644" s="28" t="str">
        <f t="shared" ref="F644:F707" ca="1" si="32">IFERROR(INDIRECT("B"&amp;E644),"")</f>
        <v/>
      </c>
    </row>
    <row r="645" spans="2:6" x14ac:dyDescent="0.2">
      <c r="B645" t="str">
        <f>IFERROR(IF('PDCA review'!$D$2='Check'!B645,'Check'!G645,""),"")</f>
        <v/>
      </c>
      <c r="C645">
        <f t="shared" si="30"/>
        <v>0</v>
      </c>
      <c r="D645">
        <f>SUM($C$3:C645)</f>
        <v>4</v>
      </c>
      <c r="E645" t="e">
        <f t="shared" si="31"/>
        <v>#N/A</v>
      </c>
      <c r="F645" s="28" t="str">
        <f t="shared" ca="1" si="32"/>
        <v/>
      </c>
    </row>
    <row r="646" spans="2:6" x14ac:dyDescent="0.2">
      <c r="B646" t="str">
        <f>IFERROR(IF('PDCA review'!$D$2='Check'!B646,'Check'!G646,""),"")</f>
        <v/>
      </c>
      <c r="C646">
        <f t="shared" si="30"/>
        <v>0</v>
      </c>
      <c r="D646">
        <f>SUM($C$3:C646)</f>
        <v>4</v>
      </c>
      <c r="E646" t="e">
        <f t="shared" si="31"/>
        <v>#N/A</v>
      </c>
      <c r="F646" s="28" t="str">
        <f t="shared" ca="1" si="32"/>
        <v/>
      </c>
    </row>
    <row r="647" spans="2:6" x14ac:dyDescent="0.2">
      <c r="B647" t="str">
        <f>IFERROR(IF('PDCA review'!$D$2='Check'!B647,'Check'!G647,""),"")</f>
        <v/>
      </c>
      <c r="C647">
        <f t="shared" si="30"/>
        <v>0</v>
      </c>
      <c r="D647">
        <f>SUM($C$3:C647)</f>
        <v>4</v>
      </c>
      <c r="E647" t="e">
        <f t="shared" si="31"/>
        <v>#N/A</v>
      </c>
      <c r="F647" s="28" t="str">
        <f t="shared" ca="1" si="32"/>
        <v/>
      </c>
    </row>
    <row r="648" spans="2:6" x14ac:dyDescent="0.2">
      <c r="B648" t="str">
        <f>IFERROR(IF('PDCA review'!$D$2='Check'!B648,'Check'!G648,""),"")</f>
        <v/>
      </c>
      <c r="C648">
        <f t="shared" si="30"/>
        <v>0</v>
      </c>
      <c r="D648">
        <f>SUM($C$3:C648)</f>
        <v>4</v>
      </c>
      <c r="E648" t="e">
        <f t="shared" si="31"/>
        <v>#N/A</v>
      </c>
      <c r="F648" s="28" t="str">
        <f t="shared" ca="1" si="32"/>
        <v/>
      </c>
    </row>
    <row r="649" spans="2:6" x14ac:dyDescent="0.2">
      <c r="B649" t="str">
        <f>IFERROR(IF('PDCA review'!$D$2='Check'!B649,'Check'!G649,""),"")</f>
        <v/>
      </c>
      <c r="C649">
        <f t="shared" si="30"/>
        <v>0</v>
      </c>
      <c r="D649">
        <f>SUM($C$3:C649)</f>
        <v>4</v>
      </c>
      <c r="E649" t="e">
        <f t="shared" si="31"/>
        <v>#N/A</v>
      </c>
      <c r="F649" s="28" t="str">
        <f t="shared" ca="1" si="32"/>
        <v/>
      </c>
    </row>
    <row r="650" spans="2:6" x14ac:dyDescent="0.2">
      <c r="B650" t="str">
        <f>IFERROR(IF('PDCA review'!$D$2='Check'!B650,'Check'!G650,""),"")</f>
        <v/>
      </c>
      <c r="C650">
        <f t="shared" si="30"/>
        <v>0</v>
      </c>
      <c r="D650">
        <f>SUM($C$3:C650)</f>
        <v>4</v>
      </c>
      <c r="E650" t="e">
        <f t="shared" si="31"/>
        <v>#N/A</v>
      </c>
      <c r="F650" s="28" t="str">
        <f t="shared" ca="1" si="32"/>
        <v/>
      </c>
    </row>
    <row r="651" spans="2:6" x14ac:dyDescent="0.2">
      <c r="B651" t="str">
        <f>IFERROR(IF('PDCA review'!$D$2='Check'!B651,'Check'!G651,""),"")</f>
        <v/>
      </c>
      <c r="C651">
        <f t="shared" si="30"/>
        <v>0</v>
      </c>
      <c r="D651">
        <f>SUM($C$3:C651)</f>
        <v>4</v>
      </c>
      <c r="E651" t="e">
        <f t="shared" si="31"/>
        <v>#N/A</v>
      </c>
      <c r="F651" s="28" t="str">
        <f t="shared" ca="1" si="32"/>
        <v/>
      </c>
    </row>
    <row r="652" spans="2:6" x14ac:dyDescent="0.2">
      <c r="B652" t="str">
        <f>IFERROR(IF('PDCA review'!$D$2='Check'!B652,'Check'!G652,""),"")</f>
        <v/>
      </c>
      <c r="C652">
        <f t="shared" si="30"/>
        <v>0</v>
      </c>
      <c r="D652">
        <f>SUM($C$3:C652)</f>
        <v>4</v>
      </c>
      <c r="E652" t="e">
        <f t="shared" si="31"/>
        <v>#N/A</v>
      </c>
      <c r="F652" s="28" t="str">
        <f t="shared" ca="1" si="32"/>
        <v/>
      </c>
    </row>
    <row r="653" spans="2:6" x14ac:dyDescent="0.2">
      <c r="B653" t="str">
        <f>IFERROR(IF('PDCA review'!$D$2='Check'!B653,'Check'!G653,""),"")</f>
        <v/>
      </c>
      <c r="C653">
        <f t="shared" si="30"/>
        <v>0</v>
      </c>
      <c r="D653">
        <f>SUM($C$3:C653)</f>
        <v>4</v>
      </c>
      <c r="E653" t="e">
        <f t="shared" si="31"/>
        <v>#N/A</v>
      </c>
      <c r="F653" s="28" t="str">
        <f t="shared" ca="1" si="32"/>
        <v/>
      </c>
    </row>
    <row r="654" spans="2:6" x14ac:dyDescent="0.2">
      <c r="B654" t="str">
        <f>IFERROR(IF('PDCA review'!$D$2='Check'!B654,'Check'!G654,""),"")</f>
        <v/>
      </c>
      <c r="C654">
        <f t="shared" si="30"/>
        <v>0</v>
      </c>
      <c r="D654">
        <f>SUM($C$3:C654)</f>
        <v>4</v>
      </c>
      <c r="E654" t="e">
        <f t="shared" si="31"/>
        <v>#N/A</v>
      </c>
      <c r="F654" s="28" t="str">
        <f t="shared" ca="1" si="32"/>
        <v/>
      </c>
    </row>
    <row r="655" spans="2:6" x14ac:dyDescent="0.2">
      <c r="B655" t="str">
        <f>IFERROR(IF('PDCA review'!$D$2='Check'!B655,'Check'!G655,""),"")</f>
        <v/>
      </c>
      <c r="C655">
        <f t="shared" si="30"/>
        <v>0</v>
      </c>
      <c r="D655">
        <f>SUM($C$3:C655)</f>
        <v>4</v>
      </c>
      <c r="E655" t="e">
        <f t="shared" si="31"/>
        <v>#N/A</v>
      </c>
      <c r="F655" s="28" t="str">
        <f t="shared" ca="1" si="32"/>
        <v/>
      </c>
    </row>
    <row r="656" spans="2:6" x14ac:dyDescent="0.2">
      <c r="B656" t="str">
        <f>IFERROR(IF('PDCA review'!$D$2='Check'!B656,'Check'!G656,""),"")</f>
        <v/>
      </c>
      <c r="C656">
        <f t="shared" si="30"/>
        <v>0</v>
      </c>
      <c r="D656">
        <f>SUM($C$3:C656)</f>
        <v>4</v>
      </c>
      <c r="E656" t="e">
        <f t="shared" si="31"/>
        <v>#N/A</v>
      </c>
      <c r="F656" s="28" t="str">
        <f t="shared" ca="1" si="32"/>
        <v/>
      </c>
    </row>
    <row r="657" spans="2:6" x14ac:dyDescent="0.2">
      <c r="B657" t="str">
        <f>IFERROR(IF('PDCA review'!$D$2='Check'!B657,'Check'!G657,""),"")</f>
        <v/>
      </c>
      <c r="C657">
        <f t="shared" si="30"/>
        <v>0</v>
      </c>
      <c r="D657">
        <f>SUM($C$3:C657)</f>
        <v>4</v>
      </c>
      <c r="E657" t="e">
        <f t="shared" si="31"/>
        <v>#N/A</v>
      </c>
      <c r="F657" s="28" t="str">
        <f t="shared" ca="1" si="32"/>
        <v/>
      </c>
    </row>
    <row r="658" spans="2:6" x14ac:dyDescent="0.2">
      <c r="B658" t="str">
        <f>IFERROR(IF('PDCA review'!$D$2='Check'!B658,'Check'!G658,""),"")</f>
        <v/>
      </c>
      <c r="C658">
        <f t="shared" si="30"/>
        <v>0</v>
      </c>
      <c r="D658">
        <f>SUM($C$3:C658)</f>
        <v>4</v>
      </c>
      <c r="E658" t="e">
        <f t="shared" si="31"/>
        <v>#N/A</v>
      </c>
      <c r="F658" s="28" t="str">
        <f t="shared" ca="1" si="32"/>
        <v/>
      </c>
    </row>
    <row r="659" spans="2:6" x14ac:dyDescent="0.2">
      <c r="B659" t="str">
        <f>IFERROR(IF('PDCA review'!$D$2='Check'!B659,'Check'!G659,""),"")</f>
        <v/>
      </c>
      <c r="C659">
        <f t="shared" si="30"/>
        <v>0</v>
      </c>
      <c r="D659">
        <f>SUM($C$3:C659)</f>
        <v>4</v>
      </c>
      <c r="E659" t="e">
        <f t="shared" si="31"/>
        <v>#N/A</v>
      </c>
      <c r="F659" s="28" t="str">
        <f t="shared" ca="1" si="32"/>
        <v/>
      </c>
    </row>
    <row r="660" spans="2:6" x14ac:dyDescent="0.2">
      <c r="B660" t="str">
        <f>IFERROR(IF('PDCA review'!$D$2='Check'!B660,'Check'!G660,""),"")</f>
        <v/>
      </c>
      <c r="C660">
        <f t="shared" si="30"/>
        <v>0</v>
      </c>
      <c r="D660">
        <f>SUM($C$3:C660)</f>
        <v>4</v>
      </c>
      <c r="E660" t="e">
        <f t="shared" si="31"/>
        <v>#N/A</v>
      </c>
      <c r="F660" s="28" t="str">
        <f t="shared" ca="1" si="32"/>
        <v/>
      </c>
    </row>
    <row r="661" spans="2:6" x14ac:dyDescent="0.2">
      <c r="B661" t="str">
        <f>IFERROR(IF('PDCA review'!$D$2='Check'!B661,'Check'!G661,""),"")</f>
        <v/>
      </c>
      <c r="C661">
        <f t="shared" si="30"/>
        <v>0</v>
      </c>
      <c r="D661">
        <f>SUM($C$3:C661)</f>
        <v>4</v>
      </c>
      <c r="E661" t="e">
        <f t="shared" si="31"/>
        <v>#N/A</v>
      </c>
      <c r="F661" s="28" t="str">
        <f t="shared" ca="1" si="32"/>
        <v/>
      </c>
    </row>
    <row r="662" spans="2:6" x14ac:dyDescent="0.2">
      <c r="B662" t="str">
        <f>IFERROR(IF('PDCA review'!$D$2='Check'!B662,'Check'!G662,""),"")</f>
        <v/>
      </c>
      <c r="C662">
        <f t="shared" si="30"/>
        <v>0</v>
      </c>
      <c r="D662">
        <f>SUM($C$3:C662)</f>
        <v>4</v>
      </c>
      <c r="E662" t="e">
        <f t="shared" si="31"/>
        <v>#N/A</v>
      </c>
      <c r="F662" s="28" t="str">
        <f t="shared" ca="1" si="32"/>
        <v/>
      </c>
    </row>
    <row r="663" spans="2:6" x14ac:dyDescent="0.2">
      <c r="B663" t="str">
        <f>IFERROR(IF('PDCA review'!$D$2='Check'!B663,'Check'!G663,""),"")</f>
        <v/>
      </c>
      <c r="C663">
        <f t="shared" si="30"/>
        <v>0</v>
      </c>
      <c r="D663">
        <f>SUM($C$3:C663)</f>
        <v>4</v>
      </c>
      <c r="E663" t="e">
        <f t="shared" si="31"/>
        <v>#N/A</v>
      </c>
      <c r="F663" s="28" t="str">
        <f t="shared" ca="1" si="32"/>
        <v/>
      </c>
    </row>
    <row r="664" spans="2:6" x14ac:dyDescent="0.2">
      <c r="B664" t="str">
        <f>IFERROR(IF('PDCA review'!$D$2='Check'!B664,'Check'!G664,""),"")</f>
        <v/>
      </c>
      <c r="C664">
        <f t="shared" si="30"/>
        <v>0</v>
      </c>
      <c r="D664">
        <f>SUM($C$3:C664)</f>
        <v>4</v>
      </c>
      <c r="E664" t="e">
        <f t="shared" si="31"/>
        <v>#N/A</v>
      </c>
      <c r="F664" s="28" t="str">
        <f t="shared" ca="1" si="32"/>
        <v/>
      </c>
    </row>
    <row r="665" spans="2:6" x14ac:dyDescent="0.2">
      <c r="B665" t="str">
        <f>IFERROR(IF('PDCA review'!$D$2='Check'!B665,'Check'!G665,""),"")</f>
        <v/>
      </c>
      <c r="C665">
        <f t="shared" si="30"/>
        <v>0</v>
      </c>
      <c r="D665">
        <f>SUM($C$3:C665)</f>
        <v>4</v>
      </c>
      <c r="E665" t="e">
        <f t="shared" si="31"/>
        <v>#N/A</v>
      </c>
      <c r="F665" s="28" t="str">
        <f t="shared" ca="1" si="32"/>
        <v/>
      </c>
    </row>
    <row r="666" spans="2:6" x14ac:dyDescent="0.2">
      <c r="B666" t="str">
        <f>IFERROR(IF('PDCA review'!$D$2='Check'!B666,'Check'!G666,""),"")</f>
        <v/>
      </c>
      <c r="C666">
        <f t="shared" si="30"/>
        <v>0</v>
      </c>
      <c r="D666">
        <f>SUM($C$3:C666)</f>
        <v>4</v>
      </c>
      <c r="E666" t="e">
        <f t="shared" si="31"/>
        <v>#N/A</v>
      </c>
      <c r="F666" s="28" t="str">
        <f t="shared" ca="1" si="32"/>
        <v/>
      </c>
    </row>
    <row r="667" spans="2:6" x14ac:dyDescent="0.2">
      <c r="B667" t="str">
        <f>IFERROR(IF('PDCA review'!$D$2='Check'!B667,'Check'!G667,""),"")</f>
        <v/>
      </c>
      <c r="C667">
        <f t="shared" si="30"/>
        <v>0</v>
      </c>
      <c r="D667">
        <f>SUM($C$3:C667)</f>
        <v>4</v>
      </c>
      <c r="E667" t="e">
        <f t="shared" si="31"/>
        <v>#N/A</v>
      </c>
      <c r="F667" s="28" t="str">
        <f t="shared" ca="1" si="32"/>
        <v/>
      </c>
    </row>
    <row r="668" spans="2:6" x14ac:dyDescent="0.2">
      <c r="B668" t="str">
        <f>IFERROR(IF('PDCA review'!$D$2='Check'!B668,'Check'!G668,""),"")</f>
        <v/>
      </c>
      <c r="C668">
        <f t="shared" si="30"/>
        <v>0</v>
      </c>
      <c r="D668">
        <f>SUM($C$3:C668)</f>
        <v>4</v>
      </c>
      <c r="E668" t="e">
        <f t="shared" si="31"/>
        <v>#N/A</v>
      </c>
      <c r="F668" s="28" t="str">
        <f t="shared" ca="1" si="32"/>
        <v/>
      </c>
    </row>
    <row r="669" spans="2:6" x14ac:dyDescent="0.2">
      <c r="B669" t="str">
        <f>IFERROR(IF('PDCA review'!$D$2='Check'!B669,'Check'!G669,""),"")</f>
        <v/>
      </c>
      <c r="C669">
        <f t="shared" si="30"/>
        <v>0</v>
      </c>
      <c r="D669">
        <f>SUM($C$3:C669)</f>
        <v>4</v>
      </c>
      <c r="E669" t="e">
        <f t="shared" si="31"/>
        <v>#N/A</v>
      </c>
      <c r="F669" s="28" t="str">
        <f t="shared" ca="1" si="32"/>
        <v/>
      </c>
    </row>
    <row r="670" spans="2:6" x14ac:dyDescent="0.2">
      <c r="B670" t="str">
        <f>IFERROR(IF('PDCA review'!$D$2='Check'!B670,'Check'!G670,""),"")</f>
        <v/>
      </c>
      <c r="C670">
        <f t="shared" si="30"/>
        <v>0</v>
      </c>
      <c r="D670">
        <f>SUM($C$3:C670)</f>
        <v>4</v>
      </c>
      <c r="E670" t="e">
        <f t="shared" si="31"/>
        <v>#N/A</v>
      </c>
      <c r="F670" s="28" t="str">
        <f t="shared" ca="1" si="32"/>
        <v/>
      </c>
    </row>
    <row r="671" spans="2:6" x14ac:dyDescent="0.2">
      <c r="B671" t="str">
        <f>IFERROR(IF('PDCA review'!$D$2='Check'!B671,'Check'!G671,""),"")</f>
        <v/>
      </c>
      <c r="C671">
        <f t="shared" si="30"/>
        <v>0</v>
      </c>
      <c r="D671">
        <f>SUM($C$3:C671)</f>
        <v>4</v>
      </c>
      <c r="E671" t="e">
        <f t="shared" si="31"/>
        <v>#N/A</v>
      </c>
      <c r="F671" s="28" t="str">
        <f t="shared" ca="1" si="32"/>
        <v/>
      </c>
    </row>
    <row r="672" spans="2:6" x14ac:dyDescent="0.2">
      <c r="B672" t="str">
        <f>IFERROR(IF('PDCA review'!$D$2='Check'!B672,'Check'!G672,""),"")</f>
        <v/>
      </c>
      <c r="C672">
        <f t="shared" si="30"/>
        <v>0</v>
      </c>
      <c r="D672">
        <f>SUM($C$3:C672)</f>
        <v>4</v>
      </c>
      <c r="E672" t="e">
        <f t="shared" si="31"/>
        <v>#N/A</v>
      </c>
      <c r="F672" s="28" t="str">
        <f t="shared" ca="1" si="32"/>
        <v/>
      </c>
    </row>
    <row r="673" spans="2:6" x14ac:dyDescent="0.2">
      <c r="B673" t="str">
        <f>IFERROR(IF('PDCA review'!$D$2='Check'!B673,'Check'!G673,""),"")</f>
        <v/>
      </c>
      <c r="C673">
        <f t="shared" si="30"/>
        <v>0</v>
      </c>
      <c r="D673">
        <f>SUM($C$3:C673)</f>
        <v>4</v>
      </c>
      <c r="E673" t="e">
        <f t="shared" si="31"/>
        <v>#N/A</v>
      </c>
      <c r="F673" s="28" t="str">
        <f t="shared" ca="1" si="32"/>
        <v/>
      </c>
    </row>
    <row r="674" spans="2:6" x14ac:dyDescent="0.2">
      <c r="B674" t="str">
        <f>IFERROR(IF('PDCA review'!$D$2='Check'!B674,'Check'!G674,""),"")</f>
        <v/>
      </c>
      <c r="C674">
        <f t="shared" si="30"/>
        <v>0</v>
      </c>
      <c r="D674">
        <f>SUM($C$3:C674)</f>
        <v>4</v>
      </c>
      <c r="E674" t="e">
        <f t="shared" si="31"/>
        <v>#N/A</v>
      </c>
      <c r="F674" s="28" t="str">
        <f t="shared" ca="1" si="32"/>
        <v/>
      </c>
    </row>
    <row r="675" spans="2:6" x14ac:dyDescent="0.2">
      <c r="B675" t="str">
        <f>IFERROR(IF('PDCA review'!$D$2='Check'!B675,'Check'!G675,""),"")</f>
        <v/>
      </c>
      <c r="C675">
        <f t="shared" si="30"/>
        <v>0</v>
      </c>
      <c r="D675">
        <f>SUM($C$3:C675)</f>
        <v>4</v>
      </c>
      <c r="E675" t="e">
        <f t="shared" si="31"/>
        <v>#N/A</v>
      </c>
      <c r="F675" s="28" t="str">
        <f t="shared" ca="1" si="32"/>
        <v/>
      </c>
    </row>
    <row r="676" spans="2:6" x14ac:dyDescent="0.2">
      <c r="B676" t="str">
        <f>IFERROR(IF('PDCA review'!$D$2='Check'!B676,'Check'!G676,""),"")</f>
        <v/>
      </c>
      <c r="C676">
        <f t="shared" si="30"/>
        <v>0</v>
      </c>
      <c r="D676">
        <f>SUM($C$3:C676)</f>
        <v>4</v>
      </c>
      <c r="E676" t="e">
        <f t="shared" si="31"/>
        <v>#N/A</v>
      </c>
      <c r="F676" s="28" t="str">
        <f t="shared" ca="1" si="32"/>
        <v/>
      </c>
    </row>
    <row r="677" spans="2:6" x14ac:dyDescent="0.2">
      <c r="B677" t="str">
        <f>IFERROR(IF('PDCA review'!$D$2='Check'!B677,'Check'!G677,""),"")</f>
        <v/>
      </c>
      <c r="C677">
        <f t="shared" si="30"/>
        <v>0</v>
      </c>
      <c r="D677">
        <f>SUM($C$3:C677)</f>
        <v>4</v>
      </c>
      <c r="E677" t="e">
        <f t="shared" si="31"/>
        <v>#N/A</v>
      </c>
      <c r="F677" s="28" t="str">
        <f t="shared" ca="1" si="32"/>
        <v/>
      </c>
    </row>
    <row r="678" spans="2:6" x14ac:dyDescent="0.2">
      <c r="B678" t="str">
        <f>IFERROR(IF('PDCA review'!$D$2='Check'!B678,'Check'!G678,""),"")</f>
        <v/>
      </c>
      <c r="C678">
        <f t="shared" si="30"/>
        <v>0</v>
      </c>
      <c r="D678">
        <f>SUM($C$3:C678)</f>
        <v>4</v>
      </c>
      <c r="E678" t="e">
        <f t="shared" si="31"/>
        <v>#N/A</v>
      </c>
      <c r="F678" s="28" t="str">
        <f t="shared" ca="1" si="32"/>
        <v/>
      </c>
    </row>
    <row r="679" spans="2:6" x14ac:dyDescent="0.2">
      <c r="B679" t="str">
        <f>IFERROR(IF('PDCA review'!$D$2='Check'!B679,'Check'!G679,""),"")</f>
        <v/>
      </c>
      <c r="C679">
        <f t="shared" si="30"/>
        <v>0</v>
      </c>
      <c r="D679">
        <f>SUM($C$3:C679)</f>
        <v>4</v>
      </c>
      <c r="E679" t="e">
        <f t="shared" si="31"/>
        <v>#N/A</v>
      </c>
      <c r="F679" s="28" t="str">
        <f t="shared" ca="1" si="32"/>
        <v/>
      </c>
    </row>
    <row r="680" spans="2:6" x14ac:dyDescent="0.2">
      <c r="B680" t="str">
        <f>IFERROR(IF('PDCA review'!$D$2='Check'!B680,'Check'!G680,""),"")</f>
        <v/>
      </c>
      <c r="C680">
        <f t="shared" si="30"/>
        <v>0</v>
      </c>
      <c r="D680">
        <f>SUM($C$3:C680)</f>
        <v>4</v>
      </c>
      <c r="E680" t="e">
        <f t="shared" si="31"/>
        <v>#N/A</v>
      </c>
      <c r="F680" s="28" t="str">
        <f t="shared" ca="1" si="32"/>
        <v/>
      </c>
    </row>
    <row r="681" spans="2:6" x14ac:dyDescent="0.2">
      <c r="B681" t="str">
        <f>IFERROR(IF('PDCA review'!$D$2='Check'!B681,'Check'!G681,""),"")</f>
        <v/>
      </c>
      <c r="C681">
        <f t="shared" si="30"/>
        <v>0</v>
      </c>
      <c r="D681">
        <f>SUM($C$3:C681)</f>
        <v>4</v>
      </c>
      <c r="E681" t="e">
        <f t="shared" si="31"/>
        <v>#N/A</v>
      </c>
      <c r="F681" s="28" t="str">
        <f t="shared" ca="1" si="32"/>
        <v/>
      </c>
    </row>
    <row r="682" spans="2:6" x14ac:dyDescent="0.2">
      <c r="B682" t="str">
        <f>IFERROR(IF('PDCA review'!$D$2='Check'!B682,'Check'!G682,""),"")</f>
        <v/>
      </c>
      <c r="C682">
        <f t="shared" si="30"/>
        <v>0</v>
      </c>
      <c r="D682">
        <f>SUM($C$3:C682)</f>
        <v>4</v>
      </c>
      <c r="E682" t="e">
        <f t="shared" si="31"/>
        <v>#N/A</v>
      </c>
      <c r="F682" s="28" t="str">
        <f t="shared" ca="1" si="32"/>
        <v/>
      </c>
    </row>
    <row r="683" spans="2:6" x14ac:dyDescent="0.2">
      <c r="B683" t="str">
        <f>IFERROR(IF('PDCA review'!$D$2='Check'!B683,'Check'!G683,""),"")</f>
        <v/>
      </c>
      <c r="C683">
        <f t="shared" si="30"/>
        <v>0</v>
      </c>
      <c r="D683">
        <f>SUM($C$3:C683)</f>
        <v>4</v>
      </c>
      <c r="E683" t="e">
        <f t="shared" si="31"/>
        <v>#N/A</v>
      </c>
      <c r="F683" s="28" t="str">
        <f t="shared" ca="1" si="32"/>
        <v/>
      </c>
    </row>
    <row r="684" spans="2:6" x14ac:dyDescent="0.2">
      <c r="B684" t="str">
        <f>IFERROR(IF('PDCA review'!$D$2='Check'!B684,'Check'!G684,""),"")</f>
        <v/>
      </c>
      <c r="C684">
        <f t="shared" si="30"/>
        <v>0</v>
      </c>
      <c r="D684">
        <f>SUM($C$3:C684)</f>
        <v>4</v>
      </c>
      <c r="E684" t="e">
        <f t="shared" si="31"/>
        <v>#N/A</v>
      </c>
      <c r="F684" s="28" t="str">
        <f t="shared" ca="1" si="32"/>
        <v/>
      </c>
    </row>
    <row r="685" spans="2:6" x14ac:dyDescent="0.2">
      <c r="B685" t="str">
        <f>IFERROR(IF('PDCA review'!$D$2='Check'!B685,'Check'!G685,""),"")</f>
        <v/>
      </c>
      <c r="C685">
        <f t="shared" si="30"/>
        <v>0</v>
      </c>
      <c r="D685">
        <f>SUM($C$3:C685)</f>
        <v>4</v>
      </c>
      <c r="E685" t="e">
        <f t="shared" si="31"/>
        <v>#N/A</v>
      </c>
      <c r="F685" s="28" t="str">
        <f t="shared" ca="1" si="32"/>
        <v/>
      </c>
    </row>
    <row r="686" spans="2:6" x14ac:dyDescent="0.2">
      <c r="B686" t="str">
        <f>IFERROR(IF('PDCA review'!$D$2='Check'!B686,'Check'!G686,""),"")</f>
        <v/>
      </c>
      <c r="C686">
        <f t="shared" si="30"/>
        <v>0</v>
      </c>
      <c r="D686">
        <f>SUM($C$3:C686)</f>
        <v>4</v>
      </c>
      <c r="E686" t="e">
        <f t="shared" si="31"/>
        <v>#N/A</v>
      </c>
      <c r="F686" s="28" t="str">
        <f t="shared" ca="1" si="32"/>
        <v/>
      </c>
    </row>
    <row r="687" spans="2:6" x14ac:dyDescent="0.2">
      <c r="B687" t="str">
        <f>IFERROR(IF('PDCA review'!$D$2='Check'!B687,'Check'!G687,""),"")</f>
        <v/>
      </c>
      <c r="C687">
        <f t="shared" si="30"/>
        <v>0</v>
      </c>
      <c r="D687">
        <f>SUM($C$3:C687)</f>
        <v>4</v>
      </c>
      <c r="E687" t="e">
        <f t="shared" si="31"/>
        <v>#N/A</v>
      </c>
      <c r="F687" s="28" t="str">
        <f t="shared" ca="1" si="32"/>
        <v/>
      </c>
    </row>
    <row r="688" spans="2:6" x14ac:dyDescent="0.2">
      <c r="B688" t="str">
        <f>IFERROR(IF('PDCA review'!$D$2='Check'!B688,'Check'!G688,""),"")</f>
        <v/>
      </c>
      <c r="C688">
        <f t="shared" si="30"/>
        <v>0</v>
      </c>
      <c r="D688">
        <f>SUM($C$3:C688)</f>
        <v>4</v>
      </c>
      <c r="E688" t="e">
        <f t="shared" si="31"/>
        <v>#N/A</v>
      </c>
      <c r="F688" s="28" t="str">
        <f t="shared" ca="1" si="32"/>
        <v/>
      </c>
    </row>
    <row r="689" spans="2:6" x14ac:dyDescent="0.2">
      <c r="B689" t="str">
        <f>IFERROR(IF('PDCA review'!$D$2='Check'!B689,'Check'!G689,""),"")</f>
        <v/>
      </c>
      <c r="C689">
        <f t="shared" si="30"/>
        <v>0</v>
      </c>
      <c r="D689">
        <f>SUM($C$3:C689)</f>
        <v>4</v>
      </c>
      <c r="E689" t="e">
        <f t="shared" si="31"/>
        <v>#N/A</v>
      </c>
      <c r="F689" s="28" t="str">
        <f t="shared" ca="1" si="32"/>
        <v/>
      </c>
    </row>
    <row r="690" spans="2:6" x14ac:dyDescent="0.2">
      <c r="B690" t="str">
        <f>IFERROR(IF('PDCA review'!$D$2='Check'!B690,'Check'!G690,""),"")</f>
        <v/>
      </c>
      <c r="C690">
        <f t="shared" si="30"/>
        <v>0</v>
      </c>
      <c r="D690">
        <f>SUM($C$3:C690)</f>
        <v>4</v>
      </c>
      <c r="E690" t="e">
        <f t="shared" si="31"/>
        <v>#N/A</v>
      </c>
      <c r="F690" s="28" t="str">
        <f t="shared" ca="1" si="32"/>
        <v/>
      </c>
    </row>
    <row r="691" spans="2:6" x14ac:dyDescent="0.2">
      <c r="B691" t="str">
        <f>IFERROR(IF('PDCA review'!$D$2='Check'!B691,'Check'!G691,""),"")</f>
        <v/>
      </c>
      <c r="C691">
        <f t="shared" si="30"/>
        <v>0</v>
      </c>
      <c r="D691">
        <f>SUM($C$3:C691)</f>
        <v>4</v>
      </c>
      <c r="E691" t="e">
        <f t="shared" si="31"/>
        <v>#N/A</v>
      </c>
      <c r="F691" s="28" t="str">
        <f t="shared" ca="1" si="32"/>
        <v/>
      </c>
    </row>
    <row r="692" spans="2:6" x14ac:dyDescent="0.2">
      <c r="B692" t="str">
        <f>IFERROR(IF('PDCA review'!$D$2='Check'!B692,'Check'!G692,""),"")</f>
        <v/>
      </c>
      <c r="C692">
        <f t="shared" si="30"/>
        <v>0</v>
      </c>
      <c r="D692">
        <f>SUM($C$3:C692)</f>
        <v>4</v>
      </c>
      <c r="E692" t="e">
        <f t="shared" si="31"/>
        <v>#N/A</v>
      </c>
      <c r="F692" s="28" t="str">
        <f t="shared" ca="1" si="32"/>
        <v/>
      </c>
    </row>
    <row r="693" spans="2:6" x14ac:dyDescent="0.2">
      <c r="B693" t="str">
        <f>IFERROR(IF('PDCA review'!$D$2='Check'!B693,'Check'!G693,""),"")</f>
        <v/>
      </c>
      <c r="C693">
        <f t="shared" si="30"/>
        <v>0</v>
      </c>
      <c r="D693">
        <f>SUM($C$3:C693)</f>
        <v>4</v>
      </c>
      <c r="E693" t="e">
        <f t="shared" si="31"/>
        <v>#N/A</v>
      </c>
      <c r="F693" s="28" t="str">
        <f t="shared" ca="1" si="32"/>
        <v/>
      </c>
    </row>
    <row r="694" spans="2:6" x14ac:dyDescent="0.2">
      <c r="B694" t="str">
        <f>IFERROR(IF('PDCA review'!$D$2='Check'!B694,'Check'!G694,""),"")</f>
        <v/>
      </c>
      <c r="C694">
        <f t="shared" si="30"/>
        <v>0</v>
      </c>
      <c r="D694">
        <f>SUM($C$3:C694)</f>
        <v>4</v>
      </c>
      <c r="E694" t="e">
        <f t="shared" si="31"/>
        <v>#N/A</v>
      </c>
      <c r="F694" s="28" t="str">
        <f t="shared" ca="1" si="32"/>
        <v/>
      </c>
    </row>
    <row r="695" spans="2:6" x14ac:dyDescent="0.2">
      <c r="B695" t="str">
        <f>IFERROR(IF('PDCA review'!$D$2='Check'!B695,'Check'!G695,""),"")</f>
        <v/>
      </c>
      <c r="C695">
        <f t="shared" si="30"/>
        <v>0</v>
      </c>
      <c r="D695">
        <f>SUM($C$3:C695)</f>
        <v>4</v>
      </c>
      <c r="E695" t="e">
        <f t="shared" si="31"/>
        <v>#N/A</v>
      </c>
      <c r="F695" s="28" t="str">
        <f t="shared" ca="1" si="32"/>
        <v/>
      </c>
    </row>
    <row r="696" spans="2:6" x14ac:dyDescent="0.2">
      <c r="B696" t="str">
        <f>IFERROR(IF('PDCA review'!$D$2='Check'!B696,'Check'!G696,""),"")</f>
        <v/>
      </c>
      <c r="C696">
        <f t="shared" si="30"/>
        <v>0</v>
      </c>
      <c r="D696">
        <f>SUM($C$3:C696)</f>
        <v>4</v>
      </c>
      <c r="E696" t="e">
        <f t="shared" si="31"/>
        <v>#N/A</v>
      </c>
      <c r="F696" s="28" t="str">
        <f t="shared" ca="1" si="32"/>
        <v/>
      </c>
    </row>
    <row r="697" spans="2:6" x14ac:dyDescent="0.2">
      <c r="B697" t="str">
        <f>IFERROR(IF('PDCA review'!$D$2='Check'!B697,'Check'!G697,""),"")</f>
        <v/>
      </c>
      <c r="C697">
        <f t="shared" si="30"/>
        <v>0</v>
      </c>
      <c r="D697">
        <f>SUM($C$3:C697)</f>
        <v>4</v>
      </c>
      <c r="E697" t="e">
        <f t="shared" si="31"/>
        <v>#N/A</v>
      </c>
      <c r="F697" s="28" t="str">
        <f t="shared" ca="1" si="32"/>
        <v/>
      </c>
    </row>
    <row r="698" spans="2:6" x14ac:dyDescent="0.2">
      <c r="B698" t="str">
        <f>IFERROR(IF('PDCA review'!$D$2='Check'!B698,'Check'!G698,""),"")</f>
        <v/>
      </c>
      <c r="C698">
        <f t="shared" si="30"/>
        <v>0</v>
      </c>
      <c r="D698">
        <f>SUM($C$3:C698)</f>
        <v>4</v>
      </c>
      <c r="E698" t="e">
        <f t="shared" si="31"/>
        <v>#N/A</v>
      </c>
      <c r="F698" s="28" t="str">
        <f t="shared" ca="1" si="32"/>
        <v/>
      </c>
    </row>
    <row r="699" spans="2:6" x14ac:dyDescent="0.2">
      <c r="B699" t="str">
        <f>IFERROR(IF('PDCA review'!$D$2='Check'!B699,'Check'!G699,""),"")</f>
        <v/>
      </c>
      <c r="C699">
        <f t="shared" si="30"/>
        <v>0</v>
      </c>
      <c r="D699">
        <f>SUM($C$3:C699)</f>
        <v>4</v>
      </c>
      <c r="E699" t="e">
        <f t="shared" si="31"/>
        <v>#N/A</v>
      </c>
      <c r="F699" s="28" t="str">
        <f t="shared" ca="1" si="32"/>
        <v/>
      </c>
    </row>
    <row r="700" spans="2:6" x14ac:dyDescent="0.2">
      <c r="B700" t="str">
        <f>IFERROR(IF('PDCA review'!$D$2='Check'!B700,'Check'!G700,""),"")</f>
        <v/>
      </c>
      <c r="C700">
        <f t="shared" si="30"/>
        <v>0</v>
      </c>
      <c r="D700">
        <f>SUM($C$3:C700)</f>
        <v>4</v>
      </c>
      <c r="E700" t="e">
        <f t="shared" si="31"/>
        <v>#N/A</v>
      </c>
      <c r="F700" s="28" t="str">
        <f t="shared" ca="1" si="32"/>
        <v/>
      </c>
    </row>
    <row r="701" spans="2:6" x14ac:dyDescent="0.2">
      <c r="B701" t="str">
        <f>IFERROR(IF('PDCA review'!$D$2='Check'!B701,'Check'!G701,""),"")</f>
        <v/>
      </c>
      <c r="C701">
        <f t="shared" si="30"/>
        <v>0</v>
      </c>
      <c r="D701">
        <f>SUM($C$3:C701)</f>
        <v>4</v>
      </c>
      <c r="E701" t="e">
        <f t="shared" si="31"/>
        <v>#N/A</v>
      </c>
      <c r="F701" s="28" t="str">
        <f t="shared" ca="1" si="32"/>
        <v/>
      </c>
    </row>
    <row r="702" spans="2:6" x14ac:dyDescent="0.2">
      <c r="B702" t="str">
        <f>IFERROR(IF('PDCA review'!$D$2='Check'!B702,'Check'!G702,""),"")</f>
        <v/>
      </c>
      <c r="C702">
        <f t="shared" si="30"/>
        <v>0</v>
      </c>
      <c r="D702">
        <f>SUM($C$3:C702)</f>
        <v>4</v>
      </c>
      <c r="E702" t="e">
        <f t="shared" si="31"/>
        <v>#N/A</v>
      </c>
      <c r="F702" s="28" t="str">
        <f t="shared" ca="1" si="32"/>
        <v/>
      </c>
    </row>
    <row r="703" spans="2:6" x14ac:dyDescent="0.2">
      <c r="B703" t="str">
        <f>IFERROR(IF('PDCA review'!$D$2='Check'!B703,'Check'!G703,""),"")</f>
        <v/>
      </c>
      <c r="C703">
        <f t="shared" si="30"/>
        <v>0</v>
      </c>
      <c r="D703">
        <f>SUM($C$3:C703)</f>
        <v>4</v>
      </c>
      <c r="E703" t="e">
        <f t="shared" si="31"/>
        <v>#N/A</v>
      </c>
      <c r="F703" s="28" t="str">
        <f t="shared" ca="1" si="32"/>
        <v/>
      </c>
    </row>
    <row r="704" spans="2:6" x14ac:dyDescent="0.2">
      <c r="B704" t="str">
        <f>IFERROR(IF('PDCA review'!$D$2='Check'!B704,'Check'!G704,""),"")</f>
        <v/>
      </c>
      <c r="C704">
        <f t="shared" si="30"/>
        <v>0</v>
      </c>
      <c r="D704">
        <f>SUM($C$3:C704)</f>
        <v>4</v>
      </c>
      <c r="E704" t="e">
        <f t="shared" si="31"/>
        <v>#N/A</v>
      </c>
      <c r="F704" s="28" t="str">
        <f t="shared" ca="1" si="32"/>
        <v/>
      </c>
    </row>
    <row r="705" spans="2:6" x14ac:dyDescent="0.2">
      <c r="B705" t="str">
        <f>IFERROR(IF('PDCA review'!$D$2='Check'!B705,'Check'!G705,""),"")</f>
        <v/>
      </c>
      <c r="C705">
        <f t="shared" si="30"/>
        <v>0</v>
      </c>
      <c r="D705">
        <f>SUM($C$3:C705)</f>
        <v>4</v>
      </c>
      <c r="E705" t="e">
        <f t="shared" si="31"/>
        <v>#N/A</v>
      </c>
      <c r="F705" s="28" t="str">
        <f t="shared" ca="1" si="32"/>
        <v/>
      </c>
    </row>
    <row r="706" spans="2:6" x14ac:dyDescent="0.2">
      <c r="B706" t="str">
        <f>IFERROR(IF('PDCA review'!$D$2='Check'!B706,'Check'!G706,""),"")</f>
        <v/>
      </c>
      <c r="C706">
        <f t="shared" si="30"/>
        <v>0</v>
      </c>
      <c r="D706">
        <f>SUM($C$3:C706)</f>
        <v>4</v>
      </c>
      <c r="E706" t="e">
        <f t="shared" si="31"/>
        <v>#N/A</v>
      </c>
      <c r="F706" s="28" t="str">
        <f t="shared" ca="1" si="32"/>
        <v/>
      </c>
    </row>
    <row r="707" spans="2:6" x14ac:dyDescent="0.2">
      <c r="B707" t="str">
        <f>IFERROR(IF('PDCA review'!$D$2='Check'!B707,'Check'!G707,""),"")</f>
        <v/>
      </c>
      <c r="C707">
        <f t="shared" si="30"/>
        <v>0</v>
      </c>
      <c r="D707">
        <f>SUM($C$3:C707)</f>
        <v>4</v>
      </c>
      <c r="E707" t="e">
        <f t="shared" si="31"/>
        <v>#N/A</v>
      </c>
      <c r="F707" s="28" t="str">
        <f t="shared" ca="1" si="32"/>
        <v/>
      </c>
    </row>
    <row r="708" spans="2:6" x14ac:dyDescent="0.2">
      <c r="B708" t="str">
        <f>IFERROR(IF('PDCA review'!$D$2='Check'!B708,'Check'!G708,""),"")</f>
        <v/>
      </c>
      <c r="C708">
        <f t="shared" ref="C708:C771" si="33">IF(B708&lt;&gt;"",1,0)</f>
        <v>0</v>
      </c>
      <c r="D708">
        <f>SUM($C$3:C708)</f>
        <v>4</v>
      </c>
      <c r="E708" t="e">
        <f t="shared" ref="E708:E771" si="34">MATCH(ROW()-$D$2,$D$3:$D$2000,0)+$D$2</f>
        <v>#N/A</v>
      </c>
      <c r="F708" s="28" t="str">
        <f t="shared" ref="F708:F771" ca="1" si="35">IFERROR(INDIRECT("B"&amp;E708),"")</f>
        <v/>
      </c>
    </row>
    <row r="709" spans="2:6" x14ac:dyDescent="0.2">
      <c r="B709" t="str">
        <f>IFERROR(IF('PDCA review'!$D$2='Check'!B709,'Check'!G709,""),"")</f>
        <v/>
      </c>
      <c r="C709">
        <f t="shared" si="33"/>
        <v>0</v>
      </c>
      <c r="D709">
        <f>SUM($C$3:C709)</f>
        <v>4</v>
      </c>
      <c r="E709" t="e">
        <f t="shared" si="34"/>
        <v>#N/A</v>
      </c>
      <c r="F709" s="28" t="str">
        <f t="shared" ca="1" si="35"/>
        <v/>
      </c>
    </row>
    <row r="710" spans="2:6" x14ac:dyDescent="0.2">
      <c r="B710" t="str">
        <f>IFERROR(IF('PDCA review'!$D$2='Check'!B710,'Check'!G710,""),"")</f>
        <v/>
      </c>
      <c r="C710">
        <f t="shared" si="33"/>
        <v>0</v>
      </c>
      <c r="D710">
        <f>SUM($C$3:C710)</f>
        <v>4</v>
      </c>
      <c r="E710" t="e">
        <f t="shared" si="34"/>
        <v>#N/A</v>
      </c>
      <c r="F710" s="28" t="str">
        <f t="shared" ca="1" si="35"/>
        <v/>
      </c>
    </row>
    <row r="711" spans="2:6" x14ac:dyDescent="0.2">
      <c r="B711" t="str">
        <f>IFERROR(IF('PDCA review'!$D$2='Check'!B711,'Check'!G711,""),"")</f>
        <v/>
      </c>
      <c r="C711">
        <f t="shared" si="33"/>
        <v>0</v>
      </c>
      <c r="D711">
        <f>SUM($C$3:C711)</f>
        <v>4</v>
      </c>
      <c r="E711" t="e">
        <f t="shared" si="34"/>
        <v>#N/A</v>
      </c>
      <c r="F711" s="28" t="str">
        <f t="shared" ca="1" si="35"/>
        <v/>
      </c>
    </row>
    <row r="712" spans="2:6" x14ac:dyDescent="0.2">
      <c r="B712" t="str">
        <f>IFERROR(IF('PDCA review'!$D$2='Check'!B712,'Check'!G712,""),"")</f>
        <v/>
      </c>
      <c r="C712">
        <f t="shared" si="33"/>
        <v>0</v>
      </c>
      <c r="D712">
        <f>SUM($C$3:C712)</f>
        <v>4</v>
      </c>
      <c r="E712" t="e">
        <f t="shared" si="34"/>
        <v>#N/A</v>
      </c>
      <c r="F712" s="28" t="str">
        <f t="shared" ca="1" si="35"/>
        <v/>
      </c>
    </row>
    <row r="713" spans="2:6" x14ac:dyDescent="0.2">
      <c r="B713" t="str">
        <f>IFERROR(IF('PDCA review'!$D$2='Check'!B713,'Check'!G713,""),"")</f>
        <v/>
      </c>
      <c r="C713">
        <f t="shared" si="33"/>
        <v>0</v>
      </c>
      <c r="D713">
        <f>SUM($C$3:C713)</f>
        <v>4</v>
      </c>
      <c r="E713" t="e">
        <f t="shared" si="34"/>
        <v>#N/A</v>
      </c>
      <c r="F713" s="28" t="str">
        <f t="shared" ca="1" si="35"/>
        <v/>
      </c>
    </row>
    <row r="714" spans="2:6" x14ac:dyDescent="0.2">
      <c r="B714" t="str">
        <f>IFERROR(IF('PDCA review'!$D$2='Check'!B714,'Check'!G714,""),"")</f>
        <v/>
      </c>
      <c r="C714">
        <f t="shared" si="33"/>
        <v>0</v>
      </c>
      <c r="D714">
        <f>SUM($C$3:C714)</f>
        <v>4</v>
      </c>
      <c r="E714" t="e">
        <f t="shared" si="34"/>
        <v>#N/A</v>
      </c>
      <c r="F714" s="28" t="str">
        <f t="shared" ca="1" si="35"/>
        <v/>
      </c>
    </row>
    <row r="715" spans="2:6" x14ac:dyDescent="0.2">
      <c r="B715" t="str">
        <f>IFERROR(IF('PDCA review'!$D$2='Check'!B715,'Check'!G715,""),"")</f>
        <v/>
      </c>
      <c r="C715">
        <f t="shared" si="33"/>
        <v>0</v>
      </c>
      <c r="D715">
        <f>SUM($C$3:C715)</f>
        <v>4</v>
      </c>
      <c r="E715" t="e">
        <f t="shared" si="34"/>
        <v>#N/A</v>
      </c>
      <c r="F715" s="28" t="str">
        <f t="shared" ca="1" si="35"/>
        <v/>
      </c>
    </row>
    <row r="716" spans="2:6" x14ac:dyDescent="0.2">
      <c r="B716" t="str">
        <f>IFERROR(IF('PDCA review'!$D$2='Check'!B716,'Check'!G716,""),"")</f>
        <v/>
      </c>
      <c r="C716">
        <f t="shared" si="33"/>
        <v>0</v>
      </c>
      <c r="D716">
        <f>SUM($C$3:C716)</f>
        <v>4</v>
      </c>
      <c r="E716" t="e">
        <f t="shared" si="34"/>
        <v>#N/A</v>
      </c>
      <c r="F716" s="28" t="str">
        <f t="shared" ca="1" si="35"/>
        <v/>
      </c>
    </row>
    <row r="717" spans="2:6" x14ac:dyDescent="0.2">
      <c r="B717" t="str">
        <f>IFERROR(IF('PDCA review'!$D$2='Check'!B717,'Check'!G717,""),"")</f>
        <v/>
      </c>
      <c r="C717">
        <f t="shared" si="33"/>
        <v>0</v>
      </c>
      <c r="D717">
        <f>SUM($C$3:C717)</f>
        <v>4</v>
      </c>
      <c r="E717" t="e">
        <f t="shared" si="34"/>
        <v>#N/A</v>
      </c>
      <c r="F717" s="28" t="str">
        <f t="shared" ca="1" si="35"/>
        <v/>
      </c>
    </row>
    <row r="718" spans="2:6" x14ac:dyDescent="0.2">
      <c r="B718" t="str">
        <f>IFERROR(IF('PDCA review'!$D$2='Check'!B718,'Check'!G718,""),"")</f>
        <v/>
      </c>
      <c r="C718">
        <f t="shared" si="33"/>
        <v>0</v>
      </c>
      <c r="D718">
        <f>SUM($C$3:C718)</f>
        <v>4</v>
      </c>
      <c r="E718" t="e">
        <f t="shared" si="34"/>
        <v>#N/A</v>
      </c>
      <c r="F718" s="28" t="str">
        <f t="shared" ca="1" si="35"/>
        <v/>
      </c>
    </row>
    <row r="719" spans="2:6" x14ac:dyDescent="0.2">
      <c r="B719" t="str">
        <f>IFERROR(IF('PDCA review'!$D$2='Check'!B719,'Check'!G719,""),"")</f>
        <v/>
      </c>
      <c r="C719">
        <f t="shared" si="33"/>
        <v>0</v>
      </c>
      <c r="D719">
        <f>SUM($C$3:C719)</f>
        <v>4</v>
      </c>
      <c r="E719" t="e">
        <f t="shared" si="34"/>
        <v>#N/A</v>
      </c>
      <c r="F719" s="28" t="str">
        <f t="shared" ca="1" si="35"/>
        <v/>
      </c>
    </row>
    <row r="720" spans="2:6" x14ac:dyDescent="0.2">
      <c r="B720" t="str">
        <f>IFERROR(IF('PDCA review'!$D$2='Check'!B720,'Check'!G720,""),"")</f>
        <v/>
      </c>
      <c r="C720">
        <f t="shared" si="33"/>
        <v>0</v>
      </c>
      <c r="D720">
        <f>SUM($C$3:C720)</f>
        <v>4</v>
      </c>
      <c r="E720" t="e">
        <f t="shared" si="34"/>
        <v>#N/A</v>
      </c>
      <c r="F720" s="28" t="str">
        <f t="shared" ca="1" si="35"/>
        <v/>
      </c>
    </row>
    <row r="721" spans="2:6" x14ac:dyDescent="0.2">
      <c r="B721" t="str">
        <f>IFERROR(IF('PDCA review'!$D$2='Check'!B721,'Check'!G721,""),"")</f>
        <v/>
      </c>
      <c r="C721">
        <f t="shared" si="33"/>
        <v>0</v>
      </c>
      <c r="D721">
        <f>SUM($C$3:C721)</f>
        <v>4</v>
      </c>
      <c r="E721" t="e">
        <f t="shared" si="34"/>
        <v>#N/A</v>
      </c>
      <c r="F721" s="28" t="str">
        <f t="shared" ca="1" si="35"/>
        <v/>
      </c>
    </row>
    <row r="722" spans="2:6" x14ac:dyDescent="0.2">
      <c r="B722" t="str">
        <f>IFERROR(IF('PDCA review'!$D$2='Check'!B722,'Check'!G722,""),"")</f>
        <v/>
      </c>
      <c r="C722">
        <f t="shared" si="33"/>
        <v>0</v>
      </c>
      <c r="D722">
        <f>SUM($C$3:C722)</f>
        <v>4</v>
      </c>
      <c r="E722" t="e">
        <f t="shared" si="34"/>
        <v>#N/A</v>
      </c>
      <c r="F722" s="28" t="str">
        <f t="shared" ca="1" si="35"/>
        <v/>
      </c>
    </row>
    <row r="723" spans="2:6" x14ac:dyDescent="0.2">
      <c r="B723" t="str">
        <f>IFERROR(IF('PDCA review'!$D$2='Check'!B723,'Check'!G723,""),"")</f>
        <v/>
      </c>
      <c r="C723">
        <f t="shared" si="33"/>
        <v>0</v>
      </c>
      <c r="D723">
        <f>SUM($C$3:C723)</f>
        <v>4</v>
      </c>
      <c r="E723" t="e">
        <f t="shared" si="34"/>
        <v>#N/A</v>
      </c>
      <c r="F723" s="28" t="str">
        <f t="shared" ca="1" si="35"/>
        <v/>
      </c>
    </row>
    <row r="724" spans="2:6" x14ac:dyDescent="0.2">
      <c r="B724" t="str">
        <f>IFERROR(IF('PDCA review'!$D$2='Check'!B724,'Check'!G724,""),"")</f>
        <v/>
      </c>
      <c r="C724">
        <f t="shared" si="33"/>
        <v>0</v>
      </c>
      <c r="D724">
        <f>SUM($C$3:C724)</f>
        <v>4</v>
      </c>
      <c r="E724" t="e">
        <f t="shared" si="34"/>
        <v>#N/A</v>
      </c>
      <c r="F724" s="28" t="str">
        <f t="shared" ca="1" si="35"/>
        <v/>
      </c>
    </row>
    <row r="725" spans="2:6" x14ac:dyDescent="0.2">
      <c r="B725" t="str">
        <f>IFERROR(IF('PDCA review'!$D$2='Check'!B725,'Check'!G725,""),"")</f>
        <v/>
      </c>
      <c r="C725">
        <f t="shared" si="33"/>
        <v>0</v>
      </c>
      <c r="D725">
        <f>SUM($C$3:C725)</f>
        <v>4</v>
      </c>
      <c r="E725" t="e">
        <f t="shared" si="34"/>
        <v>#N/A</v>
      </c>
      <c r="F725" s="28" t="str">
        <f t="shared" ca="1" si="35"/>
        <v/>
      </c>
    </row>
    <row r="726" spans="2:6" x14ac:dyDescent="0.2">
      <c r="B726" t="str">
        <f>IFERROR(IF('PDCA review'!$D$2='Check'!B726,'Check'!G726,""),"")</f>
        <v/>
      </c>
      <c r="C726">
        <f t="shared" si="33"/>
        <v>0</v>
      </c>
      <c r="D726">
        <f>SUM($C$3:C726)</f>
        <v>4</v>
      </c>
      <c r="E726" t="e">
        <f t="shared" si="34"/>
        <v>#N/A</v>
      </c>
      <c r="F726" s="28" t="str">
        <f t="shared" ca="1" si="35"/>
        <v/>
      </c>
    </row>
    <row r="727" spans="2:6" x14ac:dyDescent="0.2">
      <c r="B727" t="str">
        <f>IFERROR(IF('PDCA review'!$D$2='Check'!B727,'Check'!G727,""),"")</f>
        <v/>
      </c>
      <c r="C727">
        <f t="shared" si="33"/>
        <v>0</v>
      </c>
      <c r="D727">
        <f>SUM($C$3:C727)</f>
        <v>4</v>
      </c>
      <c r="E727" t="e">
        <f t="shared" si="34"/>
        <v>#N/A</v>
      </c>
      <c r="F727" s="28" t="str">
        <f t="shared" ca="1" si="35"/>
        <v/>
      </c>
    </row>
    <row r="728" spans="2:6" x14ac:dyDescent="0.2">
      <c r="B728" t="str">
        <f>IFERROR(IF('PDCA review'!$D$2='Check'!B728,'Check'!G728,""),"")</f>
        <v/>
      </c>
      <c r="C728">
        <f t="shared" si="33"/>
        <v>0</v>
      </c>
      <c r="D728">
        <f>SUM($C$3:C728)</f>
        <v>4</v>
      </c>
      <c r="E728" t="e">
        <f t="shared" si="34"/>
        <v>#N/A</v>
      </c>
      <c r="F728" s="28" t="str">
        <f t="shared" ca="1" si="35"/>
        <v/>
      </c>
    </row>
    <row r="729" spans="2:6" x14ac:dyDescent="0.2">
      <c r="B729" t="str">
        <f>IFERROR(IF('PDCA review'!$D$2='Check'!B729,'Check'!G729,""),"")</f>
        <v/>
      </c>
      <c r="C729">
        <f t="shared" si="33"/>
        <v>0</v>
      </c>
      <c r="D729">
        <f>SUM($C$3:C729)</f>
        <v>4</v>
      </c>
      <c r="E729" t="e">
        <f t="shared" si="34"/>
        <v>#N/A</v>
      </c>
      <c r="F729" s="28" t="str">
        <f t="shared" ca="1" si="35"/>
        <v/>
      </c>
    </row>
    <row r="730" spans="2:6" x14ac:dyDescent="0.2">
      <c r="B730" t="str">
        <f>IFERROR(IF('PDCA review'!$D$2='Check'!B730,'Check'!G730,""),"")</f>
        <v/>
      </c>
      <c r="C730">
        <f t="shared" si="33"/>
        <v>0</v>
      </c>
      <c r="D730">
        <f>SUM($C$3:C730)</f>
        <v>4</v>
      </c>
      <c r="E730" t="e">
        <f t="shared" si="34"/>
        <v>#N/A</v>
      </c>
      <c r="F730" s="28" t="str">
        <f t="shared" ca="1" si="35"/>
        <v/>
      </c>
    </row>
    <row r="731" spans="2:6" x14ac:dyDescent="0.2">
      <c r="B731" t="str">
        <f>IFERROR(IF('PDCA review'!$D$2='Check'!B731,'Check'!G731,""),"")</f>
        <v/>
      </c>
      <c r="C731">
        <f t="shared" si="33"/>
        <v>0</v>
      </c>
      <c r="D731">
        <f>SUM($C$3:C731)</f>
        <v>4</v>
      </c>
      <c r="E731" t="e">
        <f t="shared" si="34"/>
        <v>#N/A</v>
      </c>
      <c r="F731" s="28" t="str">
        <f t="shared" ca="1" si="35"/>
        <v/>
      </c>
    </row>
    <row r="732" spans="2:6" x14ac:dyDescent="0.2">
      <c r="B732" t="str">
        <f>IFERROR(IF('PDCA review'!$D$2='Check'!B732,'Check'!G732,""),"")</f>
        <v/>
      </c>
      <c r="C732">
        <f t="shared" si="33"/>
        <v>0</v>
      </c>
      <c r="D732">
        <f>SUM($C$3:C732)</f>
        <v>4</v>
      </c>
      <c r="E732" t="e">
        <f t="shared" si="34"/>
        <v>#N/A</v>
      </c>
      <c r="F732" s="28" t="str">
        <f t="shared" ca="1" si="35"/>
        <v/>
      </c>
    </row>
    <row r="733" spans="2:6" x14ac:dyDescent="0.2">
      <c r="B733" t="str">
        <f>IFERROR(IF('PDCA review'!$D$2='Check'!B733,'Check'!G733,""),"")</f>
        <v/>
      </c>
      <c r="C733">
        <f t="shared" si="33"/>
        <v>0</v>
      </c>
      <c r="D733">
        <f>SUM($C$3:C733)</f>
        <v>4</v>
      </c>
      <c r="E733" t="e">
        <f t="shared" si="34"/>
        <v>#N/A</v>
      </c>
      <c r="F733" s="28" t="str">
        <f t="shared" ca="1" si="35"/>
        <v/>
      </c>
    </row>
    <row r="734" spans="2:6" x14ac:dyDescent="0.2">
      <c r="B734" t="str">
        <f>IFERROR(IF('PDCA review'!$D$2='Check'!B734,'Check'!G734,""),"")</f>
        <v/>
      </c>
      <c r="C734">
        <f t="shared" si="33"/>
        <v>0</v>
      </c>
      <c r="D734">
        <f>SUM($C$3:C734)</f>
        <v>4</v>
      </c>
      <c r="E734" t="e">
        <f t="shared" si="34"/>
        <v>#N/A</v>
      </c>
      <c r="F734" s="28" t="str">
        <f t="shared" ca="1" si="35"/>
        <v/>
      </c>
    </row>
    <row r="735" spans="2:6" x14ac:dyDescent="0.2">
      <c r="B735" t="str">
        <f>IFERROR(IF('PDCA review'!$D$2='Check'!B735,'Check'!G735,""),"")</f>
        <v/>
      </c>
      <c r="C735">
        <f t="shared" si="33"/>
        <v>0</v>
      </c>
      <c r="D735">
        <f>SUM($C$3:C735)</f>
        <v>4</v>
      </c>
      <c r="E735" t="e">
        <f t="shared" si="34"/>
        <v>#N/A</v>
      </c>
      <c r="F735" s="28" t="str">
        <f t="shared" ca="1" si="35"/>
        <v/>
      </c>
    </row>
    <row r="736" spans="2:6" x14ac:dyDescent="0.2">
      <c r="B736" t="str">
        <f>IFERROR(IF('PDCA review'!$D$2='Check'!B736,'Check'!G736,""),"")</f>
        <v/>
      </c>
      <c r="C736">
        <f t="shared" si="33"/>
        <v>0</v>
      </c>
      <c r="D736">
        <f>SUM($C$3:C736)</f>
        <v>4</v>
      </c>
      <c r="E736" t="e">
        <f t="shared" si="34"/>
        <v>#N/A</v>
      </c>
      <c r="F736" s="28" t="str">
        <f t="shared" ca="1" si="35"/>
        <v/>
      </c>
    </row>
    <row r="737" spans="2:6" x14ac:dyDescent="0.2">
      <c r="B737" t="str">
        <f>IFERROR(IF('PDCA review'!$D$2='Check'!B737,'Check'!G737,""),"")</f>
        <v/>
      </c>
      <c r="C737">
        <f t="shared" si="33"/>
        <v>0</v>
      </c>
      <c r="D737">
        <f>SUM($C$3:C737)</f>
        <v>4</v>
      </c>
      <c r="E737" t="e">
        <f t="shared" si="34"/>
        <v>#N/A</v>
      </c>
      <c r="F737" s="28" t="str">
        <f t="shared" ca="1" si="35"/>
        <v/>
      </c>
    </row>
    <row r="738" spans="2:6" x14ac:dyDescent="0.2">
      <c r="B738" t="str">
        <f>IFERROR(IF('PDCA review'!$D$2='Check'!B738,'Check'!G738,""),"")</f>
        <v/>
      </c>
      <c r="C738">
        <f t="shared" si="33"/>
        <v>0</v>
      </c>
      <c r="D738">
        <f>SUM($C$3:C738)</f>
        <v>4</v>
      </c>
      <c r="E738" t="e">
        <f t="shared" si="34"/>
        <v>#N/A</v>
      </c>
      <c r="F738" s="28" t="str">
        <f t="shared" ca="1" si="35"/>
        <v/>
      </c>
    </row>
    <row r="739" spans="2:6" x14ac:dyDescent="0.2">
      <c r="B739" t="str">
        <f>IFERROR(IF('PDCA review'!$D$2='Check'!B739,'Check'!G739,""),"")</f>
        <v/>
      </c>
      <c r="C739">
        <f t="shared" si="33"/>
        <v>0</v>
      </c>
      <c r="D739">
        <f>SUM($C$3:C739)</f>
        <v>4</v>
      </c>
      <c r="E739" t="e">
        <f t="shared" si="34"/>
        <v>#N/A</v>
      </c>
      <c r="F739" s="28" t="str">
        <f t="shared" ca="1" si="35"/>
        <v/>
      </c>
    </row>
    <row r="740" spans="2:6" x14ac:dyDescent="0.2">
      <c r="B740" t="str">
        <f>IFERROR(IF('PDCA review'!$D$2='Check'!B740,'Check'!G740,""),"")</f>
        <v/>
      </c>
      <c r="C740">
        <f t="shared" si="33"/>
        <v>0</v>
      </c>
      <c r="D740">
        <f>SUM($C$3:C740)</f>
        <v>4</v>
      </c>
      <c r="E740" t="e">
        <f t="shared" si="34"/>
        <v>#N/A</v>
      </c>
      <c r="F740" s="28" t="str">
        <f t="shared" ca="1" si="35"/>
        <v/>
      </c>
    </row>
    <row r="741" spans="2:6" x14ac:dyDescent="0.2">
      <c r="B741" t="str">
        <f>IFERROR(IF('PDCA review'!$D$2='Check'!B741,'Check'!G741,""),"")</f>
        <v/>
      </c>
      <c r="C741">
        <f t="shared" si="33"/>
        <v>0</v>
      </c>
      <c r="D741">
        <f>SUM($C$3:C741)</f>
        <v>4</v>
      </c>
      <c r="E741" t="e">
        <f t="shared" si="34"/>
        <v>#N/A</v>
      </c>
      <c r="F741" s="28" t="str">
        <f t="shared" ca="1" si="35"/>
        <v/>
      </c>
    </row>
    <row r="742" spans="2:6" x14ac:dyDescent="0.2">
      <c r="B742" t="str">
        <f>IFERROR(IF('PDCA review'!$D$2='Check'!B742,'Check'!G742,""),"")</f>
        <v/>
      </c>
      <c r="C742">
        <f t="shared" si="33"/>
        <v>0</v>
      </c>
      <c r="D742">
        <f>SUM($C$3:C742)</f>
        <v>4</v>
      </c>
      <c r="E742" t="e">
        <f t="shared" si="34"/>
        <v>#N/A</v>
      </c>
      <c r="F742" s="28" t="str">
        <f t="shared" ca="1" si="35"/>
        <v/>
      </c>
    </row>
    <row r="743" spans="2:6" x14ac:dyDescent="0.2">
      <c r="B743" t="str">
        <f>IFERROR(IF('PDCA review'!$D$2='Check'!B743,'Check'!G743,""),"")</f>
        <v/>
      </c>
      <c r="C743">
        <f t="shared" si="33"/>
        <v>0</v>
      </c>
      <c r="D743">
        <f>SUM($C$3:C743)</f>
        <v>4</v>
      </c>
      <c r="E743" t="e">
        <f t="shared" si="34"/>
        <v>#N/A</v>
      </c>
      <c r="F743" s="28" t="str">
        <f t="shared" ca="1" si="35"/>
        <v/>
      </c>
    </row>
    <row r="744" spans="2:6" x14ac:dyDescent="0.2">
      <c r="B744" t="str">
        <f>IFERROR(IF('PDCA review'!$D$2='Check'!B744,'Check'!G744,""),"")</f>
        <v/>
      </c>
      <c r="C744">
        <f t="shared" si="33"/>
        <v>0</v>
      </c>
      <c r="D744">
        <f>SUM($C$3:C744)</f>
        <v>4</v>
      </c>
      <c r="E744" t="e">
        <f t="shared" si="34"/>
        <v>#N/A</v>
      </c>
      <c r="F744" s="28" t="str">
        <f t="shared" ca="1" si="35"/>
        <v/>
      </c>
    </row>
    <row r="745" spans="2:6" x14ac:dyDescent="0.2">
      <c r="B745" t="str">
        <f>IFERROR(IF('PDCA review'!$D$2='Check'!B745,'Check'!G745,""),"")</f>
        <v/>
      </c>
      <c r="C745">
        <f t="shared" si="33"/>
        <v>0</v>
      </c>
      <c r="D745">
        <f>SUM($C$3:C745)</f>
        <v>4</v>
      </c>
      <c r="E745" t="e">
        <f t="shared" si="34"/>
        <v>#N/A</v>
      </c>
      <c r="F745" s="28" t="str">
        <f t="shared" ca="1" si="35"/>
        <v/>
      </c>
    </row>
    <row r="746" spans="2:6" x14ac:dyDescent="0.2">
      <c r="B746" t="str">
        <f>IFERROR(IF('PDCA review'!$D$2='Check'!B746,'Check'!G746,""),"")</f>
        <v/>
      </c>
      <c r="C746">
        <f t="shared" si="33"/>
        <v>0</v>
      </c>
      <c r="D746">
        <f>SUM($C$3:C746)</f>
        <v>4</v>
      </c>
      <c r="E746" t="e">
        <f t="shared" si="34"/>
        <v>#N/A</v>
      </c>
      <c r="F746" s="28" t="str">
        <f t="shared" ca="1" si="35"/>
        <v/>
      </c>
    </row>
    <row r="747" spans="2:6" x14ac:dyDescent="0.2">
      <c r="B747" t="str">
        <f>IFERROR(IF('PDCA review'!$D$2='Check'!B747,'Check'!G747,""),"")</f>
        <v/>
      </c>
      <c r="C747">
        <f t="shared" si="33"/>
        <v>0</v>
      </c>
      <c r="D747">
        <f>SUM($C$3:C747)</f>
        <v>4</v>
      </c>
      <c r="E747" t="e">
        <f t="shared" si="34"/>
        <v>#N/A</v>
      </c>
      <c r="F747" s="28" t="str">
        <f t="shared" ca="1" si="35"/>
        <v/>
      </c>
    </row>
    <row r="748" spans="2:6" x14ac:dyDescent="0.2">
      <c r="B748" t="str">
        <f>IFERROR(IF('PDCA review'!$D$2='Check'!B748,'Check'!G748,""),"")</f>
        <v/>
      </c>
      <c r="C748">
        <f t="shared" si="33"/>
        <v>0</v>
      </c>
      <c r="D748">
        <f>SUM($C$3:C748)</f>
        <v>4</v>
      </c>
      <c r="E748" t="e">
        <f t="shared" si="34"/>
        <v>#N/A</v>
      </c>
      <c r="F748" s="28" t="str">
        <f t="shared" ca="1" si="35"/>
        <v/>
      </c>
    </row>
    <row r="749" spans="2:6" x14ac:dyDescent="0.2">
      <c r="B749" t="str">
        <f>IFERROR(IF('PDCA review'!$D$2='Check'!B749,'Check'!G749,""),"")</f>
        <v/>
      </c>
      <c r="C749">
        <f t="shared" si="33"/>
        <v>0</v>
      </c>
      <c r="D749">
        <f>SUM($C$3:C749)</f>
        <v>4</v>
      </c>
      <c r="E749" t="e">
        <f t="shared" si="34"/>
        <v>#N/A</v>
      </c>
      <c r="F749" s="28" t="str">
        <f t="shared" ca="1" si="35"/>
        <v/>
      </c>
    </row>
    <row r="750" spans="2:6" x14ac:dyDescent="0.2">
      <c r="B750" t="str">
        <f>IFERROR(IF('PDCA review'!$D$2='Check'!B750,'Check'!G750,""),"")</f>
        <v/>
      </c>
      <c r="C750">
        <f t="shared" si="33"/>
        <v>0</v>
      </c>
      <c r="D750">
        <f>SUM($C$3:C750)</f>
        <v>4</v>
      </c>
      <c r="E750" t="e">
        <f t="shared" si="34"/>
        <v>#N/A</v>
      </c>
      <c r="F750" s="28" t="str">
        <f t="shared" ca="1" si="35"/>
        <v/>
      </c>
    </row>
    <row r="751" spans="2:6" x14ac:dyDescent="0.2">
      <c r="B751" t="str">
        <f>IFERROR(IF('PDCA review'!$D$2='Check'!B751,'Check'!G751,""),"")</f>
        <v/>
      </c>
      <c r="C751">
        <f t="shared" si="33"/>
        <v>0</v>
      </c>
      <c r="D751">
        <f>SUM($C$3:C751)</f>
        <v>4</v>
      </c>
      <c r="E751" t="e">
        <f t="shared" si="34"/>
        <v>#N/A</v>
      </c>
      <c r="F751" s="28" t="str">
        <f t="shared" ca="1" si="35"/>
        <v/>
      </c>
    </row>
    <row r="752" spans="2:6" x14ac:dyDescent="0.2">
      <c r="B752" t="str">
        <f>IFERROR(IF('PDCA review'!$D$2='Check'!B752,'Check'!G752,""),"")</f>
        <v/>
      </c>
      <c r="C752">
        <f t="shared" si="33"/>
        <v>0</v>
      </c>
      <c r="D752">
        <f>SUM($C$3:C752)</f>
        <v>4</v>
      </c>
      <c r="E752" t="e">
        <f t="shared" si="34"/>
        <v>#N/A</v>
      </c>
      <c r="F752" s="28" t="str">
        <f t="shared" ca="1" si="35"/>
        <v/>
      </c>
    </row>
    <row r="753" spans="2:6" x14ac:dyDescent="0.2">
      <c r="B753" t="str">
        <f>IFERROR(IF('PDCA review'!$D$2='Check'!B753,'Check'!G753,""),"")</f>
        <v/>
      </c>
      <c r="C753">
        <f t="shared" si="33"/>
        <v>0</v>
      </c>
      <c r="D753">
        <f>SUM($C$3:C753)</f>
        <v>4</v>
      </c>
      <c r="E753" t="e">
        <f t="shared" si="34"/>
        <v>#N/A</v>
      </c>
      <c r="F753" s="28" t="str">
        <f t="shared" ca="1" si="35"/>
        <v/>
      </c>
    </row>
    <row r="754" spans="2:6" x14ac:dyDescent="0.2">
      <c r="B754" t="str">
        <f>IFERROR(IF('PDCA review'!$D$2='Check'!B754,'Check'!G754,""),"")</f>
        <v/>
      </c>
      <c r="C754">
        <f t="shared" si="33"/>
        <v>0</v>
      </c>
      <c r="D754">
        <f>SUM($C$3:C754)</f>
        <v>4</v>
      </c>
      <c r="E754" t="e">
        <f t="shared" si="34"/>
        <v>#N/A</v>
      </c>
      <c r="F754" s="28" t="str">
        <f t="shared" ca="1" si="35"/>
        <v/>
      </c>
    </row>
    <row r="755" spans="2:6" x14ac:dyDescent="0.2">
      <c r="B755" t="str">
        <f>IFERROR(IF('PDCA review'!$D$2='Check'!B755,'Check'!G755,""),"")</f>
        <v/>
      </c>
      <c r="C755">
        <f t="shared" si="33"/>
        <v>0</v>
      </c>
      <c r="D755">
        <f>SUM($C$3:C755)</f>
        <v>4</v>
      </c>
      <c r="E755" t="e">
        <f t="shared" si="34"/>
        <v>#N/A</v>
      </c>
      <c r="F755" s="28" t="str">
        <f t="shared" ca="1" si="35"/>
        <v/>
      </c>
    </row>
    <row r="756" spans="2:6" x14ac:dyDescent="0.2">
      <c r="B756" t="str">
        <f>IFERROR(IF('PDCA review'!$D$2='Check'!B756,'Check'!G756,""),"")</f>
        <v/>
      </c>
      <c r="C756">
        <f t="shared" si="33"/>
        <v>0</v>
      </c>
      <c r="D756">
        <f>SUM($C$3:C756)</f>
        <v>4</v>
      </c>
      <c r="E756" t="e">
        <f t="shared" si="34"/>
        <v>#N/A</v>
      </c>
      <c r="F756" s="28" t="str">
        <f t="shared" ca="1" si="35"/>
        <v/>
      </c>
    </row>
    <row r="757" spans="2:6" x14ac:dyDescent="0.2">
      <c r="B757" t="str">
        <f>IFERROR(IF('PDCA review'!$D$2='Check'!B757,'Check'!G757,""),"")</f>
        <v/>
      </c>
      <c r="C757">
        <f t="shared" si="33"/>
        <v>0</v>
      </c>
      <c r="D757">
        <f>SUM($C$3:C757)</f>
        <v>4</v>
      </c>
      <c r="E757" t="e">
        <f t="shared" si="34"/>
        <v>#N/A</v>
      </c>
      <c r="F757" s="28" t="str">
        <f t="shared" ca="1" si="35"/>
        <v/>
      </c>
    </row>
    <row r="758" spans="2:6" x14ac:dyDescent="0.2">
      <c r="B758" t="str">
        <f>IFERROR(IF('PDCA review'!$D$2='Check'!B758,'Check'!G758,""),"")</f>
        <v/>
      </c>
      <c r="C758">
        <f t="shared" si="33"/>
        <v>0</v>
      </c>
      <c r="D758">
        <f>SUM($C$3:C758)</f>
        <v>4</v>
      </c>
      <c r="E758" t="e">
        <f t="shared" si="34"/>
        <v>#N/A</v>
      </c>
      <c r="F758" s="28" t="str">
        <f t="shared" ca="1" si="35"/>
        <v/>
      </c>
    </row>
    <row r="759" spans="2:6" x14ac:dyDescent="0.2">
      <c r="B759" t="str">
        <f>IFERROR(IF('PDCA review'!$D$2='Check'!B759,'Check'!G759,""),"")</f>
        <v/>
      </c>
      <c r="C759">
        <f t="shared" si="33"/>
        <v>0</v>
      </c>
      <c r="D759">
        <f>SUM($C$3:C759)</f>
        <v>4</v>
      </c>
      <c r="E759" t="e">
        <f t="shared" si="34"/>
        <v>#N/A</v>
      </c>
      <c r="F759" s="28" t="str">
        <f t="shared" ca="1" si="35"/>
        <v/>
      </c>
    </row>
    <row r="760" spans="2:6" x14ac:dyDescent="0.2">
      <c r="B760" t="str">
        <f>IFERROR(IF('PDCA review'!$D$2='Check'!B760,'Check'!G760,""),"")</f>
        <v/>
      </c>
      <c r="C760">
        <f t="shared" si="33"/>
        <v>0</v>
      </c>
      <c r="D760">
        <f>SUM($C$3:C760)</f>
        <v>4</v>
      </c>
      <c r="E760" t="e">
        <f t="shared" si="34"/>
        <v>#N/A</v>
      </c>
      <c r="F760" s="28" t="str">
        <f t="shared" ca="1" si="35"/>
        <v/>
      </c>
    </row>
    <row r="761" spans="2:6" x14ac:dyDescent="0.2">
      <c r="B761" t="str">
        <f>IFERROR(IF('PDCA review'!$D$2='Check'!B761,'Check'!G761,""),"")</f>
        <v/>
      </c>
      <c r="C761">
        <f t="shared" si="33"/>
        <v>0</v>
      </c>
      <c r="D761">
        <f>SUM($C$3:C761)</f>
        <v>4</v>
      </c>
      <c r="E761" t="e">
        <f t="shared" si="34"/>
        <v>#N/A</v>
      </c>
      <c r="F761" s="28" t="str">
        <f t="shared" ca="1" si="35"/>
        <v/>
      </c>
    </row>
    <row r="762" spans="2:6" x14ac:dyDescent="0.2">
      <c r="B762" t="str">
        <f>IFERROR(IF('PDCA review'!$D$2='Check'!B762,'Check'!G762,""),"")</f>
        <v/>
      </c>
      <c r="C762">
        <f t="shared" si="33"/>
        <v>0</v>
      </c>
      <c r="D762">
        <f>SUM($C$3:C762)</f>
        <v>4</v>
      </c>
      <c r="E762" t="e">
        <f t="shared" si="34"/>
        <v>#N/A</v>
      </c>
      <c r="F762" s="28" t="str">
        <f t="shared" ca="1" si="35"/>
        <v/>
      </c>
    </row>
    <row r="763" spans="2:6" x14ac:dyDescent="0.2">
      <c r="B763" t="str">
        <f>IFERROR(IF('PDCA review'!$D$2='Check'!B763,'Check'!G763,""),"")</f>
        <v/>
      </c>
      <c r="C763">
        <f t="shared" si="33"/>
        <v>0</v>
      </c>
      <c r="D763">
        <f>SUM($C$3:C763)</f>
        <v>4</v>
      </c>
      <c r="E763" t="e">
        <f t="shared" si="34"/>
        <v>#N/A</v>
      </c>
      <c r="F763" s="28" t="str">
        <f t="shared" ca="1" si="35"/>
        <v/>
      </c>
    </row>
    <row r="764" spans="2:6" x14ac:dyDescent="0.2">
      <c r="B764" t="str">
        <f>IFERROR(IF('PDCA review'!$D$2='Check'!B764,'Check'!G764,""),"")</f>
        <v/>
      </c>
      <c r="C764">
        <f t="shared" si="33"/>
        <v>0</v>
      </c>
      <c r="D764">
        <f>SUM($C$3:C764)</f>
        <v>4</v>
      </c>
      <c r="E764" t="e">
        <f t="shared" si="34"/>
        <v>#N/A</v>
      </c>
      <c r="F764" s="28" t="str">
        <f t="shared" ca="1" si="35"/>
        <v/>
      </c>
    </row>
    <row r="765" spans="2:6" x14ac:dyDescent="0.2">
      <c r="B765" t="str">
        <f>IFERROR(IF('PDCA review'!$D$2='Check'!B765,'Check'!G765,""),"")</f>
        <v/>
      </c>
      <c r="C765">
        <f t="shared" si="33"/>
        <v>0</v>
      </c>
      <c r="D765">
        <f>SUM($C$3:C765)</f>
        <v>4</v>
      </c>
      <c r="E765" t="e">
        <f t="shared" si="34"/>
        <v>#N/A</v>
      </c>
      <c r="F765" s="28" t="str">
        <f t="shared" ca="1" si="35"/>
        <v/>
      </c>
    </row>
    <row r="766" spans="2:6" x14ac:dyDescent="0.2">
      <c r="B766" t="str">
        <f>IFERROR(IF('PDCA review'!$D$2='Check'!B766,'Check'!G766,""),"")</f>
        <v/>
      </c>
      <c r="C766">
        <f t="shared" si="33"/>
        <v>0</v>
      </c>
      <c r="D766">
        <f>SUM($C$3:C766)</f>
        <v>4</v>
      </c>
      <c r="E766" t="e">
        <f t="shared" si="34"/>
        <v>#N/A</v>
      </c>
      <c r="F766" s="28" t="str">
        <f t="shared" ca="1" si="35"/>
        <v/>
      </c>
    </row>
    <row r="767" spans="2:6" x14ac:dyDescent="0.2">
      <c r="B767" t="str">
        <f>IFERROR(IF('PDCA review'!$D$2='Check'!B767,'Check'!G767,""),"")</f>
        <v/>
      </c>
      <c r="C767">
        <f t="shared" si="33"/>
        <v>0</v>
      </c>
      <c r="D767">
        <f>SUM($C$3:C767)</f>
        <v>4</v>
      </c>
      <c r="E767" t="e">
        <f t="shared" si="34"/>
        <v>#N/A</v>
      </c>
      <c r="F767" s="28" t="str">
        <f t="shared" ca="1" si="35"/>
        <v/>
      </c>
    </row>
    <row r="768" spans="2:6" x14ac:dyDescent="0.2">
      <c r="B768" t="str">
        <f>IFERROR(IF('PDCA review'!$D$2='Check'!B768,'Check'!G768,""),"")</f>
        <v/>
      </c>
      <c r="C768">
        <f t="shared" si="33"/>
        <v>0</v>
      </c>
      <c r="D768">
        <f>SUM($C$3:C768)</f>
        <v>4</v>
      </c>
      <c r="E768" t="e">
        <f t="shared" si="34"/>
        <v>#N/A</v>
      </c>
      <c r="F768" s="28" t="str">
        <f t="shared" ca="1" si="35"/>
        <v/>
      </c>
    </row>
    <row r="769" spans="2:6" x14ac:dyDescent="0.2">
      <c r="B769" t="str">
        <f>IFERROR(IF('PDCA review'!$D$2='Check'!B769,'Check'!G769,""),"")</f>
        <v/>
      </c>
      <c r="C769">
        <f t="shared" si="33"/>
        <v>0</v>
      </c>
      <c r="D769">
        <f>SUM($C$3:C769)</f>
        <v>4</v>
      </c>
      <c r="E769" t="e">
        <f t="shared" si="34"/>
        <v>#N/A</v>
      </c>
      <c r="F769" s="28" t="str">
        <f t="shared" ca="1" si="35"/>
        <v/>
      </c>
    </row>
    <row r="770" spans="2:6" x14ac:dyDescent="0.2">
      <c r="B770" t="str">
        <f>IFERROR(IF('PDCA review'!$D$2='Check'!B770,'Check'!G770,""),"")</f>
        <v/>
      </c>
      <c r="C770">
        <f t="shared" si="33"/>
        <v>0</v>
      </c>
      <c r="D770">
        <f>SUM($C$3:C770)</f>
        <v>4</v>
      </c>
      <c r="E770" t="e">
        <f t="shared" si="34"/>
        <v>#N/A</v>
      </c>
      <c r="F770" s="28" t="str">
        <f t="shared" ca="1" si="35"/>
        <v/>
      </c>
    </row>
    <row r="771" spans="2:6" x14ac:dyDescent="0.2">
      <c r="B771" t="str">
        <f>IFERROR(IF('PDCA review'!$D$2='Check'!B771,'Check'!G771,""),"")</f>
        <v/>
      </c>
      <c r="C771">
        <f t="shared" si="33"/>
        <v>0</v>
      </c>
      <c r="D771">
        <f>SUM($C$3:C771)</f>
        <v>4</v>
      </c>
      <c r="E771" t="e">
        <f t="shared" si="34"/>
        <v>#N/A</v>
      </c>
      <c r="F771" s="28" t="str">
        <f t="shared" ca="1" si="35"/>
        <v/>
      </c>
    </row>
    <row r="772" spans="2:6" x14ac:dyDescent="0.2">
      <c r="B772" t="str">
        <f>IFERROR(IF('PDCA review'!$D$2='Check'!B772,'Check'!G772,""),"")</f>
        <v/>
      </c>
      <c r="C772">
        <f t="shared" ref="C772:C835" si="36">IF(B772&lt;&gt;"",1,0)</f>
        <v>0</v>
      </c>
      <c r="D772">
        <f>SUM($C$3:C772)</f>
        <v>4</v>
      </c>
      <c r="E772" t="e">
        <f t="shared" ref="E772:E835" si="37">MATCH(ROW()-$D$2,$D$3:$D$2000,0)+$D$2</f>
        <v>#N/A</v>
      </c>
      <c r="F772" s="28" t="str">
        <f t="shared" ref="F772:F835" ca="1" si="38">IFERROR(INDIRECT("B"&amp;E772),"")</f>
        <v/>
      </c>
    </row>
    <row r="773" spans="2:6" x14ac:dyDescent="0.2">
      <c r="B773" t="str">
        <f>IFERROR(IF('PDCA review'!$D$2='Check'!B773,'Check'!G773,""),"")</f>
        <v/>
      </c>
      <c r="C773">
        <f t="shared" si="36"/>
        <v>0</v>
      </c>
      <c r="D773">
        <f>SUM($C$3:C773)</f>
        <v>4</v>
      </c>
      <c r="E773" t="e">
        <f t="shared" si="37"/>
        <v>#N/A</v>
      </c>
      <c r="F773" s="28" t="str">
        <f t="shared" ca="1" si="38"/>
        <v/>
      </c>
    </row>
    <row r="774" spans="2:6" x14ac:dyDescent="0.2">
      <c r="B774" t="str">
        <f>IFERROR(IF('PDCA review'!$D$2='Check'!B774,'Check'!G774,""),"")</f>
        <v/>
      </c>
      <c r="C774">
        <f t="shared" si="36"/>
        <v>0</v>
      </c>
      <c r="D774">
        <f>SUM($C$3:C774)</f>
        <v>4</v>
      </c>
      <c r="E774" t="e">
        <f t="shared" si="37"/>
        <v>#N/A</v>
      </c>
      <c r="F774" s="28" t="str">
        <f t="shared" ca="1" si="38"/>
        <v/>
      </c>
    </row>
    <row r="775" spans="2:6" x14ac:dyDescent="0.2">
      <c r="B775" t="str">
        <f>IFERROR(IF('PDCA review'!$D$2='Check'!B775,'Check'!G775,""),"")</f>
        <v/>
      </c>
      <c r="C775">
        <f t="shared" si="36"/>
        <v>0</v>
      </c>
      <c r="D775">
        <f>SUM($C$3:C775)</f>
        <v>4</v>
      </c>
      <c r="E775" t="e">
        <f t="shared" si="37"/>
        <v>#N/A</v>
      </c>
      <c r="F775" s="28" t="str">
        <f t="shared" ca="1" si="38"/>
        <v/>
      </c>
    </row>
    <row r="776" spans="2:6" x14ac:dyDescent="0.2">
      <c r="B776" t="str">
        <f>IFERROR(IF('PDCA review'!$D$2='Check'!B776,'Check'!G776,""),"")</f>
        <v/>
      </c>
      <c r="C776">
        <f t="shared" si="36"/>
        <v>0</v>
      </c>
      <c r="D776">
        <f>SUM($C$3:C776)</f>
        <v>4</v>
      </c>
      <c r="E776" t="e">
        <f t="shared" si="37"/>
        <v>#N/A</v>
      </c>
      <c r="F776" s="28" t="str">
        <f t="shared" ca="1" si="38"/>
        <v/>
      </c>
    </row>
    <row r="777" spans="2:6" x14ac:dyDescent="0.2">
      <c r="B777" t="str">
        <f>IFERROR(IF('PDCA review'!$D$2='Check'!B777,'Check'!G777,""),"")</f>
        <v/>
      </c>
      <c r="C777">
        <f t="shared" si="36"/>
        <v>0</v>
      </c>
      <c r="D777">
        <f>SUM($C$3:C777)</f>
        <v>4</v>
      </c>
      <c r="E777" t="e">
        <f t="shared" si="37"/>
        <v>#N/A</v>
      </c>
      <c r="F777" s="28" t="str">
        <f t="shared" ca="1" si="38"/>
        <v/>
      </c>
    </row>
    <row r="778" spans="2:6" x14ac:dyDescent="0.2">
      <c r="B778" t="str">
        <f>IFERROR(IF('PDCA review'!$D$2='Check'!B778,'Check'!G778,""),"")</f>
        <v/>
      </c>
      <c r="C778">
        <f t="shared" si="36"/>
        <v>0</v>
      </c>
      <c r="D778">
        <f>SUM($C$3:C778)</f>
        <v>4</v>
      </c>
      <c r="E778" t="e">
        <f t="shared" si="37"/>
        <v>#N/A</v>
      </c>
      <c r="F778" s="28" t="str">
        <f t="shared" ca="1" si="38"/>
        <v/>
      </c>
    </row>
    <row r="779" spans="2:6" x14ac:dyDescent="0.2">
      <c r="B779" t="str">
        <f>IFERROR(IF('PDCA review'!$D$2='Check'!B779,'Check'!G779,""),"")</f>
        <v/>
      </c>
      <c r="C779">
        <f t="shared" si="36"/>
        <v>0</v>
      </c>
      <c r="D779">
        <f>SUM($C$3:C779)</f>
        <v>4</v>
      </c>
      <c r="E779" t="e">
        <f t="shared" si="37"/>
        <v>#N/A</v>
      </c>
      <c r="F779" s="28" t="str">
        <f t="shared" ca="1" si="38"/>
        <v/>
      </c>
    </row>
    <row r="780" spans="2:6" x14ac:dyDescent="0.2">
      <c r="B780" t="str">
        <f>IFERROR(IF('PDCA review'!$D$2='Check'!B780,'Check'!G780,""),"")</f>
        <v/>
      </c>
      <c r="C780">
        <f t="shared" si="36"/>
        <v>0</v>
      </c>
      <c r="D780">
        <f>SUM($C$3:C780)</f>
        <v>4</v>
      </c>
      <c r="E780" t="e">
        <f t="shared" si="37"/>
        <v>#N/A</v>
      </c>
      <c r="F780" s="28" t="str">
        <f t="shared" ca="1" si="38"/>
        <v/>
      </c>
    </row>
    <row r="781" spans="2:6" x14ac:dyDescent="0.2">
      <c r="B781" t="str">
        <f>IFERROR(IF('PDCA review'!$D$2='Check'!B781,'Check'!G781,""),"")</f>
        <v/>
      </c>
      <c r="C781">
        <f t="shared" si="36"/>
        <v>0</v>
      </c>
      <c r="D781">
        <f>SUM($C$3:C781)</f>
        <v>4</v>
      </c>
      <c r="E781" t="e">
        <f t="shared" si="37"/>
        <v>#N/A</v>
      </c>
      <c r="F781" s="28" t="str">
        <f t="shared" ca="1" si="38"/>
        <v/>
      </c>
    </row>
    <row r="782" spans="2:6" x14ac:dyDescent="0.2">
      <c r="B782" t="str">
        <f>IFERROR(IF('PDCA review'!$D$2='Check'!B782,'Check'!G782,""),"")</f>
        <v/>
      </c>
      <c r="C782">
        <f t="shared" si="36"/>
        <v>0</v>
      </c>
      <c r="D782">
        <f>SUM($C$3:C782)</f>
        <v>4</v>
      </c>
      <c r="E782" t="e">
        <f t="shared" si="37"/>
        <v>#N/A</v>
      </c>
      <c r="F782" s="28" t="str">
        <f t="shared" ca="1" si="38"/>
        <v/>
      </c>
    </row>
    <row r="783" spans="2:6" x14ac:dyDescent="0.2">
      <c r="B783" t="str">
        <f>IFERROR(IF('PDCA review'!$D$2='Check'!B783,'Check'!G783,""),"")</f>
        <v/>
      </c>
      <c r="C783">
        <f t="shared" si="36"/>
        <v>0</v>
      </c>
      <c r="D783">
        <f>SUM($C$3:C783)</f>
        <v>4</v>
      </c>
      <c r="E783" t="e">
        <f t="shared" si="37"/>
        <v>#N/A</v>
      </c>
      <c r="F783" s="28" t="str">
        <f t="shared" ca="1" si="38"/>
        <v/>
      </c>
    </row>
    <row r="784" spans="2:6" x14ac:dyDescent="0.2">
      <c r="B784" t="str">
        <f>IFERROR(IF('PDCA review'!$D$2='Check'!B784,'Check'!G784,""),"")</f>
        <v/>
      </c>
      <c r="C784">
        <f t="shared" si="36"/>
        <v>0</v>
      </c>
      <c r="D784">
        <f>SUM($C$3:C784)</f>
        <v>4</v>
      </c>
      <c r="E784" t="e">
        <f t="shared" si="37"/>
        <v>#N/A</v>
      </c>
      <c r="F784" s="28" t="str">
        <f t="shared" ca="1" si="38"/>
        <v/>
      </c>
    </row>
    <row r="785" spans="2:6" x14ac:dyDescent="0.2">
      <c r="B785" t="str">
        <f>IFERROR(IF('PDCA review'!$D$2='Check'!B785,'Check'!G785,""),"")</f>
        <v/>
      </c>
      <c r="C785">
        <f t="shared" si="36"/>
        <v>0</v>
      </c>
      <c r="D785">
        <f>SUM($C$3:C785)</f>
        <v>4</v>
      </c>
      <c r="E785" t="e">
        <f t="shared" si="37"/>
        <v>#N/A</v>
      </c>
      <c r="F785" s="28" t="str">
        <f t="shared" ca="1" si="38"/>
        <v/>
      </c>
    </row>
    <row r="786" spans="2:6" x14ac:dyDescent="0.2">
      <c r="B786" t="str">
        <f>IFERROR(IF('PDCA review'!$D$2='Check'!B786,'Check'!G786,""),"")</f>
        <v/>
      </c>
      <c r="C786">
        <f t="shared" si="36"/>
        <v>0</v>
      </c>
      <c r="D786">
        <f>SUM($C$3:C786)</f>
        <v>4</v>
      </c>
      <c r="E786" t="e">
        <f t="shared" si="37"/>
        <v>#N/A</v>
      </c>
      <c r="F786" s="28" t="str">
        <f t="shared" ca="1" si="38"/>
        <v/>
      </c>
    </row>
    <row r="787" spans="2:6" x14ac:dyDescent="0.2">
      <c r="B787" t="str">
        <f>IFERROR(IF('PDCA review'!$D$2='Check'!B787,'Check'!G787,""),"")</f>
        <v/>
      </c>
      <c r="C787">
        <f t="shared" si="36"/>
        <v>0</v>
      </c>
      <c r="D787">
        <f>SUM($C$3:C787)</f>
        <v>4</v>
      </c>
      <c r="E787" t="e">
        <f t="shared" si="37"/>
        <v>#N/A</v>
      </c>
      <c r="F787" s="28" t="str">
        <f t="shared" ca="1" si="38"/>
        <v/>
      </c>
    </row>
    <row r="788" spans="2:6" x14ac:dyDescent="0.2">
      <c r="B788" t="str">
        <f>IFERROR(IF('PDCA review'!$D$2='Check'!B788,'Check'!G788,""),"")</f>
        <v/>
      </c>
      <c r="C788">
        <f t="shared" si="36"/>
        <v>0</v>
      </c>
      <c r="D788">
        <f>SUM($C$3:C788)</f>
        <v>4</v>
      </c>
      <c r="E788" t="e">
        <f t="shared" si="37"/>
        <v>#N/A</v>
      </c>
      <c r="F788" s="28" t="str">
        <f t="shared" ca="1" si="38"/>
        <v/>
      </c>
    </row>
    <row r="789" spans="2:6" x14ac:dyDescent="0.2">
      <c r="B789" t="str">
        <f>IFERROR(IF('PDCA review'!$D$2='Check'!B789,'Check'!G789,""),"")</f>
        <v/>
      </c>
      <c r="C789">
        <f t="shared" si="36"/>
        <v>0</v>
      </c>
      <c r="D789">
        <f>SUM($C$3:C789)</f>
        <v>4</v>
      </c>
      <c r="E789" t="e">
        <f t="shared" si="37"/>
        <v>#N/A</v>
      </c>
      <c r="F789" s="28" t="str">
        <f t="shared" ca="1" si="38"/>
        <v/>
      </c>
    </row>
    <row r="790" spans="2:6" x14ac:dyDescent="0.2">
      <c r="B790" t="str">
        <f>IFERROR(IF('PDCA review'!$D$2='Check'!B790,'Check'!G790,""),"")</f>
        <v/>
      </c>
      <c r="C790">
        <f t="shared" si="36"/>
        <v>0</v>
      </c>
      <c r="D790">
        <f>SUM($C$3:C790)</f>
        <v>4</v>
      </c>
      <c r="E790" t="e">
        <f t="shared" si="37"/>
        <v>#N/A</v>
      </c>
      <c r="F790" s="28" t="str">
        <f t="shared" ca="1" si="38"/>
        <v/>
      </c>
    </row>
    <row r="791" spans="2:6" x14ac:dyDescent="0.2">
      <c r="B791" t="str">
        <f>IFERROR(IF('PDCA review'!$D$2='Check'!B791,'Check'!G791,""),"")</f>
        <v/>
      </c>
      <c r="C791">
        <f t="shared" si="36"/>
        <v>0</v>
      </c>
      <c r="D791">
        <f>SUM($C$3:C791)</f>
        <v>4</v>
      </c>
      <c r="E791" t="e">
        <f t="shared" si="37"/>
        <v>#N/A</v>
      </c>
      <c r="F791" s="28" t="str">
        <f t="shared" ca="1" si="38"/>
        <v/>
      </c>
    </row>
    <row r="792" spans="2:6" x14ac:dyDescent="0.2">
      <c r="B792" t="str">
        <f>IFERROR(IF('PDCA review'!$D$2='Check'!B792,'Check'!G792,""),"")</f>
        <v/>
      </c>
      <c r="C792">
        <f t="shared" si="36"/>
        <v>0</v>
      </c>
      <c r="D792">
        <f>SUM($C$3:C792)</f>
        <v>4</v>
      </c>
      <c r="E792" t="e">
        <f t="shared" si="37"/>
        <v>#N/A</v>
      </c>
      <c r="F792" s="28" t="str">
        <f t="shared" ca="1" si="38"/>
        <v/>
      </c>
    </row>
    <row r="793" spans="2:6" x14ac:dyDescent="0.2">
      <c r="B793" t="str">
        <f>IFERROR(IF('PDCA review'!$D$2='Check'!B793,'Check'!G793,""),"")</f>
        <v/>
      </c>
      <c r="C793">
        <f t="shared" si="36"/>
        <v>0</v>
      </c>
      <c r="D793">
        <f>SUM($C$3:C793)</f>
        <v>4</v>
      </c>
      <c r="E793" t="e">
        <f t="shared" si="37"/>
        <v>#N/A</v>
      </c>
      <c r="F793" s="28" t="str">
        <f t="shared" ca="1" si="38"/>
        <v/>
      </c>
    </row>
    <row r="794" spans="2:6" x14ac:dyDescent="0.2">
      <c r="B794" t="str">
        <f>IFERROR(IF('PDCA review'!$D$2='Check'!B794,'Check'!G794,""),"")</f>
        <v/>
      </c>
      <c r="C794">
        <f t="shared" si="36"/>
        <v>0</v>
      </c>
      <c r="D794">
        <f>SUM($C$3:C794)</f>
        <v>4</v>
      </c>
      <c r="E794" t="e">
        <f t="shared" si="37"/>
        <v>#N/A</v>
      </c>
      <c r="F794" s="28" t="str">
        <f t="shared" ca="1" si="38"/>
        <v/>
      </c>
    </row>
    <row r="795" spans="2:6" x14ac:dyDescent="0.2">
      <c r="B795" t="str">
        <f>IFERROR(IF('PDCA review'!$D$2='Check'!B795,'Check'!G795,""),"")</f>
        <v/>
      </c>
      <c r="C795">
        <f t="shared" si="36"/>
        <v>0</v>
      </c>
      <c r="D795">
        <f>SUM($C$3:C795)</f>
        <v>4</v>
      </c>
      <c r="E795" t="e">
        <f t="shared" si="37"/>
        <v>#N/A</v>
      </c>
      <c r="F795" s="28" t="str">
        <f t="shared" ca="1" si="38"/>
        <v/>
      </c>
    </row>
    <row r="796" spans="2:6" x14ac:dyDescent="0.2">
      <c r="B796" t="str">
        <f>IFERROR(IF('PDCA review'!$D$2='Check'!B796,'Check'!G796,""),"")</f>
        <v/>
      </c>
      <c r="C796">
        <f t="shared" si="36"/>
        <v>0</v>
      </c>
      <c r="D796">
        <f>SUM($C$3:C796)</f>
        <v>4</v>
      </c>
      <c r="E796" t="e">
        <f t="shared" si="37"/>
        <v>#N/A</v>
      </c>
      <c r="F796" s="28" t="str">
        <f t="shared" ca="1" si="38"/>
        <v/>
      </c>
    </row>
    <row r="797" spans="2:6" x14ac:dyDescent="0.2">
      <c r="B797" t="str">
        <f>IFERROR(IF('PDCA review'!$D$2='Check'!B797,'Check'!G797,""),"")</f>
        <v/>
      </c>
      <c r="C797">
        <f t="shared" si="36"/>
        <v>0</v>
      </c>
      <c r="D797">
        <f>SUM($C$3:C797)</f>
        <v>4</v>
      </c>
      <c r="E797" t="e">
        <f t="shared" si="37"/>
        <v>#N/A</v>
      </c>
      <c r="F797" s="28" t="str">
        <f t="shared" ca="1" si="38"/>
        <v/>
      </c>
    </row>
    <row r="798" spans="2:6" x14ac:dyDescent="0.2">
      <c r="B798" t="str">
        <f>IFERROR(IF('PDCA review'!$D$2='Check'!B798,'Check'!G798,""),"")</f>
        <v/>
      </c>
      <c r="C798">
        <f t="shared" si="36"/>
        <v>0</v>
      </c>
      <c r="D798">
        <f>SUM($C$3:C798)</f>
        <v>4</v>
      </c>
      <c r="E798" t="e">
        <f t="shared" si="37"/>
        <v>#N/A</v>
      </c>
      <c r="F798" s="28" t="str">
        <f t="shared" ca="1" si="38"/>
        <v/>
      </c>
    </row>
    <row r="799" spans="2:6" x14ac:dyDescent="0.2">
      <c r="B799" t="str">
        <f>IFERROR(IF('PDCA review'!$D$2='Check'!B799,'Check'!G799,""),"")</f>
        <v/>
      </c>
      <c r="C799">
        <f t="shared" si="36"/>
        <v>0</v>
      </c>
      <c r="D799">
        <f>SUM($C$3:C799)</f>
        <v>4</v>
      </c>
      <c r="E799" t="e">
        <f t="shared" si="37"/>
        <v>#N/A</v>
      </c>
      <c r="F799" s="28" t="str">
        <f t="shared" ca="1" si="38"/>
        <v/>
      </c>
    </row>
    <row r="800" spans="2:6" x14ac:dyDescent="0.2">
      <c r="B800" t="str">
        <f>IFERROR(IF('PDCA review'!$D$2='Check'!B800,'Check'!G800,""),"")</f>
        <v/>
      </c>
      <c r="C800">
        <f t="shared" si="36"/>
        <v>0</v>
      </c>
      <c r="D800">
        <f>SUM($C$3:C800)</f>
        <v>4</v>
      </c>
      <c r="E800" t="e">
        <f t="shared" si="37"/>
        <v>#N/A</v>
      </c>
      <c r="F800" s="28" t="str">
        <f t="shared" ca="1" si="38"/>
        <v/>
      </c>
    </row>
    <row r="801" spans="2:6" x14ac:dyDescent="0.2">
      <c r="B801" t="str">
        <f>IFERROR(IF('PDCA review'!$D$2='Check'!B801,'Check'!G801,""),"")</f>
        <v/>
      </c>
      <c r="C801">
        <f t="shared" si="36"/>
        <v>0</v>
      </c>
      <c r="D801">
        <f>SUM($C$3:C801)</f>
        <v>4</v>
      </c>
      <c r="E801" t="e">
        <f t="shared" si="37"/>
        <v>#N/A</v>
      </c>
      <c r="F801" s="28" t="str">
        <f t="shared" ca="1" si="38"/>
        <v/>
      </c>
    </row>
    <row r="802" spans="2:6" x14ac:dyDescent="0.2">
      <c r="B802" t="str">
        <f>IFERROR(IF('PDCA review'!$D$2='Check'!B802,'Check'!G802,""),"")</f>
        <v/>
      </c>
      <c r="C802">
        <f t="shared" si="36"/>
        <v>0</v>
      </c>
      <c r="D802">
        <f>SUM($C$3:C802)</f>
        <v>4</v>
      </c>
      <c r="E802" t="e">
        <f t="shared" si="37"/>
        <v>#N/A</v>
      </c>
      <c r="F802" s="28" t="str">
        <f t="shared" ca="1" si="38"/>
        <v/>
      </c>
    </row>
    <row r="803" spans="2:6" x14ac:dyDescent="0.2">
      <c r="B803" t="str">
        <f>IFERROR(IF('PDCA review'!$D$2='Check'!B803,'Check'!G803,""),"")</f>
        <v/>
      </c>
      <c r="C803">
        <f t="shared" si="36"/>
        <v>0</v>
      </c>
      <c r="D803">
        <f>SUM($C$3:C803)</f>
        <v>4</v>
      </c>
      <c r="E803" t="e">
        <f t="shared" si="37"/>
        <v>#N/A</v>
      </c>
      <c r="F803" s="28" t="str">
        <f t="shared" ca="1" si="38"/>
        <v/>
      </c>
    </row>
    <row r="804" spans="2:6" x14ac:dyDescent="0.2">
      <c r="B804" t="str">
        <f>IFERROR(IF('PDCA review'!$D$2='Check'!B804,'Check'!G804,""),"")</f>
        <v/>
      </c>
      <c r="C804">
        <f t="shared" si="36"/>
        <v>0</v>
      </c>
      <c r="D804">
        <f>SUM($C$3:C804)</f>
        <v>4</v>
      </c>
      <c r="E804" t="e">
        <f t="shared" si="37"/>
        <v>#N/A</v>
      </c>
      <c r="F804" s="28" t="str">
        <f t="shared" ca="1" si="38"/>
        <v/>
      </c>
    </row>
    <row r="805" spans="2:6" x14ac:dyDescent="0.2">
      <c r="B805" t="str">
        <f>IFERROR(IF('PDCA review'!$D$2='Check'!B805,'Check'!G805,""),"")</f>
        <v/>
      </c>
      <c r="C805">
        <f t="shared" si="36"/>
        <v>0</v>
      </c>
      <c r="D805">
        <f>SUM($C$3:C805)</f>
        <v>4</v>
      </c>
      <c r="E805" t="e">
        <f t="shared" si="37"/>
        <v>#N/A</v>
      </c>
      <c r="F805" s="28" t="str">
        <f t="shared" ca="1" si="38"/>
        <v/>
      </c>
    </row>
    <row r="806" spans="2:6" x14ac:dyDescent="0.2">
      <c r="B806" t="str">
        <f>IFERROR(IF('PDCA review'!$D$2='Check'!B806,'Check'!G806,""),"")</f>
        <v/>
      </c>
      <c r="C806">
        <f t="shared" si="36"/>
        <v>0</v>
      </c>
      <c r="D806">
        <f>SUM($C$3:C806)</f>
        <v>4</v>
      </c>
      <c r="E806" t="e">
        <f t="shared" si="37"/>
        <v>#N/A</v>
      </c>
      <c r="F806" s="28" t="str">
        <f t="shared" ca="1" si="38"/>
        <v/>
      </c>
    </row>
    <row r="807" spans="2:6" x14ac:dyDescent="0.2">
      <c r="B807" t="str">
        <f>IFERROR(IF('PDCA review'!$D$2='Check'!B807,'Check'!G807,""),"")</f>
        <v/>
      </c>
      <c r="C807">
        <f t="shared" si="36"/>
        <v>0</v>
      </c>
      <c r="D807">
        <f>SUM($C$3:C807)</f>
        <v>4</v>
      </c>
      <c r="E807" t="e">
        <f t="shared" si="37"/>
        <v>#N/A</v>
      </c>
      <c r="F807" s="28" t="str">
        <f t="shared" ca="1" si="38"/>
        <v/>
      </c>
    </row>
    <row r="808" spans="2:6" x14ac:dyDescent="0.2">
      <c r="B808" t="str">
        <f>IFERROR(IF('PDCA review'!$D$2='Check'!B808,'Check'!G808,""),"")</f>
        <v/>
      </c>
      <c r="C808">
        <f t="shared" si="36"/>
        <v>0</v>
      </c>
      <c r="D808">
        <f>SUM($C$3:C808)</f>
        <v>4</v>
      </c>
      <c r="E808" t="e">
        <f t="shared" si="37"/>
        <v>#N/A</v>
      </c>
      <c r="F808" s="28" t="str">
        <f t="shared" ca="1" si="38"/>
        <v/>
      </c>
    </row>
    <row r="809" spans="2:6" x14ac:dyDescent="0.2">
      <c r="B809" t="str">
        <f>IFERROR(IF('PDCA review'!$D$2='Check'!B809,'Check'!G809,""),"")</f>
        <v/>
      </c>
      <c r="C809">
        <f t="shared" si="36"/>
        <v>0</v>
      </c>
      <c r="D809">
        <f>SUM($C$3:C809)</f>
        <v>4</v>
      </c>
      <c r="E809" t="e">
        <f t="shared" si="37"/>
        <v>#N/A</v>
      </c>
      <c r="F809" s="28" t="str">
        <f t="shared" ca="1" si="38"/>
        <v/>
      </c>
    </row>
    <row r="810" spans="2:6" x14ac:dyDescent="0.2">
      <c r="B810" t="str">
        <f>IFERROR(IF('PDCA review'!$D$2='Check'!B810,'Check'!G810,""),"")</f>
        <v/>
      </c>
      <c r="C810">
        <f t="shared" si="36"/>
        <v>0</v>
      </c>
      <c r="D810">
        <f>SUM($C$3:C810)</f>
        <v>4</v>
      </c>
      <c r="E810" t="e">
        <f t="shared" si="37"/>
        <v>#N/A</v>
      </c>
      <c r="F810" s="28" t="str">
        <f t="shared" ca="1" si="38"/>
        <v/>
      </c>
    </row>
    <row r="811" spans="2:6" x14ac:dyDescent="0.2">
      <c r="B811" t="str">
        <f>IFERROR(IF('PDCA review'!$D$2='Check'!B811,'Check'!G811,""),"")</f>
        <v/>
      </c>
      <c r="C811">
        <f t="shared" si="36"/>
        <v>0</v>
      </c>
      <c r="D811">
        <f>SUM($C$3:C811)</f>
        <v>4</v>
      </c>
      <c r="E811" t="e">
        <f t="shared" si="37"/>
        <v>#N/A</v>
      </c>
      <c r="F811" s="28" t="str">
        <f t="shared" ca="1" si="38"/>
        <v/>
      </c>
    </row>
    <row r="812" spans="2:6" x14ac:dyDescent="0.2">
      <c r="B812" t="str">
        <f>IFERROR(IF('PDCA review'!$D$2='Check'!B812,'Check'!G812,""),"")</f>
        <v/>
      </c>
      <c r="C812">
        <f t="shared" si="36"/>
        <v>0</v>
      </c>
      <c r="D812">
        <f>SUM($C$3:C812)</f>
        <v>4</v>
      </c>
      <c r="E812" t="e">
        <f t="shared" si="37"/>
        <v>#N/A</v>
      </c>
      <c r="F812" s="28" t="str">
        <f t="shared" ca="1" si="38"/>
        <v/>
      </c>
    </row>
    <row r="813" spans="2:6" x14ac:dyDescent="0.2">
      <c r="B813" t="str">
        <f>IFERROR(IF('PDCA review'!$D$2='Check'!B813,'Check'!G813,""),"")</f>
        <v/>
      </c>
      <c r="C813">
        <f t="shared" si="36"/>
        <v>0</v>
      </c>
      <c r="D813">
        <f>SUM($C$3:C813)</f>
        <v>4</v>
      </c>
      <c r="E813" t="e">
        <f t="shared" si="37"/>
        <v>#N/A</v>
      </c>
      <c r="F813" s="28" t="str">
        <f t="shared" ca="1" si="38"/>
        <v/>
      </c>
    </row>
    <row r="814" spans="2:6" x14ac:dyDescent="0.2">
      <c r="B814" t="str">
        <f>IFERROR(IF('PDCA review'!$D$2='Check'!B814,'Check'!G814,""),"")</f>
        <v/>
      </c>
      <c r="C814">
        <f t="shared" si="36"/>
        <v>0</v>
      </c>
      <c r="D814">
        <f>SUM($C$3:C814)</f>
        <v>4</v>
      </c>
      <c r="E814" t="e">
        <f t="shared" si="37"/>
        <v>#N/A</v>
      </c>
      <c r="F814" s="28" t="str">
        <f t="shared" ca="1" si="38"/>
        <v/>
      </c>
    </row>
    <row r="815" spans="2:6" x14ac:dyDescent="0.2">
      <c r="B815" t="str">
        <f>IFERROR(IF('PDCA review'!$D$2='Check'!B815,'Check'!G815,""),"")</f>
        <v/>
      </c>
      <c r="C815">
        <f t="shared" si="36"/>
        <v>0</v>
      </c>
      <c r="D815">
        <f>SUM($C$3:C815)</f>
        <v>4</v>
      </c>
      <c r="E815" t="e">
        <f t="shared" si="37"/>
        <v>#N/A</v>
      </c>
      <c r="F815" s="28" t="str">
        <f t="shared" ca="1" si="38"/>
        <v/>
      </c>
    </row>
    <row r="816" spans="2:6" x14ac:dyDescent="0.2">
      <c r="B816" t="str">
        <f>IFERROR(IF('PDCA review'!$D$2='Check'!B816,'Check'!G816,""),"")</f>
        <v/>
      </c>
      <c r="C816">
        <f t="shared" si="36"/>
        <v>0</v>
      </c>
      <c r="D816">
        <f>SUM($C$3:C816)</f>
        <v>4</v>
      </c>
      <c r="E816" t="e">
        <f t="shared" si="37"/>
        <v>#N/A</v>
      </c>
      <c r="F816" s="28" t="str">
        <f t="shared" ca="1" si="38"/>
        <v/>
      </c>
    </row>
    <row r="817" spans="2:6" x14ac:dyDescent="0.2">
      <c r="B817" t="str">
        <f>IFERROR(IF('PDCA review'!$D$2='Check'!B817,'Check'!G817,""),"")</f>
        <v/>
      </c>
      <c r="C817">
        <f t="shared" si="36"/>
        <v>0</v>
      </c>
      <c r="D817">
        <f>SUM($C$3:C817)</f>
        <v>4</v>
      </c>
      <c r="E817" t="e">
        <f t="shared" si="37"/>
        <v>#N/A</v>
      </c>
      <c r="F817" s="28" t="str">
        <f t="shared" ca="1" si="38"/>
        <v/>
      </c>
    </row>
    <row r="818" spans="2:6" x14ac:dyDescent="0.2">
      <c r="B818" t="str">
        <f>IFERROR(IF('PDCA review'!$D$2='Check'!B818,'Check'!G818,""),"")</f>
        <v/>
      </c>
      <c r="C818">
        <f t="shared" si="36"/>
        <v>0</v>
      </c>
      <c r="D818">
        <f>SUM($C$3:C818)</f>
        <v>4</v>
      </c>
      <c r="E818" t="e">
        <f t="shared" si="37"/>
        <v>#N/A</v>
      </c>
      <c r="F818" s="28" t="str">
        <f t="shared" ca="1" si="38"/>
        <v/>
      </c>
    </row>
    <row r="819" spans="2:6" x14ac:dyDescent="0.2">
      <c r="B819" t="str">
        <f>IFERROR(IF('PDCA review'!$D$2='Check'!B819,'Check'!G819,""),"")</f>
        <v/>
      </c>
      <c r="C819">
        <f t="shared" si="36"/>
        <v>0</v>
      </c>
      <c r="D819">
        <f>SUM($C$3:C819)</f>
        <v>4</v>
      </c>
      <c r="E819" t="e">
        <f t="shared" si="37"/>
        <v>#N/A</v>
      </c>
      <c r="F819" s="28" t="str">
        <f t="shared" ca="1" si="38"/>
        <v/>
      </c>
    </row>
    <row r="820" spans="2:6" x14ac:dyDescent="0.2">
      <c r="B820" t="str">
        <f>IFERROR(IF('PDCA review'!$D$2='Check'!B820,'Check'!G820,""),"")</f>
        <v/>
      </c>
      <c r="C820">
        <f t="shared" si="36"/>
        <v>0</v>
      </c>
      <c r="D820">
        <f>SUM($C$3:C820)</f>
        <v>4</v>
      </c>
      <c r="E820" t="e">
        <f t="shared" si="37"/>
        <v>#N/A</v>
      </c>
      <c r="F820" s="28" t="str">
        <f t="shared" ca="1" si="38"/>
        <v/>
      </c>
    </row>
    <row r="821" spans="2:6" x14ac:dyDescent="0.2">
      <c r="B821" t="str">
        <f>IFERROR(IF('PDCA review'!$D$2='Check'!B821,'Check'!G821,""),"")</f>
        <v/>
      </c>
      <c r="C821">
        <f t="shared" si="36"/>
        <v>0</v>
      </c>
      <c r="D821">
        <f>SUM($C$3:C821)</f>
        <v>4</v>
      </c>
      <c r="E821" t="e">
        <f t="shared" si="37"/>
        <v>#N/A</v>
      </c>
      <c r="F821" s="28" t="str">
        <f t="shared" ca="1" si="38"/>
        <v/>
      </c>
    </row>
    <row r="822" spans="2:6" x14ac:dyDescent="0.2">
      <c r="B822" t="str">
        <f>IFERROR(IF('PDCA review'!$D$2='Check'!B822,'Check'!G822,""),"")</f>
        <v/>
      </c>
      <c r="C822">
        <f t="shared" si="36"/>
        <v>0</v>
      </c>
      <c r="D822">
        <f>SUM($C$3:C822)</f>
        <v>4</v>
      </c>
      <c r="E822" t="e">
        <f t="shared" si="37"/>
        <v>#N/A</v>
      </c>
      <c r="F822" s="28" t="str">
        <f t="shared" ca="1" si="38"/>
        <v/>
      </c>
    </row>
    <row r="823" spans="2:6" x14ac:dyDescent="0.2">
      <c r="B823" t="str">
        <f>IFERROR(IF('PDCA review'!$D$2='Check'!B823,'Check'!G823,""),"")</f>
        <v/>
      </c>
      <c r="C823">
        <f t="shared" si="36"/>
        <v>0</v>
      </c>
      <c r="D823">
        <f>SUM($C$3:C823)</f>
        <v>4</v>
      </c>
      <c r="E823" t="e">
        <f t="shared" si="37"/>
        <v>#N/A</v>
      </c>
      <c r="F823" s="28" t="str">
        <f t="shared" ca="1" si="38"/>
        <v/>
      </c>
    </row>
    <row r="824" spans="2:6" x14ac:dyDescent="0.2">
      <c r="B824" t="str">
        <f>IFERROR(IF('PDCA review'!$D$2='Check'!B824,'Check'!G824,""),"")</f>
        <v/>
      </c>
      <c r="C824">
        <f t="shared" si="36"/>
        <v>0</v>
      </c>
      <c r="D824">
        <f>SUM($C$3:C824)</f>
        <v>4</v>
      </c>
      <c r="E824" t="e">
        <f t="shared" si="37"/>
        <v>#N/A</v>
      </c>
      <c r="F824" s="28" t="str">
        <f t="shared" ca="1" si="38"/>
        <v/>
      </c>
    </row>
    <row r="825" spans="2:6" x14ac:dyDescent="0.2">
      <c r="B825" t="str">
        <f>IFERROR(IF('PDCA review'!$D$2='Check'!B825,'Check'!G825,""),"")</f>
        <v/>
      </c>
      <c r="C825">
        <f t="shared" si="36"/>
        <v>0</v>
      </c>
      <c r="D825">
        <f>SUM($C$3:C825)</f>
        <v>4</v>
      </c>
      <c r="E825" t="e">
        <f t="shared" si="37"/>
        <v>#N/A</v>
      </c>
      <c r="F825" s="28" t="str">
        <f t="shared" ca="1" si="38"/>
        <v/>
      </c>
    </row>
    <row r="826" spans="2:6" x14ac:dyDescent="0.2">
      <c r="B826" t="str">
        <f>IFERROR(IF('PDCA review'!$D$2='Check'!B826,'Check'!G826,""),"")</f>
        <v/>
      </c>
      <c r="C826">
        <f t="shared" si="36"/>
        <v>0</v>
      </c>
      <c r="D826">
        <f>SUM($C$3:C826)</f>
        <v>4</v>
      </c>
      <c r="E826" t="e">
        <f t="shared" si="37"/>
        <v>#N/A</v>
      </c>
      <c r="F826" s="28" t="str">
        <f t="shared" ca="1" si="38"/>
        <v/>
      </c>
    </row>
    <row r="827" spans="2:6" x14ac:dyDescent="0.2">
      <c r="B827" t="str">
        <f>IFERROR(IF('PDCA review'!$D$2='Check'!B827,'Check'!G827,""),"")</f>
        <v/>
      </c>
      <c r="C827">
        <f t="shared" si="36"/>
        <v>0</v>
      </c>
      <c r="D827">
        <f>SUM($C$3:C827)</f>
        <v>4</v>
      </c>
      <c r="E827" t="e">
        <f t="shared" si="37"/>
        <v>#N/A</v>
      </c>
      <c r="F827" s="28" t="str">
        <f t="shared" ca="1" si="38"/>
        <v/>
      </c>
    </row>
    <row r="828" spans="2:6" x14ac:dyDescent="0.2">
      <c r="B828" t="str">
        <f>IFERROR(IF('PDCA review'!$D$2='Check'!B828,'Check'!G828,""),"")</f>
        <v/>
      </c>
      <c r="C828">
        <f t="shared" si="36"/>
        <v>0</v>
      </c>
      <c r="D828">
        <f>SUM($C$3:C828)</f>
        <v>4</v>
      </c>
      <c r="E828" t="e">
        <f t="shared" si="37"/>
        <v>#N/A</v>
      </c>
      <c r="F828" s="28" t="str">
        <f t="shared" ca="1" si="38"/>
        <v/>
      </c>
    </row>
    <row r="829" spans="2:6" x14ac:dyDescent="0.2">
      <c r="B829" t="str">
        <f>IFERROR(IF('PDCA review'!$D$2='Check'!B829,'Check'!G829,""),"")</f>
        <v/>
      </c>
      <c r="C829">
        <f t="shared" si="36"/>
        <v>0</v>
      </c>
      <c r="D829">
        <f>SUM($C$3:C829)</f>
        <v>4</v>
      </c>
      <c r="E829" t="e">
        <f t="shared" si="37"/>
        <v>#N/A</v>
      </c>
      <c r="F829" s="28" t="str">
        <f t="shared" ca="1" si="38"/>
        <v/>
      </c>
    </row>
    <row r="830" spans="2:6" x14ac:dyDescent="0.2">
      <c r="B830" t="str">
        <f>IFERROR(IF('PDCA review'!$D$2='Check'!B830,'Check'!G830,""),"")</f>
        <v/>
      </c>
      <c r="C830">
        <f t="shared" si="36"/>
        <v>0</v>
      </c>
      <c r="D830">
        <f>SUM($C$3:C830)</f>
        <v>4</v>
      </c>
      <c r="E830" t="e">
        <f t="shared" si="37"/>
        <v>#N/A</v>
      </c>
      <c r="F830" s="28" t="str">
        <f t="shared" ca="1" si="38"/>
        <v/>
      </c>
    </row>
    <row r="831" spans="2:6" x14ac:dyDescent="0.2">
      <c r="B831" t="str">
        <f>IFERROR(IF('PDCA review'!$D$2='Check'!B831,'Check'!G831,""),"")</f>
        <v/>
      </c>
      <c r="C831">
        <f t="shared" si="36"/>
        <v>0</v>
      </c>
      <c r="D831">
        <f>SUM($C$3:C831)</f>
        <v>4</v>
      </c>
      <c r="E831" t="e">
        <f t="shared" si="37"/>
        <v>#N/A</v>
      </c>
      <c r="F831" s="28" t="str">
        <f t="shared" ca="1" si="38"/>
        <v/>
      </c>
    </row>
    <row r="832" spans="2:6" x14ac:dyDescent="0.2">
      <c r="B832" t="str">
        <f>IFERROR(IF('PDCA review'!$D$2='Check'!B832,'Check'!G832,""),"")</f>
        <v/>
      </c>
      <c r="C832">
        <f t="shared" si="36"/>
        <v>0</v>
      </c>
      <c r="D832">
        <f>SUM($C$3:C832)</f>
        <v>4</v>
      </c>
      <c r="E832" t="e">
        <f t="shared" si="37"/>
        <v>#N/A</v>
      </c>
      <c r="F832" s="28" t="str">
        <f t="shared" ca="1" si="38"/>
        <v/>
      </c>
    </row>
    <row r="833" spans="2:6" x14ac:dyDescent="0.2">
      <c r="B833" t="str">
        <f>IFERROR(IF('PDCA review'!$D$2='Check'!B833,'Check'!G833,""),"")</f>
        <v/>
      </c>
      <c r="C833">
        <f t="shared" si="36"/>
        <v>0</v>
      </c>
      <c r="D833">
        <f>SUM($C$3:C833)</f>
        <v>4</v>
      </c>
      <c r="E833" t="e">
        <f t="shared" si="37"/>
        <v>#N/A</v>
      </c>
      <c r="F833" s="28" t="str">
        <f t="shared" ca="1" si="38"/>
        <v/>
      </c>
    </row>
    <row r="834" spans="2:6" x14ac:dyDescent="0.2">
      <c r="B834" t="str">
        <f>IFERROR(IF('PDCA review'!$D$2='Check'!B834,'Check'!G834,""),"")</f>
        <v/>
      </c>
      <c r="C834">
        <f t="shared" si="36"/>
        <v>0</v>
      </c>
      <c r="D834">
        <f>SUM($C$3:C834)</f>
        <v>4</v>
      </c>
      <c r="E834" t="e">
        <f t="shared" si="37"/>
        <v>#N/A</v>
      </c>
      <c r="F834" s="28" t="str">
        <f t="shared" ca="1" si="38"/>
        <v/>
      </c>
    </row>
    <row r="835" spans="2:6" x14ac:dyDescent="0.2">
      <c r="B835" t="str">
        <f>IFERROR(IF('PDCA review'!$D$2='Check'!B835,'Check'!G835,""),"")</f>
        <v/>
      </c>
      <c r="C835">
        <f t="shared" si="36"/>
        <v>0</v>
      </c>
      <c r="D835">
        <f>SUM($C$3:C835)</f>
        <v>4</v>
      </c>
      <c r="E835" t="e">
        <f t="shared" si="37"/>
        <v>#N/A</v>
      </c>
      <c r="F835" s="28" t="str">
        <f t="shared" ca="1" si="38"/>
        <v/>
      </c>
    </row>
    <row r="836" spans="2:6" x14ac:dyDescent="0.2">
      <c r="B836" t="str">
        <f>IFERROR(IF('PDCA review'!$D$2='Check'!B836,'Check'!G836,""),"")</f>
        <v/>
      </c>
      <c r="C836">
        <f t="shared" ref="C836:C899" si="39">IF(B836&lt;&gt;"",1,0)</f>
        <v>0</v>
      </c>
      <c r="D836">
        <f>SUM($C$3:C836)</f>
        <v>4</v>
      </c>
      <c r="E836" t="e">
        <f t="shared" ref="E836:E899" si="40">MATCH(ROW()-$D$2,$D$3:$D$2000,0)+$D$2</f>
        <v>#N/A</v>
      </c>
      <c r="F836" s="28" t="str">
        <f t="shared" ref="F836:F899" ca="1" si="41">IFERROR(INDIRECT("B"&amp;E836),"")</f>
        <v/>
      </c>
    </row>
    <row r="837" spans="2:6" x14ac:dyDescent="0.2">
      <c r="B837" t="str">
        <f>IFERROR(IF('PDCA review'!$D$2='Check'!B837,'Check'!G837,""),"")</f>
        <v/>
      </c>
      <c r="C837">
        <f t="shared" si="39"/>
        <v>0</v>
      </c>
      <c r="D837">
        <f>SUM($C$3:C837)</f>
        <v>4</v>
      </c>
      <c r="E837" t="e">
        <f t="shared" si="40"/>
        <v>#N/A</v>
      </c>
      <c r="F837" s="28" t="str">
        <f t="shared" ca="1" si="41"/>
        <v/>
      </c>
    </row>
    <row r="838" spans="2:6" x14ac:dyDescent="0.2">
      <c r="B838" t="str">
        <f>IFERROR(IF('PDCA review'!$D$2='Check'!B838,'Check'!G838,""),"")</f>
        <v/>
      </c>
      <c r="C838">
        <f t="shared" si="39"/>
        <v>0</v>
      </c>
      <c r="D838">
        <f>SUM($C$3:C838)</f>
        <v>4</v>
      </c>
      <c r="E838" t="e">
        <f t="shared" si="40"/>
        <v>#N/A</v>
      </c>
      <c r="F838" s="28" t="str">
        <f t="shared" ca="1" si="41"/>
        <v/>
      </c>
    </row>
    <row r="839" spans="2:6" x14ac:dyDescent="0.2">
      <c r="B839" t="str">
        <f>IFERROR(IF('PDCA review'!$D$2='Check'!B839,'Check'!G839,""),"")</f>
        <v/>
      </c>
      <c r="C839">
        <f t="shared" si="39"/>
        <v>0</v>
      </c>
      <c r="D839">
        <f>SUM($C$3:C839)</f>
        <v>4</v>
      </c>
      <c r="E839" t="e">
        <f t="shared" si="40"/>
        <v>#N/A</v>
      </c>
      <c r="F839" s="28" t="str">
        <f t="shared" ca="1" si="41"/>
        <v/>
      </c>
    </row>
    <row r="840" spans="2:6" x14ac:dyDescent="0.2">
      <c r="B840" t="str">
        <f>IFERROR(IF('PDCA review'!$D$2='Check'!B840,'Check'!G840,""),"")</f>
        <v/>
      </c>
      <c r="C840">
        <f t="shared" si="39"/>
        <v>0</v>
      </c>
      <c r="D840">
        <f>SUM($C$3:C840)</f>
        <v>4</v>
      </c>
      <c r="E840" t="e">
        <f t="shared" si="40"/>
        <v>#N/A</v>
      </c>
      <c r="F840" s="28" t="str">
        <f t="shared" ca="1" si="41"/>
        <v/>
      </c>
    </row>
    <row r="841" spans="2:6" x14ac:dyDescent="0.2">
      <c r="B841" t="str">
        <f>IFERROR(IF('PDCA review'!$D$2='Check'!B841,'Check'!G841,""),"")</f>
        <v/>
      </c>
      <c r="C841">
        <f t="shared" si="39"/>
        <v>0</v>
      </c>
      <c r="D841">
        <f>SUM($C$3:C841)</f>
        <v>4</v>
      </c>
      <c r="E841" t="e">
        <f t="shared" si="40"/>
        <v>#N/A</v>
      </c>
      <c r="F841" s="28" t="str">
        <f t="shared" ca="1" si="41"/>
        <v/>
      </c>
    </row>
    <row r="842" spans="2:6" x14ac:dyDescent="0.2">
      <c r="B842" t="str">
        <f>IFERROR(IF('PDCA review'!$D$2='Check'!B842,'Check'!G842,""),"")</f>
        <v/>
      </c>
      <c r="C842">
        <f t="shared" si="39"/>
        <v>0</v>
      </c>
      <c r="D842">
        <f>SUM($C$3:C842)</f>
        <v>4</v>
      </c>
      <c r="E842" t="e">
        <f t="shared" si="40"/>
        <v>#N/A</v>
      </c>
      <c r="F842" s="28" t="str">
        <f t="shared" ca="1" si="41"/>
        <v/>
      </c>
    </row>
    <row r="843" spans="2:6" x14ac:dyDescent="0.2">
      <c r="B843" t="str">
        <f>IFERROR(IF('PDCA review'!$D$2='Check'!B843,'Check'!G843,""),"")</f>
        <v/>
      </c>
      <c r="C843">
        <f t="shared" si="39"/>
        <v>0</v>
      </c>
      <c r="D843">
        <f>SUM($C$3:C843)</f>
        <v>4</v>
      </c>
      <c r="E843" t="e">
        <f t="shared" si="40"/>
        <v>#N/A</v>
      </c>
      <c r="F843" s="28" t="str">
        <f t="shared" ca="1" si="41"/>
        <v/>
      </c>
    </row>
    <row r="844" spans="2:6" x14ac:dyDescent="0.2">
      <c r="B844" t="str">
        <f>IFERROR(IF('PDCA review'!$D$2='Check'!B844,'Check'!G844,""),"")</f>
        <v/>
      </c>
      <c r="C844">
        <f t="shared" si="39"/>
        <v>0</v>
      </c>
      <c r="D844">
        <f>SUM($C$3:C844)</f>
        <v>4</v>
      </c>
      <c r="E844" t="e">
        <f t="shared" si="40"/>
        <v>#N/A</v>
      </c>
      <c r="F844" s="28" t="str">
        <f t="shared" ca="1" si="41"/>
        <v/>
      </c>
    </row>
    <row r="845" spans="2:6" x14ac:dyDescent="0.2">
      <c r="B845" t="str">
        <f>IFERROR(IF('PDCA review'!$D$2='Check'!B845,'Check'!G845,""),"")</f>
        <v/>
      </c>
      <c r="C845">
        <f t="shared" si="39"/>
        <v>0</v>
      </c>
      <c r="D845">
        <f>SUM($C$3:C845)</f>
        <v>4</v>
      </c>
      <c r="E845" t="e">
        <f t="shared" si="40"/>
        <v>#N/A</v>
      </c>
      <c r="F845" s="28" t="str">
        <f t="shared" ca="1" si="41"/>
        <v/>
      </c>
    </row>
    <row r="846" spans="2:6" x14ac:dyDescent="0.2">
      <c r="B846" t="str">
        <f>IFERROR(IF('PDCA review'!$D$2='Check'!B846,'Check'!G846,""),"")</f>
        <v/>
      </c>
      <c r="C846">
        <f t="shared" si="39"/>
        <v>0</v>
      </c>
      <c r="D846">
        <f>SUM($C$3:C846)</f>
        <v>4</v>
      </c>
      <c r="E846" t="e">
        <f t="shared" si="40"/>
        <v>#N/A</v>
      </c>
      <c r="F846" s="28" t="str">
        <f t="shared" ca="1" si="41"/>
        <v/>
      </c>
    </row>
    <row r="847" spans="2:6" x14ac:dyDescent="0.2">
      <c r="B847" t="str">
        <f>IFERROR(IF('PDCA review'!$D$2='Check'!B847,'Check'!G847,""),"")</f>
        <v/>
      </c>
      <c r="C847">
        <f t="shared" si="39"/>
        <v>0</v>
      </c>
      <c r="D847">
        <f>SUM($C$3:C847)</f>
        <v>4</v>
      </c>
      <c r="E847" t="e">
        <f t="shared" si="40"/>
        <v>#N/A</v>
      </c>
      <c r="F847" s="28" t="str">
        <f t="shared" ca="1" si="41"/>
        <v/>
      </c>
    </row>
    <row r="848" spans="2:6" x14ac:dyDescent="0.2">
      <c r="B848" t="str">
        <f>IFERROR(IF('PDCA review'!$D$2='Check'!B848,'Check'!G848,""),"")</f>
        <v/>
      </c>
      <c r="C848">
        <f t="shared" si="39"/>
        <v>0</v>
      </c>
      <c r="D848">
        <f>SUM($C$3:C848)</f>
        <v>4</v>
      </c>
      <c r="E848" t="e">
        <f t="shared" si="40"/>
        <v>#N/A</v>
      </c>
      <c r="F848" s="28" t="str">
        <f t="shared" ca="1" si="41"/>
        <v/>
      </c>
    </row>
    <row r="849" spans="2:6" x14ac:dyDescent="0.2">
      <c r="B849" t="str">
        <f>IFERROR(IF('PDCA review'!$D$2='Check'!B849,'Check'!G849,""),"")</f>
        <v/>
      </c>
      <c r="C849">
        <f t="shared" si="39"/>
        <v>0</v>
      </c>
      <c r="D849">
        <f>SUM($C$3:C849)</f>
        <v>4</v>
      </c>
      <c r="E849" t="e">
        <f t="shared" si="40"/>
        <v>#N/A</v>
      </c>
      <c r="F849" s="28" t="str">
        <f t="shared" ca="1" si="41"/>
        <v/>
      </c>
    </row>
    <row r="850" spans="2:6" x14ac:dyDescent="0.2">
      <c r="B850" t="str">
        <f>IFERROR(IF('PDCA review'!$D$2='Check'!B850,'Check'!G850,""),"")</f>
        <v/>
      </c>
      <c r="C850">
        <f t="shared" si="39"/>
        <v>0</v>
      </c>
      <c r="D850">
        <f>SUM($C$3:C850)</f>
        <v>4</v>
      </c>
      <c r="E850" t="e">
        <f t="shared" si="40"/>
        <v>#N/A</v>
      </c>
      <c r="F850" s="28" t="str">
        <f t="shared" ca="1" si="41"/>
        <v/>
      </c>
    </row>
    <row r="851" spans="2:6" x14ac:dyDescent="0.2">
      <c r="B851" t="str">
        <f>IFERROR(IF('PDCA review'!$D$2='Check'!B851,'Check'!G851,""),"")</f>
        <v/>
      </c>
      <c r="C851">
        <f t="shared" si="39"/>
        <v>0</v>
      </c>
      <c r="D851">
        <f>SUM($C$3:C851)</f>
        <v>4</v>
      </c>
      <c r="E851" t="e">
        <f t="shared" si="40"/>
        <v>#N/A</v>
      </c>
      <c r="F851" s="28" t="str">
        <f t="shared" ca="1" si="41"/>
        <v/>
      </c>
    </row>
    <row r="852" spans="2:6" x14ac:dyDescent="0.2">
      <c r="B852" t="str">
        <f>IFERROR(IF('PDCA review'!$D$2='Check'!B852,'Check'!G852,""),"")</f>
        <v/>
      </c>
      <c r="C852">
        <f t="shared" si="39"/>
        <v>0</v>
      </c>
      <c r="D852">
        <f>SUM($C$3:C852)</f>
        <v>4</v>
      </c>
      <c r="E852" t="e">
        <f t="shared" si="40"/>
        <v>#N/A</v>
      </c>
      <c r="F852" s="28" t="str">
        <f t="shared" ca="1" si="41"/>
        <v/>
      </c>
    </row>
    <row r="853" spans="2:6" x14ac:dyDescent="0.2">
      <c r="B853" t="str">
        <f>IFERROR(IF('PDCA review'!$D$2='Check'!B853,'Check'!G853,""),"")</f>
        <v/>
      </c>
      <c r="C853">
        <f t="shared" si="39"/>
        <v>0</v>
      </c>
      <c r="D853">
        <f>SUM($C$3:C853)</f>
        <v>4</v>
      </c>
      <c r="E853" t="e">
        <f t="shared" si="40"/>
        <v>#N/A</v>
      </c>
      <c r="F853" s="28" t="str">
        <f t="shared" ca="1" si="41"/>
        <v/>
      </c>
    </row>
    <row r="854" spans="2:6" x14ac:dyDescent="0.2">
      <c r="B854" t="str">
        <f>IFERROR(IF('PDCA review'!$D$2='Check'!B854,'Check'!G854,""),"")</f>
        <v/>
      </c>
      <c r="C854">
        <f t="shared" si="39"/>
        <v>0</v>
      </c>
      <c r="D854">
        <f>SUM($C$3:C854)</f>
        <v>4</v>
      </c>
      <c r="E854" t="e">
        <f t="shared" si="40"/>
        <v>#N/A</v>
      </c>
      <c r="F854" s="28" t="str">
        <f t="shared" ca="1" si="41"/>
        <v/>
      </c>
    </row>
    <row r="855" spans="2:6" x14ac:dyDescent="0.2">
      <c r="B855" t="str">
        <f>IFERROR(IF('PDCA review'!$D$2='Check'!B855,'Check'!G855,""),"")</f>
        <v/>
      </c>
      <c r="C855">
        <f t="shared" si="39"/>
        <v>0</v>
      </c>
      <c r="D855">
        <f>SUM($C$3:C855)</f>
        <v>4</v>
      </c>
      <c r="E855" t="e">
        <f t="shared" si="40"/>
        <v>#N/A</v>
      </c>
      <c r="F855" s="28" t="str">
        <f t="shared" ca="1" si="41"/>
        <v/>
      </c>
    </row>
    <row r="856" spans="2:6" x14ac:dyDescent="0.2">
      <c r="B856" t="str">
        <f>IFERROR(IF('PDCA review'!$D$2='Check'!B856,'Check'!G856,""),"")</f>
        <v/>
      </c>
      <c r="C856">
        <f t="shared" si="39"/>
        <v>0</v>
      </c>
      <c r="D856">
        <f>SUM($C$3:C856)</f>
        <v>4</v>
      </c>
      <c r="E856" t="e">
        <f t="shared" si="40"/>
        <v>#N/A</v>
      </c>
      <c r="F856" s="28" t="str">
        <f t="shared" ca="1" si="41"/>
        <v/>
      </c>
    </row>
    <row r="857" spans="2:6" x14ac:dyDescent="0.2">
      <c r="B857" t="str">
        <f>IFERROR(IF('PDCA review'!$D$2='Check'!B857,'Check'!G857,""),"")</f>
        <v/>
      </c>
      <c r="C857">
        <f t="shared" si="39"/>
        <v>0</v>
      </c>
      <c r="D857">
        <f>SUM($C$3:C857)</f>
        <v>4</v>
      </c>
      <c r="E857" t="e">
        <f t="shared" si="40"/>
        <v>#N/A</v>
      </c>
      <c r="F857" s="28" t="str">
        <f t="shared" ca="1" si="41"/>
        <v/>
      </c>
    </row>
    <row r="858" spans="2:6" x14ac:dyDescent="0.2">
      <c r="B858" t="str">
        <f>IFERROR(IF('PDCA review'!$D$2='Check'!B858,'Check'!G858,""),"")</f>
        <v/>
      </c>
      <c r="C858">
        <f t="shared" si="39"/>
        <v>0</v>
      </c>
      <c r="D858">
        <f>SUM($C$3:C858)</f>
        <v>4</v>
      </c>
      <c r="E858" t="e">
        <f t="shared" si="40"/>
        <v>#N/A</v>
      </c>
      <c r="F858" s="28" t="str">
        <f t="shared" ca="1" si="41"/>
        <v/>
      </c>
    </row>
    <row r="859" spans="2:6" x14ac:dyDescent="0.2">
      <c r="B859" t="str">
        <f>IFERROR(IF('PDCA review'!$D$2='Check'!B859,'Check'!G859,""),"")</f>
        <v/>
      </c>
      <c r="C859">
        <f t="shared" si="39"/>
        <v>0</v>
      </c>
      <c r="D859">
        <f>SUM($C$3:C859)</f>
        <v>4</v>
      </c>
      <c r="E859" t="e">
        <f t="shared" si="40"/>
        <v>#N/A</v>
      </c>
      <c r="F859" s="28" t="str">
        <f t="shared" ca="1" si="41"/>
        <v/>
      </c>
    </row>
    <row r="860" spans="2:6" x14ac:dyDescent="0.2">
      <c r="B860" t="str">
        <f>IFERROR(IF('PDCA review'!$D$2='Check'!B860,'Check'!G860,""),"")</f>
        <v/>
      </c>
      <c r="C860">
        <f t="shared" si="39"/>
        <v>0</v>
      </c>
      <c r="D860">
        <f>SUM($C$3:C860)</f>
        <v>4</v>
      </c>
      <c r="E860" t="e">
        <f t="shared" si="40"/>
        <v>#N/A</v>
      </c>
      <c r="F860" s="28" t="str">
        <f t="shared" ca="1" si="41"/>
        <v/>
      </c>
    </row>
    <row r="861" spans="2:6" x14ac:dyDescent="0.2">
      <c r="B861" t="str">
        <f>IFERROR(IF('PDCA review'!$D$2='Check'!B861,'Check'!G861,""),"")</f>
        <v/>
      </c>
      <c r="C861">
        <f t="shared" si="39"/>
        <v>0</v>
      </c>
      <c r="D861">
        <f>SUM($C$3:C861)</f>
        <v>4</v>
      </c>
      <c r="E861" t="e">
        <f t="shared" si="40"/>
        <v>#N/A</v>
      </c>
      <c r="F861" s="28" t="str">
        <f t="shared" ca="1" si="41"/>
        <v/>
      </c>
    </row>
    <row r="862" spans="2:6" x14ac:dyDescent="0.2">
      <c r="B862" t="str">
        <f>IFERROR(IF('PDCA review'!$D$2='Check'!B862,'Check'!G862,""),"")</f>
        <v/>
      </c>
      <c r="C862">
        <f t="shared" si="39"/>
        <v>0</v>
      </c>
      <c r="D862">
        <f>SUM($C$3:C862)</f>
        <v>4</v>
      </c>
      <c r="E862" t="e">
        <f t="shared" si="40"/>
        <v>#N/A</v>
      </c>
      <c r="F862" s="28" t="str">
        <f t="shared" ca="1" si="41"/>
        <v/>
      </c>
    </row>
    <row r="863" spans="2:6" x14ac:dyDescent="0.2">
      <c r="B863" t="str">
        <f>IFERROR(IF('PDCA review'!$D$2='Check'!B863,'Check'!G863,""),"")</f>
        <v/>
      </c>
      <c r="C863">
        <f t="shared" si="39"/>
        <v>0</v>
      </c>
      <c r="D863">
        <f>SUM($C$3:C863)</f>
        <v>4</v>
      </c>
      <c r="E863" t="e">
        <f t="shared" si="40"/>
        <v>#N/A</v>
      </c>
      <c r="F863" s="28" t="str">
        <f t="shared" ca="1" si="41"/>
        <v/>
      </c>
    </row>
    <row r="864" spans="2:6" x14ac:dyDescent="0.2">
      <c r="B864" t="str">
        <f>IFERROR(IF('PDCA review'!$D$2='Check'!B864,'Check'!G864,""),"")</f>
        <v/>
      </c>
      <c r="C864">
        <f t="shared" si="39"/>
        <v>0</v>
      </c>
      <c r="D864">
        <f>SUM($C$3:C864)</f>
        <v>4</v>
      </c>
      <c r="E864" t="e">
        <f t="shared" si="40"/>
        <v>#N/A</v>
      </c>
      <c r="F864" s="28" t="str">
        <f t="shared" ca="1" si="41"/>
        <v/>
      </c>
    </row>
    <row r="865" spans="2:6" x14ac:dyDescent="0.2">
      <c r="B865" t="str">
        <f>IFERROR(IF('PDCA review'!$D$2='Check'!B865,'Check'!G865,""),"")</f>
        <v/>
      </c>
      <c r="C865">
        <f t="shared" si="39"/>
        <v>0</v>
      </c>
      <c r="D865">
        <f>SUM($C$3:C865)</f>
        <v>4</v>
      </c>
      <c r="E865" t="e">
        <f t="shared" si="40"/>
        <v>#N/A</v>
      </c>
      <c r="F865" s="28" t="str">
        <f t="shared" ca="1" si="41"/>
        <v/>
      </c>
    </row>
    <row r="866" spans="2:6" x14ac:dyDescent="0.2">
      <c r="B866" t="str">
        <f>IFERROR(IF('PDCA review'!$D$2='Check'!B866,'Check'!G866,""),"")</f>
        <v/>
      </c>
      <c r="C866">
        <f t="shared" si="39"/>
        <v>0</v>
      </c>
      <c r="D866">
        <f>SUM($C$3:C866)</f>
        <v>4</v>
      </c>
      <c r="E866" t="e">
        <f t="shared" si="40"/>
        <v>#N/A</v>
      </c>
      <c r="F866" s="28" t="str">
        <f t="shared" ca="1" si="41"/>
        <v/>
      </c>
    </row>
    <row r="867" spans="2:6" x14ac:dyDescent="0.2">
      <c r="B867" t="str">
        <f>IFERROR(IF('PDCA review'!$D$2='Check'!B867,'Check'!G867,""),"")</f>
        <v/>
      </c>
      <c r="C867">
        <f t="shared" si="39"/>
        <v>0</v>
      </c>
      <c r="D867">
        <f>SUM($C$3:C867)</f>
        <v>4</v>
      </c>
      <c r="E867" t="e">
        <f t="shared" si="40"/>
        <v>#N/A</v>
      </c>
      <c r="F867" s="28" t="str">
        <f t="shared" ca="1" si="41"/>
        <v/>
      </c>
    </row>
    <row r="868" spans="2:6" x14ac:dyDescent="0.2">
      <c r="B868" t="str">
        <f>IFERROR(IF('PDCA review'!$D$2='Check'!B868,'Check'!G868,""),"")</f>
        <v/>
      </c>
      <c r="C868">
        <f t="shared" si="39"/>
        <v>0</v>
      </c>
      <c r="D868">
        <f>SUM($C$3:C868)</f>
        <v>4</v>
      </c>
      <c r="E868" t="e">
        <f t="shared" si="40"/>
        <v>#N/A</v>
      </c>
      <c r="F868" s="28" t="str">
        <f t="shared" ca="1" si="41"/>
        <v/>
      </c>
    </row>
    <row r="869" spans="2:6" x14ac:dyDescent="0.2">
      <c r="B869" t="str">
        <f>IFERROR(IF('PDCA review'!$D$2='Check'!B869,'Check'!G869,""),"")</f>
        <v/>
      </c>
      <c r="C869">
        <f t="shared" si="39"/>
        <v>0</v>
      </c>
      <c r="D869">
        <f>SUM($C$3:C869)</f>
        <v>4</v>
      </c>
      <c r="E869" t="e">
        <f t="shared" si="40"/>
        <v>#N/A</v>
      </c>
      <c r="F869" s="28" t="str">
        <f t="shared" ca="1" si="41"/>
        <v/>
      </c>
    </row>
    <row r="870" spans="2:6" x14ac:dyDescent="0.2">
      <c r="B870" t="str">
        <f>IFERROR(IF('PDCA review'!$D$2='Check'!B870,'Check'!G870,""),"")</f>
        <v/>
      </c>
      <c r="C870">
        <f t="shared" si="39"/>
        <v>0</v>
      </c>
      <c r="D870">
        <f>SUM($C$3:C870)</f>
        <v>4</v>
      </c>
      <c r="E870" t="e">
        <f t="shared" si="40"/>
        <v>#N/A</v>
      </c>
      <c r="F870" s="28" t="str">
        <f t="shared" ca="1" si="41"/>
        <v/>
      </c>
    </row>
    <row r="871" spans="2:6" x14ac:dyDescent="0.2">
      <c r="B871" t="str">
        <f>IFERROR(IF('PDCA review'!$D$2='Check'!B871,'Check'!G871,""),"")</f>
        <v/>
      </c>
      <c r="C871">
        <f t="shared" si="39"/>
        <v>0</v>
      </c>
      <c r="D871">
        <f>SUM($C$3:C871)</f>
        <v>4</v>
      </c>
      <c r="E871" t="e">
        <f t="shared" si="40"/>
        <v>#N/A</v>
      </c>
      <c r="F871" s="28" t="str">
        <f t="shared" ca="1" si="41"/>
        <v/>
      </c>
    </row>
    <row r="872" spans="2:6" x14ac:dyDescent="0.2">
      <c r="B872" t="str">
        <f>IFERROR(IF('PDCA review'!$D$2='Check'!B872,'Check'!G872,""),"")</f>
        <v/>
      </c>
      <c r="C872">
        <f t="shared" si="39"/>
        <v>0</v>
      </c>
      <c r="D872">
        <f>SUM($C$3:C872)</f>
        <v>4</v>
      </c>
      <c r="E872" t="e">
        <f t="shared" si="40"/>
        <v>#N/A</v>
      </c>
      <c r="F872" s="28" t="str">
        <f t="shared" ca="1" si="41"/>
        <v/>
      </c>
    </row>
    <row r="873" spans="2:6" x14ac:dyDescent="0.2">
      <c r="B873" t="str">
        <f>IFERROR(IF('PDCA review'!$D$2='Check'!B873,'Check'!G873,""),"")</f>
        <v/>
      </c>
      <c r="C873">
        <f t="shared" si="39"/>
        <v>0</v>
      </c>
      <c r="D873">
        <f>SUM($C$3:C873)</f>
        <v>4</v>
      </c>
      <c r="E873" t="e">
        <f t="shared" si="40"/>
        <v>#N/A</v>
      </c>
      <c r="F873" s="28" t="str">
        <f t="shared" ca="1" si="41"/>
        <v/>
      </c>
    </row>
    <row r="874" spans="2:6" x14ac:dyDescent="0.2">
      <c r="B874" t="str">
        <f>IFERROR(IF('PDCA review'!$D$2='Check'!B874,'Check'!G874,""),"")</f>
        <v/>
      </c>
      <c r="C874">
        <f t="shared" si="39"/>
        <v>0</v>
      </c>
      <c r="D874">
        <f>SUM($C$3:C874)</f>
        <v>4</v>
      </c>
      <c r="E874" t="e">
        <f t="shared" si="40"/>
        <v>#N/A</v>
      </c>
      <c r="F874" s="28" t="str">
        <f t="shared" ca="1" si="41"/>
        <v/>
      </c>
    </row>
    <row r="875" spans="2:6" x14ac:dyDescent="0.2">
      <c r="B875" t="str">
        <f>IFERROR(IF('PDCA review'!$D$2='Check'!B875,'Check'!G875,""),"")</f>
        <v/>
      </c>
      <c r="C875">
        <f t="shared" si="39"/>
        <v>0</v>
      </c>
      <c r="D875">
        <f>SUM($C$3:C875)</f>
        <v>4</v>
      </c>
      <c r="E875" t="e">
        <f t="shared" si="40"/>
        <v>#N/A</v>
      </c>
      <c r="F875" s="28" t="str">
        <f t="shared" ca="1" si="41"/>
        <v/>
      </c>
    </row>
    <row r="876" spans="2:6" x14ac:dyDescent="0.2">
      <c r="B876" t="str">
        <f>IFERROR(IF('PDCA review'!$D$2='Check'!B876,'Check'!G876,""),"")</f>
        <v/>
      </c>
      <c r="C876">
        <f t="shared" si="39"/>
        <v>0</v>
      </c>
      <c r="D876">
        <f>SUM($C$3:C876)</f>
        <v>4</v>
      </c>
      <c r="E876" t="e">
        <f t="shared" si="40"/>
        <v>#N/A</v>
      </c>
      <c r="F876" s="28" t="str">
        <f t="shared" ca="1" si="41"/>
        <v/>
      </c>
    </row>
    <row r="877" spans="2:6" x14ac:dyDescent="0.2">
      <c r="B877" t="str">
        <f>IFERROR(IF('PDCA review'!$D$2='Check'!B877,'Check'!G877,""),"")</f>
        <v/>
      </c>
      <c r="C877">
        <f t="shared" si="39"/>
        <v>0</v>
      </c>
      <c r="D877">
        <f>SUM($C$3:C877)</f>
        <v>4</v>
      </c>
      <c r="E877" t="e">
        <f t="shared" si="40"/>
        <v>#N/A</v>
      </c>
      <c r="F877" s="28" t="str">
        <f t="shared" ca="1" si="41"/>
        <v/>
      </c>
    </row>
    <row r="878" spans="2:6" x14ac:dyDescent="0.2">
      <c r="B878" t="str">
        <f>IFERROR(IF('PDCA review'!$D$2='Check'!B878,'Check'!G878,""),"")</f>
        <v/>
      </c>
      <c r="C878">
        <f t="shared" si="39"/>
        <v>0</v>
      </c>
      <c r="D878">
        <f>SUM($C$3:C878)</f>
        <v>4</v>
      </c>
      <c r="E878" t="e">
        <f t="shared" si="40"/>
        <v>#N/A</v>
      </c>
      <c r="F878" s="28" t="str">
        <f t="shared" ca="1" si="41"/>
        <v/>
      </c>
    </row>
    <row r="879" spans="2:6" x14ac:dyDescent="0.2">
      <c r="B879" t="str">
        <f>IFERROR(IF('PDCA review'!$D$2='Check'!B879,'Check'!G879,""),"")</f>
        <v/>
      </c>
      <c r="C879">
        <f t="shared" si="39"/>
        <v>0</v>
      </c>
      <c r="D879">
        <f>SUM($C$3:C879)</f>
        <v>4</v>
      </c>
      <c r="E879" t="e">
        <f t="shared" si="40"/>
        <v>#N/A</v>
      </c>
      <c r="F879" s="28" t="str">
        <f t="shared" ca="1" si="41"/>
        <v/>
      </c>
    </row>
    <row r="880" spans="2:6" x14ac:dyDescent="0.2">
      <c r="B880" t="str">
        <f>IFERROR(IF('PDCA review'!$D$2='Check'!B880,'Check'!G880,""),"")</f>
        <v/>
      </c>
      <c r="C880">
        <f t="shared" si="39"/>
        <v>0</v>
      </c>
      <c r="D880">
        <f>SUM($C$3:C880)</f>
        <v>4</v>
      </c>
      <c r="E880" t="e">
        <f t="shared" si="40"/>
        <v>#N/A</v>
      </c>
      <c r="F880" s="28" t="str">
        <f t="shared" ca="1" si="41"/>
        <v/>
      </c>
    </row>
    <row r="881" spans="2:6" x14ac:dyDescent="0.2">
      <c r="B881" t="str">
        <f>IFERROR(IF('PDCA review'!$D$2='Check'!B881,'Check'!G881,""),"")</f>
        <v/>
      </c>
      <c r="C881">
        <f t="shared" si="39"/>
        <v>0</v>
      </c>
      <c r="D881">
        <f>SUM($C$3:C881)</f>
        <v>4</v>
      </c>
      <c r="E881" t="e">
        <f t="shared" si="40"/>
        <v>#N/A</v>
      </c>
      <c r="F881" s="28" t="str">
        <f t="shared" ca="1" si="41"/>
        <v/>
      </c>
    </row>
    <row r="882" spans="2:6" x14ac:dyDescent="0.2">
      <c r="B882" t="str">
        <f>IFERROR(IF('PDCA review'!$D$2='Check'!B882,'Check'!G882,""),"")</f>
        <v/>
      </c>
      <c r="C882">
        <f t="shared" si="39"/>
        <v>0</v>
      </c>
      <c r="D882">
        <f>SUM($C$3:C882)</f>
        <v>4</v>
      </c>
      <c r="E882" t="e">
        <f t="shared" si="40"/>
        <v>#N/A</v>
      </c>
      <c r="F882" s="28" t="str">
        <f t="shared" ca="1" si="41"/>
        <v/>
      </c>
    </row>
    <row r="883" spans="2:6" x14ac:dyDescent="0.2">
      <c r="B883" t="str">
        <f>IFERROR(IF('PDCA review'!$D$2='Check'!B883,'Check'!G883,""),"")</f>
        <v/>
      </c>
      <c r="C883">
        <f t="shared" si="39"/>
        <v>0</v>
      </c>
      <c r="D883">
        <f>SUM($C$3:C883)</f>
        <v>4</v>
      </c>
      <c r="E883" t="e">
        <f t="shared" si="40"/>
        <v>#N/A</v>
      </c>
      <c r="F883" s="28" t="str">
        <f t="shared" ca="1" si="41"/>
        <v/>
      </c>
    </row>
    <row r="884" spans="2:6" x14ac:dyDescent="0.2">
      <c r="B884" t="str">
        <f>IFERROR(IF('PDCA review'!$D$2='Check'!B884,'Check'!G884,""),"")</f>
        <v/>
      </c>
      <c r="C884">
        <f t="shared" si="39"/>
        <v>0</v>
      </c>
      <c r="D884">
        <f>SUM($C$3:C884)</f>
        <v>4</v>
      </c>
      <c r="E884" t="e">
        <f t="shared" si="40"/>
        <v>#N/A</v>
      </c>
      <c r="F884" s="28" t="str">
        <f t="shared" ca="1" si="41"/>
        <v/>
      </c>
    </row>
    <row r="885" spans="2:6" x14ac:dyDescent="0.2">
      <c r="B885" t="str">
        <f>IFERROR(IF('PDCA review'!$D$2='Check'!B885,'Check'!G885,""),"")</f>
        <v/>
      </c>
      <c r="C885">
        <f t="shared" si="39"/>
        <v>0</v>
      </c>
      <c r="D885">
        <f>SUM($C$3:C885)</f>
        <v>4</v>
      </c>
      <c r="E885" t="e">
        <f t="shared" si="40"/>
        <v>#N/A</v>
      </c>
      <c r="F885" s="28" t="str">
        <f t="shared" ca="1" si="41"/>
        <v/>
      </c>
    </row>
    <row r="886" spans="2:6" x14ac:dyDescent="0.2">
      <c r="B886" t="str">
        <f>IFERROR(IF('PDCA review'!$D$2='Check'!B886,'Check'!G886,""),"")</f>
        <v/>
      </c>
      <c r="C886">
        <f t="shared" si="39"/>
        <v>0</v>
      </c>
      <c r="D886">
        <f>SUM($C$3:C886)</f>
        <v>4</v>
      </c>
      <c r="E886" t="e">
        <f t="shared" si="40"/>
        <v>#N/A</v>
      </c>
      <c r="F886" s="28" t="str">
        <f t="shared" ca="1" si="41"/>
        <v/>
      </c>
    </row>
    <row r="887" spans="2:6" x14ac:dyDescent="0.2">
      <c r="B887" t="str">
        <f>IFERROR(IF('PDCA review'!$D$2='Check'!B887,'Check'!G887,""),"")</f>
        <v/>
      </c>
      <c r="C887">
        <f t="shared" si="39"/>
        <v>0</v>
      </c>
      <c r="D887">
        <f>SUM($C$3:C887)</f>
        <v>4</v>
      </c>
      <c r="E887" t="e">
        <f t="shared" si="40"/>
        <v>#N/A</v>
      </c>
      <c r="F887" s="28" t="str">
        <f t="shared" ca="1" si="41"/>
        <v/>
      </c>
    </row>
    <row r="888" spans="2:6" x14ac:dyDescent="0.2">
      <c r="B888" t="str">
        <f>IFERROR(IF('PDCA review'!$D$2='Check'!B888,'Check'!G888,""),"")</f>
        <v/>
      </c>
      <c r="C888">
        <f t="shared" si="39"/>
        <v>0</v>
      </c>
      <c r="D888">
        <f>SUM($C$3:C888)</f>
        <v>4</v>
      </c>
      <c r="E888" t="e">
        <f t="shared" si="40"/>
        <v>#N/A</v>
      </c>
      <c r="F888" s="28" t="str">
        <f t="shared" ca="1" si="41"/>
        <v/>
      </c>
    </row>
    <row r="889" spans="2:6" x14ac:dyDescent="0.2">
      <c r="B889" t="str">
        <f>IFERROR(IF('PDCA review'!$D$2='Check'!B889,'Check'!G889,""),"")</f>
        <v/>
      </c>
      <c r="C889">
        <f t="shared" si="39"/>
        <v>0</v>
      </c>
      <c r="D889">
        <f>SUM($C$3:C889)</f>
        <v>4</v>
      </c>
      <c r="E889" t="e">
        <f t="shared" si="40"/>
        <v>#N/A</v>
      </c>
      <c r="F889" s="28" t="str">
        <f t="shared" ca="1" si="41"/>
        <v/>
      </c>
    </row>
    <row r="890" spans="2:6" x14ac:dyDescent="0.2">
      <c r="B890" t="str">
        <f>IFERROR(IF('PDCA review'!$D$2='Check'!B890,'Check'!G890,""),"")</f>
        <v/>
      </c>
      <c r="C890">
        <f t="shared" si="39"/>
        <v>0</v>
      </c>
      <c r="D890">
        <f>SUM($C$3:C890)</f>
        <v>4</v>
      </c>
      <c r="E890" t="e">
        <f t="shared" si="40"/>
        <v>#N/A</v>
      </c>
      <c r="F890" s="28" t="str">
        <f t="shared" ca="1" si="41"/>
        <v/>
      </c>
    </row>
    <row r="891" spans="2:6" x14ac:dyDescent="0.2">
      <c r="B891" t="str">
        <f>IFERROR(IF('PDCA review'!$D$2='Check'!B891,'Check'!G891,""),"")</f>
        <v/>
      </c>
      <c r="C891">
        <f t="shared" si="39"/>
        <v>0</v>
      </c>
      <c r="D891">
        <f>SUM($C$3:C891)</f>
        <v>4</v>
      </c>
      <c r="E891" t="e">
        <f t="shared" si="40"/>
        <v>#N/A</v>
      </c>
      <c r="F891" s="28" t="str">
        <f t="shared" ca="1" si="41"/>
        <v/>
      </c>
    </row>
    <row r="892" spans="2:6" x14ac:dyDescent="0.2">
      <c r="B892" t="str">
        <f>IFERROR(IF('PDCA review'!$D$2='Check'!B892,'Check'!G892,""),"")</f>
        <v/>
      </c>
      <c r="C892">
        <f t="shared" si="39"/>
        <v>0</v>
      </c>
      <c r="D892">
        <f>SUM($C$3:C892)</f>
        <v>4</v>
      </c>
      <c r="E892" t="e">
        <f t="shared" si="40"/>
        <v>#N/A</v>
      </c>
      <c r="F892" s="28" t="str">
        <f t="shared" ca="1" si="41"/>
        <v/>
      </c>
    </row>
    <row r="893" spans="2:6" x14ac:dyDescent="0.2">
      <c r="B893" t="str">
        <f>IFERROR(IF('PDCA review'!$D$2='Check'!B893,'Check'!G893,""),"")</f>
        <v/>
      </c>
      <c r="C893">
        <f t="shared" si="39"/>
        <v>0</v>
      </c>
      <c r="D893">
        <f>SUM($C$3:C893)</f>
        <v>4</v>
      </c>
      <c r="E893" t="e">
        <f t="shared" si="40"/>
        <v>#N/A</v>
      </c>
      <c r="F893" s="28" t="str">
        <f t="shared" ca="1" si="41"/>
        <v/>
      </c>
    </row>
    <row r="894" spans="2:6" x14ac:dyDescent="0.2">
      <c r="B894" t="str">
        <f>IFERROR(IF('PDCA review'!$D$2='Check'!B894,'Check'!G894,""),"")</f>
        <v/>
      </c>
      <c r="C894">
        <f t="shared" si="39"/>
        <v>0</v>
      </c>
      <c r="D894">
        <f>SUM($C$3:C894)</f>
        <v>4</v>
      </c>
      <c r="E894" t="e">
        <f t="shared" si="40"/>
        <v>#N/A</v>
      </c>
      <c r="F894" s="28" t="str">
        <f t="shared" ca="1" si="41"/>
        <v/>
      </c>
    </row>
    <row r="895" spans="2:6" x14ac:dyDescent="0.2">
      <c r="B895" t="str">
        <f>IFERROR(IF('PDCA review'!$D$2='Check'!B895,'Check'!G895,""),"")</f>
        <v/>
      </c>
      <c r="C895">
        <f t="shared" si="39"/>
        <v>0</v>
      </c>
      <c r="D895">
        <f>SUM($C$3:C895)</f>
        <v>4</v>
      </c>
      <c r="E895" t="e">
        <f t="shared" si="40"/>
        <v>#N/A</v>
      </c>
      <c r="F895" s="28" t="str">
        <f t="shared" ca="1" si="41"/>
        <v/>
      </c>
    </row>
    <row r="896" spans="2:6" x14ac:dyDescent="0.2">
      <c r="B896" t="str">
        <f>IFERROR(IF('PDCA review'!$D$2='Check'!B896,'Check'!G896,""),"")</f>
        <v/>
      </c>
      <c r="C896">
        <f t="shared" si="39"/>
        <v>0</v>
      </c>
      <c r="D896">
        <f>SUM($C$3:C896)</f>
        <v>4</v>
      </c>
      <c r="E896" t="e">
        <f t="shared" si="40"/>
        <v>#N/A</v>
      </c>
      <c r="F896" s="28" t="str">
        <f t="shared" ca="1" si="41"/>
        <v/>
      </c>
    </row>
    <row r="897" spans="2:6" x14ac:dyDescent="0.2">
      <c r="B897" t="str">
        <f>IFERROR(IF('PDCA review'!$D$2='Check'!B897,'Check'!G897,""),"")</f>
        <v/>
      </c>
      <c r="C897">
        <f t="shared" si="39"/>
        <v>0</v>
      </c>
      <c r="D897">
        <f>SUM($C$3:C897)</f>
        <v>4</v>
      </c>
      <c r="E897" t="e">
        <f t="shared" si="40"/>
        <v>#N/A</v>
      </c>
      <c r="F897" s="28" t="str">
        <f t="shared" ca="1" si="41"/>
        <v/>
      </c>
    </row>
    <row r="898" spans="2:6" x14ac:dyDescent="0.2">
      <c r="B898" t="str">
        <f>IFERROR(IF('PDCA review'!$D$2='Check'!B898,'Check'!G898,""),"")</f>
        <v/>
      </c>
      <c r="C898">
        <f t="shared" si="39"/>
        <v>0</v>
      </c>
      <c r="D898">
        <f>SUM($C$3:C898)</f>
        <v>4</v>
      </c>
      <c r="E898" t="e">
        <f t="shared" si="40"/>
        <v>#N/A</v>
      </c>
      <c r="F898" s="28" t="str">
        <f t="shared" ca="1" si="41"/>
        <v/>
      </c>
    </row>
    <row r="899" spans="2:6" x14ac:dyDescent="0.2">
      <c r="B899" t="str">
        <f>IFERROR(IF('PDCA review'!$D$2='Check'!B899,'Check'!G899,""),"")</f>
        <v/>
      </c>
      <c r="C899">
        <f t="shared" si="39"/>
        <v>0</v>
      </c>
      <c r="D899">
        <f>SUM($C$3:C899)</f>
        <v>4</v>
      </c>
      <c r="E899" t="e">
        <f t="shared" si="40"/>
        <v>#N/A</v>
      </c>
      <c r="F899" s="28" t="str">
        <f t="shared" ca="1" si="41"/>
        <v/>
      </c>
    </row>
    <row r="900" spans="2:6" x14ac:dyDescent="0.2">
      <c r="B900" t="str">
        <f>IFERROR(IF('PDCA review'!$D$2='Check'!B900,'Check'!G900,""),"")</f>
        <v/>
      </c>
      <c r="C900">
        <f t="shared" ref="C900:C963" si="42">IF(B900&lt;&gt;"",1,0)</f>
        <v>0</v>
      </c>
      <c r="D900">
        <f>SUM($C$3:C900)</f>
        <v>4</v>
      </c>
      <c r="E900" t="e">
        <f t="shared" ref="E900:E963" si="43">MATCH(ROW()-$D$2,$D$3:$D$2000,0)+$D$2</f>
        <v>#N/A</v>
      </c>
      <c r="F900" s="28" t="str">
        <f t="shared" ref="F900:F963" ca="1" si="44">IFERROR(INDIRECT("B"&amp;E900),"")</f>
        <v/>
      </c>
    </row>
    <row r="901" spans="2:6" x14ac:dyDescent="0.2">
      <c r="B901" t="str">
        <f>IFERROR(IF('PDCA review'!$D$2='Check'!B901,'Check'!G901,""),"")</f>
        <v/>
      </c>
      <c r="C901">
        <f t="shared" si="42"/>
        <v>0</v>
      </c>
      <c r="D901">
        <f>SUM($C$3:C901)</f>
        <v>4</v>
      </c>
      <c r="E901" t="e">
        <f t="shared" si="43"/>
        <v>#N/A</v>
      </c>
      <c r="F901" s="28" t="str">
        <f t="shared" ca="1" si="44"/>
        <v/>
      </c>
    </row>
    <row r="902" spans="2:6" x14ac:dyDescent="0.2">
      <c r="B902" t="str">
        <f>IFERROR(IF('PDCA review'!$D$2='Check'!B902,'Check'!G902,""),"")</f>
        <v/>
      </c>
      <c r="C902">
        <f t="shared" si="42"/>
        <v>0</v>
      </c>
      <c r="D902">
        <f>SUM($C$3:C902)</f>
        <v>4</v>
      </c>
      <c r="E902" t="e">
        <f t="shared" si="43"/>
        <v>#N/A</v>
      </c>
      <c r="F902" s="28" t="str">
        <f t="shared" ca="1" si="44"/>
        <v/>
      </c>
    </row>
    <row r="903" spans="2:6" x14ac:dyDescent="0.2">
      <c r="B903" t="str">
        <f>IFERROR(IF('PDCA review'!$D$2='Check'!B903,'Check'!G903,""),"")</f>
        <v/>
      </c>
      <c r="C903">
        <f t="shared" si="42"/>
        <v>0</v>
      </c>
      <c r="D903">
        <f>SUM($C$3:C903)</f>
        <v>4</v>
      </c>
      <c r="E903" t="e">
        <f t="shared" si="43"/>
        <v>#N/A</v>
      </c>
      <c r="F903" s="28" t="str">
        <f t="shared" ca="1" si="44"/>
        <v/>
      </c>
    </row>
    <row r="904" spans="2:6" x14ac:dyDescent="0.2">
      <c r="B904" t="str">
        <f>IFERROR(IF('PDCA review'!$D$2='Check'!B904,'Check'!G904,""),"")</f>
        <v/>
      </c>
      <c r="C904">
        <f t="shared" si="42"/>
        <v>0</v>
      </c>
      <c r="D904">
        <f>SUM($C$3:C904)</f>
        <v>4</v>
      </c>
      <c r="E904" t="e">
        <f t="shared" si="43"/>
        <v>#N/A</v>
      </c>
      <c r="F904" s="28" t="str">
        <f t="shared" ca="1" si="44"/>
        <v/>
      </c>
    </row>
    <row r="905" spans="2:6" x14ac:dyDescent="0.2">
      <c r="B905" t="str">
        <f>IFERROR(IF('PDCA review'!$D$2='Check'!B905,'Check'!G905,""),"")</f>
        <v/>
      </c>
      <c r="C905">
        <f t="shared" si="42"/>
        <v>0</v>
      </c>
      <c r="D905">
        <f>SUM($C$3:C905)</f>
        <v>4</v>
      </c>
      <c r="E905" t="e">
        <f t="shared" si="43"/>
        <v>#N/A</v>
      </c>
      <c r="F905" s="28" t="str">
        <f t="shared" ca="1" si="44"/>
        <v/>
      </c>
    </row>
    <row r="906" spans="2:6" x14ac:dyDescent="0.2">
      <c r="B906" t="str">
        <f>IFERROR(IF('PDCA review'!$D$2='Check'!B906,'Check'!G906,""),"")</f>
        <v/>
      </c>
      <c r="C906">
        <f t="shared" si="42"/>
        <v>0</v>
      </c>
      <c r="D906">
        <f>SUM($C$3:C906)</f>
        <v>4</v>
      </c>
      <c r="E906" t="e">
        <f t="shared" si="43"/>
        <v>#N/A</v>
      </c>
      <c r="F906" s="28" t="str">
        <f t="shared" ca="1" si="44"/>
        <v/>
      </c>
    </row>
    <row r="907" spans="2:6" x14ac:dyDescent="0.2">
      <c r="B907" t="str">
        <f>IFERROR(IF('PDCA review'!$D$2='Check'!B907,'Check'!G907,""),"")</f>
        <v/>
      </c>
      <c r="C907">
        <f t="shared" si="42"/>
        <v>0</v>
      </c>
      <c r="D907">
        <f>SUM($C$3:C907)</f>
        <v>4</v>
      </c>
      <c r="E907" t="e">
        <f t="shared" si="43"/>
        <v>#N/A</v>
      </c>
      <c r="F907" s="28" t="str">
        <f t="shared" ca="1" si="44"/>
        <v/>
      </c>
    </row>
    <row r="908" spans="2:6" x14ac:dyDescent="0.2">
      <c r="B908" t="str">
        <f>IFERROR(IF('PDCA review'!$D$2='Check'!B908,'Check'!G908,""),"")</f>
        <v/>
      </c>
      <c r="C908">
        <f t="shared" si="42"/>
        <v>0</v>
      </c>
      <c r="D908">
        <f>SUM($C$3:C908)</f>
        <v>4</v>
      </c>
      <c r="E908" t="e">
        <f t="shared" si="43"/>
        <v>#N/A</v>
      </c>
      <c r="F908" s="28" t="str">
        <f t="shared" ca="1" si="44"/>
        <v/>
      </c>
    </row>
    <row r="909" spans="2:6" x14ac:dyDescent="0.2">
      <c r="B909" t="str">
        <f>IFERROR(IF('PDCA review'!$D$2='Check'!B909,'Check'!G909,""),"")</f>
        <v/>
      </c>
      <c r="C909">
        <f t="shared" si="42"/>
        <v>0</v>
      </c>
      <c r="D909">
        <f>SUM($C$3:C909)</f>
        <v>4</v>
      </c>
      <c r="E909" t="e">
        <f t="shared" si="43"/>
        <v>#N/A</v>
      </c>
      <c r="F909" s="28" t="str">
        <f t="shared" ca="1" si="44"/>
        <v/>
      </c>
    </row>
    <row r="910" spans="2:6" x14ac:dyDescent="0.2">
      <c r="B910" t="str">
        <f>IFERROR(IF('PDCA review'!$D$2='Check'!B910,'Check'!G910,""),"")</f>
        <v/>
      </c>
      <c r="C910">
        <f t="shared" si="42"/>
        <v>0</v>
      </c>
      <c r="D910">
        <f>SUM($C$3:C910)</f>
        <v>4</v>
      </c>
      <c r="E910" t="e">
        <f t="shared" si="43"/>
        <v>#N/A</v>
      </c>
      <c r="F910" s="28" t="str">
        <f t="shared" ca="1" si="44"/>
        <v/>
      </c>
    </row>
    <row r="911" spans="2:6" x14ac:dyDescent="0.2">
      <c r="B911" t="str">
        <f>IFERROR(IF('PDCA review'!$D$2='Check'!B911,'Check'!G911,""),"")</f>
        <v/>
      </c>
      <c r="C911">
        <f t="shared" si="42"/>
        <v>0</v>
      </c>
      <c r="D911">
        <f>SUM($C$3:C911)</f>
        <v>4</v>
      </c>
      <c r="E911" t="e">
        <f t="shared" si="43"/>
        <v>#N/A</v>
      </c>
      <c r="F911" s="28" t="str">
        <f t="shared" ca="1" si="44"/>
        <v/>
      </c>
    </row>
    <row r="912" spans="2:6" x14ac:dyDescent="0.2">
      <c r="B912" t="str">
        <f>IFERROR(IF('PDCA review'!$D$2='Check'!B912,'Check'!G912,""),"")</f>
        <v/>
      </c>
      <c r="C912">
        <f t="shared" si="42"/>
        <v>0</v>
      </c>
      <c r="D912">
        <f>SUM($C$3:C912)</f>
        <v>4</v>
      </c>
      <c r="E912" t="e">
        <f t="shared" si="43"/>
        <v>#N/A</v>
      </c>
      <c r="F912" s="28" t="str">
        <f t="shared" ca="1" si="44"/>
        <v/>
      </c>
    </row>
    <row r="913" spans="2:6" x14ac:dyDescent="0.2">
      <c r="B913" t="str">
        <f>IFERROR(IF('PDCA review'!$D$2='Check'!B913,'Check'!G913,""),"")</f>
        <v/>
      </c>
      <c r="C913">
        <f t="shared" si="42"/>
        <v>0</v>
      </c>
      <c r="D913">
        <f>SUM($C$3:C913)</f>
        <v>4</v>
      </c>
      <c r="E913" t="e">
        <f t="shared" si="43"/>
        <v>#N/A</v>
      </c>
      <c r="F913" s="28" t="str">
        <f t="shared" ca="1" si="44"/>
        <v/>
      </c>
    </row>
    <row r="914" spans="2:6" x14ac:dyDescent="0.2">
      <c r="B914" t="str">
        <f>IFERROR(IF('PDCA review'!$D$2='Check'!B914,'Check'!G914,""),"")</f>
        <v/>
      </c>
      <c r="C914">
        <f t="shared" si="42"/>
        <v>0</v>
      </c>
      <c r="D914">
        <f>SUM($C$3:C914)</f>
        <v>4</v>
      </c>
      <c r="E914" t="e">
        <f t="shared" si="43"/>
        <v>#N/A</v>
      </c>
      <c r="F914" s="28" t="str">
        <f t="shared" ca="1" si="44"/>
        <v/>
      </c>
    </row>
    <row r="915" spans="2:6" x14ac:dyDescent="0.2">
      <c r="B915" t="str">
        <f>IFERROR(IF('PDCA review'!$D$2='Check'!B915,'Check'!G915,""),"")</f>
        <v/>
      </c>
      <c r="C915">
        <f t="shared" si="42"/>
        <v>0</v>
      </c>
      <c r="D915">
        <f>SUM($C$3:C915)</f>
        <v>4</v>
      </c>
      <c r="E915" t="e">
        <f t="shared" si="43"/>
        <v>#N/A</v>
      </c>
      <c r="F915" s="28" t="str">
        <f t="shared" ca="1" si="44"/>
        <v/>
      </c>
    </row>
    <row r="916" spans="2:6" x14ac:dyDescent="0.2">
      <c r="B916" t="str">
        <f>IFERROR(IF('PDCA review'!$D$2='Check'!B916,'Check'!G916,""),"")</f>
        <v/>
      </c>
      <c r="C916">
        <f t="shared" si="42"/>
        <v>0</v>
      </c>
      <c r="D916">
        <f>SUM($C$3:C916)</f>
        <v>4</v>
      </c>
      <c r="E916" t="e">
        <f t="shared" si="43"/>
        <v>#N/A</v>
      </c>
      <c r="F916" s="28" t="str">
        <f t="shared" ca="1" si="44"/>
        <v/>
      </c>
    </row>
    <row r="917" spans="2:6" x14ac:dyDescent="0.2">
      <c r="B917" t="str">
        <f>IFERROR(IF('PDCA review'!$D$2='Check'!B917,'Check'!G917,""),"")</f>
        <v/>
      </c>
      <c r="C917">
        <f t="shared" si="42"/>
        <v>0</v>
      </c>
      <c r="D917">
        <f>SUM($C$3:C917)</f>
        <v>4</v>
      </c>
      <c r="E917" t="e">
        <f t="shared" si="43"/>
        <v>#N/A</v>
      </c>
      <c r="F917" s="28" t="str">
        <f t="shared" ca="1" si="44"/>
        <v/>
      </c>
    </row>
    <row r="918" spans="2:6" x14ac:dyDescent="0.2">
      <c r="B918" t="str">
        <f>IFERROR(IF('PDCA review'!$D$2='Check'!B918,'Check'!G918,""),"")</f>
        <v/>
      </c>
      <c r="C918">
        <f t="shared" si="42"/>
        <v>0</v>
      </c>
      <c r="D918">
        <f>SUM($C$3:C918)</f>
        <v>4</v>
      </c>
      <c r="E918" t="e">
        <f t="shared" si="43"/>
        <v>#N/A</v>
      </c>
      <c r="F918" s="28" t="str">
        <f t="shared" ca="1" si="44"/>
        <v/>
      </c>
    </row>
    <row r="919" spans="2:6" x14ac:dyDescent="0.2">
      <c r="B919" t="str">
        <f>IFERROR(IF('PDCA review'!$D$2='Check'!B919,'Check'!G919,""),"")</f>
        <v/>
      </c>
      <c r="C919">
        <f t="shared" si="42"/>
        <v>0</v>
      </c>
      <c r="D919">
        <f>SUM($C$3:C919)</f>
        <v>4</v>
      </c>
      <c r="E919" t="e">
        <f t="shared" si="43"/>
        <v>#N/A</v>
      </c>
      <c r="F919" s="28" t="str">
        <f t="shared" ca="1" si="44"/>
        <v/>
      </c>
    </row>
    <row r="920" spans="2:6" x14ac:dyDescent="0.2">
      <c r="B920" t="str">
        <f>IFERROR(IF('PDCA review'!$D$2='Check'!B920,'Check'!G920,""),"")</f>
        <v/>
      </c>
      <c r="C920">
        <f t="shared" si="42"/>
        <v>0</v>
      </c>
      <c r="D920">
        <f>SUM($C$3:C920)</f>
        <v>4</v>
      </c>
      <c r="E920" t="e">
        <f t="shared" si="43"/>
        <v>#N/A</v>
      </c>
      <c r="F920" s="28" t="str">
        <f t="shared" ca="1" si="44"/>
        <v/>
      </c>
    </row>
    <row r="921" spans="2:6" x14ac:dyDescent="0.2">
      <c r="B921" t="str">
        <f>IFERROR(IF('PDCA review'!$D$2='Check'!B921,'Check'!G921,""),"")</f>
        <v/>
      </c>
      <c r="C921">
        <f t="shared" si="42"/>
        <v>0</v>
      </c>
      <c r="D921">
        <f>SUM($C$3:C921)</f>
        <v>4</v>
      </c>
      <c r="E921" t="e">
        <f t="shared" si="43"/>
        <v>#N/A</v>
      </c>
      <c r="F921" s="28" t="str">
        <f t="shared" ca="1" si="44"/>
        <v/>
      </c>
    </row>
    <row r="922" spans="2:6" x14ac:dyDescent="0.2">
      <c r="B922" t="str">
        <f>IFERROR(IF('PDCA review'!$D$2='Check'!B922,'Check'!G922,""),"")</f>
        <v/>
      </c>
      <c r="C922">
        <f t="shared" si="42"/>
        <v>0</v>
      </c>
      <c r="D922">
        <f>SUM($C$3:C922)</f>
        <v>4</v>
      </c>
      <c r="E922" t="e">
        <f t="shared" si="43"/>
        <v>#N/A</v>
      </c>
      <c r="F922" s="28" t="str">
        <f t="shared" ca="1" si="44"/>
        <v/>
      </c>
    </row>
    <row r="923" spans="2:6" x14ac:dyDescent="0.2">
      <c r="B923" t="str">
        <f>IFERROR(IF('PDCA review'!$D$2='Check'!B923,'Check'!G923,""),"")</f>
        <v/>
      </c>
      <c r="C923">
        <f t="shared" si="42"/>
        <v>0</v>
      </c>
      <c r="D923">
        <f>SUM($C$3:C923)</f>
        <v>4</v>
      </c>
      <c r="E923" t="e">
        <f t="shared" si="43"/>
        <v>#N/A</v>
      </c>
      <c r="F923" s="28" t="str">
        <f t="shared" ca="1" si="44"/>
        <v/>
      </c>
    </row>
    <row r="924" spans="2:6" x14ac:dyDescent="0.2">
      <c r="B924" t="str">
        <f>IFERROR(IF('PDCA review'!$D$2='Check'!B924,'Check'!G924,""),"")</f>
        <v/>
      </c>
      <c r="C924">
        <f t="shared" si="42"/>
        <v>0</v>
      </c>
      <c r="D924">
        <f>SUM($C$3:C924)</f>
        <v>4</v>
      </c>
      <c r="E924" t="e">
        <f t="shared" si="43"/>
        <v>#N/A</v>
      </c>
      <c r="F924" s="28" t="str">
        <f t="shared" ca="1" si="44"/>
        <v/>
      </c>
    </row>
    <row r="925" spans="2:6" x14ac:dyDescent="0.2">
      <c r="B925" t="str">
        <f>IFERROR(IF('PDCA review'!$D$2='Check'!B925,'Check'!G925,""),"")</f>
        <v/>
      </c>
      <c r="C925">
        <f t="shared" si="42"/>
        <v>0</v>
      </c>
      <c r="D925">
        <f>SUM($C$3:C925)</f>
        <v>4</v>
      </c>
      <c r="E925" t="e">
        <f t="shared" si="43"/>
        <v>#N/A</v>
      </c>
      <c r="F925" s="28" t="str">
        <f t="shared" ca="1" si="44"/>
        <v/>
      </c>
    </row>
    <row r="926" spans="2:6" x14ac:dyDescent="0.2">
      <c r="B926" t="str">
        <f>IFERROR(IF('PDCA review'!$D$2='Check'!B926,'Check'!G926,""),"")</f>
        <v/>
      </c>
      <c r="C926">
        <f t="shared" si="42"/>
        <v>0</v>
      </c>
      <c r="D926">
        <f>SUM($C$3:C926)</f>
        <v>4</v>
      </c>
      <c r="E926" t="e">
        <f t="shared" si="43"/>
        <v>#N/A</v>
      </c>
      <c r="F926" s="28" t="str">
        <f t="shared" ca="1" si="44"/>
        <v/>
      </c>
    </row>
    <row r="927" spans="2:6" x14ac:dyDescent="0.2">
      <c r="B927" t="str">
        <f>IFERROR(IF('PDCA review'!$D$2='Check'!B927,'Check'!G927,""),"")</f>
        <v/>
      </c>
      <c r="C927">
        <f t="shared" si="42"/>
        <v>0</v>
      </c>
      <c r="D927">
        <f>SUM($C$3:C927)</f>
        <v>4</v>
      </c>
      <c r="E927" t="e">
        <f t="shared" si="43"/>
        <v>#N/A</v>
      </c>
      <c r="F927" s="28" t="str">
        <f t="shared" ca="1" si="44"/>
        <v/>
      </c>
    </row>
    <row r="928" spans="2:6" x14ac:dyDescent="0.2">
      <c r="B928" t="str">
        <f>IFERROR(IF('PDCA review'!$D$2='Check'!B928,'Check'!G928,""),"")</f>
        <v/>
      </c>
      <c r="C928">
        <f t="shared" si="42"/>
        <v>0</v>
      </c>
      <c r="D928">
        <f>SUM($C$3:C928)</f>
        <v>4</v>
      </c>
      <c r="E928" t="e">
        <f t="shared" si="43"/>
        <v>#N/A</v>
      </c>
      <c r="F928" s="28" t="str">
        <f t="shared" ca="1" si="44"/>
        <v/>
      </c>
    </row>
    <row r="929" spans="2:6" x14ac:dyDescent="0.2">
      <c r="B929" t="str">
        <f>IFERROR(IF('PDCA review'!$D$2='Check'!B929,'Check'!G929,""),"")</f>
        <v/>
      </c>
      <c r="C929">
        <f t="shared" si="42"/>
        <v>0</v>
      </c>
      <c r="D929">
        <f>SUM($C$3:C929)</f>
        <v>4</v>
      </c>
      <c r="E929" t="e">
        <f t="shared" si="43"/>
        <v>#N/A</v>
      </c>
      <c r="F929" s="28" t="str">
        <f t="shared" ca="1" si="44"/>
        <v/>
      </c>
    </row>
    <row r="930" spans="2:6" x14ac:dyDescent="0.2">
      <c r="B930" t="str">
        <f>IFERROR(IF('PDCA review'!$D$2='Check'!B930,'Check'!G930,""),"")</f>
        <v/>
      </c>
      <c r="C930">
        <f t="shared" si="42"/>
        <v>0</v>
      </c>
      <c r="D930">
        <f>SUM($C$3:C930)</f>
        <v>4</v>
      </c>
      <c r="E930" t="e">
        <f t="shared" si="43"/>
        <v>#N/A</v>
      </c>
      <c r="F930" s="28" t="str">
        <f t="shared" ca="1" si="44"/>
        <v/>
      </c>
    </row>
    <row r="931" spans="2:6" x14ac:dyDescent="0.2">
      <c r="B931" t="str">
        <f>IFERROR(IF('PDCA review'!$D$2='Check'!B931,'Check'!G931,""),"")</f>
        <v/>
      </c>
      <c r="C931">
        <f t="shared" si="42"/>
        <v>0</v>
      </c>
      <c r="D931">
        <f>SUM($C$3:C931)</f>
        <v>4</v>
      </c>
      <c r="E931" t="e">
        <f t="shared" si="43"/>
        <v>#N/A</v>
      </c>
      <c r="F931" s="28" t="str">
        <f t="shared" ca="1" si="44"/>
        <v/>
      </c>
    </row>
    <row r="932" spans="2:6" x14ac:dyDescent="0.2">
      <c r="B932" t="str">
        <f>IFERROR(IF('PDCA review'!$D$2='Check'!B932,'Check'!G932,""),"")</f>
        <v/>
      </c>
      <c r="C932">
        <f t="shared" si="42"/>
        <v>0</v>
      </c>
      <c r="D932">
        <f>SUM($C$3:C932)</f>
        <v>4</v>
      </c>
      <c r="E932" t="e">
        <f t="shared" si="43"/>
        <v>#N/A</v>
      </c>
      <c r="F932" s="28" t="str">
        <f t="shared" ca="1" si="44"/>
        <v/>
      </c>
    </row>
    <row r="933" spans="2:6" x14ac:dyDescent="0.2">
      <c r="B933" t="str">
        <f>IFERROR(IF('PDCA review'!$D$2='Check'!B933,'Check'!G933,""),"")</f>
        <v/>
      </c>
      <c r="C933">
        <f t="shared" si="42"/>
        <v>0</v>
      </c>
      <c r="D933">
        <f>SUM($C$3:C933)</f>
        <v>4</v>
      </c>
      <c r="E933" t="e">
        <f t="shared" si="43"/>
        <v>#N/A</v>
      </c>
      <c r="F933" s="28" t="str">
        <f t="shared" ca="1" si="44"/>
        <v/>
      </c>
    </row>
    <row r="934" spans="2:6" x14ac:dyDescent="0.2">
      <c r="B934" t="str">
        <f>IFERROR(IF('PDCA review'!$D$2='Check'!B934,'Check'!G934,""),"")</f>
        <v/>
      </c>
      <c r="C934">
        <f t="shared" si="42"/>
        <v>0</v>
      </c>
      <c r="D934">
        <f>SUM($C$3:C934)</f>
        <v>4</v>
      </c>
      <c r="E934" t="e">
        <f t="shared" si="43"/>
        <v>#N/A</v>
      </c>
      <c r="F934" s="28" t="str">
        <f t="shared" ca="1" si="44"/>
        <v/>
      </c>
    </row>
    <row r="935" spans="2:6" x14ac:dyDescent="0.2">
      <c r="B935" t="str">
        <f>IFERROR(IF('PDCA review'!$D$2='Check'!B935,'Check'!G935,""),"")</f>
        <v/>
      </c>
      <c r="C935">
        <f t="shared" si="42"/>
        <v>0</v>
      </c>
      <c r="D935">
        <f>SUM($C$3:C935)</f>
        <v>4</v>
      </c>
      <c r="E935" t="e">
        <f t="shared" si="43"/>
        <v>#N/A</v>
      </c>
      <c r="F935" s="28" t="str">
        <f t="shared" ca="1" si="44"/>
        <v/>
      </c>
    </row>
    <row r="936" spans="2:6" x14ac:dyDescent="0.2">
      <c r="B936" t="str">
        <f>IFERROR(IF('PDCA review'!$D$2='Check'!B936,'Check'!G936,""),"")</f>
        <v/>
      </c>
      <c r="C936">
        <f t="shared" si="42"/>
        <v>0</v>
      </c>
      <c r="D936">
        <f>SUM($C$3:C936)</f>
        <v>4</v>
      </c>
      <c r="E936" t="e">
        <f t="shared" si="43"/>
        <v>#N/A</v>
      </c>
      <c r="F936" s="28" t="str">
        <f t="shared" ca="1" si="44"/>
        <v/>
      </c>
    </row>
    <row r="937" spans="2:6" x14ac:dyDescent="0.2">
      <c r="B937" t="str">
        <f>IFERROR(IF('PDCA review'!$D$2='Check'!B937,'Check'!G937,""),"")</f>
        <v/>
      </c>
      <c r="C937">
        <f t="shared" si="42"/>
        <v>0</v>
      </c>
      <c r="D937">
        <f>SUM($C$3:C937)</f>
        <v>4</v>
      </c>
      <c r="E937" t="e">
        <f t="shared" si="43"/>
        <v>#N/A</v>
      </c>
      <c r="F937" s="28" t="str">
        <f t="shared" ca="1" si="44"/>
        <v/>
      </c>
    </row>
    <row r="938" spans="2:6" x14ac:dyDescent="0.2">
      <c r="B938" t="str">
        <f>IFERROR(IF('PDCA review'!$D$2='Check'!B938,'Check'!G938,""),"")</f>
        <v/>
      </c>
      <c r="C938">
        <f t="shared" si="42"/>
        <v>0</v>
      </c>
      <c r="D938">
        <f>SUM($C$3:C938)</f>
        <v>4</v>
      </c>
      <c r="E938" t="e">
        <f t="shared" si="43"/>
        <v>#N/A</v>
      </c>
      <c r="F938" s="28" t="str">
        <f t="shared" ca="1" si="44"/>
        <v/>
      </c>
    </row>
    <row r="939" spans="2:6" x14ac:dyDescent="0.2">
      <c r="B939" t="str">
        <f>IFERROR(IF('PDCA review'!$D$2='Check'!B939,'Check'!G939,""),"")</f>
        <v/>
      </c>
      <c r="C939">
        <f t="shared" si="42"/>
        <v>0</v>
      </c>
      <c r="D939">
        <f>SUM($C$3:C939)</f>
        <v>4</v>
      </c>
      <c r="E939" t="e">
        <f t="shared" si="43"/>
        <v>#N/A</v>
      </c>
      <c r="F939" s="28" t="str">
        <f t="shared" ca="1" si="44"/>
        <v/>
      </c>
    </row>
    <row r="940" spans="2:6" x14ac:dyDescent="0.2">
      <c r="B940" t="str">
        <f>IFERROR(IF('PDCA review'!$D$2='Check'!B940,'Check'!G940,""),"")</f>
        <v/>
      </c>
      <c r="C940">
        <f t="shared" si="42"/>
        <v>0</v>
      </c>
      <c r="D940">
        <f>SUM($C$3:C940)</f>
        <v>4</v>
      </c>
      <c r="E940" t="e">
        <f t="shared" si="43"/>
        <v>#N/A</v>
      </c>
      <c r="F940" s="28" t="str">
        <f t="shared" ca="1" si="44"/>
        <v/>
      </c>
    </row>
    <row r="941" spans="2:6" x14ac:dyDescent="0.2">
      <c r="B941" t="str">
        <f>IFERROR(IF('PDCA review'!$D$2='Check'!B941,'Check'!G941,""),"")</f>
        <v/>
      </c>
      <c r="C941">
        <f t="shared" si="42"/>
        <v>0</v>
      </c>
      <c r="D941">
        <f>SUM($C$3:C941)</f>
        <v>4</v>
      </c>
      <c r="E941" t="e">
        <f t="shared" si="43"/>
        <v>#N/A</v>
      </c>
      <c r="F941" s="28" t="str">
        <f t="shared" ca="1" si="44"/>
        <v/>
      </c>
    </row>
    <row r="942" spans="2:6" x14ac:dyDescent="0.2">
      <c r="B942" t="str">
        <f>IFERROR(IF('PDCA review'!$D$2='Check'!B942,'Check'!G942,""),"")</f>
        <v/>
      </c>
      <c r="C942">
        <f t="shared" si="42"/>
        <v>0</v>
      </c>
      <c r="D942">
        <f>SUM($C$3:C942)</f>
        <v>4</v>
      </c>
      <c r="E942" t="e">
        <f t="shared" si="43"/>
        <v>#N/A</v>
      </c>
      <c r="F942" s="28" t="str">
        <f t="shared" ca="1" si="44"/>
        <v/>
      </c>
    </row>
    <row r="943" spans="2:6" x14ac:dyDescent="0.2">
      <c r="B943" t="str">
        <f>IFERROR(IF('PDCA review'!$D$2='Check'!B943,'Check'!G943,""),"")</f>
        <v/>
      </c>
      <c r="C943">
        <f t="shared" si="42"/>
        <v>0</v>
      </c>
      <c r="D943">
        <f>SUM($C$3:C943)</f>
        <v>4</v>
      </c>
      <c r="E943" t="e">
        <f t="shared" si="43"/>
        <v>#N/A</v>
      </c>
      <c r="F943" s="28" t="str">
        <f t="shared" ca="1" si="44"/>
        <v/>
      </c>
    </row>
    <row r="944" spans="2:6" x14ac:dyDescent="0.2">
      <c r="B944" t="str">
        <f>IFERROR(IF('PDCA review'!$D$2='Check'!B944,'Check'!G944,""),"")</f>
        <v/>
      </c>
      <c r="C944">
        <f t="shared" si="42"/>
        <v>0</v>
      </c>
      <c r="D944">
        <f>SUM($C$3:C944)</f>
        <v>4</v>
      </c>
      <c r="E944" t="e">
        <f t="shared" si="43"/>
        <v>#N/A</v>
      </c>
      <c r="F944" s="28" t="str">
        <f t="shared" ca="1" si="44"/>
        <v/>
      </c>
    </row>
    <row r="945" spans="2:6" x14ac:dyDescent="0.2">
      <c r="B945" t="str">
        <f>IFERROR(IF('PDCA review'!$D$2='Check'!B945,'Check'!G945,""),"")</f>
        <v/>
      </c>
      <c r="C945">
        <f t="shared" si="42"/>
        <v>0</v>
      </c>
      <c r="D945">
        <f>SUM($C$3:C945)</f>
        <v>4</v>
      </c>
      <c r="E945" t="e">
        <f t="shared" si="43"/>
        <v>#N/A</v>
      </c>
      <c r="F945" s="28" t="str">
        <f t="shared" ca="1" si="44"/>
        <v/>
      </c>
    </row>
    <row r="946" spans="2:6" x14ac:dyDescent="0.2">
      <c r="B946" t="str">
        <f>IFERROR(IF('PDCA review'!$D$2='Check'!B946,'Check'!G946,""),"")</f>
        <v/>
      </c>
      <c r="C946">
        <f t="shared" si="42"/>
        <v>0</v>
      </c>
      <c r="D946">
        <f>SUM($C$3:C946)</f>
        <v>4</v>
      </c>
      <c r="E946" t="e">
        <f t="shared" si="43"/>
        <v>#N/A</v>
      </c>
      <c r="F946" s="28" t="str">
        <f t="shared" ca="1" si="44"/>
        <v/>
      </c>
    </row>
    <row r="947" spans="2:6" x14ac:dyDescent="0.2">
      <c r="B947" t="str">
        <f>IFERROR(IF('PDCA review'!$D$2='Check'!B947,'Check'!G947,""),"")</f>
        <v/>
      </c>
      <c r="C947">
        <f t="shared" si="42"/>
        <v>0</v>
      </c>
      <c r="D947">
        <f>SUM($C$3:C947)</f>
        <v>4</v>
      </c>
      <c r="E947" t="e">
        <f t="shared" si="43"/>
        <v>#N/A</v>
      </c>
      <c r="F947" s="28" t="str">
        <f t="shared" ca="1" si="44"/>
        <v/>
      </c>
    </row>
    <row r="948" spans="2:6" x14ac:dyDescent="0.2">
      <c r="B948" t="str">
        <f>IFERROR(IF('PDCA review'!$D$2='Check'!B948,'Check'!G948,""),"")</f>
        <v/>
      </c>
      <c r="C948">
        <f t="shared" si="42"/>
        <v>0</v>
      </c>
      <c r="D948">
        <f>SUM($C$3:C948)</f>
        <v>4</v>
      </c>
      <c r="E948" t="e">
        <f t="shared" si="43"/>
        <v>#N/A</v>
      </c>
      <c r="F948" s="28" t="str">
        <f t="shared" ca="1" si="44"/>
        <v/>
      </c>
    </row>
    <row r="949" spans="2:6" x14ac:dyDescent="0.2">
      <c r="B949" t="str">
        <f>IFERROR(IF('PDCA review'!$D$2='Check'!B949,'Check'!G949,""),"")</f>
        <v/>
      </c>
      <c r="C949">
        <f t="shared" si="42"/>
        <v>0</v>
      </c>
      <c r="D949">
        <f>SUM($C$3:C949)</f>
        <v>4</v>
      </c>
      <c r="E949" t="e">
        <f t="shared" si="43"/>
        <v>#N/A</v>
      </c>
      <c r="F949" s="28" t="str">
        <f t="shared" ca="1" si="44"/>
        <v/>
      </c>
    </row>
    <row r="950" spans="2:6" x14ac:dyDescent="0.2">
      <c r="B950" t="str">
        <f>IFERROR(IF('PDCA review'!$D$2='Check'!B950,'Check'!G950,""),"")</f>
        <v/>
      </c>
      <c r="C950">
        <f t="shared" si="42"/>
        <v>0</v>
      </c>
      <c r="D950">
        <f>SUM($C$3:C950)</f>
        <v>4</v>
      </c>
      <c r="E950" t="e">
        <f t="shared" si="43"/>
        <v>#N/A</v>
      </c>
      <c r="F950" s="28" t="str">
        <f t="shared" ca="1" si="44"/>
        <v/>
      </c>
    </row>
    <row r="951" spans="2:6" x14ac:dyDescent="0.2">
      <c r="B951" t="str">
        <f>IFERROR(IF('PDCA review'!$D$2='Check'!B951,'Check'!G951,""),"")</f>
        <v/>
      </c>
      <c r="C951">
        <f t="shared" si="42"/>
        <v>0</v>
      </c>
      <c r="D951">
        <f>SUM($C$3:C951)</f>
        <v>4</v>
      </c>
      <c r="E951" t="e">
        <f t="shared" si="43"/>
        <v>#N/A</v>
      </c>
      <c r="F951" s="28" t="str">
        <f t="shared" ca="1" si="44"/>
        <v/>
      </c>
    </row>
    <row r="952" spans="2:6" x14ac:dyDescent="0.2">
      <c r="B952" t="str">
        <f>IFERROR(IF('PDCA review'!$D$2='Check'!B952,'Check'!G952,""),"")</f>
        <v/>
      </c>
      <c r="C952">
        <f t="shared" si="42"/>
        <v>0</v>
      </c>
      <c r="D952">
        <f>SUM($C$3:C952)</f>
        <v>4</v>
      </c>
      <c r="E952" t="e">
        <f t="shared" si="43"/>
        <v>#N/A</v>
      </c>
      <c r="F952" s="28" t="str">
        <f t="shared" ca="1" si="44"/>
        <v/>
      </c>
    </row>
    <row r="953" spans="2:6" x14ac:dyDescent="0.2">
      <c r="B953" t="str">
        <f>IFERROR(IF('PDCA review'!$D$2='Check'!B953,'Check'!G953,""),"")</f>
        <v/>
      </c>
      <c r="C953">
        <f t="shared" si="42"/>
        <v>0</v>
      </c>
      <c r="D953">
        <f>SUM($C$3:C953)</f>
        <v>4</v>
      </c>
      <c r="E953" t="e">
        <f t="shared" si="43"/>
        <v>#N/A</v>
      </c>
      <c r="F953" s="28" t="str">
        <f t="shared" ca="1" si="44"/>
        <v/>
      </c>
    </row>
    <row r="954" spans="2:6" x14ac:dyDescent="0.2">
      <c r="B954" t="str">
        <f>IFERROR(IF('PDCA review'!$D$2='Check'!B954,'Check'!G954,""),"")</f>
        <v/>
      </c>
      <c r="C954">
        <f t="shared" si="42"/>
        <v>0</v>
      </c>
      <c r="D954">
        <f>SUM($C$3:C954)</f>
        <v>4</v>
      </c>
      <c r="E954" t="e">
        <f t="shared" si="43"/>
        <v>#N/A</v>
      </c>
      <c r="F954" s="28" t="str">
        <f t="shared" ca="1" si="44"/>
        <v/>
      </c>
    </row>
    <row r="955" spans="2:6" x14ac:dyDescent="0.2">
      <c r="B955" t="str">
        <f>IFERROR(IF('PDCA review'!$D$2='Check'!B955,'Check'!G955,""),"")</f>
        <v/>
      </c>
      <c r="C955">
        <f t="shared" si="42"/>
        <v>0</v>
      </c>
      <c r="D955">
        <f>SUM($C$3:C955)</f>
        <v>4</v>
      </c>
      <c r="E955" t="e">
        <f t="shared" si="43"/>
        <v>#N/A</v>
      </c>
      <c r="F955" s="28" t="str">
        <f t="shared" ca="1" si="44"/>
        <v/>
      </c>
    </row>
    <row r="956" spans="2:6" x14ac:dyDescent="0.2">
      <c r="B956" t="str">
        <f>IFERROR(IF('PDCA review'!$D$2='Check'!B956,'Check'!G956,""),"")</f>
        <v/>
      </c>
      <c r="C956">
        <f t="shared" si="42"/>
        <v>0</v>
      </c>
      <c r="D956">
        <f>SUM($C$3:C956)</f>
        <v>4</v>
      </c>
      <c r="E956" t="e">
        <f t="shared" si="43"/>
        <v>#N/A</v>
      </c>
      <c r="F956" s="28" t="str">
        <f t="shared" ca="1" si="44"/>
        <v/>
      </c>
    </row>
    <row r="957" spans="2:6" x14ac:dyDescent="0.2">
      <c r="B957" t="str">
        <f>IFERROR(IF('PDCA review'!$D$2='Check'!B957,'Check'!G957,""),"")</f>
        <v/>
      </c>
      <c r="C957">
        <f t="shared" si="42"/>
        <v>0</v>
      </c>
      <c r="D957">
        <f>SUM($C$3:C957)</f>
        <v>4</v>
      </c>
      <c r="E957" t="e">
        <f t="shared" si="43"/>
        <v>#N/A</v>
      </c>
      <c r="F957" s="28" t="str">
        <f t="shared" ca="1" si="44"/>
        <v/>
      </c>
    </row>
    <row r="958" spans="2:6" x14ac:dyDescent="0.2">
      <c r="B958" t="str">
        <f>IFERROR(IF('PDCA review'!$D$2='Check'!B958,'Check'!G958,""),"")</f>
        <v/>
      </c>
      <c r="C958">
        <f t="shared" si="42"/>
        <v>0</v>
      </c>
      <c r="D958">
        <f>SUM($C$3:C958)</f>
        <v>4</v>
      </c>
      <c r="E958" t="e">
        <f t="shared" si="43"/>
        <v>#N/A</v>
      </c>
      <c r="F958" s="28" t="str">
        <f t="shared" ca="1" si="44"/>
        <v/>
      </c>
    </row>
    <row r="959" spans="2:6" x14ac:dyDescent="0.2">
      <c r="B959" t="str">
        <f>IFERROR(IF('PDCA review'!$D$2='Check'!B959,'Check'!G959,""),"")</f>
        <v/>
      </c>
      <c r="C959">
        <f t="shared" si="42"/>
        <v>0</v>
      </c>
      <c r="D959">
        <f>SUM($C$3:C959)</f>
        <v>4</v>
      </c>
      <c r="E959" t="e">
        <f t="shared" si="43"/>
        <v>#N/A</v>
      </c>
      <c r="F959" s="28" t="str">
        <f t="shared" ca="1" si="44"/>
        <v/>
      </c>
    </row>
    <row r="960" spans="2:6" x14ac:dyDescent="0.2">
      <c r="B960" t="str">
        <f>IFERROR(IF('PDCA review'!$D$2='Check'!B960,'Check'!G960,""),"")</f>
        <v/>
      </c>
      <c r="C960">
        <f t="shared" si="42"/>
        <v>0</v>
      </c>
      <c r="D960">
        <f>SUM($C$3:C960)</f>
        <v>4</v>
      </c>
      <c r="E960" t="e">
        <f t="shared" si="43"/>
        <v>#N/A</v>
      </c>
      <c r="F960" s="28" t="str">
        <f t="shared" ca="1" si="44"/>
        <v/>
      </c>
    </row>
    <row r="961" spans="2:6" x14ac:dyDescent="0.2">
      <c r="B961" t="str">
        <f>IFERROR(IF('PDCA review'!$D$2='Check'!B961,'Check'!G961,""),"")</f>
        <v/>
      </c>
      <c r="C961">
        <f t="shared" si="42"/>
        <v>0</v>
      </c>
      <c r="D961">
        <f>SUM($C$3:C961)</f>
        <v>4</v>
      </c>
      <c r="E961" t="e">
        <f t="shared" si="43"/>
        <v>#N/A</v>
      </c>
      <c r="F961" s="28" t="str">
        <f t="shared" ca="1" si="44"/>
        <v/>
      </c>
    </row>
    <row r="962" spans="2:6" x14ac:dyDescent="0.2">
      <c r="B962" t="str">
        <f>IFERROR(IF('PDCA review'!$D$2='Check'!B962,'Check'!G962,""),"")</f>
        <v/>
      </c>
      <c r="C962">
        <f t="shared" si="42"/>
        <v>0</v>
      </c>
      <c r="D962">
        <f>SUM($C$3:C962)</f>
        <v>4</v>
      </c>
      <c r="E962" t="e">
        <f t="shared" si="43"/>
        <v>#N/A</v>
      </c>
      <c r="F962" s="28" t="str">
        <f t="shared" ca="1" si="44"/>
        <v/>
      </c>
    </row>
    <row r="963" spans="2:6" x14ac:dyDescent="0.2">
      <c r="B963" t="str">
        <f>IFERROR(IF('PDCA review'!$D$2='Check'!B963,'Check'!G963,""),"")</f>
        <v/>
      </c>
      <c r="C963">
        <f t="shared" si="42"/>
        <v>0</v>
      </c>
      <c r="D963">
        <f>SUM($C$3:C963)</f>
        <v>4</v>
      </c>
      <c r="E963" t="e">
        <f t="shared" si="43"/>
        <v>#N/A</v>
      </c>
      <c r="F963" s="28" t="str">
        <f t="shared" ca="1" si="44"/>
        <v/>
      </c>
    </row>
    <row r="964" spans="2:6" x14ac:dyDescent="0.2">
      <c r="B964" t="str">
        <f>IFERROR(IF('PDCA review'!$D$2='Check'!B964,'Check'!G964,""),"")</f>
        <v/>
      </c>
      <c r="C964">
        <f t="shared" ref="C964:C1027" si="45">IF(B964&lt;&gt;"",1,0)</f>
        <v>0</v>
      </c>
      <c r="D964">
        <f>SUM($C$3:C964)</f>
        <v>4</v>
      </c>
      <c r="E964" t="e">
        <f t="shared" ref="E964:E1027" si="46">MATCH(ROW()-$D$2,$D$3:$D$2000,0)+$D$2</f>
        <v>#N/A</v>
      </c>
      <c r="F964" s="28" t="str">
        <f t="shared" ref="F964:F1027" ca="1" si="47">IFERROR(INDIRECT("B"&amp;E964),"")</f>
        <v/>
      </c>
    </row>
    <row r="965" spans="2:6" x14ac:dyDescent="0.2">
      <c r="B965" t="str">
        <f>IFERROR(IF('PDCA review'!$D$2='Check'!B965,'Check'!G965,""),"")</f>
        <v/>
      </c>
      <c r="C965">
        <f t="shared" si="45"/>
        <v>0</v>
      </c>
      <c r="D965">
        <f>SUM($C$3:C965)</f>
        <v>4</v>
      </c>
      <c r="E965" t="e">
        <f t="shared" si="46"/>
        <v>#N/A</v>
      </c>
      <c r="F965" s="28" t="str">
        <f t="shared" ca="1" si="47"/>
        <v/>
      </c>
    </row>
    <row r="966" spans="2:6" x14ac:dyDescent="0.2">
      <c r="B966" t="str">
        <f>IFERROR(IF('PDCA review'!$D$2='Check'!B966,'Check'!G966,""),"")</f>
        <v/>
      </c>
      <c r="C966">
        <f t="shared" si="45"/>
        <v>0</v>
      </c>
      <c r="D966">
        <f>SUM($C$3:C966)</f>
        <v>4</v>
      </c>
      <c r="E966" t="e">
        <f t="shared" si="46"/>
        <v>#N/A</v>
      </c>
      <c r="F966" s="28" t="str">
        <f t="shared" ca="1" si="47"/>
        <v/>
      </c>
    </row>
    <row r="967" spans="2:6" x14ac:dyDescent="0.2">
      <c r="B967" t="str">
        <f>IFERROR(IF('PDCA review'!$D$2='Check'!B967,'Check'!G967,""),"")</f>
        <v/>
      </c>
      <c r="C967">
        <f t="shared" si="45"/>
        <v>0</v>
      </c>
      <c r="D967">
        <f>SUM($C$3:C967)</f>
        <v>4</v>
      </c>
      <c r="E967" t="e">
        <f t="shared" si="46"/>
        <v>#N/A</v>
      </c>
      <c r="F967" s="28" t="str">
        <f t="shared" ca="1" si="47"/>
        <v/>
      </c>
    </row>
    <row r="968" spans="2:6" x14ac:dyDescent="0.2">
      <c r="B968" t="str">
        <f>IFERROR(IF('PDCA review'!$D$2='Check'!B968,'Check'!G968,""),"")</f>
        <v/>
      </c>
      <c r="C968">
        <f t="shared" si="45"/>
        <v>0</v>
      </c>
      <c r="D968">
        <f>SUM($C$3:C968)</f>
        <v>4</v>
      </c>
      <c r="E968" t="e">
        <f t="shared" si="46"/>
        <v>#N/A</v>
      </c>
      <c r="F968" s="28" t="str">
        <f t="shared" ca="1" si="47"/>
        <v/>
      </c>
    </row>
    <row r="969" spans="2:6" x14ac:dyDescent="0.2">
      <c r="B969" t="str">
        <f>IFERROR(IF('PDCA review'!$D$2='Check'!B969,'Check'!G969,""),"")</f>
        <v/>
      </c>
      <c r="C969">
        <f t="shared" si="45"/>
        <v>0</v>
      </c>
      <c r="D969">
        <f>SUM($C$3:C969)</f>
        <v>4</v>
      </c>
      <c r="E969" t="e">
        <f t="shared" si="46"/>
        <v>#N/A</v>
      </c>
      <c r="F969" s="28" t="str">
        <f t="shared" ca="1" si="47"/>
        <v/>
      </c>
    </row>
    <row r="970" spans="2:6" x14ac:dyDescent="0.2">
      <c r="B970" t="str">
        <f>IFERROR(IF('PDCA review'!$D$2='Check'!B970,'Check'!G970,""),"")</f>
        <v/>
      </c>
      <c r="C970">
        <f t="shared" si="45"/>
        <v>0</v>
      </c>
      <c r="D970">
        <f>SUM($C$3:C970)</f>
        <v>4</v>
      </c>
      <c r="E970" t="e">
        <f t="shared" si="46"/>
        <v>#N/A</v>
      </c>
      <c r="F970" s="28" t="str">
        <f t="shared" ca="1" si="47"/>
        <v/>
      </c>
    </row>
    <row r="971" spans="2:6" x14ac:dyDescent="0.2">
      <c r="B971" t="str">
        <f>IFERROR(IF('PDCA review'!$D$2='Check'!B971,'Check'!G971,""),"")</f>
        <v/>
      </c>
      <c r="C971">
        <f t="shared" si="45"/>
        <v>0</v>
      </c>
      <c r="D971">
        <f>SUM($C$3:C971)</f>
        <v>4</v>
      </c>
      <c r="E971" t="e">
        <f t="shared" si="46"/>
        <v>#N/A</v>
      </c>
      <c r="F971" s="28" t="str">
        <f t="shared" ca="1" si="47"/>
        <v/>
      </c>
    </row>
    <row r="972" spans="2:6" x14ac:dyDescent="0.2">
      <c r="B972" t="str">
        <f>IFERROR(IF('PDCA review'!$D$2='Check'!B972,'Check'!G972,""),"")</f>
        <v/>
      </c>
      <c r="C972">
        <f t="shared" si="45"/>
        <v>0</v>
      </c>
      <c r="D972">
        <f>SUM($C$3:C972)</f>
        <v>4</v>
      </c>
      <c r="E972" t="e">
        <f t="shared" si="46"/>
        <v>#N/A</v>
      </c>
      <c r="F972" s="28" t="str">
        <f t="shared" ca="1" si="47"/>
        <v/>
      </c>
    </row>
    <row r="973" spans="2:6" x14ac:dyDescent="0.2">
      <c r="B973" t="str">
        <f>IFERROR(IF('PDCA review'!$D$2='Check'!B973,'Check'!G973,""),"")</f>
        <v/>
      </c>
      <c r="C973">
        <f t="shared" si="45"/>
        <v>0</v>
      </c>
      <c r="D973">
        <f>SUM($C$3:C973)</f>
        <v>4</v>
      </c>
      <c r="E973" t="e">
        <f t="shared" si="46"/>
        <v>#N/A</v>
      </c>
      <c r="F973" s="28" t="str">
        <f t="shared" ca="1" si="47"/>
        <v/>
      </c>
    </row>
    <row r="974" spans="2:6" x14ac:dyDescent="0.2">
      <c r="B974" t="str">
        <f>IFERROR(IF('PDCA review'!$D$2='Check'!B974,'Check'!G974,""),"")</f>
        <v/>
      </c>
      <c r="C974">
        <f t="shared" si="45"/>
        <v>0</v>
      </c>
      <c r="D974">
        <f>SUM($C$3:C974)</f>
        <v>4</v>
      </c>
      <c r="E974" t="e">
        <f t="shared" si="46"/>
        <v>#N/A</v>
      </c>
      <c r="F974" s="28" t="str">
        <f t="shared" ca="1" si="47"/>
        <v/>
      </c>
    </row>
    <row r="975" spans="2:6" x14ac:dyDescent="0.2">
      <c r="B975" t="str">
        <f>IFERROR(IF('PDCA review'!$D$2='Check'!B975,'Check'!G975,""),"")</f>
        <v/>
      </c>
      <c r="C975">
        <f t="shared" si="45"/>
        <v>0</v>
      </c>
      <c r="D975">
        <f>SUM($C$3:C975)</f>
        <v>4</v>
      </c>
      <c r="E975" t="e">
        <f t="shared" si="46"/>
        <v>#N/A</v>
      </c>
      <c r="F975" s="28" t="str">
        <f t="shared" ca="1" si="47"/>
        <v/>
      </c>
    </row>
    <row r="976" spans="2:6" x14ac:dyDescent="0.2">
      <c r="B976" t="str">
        <f>IFERROR(IF('PDCA review'!$D$2='Check'!B976,'Check'!G976,""),"")</f>
        <v/>
      </c>
      <c r="C976">
        <f t="shared" si="45"/>
        <v>0</v>
      </c>
      <c r="D976">
        <f>SUM($C$3:C976)</f>
        <v>4</v>
      </c>
      <c r="E976" t="e">
        <f t="shared" si="46"/>
        <v>#N/A</v>
      </c>
      <c r="F976" s="28" t="str">
        <f t="shared" ca="1" si="47"/>
        <v/>
      </c>
    </row>
    <row r="977" spans="2:6" x14ac:dyDescent="0.2">
      <c r="B977" t="str">
        <f>IFERROR(IF('PDCA review'!$D$2='Check'!B977,'Check'!G977,""),"")</f>
        <v/>
      </c>
      <c r="C977">
        <f t="shared" si="45"/>
        <v>0</v>
      </c>
      <c r="D977">
        <f>SUM($C$3:C977)</f>
        <v>4</v>
      </c>
      <c r="E977" t="e">
        <f t="shared" si="46"/>
        <v>#N/A</v>
      </c>
      <c r="F977" s="28" t="str">
        <f t="shared" ca="1" si="47"/>
        <v/>
      </c>
    </row>
    <row r="978" spans="2:6" x14ac:dyDescent="0.2">
      <c r="B978" t="str">
        <f>IFERROR(IF('PDCA review'!$D$2='Check'!B978,'Check'!G978,""),"")</f>
        <v/>
      </c>
      <c r="C978">
        <f t="shared" si="45"/>
        <v>0</v>
      </c>
      <c r="D978">
        <f>SUM($C$3:C978)</f>
        <v>4</v>
      </c>
      <c r="E978" t="e">
        <f t="shared" si="46"/>
        <v>#N/A</v>
      </c>
      <c r="F978" s="28" t="str">
        <f t="shared" ca="1" si="47"/>
        <v/>
      </c>
    </row>
    <row r="979" spans="2:6" x14ac:dyDescent="0.2">
      <c r="B979" t="str">
        <f>IFERROR(IF('PDCA review'!$D$2='Check'!B979,'Check'!G979,""),"")</f>
        <v/>
      </c>
      <c r="C979">
        <f t="shared" si="45"/>
        <v>0</v>
      </c>
      <c r="D979">
        <f>SUM($C$3:C979)</f>
        <v>4</v>
      </c>
      <c r="E979" t="e">
        <f t="shared" si="46"/>
        <v>#N/A</v>
      </c>
      <c r="F979" s="28" t="str">
        <f t="shared" ca="1" si="47"/>
        <v/>
      </c>
    </row>
    <row r="980" spans="2:6" x14ac:dyDescent="0.2">
      <c r="B980" t="str">
        <f>IFERROR(IF('PDCA review'!$D$2='Check'!B980,'Check'!G980,""),"")</f>
        <v/>
      </c>
      <c r="C980">
        <f t="shared" si="45"/>
        <v>0</v>
      </c>
      <c r="D980">
        <f>SUM($C$3:C980)</f>
        <v>4</v>
      </c>
      <c r="E980" t="e">
        <f t="shared" si="46"/>
        <v>#N/A</v>
      </c>
      <c r="F980" s="28" t="str">
        <f t="shared" ca="1" si="47"/>
        <v/>
      </c>
    </row>
    <row r="981" spans="2:6" x14ac:dyDescent="0.2">
      <c r="B981" t="str">
        <f>IFERROR(IF('PDCA review'!$D$2='Check'!B981,'Check'!G981,""),"")</f>
        <v/>
      </c>
      <c r="C981">
        <f t="shared" si="45"/>
        <v>0</v>
      </c>
      <c r="D981">
        <f>SUM($C$3:C981)</f>
        <v>4</v>
      </c>
      <c r="E981" t="e">
        <f t="shared" si="46"/>
        <v>#N/A</v>
      </c>
      <c r="F981" s="28" t="str">
        <f t="shared" ca="1" si="47"/>
        <v/>
      </c>
    </row>
    <row r="982" spans="2:6" x14ac:dyDescent="0.2">
      <c r="B982" t="str">
        <f>IFERROR(IF('PDCA review'!$D$2='Check'!B982,'Check'!G982,""),"")</f>
        <v/>
      </c>
      <c r="C982">
        <f t="shared" si="45"/>
        <v>0</v>
      </c>
      <c r="D982">
        <f>SUM($C$3:C982)</f>
        <v>4</v>
      </c>
      <c r="E982" t="e">
        <f t="shared" si="46"/>
        <v>#N/A</v>
      </c>
      <c r="F982" s="28" t="str">
        <f t="shared" ca="1" si="47"/>
        <v/>
      </c>
    </row>
    <row r="983" spans="2:6" x14ac:dyDescent="0.2">
      <c r="B983" t="str">
        <f>IFERROR(IF('PDCA review'!$D$2='Check'!B983,'Check'!G983,""),"")</f>
        <v/>
      </c>
      <c r="C983">
        <f t="shared" si="45"/>
        <v>0</v>
      </c>
      <c r="D983">
        <f>SUM($C$3:C983)</f>
        <v>4</v>
      </c>
      <c r="E983" t="e">
        <f t="shared" si="46"/>
        <v>#N/A</v>
      </c>
      <c r="F983" s="28" t="str">
        <f t="shared" ca="1" si="47"/>
        <v/>
      </c>
    </row>
    <row r="984" spans="2:6" x14ac:dyDescent="0.2">
      <c r="B984" t="str">
        <f>IFERROR(IF('PDCA review'!$D$2='Check'!B984,'Check'!G984,""),"")</f>
        <v/>
      </c>
      <c r="C984">
        <f t="shared" si="45"/>
        <v>0</v>
      </c>
      <c r="D984">
        <f>SUM($C$3:C984)</f>
        <v>4</v>
      </c>
      <c r="E984" t="e">
        <f t="shared" si="46"/>
        <v>#N/A</v>
      </c>
      <c r="F984" s="28" t="str">
        <f t="shared" ca="1" si="47"/>
        <v/>
      </c>
    </row>
    <row r="985" spans="2:6" x14ac:dyDescent="0.2">
      <c r="B985" t="str">
        <f>IFERROR(IF('PDCA review'!$D$2='Check'!B985,'Check'!G985,""),"")</f>
        <v/>
      </c>
      <c r="C985">
        <f t="shared" si="45"/>
        <v>0</v>
      </c>
      <c r="D985">
        <f>SUM($C$3:C985)</f>
        <v>4</v>
      </c>
      <c r="E985" t="e">
        <f t="shared" si="46"/>
        <v>#N/A</v>
      </c>
      <c r="F985" s="28" t="str">
        <f t="shared" ca="1" si="47"/>
        <v/>
      </c>
    </row>
    <row r="986" spans="2:6" x14ac:dyDescent="0.2">
      <c r="B986" t="str">
        <f>IFERROR(IF('PDCA review'!$D$2='Check'!B986,'Check'!G986,""),"")</f>
        <v/>
      </c>
      <c r="C986">
        <f t="shared" si="45"/>
        <v>0</v>
      </c>
      <c r="D986">
        <f>SUM($C$3:C986)</f>
        <v>4</v>
      </c>
      <c r="E986" t="e">
        <f t="shared" si="46"/>
        <v>#N/A</v>
      </c>
      <c r="F986" s="28" t="str">
        <f t="shared" ca="1" si="47"/>
        <v/>
      </c>
    </row>
    <row r="987" spans="2:6" x14ac:dyDescent="0.2">
      <c r="B987" t="str">
        <f>IFERROR(IF('PDCA review'!$D$2='Check'!B987,'Check'!G987,""),"")</f>
        <v/>
      </c>
      <c r="C987">
        <f t="shared" si="45"/>
        <v>0</v>
      </c>
      <c r="D987">
        <f>SUM($C$3:C987)</f>
        <v>4</v>
      </c>
      <c r="E987" t="e">
        <f t="shared" si="46"/>
        <v>#N/A</v>
      </c>
      <c r="F987" s="28" t="str">
        <f t="shared" ca="1" si="47"/>
        <v/>
      </c>
    </row>
    <row r="988" spans="2:6" x14ac:dyDescent="0.2">
      <c r="B988" t="str">
        <f>IFERROR(IF('PDCA review'!$D$2='Check'!B988,'Check'!G988,""),"")</f>
        <v/>
      </c>
      <c r="C988">
        <f t="shared" si="45"/>
        <v>0</v>
      </c>
      <c r="D988">
        <f>SUM($C$3:C988)</f>
        <v>4</v>
      </c>
      <c r="E988" t="e">
        <f t="shared" si="46"/>
        <v>#N/A</v>
      </c>
      <c r="F988" s="28" t="str">
        <f t="shared" ca="1" si="47"/>
        <v/>
      </c>
    </row>
    <row r="989" spans="2:6" x14ac:dyDescent="0.2">
      <c r="B989" t="str">
        <f>IFERROR(IF('PDCA review'!$D$2='Check'!B989,'Check'!G989,""),"")</f>
        <v/>
      </c>
      <c r="C989">
        <f t="shared" si="45"/>
        <v>0</v>
      </c>
      <c r="D989">
        <f>SUM($C$3:C989)</f>
        <v>4</v>
      </c>
      <c r="E989" t="e">
        <f t="shared" si="46"/>
        <v>#N/A</v>
      </c>
      <c r="F989" s="28" t="str">
        <f t="shared" ca="1" si="47"/>
        <v/>
      </c>
    </row>
    <row r="990" spans="2:6" x14ac:dyDescent="0.2">
      <c r="B990" t="str">
        <f>IFERROR(IF('PDCA review'!$D$2='Check'!B990,'Check'!G990,""),"")</f>
        <v/>
      </c>
      <c r="C990">
        <f t="shared" si="45"/>
        <v>0</v>
      </c>
      <c r="D990">
        <f>SUM($C$3:C990)</f>
        <v>4</v>
      </c>
      <c r="E990" t="e">
        <f t="shared" si="46"/>
        <v>#N/A</v>
      </c>
      <c r="F990" s="28" t="str">
        <f t="shared" ca="1" si="47"/>
        <v/>
      </c>
    </row>
    <row r="991" spans="2:6" x14ac:dyDescent="0.2">
      <c r="B991" t="str">
        <f>IFERROR(IF('PDCA review'!$D$2='Check'!B991,'Check'!G991,""),"")</f>
        <v/>
      </c>
      <c r="C991">
        <f t="shared" si="45"/>
        <v>0</v>
      </c>
      <c r="D991">
        <f>SUM($C$3:C991)</f>
        <v>4</v>
      </c>
      <c r="E991" t="e">
        <f t="shared" si="46"/>
        <v>#N/A</v>
      </c>
      <c r="F991" s="28" t="str">
        <f t="shared" ca="1" si="47"/>
        <v/>
      </c>
    </row>
    <row r="992" spans="2:6" x14ac:dyDescent="0.2">
      <c r="B992" t="str">
        <f>IFERROR(IF('PDCA review'!$D$2='Check'!B992,'Check'!G992,""),"")</f>
        <v/>
      </c>
      <c r="C992">
        <f t="shared" si="45"/>
        <v>0</v>
      </c>
      <c r="D992">
        <f>SUM($C$3:C992)</f>
        <v>4</v>
      </c>
      <c r="E992" t="e">
        <f t="shared" si="46"/>
        <v>#N/A</v>
      </c>
      <c r="F992" s="28" t="str">
        <f t="shared" ca="1" si="47"/>
        <v/>
      </c>
    </row>
    <row r="993" spans="2:6" x14ac:dyDescent="0.2">
      <c r="B993" t="str">
        <f>IFERROR(IF('PDCA review'!$D$2='Check'!B993,'Check'!G993,""),"")</f>
        <v/>
      </c>
      <c r="C993">
        <f t="shared" si="45"/>
        <v>0</v>
      </c>
      <c r="D993">
        <f>SUM($C$3:C993)</f>
        <v>4</v>
      </c>
      <c r="E993" t="e">
        <f t="shared" si="46"/>
        <v>#N/A</v>
      </c>
      <c r="F993" s="28" t="str">
        <f t="shared" ca="1" si="47"/>
        <v/>
      </c>
    </row>
    <row r="994" spans="2:6" x14ac:dyDescent="0.2">
      <c r="B994" t="str">
        <f>IFERROR(IF('PDCA review'!$D$2='Check'!B994,'Check'!G994,""),"")</f>
        <v/>
      </c>
      <c r="C994">
        <f t="shared" si="45"/>
        <v>0</v>
      </c>
      <c r="D994">
        <f>SUM($C$3:C994)</f>
        <v>4</v>
      </c>
      <c r="E994" t="e">
        <f t="shared" si="46"/>
        <v>#N/A</v>
      </c>
      <c r="F994" s="28" t="str">
        <f t="shared" ca="1" si="47"/>
        <v/>
      </c>
    </row>
    <row r="995" spans="2:6" x14ac:dyDescent="0.2">
      <c r="B995" t="str">
        <f>IFERROR(IF('PDCA review'!$D$2='Check'!B995,'Check'!G995,""),"")</f>
        <v/>
      </c>
      <c r="C995">
        <f t="shared" si="45"/>
        <v>0</v>
      </c>
      <c r="D995">
        <f>SUM($C$3:C995)</f>
        <v>4</v>
      </c>
      <c r="E995" t="e">
        <f t="shared" si="46"/>
        <v>#N/A</v>
      </c>
      <c r="F995" s="28" t="str">
        <f t="shared" ca="1" si="47"/>
        <v/>
      </c>
    </row>
    <row r="996" spans="2:6" x14ac:dyDescent="0.2">
      <c r="B996" t="str">
        <f>IFERROR(IF('PDCA review'!$D$2='Check'!B996,'Check'!G996,""),"")</f>
        <v/>
      </c>
      <c r="C996">
        <f t="shared" si="45"/>
        <v>0</v>
      </c>
      <c r="D996">
        <f>SUM($C$3:C996)</f>
        <v>4</v>
      </c>
      <c r="E996" t="e">
        <f t="shared" si="46"/>
        <v>#N/A</v>
      </c>
      <c r="F996" s="28" t="str">
        <f t="shared" ca="1" si="47"/>
        <v/>
      </c>
    </row>
    <row r="997" spans="2:6" x14ac:dyDescent="0.2">
      <c r="B997" t="str">
        <f>IFERROR(IF('PDCA review'!$D$2='Check'!B997,'Check'!G997,""),"")</f>
        <v/>
      </c>
      <c r="C997">
        <f t="shared" si="45"/>
        <v>0</v>
      </c>
      <c r="D997">
        <f>SUM($C$3:C997)</f>
        <v>4</v>
      </c>
      <c r="E997" t="e">
        <f t="shared" si="46"/>
        <v>#N/A</v>
      </c>
      <c r="F997" s="28" t="str">
        <f t="shared" ca="1" si="47"/>
        <v/>
      </c>
    </row>
    <row r="998" spans="2:6" x14ac:dyDescent="0.2">
      <c r="B998" t="str">
        <f>IFERROR(IF('PDCA review'!$D$2='Check'!B998,'Check'!G998,""),"")</f>
        <v/>
      </c>
      <c r="C998">
        <f t="shared" si="45"/>
        <v>0</v>
      </c>
      <c r="D998">
        <f>SUM($C$3:C998)</f>
        <v>4</v>
      </c>
      <c r="E998" t="e">
        <f t="shared" si="46"/>
        <v>#N/A</v>
      </c>
      <c r="F998" s="28" t="str">
        <f t="shared" ca="1" si="47"/>
        <v/>
      </c>
    </row>
    <row r="999" spans="2:6" x14ac:dyDescent="0.2">
      <c r="B999" t="str">
        <f>IFERROR(IF('PDCA review'!$D$2='Check'!B999,'Check'!G999,""),"")</f>
        <v/>
      </c>
      <c r="C999">
        <f t="shared" si="45"/>
        <v>0</v>
      </c>
      <c r="D999">
        <f>SUM($C$3:C999)</f>
        <v>4</v>
      </c>
      <c r="E999" t="e">
        <f t="shared" si="46"/>
        <v>#N/A</v>
      </c>
      <c r="F999" s="28" t="str">
        <f t="shared" ca="1" si="47"/>
        <v/>
      </c>
    </row>
    <row r="1000" spans="2:6" x14ac:dyDescent="0.2">
      <c r="B1000" t="str">
        <f>IFERROR(IF('PDCA review'!$D$2='Check'!B1000,'Check'!G1000,""),"")</f>
        <v/>
      </c>
      <c r="C1000">
        <f t="shared" si="45"/>
        <v>0</v>
      </c>
      <c r="D1000">
        <f>SUM($C$3:C1000)</f>
        <v>4</v>
      </c>
      <c r="E1000" t="e">
        <f t="shared" si="46"/>
        <v>#N/A</v>
      </c>
      <c r="F1000" s="28" t="str">
        <f t="shared" ca="1" si="47"/>
        <v/>
      </c>
    </row>
    <row r="1001" spans="2:6" x14ac:dyDescent="0.2">
      <c r="B1001" t="str">
        <f>IFERROR(IF('PDCA review'!$D$2='Check'!B1001,'Check'!G1001,""),"")</f>
        <v/>
      </c>
      <c r="C1001">
        <f t="shared" si="45"/>
        <v>0</v>
      </c>
      <c r="D1001">
        <f>SUM($C$3:C1001)</f>
        <v>4</v>
      </c>
      <c r="E1001" t="e">
        <f t="shared" si="46"/>
        <v>#N/A</v>
      </c>
      <c r="F1001" s="28" t="str">
        <f t="shared" ca="1" si="47"/>
        <v/>
      </c>
    </row>
    <row r="1002" spans="2:6" x14ac:dyDescent="0.2">
      <c r="B1002" t="str">
        <f>IFERROR(IF('PDCA review'!$D$2='Check'!B1002,'Check'!G1002,""),"")</f>
        <v/>
      </c>
      <c r="C1002">
        <f t="shared" si="45"/>
        <v>0</v>
      </c>
      <c r="D1002">
        <f>SUM($C$3:C1002)</f>
        <v>4</v>
      </c>
      <c r="E1002" t="e">
        <f t="shared" si="46"/>
        <v>#N/A</v>
      </c>
      <c r="F1002" s="28" t="str">
        <f t="shared" ca="1" si="47"/>
        <v/>
      </c>
    </row>
    <row r="1003" spans="2:6" x14ac:dyDescent="0.2">
      <c r="B1003" t="str">
        <f>IFERROR(IF('PDCA review'!$D$2='Check'!B1003,'Check'!G1003,""),"")</f>
        <v/>
      </c>
      <c r="C1003">
        <f t="shared" si="45"/>
        <v>0</v>
      </c>
      <c r="D1003">
        <f>SUM($C$3:C1003)</f>
        <v>4</v>
      </c>
      <c r="E1003" t="e">
        <f t="shared" si="46"/>
        <v>#N/A</v>
      </c>
      <c r="F1003" s="28" t="str">
        <f t="shared" ca="1" si="47"/>
        <v/>
      </c>
    </row>
    <row r="1004" spans="2:6" x14ac:dyDescent="0.2">
      <c r="B1004" t="str">
        <f>IFERROR(IF('PDCA review'!$D$2='Check'!B1004,'Check'!G1004,""),"")</f>
        <v/>
      </c>
      <c r="C1004">
        <f t="shared" si="45"/>
        <v>0</v>
      </c>
      <c r="D1004">
        <f>SUM($C$3:C1004)</f>
        <v>4</v>
      </c>
      <c r="E1004" t="e">
        <f t="shared" si="46"/>
        <v>#N/A</v>
      </c>
      <c r="F1004" s="28" t="str">
        <f t="shared" ca="1" si="47"/>
        <v/>
      </c>
    </row>
    <row r="1005" spans="2:6" x14ac:dyDescent="0.2">
      <c r="B1005" t="str">
        <f>IFERROR(IF('PDCA review'!$D$2='Check'!B1005,'Check'!G1005,""),"")</f>
        <v/>
      </c>
      <c r="C1005">
        <f t="shared" si="45"/>
        <v>0</v>
      </c>
      <c r="D1005">
        <f>SUM($C$3:C1005)</f>
        <v>4</v>
      </c>
      <c r="E1005" t="e">
        <f t="shared" si="46"/>
        <v>#N/A</v>
      </c>
      <c r="F1005" s="28" t="str">
        <f t="shared" ca="1" si="47"/>
        <v/>
      </c>
    </row>
    <row r="1006" spans="2:6" x14ac:dyDescent="0.2">
      <c r="B1006" t="str">
        <f>IFERROR(IF('PDCA review'!$D$2='Check'!B1006,'Check'!G1006,""),"")</f>
        <v/>
      </c>
      <c r="C1006">
        <f t="shared" si="45"/>
        <v>0</v>
      </c>
      <c r="D1006">
        <f>SUM($C$3:C1006)</f>
        <v>4</v>
      </c>
      <c r="E1006" t="e">
        <f t="shared" si="46"/>
        <v>#N/A</v>
      </c>
      <c r="F1006" s="28" t="str">
        <f t="shared" ca="1" si="47"/>
        <v/>
      </c>
    </row>
    <row r="1007" spans="2:6" x14ac:dyDescent="0.2">
      <c r="B1007" t="str">
        <f>IFERROR(IF('PDCA review'!$D$2='Check'!B1007,'Check'!G1007,""),"")</f>
        <v/>
      </c>
      <c r="C1007">
        <f t="shared" si="45"/>
        <v>0</v>
      </c>
      <c r="D1007">
        <f>SUM($C$3:C1007)</f>
        <v>4</v>
      </c>
      <c r="E1007" t="e">
        <f t="shared" si="46"/>
        <v>#N/A</v>
      </c>
      <c r="F1007" s="28" t="str">
        <f t="shared" ca="1" si="47"/>
        <v/>
      </c>
    </row>
    <row r="1008" spans="2:6" x14ac:dyDescent="0.2">
      <c r="B1008" t="str">
        <f>IFERROR(IF('PDCA review'!$D$2='Check'!B1008,'Check'!G1008,""),"")</f>
        <v/>
      </c>
      <c r="C1008">
        <f t="shared" si="45"/>
        <v>0</v>
      </c>
      <c r="D1008">
        <f>SUM($C$3:C1008)</f>
        <v>4</v>
      </c>
      <c r="E1008" t="e">
        <f t="shared" si="46"/>
        <v>#N/A</v>
      </c>
      <c r="F1008" s="28" t="str">
        <f t="shared" ca="1" si="47"/>
        <v/>
      </c>
    </row>
    <row r="1009" spans="2:6" x14ac:dyDescent="0.2">
      <c r="B1009" t="str">
        <f>IFERROR(IF('PDCA review'!$D$2='Check'!B1009,'Check'!G1009,""),"")</f>
        <v/>
      </c>
      <c r="C1009">
        <f t="shared" si="45"/>
        <v>0</v>
      </c>
      <c r="D1009">
        <f>SUM($C$3:C1009)</f>
        <v>4</v>
      </c>
      <c r="E1009" t="e">
        <f t="shared" si="46"/>
        <v>#N/A</v>
      </c>
      <c r="F1009" s="28" t="str">
        <f t="shared" ca="1" si="47"/>
        <v/>
      </c>
    </row>
    <row r="1010" spans="2:6" x14ac:dyDescent="0.2">
      <c r="B1010" t="str">
        <f>IFERROR(IF('PDCA review'!$D$2='Check'!B1010,'Check'!G1010,""),"")</f>
        <v/>
      </c>
      <c r="C1010">
        <f t="shared" si="45"/>
        <v>0</v>
      </c>
      <c r="D1010">
        <f>SUM($C$3:C1010)</f>
        <v>4</v>
      </c>
      <c r="E1010" t="e">
        <f t="shared" si="46"/>
        <v>#N/A</v>
      </c>
      <c r="F1010" s="28" t="str">
        <f t="shared" ca="1" si="47"/>
        <v/>
      </c>
    </row>
    <row r="1011" spans="2:6" x14ac:dyDescent="0.2">
      <c r="B1011" t="str">
        <f>IFERROR(IF('PDCA review'!$D$2='Check'!B1011,'Check'!G1011,""),"")</f>
        <v/>
      </c>
      <c r="C1011">
        <f t="shared" si="45"/>
        <v>0</v>
      </c>
      <c r="D1011">
        <f>SUM($C$3:C1011)</f>
        <v>4</v>
      </c>
      <c r="E1011" t="e">
        <f t="shared" si="46"/>
        <v>#N/A</v>
      </c>
      <c r="F1011" s="28" t="str">
        <f t="shared" ca="1" si="47"/>
        <v/>
      </c>
    </row>
    <row r="1012" spans="2:6" x14ac:dyDescent="0.2">
      <c r="B1012" t="str">
        <f>IFERROR(IF('PDCA review'!$D$2='Check'!B1012,'Check'!G1012,""),"")</f>
        <v/>
      </c>
      <c r="C1012">
        <f t="shared" si="45"/>
        <v>0</v>
      </c>
      <c r="D1012">
        <f>SUM($C$3:C1012)</f>
        <v>4</v>
      </c>
      <c r="E1012" t="e">
        <f t="shared" si="46"/>
        <v>#N/A</v>
      </c>
      <c r="F1012" s="28" t="str">
        <f t="shared" ca="1" si="47"/>
        <v/>
      </c>
    </row>
    <row r="1013" spans="2:6" x14ac:dyDescent="0.2">
      <c r="B1013" t="str">
        <f>IFERROR(IF('PDCA review'!$D$2='Check'!B1013,'Check'!G1013,""),"")</f>
        <v/>
      </c>
      <c r="C1013">
        <f t="shared" si="45"/>
        <v>0</v>
      </c>
      <c r="D1013">
        <f>SUM($C$3:C1013)</f>
        <v>4</v>
      </c>
      <c r="E1013" t="e">
        <f t="shared" si="46"/>
        <v>#N/A</v>
      </c>
      <c r="F1013" s="28" t="str">
        <f t="shared" ca="1" si="47"/>
        <v/>
      </c>
    </row>
    <row r="1014" spans="2:6" x14ac:dyDescent="0.2">
      <c r="B1014" t="str">
        <f>IFERROR(IF('PDCA review'!$D$2='Check'!B1014,'Check'!G1014,""),"")</f>
        <v/>
      </c>
      <c r="C1014">
        <f t="shared" si="45"/>
        <v>0</v>
      </c>
      <c r="D1014">
        <f>SUM($C$3:C1014)</f>
        <v>4</v>
      </c>
      <c r="E1014" t="e">
        <f t="shared" si="46"/>
        <v>#N/A</v>
      </c>
      <c r="F1014" s="28" t="str">
        <f t="shared" ca="1" si="47"/>
        <v/>
      </c>
    </row>
    <row r="1015" spans="2:6" x14ac:dyDescent="0.2">
      <c r="B1015" t="str">
        <f>IFERROR(IF('PDCA review'!$D$2='Check'!B1015,'Check'!G1015,""),"")</f>
        <v/>
      </c>
      <c r="C1015">
        <f t="shared" si="45"/>
        <v>0</v>
      </c>
      <c r="D1015">
        <f>SUM($C$3:C1015)</f>
        <v>4</v>
      </c>
      <c r="E1015" t="e">
        <f t="shared" si="46"/>
        <v>#N/A</v>
      </c>
      <c r="F1015" s="28" t="str">
        <f t="shared" ca="1" si="47"/>
        <v/>
      </c>
    </row>
    <row r="1016" spans="2:6" x14ac:dyDescent="0.2">
      <c r="B1016" t="str">
        <f>IFERROR(IF('PDCA review'!$D$2='Check'!B1016,'Check'!G1016,""),"")</f>
        <v/>
      </c>
      <c r="C1016">
        <f t="shared" si="45"/>
        <v>0</v>
      </c>
      <c r="D1016">
        <f>SUM($C$3:C1016)</f>
        <v>4</v>
      </c>
      <c r="E1016" t="e">
        <f t="shared" si="46"/>
        <v>#N/A</v>
      </c>
      <c r="F1016" s="28" t="str">
        <f t="shared" ca="1" si="47"/>
        <v/>
      </c>
    </row>
    <row r="1017" spans="2:6" x14ac:dyDescent="0.2">
      <c r="B1017" t="str">
        <f>IFERROR(IF('PDCA review'!$D$2='Check'!B1017,'Check'!G1017,""),"")</f>
        <v/>
      </c>
      <c r="C1017">
        <f t="shared" si="45"/>
        <v>0</v>
      </c>
      <c r="D1017">
        <f>SUM($C$3:C1017)</f>
        <v>4</v>
      </c>
      <c r="E1017" t="e">
        <f t="shared" si="46"/>
        <v>#N/A</v>
      </c>
      <c r="F1017" s="28" t="str">
        <f t="shared" ca="1" si="47"/>
        <v/>
      </c>
    </row>
    <row r="1018" spans="2:6" x14ac:dyDescent="0.2">
      <c r="B1018" t="str">
        <f>IFERROR(IF('PDCA review'!$D$2='Check'!B1018,'Check'!G1018,""),"")</f>
        <v/>
      </c>
      <c r="C1018">
        <f t="shared" si="45"/>
        <v>0</v>
      </c>
      <c r="D1018">
        <f>SUM($C$3:C1018)</f>
        <v>4</v>
      </c>
      <c r="E1018" t="e">
        <f t="shared" si="46"/>
        <v>#N/A</v>
      </c>
      <c r="F1018" s="28" t="str">
        <f t="shared" ca="1" si="47"/>
        <v/>
      </c>
    </row>
    <row r="1019" spans="2:6" x14ac:dyDescent="0.2">
      <c r="B1019" t="str">
        <f>IFERROR(IF('PDCA review'!$D$2='Check'!B1019,'Check'!G1019,""),"")</f>
        <v/>
      </c>
      <c r="C1019">
        <f t="shared" si="45"/>
        <v>0</v>
      </c>
      <c r="D1019">
        <f>SUM($C$3:C1019)</f>
        <v>4</v>
      </c>
      <c r="E1019" t="e">
        <f t="shared" si="46"/>
        <v>#N/A</v>
      </c>
      <c r="F1019" s="28" t="str">
        <f t="shared" ca="1" si="47"/>
        <v/>
      </c>
    </row>
    <row r="1020" spans="2:6" x14ac:dyDescent="0.2">
      <c r="B1020" t="str">
        <f>IFERROR(IF('PDCA review'!$D$2='Check'!B1020,'Check'!G1020,""),"")</f>
        <v/>
      </c>
      <c r="C1020">
        <f t="shared" si="45"/>
        <v>0</v>
      </c>
      <c r="D1020">
        <f>SUM($C$3:C1020)</f>
        <v>4</v>
      </c>
      <c r="E1020" t="e">
        <f t="shared" si="46"/>
        <v>#N/A</v>
      </c>
      <c r="F1020" s="28" t="str">
        <f t="shared" ca="1" si="47"/>
        <v/>
      </c>
    </row>
    <row r="1021" spans="2:6" x14ac:dyDescent="0.2">
      <c r="B1021" t="str">
        <f>IFERROR(IF('PDCA review'!$D$2='Check'!B1021,'Check'!G1021,""),"")</f>
        <v/>
      </c>
      <c r="C1021">
        <f t="shared" si="45"/>
        <v>0</v>
      </c>
      <c r="D1021">
        <f>SUM($C$3:C1021)</f>
        <v>4</v>
      </c>
      <c r="E1021" t="e">
        <f t="shared" si="46"/>
        <v>#N/A</v>
      </c>
      <c r="F1021" s="28" t="str">
        <f t="shared" ca="1" si="47"/>
        <v/>
      </c>
    </row>
    <row r="1022" spans="2:6" x14ac:dyDescent="0.2">
      <c r="B1022" t="str">
        <f>IFERROR(IF('PDCA review'!$D$2='Check'!B1022,'Check'!G1022,""),"")</f>
        <v/>
      </c>
      <c r="C1022">
        <f t="shared" si="45"/>
        <v>0</v>
      </c>
      <c r="D1022">
        <f>SUM($C$3:C1022)</f>
        <v>4</v>
      </c>
      <c r="E1022" t="e">
        <f t="shared" si="46"/>
        <v>#N/A</v>
      </c>
      <c r="F1022" s="28" t="str">
        <f t="shared" ca="1" si="47"/>
        <v/>
      </c>
    </row>
    <row r="1023" spans="2:6" x14ac:dyDescent="0.2">
      <c r="B1023" t="str">
        <f>IFERROR(IF('PDCA review'!$D$2='Check'!B1023,'Check'!G1023,""),"")</f>
        <v/>
      </c>
      <c r="C1023">
        <f t="shared" si="45"/>
        <v>0</v>
      </c>
      <c r="D1023">
        <f>SUM($C$3:C1023)</f>
        <v>4</v>
      </c>
      <c r="E1023" t="e">
        <f t="shared" si="46"/>
        <v>#N/A</v>
      </c>
      <c r="F1023" s="28" t="str">
        <f t="shared" ca="1" si="47"/>
        <v/>
      </c>
    </row>
    <row r="1024" spans="2:6" x14ac:dyDescent="0.2">
      <c r="B1024" t="str">
        <f>IFERROR(IF('PDCA review'!$D$2='Check'!B1024,'Check'!G1024,""),"")</f>
        <v/>
      </c>
      <c r="C1024">
        <f t="shared" si="45"/>
        <v>0</v>
      </c>
      <c r="D1024">
        <f>SUM($C$3:C1024)</f>
        <v>4</v>
      </c>
      <c r="E1024" t="e">
        <f t="shared" si="46"/>
        <v>#N/A</v>
      </c>
      <c r="F1024" s="28" t="str">
        <f t="shared" ca="1" si="47"/>
        <v/>
      </c>
    </row>
    <row r="1025" spans="2:6" x14ac:dyDescent="0.2">
      <c r="B1025" t="str">
        <f>IFERROR(IF('PDCA review'!$D$2='Check'!B1025,'Check'!G1025,""),"")</f>
        <v/>
      </c>
      <c r="C1025">
        <f t="shared" si="45"/>
        <v>0</v>
      </c>
      <c r="D1025">
        <f>SUM($C$3:C1025)</f>
        <v>4</v>
      </c>
      <c r="E1025" t="e">
        <f t="shared" si="46"/>
        <v>#N/A</v>
      </c>
      <c r="F1025" s="28" t="str">
        <f t="shared" ca="1" si="47"/>
        <v/>
      </c>
    </row>
    <row r="1026" spans="2:6" x14ac:dyDescent="0.2">
      <c r="B1026" t="str">
        <f>IFERROR(IF('PDCA review'!$D$2='Check'!B1026,'Check'!G1026,""),"")</f>
        <v/>
      </c>
      <c r="C1026">
        <f t="shared" si="45"/>
        <v>0</v>
      </c>
      <c r="D1026">
        <f>SUM($C$3:C1026)</f>
        <v>4</v>
      </c>
      <c r="E1026" t="e">
        <f t="shared" si="46"/>
        <v>#N/A</v>
      </c>
      <c r="F1026" s="28" t="str">
        <f t="shared" ca="1" si="47"/>
        <v/>
      </c>
    </row>
    <row r="1027" spans="2:6" x14ac:dyDescent="0.2">
      <c r="B1027" t="str">
        <f>IFERROR(IF('PDCA review'!$D$2='Check'!B1027,'Check'!G1027,""),"")</f>
        <v/>
      </c>
      <c r="C1027">
        <f t="shared" si="45"/>
        <v>0</v>
      </c>
      <c r="D1027">
        <f>SUM($C$3:C1027)</f>
        <v>4</v>
      </c>
      <c r="E1027" t="e">
        <f t="shared" si="46"/>
        <v>#N/A</v>
      </c>
      <c r="F1027" s="28" t="str">
        <f t="shared" ca="1" si="47"/>
        <v/>
      </c>
    </row>
    <row r="1028" spans="2:6" x14ac:dyDescent="0.2">
      <c r="B1028" t="str">
        <f>IFERROR(IF('PDCA review'!$D$2='Check'!B1028,'Check'!G1028,""),"")</f>
        <v/>
      </c>
      <c r="C1028">
        <f t="shared" ref="C1028:C1091" si="48">IF(B1028&lt;&gt;"",1,0)</f>
        <v>0</v>
      </c>
      <c r="D1028">
        <f>SUM($C$3:C1028)</f>
        <v>4</v>
      </c>
      <c r="E1028" t="e">
        <f t="shared" ref="E1028:E1091" si="49">MATCH(ROW()-$D$2,$D$3:$D$2000,0)+$D$2</f>
        <v>#N/A</v>
      </c>
      <c r="F1028" s="28" t="str">
        <f t="shared" ref="F1028:F1091" ca="1" si="50">IFERROR(INDIRECT("B"&amp;E1028),"")</f>
        <v/>
      </c>
    </row>
    <row r="1029" spans="2:6" x14ac:dyDescent="0.2">
      <c r="B1029" t="str">
        <f>IFERROR(IF('PDCA review'!$D$2='Check'!B1029,'Check'!G1029,""),"")</f>
        <v/>
      </c>
      <c r="C1029">
        <f t="shared" si="48"/>
        <v>0</v>
      </c>
      <c r="D1029">
        <f>SUM($C$3:C1029)</f>
        <v>4</v>
      </c>
      <c r="E1029" t="e">
        <f t="shared" si="49"/>
        <v>#N/A</v>
      </c>
      <c r="F1029" s="28" t="str">
        <f t="shared" ca="1" si="50"/>
        <v/>
      </c>
    </row>
    <row r="1030" spans="2:6" x14ac:dyDescent="0.2">
      <c r="B1030" t="str">
        <f>IFERROR(IF('PDCA review'!$D$2='Check'!B1030,'Check'!G1030,""),"")</f>
        <v/>
      </c>
      <c r="C1030">
        <f t="shared" si="48"/>
        <v>0</v>
      </c>
      <c r="D1030">
        <f>SUM($C$3:C1030)</f>
        <v>4</v>
      </c>
      <c r="E1030" t="e">
        <f t="shared" si="49"/>
        <v>#N/A</v>
      </c>
      <c r="F1030" s="28" t="str">
        <f t="shared" ca="1" si="50"/>
        <v/>
      </c>
    </row>
    <row r="1031" spans="2:6" x14ac:dyDescent="0.2">
      <c r="B1031" t="str">
        <f>IFERROR(IF('PDCA review'!$D$2='Check'!B1031,'Check'!G1031,""),"")</f>
        <v/>
      </c>
      <c r="C1031">
        <f t="shared" si="48"/>
        <v>0</v>
      </c>
      <c r="D1031">
        <f>SUM($C$3:C1031)</f>
        <v>4</v>
      </c>
      <c r="E1031" t="e">
        <f t="shared" si="49"/>
        <v>#N/A</v>
      </c>
      <c r="F1031" s="28" t="str">
        <f t="shared" ca="1" si="50"/>
        <v/>
      </c>
    </row>
    <row r="1032" spans="2:6" x14ac:dyDescent="0.2">
      <c r="B1032" t="str">
        <f>IFERROR(IF('PDCA review'!$D$2='Check'!B1032,'Check'!G1032,""),"")</f>
        <v/>
      </c>
      <c r="C1032">
        <f t="shared" si="48"/>
        <v>0</v>
      </c>
      <c r="D1032">
        <f>SUM($C$3:C1032)</f>
        <v>4</v>
      </c>
      <c r="E1032" t="e">
        <f t="shared" si="49"/>
        <v>#N/A</v>
      </c>
      <c r="F1032" s="28" t="str">
        <f t="shared" ca="1" si="50"/>
        <v/>
      </c>
    </row>
    <row r="1033" spans="2:6" x14ac:dyDescent="0.2">
      <c r="B1033" t="str">
        <f>IFERROR(IF('PDCA review'!$D$2='Check'!B1033,'Check'!G1033,""),"")</f>
        <v/>
      </c>
      <c r="C1033">
        <f t="shared" si="48"/>
        <v>0</v>
      </c>
      <c r="D1033">
        <f>SUM($C$3:C1033)</f>
        <v>4</v>
      </c>
      <c r="E1033" t="e">
        <f t="shared" si="49"/>
        <v>#N/A</v>
      </c>
      <c r="F1033" s="28" t="str">
        <f t="shared" ca="1" si="50"/>
        <v/>
      </c>
    </row>
    <row r="1034" spans="2:6" x14ac:dyDescent="0.2">
      <c r="B1034" t="str">
        <f>IFERROR(IF('PDCA review'!$D$2='Check'!B1034,'Check'!G1034,""),"")</f>
        <v/>
      </c>
      <c r="C1034">
        <f t="shared" si="48"/>
        <v>0</v>
      </c>
      <c r="D1034">
        <f>SUM($C$3:C1034)</f>
        <v>4</v>
      </c>
      <c r="E1034" t="e">
        <f t="shared" si="49"/>
        <v>#N/A</v>
      </c>
      <c r="F1034" s="28" t="str">
        <f t="shared" ca="1" si="50"/>
        <v/>
      </c>
    </row>
    <row r="1035" spans="2:6" x14ac:dyDescent="0.2">
      <c r="B1035" t="str">
        <f>IFERROR(IF('PDCA review'!$D$2='Check'!B1035,'Check'!G1035,""),"")</f>
        <v/>
      </c>
      <c r="C1035">
        <f t="shared" si="48"/>
        <v>0</v>
      </c>
      <c r="D1035">
        <f>SUM($C$3:C1035)</f>
        <v>4</v>
      </c>
      <c r="E1035" t="e">
        <f t="shared" si="49"/>
        <v>#N/A</v>
      </c>
      <c r="F1035" s="28" t="str">
        <f t="shared" ca="1" si="50"/>
        <v/>
      </c>
    </row>
    <row r="1036" spans="2:6" x14ac:dyDescent="0.2">
      <c r="B1036" t="str">
        <f>IFERROR(IF('PDCA review'!$D$2='Check'!B1036,'Check'!G1036,""),"")</f>
        <v/>
      </c>
      <c r="C1036">
        <f t="shared" si="48"/>
        <v>0</v>
      </c>
      <c r="D1036">
        <f>SUM($C$3:C1036)</f>
        <v>4</v>
      </c>
      <c r="E1036" t="e">
        <f t="shared" si="49"/>
        <v>#N/A</v>
      </c>
      <c r="F1036" s="28" t="str">
        <f t="shared" ca="1" si="50"/>
        <v/>
      </c>
    </row>
    <row r="1037" spans="2:6" x14ac:dyDescent="0.2">
      <c r="B1037" t="str">
        <f>IFERROR(IF('PDCA review'!$D$2='Check'!B1037,'Check'!G1037,""),"")</f>
        <v/>
      </c>
      <c r="C1037">
        <f t="shared" si="48"/>
        <v>0</v>
      </c>
      <c r="D1037">
        <f>SUM($C$3:C1037)</f>
        <v>4</v>
      </c>
      <c r="E1037" t="e">
        <f t="shared" si="49"/>
        <v>#N/A</v>
      </c>
      <c r="F1037" s="28" t="str">
        <f t="shared" ca="1" si="50"/>
        <v/>
      </c>
    </row>
    <row r="1038" spans="2:6" x14ac:dyDescent="0.2">
      <c r="B1038" t="str">
        <f>IFERROR(IF('PDCA review'!$D$2='Check'!B1038,'Check'!G1038,""),"")</f>
        <v/>
      </c>
      <c r="C1038">
        <f t="shared" si="48"/>
        <v>0</v>
      </c>
      <c r="D1038">
        <f>SUM($C$3:C1038)</f>
        <v>4</v>
      </c>
      <c r="E1038" t="e">
        <f t="shared" si="49"/>
        <v>#N/A</v>
      </c>
      <c r="F1038" s="28" t="str">
        <f t="shared" ca="1" si="50"/>
        <v/>
      </c>
    </row>
    <row r="1039" spans="2:6" x14ac:dyDescent="0.2">
      <c r="B1039" t="str">
        <f>IFERROR(IF('PDCA review'!$D$2='Check'!B1039,'Check'!G1039,""),"")</f>
        <v/>
      </c>
      <c r="C1039">
        <f t="shared" si="48"/>
        <v>0</v>
      </c>
      <c r="D1039">
        <f>SUM($C$3:C1039)</f>
        <v>4</v>
      </c>
      <c r="E1039" t="e">
        <f t="shared" si="49"/>
        <v>#N/A</v>
      </c>
      <c r="F1039" s="28" t="str">
        <f t="shared" ca="1" si="50"/>
        <v/>
      </c>
    </row>
    <row r="1040" spans="2:6" x14ac:dyDescent="0.2">
      <c r="B1040" t="str">
        <f>IFERROR(IF('PDCA review'!$D$2='Check'!B1040,'Check'!G1040,""),"")</f>
        <v/>
      </c>
      <c r="C1040">
        <f t="shared" si="48"/>
        <v>0</v>
      </c>
      <c r="D1040">
        <f>SUM($C$3:C1040)</f>
        <v>4</v>
      </c>
      <c r="E1040" t="e">
        <f t="shared" si="49"/>
        <v>#N/A</v>
      </c>
      <c r="F1040" s="28" t="str">
        <f t="shared" ca="1" si="50"/>
        <v/>
      </c>
    </row>
    <row r="1041" spans="2:6" x14ac:dyDescent="0.2">
      <c r="B1041" t="str">
        <f>IFERROR(IF('PDCA review'!$D$2='Check'!B1041,'Check'!G1041,""),"")</f>
        <v/>
      </c>
      <c r="C1041">
        <f t="shared" si="48"/>
        <v>0</v>
      </c>
      <c r="D1041">
        <f>SUM($C$3:C1041)</f>
        <v>4</v>
      </c>
      <c r="E1041" t="e">
        <f t="shared" si="49"/>
        <v>#N/A</v>
      </c>
      <c r="F1041" s="28" t="str">
        <f t="shared" ca="1" si="50"/>
        <v/>
      </c>
    </row>
    <row r="1042" spans="2:6" x14ac:dyDescent="0.2">
      <c r="B1042" t="str">
        <f>IFERROR(IF('PDCA review'!$D$2='Check'!B1042,'Check'!G1042,""),"")</f>
        <v/>
      </c>
      <c r="C1042">
        <f t="shared" si="48"/>
        <v>0</v>
      </c>
      <c r="D1042">
        <f>SUM($C$3:C1042)</f>
        <v>4</v>
      </c>
      <c r="E1042" t="e">
        <f t="shared" si="49"/>
        <v>#N/A</v>
      </c>
      <c r="F1042" s="28" t="str">
        <f t="shared" ca="1" si="50"/>
        <v/>
      </c>
    </row>
    <row r="1043" spans="2:6" x14ac:dyDescent="0.2">
      <c r="B1043" t="str">
        <f>IFERROR(IF('PDCA review'!$D$2='Check'!B1043,'Check'!G1043,""),"")</f>
        <v/>
      </c>
      <c r="C1043">
        <f t="shared" si="48"/>
        <v>0</v>
      </c>
      <c r="D1043">
        <f>SUM($C$3:C1043)</f>
        <v>4</v>
      </c>
      <c r="E1043" t="e">
        <f t="shared" si="49"/>
        <v>#N/A</v>
      </c>
      <c r="F1043" s="28" t="str">
        <f t="shared" ca="1" si="50"/>
        <v/>
      </c>
    </row>
    <row r="1044" spans="2:6" x14ac:dyDescent="0.2">
      <c r="B1044" t="str">
        <f>IFERROR(IF('PDCA review'!$D$2='Check'!B1044,'Check'!G1044,""),"")</f>
        <v/>
      </c>
      <c r="C1044">
        <f t="shared" si="48"/>
        <v>0</v>
      </c>
      <c r="D1044">
        <f>SUM($C$3:C1044)</f>
        <v>4</v>
      </c>
      <c r="E1044" t="e">
        <f t="shared" si="49"/>
        <v>#N/A</v>
      </c>
      <c r="F1044" s="28" t="str">
        <f t="shared" ca="1" si="50"/>
        <v/>
      </c>
    </row>
    <row r="1045" spans="2:6" x14ac:dyDescent="0.2">
      <c r="B1045" t="str">
        <f>IFERROR(IF('PDCA review'!$D$2='Check'!B1045,'Check'!G1045,""),"")</f>
        <v/>
      </c>
      <c r="C1045">
        <f t="shared" si="48"/>
        <v>0</v>
      </c>
      <c r="D1045">
        <f>SUM($C$3:C1045)</f>
        <v>4</v>
      </c>
      <c r="E1045" t="e">
        <f t="shared" si="49"/>
        <v>#N/A</v>
      </c>
      <c r="F1045" s="28" t="str">
        <f t="shared" ca="1" si="50"/>
        <v/>
      </c>
    </row>
    <row r="1046" spans="2:6" x14ac:dyDescent="0.2">
      <c r="B1046" t="str">
        <f>IFERROR(IF('PDCA review'!$D$2='Check'!B1046,'Check'!G1046,""),"")</f>
        <v/>
      </c>
      <c r="C1046">
        <f t="shared" si="48"/>
        <v>0</v>
      </c>
      <c r="D1046">
        <f>SUM($C$3:C1046)</f>
        <v>4</v>
      </c>
      <c r="E1046" t="e">
        <f t="shared" si="49"/>
        <v>#N/A</v>
      </c>
      <c r="F1046" s="28" t="str">
        <f t="shared" ca="1" si="50"/>
        <v/>
      </c>
    </row>
    <row r="1047" spans="2:6" x14ac:dyDescent="0.2">
      <c r="B1047" t="str">
        <f>IFERROR(IF('PDCA review'!$D$2='Check'!B1047,'Check'!G1047,""),"")</f>
        <v/>
      </c>
      <c r="C1047">
        <f t="shared" si="48"/>
        <v>0</v>
      </c>
      <c r="D1047">
        <f>SUM($C$3:C1047)</f>
        <v>4</v>
      </c>
      <c r="E1047" t="e">
        <f t="shared" si="49"/>
        <v>#N/A</v>
      </c>
      <c r="F1047" s="28" t="str">
        <f t="shared" ca="1" si="50"/>
        <v/>
      </c>
    </row>
    <row r="1048" spans="2:6" x14ac:dyDescent="0.2">
      <c r="B1048" t="str">
        <f>IFERROR(IF('PDCA review'!$D$2='Check'!B1048,'Check'!G1048,""),"")</f>
        <v/>
      </c>
      <c r="C1048">
        <f t="shared" si="48"/>
        <v>0</v>
      </c>
      <c r="D1048">
        <f>SUM($C$3:C1048)</f>
        <v>4</v>
      </c>
      <c r="E1048" t="e">
        <f t="shared" si="49"/>
        <v>#N/A</v>
      </c>
      <c r="F1048" s="28" t="str">
        <f t="shared" ca="1" si="50"/>
        <v/>
      </c>
    </row>
    <row r="1049" spans="2:6" x14ac:dyDescent="0.2">
      <c r="B1049" t="str">
        <f>IFERROR(IF('PDCA review'!$D$2='Check'!B1049,'Check'!G1049,""),"")</f>
        <v/>
      </c>
      <c r="C1049">
        <f t="shared" si="48"/>
        <v>0</v>
      </c>
      <c r="D1049">
        <f>SUM($C$3:C1049)</f>
        <v>4</v>
      </c>
      <c r="E1049" t="e">
        <f t="shared" si="49"/>
        <v>#N/A</v>
      </c>
      <c r="F1049" s="28" t="str">
        <f t="shared" ca="1" si="50"/>
        <v/>
      </c>
    </row>
    <row r="1050" spans="2:6" x14ac:dyDescent="0.2">
      <c r="B1050" t="str">
        <f>IFERROR(IF('PDCA review'!$D$2='Check'!B1050,'Check'!G1050,""),"")</f>
        <v/>
      </c>
      <c r="C1050">
        <f t="shared" si="48"/>
        <v>0</v>
      </c>
      <c r="D1050">
        <f>SUM($C$3:C1050)</f>
        <v>4</v>
      </c>
      <c r="E1050" t="e">
        <f t="shared" si="49"/>
        <v>#N/A</v>
      </c>
      <c r="F1050" s="28" t="str">
        <f t="shared" ca="1" si="50"/>
        <v/>
      </c>
    </row>
    <row r="1051" spans="2:6" x14ac:dyDescent="0.2">
      <c r="B1051" t="str">
        <f>IFERROR(IF('PDCA review'!$D$2='Check'!B1051,'Check'!G1051,""),"")</f>
        <v/>
      </c>
      <c r="C1051">
        <f t="shared" si="48"/>
        <v>0</v>
      </c>
      <c r="D1051">
        <f>SUM($C$3:C1051)</f>
        <v>4</v>
      </c>
      <c r="E1051" t="e">
        <f t="shared" si="49"/>
        <v>#N/A</v>
      </c>
      <c r="F1051" s="28" t="str">
        <f t="shared" ca="1" si="50"/>
        <v/>
      </c>
    </row>
    <row r="1052" spans="2:6" x14ac:dyDescent="0.2">
      <c r="B1052" t="str">
        <f>IFERROR(IF('PDCA review'!$D$2='Check'!B1052,'Check'!G1052,""),"")</f>
        <v/>
      </c>
      <c r="C1052">
        <f t="shared" si="48"/>
        <v>0</v>
      </c>
      <c r="D1052">
        <f>SUM($C$3:C1052)</f>
        <v>4</v>
      </c>
      <c r="E1052" t="e">
        <f t="shared" si="49"/>
        <v>#N/A</v>
      </c>
      <c r="F1052" s="28" t="str">
        <f t="shared" ca="1" si="50"/>
        <v/>
      </c>
    </row>
    <row r="1053" spans="2:6" x14ac:dyDescent="0.2">
      <c r="B1053" t="str">
        <f>IFERROR(IF('PDCA review'!$D$2='Check'!B1053,'Check'!G1053,""),"")</f>
        <v/>
      </c>
      <c r="C1053">
        <f t="shared" si="48"/>
        <v>0</v>
      </c>
      <c r="D1053">
        <f>SUM($C$3:C1053)</f>
        <v>4</v>
      </c>
      <c r="E1053" t="e">
        <f t="shared" si="49"/>
        <v>#N/A</v>
      </c>
      <c r="F1053" s="28" t="str">
        <f t="shared" ca="1" si="50"/>
        <v/>
      </c>
    </row>
    <row r="1054" spans="2:6" x14ac:dyDescent="0.2">
      <c r="B1054" t="str">
        <f>IFERROR(IF('PDCA review'!$D$2='Check'!B1054,'Check'!G1054,""),"")</f>
        <v/>
      </c>
      <c r="C1054">
        <f t="shared" si="48"/>
        <v>0</v>
      </c>
      <c r="D1054">
        <f>SUM($C$3:C1054)</f>
        <v>4</v>
      </c>
      <c r="E1054" t="e">
        <f t="shared" si="49"/>
        <v>#N/A</v>
      </c>
      <c r="F1054" s="28" t="str">
        <f t="shared" ca="1" si="50"/>
        <v/>
      </c>
    </row>
    <row r="1055" spans="2:6" x14ac:dyDescent="0.2">
      <c r="B1055" t="str">
        <f>IFERROR(IF('PDCA review'!$D$2='Check'!B1055,'Check'!G1055,""),"")</f>
        <v/>
      </c>
      <c r="C1055">
        <f t="shared" si="48"/>
        <v>0</v>
      </c>
      <c r="D1055">
        <f>SUM($C$3:C1055)</f>
        <v>4</v>
      </c>
      <c r="E1055" t="e">
        <f t="shared" si="49"/>
        <v>#N/A</v>
      </c>
      <c r="F1055" s="28" t="str">
        <f t="shared" ca="1" si="50"/>
        <v/>
      </c>
    </row>
    <row r="1056" spans="2:6" x14ac:dyDescent="0.2">
      <c r="B1056" t="str">
        <f>IFERROR(IF('PDCA review'!$D$2='Check'!B1056,'Check'!G1056,""),"")</f>
        <v/>
      </c>
      <c r="C1056">
        <f t="shared" si="48"/>
        <v>0</v>
      </c>
      <c r="D1056">
        <f>SUM($C$3:C1056)</f>
        <v>4</v>
      </c>
      <c r="E1056" t="e">
        <f t="shared" si="49"/>
        <v>#N/A</v>
      </c>
      <c r="F1056" s="28" t="str">
        <f t="shared" ca="1" si="50"/>
        <v/>
      </c>
    </row>
    <row r="1057" spans="2:6" x14ac:dyDescent="0.2">
      <c r="B1057" t="str">
        <f>IFERROR(IF('PDCA review'!$D$2='Check'!B1057,'Check'!G1057,""),"")</f>
        <v/>
      </c>
      <c r="C1057">
        <f t="shared" si="48"/>
        <v>0</v>
      </c>
      <c r="D1057">
        <f>SUM($C$3:C1057)</f>
        <v>4</v>
      </c>
      <c r="E1057" t="e">
        <f t="shared" si="49"/>
        <v>#N/A</v>
      </c>
      <c r="F1057" s="28" t="str">
        <f t="shared" ca="1" si="50"/>
        <v/>
      </c>
    </row>
    <row r="1058" spans="2:6" x14ac:dyDescent="0.2">
      <c r="B1058" t="str">
        <f>IFERROR(IF('PDCA review'!$D$2='Check'!B1058,'Check'!G1058,""),"")</f>
        <v/>
      </c>
      <c r="C1058">
        <f t="shared" si="48"/>
        <v>0</v>
      </c>
      <c r="D1058">
        <f>SUM($C$3:C1058)</f>
        <v>4</v>
      </c>
      <c r="E1058" t="e">
        <f t="shared" si="49"/>
        <v>#N/A</v>
      </c>
      <c r="F1058" s="28" t="str">
        <f t="shared" ca="1" si="50"/>
        <v/>
      </c>
    </row>
    <row r="1059" spans="2:6" x14ac:dyDescent="0.2">
      <c r="B1059" t="str">
        <f>IFERROR(IF('PDCA review'!$D$2='Check'!B1059,'Check'!G1059,""),"")</f>
        <v/>
      </c>
      <c r="C1059">
        <f t="shared" si="48"/>
        <v>0</v>
      </c>
      <c r="D1059">
        <f>SUM($C$3:C1059)</f>
        <v>4</v>
      </c>
      <c r="E1059" t="e">
        <f t="shared" si="49"/>
        <v>#N/A</v>
      </c>
      <c r="F1059" s="28" t="str">
        <f t="shared" ca="1" si="50"/>
        <v/>
      </c>
    </row>
    <row r="1060" spans="2:6" x14ac:dyDescent="0.2">
      <c r="B1060" t="str">
        <f>IFERROR(IF('PDCA review'!$D$2='Check'!B1060,'Check'!G1060,""),"")</f>
        <v/>
      </c>
      <c r="C1060">
        <f t="shared" si="48"/>
        <v>0</v>
      </c>
      <c r="D1060">
        <f>SUM($C$3:C1060)</f>
        <v>4</v>
      </c>
      <c r="E1060" t="e">
        <f t="shared" si="49"/>
        <v>#N/A</v>
      </c>
      <c r="F1060" s="28" t="str">
        <f t="shared" ca="1" si="50"/>
        <v/>
      </c>
    </row>
    <row r="1061" spans="2:6" x14ac:dyDescent="0.2">
      <c r="B1061" t="str">
        <f>IFERROR(IF('PDCA review'!$D$2='Check'!B1061,'Check'!G1061,""),"")</f>
        <v/>
      </c>
      <c r="C1061">
        <f t="shared" si="48"/>
        <v>0</v>
      </c>
      <c r="D1061">
        <f>SUM($C$3:C1061)</f>
        <v>4</v>
      </c>
      <c r="E1061" t="e">
        <f t="shared" si="49"/>
        <v>#N/A</v>
      </c>
      <c r="F1061" s="28" t="str">
        <f t="shared" ca="1" si="50"/>
        <v/>
      </c>
    </row>
    <row r="1062" spans="2:6" x14ac:dyDescent="0.2">
      <c r="B1062" t="str">
        <f>IFERROR(IF('PDCA review'!$D$2='Check'!B1062,'Check'!G1062,""),"")</f>
        <v/>
      </c>
      <c r="C1062">
        <f t="shared" si="48"/>
        <v>0</v>
      </c>
      <c r="D1062">
        <f>SUM($C$3:C1062)</f>
        <v>4</v>
      </c>
      <c r="E1062" t="e">
        <f t="shared" si="49"/>
        <v>#N/A</v>
      </c>
      <c r="F1062" s="28" t="str">
        <f t="shared" ca="1" si="50"/>
        <v/>
      </c>
    </row>
    <row r="1063" spans="2:6" x14ac:dyDescent="0.2">
      <c r="B1063" t="str">
        <f>IFERROR(IF('PDCA review'!$D$2='Check'!B1063,'Check'!G1063,""),"")</f>
        <v/>
      </c>
      <c r="C1063">
        <f t="shared" si="48"/>
        <v>0</v>
      </c>
      <c r="D1063">
        <f>SUM($C$3:C1063)</f>
        <v>4</v>
      </c>
      <c r="E1063" t="e">
        <f t="shared" si="49"/>
        <v>#N/A</v>
      </c>
      <c r="F1063" s="28" t="str">
        <f t="shared" ca="1" si="50"/>
        <v/>
      </c>
    </row>
    <row r="1064" spans="2:6" x14ac:dyDescent="0.2">
      <c r="B1064" t="str">
        <f>IFERROR(IF('PDCA review'!$D$2='Check'!B1064,'Check'!G1064,""),"")</f>
        <v/>
      </c>
      <c r="C1064">
        <f t="shared" si="48"/>
        <v>0</v>
      </c>
      <c r="D1064">
        <f>SUM($C$3:C1064)</f>
        <v>4</v>
      </c>
      <c r="E1064" t="e">
        <f t="shared" si="49"/>
        <v>#N/A</v>
      </c>
      <c r="F1064" s="28" t="str">
        <f t="shared" ca="1" si="50"/>
        <v/>
      </c>
    </row>
    <row r="1065" spans="2:6" x14ac:dyDescent="0.2">
      <c r="B1065" t="str">
        <f>IFERROR(IF('PDCA review'!$D$2='Check'!B1065,'Check'!G1065,""),"")</f>
        <v/>
      </c>
      <c r="C1065">
        <f t="shared" si="48"/>
        <v>0</v>
      </c>
      <c r="D1065">
        <f>SUM($C$3:C1065)</f>
        <v>4</v>
      </c>
      <c r="E1065" t="e">
        <f t="shared" si="49"/>
        <v>#N/A</v>
      </c>
      <c r="F1065" s="28" t="str">
        <f t="shared" ca="1" si="50"/>
        <v/>
      </c>
    </row>
    <row r="1066" spans="2:6" x14ac:dyDescent="0.2">
      <c r="B1066" t="str">
        <f>IFERROR(IF('PDCA review'!$D$2='Check'!B1066,'Check'!G1066,""),"")</f>
        <v/>
      </c>
      <c r="C1066">
        <f t="shared" si="48"/>
        <v>0</v>
      </c>
      <c r="D1066">
        <f>SUM($C$3:C1066)</f>
        <v>4</v>
      </c>
      <c r="E1066" t="e">
        <f t="shared" si="49"/>
        <v>#N/A</v>
      </c>
      <c r="F1066" s="28" t="str">
        <f t="shared" ca="1" si="50"/>
        <v/>
      </c>
    </row>
    <row r="1067" spans="2:6" x14ac:dyDescent="0.2">
      <c r="B1067" t="str">
        <f>IFERROR(IF('PDCA review'!$D$2='Check'!B1067,'Check'!G1067,""),"")</f>
        <v/>
      </c>
      <c r="C1067">
        <f t="shared" si="48"/>
        <v>0</v>
      </c>
      <c r="D1067">
        <f>SUM($C$3:C1067)</f>
        <v>4</v>
      </c>
      <c r="E1067" t="e">
        <f t="shared" si="49"/>
        <v>#N/A</v>
      </c>
      <c r="F1067" s="28" t="str">
        <f t="shared" ca="1" si="50"/>
        <v/>
      </c>
    </row>
    <row r="1068" spans="2:6" x14ac:dyDescent="0.2">
      <c r="B1068" t="str">
        <f>IFERROR(IF('PDCA review'!$D$2='Check'!B1068,'Check'!G1068,""),"")</f>
        <v/>
      </c>
      <c r="C1068">
        <f t="shared" si="48"/>
        <v>0</v>
      </c>
      <c r="D1068">
        <f>SUM($C$3:C1068)</f>
        <v>4</v>
      </c>
      <c r="E1068" t="e">
        <f t="shared" si="49"/>
        <v>#N/A</v>
      </c>
      <c r="F1068" s="28" t="str">
        <f t="shared" ca="1" si="50"/>
        <v/>
      </c>
    </row>
    <row r="1069" spans="2:6" x14ac:dyDescent="0.2">
      <c r="B1069" t="str">
        <f>IFERROR(IF('PDCA review'!$D$2='Check'!B1069,'Check'!G1069,""),"")</f>
        <v/>
      </c>
      <c r="C1069">
        <f t="shared" si="48"/>
        <v>0</v>
      </c>
      <c r="D1069">
        <f>SUM($C$3:C1069)</f>
        <v>4</v>
      </c>
      <c r="E1069" t="e">
        <f t="shared" si="49"/>
        <v>#N/A</v>
      </c>
      <c r="F1069" s="28" t="str">
        <f t="shared" ca="1" si="50"/>
        <v/>
      </c>
    </row>
    <row r="1070" spans="2:6" x14ac:dyDescent="0.2">
      <c r="B1070" t="str">
        <f>IFERROR(IF('PDCA review'!$D$2='Check'!B1070,'Check'!G1070,""),"")</f>
        <v/>
      </c>
      <c r="C1070">
        <f t="shared" si="48"/>
        <v>0</v>
      </c>
      <c r="D1070">
        <f>SUM($C$3:C1070)</f>
        <v>4</v>
      </c>
      <c r="E1070" t="e">
        <f t="shared" si="49"/>
        <v>#N/A</v>
      </c>
      <c r="F1070" s="28" t="str">
        <f t="shared" ca="1" si="50"/>
        <v/>
      </c>
    </row>
    <row r="1071" spans="2:6" x14ac:dyDescent="0.2">
      <c r="B1071" t="str">
        <f>IFERROR(IF('PDCA review'!$D$2='Check'!B1071,'Check'!G1071,""),"")</f>
        <v/>
      </c>
      <c r="C1071">
        <f t="shared" si="48"/>
        <v>0</v>
      </c>
      <c r="D1071">
        <f>SUM($C$3:C1071)</f>
        <v>4</v>
      </c>
      <c r="E1071" t="e">
        <f t="shared" si="49"/>
        <v>#N/A</v>
      </c>
      <c r="F1071" s="28" t="str">
        <f t="shared" ca="1" si="50"/>
        <v/>
      </c>
    </row>
    <row r="1072" spans="2:6" x14ac:dyDescent="0.2">
      <c r="B1072" t="str">
        <f>IFERROR(IF('PDCA review'!$D$2='Check'!B1072,'Check'!G1072,""),"")</f>
        <v/>
      </c>
      <c r="C1072">
        <f t="shared" si="48"/>
        <v>0</v>
      </c>
      <c r="D1072">
        <f>SUM($C$3:C1072)</f>
        <v>4</v>
      </c>
      <c r="E1072" t="e">
        <f t="shared" si="49"/>
        <v>#N/A</v>
      </c>
      <c r="F1072" s="28" t="str">
        <f t="shared" ca="1" si="50"/>
        <v/>
      </c>
    </row>
    <row r="1073" spans="2:6" x14ac:dyDescent="0.2">
      <c r="B1073" t="str">
        <f>IFERROR(IF('PDCA review'!$D$2='Check'!B1073,'Check'!G1073,""),"")</f>
        <v/>
      </c>
      <c r="C1073">
        <f t="shared" si="48"/>
        <v>0</v>
      </c>
      <c r="D1073">
        <f>SUM($C$3:C1073)</f>
        <v>4</v>
      </c>
      <c r="E1073" t="e">
        <f t="shared" si="49"/>
        <v>#N/A</v>
      </c>
      <c r="F1073" s="28" t="str">
        <f t="shared" ca="1" si="50"/>
        <v/>
      </c>
    </row>
    <row r="1074" spans="2:6" x14ac:dyDescent="0.2">
      <c r="B1074" t="str">
        <f>IFERROR(IF('PDCA review'!$D$2='Check'!B1074,'Check'!G1074,""),"")</f>
        <v/>
      </c>
      <c r="C1074">
        <f t="shared" si="48"/>
        <v>0</v>
      </c>
      <c r="D1074">
        <f>SUM($C$3:C1074)</f>
        <v>4</v>
      </c>
      <c r="E1074" t="e">
        <f t="shared" si="49"/>
        <v>#N/A</v>
      </c>
      <c r="F1074" s="28" t="str">
        <f t="shared" ca="1" si="50"/>
        <v/>
      </c>
    </row>
    <row r="1075" spans="2:6" x14ac:dyDescent="0.2">
      <c r="B1075" t="str">
        <f>IFERROR(IF('PDCA review'!$D$2='Check'!B1075,'Check'!G1075,""),"")</f>
        <v/>
      </c>
      <c r="C1075">
        <f t="shared" si="48"/>
        <v>0</v>
      </c>
      <c r="D1075">
        <f>SUM($C$3:C1075)</f>
        <v>4</v>
      </c>
      <c r="E1075" t="e">
        <f t="shared" si="49"/>
        <v>#N/A</v>
      </c>
      <c r="F1075" s="28" t="str">
        <f t="shared" ca="1" si="50"/>
        <v/>
      </c>
    </row>
    <row r="1076" spans="2:6" x14ac:dyDescent="0.2">
      <c r="B1076" t="str">
        <f>IFERROR(IF('PDCA review'!$D$2='Check'!B1076,'Check'!G1076,""),"")</f>
        <v/>
      </c>
      <c r="C1076">
        <f t="shared" si="48"/>
        <v>0</v>
      </c>
      <c r="D1076">
        <f>SUM($C$3:C1076)</f>
        <v>4</v>
      </c>
      <c r="E1076" t="e">
        <f t="shared" si="49"/>
        <v>#N/A</v>
      </c>
      <c r="F1076" s="28" t="str">
        <f t="shared" ca="1" si="50"/>
        <v/>
      </c>
    </row>
    <row r="1077" spans="2:6" x14ac:dyDescent="0.2">
      <c r="B1077" t="str">
        <f>IFERROR(IF('PDCA review'!$D$2='Check'!B1077,'Check'!G1077,""),"")</f>
        <v/>
      </c>
      <c r="C1077">
        <f t="shared" si="48"/>
        <v>0</v>
      </c>
      <c r="D1077">
        <f>SUM($C$3:C1077)</f>
        <v>4</v>
      </c>
      <c r="E1077" t="e">
        <f t="shared" si="49"/>
        <v>#N/A</v>
      </c>
      <c r="F1077" s="28" t="str">
        <f t="shared" ca="1" si="50"/>
        <v/>
      </c>
    </row>
    <row r="1078" spans="2:6" x14ac:dyDescent="0.2">
      <c r="B1078" t="str">
        <f>IFERROR(IF('PDCA review'!$D$2='Check'!B1078,'Check'!G1078,""),"")</f>
        <v/>
      </c>
      <c r="C1078">
        <f t="shared" si="48"/>
        <v>0</v>
      </c>
      <c r="D1078">
        <f>SUM($C$3:C1078)</f>
        <v>4</v>
      </c>
      <c r="E1078" t="e">
        <f t="shared" si="49"/>
        <v>#N/A</v>
      </c>
      <c r="F1078" s="28" t="str">
        <f t="shared" ca="1" si="50"/>
        <v/>
      </c>
    </row>
    <row r="1079" spans="2:6" x14ac:dyDescent="0.2">
      <c r="B1079" t="str">
        <f>IFERROR(IF('PDCA review'!$D$2='Check'!B1079,'Check'!G1079,""),"")</f>
        <v/>
      </c>
      <c r="C1079">
        <f t="shared" si="48"/>
        <v>0</v>
      </c>
      <c r="D1079">
        <f>SUM($C$3:C1079)</f>
        <v>4</v>
      </c>
      <c r="E1079" t="e">
        <f t="shared" si="49"/>
        <v>#N/A</v>
      </c>
      <c r="F1079" s="28" t="str">
        <f t="shared" ca="1" si="50"/>
        <v/>
      </c>
    </row>
    <row r="1080" spans="2:6" x14ac:dyDescent="0.2">
      <c r="B1080" t="str">
        <f>IFERROR(IF('PDCA review'!$D$2='Check'!B1080,'Check'!G1080,""),"")</f>
        <v/>
      </c>
      <c r="C1080">
        <f t="shared" si="48"/>
        <v>0</v>
      </c>
      <c r="D1080">
        <f>SUM($C$3:C1080)</f>
        <v>4</v>
      </c>
      <c r="E1080" t="e">
        <f t="shared" si="49"/>
        <v>#N/A</v>
      </c>
      <c r="F1080" s="28" t="str">
        <f t="shared" ca="1" si="50"/>
        <v/>
      </c>
    </row>
    <row r="1081" spans="2:6" x14ac:dyDescent="0.2">
      <c r="B1081" t="str">
        <f>IFERROR(IF('PDCA review'!$D$2='Check'!B1081,'Check'!G1081,""),"")</f>
        <v/>
      </c>
      <c r="C1081">
        <f t="shared" si="48"/>
        <v>0</v>
      </c>
      <c r="D1081">
        <f>SUM($C$3:C1081)</f>
        <v>4</v>
      </c>
      <c r="E1081" t="e">
        <f t="shared" si="49"/>
        <v>#N/A</v>
      </c>
      <c r="F1081" s="28" t="str">
        <f t="shared" ca="1" si="50"/>
        <v/>
      </c>
    </row>
    <row r="1082" spans="2:6" x14ac:dyDescent="0.2">
      <c r="B1082" t="str">
        <f>IFERROR(IF('PDCA review'!$D$2='Check'!B1082,'Check'!G1082,""),"")</f>
        <v/>
      </c>
      <c r="C1082">
        <f t="shared" si="48"/>
        <v>0</v>
      </c>
      <c r="D1082">
        <f>SUM($C$3:C1082)</f>
        <v>4</v>
      </c>
      <c r="E1082" t="e">
        <f t="shared" si="49"/>
        <v>#N/A</v>
      </c>
      <c r="F1082" s="28" t="str">
        <f t="shared" ca="1" si="50"/>
        <v/>
      </c>
    </row>
    <row r="1083" spans="2:6" x14ac:dyDescent="0.2">
      <c r="B1083" t="str">
        <f>IFERROR(IF('PDCA review'!$D$2='Check'!B1083,'Check'!G1083,""),"")</f>
        <v/>
      </c>
      <c r="C1083">
        <f t="shared" si="48"/>
        <v>0</v>
      </c>
      <c r="D1083">
        <f>SUM($C$3:C1083)</f>
        <v>4</v>
      </c>
      <c r="E1083" t="e">
        <f t="shared" si="49"/>
        <v>#N/A</v>
      </c>
      <c r="F1083" s="28" t="str">
        <f t="shared" ca="1" si="50"/>
        <v/>
      </c>
    </row>
    <row r="1084" spans="2:6" x14ac:dyDescent="0.2">
      <c r="B1084" t="str">
        <f>IFERROR(IF('PDCA review'!$D$2='Check'!B1084,'Check'!G1084,""),"")</f>
        <v/>
      </c>
      <c r="C1084">
        <f t="shared" si="48"/>
        <v>0</v>
      </c>
      <c r="D1084">
        <f>SUM($C$3:C1084)</f>
        <v>4</v>
      </c>
      <c r="E1084" t="e">
        <f t="shared" si="49"/>
        <v>#N/A</v>
      </c>
      <c r="F1084" s="28" t="str">
        <f t="shared" ca="1" si="50"/>
        <v/>
      </c>
    </row>
    <row r="1085" spans="2:6" x14ac:dyDescent="0.2">
      <c r="B1085" t="str">
        <f>IFERROR(IF('PDCA review'!$D$2='Check'!B1085,'Check'!G1085,""),"")</f>
        <v/>
      </c>
      <c r="C1085">
        <f t="shared" si="48"/>
        <v>0</v>
      </c>
      <c r="D1085">
        <f>SUM($C$3:C1085)</f>
        <v>4</v>
      </c>
      <c r="E1085" t="e">
        <f t="shared" si="49"/>
        <v>#N/A</v>
      </c>
      <c r="F1085" s="28" t="str">
        <f t="shared" ca="1" si="50"/>
        <v/>
      </c>
    </row>
    <row r="1086" spans="2:6" x14ac:dyDescent="0.2">
      <c r="B1086" t="str">
        <f>IFERROR(IF('PDCA review'!$D$2='Check'!B1086,'Check'!G1086,""),"")</f>
        <v/>
      </c>
      <c r="C1086">
        <f t="shared" si="48"/>
        <v>0</v>
      </c>
      <c r="D1086">
        <f>SUM($C$3:C1086)</f>
        <v>4</v>
      </c>
      <c r="E1086" t="e">
        <f t="shared" si="49"/>
        <v>#N/A</v>
      </c>
      <c r="F1086" s="28" t="str">
        <f t="shared" ca="1" si="50"/>
        <v/>
      </c>
    </row>
    <row r="1087" spans="2:6" x14ac:dyDescent="0.2">
      <c r="B1087" t="str">
        <f>IFERROR(IF('PDCA review'!$D$2='Check'!B1087,'Check'!G1087,""),"")</f>
        <v/>
      </c>
      <c r="C1087">
        <f t="shared" si="48"/>
        <v>0</v>
      </c>
      <c r="D1087">
        <f>SUM($C$3:C1087)</f>
        <v>4</v>
      </c>
      <c r="E1087" t="e">
        <f t="shared" si="49"/>
        <v>#N/A</v>
      </c>
      <c r="F1087" s="28" t="str">
        <f t="shared" ca="1" si="50"/>
        <v/>
      </c>
    </row>
    <row r="1088" spans="2:6" x14ac:dyDescent="0.2">
      <c r="B1088" t="str">
        <f>IFERROR(IF('PDCA review'!$D$2='Check'!B1088,'Check'!G1088,""),"")</f>
        <v/>
      </c>
      <c r="C1088">
        <f t="shared" si="48"/>
        <v>0</v>
      </c>
      <c r="D1088">
        <f>SUM($C$3:C1088)</f>
        <v>4</v>
      </c>
      <c r="E1088" t="e">
        <f t="shared" si="49"/>
        <v>#N/A</v>
      </c>
      <c r="F1088" s="28" t="str">
        <f t="shared" ca="1" si="50"/>
        <v/>
      </c>
    </row>
    <row r="1089" spans="2:6" x14ac:dyDescent="0.2">
      <c r="B1089" t="str">
        <f>IFERROR(IF('PDCA review'!$D$2='Check'!B1089,'Check'!G1089,""),"")</f>
        <v/>
      </c>
      <c r="C1089">
        <f t="shared" si="48"/>
        <v>0</v>
      </c>
      <c r="D1089">
        <f>SUM($C$3:C1089)</f>
        <v>4</v>
      </c>
      <c r="E1089" t="e">
        <f t="shared" si="49"/>
        <v>#N/A</v>
      </c>
      <c r="F1089" s="28" t="str">
        <f t="shared" ca="1" si="50"/>
        <v/>
      </c>
    </row>
    <row r="1090" spans="2:6" x14ac:dyDescent="0.2">
      <c r="B1090" t="str">
        <f>IFERROR(IF('PDCA review'!$D$2='Check'!B1090,'Check'!G1090,""),"")</f>
        <v/>
      </c>
      <c r="C1090">
        <f t="shared" si="48"/>
        <v>0</v>
      </c>
      <c r="D1090">
        <f>SUM($C$3:C1090)</f>
        <v>4</v>
      </c>
      <c r="E1090" t="e">
        <f t="shared" si="49"/>
        <v>#N/A</v>
      </c>
      <c r="F1090" s="28" t="str">
        <f t="shared" ca="1" si="50"/>
        <v/>
      </c>
    </row>
    <row r="1091" spans="2:6" x14ac:dyDescent="0.2">
      <c r="B1091" t="str">
        <f>IFERROR(IF('PDCA review'!$D$2='Check'!B1091,'Check'!G1091,""),"")</f>
        <v/>
      </c>
      <c r="C1091">
        <f t="shared" si="48"/>
        <v>0</v>
      </c>
      <c r="D1091">
        <f>SUM($C$3:C1091)</f>
        <v>4</v>
      </c>
      <c r="E1091" t="e">
        <f t="shared" si="49"/>
        <v>#N/A</v>
      </c>
      <c r="F1091" s="28" t="str">
        <f t="shared" ca="1" si="50"/>
        <v/>
      </c>
    </row>
    <row r="1092" spans="2:6" x14ac:dyDescent="0.2">
      <c r="B1092" t="str">
        <f>IFERROR(IF('PDCA review'!$D$2='Check'!B1092,'Check'!G1092,""),"")</f>
        <v/>
      </c>
      <c r="C1092">
        <f t="shared" ref="C1092:C1155" si="51">IF(B1092&lt;&gt;"",1,0)</f>
        <v>0</v>
      </c>
      <c r="D1092">
        <f>SUM($C$3:C1092)</f>
        <v>4</v>
      </c>
      <c r="E1092" t="e">
        <f t="shared" ref="E1092:E1155" si="52">MATCH(ROW()-$D$2,$D$3:$D$2000,0)+$D$2</f>
        <v>#N/A</v>
      </c>
      <c r="F1092" s="28" t="str">
        <f t="shared" ref="F1092:F1155" ca="1" si="53">IFERROR(INDIRECT("B"&amp;E1092),"")</f>
        <v/>
      </c>
    </row>
    <row r="1093" spans="2:6" x14ac:dyDescent="0.2">
      <c r="B1093" t="str">
        <f>IFERROR(IF('PDCA review'!$D$2='Check'!B1093,'Check'!G1093,""),"")</f>
        <v/>
      </c>
      <c r="C1093">
        <f t="shared" si="51"/>
        <v>0</v>
      </c>
      <c r="D1093">
        <f>SUM($C$3:C1093)</f>
        <v>4</v>
      </c>
      <c r="E1093" t="e">
        <f t="shared" si="52"/>
        <v>#N/A</v>
      </c>
      <c r="F1093" s="28" t="str">
        <f t="shared" ca="1" si="53"/>
        <v/>
      </c>
    </row>
    <row r="1094" spans="2:6" x14ac:dyDescent="0.2">
      <c r="B1094" t="str">
        <f>IFERROR(IF('PDCA review'!$D$2='Check'!B1094,'Check'!G1094,""),"")</f>
        <v/>
      </c>
      <c r="C1094">
        <f t="shared" si="51"/>
        <v>0</v>
      </c>
      <c r="D1094">
        <f>SUM($C$3:C1094)</f>
        <v>4</v>
      </c>
      <c r="E1094" t="e">
        <f t="shared" si="52"/>
        <v>#N/A</v>
      </c>
      <c r="F1094" s="28" t="str">
        <f t="shared" ca="1" si="53"/>
        <v/>
      </c>
    </row>
    <row r="1095" spans="2:6" x14ac:dyDescent="0.2">
      <c r="B1095" t="str">
        <f>IFERROR(IF('PDCA review'!$D$2='Check'!B1095,'Check'!G1095,""),"")</f>
        <v/>
      </c>
      <c r="C1095">
        <f t="shared" si="51"/>
        <v>0</v>
      </c>
      <c r="D1095">
        <f>SUM($C$3:C1095)</f>
        <v>4</v>
      </c>
      <c r="E1095" t="e">
        <f t="shared" si="52"/>
        <v>#N/A</v>
      </c>
      <c r="F1095" s="28" t="str">
        <f t="shared" ca="1" si="53"/>
        <v/>
      </c>
    </row>
    <row r="1096" spans="2:6" x14ac:dyDescent="0.2">
      <c r="B1096" t="str">
        <f>IFERROR(IF('PDCA review'!$D$2='Check'!B1096,'Check'!G1096,""),"")</f>
        <v/>
      </c>
      <c r="C1096">
        <f t="shared" si="51"/>
        <v>0</v>
      </c>
      <c r="D1096">
        <f>SUM($C$3:C1096)</f>
        <v>4</v>
      </c>
      <c r="E1096" t="e">
        <f t="shared" si="52"/>
        <v>#N/A</v>
      </c>
      <c r="F1096" s="28" t="str">
        <f t="shared" ca="1" si="53"/>
        <v/>
      </c>
    </row>
    <row r="1097" spans="2:6" x14ac:dyDescent="0.2">
      <c r="B1097" t="str">
        <f>IFERROR(IF('PDCA review'!$D$2='Check'!B1097,'Check'!G1097,""),"")</f>
        <v/>
      </c>
      <c r="C1097">
        <f t="shared" si="51"/>
        <v>0</v>
      </c>
      <c r="D1097">
        <f>SUM($C$3:C1097)</f>
        <v>4</v>
      </c>
      <c r="E1097" t="e">
        <f t="shared" si="52"/>
        <v>#N/A</v>
      </c>
      <c r="F1097" s="28" t="str">
        <f t="shared" ca="1" si="53"/>
        <v/>
      </c>
    </row>
    <row r="1098" spans="2:6" x14ac:dyDescent="0.2">
      <c r="B1098" t="str">
        <f>IFERROR(IF('PDCA review'!$D$2='Check'!B1098,'Check'!G1098,""),"")</f>
        <v/>
      </c>
      <c r="C1098">
        <f t="shared" si="51"/>
        <v>0</v>
      </c>
      <c r="D1098">
        <f>SUM($C$3:C1098)</f>
        <v>4</v>
      </c>
      <c r="E1098" t="e">
        <f t="shared" si="52"/>
        <v>#N/A</v>
      </c>
      <c r="F1098" s="28" t="str">
        <f t="shared" ca="1" si="53"/>
        <v/>
      </c>
    </row>
    <row r="1099" spans="2:6" x14ac:dyDescent="0.2">
      <c r="B1099" t="str">
        <f>IFERROR(IF('PDCA review'!$D$2='Check'!B1099,'Check'!G1099,""),"")</f>
        <v/>
      </c>
      <c r="C1099">
        <f t="shared" si="51"/>
        <v>0</v>
      </c>
      <c r="D1099">
        <f>SUM($C$3:C1099)</f>
        <v>4</v>
      </c>
      <c r="E1099" t="e">
        <f t="shared" si="52"/>
        <v>#N/A</v>
      </c>
      <c r="F1099" s="28" t="str">
        <f t="shared" ca="1" si="53"/>
        <v/>
      </c>
    </row>
    <row r="1100" spans="2:6" x14ac:dyDescent="0.2">
      <c r="B1100" t="str">
        <f>IFERROR(IF('PDCA review'!$D$2='Check'!B1100,'Check'!G1100,""),"")</f>
        <v/>
      </c>
      <c r="C1100">
        <f t="shared" si="51"/>
        <v>0</v>
      </c>
      <c r="D1100">
        <f>SUM($C$3:C1100)</f>
        <v>4</v>
      </c>
      <c r="E1100" t="e">
        <f t="shared" si="52"/>
        <v>#N/A</v>
      </c>
      <c r="F1100" s="28" t="str">
        <f t="shared" ca="1" si="53"/>
        <v/>
      </c>
    </row>
    <row r="1101" spans="2:6" x14ac:dyDescent="0.2">
      <c r="B1101" t="str">
        <f>IFERROR(IF('PDCA review'!$D$2='Check'!B1101,'Check'!G1101,""),"")</f>
        <v/>
      </c>
      <c r="C1101">
        <f t="shared" si="51"/>
        <v>0</v>
      </c>
      <c r="D1101">
        <f>SUM($C$3:C1101)</f>
        <v>4</v>
      </c>
      <c r="E1101" t="e">
        <f t="shared" si="52"/>
        <v>#N/A</v>
      </c>
      <c r="F1101" s="28" t="str">
        <f t="shared" ca="1" si="53"/>
        <v/>
      </c>
    </row>
    <row r="1102" spans="2:6" x14ac:dyDescent="0.2">
      <c r="B1102" t="str">
        <f>IFERROR(IF('PDCA review'!$D$2='Check'!B1102,'Check'!G1102,""),"")</f>
        <v/>
      </c>
      <c r="C1102">
        <f t="shared" si="51"/>
        <v>0</v>
      </c>
      <c r="D1102">
        <f>SUM($C$3:C1102)</f>
        <v>4</v>
      </c>
      <c r="E1102" t="e">
        <f t="shared" si="52"/>
        <v>#N/A</v>
      </c>
      <c r="F1102" s="28" t="str">
        <f t="shared" ca="1" si="53"/>
        <v/>
      </c>
    </row>
    <row r="1103" spans="2:6" x14ac:dyDescent="0.2">
      <c r="B1103" t="str">
        <f>IFERROR(IF('PDCA review'!$D$2='Check'!B1103,'Check'!G1103,""),"")</f>
        <v/>
      </c>
      <c r="C1103">
        <f t="shared" si="51"/>
        <v>0</v>
      </c>
      <c r="D1103">
        <f>SUM($C$3:C1103)</f>
        <v>4</v>
      </c>
      <c r="E1103" t="e">
        <f t="shared" si="52"/>
        <v>#N/A</v>
      </c>
      <c r="F1103" s="28" t="str">
        <f t="shared" ca="1" si="53"/>
        <v/>
      </c>
    </row>
    <row r="1104" spans="2:6" x14ac:dyDescent="0.2">
      <c r="B1104" t="str">
        <f>IFERROR(IF('PDCA review'!$D$2='Check'!B1104,'Check'!G1104,""),"")</f>
        <v/>
      </c>
      <c r="C1104">
        <f t="shared" si="51"/>
        <v>0</v>
      </c>
      <c r="D1104">
        <f>SUM($C$3:C1104)</f>
        <v>4</v>
      </c>
      <c r="E1104" t="e">
        <f t="shared" si="52"/>
        <v>#N/A</v>
      </c>
      <c r="F1104" s="28" t="str">
        <f t="shared" ca="1" si="53"/>
        <v/>
      </c>
    </row>
    <row r="1105" spans="2:6" x14ac:dyDescent="0.2">
      <c r="B1105" t="str">
        <f>IFERROR(IF('PDCA review'!$D$2='Check'!B1105,'Check'!G1105,""),"")</f>
        <v/>
      </c>
      <c r="C1105">
        <f t="shared" si="51"/>
        <v>0</v>
      </c>
      <c r="D1105">
        <f>SUM($C$3:C1105)</f>
        <v>4</v>
      </c>
      <c r="E1105" t="e">
        <f t="shared" si="52"/>
        <v>#N/A</v>
      </c>
      <c r="F1105" s="28" t="str">
        <f t="shared" ca="1" si="53"/>
        <v/>
      </c>
    </row>
    <row r="1106" spans="2:6" x14ac:dyDescent="0.2">
      <c r="B1106" t="str">
        <f>IFERROR(IF('PDCA review'!$D$2='Check'!B1106,'Check'!G1106,""),"")</f>
        <v/>
      </c>
      <c r="C1106">
        <f t="shared" si="51"/>
        <v>0</v>
      </c>
      <c r="D1106">
        <f>SUM($C$3:C1106)</f>
        <v>4</v>
      </c>
      <c r="E1106" t="e">
        <f t="shared" si="52"/>
        <v>#N/A</v>
      </c>
      <c r="F1106" s="28" t="str">
        <f t="shared" ca="1" si="53"/>
        <v/>
      </c>
    </row>
    <row r="1107" spans="2:6" x14ac:dyDescent="0.2">
      <c r="B1107" t="str">
        <f>IFERROR(IF('PDCA review'!$D$2='Check'!B1107,'Check'!G1107,""),"")</f>
        <v/>
      </c>
      <c r="C1107">
        <f t="shared" si="51"/>
        <v>0</v>
      </c>
      <c r="D1107">
        <f>SUM($C$3:C1107)</f>
        <v>4</v>
      </c>
      <c r="E1107" t="e">
        <f t="shared" si="52"/>
        <v>#N/A</v>
      </c>
      <c r="F1107" s="28" t="str">
        <f t="shared" ca="1" si="53"/>
        <v/>
      </c>
    </row>
    <row r="1108" spans="2:6" x14ac:dyDescent="0.2">
      <c r="B1108" t="str">
        <f>IFERROR(IF('PDCA review'!$D$2='Check'!B1108,'Check'!G1108,""),"")</f>
        <v/>
      </c>
      <c r="C1108">
        <f t="shared" si="51"/>
        <v>0</v>
      </c>
      <c r="D1108">
        <f>SUM($C$3:C1108)</f>
        <v>4</v>
      </c>
      <c r="E1108" t="e">
        <f t="shared" si="52"/>
        <v>#N/A</v>
      </c>
      <c r="F1108" s="28" t="str">
        <f t="shared" ca="1" si="53"/>
        <v/>
      </c>
    </row>
    <row r="1109" spans="2:6" x14ac:dyDescent="0.2">
      <c r="B1109" t="str">
        <f>IFERROR(IF('PDCA review'!$D$2='Check'!B1109,'Check'!G1109,""),"")</f>
        <v/>
      </c>
      <c r="C1109">
        <f t="shared" si="51"/>
        <v>0</v>
      </c>
      <c r="D1109">
        <f>SUM($C$3:C1109)</f>
        <v>4</v>
      </c>
      <c r="E1109" t="e">
        <f t="shared" si="52"/>
        <v>#N/A</v>
      </c>
      <c r="F1109" s="28" t="str">
        <f t="shared" ca="1" si="53"/>
        <v/>
      </c>
    </row>
    <row r="1110" spans="2:6" x14ac:dyDescent="0.2">
      <c r="B1110" t="str">
        <f>IFERROR(IF('PDCA review'!$D$2='Check'!B1110,'Check'!G1110,""),"")</f>
        <v/>
      </c>
      <c r="C1110">
        <f t="shared" si="51"/>
        <v>0</v>
      </c>
      <c r="D1110">
        <f>SUM($C$3:C1110)</f>
        <v>4</v>
      </c>
      <c r="E1110" t="e">
        <f t="shared" si="52"/>
        <v>#N/A</v>
      </c>
      <c r="F1110" s="28" t="str">
        <f t="shared" ca="1" si="53"/>
        <v/>
      </c>
    </row>
    <row r="1111" spans="2:6" x14ac:dyDescent="0.2">
      <c r="B1111" t="str">
        <f>IFERROR(IF('PDCA review'!$D$2='Check'!B1111,'Check'!G1111,""),"")</f>
        <v/>
      </c>
      <c r="C1111">
        <f t="shared" si="51"/>
        <v>0</v>
      </c>
      <c r="D1111">
        <f>SUM($C$3:C1111)</f>
        <v>4</v>
      </c>
      <c r="E1111" t="e">
        <f t="shared" si="52"/>
        <v>#N/A</v>
      </c>
      <c r="F1111" s="28" t="str">
        <f t="shared" ca="1" si="53"/>
        <v/>
      </c>
    </row>
    <row r="1112" spans="2:6" x14ac:dyDescent="0.2">
      <c r="B1112" t="str">
        <f>IFERROR(IF('PDCA review'!$D$2='Check'!B1112,'Check'!G1112,""),"")</f>
        <v/>
      </c>
      <c r="C1112">
        <f t="shared" si="51"/>
        <v>0</v>
      </c>
      <c r="D1112">
        <f>SUM($C$3:C1112)</f>
        <v>4</v>
      </c>
      <c r="E1112" t="e">
        <f t="shared" si="52"/>
        <v>#N/A</v>
      </c>
      <c r="F1112" s="28" t="str">
        <f t="shared" ca="1" si="53"/>
        <v/>
      </c>
    </row>
    <row r="1113" spans="2:6" x14ac:dyDescent="0.2">
      <c r="B1113" t="str">
        <f>IFERROR(IF('PDCA review'!$D$2='Check'!B1113,'Check'!G1113,""),"")</f>
        <v/>
      </c>
      <c r="C1113">
        <f t="shared" si="51"/>
        <v>0</v>
      </c>
      <c r="D1113">
        <f>SUM($C$3:C1113)</f>
        <v>4</v>
      </c>
      <c r="E1113" t="e">
        <f t="shared" si="52"/>
        <v>#N/A</v>
      </c>
      <c r="F1113" s="28" t="str">
        <f t="shared" ca="1" si="53"/>
        <v/>
      </c>
    </row>
    <row r="1114" spans="2:6" x14ac:dyDescent="0.2">
      <c r="B1114" t="str">
        <f>IFERROR(IF('PDCA review'!$D$2='Check'!B1114,'Check'!G1114,""),"")</f>
        <v/>
      </c>
      <c r="C1114">
        <f t="shared" si="51"/>
        <v>0</v>
      </c>
      <c r="D1114">
        <f>SUM($C$3:C1114)</f>
        <v>4</v>
      </c>
      <c r="E1114" t="e">
        <f t="shared" si="52"/>
        <v>#N/A</v>
      </c>
      <c r="F1114" s="28" t="str">
        <f t="shared" ca="1" si="53"/>
        <v/>
      </c>
    </row>
    <row r="1115" spans="2:6" x14ac:dyDescent="0.2">
      <c r="B1115" t="str">
        <f>IFERROR(IF('PDCA review'!$D$2='Check'!B1115,'Check'!G1115,""),"")</f>
        <v/>
      </c>
      <c r="C1115">
        <f t="shared" si="51"/>
        <v>0</v>
      </c>
      <c r="D1115">
        <f>SUM($C$3:C1115)</f>
        <v>4</v>
      </c>
      <c r="E1115" t="e">
        <f t="shared" si="52"/>
        <v>#N/A</v>
      </c>
      <c r="F1115" s="28" t="str">
        <f t="shared" ca="1" si="53"/>
        <v/>
      </c>
    </row>
    <row r="1116" spans="2:6" x14ac:dyDescent="0.2">
      <c r="B1116" t="str">
        <f>IFERROR(IF('PDCA review'!$D$2='Check'!B1116,'Check'!G1116,""),"")</f>
        <v/>
      </c>
      <c r="C1116">
        <f t="shared" si="51"/>
        <v>0</v>
      </c>
      <c r="D1116">
        <f>SUM($C$3:C1116)</f>
        <v>4</v>
      </c>
      <c r="E1116" t="e">
        <f t="shared" si="52"/>
        <v>#N/A</v>
      </c>
      <c r="F1116" s="28" t="str">
        <f t="shared" ca="1" si="53"/>
        <v/>
      </c>
    </row>
    <row r="1117" spans="2:6" x14ac:dyDescent="0.2">
      <c r="B1117" t="str">
        <f>IFERROR(IF('PDCA review'!$D$2='Check'!B1117,'Check'!G1117,""),"")</f>
        <v/>
      </c>
      <c r="C1117">
        <f t="shared" si="51"/>
        <v>0</v>
      </c>
      <c r="D1117">
        <f>SUM($C$3:C1117)</f>
        <v>4</v>
      </c>
      <c r="E1117" t="e">
        <f t="shared" si="52"/>
        <v>#N/A</v>
      </c>
      <c r="F1117" s="28" t="str">
        <f t="shared" ca="1" si="53"/>
        <v/>
      </c>
    </row>
    <row r="1118" spans="2:6" x14ac:dyDescent="0.2">
      <c r="B1118" t="str">
        <f>IFERROR(IF('PDCA review'!$D$2='Check'!B1118,'Check'!G1118,""),"")</f>
        <v/>
      </c>
      <c r="C1118">
        <f t="shared" si="51"/>
        <v>0</v>
      </c>
      <c r="D1118">
        <f>SUM($C$3:C1118)</f>
        <v>4</v>
      </c>
      <c r="E1118" t="e">
        <f t="shared" si="52"/>
        <v>#N/A</v>
      </c>
      <c r="F1118" s="28" t="str">
        <f t="shared" ca="1" si="53"/>
        <v/>
      </c>
    </row>
    <row r="1119" spans="2:6" x14ac:dyDescent="0.2">
      <c r="B1119" t="str">
        <f>IFERROR(IF('PDCA review'!$D$2='Check'!B1119,'Check'!G1119,""),"")</f>
        <v/>
      </c>
      <c r="C1119">
        <f t="shared" si="51"/>
        <v>0</v>
      </c>
      <c r="D1119">
        <f>SUM($C$3:C1119)</f>
        <v>4</v>
      </c>
      <c r="E1119" t="e">
        <f t="shared" si="52"/>
        <v>#N/A</v>
      </c>
      <c r="F1119" s="28" t="str">
        <f t="shared" ca="1" si="53"/>
        <v/>
      </c>
    </row>
    <row r="1120" spans="2:6" x14ac:dyDescent="0.2">
      <c r="B1120" t="str">
        <f>IFERROR(IF('PDCA review'!$D$2='Check'!B1120,'Check'!G1120,""),"")</f>
        <v/>
      </c>
      <c r="C1120">
        <f t="shared" si="51"/>
        <v>0</v>
      </c>
      <c r="D1120">
        <f>SUM($C$3:C1120)</f>
        <v>4</v>
      </c>
      <c r="E1120" t="e">
        <f t="shared" si="52"/>
        <v>#N/A</v>
      </c>
      <c r="F1120" s="28" t="str">
        <f t="shared" ca="1" si="53"/>
        <v/>
      </c>
    </row>
    <row r="1121" spans="2:6" x14ac:dyDescent="0.2">
      <c r="B1121" t="str">
        <f>IFERROR(IF('PDCA review'!$D$2='Check'!B1121,'Check'!G1121,""),"")</f>
        <v/>
      </c>
      <c r="C1121">
        <f t="shared" si="51"/>
        <v>0</v>
      </c>
      <c r="D1121">
        <f>SUM($C$3:C1121)</f>
        <v>4</v>
      </c>
      <c r="E1121" t="e">
        <f t="shared" si="52"/>
        <v>#N/A</v>
      </c>
      <c r="F1121" s="28" t="str">
        <f t="shared" ca="1" si="53"/>
        <v/>
      </c>
    </row>
    <row r="1122" spans="2:6" x14ac:dyDescent="0.2">
      <c r="B1122" t="str">
        <f>IFERROR(IF('PDCA review'!$D$2='Check'!B1122,'Check'!G1122,""),"")</f>
        <v/>
      </c>
      <c r="C1122">
        <f t="shared" si="51"/>
        <v>0</v>
      </c>
      <c r="D1122">
        <f>SUM($C$3:C1122)</f>
        <v>4</v>
      </c>
      <c r="E1122" t="e">
        <f t="shared" si="52"/>
        <v>#N/A</v>
      </c>
      <c r="F1122" s="28" t="str">
        <f t="shared" ca="1" si="53"/>
        <v/>
      </c>
    </row>
    <row r="1123" spans="2:6" x14ac:dyDescent="0.2">
      <c r="B1123" t="str">
        <f>IFERROR(IF('PDCA review'!$D$2='Check'!B1123,'Check'!G1123,""),"")</f>
        <v/>
      </c>
      <c r="C1123">
        <f t="shared" si="51"/>
        <v>0</v>
      </c>
      <c r="D1123">
        <f>SUM($C$3:C1123)</f>
        <v>4</v>
      </c>
      <c r="E1123" t="e">
        <f t="shared" si="52"/>
        <v>#N/A</v>
      </c>
      <c r="F1123" s="28" t="str">
        <f t="shared" ca="1" si="53"/>
        <v/>
      </c>
    </row>
    <row r="1124" spans="2:6" x14ac:dyDescent="0.2">
      <c r="B1124" t="str">
        <f>IFERROR(IF('PDCA review'!$D$2='Check'!B1124,'Check'!G1124,""),"")</f>
        <v/>
      </c>
      <c r="C1124">
        <f t="shared" si="51"/>
        <v>0</v>
      </c>
      <c r="D1124">
        <f>SUM($C$3:C1124)</f>
        <v>4</v>
      </c>
      <c r="E1124" t="e">
        <f t="shared" si="52"/>
        <v>#N/A</v>
      </c>
      <c r="F1124" s="28" t="str">
        <f t="shared" ca="1" si="53"/>
        <v/>
      </c>
    </row>
    <row r="1125" spans="2:6" x14ac:dyDescent="0.2">
      <c r="B1125" t="str">
        <f>IFERROR(IF('PDCA review'!$D$2='Check'!B1125,'Check'!G1125,""),"")</f>
        <v/>
      </c>
      <c r="C1125">
        <f t="shared" si="51"/>
        <v>0</v>
      </c>
      <c r="D1125">
        <f>SUM($C$3:C1125)</f>
        <v>4</v>
      </c>
      <c r="E1125" t="e">
        <f t="shared" si="52"/>
        <v>#N/A</v>
      </c>
      <c r="F1125" s="28" t="str">
        <f t="shared" ca="1" si="53"/>
        <v/>
      </c>
    </row>
    <row r="1126" spans="2:6" x14ac:dyDescent="0.2">
      <c r="B1126" t="str">
        <f>IFERROR(IF('PDCA review'!$D$2='Check'!B1126,'Check'!G1126,""),"")</f>
        <v/>
      </c>
      <c r="C1126">
        <f t="shared" si="51"/>
        <v>0</v>
      </c>
      <c r="D1126">
        <f>SUM($C$3:C1126)</f>
        <v>4</v>
      </c>
      <c r="E1126" t="e">
        <f t="shared" si="52"/>
        <v>#N/A</v>
      </c>
      <c r="F1126" s="28" t="str">
        <f t="shared" ca="1" si="53"/>
        <v/>
      </c>
    </row>
    <row r="1127" spans="2:6" x14ac:dyDescent="0.2">
      <c r="B1127" t="str">
        <f>IFERROR(IF('PDCA review'!$D$2='Check'!B1127,'Check'!G1127,""),"")</f>
        <v/>
      </c>
      <c r="C1127">
        <f t="shared" si="51"/>
        <v>0</v>
      </c>
      <c r="D1127">
        <f>SUM($C$3:C1127)</f>
        <v>4</v>
      </c>
      <c r="E1127" t="e">
        <f t="shared" si="52"/>
        <v>#N/A</v>
      </c>
      <c r="F1127" s="28" t="str">
        <f t="shared" ca="1" si="53"/>
        <v/>
      </c>
    </row>
    <row r="1128" spans="2:6" x14ac:dyDescent="0.2">
      <c r="B1128" t="str">
        <f>IFERROR(IF('PDCA review'!$D$2='Check'!B1128,'Check'!G1128,""),"")</f>
        <v/>
      </c>
      <c r="C1128">
        <f t="shared" si="51"/>
        <v>0</v>
      </c>
      <c r="D1128">
        <f>SUM($C$3:C1128)</f>
        <v>4</v>
      </c>
      <c r="E1128" t="e">
        <f t="shared" si="52"/>
        <v>#N/A</v>
      </c>
      <c r="F1128" s="28" t="str">
        <f t="shared" ca="1" si="53"/>
        <v/>
      </c>
    </row>
    <row r="1129" spans="2:6" x14ac:dyDescent="0.2">
      <c r="B1129" t="str">
        <f>IFERROR(IF('PDCA review'!$D$2='Check'!B1129,'Check'!G1129,""),"")</f>
        <v/>
      </c>
      <c r="C1129">
        <f t="shared" si="51"/>
        <v>0</v>
      </c>
      <c r="D1129">
        <f>SUM($C$3:C1129)</f>
        <v>4</v>
      </c>
      <c r="E1129" t="e">
        <f t="shared" si="52"/>
        <v>#N/A</v>
      </c>
      <c r="F1129" s="28" t="str">
        <f t="shared" ca="1" si="53"/>
        <v/>
      </c>
    </row>
    <row r="1130" spans="2:6" x14ac:dyDescent="0.2">
      <c r="B1130" t="str">
        <f>IFERROR(IF('PDCA review'!$D$2='Check'!B1130,'Check'!G1130,""),"")</f>
        <v/>
      </c>
      <c r="C1130">
        <f t="shared" si="51"/>
        <v>0</v>
      </c>
      <c r="D1130">
        <f>SUM($C$3:C1130)</f>
        <v>4</v>
      </c>
      <c r="E1130" t="e">
        <f t="shared" si="52"/>
        <v>#N/A</v>
      </c>
      <c r="F1130" s="28" t="str">
        <f t="shared" ca="1" si="53"/>
        <v/>
      </c>
    </row>
    <row r="1131" spans="2:6" x14ac:dyDescent="0.2">
      <c r="B1131" t="str">
        <f>IFERROR(IF('PDCA review'!$D$2='Check'!B1131,'Check'!G1131,""),"")</f>
        <v/>
      </c>
      <c r="C1131">
        <f t="shared" si="51"/>
        <v>0</v>
      </c>
      <c r="D1131">
        <f>SUM($C$3:C1131)</f>
        <v>4</v>
      </c>
      <c r="E1131" t="e">
        <f t="shared" si="52"/>
        <v>#N/A</v>
      </c>
      <c r="F1131" s="28" t="str">
        <f t="shared" ca="1" si="53"/>
        <v/>
      </c>
    </row>
    <row r="1132" spans="2:6" x14ac:dyDescent="0.2">
      <c r="B1132" t="str">
        <f>IFERROR(IF('PDCA review'!$D$2='Check'!B1132,'Check'!G1132,""),"")</f>
        <v/>
      </c>
      <c r="C1132">
        <f t="shared" si="51"/>
        <v>0</v>
      </c>
      <c r="D1132">
        <f>SUM($C$3:C1132)</f>
        <v>4</v>
      </c>
      <c r="E1132" t="e">
        <f t="shared" si="52"/>
        <v>#N/A</v>
      </c>
      <c r="F1132" s="28" t="str">
        <f t="shared" ca="1" si="53"/>
        <v/>
      </c>
    </row>
    <row r="1133" spans="2:6" x14ac:dyDescent="0.2">
      <c r="B1133" t="str">
        <f>IFERROR(IF('PDCA review'!$D$2='Check'!B1133,'Check'!G1133,""),"")</f>
        <v/>
      </c>
      <c r="C1133">
        <f t="shared" si="51"/>
        <v>0</v>
      </c>
      <c r="D1133">
        <f>SUM($C$3:C1133)</f>
        <v>4</v>
      </c>
      <c r="E1133" t="e">
        <f t="shared" si="52"/>
        <v>#N/A</v>
      </c>
      <c r="F1133" s="28" t="str">
        <f t="shared" ca="1" si="53"/>
        <v/>
      </c>
    </row>
    <row r="1134" spans="2:6" x14ac:dyDescent="0.2">
      <c r="B1134" t="str">
        <f>IFERROR(IF('PDCA review'!$D$2='Check'!B1134,'Check'!G1134,""),"")</f>
        <v/>
      </c>
      <c r="C1134">
        <f t="shared" si="51"/>
        <v>0</v>
      </c>
      <c r="D1134">
        <f>SUM($C$3:C1134)</f>
        <v>4</v>
      </c>
      <c r="E1134" t="e">
        <f t="shared" si="52"/>
        <v>#N/A</v>
      </c>
      <c r="F1134" s="28" t="str">
        <f t="shared" ca="1" si="53"/>
        <v/>
      </c>
    </row>
    <row r="1135" spans="2:6" x14ac:dyDescent="0.2">
      <c r="B1135" t="str">
        <f>IFERROR(IF('PDCA review'!$D$2='Check'!B1135,'Check'!G1135,""),"")</f>
        <v/>
      </c>
      <c r="C1135">
        <f t="shared" si="51"/>
        <v>0</v>
      </c>
      <c r="D1135">
        <f>SUM($C$3:C1135)</f>
        <v>4</v>
      </c>
      <c r="E1135" t="e">
        <f t="shared" si="52"/>
        <v>#N/A</v>
      </c>
      <c r="F1135" s="28" t="str">
        <f t="shared" ca="1" si="53"/>
        <v/>
      </c>
    </row>
    <row r="1136" spans="2:6" x14ac:dyDescent="0.2">
      <c r="B1136" t="str">
        <f>IFERROR(IF('PDCA review'!$D$2='Check'!B1136,'Check'!G1136,""),"")</f>
        <v/>
      </c>
      <c r="C1136">
        <f t="shared" si="51"/>
        <v>0</v>
      </c>
      <c r="D1136">
        <f>SUM($C$3:C1136)</f>
        <v>4</v>
      </c>
      <c r="E1136" t="e">
        <f t="shared" si="52"/>
        <v>#N/A</v>
      </c>
      <c r="F1136" s="28" t="str">
        <f t="shared" ca="1" si="53"/>
        <v/>
      </c>
    </row>
    <row r="1137" spans="2:6" x14ac:dyDescent="0.2">
      <c r="B1137" t="str">
        <f>IFERROR(IF('PDCA review'!$D$2='Check'!B1137,'Check'!G1137,""),"")</f>
        <v/>
      </c>
      <c r="C1137">
        <f t="shared" si="51"/>
        <v>0</v>
      </c>
      <c r="D1137">
        <f>SUM($C$3:C1137)</f>
        <v>4</v>
      </c>
      <c r="E1137" t="e">
        <f t="shared" si="52"/>
        <v>#N/A</v>
      </c>
      <c r="F1137" s="28" t="str">
        <f t="shared" ca="1" si="53"/>
        <v/>
      </c>
    </row>
    <row r="1138" spans="2:6" x14ac:dyDescent="0.2">
      <c r="B1138" t="str">
        <f>IFERROR(IF('PDCA review'!$D$2='Check'!B1138,'Check'!G1138,""),"")</f>
        <v/>
      </c>
      <c r="C1138">
        <f t="shared" si="51"/>
        <v>0</v>
      </c>
      <c r="D1138">
        <f>SUM($C$3:C1138)</f>
        <v>4</v>
      </c>
      <c r="E1138" t="e">
        <f t="shared" si="52"/>
        <v>#N/A</v>
      </c>
      <c r="F1138" s="28" t="str">
        <f t="shared" ca="1" si="53"/>
        <v/>
      </c>
    </row>
    <row r="1139" spans="2:6" x14ac:dyDescent="0.2">
      <c r="B1139" t="str">
        <f>IFERROR(IF('PDCA review'!$D$2='Check'!B1139,'Check'!G1139,""),"")</f>
        <v/>
      </c>
      <c r="C1139">
        <f t="shared" si="51"/>
        <v>0</v>
      </c>
      <c r="D1139">
        <f>SUM($C$3:C1139)</f>
        <v>4</v>
      </c>
      <c r="E1139" t="e">
        <f t="shared" si="52"/>
        <v>#N/A</v>
      </c>
      <c r="F1139" s="28" t="str">
        <f t="shared" ca="1" si="53"/>
        <v/>
      </c>
    </row>
    <row r="1140" spans="2:6" x14ac:dyDescent="0.2">
      <c r="B1140" t="str">
        <f>IFERROR(IF('PDCA review'!$D$2='Check'!B1140,'Check'!G1140,""),"")</f>
        <v/>
      </c>
      <c r="C1140">
        <f t="shared" si="51"/>
        <v>0</v>
      </c>
      <c r="D1140">
        <f>SUM($C$3:C1140)</f>
        <v>4</v>
      </c>
      <c r="E1140" t="e">
        <f t="shared" si="52"/>
        <v>#N/A</v>
      </c>
      <c r="F1140" s="28" t="str">
        <f t="shared" ca="1" si="53"/>
        <v/>
      </c>
    </row>
    <row r="1141" spans="2:6" x14ac:dyDescent="0.2">
      <c r="B1141" t="str">
        <f>IFERROR(IF('PDCA review'!$D$2='Check'!B1141,'Check'!G1141,""),"")</f>
        <v/>
      </c>
      <c r="C1141">
        <f t="shared" si="51"/>
        <v>0</v>
      </c>
      <c r="D1141">
        <f>SUM($C$3:C1141)</f>
        <v>4</v>
      </c>
      <c r="E1141" t="e">
        <f t="shared" si="52"/>
        <v>#N/A</v>
      </c>
      <c r="F1141" s="28" t="str">
        <f t="shared" ca="1" si="53"/>
        <v/>
      </c>
    </row>
    <row r="1142" spans="2:6" x14ac:dyDescent="0.2">
      <c r="B1142" t="str">
        <f>IFERROR(IF('PDCA review'!$D$2='Check'!B1142,'Check'!G1142,""),"")</f>
        <v/>
      </c>
      <c r="C1142">
        <f t="shared" si="51"/>
        <v>0</v>
      </c>
      <c r="D1142">
        <f>SUM($C$3:C1142)</f>
        <v>4</v>
      </c>
      <c r="E1142" t="e">
        <f t="shared" si="52"/>
        <v>#N/A</v>
      </c>
      <c r="F1142" s="28" t="str">
        <f t="shared" ca="1" si="53"/>
        <v/>
      </c>
    </row>
    <row r="1143" spans="2:6" x14ac:dyDescent="0.2">
      <c r="B1143" t="str">
        <f>IFERROR(IF('PDCA review'!$D$2='Check'!B1143,'Check'!G1143,""),"")</f>
        <v/>
      </c>
      <c r="C1143">
        <f t="shared" si="51"/>
        <v>0</v>
      </c>
      <c r="D1143">
        <f>SUM($C$3:C1143)</f>
        <v>4</v>
      </c>
      <c r="E1143" t="e">
        <f t="shared" si="52"/>
        <v>#N/A</v>
      </c>
      <c r="F1143" s="28" t="str">
        <f t="shared" ca="1" si="53"/>
        <v/>
      </c>
    </row>
    <row r="1144" spans="2:6" x14ac:dyDescent="0.2">
      <c r="B1144" t="str">
        <f>IFERROR(IF('PDCA review'!$D$2='Check'!B1144,'Check'!G1144,""),"")</f>
        <v/>
      </c>
      <c r="C1144">
        <f t="shared" si="51"/>
        <v>0</v>
      </c>
      <c r="D1144">
        <f>SUM($C$3:C1144)</f>
        <v>4</v>
      </c>
      <c r="E1144" t="e">
        <f t="shared" si="52"/>
        <v>#N/A</v>
      </c>
      <c r="F1144" s="28" t="str">
        <f t="shared" ca="1" si="53"/>
        <v/>
      </c>
    </row>
    <row r="1145" spans="2:6" x14ac:dyDescent="0.2">
      <c r="B1145" t="str">
        <f>IFERROR(IF('PDCA review'!$D$2='Check'!B1145,'Check'!G1145,""),"")</f>
        <v/>
      </c>
      <c r="C1145">
        <f t="shared" si="51"/>
        <v>0</v>
      </c>
      <c r="D1145">
        <f>SUM($C$3:C1145)</f>
        <v>4</v>
      </c>
      <c r="E1145" t="e">
        <f t="shared" si="52"/>
        <v>#N/A</v>
      </c>
      <c r="F1145" s="28" t="str">
        <f t="shared" ca="1" si="53"/>
        <v/>
      </c>
    </row>
    <row r="1146" spans="2:6" x14ac:dyDescent="0.2">
      <c r="B1146" t="str">
        <f>IFERROR(IF('PDCA review'!$D$2='Check'!B1146,'Check'!G1146,""),"")</f>
        <v/>
      </c>
      <c r="C1146">
        <f t="shared" si="51"/>
        <v>0</v>
      </c>
      <c r="D1146">
        <f>SUM($C$3:C1146)</f>
        <v>4</v>
      </c>
      <c r="E1146" t="e">
        <f t="shared" si="52"/>
        <v>#N/A</v>
      </c>
      <c r="F1146" s="28" t="str">
        <f t="shared" ca="1" si="53"/>
        <v/>
      </c>
    </row>
    <row r="1147" spans="2:6" x14ac:dyDescent="0.2">
      <c r="B1147" t="str">
        <f>IFERROR(IF('PDCA review'!$D$2='Check'!B1147,'Check'!G1147,""),"")</f>
        <v/>
      </c>
      <c r="C1147">
        <f t="shared" si="51"/>
        <v>0</v>
      </c>
      <c r="D1147">
        <f>SUM($C$3:C1147)</f>
        <v>4</v>
      </c>
      <c r="E1147" t="e">
        <f t="shared" si="52"/>
        <v>#N/A</v>
      </c>
      <c r="F1147" s="28" t="str">
        <f t="shared" ca="1" si="53"/>
        <v/>
      </c>
    </row>
    <row r="1148" spans="2:6" x14ac:dyDescent="0.2">
      <c r="B1148" t="str">
        <f>IFERROR(IF('PDCA review'!$D$2='Check'!B1148,'Check'!G1148,""),"")</f>
        <v/>
      </c>
      <c r="C1148">
        <f t="shared" si="51"/>
        <v>0</v>
      </c>
      <c r="D1148">
        <f>SUM($C$3:C1148)</f>
        <v>4</v>
      </c>
      <c r="E1148" t="e">
        <f t="shared" si="52"/>
        <v>#N/A</v>
      </c>
      <c r="F1148" s="28" t="str">
        <f t="shared" ca="1" si="53"/>
        <v/>
      </c>
    </row>
    <row r="1149" spans="2:6" x14ac:dyDescent="0.2">
      <c r="B1149" t="str">
        <f>IFERROR(IF('PDCA review'!$D$2='Check'!B1149,'Check'!G1149,""),"")</f>
        <v/>
      </c>
      <c r="C1149">
        <f t="shared" si="51"/>
        <v>0</v>
      </c>
      <c r="D1149">
        <f>SUM($C$3:C1149)</f>
        <v>4</v>
      </c>
      <c r="E1149" t="e">
        <f t="shared" si="52"/>
        <v>#N/A</v>
      </c>
      <c r="F1149" s="28" t="str">
        <f t="shared" ca="1" si="53"/>
        <v/>
      </c>
    </row>
    <row r="1150" spans="2:6" x14ac:dyDescent="0.2">
      <c r="B1150" t="str">
        <f>IFERROR(IF('PDCA review'!$D$2='Check'!B1150,'Check'!G1150,""),"")</f>
        <v/>
      </c>
      <c r="C1150">
        <f t="shared" si="51"/>
        <v>0</v>
      </c>
      <c r="D1150">
        <f>SUM($C$3:C1150)</f>
        <v>4</v>
      </c>
      <c r="E1150" t="e">
        <f t="shared" si="52"/>
        <v>#N/A</v>
      </c>
      <c r="F1150" s="28" t="str">
        <f t="shared" ca="1" si="53"/>
        <v/>
      </c>
    </row>
    <row r="1151" spans="2:6" x14ac:dyDescent="0.2">
      <c r="B1151" t="str">
        <f>IFERROR(IF('PDCA review'!$D$2='Check'!B1151,'Check'!G1151,""),"")</f>
        <v/>
      </c>
      <c r="C1151">
        <f t="shared" si="51"/>
        <v>0</v>
      </c>
      <c r="D1151">
        <f>SUM($C$3:C1151)</f>
        <v>4</v>
      </c>
      <c r="E1151" t="e">
        <f t="shared" si="52"/>
        <v>#N/A</v>
      </c>
      <c r="F1151" s="28" t="str">
        <f t="shared" ca="1" si="53"/>
        <v/>
      </c>
    </row>
    <row r="1152" spans="2:6" x14ac:dyDescent="0.2">
      <c r="B1152" t="str">
        <f>IFERROR(IF('PDCA review'!$D$2='Check'!B1152,'Check'!G1152,""),"")</f>
        <v/>
      </c>
      <c r="C1152">
        <f t="shared" si="51"/>
        <v>0</v>
      </c>
      <c r="D1152">
        <f>SUM($C$3:C1152)</f>
        <v>4</v>
      </c>
      <c r="E1152" t="e">
        <f t="shared" si="52"/>
        <v>#N/A</v>
      </c>
      <c r="F1152" s="28" t="str">
        <f t="shared" ca="1" si="53"/>
        <v/>
      </c>
    </row>
    <row r="1153" spans="2:6" x14ac:dyDescent="0.2">
      <c r="B1153" t="str">
        <f>IFERROR(IF('PDCA review'!$D$2='Check'!B1153,'Check'!G1153,""),"")</f>
        <v/>
      </c>
      <c r="C1153">
        <f t="shared" si="51"/>
        <v>0</v>
      </c>
      <c r="D1153">
        <f>SUM($C$3:C1153)</f>
        <v>4</v>
      </c>
      <c r="E1153" t="e">
        <f t="shared" si="52"/>
        <v>#N/A</v>
      </c>
      <c r="F1153" s="28" t="str">
        <f t="shared" ca="1" si="53"/>
        <v/>
      </c>
    </row>
    <row r="1154" spans="2:6" x14ac:dyDescent="0.2">
      <c r="B1154" t="str">
        <f>IFERROR(IF('PDCA review'!$D$2='Check'!B1154,'Check'!G1154,""),"")</f>
        <v/>
      </c>
      <c r="C1154">
        <f t="shared" si="51"/>
        <v>0</v>
      </c>
      <c r="D1154">
        <f>SUM($C$3:C1154)</f>
        <v>4</v>
      </c>
      <c r="E1154" t="e">
        <f t="shared" si="52"/>
        <v>#N/A</v>
      </c>
      <c r="F1154" s="28" t="str">
        <f t="shared" ca="1" si="53"/>
        <v/>
      </c>
    </row>
    <row r="1155" spans="2:6" x14ac:dyDescent="0.2">
      <c r="B1155" t="str">
        <f>IFERROR(IF('PDCA review'!$D$2='Check'!B1155,'Check'!G1155,""),"")</f>
        <v/>
      </c>
      <c r="C1155">
        <f t="shared" si="51"/>
        <v>0</v>
      </c>
      <c r="D1155">
        <f>SUM($C$3:C1155)</f>
        <v>4</v>
      </c>
      <c r="E1155" t="e">
        <f t="shared" si="52"/>
        <v>#N/A</v>
      </c>
      <c r="F1155" s="28" t="str">
        <f t="shared" ca="1" si="53"/>
        <v/>
      </c>
    </row>
    <row r="1156" spans="2:6" x14ac:dyDescent="0.2">
      <c r="B1156" t="str">
        <f>IFERROR(IF('PDCA review'!$D$2='Check'!B1156,'Check'!G1156,""),"")</f>
        <v/>
      </c>
      <c r="C1156">
        <f t="shared" ref="C1156:C1219" si="54">IF(B1156&lt;&gt;"",1,0)</f>
        <v>0</v>
      </c>
      <c r="D1156">
        <f>SUM($C$3:C1156)</f>
        <v>4</v>
      </c>
      <c r="E1156" t="e">
        <f t="shared" ref="E1156:E1219" si="55">MATCH(ROW()-$D$2,$D$3:$D$2000,0)+$D$2</f>
        <v>#N/A</v>
      </c>
      <c r="F1156" s="28" t="str">
        <f t="shared" ref="F1156:F1219" ca="1" si="56">IFERROR(INDIRECT("B"&amp;E1156),"")</f>
        <v/>
      </c>
    </row>
    <row r="1157" spans="2:6" x14ac:dyDescent="0.2">
      <c r="B1157" t="str">
        <f>IFERROR(IF('PDCA review'!$D$2='Check'!B1157,'Check'!G1157,""),"")</f>
        <v/>
      </c>
      <c r="C1157">
        <f t="shared" si="54"/>
        <v>0</v>
      </c>
      <c r="D1157">
        <f>SUM($C$3:C1157)</f>
        <v>4</v>
      </c>
      <c r="E1157" t="e">
        <f t="shared" si="55"/>
        <v>#N/A</v>
      </c>
      <c r="F1157" s="28" t="str">
        <f t="shared" ca="1" si="56"/>
        <v/>
      </c>
    </row>
    <row r="1158" spans="2:6" x14ac:dyDescent="0.2">
      <c r="B1158" t="str">
        <f>IFERROR(IF('PDCA review'!$D$2='Check'!B1158,'Check'!G1158,""),"")</f>
        <v/>
      </c>
      <c r="C1158">
        <f t="shared" si="54"/>
        <v>0</v>
      </c>
      <c r="D1158">
        <f>SUM($C$3:C1158)</f>
        <v>4</v>
      </c>
      <c r="E1158" t="e">
        <f t="shared" si="55"/>
        <v>#N/A</v>
      </c>
      <c r="F1158" s="28" t="str">
        <f t="shared" ca="1" si="56"/>
        <v/>
      </c>
    </row>
    <row r="1159" spans="2:6" x14ac:dyDescent="0.2">
      <c r="B1159" t="str">
        <f>IFERROR(IF('PDCA review'!$D$2='Check'!B1159,'Check'!G1159,""),"")</f>
        <v/>
      </c>
      <c r="C1159">
        <f t="shared" si="54"/>
        <v>0</v>
      </c>
      <c r="D1159">
        <f>SUM($C$3:C1159)</f>
        <v>4</v>
      </c>
      <c r="E1159" t="e">
        <f t="shared" si="55"/>
        <v>#N/A</v>
      </c>
      <c r="F1159" s="28" t="str">
        <f t="shared" ca="1" si="56"/>
        <v/>
      </c>
    </row>
    <row r="1160" spans="2:6" x14ac:dyDescent="0.2">
      <c r="B1160" t="str">
        <f>IFERROR(IF('PDCA review'!$D$2='Check'!B1160,'Check'!G1160,""),"")</f>
        <v/>
      </c>
      <c r="C1160">
        <f t="shared" si="54"/>
        <v>0</v>
      </c>
      <c r="D1160">
        <f>SUM($C$3:C1160)</f>
        <v>4</v>
      </c>
      <c r="E1160" t="e">
        <f t="shared" si="55"/>
        <v>#N/A</v>
      </c>
      <c r="F1160" s="28" t="str">
        <f t="shared" ca="1" si="56"/>
        <v/>
      </c>
    </row>
    <row r="1161" spans="2:6" x14ac:dyDescent="0.2">
      <c r="B1161" t="str">
        <f>IFERROR(IF('PDCA review'!$D$2='Check'!B1161,'Check'!G1161,""),"")</f>
        <v/>
      </c>
      <c r="C1161">
        <f t="shared" si="54"/>
        <v>0</v>
      </c>
      <c r="D1161">
        <f>SUM($C$3:C1161)</f>
        <v>4</v>
      </c>
      <c r="E1161" t="e">
        <f t="shared" si="55"/>
        <v>#N/A</v>
      </c>
      <c r="F1161" s="28" t="str">
        <f t="shared" ca="1" si="56"/>
        <v/>
      </c>
    </row>
    <row r="1162" spans="2:6" x14ac:dyDescent="0.2">
      <c r="B1162" t="str">
        <f>IFERROR(IF('PDCA review'!$D$2='Check'!B1162,'Check'!G1162,""),"")</f>
        <v/>
      </c>
      <c r="C1162">
        <f t="shared" si="54"/>
        <v>0</v>
      </c>
      <c r="D1162">
        <f>SUM($C$3:C1162)</f>
        <v>4</v>
      </c>
      <c r="E1162" t="e">
        <f t="shared" si="55"/>
        <v>#N/A</v>
      </c>
      <c r="F1162" s="28" t="str">
        <f t="shared" ca="1" si="56"/>
        <v/>
      </c>
    </row>
    <row r="1163" spans="2:6" x14ac:dyDescent="0.2">
      <c r="B1163" t="str">
        <f>IFERROR(IF('PDCA review'!$D$2='Check'!B1163,'Check'!G1163,""),"")</f>
        <v/>
      </c>
      <c r="C1163">
        <f t="shared" si="54"/>
        <v>0</v>
      </c>
      <c r="D1163">
        <f>SUM($C$3:C1163)</f>
        <v>4</v>
      </c>
      <c r="E1163" t="e">
        <f t="shared" si="55"/>
        <v>#N/A</v>
      </c>
      <c r="F1163" s="28" t="str">
        <f t="shared" ca="1" si="56"/>
        <v/>
      </c>
    </row>
    <row r="1164" spans="2:6" x14ac:dyDescent="0.2">
      <c r="B1164" t="str">
        <f>IFERROR(IF('PDCA review'!$D$2='Check'!B1164,'Check'!G1164,""),"")</f>
        <v/>
      </c>
      <c r="C1164">
        <f t="shared" si="54"/>
        <v>0</v>
      </c>
      <c r="D1164">
        <f>SUM($C$3:C1164)</f>
        <v>4</v>
      </c>
      <c r="E1164" t="e">
        <f t="shared" si="55"/>
        <v>#N/A</v>
      </c>
      <c r="F1164" s="28" t="str">
        <f t="shared" ca="1" si="56"/>
        <v/>
      </c>
    </row>
    <row r="1165" spans="2:6" x14ac:dyDescent="0.2">
      <c r="B1165" t="str">
        <f>IFERROR(IF('PDCA review'!$D$2='Check'!B1165,'Check'!G1165,""),"")</f>
        <v/>
      </c>
      <c r="C1165">
        <f t="shared" si="54"/>
        <v>0</v>
      </c>
      <c r="D1165">
        <f>SUM($C$3:C1165)</f>
        <v>4</v>
      </c>
      <c r="E1165" t="e">
        <f t="shared" si="55"/>
        <v>#N/A</v>
      </c>
      <c r="F1165" s="28" t="str">
        <f t="shared" ca="1" si="56"/>
        <v/>
      </c>
    </row>
    <row r="1166" spans="2:6" x14ac:dyDescent="0.2">
      <c r="B1166" t="str">
        <f>IFERROR(IF('PDCA review'!$D$2='Check'!B1166,'Check'!G1166,""),"")</f>
        <v/>
      </c>
      <c r="C1166">
        <f t="shared" si="54"/>
        <v>0</v>
      </c>
      <c r="D1166">
        <f>SUM($C$3:C1166)</f>
        <v>4</v>
      </c>
      <c r="E1166" t="e">
        <f t="shared" si="55"/>
        <v>#N/A</v>
      </c>
      <c r="F1166" s="28" t="str">
        <f t="shared" ca="1" si="56"/>
        <v/>
      </c>
    </row>
    <row r="1167" spans="2:6" x14ac:dyDescent="0.2">
      <c r="B1167" t="str">
        <f>IFERROR(IF('PDCA review'!$D$2='Check'!B1167,'Check'!G1167,""),"")</f>
        <v/>
      </c>
      <c r="C1167">
        <f t="shared" si="54"/>
        <v>0</v>
      </c>
      <c r="D1167">
        <f>SUM($C$3:C1167)</f>
        <v>4</v>
      </c>
      <c r="E1167" t="e">
        <f t="shared" si="55"/>
        <v>#N/A</v>
      </c>
      <c r="F1167" s="28" t="str">
        <f t="shared" ca="1" si="56"/>
        <v/>
      </c>
    </row>
    <row r="1168" spans="2:6" x14ac:dyDescent="0.2">
      <c r="B1168" t="str">
        <f>IFERROR(IF('PDCA review'!$D$2='Check'!B1168,'Check'!G1168,""),"")</f>
        <v/>
      </c>
      <c r="C1168">
        <f t="shared" si="54"/>
        <v>0</v>
      </c>
      <c r="D1168">
        <f>SUM($C$3:C1168)</f>
        <v>4</v>
      </c>
      <c r="E1168" t="e">
        <f t="shared" si="55"/>
        <v>#N/A</v>
      </c>
      <c r="F1168" s="28" t="str">
        <f t="shared" ca="1" si="56"/>
        <v/>
      </c>
    </row>
    <row r="1169" spans="2:6" x14ac:dyDescent="0.2">
      <c r="B1169" t="str">
        <f>IFERROR(IF('PDCA review'!$D$2='Check'!B1169,'Check'!G1169,""),"")</f>
        <v/>
      </c>
      <c r="C1169">
        <f t="shared" si="54"/>
        <v>0</v>
      </c>
      <c r="D1169">
        <f>SUM($C$3:C1169)</f>
        <v>4</v>
      </c>
      <c r="E1169" t="e">
        <f t="shared" si="55"/>
        <v>#N/A</v>
      </c>
      <c r="F1169" s="28" t="str">
        <f t="shared" ca="1" si="56"/>
        <v/>
      </c>
    </row>
    <row r="1170" spans="2:6" x14ac:dyDescent="0.2">
      <c r="B1170" t="str">
        <f>IFERROR(IF('PDCA review'!$D$2='Check'!B1170,'Check'!G1170,""),"")</f>
        <v/>
      </c>
      <c r="C1170">
        <f t="shared" si="54"/>
        <v>0</v>
      </c>
      <c r="D1170">
        <f>SUM($C$3:C1170)</f>
        <v>4</v>
      </c>
      <c r="E1170" t="e">
        <f t="shared" si="55"/>
        <v>#N/A</v>
      </c>
      <c r="F1170" s="28" t="str">
        <f t="shared" ca="1" si="56"/>
        <v/>
      </c>
    </row>
    <row r="1171" spans="2:6" x14ac:dyDescent="0.2">
      <c r="B1171" t="str">
        <f>IFERROR(IF('PDCA review'!$D$2='Check'!B1171,'Check'!G1171,""),"")</f>
        <v/>
      </c>
      <c r="C1171">
        <f t="shared" si="54"/>
        <v>0</v>
      </c>
      <c r="D1171">
        <f>SUM($C$3:C1171)</f>
        <v>4</v>
      </c>
      <c r="E1171" t="e">
        <f t="shared" si="55"/>
        <v>#N/A</v>
      </c>
      <c r="F1171" s="28" t="str">
        <f t="shared" ca="1" si="56"/>
        <v/>
      </c>
    </row>
    <row r="1172" spans="2:6" x14ac:dyDescent="0.2">
      <c r="B1172" t="str">
        <f>IFERROR(IF('PDCA review'!$D$2='Check'!B1172,'Check'!G1172,""),"")</f>
        <v/>
      </c>
      <c r="C1172">
        <f t="shared" si="54"/>
        <v>0</v>
      </c>
      <c r="D1172">
        <f>SUM($C$3:C1172)</f>
        <v>4</v>
      </c>
      <c r="E1172" t="e">
        <f t="shared" si="55"/>
        <v>#N/A</v>
      </c>
      <c r="F1172" s="28" t="str">
        <f t="shared" ca="1" si="56"/>
        <v/>
      </c>
    </row>
    <row r="1173" spans="2:6" x14ac:dyDescent="0.2">
      <c r="B1173" t="str">
        <f>IFERROR(IF('PDCA review'!$D$2='Check'!B1173,'Check'!G1173,""),"")</f>
        <v/>
      </c>
      <c r="C1173">
        <f t="shared" si="54"/>
        <v>0</v>
      </c>
      <c r="D1173">
        <f>SUM($C$3:C1173)</f>
        <v>4</v>
      </c>
      <c r="E1173" t="e">
        <f t="shared" si="55"/>
        <v>#N/A</v>
      </c>
      <c r="F1173" s="28" t="str">
        <f t="shared" ca="1" si="56"/>
        <v/>
      </c>
    </row>
    <row r="1174" spans="2:6" x14ac:dyDescent="0.2">
      <c r="B1174" t="str">
        <f>IFERROR(IF('PDCA review'!$D$2='Check'!B1174,'Check'!G1174,""),"")</f>
        <v/>
      </c>
      <c r="C1174">
        <f t="shared" si="54"/>
        <v>0</v>
      </c>
      <c r="D1174">
        <f>SUM($C$3:C1174)</f>
        <v>4</v>
      </c>
      <c r="E1174" t="e">
        <f t="shared" si="55"/>
        <v>#N/A</v>
      </c>
      <c r="F1174" s="28" t="str">
        <f t="shared" ca="1" si="56"/>
        <v/>
      </c>
    </row>
    <row r="1175" spans="2:6" x14ac:dyDescent="0.2">
      <c r="B1175" t="str">
        <f>IFERROR(IF('PDCA review'!$D$2='Check'!B1175,'Check'!G1175,""),"")</f>
        <v/>
      </c>
      <c r="C1175">
        <f t="shared" si="54"/>
        <v>0</v>
      </c>
      <c r="D1175">
        <f>SUM($C$3:C1175)</f>
        <v>4</v>
      </c>
      <c r="E1175" t="e">
        <f t="shared" si="55"/>
        <v>#N/A</v>
      </c>
      <c r="F1175" s="28" t="str">
        <f t="shared" ca="1" si="56"/>
        <v/>
      </c>
    </row>
    <row r="1176" spans="2:6" x14ac:dyDescent="0.2">
      <c r="B1176" t="str">
        <f>IFERROR(IF('PDCA review'!$D$2='Check'!B1176,'Check'!G1176,""),"")</f>
        <v/>
      </c>
      <c r="C1176">
        <f t="shared" si="54"/>
        <v>0</v>
      </c>
      <c r="D1176">
        <f>SUM($C$3:C1176)</f>
        <v>4</v>
      </c>
      <c r="E1176" t="e">
        <f t="shared" si="55"/>
        <v>#N/A</v>
      </c>
      <c r="F1176" s="28" t="str">
        <f t="shared" ca="1" si="56"/>
        <v/>
      </c>
    </row>
    <row r="1177" spans="2:6" x14ac:dyDescent="0.2">
      <c r="B1177" t="str">
        <f>IFERROR(IF('PDCA review'!$D$2='Check'!B1177,'Check'!G1177,""),"")</f>
        <v/>
      </c>
      <c r="C1177">
        <f t="shared" si="54"/>
        <v>0</v>
      </c>
      <c r="D1177">
        <f>SUM($C$3:C1177)</f>
        <v>4</v>
      </c>
      <c r="E1177" t="e">
        <f t="shared" si="55"/>
        <v>#N/A</v>
      </c>
      <c r="F1177" s="28" t="str">
        <f t="shared" ca="1" si="56"/>
        <v/>
      </c>
    </row>
    <row r="1178" spans="2:6" x14ac:dyDescent="0.2">
      <c r="B1178" t="str">
        <f>IFERROR(IF('PDCA review'!$D$2='Check'!B1178,'Check'!G1178,""),"")</f>
        <v/>
      </c>
      <c r="C1178">
        <f t="shared" si="54"/>
        <v>0</v>
      </c>
      <c r="D1178">
        <f>SUM($C$3:C1178)</f>
        <v>4</v>
      </c>
      <c r="E1178" t="e">
        <f t="shared" si="55"/>
        <v>#N/A</v>
      </c>
      <c r="F1178" s="28" t="str">
        <f t="shared" ca="1" si="56"/>
        <v/>
      </c>
    </row>
    <row r="1179" spans="2:6" x14ac:dyDescent="0.2">
      <c r="B1179" t="str">
        <f>IFERROR(IF('PDCA review'!$D$2='Check'!B1179,'Check'!G1179,""),"")</f>
        <v/>
      </c>
      <c r="C1179">
        <f t="shared" si="54"/>
        <v>0</v>
      </c>
      <c r="D1179">
        <f>SUM($C$3:C1179)</f>
        <v>4</v>
      </c>
      <c r="E1179" t="e">
        <f t="shared" si="55"/>
        <v>#N/A</v>
      </c>
      <c r="F1179" s="28" t="str">
        <f t="shared" ca="1" si="56"/>
        <v/>
      </c>
    </row>
    <row r="1180" spans="2:6" x14ac:dyDescent="0.2">
      <c r="B1180" t="str">
        <f>IFERROR(IF('PDCA review'!$D$2='Check'!B1180,'Check'!G1180,""),"")</f>
        <v/>
      </c>
      <c r="C1180">
        <f t="shared" si="54"/>
        <v>0</v>
      </c>
      <c r="D1180">
        <f>SUM($C$3:C1180)</f>
        <v>4</v>
      </c>
      <c r="E1180" t="e">
        <f t="shared" si="55"/>
        <v>#N/A</v>
      </c>
      <c r="F1180" s="28" t="str">
        <f t="shared" ca="1" si="56"/>
        <v/>
      </c>
    </row>
    <row r="1181" spans="2:6" x14ac:dyDescent="0.2">
      <c r="B1181" t="str">
        <f>IFERROR(IF('PDCA review'!$D$2='Check'!B1181,'Check'!G1181,""),"")</f>
        <v/>
      </c>
      <c r="C1181">
        <f t="shared" si="54"/>
        <v>0</v>
      </c>
      <c r="D1181">
        <f>SUM($C$3:C1181)</f>
        <v>4</v>
      </c>
      <c r="E1181" t="e">
        <f t="shared" si="55"/>
        <v>#N/A</v>
      </c>
      <c r="F1181" s="28" t="str">
        <f t="shared" ca="1" si="56"/>
        <v/>
      </c>
    </row>
    <row r="1182" spans="2:6" x14ac:dyDescent="0.2">
      <c r="B1182" t="str">
        <f>IFERROR(IF('PDCA review'!$D$2='Check'!B1182,'Check'!G1182,""),"")</f>
        <v/>
      </c>
      <c r="C1182">
        <f t="shared" si="54"/>
        <v>0</v>
      </c>
      <c r="D1182">
        <f>SUM($C$3:C1182)</f>
        <v>4</v>
      </c>
      <c r="E1182" t="e">
        <f t="shared" si="55"/>
        <v>#N/A</v>
      </c>
      <c r="F1182" s="28" t="str">
        <f t="shared" ca="1" si="56"/>
        <v/>
      </c>
    </row>
    <row r="1183" spans="2:6" x14ac:dyDescent="0.2">
      <c r="B1183" t="str">
        <f>IFERROR(IF('PDCA review'!$D$2='Check'!B1183,'Check'!G1183,""),"")</f>
        <v/>
      </c>
      <c r="C1183">
        <f t="shared" si="54"/>
        <v>0</v>
      </c>
      <c r="D1183">
        <f>SUM($C$3:C1183)</f>
        <v>4</v>
      </c>
      <c r="E1183" t="e">
        <f t="shared" si="55"/>
        <v>#N/A</v>
      </c>
      <c r="F1183" s="28" t="str">
        <f t="shared" ca="1" si="56"/>
        <v/>
      </c>
    </row>
    <row r="1184" spans="2:6" x14ac:dyDescent="0.2">
      <c r="B1184" t="str">
        <f>IFERROR(IF('PDCA review'!$D$2='Check'!B1184,'Check'!G1184,""),"")</f>
        <v/>
      </c>
      <c r="C1184">
        <f t="shared" si="54"/>
        <v>0</v>
      </c>
      <c r="D1184">
        <f>SUM($C$3:C1184)</f>
        <v>4</v>
      </c>
      <c r="E1184" t="e">
        <f t="shared" si="55"/>
        <v>#N/A</v>
      </c>
      <c r="F1184" s="28" t="str">
        <f t="shared" ca="1" si="56"/>
        <v/>
      </c>
    </row>
    <row r="1185" spans="2:6" x14ac:dyDescent="0.2">
      <c r="B1185" t="str">
        <f>IFERROR(IF('PDCA review'!$D$2='Check'!B1185,'Check'!G1185,""),"")</f>
        <v/>
      </c>
      <c r="C1185">
        <f t="shared" si="54"/>
        <v>0</v>
      </c>
      <c r="D1185">
        <f>SUM($C$3:C1185)</f>
        <v>4</v>
      </c>
      <c r="E1185" t="e">
        <f t="shared" si="55"/>
        <v>#N/A</v>
      </c>
      <c r="F1185" s="28" t="str">
        <f t="shared" ca="1" si="56"/>
        <v/>
      </c>
    </row>
    <row r="1186" spans="2:6" x14ac:dyDescent="0.2">
      <c r="B1186" t="str">
        <f>IFERROR(IF('PDCA review'!$D$2='Check'!B1186,'Check'!G1186,""),"")</f>
        <v/>
      </c>
      <c r="C1186">
        <f t="shared" si="54"/>
        <v>0</v>
      </c>
      <c r="D1186">
        <f>SUM($C$3:C1186)</f>
        <v>4</v>
      </c>
      <c r="E1186" t="e">
        <f t="shared" si="55"/>
        <v>#N/A</v>
      </c>
      <c r="F1186" s="28" t="str">
        <f t="shared" ca="1" si="56"/>
        <v/>
      </c>
    </row>
    <row r="1187" spans="2:6" x14ac:dyDescent="0.2">
      <c r="B1187" t="str">
        <f>IFERROR(IF('PDCA review'!$D$2='Check'!B1187,'Check'!G1187,""),"")</f>
        <v/>
      </c>
      <c r="C1187">
        <f t="shared" si="54"/>
        <v>0</v>
      </c>
      <c r="D1187">
        <f>SUM($C$3:C1187)</f>
        <v>4</v>
      </c>
      <c r="E1187" t="e">
        <f t="shared" si="55"/>
        <v>#N/A</v>
      </c>
      <c r="F1187" s="28" t="str">
        <f t="shared" ca="1" si="56"/>
        <v/>
      </c>
    </row>
    <row r="1188" spans="2:6" x14ac:dyDescent="0.2">
      <c r="B1188" t="str">
        <f>IFERROR(IF('PDCA review'!$D$2='Check'!B1188,'Check'!G1188,""),"")</f>
        <v/>
      </c>
      <c r="C1188">
        <f t="shared" si="54"/>
        <v>0</v>
      </c>
      <c r="D1188">
        <f>SUM($C$3:C1188)</f>
        <v>4</v>
      </c>
      <c r="E1188" t="e">
        <f t="shared" si="55"/>
        <v>#N/A</v>
      </c>
      <c r="F1188" s="28" t="str">
        <f t="shared" ca="1" si="56"/>
        <v/>
      </c>
    </row>
    <row r="1189" spans="2:6" x14ac:dyDescent="0.2">
      <c r="B1189" t="str">
        <f>IFERROR(IF('PDCA review'!$D$2='Check'!B1189,'Check'!G1189,""),"")</f>
        <v/>
      </c>
      <c r="C1189">
        <f t="shared" si="54"/>
        <v>0</v>
      </c>
      <c r="D1189">
        <f>SUM($C$3:C1189)</f>
        <v>4</v>
      </c>
      <c r="E1189" t="e">
        <f t="shared" si="55"/>
        <v>#N/A</v>
      </c>
      <c r="F1189" s="28" t="str">
        <f t="shared" ca="1" si="56"/>
        <v/>
      </c>
    </row>
    <row r="1190" spans="2:6" x14ac:dyDescent="0.2">
      <c r="B1190" t="str">
        <f>IFERROR(IF('PDCA review'!$D$2='Check'!B1190,'Check'!G1190,""),"")</f>
        <v/>
      </c>
      <c r="C1190">
        <f t="shared" si="54"/>
        <v>0</v>
      </c>
      <c r="D1190">
        <f>SUM($C$3:C1190)</f>
        <v>4</v>
      </c>
      <c r="E1190" t="e">
        <f t="shared" si="55"/>
        <v>#N/A</v>
      </c>
      <c r="F1190" s="28" t="str">
        <f t="shared" ca="1" si="56"/>
        <v/>
      </c>
    </row>
    <row r="1191" spans="2:6" x14ac:dyDescent="0.2">
      <c r="B1191" t="str">
        <f>IFERROR(IF('PDCA review'!$D$2='Check'!B1191,'Check'!G1191,""),"")</f>
        <v/>
      </c>
      <c r="C1191">
        <f t="shared" si="54"/>
        <v>0</v>
      </c>
      <c r="D1191">
        <f>SUM($C$3:C1191)</f>
        <v>4</v>
      </c>
      <c r="E1191" t="e">
        <f t="shared" si="55"/>
        <v>#N/A</v>
      </c>
      <c r="F1191" s="28" t="str">
        <f t="shared" ca="1" si="56"/>
        <v/>
      </c>
    </row>
    <row r="1192" spans="2:6" x14ac:dyDescent="0.2">
      <c r="B1192" t="str">
        <f>IFERROR(IF('PDCA review'!$D$2='Check'!B1192,'Check'!G1192,""),"")</f>
        <v/>
      </c>
      <c r="C1192">
        <f t="shared" si="54"/>
        <v>0</v>
      </c>
      <c r="D1192">
        <f>SUM($C$3:C1192)</f>
        <v>4</v>
      </c>
      <c r="E1192" t="e">
        <f t="shared" si="55"/>
        <v>#N/A</v>
      </c>
      <c r="F1192" s="28" t="str">
        <f t="shared" ca="1" si="56"/>
        <v/>
      </c>
    </row>
    <row r="1193" spans="2:6" x14ac:dyDescent="0.2">
      <c r="B1193" t="str">
        <f>IFERROR(IF('PDCA review'!$D$2='Check'!B1193,'Check'!G1193,""),"")</f>
        <v/>
      </c>
      <c r="C1193">
        <f t="shared" si="54"/>
        <v>0</v>
      </c>
      <c r="D1193">
        <f>SUM($C$3:C1193)</f>
        <v>4</v>
      </c>
      <c r="E1193" t="e">
        <f t="shared" si="55"/>
        <v>#N/A</v>
      </c>
      <c r="F1193" s="28" t="str">
        <f t="shared" ca="1" si="56"/>
        <v/>
      </c>
    </row>
    <row r="1194" spans="2:6" x14ac:dyDescent="0.2">
      <c r="B1194" t="str">
        <f>IFERROR(IF('PDCA review'!$D$2='Check'!B1194,'Check'!G1194,""),"")</f>
        <v/>
      </c>
      <c r="C1194">
        <f t="shared" si="54"/>
        <v>0</v>
      </c>
      <c r="D1194">
        <f>SUM($C$3:C1194)</f>
        <v>4</v>
      </c>
      <c r="E1194" t="e">
        <f t="shared" si="55"/>
        <v>#N/A</v>
      </c>
      <c r="F1194" s="28" t="str">
        <f t="shared" ca="1" si="56"/>
        <v/>
      </c>
    </row>
    <row r="1195" spans="2:6" x14ac:dyDescent="0.2">
      <c r="B1195" t="str">
        <f>IFERROR(IF('PDCA review'!$D$2='Check'!B1195,'Check'!G1195,""),"")</f>
        <v/>
      </c>
      <c r="C1195">
        <f t="shared" si="54"/>
        <v>0</v>
      </c>
      <c r="D1195">
        <f>SUM($C$3:C1195)</f>
        <v>4</v>
      </c>
      <c r="E1195" t="e">
        <f t="shared" si="55"/>
        <v>#N/A</v>
      </c>
      <c r="F1195" s="28" t="str">
        <f t="shared" ca="1" si="56"/>
        <v/>
      </c>
    </row>
    <row r="1196" spans="2:6" x14ac:dyDescent="0.2">
      <c r="B1196" t="str">
        <f>IFERROR(IF('PDCA review'!$D$2='Check'!B1196,'Check'!G1196,""),"")</f>
        <v/>
      </c>
      <c r="C1196">
        <f t="shared" si="54"/>
        <v>0</v>
      </c>
      <c r="D1196">
        <f>SUM($C$3:C1196)</f>
        <v>4</v>
      </c>
      <c r="E1196" t="e">
        <f t="shared" si="55"/>
        <v>#N/A</v>
      </c>
      <c r="F1196" s="28" t="str">
        <f t="shared" ca="1" si="56"/>
        <v/>
      </c>
    </row>
    <row r="1197" spans="2:6" x14ac:dyDescent="0.2">
      <c r="B1197" t="str">
        <f>IFERROR(IF('PDCA review'!$D$2='Check'!B1197,'Check'!G1197,""),"")</f>
        <v/>
      </c>
      <c r="C1197">
        <f t="shared" si="54"/>
        <v>0</v>
      </c>
      <c r="D1197">
        <f>SUM($C$3:C1197)</f>
        <v>4</v>
      </c>
      <c r="E1197" t="e">
        <f t="shared" si="55"/>
        <v>#N/A</v>
      </c>
      <c r="F1197" s="28" t="str">
        <f t="shared" ca="1" si="56"/>
        <v/>
      </c>
    </row>
    <row r="1198" spans="2:6" x14ac:dyDescent="0.2">
      <c r="B1198" t="str">
        <f>IFERROR(IF('PDCA review'!$D$2='Check'!B1198,'Check'!G1198,""),"")</f>
        <v/>
      </c>
      <c r="C1198">
        <f t="shared" si="54"/>
        <v>0</v>
      </c>
      <c r="D1198">
        <f>SUM($C$3:C1198)</f>
        <v>4</v>
      </c>
      <c r="E1198" t="e">
        <f t="shared" si="55"/>
        <v>#N/A</v>
      </c>
      <c r="F1198" s="28" t="str">
        <f t="shared" ca="1" si="56"/>
        <v/>
      </c>
    </row>
    <row r="1199" spans="2:6" x14ac:dyDescent="0.2">
      <c r="B1199" t="str">
        <f>IFERROR(IF('PDCA review'!$D$2='Check'!B1199,'Check'!G1199,""),"")</f>
        <v/>
      </c>
      <c r="C1199">
        <f t="shared" si="54"/>
        <v>0</v>
      </c>
      <c r="D1199">
        <f>SUM($C$3:C1199)</f>
        <v>4</v>
      </c>
      <c r="E1199" t="e">
        <f t="shared" si="55"/>
        <v>#N/A</v>
      </c>
      <c r="F1199" s="28" t="str">
        <f t="shared" ca="1" si="56"/>
        <v/>
      </c>
    </row>
    <row r="1200" spans="2:6" x14ac:dyDescent="0.2">
      <c r="B1200" t="str">
        <f>IFERROR(IF('PDCA review'!$D$2='Check'!B1200,'Check'!G1200,""),"")</f>
        <v/>
      </c>
      <c r="C1200">
        <f t="shared" si="54"/>
        <v>0</v>
      </c>
      <c r="D1200">
        <f>SUM($C$3:C1200)</f>
        <v>4</v>
      </c>
      <c r="E1200" t="e">
        <f t="shared" si="55"/>
        <v>#N/A</v>
      </c>
      <c r="F1200" s="28" t="str">
        <f t="shared" ca="1" si="56"/>
        <v/>
      </c>
    </row>
    <row r="1201" spans="2:6" x14ac:dyDescent="0.2">
      <c r="B1201" t="str">
        <f>IFERROR(IF('PDCA review'!$D$2='Check'!B1201,'Check'!G1201,""),"")</f>
        <v/>
      </c>
      <c r="C1201">
        <f t="shared" si="54"/>
        <v>0</v>
      </c>
      <c r="D1201">
        <f>SUM($C$3:C1201)</f>
        <v>4</v>
      </c>
      <c r="E1201" t="e">
        <f t="shared" si="55"/>
        <v>#N/A</v>
      </c>
      <c r="F1201" s="28" t="str">
        <f t="shared" ca="1" si="56"/>
        <v/>
      </c>
    </row>
    <row r="1202" spans="2:6" x14ac:dyDescent="0.2">
      <c r="B1202" t="str">
        <f>IFERROR(IF('PDCA review'!$D$2='Check'!B1202,'Check'!G1202,""),"")</f>
        <v/>
      </c>
      <c r="C1202">
        <f t="shared" si="54"/>
        <v>0</v>
      </c>
      <c r="D1202">
        <f>SUM($C$3:C1202)</f>
        <v>4</v>
      </c>
      <c r="E1202" t="e">
        <f t="shared" si="55"/>
        <v>#N/A</v>
      </c>
      <c r="F1202" s="28" t="str">
        <f t="shared" ca="1" si="56"/>
        <v/>
      </c>
    </row>
    <row r="1203" spans="2:6" x14ac:dyDescent="0.2">
      <c r="B1203" t="str">
        <f>IFERROR(IF('PDCA review'!$D$2='Check'!B1203,'Check'!G1203,""),"")</f>
        <v/>
      </c>
      <c r="C1203">
        <f t="shared" si="54"/>
        <v>0</v>
      </c>
      <c r="D1203">
        <f>SUM($C$3:C1203)</f>
        <v>4</v>
      </c>
      <c r="E1203" t="e">
        <f t="shared" si="55"/>
        <v>#N/A</v>
      </c>
      <c r="F1203" s="28" t="str">
        <f t="shared" ca="1" si="56"/>
        <v/>
      </c>
    </row>
    <row r="1204" spans="2:6" x14ac:dyDescent="0.2">
      <c r="B1204" t="str">
        <f>IFERROR(IF('PDCA review'!$D$2='Check'!B1204,'Check'!G1204,""),"")</f>
        <v/>
      </c>
      <c r="C1204">
        <f t="shared" si="54"/>
        <v>0</v>
      </c>
      <c r="D1204">
        <f>SUM($C$3:C1204)</f>
        <v>4</v>
      </c>
      <c r="E1204" t="e">
        <f t="shared" si="55"/>
        <v>#N/A</v>
      </c>
      <c r="F1204" s="28" t="str">
        <f t="shared" ca="1" si="56"/>
        <v/>
      </c>
    </row>
    <row r="1205" spans="2:6" x14ac:dyDescent="0.2">
      <c r="B1205" t="str">
        <f>IFERROR(IF('PDCA review'!$D$2='Check'!B1205,'Check'!G1205,""),"")</f>
        <v/>
      </c>
      <c r="C1205">
        <f t="shared" si="54"/>
        <v>0</v>
      </c>
      <c r="D1205">
        <f>SUM($C$3:C1205)</f>
        <v>4</v>
      </c>
      <c r="E1205" t="e">
        <f t="shared" si="55"/>
        <v>#N/A</v>
      </c>
      <c r="F1205" s="28" t="str">
        <f t="shared" ca="1" si="56"/>
        <v/>
      </c>
    </row>
    <row r="1206" spans="2:6" x14ac:dyDescent="0.2">
      <c r="B1206" t="str">
        <f>IFERROR(IF('PDCA review'!$D$2='Check'!B1206,'Check'!G1206,""),"")</f>
        <v/>
      </c>
      <c r="C1206">
        <f t="shared" si="54"/>
        <v>0</v>
      </c>
      <c r="D1206">
        <f>SUM($C$3:C1206)</f>
        <v>4</v>
      </c>
      <c r="E1206" t="e">
        <f t="shared" si="55"/>
        <v>#N/A</v>
      </c>
      <c r="F1206" s="28" t="str">
        <f t="shared" ca="1" si="56"/>
        <v/>
      </c>
    </row>
    <row r="1207" spans="2:6" x14ac:dyDescent="0.2">
      <c r="B1207" t="str">
        <f>IFERROR(IF('PDCA review'!$D$2='Check'!B1207,'Check'!G1207,""),"")</f>
        <v/>
      </c>
      <c r="C1207">
        <f t="shared" si="54"/>
        <v>0</v>
      </c>
      <c r="D1207">
        <f>SUM($C$3:C1207)</f>
        <v>4</v>
      </c>
      <c r="E1207" t="e">
        <f t="shared" si="55"/>
        <v>#N/A</v>
      </c>
      <c r="F1207" s="28" t="str">
        <f t="shared" ca="1" si="56"/>
        <v/>
      </c>
    </row>
    <row r="1208" spans="2:6" x14ac:dyDescent="0.2">
      <c r="B1208" t="str">
        <f>IFERROR(IF('PDCA review'!$D$2='Check'!B1208,'Check'!G1208,""),"")</f>
        <v/>
      </c>
      <c r="C1208">
        <f t="shared" si="54"/>
        <v>0</v>
      </c>
      <c r="D1208">
        <f>SUM($C$3:C1208)</f>
        <v>4</v>
      </c>
      <c r="E1208" t="e">
        <f t="shared" si="55"/>
        <v>#N/A</v>
      </c>
      <c r="F1208" s="28" t="str">
        <f t="shared" ca="1" si="56"/>
        <v/>
      </c>
    </row>
    <row r="1209" spans="2:6" x14ac:dyDescent="0.2">
      <c r="B1209" t="str">
        <f>IFERROR(IF('PDCA review'!$D$2='Check'!B1209,'Check'!G1209,""),"")</f>
        <v/>
      </c>
      <c r="C1209">
        <f t="shared" si="54"/>
        <v>0</v>
      </c>
      <c r="D1209">
        <f>SUM($C$3:C1209)</f>
        <v>4</v>
      </c>
      <c r="E1209" t="e">
        <f t="shared" si="55"/>
        <v>#N/A</v>
      </c>
      <c r="F1209" s="28" t="str">
        <f t="shared" ca="1" si="56"/>
        <v/>
      </c>
    </row>
    <row r="1210" spans="2:6" x14ac:dyDescent="0.2">
      <c r="B1210" t="str">
        <f>IFERROR(IF('PDCA review'!$D$2='Check'!B1210,'Check'!G1210,""),"")</f>
        <v/>
      </c>
      <c r="C1210">
        <f t="shared" si="54"/>
        <v>0</v>
      </c>
      <c r="D1210">
        <f>SUM($C$3:C1210)</f>
        <v>4</v>
      </c>
      <c r="E1210" t="e">
        <f t="shared" si="55"/>
        <v>#N/A</v>
      </c>
      <c r="F1210" s="28" t="str">
        <f t="shared" ca="1" si="56"/>
        <v/>
      </c>
    </row>
    <row r="1211" spans="2:6" x14ac:dyDescent="0.2">
      <c r="B1211" t="str">
        <f>IFERROR(IF('PDCA review'!$D$2='Check'!B1211,'Check'!G1211,""),"")</f>
        <v/>
      </c>
      <c r="C1211">
        <f t="shared" si="54"/>
        <v>0</v>
      </c>
      <c r="D1211">
        <f>SUM($C$3:C1211)</f>
        <v>4</v>
      </c>
      <c r="E1211" t="e">
        <f t="shared" si="55"/>
        <v>#N/A</v>
      </c>
      <c r="F1211" s="28" t="str">
        <f t="shared" ca="1" si="56"/>
        <v/>
      </c>
    </row>
    <row r="1212" spans="2:6" x14ac:dyDescent="0.2">
      <c r="B1212" t="str">
        <f>IFERROR(IF('PDCA review'!$D$2='Check'!B1212,'Check'!G1212,""),"")</f>
        <v/>
      </c>
      <c r="C1212">
        <f t="shared" si="54"/>
        <v>0</v>
      </c>
      <c r="D1212">
        <f>SUM($C$3:C1212)</f>
        <v>4</v>
      </c>
      <c r="E1212" t="e">
        <f t="shared" si="55"/>
        <v>#N/A</v>
      </c>
      <c r="F1212" s="28" t="str">
        <f t="shared" ca="1" si="56"/>
        <v/>
      </c>
    </row>
    <row r="1213" spans="2:6" x14ac:dyDescent="0.2">
      <c r="B1213" t="str">
        <f>IFERROR(IF('PDCA review'!$D$2='Check'!B1213,'Check'!G1213,""),"")</f>
        <v/>
      </c>
      <c r="C1213">
        <f t="shared" si="54"/>
        <v>0</v>
      </c>
      <c r="D1213">
        <f>SUM($C$3:C1213)</f>
        <v>4</v>
      </c>
      <c r="E1213" t="e">
        <f t="shared" si="55"/>
        <v>#N/A</v>
      </c>
      <c r="F1213" s="28" t="str">
        <f t="shared" ca="1" si="56"/>
        <v/>
      </c>
    </row>
    <row r="1214" spans="2:6" x14ac:dyDescent="0.2">
      <c r="B1214" t="str">
        <f>IFERROR(IF('PDCA review'!$D$2='Check'!B1214,'Check'!G1214,""),"")</f>
        <v/>
      </c>
      <c r="C1214">
        <f t="shared" si="54"/>
        <v>0</v>
      </c>
      <c r="D1214">
        <f>SUM($C$3:C1214)</f>
        <v>4</v>
      </c>
      <c r="E1214" t="e">
        <f t="shared" si="55"/>
        <v>#N/A</v>
      </c>
      <c r="F1214" s="28" t="str">
        <f t="shared" ca="1" si="56"/>
        <v/>
      </c>
    </row>
    <row r="1215" spans="2:6" x14ac:dyDescent="0.2">
      <c r="B1215" t="str">
        <f>IFERROR(IF('PDCA review'!$D$2='Check'!B1215,'Check'!G1215,""),"")</f>
        <v/>
      </c>
      <c r="C1215">
        <f t="shared" si="54"/>
        <v>0</v>
      </c>
      <c r="D1215">
        <f>SUM($C$3:C1215)</f>
        <v>4</v>
      </c>
      <c r="E1215" t="e">
        <f t="shared" si="55"/>
        <v>#N/A</v>
      </c>
      <c r="F1215" s="28" t="str">
        <f t="shared" ca="1" si="56"/>
        <v/>
      </c>
    </row>
    <row r="1216" spans="2:6" x14ac:dyDescent="0.2">
      <c r="B1216" t="str">
        <f>IFERROR(IF('PDCA review'!$D$2='Check'!B1216,'Check'!G1216,""),"")</f>
        <v/>
      </c>
      <c r="C1216">
        <f t="shared" si="54"/>
        <v>0</v>
      </c>
      <c r="D1216">
        <f>SUM($C$3:C1216)</f>
        <v>4</v>
      </c>
      <c r="E1216" t="e">
        <f t="shared" si="55"/>
        <v>#N/A</v>
      </c>
      <c r="F1216" s="28" t="str">
        <f t="shared" ca="1" si="56"/>
        <v/>
      </c>
    </row>
    <row r="1217" spans="2:6" x14ac:dyDescent="0.2">
      <c r="B1217" t="str">
        <f>IFERROR(IF('PDCA review'!$D$2='Check'!B1217,'Check'!G1217,""),"")</f>
        <v/>
      </c>
      <c r="C1217">
        <f t="shared" si="54"/>
        <v>0</v>
      </c>
      <c r="D1217">
        <f>SUM($C$3:C1217)</f>
        <v>4</v>
      </c>
      <c r="E1217" t="e">
        <f t="shared" si="55"/>
        <v>#N/A</v>
      </c>
      <c r="F1217" s="28" t="str">
        <f t="shared" ca="1" si="56"/>
        <v/>
      </c>
    </row>
    <row r="1218" spans="2:6" x14ac:dyDescent="0.2">
      <c r="B1218" t="str">
        <f>IFERROR(IF('PDCA review'!$D$2='Check'!B1218,'Check'!G1218,""),"")</f>
        <v/>
      </c>
      <c r="C1218">
        <f t="shared" si="54"/>
        <v>0</v>
      </c>
      <c r="D1218">
        <f>SUM($C$3:C1218)</f>
        <v>4</v>
      </c>
      <c r="E1218" t="e">
        <f t="shared" si="55"/>
        <v>#N/A</v>
      </c>
      <c r="F1218" s="28" t="str">
        <f t="shared" ca="1" si="56"/>
        <v/>
      </c>
    </row>
    <row r="1219" spans="2:6" x14ac:dyDescent="0.2">
      <c r="B1219" t="str">
        <f>IFERROR(IF('PDCA review'!$D$2='Check'!B1219,'Check'!G1219,""),"")</f>
        <v/>
      </c>
      <c r="C1219">
        <f t="shared" si="54"/>
        <v>0</v>
      </c>
      <c r="D1219">
        <f>SUM($C$3:C1219)</f>
        <v>4</v>
      </c>
      <c r="E1219" t="e">
        <f t="shared" si="55"/>
        <v>#N/A</v>
      </c>
      <c r="F1219" s="28" t="str">
        <f t="shared" ca="1" si="56"/>
        <v/>
      </c>
    </row>
    <row r="1220" spans="2:6" x14ac:dyDescent="0.2">
      <c r="B1220" t="str">
        <f>IFERROR(IF('PDCA review'!$D$2='Check'!B1220,'Check'!G1220,""),"")</f>
        <v/>
      </c>
      <c r="C1220">
        <f t="shared" ref="C1220:C1283" si="57">IF(B1220&lt;&gt;"",1,0)</f>
        <v>0</v>
      </c>
      <c r="D1220">
        <f>SUM($C$3:C1220)</f>
        <v>4</v>
      </c>
      <c r="E1220" t="e">
        <f t="shared" ref="E1220:E1283" si="58">MATCH(ROW()-$D$2,$D$3:$D$2000,0)+$D$2</f>
        <v>#N/A</v>
      </c>
      <c r="F1220" s="28" t="str">
        <f t="shared" ref="F1220:F1283" ca="1" si="59">IFERROR(INDIRECT("B"&amp;E1220),"")</f>
        <v/>
      </c>
    </row>
    <row r="1221" spans="2:6" x14ac:dyDescent="0.2">
      <c r="B1221" t="str">
        <f>IFERROR(IF('PDCA review'!$D$2='Check'!B1221,'Check'!G1221,""),"")</f>
        <v/>
      </c>
      <c r="C1221">
        <f t="shared" si="57"/>
        <v>0</v>
      </c>
      <c r="D1221">
        <f>SUM($C$3:C1221)</f>
        <v>4</v>
      </c>
      <c r="E1221" t="e">
        <f t="shared" si="58"/>
        <v>#N/A</v>
      </c>
      <c r="F1221" s="28" t="str">
        <f t="shared" ca="1" si="59"/>
        <v/>
      </c>
    </row>
    <row r="1222" spans="2:6" x14ac:dyDescent="0.2">
      <c r="B1222" t="str">
        <f>IFERROR(IF('PDCA review'!$D$2='Check'!B1222,'Check'!G1222,""),"")</f>
        <v/>
      </c>
      <c r="C1222">
        <f t="shared" si="57"/>
        <v>0</v>
      </c>
      <c r="D1222">
        <f>SUM($C$3:C1222)</f>
        <v>4</v>
      </c>
      <c r="E1222" t="e">
        <f t="shared" si="58"/>
        <v>#N/A</v>
      </c>
      <c r="F1222" s="28" t="str">
        <f t="shared" ca="1" si="59"/>
        <v/>
      </c>
    </row>
    <row r="1223" spans="2:6" x14ac:dyDescent="0.2">
      <c r="B1223" t="str">
        <f>IFERROR(IF('PDCA review'!$D$2='Check'!B1223,'Check'!G1223,""),"")</f>
        <v/>
      </c>
      <c r="C1223">
        <f t="shared" si="57"/>
        <v>0</v>
      </c>
      <c r="D1223">
        <f>SUM($C$3:C1223)</f>
        <v>4</v>
      </c>
      <c r="E1223" t="e">
        <f t="shared" si="58"/>
        <v>#N/A</v>
      </c>
      <c r="F1223" s="28" t="str">
        <f t="shared" ca="1" si="59"/>
        <v/>
      </c>
    </row>
    <row r="1224" spans="2:6" x14ac:dyDescent="0.2">
      <c r="B1224" t="str">
        <f>IFERROR(IF('PDCA review'!$D$2='Check'!B1224,'Check'!G1224,""),"")</f>
        <v/>
      </c>
      <c r="C1224">
        <f t="shared" si="57"/>
        <v>0</v>
      </c>
      <c r="D1224">
        <f>SUM($C$3:C1224)</f>
        <v>4</v>
      </c>
      <c r="E1224" t="e">
        <f t="shared" si="58"/>
        <v>#N/A</v>
      </c>
      <c r="F1224" s="28" t="str">
        <f t="shared" ca="1" si="59"/>
        <v/>
      </c>
    </row>
    <row r="1225" spans="2:6" x14ac:dyDescent="0.2">
      <c r="B1225" t="str">
        <f>IFERROR(IF('PDCA review'!$D$2='Check'!B1225,'Check'!G1225,""),"")</f>
        <v/>
      </c>
      <c r="C1225">
        <f t="shared" si="57"/>
        <v>0</v>
      </c>
      <c r="D1225">
        <f>SUM($C$3:C1225)</f>
        <v>4</v>
      </c>
      <c r="E1225" t="e">
        <f t="shared" si="58"/>
        <v>#N/A</v>
      </c>
      <c r="F1225" s="28" t="str">
        <f t="shared" ca="1" si="59"/>
        <v/>
      </c>
    </row>
    <row r="1226" spans="2:6" x14ac:dyDescent="0.2">
      <c r="B1226" t="str">
        <f>IFERROR(IF('PDCA review'!$D$2='Check'!B1226,'Check'!G1226,""),"")</f>
        <v/>
      </c>
      <c r="C1226">
        <f t="shared" si="57"/>
        <v>0</v>
      </c>
      <c r="D1226">
        <f>SUM($C$3:C1226)</f>
        <v>4</v>
      </c>
      <c r="E1226" t="e">
        <f t="shared" si="58"/>
        <v>#N/A</v>
      </c>
      <c r="F1226" s="28" t="str">
        <f t="shared" ca="1" si="59"/>
        <v/>
      </c>
    </row>
    <row r="1227" spans="2:6" x14ac:dyDescent="0.2">
      <c r="B1227" t="str">
        <f>IFERROR(IF('PDCA review'!$D$2='Check'!B1227,'Check'!G1227,""),"")</f>
        <v/>
      </c>
      <c r="C1227">
        <f t="shared" si="57"/>
        <v>0</v>
      </c>
      <c r="D1227">
        <f>SUM($C$3:C1227)</f>
        <v>4</v>
      </c>
      <c r="E1227" t="e">
        <f t="shared" si="58"/>
        <v>#N/A</v>
      </c>
      <c r="F1227" s="28" t="str">
        <f t="shared" ca="1" si="59"/>
        <v/>
      </c>
    </row>
    <row r="1228" spans="2:6" x14ac:dyDescent="0.2">
      <c r="B1228" t="str">
        <f>IFERROR(IF('PDCA review'!$D$2='Check'!B1228,'Check'!G1228,""),"")</f>
        <v/>
      </c>
      <c r="C1228">
        <f t="shared" si="57"/>
        <v>0</v>
      </c>
      <c r="D1228">
        <f>SUM($C$3:C1228)</f>
        <v>4</v>
      </c>
      <c r="E1228" t="e">
        <f t="shared" si="58"/>
        <v>#N/A</v>
      </c>
      <c r="F1228" s="28" t="str">
        <f t="shared" ca="1" si="59"/>
        <v/>
      </c>
    </row>
    <row r="1229" spans="2:6" x14ac:dyDescent="0.2">
      <c r="B1229" t="str">
        <f>IFERROR(IF('PDCA review'!$D$2='Check'!B1229,'Check'!G1229,""),"")</f>
        <v/>
      </c>
      <c r="C1229">
        <f t="shared" si="57"/>
        <v>0</v>
      </c>
      <c r="D1229">
        <f>SUM($C$3:C1229)</f>
        <v>4</v>
      </c>
      <c r="E1229" t="e">
        <f t="shared" si="58"/>
        <v>#N/A</v>
      </c>
      <c r="F1229" s="28" t="str">
        <f t="shared" ca="1" si="59"/>
        <v/>
      </c>
    </row>
    <row r="1230" spans="2:6" x14ac:dyDescent="0.2">
      <c r="B1230" t="str">
        <f>IFERROR(IF('PDCA review'!$D$2='Check'!B1230,'Check'!G1230,""),"")</f>
        <v/>
      </c>
      <c r="C1230">
        <f t="shared" si="57"/>
        <v>0</v>
      </c>
      <c r="D1230">
        <f>SUM($C$3:C1230)</f>
        <v>4</v>
      </c>
      <c r="E1230" t="e">
        <f t="shared" si="58"/>
        <v>#N/A</v>
      </c>
      <c r="F1230" s="28" t="str">
        <f t="shared" ca="1" si="59"/>
        <v/>
      </c>
    </row>
    <row r="1231" spans="2:6" x14ac:dyDescent="0.2">
      <c r="B1231" t="str">
        <f>IFERROR(IF('PDCA review'!$D$2='Check'!B1231,'Check'!G1231,""),"")</f>
        <v/>
      </c>
      <c r="C1231">
        <f t="shared" si="57"/>
        <v>0</v>
      </c>
      <c r="D1231">
        <f>SUM($C$3:C1231)</f>
        <v>4</v>
      </c>
      <c r="E1231" t="e">
        <f t="shared" si="58"/>
        <v>#N/A</v>
      </c>
      <c r="F1231" s="28" t="str">
        <f t="shared" ca="1" si="59"/>
        <v/>
      </c>
    </row>
    <row r="1232" spans="2:6" x14ac:dyDescent="0.2">
      <c r="B1232" t="str">
        <f>IFERROR(IF('PDCA review'!$D$2='Check'!B1232,'Check'!G1232,""),"")</f>
        <v/>
      </c>
      <c r="C1232">
        <f t="shared" si="57"/>
        <v>0</v>
      </c>
      <c r="D1232">
        <f>SUM($C$3:C1232)</f>
        <v>4</v>
      </c>
      <c r="E1232" t="e">
        <f t="shared" si="58"/>
        <v>#N/A</v>
      </c>
      <c r="F1232" s="28" t="str">
        <f t="shared" ca="1" si="59"/>
        <v/>
      </c>
    </row>
    <row r="1233" spans="2:6" x14ac:dyDescent="0.2">
      <c r="B1233" t="str">
        <f>IFERROR(IF('PDCA review'!$D$2='Check'!B1233,'Check'!G1233,""),"")</f>
        <v/>
      </c>
      <c r="C1233">
        <f t="shared" si="57"/>
        <v>0</v>
      </c>
      <c r="D1233">
        <f>SUM($C$3:C1233)</f>
        <v>4</v>
      </c>
      <c r="E1233" t="e">
        <f t="shared" si="58"/>
        <v>#N/A</v>
      </c>
      <c r="F1233" s="28" t="str">
        <f t="shared" ca="1" si="59"/>
        <v/>
      </c>
    </row>
    <row r="1234" spans="2:6" x14ac:dyDescent="0.2">
      <c r="B1234" t="str">
        <f>IFERROR(IF('PDCA review'!$D$2='Check'!B1234,'Check'!G1234,""),"")</f>
        <v/>
      </c>
      <c r="C1234">
        <f t="shared" si="57"/>
        <v>0</v>
      </c>
      <c r="D1234">
        <f>SUM($C$3:C1234)</f>
        <v>4</v>
      </c>
      <c r="E1234" t="e">
        <f t="shared" si="58"/>
        <v>#N/A</v>
      </c>
      <c r="F1234" s="28" t="str">
        <f t="shared" ca="1" si="59"/>
        <v/>
      </c>
    </row>
    <row r="1235" spans="2:6" x14ac:dyDescent="0.2">
      <c r="B1235" t="str">
        <f>IFERROR(IF('PDCA review'!$D$2='Check'!B1235,'Check'!G1235,""),"")</f>
        <v/>
      </c>
      <c r="C1235">
        <f t="shared" si="57"/>
        <v>0</v>
      </c>
      <c r="D1235">
        <f>SUM($C$3:C1235)</f>
        <v>4</v>
      </c>
      <c r="E1235" t="e">
        <f t="shared" si="58"/>
        <v>#N/A</v>
      </c>
      <c r="F1235" s="28" t="str">
        <f t="shared" ca="1" si="59"/>
        <v/>
      </c>
    </row>
    <row r="1236" spans="2:6" x14ac:dyDescent="0.2">
      <c r="B1236" t="str">
        <f>IFERROR(IF('PDCA review'!$D$2='Check'!B1236,'Check'!G1236,""),"")</f>
        <v/>
      </c>
      <c r="C1236">
        <f t="shared" si="57"/>
        <v>0</v>
      </c>
      <c r="D1236">
        <f>SUM($C$3:C1236)</f>
        <v>4</v>
      </c>
      <c r="E1236" t="e">
        <f t="shared" si="58"/>
        <v>#N/A</v>
      </c>
      <c r="F1236" s="28" t="str">
        <f t="shared" ca="1" si="59"/>
        <v/>
      </c>
    </row>
    <row r="1237" spans="2:6" x14ac:dyDescent="0.2">
      <c r="B1237" t="str">
        <f>IFERROR(IF('PDCA review'!$D$2='Check'!B1237,'Check'!G1237,""),"")</f>
        <v/>
      </c>
      <c r="C1237">
        <f t="shared" si="57"/>
        <v>0</v>
      </c>
      <c r="D1237">
        <f>SUM($C$3:C1237)</f>
        <v>4</v>
      </c>
      <c r="E1237" t="e">
        <f t="shared" si="58"/>
        <v>#N/A</v>
      </c>
      <c r="F1237" s="28" t="str">
        <f t="shared" ca="1" si="59"/>
        <v/>
      </c>
    </row>
    <row r="1238" spans="2:6" x14ac:dyDescent="0.2">
      <c r="B1238" t="str">
        <f>IFERROR(IF('PDCA review'!$D$2='Check'!B1238,'Check'!G1238,""),"")</f>
        <v/>
      </c>
      <c r="C1238">
        <f t="shared" si="57"/>
        <v>0</v>
      </c>
      <c r="D1238">
        <f>SUM($C$3:C1238)</f>
        <v>4</v>
      </c>
      <c r="E1238" t="e">
        <f t="shared" si="58"/>
        <v>#N/A</v>
      </c>
      <c r="F1238" s="28" t="str">
        <f t="shared" ca="1" si="59"/>
        <v/>
      </c>
    </row>
    <row r="1239" spans="2:6" x14ac:dyDescent="0.2">
      <c r="B1239" t="str">
        <f>IFERROR(IF('PDCA review'!$D$2='Check'!B1239,'Check'!G1239,""),"")</f>
        <v/>
      </c>
      <c r="C1239">
        <f t="shared" si="57"/>
        <v>0</v>
      </c>
      <c r="D1239">
        <f>SUM($C$3:C1239)</f>
        <v>4</v>
      </c>
      <c r="E1239" t="e">
        <f t="shared" si="58"/>
        <v>#N/A</v>
      </c>
      <c r="F1239" s="28" t="str">
        <f t="shared" ca="1" si="59"/>
        <v/>
      </c>
    </row>
    <row r="1240" spans="2:6" x14ac:dyDescent="0.2">
      <c r="B1240" t="str">
        <f>IFERROR(IF('PDCA review'!$D$2='Check'!B1240,'Check'!G1240,""),"")</f>
        <v/>
      </c>
      <c r="C1240">
        <f t="shared" si="57"/>
        <v>0</v>
      </c>
      <c r="D1240">
        <f>SUM($C$3:C1240)</f>
        <v>4</v>
      </c>
      <c r="E1240" t="e">
        <f t="shared" si="58"/>
        <v>#N/A</v>
      </c>
      <c r="F1240" s="28" t="str">
        <f t="shared" ca="1" si="59"/>
        <v/>
      </c>
    </row>
    <row r="1241" spans="2:6" x14ac:dyDescent="0.2">
      <c r="B1241" t="str">
        <f>IFERROR(IF('PDCA review'!$D$2='Check'!B1241,'Check'!G1241,""),"")</f>
        <v/>
      </c>
      <c r="C1241">
        <f t="shared" si="57"/>
        <v>0</v>
      </c>
      <c r="D1241">
        <f>SUM($C$3:C1241)</f>
        <v>4</v>
      </c>
      <c r="E1241" t="e">
        <f t="shared" si="58"/>
        <v>#N/A</v>
      </c>
      <c r="F1241" s="28" t="str">
        <f t="shared" ca="1" si="59"/>
        <v/>
      </c>
    </row>
    <row r="1242" spans="2:6" x14ac:dyDescent="0.2">
      <c r="B1242" t="str">
        <f>IFERROR(IF('PDCA review'!$D$2='Check'!B1242,'Check'!G1242,""),"")</f>
        <v/>
      </c>
      <c r="C1242">
        <f t="shared" si="57"/>
        <v>0</v>
      </c>
      <c r="D1242">
        <f>SUM($C$3:C1242)</f>
        <v>4</v>
      </c>
      <c r="E1242" t="e">
        <f t="shared" si="58"/>
        <v>#N/A</v>
      </c>
      <c r="F1242" s="28" t="str">
        <f t="shared" ca="1" si="59"/>
        <v/>
      </c>
    </row>
    <row r="1243" spans="2:6" x14ac:dyDescent="0.2">
      <c r="B1243" t="str">
        <f>IFERROR(IF('PDCA review'!$D$2='Check'!B1243,'Check'!G1243,""),"")</f>
        <v/>
      </c>
      <c r="C1243">
        <f t="shared" si="57"/>
        <v>0</v>
      </c>
      <c r="D1243">
        <f>SUM($C$3:C1243)</f>
        <v>4</v>
      </c>
      <c r="E1243" t="e">
        <f t="shared" si="58"/>
        <v>#N/A</v>
      </c>
      <c r="F1243" s="28" t="str">
        <f t="shared" ca="1" si="59"/>
        <v/>
      </c>
    </row>
    <row r="1244" spans="2:6" x14ac:dyDescent="0.2">
      <c r="B1244" t="str">
        <f>IFERROR(IF('PDCA review'!$D$2='Check'!B1244,'Check'!G1244,""),"")</f>
        <v/>
      </c>
      <c r="C1244">
        <f t="shared" si="57"/>
        <v>0</v>
      </c>
      <c r="D1244">
        <f>SUM($C$3:C1244)</f>
        <v>4</v>
      </c>
      <c r="E1244" t="e">
        <f t="shared" si="58"/>
        <v>#N/A</v>
      </c>
      <c r="F1244" s="28" t="str">
        <f t="shared" ca="1" si="59"/>
        <v/>
      </c>
    </row>
    <row r="1245" spans="2:6" x14ac:dyDescent="0.2">
      <c r="B1245" t="str">
        <f>IFERROR(IF('PDCA review'!$D$2='Check'!B1245,'Check'!G1245,""),"")</f>
        <v/>
      </c>
      <c r="C1245">
        <f t="shared" si="57"/>
        <v>0</v>
      </c>
      <c r="D1245">
        <f>SUM($C$3:C1245)</f>
        <v>4</v>
      </c>
      <c r="E1245" t="e">
        <f t="shared" si="58"/>
        <v>#N/A</v>
      </c>
      <c r="F1245" s="28" t="str">
        <f t="shared" ca="1" si="59"/>
        <v/>
      </c>
    </row>
    <row r="1246" spans="2:6" x14ac:dyDescent="0.2">
      <c r="B1246" t="str">
        <f>IFERROR(IF('PDCA review'!$D$2='Check'!B1246,'Check'!G1246,""),"")</f>
        <v/>
      </c>
      <c r="C1246">
        <f t="shared" si="57"/>
        <v>0</v>
      </c>
      <c r="D1246">
        <f>SUM($C$3:C1246)</f>
        <v>4</v>
      </c>
      <c r="E1246" t="e">
        <f t="shared" si="58"/>
        <v>#N/A</v>
      </c>
      <c r="F1246" s="28" t="str">
        <f t="shared" ca="1" si="59"/>
        <v/>
      </c>
    </row>
    <row r="1247" spans="2:6" x14ac:dyDescent="0.2">
      <c r="B1247" t="str">
        <f>IFERROR(IF('PDCA review'!$D$2='Check'!B1247,'Check'!G1247,""),"")</f>
        <v/>
      </c>
      <c r="C1247">
        <f t="shared" si="57"/>
        <v>0</v>
      </c>
      <c r="D1247">
        <f>SUM($C$3:C1247)</f>
        <v>4</v>
      </c>
      <c r="E1247" t="e">
        <f t="shared" si="58"/>
        <v>#N/A</v>
      </c>
      <c r="F1247" s="28" t="str">
        <f t="shared" ca="1" si="59"/>
        <v/>
      </c>
    </row>
    <row r="1248" spans="2:6" x14ac:dyDescent="0.2">
      <c r="B1248" t="str">
        <f>IFERROR(IF('PDCA review'!$D$2='Check'!B1248,'Check'!G1248,""),"")</f>
        <v/>
      </c>
      <c r="C1248">
        <f t="shared" si="57"/>
        <v>0</v>
      </c>
      <c r="D1248">
        <f>SUM($C$3:C1248)</f>
        <v>4</v>
      </c>
      <c r="E1248" t="e">
        <f t="shared" si="58"/>
        <v>#N/A</v>
      </c>
      <c r="F1248" s="28" t="str">
        <f t="shared" ca="1" si="59"/>
        <v/>
      </c>
    </row>
    <row r="1249" spans="2:6" x14ac:dyDescent="0.2">
      <c r="B1249" t="str">
        <f>IFERROR(IF('PDCA review'!$D$2='Check'!B1249,'Check'!G1249,""),"")</f>
        <v/>
      </c>
      <c r="C1249">
        <f t="shared" si="57"/>
        <v>0</v>
      </c>
      <c r="D1249">
        <f>SUM($C$3:C1249)</f>
        <v>4</v>
      </c>
      <c r="E1249" t="e">
        <f t="shared" si="58"/>
        <v>#N/A</v>
      </c>
      <c r="F1249" s="28" t="str">
        <f t="shared" ca="1" si="59"/>
        <v/>
      </c>
    </row>
    <row r="1250" spans="2:6" x14ac:dyDescent="0.2">
      <c r="B1250" t="str">
        <f>IFERROR(IF('PDCA review'!$D$2='Check'!B1250,'Check'!G1250,""),"")</f>
        <v/>
      </c>
      <c r="C1250">
        <f t="shared" si="57"/>
        <v>0</v>
      </c>
      <c r="D1250">
        <f>SUM($C$3:C1250)</f>
        <v>4</v>
      </c>
      <c r="E1250" t="e">
        <f t="shared" si="58"/>
        <v>#N/A</v>
      </c>
      <c r="F1250" s="28" t="str">
        <f t="shared" ca="1" si="59"/>
        <v/>
      </c>
    </row>
    <row r="1251" spans="2:6" x14ac:dyDescent="0.2">
      <c r="B1251" t="str">
        <f>IFERROR(IF('PDCA review'!$D$2='Check'!B1251,'Check'!G1251,""),"")</f>
        <v/>
      </c>
      <c r="C1251">
        <f t="shared" si="57"/>
        <v>0</v>
      </c>
      <c r="D1251">
        <f>SUM($C$3:C1251)</f>
        <v>4</v>
      </c>
      <c r="E1251" t="e">
        <f t="shared" si="58"/>
        <v>#N/A</v>
      </c>
      <c r="F1251" s="28" t="str">
        <f t="shared" ca="1" si="59"/>
        <v/>
      </c>
    </row>
    <row r="1252" spans="2:6" x14ac:dyDescent="0.2">
      <c r="B1252" t="str">
        <f>IFERROR(IF('PDCA review'!$D$2='Check'!B1252,'Check'!G1252,""),"")</f>
        <v/>
      </c>
      <c r="C1252">
        <f t="shared" si="57"/>
        <v>0</v>
      </c>
      <c r="D1252">
        <f>SUM($C$3:C1252)</f>
        <v>4</v>
      </c>
      <c r="E1252" t="e">
        <f t="shared" si="58"/>
        <v>#N/A</v>
      </c>
      <c r="F1252" s="28" t="str">
        <f t="shared" ca="1" si="59"/>
        <v/>
      </c>
    </row>
    <row r="1253" spans="2:6" x14ac:dyDescent="0.2">
      <c r="B1253" t="str">
        <f>IFERROR(IF('PDCA review'!$D$2='Check'!B1253,'Check'!G1253,""),"")</f>
        <v/>
      </c>
      <c r="C1253">
        <f t="shared" si="57"/>
        <v>0</v>
      </c>
      <c r="D1253">
        <f>SUM($C$3:C1253)</f>
        <v>4</v>
      </c>
      <c r="E1253" t="e">
        <f t="shared" si="58"/>
        <v>#N/A</v>
      </c>
      <c r="F1253" s="28" t="str">
        <f t="shared" ca="1" si="59"/>
        <v/>
      </c>
    </row>
    <row r="1254" spans="2:6" x14ac:dyDescent="0.2">
      <c r="B1254" t="str">
        <f>IFERROR(IF('PDCA review'!$D$2='Check'!B1254,'Check'!G1254,""),"")</f>
        <v/>
      </c>
      <c r="C1254">
        <f t="shared" si="57"/>
        <v>0</v>
      </c>
      <c r="D1254">
        <f>SUM($C$3:C1254)</f>
        <v>4</v>
      </c>
      <c r="E1254" t="e">
        <f t="shared" si="58"/>
        <v>#N/A</v>
      </c>
      <c r="F1254" s="28" t="str">
        <f t="shared" ca="1" si="59"/>
        <v/>
      </c>
    </row>
    <row r="1255" spans="2:6" x14ac:dyDescent="0.2">
      <c r="B1255" t="str">
        <f>IFERROR(IF('PDCA review'!$D$2='Check'!B1255,'Check'!G1255,""),"")</f>
        <v/>
      </c>
      <c r="C1255">
        <f t="shared" si="57"/>
        <v>0</v>
      </c>
      <c r="D1255">
        <f>SUM($C$3:C1255)</f>
        <v>4</v>
      </c>
      <c r="E1255" t="e">
        <f t="shared" si="58"/>
        <v>#N/A</v>
      </c>
      <c r="F1255" s="28" t="str">
        <f t="shared" ca="1" si="59"/>
        <v/>
      </c>
    </row>
    <row r="1256" spans="2:6" x14ac:dyDescent="0.2">
      <c r="B1256" t="str">
        <f>IFERROR(IF('PDCA review'!$D$2='Check'!B1256,'Check'!G1256,""),"")</f>
        <v/>
      </c>
      <c r="C1256">
        <f t="shared" si="57"/>
        <v>0</v>
      </c>
      <c r="D1256">
        <f>SUM($C$3:C1256)</f>
        <v>4</v>
      </c>
      <c r="E1256" t="e">
        <f t="shared" si="58"/>
        <v>#N/A</v>
      </c>
      <c r="F1256" s="28" t="str">
        <f t="shared" ca="1" si="59"/>
        <v/>
      </c>
    </row>
    <row r="1257" spans="2:6" x14ac:dyDescent="0.2">
      <c r="B1257" t="str">
        <f>IFERROR(IF('PDCA review'!$D$2='Check'!B1257,'Check'!G1257,""),"")</f>
        <v/>
      </c>
      <c r="C1257">
        <f t="shared" si="57"/>
        <v>0</v>
      </c>
      <c r="D1257">
        <f>SUM($C$3:C1257)</f>
        <v>4</v>
      </c>
      <c r="E1257" t="e">
        <f t="shared" si="58"/>
        <v>#N/A</v>
      </c>
      <c r="F1257" s="28" t="str">
        <f t="shared" ca="1" si="59"/>
        <v/>
      </c>
    </row>
    <row r="1258" spans="2:6" x14ac:dyDescent="0.2">
      <c r="B1258" t="str">
        <f>IFERROR(IF('PDCA review'!$D$2='Check'!B1258,'Check'!G1258,""),"")</f>
        <v/>
      </c>
      <c r="C1258">
        <f t="shared" si="57"/>
        <v>0</v>
      </c>
      <c r="D1258">
        <f>SUM($C$3:C1258)</f>
        <v>4</v>
      </c>
      <c r="E1258" t="e">
        <f t="shared" si="58"/>
        <v>#N/A</v>
      </c>
      <c r="F1258" s="28" t="str">
        <f t="shared" ca="1" si="59"/>
        <v/>
      </c>
    </row>
    <row r="1259" spans="2:6" x14ac:dyDescent="0.2">
      <c r="B1259" t="str">
        <f>IFERROR(IF('PDCA review'!$D$2='Check'!B1259,'Check'!G1259,""),"")</f>
        <v/>
      </c>
      <c r="C1259">
        <f t="shared" si="57"/>
        <v>0</v>
      </c>
      <c r="D1259">
        <f>SUM($C$3:C1259)</f>
        <v>4</v>
      </c>
      <c r="E1259" t="e">
        <f t="shared" si="58"/>
        <v>#N/A</v>
      </c>
      <c r="F1259" s="28" t="str">
        <f t="shared" ca="1" si="59"/>
        <v/>
      </c>
    </row>
    <row r="1260" spans="2:6" x14ac:dyDescent="0.2">
      <c r="B1260" t="str">
        <f>IFERROR(IF('PDCA review'!$D$2='Check'!B1260,'Check'!G1260,""),"")</f>
        <v/>
      </c>
      <c r="C1260">
        <f t="shared" si="57"/>
        <v>0</v>
      </c>
      <c r="D1260">
        <f>SUM($C$3:C1260)</f>
        <v>4</v>
      </c>
      <c r="E1260" t="e">
        <f t="shared" si="58"/>
        <v>#N/A</v>
      </c>
      <c r="F1260" s="28" t="str">
        <f t="shared" ca="1" si="59"/>
        <v/>
      </c>
    </row>
    <row r="1261" spans="2:6" x14ac:dyDescent="0.2">
      <c r="B1261" t="str">
        <f>IFERROR(IF('PDCA review'!$D$2='Check'!B1261,'Check'!G1261,""),"")</f>
        <v/>
      </c>
      <c r="C1261">
        <f t="shared" si="57"/>
        <v>0</v>
      </c>
      <c r="D1261">
        <f>SUM($C$3:C1261)</f>
        <v>4</v>
      </c>
      <c r="E1261" t="e">
        <f t="shared" si="58"/>
        <v>#N/A</v>
      </c>
      <c r="F1261" s="28" t="str">
        <f t="shared" ca="1" si="59"/>
        <v/>
      </c>
    </row>
    <row r="1262" spans="2:6" x14ac:dyDescent="0.2">
      <c r="B1262" t="str">
        <f>IFERROR(IF('PDCA review'!$D$2='Check'!B1262,'Check'!G1262,""),"")</f>
        <v/>
      </c>
      <c r="C1262">
        <f t="shared" si="57"/>
        <v>0</v>
      </c>
      <c r="D1262">
        <f>SUM($C$3:C1262)</f>
        <v>4</v>
      </c>
      <c r="E1262" t="e">
        <f t="shared" si="58"/>
        <v>#N/A</v>
      </c>
      <c r="F1262" s="28" t="str">
        <f t="shared" ca="1" si="59"/>
        <v/>
      </c>
    </row>
    <row r="1263" spans="2:6" x14ac:dyDescent="0.2">
      <c r="B1263" t="str">
        <f>IFERROR(IF('PDCA review'!$D$2='Check'!B1263,'Check'!G1263,""),"")</f>
        <v/>
      </c>
      <c r="C1263">
        <f t="shared" si="57"/>
        <v>0</v>
      </c>
      <c r="D1263">
        <f>SUM($C$3:C1263)</f>
        <v>4</v>
      </c>
      <c r="E1263" t="e">
        <f t="shared" si="58"/>
        <v>#N/A</v>
      </c>
      <c r="F1263" s="28" t="str">
        <f t="shared" ca="1" si="59"/>
        <v/>
      </c>
    </row>
    <row r="1264" spans="2:6" x14ac:dyDescent="0.2">
      <c r="B1264" t="str">
        <f>IFERROR(IF('PDCA review'!$D$2='Check'!B1264,'Check'!G1264,""),"")</f>
        <v/>
      </c>
      <c r="C1264">
        <f t="shared" si="57"/>
        <v>0</v>
      </c>
      <c r="D1264">
        <f>SUM($C$3:C1264)</f>
        <v>4</v>
      </c>
      <c r="E1264" t="e">
        <f t="shared" si="58"/>
        <v>#N/A</v>
      </c>
      <c r="F1264" s="28" t="str">
        <f t="shared" ca="1" si="59"/>
        <v/>
      </c>
    </row>
    <row r="1265" spans="2:6" x14ac:dyDescent="0.2">
      <c r="B1265" t="str">
        <f>IFERROR(IF('PDCA review'!$D$2='Check'!B1265,'Check'!G1265,""),"")</f>
        <v/>
      </c>
      <c r="C1265">
        <f t="shared" si="57"/>
        <v>0</v>
      </c>
      <c r="D1265">
        <f>SUM($C$3:C1265)</f>
        <v>4</v>
      </c>
      <c r="E1265" t="e">
        <f t="shared" si="58"/>
        <v>#N/A</v>
      </c>
      <c r="F1265" s="28" t="str">
        <f t="shared" ca="1" si="59"/>
        <v/>
      </c>
    </row>
    <row r="1266" spans="2:6" x14ac:dyDescent="0.2">
      <c r="B1266" t="str">
        <f>IFERROR(IF('PDCA review'!$D$2='Check'!B1266,'Check'!G1266,""),"")</f>
        <v/>
      </c>
      <c r="C1266">
        <f t="shared" si="57"/>
        <v>0</v>
      </c>
      <c r="D1266">
        <f>SUM($C$3:C1266)</f>
        <v>4</v>
      </c>
      <c r="E1266" t="e">
        <f t="shared" si="58"/>
        <v>#N/A</v>
      </c>
      <c r="F1266" s="28" t="str">
        <f t="shared" ca="1" si="59"/>
        <v/>
      </c>
    </row>
    <row r="1267" spans="2:6" x14ac:dyDescent="0.2">
      <c r="B1267" t="str">
        <f>IFERROR(IF('PDCA review'!$D$2='Check'!B1267,'Check'!G1267,""),"")</f>
        <v/>
      </c>
      <c r="C1267">
        <f t="shared" si="57"/>
        <v>0</v>
      </c>
      <c r="D1267">
        <f>SUM($C$3:C1267)</f>
        <v>4</v>
      </c>
      <c r="E1267" t="e">
        <f t="shared" si="58"/>
        <v>#N/A</v>
      </c>
      <c r="F1267" s="28" t="str">
        <f t="shared" ca="1" si="59"/>
        <v/>
      </c>
    </row>
    <row r="1268" spans="2:6" x14ac:dyDescent="0.2">
      <c r="B1268" t="str">
        <f>IFERROR(IF('PDCA review'!$D$2='Check'!B1268,'Check'!G1268,""),"")</f>
        <v/>
      </c>
      <c r="C1268">
        <f t="shared" si="57"/>
        <v>0</v>
      </c>
      <c r="D1268">
        <f>SUM($C$3:C1268)</f>
        <v>4</v>
      </c>
      <c r="E1268" t="e">
        <f t="shared" si="58"/>
        <v>#N/A</v>
      </c>
      <c r="F1268" s="28" t="str">
        <f t="shared" ca="1" si="59"/>
        <v/>
      </c>
    </row>
    <row r="1269" spans="2:6" x14ac:dyDescent="0.2">
      <c r="B1269" t="str">
        <f>IFERROR(IF('PDCA review'!$D$2='Check'!B1269,'Check'!G1269,""),"")</f>
        <v/>
      </c>
      <c r="C1269">
        <f t="shared" si="57"/>
        <v>0</v>
      </c>
      <c r="D1269">
        <f>SUM($C$3:C1269)</f>
        <v>4</v>
      </c>
      <c r="E1269" t="e">
        <f t="shared" si="58"/>
        <v>#N/A</v>
      </c>
      <c r="F1269" s="28" t="str">
        <f t="shared" ca="1" si="59"/>
        <v/>
      </c>
    </row>
    <row r="1270" spans="2:6" x14ac:dyDescent="0.2">
      <c r="B1270" t="str">
        <f>IFERROR(IF('PDCA review'!$D$2='Check'!B1270,'Check'!G1270,""),"")</f>
        <v/>
      </c>
      <c r="C1270">
        <f t="shared" si="57"/>
        <v>0</v>
      </c>
      <c r="D1270">
        <f>SUM($C$3:C1270)</f>
        <v>4</v>
      </c>
      <c r="E1270" t="e">
        <f t="shared" si="58"/>
        <v>#N/A</v>
      </c>
      <c r="F1270" s="28" t="str">
        <f t="shared" ca="1" si="59"/>
        <v/>
      </c>
    </row>
    <row r="1271" spans="2:6" x14ac:dyDescent="0.2">
      <c r="B1271" t="str">
        <f>IFERROR(IF('PDCA review'!$D$2='Check'!B1271,'Check'!G1271,""),"")</f>
        <v/>
      </c>
      <c r="C1271">
        <f t="shared" si="57"/>
        <v>0</v>
      </c>
      <c r="D1271">
        <f>SUM($C$3:C1271)</f>
        <v>4</v>
      </c>
      <c r="E1271" t="e">
        <f t="shared" si="58"/>
        <v>#N/A</v>
      </c>
      <c r="F1271" s="28" t="str">
        <f t="shared" ca="1" si="59"/>
        <v/>
      </c>
    </row>
    <row r="1272" spans="2:6" x14ac:dyDescent="0.2">
      <c r="B1272" t="str">
        <f>IFERROR(IF('PDCA review'!$D$2='Check'!B1272,'Check'!G1272,""),"")</f>
        <v/>
      </c>
      <c r="C1272">
        <f t="shared" si="57"/>
        <v>0</v>
      </c>
      <c r="D1272">
        <f>SUM($C$3:C1272)</f>
        <v>4</v>
      </c>
      <c r="E1272" t="e">
        <f t="shared" si="58"/>
        <v>#N/A</v>
      </c>
      <c r="F1272" s="28" t="str">
        <f t="shared" ca="1" si="59"/>
        <v/>
      </c>
    </row>
    <row r="1273" spans="2:6" x14ac:dyDescent="0.2">
      <c r="B1273" t="str">
        <f>IFERROR(IF('PDCA review'!$D$2='Check'!B1273,'Check'!G1273,""),"")</f>
        <v/>
      </c>
      <c r="C1273">
        <f t="shared" si="57"/>
        <v>0</v>
      </c>
      <c r="D1273">
        <f>SUM($C$3:C1273)</f>
        <v>4</v>
      </c>
      <c r="E1273" t="e">
        <f t="shared" si="58"/>
        <v>#N/A</v>
      </c>
      <c r="F1273" s="28" t="str">
        <f t="shared" ca="1" si="59"/>
        <v/>
      </c>
    </row>
    <row r="1274" spans="2:6" x14ac:dyDescent="0.2">
      <c r="B1274" t="str">
        <f>IFERROR(IF('PDCA review'!$D$2='Check'!B1274,'Check'!G1274,""),"")</f>
        <v/>
      </c>
      <c r="C1274">
        <f t="shared" si="57"/>
        <v>0</v>
      </c>
      <c r="D1274">
        <f>SUM($C$3:C1274)</f>
        <v>4</v>
      </c>
      <c r="E1274" t="e">
        <f t="shared" si="58"/>
        <v>#N/A</v>
      </c>
      <c r="F1274" s="28" t="str">
        <f t="shared" ca="1" si="59"/>
        <v/>
      </c>
    </row>
    <row r="1275" spans="2:6" x14ac:dyDescent="0.2">
      <c r="B1275" t="str">
        <f>IFERROR(IF('PDCA review'!$D$2='Check'!B1275,'Check'!G1275,""),"")</f>
        <v/>
      </c>
      <c r="C1275">
        <f t="shared" si="57"/>
        <v>0</v>
      </c>
      <c r="D1275">
        <f>SUM($C$3:C1275)</f>
        <v>4</v>
      </c>
      <c r="E1275" t="e">
        <f t="shared" si="58"/>
        <v>#N/A</v>
      </c>
      <c r="F1275" s="28" t="str">
        <f t="shared" ca="1" si="59"/>
        <v/>
      </c>
    </row>
    <row r="1276" spans="2:6" x14ac:dyDescent="0.2">
      <c r="B1276" t="str">
        <f>IFERROR(IF('PDCA review'!$D$2='Check'!B1276,'Check'!G1276,""),"")</f>
        <v/>
      </c>
      <c r="C1276">
        <f t="shared" si="57"/>
        <v>0</v>
      </c>
      <c r="D1276">
        <f>SUM($C$3:C1276)</f>
        <v>4</v>
      </c>
      <c r="E1276" t="e">
        <f t="shared" si="58"/>
        <v>#N/A</v>
      </c>
      <c r="F1276" s="28" t="str">
        <f t="shared" ca="1" si="59"/>
        <v/>
      </c>
    </row>
    <row r="1277" spans="2:6" x14ac:dyDescent="0.2">
      <c r="B1277" t="str">
        <f>IFERROR(IF('PDCA review'!$D$2='Check'!B1277,'Check'!G1277,""),"")</f>
        <v/>
      </c>
      <c r="C1277">
        <f t="shared" si="57"/>
        <v>0</v>
      </c>
      <c r="D1277">
        <f>SUM($C$3:C1277)</f>
        <v>4</v>
      </c>
      <c r="E1277" t="e">
        <f t="shared" si="58"/>
        <v>#N/A</v>
      </c>
      <c r="F1277" s="28" t="str">
        <f t="shared" ca="1" si="59"/>
        <v/>
      </c>
    </row>
    <row r="1278" spans="2:6" x14ac:dyDescent="0.2">
      <c r="B1278" t="str">
        <f>IFERROR(IF('PDCA review'!$D$2='Check'!B1278,'Check'!G1278,""),"")</f>
        <v/>
      </c>
      <c r="C1278">
        <f t="shared" si="57"/>
        <v>0</v>
      </c>
      <c r="D1278">
        <f>SUM($C$3:C1278)</f>
        <v>4</v>
      </c>
      <c r="E1278" t="e">
        <f t="shared" si="58"/>
        <v>#N/A</v>
      </c>
      <c r="F1278" s="28" t="str">
        <f t="shared" ca="1" si="59"/>
        <v/>
      </c>
    </row>
    <row r="1279" spans="2:6" x14ac:dyDescent="0.2">
      <c r="B1279" t="str">
        <f>IFERROR(IF('PDCA review'!$D$2='Check'!B1279,'Check'!G1279,""),"")</f>
        <v/>
      </c>
      <c r="C1279">
        <f t="shared" si="57"/>
        <v>0</v>
      </c>
      <c r="D1279">
        <f>SUM($C$3:C1279)</f>
        <v>4</v>
      </c>
      <c r="E1279" t="e">
        <f t="shared" si="58"/>
        <v>#N/A</v>
      </c>
      <c r="F1279" s="28" t="str">
        <f t="shared" ca="1" si="59"/>
        <v/>
      </c>
    </row>
    <row r="1280" spans="2:6" x14ac:dyDescent="0.2">
      <c r="B1280" t="str">
        <f>IFERROR(IF('PDCA review'!$D$2='Check'!B1280,'Check'!G1280,""),"")</f>
        <v/>
      </c>
      <c r="C1280">
        <f t="shared" si="57"/>
        <v>0</v>
      </c>
      <c r="D1280">
        <f>SUM($C$3:C1280)</f>
        <v>4</v>
      </c>
      <c r="E1280" t="e">
        <f t="shared" si="58"/>
        <v>#N/A</v>
      </c>
      <c r="F1280" s="28" t="str">
        <f t="shared" ca="1" si="59"/>
        <v/>
      </c>
    </row>
    <row r="1281" spans="2:6" x14ac:dyDescent="0.2">
      <c r="B1281" t="str">
        <f>IFERROR(IF('PDCA review'!$D$2='Check'!B1281,'Check'!G1281,""),"")</f>
        <v/>
      </c>
      <c r="C1281">
        <f t="shared" si="57"/>
        <v>0</v>
      </c>
      <c r="D1281">
        <f>SUM($C$3:C1281)</f>
        <v>4</v>
      </c>
      <c r="E1281" t="e">
        <f t="shared" si="58"/>
        <v>#N/A</v>
      </c>
      <c r="F1281" s="28" t="str">
        <f t="shared" ca="1" si="59"/>
        <v/>
      </c>
    </row>
    <row r="1282" spans="2:6" x14ac:dyDescent="0.2">
      <c r="B1282" t="str">
        <f>IFERROR(IF('PDCA review'!$D$2='Check'!B1282,'Check'!G1282,""),"")</f>
        <v/>
      </c>
      <c r="C1282">
        <f t="shared" si="57"/>
        <v>0</v>
      </c>
      <c r="D1282">
        <f>SUM($C$3:C1282)</f>
        <v>4</v>
      </c>
      <c r="E1282" t="e">
        <f t="shared" si="58"/>
        <v>#N/A</v>
      </c>
      <c r="F1282" s="28" t="str">
        <f t="shared" ca="1" si="59"/>
        <v/>
      </c>
    </row>
    <row r="1283" spans="2:6" x14ac:dyDescent="0.2">
      <c r="B1283" t="str">
        <f>IFERROR(IF('PDCA review'!$D$2='Check'!B1283,'Check'!G1283,""),"")</f>
        <v/>
      </c>
      <c r="C1283">
        <f t="shared" si="57"/>
        <v>0</v>
      </c>
      <c r="D1283">
        <f>SUM($C$3:C1283)</f>
        <v>4</v>
      </c>
      <c r="E1283" t="e">
        <f t="shared" si="58"/>
        <v>#N/A</v>
      </c>
      <c r="F1283" s="28" t="str">
        <f t="shared" ca="1" si="59"/>
        <v/>
      </c>
    </row>
    <row r="1284" spans="2:6" x14ac:dyDescent="0.2">
      <c r="B1284" t="str">
        <f>IFERROR(IF('PDCA review'!$D$2='Check'!B1284,'Check'!G1284,""),"")</f>
        <v/>
      </c>
      <c r="C1284">
        <f t="shared" ref="C1284:C1347" si="60">IF(B1284&lt;&gt;"",1,0)</f>
        <v>0</v>
      </c>
      <c r="D1284">
        <f>SUM($C$3:C1284)</f>
        <v>4</v>
      </c>
      <c r="E1284" t="e">
        <f t="shared" ref="E1284:E1347" si="61">MATCH(ROW()-$D$2,$D$3:$D$2000,0)+$D$2</f>
        <v>#N/A</v>
      </c>
      <c r="F1284" s="28" t="str">
        <f t="shared" ref="F1284:F1347" ca="1" si="62">IFERROR(INDIRECT("B"&amp;E1284),"")</f>
        <v/>
      </c>
    </row>
    <row r="1285" spans="2:6" x14ac:dyDescent="0.2">
      <c r="B1285" t="str">
        <f>IFERROR(IF('PDCA review'!$D$2='Check'!B1285,'Check'!G1285,""),"")</f>
        <v/>
      </c>
      <c r="C1285">
        <f t="shared" si="60"/>
        <v>0</v>
      </c>
      <c r="D1285">
        <f>SUM($C$3:C1285)</f>
        <v>4</v>
      </c>
      <c r="E1285" t="e">
        <f t="shared" si="61"/>
        <v>#N/A</v>
      </c>
      <c r="F1285" s="28" t="str">
        <f t="shared" ca="1" si="62"/>
        <v/>
      </c>
    </row>
    <row r="1286" spans="2:6" x14ac:dyDescent="0.2">
      <c r="B1286" t="str">
        <f>IFERROR(IF('PDCA review'!$D$2='Check'!B1286,'Check'!G1286,""),"")</f>
        <v/>
      </c>
      <c r="C1286">
        <f t="shared" si="60"/>
        <v>0</v>
      </c>
      <c r="D1286">
        <f>SUM($C$3:C1286)</f>
        <v>4</v>
      </c>
      <c r="E1286" t="e">
        <f t="shared" si="61"/>
        <v>#N/A</v>
      </c>
      <c r="F1286" s="28" t="str">
        <f t="shared" ca="1" si="62"/>
        <v/>
      </c>
    </row>
    <row r="1287" spans="2:6" x14ac:dyDescent="0.2">
      <c r="B1287" t="str">
        <f>IFERROR(IF('PDCA review'!$D$2='Check'!B1287,'Check'!G1287,""),"")</f>
        <v/>
      </c>
      <c r="C1287">
        <f t="shared" si="60"/>
        <v>0</v>
      </c>
      <c r="D1287">
        <f>SUM($C$3:C1287)</f>
        <v>4</v>
      </c>
      <c r="E1287" t="e">
        <f t="shared" si="61"/>
        <v>#N/A</v>
      </c>
      <c r="F1287" s="28" t="str">
        <f t="shared" ca="1" si="62"/>
        <v/>
      </c>
    </row>
    <row r="1288" spans="2:6" x14ac:dyDescent="0.2">
      <c r="B1288" t="str">
        <f>IFERROR(IF('PDCA review'!$D$2='Check'!B1288,'Check'!G1288,""),"")</f>
        <v/>
      </c>
      <c r="C1288">
        <f t="shared" si="60"/>
        <v>0</v>
      </c>
      <c r="D1288">
        <f>SUM($C$3:C1288)</f>
        <v>4</v>
      </c>
      <c r="E1288" t="e">
        <f t="shared" si="61"/>
        <v>#N/A</v>
      </c>
      <c r="F1288" s="28" t="str">
        <f t="shared" ca="1" si="62"/>
        <v/>
      </c>
    </row>
    <row r="1289" spans="2:6" x14ac:dyDescent="0.2">
      <c r="B1289" t="str">
        <f>IFERROR(IF('PDCA review'!$D$2='Check'!B1289,'Check'!G1289,""),"")</f>
        <v/>
      </c>
      <c r="C1289">
        <f t="shared" si="60"/>
        <v>0</v>
      </c>
      <c r="D1289">
        <f>SUM($C$3:C1289)</f>
        <v>4</v>
      </c>
      <c r="E1289" t="e">
        <f t="shared" si="61"/>
        <v>#N/A</v>
      </c>
      <c r="F1289" s="28" t="str">
        <f t="shared" ca="1" si="62"/>
        <v/>
      </c>
    </row>
    <row r="1290" spans="2:6" x14ac:dyDescent="0.2">
      <c r="B1290" t="str">
        <f>IFERROR(IF('PDCA review'!$D$2='Check'!B1290,'Check'!G1290,""),"")</f>
        <v/>
      </c>
      <c r="C1290">
        <f t="shared" si="60"/>
        <v>0</v>
      </c>
      <c r="D1290">
        <f>SUM($C$3:C1290)</f>
        <v>4</v>
      </c>
      <c r="E1290" t="e">
        <f t="shared" si="61"/>
        <v>#N/A</v>
      </c>
      <c r="F1290" s="28" t="str">
        <f t="shared" ca="1" si="62"/>
        <v/>
      </c>
    </row>
    <row r="1291" spans="2:6" x14ac:dyDescent="0.2">
      <c r="B1291" t="str">
        <f>IFERROR(IF('PDCA review'!$D$2='Check'!B1291,'Check'!G1291,""),"")</f>
        <v/>
      </c>
      <c r="C1291">
        <f t="shared" si="60"/>
        <v>0</v>
      </c>
      <c r="D1291">
        <f>SUM($C$3:C1291)</f>
        <v>4</v>
      </c>
      <c r="E1291" t="e">
        <f t="shared" si="61"/>
        <v>#N/A</v>
      </c>
      <c r="F1291" s="28" t="str">
        <f t="shared" ca="1" si="62"/>
        <v/>
      </c>
    </row>
    <row r="1292" spans="2:6" x14ac:dyDescent="0.2">
      <c r="B1292" t="str">
        <f>IFERROR(IF('PDCA review'!$D$2='Check'!B1292,'Check'!G1292,""),"")</f>
        <v/>
      </c>
      <c r="C1292">
        <f t="shared" si="60"/>
        <v>0</v>
      </c>
      <c r="D1292">
        <f>SUM($C$3:C1292)</f>
        <v>4</v>
      </c>
      <c r="E1292" t="e">
        <f t="shared" si="61"/>
        <v>#N/A</v>
      </c>
      <c r="F1292" s="28" t="str">
        <f t="shared" ca="1" si="62"/>
        <v/>
      </c>
    </row>
    <row r="1293" spans="2:6" x14ac:dyDescent="0.2">
      <c r="B1293" t="str">
        <f>IFERROR(IF('PDCA review'!$D$2='Check'!B1293,'Check'!G1293,""),"")</f>
        <v/>
      </c>
      <c r="C1293">
        <f t="shared" si="60"/>
        <v>0</v>
      </c>
      <c r="D1293">
        <f>SUM($C$3:C1293)</f>
        <v>4</v>
      </c>
      <c r="E1293" t="e">
        <f t="shared" si="61"/>
        <v>#N/A</v>
      </c>
      <c r="F1293" s="28" t="str">
        <f t="shared" ca="1" si="62"/>
        <v/>
      </c>
    </row>
    <row r="1294" spans="2:6" x14ac:dyDescent="0.2">
      <c r="B1294" t="str">
        <f>IFERROR(IF('PDCA review'!$D$2='Check'!B1294,'Check'!G1294,""),"")</f>
        <v/>
      </c>
      <c r="C1294">
        <f t="shared" si="60"/>
        <v>0</v>
      </c>
      <c r="D1294">
        <f>SUM($C$3:C1294)</f>
        <v>4</v>
      </c>
      <c r="E1294" t="e">
        <f t="shared" si="61"/>
        <v>#N/A</v>
      </c>
      <c r="F1294" s="28" t="str">
        <f t="shared" ca="1" si="62"/>
        <v/>
      </c>
    </row>
    <row r="1295" spans="2:6" x14ac:dyDescent="0.2">
      <c r="B1295" t="str">
        <f>IFERROR(IF('PDCA review'!$D$2='Check'!B1295,'Check'!G1295,""),"")</f>
        <v/>
      </c>
      <c r="C1295">
        <f t="shared" si="60"/>
        <v>0</v>
      </c>
      <c r="D1295">
        <f>SUM($C$3:C1295)</f>
        <v>4</v>
      </c>
      <c r="E1295" t="e">
        <f t="shared" si="61"/>
        <v>#N/A</v>
      </c>
      <c r="F1295" s="28" t="str">
        <f t="shared" ca="1" si="62"/>
        <v/>
      </c>
    </row>
    <row r="1296" spans="2:6" x14ac:dyDescent="0.2">
      <c r="B1296" t="str">
        <f>IFERROR(IF('PDCA review'!$D$2='Check'!B1296,'Check'!G1296,""),"")</f>
        <v/>
      </c>
      <c r="C1296">
        <f t="shared" si="60"/>
        <v>0</v>
      </c>
      <c r="D1296">
        <f>SUM($C$3:C1296)</f>
        <v>4</v>
      </c>
      <c r="E1296" t="e">
        <f t="shared" si="61"/>
        <v>#N/A</v>
      </c>
      <c r="F1296" s="28" t="str">
        <f t="shared" ca="1" si="62"/>
        <v/>
      </c>
    </row>
    <row r="1297" spans="2:6" x14ac:dyDescent="0.2">
      <c r="B1297" t="str">
        <f>IFERROR(IF('PDCA review'!$D$2='Check'!B1297,'Check'!G1297,""),"")</f>
        <v/>
      </c>
      <c r="C1297">
        <f t="shared" si="60"/>
        <v>0</v>
      </c>
      <c r="D1297">
        <f>SUM($C$3:C1297)</f>
        <v>4</v>
      </c>
      <c r="E1297" t="e">
        <f t="shared" si="61"/>
        <v>#N/A</v>
      </c>
      <c r="F1297" s="28" t="str">
        <f t="shared" ca="1" si="62"/>
        <v/>
      </c>
    </row>
    <row r="1298" spans="2:6" x14ac:dyDescent="0.2">
      <c r="B1298" t="str">
        <f>IFERROR(IF('PDCA review'!$D$2='Check'!B1298,'Check'!G1298,""),"")</f>
        <v/>
      </c>
      <c r="C1298">
        <f t="shared" si="60"/>
        <v>0</v>
      </c>
      <c r="D1298">
        <f>SUM($C$3:C1298)</f>
        <v>4</v>
      </c>
      <c r="E1298" t="e">
        <f t="shared" si="61"/>
        <v>#N/A</v>
      </c>
      <c r="F1298" s="28" t="str">
        <f t="shared" ca="1" si="62"/>
        <v/>
      </c>
    </row>
    <row r="1299" spans="2:6" x14ac:dyDescent="0.2">
      <c r="B1299" t="str">
        <f>IFERROR(IF('PDCA review'!$D$2='Check'!B1299,'Check'!G1299,""),"")</f>
        <v/>
      </c>
      <c r="C1299">
        <f t="shared" si="60"/>
        <v>0</v>
      </c>
      <c r="D1299">
        <f>SUM($C$3:C1299)</f>
        <v>4</v>
      </c>
      <c r="E1299" t="e">
        <f t="shared" si="61"/>
        <v>#N/A</v>
      </c>
      <c r="F1299" s="28" t="str">
        <f t="shared" ca="1" si="62"/>
        <v/>
      </c>
    </row>
    <row r="1300" spans="2:6" x14ac:dyDescent="0.2">
      <c r="B1300" t="str">
        <f>IFERROR(IF('PDCA review'!$D$2='Check'!B1300,'Check'!G1300,""),"")</f>
        <v/>
      </c>
      <c r="C1300">
        <f t="shared" si="60"/>
        <v>0</v>
      </c>
      <c r="D1300">
        <f>SUM($C$3:C1300)</f>
        <v>4</v>
      </c>
      <c r="E1300" t="e">
        <f t="shared" si="61"/>
        <v>#N/A</v>
      </c>
      <c r="F1300" s="28" t="str">
        <f t="shared" ca="1" si="62"/>
        <v/>
      </c>
    </row>
    <row r="1301" spans="2:6" x14ac:dyDescent="0.2">
      <c r="B1301" t="str">
        <f>IFERROR(IF('PDCA review'!$D$2='Check'!B1301,'Check'!G1301,""),"")</f>
        <v/>
      </c>
      <c r="C1301">
        <f t="shared" si="60"/>
        <v>0</v>
      </c>
      <c r="D1301">
        <f>SUM($C$3:C1301)</f>
        <v>4</v>
      </c>
      <c r="E1301" t="e">
        <f t="shared" si="61"/>
        <v>#N/A</v>
      </c>
      <c r="F1301" s="28" t="str">
        <f t="shared" ca="1" si="62"/>
        <v/>
      </c>
    </row>
    <row r="1302" spans="2:6" x14ac:dyDescent="0.2">
      <c r="B1302" t="str">
        <f>IFERROR(IF('PDCA review'!$D$2='Check'!B1302,'Check'!G1302,""),"")</f>
        <v/>
      </c>
      <c r="C1302">
        <f t="shared" si="60"/>
        <v>0</v>
      </c>
      <c r="D1302">
        <f>SUM($C$3:C1302)</f>
        <v>4</v>
      </c>
      <c r="E1302" t="e">
        <f t="shared" si="61"/>
        <v>#N/A</v>
      </c>
      <c r="F1302" s="28" t="str">
        <f t="shared" ca="1" si="62"/>
        <v/>
      </c>
    </row>
    <row r="1303" spans="2:6" x14ac:dyDescent="0.2">
      <c r="B1303" t="str">
        <f>IFERROR(IF('PDCA review'!$D$2='Check'!B1303,'Check'!G1303,""),"")</f>
        <v/>
      </c>
      <c r="C1303">
        <f t="shared" si="60"/>
        <v>0</v>
      </c>
      <c r="D1303">
        <f>SUM($C$3:C1303)</f>
        <v>4</v>
      </c>
      <c r="E1303" t="e">
        <f t="shared" si="61"/>
        <v>#N/A</v>
      </c>
      <c r="F1303" s="28" t="str">
        <f t="shared" ca="1" si="62"/>
        <v/>
      </c>
    </row>
    <row r="1304" spans="2:6" x14ac:dyDescent="0.2">
      <c r="B1304" t="str">
        <f>IFERROR(IF('PDCA review'!$D$2='Check'!B1304,'Check'!G1304,""),"")</f>
        <v/>
      </c>
      <c r="C1304">
        <f t="shared" si="60"/>
        <v>0</v>
      </c>
      <c r="D1304">
        <f>SUM($C$3:C1304)</f>
        <v>4</v>
      </c>
      <c r="E1304" t="e">
        <f t="shared" si="61"/>
        <v>#N/A</v>
      </c>
      <c r="F1304" s="28" t="str">
        <f t="shared" ca="1" si="62"/>
        <v/>
      </c>
    </row>
    <row r="1305" spans="2:6" x14ac:dyDescent="0.2">
      <c r="B1305" t="str">
        <f>IFERROR(IF('PDCA review'!$D$2='Check'!B1305,'Check'!G1305,""),"")</f>
        <v/>
      </c>
      <c r="C1305">
        <f t="shared" si="60"/>
        <v>0</v>
      </c>
      <c r="D1305">
        <f>SUM($C$3:C1305)</f>
        <v>4</v>
      </c>
      <c r="E1305" t="e">
        <f t="shared" si="61"/>
        <v>#N/A</v>
      </c>
      <c r="F1305" s="28" t="str">
        <f t="shared" ca="1" si="62"/>
        <v/>
      </c>
    </row>
    <row r="1306" spans="2:6" x14ac:dyDescent="0.2">
      <c r="B1306" t="str">
        <f>IFERROR(IF('PDCA review'!$D$2='Check'!B1306,'Check'!G1306,""),"")</f>
        <v/>
      </c>
      <c r="C1306">
        <f t="shared" si="60"/>
        <v>0</v>
      </c>
      <c r="D1306">
        <f>SUM($C$3:C1306)</f>
        <v>4</v>
      </c>
      <c r="E1306" t="e">
        <f t="shared" si="61"/>
        <v>#N/A</v>
      </c>
      <c r="F1306" s="28" t="str">
        <f t="shared" ca="1" si="62"/>
        <v/>
      </c>
    </row>
    <row r="1307" spans="2:6" x14ac:dyDescent="0.2">
      <c r="B1307" t="str">
        <f>IFERROR(IF('PDCA review'!$D$2='Check'!B1307,'Check'!G1307,""),"")</f>
        <v/>
      </c>
      <c r="C1307">
        <f t="shared" si="60"/>
        <v>0</v>
      </c>
      <c r="D1307">
        <f>SUM($C$3:C1307)</f>
        <v>4</v>
      </c>
      <c r="E1307" t="e">
        <f t="shared" si="61"/>
        <v>#N/A</v>
      </c>
      <c r="F1307" s="28" t="str">
        <f t="shared" ca="1" si="62"/>
        <v/>
      </c>
    </row>
    <row r="1308" spans="2:6" x14ac:dyDescent="0.2">
      <c r="B1308" t="str">
        <f>IFERROR(IF('PDCA review'!$D$2='Check'!B1308,'Check'!G1308,""),"")</f>
        <v/>
      </c>
      <c r="C1308">
        <f t="shared" si="60"/>
        <v>0</v>
      </c>
      <c r="D1308">
        <f>SUM($C$3:C1308)</f>
        <v>4</v>
      </c>
      <c r="E1308" t="e">
        <f t="shared" si="61"/>
        <v>#N/A</v>
      </c>
      <c r="F1308" s="28" t="str">
        <f t="shared" ca="1" si="62"/>
        <v/>
      </c>
    </row>
    <row r="1309" spans="2:6" x14ac:dyDescent="0.2">
      <c r="B1309" t="str">
        <f>IFERROR(IF('PDCA review'!$D$2='Check'!B1309,'Check'!G1309,""),"")</f>
        <v/>
      </c>
      <c r="C1309">
        <f t="shared" si="60"/>
        <v>0</v>
      </c>
      <c r="D1309">
        <f>SUM($C$3:C1309)</f>
        <v>4</v>
      </c>
      <c r="E1309" t="e">
        <f t="shared" si="61"/>
        <v>#N/A</v>
      </c>
      <c r="F1309" s="28" t="str">
        <f t="shared" ca="1" si="62"/>
        <v/>
      </c>
    </row>
    <row r="1310" spans="2:6" x14ac:dyDescent="0.2">
      <c r="B1310" t="str">
        <f>IFERROR(IF('PDCA review'!$D$2='Check'!B1310,'Check'!G1310,""),"")</f>
        <v/>
      </c>
      <c r="C1310">
        <f t="shared" si="60"/>
        <v>0</v>
      </c>
      <c r="D1310">
        <f>SUM($C$3:C1310)</f>
        <v>4</v>
      </c>
      <c r="E1310" t="e">
        <f t="shared" si="61"/>
        <v>#N/A</v>
      </c>
      <c r="F1310" s="28" t="str">
        <f t="shared" ca="1" si="62"/>
        <v/>
      </c>
    </row>
    <row r="1311" spans="2:6" x14ac:dyDescent="0.2">
      <c r="B1311" t="str">
        <f>IFERROR(IF('PDCA review'!$D$2='Check'!B1311,'Check'!G1311,""),"")</f>
        <v/>
      </c>
      <c r="C1311">
        <f t="shared" si="60"/>
        <v>0</v>
      </c>
      <c r="D1311">
        <f>SUM($C$3:C1311)</f>
        <v>4</v>
      </c>
      <c r="E1311" t="e">
        <f t="shared" si="61"/>
        <v>#N/A</v>
      </c>
      <c r="F1311" s="28" t="str">
        <f t="shared" ca="1" si="62"/>
        <v/>
      </c>
    </row>
    <row r="1312" spans="2:6" x14ac:dyDescent="0.2">
      <c r="B1312" t="str">
        <f>IFERROR(IF('PDCA review'!$D$2='Check'!B1312,'Check'!G1312,""),"")</f>
        <v/>
      </c>
      <c r="C1312">
        <f t="shared" si="60"/>
        <v>0</v>
      </c>
      <c r="D1312">
        <f>SUM($C$3:C1312)</f>
        <v>4</v>
      </c>
      <c r="E1312" t="e">
        <f t="shared" si="61"/>
        <v>#N/A</v>
      </c>
      <c r="F1312" s="28" t="str">
        <f t="shared" ca="1" si="62"/>
        <v/>
      </c>
    </row>
    <row r="1313" spans="2:6" x14ac:dyDescent="0.2">
      <c r="B1313" t="str">
        <f>IFERROR(IF('PDCA review'!$D$2='Check'!B1313,'Check'!G1313,""),"")</f>
        <v/>
      </c>
      <c r="C1313">
        <f t="shared" si="60"/>
        <v>0</v>
      </c>
      <c r="D1313">
        <f>SUM($C$3:C1313)</f>
        <v>4</v>
      </c>
      <c r="E1313" t="e">
        <f t="shared" si="61"/>
        <v>#N/A</v>
      </c>
      <c r="F1313" s="28" t="str">
        <f t="shared" ca="1" si="62"/>
        <v/>
      </c>
    </row>
    <row r="1314" spans="2:6" x14ac:dyDescent="0.2">
      <c r="B1314" t="str">
        <f>IFERROR(IF('PDCA review'!$D$2='Check'!B1314,'Check'!G1314,""),"")</f>
        <v/>
      </c>
      <c r="C1314">
        <f t="shared" si="60"/>
        <v>0</v>
      </c>
      <c r="D1314">
        <f>SUM($C$3:C1314)</f>
        <v>4</v>
      </c>
      <c r="E1314" t="e">
        <f t="shared" si="61"/>
        <v>#N/A</v>
      </c>
      <c r="F1314" s="28" t="str">
        <f t="shared" ca="1" si="62"/>
        <v/>
      </c>
    </row>
    <row r="1315" spans="2:6" x14ac:dyDescent="0.2">
      <c r="B1315" t="str">
        <f>IFERROR(IF('PDCA review'!$D$2='Check'!B1315,'Check'!G1315,""),"")</f>
        <v/>
      </c>
      <c r="C1315">
        <f t="shared" si="60"/>
        <v>0</v>
      </c>
      <c r="D1315">
        <f>SUM($C$3:C1315)</f>
        <v>4</v>
      </c>
      <c r="E1315" t="e">
        <f t="shared" si="61"/>
        <v>#N/A</v>
      </c>
      <c r="F1315" s="28" t="str">
        <f t="shared" ca="1" si="62"/>
        <v/>
      </c>
    </row>
    <row r="1316" spans="2:6" x14ac:dyDescent="0.2">
      <c r="B1316" t="str">
        <f>IFERROR(IF('PDCA review'!$D$2='Check'!B1316,'Check'!G1316,""),"")</f>
        <v/>
      </c>
      <c r="C1316">
        <f t="shared" si="60"/>
        <v>0</v>
      </c>
      <c r="D1316">
        <f>SUM($C$3:C1316)</f>
        <v>4</v>
      </c>
      <c r="E1316" t="e">
        <f t="shared" si="61"/>
        <v>#N/A</v>
      </c>
      <c r="F1316" s="28" t="str">
        <f t="shared" ca="1" si="62"/>
        <v/>
      </c>
    </row>
    <row r="1317" spans="2:6" x14ac:dyDescent="0.2">
      <c r="B1317" t="str">
        <f>IFERROR(IF('PDCA review'!$D$2='Check'!B1317,'Check'!G1317,""),"")</f>
        <v/>
      </c>
      <c r="C1317">
        <f t="shared" si="60"/>
        <v>0</v>
      </c>
      <c r="D1317">
        <f>SUM($C$3:C1317)</f>
        <v>4</v>
      </c>
      <c r="E1317" t="e">
        <f t="shared" si="61"/>
        <v>#N/A</v>
      </c>
      <c r="F1317" s="28" t="str">
        <f t="shared" ca="1" si="62"/>
        <v/>
      </c>
    </row>
    <row r="1318" spans="2:6" x14ac:dyDescent="0.2">
      <c r="B1318" t="str">
        <f>IFERROR(IF('PDCA review'!$D$2='Check'!B1318,'Check'!G1318,""),"")</f>
        <v/>
      </c>
      <c r="C1318">
        <f t="shared" si="60"/>
        <v>0</v>
      </c>
      <c r="D1318">
        <f>SUM($C$3:C1318)</f>
        <v>4</v>
      </c>
      <c r="E1318" t="e">
        <f t="shared" si="61"/>
        <v>#N/A</v>
      </c>
      <c r="F1318" s="28" t="str">
        <f t="shared" ca="1" si="62"/>
        <v/>
      </c>
    </row>
    <row r="1319" spans="2:6" x14ac:dyDescent="0.2">
      <c r="B1319" t="str">
        <f>IFERROR(IF('PDCA review'!$D$2='Check'!B1319,'Check'!G1319,""),"")</f>
        <v/>
      </c>
      <c r="C1319">
        <f t="shared" si="60"/>
        <v>0</v>
      </c>
      <c r="D1319">
        <f>SUM($C$3:C1319)</f>
        <v>4</v>
      </c>
      <c r="E1319" t="e">
        <f t="shared" si="61"/>
        <v>#N/A</v>
      </c>
      <c r="F1319" s="28" t="str">
        <f t="shared" ca="1" si="62"/>
        <v/>
      </c>
    </row>
    <row r="1320" spans="2:6" x14ac:dyDescent="0.2">
      <c r="B1320" t="str">
        <f>IFERROR(IF('PDCA review'!$D$2='Check'!B1320,'Check'!G1320,""),"")</f>
        <v/>
      </c>
      <c r="C1320">
        <f t="shared" si="60"/>
        <v>0</v>
      </c>
      <c r="D1320">
        <f>SUM($C$3:C1320)</f>
        <v>4</v>
      </c>
      <c r="E1320" t="e">
        <f t="shared" si="61"/>
        <v>#N/A</v>
      </c>
      <c r="F1320" s="28" t="str">
        <f t="shared" ca="1" si="62"/>
        <v/>
      </c>
    </row>
    <row r="1321" spans="2:6" x14ac:dyDescent="0.2">
      <c r="B1321" t="str">
        <f>IFERROR(IF('PDCA review'!$D$2='Check'!B1321,'Check'!G1321,""),"")</f>
        <v/>
      </c>
      <c r="C1321">
        <f t="shared" si="60"/>
        <v>0</v>
      </c>
      <c r="D1321">
        <f>SUM($C$3:C1321)</f>
        <v>4</v>
      </c>
      <c r="E1321" t="e">
        <f t="shared" si="61"/>
        <v>#N/A</v>
      </c>
      <c r="F1321" s="28" t="str">
        <f t="shared" ca="1" si="62"/>
        <v/>
      </c>
    </row>
    <row r="1322" spans="2:6" x14ac:dyDescent="0.2">
      <c r="B1322" t="str">
        <f>IFERROR(IF('PDCA review'!$D$2='Check'!B1322,'Check'!G1322,""),"")</f>
        <v/>
      </c>
      <c r="C1322">
        <f t="shared" si="60"/>
        <v>0</v>
      </c>
      <c r="D1322">
        <f>SUM($C$3:C1322)</f>
        <v>4</v>
      </c>
      <c r="E1322" t="e">
        <f t="shared" si="61"/>
        <v>#N/A</v>
      </c>
      <c r="F1322" s="28" t="str">
        <f t="shared" ca="1" si="62"/>
        <v/>
      </c>
    </row>
    <row r="1323" spans="2:6" x14ac:dyDescent="0.2">
      <c r="B1323" t="str">
        <f>IFERROR(IF('PDCA review'!$D$2='Check'!B1323,'Check'!G1323,""),"")</f>
        <v/>
      </c>
      <c r="C1323">
        <f t="shared" si="60"/>
        <v>0</v>
      </c>
      <c r="D1323">
        <f>SUM($C$3:C1323)</f>
        <v>4</v>
      </c>
      <c r="E1323" t="e">
        <f t="shared" si="61"/>
        <v>#N/A</v>
      </c>
      <c r="F1323" s="28" t="str">
        <f t="shared" ca="1" si="62"/>
        <v/>
      </c>
    </row>
    <row r="1324" spans="2:6" x14ac:dyDescent="0.2">
      <c r="B1324" t="str">
        <f>IFERROR(IF('PDCA review'!$D$2='Check'!B1324,'Check'!G1324,""),"")</f>
        <v/>
      </c>
      <c r="C1324">
        <f t="shared" si="60"/>
        <v>0</v>
      </c>
      <c r="D1324">
        <f>SUM($C$3:C1324)</f>
        <v>4</v>
      </c>
      <c r="E1324" t="e">
        <f t="shared" si="61"/>
        <v>#N/A</v>
      </c>
      <c r="F1324" s="28" t="str">
        <f t="shared" ca="1" si="62"/>
        <v/>
      </c>
    </row>
    <row r="1325" spans="2:6" x14ac:dyDescent="0.2">
      <c r="B1325" t="str">
        <f>IFERROR(IF('PDCA review'!$D$2='Check'!B1325,'Check'!G1325,""),"")</f>
        <v/>
      </c>
      <c r="C1325">
        <f t="shared" si="60"/>
        <v>0</v>
      </c>
      <c r="D1325">
        <f>SUM($C$3:C1325)</f>
        <v>4</v>
      </c>
      <c r="E1325" t="e">
        <f t="shared" si="61"/>
        <v>#N/A</v>
      </c>
      <c r="F1325" s="28" t="str">
        <f t="shared" ca="1" si="62"/>
        <v/>
      </c>
    </row>
    <row r="1326" spans="2:6" x14ac:dyDescent="0.2">
      <c r="B1326" t="str">
        <f>IFERROR(IF('PDCA review'!$D$2='Check'!B1326,'Check'!G1326,""),"")</f>
        <v/>
      </c>
      <c r="C1326">
        <f t="shared" si="60"/>
        <v>0</v>
      </c>
      <c r="D1326">
        <f>SUM($C$3:C1326)</f>
        <v>4</v>
      </c>
      <c r="E1326" t="e">
        <f t="shared" si="61"/>
        <v>#N/A</v>
      </c>
      <c r="F1326" s="28" t="str">
        <f t="shared" ca="1" si="62"/>
        <v/>
      </c>
    </row>
    <row r="1327" spans="2:6" x14ac:dyDescent="0.2">
      <c r="B1327" t="str">
        <f>IFERROR(IF('PDCA review'!$D$2='Check'!B1327,'Check'!G1327,""),"")</f>
        <v/>
      </c>
      <c r="C1327">
        <f t="shared" si="60"/>
        <v>0</v>
      </c>
      <c r="D1327">
        <f>SUM($C$3:C1327)</f>
        <v>4</v>
      </c>
      <c r="E1327" t="e">
        <f t="shared" si="61"/>
        <v>#N/A</v>
      </c>
      <c r="F1327" s="28" t="str">
        <f t="shared" ca="1" si="62"/>
        <v/>
      </c>
    </row>
    <row r="1328" spans="2:6" x14ac:dyDescent="0.2">
      <c r="B1328" t="str">
        <f>IFERROR(IF('PDCA review'!$D$2='Check'!B1328,'Check'!G1328,""),"")</f>
        <v/>
      </c>
      <c r="C1328">
        <f t="shared" si="60"/>
        <v>0</v>
      </c>
      <c r="D1328">
        <f>SUM($C$3:C1328)</f>
        <v>4</v>
      </c>
      <c r="E1328" t="e">
        <f t="shared" si="61"/>
        <v>#N/A</v>
      </c>
      <c r="F1328" s="28" t="str">
        <f t="shared" ca="1" si="62"/>
        <v/>
      </c>
    </row>
    <row r="1329" spans="2:6" x14ac:dyDescent="0.2">
      <c r="B1329" t="str">
        <f>IFERROR(IF('PDCA review'!$D$2='Check'!B1329,'Check'!G1329,""),"")</f>
        <v/>
      </c>
      <c r="C1329">
        <f t="shared" si="60"/>
        <v>0</v>
      </c>
      <c r="D1329">
        <f>SUM($C$3:C1329)</f>
        <v>4</v>
      </c>
      <c r="E1329" t="e">
        <f t="shared" si="61"/>
        <v>#N/A</v>
      </c>
      <c r="F1329" s="28" t="str">
        <f t="shared" ca="1" si="62"/>
        <v/>
      </c>
    </row>
    <row r="1330" spans="2:6" x14ac:dyDescent="0.2">
      <c r="B1330" t="str">
        <f>IFERROR(IF('PDCA review'!$D$2='Check'!B1330,'Check'!G1330,""),"")</f>
        <v/>
      </c>
      <c r="C1330">
        <f t="shared" si="60"/>
        <v>0</v>
      </c>
      <c r="D1330">
        <f>SUM($C$3:C1330)</f>
        <v>4</v>
      </c>
      <c r="E1330" t="e">
        <f t="shared" si="61"/>
        <v>#N/A</v>
      </c>
      <c r="F1330" s="28" t="str">
        <f t="shared" ca="1" si="62"/>
        <v/>
      </c>
    </row>
    <row r="1331" spans="2:6" x14ac:dyDescent="0.2">
      <c r="B1331" t="str">
        <f>IFERROR(IF('PDCA review'!$D$2='Check'!B1331,'Check'!G1331,""),"")</f>
        <v/>
      </c>
      <c r="C1331">
        <f t="shared" si="60"/>
        <v>0</v>
      </c>
      <c r="D1331">
        <f>SUM($C$3:C1331)</f>
        <v>4</v>
      </c>
      <c r="E1331" t="e">
        <f t="shared" si="61"/>
        <v>#N/A</v>
      </c>
      <c r="F1331" s="28" t="str">
        <f t="shared" ca="1" si="62"/>
        <v/>
      </c>
    </row>
    <row r="1332" spans="2:6" x14ac:dyDescent="0.2">
      <c r="B1332" t="str">
        <f>IFERROR(IF('PDCA review'!$D$2='Check'!B1332,'Check'!G1332,""),"")</f>
        <v/>
      </c>
      <c r="C1332">
        <f t="shared" si="60"/>
        <v>0</v>
      </c>
      <c r="D1332">
        <f>SUM($C$3:C1332)</f>
        <v>4</v>
      </c>
      <c r="E1332" t="e">
        <f t="shared" si="61"/>
        <v>#N/A</v>
      </c>
      <c r="F1332" s="28" t="str">
        <f t="shared" ca="1" si="62"/>
        <v/>
      </c>
    </row>
    <row r="1333" spans="2:6" x14ac:dyDescent="0.2">
      <c r="B1333" t="str">
        <f>IFERROR(IF('PDCA review'!$D$2='Check'!B1333,'Check'!G1333,""),"")</f>
        <v/>
      </c>
      <c r="C1333">
        <f t="shared" si="60"/>
        <v>0</v>
      </c>
      <c r="D1333">
        <f>SUM($C$3:C1333)</f>
        <v>4</v>
      </c>
      <c r="E1333" t="e">
        <f t="shared" si="61"/>
        <v>#N/A</v>
      </c>
      <c r="F1333" s="28" t="str">
        <f t="shared" ca="1" si="62"/>
        <v/>
      </c>
    </row>
    <row r="1334" spans="2:6" x14ac:dyDescent="0.2">
      <c r="B1334" t="str">
        <f>IFERROR(IF('PDCA review'!$D$2='Check'!B1334,'Check'!G1334,""),"")</f>
        <v/>
      </c>
      <c r="C1334">
        <f t="shared" si="60"/>
        <v>0</v>
      </c>
      <c r="D1334">
        <f>SUM($C$3:C1334)</f>
        <v>4</v>
      </c>
      <c r="E1334" t="e">
        <f t="shared" si="61"/>
        <v>#N/A</v>
      </c>
      <c r="F1334" s="28" t="str">
        <f t="shared" ca="1" si="62"/>
        <v/>
      </c>
    </row>
    <row r="1335" spans="2:6" x14ac:dyDescent="0.2">
      <c r="B1335" t="str">
        <f>IFERROR(IF('PDCA review'!$D$2='Check'!B1335,'Check'!G1335,""),"")</f>
        <v/>
      </c>
      <c r="C1335">
        <f t="shared" si="60"/>
        <v>0</v>
      </c>
      <c r="D1335">
        <f>SUM($C$3:C1335)</f>
        <v>4</v>
      </c>
      <c r="E1335" t="e">
        <f t="shared" si="61"/>
        <v>#N/A</v>
      </c>
      <c r="F1335" s="28" t="str">
        <f t="shared" ca="1" si="62"/>
        <v/>
      </c>
    </row>
    <row r="1336" spans="2:6" x14ac:dyDescent="0.2">
      <c r="B1336" t="str">
        <f>IFERROR(IF('PDCA review'!$D$2='Check'!B1336,'Check'!G1336,""),"")</f>
        <v/>
      </c>
      <c r="C1336">
        <f t="shared" si="60"/>
        <v>0</v>
      </c>
      <c r="D1336">
        <f>SUM($C$3:C1336)</f>
        <v>4</v>
      </c>
      <c r="E1336" t="e">
        <f t="shared" si="61"/>
        <v>#N/A</v>
      </c>
      <c r="F1336" s="28" t="str">
        <f t="shared" ca="1" si="62"/>
        <v/>
      </c>
    </row>
    <row r="1337" spans="2:6" x14ac:dyDescent="0.2">
      <c r="B1337" t="str">
        <f>IFERROR(IF('PDCA review'!$D$2='Check'!B1337,'Check'!G1337,""),"")</f>
        <v/>
      </c>
      <c r="C1337">
        <f t="shared" si="60"/>
        <v>0</v>
      </c>
      <c r="D1337">
        <f>SUM($C$3:C1337)</f>
        <v>4</v>
      </c>
      <c r="E1337" t="e">
        <f t="shared" si="61"/>
        <v>#N/A</v>
      </c>
      <c r="F1337" s="28" t="str">
        <f t="shared" ca="1" si="62"/>
        <v/>
      </c>
    </row>
    <row r="1338" spans="2:6" x14ac:dyDescent="0.2">
      <c r="B1338" t="str">
        <f>IFERROR(IF('PDCA review'!$D$2='Check'!B1338,'Check'!G1338,""),"")</f>
        <v/>
      </c>
      <c r="C1338">
        <f t="shared" si="60"/>
        <v>0</v>
      </c>
      <c r="D1338">
        <f>SUM($C$3:C1338)</f>
        <v>4</v>
      </c>
      <c r="E1338" t="e">
        <f t="shared" si="61"/>
        <v>#N/A</v>
      </c>
      <c r="F1338" s="28" t="str">
        <f t="shared" ca="1" si="62"/>
        <v/>
      </c>
    </row>
    <row r="1339" spans="2:6" x14ac:dyDescent="0.2">
      <c r="B1339" t="str">
        <f>IFERROR(IF('PDCA review'!$D$2='Check'!B1339,'Check'!G1339,""),"")</f>
        <v/>
      </c>
      <c r="C1339">
        <f t="shared" si="60"/>
        <v>0</v>
      </c>
      <c r="D1339">
        <f>SUM($C$3:C1339)</f>
        <v>4</v>
      </c>
      <c r="E1339" t="e">
        <f t="shared" si="61"/>
        <v>#N/A</v>
      </c>
      <c r="F1339" s="28" t="str">
        <f t="shared" ca="1" si="62"/>
        <v/>
      </c>
    </row>
    <row r="1340" spans="2:6" x14ac:dyDescent="0.2">
      <c r="B1340" t="str">
        <f>IFERROR(IF('PDCA review'!$D$2='Check'!B1340,'Check'!G1340,""),"")</f>
        <v/>
      </c>
      <c r="C1340">
        <f t="shared" si="60"/>
        <v>0</v>
      </c>
      <c r="D1340">
        <f>SUM($C$3:C1340)</f>
        <v>4</v>
      </c>
      <c r="E1340" t="e">
        <f t="shared" si="61"/>
        <v>#N/A</v>
      </c>
      <c r="F1340" s="28" t="str">
        <f t="shared" ca="1" si="62"/>
        <v/>
      </c>
    </row>
    <row r="1341" spans="2:6" x14ac:dyDescent="0.2">
      <c r="B1341" t="str">
        <f>IFERROR(IF('PDCA review'!$D$2='Check'!B1341,'Check'!G1341,""),"")</f>
        <v/>
      </c>
      <c r="C1341">
        <f t="shared" si="60"/>
        <v>0</v>
      </c>
      <c r="D1341">
        <f>SUM($C$3:C1341)</f>
        <v>4</v>
      </c>
      <c r="E1341" t="e">
        <f t="shared" si="61"/>
        <v>#N/A</v>
      </c>
      <c r="F1341" s="28" t="str">
        <f t="shared" ca="1" si="62"/>
        <v/>
      </c>
    </row>
    <row r="1342" spans="2:6" x14ac:dyDescent="0.2">
      <c r="B1342" t="str">
        <f>IFERROR(IF('PDCA review'!$D$2='Check'!B1342,'Check'!G1342,""),"")</f>
        <v/>
      </c>
      <c r="C1342">
        <f t="shared" si="60"/>
        <v>0</v>
      </c>
      <c r="D1342">
        <f>SUM($C$3:C1342)</f>
        <v>4</v>
      </c>
      <c r="E1342" t="e">
        <f t="shared" si="61"/>
        <v>#N/A</v>
      </c>
      <c r="F1342" s="28" t="str">
        <f t="shared" ca="1" si="62"/>
        <v/>
      </c>
    </row>
    <row r="1343" spans="2:6" x14ac:dyDescent="0.2">
      <c r="B1343" t="str">
        <f>IFERROR(IF('PDCA review'!$D$2='Check'!B1343,'Check'!G1343,""),"")</f>
        <v/>
      </c>
      <c r="C1343">
        <f t="shared" si="60"/>
        <v>0</v>
      </c>
      <c r="D1343">
        <f>SUM($C$3:C1343)</f>
        <v>4</v>
      </c>
      <c r="E1343" t="e">
        <f t="shared" si="61"/>
        <v>#N/A</v>
      </c>
      <c r="F1343" s="28" t="str">
        <f t="shared" ca="1" si="62"/>
        <v/>
      </c>
    </row>
    <row r="1344" spans="2:6" x14ac:dyDescent="0.2">
      <c r="B1344" t="str">
        <f>IFERROR(IF('PDCA review'!$D$2='Check'!B1344,'Check'!G1344,""),"")</f>
        <v/>
      </c>
      <c r="C1344">
        <f t="shared" si="60"/>
        <v>0</v>
      </c>
      <c r="D1344">
        <f>SUM($C$3:C1344)</f>
        <v>4</v>
      </c>
      <c r="E1344" t="e">
        <f t="shared" si="61"/>
        <v>#N/A</v>
      </c>
      <c r="F1344" s="28" t="str">
        <f t="shared" ca="1" si="62"/>
        <v/>
      </c>
    </row>
    <row r="1345" spans="2:6" x14ac:dyDescent="0.2">
      <c r="B1345" t="str">
        <f>IFERROR(IF('PDCA review'!$D$2='Check'!B1345,'Check'!G1345,""),"")</f>
        <v/>
      </c>
      <c r="C1345">
        <f t="shared" si="60"/>
        <v>0</v>
      </c>
      <c r="D1345">
        <f>SUM($C$3:C1345)</f>
        <v>4</v>
      </c>
      <c r="E1345" t="e">
        <f t="shared" si="61"/>
        <v>#N/A</v>
      </c>
      <c r="F1345" s="28" t="str">
        <f t="shared" ca="1" si="62"/>
        <v/>
      </c>
    </row>
    <row r="1346" spans="2:6" x14ac:dyDescent="0.2">
      <c r="B1346" t="str">
        <f>IFERROR(IF('PDCA review'!$D$2='Check'!B1346,'Check'!G1346,""),"")</f>
        <v/>
      </c>
      <c r="C1346">
        <f t="shared" si="60"/>
        <v>0</v>
      </c>
      <c r="D1346">
        <f>SUM($C$3:C1346)</f>
        <v>4</v>
      </c>
      <c r="E1346" t="e">
        <f t="shared" si="61"/>
        <v>#N/A</v>
      </c>
      <c r="F1346" s="28" t="str">
        <f t="shared" ca="1" si="62"/>
        <v/>
      </c>
    </row>
    <row r="1347" spans="2:6" x14ac:dyDescent="0.2">
      <c r="B1347" t="str">
        <f>IFERROR(IF('PDCA review'!$D$2='Check'!B1347,'Check'!G1347,""),"")</f>
        <v/>
      </c>
      <c r="C1347">
        <f t="shared" si="60"/>
        <v>0</v>
      </c>
      <c r="D1347">
        <f>SUM($C$3:C1347)</f>
        <v>4</v>
      </c>
      <c r="E1347" t="e">
        <f t="shared" si="61"/>
        <v>#N/A</v>
      </c>
      <c r="F1347" s="28" t="str">
        <f t="shared" ca="1" si="62"/>
        <v/>
      </c>
    </row>
    <row r="1348" spans="2:6" x14ac:dyDescent="0.2">
      <c r="B1348" t="str">
        <f>IFERROR(IF('PDCA review'!$D$2='Check'!B1348,'Check'!G1348,""),"")</f>
        <v/>
      </c>
      <c r="C1348">
        <f t="shared" ref="C1348:C1411" si="63">IF(B1348&lt;&gt;"",1,0)</f>
        <v>0</v>
      </c>
      <c r="D1348">
        <f>SUM($C$3:C1348)</f>
        <v>4</v>
      </c>
      <c r="E1348" t="e">
        <f t="shared" ref="E1348:E1411" si="64">MATCH(ROW()-$D$2,$D$3:$D$2000,0)+$D$2</f>
        <v>#N/A</v>
      </c>
      <c r="F1348" s="28" t="str">
        <f t="shared" ref="F1348:F1411" ca="1" si="65">IFERROR(INDIRECT("B"&amp;E1348),"")</f>
        <v/>
      </c>
    </row>
    <row r="1349" spans="2:6" x14ac:dyDescent="0.2">
      <c r="B1349" t="str">
        <f>IFERROR(IF('PDCA review'!$D$2='Check'!B1349,'Check'!G1349,""),"")</f>
        <v/>
      </c>
      <c r="C1349">
        <f t="shared" si="63"/>
        <v>0</v>
      </c>
      <c r="D1349">
        <f>SUM($C$3:C1349)</f>
        <v>4</v>
      </c>
      <c r="E1349" t="e">
        <f t="shared" si="64"/>
        <v>#N/A</v>
      </c>
      <c r="F1349" s="28" t="str">
        <f t="shared" ca="1" si="65"/>
        <v/>
      </c>
    </row>
    <row r="1350" spans="2:6" x14ac:dyDescent="0.2">
      <c r="B1350" t="str">
        <f>IFERROR(IF('PDCA review'!$D$2='Check'!B1350,'Check'!G1350,""),"")</f>
        <v/>
      </c>
      <c r="C1350">
        <f t="shared" si="63"/>
        <v>0</v>
      </c>
      <c r="D1350">
        <f>SUM($C$3:C1350)</f>
        <v>4</v>
      </c>
      <c r="E1350" t="e">
        <f t="shared" si="64"/>
        <v>#N/A</v>
      </c>
      <c r="F1350" s="28" t="str">
        <f t="shared" ca="1" si="65"/>
        <v/>
      </c>
    </row>
    <row r="1351" spans="2:6" x14ac:dyDescent="0.2">
      <c r="B1351" t="str">
        <f>IFERROR(IF('PDCA review'!$D$2='Check'!B1351,'Check'!G1351,""),"")</f>
        <v/>
      </c>
      <c r="C1351">
        <f t="shared" si="63"/>
        <v>0</v>
      </c>
      <c r="D1351">
        <f>SUM($C$3:C1351)</f>
        <v>4</v>
      </c>
      <c r="E1351" t="e">
        <f t="shared" si="64"/>
        <v>#N/A</v>
      </c>
      <c r="F1351" s="28" t="str">
        <f t="shared" ca="1" si="65"/>
        <v/>
      </c>
    </row>
    <row r="1352" spans="2:6" x14ac:dyDescent="0.2">
      <c r="B1352" t="str">
        <f>IFERROR(IF('PDCA review'!$D$2='Check'!B1352,'Check'!G1352,""),"")</f>
        <v/>
      </c>
      <c r="C1352">
        <f t="shared" si="63"/>
        <v>0</v>
      </c>
      <c r="D1352">
        <f>SUM($C$3:C1352)</f>
        <v>4</v>
      </c>
      <c r="E1352" t="e">
        <f t="shared" si="64"/>
        <v>#N/A</v>
      </c>
      <c r="F1352" s="28" t="str">
        <f t="shared" ca="1" si="65"/>
        <v/>
      </c>
    </row>
    <row r="1353" spans="2:6" x14ac:dyDescent="0.2">
      <c r="B1353" t="str">
        <f>IFERROR(IF('PDCA review'!$D$2='Check'!B1353,'Check'!G1353,""),"")</f>
        <v/>
      </c>
      <c r="C1353">
        <f t="shared" si="63"/>
        <v>0</v>
      </c>
      <c r="D1353">
        <f>SUM($C$3:C1353)</f>
        <v>4</v>
      </c>
      <c r="E1353" t="e">
        <f t="shared" si="64"/>
        <v>#N/A</v>
      </c>
      <c r="F1353" s="28" t="str">
        <f t="shared" ca="1" si="65"/>
        <v/>
      </c>
    </row>
    <row r="1354" spans="2:6" x14ac:dyDescent="0.2">
      <c r="B1354" t="str">
        <f>IFERROR(IF('PDCA review'!$D$2='Check'!B1354,'Check'!G1354,""),"")</f>
        <v/>
      </c>
      <c r="C1354">
        <f t="shared" si="63"/>
        <v>0</v>
      </c>
      <c r="D1354">
        <f>SUM($C$3:C1354)</f>
        <v>4</v>
      </c>
      <c r="E1354" t="e">
        <f t="shared" si="64"/>
        <v>#N/A</v>
      </c>
      <c r="F1354" s="28" t="str">
        <f t="shared" ca="1" si="65"/>
        <v/>
      </c>
    </row>
    <row r="1355" spans="2:6" x14ac:dyDescent="0.2">
      <c r="B1355" t="str">
        <f>IFERROR(IF('PDCA review'!$D$2='Check'!B1355,'Check'!G1355,""),"")</f>
        <v/>
      </c>
      <c r="C1355">
        <f t="shared" si="63"/>
        <v>0</v>
      </c>
      <c r="D1355">
        <f>SUM($C$3:C1355)</f>
        <v>4</v>
      </c>
      <c r="E1355" t="e">
        <f t="shared" si="64"/>
        <v>#N/A</v>
      </c>
      <c r="F1355" s="28" t="str">
        <f t="shared" ca="1" si="65"/>
        <v/>
      </c>
    </row>
    <row r="1356" spans="2:6" x14ac:dyDescent="0.2">
      <c r="B1356" t="str">
        <f>IFERROR(IF('PDCA review'!$D$2='Check'!B1356,'Check'!G1356,""),"")</f>
        <v/>
      </c>
      <c r="C1356">
        <f t="shared" si="63"/>
        <v>0</v>
      </c>
      <c r="D1356">
        <f>SUM($C$3:C1356)</f>
        <v>4</v>
      </c>
      <c r="E1356" t="e">
        <f t="shared" si="64"/>
        <v>#N/A</v>
      </c>
      <c r="F1356" s="28" t="str">
        <f t="shared" ca="1" si="65"/>
        <v/>
      </c>
    </row>
    <row r="1357" spans="2:6" x14ac:dyDescent="0.2">
      <c r="B1357" t="str">
        <f>IFERROR(IF('PDCA review'!$D$2='Check'!B1357,'Check'!G1357,""),"")</f>
        <v/>
      </c>
      <c r="C1357">
        <f t="shared" si="63"/>
        <v>0</v>
      </c>
      <c r="D1357">
        <f>SUM($C$3:C1357)</f>
        <v>4</v>
      </c>
      <c r="E1357" t="e">
        <f t="shared" si="64"/>
        <v>#N/A</v>
      </c>
      <c r="F1357" s="28" t="str">
        <f t="shared" ca="1" si="65"/>
        <v/>
      </c>
    </row>
    <row r="1358" spans="2:6" x14ac:dyDescent="0.2">
      <c r="B1358" t="str">
        <f>IFERROR(IF('PDCA review'!$D$2='Check'!B1358,'Check'!G1358,""),"")</f>
        <v/>
      </c>
      <c r="C1358">
        <f t="shared" si="63"/>
        <v>0</v>
      </c>
      <c r="D1358">
        <f>SUM($C$3:C1358)</f>
        <v>4</v>
      </c>
      <c r="E1358" t="e">
        <f t="shared" si="64"/>
        <v>#N/A</v>
      </c>
      <c r="F1358" s="28" t="str">
        <f t="shared" ca="1" si="65"/>
        <v/>
      </c>
    </row>
    <row r="1359" spans="2:6" x14ac:dyDescent="0.2">
      <c r="B1359" t="str">
        <f>IFERROR(IF('PDCA review'!$D$2='Check'!B1359,'Check'!G1359,""),"")</f>
        <v/>
      </c>
      <c r="C1359">
        <f t="shared" si="63"/>
        <v>0</v>
      </c>
      <c r="D1359">
        <f>SUM($C$3:C1359)</f>
        <v>4</v>
      </c>
      <c r="E1359" t="e">
        <f t="shared" si="64"/>
        <v>#N/A</v>
      </c>
      <c r="F1359" s="28" t="str">
        <f t="shared" ca="1" si="65"/>
        <v/>
      </c>
    </row>
    <row r="1360" spans="2:6" x14ac:dyDescent="0.2">
      <c r="B1360" t="str">
        <f>IFERROR(IF('PDCA review'!$D$2='Check'!B1360,'Check'!G1360,""),"")</f>
        <v/>
      </c>
      <c r="C1360">
        <f t="shared" si="63"/>
        <v>0</v>
      </c>
      <c r="D1360">
        <f>SUM($C$3:C1360)</f>
        <v>4</v>
      </c>
      <c r="E1360" t="e">
        <f t="shared" si="64"/>
        <v>#N/A</v>
      </c>
      <c r="F1360" s="28" t="str">
        <f t="shared" ca="1" si="65"/>
        <v/>
      </c>
    </row>
    <row r="1361" spans="2:6" x14ac:dyDescent="0.2">
      <c r="B1361" t="str">
        <f>IFERROR(IF('PDCA review'!$D$2='Check'!B1361,'Check'!G1361,""),"")</f>
        <v/>
      </c>
      <c r="C1361">
        <f t="shared" si="63"/>
        <v>0</v>
      </c>
      <c r="D1361">
        <f>SUM($C$3:C1361)</f>
        <v>4</v>
      </c>
      <c r="E1361" t="e">
        <f t="shared" si="64"/>
        <v>#N/A</v>
      </c>
      <c r="F1361" s="28" t="str">
        <f t="shared" ca="1" si="65"/>
        <v/>
      </c>
    </row>
    <row r="1362" spans="2:6" x14ac:dyDescent="0.2">
      <c r="B1362" t="str">
        <f>IFERROR(IF('PDCA review'!$D$2='Check'!B1362,'Check'!G1362,""),"")</f>
        <v/>
      </c>
      <c r="C1362">
        <f t="shared" si="63"/>
        <v>0</v>
      </c>
      <c r="D1362">
        <f>SUM($C$3:C1362)</f>
        <v>4</v>
      </c>
      <c r="E1362" t="e">
        <f t="shared" si="64"/>
        <v>#N/A</v>
      </c>
      <c r="F1362" s="28" t="str">
        <f t="shared" ca="1" si="65"/>
        <v/>
      </c>
    </row>
    <row r="1363" spans="2:6" x14ac:dyDescent="0.2">
      <c r="B1363" t="str">
        <f>IFERROR(IF('PDCA review'!$D$2='Check'!B1363,'Check'!G1363,""),"")</f>
        <v/>
      </c>
      <c r="C1363">
        <f t="shared" si="63"/>
        <v>0</v>
      </c>
      <c r="D1363">
        <f>SUM($C$3:C1363)</f>
        <v>4</v>
      </c>
      <c r="E1363" t="e">
        <f t="shared" si="64"/>
        <v>#N/A</v>
      </c>
      <c r="F1363" s="28" t="str">
        <f t="shared" ca="1" si="65"/>
        <v/>
      </c>
    </row>
    <row r="1364" spans="2:6" x14ac:dyDescent="0.2">
      <c r="B1364" t="str">
        <f>IFERROR(IF('PDCA review'!$D$2='Check'!B1364,'Check'!G1364,""),"")</f>
        <v/>
      </c>
      <c r="C1364">
        <f t="shared" si="63"/>
        <v>0</v>
      </c>
      <c r="D1364">
        <f>SUM($C$3:C1364)</f>
        <v>4</v>
      </c>
      <c r="E1364" t="e">
        <f t="shared" si="64"/>
        <v>#N/A</v>
      </c>
      <c r="F1364" s="28" t="str">
        <f t="shared" ca="1" si="65"/>
        <v/>
      </c>
    </row>
    <row r="1365" spans="2:6" x14ac:dyDescent="0.2">
      <c r="B1365" t="str">
        <f>IFERROR(IF('PDCA review'!$D$2='Check'!B1365,'Check'!G1365,""),"")</f>
        <v/>
      </c>
      <c r="C1365">
        <f t="shared" si="63"/>
        <v>0</v>
      </c>
      <c r="D1365">
        <f>SUM($C$3:C1365)</f>
        <v>4</v>
      </c>
      <c r="E1365" t="e">
        <f t="shared" si="64"/>
        <v>#N/A</v>
      </c>
      <c r="F1365" s="28" t="str">
        <f t="shared" ca="1" si="65"/>
        <v/>
      </c>
    </row>
    <row r="1366" spans="2:6" x14ac:dyDescent="0.2">
      <c r="B1366" t="str">
        <f>IFERROR(IF('PDCA review'!$D$2='Check'!B1366,'Check'!G1366,""),"")</f>
        <v/>
      </c>
      <c r="C1366">
        <f t="shared" si="63"/>
        <v>0</v>
      </c>
      <c r="D1366">
        <f>SUM($C$3:C1366)</f>
        <v>4</v>
      </c>
      <c r="E1366" t="e">
        <f t="shared" si="64"/>
        <v>#N/A</v>
      </c>
      <c r="F1366" s="28" t="str">
        <f t="shared" ca="1" si="65"/>
        <v/>
      </c>
    </row>
    <row r="1367" spans="2:6" x14ac:dyDescent="0.2">
      <c r="B1367" t="str">
        <f>IFERROR(IF('PDCA review'!$D$2='Check'!B1367,'Check'!G1367,""),"")</f>
        <v/>
      </c>
      <c r="C1367">
        <f t="shared" si="63"/>
        <v>0</v>
      </c>
      <c r="D1367">
        <f>SUM($C$3:C1367)</f>
        <v>4</v>
      </c>
      <c r="E1367" t="e">
        <f t="shared" si="64"/>
        <v>#N/A</v>
      </c>
      <c r="F1367" s="28" t="str">
        <f t="shared" ca="1" si="65"/>
        <v/>
      </c>
    </row>
    <row r="1368" spans="2:6" x14ac:dyDescent="0.2">
      <c r="B1368" t="str">
        <f>IFERROR(IF('PDCA review'!$D$2='Check'!B1368,'Check'!G1368,""),"")</f>
        <v/>
      </c>
      <c r="C1368">
        <f t="shared" si="63"/>
        <v>0</v>
      </c>
      <c r="D1368">
        <f>SUM($C$3:C1368)</f>
        <v>4</v>
      </c>
      <c r="E1368" t="e">
        <f t="shared" si="64"/>
        <v>#N/A</v>
      </c>
      <c r="F1368" s="28" t="str">
        <f t="shared" ca="1" si="65"/>
        <v/>
      </c>
    </row>
    <row r="1369" spans="2:6" x14ac:dyDescent="0.2">
      <c r="B1369" t="str">
        <f>IFERROR(IF('PDCA review'!$D$2='Check'!B1369,'Check'!G1369,""),"")</f>
        <v/>
      </c>
      <c r="C1369">
        <f t="shared" si="63"/>
        <v>0</v>
      </c>
      <c r="D1369">
        <f>SUM($C$3:C1369)</f>
        <v>4</v>
      </c>
      <c r="E1369" t="e">
        <f t="shared" si="64"/>
        <v>#N/A</v>
      </c>
      <c r="F1369" s="28" t="str">
        <f t="shared" ca="1" si="65"/>
        <v/>
      </c>
    </row>
    <row r="1370" spans="2:6" x14ac:dyDescent="0.2">
      <c r="B1370" t="str">
        <f>IFERROR(IF('PDCA review'!$D$2='Check'!B1370,'Check'!G1370,""),"")</f>
        <v/>
      </c>
      <c r="C1370">
        <f t="shared" si="63"/>
        <v>0</v>
      </c>
      <c r="D1370">
        <f>SUM($C$3:C1370)</f>
        <v>4</v>
      </c>
      <c r="E1370" t="e">
        <f t="shared" si="64"/>
        <v>#N/A</v>
      </c>
      <c r="F1370" s="28" t="str">
        <f t="shared" ca="1" si="65"/>
        <v/>
      </c>
    </row>
    <row r="1371" spans="2:6" x14ac:dyDescent="0.2">
      <c r="B1371" t="str">
        <f>IFERROR(IF('PDCA review'!$D$2='Check'!B1371,'Check'!G1371,""),"")</f>
        <v/>
      </c>
      <c r="C1371">
        <f t="shared" si="63"/>
        <v>0</v>
      </c>
      <c r="D1371">
        <f>SUM($C$3:C1371)</f>
        <v>4</v>
      </c>
      <c r="E1371" t="e">
        <f t="shared" si="64"/>
        <v>#N/A</v>
      </c>
      <c r="F1371" s="28" t="str">
        <f t="shared" ca="1" si="65"/>
        <v/>
      </c>
    </row>
    <row r="1372" spans="2:6" x14ac:dyDescent="0.2">
      <c r="B1372" t="str">
        <f>IFERROR(IF('PDCA review'!$D$2='Check'!B1372,'Check'!G1372,""),"")</f>
        <v/>
      </c>
      <c r="C1372">
        <f t="shared" si="63"/>
        <v>0</v>
      </c>
      <c r="D1372">
        <f>SUM($C$3:C1372)</f>
        <v>4</v>
      </c>
      <c r="E1372" t="e">
        <f t="shared" si="64"/>
        <v>#N/A</v>
      </c>
      <c r="F1372" s="28" t="str">
        <f t="shared" ca="1" si="65"/>
        <v/>
      </c>
    </row>
    <row r="1373" spans="2:6" x14ac:dyDescent="0.2">
      <c r="B1373" t="str">
        <f>IFERROR(IF('PDCA review'!$D$2='Check'!B1373,'Check'!G1373,""),"")</f>
        <v/>
      </c>
      <c r="C1373">
        <f t="shared" si="63"/>
        <v>0</v>
      </c>
      <c r="D1373">
        <f>SUM($C$3:C1373)</f>
        <v>4</v>
      </c>
      <c r="E1373" t="e">
        <f t="shared" si="64"/>
        <v>#N/A</v>
      </c>
      <c r="F1373" s="28" t="str">
        <f t="shared" ca="1" si="65"/>
        <v/>
      </c>
    </row>
    <row r="1374" spans="2:6" x14ac:dyDescent="0.2">
      <c r="B1374" t="str">
        <f>IFERROR(IF('PDCA review'!$D$2='Check'!B1374,'Check'!G1374,""),"")</f>
        <v/>
      </c>
      <c r="C1374">
        <f t="shared" si="63"/>
        <v>0</v>
      </c>
      <c r="D1374">
        <f>SUM($C$3:C1374)</f>
        <v>4</v>
      </c>
      <c r="E1374" t="e">
        <f t="shared" si="64"/>
        <v>#N/A</v>
      </c>
      <c r="F1374" s="28" t="str">
        <f t="shared" ca="1" si="65"/>
        <v/>
      </c>
    </row>
    <row r="1375" spans="2:6" x14ac:dyDescent="0.2">
      <c r="B1375" t="str">
        <f>IFERROR(IF('PDCA review'!$D$2='Check'!B1375,'Check'!G1375,""),"")</f>
        <v/>
      </c>
      <c r="C1375">
        <f t="shared" si="63"/>
        <v>0</v>
      </c>
      <c r="D1375">
        <f>SUM($C$3:C1375)</f>
        <v>4</v>
      </c>
      <c r="E1375" t="e">
        <f t="shared" si="64"/>
        <v>#N/A</v>
      </c>
      <c r="F1375" s="28" t="str">
        <f t="shared" ca="1" si="65"/>
        <v/>
      </c>
    </row>
    <row r="1376" spans="2:6" x14ac:dyDescent="0.2">
      <c r="B1376" t="str">
        <f>IFERROR(IF('PDCA review'!$D$2='Check'!B1376,'Check'!G1376,""),"")</f>
        <v/>
      </c>
      <c r="C1376">
        <f t="shared" si="63"/>
        <v>0</v>
      </c>
      <c r="D1376">
        <f>SUM($C$3:C1376)</f>
        <v>4</v>
      </c>
      <c r="E1376" t="e">
        <f t="shared" si="64"/>
        <v>#N/A</v>
      </c>
      <c r="F1376" s="28" t="str">
        <f t="shared" ca="1" si="65"/>
        <v/>
      </c>
    </row>
    <row r="1377" spans="2:6" x14ac:dyDescent="0.2">
      <c r="B1377" t="str">
        <f>IFERROR(IF('PDCA review'!$D$2='Check'!B1377,'Check'!G1377,""),"")</f>
        <v/>
      </c>
      <c r="C1377">
        <f t="shared" si="63"/>
        <v>0</v>
      </c>
      <c r="D1377">
        <f>SUM($C$3:C1377)</f>
        <v>4</v>
      </c>
      <c r="E1377" t="e">
        <f t="shared" si="64"/>
        <v>#N/A</v>
      </c>
      <c r="F1377" s="28" t="str">
        <f t="shared" ca="1" si="65"/>
        <v/>
      </c>
    </row>
    <row r="1378" spans="2:6" x14ac:dyDescent="0.2">
      <c r="B1378" t="str">
        <f>IFERROR(IF('PDCA review'!$D$2='Check'!B1378,'Check'!G1378,""),"")</f>
        <v/>
      </c>
      <c r="C1378">
        <f t="shared" si="63"/>
        <v>0</v>
      </c>
      <c r="D1378">
        <f>SUM($C$3:C1378)</f>
        <v>4</v>
      </c>
      <c r="E1378" t="e">
        <f t="shared" si="64"/>
        <v>#N/A</v>
      </c>
      <c r="F1378" s="28" t="str">
        <f t="shared" ca="1" si="65"/>
        <v/>
      </c>
    </row>
    <row r="1379" spans="2:6" x14ac:dyDescent="0.2">
      <c r="B1379" t="str">
        <f>IFERROR(IF('PDCA review'!$D$2='Check'!B1379,'Check'!G1379,""),"")</f>
        <v/>
      </c>
      <c r="C1379">
        <f t="shared" si="63"/>
        <v>0</v>
      </c>
      <c r="D1379">
        <f>SUM($C$3:C1379)</f>
        <v>4</v>
      </c>
      <c r="E1379" t="e">
        <f t="shared" si="64"/>
        <v>#N/A</v>
      </c>
      <c r="F1379" s="28" t="str">
        <f t="shared" ca="1" si="65"/>
        <v/>
      </c>
    </row>
    <row r="1380" spans="2:6" x14ac:dyDescent="0.2">
      <c r="B1380" t="str">
        <f>IFERROR(IF('PDCA review'!$D$2='Check'!B1380,'Check'!G1380,""),"")</f>
        <v/>
      </c>
      <c r="C1380">
        <f t="shared" si="63"/>
        <v>0</v>
      </c>
      <c r="D1380">
        <f>SUM($C$3:C1380)</f>
        <v>4</v>
      </c>
      <c r="E1380" t="e">
        <f t="shared" si="64"/>
        <v>#N/A</v>
      </c>
      <c r="F1380" s="28" t="str">
        <f t="shared" ca="1" si="65"/>
        <v/>
      </c>
    </row>
    <row r="1381" spans="2:6" x14ac:dyDescent="0.2">
      <c r="B1381" t="str">
        <f>IFERROR(IF('PDCA review'!$D$2='Check'!B1381,'Check'!G1381,""),"")</f>
        <v/>
      </c>
      <c r="C1381">
        <f t="shared" si="63"/>
        <v>0</v>
      </c>
      <c r="D1381">
        <f>SUM($C$3:C1381)</f>
        <v>4</v>
      </c>
      <c r="E1381" t="e">
        <f t="shared" si="64"/>
        <v>#N/A</v>
      </c>
      <c r="F1381" s="28" t="str">
        <f t="shared" ca="1" si="65"/>
        <v/>
      </c>
    </row>
    <row r="1382" spans="2:6" x14ac:dyDescent="0.2">
      <c r="B1382" t="str">
        <f>IFERROR(IF('PDCA review'!$D$2='Check'!B1382,'Check'!G1382,""),"")</f>
        <v/>
      </c>
      <c r="C1382">
        <f t="shared" si="63"/>
        <v>0</v>
      </c>
      <c r="D1382">
        <f>SUM($C$3:C1382)</f>
        <v>4</v>
      </c>
      <c r="E1382" t="e">
        <f t="shared" si="64"/>
        <v>#N/A</v>
      </c>
      <c r="F1382" s="28" t="str">
        <f t="shared" ca="1" si="65"/>
        <v/>
      </c>
    </row>
    <row r="1383" spans="2:6" x14ac:dyDescent="0.2">
      <c r="B1383" t="str">
        <f>IFERROR(IF('PDCA review'!$D$2='Check'!B1383,'Check'!G1383,""),"")</f>
        <v/>
      </c>
      <c r="C1383">
        <f t="shared" si="63"/>
        <v>0</v>
      </c>
      <c r="D1383">
        <f>SUM($C$3:C1383)</f>
        <v>4</v>
      </c>
      <c r="E1383" t="e">
        <f t="shared" si="64"/>
        <v>#N/A</v>
      </c>
      <c r="F1383" s="28" t="str">
        <f t="shared" ca="1" si="65"/>
        <v/>
      </c>
    </row>
    <row r="1384" spans="2:6" x14ac:dyDescent="0.2">
      <c r="B1384" t="str">
        <f>IFERROR(IF('PDCA review'!$D$2='Check'!B1384,'Check'!G1384,""),"")</f>
        <v/>
      </c>
      <c r="C1384">
        <f t="shared" si="63"/>
        <v>0</v>
      </c>
      <c r="D1384">
        <f>SUM($C$3:C1384)</f>
        <v>4</v>
      </c>
      <c r="E1384" t="e">
        <f t="shared" si="64"/>
        <v>#N/A</v>
      </c>
      <c r="F1384" s="28" t="str">
        <f t="shared" ca="1" si="65"/>
        <v/>
      </c>
    </row>
    <row r="1385" spans="2:6" x14ac:dyDescent="0.2">
      <c r="B1385" t="str">
        <f>IFERROR(IF('PDCA review'!$D$2='Check'!B1385,'Check'!G1385,""),"")</f>
        <v/>
      </c>
      <c r="C1385">
        <f t="shared" si="63"/>
        <v>0</v>
      </c>
      <c r="D1385">
        <f>SUM($C$3:C1385)</f>
        <v>4</v>
      </c>
      <c r="E1385" t="e">
        <f t="shared" si="64"/>
        <v>#N/A</v>
      </c>
      <c r="F1385" s="28" t="str">
        <f t="shared" ca="1" si="65"/>
        <v/>
      </c>
    </row>
    <row r="1386" spans="2:6" x14ac:dyDescent="0.2">
      <c r="B1386" t="str">
        <f>IFERROR(IF('PDCA review'!$D$2='Check'!B1386,'Check'!G1386,""),"")</f>
        <v/>
      </c>
      <c r="C1386">
        <f t="shared" si="63"/>
        <v>0</v>
      </c>
      <c r="D1386">
        <f>SUM($C$3:C1386)</f>
        <v>4</v>
      </c>
      <c r="E1386" t="e">
        <f t="shared" si="64"/>
        <v>#N/A</v>
      </c>
      <c r="F1386" s="28" t="str">
        <f t="shared" ca="1" si="65"/>
        <v/>
      </c>
    </row>
    <row r="1387" spans="2:6" x14ac:dyDescent="0.2">
      <c r="B1387" t="str">
        <f>IFERROR(IF('PDCA review'!$D$2='Check'!B1387,'Check'!G1387,""),"")</f>
        <v/>
      </c>
      <c r="C1387">
        <f t="shared" si="63"/>
        <v>0</v>
      </c>
      <c r="D1387">
        <f>SUM($C$3:C1387)</f>
        <v>4</v>
      </c>
      <c r="E1387" t="e">
        <f t="shared" si="64"/>
        <v>#N/A</v>
      </c>
      <c r="F1387" s="28" t="str">
        <f t="shared" ca="1" si="65"/>
        <v/>
      </c>
    </row>
    <row r="1388" spans="2:6" x14ac:dyDescent="0.2">
      <c r="B1388" t="str">
        <f>IFERROR(IF('PDCA review'!$D$2='Check'!B1388,'Check'!G1388,""),"")</f>
        <v/>
      </c>
      <c r="C1388">
        <f t="shared" si="63"/>
        <v>0</v>
      </c>
      <c r="D1388">
        <f>SUM($C$3:C1388)</f>
        <v>4</v>
      </c>
      <c r="E1388" t="e">
        <f t="shared" si="64"/>
        <v>#N/A</v>
      </c>
      <c r="F1388" s="28" t="str">
        <f t="shared" ca="1" si="65"/>
        <v/>
      </c>
    </row>
    <row r="1389" spans="2:6" x14ac:dyDescent="0.2">
      <c r="B1389" t="str">
        <f>IFERROR(IF('PDCA review'!$D$2='Check'!B1389,'Check'!G1389,""),"")</f>
        <v/>
      </c>
      <c r="C1389">
        <f t="shared" si="63"/>
        <v>0</v>
      </c>
      <c r="D1389">
        <f>SUM($C$3:C1389)</f>
        <v>4</v>
      </c>
      <c r="E1389" t="e">
        <f t="shared" si="64"/>
        <v>#N/A</v>
      </c>
      <c r="F1389" s="28" t="str">
        <f t="shared" ca="1" si="65"/>
        <v/>
      </c>
    </row>
    <row r="1390" spans="2:6" x14ac:dyDescent="0.2">
      <c r="B1390" t="str">
        <f>IFERROR(IF('PDCA review'!$D$2='Check'!B1390,'Check'!G1390,""),"")</f>
        <v/>
      </c>
      <c r="C1390">
        <f t="shared" si="63"/>
        <v>0</v>
      </c>
      <c r="D1390">
        <f>SUM($C$3:C1390)</f>
        <v>4</v>
      </c>
      <c r="E1390" t="e">
        <f t="shared" si="64"/>
        <v>#N/A</v>
      </c>
      <c r="F1390" s="28" t="str">
        <f t="shared" ca="1" si="65"/>
        <v/>
      </c>
    </row>
    <row r="1391" spans="2:6" x14ac:dyDescent="0.2">
      <c r="B1391" t="str">
        <f>IFERROR(IF('PDCA review'!$D$2='Check'!B1391,'Check'!G1391,""),"")</f>
        <v/>
      </c>
      <c r="C1391">
        <f t="shared" si="63"/>
        <v>0</v>
      </c>
      <c r="D1391">
        <f>SUM($C$3:C1391)</f>
        <v>4</v>
      </c>
      <c r="E1391" t="e">
        <f t="shared" si="64"/>
        <v>#N/A</v>
      </c>
      <c r="F1391" s="28" t="str">
        <f t="shared" ca="1" si="65"/>
        <v/>
      </c>
    </row>
    <row r="1392" spans="2:6" x14ac:dyDescent="0.2">
      <c r="B1392" t="str">
        <f>IFERROR(IF('PDCA review'!$D$2='Check'!B1392,'Check'!G1392,""),"")</f>
        <v/>
      </c>
      <c r="C1392">
        <f t="shared" si="63"/>
        <v>0</v>
      </c>
      <c r="D1392">
        <f>SUM($C$3:C1392)</f>
        <v>4</v>
      </c>
      <c r="E1392" t="e">
        <f t="shared" si="64"/>
        <v>#N/A</v>
      </c>
      <c r="F1392" s="28" t="str">
        <f t="shared" ca="1" si="65"/>
        <v/>
      </c>
    </row>
    <row r="1393" spans="2:6" x14ac:dyDescent="0.2">
      <c r="B1393" t="str">
        <f>IFERROR(IF('PDCA review'!$D$2='Check'!B1393,'Check'!G1393,""),"")</f>
        <v/>
      </c>
      <c r="C1393">
        <f t="shared" si="63"/>
        <v>0</v>
      </c>
      <c r="D1393">
        <f>SUM($C$3:C1393)</f>
        <v>4</v>
      </c>
      <c r="E1393" t="e">
        <f t="shared" si="64"/>
        <v>#N/A</v>
      </c>
      <c r="F1393" s="28" t="str">
        <f t="shared" ca="1" si="65"/>
        <v/>
      </c>
    </row>
    <row r="1394" spans="2:6" x14ac:dyDescent="0.2">
      <c r="B1394" t="str">
        <f>IFERROR(IF('PDCA review'!$D$2='Check'!B1394,'Check'!G1394,""),"")</f>
        <v/>
      </c>
      <c r="C1394">
        <f t="shared" si="63"/>
        <v>0</v>
      </c>
      <c r="D1394">
        <f>SUM($C$3:C1394)</f>
        <v>4</v>
      </c>
      <c r="E1394" t="e">
        <f t="shared" si="64"/>
        <v>#N/A</v>
      </c>
      <c r="F1394" s="28" t="str">
        <f t="shared" ca="1" si="65"/>
        <v/>
      </c>
    </row>
    <row r="1395" spans="2:6" x14ac:dyDescent="0.2">
      <c r="B1395" t="str">
        <f>IFERROR(IF('PDCA review'!$D$2='Check'!B1395,'Check'!G1395,""),"")</f>
        <v/>
      </c>
      <c r="C1395">
        <f t="shared" si="63"/>
        <v>0</v>
      </c>
      <c r="D1395">
        <f>SUM($C$3:C1395)</f>
        <v>4</v>
      </c>
      <c r="E1395" t="e">
        <f t="shared" si="64"/>
        <v>#N/A</v>
      </c>
      <c r="F1395" s="28" t="str">
        <f t="shared" ca="1" si="65"/>
        <v/>
      </c>
    </row>
    <row r="1396" spans="2:6" x14ac:dyDescent="0.2">
      <c r="B1396" t="str">
        <f>IFERROR(IF('PDCA review'!$D$2='Check'!B1396,'Check'!G1396,""),"")</f>
        <v/>
      </c>
      <c r="C1396">
        <f t="shared" si="63"/>
        <v>0</v>
      </c>
      <c r="D1396">
        <f>SUM($C$3:C1396)</f>
        <v>4</v>
      </c>
      <c r="E1396" t="e">
        <f t="shared" si="64"/>
        <v>#N/A</v>
      </c>
      <c r="F1396" s="28" t="str">
        <f t="shared" ca="1" si="65"/>
        <v/>
      </c>
    </row>
    <row r="1397" spans="2:6" x14ac:dyDescent="0.2">
      <c r="B1397" t="str">
        <f>IFERROR(IF('PDCA review'!$D$2='Check'!B1397,'Check'!G1397,""),"")</f>
        <v/>
      </c>
      <c r="C1397">
        <f t="shared" si="63"/>
        <v>0</v>
      </c>
      <c r="D1397">
        <f>SUM($C$3:C1397)</f>
        <v>4</v>
      </c>
      <c r="E1397" t="e">
        <f t="shared" si="64"/>
        <v>#N/A</v>
      </c>
      <c r="F1397" s="28" t="str">
        <f t="shared" ca="1" si="65"/>
        <v/>
      </c>
    </row>
    <row r="1398" spans="2:6" x14ac:dyDescent="0.2">
      <c r="B1398" t="str">
        <f>IFERROR(IF('PDCA review'!$D$2='Check'!B1398,'Check'!G1398,""),"")</f>
        <v/>
      </c>
      <c r="C1398">
        <f t="shared" si="63"/>
        <v>0</v>
      </c>
      <c r="D1398">
        <f>SUM($C$3:C1398)</f>
        <v>4</v>
      </c>
      <c r="E1398" t="e">
        <f t="shared" si="64"/>
        <v>#N/A</v>
      </c>
      <c r="F1398" s="28" t="str">
        <f t="shared" ca="1" si="65"/>
        <v/>
      </c>
    </row>
    <row r="1399" spans="2:6" x14ac:dyDescent="0.2">
      <c r="B1399" t="str">
        <f>IFERROR(IF('PDCA review'!$D$2='Check'!B1399,'Check'!G1399,""),"")</f>
        <v/>
      </c>
      <c r="C1399">
        <f t="shared" si="63"/>
        <v>0</v>
      </c>
      <c r="D1399">
        <f>SUM($C$3:C1399)</f>
        <v>4</v>
      </c>
      <c r="E1399" t="e">
        <f t="shared" si="64"/>
        <v>#N/A</v>
      </c>
      <c r="F1399" s="28" t="str">
        <f t="shared" ca="1" si="65"/>
        <v/>
      </c>
    </row>
    <row r="1400" spans="2:6" x14ac:dyDescent="0.2">
      <c r="B1400" t="str">
        <f>IFERROR(IF('PDCA review'!$D$2='Check'!B1400,'Check'!G1400,""),"")</f>
        <v/>
      </c>
      <c r="C1400">
        <f t="shared" si="63"/>
        <v>0</v>
      </c>
      <c r="D1400">
        <f>SUM($C$3:C1400)</f>
        <v>4</v>
      </c>
      <c r="E1400" t="e">
        <f t="shared" si="64"/>
        <v>#N/A</v>
      </c>
      <c r="F1400" s="28" t="str">
        <f t="shared" ca="1" si="65"/>
        <v/>
      </c>
    </row>
    <row r="1401" spans="2:6" x14ac:dyDescent="0.2">
      <c r="B1401" t="str">
        <f>IFERROR(IF('PDCA review'!$D$2='Check'!B1401,'Check'!G1401,""),"")</f>
        <v/>
      </c>
      <c r="C1401">
        <f t="shared" si="63"/>
        <v>0</v>
      </c>
      <c r="D1401">
        <f>SUM($C$3:C1401)</f>
        <v>4</v>
      </c>
      <c r="E1401" t="e">
        <f t="shared" si="64"/>
        <v>#N/A</v>
      </c>
      <c r="F1401" s="28" t="str">
        <f t="shared" ca="1" si="65"/>
        <v/>
      </c>
    </row>
    <row r="1402" spans="2:6" x14ac:dyDescent="0.2">
      <c r="B1402" t="str">
        <f>IFERROR(IF('PDCA review'!$D$2='Check'!B1402,'Check'!G1402,""),"")</f>
        <v/>
      </c>
      <c r="C1402">
        <f t="shared" si="63"/>
        <v>0</v>
      </c>
      <c r="D1402">
        <f>SUM($C$3:C1402)</f>
        <v>4</v>
      </c>
      <c r="E1402" t="e">
        <f t="shared" si="64"/>
        <v>#N/A</v>
      </c>
      <c r="F1402" s="28" t="str">
        <f t="shared" ca="1" si="65"/>
        <v/>
      </c>
    </row>
    <row r="1403" spans="2:6" x14ac:dyDescent="0.2">
      <c r="B1403" t="str">
        <f>IFERROR(IF('PDCA review'!$D$2='Check'!B1403,'Check'!G1403,""),"")</f>
        <v/>
      </c>
      <c r="C1403">
        <f t="shared" si="63"/>
        <v>0</v>
      </c>
      <c r="D1403">
        <f>SUM($C$3:C1403)</f>
        <v>4</v>
      </c>
      <c r="E1403" t="e">
        <f t="shared" si="64"/>
        <v>#N/A</v>
      </c>
      <c r="F1403" s="28" t="str">
        <f t="shared" ca="1" si="65"/>
        <v/>
      </c>
    </row>
    <row r="1404" spans="2:6" x14ac:dyDescent="0.2">
      <c r="B1404" t="str">
        <f>IFERROR(IF('PDCA review'!$D$2='Check'!B1404,'Check'!G1404,""),"")</f>
        <v/>
      </c>
      <c r="C1404">
        <f t="shared" si="63"/>
        <v>0</v>
      </c>
      <c r="D1404">
        <f>SUM($C$3:C1404)</f>
        <v>4</v>
      </c>
      <c r="E1404" t="e">
        <f t="shared" si="64"/>
        <v>#N/A</v>
      </c>
      <c r="F1404" s="28" t="str">
        <f t="shared" ca="1" si="65"/>
        <v/>
      </c>
    </row>
    <row r="1405" spans="2:6" x14ac:dyDescent="0.2">
      <c r="B1405" t="str">
        <f>IFERROR(IF('PDCA review'!$D$2='Check'!B1405,'Check'!G1405,""),"")</f>
        <v/>
      </c>
      <c r="C1405">
        <f t="shared" si="63"/>
        <v>0</v>
      </c>
      <c r="D1405">
        <f>SUM($C$3:C1405)</f>
        <v>4</v>
      </c>
      <c r="E1405" t="e">
        <f t="shared" si="64"/>
        <v>#N/A</v>
      </c>
      <c r="F1405" s="28" t="str">
        <f t="shared" ca="1" si="65"/>
        <v/>
      </c>
    </row>
    <row r="1406" spans="2:6" x14ac:dyDescent="0.2">
      <c r="B1406" t="str">
        <f>IFERROR(IF('PDCA review'!$D$2='Check'!B1406,'Check'!G1406,""),"")</f>
        <v/>
      </c>
      <c r="C1406">
        <f t="shared" si="63"/>
        <v>0</v>
      </c>
      <c r="D1406">
        <f>SUM($C$3:C1406)</f>
        <v>4</v>
      </c>
      <c r="E1406" t="e">
        <f t="shared" si="64"/>
        <v>#N/A</v>
      </c>
      <c r="F1406" s="28" t="str">
        <f t="shared" ca="1" si="65"/>
        <v/>
      </c>
    </row>
    <row r="1407" spans="2:6" x14ac:dyDescent="0.2">
      <c r="B1407" t="str">
        <f>IFERROR(IF('PDCA review'!$D$2='Check'!B1407,'Check'!G1407,""),"")</f>
        <v/>
      </c>
      <c r="C1407">
        <f t="shared" si="63"/>
        <v>0</v>
      </c>
      <c r="D1407">
        <f>SUM($C$3:C1407)</f>
        <v>4</v>
      </c>
      <c r="E1407" t="e">
        <f t="shared" si="64"/>
        <v>#N/A</v>
      </c>
      <c r="F1407" s="28" t="str">
        <f t="shared" ca="1" si="65"/>
        <v/>
      </c>
    </row>
    <row r="1408" spans="2:6" x14ac:dyDescent="0.2">
      <c r="B1408" t="str">
        <f>IFERROR(IF('PDCA review'!$D$2='Check'!B1408,'Check'!G1408,""),"")</f>
        <v/>
      </c>
      <c r="C1408">
        <f t="shared" si="63"/>
        <v>0</v>
      </c>
      <c r="D1408">
        <f>SUM($C$3:C1408)</f>
        <v>4</v>
      </c>
      <c r="E1408" t="e">
        <f t="shared" si="64"/>
        <v>#N/A</v>
      </c>
      <c r="F1408" s="28" t="str">
        <f t="shared" ca="1" si="65"/>
        <v/>
      </c>
    </row>
    <row r="1409" spans="2:6" x14ac:dyDescent="0.2">
      <c r="B1409" t="str">
        <f>IFERROR(IF('PDCA review'!$D$2='Check'!B1409,'Check'!G1409,""),"")</f>
        <v/>
      </c>
      <c r="C1409">
        <f t="shared" si="63"/>
        <v>0</v>
      </c>
      <c r="D1409">
        <f>SUM($C$3:C1409)</f>
        <v>4</v>
      </c>
      <c r="E1409" t="e">
        <f t="shared" si="64"/>
        <v>#N/A</v>
      </c>
      <c r="F1409" s="28" t="str">
        <f t="shared" ca="1" si="65"/>
        <v/>
      </c>
    </row>
    <row r="1410" spans="2:6" x14ac:dyDescent="0.2">
      <c r="B1410" t="str">
        <f>IFERROR(IF('PDCA review'!$D$2='Check'!B1410,'Check'!G1410,""),"")</f>
        <v/>
      </c>
      <c r="C1410">
        <f t="shared" si="63"/>
        <v>0</v>
      </c>
      <c r="D1410">
        <f>SUM($C$3:C1410)</f>
        <v>4</v>
      </c>
      <c r="E1410" t="e">
        <f t="shared" si="64"/>
        <v>#N/A</v>
      </c>
      <c r="F1410" s="28" t="str">
        <f t="shared" ca="1" si="65"/>
        <v/>
      </c>
    </row>
    <row r="1411" spans="2:6" x14ac:dyDescent="0.2">
      <c r="B1411" t="str">
        <f>IFERROR(IF('PDCA review'!$D$2='Check'!B1411,'Check'!G1411,""),"")</f>
        <v/>
      </c>
      <c r="C1411">
        <f t="shared" si="63"/>
        <v>0</v>
      </c>
      <c r="D1411">
        <f>SUM($C$3:C1411)</f>
        <v>4</v>
      </c>
      <c r="E1411" t="e">
        <f t="shared" si="64"/>
        <v>#N/A</v>
      </c>
      <c r="F1411" s="28" t="str">
        <f t="shared" ca="1" si="65"/>
        <v/>
      </c>
    </row>
    <row r="1412" spans="2:6" x14ac:dyDescent="0.2">
      <c r="B1412" t="str">
        <f>IFERROR(IF('PDCA review'!$D$2='Check'!B1412,'Check'!G1412,""),"")</f>
        <v/>
      </c>
      <c r="C1412">
        <f t="shared" ref="C1412:C1475" si="66">IF(B1412&lt;&gt;"",1,0)</f>
        <v>0</v>
      </c>
      <c r="D1412">
        <f>SUM($C$3:C1412)</f>
        <v>4</v>
      </c>
      <c r="E1412" t="e">
        <f t="shared" ref="E1412:E1475" si="67">MATCH(ROW()-$D$2,$D$3:$D$2000,0)+$D$2</f>
        <v>#N/A</v>
      </c>
      <c r="F1412" s="28" t="str">
        <f t="shared" ref="F1412:F1475" ca="1" si="68">IFERROR(INDIRECT("B"&amp;E1412),"")</f>
        <v/>
      </c>
    </row>
    <row r="1413" spans="2:6" x14ac:dyDescent="0.2">
      <c r="B1413" t="str">
        <f>IFERROR(IF('PDCA review'!$D$2='Check'!B1413,'Check'!G1413,""),"")</f>
        <v/>
      </c>
      <c r="C1413">
        <f t="shared" si="66"/>
        <v>0</v>
      </c>
      <c r="D1413">
        <f>SUM($C$3:C1413)</f>
        <v>4</v>
      </c>
      <c r="E1413" t="e">
        <f t="shared" si="67"/>
        <v>#N/A</v>
      </c>
      <c r="F1413" s="28" t="str">
        <f t="shared" ca="1" si="68"/>
        <v/>
      </c>
    </row>
    <row r="1414" spans="2:6" x14ac:dyDescent="0.2">
      <c r="B1414" t="str">
        <f>IFERROR(IF('PDCA review'!$D$2='Check'!B1414,'Check'!G1414,""),"")</f>
        <v/>
      </c>
      <c r="C1414">
        <f t="shared" si="66"/>
        <v>0</v>
      </c>
      <c r="D1414">
        <f>SUM($C$3:C1414)</f>
        <v>4</v>
      </c>
      <c r="E1414" t="e">
        <f t="shared" si="67"/>
        <v>#N/A</v>
      </c>
      <c r="F1414" s="28" t="str">
        <f t="shared" ca="1" si="68"/>
        <v/>
      </c>
    </row>
    <row r="1415" spans="2:6" x14ac:dyDescent="0.2">
      <c r="B1415" t="str">
        <f>IFERROR(IF('PDCA review'!$D$2='Check'!B1415,'Check'!G1415,""),"")</f>
        <v/>
      </c>
      <c r="C1415">
        <f t="shared" si="66"/>
        <v>0</v>
      </c>
      <c r="D1415">
        <f>SUM($C$3:C1415)</f>
        <v>4</v>
      </c>
      <c r="E1415" t="e">
        <f t="shared" si="67"/>
        <v>#N/A</v>
      </c>
      <c r="F1415" s="28" t="str">
        <f t="shared" ca="1" si="68"/>
        <v/>
      </c>
    </row>
    <row r="1416" spans="2:6" x14ac:dyDescent="0.2">
      <c r="B1416" t="str">
        <f>IFERROR(IF('PDCA review'!$D$2='Check'!B1416,'Check'!G1416,""),"")</f>
        <v/>
      </c>
      <c r="C1416">
        <f t="shared" si="66"/>
        <v>0</v>
      </c>
      <c r="D1416">
        <f>SUM($C$3:C1416)</f>
        <v>4</v>
      </c>
      <c r="E1416" t="e">
        <f t="shared" si="67"/>
        <v>#N/A</v>
      </c>
      <c r="F1416" s="28" t="str">
        <f t="shared" ca="1" si="68"/>
        <v/>
      </c>
    </row>
    <row r="1417" spans="2:6" x14ac:dyDescent="0.2">
      <c r="B1417" t="str">
        <f>IFERROR(IF('PDCA review'!$D$2='Check'!B1417,'Check'!G1417,""),"")</f>
        <v/>
      </c>
      <c r="C1417">
        <f t="shared" si="66"/>
        <v>0</v>
      </c>
      <c r="D1417">
        <f>SUM($C$3:C1417)</f>
        <v>4</v>
      </c>
      <c r="E1417" t="e">
        <f t="shared" si="67"/>
        <v>#N/A</v>
      </c>
      <c r="F1417" s="28" t="str">
        <f t="shared" ca="1" si="68"/>
        <v/>
      </c>
    </row>
    <row r="1418" spans="2:6" x14ac:dyDescent="0.2">
      <c r="B1418" t="str">
        <f>IFERROR(IF('PDCA review'!$D$2='Check'!B1418,'Check'!G1418,""),"")</f>
        <v/>
      </c>
      <c r="C1418">
        <f t="shared" si="66"/>
        <v>0</v>
      </c>
      <c r="D1418">
        <f>SUM($C$3:C1418)</f>
        <v>4</v>
      </c>
      <c r="E1418" t="e">
        <f t="shared" si="67"/>
        <v>#N/A</v>
      </c>
      <c r="F1418" s="28" t="str">
        <f t="shared" ca="1" si="68"/>
        <v/>
      </c>
    </row>
    <row r="1419" spans="2:6" x14ac:dyDescent="0.2">
      <c r="B1419" t="str">
        <f>IFERROR(IF('PDCA review'!$D$2='Check'!B1419,'Check'!G1419,""),"")</f>
        <v/>
      </c>
      <c r="C1419">
        <f t="shared" si="66"/>
        <v>0</v>
      </c>
      <c r="D1419">
        <f>SUM($C$3:C1419)</f>
        <v>4</v>
      </c>
      <c r="E1419" t="e">
        <f t="shared" si="67"/>
        <v>#N/A</v>
      </c>
      <c r="F1419" s="28" t="str">
        <f t="shared" ca="1" si="68"/>
        <v/>
      </c>
    </row>
    <row r="1420" spans="2:6" x14ac:dyDescent="0.2">
      <c r="B1420" t="str">
        <f>IFERROR(IF('PDCA review'!$D$2='Check'!B1420,'Check'!G1420,""),"")</f>
        <v/>
      </c>
      <c r="C1420">
        <f t="shared" si="66"/>
        <v>0</v>
      </c>
      <c r="D1420">
        <f>SUM($C$3:C1420)</f>
        <v>4</v>
      </c>
      <c r="E1420" t="e">
        <f t="shared" si="67"/>
        <v>#N/A</v>
      </c>
      <c r="F1420" s="28" t="str">
        <f t="shared" ca="1" si="68"/>
        <v/>
      </c>
    </row>
    <row r="1421" spans="2:6" x14ac:dyDescent="0.2">
      <c r="B1421" t="str">
        <f>IFERROR(IF('PDCA review'!$D$2='Check'!B1421,'Check'!G1421,""),"")</f>
        <v/>
      </c>
      <c r="C1421">
        <f t="shared" si="66"/>
        <v>0</v>
      </c>
      <c r="D1421">
        <f>SUM($C$3:C1421)</f>
        <v>4</v>
      </c>
      <c r="E1421" t="e">
        <f t="shared" si="67"/>
        <v>#N/A</v>
      </c>
      <c r="F1421" s="28" t="str">
        <f t="shared" ca="1" si="68"/>
        <v/>
      </c>
    </row>
    <row r="1422" spans="2:6" x14ac:dyDescent="0.2">
      <c r="B1422" t="str">
        <f>IFERROR(IF('PDCA review'!$D$2='Check'!B1422,'Check'!G1422,""),"")</f>
        <v/>
      </c>
      <c r="C1422">
        <f t="shared" si="66"/>
        <v>0</v>
      </c>
      <c r="D1422">
        <f>SUM($C$3:C1422)</f>
        <v>4</v>
      </c>
      <c r="E1422" t="e">
        <f t="shared" si="67"/>
        <v>#N/A</v>
      </c>
      <c r="F1422" s="28" t="str">
        <f t="shared" ca="1" si="68"/>
        <v/>
      </c>
    </row>
    <row r="1423" spans="2:6" x14ac:dyDescent="0.2">
      <c r="B1423" t="str">
        <f>IFERROR(IF('PDCA review'!$D$2='Check'!B1423,'Check'!G1423,""),"")</f>
        <v/>
      </c>
      <c r="C1423">
        <f t="shared" si="66"/>
        <v>0</v>
      </c>
      <c r="D1423">
        <f>SUM($C$3:C1423)</f>
        <v>4</v>
      </c>
      <c r="E1423" t="e">
        <f t="shared" si="67"/>
        <v>#N/A</v>
      </c>
      <c r="F1423" s="28" t="str">
        <f t="shared" ca="1" si="68"/>
        <v/>
      </c>
    </row>
    <row r="1424" spans="2:6" x14ac:dyDescent="0.2">
      <c r="B1424" t="str">
        <f>IFERROR(IF('PDCA review'!$D$2='Check'!B1424,'Check'!G1424,""),"")</f>
        <v/>
      </c>
      <c r="C1424">
        <f t="shared" si="66"/>
        <v>0</v>
      </c>
      <c r="D1424">
        <f>SUM($C$3:C1424)</f>
        <v>4</v>
      </c>
      <c r="E1424" t="e">
        <f t="shared" si="67"/>
        <v>#N/A</v>
      </c>
      <c r="F1424" s="28" t="str">
        <f t="shared" ca="1" si="68"/>
        <v/>
      </c>
    </row>
    <row r="1425" spans="2:6" x14ac:dyDescent="0.2">
      <c r="B1425" t="str">
        <f>IFERROR(IF('PDCA review'!$D$2='Check'!B1425,'Check'!G1425,""),"")</f>
        <v/>
      </c>
      <c r="C1425">
        <f t="shared" si="66"/>
        <v>0</v>
      </c>
      <c r="D1425">
        <f>SUM($C$3:C1425)</f>
        <v>4</v>
      </c>
      <c r="E1425" t="e">
        <f t="shared" si="67"/>
        <v>#N/A</v>
      </c>
      <c r="F1425" s="28" t="str">
        <f t="shared" ca="1" si="68"/>
        <v/>
      </c>
    </row>
    <row r="1426" spans="2:6" x14ac:dyDescent="0.2">
      <c r="B1426" t="str">
        <f>IFERROR(IF('PDCA review'!$D$2='Check'!B1426,'Check'!G1426,""),"")</f>
        <v/>
      </c>
      <c r="C1426">
        <f t="shared" si="66"/>
        <v>0</v>
      </c>
      <c r="D1426">
        <f>SUM($C$3:C1426)</f>
        <v>4</v>
      </c>
      <c r="E1426" t="e">
        <f t="shared" si="67"/>
        <v>#N/A</v>
      </c>
      <c r="F1426" s="28" t="str">
        <f t="shared" ca="1" si="68"/>
        <v/>
      </c>
    </row>
    <row r="1427" spans="2:6" x14ac:dyDescent="0.2">
      <c r="B1427" t="str">
        <f>IFERROR(IF('PDCA review'!$D$2='Check'!B1427,'Check'!G1427,""),"")</f>
        <v/>
      </c>
      <c r="C1427">
        <f t="shared" si="66"/>
        <v>0</v>
      </c>
      <c r="D1427">
        <f>SUM($C$3:C1427)</f>
        <v>4</v>
      </c>
      <c r="E1427" t="e">
        <f t="shared" si="67"/>
        <v>#N/A</v>
      </c>
      <c r="F1427" s="28" t="str">
        <f t="shared" ca="1" si="68"/>
        <v/>
      </c>
    </row>
    <row r="1428" spans="2:6" x14ac:dyDescent="0.2">
      <c r="B1428" t="str">
        <f>IFERROR(IF('PDCA review'!$D$2='Check'!B1428,'Check'!G1428,""),"")</f>
        <v/>
      </c>
      <c r="C1428">
        <f t="shared" si="66"/>
        <v>0</v>
      </c>
      <c r="D1428">
        <f>SUM($C$3:C1428)</f>
        <v>4</v>
      </c>
      <c r="E1428" t="e">
        <f t="shared" si="67"/>
        <v>#N/A</v>
      </c>
      <c r="F1428" s="28" t="str">
        <f t="shared" ca="1" si="68"/>
        <v/>
      </c>
    </row>
    <row r="1429" spans="2:6" x14ac:dyDescent="0.2">
      <c r="B1429" t="str">
        <f>IFERROR(IF('PDCA review'!$D$2='Check'!B1429,'Check'!G1429,""),"")</f>
        <v/>
      </c>
      <c r="C1429">
        <f t="shared" si="66"/>
        <v>0</v>
      </c>
      <c r="D1429">
        <f>SUM($C$3:C1429)</f>
        <v>4</v>
      </c>
      <c r="E1429" t="e">
        <f t="shared" si="67"/>
        <v>#N/A</v>
      </c>
      <c r="F1429" s="28" t="str">
        <f t="shared" ca="1" si="68"/>
        <v/>
      </c>
    </row>
    <row r="1430" spans="2:6" x14ac:dyDescent="0.2">
      <c r="B1430" t="str">
        <f>IFERROR(IF('PDCA review'!$D$2='Check'!B1430,'Check'!G1430,""),"")</f>
        <v/>
      </c>
      <c r="C1430">
        <f t="shared" si="66"/>
        <v>0</v>
      </c>
      <c r="D1430">
        <f>SUM($C$3:C1430)</f>
        <v>4</v>
      </c>
      <c r="E1430" t="e">
        <f t="shared" si="67"/>
        <v>#N/A</v>
      </c>
      <c r="F1430" s="28" t="str">
        <f t="shared" ca="1" si="68"/>
        <v/>
      </c>
    </row>
    <row r="1431" spans="2:6" x14ac:dyDescent="0.2">
      <c r="B1431" t="str">
        <f>IFERROR(IF('PDCA review'!$D$2='Check'!B1431,'Check'!G1431,""),"")</f>
        <v/>
      </c>
      <c r="C1431">
        <f t="shared" si="66"/>
        <v>0</v>
      </c>
      <c r="D1431">
        <f>SUM($C$3:C1431)</f>
        <v>4</v>
      </c>
      <c r="E1431" t="e">
        <f t="shared" si="67"/>
        <v>#N/A</v>
      </c>
      <c r="F1431" s="28" t="str">
        <f t="shared" ca="1" si="68"/>
        <v/>
      </c>
    </row>
    <row r="1432" spans="2:6" x14ac:dyDescent="0.2">
      <c r="B1432" t="str">
        <f>IFERROR(IF('PDCA review'!$D$2='Check'!B1432,'Check'!G1432,""),"")</f>
        <v/>
      </c>
      <c r="C1432">
        <f t="shared" si="66"/>
        <v>0</v>
      </c>
      <c r="D1432">
        <f>SUM($C$3:C1432)</f>
        <v>4</v>
      </c>
      <c r="E1432" t="e">
        <f t="shared" si="67"/>
        <v>#N/A</v>
      </c>
      <c r="F1432" s="28" t="str">
        <f t="shared" ca="1" si="68"/>
        <v/>
      </c>
    </row>
    <row r="1433" spans="2:6" x14ac:dyDescent="0.2">
      <c r="B1433" t="str">
        <f>IFERROR(IF('PDCA review'!$D$2='Check'!B1433,'Check'!G1433,""),"")</f>
        <v/>
      </c>
      <c r="C1433">
        <f t="shared" si="66"/>
        <v>0</v>
      </c>
      <c r="D1433">
        <f>SUM($C$3:C1433)</f>
        <v>4</v>
      </c>
      <c r="E1433" t="e">
        <f t="shared" si="67"/>
        <v>#N/A</v>
      </c>
      <c r="F1433" s="28" t="str">
        <f t="shared" ca="1" si="68"/>
        <v/>
      </c>
    </row>
    <row r="1434" spans="2:6" x14ac:dyDescent="0.2">
      <c r="B1434" t="str">
        <f>IFERROR(IF('PDCA review'!$D$2='Check'!B1434,'Check'!G1434,""),"")</f>
        <v/>
      </c>
      <c r="C1434">
        <f t="shared" si="66"/>
        <v>0</v>
      </c>
      <c r="D1434">
        <f>SUM($C$3:C1434)</f>
        <v>4</v>
      </c>
      <c r="E1434" t="e">
        <f t="shared" si="67"/>
        <v>#N/A</v>
      </c>
      <c r="F1434" s="28" t="str">
        <f t="shared" ca="1" si="68"/>
        <v/>
      </c>
    </row>
    <row r="1435" spans="2:6" x14ac:dyDescent="0.2">
      <c r="B1435" t="str">
        <f>IFERROR(IF('PDCA review'!$D$2='Check'!B1435,'Check'!G1435,""),"")</f>
        <v/>
      </c>
      <c r="C1435">
        <f t="shared" si="66"/>
        <v>0</v>
      </c>
      <c r="D1435">
        <f>SUM($C$3:C1435)</f>
        <v>4</v>
      </c>
      <c r="E1435" t="e">
        <f t="shared" si="67"/>
        <v>#N/A</v>
      </c>
      <c r="F1435" s="28" t="str">
        <f t="shared" ca="1" si="68"/>
        <v/>
      </c>
    </row>
    <row r="1436" spans="2:6" x14ac:dyDescent="0.2">
      <c r="B1436" t="str">
        <f>IFERROR(IF('PDCA review'!$D$2='Check'!B1436,'Check'!G1436,""),"")</f>
        <v/>
      </c>
      <c r="C1436">
        <f t="shared" si="66"/>
        <v>0</v>
      </c>
      <c r="D1436">
        <f>SUM($C$3:C1436)</f>
        <v>4</v>
      </c>
      <c r="E1436" t="e">
        <f t="shared" si="67"/>
        <v>#N/A</v>
      </c>
      <c r="F1436" s="28" t="str">
        <f t="shared" ca="1" si="68"/>
        <v/>
      </c>
    </row>
    <row r="1437" spans="2:6" x14ac:dyDescent="0.2">
      <c r="B1437" t="str">
        <f>IFERROR(IF('PDCA review'!$D$2='Check'!B1437,'Check'!G1437,""),"")</f>
        <v/>
      </c>
      <c r="C1437">
        <f t="shared" si="66"/>
        <v>0</v>
      </c>
      <c r="D1437">
        <f>SUM($C$3:C1437)</f>
        <v>4</v>
      </c>
      <c r="E1437" t="e">
        <f t="shared" si="67"/>
        <v>#N/A</v>
      </c>
      <c r="F1437" s="28" t="str">
        <f t="shared" ca="1" si="68"/>
        <v/>
      </c>
    </row>
    <row r="1438" spans="2:6" x14ac:dyDescent="0.2">
      <c r="B1438" t="str">
        <f>IFERROR(IF('PDCA review'!$D$2='Check'!B1438,'Check'!G1438,""),"")</f>
        <v/>
      </c>
      <c r="C1438">
        <f t="shared" si="66"/>
        <v>0</v>
      </c>
      <c r="D1438">
        <f>SUM($C$3:C1438)</f>
        <v>4</v>
      </c>
      <c r="E1438" t="e">
        <f t="shared" si="67"/>
        <v>#N/A</v>
      </c>
      <c r="F1438" s="28" t="str">
        <f t="shared" ca="1" si="68"/>
        <v/>
      </c>
    </row>
    <row r="1439" spans="2:6" x14ac:dyDescent="0.2">
      <c r="B1439" t="str">
        <f>IFERROR(IF('PDCA review'!$D$2='Check'!B1439,'Check'!G1439,""),"")</f>
        <v/>
      </c>
      <c r="C1439">
        <f t="shared" si="66"/>
        <v>0</v>
      </c>
      <c r="D1439">
        <f>SUM($C$3:C1439)</f>
        <v>4</v>
      </c>
      <c r="E1439" t="e">
        <f t="shared" si="67"/>
        <v>#N/A</v>
      </c>
      <c r="F1439" s="28" t="str">
        <f t="shared" ca="1" si="68"/>
        <v/>
      </c>
    </row>
    <row r="1440" spans="2:6" x14ac:dyDescent="0.2">
      <c r="B1440" t="str">
        <f>IFERROR(IF('PDCA review'!$D$2='Check'!B1440,'Check'!G1440,""),"")</f>
        <v/>
      </c>
      <c r="C1440">
        <f t="shared" si="66"/>
        <v>0</v>
      </c>
      <c r="D1440">
        <f>SUM($C$3:C1440)</f>
        <v>4</v>
      </c>
      <c r="E1440" t="e">
        <f t="shared" si="67"/>
        <v>#N/A</v>
      </c>
      <c r="F1440" s="28" t="str">
        <f t="shared" ca="1" si="68"/>
        <v/>
      </c>
    </row>
    <row r="1441" spans="2:6" x14ac:dyDescent="0.2">
      <c r="B1441" t="str">
        <f>IFERROR(IF('PDCA review'!$D$2='Check'!B1441,'Check'!G1441,""),"")</f>
        <v/>
      </c>
      <c r="C1441">
        <f t="shared" si="66"/>
        <v>0</v>
      </c>
      <c r="D1441">
        <f>SUM($C$3:C1441)</f>
        <v>4</v>
      </c>
      <c r="E1441" t="e">
        <f t="shared" si="67"/>
        <v>#N/A</v>
      </c>
      <c r="F1441" s="28" t="str">
        <f t="shared" ca="1" si="68"/>
        <v/>
      </c>
    </row>
    <row r="1442" spans="2:6" x14ac:dyDescent="0.2">
      <c r="B1442" t="str">
        <f>IFERROR(IF('PDCA review'!$D$2='Check'!B1442,'Check'!G1442,""),"")</f>
        <v/>
      </c>
      <c r="C1442">
        <f t="shared" si="66"/>
        <v>0</v>
      </c>
      <c r="D1442">
        <f>SUM($C$3:C1442)</f>
        <v>4</v>
      </c>
      <c r="E1442" t="e">
        <f t="shared" si="67"/>
        <v>#N/A</v>
      </c>
      <c r="F1442" s="28" t="str">
        <f t="shared" ca="1" si="68"/>
        <v/>
      </c>
    </row>
    <row r="1443" spans="2:6" x14ac:dyDescent="0.2">
      <c r="B1443" t="str">
        <f>IFERROR(IF('PDCA review'!$D$2='Check'!B1443,'Check'!G1443,""),"")</f>
        <v/>
      </c>
      <c r="C1443">
        <f t="shared" si="66"/>
        <v>0</v>
      </c>
      <c r="D1443">
        <f>SUM($C$3:C1443)</f>
        <v>4</v>
      </c>
      <c r="E1443" t="e">
        <f t="shared" si="67"/>
        <v>#N/A</v>
      </c>
      <c r="F1443" s="28" t="str">
        <f t="shared" ca="1" si="68"/>
        <v/>
      </c>
    </row>
    <row r="1444" spans="2:6" x14ac:dyDescent="0.2">
      <c r="B1444" t="str">
        <f>IFERROR(IF('PDCA review'!$D$2='Check'!B1444,'Check'!G1444,""),"")</f>
        <v/>
      </c>
      <c r="C1444">
        <f t="shared" si="66"/>
        <v>0</v>
      </c>
      <c r="D1444">
        <f>SUM($C$3:C1444)</f>
        <v>4</v>
      </c>
      <c r="E1444" t="e">
        <f t="shared" si="67"/>
        <v>#N/A</v>
      </c>
      <c r="F1444" s="28" t="str">
        <f t="shared" ca="1" si="68"/>
        <v/>
      </c>
    </row>
    <row r="1445" spans="2:6" x14ac:dyDescent="0.2">
      <c r="B1445" t="str">
        <f>IFERROR(IF('PDCA review'!$D$2='Check'!B1445,'Check'!G1445,""),"")</f>
        <v/>
      </c>
      <c r="C1445">
        <f t="shared" si="66"/>
        <v>0</v>
      </c>
      <c r="D1445">
        <f>SUM($C$3:C1445)</f>
        <v>4</v>
      </c>
      <c r="E1445" t="e">
        <f t="shared" si="67"/>
        <v>#N/A</v>
      </c>
      <c r="F1445" s="28" t="str">
        <f t="shared" ca="1" si="68"/>
        <v/>
      </c>
    </row>
    <row r="1446" spans="2:6" x14ac:dyDescent="0.2">
      <c r="B1446" t="str">
        <f>IFERROR(IF('PDCA review'!$D$2='Check'!B1446,'Check'!G1446,""),"")</f>
        <v/>
      </c>
      <c r="C1446">
        <f t="shared" si="66"/>
        <v>0</v>
      </c>
      <c r="D1446">
        <f>SUM($C$3:C1446)</f>
        <v>4</v>
      </c>
      <c r="E1446" t="e">
        <f t="shared" si="67"/>
        <v>#N/A</v>
      </c>
      <c r="F1446" s="28" t="str">
        <f t="shared" ca="1" si="68"/>
        <v/>
      </c>
    </row>
    <row r="1447" spans="2:6" x14ac:dyDescent="0.2">
      <c r="B1447" t="str">
        <f>IFERROR(IF('PDCA review'!$D$2='Check'!B1447,'Check'!G1447,""),"")</f>
        <v/>
      </c>
      <c r="C1447">
        <f t="shared" si="66"/>
        <v>0</v>
      </c>
      <c r="D1447">
        <f>SUM($C$3:C1447)</f>
        <v>4</v>
      </c>
      <c r="E1447" t="e">
        <f t="shared" si="67"/>
        <v>#N/A</v>
      </c>
      <c r="F1447" s="28" t="str">
        <f t="shared" ca="1" si="68"/>
        <v/>
      </c>
    </row>
    <row r="1448" spans="2:6" x14ac:dyDescent="0.2">
      <c r="B1448" t="str">
        <f>IFERROR(IF('PDCA review'!$D$2='Check'!B1448,'Check'!G1448,""),"")</f>
        <v/>
      </c>
      <c r="C1448">
        <f t="shared" si="66"/>
        <v>0</v>
      </c>
      <c r="D1448">
        <f>SUM($C$3:C1448)</f>
        <v>4</v>
      </c>
      <c r="E1448" t="e">
        <f t="shared" si="67"/>
        <v>#N/A</v>
      </c>
      <c r="F1448" s="28" t="str">
        <f t="shared" ca="1" si="68"/>
        <v/>
      </c>
    </row>
    <row r="1449" spans="2:6" x14ac:dyDescent="0.2">
      <c r="B1449" t="str">
        <f>IFERROR(IF('PDCA review'!$D$2='Check'!B1449,'Check'!G1449,""),"")</f>
        <v/>
      </c>
      <c r="C1449">
        <f t="shared" si="66"/>
        <v>0</v>
      </c>
      <c r="D1449">
        <f>SUM($C$3:C1449)</f>
        <v>4</v>
      </c>
      <c r="E1449" t="e">
        <f t="shared" si="67"/>
        <v>#N/A</v>
      </c>
      <c r="F1449" s="28" t="str">
        <f t="shared" ca="1" si="68"/>
        <v/>
      </c>
    </row>
    <row r="1450" spans="2:6" x14ac:dyDescent="0.2">
      <c r="B1450" t="str">
        <f>IFERROR(IF('PDCA review'!$D$2='Check'!B1450,'Check'!G1450,""),"")</f>
        <v/>
      </c>
      <c r="C1450">
        <f t="shared" si="66"/>
        <v>0</v>
      </c>
      <c r="D1450">
        <f>SUM($C$3:C1450)</f>
        <v>4</v>
      </c>
      <c r="E1450" t="e">
        <f t="shared" si="67"/>
        <v>#N/A</v>
      </c>
      <c r="F1450" s="28" t="str">
        <f t="shared" ca="1" si="68"/>
        <v/>
      </c>
    </row>
    <row r="1451" spans="2:6" x14ac:dyDescent="0.2">
      <c r="B1451" t="str">
        <f>IFERROR(IF('PDCA review'!$D$2='Check'!B1451,'Check'!G1451,""),"")</f>
        <v/>
      </c>
      <c r="C1451">
        <f t="shared" si="66"/>
        <v>0</v>
      </c>
      <c r="D1451">
        <f>SUM($C$3:C1451)</f>
        <v>4</v>
      </c>
      <c r="E1451" t="e">
        <f t="shared" si="67"/>
        <v>#N/A</v>
      </c>
      <c r="F1451" s="28" t="str">
        <f t="shared" ca="1" si="68"/>
        <v/>
      </c>
    </row>
    <row r="1452" spans="2:6" x14ac:dyDescent="0.2">
      <c r="B1452" t="str">
        <f>IFERROR(IF('PDCA review'!$D$2='Check'!B1452,'Check'!G1452,""),"")</f>
        <v/>
      </c>
      <c r="C1452">
        <f t="shared" si="66"/>
        <v>0</v>
      </c>
      <c r="D1452">
        <f>SUM($C$3:C1452)</f>
        <v>4</v>
      </c>
      <c r="E1452" t="e">
        <f t="shared" si="67"/>
        <v>#N/A</v>
      </c>
      <c r="F1452" s="28" t="str">
        <f t="shared" ca="1" si="68"/>
        <v/>
      </c>
    </row>
    <row r="1453" spans="2:6" x14ac:dyDescent="0.2">
      <c r="B1453" t="str">
        <f>IFERROR(IF('PDCA review'!$D$2='Check'!B1453,'Check'!G1453,""),"")</f>
        <v/>
      </c>
      <c r="C1453">
        <f t="shared" si="66"/>
        <v>0</v>
      </c>
      <c r="D1453">
        <f>SUM($C$3:C1453)</f>
        <v>4</v>
      </c>
      <c r="E1453" t="e">
        <f t="shared" si="67"/>
        <v>#N/A</v>
      </c>
      <c r="F1453" s="28" t="str">
        <f t="shared" ca="1" si="68"/>
        <v/>
      </c>
    </row>
    <row r="1454" spans="2:6" x14ac:dyDescent="0.2">
      <c r="B1454" t="str">
        <f>IFERROR(IF('PDCA review'!$D$2='Check'!B1454,'Check'!G1454,""),"")</f>
        <v/>
      </c>
      <c r="C1454">
        <f t="shared" si="66"/>
        <v>0</v>
      </c>
      <c r="D1454">
        <f>SUM($C$3:C1454)</f>
        <v>4</v>
      </c>
      <c r="E1454" t="e">
        <f t="shared" si="67"/>
        <v>#N/A</v>
      </c>
      <c r="F1454" s="28" t="str">
        <f t="shared" ca="1" si="68"/>
        <v/>
      </c>
    </row>
    <row r="1455" spans="2:6" x14ac:dyDescent="0.2">
      <c r="B1455" t="str">
        <f>IFERROR(IF('PDCA review'!$D$2='Check'!B1455,'Check'!G1455,""),"")</f>
        <v/>
      </c>
      <c r="C1455">
        <f t="shared" si="66"/>
        <v>0</v>
      </c>
      <c r="D1455">
        <f>SUM($C$3:C1455)</f>
        <v>4</v>
      </c>
      <c r="E1455" t="e">
        <f t="shared" si="67"/>
        <v>#N/A</v>
      </c>
      <c r="F1455" s="28" t="str">
        <f t="shared" ca="1" si="68"/>
        <v/>
      </c>
    </row>
    <row r="1456" spans="2:6" x14ac:dyDescent="0.2">
      <c r="B1456" t="str">
        <f>IFERROR(IF('PDCA review'!$D$2='Check'!B1456,'Check'!G1456,""),"")</f>
        <v/>
      </c>
      <c r="C1456">
        <f t="shared" si="66"/>
        <v>0</v>
      </c>
      <c r="D1456">
        <f>SUM($C$3:C1456)</f>
        <v>4</v>
      </c>
      <c r="E1456" t="e">
        <f t="shared" si="67"/>
        <v>#N/A</v>
      </c>
      <c r="F1456" s="28" t="str">
        <f t="shared" ca="1" si="68"/>
        <v/>
      </c>
    </row>
    <row r="1457" spans="2:6" x14ac:dyDescent="0.2">
      <c r="B1457" t="str">
        <f>IFERROR(IF('PDCA review'!$D$2='Check'!B1457,'Check'!G1457,""),"")</f>
        <v/>
      </c>
      <c r="C1457">
        <f t="shared" si="66"/>
        <v>0</v>
      </c>
      <c r="D1457">
        <f>SUM($C$3:C1457)</f>
        <v>4</v>
      </c>
      <c r="E1457" t="e">
        <f t="shared" si="67"/>
        <v>#N/A</v>
      </c>
      <c r="F1457" s="28" t="str">
        <f t="shared" ca="1" si="68"/>
        <v/>
      </c>
    </row>
    <row r="1458" spans="2:6" x14ac:dyDescent="0.2">
      <c r="B1458" t="str">
        <f>IFERROR(IF('PDCA review'!$D$2='Check'!B1458,'Check'!G1458,""),"")</f>
        <v/>
      </c>
      <c r="C1458">
        <f t="shared" si="66"/>
        <v>0</v>
      </c>
      <c r="D1458">
        <f>SUM($C$3:C1458)</f>
        <v>4</v>
      </c>
      <c r="E1458" t="e">
        <f t="shared" si="67"/>
        <v>#N/A</v>
      </c>
      <c r="F1458" s="28" t="str">
        <f t="shared" ca="1" si="68"/>
        <v/>
      </c>
    </row>
    <row r="1459" spans="2:6" x14ac:dyDescent="0.2">
      <c r="B1459" t="str">
        <f>IFERROR(IF('PDCA review'!$D$2='Check'!B1459,'Check'!G1459,""),"")</f>
        <v/>
      </c>
      <c r="C1459">
        <f t="shared" si="66"/>
        <v>0</v>
      </c>
      <c r="D1459">
        <f>SUM($C$3:C1459)</f>
        <v>4</v>
      </c>
      <c r="E1459" t="e">
        <f t="shared" si="67"/>
        <v>#N/A</v>
      </c>
      <c r="F1459" s="28" t="str">
        <f t="shared" ca="1" si="68"/>
        <v/>
      </c>
    </row>
    <row r="1460" spans="2:6" x14ac:dyDescent="0.2">
      <c r="B1460" t="str">
        <f>IFERROR(IF('PDCA review'!$D$2='Check'!B1460,'Check'!G1460,""),"")</f>
        <v/>
      </c>
      <c r="C1460">
        <f t="shared" si="66"/>
        <v>0</v>
      </c>
      <c r="D1460">
        <f>SUM($C$3:C1460)</f>
        <v>4</v>
      </c>
      <c r="E1460" t="e">
        <f t="shared" si="67"/>
        <v>#N/A</v>
      </c>
      <c r="F1460" s="28" t="str">
        <f t="shared" ca="1" si="68"/>
        <v/>
      </c>
    </row>
    <row r="1461" spans="2:6" x14ac:dyDescent="0.2">
      <c r="B1461" t="str">
        <f>IFERROR(IF('PDCA review'!$D$2='Check'!B1461,'Check'!G1461,""),"")</f>
        <v/>
      </c>
      <c r="C1461">
        <f t="shared" si="66"/>
        <v>0</v>
      </c>
      <c r="D1461">
        <f>SUM($C$3:C1461)</f>
        <v>4</v>
      </c>
      <c r="E1461" t="e">
        <f t="shared" si="67"/>
        <v>#N/A</v>
      </c>
      <c r="F1461" s="28" t="str">
        <f t="shared" ca="1" si="68"/>
        <v/>
      </c>
    </row>
    <row r="1462" spans="2:6" x14ac:dyDescent="0.2">
      <c r="B1462" t="str">
        <f>IFERROR(IF('PDCA review'!$D$2='Check'!B1462,'Check'!G1462,""),"")</f>
        <v/>
      </c>
      <c r="C1462">
        <f t="shared" si="66"/>
        <v>0</v>
      </c>
      <c r="D1462">
        <f>SUM($C$3:C1462)</f>
        <v>4</v>
      </c>
      <c r="E1462" t="e">
        <f t="shared" si="67"/>
        <v>#N/A</v>
      </c>
      <c r="F1462" s="28" t="str">
        <f t="shared" ca="1" si="68"/>
        <v/>
      </c>
    </row>
    <row r="1463" spans="2:6" x14ac:dyDescent="0.2">
      <c r="B1463" t="str">
        <f>IFERROR(IF('PDCA review'!$D$2='Check'!B1463,'Check'!G1463,""),"")</f>
        <v/>
      </c>
      <c r="C1463">
        <f t="shared" si="66"/>
        <v>0</v>
      </c>
      <c r="D1463">
        <f>SUM($C$3:C1463)</f>
        <v>4</v>
      </c>
      <c r="E1463" t="e">
        <f t="shared" si="67"/>
        <v>#N/A</v>
      </c>
      <c r="F1463" s="28" t="str">
        <f t="shared" ca="1" si="68"/>
        <v/>
      </c>
    </row>
    <row r="1464" spans="2:6" x14ac:dyDescent="0.2">
      <c r="B1464" t="str">
        <f>IFERROR(IF('PDCA review'!$D$2='Check'!B1464,'Check'!G1464,""),"")</f>
        <v/>
      </c>
      <c r="C1464">
        <f t="shared" si="66"/>
        <v>0</v>
      </c>
      <c r="D1464">
        <f>SUM($C$3:C1464)</f>
        <v>4</v>
      </c>
      <c r="E1464" t="e">
        <f t="shared" si="67"/>
        <v>#N/A</v>
      </c>
      <c r="F1464" s="28" t="str">
        <f t="shared" ca="1" si="68"/>
        <v/>
      </c>
    </row>
    <row r="1465" spans="2:6" x14ac:dyDescent="0.2">
      <c r="B1465" t="str">
        <f>IFERROR(IF('PDCA review'!$D$2='Check'!B1465,'Check'!G1465,""),"")</f>
        <v/>
      </c>
      <c r="C1465">
        <f t="shared" si="66"/>
        <v>0</v>
      </c>
      <c r="D1465">
        <f>SUM($C$3:C1465)</f>
        <v>4</v>
      </c>
      <c r="E1465" t="e">
        <f t="shared" si="67"/>
        <v>#N/A</v>
      </c>
      <c r="F1465" s="28" t="str">
        <f t="shared" ca="1" si="68"/>
        <v/>
      </c>
    </row>
    <row r="1466" spans="2:6" x14ac:dyDescent="0.2">
      <c r="B1466" t="str">
        <f>IFERROR(IF('PDCA review'!$D$2='Check'!B1466,'Check'!G1466,""),"")</f>
        <v/>
      </c>
      <c r="C1466">
        <f t="shared" si="66"/>
        <v>0</v>
      </c>
      <c r="D1466">
        <f>SUM($C$3:C1466)</f>
        <v>4</v>
      </c>
      <c r="E1466" t="e">
        <f t="shared" si="67"/>
        <v>#N/A</v>
      </c>
      <c r="F1466" s="28" t="str">
        <f t="shared" ca="1" si="68"/>
        <v/>
      </c>
    </row>
    <row r="1467" spans="2:6" x14ac:dyDescent="0.2">
      <c r="B1467" t="str">
        <f>IFERROR(IF('PDCA review'!$D$2='Check'!B1467,'Check'!G1467,""),"")</f>
        <v/>
      </c>
      <c r="C1467">
        <f t="shared" si="66"/>
        <v>0</v>
      </c>
      <c r="D1467">
        <f>SUM($C$3:C1467)</f>
        <v>4</v>
      </c>
      <c r="E1467" t="e">
        <f t="shared" si="67"/>
        <v>#N/A</v>
      </c>
      <c r="F1467" s="28" t="str">
        <f t="shared" ca="1" si="68"/>
        <v/>
      </c>
    </row>
    <row r="1468" spans="2:6" x14ac:dyDescent="0.2">
      <c r="B1468" t="str">
        <f>IFERROR(IF('PDCA review'!$D$2='Check'!B1468,'Check'!G1468,""),"")</f>
        <v/>
      </c>
      <c r="C1468">
        <f t="shared" si="66"/>
        <v>0</v>
      </c>
      <c r="D1468">
        <f>SUM($C$3:C1468)</f>
        <v>4</v>
      </c>
      <c r="E1468" t="e">
        <f t="shared" si="67"/>
        <v>#N/A</v>
      </c>
      <c r="F1468" s="28" t="str">
        <f t="shared" ca="1" si="68"/>
        <v/>
      </c>
    </row>
    <row r="1469" spans="2:6" x14ac:dyDescent="0.2">
      <c r="B1469" t="str">
        <f>IFERROR(IF('PDCA review'!$D$2='Check'!B1469,'Check'!G1469,""),"")</f>
        <v/>
      </c>
      <c r="C1469">
        <f t="shared" si="66"/>
        <v>0</v>
      </c>
      <c r="D1469">
        <f>SUM($C$3:C1469)</f>
        <v>4</v>
      </c>
      <c r="E1469" t="e">
        <f t="shared" si="67"/>
        <v>#N/A</v>
      </c>
      <c r="F1469" s="28" t="str">
        <f t="shared" ca="1" si="68"/>
        <v/>
      </c>
    </row>
    <row r="1470" spans="2:6" x14ac:dyDescent="0.2">
      <c r="B1470" t="str">
        <f>IFERROR(IF('PDCA review'!$D$2='Check'!B1470,'Check'!G1470,""),"")</f>
        <v/>
      </c>
      <c r="C1470">
        <f t="shared" si="66"/>
        <v>0</v>
      </c>
      <c r="D1470">
        <f>SUM($C$3:C1470)</f>
        <v>4</v>
      </c>
      <c r="E1470" t="e">
        <f t="shared" si="67"/>
        <v>#N/A</v>
      </c>
      <c r="F1470" s="28" t="str">
        <f t="shared" ca="1" si="68"/>
        <v/>
      </c>
    </row>
    <row r="1471" spans="2:6" x14ac:dyDescent="0.2">
      <c r="B1471" t="str">
        <f>IFERROR(IF('PDCA review'!$D$2='Check'!B1471,'Check'!G1471,""),"")</f>
        <v/>
      </c>
      <c r="C1471">
        <f t="shared" si="66"/>
        <v>0</v>
      </c>
      <c r="D1471">
        <f>SUM($C$3:C1471)</f>
        <v>4</v>
      </c>
      <c r="E1471" t="e">
        <f t="shared" si="67"/>
        <v>#N/A</v>
      </c>
      <c r="F1471" s="28" t="str">
        <f t="shared" ca="1" si="68"/>
        <v/>
      </c>
    </row>
    <row r="1472" spans="2:6" x14ac:dyDescent="0.2">
      <c r="B1472" t="str">
        <f>IFERROR(IF('PDCA review'!$D$2='Check'!B1472,'Check'!G1472,""),"")</f>
        <v/>
      </c>
      <c r="C1472">
        <f t="shared" si="66"/>
        <v>0</v>
      </c>
      <c r="D1472">
        <f>SUM($C$3:C1472)</f>
        <v>4</v>
      </c>
      <c r="E1472" t="e">
        <f t="shared" si="67"/>
        <v>#N/A</v>
      </c>
      <c r="F1472" s="28" t="str">
        <f t="shared" ca="1" si="68"/>
        <v/>
      </c>
    </row>
    <row r="1473" spans="2:6" x14ac:dyDescent="0.2">
      <c r="B1473" t="str">
        <f>IFERROR(IF('PDCA review'!$D$2='Check'!B1473,'Check'!G1473,""),"")</f>
        <v/>
      </c>
      <c r="C1473">
        <f t="shared" si="66"/>
        <v>0</v>
      </c>
      <c r="D1473">
        <f>SUM($C$3:C1473)</f>
        <v>4</v>
      </c>
      <c r="E1473" t="e">
        <f t="shared" si="67"/>
        <v>#N/A</v>
      </c>
      <c r="F1473" s="28" t="str">
        <f t="shared" ca="1" si="68"/>
        <v/>
      </c>
    </row>
    <row r="1474" spans="2:6" x14ac:dyDescent="0.2">
      <c r="B1474" t="str">
        <f>IFERROR(IF('PDCA review'!$D$2='Check'!B1474,'Check'!G1474,""),"")</f>
        <v/>
      </c>
      <c r="C1474">
        <f t="shared" si="66"/>
        <v>0</v>
      </c>
      <c r="D1474">
        <f>SUM($C$3:C1474)</f>
        <v>4</v>
      </c>
      <c r="E1474" t="e">
        <f t="shared" si="67"/>
        <v>#N/A</v>
      </c>
      <c r="F1474" s="28" t="str">
        <f t="shared" ca="1" si="68"/>
        <v/>
      </c>
    </row>
    <row r="1475" spans="2:6" x14ac:dyDescent="0.2">
      <c r="B1475" t="str">
        <f>IFERROR(IF('PDCA review'!$D$2='Check'!B1475,'Check'!G1475,""),"")</f>
        <v/>
      </c>
      <c r="C1475">
        <f t="shared" si="66"/>
        <v>0</v>
      </c>
      <c r="D1475">
        <f>SUM($C$3:C1475)</f>
        <v>4</v>
      </c>
      <c r="E1475" t="e">
        <f t="shared" si="67"/>
        <v>#N/A</v>
      </c>
      <c r="F1475" s="28" t="str">
        <f t="shared" ca="1" si="68"/>
        <v/>
      </c>
    </row>
    <row r="1476" spans="2:6" x14ac:dyDescent="0.2">
      <c r="B1476" t="str">
        <f>IFERROR(IF('PDCA review'!$D$2='Check'!B1476,'Check'!G1476,""),"")</f>
        <v/>
      </c>
      <c r="C1476">
        <f t="shared" ref="C1476:C1539" si="69">IF(B1476&lt;&gt;"",1,0)</f>
        <v>0</v>
      </c>
      <c r="D1476">
        <f>SUM($C$3:C1476)</f>
        <v>4</v>
      </c>
      <c r="E1476" t="e">
        <f t="shared" ref="E1476:E1539" si="70">MATCH(ROW()-$D$2,$D$3:$D$2000,0)+$D$2</f>
        <v>#N/A</v>
      </c>
      <c r="F1476" s="28" t="str">
        <f t="shared" ref="F1476:F1539" ca="1" si="71">IFERROR(INDIRECT("B"&amp;E1476),"")</f>
        <v/>
      </c>
    </row>
    <row r="1477" spans="2:6" x14ac:dyDescent="0.2">
      <c r="B1477" t="str">
        <f>IFERROR(IF('PDCA review'!$D$2='Check'!B1477,'Check'!G1477,""),"")</f>
        <v/>
      </c>
      <c r="C1477">
        <f t="shared" si="69"/>
        <v>0</v>
      </c>
      <c r="D1477">
        <f>SUM($C$3:C1477)</f>
        <v>4</v>
      </c>
      <c r="E1477" t="e">
        <f t="shared" si="70"/>
        <v>#N/A</v>
      </c>
      <c r="F1477" s="28" t="str">
        <f t="shared" ca="1" si="71"/>
        <v/>
      </c>
    </row>
    <row r="1478" spans="2:6" x14ac:dyDescent="0.2">
      <c r="B1478" t="str">
        <f>IFERROR(IF('PDCA review'!$D$2='Check'!B1478,'Check'!G1478,""),"")</f>
        <v/>
      </c>
      <c r="C1478">
        <f t="shared" si="69"/>
        <v>0</v>
      </c>
      <c r="D1478">
        <f>SUM($C$3:C1478)</f>
        <v>4</v>
      </c>
      <c r="E1478" t="e">
        <f t="shared" si="70"/>
        <v>#N/A</v>
      </c>
      <c r="F1478" s="28" t="str">
        <f t="shared" ca="1" si="71"/>
        <v/>
      </c>
    </row>
    <row r="1479" spans="2:6" x14ac:dyDescent="0.2">
      <c r="B1479" t="str">
        <f>IFERROR(IF('PDCA review'!$D$2='Check'!B1479,'Check'!G1479,""),"")</f>
        <v/>
      </c>
      <c r="C1479">
        <f t="shared" si="69"/>
        <v>0</v>
      </c>
      <c r="D1479">
        <f>SUM($C$3:C1479)</f>
        <v>4</v>
      </c>
      <c r="E1479" t="e">
        <f t="shared" si="70"/>
        <v>#N/A</v>
      </c>
      <c r="F1479" s="28" t="str">
        <f t="shared" ca="1" si="71"/>
        <v/>
      </c>
    </row>
    <row r="1480" spans="2:6" x14ac:dyDescent="0.2">
      <c r="B1480" t="str">
        <f>IFERROR(IF('PDCA review'!$D$2='Check'!B1480,'Check'!G1480,""),"")</f>
        <v/>
      </c>
      <c r="C1480">
        <f t="shared" si="69"/>
        <v>0</v>
      </c>
      <c r="D1480">
        <f>SUM($C$3:C1480)</f>
        <v>4</v>
      </c>
      <c r="E1480" t="e">
        <f t="shared" si="70"/>
        <v>#N/A</v>
      </c>
      <c r="F1480" s="28" t="str">
        <f t="shared" ca="1" si="71"/>
        <v/>
      </c>
    </row>
    <row r="1481" spans="2:6" x14ac:dyDescent="0.2">
      <c r="B1481" t="str">
        <f>IFERROR(IF('PDCA review'!$D$2='Check'!B1481,'Check'!G1481,""),"")</f>
        <v/>
      </c>
      <c r="C1481">
        <f t="shared" si="69"/>
        <v>0</v>
      </c>
      <c r="D1481">
        <f>SUM($C$3:C1481)</f>
        <v>4</v>
      </c>
      <c r="E1481" t="e">
        <f t="shared" si="70"/>
        <v>#N/A</v>
      </c>
      <c r="F1481" s="28" t="str">
        <f t="shared" ca="1" si="71"/>
        <v/>
      </c>
    </row>
    <row r="1482" spans="2:6" x14ac:dyDescent="0.2">
      <c r="B1482" t="str">
        <f>IFERROR(IF('PDCA review'!$D$2='Check'!B1482,'Check'!G1482,""),"")</f>
        <v/>
      </c>
      <c r="C1482">
        <f t="shared" si="69"/>
        <v>0</v>
      </c>
      <c r="D1482">
        <f>SUM($C$3:C1482)</f>
        <v>4</v>
      </c>
      <c r="E1482" t="e">
        <f t="shared" si="70"/>
        <v>#N/A</v>
      </c>
      <c r="F1482" s="28" t="str">
        <f t="shared" ca="1" si="71"/>
        <v/>
      </c>
    </row>
    <row r="1483" spans="2:6" x14ac:dyDescent="0.2">
      <c r="B1483" t="str">
        <f>IFERROR(IF('PDCA review'!$D$2='Check'!B1483,'Check'!G1483,""),"")</f>
        <v/>
      </c>
      <c r="C1483">
        <f t="shared" si="69"/>
        <v>0</v>
      </c>
      <c r="D1483">
        <f>SUM($C$3:C1483)</f>
        <v>4</v>
      </c>
      <c r="E1483" t="e">
        <f t="shared" si="70"/>
        <v>#N/A</v>
      </c>
      <c r="F1483" s="28" t="str">
        <f t="shared" ca="1" si="71"/>
        <v/>
      </c>
    </row>
    <row r="1484" spans="2:6" x14ac:dyDescent="0.2">
      <c r="B1484" t="str">
        <f>IFERROR(IF('PDCA review'!$D$2='Check'!B1484,'Check'!G1484,""),"")</f>
        <v/>
      </c>
      <c r="C1484">
        <f t="shared" si="69"/>
        <v>0</v>
      </c>
      <c r="D1484">
        <f>SUM($C$3:C1484)</f>
        <v>4</v>
      </c>
      <c r="E1484" t="e">
        <f t="shared" si="70"/>
        <v>#N/A</v>
      </c>
      <c r="F1484" s="28" t="str">
        <f t="shared" ca="1" si="71"/>
        <v/>
      </c>
    </row>
    <row r="1485" spans="2:6" x14ac:dyDescent="0.2">
      <c r="B1485" t="str">
        <f>IFERROR(IF('PDCA review'!$D$2='Check'!B1485,'Check'!G1485,""),"")</f>
        <v/>
      </c>
      <c r="C1485">
        <f t="shared" si="69"/>
        <v>0</v>
      </c>
      <c r="D1485">
        <f>SUM($C$3:C1485)</f>
        <v>4</v>
      </c>
      <c r="E1485" t="e">
        <f t="shared" si="70"/>
        <v>#N/A</v>
      </c>
      <c r="F1485" s="28" t="str">
        <f t="shared" ca="1" si="71"/>
        <v/>
      </c>
    </row>
    <row r="1486" spans="2:6" x14ac:dyDescent="0.2">
      <c r="B1486" t="str">
        <f>IFERROR(IF('PDCA review'!$D$2='Check'!B1486,'Check'!G1486,""),"")</f>
        <v/>
      </c>
      <c r="C1486">
        <f t="shared" si="69"/>
        <v>0</v>
      </c>
      <c r="D1486">
        <f>SUM($C$3:C1486)</f>
        <v>4</v>
      </c>
      <c r="E1486" t="e">
        <f t="shared" si="70"/>
        <v>#N/A</v>
      </c>
      <c r="F1486" s="28" t="str">
        <f t="shared" ca="1" si="71"/>
        <v/>
      </c>
    </row>
    <row r="1487" spans="2:6" x14ac:dyDescent="0.2">
      <c r="B1487" t="str">
        <f>IFERROR(IF('PDCA review'!$D$2='Check'!B1487,'Check'!G1487,""),"")</f>
        <v/>
      </c>
      <c r="C1487">
        <f t="shared" si="69"/>
        <v>0</v>
      </c>
      <c r="D1487">
        <f>SUM($C$3:C1487)</f>
        <v>4</v>
      </c>
      <c r="E1487" t="e">
        <f t="shared" si="70"/>
        <v>#N/A</v>
      </c>
      <c r="F1487" s="28" t="str">
        <f t="shared" ca="1" si="71"/>
        <v/>
      </c>
    </row>
    <row r="1488" spans="2:6" x14ac:dyDescent="0.2">
      <c r="B1488" t="str">
        <f>IFERROR(IF('PDCA review'!$D$2='Check'!B1488,'Check'!G1488,""),"")</f>
        <v/>
      </c>
      <c r="C1488">
        <f t="shared" si="69"/>
        <v>0</v>
      </c>
      <c r="D1488">
        <f>SUM($C$3:C1488)</f>
        <v>4</v>
      </c>
      <c r="E1488" t="e">
        <f t="shared" si="70"/>
        <v>#N/A</v>
      </c>
      <c r="F1488" s="28" t="str">
        <f t="shared" ca="1" si="71"/>
        <v/>
      </c>
    </row>
    <row r="1489" spans="2:6" x14ac:dyDescent="0.2">
      <c r="B1489" t="str">
        <f>IFERROR(IF('PDCA review'!$D$2='Check'!B1489,'Check'!G1489,""),"")</f>
        <v/>
      </c>
      <c r="C1489">
        <f t="shared" si="69"/>
        <v>0</v>
      </c>
      <c r="D1489">
        <f>SUM($C$3:C1489)</f>
        <v>4</v>
      </c>
      <c r="E1489" t="e">
        <f t="shared" si="70"/>
        <v>#N/A</v>
      </c>
      <c r="F1489" s="28" t="str">
        <f t="shared" ca="1" si="71"/>
        <v/>
      </c>
    </row>
    <row r="1490" spans="2:6" x14ac:dyDescent="0.2">
      <c r="B1490" t="str">
        <f>IFERROR(IF('PDCA review'!$D$2='Check'!B1490,'Check'!G1490,""),"")</f>
        <v/>
      </c>
      <c r="C1490">
        <f t="shared" si="69"/>
        <v>0</v>
      </c>
      <c r="D1490">
        <f>SUM($C$3:C1490)</f>
        <v>4</v>
      </c>
      <c r="E1490" t="e">
        <f t="shared" si="70"/>
        <v>#N/A</v>
      </c>
      <c r="F1490" s="28" t="str">
        <f t="shared" ca="1" si="71"/>
        <v/>
      </c>
    </row>
    <row r="1491" spans="2:6" x14ac:dyDescent="0.2">
      <c r="B1491" t="str">
        <f>IFERROR(IF('PDCA review'!$D$2='Check'!B1491,'Check'!G1491,""),"")</f>
        <v/>
      </c>
      <c r="C1491">
        <f t="shared" si="69"/>
        <v>0</v>
      </c>
      <c r="D1491">
        <f>SUM($C$3:C1491)</f>
        <v>4</v>
      </c>
      <c r="E1491" t="e">
        <f t="shared" si="70"/>
        <v>#N/A</v>
      </c>
      <c r="F1491" s="28" t="str">
        <f t="shared" ca="1" si="71"/>
        <v/>
      </c>
    </row>
    <row r="1492" spans="2:6" x14ac:dyDescent="0.2">
      <c r="B1492" t="str">
        <f>IFERROR(IF('PDCA review'!$D$2='Check'!B1492,'Check'!G1492,""),"")</f>
        <v/>
      </c>
      <c r="C1492">
        <f t="shared" si="69"/>
        <v>0</v>
      </c>
      <c r="D1492">
        <f>SUM($C$3:C1492)</f>
        <v>4</v>
      </c>
      <c r="E1492" t="e">
        <f t="shared" si="70"/>
        <v>#N/A</v>
      </c>
      <c r="F1492" s="28" t="str">
        <f t="shared" ca="1" si="71"/>
        <v/>
      </c>
    </row>
    <row r="1493" spans="2:6" x14ac:dyDescent="0.2">
      <c r="B1493" t="str">
        <f>IFERROR(IF('PDCA review'!$D$2='Check'!B1493,'Check'!G1493,""),"")</f>
        <v/>
      </c>
      <c r="C1493">
        <f t="shared" si="69"/>
        <v>0</v>
      </c>
      <c r="D1493">
        <f>SUM($C$3:C1493)</f>
        <v>4</v>
      </c>
      <c r="E1493" t="e">
        <f t="shared" si="70"/>
        <v>#N/A</v>
      </c>
      <c r="F1493" s="28" t="str">
        <f t="shared" ca="1" si="71"/>
        <v/>
      </c>
    </row>
    <row r="1494" spans="2:6" x14ac:dyDescent="0.2">
      <c r="B1494" t="str">
        <f>IFERROR(IF('PDCA review'!$D$2='Check'!B1494,'Check'!G1494,""),"")</f>
        <v/>
      </c>
      <c r="C1494">
        <f t="shared" si="69"/>
        <v>0</v>
      </c>
      <c r="D1494">
        <f>SUM($C$3:C1494)</f>
        <v>4</v>
      </c>
      <c r="E1494" t="e">
        <f t="shared" si="70"/>
        <v>#N/A</v>
      </c>
      <c r="F1494" s="28" t="str">
        <f t="shared" ca="1" si="71"/>
        <v/>
      </c>
    </row>
    <row r="1495" spans="2:6" x14ac:dyDescent="0.2">
      <c r="B1495" t="str">
        <f>IFERROR(IF('PDCA review'!$D$2='Check'!B1495,'Check'!G1495,""),"")</f>
        <v/>
      </c>
      <c r="C1495">
        <f t="shared" si="69"/>
        <v>0</v>
      </c>
      <c r="D1495">
        <f>SUM($C$3:C1495)</f>
        <v>4</v>
      </c>
      <c r="E1495" t="e">
        <f t="shared" si="70"/>
        <v>#N/A</v>
      </c>
      <c r="F1495" s="28" t="str">
        <f t="shared" ca="1" si="71"/>
        <v/>
      </c>
    </row>
    <row r="1496" spans="2:6" x14ac:dyDescent="0.2">
      <c r="B1496" t="str">
        <f>IFERROR(IF('PDCA review'!$D$2='Check'!B1496,'Check'!G1496,""),"")</f>
        <v/>
      </c>
      <c r="C1496">
        <f t="shared" si="69"/>
        <v>0</v>
      </c>
      <c r="D1496">
        <f>SUM($C$3:C1496)</f>
        <v>4</v>
      </c>
      <c r="E1496" t="e">
        <f t="shared" si="70"/>
        <v>#N/A</v>
      </c>
      <c r="F1496" s="28" t="str">
        <f t="shared" ca="1" si="71"/>
        <v/>
      </c>
    </row>
    <row r="1497" spans="2:6" x14ac:dyDescent="0.2">
      <c r="B1497" t="str">
        <f>IFERROR(IF('PDCA review'!$D$2='Check'!B1497,'Check'!G1497,""),"")</f>
        <v/>
      </c>
      <c r="C1497">
        <f t="shared" si="69"/>
        <v>0</v>
      </c>
      <c r="D1497">
        <f>SUM($C$3:C1497)</f>
        <v>4</v>
      </c>
      <c r="E1497" t="e">
        <f t="shared" si="70"/>
        <v>#N/A</v>
      </c>
      <c r="F1497" s="28" t="str">
        <f t="shared" ca="1" si="71"/>
        <v/>
      </c>
    </row>
    <row r="1498" spans="2:6" x14ac:dyDescent="0.2">
      <c r="B1498" t="str">
        <f>IFERROR(IF('PDCA review'!$D$2='Check'!B1498,'Check'!G1498,""),"")</f>
        <v/>
      </c>
      <c r="C1498">
        <f t="shared" si="69"/>
        <v>0</v>
      </c>
      <c r="D1498">
        <f>SUM($C$3:C1498)</f>
        <v>4</v>
      </c>
      <c r="E1498" t="e">
        <f t="shared" si="70"/>
        <v>#N/A</v>
      </c>
      <c r="F1498" s="28" t="str">
        <f t="shared" ca="1" si="71"/>
        <v/>
      </c>
    </row>
    <row r="1499" spans="2:6" x14ac:dyDescent="0.2">
      <c r="B1499" t="str">
        <f>IFERROR(IF('PDCA review'!$D$2='Check'!B1499,'Check'!G1499,""),"")</f>
        <v/>
      </c>
      <c r="C1499">
        <f t="shared" si="69"/>
        <v>0</v>
      </c>
      <c r="D1499">
        <f>SUM($C$3:C1499)</f>
        <v>4</v>
      </c>
      <c r="E1499" t="e">
        <f t="shared" si="70"/>
        <v>#N/A</v>
      </c>
      <c r="F1499" s="28" t="str">
        <f t="shared" ca="1" si="71"/>
        <v/>
      </c>
    </row>
    <row r="1500" spans="2:6" x14ac:dyDescent="0.2">
      <c r="B1500" t="str">
        <f>IFERROR(IF('PDCA review'!$D$2='Check'!B1500,'Check'!G1500,""),"")</f>
        <v/>
      </c>
      <c r="C1500">
        <f t="shared" si="69"/>
        <v>0</v>
      </c>
      <c r="D1500">
        <f>SUM($C$3:C1500)</f>
        <v>4</v>
      </c>
      <c r="E1500" t="e">
        <f t="shared" si="70"/>
        <v>#N/A</v>
      </c>
      <c r="F1500" s="28" t="str">
        <f t="shared" ca="1" si="71"/>
        <v/>
      </c>
    </row>
    <row r="1501" spans="2:6" x14ac:dyDescent="0.2">
      <c r="B1501" t="str">
        <f>IFERROR(IF('PDCA review'!$D$2='Check'!B1501,'Check'!G1501,""),"")</f>
        <v/>
      </c>
      <c r="C1501">
        <f t="shared" si="69"/>
        <v>0</v>
      </c>
      <c r="D1501">
        <f>SUM($C$3:C1501)</f>
        <v>4</v>
      </c>
      <c r="E1501" t="e">
        <f t="shared" si="70"/>
        <v>#N/A</v>
      </c>
      <c r="F1501" s="28" t="str">
        <f t="shared" ca="1" si="71"/>
        <v/>
      </c>
    </row>
    <row r="1502" spans="2:6" x14ac:dyDescent="0.2">
      <c r="B1502" t="str">
        <f>IFERROR(IF('PDCA review'!$D$2='Check'!B1502,'Check'!G1502,""),"")</f>
        <v/>
      </c>
      <c r="C1502">
        <f t="shared" si="69"/>
        <v>0</v>
      </c>
      <c r="D1502">
        <f>SUM($C$3:C1502)</f>
        <v>4</v>
      </c>
      <c r="E1502" t="e">
        <f t="shared" si="70"/>
        <v>#N/A</v>
      </c>
      <c r="F1502" s="28" t="str">
        <f t="shared" ca="1" si="71"/>
        <v/>
      </c>
    </row>
    <row r="1503" spans="2:6" x14ac:dyDescent="0.2">
      <c r="B1503" t="str">
        <f>IFERROR(IF('PDCA review'!$D$2='Check'!B1503,'Check'!G1503,""),"")</f>
        <v/>
      </c>
      <c r="C1503">
        <f t="shared" si="69"/>
        <v>0</v>
      </c>
      <c r="D1503">
        <f>SUM($C$3:C1503)</f>
        <v>4</v>
      </c>
      <c r="E1503" t="e">
        <f t="shared" si="70"/>
        <v>#N/A</v>
      </c>
      <c r="F1503" s="28" t="str">
        <f t="shared" ca="1" si="71"/>
        <v/>
      </c>
    </row>
    <row r="1504" spans="2:6" x14ac:dyDescent="0.2">
      <c r="B1504" t="str">
        <f>IFERROR(IF('PDCA review'!$D$2='Check'!B1504,'Check'!G1504,""),"")</f>
        <v/>
      </c>
      <c r="C1504">
        <f t="shared" si="69"/>
        <v>0</v>
      </c>
      <c r="D1504">
        <f>SUM($C$3:C1504)</f>
        <v>4</v>
      </c>
      <c r="E1504" t="e">
        <f t="shared" si="70"/>
        <v>#N/A</v>
      </c>
      <c r="F1504" s="28" t="str">
        <f t="shared" ca="1" si="71"/>
        <v/>
      </c>
    </row>
    <row r="1505" spans="2:6" x14ac:dyDescent="0.2">
      <c r="B1505" t="str">
        <f>IFERROR(IF('PDCA review'!$D$2='Check'!B1505,'Check'!G1505,""),"")</f>
        <v/>
      </c>
      <c r="C1505">
        <f t="shared" si="69"/>
        <v>0</v>
      </c>
      <c r="D1505">
        <f>SUM($C$3:C1505)</f>
        <v>4</v>
      </c>
      <c r="E1505" t="e">
        <f t="shared" si="70"/>
        <v>#N/A</v>
      </c>
      <c r="F1505" s="28" t="str">
        <f t="shared" ca="1" si="71"/>
        <v/>
      </c>
    </row>
    <row r="1506" spans="2:6" x14ac:dyDescent="0.2">
      <c r="B1506" t="str">
        <f>IFERROR(IF('PDCA review'!$D$2='Check'!B1506,'Check'!G1506,""),"")</f>
        <v/>
      </c>
      <c r="C1506">
        <f t="shared" si="69"/>
        <v>0</v>
      </c>
      <c r="D1506">
        <f>SUM($C$3:C1506)</f>
        <v>4</v>
      </c>
      <c r="E1506" t="e">
        <f t="shared" si="70"/>
        <v>#N/A</v>
      </c>
      <c r="F1506" s="28" t="str">
        <f t="shared" ca="1" si="71"/>
        <v/>
      </c>
    </row>
    <row r="1507" spans="2:6" x14ac:dyDescent="0.2">
      <c r="B1507" t="str">
        <f>IFERROR(IF('PDCA review'!$D$2='Check'!B1507,'Check'!G1507,""),"")</f>
        <v/>
      </c>
      <c r="C1507">
        <f t="shared" si="69"/>
        <v>0</v>
      </c>
      <c r="D1507">
        <f>SUM($C$3:C1507)</f>
        <v>4</v>
      </c>
      <c r="E1507" t="e">
        <f t="shared" si="70"/>
        <v>#N/A</v>
      </c>
      <c r="F1507" s="28" t="str">
        <f t="shared" ca="1" si="71"/>
        <v/>
      </c>
    </row>
    <row r="1508" spans="2:6" x14ac:dyDescent="0.2">
      <c r="B1508" t="str">
        <f>IFERROR(IF('PDCA review'!$D$2='Check'!B1508,'Check'!G1508,""),"")</f>
        <v/>
      </c>
      <c r="C1508">
        <f t="shared" si="69"/>
        <v>0</v>
      </c>
      <c r="D1508">
        <f>SUM($C$3:C1508)</f>
        <v>4</v>
      </c>
      <c r="E1508" t="e">
        <f t="shared" si="70"/>
        <v>#N/A</v>
      </c>
      <c r="F1508" s="28" t="str">
        <f t="shared" ca="1" si="71"/>
        <v/>
      </c>
    </row>
    <row r="1509" spans="2:6" x14ac:dyDescent="0.2">
      <c r="B1509" t="str">
        <f>IFERROR(IF('PDCA review'!$D$2='Check'!B1509,'Check'!G1509,""),"")</f>
        <v/>
      </c>
      <c r="C1509">
        <f t="shared" si="69"/>
        <v>0</v>
      </c>
      <c r="D1509">
        <f>SUM($C$3:C1509)</f>
        <v>4</v>
      </c>
      <c r="E1509" t="e">
        <f t="shared" si="70"/>
        <v>#N/A</v>
      </c>
      <c r="F1509" s="28" t="str">
        <f t="shared" ca="1" si="71"/>
        <v/>
      </c>
    </row>
    <row r="1510" spans="2:6" x14ac:dyDescent="0.2">
      <c r="B1510" t="str">
        <f>IFERROR(IF('PDCA review'!$D$2='Check'!B1510,'Check'!G1510,""),"")</f>
        <v/>
      </c>
      <c r="C1510">
        <f t="shared" si="69"/>
        <v>0</v>
      </c>
      <c r="D1510">
        <f>SUM($C$3:C1510)</f>
        <v>4</v>
      </c>
      <c r="E1510" t="e">
        <f t="shared" si="70"/>
        <v>#N/A</v>
      </c>
      <c r="F1510" s="28" t="str">
        <f t="shared" ca="1" si="71"/>
        <v/>
      </c>
    </row>
    <row r="1511" spans="2:6" x14ac:dyDescent="0.2">
      <c r="B1511" t="str">
        <f>IFERROR(IF('PDCA review'!$D$2='Check'!B1511,'Check'!G1511,""),"")</f>
        <v/>
      </c>
      <c r="C1511">
        <f t="shared" si="69"/>
        <v>0</v>
      </c>
      <c r="D1511">
        <f>SUM($C$3:C1511)</f>
        <v>4</v>
      </c>
      <c r="E1511" t="e">
        <f t="shared" si="70"/>
        <v>#N/A</v>
      </c>
      <c r="F1511" s="28" t="str">
        <f t="shared" ca="1" si="71"/>
        <v/>
      </c>
    </row>
    <row r="1512" spans="2:6" x14ac:dyDescent="0.2">
      <c r="B1512" t="str">
        <f>IFERROR(IF('PDCA review'!$D$2='Check'!B1512,'Check'!G1512,""),"")</f>
        <v/>
      </c>
      <c r="C1512">
        <f t="shared" si="69"/>
        <v>0</v>
      </c>
      <c r="D1512">
        <f>SUM($C$3:C1512)</f>
        <v>4</v>
      </c>
      <c r="E1512" t="e">
        <f t="shared" si="70"/>
        <v>#N/A</v>
      </c>
      <c r="F1512" s="28" t="str">
        <f t="shared" ca="1" si="71"/>
        <v/>
      </c>
    </row>
    <row r="1513" spans="2:6" x14ac:dyDescent="0.2">
      <c r="B1513" t="str">
        <f>IFERROR(IF('PDCA review'!$D$2='Check'!B1513,'Check'!G1513,""),"")</f>
        <v/>
      </c>
      <c r="C1513">
        <f t="shared" si="69"/>
        <v>0</v>
      </c>
      <c r="D1513">
        <f>SUM($C$3:C1513)</f>
        <v>4</v>
      </c>
      <c r="E1513" t="e">
        <f t="shared" si="70"/>
        <v>#N/A</v>
      </c>
      <c r="F1513" s="28" t="str">
        <f t="shared" ca="1" si="71"/>
        <v/>
      </c>
    </row>
    <row r="1514" spans="2:6" x14ac:dyDescent="0.2">
      <c r="B1514" t="str">
        <f>IFERROR(IF('PDCA review'!$D$2='Check'!B1514,'Check'!G1514,""),"")</f>
        <v/>
      </c>
      <c r="C1514">
        <f t="shared" si="69"/>
        <v>0</v>
      </c>
      <c r="D1514">
        <f>SUM($C$3:C1514)</f>
        <v>4</v>
      </c>
      <c r="E1514" t="e">
        <f t="shared" si="70"/>
        <v>#N/A</v>
      </c>
      <c r="F1514" s="28" t="str">
        <f t="shared" ca="1" si="71"/>
        <v/>
      </c>
    </row>
    <row r="1515" spans="2:6" x14ac:dyDescent="0.2">
      <c r="B1515" t="str">
        <f>IFERROR(IF('PDCA review'!$D$2='Check'!B1515,'Check'!G1515,""),"")</f>
        <v/>
      </c>
      <c r="C1515">
        <f t="shared" si="69"/>
        <v>0</v>
      </c>
      <c r="D1515">
        <f>SUM($C$3:C1515)</f>
        <v>4</v>
      </c>
      <c r="E1515" t="e">
        <f t="shared" si="70"/>
        <v>#N/A</v>
      </c>
      <c r="F1515" s="28" t="str">
        <f t="shared" ca="1" si="71"/>
        <v/>
      </c>
    </row>
    <row r="1516" spans="2:6" x14ac:dyDescent="0.2">
      <c r="B1516" t="str">
        <f>IFERROR(IF('PDCA review'!$D$2='Check'!B1516,'Check'!G1516,""),"")</f>
        <v/>
      </c>
      <c r="C1516">
        <f t="shared" si="69"/>
        <v>0</v>
      </c>
      <c r="D1516">
        <f>SUM($C$3:C1516)</f>
        <v>4</v>
      </c>
      <c r="E1516" t="e">
        <f t="shared" si="70"/>
        <v>#N/A</v>
      </c>
      <c r="F1516" s="28" t="str">
        <f t="shared" ca="1" si="71"/>
        <v/>
      </c>
    </row>
    <row r="1517" spans="2:6" x14ac:dyDescent="0.2">
      <c r="B1517" t="str">
        <f>IFERROR(IF('PDCA review'!$D$2='Check'!B1517,'Check'!G1517,""),"")</f>
        <v/>
      </c>
      <c r="C1517">
        <f t="shared" si="69"/>
        <v>0</v>
      </c>
      <c r="D1517">
        <f>SUM($C$3:C1517)</f>
        <v>4</v>
      </c>
      <c r="E1517" t="e">
        <f t="shared" si="70"/>
        <v>#N/A</v>
      </c>
      <c r="F1517" s="28" t="str">
        <f t="shared" ca="1" si="71"/>
        <v/>
      </c>
    </row>
    <row r="1518" spans="2:6" x14ac:dyDescent="0.2">
      <c r="B1518" t="str">
        <f>IFERROR(IF('PDCA review'!$D$2='Check'!B1518,'Check'!G1518,""),"")</f>
        <v/>
      </c>
      <c r="C1518">
        <f t="shared" si="69"/>
        <v>0</v>
      </c>
      <c r="D1518">
        <f>SUM($C$3:C1518)</f>
        <v>4</v>
      </c>
      <c r="E1518" t="e">
        <f t="shared" si="70"/>
        <v>#N/A</v>
      </c>
      <c r="F1518" s="28" t="str">
        <f t="shared" ca="1" si="71"/>
        <v/>
      </c>
    </row>
    <row r="1519" spans="2:6" x14ac:dyDescent="0.2">
      <c r="B1519" t="str">
        <f>IFERROR(IF('PDCA review'!$D$2='Check'!B1519,'Check'!G1519,""),"")</f>
        <v/>
      </c>
      <c r="C1519">
        <f t="shared" si="69"/>
        <v>0</v>
      </c>
      <c r="D1519">
        <f>SUM($C$3:C1519)</f>
        <v>4</v>
      </c>
      <c r="E1519" t="e">
        <f t="shared" si="70"/>
        <v>#N/A</v>
      </c>
      <c r="F1519" s="28" t="str">
        <f t="shared" ca="1" si="71"/>
        <v/>
      </c>
    </row>
    <row r="1520" spans="2:6" x14ac:dyDescent="0.2">
      <c r="B1520" t="str">
        <f>IFERROR(IF('PDCA review'!$D$2='Check'!B1520,'Check'!G1520,""),"")</f>
        <v/>
      </c>
      <c r="C1520">
        <f t="shared" si="69"/>
        <v>0</v>
      </c>
      <c r="D1520">
        <f>SUM($C$3:C1520)</f>
        <v>4</v>
      </c>
      <c r="E1520" t="e">
        <f t="shared" si="70"/>
        <v>#N/A</v>
      </c>
      <c r="F1520" s="28" t="str">
        <f t="shared" ca="1" si="71"/>
        <v/>
      </c>
    </row>
    <row r="1521" spans="2:6" x14ac:dyDescent="0.2">
      <c r="B1521" t="str">
        <f>IFERROR(IF('PDCA review'!$D$2='Check'!B1521,'Check'!G1521,""),"")</f>
        <v/>
      </c>
      <c r="C1521">
        <f t="shared" si="69"/>
        <v>0</v>
      </c>
      <c r="D1521">
        <f>SUM($C$3:C1521)</f>
        <v>4</v>
      </c>
      <c r="E1521" t="e">
        <f t="shared" si="70"/>
        <v>#N/A</v>
      </c>
      <c r="F1521" s="28" t="str">
        <f t="shared" ca="1" si="71"/>
        <v/>
      </c>
    </row>
    <row r="1522" spans="2:6" x14ac:dyDescent="0.2">
      <c r="B1522" t="str">
        <f>IFERROR(IF('PDCA review'!$D$2='Check'!B1522,'Check'!G1522,""),"")</f>
        <v/>
      </c>
      <c r="C1522">
        <f t="shared" si="69"/>
        <v>0</v>
      </c>
      <c r="D1522">
        <f>SUM($C$3:C1522)</f>
        <v>4</v>
      </c>
      <c r="E1522" t="e">
        <f t="shared" si="70"/>
        <v>#N/A</v>
      </c>
      <c r="F1522" s="28" t="str">
        <f t="shared" ca="1" si="71"/>
        <v/>
      </c>
    </row>
    <row r="1523" spans="2:6" x14ac:dyDescent="0.2">
      <c r="B1523" t="str">
        <f>IFERROR(IF('PDCA review'!$D$2='Check'!B1523,'Check'!G1523,""),"")</f>
        <v/>
      </c>
      <c r="C1523">
        <f t="shared" si="69"/>
        <v>0</v>
      </c>
      <c r="D1523">
        <f>SUM($C$3:C1523)</f>
        <v>4</v>
      </c>
      <c r="E1523" t="e">
        <f t="shared" si="70"/>
        <v>#N/A</v>
      </c>
      <c r="F1523" s="28" t="str">
        <f t="shared" ca="1" si="71"/>
        <v/>
      </c>
    </row>
    <row r="1524" spans="2:6" x14ac:dyDescent="0.2">
      <c r="B1524" t="str">
        <f>IFERROR(IF('PDCA review'!$D$2='Check'!B1524,'Check'!G1524,""),"")</f>
        <v/>
      </c>
      <c r="C1524">
        <f t="shared" si="69"/>
        <v>0</v>
      </c>
      <c r="D1524">
        <f>SUM($C$3:C1524)</f>
        <v>4</v>
      </c>
      <c r="E1524" t="e">
        <f t="shared" si="70"/>
        <v>#N/A</v>
      </c>
      <c r="F1524" s="28" t="str">
        <f t="shared" ca="1" si="71"/>
        <v/>
      </c>
    </row>
    <row r="1525" spans="2:6" x14ac:dyDescent="0.2">
      <c r="B1525" t="str">
        <f>IFERROR(IF('PDCA review'!$D$2='Check'!B1525,'Check'!G1525,""),"")</f>
        <v/>
      </c>
      <c r="C1525">
        <f t="shared" si="69"/>
        <v>0</v>
      </c>
      <c r="D1525">
        <f>SUM($C$3:C1525)</f>
        <v>4</v>
      </c>
      <c r="E1525" t="e">
        <f t="shared" si="70"/>
        <v>#N/A</v>
      </c>
      <c r="F1525" s="28" t="str">
        <f t="shared" ca="1" si="71"/>
        <v/>
      </c>
    </row>
    <row r="1526" spans="2:6" x14ac:dyDescent="0.2">
      <c r="B1526" t="str">
        <f>IFERROR(IF('PDCA review'!$D$2='Check'!B1526,'Check'!G1526,""),"")</f>
        <v/>
      </c>
      <c r="C1526">
        <f t="shared" si="69"/>
        <v>0</v>
      </c>
      <c r="D1526">
        <f>SUM($C$3:C1526)</f>
        <v>4</v>
      </c>
      <c r="E1526" t="e">
        <f t="shared" si="70"/>
        <v>#N/A</v>
      </c>
      <c r="F1526" s="28" t="str">
        <f t="shared" ca="1" si="71"/>
        <v/>
      </c>
    </row>
    <row r="1527" spans="2:6" x14ac:dyDescent="0.2">
      <c r="B1527" t="str">
        <f>IFERROR(IF('PDCA review'!$D$2='Check'!B1527,'Check'!G1527,""),"")</f>
        <v/>
      </c>
      <c r="C1527">
        <f t="shared" si="69"/>
        <v>0</v>
      </c>
      <c r="D1527">
        <f>SUM($C$3:C1527)</f>
        <v>4</v>
      </c>
      <c r="E1527" t="e">
        <f t="shared" si="70"/>
        <v>#N/A</v>
      </c>
      <c r="F1527" s="28" t="str">
        <f t="shared" ca="1" si="71"/>
        <v/>
      </c>
    </row>
    <row r="1528" spans="2:6" x14ac:dyDescent="0.2">
      <c r="B1528" t="str">
        <f>IFERROR(IF('PDCA review'!$D$2='Check'!B1528,'Check'!G1528,""),"")</f>
        <v/>
      </c>
      <c r="C1528">
        <f t="shared" si="69"/>
        <v>0</v>
      </c>
      <c r="D1528">
        <f>SUM($C$3:C1528)</f>
        <v>4</v>
      </c>
      <c r="E1528" t="e">
        <f t="shared" si="70"/>
        <v>#N/A</v>
      </c>
      <c r="F1528" s="28" t="str">
        <f t="shared" ca="1" si="71"/>
        <v/>
      </c>
    </row>
    <row r="1529" spans="2:6" x14ac:dyDescent="0.2">
      <c r="B1529" t="str">
        <f>IFERROR(IF('PDCA review'!$D$2='Check'!B1529,'Check'!G1529,""),"")</f>
        <v/>
      </c>
      <c r="C1529">
        <f t="shared" si="69"/>
        <v>0</v>
      </c>
      <c r="D1529">
        <f>SUM($C$3:C1529)</f>
        <v>4</v>
      </c>
      <c r="E1529" t="e">
        <f t="shared" si="70"/>
        <v>#N/A</v>
      </c>
      <c r="F1529" s="28" t="str">
        <f t="shared" ca="1" si="71"/>
        <v/>
      </c>
    </row>
    <row r="1530" spans="2:6" x14ac:dyDescent="0.2">
      <c r="B1530" t="str">
        <f>IFERROR(IF('PDCA review'!$D$2='Check'!B1530,'Check'!G1530,""),"")</f>
        <v/>
      </c>
      <c r="C1530">
        <f t="shared" si="69"/>
        <v>0</v>
      </c>
      <c r="D1530">
        <f>SUM($C$3:C1530)</f>
        <v>4</v>
      </c>
      <c r="E1530" t="e">
        <f t="shared" si="70"/>
        <v>#N/A</v>
      </c>
      <c r="F1530" s="28" t="str">
        <f t="shared" ca="1" si="71"/>
        <v/>
      </c>
    </row>
    <row r="1531" spans="2:6" x14ac:dyDescent="0.2">
      <c r="B1531" t="str">
        <f>IFERROR(IF('PDCA review'!$D$2='Check'!B1531,'Check'!G1531,""),"")</f>
        <v/>
      </c>
      <c r="C1531">
        <f t="shared" si="69"/>
        <v>0</v>
      </c>
      <c r="D1531">
        <f>SUM($C$3:C1531)</f>
        <v>4</v>
      </c>
      <c r="E1531" t="e">
        <f t="shared" si="70"/>
        <v>#N/A</v>
      </c>
      <c r="F1531" s="28" t="str">
        <f t="shared" ca="1" si="71"/>
        <v/>
      </c>
    </row>
    <row r="1532" spans="2:6" x14ac:dyDescent="0.2">
      <c r="B1532" t="str">
        <f>IFERROR(IF('PDCA review'!$D$2='Check'!B1532,'Check'!G1532,""),"")</f>
        <v/>
      </c>
      <c r="C1532">
        <f t="shared" si="69"/>
        <v>0</v>
      </c>
      <c r="D1532">
        <f>SUM($C$3:C1532)</f>
        <v>4</v>
      </c>
      <c r="E1532" t="e">
        <f t="shared" si="70"/>
        <v>#N/A</v>
      </c>
      <c r="F1532" s="28" t="str">
        <f t="shared" ca="1" si="71"/>
        <v/>
      </c>
    </row>
    <row r="1533" spans="2:6" x14ac:dyDescent="0.2">
      <c r="B1533" t="str">
        <f>IFERROR(IF('PDCA review'!$D$2='Check'!B1533,'Check'!G1533,""),"")</f>
        <v/>
      </c>
      <c r="C1533">
        <f t="shared" si="69"/>
        <v>0</v>
      </c>
      <c r="D1533">
        <f>SUM($C$3:C1533)</f>
        <v>4</v>
      </c>
      <c r="E1533" t="e">
        <f t="shared" si="70"/>
        <v>#N/A</v>
      </c>
      <c r="F1533" s="28" t="str">
        <f t="shared" ca="1" si="71"/>
        <v/>
      </c>
    </row>
    <row r="1534" spans="2:6" x14ac:dyDescent="0.2">
      <c r="B1534" t="str">
        <f>IFERROR(IF('PDCA review'!$D$2='Check'!B1534,'Check'!G1534,""),"")</f>
        <v/>
      </c>
      <c r="C1534">
        <f t="shared" si="69"/>
        <v>0</v>
      </c>
      <c r="D1534">
        <f>SUM($C$3:C1534)</f>
        <v>4</v>
      </c>
      <c r="E1534" t="e">
        <f t="shared" si="70"/>
        <v>#N/A</v>
      </c>
      <c r="F1534" s="28" t="str">
        <f t="shared" ca="1" si="71"/>
        <v/>
      </c>
    </row>
    <row r="1535" spans="2:6" x14ac:dyDescent="0.2">
      <c r="B1535" t="str">
        <f>IFERROR(IF('PDCA review'!$D$2='Check'!B1535,'Check'!G1535,""),"")</f>
        <v/>
      </c>
      <c r="C1535">
        <f t="shared" si="69"/>
        <v>0</v>
      </c>
      <c r="D1535">
        <f>SUM($C$3:C1535)</f>
        <v>4</v>
      </c>
      <c r="E1535" t="e">
        <f t="shared" si="70"/>
        <v>#N/A</v>
      </c>
      <c r="F1535" s="28" t="str">
        <f t="shared" ca="1" si="71"/>
        <v/>
      </c>
    </row>
    <row r="1536" spans="2:6" x14ac:dyDescent="0.2">
      <c r="B1536" t="str">
        <f>IFERROR(IF('PDCA review'!$D$2='Check'!B1536,'Check'!G1536,""),"")</f>
        <v/>
      </c>
      <c r="C1536">
        <f t="shared" si="69"/>
        <v>0</v>
      </c>
      <c r="D1536">
        <f>SUM($C$3:C1536)</f>
        <v>4</v>
      </c>
      <c r="E1536" t="e">
        <f t="shared" si="70"/>
        <v>#N/A</v>
      </c>
      <c r="F1536" s="28" t="str">
        <f t="shared" ca="1" si="71"/>
        <v/>
      </c>
    </row>
    <row r="1537" spans="2:6" x14ac:dyDescent="0.2">
      <c r="B1537" t="str">
        <f>IFERROR(IF('PDCA review'!$D$2='Check'!B1537,'Check'!G1537,""),"")</f>
        <v/>
      </c>
      <c r="C1537">
        <f t="shared" si="69"/>
        <v>0</v>
      </c>
      <c r="D1537">
        <f>SUM($C$3:C1537)</f>
        <v>4</v>
      </c>
      <c r="E1537" t="e">
        <f t="shared" si="70"/>
        <v>#N/A</v>
      </c>
      <c r="F1537" s="28" t="str">
        <f t="shared" ca="1" si="71"/>
        <v/>
      </c>
    </row>
    <row r="1538" spans="2:6" x14ac:dyDescent="0.2">
      <c r="B1538" t="str">
        <f>IFERROR(IF('PDCA review'!$D$2='Check'!B1538,'Check'!G1538,""),"")</f>
        <v/>
      </c>
      <c r="C1538">
        <f t="shared" si="69"/>
        <v>0</v>
      </c>
      <c r="D1538">
        <f>SUM($C$3:C1538)</f>
        <v>4</v>
      </c>
      <c r="E1538" t="e">
        <f t="shared" si="70"/>
        <v>#N/A</v>
      </c>
      <c r="F1538" s="28" t="str">
        <f t="shared" ca="1" si="71"/>
        <v/>
      </c>
    </row>
    <row r="1539" spans="2:6" x14ac:dyDescent="0.2">
      <c r="B1539" t="str">
        <f>IFERROR(IF('PDCA review'!$D$2='Check'!B1539,'Check'!G1539,""),"")</f>
        <v/>
      </c>
      <c r="C1539">
        <f t="shared" si="69"/>
        <v>0</v>
      </c>
      <c r="D1539">
        <f>SUM($C$3:C1539)</f>
        <v>4</v>
      </c>
      <c r="E1539" t="e">
        <f t="shared" si="70"/>
        <v>#N/A</v>
      </c>
      <c r="F1539" s="28" t="str">
        <f t="shared" ca="1" si="71"/>
        <v/>
      </c>
    </row>
    <row r="1540" spans="2:6" x14ac:dyDescent="0.2">
      <c r="B1540" t="str">
        <f>IFERROR(IF('PDCA review'!$D$2='Check'!B1540,'Check'!G1540,""),"")</f>
        <v/>
      </c>
      <c r="C1540">
        <f t="shared" ref="C1540:C1603" si="72">IF(B1540&lt;&gt;"",1,0)</f>
        <v>0</v>
      </c>
      <c r="D1540">
        <f>SUM($C$3:C1540)</f>
        <v>4</v>
      </c>
      <c r="E1540" t="e">
        <f t="shared" ref="E1540:E1603" si="73">MATCH(ROW()-$D$2,$D$3:$D$2000,0)+$D$2</f>
        <v>#N/A</v>
      </c>
      <c r="F1540" s="28" t="str">
        <f t="shared" ref="F1540:F1603" ca="1" si="74">IFERROR(INDIRECT("B"&amp;E1540),"")</f>
        <v/>
      </c>
    </row>
    <row r="1541" spans="2:6" x14ac:dyDescent="0.2">
      <c r="B1541" t="str">
        <f>IFERROR(IF('PDCA review'!$D$2='Check'!B1541,'Check'!G1541,""),"")</f>
        <v/>
      </c>
      <c r="C1541">
        <f t="shared" si="72"/>
        <v>0</v>
      </c>
      <c r="D1541">
        <f>SUM($C$3:C1541)</f>
        <v>4</v>
      </c>
      <c r="E1541" t="e">
        <f t="shared" si="73"/>
        <v>#N/A</v>
      </c>
      <c r="F1541" s="28" t="str">
        <f t="shared" ca="1" si="74"/>
        <v/>
      </c>
    </row>
    <row r="1542" spans="2:6" x14ac:dyDescent="0.2">
      <c r="B1542" t="str">
        <f>IFERROR(IF('PDCA review'!$D$2='Check'!B1542,'Check'!G1542,""),"")</f>
        <v/>
      </c>
      <c r="C1542">
        <f t="shared" si="72"/>
        <v>0</v>
      </c>
      <c r="D1542">
        <f>SUM($C$3:C1542)</f>
        <v>4</v>
      </c>
      <c r="E1542" t="e">
        <f t="shared" si="73"/>
        <v>#N/A</v>
      </c>
      <c r="F1542" s="28" t="str">
        <f t="shared" ca="1" si="74"/>
        <v/>
      </c>
    </row>
    <row r="1543" spans="2:6" x14ac:dyDescent="0.2">
      <c r="B1543" t="str">
        <f>IFERROR(IF('PDCA review'!$D$2='Check'!B1543,'Check'!G1543,""),"")</f>
        <v/>
      </c>
      <c r="C1543">
        <f t="shared" si="72"/>
        <v>0</v>
      </c>
      <c r="D1543">
        <f>SUM($C$3:C1543)</f>
        <v>4</v>
      </c>
      <c r="E1543" t="e">
        <f t="shared" si="73"/>
        <v>#N/A</v>
      </c>
      <c r="F1543" s="28" t="str">
        <f t="shared" ca="1" si="74"/>
        <v/>
      </c>
    </row>
    <row r="1544" spans="2:6" x14ac:dyDescent="0.2">
      <c r="B1544" t="str">
        <f>IFERROR(IF('PDCA review'!$D$2='Check'!B1544,'Check'!G1544,""),"")</f>
        <v/>
      </c>
      <c r="C1544">
        <f t="shared" si="72"/>
        <v>0</v>
      </c>
      <c r="D1544">
        <f>SUM($C$3:C1544)</f>
        <v>4</v>
      </c>
      <c r="E1544" t="e">
        <f t="shared" si="73"/>
        <v>#N/A</v>
      </c>
      <c r="F1544" s="28" t="str">
        <f t="shared" ca="1" si="74"/>
        <v/>
      </c>
    </row>
    <row r="1545" spans="2:6" x14ac:dyDescent="0.2">
      <c r="B1545" t="str">
        <f>IFERROR(IF('PDCA review'!$D$2='Check'!B1545,'Check'!G1545,""),"")</f>
        <v/>
      </c>
      <c r="C1545">
        <f t="shared" si="72"/>
        <v>0</v>
      </c>
      <c r="D1545">
        <f>SUM($C$3:C1545)</f>
        <v>4</v>
      </c>
      <c r="E1545" t="e">
        <f t="shared" si="73"/>
        <v>#N/A</v>
      </c>
      <c r="F1545" s="28" t="str">
        <f t="shared" ca="1" si="74"/>
        <v/>
      </c>
    </row>
    <row r="1546" spans="2:6" x14ac:dyDescent="0.2">
      <c r="B1546" t="str">
        <f>IFERROR(IF('PDCA review'!$D$2='Check'!B1546,'Check'!G1546,""),"")</f>
        <v/>
      </c>
      <c r="C1546">
        <f t="shared" si="72"/>
        <v>0</v>
      </c>
      <c r="D1546">
        <f>SUM($C$3:C1546)</f>
        <v>4</v>
      </c>
      <c r="E1546" t="e">
        <f t="shared" si="73"/>
        <v>#N/A</v>
      </c>
      <c r="F1546" s="28" t="str">
        <f t="shared" ca="1" si="74"/>
        <v/>
      </c>
    </row>
    <row r="1547" spans="2:6" x14ac:dyDescent="0.2">
      <c r="B1547" t="str">
        <f>IFERROR(IF('PDCA review'!$D$2='Check'!B1547,'Check'!G1547,""),"")</f>
        <v/>
      </c>
      <c r="C1547">
        <f t="shared" si="72"/>
        <v>0</v>
      </c>
      <c r="D1547">
        <f>SUM($C$3:C1547)</f>
        <v>4</v>
      </c>
      <c r="E1547" t="e">
        <f t="shared" si="73"/>
        <v>#N/A</v>
      </c>
      <c r="F1547" s="28" t="str">
        <f t="shared" ca="1" si="74"/>
        <v/>
      </c>
    </row>
    <row r="1548" spans="2:6" x14ac:dyDescent="0.2">
      <c r="B1548" t="str">
        <f>IFERROR(IF('PDCA review'!$D$2='Check'!B1548,'Check'!G1548,""),"")</f>
        <v/>
      </c>
      <c r="C1548">
        <f t="shared" si="72"/>
        <v>0</v>
      </c>
      <c r="D1548">
        <f>SUM($C$3:C1548)</f>
        <v>4</v>
      </c>
      <c r="E1548" t="e">
        <f t="shared" si="73"/>
        <v>#N/A</v>
      </c>
      <c r="F1548" s="28" t="str">
        <f t="shared" ca="1" si="74"/>
        <v/>
      </c>
    </row>
    <row r="1549" spans="2:6" x14ac:dyDescent="0.2">
      <c r="B1549" t="str">
        <f>IFERROR(IF('PDCA review'!$D$2='Check'!B1549,'Check'!G1549,""),"")</f>
        <v/>
      </c>
      <c r="C1549">
        <f t="shared" si="72"/>
        <v>0</v>
      </c>
      <c r="D1549">
        <f>SUM($C$3:C1549)</f>
        <v>4</v>
      </c>
      <c r="E1549" t="e">
        <f t="shared" si="73"/>
        <v>#N/A</v>
      </c>
      <c r="F1549" s="28" t="str">
        <f t="shared" ca="1" si="74"/>
        <v/>
      </c>
    </row>
    <row r="1550" spans="2:6" x14ac:dyDescent="0.2">
      <c r="B1550" t="str">
        <f>IFERROR(IF('PDCA review'!$D$2='Check'!B1550,'Check'!G1550,""),"")</f>
        <v/>
      </c>
      <c r="C1550">
        <f t="shared" si="72"/>
        <v>0</v>
      </c>
      <c r="D1550">
        <f>SUM($C$3:C1550)</f>
        <v>4</v>
      </c>
      <c r="E1550" t="e">
        <f t="shared" si="73"/>
        <v>#N/A</v>
      </c>
      <c r="F1550" s="28" t="str">
        <f t="shared" ca="1" si="74"/>
        <v/>
      </c>
    </row>
    <row r="1551" spans="2:6" x14ac:dyDescent="0.2">
      <c r="B1551" t="str">
        <f>IFERROR(IF('PDCA review'!$D$2='Check'!B1551,'Check'!G1551,""),"")</f>
        <v/>
      </c>
      <c r="C1551">
        <f t="shared" si="72"/>
        <v>0</v>
      </c>
      <c r="D1551">
        <f>SUM($C$3:C1551)</f>
        <v>4</v>
      </c>
      <c r="E1551" t="e">
        <f t="shared" si="73"/>
        <v>#N/A</v>
      </c>
      <c r="F1551" s="28" t="str">
        <f t="shared" ca="1" si="74"/>
        <v/>
      </c>
    </row>
    <row r="1552" spans="2:6" x14ac:dyDescent="0.2">
      <c r="B1552" t="str">
        <f>IFERROR(IF('PDCA review'!$D$2='Check'!B1552,'Check'!G1552,""),"")</f>
        <v/>
      </c>
      <c r="C1552">
        <f t="shared" si="72"/>
        <v>0</v>
      </c>
      <c r="D1552">
        <f>SUM($C$3:C1552)</f>
        <v>4</v>
      </c>
      <c r="E1552" t="e">
        <f t="shared" si="73"/>
        <v>#N/A</v>
      </c>
      <c r="F1552" s="28" t="str">
        <f t="shared" ca="1" si="74"/>
        <v/>
      </c>
    </row>
    <row r="1553" spans="2:6" x14ac:dyDescent="0.2">
      <c r="B1553" t="str">
        <f>IFERROR(IF('PDCA review'!$D$2='Check'!B1553,'Check'!G1553,""),"")</f>
        <v/>
      </c>
      <c r="C1553">
        <f t="shared" si="72"/>
        <v>0</v>
      </c>
      <c r="D1553">
        <f>SUM($C$3:C1553)</f>
        <v>4</v>
      </c>
      <c r="E1553" t="e">
        <f t="shared" si="73"/>
        <v>#N/A</v>
      </c>
      <c r="F1553" s="28" t="str">
        <f t="shared" ca="1" si="74"/>
        <v/>
      </c>
    </row>
    <row r="1554" spans="2:6" x14ac:dyDescent="0.2">
      <c r="B1554" t="str">
        <f>IFERROR(IF('PDCA review'!$D$2='Check'!B1554,'Check'!G1554,""),"")</f>
        <v/>
      </c>
      <c r="C1554">
        <f t="shared" si="72"/>
        <v>0</v>
      </c>
      <c r="D1554">
        <f>SUM($C$3:C1554)</f>
        <v>4</v>
      </c>
      <c r="E1554" t="e">
        <f t="shared" si="73"/>
        <v>#N/A</v>
      </c>
      <c r="F1554" s="28" t="str">
        <f t="shared" ca="1" si="74"/>
        <v/>
      </c>
    </row>
    <row r="1555" spans="2:6" x14ac:dyDescent="0.2">
      <c r="B1555" t="str">
        <f>IFERROR(IF('PDCA review'!$D$2='Check'!B1555,'Check'!G1555,""),"")</f>
        <v/>
      </c>
      <c r="C1555">
        <f t="shared" si="72"/>
        <v>0</v>
      </c>
      <c r="D1555">
        <f>SUM($C$3:C1555)</f>
        <v>4</v>
      </c>
      <c r="E1555" t="e">
        <f t="shared" si="73"/>
        <v>#N/A</v>
      </c>
      <c r="F1555" s="28" t="str">
        <f t="shared" ca="1" si="74"/>
        <v/>
      </c>
    </row>
    <row r="1556" spans="2:6" x14ac:dyDescent="0.2">
      <c r="B1556" t="str">
        <f>IFERROR(IF('PDCA review'!$D$2='Check'!B1556,'Check'!G1556,""),"")</f>
        <v/>
      </c>
      <c r="C1556">
        <f t="shared" si="72"/>
        <v>0</v>
      </c>
      <c r="D1556">
        <f>SUM($C$3:C1556)</f>
        <v>4</v>
      </c>
      <c r="E1556" t="e">
        <f t="shared" si="73"/>
        <v>#N/A</v>
      </c>
      <c r="F1556" s="28" t="str">
        <f t="shared" ca="1" si="74"/>
        <v/>
      </c>
    </row>
    <row r="1557" spans="2:6" x14ac:dyDescent="0.2">
      <c r="B1557" t="str">
        <f>IFERROR(IF('PDCA review'!$D$2='Check'!B1557,'Check'!G1557,""),"")</f>
        <v/>
      </c>
      <c r="C1557">
        <f t="shared" si="72"/>
        <v>0</v>
      </c>
      <c r="D1557">
        <f>SUM($C$3:C1557)</f>
        <v>4</v>
      </c>
      <c r="E1557" t="e">
        <f t="shared" si="73"/>
        <v>#N/A</v>
      </c>
      <c r="F1557" s="28" t="str">
        <f t="shared" ca="1" si="74"/>
        <v/>
      </c>
    </row>
    <row r="1558" spans="2:6" x14ac:dyDescent="0.2">
      <c r="B1558" t="str">
        <f>IFERROR(IF('PDCA review'!$D$2='Check'!B1558,'Check'!G1558,""),"")</f>
        <v/>
      </c>
      <c r="C1558">
        <f t="shared" si="72"/>
        <v>0</v>
      </c>
      <c r="D1558">
        <f>SUM($C$3:C1558)</f>
        <v>4</v>
      </c>
      <c r="E1558" t="e">
        <f t="shared" si="73"/>
        <v>#N/A</v>
      </c>
      <c r="F1558" s="28" t="str">
        <f t="shared" ca="1" si="74"/>
        <v/>
      </c>
    </row>
    <row r="1559" spans="2:6" x14ac:dyDescent="0.2">
      <c r="B1559" t="str">
        <f>IFERROR(IF('PDCA review'!$D$2='Check'!B1559,'Check'!G1559,""),"")</f>
        <v/>
      </c>
      <c r="C1559">
        <f t="shared" si="72"/>
        <v>0</v>
      </c>
      <c r="D1559">
        <f>SUM($C$3:C1559)</f>
        <v>4</v>
      </c>
      <c r="E1559" t="e">
        <f t="shared" si="73"/>
        <v>#N/A</v>
      </c>
      <c r="F1559" s="28" t="str">
        <f t="shared" ca="1" si="74"/>
        <v/>
      </c>
    </row>
    <row r="1560" spans="2:6" x14ac:dyDescent="0.2">
      <c r="B1560" t="str">
        <f>IFERROR(IF('PDCA review'!$D$2='Check'!B1560,'Check'!G1560,""),"")</f>
        <v/>
      </c>
      <c r="C1560">
        <f t="shared" si="72"/>
        <v>0</v>
      </c>
      <c r="D1560">
        <f>SUM($C$3:C1560)</f>
        <v>4</v>
      </c>
      <c r="E1560" t="e">
        <f t="shared" si="73"/>
        <v>#N/A</v>
      </c>
      <c r="F1560" s="28" t="str">
        <f t="shared" ca="1" si="74"/>
        <v/>
      </c>
    </row>
    <row r="1561" spans="2:6" x14ac:dyDescent="0.2">
      <c r="B1561" t="str">
        <f>IFERROR(IF('PDCA review'!$D$2='Check'!B1561,'Check'!G1561,""),"")</f>
        <v/>
      </c>
      <c r="C1561">
        <f t="shared" si="72"/>
        <v>0</v>
      </c>
      <c r="D1561">
        <f>SUM($C$3:C1561)</f>
        <v>4</v>
      </c>
      <c r="E1561" t="e">
        <f t="shared" si="73"/>
        <v>#N/A</v>
      </c>
      <c r="F1561" s="28" t="str">
        <f t="shared" ca="1" si="74"/>
        <v/>
      </c>
    </row>
    <row r="1562" spans="2:6" x14ac:dyDescent="0.2">
      <c r="B1562" t="str">
        <f>IFERROR(IF('PDCA review'!$D$2='Check'!B1562,'Check'!G1562,""),"")</f>
        <v/>
      </c>
      <c r="C1562">
        <f t="shared" si="72"/>
        <v>0</v>
      </c>
      <c r="D1562">
        <f>SUM($C$3:C1562)</f>
        <v>4</v>
      </c>
      <c r="E1562" t="e">
        <f t="shared" si="73"/>
        <v>#N/A</v>
      </c>
      <c r="F1562" s="28" t="str">
        <f t="shared" ca="1" si="74"/>
        <v/>
      </c>
    </row>
    <row r="1563" spans="2:6" x14ac:dyDescent="0.2">
      <c r="B1563" t="str">
        <f>IFERROR(IF('PDCA review'!$D$2='Check'!B1563,'Check'!G1563,""),"")</f>
        <v/>
      </c>
      <c r="C1563">
        <f t="shared" si="72"/>
        <v>0</v>
      </c>
      <c r="D1563">
        <f>SUM($C$3:C1563)</f>
        <v>4</v>
      </c>
      <c r="E1563" t="e">
        <f t="shared" si="73"/>
        <v>#N/A</v>
      </c>
      <c r="F1563" s="28" t="str">
        <f t="shared" ca="1" si="74"/>
        <v/>
      </c>
    </row>
    <row r="1564" spans="2:6" x14ac:dyDescent="0.2">
      <c r="B1564" t="str">
        <f>IFERROR(IF('PDCA review'!$D$2='Check'!B1564,'Check'!G1564,""),"")</f>
        <v/>
      </c>
      <c r="C1564">
        <f t="shared" si="72"/>
        <v>0</v>
      </c>
      <c r="D1564">
        <f>SUM($C$3:C1564)</f>
        <v>4</v>
      </c>
      <c r="E1564" t="e">
        <f t="shared" si="73"/>
        <v>#N/A</v>
      </c>
      <c r="F1564" s="28" t="str">
        <f t="shared" ca="1" si="74"/>
        <v/>
      </c>
    </row>
    <row r="1565" spans="2:6" x14ac:dyDescent="0.2">
      <c r="B1565" t="str">
        <f>IFERROR(IF('PDCA review'!$D$2='Check'!B1565,'Check'!G1565,""),"")</f>
        <v/>
      </c>
      <c r="C1565">
        <f t="shared" si="72"/>
        <v>0</v>
      </c>
      <c r="D1565">
        <f>SUM($C$3:C1565)</f>
        <v>4</v>
      </c>
      <c r="E1565" t="e">
        <f t="shared" si="73"/>
        <v>#N/A</v>
      </c>
      <c r="F1565" s="28" t="str">
        <f t="shared" ca="1" si="74"/>
        <v/>
      </c>
    </row>
    <row r="1566" spans="2:6" x14ac:dyDescent="0.2">
      <c r="B1566" t="str">
        <f>IFERROR(IF('PDCA review'!$D$2='Check'!B1566,'Check'!G1566,""),"")</f>
        <v/>
      </c>
      <c r="C1566">
        <f t="shared" si="72"/>
        <v>0</v>
      </c>
      <c r="D1566">
        <f>SUM($C$3:C1566)</f>
        <v>4</v>
      </c>
      <c r="E1566" t="e">
        <f t="shared" si="73"/>
        <v>#N/A</v>
      </c>
      <c r="F1566" s="28" t="str">
        <f t="shared" ca="1" si="74"/>
        <v/>
      </c>
    </row>
    <row r="1567" spans="2:6" x14ac:dyDescent="0.2">
      <c r="B1567" t="str">
        <f>IFERROR(IF('PDCA review'!$D$2='Check'!B1567,'Check'!G1567,""),"")</f>
        <v/>
      </c>
      <c r="C1567">
        <f t="shared" si="72"/>
        <v>0</v>
      </c>
      <c r="D1567">
        <f>SUM($C$3:C1567)</f>
        <v>4</v>
      </c>
      <c r="E1567" t="e">
        <f t="shared" si="73"/>
        <v>#N/A</v>
      </c>
      <c r="F1567" s="28" t="str">
        <f t="shared" ca="1" si="74"/>
        <v/>
      </c>
    </row>
    <row r="1568" spans="2:6" x14ac:dyDescent="0.2">
      <c r="B1568" t="str">
        <f>IFERROR(IF('PDCA review'!$D$2='Check'!B1568,'Check'!G1568,""),"")</f>
        <v/>
      </c>
      <c r="C1568">
        <f t="shared" si="72"/>
        <v>0</v>
      </c>
      <c r="D1568">
        <f>SUM($C$3:C1568)</f>
        <v>4</v>
      </c>
      <c r="E1568" t="e">
        <f t="shared" si="73"/>
        <v>#N/A</v>
      </c>
      <c r="F1568" s="28" t="str">
        <f t="shared" ca="1" si="74"/>
        <v/>
      </c>
    </row>
    <row r="1569" spans="2:6" x14ac:dyDescent="0.2">
      <c r="B1569" t="str">
        <f>IFERROR(IF('PDCA review'!$D$2='Check'!B1569,'Check'!G1569,""),"")</f>
        <v/>
      </c>
      <c r="C1569">
        <f t="shared" si="72"/>
        <v>0</v>
      </c>
      <c r="D1569">
        <f>SUM($C$3:C1569)</f>
        <v>4</v>
      </c>
      <c r="E1569" t="e">
        <f t="shared" si="73"/>
        <v>#N/A</v>
      </c>
      <c r="F1569" s="28" t="str">
        <f t="shared" ca="1" si="74"/>
        <v/>
      </c>
    </row>
    <row r="1570" spans="2:6" x14ac:dyDescent="0.2">
      <c r="B1570" t="str">
        <f>IFERROR(IF('PDCA review'!$D$2='Check'!B1570,'Check'!G1570,""),"")</f>
        <v/>
      </c>
      <c r="C1570">
        <f t="shared" si="72"/>
        <v>0</v>
      </c>
      <c r="D1570">
        <f>SUM($C$3:C1570)</f>
        <v>4</v>
      </c>
      <c r="E1570" t="e">
        <f t="shared" si="73"/>
        <v>#N/A</v>
      </c>
      <c r="F1570" s="28" t="str">
        <f t="shared" ca="1" si="74"/>
        <v/>
      </c>
    </row>
    <row r="1571" spans="2:6" x14ac:dyDescent="0.2">
      <c r="B1571" t="str">
        <f>IFERROR(IF('PDCA review'!$D$2='Check'!B1571,'Check'!G1571,""),"")</f>
        <v/>
      </c>
      <c r="C1571">
        <f t="shared" si="72"/>
        <v>0</v>
      </c>
      <c r="D1571">
        <f>SUM($C$3:C1571)</f>
        <v>4</v>
      </c>
      <c r="E1571" t="e">
        <f t="shared" si="73"/>
        <v>#N/A</v>
      </c>
      <c r="F1571" s="28" t="str">
        <f t="shared" ca="1" si="74"/>
        <v/>
      </c>
    </row>
    <row r="1572" spans="2:6" x14ac:dyDescent="0.2">
      <c r="B1572" t="str">
        <f>IFERROR(IF('PDCA review'!$D$2='Check'!B1572,'Check'!G1572,""),"")</f>
        <v/>
      </c>
      <c r="C1572">
        <f t="shared" si="72"/>
        <v>0</v>
      </c>
      <c r="D1572">
        <f>SUM($C$3:C1572)</f>
        <v>4</v>
      </c>
      <c r="E1572" t="e">
        <f t="shared" si="73"/>
        <v>#N/A</v>
      </c>
      <c r="F1572" s="28" t="str">
        <f t="shared" ca="1" si="74"/>
        <v/>
      </c>
    </row>
    <row r="1573" spans="2:6" x14ac:dyDescent="0.2">
      <c r="B1573" t="str">
        <f>IFERROR(IF('PDCA review'!$D$2='Check'!B1573,'Check'!G1573,""),"")</f>
        <v/>
      </c>
      <c r="C1573">
        <f t="shared" si="72"/>
        <v>0</v>
      </c>
      <c r="D1573">
        <f>SUM($C$3:C1573)</f>
        <v>4</v>
      </c>
      <c r="E1573" t="e">
        <f t="shared" si="73"/>
        <v>#N/A</v>
      </c>
      <c r="F1573" s="28" t="str">
        <f t="shared" ca="1" si="74"/>
        <v/>
      </c>
    </row>
    <row r="1574" spans="2:6" x14ac:dyDescent="0.2">
      <c r="B1574" t="str">
        <f>IFERROR(IF('PDCA review'!$D$2='Check'!B1574,'Check'!G1574,""),"")</f>
        <v/>
      </c>
      <c r="C1574">
        <f t="shared" si="72"/>
        <v>0</v>
      </c>
      <c r="D1574">
        <f>SUM($C$3:C1574)</f>
        <v>4</v>
      </c>
      <c r="E1574" t="e">
        <f t="shared" si="73"/>
        <v>#N/A</v>
      </c>
      <c r="F1574" s="28" t="str">
        <f t="shared" ca="1" si="74"/>
        <v/>
      </c>
    </row>
    <row r="1575" spans="2:6" x14ac:dyDescent="0.2">
      <c r="B1575" t="str">
        <f>IFERROR(IF('PDCA review'!$D$2='Check'!B1575,'Check'!G1575,""),"")</f>
        <v/>
      </c>
      <c r="C1575">
        <f t="shared" si="72"/>
        <v>0</v>
      </c>
      <c r="D1575">
        <f>SUM($C$3:C1575)</f>
        <v>4</v>
      </c>
      <c r="E1575" t="e">
        <f t="shared" si="73"/>
        <v>#N/A</v>
      </c>
      <c r="F1575" s="28" t="str">
        <f t="shared" ca="1" si="74"/>
        <v/>
      </c>
    </row>
    <row r="1576" spans="2:6" x14ac:dyDescent="0.2">
      <c r="B1576" t="str">
        <f>IFERROR(IF('PDCA review'!$D$2='Check'!B1576,'Check'!G1576,""),"")</f>
        <v/>
      </c>
      <c r="C1576">
        <f t="shared" si="72"/>
        <v>0</v>
      </c>
      <c r="D1576">
        <f>SUM($C$3:C1576)</f>
        <v>4</v>
      </c>
      <c r="E1576" t="e">
        <f t="shared" si="73"/>
        <v>#N/A</v>
      </c>
      <c r="F1576" s="28" t="str">
        <f t="shared" ca="1" si="74"/>
        <v/>
      </c>
    </row>
    <row r="1577" spans="2:6" x14ac:dyDescent="0.2">
      <c r="B1577" t="str">
        <f>IFERROR(IF('PDCA review'!$D$2='Check'!B1577,'Check'!G1577,""),"")</f>
        <v/>
      </c>
      <c r="C1577">
        <f t="shared" si="72"/>
        <v>0</v>
      </c>
      <c r="D1577">
        <f>SUM($C$3:C1577)</f>
        <v>4</v>
      </c>
      <c r="E1577" t="e">
        <f t="shared" si="73"/>
        <v>#N/A</v>
      </c>
      <c r="F1577" s="28" t="str">
        <f t="shared" ca="1" si="74"/>
        <v/>
      </c>
    </row>
    <row r="1578" spans="2:6" x14ac:dyDescent="0.2">
      <c r="B1578" t="str">
        <f>IFERROR(IF('PDCA review'!$D$2='Check'!B1578,'Check'!G1578,""),"")</f>
        <v/>
      </c>
      <c r="C1578">
        <f t="shared" si="72"/>
        <v>0</v>
      </c>
      <c r="D1578">
        <f>SUM($C$3:C1578)</f>
        <v>4</v>
      </c>
      <c r="E1578" t="e">
        <f t="shared" si="73"/>
        <v>#N/A</v>
      </c>
      <c r="F1578" s="28" t="str">
        <f t="shared" ca="1" si="74"/>
        <v/>
      </c>
    </row>
    <row r="1579" spans="2:6" x14ac:dyDescent="0.2">
      <c r="B1579" t="str">
        <f>IFERROR(IF('PDCA review'!$D$2='Check'!B1579,'Check'!G1579,""),"")</f>
        <v/>
      </c>
      <c r="C1579">
        <f t="shared" si="72"/>
        <v>0</v>
      </c>
      <c r="D1579">
        <f>SUM($C$3:C1579)</f>
        <v>4</v>
      </c>
      <c r="E1579" t="e">
        <f t="shared" si="73"/>
        <v>#N/A</v>
      </c>
      <c r="F1579" s="28" t="str">
        <f t="shared" ca="1" si="74"/>
        <v/>
      </c>
    </row>
    <row r="1580" spans="2:6" x14ac:dyDescent="0.2">
      <c r="B1580" t="str">
        <f>IFERROR(IF('PDCA review'!$D$2='Check'!B1580,'Check'!G1580,""),"")</f>
        <v/>
      </c>
      <c r="C1580">
        <f t="shared" si="72"/>
        <v>0</v>
      </c>
      <c r="D1580">
        <f>SUM($C$3:C1580)</f>
        <v>4</v>
      </c>
      <c r="E1580" t="e">
        <f t="shared" si="73"/>
        <v>#N/A</v>
      </c>
      <c r="F1580" s="28" t="str">
        <f t="shared" ca="1" si="74"/>
        <v/>
      </c>
    </row>
    <row r="1581" spans="2:6" x14ac:dyDescent="0.2">
      <c r="B1581" t="str">
        <f>IFERROR(IF('PDCA review'!$D$2='Check'!B1581,'Check'!G1581,""),"")</f>
        <v/>
      </c>
      <c r="C1581">
        <f t="shared" si="72"/>
        <v>0</v>
      </c>
      <c r="D1581">
        <f>SUM($C$3:C1581)</f>
        <v>4</v>
      </c>
      <c r="E1581" t="e">
        <f t="shared" si="73"/>
        <v>#N/A</v>
      </c>
      <c r="F1581" s="28" t="str">
        <f t="shared" ca="1" si="74"/>
        <v/>
      </c>
    </row>
    <row r="1582" spans="2:6" x14ac:dyDescent="0.2">
      <c r="B1582" t="str">
        <f>IFERROR(IF('PDCA review'!$D$2='Check'!B1582,'Check'!G1582,""),"")</f>
        <v/>
      </c>
      <c r="C1582">
        <f t="shared" si="72"/>
        <v>0</v>
      </c>
      <c r="D1582">
        <f>SUM($C$3:C1582)</f>
        <v>4</v>
      </c>
      <c r="E1582" t="e">
        <f t="shared" si="73"/>
        <v>#N/A</v>
      </c>
      <c r="F1582" s="28" t="str">
        <f t="shared" ca="1" si="74"/>
        <v/>
      </c>
    </row>
    <row r="1583" spans="2:6" x14ac:dyDescent="0.2">
      <c r="B1583" t="str">
        <f>IFERROR(IF('PDCA review'!$D$2='Check'!B1583,'Check'!G1583,""),"")</f>
        <v/>
      </c>
      <c r="C1583">
        <f t="shared" si="72"/>
        <v>0</v>
      </c>
      <c r="D1583">
        <f>SUM($C$3:C1583)</f>
        <v>4</v>
      </c>
      <c r="E1583" t="e">
        <f t="shared" si="73"/>
        <v>#N/A</v>
      </c>
      <c r="F1583" s="28" t="str">
        <f t="shared" ca="1" si="74"/>
        <v/>
      </c>
    </row>
    <row r="1584" spans="2:6" x14ac:dyDescent="0.2">
      <c r="B1584" t="str">
        <f>IFERROR(IF('PDCA review'!$D$2='Check'!B1584,'Check'!G1584,""),"")</f>
        <v/>
      </c>
      <c r="C1584">
        <f t="shared" si="72"/>
        <v>0</v>
      </c>
      <c r="D1584">
        <f>SUM($C$3:C1584)</f>
        <v>4</v>
      </c>
      <c r="E1584" t="e">
        <f t="shared" si="73"/>
        <v>#N/A</v>
      </c>
      <c r="F1584" s="28" t="str">
        <f t="shared" ca="1" si="74"/>
        <v/>
      </c>
    </row>
    <row r="1585" spans="2:6" x14ac:dyDescent="0.2">
      <c r="B1585" t="str">
        <f>IFERROR(IF('PDCA review'!$D$2='Check'!B1585,'Check'!G1585,""),"")</f>
        <v/>
      </c>
      <c r="C1585">
        <f t="shared" si="72"/>
        <v>0</v>
      </c>
      <c r="D1585">
        <f>SUM($C$3:C1585)</f>
        <v>4</v>
      </c>
      <c r="E1585" t="e">
        <f t="shared" si="73"/>
        <v>#N/A</v>
      </c>
      <c r="F1585" s="28" t="str">
        <f t="shared" ca="1" si="74"/>
        <v/>
      </c>
    </row>
    <row r="1586" spans="2:6" x14ac:dyDescent="0.2">
      <c r="B1586" t="str">
        <f>IFERROR(IF('PDCA review'!$D$2='Check'!B1586,'Check'!G1586,""),"")</f>
        <v/>
      </c>
      <c r="C1586">
        <f t="shared" si="72"/>
        <v>0</v>
      </c>
      <c r="D1586">
        <f>SUM($C$3:C1586)</f>
        <v>4</v>
      </c>
      <c r="E1586" t="e">
        <f t="shared" si="73"/>
        <v>#N/A</v>
      </c>
      <c r="F1586" s="28" t="str">
        <f t="shared" ca="1" si="74"/>
        <v/>
      </c>
    </row>
    <row r="1587" spans="2:6" x14ac:dyDescent="0.2">
      <c r="B1587" t="str">
        <f>IFERROR(IF('PDCA review'!$D$2='Check'!B1587,'Check'!G1587,""),"")</f>
        <v/>
      </c>
      <c r="C1587">
        <f t="shared" si="72"/>
        <v>0</v>
      </c>
      <c r="D1587">
        <f>SUM($C$3:C1587)</f>
        <v>4</v>
      </c>
      <c r="E1587" t="e">
        <f t="shared" si="73"/>
        <v>#N/A</v>
      </c>
      <c r="F1587" s="28" t="str">
        <f t="shared" ca="1" si="74"/>
        <v/>
      </c>
    </row>
    <row r="1588" spans="2:6" x14ac:dyDescent="0.2">
      <c r="B1588" t="str">
        <f>IFERROR(IF('PDCA review'!$D$2='Check'!B1588,'Check'!G1588,""),"")</f>
        <v/>
      </c>
      <c r="C1588">
        <f t="shared" si="72"/>
        <v>0</v>
      </c>
      <c r="D1588">
        <f>SUM($C$3:C1588)</f>
        <v>4</v>
      </c>
      <c r="E1588" t="e">
        <f t="shared" si="73"/>
        <v>#N/A</v>
      </c>
      <c r="F1588" s="28" t="str">
        <f t="shared" ca="1" si="74"/>
        <v/>
      </c>
    </row>
    <row r="1589" spans="2:6" x14ac:dyDescent="0.2">
      <c r="B1589" t="str">
        <f>IFERROR(IF('PDCA review'!$D$2='Check'!B1589,'Check'!G1589,""),"")</f>
        <v/>
      </c>
      <c r="C1589">
        <f t="shared" si="72"/>
        <v>0</v>
      </c>
      <c r="D1589">
        <f>SUM($C$3:C1589)</f>
        <v>4</v>
      </c>
      <c r="E1589" t="e">
        <f t="shared" si="73"/>
        <v>#N/A</v>
      </c>
      <c r="F1589" s="28" t="str">
        <f t="shared" ca="1" si="74"/>
        <v/>
      </c>
    </row>
    <row r="1590" spans="2:6" x14ac:dyDescent="0.2">
      <c r="B1590" t="str">
        <f>IFERROR(IF('PDCA review'!$D$2='Check'!B1590,'Check'!G1590,""),"")</f>
        <v/>
      </c>
      <c r="C1590">
        <f t="shared" si="72"/>
        <v>0</v>
      </c>
      <c r="D1590">
        <f>SUM($C$3:C1590)</f>
        <v>4</v>
      </c>
      <c r="E1590" t="e">
        <f t="shared" si="73"/>
        <v>#N/A</v>
      </c>
      <c r="F1590" s="28" t="str">
        <f t="shared" ca="1" si="74"/>
        <v/>
      </c>
    </row>
    <row r="1591" spans="2:6" x14ac:dyDescent="0.2">
      <c r="B1591" t="str">
        <f>IFERROR(IF('PDCA review'!$D$2='Check'!B1591,'Check'!G1591,""),"")</f>
        <v/>
      </c>
      <c r="C1591">
        <f t="shared" si="72"/>
        <v>0</v>
      </c>
      <c r="D1591">
        <f>SUM($C$3:C1591)</f>
        <v>4</v>
      </c>
      <c r="E1591" t="e">
        <f t="shared" si="73"/>
        <v>#N/A</v>
      </c>
      <c r="F1591" s="28" t="str">
        <f t="shared" ca="1" si="74"/>
        <v/>
      </c>
    </row>
    <row r="1592" spans="2:6" x14ac:dyDescent="0.2">
      <c r="B1592" t="str">
        <f>IFERROR(IF('PDCA review'!$D$2='Check'!B1592,'Check'!G1592,""),"")</f>
        <v/>
      </c>
      <c r="C1592">
        <f t="shared" si="72"/>
        <v>0</v>
      </c>
      <c r="D1592">
        <f>SUM($C$3:C1592)</f>
        <v>4</v>
      </c>
      <c r="E1592" t="e">
        <f t="shared" si="73"/>
        <v>#N/A</v>
      </c>
      <c r="F1592" s="28" t="str">
        <f t="shared" ca="1" si="74"/>
        <v/>
      </c>
    </row>
    <row r="1593" spans="2:6" x14ac:dyDescent="0.2">
      <c r="B1593" t="str">
        <f>IFERROR(IF('PDCA review'!$D$2='Check'!B1593,'Check'!G1593,""),"")</f>
        <v/>
      </c>
      <c r="C1593">
        <f t="shared" si="72"/>
        <v>0</v>
      </c>
      <c r="D1593">
        <f>SUM($C$3:C1593)</f>
        <v>4</v>
      </c>
      <c r="E1593" t="e">
        <f t="shared" si="73"/>
        <v>#N/A</v>
      </c>
      <c r="F1593" s="28" t="str">
        <f t="shared" ca="1" si="74"/>
        <v/>
      </c>
    </row>
    <row r="1594" spans="2:6" x14ac:dyDescent="0.2">
      <c r="B1594" t="str">
        <f>IFERROR(IF('PDCA review'!$D$2='Check'!B1594,'Check'!G1594,""),"")</f>
        <v/>
      </c>
      <c r="C1594">
        <f t="shared" si="72"/>
        <v>0</v>
      </c>
      <c r="D1594">
        <f>SUM($C$3:C1594)</f>
        <v>4</v>
      </c>
      <c r="E1594" t="e">
        <f t="shared" si="73"/>
        <v>#N/A</v>
      </c>
      <c r="F1594" s="28" t="str">
        <f t="shared" ca="1" si="74"/>
        <v/>
      </c>
    </row>
    <row r="1595" spans="2:6" x14ac:dyDescent="0.2">
      <c r="B1595" t="str">
        <f>IFERROR(IF('PDCA review'!$D$2='Check'!B1595,'Check'!G1595,""),"")</f>
        <v/>
      </c>
      <c r="C1595">
        <f t="shared" si="72"/>
        <v>0</v>
      </c>
      <c r="D1595">
        <f>SUM($C$3:C1595)</f>
        <v>4</v>
      </c>
      <c r="E1595" t="e">
        <f t="shared" si="73"/>
        <v>#N/A</v>
      </c>
      <c r="F1595" s="28" t="str">
        <f t="shared" ca="1" si="74"/>
        <v/>
      </c>
    </row>
    <row r="1596" spans="2:6" x14ac:dyDescent="0.2">
      <c r="B1596" t="str">
        <f>IFERROR(IF('PDCA review'!$D$2='Check'!B1596,'Check'!G1596,""),"")</f>
        <v/>
      </c>
      <c r="C1596">
        <f t="shared" si="72"/>
        <v>0</v>
      </c>
      <c r="D1596">
        <f>SUM($C$3:C1596)</f>
        <v>4</v>
      </c>
      <c r="E1596" t="e">
        <f t="shared" si="73"/>
        <v>#N/A</v>
      </c>
      <c r="F1596" s="28" t="str">
        <f t="shared" ca="1" si="74"/>
        <v/>
      </c>
    </row>
    <row r="1597" spans="2:6" x14ac:dyDescent="0.2">
      <c r="B1597" t="str">
        <f>IFERROR(IF('PDCA review'!$D$2='Check'!B1597,'Check'!G1597,""),"")</f>
        <v/>
      </c>
      <c r="C1597">
        <f t="shared" si="72"/>
        <v>0</v>
      </c>
      <c r="D1597">
        <f>SUM($C$3:C1597)</f>
        <v>4</v>
      </c>
      <c r="E1597" t="e">
        <f t="shared" si="73"/>
        <v>#N/A</v>
      </c>
      <c r="F1597" s="28" t="str">
        <f t="shared" ca="1" si="74"/>
        <v/>
      </c>
    </row>
    <row r="1598" spans="2:6" x14ac:dyDescent="0.2">
      <c r="B1598" t="str">
        <f>IFERROR(IF('PDCA review'!$D$2='Check'!B1598,'Check'!G1598,""),"")</f>
        <v/>
      </c>
      <c r="C1598">
        <f t="shared" si="72"/>
        <v>0</v>
      </c>
      <c r="D1598">
        <f>SUM($C$3:C1598)</f>
        <v>4</v>
      </c>
      <c r="E1598" t="e">
        <f t="shared" si="73"/>
        <v>#N/A</v>
      </c>
      <c r="F1598" s="28" t="str">
        <f t="shared" ca="1" si="74"/>
        <v/>
      </c>
    </row>
    <row r="1599" spans="2:6" x14ac:dyDescent="0.2">
      <c r="B1599" t="str">
        <f>IFERROR(IF('PDCA review'!$D$2='Check'!B1599,'Check'!G1599,""),"")</f>
        <v/>
      </c>
      <c r="C1599">
        <f t="shared" si="72"/>
        <v>0</v>
      </c>
      <c r="D1599">
        <f>SUM($C$3:C1599)</f>
        <v>4</v>
      </c>
      <c r="E1599" t="e">
        <f t="shared" si="73"/>
        <v>#N/A</v>
      </c>
      <c r="F1599" s="28" t="str">
        <f t="shared" ca="1" si="74"/>
        <v/>
      </c>
    </row>
    <row r="1600" spans="2:6" x14ac:dyDescent="0.2">
      <c r="B1600" t="str">
        <f>IFERROR(IF('PDCA review'!$D$2='Check'!B1600,'Check'!G1600,""),"")</f>
        <v/>
      </c>
      <c r="C1600">
        <f t="shared" si="72"/>
        <v>0</v>
      </c>
      <c r="D1600">
        <f>SUM($C$3:C1600)</f>
        <v>4</v>
      </c>
      <c r="E1600" t="e">
        <f t="shared" si="73"/>
        <v>#N/A</v>
      </c>
      <c r="F1600" s="28" t="str">
        <f t="shared" ca="1" si="74"/>
        <v/>
      </c>
    </row>
    <row r="1601" spans="2:6" x14ac:dyDescent="0.2">
      <c r="B1601" t="str">
        <f>IFERROR(IF('PDCA review'!$D$2='Check'!B1601,'Check'!G1601,""),"")</f>
        <v/>
      </c>
      <c r="C1601">
        <f t="shared" si="72"/>
        <v>0</v>
      </c>
      <c r="D1601">
        <f>SUM($C$3:C1601)</f>
        <v>4</v>
      </c>
      <c r="E1601" t="e">
        <f t="shared" si="73"/>
        <v>#N/A</v>
      </c>
      <c r="F1601" s="28" t="str">
        <f t="shared" ca="1" si="74"/>
        <v/>
      </c>
    </row>
    <row r="1602" spans="2:6" x14ac:dyDescent="0.2">
      <c r="B1602" t="str">
        <f>IFERROR(IF('PDCA review'!$D$2='Check'!B1602,'Check'!G1602,""),"")</f>
        <v/>
      </c>
      <c r="C1602">
        <f t="shared" si="72"/>
        <v>0</v>
      </c>
      <c r="D1602">
        <f>SUM($C$3:C1602)</f>
        <v>4</v>
      </c>
      <c r="E1602" t="e">
        <f t="shared" si="73"/>
        <v>#N/A</v>
      </c>
      <c r="F1602" s="28" t="str">
        <f t="shared" ca="1" si="74"/>
        <v/>
      </c>
    </row>
    <row r="1603" spans="2:6" x14ac:dyDescent="0.2">
      <c r="B1603" t="str">
        <f>IFERROR(IF('PDCA review'!$D$2='Check'!B1603,'Check'!G1603,""),"")</f>
        <v/>
      </c>
      <c r="C1603">
        <f t="shared" si="72"/>
        <v>0</v>
      </c>
      <c r="D1603">
        <f>SUM($C$3:C1603)</f>
        <v>4</v>
      </c>
      <c r="E1603" t="e">
        <f t="shared" si="73"/>
        <v>#N/A</v>
      </c>
      <c r="F1603" s="28" t="str">
        <f t="shared" ca="1" si="74"/>
        <v/>
      </c>
    </row>
    <row r="1604" spans="2:6" x14ac:dyDescent="0.2">
      <c r="B1604" t="str">
        <f>IFERROR(IF('PDCA review'!$D$2='Check'!B1604,'Check'!G1604,""),"")</f>
        <v/>
      </c>
      <c r="C1604">
        <f t="shared" ref="C1604:C1667" si="75">IF(B1604&lt;&gt;"",1,0)</f>
        <v>0</v>
      </c>
      <c r="D1604">
        <f>SUM($C$3:C1604)</f>
        <v>4</v>
      </c>
      <c r="E1604" t="e">
        <f t="shared" ref="E1604:E1667" si="76">MATCH(ROW()-$D$2,$D$3:$D$2000,0)+$D$2</f>
        <v>#N/A</v>
      </c>
      <c r="F1604" s="28" t="str">
        <f t="shared" ref="F1604:F1667" ca="1" si="77">IFERROR(INDIRECT("B"&amp;E1604),"")</f>
        <v/>
      </c>
    </row>
    <row r="1605" spans="2:6" x14ac:dyDescent="0.2">
      <c r="B1605" t="str">
        <f>IFERROR(IF('PDCA review'!$D$2='Check'!B1605,'Check'!G1605,""),"")</f>
        <v/>
      </c>
      <c r="C1605">
        <f t="shared" si="75"/>
        <v>0</v>
      </c>
      <c r="D1605">
        <f>SUM($C$3:C1605)</f>
        <v>4</v>
      </c>
      <c r="E1605" t="e">
        <f t="shared" si="76"/>
        <v>#N/A</v>
      </c>
      <c r="F1605" s="28" t="str">
        <f t="shared" ca="1" si="77"/>
        <v/>
      </c>
    </row>
    <row r="1606" spans="2:6" x14ac:dyDescent="0.2">
      <c r="B1606" t="str">
        <f>IFERROR(IF('PDCA review'!$D$2='Check'!B1606,'Check'!G1606,""),"")</f>
        <v/>
      </c>
      <c r="C1606">
        <f t="shared" si="75"/>
        <v>0</v>
      </c>
      <c r="D1606">
        <f>SUM($C$3:C1606)</f>
        <v>4</v>
      </c>
      <c r="E1606" t="e">
        <f t="shared" si="76"/>
        <v>#N/A</v>
      </c>
      <c r="F1606" s="28" t="str">
        <f t="shared" ca="1" si="77"/>
        <v/>
      </c>
    </row>
    <row r="1607" spans="2:6" x14ac:dyDescent="0.2">
      <c r="B1607" t="str">
        <f>IFERROR(IF('PDCA review'!$D$2='Check'!B1607,'Check'!G1607,""),"")</f>
        <v/>
      </c>
      <c r="C1607">
        <f t="shared" si="75"/>
        <v>0</v>
      </c>
      <c r="D1607">
        <f>SUM($C$3:C1607)</f>
        <v>4</v>
      </c>
      <c r="E1607" t="e">
        <f t="shared" si="76"/>
        <v>#N/A</v>
      </c>
      <c r="F1607" s="28" t="str">
        <f t="shared" ca="1" si="77"/>
        <v/>
      </c>
    </row>
    <row r="1608" spans="2:6" x14ac:dyDescent="0.2">
      <c r="B1608" t="str">
        <f>IFERROR(IF('PDCA review'!$D$2='Check'!B1608,'Check'!G1608,""),"")</f>
        <v/>
      </c>
      <c r="C1608">
        <f t="shared" si="75"/>
        <v>0</v>
      </c>
      <c r="D1608">
        <f>SUM($C$3:C1608)</f>
        <v>4</v>
      </c>
      <c r="E1608" t="e">
        <f t="shared" si="76"/>
        <v>#N/A</v>
      </c>
      <c r="F1608" s="28" t="str">
        <f t="shared" ca="1" si="77"/>
        <v/>
      </c>
    </row>
    <row r="1609" spans="2:6" x14ac:dyDescent="0.2">
      <c r="B1609" t="str">
        <f>IFERROR(IF('PDCA review'!$D$2='Check'!B1609,'Check'!G1609,""),"")</f>
        <v/>
      </c>
      <c r="C1609">
        <f t="shared" si="75"/>
        <v>0</v>
      </c>
      <c r="D1609">
        <f>SUM($C$3:C1609)</f>
        <v>4</v>
      </c>
      <c r="E1609" t="e">
        <f t="shared" si="76"/>
        <v>#N/A</v>
      </c>
      <c r="F1609" s="28" t="str">
        <f t="shared" ca="1" si="77"/>
        <v/>
      </c>
    </row>
    <row r="1610" spans="2:6" x14ac:dyDescent="0.2">
      <c r="B1610" t="str">
        <f>IFERROR(IF('PDCA review'!$D$2='Check'!B1610,'Check'!G1610,""),"")</f>
        <v/>
      </c>
      <c r="C1610">
        <f t="shared" si="75"/>
        <v>0</v>
      </c>
      <c r="D1610">
        <f>SUM($C$3:C1610)</f>
        <v>4</v>
      </c>
      <c r="E1610" t="e">
        <f t="shared" si="76"/>
        <v>#N/A</v>
      </c>
      <c r="F1610" s="28" t="str">
        <f t="shared" ca="1" si="77"/>
        <v/>
      </c>
    </row>
    <row r="1611" spans="2:6" x14ac:dyDescent="0.2">
      <c r="B1611" t="str">
        <f>IFERROR(IF('PDCA review'!$D$2='Check'!B1611,'Check'!G1611,""),"")</f>
        <v/>
      </c>
      <c r="C1611">
        <f t="shared" si="75"/>
        <v>0</v>
      </c>
      <c r="D1611">
        <f>SUM($C$3:C1611)</f>
        <v>4</v>
      </c>
      <c r="E1611" t="e">
        <f t="shared" si="76"/>
        <v>#N/A</v>
      </c>
      <c r="F1611" s="28" t="str">
        <f t="shared" ca="1" si="77"/>
        <v/>
      </c>
    </row>
    <row r="1612" spans="2:6" x14ac:dyDescent="0.2">
      <c r="B1612" t="str">
        <f>IFERROR(IF('PDCA review'!$D$2='Check'!B1612,'Check'!G1612,""),"")</f>
        <v/>
      </c>
      <c r="C1612">
        <f t="shared" si="75"/>
        <v>0</v>
      </c>
      <c r="D1612">
        <f>SUM($C$3:C1612)</f>
        <v>4</v>
      </c>
      <c r="E1612" t="e">
        <f t="shared" si="76"/>
        <v>#N/A</v>
      </c>
      <c r="F1612" s="28" t="str">
        <f t="shared" ca="1" si="77"/>
        <v/>
      </c>
    </row>
    <row r="1613" spans="2:6" x14ac:dyDescent="0.2">
      <c r="B1613" t="str">
        <f>IFERROR(IF('PDCA review'!$D$2='Check'!B1613,'Check'!G1613,""),"")</f>
        <v/>
      </c>
      <c r="C1613">
        <f t="shared" si="75"/>
        <v>0</v>
      </c>
      <c r="D1613">
        <f>SUM($C$3:C1613)</f>
        <v>4</v>
      </c>
      <c r="E1613" t="e">
        <f t="shared" si="76"/>
        <v>#N/A</v>
      </c>
      <c r="F1613" s="28" t="str">
        <f t="shared" ca="1" si="77"/>
        <v/>
      </c>
    </row>
    <row r="1614" spans="2:6" x14ac:dyDescent="0.2">
      <c r="B1614" t="str">
        <f>IFERROR(IF('PDCA review'!$D$2='Check'!B1614,'Check'!G1614,""),"")</f>
        <v/>
      </c>
      <c r="C1614">
        <f t="shared" si="75"/>
        <v>0</v>
      </c>
      <c r="D1614">
        <f>SUM($C$3:C1614)</f>
        <v>4</v>
      </c>
      <c r="E1614" t="e">
        <f t="shared" si="76"/>
        <v>#N/A</v>
      </c>
      <c r="F1614" s="28" t="str">
        <f t="shared" ca="1" si="77"/>
        <v/>
      </c>
    </row>
    <row r="1615" spans="2:6" x14ac:dyDescent="0.2">
      <c r="B1615" t="str">
        <f>IFERROR(IF('PDCA review'!$D$2='Check'!B1615,'Check'!G1615,""),"")</f>
        <v/>
      </c>
      <c r="C1615">
        <f t="shared" si="75"/>
        <v>0</v>
      </c>
      <c r="D1615">
        <f>SUM($C$3:C1615)</f>
        <v>4</v>
      </c>
      <c r="E1615" t="e">
        <f t="shared" si="76"/>
        <v>#N/A</v>
      </c>
      <c r="F1615" s="28" t="str">
        <f t="shared" ca="1" si="77"/>
        <v/>
      </c>
    </row>
    <row r="1616" spans="2:6" x14ac:dyDescent="0.2">
      <c r="B1616" t="str">
        <f>IFERROR(IF('PDCA review'!$D$2='Check'!B1616,'Check'!G1616,""),"")</f>
        <v/>
      </c>
      <c r="C1616">
        <f t="shared" si="75"/>
        <v>0</v>
      </c>
      <c r="D1616">
        <f>SUM($C$3:C1616)</f>
        <v>4</v>
      </c>
      <c r="E1616" t="e">
        <f t="shared" si="76"/>
        <v>#N/A</v>
      </c>
      <c r="F1616" s="28" t="str">
        <f t="shared" ca="1" si="77"/>
        <v/>
      </c>
    </row>
    <row r="1617" spans="2:6" x14ac:dyDescent="0.2">
      <c r="B1617" t="str">
        <f>IFERROR(IF('PDCA review'!$D$2='Check'!B1617,'Check'!G1617,""),"")</f>
        <v/>
      </c>
      <c r="C1617">
        <f t="shared" si="75"/>
        <v>0</v>
      </c>
      <c r="D1617">
        <f>SUM($C$3:C1617)</f>
        <v>4</v>
      </c>
      <c r="E1617" t="e">
        <f t="shared" si="76"/>
        <v>#N/A</v>
      </c>
      <c r="F1617" s="28" t="str">
        <f t="shared" ca="1" si="77"/>
        <v/>
      </c>
    </row>
    <row r="1618" spans="2:6" x14ac:dyDescent="0.2">
      <c r="B1618" t="str">
        <f>IFERROR(IF('PDCA review'!$D$2='Check'!B1618,'Check'!G1618,""),"")</f>
        <v/>
      </c>
      <c r="C1618">
        <f t="shared" si="75"/>
        <v>0</v>
      </c>
      <c r="D1618">
        <f>SUM($C$3:C1618)</f>
        <v>4</v>
      </c>
      <c r="E1618" t="e">
        <f t="shared" si="76"/>
        <v>#N/A</v>
      </c>
      <c r="F1618" s="28" t="str">
        <f t="shared" ca="1" si="77"/>
        <v/>
      </c>
    </row>
    <row r="1619" spans="2:6" x14ac:dyDescent="0.2">
      <c r="B1619" t="str">
        <f>IFERROR(IF('PDCA review'!$D$2='Check'!B1619,'Check'!G1619,""),"")</f>
        <v/>
      </c>
      <c r="C1619">
        <f t="shared" si="75"/>
        <v>0</v>
      </c>
      <c r="D1619">
        <f>SUM($C$3:C1619)</f>
        <v>4</v>
      </c>
      <c r="E1619" t="e">
        <f t="shared" si="76"/>
        <v>#N/A</v>
      </c>
      <c r="F1619" s="28" t="str">
        <f t="shared" ca="1" si="77"/>
        <v/>
      </c>
    </row>
    <row r="1620" spans="2:6" x14ac:dyDescent="0.2">
      <c r="B1620" t="str">
        <f>IFERROR(IF('PDCA review'!$D$2='Check'!B1620,'Check'!G1620,""),"")</f>
        <v/>
      </c>
      <c r="C1620">
        <f t="shared" si="75"/>
        <v>0</v>
      </c>
      <c r="D1620">
        <f>SUM($C$3:C1620)</f>
        <v>4</v>
      </c>
      <c r="E1620" t="e">
        <f t="shared" si="76"/>
        <v>#N/A</v>
      </c>
      <c r="F1620" s="28" t="str">
        <f t="shared" ca="1" si="77"/>
        <v/>
      </c>
    </row>
    <row r="1621" spans="2:6" x14ac:dyDescent="0.2">
      <c r="B1621" t="str">
        <f>IFERROR(IF('PDCA review'!$D$2='Check'!B1621,'Check'!G1621,""),"")</f>
        <v/>
      </c>
      <c r="C1621">
        <f t="shared" si="75"/>
        <v>0</v>
      </c>
      <c r="D1621">
        <f>SUM($C$3:C1621)</f>
        <v>4</v>
      </c>
      <c r="E1621" t="e">
        <f t="shared" si="76"/>
        <v>#N/A</v>
      </c>
      <c r="F1621" s="28" t="str">
        <f t="shared" ca="1" si="77"/>
        <v/>
      </c>
    </row>
    <row r="1622" spans="2:6" x14ac:dyDescent="0.2">
      <c r="B1622" t="str">
        <f>IFERROR(IF('PDCA review'!$D$2='Check'!B1622,'Check'!G1622,""),"")</f>
        <v/>
      </c>
      <c r="C1622">
        <f t="shared" si="75"/>
        <v>0</v>
      </c>
      <c r="D1622">
        <f>SUM($C$3:C1622)</f>
        <v>4</v>
      </c>
      <c r="E1622" t="e">
        <f t="shared" si="76"/>
        <v>#N/A</v>
      </c>
      <c r="F1622" s="28" t="str">
        <f t="shared" ca="1" si="77"/>
        <v/>
      </c>
    </row>
    <row r="1623" spans="2:6" x14ac:dyDescent="0.2">
      <c r="B1623" t="str">
        <f>IFERROR(IF('PDCA review'!$D$2='Check'!B1623,'Check'!G1623,""),"")</f>
        <v/>
      </c>
      <c r="C1623">
        <f t="shared" si="75"/>
        <v>0</v>
      </c>
      <c r="D1623">
        <f>SUM($C$3:C1623)</f>
        <v>4</v>
      </c>
      <c r="E1623" t="e">
        <f t="shared" si="76"/>
        <v>#N/A</v>
      </c>
      <c r="F1623" s="28" t="str">
        <f t="shared" ca="1" si="77"/>
        <v/>
      </c>
    </row>
    <row r="1624" spans="2:6" x14ac:dyDescent="0.2">
      <c r="B1624" t="str">
        <f>IFERROR(IF('PDCA review'!$D$2='Check'!B1624,'Check'!G1624,""),"")</f>
        <v/>
      </c>
      <c r="C1624">
        <f t="shared" si="75"/>
        <v>0</v>
      </c>
      <c r="D1624">
        <f>SUM($C$3:C1624)</f>
        <v>4</v>
      </c>
      <c r="E1624" t="e">
        <f t="shared" si="76"/>
        <v>#N/A</v>
      </c>
      <c r="F1624" s="28" t="str">
        <f t="shared" ca="1" si="77"/>
        <v/>
      </c>
    </row>
    <row r="1625" spans="2:6" x14ac:dyDescent="0.2">
      <c r="B1625" t="str">
        <f>IFERROR(IF('PDCA review'!$D$2='Check'!B1625,'Check'!G1625,""),"")</f>
        <v/>
      </c>
      <c r="C1625">
        <f t="shared" si="75"/>
        <v>0</v>
      </c>
      <c r="D1625">
        <f>SUM($C$3:C1625)</f>
        <v>4</v>
      </c>
      <c r="E1625" t="e">
        <f t="shared" si="76"/>
        <v>#N/A</v>
      </c>
      <c r="F1625" s="28" t="str">
        <f t="shared" ca="1" si="77"/>
        <v/>
      </c>
    </row>
    <row r="1626" spans="2:6" x14ac:dyDescent="0.2">
      <c r="B1626" t="str">
        <f>IFERROR(IF('PDCA review'!$D$2='Check'!B1626,'Check'!G1626,""),"")</f>
        <v/>
      </c>
      <c r="C1626">
        <f t="shared" si="75"/>
        <v>0</v>
      </c>
      <c r="D1626">
        <f>SUM($C$3:C1626)</f>
        <v>4</v>
      </c>
      <c r="E1626" t="e">
        <f t="shared" si="76"/>
        <v>#N/A</v>
      </c>
      <c r="F1626" s="28" t="str">
        <f t="shared" ca="1" si="77"/>
        <v/>
      </c>
    </row>
    <row r="1627" spans="2:6" x14ac:dyDescent="0.2">
      <c r="B1627" t="str">
        <f>IFERROR(IF('PDCA review'!$D$2='Check'!B1627,'Check'!G1627,""),"")</f>
        <v/>
      </c>
      <c r="C1627">
        <f t="shared" si="75"/>
        <v>0</v>
      </c>
      <c r="D1627">
        <f>SUM($C$3:C1627)</f>
        <v>4</v>
      </c>
      <c r="E1627" t="e">
        <f t="shared" si="76"/>
        <v>#N/A</v>
      </c>
      <c r="F1627" s="28" t="str">
        <f t="shared" ca="1" si="77"/>
        <v/>
      </c>
    </row>
    <row r="1628" spans="2:6" x14ac:dyDescent="0.2">
      <c r="B1628" t="str">
        <f>IFERROR(IF('PDCA review'!$D$2='Check'!B1628,'Check'!G1628,""),"")</f>
        <v/>
      </c>
      <c r="C1628">
        <f t="shared" si="75"/>
        <v>0</v>
      </c>
      <c r="D1628">
        <f>SUM($C$3:C1628)</f>
        <v>4</v>
      </c>
      <c r="E1628" t="e">
        <f t="shared" si="76"/>
        <v>#N/A</v>
      </c>
      <c r="F1628" s="28" t="str">
        <f t="shared" ca="1" si="77"/>
        <v/>
      </c>
    </row>
    <row r="1629" spans="2:6" x14ac:dyDescent="0.2">
      <c r="B1629" t="str">
        <f>IFERROR(IF('PDCA review'!$D$2='Check'!B1629,'Check'!G1629,""),"")</f>
        <v/>
      </c>
      <c r="C1629">
        <f t="shared" si="75"/>
        <v>0</v>
      </c>
      <c r="D1629">
        <f>SUM($C$3:C1629)</f>
        <v>4</v>
      </c>
      <c r="E1629" t="e">
        <f t="shared" si="76"/>
        <v>#N/A</v>
      </c>
      <c r="F1629" s="28" t="str">
        <f t="shared" ca="1" si="77"/>
        <v/>
      </c>
    </row>
    <row r="1630" spans="2:6" x14ac:dyDescent="0.2">
      <c r="B1630" t="str">
        <f>IFERROR(IF('PDCA review'!$D$2='Check'!B1630,'Check'!G1630,""),"")</f>
        <v/>
      </c>
      <c r="C1630">
        <f t="shared" si="75"/>
        <v>0</v>
      </c>
      <c r="D1630">
        <f>SUM($C$3:C1630)</f>
        <v>4</v>
      </c>
      <c r="E1630" t="e">
        <f t="shared" si="76"/>
        <v>#N/A</v>
      </c>
      <c r="F1630" s="28" t="str">
        <f t="shared" ca="1" si="77"/>
        <v/>
      </c>
    </row>
    <row r="1631" spans="2:6" x14ac:dyDescent="0.2">
      <c r="B1631" t="str">
        <f>IFERROR(IF('PDCA review'!$D$2='Check'!B1631,'Check'!G1631,""),"")</f>
        <v/>
      </c>
      <c r="C1631">
        <f t="shared" si="75"/>
        <v>0</v>
      </c>
      <c r="D1631">
        <f>SUM($C$3:C1631)</f>
        <v>4</v>
      </c>
      <c r="E1631" t="e">
        <f t="shared" si="76"/>
        <v>#N/A</v>
      </c>
      <c r="F1631" s="28" t="str">
        <f t="shared" ca="1" si="77"/>
        <v/>
      </c>
    </row>
    <row r="1632" spans="2:6" x14ac:dyDescent="0.2">
      <c r="B1632" t="str">
        <f>IFERROR(IF('PDCA review'!$D$2='Check'!B1632,'Check'!G1632,""),"")</f>
        <v/>
      </c>
      <c r="C1632">
        <f t="shared" si="75"/>
        <v>0</v>
      </c>
      <c r="D1632">
        <f>SUM($C$3:C1632)</f>
        <v>4</v>
      </c>
      <c r="E1632" t="e">
        <f t="shared" si="76"/>
        <v>#N/A</v>
      </c>
      <c r="F1632" s="28" t="str">
        <f t="shared" ca="1" si="77"/>
        <v/>
      </c>
    </row>
    <row r="1633" spans="2:6" x14ac:dyDescent="0.2">
      <c r="B1633" t="str">
        <f>IFERROR(IF('PDCA review'!$D$2='Check'!B1633,'Check'!G1633,""),"")</f>
        <v/>
      </c>
      <c r="C1633">
        <f t="shared" si="75"/>
        <v>0</v>
      </c>
      <c r="D1633">
        <f>SUM($C$3:C1633)</f>
        <v>4</v>
      </c>
      <c r="E1633" t="e">
        <f t="shared" si="76"/>
        <v>#N/A</v>
      </c>
      <c r="F1633" s="28" t="str">
        <f t="shared" ca="1" si="77"/>
        <v/>
      </c>
    </row>
    <row r="1634" spans="2:6" x14ac:dyDescent="0.2">
      <c r="B1634" t="str">
        <f>IFERROR(IF('PDCA review'!$D$2='Check'!B1634,'Check'!G1634,""),"")</f>
        <v/>
      </c>
      <c r="C1634">
        <f t="shared" si="75"/>
        <v>0</v>
      </c>
      <c r="D1634">
        <f>SUM($C$3:C1634)</f>
        <v>4</v>
      </c>
      <c r="E1634" t="e">
        <f t="shared" si="76"/>
        <v>#N/A</v>
      </c>
      <c r="F1634" s="28" t="str">
        <f t="shared" ca="1" si="77"/>
        <v/>
      </c>
    </row>
    <row r="1635" spans="2:6" x14ac:dyDescent="0.2">
      <c r="B1635" t="str">
        <f>IFERROR(IF('PDCA review'!$D$2='Check'!B1635,'Check'!G1635,""),"")</f>
        <v/>
      </c>
      <c r="C1635">
        <f t="shared" si="75"/>
        <v>0</v>
      </c>
      <c r="D1635">
        <f>SUM($C$3:C1635)</f>
        <v>4</v>
      </c>
      <c r="E1635" t="e">
        <f t="shared" si="76"/>
        <v>#N/A</v>
      </c>
      <c r="F1635" s="28" t="str">
        <f t="shared" ca="1" si="77"/>
        <v/>
      </c>
    </row>
    <row r="1636" spans="2:6" x14ac:dyDescent="0.2">
      <c r="B1636" t="str">
        <f>IFERROR(IF('PDCA review'!$D$2='Check'!B1636,'Check'!G1636,""),"")</f>
        <v/>
      </c>
      <c r="C1636">
        <f t="shared" si="75"/>
        <v>0</v>
      </c>
      <c r="D1636">
        <f>SUM($C$3:C1636)</f>
        <v>4</v>
      </c>
      <c r="E1636" t="e">
        <f t="shared" si="76"/>
        <v>#N/A</v>
      </c>
      <c r="F1636" s="28" t="str">
        <f t="shared" ca="1" si="77"/>
        <v/>
      </c>
    </row>
    <row r="1637" spans="2:6" x14ac:dyDescent="0.2">
      <c r="B1637" t="str">
        <f>IFERROR(IF('PDCA review'!$D$2='Check'!B1637,'Check'!G1637,""),"")</f>
        <v/>
      </c>
      <c r="C1637">
        <f t="shared" si="75"/>
        <v>0</v>
      </c>
      <c r="D1637">
        <f>SUM($C$3:C1637)</f>
        <v>4</v>
      </c>
      <c r="E1637" t="e">
        <f t="shared" si="76"/>
        <v>#N/A</v>
      </c>
      <c r="F1637" s="28" t="str">
        <f t="shared" ca="1" si="77"/>
        <v/>
      </c>
    </row>
    <row r="1638" spans="2:6" x14ac:dyDescent="0.2">
      <c r="B1638" t="str">
        <f>IFERROR(IF('PDCA review'!$D$2='Check'!B1638,'Check'!G1638,""),"")</f>
        <v/>
      </c>
      <c r="C1638">
        <f t="shared" si="75"/>
        <v>0</v>
      </c>
      <c r="D1638">
        <f>SUM($C$3:C1638)</f>
        <v>4</v>
      </c>
      <c r="E1638" t="e">
        <f t="shared" si="76"/>
        <v>#N/A</v>
      </c>
      <c r="F1638" s="28" t="str">
        <f t="shared" ca="1" si="77"/>
        <v/>
      </c>
    </row>
    <row r="1639" spans="2:6" x14ac:dyDescent="0.2">
      <c r="B1639" t="str">
        <f>IFERROR(IF('PDCA review'!$D$2='Check'!B1639,'Check'!G1639,""),"")</f>
        <v/>
      </c>
      <c r="C1639">
        <f t="shared" si="75"/>
        <v>0</v>
      </c>
      <c r="D1639">
        <f>SUM($C$3:C1639)</f>
        <v>4</v>
      </c>
      <c r="E1639" t="e">
        <f t="shared" si="76"/>
        <v>#N/A</v>
      </c>
      <c r="F1639" s="28" t="str">
        <f t="shared" ca="1" si="77"/>
        <v/>
      </c>
    </row>
    <row r="1640" spans="2:6" x14ac:dyDescent="0.2">
      <c r="B1640" t="str">
        <f>IFERROR(IF('PDCA review'!$D$2='Check'!B1640,'Check'!G1640,""),"")</f>
        <v/>
      </c>
      <c r="C1640">
        <f t="shared" si="75"/>
        <v>0</v>
      </c>
      <c r="D1640">
        <f>SUM($C$3:C1640)</f>
        <v>4</v>
      </c>
      <c r="E1640" t="e">
        <f t="shared" si="76"/>
        <v>#N/A</v>
      </c>
      <c r="F1640" s="28" t="str">
        <f t="shared" ca="1" si="77"/>
        <v/>
      </c>
    </row>
    <row r="1641" spans="2:6" x14ac:dyDescent="0.2">
      <c r="B1641" t="str">
        <f>IFERROR(IF('PDCA review'!$D$2='Check'!B1641,'Check'!G1641,""),"")</f>
        <v/>
      </c>
      <c r="C1641">
        <f t="shared" si="75"/>
        <v>0</v>
      </c>
      <c r="D1641">
        <f>SUM($C$3:C1641)</f>
        <v>4</v>
      </c>
      <c r="E1641" t="e">
        <f t="shared" si="76"/>
        <v>#N/A</v>
      </c>
      <c r="F1641" s="28" t="str">
        <f t="shared" ca="1" si="77"/>
        <v/>
      </c>
    </row>
    <row r="1642" spans="2:6" x14ac:dyDescent="0.2">
      <c r="B1642" t="str">
        <f>IFERROR(IF('PDCA review'!$D$2='Check'!B1642,'Check'!G1642,""),"")</f>
        <v/>
      </c>
      <c r="C1642">
        <f t="shared" si="75"/>
        <v>0</v>
      </c>
      <c r="D1642">
        <f>SUM($C$3:C1642)</f>
        <v>4</v>
      </c>
      <c r="E1642" t="e">
        <f t="shared" si="76"/>
        <v>#N/A</v>
      </c>
      <c r="F1642" s="28" t="str">
        <f t="shared" ca="1" si="77"/>
        <v/>
      </c>
    </row>
    <row r="1643" spans="2:6" x14ac:dyDescent="0.2">
      <c r="B1643" t="str">
        <f>IFERROR(IF('PDCA review'!$D$2='Check'!B1643,'Check'!G1643,""),"")</f>
        <v/>
      </c>
      <c r="C1643">
        <f t="shared" si="75"/>
        <v>0</v>
      </c>
      <c r="D1643">
        <f>SUM($C$3:C1643)</f>
        <v>4</v>
      </c>
      <c r="E1643" t="e">
        <f t="shared" si="76"/>
        <v>#N/A</v>
      </c>
      <c r="F1643" s="28" t="str">
        <f t="shared" ca="1" si="77"/>
        <v/>
      </c>
    </row>
    <row r="1644" spans="2:6" x14ac:dyDescent="0.2">
      <c r="B1644" t="str">
        <f>IFERROR(IF('PDCA review'!$D$2='Check'!B1644,'Check'!G1644,""),"")</f>
        <v/>
      </c>
      <c r="C1644">
        <f t="shared" si="75"/>
        <v>0</v>
      </c>
      <c r="D1644">
        <f>SUM($C$3:C1644)</f>
        <v>4</v>
      </c>
      <c r="E1644" t="e">
        <f t="shared" si="76"/>
        <v>#N/A</v>
      </c>
      <c r="F1644" s="28" t="str">
        <f t="shared" ca="1" si="77"/>
        <v/>
      </c>
    </row>
    <row r="1645" spans="2:6" x14ac:dyDescent="0.2">
      <c r="B1645" t="str">
        <f>IFERROR(IF('PDCA review'!$D$2='Check'!B1645,'Check'!G1645,""),"")</f>
        <v/>
      </c>
      <c r="C1645">
        <f t="shared" si="75"/>
        <v>0</v>
      </c>
      <c r="D1645">
        <f>SUM($C$3:C1645)</f>
        <v>4</v>
      </c>
      <c r="E1645" t="e">
        <f t="shared" si="76"/>
        <v>#N/A</v>
      </c>
      <c r="F1645" s="28" t="str">
        <f t="shared" ca="1" si="77"/>
        <v/>
      </c>
    </row>
    <row r="1646" spans="2:6" x14ac:dyDescent="0.2">
      <c r="B1646" t="str">
        <f>IFERROR(IF('PDCA review'!$D$2='Check'!B1646,'Check'!G1646,""),"")</f>
        <v/>
      </c>
      <c r="C1646">
        <f t="shared" si="75"/>
        <v>0</v>
      </c>
      <c r="D1646">
        <f>SUM($C$3:C1646)</f>
        <v>4</v>
      </c>
      <c r="E1646" t="e">
        <f t="shared" si="76"/>
        <v>#N/A</v>
      </c>
      <c r="F1646" s="28" t="str">
        <f t="shared" ca="1" si="77"/>
        <v/>
      </c>
    </row>
    <row r="1647" spans="2:6" x14ac:dyDescent="0.2">
      <c r="B1647" t="str">
        <f>IFERROR(IF('PDCA review'!$D$2='Check'!B1647,'Check'!G1647,""),"")</f>
        <v/>
      </c>
      <c r="C1647">
        <f t="shared" si="75"/>
        <v>0</v>
      </c>
      <c r="D1647">
        <f>SUM($C$3:C1647)</f>
        <v>4</v>
      </c>
      <c r="E1647" t="e">
        <f t="shared" si="76"/>
        <v>#N/A</v>
      </c>
      <c r="F1647" s="28" t="str">
        <f t="shared" ca="1" si="77"/>
        <v/>
      </c>
    </row>
    <row r="1648" spans="2:6" x14ac:dyDescent="0.2">
      <c r="B1648" t="str">
        <f>IFERROR(IF('PDCA review'!$D$2='Check'!B1648,'Check'!G1648,""),"")</f>
        <v/>
      </c>
      <c r="C1648">
        <f t="shared" si="75"/>
        <v>0</v>
      </c>
      <c r="D1648">
        <f>SUM($C$3:C1648)</f>
        <v>4</v>
      </c>
      <c r="E1648" t="e">
        <f t="shared" si="76"/>
        <v>#N/A</v>
      </c>
      <c r="F1648" s="28" t="str">
        <f t="shared" ca="1" si="77"/>
        <v/>
      </c>
    </row>
    <row r="1649" spans="2:6" x14ac:dyDescent="0.2">
      <c r="B1649" t="str">
        <f>IFERROR(IF('PDCA review'!$D$2='Check'!B1649,'Check'!G1649,""),"")</f>
        <v/>
      </c>
      <c r="C1649">
        <f t="shared" si="75"/>
        <v>0</v>
      </c>
      <c r="D1649">
        <f>SUM($C$3:C1649)</f>
        <v>4</v>
      </c>
      <c r="E1649" t="e">
        <f t="shared" si="76"/>
        <v>#N/A</v>
      </c>
      <c r="F1649" s="28" t="str">
        <f t="shared" ca="1" si="77"/>
        <v/>
      </c>
    </row>
    <row r="1650" spans="2:6" x14ac:dyDescent="0.2">
      <c r="B1650" t="str">
        <f>IFERROR(IF('PDCA review'!$D$2='Check'!B1650,'Check'!G1650,""),"")</f>
        <v/>
      </c>
      <c r="C1650">
        <f t="shared" si="75"/>
        <v>0</v>
      </c>
      <c r="D1650">
        <f>SUM($C$3:C1650)</f>
        <v>4</v>
      </c>
      <c r="E1650" t="e">
        <f t="shared" si="76"/>
        <v>#N/A</v>
      </c>
      <c r="F1650" s="28" t="str">
        <f t="shared" ca="1" si="77"/>
        <v/>
      </c>
    </row>
    <row r="1651" spans="2:6" x14ac:dyDescent="0.2">
      <c r="B1651" t="str">
        <f>IFERROR(IF('PDCA review'!$D$2='Check'!B1651,'Check'!G1651,""),"")</f>
        <v/>
      </c>
      <c r="C1651">
        <f t="shared" si="75"/>
        <v>0</v>
      </c>
      <c r="D1651">
        <f>SUM($C$3:C1651)</f>
        <v>4</v>
      </c>
      <c r="E1651" t="e">
        <f t="shared" si="76"/>
        <v>#N/A</v>
      </c>
      <c r="F1651" s="28" t="str">
        <f t="shared" ca="1" si="77"/>
        <v/>
      </c>
    </row>
    <row r="1652" spans="2:6" x14ac:dyDescent="0.2">
      <c r="B1652" t="str">
        <f>IFERROR(IF('PDCA review'!$D$2='Check'!B1652,'Check'!G1652,""),"")</f>
        <v/>
      </c>
      <c r="C1652">
        <f t="shared" si="75"/>
        <v>0</v>
      </c>
      <c r="D1652">
        <f>SUM($C$3:C1652)</f>
        <v>4</v>
      </c>
      <c r="E1652" t="e">
        <f t="shared" si="76"/>
        <v>#N/A</v>
      </c>
      <c r="F1652" s="28" t="str">
        <f t="shared" ca="1" si="77"/>
        <v/>
      </c>
    </row>
    <row r="1653" spans="2:6" x14ac:dyDescent="0.2">
      <c r="B1653" t="str">
        <f>IFERROR(IF('PDCA review'!$D$2='Check'!B1653,'Check'!G1653,""),"")</f>
        <v/>
      </c>
      <c r="C1653">
        <f t="shared" si="75"/>
        <v>0</v>
      </c>
      <c r="D1653">
        <f>SUM($C$3:C1653)</f>
        <v>4</v>
      </c>
      <c r="E1653" t="e">
        <f t="shared" si="76"/>
        <v>#N/A</v>
      </c>
      <c r="F1653" s="28" t="str">
        <f t="shared" ca="1" si="77"/>
        <v/>
      </c>
    </row>
    <row r="1654" spans="2:6" x14ac:dyDescent="0.2">
      <c r="B1654" t="str">
        <f>IFERROR(IF('PDCA review'!$D$2='Check'!B1654,'Check'!G1654,""),"")</f>
        <v/>
      </c>
      <c r="C1654">
        <f t="shared" si="75"/>
        <v>0</v>
      </c>
      <c r="D1654">
        <f>SUM($C$3:C1654)</f>
        <v>4</v>
      </c>
      <c r="E1654" t="e">
        <f t="shared" si="76"/>
        <v>#N/A</v>
      </c>
      <c r="F1654" s="28" t="str">
        <f t="shared" ca="1" si="77"/>
        <v/>
      </c>
    </row>
    <row r="1655" spans="2:6" x14ac:dyDescent="0.2">
      <c r="B1655" t="str">
        <f>IFERROR(IF('PDCA review'!$D$2='Check'!B1655,'Check'!G1655,""),"")</f>
        <v/>
      </c>
      <c r="C1655">
        <f t="shared" si="75"/>
        <v>0</v>
      </c>
      <c r="D1655">
        <f>SUM($C$3:C1655)</f>
        <v>4</v>
      </c>
      <c r="E1655" t="e">
        <f t="shared" si="76"/>
        <v>#N/A</v>
      </c>
      <c r="F1655" s="28" t="str">
        <f t="shared" ca="1" si="77"/>
        <v/>
      </c>
    </row>
    <row r="1656" spans="2:6" x14ac:dyDescent="0.2">
      <c r="B1656" t="str">
        <f>IFERROR(IF('PDCA review'!$D$2='Check'!B1656,'Check'!G1656,""),"")</f>
        <v/>
      </c>
      <c r="C1656">
        <f t="shared" si="75"/>
        <v>0</v>
      </c>
      <c r="D1656">
        <f>SUM($C$3:C1656)</f>
        <v>4</v>
      </c>
      <c r="E1656" t="e">
        <f t="shared" si="76"/>
        <v>#N/A</v>
      </c>
      <c r="F1656" s="28" t="str">
        <f t="shared" ca="1" si="77"/>
        <v/>
      </c>
    </row>
    <row r="1657" spans="2:6" x14ac:dyDescent="0.2">
      <c r="B1657" t="str">
        <f>IFERROR(IF('PDCA review'!$D$2='Check'!B1657,'Check'!G1657,""),"")</f>
        <v/>
      </c>
      <c r="C1657">
        <f t="shared" si="75"/>
        <v>0</v>
      </c>
      <c r="D1657">
        <f>SUM($C$3:C1657)</f>
        <v>4</v>
      </c>
      <c r="E1657" t="e">
        <f t="shared" si="76"/>
        <v>#N/A</v>
      </c>
      <c r="F1657" s="28" t="str">
        <f t="shared" ca="1" si="77"/>
        <v/>
      </c>
    </row>
    <row r="1658" spans="2:6" x14ac:dyDescent="0.2">
      <c r="B1658" t="str">
        <f>IFERROR(IF('PDCA review'!$D$2='Check'!B1658,'Check'!G1658,""),"")</f>
        <v/>
      </c>
      <c r="C1658">
        <f t="shared" si="75"/>
        <v>0</v>
      </c>
      <c r="D1658">
        <f>SUM($C$3:C1658)</f>
        <v>4</v>
      </c>
      <c r="E1658" t="e">
        <f t="shared" si="76"/>
        <v>#N/A</v>
      </c>
      <c r="F1658" s="28" t="str">
        <f t="shared" ca="1" si="77"/>
        <v/>
      </c>
    </row>
    <row r="1659" spans="2:6" x14ac:dyDescent="0.2">
      <c r="B1659" t="str">
        <f>IFERROR(IF('PDCA review'!$D$2='Check'!B1659,'Check'!G1659,""),"")</f>
        <v/>
      </c>
      <c r="C1659">
        <f t="shared" si="75"/>
        <v>0</v>
      </c>
      <c r="D1659">
        <f>SUM($C$3:C1659)</f>
        <v>4</v>
      </c>
      <c r="E1659" t="e">
        <f t="shared" si="76"/>
        <v>#N/A</v>
      </c>
      <c r="F1659" s="28" t="str">
        <f t="shared" ca="1" si="77"/>
        <v/>
      </c>
    </row>
    <row r="1660" spans="2:6" x14ac:dyDescent="0.2">
      <c r="B1660" t="str">
        <f>IFERROR(IF('PDCA review'!$D$2='Check'!B1660,'Check'!G1660,""),"")</f>
        <v/>
      </c>
      <c r="C1660">
        <f t="shared" si="75"/>
        <v>0</v>
      </c>
      <c r="D1660">
        <f>SUM($C$3:C1660)</f>
        <v>4</v>
      </c>
      <c r="E1660" t="e">
        <f t="shared" si="76"/>
        <v>#N/A</v>
      </c>
      <c r="F1660" s="28" t="str">
        <f t="shared" ca="1" si="77"/>
        <v/>
      </c>
    </row>
    <row r="1661" spans="2:6" x14ac:dyDescent="0.2">
      <c r="B1661" t="str">
        <f>IFERROR(IF('PDCA review'!$D$2='Check'!B1661,'Check'!G1661,""),"")</f>
        <v/>
      </c>
      <c r="C1661">
        <f t="shared" si="75"/>
        <v>0</v>
      </c>
      <c r="D1661">
        <f>SUM($C$3:C1661)</f>
        <v>4</v>
      </c>
      <c r="E1661" t="e">
        <f t="shared" si="76"/>
        <v>#N/A</v>
      </c>
      <c r="F1661" s="28" t="str">
        <f t="shared" ca="1" si="77"/>
        <v/>
      </c>
    </row>
    <row r="1662" spans="2:6" x14ac:dyDescent="0.2">
      <c r="B1662" t="str">
        <f>IFERROR(IF('PDCA review'!$D$2='Check'!B1662,'Check'!G1662,""),"")</f>
        <v/>
      </c>
      <c r="C1662">
        <f t="shared" si="75"/>
        <v>0</v>
      </c>
      <c r="D1662">
        <f>SUM($C$3:C1662)</f>
        <v>4</v>
      </c>
      <c r="E1662" t="e">
        <f t="shared" si="76"/>
        <v>#N/A</v>
      </c>
      <c r="F1662" s="28" t="str">
        <f t="shared" ca="1" si="77"/>
        <v/>
      </c>
    </row>
    <row r="1663" spans="2:6" x14ac:dyDescent="0.2">
      <c r="B1663" t="str">
        <f>IFERROR(IF('PDCA review'!$D$2='Check'!B1663,'Check'!G1663,""),"")</f>
        <v/>
      </c>
      <c r="C1663">
        <f t="shared" si="75"/>
        <v>0</v>
      </c>
      <c r="D1663">
        <f>SUM($C$3:C1663)</f>
        <v>4</v>
      </c>
      <c r="E1663" t="e">
        <f t="shared" si="76"/>
        <v>#N/A</v>
      </c>
      <c r="F1663" s="28" t="str">
        <f t="shared" ca="1" si="77"/>
        <v/>
      </c>
    </row>
    <row r="1664" spans="2:6" x14ac:dyDescent="0.2">
      <c r="B1664" t="str">
        <f>IFERROR(IF('PDCA review'!$D$2='Check'!B1664,'Check'!G1664,""),"")</f>
        <v/>
      </c>
      <c r="C1664">
        <f t="shared" si="75"/>
        <v>0</v>
      </c>
      <c r="D1664">
        <f>SUM($C$3:C1664)</f>
        <v>4</v>
      </c>
      <c r="E1664" t="e">
        <f t="shared" si="76"/>
        <v>#N/A</v>
      </c>
      <c r="F1664" s="28" t="str">
        <f t="shared" ca="1" si="77"/>
        <v/>
      </c>
    </row>
    <row r="1665" spans="2:6" x14ac:dyDescent="0.2">
      <c r="B1665" t="str">
        <f>IFERROR(IF('PDCA review'!$D$2='Check'!B1665,'Check'!G1665,""),"")</f>
        <v/>
      </c>
      <c r="C1665">
        <f t="shared" si="75"/>
        <v>0</v>
      </c>
      <c r="D1665">
        <f>SUM($C$3:C1665)</f>
        <v>4</v>
      </c>
      <c r="E1665" t="e">
        <f t="shared" si="76"/>
        <v>#N/A</v>
      </c>
      <c r="F1665" s="28" t="str">
        <f t="shared" ca="1" si="77"/>
        <v/>
      </c>
    </row>
    <row r="1666" spans="2:6" x14ac:dyDescent="0.2">
      <c r="B1666" t="str">
        <f>IFERROR(IF('PDCA review'!$D$2='Check'!B1666,'Check'!G1666,""),"")</f>
        <v/>
      </c>
      <c r="C1666">
        <f t="shared" si="75"/>
        <v>0</v>
      </c>
      <c r="D1666">
        <f>SUM($C$3:C1666)</f>
        <v>4</v>
      </c>
      <c r="E1666" t="e">
        <f t="shared" si="76"/>
        <v>#N/A</v>
      </c>
      <c r="F1666" s="28" t="str">
        <f t="shared" ca="1" si="77"/>
        <v/>
      </c>
    </row>
    <row r="1667" spans="2:6" x14ac:dyDescent="0.2">
      <c r="B1667" t="str">
        <f>IFERROR(IF('PDCA review'!$D$2='Check'!B1667,'Check'!G1667,""),"")</f>
        <v/>
      </c>
      <c r="C1667">
        <f t="shared" si="75"/>
        <v>0</v>
      </c>
      <c r="D1667">
        <f>SUM($C$3:C1667)</f>
        <v>4</v>
      </c>
      <c r="E1667" t="e">
        <f t="shared" si="76"/>
        <v>#N/A</v>
      </c>
      <c r="F1667" s="28" t="str">
        <f t="shared" ca="1" si="77"/>
        <v/>
      </c>
    </row>
    <row r="1668" spans="2:6" x14ac:dyDescent="0.2">
      <c r="B1668" t="str">
        <f>IFERROR(IF('PDCA review'!$D$2='Check'!B1668,'Check'!G1668,""),"")</f>
        <v/>
      </c>
      <c r="C1668">
        <f t="shared" ref="C1668:C1731" si="78">IF(B1668&lt;&gt;"",1,0)</f>
        <v>0</v>
      </c>
      <c r="D1668">
        <f>SUM($C$3:C1668)</f>
        <v>4</v>
      </c>
      <c r="E1668" t="e">
        <f t="shared" ref="E1668:E1731" si="79">MATCH(ROW()-$D$2,$D$3:$D$2000,0)+$D$2</f>
        <v>#N/A</v>
      </c>
      <c r="F1668" s="28" t="str">
        <f t="shared" ref="F1668:F1731" ca="1" si="80">IFERROR(INDIRECT("B"&amp;E1668),"")</f>
        <v/>
      </c>
    </row>
    <row r="1669" spans="2:6" x14ac:dyDescent="0.2">
      <c r="B1669" t="str">
        <f>IFERROR(IF('PDCA review'!$D$2='Check'!B1669,'Check'!G1669,""),"")</f>
        <v/>
      </c>
      <c r="C1669">
        <f t="shared" si="78"/>
        <v>0</v>
      </c>
      <c r="D1669">
        <f>SUM($C$3:C1669)</f>
        <v>4</v>
      </c>
      <c r="E1669" t="e">
        <f t="shared" si="79"/>
        <v>#N/A</v>
      </c>
      <c r="F1669" s="28" t="str">
        <f t="shared" ca="1" si="80"/>
        <v/>
      </c>
    </row>
    <row r="1670" spans="2:6" x14ac:dyDescent="0.2">
      <c r="B1670" t="str">
        <f>IFERROR(IF('PDCA review'!$D$2='Check'!B1670,'Check'!G1670,""),"")</f>
        <v/>
      </c>
      <c r="C1670">
        <f t="shared" si="78"/>
        <v>0</v>
      </c>
      <c r="D1670">
        <f>SUM($C$3:C1670)</f>
        <v>4</v>
      </c>
      <c r="E1670" t="e">
        <f t="shared" si="79"/>
        <v>#N/A</v>
      </c>
      <c r="F1670" s="28" t="str">
        <f t="shared" ca="1" si="80"/>
        <v/>
      </c>
    </row>
    <row r="1671" spans="2:6" x14ac:dyDescent="0.2">
      <c r="B1671" t="str">
        <f>IFERROR(IF('PDCA review'!$D$2='Check'!B1671,'Check'!G1671,""),"")</f>
        <v/>
      </c>
      <c r="C1671">
        <f t="shared" si="78"/>
        <v>0</v>
      </c>
      <c r="D1671">
        <f>SUM($C$3:C1671)</f>
        <v>4</v>
      </c>
      <c r="E1671" t="e">
        <f t="shared" si="79"/>
        <v>#N/A</v>
      </c>
      <c r="F1671" s="28" t="str">
        <f t="shared" ca="1" si="80"/>
        <v/>
      </c>
    </row>
    <row r="1672" spans="2:6" x14ac:dyDescent="0.2">
      <c r="B1672" t="str">
        <f>IFERROR(IF('PDCA review'!$D$2='Check'!B1672,'Check'!G1672,""),"")</f>
        <v/>
      </c>
      <c r="C1672">
        <f t="shared" si="78"/>
        <v>0</v>
      </c>
      <c r="D1672">
        <f>SUM($C$3:C1672)</f>
        <v>4</v>
      </c>
      <c r="E1672" t="e">
        <f t="shared" si="79"/>
        <v>#N/A</v>
      </c>
      <c r="F1672" s="28" t="str">
        <f t="shared" ca="1" si="80"/>
        <v/>
      </c>
    </row>
    <row r="1673" spans="2:6" x14ac:dyDescent="0.2">
      <c r="B1673" t="str">
        <f>IFERROR(IF('PDCA review'!$D$2='Check'!B1673,'Check'!G1673,""),"")</f>
        <v/>
      </c>
      <c r="C1673">
        <f t="shared" si="78"/>
        <v>0</v>
      </c>
      <c r="D1673">
        <f>SUM($C$3:C1673)</f>
        <v>4</v>
      </c>
      <c r="E1673" t="e">
        <f t="shared" si="79"/>
        <v>#N/A</v>
      </c>
      <c r="F1673" s="28" t="str">
        <f t="shared" ca="1" si="80"/>
        <v/>
      </c>
    </row>
    <row r="1674" spans="2:6" x14ac:dyDescent="0.2">
      <c r="B1674" t="str">
        <f>IFERROR(IF('PDCA review'!$D$2='Check'!B1674,'Check'!G1674,""),"")</f>
        <v/>
      </c>
      <c r="C1674">
        <f t="shared" si="78"/>
        <v>0</v>
      </c>
      <c r="D1674">
        <f>SUM($C$3:C1674)</f>
        <v>4</v>
      </c>
      <c r="E1674" t="e">
        <f t="shared" si="79"/>
        <v>#N/A</v>
      </c>
      <c r="F1674" s="28" t="str">
        <f t="shared" ca="1" si="80"/>
        <v/>
      </c>
    </row>
    <row r="1675" spans="2:6" x14ac:dyDescent="0.2">
      <c r="B1675" t="str">
        <f>IFERROR(IF('PDCA review'!$D$2='Check'!B1675,'Check'!G1675,""),"")</f>
        <v/>
      </c>
      <c r="C1675">
        <f t="shared" si="78"/>
        <v>0</v>
      </c>
      <c r="D1675">
        <f>SUM($C$3:C1675)</f>
        <v>4</v>
      </c>
      <c r="E1675" t="e">
        <f t="shared" si="79"/>
        <v>#N/A</v>
      </c>
      <c r="F1675" s="28" t="str">
        <f t="shared" ca="1" si="80"/>
        <v/>
      </c>
    </row>
    <row r="1676" spans="2:6" x14ac:dyDescent="0.2">
      <c r="B1676" t="str">
        <f>IFERROR(IF('PDCA review'!$D$2='Check'!B1676,'Check'!G1676,""),"")</f>
        <v/>
      </c>
      <c r="C1676">
        <f t="shared" si="78"/>
        <v>0</v>
      </c>
      <c r="D1676">
        <f>SUM($C$3:C1676)</f>
        <v>4</v>
      </c>
      <c r="E1676" t="e">
        <f t="shared" si="79"/>
        <v>#N/A</v>
      </c>
      <c r="F1676" s="28" t="str">
        <f t="shared" ca="1" si="80"/>
        <v/>
      </c>
    </row>
    <row r="1677" spans="2:6" x14ac:dyDescent="0.2">
      <c r="B1677" t="str">
        <f>IFERROR(IF('PDCA review'!$D$2='Check'!B1677,'Check'!G1677,""),"")</f>
        <v/>
      </c>
      <c r="C1677">
        <f t="shared" si="78"/>
        <v>0</v>
      </c>
      <c r="D1677">
        <f>SUM($C$3:C1677)</f>
        <v>4</v>
      </c>
      <c r="E1677" t="e">
        <f t="shared" si="79"/>
        <v>#N/A</v>
      </c>
      <c r="F1677" s="28" t="str">
        <f t="shared" ca="1" si="80"/>
        <v/>
      </c>
    </row>
    <row r="1678" spans="2:6" x14ac:dyDescent="0.2">
      <c r="B1678" t="str">
        <f>IFERROR(IF('PDCA review'!$D$2='Check'!B1678,'Check'!G1678,""),"")</f>
        <v/>
      </c>
      <c r="C1678">
        <f t="shared" si="78"/>
        <v>0</v>
      </c>
      <c r="D1678">
        <f>SUM($C$3:C1678)</f>
        <v>4</v>
      </c>
      <c r="E1678" t="e">
        <f t="shared" si="79"/>
        <v>#N/A</v>
      </c>
      <c r="F1678" s="28" t="str">
        <f t="shared" ca="1" si="80"/>
        <v/>
      </c>
    </row>
    <row r="1679" spans="2:6" x14ac:dyDescent="0.2">
      <c r="B1679" t="str">
        <f>IFERROR(IF('PDCA review'!$D$2='Check'!B1679,'Check'!G1679,""),"")</f>
        <v/>
      </c>
      <c r="C1679">
        <f t="shared" si="78"/>
        <v>0</v>
      </c>
      <c r="D1679">
        <f>SUM($C$3:C1679)</f>
        <v>4</v>
      </c>
      <c r="E1679" t="e">
        <f t="shared" si="79"/>
        <v>#N/A</v>
      </c>
      <c r="F1679" s="28" t="str">
        <f t="shared" ca="1" si="80"/>
        <v/>
      </c>
    </row>
    <row r="1680" spans="2:6" x14ac:dyDescent="0.2">
      <c r="B1680" t="str">
        <f>IFERROR(IF('PDCA review'!$D$2='Check'!B1680,'Check'!G1680,""),"")</f>
        <v/>
      </c>
      <c r="C1680">
        <f t="shared" si="78"/>
        <v>0</v>
      </c>
      <c r="D1680">
        <f>SUM($C$3:C1680)</f>
        <v>4</v>
      </c>
      <c r="E1680" t="e">
        <f t="shared" si="79"/>
        <v>#N/A</v>
      </c>
      <c r="F1680" s="28" t="str">
        <f t="shared" ca="1" si="80"/>
        <v/>
      </c>
    </row>
    <row r="1681" spans="2:6" x14ac:dyDescent="0.2">
      <c r="B1681" t="str">
        <f>IFERROR(IF('PDCA review'!$D$2='Check'!B1681,'Check'!G1681,""),"")</f>
        <v/>
      </c>
      <c r="C1681">
        <f t="shared" si="78"/>
        <v>0</v>
      </c>
      <c r="D1681">
        <f>SUM($C$3:C1681)</f>
        <v>4</v>
      </c>
      <c r="E1681" t="e">
        <f t="shared" si="79"/>
        <v>#N/A</v>
      </c>
      <c r="F1681" s="28" t="str">
        <f t="shared" ca="1" si="80"/>
        <v/>
      </c>
    </row>
    <row r="1682" spans="2:6" x14ac:dyDescent="0.2">
      <c r="B1682" t="str">
        <f>IFERROR(IF('PDCA review'!$D$2='Check'!B1682,'Check'!G1682,""),"")</f>
        <v/>
      </c>
      <c r="C1682">
        <f t="shared" si="78"/>
        <v>0</v>
      </c>
      <c r="D1682">
        <f>SUM($C$3:C1682)</f>
        <v>4</v>
      </c>
      <c r="E1682" t="e">
        <f t="shared" si="79"/>
        <v>#N/A</v>
      </c>
      <c r="F1682" s="28" t="str">
        <f t="shared" ca="1" si="80"/>
        <v/>
      </c>
    </row>
    <row r="1683" spans="2:6" x14ac:dyDescent="0.2">
      <c r="B1683" t="str">
        <f>IFERROR(IF('PDCA review'!$D$2='Check'!B1683,'Check'!G1683,""),"")</f>
        <v/>
      </c>
      <c r="C1683">
        <f t="shared" si="78"/>
        <v>0</v>
      </c>
      <c r="D1683">
        <f>SUM($C$3:C1683)</f>
        <v>4</v>
      </c>
      <c r="E1683" t="e">
        <f t="shared" si="79"/>
        <v>#N/A</v>
      </c>
      <c r="F1683" s="28" t="str">
        <f t="shared" ca="1" si="80"/>
        <v/>
      </c>
    </row>
    <row r="1684" spans="2:6" x14ac:dyDescent="0.2">
      <c r="B1684" t="str">
        <f>IFERROR(IF('PDCA review'!$D$2='Check'!B1684,'Check'!G1684,""),"")</f>
        <v/>
      </c>
      <c r="C1684">
        <f t="shared" si="78"/>
        <v>0</v>
      </c>
      <c r="D1684">
        <f>SUM($C$3:C1684)</f>
        <v>4</v>
      </c>
      <c r="E1684" t="e">
        <f t="shared" si="79"/>
        <v>#N/A</v>
      </c>
      <c r="F1684" s="28" t="str">
        <f t="shared" ca="1" si="80"/>
        <v/>
      </c>
    </row>
    <row r="1685" spans="2:6" x14ac:dyDescent="0.2">
      <c r="B1685" t="str">
        <f>IFERROR(IF('PDCA review'!$D$2='Check'!B1685,'Check'!G1685,""),"")</f>
        <v/>
      </c>
      <c r="C1685">
        <f t="shared" si="78"/>
        <v>0</v>
      </c>
      <c r="D1685">
        <f>SUM($C$3:C1685)</f>
        <v>4</v>
      </c>
      <c r="E1685" t="e">
        <f t="shared" si="79"/>
        <v>#N/A</v>
      </c>
      <c r="F1685" s="28" t="str">
        <f t="shared" ca="1" si="80"/>
        <v/>
      </c>
    </row>
    <row r="1686" spans="2:6" x14ac:dyDescent="0.2">
      <c r="B1686" t="str">
        <f>IFERROR(IF('PDCA review'!$D$2='Check'!B1686,'Check'!G1686,""),"")</f>
        <v/>
      </c>
      <c r="C1686">
        <f t="shared" si="78"/>
        <v>0</v>
      </c>
      <c r="D1686">
        <f>SUM($C$3:C1686)</f>
        <v>4</v>
      </c>
      <c r="E1686" t="e">
        <f t="shared" si="79"/>
        <v>#N/A</v>
      </c>
      <c r="F1686" s="28" t="str">
        <f t="shared" ca="1" si="80"/>
        <v/>
      </c>
    </row>
    <row r="1687" spans="2:6" x14ac:dyDescent="0.2">
      <c r="B1687" t="str">
        <f>IFERROR(IF('PDCA review'!$D$2='Check'!B1687,'Check'!G1687,""),"")</f>
        <v/>
      </c>
      <c r="C1687">
        <f t="shared" si="78"/>
        <v>0</v>
      </c>
      <c r="D1687">
        <f>SUM($C$3:C1687)</f>
        <v>4</v>
      </c>
      <c r="E1687" t="e">
        <f t="shared" si="79"/>
        <v>#N/A</v>
      </c>
      <c r="F1687" s="28" t="str">
        <f t="shared" ca="1" si="80"/>
        <v/>
      </c>
    </row>
    <row r="1688" spans="2:6" x14ac:dyDescent="0.2">
      <c r="B1688" t="str">
        <f>IFERROR(IF('PDCA review'!$D$2='Check'!B1688,'Check'!G1688,""),"")</f>
        <v/>
      </c>
      <c r="C1688">
        <f t="shared" si="78"/>
        <v>0</v>
      </c>
      <c r="D1688">
        <f>SUM($C$3:C1688)</f>
        <v>4</v>
      </c>
      <c r="E1688" t="e">
        <f t="shared" si="79"/>
        <v>#N/A</v>
      </c>
      <c r="F1688" s="28" t="str">
        <f t="shared" ca="1" si="80"/>
        <v/>
      </c>
    </row>
    <row r="1689" spans="2:6" x14ac:dyDescent="0.2">
      <c r="B1689" t="str">
        <f>IFERROR(IF('PDCA review'!$D$2='Check'!B1689,'Check'!G1689,""),"")</f>
        <v/>
      </c>
      <c r="C1689">
        <f t="shared" si="78"/>
        <v>0</v>
      </c>
      <c r="D1689">
        <f>SUM($C$3:C1689)</f>
        <v>4</v>
      </c>
      <c r="E1689" t="e">
        <f t="shared" si="79"/>
        <v>#N/A</v>
      </c>
      <c r="F1689" s="28" t="str">
        <f t="shared" ca="1" si="80"/>
        <v/>
      </c>
    </row>
    <row r="1690" spans="2:6" x14ac:dyDescent="0.2">
      <c r="B1690" t="str">
        <f>IFERROR(IF('PDCA review'!$D$2='Check'!B1690,'Check'!G1690,""),"")</f>
        <v/>
      </c>
      <c r="C1690">
        <f t="shared" si="78"/>
        <v>0</v>
      </c>
      <c r="D1690">
        <f>SUM($C$3:C1690)</f>
        <v>4</v>
      </c>
      <c r="E1690" t="e">
        <f t="shared" si="79"/>
        <v>#N/A</v>
      </c>
      <c r="F1690" s="28" t="str">
        <f t="shared" ca="1" si="80"/>
        <v/>
      </c>
    </row>
    <row r="1691" spans="2:6" x14ac:dyDescent="0.2">
      <c r="B1691" t="str">
        <f>IFERROR(IF('PDCA review'!$D$2='Check'!B1691,'Check'!G1691,""),"")</f>
        <v/>
      </c>
      <c r="C1691">
        <f t="shared" si="78"/>
        <v>0</v>
      </c>
      <c r="D1691">
        <f>SUM($C$3:C1691)</f>
        <v>4</v>
      </c>
      <c r="E1691" t="e">
        <f t="shared" si="79"/>
        <v>#N/A</v>
      </c>
      <c r="F1691" s="28" t="str">
        <f t="shared" ca="1" si="80"/>
        <v/>
      </c>
    </row>
    <row r="1692" spans="2:6" x14ac:dyDescent="0.2">
      <c r="B1692" t="str">
        <f>IFERROR(IF('PDCA review'!$D$2='Check'!B1692,'Check'!G1692,""),"")</f>
        <v/>
      </c>
      <c r="C1692">
        <f t="shared" si="78"/>
        <v>0</v>
      </c>
      <c r="D1692">
        <f>SUM($C$3:C1692)</f>
        <v>4</v>
      </c>
      <c r="E1692" t="e">
        <f t="shared" si="79"/>
        <v>#N/A</v>
      </c>
      <c r="F1692" s="28" t="str">
        <f t="shared" ca="1" si="80"/>
        <v/>
      </c>
    </row>
    <row r="1693" spans="2:6" x14ac:dyDescent="0.2">
      <c r="B1693" t="str">
        <f>IFERROR(IF('PDCA review'!$D$2='Check'!B1693,'Check'!G1693,""),"")</f>
        <v/>
      </c>
      <c r="C1693">
        <f t="shared" si="78"/>
        <v>0</v>
      </c>
      <c r="D1693">
        <f>SUM($C$3:C1693)</f>
        <v>4</v>
      </c>
      <c r="E1693" t="e">
        <f t="shared" si="79"/>
        <v>#N/A</v>
      </c>
      <c r="F1693" s="28" t="str">
        <f t="shared" ca="1" si="80"/>
        <v/>
      </c>
    </row>
    <row r="1694" spans="2:6" x14ac:dyDescent="0.2">
      <c r="B1694" t="str">
        <f>IFERROR(IF('PDCA review'!$D$2='Check'!B1694,'Check'!G1694,""),"")</f>
        <v/>
      </c>
      <c r="C1694">
        <f t="shared" si="78"/>
        <v>0</v>
      </c>
      <c r="D1694">
        <f>SUM($C$3:C1694)</f>
        <v>4</v>
      </c>
      <c r="E1694" t="e">
        <f t="shared" si="79"/>
        <v>#N/A</v>
      </c>
      <c r="F1694" s="28" t="str">
        <f t="shared" ca="1" si="80"/>
        <v/>
      </c>
    </row>
    <row r="1695" spans="2:6" x14ac:dyDescent="0.2">
      <c r="B1695" t="str">
        <f>IFERROR(IF('PDCA review'!$D$2='Check'!B1695,'Check'!G1695,""),"")</f>
        <v/>
      </c>
      <c r="C1695">
        <f t="shared" si="78"/>
        <v>0</v>
      </c>
      <c r="D1695">
        <f>SUM($C$3:C1695)</f>
        <v>4</v>
      </c>
      <c r="E1695" t="e">
        <f t="shared" si="79"/>
        <v>#N/A</v>
      </c>
      <c r="F1695" s="28" t="str">
        <f t="shared" ca="1" si="80"/>
        <v/>
      </c>
    </row>
    <row r="1696" spans="2:6" x14ac:dyDescent="0.2">
      <c r="B1696" t="str">
        <f>IFERROR(IF('PDCA review'!$D$2='Check'!B1696,'Check'!G1696,""),"")</f>
        <v/>
      </c>
      <c r="C1696">
        <f t="shared" si="78"/>
        <v>0</v>
      </c>
      <c r="D1696">
        <f>SUM($C$3:C1696)</f>
        <v>4</v>
      </c>
      <c r="E1696" t="e">
        <f t="shared" si="79"/>
        <v>#N/A</v>
      </c>
      <c r="F1696" s="28" t="str">
        <f t="shared" ca="1" si="80"/>
        <v/>
      </c>
    </row>
    <row r="1697" spans="2:6" x14ac:dyDescent="0.2">
      <c r="B1697" t="str">
        <f>IFERROR(IF('PDCA review'!$D$2='Check'!B1697,'Check'!G1697,""),"")</f>
        <v/>
      </c>
      <c r="C1697">
        <f t="shared" si="78"/>
        <v>0</v>
      </c>
      <c r="D1697">
        <f>SUM($C$3:C1697)</f>
        <v>4</v>
      </c>
      <c r="E1697" t="e">
        <f t="shared" si="79"/>
        <v>#N/A</v>
      </c>
      <c r="F1697" s="28" t="str">
        <f t="shared" ca="1" si="80"/>
        <v/>
      </c>
    </row>
    <row r="1698" spans="2:6" x14ac:dyDescent="0.2">
      <c r="B1698" t="str">
        <f>IFERROR(IF('PDCA review'!$D$2='Check'!B1698,'Check'!G1698,""),"")</f>
        <v/>
      </c>
      <c r="C1698">
        <f t="shared" si="78"/>
        <v>0</v>
      </c>
      <c r="D1698">
        <f>SUM($C$3:C1698)</f>
        <v>4</v>
      </c>
      <c r="E1698" t="e">
        <f t="shared" si="79"/>
        <v>#N/A</v>
      </c>
      <c r="F1698" s="28" t="str">
        <f t="shared" ca="1" si="80"/>
        <v/>
      </c>
    </row>
    <row r="1699" spans="2:6" x14ac:dyDescent="0.2">
      <c r="B1699" t="str">
        <f>IFERROR(IF('PDCA review'!$D$2='Check'!B1699,'Check'!G1699,""),"")</f>
        <v/>
      </c>
      <c r="C1699">
        <f t="shared" si="78"/>
        <v>0</v>
      </c>
      <c r="D1699">
        <f>SUM($C$3:C1699)</f>
        <v>4</v>
      </c>
      <c r="E1699" t="e">
        <f t="shared" si="79"/>
        <v>#N/A</v>
      </c>
      <c r="F1699" s="28" t="str">
        <f t="shared" ca="1" si="80"/>
        <v/>
      </c>
    </row>
    <row r="1700" spans="2:6" x14ac:dyDescent="0.2">
      <c r="B1700" t="str">
        <f>IFERROR(IF('PDCA review'!$D$2='Check'!B1700,'Check'!G1700,""),"")</f>
        <v/>
      </c>
      <c r="C1700">
        <f t="shared" si="78"/>
        <v>0</v>
      </c>
      <c r="D1700">
        <f>SUM($C$3:C1700)</f>
        <v>4</v>
      </c>
      <c r="E1700" t="e">
        <f t="shared" si="79"/>
        <v>#N/A</v>
      </c>
      <c r="F1700" s="28" t="str">
        <f t="shared" ca="1" si="80"/>
        <v/>
      </c>
    </row>
    <row r="1701" spans="2:6" x14ac:dyDescent="0.2">
      <c r="B1701" t="str">
        <f>IFERROR(IF('PDCA review'!$D$2='Check'!B1701,'Check'!G1701,""),"")</f>
        <v/>
      </c>
      <c r="C1701">
        <f t="shared" si="78"/>
        <v>0</v>
      </c>
      <c r="D1701">
        <f>SUM($C$3:C1701)</f>
        <v>4</v>
      </c>
      <c r="E1701" t="e">
        <f t="shared" si="79"/>
        <v>#N/A</v>
      </c>
      <c r="F1701" s="28" t="str">
        <f t="shared" ca="1" si="80"/>
        <v/>
      </c>
    </row>
    <row r="1702" spans="2:6" x14ac:dyDescent="0.2">
      <c r="B1702" t="str">
        <f>IFERROR(IF('PDCA review'!$D$2='Check'!B1702,'Check'!G1702,""),"")</f>
        <v/>
      </c>
      <c r="C1702">
        <f t="shared" si="78"/>
        <v>0</v>
      </c>
      <c r="D1702">
        <f>SUM($C$3:C1702)</f>
        <v>4</v>
      </c>
      <c r="E1702" t="e">
        <f t="shared" si="79"/>
        <v>#N/A</v>
      </c>
      <c r="F1702" s="28" t="str">
        <f t="shared" ca="1" si="80"/>
        <v/>
      </c>
    </row>
    <row r="1703" spans="2:6" x14ac:dyDescent="0.2">
      <c r="B1703" t="str">
        <f>IFERROR(IF('PDCA review'!$D$2='Check'!B1703,'Check'!G1703,""),"")</f>
        <v/>
      </c>
      <c r="C1703">
        <f t="shared" si="78"/>
        <v>0</v>
      </c>
      <c r="D1703">
        <f>SUM($C$3:C1703)</f>
        <v>4</v>
      </c>
      <c r="E1703" t="e">
        <f t="shared" si="79"/>
        <v>#N/A</v>
      </c>
      <c r="F1703" s="28" t="str">
        <f t="shared" ca="1" si="80"/>
        <v/>
      </c>
    </row>
    <row r="1704" spans="2:6" x14ac:dyDescent="0.2">
      <c r="B1704" t="str">
        <f>IFERROR(IF('PDCA review'!$D$2='Check'!B1704,'Check'!G1704,""),"")</f>
        <v/>
      </c>
      <c r="C1704">
        <f t="shared" si="78"/>
        <v>0</v>
      </c>
      <c r="D1704">
        <f>SUM($C$3:C1704)</f>
        <v>4</v>
      </c>
      <c r="E1704" t="e">
        <f t="shared" si="79"/>
        <v>#N/A</v>
      </c>
      <c r="F1704" s="28" t="str">
        <f t="shared" ca="1" si="80"/>
        <v/>
      </c>
    </row>
    <row r="1705" spans="2:6" x14ac:dyDescent="0.2">
      <c r="B1705" t="str">
        <f>IFERROR(IF('PDCA review'!$D$2='Check'!B1705,'Check'!G1705,""),"")</f>
        <v/>
      </c>
      <c r="C1705">
        <f t="shared" si="78"/>
        <v>0</v>
      </c>
      <c r="D1705">
        <f>SUM($C$3:C1705)</f>
        <v>4</v>
      </c>
      <c r="E1705" t="e">
        <f t="shared" si="79"/>
        <v>#N/A</v>
      </c>
      <c r="F1705" s="28" t="str">
        <f t="shared" ca="1" si="80"/>
        <v/>
      </c>
    </row>
    <row r="1706" spans="2:6" x14ac:dyDescent="0.2">
      <c r="B1706" t="str">
        <f>IFERROR(IF('PDCA review'!$D$2='Check'!B1706,'Check'!G1706,""),"")</f>
        <v/>
      </c>
      <c r="C1706">
        <f t="shared" si="78"/>
        <v>0</v>
      </c>
      <c r="D1706">
        <f>SUM($C$3:C1706)</f>
        <v>4</v>
      </c>
      <c r="E1706" t="e">
        <f t="shared" si="79"/>
        <v>#N/A</v>
      </c>
      <c r="F1706" s="28" t="str">
        <f t="shared" ca="1" si="80"/>
        <v/>
      </c>
    </row>
    <row r="1707" spans="2:6" x14ac:dyDescent="0.2">
      <c r="B1707" t="str">
        <f>IFERROR(IF('PDCA review'!$D$2='Check'!B1707,'Check'!G1707,""),"")</f>
        <v/>
      </c>
      <c r="C1707">
        <f t="shared" si="78"/>
        <v>0</v>
      </c>
      <c r="D1707">
        <f>SUM($C$3:C1707)</f>
        <v>4</v>
      </c>
      <c r="E1707" t="e">
        <f t="shared" si="79"/>
        <v>#N/A</v>
      </c>
      <c r="F1707" s="28" t="str">
        <f t="shared" ca="1" si="80"/>
        <v/>
      </c>
    </row>
    <row r="1708" spans="2:6" x14ac:dyDescent="0.2">
      <c r="B1708" t="str">
        <f>IFERROR(IF('PDCA review'!$D$2='Check'!B1708,'Check'!G1708,""),"")</f>
        <v/>
      </c>
      <c r="C1708">
        <f t="shared" si="78"/>
        <v>0</v>
      </c>
      <c r="D1708">
        <f>SUM($C$3:C1708)</f>
        <v>4</v>
      </c>
      <c r="E1708" t="e">
        <f t="shared" si="79"/>
        <v>#N/A</v>
      </c>
      <c r="F1708" s="28" t="str">
        <f t="shared" ca="1" si="80"/>
        <v/>
      </c>
    </row>
    <row r="1709" spans="2:6" x14ac:dyDescent="0.2">
      <c r="B1709" t="str">
        <f>IFERROR(IF('PDCA review'!$D$2='Check'!B1709,'Check'!G1709,""),"")</f>
        <v/>
      </c>
      <c r="C1709">
        <f t="shared" si="78"/>
        <v>0</v>
      </c>
      <c r="D1709">
        <f>SUM($C$3:C1709)</f>
        <v>4</v>
      </c>
      <c r="E1709" t="e">
        <f t="shared" si="79"/>
        <v>#N/A</v>
      </c>
      <c r="F1709" s="28" t="str">
        <f t="shared" ca="1" si="80"/>
        <v/>
      </c>
    </row>
    <row r="1710" spans="2:6" x14ac:dyDescent="0.2">
      <c r="B1710" t="str">
        <f>IFERROR(IF('PDCA review'!$D$2='Check'!B1710,'Check'!G1710,""),"")</f>
        <v/>
      </c>
      <c r="C1710">
        <f t="shared" si="78"/>
        <v>0</v>
      </c>
      <c r="D1710">
        <f>SUM($C$3:C1710)</f>
        <v>4</v>
      </c>
      <c r="E1710" t="e">
        <f t="shared" si="79"/>
        <v>#N/A</v>
      </c>
      <c r="F1710" s="28" t="str">
        <f t="shared" ca="1" si="80"/>
        <v/>
      </c>
    </row>
    <row r="1711" spans="2:6" x14ac:dyDescent="0.2">
      <c r="B1711" t="str">
        <f>IFERROR(IF('PDCA review'!$D$2='Check'!B1711,'Check'!G1711,""),"")</f>
        <v/>
      </c>
      <c r="C1711">
        <f t="shared" si="78"/>
        <v>0</v>
      </c>
      <c r="D1711">
        <f>SUM($C$3:C1711)</f>
        <v>4</v>
      </c>
      <c r="E1711" t="e">
        <f t="shared" si="79"/>
        <v>#N/A</v>
      </c>
      <c r="F1711" s="28" t="str">
        <f t="shared" ca="1" si="80"/>
        <v/>
      </c>
    </row>
    <row r="1712" spans="2:6" x14ac:dyDescent="0.2">
      <c r="B1712" t="str">
        <f>IFERROR(IF('PDCA review'!$D$2='Check'!B1712,'Check'!G1712,""),"")</f>
        <v/>
      </c>
      <c r="C1712">
        <f t="shared" si="78"/>
        <v>0</v>
      </c>
      <c r="D1712">
        <f>SUM($C$3:C1712)</f>
        <v>4</v>
      </c>
      <c r="E1712" t="e">
        <f t="shared" si="79"/>
        <v>#N/A</v>
      </c>
      <c r="F1712" s="28" t="str">
        <f t="shared" ca="1" si="80"/>
        <v/>
      </c>
    </row>
    <row r="1713" spans="2:6" x14ac:dyDescent="0.2">
      <c r="B1713" t="str">
        <f>IFERROR(IF('PDCA review'!$D$2='Check'!B1713,'Check'!G1713,""),"")</f>
        <v/>
      </c>
      <c r="C1713">
        <f t="shared" si="78"/>
        <v>0</v>
      </c>
      <c r="D1713">
        <f>SUM($C$3:C1713)</f>
        <v>4</v>
      </c>
      <c r="E1713" t="e">
        <f t="shared" si="79"/>
        <v>#N/A</v>
      </c>
      <c r="F1713" s="28" t="str">
        <f t="shared" ca="1" si="80"/>
        <v/>
      </c>
    </row>
    <row r="1714" spans="2:6" x14ac:dyDescent="0.2">
      <c r="B1714" t="str">
        <f>IFERROR(IF('PDCA review'!$D$2='Check'!B1714,'Check'!G1714,""),"")</f>
        <v/>
      </c>
      <c r="C1714">
        <f t="shared" si="78"/>
        <v>0</v>
      </c>
      <c r="D1714">
        <f>SUM($C$3:C1714)</f>
        <v>4</v>
      </c>
      <c r="E1714" t="e">
        <f t="shared" si="79"/>
        <v>#N/A</v>
      </c>
      <c r="F1714" s="28" t="str">
        <f t="shared" ca="1" si="80"/>
        <v/>
      </c>
    </row>
    <row r="1715" spans="2:6" x14ac:dyDescent="0.2">
      <c r="B1715" t="str">
        <f>IFERROR(IF('PDCA review'!$D$2='Check'!B1715,'Check'!G1715,""),"")</f>
        <v/>
      </c>
      <c r="C1715">
        <f t="shared" si="78"/>
        <v>0</v>
      </c>
      <c r="D1715">
        <f>SUM($C$3:C1715)</f>
        <v>4</v>
      </c>
      <c r="E1715" t="e">
        <f t="shared" si="79"/>
        <v>#N/A</v>
      </c>
      <c r="F1715" s="28" t="str">
        <f t="shared" ca="1" si="80"/>
        <v/>
      </c>
    </row>
    <row r="1716" spans="2:6" x14ac:dyDescent="0.2">
      <c r="B1716" t="str">
        <f>IFERROR(IF('PDCA review'!$D$2='Check'!B1716,'Check'!G1716,""),"")</f>
        <v/>
      </c>
      <c r="C1716">
        <f t="shared" si="78"/>
        <v>0</v>
      </c>
      <c r="D1716">
        <f>SUM($C$3:C1716)</f>
        <v>4</v>
      </c>
      <c r="E1716" t="e">
        <f t="shared" si="79"/>
        <v>#N/A</v>
      </c>
      <c r="F1716" s="28" t="str">
        <f t="shared" ca="1" si="80"/>
        <v/>
      </c>
    </row>
    <row r="1717" spans="2:6" x14ac:dyDescent="0.2">
      <c r="B1717" t="str">
        <f>IFERROR(IF('PDCA review'!$D$2='Check'!B1717,'Check'!G1717,""),"")</f>
        <v/>
      </c>
      <c r="C1717">
        <f t="shared" si="78"/>
        <v>0</v>
      </c>
      <c r="D1717">
        <f>SUM($C$3:C1717)</f>
        <v>4</v>
      </c>
      <c r="E1717" t="e">
        <f t="shared" si="79"/>
        <v>#N/A</v>
      </c>
      <c r="F1717" s="28" t="str">
        <f t="shared" ca="1" si="80"/>
        <v/>
      </c>
    </row>
    <row r="1718" spans="2:6" x14ac:dyDescent="0.2">
      <c r="B1718" t="str">
        <f>IFERROR(IF('PDCA review'!$D$2='Check'!B1718,'Check'!G1718,""),"")</f>
        <v/>
      </c>
      <c r="C1718">
        <f t="shared" si="78"/>
        <v>0</v>
      </c>
      <c r="D1718">
        <f>SUM($C$3:C1718)</f>
        <v>4</v>
      </c>
      <c r="E1718" t="e">
        <f t="shared" si="79"/>
        <v>#N/A</v>
      </c>
      <c r="F1718" s="28" t="str">
        <f t="shared" ca="1" si="80"/>
        <v/>
      </c>
    </row>
    <row r="1719" spans="2:6" x14ac:dyDescent="0.2">
      <c r="B1719" t="str">
        <f>IFERROR(IF('PDCA review'!$D$2='Check'!B1719,'Check'!G1719,""),"")</f>
        <v/>
      </c>
      <c r="C1719">
        <f t="shared" si="78"/>
        <v>0</v>
      </c>
      <c r="D1719">
        <f>SUM($C$3:C1719)</f>
        <v>4</v>
      </c>
      <c r="E1719" t="e">
        <f t="shared" si="79"/>
        <v>#N/A</v>
      </c>
      <c r="F1719" s="28" t="str">
        <f t="shared" ca="1" si="80"/>
        <v/>
      </c>
    </row>
    <row r="1720" spans="2:6" x14ac:dyDescent="0.2">
      <c r="B1720" t="str">
        <f>IFERROR(IF('PDCA review'!$D$2='Check'!B1720,'Check'!G1720,""),"")</f>
        <v/>
      </c>
      <c r="C1720">
        <f t="shared" si="78"/>
        <v>0</v>
      </c>
      <c r="D1720">
        <f>SUM($C$3:C1720)</f>
        <v>4</v>
      </c>
      <c r="E1720" t="e">
        <f t="shared" si="79"/>
        <v>#N/A</v>
      </c>
      <c r="F1720" s="28" t="str">
        <f t="shared" ca="1" si="80"/>
        <v/>
      </c>
    </row>
    <row r="1721" spans="2:6" x14ac:dyDescent="0.2">
      <c r="B1721" t="str">
        <f>IFERROR(IF('PDCA review'!$D$2='Check'!B1721,'Check'!G1721,""),"")</f>
        <v/>
      </c>
      <c r="C1721">
        <f t="shared" si="78"/>
        <v>0</v>
      </c>
      <c r="D1721">
        <f>SUM($C$3:C1721)</f>
        <v>4</v>
      </c>
      <c r="E1721" t="e">
        <f t="shared" si="79"/>
        <v>#N/A</v>
      </c>
      <c r="F1721" s="28" t="str">
        <f t="shared" ca="1" si="80"/>
        <v/>
      </c>
    </row>
    <row r="1722" spans="2:6" x14ac:dyDescent="0.2">
      <c r="B1722" t="str">
        <f>IFERROR(IF('PDCA review'!$D$2='Check'!B1722,'Check'!G1722,""),"")</f>
        <v/>
      </c>
      <c r="C1722">
        <f t="shared" si="78"/>
        <v>0</v>
      </c>
      <c r="D1722">
        <f>SUM($C$3:C1722)</f>
        <v>4</v>
      </c>
      <c r="E1722" t="e">
        <f t="shared" si="79"/>
        <v>#N/A</v>
      </c>
      <c r="F1722" s="28" t="str">
        <f t="shared" ca="1" si="80"/>
        <v/>
      </c>
    </row>
    <row r="1723" spans="2:6" x14ac:dyDescent="0.2">
      <c r="B1723" t="str">
        <f>IFERROR(IF('PDCA review'!$D$2='Check'!B1723,'Check'!G1723,""),"")</f>
        <v/>
      </c>
      <c r="C1723">
        <f t="shared" si="78"/>
        <v>0</v>
      </c>
      <c r="D1723">
        <f>SUM($C$3:C1723)</f>
        <v>4</v>
      </c>
      <c r="E1723" t="e">
        <f t="shared" si="79"/>
        <v>#N/A</v>
      </c>
      <c r="F1723" s="28" t="str">
        <f t="shared" ca="1" si="80"/>
        <v/>
      </c>
    </row>
    <row r="1724" spans="2:6" x14ac:dyDescent="0.2">
      <c r="B1724" t="str">
        <f>IFERROR(IF('PDCA review'!$D$2='Check'!B1724,'Check'!G1724,""),"")</f>
        <v/>
      </c>
      <c r="C1724">
        <f t="shared" si="78"/>
        <v>0</v>
      </c>
      <c r="D1724">
        <f>SUM($C$3:C1724)</f>
        <v>4</v>
      </c>
      <c r="E1724" t="e">
        <f t="shared" si="79"/>
        <v>#N/A</v>
      </c>
      <c r="F1724" s="28" t="str">
        <f t="shared" ca="1" si="80"/>
        <v/>
      </c>
    </row>
    <row r="1725" spans="2:6" x14ac:dyDescent="0.2">
      <c r="B1725" t="str">
        <f>IFERROR(IF('PDCA review'!$D$2='Check'!B1725,'Check'!G1725,""),"")</f>
        <v/>
      </c>
      <c r="C1725">
        <f t="shared" si="78"/>
        <v>0</v>
      </c>
      <c r="D1725">
        <f>SUM($C$3:C1725)</f>
        <v>4</v>
      </c>
      <c r="E1725" t="e">
        <f t="shared" si="79"/>
        <v>#N/A</v>
      </c>
      <c r="F1725" s="28" t="str">
        <f t="shared" ca="1" si="80"/>
        <v/>
      </c>
    </row>
    <row r="1726" spans="2:6" x14ac:dyDescent="0.2">
      <c r="B1726" t="str">
        <f>IFERROR(IF('PDCA review'!$D$2='Check'!B1726,'Check'!G1726,""),"")</f>
        <v/>
      </c>
      <c r="C1726">
        <f t="shared" si="78"/>
        <v>0</v>
      </c>
      <c r="D1726">
        <f>SUM($C$3:C1726)</f>
        <v>4</v>
      </c>
      <c r="E1726" t="e">
        <f t="shared" si="79"/>
        <v>#N/A</v>
      </c>
      <c r="F1726" s="28" t="str">
        <f t="shared" ca="1" si="80"/>
        <v/>
      </c>
    </row>
    <row r="1727" spans="2:6" x14ac:dyDescent="0.2">
      <c r="B1727" t="str">
        <f>IFERROR(IF('PDCA review'!$D$2='Check'!B1727,'Check'!G1727,""),"")</f>
        <v/>
      </c>
      <c r="C1727">
        <f t="shared" si="78"/>
        <v>0</v>
      </c>
      <c r="D1727">
        <f>SUM($C$3:C1727)</f>
        <v>4</v>
      </c>
      <c r="E1727" t="e">
        <f t="shared" si="79"/>
        <v>#N/A</v>
      </c>
      <c r="F1727" s="28" t="str">
        <f t="shared" ca="1" si="80"/>
        <v/>
      </c>
    </row>
    <row r="1728" spans="2:6" x14ac:dyDescent="0.2">
      <c r="B1728" t="str">
        <f>IFERROR(IF('PDCA review'!$D$2='Check'!B1728,'Check'!G1728,""),"")</f>
        <v/>
      </c>
      <c r="C1728">
        <f t="shared" si="78"/>
        <v>0</v>
      </c>
      <c r="D1728">
        <f>SUM($C$3:C1728)</f>
        <v>4</v>
      </c>
      <c r="E1728" t="e">
        <f t="shared" si="79"/>
        <v>#N/A</v>
      </c>
      <c r="F1728" s="28" t="str">
        <f t="shared" ca="1" si="80"/>
        <v/>
      </c>
    </row>
    <row r="1729" spans="2:6" x14ac:dyDescent="0.2">
      <c r="B1729" t="str">
        <f>IFERROR(IF('PDCA review'!$D$2='Check'!B1729,'Check'!G1729,""),"")</f>
        <v/>
      </c>
      <c r="C1729">
        <f t="shared" si="78"/>
        <v>0</v>
      </c>
      <c r="D1729">
        <f>SUM($C$3:C1729)</f>
        <v>4</v>
      </c>
      <c r="E1729" t="e">
        <f t="shared" si="79"/>
        <v>#N/A</v>
      </c>
      <c r="F1729" s="28" t="str">
        <f t="shared" ca="1" si="80"/>
        <v/>
      </c>
    </row>
    <row r="1730" spans="2:6" x14ac:dyDescent="0.2">
      <c r="B1730" t="str">
        <f>IFERROR(IF('PDCA review'!$D$2='Check'!B1730,'Check'!G1730,""),"")</f>
        <v/>
      </c>
      <c r="C1730">
        <f t="shared" si="78"/>
        <v>0</v>
      </c>
      <c r="D1730">
        <f>SUM($C$3:C1730)</f>
        <v>4</v>
      </c>
      <c r="E1730" t="e">
        <f t="shared" si="79"/>
        <v>#N/A</v>
      </c>
      <c r="F1730" s="28" t="str">
        <f t="shared" ca="1" si="80"/>
        <v/>
      </c>
    </row>
    <row r="1731" spans="2:6" x14ac:dyDescent="0.2">
      <c r="B1731" t="str">
        <f>IFERROR(IF('PDCA review'!$D$2='Check'!B1731,'Check'!G1731,""),"")</f>
        <v/>
      </c>
      <c r="C1731">
        <f t="shared" si="78"/>
        <v>0</v>
      </c>
      <c r="D1731">
        <f>SUM($C$3:C1731)</f>
        <v>4</v>
      </c>
      <c r="E1731" t="e">
        <f t="shared" si="79"/>
        <v>#N/A</v>
      </c>
      <c r="F1731" s="28" t="str">
        <f t="shared" ca="1" si="80"/>
        <v/>
      </c>
    </row>
    <row r="1732" spans="2:6" x14ac:dyDescent="0.2">
      <c r="B1732" t="str">
        <f>IFERROR(IF('PDCA review'!$D$2='Check'!B1732,'Check'!G1732,""),"")</f>
        <v/>
      </c>
      <c r="C1732">
        <f t="shared" ref="C1732:C1795" si="81">IF(B1732&lt;&gt;"",1,0)</f>
        <v>0</v>
      </c>
      <c r="D1732">
        <f>SUM($C$3:C1732)</f>
        <v>4</v>
      </c>
      <c r="E1732" t="e">
        <f t="shared" ref="E1732:E1795" si="82">MATCH(ROW()-$D$2,$D$3:$D$2000,0)+$D$2</f>
        <v>#N/A</v>
      </c>
      <c r="F1732" s="28" t="str">
        <f t="shared" ref="F1732:F1795" ca="1" si="83">IFERROR(INDIRECT("B"&amp;E1732),"")</f>
        <v/>
      </c>
    </row>
    <row r="1733" spans="2:6" x14ac:dyDescent="0.2">
      <c r="B1733" t="str">
        <f>IFERROR(IF('PDCA review'!$D$2='Check'!B1733,'Check'!G1733,""),"")</f>
        <v/>
      </c>
      <c r="C1733">
        <f t="shared" si="81"/>
        <v>0</v>
      </c>
      <c r="D1733">
        <f>SUM($C$3:C1733)</f>
        <v>4</v>
      </c>
      <c r="E1733" t="e">
        <f t="shared" si="82"/>
        <v>#N/A</v>
      </c>
      <c r="F1733" s="28" t="str">
        <f t="shared" ca="1" si="83"/>
        <v/>
      </c>
    </row>
    <row r="1734" spans="2:6" x14ac:dyDescent="0.2">
      <c r="B1734" t="str">
        <f>IFERROR(IF('PDCA review'!$D$2='Check'!B1734,'Check'!G1734,""),"")</f>
        <v/>
      </c>
      <c r="C1734">
        <f t="shared" si="81"/>
        <v>0</v>
      </c>
      <c r="D1734">
        <f>SUM($C$3:C1734)</f>
        <v>4</v>
      </c>
      <c r="E1734" t="e">
        <f t="shared" si="82"/>
        <v>#N/A</v>
      </c>
      <c r="F1734" s="28" t="str">
        <f t="shared" ca="1" si="83"/>
        <v/>
      </c>
    </row>
    <row r="1735" spans="2:6" x14ac:dyDescent="0.2">
      <c r="B1735" t="str">
        <f>IFERROR(IF('PDCA review'!$D$2='Check'!B1735,'Check'!G1735,""),"")</f>
        <v/>
      </c>
      <c r="C1735">
        <f t="shared" si="81"/>
        <v>0</v>
      </c>
      <c r="D1735">
        <f>SUM($C$3:C1735)</f>
        <v>4</v>
      </c>
      <c r="E1735" t="e">
        <f t="shared" si="82"/>
        <v>#N/A</v>
      </c>
      <c r="F1735" s="28" t="str">
        <f t="shared" ca="1" si="83"/>
        <v/>
      </c>
    </row>
    <row r="1736" spans="2:6" x14ac:dyDescent="0.2">
      <c r="B1736" t="str">
        <f>IFERROR(IF('PDCA review'!$D$2='Check'!B1736,'Check'!G1736,""),"")</f>
        <v/>
      </c>
      <c r="C1736">
        <f t="shared" si="81"/>
        <v>0</v>
      </c>
      <c r="D1736">
        <f>SUM($C$3:C1736)</f>
        <v>4</v>
      </c>
      <c r="E1736" t="e">
        <f t="shared" si="82"/>
        <v>#N/A</v>
      </c>
      <c r="F1736" s="28" t="str">
        <f t="shared" ca="1" si="83"/>
        <v/>
      </c>
    </row>
    <row r="1737" spans="2:6" x14ac:dyDescent="0.2">
      <c r="B1737" t="str">
        <f>IFERROR(IF('PDCA review'!$D$2='Check'!B1737,'Check'!G1737,""),"")</f>
        <v/>
      </c>
      <c r="C1737">
        <f t="shared" si="81"/>
        <v>0</v>
      </c>
      <c r="D1737">
        <f>SUM($C$3:C1737)</f>
        <v>4</v>
      </c>
      <c r="E1737" t="e">
        <f t="shared" si="82"/>
        <v>#N/A</v>
      </c>
      <c r="F1737" s="28" t="str">
        <f t="shared" ca="1" si="83"/>
        <v/>
      </c>
    </row>
    <row r="1738" spans="2:6" x14ac:dyDescent="0.2">
      <c r="B1738" t="str">
        <f>IFERROR(IF('PDCA review'!$D$2='Check'!B1738,'Check'!G1738,""),"")</f>
        <v/>
      </c>
      <c r="C1738">
        <f t="shared" si="81"/>
        <v>0</v>
      </c>
      <c r="D1738">
        <f>SUM($C$3:C1738)</f>
        <v>4</v>
      </c>
      <c r="E1738" t="e">
        <f t="shared" si="82"/>
        <v>#N/A</v>
      </c>
      <c r="F1738" s="28" t="str">
        <f t="shared" ca="1" si="83"/>
        <v/>
      </c>
    </row>
    <row r="1739" spans="2:6" x14ac:dyDescent="0.2">
      <c r="B1739" t="str">
        <f>IFERROR(IF('PDCA review'!$D$2='Check'!B1739,'Check'!G1739,""),"")</f>
        <v/>
      </c>
      <c r="C1739">
        <f t="shared" si="81"/>
        <v>0</v>
      </c>
      <c r="D1739">
        <f>SUM($C$3:C1739)</f>
        <v>4</v>
      </c>
      <c r="E1739" t="e">
        <f t="shared" si="82"/>
        <v>#N/A</v>
      </c>
      <c r="F1739" s="28" t="str">
        <f t="shared" ca="1" si="83"/>
        <v/>
      </c>
    </row>
    <row r="1740" spans="2:6" x14ac:dyDescent="0.2">
      <c r="B1740" t="str">
        <f>IFERROR(IF('PDCA review'!$D$2='Check'!B1740,'Check'!G1740,""),"")</f>
        <v/>
      </c>
      <c r="C1740">
        <f t="shared" si="81"/>
        <v>0</v>
      </c>
      <c r="D1740">
        <f>SUM($C$3:C1740)</f>
        <v>4</v>
      </c>
      <c r="E1740" t="e">
        <f t="shared" si="82"/>
        <v>#N/A</v>
      </c>
      <c r="F1740" s="28" t="str">
        <f t="shared" ca="1" si="83"/>
        <v/>
      </c>
    </row>
    <row r="1741" spans="2:6" x14ac:dyDescent="0.2">
      <c r="B1741" t="str">
        <f>IFERROR(IF('PDCA review'!$D$2='Check'!B1741,'Check'!G1741,""),"")</f>
        <v/>
      </c>
      <c r="C1741">
        <f t="shared" si="81"/>
        <v>0</v>
      </c>
      <c r="D1741">
        <f>SUM($C$3:C1741)</f>
        <v>4</v>
      </c>
      <c r="E1741" t="e">
        <f t="shared" si="82"/>
        <v>#N/A</v>
      </c>
      <c r="F1741" s="28" t="str">
        <f t="shared" ca="1" si="83"/>
        <v/>
      </c>
    </row>
    <row r="1742" spans="2:6" x14ac:dyDescent="0.2">
      <c r="B1742" t="str">
        <f>IFERROR(IF('PDCA review'!$D$2='Check'!B1742,'Check'!G1742,""),"")</f>
        <v/>
      </c>
      <c r="C1742">
        <f t="shared" si="81"/>
        <v>0</v>
      </c>
      <c r="D1742">
        <f>SUM($C$3:C1742)</f>
        <v>4</v>
      </c>
      <c r="E1742" t="e">
        <f t="shared" si="82"/>
        <v>#N/A</v>
      </c>
      <c r="F1742" s="28" t="str">
        <f t="shared" ca="1" si="83"/>
        <v/>
      </c>
    </row>
    <row r="1743" spans="2:6" x14ac:dyDescent="0.2">
      <c r="B1743" t="str">
        <f>IFERROR(IF('PDCA review'!$D$2='Check'!B1743,'Check'!G1743,""),"")</f>
        <v/>
      </c>
      <c r="C1743">
        <f t="shared" si="81"/>
        <v>0</v>
      </c>
      <c r="D1743">
        <f>SUM($C$3:C1743)</f>
        <v>4</v>
      </c>
      <c r="E1743" t="e">
        <f t="shared" si="82"/>
        <v>#N/A</v>
      </c>
      <c r="F1743" s="28" t="str">
        <f t="shared" ca="1" si="83"/>
        <v/>
      </c>
    </row>
    <row r="1744" spans="2:6" x14ac:dyDescent="0.2">
      <c r="B1744" t="str">
        <f>IFERROR(IF('PDCA review'!$D$2='Check'!B1744,'Check'!G1744,""),"")</f>
        <v/>
      </c>
      <c r="C1744">
        <f t="shared" si="81"/>
        <v>0</v>
      </c>
      <c r="D1744">
        <f>SUM($C$3:C1744)</f>
        <v>4</v>
      </c>
      <c r="E1744" t="e">
        <f t="shared" si="82"/>
        <v>#N/A</v>
      </c>
      <c r="F1744" s="28" t="str">
        <f t="shared" ca="1" si="83"/>
        <v/>
      </c>
    </row>
    <row r="1745" spans="2:6" x14ac:dyDescent="0.2">
      <c r="B1745" t="str">
        <f>IFERROR(IF('PDCA review'!$D$2='Check'!B1745,'Check'!G1745,""),"")</f>
        <v/>
      </c>
      <c r="C1745">
        <f t="shared" si="81"/>
        <v>0</v>
      </c>
      <c r="D1745">
        <f>SUM($C$3:C1745)</f>
        <v>4</v>
      </c>
      <c r="E1745" t="e">
        <f t="shared" si="82"/>
        <v>#N/A</v>
      </c>
      <c r="F1745" s="28" t="str">
        <f t="shared" ca="1" si="83"/>
        <v/>
      </c>
    </row>
    <row r="1746" spans="2:6" x14ac:dyDescent="0.2">
      <c r="B1746" t="str">
        <f>IFERROR(IF('PDCA review'!$D$2='Check'!B1746,'Check'!G1746,""),"")</f>
        <v/>
      </c>
      <c r="C1746">
        <f t="shared" si="81"/>
        <v>0</v>
      </c>
      <c r="D1746">
        <f>SUM($C$3:C1746)</f>
        <v>4</v>
      </c>
      <c r="E1746" t="e">
        <f t="shared" si="82"/>
        <v>#N/A</v>
      </c>
      <c r="F1746" s="28" t="str">
        <f t="shared" ca="1" si="83"/>
        <v/>
      </c>
    </row>
    <row r="1747" spans="2:6" x14ac:dyDescent="0.2">
      <c r="B1747" t="str">
        <f>IFERROR(IF('PDCA review'!$D$2='Check'!B1747,'Check'!G1747,""),"")</f>
        <v/>
      </c>
      <c r="C1747">
        <f t="shared" si="81"/>
        <v>0</v>
      </c>
      <c r="D1747">
        <f>SUM($C$3:C1747)</f>
        <v>4</v>
      </c>
      <c r="E1747" t="e">
        <f t="shared" si="82"/>
        <v>#N/A</v>
      </c>
      <c r="F1747" s="28" t="str">
        <f t="shared" ca="1" si="83"/>
        <v/>
      </c>
    </row>
    <row r="1748" spans="2:6" x14ac:dyDescent="0.2">
      <c r="B1748" t="str">
        <f>IFERROR(IF('PDCA review'!$D$2='Check'!B1748,'Check'!G1748,""),"")</f>
        <v/>
      </c>
      <c r="C1748">
        <f t="shared" si="81"/>
        <v>0</v>
      </c>
      <c r="D1748">
        <f>SUM($C$3:C1748)</f>
        <v>4</v>
      </c>
      <c r="E1748" t="e">
        <f t="shared" si="82"/>
        <v>#N/A</v>
      </c>
      <c r="F1748" s="28" t="str">
        <f t="shared" ca="1" si="83"/>
        <v/>
      </c>
    </row>
    <row r="1749" spans="2:6" x14ac:dyDescent="0.2">
      <c r="B1749" t="str">
        <f>IFERROR(IF('PDCA review'!$D$2='Check'!B1749,'Check'!G1749,""),"")</f>
        <v/>
      </c>
      <c r="C1749">
        <f t="shared" si="81"/>
        <v>0</v>
      </c>
      <c r="D1749">
        <f>SUM($C$3:C1749)</f>
        <v>4</v>
      </c>
      <c r="E1749" t="e">
        <f t="shared" si="82"/>
        <v>#N/A</v>
      </c>
      <c r="F1749" s="28" t="str">
        <f t="shared" ca="1" si="83"/>
        <v/>
      </c>
    </row>
    <row r="1750" spans="2:6" x14ac:dyDescent="0.2">
      <c r="B1750" t="str">
        <f>IFERROR(IF('PDCA review'!$D$2='Check'!B1750,'Check'!G1750,""),"")</f>
        <v/>
      </c>
      <c r="C1750">
        <f t="shared" si="81"/>
        <v>0</v>
      </c>
      <c r="D1750">
        <f>SUM($C$3:C1750)</f>
        <v>4</v>
      </c>
      <c r="E1750" t="e">
        <f t="shared" si="82"/>
        <v>#N/A</v>
      </c>
      <c r="F1750" s="28" t="str">
        <f t="shared" ca="1" si="83"/>
        <v/>
      </c>
    </row>
    <row r="1751" spans="2:6" x14ac:dyDescent="0.2">
      <c r="B1751" t="str">
        <f>IFERROR(IF('PDCA review'!$D$2='Check'!B1751,'Check'!G1751,""),"")</f>
        <v/>
      </c>
      <c r="C1751">
        <f t="shared" si="81"/>
        <v>0</v>
      </c>
      <c r="D1751">
        <f>SUM($C$3:C1751)</f>
        <v>4</v>
      </c>
      <c r="E1751" t="e">
        <f t="shared" si="82"/>
        <v>#N/A</v>
      </c>
      <c r="F1751" s="28" t="str">
        <f t="shared" ca="1" si="83"/>
        <v/>
      </c>
    </row>
    <row r="1752" spans="2:6" x14ac:dyDescent="0.2">
      <c r="B1752" t="str">
        <f>IFERROR(IF('PDCA review'!$D$2='Check'!B1752,'Check'!G1752,""),"")</f>
        <v/>
      </c>
      <c r="C1752">
        <f t="shared" si="81"/>
        <v>0</v>
      </c>
      <c r="D1752">
        <f>SUM($C$3:C1752)</f>
        <v>4</v>
      </c>
      <c r="E1752" t="e">
        <f t="shared" si="82"/>
        <v>#N/A</v>
      </c>
      <c r="F1752" s="28" t="str">
        <f t="shared" ca="1" si="83"/>
        <v/>
      </c>
    </row>
    <row r="1753" spans="2:6" x14ac:dyDescent="0.2">
      <c r="B1753" t="str">
        <f>IFERROR(IF('PDCA review'!$D$2='Check'!B1753,'Check'!G1753,""),"")</f>
        <v/>
      </c>
      <c r="C1753">
        <f t="shared" si="81"/>
        <v>0</v>
      </c>
      <c r="D1753">
        <f>SUM($C$3:C1753)</f>
        <v>4</v>
      </c>
      <c r="E1753" t="e">
        <f t="shared" si="82"/>
        <v>#N/A</v>
      </c>
      <c r="F1753" s="28" t="str">
        <f t="shared" ca="1" si="83"/>
        <v/>
      </c>
    </row>
    <row r="1754" spans="2:6" x14ac:dyDescent="0.2">
      <c r="B1754" t="str">
        <f>IFERROR(IF('PDCA review'!$D$2='Check'!B1754,'Check'!G1754,""),"")</f>
        <v/>
      </c>
      <c r="C1754">
        <f t="shared" si="81"/>
        <v>0</v>
      </c>
      <c r="D1754">
        <f>SUM($C$3:C1754)</f>
        <v>4</v>
      </c>
      <c r="E1754" t="e">
        <f t="shared" si="82"/>
        <v>#N/A</v>
      </c>
      <c r="F1754" s="28" t="str">
        <f t="shared" ca="1" si="83"/>
        <v/>
      </c>
    </row>
    <row r="1755" spans="2:6" x14ac:dyDescent="0.2">
      <c r="B1755" t="str">
        <f>IFERROR(IF('PDCA review'!$D$2='Check'!B1755,'Check'!G1755,""),"")</f>
        <v/>
      </c>
      <c r="C1755">
        <f t="shared" si="81"/>
        <v>0</v>
      </c>
      <c r="D1755">
        <f>SUM($C$3:C1755)</f>
        <v>4</v>
      </c>
      <c r="E1755" t="e">
        <f t="shared" si="82"/>
        <v>#N/A</v>
      </c>
      <c r="F1755" s="28" t="str">
        <f t="shared" ca="1" si="83"/>
        <v/>
      </c>
    </row>
    <row r="1756" spans="2:6" x14ac:dyDescent="0.2">
      <c r="B1756" t="str">
        <f>IFERROR(IF('PDCA review'!$D$2='Check'!B1756,'Check'!G1756,""),"")</f>
        <v/>
      </c>
      <c r="C1756">
        <f t="shared" si="81"/>
        <v>0</v>
      </c>
      <c r="D1756">
        <f>SUM($C$3:C1756)</f>
        <v>4</v>
      </c>
      <c r="E1756" t="e">
        <f t="shared" si="82"/>
        <v>#N/A</v>
      </c>
      <c r="F1756" s="28" t="str">
        <f t="shared" ca="1" si="83"/>
        <v/>
      </c>
    </row>
    <row r="1757" spans="2:6" x14ac:dyDescent="0.2">
      <c r="B1757" t="str">
        <f>IFERROR(IF('PDCA review'!$D$2='Check'!B1757,'Check'!G1757,""),"")</f>
        <v/>
      </c>
      <c r="C1757">
        <f t="shared" si="81"/>
        <v>0</v>
      </c>
      <c r="D1757">
        <f>SUM($C$3:C1757)</f>
        <v>4</v>
      </c>
      <c r="E1757" t="e">
        <f t="shared" si="82"/>
        <v>#N/A</v>
      </c>
      <c r="F1757" s="28" t="str">
        <f t="shared" ca="1" si="83"/>
        <v/>
      </c>
    </row>
    <row r="1758" spans="2:6" x14ac:dyDescent="0.2">
      <c r="B1758" t="str">
        <f>IFERROR(IF('PDCA review'!$D$2='Check'!B1758,'Check'!G1758,""),"")</f>
        <v/>
      </c>
      <c r="C1758">
        <f t="shared" si="81"/>
        <v>0</v>
      </c>
      <c r="D1758">
        <f>SUM($C$3:C1758)</f>
        <v>4</v>
      </c>
      <c r="E1758" t="e">
        <f t="shared" si="82"/>
        <v>#N/A</v>
      </c>
      <c r="F1758" s="28" t="str">
        <f t="shared" ca="1" si="83"/>
        <v/>
      </c>
    </row>
    <row r="1759" spans="2:6" x14ac:dyDescent="0.2">
      <c r="B1759" t="str">
        <f>IFERROR(IF('PDCA review'!$D$2='Check'!B1759,'Check'!G1759,""),"")</f>
        <v/>
      </c>
      <c r="C1759">
        <f t="shared" si="81"/>
        <v>0</v>
      </c>
      <c r="D1759">
        <f>SUM($C$3:C1759)</f>
        <v>4</v>
      </c>
      <c r="E1759" t="e">
        <f t="shared" si="82"/>
        <v>#N/A</v>
      </c>
      <c r="F1759" s="28" t="str">
        <f t="shared" ca="1" si="83"/>
        <v/>
      </c>
    </row>
    <row r="1760" spans="2:6" x14ac:dyDescent="0.2">
      <c r="B1760" t="str">
        <f>IFERROR(IF('PDCA review'!$D$2='Check'!B1760,'Check'!G1760,""),"")</f>
        <v/>
      </c>
      <c r="C1760">
        <f t="shared" si="81"/>
        <v>0</v>
      </c>
      <c r="D1760">
        <f>SUM($C$3:C1760)</f>
        <v>4</v>
      </c>
      <c r="E1760" t="e">
        <f t="shared" si="82"/>
        <v>#N/A</v>
      </c>
      <c r="F1760" s="28" t="str">
        <f t="shared" ca="1" si="83"/>
        <v/>
      </c>
    </row>
    <row r="1761" spans="2:6" x14ac:dyDescent="0.2">
      <c r="B1761" t="str">
        <f>IFERROR(IF('PDCA review'!$D$2='Check'!B1761,'Check'!G1761,""),"")</f>
        <v/>
      </c>
      <c r="C1761">
        <f t="shared" si="81"/>
        <v>0</v>
      </c>
      <c r="D1761">
        <f>SUM($C$3:C1761)</f>
        <v>4</v>
      </c>
      <c r="E1761" t="e">
        <f t="shared" si="82"/>
        <v>#N/A</v>
      </c>
      <c r="F1761" s="28" t="str">
        <f t="shared" ca="1" si="83"/>
        <v/>
      </c>
    </row>
    <row r="1762" spans="2:6" x14ac:dyDescent="0.2">
      <c r="B1762" t="str">
        <f>IFERROR(IF('PDCA review'!$D$2='Check'!B1762,'Check'!G1762,""),"")</f>
        <v/>
      </c>
      <c r="C1762">
        <f t="shared" si="81"/>
        <v>0</v>
      </c>
      <c r="D1762">
        <f>SUM($C$3:C1762)</f>
        <v>4</v>
      </c>
      <c r="E1762" t="e">
        <f t="shared" si="82"/>
        <v>#N/A</v>
      </c>
      <c r="F1762" s="28" t="str">
        <f t="shared" ca="1" si="83"/>
        <v/>
      </c>
    </row>
    <row r="1763" spans="2:6" x14ac:dyDescent="0.2">
      <c r="B1763" t="str">
        <f>IFERROR(IF('PDCA review'!$D$2='Check'!B1763,'Check'!G1763,""),"")</f>
        <v/>
      </c>
      <c r="C1763">
        <f t="shared" si="81"/>
        <v>0</v>
      </c>
      <c r="D1763">
        <f>SUM($C$3:C1763)</f>
        <v>4</v>
      </c>
      <c r="E1763" t="e">
        <f t="shared" si="82"/>
        <v>#N/A</v>
      </c>
      <c r="F1763" s="28" t="str">
        <f t="shared" ca="1" si="83"/>
        <v/>
      </c>
    </row>
    <row r="1764" spans="2:6" x14ac:dyDescent="0.2">
      <c r="B1764" t="str">
        <f>IFERROR(IF('PDCA review'!$D$2='Check'!B1764,'Check'!G1764,""),"")</f>
        <v/>
      </c>
      <c r="C1764">
        <f t="shared" si="81"/>
        <v>0</v>
      </c>
      <c r="D1764">
        <f>SUM($C$3:C1764)</f>
        <v>4</v>
      </c>
      <c r="E1764" t="e">
        <f t="shared" si="82"/>
        <v>#N/A</v>
      </c>
      <c r="F1764" s="28" t="str">
        <f t="shared" ca="1" si="83"/>
        <v/>
      </c>
    </row>
    <row r="1765" spans="2:6" x14ac:dyDescent="0.2">
      <c r="B1765" t="str">
        <f>IFERROR(IF('PDCA review'!$D$2='Check'!B1765,'Check'!G1765,""),"")</f>
        <v/>
      </c>
      <c r="C1765">
        <f t="shared" si="81"/>
        <v>0</v>
      </c>
      <c r="D1765">
        <f>SUM($C$3:C1765)</f>
        <v>4</v>
      </c>
      <c r="E1765" t="e">
        <f t="shared" si="82"/>
        <v>#N/A</v>
      </c>
      <c r="F1765" s="28" t="str">
        <f t="shared" ca="1" si="83"/>
        <v/>
      </c>
    </row>
    <row r="1766" spans="2:6" x14ac:dyDescent="0.2">
      <c r="B1766" t="str">
        <f>IFERROR(IF('PDCA review'!$D$2='Check'!B1766,'Check'!G1766,""),"")</f>
        <v/>
      </c>
      <c r="C1766">
        <f t="shared" si="81"/>
        <v>0</v>
      </c>
      <c r="D1766">
        <f>SUM($C$3:C1766)</f>
        <v>4</v>
      </c>
      <c r="E1766" t="e">
        <f t="shared" si="82"/>
        <v>#N/A</v>
      </c>
      <c r="F1766" s="28" t="str">
        <f t="shared" ca="1" si="83"/>
        <v/>
      </c>
    </row>
    <row r="1767" spans="2:6" x14ac:dyDescent="0.2">
      <c r="B1767" t="str">
        <f>IFERROR(IF('PDCA review'!$D$2='Check'!B1767,'Check'!G1767,""),"")</f>
        <v/>
      </c>
      <c r="C1767">
        <f t="shared" si="81"/>
        <v>0</v>
      </c>
      <c r="D1767">
        <f>SUM($C$3:C1767)</f>
        <v>4</v>
      </c>
      <c r="E1767" t="e">
        <f t="shared" si="82"/>
        <v>#N/A</v>
      </c>
      <c r="F1767" s="28" t="str">
        <f t="shared" ca="1" si="83"/>
        <v/>
      </c>
    </row>
    <row r="1768" spans="2:6" x14ac:dyDescent="0.2">
      <c r="B1768" t="str">
        <f>IFERROR(IF('PDCA review'!$D$2='Check'!B1768,'Check'!G1768,""),"")</f>
        <v/>
      </c>
      <c r="C1768">
        <f t="shared" si="81"/>
        <v>0</v>
      </c>
      <c r="D1768">
        <f>SUM($C$3:C1768)</f>
        <v>4</v>
      </c>
      <c r="E1768" t="e">
        <f t="shared" si="82"/>
        <v>#N/A</v>
      </c>
      <c r="F1768" s="28" t="str">
        <f t="shared" ca="1" si="83"/>
        <v/>
      </c>
    </row>
    <row r="1769" spans="2:6" x14ac:dyDescent="0.2">
      <c r="B1769" t="str">
        <f>IFERROR(IF('PDCA review'!$D$2='Check'!B1769,'Check'!G1769,""),"")</f>
        <v/>
      </c>
      <c r="C1769">
        <f t="shared" si="81"/>
        <v>0</v>
      </c>
      <c r="D1769">
        <f>SUM($C$3:C1769)</f>
        <v>4</v>
      </c>
      <c r="E1769" t="e">
        <f t="shared" si="82"/>
        <v>#N/A</v>
      </c>
      <c r="F1769" s="28" t="str">
        <f t="shared" ca="1" si="83"/>
        <v/>
      </c>
    </row>
    <row r="1770" spans="2:6" x14ac:dyDescent="0.2">
      <c r="B1770" t="str">
        <f>IFERROR(IF('PDCA review'!$D$2='Check'!B1770,'Check'!G1770,""),"")</f>
        <v/>
      </c>
      <c r="C1770">
        <f t="shared" si="81"/>
        <v>0</v>
      </c>
      <c r="D1770">
        <f>SUM($C$3:C1770)</f>
        <v>4</v>
      </c>
      <c r="E1770" t="e">
        <f t="shared" si="82"/>
        <v>#N/A</v>
      </c>
      <c r="F1770" s="28" t="str">
        <f t="shared" ca="1" si="83"/>
        <v/>
      </c>
    </row>
    <row r="1771" spans="2:6" x14ac:dyDescent="0.2">
      <c r="B1771" t="str">
        <f>IFERROR(IF('PDCA review'!$D$2='Check'!B1771,'Check'!G1771,""),"")</f>
        <v/>
      </c>
      <c r="C1771">
        <f t="shared" si="81"/>
        <v>0</v>
      </c>
      <c r="D1771">
        <f>SUM($C$3:C1771)</f>
        <v>4</v>
      </c>
      <c r="E1771" t="e">
        <f t="shared" si="82"/>
        <v>#N/A</v>
      </c>
      <c r="F1771" s="28" t="str">
        <f t="shared" ca="1" si="83"/>
        <v/>
      </c>
    </row>
    <row r="1772" spans="2:6" x14ac:dyDescent="0.2">
      <c r="B1772" t="str">
        <f>IFERROR(IF('PDCA review'!$D$2='Check'!B1772,'Check'!G1772,""),"")</f>
        <v/>
      </c>
      <c r="C1772">
        <f t="shared" si="81"/>
        <v>0</v>
      </c>
      <c r="D1772">
        <f>SUM($C$3:C1772)</f>
        <v>4</v>
      </c>
      <c r="E1772" t="e">
        <f t="shared" si="82"/>
        <v>#N/A</v>
      </c>
      <c r="F1772" s="28" t="str">
        <f t="shared" ca="1" si="83"/>
        <v/>
      </c>
    </row>
    <row r="1773" spans="2:6" x14ac:dyDescent="0.2">
      <c r="B1773" t="str">
        <f>IFERROR(IF('PDCA review'!$D$2='Check'!B1773,'Check'!G1773,""),"")</f>
        <v/>
      </c>
      <c r="C1773">
        <f t="shared" si="81"/>
        <v>0</v>
      </c>
      <c r="D1773">
        <f>SUM($C$3:C1773)</f>
        <v>4</v>
      </c>
      <c r="E1773" t="e">
        <f t="shared" si="82"/>
        <v>#N/A</v>
      </c>
      <c r="F1773" s="28" t="str">
        <f t="shared" ca="1" si="83"/>
        <v/>
      </c>
    </row>
    <row r="1774" spans="2:6" x14ac:dyDescent="0.2">
      <c r="B1774" t="str">
        <f>IFERROR(IF('PDCA review'!$D$2='Check'!B1774,'Check'!G1774,""),"")</f>
        <v/>
      </c>
      <c r="C1774">
        <f t="shared" si="81"/>
        <v>0</v>
      </c>
      <c r="D1774">
        <f>SUM($C$3:C1774)</f>
        <v>4</v>
      </c>
      <c r="E1774" t="e">
        <f t="shared" si="82"/>
        <v>#N/A</v>
      </c>
      <c r="F1774" s="28" t="str">
        <f t="shared" ca="1" si="83"/>
        <v/>
      </c>
    </row>
    <row r="1775" spans="2:6" x14ac:dyDescent="0.2">
      <c r="B1775" t="str">
        <f>IFERROR(IF('PDCA review'!$D$2='Check'!B1775,'Check'!G1775,""),"")</f>
        <v/>
      </c>
      <c r="C1775">
        <f t="shared" si="81"/>
        <v>0</v>
      </c>
      <c r="D1775">
        <f>SUM($C$3:C1775)</f>
        <v>4</v>
      </c>
      <c r="E1775" t="e">
        <f t="shared" si="82"/>
        <v>#N/A</v>
      </c>
      <c r="F1775" s="28" t="str">
        <f t="shared" ca="1" si="83"/>
        <v/>
      </c>
    </row>
    <row r="1776" spans="2:6" x14ac:dyDescent="0.2">
      <c r="B1776" t="str">
        <f>IFERROR(IF('PDCA review'!$D$2='Check'!B1776,'Check'!G1776,""),"")</f>
        <v/>
      </c>
      <c r="C1776">
        <f t="shared" si="81"/>
        <v>0</v>
      </c>
      <c r="D1776">
        <f>SUM($C$3:C1776)</f>
        <v>4</v>
      </c>
      <c r="E1776" t="e">
        <f t="shared" si="82"/>
        <v>#N/A</v>
      </c>
      <c r="F1776" s="28" t="str">
        <f t="shared" ca="1" si="83"/>
        <v/>
      </c>
    </row>
    <row r="1777" spans="2:6" x14ac:dyDescent="0.2">
      <c r="B1777" t="str">
        <f>IFERROR(IF('PDCA review'!$D$2='Check'!B1777,'Check'!G1777,""),"")</f>
        <v/>
      </c>
      <c r="C1777">
        <f t="shared" si="81"/>
        <v>0</v>
      </c>
      <c r="D1777">
        <f>SUM($C$3:C1777)</f>
        <v>4</v>
      </c>
      <c r="E1777" t="e">
        <f t="shared" si="82"/>
        <v>#N/A</v>
      </c>
      <c r="F1777" s="28" t="str">
        <f t="shared" ca="1" si="83"/>
        <v/>
      </c>
    </row>
    <row r="1778" spans="2:6" x14ac:dyDescent="0.2">
      <c r="B1778" t="str">
        <f>IFERROR(IF('PDCA review'!$D$2='Check'!B1778,'Check'!G1778,""),"")</f>
        <v/>
      </c>
      <c r="C1778">
        <f t="shared" si="81"/>
        <v>0</v>
      </c>
      <c r="D1778">
        <f>SUM($C$3:C1778)</f>
        <v>4</v>
      </c>
      <c r="E1778" t="e">
        <f t="shared" si="82"/>
        <v>#N/A</v>
      </c>
      <c r="F1778" s="28" t="str">
        <f t="shared" ca="1" si="83"/>
        <v/>
      </c>
    </row>
    <row r="1779" spans="2:6" x14ac:dyDescent="0.2">
      <c r="B1779" t="str">
        <f>IFERROR(IF('PDCA review'!$D$2='Check'!B1779,'Check'!G1779,""),"")</f>
        <v/>
      </c>
      <c r="C1779">
        <f t="shared" si="81"/>
        <v>0</v>
      </c>
      <c r="D1779">
        <f>SUM($C$3:C1779)</f>
        <v>4</v>
      </c>
      <c r="E1779" t="e">
        <f t="shared" si="82"/>
        <v>#N/A</v>
      </c>
      <c r="F1779" s="28" t="str">
        <f t="shared" ca="1" si="83"/>
        <v/>
      </c>
    </row>
    <row r="1780" spans="2:6" x14ac:dyDescent="0.2">
      <c r="B1780" t="str">
        <f>IFERROR(IF('PDCA review'!$D$2='Check'!B1780,'Check'!G1780,""),"")</f>
        <v/>
      </c>
      <c r="C1780">
        <f t="shared" si="81"/>
        <v>0</v>
      </c>
      <c r="D1780">
        <f>SUM($C$3:C1780)</f>
        <v>4</v>
      </c>
      <c r="E1780" t="e">
        <f t="shared" si="82"/>
        <v>#N/A</v>
      </c>
      <c r="F1780" s="28" t="str">
        <f t="shared" ca="1" si="83"/>
        <v/>
      </c>
    </row>
    <row r="1781" spans="2:6" x14ac:dyDescent="0.2">
      <c r="B1781" t="str">
        <f>IFERROR(IF('PDCA review'!$D$2='Check'!B1781,'Check'!G1781,""),"")</f>
        <v/>
      </c>
      <c r="C1781">
        <f t="shared" si="81"/>
        <v>0</v>
      </c>
      <c r="D1781">
        <f>SUM($C$3:C1781)</f>
        <v>4</v>
      </c>
      <c r="E1781" t="e">
        <f t="shared" si="82"/>
        <v>#N/A</v>
      </c>
      <c r="F1781" s="28" t="str">
        <f t="shared" ca="1" si="83"/>
        <v/>
      </c>
    </row>
    <row r="1782" spans="2:6" x14ac:dyDescent="0.2">
      <c r="B1782" t="str">
        <f>IFERROR(IF('PDCA review'!$D$2='Check'!B1782,'Check'!G1782,""),"")</f>
        <v/>
      </c>
      <c r="C1782">
        <f t="shared" si="81"/>
        <v>0</v>
      </c>
      <c r="D1782">
        <f>SUM($C$3:C1782)</f>
        <v>4</v>
      </c>
      <c r="E1782" t="e">
        <f t="shared" si="82"/>
        <v>#N/A</v>
      </c>
      <c r="F1782" s="28" t="str">
        <f t="shared" ca="1" si="83"/>
        <v/>
      </c>
    </row>
    <row r="1783" spans="2:6" x14ac:dyDescent="0.2">
      <c r="B1783" t="str">
        <f>IFERROR(IF('PDCA review'!$D$2='Check'!B1783,'Check'!G1783,""),"")</f>
        <v/>
      </c>
      <c r="C1783">
        <f t="shared" si="81"/>
        <v>0</v>
      </c>
      <c r="D1783">
        <f>SUM($C$3:C1783)</f>
        <v>4</v>
      </c>
      <c r="E1783" t="e">
        <f t="shared" si="82"/>
        <v>#N/A</v>
      </c>
      <c r="F1783" s="28" t="str">
        <f t="shared" ca="1" si="83"/>
        <v/>
      </c>
    </row>
    <row r="1784" spans="2:6" x14ac:dyDescent="0.2">
      <c r="B1784" t="str">
        <f>IFERROR(IF('PDCA review'!$D$2='Check'!B1784,'Check'!G1784,""),"")</f>
        <v/>
      </c>
      <c r="C1784">
        <f t="shared" si="81"/>
        <v>0</v>
      </c>
      <c r="D1784">
        <f>SUM($C$3:C1784)</f>
        <v>4</v>
      </c>
      <c r="E1784" t="e">
        <f t="shared" si="82"/>
        <v>#N/A</v>
      </c>
      <c r="F1784" s="28" t="str">
        <f t="shared" ca="1" si="83"/>
        <v/>
      </c>
    </row>
    <row r="1785" spans="2:6" x14ac:dyDescent="0.2">
      <c r="B1785" t="str">
        <f>IFERROR(IF('PDCA review'!$D$2='Check'!B1785,'Check'!G1785,""),"")</f>
        <v/>
      </c>
      <c r="C1785">
        <f t="shared" si="81"/>
        <v>0</v>
      </c>
      <c r="D1785">
        <f>SUM($C$3:C1785)</f>
        <v>4</v>
      </c>
      <c r="E1785" t="e">
        <f t="shared" si="82"/>
        <v>#N/A</v>
      </c>
      <c r="F1785" s="28" t="str">
        <f t="shared" ca="1" si="83"/>
        <v/>
      </c>
    </row>
    <row r="1786" spans="2:6" x14ac:dyDescent="0.2">
      <c r="B1786" t="str">
        <f>IFERROR(IF('PDCA review'!$D$2='Check'!B1786,'Check'!G1786,""),"")</f>
        <v/>
      </c>
      <c r="C1786">
        <f t="shared" si="81"/>
        <v>0</v>
      </c>
      <c r="D1786">
        <f>SUM($C$3:C1786)</f>
        <v>4</v>
      </c>
      <c r="E1786" t="e">
        <f t="shared" si="82"/>
        <v>#N/A</v>
      </c>
      <c r="F1786" s="28" t="str">
        <f t="shared" ca="1" si="83"/>
        <v/>
      </c>
    </row>
    <row r="1787" spans="2:6" x14ac:dyDescent="0.2">
      <c r="B1787" t="str">
        <f>IFERROR(IF('PDCA review'!$D$2='Check'!B1787,'Check'!G1787,""),"")</f>
        <v/>
      </c>
      <c r="C1787">
        <f t="shared" si="81"/>
        <v>0</v>
      </c>
      <c r="D1787">
        <f>SUM($C$3:C1787)</f>
        <v>4</v>
      </c>
      <c r="E1787" t="e">
        <f t="shared" si="82"/>
        <v>#N/A</v>
      </c>
      <c r="F1787" s="28" t="str">
        <f t="shared" ca="1" si="83"/>
        <v/>
      </c>
    </row>
    <row r="1788" spans="2:6" x14ac:dyDescent="0.2">
      <c r="B1788" t="str">
        <f>IFERROR(IF('PDCA review'!$D$2='Check'!B1788,'Check'!G1788,""),"")</f>
        <v/>
      </c>
      <c r="C1788">
        <f t="shared" si="81"/>
        <v>0</v>
      </c>
      <c r="D1788">
        <f>SUM($C$3:C1788)</f>
        <v>4</v>
      </c>
      <c r="E1788" t="e">
        <f t="shared" si="82"/>
        <v>#N/A</v>
      </c>
      <c r="F1788" s="28" t="str">
        <f t="shared" ca="1" si="83"/>
        <v/>
      </c>
    </row>
    <row r="1789" spans="2:6" x14ac:dyDescent="0.2">
      <c r="B1789" t="str">
        <f>IFERROR(IF('PDCA review'!$D$2='Check'!B1789,'Check'!G1789,""),"")</f>
        <v/>
      </c>
      <c r="C1789">
        <f t="shared" si="81"/>
        <v>0</v>
      </c>
      <c r="D1789">
        <f>SUM($C$3:C1789)</f>
        <v>4</v>
      </c>
      <c r="E1789" t="e">
        <f t="shared" si="82"/>
        <v>#N/A</v>
      </c>
      <c r="F1789" s="28" t="str">
        <f t="shared" ca="1" si="83"/>
        <v/>
      </c>
    </row>
    <row r="1790" spans="2:6" x14ac:dyDescent="0.2">
      <c r="B1790" t="str">
        <f>IFERROR(IF('PDCA review'!$D$2='Check'!B1790,'Check'!G1790,""),"")</f>
        <v/>
      </c>
      <c r="C1790">
        <f t="shared" si="81"/>
        <v>0</v>
      </c>
      <c r="D1790">
        <f>SUM($C$3:C1790)</f>
        <v>4</v>
      </c>
      <c r="E1790" t="e">
        <f t="shared" si="82"/>
        <v>#N/A</v>
      </c>
      <c r="F1790" s="28" t="str">
        <f t="shared" ca="1" si="83"/>
        <v/>
      </c>
    </row>
    <row r="1791" spans="2:6" x14ac:dyDescent="0.2">
      <c r="B1791" t="str">
        <f>IFERROR(IF('PDCA review'!$D$2='Check'!B1791,'Check'!G1791,""),"")</f>
        <v/>
      </c>
      <c r="C1791">
        <f t="shared" si="81"/>
        <v>0</v>
      </c>
      <c r="D1791">
        <f>SUM($C$3:C1791)</f>
        <v>4</v>
      </c>
      <c r="E1791" t="e">
        <f t="shared" si="82"/>
        <v>#N/A</v>
      </c>
      <c r="F1791" s="28" t="str">
        <f t="shared" ca="1" si="83"/>
        <v/>
      </c>
    </row>
    <row r="1792" spans="2:6" x14ac:dyDescent="0.2">
      <c r="B1792" t="str">
        <f>IFERROR(IF('PDCA review'!$D$2='Check'!B1792,'Check'!G1792,""),"")</f>
        <v/>
      </c>
      <c r="C1792">
        <f t="shared" si="81"/>
        <v>0</v>
      </c>
      <c r="D1792">
        <f>SUM($C$3:C1792)</f>
        <v>4</v>
      </c>
      <c r="E1792" t="e">
        <f t="shared" si="82"/>
        <v>#N/A</v>
      </c>
      <c r="F1792" s="28" t="str">
        <f t="shared" ca="1" si="83"/>
        <v/>
      </c>
    </row>
    <row r="1793" spans="2:6" x14ac:dyDescent="0.2">
      <c r="B1793" t="str">
        <f>IFERROR(IF('PDCA review'!$D$2='Check'!B1793,'Check'!G1793,""),"")</f>
        <v/>
      </c>
      <c r="C1793">
        <f t="shared" si="81"/>
        <v>0</v>
      </c>
      <c r="D1793">
        <f>SUM($C$3:C1793)</f>
        <v>4</v>
      </c>
      <c r="E1793" t="e">
        <f t="shared" si="82"/>
        <v>#N/A</v>
      </c>
      <c r="F1793" s="28" t="str">
        <f t="shared" ca="1" si="83"/>
        <v/>
      </c>
    </row>
    <row r="1794" spans="2:6" x14ac:dyDescent="0.2">
      <c r="B1794" t="str">
        <f>IFERROR(IF('PDCA review'!$D$2='Check'!B1794,'Check'!G1794,""),"")</f>
        <v/>
      </c>
      <c r="C1794">
        <f t="shared" si="81"/>
        <v>0</v>
      </c>
      <c r="D1794">
        <f>SUM($C$3:C1794)</f>
        <v>4</v>
      </c>
      <c r="E1794" t="e">
        <f t="shared" si="82"/>
        <v>#N/A</v>
      </c>
      <c r="F1794" s="28" t="str">
        <f t="shared" ca="1" si="83"/>
        <v/>
      </c>
    </row>
    <row r="1795" spans="2:6" x14ac:dyDescent="0.2">
      <c r="B1795" t="str">
        <f>IFERROR(IF('PDCA review'!$D$2='Check'!B1795,'Check'!G1795,""),"")</f>
        <v/>
      </c>
      <c r="C1795">
        <f t="shared" si="81"/>
        <v>0</v>
      </c>
      <c r="D1795">
        <f>SUM($C$3:C1795)</f>
        <v>4</v>
      </c>
      <c r="E1795" t="e">
        <f t="shared" si="82"/>
        <v>#N/A</v>
      </c>
      <c r="F1795" s="28" t="str">
        <f t="shared" ca="1" si="83"/>
        <v/>
      </c>
    </row>
    <row r="1796" spans="2:6" x14ac:dyDescent="0.2">
      <c r="B1796" t="str">
        <f>IFERROR(IF('PDCA review'!$D$2='Check'!B1796,'Check'!G1796,""),"")</f>
        <v/>
      </c>
      <c r="C1796">
        <f t="shared" ref="C1796:C1859" si="84">IF(B1796&lt;&gt;"",1,0)</f>
        <v>0</v>
      </c>
      <c r="D1796">
        <f>SUM($C$3:C1796)</f>
        <v>4</v>
      </c>
      <c r="E1796" t="e">
        <f t="shared" ref="E1796:E1859" si="85">MATCH(ROW()-$D$2,$D$3:$D$2000,0)+$D$2</f>
        <v>#N/A</v>
      </c>
      <c r="F1796" s="28" t="str">
        <f t="shared" ref="F1796:F1859" ca="1" si="86">IFERROR(INDIRECT("B"&amp;E1796),"")</f>
        <v/>
      </c>
    </row>
    <row r="1797" spans="2:6" x14ac:dyDescent="0.2">
      <c r="B1797" t="str">
        <f>IFERROR(IF('PDCA review'!$D$2='Check'!B1797,'Check'!G1797,""),"")</f>
        <v/>
      </c>
      <c r="C1797">
        <f t="shared" si="84"/>
        <v>0</v>
      </c>
      <c r="D1797">
        <f>SUM($C$3:C1797)</f>
        <v>4</v>
      </c>
      <c r="E1797" t="e">
        <f t="shared" si="85"/>
        <v>#N/A</v>
      </c>
      <c r="F1797" s="28" t="str">
        <f t="shared" ca="1" si="86"/>
        <v/>
      </c>
    </row>
    <row r="1798" spans="2:6" x14ac:dyDescent="0.2">
      <c r="B1798" t="str">
        <f>IFERROR(IF('PDCA review'!$D$2='Check'!B1798,'Check'!G1798,""),"")</f>
        <v/>
      </c>
      <c r="C1798">
        <f t="shared" si="84"/>
        <v>0</v>
      </c>
      <c r="D1798">
        <f>SUM($C$3:C1798)</f>
        <v>4</v>
      </c>
      <c r="E1798" t="e">
        <f t="shared" si="85"/>
        <v>#N/A</v>
      </c>
      <c r="F1798" s="28" t="str">
        <f t="shared" ca="1" si="86"/>
        <v/>
      </c>
    </row>
    <row r="1799" spans="2:6" x14ac:dyDescent="0.2">
      <c r="B1799" t="str">
        <f>IFERROR(IF('PDCA review'!$D$2='Check'!B1799,'Check'!G1799,""),"")</f>
        <v/>
      </c>
      <c r="C1799">
        <f t="shared" si="84"/>
        <v>0</v>
      </c>
      <c r="D1799">
        <f>SUM($C$3:C1799)</f>
        <v>4</v>
      </c>
      <c r="E1799" t="e">
        <f t="shared" si="85"/>
        <v>#N/A</v>
      </c>
      <c r="F1799" s="28" t="str">
        <f t="shared" ca="1" si="86"/>
        <v/>
      </c>
    </row>
    <row r="1800" spans="2:6" x14ac:dyDescent="0.2">
      <c r="B1800" t="str">
        <f>IFERROR(IF('PDCA review'!$D$2='Check'!B1800,'Check'!G1800,""),"")</f>
        <v/>
      </c>
      <c r="C1800">
        <f t="shared" si="84"/>
        <v>0</v>
      </c>
      <c r="D1800">
        <f>SUM($C$3:C1800)</f>
        <v>4</v>
      </c>
      <c r="E1800" t="e">
        <f t="shared" si="85"/>
        <v>#N/A</v>
      </c>
      <c r="F1800" s="28" t="str">
        <f t="shared" ca="1" si="86"/>
        <v/>
      </c>
    </row>
    <row r="1801" spans="2:6" x14ac:dyDescent="0.2">
      <c r="B1801" t="str">
        <f>IFERROR(IF('PDCA review'!$D$2='Check'!B1801,'Check'!G1801,""),"")</f>
        <v/>
      </c>
      <c r="C1801">
        <f t="shared" si="84"/>
        <v>0</v>
      </c>
      <c r="D1801">
        <f>SUM($C$3:C1801)</f>
        <v>4</v>
      </c>
      <c r="E1801" t="e">
        <f t="shared" si="85"/>
        <v>#N/A</v>
      </c>
      <c r="F1801" s="28" t="str">
        <f t="shared" ca="1" si="86"/>
        <v/>
      </c>
    </row>
    <row r="1802" spans="2:6" x14ac:dyDescent="0.2">
      <c r="B1802" t="str">
        <f>IFERROR(IF('PDCA review'!$D$2='Check'!B1802,'Check'!G1802,""),"")</f>
        <v/>
      </c>
      <c r="C1802">
        <f t="shared" si="84"/>
        <v>0</v>
      </c>
      <c r="D1802">
        <f>SUM($C$3:C1802)</f>
        <v>4</v>
      </c>
      <c r="E1802" t="e">
        <f t="shared" si="85"/>
        <v>#N/A</v>
      </c>
      <c r="F1802" s="28" t="str">
        <f t="shared" ca="1" si="86"/>
        <v/>
      </c>
    </row>
    <row r="1803" spans="2:6" x14ac:dyDescent="0.2">
      <c r="B1803" t="str">
        <f>IFERROR(IF('PDCA review'!$D$2='Check'!B1803,'Check'!G1803,""),"")</f>
        <v/>
      </c>
      <c r="C1803">
        <f t="shared" si="84"/>
        <v>0</v>
      </c>
      <c r="D1803">
        <f>SUM($C$3:C1803)</f>
        <v>4</v>
      </c>
      <c r="E1803" t="e">
        <f t="shared" si="85"/>
        <v>#N/A</v>
      </c>
      <c r="F1803" s="28" t="str">
        <f t="shared" ca="1" si="86"/>
        <v/>
      </c>
    </row>
    <row r="1804" spans="2:6" x14ac:dyDescent="0.2">
      <c r="B1804" t="str">
        <f>IFERROR(IF('PDCA review'!$D$2='Check'!B1804,'Check'!G1804,""),"")</f>
        <v/>
      </c>
      <c r="C1804">
        <f t="shared" si="84"/>
        <v>0</v>
      </c>
      <c r="D1804">
        <f>SUM($C$3:C1804)</f>
        <v>4</v>
      </c>
      <c r="E1804" t="e">
        <f t="shared" si="85"/>
        <v>#N/A</v>
      </c>
      <c r="F1804" s="28" t="str">
        <f t="shared" ca="1" si="86"/>
        <v/>
      </c>
    </row>
    <row r="1805" spans="2:6" x14ac:dyDescent="0.2">
      <c r="B1805" t="str">
        <f>IFERROR(IF('PDCA review'!$D$2='Check'!B1805,'Check'!G1805,""),"")</f>
        <v/>
      </c>
      <c r="C1805">
        <f t="shared" si="84"/>
        <v>0</v>
      </c>
      <c r="D1805">
        <f>SUM($C$3:C1805)</f>
        <v>4</v>
      </c>
      <c r="E1805" t="e">
        <f t="shared" si="85"/>
        <v>#N/A</v>
      </c>
      <c r="F1805" s="28" t="str">
        <f t="shared" ca="1" si="86"/>
        <v/>
      </c>
    </row>
    <row r="1806" spans="2:6" x14ac:dyDescent="0.2">
      <c r="B1806" t="str">
        <f>IFERROR(IF('PDCA review'!$D$2='Check'!B1806,'Check'!G1806,""),"")</f>
        <v/>
      </c>
      <c r="C1806">
        <f t="shared" si="84"/>
        <v>0</v>
      </c>
      <c r="D1806">
        <f>SUM($C$3:C1806)</f>
        <v>4</v>
      </c>
      <c r="E1806" t="e">
        <f t="shared" si="85"/>
        <v>#N/A</v>
      </c>
      <c r="F1806" s="28" t="str">
        <f t="shared" ca="1" si="86"/>
        <v/>
      </c>
    </row>
    <row r="1807" spans="2:6" x14ac:dyDescent="0.2">
      <c r="B1807" t="str">
        <f>IFERROR(IF('PDCA review'!$D$2='Check'!B1807,'Check'!G1807,""),"")</f>
        <v/>
      </c>
      <c r="C1807">
        <f t="shared" si="84"/>
        <v>0</v>
      </c>
      <c r="D1807">
        <f>SUM($C$3:C1807)</f>
        <v>4</v>
      </c>
      <c r="E1807" t="e">
        <f t="shared" si="85"/>
        <v>#N/A</v>
      </c>
      <c r="F1807" s="28" t="str">
        <f t="shared" ca="1" si="86"/>
        <v/>
      </c>
    </row>
    <row r="1808" spans="2:6" x14ac:dyDescent="0.2">
      <c r="B1808" t="str">
        <f>IFERROR(IF('PDCA review'!$D$2='Check'!B1808,'Check'!G1808,""),"")</f>
        <v/>
      </c>
      <c r="C1808">
        <f t="shared" si="84"/>
        <v>0</v>
      </c>
      <c r="D1808">
        <f>SUM($C$3:C1808)</f>
        <v>4</v>
      </c>
      <c r="E1808" t="e">
        <f t="shared" si="85"/>
        <v>#N/A</v>
      </c>
      <c r="F1808" s="28" t="str">
        <f t="shared" ca="1" si="86"/>
        <v/>
      </c>
    </row>
    <row r="1809" spans="2:6" x14ac:dyDescent="0.2">
      <c r="B1809" t="str">
        <f>IFERROR(IF('PDCA review'!$D$2='Check'!B1809,'Check'!G1809,""),"")</f>
        <v/>
      </c>
      <c r="C1809">
        <f t="shared" si="84"/>
        <v>0</v>
      </c>
      <c r="D1809">
        <f>SUM($C$3:C1809)</f>
        <v>4</v>
      </c>
      <c r="E1809" t="e">
        <f t="shared" si="85"/>
        <v>#N/A</v>
      </c>
      <c r="F1809" s="28" t="str">
        <f t="shared" ca="1" si="86"/>
        <v/>
      </c>
    </row>
    <row r="1810" spans="2:6" x14ac:dyDescent="0.2">
      <c r="B1810" t="str">
        <f>IFERROR(IF('PDCA review'!$D$2='Check'!B1810,'Check'!G1810,""),"")</f>
        <v/>
      </c>
      <c r="C1810">
        <f t="shared" si="84"/>
        <v>0</v>
      </c>
      <c r="D1810">
        <f>SUM($C$3:C1810)</f>
        <v>4</v>
      </c>
      <c r="E1810" t="e">
        <f t="shared" si="85"/>
        <v>#N/A</v>
      </c>
      <c r="F1810" s="28" t="str">
        <f t="shared" ca="1" si="86"/>
        <v/>
      </c>
    </row>
    <row r="1811" spans="2:6" x14ac:dyDescent="0.2">
      <c r="B1811" t="str">
        <f>IFERROR(IF('PDCA review'!$D$2='Check'!B1811,'Check'!G1811,""),"")</f>
        <v/>
      </c>
      <c r="C1811">
        <f t="shared" si="84"/>
        <v>0</v>
      </c>
      <c r="D1811">
        <f>SUM($C$3:C1811)</f>
        <v>4</v>
      </c>
      <c r="E1811" t="e">
        <f t="shared" si="85"/>
        <v>#N/A</v>
      </c>
      <c r="F1811" s="28" t="str">
        <f t="shared" ca="1" si="86"/>
        <v/>
      </c>
    </row>
    <row r="1812" spans="2:6" x14ac:dyDescent="0.2">
      <c r="B1812" t="str">
        <f>IFERROR(IF('PDCA review'!$D$2='Check'!B1812,'Check'!G1812,""),"")</f>
        <v/>
      </c>
      <c r="C1812">
        <f t="shared" si="84"/>
        <v>0</v>
      </c>
      <c r="D1812">
        <f>SUM($C$3:C1812)</f>
        <v>4</v>
      </c>
      <c r="E1812" t="e">
        <f t="shared" si="85"/>
        <v>#N/A</v>
      </c>
      <c r="F1812" s="28" t="str">
        <f t="shared" ca="1" si="86"/>
        <v/>
      </c>
    </row>
    <row r="1813" spans="2:6" x14ac:dyDescent="0.2">
      <c r="B1813" t="str">
        <f>IFERROR(IF('PDCA review'!$D$2='Check'!B1813,'Check'!G1813,""),"")</f>
        <v/>
      </c>
      <c r="C1813">
        <f t="shared" si="84"/>
        <v>0</v>
      </c>
      <c r="D1813">
        <f>SUM($C$3:C1813)</f>
        <v>4</v>
      </c>
      <c r="E1813" t="e">
        <f t="shared" si="85"/>
        <v>#N/A</v>
      </c>
      <c r="F1813" s="28" t="str">
        <f t="shared" ca="1" si="86"/>
        <v/>
      </c>
    </row>
    <row r="1814" spans="2:6" x14ac:dyDescent="0.2">
      <c r="B1814" t="str">
        <f>IFERROR(IF('PDCA review'!$D$2='Check'!B1814,'Check'!G1814,""),"")</f>
        <v/>
      </c>
      <c r="C1814">
        <f t="shared" si="84"/>
        <v>0</v>
      </c>
      <c r="D1814">
        <f>SUM($C$3:C1814)</f>
        <v>4</v>
      </c>
      <c r="E1814" t="e">
        <f t="shared" si="85"/>
        <v>#N/A</v>
      </c>
      <c r="F1814" s="28" t="str">
        <f t="shared" ca="1" si="86"/>
        <v/>
      </c>
    </row>
    <row r="1815" spans="2:6" x14ac:dyDescent="0.2">
      <c r="B1815" t="str">
        <f>IFERROR(IF('PDCA review'!$D$2='Check'!B1815,'Check'!G1815,""),"")</f>
        <v/>
      </c>
      <c r="C1815">
        <f t="shared" si="84"/>
        <v>0</v>
      </c>
      <c r="D1815">
        <f>SUM($C$3:C1815)</f>
        <v>4</v>
      </c>
      <c r="E1815" t="e">
        <f t="shared" si="85"/>
        <v>#N/A</v>
      </c>
      <c r="F1815" s="28" t="str">
        <f t="shared" ca="1" si="86"/>
        <v/>
      </c>
    </row>
    <row r="1816" spans="2:6" x14ac:dyDescent="0.2">
      <c r="B1816" t="str">
        <f>IFERROR(IF('PDCA review'!$D$2='Check'!B1816,'Check'!G1816,""),"")</f>
        <v/>
      </c>
      <c r="C1816">
        <f t="shared" si="84"/>
        <v>0</v>
      </c>
      <c r="D1816">
        <f>SUM($C$3:C1816)</f>
        <v>4</v>
      </c>
      <c r="E1816" t="e">
        <f t="shared" si="85"/>
        <v>#N/A</v>
      </c>
      <c r="F1816" s="28" t="str">
        <f t="shared" ca="1" si="86"/>
        <v/>
      </c>
    </row>
    <row r="1817" spans="2:6" x14ac:dyDescent="0.2">
      <c r="B1817" t="str">
        <f>IFERROR(IF('PDCA review'!$D$2='Check'!B1817,'Check'!G1817,""),"")</f>
        <v/>
      </c>
      <c r="C1817">
        <f t="shared" si="84"/>
        <v>0</v>
      </c>
      <c r="D1817">
        <f>SUM($C$3:C1817)</f>
        <v>4</v>
      </c>
      <c r="E1817" t="e">
        <f t="shared" si="85"/>
        <v>#N/A</v>
      </c>
      <c r="F1817" s="28" t="str">
        <f t="shared" ca="1" si="86"/>
        <v/>
      </c>
    </row>
    <row r="1818" spans="2:6" x14ac:dyDescent="0.2">
      <c r="B1818" t="str">
        <f>IFERROR(IF('PDCA review'!$D$2='Check'!B1818,'Check'!G1818,""),"")</f>
        <v/>
      </c>
      <c r="C1818">
        <f t="shared" si="84"/>
        <v>0</v>
      </c>
      <c r="D1818">
        <f>SUM($C$3:C1818)</f>
        <v>4</v>
      </c>
      <c r="E1818" t="e">
        <f t="shared" si="85"/>
        <v>#N/A</v>
      </c>
      <c r="F1818" s="28" t="str">
        <f t="shared" ca="1" si="86"/>
        <v/>
      </c>
    </row>
    <row r="1819" spans="2:6" x14ac:dyDescent="0.2">
      <c r="B1819" t="str">
        <f>IFERROR(IF('PDCA review'!$D$2='Check'!B1819,'Check'!G1819,""),"")</f>
        <v/>
      </c>
      <c r="C1819">
        <f t="shared" si="84"/>
        <v>0</v>
      </c>
      <c r="D1819">
        <f>SUM($C$3:C1819)</f>
        <v>4</v>
      </c>
      <c r="E1819" t="e">
        <f t="shared" si="85"/>
        <v>#N/A</v>
      </c>
      <c r="F1819" s="28" t="str">
        <f t="shared" ca="1" si="86"/>
        <v/>
      </c>
    </row>
    <row r="1820" spans="2:6" x14ac:dyDescent="0.2">
      <c r="B1820" t="str">
        <f>IFERROR(IF('PDCA review'!$D$2='Check'!B1820,'Check'!G1820,""),"")</f>
        <v/>
      </c>
      <c r="C1820">
        <f t="shared" si="84"/>
        <v>0</v>
      </c>
      <c r="D1820">
        <f>SUM($C$3:C1820)</f>
        <v>4</v>
      </c>
      <c r="E1820" t="e">
        <f t="shared" si="85"/>
        <v>#N/A</v>
      </c>
      <c r="F1820" s="28" t="str">
        <f t="shared" ca="1" si="86"/>
        <v/>
      </c>
    </row>
    <row r="1821" spans="2:6" x14ac:dyDescent="0.2">
      <c r="B1821" t="str">
        <f>IFERROR(IF('PDCA review'!$D$2='Check'!B1821,'Check'!G1821,""),"")</f>
        <v/>
      </c>
      <c r="C1821">
        <f t="shared" si="84"/>
        <v>0</v>
      </c>
      <c r="D1821">
        <f>SUM($C$3:C1821)</f>
        <v>4</v>
      </c>
      <c r="E1821" t="e">
        <f t="shared" si="85"/>
        <v>#N/A</v>
      </c>
      <c r="F1821" s="28" t="str">
        <f t="shared" ca="1" si="86"/>
        <v/>
      </c>
    </row>
    <row r="1822" spans="2:6" x14ac:dyDescent="0.2">
      <c r="B1822" t="str">
        <f>IFERROR(IF('PDCA review'!$D$2='Check'!B1822,'Check'!G1822,""),"")</f>
        <v/>
      </c>
      <c r="C1822">
        <f t="shared" si="84"/>
        <v>0</v>
      </c>
      <c r="D1822">
        <f>SUM($C$3:C1822)</f>
        <v>4</v>
      </c>
      <c r="E1822" t="e">
        <f t="shared" si="85"/>
        <v>#N/A</v>
      </c>
      <c r="F1822" s="28" t="str">
        <f t="shared" ca="1" si="86"/>
        <v/>
      </c>
    </row>
    <row r="1823" spans="2:6" x14ac:dyDescent="0.2">
      <c r="B1823" t="str">
        <f>IFERROR(IF('PDCA review'!$D$2='Check'!B1823,'Check'!G1823,""),"")</f>
        <v/>
      </c>
      <c r="C1823">
        <f t="shared" si="84"/>
        <v>0</v>
      </c>
      <c r="D1823">
        <f>SUM($C$3:C1823)</f>
        <v>4</v>
      </c>
      <c r="E1823" t="e">
        <f t="shared" si="85"/>
        <v>#N/A</v>
      </c>
      <c r="F1823" s="28" t="str">
        <f t="shared" ca="1" si="86"/>
        <v/>
      </c>
    </row>
    <row r="1824" spans="2:6" x14ac:dyDescent="0.2">
      <c r="B1824" t="str">
        <f>IFERROR(IF('PDCA review'!$D$2='Check'!B1824,'Check'!G1824,""),"")</f>
        <v/>
      </c>
      <c r="C1824">
        <f t="shared" si="84"/>
        <v>0</v>
      </c>
      <c r="D1824">
        <f>SUM($C$3:C1824)</f>
        <v>4</v>
      </c>
      <c r="E1824" t="e">
        <f t="shared" si="85"/>
        <v>#N/A</v>
      </c>
      <c r="F1824" s="28" t="str">
        <f t="shared" ca="1" si="86"/>
        <v/>
      </c>
    </row>
    <row r="1825" spans="2:6" x14ac:dyDescent="0.2">
      <c r="B1825" t="str">
        <f>IFERROR(IF('PDCA review'!$D$2='Check'!B1825,'Check'!G1825,""),"")</f>
        <v/>
      </c>
      <c r="C1825">
        <f t="shared" si="84"/>
        <v>0</v>
      </c>
      <c r="D1825">
        <f>SUM($C$3:C1825)</f>
        <v>4</v>
      </c>
      <c r="E1825" t="e">
        <f t="shared" si="85"/>
        <v>#N/A</v>
      </c>
      <c r="F1825" s="28" t="str">
        <f t="shared" ca="1" si="86"/>
        <v/>
      </c>
    </row>
    <row r="1826" spans="2:6" x14ac:dyDescent="0.2">
      <c r="B1826" t="str">
        <f>IFERROR(IF('PDCA review'!$D$2='Check'!B1826,'Check'!G1826,""),"")</f>
        <v/>
      </c>
      <c r="C1826">
        <f t="shared" si="84"/>
        <v>0</v>
      </c>
      <c r="D1826">
        <f>SUM($C$3:C1826)</f>
        <v>4</v>
      </c>
      <c r="E1826" t="e">
        <f t="shared" si="85"/>
        <v>#N/A</v>
      </c>
      <c r="F1826" s="28" t="str">
        <f t="shared" ca="1" si="86"/>
        <v/>
      </c>
    </row>
    <row r="1827" spans="2:6" x14ac:dyDescent="0.2">
      <c r="B1827" t="str">
        <f>IFERROR(IF('PDCA review'!$D$2='Check'!B1827,'Check'!G1827,""),"")</f>
        <v/>
      </c>
      <c r="C1827">
        <f t="shared" si="84"/>
        <v>0</v>
      </c>
      <c r="D1827">
        <f>SUM($C$3:C1827)</f>
        <v>4</v>
      </c>
      <c r="E1827" t="e">
        <f t="shared" si="85"/>
        <v>#N/A</v>
      </c>
      <c r="F1827" s="28" t="str">
        <f t="shared" ca="1" si="86"/>
        <v/>
      </c>
    </row>
    <row r="1828" spans="2:6" x14ac:dyDescent="0.2">
      <c r="B1828" t="str">
        <f>IFERROR(IF('PDCA review'!$D$2='Check'!B1828,'Check'!G1828,""),"")</f>
        <v/>
      </c>
      <c r="C1828">
        <f t="shared" si="84"/>
        <v>0</v>
      </c>
      <c r="D1828">
        <f>SUM($C$3:C1828)</f>
        <v>4</v>
      </c>
      <c r="E1828" t="e">
        <f t="shared" si="85"/>
        <v>#N/A</v>
      </c>
      <c r="F1828" s="28" t="str">
        <f t="shared" ca="1" si="86"/>
        <v/>
      </c>
    </row>
    <row r="1829" spans="2:6" x14ac:dyDescent="0.2">
      <c r="B1829" t="str">
        <f>IFERROR(IF('PDCA review'!$D$2='Check'!B1829,'Check'!G1829,""),"")</f>
        <v/>
      </c>
      <c r="C1829">
        <f t="shared" si="84"/>
        <v>0</v>
      </c>
      <c r="D1829">
        <f>SUM($C$3:C1829)</f>
        <v>4</v>
      </c>
      <c r="E1829" t="e">
        <f t="shared" si="85"/>
        <v>#N/A</v>
      </c>
      <c r="F1829" s="28" t="str">
        <f t="shared" ca="1" si="86"/>
        <v/>
      </c>
    </row>
    <row r="1830" spans="2:6" x14ac:dyDescent="0.2">
      <c r="B1830" t="str">
        <f>IFERROR(IF('PDCA review'!$D$2='Check'!B1830,'Check'!G1830,""),"")</f>
        <v/>
      </c>
      <c r="C1830">
        <f t="shared" si="84"/>
        <v>0</v>
      </c>
      <c r="D1830">
        <f>SUM($C$3:C1830)</f>
        <v>4</v>
      </c>
      <c r="E1830" t="e">
        <f t="shared" si="85"/>
        <v>#N/A</v>
      </c>
      <c r="F1830" s="28" t="str">
        <f t="shared" ca="1" si="86"/>
        <v/>
      </c>
    </row>
    <row r="1831" spans="2:6" x14ac:dyDescent="0.2">
      <c r="B1831" t="str">
        <f>IFERROR(IF('PDCA review'!$D$2='Check'!B1831,'Check'!G1831,""),"")</f>
        <v/>
      </c>
      <c r="C1831">
        <f t="shared" si="84"/>
        <v>0</v>
      </c>
      <c r="D1831">
        <f>SUM($C$3:C1831)</f>
        <v>4</v>
      </c>
      <c r="E1831" t="e">
        <f t="shared" si="85"/>
        <v>#N/A</v>
      </c>
      <c r="F1831" s="28" t="str">
        <f t="shared" ca="1" si="86"/>
        <v/>
      </c>
    </row>
    <row r="1832" spans="2:6" x14ac:dyDescent="0.2">
      <c r="B1832" t="str">
        <f>IFERROR(IF('PDCA review'!$D$2='Check'!B1832,'Check'!G1832,""),"")</f>
        <v/>
      </c>
      <c r="C1832">
        <f t="shared" si="84"/>
        <v>0</v>
      </c>
      <c r="D1832">
        <f>SUM($C$3:C1832)</f>
        <v>4</v>
      </c>
      <c r="E1832" t="e">
        <f t="shared" si="85"/>
        <v>#N/A</v>
      </c>
      <c r="F1832" s="28" t="str">
        <f t="shared" ca="1" si="86"/>
        <v/>
      </c>
    </row>
    <row r="1833" spans="2:6" x14ac:dyDescent="0.2">
      <c r="B1833" t="str">
        <f>IFERROR(IF('PDCA review'!$D$2='Check'!B1833,'Check'!G1833,""),"")</f>
        <v/>
      </c>
      <c r="C1833">
        <f t="shared" si="84"/>
        <v>0</v>
      </c>
      <c r="D1833">
        <f>SUM($C$3:C1833)</f>
        <v>4</v>
      </c>
      <c r="E1833" t="e">
        <f t="shared" si="85"/>
        <v>#N/A</v>
      </c>
      <c r="F1833" s="28" t="str">
        <f t="shared" ca="1" si="86"/>
        <v/>
      </c>
    </row>
    <row r="1834" spans="2:6" x14ac:dyDescent="0.2">
      <c r="B1834" t="str">
        <f>IFERROR(IF('PDCA review'!$D$2='Check'!B1834,'Check'!G1834,""),"")</f>
        <v/>
      </c>
      <c r="C1834">
        <f t="shared" si="84"/>
        <v>0</v>
      </c>
      <c r="D1834">
        <f>SUM($C$3:C1834)</f>
        <v>4</v>
      </c>
      <c r="E1834" t="e">
        <f t="shared" si="85"/>
        <v>#N/A</v>
      </c>
      <c r="F1834" s="28" t="str">
        <f t="shared" ca="1" si="86"/>
        <v/>
      </c>
    </row>
    <row r="1835" spans="2:6" x14ac:dyDescent="0.2">
      <c r="B1835" t="str">
        <f>IFERROR(IF('PDCA review'!$D$2='Check'!B1835,'Check'!G1835,""),"")</f>
        <v/>
      </c>
      <c r="C1835">
        <f t="shared" si="84"/>
        <v>0</v>
      </c>
      <c r="D1835">
        <f>SUM($C$3:C1835)</f>
        <v>4</v>
      </c>
      <c r="E1835" t="e">
        <f t="shared" si="85"/>
        <v>#N/A</v>
      </c>
      <c r="F1835" s="28" t="str">
        <f t="shared" ca="1" si="86"/>
        <v/>
      </c>
    </row>
    <row r="1836" spans="2:6" x14ac:dyDescent="0.2">
      <c r="B1836" t="str">
        <f>IFERROR(IF('PDCA review'!$D$2='Check'!B1836,'Check'!G1836,""),"")</f>
        <v/>
      </c>
      <c r="C1836">
        <f t="shared" si="84"/>
        <v>0</v>
      </c>
      <c r="D1836">
        <f>SUM($C$3:C1836)</f>
        <v>4</v>
      </c>
      <c r="E1836" t="e">
        <f t="shared" si="85"/>
        <v>#N/A</v>
      </c>
      <c r="F1836" s="28" t="str">
        <f t="shared" ca="1" si="86"/>
        <v/>
      </c>
    </row>
    <row r="1837" spans="2:6" x14ac:dyDescent="0.2">
      <c r="B1837" t="str">
        <f>IFERROR(IF('PDCA review'!$D$2='Check'!B1837,'Check'!G1837,""),"")</f>
        <v/>
      </c>
      <c r="C1837">
        <f t="shared" si="84"/>
        <v>0</v>
      </c>
      <c r="D1837">
        <f>SUM($C$3:C1837)</f>
        <v>4</v>
      </c>
      <c r="E1837" t="e">
        <f t="shared" si="85"/>
        <v>#N/A</v>
      </c>
      <c r="F1837" s="28" t="str">
        <f t="shared" ca="1" si="86"/>
        <v/>
      </c>
    </row>
    <row r="1838" spans="2:6" x14ac:dyDescent="0.2">
      <c r="B1838" t="str">
        <f>IFERROR(IF('PDCA review'!$D$2='Check'!B1838,'Check'!G1838,""),"")</f>
        <v/>
      </c>
      <c r="C1838">
        <f t="shared" si="84"/>
        <v>0</v>
      </c>
      <c r="D1838">
        <f>SUM($C$3:C1838)</f>
        <v>4</v>
      </c>
      <c r="E1838" t="e">
        <f t="shared" si="85"/>
        <v>#N/A</v>
      </c>
      <c r="F1838" s="28" t="str">
        <f t="shared" ca="1" si="86"/>
        <v/>
      </c>
    </row>
    <row r="1839" spans="2:6" x14ac:dyDescent="0.2">
      <c r="B1839" t="str">
        <f>IFERROR(IF('PDCA review'!$D$2='Check'!B1839,'Check'!G1839,""),"")</f>
        <v/>
      </c>
      <c r="C1839">
        <f t="shared" si="84"/>
        <v>0</v>
      </c>
      <c r="D1839">
        <f>SUM($C$3:C1839)</f>
        <v>4</v>
      </c>
      <c r="E1839" t="e">
        <f t="shared" si="85"/>
        <v>#N/A</v>
      </c>
      <c r="F1839" s="28" t="str">
        <f t="shared" ca="1" si="86"/>
        <v/>
      </c>
    </row>
    <row r="1840" spans="2:6" x14ac:dyDescent="0.2">
      <c r="B1840" t="str">
        <f>IFERROR(IF('PDCA review'!$D$2='Check'!B1840,'Check'!G1840,""),"")</f>
        <v/>
      </c>
      <c r="C1840">
        <f t="shared" si="84"/>
        <v>0</v>
      </c>
      <c r="D1840">
        <f>SUM($C$3:C1840)</f>
        <v>4</v>
      </c>
      <c r="E1840" t="e">
        <f t="shared" si="85"/>
        <v>#N/A</v>
      </c>
      <c r="F1840" s="28" t="str">
        <f t="shared" ca="1" si="86"/>
        <v/>
      </c>
    </row>
    <row r="1841" spans="2:6" x14ac:dyDescent="0.2">
      <c r="B1841" t="str">
        <f>IFERROR(IF('PDCA review'!$D$2='Check'!B1841,'Check'!G1841,""),"")</f>
        <v/>
      </c>
      <c r="C1841">
        <f t="shared" si="84"/>
        <v>0</v>
      </c>
      <c r="D1841">
        <f>SUM($C$3:C1841)</f>
        <v>4</v>
      </c>
      <c r="E1841" t="e">
        <f t="shared" si="85"/>
        <v>#N/A</v>
      </c>
      <c r="F1841" s="28" t="str">
        <f t="shared" ca="1" si="86"/>
        <v/>
      </c>
    </row>
    <row r="1842" spans="2:6" x14ac:dyDescent="0.2">
      <c r="B1842" t="str">
        <f>IFERROR(IF('PDCA review'!$D$2='Check'!B1842,'Check'!G1842,""),"")</f>
        <v/>
      </c>
      <c r="C1842">
        <f t="shared" si="84"/>
        <v>0</v>
      </c>
      <c r="D1842">
        <f>SUM($C$3:C1842)</f>
        <v>4</v>
      </c>
      <c r="E1842" t="e">
        <f t="shared" si="85"/>
        <v>#N/A</v>
      </c>
      <c r="F1842" s="28" t="str">
        <f t="shared" ca="1" si="86"/>
        <v/>
      </c>
    </row>
    <row r="1843" spans="2:6" x14ac:dyDescent="0.2">
      <c r="B1843" t="str">
        <f>IFERROR(IF('PDCA review'!$D$2='Check'!B1843,'Check'!G1843,""),"")</f>
        <v/>
      </c>
      <c r="C1843">
        <f t="shared" si="84"/>
        <v>0</v>
      </c>
      <c r="D1843">
        <f>SUM($C$3:C1843)</f>
        <v>4</v>
      </c>
      <c r="E1843" t="e">
        <f t="shared" si="85"/>
        <v>#N/A</v>
      </c>
      <c r="F1843" s="28" t="str">
        <f t="shared" ca="1" si="86"/>
        <v/>
      </c>
    </row>
    <row r="1844" spans="2:6" x14ac:dyDescent="0.2">
      <c r="B1844" t="str">
        <f>IFERROR(IF('PDCA review'!$D$2='Check'!B1844,'Check'!G1844,""),"")</f>
        <v/>
      </c>
      <c r="C1844">
        <f t="shared" si="84"/>
        <v>0</v>
      </c>
      <c r="D1844">
        <f>SUM($C$3:C1844)</f>
        <v>4</v>
      </c>
      <c r="E1844" t="e">
        <f t="shared" si="85"/>
        <v>#N/A</v>
      </c>
      <c r="F1844" s="28" t="str">
        <f t="shared" ca="1" si="86"/>
        <v/>
      </c>
    </row>
    <row r="1845" spans="2:6" x14ac:dyDescent="0.2">
      <c r="B1845" t="str">
        <f>IFERROR(IF('PDCA review'!$D$2='Check'!B1845,'Check'!G1845,""),"")</f>
        <v/>
      </c>
      <c r="C1845">
        <f t="shared" si="84"/>
        <v>0</v>
      </c>
      <c r="D1845">
        <f>SUM($C$3:C1845)</f>
        <v>4</v>
      </c>
      <c r="E1845" t="e">
        <f t="shared" si="85"/>
        <v>#N/A</v>
      </c>
      <c r="F1845" s="28" t="str">
        <f t="shared" ca="1" si="86"/>
        <v/>
      </c>
    </row>
    <row r="1846" spans="2:6" x14ac:dyDescent="0.2">
      <c r="B1846" t="str">
        <f>IFERROR(IF('PDCA review'!$D$2='Check'!B1846,'Check'!G1846,""),"")</f>
        <v/>
      </c>
      <c r="C1846">
        <f t="shared" si="84"/>
        <v>0</v>
      </c>
      <c r="D1846">
        <f>SUM($C$3:C1846)</f>
        <v>4</v>
      </c>
      <c r="E1846" t="e">
        <f t="shared" si="85"/>
        <v>#N/A</v>
      </c>
      <c r="F1846" s="28" t="str">
        <f t="shared" ca="1" si="86"/>
        <v/>
      </c>
    </row>
    <row r="1847" spans="2:6" x14ac:dyDescent="0.2">
      <c r="B1847" t="str">
        <f>IFERROR(IF('PDCA review'!$D$2='Check'!B1847,'Check'!G1847,""),"")</f>
        <v/>
      </c>
      <c r="C1847">
        <f t="shared" si="84"/>
        <v>0</v>
      </c>
      <c r="D1847">
        <f>SUM($C$3:C1847)</f>
        <v>4</v>
      </c>
      <c r="E1847" t="e">
        <f t="shared" si="85"/>
        <v>#N/A</v>
      </c>
      <c r="F1847" s="28" t="str">
        <f t="shared" ca="1" si="86"/>
        <v/>
      </c>
    </row>
    <row r="1848" spans="2:6" x14ac:dyDescent="0.2">
      <c r="B1848" t="str">
        <f>IFERROR(IF('PDCA review'!$D$2='Check'!B1848,'Check'!G1848,""),"")</f>
        <v/>
      </c>
      <c r="C1848">
        <f t="shared" si="84"/>
        <v>0</v>
      </c>
      <c r="D1848">
        <f>SUM($C$3:C1848)</f>
        <v>4</v>
      </c>
      <c r="E1848" t="e">
        <f t="shared" si="85"/>
        <v>#N/A</v>
      </c>
      <c r="F1848" s="28" t="str">
        <f t="shared" ca="1" si="86"/>
        <v/>
      </c>
    </row>
    <row r="1849" spans="2:6" x14ac:dyDescent="0.2">
      <c r="B1849" t="str">
        <f>IFERROR(IF('PDCA review'!$D$2='Check'!B1849,'Check'!G1849,""),"")</f>
        <v/>
      </c>
      <c r="C1849">
        <f t="shared" si="84"/>
        <v>0</v>
      </c>
      <c r="D1849">
        <f>SUM($C$3:C1849)</f>
        <v>4</v>
      </c>
      <c r="E1849" t="e">
        <f t="shared" si="85"/>
        <v>#N/A</v>
      </c>
      <c r="F1849" s="28" t="str">
        <f t="shared" ca="1" si="86"/>
        <v/>
      </c>
    </row>
    <row r="1850" spans="2:6" x14ac:dyDescent="0.2">
      <c r="B1850" t="str">
        <f>IFERROR(IF('PDCA review'!$D$2='Check'!B1850,'Check'!G1850,""),"")</f>
        <v/>
      </c>
      <c r="C1850">
        <f t="shared" si="84"/>
        <v>0</v>
      </c>
      <c r="D1850">
        <f>SUM($C$3:C1850)</f>
        <v>4</v>
      </c>
      <c r="E1850" t="e">
        <f t="shared" si="85"/>
        <v>#N/A</v>
      </c>
      <c r="F1850" s="28" t="str">
        <f t="shared" ca="1" si="86"/>
        <v/>
      </c>
    </row>
    <row r="1851" spans="2:6" x14ac:dyDescent="0.2">
      <c r="B1851" t="str">
        <f>IFERROR(IF('PDCA review'!$D$2='Check'!B1851,'Check'!G1851,""),"")</f>
        <v/>
      </c>
      <c r="C1851">
        <f t="shared" si="84"/>
        <v>0</v>
      </c>
      <c r="D1851">
        <f>SUM($C$3:C1851)</f>
        <v>4</v>
      </c>
      <c r="E1851" t="e">
        <f t="shared" si="85"/>
        <v>#N/A</v>
      </c>
      <c r="F1851" s="28" t="str">
        <f t="shared" ca="1" si="86"/>
        <v/>
      </c>
    </row>
    <row r="1852" spans="2:6" x14ac:dyDescent="0.2">
      <c r="B1852" t="str">
        <f>IFERROR(IF('PDCA review'!$D$2='Check'!B1852,'Check'!G1852,""),"")</f>
        <v/>
      </c>
      <c r="C1852">
        <f t="shared" si="84"/>
        <v>0</v>
      </c>
      <c r="D1852">
        <f>SUM($C$3:C1852)</f>
        <v>4</v>
      </c>
      <c r="E1852" t="e">
        <f t="shared" si="85"/>
        <v>#N/A</v>
      </c>
      <c r="F1852" s="28" t="str">
        <f t="shared" ca="1" si="86"/>
        <v/>
      </c>
    </row>
    <row r="1853" spans="2:6" x14ac:dyDescent="0.2">
      <c r="B1853" t="str">
        <f>IFERROR(IF('PDCA review'!$D$2='Check'!B1853,'Check'!G1853,""),"")</f>
        <v/>
      </c>
      <c r="C1853">
        <f t="shared" si="84"/>
        <v>0</v>
      </c>
      <c r="D1853">
        <f>SUM($C$3:C1853)</f>
        <v>4</v>
      </c>
      <c r="E1853" t="e">
        <f t="shared" si="85"/>
        <v>#N/A</v>
      </c>
      <c r="F1853" s="28" t="str">
        <f t="shared" ca="1" si="86"/>
        <v/>
      </c>
    </row>
    <row r="1854" spans="2:6" x14ac:dyDescent="0.2">
      <c r="B1854" t="str">
        <f>IFERROR(IF('PDCA review'!$D$2='Check'!B1854,'Check'!G1854,""),"")</f>
        <v/>
      </c>
      <c r="C1854">
        <f t="shared" si="84"/>
        <v>0</v>
      </c>
      <c r="D1854">
        <f>SUM($C$3:C1854)</f>
        <v>4</v>
      </c>
      <c r="E1854" t="e">
        <f t="shared" si="85"/>
        <v>#N/A</v>
      </c>
      <c r="F1854" s="28" t="str">
        <f t="shared" ca="1" si="86"/>
        <v/>
      </c>
    </row>
    <row r="1855" spans="2:6" x14ac:dyDescent="0.2">
      <c r="B1855" t="str">
        <f>IFERROR(IF('PDCA review'!$D$2='Check'!B1855,'Check'!G1855,""),"")</f>
        <v/>
      </c>
      <c r="C1855">
        <f t="shared" si="84"/>
        <v>0</v>
      </c>
      <c r="D1855">
        <f>SUM($C$3:C1855)</f>
        <v>4</v>
      </c>
      <c r="E1855" t="e">
        <f t="shared" si="85"/>
        <v>#N/A</v>
      </c>
      <c r="F1855" s="28" t="str">
        <f t="shared" ca="1" si="86"/>
        <v/>
      </c>
    </row>
    <row r="1856" spans="2:6" x14ac:dyDescent="0.2">
      <c r="B1856" t="str">
        <f>IFERROR(IF('PDCA review'!$D$2='Check'!B1856,'Check'!G1856,""),"")</f>
        <v/>
      </c>
      <c r="C1856">
        <f t="shared" si="84"/>
        <v>0</v>
      </c>
      <c r="D1856">
        <f>SUM($C$3:C1856)</f>
        <v>4</v>
      </c>
      <c r="E1856" t="e">
        <f t="shared" si="85"/>
        <v>#N/A</v>
      </c>
      <c r="F1856" s="28" t="str">
        <f t="shared" ca="1" si="86"/>
        <v/>
      </c>
    </row>
    <row r="1857" spans="2:6" x14ac:dyDescent="0.2">
      <c r="B1857" t="str">
        <f>IFERROR(IF('PDCA review'!$D$2='Check'!B1857,'Check'!G1857,""),"")</f>
        <v/>
      </c>
      <c r="C1857">
        <f t="shared" si="84"/>
        <v>0</v>
      </c>
      <c r="D1857">
        <f>SUM($C$3:C1857)</f>
        <v>4</v>
      </c>
      <c r="E1857" t="e">
        <f t="shared" si="85"/>
        <v>#N/A</v>
      </c>
      <c r="F1857" s="28" t="str">
        <f t="shared" ca="1" si="86"/>
        <v/>
      </c>
    </row>
    <row r="1858" spans="2:6" x14ac:dyDescent="0.2">
      <c r="B1858" t="str">
        <f>IFERROR(IF('PDCA review'!$D$2='Check'!B1858,'Check'!G1858,""),"")</f>
        <v/>
      </c>
      <c r="C1858">
        <f t="shared" si="84"/>
        <v>0</v>
      </c>
      <c r="D1858">
        <f>SUM($C$3:C1858)</f>
        <v>4</v>
      </c>
      <c r="E1858" t="e">
        <f t="shared" si="85"/>
        <v>#N/A</v>
      </c>
      <c r="F1858" s="28" t="str">
        <f t="shared" ca="1" si="86"/>
        <v/>
      </c>
    </row>
    <row r="1859" spans="2:6" x14ac:dyDescent="0.2">
      <c r="B1859" t="str">
        <f>IFERROR(IF('PDCA review'!$D$2='Check'!B1859,'Check'!G1859,""),"")</f>
        <v/>
      </c>
      <c r="C1859">
        <f t="shared" si="84"/>
        <v>0</v>
      </c>
      <c r="D1859">
        <f>SUM($C$3:C1859)</f>
        <v>4</v>
      </c>
      <c r="E1859" t="e">
        <f t="shared" si="85"/>
        <v>#N/A</v>
      </c>
      <c r="F1859" s="28" t="str">
        <f t="shared" ca="1" si="86"/>
        <v/>
      </c>
    </row>
    <row r="1860" spans="2:6" x14ac:dyDescent="0.2">
      <c r="B1860" t="str">
        <f>IFERROR(IF('PDCA review'!$D$2='Check'!B1860,'Check'!G1860,""),"")</f>
        <v/>
      </c>
      <c r="C1860">
        <f t="shared" ref="C1860:C1923" si="87">IF(B1860&lt;&gt;"",1,0)</f>
        <v>0</v>
      </c>
      <c r="D1860">
        <f>SUM($C$3:C1860)</f>
        <v>4</v>
      </c>
      <c r="E1860" t="e">
        <f t="shared" ref="E1860:E1923" si="88">MATCH(ROW()-$D$2,$D$3:$D$2000,0)+$D$2</f>
        <v>#N/A</v>
      </c>
      <c r="F1860" s="28" t="str">
        <f t="shared" ref="F1860:F1923" ca="1" si="89">IFERROR(INDIRECT("B"&amp;E1860),"")</f>
        <v/>
      </c>
    </row>
    <row r="1861" spans="2:6" x14ac:dyDescent="0.2">
      <c r="B1861" t="str">
        <f>IFERROR(IF('PDCA review'!$D$2='Check'!B1861,'Check'!G1861,""),"")</f>
        <v/>
      </c>
      <c r="C1861">
        <f t="shared" si="87"/>
        <v>0</v>
      </c>
      <c r="D1861">
        <f>SUM($C$3:C1861)</f>
        <v>4</v>
      </c>
      <c r="E1861" t="e">
        <f t="shared" si="88"/>
        <v>#N/A</v>
      </c>
      <c r="F1861" s="28" t="str">
        <f t="shared" ca="1" si="89"/>
        <v/>
      </c>
    </row>
    <row r="1862" spans="2:6" x14ac:dyDescent="0.2">
      <c r="B1862" t="str">
        <f>IFERROR(IF('PDCA review'!$D$2='Check'!B1862,'Check'!G1862,""),"")</f>
        <v/>
      </c>
      <c r="C1862">
        <f t="shared" si="87"/>
        <v>0</v>
      </c>
      <c r="D1862">
        <f>SUM($C$3:C1862)</f>
        <v>4</v>
      </c>
      <c r="E1862" t="e">
        <f t="shared" si="88"/>
        <v>#N/A</v>
      </c>
      <c r="F1862" s="28" t="str">
        <f t="shared" ca="1" si="89"/>
        <v/>
      </c>
    </row>
    <row r="1863" spans="2:6" x14ac:dyDescent="0.2">
      <c r="B1863" t="str">
        <f>IFERROR(IF('PDCA review'!$D$2='Check'!B1863,'Check'!G1863,""),"")</f>
        <v/>
      </c>
      <c r="C1863">
        <f t="shared" si="87"/>
        <v>0</v>
      </c>
      <c r="D1863">
        <f>SUM($C$3:C1863)</f>
        <v>4</v>
      </c>
      <c r="E1863" t="e">
        <f t="shared" si="88"/>
        <v>#N/A</v>
      </c>
      <c r="F1863" s="28" t="str">
        <f t="shared" ca="1" si="89"/>
        <v/>
      </c>
    </row>
    <row r="1864" spans="2:6" x14ac:dyDescent="0.2">
      <c r="B1864" t="str">
        <f>IFERROR(IF('PDCA review'!$D$2='Check'!B1864,'Check'!G1864,""),"")</f>
        <v/>
      </c>
      <c r="C1864">
        <f t="shared" si="87"/>
        <v>0</v>
      </c>
      <c r="D1864">
        <f>SUM($C$3:C1864)</f>
        <v>4</v>
      </c>
      <c r="E1864" t="e">
        <f t="shared" si="88"/>
        <v>#N/A</v>
      </c>
      <c r="F1864" s="28" t="str">
        <f t="shared" ca="1" si="89"/>
        <v/>
      </c>
    </row>
    <row r="1865" spans="2:6" x14ac:dyDescent="0.2">
      <c r="B1865" t="str">
        <f>IFERROR(IF('PDCA review'!$D$2='Check'!B1865,'Check'!G1865,""),"")</f>
        <v/>
      </c>
      <c r="C1865">
        <f t="shared" si="87"/>
        <v>0</v>
      </c>
      <c r="D1865">
        <f>SUM($C$3:C1865)</f>
        <v>4</v>
      </c>
      <c r="E1865" t="e">
        <f t="shared" si="88"/>
        <v>#N/A</v>
      </c>
      <c r="F1865" s="28" t="str">
        <f t="shared" ca="1" si="89"/>
        <v/>
      </c>
    </row>
    <row r="1866" spans="2:6" x14ac:dyDescent="0.2">
      <c r="B1866" t="str">
        <f>IFERROR(IF('PDCA review'!$D$2='Check'!B1866,'Check'!G1866,""),"")</f>
        <v/>
      </c>
      <c r="C1866">
        <f t="shared" si="87"/>
        <v>0</v>
      </c>
      <c r="D1866">
        <f>SUM($C$3:C1866)</f>
        <v>4</v>
      </c>
      <c r="E1866" t="e">
        <f t="shared" si="88"/>
        <v>#N/A</v>
      </c>
      <c r="F1866" s="28" t="str">
        <f t="shared" ca="1" si="89"/>
        <v/>
      </c>
    </row>
    <row r="1867" spans="2:6" x14ac:dyDescent="0.2">
      <c r="B1867" t="str">
        <f>IFERROR(IF('PDCA review'!$D$2='Check'!B1867,'Check'!G1867,""),"")</f>
        <v/>
      </c>
      <c r="C1867">
        <f t="shared" si="87"/>
        <v>0</v>
      </c>
      <c r="D1867">
        <f>SUM($C$3:C1867)</f>
        <v>4</v>
      </c>
      <c r="E1867" t="e">
        <f t="shared" si="88"/>
        <v>#N/A</v>
      </c>
      <c r="F1867" s="28" t="str">
        <f t="shared" ca="1" si="89"/>
        <v/>
      </c>
    </row>
    <row r="1868" spans="2:6" x14ac:dyDescent="0.2">
      <c r="B1868" t="str">
        <f>IFERROR(IF('PDCA review'!$D$2='Check'!B1868,'Check'!G1868,""),"")</f>
        <v/>
      </c>
      <c r="C1868">
        <f t="shared" si="87"/>
        <v>0</v>
      </c>
      <c r="D1868">
        <f>SUM($C$3:C1868)</f>
        <v>4</v>
      </c>
      <c r="E1868" t="e">
        <f t="shared" si="88"/>
        <v>#N/A</v>
      </c>
      <c r="F1868" s="28" t="str">
        <f t="shared" ca="1" si="89"/>
        <v/>
      </c>
    </row>
    <row r="1869" spans="2:6" x14ac:dyDescent="0.2">
      <c r="B1869" t="str">
        <f>IFERROR(IF('PDCA review'!$D$2='Check'!B1869,'Check'!G1869,""),"")</f>
        <v/>
      </c>
      <c r="C1869">
        <f t="shared" si="87"/>
        <v>0</v>
      </c>
      <c r="D1869">
        <f>SUM($C$3:C1869)</f>
        <v>4</v>
      </c>
      <c r="E1869" t="e">
        <f t="shared" si="88"/>
        <v>#N/A</v>
      </c>
      <c r="F1869" s="28" t="str">
        <f t="shared" ca="1" si="89"/>
        <v/>
      </c>
    </row>
    <row r="1870" spans="2:6" x14ac:dyDescent="0.2">
      <c r="B1870" t="str">
        <f>IFERROR(IF('PDCA review'!$D$2='Check'!B1870,'Check'!G1870,""),"")</f>
        <v/>
      </c>
      <c r="C1870">
        <f t="shared" si="87"/>
        <v>0</v>
      </c>
      <c r="D1870">
        <f>SUM($C$3:C1870)</f>
        <v>4</v>
      </c>
      <c r="E1870" t="e">
        <f t="shared" si="88"/>
        <v>#N/A</v>
      </c>
      <c r="F1870" s="28" t="str">
        <f t="shared" ca="1" si="89"/>
        <v/>
      </c>
    </row>
    <row r="1871" spans="2:6" x14ac:dyDescent="0.2">
      <c r="B1871" t="str">
        <f>IFERROR(IF('PDCA review'!$D$2='Check'!B1871,'Check'!G1871,""),"")</f>
        <v/>
      </c>
      <c r="C1871">
        <f t="shared" si="87"/>
        <v>0</v>
      </c>
      <c r="D1871">
        <f>SUM($C$3:C1871)</f>
        <v>4</v>
      </c>
      <c r="E1871" t="e">
        <f t="shared" si="88"/>
        <v>#N/A</v>
      </c>
      <c r="F1871" s="28" t="str">
        <f t="shared" ca="1" si="89"/>
        <v/>
      </c>
    </row>
    <row r="1872" spans="2:6" x14ac:dyDescent="0.2">
      <c r="B1872" t="str">
        <f>IFERROR(IF('PDCA review'!$D$2='Check'!B1872,'Check'!G1872,""),"")</f>
        <v/>
      </c>
      <c r="C1872">
        <f t="shared" si="87"/>
        <v>0</v>
      </c>
      <c r="D1872">
        <f>SUM($C$3:C1872)</f>
        <v>4</v>
      </c>
      <c r="E1872" t="e">
        <f t="shared" si="88"/>
        <v>#N/A</v>
      </c>
      <c r="F1872" s="28" t="str">
        <f t="shared" ca="1" si="89"/>
        <v/>
      </c>
    </row>
    <row r="1873" spans="2:6" x14ac:dyDescent="0.2">
      <c r="B1873" t="str">
        <f>IFERROR(IF('PDCA review'!$D$2='Check'!B1873,'Check'!G1873,""),"")</f>
        <v/>
      </c>
      <c r="C1873">
        <f t="shared" si="87"/>
        <v>0</v>
      </c>
      <c r="D1873">
        <f>SUM($C$3:C1873)</f>
        <v>4</v>
      </c>
      <c r="E1873" t="e">
        <f t="shared" si="88"/>
        <v>#N/A</v>
      </c>
      <c r="F1873" s="28" t="str">
        <f t="shared" ca="1" si="89"/>
        <v/>
      </c>
    </row>
    <row r="1874" spans="2:6" x14ac:dyDescent="0.2">
      <c r="B1874" t="str">
        <f>IFERROR(IF('PDCA review'!$D$2='Check'!B1874,'Check'!G1874,""),"")</f>
        <v/>
      </c>
      <c r="C1874">
        <f t="shared" si="87"/>
        <v>0</v>
      </c>
      <c r="D1874">
        <f>SUM($C$3:C1874)</f>
        <v>4</v>
      </c>
      <c r="E1874" t="e">
        <f t="shared" si="88"/>
        <v>#N/A</v>
      </c>
      <c r="F1874" s="28" t="str">
        <f t="shared" ca="1" si="89"/>
        <v/>
      </c>
    </row>
    <row r="1875" spans="2:6" x14ac:dyDescent="0.2">
      <c r="B1875" t="str">
        <f>IFERROR(IF('PDCA review'!$D$2='Check'!B1875,'Check'!G1875,""),"")</f>
        <v/>
      </c>
      <c r="C1875">
        <f t="shared" si="87"/>
        <v>0</v>
      </c>
      <c r="D1875">
        <f>SUM($C$3:C1875)</f>
        <v>4</v>
      </c>
      <c r="E1875" t="e">
        <f t="shared" si="88"/>
        <v>#N/A</v>
      </c>
      <c r="F1875" s="28" t="str">
        <f t="shared" ca="1" si="89"/>
        <v/>
      </c>
    </row>
    <row r="1876" spans="2:6" x14ac:dyDescent="0.2">
      <c r="B1876" t="str">
        <f>IFERROR(IF('PDCA review'!$D$2='Check'!B1876,'Check'!G1876,""),"")</f>
        <v/>
      </c>
      <c r="C1876">
        <f t="shared" si="87"/>
        <v>0</v>
      </c>
      <c r="D1876">
        <f>SUM($C$3:C1876)</f>
        <v>4</v>
      </c>
      <c r="E1876" t="e">
        <f t="shared" si="88"/>
        <v>#N/A</v>
      </c>
      <c r="F1876" s="28" t="str">
        <f t="shared" ca="1" si="89"/>
        <v/>
      </c>
    </row>
    <row r="1877" spans="2:6" x14ac:dyDescent="0.2">
      <c r="B1877" t="str">
        <f>IFERROR(IF('PDCA review'!$D$2='Check'!B1877,'Check'!G1877,""),"")</f>
        <v/>
      </c>
      <c r="C1877">
        <f t="shared" si="87"/>
        <v>0</v>
      </c>
      <c r="D1877">
        <f>SUM($C$3:C1877)</f>
        <v>4</v>
      </c>
      <c r="E1877" t="e">
        <f t="shared" si="88"/>
        <v>#N/A</v>
      </c>
      <c r="F1877" s="28" t="str">
        <f t="shared" ca="1" si="89"/>
        <v/>
      </c>
    </row>
    <row r="1878" spans="2:6" x14ac:dyDescent="0.2">
      <c r="B1878" t="str">
        <f>IFERROR(IF('PDCA review'!$D$2='Check'!B1878,'Check'!G1878,""),"")</f>
        <v/>
      </c>
      <c r="C1878">
        <f t="shared" si="87"/>
        <v>0</v>
      </c>
      <c r="D1878">
        <f>SUM($C$3:C1878)</f>
        <v>4</v>
      </c>
      <c r="E1878" t="e">
        <f t="shared" si="88"/>
        <v>#N/A</v>
      </c>
      <c r="F1878" s="28" t="str">
        <f t="shared" ca="1" si="89"/>
        <v/>
      </c>
    </row>
    <row r="1879" spans="2:6" x14ac:dyDescent="0.2">
      <c r="B1879" t="str">
        <f>IFERROR(IF('PDCA review'!$D$2='Check'!B1879,'Check'!G1879,""),"")</f>
        <v/>
      </c>
      <c r="C1879">
        <f t="shared" si="87"/>
        <v>0</v>
      </c>
      <c r="D1879">
        <f>SUM($C$3:C1879)</f>
        <v>4</v>
      </c>
      <c r="E1879" t="e">
        <f t="shared" si="88"/>
        <v>#N/A</v>
      </c>
      <c r="F1879" s="28" t="str">
        <f t="shared" ca="1" si="89"/>
        <v/>
      </c>
    </row>
    <row r="1880" spans="2:6" x14ac:dyDescent="0.2">
      <c r="B1880" t="str">
        <f>IFERROR(IF('PDCA review'!$D$2='Check'!B1880,'Check'!G1880,""),"")</f>
        <v/>
      </c>
      <c r="C1880">
        <f t="shared" si="87"/>
        <v>0</v>
      </c>
      <c r="D1880">
        <f>SUM($C$3:C1880)</f>
        <v>4</v>
      </c>
      <c r="E1880" t="e">
        <f t="shared" si="88"/>
        <v>#N/A</v>
      </c>
      <c r="F1880" s="28" t="str">
        <f t="shared" ca="1" si="89"/>
        <v/>
      </c>
    </row>
    <row r="1881" spans="2:6" x14ac:dyDescent="0.2">
      <c r="B1881" t="str">
        <f>IFERROR(IF('PDCA review'!$D$2='Check'!B1881,'Check'!G1881,""),"")</f>
        <v/>
      </c>
      <c r="C1881">
        <f t="shared" si="87"/>
        <v>0</v>
      </c>
      <c r="D1881">
        <f>SUM($C$3:C1881)</f>
        <v>4</v>
      </c>
      <c r="E1881" t="e">
        <f t="shared" si="88"/>
        <v>#N/A</v>
      </c>
      <c r="F1881" s="28" t="str">
        <f t="shared" ca="1" si="89"/>
        <v/>
      </c>
    </row>
    <row r="1882" spans="2:6" x14ac:dyDescent="0.2">
      <c r="B1882" t="str">
        <f>IFERROR(IF('PDCA review'!$D$2='Check'!B1882,'Check'!G1882,""),"")</f>
        <v/>
      </c>
      <c r="C1882">
        <f t="shared" si="87"/>
        <v>0</v>
      </c>
      <c r="D1882">
        <f>SUM($C$3:C1882)</f>
        <v>4</v>
      </c>
      <c r="E1882" t="e">
        <f t="shared" si="88"/>
        <v>#N/A</v>
      </c>
      <c r="F1882" s="28" t="str">
        <f t="shared" ca="1" si="89"/>
        <v/>
      </c>
    </row>
    <row r="1883" spans="2:6" x14ac:dyDescent="0.2">
      <c r="B1883" t="str">
        <f>IFERROR(IF('PDCA review'!$D$2='Check'!B1883,'Check'!G1883,""),"")</f>
        <v/>
      </c>
      <c r="C1883">
        <f t="shared" si="87"/>
        <v>0</v>
      </c>
      <c r="D1883">
        <f>SUM($C$3:C1883)</f>
        <v>4</v>
      </c>
      <c r="E1883" t="e">
        <f t="shared" si="88"/>
        <v>#N/A</v>
      </c>
      <c r="F1883" s="28" t="str">
        <f t="shared" ca="1" si="89"/>
        <v/>
      </c>
    </row>
    <row r="1884" spans="2:6" x14ac:dyDescent="0.2">
      <c r="B1884" t="str">
        <f>IFERROR(IF('PDCA review'!$D$2='Check'!B1884,'Check'!G1884,""),"")</f>
        <v/>
      </c>
      <c r="C1884">
        <f t="shared" si="87"/>
        <v>0</v>
      </c>
      <c r="D1884">
        <f>SUM($C$3:C1884)</f>
        <v>4</v>
      </c>
      <c r="E1884" t="e">
        <f t="shared" si="88"/>
        <v>#N/A</v>
      </c>
      <c r="F1884" s="28" t="str">
        <f t="shared" ca="1" si="89"/>
        <v/>
      </c>
    </row>
    <row r="1885" spans="2:6" x14ac:dyDescent="0.2">
      <c r="B1885" t="str">
        <f>IFERROR(IF('PDCA review'!$D$2='Check'!B1885,'Check'!G1885,""),"")</f>
        <v/>
      </c>
      <c r="C1885">
        <f t="shared" si="87"/>
        <v>0</v>
      </c>
      <c r="D1885">
        <f>SUM($C$3:C1885)</f>
        <v>4</v>
      </c>
      <c r="E1885" t="e">
        <f t="shared" si="88"/>
        <v>#N/A</v>
      </c>
      <c r="F1885" s="28" t="str">
        <f t="shared" ca="1" si="89"/>
        <v/>
      </c>
    </row>
    <row r="1886" spans="2:6" x14ac:dyDescent="0.2">
      <c r="B1886" t="str">
        <f>IFERROR(IF('PDCA review'!$D$2='Check'!B1886,'Check'!G1886,""),"")</f>
        <v/>
      </c>
      <c r="C1886">
        <f t="shared" si="87"/>
        <v>0</v>
      </c>
      <c r="D1886">
        <f>SUM($C$3:C1886)</f>
        <v>4</v>
      </c>
      <c r="E1886" t="e">
        <f t="shared" si="88"/>
        <v>#N/A</v>
      </c>
      <c r="F1886" s="28" t="str">
        <f t="shared" ca="1" si="89"/>
        <v/>
      </c>
    </row>
    <row r="1887" spans="2:6" x14ac:dyDescent="0.2">
      <c r="B1887" t="str">
        <f>IFERROR(IF('PDCA review'!$D$2='Check'!B1887,'Check'!G1887,""),"")</f>
        <v/>
      </c>
      <c r="C1887">
        <f t="shared" si="87"/>
        <v>0</v>
      </c>
      <c r="D1887">
        <f>SUM($C$3:C1887)</f>
        <v>4</v>
      </c>
      <c r="E1887" t="e">
        <f t="shared" si="88"/>
        <v>#N/A</v>
      </c>
      <c r="F1887" s="28" t="str">
        <f t="shared" ca="1" si="89"/>
        <v/>
      </c>
    </row>
    <row r="1888" spans="2:6" x14ac:dyDescent="0.2">
      <c r="B1888" t="str">
        <f>IFERROR(IF('PDCA review'!$D$2='Check'!B1888,'Check'!G1888,""),"")</f>
        <v/>
      </c>
      <c r="C1888">
        <f t="shared" si="87"/>
        <v>0</v>
      </c>
      <c r="D1888">
        <f>SUM($C$3:C1888)</f>
        <v>4</v>
      </c>
      <c r="E1888" t="e">
        <f t="shared" si="88"/>
        <v>#N/A</v>
      </c>
      <c r="F1888" s="28" t="str">
        <f t="shared" ca="1" si="89"/>
        <v/>
      </c>
    </row>
    <row r="1889" spans="2:6" x14ac:dyDescent="0.2">
      <c r="B1889" t="str">
        <f>IFERROR(IF('PDCA review'!$D$2='Check'!B1889,'Check'!G1889,""),"")</f>
        <v/>
      </c>
      <c r="C1889">
        <f t="shared" si="87"/>
        <v>0</v>
      </c>
      <c r="D1889">
        <f>SUM($C$3:C1889)</f>
        <v>4</v>
      </c>
      <c r="E1889" t="e">
        <f t="shared" si="88"/>
        <v>#N/A</v>
      </c>
      <c r="F1889" s="28" t="str">
        <f t="shared" ca="1" si="89"/>
        <v/>
      </c>
    </row>
    <row r="1890" spans="2:6" x14ac:dyDescent="0.2">
      <c r="B1890" t="str">
        <f>IFERROR(IF('PDCA review'!$D$2='Check'!B1890,'Check'!G1890,""),"")</f>
        <v/>
      </c>
      <c r="C1890">
        <f t="shared" si="87"/>
        <v>0</v>
      </c>
      <c r="D1890">
        <f>SUM($C$3:C1890)</f>
        <v>4</v>
      </c>
      <c r="E1890" t="e">
        <f t="shared" si="88"/>
        <v>#N/A</v>
      </c>
      <c r="F1890" s="28" t="str">
        <f t="shared" ca="1" si="89"/>
        <v/>
      </c>
    </row>
    <row r="1891" spans="2:6" x14ac:dyDescent="0.2">
      <c r="B1891" t="str">
        <f>IFERROR(IF('PDCA review'!$D$2='Check'!B1891,'Check'!G1891,""),"")</f>
        <v/>
      </c>
      <c r="C1891">
        <f t="shared" si="87"/>
        <v>0</v>
      </c>
      <c r="D1891">
        <f>SUM($C$3:C1891)</f>
        <v>4</v>
      </c>
      <c r="E1891" t="e">
        <f t="shared" si="88"/>
        <v>#N/A</v>
      </c>
      <c r="F1891" s="28" t="str">
        <f t="shared" ca="1" si="89"/>
        <v/>
      </c>
    </row>
    <row r="1892" spans="2:6" x14ac:dyDescent="0.2">
      <c r="B1892" t="str">
        <f>IFERROR(IF('PDCA review'!$D$2='Check'!B1892,'Check'!G1892,""),"")</f>
        <v/>
      </c>
      <c r="C1892">
        <f t="shared" si="87"/>
        <v>0</v>
      </c>
      <c r="D1892">
        <f>SUM($C$3:C1892)</f>
        <v>4</v>
      </c>
      <c r="E1892" t="e">
        <f t="shared" si="88"/>
        <v>#N/A</v>
      </c>
      <c r="F1892" s="28" t="str">
        <f t="shared" ca="1" si="89"/>
        <v/>
      </c>
    </row>
    <row r="1893" spans="2:6" x14ac:dyDescent="0.2">
      <c r="B1893" t="str">
        <f>IFERROR(IF('PDCA review'!$D$2='Check'!B1893,'Check'!G1893,""),"")</f>
        <v/>
      </c>
      <c r="C1893">
        <f t="shared" si="87"/>
        <v>0</v>
      </c>
      <c r="D1893">
        <f>SUM($C$3:C1893)</f>
        <v>4</v>
      </c>
      <c r="E1893" t="e">
        <f t="shared" si="88"/>
        <v>#N/A</v>
      </c>
      <c r="F1893" s="28" t="str">
        <f t="shared" ca="1" si="89"/>
        <v/>
      </c>
    </row>
    <row r="1894" spans="2:6" x14ac:dyDescent="0.2">
      <c r="B1894" t="str">
        <f>IFERROR(IF('PDCA review'!$D$2='Check'!B1894,'Check'!G1894,""),"")</f>
        <v/>
      </c>
      <c r="C1894">
        <f t="shared" si="87"/>
        <v>0</v>
      </c>
      <c r="D1894">
        <f>SUM($C$3:C1894)</f>
        <v>4</v>
      </c>
      <c r="E1894" t="e">
        <f t="shared" si="88"/>
        <v>#N/A</v>
      </c>
      <c r="F1894" s="28" t="str">
        <f t="shared" ca="1" si="89"/>
        <v/>
      </c>
    </row>
    <row r="1895" spans="2:6" x14ac:dyDescent="0.2">
      <c r="B1895" t="str">
        <f>IFERROR(IF('PDCA review'!$D$2='Check'!B1895,'Check'!G1895,""),"")</f>
        <v/>
      </c>
      <c r="C1895">
        <f t="shared" si="87"/>
        <v>0</v>
      </c>
      <c r="D1895">
        <f>SUM($C$3:C1895)</f>
        <v>4</v>
      </c>
      <c r="E1895" t="e">
        <f t="shared" si="88"/>
        <v>#N/A</v>
      </c>
      <c r="F1895" s="28" t="str">
        <f t="shared" ca="1" si="89"/>
        <v/>
      </c>
    </row>
    <row r="1896" spans="2:6" x14ac:dyDescent="0.2">
      <c r="B1896" t="str">
        <f>IFERROR(IF('PDCA review'!$D$2='Check'!B1896,'Check'!G1896,""),"")</f>
        <v/>
      </c>
      <c r="C1896">
        <f t="shared" si="87"/>
        <v>0</v>
      </c>
      <c r="D1896">
        <f>SUM($C$3:C1896)</f>
        <v>4</v>
      </c>
      <c r="E1896" t="e">
        <f t="shared" si="88"/>
        <v>#N/A</v>
      </c>
      <c r="F1896" s="28" t="str">
        <f t="shared" ca="1" si="89"/>
        <v/>
      </c>
    </row>
    <row r="1897" spans="2:6" x14ac:dyDescent="0.2">
      <c r="B1897" t="str">
        <f>IFERROR(IF('PDCA review'!$D$2='Check'!B1897,'Check'!G1897,""),"")</f>
        <v/>
      </c>
      <c r="C1897">
        <f t="shared" si="87"/>
        <v>0</v>
      </c>
      <c r="D1897">
        <f>SUM($C$3:C1897)</f>
        <v>4</v>
      </c>
      <c r="E1897" t="e">
        <f t="shared" si="88"/>
        <v>#N/A</v>
      </c>
      <c r="F1897" s="28" t="str">
        <f t="shared" ca="1" si="89"/>
        <v/>
      </c>
    </row>
    <row r="1898" spans="2:6" x14ac:dyDescent="0.2">
      <c r="B1898" t="str">
        <f>IFERROR(IF('PDCA review'!$D$2='Check'!B1898,'Check'!G1898,""),"")</f>
        <v/>
      </c>
      <c r="C1898">
        <f t="shared" si="87"/>
        <v>0</v>
      </c>
      <c r="D1898">
        <f>SUM($C$3:C1898)</f>
        <v>4</v>
      </c>
      <c r="E1898" t="e">
        <f t="shared" si="88"/>
        <v>#N/A</v>
      </c>
      <c r="F1898" s="28" t="str">
        <f t="shared" ca="1" si="89"/>
        <v/>
      </c>
    </row>
    <row r="1899" spans="2:6" x14ac:dyDescent="0.2">
      <c r="B1899" t="str">
        <f>IFERROR(IF('PDCA review'!$D$2='Check'!B1899,'Check'!G1899,""),"")</f>
        <v/>
      </c>
      <c r="C1899">
        <f t="shared" si="87"/>
        <v>0</v>
      </c>
      <c r="D1899">
        <f>SUM($C$3:C1899)</f>
        <v>4</v>
      </c>
      <c r="E1899" t="e">
        <f t="shared" si="88"/>
        <v>#N/A</v>
      </c>
      <c r="F1899" s="28" t="str">
        <f t="shared" ca="1" si="89"/>
        <v/>
      </c>
    </row>
    <row r="1900" spans="2:6" x14ac:dyDescent="0.2">
      <c r="B1900" t="str">
        <f>IFERROR(IF('PDCA review'!$D$2='Check'!B1900,'Check'!G1900,""),"")</f>
        <v/>
      </c>
      <c r="C1900">
        <f t="shared" si="87"/>
        <v>0</v>
      </c>
      <c r="D1900">
        <f>SUM($C$3:C1900)</f>
        <v>4</v>
      </c>
      <c r="E1900" t="e">
        <f t="shared" si="88"/>
        <v>#N/A</v>
      </c>
      <c r="F1900" s="28" t="str">
        <f t="shared" ca="1" si="89"/>
        <v/>
      </c>
    </row>
    <row r="1901" spans="2:6" x14ac:dyDescent="0.2">
      <c r="B1901" t="str">
        <f>IFERROR(IF('PDCA review'!$D$2='Check'!B1901,'Check'!G1901,""),"")</f>
        <v/>
      </c>
      <c r="C1901">
        <f t="shared" si="87"/>
        <v>0</v>
      </c>
      <c r="D1901">
        <f>SUM($C$3:C1901)</f>
        <v>4</v>
      </c>
      <c r="E1901" t="e">
        <f t="shared" si="88"/>
        <v>#N/A</v>
      </c>
      <c r="F1901" s="28" t="str">
        <f t="shared" ca="1" si="89"/>
        <v/>
      </c>
    </row>
    <row r="1902" spans="2:6" x14ac:dyDescent="0.2">
      <c r="B1902" t="str">
        <f>IFERROR(IF('PDCA review'!$D$2='Check'!B1902,'Check'!G1902,""),"")</f>
        <v/>
      </c>
      <c r="C1902">
        <f t="shared" si="87"/>
        <v>0</v>
      </c>
      <c r="D1902">
        <f>SUM($C$3:C1902)</f>
        <v>4</v>
      </c>
      <c r="E1902" t="e">
        <f t="shared" si="88"/>
        <v>#N/A</v>
      </c>
      <c r="F1902" s="28" t="str">
        <f t="shared" ca="1" si="89"/>
        <v/>
      </c>
    </row>
    <row r="1903" spans="2:6" x14ac:dyDescent="0.2">
      <c r="B1903" t="str">
        <f>IFERROR(IF('PDCA review'!$D$2='Check'!B1903,'Check'!G1903,""),"")</f>
        <v/>
      </c>
      <c r="C1903">
        <f t="shared" si="87"/>
        <v>0</v>
      </c>
      <c r="D1903">
        <f>SUM($C$3:C1903)</f>
        <v>4</v>
      </c>
      <c r="E1903" t="e">
        <f t="shared" si="88"/>
        <v>#N/A</v>
      </c>
      <c r="F1903" s="28" t="str">
        <f t="shared" ca="1" si="89"/>
        <v/>
      </c>
    </row>
    <row r="1904" spans="2:6" x14ac:dyDescent="0.2">
      <c r="B1904" t="str">
        <f>IFERROR(IF('PDCA review'!$D$2='Check'!B1904,'Check'!G1904,""),"")</f>
        <v/>
      </c>
      <c r="C1904">
        <f t="shared" si="87"/>
        <v>0</v>
      </c>
      <c r="D1904">
        <f>SUM($C$3:C1904)</f>
        <v>4</v>
      </c>
      <c r="E1904" t="e">
        <f t="shared" si="88"/>
        <v>#N/A</v>
      </c>
      <c r="F1904" s="28" t="str">
        <f t="shared" ca="1" si="89"/>
        <v/>
      </c>
    </row>
    <row r="1905" spans="2:6" x14ac:dyDescent="0.2">
      <c r="B1905" t="str">
        <f>IFERROR(IF('PDCA review'!$D$2='Check'!B1905,'Check'!G1905,""),"")</f>
        <v/>
      </c>
      <c r="C1905">
        <f t="shared" si="87"/>
        <v>0</v>
      </c>
      <c r="D1905">
        <f>SUM($C$3:C1905)</f>
        <v>4</v>
      </c>
      <c r="E1905" t="e">
        <f t="shared" si="88"/>
        <v>#N/A</v>
      </c>
      <c r="F1905" s="28" t="str">
        <f t="shared" ca="1" si="89"/>
        <v/>
      </c>
    </row>
    <row r="1906" spans="2:6" x14ac:dyDescent="0.2">
      <c r="B1906" t="str">
        <f>IFERROR(IF('PDCA review'!$D$2='Check'!B1906,'Check'!G1906,""),"")</f>
        <v/>
      </c>
      <c r="C1906">
        <f t="shared" si="87"/>
        <v>0</v>
      </c>
      <c r="D1906">
        <f>SUM($C$3:C1906)</f>
        <v>4</v>
      </c>
      <c r="E1906" t="e">
        <f t="shared" si="88"/>
        <v>#N/A</v>
      </c>
      <c r="F1906" s="28" t="str">
        <f t="shared" ca="1" si="89"/>
        <v/>
      </c>
    </row>
    <row r="1907" spans="2:6" x14ac:dyDescent="0.2">
      <c r="B1907" t="str">
        <f>IFERROR(IF('PDCA review'!$D$2='Check'!B1907,'Check'!G1907,""),"")</f>
        <v/>
      </c>
      <c r="C1907">
        <f t="shared" si="87"/>
        <v>0</v>
      </c>
      <c r="D1907">
        <f>SUM($C$3:C1907)</f>
        <v>4</v>
      </c>
      <c r="E1907" t="e">
        <f t="shared" si="88"/>
        <v>#N/A</v>
      </c>
      <c r="F1907" s="28" t="str">
        <f t="shared" ca="1" si="89"/>
        <v/>
      </c>
    </row>
    <row r="1908" spans="2:6" x14ac:dyDescent="0.2">
      <c r="B1908" t="str">
        <f>IFERROR(IF('PDCA review'!$D$2='Check'!B1908,'Check'!G1908,""),"")</f>
        <v/>
      </c>
      <c r="C1908">
        <f t="shared" si="87"/>
        <v>0</v>
      </c>
      <c r="D1908">
        <f>SUM($C$3:C1908)</f>
        <v>4</v>
      </c>
      <c r="E1908" t="e">
        <f t="shared" si="88"/>
        <v>#N/A</v>
      </c>
      <c r="F1908" s="28" t="str">
        <f t="shared" ca="1" si="89"/>
        <v/>
      </c>
    </row>
    <row r="1909" spans="2:6" x14ac:dyDescent="0.2">
      <c r="B1909" t="str">
        <f>IFERROR(IF('PDCA review'!$D$2='Check'!B1909,'Check'!G1909,""),"")</f>
        <v/>
      </c>
      <c r="C1909">
        <f t="shared" si="87"/>
        <v>0</v>
      </c>
      <c r="D1909">
        <f>SUM($C$3:C1909)</f>
        <v>4</v>
      </c>
      <c r="E1909" t="e">
        <f t="shared" si="88"/>
        <v>#N/A</v>
      </c>
      <c r="F1909" s="28" t="str">
        <f t="shared" ca="1" si="89"/>
        <v/>
      </c>
    </row>
    <row r="1910" spans="2:6" x14ac:dyDescent="0.2">
      <c r="B1910" t="str">
        <f>IFERROR(IF('PDCA review'!$D$2='Check'!B1910,'Check'!G1910,""),"")</f>
        <v/>
      </c>
      <c r="C1910">
        <f t="shared" si="87"/>
        <v>0</v>
      </c>
      <c r="D1910">
        <f>SUM($C$3:C1910)</f>
        <v>4</v>
      </c>
      <c r="E1910" t="e">
        <f t="shared" si="88"/>
        <v>#N/A</v>
      </c>
      <c r="F1910" s="28" t="str">
        <f t="shared" ca="1" si="89"/>
        <v/>
      </c>
    </row>
    <row r="1911" spans="2:6" x14ac:dyDescent="0.2">
      <c r="B1911" t="str">
        <f>IFERROR(IF('PDCA review'!$D$2='Check'!B1911,'Check'!G1911,""),"")</f>
        <v/>
      </c>
      <c r="C1911">
        <f t="shared" si="87"/>
        <v>0</v>
      </c>
      <c r="D1911">
        <f>SUM($C$3:C1911)</f>
        <v>4</v>
      </c>
      <c r="E1911" t="e">
        <f t="shared" si="88"/>
        <v>#N/A</v>
      </c>
      <c r="F1911" s="28" t="str">
        <f t="shared" ca="1" si="89"/>
        <v/>
      </c>
    </row>
    <row r="1912" spans="2:6" x14ac:dyDescent="0.2">
      <c r="B1912" t="str">
        <f>IFERROR(IF('PDCA review'!$D$2='Check'!B1912,'Check'!G1912,""),"")</f>
        <v/>
      </c>
      <c r="C1912">
        <f t="shared" si="87"/>
        <v>0</v>
      </c>
      <c r="D1912">
        <f>SUM($C$3:C1912)</f>
        <v>4</v>
      </c>
      <c r="E1912" t="e">
        <f t="shared" si="88"/>
        <v>#N/A</v>
      </c>
      <c r="F1912" s="28" t="str">
        <f t="shared" ca="1" si="89"/>
        <v/>
      </c>
    </row>
    <row r="1913" spans="2:6" x14ac:dyDescent="0.2">
      <c r="B1913" t="str">
        <f>IFERROR(IF('PDCA review'!$D$2='Check'!B1913,'Check'!G1913,""),"")</f>
        <v/>
      </c>
      <c r="C1913">
        <f t="shared" si="87"/>
        <v>0</v>
      </c>
      <c r="D1913">
        <f>SUM($C$3:C1913)</f>
        <v>4</v>
      </c>
      <c r="E1913" t="e">
        <f t="shared" si="88"/>
        <v>#N/A</v>
      </c>
      <c r="F1913" s="28" t="str">
        <f t="shared" ca="1" si="89"/>
        <v/>
      </c>
    </row>
    <row r="1914" spans="2:6" x14ac:dyDescent="0.2">
      <c r="B1914" t="str">
        <f>IFERROR(IF('PDCA review'!$D$2='Check'!B1914,'Check'!G1914,""),"")</f>
        <v/>
      </c>
      <c r="C1914">
        <f t="shared" si="87"/>
        <v>0</v>
      </c>
      <c r="D1914">
        <f>SUM($C$3:C1914)</f>
        <v>4</v>
      </c>
      <c r="E1914" t="e">
        <f t="shared" si="88"/>
        <v>#N/A</v>
      </c>
      <c r="F1914" s="28" t="str">
        <f t="shared" ca="1" si="89"/>
        <v/>
      </c>
    </row>
    <row r="1915" spans="2:6" x14ac:dyDescent="0.2">
      <c r="B1915" t="str">
        <f>IFERROR(IF('PDCA review'!$D$2='Check'!B1915,'Check'!G1915,""),"")</f>
        <v/>
      </c>
      <c r="C1915">
        <f t="shared" si="87"/>
        <v>0</v>
      </c>
      <c r="D1915">
        <f>SUM($C$3:C1915)</f>
        <v>4</v>
      </c>
      <c r="E1915" t="e">
        <f t="shared" si="88"/>
        <v>#N/A</v>
      </c>
      <c r="F1915" s="28" t="str">
        <f t="shared" ca="1" si="89"/>
        <v/>
      </c>
    </row>
    <row r="1916" spans="2:6" x14ac:dyDescent="0.2">
      <c r="B1916" t="str">
        <f>IFERROR(IF('PDCA review'!$D$2='Check'!B1916,'Check'!G1916,""),"")</f>
        <v/>
      </c>
      <c r="C1916">
        <f t="shared" si="87"/>
        <v>0</v>
      </c>
      <c r="D1916">
        <f>SUM($C$3:C1916)</f>
        <v>4</v>
      </c>
      <c r="E1916" t="e">
        <f t="shared" si="88"/>
        <v>#N/A</v>
      </c>
      <c r="F1916" s="28" t="str">
        <f t="shared" ca="1" si="89"/>
        <v/>
      </c>
    </row>
    <row r="1917" spans="2:6" x14ac:dyDescent="0.2">
      <c r="B1917" t="str">
        <f>IFERROR(IF('PDCA review'!$D$2='Check'!B1917,'Check'!G1917,""),"")</f>
        <v/>
      </c>
      <c r="C1917">
        <f t="shared" si="87"/>
        <v>0</v>
      </c>
      <c r="D1917">
        <f>SUM($C$3:C1917)</f>
        <v>4</v>
      </c>
      <c r="E1917" t="e">
        <f t="shared" si="88"/>
        <v>#N/A</v>
      </c>
      <c r="F1917" s="28" t="str">
        <f t="shared" ca="1" si="89"/>
        <v/>
      </c>
    </row>
    <row r="1918" spans="2:6" x14ac:dyDescent="0.2">
      <c r="B1918" t="str">
        <f>IFERROR(IF('PDCA review'!$D$2='Check'!B1918,'Check'!G1918,""),"")</f>
        <v/>
      </c>
      <c r="C1918">
        <f t="shared" si="87"/>
        <v>0</v>
      </c>
      <c r="D1918">
        <f>SUM($C$3:C1918)</f>
        <v>4</v>
      </c>
      <c r="E1918" t="e">
        <f t="shared" si="88"/>
        <v>#N/A</v>
      </c>
      <c r="F1918" s="28" t="str">
        <f t="shared" ca="1" si="89"/>
        <v/>
      </c>
    </row>
    <row r="1919" spans="2:6" x14ac:dyDescent="0.2">
      <c r="B1919" t="str">
        <f>IFERROR(IF('PDCA review'!$D$2='Check'!B1919,'Check'!G1919,""),"")</f>
        <v/>
      </c>
      <c r="C1919">
        <f t="shared" si="87"/>
        <v>0</v>
      </c>
      <c r="D1919">
        <f>SUM($C$3:C1919)</f>
        <v>4</v>
      </c>
      <c r="E1919" t="e">
        <f t="shared" si="88"/>
        <v>#N/A</v>
      </c>
      <c r="F1919" s="28" t="str">
        <f t="shared" ca="1" si="89"/>
        <v/>
      </c>
    </row>
    <row r="1920" spans="2:6" x14ac:dyDescent="0.2">
      <c r="B1920" t="str">
        <f>IFERROR(IF('PDCA review'!$D$2='Check'!B1920,'Check'!G1920,""),"")</f>
        <v/>
      </c>
      <c r="C1920">
        <f t="shared" si="87"/>
        <v>0</v>
      </c>
      <c r="D1920">
        <f>SUM($C$3:C1920)</f>
        <v>4</v>
      </c>
      <c r="E1920" t="e">
        <f t="shared" si="88"/>
        <v>#N/A</v>
      </c>
      <c r="F1920" s="28" t="str">
        <f t="shared" ca="1" si="89"/>
        <v/>
      </c>
    </row>
    <row r="1921" spans="2:6" x14ac:dyDescent="0.2">
      <c r="B1921" t="str">
        <f>IFERROR(IF('PDCA review'!$D$2='Check'!B1921,'Check'!G1921,""),"")</f>
        <v/>
      </c>
      <c r="C1921">
        <f t="shared" si="87"/>
        <v>0</v>
      </c>
      <c r="D1921">
        <f>SUM($C$3:C1921)</f>
        <v>4</v>
      </c>
      <c r="E1921" t="e">
        <f t="shared" si="88"/>
        <v>#N/A</v>
      </c>
      <c r="F1921" s="28" t="str">
        <f t="shared" ca="1" si="89"/>
        <v/>
      </c>
    </row>
    <row r="1922" spans="2:6" x14ac:dyDescent="0.2">
      <c r="B1922" t="str">
        <f>IFERROR(IF('PDCA review'!$D$2='Check'!B1922,'Check'!G1922,""),"")</f>
        <v/>
      </c>
      <c r="C1922">
        <f t="shared" si="87"/>
        <v>0</v>
      </c>
      <c r="D1922">
        <f>SUM($C$3:C1922)</f>
        <v>4</v>
      </c>
      <c r="E1922" t="e">
        <f t="shared" si="88"/>
        <v>#N/A</v>
      </c>
      <c r="F1922" s="28" t="str">
        <f t="shared" ca="1" si="89"/>
        <v/>
      </c>
    </row>
    <row r="1923" spans="2:6" x14ac:dyDescent="0.2">
      <c r="B1923" t="str">
        <f>IFERROR(IF('PDCA review'!$D$2='Check'!B1923,'Check'!G1923,""),"")</f>
        <v/>
      </c>
      <c r="C1923">
        <f t="shared" si="87"/>
        <v>0</v>
      </c>
      <c r="D1923">
        <f>SUM($C$3:C1923)</f>
        <v>4</v>
      </c>
      <c r="E1923" t="e">
        <f t="shared" si="88"/>
        <v>#N/A</v>
      </c>
      <c r="F1923" s="28" t="str">
        <f t="shared" ca="1" si="89"/>
        <v/>
      </c>
    </row>
    <row r="1924" spans="2:6" x14ac:dyDescent="0.2">
      <c r="B1924" t="str">
        <f>IFERROR(IF('PDCA review'!$D$2='Check'!B1924,'Check'!G1924,""),"")</f>
        <v/>
      </c>
      <c r="C1924">
        <f t="shared" ref="C1924:C1987" si="90">IF(B1924&lt;&gt;"",1,0)</f>
        <v>0</v>
      </c>
      <c r="D1924">
        <f>SUM($C$3:C1924)</f>
        <v>4</v>
      </c>
      <c r="E1924" t="e">
        <f t="shared" ref="E1924:E1987" si="91">MATCH(ROW()-$D$2,$D$3:$D$2000,0)+$D$2</f>
        <v>#N/A</v>
      </c>
      <c r="F1924" s="28" t="str">
        <f t="shared" ref="F1924:F1987" ca="1" si="92">IFERROR(INDIRECT("B"&amp;E1924),"")</f>
        <v/>
      </c>
    </row>
    <row r="1925" spans="2:6" x14ac:dyDescent="0.2">
      <c r="B1925" t="str">
        <f>IFERROR(IF('PDCA review'!$D$2='Check'!B1925,'Check'!G1925,""),"")</f>
        <v/>
      </c>
      <c r="C1925">
        <f t="shared" si="90"/>
        <v>0</v>
      </c>
      <c r="D1925">
        <f>SUM($C$3:C1925)</f>
        <v>4</v>
      </c>
      <c r="E1925" t="e">
        <f t="shared" si="91"/>
        <v>#N/A</v>
      </c>
      <c r="F1925" s="28" t="str">
        <f t="shared" ca="1" si="92"/>
        <v/>
      </c>
    </row>
    <row r="1926" spans="2:6" x14ac:dyDescent="0.2">
      <c r="B1926" t="str">
        <f>IFERROR(IF('PDCA review'!$D$2='Check'!B1926,'Check'!G1926,""),"")</f>
        <v/>
      </c>
      <c r="C1926">
        <f t="shared" si="90"/>
        <v>0</v>
      </c>
      <c r="D1926">
        <f>SUM($C$3:C1926)</f>
        <v>4</v>
      </c>
      <c r="E1926" t="e">
        <f t="shared" si="91"/>
        <v>#N/A</v>
      </c>
      <c r="F1926" s="28" t="str">
        <f t="shared" ca="1" si="92"/>
        <v/>
      </c>
    </row>
    <row r="1927" spans="2:6" x14ac:dyDescent="0.2">
      <c r="B1927" t="str">
        <f>IFERROR(IF('PDCA review'!$D$2='Check'!B1927,'Check'!G1927,""),"")</f>
        <v/>
      </c>
      <c r="C1927">
        <f t="shared" si="90"/>
        <v>0</v>
      </c>
      <c r="D1927">
        <f>SUM($C$3:C1927)</f>
        <v>4</v>
      </c>
      <c r="E1927" t="e">
        <f t="shared" si="91"/>
        <v>#N/A</v>
      </c>
      <c r="F1927" s="28" t="str">
        <f t="shared" ca="1" si="92"/>
        <v/>
      </c>
    </row>
    <row r="1928" spans="2:6" x14ac:dyDescent="0.2">
      <c r="B1928" t="str">
        <f>IFERROR(IF('PDCA review'!$D$2='Check'!B1928,'Check'!G1928,""),"")</f>
        <v/>
      </c>
      <c r="C1928">
        <f t="shared" si="90"/>
        <v>0</v>
      </c>
      <c r="D1928">
        <f>SUM($C$3:C1928)</f>
        <v>4</v>
      </c>
      <c r="E1928" t="e">
        <f t="shared" si="91"/>
        <v>#N/A</v>
      </c>
      <c r="F1928" s="28" t="str">
        <f t="shared" ca="1" si="92"/>
        <v/>
      </c>
    </row>
    <row r="1929" spans="2:6" x14ac:dyDescent="0.2">
      <c r="B1929" t="str">
        <f>IFERROR(IF('PDCA review'!$D$2='Check'!B1929,'Check'!G1929,""),"")</f>
        <v/>
      </c>
      <c r="C1929">
        <f t="shared" si="90"/>
        <v>0</v>
      </c>
      <c r="D1929">
        <f>SUM($C$3:C1929)</f>
        <v>4</v>
      </c>
      <c r="E1929" t="e">
        <f t="shared" si="91"/>
        <v>#N/A</v>
      </c>
      <c r="F1929" s="28" t="str">
        <f t="shared" ca="1" si="92"/>
        <v/>
      </c>
    </row>
    <row r="1930" spans="2:6" x14ac:dyDescent="0.2">
      <c r="B1930" t="str">
        <f>IFERROR(IF('PDCA review'!$D$2='Check'!B1930,'Check'!G1930,""),"")</f>
        <v/>
      </c>
      <c r="C1930">
        <f t="shared" si="90"/>
        <v>0</v>
      </c>
      <c r="D1930">
        <f>SUM($C$3:C1930)</f>
        <v>4</v>
      </c>
      <c r="E1930" t="e">
        <f t="shared" si="91"/>
        <v>#N/A</v>
      </c>
      <c r="F1930" s="28" t="str">
        <f t="shared" ca="1" si="92"/>
        <v/>
      </c>
    </row>
    <row r="1931" spans="2:6" x14ac:dyDescent="0.2">
      <c r="B1931" t="str">
        <f>IFERROR(IF('PDCA review'!$D$2='Check'!B1931,'Check'!G1931,""),"")</f>
        <v/>
      </c>
      <c r="C1931">
        <f t="shared" si="90"/>
        <v>0</v>
      </c>
      <c r="D1931">
        <f>SUM($C$3:C1931)</f>
        <v>4</v>
      </c>
      <c r="E1931" t="e">
        <f t="shared" si="91"/>
        <v>#N/A</v>
      </c>
      <c r="F1931" s="28" t="str">
        <f t="shared" ca="1" si="92"/>
        <v/>
      </c>
    </row>
    <row r="1932" spans="2:6" x14ac:dyDescent="0.2">
      <c r="B1932" t="str">
        <f>IFERROR(IF('PDCA review'!$D$2='Check'!B1932,'Check'!G1932,""),"")</f>
        <v/>
      </c>
      <c r="C1932">
        <f t="shared" si="90"/>
        <v>0</v>
      </c>
      <c r="D1932">
        <f>SUM($C$3:C1932)</f>
        <v>4</v>
      </c>
      <c r="E1932" t="e">
        <f t="shared" si="91"/>
        <v>#N/A</v>
      </c>
      <c r="F1932" s="28" t="str">
        <f t="shared" ca="1" si="92"/>
        <v/>
      </c>
    </row>
    <row r="1933" spans="2:6" x14ac:dyDescent="0.2">
      <c r="B1933" t="str">
        <f>IFERROR(IF('PDCA review'!$D$2='Check'!B1933,'Check'!G1933,""),"")</f>
        <v/>
      </c>
      <c r="C1933">
        <f t="shared" si="90"/>
        <v>0</v>
      </c>
      <c r="D1933">
        <f>SUM($C$3:C1933)</f>
        <v>4</v>
      </c>
      <c r="E1933" t="e">
        <f t="shared" si="91"/>
        <v>#N/A</v>
      </c>
      <c r="F1933" s="28" t="str">
        <f t="shared" ca="1" si="92"/>
        <v/>
      </c>
    </row>
    <row r="1934" spans="2:6" x14ac:dyDescent="0.2">
      <c r="B1934" t="str">
        <f>IFERROR(IF('PDCA review'!$D$2='Check'!B1934,'Check'!G1934,""),"")</f>
        <v/>
      </c>
      <c r="C1934">
        <f t="shared" si="90"/>
        <v>0</v>
      </c>
      <c r="D1934">
        <f>SUM($C$3:C1934)</f>
        <v>4</v>
      </c>
      <c r="E1934" t="e">
        <f t="shared" si="91"/>
        <v>#N/A</v>
      </c>
      <c r="F1934" s="28" t="str">
        <f t="shared" ca="1" si="92"/>
        <v/>
      </c>
    </row>
    <row r="1935" spans="2:6" x14ac:dyDescent="0.2">
      <c r="B1935" t="str">
        <f>IFERROR(IF('PDCA review'!$D$2='Check'!B1935,'Check'!G1935,""),"")</f>
        <v/>
      </c>
      <c r="C1935">
        <f t="shared" si="90"/>
        <v>0</v>
      </c>
      <c r="D1935">
        <f>SUM($C$3:C1935)</f>
        <v>4</v>
      </c>
      <c r="E1935" t="e">
        <f t="shared" si="91"/>
        <v>#N/A</v>
      </c>
      <c r="F1935" s="28" t="str">
        <f t="shared" ca="1" si="92"/>
        <v/>
      </c>
    </row>
    <row r="1936" spans="2:6" x14ac:dyDescent="0.2">
      <c r="B1936" t="str">
        <f>IFERROR(IF('PDCA review'!$D$2='Check'!B1936,'Check'!G1936,""),"")</f>
        <v/>
      </c>
      <c r="C1936">
        <f t="shared" si="90"/>
        <v>0</v>
      </c>
      <c r="D1936">
        <f>SUM($C$3:C1936)</f>
        <v>4</v>
      </c>
      <c r="E1936" t="e">
        <f t="shared" si="91"/>
        <v>#N/A</v>
      </c>
      <c r="F1936" s="28" t="str">
        <f t="shared" ca="1" si="92"/>
        <v/>
      </c>
    </row>
    <row r="1937" spans="2:6" x14ac:dyDescent="0.2">
      <c r="B1937" t="str">
        <f>IFERROR(IF('PDCA review'!$D$2='Check'!B1937,'Check'!G1937,""),"")</f>
        <v/>
      </c>
      <c r="C1937">
        <f t="shared" si="90"/>
        <v>0</v>
      </c>
      <c r="D1937">
        <f>SUM($C$3:C1937)</f>
        <v>4</v>
      </c>
      <c r="E1937" t="e">
        <f t="shared" si="91"/>
        <v>#N/A</v>
      </c>
      <c r="F1937" s="28" t="str">
        <f t="shared" ca="1" si="92"/>
        <v/>
      </c>
    </row>
    <row r="1938" spans="2:6" x14ac:dyDescent="0.2">
      <c r="B1938" t="str">
        <f>IFERROR(IF('PDCA review'!$D$2='Check'!B1938,'Check'!G1938,""),"")</f>
        <v/>
      </c>
      <c r="C1938">
        <f t="shared" si="90"/>
        <v>0</v>
      </c>
      <c r="D1938">
        <f>SUM($C$3:C1938)</f>
        <v>4</v>
      </c>
      <c r="E1938" t="e">
        <f t="shared" si="91"/>
        <v>#N/A</v>
      </c>
      <c r="F1938" s="28" t="str">
        <f t="shared" ca="1" si="92"/>
        <v/>
      </c>
    </row>
    <row r="1939" spans="2:6" x14ac:dyDescent="0.2">
      <c r="B1939" t="str">
        <f>IFERROR(IF('PDCA review'!$D$2='Check'!B1939,'Check'!G1939,""),"")</f>
        <v/>
      </c>
      <c r="C1939">
        <f t="shared" si="90"/>
        <v>0</v>
      </c>
      <c r="D1939">
        <f>SUM($C$3:C1939)</f>
        <v>4</v>
      </c>
      <c r="E1939" t="e">
        <f t="shared" si="91"/>
        <v>#N/A</v>
      </c>
      <c r="F1939" s="28" t="str">
        <f t="shared" ca="1" si="92"/>
        <v/>
      </c>
    </row>
    <row r="1940" spans="2:6" x14ac:dyDescent="0.2">
      <c r="B1940" t="str">
        <f>IFERROR(IF('PDCA review'!$D$2='Check'!B1940,'Check'!G1940,""),"")</f>
        <v/>
      </c>
      <c r="C1940">
        <f t="shared" si="90"/>
        <v>0</v>
      </c>
      <c r="D1940">
        <f>SUM($C$3:C1940)</f>
        <v>4</v>
      </c>
      <c r="E1940" t="e">
        <f t="shared" si="91"/>
        <v>#N/A</v>
      </c>
      <c r="F1940" s="28" t="str">
        <f t="shared" ca="1" si="92"/>
        <v/>
      </c>
    </row>
    <row r="1941" spans="2:6" x14ac:dyDescent="0.2">
      <c r="B1941" t="str">
        <f>IFERROR(IF('PDCA review'!$D$2='Check'!B1941,'Check'!G1941,""),"")</f>
        <v/>
      </c>
      <c r="C1941">
        <f t="shared" si="90"/>
        <v>0</v>
      </c>
      <c r="D1941">
        <f>SUM($C$3:C1941)</f>
        <v>4</v>
      </c>
      <c r="E1941" t="e">
        <f t="shared" si="91"/>
        <v>#N/A</v>
      </c>
      <c r="F1941" s="28" t="str">
        <f t="shared" ca="1" si="92"/>
        <v/>
      </c>
    </row>
    <row r="1942" spans="2:6" x14ac:dyDescent="0.2">
      <c r="B1942" t="str">
        <f>IFERROR(IF('PDCA review'!$D$2='Check'!B1942,'Check'!G1942,""),"")</f>
        <v/>
      </c>
      <c r="C1942">
        <f t="shared" si="90"/>
        <v>0</v>
      </c>
      <c r="D1942">
        <f>SUM($C$3:C1942)</f>
        <v>4</v>
      </c>
      <c r="E1942" t="e">
        <f t="shared" si="91"/>
        <v>#N/A</v>
      </c>
      <c r="F1942" s="28" t="str">
        <f t="shared" ca="1" si="92"/>
        <v/>
      </c>
    </row>
    <row r="1943" spans="2:6" x14ac:dyDescent="0.2">
      <c r="B1943" t="str">
        <f>IFERROR(IF('PDCA review'!$D$2='Check'!B1943,'Check'!G1943,""),"")</f>
        <v/>
      </c>
      <c r="C1943">
        <f t="shared" si="90"/>
        <v>0</v>
      </c>
      <c r="D1943">
        <f>SUM($C$3:C1943)</f>
        <v>4</v>
      </c>
      <c r="E1943" t="e">
        <f t="shared" si="91"/>
        <v>#N/A</v>
      </c>
      <c r="F1943" s="28" t="str">
        <f t="shared" ca="1" si="92"/>
        <v/>
      </c>
    </row>
    <row r="1944" spans="2:6" x14ac:dyDescent="0.2">
      <c r="B1944" t="str">
        <f>IFERROR(IF('PDCA review'!$D$2='Check'!B1944,'Check'!G1944,""),"")</f>
        <v/>
      </c>
      <c r="C1944">
        <f t="shared" si="90"/>
        <v>0</v>
      </c>
      <c r="D1944">
        <f>SUM($C$3:C1944)</f>
        <v>4</v>
      </c>
      <c r="E1944" t="e">
        <f t="shared" si="91"/>
        <v>#N/A</v>
      </c>
      <c r="F1944" s="28" t="str">
        <f t="shared" ca="1" si="92"/>
        <v/>
      </c>
    </row>
    <row r="1945" spans="2:6" x14ac:dyDescent="0.2">
      <c r="B1945" t="str">
        <f>IFERROR(IF('PDCA review'!$D$2='Check'!B1945,'Check'!G1945,""),"")</f>
        <v/>
      </c>
      <c r="C1945">
        <f t="shared" si="90"/>
        <v>0</v>
      </c>
      <c r="D1945">
        <f>SUM($C$3:C1945)</f>
        <v>4</v>
      </c>
      <c r="E1945" t="e">
        <f t="shared" si="91"/>
        <v>#N/A</v>
      </c>
      <c r="F1945" s="28" t="str">
        <f t="shared" ca="1" si="92"/>
        <v/>
      </c>
    </row>
    <row r="1946" spans="2:6" x14ac:dyDescent="0.2">
      <c r="B1946" t="str">
        <f>IFERROR(IF('PDCA review'!$D$2='Check'!B1946,'Check'!G1946,""),"")</f>
        <v/>
      </c>
      <c r="C1946">
        <f t="shared" si="90"/>
        <v>0</v>
      </c>
      <c r="D1946">
        <f>SUM($C$3:C1946)</f>
        <v>4</v>
      </c>
      <c r="E1946" t="e">
        <f t="shared" si="91"/>
        <v>#N/A</v>
      </c>
      <c r="F1946" s="28" t="str">
        <f t="shared" ca="1" si="92"/>
        <v/>
      </c>
    </row>
    <row r="1947" spans="2:6" x14ac:dyDescent="0.2">
      <c r="B1947" t="str">
        <f>IFERROR(IF('PDCA review'!$D$2='Check'!B1947,'Check'!G1947,""),"")</f>
        <v/>
      </c>
      <c r="C1947">
        <f t="shared" si="90"/>
        <v>0</v>
      </c>
      <c r="D1947">
        <f>SUM($C$3:C1947)</f>
        <v>4</v>
      </c>
      <c r="E1947" t="e">
        <f t="shared" si="91"/>
        <v>#N/A</v>
      </c>
      <c r="F1947" s="28" t="str">
        <f t="shared" ca="1" si="92"/>
        <v/>
      </c>
    </row>
    <row r="1948" spans="2:6" x14ac:dyDescent="0.2">
      <c r="B1948" t="str">
        <f>IFERROR(IF('PDCA review'!$D$2='Check'!B1948,'Check'!G1948,""),"")</f>
        <v/>
      </c>
      <c r="C1948">
        <f t="shared" si="90"/>
        <v>0</v>
      </c>
      <c r="D1948">
        <f>SUM($C$3:C1948)</f>
        <v>4</v>
      </c>
      <c r="E1948" t="e">
        <f t="shared" si="91"/>
        <v>#N/A</v>
      </c>
      <c r="F1948" s="28" t="str">
        <f t="shared" ca="1" si="92"/>
        <v/>
      </c>
    </row>
    <row r="1949" spans="2:6" x14ac:dyDescent="0.2">
      <c r="B1949" t="str">
        <f>IFERROR(IF('PDCA review'!$D$2='Check'!B1949,'Check'!G1949,""),"")</f>
        <v/>
      </c>
      <c r="C1949">
        <f t="shared" si="90"/>
        <v>0</v>
      </c>
      <c r="D1949">
        <f>SUM($C$3:C1949)</f>
        <v>4</v>
      </c>
      <c r="E1949" t="e">
        <f t="shared" si="91"/>
        <v>#N/A</v>
      </c>
      <c r="F1949" s="28" t="str">
        <f t="shared" ca="1" si="92"/>
        <v/>
      </c>
    </row>
    <row r="1950" spans="2:6" x14ac:dyDescent="0.2">
      <c r="B1950" t="str">
        <f>IFERROR(IF('PDCA review'!$D$2='Check'!B1950,'Check'!G1950,""),"")</f>
        <v/>
      </c>
      <c r="C1950">
        <f t="shared" si="90"/>
        <v>0</v>
      </c>
      <c r="D1950">
        <f>SUM($C$3:C1950)</f>
        <v>4</v>
      </c>
      <c r="E1950" t="e">
        <f t="shared" si="91"/>
        <v>#N/A</v>
      </c>
      <c r="F1950" s="28" t="str">
        <f t="shared" ca="1" si="92"/>
        <v/>
      </c>
    </row>
    <row r="1951" spans="2:6" x14ac:dyDescent="0.2">
      <c r="B1951" t="str">
        <f>IFERROR(IF('PDCA review'!$D$2='Check'!B1951,'Check'!G1951,""),"")</f>
        <v/>
      </c>
      <c r="C1951">
        <f t="shared" si="90"/>
        <v>0</v>
      </c>
      <c r="D1951">
        <f>SUM($C$3:C1951)</f>
        <v>4</v>
      </c>
      <c r="E1951" t="e">
        <f t="shared" si="91"/>
        <v>#N/A</v>
      </c>
      <c r="F1951" s="28" t="str">
        <f t="shared" ca="1" si="92"/>
        <v/>
      </c>
    </row>
    <row r="1952" spans="2:6" x14ac:dyDescent="0.2">
      <c r="B1952" t="str">
        <f>IFERROR(IF('PDCA review'!$D$2='Check'!B1952,'Check'!G1952,""),"")</f>
        <v/>
      </c>
      <c r="C1952">
        <f t="shared" si="90"/>
        <v>0</v>
      </c>
      <c r="D1952">
        <f>SUM($C$3:C1952)</f>
        <v>4</v>
      </c>
      <c r="E1952" t="e">
        <f t="shared" si="91"/>
        <v>#N/A</v>
      </c>
      <c r="F1952" s="28" t="str">
        <f t="shared" ca="1" si="92"/>
        <v/>
      </c>
    </row>
    <row r="1953" spans="2:6" x14ac:dyDescent="0.2">
      <c r="B1953" t="str">
        <f>IFERROR(IF('PDCA review'!$D$2='Check'!B1953,'Check'!G1953,""),"")</f>
        <v/>
      </c>
      <c r="C1953">
        <f t="shared" si="90"/>
        <v>0</v>
      </c>
      <c r="D1953">
        <f>SUM($C$3:C1953)</f>
        <v>4</v>
      </c>
      <c r="E1953" t="e">
        <f t="shared" si="91"/>
        <v>#N/A</v>
      </c>
      <c r="F1953" s="28" t="str">
        <f t="shared" ca="1" si="92"/>
        <v/>
      </c>
    </row>
    <row r="1954" spans="2:6" x14ac:dyDescent="0.2">
      <c r="B1954" t="str">
        <f>IFERROR(IF('PDCA review'!$D$2='Check'!B1954,'Check'!G1954,""),"")</f>
        <v/>
      </c>
      <c r="C1954">
        <f t="shared" si="90"/>
        <v>0</v>
      </c>
      <c r="D1954">
        <f>SUM($C$3:C1954)</f>
        <v>4</v>
      </c>
      <c r="E1954" t="e">
        <f t="shared" si="91"/>
        <v>#N/A</v>
      </c>
      <c r="F1954" s="28" t="str">
        <f t="shared" ca="1" si="92"/>
        <v/>
      </c>
    </row>
    <row r="1955" spans="2:6" x14ac:dyDescent="0.2">
      <c r="B1955" t="str">
        <f>IFERROR(IF('PDCA review'!$D$2='Check'!B1955,'Check'!G1955,""),"")</f>
        <v/>
      </c>
      <c r="C1955">
        <f t="shared" si="90"/>
        <v>0</v>
      </c>
      <c r="D1955">
        <f>SUM($C$3:C1955)</f>
        <v>4</v>
      </c>
      <c r="E1955" t="e">
        <f t="shared" si="91"/>
        <v>#N/A</v>
      </c>
      <c r="F1955" s="28" t="str">
        <f t="shared" ca="1" si="92"/>
        <v/>
      </c>
    </row>
    <row r="1956" spans="2:6" x14ac:dyDescent="0.2">
      <c r="B1956" t="str">
        <f>IFERROR(IF('PDCA review'!$D$2='Check'!B1956,'Check'!G1956,""),"")</f>
        <v/>
      </c>
      <c r="C1956">
        <f t="shared" si="90"/>
        <v>0</v>
      </c>
      <c r="D1956">
        <f>SUM($C$3:C1956)</f>
        <v>4</v>
      </c>
      <c r="E1956" t="e">
        <f t="shared" si="91"/>
        <v>#N/A</v>
      </c>
      <c r="F1956" s="28" t="str">
        <f t="shared" ca="1" si="92"/>
        <v/>
      </c>
    </row>
    <row r="1957" spans="2:6" x14ac:dyDescent="0.2">
      <c r="B1957" t="str">
        <f>IFERROR(IF('PDCA review'!$D$2='Check'!B1957,'Check'!G1957,""),"")</f>
        <v/>
      </c>
      <c r="C1957">
        <f t="shared" si="90"/>
        <v>0</v>
      </c>
      <c r="D1957">
        <f>SUM($C$3:C1957)</f>
        <v>4</v>
      </c>
      <c r="E1957" t="e">
        <f t="shared" si="91"/>
        <v>#N/A</v>
      </c>
      <c r="F1957" s="28" t="str">
        <f t="shared" ca="1" si="92"/>
        <v/>
      </c>
    </row>
    <row r="1958" spans="2:6" x14ac:dyDescent="0.2">
      <c r="B1958" t="str">
        <f>IFERROR(IF('PDCA review'!$D$2='Check'!B1958,'Check'!G1958,""),"")</f>
        <v/>
      </c>
      <c r="C1958">
        <f t="shared" si="90"/>
        <v>0</v>
      </c>
      <c r="D1958">
        <f>SUM($C$3:C1958)</f>
        <v>4</v>
      </c>
      <c r="E1958" t="e">
        <f t="shared" si="91"/>
        <v>#N/A</v>
      </c>
      <c r="F1958" s="28" t="str">
        <f t="shared" ca="1" si="92"/>
        <v/>
      </c>
    </row>
    <row r="1959" spans="2:6" x14ac:dyDescent="0.2">
      <c r="B1959" t="str">
        <f>IFERROR(IF('PDCA review'!$D$2='Check'!B1959,'Check'!G1959,""),"")</f>
        <v/>
      </c>
      <c r="C1959">
        <f t="shared" si="90"/>
        <v>0</v>
      </c>
      <c r="D1959">
        <f>SUM($C$3:C1959)</f>
        <v>4</v>
      </c>
      <c r="E1959" t="e">
        <f t="shared" si="91"/>
        <v>#N/A</v>
      </c>
      <c r="F1959" s="28" t="str">
        <f t="shared" ca="1" si="92"/>
        <v/>
      </c>
    </row>
    <row r="1960" spans="2:6" x14ac:dyDescent="0.2">
      <c r="B1960" t="str">
        <f>IFERROR(IF('PDCA review'!$D$2='Check'!B1960,'Check'!G1960,""),"")</f>
        <v/>
      </c>
      <c r="C1960">
        <f t="shared" si="90"/>
        <v>0</v>
      </c>
      <c r="D1960">
        <f>SUM($C$3:C1960)</f>
        <v>4</v>
      </c>
      <c r="E1960" t="e">
        <f t="shared" si="91"/>
        <v>#N/A</v>
      </c>
      <c r="F1960" s="28" t="str">
        <f t="shared" ca="1" si="92"/>
        <v/>
      </c>
    </row>
    <row r="1961" spans="2:6" x14ac:dyDescent="0.2">
      <c r="B1961" t="str">
        <f>IFERROR(IF('PDCA review'!$D$2='Check'!B1961,'Check'!G1961,""),"")</f>
        <v/>
      </c>
      <c r="C1961">
        <f t="shared" si="90"/>
        <v>0</v>
      </c>
      <c r="D1961">
        <f>SUM($C$3:C1961)</f>
        <v>4</v>
      </c>
      <c r="E1961" t="e">
        <f t="shared" si="91"/>
        <v>#N/A</v>
      </c>
      <c r="F1961" s="28" t="str">
        <f t="shared" ca="1" si="92"/>
        <v/>
      </c>
    </row>
    <row r="1962" spans="2:6" x14ac:dyDescent="0.2">
      <c r="B1962" t="str">
        <f>IFERROR(IF('PDCA review'!$D$2='Check'!B1962,'Check'!G1962,""),"")</f>
        <v/>
      </c>
      <c r="C1962">
        <f t="shared" si="90"/>
        <v>0</v>
      </c>
      <c r="D1962">
        <f>SUM($C$3:C1962)</f>
        <v>4</v>
      </c>
      <c r="E1962" t="e">
        <f t="shared" si="91"/>
        <v>#N/A</v>
      </c>
      <c r="F1962" s="28" t="str">
        <f t="shared" ca="1" si="92"/>
        <v/>
      </c>
    </row>
    <row r="1963" spans="2:6" x14ac:dyDescent="0.2">
      <c r="B1963" t="str">
        <f>IFERROR(IF('PDCA review'!$D$2='Check'!B1963,'Check'!G1963,""),"")</f>
        <v/>
      </c>
      <c r="C1963">
        <f t="shared" si="90"/>
        <v>0</v>
      </c>
      <c r="D1963">
        <f>SUM($C$3:C1963)</f>
        <v>4</v>
      </c>
      <c r="E1963" t="e">
        <f t="shared" si="91"/>
        <v>#N/A</v>
      </c>
      <c r="F1963" s="28" t="str">
        <f t="shared" ca="1" si="92"/>
        <v/>
      </c>
    </row>
    <row r="1964" spans="2:6" x14ac:dyDescent="0.2">
      <c r="B1964" t="str">
        <f>IFERROR(IF('PDCA review'!$D$2='Check'!B1964,'Check'!G1964,""),"")</f>
        <v/>
      </c>
      <c r="C1964">
        <f t="shared" si="90"/>
        <v>0</v>
      </c>
      <c r="D1964">
        <f>SUM($C$3:C1964)</f>
        <v>4</v>
      </c>
      <c r="E1964" t="e">
        <f t="shared" si="91"/>
        <v>#N/A</v>
      </c>
      <c r="F1964" s="28" t="str">
        <f t="shared" ca="1" si="92"/>
        <v/>
      </c>
    </row>
    <row r="1965" spans="2:6" x14ac:dyDescent="0.2">
      <c r="B1965" t="str">
        <f>IFERROR(IF('PDCA review'!$D$2='Check'!B1965,'Check'!G1965,""),"")</f>
        <v/>
      </c>
      <c r="C1965">
        <f t="shared" si="90"/>
        <v>0</v>
      </c>
      <c r="D1965">
        <f>SUM($C$3:C1965)</f>
        <v>4</v>
      </c>
      <c r="E1965" t="e">
        <f t="shared" si="91"/>
        <v>#N/A</v>
      </c>
      <c r="F1965" s="28" t="str">
        <f t="shared" ca="1" si="92"/>
        <v/>
      </c>
    </row>
    <row r="1966" spans="2:6" x14ac:dyDescent="0.2">
      <c r="B1966" t="str">
        <f>IFERROR(IF('PDCA review'!$D$2='Check'!B1966,'Check'!G1966,""),"")</f>
        <v/>
      </c>
      <c r="C1966">
        <f t="shared" si="90"/>
        <v>0</v>
      </c>
      <c r="D1966">
        <f>SUM($C$3:C1966)</f>
        <v>4</v>
      </c>
      <c r="E1966" t="e">
        <f t="shared" si="91"/>
        <v>#N/A</v>
      </c>
      <c r="F1966" s="28" t="str">
        <f t="shared" ca="1" si="92"/>
        <v/>
      </c>
    </row>
    <row r="1967" spans="2:6" x14ac:dyDescent="0.2">
      <c r="B1967" t="str">
        <f>IFERROR(IF('PDCA review'!$D$2='Check'!B1967,'Check'!G1967,""),"")</f>
        <v/>
      </c>
      <c r="C1967">
        <f t="shared" si="90"/>
        <v>0</v>
      </c>
      <c r="D1967">
        <f>SUM($C$3:C1967)</f>
        <v>4</v>
      </c>
      <c r="E1967" t="e">
        <f t="shared" si="91"/>
        <v>#N/A</v>
      </c>
      <c r="F1967" s="28" t="str">
        <f t="shared" ca="1" si="92"/>
        <v/>
      </c>
    </row>
    <row r="1968" spans="2:6" x14ac:dyDescent="0.2">
      <c r="B1968" t="str">
        <f>IFERROR(IF('PDCA review'!$D$2='Check'!B1968,'Check'!G1968,""),"")</f>
        <v/>
      </c>
      <c r="C1968">
        <f t="shared" si="90"/>
        <v>0</v>
      </c>
      <c r="D1968">
        <f>SUM($C$3:C1968)</f>
        <v>4</v>
      </c>
      <c r="E1968" t="e">
        <f t="shared" si="91"/>
        <v>#N/A</v>
      </c>
      <c r="F1968" s="28" t="str">
        <f t="shared" ca="1" si="92"/>
        <v/>
      </c>
    </row>
    <row r="1969" spans="2:6" x14ac:dyDescent="0.2">
      <c r="B1969" t="str">
        <f>IFERROR(IF('PDCA review'!$D$2='Check'!B1969,'Check'!G1969,""),"")</f>
        <v/>
      </c>
      <c r="C1969">
        <f t="shared" si="90"/>
        <v>0</v>
      </c>
      <c r="D1969">
        <f>SUM($C$3:C1969)</f>
        <v>4</v>
      </c>
      <c r="E1969" t="e">
        <f t="shared" si="91"/>
        <v>#N/A</v>
      </c>
      <c r="F1969" s="28" t="str">
        <f t="shared" ca="1" si="92"/>
        <v/>
      </c>
    </row>
    <row r="1970" spans="2:6" x14ac:dyDescent="0.2">
      <c r="B1970" t="str">
        <f>IFERROR(IF('PDCA review'!$D$2='Check'!B1970,'Check'!G1970,""),"")</f>
        <v/>
      </c>
      <c r="C1970">
        <f t="shared" si="90"/>
        <v>0</v>
      </c>
      <c r="D1970">
        <f>SUM($C$3:C1970)</f>
        <v>4</v>
      </c>
      <c r="E1970" t="e">
        <f t="shared" si="91"/>
        <v>#N/A</v>
      </c>
      <c r="F1970" s="28" t="str">
        <f t="shared" ca="1" si="92"/>
        <v/>
      </c>
    </row>
    <row r="1971" spans="2:6" x14ac:dyDescent="0.2">
      <c r="B1971" t="str">
        <f>IFERROR(IF('PDCA review'!$D$2='Check'!B1971,'Check'!G1971,""),"")</f>
        <v/>
      </c>
      <c r="C1971">
        <f t="shared" si="90"/>
        <v>0</v>
      </c>
      <c r="D1971">
        <f>SUM($C$3:C1971)</f>
        <v>4</v>
      </c>
      <c r="E1971" t="e">
        <f t="shared" si="91"/>
        <v>#N/A</v>
      </c>
      <c r="F1971" s="28" t="str">
        <f t="shared" ca="1" si="92"/>
        <v/>
      </c>
    </row>
    <row r="1972" spans="2:6" x14ac:dyDescent="0.2">
      <c r="B1972" t="str">
        <f>IFERROR(IF('PDCA review'!$D$2='Check'!B1972,'Check'!G1972,""),"")</f>
        <v/>
      </c>
      <c r="C1972">
        <f t="shared" si="90"/>
        <v>0</v>
      </c>
      <c r="D1972">
        <f>SUM($C$3:C1972)</f>
        <v>4</v>
      </c>
      <c r="E1972" t="e">
        <f t="shared" si="91"/>
        <v>#N/A</v>
      </c>
      <c r="F1972" s="28" t="str">
        <f t="shared" ca="1" si="92"/>
        <v/>
      </c>
    </row>
    <row r="1973" spans="2:6" x14ac:dyDescent="0.2">
      <c r="B1973" t="str">
        <f>IFERROR(IF('PDCA review'!$D$2='Check'!B1973,'Check'!G1973,""),"")</f>
        <v/>
      </c>
      <c r="C1973">
        <f t="shared" si="90"/>
        <v>0</v>
      </c>
      <c r="D1973">
        <f>SUM($C$3:C1973)</f>
        <v>4</v>
      </c>
      <c r="E1973" t="e">
        <f t="shared" si="91"/>
        <v>#N/A</v>
      </c>
      <c r="F1973" s="28" t="str">
        <f t="shared" ca="1" si="92"/>
        <v/>
      </c>
    </row>
    <row r="1974" spans="2:6" x14ac:dyDescent="0.2">
      <c r="B1974" t="str">
        <f>IFERROR(IF('PDCA review'!$D$2='Check'!B1974,'Check'!G1974,""),"")</f>
        <v/>
      </c>
      <c r="C1974">
        <f t="shared" si="90"/>
        <v>0</v>
      </c>
      <c r="D1974">
        <f>SUM($C$3:C1974)</f>
        <v>4</v>
      </c>
      <c r="E1974" t="e">
        <f t="shared" si="91"/>
        <v>#N/A</v>
      </c>
      <c r="F1974" s="28" t="str">
        <f t="shared" ca="1" si="92"/>
        <v/>
      </c>
    </row>
    <row r="1975" spans="2:6" x14ac:dyDescent="0.2">
      <c r="B1975" t="str">
        <f>IFERROR(IF('PDCA review'!$D$2='Check'!B1975,'Check'!G1975,""),"")</f>
        <v/>
      </c>
      <c r="C1975">
        <f t="shared" si="90"/>
        <v>0</v>
      </c>
      <c r="D1975">
        <f>SUM($C$3:C1975)</f>
        <v>4</v>
      </c>
      <c r="E1975" t="e">
        <f t="shared" si="91"/>
        <v>#N/A</v>
      </c>
      <c r="F1975" s="28" t="str">
        <f t="shared" ca="1" si="92"/>
        <v/>
      </c>
    </row>
    <row r="1976" spans="2:6" x14ac:dyDescent="0.2">
      <c r="B1976" t="str">
        <f>IFERROR(IF('PDCA review'!$D$2='Check'!B1976,'Check'!G1976,""),"")</f>
        <v/>
      </c>
      <c r="C1976">
        <f t="shared" si="90"/>
        <v>0</v>
      </c>
      <c r="D1976">
        <f>SUM($C$3:C1976)</f>
        <v>4</v>
      </c>
      <c r="E1976" t="e">
        <f t="shared" si="91"/>
        <v>#N/A</v>
      </c>
      <c r="F1976" s="28" t="str">
        <f t="shared" ca="1" si="92"/>
        <v/>
      </c>
    </row>
    <row r="1977" spans="2:6" x14ac:dyDescent="0.2">
      <c r="B1977" t="str">
        <f>IFERROR(IF('PDCA review'!$D$2='Check'!B1977,'Check'!G1977,""),"")</f>
        <v/>
      </c>
      <c r="C1977">
        <f t="shared" si="90"/>
        <v>0</v>
      </c>
      <c r="D1977">
        <f>SUM($C$3:C1977)</f>
        <v>4</v>
      </c>
      <c r="E1977" t="e">
        <f t="shared" si="91"/>
        <v>#N/A</v>
      </c>
      <c r="F1977" s="28" t="str">
        <f t="shared" ca="1" si="92"/>
        <v/>
      </c>
    </row>
    <row r="1978" spans="2:6" x14ac:dyDescent="0.2">
      <c r="B1978" t="str">
        <f>IFERROR(IF('PDCA review'!$D$2='Check'!B1978,'Check'!G1978,""),"")</f>
        <v/>
      </c>
      <c r="C1978">
        <f t="shared" si="90"/>
        <v>0</v>
      </c>
      <c r="D1978">
        <f>SUM($C$3:C1978)</f>
        <v>4</v>
      </c>
      <c r="E1978" t="e">
        <f t="shared" si="91"/>
        <v>#N/A</v>
      </c>
      <c r="F1978" s="28" t="str">
        <f t="shared" ca="1" si="92"/>
        <v/>
      </c>
    </row>
    <row r="1979" spans="2:6" x14ac:dyDescent="0.2">
      <c r="B1979" t="str">
        <f>IFERROR(IF('PDCA review'!$D$2='Check'!B1979,'Check'!G1979,""),"")</f>
        <v/>
      </c>
      <c r="C1979">
        <f t="shared" si="90"/>
        <v>0</v>
      </c>
      <c r="D1979">
        <f>SUM($C$3:C1979)</f>
        <v>4</v>
      </c>
      <c r="E1979" t="e">
        <f t="shared" si="91"/>
        <v>#N/A</v>
      </c>
      <c r="F1979" s="28" t="str">
        <f t="shared" ca="1" si="92"/>
        <v/>
      </c>
    </row>
    <row r="1980" spans="2:6" x14ac:dyDescent="0.2">
      <c r="B1980" t="str">
        <f>IFERROR(IF('PDCA review'!$D$2='Check'!B1980,'Check'!G1980,""),"")</f>
        <v/>
      </c>
      <c r="C1980">
        <f t="shared" si="90"/>
        <v>0</v>
      </c>
      <c r="D1980">
        <f>SUM($C$3:C1980)</f>
        <v>4</v>
      </c>
      <c r="E1980" t="e">
        <f t="shared" si="91"/>
        <v>#N/A</v>
      </c>
      <c r="F1980" s="28" t="str">
        <f t="shared" ca="1" si="92"/>
        <v/>
      </c>
    </row>
    <row r="1981" spans="2:6" x14ac:dyDescent="0.2">
      <c r="B1981" t="str">
        <f>IFERROR(IF('PDCA review'!$D$2='Check'!B1981,'Check'!G1981,""),"")</f>
        <v/>
      </c>
      <c r="C1981">
        <f t="shared" si="90"/>
        <v>0</v>
      </c>
      <c r="D1981">
        <f>SUM($C$3:C1981)</f>
        <v>4</v>
      </c>
      <c r="E1981" t="e">
        <f t="shared" si="91"/>
        <v>#N/A</v>
      </c>
      <c r="F1981" s="28" t="str">
        <f t="shared" ca="1" si="92"/>
        <v/>
      </c>
    </row>
    <row r="1982" spans="2:6" x14ac:dyDescent="0.2">
      <c r="B1982" t="str">
        <f>IFERROR(IF('PDCA review'!$D$2='Check'!B1982,'Check'!G1982,""),"")</f>
        <v/>
      </c>
      <c r="C1982">
        <f t="shared" si="90"/>
        <v>0</v>
      </c>
      <c r="D1982">
        <f>SUM($C$3:C1982)</f>
        <v>4</v>
      </c>
      <c r="E1982" t="e">
        <f t="shared" si="91"/>
        <v>#N/A</v>
      </c>
      <c r="F1982" s="28" t="str">
        <f t="shared" ca="1" si="92"/>
        <v/>
      </c>
    </row>
    <row r="1983" spans="2:6" x14ac:dyDescent="0.2">
      <c r="B1983" t="str">
        <f>IFERROR(IF('PDCA review'!$D$2='Check'!B1983,'Check'!G1983,""),"")</f>
        <v/>
      </c>
      <c r="C1983">
        <f t="shared" si="90"/>
        <v>0</v>
      </c>
      <c r="D1983">
        <f>SUM($C$3:C1983)</f>
        <v>4</v>
      </c>
      <c r="E1983" t="e">
        <f t="shared" si="91"/>
        <v>#N/A</v>
      </c>
      <c r="F1983" s="28" t="str">
        <f t="shared" ca="1" si="92"/>
        <v/>
      </c>
    </row>
    <row r="1984" spans="2:6" x14ac:dyDescent="0.2">
      <c r="B1984" t="str">
        <f>IFERROR(IF('PDCA review'!$D$2='Check'!B1984,'Check'!G1984,""),"")</f>
        <v/>
      </c>
      <c r="C1984">
        <f t="shared" si="90"/>
        <v>0</v>
      </c>
      <c r="D1984">
        <f>SUM($C$3:C1984)</f>
        <v>4</v>
      </c>
      <c r="E1984" t="e">
        <f t="shared" si="91"/>
        <v>#N/A</v>
      </c>
      <c r="F1984" s="28" t="str">
        <f t="shared" ca="1" si="92"/>
        <v/>
      </c>
    </row>
    <row r="1985" spans="2:6" x14ac:dyDescent="0.2">
      <c r="B1985" t="str">
        <f>IFERROR(IF('PDCA review'!$D$2='Check'!B1985,'Check'!G1985,""),"")</f>
        <v/>
      </c>
      <c r="C1985">
        <f t="shared" si="90"/>
        <v>0</v>
      </c>
      <c r="D1985">
        <f>SUM($C$3:C1985)</f>
        <v>4</v>
      </c>
      <c r="E1985" t="e">
        <f t="shared" si="91"/>
        <v>#N/A</v>
      </c>
      <c r="F1985" s="28" t="str">
        <f t="shared" ca="1" si="92"/>
        <v/>
      </c>
    </row>
    <row r="1986" spans="2:6" x14ac:dyDescent="0.2">
      <c r="B1986" t="str">
        <f>IFERROR(IF('PDCA review'!$D$2='Check'!B1986,'Check'!G1986,""),"")</f>
        <v/>
      </c>
      <c r="C1986">
        <f t="shared" si="90"/>
        <v>0</v>
      </c>
      <c r="D1986">
        <f>SUM($C$3:C1986)</f>
        <v>4</v>
      </c>
      <c r="E1986" t="e">
        <f t="shared" si="91"/>
        <v>#N/A</v>
      </c>
      <c r="F1986" s="28" t="str">
        <f t="shared" ca="1" si="92"/>
        <v/>
      </c>
    </row>
    <row r="1987" spans="2:6" x14ac:dyDescent="0.2">
      <c r="B1987" t="str">
        <f>IFERROR(IF('PDCA review'!$D$2='Check'!B1987,'Check'!G1987,""),"")</f>
        <v/>
      </c>
      <c r="C1987">
        <f t="shared" si="90"/>
        <v>0</v>
      </c>
      <c r="D1987">
        <f>SUM($C$3:C1987)</f>
        <v>4</v>
      </c>
      <c r="E1987" t="e">
        <f t="shared" si="91"/>
        <v>#N/A</v>
      </c>
      <c r="F1987" s="28" t="str">
        <f t="shared" ca="1" si="92"/>
        <v/>
      </c>
    </row>
    <row r="1988" spans="2:6" x14ac:dyDescent="0.2">
      <c r="B1988" t="str">
        <f>IFERROR(IF('PDCA review'!$D$2='Check'!B1988,'Check'!G1988,""),"")</f>
        <v/>
      </c>
      <c r="C1988">
        <f t="shared" ref="C1988:C2000" si="93">IF(B1988&lt;&gt;"",1,0)</f>
        <v>0</v>
      </c>
      <c r="D1988">
        <f>SUM($C$3:C1988)</f>
        <v>4</v>
      </c>
      <c r="E1988" t="e">
        <f t="shared" ref="E1988:E2000" si="94">MATCH(ROW()-$D$2,$D$3:$D$2000,0)+$D$2</f>
        <v>#N/A</v>
      </c>
      <c r="F1988" s="28" t="str">
        <f t="shared" ref="F1988:F2000" ca="1" si="95">IFERROR(INDIRECT("B"&amp;E1988),"")</f>
        <v/>
      </c>
    </row>
    <row r="1989" spans="2:6" x14ac:dyDescent="0.2">
      <c r="B1989" t="str">
        <f>IFERROR(IF('PDCA review'!$D$2='Check'!B1989,'Check'!G1989,""),"")</f>
        <v/>
      </c>
      <c r="C1989">
        <f t="shared" si="93"/>
        <v>0</v>
      </c>
      <c r="D1989">
        <f>SUM($C$3:C1989)</f>
        <v>4</v>
      </c>
      <c r="E1989" t="e">
        <f t="shared" si="94"/>
        <v>#N/A</v>
      </c>
      <c r="F1989" s="28" t="str">
        <f t="shared" ca="1" si="95"/>
        <v/>
      </c>
    </row>
    <row r="1990" spans="2:6" x14ac:dyDescent="0.2">
      <c r="B1990" t="str">
        <f>IFERROR(IF('PDCA review'!$D$2='Check'!B1990,'Check'!G1990,""),"")</f>
        <v/>
      </c>
      <c r="C1990">
        <f t="shared" si="93"/>
        <v>0</v>
      </c>
      <c r="D1990">
        <f>SUM($C$3:C1990)</f>
        <v>4</v>
      </c>
      <c r="E1990" t="e">
        <f t="shared" si="94"/>
        <v>#N/A</v>
      </c>
      <c r="F1990" s="28" t="str">
        <f t="shared" ca="1" si="95"/>
        <v/>
      </c>
    </row>
    <row r="1991" spans="2:6" x14ac:dyDescent="0.2">
      <c r="B1991" t="str">
        <f>IFERROR(IF('PDCA review'!$D$2='Check'!B1991,'Check'!G1991,""),"")</f>
        <v/>
      </c>
      <c r="C1991">
        <f t="shared" si="93"/>
        <v>0</v>
      </c>
      <c r="D1991">
        <f>SUM($C$3:C1991)</f>
        <v>4</v>
      </c>
      <c r="E1991" t="e">
        <f t="shared" si="94"/>
        <v>#N/A</v>
      </c>
      <c r="F1991" s="28" t="str">
        <f t="shared" ca="1" si="95"/>
        <v/>
      </c>
    </row>
    <row r="1992" spans="2:6" x14ac:dyDescent="0.2">
      <c r="B1992" t="str">
        <f>IFERROR(IF('PDCA review'!$D$2='Check'!B1992,'Check'!G1992,""),"")</f>
        <v/>
      </c>
      <c r="C1992">
        <f t="shared" si="93"/>
        <v>0</v>
      </c>
      <c r="D1992">
        <f>SUM($C$3:C1992)</f>
        <v>4</v>
      </c>
      <c r="E1992" t="e">
        <f t="shared" si="94"/>
        <v>#N/A</v>
      </c>
      <c r="F1992" s="28" t="str">
        <f t="shared" ca="1" si="95"/>
        <v/>
      </c>
    </row>
    <row r="1993" spans="2:6" x14ac:dyDescent="0.2">
      <c r="B1993" t="str">
        <f>IFERROR(IF('PDCA review'!$D$2='Check'!B1993,'Check'!G1993,""),"")</f>
        <v/>
      </c>
      <c r="C1993">
        <f t="shared" si="93"/>
        <v>0</v>
      </c>
      <c r="D1993">
        <f>SUM($C$3:C1993)</f>
        <v>4</v>
      </c>
      <c r="E1993" t="e">
        <f t="shared" si="94"/>
        <v>#N/A</v>
      </c>
      <c r="F1993" s="28" t="str">
        <f t="shared" ca="1" si="95"/>
        <v/>
      </c>
    </row>
    <row r="1994" spans="2:6" x14ac:dyDescent="0.2">
      <c r="B1994" t="str">
        <f>IFERROR(IF('PDCA review'!$D$2='Check'!B1994,'Check'!G1994,""),"")</f>
        <v/>
      </c>
      <c r="C1994">
        <f t="shared" si="93"/>
        <v>0</v>
      </c>
      <c r="D1994">
        <f>SUM($C$3:C1994)</f>
        <v>4</v>
      </c>
      <c r="E1994" t="e">
        <f t="shared" si="94"/>
        <v>#N/A</v>
      </c>
      <c r="F1994" s="28" t="str">
        <f t="shared" ca="1" si="95"/>
        <v/>
      </c>
    </row>
    <row r="1995" spans="2:6" x14ac:dyDescent="0.2">
      <c r="B1995" t="str">
        <f>IFERROR(IF('PDCA review'!$D$2='Check'!B1995,'Check'!G1995,""),"")</f>
        <v/>
      </c>
      <c r="C1995">
        <f t="shared" si="93"/>
        <v>0</v>
      </c>
      <c r="D1995">
        <f>SUM($C$3:C1995)</f>
        <v>4</v>
      </c>
      <c r="E1995" t="e">
        <f t="shared" si="94"/>
        <v>#N/A</v>
      </c>
      <c r="F1995" s="28" t="str">
        <f t="shared" ca="1" si="95"/>
        <v/>
      </c>
    </row>
    <row r="1996" spans="2:6" x14ac:dyDescent="0.2">
      <c r="B1996" t="str">
        <f>IFERROR(IF('PDCA review'!$D$2='Check'!B1996,'Check'!G1996,""),"")</f>
        <v/>
      </c>
      <c r="C1996">
        <f t="shared" si="93"/>
        <v>0</v>
      </c>
      <c r="D1996">
        <f>SUM($C$3:C1996)</f>
        <v>4</v>
      </c>
      <c r="E1996" t="e">
        <f t="shared" si="94"/>
        <v>#N/A</v>
      </c>
      <c r="F1996" s="28" t="str">
        <f t="shared" ca="1" si="95"/>
        <v/>
      </c>
    </row>
    <row r="1997" spans="2:6" x14ac:dyDescent="0.2">
      <c r="B1997" t="str">
        <f>IFERROR(IF('PDCA review'!$D$2='Check'!B1997,'Check'!G1997,""),"")</f>
        <v/>
      </c>
      <c r="C1997">
        <f t="shared" si="93"/>
        <v>0</v>
      </c>
      <c r="D1997">
        <f>SUM($C$3:C1997)</f>
        <v>4</v>
      </c>
      <c r="E1997" t="e">
        <f t="shared" si="94"/>
        <v>#N/A</v>
      </c>
      <c r="F1997" s="28" t="str">
        <f t="shared" ca="1" si="95"/>
        <v/>
      </c>
    </row>
    <row r="1998" spans="2:6" x14ac:dyDescent="0.2">
      <c r="B1998" t="str">
        <f>IFERROR(IF('PDCA review'!$D$2='Check'!B1998,'Check'!G1998,""),"")</f>
        <v/>
      </c>
      <c r="C1998">
        <f t="shared" si="93"/>
        <v>0</v>
      </c>
      <c r="D1998">
        <f>SUM($C$3:C1998)</f>
        <v>4</v>
      </c>
      <c r="E1998" t="e">
        <f t="shared" si="94"/>
        <v>#N/A</v>
      </c>
      <c r="F1998" s="28" t="str">
        <f t="shared" ca="1" si="95"/>
        <v/>
      </c>
    </row>
    <row r="1999" spans="2:6" x14ac:dyDescent="0.2">
      <c r="B1999" t="str">
        <f>IFERROR(IF('PDCA review'!$D$2='Check'!B1999,'Check'!G1999,""),"")</f>
        <v/>
      </c>
      <c r="C1999">
        <f t="shared" si="93"/>
        <v>0</v>
      </c>
      <c r="D1999">
        <f>SUM($C$3:C1999)</f>
        <v>4</v>
      </c>
      <c r="E1999" t="e">
        <f t="shared" si="94"/>
        <v>#N/A</v>
      </c>
      <c r="F1999" s="28" t="str">
        <f t="shared" ca="1" si="95"/>
        <v/>
      </c>
    </row>
    <row r="2000" spans="2:6" x14ac:dyDescent="0.2">
      <c r="B2000" t="str">
        <f>IFERROR(IF('PDCA review'!$D$2='Check'!B2000,'Check'!G2000,""),"")</f>
        <v/>
      </c>
      <c r="C2000">
        <f t="shared" si="93"/>
        <v>0</v>
      </c>
      <c r="D2000">
        <f>SUM($C$3:C2000)</f>
        <v>4</v>
      </c>
      <c r="E2000" t="e">
        <f t="shared" si="94"/>
        <v>#N/A</v>
      </c>
      <c r="F2000" s="28" t="str">
        <f t="shared" ca="1" si="95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3E3F6-3CDF-4399-BB31-1D28920A9119}">
  <dimension ref="B1:F2000"/>
  <sheetViews>
    <sheetView showGridLines="0" workbookViewId="0">
      <selection activeCell="B3" sqref="B3:B2000"/>
    </sheetView>
  </sheetViews>
  <sheetFormatPr defaultRowHeight="12.75" x14ac:dyDescent="0.2"/>
  <cols>
    <col min="2" max="2" width="33.5703125" customWidth="1"/>
    <col min="3" max="5" width="16.7109375" customWidth="1"/>
    <col min="6" max="6" width="31.28515625" style="28" customWidth="1"/>
  </cols>
  <sheetData>
    <row r="1" spans="2:6" x14ac:dyDescent="0.2">
      <c r="F1"/>
    </row>
    <row r="2" spans="2:6" x14ac:dyDescent="0.2">
      <c r="B2" s="29"/>
      <c r="C2" s="29"/>
      <c r="D2" s="29">
        <f>ROW()</f>
        <v>2</v>
      </c>
      <c r="E2" s="29"/>
      <c r="F2" s="30" t="s">
        <v>14</v>
      </c>
    </row>
    <row r="3" spans="2:6" x14ac:dyDescent="0.2">
      <c r="B3" t="str">
        <f>IFERROR(IF('PDCA review'!$D$2=Act!B4,Act!G4,""),"")</f>
        <v/>
      </c>
      <c r="C3">
        <f>IF(B3&lt;&gt;"",1,0)</f>
        <v>0</v>
      </c>
      <c r="D3">
        <f>SUM($C$3:C3)</f>
        <v>0</v>
      </c>
      <c r="E3">
        <f>MATCH(ROW()-$D$2,$D$3:$D$2000,0)+$D$2</f>
        <v>5</v>
      </c>
      <c r="F3" s="28" t="str">
        <f ca="1">IFERROR(INDIRECT("B"&amp;E3),"")</f>
        <v>Use the standard adopted</v>
      </c>
    </row>
    <row r="4" spans="2:6" x14ac:dyDescent="0.2">
      <c r="B4" t="str">
        <f>IFERROR(IF('PDCA review'!$D$2=Act!B5,Act!G5,""),"")</f>
        <v/>
      </c>
      <c r="C4">
        <f t="shared" ref="C4:C67" si="0">IF(B4&lt;&gt;"",1,0)</f>
        <v>0</v>
      </c>
      <c r="D4">
        <f>SUM($C$3:C4)</f>
        <v>0</v>
      </c>
      <c r="E4">
        <f t="shared" ref="E4:E67" si="1">MATCH(ROW()-$D$2,$D$3:$D$2000,0)+$D$2</f>
        <v>6</v>
      </c>
      <c r="F4" s="28" t="str">
        <f t="shared" ref="F4:F67" ca="1" si="2">IFERROR(INDIRECT("B"&amp;E4),"")</f>
        <v>Document and measure the results</v>
      </c>
    </row>
    <row r="5" spans="2:6" x14ac:dyDescent="0.2">
      <c r="B5" t="str">
        <f>IFERROR(IF('PDCA review'!$D$2=Act!B6,Act!G6,""),"")</f>
        <v>Use the standard adopted</v>
      </c>
      <c r="C5">
        <f t="shared" si="0"/>
        <v>1</v>
      </c>
      <c r="D5">
        <f>SUM($C$3:C5)</f>
        <v>1</v>
      </c>
      <c r="E5">
        <f t="shared" si="1"/>
        <v>7</v>
      </c>
      <c r="F5" s="28" t="str">
        <f t="shared" ca="1" si="2"/>
        <v>Evaluate the results</v>
      </c>
    </row>
    <row r="6" spans="2:6" x14ac:dyDescent="0.2">
      <c r="B6" t="str">
        <f>IFERROR(IF('PDCA review'!$D$2=Act!B7,Act!G7,""),"")</f>
        <v>Document and measure the results</v>
      </c>
      <c r="C6">
        <f t="shared" si="0"/>
        <v>1</v>
      </c>
      <c r="D6">
        <f>SUM($C$3:C6)</f>
        <v>2</v>
      </c>
      <c r="E6">
        <f t="shared" si="1"/>
        <v>8</v>
      </c>
      <c r="F6" s="28" t="str">
        <f t="shared" ca="1" si="2"/>
        <v>Validate the effectiveness of improvement</v>
      </c>
    </row>
    <row r="7" spans="2:6" x14ac:dyDescent="0.2">
      <c r="B7" t="str">
        <f>IFERROR(IF('PDCA review'!$D$2=Act!B8,Act!G8,""),"")</f>
        <v>Evaluate the results</v>
      </c>
      <c r="C7">
        <f t="shared" si="0"/>
        <v>1</v>
      </c>
      <c r="D7">
        <f>SUM($C$3:C7)</f>
        <v>3</v>
      </c>
      <c r="E7" t="e">
        <f t="shared" si="1"/>
        <v>#N/A</v>
      </c>
      <c r="F7" s="28" t="str">
        <f t="shared" ca="1" si="2"/>
        <v/>
      </c>
    </row>
    <row r="8" spans="2:6" x14ac:dyDescent="0.2">
      <c r="B8" t="str">
        <f>IFERROR(IF('PDCA review'!$D$2=Act!B9,Act!G9,""),"")</f>
        <v>Validate the effectiveness of improvement</v>
      </c>
      <c r="C8">
        <f t="shared" si="0"/>
        <v>1</v>
      </c>
      <c r="D8">
        <f>SUM($C$3:C8)</f>
        <v>4</v>
      </c>
      <c r="E8" t="e">
        <f t="shared" si="1"/>
        <v>#N/A</v>
      </c>
      <c r="F8" s="28" t="str">
        <f t="shared" ca="1" si="2"/>
        <v/>
      </c>
    </row>
    <row r="9" spans="2:6" x14ac:dyDescent="0.2">
      <c r="B9" t="str">
        <f>IFERROR(IF('PDCA review'!$D$2=Act!B10,Act!G10,""),"")</f>
        <v/>
      </c>
      <c r="C9">
        <f t="shared" si="0"/>
        <v>0</v>
      </c>
      <c r="D9">
        <f>SUM($C$3:C9)</f>
        <v>4</v>
      </c>
      <c r="E9" t="e">
        <f t="shared" si="1"/>
        <v>#N/A</v>
      </c>
      <c r="F9" s="28" t="str">
        <f t="shared" ca="1" si="2"/>
        <v/>
      </c>
    </row>
    <row r="10" spans="2:6" x14ac:dyDescent="0.2">
      <c r="B10" t="str">
        <f>IFERROR(IF('PDCA review'!$D$2=Act!B11,Act!G11,""),"")</f>
        <v/>
      </c>
      <c r="C10">
        <f t="shared" si="0"/>
        <v>0</v>
      </c>
      <c r="D10">
        <f>SUM($C$3:C10)</f>
        <v>4</v>
      </c>
      <c r="E10" t="e">
        <f t="shared" si="1"/>
        <v>#N/A</v>
      </c>
      <c r="F10" s="28" t="str">
        <f t="shared" ca="1" si="2"/>
        <v/>
      </c>
    </row>
    <row r="11" spans="2:6" x14ac:dyDescent="0.2">
      <c r="B11" t="str">
        <f>IFERROR(IF('PDCA review'!$D$2=Act!B12,Act!G12,""),"")</f>
        <v/>
      </c>
      <c r="C11">
        <f t="shared" si="0"/>
        <v>0</v>
      </c>
      <c r="D11">
        <f>SUM($C$3:C11)</f>
        <v>4</v>
      </c>
      <c r="E11" t="e">
        <f t="shared" si="1"/>
        <v>#N/A</v>
      </c>
      <c r="F11" s="28" t="str">
        <f t="shared" ca="1" si="2"/>
        <v/>
      </c>
    </row>
    <row r="12" spans="2:6" x14ac:dyDescent="0.2">
      <c r="B12" t="str">
        <f>IFERROR(IF('PDCA review'!$D$2=Act!B13,Act!G13,""),"")</f>
        <v/>
      </c>
      <c r="C12">
        <f t="shared" si="0"/>
        <v>0</v>
      </c>
      <c r="D12">
        <f>SUM($C$3:C12)</f>
        <v>4</v>
      </c>
      <c r="E12" t="e">
        <f t="shared" si="1"/>
        <v>#N/A</v>
      </c>
      <c r="F12" s="28" t="str">
        <f t="shared" ca="1" si="2"/>
        <v/>
      </c>
    </row>
    <row r="13" spans="2:6" x14ac:dyDescent="0.2">
      <c r="B13" t="str">
        <f>IFERROR(IF('PDCA review'!$D$2=Act!B14,Act!G14,""),"")</f>
        <v/>
      </c>
      <c r="C13">
        <f t="shared" si="0"/>
        <v>0</v>
      </c>
      <c r="D13">
        <f>SUM($C$3:C13)</f>
        <v>4</v>
      </c>
      <c r="E13" t="e">
        <f t="shared" si="1"/>
        <v>#N/A</v>
      </c>
      <c r="F13" s="28" t="str">
        <f t="shared" ca="1" si="2"/>
        <v/>
      </c>
    </row>
    <row r="14" spans="2:6" x14ac:dyDescent="0.2">
      <c r="B14" t="str">
        <f>IFERROR(IF('PDCA review'!$D$2=Act!B15,Act!G15,""),"")</f>
        <v/>
      </c>
      <c r="C14">
        <f t="shared" si="0"/>
        <v>0</v>
      </c>
      <c r="D14">
        <f>SUM($C$3:C14)</f>
        <v>4</v>
      </c>
      <c r="E14" t="e">
        <f t="shared" si="1"/>
        <v>#N/A</v>
      </c>
      <c r="F14" s="28" t="str">
        <f t="shared" ca="1" si="2"/>
        <v/>
      </c>
    </row>
    <row r="15" spans="2:6" x14ac:dyDescent="0.2">
      <c r="B15" t="str">
        <f>IFERROR(IF('PDCA review'!$D$2=Act!B16,Act!G16,""),"")</f>
        <v/>
      </c>
      <c r="C15">
        <f t="shared" si="0"/>
        <v>0</v>
      </c>
      <c r="D15">
        <f>SUM($C$3:C15)</f>
        <v>4</v>
      </c>
      <c r="E15" t="e">
        <f t="shared" si="1"/>
        <v>#N/A</v>
      </c>
      <c r="F15" s="28" t="str">
        <f t="shared" ca="1" si="2"/>
        <v/>
      </c>
    </row>
    <row r="16" spans="2:6" x14ac:dyDescent="0.2">
      <c r="B16" t="str">
        <f>IFERROR(IF('PDCA review'!$D$2=Act!B17,Act!G17,""),"")</f>
        <v/>
      </c>
      <c r="C16">
        <f t="shared" si="0"/>
        <v>0</v>
      </c>
      <c r="D16">
        <f>SUM($C$3:C16)</f>
        <v>4</v>
      </c>
      <c r="E16" t="e">
        <f t="shared" si="1"/>
        <v>#N/A</v>
      </c>
      <c r="F16" s="28" t="str">
        <f t="shared" ca="1" si="2"/>
        <v/>
      </c>
    </row>
    <row r="17" spans="2:6" x14ac:dyDescent="0.2">
      <c r="B17" t="str">
        <f>IFERROR(IF('PDCA review'!$D$2=Act!B18,Act!G18,""),"")</f>
        <v/>
      </c>
      <c r="C17">
        <f t="shared" si="0"/>
        <v>0</v>
      </c>
      <c r="D17">
        <f>SUM($C$3:C17)</f>
        <v>4</v>
      </c>
      <c r="E17" t="e">
        <f t="shared" si="1"/>
        <v>#N/A</v>
      </c>
      <c r="F17" s="28" t="str">
        <f t="shared" ca="1" si="2"/>
        <v/>
      </c>
    </row>
    <row r="18" spans="2:6" x14ac:dyDescent="0.2">
      <c r="B18" t="str">
        <f>IFERROR(IF('PDCA review'!$D$2=Act!B19,Act!G19,""),"")</f>
        <v/>
      </c>
      <c r="C18">
        <f t="shared" si="0"/>
        <v>0</v>
      </c>
      <c r="D18">
        <f>SUM($C$3:C18)</f>
        <v>4</v>
      </c>
      <c r="E18" t="e">
        <f t="shared" si="1"/>
        <v>#N/A</v>
      </c>
      <c r="F18" s="28" t="str">
        <f t="shared" ca="1" si="2"/>
        <v/>
      </c>
    </row>
    <row r="19" spans="2:6" x14ac:dyDescent="0.2">
      <c r="B19" t="str">
        <f>IFERROR(IF('PDCA review'!$D$2=Act!B20,Act!G20,""),"")</f>
        <v/>
      </c>
      <c r="C19">
        <f t="shared" si="0"/>
        <v>0</v>
      </c>
      <c r="D19">
        <f>SUM($C$3:C19)</f>
        <v>4</v>
      </c>
      <c r="E19" t="e">
        <f t="shared" si="1"/>
        <v>#N/A</v>
      </c>
      <c r="F19" s="28" t="str">
        <f t="shared" ca="1" si="2"/>
        <v/>
      </c>
    </row>
    <row r="20" spans="2:6" x14ac:dyDescent="0.2">
      <c r="B20" t="str">
        <f>IFERROR(IF('PDCA review'!$D$2=Act!B21,Act!G21,""),"")</f>
        <v/>
      </c>
      <c r="C20">
        <f t="shared" si="0"/>
        <v>0</v>
      </c>
      <c r="D20">
        <f>SUM($C$3:C20)</f>
        <v>4</v>
      </c>
      <c r="E20" t="e">
        <f t="shared" si="1"/>
        <v>#N/A</v>
      </c>
      <c r="F20" s="28" t="str">
        <f t="shared" ca="1" si="2"/>
        <v/>
      </c>
    </row>
    <row r="21" spans="2:6" x14ac:dyDescent="0.2">
      <c r="B21" t="str">
        <f>IFERROR(IF('PDCA review'!$D$2=Act!B22,Act!G22,""),"")</f>
        <v/>
      </c>
      <c r="C21">
        <f t="shared" si="0"/>
        <v>0</v>
      </c>
      <c r="D21">
        <f>SUM($C$3:C21)</f>
        <v>4</v>
      </c>
      <c r="E21" t="e">
        <f t="shared" si="1"/>
        <v>#N/A</v>
      </c>
      <c r="F21" s="28" t="str">
        <f t="shared" ca="1" si="2"/>
        <v/>
      </c>
    </row>
    <row r="22" spans="2:6" x14ac:dyDescent="0.2">
      <c r="B22" t="str">
        <f>IFERROR(IF('PDCA review'!$D$2=Act!B23,Act!G23,""),"")</f>
        <v/>
      </c>
      <c r="C22">
        <f t="shared" si="0"/>
        <v>0</v>
      </c>
      <c r="D22">
        <f>SUM($C$3:C22)</f>
        <v>4</v>
      </c>
      <c r="E22" t="e">
        <f t="shared" si="1"/>
        <v>#N/A</v>
      </c>
      <c r="F22" s="28" t="str">
        <f t="shared" ca="1" si="2"/>
        <v/>
      </c>
    </row>
    <row r="23" spans="2:6" x14ac:dyDescent="0.2">
      <c r="B23" t="str">
        <f>IFERROR(IF('PDCA review'!$D$2=Act!B24,Act!G24,""),"")</f>
        <v/>
      </c>
      <c r="C23">
        <f t="shared" si="0"/>
        <v>0</v>
      </c>
      <c r="D23">
        <f>SUM($C$3:C23)</f>
        <v>4</v>
      </c>
      <c r="E23" t="e">
        <f t="shared" si="1"/>
        <v>#N/A</v>
      </c>
      <c r="F23" s="28" t="str">
        <f t="shared" ca="1" si="2"/>
        <v/>
      </c>
    </row>
    <row r="24" spans="2:6" x14ac:dyDescent="0.2">
      <c r="B24" t="str">
        <f>IFERROR(IF('PDCA review'!$D$2=Act!B25,Act!G25,""),"")</f>
        <v/>
      </c>
      <c r="C24">
        <f t="shared" si="0"/>
        <v>0</v>
      </c>
      <c r="D24">
        <f>SUM($C$3:C24)</f>
        <v>4</v>
      </c>
      <c r="E24" t="e">
        <f t="shared" si="1"/>
        <v>#N/A</v>
      </c>
      <c r="F24" s="28" t="str">
        <f t="shared" ca="1" si="2"/>
        <v/>
      </c>
    </row>
    <row r="25" spans="2:6" x14ac:dyDescent="0.2">
      <c r="B25" t="str">
        <f>IFERROR(IF('PDCA review'!$D$2=Act!B26,Act!G26,""),"")</f>
        <v/>
      </c>
      <c r="C25">
        <f t="shared" si="0"/>
        <v>0</v>
      </c>
      <c r="D25">
        <f>SUM($C$3:C25)</f>
        <v>4</v>
      </c>
      <c r="E25" t="e">
        <f t="shared" si="1"/>
        <v>#N/A</v>
      </c>
      <c r="F25" s="28" t="str">
        <f t="shared" ca="1" si="2"/>
        <v/>
      </c>
    </row>
    <row r="26" spans="2:6" x14ac:dyDescent="0.2">
      <c r="B26" t="str">
        <f>IFERROR(IF('PDCA review'!$D$2=Act!B27,Act!G27,""),"")</f>
        <v/>
      </c>
      <c r="C26">
        <f t="shared" si="0"/>
        <v>0</v>
      </c>
      <c r="D26">
        <f>SUM($C$3:C26)</f>
        <v>4</v>
      </c>
      <c r="E26" t="e">
        <f t="shared" si="1"/>
        <v>#N/A</v>
      </c>
      <c r="F26" s="28" t="str">
        <f t="shared" ca="1" si="2"/>
        <v/>
      </c>
    </row>
    <row r="27" spans="2:6" x14ac:dyDescent="0.2">
      <c r="B27" t="str">
        <f>IFERROR(IF('PDCA review'!$D$2=Act!B28,Act!G28,""),"")</f>
        <v/>
      </c>
      <c r="C27">
        <f t="shared" si="0"/>
        <v>0</v>
      </c>
      <c r="D27">
        <f>SUM($C$3:C27)</f>
        <v>4</v>
      </c>
      <c r="E27" t="e">
        <f t="shared" si="1"/>
        <v>#N/A</v>
      </c>
      <c r="F27" s="28" t="str">
        <f t="shared" ca="1" si="2"/>
        <v/>
      </c>
    </row>
    <row r="28" spans="2:6" x14ac:dyDescent="0.2">
      <c r="B28" t="str">
        <f>IFERROR(IF('PDCA review'!$D$2=Act!B29,Act!G29,""),"")</f>
        <v/>
      </c>
      <c r="C28">
        <f t="shared" si="0"/>
        <v>0</v>
      </c>
      <c r="D28">
        <f>SUM($C$3:C28)</f>
        <v>4</v>
      </c>
      <c r="E28" t="e">
        <f t="shared" si="1"/>
        <v>#N/A</v>
      </c>
      <c r="F28" s="28" t="str">
        <f t="shared" ca="1" si="2"/>
        <v/>
      </c>
    </row>
    <row r="29" spans="2:6" x14ac:dyDescent="0.2">
      <c r="B29" t="str">
        <f>IFERROR(IF('PDCA review'!$D$2=Act!B30,Act!G30,""),"")</f>
        <v/>
      </c>
      <c r="C29">
        <f t="shared" si="0"/>
        <v>0</v>
      </c>
      <c r="D29">
        <f>SUM($C$3:C29)</f>
        <v>4</v>
      </c>
      <c r="E29" t="e">
        <f t="shared" si="1"/>
        <v>#N/A</v>
      </c>
      <c r="F29" s="28" t="str">
        <f t="shared" ca="1" si="2"/>
        <v/>
      </c>
    </row>
    <row r="30" spans="2:6" x14ac:dyDescent="0.2">
      <c r="B30" t="str">
        <f>IFERROR(IF('PDCA review'!$D$2=Act!B31,Act!G31,""),"")</f>
        <v/>
      </c>
      <c r="C30">
        <f t="shared" si="0"/>
        <v>0</v>
      </c>
      <c r="D30">
        <f>SUM($C$3:C30)</f>
        <v>4</v>
      </c>
      <c r="E30" t="e">
        <f t="shared" si="1"/>
        <v>#N/A</v>
      </c>
      <c r="F30" s="28" t="str">
        <f t="shared" ca="1" si="2"/>
        <v/>
      </c>
    </row>
    <row r="31" spans="2:6" x14ac:dyDescent="0.2">
      <c r="B31" t="str">
        <f>IFERROR(IF('PDCA review'!$D$2=Act!B32,Act!G32,""),"")</f>
        <v/>
      </c>
      <c r="C31">
        <f t="shared" si="0"/>
        <v>0</v>
      </c>
      <c r="D31">
        <f>SUM($C$3:C31)</f>
        <v>4</v>
      </c>
      <c r="E31" t="e">
        <f t="shared" si="1"/>
        <v>#N/A</v>
      </c>
      <c r="F31" s="28" t="str">
        <f t="shared" ca="1" si="2"/>
        <v/>
      </c>
    </row>
    <row r="32" spans="2:6" x14ac:dyDescent="0.2">
      <c r="B32" t="str">
        <f>IFERROR(IF('PDCA review'!$D$2=Act!B33,Act!G33,""),"")</f>
        <v/>
      </c>
      <c r="C32">
        <f t="shared" si="0"/>
        <v>0</v>
      </c>
      <c r="D32">
        <f>SUM($C$3:C32)</f>
        <v>4</v>
      </c>
      <c r="E32" t="e">
        <f t="shared" si="1"/>
        <v>#N/A</v>
      </c>
      <c r="F32" s="28" t="str">
        <f t="shared" ca="1" si="2"/>
        <v/>
      </c>
    </row>
    <row r="33" spans="2:6" x14ac:dyDescent="0.2">
      <c r="B33" t="str">
        <f>IFERROR(IF('PDCA review'!$D$2=Act!B34,Act!G34,""),"")</f>
        <v/>
      </c>
      <c r="C33">
        <f t="shared" si="0"/>
        <v>0</v>
      </c>
      <c r="D33">
        <f>SUM($C$3:C33)</f>
        <v>4</v>
      </c>
      <c r="E33" t="e">
        <f t="shared" si="1"/>
        <v>#N/A</v>
      </c>
      <c r="F33" s="28" t="str">
        <f t="shared" ca="1" si="2"/>
        <v/>
      </c>
    </row>
    <row r="34" spans="2:6" x14ac:dyDescent="0.2">
      <c r="B34" t="str">
        <f>IFERROR(IF('PDCA review'!$D$2=Act!B35,Act!G35,""),"")</f>
        <v/>
      </c>
      <c r="C34">
        <f t="shared" si="0"/>
        <v>0</v>
      </c>
      <c r="D34">
        <f>SUM($C$3:C34)</f>
        <v>4</v>
      </c>
      <c r="E34" t="e">
        <f t="shared" si="1"/>
        <v>#N/A</v>
      </c>
      <c r="F34" s="28" t="str">
        <f t="shared" ca="1" si="2"/>
        <v/>
      </c>
    </row>
    <row r="35" spans="2:6" x14ac:dyDescent="0.2">
      <c r="B35" t="str">
        <f>IFERROR(IF('PDCA review'!$D$2=Act!B36,Act!G36,""),"")</f>
        <v/>
      </c>
      <c r="C35">
        <f t="shared" si="0"/>
        <v>0</v>
      </c>
      <c r="D35">
        <f>SUM($C$3:C35)</f>
        <v>4</v>
      </c>
      <c r="E35" t="e">
        <f t="shared" si="1"/>
        <v>#N/A</v>
      </c>
      <c r="F35" s="28" t="str">
        <f t="shared" ca="1" si="2"/>
        <v/>
      </c>
    </row>
    <row r="36" spans="2:6" x14ac:dyDescent="0.2">
      <c r="B36" t="str">
        <f>IFERROR(IF('PDCA review'!$D$2=Act!B37,Act!G37,""),"")</f>
        <v/>
      </c>
      <c r="C36">
        <f t="shared" si="0"/>
        <v>0</v>
      </c>
      <c r="D36">
        <f>SUM($C$3:C36)</f>
        <v>4</v>
      </c>
      <c r="E36" t="e">
        <f t="shared" si="1"/>
        <v>#N/A</v>
      </c>
      <c r="F36" s="28" t="str">
        <f t="shared" ca="1" si="2"/>
        <v/>
      </c>
    </row>
    <row r="37" spans="2:6" x14ac:dyDescent="0.2">
      <c r="B37" t="str">
        <f>IFERROR(IF('PDCA review'!$D$2=Act!B38,Act!G38,""),"")</f>
        <v/>
      </c>
      <c r="C37">
        <f t="shared" si="0"/>
        <v>0</v>
      </c>
      <c r="D37">
        <f>SUM($C$3:C37)</f>
        <v>4</v>
      </c>
      <c r="E37" t="e">
        <f t="shared" si="1"/>
        <v>#N/A</v>
      </c>
      <c r="F37" s="28" t="str">
        <f t="shared" ca="1" si="2"/>
        <v/>
      </c>
    </row>
    <row r="38" spans="2:6" x14ac:dyDescent="0.2">
      <c r="B38" t="str">
        <f>IFERROR(IF('PDCA review'!$D$2=Act!B39,Act!G39,""),"")</f>
        <v/>
      </c>
      <c r="C38">
        <f t="shared" si="0"/>
        <v>0</v>
      </c>
      <c r="D38">
        <f>SUM($C$3:C38)</f>
        <v>4</v>
      </c>
      <c r="E38" t="e">
        <f t="shared" si="1"/>
        <v>#N/A</v>
      </c>
      <c r="F38" s="28" t="str">
        <f t="shared" ca="1" si="2"/>
        <v/>
      </c>
    </row>
    <row r="39" spans="2:6" x14ac:dyDescent="0.2">
      <c r="B39" t="str">
        <f>IFERROR(IF('PDCA review'!$D$2=Act!B40,Act!G40,""),"")</f>
        <v/>
      </c>
      <c r="C39">
        <f t="shared" si="0"/>
        <v>0</v>
      </c>
      <c r="D39">
        <f>SUM($C$3:C39)</f>
        <v>4</v>
      </c>
      <c r="E39" t="e">
        <f t="shared" si="1"/>
        <v>#N/A</v>
      </c>
      <c r="F39" s="28" t="str">
        <f t="shared" ca="1" si="2"/>
        <v/>
      </c>
    </row>
    <row r="40" spans="2:6" x14ac:dyDescent="0.2">
      <c r="B40" t="str">
        <f>IFERROR(IF('PDCA review'!$D$2=Act!B41,Act!G41,""),"")</f>
        <v/>
      </c>
      <c r="C40">
        <f t="shared" si="0"/>
        <v>0</v>
      </c>
      <c r="D40">
        <f>SUM($C$3:C40)</f>
        <v>4</v>
      </c>
      <c r="E40" t="e">
        <f t="shared" si="1"/>
        <v>#N/A</v>
      </c>
      <c r="F40" s="28" t="str">
        <f t="shared" ca="1" si="2"/>
        <v/>
      </c>
    </row>
    <row r="41" spans="2:6" x14ac:dyDescent="0.2">
      <c r="B41" t="str">
        <f>IFERROR(IF('PDCA review'!$D$2=Act!B42,Act!G42,""),"")</f>
        <v/>
      </c>
      <c r="C41">
        <f t="shared" si="0"/>
        <v>0</v>
      </c>
      <c r="D41">
        <f>SUM($C$3:C41)</f>
        <v>4</v>
      </c>
      <c r="E41" t="e">
        <f t="shared" si="1"/>
        <v>#N/A</v>
      </c>
      <c r="F41" s="28" t="str">
        <f t="shared" ca="1" si="2"/>
        <v/>
      </c>
    </row>
    <row r="42" spans="2:6" x14ac:dyDescent="0.2">
      <c r="B42" t="str">
        <f>IFERROR(IF('PDCA review'!$D$2=Act!B43,Act!G43,""),"")</f>
        <v/>
      </c>
      <c r="C42">
        <f t="shared" si="0"/>
        <v>0</v>
      </c>
      <c r="D42">
        <f>SUM($C$3:C42)</f>
        <v>4</v>
      </c>
      <c r="E42" t="e">
        <f t="shared" si="1"/>
        <v>#N/A</v>
      </c>
      <c r="F42" s="28" t="str">
        <f t="shared" ca="1" si="2"/>
        <v/>
      </c>
    </row>
    <row r="43" spans="2:6" x14ac:dyDescent="0.2">
      <c r="B43" t="str">
        <f>IFERROR(IF('PDCA review'!$D$2=Act!B44,Act!G44,""),"")</f>
        <v/>
      </c>
      <c r="C43">
        <f t="shared" si="0"/>
        <v>0</v>
      </c>
      <c r="D43">
        <f>SUM($C$3:C43)</f>
        <v>4</v>
      </c>
      <c r="E43" t="e">
        <f t="shared" si="1"/>
        <v>#N/A</v>
      </c>
      <c r="F43" s="28" t="str">
        <f t="shared" ca="1" si="2"/>
        <v/>
      </c>
    </row>
    <row r="44" spans="2:6" x14ac:dyDescent="0.2">
      <c r="B44" t="str">
        <f>IFERROR(IF('PDCA review'!$D$2=Act!B45,Act!G45,""),"")</f>
        <v/>
      </c>
      <c r="C44">
        <f t="shared" si="0"/>
        <v>0</v>
      </c>
      <c r="D44">
        <f>SUM($C$3:C44)</f>
        <v>4</v>
      </c>
      <c r="E44" t="e">
        <f t="shared" si="1"/>
        <v>#N/A</v>
      </c>
      <c r="F44" s="28" t="str">
        <f t="shared" ca="1" si="2"/>
        <v/>
      </c>
    </row>
    <row r="45" spans="2:6" x14ac:dyDescent="0.2">
      <c r="B45" t="str">
        <f>IFERROR(IF('PDCA review'!$D$2=Act!B46,Act!G46,""),"")</f>
        <v/>
      </c>
      <c r="C45">
        <f t="shared" si="0"/>
        <v>0</v>
      </c>
      <c r="D45">
        <f>SUM($C$3:C45)</f>
        <v>4</v>
      </c>
      <c r="E45" t="e">
        <f t="shared" si="1"/>
        <v>#N/A</v>
      </c>
      <c r="F45" s="28" t="str">
        <f t="shared" ca="1" si="2"/>
        <v/>
      </c>
    </row>
    <row r="46" spans="2:6" x14ac:dyDescent="0.2">
      <c r="B46" t="str">
        <f>IFERROR(IF('PDCA review'!$D$2=Act!B47,Act!G47,""),"")</f>
        <v/>
      </c>
      <c r="C46">
        <f t="shared" si="0"/>
        <v>0</v>
      </c>
      <c r="D46">
        <f>SUM($C$3:C46)</f>
        <v>4</v>
      </c>
      <c r="E46" t="e">
        <f t="shared" si="1"/>
        <v>#N/A</v>
      </c>
      <c r="F46" s="28" t="str">
        <f t="shared" ca="1" si="2"/>
        <v/>
      </c>
    </row>
    <row r="47" spans="2:6" x14ac:dyDescent="0.2">
      <c r="B47" t="str">
        <f>IFERROR(IF('PDCA review'!$D$2=Act!B48,Act!G48,""),"")</f>
        <v/>
      </c>
      <c r="C47">
        <f t="shared" si="0"/>
        <v>0</v>
      </c>
      <c r="D47">
        <f>SUM($C$3:C47)</f>
        <v>4</v>
      </c>
      <c r="E47" t="e">
        <f t="shared" si="1"/>
        <v>#N/A</v>
      </c>
      <c r="F47" s="28" t="str">
        <f t="shared" ca="1" si="2"/>
        <v/>
      </c>
    </row>
    <row r="48" spans="2:6" x14ac:dyDescent="0.2">
      <c r="B48" t="str">
        <f>IFERROR(IF('PDCA review'!$D$2=Act!B49,Act!G49,""),"")</f>
        <v/>
      </c>
      <c r="C48">
        <f t="shared" si="0"/>
        <v>0</v>
      </c>
      <c r="D48">
        <f>SUM($C$3:C48)</f>
        <v>4</v>
      </c>
      <c r="E48" t="e">
        <f t="shared" si="1"/>
        <v>#N/A</v>
      </c>
      <c r="F48" s="28" t="str">
        <f t="shared" ca="1" si="2"/>
        <v/>
      </c>
    </row>
    <row r="49" spans="2:6" x14ac:dyDescent="0.2">
      <c r="B49" t="str">
        <f>IFERROR(IF('PDCA review'!$D$2=Act!B50,Act!G50,""),"")</f>
        <v/>
      </c>
      <c r="C49">
        <f t="shared" si="0"/>
        <v>0</v>
      </c>
      <c r="D49">
        <f>SUM($C$3:C49)</f>
        <v>4</v>
      </c>
      <c r="E49" t="e">
        <f t="shared" si="1"/>
        <v>#N/A</v>
      </c>
      <c r="F49" s="28" t="str">
        <f t="shared" ca="1" si="2"/>
        <v/>
      </c>
    </row>
    <row r="50" spans="2:6" x14ac:dyDescent="0.2">
      <c r="B50" t="str">
        <f>IFERROR(IF('PDCA review'!$D$2=Act!B51,Act!G51,""),"")</f>
        <v/>
      </c>
      <c r="C50">
        <f t="shared" si="0"/>
        <v>0</v>
      </c>
      <c r="D50">
        <f>SUM($C$3:C50)</f>
        <v>4</v>
      </c>
      <c r="E50" t="e">
        <f t="shared" si="1"/>
        <v>#N/A</v>
      </c>
      <c r="F50" s="28" t="str">
        <f t="shared" ca="1" si="2"/>
        <v/>
      </c>
    </row>
    <row r="51" spans="2:6" x14ac:dyDescent="0.2">
      <c r="B51" t="str">
        <f>IFERROR(IF('PDCA review'!$D$2=Act!B52,Act!G52,""),"")</f>
        <v/>
      </c>
      <c r="C51">
        <f t="shared" si="0"/>
        <v>0</v>
      </c>
      <c r="D51">
        <f>SUM($C$3:C51)</f>
        <v>4</v>
      </c>
      <c r="E51" t="e">
        <f t="shared" si="1"/>
        <v>#N/A</v>
      </c>
      <c r="F51" s="28" t="str">
        <f t="shared" ca="1" si="2"/>
        <v/>
      </c>
    </row>
    <row r="52" spans="2:6" x14ac:dyDescent="0.2">
      <c r="B52" t="str">
        <f>IFERROR(IF('PDCA review'!$D$2=Act!B53,Act!G53,""),"")</f>
        <v/>
      </c>
      <c r="C52">
        <f t="shared" si="0"/>
        <v>0</v>
      </c>
      <c r="D52">
        <f>SUM($C$3:C52)</f>
        <v>4</v>
      </c>
      <c r="E52" t="e">
        <f t="shared" si="1"/>
        <v>#N/A</v>
      </c>
      <c r="F52" s="28" t="str">
        <f t="shared" ca="1" si="2"/>
        <v/>
      </c>
    </row>
    <row r="53" spans="2:6" x14ac:dyDescent="0.2">
      <c r="B53" t="str">
        <f>IFERROR(IF('PDCA review'!$D$2=Act!B54,Act!G54,""),"")</f>
        <v/>
      </c>
      <c r="C53">
        <f t="shared" si="0"/>
        <v>0</v>
      </c>
      <c r="D53">
        <f>SUM($C$3:C53)</f>
        <v>4</v>
      </c>
      <c r="E53" t="e">
        <f t="shared" si="1"/>
        <v>#N/A</v>
      </c>
      <c r="F53" s="28" t="str">
        <f t="shared" ca="1" si="2"/>
        <v/>
      </c>
    </row>
    <row r="54" spans="2:6" x14ac:dyDescent="0.2">
      <c r="B54" t="str">
        <f>IFERROR(IF('PDCA review'!$D$2=Act!B55,Act!G55,""),"")</f>
        <v/>
      </c>
      <c r="C54">
        <f t="shared" si="0"/>
        <v>0</v>
      </c>
      <c r="D54">
        <f>SUM($C$3:C54)</f>
        <v>4</v>
      </c>
      <c r="E54" t="e">
        <f t="shared" si="1"/>
        <v>#N/A</v>
      </c>
      <c r="F54" s="28" t="str">
        <f t="shared" ca="1" si="2"/>
        <v/>
      </c>
    </row>
    <row r="55" spans="2:6" x14ac:dyDescent="0.2">
      <c r="B55" t="str">
        <f>IFERROR(IF('PDCA review'!$D$2=Act!B56,Act!G56,""),"")</f>
        <v/>
      </c>
      <c r="C55">
        <f t="shared" si="0"/>
        <v>0</v>
      </c>
      <c r="D55">
        <f>SUM($C$3:C55)</f>
        <v>4</v>
      </c>
      <c r="E55" t="e">
        <f t="shared" si="1"/>
        <v>#N/A</v>
      </c>
      <c r="F55" s="28" t="str">
        <f t="shared" ca="1" si="2"/>
        <v/>
      </c>
    </row>
    <row r="56" spans="2:6" x14ac:dyDescent="0.2">
      <c r="B56" t="str">
        <f>IFERROR(IF('PDCA review'!$D$2=Act!B57,Act!G57,""),"")</f>
        <v/>
      </c>
      <c r="C56">
        <f t="shared" si="0"/>
        <v>0</v>
      </c>
      <c r="D56">
        <f>SUM($C$3:C56)</f>
        <v>4</v>
      </c>
      <c r="E56" t="e">
        <f t="shared" si="1"/>
        <v>#N/A</v>
      </c>
      <c r="F56" s="28" t="str">
        <f t="shared" ca="1" si="2"/>
        <v/>
      </c>
    </row>
    <row r="57" spans="2:6" x14ac:dyDescent="0.2">
      <c r="B57" t="str">
        <f>IFERROR(IF('PDCA review'!$D$2=Act!B58,Act!G58,""),"")</f>
        <v/>
      </c>
      <c r="C57">
        <f t="shared" si="0"/>
        <v>0</v>
      </c>
      <c r="D57">
        <f>SUM($C$3:C57)</f>
        <v>4</v>
      </c>
      <c r="E57" t="e">
        <f t="shared" si="1"/>
        <v>#N/A</v>
      </c>
      <c r="F57" s="28" t="str">
        <f t="shared" ca="1" si="2"/>
        <v/>
      </c>
    </row>
    <row r="58" spans="2:6" x14ac:dyDescent="0.2">
      <c r="B58" t="str">
        <f>IFERROR(IF('PDCA review'!$D$2=Act!B59,Act!G59,""),"")</f>
        <v/>
      </c>
      <c r="C58">
        <f t="shared" si="0"/>
        <v>0</v>
      </c>
      <c r="D58">
        <f>SUM($C$3:C58)</f>
        <v>4</v>
      </c>
      <c r="E58" t="e">
        <f t="shared" si="1"/>
        <v>#N/A</v>
      </c>
      <c r="F58" s="28" t="str">
        <f t="shared" ca="1" si="2"/>
        <v/>
      </c>
    </row>
    <row r="59" spans="2:6" x14ac:dyDescent="0.2">
      <c r="B59" t="str">
        <f>IFERROR(IF('PDCA review'!$D$2=Act!B60,Act!G60,""),"")</f>
        <v/>
      </c>
      <c r="C59">
        <f t="shared" si="0"/>
        <v>0</v>
      </c>
      <c r="D59">
        <f>SUM($C$3:C59)</f>
        <v>4</v>
      </c>
      <c r="E59" t="e">
        <f t="shared" si="1"/>
        <v>#N/A</v>
      </c>
      <c r="F59" s="28" t="str">
        <f t="shared" ca="1" si="2"/>
        <v/>
      </c>
    </row>
    <row r="60" spans="2:6" x14ac:dyDescent="0.2">
      <c r="B60" t="str">
        <f>IFERROR(IF('PDCA review'!$D$2=Act!B61,Act!G61,""),"")</f>
        <v/>
      </c>
      <c r="C60">
        <f t="shared" si="0"/>
        <v>0</v>
      </c>
      <c r="D60">
        <f>SUM($C$3:C60)</f>
        <v>4</v>
      </c>
      <c r="E60" t="e">
        <f t="shared" si="1"/>
        <v>#N/A</v>
      </c>
      <c r="F60" s="28" t="str">
        <f t="shared" ca="1" si="2"/>
        <v/>
      </c>
    </row>
    <row r="61" spans="2:6" x14ac:dyDescent="0.2">
      <c r="B61" t="str">
        <f>IFERROR(IF('PDCA review'!$D$2=Act!B62,Act!G62,""),"")</f>
        <v/>
      </c>
      <c r="C61">
        <f t="shared" si="0"/>
        <v>0</v>
      </c>
      <c r="D61">
        <f>SUM($C$3:C61)</f>
        <v>4</v>
      </c>
      <c r="E61" t="e">
        <f t="shared" si="1"/>
        <v>#N/A</v>
      </c>
      <c r="F61" s="28" t="str">
        <f t="shared" ca="1" si="2"/>
        <v/>
      </c>
    </row>
    <row r="62" spans="2:6" x14ac:dyDescent="0.2">
      <c r="B62" t="str">
        <f>IFERROR(IF('PDCA review'!$D$2=Act!B63,Act!G63,""),"")</f>
        <v/>
      </c>
      <c r="C62">
        <f t="shared" si="0"/>
        <v>0</v>
      </c>
      <c r="D62">
        <f>SUM($C$3:C62)</f>
        <v>4</v>
      </c>
      <c r="E62" t="e">
        <f t="shared" si="1"/>
        <v>#N/A</v>
      </c>
      <c r="F62" s="28" t="str">
        <f t="shared" ca="1" si="2"/>
        <v/>
      </c>
    </row>
    <row r="63" spans="2:6" x14ac:dyDescent="0.2">
      <c r="B63" t="str">
        <f>IFERROR(IF('PDCA review'!$D$2=Act!B64,Act!G64,""),"")</f>
        <v/>
      </c>
      <c r="C63">
        <f t="shared" si="0"/>
        <v>0</v>
      </c>
      <c r="D63">
        <f>SUM($C$3:C63)</f>
        <v>4</v>
      </c>
      <c r="E63" t="e">
        <f t="shared" si="1"/>
        <v>#N/A</v>
      </c>
      <c r="F63" s="28" t="str">
        <f t="shared" ca="1" si="2"/>
        <v/>
      </c>
    </row>
    <row r="64" spans="2:6" x14ac:dyDescent="0.2">
      <c r="B64" t="str">
        <f>IFERROR(IF('PDCA review'!$D$2=Act!B65,Act!G65,""),"")</f>
        <v/>
      </c>
      <c r="C64">
        <f t="shared" si="0"/>
        <v>0</v>
      </c>
      <c r="D64">
        <f>SUM($C$3:C64)</f>
        <v>4</v>
      </c>
      <c r="E64" t="e">
        <f t="shared" si="1"/>
        <v>#N/A</v>
      </c>
      <c r="F64" s="28" t="str">
        <f t="shared" ca="1" si="2"/>
        <v/>
      </c>
    </row>
    <row r="65" spans="2:6" x14ac:dyDescent="0.2">
      <c r="B65" t="str">
        <f>IFERROR(IF('PDCA review'!$D$2=Act!B66,Act!G66,""),"")</f>
        <v/>
      </c>
      <c r="C65">
        <f t="shared" si="0"/>
        <v>0</v>
      </c>
      <c r="D65">
        <f>SUM($C$3:C65)</f>
        <v>4</v>
      </c>
      <c r="E65" t="e">
        <f t="shared" si="1"/>
        <v>#N/A</v>
      </c>
      <c r="F65" s="28" t="str">
        <f t="shared" ca="1" si="2"/>
        <v/>
      </c>
    </row>
    <row r="66" spans="2:6" x14ac:dyDescent="0.2">
      <c r="B66" t="str">
        <f>IFERROR(IF('PDCA review'!$D$2=Act!B67,Act!G67,""),"")</f>
        <v/>
      </c>
      <c r="C66">
        <f t="shared" si="0"/>
        <v>0</v>
      </c>
      <c r="D66">
        <f>SUM($C$3:C66)</f>
        <v>4</v>
      </c>
      <c r="E66" t="e">
        <f t="shared" si="1"/>
        <v>#N/A</v>
      </c>
      <c r="F66" s="28" t="str">
        <f t="shared" ca="1" si="2"/>
        <v/>
      </c>
    </row>
    <row r="67" spans="2:6" x14ac:dyDescent="0.2">
      <c r="B67" t="str">
        <f>IFERROR(IF('PDCA review'!$D$2=Act!B68,Act!G68,""),"")</f>
        <v/>
      </c>
      <c r="C67">
        <f t="shared" si="0"/>
        <v>0</v>
      </c>
      <c r="D67">
        <f>SUM($C$3:C67)</f>
        <v>4</v>
      </c>
      <c r="E67" t="e">
        <f t="shared" si="1"/>
        <v>#N/A</v>
      </c>
      <c r="F67" s="28" t="str">
        <f t="shared" ca="1" si="2"/>
        <v/>
      </c>
    </row>
    <row r="68" spans="2:6" x14ac:dyDescent="0.2">
      <c r="B68" t="str">
        <f>IFERROR(IF('PDCA review'!$D$2=Act!B69,Act!G69,""),"")</f>
        <v/>
      </c>
      <c r="C68">
        <f t="shared" ref="C68:C131" si="3">IF(B68&lt;&gt;"",1,0)</f>
        <v>0</v>
      </c>
      <c r="D68">
        <f>SUM($C$3:C68)</f>
        <v>4</v>
      </c>
      <c r="E68" t="e">
        <f t="shared" ref="E68:E131" si="4">MATCH(ROW()-$D$2,$D$3:$D$2000,0)+$D$2</f>
        <v>#N/A</v>
      </c>
      <c r="F68" s="28" t="str">
        <f t="shared" ref="F68:F131" ca="1" si="5">IFERROR(INDIRECT("B"&amp;E68),"")</f>
        <v/>
      </c>
    </row>
    <row r="69" spans="2:6" x14ac:dyDescent="0.2">
      <c r="B69" t="str">
        <f>IFERROR(IF('PDCA review'!$D$2=Act!B70,Act!G70,""),"")</f>
        <v/>
      </c>
      <c r="C69">
        <f t="shared" si="3"/>
        <v>0</v>
      </c>
      <c r="D69">
        <f>SUM($C$3:C69)</f>
        <v>4</v>
      </c>
      <c r="E69" t="e">
        <f t="shared" si="4"/>
        <v>#N/A</v>
      </c>
      <c r="F69" s="28" t="str">
        <f t="shared" ca="1" si="5"/>
        <v/>
      </c>
    </row>
    <row r="70" spans="2:6" x14ac:dyDescent="0.2">
      <c r="B70" t="str">
        <f>IFERROR(IF('PDCA review'!$D$2=Act!B71,Act!G71,""),"")</f>
        <v/>
      </c>
      <c r="C70">
        <f t="shared" si="3"/>
        <v>0</v>
      </c>
      <c r="D70">
        <f>SUM($C$3:C70)</f>
        <v>4</v>
      </c>
      <c r="E70" t="e">
        <f t="shared" si="4"/>
        <v>#N/A</v>
      </c>
      <c r="F70" s="28" t="str">
        <f t="shared" ca="1" si="5"/>
        <v/>
      </c>
    </row>
    <row r="71" spans="2:6" x14ac:dyDescent="0.2">
      <c r="B71" t="str">
        <f>IFERROR(IF('PDCA review'!$D$2=Act!B72,Act!G72,""),"")</f>
        <v/>
      </c>
      <c r="C71">
        <f t="shared" si="3"/>
        <v>0</v>
      </c>
      <c r="D71">
        <f>SUM($C$3:C71)</f>
        <v>4</v>
      </c>
      <c r="E71" t="e">
        <f t="shared" si="4"/>
        <v>#N/A</v>
      </c>
      <c r="F71" s="28" t="str">
        <f t="shared" ca="1" si="5"/>
        <v/>
      </c>
    </row>
    <row r="72" spans="2:6" x14ac:dyDescent="0.2">
      <c r="B72" t="str">
        <f>IFERROR(IF('PDCA review'!$D$2=Act!B73,Act!G73,""),"")</f>
        <v/>
      </c>
      <c r="C72">
        <f t="shared" si="3"/>
        <v>0</v>
      </c>
      <c r="D72">
        <f>SUM($C$3:C72)</f>
        <v>4</v>
      </c>
      <c r="E72" t="e">
        <f t="shared" si="4"/>
        <v>#N/A</v>
      </c>
      <c r="F72" s="28" t="str">
        <f t="shared" ca="1" si="5"/>
        <v/>
      </c>
    </row>
    <row r="73" spans="2:6" x14ac:dyDescent="0.2">
      <c r="B73" t="str">
        <f>IFERROR(IF('PDCA review'!$D$2=Act!B74,Act!G74,""),"")</f>
        <v/>
      </c>
      <c r="C73">
        <f t="shared" si="3"/>
        <v>0</v>
      </c>
      <c r="D73">
        <f>SUM($C$3:C73)</f>
        <v>4</v>
      </c>
      <c r="E73" t="e">
        <f t="shared" si="4"/>
        <v>#N/A</v>
      </c>
      <c r="F73" s="28" t="str">
        <f t="shared" ca="1" si="5"/>
        <v/>
      </c>
    </row>
    <row r="74" spans="2:6" x14ac:dyDescent="0.2">
      <c r="B74" t="str">
        <f>IFERROR(IF('PDCA review'!$D$2=Act!B75,Act!G75,""),"")</f>
        <v/>
      </c>
      <c r="C74">
        <f t="shared" si="3"/>
        <v>0</v>
      </c>
      <c r="D74">
        <f>SUM($C$3:C74)</f>
        <v>4</v>
      </c>
      <c r="E74" t="e">
        <f t="shared" si="4"/>
        <v>#N/A</v>
      </c>
      <c r="F74" s="28" t="str">
        <f t="shared" ca="1" si="5"/>
        <v/>
      </c>
    </row>
    <row r="75" spans="2:6" x14ac:dyDescent="0.2">
      <c r="B75" t="str">
        <f>IFERROR(IF('PDCA review'!$D$2=Act!B76,Act!G76,""),"")</f>
        <v/>
      </c>
      <c r="C75">
        <f t="shared" si="3"/>
        <v>0</v>
      </c>
      <c r="D75">
        <f>SUM($C$3:C75)</f>
        <v>4</v>
      </c>
      <c r="E75" t="e">
        <f t="shared" si="4"/>
        <v>#N/A</v>
      </c>
      <c r="F75" s="28" t="str">
        <f t="shared" ca="1" si="5"/>
        <v/>
      </c>
    </row>
    <row r="76" spans="2:6" x14ac:dyDescent="0.2">
      <c r="B76" t="str">
        <f>IFERROR(IF('PDCA review'!$D$2=Act!B77,Act!G77,""),"")</f>
        <v/>
      </c>
      <c r="C76">
        <f t="shared" si="3"/>
        <v>0</v>
      </c>
      <c r="D76">
        <f>SUM($C$3:C76)</f>
        <v>4</v>
      </c>
      <c r="E76" t="e">
        <f t="shared" si="4"/>
        <v>#N/A</v>
      </c>
      <c r="F76" s="28" t="str">
        <f t="shared" ca="1" si="5"/>
        <v/>
      </c>
    </row>
    <row r="77" spans="2:6" x14ac:dyDescent="0.2">
      <c r="B77" t="str">
        <f>IFERROR(IF('PDCA review'!$D$2=Act!B78,Act!G78,""),"")</f>
        <v/>
      </c>
      <c r="C77">
        <f t="shared" si="3"/>
        <v>0</v>
      </c>
      <c r="D77">
        <f>SUM($C$3:C77)</f>
        <v>4</v>
      </c>
      <c r="E77" t="e">
        <f t="shared" si="4"/>
        <v>#N/A</v>
      </c>
      <c r="F77" s="28" t="str">
        <f t="shared" ca="1" si="5"/>
        <v/>
      </c>
    </row>
    <row r="78" spans="2:6" x14ac:dyDescent="0.2">
      <c r="B78" t="str">
        <f>IFERROR(IF('PDCA review'!$D$2=Act!B79,Act!G79,""),"")</f>
        <v/>
      </c>
      <c r="C78">
        <f t="shared" si="3"/>
        <v>0</v>
      </c>
      <c r="D78">
        <f>SUM($C$3:C78)</f>
        <v>4</v>
      </c>
      <c r="E78" t="e">
        <f t="shared" si="4"/>
        <v>#N/A</v>
      </c>
      <c r="F78" s="28" t="str">
        <f t="shared" ca="1" si="5"/>
        <v/>
      </c>
    </row>
    <row r="79" spans="2:6" x14ac:dyDescent="0.2">
      <c r="B79" t="str">
        <f>IFERROR(IF('PDCA review'!$D$2=Act!B80,Act!G80,""),"")</f>
        <v/>
      </c>
      <c r="C79">
        <f t="shared" si="3"/>
        <v>0</v>
      </c>
      <c r="D79">
        <f>SUM($C$3:C79)</f>
        <v>4</v>
      </c>
      <c r="E79" t="e">
        <f t="shared" si="4"/>
        <v>#N/A</v>
      </c>
      <c r="F79" s="28" t="str">
        <f t="shared" ca="1" si="5"/>
        <v/>
      </c>
    </row>
    <row r="80" spans="2:6" x14ac:dyDescent="0.2">
      <c r="B80" t="str">
        <f>IFERROR(IF('PDCA review'!$D$2=Act!B81,Act!G81,""),"")</f>
        <v/>
      </c>
      <c r="C80">
        <f t="shared" si="3"/>
        <v>0</v>
      </c>
      <c r="D80">
        <f>SUM($C$3:C80)</f>
        <v>4</v>
      </c>
      <c r="E80" t="e">
        <f t="shared" si="4"/>
        <v>#N/A</v>
      </c>
      <c r="F80" s="28" t="str">
        <f t="shared" ca="1" si="5"/>
        <v/>
      </c>
    </row>
    <row r="81" spans="2:6" x14ac:dyDescent="0.2">
      <c r="B81" t="str">
        <f>IFERROR(IF('PDCA review'!$D$2=Act!B82,Act!G82,""),"")</f>
        <v/>
      </c>
      <c r="C81">
        <f t="shared" si="3"/>
        <v>0</v>
      </c>
      <c r="D81">
        <f>SUM($C$3:C81)</f>
        <v>4</v>
      </c>
      <c r="E81" t="e">
        <f t="shared" si="4"/>
        <v>#N/A</v>
      </c>
      <c r="F81" s="28" t="str">
        <f t="shared" ca="1" si="5"/>
        <v/>
      </c>
    </row>
    <row r="82" spans="2:6" x14ac:dyDescent="0.2">
      <c r="B82" t="str">
        <f>IFERROR(IF('PDCA review'!$D$2=Act!B83,Act!G83,""),"")</f>
        <v/>
      </c>
      <c r="C82">
        <f t="shared" si="3"/>
        <v>0</v>
      </c>
      <c r="D82">
        <f>SUM($C$3:C82)</f>
        <v>4</v>
      </c>
      <c r="E82" t="e">
        <f t="shared" si="4"/>
        <v>#N/A</v>
      </c>
      <c r="F82" s="28" t="str">
        <f t="shared" ca="1" si="5"/>
        <v/>
      </c>
    </row>
    <row r="83" spans="2:6" x14ac:dyDescent="0.2">
      <c r="B83" t="str">
        <f>IFERROR(IF('PDCA review'!$D$2=Act!B84,Act!G84,""),"")</f>
        <v/>
      </c>
      <c r="C83">
        <f t="shared" si="3"/>
        <v>0</v>
      </c>
      <c r="D83">
        <f>SUM($C$3:C83)</f>
        <v>4</v>
      </c>
      <c r="E83" t="e">
        <f t="shared" si="4"/>
        <v>#N/A</v>
      </c>
      <c r="F83" s="28" t="str">
        <f t="shared" ca="1" si="5"/>
        <v/>
      </c>
    </row>
    <row r="84" spans="2:6" x14ac:dyDescent="0.2">
      <c r="B84" t="str">
        <f>IFERROR(IF('PDCA review'!$D$2=Act!B85,Act!G85,""),"")</f>
        <v/>
      </c>
      <c r="C84">
        <f t="shared" si="3"/>
        <v>0</v>
      </c>
      <c r="D84">
        <f>SUM($C$3:C84)</f>
        <v>4</v>
      </c>
      <c r="E84" t="e">
        <f t="shared" si="4"/>
        <v>#N/A</v>
      </c>
      <c r="F84" s="28" t="str">
        <f t="shared" ca="1" si="5"/>
        <v/>
      </c>
    </row>
    <row r="85" spans="2:6" x14ac:dyDescent="0.2">
      <c r="B85" t="str">
        <f>IFERROR(IF('PDCA review'!$D$2=Act!B86,Act!G86,""),"")</f>
        <v/>
      </c>
      <c r="C85">
        <f t="shared" si="3"/>
        <v>0</v>
      </c>
      <c r="D85">
        <f>SUM($C$3:C85)</f>
        <v>4</v>
      </c>
      <c r="E85" t="e">
        <f t="shared" si="4"/>
        <v>#N/A</v>
      </c>
      <c r="F85" s="28" t="str">
        <f t="shared" ca="1" si="5"/>
        <v/>
      </c>
    </row>
    <row r="86" spans="2:6" x14ac:dyDescent="0.2">
      <c r="B86" t="str">
        <f>IFERROR(IF('PDCA review'!$D$2=Act!B87,Act!G87,""),"")</f>
        <v/>
      </c>
      <c r="C86">
        <f t="shared" si="3"/>
        <v>0</v>
      </c>
      <c r="D86">
        <f>SUM($C$3:C86)</f>
        <v>4</v>
      </c>
      <c r="E86" t="e">
        <f t="shared" si="4"/>
        <v>#N/A</v>
      </c>
      <c r="F86" s="28" t="str">
        <f t="shared" ca="1" si="5"/>
        <v/>
      </c>
    </row>
    <row r="87" spans="2:6" x14ac:dyDescent="0.2">
      <c r="B87" t="str">
        <f>IFERROR(IF('PDCA review'!$D$2=Act!B88,Act!G88,""),"")</f>
        <v/>
      </c>
      <c r="C87">
        <f t="shared" si="3"/>
        <v>0</v>
      </c>
      <c r="D87">
        <f>SUM($C$3:C87)</f>
        <v>4</v>
      </c>
      <c r="E87" t="e">
        <f t="shared" si="4"/>
        <v>#N/A</v>
      </c>
      <c r="F87" s="28" t="str">
        <f t="shared" ca="1" si="5"/>
        <v/>
      </c>
    </row>
    <row r="88" spans="2:6" x14ac:dyDescent="0.2">
      <c r="B88" t="str">
        <f>IFERROR(IF('PDCA review'!$D$2=Act!B89,Act!G89,""),"")</f>
        <v/>
      </c>
      <c r="C88">
        <f t="shared" si="3"/>
        <v>0</v>
      </c>
      <c r="D88">
        <f>SUM($C$3:C88)</f>
        <v>4</v>
      </c>
      <c r="E88" t="e">
        <f t="shared" si="4"/>
        <v>#N/A</v>
      </c>
      <c r="F88" s="28" t="str">
        <f t="shared" ca="1" si="5"/>
        <v/>
      </c>
    </row>
    <row r="89" spans="2:6" x14ac:dyDescent="0.2">
      <c r="B89" t="str">
        <f>IFERROR(IF('PDCA review'!$D$2=Act!B90,Act!G90,""),"")</f>
        <v/>
      </c>
      <c r="C89">
        <f t="shared" si="3"/>
        <v>0</v>
      </c>
      <c r="D89">
        <f>SUM($C$3:C89)</f>
        <v>4</v>
      </c>
      <c r="E89" t="e">
        <f t="shared" si="4"/>
        <v>#N/A</v>
      </c>
      <c r="F89" s="28" t="str">
        <f t="shared" ca="1" si="5"/>
        <v/>
      </c>
    </row>
    <row r="90" spans="2:6" x14ac:dyDescent="0.2">
      <c r="B90" t="str">
        <f>IFERROR(IF('PDCA review'!$D$2=Act!B91,Act!G91,""),"")</f>
        <v/>
      </c>
      <c r="C90">
        <f t="shared" si="3"/>
        <v>0</v>
      </c>
      <c r="D90">
        <f>SUM($C$3:C90)</f>
        <v>4</v>
      </c>
      <c r="E90" t="e">
        <f t="shared" si="4"/>
        <v>#N/A</v>
      </c>
      <c r="F90" s="28" t="str">
        <f t="shared" ca="1" si="5"/>
        <v/>
      </c>
    </row>
    <row r="91" spans="2:6" x14ac:dyDescent="0.2">
      <c r="B91" t="str">
        <f>IFERROR(IF('PDCA review'!$D$2=Act!B92,Act!G92,""),"")</f>
        <v/>
      </c>
      <c r="C91">
        <f t="shared" si="3"/>
        <v>0</v>
      </c>
      <c r="D91">
        <f>SUM($C$3:C91)</f>
        <v>4</v>
      </c>
      <c r="E91" t="e">
        <f t="shared" si="4"/>
        <v>#N/A</v>
      </c>
      <c r="F91" s="28" t="str">
        <f t="shared" ca="1" si="5"/>
        <v/>
      </c>
    </row>
    <row r="92" spans="2:6" x14ac:dyDescent="0.2">
      <c r="B92" t="str">
        <f>IFERROR(IF('PDCA review'!$D$2=Act!B93,Act!G93,""),"")</f>
        <v/>
      </c>
      <c r="C92">
        <f t="shared" si="3"/>
        <v>0</v>
      </c>
      <c r="D92">
        <f>SUM($C$3:C92)</f>
        <v>4</v>
      </c>
      <c r="E92" t="e">
        <f t="shared" si="4"/>
        <v>#N/A</v>
      </c>
      <c r="F92" s="28" t="str">
        <f t="shared" ca="1" si="5"/>
        <v/>
      </c>
    </row>
    <row r="93" spans="2:6" x14ac:dyDescent="0.2">
      <c r="B93" t="str">
        <f>IFERROR(IF('PDCA review'!$D$2=Act!B94,Act!G94,""),"")</f>
        <v/>
      </c>
      <c r="C93">
        <f t="shared" si="3"/>
        <v>0</v>
      </c>
      <c r="D93">
        <f>SUM($C$3:C93)</f>
        <v>4</v>
      </c>
      <c r="E93" t="e">
        <f t="shared" si="4"/>
        <v>#N/A</v>
      </c>
      <c r="F93" s="28" t="str">
        <f t="shared" ca="1" si="5"/>
        <v/>
      </c>
    </row>
    <row r="94" spans="2:6" x14ac:dyDescent="0.2">
      <c r="B94" t="str">
        <f>IFERROR(IF('PDCA review'!$D$2=Act!B95,Act!G95,""),"")</f>
        <v/>
      </c>
      <c r="C94">
        <f t="shared" si="3"/>
        <v>0</v>
      </c>
      <c r="D94">
        <f>SUM($C$3:C94)</f>
        <v>4</v>
      </c>
      <c r="E94" t="e">
        <f t="shared" si="4"/>
        <v>#N/A</v>
      </c>
      <c r="F94" s="28" t="str">
        <f t="shared" ca="1" si="5"/>
        <v/>
      </c>
    </row>
    <row r="95" spans="2:6" x14ac:dyDescent="0.2">
      <c r="B95" t="str">
        <f>IFERROR(IF('PDCA review'!$D$2=Act!B96,Act!G96,""),"")</f>
        <v/>
      </c>
      <c r="C95">
        <f t="shared" si="3"/>
        <v>0</v>
      </c>
      <c r="D95">
        <f>SUM($C$3:C95)</f>
        <v>4</v>
      </c>
      <c r="E95" t="e">
        <f t="shared" si="4"/>
        <v>#N/A</v>
      </c>
      <c r="F95" s="28" t="str">
        <f t="shared" ca="1" si="5"/>
        <v/>
      </c>
    </row>
    <row r="96" spans="2:6" x14ac:dyDescent="0.2">
      <c r="B96" t="str">
        <f>IFERROR(IF('PDCA review'!$D$2=Act!B97,Act!G97,""),"")</f>
        <v/>
      </c>
      <c r="C96">
        <f t="shared" si="3"/>
        <v>0</v>
      </c>
      <c r="D96">
        <f>SUM($C$3:C96)</f>
        <v>4</v>
      </c>
      <c r="E96" t="e">
        <f t="shared" si="4"/>
        <v>#N/A</v>
      </c>
      <c r="F96" s="28" t="str">
        <f t="shared" ca="1" si="5"/>
        <v/>
      </c>
    </row>
    <row r="97" spans="2:6" x14ac:dyDescent="0.2">
      <c r="B97" t="str">
        <f>IFERROR(IF('PDCA review'!$D$2=Act!B98,Act!G98,""),"")</f>
        <v/>
      </c>
      <c r="C97">
        <f t="shared" si="3"/>
        <v>0</v>
      </c>
      <c r="D97">
        <f>SUM($C$3:C97)</f>
        <v>4</v>
      </c>
      <c r="E97" t="e">
        <f t="shared" si="4"/>
        <v>#N/A</v>
      </c>
      <c r="F97" s="28" t="str">
        <f t="shared" ca="1" si="5"/>
        <v/>
      </c>
    </row>
    <row r="98" spans="2:6" x14ac:dyDescent="0.2">
      <c r="B98" t="str">
        <f>IFERROR(IF('PDCA review'!$D$2=Act!B99,Act!G99,""),"")</f>
        <v/>
      </c>
      <c r="C98">
        <f t="shared" si="3"/>
        <v>0</v>
      </c>
      <c r="D98">
        <f>SUM($C$3:C98)</f>
        <v>4</v>
      </c>
      <c r="E98" t="e">
        <f t="shared" si="4"/>
        <v>#N/A</v>
      </c>
      <c r="F98" s="28" t="str">
        <f t="shared" ca="1" si="5"/>
        <v/>
      </c>
    </row>
    <row r="99" spans="2:6" x14ac:dyDescent="0.2">
      <c r="B99" t="str">
        <f>IFERROR(IF('PDCA review'!$D$2=Act!B100,Act!G100,""),"")</f>
        <v/>
      </c>
      <c r="C99">
        <f t="shared" si="3"/>
        <v>0</v>
      </c>
      <c r="D99">
        <f>SUM($C$3:C99)</f>
        <v>4</v>
      </c>
      <c r="E99" t="e">
        <f t="shared" si="4"/>
        <v>#N/A</v>
      </c>
      <c r="F99" s="28" t="str">
        <f t="shared" ca="1" si="5"/>
        <v/>
      </c>
    </row>
    <row r="100" spans="2:6" x14ac:dyDescent="0.2">
      <c r="B100" t="str">
        <f>IFERROR(IF('PDCA review'!$D$2=Act!B101,Act!G101,""),"")</f>
        <v/>
      </c>
      <c r="C100">
        <f t="shared" si="3"/>
        <v>0</v>
      </c>
      <c r="D100">
        <f>SUM($C$3:C100)</f>
        <v>4</v>
      </c>
      <c r="E100" t="e">
        <f t="shared" si="4"/>
        <v>#N/A</v>
      </c>
      <c r="F100" s="28" t="str">
        <f t="shared" ca="1" si="5"/>
        <v/>
      </c>
    </row>
    <row r="101" spans="2:6" x14ac:dyDescent="0.2">
      <c r="B101" t="str">
        <f>IFERROR(IF('PDCA review'!$D$2=Act!B102,Act!G102,""),"")</f>
        <v/>
      </c>
      <c r="C101">
        <f t="shared" si="3"/>
        <v>0</v>
      </c>
      <c r="D101">
        <f>SUM($C$3:C101)</f>
        <v>4</v>
      </c>
      <c r="E101" t="e">
        <f t="shared" si="4"/>
        <v>#N/A</v>
      </c>
      <c r="F101" s="28" t="str">
        <f t="shared" ca="1" si="5"/>
        <v/>
      </c>
    </row>
    <row r="102" spans="2:6" x14ac:dyDescent="0.2">
      <c r="B102" t="str">
        <f>IFERROR(IF('PDCA review'!$D$2=Act!B103,Act!G103,""),"")</f>
        <v/>
      </c>
      <c r="C102">
        <f t="shared" si="3"/>
        <v>0</v>
      </c>
      <c r="D102">
        <f>SUM($C$3:C102)</f>
        <v>4</v>
      </c>
      <c r="E102" t="e">
        <f t="shared" si="4"/>
        <v>#N/A</v>
      </c>
      <c r="F102" s="28" t="str">
        <f t="shared" ca="1" si="5"/>
        <v/>
      </c>
    </row>
    <row r="103" spans="2:6" x14ac:dyDescent="0.2">
      <c r="B103" t="str">
        <f>IFERROR(IF('PDCA review'!$D$2=Act!B104,Act!G104,""),"")</f>
        <v/>
      </c>
      <c r="C103">
        <f t="shared" si="3"/>
        <v>0</v>
      </c>
      <c r="D103">
        <f>SUM($C$3:C103)</f>
        <v>4</v>
      </c>
      <c r="E103" t="e">
        <f t="shared" si="4"/>
        <v>#N/A</v>
      </c>
      <c r="F103" s="28" t="str">
        <f t="shared" ca="1" si="5"/>
        <v/>
      </c>
    </row>
    <row r="104" spans="2:6" x14ac:dyDescent="0.2">
      <c r="B104" t="str">
        <f>IFERROR(IF('PDCA review'!$D$2=Act!B105,Act!G105,""),"")</f>
        <v/>
      </c>
      <c r="C104">
        <f t="shared" si="3"/>
        <v>0</v>
      </c>
      <c r="D104">
        <f>SUM($C$3:C104)</f>
        <v>4</v>
      </c>
      <c r="E104" t="e">
        <f t="shared" si="4"/>
        <v>#N/A</v>
      </c>
      <c r="F104" s="28" t="str">
        <f t="shared" ca="1" si="5"/>
        <v/>
      </c>
    </row>
    <row r="105" spans="2:6" x14ac:dyDescent="0.2">
      <c r="B105" t="str">
        <f>IFERROR(IF('PDCA review'!$D$2=Act!B106,Act!G106,""),"")</f>
        <v/>
      </c>
      <c r="C105">
        <f t="shared" si="3"/>
        <v>0</v>
      </c>
      <c r="D105">
        <f>SUM($C$3:C105)</f>
        <v>4</v>
      </c>
      <c r="E105" t="e">
        <f t="shared" si="4"/>
        <v>#N/A</v>
      </c>
      <c r="F105" s="28" t="str">
        <f t="shared" ca="1" si="5"/>
        <v/>
      </c>
    </row>
    <row r="106" spans="2:6" x14ac:dyDescent="0.2">
      <c r="B106" t="str">
        <f>IFERROR(IF('PDCA review'!$D$2=Act!B107,Act!G107,""),"")</f>
        <v/>
      </c>
      <c r="C106">
        <f t="shared" si="3"/>
        <v>0</v>
      </c>
      <c r="D106">
        <f>SUM($C$3:C106)</f>
        <v>4</v>
      </c>
      <c r="E106" t="e">
        <f t="shared" si="4"/>
        <v>#N/A</v>
      </c>
      <c r="F106" s="28" t="str">
        <f t="shared" ca="1" si="5"/>
        <v/>
      </c>
    </row>
    <row r="107" spans="2:6" x14ac:dyDescent="0.2">
      <c r="B107" t="str">
        <f>IFERROR(IF('PDCA review'!$D$2=Act!B108,Act!G108,""),"")</f>
        <v/>
      </c>
      <c r="C107">
        <f t="shared" si="3"/>
        <v>0</v>
      </c>
      <c r="D107">
        <f>SUM($C$3:C107)</f>
        <v>4</v>
      </c>
      <c r="E107" t="e">
        <f t="shared" si="4"/>
        <v>#N/A</v>
      </c>
      <c r="F107" s="28" t="str">
        <f t="shared" ca="1" si="5"/>
        <v/>
      </c>
    </row>
    <row r="108" spans="2:6" x14ac:dyDescent="0.2">
      <c r="B108" t="str">
        <f>IFERROR(IF('PDCA review'!$D$2=Act!B109,Act!G109,""),"")</f>
        <v/>
      </c>
      <c r="C108">
        <f t="shared" si="3"/>
        <v>0</v>
      </c>
      <c r="D108">
        <f>SUM($C$3:C108)</f>
        <v>4</v>
      </c>
      <c r="E108" t="e">
        <f t="shared" si="4"/>
        <v>#N/A</v>
      </c>
      <c r="F108" s="28" t="str">
        <f t="shared" ca="1" si="5"/>
        <v/>
      </c>
    </row>
    <row r="109" spans="2:6" x14ac:dyDescent="0.2">
      <c r="B109" t="str">
        <f>IFERROR(IF('PDCA review'!$D$2=Act!B110,Act!G110,""),"")</f>
        <v/>
      </c>
      <c r="C109">
        <f t="shared" si="3"/>
        <v>0</v>
      </c>
      <c r="D109">
        <f>SUM($C$3:C109)</f>
        <v>4</v>
      </c>
      <c r="E109" t="e">
        <f t="shared" si="4"/>
        <v>#N/A</v>
      </c>
      <c r="F109" s="28" t="str">
        <f t="shared" ca="1" si="5"/>
        <v/>
      </c>
    </row>
    <row r="110" spans="2:6" x14ac:dyDescent="0.2">
      <c r="B110" t="str">
        <f>IFERROR(IF('PDCA review'!$D$2=Act!B111,Act!G111,""),"")</f>
        <v/>
      </c>
      <c r="C110">
        <f t="shared" si="3"/>
        <v>0</v>
      </c>
      <c r="D110">
        <f>SUM($C$3:C110)</f>
        <v>4</v>
      </c>
      <c r="E110" t="e">
        <f t="shared" si="4"/>
        <v>#N/A</v>
      </c>
      <c r="F110" s="28" t="str">
        <f t="shared" ca="1" si="5"/>
        <v/>
      </c>
    </row>
    <row r="111" spans="2:6" x14ac:dyDescent="0.2">
      <c r="B111" t="str">
        <f>IFERROR(IF('PDCA review'!$D$2=Act!B112,Act!G112,""),"")</f>
        <v/>
      </c>
      <c r="C111">
        <f t="shared" si="3"/>
        <v>0</v>
      </c>
      <c r="D111">
        <f>SUM($C$3:C111)</f>
        <v>4</v>
      </c>
      <c r="E111" t="e">
        <f t="shared" si="4"/>
        <v>#N/A</v>
      </c>
      <c r="F111" s="28" t="str">
        <f t="shared" ca="1" si="5"/>
        <v/>
      </c>
    </row>
    <row r="112" spans="2:6" x14ac:dyDescent="0.2">
      <c r="B112" t="str">
        <f>IFERROR(IF('PDCA review'!$D$2=Act!B113,Act!G113,""),"")</f>
        <v/>
      </c>
      <c r="C112">
        <f t="shared" si="3"/>
        <v>0</v>
      </c>
      <c r="D112">
        <f>SUM($C$3:C112)</f>
        <v>4</v>
      </c>
      <c r="E112" t="e">
        <f t="shared" si="4"/>
        <v>#N/A</v>
      </c>
      <c r="F112" s="28" t="str">
        <f t="shared" ca="1" si="5"/>
        <v/>
      </c>
    </row>
    <row r="113" spans="2:6" x14ac:dyDescent="0.2">
      <c r="B113" t="str">
        <f>IFERROR(IF('PDCA review'!$D$2=Act!B114,Act!G114,""),"")</f>
        <v/>
      </c>
      <c r="C113">
        <f t="shared" si="3"/>
        <v>0</v>
      </c>
      <c r="D113">
        <f>SUM($C$3:C113)</f>
        <v>4</v>
      </c>
      <c r="E113" t="e">
        <f t="shared" si="4"/>
        <v>#N/A</v>
      </c>
      <c r="F113" s="28" t="str">
        <f t="shared" ca="1" si="5"/>
        <v/>
      </c>
    </row>
    <row r="114" spans="2:6" x14ac:dyDescent="0.2">
      <c r="B114" t="str">
        <f>IFERROR(IF('PDCA review'!$D$2=Act!B115,Act!G115,""),"")</f>
        <v/>
      </c>
      <c r="C114">
        <f t="shared" si="3"/>
        <v>0</v>
      </c>
      <c r="D114">
        <f>SUM($C$3:C114)</f>
        <v>4</v>
      </c>
      <c r="E114" t="e">
        <f t="shared" si="4"/>
        <v>#N/A</v>
      </c>
      <c r="F114" s="28" t="str">
        <f t="shared" ca="1" si="5"/>
        <v/>
      </c>
    </row>
    <row r="115" spans="2:6" x14ac:dyDescent="0.2">
      <c r="B115" t="str">
        <f>IFERROR(IF('PDCA review'!$D$2=Act!B116,Act!G116,""),"")</f>
        <v/>
      </c>
      <c r="C115">
        <f t="shared" si="3"/>
        <v>0</v>
      </c>
      <c r="D115">
        <f>SUM($C$3:C115)</f>
        <v>4</v>
      </c>
      <c r="E115" t="e">
        <f t="shared" si="4"/>
        <v>#N/A</v>
      </c>
      <c r="F115" s="28" t="str">
        <f t="shared" ca="1" si="5"/>
        <v/>
      </c>
    </row>
    <row r="116" spans="2:6" x14ac:dyDescent="0.2">
      <c r="B116" t="str">
        <f>IFERROR(IF('PDCA review'!$D$2=Act!B117,Act!G117,""),"")</f>
        <v/>
      </c>
      <c r="C116">
        <f t="shared" si="3"/>
        <v>0</v>
      </c>
      <c r="D116">
        <f>SUM($C$3:C116)</f>
        <v>4</v>
      </c>
      <c r="E116" t="e">
        <f t="shared" si="4"/>
        <v>#N/A</v>
      </c>
      <c r="F116" s="28" t="str">
        <f t="shared" ca="1" si="5"/>
        <v/>
      </c>
    </row>
    <row r="117" spans="2:6" x14ac:dyDescent="0.2">
      <c r="B117" t="str">
        <f>IFERROR(IF('PDCA review'!$D$2=Act!B118,Act!G118,""),"")</f>
        <v/>
      </c>
      <c r="C117">
        <f t="shared" si="3"/>
        <v>0</v>
      </c>
      <c r="D117">
        <f>SUM($C$3:C117)</f>
        <v>4</v>
      </c>
      <c r="E117" t="e">
        <f t="shared" si="4"/>
        <v>#N/A</v>
      </c>
      <c r="F117" s="28" t="str">
        <f t="shared" ca="1" si="5"/>
        <v/>
      </c>
    </row>
    <row r="118" spans="2:6" x14ac:dyDescent="0.2">
      <c r="B118" t="str">
        <f>IFERROR(IF('PDCA review'!$D$2=Act!B119,Act!G119,""),"")</f>
        <v/>
      </c>
      <c r="C118">
        <f t="shared" si="3"/>
        <v>0</v>
      </c>
      <c r="D118">
        <f>SUM($C$3:C118)</f>
        <v>4</v>
      </c>
      <c r="E118" t="e">
        <f t="shared" si="4"/>
        <v>#N/A</v>
      </c>
      <c r="F118" s="28" t="str">
        <f t="shared" ca="1" si="5"/>
        <v/>
      </c>
    </row>
    <row r="119" spans="2:6" x14ac:dyDescent="0.2">
      <c r="B119" t="str">
        <f>IFERROR(IF('PDCA review'!$D$2=Act!B120,Act!G120,""),"")</f>
        <v/>
      </c>
      <c r="C119">
        <f t="shared" si="3"/>
        <v>0</v>
      </c>
      <c r="D119">
        <f>SUM($C$3:C119)</f>
        <v>4</v>
      </c>
      <c r="E119" t="e">
        <f t="shared" si="4"/>
        <v>#N/A</v>
      </c>
      <c r="F119" s="28" t="str">
        <f t="shared" ca="1" si="5"/>
        <v/>
      </c>
    </row>
    <row r="120" spans="2:6" x14ac:dyDescent="0.2">
      <c r="B120" t="str">
        <f>IFERROR(IF('PDCA review'!$D$2=Act!B121,Act!G121,""),"")</f>
        <v/>
      </c>
      <c r="C120">
        <f t="shared" si="3"/>
        <v>0</v>
      </c>
      <c r="D120">
        <f>SUM($C$3:C120)</f>
        <v>4</v>
      </c>
      <c r="E120" t="e">
        <f t="shared" si="4"/>
        <v>#N/A</v>
      </c>
      <c r="F120" s="28" t="str">
        <f t="shared" ca="1" si="5"/>
        <v/>
      </c>
    </row>
    <row r="121" spans="2:6" x14ac:dyDescent="0.2">
      <c r="B121" t="str">
        <f>IFERROR(IF('PDCA review'!$D$2=Act!B122,Act!G122,""),"")</f>
        <v/>
      </c>
      <c r="C121">
        <f t="shared" si="3"/>
        <v>0</v>
      </c>
      <c r="D121">
        <f>SUM($C$3:C121)</f>
        <v>4</v>
      </c>
      <c r="E121" t="e">
        <f t="shared" si="4"/>
        <v>#N/A</v>
      </c>
      <c r="F121" s="28" t="str">
        <f t="shared" ca="1" si="5"/>
        <v/>
      </c>
    </row>
    <row r="122" spans="2:6" x14ac:dyDescent="0.2">
      <c r="B122" t="str">
        <f>IFERROR(IF('PDCA review'!$D$2=Act!B123,Act!G123,""),"")</f>
        <v/>
      </c>
      <c r="C122">
        <f t="shared" si="3"/>
        <v>0</v>
      </c>
      <c r="D122">
        <f>SUM($C$3:C122)</f>
        <v>4</v>
      </c>
      <c r="E122" t="e">
        <f t="shared" si="4"/>
        <v>#N/A</v>
      </c>
      <c r="F122" s="28" t="str">
        <f t="shared" ca="1" si="5"/>
        <v/>
      </c>
    </row>
    <row r="123" spans="2:6" x14ac:dyDescent="0.2">
      <c r="B123" t="str">
        <f>IFERROR(IF('PDCA review'!$D$2=Act!B124,Act!G124,""),"")</f>
        <v/>
      </c>
      <c r="C123">
        <f t="shared" si="3"/>
        <v>0</v>
      </c>
      <c r="D123">
        <f>SUM($C$3:C123)</f>
        <v>4</v>
      </c>
      <c r="E123" t="e">
        <f t="shared" si="4"/>
        <v>#N/A</v>
      </c>
      <c r="F123" s="28" t="str">
        <f t="shared" ca="1" si="5"/>
        <v/>
      </c>
    </row>
    <row r="124" spans="2:6" x14ac:dyDescent="0.2">
      <c r="B124" t="str">
        <f>IFERROR(IF('PDCA review'!$D$2=Act!B125,Act!G125,""),"")</f>
        <v/>
      </c>
      <c r="C124">
        <f t="shared" si="3"/>
        <v>0</v>
      </c>
      <c r="D124">
        <f>SUM($C$3:C124)</f>
        <v>4</v>
      </c>
      <c r="E124" t="e">
        <f t="shared" si="4"/>
        <v>#N/A</v>
      </c>
      <c r="F124" s="28" t="str">
        <f t="shared" ca="1" si="5"/>
        <v/>
      </c>
    </row>
    <row r="125" spans="2:6" x14ac:dyDescent="0.2">
      <c r="B125" t="str">
        <f>IFERROR(IF('PDCA review'!$D$2=Act!B126,Act!G126,""),"")</f>
        <v/>
      </c>
      <c r="C125">
        <f t="shared" si="3"/>
        <v>0</v>
      </c>
      <c r="D125">
        <f>SUM($C$3:C125)</f>
        <v>4</v>
      </c>
      <c r="E125" t="e">
        <f t="shared" si="4"/>
        <v>#N/A</v>
      </c>
      <c r="F125" s="28" t="str">
        <f t="shared" ca="1" si="5"/>
        <v/>
      </c>
    </row>
    <row r="126" spans="2:6" x14ac:dyDescent="0.2">
      <c r="B126" t="str">
        <f>IFERROR(IF('PDCA review'!$D$2=Act!B127,Act!G127,""),"")</f>
        <v/>
      </c>
      <c r="C126">
        <f t="shared" si="3"/>
        <v>0</v>
      </c>
      <c r="D126">
        <f>SUM($C$3:C126)</f>
        <v>4</v>
      </c>
      <c r="E126" t="e">
        <f t="shared" si="4"/>
        <v>#N/A</v>
      </c>
      <c r="F126" s="28" t="str">
        <f t="shared" ca="1" si="5"/>
        <v/>
      </c>
    </row>
    <row r="127" spans="2:6" x14ac:dyDescent="0.2">
      <c r="B127" t="str">
        <f>IFERROR(IF('PDCA review'!$D$2=Act!B128,Act!G128,""),"")</f>
        <v/>
      </c>
      <c r="C127">
        <f t="shared" si="3"/>
        <v>0</v>
      </c>
      <c r="D127">
        <f>SUM($C$3:C127)</f>
        <v>4</v>
      </c>
      <c r="E127" t="e">
        <f t="shared" si="4"/>
        <v>#N/A</v>
      </c>
      <c r="F127" s="28" t="str">
        <f t="shared" ca="1" si="5"/>
        <v/>
      </c>
    </row>
    <row r="128" spans="2:6" x14ac:dyDescent="0.2">
      <c r="B128" t="str">
        <f>IFERROR(IF('PDCA review'!$D$2=Act!B129,Act!G129,""),"")</f>
        <v/>
      </c>
      <c r="C128">
        <f t="shared" si="3"/>
        <v>0</v>
      </c>
      <c r="D128">
        <f>SUM($C$3:C128)</f>
        <v>4</v>
      </c>
      <c r="E128" t="e">
        <f t="shared" si="4"/>
        <v>#N/A</v>
      </c>
      <c r="F128" s="28" t="str">
        <f t="shared" ca="1" si="5"/>
        <v/>
      </c>
    </row>
    <row r="129" spans="2:6" x14ac:dyDescent="0.2">
      <c r="B129" t="str">
        <f>IFERROR(IF('PDCA review'!$D$2=Act!B130,Act!G130,""),"")</f>
        <v/>
      </c>
      <c r="C129">
        <f t="shared" si="3"/>
        <v>0</v>
      </c>
      <c r="D129">
        <f>SUM($C$3:C129)</f>
        <v>4</v>
      </c>
      <c r="E129" t="e">
        <f t="shared" si="4"/>
        <v>#N/A</v>
      </c>
      <c r="F129" s="28" t="str">
        <f t="shared" ca="1" si="5"/>
        <v/>
      </c>
    </row>
    <row r="130" spans="2:6" x14ac:dyDescent="0.2">
      <c r="B130" t="str">
        <f>IFERROR(IF('PDCA review'!$D$2=Act!B131,Act!G131,""),"")</f>
        <v/>
      </c>
      <c r="C130">
        <f t="shared" si="3"/>
        <v>0</v>
      </c>
      <c r="D130">
        <f>SUM($C$3:C130)</f>
        <v>4</v>
      </c>
      <c r="E130" t="e">
        <f t="shared" si="4"/>
        <v>#N/A</v>
      </c>
      <c r="F130" s="28" t="str">
        <f t="shared" ca="1" si="5"/>
        <v/>
      </c>
    </row>
    <row r="131" spans="2:6" x14ac:dyDescent="0.2">
      <c r="B131" t="str">
        <f>IFERROR(IF('PDCA review'!$D$2=Act!B132,Act!G132,""),"")</f>
        <v/>
      </c>
      <c r="C131">
        <f t="shared" si="3"/>
        <v>0</v>
      </c>
      <c r="D131">
        <f>SUM($C$3:C131)</f>
        <v>4</v>
      </c>
      <c r="E131" t="e">
        <f t="shared" si="4"/>
        <v>#N/A</v>
      </c>
      <c r="F131" s="28" t="str">
        <f t="shared" ca="1" si="5"/>
        <v/>
      </c>
    </row>
    <row r="132" spans="2:6" x14ac:dyDescent="0.2">
      <c r="B132" t="str">
        <f>IFERROR(IF('PDCA review'!$D$2=Act!B133,Act!G133,""),"")</f>
        <v/>
      </c>
      <c r="C132">
        <f t="shared" ref="C132:C195" si="6">IF(B132&lt;&gt;"",1,0)</f>
        <v>0</v>
      </c>
      <c r="D132">
        <f>SUM($C$3:C132)</f>
        <v>4</v>
      </c>
      <c r="E132" t="e">
        <f t="shared" ref="E132:E195" si="7">MATCH(ROW()-$D$2,$D$3:$D$2000,0)+$D$2</f>
        <v>#N/A</v>
      </c>
      <c r="F132" s="28" t="str">
        <f t="shared" ref="F132:F195" ca="1" si="8">IFERROR(INDIRECT("B"&amp;E132),"")</f>
        <v/>
      </c>
    </row>
    <row r="133" spans="2:6" x14ac:dyDescent="0.2">
      <c r="B133" t="str">
        <f>IFERROR(IF('PDCA review'!$D$2=Act!B134,Act!G134,""),"")</f>
        <v/>
      </c>
      <c r="C133">
        <f t="shared" si="6"/>
        <v>0</v>
      </c>
      <c r="D133">
        <f>SUM($C$3:C133)</f>
        <v>4</v>
      </c>
      <c r="E133" t="e">
        <f t="shared" si="7"/>
        <v>#N/A</v>
      </c>
      <c r="F133" s="28" t="str">
        <f t="shared" ca="1" si="8"/>
        <v/>
      </c>
    </row>
    <row r="134" spans="2:6" x14ac:dyDescent="0.2">
      <c r="B134" t="str">
        <f>IFERROR(IF('PDCA review'!$D$2=Act!B135,Act!G135,""),"")</f>
        <v/>
      </c>
      <c r="C134">
        <f t="shared" si="6"/>
        <v>0</v>
      </c>
      <c r="D134">
        <f>SUM($C$3:C134)</f>
        <v>4</v>
      </c>
      <c r="E134" t="e">
        <f t="shared" si="7"/>
        <v>#N/A</v>
      </c>
      <c r="F134" s="28" t="str">
        <f t="shared" ca="1" si="8"/>
        <v/>
      </c>
    </row>
    <row r="135" spans="2:6" x14ac:dyDescent="0.2">
      <c r="B135" t="str">
        <f>IFERROR(IF('PDCA review'!$D$2=Act!B136,Act!G136,""),"")</f>
        <v/>
      </c>
      <c r="C135">
        <f t="shared" si="6"/>
        <v>0</v>
      </c>
      <c r="D135">
        <f>SUM($C$3:C135)</f>
        <v>4</v>
      </c>
      <c r="E135" t="e">
        <f t="shared" si="7"/>
        <v>#N/A</v>
      </c>
      <c r="F135" s="28" t="str">
        <f t="shared" ca="1" si="8"/>
        <v/>
      </c>
    </row>
    <row r="136" spans="2:6" x14ac:dyDescent="0.2">
      <c r="B136" t="str">
        <f>IFERROR(IF('PDCA review'!$D$2=Act!B137,Act!G137,""),"")</f>
        <v/>
      </c>
      <c r="C136">
        <f t="shared" si="6"/>
        <v>0</v>
      </c>
      <c r="D136">
        <f>SUM($C$3:C136)</f>
        <v>4</v>
      </c>
      <c r="E136" t="e">
        <f t="shared" si="7"/>
        <v>#N/A</v>
      </c>
      <c r="F136" s="28" t="str">
        <f t="shared" ca="1" si="8"/>
        <v/>
      </c>
    </row>
    <row r="137" spans="2:6" x14ac:dyDescent="0.2">
      <c r="B137" t="str">
        <f>IFERROR(IF('PDCA review'!$D$2=Act!B138,Act!G138,""),"")</f>
        <v/>
      </c>
      <c r="C137">
        <f t="shared" si="6"/>
        <v>0</v>
      </c>
      <c r="D137">
        <f>SUM($C$3:C137)</f>
        <v>4</v>
      </c>
      <c r="E137" t="e">
        <f t="shared" si="7"/>
        <v>#N/A</v>
      </c>
      <c r="F137" s="28" t="str">
        <f t="shared" ca="1" si="8"/>
        <v/>
      </c>
    </row>
    <row r="138" spans="2:6" x14ac:dyDescent="0.2">
      <c r="B138" t="str">
        <f>IFERROR(IF('PDCA review'!$D$2=Act!B139,Act!G139,""),"")</f>
        <v/>
      </c>
      <c r="C138">
        <f t="shared" si="6"/>
        <v>0</v>
      </c>
      <c r="D138">
        <f>SUM($C$3:C138)</f>
        <v>4</v>
      </c>
      <c r="E138" t="e">
        <f t="shared" si="7"/>
        <v>#N/A</v>
      </c>
      <c r="F138" s="28" t="str">
        <f t="shared" ca="1" si="8"/>
        <v/>
      </c>
    </row>
    <row r="139" spans="2:6" x14ac:dyDescent="0.2">
      <c r="B139" t="str">
        <f>IFERROR(IF('PDCA review'!$D$2=Act!B140,Act!G140,""),"")</f>
        <v/>
      </c>
      <c r="C139">
        <f t="shared" si="6"/>
        <v>0</v>
      </c>
      <c r="D139">
        <f>SUM($C$3:C139)</f>
        <v>4</v>
      </c>
      <c r="E139" t="e">
        <f t="shared" si="7"/>
        <v>#N/A</v>
      </c>
      <c r="F139" s="28" t="str">
        <f t="shared" ca="1" si="8"/>
        <v/>
      </c>
    </row>
    <row r="140" spans="2:6" x14ac:dyDescent="0.2">
      <c r="B140" t="str">
        <f>IFERROR(IF('PDCA review'!$D$2=Act!B141,Act!G141,""),"")</f>
        <v/>
      </c>
      <c r="C140">
        <f t="shared" si="6"/>
        <v>0</v>
      </c>
      <c r="D140">
        <f>SUM($C$3:C140)</f>
        <v>4</v>
      </c>
      <c r="E140" t="e">
        <f t="shared" si="7"/>
        <v>#N/A</v>
      </c>
      <c r="F140" s="28" t="str">
        <f t="shared" ca="1" si="8"/>
        <v/>
      </c>
    </row>
    <row r="141" spans="2:6" x14ac:dyDescent="0.2">
      <c r="B141" t="str">
        <f>IFERROR(IF('PDCA review'!$D$2=Act!B142,Act!G142,""),"")</f>
        <v/>
      </c>
      <c r="C141">
        <f t="shared" si="6"/>
        <v>0</v>
      </c>
      <c r="D141">
        <f>SUM($C$3:C141)</f>
        <v>4</v>
      </c>
      <c r="E141" t="e">
        <f t="shared" si="7"/>
        <v>#N/A</v>
      </c>
      <c r="F141" s="28" t="str">
        <f t="shared" ca="1" si="8"/>
        <v/>
      </c>
    </row>
    <row r="142" spans="2:6" x14ac:dyDescent="0.2">
      <c r="B142" t="str">
        <f>IFERROR(IF('PDCA review'!$D$2=Act!B143,Act!G143,""),"")</f>
        <v/>
      </c>
      <c r="C142">
        <f t="shared" si="6"/>
        <v>0</v>
      </c>
      <c r="D142">
        <f>SUM($C$3:C142)</f>
        <v>4</v>
      </c>
      <c r="E142" t="e">
        <f t="shared" si="7"/>
        <v>#N/A</v>
      </c>
      <c r="F142" s="28" t="str">
        <f t="shared" ca="1" si="8"/>
        <v/>
      </c>
    </row>
    <row r="143" spans="2:6" x14ac:dyDescent="0.2">
      <c r="B143" t="str">
        <f>IFERROR(IF('PDCA review'!$D$2=Act!B144,Act!G144,""),"")</f>
        <v/>
      </c>
      <c r="C143">
        <f t="shared" si="6"/>
        <v>0</v>
      </c>
      <c r="D143">
        <f>SUM($C$3:C143)</f>
        <v>4</v>
      </c>
      <c r="E143" t="e">
        <f t="shared" si="7"/>
        <v>#N/A</v>
      </c>
      <c r="F143" s="28" t="str">
        <f t="shared" ca="1" si="8"/>
        <v/>
      </c>
    </row>
    <row r="144" spans="2:6" x14ac:dyDescent="0.2">
      <c r="B144" t="str">
        <f>IFERROR(IF('PDCA review'!$D$2=Act!B145,Act!G145,""),"")</f>
        <v/>
      </c>
      <c r="C144">
        <f t="shared" si="6"/>
        <v>0</v>
      </c>
      <c r="D144">
        <f>SUM($C$3:C144)</f>
        <v>4</v>
      </c>
      <c r="E144" t="e">
        <f t="shared" si="7"/>
        <v>#N/A</v>
      </c>
      <c r="F144" s="28" t="str">
        <f t="shared" ca="1" si="8"/>
        <v/>
      </c>
    </row>
    <row r="145" spans="2:6" x14ac:dyDescent="0.2">
      <c r="B145" t="str">
        <f>IFERROR(IF('PDCA review'!$D$2=Act!B146,Act!G146,""),"")</f>
        <v/>
      </c>
      <c r="C145">
        <f t="shared" si="6"/>
        <v>0</v>
      </c>
      <c r="D145">
        <f>SUM($C$3:C145)</f>
        <v>4</v>
      </c>
      <c r="E145" t="e">
        <f t="shared" si="7"/>
        <v>#N/A</v>
      </c>
      <c r="F145" s="28" t="str">
        <f t="shared" ca="1" si="8"/>
        <v/>
      </c>
    </row>
    <row r="146" spans="2:6" x14ac:dyDescent="0.2">
      <c r="B146" t="str">
        <f>IFERROR(IF('PDCA review'!$D$2=Act!B147,Act!G147,""),"")</f>
        <v/>
      </c>
      <c r="C146">
        <f t="shared" si="6"/>
        <v>0</v>
      </c>
      <c r="D146">
        <f>SUM($C$3:C146)</f>
        <v>4</v>
      </c>
      <c r="E146" t="e">
        <f t="shared" si="7"/>
        <v>#N/A</v>
      </c>
      <c r="F146" s="28" t="str">
        <f t="shared" ca="1" si="8"/>
        <v/>
      </c>
    </row>
    <row r="147" spans="2:6" x14ac:dyDescent="0.2">
      <c r="B147" t="str">
        <f>IFERROR(IF('PDCA review'!$D$2=Act!B148,Act!G148,""),"")</f>
        <v/>
      </c>
      <c r="C147">
        <f t="shared" si="6"/>
        <v>0</v>
      </c>
      <c r="D147">
        <f>SUM($C$3:C147)</f>
        <v>4</v>
      </c>
      <c r="E147" t="e">
        <f t="shared" si="7"/>
        <v>#N/A</v>
      </c>
      <c r="F147" s="28" t="str">
        <f t="shared" ca="1" si="8"/>
        <v/>
      </c>
    </row>
    <row r="148" spans="2:6" x14ac:dyDescent="0.2">
      <c r="B148" t="str">
        <f>IFERROR(IF('PDCA review'!$D$2=Act!B149,Act!G149,""),"")</f>
        <v/>
      </c>
      <c r="C148">
        <f t="shared" si="6"/>
        <v>0</v>
      </c>
      <c r="D148">
        <f>SUM($C$3:C148)</f>
        <v>4</v>
      </c>
      <c r="E148" t="e">
        <f t="shared" si="7"/>
        <v>#N/A</v>
      </c>
      <c r="F148" s="28" t="str">
        <f t="shared" ca="1" si="8"/>
        <v/>
      </c>
    </row>
    <row r="149" spans="2:6" x14ac:dyDescent="0.2">
      <c r="B149" t="str">
        <f>IFERROR(IF('PDCA review'!$D$2=Act!B150,Act!G150,""),"")</f>
        <v/>
      </c>
      <c r="C149">
        <f t="shared" si="6"/>
        <v>0</v>
      </c>
      <c r="D149">
        <f>SUM($C$3:C149)</f>
        <v>4</v>
      </c>
      <c r="E149" t="e">
        <f t="shared" si="7"/>
        <v>#N/A</v>
      </c>
      <c r="F149" s="28" t="str">
        <f t="shared" ca="1" si="8"/>
        <v/>
      </c>
    </row>
    <row r="150" spans="2:6" x14ac:dyDescent="0.2">
      <c r="B150" t="str">
        <f>IFERROR(IF('PDCA review'!$D$2=Act!B151,Act!G151,""),"")</f>
        <v/>
      </c>
      <c r="C150">
        <f t="shared" si="6"/>
        <v>0</v>
      </c>
      <c r="D150">
        <f>SUM($C$3:C150)</f>
        <v>4</v>
      </c>
      <c r="E150" t="e">
        <f t="shared" si="7"/>
        <v>#N/A</v>
      </c>
      <c r="F150" s="28" t="str">
        <f t="shared" ca="1" si="8"/>
        <v/>
      </c>
    </row>
    <row r="151" spans="2:6" x14ac:dyDescent="0.2">
      <c r="B151" t="str">
        <f>IFERROR(IF('PDCA review'!$D$2=Act!B152,Act!G152,""),"")</f>
        <v/>
      </c>
      <c r="C151">
        <f t="shared" si="6"/>
        <v>0</v>
      </c>
      <c r="D151">
        <f>SUM($C$3:C151)</f>
        <v>4</v>
      </c>
      <c r="E151" t="e">
        <f t="shared" si="7"/>
        <v>#N/A</v>
      </c>
      <c r="F151" s="28" t="str">
        <f t="shared" ca="1" si="8"/>
        <v/>
      </c>
    </row>
    <row r="152" spans="2:6" x14ac:dyDescent="0.2">
      <c r="B152" t="str">
        <f>IFERROR(IF('PDCA review'!$D$2=Act!B153,Act!G153,""),"")</f>
        <v/>
      </c>
      <c r="C152">
        <f t="shared" si="6"/>
        <v>0</v>
      </c>
      <c r="D152">
        <f>SUM($C$3:C152)</f>
        <v>4</v>
      </c>
      <c r="E152" t="e">
        <f t="shared" si="7"/>
        <v>#N/A</v>
      </c>
      <c r="F152" s="28" t="str">
        <f t="shared" ca="1" si="8"/>
        <v/>
      </c>
    </row>
    <row r="153" spans="2:6" x14ac:dyDescent="0.2">
      <c r="B153" t="str">
        <f>IFERROR(IF('PDCA review'!$D$2=Act!B154,Act!G154,""),"")</f>
        <v/>
      </c>
      <c r="C153">
        <f t="shared" si="6"/>
        <v>0</v>
      </c>
      <c r="D153">
        <f>SUM($C$3:C153)</f>
        <v>4</v>
      </c>
      <c r="E153" t="e">
        <f t="shared" si="7"/>
        <v>#N/A</v>
      </c>
      <c r="F153" s="28" t="str">
        <f t="shared" ca="1" si="8"/>
        <v/>
      </c>
    </row>
    <row r="154" spans="2:6" x14ac:dyDescent="0.2">
      <c r="B154" t="str">
        <f>IFERROR(IF('PDCA review'!$D$2=Act!B155,Act!G155,""),"")</f>
        <v/>
      </c>
      <c r="C154">
        <f t="shared" si="6"/>
        <v>0</v>
      </c>
      <c r="D154">
        <f>SUM($C$3:C154)</f>
        <v>4</v>
      </c>
      <c r="E154" t="e">
        <f t="shared" si="7"/>
        <v>#N/A</v>
      </c>
      <c r="F154" s="28" t="str">
        <f t="shared" ca="1" si="8"/>
        <v/>
      </c>
    </row>
    <row r="155" spans="2:6" x14ac:dyDescent="0.2">
      <c r="B155" t="str">
        <f>IFERROR(IF('PDCA review'!$D$2=Act!B156,Act!G156,""),"")</f>
        <v/>
      </c>
      <c r="C155">
        <f t="shared" si="6"/>
        <v>0</v>
      </c>
      <c r="D155">
        <f>SUM($C$3:C155)</f>
        <v>4</v>
      </c>
      <c r="E155" t="e">
        <f t="shared" si="7"/>
        <v>#N/A</v>
      </c>
      <c r="F155" s="28" t="str">
        <f t="shared" ca="1" si="8"/>
        <v/>
      </c>
    </row>
    <row r="156" spans="2:6" x14ac:dyDescent="0.2">
      <c r="B156" t="str">
        <f>IFERROR(IF('PDCA review'!$D$2=Act!B157,Act!G157,""),"")</f>
        <v/>
      </c>
      <c r="C156">
        <f t="shared" si="6"/>
        <v>0</v>
      </c>
      <c r="D156">
        <f>SUM($C$3:C156)</f>
        <v>4</v>
      </c>
      <c r="E156" t="e">
        <f t="shared" si="7"/>
        <v>#N/A</v>
      </c>
      <c r="F156" s="28" t="str">
        <f t="shared" ca="1" si="8"/>
        <v/>
      </c>
    </row>
    <row r="157" spans="2:6" x14ac:dyDescent="0.2">
      <c r="B157" t="str">
        <f>IFERROR(IF('PDCA review'!$D$2=Act!B158,Act!G158,""),"")</f>
        <v/>
      </c>
      <c r="C157">
        <f t="shared" si="6"/>
        <v>0</v>
      </c>
      <c r="D157">
        <f>SUM($C$3:C157)</f>
        <v>4</v>
      </c>
      <c r="E157" t="e">
        <f t="shared" si="7"/>
        <v>#N/A</v>
      </c>
      <c r="F157" s="28" t="str">
        <f t="shared" ca="1" si="8"/>
        <v/>
      </c>
    </row>
    <row r="158" spans="2:6" x14ac:dyDescent="0.2">
      <c r="B158" t="str">
        <f>IFERROR(IF('PDCA review'!$D$2=Act!B159,Act!G159,""),"")</f>
        <v/>
      </c>
      <c r="C158">
        <f t="shared" si="6"/>
        <v>0</v>
      </c>
      <c r="D158">
        <f>SUM($C$3:C158)</f>
        <v>4</v>
      </c>
      <c r="E158" t="e">
        <f t="shared" si="7"/>
        <v>#N/A</v>
      </c>
      <c r="F158" s="28" t="str">
        <f t="shared" ca="1" si="8"/>
        <v/>
      </c>
    </row>
    <row r="159" spans="2:6" x14ac:dyDescent="0.2">
      <c r="B159" t="str">
        <f>IFERROR(IF('PDCA review'!$D$2=Act!B160,Act!G160,""),"")</f>
        <v/>
      </c>
      <c r="C159">
        <f t="shared" si="6"/>
        <v>0</v>
      </c>
      <c r="D159">
        <f>SUM($C$3:C159)</f>
        <v>4</v>
      </c>
      <c r="E159" t="e">
        <f t="shared" si="7"/>
        <v>#N/A</v>
      </c>
      <c r="F159" s="28" t="str">
        <f t="shared" ca="1" si="8"/>
        <v/>
      </c>
    </row>
    <row r="160" spans="2:6" x14ac:dyDescent="0.2">
      <c r="B160" t="str">
        <f>IFERROR(IF('PDCA review'!$D$2=Act!B161,Act!G161,""),"")</f>
        <v/>
      </c>
      <c r="C160">
        <f t="shared" si="6"/>
        <v>0</v>
      </c>
      <c r="D160">
        <f>SUM($C$3:C160)</f>
        <v>4</v>
      </c>
      <c r="E160" t="e">
        <f t="shared" si="7"/>
        <v>#N/A</v>
      </c>
      <c r="F160" s="28" t="str">
        <f t="shared" ca="1" si="8"/>
        <v/>
      </c>
    </row>
    <row r="161" spans="2:6" x14ac:dyDescent="0.2">
      <c r="B161" t="str">
        <f>IFERROR(IF('PDCA review'!$D$2=Act!B162,Act!G162,""),"")</f>
        <v/>
      </c>
      <c r="C161">
        <f t="shared" si="6"/>
        <v>0</v>
      </c>
      <c r="D161">
        <f>SUM($C$3:C161)</f>
        <v>4</v>
      </c>
      <c r="E161" t="e">
        <f t="shared" si="7"/>
        <v>#N/A</v>
      </c>
      <c r="F161" s="28" t="str">
        <f t="shared" ca="1" si="8"/>
        <v/>
      </c>
    </row>
    <row r="162" spans="2:6" x14ac:dyDescent="0.2">
      <c r="B162" t="str">
        <f>IFERROR(IF('PDCA review'!$D$2=Act!B163,Act!G163,""),"")</f>
        <v/>
      </c>
      <c r="C162">
        <f t="shared" si="6"/>
        <v>0</v>
      </c>
      <c r="D162">
        <f>SUM($C$3:C162)</f>
        <v>4</v>
      </c>
      <c r="E162" t="e">
        <f t="shared" si="7"/>
        <v>#N/A</v>
      </c>
      <c r="F162" s="28" t="str">
        <f t="shared" ca="1" si="8"/>
        <v/>
      </c>
    </row>
    <row r="163" spans="2:6" x14ac:dyDescent="0.2">
      <c r="B163" t="str">
        <f>IFERROR(IF('PDCA review'!$D$2=Act!B164,Act!G164,""),"")</f>
        <v/>
      </c>
      <c r="C163">
        <f t="shared" si="6"/>
        <v>0</v>
      </c>
      <c r="D163">
        <f>SUM($C$3:C163)</f>
        <v>4</v>
      </c>
      <c r="E163" t="e">
        <f t="shared" si="7"/>
        <v>#N/A</v>
      </c>
      <c r="F163" s="28" t="str">
        <f t="shared" ca="1" si="8"/>
        <v/>
      </c>
    </row>
    <row r="164" spans="2:6" x14ac:dyDescent="0.2">
      <c r="B164" t="str">
        <f>IFERROR(IF('PDCA review'!$D$2=Act!B165,Act!G165,""),"")</f>
        <v/>
      </c>
      <c r="C164">
        <f t="shared" si="6"/>
        <v>0</v>
      </c>
      <c r="D164">
        <f>SUM($C$3:C164)</f>
        <v>4</v>
      </c>
      <c r="E164" t="e">
        <f t="shared" si="7"/>
        <v>#N/A</v>
      </c>
      <c r="F164" s="28" t="str">
        <f t="shared" ca="1" si="8"/>
        <v/>
      </c>
    </row>
    <row r="165" spans="2:6" x14ac:dyDescent="0.2">
      <c r="B165" t="str">
        <f>IFERROR(IF('PDCA review'!$D$2=Act!B166,Act!G166,""),"")</f>
        <v/>
      </c>
      <c r="C165">
        <f t="shared" si="6"/>
        <v>0</v>
      </c>
      <c r="D165">
        <f>SUM($C$3:C165)</f>
        <v>4</v>
      </c>
      <c r="E165" t="e">
        <f t="shared" si="7"/>
        <v>#N/A</v>
      </c>
      <c r="F165" s="28" t="str">
        <f t="shared" ca="1" si="8"/>
        <v/>
      </c>
    </row>
    <row r="166" spans="2:6" x14ac:dyDescent="0.2">
      <c r="B166" t="str">
        <f>IFERROR(IF('PDCA review'!$D$2=Act!B167,Act!G167,""),"")</f>
        <v/>
      </c>
      <c r="C166">
        <f t="shared" si="6"/>
        <v>0</v>
      </c>
      <c r="D166">
        <f>SUM($C$3:C166)</f>
        <v>4</v>
      </c>
      <c r="E166" t="e">
        <f t="shared" si="7"/>
        <v>#N/A</v>
      </c>
      <c r="F166" s="28" t="str">
        <f t="shared" ca="1" si="8"/>
        <v/>
      </c>
    </row>
    <row r="167" spans="2:6" x14ac:dyDescent="0.2">
      <c r="B167" t="str">
        <f>IFERROR(IF('PDCA review'!$D$2=Act!B168,Act!G168,""),"")</f>
        <v/>
      </c>
      <c r="C167">
        <f t="shared" si="6"/>
        <v>0</v>
      </c>
      <c r="D167">
        <f>SUM($C$3:C167)</f>
        <v>4</v>
      </c>
      <c r="E167" t="e">
        <f t="shared" si="7"/>
        <v>#N/A</v>
      </c>
      <c r="F167" s="28" t="str">
        <f t="shared" ca="1" si="8"/>
        <v/>
      </c>
    </row>
    <row r="168" spans="2:6" x14ac:dyDescent="0.2">
      <c r="B168" t="str">
        <f>IFERROR(IF('PDCA review'!$D$2=Act!B169,Act!G169,""),"")</f>
        <v/>
      </c>
      <c r="C168">
        <f t="shared" si="6"/>
        <v>0</v>
      </c>
      <c r="D168">
        <f>SUM($C$3:C168)</f>
        <v>4</v>
      </c>
      <c r="E168" t="e">
        <f t="shared" si="7"/>
        <v>#N/A</v>
      </c>
      <c r="F168" s="28" t="str">
        <f t="shared" ca="1" si="8"/>
        <v/>
      </c>
    </row>
    <row r="169" spans="2:6" x14ac:dyDescent="0.2">
      <c r="B169" t="str">
        <f>IFERROR(IF('PDCA review'!$D$2=Act!B170,Act!G170,""),"")</f>
        <v/>
      </c>
      <c r="C169">
        <f t="shared" si="6"/>
        <v>0</v>
      </c>
      <c r="D169">
        <f>SUM($C$3:C169)</f>
        <v>4</v>
      </c>
      <c r="E169" t="e">
        <f t="shared" si="7"/>
        <v>#N/A</v>
      </c>
      <c r="F169" s="28" t="str">
        <f t="shared" ca="1" si="8"/>
        <v/>
      </c>
    </row>
    <row r="170" spans="2:6" x14ac:dyDescent="0.2">
      <c r="B170" t="str">
        <f>IFERROR(IF('PDCA review'!$D$2=Act!B171,Act!G171,""),"")</f>
        <v/>
      </c>
      <c r="C170">
        <f t="shared" si="6"/>
        <v>0</v>
      </c>
      <c r="D170">
        <f>SUM($C$3:C170)</f>
        <v>4</v>
      </c>
      <c r="E170" t="e">
        <f t="shared" si="7"/>
        <v>#N/A</v>
      </c>
      <c r="F170" s="28" t="str">
        <f t="shared" ca="1" si="8"/>
        <v/>
      </c>
    </row>
    <row r="171" spans="2:6" x14ac:dyDescent="0.2">
      <c r="B171" t="str">
        <f>IFERROR(IF('PDCA review'!$D$2=Act!B172,Act!G172,""),"")</f>
        <v/>
      </c>
      <c r="C171">
        <f t="shared" si="6"/>
        <v>0</v>
      </c>
      <c r="D171">
        <f>SUM($C$3:C171)</f>
        <v>4</v>
      </c>
      <c r="E171" t="e">
        <f t="shared" si="7"/>
        <v>#N/A</v>
      </c>
      <c r="F171" s="28" t="str">
        <f t="shared" ca="1" si="8"/>
        <v/>
      </c>
    </row>
    <row r="172" spans="2:6" x14ac:dyDescent="0.2">
      <c r="B172" t="str">
        <f>IFERROR(IF('PDCA review'!$D$2=Act!B173,Act!G173,""),"")</f>
        <v/>
      </c>
      <c r="C172">
        <f t="shared" si="6"/>
        <v>0</v>
      </c>
      <c r="D172">
        <f>SUM($C$3:C172)</f>
        <v>4</v>
      </c>
      <c r="E172" t="e">
        <f t="shared" si="7"/>
        <v>#N/A</v>
      </c>
      <c r="F172" s="28" t="str">
        <f t="shared" ca="1" si="8"/>
        <v/>
      </c>
    </row>
    <row r="173" spans="2:6" x14ac:dyDescent="0.2">
      <c r="B173" t="str">
        <f>IFERROR(IF('PDCA review'!$D$2=Act!B174,Act!G174,""),"")</f>
        <v/>
      </c>
      <c r="C173">
        <f t="shared" si="6"/>
        <v>0</v>
      </c>
      <c r="D173">
        <f>SUM($C$3:C173)</f>
        <v>4</v>
      </c>
      <c r="E173" t="e">
        <f t="shared" si="7"/>
        <v>#N/A</v>
      </c>
      <c r="F173" s="28" t="str">
        <f t="shared" ca="1" si="8"/>
        <v/>
      </c>
    </row>
    <row r="174" spans="2:6" x14ac:dyDescent="0.2">
      <c r="B174" t="str">
        <f>IFERROR(IF('PDCA review'!$D$2=Act!B175,Act!G175,""),"")</f>
        <v/>
      </c>
      <c r="C174">
        <f t="shared" si="6"/>
        <v>0</v>
      </c>
      <c r="D174">
        <f>SUM($C$3:C174)</f>
        <v>4</v>
      </c>
      <c r="E174" t="e">
        <f t="shared" si="7"/>
        <v>#N/A</v>
      </c>
      <c r="F174" s="28" t="str">
        <f t="shared" ca="1" si="8"/>
        <v/>
      </c>
    </row>
    <row r="175" spans="2:6" x14ac:dyDescent="0.2">
      <c r="B175" t="str">
        <f>IFERROR(IF('PDCA review'!$D$2=Act!B176,Act!G176,""),"")</f>
        <v/>
      </c>
      <c r="C175">
        <f t="shared" si="6"/>
        <v>0</v>
      </c>
      <c r="D175">
        <f>SUM($C$3:C175)</f>
        <v>4</v>
      </c>
      <c r="E175" t="e">
        <f t="shared" si="7"/>
        <v>#N/A</v>
      </c>
      <c r="F175" s="28" t="str">
        <f t="shared" ca="1" si="8"/>
        <v/>
      </c>
    </row>
    <row r="176" spans="2:6" x14ac:dyDescent="0.2">
      <c r="B176" t="str">
        <f>IFERROR(IF('PDCA review'!$D$2=Act!B177,Act!G177,""),"")</f>
        <v/>
      </c>
      <c r="C176">
        <f t="shared" si="6"/>
        <v>0</v>
      </c>
      <c r="D176">
        <f>SUM($C$3:C176)</f>
        <v>4</v>
      </c>
      <c r="E176" t="e">
        <f t="shared" si="7"/>
        <v>#N/A</v>
      </c>
      <c r="F176" s="28" t="str">
        <f t="shared" ca="1" si="8"/>
        <v/>
      </c>
    </row>
    <row r="177" spans="2:6" x14ac:dyDescent="0.2">
      <c r="B177" t="str">
        <f>IFERROR(IF('PDCA review'!$D$2=Act!B178,Act!G178,""),"")</f>
        <v/>
      </c>
      <c r="C177">
        <f t="shared" si="6"/>
        <v>0</v>
      </c>
      <c r="D177">
        <f>SUM($C$3:C177)</f>
        <v>4</v>
      </c>
      <c r="E177" t="e">
        <f t="shared" si="7"/>
        <v>#N/A</v>
      </c>
      <c r="F177" s="28" t="str">
        <f t="shared" ca="1" si="8"/>
        <v/>
      </c>
    </row>
    <row r="178" spans="2:6" x14ac:dyDescent="0.2">
      <c r="B178" t="str">
        <f>IFERROR(IF('PDCA review'!$D$2=Act!B179,Act!G179,""),"")</f>
        <v/>
      </c>
      <c r="C178">
        <f t="shared" si="6"/>
        <v>0</v>
      </c>
      <c r="D178">
        <f>SUM($C$3:C178)</f>
        <v>4</v>
      </c>
      <c r="E178" t="e">
        <f t="shared" si="7"/>
        <v>#N/A</v>
      </c>
      <c r="F178" s="28" t="str">
        <f t="shared" ca="1" si="8"/>
        <v/>
      </c>
    </row>
    <row r="179" spans="2:6" x14ac:dyDescent="0.2">
      <c r="B179" t="str">
        <f>IFERROR(IF('PDCA review'!$D$2=Act!B180,Act!G180,""),"")</f>
        <v/>
      </c>
      <c r="C179">
        <f t="shared" si="6"/>
        <v>0</v>
      </c>
      <c r="D179">
        <f>SUM($C$3:C179)</f>
        <v>4</v>
      </c>
      <c r="E179" t="e">
        <f t="shared" si="7"/>
        <v>#N/A</v>
      </c>
      <c r="F179" s="28" t="str">
        <f t="shared" ca="1" si="8"/>
        <v/>
      </c>
    </row>
    <row r="180" spans="2:6" x14ac:dyDescent="0.2">
      <c r="B180" t="str">
        <f>IFERROR(IF('PDCA review'!$D$2=Act!B181,Act!G181,""),"")</f>
        <v/>
      </c>
      <c r="C180">
        <f t="shared" si="6"/>
        <v>0</v>
      </c>
      <c r="D180">
        <f>SUM($C$3:C180)</f>
        <v>4</v>
      </c>
      <c r="E180" t="e">
        <f t="shared" si="7"/>
        <v>#N/A</v>
      </c>
      <c r="F180" s="28" t="str">
        <f t="shared" ca="1" si="8"/>
        <v/>
      </c>
    </row>
    <row r="181" spans="2:6" x14ac:dyDescent="0.2">
      <c r="B181" t="str">
        <f>IFERROR(IF('PDCA review'!$D$2=Act!B182,Act!G182,""),"")</f>
        <v/>
      </c>
      <c r="C181">
        <f t="shared" si="6"/>
        <v>0</v>
      </c>
      <c r="D181">
        <f>SUM($C$3:C181)</f>
        <v>4</v>
      </c>
      <c r="E181" t="e">
        <f t="shared" si="7"/>
        <v>#N/A</v>
      </c>
      <c r="F181" s="28" t="str">
        <f t="shared" ca="1" si="8"/>
        <v/>
      </c>
    </row>
    <row r="182" spans="2:6" x14ac:dyDescent="0.2">
      <c r="B182" t="str">
        <f>IFERROR(IF('PDCA review'!$D$2=Act!B183,Act!G183,""),"")</f>
        <v/>
      </c>
      <c r="C182">
        <f t="shared" si="6"/>
        <v>0</v>
      </c>
      <c r="D182">
        <f>SUM($C$3:C182)</f>
        <v>4</v>
      </c>
      <c r="E182" t="e">
        <f t="shared" si="7"/>
        <v>#N/A</v>
      </c>
      <c r="F182" s="28" t="str">
        <f t="shared" ca="1" si="8"/>
        <v/>
      </c>
    </row>
    <row r="183" spans="2:6" x14ac:dyDescent="0.2">
      <c r="B183" t="str">
        <f>IFERROR(IF('PDCA review'!$D$2=Act!B184,Act!G184,""),"")</f>
        <v/>
      </c>
      <c r="C183">
        <f t="shared" si="6"/>
        <v>0</v>
      </c>
      <c r="D183">
        <f>SUM($C$3:C183)</f>
        <v>4</v>
      </c>
      <c r="E183" t="e">
        <f t="shared" si="7"/>
        <v>#N/A</v>
      </c>
      <c r="F183" s="28" t="str">
        <f t="shared" ca="1" si="8"/>
        <v/>
      </c>
    </row>
    <row r="184" spans="2:6" x14ac:dyDescent="0.2">
      <c r="B184" t="str">
        <f>IFERROR(IF('PDCA review'!$D$2=Act!B185,Act!G185,""),"")</f>
        <v/>
      </c>
      <c r="C184">
        <f t="shared" si="6"/>
        <v>0</v>
      </c>
      <c r="D184">
        <f>SUM($C$3:C184)</f>
        <v>4</v>
      </c>
      <c r="E184" t="e">
        <f t="shared" si="7"/>
        <v>#N/A</v>
      </c>
      <c r="F184" s="28" t="str">
        <f t="shared" ca="1" si="8"/>
        <v/>
      </c>
    </row>
    <row r="185" spans="2:6" x14ac:dyDescent="0.2">
      <c r="B185" t="str">
        <f>IFERROR(IF('PDCA review'!$D$2=Act!B186,Act!G186,""),"")</f>
        <v/>
      </c>
      <c r="C185">
        <f t="shared" si="6"/>
        <v>0</v>
      </c>
      <c r="D185">
        <f>SUM($C$3:C185)</f>
        <v>4</v>
      </c>
      <c r="E185" t="e">
        <f t="shared" si="7"/>
        <v>#N/A</v>
      </c>
      <c r="F185" s="28" t="str">
        <f t="shared" ca="1" si="8"/>
        <v/>
      </c>
    </row>
    <row r="186" spans="2:6" x14ac:dyDescent="0.2">
      <c r="B186" t="str">
        <f>IFERROR(IF('PDCA review'!$D$2=Act!B187,Act!G187,""),"")</f>
        <v/>
      </c>
      <c r="C186">
        <f t="shared" si="6"/>
        <v>0</v>
      </c>
      <c r="D186">
        <f>SUM($C$3:C186)</f>
        <v>4</v>
      </c>
      <c r="E186" t="e">
        <f t="shared" si="7"/>
        <v>#N/A</v>
      </c>
      <c r="F186" s="28" t="str">
        <f t="shared" ca="1" si="8"/>
        <v/>
      </c>
    </row>
    <row r="187" spans="2:6" x14ac:dyDescent="0.2">
      <c r="B187" t="str">
        <f>IFERROR(IF('PDCA review'!$D$2=Act!B188,Act!G188,""),"")</f>
        <v/>
      </c>
      <c r="C187">
        <f t="shared" si="6"/>
        <v>0</v>
      </c>
      <c r="D187">
        <f>SUM($C$3:C187)</f>
        <v>4</v>
      </c>
      <c r="E187" t="e">
        <f t="shared" si="7"/>
        <v>#N/A</v>
      </c>
      <c r="F187" s="28" t="str">
        <f t="shared" ca="1" si="8"/>
        <v/>
      </c>
    </row>
    <row r="188" spans="2:6" x14ac:dyDescent="0.2">
      <c r="B188" t="str">
        <f>IFERROR(IF('PDCA review'!$D$2=Act!B189,Act!G189,""),"")</f>
        <v/>
      </c>
      <c r="C188">
        <f t="shared" si="6"/>
        <v>0</v>
      </c>
      <c r="D188">
        <f>SUM($C$3:C188)</f>
        <v>4</v>
      </c>
      <c r="E188" t="e">
        <f t="shared" si="7"/>
        <v>#N/A</v>
      </c>
      <c r="F188" s="28" t="str">
        <f t="shared" ca="1" si="8"/>
        <v/>
      </c>
    </row>
    <row r="189" spans="2:6" x14ac:dyDescent="0.2">
      <c r="B189" t="str">
        <f>IFERROR(IF('PDCA review'!$D$2=Act!B190,Act!G190,""),"")</f>
        <v/>
      </c>
      <c r="C189">
        <f t="shared" si="6"/>
        <v>0</v>
      </c>
      <c r="D189">
        <f>SUM($C$3:C189)</f>
        <v>4</v>
      </c>
      <c r="E189" t="e">
        <f t="shared" si="7"/>
        <v>#N/A</v>
      </c>
      <c r="F189" s="28" t="str">
        <f t="shared" ca="1" si="8"/>
        <v/>
      </c>
    </row>
    <row r="190" spans="2:6" x14ac:dyDescent="0.2">
      <c r="B190" t="str">
        <f>IFERROR(IF('PDCA review'!$D$2=Act!B191,Act!G191,""),"")</f>
        <v/>
      </c>
      <c r="C190">
        <f t="shared" si="6"/>
        <v>0</v>
      </c>
      <c r="D190">
        <f>SUM($C$3:C190)</f>
        <v>4</v>
      </c>
      <c r="E190" t="e">
        <f t="shared" si="7"/>
        <v>#N/A</v>
      </c>
      <c r="F190" s="28" t="str">
        <f t="shared" ca="1" si="8"/>
        <v/>
      </c>
    </row>
    <row r="191" spans="2:6" x14ac:dyDescent="0.2">
      <c r="B191" t="str">
        <f>IFERROR(IF('PDCA review'!$D$2=Act!B192,Act!G192,""),"")</f>
        <v/>
      </c>
      <c r="C191">
        <f t="shared" si="6"/>
        <v>0</v>
      </c>
      <c r="D191">
        <f>SUM($C$3:C191)</f>
        <v>4</v>
      </c>
      <c r="E191" t="e">
        <f t="shared" si="7"/>
        <v>#N/A</v>
      </c>
      <c r="F191" s="28" t="str">
        <f t="shared" ca="1" si="8"/>
        <v/>
      </c>
    </row>
    <row r="192" spans="2:6" x14ac:dyDescent="0.2">
      <c r="B192" t="str">
        <f>IFERROR(IF('PDCA review'!$D$2=Act!B193,Act!G193,""),"")</f>
        <v/>
      </c>
      <c r="C192">
        <f t="shared" si="6"/>
        <v>0</v>
      </c>
      <c r="D192">
        <f>SUM($C$3:C192)</f>
        <v>4</v>
      </c>
      <c r="E192" t="e">
        <f t="shared" si="7"/>
        <v>#N/A</v>
      </c>
      <c r="F192" s="28" t="str">
        <f t="shared" ca="1" si="8"/>
        <v/>
      </c>
    </row>
    <row r="193" spans="2:6" x14ac:dyDescent="0.2">
      <c r="B193" t="str">
        <f>IFERROR(IF('PDCA review'!$D$2=Act!B194,Act!G194,""),"")</f>
        <v/>
      </c>
      <c r="C193">
        <f t="shared" si="6"/>
        <v>0</v>
      </c>
      <c r="D193">
        <f>SUM($C$3:C193)</f>
        <v>4</v>
      </c>
      <c r="E193" t="e">
        <f t="shared" si="7"/>
        <v>#N/A</v>
      </c>
      <c r="F193" s="28" t="str">
        <f t="shared" ca="1" si="8"/>
        <v/>
      </c>
    </row>
    <row r="194" spans="2:6" x14ac:dyDescent="0.2">
      <c r="B194" t="str">
        <f>IFERROR(IF('PDCA review'!$D$2=Act!B195,Act!G195,""),"")</f>
        <v/>
      </c>
      <c r="C194">
        <f t="shared" si="6"/>
        <v>0</v>
      </c>
      <c r="D194">
        <f>SUM($C$3:C194)</f>
        <v>4</v>
      </c>
      <c r="E194" t="e">
        <f t="shared" si="7"/>
        <v>#N/A</v>
      </c>
      <c r="F194" s="28" t="str">
        <f t="shared" ca="1" si="8"/>
        <v/>
      </c>
    </row>
    <row r="195" spans="2:6" x14ac:dyDescent="0.2">
      <c r="B195" t="str">
        <f>IFERROR(IF('PDCA review'!$D$2=Act!B196,Act!G196,""),"")</f>
        <v/>
      </c>
      <c r="C195">
        <f t="shared" si="6"/>
        <v>0</v>
      </c>
      <c r="D195">
        <f>SUM($C$3:C195)</f>
        <v>4</v>
      </c>
      <c r="E195" t="e">
        <f t="shared" si="7"/>
        <v>#N/A</v>
      </c>
      <c r="F195" s="28" t="str">
        <f t="shared" ca="1" si="8"/>
        <v/>
      </c>
    </row>
    <row r="196" spans="2:6" x14ac:dyDescent="0.2">
      <c r="B196" t="str">
        <f>IFERROR(IF('PDCA review'!$D$2=Act!B197,Act!G197,""),"")</f>
        <v/>
      </c>
      <c r="C196">
        <f t="shared" ref="C196:C259" si="9">IF(B196&lt;&gt;"",1,0)</f>
        <v>0</v>
      </c>
      <c r="D196">
        <f>SUM($C$3:C196)</f>
        <v>4</v>
      </c>
      <c r="E196" t="e">
        <f t="shared" ref="E196:E259" si="10">MATCH(ROW()-$D$2,$D$3:$D$2000,0)+$D$2</f>
        <v>#N/A</v>
      </c>
      <c r="F196" s="28" t="str">
        <f t="shared" ref="F196:F259" ca="1" si="11">IFERROR(INDIRECT("B"&amp;E196),"")</f>
        <v/>
      </c>
    </row>
    <row r="197" spans="2:6" x14ac:dyDescent="0.2">
      <c r="B197" t="str">
        <f>IFERROR(IF('PDCA review'!$D$2=Act!B198,Act!G198,""),"")</f>
        <v/>
      </c>
      <c r="C197">
        <f t="shared" si="9"/>
        <v>0</v>
      </c>
      <c r="D197">
        <f>SUM($C$3:C197)</f>
        <v>4</v>
      </c>
      <c r="E197" t="e">
        <f t="shared" si="10"/>
        <v>#N/A</v>
      </c>
      <c r="F197" s="28" t="str">
        <f t="shared" ca="1" si="11"/>
        <v/>
      </c>
    </row>
    <row r="198" spans="2:6" x14ac:dyDescent="0.2">
      <c r="B198" t="str">
        <f>IFERROR(IF('PDCA review'!$D$2=Act!B199,Act!G199,""),"")</f>
        <v/>
      </c>
      <c r="C198">
        <f t="shared" si="9"/>
        <v>0</v>
      </c>
      <c r="D198">
        <f>SUM($C$3:C198)</f>
        <v>4</v>
      </c>
      <c r="E198" t="e">
        <f t="shared" si="10"/>
        <v>#N/A</v>
      </c>
      <c r="F198" s="28" t="str">
        <f t="shared" ca="1" si="11"/>
        <v/>
      </c>
    </row>
    <row r="199" spans="2:6" x14ac:dyDescent="0.2">
      <c r="B199" t="str">
        <f>IFERROR(IF('PDCA review'!$D$2=Act!B200,Act!G200,""),"")</f>
        <v/>
      </c>
      <c r="C199">
        <f t="shared" si="9"/>
        <v>0</v>
      </c>
      <c r="D199">
        <f>SUM($C$3:C199)</f>
        <v>4</v>
      </c>
      <c r="E199" t="e">
        <f t="shared" si="10"/>
        <v>#N/A</v>
      </c>
      <c r="F199" s="28" t="str">
        <f t="shared" ca="1" si="11"/>
        <v/>
      </c>
    </row>
    <row r="200" spans="2:6" x14ac:dyDescent="0.2">
      <c r="B200" t="str">
        <f>IFERROR(IF('PDCA review'!$D$2=Act!B201,Act!G201,""),"")</f>
        <v/>
      </c>
      <c r="C200">
        <f t="shared" si="9"/>
        <v>0</v>
      </c>
      <c r="D200">
        <f>SUM($C$3:C200)</f>
        <v>4</v>
      </c>
      <c r="E200" t="e">
        <f t="shared" si="10"/>
        <v>#N/A</v>
      </c>
      <c r="F200" s="28" t="str">
        <f t="shared" ca="1" si="11"/>
        <v/>
      </c>
    </row>
    <row r="201" spans="2:6" x14ac:dyDescent="0.2">
      <c r="B201" t="str">
        <f>IFERROR(IF('PDCA review'!$D$2=Act!B202,Act!G202,""),"")</f>
        <v/>
      </c>
      <c r="C201">
        <f t="shared" si="9"/>
        <v>0</v>
      </c>
      <c r="D201">
        <f>SUM($C$3:C201)</f>
        <v>4</v>
      </c>
      <c r="E201" t="e">
        <f t="shared" si="10"/>
        <v>#N/A</v>
      </c>
      <c r="F201" s="28" t="str">
        <f t="shared" ca="1" si="11"/>
        <v/>
      </c>
    </row>
    <row r="202" spans="2:6" x14ac:dyDescent="0.2">
      <c r="B202" t="str">
        <f>IFERROR(IF('PDCA review'!$D$2=Act!B203,Act!G203,""),"")</f>
        <v/>
      </c>
      <c r="C202">
        <f t="shared" si="9"/>
        <v>0</v>
      </c>
      <c r="D202">
        <f>SUM($C$3:C202)</f>
        <v>4</v>
      </c>
      <c r="E202" t="e">
        <f t="shared" si="10"/>
        <v>#N/A</v>
      </c>
      <c r="F202" s="28" t="str">
        <f t="shared" ca="1" si="11"/>
        <v/>
      </c>
    </row>
    <row r="203" spans="2:6" x14ac:dyDescent="0.2">
      <c r="B203" t="str">
        <f>IFERROR(IF('PDCA review'!$D$2=Act!B204,Act!G204,""),"")</f>
        <v/>
      </c>
      <c r="C203">
        <f t="shared" si="9"/>
        <v>0</v>
      </c>
      <c r="D203">
        <f>SUM($C$3:C203)</f>
        <v>4</v>
      </c>
      <c r="E203" t="e">
        <f t="shared" si="10"/>
        <v>#N/A</v>
      </c>
      <c r="F203" s="28" t="str">
        <f t="shared" ca="1" si="11"/>
        <v/>
      </c>
    </row>
    <row r="204" spans="2:6" x14ac:dyDescent="0.2">
      <c r="B204" t="str">
        <f>IFERROR(IF('PDCA review'!$D$2=Act!B205,Act!G205,""),"")</f>
        <v/>
      </c>
      <c r="C204">
        <f t="shared" si="9"/>
        <v>0</v>
      </c>
      <c r="D204">
        <f>SUM($C$3:C204)</f>
        <v>4</v>
      </c>
      <c r="E204" t="e">
        <f t="shared" si="10"/>
        <v>#N/A</v>
      </c>
      <c r="F204" s="28" t="str">
        <f t="shared" ca="1" si="11"/>
        <v/>
      </c>
    </row>
    <row r="205" spans="2:6" x14ac:dyDescent="0.2">
      <c r="B205" t="str">
        <f>IFERROR(IF('PDCA review'!$D$2=Act!B206,Act!G206,""),"")</f>
        <v/>
      </c>
      <c r="C205">
        <f t="shared" si="9"/>
        <v>0</v>
      </c>
      <c r="D205">
        <f>SUM($C$3:C205)</f>
        <v>4</v>
      </c>
      <c r="E205" t="e">
        <f t="shared" si="10"/>
        <v>#N/A</v>
      </c>
      <c r="F205" s="28" t="str">
        <f t="shared" ca="1" si="11"/>
        <v/>
      </c>
    </row>
    <row r="206" spans="2:6" x14ac:dyDescent="0.2">
      <c r="B206" t="str">
        <f>IFERROR(IF('PDCA review'!$D$2=Act!B207,Act!G207,""),"")</f>
        <v/>
      </c>
      <c r="C206">
        <f t="shared" si="9"/>
        <v>0</v>
      </c>
      <c r="D206">
        <f>SUM($C$3:C206)</f>
        <v>4</v>
      </c>
      <c r="E206" t="e">
        <f t="shared" si="10"/>
        <v>#N/A</v>
      </c>
      <c r="F206" s="28" t="str">
        <f t="shared" ca="1" si="11"/>
        <v/>
      </c>
    </row>
    <row r="207" spans="2:6" x14ac:dyDescent="0.2">
      <c r="B207" t="str">
        <f>IFERROR(IF('PDCA review'!$D$2=Act!B208,Act!G208,""),"")</f>
        <v/>
      </c>
      <c r="C207">
        <f t="shared" si="9"/>
        <v>0</v>
      </c>
      <c r="D207">
        <f>SUM($C$3:C207)</f>
        <v>4</v>
      </c>
      <c r="E207" t="e">
        <f t="shared" si="10"/>
        <v>#N/A</v>
      </c>
      <c r="F207" s="28" t="str">
        <f t="shared" ca="1" si="11"/>
        <v/>
      </c>
    </row>
    <row r="208" spans="2:6" x14ac:dyDescent="0.2">
      <c r="B208" t="str">
        <f>IFERROR(IF('PDCA review'!$D$2=Act!B209,Act!G209,""),"")</f>
        <v/>
      </c>
      <c r="C208">
        <f t="shared" si="9"/>
        <v>0</v>
      </c>
      <c r="D208">
        <f>SUM($C$3:C208)</f>
        <v>4</v>
      </c>
      <c r="E208" t="e">
        <f t="shared" si="10"/>
        <v>#N/A</v>
      </c>
      <c r="F208" s="28" t="str">
        <f t="shared" ca="1" si="11"/>
        <v/>
      </c>
    </row>
    <row r="209" spans="2:6" x14ac:dyDescent="0.2">
      <c r="B209" t="str">
        <f>IFERROR(IF('PDCA review'!$D$2=Act!B210,Act!G210,""),"")</f>
        <v/>
      </c>
      <c r="C209">
        <f t="shared" si="9"/>
        <v>0</v>
      </c>
      <c r="D209">
        <f>SUM($C$3:C209)</f>
        <v>4</v>
      </c>
      <c r="E209" t="e">
        <f t="shared" si="10"/>
        <v>#N/A</v>
      </c>
      <c r="F209" s="28" t="str">
        <f t="shared" ca="1" si="11"/>
        <v/>
      </c>
    </row>
    <row r="210" spans="2:6" x14ac:dyDescent="0.2">
      <c r="B210" t="str">
        <f>IFERROR(IF('PDCA review'!$D$2=Act!B211,Act!G211,""),"")</f>
        <v/>
      </c>
      <c r="C210">
        <f t="shared" si="9"/>
        <v>0</v>
      </c>
      <c r="D210">
        <f>SUM($C$3:C210)</f>
        <v>4</v>
      </c>
      <c r="E210" t="e">
        <f t="shared" si="10"/>
        <v>#N/A</v>
      </c>
      <c r="F210" s="28" t="str">
        <f t="shared" ca="1" si="11"/>
        <v/>
      </c>
    </row>
    <row r="211" spans="2:6" x14ac:dyDescent="0.2">
      <c r="B211" t="str">
        <f>IFERROR(IF('PDCA review'!$D$2=Act!B212,Act!G212,""),"")</f>
        <v/>
      </c>
      <c r="C211">
        <f t="shared" si="9"/>
        <v>0</v>
      </c>
      <c r="D211">
        <f>SUM($C$3:C211)</f>
        <v>4</v>
      </c>
      <c r="E211" t="e">
        <f t="shared" si="10"/>
        <v>#N/A</v>
      </c>
      <c r="F211" s="28" t="str">
        <f t="shared" ca="1" si="11"/>
        <v/>
      </c>
    </row>
    <row r="212" spans="2:6" x14ac:dyDescent="0.2">
      <c r="B212" t="str">
        <f>IFERROR(IF('PDCA review'!$D$2=Act!B213,Act!G213,""),"")</f>
        <v/>
      </c>
      <c r="C212">
        <f t="shared" si="9"/>
        <v>0</v>
      </c>
      <c r="D212">
        <f>SUM($C$3:C212)</f>
        <v>4</v>
      </c>
      <c r="E212" t="e">
        <f t="shared" si="10"/>
        <v>#N/A</v>
      </c>
      <c r="F212" s="28" t="str">
        <f t="shared" ca="1" si="11"/>
        <v/>
      </c>
    </row>
    <row r="213" spans="2:6" x14ac:dyDescent="0.2">
      <c r="B213" t="str">
        <f>IFERROR(IF('PDCA review'!$D$2=Act!B214,Act!G214,""),"")</f>
        <v/>
      </c>
      <c r="C213">
        <f t="shared" si="9"/>
        <v>0</v>
      </c>
      <c r="D213">
        <f>SUM($C$3:C213)</f>
        <v>4</v>
      </c>
      <c r="E213" t="e">
        <f t="shared" si="10"/>
        <v>#N/A</v>
      </c>
      <c r="F213" s="28" t="str">
        <f t="shared" ca="1" si="11"/>
        <v/>
      </c>
    </row>
    <row r="214" spans="2:6" x14ac:dyDescent="0.2">
      <c r="B214" t="str">
        <f>IFERROR(IF('PDCA review'!$D$2=Act!B215,Act!G215,""),"")</f>
        <v/>
      </c>
      <c r="C214">
        <f t="shared" si="9"/>
        <v>0</v>
      </c>
      <c r="D214">
        <f>SUM($C$3:C214)</f>
        <v>4</v>
      </c>
      <c r="E214" t="e">
        <f t="shared" si="10"/>
        <v>#N/A</v>
      </c>
      <c r="F214" s="28" t="str">
        <f t="shared" ca="1" si="11"/>
        <v/>
      </c>
    </row>
    <row r="215" spans="2:6" x14ac:dyDescent="0.2">
      <c r="B215" t="str">
        <f>IFERROR(IF('PDCA review'!$D$2=Act!B216,Act!G216,""),"")</f>
        <v/>
      </c>
      <c r="C215">
        <f t="shared" si="9"/>
        <v>0</v>
      </c>
      <c r="D215">
        <f>SUM($C$3:C215)</f>
        <v>4</v>
      </c>
      <c r="E215" t="e">
        <f t="shared" si="10"/>
        <v>#N/A</v>
      </c>
      <c r="F215" s="28" t="str">
        <f t="shared" ca="1" si="11"/>
        <v/>
      </c>
    </row>
    <row r="216" spans="2:6" x14ac:dyDescent="0.2">
      <c r="B216" t="str">
        <f>IFERROR(IF('PDCA review'!$D$2=Act!B217,Act!G217,""),"")</f>
        <v/>
      </c>
      <c r="C216">
        <f t="shared" si="9"/>
        <v>0</v>
      </c>
      <c r="D216">
        <f>SUM($C$3:C216)</f>
        <v>4</v>
      </c>
      <c r="E216" t="e">
        <f t="shared" si="10"/>
        <v>#N/A</v>
      </c>
      <c r="F216" s="28" t="str">
        <f t="shared" ca="1" si="11"/>
        <v/>
      </c>
    </row>
    <row r="217" spans="2:6" x14ac:dyDescent="0.2">
      <c r="B217" t="str">
        <f>IFERROR(IF('PDCA review'!$D$2=Act!B218,Act!G218,""),"")</f>
        <v/>
      </c>
      <c r="C217">
        <f t="shared" si="9"/>
        <v>0</v>
      </c>
      <c r="D217">
        <f>SUM($C$3:C217)</f>
        <v>4</v>
      </c>
      <c r="E217" t="e">
        <f t="shared" si="10"/>
        <v>#N/A</v>
      </c>
      <c r="F217" s="28" t="str">
        <f t="shared" ca="1" si="11"/>
        <v/>
      </c>
    </row>
    <row r="218" spans="2:6" x14ac:dyDescent="0.2">
      <c r="B218" t="str">
        <f>IFERROR(IF('PDCA review'!$D$2=Act!B219,Act!G219,""),"")</f>
        <v/>
      </c>
      <c r="C218">
        <f t="shared" si="9"/>
        <v>0</v>
      </c>
      <c r="D218">
        <f>SUM($C$3:C218)</f>
        <v>4</v>
      </c>
      <c r="E218" t="e">
        <f t="shared" si="10"/>
        <v>#N/A</v>
      </c>
      <c r="F218" s="28" t="str">
        <f t="shared" ca="1" si="11"/>
        <v/>
      </c>
    </row>
    <row r="219" spans="2:6" x14ac:dyDescent="0.2">
      <c r="B219" t="str">
        <f>IFERROR(IF('PDCA review'!$D$2=Act!B220,Act!G220,""),"")</f>
        <v/>
      </c>
      <c r="C219">
        <f t="shared" si="9"/>
        <v>0</v>
      </c>
      <c r="D219">
        <f>SUM($C$3:C219)</f>
        <v>4</v>
      </c>
      <c r="E219" t="e">
        <f t="shared" si="10"/>
        <v>#N/A</v>
      </c>
      <c r="F219" s="28" t="str">
        <f t="shared" ca="1" si="11"/>
        <v/>
      </c>
    </row>
    <row r="220" spans="2:6" x14ac:dyDescent="0.2">
      <c r="B220" t="str">
        <f>IFERROR(IF('PDCA review'!$D$2=Act!B221,Act!G221,""),"")</f>
        <v/>
      </c>
      <c r="C220">
        <f t="shared" si="9"/>
        <v>0</v>
      </c>
      <c r="D220">
        <f>SUM($C$3:C220)</f>
        <v>4</v>
      </c>
      <c r="E220" t="e">
        <f t="shared" si="10"/>
        <v>#N/A</v>
      </c>
      <c r="F220" s="28" t="str">
        <f t="shared" ca="1" si="11"/>
        <v/>
      </c>
    </row>
    <row r="221" spans="2:6" x14ac:dyDescent="0.2">
      <c r="B221" t="str">
        <f>IFERROR(IF('PDCA review'!$D$2=Act!B222,Act!G222,""),"")</f>
        <v/>
      </c>
      <c r="C221">
        <f t="shared" si="9"/>
        <v>0</v>
      </c>
      <c r="D221">
        <f>SUM($C$3:C221)</f>
        <v>4</v>
      </c>
      <c r="E221" t="e">
        <f t="shared" si="10"/>
        <v>#N/A</v>
      </c>
      <c r="F221" s="28" t="str">
        <f t="shared" ca="1" si="11"/>
        <v/>
      </c>
    </row>
    <row r="222" spans="2:6" x14ac:dyDescent="0.2">
      <c r="B222" t="str">
        <f>IFERROR(IF('PDCA review'!$D$2=Act!B223,Act!G223,""),"")</f>
        <v/>
      </c>
      <c r="C222">
        <f t="shared" si="9"/>
        <v>0</v>
      </c>
      <c r="D222">
        <f>SUM($C$3:C222)</f>
        <v>4</v>
      </c>
      <c r="E222" t="e">
        <f t="shared" si="10"/>
        <v>#N/A</v>
      </c>
      <c r="F222" s="28" t="str">
        <f t="shared" ca="1" si="11"/>
        <v/>
      </c>
    </row>
    <row r="223" spans="2:6" x14ac:dyDescent="0.2">
      <c r="B223" t="str">
        <f>IFERROR(IF('PDCA review'!$D$2=Act!B224,Act!G224,""),"")</f>
        <v/>
      </c>
      <c r="C223">
        <f t="shared" si="9"/>
        <v>0</v>
      </c>
      <c r="D223">
        <f>SUM($C$3:C223)</f>
        <v>4</v>
      </c>
      <c r="E223" t="e">
        <f t="shared" si="10"/>
        <v>#N/A</v>
      </c>
      <c r="F223" s="28" t="str">
        <f t="shared" ca="1" si="11"/>
        <v/>
      </c>
    </row>
    <row r="224" spans="2:6" x14ac:dyDescent="0.2">
      <c r="B224" t="str">
        <f>IFERROR(IF('PDCA review'!$D$2=Act!B225,Act!G225,""),"")</f>
        <v/>
      </c>
      <c r="C224">
        <f t="shared" si="9"/>
        <v>0</v>
      </c>
      <c r="D224">
        <f>SUM($C$3:C224)</f>
        <v>4</v>
      </c>
      <c r="E224" t="e">
        <f t="shared" si="10"/>
        <v>#N/A</v>
      </c>
      <c r="F224" s="28" t="str">
        <f t="shared" ca="1" si="11"/>
        <v/>
      </c>
    </row>
    <row r="225" spans="2:6" x14ac:dyDescent="0.2">
      <c r="B225" t="str">
        <f>IFERROR(IF('PDCA review'!$D$2=Act!B226,Act!G226,""),"")</f>
        <v/>
      </c>
      <c r="C225">
        <f t="shared" si="9"/>
        <v>0</v>
      </c>
      <c r="D225">
        <f>SUM($C$3:C225)</f>
        <v>4</v>
      </c>
      <c r="E225" t="e">
        <f t="shared" si="10"/>
        <v>#N/A</v>
      </c>
      <c r="F225" s="28" t="str">
        <f t="shared" ca="1" si="11"/>
        <v/>
      </c>
    </row>
    <row r="226" spans="2:6" x14ac:dyDescent="0.2">
      <c r="B226" t="str">
        <f>IFERROR(IF('PDCA review'!$D$2=Act!B227,Act!G227,""),"")</f>
        <v/>
      </c>
      <c r="C226">
        <f t="shared" si="9"/>
        <v>0</v>
      </c>
      <c r="D226">
        <f>SUM($C$3:C226)</f>
        <v>4</v>
      </c>
      <c r="E226" t="e">
        <f t="shared" si="10"/>
        <v>#N/A</v>
      </c>
      <c r="F226" s="28" t="str">
        <f t="shared" ca="1" si="11"/>
        <v/>
      </c>
    </row>
    <row r="227" spans="2:6" x14ac:dyDescent="0.2">
      <c r="B227" t="str">
        <f>IFERROR(IF('PDCA review'!$D$2=Act!B228,Act!G228,""),"")</f>
        <v/>
      </c>
      <c r="C227">
        <f t="shared" si="9"/>
        <v>0</v>
      </c>
      <c r="D227">
        <f>SUM($C$3:C227)</f>
        <v>4</v>
      </c>
      <c r="E227" t="e">
        <f t="shared" si="10"/>
        <v>#N/A</v>
      </c>
      <c r="F227" s="28" t="str">
        <f t="shared" ca="1" si="11"/>
        <v/>
      </c>
    </row>
    <row r="228" spans="2:6" x14ac:dyDescent="0.2">
      <c r="B228" t="str">
        <f>IFERROR(IF('PDCA review'!$D$2=Act!B229,Act!G229,""),"")</f>
        <v/>
      </c>
      <c r="C228">
        <f t="shared" si="9"/>
        <v>0</v>
      </c>
      <c r="D228">
        <f>SUM($C$3:C228)</f>
        <v>4</v>
      </c>
      <c r="E228" t="e">
        <f t="shared" si="10"/>
        <v>#N/A</v>
      </c>
      <c r="F228" s="28" t="str">
        <f t="shared" ca="1" si="11"/>
        <v/>
      </c>
    </row>
    <row r="229" spans="2:6" x14ac:dyDescent="0.2">
      <c r="B229" t="str">
        <f>IFERROR(IF('PDCA review'!$D$2=Act!B230,Act!G230,""),"")</f>
        <v/>
      </c>
      <c r="C229">
        <f t="shared" si="9"/>
        <v>0</v>
      </c>
      <c r="D229">
        <f>SUM($C$3:C229)</f>
        <v>4</v>
      </c>
      <c r="E229" t="e">
        <f t="shared" si="10"/>
        <v>#N/A</v>
      </c>
      <c r="F229" s="28" t="str">
        <f t="shared" ca="1" si="11"/>
        <v/>
      </c>
    </row>
    <row r="230" spans="2:6" x14ac:dyDescent="0.2">
      <c r="B230" t="str">
        <f>IFERROR(IF('PDCA review'!$D$2=Act!B231,Act!G231,""),"")</f>
        <v/>
      </c>
      <c r="C230">
        <f t="shared" si="9"/>
        <v>0</v>
      </c>
      <c r="D230">
        <f>SUM($C$3:C230)</f>
        <v>4</v>
      </c>
      <c r="E230" t="e">
        <f t="shared" si="10"/>
        <v>#N/A</v>
      </c>
      <c r="F230" s="28" t="str">
        <f t="shared" ca="1" si="11"/>
        <v/>
      </c>
    </row>
    <row r="231" spans="2:6" x14ac:dyDescent="0.2">
      <c r="B231" t="str">
        <f>IFERROR(IF('PDCA review'!$D$2=Act!B232,Act!G232,""),"")</f>
        <v/>
      </c>
      <c r="C231">
        <f t="shared" si="9"/>
        <v>0</v>
      </c>
      <c r="D231">
        <f>SUM($C$3:C231)</f>
        <v>4</v>
      </c>
      <c r="E231" t="e">
        <f t="shared" si="10"/>
        <v>#N/A</v>
      </c>
      <c r="F231" s="28" t="str">
        <f t="shared" ca="1" si="11"/>
        <v/>
      </c>
    </row>
    <row r="232" spans="2:6" x14ac:dyDescent="0.2">
      <c r="B232" t="str">
        <f>IFERROR(IF('PDCA review'!$D$2=Act!B233,Act!G233,""),"")</f>
        <v/>
      </c>
      <c r="C232">
        <f t="shared" si="9"/>
        <v>0</v>
      </c>
      <c r="D232">
        <f>SUM($C$3:C232)</f>
        <v>4</v>
      </c>
      <c r="E232" t="e">
        <f t="shared" si="10"/>
        <v>#N/A</v>
      </c>
      <c r="F232" s="28" t="str">
        <f t="shared" ca="1" si="11"/>
        <v/>
      </c>
    </row>
    <row r="233" spans="2:6" x14ac:dyDescent="0.2">
      <c r="B233" t="str">
        <f>IFERROR(IF('PDCA review'!$D$2=Act!B234,Act!G234,""),"")</f>
        <v/>
      </c>
      <c r="C233">
        <f t="shared" si="9"/>
        <v>0</v>
      </c>
      <c r="D233">
        <f>SUM($C$3:C233)</f>
        <v>4</v>
      </c>
      <c r="E233" t="e">
        <f t="shared" si="10"/>
        <v>#N/A</v>
      </c>
      <c r="F233" s="28" t="str">
        <f t="shared" ca="1" si="11"/>
        <v/>
      </c>
    </row>
    <row r="234" spans="2:6" x14ac:dyDescent="0.2">
      <c r="B234" t="str">
        <f>IFERROR(IF('PDCA review'!$D$2=Act!B235,Act!G235,""),"")</f>
        <v/>
      </c>
      <c r="C234">
        <f t="shared" si="9"/>
        <v>0</v>
      </c>
      <c r="D234">
        <f>SUM($C$3:C234)</f>
        <v>4</v>
      </c>
      <c r="E234" t="e">
        <f t="shared" si="10"/>
        <v>#N/A</v>
      </c>
      <c r="F234" s="28" t="str">
        <f t="shared" ca="1" si="11"/>
        <v/>
      </c>
    </row>
    <row r="235" spans="2:6" x14ac:dyDescent="0.2">
      <c r="B235" t="str">
        <f>IFERROR(IF('PDCA review'!$D$2=Act!B236,Act!G236,""),"")</f>
        <v/>
      </c>
      <c r="C235">
        <f t="shared" si="9"/>
        <v>0</v>
      </c>
      <c r="D235">
        <f>SUM($C$3:C235)</f>
        <v>4</v>
      </c>
      <c r="E235" t="e">
        <f t="shared" si="10"/>
        <v>#N/A</v>
      </c>
      <c r="F235" s="28" t="str">
        <f t="shared" ca="1" si="11"/>
        <v/>
      </c>
    </row>
    <row r="236" spans="2:6" x14ac:dyDescent="0.2">
      <c r="B236" t="str">
        <f>IFERROR(IF('PDCA review'!$D$2=Act!B237,Act!G237,""),"")</f>
        <v/>
      </c>
      <c r="C236">
        <f t="shared" si="9"/>
        <v>0</v>
      </c>
      <c r="D236">
        <f>SUM($C$3:C236)</f>
        <v>4</v>
      </c>
      <c r="E236" t="e">
        <f t="shared" si="10"/>
        <v>#N/A</v>
      </c>
      <c r="F236" s="28" t="str">
        <f t="shared" ca="1" si="11"/>
        <v/>
      </c>
    </row>
    <row r="237" spans="2:6" x14ac:dyDescent="0.2">
      <c r="B237" t="str">
        <f>IFERROR(IF('PDCA review'!$D$2=Act!B238,Act!G238,""),"")</f>
        <v/>
      </c>
      <c r="C237">
        <f t="shared" si="9"/>
        <v>0</v>
      </c>
      <c r="D237">
        <f>SUM($C$3:C237)</f>
        <v>4</v>
      </c>
      <c r="E237" t="e">
        <f t="shared" si="10"/>
        <v>#N/A</v>
      </c>
      <c r="F237" s="28" t="str">
        <f t="shared" ca="1" si="11"/>
        <v/>
      </c>
    </row>
    <row r="238" spans="2:6" x14ac:dyDescent="0.2">
      <c r="B238" t="str">
        <f>IFERROR(IF('PDCA review'!$D$2=Act!B239,Act!G239,""),"")</f>
        <v/>
      </c>
      <c r="C238">
        <f t="shared" si="9"/>
        <v>0</v>
      </c>
      <c r="D238">
        <f>SUM($C$3:C238)</f>
        <v>4</v>
      </c>
      <c r="E238" t="e">
        <f t="shared" si="10"/>
        <v>#N/A</v>
      </c>
      <c r="F238" s="28" t="str">
        <f t="shared" ca="1" si="11"/>
        <v/>
      </c>
    </row>
    <row r="239" spans="2:6" x14ac:dyDescent="0.2">
      <c r="B239" t="str">
        <f>IFERROR(IF('PDCA review'!$D$2=Act!B240,Act!G240,""),"")</f>
        <v/>
      </c>
      <c r="C239">
        <f t="shared" si="9"/>
        <v>0</v>
      </c>
      <c r="D239">
        <f>SUM($C$3:C239)</f>
        <v>4</v>
      </c>
      <c r="E239" t="e">
        <f t="shared" si="10"/>
        <v>#N/A</v>
      </c>
      <c r="F239" s="28" t="str">
        <f t="shared" ca="1" si="11"/>
        <v/>
      </c>
    </row>
    <row r="240" spans="2:6" x14ac:dyDescent="0.2">
      <c r="B240" t="str">
        <f>IFERROR(IF('PDCA review'!$D$2=Act!B241,Act!G241,""),"")</f>
        <v/>
      </c>
      <c r="C240">
        <f t="shared" si="9"/>
        <v>0</v>
      </c>
      <c r="D240">
        <f>SUM($C$3:C240)</f>
        <v>4</v>
      </c>
      <c r="E240" t="e">
        <f t="shared" si="10"/>
        <v>#N/A</v>
      </c>
      <c r="F240" s="28" t="str">
        <f t="shared" ca="1" si="11"/>
        <v/>
      </c>
    </row>
    <row r="241" spans="2:6" x14ac:dyDescent="0.2">
      <c r="B241" t="str">
        <f>IFERROR(IF('PDCA review'!$D$2=Act!B242,Act!G242,""),"")</f>
        <v/>
      </c>
      <c r="C241">
        <f t="shared" si="9"/>
        <v>0</v>
      </c>
      <c r="D241">
        <f>SUM($C$3:C241)</f>
        <v>4</v>
      </c>
      <c r="E241" t="e">
        <f t="shared" si="10"/>
        <v>#N/A</v>
      </c>
      <c r="F241" s="28" t="str">
        <f t="shared" ca="1" si="11"/>
        <v/>
      </c>
    </row>
    <row r="242" spans="2:6" x14ac:dyDescent="0.2">
      <c r="B242" t="str">
        <f>IFERROR(IF('PDCA review'!$D$2=Act!B243,Act!G243,""),"")</f>
        <v/>
      </c>
      <c r="C242">
        <f t="shared" si="9"/>
        <v>0</v>
      </c>
      <c r="D242">
        <f>SUM($C$3:C242)</f>
        <v>4</v>
      </c>
      <c r="E242" t="e">
        <f t="shared" si="10"/>
        <v>#N/A</v>
      </c>
      <c r="F242" s="28" t="str">
        <f t="shared" ca="1" si="11"/>
        <v/>
      </c>
    </row>
    <row r="243" spans="2:6" x14ac:dyDescent="0.2">
      <c r="B243" t="str">
        <f>IFERROR(IF('PDCA review'!$D$2=Act!B244,Act!G244,""),"")</f>
        <v/>
      </c>
      <c r="C243">
        <f t="shared" si="9"/>
        <v>0</v>
      </c>
      <c r="D243">
        <f>SUM($C$3:C243)</f>
        <v>4</v>
      </c>
      <c r="E243" t="e">
        <f t="shared" si="10"/>
        <v>#N/A</v>
      </c>
      <c r="F243" s="28" t="str">
        <f t="shared" ca="1" si="11"/>
        <v/>
      </c>
    </row>
    <row r="244" spans="2:6" x14ac:dyDescent="0.2">
      <c r="B244" t="str">
        <f>IFERROR(IF('PDCA review'!$D$2=Act!B245,Act!G245,""),"")</f>
        <v/>
      </c>
      <c r="C244">
        <f t="shared" si="9"/>
        <v>0</v>
      </c>
      <c r="D244">
        <f>SUM($C$3:C244)</f>
        <v>4</v>
      </c>
      <c r="E244" t="e">
        <f t="shared" si="10"/>
        <v>#N/A</v>
      </c>
      <c r="F244" s="28" t="str">
        <f t="shared" ca="1" si="11"/>
        <v/>
      </c>
    </row>
    <row r="245" spans="2:6" x14ac:dyDescent="0.2">
      <c r="B245" t="str">
        <f>IFERROR(IF('PDCA review'!$D$2=Act!B246,Act!G246,""),"")</f>
        <v/>
      </c>
      <c r="C245">
        <f t="shared" si="9"/>
        <v>0</v>
      </c>
      <c r="D245">
        <f>SUM($C$3:C245)</f>
        <v>4</v>
      </c>
      <c r="E245" t="e">
        <f t="shared" si="10"/>
        <v>#N/A</v>
      </c>
      <c r="F245" s="28" t="str">
        <f t="shared" ca="1" si="11"/>
        <v/>
      </c>
    </row>
    <row r="246" spans="2:6" x14ac:dyDescent="0.2">
      <c r="B246" t="str">
        <f>IFERROR(IF('PDCA review'!$D$2=Act!B247,Act!G247,""),"")</f>
        <v/>
      </c>
      <c r="C246">
        <f t="shared" si="9"/>
        <v>0</v>
      </c>
      <c r="D246">
        <f>SUM($C$3:C246)</f>
        <v>4</v>
      </c>
      <c r="E246" t="e">
        <f t="shared" si="10"/>
        <v>#N/A</v>
      </c>
      <c r="F246" s="28" t="str">
        <f t="shared" ca="1" si="11"/>
        <v/>
      </c>
    </row>
    <row r="247" spans="2:6" x14ac:dyDescent="0.2">
      <c r="B247" t="str">
        <f>IFERROR(IF('PDCA review'!$D$2=Act!B248,Act!G248,""),"")</f>
        <v/>
      </c>
      <c r="C247">
        <f t="shared" si="9"/>
        <v>0</v>
      </c>
      <c r="D247">
        <f>SUM($C$3:C247)</f>
        <v>4</v>
      </c>
      <c r="E247" t="e">
        <f t="shared" si="10"/>
        <v>#N/A</v>
      </c>
      <c r="F247" s="28" t="str">
        <f t="shared" ca="1" si="11"/>
        <v/>
      </c>
    </row>
    <row r="248" spans="2:6" x14ac:dyDescent="0.2">
      <c r="B248" t="str">
        <f>IFERROR(IF('PDCA review'!$D$2=Act!B249,Act!G249,""),"")</f>
        <v/>
      </c>
      <c r="C248">
        <f t="shared" si="9"/>
        <v>0</v>
      </c>
      <c r="D248">
        <f>SUM($C$3:C248)</f>
        <v>4</v>
      </c>
      <c r="E248" t="e">
        <f t="shared" si="10"/>
        <v>#N/A</v>
      </c>
      <c r="F248" s="28" t="str">
        <f t="shared" ca="1" si="11"/>
        <v/>
      </c>
    </row>
    <row r="249" spans="2:6" x14ac:dyDescent="0.2">
      <c r="B249" t="str">
        <f>IFERROR(IF('PDCA review'!$D$2=Act!B250,Act!G250,""),"")</f>
        <v/>
      </c>
      <c r="C249">
        <f t="shared" si="9"/>
        <v>0</v>
      </c>
      <c r="D249">
        <f>SUM($C$3:C249)</f>
        <v>4</v>
      </c>
      <c r="E249" t="e">
        <f t="shared" si="10"/>
        <v>#N/A</v>
      </c>
      <c r="F249" s="28" t="str">
        <f t="shared" ca="1" si="11"/>
        <v/>
      </c>
    </row>
    <row r="250" spans="2:6" x14ac:dyDescent="0.2">
      <c r="B250" t="str">
        <f>IFERROR(IF('PDCA review'!$D$2=Act!B251,Act!G251,""),"")</f>
        <v/>
      </c>
      <c r="C250">
        <f t="shared" si="9"/>
        <v>0</v>
      </c>
      <c r="D250">
        <f>SUM($C$3:C250)</f>
        <v>4</v>
      </c>
      <c r="E250" t="e">
        <f t="shared" si="10"/>
        <v>#N/A</v>
      </c>
      <c r="F250" s="28" t="str">
        <f t="shared" ca="1" si="11"/>
        <v/>
      </c>
    </row>
    <row r="251" spans="2:6" x14ac:dyDescent="0.2">
      <c r="B251" t="str">
        <f>IFERROR(IF('PDCA review'!$D$2=Act!B252,Act!G252,""),"")</f>
        <v/>
      </c>
      <c r="C251">
        <f t="shared" si="9"/>
        <v>0</v>
      </c>
      <c r="D251">
        <f>SUM($C$3:C251)</f>
        <v>4</v>
      </c>
      <c r="E251" t="e">
        <f t="shared" si="10"/>
        <v>#N/A</v>
      </c>
      <c r="F251" s="28" t="str">
        <f t="shared" ca="1" si="11"/>
        <v/>
      </c>
    </row>
    <row r="252" spans="2:6" x14ac:dyDescent="0.2">
      <c r="B252" t="str">
        <f>IFERROR(IF('PDCA review'!$D$2=Act!B253,Act!G253,""),"")</f>
        <v/>
      </c>
      <c r="C252">
        <f t="shared" si="9"/>
        <v>0</v>
      </c>
      <c r="D252">
        <f>SUM($C$3:C252)</f>
        <v>4</v>
      </c>
      <c r="E252" t="e">
        <f t="shared" si="10"/>
        <v>#N/A</v>
      </c>
      <c r="F252" s="28" t="str">
        <f t="shared" ca="1" si="11"/>
        <v/>
      </c>
    </row>
    <row r="253" spans="2:6" x14ac:dyDescent="0.2">
      <c r="B253" t="str">
        <f>IFERROR(IF('PDCA review'!$D$2=Act!B254,Act!G254,""),"")</f>
        <v/>
      </c>
      <c r="C253">
        <f t="shared" si="9"/>
        <v>0</v>
      </c>
      <c r="D253">
        <f>SUM($C$3:C253)</f>
        <v>4</v>
      </c>
      <c r="E253" t="e">
        <f t="shared" si="10"/>
        <v>#N/A</v>
      </c>
      <c r="F253" s="28" t="str">
        <f t="shared" ca="1" si="11"/>
        <v/>
      </c>
    </row>
    <row r="254" spans="2:6" x14ac:dyDescent="0.2">
      <c r="B254" t="str">
        <f>IFERROR(IF('PDCA review'!$D$2=Act!B255,Act!G255,""),"")</f>
        <v/>
      </c>
      <c r="C254">
        <f t="shared" si="9"/>
        <v>0</v>
      </c>
      <c r="D254">
        <f>SUM($C$3:C254)</f>
        <v>4</v>
      </c>
      <c r="E254" t="e">
        <f t="shared" si="10"/>
        <v>#N/A</v>
      </c>
      <c r="F254" s="28" t="str">
        <f t="shared" ca="1" si="11"/>
        <v/>
      </c>
    </row>
    <row r="255" spans="2:6" x14ac:dyDescent="0.2">
      <c r="B255" t="str">
        <f>IFERROR(IF('PDCA review'!$D$2=Act!B256,Act!G256,""),"")</f>
        <v/>
      </c>
      <c r="C255">
        <f t="shared" si="9"/>
        <v>0</v>
      </c>
      <c r="D255">
        <f>SUM($C$3:C255)</f>
        <v>4</v>
      </c>
      <c r="E255" t="e">
        <f t="shared" si="10"/>
        <v>#N/A</v>
      </c>
      <c r="F255" s="28" t="str">
        <f t="shared" ca="1" si="11"/>
        <v/>
      </c>
    </row>
    <row r="256" spans="2:6" x14ac:dyDescent="0.2">
      <c r="B256" t="str">
        <f>IFERROR(IF('PDCA review'!$D$2=Act!B257,Act!G257,""),"")</f>
        <v/>
      </c>
      <c r="C256">
        <f t="shared" si="9"/>
        <v>0</v>
      </c>
      <c r="D256">
        <f>SUM($C$3:C256)</f>
        <v>4</v>
      </c>
      <c r="E256" t="e">
        <f t="shared" si="10"/>
        <v>#N/A</v>
      </c>
      <c r="F256" s="28" t="str">
        <f t="shared" ca="1" si="11"/>
        <v/>
      </c>
    </row>
    <row r="257" spans="2:6" x14ac:dyDescent="0.2">
      <c r="B257" t="str">
        <f>IFERROR(IF('PDCA review'!$D$2=Act!B258,Act!G258,""),"")</f>
        <v/>
      </c>
      <c r="C257">
        <f t="shared" si="9"/>
        <v>0</v>
      </c>
      <c r="D257">
        <f>SUM($C$3:C257)</f>
        <v>4</v>
      </c>
      <c r="E257" t="e">
        <f t="shared" si="10"/>
        <v>#N/A</v>
      </c>
      <c r="F257" s="28" t="str">
        <f t="shared" ca="1" si="11"/>
        <v/>
      </c>
    </row>
    <row r="258" spans="2:6" x14ac:dyDescent="0.2">
      <c r="B258" t="str">
        <f>IFERROR(IF('PDCA review'!$D$2=Act!B259,Act!G259,""),"")</f>
        <v/>
      </c>
      <c r="C258">
        <f t="shared" si="9"/>
        <v>0</v>
      </c>
      <c r="D258">
        <f>SUM($C$3:C258)</f>
        <v>4</v>
      </c>
      <c r="E258" t="e">
        <f t="shared" si="10"/>
        <v>#N/A</v>
      </c>
      <c r="F258" s="28" t="str">
        <f t="shared" ca="1" si="11"/>
        <v/>
      </c>
    </row>
    <row r="259" spans="2:6" x14ac:dyDescent="0.2">
      <c r="B259" t="str">
        <f>IFERROR(IF('PDCA review'!$D$2=Act!B260,Act!G260,""),"")</f>
        <v/>
      </c>
      <c r="C259">
        <f t="shared" si="9"/>
        <v>0</v>
      </c>
      <c r="D259">
        <f>SUM($C$3:C259)</f>
        <v>4</v>
      </c>
      <c r="E259" t="e">
        <f t="shared" si="10"/>
        <v>#N/A</v>
      </c>
      <c r="F259" s="28" t="str">
        <f t="shared" ca="1" si="11"/>
        <v/>
      </c>
    </row>
    <row r="260" spans="2:6" x14ac:dyDescent="0.2">
      <c r="B260" t="str">
        <f>IFERROR(IF('PDCA review'!$D$2=Act!B261,Act!G261,""),"")</f>
        <v/>
      </c>
      <c r="C260">
        <f t="shared" ref="C260:C323" si="12">IF(B260&lt;&gt;"",1,0)</f>
        <v>0</v>
      </c>
      <c r="D260">
        <f>SUM($C$3:C260)</f>
        <v>4</v>
      </c>
      <c r="E260" t="e">
        <f t="shared" ref="E260:E323" si="13">MATCH(ROW()-$D$2,$D$3:$D$2000,0)+$D$2</f>
        <v>#N/A</v>
      </c>
      <c r="F260" s="28" t="str">
        <f t="shared" ref="F260:F323" ca="1" si="14">IFERROR(INDIRECT("B"&amp;E260),"")</f>
        <v/>
      </c>
    </row>
    <row r="261" spans="2:6" x14ac:dyDescent="0.2">
      <c r="B261" t="str">
        <f>IFERROR(IF('PDCA review'!$D$2=Act!B262,Act!G262,""),"")</f>
        <v/>
      </c>
      <c r="C261">
        <f t="shared" si="12"/>
        <v>0</v>
      </c>
      <c r="D261">
        <f>SUM($C$3:C261)</f>
        <v>4</v>
      </c>
      <c r="E261" t="e">
        <f t="shared" si="13"/>
        <v>#N/A</v>
      </c>
      <c r="F261" s="28" t="str">
        <f t="shared" ca="1" si="14"/>
        <v/>
      </c>
    </row>
    <row r="262" spans="2:6" x14ac:dyDescent="0.2">
      <c r="B262" t="str">
        <f>IFERROR(IF('PDCA review'!$D$2=Act!B263,Act!G263,""),"")</f>
        <v/>
      </c>
      <c r="C262">
        <f t="shared" si="12"/>
        <v>0</v>
      </c>
      <c r="D262">
        <f>SUM($C$3:C262)</f>
        <v>4</v>
      </c>
      <c r="E262" t="e">
        <f t="shared" si="13"/>
        <v>#N/A</v>
      </c>
      <c r="F262" s="28" t="str">
        <f t="shared" ca="1" si="14"/>
        <v/>
      </c>
    </row>
    <row r="263" spans="2:6" x14ac:dyDescent="0.2">
      <c r="B263" t="str">
        <f>IFERROR(IF('PDCA review'!$D$2=Act!B264,Act!G264,""),"")</f>
        <v/>
      </c>
      <c r="C263">
        <f t="shared" si="12"/>
        <v>0</v>
      </c>
      <c r="D263">
        <f>SUM($C$3:C263)</f>
        <v>4</v>
      </c>
      <c r="E263" t="e">
        <f t="shared" si="13"/>
        <v>#N/A</v>
      </c>
      <c r="F263" s="28" t="str">
        <f t="shared" ca="1" si="14"/>
        <v/>
      </c>
    </row>
    <row r="264" spans="2:6" x14ac:dyDescent="0.2">
      <c r="B264" t="str">
        <f>IFERROR(IF('PDCA review'!$D$2=Act!B265,Act!G265,""),"")</f>
        <v/>
      </c>
      <c r="C264">
        <f t="shared" si="12"/>
        <v>0</v>
      </c>
      <c r="D264">
        <f>SUM($C$3:C264)</f>
        <v>4</v>
      </c>
      <c r="E264" t="e">
        <f t="shared" si="13"/>
        <v>#N/A</v>
      </c>
      <c r="F264" s="28" t="str">
        <f t="shared" ca="1" si="14"/>
        <v/>
      </c>
    </row>
    <row r="265" spans="2:6" x14ac:dyDescent="0.2">
      <c r="B265" t="str">
        <f>IFERROR(IF('PDCA review'!$D$2=Act!B266,Act!G266,""),"")</f>
        <v/>
      </c>
      <c r="C265">
        <f t="shared" si="12"/>
        <v>0</v>
      </c>
      <c r="D265">
        <f>SUM($C$3:C265)</f>
        <v>4</v>
      </c>
      <c r="E265" t="e">
        <f t="shared" si="13"/>
        <v>#N/A</v>
      </c>
      <c r="F265" s="28" t="str">
        <f t="shared" ca="1" si="14"/>
        <v/>
      </c>
    </row>
    <row r="266" spans="2:6" x14ac:dyDescent="0.2">
      <c r="B266" t="str">
        <f>IFERROR(IF('PDCA review'!$D$2=Act!B267,Act!G267,""),"")</f>
        <v/>
      </c>
      <c r="C266">
        <f t="shared" si="12"/>
        <v>0</v>
      </c>
      <c r="D266">
        <f>SUM($C$3:C266)</f>
        <v>4</v>
      </c>
      <c r="E266" t="e">
        <f t="shared" si="13"/>
        <v>#N/A</v>
      </c>
      <c r="F266" s="28" t="str">
        <f t="shared" ca="1" si="14"/>
        <v/>
      </c>
    </row>
    <row r="267" spans="2:6" x14ac:dyDescent="0.2">
      <c r="B267" t="str">
        <f>IFERROR(IF('PDCA review'!$D$2=Act!B268,Act!G268,""),"")</f>
        <v/>
      </c>
      <c r="C267">
        <f t="shared" si="12"/>
        <v>0</v>
      </c>
      <c r="D267">
        <f>SUM($C$3:C267)</f>
        <v>4</v>
      </c>
      <c r="E267" t="e">
        <f t="shared" si="13"/>
        <v>#N/A</v>
      </c>
      <c r="F267" s="28" t="str">
        <f t="shared" ca="1" si="14"/>
        <v/>
      </c>
    </row>
    <row r="268" spans="2:6" x14ac:dyDescent="0.2">
      <c r="B268" t="str">
        <f>IFERROR(IF('PDCA review'!$D$2=Act!B269,Act!G269,""),"")</f>
        <v/>
      </c>
      <c r="C268">
        <f t="shared" si="12"/>
        <v>0</v>
      </c>
      <c r="D268">
        <f>SUM($C$3:C268)</f>
        <v>4</v>
      </c>
      <c r="E268" t="e">
        <f t="shared" si="13"/>
        <v>#N/A</v>
      </c>
      <c r="F268" s="28" t="str">
        <f t="shared" ca="1" si="14"/>
        <v/>
      </c>
    </row>
    <row r="269" spans="2:6" x14ac:dyDescent="0.2">
      <c r="B269" t="str">
        <f>IFERROR(IF('PDCA review'!$D$2=Act!B270,Act!G270,""),"")</f>
        <v/>
      </c>
      <c r="C269">
        <f t="shared" si="12"/>
        <v>0</v>
      </c>
      <c r="D269">
        <f>SUM($C$3:C269)</f>
        <v>4</v>
      </c>
      <c r="E269" t="e">
        <f t="shared" si="13"/>
        <v>#N/A</v>
      </c>
      <c r="F269" s="28" t="str">
        <f t="shared" ca="1" si="14"/>
        <v/>
      </c>
    </row>
    <row r="270" spans="2:6" x14ac:dyDescent="0.2">
      <c r="B270" t="str">
        <f>IFERROR(IF('PDCA review'!$D$2=Act!B271,Act!G271,""),"")</f>
        <v/>
      </c>
      <c r="C270">
        <f t="shared" si="12"/>
        <v>0</v>
      </c>
      <c r="D270">
        <f>SUM($C$3:C270)</f>
        <v>4</v>
      </c>
      <c r="E270" t="e">
        <f t="shared" si="13"/>
        <v>#N/A</v>
      </c>
      <c r="F270" s="28" t="str">
        <f t="shared" ca="1" si="14"/>
        <v/>
      </c>
    </row>
    <row r="271" spans="2:6" x14ac:dyDescent="0.2">
      <c r="B271" t="str">
        <f>IFERROR(IF('PDCA review'!$D$2=Act!B272,Act!G272,""),"")</f>
        <v/>
      </c>
      <c r="C271">
        <f t="shared" si="12"/>
        <v>0</v>
      </c>
      <c r="D271">
        <f>SUM($C$3:C271)</f>
        <v>4</v>
      </c>
      <c r="E271" t="e">
        <f t="shared" si="13"/>
        <v>#N/A</v>
      </c>
      <c r="F271" s="28" t="str">
        <f t="shared" ca="1" si="14"/>
        <v/>
      </c>
    </row>
    <row r="272" spans="2:6" x14ac:dyDescent="0.2">
      <c r="B272" t="str">
        <f>IFERROR(IF('PDCA review'!$D$2=Act!B273,Act!G273,""),"")</f>
        <v/>
      </c>
      <c r="C272">
        <f t="shared" si="12"/>
        <v>0</v>
      </c>
      <c r="D272">
        <f>SUM($C$3:C272)</f>
        <v>4</v>
      </c>
      <c r="E272" t="e">
        <f t="shared" si="13"/>
        <v>#N/A</v>
      </c>
      <c r="F272" s="28" t="str">
        <f t="shared" ca="1" si="14"/>
        <v/>
      </c>
    </row>
    <row r="273" spans="2:6" x14ac:dyDescent="0.2">
      <c r="B273" t="str">
        <f>IFERROR(IF('PDCA review'!$D$2=Act!B274,Act!G274,""),"")</f>
        <v/>
      </c>
      <c r="C273">
        <f t="shared" si="12"/>
        <v>0</v>
      </c>
      <c r="D273">
        <f>SUM($C$3:C273)</f>
        <v>4</v>
      </c>
      <c r="E273" t="e">
        <f t="shared" si="13"/>
        <v>#N/A</v>
      </c>
      <c r="F273" s="28" t="str">
        <f t="shared" ca="1" si="14"/>
        <v/>
      </c>
    </row>
    <row r="274" spans="2:6" x14ac:dyDescent="0.2">
      <c r="B274" t="str">
        <f>IFERROR(IF('PDCA review'!$D$2=Act!B275,Act!G275,""),"")</f>
        <v/>
      </c>
      <c r="C274">
        <f t="shared" si="12"/>
        <v>0</v>
      </c>
      <c r="D274">
        <f>SUM($C$3:C274)</f>
        <v>4</v>
      </c>
      <c r="E274" t="e">
        <f t="shared" si="13"/>
        <v>#N/A</v>
      </c>
      <c r="F274" s="28" t="str">
        <f t="shared" ca="1" si="14"/>
        <v/>
      </c>
    </row>
    <row r="275" spans="2:6" x14ac:dyDescent="0.2">
      <c r="B275" t="str">
        <f>IFERROR(IF('PDCA review'!$D$2=Act!B276,Act!G276,""),"")</f>
        <v/>
      </c>
      <c r="C275">
        <f t="shared" si="12"/>
        <v>0</v>
      </c>
      <c r="D275">
        <f>SUM($C$3:C275)</f>
        <v>4</v>
      </c>
      <c r="E275" t="e">
        <f t="shared" si="13"/>
        <v>#N/A</v>
      </c>
      <c r="F275" s="28" t="str">
        <f t="shared" ca="1" si="14"/>
        <v/>
      </c>
    </row>
    <row r="276" spans="2:6" x14ac:dyDescent="0.2">
      <c r="B276" t="str">
        <f>IFERROR(IF('PDCA review'!$D$2=Act!B277,Act!G277,""),"")</f>
        <v/>
      </c>
      <c r="C276">
        <f t="shared" si="12"/>
        <v>0</v>
      </c>
      <c r="D276">
        <f>SUM($C$3:C276)</f>
        <v>4</v>
      </c>
      <c r="E276" t="e">
        <f t="shared" si="13"/>
        <v>#N/A</v>
      </c>
      <c r="F276" s="28" t="str">
        <f t="shared" ca="1" si="14"/>
        <v/>
      </c>
    </row>
    <row r="277" spans="2:6" x14ac:dyDescent="0.2">
      <c r="B277" t="str">
        <f>IFERROR(IF('PDCA review'!$D$2=Act!B278,Act!G278,""),"")</f>
        <v/>
      </c>
      <c r="C277">
        <f t="shared" si="12"/>
        <v>0</v>
      </c>
      <c r="D277">
        <f>SUM($C$3:C277)</f>
        <v>4</v>
      </c>
      <c r="E277" t="e">
        <f t="shared" si="13"/>
        <v>#N/A</v>
      </c>
      <c r="F277" s="28" t="str">
        <f t="shared" ca="1" si="14"/>
        <v/>
      </c>
    </row>
    <row r="278" spans="2:6" x14ac:dyDescent="0.2">
      <c r="B278" t="str">
        <f>IFERROR(IF('PDCA review'!$D$2=Act!B279,Act!G279,""),"")</f>
        <v/>
      </c>
      <c r="C278">
        <f t="shared" si="12"/>
        <v>0</v>
      </c>
      <c r="D278">
        <f>SUM($C$3:C278)</f>
        <v>4</v>
      </c>
      <c r="E278" t="e">
        <f t="shared" si="13"/>
        <v>#N/A</v>
      </c>
      <c r="F278" s="28" t="str">
        <f t="shared" ca="1" si="14"/>
        <v/>
      </c>
    </row>
    <row r="279" spans="2:6" x14ac:dyDescent="0.2">
      <c r="B279" t="str">
        <f>IFERROR(IF('PDCA review'!$D$2=Act!B280,Act!G280,""),"")</f>
        <v/>
      </c>
      <c r="C279">
        <f t="shared" si="12"/>
        <v>0</v>
      </c>
      <c r="D279">
        <f>SUM($C$3:C279)</f>
        <v>4</v>
      </c>
      <c r="E279" t="e">
        <f t="shared" si="13"/>
        <v>#N/A</v>
      </c>
      <c r="F279" s="28" t="str">
        <f t="shared" ca="1" si="14"/>
        <v/>
      </c>
    </row>
    <row r="280" spans="2:6" x14ac:dyDescent="0.2">
      <c r="B280" t="str">
        <f>IFERROR(IF('PDCA review'!$D$2=Act!B281,Act!G281,""),"")</f>
        <v/>
      </c>
      <c r="C280">
        <f t="shared" si="12"/>
        <v>0</v>
      </c>
      <c r="D280">
        <f>SUM($C$3:C280)</f>
        <v>4</v>
      </c>
      <c r="E280" t="e">
        <f t="shared" si="13"/>
        <v>#N/A</v>
      </c>
      <c r="F280" s="28" t="str">
        <f t="shared" ca="1" si="14"/>
        <v/>
      </c>
    </row>
    <row r="281" spans="2:6" x14ac:dyDescent="0.2">
      <c r="B281" t="str">
        <f>IFERROR(IF('PDCA review'!$D$2=Act!B282,Act!G282,""),"")</f>
        <v/>
      </c>
      <c r="C281">
        <f t="shared" si="12"/>
        <v>0</v>
      </c>
      <c r="D281">
        <f>SUM($C$3:C281)</f>
        <v>4</v>
      </c>
      <c r="E281" t="e">
        <f t="shared" si="13"/>
        <v>#N/A</v>
      </c>
      <c r="F281" s="28" t="str">
        <f t="shared" ca="1" si="14"/>
        <v/>
      </c>
    </row>
    <row r="282" spans="2:6" x14ac:dyDescent="0.2">
      <c r="B282" t="str">
        <f>IFERROR(IF('PDCA review'!$D$2=Act!B283,Act!G283,""),"")</f>
        <v/>
      </c>
      <c r="C282">
        <f t="shared" si="12"/>
        <v>0</v>
      </c>
      <c r="D282">
        <f>SUM($C$3:C282)</f>
        <v>4</v>
      </c>
      <c r="E282" t="e">
        <f t="shared" si="13"/>
        <v>#N/A</v>
      </c>
      <c r="F282" s="28" t="str">
        <f t="shared" ca="1" si="14"/>
        <v/>
      </c>
    </row>
    <row r="283" spans="2:6" x14ac:dyDescent="0.2">
      <c r="B283" t="str">
        <f>IFERROR(IF('PDCA review'!$D$2=Act!B284,Act!G284,""),"")</f>
        <v/>
      </c>
      <c r="C283">
        <f t="shared" si="12"/>
        <v>0</v>
      </c>
      <c r="D283">
        <f>SUM($C$3:C283)</f>
        <v>4</v>
      </c>
      <c r="E283" t="e">
        <f t="shared" si="13"/>
        <v>#N/A</v>
      </c>
      <c r="F283" s="28" t="str">
        <f t="shared" ca="1" si="14"/>
        <v/>
      </c>
    </row>
    <row r="284" spans="2:6" x14ac:dyDescent="0.2">
      <c r="B284" t="str">
        <f>IFERROR(IF('PDCA review'!$D$2=Act!B285,Act!G285,""),"")</f>
        <v/>
      </c>
      <c r="C284">
        <f t="shared" si="12"/>
        <v>0</v>
      </c>
      <c r="D284">
        <f>SUM($C$3:C284)</f>
        <v>4</v>
      </c>
      <c r="E284" t="e">
        <f t="shared" si="13"/>
        <v>#N/A</v>
      </c>
      <c r="F284" s="28" t="str">
        <f t="shared" ca="1" si="14"/>
        <v/>
      </c>
    </row>
    <row r="285" spans="2:6" x14ac:dyDescent="0.2">
      <c r="B285" t="str">
        <f>IFERROR(IF('PDCA review'!$D$2=Act!B286,Act!G286,""),"")</f>
        <v/>
      </c>
      <c r="C285">
        <f t="shared" si="12"/>
        <v>0</v>
      </c>
      <c r="D285">
        <f>SUM($C$3:C285)</f>
        <v>4</v>
      </c>
      <c r="E285" t="e">
        <f t="shared" si="13"/>
        <v>#N/A</v>
      </c>
      <c r="F285" s="28" t="str">
        <f t="shared" ca="1" si="14"/>
        <v/>
      </c>
    </row>
    <row r="286" spans="2:6" x14ac:dyDescent="0.2">
      <c r="B286" t="str">
        <f>IFERROR(IF('PDCA review'!$D$2=Act!B287,Act!G287,""),"")</f>
        <v/>
      </c>
      <c r="C286">
        <f t="shared" si="12"/>
        <v>0</v>
      </c>
      <c r="D286">
        <f>SUM($C$3:C286)</f>
        <v>4</v>
      </c>
      <c r="E286" t="e">
        <f t="shared" si="13"/>
        <v>#N/A</v>
      </c>
      <c r="F286" s="28" t="str">
        <f t="shared" ca="1" si="14"/>
        <v/>
      </c>
    </row>
    <row r="287" spans="2:6" x14ac:dyDescent="0.2">
      <c r="B287" t="str">
        <f>IFERROR(IF('PDCA review'!$D$2=Act!B288,Act!G288,""),"")</f>
        <v/>
      </c>
      <c r="C287">
        <f t="shared" si="12"/>
        <v>0</v>
      </c>
      <c r="D287">
        <f>SUM($C$3:C287)</f>
        <v>4</v>
      </c>
      <c r="E287" t="e">
        <f t="shared" si="13"/>
        <v>#N/A</v>
      </c>
      <c r="F287" s="28" t="str">
        <f t="shared" ca="1" si="14"/>
        <v/>
      </c>
    </row>
    <row r="288" spans="2:6" x14ac:dyDescent="0.2">
      <c r="B288" t="str">
        <f>IFERROR(IF('PDCA review'!$D$2=Act!B289,Act!G289,""),"")</f>
        <v/>
      </c>
      <c r="C288">
        <f t="shared" si="12"/>
        <v>0</v>
      </c>
      <c r="D288">
        <f>SUM($C$3:C288)</f>
        <v>4</v>
      </c>
      <c r="E288" t="e">
        <f t="shared" si="13"/>
        <v>#N/A</v>
      </c>
      <c r="F288" s="28" t="str">
        <f t="shared" ca="1" si="14"/>
        <v/>
      </c>
    </row>
    <row r="289" spans="2:6" x14ac:dyDescent="0.2">
      <c r="B289" t="str">
        <f>IFERROR(IF('PDCA review'!$D$2=Act!B290,Act!G290,""),"")</f>
        <v/>
      </c>
      <c r="C289">
        <f t="shared" si="12"/>
        <v>0</v>
      </c>
      <c r="D289">
        <f>SUM($C$3:C289)</f>
        <v>4</v>
      </c>
      <c r="E289" t="e">
        <f t="shared" si="13"/>
        <v>#N/A</v>
      </c>
      <c r="F289" s="28" t="str">
        <f t="shared" ca="1" si="14"/>
        <v/>
      </c>
    </row>
    <row r="290" spans="2:6" x14ac:dyDescent="0.2">
      <c r="B290" t="str">
        <f>IFERROR(IF('PDCA review'!$D$2=Act!B291,Act!G291,""),"")</f>
        <v/>
      </c>
      <c r="C290">
        <f t="shared" si="12"/>
        <v>0</v>
      </c>
      <c r="D290">
        <f>SUM($C$3:C290)</f>
        <v>4</v>
      </c>
      <c r="E290" t="e">
        <f t="shared" si="13"/>
        <v>#N/A</v>
      </c>
      <c r="F290" s="28" t="str">
        <f t="shared" ca="1" si="14"/>
        <v/>
      </c>
    </row>
    <row r="291" spans="2:6" x14ac:dyDescent="0.2">
      <c r="B291" t="str">
        <f>IFERROR(IF('PDCA review'!$D$2=Act!B292,Act!G292,""),"")</f>
        <v/>
      </c>
      <c r="C291">
        <f t="shared" si="12"/>
        <v>0</v>
      </c>
      <c r="D291">
        <f>SUM($C$3:C291)</f>
        <v>4</v>
      </c>
      <c r="E291" t="e">
        <f t="shared" si="13"/>
        <v>#N/A</v>
      </c>
      <c r="F291" s="28" t="str">
        <f t="shared" ca="1" si="14"/>
        <v/>
      </c>
    </row>
    <row r="292" spans="2:6" x14ac:dyDescent="0.2">
      <c r="B292" t="str">
        <f>IFERROR(IF('PDCA review'!$D$2=Act!B293,Act!G293,""),"")</f>
        <v/>
      </c>
      <c r="C292">
        <f t="shared" si="12"/>
        <v>0</v>
      </c>
      <c r="D292">
        <f>SUM($C$3:C292)</f>
        <v>4</v>
      </c>
      <c r="E292" t="e">
        <f t="shared" si="13"/>
        <v>#N/A</v>
      </c>
      <c r="F292" s="28" t="str">
        <f t="shared" ca="1" si="14"/>
        <v/>
      </c>
    </row>
    <row r="293" spans="2:6" x14ac:dyDescent="0.2">
      <c r="B293" t="str">
        <f>IFERROR(IF('PDCA review'!$D$2=Act!B294,Act!G294,""),"")</f>
        <v/>
      </c>
      <c r="C293">
        <f t="shared" si="12"/>
        <v>0</v>
      </c>
      <c r="D293">
        <f>SUM($C$3:C293)</f>
        <v>4</v>
      </c>
      <c r="E293" t="e">
        <f t="shared" si="13"/>
        <v>#N/A</v>
      </c>
      <c r="F293" s="28" t="str">
        <f t="shared" ca="1" si="14"/>
        <v/>
      </c>
    </row>
    <row r="294" spans="2:6" x14ac:dyDescent="0.2">
      <c r="B294" t="str">
        <f>IFERROR(IF('PDCA review'!$D$2=Act!B295,Act!G295,""),"")</f>
        <v/>
      </c>
      <c r="C294">
        <f t="shared" si="12"/>
        <v>0</v>
      </c>
      <c r="D294">
        <f>SUM($C$3:C294)</f>
        <v>4</v>
      </c>
      <c r="E294" t="e">
        <f t="shared" si="13"/>
        <v>#N/A</v>
      </c>
      <c r="F294" s="28" t="str">
        <f t="shared" ca="1" si="14"/>
        <v/>
      </c>
    </row>
    <row r="295" spans="2:6" x14ac:dyDescent="0.2">
      <c r="B295" t="str">
        <f>IFERROR(IF('PDCA review'!$D$2=Act!B296,Act!G296,""),"")</f>
        <v/>
      </c>
      <c r="C295">
        <f t="shared" si="12"/>
        <v>0</v>
      </c>
      <c r="D295">
        <f>SUM($C$3:C295)</f>
        <v>4</v>
      </c>
      <c r="E295" t="e">
        <f t="shared" si="13"/>
        <v>#N/A</v>
      </c>
      <c r="F295" s="28" t="str">
        <f t="shared" ca="1" si="14"/>
        <v/>
      </c>
    </row>
    <row r="296" spans="2:6" x14ac:dyDescent="0.2">
      <c r="B296" t="str">
        <f>IFERROR(IF('PDCA review'!$D$2=Act!B297,Act!G297,""),"")</f>
        <v/>
      </c>
      <c r="C296">
        <f t="shared" si="12"/>
        <v>0</v>
      </c>
      <c r="D296">
        <f>SUM($C$3:C296)</f>
        <v>4</v>
      </c>
      <c r="E296" t="e">
        <f t="shared" si="13"/>
        <v>#N/A</v>
      </c>
      <c r="F296" s="28" t="str">
        <f t="shared" ca="1" si="14"/>
        <v/>
      </c>
    </row>
    <row r="297" spans="2:6" x14ac:dyDescent="0.2">
      <c r="B297" t="str">
        <f>IFERROR(IF('PDCA review'!$D$2=Act!B298,Act!G298,""),"")</f>
        <v/>
      </c>
      <c r="C297">
        <f t="shared" si="12"/>
        <v>0</v>
      </c>
      <c r="D297">
        <f>SUM($C$3:C297)</f>
        <v>4</v>
      </c>
      <c r="E297" t="e">
        <f t="shared" si="13"/>
        <v>#N/A</v>
      </c>
      <c r="F297" s="28" t="str">
        <f t="shared" ca="1" si="14"/>
        <v/>
      </c>
    </row>
    <row r="298" spans="2:6" x14ac:dyDescent="0.2">
      <c r="B298" t="str">
        <f>IFERROR(IF('PDCA review'!$D$2=Act!B299,Act!G299,""),"")</f>
        <v/>
      </c>
      <c r="C298">
        <f t="shared" si="12"/>
        <v>0</v>
      </c>
      <c r="D298">
        <f>SUM($C$3:C298)</f>
        <v>4</v>
      </c>
      <c r="E298" t="e">
        <f t="shared" si="13"/>
        <v>#N/A</v>
      </c>
      <c r="F298" s="28" t="str">
        <f t="shared" ca="1" si="14"/>
        <v/>
      </c>
    </row>
    <row r="299" spans="2:6" x14ac:dyDescent="0.2">
      <c r="B299" t="str">
        <f>IFERROR(IF('PDCA review'!$D$2=Act!B300,Act!G300,""),"")</f>
        <v/>
      </c>
      <c r="C299">
        <f t="shared" si="12"/>
        <v>0</v>
      </c>
      <c r="D299">
        <f>SUM($C$3:C299)</f>
        <v>4</v>
      </c>
      <c r="E299" t="e">
        <f t="shared" si="13"/>
        <v>#N/A</v>
      </c>
      <c r="F299" s="28" t="str">
        <f t="shared" ca="1" si="14"/>
        <v/>
      </c>
    </row>
    <row r="300" spans="2:6" x14ac:dyDescent="0.2">
      <c r="B300" t="str">
        <f>IFERROR(IF('PDCA review'!$D$2=Act!B301,Act!G301,""),"")</f>
        <v/>
      </c>
      <c r="C300">
        <f t="shared" si="12"/>
        <v>0</v>
      </c>
      <c r="D300">
        <f>SUM($C$3:C300)</f>
        <v>4</v>
      </c>
      <c r="E300" t="e">
        <f t="shared" si="13"/>
        <v>#N/A</v>
      </c>
      <c r="F300" s="28" t="str">
        <f t="shared" ca="1" si="14"/>
        <v/>
      </c>
    </row>
    <row r="301" spans="2:6" x14ac:dyDescent="0.2">
      <c r="B301" t="str">
        <f>IFERROR(IF('PDCA review'!$D$2=Act!B302,Act!G302,""),"")</f>
        <v/>
      </c>
      <c r="C301">
        <f t="shared" si="12"/>
        <v>0</v>
      </c>
      <c r="D301">
        <f>SUM($C$3:C301)</f>
        <v>4</v>
      </c>
      <c r="E301" t="e">
        <f t="shared" si="13"/>
        <v>#N/A</v>
      </c>
      <c r="F301" s="28" t="str">
        <f t="shared" ca="1" si="14"/>
        <v/>
      </c>
    </row>
    <row r="302" spans="2:6" x14ac:dyDescent="0.2">
      <c r="B302" t="str">
        <f>IFERROR(IF('PDCA review'!$D$2=Act!B303,Act!G303,""),"")</f>
        <v/>
      </c>
      <c r="C302">
        <f t="shared" si="12"/>
        <v>0</v>
      </c>
      <c r="D302">
        <f>SUM($C$3:C302)</f>
        <v>4</v>
      </c>
      <c r="E302" t="e">
        <f t="shared" si="13"/>
        <v>#N/A</v>
      </c>
      <c r="F302" s="28" t="str">
        <f t="shared" ca="1" si="14"/>
        <v/>
      </c>
    </row>
    <row r="303" spans="2:6" x14ac:dyDescent="0.2">
      <c r="B303" t="str">
        <f>IFERROR(IF('PDCA review'!$D$2=Act!B304,Act!G304,""),"")</f>
        <v/>
      </c>
      <c r="C303">
        <f t="shared" si="12"/>
        <v>0</v>
      </c>
      <c r="D303">
        <f>SUM($C$3:C303)</f>
        <v>4</v>
      </c>
      <c r="E303" t="e">
        <f t="shared" si="13"/>
        <v>#N/A</v>
      </c>
      <c r="F303" s="28" t="str">
        <f t="shared" ca="1" si="14"/>
        <v/>
      </c>
    </row>
    <row r="304" spans="2:6" x14ac:dyDescent="0.2">
      <c r="B304" t="str">
        <f>IFERROR(IF('PDCA review'!$D$2=Act!B305,Act!G305,""),"")</f>
        <v/>
      </c>
      <c r="C304">
        <f t="shared" si="12"/>
        <v>0</v>
      </c>
      <c r="D304">
        <f>SUM($C$3:C304)</f>
        <v>4</v>
      </c>
      <c r="E304" t="e">
        <f t="shared" si="13"/>
        <v>#N/A</v>
      </c>
      <c r="F304" s="28" t="str">
        <f t="shared" ca="1" si="14"/>
        <v/>
      </c>
    </row>
    <row r="305" spans="2:6" x14ac:dyDescent="0.2">
      <c r="B305" t="str">
        <f>IFERROR(IF('PDCA review'!$D$2=Act!B306,Act!G306,""),"")</f>
        <v/>
      </c>
      <c r="C305">
        <f t="shared" si="12"/>
        <v>0</v>
      </c>
      <c r="D305">
        <f>SUM($C$3:C305)</f>
        <v>4</v>
      </c>
      <c r="E305" t="e">
        <f t="shared" si="13"/>
        <v>#N/A</v>
      </c>
      <c r="F305" s="28" t="str">
        <f t="shared" ca="1" si="14"/>
        <v/>
      </c>
    </row>
    <row r="306" spans="2:6" x14ac:dyDescent="0.2">
      <c r="B306" t="str">
        <f>IFERROR(IF('PDCA review'!$D$2=Act!B307,Act!G307,""),"")</f>
        <v/>
      </c>
      <c r="C306">
        <f t="shared" si="12"/>
        <v>0</v>
      </c>
      <c r="D306">
        <f>SUM($C$3:C306)</f>
        <v>4</v>
      </c>
      <c r="E306" t="e">
        <f t="shared" si="13"/>
        <v>#N/A</v>
      </c>
      <c r="F306" s="28" t="str">
        <f t="shared" ca="1" si="14"/>
        <v/>
      </c>
    </row>
    <row r="307" spans="2:6" x14ac:dyDescent="0.2">
      <c r="B307" t="str">
        <f>IFERROR(IF('PDCA review'!$D$2=Act!B308,Act!G308,""),"")</f>
        <v/>
      </c>
      <c r="C307">
        <f t="shared" si="12"/>
        <v>0</v>
      </c>
      <c r="D307">
        <f>SUM($C$3:C307)</f>
        <v>4</v>
      </c>
      <c r="E307" t="e">
        <f t="shared" si="13"/>
        <v>#N/A</v>
      </c>
      <c r="F307" s="28" t="str">
        <f t="shared" ca="1" si="14"/>
        <v/>
      </c>
    </row>
    <row r="308" spans="2:6" x14ac:dyDescent="0.2">
      <c r="B308" t="str">
        <f>IFERROR(IF('PDCA review'!$D$2=Act!B309,Act!G309,""),"")</f>
        <v/>
      </c>
      <c r="C308">
        <f t="shared" si="12"/>
        <v>0</v>
      </c>
      <c r="D308">
        <f>SUM($C$3:C308)</f>
        <v>4</v>
      </c>
      <c r="E308" t="e">
        <f t="shared" si="13"/>
        <v>#N/A</v>
      </c>
      <c r="F308" s="28" t="str">
        <f t="shared" ca="1" si="14"/>
        <v/>
      </c>
    </row>
    <row r="309" spans="2:6" x14ac:dyDescent="0.2">
      <c r="B309" t="str">
        <f>IFERROR(IF('PDCA review'!$D$2=Act!B310,Act!G310,""),"")</f>
        <v/>
      </c>
      <c r="C309">
        <f t="shared" si="12"/>
        <v>0</v>
      </c>
      <c r="D309">
        <f>SUM($C$3:C309)</f>
        <v>4</v>
      </c>
      <c r="E309" t="e">
        <f t="shared" si="13"/>
        <v>#N/A</v>
      </c>
      <c r="F309" s="28" t="str">
        <f t="shared" ca="1" si="14"/>
        <v/>
      </c>
    </row>
    <row r="310" spans="2:6" x14ac:dyDescent="0.2">
      <c r="B310" t="str">
        <f>IFERROR(IF('PDCA review'!$D$2=Act!B311,Act!G311,""),"")</f>
        <v/>
      </c>
      <c r="C310">
        <f t="shared" si="12"/>
        <v>0</v>
      </c>
      <c r="D310">
        <f>SUM($C$3:C310)</f>
        <v>4</v>
      </c>
      <c r="E310" t="e">
        <f t="shared" si="13"/>
        <v>#N/A</v>
      </c>
      <c r="F310" s="28" t="str">
        <f t="shared" ca="1" si="14"/>
        <v/>
      </c>
    </row>
    <row r="311" spans="2:6" x14ac:dyDescent="0.2">
      <c r="B311" t="str">
        <f>IFERROR(IF('PDCA review'!$D$2=Act!B312,Act!G312,""),"")</f>
        <v/>
      </c>
      <c r="C311">
        <f t="shared" si="12"/>
        <v>0</v>
      </c>
      <c r="D311">
        <f>SUM($C$3:C311)</f>
        <v>4</v>
      </c>
      <c r="E311" t="e">
        <f t="shared" si="13"/>
        <v>#N/A</v>
      </c>
      <c r="F311" s="28" t="str">
        <f t="shared" ca="1" si="14"/>
        <v/>
      </c>
    </row>
    <row r="312" spans="2:6" x14ac:dyDescent="0.2">
      <c r="B312" t="str">
        <f>IFERROR(IF('PDCA review'!$D$2=Act!B313,Act!G313,""),"")</f>
        <v/>
      </c>
      <c r="C312">
        <f t="shared" si="12"/>
        <v>0</v>
      </c>
      <c r="D312">
        <f>SUM($C$3:C312)</f>
        <v>4</v>
      </c>
      <c r="E312" t="e">
        <f t="shared" si="13"/>
        <v>#N/A</v>
      </c>
      <c r="F312" s="28" t="str">
        <f t="shared" ca="1" si="14"/>
        <v/>
      </c>
    </row>
    <row r="313" spans="2:6" x14ac:dyDescent="0.2">
      <c r="B313" t="str">
        <f>IFERROR(IF('PDCA review'!$D$2=Act!B314,Act!G314,""),"")</f>
        <v/>
      </c>
      <c r="C313">
        <f t="shared" si="12"/>
        <v>0</v>
      </c>
      <c r="D313">
        <f>SUM($C$3:C313)</f>
        <v>4</v>
      </c>
      <c r="E313" t="e">
        <f t="shared" si="13"/>
        <v>#N/A</v>
      </c>
      <c r="F313" s="28" t="str">
        <f t="shared" ca="1" si="14"/>
        <v/>
      </c>
    </row>
    <row r="314" spans="2:6" x14ac:dyDescent="0.2">
      <c r="B314" t="str">
        <f>IFERROR(IF('PDCA review'!$D$2=Act!B315,Act!G315,""),"")</f>
        <v/>
      </c>
      <c r="C314">
        <f t="shared" si="12"/>
        <v>0</v>
      </c>
      <c r="D314">
        <f>SUM($C$3:C314)</f>
        <v>4</v>
      </c>
      <c r="E314" t="e">
        <f t="shared" si="13"/>
        <v>#N/A</v>
      </c>
      <c r="F314" s="28" t="str">
        <f t="shared" ca="1" si="14"/>
        <v/>
      </c>
    </row>
    <row r="315" spans="2:6" x14ac:dyDescent="0.2">
      <c r="B315" t="str">
        <f>IFERROR(IF('PDCA review'!$D$2=Act!B316,Act!G316,""),"")</f>
        <v/>
      </c>
      <c r="C315">
        <f t="shared" si="12"/>
        <v>0</v>
      </c>
      <c r="D315">
        <f>SUM($C$3:C315)</f>
        <v>4</v>
      </c>
      <c r="E315" t="e">
        <f t="shared" si="13"/>
        <v>#N/A</v>
      </c>
      <c r="F315" s="28" t="str">
        <f t="shared" ca="1" si="14"/>
        <v/>
      </c>
    </row>
    <row r="316" spans="2:6" x14ac:dyDescent="0.2">
      <c r="B316" t="str">
        <f>IFERROR(IF('PDCA review'!$D$2=Act!B317,Act!G317,""),"")</f>
        <v/>
      </c>
      <c r="C316">
        <f t="shared" si="12"/>
        <v>0</v>
      </c>
      <c r="D316">
        <f>SUM($C$3:C316)</f>
        <v>4</v>
      </c>
      <c r="E316" t="e">
        <f t="shared" si="13"/>
        <v>#N/A</v>
      </c>
      <c r="F316" s="28" t="str">
        <f t="shared" ca="1" si="14"/>
        <v/>
      </c>
    </row>
    <row r="317" spans="2:6" x14ac:dyDescent="0.2">
      <c r="B317" t="str">
        <f>IFERROR(IF('PDCA review'!$D$2=Act!B318,Act!G318,""),"")</f>
        <v/>
      </c>
      <c r="C317">
        <f t="shared" si="12"/>
        <v>0</v>
      </c>
      <c r="D317">
        <f>SUM($C$3:C317)</f>
        <v>4</v>
      </c>
      <c r="E317" t="e">
        <f t="shared" si="13"/>
        <v>#N/A</v>
      </c>
      <c r="F317" s="28" t="str">
        <f t="shared" ca="1" si="14"/>
        <v/>
      </c>
    </row>
    <row r="318" spans="2:6" x14ac:dyDescent="0.2">
      <c r="B318" t="str">
        <f>IFERROR(IF('PDCA review'!$D$2=Act!B319,Act!G319,""),"")</f>
        <v/>
      </c>
      <c r="C318">
        <f t="shared" si="12"/>
        <v>0</v>
      </c>
      <c r="D318">
        <f>SUM($C$3:C318)</f>
        <v>4</v>
      </c>
      <c r="E318" t="e">
        <f t="shared" si="13"/>
        <v>#N/A</v>
      </c>
      <c r="F318" s="28" t="str">
        <f t="shared" ca="1" si="14"/>
        <v/>
      </c>
    </row>
    <row r="319" spans="2:6" x14ac:dyDescent="0.2">
      <c r="B319" t="str">
        <f>IFERROR(IF('PDCA review'!$D$2=Act!B320,Act!G320,""),"")</f>
        <v/>
      </c>
      <c r="C319">
        <f t="shared" si="12"/>
        <v>0</v>
      </c>
      <c r="D319">
        <f>SUM($C$3:C319)</f>
        <v>4</v>
      </c>
      <c r="E319" t="e">
        <f t="shared" si="13"/>
        <v>#N/A</v>
      </c>
      <c r="F319" s="28" t="str">
        <f t="shared" ca="1" si="14"/>
        <v/>
      </c>
    </row>
    <row r="320" spans="2:6" x14ac:dyDescent="0.2">
      <c r="B320" t="str">
        <f>IFERROR(IF('PDCA review'!$D$2=Act!B321,Act!G321,""),"")</f>
        <v/>
      </c>
      <c r="C320">
        <f t="shared" si="12"/>
        <v>0</v>
      </c>
      <c r="D320">
        <f>SUM($C$3:C320)</f>
        <v>4</v>
      </c>
      <c r="E320" t="e">
        <f t="shared" si="13"/>
        <v>#N/A</v>
      </c>
      <c r="F320" s="28" t="str">
        <f t="shared" ca="1" si="14"/>
        <v/>
      </c>
    </row>
    <row r="321" spans="2:6" x14ac:dyDescent="0.2">
      <c r="B321" t="str">
        <f>IFERROR(IF('PDCA review'!$D$2=Act!B322,Act!G322,""),"")</f>
        <v/>
      </c>
      <c r="C321">
        <f t="shared" si="12"/>
        <v>0</v>
      </c>
      <c r="D321">
        <f>SUM($C$3:C321)</f>
        <v>4</v>
      </c>
      <c r="E321" t="e">
        <f t="shared" si="13"/>
        <v>#N/A</v>
      </c>
      <c r="F321" s="28" t="str">
        <f t="shared" ca="1" si="14"/>
        <v/>
      </c>
    </row>
    <row r="322" spans="2:6" x14ac:dyDescent="0.2">
      <c r="B322" t="str">
        <f>IFERROR(IF('PDCA review'!$D$2=Act!B323,Act!G323,""),"")</f>
        <v/>
      </c>
      <c r="C322">
        <f t="shared" si="12"/>
        <v>0</v>
      </c>
      <c r="D322">
        <f>SUM($C$3:C322)</f>
        <v>4</v>
      </c>
      <c r="E322" t="e">
        <f t="shared" si="13"/>
        <v>#N/A</v>
      </c>
      <c r="F322" s="28" t="str">
        <f t="shared" ca="1" si="14"/>
        <v/>
      </c>
    </row>
    <row r="323" spans="2:6" x14ac:dyDescent="0.2">
      <c r="B323" t="str">
        <f>IFERROR(IF('PDCA review'!$D$2=Act!B324,Act!G324,""),"")</f>
        <v/>
      </c>
      <c r="C323">
        <f t="shared" si="12"/>
        <v>0</v>
      </c>
      <c r="D323">
        <f>SUM($C$3:C323)</f>
        <v>4</v>
      </c>
      <c r="E323" t="e">
        <f t="shared" si="13"/>
        <v>#N/A</v>
      </c>
      <c r="F323" s="28" t="str">
        <f t="shared" ca="1" si="14"/>
        <v/>
      </c>
    </row>
    <row r="324" spans="2:6" x14ac:dyDescent="0.2">
      <c r="B324" t="str">
        <f>IFERROR(IF('PDCA review'!$D$2=Act!B325,Act!G325,""),"")</f>
        <v/>
      </c>
      <c r="C324">
        <f t="shared" ref="C324:C387" si="15">IF(B324&lt;&gt;"",1,0)</f>
        <v>0</v>
      </c>
      <c r="D324">
        <f>SUM($C$3:C324)</f>
        <v>4</v>
      </c>
      <c r="E324" t="e">
        <f t="shared" ref="E324:E387" si="16">MATCH(ROW()-$D$2,$D$3:$D$2000,0)+$D$2</f>
        <v>#N/A</v>
      </c>
      <c r="F324" s="28" t="str">
        <f t="shared" ref="F324:F387" ca="1" si="17">IFERROR(INDIRECT("B"&amp;E324),"")</f>
        <v/>
      </c>
    </row>
    <row r="325" spans="2:6" x14ac:dyDescent="0.2">
      <c r="B325" t="str">
        <f>IFERROR(IF('PDCA review'!$D$2=Act!B326,Act!G326,""),"")</f>
        <v/>
      </c>
      <c r="C325">
        <f t="shared" si="15"/>
        <v>0</v>
      </c>
      <c r="D325">
        <f>SUM($C$3:C325)</f>
        <v>4</v>
      </c>
      <c r="E325" t="e">
        <f t="shared" si="16"/>
        <v>#N/A</v>
      </c>
      <c r="F325" s="28" t="str">
        <f t="shared" ca="1" si="17"/>
        <v/>
      </c>
    </row>
    <row r="326" spans="2:6" x14ac:dyDescent="0.2">
      <c r="B326" t="str">
        <f>IFERROR(IF('PDCA review'!$D$2=Act!B327,Act!G327,""),"")</f>
        <v/>
      </c>
      <c r="C326">
        <f t="shared" si="15"/>
        <v>0</v>
      </c>
      <c r="D326">
        <f>SUM($C$3:C326)</f>
        <v>4</v>
      </c>
      <c r="E326" t="e">
        <f t="shared" si="16"/>
        <v>#N/A</v>
      </c>
      <c r="F326" s="28" t="str">
        <f t="shared" ca="1" si="17"/>
        <v/>
      </c>
    </row>
    <row r="327" spans="2:6" x14ac:dyDescent="0.2">
      <c r="B327" t="str">
        <f>IFERROR(IF('PDCA review'!$D$2=Act!B328,Act!G328,""),"")</f>
        <v/>
      </c>
      <c r="C327">
        <f t="shared" si="15"/>
        <v>0</v>
      </c>
      <c r="D327">
        <f>SUM($C$3:C327)</f>
        <v>4</v>
      </c>
      <c r="E327" t="e">
        <f t="shared" si="16"/>
        <v>#N/A</v>
      </c>
      <c r="F327" s="28" t="str">
        <f t="shared" ca="1" si="17"/>
        <v/>
      </c>
    </row>
    <row r="328" spans="2:6" x14ac:dyDescent="0.2">
      <c r="B328" t="str">
        <f>IFERROR(IF('PDCA review'!$D$2=Act!B329,Act!G329,""),"")</f>
        <v/>
      </c>
      <c r="C328">
        <f t="shared" si="15"/>
        <v>0</v>
      </c>
      <c r="D328">
        <f>SUM($C$3:C328)</f>
        <v>4</v>
      </c>
      <c r="E328" t="e">
        <f t="shared" si="16"/>
        <v>#N/A</v>
      </c>
      <c r="F328" s="28" t="str">
        <f t="shared" ca="1" si="17"/>
        <v/>
      </c>
    </row>
    <row r="329" spans="2:6" x14ac:dyDescent="0.2">
      <c r="B329" t="str">
        <f>IFERROR(IF('PDCA review'!$D$2=Act!B330,Act!G330,""),"")</f>
        <v/>
      </c>
      <c r="C329">
        <f t="shared" si="15"/>
        <v>0</v>
      </c>
      <c r="D329">
        <f>SUM($C$3:C329)</f>
        <v>4</v>
      </c>
      <c r="E329" t="e">
        <f t="shared" si="16"/>
        <v>#N/A</v>
      </c>
      <c r="F329" s="28" t="str">
        <f t="shared" ca="1" si="17"/>
        <v/>
      </c>
    </row>
    <row r="330" spans="2:6" x14ac:dyDescent="0.2">
      <c r="B330" t="str">
        <f>IFERROR(IF('PDCA review'!$D$2=Act!B331,Act!G331,""),"")</f>
        <v/>
      </c>
      <c r="C330">
        <f t="shared" si="15"/>
        <v>0</v>
      </c>
      <c r="D330">
        <f>SUM($C$3:C330)</f>
        <v>4</v>
      </c>
      <c r="E330" t="e">
        <f t="shared" si="16"/>
        <v>#N/A</v>
      </c>
      <c r="F330" s="28" t="str">
        <f t="shared" ca="1" si="17"/>
        <v/>
      </c>
    </row>
    <row r="331" spans="2:6" x14ac:dyDescent="0.2">
      <c r="B331" t="str">
        <f>IFERROR(IF('PDCA review'!$D$2=Act!B332,Act!G332,""),"")</f>
        <v/>
      </c>
      <c r="C331">
        <f t="shared" si="15"/>
        <v>0</v>
      </c>
      <c r="D331">
        <f>SUM($C$3:C331)</f>
        <v>4</v>
      </c>
      <c r="E331" t="e">
        <f t="shared" si="16"/>
        <v>#N/A</v>
      </c>
      <c r="F331" s="28" t="str">
        <f t="shared" ca="1" si="17"/>
        <v/>
      </c>
    </row>
    <row r="332" spans="2:6" x14ac:dyDescent="0.2">
      <c r="B332" t="str">
        <f>IFERROR(IF('PDCA review'!$D$2=Act!B333,Act!G333,""),"")</f>
        <v/>
      </c>
      <c r="C332">
        <f t="shared" si="15"/>
        <v>0</v>
      </c>
      <c r="D332">
        <f>SUM($C$3:C332)</f>
        <v>4</v>
      </c>
      <c r="E332" t="e">
        <f t="shared" si="16"/>
        <v>#N/A</v>
      </c>
      <c r="F332" s="28" t="str">
        <f t="shared" ca="1" si="17"/>
        <v/>
      </c>
    </row>
    <row r="333" spans="2:6" x14ac:dyDescent="0.2">
      <c r="B333" t="str">
        <f>IFERROR(IF('PDCA review'!$D$2=Act!B334,Act!G334,""),"")</f>
        <v/>
      </c>
      <c r="C333">
        <f t="shared" si="15"/>
        <v>0</v>
      </c>
      <c r="D333">
        <f>SUM($C$3:C333)</f>
        <v>4</v>
      </c>
      <c r="E333" t="e">
        <f t="shared" si="16"/>
        <v>#N/A</v>
      </c>
      <c r="F333" s="28" t="str">
        <f t="shared" ca="1" si="17"/>
        <v/>
      </c>
    </row>
    <row r="334" spans="2:6" x14ac:dyDescent="0.2">
      <c r="B334" t="str">
        <f>IFERROR(IF('PDCA review'!$D$2=Act!B335,Act!G335,""),"")</f>
        <v/>
      </c>
      <c r="C334">
        <f t="shared" si="15"/>
        <v>0</v>
      </c>
      <c r="D334">
        <f>SUM($C$3:C334)</f>
        <v>4</v>
      </c>
      <c r="E334" t="e">
        <f t="shared" si="16"/>
        <v>#N/A</v>
      </c>
      <c r="F334" s="28" t="str">
        <f t="shared" ca="1" si="17"/>
        <v/>
      </c>
    </row>
    <row r="335" spans="2:6" x14ac:dyDescent="0.2">
      <c r="B335" t="str">
        <f>IFERROR(IF('PDCA review'!$D$2=Act!B336,Act!G336,""),"")</f>
        <v/>
      </c>
      <c r="C335">
        <f t="shared" si="15"/>
        <v>0</v>
      </c>
      <c r="D335">
        <f>SUM($C$3:C335)</f>
        <v>4</v>
      </c>
      <c r="E335" t="e">
        <f t="shared" si="16"/>
        <v>#N/A</v>
      </c>
      <c r="F335" s="28" t="str">
        <f t="shared" ca="1" si="17"/>
        <v/>
      </c>
    </row>
    <row r="336" spans="2:6" x14ac:dyDescent="0.2">
      <c r="B336" t="str">
        <f>IFERROR(IF('PDCA review'!$D$2=Act!B337,Act!G337,""),"")</f>
        <v/>
      </c>
      <c r="C336">
        <f t="shared" si="15"/>
        <v>0</v>
      </c>
      <c r="D336">
        <f>SUM($C$3:C336)</f>
        <v>4</v>
      </c>
      <c r="E336" t="e">
        <f t="shared" si="16"/>
        <v>#N/A</v>
      </c>
      <c r="F336" s="28" t="str">
        <f t="shared" ca="1" si="17"/>
        <v/>
      </c>
    </row>
    <row r="337" spans="2:6" x14ac:dyDescent="0.2">
      <c r="B337" t="str">
        <f>IFERROR(IF('PDCA review'!$D$2=Act!B338,Act!G338,""),"")</f>
        <v/>
      </c>
      <c r="C337">
        <f t="shared" si="15"/>
        <v>0</v>
      </c>
      <c r="D337">
        <f>SUM($C$3:C337)</f>
        <v>4</v>
      </c>
      <c r="E337" t="e">
        <f t="shared" si="16"/>
        <v>#N/A</v>
      </c>
      <c r="F337" s="28" t="str">
        <f t="shared" ca="1" si="17"/>
        <v/>
      </c>
    </row>
    <row r="338" spans="2:6" x14ac:dyDescent="0.2">
      <c r="B338" t="str">
        <f>IFERROR(IF('PDCA review'!$D$2=Act!B339,Act!G339,""),"")</f>
        <v/>
      </c>
      <c r="C338">
        <f t="shared" si="15"/>
        <v>0</v>
      </c>
      <c r="D338">
        <f>SUM($C$3:C338)</f>
        <v>4</v>
      </c>
      <c r="E338" t="e">
        <f t="shared" si="16"/>
        <v>#N/A</v>
      </c>
      <c r="F338" s="28" t="str">
        <f t="shared" ca="1" si="17"/>
        <v/>
      </c>
    </row>
    <row r="339" spans="2:6" x14ac:dyDescent="0.2">
      <c r="B339" t="str">
        <f>IFERROR(IF('PDCA review'!$D$2=Act!B340,Act!G340,""),"")</f>
        <v/>
      </c>
      <c r="C339">
        <f t="shared" si="15"/>
        <v>0</v>
      </c>
      <c r="D339">
        <f>SUM($C$3:C339)</f>
        <v>4</v>
      </c>
      <c r="E339" t="e">
        <f t="shared" si="16"/>
        <v>#N/A</v>
      </c>
      <c r="F339" s="28" t="str">
        <f t="shared" ca="1" si="17"/>
        <v/>
      </c>
    </row>
    <row r="340" spans="2:6" x14ac:dyDescent="0.2">
      <c r="B340" t="str">
        <f>IFERROR(IF('PDCA review'!$D$2=Act!B341,Act!G341,""),"")</f>
        <v/>
      </c>
      <c r="C340">
        <f t="shared" si="15"/>
        <v>0</v>
      </c>
      <c r="D340">
        <f>SUM($C$3:C340)</f>
        <v>4</v>
      </c>
      <c r="E340" t="e">
        <f t="shared" si="16"/>
        <v>#N/A</v>
      </c>
      <c r="F340" s="28" t="str">
        <f t="shared" ca="1" si="17"/>
        <v/>
      </c>
    </row>
    <row r="341" spans="2:6" x14ac:dyDescent="0.2">
      <c r="B341" t="str">
        <f>IFERROR(IF('PDCA review'!$D$2=Act!B342,Act!G342,""),"")</f>
        <v/>
      </c>
      <c r="C341">
        <f t="shared" si="15"/>
        <v>0</v>
      </c>
      <c r="D341">
        <f>SUM($C$3:C341)</f>
        <v>4</v>
      </c>
      <c r="E341" t="e">
        <f t="shared" si="16"/>
        <v>#N/A</v>
      </c>
      <c r="F341" s="28" t="str">
        <f t="shared" ca="1" si="17"/>
        <v/>
      </c>
    </row>
    <row r="342" spans="2:6" x14ac:dyDescent="0.2">
      <c r="B342" t="str">
        <f>IFERROR(IF('PDCA review'!$D$2=Act!B343,Act!G343,""),"")</f>
        <v/>
      </c>
      <c r="C342">
        <f t="shared" si="15"/>
        <v>0</v>
      </c>
      <c r="D342">
        <f>SUM($C$3:C342)</f>
        <v>4</v>
      </c>
      <c r="E342" t="e">
        <f t="shared" si="16"/>
        <v>#N/A</v>
      </c>
      <c r="F342" s="28" t="str">
        <f t="shared" ca="1" si="17"/>
        <v/>
      </c>
    </row>
    <row r="343" spans="2:6" x14ac:dyDescent="0.2">
      <c r="B343" t="str">
        <f>IFERROR(IF('PDCA review'!$D$2=Act!B344,Act!G344,""),"")</f>
        <v/>
      </c>
      <c r="C343">
        <f t="shared" si="15"/>
        <v>0</v>
      </c>
      <c r="D343">
        <f>SUM($C$3:C343)</f>
        <v>4</v>
      </c>
      <c r="E343" t="e">
        <f t="shared" si="16"/>
        <v>#N/A</v>
      </c>
      <c r="F343" s="28" t="str">
        <f t="shared" ca="1" si="17"/>
        <v/>
      </c>
    </row>
    <row r="344" spans="2:6" x14ac:dyDescent="0.2">
      <c r="B344" t="str">
        <f>IFERROR(IF('PDCA review'!$D$2=Act!B345,Act!G345,""),"")</f>
        <v/>
      </c>
      <c r="C344">
        <f t="shared" si="15"/>
        <v>0</v>
      </c>
      <c r="D344">
        <f>SUM($C$3:C344)</f>
        <v>4</v>
      </c>
      <c r="E344" t="e">
        <f t="shared" si="16"/>
        <v>#N/A</v>
      </c>
      <c r="F344" s="28" t="str">
        <f t="shared" ca="1" si="17"/>
        <v/>
      </c>
    </row>
    <row r="345" spans="2:6" x14ac:dyDescent="0.2">
      <c r="B345" t="str">
        <f>IFERROR(IF('PDCA review'!$D$2=Act!B346,Act!G346,""),"")</f>
        <v/>
      </c>
      <c r="C345">
        <f t="shared" si="15"/>
        <v>0</v>
      </c>
      <c r="D345">
        <f>SUM($C$3:C345)</f>
        <v>4</v>
      </c>
      <c r="E345" t="e">
        <f t="shared" si="16"/>
        <v>#N/A</v>
      </c>
      <c r="F345" s="28" t="str">
        <f t="shared" ca="1" si="17"/>
        <v/>
      </c>
    </row>
    <row r="346" spans="2:6" x14ac:dyDescent="0.2">
      <c r="B346" t="str">
        <f>IFERROR(IF('PDCA review'!$D$2=Act!B347,Act!G347,""),"")</f>
        <v/>
      </c>
      <c r="C346">
        <f t="shared" si="15"/>
        <v>0</v>
      </c>
      <c r="D346">
        <f>SUM($C$3:C346)</f>
        <v>4</v>
      </c>
      <c r="E346" t="e">
        <f t="shared" si="16"/>
        <v>#N/A</v>
      </c>
      <c r="F346" s="28" t="str">
        <f t="shared" ca="1" si="17"/>
        <v/>
      </c>
    </row>
    <row r="347" spans="2:6" x14ac:dyDescent="0.2">
      <c r="B347" t="str">
        <f>IFERROR(IF('PDCA review'!$D$2=Act!B348,Act!G348,""),"")</f>
        <v/>
      </c>
      <c r="C347">
        <f t="shared" si="15"/>
        <v>0</v>
      </c>
      <c r="D347">
        <f>SUM($C$3:C347)</f>
        <v>4</v>
      </c>
      <c r="E347" t="e">
        <f t="shared" si="16"/>
        <v>#N/A</v>
      </c>
      <c r="F347" s="28" t="str">
        <f t="shared" ca="1" si="17"/>
        <v/>
      </c>
    </row>
    <row r="348" spans="2:6" x14ac:dyDescent="0.2">
      <c r="B348" t="str">
        <f>IFERROR(IF('PDCA review'!$D$2=Act!B349,Act!G349,""),"")</f>
        <v/>
      </c>
      <c r="C348">
        <f t="shared" si="15"/>
        <v>0</v>
      </c>
      <c r="D348">
        <f>SUM($C$3:C348)</f>
        <v>4</v>
      </c>
      <c r="E348" t="e">
        <f t="shared" si="16"/>
        <v>#N/A</v>
      </c>
      <c r="F348" s="28" t="str">
        <f t="shared" ca="1" si="17"/>
        <v/>
      </c>
    </row>
    <row r="349" spans="2:6" x14ac:dyDescent="0.2">
      <c r="B349" t="str">
        <f>IFERROR(IF('PDCA review'!$D$2=Act!B350,Act!G350,""),"")</f>
        <v/>
      </c>
      <c r="C349">
        <f t="shared" si="15"/>
        <v>0</v>
      </c>
      <c r="D349">
        <f>SUM($C$3:C349)</f>
        <v>4</v>
      </c>
      <c r="E349" t="e">
        <f t="shared" si="16"/>
        <v>#N/A</v>
      </c>
      <c r="F349" s="28" t="str">
        <f t="shared" ca="1" si="17"/>
        <v/>
      </c>
    </row>
    <row r="350" spans="2:6" x14ac:dyDescent="0.2">
      <c r="B350" t="str">
        <f>IFERROR(IF('PDCA review'!$D$2=Act!B351,Act!G351,""),"")</f>
        <v/>
      </c>
      <c r="C350">
        <f t="shared" si="15"/>
        <v>0</v>
      </c>
      <c r="D350">
        <f>SUM($C$3:C350)</f>
        <v>4</v>
      </c>
      <c r="E350" t="e">
        <f t="shared" si="16"/>
        <v>#N/A</v>
      </c>
      <c r="F350" s="28" t="str">
        <f t="shared" ca="1" si="17"/>
        <v/>
      </c>
    </row>
    <row r="351" spans="2:6" x14ac:dyDescent="0.2">
      <c r="B351" t="str">
        <f>IFERROR(IF('PDCA review'!$D$2=Act!B352,Act!G352,""),"")</f>
        <v/>
      </c>
      <c r="C351">
        <f t="shared" si="15"/>
        <v>0</v>
      </c>
      <c r="D351">
        <f>SUM($C$3:C351)</f>
        <v>4</v>
      </c>
      <c r="E351" t="e">
        <f t="shared" si="16"/>
        <v>#N/A</v>
      </c>
      <c r="F351" s="28" t="str">
        <f t="shared" ca="1" si="17"/>
        <v/>
      </c>
    </row>
    <row r="352" spans="2:6" x14ac:dyDescent="0.2">
      <c r="B352" t="str">
        <f>IFERROR(IF('PDCA review'!$D$2=Act!B353,Act!G353,""),"")</f>
        <v/>
      </c>
      <c r="C352">
        <f t="shared" si="15"/>
        <v>0</v>
      </c>
      <c r="D352">
        <f>SUM($C$3:C352)</f>
        <v>4</v>
      </c>
      <c r="E352" t="e">
        <f t="shared" si="16"/>
        <v>#N/A</v>
      </c>
      <c r="F352" s="28" t="str">
        <f t="shared" ca="1" si="17"/>
        <v/>
      </c>
    </row>
    <row r="353" spans="2:6" x14ac:dyDescent="0.2">
      <c r="B353" t="str">
        <f>IFERROR(IF('PDCA review'!$D$2=Act!B354,Act!G354,""),"")</f>
        <v/>
      </c>
      <c r="C353">
        <f t="shared" si="15"/>
        <v>0</v>
      </c>
      <c r="D353">
        <f>SUM($C$3:C353)</f>
        <v>4</v>
      </c>
      <c r="E353" t="e">
        <f t="shared" si="16"/>
        <v>#N/A</v>
      </c>
      <c r="F353" s="28" t="str">
        <f t="shared" ca="1" si="17"/>
        <v/>
      </c>
    </row>
    <row r="354" spans="2:6" x14ac:dyDescent="0.2">
      <c r="B354" t="str">
        <f>IFERROR(IF('PDCA review'!$D$2=Act!B355,Act!G355,""),"")</f>
        <v/>
      </c>
      <c r="C354">
        <f t="shared" si="15"/>
        <v>0</v>
      </c>
      <c r="D354">
        <f>SUM($C$3:C354)</f>
        <v>4</v>
      </c>
      <c r="E354" t="e">
        <f t="shared" si="16"/>
        <v>#N/A</v>
      </c>
      <c r="F354" s="28" t="str">
        <f t="shared" ca="1" si="17"/>
        <v/>
      </c>
    </row>
    <row r="355" spans="2:6" x14ac:dyDescent="0.2">
      <c r="B355" t="str">
        <f>IFERROR(IF('PDCA review'!$D$2=Act!B356,Act!G356,""),"")</f>
        <v/>
      </c>
      <c r="C355">
        <f t="shared" si="15"/>
        <v>0</v>
      </c>
      <c r="D355">
        <f>SUM($C$3:C355)</f>
        <v>4</v>
      </c>
      <c r="E355" t="e">
        <f t="shared" si="16"/>
        <v>#N/A</v>
      </c>
      <c r="F355" s="28" t="str">
        <f t="shared" ca="1" si="17"/>
        <v/>
      </c>
    </row>
    <row r="356" spans="2:6" x14ac:dyDescent="0.2">
      <c r="B356" t="str">
        <f>IFERROR(IF('PDCA review'!$D$2=Act!B357,Act!G357,""),"")</f>
        <v/>
      </c>
      <c r="C356">
        <f t="shared" si="15"/>
        <v>0</v>
      </c>
      <c r="D356">
        <f>SUM($C$3:C356)</f>
        <v>4</v>
      </c>
      <c r="E356" t="e">
        <f t="shared" si="16"/>
        <v>#N/A</v>
      </c>
      <c r="F356" s="28" t="str">
        <f t="shared" ca="1" si="17"/>
        <v/>
      </c>
    </row>
    <row r="357" spans="2:6" x14ac:dyDescent="0.2">
      <c r="B357" t="str">
        <f>IFERROR(IF('PDCA review'!$D$2=Act!B358,Act!G358,""),"")</f>
        <v/>
      </c>
      <c r="C357">
        <f t="shared" si="15"/>
        <v>0</v>
      </c>
      <c r="D357">
        <f>SUM($C$3:C357)</f>
        <v>4</v>
      </c>
      <c r="E357" t="e">
        <f t="shared" si="16"/>
        <v>#N/A</v>
      </c>
      <c r="F357" s="28" t="str">
        <f t="shared" ca="1" si="17"/>
        <v/>
      </c>
    </row>
    <row r="358" spans="2:6" x14ac:dyDescent="0.2">
      <c r="B358" t="str">
        <f>IFERROR(IF('PDCA review'!$D$2=Act!B359,Act!G359,""),"")</f>
        <v/>
      </c>
      <c r="C358">
        <f t="shared" si="15"/>
        <v>0</v>
      </c>
      <c r="D358">
        <f>SUM($C$3:C358)</f>
        <v>4</v>
      </c>
      <c r="E358" t="e">
        <f t="shared" si="16"/>
        <v>#N/A</v>
      </c>
      <c r="F358" s="28" t="str">
        <f t="shared" ca="1" si="17"/>
        <v/>
      </c>
    </row>
    <row r="359" spans="2:6" x14ac:dyDescent="0.2">
      <c r="B359" t="str">
        <f>IFERROR(IF('PDCA review'!$D$2=Act!B360,Act!G360,""),"")</f>
        <v/>
      </c>
      <c r="C359">
        <f t="shared" si="15"/>
        <v>0</v>
      </c>
      <c r="D359">
        <f>SUM($C$3:C359)</f>
        <v>4</v>
      </c>
      <c r="E359" t="e">
        <f t="shared" si="16"/>
        <v>#N/A</v>
      </c>
      <c r="F359" s="28" t="str">
        <f t="shared" ca="1" si="17"/>
        <v/>
      </c>
    </row>
    <row r="360" spans="2:6" x14ac:dyDescent="0.2">
      <c r="B360" t="str">
        <f>IFERROR(IF('PDCA review'!$D$2=Act!B361,Act!G361,""),"")</f>
        <v/>
      </c>
      <c r="C360">
        <f t="shared" si="15"/>
        <v>0</v>
      </c>
      <c r="D360">
        <f>SUM($C$3:C360)</f>
        <v>4</v>
      </c>
      <c r="E360" t="e">
        <f t="shared" si="16"/>
        <v>#N/A</v>
      </c>
      <c r="F360" s="28" t="str">
        <f t="shared" ca="1" si="17"/>
        <v/>
      </c>
    </row>
    <row r="361" spans="2:6" x14ac:dyDescent="0.2">
      <c r="B361" t="str">
        <f>IFERROR(IF('PDCA review'!$D$2=Act!B362,Act!G362,""),"")</f>
        <v/>
      </c>
      <c r="C361">
        <f t="shared" si="15"/>
        <v>0</v>
      </c>
      <c r="D361">
        <f>SUM($C$3:C361)</f>
        <v>4</v>
      </c>
      <c r="E361" t="e">
        <f t="shared" si="16"/>
        <v>#N/A</v>
      </c>
      <c r="F361" s="28" t="str">
        <f t="shared" ca="1" si="17"/>
        <v/>
      </c>
    </row>
    <row r="362" spans="2:6" x14ac:dyDescent="0.2">
      <c r="B362" t="str">
        <f>IFERROR(IF('PDCA review'!$D$2=Act!B363,Act!G363,""),"")</f>
        <v/>
      </c>
      <c r="C362">
        <f t="shared" si="15"/>
        <v>0</v>
      </c>
      <c r="D362">
        <f>SUM($C$3:C362)</f>
        <v>4</v>
      </c>
      <c r="E362" t="e">
        <f t="shared" si="16"/>
        <v>#N/A</v>
      </c>
      <c r="F362" s="28" t="str">
        <f t="shared" ca="1" si="17"/>
        <v/>
      </c>
    </row>
    <row r="363" spans="2:6" x14ac:dyDescent="0.2">
      <c r="B363" t="str">
        <f>IFERROR(IF('PDCA review'!$D$2=Act!B364,Act!G364,""),"")</f>
        <v/>
      </c>
      <c r="C363">
        <f t="shared" si="15"/>
        <v>0</v>
      </c>
      <c r="D363">
        <f>SUM($C$3:C363)</f>
        <v>4</v>
      </c>
      <c r="E363" t="e">
        <f t="shared" si="16"/>
        <v>#N/A</v>
      </c>
      <c r="F363" s="28" t="str">
        <f t="shared" ca="1" si="17"/>
        <v/>
      </c>
    </row>
    <row r="364" spans="2:6" x14ac:dyDescent="0.2">
      <c r="B364" t="str">
        <f>IFERROR(IF('PDCA review'!$D$2=Act!B365,Act!G365,""),"")</f>
        <v/>
      </c>
      <c r="C364">
        <f t="shared" si="15"/>
        <v>0</v>
      </c>
      <c r="D364">
        <f>SUM($C$3:C364)</f>
        <v>4</v>
      </c>
      <c r="E364" t="e">
        <f t="shared" si="16"/>
        <v>#N/A</v>
      </c>
      <c r="F364" s="28" t="str">
        <f t="shared" ca="1" si="17"/>
        <v/>
      </c>
    </row>
    <row r="365" spans="2:6" x14ac:dyDescent="0.2">
      <c r="B365" t="str">
        <f>IFERROR(IF('PDCA review'!$D$2=Act!B366,Act!G366,""),"")</f>
        <v/>
      </c>
      <c r="C365">
        <f t="shared" si="15"/>
        <v>0</v>
      </c>
      <c r="D365">
        <f>SUM($C$3:C365)</f>
        <v>4</v>
      </c>
      <c r="E365" t="e">
        <f t="shared" si="16"/>
        <v>#N/A</v>
      </c>
      <c r="F365" s="28" t="str">
        <f t="shared" ca="1" si="17"/>
        <v/>
      </c>
    </row>
    <row r="366" spans="2:6" x14ac:dyDescent="0.2">
      <c r="B366" t="str">
        <f>IFERROR(IF('PDCA review'!$D$2=Act!B367,Act!G367,""),"")</f>
        <v/>
      </c>
      <c r="C366">
        <f t="shared" si="15"/>
        <v>0</v>
      </c>
      <c r="D366">
        <f>SUM($C$3:C366)</f>
        <v>4</v>
      </c>
      <c r="E366" t="e">
        <f t="shared" si="16"/>
        <v>#N/A</v>
      </c>
      <c r="F366" s="28" t="str">
        <f t="shared" ca="1" si="17"/>
        <v/>
      </c>
    </row>
    <row r="367" spans="2:6" x14ac:dyDescent="0.2">
      <c r="B367" t="str">
        <f>IFERROR(IF('PDCA review'!$D$2=Act!B368,Act!G368,""),"")</f>
        <v/>
      </c>
      <c r="C367">
        <f t="shared" si="15"/>
        <v>0</v>
      </c>
      <c r="D367">
        <f>SUM($C$3:C367)</f>
        <v>4</v>
      </c>
      <c r="E367" t="e">
        <f t="shared" si="16"/>
        <v>#N/A</v>
      </c>
      <c r="F367" s="28" t="str">
        <f t="shared" ca="1" si="17"/>
        <v/>
      </c>
    </row>
    <row r="368" spans="2:6" x14ac:dyDescent="0.2">
      <c r="B368" t="str">
        <f>IFERROR(IF('PDCA review'!$D$2=Act!B369,Act!G369,""),"")</f>
        <v/>
      </c>
      <c r="C368">
        <f t="shared" si="15"/>
        <v>0</v>
      </c>
      <c r="D368">
        <f>SUM($C$3:C368)</f>
        <v>4</v>
      </c>
      <c r="E368" t="e">
        <f t="shared" si="16"/>
        <v>#N/A</v>
      </c>
      <c r="F368" s="28" t="str">
        <f t="shared" ca="1" si="17"/>
        <v/>
      </c>
    </row>
    <row r="369" spans="2:6" x14ac:dyDescent="0.2">
      <c r="B369" t="str">
        <f>IFERROR(IF('PDCA review'!$D$2=Act!B370,Act!G370,""),"")</f>
        <v/>
      </c>
      <c r="C369">
        <f t="shared" si="15"/>
        <v>0</v>
      </c>
      <c r="D369">
        <f>SUM($C$3:C369)</f>
        <v>4</v>
      </c>
      <c r="E369" t="e">
        <f t="shared" si="16"/>
        <v>#N/A</v>
      </c>
      <c r="F369" s="28" t="str">
        <f t="shared" ca="1" si="17"/>
        <v/>
      </c>
    </row>
    <row r="370" spans="2:6" x14ac:dyDescent="0.2">
      <c r="B370" t="str">
        <f>IFERROR(IF('PDCA review'!$D$2=Act!B371,Act!G371,""),"")</f>
        <v/>
      </c>
      <c r="C370">
        <f t="shared" si="15"/>
        <v>0</v>
      </c>
      <c r="D370">
        <f>SUM($C$3:C370)</f>
        <v>4</v>
      </c>
      <c r="E370" t="e">
        <f t="shared" si="16"/>
        <v>#N/A</v>
      </c>
      <c r="F370" s="28" t="str">
        <f t="shared" ca="1" si="17"/>
        <v/>
      </c>
    </row>
    <row r="371" spans="2:6" x14ac:dyDescent="0.2">
      <c r="B371" t="str">
        <f>IFERROR(IF('PDCA review'!$D$2=Act!B372,Act!G372,""),"")</f>
        <v/>
      </c>
      <c r="C371">
        <f t="shared" si="15"/>
        <v>0</v>
      </c>
      <c r="D371">
        <f>SUM($C$3:C371)</f>
        <v>4</v>
      </c>
      <c r="E371" t="e">
        <f t="shared" si="16"/>
        <v>#N/A</v>
      </c>
      <c r="F371" s="28" t="str">
        <f t="shared" ca="1" si="17"/>
        <v/>
      </c>
    </row>
    <row r="372" spans="2:6" x14ac:dyDescent="0.2">
      <c r="B372" t="str">
        <f>IFERROR(IF('PDCA review'!$D$2=Act!B373,Act!G373,""),"")</f>
        <v/>
      </c>
      <c r="C372">
        <f t="shared" si="15"/>
        <v>0</v>
      </c>
      <c r="D372">
        <f>SUM($C$3:C372)</f>
        <v>4</v>
      </c>
      <c r="E372" t="e">
        <f t="shared" si="16"/>
        <v>#N/A</v>
      </c>
      <c r="F372" s="28" t="str">
        <f t="shared" ca="1" si="17"/>
        <v/>
      </c>
    </row>
    <row r="373" spans="2:6" x14ac:dyDescent="0.2">
      <c r="B373" t="str">
        <f>IFERROR(IF('PDCA review'!$D$2=Act!B374,Act!G374,""),"")</f>
        <v/>
      </c>
      <c r="C373">
        <f t="shared" si="15"/>
        <v>0</v>
      </c>
      <c r="D373">
        <f>SUM($C$3:C373)</f>
        <v>4</v>
      </c>
      <c r="E373" t="e">
        <f t="shared" si="16"/>
        <v>#N/A</v>
      </c>
      <c r="F373" s="28" t="str">
        <f t="shared" ca="1" si="17"/>
        <v/>
      </c>
    </row>
    <row r="374" spans="2:6" x14ac:dyDescent="0.2">
      <c r="B374" t="str">
        <f>IFERROR(IF('PDCA review'!$D$2=Act!B375,Act!G375,""),"")</f>
        <v/>
      </c>
      <c r="C374">
        <f t="shared" si="15"/>
        <v>0</v>
      </c>
      <c r="D374">
        <f>SUM($C$3:C374)</f>
        <v>4</v>
      </c>
      <c r="E374" t="e">
        <f t="shared" si="16"/>
        <v>#N/A</v>
      </c>
      <c r="F374" s="28" t="str">
        <f t="shared" ca="1" si="17"/>
        <v/>
      </c>
    </row>
    <row r="375" spans="2:6" x14ac:dyDescent="0.2">
      <c r="B375" t="str">
        <f>IFERROR(IF('PDCA review'!$D$2=Act!B376,Act!G376,""),"")</f>
        <v/>
      </c>
      <c r="C375">
        <f t="shared" si="15"/>
        <v>0</v>
      </c>
      <c r="D375">
        <f>SUM($C$3:C375)</f>
        <v>4</v>
      </c>
      <c r="E375" t="e">
        <f t="shared" si="16"/>
        <v>#N/A</v>
      </c>
      <c r="F375" s="28" t="str">
        <f t="shared" ca="1" si="17"/>
        <v/>
      </c>
    </row>
    <row r="376" spans="2:6" x14ac:dyDescent="0.2">
      <c r="B376" t="str">
        <f>IFERROR(IF('PDCA review'!$D$2=Act!B377,Act!G377,""),"")</f>
        <v/>
      </c>
      <c r="C376">
        <f t="shared" si="15"/>
        <v>0</v>
      </c>
      <c r="D376">
        <f>SUM($C$3:C376)</f>
        <v>4</v>
      </c>
      <c r="E376" t="e">
        <f t="shared" si="16"/>
        <v>#N/A</v>
      </c>
      <c r="F376" s="28" t="str">
        <f t="shared" ca="1" si="17"/>
        <v/>
      </c>
    </row>
    <row r="377" spans="2:6" x14ac:dyDescent="0.2">
      <c r="B377" t="str">
        <f>IFERROR(IF('PDCA review'!$D$2=Act!B378,Act!G378,""),"")</f>
        <v/>
      </c>
      <c r="C377">
        <f t="shared" si="15"/>
        <v>0</v>
      </c>
      <c r="D377">
        <f>SUM($C$3:C377)</f>
        <v>4</v>
      </c>
      <c r="E377" t="e">
        <f t="shared" si="16"/>
        <v>#N/A</v>
      </c>
      <c r="F377" s="28" t="str">
        <f t="shared" ca="1" si="17"/>
        <v/>
      </c>
    </row>
    <row r="378" spans="2:6" x14ac:dyDescent="0.2">
      <c r="B378" t="str">
        <f>IFERROR(IF('PDCA review'!$D$2=Act!B379,Act!G379,""),"")</f>
        <v/>
      </c>
      <c r="C378">
        <f t="shared" si="15"/>
        <v>0</v>
      </c>
      <c r="D378">
        <f>SUM($C$3:C378)</f>
        <v>4</v>
      </c>
      <c r="E378" t="e">
        <f t="shared" si="16"/>
        <v>#N/A</v>
      </c>
      <c r="F378" s="28" t="str">
        <f t="shared" ca="1" si="17"/>
        <v/>
      </c>
    </row>
    <row r="379" spans="2:6" x14ac:dyDescent="0.2">
      <c r="B379" t="str">
        <f>IFERROR(IF('PDCA review'!$D$2=Act!B380,Act!G380,""),"")</f>
        <v/>
      </c>
      <c r="C379">
        <f t="shared" si="15"/>
        <v>0</v>
      </c>
      <c r="D379">
        <f>SUM($C$3:C379)</f>
        <v>4</v>
      </c>
      <c r="E379" t="e">
        <f t="shared" si="16"/>
        <v>#N/A</v>
      </c>
      <c r="F379" s="28" t="str">
        <f t="shared" ca="1" si="17"/>
        <v/>
      </c>
    </row>
    <row r="380" spans="2:6" x14ac:dyDescent="0.2">
      <c r="B380" t="str">
        <f>IFERROR(IF('PDCA review'!$D$2=Act!B381,Act!G381,""),"")</f>
        <v/>
      </c>
      <c r="C380">
        <f t="shared" si="15"/>
        <v>0</v>
      </c>
      <c r="D380">
        <f>SUM($C$3:C380)</f>
        <v>4</v>
      </c>
      <c r="E380" t="e">
        <f t="shared" si="16"/>
        <v>#N/A</v>
      </c>
      <c r="F380" s="28" t="str">
        <f t="shared" ca="1" si="17"/>
        <v/>
      </c>
    </row>
    <row r="381" spans="2:6" x14ac:dyDescent="0.2">
      <c r="B381" t="str">
        <f>IFERROR(IF('PDCA review'!$D$2=Act!B382,Act!G382,""),"")</f>
        <v/>
      </c>
      <c r="C381">
        <f t="shared" si="15"/>
        <v>0</v>
      </c>
      <c r="D381">
        <f>SUM($C$3:C381)</f>
        <v>4</v>
      </c>
      <c r="E381" t="e">
        <f t="shared" si="16"/>
        <v>#N/A</v>
      </c>
      <c r="F381" s="28" t="str">
        <f t="shared" ca="1" si="17"/>
        <v/>
      </c>
    </row>
    <row r="382" spans="2:6" x14ac:dyDescent="0.2">
      <c r="B382" t="str">
        <f>IFERROR(IF('PDCA review'!$D$2=Act!B383,Act!G383,""),"")</f>
        <v/>
      </c>
      <c r="C382">
        <f t="shared" si="15"/>
        <v>0</v>
      </c>
      <c r="D382">
        <f>SUM($C$3:C382)</f>
        <v>4</v>
      </c>
      <c r="E382" t="e">
        <f t="shared" si="16"/>
        <v>#N/A</v>
      </c>
      <c r="F382" s="28" t="str">
        <f t="shared" ca="1" si="17"/>
        <v/>
      </c>
    </row>
    <row r="383" spans="2:6" x14ac:dyDescent="0.2">
      <c r="B383" t="str">
        <f>IFERROR(IF('PDCA review'!$D$2=Act!B384,Act!G384,""),"")</f>
        <v/>
      </c>
      <c r="C383">
        <f t="shared" si="15"/>
        <v>0</v>
      </c>
      <c r="D383">
        <f>SUM($C$3:C383)</f>
        <v>4</v>
      </c>
      <c r="E383" t="e">
        <f t="shared" si="16"/>
        <v>#N/A</v>
      </c>
      <c r="F383" s="28" t="str">
        <f t="shared" ca="1" si="17"/>
        <v/>
      </c>
    </row>
    <row r="384" spans="2:6" x14ac:dyDescent="0.2">
      <c r="B384" t="str">
        <f>IFERROR(IF('PDCA review'!$D$2=Act!B385,Act!G385,""),"")</f>
        <v/>
      </c>
      <c r="C384">
        <f t="shared" si="15"/>
        <v>0</v>
      </c>
      <c r="D384">
        <f>SUM($C$3:C384)</f>
        <v>4</v>
      </c>
      <c r="E384" t="e">
        <f t="shared" si="16"/>
        <v>#N/A</v>
      </c>
      <c r="F384" s="28" t="str">
        <f t="shared" ca="1" si="17"/>
        <v/>
      </c>
    </row>
    <row r="385" spans="2:6" x14ac:dyDescent="0.2">
      <c r="B385" t="str">
        <f>IFERROR(IF('PDCA review'!$D$2=Act!B386,Act!G386,""),"")</f>
        <v/>
      </c>
      <c r="C385">
        <f t="shared" si="15"/>
        <v>0</v>
      </c>
      <c r="D385">
        <f>SUM($C$3:C385)</f>
        <v>4</v>
      </c>
      <c r="E385" t="e">
        <f t="shared" si="16"/>
        <v>#N/A</v>
      </c>
      <c r="F385" s="28" t="str">
        <f t="shared" ca="1" si="17"/>
        <v/>
      </c>
    </row>
    <row r="386" spans="2:6" x14ac:dyDescent="0.2">
      <c r="B386" t="str">
        <f>IFERROR(IF('PDCA review'!$D$2=Act!B387,Act!G387,""),"")</f>
        <v/>
      </c>
      <c r="C386">
        <f t="shared" si="15"/>
        <v>0</v>
      </c>
      <c r="D386">
        <f>SUM($C$3:C386)</f>
        <v>4</v>
      </c>
      <c r="E386" t="e">
        <f t="shared" si="16"/>
        <v>#N/A</v>
      </c>
      <c r="F386" s="28" t="str">
        <f t="shared" ca="1" si="17"/>
        <v/>
      </c>
    </row>
    <row r="387" spans="2:6" x14ac:dyDescent="0.2">
      <c r="B387" t="str">
        <f>IFERROR(IF('PDCA review'!$D$2=Act!B388,Act!G388,""),"")</f>
        <v/>
      </c>
      <c r="C387">
        <f t="shared" si="15"/>
        <v>0</v>
      </c>
      <c r="D387">
        <f>SUM($C$3:C387)</f>
        <v>4</v>
      </c>
      <c r="E387" t="e">
        <f t="shared" si="16"/>
        <v>#N/A</v>
      </c>
      <c r="F387" s="28" t="str">
        <f t="shared" ca="1" si="17"/>
        <v/>
      </c>
    </row>
    <row r="388" spans="2:6" x14ac:dyDescent="0.2">
      <c r="B388" t="str">
        <f>IFERROR(IF('PDCA review'!$D$2=Act!B389,Act!G389,""),"")</f>
        <v/>
      </c>
      <c r="C388">
        <f t="shared" ref="C388:C451" si="18">IF(B388&lt;&gt;"",1,0)</f>
        <v>0</v>
      </c>
      <c r="D388">
        <f>SUM($C$3:C388)</f>
        <v>4</v>
      </c>
      <c r="E388" t="e">
        <f t="shared" ref="E388:E451" si="19">MATCH(ROW()-$D$2,$D$3:$D$2000,0)+$D$2</f>
        <v>#N/A</v>
      </c>
      <c r="F388" s="28" t="str">
        <f t="shared" ref="F388:F451" ca="1" si="20">IFERROR(INDIRECT("B"&amp;E388),"")</f>
        <v/>
      </c>
    </row>
    <row r="389" spans="2:6" x14ac:dyDescent="0.2">
      <c r="B389" t="str">
        <f>IFERROR(IF('PDCA review'!$D$2=Act!B390,Act!G390,""),"")</f>
        <v/>
      </c>
      <c r="C389">
        <f t="shared" si="18"/>
        <v>0</v>
      </c>
      <c r="D389">
        <f>SUM($C$3:C389)</f>
        <v>4</v>
      </c>
      <c r="E389" t="e">
        <f t="shared" si="19"/>
        <v>#N/A</v>
      </c>
      <c r="F389" s="28" t="str">
        <f t="shared" ca="1" si="20"/>
        <v/>
      </c>
    </row>
    <row r="390" spans="2:6" x14ac:dyDescent="0.2">
      <c r="B390" t="str">
        <f>IFERROR(IF('PDCA review'!$D$2=Act!B391,Act!G391,""),"")</f>
        <v/>
      </c>
      <c r="C390">
        <f t="shared" si="18"/>
        <v>0</v>
      </c>
      <c r="D390">
        <f>SUM($C$3:C390)</f>
        <v>4</v>
      </c>
      <c r="E390" t="e">
        <f t="shared" si="19"/>
        <v>#N/A</v>
      </c>
      <c r="F390" s="28" t="str">
        <f t="shared" ca="1" si="20"/>
        <v/>
      </c>
    </row>
    <row r="391" spans="2:6" x14ac:dyDescent="0.2">
      <c r="B391" t="str">
        <f>IFERROR(IF('PDCA review'!$D$2=Act!B392,Act!G392,""),"")</f>
        <v/>
      </c>
      <c r="C391">
        <f t="shared" si="18"/>
        <v>0</v>
      </c>
      <c r="D391">
        <f>SUM($C$3:C391)</f>
        <v>4</v>
      </c>
      <c r="E391" t="e">
        <f t="shared" si="19"/>
        <v>#N/A</v>
      </c>
      <c r="F391" s="28" t="str">
        <f t="shared" ca="1" si="20"/>
        <v/>
      </c>
    </row>
    <row r="392" spans="2:6" x14ac:dyDescent="0.2">
      <c r="B392" t="str">
        <f>IFERROR(IF('PDCA review'!$D$2=Act!B393,Act!G393,""),"")</f>
        <v/>
      </c>
      <c r="C392">
        <f t="shared" si="18"/>
        <v>0</v>
      </c>
      <c r="D392">
        <f>SUM($C$3:C392)</f>
        <v>4</v>
      </c>
      <c r="E392" t="e">
        <f t="shared" si="19"/>
        <v>#N/A</v>
      </c>
      <c r="F392" s="28" t="str">
        <f t="shared" ca="1" si="20"/>
        <v/>
      </c>
    </row>
    <row r="393" spans="2:6" x14ac:dyDescent="0.2">
      <c r="B393" t="str">
        <f>IFERROR(IF('PDCA review'!$D$2=Act!B394,Act!G394,""),"")</f>
        <v/>
      </c>
      <c r="C393">
        <f t="shared" si="18"/>
        <v>0</v>
      </c>
      <c r="D393">
        <f>SUM($C$3:C393)</f>
        <v>4</v>
      </c>
      <c r="E393" t="e">
        <f t="shared" si="19"/>
        <v>#N/A</v>
      </c>
      <c r="F393" s="28" t="str">
        <f t="shared" ca="1" si="20"/>
        <v/>
      </c>
    </row>
    <row r="394" spans="2:6" x14ac:dyDescent="0.2">
      <c r="B394" t="str">
        <f>IFERROR(IF('PDCA review'!$D$2=Act!B395,Act!G395,""),"")</f>
        <v/>
      </c>
      <c r="C394">
        <f t="shared" si="18"/>
        <v>0</v>
      </c>
      <c r="D394">
        <f>SUM($C$3:C394)</f>
        <v>4</v>
      </c>
      <c r="E394" t="e">
        <f t="shared" si="19"/>
        <v>#N/A</v>
      </c>
      <c r="F394" s="28" t="str">
        <f t="shared" ca="1" si="20"/>
        <v/>
      </c>
    </row>
    <row r="395" spans="2:6" x14ac:dyDescent="0.2">
      <c r="B395" t="str">
        <f>IFERROR(IF('PDCA review'!$D$2=Act!B396,Act!G396,""),"")</f>
        <v/>
      </c>
      <c r="C395">
        <f t="shared" si="18"/>
        <v>0</v>
      </c>
      <c r="D395">
        <f>SUM($C$3:C395)</f>
        <v>4</v>
      </c>
      <c r="E395" t="e">
        <f t="shared" si="19"/>
        <v>#N/A</v>
      </c>
      <c r="F395" s="28" t="str">
        <f t="shared" ca="1" si="20"/>
        <v/>
      </c>
    </row>
    <row r="396" spans="2:6" x14ac:dyDescent="0.2">
      <c r="B396" t="str">
        <f>IFERROR(IF('PDCA review'!$D$2=Act!B397,Act!G397,""),"")</f>
        <v/>
      </c>
      <c r="C396">
        <f t="shared" si="18"/>
        <v>0</v>
      </c>
      <c r="D396">
        <f>SUM($C$3:C396)</f>
        <v>4</v>
      </c>
      <c r="E396" t="e">
        <f t="shared" si="19"/>
        <v>#N/A</v>
      </c>
      <c r="F396" s="28" t="str">
        <f t="shared" ca="1" si="20"/>
        <v/>
      </c>
    </row>
    <row r="397" spans="2:6" x14ac:dyDescent="0.2">
      <c r="B397" t="str">
        <f>IFERROR(IF('PDCA review'!$D$2=Act!B398,Act!G398,""),"")</f>
        <v/>
      </c>
      <c r="C397">
        <f t="shared" si="18"/>
        <v>0</v>
      </c>
      <c r="D397">
        <f>SUM($C$3:C397)</f>
        <v>4</v>
      </c>
      <c r="E397" t="e">
        <f t="shared" si="19"/>
        <v>#N/A</v>
      </c>
      <c r="F397" s="28" t="str">
        <f t="shared" ca="1" si="20"/>
        <v/>
      </c>
    </row>
    <row r="398" spans="2:6" x14ac:dyDescent="0.2">
      <c r="B398" t="str">
        <f>IFERROR(IF('PDCA review'!$D$2=Act!B399,Act!G399,""),"")</f>
        <v/>
      </c>
      <c r="C398">
        <f t="shared" si="18"/>
        <v>0</v>
      </c>
      <c r="D398">
        <f>SUM($C$3:C398)</f>
        <v>4</v>
      </c>
      <c r="E398" t="e">
        <f t="shared" si="19"/>
        <v>#N/A</v>
      </c>
      <c r="F398" s="28" t="str">
        <f t="shared" ca="1" si="20"/>
        <v/>
      </c>
    </row>
    <row r="399" spans="2:6" x14ac:dyDescent="0.2">
      <c r="B399" t="str">
        <f>IFERROR(IF('PDCA review'!$D$2=Act!B400,Act!G400,""),"")</f>
        <v/>
      </c>
      <c r="C399">
        <f t="shared" si="18"/>
        <v>0</v>
      </c>
      <c r="D399">
        <f>SUM($C$3:C399)</f>
        <v>4</v>
      </c>
      <c r="E399" t="e">
        <f t="shared" si="19"/>
        <v>#N/A</v>
      </c>
      <c r="F399" s="28" t="str">
        <f t="shared" ca="1" si="20"/>
        <v/>
      </c>
    </row>
    <row r="400" spans="2:6" x14ac:dyDescent="0.2">
      <c r="B400" t="str">
        <f>IFERROR(IF('PDCA review'!$D$2=Act!B401,Act!G401,""),"")</f>
        <v/>
      </c>
      <c r="C400">
        <f t="shared" si="18"/>
        <v>0</v>
      </c>
      <c r="D400">
        <f>SUM($C$3:C400)</f>
        <v>4</v>
      </c>
      <c r="E400" t="e">
        <f t="shared" si="19"/>
        <v>#N/A</v>
      </c>
      <c r="F400" s="28" t="str">
        <f t="shared" ca="1" si="20"/>
        <v/>
      </c>
    </row>
    <row r="401" spans="2:6" x14ac:dyDescent="0.2">
      <c r="B401" t="str">
        <f>IFERROR(IF('PDCA review'!$D$2=Act!B402,Act!G402,""),"")</f>
        <v/>
      </c>
      <c r="C401">
        <f t="shared" si="18"/>
        <v>0</v>
      </c>
      <c r="D401">
        <f>SUM($C$3:C401)</f>
        <v>4</v>
      </c>
      <c r="E401" t="e">
        <f t="shared" si="19"/>
        <v>#N/A</v>
      </c>
      <c r="F401" s="28" t="str">
        <f t="shared" ca="1" si="20"/>
        <v/>
      </c>
    </row>
    <row r="402" spans="2:6" x14ac:dyDescent="0.2">
      <c r="B402" t="str">
        <f>IFERROR(IF('PDCA review'!$D$2=Act!B403,Act!G403,""),"")</f>
        <v/>
      </c>
      <c r="C402">
        <f t="shared" si="18"/>
        <v>0</v>
      </c>
      <c r="D402">
        <f>SUM($C$3:C402)</f>
        <v>4</v>
      </c>
      <c r="E402" t="e">
        <f t="shared" si="19"/>
        <v>#N/A</v>
      </c>
      <c r="F402" s="28" t="str">
        <f t="shared" ca="1" si="20"/>
        <v/>
      </c>
    </row>
    <row r="403" spans="2:6" x14ac:dyDescent="0.2">
      <c r="B403" t="str">
        <f>IFERROR(IF('PDCA review'!$D$2=Act!B404,Act!G404,""),"")</f>
        <v/>
      </c>
      <c r="C403">
        <f t="shared" si="18"/>
        <v>0</v>
      </c>
      <c r="D403">
        <f>SUM($C$3:C403)</f>
        <v>4</v>
      </c>
      <c r="E403" t="e">
        <f t="shared" si="19"/>
        <v>#N/A</v>
      </c>
      <c r="F403" s="28" t="str">
        <f t="shared" ca="1" si="20"/>
        <v/>
      </c>
    </row>
    <row r="404" spans="2:6" x14ac:dyDescent="0.2">
      <c r="B404" t="str">
        <f>IFERROR(IF('PDCA review'!$D$2=Act!B405,Act!G405,""),"")</f>
        <v/>
      </c>
      <c r="C404">
        <f t="shared" si="18"/>
        <v>0</v>
      </c>
      <c r="D404">
        <f>SUM($C$3:C404)</f>
        <v>4</v>
      </c>
      <c r="E404" t="e">
        <f t="shared" si="19"/>
        <v>#N/A</v>
      </c>
      <c r="F404" s="28" t="str">
        <f t="shared" ca="1" si="20"/>
        <v/>
      </c>
    </row>
    <row r="405" spans="2:6" x14ac:dyDescent="0.2">
      <c r="B405" t="str">
        <f>IFERROR(IF('PDCA review'!$D$2=Act!B406,Act!G406,""),"")</f>
        <v/>
      </c>
      <c r="C405">
        <f t="shared" si="18"/>
        <v>0</v>
      </c>
      <c r="D405">
        <f>SUM($C$3:C405)</f>
        <v>4</v>
      </c>
      <c r="E405" t="e">
        <f t="shared" si="19"/>
        <v>#N/A</v>
      </c>
      <c r="F405" s="28" t="str">
        <f t="shared" ca="1" si="20"/>
        <v/>
      </c>
    </row>
    <row r="406" spans="2:6" x14ac:dyDescent="0.2">
      <c r="B406" t="str">
        <f>IFERROR(IF('PDCA review'!$D$2=Act!B407,Act!G407,""),"")</f>
        <v/>
      </c>
      <c r="C406">
        <f t="shared" si="18"/>
        <v>0</v>
      </c>
      <c r="D406">
        <f>SUM($C$3:C406)</f>
        <v>4</v>
      </c>
      <c r="E406" t="e">
        <f t="shared" si="19"/>
        <v>#N/A</v>
      </c>
      <c r="F406" s="28" t="str">
        <f t="shared" ca="1" si="20"/>
        <v/>
      </c>
    </row>
    <row r="407" spans="2:6" x14ac:dyDescent="0.2">
      <c r="B407" t="str">
        <f>IFERROR(IF('PDCA review'!$D$2=Act!B408,Act!G408,""),"")</f>
        <v/>
      </c>
      <c r="C407">
        <f t="shared" si="18"/>
        <v>0</v>
      </c>
      <c r="D407">
        <f>SUM($C$3:C407)</f>
        <v>4</v>
      </c>
      <c r="E407" t="e">
        <f t="shared" si="19"/>
        <v>#N/A</v>
      </c>
      <c r="F407" s="28" t="str">
        <f t="shared" ca="1" si="20"/>
        <v/>
      </c>
    </row>
    <row r="408" spans="2:6" x14ac:dyDescent="0.2">
      <c r="B408" t="str">
        <f>IFERROR(IF('PDCA review'!$D$2=Act!B409,Act!G409,""),"")</f>
        <v/>
      </c>
      <c r="C408">
        <f t="shared" si="18"/>
        <v>0</v>
      </c>
      <c r="D408">
        <f>SUM($C$3:C408)</f>
        <v>4</v>
      </c>
      <c r="E408" t="e">
        <f t="shared" si="19"/>
        <v>#N/A</v>
      </c>
      <c r="F408" s="28" t="str">
        <f t="shared" ca="1" si="20"/>
        <v/>
      </c>
    </row>
    <row r="409" spans="2:6" x14ac:dyDescent="0.2">
      <c r="B409" t="str">
        <f>IFERROR(IF('PDCA review'!$D$2=Act!B410,Act!G410,""),"")</f>
        <v/>
      </c>
      <c r="C409">
        <f t="shared" si="18"/>
        <v>0</v>
      </c>
      <c r="D409">
        <f>SUM($C$3:C409)</f>
        <v>4</v>
      </c>
      <c r="E409" t="e">
        <f t="shared" si="19"/>
        <v>#N/A</v>
      </c>
      <c r="F409" s="28" t="str">
        <f t="shared" ca="1" si="20"/>
        <v/>
      </c>
    </row>
    <row r="410" spans="2:6" x14ac:dyDescent="0.2">
      <c r="B410" t="str">
        <f>IFERROR(IF('PDCA review'!$D$2=Act!B411,Act!G411,""),"")</f>
        <v/>
      </c>
      <c r="C410">
        <f t="shared" si="18"/>
        <v>0</v>
      </c>
      <c r="D410">
        <f>SUM($C$3:C410)</f>
        <v>4</v>
      </c>
      <c r="E410" t="e">
        <f t="shared" si="19"/>
        <v>#N/A</v>
      </c>
      <c r="F410" s="28" t="str">
        <f t="shared" ca="1" si="20"/>
        <v/>
      </c>
    </row>
    <row r="411" spans="2:6" x14ac:dyDescent="0.2">
      <c r="B411" t="str">
        <f>IFERROR(IF('PDCA review'!$D$2=Act!B412,Act!G412,""),"")</f>
        <v/>
      </c>
      <c r="C411">
        <f t="shared" si="18"/>
        <v>0</v>
      </c>
      <c r="D411">
        <f>SUM($C$3:C411)</f>
        <v>4</v>
      </c>
      <c r="E411" t="e">
        <f t="shared" si="19"/>
        <v>#N/A</v>
      </c>
      <c r="F411" s="28" t="str">
        <f t="shared" ca="1" si="20"/>
        <v/>
      </c>
    </row>
    <row r="412" spans="2:6" x14ac:dyDescent="0.2">
      <c r="B412" t="str">
        <f>IFERROR(IF('PDCA review'!$D$2=Act!B413,Act!G413,""),"")</f>
        <v/>
      </c>
      <c r="C412">
        <f t="shared" si="18"/>
        <v>0</v>
      </c>
      <c r="D412">
        <f>SUM($C$3:C412)</f>
        <v>4</v>
      </c>
      <c r="E412" t="e">
        <f t="shared" si="19"/>
        <v>#N/A</v>
      </c>
      <c r="F412" s="28" t="str">
        <f t="shared" ca="1" si="20"/>
        <v/>
      </c>
    </row>
    <row r="413" spans="2:6" x14ac:dyDescent="0.2">
      <c r="B413" t="str">
        <f>IFERROR(IF('PDCA review'!$D$2=Act!B414,Act!G414,""),"")</f>
        <v/>
      </c>
      <c r="C413">
        <f t="shared" si="18"/>
        <v>0</v>
      </c>
      <c r="D413">
        <f>SUM($C$3:C413)</f>
        <v>4</v>
      </c>
      <c r="E413" t="e">
        <f t="shared" si="19"/>
        <v>#N/A</v>
      </c>
      <c r="F413" s="28" t="str">
        <f t="shared" ca="1" si="20"/>
        <v/>
      </c>
    </row>
    <row r="414" spans="2:6" x14ac:dyDescent="0.2">
      <c r="B414" t="str">
        <f>IFERROR(IF('PDCA review'!$D$2=Act!B415,Act!G415,""),"")</f>
        <v/>
      </c>
      <c r="C414">
        <f t="shared" si="18"/>
        <v>0</v>
      </c>
      <c r="D414">
        <f>SUM($C$3:C414)</f>
        <v>4</v>
      </c>
      <c r="E414" t="e">
        <f t="shared" si="19"/>
        <v>#N/A</v>
      </c>
      <c r="F414" s="28" t="str">
        <f t="shared" ca="1" si="20"/>
        <v/>
      </c>
    </row>
    <row r="415" spans="2:6" x14ac:dyDescent="0.2">
      <c r="B415" t="str">
        <f>IFERROR(IF('PDCA review'!$D$2=Act!B416,Act!G416,""),"")</f>
        <v/>
      </c>
      <c r="C415">
        <f t="shared" si="18"/>
        <v>0</v>
      </c>
      <c r="D415">
        <f>SUM($C$3:C415)</f>
        <v>4</v>
      </c>
      <c r="E415" t="e">
        <f t="shared" si="19"/>
        <v>#N/A</v>
      </c>
      <c r="F415" s="28" t="str">
        <f t="shared" ca="1" si="20"/>
        <v/>
      </c>
    </row>
    <row r="416" spans="2:6" x14ac:dyDescent="0.2">
      <c r="B416" t="str">
        <f>IFERROR(IF('PDCA review'!$D$2=Act!B417,Act!G417,""),"")</f>
        <v/>
      </c>
      <c r="C416">
        <f t="shared" si="18"/>
        <v>0</v>
      </c>
      <c r="D416">
        <f>SUM($C$3:C416)</f>
        <v>4</v>
      </c>
      <c r="E416" t="e">
        <f t="shared" si="19"/>
        <v>#N/A</v>
      </c>
      <c r="F416" s="28" t="str">
        <f t="shared" ca="1" si="20"/>
        <v/>
      </c>
    </row>
    <row r="417" spans="2:6" x14ac:dyDescent="0.2">
      <c r="B417" t="str">
        <f>IFERROR(IF('PDCA review'!$D$2=Act!B418,Act!G418,""),"")</f>
        <v/>
      </c>
      <c r="C417">
        <f t="shared" si="18"/>
        <v>0</v>
      </c>
      <c r="D417">
        <f>SUM($C$3:C417)</f>
        <v>4</v>
      </c>
      <c r="E417" t="e">
        <f t="shared" si="19"/>
        <v>#N/A</v>
      </c>
      <c r="F417" s="28" t="str">
        <f t="shared" ca="1" si="20"/>
        <v/>
      </c>
    </row>
    <row r="418" spans="2:6" x14ac:dyDescent="0.2">
      <c r="B418" t="str">
        <f>IFERROR(IF('PDCA review'!$D$2=Act!B419,Act!G419,""),"")</f>
        <v/>
      </c>
      <c r="C418">
        <f t="shared" si="18"/>
        <v>0</v>
      </c>
      <c r="D418">
        <f>SUM($C$3:C418)</f>
        <v>4</v>
      </c>
      <c r="E418" t="e">
        <f t="shared" si="19"/>
        <v>#N/A</v>
      </c>
      <c r="F418" s="28" t="str">
        <f t="shared" ca="1" si="20"/>
        <v/>
      </c>
    </row>
    <row r="419" spans="2:6" x14ac:dyDescent="0.2">
      <c r="B419" t="str">
        <f>IFERROR(IF('PDCA review'!$D$2=Act!B420,Act!G420,""),"")</f>
        <v/>
      </c>
      <c r="C419">
        <f t="shared" si="18"/>
        <v>0</v>
      </c>
      <c r="D419">
        <f>SUM($C$3:C419)</f>
        <v>4</v>
      </c>
      <c r="E419" t="e">
        <f t="shared" si="19"/>
        <v>#N/A</v>
      </c>
      <c r="F419" s="28" t="str">
        <f t="shared" ca="1" si="20"/>
        <v/>
      </c>
    </row>
    <row r="420" spans="2:6" x14ac:dyDescent="0.2">
      <c r="B420" t="str">
        <f>IFERROR(IF('PDCA review'!$D$2=Act!B421,Act!G421,""),"")</f>
        <v/>
      </c>
      <c r="C420">
        <f t="shared" si="18"/>
        <v>0</v>
      </c>
      <c r="D420">
        <f>SUM($C$3:C420)</f>
        <v>4</v>
      </c>
      <c r="E420" t="e">
        <f t="shared" si="19"/>
        <v>#N/A</v>
      </c>
      <c r="F420" s="28" t="str">
        <f t="shared" ca="1" si="20"/>
        <v/>
      </c>
    </row>
    <row r="421" spans="2:6" x14ac:dyDescent="0.2">
      <c r="B421" t="str">
        <f>IFERROR(IF('PDCA review'!$D$2=Act!B422,Act!G422,""),"")</f>
        <v/>
      </c>
      <c r="C421">
        <f t="shared" si="18"/>
        <v>0</v>
      </c>
      <c r="D421">
        <f>SUM($C$3:C421)</f>
        <v>4</v>
      </c>
      <c r="E421" t="e">
        <f t="shared" si="19"/>
        <v>#N/A</v>
      </c>
      <c r="F421" s="28" t="str">
        <f t="shared" ca="1" si="20"/>
        <v/>
      </c>
    </row>
    <row r="422" spans="2:6" x14ac:dyDescent="0.2">
      <c r="B422" t="str">
        <f>IFERROR(IF('PDCA review'!$D$2=Act!B423,Act!G423,""),"")</f>
        <v/>
      </c>
      <c r="C422">
        <f t="shared" si="18"/>
        <v>0</v>
      </c>
      <c r="D422">
        <f>SUM($C$3:C422)</f>
        <v>4</v>
      </c>
      <c r="E422" t="e">
        <f t="shared" si="19"/>
        <v>#N/A</v>
      </c>
      <c r="F422" s="28" t="str">
        <f t="shared" ca="1" si="20"/>
        <v/>
      </c>
    </row>
    <row r="423" spans="2:6" x14ac:dyDescent="0.2">
      <c r="B423" t="str">
        <f>IFERROR(IF('PDCA review'!$D$2=Act!B424,Act!G424,""),"")</f>
        <v/>
      </c>
      <c r="C423">
        <f t="shared" si="18"/>
        <v>0</v>
      </c>
      <c r="D423">
        <f>SUM($C$3:C423)</f>
        <v>4</v>
      </c>
      <c r="E423" t="e">
        <f t="shared" si="19"/>
        <v>#N/A</v>
      </c>
      <c r="F423" s="28" t="str">
        <f t="shared" ca="1" si="20"/>
        <v/>
      </c>
    </row>
    <row r="424" spans="2:6" x14ac:dyDescent="0.2">
      <c r="B424" t="str">
        <f>IFERROR(IF('PDCA review'!$D$2=Act!B425,Act!G425,""),"")</f>
        <v/>
      </c>
      <c r="C424">
        <f t="shared" si="18"/>
        <v>0</v>
      </c>
      <c r="D424">
        <f>SUM($C$3:C424)</f>
        <v>4</v>
      </c>
      <c r="E424" t="e">
        <f t="shared" si="19"/>
        <v>#N/A</v>
      </c>
      <c r="F424" s="28" t="str">
        <f t="shared" ca="1" si="20"/>
        <v/>
      </c>
    </row>
    <row r="425" spans="2:6" x14ac:dyDescent="0.2">
      <c r="B425" t="str">
        <f>IFERROR(IF('PDCA review'!$D$2=Act!B426,Act!G426,""),"")</f>
        <v/>
      </c>
      <c r="C425">
        <f t="shared" si="18"/>
        <v>0</v>
      </c>
      <c r="D425">
        <f>SUM($C$3:C425)</f>
        <v>4</v>
      </c>
      <c r="E425" t="e">
        <f t="shared" si="19"/>
        <v>#N/A</v>
      </c>
      <c r="F425" s="28" t="str">
        <f t="shared" ca="1" si="20"/>
        <v/>
      </c>
    </row>
    <row r="426" spans="2:6" x14ac:dyDescent="0.2">
      <c r="B426" t="str">
        <f>IFERROR(IF('PDCA review'!$D$2=Act!B427,Act!G427,""),"")</f>
        <v/>
      </c>
      <c r="C426">
        <f t="shared" si="18"/>
        <v>0</v>
      </c>
      <c r="D426">
        <f>SUM($C$3:C426)</f>
        <v>4</v>
      </c>
      <c r="E426" t="e">
        <f t="shared" si="19"/>
        <v>#N/A</v>
      </c>
      <c r="F426" s="28" t="str">
        <f t="shared" ca="1" si="20"/>
        <v/>
      </c>
    </row>
    <row r="427" spans="2:6" x14ac:dyDescent="0.2">
      <c r="B427" t="str">
        <f>IFERROR(IF('PDCA review'!$D$2=Act!B428,Act!G428,""),"")</f>
        <v/>
      </c>
      <c r="C427">
        <f t="shared" si="18"/>
        <v>0</v>
      </c>
      <c r="D427">
        <f>SUM($C$3:C427)</f>
        <v>4</v>
      </c>
      <c r="E427" t="e">
        <f t="shared" si="19"/>
        <v>#N/A</v>
      </c>
      <c r="F427" s="28" t="str">
        <f t="shared" ca="1" si="20"/>
        <v/>
      </c>
    </row>
    <row r="428" spans="2:6" x14ac:dyDescent="0.2">
      <c r="B428" t="str">
        <f>IFERROR(IF('PDCA review'!$D$2=Act!B429,Act!G429,""),"")</f>
        <v/>
      </c>
      <c r="C428">
        <f t="shared" si="18"/>
        <v>0</v>
      </c>
      <c r="D428">
        <f>SUM($C$3:C428)</f>
        <v>4</v>
      </c>
      <c r="E428" t="e">
        <f t="shared" si="19"/>
        <v>#N/A</v>
      </c>
      <c r="F428" s="28" t="str">
        <f t="shared" ca="1" si="20"/>
        <v/>
      </c>
    </row>
    <row r="429" spans="2:6" x14ac:dyDescent="0.2">
      <c r="B429" t="str">
        <f>IFERROR(IF('PDCA review'!$D$2=Act!B430,Act!G430,""),"")</f>
        <v/>
      </c>
      <c r="C429">
        <f t="shared" si="18"/>
        <v>0</v>
      </c>
      <c r="D429">
        <f>SUM($C$3:C429)</f>
        <v>4</v>
      </c>
      <c r="E429" t="e">
        <f t="shared" si="19"/>
        <v>#N/A</v>
      </c>
      <c r="F429" s="28" t="str">
        <f t="shared" ca="1" si="20"/>
        <v/>
      </c>
    </row>
    <row r="430" spans="2:6" x14ac:dyDescent="0.2">
      <c r="B430" t="str">
        <f>IFERROR(IF('PDCA review'!$D$2=Act!B431,Act!G431,""),"")</f>
        <v/>
      </c>
      <c r="C430">
        <f t="shared" si="18"/>
        <v>0</v>
      </c>
      <c r="D430">
        <f>SUM($C$3:C430)</f>
        <v>4</v>
      </c>
      <c r="E430" t="e">
        <f t="shared" si="19"/>
        <v>#N/A</v>
      </c>
      <c r="F430" s="28" t="str">
        <f t="shared" ca="1" si="20"/>
        <v/>
      </c>
    </row>
    <row r="431" spans="2:6" x14ac:dyDescent="0.2">
      <c r="B431" t="str">
        <f>IFERROR(IF('PDCA review'!$D$2=Act!B432,Act!G432,""),"")</f>
        <v/>
      </c>
      <c r="C431">
        <f t="shared" si="18"/>
        <v>0</v>
      </c>
      <c r="D431">
        <f>SUM($C$3:C431)</f>
        <v>4</v>
      </c>
      <c r="E431" t="e">
        <f t="shared" si="19"/>
        <v>#N/A</v>
      </c>
      <c r="F431" s="28" t="str">
        <f t="shared" ca="1" si="20"/>
        <v/>
      </c>
    </row>
    <row r="432" spans="2:6" x14ac:dyDescent="0.2">
      <c r="B432" t="str">
        <f>IFERROR(IF('PDCA review'!$D$2=Act!B433,Act!G433,""),"")</f>
        <v/>
      </c>
      <c r="C432">
        <f t="shared" si="18"/>
        <v>0</v>
      </c>
      <c r="D432">
        <f>SUM($C$3:C432)</f>
        <v>4</v>
      </c>
      <c r="E432" t="e">
        <f t="shared" si="19"/>
        <v>#N/A</v>
      </c>
      <c r="F432" s="28" t="str">
        <f t="shared" ca="1" si="20"/>
        <v/>
      </c>
    </row>
    <row r="433" spans="2:6" x14ac:dyDescent="0.2">
      <c r="B433" t="str">
        <f>IFERROR(IF('PDCA review'!$D$2=Act!B434,Act!G434,""),"")</f>
        <v/>
      </c>
      <c r="C433">
        <f t="shared" si="18"/>
        <v>0</v>
      </c>
      <c r="D433">
        <f>SUM($C$3:C433)</f>
        <v>4</v>
      </c>
      <c r="E433" t="e">
        <f t="shared" si="19"/>
        <v>#N/A</v>
      </c>
      <c r="F433" s="28" t="str">
        <f t="shared" ca="1" si="20"/>
        <v/>
      </c>
    </row>
    <row r="434" spans="2:6" x14ac:dyDescent="0.2">
      <c r="B434" t="str">
        <f>IFERROR(IF('PDCA review'!$D$2=Act!B435,Act!G435,""),"")</f>
        <v/>
      </c>
      <c r="C434">
        <f t="shared" si="18"/>
        <v>0</v>
      </c>
      <c r="D434">
        <f>SUM($C$3:C434)</f>
        <v>4</v>
      </c>
      <c r="E434" t="e">
        <f t="shared" si="19"/>
        <v>#N/A</v>
      </c>
      <c r="F434" s="28" t="str">
        <f t="shared" ca="1" si="20"/>
        <v/>
      </c>
    </row>
    <row r="435" spans="2:6" x14ac:dyDescent="0.2">
      <c r="B435" t="str">
        <f>IFERROR(IF('PDCA review'!$D$2=Act!B436,Act!G436,""),"")</f>
        <v/>
      </c>
      <c r="C435">
        <f t="shared" si="18"/>
        <v>0</v>
      </c>
      <c r="D435">
        <f>SUM($C$3:C435)</f>
        <v>4</v>
      </c>
      <c r="E435" t="e">
        <f t="shared" si="19"/>
        <v>#N/A</v>
      </c>
      <c r="F435" s="28" t="str">
        <f t="shared" ca="1" si="20"/>
        <v/>
      </c>
    </row>
    <row r="436" spans="2:6" x14ac:dyDescent="0.2">
      <c r="B436" t="str">
        <f>IFERROR(IF('PDCA review'!$D$2=Act!B437,Act!G437,""),"")</f>
        <v/>
      </c>
      <c r="C436">
        <f t="shared" si="18"/>
        <v>0</v>
      </c>
      <c r="D436">
        <f>SUM($C$3:C436)</f>
        <v>4</v>
      </c>
      <c r="E436" t="e">
        <f t="shared" si="19"/>
        <v>#N/A</v>
      </c>
      <c r="F436" s="28" t="str">
        <f t="shared" ca="1" si="20"/>
        <v/>
      </c>
    </row>
    <row r="437" spans="2:6" x14ac:dyDescent="0.2">
      <c r="B437" t="str">
        <f>IFERROR(IF('PDCA review'!$D$2=Act!B438,Act!G438,""),"")</f>
        <v/>
      </c>
      <c r="C437">
        <f t="shared" si="18"/>
        <v>0</v>
      </c>
      <c r="D437">
        <f>SUM($C$3:C437)</f>
        <v>4</v>
      </c>
      <c r="E437" t="e">
        <f t="shared" si="19"/>
        <v>#N/A</v>
      </c>
      <c r="F437" s="28" t="str">
        <f t="shared" ca="1" si="20"/>
        <v/>
      </c>
    </row>
    <row r="438" spans="2:6" x14ac:dyDescent="0.2">
      <c r="B438" t="str">
        <f>IFERROR(IF('PDCA review'!$D$2=Act!B439,Act!G439,""),"")</f>
        <v/>
      </c>
      <c r="C438">
        <f t="shared" si="18"/>
        <v>0</v>
      </c>
      <c r="D438">
        <f>SUM($C$3:C438)</f>
        <v>4</v>
      </c>
      <c r="E438" t="e">
        <f t="shared" si="19"/>
        <v>#N/A</v>
      </c>
      <c r="F438" s="28" t="str">
        <f t="shared" ca="1" si="20"/>
        <v/>
      </c>
    </row>
    <row r="439" spans="2:6" x14ac:dyDescent="0.2">
      <c r="B439" t="str">
        <f>IFERROR(IF('PDCA review'!$D$2=Act!B440,Act!G440,""),"")</f>
        <v/>
      </c>
      <c r="C439">
        <f t="shared" si="18"/>
        <v>0</v>
      </c>
      <c r="D439">
        <f>SUM($C$3:C439)</f>
        <v>4</v>
      </c>
      <c r="E439" t="e">
        <f t="shared" si="19"/>
        <v>#N/A</v>
      </c>
      <c r="F439" s="28" t="str">
        <f t="shared" ca="1" si="20"/>
        <v/>
      </c>
    </row>
    <row r="440" spans="2:6" x14ac:dyDescent="0.2">
      <c r="B440" t="str">
        <f>IFERROR(IF('PDCA review'!$D$2=Act!B441,Act!G441,""),"")</f>
        <v/>
      </c>
      <c r="C440">
        <f t="shared" si="18"/>
        <v>0</v>
      </c>
      <c r="D440">
        <f>SUM($C$3:C440)</f>
        <v>4</v>
      </c>
      <c r="E440" t="e">
        <f t="shared" si="19"/>
        <v>#N/A</v>
      </c>
      <c r="F440" s="28" t="str">
        <f t="shared" ca="1" si="20"/>
        <v/>
      </c>
    </row>
    <row r="441" spans="2:6" x14ac:dyDescent="0.2">
      <c r="B441" t="str">
        <f>IFERROR(IF('PDCA review'!$D$2=Act!B442,Act!G442,""),"")</f>
        <v/>
      </c>
      <c r="C441">
        <f t="shared" si="18"/>
        <v>0</v>
      </c>
      <c r="D441">
        <f>SUM($C$3:C441)</f>
        <v>4</v>
      </c>
      <c r="E441" t="e">
        <f t="shared" si="19"/>
        <v>#N/A</v>
      </c>
      <c r="F441" s="28" t="str">
        <f t="shared" ca="1" si="20"/>
        <v/>
      </c>
    </row>
    <row r="442" spans="2:6" x14ac:dyDescent="0.2">
      <c r="B442" t="str">
        <f>IFERROR(IF('PDCA review'!$D$2=Act!B443,Act!G443,""),"")</f>
        <v/>
      </c>
      <c r="C442">
        <f t="shared" si="18"/>
        <v>0</v>
      </c>
      <c r="D442">
        <f>SUM($C$3:C442)</f>
        <v>4</v>
      </c>
      <c r="E442" t="e">
        <f t="shared" si="19"/>
        <v>#N/A</v>
      </c>
      <c r="F442" s="28" t="str">
        <f t="shared" ca="1" si="20"/>
        <v/>
      </c>
    </row>
    <row r="443" spans="2:6" x14ac:dyDescent="0.2">
      <c r="B443" t="str">
        <f>IFERROR(IF('PDCA review'!$D$2=Act!B444,Act!G444,""),"")</f>
        <v/>
      </c>
      <c r="C443">
        <f t="shared" si="18"/>
        <v>0</v>
      </c>
      <c r="D443">
        <f>SUM($C$3:C443)</f>
        <v>4</v>
      </c>
      <c r="E443" t="e">
        <f t="shared" si="19"/>
        <v>#N/A</v>
      </c>
      <c r="F443" s="28" t="str">
        <f t="shared" ca="1" si="20"/>
        <v/>
      </c>
    </row>
    <row r="444" spans="2:6" x14ac:dyDescent="0.2">
      <c r="B444" t="str">
        <f>IFERROR(IF('PDCA review'!$D$2=Act!B445,Act!G445,""),"")</f>
        <v/>
      </c>
      <c r="C444">
        <f t="shared" si="18"/>
        <v>0</v>
      </c>
      <c r="D444">
        <f>SUM($C$3:C444)</f>
        <v>4</v>
      </c>
      <c r="E444" t="e">
        <f t="shared" si="19"/>
        <v>#N/A</v>
      </c>
      <c r="F444" s="28" t="str">
        <f t="shared" ca="1" si="20"/>
        <v/>
      </c>
    </row>
    <row r="445" spans="2:6" x14ac:dyDescent="0.2">
      <c r="B445" t="str">
        <f>IFERROR(IF('PDCA review'!$D$2=Act!B446,Act!G446,""),"")</f>
        <v/>
      </c>
      <c r="C445">
        <f t="shared" si="18"/>
        <v>0</v>
      </c>
      <c r="D445">
        <f>SUM($C$3:C445)</f>
        <v>4</v>
      </c>
      <c r="E445" t="e">
        <f t="shared" si="19"/>
        <v>#N/A</v>
      </c>
      <c r="F445" s="28" t="str">
        <f t="shared" ca="1" si="20"/>
        <v/>
      </c>
    </row>
    <row r="446" spans="2:6" x14ac:dyDescent="0.2">
      <c r="B446" t="str">
        <f>IFERROR(IF('PDCA review'!$D$2=Act!B447,Act!G447,""),"")</f>
        <v/>
      </c>
      <c r="C446">
        <f t="shared" si="18"/>
        <v>0</v>
      </c>
      <c r="D446">
        <f>SUM($C$3:C446)</f>
        <v>4</v>
      </c>
      <c r="E446" t="e">
        <f t="shared" si="19"/>
        <v>#N/A</v>
      </c>
      <c r="F446" s="28" t="str">
        <f t="shared" ca="1" si="20"/>
        <v/>
      </c>
    </row>
    <row r="447" spans="2:6" x14ac:dyDescent="0.2">
      <c r="B447" t="str">
        <f>IFERROR(IF('PDCA review'!$D$2=Act!B448,Act!G448,""),"")</f>
        <v/>
      </c>
      <c r="C447">
        <f t="shared" si="18"/>
        <v>0</v>
      </c>
      <c r="D447">
        <f>SUM($C$3:C447)</f>
        <v>4</v>
      </c>
      <c r="E447" t="e">
        <f t="shared" si="19"/>
        <v>#N/A</v>
      </c>
      <c r="F447" s="28" t="str">
        <f t="shared" ca="1" si="20"/>
        <v/>
      </c>
    </row>
    <row r="448" spans="2:6" x14ac:dyDescent="0.2">
      <c r="B448" t="str">
        <f>IFERROR(IF('PDCA review'!$D$2=Act!B449,Act!G449,""),"")</f>
        <v/>
      </c>
      <c r="C448">
        <f t="shared" si="18"/>
        <v>0</v>
      </c>
      <c r="D448">
        <f>SUM($C$3:C448)</f>
        <v>4</v>
      </c>
      <c r="E448" t="e">
        <f t="shared" si="19"/>
        <v>#N/A</v>
      </c>
      <c r="F448" s="28" t="str">
        <f t="shared" ca="1" si="20"/>
        <v/>
      </c>
    </row>
    <row r="449" spans="2:6" x14ac:dyDescent="0.2">
      <c r="B449" t="str">
        <f>IFERROR(IF('PDCA review'!$D$2=Act!B450,Act!G450,""),"")</f>
        <v/>
      </c>
      <c r="C449">
        <f t="shared" si="18"/>
        <v>0</v>
      </c>
      <c r="D449">
        <f>SUM($C$3:C449)</f>
        <v>4</v>
      </c>
      <c r="E449" t="e">
        <f t="shared" si="19"/>
        <v>#N/A</v>
      </c>
      <c r="F449" s="28" t="str">
        <f t="shared" ca="1" si="20"/>
        <v/>
      </c>
    </row>
    <row r="450" spans="2:6" x14ac:dyDescent="0.2">
      <c r="B450" t="str">
        <f>IFERROR(IF('PDCA review'!$D$2=Act!B451,Act!G451,""),"")</f>
        <v/>
      </c>
      <c r="C450">
        <f t="shared" si="18"/>
        <v>0</v>
      </c>
      <c r="D450">
        <f>SUM($C$3:C450)</f>
        <v>4</v>
      </c>
      <c r="E450" t="e">
        <f t="shared" si="19"/>
        <v>#N/A</v>
      </c>
      <c r="F450" s="28" t="str">
        <f t="shared" ca="1" si="20"/>
        <v/>
      </c>
    </row>
    <row r="451" spans="2:6" x14ac:dyDescent="0.2">
      <c r="B451" t="str">
        <f>IFERROR(IF('PDCA review'!$D$2=Act!B452,Act!G452,""),"")</f>
        <v/>
      </c>
      <c r="C451">
        <f t="shared" si="18"/>
        <v>0</v>
      </c>
      <c r="D451">
        <f>SUM($C$3:C451)</f>
        <v>4</v>
      </c>
      <c r="E451" t="e">
        <f t="shared" si="19"/>
        <v>#N/A</v>
      </c>
      <c r="F451" s="28" t="str">
        <f t="shared" ca="1" si="20"/>
        <v/>
      </c>
    </row>
    <row r="452" spans="2:6" x14ac:dyDescent="0.2">
      <c r="B452" t="str">
        <f>IFERROR(IF('PDCA review'!$D$2=Act!B453,Act!G453,""),"")</f>
        <v/>
      </c>
      <c r="C452">
        <f t="shared" ref="C452:C515" si="21">IF(B452&lt;&gt;"",1,0)</f>
        <v>0</v>
      </c>
      <c r="D452">
        <f>SUM($C$3:C452)</f>
        <v>4</v>
      </c>
      <c r="E452" t="e">
        <f t="shared" ref="E452:E515" si="22">MATCH(ROW()-$D$2,$D$3:$D$2000,0)+$D$2</f>
        <v>#N/A</v>
      </c>
      <c r="F452" s="28" t="str">
        <f t="shared" ref="F452:F515" ca="1" si="23">IFERROR(INDIRECT("B"&amp;E452),"")</f>
        <v/>
      </c>
    </row>
    <row r="453" spans="2:6" x14ac:dyDescent="0.2">
      <c r="B453" t="str">
        <f>IFERROR(IF('PDCA review'!$D$2=Act!B454,Act!G454,""),"")</f>
        <v/>
      </c>
      <c r="C453">
        <f t="shared" si="21"/>
        <v>0</v>
      </c>
      <c r="D453">
        <f>SUM($C$3:C453)</f>
        <v>4</v>
      </c>
      <c r="E453" t="e">
        <f t="shared" si="22"/>
        <v>#N/A</v>
      </c>
      <c r="F453" s="28" t="str">
        <f t="shared" ca="1" si="23"/>
        <v/>
      </c>
    </row>
    <row r="454" spans="2:6" x14ac:dyDescent="0.2">
      <c r="B454" t="str">
        <f>IFERROR(IF('PDCA review'!$D$2=Act!B455,Act!G455,""),"")</f>
        <v/>
      </c>
      <c r="C454">
        <f t="shared" si="21"/>
        <v>0</v>
      </c>
      <c r="D454">
        <f>SUM($C$3:C454)</f>
        <v>4</v>
      </c>
      <c r="E454" t="e">
        <f t="shared" si="22"/>
        <v>#N/A</v>
      </c>
      <c r="F454" s="28" t="str">
        <f t="shared" ca="1" si="23"/>
        <v/>
      </c>
    </row>
    <row r="455" spans="2:6" x14ac:dyDescent="0.2">
      <c r="B455" t="str">
        <f>IFERROR(IF('PDCA review'!$D$2=Act!B456,Act!G456,""),"")</f>
        <v/>
      </c>
      <c r="C455">
        <f t="shared" si="21"/>
        <v>0</v>
      </c>
      <c r="D455">
        <f>SUM($C$3:C455)</f>
        <v>4</v>
      </c>
      <c r="E455" t="e">
        <f t="shared" si="22"/>
        <v>#N/A</v>
      </c>
      <c r="F455" s="28" t="str">
        <f t="shared" ca="1" si="23"/>
        <v/>
      </c>
    </row>
    <row r="456" spans="2:6" x14ac:dyDescent="0.2">
      <c r="B456" t="str">
        <f>IFERROR(IF('PDCA review'!$D$2=Act!B457,Act!G457,""),"")</f>
        <v/>
      </c>
      <c r="C456">
        <f t="shared" si="21"/>
        <v>0</v>
      </c>
      <c r="D456">
        <f>SUM($C$3:C456)</f>
        <v>4</v>
      </c>
      <c r="E456" t="e">
        <f t="shared" si="22"/>
        <v>#N/A</v>
      </c>
      <c r="F456" s="28" t="str">
        <f t="shared" ca="1" si="23"/>
        <v/>
      </c>
    </row>
    <row r="457" spans="2:6" x14ac:dyDescent="0.2">
      <c r="B457" t="str">
        <f>IFERROR(IF('PDCA review'!$D$2=Act!B458,Act!G458,""),"")</f>
        <v/>
      </c>
      <c r="C457">
        <f t="shared" si="21"/>
        <v>0</v>
      </c>
      <c r="D457">
        <f>SUM($C$3:C457)</f>
        <v>4</v>
      </c>
      <c r="E457" t="e">
        <f t="shared" si="22"/>
        <v>#N/A</v>
      </c>
      <c r="F457" s="28" t="str">
        <f t="shared" ca="1" si="23"/>
        <v/>
      </c>
    </row>
    <row r="458" spans="2:6" x14ac:dyDescent="0.2">
      <c r="B458" t="str">
        <f>IFERROR(IF('PDCA review'!$D$2=Act!B459,Act!G459,""),"")</f>
        <v/>
      </c>
      <c r="C458">
        <f t="shared" si="21"/>
        <v>0</v>
      </c>
      <c r="D458">
        <f>SUM($C$3:C458)</f>
        <v>4</v>
      </c>
      <c r="E458" t="e">
        <f t="shared" si="22"/>
        <v>#N/A</v>
      </c>
      <c r="F458" s="28" t="str">
        <f t="shared" ca="1" si="23"/>
        <v/>
      </c>
    </row>
    <row r="459" spans="2:6" x14ac:dyDescent="0.2">
      <c r="B459" t="str">
        <f>IFERROR(IF('PDCA review'!$D$2=Act!B460,Act!G460,""),"")</f>
        <v/>
      </c>
      <c r="C459">
        <f t="shared" si="21"/>
        <v>0</v>
      </c>
      <c r="D459">
        <f>SUM($C$3:C459)</f>
        <v>4</v>
      </c>
      <c r="E459" t="e">
        <f t="shared" si="22"/>
        <v>#N/A</v>
      </c>
      <c r="F459" s="28" t="str">
        <f t="shared" ca="1" si="23"/>
        <v/>
      </c>
    </row>
    <row r="460" spans="2:6" x14ac:dyDescent="0.2">
      <c r="B460" t="str">
        <f>IFERROR(IF('PDCA review'!$D$2=Act!B461,Act!G461,""),"")</f>
        <v/>
      </c>
      <c r="C460">
        <f t="shared" si="21"/>
        <v>0</v>
      </c>
      <c r="D460">
        <f>SUM($C$3:C460)</f>
        <v>4</v>
      </c>
      <c r="E460" t="e">
        <f t="shared" si="22"/>
        <v>#N/A</v>
      </c>
      <c r="F460" s="28" t="str">
        <f t="shared" ca="1" si="23"/>
        <v/>
      </c>
    </row>
    <row r="461" spans="2:6" x14ac:dyDescent="0.2">
      <c r="B461" t="str">
        <f>IFERROR(IF('PDCA review'!$D$2=Act!B462,Act!G462,""),"")</f>
        <v/>
      </c>
      <c r="C461">
        <f t="shared" si="21"/>
        <v>0</v>
      </c>
      <c r="D461">
        <f>SUM($C$3:C461)</f>
        <v>4</v>
      </c>
      <c r="E461" t="e">
        <f t="shared" si="22"/>
        <v>#N/A</v>
      </c>
      <c r="F461" s="28" t="str">
        <f t="shared" ca="1" si="23"/>
        <v/>
      </c>
    </row>
    <row r="462" spans="2:6" x14ac:dyDescent="0.2">
      <c r="B462" t="str">
        <f>IFERROR(IF('PDCA review'!$D$2=Act!B463,Act!G463,""),"")</f>
        <v/>
      </c>
      <c r="C462">
        <f t="shared" si="21"/>
        <v>0</v>
      </c>
      <c r="D462">
        <f>SUM($C$3:C462)</f>
        <v>4</v>
      </c>
      <c r="E462" t="e">
        <f t="shared" si="22"/>
        <v>#N/A</v>
      </c>
      <c r="F462" s="28" t="str">
        <f t="shared" ca="1" si="23"/>
        <v/>
      </c>
    </row>
    <row r="463" spans="2:6" x14ac:dyDescent="0.2">
      <c r="B463" t="str">
        <f>IFERROR(IF('PDCA review'!$D$2=Act!B464,Act!G464,""),"")</f>
        <v/>
      </c>
      <c r="C463">
        <f t="shared" si="21"/>
        <v>0</v>
      </c>
      <c r="D463">
        <f>SUM($C$3:C463)</f>
        <v>4</v>
      </c>
      <c r="E463" t="e">
        <f t="shared" si="22"/>
        <v>#N/A</v>
      </c>
      <c r="F463" s="28" t="str">
        <f t="shared" ca="1" si="23"/>
        <v/>
      </c>
    </row>
    <row r="464" spans="2:6" x14ac:dyDescent="0.2">
      <c r="B464" t="str">
        <f>IFERROR(IF('PDCA review'!$D$2=Act!B465,Act!G465,""),"")</f>
        <v/>
      </c>
      <c r="C464">
        <f t="shared" si="21"/>
        <v>0</v>
      </c>
      <c r="D464">
        <f>SUM($C$3:C464)</f>
        <v>4</v>
      </c>
      <c r="E464" t="e">
        <f t="shared" si="22"/>
        <v>#N/A</v>
      </c>
      <c r="F464" s="28" t="str">
        <f t="shared" ca="1" si="23"/>
        <v/>
      </c>
    </row>
    <row r="465" spans="2:6" x14ac:dyDescent="0.2">
      <c r="B465" t="str">
        <f>IFERROR(IF('PDCA review'!$D$2=Act!B466,Act!G466,""),"")</f>
        <v/>
      </c>
      <c r="C465">
        <f t="shared" si="21"/>
        <v>0</v>
      </c>
      <c r="D465">
        <f>SUM($C$3:C465)</f>
        <v>4</v>
      </c>
      <c r="E465" t="e">
        <f t="shared" si="22"/>
        <v>#N/A</v>
      </c>
      <c r="F465" s="28" t="str">
        <f t="shared" ca="1" si="23"/>
        <v/>
      </c>
    </row>
    <row r="466" spans="2:6" x14ac:dyDescent="0.2">
      <c r="B466" t="str">
        <f>IFERROR(IF('PDCA review'!$D$2=Act!B467,Act!G467,""),"")</f>
        <v/>
      </c>
      <c r="C466">
        <f t="shared" si="21"/>
        <v>0</v>
      </c>
      <c r="D466">
        <f>SUM($C$3:C466)</f>
        <v>4</v>
      </c>
      <c r="E466" t="e">
        <f t="shared" si="22"/>
        <v>#N/A</v>
      </c>
      <c r="F466" s="28" t="str">
        <f t="shared" ca="1" si="23"/>
        <v/>
      </c>
    </row>
    <row r="467" spans="2:6" x14ac:dyDescent="0.2">
      <c r="B467" t="str">
        <f>IFERROR(IF('PDCA review'!$D$2=Act!B468,Act!G468,""),"")</f>
        <v/>
      </c>
      <c r="C467">
        <f t="shared" si="21"/>
        <v>0</v>
      </c>
      <c r="D467">
        <f>SUM($C$3:C467)</f>
        <v>4</v>
      </c>
      <c r="E467" t="e">
        <f t="shared" si="22"/>
        <v>#N/A</v>
      </c>
      <c r="F467" s="28" t="str">
        <f t="shared" ca="1" si="23"/>
        <v/>
      </c>
    </row>
    <row r="468" spans="2:6" x14ac:dyDescent="0.2">
      <c r="B468" t="str">
        <f>IFERROR(IF('PDCA review'!$D$2=Act!B469,Act!G469,""),"")</f>
        <v/>
      </c>
      <c r="C468">
        <f t="shared" si="21"/>
        <v>0</v>
      </c>
      <c r="D468">
        <f>SUM($C$3:C468)</f>
        <v>4</v>
      </c>
      <c r="E468" t="e">
        <f t="shared" si="22"/>
        <v>#N/A</v>
      </c>
      <c r="F468" s="28" t="str">
        <f t="shared" ca="1" si="23"/>
        <v/>
      </c>
    </row>
    <row r="469" spans="2:6" x14ac:dyDescent="0.2">
      <c r="B469" t="str">
        <f>IFERROR(IF('PDCA review'!$D$2=Act!B470,Act!G470,""),"")</f>
        <v/>
      </c>
      <c r="C469">
        <f t="shared" si="21"/>
        <v>0</v>
      </c>
      <c r="D469">
        <f>SUM($C$3:C469)</f>
        <v>4</v>
      </c>
      <c r="E469" t="e">
        <f t="shared" si="22"/>
        <v>#N/A</v>
      </c>
      <c r="F469" s="28" t="str">
        <f t="shared" ca="1" si="23"/>
        <v/>
      </c>
    </row>
    <row r="470" spans="2:6" x14ac:dyDescent="0.2">
      <c r="B470" t="str">
        <f>IFERROR(IF('PDCA review'!$D$2=Act!B471,Act!G471,""),"")</f>
        <v/>
      </c>
      <c r="C470">
        <f t="shared" si="21"/>
        <v>0</v>
      </c>
      <c r="D470">
        <f>SUM($C$3:C470)</f>
        <v>4</v>
      </c>
      <c r="E470" t="e">
        <f t="shared" si="22"/>
        <v>#N/A</v>
      </c>
      <c r="F470" s="28" t="str">
        <f t="shared" ca="1" si="23"/>
        <v/>
      </c>
    </row>
    <row r="471" spans="2:6" x14ac:dyDescent="0.2">
      <c r="B471" t="str">
        <f>IFERROR(IF('PDCA review'!$D$2=Act!B472,Act!G472,""),"")</f>
        <v/>
      </c>
      <c r="C471">
        <f t="shared" si="21"/>
        <v>0</v>
      </c>
      <c r="D471">
        <f>SUM($C$3:C471)</f>
        <v>4</v>
      </c>
      <c r="E471" t="e">
        <f t="shared" si="22"/>
        <v>#N/A</v>
      </c>
      <c r="F471" s="28" t="str">
        <f t="shared" ca="1" si="23"/>
        <v/>
      </c>
    </row>
    <row r="472" spans="2:6" x14ac:dyDescent="0.2">
      <c r="B472" t="str">
        <f>IFERROR(IF('PDCA review'!$D$2=Act!B473,Act!G473,""),"")</f>
        <v/>
      </c>
      <c r="C472">
        <f t="shared" si="21"/>
        <v>0</v>
      </c>
      <c r="D472">
        <f>SUM($C$3:C472)</f>
        <v>4</v>
      </c>
      <c r="E472" t="e">
        <f t="shared" si="22"/>
        <v>#N/A</v>
      </c>
      <c r="F472" s="28" t="str">
        <f t="shared" ca="1" si="23"/>
        <v/>
      </c>
    </row>
    <row r="473" spans="2:6" x14ac:dyDescent="0.2">
      <c r="B473" t="str">
        <f>IFERROR(IF('PDCA review'!$D$2=Act!B474,Act!G474,""),"")</f>
        <v/>
      </c>
      <c r="C473">
        <f t="shared" si="21"/>
        <v>0</v>
      </c>
      <c r="D473">
        <f>SUM($C$3:C473)</f>
        <v>4</v>
      </c>
      <c r="E473" t="e">
        <f t="shared" si="22"/>
        <v>#N/A</v>
      </c>
      <c r="F473" s="28" t="str">
        <f t="shared" ca="1" si="23"/>
        <v/>
      </c>
    </row>
    <row r="474" spans="2:6" x14ac:dyDescent="0.2">
      <c r="B474" t="str">
        <f>IFERROR(IF('PDCA review'!$D$2=Act!B475,Act!G475,""),"")</f>
        <v/>
      </c>
      <c r="C474">
        <f t="shared" si="21"/>
        <v>0</v>
      </c>
      <c r="D474">
        <f>SUM($C$3:C474)</f>
        <v>4</v>
      </c>
      <c r="E474" t="e">
        <f t="shared" si="22"/>
        <v>#N/A</v>
      </c>
      <c r="F474" s="28" t="str">
        <f t="shared" ca="1" si="23"/>
        <v/>
      </c>
    </row>
    <row r="475" spans="2:6" x14ac:dyDescent="0.2">
      <c r="B475" t="str">
        <f>IFERROR(IF('PDCA review'!$D$2=Act!B476,Act!G476,""),"")</f>
        <v/>
      </c>
      <c r="C475">
        <f t="shared" si="21"/>
        <v>0</v>
      </c>
      <c r="D475">
        <f>SUM($C$3:C475)</f>
        <v>4</v>
      </c>
      <c r="E475" t="e">
        <f t="shared" si="22"/>
        <v>#N/A</v>
      </c>
      <c r="F475" s="28" t="str">
        <f t="shared" ca="1" si="23"/>
        <v/>
      </c>
    </row>
    <row r="476" spans="2:6" x14ac:dyDescent="0.2">
      <c r="B476" t="str">
        <f>IFERROR(IF('PDCA review'!$D$2=Act!B477,Act!G477,""),"")</f>
        <v/>
      </c>
      <c r="C476">
        <f t="shared" si="21"/>
        <v>0</v>
      </c>
      <c r="D476">
        <f>SUM($C$3:C476)</f>
        <v>4</v>
      </c>
      <c r="E476" t="e">
        <f t="shared" si="22"/>
        <v>#N/A</v>
      </c>
      <c r="F476" s="28" t="str">
        <f t="shared" ca="1" si="23"/>
        <v/>
      </c>
    </row>
    <row r="477" spans="2:6" x14ac:dyDescent="0.2">
      <c r="B477" t="str">
        <f>IFERROR(IF('PDCA review'!$D$2=Act!B478,Act!G478,""),"")</f>
        <v/>
      </c>
      <c r="C477">
        <f t="shared" si="21"/>
        <v>0</v>
      </c>
      <c r="D477">
        <f>SUM($C$3:C477)</f>
        <v>4</v>
      </c>
      <c r="E477" t="e">
        <f t="shared" si="22"/>
        <v>#N/A</v>
      </c>
      <c r="F477" s="28" t="str">
        <f t="shared" ca="1" si="23"/>
        <v/>
      </c>
    </row>
    <row r="478" spans="2:6" x14ac:dyDescent="0.2">
      <c r="B478" t="str">
        <f>IFERROR(IF('PDCA review'!$D$2=Act!B479,Act!G479,""),"")</f>
        <v/>
      </c>
      <c r="C478">
        <f t="shared" si="21"/>
        <v>0</v>
      </c>
      <c r="D478">
        <f>SUM($C$3:C478)</f>
        <v>4</v>
      </c>
      <c r="E478" t="e">
        <f t="shared" si="22"/>
        <v>#N/A</v>
      </c>
      <c r="F478" s="28" t="str">
        <f t="shared" ca="1" si="23"/>
        <v/>
      </c>
    </row>
    <row r="479" spans="2:6" x14ac:dyDescent="0.2">
      <c r="B479" t="str">
        <f>IFERROR(IF('PDCA review'!$D$2=Act!B480,Act!G480,""),"")</f>
        <v/>
      </c>
      <c r="C479">
        <f t="shared" si="21"/>
        <v>0</v>
      </c>
      <c r="D479">
        <f>SUM($C$3:C479)</f>
        <v>4</v>
      </c>
      <c r="E479" t="e">
        <f t="shared" si="22"/>
        <v>#N/A</v>
      </c>
      <c r="F479" s="28" t="str">
        <f t="shared" ca="1" si="23"/>
        <v/>
      </c>
    </row>
    <row r="480" spans="2:6" x14ac:dyDescent="0.2">
      <c r="B480" t="str">
        <f>IFERROR(IF('PDCA review'!$D$2=Act!B481,Act!G481,""),"")</f>
        <v/>
      </c>
      <c r="C480">
        <f t="shared" si="21"/>
        <v>0</v>
      </c>
      <c r="D480">
        <f>SUM($C$3:C480)</f>
        <v>4</v>
      </c>
      <c r="E480" t="e">
        <f t="shared" si="22"/>
        <v>#N/A</v>
      </c>
      <c r="F480" s="28" t="str">
        <f t="shared" ca="1" si="23"/>
        <v/>
      </c>
    </row>
    <row r="481" spans="2:6" x14ac:dyDescent="0.2">
      <c r="B481" t="str">
        <f>IFERROR(IF('PDCA review'!$D$2=Act!B482,Act!G482,""),"")</f>
        <v/>
      </c>
      <c r="C481">
        <f t="shared" si="21"/>
        <v>0</v>
      </c>
      <c r="D481">
        <f>SUM($C$3:C481)</f>
        <v>4</v>
      </c>
      <c r="E481" t="e">
        <f t="shared" si="22"/>
        <v>#N/A</v>
      </c>
      <c r="F481" s="28" t="str">
        <f t="shared" ca="1" si="23"/>
        <v/>
      </c>
    </row>
    <row r="482" spans="2:6" x14ac:dyDescent="0.2">
      <c r="B482" t="str">
        <f>IFERROR(IF('PDCA review'!$D$2=Act!B483,Act!G483,""),"")</f>
        <v/>
      </c>
      <c r="C482">
        <f t="shared" si="21"/>
        <v>0</v>
      </c>
      <c r="D482">
        <f>SUM($C$3:C482)</f>
        <v>4</v>
      </c>
      <c r="E482" t="e">
        <f t="shared" si="22"/>
        <v>#N/A</v>
      </c>
      <c r="F482" s="28" t="str">
        <f t="shared" ca="1" si="23"/>
        <v/>
      </c>
    </row>
    <row r="483" spans="2:6" x14ac:dyDescent="0.2">
      <c r="B483" t="str">
        <f>IFERROR(IF('PDCA review'!$D$2=Act!B484,Act!G484,""),"")</f>
        <v/>
      </c>
      <c r="C483">
        <f t="shared" si="21"/>
        <v>0</v>
      </c>
      <c r="D483">
        <f>SUM($C$3:C483)</f>
        <v>4</v>
      </c>
      <c r="E483" t="e">
        <f t="shared" si="22"/>
        <v>#N/A</v>
      </c>
      <c r="F483" s="28" t="str">
        <f t="shared" ca="1" si="23"/>
        <v/>
      </c>
    </row>
    <row r="484" spans="2:6" x14ac:dyDescent="0.2">
      <c r="B484" t="str">
        <f>IFERROR(IF('PDCA review'!$D$2=Act!B485,Act!G485,""),"")</f>
        <v/>
      </c>
      <c r="C484">
        <f t="shared" si="21"/>
        <v>0</v>
      </c>
      <c r="D484">
        <f>SUM($C$3:C484)</f>
        <v>4</v>
      </c>
      <c r="E484" t="e">
        <f t="shared" si="22"/>
        <v>#N/A</v>
      </c>
      <c r="F484" s="28" t="str">
        <f t="shared" ca="1" si="23"/>
        <v/>
      </c>
    </row>
    <row r="485" spans="2:6" x14ac:dyDescent="0.2">
      <c r="B485" t="str">
        <f>IFERROR(IF('PDCA review'!$D$2=Act!B486,Act!G486,""),"")</f>
        <v/>
      </c>
      <c r="C485">
        <f t="shared" si="21"/>
        <v>0</v>
      </c>
      <c r="D485">
        <f>SUM($C$3:C485)</f>
        <v>4</v>
      </c>
      <c r="E485" t="e">
        <f t="shared" si="22"/>
        <v>#N/A</v>
      </c>
      <c r="F485" s="28" t="str">
        <f t="shared" ca="1" si="23"/>
        <v/>
      </c>
    </row>
    <row r="486" spans="2:6" x14ac:dyDescent="0.2">
      <c r="B486" t="str">
        <f>IFERROR(IF('PDCA review'!$D$2=Act!B487,Act!G487,""),"")</f>
        <v/>
      </c>
      <c r="C486">
        <f t="shared" si="21"/>
        <v>0</v>
      </c>
      <c r="D486">
        <f>SUM($C$3:C486)</f>
        <v>4</v>
      </c>
      <c r="E486" t="e">
        <f t="shared" si="22"/>
        <v>#N/A</v>
      </c>
      <c r="F486" s="28" t="str">
        <f t="shared" ca="1" si="23"/>
        <v/>
      </c>
    </row>
    <row r="487" spans="2:6" x14ac:dyDescent="0.2">
      <c r="B487" t="str">
        <f>IFERROR(IF('PDCA review'!$D$2=Act!B488,Act!G488,""),"")</f>
        <v/>
      </c>
      <c r="C487">
        <f t="shared" si="21"/>
        <v>0</v>
      </c>
      <c r="D487">
        <f>SUM($C$3:C487)</f>
        <v>4</v>
      </c>
      <c r="E487" t="e">
        <f t="shared" si="22"/>
        <v>#N/A</v>
      </c>
      <c r="F487" s="28" t="str">
        <f t="shared" ca="1" si="23"/>
        <v/>
      </c>
    </row>
    <row r="488" spans="2:6" x14ac:dyDescent="0.2">
      <c r="B488" t="str">
        <f>IFERROR(IF('PDCA review'!$D$2=Act!B489,Act!G489,""),"")</f>
        <v/>
      </c>
      <c r="C488">
        <f t="shared" si="21"/>
        <v>0</v>
      </c>
      <c r="D488">
        <f>SUM($C$3:C488)</f>
        <v>4</v>
      </c>
      <c r="E488" t="e">
        <f t="shared" si="22"/>
        <v>#N/A</v>
      </c>
      <c r="F488" s="28" t="str">
        <f t="shared" ca="1" si="23"/>
        <v/>
      </c>
    </row>
    <row r="489" spans="2:6" x14ac:dyDescent="0.2">
      <c r="B489" t="str">
        <f>IFERROR(IF('PDCA review'!$D$2=Act!B490,Act!G490,""),"")</f>
        <v/>
      </c>
      <c r="C489">
        <f t="shared" si="21"/>
        <v>0</v>
      </c>
      <c r="D489">
        <f>SUM($C$3:C489)</f>
        <v>4</v>
      </c>
      <c r="E489" t="e">
        <f t="shared" si="22"/>
        <v>#N/A</v>
      </c>
      <c r="F489" s="28" t="str">
        <f t="shared" ca="1" si="23"/>
        <v/>
      </c>
    </row>
    <row r="490" spans="2:6" x14ac:dyDescent="0.2">
      <c r="B490" t="str">
        <f>IFERROR(IF('PDCA review'!$D$2=Act!B491,Act!G491,""),"")</f>
        <v/>
      </c>
      <c r="C490">
        <f t="shared" si="21"/>
        <v>0</v>
      </c>
      <c r="D490">
        <f>SUM($C$3:C490)</f>
        <v>4</v>
      </c>
      <c r="E490" t="e">
        <f t="shared" si="22"/>
        <v>#N/A</v>
      </c>
      <c r="F490" s="28" t="str">
        <f t="shared" ca="1" si="23"/>
        <v/>
      </c>
    </row>
    <row r="491" spans="2:6" x14ac:dyDescent="0.2">
      <c r="B491" t="str">
        <f>IFERROR(IF('PDCA review'!$D$2=Act!B492,Act!G492,""),"")</f>
        <v/>
      </c>
      <c r="C491">
        <f t="shared" si="21"/>
        <v>0</v>
      </c>
      <c r="D491">
        <f>SUM($C$3:C491)</f>
        <v>4</v>
      </c>
      <c r="E491" t="e">
        <f t="shared" si="22"/>
        <v>#N/A</v>
      </c>
      <c r="F491" s="28" t="str">
        <f t="shared" ca="1" si="23"/>
        <v/>
      </c>
    </row>
    <row r="492" spans="2:6" x14ac:dyDescent="0.2">
      <c r="B492" t="str">
        <f>IFERROR(IF('PDCA review'!$D$2=Act!B493,Act!G493,""),"")</f>
        <v/>
      </c>
      <c r="C492">
        <f t="shared" si="21"/>
        <v>0</v>
      </c>
      <c r="D492">
        <f>SUM($C$3:C492)</f>
        <v>4</v>
      </c>
      <c r="E492" t="e">
        <f t="shared" si="22"/>
        <v>#N/A</v>
      </c>
      <c r="F492" s="28" t="str">
        <f t="shared" ca="1" si="23"/>
        <v/>
      </c>
    </row>
    <row r="493" spans="2:6" x14ac:dyDescent="0.2">
      <c r="B493" t="str">
        <f>IFERROR(IF('PDCA review'!$D$2=Act!B494,Act!G494,""),"")</f>
        <v/>
      </c>
      <c r="C493">
        <f t="shared" si="21"/>
        <v>0</v>
      </c>
      <c r="D493">
        <f>SUM($C$3:C493)</f>
        <v>4</v>
      </c>
      <c r="E493" t="e">
        <f t="shared" si="22"/>
        <v>#N/A</v>
      </c>
      <c r="F493" s="28" t="str">
        <f t="shared" ca="1" si="23"/>
        <v/>
      </c>
    </row>
    <row r="494" spans="2:6" x14ac:dyDescent="0.2">
      <c r="B494" t="str">
        <f>IFERROR(IF('PDCA review'!$D$2=Act!B495,Act!G495,""),"")</f>
        <v/>
      </c>
      <c r="C494">
        <f t="shared" si="21"/>
        <v>0</v>
      </c>
      <c r="D494">
        <f>SUM($C$3:C494)</f>
        <v>4</v>
      </c>
      <c r="E494" t="e">
        <f t="shared" si="22"/>
        <v>#N/A</v>
      </c>
      <c r="F494" s="28" t="str">
        <f t="shared" ca="1" si="23"/>
        <v/>
      </c>
    </row>
    <row r="495" spans="2:6" x14ac:dyDescent="0.2">
      <c r="B495" t="str">
        <f>IFERROR(IF('PDCA review'!$D$2=Act!B496,Act!G496,""),"")</f>
        <v/>
      </c>
      <c r="C495">
        <f t="shared" si="21"/>
        <v>0</v>
      </c>
      <c r="D495">
        <f>SUM($C$3:C495)</f>
        <v>4</v>
      </c>
      <c r="E495" t="e">
        <f t="shared" si="22"/>
        <v>#N/A</v>
      </c>
      <c r="F495" s="28" t="str">
        <f t="shared" ca="1" si="23"/>
        <v/>
      </c>
    </row>
    <row r="496" spans="2:6" x14ac:dyDescent="0.2">
      <c r="B496" t="str">
        <f>IFERROR(IF('PDCA review'!$D$2=Act!B497,Act!G497,""),"")</f>
        <v/>
      </c>
      <c r="C496">
        <f t="shared" si="21"/>
        <v>0</v>
      </c>
      <c r="D496">
        <f>SUM($C$3:C496)</f>
        <v>4</v>
      </c>
      <c r="E496" t="e">
        <f t="shared" si="22"/>
        <v>#N/A</v>
      </c>
      <c r="F496" s="28" t="str">
        <f t="shared" ca="1" si="23"/>
        <v/>
      </c>
    </row>
    <row r="497" spans="2:6" x14ac:dyDescent="0.2">
      <c r="B497" t="str">
        <f>IFERROR(IF('PDCA review'!$D$2=Act!B498,Act!G498,""),"")</f>
        <v/>
      </c>
      <c r="C497">
        <f t="shared" si="21"/>
        <v>0</v>
      </c>
      <c r="D497">
        <f>SUM($C$3:C497)</f>
        <v>4</v>
      </c>
      <c r="E497" t="e">
        <f t="shared" si="22"/>
        <v>#N/A</v>
      </c>
      <c r="F497" s="28" t="str">
        <f t="shared" ca="1" si="23"/>
        <v/>
      </c>
    </row>
    <row r="498" spans="2:6" x14ac:dyDescent="0.2">
      <c r="B498" t="str">
        <f>IFERROR(IF('PDCA review'!$D$2=Act!B499,Act!G499,""),"")</f>
        <v/>
      </c>
      <c r="C498">
        <f t="shared" si="21"/>
        <v>0</v>
      </c>
      <c r="D498">
        <f>SUM($C$3:C498)</f>
        <v>4</v>
      </c>
      <c r="E498" t="e">
        <f t="shared" si="22"/>
        <v>#N/A</v>
      </c>
      <c r="F498" s="28" t="str">
        <f t="shared" ca="1" si="23"/>
        <v/>
      </c>
    </row>
    <row r="499" spans="2:6" x14ac:dyDescent="0.2">
      <c r="B499" t="str">
        <f>IFERROR(IF('PDCA review'!$D$2=Act!B500,Act!G500,""),"")</f>
        <v/>
      </c>
      <c r="C499">
        <f t="shared" si="21"/>
        <v>0</v>
      </c>
      <c r="D499">
        <f>SUM($C$3:C499)</f>
        <v>4</v>
      </c>
      <c r="E499" t="e">
        <f t="shared" si="22"/>
        <v>#N/A</v>
      </c>
      <c r="F499" s="28" t="str">
        <f t="shared" ca="1" si="23"/>
        <v/>
      </c>
    </row>
    <row r="500" spans="2:6" x14ac:dyDescent="0.2">
      <c r="B500" t="str">
        <f>IFERROR(IF('PDCA review'!$D$2=Act!B501,Act!G501,""),"")</f>
        <v/>
      </c>
      <c r="C500">
        <f t="shared" si="21"/>
        <v>0</v>
      </c>
      <c r="D500">
        <f>SUM($C$3:C500)</f>
        <v>4</v>
      </c>
      <c r="E500" t="e">
        <f t="shared" si="22"/>
        <v>#N/A</v>
      </c>
      <c r="F500" s="28" t="str">
        <f t="shared" ca="1" si="23"/>
        <v/>
      </c>
    </row>
    <row r="501" spans="2:6" x14ac:dyDescent="0.2">
      <c r="B501" t="str">
        <f>IFERROR(IF('PDCA review'!$D$2=Act!B502,Act!G502,""),"")</f>
        <v/>
      </c>
      <c r="C501">
        <f t="shared" si="21"/>
        <v>0</v>
      </c>
      <c r="D501">
        <f>SUM($C$3:C501)</f>
        <v>4</v>
      </c>
      <c r="E501" t="e">
        <f t="shared" si="22"/>
        <v>#N/A</v>
      </c>
      <c r="F501" s="28" t="str">
        <f t="shared" ca="1" si="23"/>
        <v/>
      </c>
    </row>
    <row r="502" spans="2:6" x14ac:dyDescent="0.2">
      <c r="B502" t="str">
        <f>IFERROR(IF('PDCA review'!$D$2=Act!B503,Act!G503,""),"")</f>
        <v/>
      </c>
      <c r="C502">
        <f t="shared" si="21"/>
        <v>0</v>
      </c>
      <c r="D502">
        <f>SUM($C$3:C502)</f>
        <v>4</v>
      </c>
      <c r="E502" t="e">
        <f t="shared" si="22"/>
        <v>#N/A</v>
      </c>
      <c r="F502" s="28" t="str">
        <f t="shared" ca="1" si="23"/>
        <v/>
      </c>
    </row>
    <row r="503" spans="2:6" x14ac:dyDescent="0.2">
      <c r="B503" t="str">
        <f>IFERROR(IF('PDCA review'!$D$2=Act!B504,Act!G504,""),"")</f>
        <v/>
      </c>
      <c r="C503">
        <f t="shared" si="21"/>
        <v>0</v>
      </c>
      <c r="D503">
        <f>SUM($C$3:C503)</f>
        <v>4</v>
      </c>
      <c r="E503" t="e">
        <f t="shared" si="22"/>
        <v>#N/A</v>
      </c>
      <c r="F503" s="28" t="str">
        <f t="shared" ca="1" si="23"/>
        <v/>
      </c>
    </row>
    <row r="504" spans="2:6" x14ac:dyDescent="0.2">
      <c r="B504" t="str">
        <f>IFERROR(IF('PDCA review'!$D$2=Act!B505,Act!G505,""),"")</f>
        <v/>
      </c>
      <c r="C504">
        <f t="shared" si="21"/>
        <v>0</v>
      </c>
      <c r="D504">
        <f>SUM($C$3:C504)</f>
        <v>4</v>
      </c>
      <c r="E504" t="e">
        <f t="shared" si="22"/>
        <v>#N/A</v>
      </c>
      <c r="F504" s="28" t="str">
        <f t="shared" ca="1" si="23"/>
        <v/>
      </c>
    </row>
    <row r="505" spans="2:6" x14ac:dyDescent="0.2">
      <c r="B505" t="str">
        <f>IFERROR(IF('PDCA review'!$D$2=Act!B506,Act!G506,""),"")</f>
        <v/>
      </c>
      <c r="C505">
        <f t="shared" si="21"/>
        <v>0</v>
      </c>
      <c r="D505">
        <f>SUM($C$3:C505)</f>
        <v>4</v>
      </c>
      <c r="E505" t="e">
        <f t="shared" si="22"/>
        <v>#N/A</v>
      </c>
      <c r="F505" s="28" t="str">
        <f t="shared" ca="1" si="23"/>
        <v/>
      </c>
    </row>
    <row r="506" spans="2:6" x14ac:dyDescent="0.2">
      <c r="B506" t="str">
        <f>IFERROR(IF('PDCA review'!$D$2=Act!B507,Act!G507,""),"")</f>
        <v/>
      </c>
      <c r="C506">
        <f t="shared" si="21"/>
        <v>0</v>
      </c>
      <c r="D506">
        <f>SUM($C$3:C506)</f>
        <v>4</v>
      </c>
      <c r="E506" t="e">
        <f t="shared" si="22"/>
        <v>#N/A</v>
      </c>
      <c r="F506" s="28" t="str">
        <f t="shared" ca="1" si="23"/>
        <v/>
      </c>
    </row>
    <row r="507" spans="2:6" x14ac:dyDescent="0.2">
      <c r="B507" t="str">
        <f>IFERROR(IF('PDCA review'!$D$2=Act!B508,Act!G508,""),"")</f>
        <v/>
      </c>
      <c r="C507">
        <f t="shared" si="21"/>
        <v>0</v>
      </c>
      <c r="D507">
        <f>SUM($C$3:C507)</f>
        <v>4</v>
      </c>
      <c r="E507" t="e">
        <f t="shared" si="22"/>
        <v>#N/A</v>
      </c>
      <c r="F507" s="28" t="str">
        <f t="shared" ca="1" si="23"/>
        <v/>
      </c>
    </row>
    <row r="508" spans="2:6" x14ac:dyDescent="0.2">
      <c r="B508" t="str">
        <f>IFERROR(IF('PDCA review'!$D$2=Act!B509,Act!G509,""),"")</f>
        <v/>
      </c>
      <c r="C508">
        <f t="shared" si="21"/>
        <v>0</v>
      </c>
      <c r="D508">
        <f>SUM($C$3:C508)</f>
        <v>4</v>
      </c>
      <c r="E508" t="e">
        <f t="shared" si="22"/>
        <v>#N/A</v>
      </c>
      <c r="F508" s="28" t="str">
        <f t="shared" ca="1" si="23"/>
        <v/>
      </c>
    </row>
    <row r="509" spans="2:6" x14ac:dyDescent="0.2">
      <c r="B509" t="str">
        <f>IFERROR(IF('PDCA review'!$D$2=Act!B510,Act!G510,""),"")</f>
        <v/>
      </c>
      <c r="C509">
        <f t="shared" si="21"/>
        <v>0</v>
      </c>
      <c r="D509">
        <f>SUM($C$3:C509)</f>
        <v>4</v>
      </c>
      <c r="E509" t="e">
        <f t="shared" si="22"/>
        <v>#N/A</v>
      </c>
      <c r="F509" s="28" t="str">
        <f t="shared" ca="1" si="23"/>
        <v/>
      </c>
    </row>
    <row r="510" spans="2:6" x14ac:dyDescent="0.2">
      <c r="B510" t="str">
        <f>IFERROR(IF('PDCA review'!$D$2=Act!B511,Act!G511,""),"")</f>
        <v/>
      </c>
      <c r="C510">
        <f t="shared" si="21"/>
        <v>0</v>
      </c>
      <c r="D510">
        <f>SUM($C$3:C510)</f>
        <v>4</v>
      </c>
      <c r="E510" t="e">
        <f t="shared" si="22"/>
        <v>#N/A</v>
      </c>
      <c r="F510" s="28" t="str">
        <f t="shared" ca="1" si="23"/>
        <v/>
      </c>
    </row>
    <row r="511" spans="2:6" x14ac:dyDescent="0.2">
      <c r="B511" t="str">
        <f>IFERROR(IF('PDCA review'!$D$2=Act!B512,Act!G512,""),"")</f>
        <v/>
      </c>
      <c r="C511">
        <f t="shared" si="21"/>
        <v>0</v>
      </c>
      <c r="D511">
        <f>SUM($C$3:C511)</f>
        <v>4</v>
      </c>
      <c r="E511" t="e">
        <f t="shared" si="22"/>
        <v>#N/A</v>
      </c>
      <c r="F511" s="28" t="str">
        <f t="shared" ca="1" si="23"/>
        <v/>
      </c>
    </row>
    <row r="512" spans="2:6" x14ac:dyDescent="0.2">
      <c r="B512" t="str">
        <f>IFERROR(IF('PDCA review'!$D$2=Act!B513,Act!G513,""),"")</f>
        <v/>
      </c>
      <c r="C512">
        <f t="shared" si="21"/>
        <v>0</v>
      </c>
      <c r="D512">
        <f>SUM($C$3:C512)</f>
        <v>4</v>
      </c>
      <c r="E512" t="e">
        <f t="shared" si="22"/>
        <v>#N/A</v>
      </c>
      <c r="F512" s="28" t="str">
        <f t="shared" ca="1" si="23"/>
        <v/>
      </c>
    </row>
    <row r="513" spans="2:6" x14ac:dyDescent="0.2">
      <c r="B513" t="str">
        <f>IFERROR(IF('PDCA review'!$D$2=Act!B514,Act!G514,""),"")</f>
        <v/>
      </c>
      <c r="C513">
        <f t="shared" si="21"/>
        <v>0</v>
      </c>
      <c r="D513">
        <f>SUM($C$3:C513)</f>
        <v>4</v>
      </c>
      <c r="E513" t="e">
        <f t="shared" si="22"/>
        <v>#N/A</v>
      </c>
      <c r="F513" s="28" t="str">
        <f t="shared" ca="1" si="23"/>
        <v/>
      </c>
    </row>
    <row r="514" spans="2:6" x14ac:dyDescent="0.2">
      <c r="B514" t="str">
        <f>IFERROR(IF('PDCA review'!$D$2=Act!B515,Act!G515,""),"")</f>
        <v/>
      </c>
      <c r="C514">
        <f t="shared" si="21"/>
        <v>0</v>
      </c>
      <c r="D514">
        <f>SUM($C$3:C514)</f>
        <v>4</v>
      </c>
      <c r="E514" t="e">
        <f t="shared" si="22"/>
        <v>#N/A</v>
      </c>
      <c r="F514" s="28" t="str">
        <f t="shared" ca="1" si="23"/>
        <v/>
      </c>
    </row>
    <row r="515" spans="2:6" x14ac:dyDescent="0.2">
      <c r="B515" t="str">
        <f>IFERROR(IF('PDCA review'!$D$2=Act!B516,Act!G516,""),"")</f>
        <v/>
      </c>
      <c r="C515">
        <f t="shared" si="21"/>
        <v>0</v>
      </c>
      <c r="D515">
        <f>SUM($C$3:C515)</f>
        <v>4</v>
      </c>
      <c r="E515" t="e">
        <f t="shared" si="22"/>
        <v>#N/A</v>
      </c>
      <c r="F515" s="28" t="str">
        <f t="shared" ca="1" si="23"/>
        <v/>
      </c>
    </row>
    <row r="516" spans="2:6" x14ac:dyDescent="0.2">
      <c r="B516" t="str">
        <f>IFERROR(IF('PDCA review'!$D$2=Act!B517,Act!G517,""),"")</f>
        <v/>
      </c>
      <c r="C516">
        <f t="shared" ref="C516:C579" si="24">IF(B516&lt;&gt;"",1,0)</f>
        <v>0</v>
      </c>
      <c r="D516">
        <f>SUM($C$3:C516)</f>
        <v>4</v>
      </c>
      <c r="E516" t="e">
        <f t="shared" ref="E516:E579" si="25">MATCH(ROW()-$D$2,$D$3:$D$2000,0)+$D$2</f>
        <v>#N/A</v>
      </c>
      <c r="F516" s="28" t="str">
        <f t="shared" ref="F516:F579" ca="1" si="26">IFERROR(INDIRECT("B"&amp;E516),"")</f>
        <v/>
      </c>
    </row>
    <row r="517" spans="2:6" x14ac:dyDescent="0.2">
      <c r="B517" t="str">
        <f>IFERROR(IF('PDCA review'!$D$2=Act!B518,Act!G518,""),"")</f>
        <v/>
      </c>
      <c r="C517">
        <f t="shared" si="24"/>
        <v>0</v>
      </c>
      <c r="D517">
        <f>SUM($C$3:C517)</f>
        <v>4</v>
      </c>
      <c r="E517" t="e">
        <f t="shared" si="25"/>
        <v>#N/A</v>
      </c>
      <c r="F517" s="28" t="str">
        <f t="shared" ca="1" si="26"/>
        <v/>
      </c>
    </row>
    <row r="518" spans="2:6" x14ac:dyDescent="0.2">
      <c r="B518" t="str">
        <f>IFERROR(IF('PDCA review'!$D$2=Act!B519,Act!G519,""),"")</f>
        <v/>
      </c>
      <c r="C518">
        <f t="shared" si="24"/>
        <v>0</v>
      </c>
      <c r="D518">
        <f>SUM($C$3:C518)</f>
        <v>4</v>
      </c>
      <c r="E518" t="e">
        <f t="shared" si="25"/>
        <v>#N/A</v>
      </c>
      <c r="F518" s="28" t="str">
        <f t="shared" ca="1" si="26"/>
        <v/>
      </c>
    </row>
    <row r="519" spans="2:6" x14ac:dyDescent="0.2">
      <c r="B519" t="str">
        <f>IFERROR(IF('PDCA review'!$D$2=Act!B520,Act!G520,""),"")</f>
        <v/>
      </c>
      <c r="C519">
        <f t="shared" si="24"/>
        <v>0</v>
      </c>
      <c r="D519">
        <f>SUM($C$3:C519)</f>
        <v>4</v>
      </c>
      <c r="E519" t="e">
        <f t="shared" si="25"/>
        <v>#N/A</v>
      </c>
      <c r="F519" s="28" t="str">
        <f t="shared" ca="1" si="26"/>
        <v/>
      </c>
    </row>
    <row r="520" spans="2:6" x14ac:dyDescent="0.2">
      <c r="B520" t="str">
        <f>IFERROR(IF('PDCA review'!$D$2=Act!B521,Act!G521,""),"")</f>
        <v/>
      </c>
      <c r="C520">
        <f t="shared" si="24"/>
        <v>0</v>
      </c>
      <c r="D520">
        <f>SUM($C$3:C520)</f>
        <v>4</v>
      </c>
      <c r="E520" t="e">
        <f t="shared" si="25"/>
        <v>#N/A</v>
      </c>
      <c r="F520" s="28" t="str">
        <f t="shared" ca="1" si="26"/>
        <v/>
      </c>
    </row>
    <row r="521" spans="2:6" x14ac:dyDescent="0.2">
      <c r="B521" t="str">
        <f>IFERROR(IF('PDCA review'!$D$2=Act!B522,Act!G522,""),"")</f>
        <v/>
      </c>
      <c r="C521">
        <f t="shared" si="24"/>
        <v>0</v>
      </c>
      <c r="D521">
        <f>SUM($C$3:C521)</f>
        <v>4</v>
      </c>
      <c r="E521" t="e">
        <f t="shared" si="25"/>
        <v>#N/A</v>
      </c>
      <c r="F521" s="28" t="str">
        <f t="shared" ca="1" si="26"/>
        <v/>
      </c>
    </row>
    <row r="522" spans="2:6" x14ac:dyDescent="0.2">
      <c r="B522" t="str">
        <f>IFERROR(IF('PDCA review'!$D$2=Act!B523,Act!G523,""),"")</f>
        <v/>
      </c>
      <c r="C522">
        <f t="shared" si="24"/>
        <v>0</v>
      </c>
      <c r="D522">
        <f>SUM($C$3:C522)</f>
        <v>4</v>
      </c>
      <c r="E522" t="e">
        <f t="shared" si="25"/>
        <v>#N/A</v>
      </c>
      <c r="F522" s="28" t="str">
        <f t="shared" ca="1" si="26"/>
        <v/>
      </c>
    </row>
    <row r="523" spans="2:6" x14ac:dyDescent="0.2">
      <c r="B523" t="str">
        <f>IFERROR(IF('PDCA review'!$D$2=Act!B524,Act!G524,""),"")</f>
        <v/>
      </c>
      <c r="C523">
        <f t="shared" si="24"/>
        <v>0</v>
      </c>
      <c r="D523">
        <f>SUM($C$3:C523)</f>
        <v>4</v>
      </c>
      <c r="E523" t="e">
        <f t="shared" si="25"/>
        <v>#N/A</v>
      </c>
      <c r="F523" s="28" t="str">
        <f t="shared" ca="1" si="26"/>
        <v/>
      </c>
    </row>
    <row r="524" spans="2:6" x14ac:dyDescent="0.2">
      <c r="B524" t="str">
        <f>IFERROR(IF('PDCA review'!$D$2=Act!B525,Act!G525,""),"")</f>
        <v/>
      </c>
      <c r="C524">
        <f t="shared" si="24"/>
        <v>0</v>
      </c>
      <c r="D524">
        <f>SUM($C$3:C524)</f>
        <v>4</v>
      </c>
      <c r="E524" t="e">
        <f t="shared" si="25"/>
        <v>#N/A</v>
      </c>
      <c r="F524" s="28" t="str">
        <f t="shared" ca="1" si="26"/>
        <v/>
      </c>
    </row>
    <row r="525" spans="2:6" x14ac:dyDescent="0.2">
      <c r="B525" t="str">
        <f>IFERROR(IF('PDCA review'!$D$2=Act!B526,Act!G526,""),"")</f>
        <v/>
      </c>
      <c r="C525">
        <f t="shared" si="24"/>
        <v>0</v>
      </c>
      <c r="D525">
        <f>SUM($C$3:C525)</f>
        <v>4</v>
      </c>
      <c r="E525" t="e">
        <f t="shared" si="25"/>
        <v>#N/A</v>
      </c>
      <c r="F525" s="28" t="str">
        <f t="shared" ca="1" si="26"/>
        <v/>
      </c>
    </row>
    <row r="526" spans="2:6" x14ac:dyDescent="0.2">
      <c r="B526" t="str">
        <f>IFERROR(IF('PDCA review'!$D$2=Act!B527,Act!G527,""),"")</f>
        <v/>
      </c>
      <c r="C526">
        <f t="shared" si="24"/>
        <v>0</v>
      </c>
      <c r="D526">
        <f>SUM($C$3:C526)</f>
        <v>4</v>
      </c>
      <c r="E526" t="e">
        <f t="shared" si="25"/>
        <v>#N/A</v>
      </c>
      <c r="F526" s="28" t="str">
        <f t="shared" ca="1" si="26"/>
        <v/>
      </c>
    </row>
    <row r="527" spans="2:6" x14ac:dyDescent="0.2">
      <c r="B527" t="str">
        <f>IFERROR(IF('PDCA review'!$D$2=Act!B528,Act!G528,""),"")</f>
        <v/>
      </c>
      <c r="C527">
        <f t="shared" si="24"/>
        <v>0</v>
      </c>
      <c r="D527">
        <f>SUM($C$3:C527)</f>
        <v>4</v>
      </c>
      <c r="E527" t="e">
        <f t="shared" si="25"/>
        <v>#N/A</v>
      </c>
      <c r="F527" s="28" t="str">
        <f t="shared" ca="1" si="26"/>
        <v/>
      </c>
    </row>
    <row r="528" spans="2:6" x14ac:dyDescent="0.2">
      <c r="B528" t="str">
        <f>IFERROR(IF('PDCA review'!$D$2=Act!B529,Act!G529,""),"")</f>
        <v/>
      </c>
      <c r="C528">
        <f t="shared" si="24"/>
        <v>0</v>
      </c>
      <c r="D528">
        <f>SUM($C$3:C528)</f>
        <v>4</v>
      </c>
      <c r="E528" t="e">
        <f t="shared" si="25"/>
        <v>#N/A</v>
      </c>
      <c r="F528" s="28" t="str">
        <f t="shared" ca="1" si="26"/>
        <v/>
      </c>
    </row>
    <row r="529" spans="2:6" x14ac:dyDescent="0.2">
      <c r="B529" t="str">
        <f>IFERROR(IF('PDCA review'!$D$2=Act!B530,Act!G530,""),"")</f>
        <v/>
      </c>
      <c r="C529">
        <f t="shared" si="24"/>
        <v>0</v>
      </c>
      <c r="D529">
        <f>SUM($C$3:C529)</f>
        <v>4</v>
      </c>
      <c r="E529" t="e">
        <f t="shared" si="25"/>
        <v>#N/A</v>
      </c>
      <c r="F529" s="28" t="str">
        <f t="shared" ca="1" si="26"/>
        <v/>
      </c>
    </row>
    <row r="530" spans="2:6" x14ac:dyDescent="0.2">
      <c r="B530" t="str">
        <f>IFERROR(IF('PDCA review'!$D$2=Act!B531,Act!G531,""),"")</f>
        <v/>
      </c>
      <c r="C530">
        <f t="shared" si="24"/>
        <v>0</v>
      </c>
      <c r="D530">
        <f>SUM($C$3:C530)</f>
        <v>4</v>
      </c>
      <c r="E530" t="e">
        <f t="shared" si="25"/>
        <v>#N/A</v>
      </c>
      <c r="F530" s="28" t="str">
        <f t="shared" ca="1" si="26"/>
        <v/>
      </c>
    </row>
    <row r="531" spans="2:6" x14ac:dyDescent="0.2">
      <c r="B531" t="str">
        <f>IFERROR(IF('PDCA review'!$D$2=Act!B532,Act!G532,""),"")</f>
        <v/>
      </c>
      <c r="C531">
        <f t="shared" si="24"/>
        <v>0</v>
      </c>
      <c r="D531">
        <f>SUM($C$3:C531)</f>
        <v>4</v>
      </c>
      <c r="E531" t="e">
        <f t="shared" si="25"/>
        <v>#N/A</v>
      </c>
      <c r="F531" s="28" t="str">
        <f t="shared" ca="1" si="26"/>
        <v/>
      </c>
    </row>
    <row r="532" spans="2:6" x14ac:dyDescent="0.2">
      <c r="B532" t="str">
        <f>IFERROR(IF('PDCA review'!$D$2=Act!B533,Act!G533,""),"")</f>
        <v/>
      </c>
      <c r="C532">
        <f t="shared" si="24"/>
        <v>0</v>
      </c>
      <c r="D532">
        <f>SUM($C$3:C532)</f>
        <v>4</v>
      </c>
      <c r="E532" t="e">
        <f t="shared" si="25"/>
        <v>#N/A</v>
      </c>
      <c r="F532" s="28" t="str">
        <f t="shared" ca="1" si="26"/>
        <v/>
      </c>
    </row>
    <row r="533" spans="2:6" x14ac:dyDescent="0.2">
      <c r="B533" t="str">
        <f>IFERROR(IF('PDCA review'!$D$2=Act!B534,Act!G534,""),"")</f>
        <v/>
      </c>
      <c r="C533">
        <f t="shared" si="24"/>
        <v>0</v>
      </c>
      <c r="D533">
        <f>SUM($C$3:C533)</f>
        <v>4</v>
      </c>
      <c r="E533" t="e">
        <f t="shared" si="25"/>
        <v>#N/A</v>
      </c>
      <c r="F533" s="28" t="str">
        <f t="shared" ca="1" si="26"/>
        <v/>
      </c>
    </row>
    <row r="534" spans="2:6" x14ac:dyDescent="0.2">
      <c r="B534" t="str">
        <f>IFERROR(IF('PDCA review'!$D$2=Act!B535,Act!G535,""),"")</f>
        <v/>
      </c>
      <c r="C534">
        <f t="shared" si="24"/>
        <v>0</v>
      </c>
      <c r="D534">
        <f>SUM($C$3:C534)</f>
        <v>4</v>
      </c>
      <c r="E534" t="e">
        <f t="shared" si="25"/>
        <v>#N/A</v>
      </c>
      <c r="F534" s="28" t="str">
        <f t="shared" ca="1" si="26"/>
        <v/>
      </c>
    </row>
    <row r="535" spans="2:6" x14ac:dyDescent="0.2">
      <c r="B535" t="str">
        <f>IFERROR(IF('PDCA review'!$D$2=Act!B536,Act!G536,""),"")</f>
        <v/>
      </c>
      <c r="C535">
        <f t="shared" si="24"/>
        <v>0</v>
      </c>
      <c r="D535">
        <f>SUM($C$3:C535)</f>
        <v>4</v>
      </c>
      <c r="E535" t="e">
        <f t="shared" si="25"/>
        <v>#N/A</v>
      </c>
      <c r="F535" s="28" t="str">
        <f t="shared" ca="1" si="26"/>
        <v/>
      </c>
    </row>
    <row r="536" spans="2:6" x14ac:dyDescent="0.2">
      <c r="B536" t="str">
        <f>IFERROR(IF('PDCA review'!$D$2=Act!B537,Act!G537,""),"")</f>
        <v/>
      </c>
      <c r="C536">
        <f t="shared" si="24"/>
        <v>0</v>
      </c>
      <c r="D536">
        <f>SUM($C$3:C536)</f>
        <v>4</v>
      </c>
      <c r="E536" t="e">
        <f t="shared" si="25"/>
        <v>#N/A</v>
      </c>
      <c r="F536" s="28" t="str">
        <f t="shared" ca="1" si="26"/>
        <v/>
      </c>
    </row>
    <row r="537" spans="2:6" x14ac:dyDescent="0.2">
      <c r="B537" t="str">
        <f>IFERROR(IF('PDCA review'!$D$2=Act!B538,Act!G538,""),"")</f>
        <v/>
      </c>
      <c r="C537">
        <f t="shared" si="24"/>
        <v>0</v>
      </c>
      <c r="D537">
        <f>SUM($C$3:C537)</f>
        <v>4</v>
      </c>
      <c r="E537" t="e">
        <f t="shared" si="25"/>
        <v>#N/A</v>
      </c>
      <c r="F537" s="28" t="str">
        <f t="shared" ca="1" si="26"/>
        <v/>
      </c>
    </row>
    <row r="538" spans="2:6" x14ac:dyDescent="0.2">
      <c r="B538" t="str">
        <f>IFERROR(IF('PDCA review'!$D$2=Act!B539,Act!G539,""),"")</f>
        <v/>
      </c>
      <c r="C538">
        <f t="shared" si="24"/>
        <v>0</v>
      </c>
      <c r="D538">
        <f>SUM($C$3:C538)</f>
        <v>4</v>
      </c>
      <c r="E538" t="e">
        <f t="shared" si="25"/>
        <v>#N/A</v>
      </c>
      <c r="F538" s="28" t="str">
        <f t="shared" ca="1" si="26"/>
        <v/>
      </c>
    </row>
    <row r="539" spans="2:6" x14ac:dyDescent="0.2">
      <c r="B539" t="str">
        <f>IFERROR(IF('PDCA review'!$D$2=Act!B540,Act!G540,""),"")</f>
        <v/>
      </c>
      <c r="C539">
        <f t="shared" si="24"/>
        <v>0</v>
      </c>
      <c r="D539">
        <f>SUM($C$3:C539)</f>
        <v>4</v>
      </c>
      <c r="E539" t="e">
        <f t="shared" si="25"/>
        <v>#N/A</v>
      </c>
      <c r="F539" s="28" t="str">
        <f t="shared" ca="1" si="26"/>
        <v/>
      </c>
    </row>
    <row r="540" spans="2:6" x14ac:dyDescent="0.2">
      <c r="B540" t="str">
        <f>IFERROR(IF('PDCA review'!$D$2=Act!B541,Act!G541,""),"")</f>
        <v/>
      </c>
      <c r="C540">
        <f t="shared" si="24"/>
        <v>0</v>
      </c>
      <c r="D540">
        <f>SUM($C$3:C540)</f>
        <v>4</v>
      </c>
      <c r="E540" t="e">
        <f t="shared" si="25"/>
        <v>#N/A</v>
      </c>
      <c r="F540" s="28" t="str">
        <f t="shared" ca="1" si="26"/>
        <v/>
      </c>
    </row>
    <row r="541" spans="2:6" x14ac:dyDescent="0.2">
      <c r="B541" t="str">
        <f>IFERROR(IF('PDCA review'!$D$2=Act!B542,Act!G542,""),"")</f>
        <v/>
      </c>
      <c r="C541">
        <f t="shared" si="24"/>
        <v>0</v>
      </c>
      <c r="D541">
        <f>SUM($C$3:C541)</f>
        <v>4</v>
      </c>
      <c r="E541" t="e">
        <f t="shared" si="25"/>
        <v>#N/A</v>
      </c>
      <c r="F541" s="28" t="str">
        <f t="shared" ca="1" si="26"/>
        <v/>
      </c>
    </row>
    <row r="542" spans="2:6" x14ac:dyDescent="0.2">
      <c r="B542" t="str">
        <f>IFERROR(IF('PDCA review'!$D$2=Act!B543,Act!G543,""),"")</f>
        <v/>
      </c>
      <c r="C542">
        <f t="shared" si="24"/>
        <v>0</v>
      </c>
      <c r="D542">
        <f>SUM($C$3:C542)</f>
        <v>4</v>
      </c>
      <c r="E542" t="e">
        <f t="shared" si="25"/>
        <v>#N/A</v>
      </c>
      <c r="F542" s="28" t="str">
        <f t="shared" ca="1" si="26"/>
        <v/>
      </c>
    </row>
    <row r="543" spans="2:6" x14ac:dyDescent="0.2">
      <c r="B543" t="str">
        <f>IFERROR(IF('PDCA review'!$D$2=Act!B544,Act!G544,""),"")</f>
        <v/>
      </c>
      <c r="C543">
        <f t="shared" si="24"/>
        <v>0</v>
      </c>
      <c r="D543">
        <f>SUM($C$3:C543)</f>
        <v>4</v>
      </c>
      <c r="E543" t="e">
        <f t="shared" si="25"/>
        <v>#N/A</v>
      </c>
      <c r="F543" s="28" t="str">
        <f t="shared" ca="1" si="26"/>
        <v/>
      </c>
    </row>
    <row r="544" spans="2:6" x14ac:dyDescent="0.2">
      <c r="B544" t="str">
        <f>IFERROR(IF('PDCA review'!$D$2=Act!B545,Act!G545,""),"")</f>
        <v/>
      </c>
      <c r="C544">
        <f t="shared" si="24"/>
        <v>0</v>
      </c>
      <c r="D544">
        <f>SUM($C$3:C544)</f>
        <v>4</v>
      </c>
      <c r="E544" t="e">
        <f t="shared" si="25"/>
        <v>#N/A</v>
      </c>
      <c r="F544" s="28" t="str">
        <f t="shared" ca="1" si="26"/>
        <v/>
      </c>
    </row>
    <row r="545" spans="2:6" x14ac:dyDescent="0.2">
      <c r="B545" t="str">
        <f>IFERROR(IF('PDCA review'!$D$2=Act!B546,Act!G546,""),"")</f>
        <v/>
      </c>
      <c r="C545">
        <f t="shared" si="24"/>
        <v>0</v>
      </c>
      <c r="D545">
        <f>SUM($C$3:C545)</f>
        <v>4</v>
      </c>
      <c r="E545" t="e">
        <f t="shared" si="25"/>
        <v>#N/A</v>
      </c>
      <c r="F545" s="28" t="str">
        <f t="shared" ca="1" si="26"/>
        <v/>
      </c>
    </row>
    <row r="546" spans="2:6" x14ac:dyDescent="0.2">
      <c r="B546" t="str">
        <f>IFERROR(IF('PDCA review'!$D$2=Act!B547,Act!G547,""),"")</f>
        <v/>
      </c>
      <c r="C546">
        <f t="shared" si="24"/>
        <v>0</v>
      </c>
      <c r="D546">
        <f>SUM($C$3:C546)</f>
        <v>4</v>
      </c>
      <c r="E546" t="e">
        <f t="shared" si="25"/>
        <v>#N/A</v>
      </c>
      <c r="F546" s="28" t="str">
        <f t="shared" ca="1" si="26"/>
        <v/>
      </c>
    </row>
    <row r="547" spans="2:6" x14ac:dyDescent="0.2">
      <c r="B547" t="str">
        <f>IFERROR(IF('PDCA review'!$D$2=Act!B548,Act!G548,""),"")</f>
        <v/>
      </c>
      <c r="C547">
        <f t="shared" si="24"/>
        <v>0</v>
      </c>
      <c r="D547">
        <f>SUM($C$3:C547)</f>
        <v>4</v>
      </c>
      <c r="E547" t="e">
        <f t="shared" si="25"/>
        <v>#N/A</v>
      </c>
      <c r="F547" s="28" t="str">
        <f t="shared" ca="1" si="26"/>
        <v/>
      </c>
    </row>
    <row r="548" spans="2:6" x14ac:dyDescent="0.2">
      <c r="B548" t="str">
        <f>IFERROR(IF('PDCA review'!$D$2=Act!B549,Act!G549,""),"")</f>
        <v/>
      </c>
      <c r="C548">
        <f t="shared" si="24"/>
        <v>0</v>
      </c>
      <c r="D548">
        <f>SUM($C$3:C548)</f>
        <v>4</v>
      </c>
      <c r="E548" t="e">
        <f t="shared" si="25"/>
        <v>#N/A</v>
      </c>
      <c r="F548" s="28" t="str">
        <f t="shared" ca="1" si="26"/>
        <v/>
      </c>
    </row>
    <row r="549" spans="2:6" x14ac:dyDescent="0.2">
      <c r="B549" t="str">
        <f>IFERROR(IF('PDCA review'!$D$2=Act!B550,Act!G550,""),"")</f>
        <v/>
      </c>
      <c r="C549">
        <f t="shared" si="24"/>
        <v>0</v>
      </c>
      <c r="D549">
        <f>SUM($C$3:C549)</f>
        <v>4</v>
      </c>
      <c r="E549" t="e">
        <f t="shared" si="25"/>
        <v>#N/A</v>
      </c>
      <c r="F549" s="28" t="str">
        <f t="shared" ca="1" si="26"/>
        <v/>
      </c>
    </row>
    <row r="550" spans="2:6" x14ac:dyDescent="0.2">
      <c r="B550" t="str">
        <f>IFERROR(IF('PDCA review'!$D$2=Act!B551,Act!G551,""),"")</f>
        <v/>
      </c>
      <c r="C550">
        <f t="shared" si="24"/>
        <v>0</v>
      </c>
      <c r="D550">
        <f>SUM($C$3:C550)</f>
        <v>4</v>
      </c>
      <c r="E550" t="e">
        <f t="shared" si="25"/>
        <v>#N/A</v>
      </c>
      <c r="F550" s="28" t="str">
        <f t="shared" ca="1" si="26"/>
        <v/>
      </c>
    </row>
    <row r="551" spans="2:6" x14ac:dyDescent="0.2">
      <c r="B551" t="str">
        <f>IFERROR(IF('PDCA review'!$D$2=Act!B552,Act!G552,""),"")</f>
        <v/>
      </c>
      <c r="C551">
        <f t="shared" si="24"/>
        <v>0</v>
      </c>
      <c r="D551">
        <f>SUM($C$3:C551)</f>
        <v>4</v>
      </c>
      <c r="E551" t="e">
        <f t="shared" si="25"/>
        <v>#N/A</v>
      </c>
      <c r="F551" s="28" t="str">
        <f t="shared" ca="1" si="26"/>
        <v/>
      </c>
    </row>
    <row r="552" spans="2:6" x14ac:dyDescent="0.2">
      <c r="B552" t="str">
        <f>IFERROR(IF('PDCA review'!$D$2=Act!B553,Act!G553,""),"")</f>
        <v/>
      </c>
      <c r="C552">
        <f t="shared" si="24"/>
        <v>0</v>
      </c>
      <c r="D552">
        <f>SUM($C$3:C552)</f>
        <v>4</v>
      </c>
      <c r="E552" t="e">
        <f t="shared" si="25"/>
        <v>#N/A</v>
      </c>
      <c r="F552" s="28" t="str">
        <f t="shared" ca="1" si="26"/>
        <v/>
      </c>
    </row>
    <row r="553" spans="2:6" x14ac:dyDescent="0.2">
      <c r="B553" t="str">
        <f>IFERROR(IF('PDCA review'!$D$2=Act!B554,Act!G554,""),"")</f>
        <v/>
      </c>
      <c r="C553">
        <f t="shared" si="24"/>
        <v>0</v>
      </c>
      <c r="D553">
        <f>SUM($C$3:C553)</f>
        <v>4</v>
      </c>
      <c r="E553" t="e">
        <f t="shared" si="25"/>
        <v>#N/A</v>
      </c>
      <c r="F553" s="28" t="str">
        <f t="shared" ca="1" si="26"/>
        <v/>
      </c>
    </row>
    <row r="554" spans="2:6" x14ac:dyDescent="0.2">
      <c r="B554" t="str">
        <f>IFERROR(IF('PDCA review'!$D$2=Act!B555,Act!G555,""),"")</f>
        <v/>
      </c>
      <c r="C554">
        <f t="shared" si="24"/>
        <v>0</v>
      </c>
      <c r="D554">
        <f>SUM($C$3:C554)</f>
        <v>4</v>
      </c>
      <c r="E554" t="e">
        <f t="shared" si="25"/>
        <v>#N/A</v>
      </c>
      <c r="F554" s="28" t="str">
        <f t="shared" ca="1" si="26"/>
        <v/>
      </c>
    </row>
    <row r="555" spans="2:6" x14ac:dyDescent="0.2">
      <c r="B555" t="str">
        <f>IFERROR(IF('PDCA review'!$D$2=Act!B556,Act!G556,""),"")</f>
        <v/>
      </c>
      <c r="C555">
        <f t="shared" si="24"/>
        <v>0</v>
      </c>
      <c r="D555">
        <f>SUM($C$3:C555)</f>
        <v>4</v>
      </c>
      <c r="E555" t="e">
        <f t="shared" si="25"/>
        <v>#N/A</v>
      </c>
      <c r="F555" s="28" t="str">
        <f t="shared" ca="1" si="26"/>
        <v/>
      </c>
    </row>
    <row r="556" spans="2:6" x14ac:dyDescent="0.2">
      <c r="B556" t="str">
        <f>IFERROR(IF('PDCA review'!$D$2=Act!B557,Act!G557,""),"")</f>
        <v/>
      </c>
      <c r="C556">
        <f t="shared" si="24"/>
        <v>0</v>
      </c>
      <c r="D556">
        <f>SUM($C$3:C556)</f>
        <v>4</v>
      </c>
      <c r="E556" t="e">
        <f t="shared" si="25"/>
        <v>#N/A</v>
      </c>
      <c r="F556" s="28" t="str">
        <f t="shared" ca="1" si="26"/>
        <v/>
      </c>
    </row>
    <row r="557" spans="2:6" x14ac:dyDescent="0.2">
      <c r="B557" t="str">
        <f>IFERROR(IF('PDCA review'!$D$2=Act!B558,Act!G558,""),"")</f>
        <v/>
      </c>
      <c r="C557">
        <f t="shared" si="24"/>
        <v>0</v>
      </c>
      <c r="D557">
        <f>SUM($C$3:C557)</f>
        <v>4</v>
      </c>
      <c r="E557" t="e">
        <f t="shared" si="25"/>
        <v>#N/A</v>
      </c>
      <c r="F557" s="28" t="str">
        <f t="shared" ca="1" si="26"/>
        <v/>
      </c>
    </row>
    <row r="558" spans="2:6" x14ac:dyDescent="0.2">
      <c r="B558" t="str">
        <f>IFERROR(IF('PDCA review'!$D$2=Act!B559,Act!G559,""),"")</f>
        <v/>
      </c>
      <c r="C558">
        <f t="shared" si="24"/>
        <v>0</v>
      </c>
      <c r="D558">
        <f>SUM($C$3:C558)</f>
        <v>4</v>
      </c>
      <c r="E558" t="e">
        <f t="shared" si="25"/>
        <v>#N/A</v>
      </c>
      <c r="F558" s="28" t="str">
        <f t="shared" ca="1" si="26"/>
        <v/>
      </c>
    </row>
    <row r="559" spans="2:6" x14ac:dyDescent="0.2">
      <c r="B559" t="str">
        <f>IFERROR(IF('PDCA review'!$D$2=Act!B560,Act!G560,""),"")</f>
        <v/>
      </c>
      <c r="C559">
        <f t="shared" si="24"/>
        <v>0</v>
      </c>
      <c r="D559">
        <f>SUM($C$3:C559)</f>
        <v>4</v>
      </c>
      <c r="E559" t="e">
        <f t="shared" si="25"/>
        <v>#N/A</v>
      </c>
      <c r="F559" s="28" t="str">
        <f t="shared" ca="1" si="26"/>
        <v/>
      </c>
    </row>
    <row r="560" spans="2:6" x14ac:dyDescent="0.2">
      <c r="B560" t="str">
        <f>IFERROR(IF('PDCA review'!$D$2=Act!B561,Act!G561,""),"")</f>
        <v/>
      </c>
      <c r="C560">
        <f t="shared" si="24"/>
        <v>0</v>
      </c>
      <c r="D560">
        <f>SUM($C$3:C560)</f>
        <v>4</v>
      </c>
      <c r="E560" t="e">
        <f t="shared" si="25"/>
        <v>#N/A</v>
      </c>
      <c r="F560" s="28" t="str">
        <f t="shared" ca="1" si="26"/>
        <v/>
      </c>
    </row>
    <row r="561" spans="2:6" x14ac:dyDescent="0.2">
      <c r="B561" t="str">
        <f>IFERROR(IF('PDCA review'!$D$2=Act!B562,Act!G562,""),"")</f>
        <v/>
      </c>
      <c r="C561">
        <f t="shared" si="24"/>
        <v>0</v>
      </c>
      <c r="D561">
        <f>SUM($C$3:C561)</f>
        <v>4</v>
      </c>
      <c r="E561" t="e">
        <f t="shared" si="25"/>
        <v>#N/A</v>
      </c>
      <c r="F561" s="28" t="str">
        <f t="shared" ca="1" si="26"/>
        <v/>
      </c>
    </row>
    <row r="562" spans="2:6" x14ac:dyDescent="0.2">
      <c r="B562" t="str">
        <f>IFERROR(IF('PDCA review'!$D$2=Act!B563,Act!G563,""),"")</f>
        <v/>
      </c>
      <c r="C562">
        <f t="shared" si="24"/>
        <v>0</v>
      </c>
      <c r="D562">
        <f>SUM($C$3:C562)</f>
        <v>4</v>
      </c>
      <c r="E562" t="e">
        <f t="shared" si="25"/>
        <v>#N/A</v>
      </c>
      <c r="F562" s="28" t="str">
        <f t="shared" ca="1" si="26"/>
        <v/>
      </c>
    </row>
    <row r="563" spans="2:6" x14ac:dyDescent="0.2">
      <c r="B563" t="str">
        <f>IFERROR(IF('PDCA review'!$D$2=Act!B564,Act!G564,""),"")</f>
        <v/>
      </c>
      <c r="C563">
        <f t="shared" si="24"/>
        <v>0</v>
      </c>
      <c r="D563">
        <f>SUM($C$3:C563)</f>
        <v>4</v>
      </c>
      <c r="E563" t="e">
        <f t="shared" si="25"/>
        <v>#N/A</v>
      </c>
      <c r="F563" s="28" t="str">
        <f t="shared" ca="1" si="26"/>
        <v/>
      </c>
    </row>
    <row r="564" spans="2:6" x14ac:dyDescent="0.2">
      <c r="B564" t="str">
        <f>IFERROR(IF('PDCA review'!$D$2=Act!B565,Act!G565,""),"")</f>
        <v/>
      </c>
      <c r="C564">
        <f t="shared" si="24"/>
        <v>0</v>
      </c>
      <c r="D564">
        <f>SUM($C$3:C564)</f>
        <v>4</v>
      </c>
      <c r="E564" t="e">
        <f t="shared" si="25"/>
        <v>#N/A</v>
      </c>
      <c r="F564" s="28" t="str">
        <f t="shared" ca="1" si="26"/>
        <v/>
      </c>
    </row>
    <row r="565" spans="2:6" x14ac:dyDescent="0.2">
      <c r="B565" t="str">
        <f>IFERROR(IF('PDCA review'!$D$2=Act!B566,Act!G566,""),"")</f>
        <v/>
      </c>
      <c r="C565">
        <f t="shared" si="24"/>
        <v>0</v>
      </c>
      <c r="D565">
        <f>SUM($C$3:C565)</f>
        <v>4</v>
      </c>
      <c r="E565" t="e">
        <f t="shared" si="25"/>
        <v>#N/A</v>
      </c>
      <c r="F565" s="28" t="str">
        <f t="shared" ca="1" si="26"/>
        <v/>
      </c>
    </row>
    <row r="566" spans="2:6" x14ac:dyDescent="0.2">
      <c r="B566" t="str">
        <f>IFERROR(IF('PDCA review'!$D$2=Act!B567,Act!G567,""),"")</f>
        <v/>
      </c>
      <c r="C566">
        <f t="shared" si="24"/>
        <v>0</v>
      </c>
      <c r="D566">
        <f>SUM($C$3:C566)</f>
        <v>4</v>
      </c>
      <c r="E566" t="e">
        <f t="shared" si="25"/>
        <v>#N/A</v>
      </c>
      <c r="F566" s="28" t="str">
        <f t="shared" ca="1" si="26"/>
        <v/>
      </c>
    </row>
    <row r="567" spans="2:6" x14ac:dyDescent="0.2">
      <c r="B567" t="str">
        <f>IFERROR(IF('PDCA review'!$D$2=Act!B568,Act!G568,""),"")</f>
        <v/>
      </c>
      <c r="C567">
        <f t="shared" si="24"/>
        <v>0</v>
      </c>
      <c r="D567">
        <f>SUM($C$3:C567)</f>
        <v>4</v>
      </c>
      <c r="E567" t="e">
        <f t="shared" si="25"/>
        <v>#N/A</v>
      </c>
      <c r="F567" s="28" t="str">
        <f t="shared" ca="1" si="26"/>
        <v/>
      </c>
    </row>
    <row r="568" spans="2:6" x14ac:dyDescent="0.2">
      <c r="B568" t="str">
        <f>IFERROR(IF('PDCA review'!$D$2=Act!B569,Act!G569,""),"")</f>
        <v/>
      </c>
      <c r="C568">
        <f t="shared" si="24"/>
        <v>0</v>
      </c>
      <c r="D568">
        <f>SUM($C$3:C568)</f>
        <v>4</v>
      </c>
      <c r="E568" t="e">
        <f t="shared" si="25"/>
        <v>#N/A</v>
      </c>
      <c r="F568" s="28" t="str">
        <f t="shared" ca="1" si="26"/>
        <v/>
      </c>
    </row>
    <row r="569" spans="2:6" x14ac:dyDescent="0.2">
      <c r="B569" t="str">
        <f>IFERROR(IF('PDCA review'!$D$2=Act!B570,Act!G570,""),"")</f>
        <v/>
      </c>
      <c r="C569">
        <f t="shared" si="24"/>
        <v>0</v>
      </c>
      <c r="D569">
        <f>SUM($C$3:C569)</f>
        <v>4</v>
      </c>
      <c r="E569" t="e">
        <f t="shared" si="25"/>
        <v>#N/A</v>
      </c>
      <c r="F569" s="28" t="str">
        <f t="shared" ca="1" si="26"/>
        <v/>
      </c>
    </row>
    <row r="570" spans="2:6" x14ac:dyDescent="0.2">
      <c r="B570" t="str">
        <f>IFERROR(IF('PDCA review'!$D$2=Act!B571,Act!G571,""),"")</f>
        <v/>
      </c>
      <c r="C570">
        <f t="shared" si="24"/>
        <v>0</v>
      </c>
      <c r="D570">
        <f>SUM($C$3:C570)</f>
        <v>4</v>
      </c>
      <c r="E570" t="e">
        <f t="shared" si="25"/>
        <v>#N/A</v>
      </c>
      <c r="F570" s="28" t="str">
        <f t="shared" ca="1" si="26"/>
        <v/>
      </c>
    </row>
    <row r="571" spans="2:6" x14ac:dyDescent="0.2">
      <c r="B571" t="str">
        <f>IFERROR(IF('PDCA review'!$D$2=Act!B572,Act!G572,""),"")</f>
        <v/>
      </c>
      <c r="C571">
        <f t="shared" si="24"/>
        <v>0</v>
      </c>
      <c r="D571">
        <f>SUM($C$3:C571)</f>
        <v>4</v>
      </c>
      <c r="E571" t="e">
        <f t="shared" si="25"/>
        <v>#N/A</v>
      </c>
      <c r="F571" s="28" t="str">
        <f t="shared" ca="1" si="26"/>
        <v/>
      </c>
    </row>
    <row r="572" spans="2:6" x14ac:dyDescent="0.2">
      <c r="B572" t="str">
        <f>IFERROR(IF('PDCA review'!$D$2=Act!B573,Act!G573,""),"")</f>
        <v/>
      </c>
      <c r="C572">
        <f t="shared" si="24"/>
        <v>0</v>
      </c>
      <c r="D572">
        <f>SUM($C$3:C572)</f>
        <v>4</v>
      </c>
      <c r="E572" t="e">
        <f t="shared" si="25"/>
        <v>#N/A</v>
      </c>
      <c r="F572" s="28" t="str">
        <f t="shared" ca="1" si="26"/>
        <v/>
      </c>
    </row>
    <row r="573" spans="2:6" x14ac:dyDescent="0.2">
      <c r="B573" t="str">
        <f>IFERROR(IF('PDCA review'!$D$2=Act!B574,Act!G574,""),"")</f>
        <v/>
      </c>
      <c r="C573">
        <f t="shared" si="24"/>
        <v>0</v>
      </c>
      <c r="D573">
        <f>SUM($C$3:C573)</f>
        <v>4</v>
      </c>
      <c r="E573" t="e">
        <f t="shared" si="25"/>
        <v>#N/A</v>
      </c>
      <c r="F573" s="28" t="str">
        <f t="shared" ca="1" si="26"/>
        <v/>
      </c>
    </row>
    <row r="574" spans="2:6" x14ac:dyDescent="0.2">
      <c r="B574" t="str">
        <f>IFERROR(IF('PDCA review'!$D$2=Act!B575,Act!G575,""),"")</f>
        <v/>
      </c>
      <c r="C574">
        <f t="shared" si="24"/>
        <v>0</v>
      </c>
      <c r="D574">
        <f>SUM($C$3:C574)</f>
        <v>4</v>
      </c>
      <c r="E574" t="e">
        <f t="shared" si="25"/>
        <v>#N/A</v>
      </c>
      <c r="F574" s="28" t="str">
        <f t="shared" ca="1" si="26"/>
        <v/>
      </c>
    </row>
    <row r="575" spans="2:6" x14ac:dyDescent="0.2">
      <c r="B575" t="str">
        <f>IFERROR(IF('PDCA review'!$D$2=Act!B576,Act!G576,""),"")</f>
        <v/>
      </c>
      <c r="C575">
        <f t="shared" si="24"/>
        <v>0</v>
      </c>
      <c r="D575">
        <f>SUM($C$3:C575)</f>
        <v>4</v>
      </c>
      <c r="E575" t="e">
        <f t="shared" si="25"/>
        <v>#N/A</v>
      </c>
      <c r="F575" s="28" t="str">
        <f t="shared" ca="1" si="26"/>
        <v/>
      </c>
    </row>
    <row r="576" spans="2:6" x14ac:dyDescent="0.2">
      <c r="B576" t="str">
        <f>IFERROR(IF('PDCA review'!$D$2=Act!B577,Act!G577,""),"")</f>
        <v/>
      </c>
      <c r="C576">
        <f t="shared" si="24"/>
        <v>0</v>
      </c>
      <c r="D576">
        <f>SUM($C$3:C576)</f>
        <v>4</v>
      </c>
      <c r="E576" t="e">
        <f t="shared" si="25"/>
        <v>#N/A</v>
      </c>
      <c r="F576" s="28" t="str">
        <f t="shared" ca="1" si="26"/>
        <v/>
      </c>
    </row>
    <row r="577" spans="2:6" x14ac:dyDescent="0.2">
      <c r="B577" t="str">
        <f>IFERROR(IF('PDCA review'!$D$2=Act!B578,Act!G578,""),"")</f>
        <v/>
      </c>
      <c r="C577">
        <f t="shared" si="24"/>
        <v>0</v>
      </c>
      <c r="D577">
        <f>SUM($C$3:C577)</f>
        <v>4</v>
      </c>
      <c r="E577" t="e">
        <f t="shared" si="25"/>
        <v>#N/A</v>
      </c>
      <c r="F577" s="28" t="str">
        <f t="shared" ca="1" si="26"/>
        <v/>
      </c>
    </row>
    <row r="578" spans="2:6" x14ac:dyDescent="0.2">
      <c r="B578" t="str">
        <f>IFERROR(IF('PDCA review'!$D$2=Act!B579,Act!G579,""),"")</f>
        <v/>
      </c>
      <c r="C578">
        <f t="shared" si="24"/>
        <v>0</v>
      </c>
      <c r="D578">
        <f>SUM($C$3:C578)</f>
        <v>4</v>
      </c>
      <c r="E578" t="e">
        <f t="shared" si="25"/>
        <v>#N/A</v>
      </c>
      <c r="F578" s="28" t="str">
        <f t="shared" ca="1" si="26"/>
        <v/>
      </c>
    </row>
    <row r="579" spans="2:6" x14ac:dyDescent="0.2">
      <c r="B579" t="str">
        <f>IFERROR(IF('PDCA review'!$D$2=Act!B580,Act!G580,""),"")</f>
        <v/>
      </c>
      <c r="C579">
        <f t="shared" si="24"/>
        <v>0</v>
      </c>
      <c r="D579">
        <f>SUM($C$3:C579)</f>
        <v>4</v>
      </c>
      <c r="E579" t="e">
        <f t="shared" si="25"/>
        <v>#N/A</v>
      </c>
      <c r="F579" s="28" t="str">
        <f t="shared" ca="1" si="26"/>
        <v/>
      </c>
    </row>
    <row r="580" spans="2:6" x14ac:dyDescent="0.2">
      <c r="B580" t="str">
        <f>IFERROR(IF('PDCA review'!$D$2=Act!B581,Act!G581,""),"")</f>
        <v/>
      </c>
      <c r="C580">
        <f t="shared" ref="C580:C643" si="27">IF(B580&lt;&gt;"",1,0)</f>
        <v>0</v>
      </c>
      <c r="D580">
        <f>SUM($C$3:C580)</f>
        <v>4</v>
      </c>
      <c r="E580" t="e">
        <f t="shared" ref="E580:E643" si="28">MATCH(ROW()-$D$2,$D$3:$D$2000,0)+$D$2</f>
        <v>#N/A</v>
      </c>
      <c r="F580" s="28" t="str">
        <f t="shared" ref="F580:F643" ca="1" si="29">IFERROR(INDIRECT("B"&amp;E580),"")</f>
        <v/>
      </c>
    </row>
    <row r="581" spans="2:6" x14ac:dyDescent="0.2">
      <c r="B581" t="str">
        <f>IFERROR(IF('PDCA review'!$D$2=Act!B582,Act!G582,""),"")</f>
        <v/>
      </c>
      <c r="C581">
        <f t="shared" si="27"/>
        <v>0</v>
      </c>
      <c r="D581">
        <f>SUM($C$3:C581)</f>
        <v>4</v>
      </c>
      <c r="E581" t="e">
        <f t="shared" si="28"/>
        <v>#N/A</v>
      </c>
      <c r="F581" s="28" t="str">
        <f t="shared" ca="1" si="29"/>
        <v/>
      </c>
    </row>
    <row r="582" spans="2:6" x14ac:dyDescent="0.2">
      <c r="B582" t="str">
        <f>IFERROR(IF('PDCA review'!$D$2=Act!B583,Act!G583,""),"")</f>
        <v/>
      </c>
      <c r="C582">
        <f t="shared" si="27"/>
        <v>0</v>
      </c>
      <c r="D582">
        <f>SUM($C$3:C582)</f>
        <v>4</v>
      </c>
      <c r="E582" t="e">
        <f t="shared" si="28"/>
        <v>#N/A</v>
      </c>
      <c r="F582" s="28" t="str">
        <f t="shared" ca="1" si="29"/>
        <v/>
      </c>
    </row>
    <row r="583" spans="2:6" x14ac:dyDescent="0.2">
      <c r="B583" t="str">
        <f>IFERROR(IF('PDCA review'!$D$2=Act!B584,Act!G584,""),"")</f>
        <v/>
      </c>
      <c r="C583">
        <f t="shared" si="27"/>
        <v>0</v>
      </c>
      <c r="D583">
        <f>SUM($C$3:C583)</f>
        <v>4</v>
      </c>
      <c r="E583" t="e">
        <f t="shared" si="28"/>
        <v>#N/A</v>
      </c>
      <c r="F583" s="28" t="str">
        <f t="shared" ca="1" si="29"/>
        <v/>
      </c>
    </row>
    <row r="584" spans="2:6" x14ac:dyDescent="0.2">
      <c r="B584" t="str">
        <f>IFERROR(IF('PDCA review'!$D$2=Act!B585,Act!G585,""),"")</f>
        <v/>
      </c>
      <c r="C584">
        <f t="shared" si="27"/>
        <v>0</v>
      </c>
      <c r="D584">
        <f>SUM($C$3:C584)</f>
        <v>4</v>
      </c>
      <c r="E584" t="e">
        <f t="shared" si="28"/>
        <v>#N/A</v>
      </c>
      <c r="F584" s="28" t="str">
        <f t="shared" ca="1" si="29"/>
        <v/>
      </c>
    </row>
    <row r="585" spans="2:6" x14ac:dyDescent="0.2">
      <c r="B585" t="str">
        <f>IFERROR(IF('PDCA review'!$D$2=Act!B586,Act!G586,""),"")</f>
        <v/>
      </c>
      <c r="C585">
        <f t="shared" si="27"/>
        <v>0</v>
      </c>
      <c r="D585">
        <f>SUM($C$3:C585)</f>
        <v>4</v>
      </c>
      <c r="E585" t="e">
        <f t="shared" si="28"/>
        <v>#N/A</v>
      </c>
      <c r="F585" s="28" t="str">
        <f t="shared" ca="1" si="29"/>
        <v/>
      </c>
    </row>
    <row r="586" spans="2:6" x14ac:dyDescent="0.2">
      <c r="B586" t="str">
        <f>IFERROR(IF('PDCA review'!$D$2=Act!B587,Act!G587,""),"")</f>
        <v/>
      </c>
      <c r="C586">
        <f t="shared" si="27"/>
        <v>0</v>
      </c>
      <c r="D586">
        <f>SUM($C$3:C586)</f>
        <v>4</v>
      </c>
      <c r="E586" t="e">
        <f t="shared" si="28"/>
        <v>#N/A</v>
      </c>
      <c r="F586" s="28" t="str">
        <f t="shared" ca="1" si="29"/>
        <v/>
      </c>
    </row>
    <row r="587" spans="2:6" x14ac:dyDescent="0.2">
      <c r="B587" t="str">
        <f>IFERROR(IF('PDCA review'!$D$2=Act!B588,Act!G588,""),"")</f>
        <v/>
      </c>
      <c r="C587">
        <f t="shared" si="27"/>
        <v>0</v>
      </c>
      <c r="D587">
        <f>SUM($C$3:C587)</f>
        <v>4</v>
      </c>
      <c r="E587" t="e">
        <f t="shared" si="28"/>
        <v>#N/A</v>
      </c>
      <c r="F587" s="28" t="str">
        <f t="shared" ca="1" si="29"/>
        <v/>
      </c>
    </row>
    <row r="588" spans="2:6" x14ac:dyDescent="0.2">
      <c r="B588" t="str">
        <f>IFERROR(IF('PDCA review'!$D$2=Act!B589,Act!G589,""),"")</f>
        <v/>
      </c>
      <c r="C588">
        <f t="shared" si="27"/>
        <v>0</v>
      </c>
      <c r="D588">
        <f>SUM($C$3:C588)</f>
        <v>4</v>
      </c>
      <c r="E588" t="e">
        <f t="shared" si="28"/>
        <v>#N/A</v>
      </c>
      <c r="F588" s="28" t="str">
        <f t="shared" ca="1" si="29"/>
        <v/>
      </c>
    </row>
    <row r="589" spans="2:6" x14ac:dyDescent="0.2">
      <c r="B589" t="str">
        <f>IFERROR(IF('PDCA review'!$D$2=Act!B590,Act!G590,""),"")</f>
        <v/>
      </c>
      <c r="C589">
        <f t="shared" si="27"/>
        <v>0</v>
      </c>
      <c r="D589">
        <f>SUM($C$3:C589)</f>
        <v>4</v>
      </c>
      <c r="E589" t="e">
        <f t="shared" si="28"/>
        <v>#N/A</v>
      </c>
      <c r="F589" s="28" t="str">
        <f t="shared" ca="1" si="29"/>
        <v/>
      </c>
    </row>
    <row r="590" spans="2:6" x14ac:dyDescent="0.2">
      <c r="B590" t="str">
        <f>IFERROR(IF('PDCA review'!$D$2=Act!B591,Act!G591,""),"")</f>
        <v/>
      </c>
      <c r="C590">
        <f t="shared" si="27"/>
        <v>0</v>
      </c>
      <c r="D590">
        <f>SUM($C$3:C590)</f>
        <v>4</v>
      </c>
      <c r="E590" t="e">
        <f t="shared" si="28"/>
        <v>#N/A</v>
      </c>
      <c r="F590" s="28" t="str">
        <f t="shared" ca="1" si="29"/>
        <v/>
      </c>
    </row>
    <row r="591" spans="2:6" x14ac:dyDescent="0.2">
      <c r="B591" t="str">
        <f>IFERROR(IF('PDCA review'!$D$2=Act!B592,Act!G592,""),"")</f>
        <v/>
      </c>
      <c r="C591">
        <f t="shared" si="27"/>
        <v>0</v>
      </c>
      <c r="D591">
        <f>SUM($C$3:C591)</f>
        <v>4</v>
      </c>
      <c r="E591" t="e">
        <f t="shared" si="28"/>
        <v>#N/A</v>
      </c>
      <c r="F591" s="28" t="str">
        <f t="shared" ca="1" si="29"/>
        <v/>
      </c>
    </row>
    <row r="592" spans="2:6" x14ac:dyDescent="0.2">
      <c r="B592" t="str">
        <f>IFERROR(IF('PDCA review'!$D$2=Act!B593,Act!G593,""),"")</f>
        <v/>
      </c>
      <c r="C592">
        <f t="shared" si="27"/>
        <v>0</v>
      </c>
      <c r="D592">
        <f>SUM($C$3:C592)</f>
        <v>4</v>
      </c>
      <c r="E592" t="e">
        <f t="shared" si="28"/>
        <v>#N/A</v>
      </c>
      <c r="F592" s="28" t="str">
        <f t="shared" ca="1" si="29"/>
        <v/>
      </c>
    </row>
    <row r="593" spans="2:6" x14ac:dyDescent="0.2">
      <c r="B593" t="str">
        <f>IFERROR(IF('PDCA review'!$D$2=Act!B594,Act!G594,""),"")</f>
        <v/>
      </c>
      <c r="C593">
        <f t="shared" si="27"/>
        <v>0</v>
      </c>
      <c r="D593">
        <f>SUM($C$3:C593)</f>
        <v>4</v>
      </c>
      <c r="E593" t="e">
        <f t="shared" si="28"/>
        <v>#N/A</v>
      </c>
      <c r="F593" s="28" t="str">
        <f t="shared" ca="1" si="29"/>
        <v/>
      </c>
    </row>
    <row r="594" spans="2:6" x14ac:dyDescent="0.2">
      <c r="B594" t="str">
        <f>IFERROR(IF('PDCA review'!$D$2=Act!B595,Act!G595,""),"")</f>
        <v/>
      </c>
      <c r="C594">
        <f t="shared" si="27"/>
        <v>0</v>
      </c>
      <c r="D594">
        <f>SUM($C$3:C594)</f>
        <v>4</v>
      </c>
      <c r="E594" t="e">
        <f t="shared" si="28"/>
        <v>#N/A</v>
      </c>
      <c r="F594" s="28" t="str">
        <f t="shared" ca="1" si="29"/>
        <v/>
      </c>
    </row>
    <row r="595" spans="2:6" x14ac:dyDescent="0.2">
      <c r="B595" t="str">
        <f>IFERROR(IF('PDCA review'!$D$2=Act!B596,Act!G596,""),"")</f>
        <v/>
      </c>
      <c r="C595">
        <f t="shared" si="27"/>
        <v>0</v>
      </c>
      <c r="D595">
        <f>SUM($C$3:C595)</f>
        <v>4</v>
      </c>
      <c r="E595" t="e">
        <f t="shared" si="28"/>
        <v>#N/A</v>
      </c>
      <c r="F595" s="28" t="str">
        <f t="shared" ca="1" si="29"/>
        <v/>
      </c>
    </row>
    <row r="596" spans="2:6" x14ac:dyDescent="0.2">
      <c r="B596" t="str">
        <f>IFERROR(IF('PDCA review'!$D$2=Act!B597,Act!G597,""),"")</f>
        <v/>
      </c>
      <c r="C596">
        <f t="shared" si="27"/>
        <v>0</v>
      </c>
      <c r="D596">
        <f>SUM($C$3:C596)</f>
        <v>4</v>
      </c>
      <c r="E596" t="e">
        <f t="shared" si="28"/>
        <v>#N/A</v>
      </c>
      <c r="F596" s="28" t="str">
        <f t="shared" ca="1" si="29"/>
        <v/>
      </c>
    </row>
    <row r="597" spans="2:6" x14ac:dyDescent="0.2">
      <c r="B597" t="str">
        <f>IFERROR(IF('PDCA review'!$D$2=Act!B598,Act!G598,""),"")</f>
        <v/>
      </c>
      <c r="C597">
        <f t="shared" si="27"/>
        <v>0</v>
      </c>
      <c r="D597">
        <f>SUM($C$3:C597)</f>
        <v>4</v>
      </c>
      <c r="E597" t="e">
        <f t="shared" si="28"/>
        <v>#N/A</v>
      </c>
      <c r="F597" s="28" t="str">
        <f t="shared" ca="1" si="29"/>
        <v/>
      </c>
    </row>
    <row r="598" spans="2:6" x14ac:dyDescent="0.2">
      <c r="B598" t="str">
        <f>IFERROR(IF('PDCA review'!$D$2=Act!B599,Act!G599,""),"")</f>
        <v/>
      </c>
      <c r="C598">
        <f t="shared" si="27"/>
        <v>0</v>
      </c>
      <c r="D598">
        <f>SUM($C$3:C598)</f>
        <v>4</v>
      </c>
      <c r="E598" t="e">
        <f t="shared" si="28"/>
        <v>#N/A</v>
      </c>
      <c r="F598" s="28" t="str">
        <f t="shared" ca="1" si="29"/>
        <v/>
      </c>
    </row>
    <row r="599" spans="2:6" x14ac:dyDescent="0.2">
      <c r="B599" t="str">
        <f>IFERROR(IF('PDCA review'!$D$2=Act!B600,Act!G600,""),"")</f>
        <v/>
      </c>
      <c r="C599">
        <f t="shared" si="27"/>
        <v>0</v>
      </c>
      <c r="D599">
        <f>SUM($C$3:C599)</f>
        <v>4</v>
      </c>
      <c r="E599" t="e">
        <f t="shared" si="28"/>
        <v>#N/A</v>
      </c>
      <c r="F599" s="28" t="str">
        <f t="shared" ca="1" si="29"/>
        <v/>
      </c>
    </row>
    <row r="600" spans="2:6" x14ac:dyDescent="0.2">
      <c r="B600" t="str">
        <f>IFERROR(IF('PDCA review'!$D$2=Act!B601,Act!G601,""),"")</f>
        <v/>
      </c>
      <c r="C600">
        <f t="shared" si="27"/>
        <v>0</v>
      </c>
      <c r="D600">
        <f>SUM($C$3:C600)</f>
        <v>4</v>
      </c>
      <c r="E600" t="e">
        <f t="shared" si="28"/>
        <v>#N/A</v>
      </c>
      <c r="F600" s="28" t="str">
        <f t="shared" ca="1" si="29"/>
        <v/>
      </c>
    </row>
    <row r="601" spans="2:6" x14ac:dyDescent="0.2">
      <c r="B601" t="str">
        <f>IFERROR(IF('PDCA review'!$D$2=Act!B602,Act!G602,""),"")</f>
        <v/>
      </c>
      <c r="C601">
        <f t="shared" si="27"/>
        <v>0</v>
      </c>
      <c r="D601">
        <f>SUM($C$3:C601)</f>
        <v>4</v>
      </c>
      <c r="E601" t="e">
        <f t="shared" si="28"/>
        <v>#N/A</v>
      </c>
      <c r="F601" s="28" t="str">
        <f t="shared" ca="1" si="29"/>
        <v/>
      </c>
    </row>
    <row r="602" spans="2:6" x14ac:dyDescent="0.2">
      <c r="B602" t="str">
        <f>IFERROR(IF('PDCA review'!$D$2=Act!B603,Act!G603,""),"")</f>
        <v/>
      </c>
      <c r="C602">
        <f t="shared" si="27"/>
        <v>0</v>
      </c>
      <c r="D602">
        <f>SUM($C$3:C602)</f>
        <v>4</v>
      </c>
      <c r="E602" t="e">
        <f t="shared" si="28"/>
        <v>#N/A</v>
      </c>
      <c r="F602" s="28" t="str">
        <f t="shared" ca="1" si="29"/>
        <v/>
      </c>
    </row>
    <row r="603" spans="2:6" x14ac:dyDescent="0.2">
      <c r="B603" t="str">
        <f>IFERROR(IF('PDCA review'!$D$2=Act!B604,Act!G604,""),"")</f>
        <v/>
      </c>
      <c r="C603">
        <f t="shared" si="27"/>
        <v>0</v>
      </c>
      <c r="D603">
        <f>SUM($C$3:C603)</f>
        <v>4</v>
      </c>
      <c r="E603" t="e">
        <f t="shared" si="28"/>
        <v>#N/A</v>
      </c>
      <c r="F603" s="28" t="str">
        <f t="shared" ca="1" si="29"/>
        <v/>
      </c>
    </row>
    <row r="604" spans="2:6" x14ac:dyDescent="0.2">
      <c r="B604" t="str">
        <f>IFERROR(IF('PDCA review'!$D$2=Act!B605,Act!G605,""),"")</f>
        <v/>
      </c>
      <c r="C604">
        <f t="shared" si="27"/>
        <v>0</v>
      </c>
      <c r="D604">
        <f>SUM($C$3:C604)</f>
        <v>4</v>
      </c>
      <c r="E604" t="e">
        <f t="shared" si="28"/>
        <v>#N/A</v>
      </c>
      <c r="F604" s="28" t="str">
        <f t="shared" ca="1" si="29"/>
        <v/>
      </c>
    </row>
    <row r="605" spans="2:6" x14ac:dyDescent="0.2">
      <c r="B605" t="str">
        <f>IFERROR(IF('PDCA review'!$D$2=Act!B606,Act!G606,""),"")</f>
        <v/>
      </c>
      <c r="C605">
        <f t="shared" si="27"/>
        <v>0</v>
      </c>
      <c r="D605">
        <f>SUM($C$3:C605)</f>
        <v>4</v>
      </c>
      <c r="E605" t="e">
        <f t="shared" si="28"/>
        <v>#N/A</v>
      </c>
      <c r="F605" s="28" t="str">
        <f t="shared" ca="1" si="29"/>
        <v/>
      </c>
    </row>
    <row r="606" spans="2:6" x14ac:dyDescent="0.2">
      <c r="B606" t="str">
        <f>IFERROR(IF('PDCA review'!$D$2=Act!B607,Act!G607,""),"")</f>
        <v/>
      </c>
      <c r="C606">
        <f t="shared" si="27"/>
        <v>0</v>
      </c>
      <c r="D606">
        <f>SUM($C$3:C606)</f>
        <v>4</v>
      </c>
      <c r="E606" t="e">
        <f t="shared" si="28"/>
        <v>#N/A</v>
      </c>
      <c r="F606" s="28" t="str">
        <f t="shared" ca="1" si="29"/>
        <v/>
      </c>
    </row>
    <row r="607" spans="2:6" x14ac:dyDescent="0.2">
      <c r="B607" t="str">
        <f>IFERROR(IF('PDCA review'!$D$2=Act!B608,Act!G608,""),"")</f>
        <v/>
      </c>
      <c r="C607">
        <f t="shared" si="27"/>
        <v>0</v>
      </c>
      <c r="D607">
        <f>SUM($C$3:C607)</f>
        <v>4</v>
      </c>
      <c r="E607" t="e">
        <f t="shared" si="28"/>
        <v>#N/A</v>
      </c>
      <c r="F607" s="28" t="str">
        <f t="shared" ca="1" si="29"/>
        <v/>
      </c>
    </row>
    <row r="608" spans="2:6" x14ac:dyDescent="0.2">
      <c r="B608" t="str">
        <f>IFERROR(IF('PDCA review'!$D$2=Act!B609,Act!G609,""),"")</f>
        <v/>
      </c>
      <c r="C608">
        <f t="shared" si="27"/>
        <v>0</v>
      </c>
      <c r="D608">
        <f>SUM($C$3:C608)</f>
        <v>4</v>
      </c>
      <c r="E608" t="e">
        <f t="shared" si="28"/>
        <v>#N/A</v>
      </c>
      <c r="F608" s="28" t="str">
        <f t="shared" ca="1" si="29"/>
        <v/>
      </c>
    </row>
    <row r="609" spans="2:6" x14ac:dyDescent="0.2">
      <c r="B609" t="str">
        <f>IFERROR(IF('PDCA review'!$D$2=Act!B610,Act!G610,""),"")</f>
        <v/>
      </c>
      <c r="C609">
        <f t="shared" si="27"/>
        <v>0</v>
      </c>
      <c r="D609">
        <f>SUM($C$3:C609)</f>
        <v>4</v>
      </c>
      <c r="E609" t="e">
        <f t="shared" si="28"/>
        <v>#N/A</v>
      </c>
      <c r="F609" s="28" t="str">
        <f t="shared" ca="1" si="29"/>
        <v/>
      </c>
    </row>
    <row r="610" spans="2:6" x14ac:dyDescent="0.2">
      <c r="B610" t="str">
        <f>IFERROR(IF('PDCA review'!$D$2=Act!B611,Act!G611,""),"")</f>
        <v/>
      </c>
      <c r="C610">
        <f t="shared" si="27"/>
        <v>0</v>
      </c>
      <c r="D610">
        <f>SUM($C$3:C610)</f>
        <v>4</v>
      </c>
      <c r="E610" t="e">
        <f t="shared" si="28"/>
        <v>#N/A</v>
      </c>
      <c r="F610" s="28" t="str">
        <f t="shared" ca="1" si="29"/>
        <v/>
      </c>
    </row>
    <row r="611" spans="2:6" x14ac:dyDescent="0.2">
      <c r="B611" t="str">
        <f>IFERROR(IF('PDCA review'!$D$2=Act!B612,Act!G612,""),"")</f>
        <v/>
      </c>
      <c r="C611">
        <f t="shared" si="27"/>
        <v>0</v>
      </c>
      <c r="D611">
        <f>SUM($C$3:C611)</f>
        <v>4</v>
      </c>
      <c r="E611" t="e">
        <f t="shared" si="28"/>
        <v>#N/A</v>
      </c>
      <c r="F611" s="28" t="str">
        <f t="shared" ca="1" si="29"/>
        <v/>
      </c>
    </row>
    <row r="612" spans="2:6" x14ac:dyDescent="0.2">
      <c r="B612" t="str">
        <f>IFERROR(IF('PDCA review'!$D$2=Act!B613,Act!G613,""),"")</f>
        <v/>
      </c>
      <c r="C612">
        <f t="shared" si="27"/>
        <v>0</v>
      </c>
      <c r="D612">
        <f>SUM($C$3:C612)</f>
        <v>4</v>
      </c>
      <c r="E612" t="e">
        <f t="shared" si="28"/>
        <v>#N/A</v>
      </c>
      <c r="F612" s="28" t="str">
        <f t="shared" ca="1" si="29"/>
        <v/>
      </c>
    </row>
    <row r="613" spans="2:6" x14ac:dyDescent="0.2">
      <c r="B613" t="str">
        <f>IFERROR(IF('PDCA review'!$D$2=Act!B614,Act!G614,""),"")</f>
        <v/>
      </c>
      <c r="C613">
        <f t="shared" si="27"/>
        <v>0</v>
      </c>
      <c r="D613">
        <f>SUM($C$3:C613)</f>
        <v>4</v>
      </c>
      <c r="E613" t="e">
        <f t="shared" si="28"/>
        <v>#N/A</v>
      </c>
      <c r="F613" s="28" t="str">
        <f t="shared" ca="1" si="29"/>
        <v/>
      </c>
    </row>
    <row r="614" spans="2:6" x14ac:dyDescent="0.2">
      <c r="B614" t="str">
        <f>IFERROR(IF('PDCA review'!$D$2=Act!B615,Act!G615,""),"")</f>
        <v/>
      </c>
      <c r="C614">
        <f t="shared" si="27"/>
        <v>0</v>
      </c>
      <c r="D614">
        <f>SUM($C$3:C614)</f>
        <v>4</v>
      </c>
      <c r="E614" t="e">
        <f t="shared" si="28"/>
        <v>#N/A</v>
      </c>
      <c r="F614" s="28" t="str">
        <f t="shared" ca="1" si="29"/>
        <v/>
      </c>
    </row>
    <row r="615" spans="2:6" x14ac:dyDescent="0.2">
      <c r="B615" t="str">
        <f>IFERROR(IF('PDCA review'!$D$2=Act!B616,Act!G616,""),"")</f>
        <v/>
      </c>
      <c r="C615">
        <f t="shared" si="27"/>
        <v>0</v>
      </c>
      <c r="D615">
        <f>SUM($C$3:C615)</f>
        <v>4</v>
      </c>
      <c r="E615" t="e">
        <f t="shared" si="28"/>
        <v>#N/A</v>
      </c>
      <c r="F615" s="28" t="str">
        <f t="shared" ca="1" si="29"/>
        <v/>
      </c>
    </row>
    <row r="616" spans="2:6" x14ac:dyDescent="0.2">
      <c r="B616" t="str">
        <f>IFERROR(IF('PDCA review'!$D$2=Act!B617,Act!G617,""),"")</f>
        <v/>
      </c>
      <c r="C616">
        <f t="shared" si="27"/>
        <v>0</v>
      </c>
      <c r="D616">
        <f>SUM($C$3:C616)</f>
        <v>4</v>
      </c>
      <c r="E616" t="e">
        <f t="shared" si="28"/>
        <v>#N/A</v>
      </c>
      <c r="F616" s="28" t="str">
        <f t="shared" ca="1" si="29"/>
        <v/>
      </c>
    </row>
    <row r="617" spans="2:6" x14ac:dyDescent="0.2">
      <c r="B617" t="str">
        <f>IFERROR(IF('PDCA review'!$D$2=Act!B618,Act!G618,""),"")</f>
        <v/>
      </c>
      <c r="C617">
        <f t="shared" si="27"/>
        <v>0</v>
      </c>
      <c r="D617">
        <f>SUM($C$3:C617)</f>
        <v>4</v>
      </c>
      <c r="E617" t="e">
        <f t="shared" si="28"/>
        <v>#N/A</v>
      </c>
      <c r="F617" s="28" t="str">
        <f t="shared" ca="1" si="29"/>
        <v/>
      </c>
    </row>
    <row r="618" spans="2:6" x14ac:dyDescent="0.2">
      <c r="B618" t="str">
        <f>IFERROR(IF('PDCA review'!$D$2=Act!B619,Act!G619,""),"")</f>
        <v/>
      </c>
      <c r="C618">
        <f t="shared" si="27"/>
        <v>0</v>
      </c>
      <c r="D618">
        <f>SUM($C$3:C618)</f>
        <v>4</v>
      </c>
      <c r="E618" t="e">
        <f t="shared" si="28"/>
        <v>#N/A</v>
      </c>
      <c r="F618" s="28" t="str">
        <f t="shared" ca="1" si="29"/>
        <v/>
      </c>
    </row>
    <row r="619" spans="2:6" x14ac:dyDescent="0.2">
      <c r="B619" t="str">
        <f>IFERROR(IF('PDCA review'!$D$2=Act!B620,Act!G620,""),"")</f>
        <v/>
      </c>
      <c r="C619">
        <f t="shared" si="27"/>
        <v>0</v>
      </c>
      <c r="D619">
        <f>SUM($C$3:C619)</f>
        <v>4</v>
      </c>
      <c r="E619" t="e">
        <f t="shared" si="28"/>
        <v>#N/A</v>
      </c>
      <c r="F619" s="28" t="str">
        <f t="shared" ca="1" si="29"/>
        <v/>
      </c>
    </row>
    <row r="620" spans="2:6" x14ac:dyDescent="0.2">
      <c r="B620" t="str">
        <f>IFERROR(IF('PDCA review'!$D$2=Act!B621,Act!G621,""),"")</f>
        <v/>
      </c>
      <c r="C620">
        <f t="shared" si="27"/>
        <v>0</v>
      </c>
      <c r="D620">
        <f>SUM($C$3:C620)</f>
        <v>4</v>
      </c>
      <c r="E620" t="e">
        <f t="shared" si="28"/>
        <v>#N/A</v>
      </c>
      <c r="F620" s="28" t="str">
        <f t="shared" ca="1" si="29"/>
        <v/>
      </c>
    </row>
    <row r="621" spans="2:6" x14ac:dyDescent="0.2">
      <c r="B621" t="str">
        <f>IFERROR(IF('PDCA review'!$D$2=Act!B622,Act!G622,""),"")</f>
        <v/>
      </c>
      <c r="C621">
        <f t="shared" si="27"/>
        <v>0</v>
      </c>
      <c r="D621">
        <f>SUM($C$3:C621)</f>
        <v>4</v>
      </c>
      <c r="E621" t="e">
        <f t="shared" si="28"/>
        <v>#N/A</v>
      </c>
      <c r="F621" s="28" t="str">
        <f t="shared" ca="1" si="29"/>
        <v/>
      </c>
    </row>
    <row r="622" spans="2:6" x14ac:dyDescent="0.2">
      <c r="B622" t="str">
        <f>IFERROR(IF('PDCA review'!$D$2=Act!B623,Act!G623,""),"")</f>
        <v/>
      </c>
      <c r="C622">
        <f t="shared" si="27"/>
        <v>0</v>
      </c>
      <c r="D622">
        <f>SUM($C$3:C622)</f>
        <v>4</v>
      </c>
      <c r="E622" t="e">
        <f t="shared" si="28"/>
        <v>#N/A</v>
      </c>
      <c r="F622" s="28" t="str">
        <f t="shared" ca="1" si="29"/>
        <v/>
      </c>
    </row>
    <row r="623" spans="2:6" x14ac:dyDescent="0.2">
      <c r="B623" t="str">
        <f>IFERROR(IF('PDCA review'!$D$2=Act!B624,Act!G624,""),"")</f>
        <v/>
      </c>
      <c r="C623">
        <f t="shared" si="27"/>
        <v>0</v>
      </c>
      <c r="D623">
        <f>SUM($C$3:C623)</f>
        <v>4</v>
      </c>
      <c r="E623" t="e">
        <f t="shared" si="28"/>
        <v>#N/A</v>
      </c>
      <c r="F623" s="28" t="str">
        <f t="shared" ca="1" si="29"/>
        <v/>
      </c>
    </row>
    <row r="624" spans="2:6" x14ac:dyDescent="0.2">
      <c r="B624" t="str">
        <f>IFERROR(IF('PDCA review'!$D$2=Act!B625,Act!G625,""),"")</f>
        <v/>
      </c>
      <c r="C624">
        <f t="shared" si="27"/>
        <v>0</v>
      </c>
      <c r="D624">
        <f>SUM($C$3:C624)</f>
        <v>4</v>
      </c>
      <c r="E624" t="e">
        <f t="shared" si="28"/>
        <v>#N/A</v>
      </c>
      <c r="F624" s="28" t="str">
        <f t="shared" ca="1" si="29"/>
        <v/>
      </c>
    </row>
    <row r="625" spans="2:6" x14ac:dyDescent="0.2">
      <c r="B625" t="str">
        <f>IFERROR(IF('PDCA review'!$D$2=Act!B626,Act!G626,""),"")</f>
        <v/>
      </c>
      <c r="C625">
        <f t="shared" si="27"/>
        <v>0</v>
      </c>
      <c r="D625">
        <f>SUM($C$3:C625)</f>
        <v>4</v>
      </c>
      <c r="E625" t="e">
        <f t="shared" si="28"/>
        <v>#N/A</v>
      </c>
      <c r="F625" s="28" t="str">
        <f t="shared" ca="1" si="29"/>
        <v/>
      </c>
    </row>
    <row r="626" spans="2:6" x14ac:dyDescent="0.2">
      <c r="B626" t="str">
        <f>IFERROR(IF('PDCA review'!$D$2=Act!B627,Act!G627,""),"")</f>
        <v/>
      </c>
      <c r="C626">
        <f t="shared" si="27"/>
        <v>0</v>
      </c>
      <c r="D626">
        <f>SUM($C$3:C626)</f>
        <v>4</v>
      </c>
      <c r="E626" t="e">
        <f t="shared" si="28"/>
        <v>#N/A</v>
      </c>
      <c r="F626" s="28" t="str">
        <f t="shared" ca="1" si="29"/>
        <v/>
      </c>
    </row>
    <row r="627" spans="2:6" x14ac:dyDescent="0.2">
      <c r="B627" t="str">
        <f>IFERROR(IF('PDCA review'!$D$2=Act!B628,Act!G628,""),"")</f>
        <v/>
      </c>
      <c r="C627">
        <f t="shared" si="27"/>
        <v>0</v>
      </c>
      <c r="D627">
        <f>SUM($C$3:C627)</f>
        <v>4</v>
      </c>
      <c r="E627" t="e">
        <f t="shared" si="28"/>
        <v>#N/A</v>
      </c>
      <c r="F627" s="28" t="str">
        <f t="shared" ca="1" si="29"/>
        <v/>
      </c>
    </row>
    <row r="628" spans="2:6" x14ac:dyDescent="0.2">
      <c r="B628" t="str">
        <f>IFERROR(IF('PDCA review'!$D$2=Act!B629,Act!G629,""),"")</f>
        <v/>
      </c>
      <c r="C628">
        <f t="shared" si="27"/>
        <v>0</v>
      </c>
      <c r="D628">
        <f>SUM($C$3:C628)</f>
        <v>4</v>
      </c>
      <c r="E628" t="e">
        <f t="shared" si="28"/>
        <v>#N/A</v>
      </c>
      <c r="F628" s="28" t="str">
        <f t="shared" ca="1" si="29"/>
        <v/>
      </c>
    </row>
    <row r="629" spans="2:6" x14ac:dyDescent="0.2">
      <c r="B629" t="str">
        <f>IFERROR(IF('PDCA review'!$D$2=Act!B630,Act!G630,""),"")</f>
        <v/>
      </c>
      <c r="C629">
        <f t="shared" si="27"/>
        <v>0</v>
      </c>
      <c r="D629">
        <f>SUM($C$3:C629)</f>
        <v>4</v>
      </c>
      <c r="E629" t="e">
        <f t="shared" si="28"/>
        <v>#N/A</v>
      </c>
      <c r="F629" s="28" t="str">
        <f t="shared" ca="1" si="29"/>
        <v/>
      </c>
    </row>
    <row r="630" spans="2:6" x14ac:dyDescent="0.2">
      <c r="B630" t="str">
        <f>IFERROR(IF('PDCA review'!$D$2=Act!B631,Act!G631,""),"")</f>
        <v/>
      </c>
      <c r="C630">
        <f t="shared" si="27"/>
        <v>0</v>
      </c>
      <c r="D630">
        <f>SUM($C$3:C630)</f>
        <v>4</v>
      </c>
      <c r="E630" t="e">
        <f t="shared" si="28"/>
        <v>#N/A</v>
      </c>
      <c r="F630" s="28" t="str">
        <f t="shared" ca="1" si="29"/>
        <v/>
      </c>
    </row>
    <row r="631" spans="2:6" x14ac:dyDescent="0.2">
      <c r="B631" t="str">
        <f>IFERROR(IF('PDCA review'!$D$2=Act!B632,Act!G632,""),"")</f>
        <v/>
      </c>
      <c r="C631">
        <f t="shared" si="27"/>
        <v>0</v>
      </c>
      <c r="D631">
        <f>SUM($C$3:C631)</f>
        <v>4</v>
      </c>
      <c r="E631" t="e">
        <f t="shared" si="28"/>
        <v>#N/A</v>
      </c>
      <c r="F631" s="28" t="str">
        <f t="shared" ca="1" si="29"/>
        <v/>
      </c>
    </row>
    <row r="632" spans="2:6" x14ac:dyDescent="0.2">
      <c r="B632" t="str">
        <f>IFERROR(IF('PDCA review'!$D$2=Act!B633,Act!G633,""),"")</f>
        <v/>
      </c>
      <c r="C632">
        <f t="shared" si="27"/>
        <v>0</v>
      </c>
      <c r="D632">
        <f>SUM($C$3:C632)</f>
        <v>4</v>
      </c>
      <c r="E632" t="e">
        <f t="shared" si="28"/>
        <v>#N/A</v>
      </c>
      <c r="F632" s="28" t="str">
        <f t="shared" ca="1" si="29"/>
        <v/>
      </c>
    </row>
    <row r="633" spans="2:6" x14ac:dyDescent="0.2">
      <c r="B633" t="str">
        <f>IFERROR(IF('PDCA review'!$D$2=Act!B634,Act!G634,""),"")</f>
        <v/>
      </c>
      <c r="C633">
        <f t="shared" si="27"/>
        <v>0</v>
      </c>
      <c r="D633">
        <f>SUM($C$3:C633)</f>
        <v>4</v>
      </c>
      <c r="E633" t="e">
        <f t="shared" si="28"/>
        <v>#N/A</v>
      </c>
      <c r="F633" s="28" t="str">
        <f t="shared" ca="1" si="29"/>
        <v/>
      </c>
    </row>
    <row r="634" spans="2:6" x14ac:dyDescent="0.2">
      <c r="B634" t="str">
        <f>IFERROR(IF('PDCA review'!$D$2=Act!B635,Act!G635,""),"")</f>
        <v/>
      </c>
      <c r="C634">
        <f t="shared" si="27"/>
        <v>0</v>
      </c>
      <c r="D634">
        <f>SUM($C$3:C634)</f>
        <v>4</v>
      </c>
      <c r="E634" t="e">
        <f t="shared" si="28"/>
        <v>#N/A</v>
      </c>
      <c r="F634" s="28" t="str">
        <f t="shared" ca="1" si="29"/>
        <v/>
      </c>
    </row>
    <row r="635" spans="2:6" x14ac:dyDescent="0.2">
      <c r="B635" t="str">
        <f>IFERROR(IF('PDCA review'!$D$2=Act!B636,Act!G636,""),"")</f>
        <v/>
      </c>
      <c r="C635">
        <f t="shared" si="27"/>
        <v>0</v>
      </c>
      <c r="D635">
        <f>SUM($C$3:C635)</f>
        <v>4</v>
      </c>
      <c r="E635" t="e">
        <f t="shared" si="28"/>
        <v>#N/A</v>
      </c>
      <c r="F635" s="28" t="str">
        <f t="shared" ca="1" si="29"/>
        <v/>
      </c>
    </row>
    <row r="636" spans="2:6" x14ac:dyDescent="0.2">
      <c r="B636" t="str">
        <f>IFERROR(IF('PDCA review'!$D$2=Act!B637,Act!G637,""),"")</f>
        <v/>
      </c>
      <c r="C636">
        <f t="shared" si="27"/>
        <v>0</v>
      </c>
      <c r="D636">
        <f>SUM($C$3:C636)</f>
        <v>4</v>
      </c>
      <c r="E636" t="e">
        <f t="shared" si="28"/>
        <v>#N/A</v>
      </c>
      <c r="F636" s="28" t="str">
        <f t="shared" ca="1" si="29"/>
        <v/>
      </c>
    </row>
    <row r="637" spans="2:6" x14ac:dyDescent="0.2">
      <c r="B637" t="str">
        <f>IFERROR(IF('PDCA review'!$D$2=Act!B638,Act!G638,""),"")</f>
        <v/>
      </c>
      <c r="C637">
        <f t="shared" si="27"/>
        <v>0</v>
      </c>
      <c r="D637">
        <f>SUM($C$3:C637)</f>
        <v>4</v>
      </c>
      <c r="E637" t="e">
        <f t="shared" si="28"/>
        <v>#N/A</v>
      </c>
      <c r="F637" s="28" t="str">
        <f t="shared" ca="1" si="29"/>
        <v/>
      </c>
    </row>
    <row r="638" spans="2:6" x14ac:dyDescent="0.2">
      <c r="B638" t="str">
        <f>IFERROR(IF('PDCA review'!$D$2=Act!B639,Act!G639,""),"")</f>
        <v/>
      </c>
      <c r="C638">
        <f t="shared" si="27"/>
        <v>0</v>
      </c>
      <c r="D638">
        <f>SUM($C$3:C638)</f>
        <v>4</v>
      </c>
      <c r="E638" t="e">
        <f t="shared" si="28"/>
        <v>#N/A</v>
      </c>
      <c r="F638" s="28" t="str">
        <f t="shared" ca="1" si="29"/>
        <v/>
      </c>
    </row>
    <row r="639" spans="2:6" x14ac:dyDescent="0.2">
      <c r="B639" t="str">
        <f>IFERROR(IF('PDCA review'!$D$2=Act!B640,Act!G640,""),"")</f>
        <v/>
      </c>
      <c r="C639">
        <f t="shared" si="27"/>
        <v>0</v>
      </c>
      <c r="D639">
        <f>SUM($C$3:C639)</f>
        <v>4</v>
      </c>
      <c r="E639" t="e">
        <f t="shared" si="28"/>
        <v>#N/A</v>
      </c>
      <c r="F639" s="28" t="str">
        <f t="shared" ca="1" si="29"/>
        <v/>
      </c>
    </row>
    <row r="640" spans="2:6" x14ac:dyDescent="0.2">
      <c r="B640" t="str">
        <f>IFERROR(IF('PDCA review'!$D$2=Act!B641,Act!G641,""),"")</f>
        <v/>
      </c>
      <c r="C640">
        <f t="shared" si="27"/>
        <v>0</v>
      </c>
      <c r="D640">
        <f>SUM($C$3:C640)</f>
        <v>4</v>
      </c>
      <c r="E640" t="e">
        <f t="shared" si="28"/>
        <v>#N/A</v>
      </c>
      <c r="F640" s="28" t="str">
        <f t="shared" ca="1" si="29"/>
        <v/>
      </c>
    </row>
    <row r="641" spans="2:6" x14ac:dyDescent="0.2">
      <c r="B641" t="str">
        <f>IFERROR(IF('PDCA review'!$D$2=Act!B642,Act!G642,""),"")</f>
        <v/>
      </c>
      <c r="C641">
        <f t="shared" si="27"/>
        <v>0</v>
      </c>
      <c r="D641">
        <f>SUM($C$3:C641)</f>
        <v>4</v>
      </c>
      <c r="E641" t="e">
        <f t="shared" si="28"/>
        <v>#N/A</v>
      </c>
      <c r="F641" s="28" t="str">
        <f t="shared" ca="1" si="29"/>
        <v/>
      </c>
    </row>
    <row r="642" spans="2:6" x14ac:dyDescent="0.2">
      <c r="B642" t="str">
        <f>IFERROR(IF('PDCA review'!$D$2=Act!B643,Act!G643,""),"")</f>
        <v/>
      </c>
      <c r="C642">
        <f t="shared" si="27"/>
        <v>0</v>
      </c>
      <c r="D642">
        <f>SUM($C$3:C642)</f>
        <v>4</v>
      </c>
      <c r="E642" t="e">
        <f t="shared" si="28"/>
        <v>#N/A</v>
      </c>
      <c r="F642" s="28" t="str">
        <f t="shared" ca="1" si="29"/>
        <v/>
      </c>
    </row>
    <row r="643" spans="2:6" x14ac:dyDescent="0.2">
      <c r="B643" t="str">
        <f>IFERROR(IF('PDCA review'!$D$2=Act!B644,Act!G644,""),"")</f>
        <v/>
      </c>
      <c r="C643">
        <f t="shared" si="27"/>
        <v>0</v>
      </c>
      <c r="D643">
        <f>SUM($C$3:C643)</f>
        <v>4</v>
      </c>
      <c r="E643" t="e">
        <f t="shared" si="28"/>
        <v>#N/A</v>
      </c>
      <c r="F643" s="28" t="str">
        <f t="shared" ca="1" si="29"/>
        <v/>
      </c>
    </row>
    <row r="644" spans="2:6" x14ac:dyDescent="0.2">
      <c r="B644" t="str">
        <f>IFERROR(IF('PDCA review'!$D$2=Act!B645,Act!G645,""),"")</f>
        <v/>
      </c>
      <c r="C644">
        <f t="shared" ref="C644:C707" si="30">IF(B644&lt;&gt;"",1,0)</f>
        <v>0</v>
      </c>
      <c r="D644">
        <f>SUM($C$3:C644)</f>
        <v>4</v>
      </c>
      <c r="E644" t="e">
        <f t="shared" ref="E644:E707" si="31">MATCH(ROW()-$D$2,$D$3:$D$2000,0)+$D$2</f>
        <v>#N/A</v>
      </c>
      <c r="F644" s="28" t="str">
        <f t="shared" ref="F644:F707" ca="1" si="32">IFERROR(INDIRECT("B"&amp;E644),"")</f>
        <v/>
      </c>
    </row>
    <row r="645" spans="2:6" x14ac:dyDescent="0.2">
      <c r="B645" t="str">
        <f>IFERROR(IF('PDCA review'!$D$2=Act!B646,Act!G646,""),"")</f>
        <v/>
      </c>
      <c r="C645">
        <f t="shared" si="30"/>
        <v>0</v>
      </c>
      <c r="D645">
        <f>SUM($C$3:C645)</f>
        <v>4</v>
      </c>
      <c r="E645" t="e">
        <f t="shared" si="31"/>
        <v>#N/A</v>
      </c>
      <c r="F645" s="28" t="str">
        <f t="shared" ca="1" si="32"/>
        <v/>
      </c>
    </row>
    <row r="646" spans="2:6" x14ac:dyDescent="0.2">
      <c r="B646" t="str">
        <f>IFERROR(IF('PDCA review'!$D$2=Act!B647,Act!G647,""),"")</f>
        <v/>
      </c>
      <c r="C646">
        <f t="shared" si="30"/>
        <v>0</v>
      </c>
      <c r="D646">
        <f>SUM($C$3:C646)</f>
        <v>4</v>
      </c>
      <c r="E646" t="e">
        <f t="shared" si="31"/>
        <v>#N/A</v>
      </c>
      <c r="F646" s="28" t="str">
        <f t="shared" ca="1" si="32"/>
        <v/>
      </c>
    </row>
    <row r="647" spans="2:6" x14ac:dyDescent="0.2">
      <c r="B647" t="str">
        <f>IFERROR(IF('PDCA review'!$D$2=Act!B648,Act!G648,""),"")</f>
        <v/>
      </c>
      <c r="C647">
        <f t="shared" si="30"/>
        <v>0</v>
      </c>
      <c r="D647">
        <f>SUM($C$3:C647)</f>
        <v>4</v>
      </c>
      <c r="E647" t="e">
        <f t="shared" si="31"/>
        <v>#N/A</v>
      </c>
      <c r="F647" s="28" t="str">
        <f t="shared" ca="1" si="32"/>
        <v/>
      </c>
    </row>
    <row r="648" spans="2:6" x14ac:dyDescent="0.2">
      <c r="B648" t="str">
        <f>IFERROR(IF('PDCA review'!$D$2=Act!B649,Act!G649,""),"")</f>
        <v/>
      </c>
      <c r="C648">
        <f t="shared" si="30"/>
        <v>0</v>
      </c>
      <c r="D648">
        <f>SUM($C$3:C648)</f>
        <v>4</v>
      </c>
      <c r="E648" t="e">
        <f t="shared" si="31"/>
        <v>#N/A</v>
      </c>
      <c r="F648" s="28" t="str">
        <f t="shared" ca="1" si="32"/>
        <v/>
      </c>
    </row>
    <row r="649" spans="2:6" x14ac:dyDescent="0.2">
      <c r="B649" t="str">
        <f>IFERROR(IF('PDCA review'!$D$2=Act!B650,Act!G650,""),"")</f>
        <v/>
      </c>
      <c r="C649">
        <f t="shared" si="30"/>
        <v>0</v>
      </c>
      <c r="D649">
        <f>SUM($C$3:C649)</f>
        <v>4</v>
      </c>
      <c r="E649" t="e">
        <f t="shared" si="31"/>
        <v>#N/A</v>
      </c>
      <c r="F649" s="28" t="str">
        <f t="shared" ca="1" si="32"/>
        <v/>
      </c>
    </row>
    <row r="650" spans="2:6" x14ac:dyDescent="0.2">
      <c r="B650" t="str">
        <f>IFERROR(IF('PDCA review'!$D$2=Act!B651,Act!G651,""),"")</f>
        <v/>
      </c>
      <c r="C650">
        <f t="shared" si="30"/>
        <v>0</v>
      </c>
      <c r="D650">
        <f>SUM($C$3:C650)</f>
        <v>4</v>
      </c>
      <c r="E650" t="e">
        <f t="shared" si="31"/>
        <v>#N/A</v>
      </c>
      <c r="F650" s="28" t="str">
        <f t="shared" ca="1" si="32"/>
        <v/>
      </c>
    </row>
    <row r="651" spans="2:6" x14ac:dyDescent="0.2">
      <c r="B651" t="str">
        <f>IFERROR(IF('PDCA review'!$D$2=Act!B652,Act!G652,""),"")</f>
        <v/>
      </c>
      <c r="C651">
        <f t="shared" si="30"/>
        <v>0</v>
      </c>
      <c r="D651">
        <f>SUM($C$3:C651)</f>
        <v>4</v>
      </c>
      <c r="E651" t="e">
        <f t="shared" si="31"/>
        <v>#N/A</v>
      </c>
      <c r="F651" s="28" t="str">
        <f t="shared" ca="1" si="32"/>
        <v/>
      </c>
    </row>
    <row r="652" spans="2:6" x14ac:dyDescent="0.2">
      <c r="B652" t="str">
        <f>IFERROR(IF('PDCA review'!$D$2=Act!B653,Act!G653,""),"")</f>
        <v/>
      </c>
      <c r="C652">
        <f t="shared" si="30"/>
        <v>0</v>
      </c>
      <c r="D652">
        <f>SUM($C$3:C652)</f>
        <v>4</v>
      </c>
      <c r="E652" t="e">
        <f t="shared" si="31"/>
        <v>#N/A</v>
      </c>
      <c r="F652" s="28" t="str">
        <f t="shared" ca="1" si="32"/>
        <v/>
      </c>
    </row>
    <row r="653" spans="2:6" x14ac:dyDescent="0.2">
      <c r="B653" t="str">
        <f>IFERROR(IF('PDCA review'!$D$2=Act!B654,Act!G654,""),"")</f>
        <v/>
      </c>
      <c r="C653">
        <f t="shared" si="30"/>
        <v>0</v>
      </c>
      <c r="D653">
        <f>SUM($C$3:C653)</f>
        <v>4</v>
      </c>
      <c r="E653" t="e">
        <f t="shared" si="31"/>
        <v>#N/A</v>
      </c>
      <c r="F653" s="28" t="str">
        <f t="shared" ca="1" si="32"/>
        <v/>
      </c>
    </row>
    <row r="654" spans="2:6" x14ac:dyDescent="0.2">
      <c r="B654" t="str">
        <f>IFERROR(IF('PDCA review'!$D$2=Act!B655,Act!G655,""),"")</f>
        <v/>
      </c>
      <c r="C654">
        <f t="shared" si="30"/>
        <v>0</v>
      </c>
      <c r="D654">
        <f>SUM($C$3:C654)</f>
        <v>4</v>
      </c>
      <c r="E654" t="e">
        <f t="shared" si="31"/>
        <v>#N/A</v>
      </c>
      <c r="F654" s="28" t="str">
        <f t="shared" ca="1" si="32"/>
        <v/>
      </c>
    </row>
    <row r="655" spans="2:6" x14ac:dyDescent="0.2">
      <c r="B655" t="str">
        <f>IFERROR(IF('PDCA review'!$D$2=Act!B656,Act!G656,""),"")</f>
        <v/>
      </c>
      <c r="C655">
        <f t="shared" si="30"/>
        <v>0</v>
      </c>
      <c r="D655">
        <f>SUM($C$3:C655)</f>
        <v>4</v>
      </c>
      <c r="E655" t="e">
        <f t="shared" si="31"/>
        <v>#N/A</v>
      </c>
      <c r="F655" s="28" t="str">
        <f t="shared" ca="1" si="32"/>
        <v/>
      </c>
    </row>
    <row r="656" spans="2:6" x14ac:dyDescent="0.2">
      <c r="B656" t="str">
        <f>IFERROR(IF('PDCA review'!$D$2=Act!B657,Act!G657,""),"")</f>
        <v/>
      </c>
      <c r="C656">
        <f t="shared" si="30"/>
        <v>0</v>
      </c>
      <c r="D656">
        <f>SUM($C$3:C656)</f>
        <v>4</v>
      </c>
      <c r="E656" t="e">
        <f t="shared" si="31"/>
        <v>#N/A</v>
      </c>
      <c r="F656" s="28" t="str">
        <f t="shared" ca="1" si="32"/>
        <v/>
      </c>
    </row>
    <row r="657" spans="2:6" x14ac:dyDescent="0.2">
      <c r="B657" t="str">
        <f>IFERROR(IF('PDCA review'!$D$2=Act!B658,Act!G658,""),"")</f>
        <v/>
      </c>
      <c r="C657">
        <f t="shared" si="30"/>
        <v>0</v>
      </c>
      <c r="D657">
        <f>SUM($C$3:C657)</f>
        <v>4</v>
      </c>
      <c r="E657" t="e">
        <f t="shared" si="31"/>
        <v>#N/A</v>
      </c>
      <c r="F657" s="28" t="str">
        <f t="shared" ca="1" si="32"/>
        <v/>
      </c>
    </row>
    <row r="658" spans="2:6" x14ac:dyDescent="0.2">
      <c r="B658" t="str">
        <f>IFERROR(IF('PDCA review'!$D$2=Act!B659,Act!G659,""),"")</f>
        <v/>
      </c>
      <c r="C658">
        <f t="shared" si="30"/>
        <v>0</v>
      </c>
      <c r="D658">
        <f>SUM($C$3:C658)</f>
        <v>4</v>
      </c>
      <c r="E658" t="e">
        <f t="shared" si="31"/>
        <v>#N/A</v>
      </c>
      <c r="F658" s="28" t="str">
        <f t="shared" ca="1" si="32"/>
        <v/>
      </c>
    </row>
    <row r="659" spans="2:6" x14ac:dyDescent="0.2">
      <c r="B659" t="str">
        <f>IFERROR(IF('PDCA review'!$D$2=Act!B660,Act!G660,""),"")</f>
        <v/>
      </c>
      <c r="C659">
        <f t="shared" si="30"/>
        <v>0</v>
      </c>
      <c r="D659">
        <f>SUM($C$3:C659)</f>
        <v>4</v>
      </c>
      <c r="E659" t="e">
        <f t="shared" si="31"/>
        <v>#N/A</v>
      </c>
      <c r="F659" s="28" t="str">
        <f t="shared" ca="1" si="32"/>
        <v/>
      </c>
    </row>
    <row r="660" spans="2:6" x14ac:dyDescent="0.2">
      <c r="B660" t="str">
        <f>IFERROR(IF('PDCA review'!$D$2=Act!B661,Act!G661,""),"")</f>
        <v/>
      </c>
      <c r="C660">
        <f t="shared" si="30"/>
        <v>0</v>
      </c>
      <c r="D660">
        <f>SUM($C$3:C660)</f>
        <v>4</v>
      </c>
      <c r="E660" t="e">
        <f t="shared" si="31"/>
        <v>#N/A</v>
      </c>
      <c r="F660" s="28" t="str">
        <f t="shared" ca="1" si="32"/>
        <v/>
      </c>
    </row>
    <row r="661" spans="2:6" x14ac:dyDescent="0.2">
      <c r="B661" t="str">
        <f>IFERROR(IF('PDCA review'!$D$2=Act!B662,Act!G662,""),"")</f>
        <v/>
      </c>
      <c r="C661">
        <f t="shared" si="30"/>
        <v>0</v>
      </c>
      <c r="D661">
        <f>SUM($C$3:C661)</f>
        <v>4</v>
      </c>
      <c r="E661" t="e">
        <f t="shared" si="31"/>
        <v>#N/A</v>
      </c>
      <c r="F661" s="28" t="str">
        <f t="shared" ca="1" si="32"/>
        <v/>
      </c>
    </row>
    <row r="662" spans="2:6" x14ac:dyDescent="0.2">
      <c r="B662" t="str">
        <f>IFERROR(IF('PDCA review'!$D$2=Act!B663,Act!G663,""),"")</f>
        <v/>
      </c>
      <c r="C662">
        <f t="shared" si="30"/>
        <v>0</v>
      </c>
      <c r="D662">
        <f>SUM($C$3:C662)</f>
        <v>4</v>
      </c>
      <c r="E662" t="e">
        <f t="shared" si="31"/>
        <v>#N/A</v>
      </c>
      <c r="F662" s="28" t="str">
        <f t="shared" ca="1" si="32"/>
        <v/>
      </c>
    </row>
    <row r="663" spans="2:6" x14ac:dyDescent="0.2">
      <c r="B663" t="str">
        <f>IFERROR(IF('PDCA review'!$D$2=Act!B664,Act!G664,""),"")</f>
        <v/>
      </c>
      <c r="C663">
        <f t="shared" si="30"/>
        <v>0</v>
      </c>
      <c r="D663">
        <f>SUM($C$3:C663)</f>
        <v>4</v>
      </c>
      <c r="E663" t="e">
        <f t="shared" si="31"/>
        <v>#N/A</v>
      </c>
      <c r="F663" s="28" t="str">
        <f t="shared" ca="1" si="32"/>
        <v/>
      </c>
    </row>
    <row r="664" spans="2:6" x14ac:dyDescent="0.2">
      <c r="B664" t="str">
        <f>IFERROR(IF('PDCA review'!$D$2=Act!B665,Act!G665,""),"")</f>
        <v/>
      </c>
      <c r="C664">
        <f t="shared" si="30"/>
        <v>0</v>
      </c>
      <c r="D664">
        <f>SUM($C$3:C664)</f>
        <v>4</v>
      </c>
      <c r="E664" t="e">
        <f t="shared" si="31"/>
        <v>#N/A</v>
      </c>
      <c r="F664" s="28" t="str">
        <f t="shared" ca="1" si="32"/>
        <v/>
      </c>
    </row>
    <row r="665" spans="2:6" x14ac:dyDescent="0.2">
      <c r="B665" t="str">
        <f>IFERROR(IF('PDCA review'!$D$2=Act!B666,Act!G666,""),"")</f>
        <v/>
      </c>
      <c r="C665">
        <f t="shared" si="30"/>
        <v>0</v>
      </c>
      <c r="D665">
        <f>SUM($C$3:C665)</f>
        <v>4</v>
      </c>
      <c r="E665" t="e">
        <f t="shared" si="31"/>
        <v>#N/A</v>
      </c>
      <c r="F665" s="28" t="str">
        <f t="shared" ca="1" si="32"/>
        <v/>
      </c>
    </row>
    <row r="666" spans="2:6" x14ac:dyDescent="0.2">
      <c r="B666" t="str">
        <f>IFERROR(IF('PDCA review'!$D$2=Act!B667,Act!G667,""),"")</f>
        <v/>
      </c>
      <c r="C666">
        <f t="shared" si="30"/>
        <v>0</v>
      </c>
      <c r="D666">
        <f>SUM($C$3:C666)</f>
        <v>4</v>
      </c>
      <c r="E666" t="e">
        <f t="shared" si="31"/>
        <v>#N/A</v>
      </c>
      <c r="F666" s="28" t="str">
        <f t="shared" ca="1" si="32"/>
        <v/>
      </c>
    </row>
    <row r="667" spans="2:6" x14ac:dyDescent="0.2">
      <c r="B667" t="str">
        <f>IFERROR(IF('PDCA review'!$D$2=Act!B668,Act!G668,""),"")</f>
        <v/>
      </c>
      <c r="C667">
        <f t="shared" si="30"/>
        <v>0</v>
      </c>
      <c r="D667">
        <f>SUM($C$3:C667)</f>
        <v>4</v>
      </c>
      <c r="E667" t="e">
        <f t="shared" si="31"/>
        <v>#N/A</v>
      </c>
      <c r="F667" s="28" t="str">
        <f t="shared" ca="1" si="32"/>
        <v/>
      </c>
    </row>
    <row r="668" spans="2:6" x14ac:dyDescent="0.2">
      <c r="B668" t="str">
        <f>IFERROR(IF('PDCA review'!$D$2=Act!B669,Act!G669,""),"")</f>
        <v/>
      </c>
      <c r="C668">
        <f t="shared" si="30"/>
        <v>0</v>
      </c>
      <c r="D668">
        <f>SUM($C$3:C668)</f>
        <v>4</v>
      </c>
      <c r="E668" t="e">
        <f t="shared" si="31"/>
        <v>#N/A</v>
      </c>
      <c r="F668" s="28" t="str">
        <f t="shared" ca="1" si="32"/>
        <v/>
      </c>
    </row>
    <row r="669" spans="2:6" x14ac:dyDescent="0.2">
      <c r="B669" t="str">
        <f>IFERROR(IF('PDCA review'!$D$2=Act!B670,Act!G670,""),"")</f>
        <v/>
      </c>
      <c r="C669">
        <f t="shared" si="30"/>
        <v>0</v>
      </c>
      <c r="D669">
        <f>SUM($C$3:C669)</f>
        <v>4</v>
      </c>
      <c r="E669" t="e">
        <f t="shared" si="31"/>
        <v>#N/A</v>
      </c>
      <c r="F669" s="28" t="str">
        <f t="shared" ca="1" si="32"/>
        <v/>
      </c>
    </row>
    <row r="670" spans="2:6" x14ac:dyDescent="0.2">
      <c r="B670" t="str">
        <f>IFERROR(IF('PDCA review'!$D$2=Act!B671,Act!G671,""),"")</f>
        <v/>
      </c>
      <c r="C670">
        <f t="shared" si="30"/>
        <v>0</v>
      </c>
      <c r="D670">
        <f>SUM($C$3:C670)</f>
        <v>4</v>
      </c>
      <c r="E670" t="e">
        <f t="shared" si="31"/>
        <v>#N/A</v>
      </c>
      <c r="F670" s="28" t="str">
        <f t="shared" ca="1" si="32"/>
        <v/>
      </c>
    </row>
    <row r="671" spans="2:6" x14ac:dyDescent="0.2">
      <c r="B671" t="str">
        <f>IFERROR(IF('PDCA review'!$D$2=Act!B672,Act!G672,""),"")</f>
        <v/>
      </c>
      <c r="C671">
        <f t="shared" si="30"/>
        <v>0</v>
      </c>
      <c r="D671">
        <f>SUM($C$3:C671)</f>
        <v>4</v>
      </c>
      <c r="E671" t="e">
        <f t="shared" si="31"/>
        <v>#N/A</v>
      </c>
      <c r="F671" s="28" t="str">
        <f t="shared" ca="1" si="32"/>
        <v/>
      </c>
    </row>
    <row r="672" spans="2:6" x14ac:dyDescent="0.2">
      <c r="B672" t="str">
        <f>IFERROR(IF('PDCA review'!$D$2=Act!B673,Act!G673,""),"")</f>
        <v/>
      </c>
      <c r="C672">
        <f t="shared" si="30"/>
        <v>0</v>
      </c>
      <c r="D672">
        <f>SUM($C$3:C672)</f>
        <v>4</v>
      </c>
      <c r="E672" t="e">
        <f t="shared" si="31"/>
        <v>#N/A</v>
      </c>
      <c r="F672" s="28" t="str">
        <f t="shared" ca="1" si="32"/>
        <v/>
      </c>
    </row>
    <row r="673" spans="2:6" x14ac:dyDescent="0.2">
      <c r="B673" t="str">
        <f>IFERROR(IF('PDCA review'!$D$2=Act!B674,Act!G674,""),"")</f>
        <v/>
      </c>
      <c r="C673">
        <f t="shared" si="30"/>
        <v>0</v>
      </c>
      <c r="D673">
        <f>SUM($C$3:C673)</f>
        <v>4</v>
      </c>
      <c r="E673" t="e">
        <f t="shared" si="31"/>
        <v>#N/A</v>
      </c>
      <c r="F673" s="28" t="str">
        <f t="shared" ca="1" si="32"/>
        <v/>
      </c>
    </row>
    <row r="674" spans="2:6" x14ac:dyDescent="0.2">
      <c r="B674" t="str">
        <f>IFERROR(IF('PDCA review'!$D$2=Act!B675,Act!G675,""),"")</f>
        <v/>
      </c>
      <c r="C674">
        <f t="shared" si="30"/>
        <v>0</v>
      </c>
      <c r="D674">
        <f>SUM($C$3:C674)</f>
        <v>4</v>
      </c>
      <c r="E674" t="e">
        <f t="shared" si="31"/>
        <v>#N/A</v>
      </c>
      <c r="F674" s="28" t="str">
        <f t="shared" ca="1" si="32"/>
        <v/>
      </c>
    </row>
    <row r="675" spans="2:6" x14ac:dyDescent="0.2">
      <c r="B675" t="str">
        <f>IFERROR(IF('PDCA review'!$D$2=Act!B676,Act!G676,""),"")</f>
        <v/>
      </c>
      <c r="C675">
        <f t="shared" si="30"/>
        <v>0</v>
      </c>
      <c r="D675">
        <f>SUM($C$3:C675)</f>
        <v>4</v>
      </c>
      <c r="E675" t="e">
        <f t="shared" si="31"/>
        <v>#N/A</v>
      </c>
      <c r="F675" s="28" t="str">
        <f t="shared" ca="1" si="32"/>
        <v/>
      </c>
    </row>
    <row r="676" spans="2:6" x14ac:dyDescent="0.2">
      <c r="B676" t="str">
        <f>IFERROR(IF('PDCA review'!$D$2=Act!B677,Act!G677,""),"")</f>
        <v/>
      </c>
      <c r="C676">
        <f t="shared" si="30"/>
        <v>0</v>
      </c>
      <c r="D676">
        <f>SUM($C$3:C676)</f>
        <v>4</v>
      </c>
      <c r="E676" t="e">
        <f t="shared" si="31"/>
        <v>#N/A</v>
      </c>
      <c r="F676" s="28" t="str">
        <f t="shared" ca="1" si="32"/>
        <v/>
      </c>
    </row>
    <row r="677" spans="2:6" x14ac:dyDescent="0.2">
      <c r="B677" t="str">
        <f>IFERROR(IF('PDCA review'!$D$2=Act!B678,Act!G678,""),"")</f>
        <v/>
      </c>
      <c r="C677">
        <f t="shared" si="30"/>
        <v>0</v>
      </c>
      <c r="D677">
        <f>SUM($C$3:C677)</f>
        <v>4</v>
      </c>
      <c r="E677" t="e">
        <f t="shared" si="31"/>
        <v>#N/A</v>
      </c>
      <c r="F677" s="28" t="str">
        <f t="shared" ca="1" si="32"/>
        <v/>
      </c>
    </row>
    <row r="678" spans="2:6" x14ac:dyDescent="0.2">
      <c r="B678" t="str">
        <f>IFERROR(IF('PDCA review'!$D$2=Act!B679,Act!G679,""),"")</f>
        <v/>
      </c>
      <c r="C678">
        <f t="shared" si="30"/>
        <v>0</v>
      </c>
      <c r="D678">
        <f>SUM($C$3:C678)</f>
        <v>4</v>
      </c>
      <c r="E678" t="e">
        <f t="shared" si="31"/>
        <v>#N/A</v>
      </c>
      <c r="F678" s="28" t="str">
        <f t="shared" ca="1" si="32"/>
        <v/>
      </c>
    </row>
    <row r="679" spans="2:6" x14ac:dyDescent="0.2">
      <c r="B679" t="str">
        <f>IFERROR(IF('PDCA review'!$D$2=Act!B680,Act!G680,""),"")</f>
        <v/>
      </c>
      <c r="C679">
        <f t="shared" si="30"/>
        <v>0</v>
      </c>
      <c r="D679">
        <f>SUM($C$3:C679)</f>
        <v>4</v>
      </c>
      <c r="E679" t="e">
        <f t="shared" si="31"/>
        <v>#N/A</v>
      </c>
      <c r="F679" s="28" t="str">
        <f t="shared" ca="1" si="32"/>
        <v/>
      </c>
    </row>
    <row r="680" spans="2:6" x14ac:dyDescent="0.2">
      <c r="B680" t="str">
        <f>IFERROR(IF('PDCA review'!$D$2=Act!B681,Act!G681,""),"")</f>
        <v/>
      </c>
      <c r="C680">
        <f t="shared" si="30"/>
        <v>0</v>
      </c>
      <c r="D680">
        <f>SUM($C$3:C680)</f>
        <v>4</v>
      </c>
      <c r="E680" t="e">
        <f t="shared" si="31"/>
        <v>#N/A</v>
      </c>
      <c r="F680" s="28" t="str">
        <f t="shared" ca="1" si="32"/>
        <v/>
      </c>
    </row>
    <row r="681" spans="2:6" x14ac:dyDescent="0.2">
      <c r="B681" t="str">
        <f>IFERROR(IF('PDCA review'!$D$2=Act!B682,Act!G682,""),"")</f>
        <v/>
      </c>
      <c r="C681">
        <f t="shared" si="30"/>
        <v>0</v>
      </c>
      <c r="D681">
        <f>SUM($C$3:C681)</f>
        <v>4</v>
      </c>
      <c r="E681" t="e">
        <f t="shared" si="31"/>
        <v>#N/A</v>
      </c>
      <c r="F681" s="28" t="str">
        <f t="shared" ca="1" si="32"/>
        <v/>
      </c>
    </row>
    <row r="682" spans="2:6" x14ac:dyDescent="0.2">
      <c r="B682" t="str">
        <f>IFERROR(IF('PDCA review'!$D$2=Act!B683,Act!G683,""),"")</f>
        <v/>
      </c>
      <c r="C682">
        <f t="shared" si="30"/>
        <v>0</v>
      </c>
      <c r="D682">
        <f>SUM($C$3:C682)</f>
        <v>4</v>
      </c>
      <c r="E682" t="e">
        <f t="shared" si="31"/>
        <v>#N/A</v>
      </c>
      <c r="F682" s="28" t="str">
        <f t="shared" ca="1" si="32"/>
        <v/>
      </c>
    </row>
    <row r="683" spans="2:6" x14ac:dyDescent="0.2">
      <c r="B683" t="str">
        <f>IFERROR(IF('PDCA review'!$D$2=Act!B684,Act!G684,""),"")</f>
        <v/>
      </c>
      <c r="C683">
        <f t="shared" si="30"/>
        <v>0</v>
      </c>
      <c r="D683">
        <f>SUM($C$3:C683)</f>
        <v>4</v>
      </c>
      <c r="E683" t="e">
        <f t="shared" si="31"/>
        <v>#N/A</v>
      </c>
      <c r="F683" s="28" t="str">
        <f t="shared" ca="1" si="32"/>
        <v/>
      </c>
    </row>
    <row r="684" spans="2:6" x14ac:dyDescent="0.2">
      <c r="B684" t="str">
        <f>IFERROR(IF('PDCA review'!$D$2=Act!B685,Act!G685,""),"")</f>
        <v/>
      </c>
      <c r="C684">
        <f t="shared" si="30"/>
        <v>0</v>
      </c>
      <c r="D684">
        <f>SUM($C$3:C684)</f>
        <v>4</v>
      </c>
      <c r="E684" t="e">
        <f t="shared" si="31"/>
        <v>#N/A</v>
      </c>
      <c r="F684" s="28" t="str">
        <f t="shared" ca="1" si="32"/>
        <v/>
      </c>
    </row>
    <row r="685" spans="2:6" x14ac:dyDescent="0.2">
      <c r="B685" t="str">
        <f>IFERROR(IF('PDCA review'!$D$2=Act!B686,Act!G686,""),"")</f>
        <v/>
      </c>
      <c r="C685">
        <f t="shared" si="30"/>
        <v>0</v>
      </c>
      <c r="D685">
        <f>SUM($C$3:C685)</f>
        <v>4</v>
      </c>
      <c r="E685" t="e">
        <f t="shared" si="31"/>
        <v>#N/A</v>
      </c>
      <c r="F685" s="28" t="str">
        <f t="shared" ca="1" si="32"/>
        <v/>
      </c>
    </row>
    <row r="686" spans="2:6" x14ac:dyDescent="0.2">
      <c r="B686" t="str">
        <f>IFERROR(IF('PDCA review'!$D$2=Act!B687,Act!G687,""),"")</f>
        <v/>
      </c>
      <c r="C686">
        <f t="shared" si="30"/>
        <v>0</v>
      </c>
      <c r="D686">
        <f>SUM($C$3:C686)</f>
        <v>4</v>
      </c>
      <c r="E686" t="e">
        <f t="shared" si="31"/>
        <v>#N/A</v>
      </c>
      <c r="F686" s="28" t="str">
        <f t="shared" ca="1" si="32"/>
        <v/>
      </c>
    </row>
    <row r="687" spans="2:6" x14ac:dyDescent="0.2">
      <c r="B687" t="str">
        <f>IFERROR(IF('PDCA review'!$D$2=Act!B688,Act!G688,""),"")</f>
        <v/>
      </c>
      <c r="C687">
        <f t="shared" si="30"/>
        <v>0</v>
      </c>
      <c r="D687">
        <f>SUM($C$3:C687)</f>
        <v>4</v>
      </c>
      <c r="E687" t="e">
        <f t="shared" si="31"/>
        <v>#N/A</v>
      </c>
      <c r="F687" s="28" t="str">
        <f t="shared" ca="1" si="32"/>
        <v/>
      </c>
    </row>
    <row r="688" spans="2:6" x14ac:dyDescent="0.2">
      <c r="B688" t="str">
        <f>IFERROR(IF('PDCA review'!$D$2=Act!B689,Act!G689,""),"")</f>
        <v/>
      </c>
      <c r="C688">
        <f t="shared" si="30"/>
        <v>0</v>
      </c>
      <c r="D688">
        <f>SUM($C$3:C688)</f>
        <v>4</v>
      </c>
      <c r="E688" t="e">
        <f t="shared" si="31"/>
        <v>#N/A</v>
      </c>
      <c r="F688" s="28" t="str">
        <f t="shared" ca="1" si="32"/>
        <v/>
      </c>
    </row>
    <row r="689" spans="2:6" x14ac:dyDescent="0.2">
      <c r="B689" t="str">
        <f>IFERROR(IF('PDCA review'!$D$2=Act!B690,Act!G690,""),"")</f>
        <v/>
      </c>
      <c r="C689">
        <f t="shared" si="30"/>
        <v>0</v>
      </c>
      <c r="D689">
        <f>SUM($C$3:C689)</f>
        <v>4</v>
      </c>
      <c r="E689" t="e">
        <f t="shared" si="31"/>
        <v>#N/A</v>
      </c>
      <c r="F689" s="28" t="str">
        <f t="shared" ca="1" si="32"/>
        <v/>
      </c>
    </row>
    <row r="690" spans="2:6" x14ac:dyDescent="0.2">
      <c r="B690" t="str">
        <f>IFERROR(IF('PDCA review'!$D$2=Act!B691,Act!G691,""),"")</f>
        <v/>
      </c>
      <c r="C690">
        <f t="shared" si="30"/>
        <v>0</v>
      </c>
      <c r="D690">
        <f>SUM($C$3:C690)</f>
        <v>4</v>
      </c>
      <c r="E690" t="e">
        <f t="shared" si="31"/>
        <v>#N/A</v>
      </c>
      <c r="F690" s="28" t="str">
        <f t="shared" ca="1" si="32"/>
        <v/>
      </c>
    </row>
    <row r="691" spans="2:6" x14ac:dyDescent="0.2">
      <c r="B691" t="str">
        <f>IFERROR(IF('PDCA review'!$D$2=Act!B692,Act!G692,""),"")</f>
        <v/>
      </c>
      <c r="C691">
        <f t="shared" si="30"/>
        <v>0</v>
      </c>
      <c r="D691">
        <f>SUM($C$3:C691)</f>
        <v>4</v>
      </c>
      <c r="E691" t="e">
        <f t="shared" si="31"/>
        <v>#N/A</v>
      </c>
      <c r="F691" s="28" t="str">
        <f t="shared" ca="1" si="32"/>
        <v/>
      </c>
    </row>
    <row r="692" spans="2:6" x14ac:dyDescent="0.2">
      <c r="B692" t="str">
        <f>IFERROR(IF('PDCA review'!$D$2=Act!B693,Act!G693,""),"")</f>
        <v/>
      </c>
      <c r="C692">
        <f t="shared" si="30"/>
        <v>0</v>
      </c>
      <c r="D692">
        <f>SUM($C$3:C692)</f>
        <v>4</v>
      </c>
      <c r="E692" t="e">
        <f t="shared" si="31"/>
        <v>#N/A</v>
      </c>
      <c r="F692" s="28" t="str">
        <f t="shared" ca="1" si="32"/>
        <v/>
      </c>
    </row>
    <row r="693" spans="2:6" x14ac:dyDescent="0.2">
      <c r="B693" t="str">
        <f>IFERROR(IF('PDCA review'!$D$2=Act!B694,Act!G694,""),"")</f>
        <v/>
      </c>
      <c r="C693">
        <f t="shared" si="30"/>
        <v>0</v>
      </c>
      <c r="D693">
        <f>SUM($C$3:C693)</f>
        <v>4</v>
      </c>
      <c r="E693" t="e">
        <f t="shared" si="31"/>
        <v>#N/A</v>
      </c>
      <c r="F693" s="28" t="str">
        <f t="shared" ca="1" si="32"/>
        <v/>
      </c>
    </row>
    <row r="694" spans="2:6" x14ac:dyDescent="0.2">
      <c r="B694" t="str">
        <f>IFERROR(IF('PDCA review'!$D$2=Act!B695,Act!G695,""),"")</f>
        <v/>
      </c>
      <c r="C694">
        <f t="shared" si="30"/>
        <v>0</v>
      </c>
      <c r="D694">
        <f>SUM($C$3:C694)</f>
        <v>4</v>
      </c>
      <c r="E694" t="e">
        <f t="shared" si="31"/>
        <v>#N/A</v>
      </c>
      <c r="F694" s="28" t="str">
        <f t="shared" ca="1" si="32"/>
        <v/>
      </c>
    </row>
    <row r="695" spans="2:6" x14ac:dyDescent="0.2">
      <c r="B695" t="str">
        <f>IFERROR(IF('PDCA review'!$D$2=Act!B696,Act!G696,""),"")</f>
        <v/>
      </c>
      <c r="C695">
        <f t="shared" si="30"/>
        <v>0</v>
      </c>
      <c r="D695">
        <f>SUM($C$3:C695)</f>
        <v>4</v>
      </c>
      <c r="E695" t="e">
        <f t="shared" si="31"/>
        <v>#N/A</v>
      </c>
      <c r="F695" s="28" t="str">
        <f t="shared" ca="1" si="32"/>
        <v/>
      </c>
    </row>
    <row r="696" spans="2:6" x14ac:dyDescent="0.2">
      <c r="B696" t="str">
        <f>IFERROR(IF('PDCA review'!$D$2=Act!B697,Act!G697,""),"")</f>
        <v/>
      </c>
      <c r="C696">
        <f t="shared" si="30"/>
        <v>0</v>
      </c>
      <c r="D696">
        <f>SUM($C$3:C696)</f>
        <v>4</v>
      </c>
      <c r="E696" t="e">
        <f t="shared" si="31"/>
        <v>#N/A</v>
      </c>
      <c r="F696" s="28" t="str">
        <f t="shared" ca="1" si="32"/>
        <v/>
      </c>
    </row>
    <row r="697" spans="2:6" x14ac:dyDescent="0.2">
      <c r="B697" t="str">
        <f>IFERROR(IF('PDCA review'!$D$2=Act!B698,Act!G698,""),"")</f>
        <v/>
      </c>
      <c r="C697">
        <f t="shared" si="30"/>
        <v>0</v>
      </c>
      <c r="D697">
        <f>SUM($C$3:C697)</f>
        <v>4</v>
      </c>
      <c r="E697" t="e">
        <f t="shared" si="31"/>
        <v>#N/A</v>
      </c>
      <c r="F697" s="28" t="str">
        <f t="shared" ca="1" si="32"/>
        <v/>
      </c>
    </row>
    <row r="698" spans="2:6" x14ac:dyDescent="0.2">
      <c r="B698" t="str">
        <f>IFERROR(IF('PDCA review'!$D$2=Act!B699,Act!G699,""),"")</f>
        <v/>
      </c>
      <c r="C698">
        <f t="shared" si="30"/>
        <v>0</v>
      </c>
      <c r="D698">
        <f>SUM($C$3:C698)</f>
        <v>4</v>
      </c>
      <c r="E698" t="e">
        <f t="shared" si="31"/>
        <v>#N/A</v>
      </c>
      <c r="F698" s="28" t="str">
        <f t="shared" ca="1" si="32"/>
        <v/>
      </c>
    </row>
    <row r="699" spans="2:6" x14ac:dyDescent="0.2">
      <c r="B699" t="str">
        <f>IFERROR(IF('PDCA review'!$D$2=Act!B700,Act!G700,""),"")</f>
        <v/>
      </c>
      <c r="C699">
        <f t="shared" si="30"/>
        <v>0</v>
      </c>
      <c r="D699">
        <f>SUM($C$3:C699)</f>
        <v>4</v>
      </c>
      <c r="E699" t="e">
        <f t="shared" si="31"/>
        <v>#N/A</v>
      </c>
      <c r="F699" s="28" t="str">
        <f t="shared" ca="1" si="32"/>
        <v/>
      </c>
    </row>
    <row r="700" spans="2:6" x14ac:dyDescent="0.2">
      <c r="B700" t="str">
        <f>IFERROR(IF('PDCA review'!$D$2=Act!B701,Act!G701,""),"")</f>
        <v/>
      </c>
      <c r="C700">
        <f t="shared" si="30"/>
        <v>0</v>
      </c>
      <c r="D700">
        <f>SUM($C$3:C700)</f>
        <v>4</v>
      </c>
      <c r="E700" t="e">
        <f t="shared" si="31"/>
        <v>#N/A</v>
      </c>
      <c r="F700" s="28" t="str">
        <f t="shared" ca="1" si="32"/>
        <v/>
      </c>
    </row>
    <row r="701" spans="2:6" x14ac:dyDescent="0.2">
      <c r="B701" t="str">
        <f>IFERROR(IF('PDCA review'!$D$2=Act!B702,Act!G702,""),"")</f>
        <v/>
      </c>
      <c r="C701">
        <f t="shared" si="30"/>
        <v>0</v>
      </c>
      <c r="D701">
        <f>SUM($C$3:C701)</f>
        <v>4</v>
      </c>
      <c r="E701" t="e">
        <f t="shared" si="31"/>
        <v>#N/A</v>
      </c>
      <c r="F701" s="28" t="str">
        <f t="shared" ca="1" si="32"/>
        <v/>
      </c>
    </row>
    <row r="702" spans="2:6" x14ac:dyDescent="0.2">
      <c r="B702" t="str">
        <f>IFERROR(IF('PDCA review'!$D$2=Act!B703,Act!G703,""),"")</f>
        <v/>
      </c>
      <c r="C702">
        <f t="shared" si="30"/>
        <v>0</v>
      </c>
      <c r="D702">
        <f>SUM($C$3:C702)</f>
        <v>4</v>
      </c>
      <c r="E702" t="e">
        <f t="shared" si="31"/>
        <v>#N/A</v>
      </c>
      <c r="F702" s="28" t="str">
        <f t="shared" ca="1" si="32"/>
        <v/>
      </c>
    </row>
    <row r="703" spans="2:6" x14ac:dyDescent="0.2">
      <c r="B703" t="str">
        <f>IFERROR(IF('PDCA review'!$D$2=Act!B704,Act!G704,""),"")</f>
        <v/>
      </c>
      <c r="C703">
        <f t="shared" si="30"/>
        <v>0</v>
      </c>
      <c r="D703">
        <f>SUM($C$3:C703)</f>
        <v>4</v>
      </c>
      <c r="E703" t="e">
        <f t="shared" si="31"/>
        <v>#N/A</v>
      </c>
      <c r="F703" s="28" t="str">
        <f t="shared" ca="1" si="32"/>
        <v/>
      </c>
    </row>
    <row r="704" spans="2:6" x14ac:dyDescent="0.2">
      <c r="B704" t="str">
        <f>IFERROR(IF('PDCA review'!$D$2=Act!B705,Act!G705,""),"")</f>
        <v/>
      </c>
      <c r="C704">
        <f t="shared" si="30"/>
        <v>0</v>
      </c>
      <c r="D704">
        <f>SUM($C$3:C704)</f>
        <v>4</v>
      </c>
      <c r="E704" t="e">
        <f t="shared" si="31"/>
        <v>#N/A</v>
      </c>
      <c r="F704" s="28" t="str">
        <f t="shared" ca="1" si="32"/>
        <v/>
      </c>
    </row>
    <row r="705" spans="2:6" x14ac:dyDescent="0.2">
      <c r="B705" t="str">
        <f>IFERROR(IF('PDCA review'!$D$2=Act!B706,Act!G706,""),"")</f>
        <v/>
      </c>
      <c r="C705">
        <f t="shared" si="30"/>
        <v>0</v>
      </c>
      <c r="D705">
        <f>SUM($C$3:C705)</f>
        <v>4</v>
      </c>
      <c r="E705" t="e">
        <f t="shared" si="31"/>
        <v>#N/A</v>
      </c>
      <c r="F705" s="28" t="str">
        <f t="shared" ca="1" si="32"/>
        <v/>
      </c>
    </row>
    <row r="706" spans="2:6" x14ac:dyDescent="0.2">
      <c r="B706" t="str">
        <f>IFERROR(IF('PDCA review'!$D$2=Act!B707,Act!G707,""),"")</f>
        <v/>
      </c>
      <c r="C706">
        <f t="shared" si="30"/>
        <v>0</v>
      </c>
      <c r="D706">
        <f>SUM($C$3:C706)</f>
        <v>4</v>
      </c>
      <c r="E706" t="e">
        <f t="shared" si="31"/>
        <v>#N/A</v>
      </c>
      <c r="F706" s="28" t="str">
        <f t="shared" ca="1" si="32"/>
        <v/>
      </c>
    </row>
    <row r="707" spans="2:6" x14ac:dyDescent="0.2">
      <c r="B707" t="str">
        <f>IFERROR(IF('PDCA review'!$D$2=Act!B708,Act!G708,""),"")</f>
        <v/>
      </c>
      <c r="C707">
        <f t="shared" si="30"/>
        <v>0</v>
      </c>
      <c r="D707">
        <f>SUM($C$3:C707)</f>
        <v>4</v>
      </c>
      <c r="E707" t="e">
        <f t="shared" si="31"/>
        <v>#N/A</v>
      </c>
      <c r="F707" s="28" t="str">
        <f t="shared" ca="1" si="32"/>
        <v/>
      </c>
    </row>
    <row r="708" spans="2:6" x14ac:dyDescent="0.2">
      <c r="B708" t="str">
        <f>IFERROR(IF('PDCA review'!$D$2=Act!B709,Act!G709,""),"")</f>
        <v/>
      </c>
      <c r="C708">
        <f t="shared" ref="C708:C771" si="33">IF(B708&lt;&gt;"",1,0)</f>
        <v>0</v>
      </c>
      <c r="D708">
        <f>SUM($C$3:C708)</f>
        <v>4</v>
      </c>
      <c r="E708" t="e">
        <f t="shared" ref="E708:E771" si="34">MATCH(ROW()-$D$2,$D$3:$D$2000,0)+$D$2</f>
        <v>#N/A</v>
      </c>
      <c r="F708" s="28" t="str">
        <f t="shared" ref="F708:F771" ca="1" si="35">IFERROR(INDIRECT("B"&amp;E708),"")</f>
        <v/>
      </c>
    </row>
    <row r="709" spans="2:6" x14ac:dyDescent="0.2">
      <c r="B709" t="str">
        <f>IFERROR(IF('PDCA review'!$D$2=Act!B710,Act!G710,""),"")</f>
        <v/>
      </c>
      <c r="C709">
        <f t="shared" si="33"/>
        <v>0</v>
      </c>
      <c r="D709">
        <f>SUM($C$3:C709)</f>
        <v>4</v>
      </c>
      <c r="E709" t="e">
        <f t="shared" si="34"/>
        <v>#N/A</v>
      </c>
      <c r="F709" s="28" t="str">
        <f t="shared" ca="1" si="35"/>
        <v/>
      </c>
    </row>
    <row r="710" spans="2:6" x14ac:dyDescent="0.2">
      <c r="B710" t="str">
        <f>IFERROR(IF('PDCA review'!$D$2=Act!B711,Act!G711,""),"")</f>
        <v/>
      </c>
      <c r="C710">
        <f t="shared" si="33"/>
        <v>0</v>
      </c>
      <c r="D710">
        <f>SUM($C$3:C710)</f>
        <v>4</v>
      </c>
      <c r="E710" t="e">
        <f t="shared" si="34"/>
        <v>#N/A</v>
      </c>
      <c r="F710" s="28" t="str">
        <f t="shared" ca="1" si="35"/>
        <v/>
      </c>
    </row>
    <row r="711" spans="2:6" x14ac:dyDescent="0.2">
      <c r="B711" t="str">
        <f>IFERROR(IF('PDCA review'!$D$2=Act!B712,Act!G712,""),"")</f>
        <v/>
      </c>
      <c r="C711">
        <f t="shared" si="33"/>
        <v>0</v>
      </c>
      <c r="D711">
        <f>SUM($C$3:C711)</f>
        <v>4</v>
      </c>
      <c r="E711" t="e">
        <f t="shared" si="34"/>
        <v>#N/A</v>
      </c>
      <c r="F711" s="28" t="str">
        <f t="shared" ca="1" si="35"/>
        <v/>
      </c>
    </row>
    <row r="712" spans="2:6" x14ac:dyDescent="0.2">
      <c r="B712" t="str">
        <f>IFERROR(IF('PDCA review'!$D$2=Act!B713,Act!G713,""),"")</f>
        <v/>
      </c>
      <c r="C712">
        <f t="shared" si="33"/>
        <v>0</v>
      </c>
      <c r="D712">
        <f>SUM($C$3:C712)</f>
        <v>4</v>
      </c>
      <c r="E712" t="e">
        <f t="shared" si="34"/>
        <v>#N/A</v>
      </c>
      <c r="F712" s="28" t="str">
        <f t="shared" ca="1" si="35"/>
        <v/>
      </c>
    </row>
    <row r="713" spans="2:6" x14ac:dyDescent="0.2">
      <c r="B713" t="str">
        <f>IFERROR(IF('PDCA review'!$D$2=Act!B714,Act!G714,""),"")</f>
        <v/>
      </c>
      <c r="C713">
        <f t="shared" si="33"/>
        <v>0</v>
      </c>
      <c r="D713">
        <f>SUM($C$3:C713)</f>
        <v>4</v>
      </c>
      <c r="E713" t="e">
        <f t="shared" si="34"/>
        <v>#N/A</v>
      </c>
      <c r="F713" s="28" t="str">
        <f t="shared" ca="1" si="35"/>
        <v/>
      </c>
    </row>
    <row r="714" spans="2:6" x14ac:dyDescent="0.2">
      <c r="B714" t="str">
        <f>IFERROR(IF('PDCA review'!$D$2=Act!B715,Act!G715,""),"")</f>
        <v/>
      </c>
      <c r="C714">
        <f t="shared" si="33"/>
        <v>0</v>
      </c>
      <c r="D714">
        <f>SUM($C$3:C714)</f>
        <v>4</v>
      </c>
      <c r="E714" t="e">
        <f t="shared" si="34"/>
        <v>#N/A</v>
      </c>
      <c r="F714" s="28" t="str">
        <f t="shared" ca="1" si="35"/>
        <v/>
      </c>
    </row>
    <row r="715" spans="2:6" x14ac:dyDescent="0.2">
      <c r="B715" t="str">
        <f>IFERROR(IF('PDCA review'!$D$2=Act!B716,Act!G716,""),"")</f>
        <v/>
      </c>
      <c r="C715">
        <f t="shared" si="33"/>
        <v>0</v>
      </c>
      <c r="D715">
        <f>SUM($C$3:C715)</f>
        <v>4</v>
      </c>
      <c r="E715" t="e">
        <f t="shared" si="34"/>
        <v>#N/A</v>
      </c>
      <c r="F715" s="28" t="str">
        <f t="shared" ca="1" si="35"/>
        <v/>
      </c>
    </row>
    <row r="716" spans="2:6" x14ac:dyDescent="0.2">
      <c r="B716" t="str">
        <f>IFERROR(IF('PDCA review'!$D$2=Act!B717,Act!G717,""),"")</f>
        <v/>
      </c>
      <c r="C716">
        <f t="shared" si="33"/>
        <v>0</v>
      </c>
      <c r="D716">
        <f>SUM($C$3:C716)</f>
        <v>4</v>
      </c>
      <c r="E716" t="e">
        <f t="shared" si="34"/>
        <v>#N/A</v>
      </c>
      <c r="F716" s="28" t="str">
        <f t="shared" ca="1" si="35"/>
        <v/>
      </c>
    </row>
    <row r="717" spans="2:6" x14ac:dyDescent="0.2">
      <c r="B717" t="str">
        <f>IFERROR(IF('PDCA review'!$D$2=Act!B718,Act!G718,""),"")</f>
        <v/>
      </c>
      <c r="C717">
        <f t="shared" si="33"/>
        <v>0</v>
      </c>
      <c r="D717">
        <f>SUM($C$3:C717)</f>
        <v>4</v>
      </c>
      <c r="E717" t="e">
        <f t="shared" si="34"/>
        <v>#N/A</v>
      </c>
      <c r="F717" s="28" t="str">
        <f t="shared" ca="1" si="35"/>
        <v/>
      </c>
    </row>
    <row r="718" spans="2:6" x14ac:dyDescent="0.2">
      <c r="B718" t="str">
        <f>IFERROR(IF('PDCA review'!$D$2=Act!B719,Act!G719,""),"")</f>
        <v/>
      </c>
      <c r="C718">
        <f t="shared" si="33"/>
        <v>0</v>
      </c>
      <c r="D718">
        <f>SUM($C$3:C718)</f>
        <v>4</v>
      </c>
      <c r="E718" t="e">
        <f t="shared" si="34"/>
        <v>#N/A</v>
      </c>
      <c r="F718" s="28" t="str">
        <f t="shared" ca="1" si="35"/>
        <v/>
      </c>
    </row>
    <row r="719" spans="2:6" x14ac:dyDescent="0.2">
      <c r="B719" t="str">
        <f>IFERROR(IF('PDCA review'!$D$2=Act!B720,Act!G720,""),"")</f>
        <v/>
      </c>
      <c r="C719">
        <f t="shared" si="33"/>
        <v>0</v>
      </c>
      <c r="D719">
        <f>SUM($C$3:C719)</f>
        <v>4</v>
      </c>
      <c r="E719" t="e">
        <f t="shared" si="34"/>
        <v>#N/A</v>
      </c>
      <c r="F719" s="28" t="str">
        <f t="shared" ca="1" si="35"/>
        <v/>
      </c>
    </row>
    <row r="720" spans="2:6" x14ac:dyDescent="0.2">
      <c r="B720" t="str">
        <f>IFERROR(IF('PDCA review'!$D$2=Act!B721,Act!G721,""),"")</f>
        <v/>
      </c>
      <c r="C720">
        <f t="shared" si="33"/>
        <v>0</v>
      </c>
      <c r="D720">
        <f>SUM($C$3:C720)</f>
        <v>4</v>
      </c>
      <c r="E720" t="e">
        <f t="shared" si="34"/>
        <v>#N/A</v>
      </c>
      <c r="F720" s="28" t="str">
        <f t="shared" ca="1" si="35"/>
        <v/>
      </c>
    </row>
    <row r="721" spans="2:6" x14ac:dyDescent="0.2">
      <c r="B721" t="str">
        <f>IFERROR(IF('PDCA review'!$D$2=Act!B722,Act!G722,""),"")</f>
        <v/>
      </c>
      <c r="C721">
        <f t="shared" si="33"/>
        <v>0</v>
      </c>
      <c r="D721">
        <f>SUM($C$3:C721)</f>
        <v>4</v>
      </c>
      <c r="E721" t="e">
        <f t="shared" si="34"/>
        <v>#N/A</v>
      </c>
      <c r="F721" s="28" t="str">
        <f t="shared" ca="1" si="35"/>
        <v/>
      </c>
    </row>
    <row r="722" spans="2:6" x14ac:dyDescent="0.2">
      <c r="B722" t="str">
        <f>IFERROR(IF('PDCA review'!$D$2=Act!B723,Act!G723,""),"")</f>
        <v/>
      </c>
      <c r="C722">
        <f t="shared" si="33"/>
        <v>0</v>
      </c>
      <c r="D722">
        <f>SUM($C$3:C722)</f>
        <v>4</v>
      </c>
      <c r="E722" t="e">
        <f t="shared" si="34"/>
        <v>#N/A</v>
      </c>
      <c r="F722" s="28" t="str">
        <f t="shared" ca="1" si="35"/>
        <v/>
      </c>
    </row>
    <row r="723" spans="2:6" x14ac:dyDescent="0.2">
      <c r="B723" t="str">
        <f>IFERROR(IF('PDCA review'!$D$2=Act!B724,Act!G724,""),"")</f>
        <v/>
      </c>
      <c r="C723">
        <f t="shared" si="33"/>
        <v>0</v>
      </c>
      <c r="D723">
        <f>SUM($C$3:C723)</f>
        <v>4</v>
      </c>
      <c r="E723" t="e">
        <f t="shared" si="34"/>
        <v>#N/A</v>
      </c>
      <c r="F723" s="28" t="str">
        <f t="shared" ca="1" si="35"/>
        <v/>
      </c>
    </row>
    <row r="724" spans="2:6" x14ac:dyDescent="0.2">
      <c r="B724" t="str">
        <f>IFERROR(IF('PDCA review'!$D$2=Act!B725,Act!G725,""),"")</f>
        <v/>
      </c>
      <c r="C724">
        <f t="shared" si="33"/>
        <v>0</v>
      </c>
      <c r="D724">
        <f>SUM($C$3:C724)</f>
        <v>4</v>
      </c>
      <c r="E724" t="e">
        <f t="shared" si="34"/>
        <v>#N/A</v>
      </c>
      <c r="F724" s="28" t="str">
        <f t="shared" ca="1" si="35"/>
        <v/>
      </c>
    </row>
    <row r="725" spans="2:6" x14ac:dyDescent="0.2">
      <c r="B725" t="str">
        <f>IFERROR(IF('PDCA review'!$D$2=Act!B726,Act!G726,""),"")</f>
        <v/>
      </c>
      <c r="C725">
        <f t="shared" si="33"/>
        <v>0</v>
      </c>
      <c r="D725">
        <f>SUM($C$3:C725)</f>
        <v>4</v>
      </c>
      <c r="E725" t="e">
        <f t="shared" si="34"/>
        <v>#N/A</v>
      </c>
      <c r="F725" s="28" t="str">
        <f t="shared" ca="1" si="35"/>
        <v/>
      </c>
    </row>
    <row r="726" spans="2:6" x14ac:dyDescent="0.2">
      <c r="B726" t="str">
        <f>IFERROR(IF('PDCA review'!$D$2=Act!B727,Act!G727,""),"")</f>
        <v/>
      </c>
      <c r="C726">
        <f t="shared" si="33"/>
        <v>0</v>
      </c>
      <c r="D726">
        <f>SUM($C$3:C726)</f>
        <v>4</v>
      </c>
      <c r="E726" t="e">
        <f t="shared" si="34"/>
        <v>#N/A</v>
      </c>
      <c r="F726" s="28" t="str">
        <f t="shared" ca="1" si="35"/>
        <v/>
      </c>
    </row>
    <row r="727" spans="2:6" x14ac:dyDescent="0.2">
      <c r="B727" t="str">
        <f>IFERROR(IF('PDCA review'!$D$2=Act!B728,Act!G728,""),"")</f>
        <v/>
      </c>
      <c r="C727">
        <f t="shared" si="33"/>
        <v>0</v>
      </c>
      <c r="D727">
        <f>SUM($C$3:C727)</f>
        <v>4</v>
      </c>
      <c r="E727" t="e">
        <f t="shared" si="34"/>
        <v>#N/A</v>
      </c>
      <c r="F727" s="28" t="str">
        <f t="shared" ca="1" si="35"/>
        <v/>
      </c>
    </row>
    <row r="728" spans="2:6" x14ac:dyDescent="0.2">
      <c r="B728" t="str">
        <f>IFERROR(IF('PDCA review'!$D$2=Act!B729,Act!G729,""),"")</f>
        <v/>
      </c>
      <c r="C728">
        <f t="shared" si="33"/>
        <v>0</v>
      </c>
      <c r="D728">
        <f>SUM($C$3:C728)</f>
        <v>4</v>
      </c>
      <c r="E728" t="e">
        <f t="shared" si="34"/>
        <v>#N/A</v>
      </c>
      <c r="F728" s="28" t="str">
        <f t="shared" ca="1" si="35"/>
        <v/>
      </c>
    </row>
    <row r="729" spans="2:6" x14ac:dyDescent="0.2">
      <c r="B729" t="str">
        <f>IFERROR(IF('PDCA review'!$D$2=Act!B730,Act!G730,""),"")</f>
        <v/>
      </c>
      <c r="C729">
        <f t="shared" si="33"/>
        <v>0</v>
      </c>
      <c r="D729">
        <f>SUM($C$3:C729)</f>
        <v>4</v>
      </c>
      <c r="E729" t="e">
        <f t="shared" si="34"/>
        <v>#N/A</v>
      </c>
      <c r="F729" s="28" t="str">
        <f t="shared" ca="1" si="35"/>
        <v/>
      </c>
    </row>
    <row r="730" spans="2:6" x14ac:dyDescent="0.2">
      <c r="B730" t="str">
        <f>IFERROR(IF('PDCA review'!$D$2=Act!B731,Act!G731,""),"")</f>
        <v/>
      </c>
      <c r="C730">
        <f t="shared" si="33"/>
        <v>0</v>
      </c>
      <c r="D730">
        <f>SUM($C$3:C730)</f>
        <v>4</v>
      </c>
      <c r="E730" t="e">
        <f t="shared" si="34"/>
        <v>#N/A</v>
      </c>
      <c r="F730" s="28" t="str">
        <f t="shared" ca="1" si="35"/>
        <v/>
      </c>
    </row>
    <row r="731" spans="2:6" x14ac:dyDescent="0.2">
      <c r="B731" t="str">
        <f>IFERROR(IF('PDCA review'!$D$2=Act!B732,Act!G732,""),"")</f>
        <v/>
      </c>
      <c r="C731">
        <f t="shared" si="33"/>
        <v>0</v>
      </c>
      <c r="D731">
        <f>SUM($C$3:C731)</f>
        <v>4</v>
      </c>
      <c r="E731" t="e">
        <f t="shared" si="34"/>
        <v>#N/A</v>
      </c>
      <c r="F731" s="28" t="str">
        <f t="shared" ca="1" si="35"/>
        <v/>
      </c>
    </row>
    <row r="732" spans="2:6" x14ac:dyDescent="0.2">
      <c r="B732" t="str">
        <f>IFERROR(IF('PDCA review'!$D$2=Act!B733,Act!G733,""),"")</f>
        <v/>
      </c>
      <c r="C732">
        <f t="shared" si="33"/>
        <v>0</v>
      </c>
      <c r="D732">
        <f>SUM($C$3:C732)</f>
        <v>4</v>
      </c>
      <c r="E732" t="e">
        <f t="shared" si="34"/>
        <v>#N/A</v>
      </c>
      <c r="F732" s="28" t="str">
        <f t="shared" ca="1" si="35"/>
        <v/>
      </c>
    </row>
    <row r="733" spans="2:6" x14ac:dyDescent="0.2">
      <c r="B733" t="str">
        <f>IFERROR(IF('PDCA review'!$D$2=Act!B734,Act!G734,""),"")</f>
        <v/>
      </c>
      <c r="C733">
        <f t="shared" si="33"/>
        <v>0</v>
      </c>
      <c r="D733">
        <f>SUM($C$3:C733)</f>
        <v>4</v>
      </c>
      <c r="E733" t="e">
        <f t="shared" si="34"/>
        <v>#N/A</v>
      </c>
      <c r="F733" s="28" t="str">
        <f t="shared" ca="1" si="35"/>
        <v/>
      </c>
    </row>
    <row r="734" spans="2:6" x14ac:dyDescent="0.2">
      <c r="B734" t="str">
        <f>IFERROR(IF('PDCA review'!$D$2=Act!B735,Act!G735,""),"")</f>
        <v/>
      </c>
      <c r="C734">
        <f t="shared" si="33"/>
        <v>0</v>
      </c>
      <c r="D734">
        <f>SUM($C$3:C734)</f>
        <v>4</v>
      </c>
      <c r="E734" t="e">
        <f t="shared" si="34"/>
        <v>#N/A</v>
      </c>
      <c r="F734" s="28" t="str">
        <f t="shared" ca="1" si="35"/>
        <v/>
      </c>
    </row>
    <row r="735" spans="2:6" x14ac:dyDescent="0.2">
      <c r="B735" t="str">
        <f>IFERROR(IF('PDCA review'!$D$2=Act!B736,Act!G736,""),"")</f>
        <v/>
      </c>
      <c r="C735">
        <f t="shared" si="33"/>
        <v>0</v>
      </c>
      <c r="D735">
        <f>SUM($C$3:C735)</f>
        <v>4</v>
      </c>
      <c r="E735" t="e">
        <f t="shared" si="34"/>
        <v>#N/A</v>
      </c>
      <c r="F735" s="28" t="str">
        <f t="shared" ca="1" si="35"/>
        <v/>
      </c>
    </row>
    <row r="736" spans="2:6" x14ac:dyDescent="0.2">
      <c r="B736" t="str">
        <f>IFERROR(IF('PDCA review'!$D$2=Act!B737,Act!G737,""),"")</f>
        <v/>
      </c>
      <c r="C736">
        <f t="shared" si="33"/>
        <v>0</v>
      </c>
      <c r="D736">
        <f>SUM($C$3:C736)</f>
        <v>4</v>
      </c>
      <c r="E736" t="e">
        <f t="shared" si="34"/>
        <v>#N/A</v>
      </c>
      <c r="F736" s="28" t="str">
        <f t="shared" ca="1" si="35"/>
        <v/>
      </c>
    </row>
    <row r="737" spans="2:6" x14ac:dyDescent="0.2">
      <c r="B737" t="str">
        <f>IFERROR(IF('PDCA review'!$D$2=Act!B738,Act!G738,""),"")</f>
        <v/>
      </c>
      <c r="C737">
        <f t="shared" si="33"/>
        <v>0</v>
      </c>
      <c r="D737">
        <f>SUM($C$3:C737)</f>
        <v>4</v>
      </c>
      <c r="E737" t="e">
        <f t="shared" si="34"/>
        <v>#N/A</v>
      </c>
      <c r="F737" s="28" t="str">
        <f t="shared" ca="1" si="35"/>
        <v/>
      </c>
    </row>
    <row r="738" spans="2:6" x14ac:dyDescent="0.2">
      <c r="B738" t="str">
        <f>IFERROR(IF('PDCA review'!$D$2=Act!B739,Act!G739,""),"")</f>
        <v/>
      </c>
      <c r="C738">
        <f t="shared" si="33"/>
        <v>0</v>
      </c>
      <c r="D738">
        <f>SUM($C$3:C738)</f>
        <v>4</v>
      </c>
      <c r="E738" t="e">
        <f t="shared" si="34"/>
        <v>#N/A</v>
      </c>
      <c r="F738" s="28" t="str">
        <f t="shared" ca="1" si="35"/>
        <v/>
      </c>
    </row>
    <row r="739" spans="2:6" x14ac:dyDescent="0.2">
      <c r="B739" t="str">
        <f>IFERROR(IF('PDCA review'!$D$2=Act!B740,Act!G740,""),"")</f>
        <v/>
      </c>
      <c r="C739">
        <f t="shared" si="33"/>
        <v>0</v>
      </c>
      <c r="D739">
        <f>SUM($C$3:C739)</f>
        <v>4</v>
      </c>
      <c r="E739" t="e">
        <f t="shared" si="34"/>
        <v>#N/A</v>
      </c>
      <c r="F739" s="28" t="str">
        <f t="shared" ca="1" si="35"/>
        <v/>
      </c>
    </row>
    <row r="740" spans="2:6" x14ac:dyDescent="0.2">
      <c r="B740" t="str">
        <f>IFERROR(IF('PDCA review'!$D$2=Act!B741,Act!G741,""),"")</f>
        <v/>
      </c>
      <c r="C740">
        <f t="shared" si="33"/>
        <v>0</v>
      </c>
      <c r="D740">
        <f>SUM($C$3:C740)</f>
        <v>4</v>
      </c>
      <c r="E740" t="e">
        <f t="shared" si="34"/>
        <v>#N/A</v>
      </c>
      <c r="F740" s="28" t="str">
        <f t="shared" ca="1" si="35"/>
        <v/>
      </c>
    </row>
    <row r="741" spans="2:6" x14ac:dyDescent="0.2">
      <c r="B741" t="str">
        <f>IFERROR(IF('PDCA review'!$D$2=Act!B742,Act!G742,""),"")</f>
        <v/>
      </c>
      <c r="C741">
        <f t="shared" si="33"/>
        <v>0</v>
      </c>
      <c r="D741">
        <f>SUM($C$3:C741)</f>
        <v>4</v>
      </c>
      <c r="E741" t="e">
        <f t="shared" si="34"/>
        <v>#N/A</v>
      </c>
      <c r="F741" s="28" t="str">
        <f t="shared" ca="1" si="35"/>
        <v/>
      </c>
    </row>
    <row r="742" spans="2:6" x14ac:dyDescent="0.2">
      <c r="B742" t="str">
        <f>IFERROR(IF('PDCA review'!$D$2=Act!B743,Act!G743,""),"")</f>
        <v/>
      </c>
      <c r="C742">
        <f t="shared" si="33"/>
        <v>0</v>
      </c>
      <c r="D742">
        <f>SUM($C$3:C742)</f>
        <v>4</v>
      </c>
      <c r="E742" t="e">
        <f t="shared" si="34"/>
        <v>#N/A</v>
      </c>
      <c r="F742" s="28" t="str">
        <f t="shared" ca="1" si="35"/>
        <v/>
      </c>
    </row>
    <row r="743" spans="2:6" x14ac:dyDescent="0.2">
      <c r="B743" t="str">
        <f>IFERROR(IF('PDCA review'!$D$2=Act!B744,Act!G744,""),"")</f>
        <v/>
      </c>
      <c r="C743">
        <f t="shared" si="33"/>
        <v>0</v>
      </c>
      <c r="D743">
        <f>SUM($C$3:C743)</f>
        <v>4</v>
      </c>
      <c r="E743" t="e">
        <f t="shared" si="34"/>
        <v>#N/A</v>
      </c>
      <c r="F743" s="28" t="str">
        <f t="shared" ca="1" si="35"/>
        <v/>
      </c>
    </row>
    <row r="744" spans="2:6" x14ac:dyDescent="0.2">
      <c r="B744" t="str">
        <f>IFERROR(IF('PDCA review'!$D$2=Act!B745,Act!G745,""),"")</f>
        <v/>
      </c>
      <c r="C744">
        <f t="shared" si="33"/>
        <v>0</v>
      </c>
      <c r="D744">
        <f>SUM($C$3:C744)</f>
        <v>4</v>
      </c>
      <c r="E744" t="e">
        <f t="shared" si="34"/>
        <v>#N/A</v>
      </c>
      <c r="F744" s="28" t="str">
        <f t="shared" ca="1" si="35"/>
        <v/>
      </c>
    </row>
    <row r="745" spans="2:6" x14ac:dyDescent="0.2">
      <c r="B745" t="str">
        <f>IFERROR(IF('PDCA review'!$D$2=Act!B746,Act!G746,""),"")</f>
        <v/>
      </c>
      <c r="C745">
        <f t="shared" si="33"/>
        <v>0</v>
      </c>
      <c r="D745">
        <f>SUM($C$3:C745)</f>
        <v>4</v>
      </c>
      <c r="E745" t="e">
        <f t="shared" si="34"/>
        <v>#N/A</v>
      </c>
      <c r="F745" s="28" t="str">
        <f t="shared" ca="1" si="35"/>
        <v/>
      </c>
    </row>
    <row r="746" spans="2:6" x14ac:dyDescent="0.2">
      <c r="B746" t="str">
        <f>IFERROR(IF('PDCA review'!$D$2=Act!B747,Act!G747,""),"")</f>
        <v/>
      </c>
      <c r="C746">
        <f t="shared" si="33"/>
        <v>0</v>
      </c>
      <c r="D746">
        <f>SUM($C$3:C746)</f>
        <v>4</v>
      </c>
      <c r="E746" t="e">
        <f t="shared" si="34"/>
        <v>#N/A</v>
      </c>
      <c r="F746" s="28" t="str">
        <f t="shared" ca="1" si="35"/>
        <v/>
      </c>
    </row>
    <row r="747" spans="2:6" x14ac:dyDescent="0.2">
      <c r="B747" t="str">
        <f>IFERROR(IF('PDCA review'!$D$2=Act!B748,Act!G748,""),"")</f>
        <v/>
      </c>
      <c r="C747">
        <f t="shared" si="33"/>
        <v>0</v>
      </c>
      <c r="D747">
        <f>SUM($C$3:C747)</f>
        <v>4</v>
      </c>
      <c r="E747" t="e">
        <f t="shared" si="34"/>
        <v>#N/A</v>
      </c>
      <c r="F747" s="28" t="str">
        <f t="shared" ca="1" si="35"/>
        <v/>
      </c>
    </row>
    <row r="748" spans="2:6" x14ac:dyDescent="0.2">
      <c r="B748" t="str">
        <f>IFERROR(IF('PDCA review'!$D$2=Act!B749,Act!G749,""),"")</f>
        <v/>
      </c>
      <c r="C748">
        <f t="shared" si="33"/>
        <v>0</v>
      </c>
      <c r="D748">
        <f>SUM($C$3:C748)</f>
        <v>4</v>
      </c>
      <c r="E748" t="e">
        <f t="shared" si="34"/>
        <v>#N/A</v>
      </c>
      <c r="F748" s="28" t="str">
        <f t="shared" ca="1" si="35"/>
        <v/>
      </c>
    </row>
    <row r="749" spans="2:6" x14ac:dyDescent="0.2">
      <c r="B749" t="str">
        <f>IFERROR(IF('PDCA review'!$D$2=Act!B750,Act!G750,""),"")</f>
        <v/>
      </c>
      <c r="C749">
        <f t="shared" si="33"/>
        <v>0</v>
      </c>
      <c r="D749">
        <f>SUM($C$3:C749)</f>
        <v>4</v>
      </c>
      <c r="E749" t="e">
        <f t="shared" si="34"/>
        <v>#N/A</v>
      </c>
      <c r="F749" s="28" t="str">
        <f t="shared" ca="1" si="35"/>
        <v/>
      </c>
    </row>
    <row r="750" spans="2:6" x14ac:dyDescent="0.2">
      <c r="B750" t="str">
        <f>IFERROR(IF('PDCA review'!$D$2=Act!B751,Act!G751,""),"")</f>
        <v/>
      </c>
      <c r="C750">
        <f t="shared" si="33"/>
        <v>0</v>
      </c>
      <c r="D750">
        <f>SUM($C$3:C750)</f>
        <v>4</v>
      </c>
      <c r="E750" t="e">
        <f t="shared" si="34"/>
        <v>#N/A</v>
      </c>
      <c r="F750" s="28" t="str">
        <f t="shared" ca="1" si="35"/>
        <v/>
      </c>
    </row>
    <row r="751" spans="2:6" x14ac:dyDescent="0.2">
      <c r="B751" t="str">
        <f>IFERROR(IF('PDCA review'!$D$2=Act!B752,Act!G752,""),"")</f>
        <v/>
      </c>
      <c r="C751">
        <f t="shared" si="33"/>
        <v>0</v>
      </c>
      <c r="D751">
        <f>SUM($C$3:C751)</f>
        <v>4</v>
      </c>
      <c r="E751" t="e">
        <f t="shared" si="34"/>
        <v>#N/A</v>
      </c>
      <c r="F751" s="28" t="str">
        <f t="shared" ca="1" si="35"/>
        <v/>
      </c>
    </row>
    <row r="752" spans="2:6" x14ac:dyDescent="0.2">
      <c r="B752" t="str">
        <f>IFERROR(IF('PDCA review'!$D$2=Act!B753,Act!G753,""),"")</f>
        <v/>
      </c>
      <c r="C752">
        <f t="shared" si="33"/>
        <v>0</v>
      </c>
      <c r="D752">
        <f>SUM($C$3:C752)</f>
        <v>4</v>
      </c>
      <c r="E752" t="e">
        <f t="shared" si="34"/>
        <v>#N/A</v>
      </c>
      <c r="F752" s="28" t="str">
        <f t="shared" ca="1" si="35"/>
        <v/>
      </c>
    </row>
    <row r="753" spans="2:6" x14ac:dyDescent="0.2">
      <c r="B753" t="str">
        <f>IFERROR(IF('PDCA review'!$D$2=Act!B754,Act!G754,""),"")</f>
        <v/>
      </c>
      <c r="C753">
        <f t="shared" si="33"/>
        <v>0</v>
      </c>
      <c r="D753">
        <f>SUM($C$3:C753)</f>
        <v>4</v>
      </c>
      <c r="E753" t="e">
        <f t="shared" si="34"/>
        <v>#N/A</v>
      </c>
      <c r="F753" s="28" t="str">
        <f t="shared" ca="1" si="35"/>
        <v/>
      </c>
    </row>
    <row r="754" spans="2:6" x14ac:dyDescent="0.2">
      <c r="B754" t="str">
        <f>IFERROR(IF('PDCA review'!$D$2=Act!B755,Act!G755,""),"")</f>
        <v/>
      </c>
      <c r="C754">
        <f t="shared" si="33"/>
        <v>0</v>
      </c>
      <c r="D754">
        <f>SUM($C$3:C754)</f>
        <v>4</v>
      </c>
      <c r="E754" t="e">
        <f t="shared" si="34"/>
        <v>#N/A</v>
      </c>
      <c r="F754" s="28" t="str">
        <f t="shared" ca="1" si="35"/>
        <v/>
      </c>
    </row>
    <row r="755" spans="2:6" x14ac:dyDescent="0.2">
      <c r="B755" t="str">
        <f>IFERROR(IF('PDCA review'!$D$2=Act!B756,Act!G756,""),"")</f>
        <v/>
      </c>
      <c r="C755">
        <f t="shared" si="33"/>
        <v>0</v>
      </c>
      <c r="D755">
        <f>SUM($C$3:C755)</f>
        <v>4</v>
      </c>
      <c r="E755" t="e">
        <f t="shared" si="34"/>
        <v>#N/A</v>
      </c>
      <c r="F755" s="28" t="str">
        <f t="shared" ca="1" si="35"/>
        <v/>
      </c>
    </row>
    <row r="756" spans="2:6" x14ac:dyDescent="0.2">
      <c r="B756" t="str">
        <f>IFERROR(IF('PDCA review'!$D$2=Act!B757,Act!G757,""),"")</f>
        <v/>
      </c>
      <c r="C756">
        <f t="shared" si="33"/>
        <v>0</v>
      </c>
      <c r="D756">
        <f>SUM($C$3:C756)</f>
        <v>4</v>
      </c>
      <c r="E756" t="e">
        <f t="shared" si="34"/>
        <v>#N/A</v>
      </c>
      <c r="F756" s="28" t="str">
        <f t="shared" ca="1" si="35"/>
        <v/>
      </c>
    </row>
    <row r="757" spans="2:6" x14ac:dyDescent="0.2">
      <c r="B757" t="str">
        <f>IFERROR(IF('PDCA review'!$D$2=Act!B758,Act!G758,""),"")</f>
        <v/>
      </c>
      <c r="C757">
        <f t="shared" si="33"/>
        <v>0</v>
      </c>
      <c r="D757">
        <f>SUM($C$3:C757)</f>
        <v>4</v>
      </c>
      <c r="E757" t="e">
        <f t="shared" si="34"/>
        <v>#N/A</v>
      </c>
      <c r="F757" s="28" t="str">
        <f t="shared" ca="1" si="35"/>
        <v/>
      </c>
    </row>
    <row r="758" spans="2:6" x14ac:dyDescent="0.2">
      <c r="B758" t="str">
        <f>IFERROR(IF('PDCA review'!$D$2=Act!B759,Act!G759,""),"")</f>
        <v/>
      </c>
      <c r="C758">
        <f t="shared" si="33"/>
        <v>0</v>
      </c>
      <c r="D758">
        <f>SUM($C$3:C758)</f>
        <v>4</v>
      </c>
      <c r="E758" t="e">
        <f t="shared" si="34"/>
        <v>#N/A</v>
      </c>
      <c r="F758" s="28" t="str">
        <f t="shared" ca="1" si="35"/>
        <v/>
      </c>
    </row>
    <row r="759" spans="2:6" x14ac:dyDescent="0.2">
      <c r="B759" t="str">
        <f>IFERROR(IF('PDCA review'!$D$2=Act!B760,Act!G760,""),"")</f>
        <v/>
      </c>
      <c r="C759">
        <f t="shared" si="33"/>
        <v>0</v>
      </c>
      <c r="D759">
        <f>SUM($C$3:C759)</f>
        <v>4</v>
      </c>
      <c r="E759" t="e">
        <f t="shared" si="34"/>
        <v>#N/A</v>
      </c>
      <c r="F759" s="28" t="str">
        <f t="shared" ca="1" si="35"/>
        <v/>
      </c>
    </row>
    <row r="760" spans="2:6" x14ac:dyDescent="0.2">
      <c r="B760" t="str">
        <f>IFERROR(IF('PDCA review'!$D$2=Act!B761,Act!G761,""),"")</f>
        <v/>
      </c>
      <c r="C760">
        <f t="shared" si="33"/>
        <v>0</v>
      </c>
      <c r="D760">
        <f>SUM($C$3:C760)</f>
        <v>4</v>
      </c>
      <c r="E760" t="e">
        <f t="shared" si="34"/>
        <v>#N/A</v>
      </c>
      <c r="F760" s="28" t="str">
        <f t="shared" ca="1" si="35"/>
        <v/>
      </c>
    </row>
    <row r="761" spans="2:6" x14ac:dyDescent="0.2">
      <c r="B761" t="str">
        <f>IFERROR(IF('PDCA review'!$D$2=Act!B762,Act!G762,""),"")</f>
        <v/>
      </c>
      <c r="C761">
        <f t="shared" si="33"/>
        <v>0</v>
      </c>
      <c r="D761">
        <f>SUM($C$3:C761)</f>
        <v>4</v>
      </c>
      <c r="E761" t="e">
        <f t="shared" si="34"/>
        <v>#N/A</v>
      </c>
      <c r="F761" s="28" t="str">
        <f t="shared" ca="1" si="35"/>
        <v/>
      </c>
    </row>
    <row r="762" spans="2:6" x14ac:dyDescent="0.2">
      <c r="B762" t="str">
        <f>IFERROR(IF('PDCA review'!$D$2=Act!B763,Act!G763,""),"")</f>
        <v/>
      </c>
      <c r="C762">
        <f t="shared" si="33"/>
        <v>0</v>
      </c>
      <c r="D762">
        <f>SUM($C$3:C762)</f>
        <v>4</v>
      </c>
      <c r="E762" t="e">
        <f t="shared" si="34"/>
        <v>#N/A</v>
      </c>
      <c r="F762" s="28" t="str">
        <f t="shared" ca="1" si="35"/>
        <v/>
      </c>
    </row>
    <row r="763" spans="2:6" x14ac:dyDescent="0.2">
      <c r="B763" t="str">
        <f>IFERROR(IF('PDCA review'!$D$2=Act!B764,Act!G764,""),"")</f>
        <v/>
      </c>
      <c r="C763">
        <f t="shared" si="33"/>
        <v>0</v>
      </c>
      <c r="D763">
        <f>SUM($C$3:C763)</f>
        <v>4</v>
      </c>
      <c r="E763" t="e">
        <f t="shared" si="34"/>
        <v>#N/A</v>
      </c>
      <c r="F763" s="28" t="str">
        <f t="shared" ca="1" si="35"/>
        <v/>
      </c>
    </row>
    <row r="764" spans="2:6" x14ac:dyDescent="0.2">
      <c r="B764" t="str">
        <f>IFERROR(IF('PDCA review'!$D$2=Act!B765,Act!G765,""),"")</f>
        <v/>
      </c>
      <c r="C764">
        <f t="shared" si="33"/>
        <v>0</v>
      </c>
      <c r="D764">
        <f>SUM($C$3:C764)</f>
        <v>4</v>
      </c>
      <c r="E764" t="e">
        <f t="shared" si="34"/>
        <v>#N/A</v>
      </c>
      <c r="F764" s="28" t="str">
        <f t="shared" ca="1" si="35"/>
        <v/>
      </c>
    </row>
    <row r="765" spans="2:6" x14ac:dyDescent="0.2">
      <c r="B765" t="str">
        <f>IFERROR(IF('PDCA review'!$D$2=Act!B766,Act!G766,""),"")</f>
        <v/>
      </c>
      <c r="C765">
        <f t="shared" si="33"/>
        <v>0</v>
      </c>
      <c r="D765">
        <f>SUM($C$3:C765)</f>
        <v>4</v>
      </c>
      <c r="E765" t="e">
        <f t="shared" si="34"/>
        <v>#N/A</v>
      </c>
      <c r="F765" s="28" t="str">
        <f t="shared" ca="1" si="35"/>
        <v/>
      </c>
    </row>
    <row r="766" spans="2:6" x14ac:dyDescent="0.2">
      <c r="B766" t="str">
        <f>IFERROR(IF('PDCA review'!$D$2=Act!B767,Act!G767,""),"")</f>
        <v/>
      </c>
      <c r="C766">
        <f t="shared" si="33"/>
        <v>0</v>
      </c>
      <c r="D766">
        <f>SUM($C$3:C766)</f>
        <v>4</v>
      </c>
      <c r="E766" t="e">
        <f t="shared" si="34"/>
        <v>#N/A</v>
      </c>
      <c r="F766" s="28" t="str">
        <f t="shared" ca="1" si="35"/>
        <v/>
      </c>
    </row>
    <row r="767" spans="2:6" x14ac:dyDescent="0.2">
      <c r="B767" t="str">
        <f>IFERROR(IF('PDCA review'!$D$2=Act!B768,Act!G768,""),"")</f>
        <v/>
      </c>
      <c r="C767">
        <f t="shared" si="33"/>
        <v>0</v>
      </c>
      <c r="D767">
        <f>SUM($C$3:C767)</f>
        <v>4</v>
      </c>
      <c r="E767" t="e">
        <f t="shared" si="34"/>
        <v>#N/A</v>
      </c>
      <c r="F767" s="28" t="str">
        <f t="shared" ca="1" si="35"/>
        <v/>
      </c>
    </row>
    <row r="768" spans="2:6" x14ac:dyDescent="0.2">
      <c r="B768" t="str">
        <f>IFERROR(IF('PDCA review'!$D$2=Act!B769,Act!G769,""),"")</f>
        <v/>
      </c>
      <c r="C768">
        <f t="shared" si="33"/>
        <v>0</v>
      </c>
      <c r="D768">
        <f>SUM($C$3:C768)</f>
        <v>4</v>
      </c>
      <c r="E768" t="e">
        <f t="shared" si="34"/>
        <v>#N/A</v>
      </c>
      <c r="F768" s="28" t="str">
        <f t="shared" ca="1" si="35"/>
        <v/>
      </c>
    </row>
    <row r="769" spans="2:6" x14ac:dyDescent="0.2">
      <c r="B769" t="str">
        <f>IFERROR(IF('PDCA review'!$D$2=Act!B770,Act!G770,""),"")</f>
        <v/>
      </c>
      <c r="C769">
        <f t="shared" si="33"/>
        <v>0</v>
      </c>
      <c r="D769">
        <f>SUM($C$3:C769)</f>
        <v>4</v>
      </c>
      <c r="E769" t="e">
        <f t="shared" si="34"/>
        <v>#N/A</v>
      </c>
      <c r="F769" s="28" t="str">
        <f t="shared" ca="1" si="35"/>
        <v/>
      </c>
    </row>
    <row r="770" spans="2:6" x14ac:dyDescent="0.2">
      <c r="B770" t="str">
        <f>IFERROR(IF('PDCA review'!$D$2=Act!B771,Act!G771,""),"")</f>
        <v/>
      </c>
      <c r="C770">
        <f t="shared" si="33"/>
        <v>0</v>
      </c>
      <c r="D770">
        <f>SUM($C$3:C770)</f>
        <v>4</v>
      </c>
      <c r="E770" t="e">
        <f t="shared" si="34"/>
        <v>#N/A</v>
      </c>
      <c r="F770" s="28" t="str">
        <f t="shared" ca="1" si="35"/>
        <v/>
      </c>
    </row>
    <row r="771" spans="2:6" x14ac:dyDescent="0.2">
      <c r="B771" t="str">
        <f>IFERROR(IF('PDCA review'!$D$2=Act!B772,Act!G772,""),"")</f>
        <v/>
      </c>
      <c r="C771">
        <f t="shared" si="33"/>
        <v>0</v>
      </c>
      <c r="D771">
        <f>SUM($C$3:C771)</f>
        <v>4</v>
      </c>
      <c r="E771" t="e">
        <f t="shared" si="34"/>
        <v>#N/A</v>
      </c>
      <c r="F771" s="28" t="str">
        <f t="shared" ca="1" si="35"/>
        <v/>
      </c>
    </row>
    <row r="772" spans="2:6" x14ac:dyDescent="0.2">
      <c r="B772" t="str">
        <f>IFERROR(IF('PDCA review'!$D$2=Act!B773,Act!G773,""),"")</f>
        <v/>
      </c>
      <c r="C772">
        <f t="shared" ref="C772:C835" si="36">IF(B772&lt;&gt;"",1,0)</f>
        <v>0</v>
      </c>
      <c r="D772">
        <f>SUM($C$3:C772)</f>
        <v>4</v>
      </c>
      <c r="E772" t="e">
        <f t="shared" ref="E772:E835" si="37">MATCH(ROW()-$D$2,$D$3:$D$2000,0)+$D$2</f>
        <v>#N/A</v>
      </c>
      <c r="F772" s="28" t="str">
        <f t="shared" ref="F772:F835" ca="1" si="38">IFERROR(INDIRECT("B"&amp;E772),"")</f>
        <v/>
      </c>
    </row>
    <row r="773" spans="2:6" x14ac:dyDescent="0.2">
      <c r="B773" t="str">
        <f>IFERROR(IF('PDCA review'!$D$2=Act!B774,Act!G774,""),"")</f>
        <v/>
      </c>
      <c r="C773">
        <f t="shared" si="36"/>
        <v>0</v>
      </c>
      <c r="D773">
        <f>SUM($C$3:C773)</f>
        <v>4</v>
      </c>
      <c r="E773" t="e">
        <f t="shared" si="37"/>
        <v>#N/A</v>
      </c>
      <c r="F773" s="28" t="str">
        <f t="shared" ca="1" si="38"/>
        <v/>
      </c>
    </row>
    <row r="774" spans="2:6" x14ac:dyDescent="0.2">
      <c r="B774" t="str">
        <f>IFERROR(IF('PDCA review'!$D$2=Act!B775,Act!G775,""),"")</f>
        <v/>
      </c>
      <c r="C774">
        <f t="shared" si="36"/>
        <v>0</v>
      </c>
      <c r="D774">
        <f>SUM($C$3:C774)</f>
        <v>4</v>
      </c>
      <c r="E774" t="e">
        <f t="shared" si="37"/>
        <v>#N/A</v>
      </c>
      <c r="F774" s="28" t="str">
        <f t="shared" ca="1" si="38"/>
        <v/>
      </c>
    </row>
    <row r="775" spans="2:6" x14ac:dyDescent="0.2">
      <c r="B775" t="str">
        <f>IFERROR(IF('PDCA review'!$D$2=Act!B776,Act!G776,""),"")</f>
        <v/>
      </c>
      <c r="C775">
        <f t="shared" si="36"/>
        <v>0</v>
      </c>
      <c r="D775">
        <f>SUM($C$3:C775)</f>
        <v>4</v>
      </c>
      <c r="E775" t="e">
        <f t="shared" si="37"/>
        <v>#N/A</v>
      </c>
      <c r="F775" s="28" t="str">
        <f t="shared" ca="1" si="38"/>
        <v/>
      </c>
    </row>
    <row r="776" spans="2:6" x14ac:dyDescent="0.2">
      <c r="B776" t="str">
        <f>IFERROR(IF('PDCA review'!$D$2=Act!B777,Act!G777,""),"")</f>
        <v/>
      </c>
      <c r="C776">
        <f t="shared" si="36"/>
        <v>0</v>
      </c>
      <c r="D776">
        <f>SUM($C$3:C776)</f>
        <v>4</v>
      </c>
      <c r="E776" t="e">
        <f t="shared" si="37"/>
        <v>#N/A</v>
      </c>
      <c r="F776" s="28" t="str">
        <f t="shared" ca="1" si="38"/>
        <v/>
      </c>
    </row>
    <row r="777" spans="2:6" x14ac:dyDescent="0.2">
      <c r="B777" t="str">
        <f>IFERROR(IF('PDCA review'!$D$2=Act!B778,Act!G778,""),"")</f>
        <v/>
      </c>
      <c r="C777">
        <f t="shared" si="36"/>
        <v>0</v>
      </c>
      <c r="D777">
        <f>SUM($C$3:C777)</f>
        <v>4</v>
      </c>
      <c r="E777" t="e">
        <f t="shared" si="37"/>
        <v>#N/A</v>
      </c>
      <c r="F777" s="28" t="str">
        <f t="shared" ca="1" si="38"/>
        <v/>
      </c>
    </row>
    <row r="778" spans="2:6" x14ac:dyDescent="0.2">
      <c r="B778" t="str">
        <f>IFERROR(IF('PDCA review'!$D$2=Act!B779,Act!G779,""),"")</f>
        <v/>
      </c>
      <c r="C778">
        <f t="shared" si="36"/>
        <v>0</v>
      </c>
      <c r="D778">
        <f>SUM($C$3:C778)</f>
        <v>4</v>
      </c>
      <c r="E778" t="e">
        <f t="shared" si="37"/>
        <v>#N/A</v>
      </c>
      <c r="F778" s="28" t="str">
        <f t="shared" ca="1" si="38"/>
        <v/>
      </c>
    </row>
    <row r="779" spans="2:6" x14ac:dyDescent="0.2">
      <c r="B779" t="str">
        <f>IFERROR(IF('PDCA review'!$D$2=Act!B780,Act!G780,""),"")</f>
        <v/>
      </c>
      <c r="C779">
        <f t="shared" si="36"/>
        <v>0</v>
      </c>
      <c r="D779">
        <f>SUM($C$3:C779)</f>
        <v>4</v>
      </c>
      <c r="E779" t="e">
        <f t="shared" si="37"/>
        <v>#N/A</v>
      </c>
      <c r="F779" s="28" t="str">
        <f t="shared" ca="1" si="38"/>
        <v/>
      </c>
    </row>
    <row r="780" spans="2:6" x14ac:dyDescent="0.2">
      <c r="B780" t="str">
        <f>IFERROR(IF('PDCA review'!$D$2=Act!B781,Act!G781,""),"")</f>
        <v/>
      </c>
      <c r="C780">
        <f t="shared" si="36"/>
        <v>0</v>
      </c>
      <c r="D780">
        <f>SUM($C$3:C780)</f>
        <v>4</v>
      </c>
      <c r="E780" t="e">
        <f t="shared" si="37"/>
        <v>#N/A</v>
      </c>
      <c r="F780" s="28" t="str">
        <f t="shared" ca="1" si="38"/>
        <v/>
      </c>
    </row>
    <row r="781" spans="2:6" x14ac:dyDescent="0.2">
      <c r="B781" t="str">
        <f>IFERROR(IF('PDCA review'!$D$2=Act!B782,Act!G782,""),"")</f>
        <v/>
      </c>
      <c r="C781">
        <f t="shared" si="36"/>
        <v>0</v>
      </c>
      <c r="D781">
        <f>SUM($C$3:C781)</f>
        <v>4</v>
      </c>
      <c r="E781" t="e">
        <f t="shared" si="37"/>
        <v>#N/A</v>
      </c>
      <c r="F781" s="28" t="str">
        <f t="shared" ca="1" si="38"/>
        <v/>
      </c>
    </row>
    <row r="782" spans="2:6" x14ac:dyDescent="0.2">
      <c r="B782" t="str">
        <f>IFERROR(IF('PDCA review'!$D$2=Act!B783,Act!G783,""),"")</f>
        <v/>
      </c>
      <c r="C782">
        <f t="shared" si="36"/>
        <v>0</v>
      </c>
      <c r="D782">
        <f>SUM($C$3:C782)</f>
        <v>4</v>
      </c>
      <c r="E782" t="e">
        <f t="shared" si="37"/>
        <v>#N/A</v>
      </c>
      <c r="F782" s="28" t="str">
        <f t="shared" ca="1" si="38"/>
        <v/>
      </c>
    </row>
    <row r="783" spans="2:6" x14ac:dyDescent="0.2">
      <c r="B783" t="str">
        <f>IFERROR(IF('PDCA review'!$D$2=Act!B784,Act!G784,""),"")</f>
        <v/>
      </c>
      <c r="C783">
        <f t="shared" si="36"/>
        <v>0</v>
      </c>
      <c r="D783">
        <f>SUM($C$3:C783)</f>
        <v>4</v>
      </c>
      <c r="E783" t="e">
        <f t="shared" si="37"/>
        <v>#N/A</v>
      </c>
      <c r="F783" s="28" t="str">
        <f t="shared" ca="1" si="38"/>
        <v/>
      </c>
    </row>
    <row r="784" spans="2:6" x14ac:dyDescent="0.2">
      <c r="B784" t="str">
        <f>IFERROR(IF('PDCA review'!$D$2=Act!B785,Act!G785,""),"")</f>
        <v/>
      </c>
      <c r="C784">
        <f t="shared" si="36"/>
        <v>0</v>
      </c>
      <c r="D784">
        <f>SUM($C$3:C784)</f>
        <v>4</v>
      </c>
      <c r="E784" t="e">
        <f t="shared" si="37"/>
        <v>#N/A</v>
      </c>
      <c r="F784" s="28" t="str">
        <f t="shared" ca="1" si="38"/>
        <v/>
      </c>
    </row>
    <row r="785" spans="2:6" x14ac:dyDescent="0.2">
      <c r="B785" t="str">
        <f>IFERROR(IF('PDCA review'!$D$2=Act!B786,Act!G786,""),"")</f>
        <v/>
      </c>
      <c r="C785">
        <f t="shared" si="36"/>
        <v>0</v>
      </c>
      <c r="D785">
        <f>SUM($C$3:C785)</f>
        <v>4</v>
      </c>
      <c r="E785" t="e">
        <f t="shared" si="37"/>
        <v>#N/A</v>
      </c>
      <c r="F785" s="28" t="str">
        <f t="shared" ca="1" si="38"/>
        <v/>
      </c>
    </row>
    <row r="786" spans="2:6" x14ac:dyDescent="0.2">
      <c r="B786" t="str">
        <f>IFERROR(IF('PDCA review'!$D$2=Act!B787,Act!G787,""),"")</f>
        <v/>
      </c>
      <c r="C786">
        <f t="shared" si="36"/>
        <v>0</v>
      </c>
      <c r="D786">
        <f>SUM($C$3:C786)</f>
        <v>4</v>
      </c>
      <c r="E786" t="e">
        <f t="shared" si="37"/>
        <v>#N/A</v>
      </c>
      <c r="F786" s="28" t="str">
        <f t="shared" ca="1" si="38"/>
        <v/>
      </c>
    </row>
    <row r="787" spans="2:6" x14ac:dyDescent="0.2">
      <c r="B787" t="str">
        <f>IFERROR(IF('PDCA review'!$D$2=Act!B788,Act!G788,""),"")</f>
        <v/>
      </c>
      <c r="C787">
        <f t="shared" si="36"/>
        <v>0</v>
      </c>
      <c r="D787">
        <f>SUM($C$3:C787)</f>
        <v>4</v>
      </c>
      <c r="E787" t="e">
        <f t="shared" si="37"/>
        <v>#N/A</v>
      </c>
      <c r="F787" s="28" t="str">
        <f t="shared" ca="1" si="38"/>
        <v/>
      </c>
    </row>
    <row r="788" spans="2:6" x14ac:dyDescent="0.2">
      <c r="B788" t="str">
        <f>IFERROR(IF('PDCA review'!$D$2=Act!B789,Act!G789,""),"")</f>
        <v/>
      </c>
      <c r="C788">
        <f t="shared" si="36"/>
        <v>0</v>
      </c>
      <c r="D788">
        <f>SUM($C$3:C788)</f>
        <v>4</v>
      </c>
      <c r="E788" t="e">
        <f t="shared" si="37"/>
        <v>#N/A</v>
      </c>
      <c r="F788" s="28" t="str">
        <f t="shared" ca="1" si="38"/>
        <v/>
      </c>
    </row>
    <row r="789" spans="2:6" x14ac:dyDescent="0.2">
      <c r="B789" t="str">
        <f>IFERROR(IF('PDCA review'!$D$2=Act!B790,Act!G790,""),"")</f>
        <v/>
      </c>
      <c r="C789">
        <f t="shared" si="36"/>
        <v>0</v>
      </c>
      <c r="D789">
        <f>SUM($C$3:C789)</f>
        <v>4</v>
      </c>
      <c r="E789" t="e">
        <f t="shared" si="37"/>
        <v>#N/A</v>
      </c>
      <c r="F789" s="28" t="str">
        <f t="shared" ca="1" si="38"/>
        <v/>
      </c>
    </row>
    <row r="790" spans="2:6" x14ac:dyDescent="0.2">
      <c r="B790" t="str">
        <f>IFERROR(IF('PDCA review'!$D$2=Act!B791,Act!G791,""),"")</f>
        <v/>
      </c>
      <c r="C790">
        <f t="shared" si="36"/>
        <v>0</v>
      </c>
      <c r="D790">
        <f>SUM($C$3:C790)</f>
        <v>4</v>
      </c>
      <c r="E790" t="e">
        <f t="shared" si="37"/>
        <v>#N/A</v>
      </c>
      <c r="F790" s="28" t="str">
        <f t="shared" ca="1" si="38"/>
        <v/>
      </c>
    </row>
    <row r="791" spans="2:6" x14ac:dyDescent="0.2">
      <c r="B791" t="str">
        <f>IFERROR(IF('PDCA review'!$D$2=Act!B792,Act!G792,""),"")</f>
        <v/>
      </c>
      <c r="C791">
        <f t="shared" si="36"/>
        <v>0</v>
      </c>
      <c r="D791">
        <f>SUM($C$3:C791)</f>
        <v>4</v>
      </c>
      <c r="E791" t="e">
        <f t="shared" si="37"/>
        <v>#N/A</v>
      </c>
      <c r="F791" s="28" t="str">
        <f t="shared" ca="1" si="38"/>
        <v/>
      </c>
    </row>
    <row r="792" spans="2:6" x14ac:dyDescent="0.2">
      <c r="B792" t="str">
        <f>IFERROR(IF('PDCA review'!$D$2=Act!B793,Act!G793,""),"")</f>
        <v/>
      </c>
      <c r="C792">
        <f t="shared" si="36"/>
        <v>0</v>
      </c>
      <c r="D792">
        <f>SUM($C$3:C792)</f>
        <v>4</v>
      </c>
      <c r="E792" t="e">
        <f t="shared" si="37"/>
        <v>#N/A</v>
      </c>
      <c r="F792" s="28" t="str">
        <f t="shared" ca="1" si="38"/>
        <v/>
      </c>
    </row>
    <row r="793" spans="2:6" x14ac:dyDescent="0.2">
      <c r="B793" t="str">
        <f>IFERROR(IF('PDCA review'!$D$2=Act!B794,Act!G794,""),"")</f>
        <v/>
      </c>
      <c r="C793">
        <f t="shared" si="36"/>
        <v>0</v>
      </c>
      <c r="D793">
        <f>SUM($C$3:C793)</f>
        <v>4</v>
      </c>
      <c r="E793" t="e">
        <f t="shared" si="37"/>
        <v>#N/A</v>
      </c>
      <c r="F793" s="28" t="str">
        <f t="shared" ca="1" si="38"/>
        <v/>
      </c>
    </row>
    <row r="794" spans="2:6" x14ac:dyDescent="0.2">
      <c r="B794" t="str">
        <f>IFERROR(IF('PDCA review'!$D$2=Act!B795,Act!G795,""),"")</f>
        <v/>
      </c>
      <c r="C794">
        <f t="shared" si="36"/>
        <v>0</v>
      </c>
      <c r="D794">
        <f>SUM($C$3:C794)</f>
        <v>4</v>
      </c>
      <c r="E794" t="e">
        <f t="shared" si="37"/>
        <v>#N/A</v>
      </c>
      <c r="F794" s="28" t="str">
        <f t="shared" ca="1" si="38"/>
        <v/>
      </c>
    </row>
    <row r="795" spans="2:6" x14ac:dyDescent="0.2">
      <c r="B795" t="str">
        <f>IFERROR(IF('PDCA review'!$D$2=Act!B796,Act!G796,""),"")</f>
        <v/>
      </c>
      <c r="C795">
        <f t="shared" si="36"/>
        <v>0</v>
      </c>
      <c r="D795">
        <f>SUM($C$3:C795)</f>
        <v>4</v>
      </c>
      <c r="E795" t="e">
        <f t="shared" si="37"/>
        <v>#N/A</v>
      </c>
      <c r="F795" s="28" t="str">
        <f t="shared" ca="1" si="38"/>
        <v/>
      </c>
    </row>
    <row r="796" spans="2:6" x14ac:dyDescent="0.2">
      <c r="B796" t="str">
        <f>IFERROR(IF('PDCA review'!$D$2=Act!B797,Act!G797,""),"")</f>
        <v/>
      </c>
      <c r="C796">
        <f t="shared" si="36"/>
        <v>0</v>
      </c>
      <c r="D796">
        <f>SUM($C$3:C796)</f>
        <v>4</v>
      </c>
      <c r="E796" t="e">
        <f t="shared" si="37"/>
        <v>#N/A</v>
      </c>
      <c r="F796" s="28" t="str">
        <f t="shared" ca="1" si="38"/>
        <v/>
      </c>
    </row>
    <row r="797" spans="2:6" x14ac:dyDescent="0.2">
      <c r="B797" t="str">
        <f>IFERROR(IF('PDCA review'!$D$2=Act!B798,Act!G798,""),"")</f>
        <v/>
      </c>
      <c r="C797">
        <f t="shared" si="36"/>
        <v>0</v>
      </c>
      <c r="D797">
        <f>SUM($C$3:C797)</f>
        <v>4</v>
      </c>
      <c r="E797" t="e">
        <f t="shared" si="37"/>
        <v>#N/A</v>
      </c>
      <c r="F797" s="28" t="str">
        <f t="shared" ca="1" si="38"/>
        <v/>
      </c>
    </row>
    <row r="798" spans="2:6" x14ac:dyDescent="0.2">
      <c r="B798" t="str">
        <f>IFERROR(IF('PDCA review'!$D$2=Act!B799,Act!G799,""),"")</f>
        <v/>
      </c>
      <c r="C798">
        <f t="shared" si="36"/>
        <v>0</v>
      </c>
      <c r="D798">
        <f>SUM($C$3:C798)</f>
        <v>4</v>
      </c>
      <c r="E798" t="e">
        <f t="shared" si="37"/>
        <v>#N/A</v>
      </c>
      <c r="F798" s="28" t="str">
        <f t="shared" ca="1" si="38"/>
        <v/>
      </c>
    </row>
    <row r="799" spans="2:6" x14ac:dyDescent="0.2">
      <c r="B799" t="str">
        <f>IFERROR(IF('PDCA review'!$D$2=Act!B800,Act!G800,""),"")</f>
        <v/>
      </c>
      <c r="C799">
        <f t="shared" si="36"/>
        <v>0</v>
      </c>
      <c r="D799">
        <f>SUM($C$3:C799)</f>
        <v>4</v>
      </c>
      <c r="E799" t="e">
        <f t="shared" si="37"/>
        <v>#N/A</v>
      </c>
      <c r="F799" s="28" t="str">
        <f t="shared" ca="1" si="38"/>
        <v/>
      </c>
    </row>
    <row r="800" spans="2:6" x14ac:dyDescent="0.2">
      <c r="B800" t="str">
        <f>IFERROR(IF('PDCA review'!$D$2=Act!B801,Act!G801,""),"")</f>
        <v/>
      </c>
      <c r="C800">
        <f t="shared" si="36"/>
        <v>0</v>
      </c>
      <c r="D800">
        <f>SUM($C$3:C800)</f>
        <v>4</v>
      </c>
      <c r="E800" t="e">
        <f t="shared" si="37"/>
        <v>#N/A</v>
      </c>
      <c r="F800" s="28" t="str">
        <f t="shared" ca="1" si="38"/>
        <v/>
      </c>
    </row>
    <row r="801" spans="2:6" x14ac:dyDescent="0.2">
      <c r="B801" t="str">
        <f>IFERROR(IF('PDCA review'!$D$2=Act!B802,Act!G802,""),"")</f>
        <v/>
      </c>
      <c r="C801">
        <f t="shared" si="36"/>
        <v>0</v>
      </c>
      <c r="D801">
        <f>SUM($C$3:C801)</f>
        <v>4</v>
      </c>
      <c r="E801" t="e">
        <f t="shared" si="37"/>
        <v>#N/A</v>
      </c>
      <c r="F801" s="28" t="str">
        <f t="shared" ca="1" si="38"/>
        <v/>
      </c>
    </row>
    <row r="802" spans="2:6" x14ac:dyDescent="0.2">
      <c r="B802" t="str">
        <f>IFERROR(IF('PDCA review'!$D$2=Act!B803,Act!G803,""),"")</f>
        <v/>
      </c>
      <c r="C802">
        <f t="shared" si="36"/>
        <v>0</v>
      </c>
      <c r="D802">
        <f>SUM($C$3:C802)</f>
        <v>4</v>
      </c>
      <c r="E802" t="e">
        <f t="shared" si="37"/>
        <v>#N/A</v>
      </c>
      <c r="F802" s="28" t="str">
        <f t="shared" ca="1" si="38"/>
        <v/>
      </c>
    </row>
    <row r="803" spans="2:6" x14ac:dyDescent="0.2">
      <c r="B803" t="str">
        <f>IFERROR(IF('PDCA review'!$D$2=Act!B804,Act!G804,""),"")</f>
        <v/>
      </c>
      <c r="C803">
        <f t="shared" si="36"/>
        <v>0</v>
      </c>
      <c r="D803">
        <f>SUM($C$3:C803)</f>
        <v>4</v>
      </c>
      <c r="E803" t="e">
        <f t="shared" si="37"/>
        <v>#N/A</v>
      </c>
      <c r="F803" s="28" t="str">
        <f t="shared" ca="1" si="38"/>
        <v/>
      </c>
    </row>
    <row r="804" spans="2:6" x14ac:dyDescent="0.2">
      <c r="B804" t="str">
        <f>IFERROR(IF('PDCA review'!$D$2=Act!B805,Act!G805,""),"")</f>
        <v/>
      </c>
      <c r="C804">
        <f t="shared" si="36"/>
        <v>0</v>
      </c>
      <c r="D804">
        <f>SUM($C$3:C804)</f>
        <v>4</v>
      </c>
      <c r="E804" t="e">
        <f t="shared" si="37"/>
        <v>#N/A</v>
      </c>
      <c r="F804" s="28" t="str">
        <f t="shared" ca="1" si="38"/>
        <v/>
      </c>
    </row>
    <row r="805" spans="2:6" x14ac:dyDescent="0.2">
      <c r="B805" t="str">
        <f>IFERROR(IF('PDCA review'!$D$2=Act!B806,Act!G806,""),"")</f>
        <v/>
      </c>
      <c r="C805">
        <f t="shared" si="36"/>
        <v>0</v>
      </c>
      <c r="D805">
        <f>SUM($C$3:C805)</f>
        <v>4</v>
      </c>
      <c r="E805" t="e">
        <f t="shared" si="37"/>
        <v>#N/A</v>
      </c>
      <c r="F805" s="28" t="str">
        <f t="shared" ca="1" si="38"/>
        <v/>
      </c>
    </row>
    <row r="806" spans="2:6" x14ac:dyDescent="0.2">
      <c r="B806" t="str">
        <f>IFERROR(IF('PDCA review'!$D$2=Act!B807,Act!G807,""),"")</f>
        <v/>
      </c>
      <c r="C806">
        <f t="shared" si="36"/>
        <v>0</v>
      </c>
      <c r="D806">
        <f>SUM($C$3:C806)</f>
        <v>4</v>
      </c>
      <c r="E806" t="e">
        <f t="shared" si="37"/>
        <v>#N/A</v>
      </c>
      <c r="F806" s="28" t="str">
        <f t="shared" ca="1" si="38"/>
        <v/>
      </c>
    </row>
    <row r="807" spans="2:6" x14ac:dyDescent="0.2">
      <c r="B807" t="str">
        <f>IFERROR(IF('PDCA review'!$D$2=Act!B808,Act!G808,""),"")</f>
        <v/>
      </c>
      <c r="C807">
        <f t="shared" si="36"/>
        <v>0</v>
      </c>
      <c r="D807">
        <f>SUM($C$3:C807)</f>
        <v>4</v>
      </c>
      <c r="E807" t="e">
        <f t="shared" si="37"/>
        <v>#N/A</v>
      </c>
      <c r="F807" s="28" t="str">
        <f t="shared" ca="1" si="38"/>
        <v/>
      </c>
    </row>
    <row r="808" spans="2:6" x14ac:dyDescent="0.2">
      <c r="B808" t="str">
        <f>IFERROR(IF('PDCA review'!$D$2=Act!B809,Act!G809,""),"")</f>
        <v/>
      </c>
      <c r="C808">
        <f t="shared" si="36"/>
        <v>0</v>
      </c>
      <c r="D808">
        <f>SUM($C$3:C808)</f>
        <v>4</v>
      </c>
      <c r="E808" t="e">
        <f t="shared" si="37"/>
        <v>#N/A</v>
      </c>
      <c r="F808" s="28" t="str">
        <f t="shared" ca="1" si="38"/>
        <v/>
      </c>
    </row>
    <row r="809" spans="2:6" x14ac:dyDescent="0.2">
      <c r="B809" t="str">
        <f>IFERROR(IF('PDCA review'!$D$2=Act!B810,Act!G810,""),"")</f>
        <v/>
      </c>
      <c r="C809">
        <f t="shared" si="36"/>
        <v>0</v>
      </c>
      <c r="D809">
        <f>SUM($C$3:C809)</f>
        <v>4</v>
      </c>
      <c r="E809" t="e">
        <f t="shared" si="37"/>
        <v>#N/A</v>
      </c>
      <c r="F809" s="28" t="str">
        <f t="shared" ca="1" si="38"/>
        <v/>
      </c>
    </row>
    <row r="810" spans="2:6" x14ac:dyDescent="0.2">
      <c r="B810" t="str">
        <f>IFERROR(IF('PDCA review'!$D$2=Act!B811,Act!G811,""),"")</f>
        <v/>
      </c>
      <c r="C810">
        <f t="shared" si="36"/>
        <v>0</v>
      </c>
      <c r="D810">
        <f>SUM($C$3:C810)</f>
        <v>4</v>
      </c>
      <c r="E810" t="e">
        <f t="shared" si="37"/>
        <v>#N/A</v>
      </c>
      <c r="F810" s="28" t="str">
        <f t="shared" ca="1" si="38"/>
        <v/>
      </c>
    </row>
    <row r="811" spans="2:6" x14ac:dyDescent="0.2">
      <c r="B811" t="str">
        <f>IFERROR(IF('PDCA review'!$D$2=Act!B812,Act!G812,""),"")</f>
        <v/>
      </c>
      <c r="C811">
        <f t="shared" si="36"/>
        <v>0</v>
      </c>
      <c r="D811">
        <f>SUM($C$3:C811)</f>
        <v>4</v>
      </c>
      <c r="E811" t="e">
        <f t="shared" si="37"/>
        <v>#N/A</v>
      </c>
      <c r="F811" s="28" t="str">
        <f t="shared" ca="1" si="38"/>
        <v/>
      </c>
    </row>
    <row r="812" spans="2:6" x14ac:dyDescent="0.2">
      <c r="B812" t="str">
        <f>IFERROR(IF('PDCA review'!$D$2=Act!B813,Act!G813,""),"")</f>
        <v/>
      </c>
      <c r="C812">
        <f t="shared" si="36"/>
        <v>0</v>
      </c>
      <c r="D812">
        <f>SUM($C$3:C812)</f>
        <v>4</v>
      </c>
      <c r="E812" t="e">
        <f t="shared" si="37"/>
        <v>#N/A</v>
      </c>
      <c r="F812" s="28" t="str">
        <f t="shared" ca="1" si="38"/>
        <v/>
      </c>
    </row>
    <row r="813" spans="2:6" x14ac:dyDescent="0.2">
      <c r="B813" t="str">
        <f>IFERROR(IF('PDCA review'!$D$2=Act!B814,Act!G814,""),"")</f>
        <v/>
      </c>
      <c r="C813">
        <f t="shared" si="36"/>
        <v>0</v>
      </c>
      <c r="D813">
        <f>SUM($C$3:C813)</f>
        <v>4</v>
      </c>
      <c r="E813" t="e">
        <f t="shared" si="37"/>
        <v>#N/A</v>
      </c>
      <c r="F813" s="28" t="str">
        <f t="shared" ca="1" si="38"/>
        <v/>
      </c>
    </row>
    <row r="814" spans="2:6" x14ac:dyDescent="0.2">
      <c r="B814" t="str">
        <f>IFERROR(IF('PDCA review'!$D$2=Act!B815,Act!G815,""),"")</f>
        <v/>
      </c>
      <c r="C814">
        <f t="shared" si="36"/>
        <v>0</v>
      </c>
      <c r="D814">
        <f>SUM($C$3:C814)</f>
        <v>4</v>
      </c>
      <c r="E814" t="e">
        <f t="shared" si="37"/>
        <v>#N/A</v>
      </c>
      <c r="F814" s="28" t="str">
        <f t="shared" ca="1" si="38"/>
        <v/>
      </c>
    </row>
    <row r="815" spans="2:6" x14ac:dyDescent="0.2">
      <c r="B815" t="str">
        <f>IFERROR(IF('PDCA review'!$D$2=Act!B816,Act!G816,""),"")</f>
        <v/>
      </c>
      <c r="C815">
        <f t="shared" si="36"/>
        <v>0</v>
      </c>
      <c r="D815">
        <f>SUM($C$3:C815)</f>
        <v>4</v>
      </c>
      <c r="E815" t="e">
        <f t="shared" si="37"/>
        <v>#N/A</v>
      </c>
      <c r="F815" s="28" t="str">
        <f t="shared" ca="1" si="38"/>
        <v/>
      </c>
    </row>
    <row r="816" spans="2:6" x14ac:dyDescent="0.2">
      <c r="B816" t="str">
        <f>IFERROR(IF('PDCA review'!$D$2=Act!B817,Act!G817,""),"")</f>
        <v/>
      </c>
      <c r="C816">
        <f t="shared" si="36"/>
        <v>0</v>
      </c>
      <c r="D816">
        <f>SUM($C$3:C816)</f>
        <v>4</v>
      </c>
      <c r="E816" t="e">
        <f t="shared" si="37"/>
        <v>#N/A</v>
      </c>
      <c r="F816" s="28" t="str">
        <f t="shared" ca="1" si="38"/>
        <v/>
      </c>
    </row>
    <row r="817" spans="2:6" x14ac:dyDescent="0.2">
      <c r="B817" t="str">
        <f>IFERROR(IF('PDCA review'!$D$2=Act!B818,Act!G818,""),"")</f>
        <v/>
      </c>
      <c r="C817">
        <f t="shared" si="36"/>
        <v>0</v>
      </c>
      <c r="D817">
        <f>SUM($C$3:C817)</f>
        <v>4</v>
      </c>
      <c r="E817" t="e">
        <f t="shared" si="37"/>
        <v>#N/A</v>
      </c>
      <c r="F817" s="28" t="str">
        <f t="shared" ca="1" si="38"/>
        <v/>
      </c>
    </row>
    <row r="818" spans="2:6" x14ac:dyDescent="0.2">
      <c r="B818" t="str">
        <f>IFERROR(IF('PDCA review'!$D$2=Act!B819,Act!G819,""),"")</f>
        <v/>
      </c>
      <c r="C818">
        <f t="shared" si="36"/>
        <v>0</v>
      </c>
      <c r="D818">
        <f>SUM($C$3:C818)</f>
        <v>4</v>
      </c>
      <c r="E818" t="e">
        <f t="shared" si="37"/>
        <v>#N/A</v>
      </c>
      <c r="F818" s="28" t="str">
        <f t="shared" ca="1" si="38"/>
        <v/>
      </c>
    </row>
    <row r="819" spans="2:6" x14ac:dyDescent="0.2">
      <c r="B819" t="str">
        <f>IFERROR(IF('PDCA review'!$D$2=Act!B820,Act!G820,""),"")</f>
        <v/>
      </c>
      <c r="C819">
        <f t="shared" si="36"/>
        <v>0</v>
      </c>
      <c r="D819">
        <f>SUM($C$3:C819)</f>
        <v>4</v>
      </c>
      <c r="E819" t="e">
        <f t="shared" si="37"/>
        <v>#N/A</v>
      </c>
      <c r="F819" s="28" t="str">
        <f t="shared" ca="1" si="38"/>
        <v/>
      </c>
    </row>
    <row r="820" spans="2:6" x14ac:dyDescent="0.2">
      <c r="B820" t="str">
        <f>IFERROR(IF('PDCA review'!$D$2=Act!B821,Act!G821,""),"")</f>
        <v/>
      </c>
      <c r="C820">
        <f t="shared" si="36"/>
        <v>0</v>
      </c>
      <c r="D820">
        <f>SUM($C$3:C820)</f>
        <v>4</v>
      </c>
      <c r="E820" t="e">
        <f t="shared" si="37"/>
        <v>#N/A</v>
      </c>
      <c r="F820" s="28" t="str">
        <f t="shared" ca="1" si="38"/>
        <v/>
      </c>
    </row>
    <row r="821" spans="2:6" x14ac:dyDescent="0.2">
      <c r="B821" t="str">
        <f>IFERROR(IF('PDCA review'!$D$2=Act!B822,Act!G822,""),"")</f>
        <v/>
      </c>
      <c r="C821">
        <f t="shared" si="36"/>
        <v>0</v>
      </c>
      <c r="D821">
        <f>SUM($C$3:C821)</f>
        <v>4</v>
      </c>
      <c r="E821" t="e">
        <f t="shared" si="37"/>
        <v>#N/A</v>
      </c>
      <c r="F821" s="28" t="str">
        <f t="shared" ca="1" si="38"/>
        <v/>
      </c>
    </row>
    <row r="822" spans="2:6" x14ac:dyDescent="0.2">
      <c r="B822" t="str">
        <f>IFERROR(IF('PDCA review'!$D$2=Act!B823,Act!G823,""),"")</f>
        <v/>
      </c>
      <c r="C822">
        <f t="shared" si="36"/>
        <v>0</v>
      </c>
      <c r="D822">
        <f>SUM($C$3:C822)</f>
        <v>4</v>
      </c>
      <c r="E822" t="e">
        <f t="shared" si="37"/>
        <v>#N/A</v>
      </c>
      <c r="F822" s="28" t="str">
        <f t="shared" ca="1" si="38"/>
        <v/>
      </c>
    </row>
    <row r="823" spans="2:6" x14ac:dyDescent="0.2">
      <c r="B823" t="str">
        <f>IFERROR(IF('PDCA review'!$D$2=Act!B824,Act!G824,""),"")</f>
        <v/>
      </c>
      <c r="C823">
        <f t="shared" si="36"/>
        <v>0</v>
      </c>
      <c r="D823">
        <f>SUM($C$3:C823)</f>
        <v>4</v>
      </c>
      <c r="E823" t="e">
        <f t="shared" si="37"/>
        <v>#N/A</v>
      </c>
      <c r="F823" s="28" t="str">
        <f t="shared" ca="1" si="38"/>
        <v/>
      </c>
    </row>
    <row r="824" spans="2:6" x14ac:dyDescent="0.2">
      <c r="B824" t="str">
        <f>IFERROR(IF('PDCA review'!$D$2=Act!B825,Act!G825,""),"")</f>
        <v/>
      </c>
      <c r="C824">
        <f t="shared" si="36"/>
        <v>0</v>
      </c>
      <c r="D824">
        <f>SUM($C$3:C824)</f>
        <v>4</v>
      </c>
      <c r="E824" t="e">
        <f t="shared" si="37"/>
        <v>#N/A</v>
      </c>
      <c r="F824" s="28" t="str">
        <f t="shared" ca="1" si="38"/>
        <v/>
      </c>
    </row>
    <row r="825" spans="2:6" x14ac:dyDescent="0.2">
      <c r="B825" t="str">
        <f>IFERROR(IF('PDCA review'!$D$2=Act!B826,Act!G826,""),"")</f>
        <v/>
      </c>
      <c r="C825">
        <f t="shared" si="36"/>
        <v>0</v>
      </c>
      <c r="D825">
        <f>SUM($C$3:C825)</f>
        <v>4</v>
      </c>
      <c r="E825" t="e">
        <f t="shared" si="37"/>
        <v>#N/A</v>
      </c>
      <c r="F825" s="28" t="str">
        <f t="shared" ca="1" si="38"/>
        <v/>
      </c>
    </row>
    <row r="826" spans="2:6" x14ac:dyDescent="0.2">
      <c r="B826" t="str">
        <f>IFERROR(IF('PDCA review'!$D$2=Act!B827,Act!G827,""),"")</f>
        <v/>
      </c>
      <c r="C826">
        <f t="shared" si="36"/>
        <v>0</v>
      </c>
      <c r="D826">
        <f>SUM($C$3:C826)</f>
        <v>4</v>
      </c>
      <c r="E826" t="e">
        <f t="shared" si="37"/>
        <v>#N/A</v>
      </c>
      <c r="F826" s="28" t="str">
        <f t="shared" ca="1" si="38"/>
        <v/>
      </c>
    </row>
    <row r="827" spans="2:6" x14ac:dyDescent="0.2">
      <c r="B827" t="str">
        <f>IFERROR(IF('PDCA review'!$D$2=Act!B828,Act!G828,""),"")</f>
        <v/>
      </c>
      <c r="C827">
        <f t="shared" si="36"/>
        <v>0</v>
      </c>
      <c r="D827">
        <f>SUM($C$3:C827)</f>
        <v>4</v>
      </c>
      <c r="E827" t="e">
        <f t="shared" si="37"/>
        <v>#N/A</v>
      </c>
      <c r="F827" s="28" t="str">
        <f t="shared" ca="1" si="38"/>
        <v/>
      </c>
    </row>
    <row r="828" spans="2:6" x14ac:dyDescent="0.2">
      <c r="B828" t="str">
        <f>IFERROR(IF('PDCA review'!$D$2=Act!B829,Act!G829,""),"")</f>
        <v/>
      </c>
      <c r="C828">
        <f t="shared" si="36"/>
        <v>0</v>
      </c>
      <c r="D828">
        <f>SUM($C$3:C828)</f>
        <v>4</v>
      </c>
      <c r="E828" t="e">
        <f t="shared" si="37"/>
        <v>#N/A</v>
      </c>
      <c r="F828" s="28" t="str">
        <f t="shared" ca="1" si="38"/>
        <v/>
      </c>
    </row>
    <row r="829" spans="2:6" x14ac:dyDescent="0.2">
      <c r="B829" t="str">
        <f>IFERROR(IF('PDCA review'!$D$2=Act!B830,Act!G830,""),"")</f>
        <v/>
      </c>
      <c r="C829">
        <f t="shared" si="36"/>
        <v>0</v>
      </c>
      <c r="D829">
        <f>SUM($C$3:C829)</f>
        <v>4</v>
      </c>
      <c r="E829" t="e">
        <f t="shared" si="37"/>
        <v>#N/A</v>
      </c>
      <c r="F829" s="28" t="str">
        <f t="shared" ca="1" si="38"/>
        <v/>
      </c>
    </row>
    <row r="830" spans="2:6" x14ac:dyDescent="0.2">
      <c r="B830" t="str">
        <f>IFERROR(IF('PDCA review'!$D$2=Act!B831,Act!G831,""),"")</f>
        <v/>
      </c>
      <c r="C830">
        <f t="shared" si="36"/>
        <v>0</v>
      </c>
      <c r="D830">
        <f>SUM($C$3:C830)</f>
        <v>4</v>
      </c>
      <c r="E830" t="e">
        <f t="shared" si="37"/>
        <v>#N/A</v>
      </c>
      <c r="F830" s="28" t="str">
        <f t="shared" ca="1" si="38"/>
        <v/>
      </c>
    </row>
    <row r="831" spans="2:6" x14ac:dyDescent="0.2">
      <c r="B831" t="str">
        <f>IFERROR(IF('PDCA review'!$D$2=Act!B832,Act!G832,""),"")</f>
        <v/>
      </c>
      <c r="C831">
        <f t="shared" si="36"/>
        <v>0</v>
      </c>
      <c r="D831">
        <f>SUM($C$3:C831)</f>
        <v>4</v>
      </c>
      <c r="E831" t="e">
        <f t="shared" si="37"/>
        <v>#N/A</v>
      </c>
      <c r="F831" s="28" t="str">
        <f t="shared" ca="1" si="38"/>
        <v/>
      </c>
    </row>
    <row r="832" spans="2:6" x14ac:dyDescent="0.2">
      <c r="B832" t="str">
        <f>IFERROR(IF('PDCA review'!$D$2=Act!B833,Act!G833,""),"")</f>
        <v/>
      </c>
      <c r="C832">
        <f t="shared" si="36"/>
        <v>0</v>
      </c>
      <c r="D832">
        <f>SUM($C$3:C832)</f>
        <v>4</v>
      </c>
      <c r="E832" t="e">
        <f t="shared" si="37"/>
        <v>#N/A</v>
      </c>
      <c r="F832" s="28" t="str">
        <f t="shared" ca="1" si="38"/>
        <v/>
      </c>
    </row>
    <row r="833" spans="2:6" x14ac:dyDescent="0.2">
      <c r="B833" t="str">
        <f>IFERROR(IF('PDCA review'!$D$2=Act!B834,Act!G834,""),"")</f>
        <v/>
      </c>
      <c r="C833">
        <f t="shared" si="36"/>
        <v>0</v>
      </c>
      <c r="D833">
        <f>SUM($C$3:C833)</f>
        <v>4</v>
      </c>
      <c r="E833" t="e">
        <f t="shared" si="37"/>
        <v>#N/A</v>
      </c>
      <c r="F833" s="28" t="str">
        <f t="shared" ca="1" si="38"/>
        <v/>
      </c>
    </row>
    <row r="834" spans="2:6" x14ac:dyDescent="0.2">
      <c r="B834" t="str">
        <f>IFERROR(IF('PDCA review'!$D$2=Act!B835,Act!G835,""),"")</f>
        <v/>
      </c>
      <c r="C834">
        <f t="shared" si="36"/>
        <v>0</v>
      </c>
      <c r="D834">
        <f>SUM($C$3:C834)</f>
        <v>4</v>
      </c>
      <c r="E834" t="e">
        <f t="shared" si="37"/>
        <v>#N/A</v>
      </c>
      <c r="F834" s="28" t="str">
        <f t="shared" ca="1" si="38"/>
        <v/>
      </c>
    </row>
    <row r="835" spans="2:6" x14ac:dyDescent="0.2">
      <c r="B835" t="str">
        <f>IFERROR(IF('PDCA review'!$D$2=Act!B836,Act!G836,""),"")</f>
        <v/>
      </c>
      <c r="C835">
        <f t="shared" si="36"/>
        <v>0</v>
      </c>
      <c r="D835">
        <f>SUM($C$3:C835)</f>
        <v>4</v>
      </c>
      <c r="E835" t="e">
        <f t="shared" si="37"/>
        <v>#N/A</v>
      </c>
      <c r="F835" s="28" t="str">
        <f t="shared" ca="1" si="38"/>
        <v/>
      </c>
    </row>
    <row r="836" spans="2:6" x14ac:dyDescent="0.2">
      <c r="B836" t="str">
        <f>IFERROR(IF('PDCA review'!$D$2=Act!B837,Act!G837,""),"")</f>
        <v/>
      </c>
      <c r="C836">
        <f t="shared" ref="C836:C899" si="39">IF(B836&lt;&gt;"",1,0)</f>
        <v>0</v>
      </c>
      <c r="D836">
        <f>SUM($C$3:C836)</f>
        <v>4</v>
      </c>
      <c r="E836" t="e">
        <f t="shared" ref="E836:E899" si="40">MATCH(ROW()-$D$2,$D$3:$D$2000,0)+$D$2</f>
        <v>#N/A</v>
      </c>
      <c r="F836" s="28" t="str">
        <f t="shared" ref="F836:F899" ca="1" si="41">IFERROR(INDIRECT("B"&amp;E836),"")</f>
        <v/>
      </c>
    </row>
    <row r="837" spans="2:6" x14ac:dyDescent="0.2">
      <c r="B837" t="str">
        <f>IFERROR(IF('PDCA review'!$D$2=Act!B838,Act!G838,""),"")</f>
        <v/>
      </c>
      <c r="C837">
        <f t="shared" si="39"/>
        <v>0</v>
      </c>
      <c r="D837">
        <f>SUM($C$3:C837)</f>
        <v>4</v>
      </c>
      <c r="E837" t="e">
        <f t="shared" si="40"/>
        <v>#N/A</v>
      </c>
      <c r="F837" s="28" t="str">
        <f t="shared" ca="1" si="41"/>
        <v/>
      </c>
    </row>
    <row r="838" spans="2:6" x14ac:dyDescent="0.2">
      <c r="B838" t="str">
        <f>IFERROR(IF('PDCA review'!$D$2=Act!B839,Act!G839,""),"")</f>
        <v/>
      </c>
      <c r="C838">
        <f t="shared" si="39"/>
        <v>0</v>
      </c>
      <c r="D838">
        <f>SUM($C$3:C838)</f>
        <v>4</v>
      </c>
      <c r="E838" t="e">
        <f t="shared" si="40"/>
        <v>#N/A</v>
      </c>
      <c r="F838" s="28" t="str">
        <f t="shared" ca="1" si="41"/>
        <v/>
      </c>
    </row>
    <row r="839" spans="2:6" x14ac:dyDescent="0.2">
      <c r="B839" t="str">
        <f>IFERROR(IF('PDCA review'!$D$2=Act!B840,Act!G840,""),"")</f>
        <v/>
      </c>
      <c r="C839">
        <f t="shared" si="39"/>
        <v>0</v>
      </c>
      <c r="D839">
        <f>SUM($C$3:C839)</f>
        <v>4</v>
      </c>
      <c r="E839" t="e">
        <f t="shared" si="40"/>
        <v>#N/A</v>
      </c>
      <c r="F839" s="28" t="str">
        <f t="shared" ca="1" si="41"/>
        <v/>
      </c>
    </row>
    <row r="840" spans="2:6" x14ac:dyDescent="0.2">
      <c r="B840" t="str">
        <f>IFERROR(IF('PDCA review'!$D$2=Act!B841,Act!G841,""),"")</f>
        <v/>
      </c>
      <c r="C840">
        <f t="shared" si="39"/>
        <v>0</v>
      </c>
      <c r="D840">
        <f>SUM($C$3:C840)</f>
        <v>4</v>
      </c>
      <c r="E840" t="e">
        <f t="shared" si="40"/>
        <v>#N/A</v>
      </c>
      <c r="F840" s="28" t="str">
        <f t="shared" ca="1" si="41"/>
        <v/>
      </c>
    </row>
    <row r="841" spans="2:6" x14ac:dyDescent="0.2">
      <c r="B841" t="str">
        <f>IFERROR(IF('PDCA review'!$D$2=Act!B842,Act!G842,""),"")</f>
        <v/>
      </c>
      <c r="C841">
        <f t="shared" si="39"/>
        <v>0</v>
      </c>
      <c r="D841">
        <f>SUM($C$3:C841)</f>
        <v>4</v>
      </c>
      <c r="E841" t="e">
        <f t="shared" si="40"/>
        <v>#N/A</v>
      </c>
      <c r="F841" s="28" t="str">
        <f t="shared" ca="1" si="41"/>
        <v/>
      </c>
    </row>
    <row r="842" spans="2:6" x14ac:dyDescent="0.2">
      <c r="B842" t="str">
        <f>IFERROR(IF('PDCA review'!$D$2=Act!B843,Act!G843,""),"")</f>
        <v/>
      </c>
      <c r="C842">
        <f t="shared" si="39"/>
        <v>0</v>
      </c>
      <c r="D842">
        <f>SUM($C$3:C842)</f>
        <v>4</v>
      </c>
      <c r="E842" t="e">
        <f t="shared" si="40"/>
        <v>#N/A</v>
      </c>
      <c r="F842" s="28" t="str">
        <f t="shared" ca="1" si="41"/>
        <v/>
      </c>
    </row>
    <row r="843" spans="2:6" x14ac:dyDescent="0.2">
      <c r="B843" t="str">
        <f>IFERROR(IF('PDCA review'!$D$2=Act!B844,Act!G844,""),"")</f>
        <v/>
      </c>
      <c r="C843">
        <f t="shared" si="39"/>
        <v>0</v>
      </c>
      <c r="D843">
        <f>SUM($C$3:C843)</f>
        <v>4</v>
      </c>
      <c r="E843" t="e">
        <f t="shared" si="40"/>
        <v>#N/A</v>
      </c>
      <c r="F843" s="28" t="str">
        <f t="shared" ca="1" si="41"/>
        <v/>
      </c>
    </row>
    <row r="844" spans="2:6" x14ac:dyDescent="0.2">
      <c r="B844" t="str">
        <f>IFERROR(IF('PDCA review'!$D$2=Act!B845,Act!G845,""),"")</f>
        <v/>
      </c>
      <c r="C844">
        <f t="shared" si="39"/>
        <v>0</v>
      </c>
      <c r="D844">
        <f>SUM($C$3:C844)</f>
        <v>4</v>
      </c>
      <c r="E844" t="e">
        <f t="shared" si="40"/>
        <v>#N/A</v>
      </c>
      <c r="F844" s="28" t="str">
        <f t="shared" ca="1" si="41"/>
        <v/>
      </c>
    </row>
    <row r="845" spans="2:6" x14ac:dyDescent="0.2">
      <c r="B845" t="str">
        <f>IFERROR(IF('PDCA review'!$D$2=Act!B846,Act!G846,""),"")</f>
        <v/>
      </c>
      <c r="C845">
        <f t="shared" si="39"/>
        <v>0</v>
      </c>
      <c r="D845">
        <f>SUM($C$3:C845)</f>
        <v>4</v>
      </c>
      <c r="E845" t="e">
        <f t="shared" si="40"/>
        <v>#N/A</v>
      </c>
      <c r="F845" s="28" t="str">
        <f t="shared" ca="1" si="41"/>
        <v/>
      </c>
    </row>
    <row r="846" spans="2:6" x14ac:dyDescent="0.2">
      <c r="B846" t="str">
        <f>IFERROR(IF('PDCA review'!$D$2=Act!B847,Act!G847,""),"")</f>
        <v/>
      </c>
      <c r="C846">
        <f t="shared" si="39"/>
        <v>0</v>
      </c>
      <c r="D846">
        <f>SUM($C$3:C846)</f>
        <v>4</v>
      </c>
      <c r="E846" t="e">
        <f t="shared" si="40"/>
        <v>#N/A</v>
      </c>
      <c r="F846" s="28" t="str">
        <f t="shared" ca="1" si="41"/>
        <v/>
      </c>
    </row>
    <row r="847" spans="2:6" x14ac:dyDescent="0.2">
      <c r="B847" t="str">
        <f>IFERROR(IF('PDCA review'!$D$2=Act!B848,Act!G848,""),"")</f>
        <v/>
      </c>
      <c r="C847">
        <f t="shared" si="39"/>
        <v>0</v>
      </c>
      <c r="D847">
        <f>SUM($C$3:C847)</f>
        <v>4</v>
      </c>
      <c r="E847" t="e">
        <f t="shared" si="40"/>
        <v>#N/A</v>
      </c>
      <c r="F847" s="28" t="str">
        <f t="shared" ca="1" si="41"/>
        <v/>
      </c>
    </row>
    <row r="848" spans="2:6" x14ac:dyDescent="0.2">
      <c r="B848" t="str">
        <f>IFERROR(IF('PDCA review'!$D$2=Act!B849,Act!G849,""),"")</f>
        <v/>
      </c>
      <c r="C848">
        <f t="shared" si="39"/>
        <v>0</v>
      </c>
      <c r="D848">
        <f>SUM($C$3:C848)</f>
        <v>4</v>
      </c>
      <c r="E848" t="e">
        <f t="shared" si="40"/>
        <v>#N/A</v>
      </c>
      <c r="F848" s="28" t="str">
        <f t="shared" ca="1" si="41"/>
        <v/>
      </c>
    </row>
    <row r="849" spans="2:6" x14ac:dyDescent="0.2">
      <c r="B849" t="str">
        <f>IFERROR(IF('PDCA review'!$D$2=Act!B850,Act!G850,""),"")</f>
        <v/>
      </c>
      <c r="C849">
        <f t="shared" si="39"/>
        <v>0</v>
      </c>
      <c r="D849">
        <f>SUM($C$3:C849)</f>
        <v>4</v>
      </c>
      <c r="E849" t="e">
        <f t="shared" si="40"/>
        <v>#N/A</v>
      </c>
      <c r="F849" s="28" t="str">
        <f t="shared" ca="1" si="41"/>
        <v/>
      </c>
    </row>
    <row r="850" spans="2:6" x14ac:dyDescent="0.2">
      <c r="B850" t="str">
        <f>IFERROR(IF('PDCA review'!$D$2=Act!B851,Act!G851,""),"")</f>
        <v/>
      </c>
      <c r="C850">
        <f t="shared" si="39"/>
        <v>0</v>
      </c>
      <c r="D850">
        <f>SUM($C$3:C850)</f>
        <v>4</v>
      </c>
      <c r="E850" t="e">
        <f t="shared" si="40"/>
        <v>#N/A</v>
      </c>
      <c r="F850" s="28" t="str">
        <f t="shared" ca="1" si="41"/>
        <v/>
      </c>
    </row>
    <row r="851" spans="2:6" x14ac:dyDescent="0.2">
      <c r="B851" t="str">
        <f>IFERROR(IF('PDCA review'!$D$2=Act!B852,Act!G852,""),"")</f>
        <v/>
      </c>
      <c r="C851">
        <f t="shared" si="39"/>
        <v>0</v>
      </c>
      <c r="D851">
        <f>SUM($C$3:C851)</f>
        <v>4</v>
      </c>
      <c r="E851" t="e">
        <f t="shared" si="40"/>
        <v>#N/A</v>
      </c>
      <c r="F851" s="28" t="str">
        <f t="shared" ca="1" si="41"/>
        <v/>
      </c>
    </row>
    <row r="852" spans="2:6" x14ac:dyDescent="0.2">
      <c r="B852" t="str">
        <f>IFERROR(IF('PDCA review'!$D$2=Act!B853,Act!G853,""),"")</f>
        <v/>
      </c>
      <c r="C852">
        <f t="shared" si="39"/>
        <v>0</v>
      </c>
      <c r="D852">
        <f>SUM($C$3:C852)</f>
        <v>4</v>
      </c>
      <c r="E852" t="e">
        <f t="shared" si="40"/>
        <v>#N/A</v>
      </c>
      <c r="F852" s="28" t="str">
        <f t="shared" ca="1" si="41"/>
        <v/>
      </c>
    </row>
    <row r="853" spans="2:6" x14ac:dyDescent="0.2">
      <c r="B853" t="str">
        <f>IFERROR(IF('PDCA review'!$D$2=Act!B854,Act!G854,""),"")</f>
        <v/>
      </c>
      <c r="C853">
        <f t="shared" si="39"/>
        <v>0</v>
      </c>
      <c r="D853">
        <f>SUM($C$3:C853)</f>
        <v>4</v>
      </c>
      <c r="E853" t="e">
        <f t="shared" si="40"/>
        <v>#N/A</v>
      </c>
      <c r="F853" s="28" t="str">
        <f t="shared" ca="1" si="41"/>
        <v/>
      </c>
    </row>
    <row r="854" spans="2:6" x14ac:dyDescent="0.2">
      <c r="B854" t="str">
        <f>IFERROR(IF('PDCA review'!$D$2=Act!B855,Act!G855,""),"")</f>
        <v/>
      </c>
      <c r="C854">
        <f t="shared" si="39"/>
        <v>0</v>
      </c>
      <c r="D854">
        <f>SUM($C$3:C854)</f>
        <v>4</v>
      </c>
      <c r="E854" t="e">
        <f t="shared" si="40"/>
        <v>#N/A</v>
      </c>
      <c r="F854" s="28" t="str">
        <f t="shared" ca="1" si="41"/>
        <v/>
      </c>
    </row>
    <row r="855" spans="2:6" x14ac:dyDescent="0.2">
      <c r="B855" t="str">
        <f>IFERROR(IF('PDCA review'!$D$2=Act!B856,Act!G856,""),"")</f>
        <v/>
      </c>
      <c r="C855">
        <f t="shared" si="39"/>
        <v>0</v>
      </c>
      <c r="D855">
        <f>SUM($C$3:C855)</f>
        <v>4</v>
      </c>
      <c r="E855" t="e">
        <f t="shared" si="40"/>
        <v>#N/A</v>
      </c>
      <c r="F855" s="28" t="str">
        <f t="shared" ca="1" si="41"/>
        <v/>
      </c>
    </row>
    <row r="856" spans="2:6" x14ac:dyDescent="0.2">
      <c r="B856" t="str">
        <f>IFERROR(IF('PDCA review'!$D$2=Act!B857,Act!G857,""),"")</f>
        <v/>
      </c>
      <c r="C856">
        <f t="shared" si="39"/>
        <v>0</v>
      </c>
      <c r="D856">
        <f>SUM($C$3:C856)</f>
        <v>4</v>
      </c>
      <c r="E856" t="e">
        <f t="shared" si="40"/>
        <v>#N/A</v>
      </c>
      <c r="F856" s="28" t="str">
        <f t="shared" ca="1" si="41"/>
        <v/>
      </c>
    </row>
    <row r="857" spans="2:6" x14ac:dyDescent="0.2">
      <c r="B857" t="str">
        <f>IFERROR(IF('PDCA review'!$D$2=Act!B858,Act!G858,""),"")</f>
        <v/>
      </c>
      <c r="C857">
        <f t="shared" si="39"/>
        <v>0</v>
      </c>
      <c r="D857">
        <f>SUM($C$3:C857)</f>
        <v>4</v>
      </c>
      <c r="E857" t="e">
        <f t="shared" si="40"/>
        <v>#N/A</v>
      </c>
      <c r="F857" s="28" t="str">
        <f t="shared" ca="1" si="41"/>
        <v/>
      </c>
    </row>
    <row r="858" spans="2:6" x14ac:dyDescent="0.2">
      <c r="B858" t="str">
        <f>IFERROR(IF('PDCA review'!$D$2=Act!B859,Act!G859,""),"")</f>
        <v/>
      </c>
      <c r="C858">
        <f t="shared" si="39"/>
        <v>0</v>
      </c>
      <c r="D858">
        <f>SUM($C$3:C858)</f>
        <v>4</v>
      </c>
      <c r="E858" t="e">
        <f t="shared" si="40"/>
        <v>#N/A</v>
      </c>
      <c r="F858" s="28" t="str">
        <f t="shared" ca="1" si="41"/>
        <v/>
      </c>
    </row>
    <row r="859" spans="2:6" x14ac:dyDescent="0.2">
      <c r="B859" t="str">
        <f>IFERROR(IF('PDCA review'!$D$2=Act!B860,Act!G860,""),"")</f>
        <v/>
      </c>
      <c r="C859">
        <f t="shared" si="39"/>
        <v>0</v>
      </c>
      <c r="D859">
        <f>SUM($C$3:C859)</f>
        <v>4</v>
      </c>
      <c r="E859" t="e">
        <f t="shared" si="40"/>
        <v>#N/A</v>
      </c>
      <c r="F859" s="28" t="str">
        <f t="shared" ca="1" si="41"/>
        <v/>
      </c>
    </row>
    <row r="860" spans="2:6" x14ac:dyDescent="0.2">
      <c r="B860" t="str">
        <f>IFERROR(IF('PDCA review'!$D$2=Act!B861,Act!G861,""),"")</f>
        <v/>
      </c>
      <c r="C860">
        <f t="shared" si="39"/>
        <v>0</v>
      </c>
      <c r="D860">
        <f>SUM($C$3:C860)</f>
        <v>4</v>
      </c>
      <c r="E860" t="e">
        <f t="shared" si="40"/>
        <v>#N/A</v>
      </c>
      <c r="F860" s="28" t="str">
        <f t="shared" ca="1" si="41"/>
        <v/>
      </c>
    </row>
    <row r="861" spans="2:6" x14ac:dyDescent="0.2">
      <c r="B861" t="str">
        <f>IFERROR(IF('PDCA review'!$D$2=Act!B862,Act!G862,""),"")</f>
        <v/>
      </c>
      <c r="C861">
        <f t="shared" si="39"/>
        <v>0</v>
      </c>
      <c r="D861">
        <f>SUM($C$3:C861)</f>
        <v>4</v>
      </c>
      <c r="E861" t="e">
        <f t="shared" si="40"/>
        <v>#N/A</v>
      </c>
      <c r="F861" s="28" t="str">
        <f t="shared" ca="1" si="41"/>
        <v/>
      </c>
    </row>
    <row r="862" spans="2:6" x14ac:dyDescent="0.2">
      <c r="B862" t="str">
        <f>IFERROR(IF('PDCA review'!$D$2=Act!B863,Act!G863,""),"")</f>
        <v/>
      </c>
      <c r="C862">
        <f t="shared" si="39"/>
        <v>0</v>
      </c>
      <c r="D862">
        <f>SUM($C$3:C862)</f>
        <v>4</v>
      </c>
      <c r="E862" t="e">
        <f t="shared" si="40"/>
        <v>#N/A</v>
      </c>
      <c r="F862" s="28" t="str">
        <f t="shared" ca="1" si="41"/>
        <v/>
      </c>
    </row>
    <row r="863" spans="2:6" x14ac:dyDescent="0.2">
      <c r="B863" t="str">
        <f>IFERROR(IF('PDCA review'!$D$2=Act!B864,Act!G864,""),"")</f>
        <v/>
      </c>
      <c r="C863">
        <f t="shared" si="39"/>
        <v>0</v>
      </c>
      <c r="D863">
        <f>SUM($C$3:C863)</f>
        <v>4</v>
      </c>
      <c r="E863" t="e">
        <f t="shared" si="40"/>
        <v>#N/A</v>
      </c>
      <c r="F863" s="28" t="str">
        <f t="shared" ca="1" si="41"/>
        <v/>
      </c>
    </row>
    <row r="864" spans="2:6" x14ac:dyDescent="0.2">
      <c r="B864" t="str">
        <f>IFERROR(IF('PDCA review'!$D$2=Act!B865,Act!G865,""),"")</f>
        <v/>
      </c>
      <c r="C864">
        <f t="shared" si="39"/>
        <v>0</v>
      </c>
      <c r="D864">
        <f>SUM($C$3:C864)</f>
        <v>4</v>
      </c>
      <c r="E864" t="e">
        <f t="shared" si="40"/>
        <v>#N/A</v>
      </c>
      <c r="F864" s="28" t="str">
        <f t="shared" ca="1" si="41"/>
        <v/>
      </c>
    </row>
    <row r="865" spans="2:6" x14ac:dyDescent="0.2">
      <c r="B865" t="str">
        <f>IFERROR(IF('PDCA review'!$D$2=Act!B866,Act!G866,""),"")</f>
        <v/>
      </c>
      <c r="C865">
        <f t="shared" si="39"/>
        <v>0</v>
      </c>
      <c r="D865">
        <f>SUM($C$3:C865)</f>
        <v>4</v>
      </c>
      <c r="E865" t="e">
        <f t="shared" si="40"/>
        <v>#N/A</v>
      </c>
      <c r="F865" s="28" t="str">
        <f t="shared" ca="1" si="41"/>
        <v/>
      </c>
    </row>
    <row r="866" spans="2:6" x14ac:dyDescent="0.2">
      <c r="B866" t="str">
        <f>IFERROR(IF('PDCA review'!$D$2=Act!B867,Act!G867,""),"")</f>
        <v/>
      </c>
      <c r="C866">
        <f t="shared" si="39"/>
        <v>0</v>
      </c>
      <c r="D866">
        <f>SUM($C$3:C866)</f>
        <v>4</v>
      </c>
      <c r="E866" t="e">
        <f t="shared" si="40"/>
        <v>#N/A</v>
      </c>
      <c r="F866" s="28" t="str">
        <f t="shared" ca="1" si="41"/>
        <v/>
      </c>
    </row>
    <row r="867" spans="2:6" x14ac:dyDescent="0.2">
      <c r="B867" t="str">
        <f>IFERROR(IF('PDCA review'!$D$2=Act!B868,Act!G868,""),"")</f>
        <v/>
      </c>
      <c r="C867">
        <f t="shared" si="39"/>
        <v>0</v>
      </c>
      <c r="D867">
        <f>SUM($C$3:C867)</f>
        <v>4</v>
      </c>
      <c r="E867" t="e">
        <f t="shared" si="40"/>
        <v>#N/A</v>
      </c>
      <c r="F867" s="28" t="str">
        <f t="shared" ca="1" si="41"/>
        <v/>
      </c>
    </row>
    <row r="868" spans="2:6" x14ac:dyDescent="0.2">
      <c r="B868" t="str">
        <f>IFERROR(IF('PDCA review'!$D$2=Act!B869,Act!G869,""),"")</f>
        <v/>
      </c>
      <c r="C868">
        <f t="shared" si="39"/>
        <v>0</v>
      </c>
      <c r="D868">
        <f>SUM($C$3:C868)</f>
        <v>4</v>
      </c>
      <c r="E868" t="e">
        <f t="shared" si="40"/>
        <v>#N/A</v>
      </c>
      <c r="F868" s="28" t="str">
        <f t="shared" ca="1" si="41"/>
        <v/>
      </c>
    </row>
    <row r="869" spans="2:6" x14ac:dyDescent="0.2">
      <c r="B869" t="str">
        <f>IFERROR(IF('PDCA review'!$D$2=Act!B870,Act!G870,""),"")</f>
        <v/>
      </c>
      <c r="C869">
        <f t="shared" si="39"/>
        <v>0</v>
      </c>
      <c r="D869">
        <f>SUM($C$3:C869)</f>
        <v>4</v>
      </c>
      <c r="E869" t="e">
        <f t="shared" si="40"/>
        <v>#N/A</v>
      </c>
      <c r="F869" s="28" t="str">
        <f t="shared" ca="1" si="41"/>
        <v/>
      </c>
    </row>
    <row r="870" spans="2:6" x14ac:dyDescent="0.2">
      <c r="B870" t="str">
        <f>IFERROR(IF('PDCA review'!$D$2=Act!B871,Act!G871,""),"")</f>
        <v/>
      </c>
      <c r="C870">
        <f t="shared" si="39"/>
        <v>0</v>
      </c>
      <c r="D870">
        <f>SUM($C$3:C870)</f>
        <v>4</v>
      </c>
      <c r="E870" t="e">
        <f t="shared" si="40"/>
        <v>#N/A</v>
      </c>
      <c r="F870" s="28" t="str">
        <f t="shared" ca="1" si="41"/>
        <v/>
      </c>
    </row>
    <row r="871" spans="2:6" x14ac:dyDescent="0.2">
      <c r="B871" t="str">
        <f>IFERROR(IF('PDCA review'!$D$2=Act!B872,Act!G872,""),"")</f>
        <v/>
      </c>
      <c r="C871">
        <f t="shared" si="39"/>
        <v>0</v>
      </c>
      <c r="D871">
        <f>SUM($C$3:C871)</f>
        <v>4</v>
      </c>
      <c r="E871" t="e">
        <f t="shared" si="40"/>
        <v>#N/A</v>
      </c>
      <c r="F871" s="28" t="str">
        <f t="shared" ca="1" si="41"/>
        <v/>
      </c>
    </row>
    <row r="872" spans="2:6" x14ac:dyDescent="0.2">
      <c r="B872" t="str">
        <f>IFERROR(IF('PDCA review'!$D$2=Act!B873,Act!G873,""),"")</f>
        <v/>
      </c>
      <c r="C872">
        <f t="shared" si="39"/>
        <v>0</v>
      </c>
      <c r="D872">
        <f>SUM($C$3:C872)</f>
        <v>4</v>
      </c>
      <c r="E872" t="e">
        <f t="shared" si="40"/>
        <v>#N/A</v>
      </c>
      <c r="F872" s="28" t="str">
        <f t="shared" ca="1" si="41"/>
        <v/>
      </c>
    </row>
    <row r="873" spans="2:6" x14ac:dyDescent="0.2">
      <c r="B873" t="str">
        <f>IFERROR(IF('PDCA review'!$D$2=Act!B874,Act!G874,""),"")</f>
        <v/>
      </c>
      <c r="C873">
        <f t="shared" si="39"/>
        <v>0</v>
      </c>
      <c r="D873">
        <f>SUM($C$3:C873)</f>
        <v>4</v>
      </c>
      <c r="E873" t="e">
        <f t="shared" si="40"/>
        <v>#N/A</v>
      </c>
      <c r="F873" s="28" t="str">
        <f t="shared" ca="1" si="41"/>
        <v/>
      </c>
    </row>
    <row r="874" spans="2:6" x14ac:dyDescent="0.2">
      <c r="B874" t="str">
        <f>IFERROR(IF('PDCA review'!$D$2=Act!B875,Act!G875,""),"")</f>
        <v/>
      </c>
      <c r="C874">
        <f t="shared" si="39"/>
        <v>0</v>
      </c>
      <c r="D874">
        <f>SUM($C$3:C874)</f>
        <v>4</v>
      </c>
      <c r="E874" t="e">
        <f t="shared" si="40"/>
        <v>#N/A</v>
      </c>
      <c r="F874" s="28" t="str">
        <f t="shared" ca="1" si="41"/>
        <v/>
      </c>
    </row>
    <row r="875" spans="2:6" x14ac:dyDescent="0.2">
      <c r="B875" t="str">
        <f>IFERROR(IF('PDCA review'!$D$2=Act!B876,Act!G876,""),"")</f>
        <v/>
      </c>
      <c r="C875">
        <f t="shared" si="39"/>
        <v>0</v>
      </c>
      <c r="D875">
        <f>SUM($C$3:C875)</f>
        <v>4</v>
      </c>
      <c r="E875" t="e">
        <f t="shared" si="40"/>
        <v>#N/A</v>
      </c>
      <c r="F875" s="28" t="str">
        <f t="shared" ca="1" si="41"/>
        <v/>
      </c>
    </row>
    <row r="876" spans="2:6" x14ac:dyDescent="0.2">
      <c r="B876" t="str">
        <f>IFERROR(IF('PDCA review'!$D$2=Act!B877,Act!G877,""),"")</f>
        <v/>
      </c>
      <c r="C876">
        <f t="shared" si="39"/>
        <v>0</v>
      </c>
      <c r="D876">
        <f>SUM($C$3:C876)</f>
        <v>4</v>
      </c>
      <c r="E876" t="e">
        <f t="shared" si="40"/>
        <v>#N/A</v>
      </c>
      <c r="F876" s="28" t="str">
        <f t="shared" ca="1" si="41"/>
        <v/>
      </c>
    </row>
    <row r="877" spans="2:6" x14ac:dyDescent="0.2">
      <c r="B877" t="str">
        <f>IFERROR(IF('PDCA review'!$D$2=Act!B878,Act!G878,""),"")</f>
        <v/>
      </c>
      <c r="C877">
        <f t="shared" si="39"/>
        <v>0</v>
      </c>
      <c r="D877">
        <f>SUM($C$3:C877)</f>
        <v>4</v>
      </c>
      <c r="E877" t="e">
        <f t="shared" si="40"/>
        <v>#N/A</v>
      </c>
      <c r="F877" s="28" t="str">
        <f t="shared" ca="1" si="41"/>
        <v/>
      </c>
    </row>
    <row r="878" spans="2:6" x14ac:dyDescent="0.2">
      <c r="B878" t="str">
        <f>IFERROR(IF('PDCA review'!$D$2=Act!B879,Act!G879,""),"")</f>
        <v/>
      </c>
      <c r="C878">
        <f t="shared" si="39"/>
        <v>0</v>
      </c>
      <c r="D878">
        <f>SUM($C$3:C878)</f>
        <v>4</v>
      </c>
      <c r="E878" t="e">
        <f t="shared" si="40"/>
        <v>#N/A</v>
      </c>
      <c r="F878" s="28" t="str">
        <f t="shared" ca="1" si="41"/>
        <v/>
      </c>
    </row>
    <row r="879" spans="2:6" x14ac:dyDescent="0.2">
      <c r="B879" t="str">
        <f>IFERROR(IF('PDCA review'!$D$2=Act!B880,Act!G880,""),"")</f>
        <v/>
      </c>
      <c r="C879">
        <f t="shared" si="39"/>
        <v>0</v>
      </c>
      <c r="D879">
        <f>SUM($C$3:C879)</f>
        <v>4</v>
      </c>
      <c r="E879" t="e">
        <f t="shared" si="40"/>
        <v>#N/A</v>
      </c>
      <c r="F879" s="28" t="str">
        <f t="shared" ca="1" si="41"/>
        <v/>
      </c>
    </row>
    <row r="880" spans="2:6" x14ac:dyDescent="0.2">
      <c r="B880" t="str">
        <f>IFERROR(IF('PDCA review'!$D$2=Act!B881,Act!G881,""),"")</f>
        <v/>
      </c>
      <c r="C880">
        <f t="shared" si="39"/>
        <v>0</v>
      </c>
      <c r="D880">
        <f>SUM($C$3:C880)</f>
        <v>4</v>
      </c>
      <c r="E880" t="e">
        <f t="shared" si="40"/>
        <v>#N/A</v>
      </c>
      <c r="F880" s="28" t="str">
        <f t="shared" ca="1" si="41"/>
        <v/>
      </c>
    </row>
    <row r="881" spans="2:6" x14ac:dyDescent="0.2">
      <c r="B881" t="str">
        <f>IFERROR(IF('PDCA review'!$D$2=Act!B882,Act!G882,""),"")</f>
        <v/>
      </c>
      <c r="C881">
        <f t="shared" si="39"/>
        <v>0</v>
      </c>
      <c r="D881">
        <f>SUM($C$3:C881)</f>
        <v>4</v>
      </c>
      <c r="E881" t="e">
        <f t="shared" si="40"/>
        <v>#N/A</v>
      </c>
      <c r="F881" s="28" t="str">
        <f t="shared" ca="1" si="41"/>
        <v/>
      </c>
    </row>
    <row r="882" spans="2:6" x14ac:dyDescent="0.2">
      <c r="B882" t="str">
        <f>IFERROR(IF('PDCA review'!$D$2=Act!B883,Act!G883,""),"")</f>
        <v/>
      </c>
      <c r="C882">
        <f t="shared" si="39"/>
        <v>0</v>
      </c>
      <c r="D882">
        <f>SUM($C$3:C882)</f>
        <v>4</v>
      </c>
      <c r="E882" t="e">
        <f t="shared" si="40"/>
        <v>#N/A</v>
      </c>
      <c r="F882" s="28" t="str">
        <f t="shared" ca="1" si="41"/>
        <v/>
      </c>
    </row>
    <row r="883" spans="2:6" x14ac:dyDescent="0.2">
      <c r="B883" t="str">
        <f>IFERROR(IF('PDCA review'!$D$2=Act!B884,Act!G884,""),"")</f>
        <v/>
      </c>
      <c r="C883">
        <f t="shared" si="39"/>
        <v>0</v>
      </c>
      <c r="D883">
        <f>SUM($C$3:C883)</f>
        <v>4</v>
      </c>
      <c r="E883" t="e">
        <f t="shared" si="40"/>
        <v>#N/A</v>
      </c>
      <c r="F883" s="28" t="str">
        <f t="shared" ca="1" si="41"/>
        <v/>
      </c>
    </row>
    <row r="884" spans="2:6" x14ac:dyDescent="0.2">
      <c r="B884" t="str">
        <f>IFERROR(IF('PDCA review'!$D$2=Act!B885,Act!G885,""),"")</f>
        <v/>
      </c>
      <c r="C884">
        <f t="shared" si="39"/>
        <v>0</v>
      </c>
      <c r="D884">
        <f>SUM($C$3:C884)</f>
        <v>4</v>
      </c>
      <c r="E884" t="e">
        <f t="shared" si="40"/>
        <v>#N/A</v>
      </c>
      <c r="F884" s="28" t="str">
        <f t="shared" ca="1" si="41"/>
        <v/>
      </c>
    </row>
    <row r="885" spans="2:6" x14ac:dyDescent="0.2">
      <c r="B885" t="str">
        <f>IFERROR(IF('PDCA review'!$D$2=Act!B886,Act!G886,""),"")</f>
        <v/>
      </c>
      <c r="C885">
        <f t="shared" si="39"/>
        <v>0</v>
      </c>
      <c r="D885">
        <f>SUM($C$3:C885)</f>
        <v>4</v>
      </c>
      <c r="E885" t="e">
        <f t="shared" si="40"/>
        <v>#N/A</v>
      </c>
      <c r="F885" s="28" t="str">
        <f t="shared" ca="1" si="41"/>
        <v/>
      </c>
    </row>
    <row r="886" spans="2:6" x14ac:dyDescent="0.2">
      <c r="B886" t="str">
        <f>IFERROR(IF('PDCA review'!$D$2=Act!B887,Act!G887,""),"")</f>
        <v/>
      </c>
      <c r="C886">
        <f t="shared" si="39"/>
        <v>0</v>
      </c>
      <c r="D886">
        <f>SUM($C$3:C886)</f>
        <v>4</v>
      </c>
      <c r="E886" t="e">
        <f t="shared" si="40"/>
        <v>#N/A</v>
      </c>
      <c r="F886" s="28" t="str">
        <f t="shared" ca="1" si="41"/>
        <v/>
      </c>
    </row>
    <row r="887" spans="2:6" x14ac:dyDescent="0.2">
      <c r="B887" t="str">
        <f>IFERROR(IF('PDCA review'!$D$2=Act!B888,Act!G888,""),"")</f>
        <v/>
      </c>
      <c r="C887">
        <f t="shared" si="39"/>
        <v>0</v>
      </c>
      <c r="D887">
        <f>SUM($C$3:C887)</f>
        <v>4</v>
      </c>
      <c r="E887" t="e">
        <f t="shared" si="40"/>
        <v>#N/A</v>
      </c>
      <c r="F887" s="28" t="str">
        <f t="shared" ca="1" si="41"/>
        <v/>
      </c>
    </row>
    <row r="888" spans="2:6" x14ac:dyDescent="0.2">
      <c r="B888" t="str">
        <f>IFERROR(IF('PDCA review'!$D$2=Act!B889,Act!G889,""),"")</f>
        <v/>
      </c>
      <c r="C888">
        <f t="shared" si="39"/>
        <v>0</v>
      </c>
      <c r="D888">
        <f>SUM($C$3:C888)</f>
        <v>4</v>
      </c>
      <c r="E888" t="e">
        <f t="shared" si="40"/>
        <v>#N/A</v>
      </c>
      <c r="F888" s="28" t="str">
        <f t="shared" ca="1" si="41"/>
        <v/>
      </c>
    </row>
    <row r="889" spans="2:6" x14ac:dyDescent="0.2">
      <c r="B889" t="str">
        <f>IFERROR(IF('PDCA review'!$D$2=Act!B890,Act!G890,""),"")</f>
        <v/>
      </c>
      <c r="C889">
        <f t="shared" si="39"/>
        <v>0</v>
      </c>
      <c r="D889">
        <f>SUM($C$3:C889)</f>
        <v>4</v>
      </c>
      <c r="E889" t="e">
        <f t="shared" si="40"/>
        <v>#N/A</v>
      </c>
      <c r="F889" s="28" t="str">
        <f t="shared" ca="1" si="41"/>
        <v/>
      </c>
    </row>
    <row r="890" spans="2:6" x14ac:dyDescent="0.2">
      <c r="B890" t="str">
        <f>IFERROR(IF('PDCA review'!$D$2=Act!B891,Act!G891,""),"")</f>
        <v/>
      </c>
      <c r="C890">
        <f t="shared" si="39"/>
        <v>0</v>
      </c>
      <c r="D890">
        <f>SUM($C$3:C890)</f>
        <v>4</v>
      </c>
      <c r="E890" t="e">
        <f t="shared" si="40"/>
        <v>#N/A</v>
      </c>
      <c r="F890" s="28" t="str">
        <f t="shared" ca="1" si="41"/>
        <v/>
      </c>
    </row>
    <row r="891" spans="2:6" x14ac:dyDescent="0.2">
      <c r="B891" t="str">
        <f>IFERROR(IF('PDCA review'!$D$2=Act!B892,Act!G892,""),"")</f>
        <v/>
      </c>
      <c r="C891">
        <f t="shared" si="39"/>
        <v>0</v>
      </c>
      <c r="D891">
        <f>SUM($C$3:C891)</f>
        <v>4</v>
      </c>
      <c r="E891" t="e">
        <f t="shared" si="40"/>
        <v>#N/A</v>
      </c>
      <c r="F891" s="28" t="str">
        <f t="shared" ca="1" si="41"/>
        <v/>
      </c>
    </row>
    <row r="892" spans="2:6" x14ac:dyDescent="0.2">
      <c r="B892" t="str">
        <f>IFERROR(IF('PDCA review'!$D$2=Act!B893,Act!G893,""),"")</f>
        <v/>
      </c>
      <c r="C892">
        <f t="shared" si="39"/>
        <v>0</v>
      </c>
      <c r="D892">
        <f>SUM($C$3:C892)</f>
        <v>4</v>
      </c>
      <c r="E892" t="e">
        <f t="shared" si="40"/>
        <v>#N/A</v>
      </c>
      <c r="F892" s="28" t="str">
        <f t="shared" ca="1" si="41"/>
        <v/>
      </c>
    </row>
    <row r="893" spans="2:6" x14ac:dyDescent="0.2">
      <c r="B893" t="str">
        <f>IFERROR(IF('PDCA review'!$D$2=Act!B894,Act!G894,""),"")</f>
        <v/>
      </c>
      <c r="C893">
        <f t="shared" si="39"/>
        <v>0</v>
      </c>
      <c r="D893">
        <f>SUM($C$3:C893)</f>
        <v>4</v>
      </c>
      <c r="E893" t="e">
        <f t="shared" si="40"/>
        <v>#N/A</v>
      </c>
      <c r="F893" s="28" t="str">
        <f t="shared" ca="1" si="41"/>
        <v/>
      </c>
    </row>
    <row r="894" spans="2:6" x14ac:dyDescent="0.2">
      <c r="B894" t="str">
        <f>IFERROR(IF('PDCA review'!$D$2=Act!B895,Act!G895,""),"")</f>
        <v/>
      </c>
      <c r="C894">
        <f t="shared" si="39"/>
        <v>0</v>
      </c>
      <c r="D894">
        <f>SUM($C$3:C894)</f>
        <v>4</v>
      </c>
      <c r="E894" t="e">
        <f t="shared" si="40"/>
        <v>#N/A</v>
      </c>
      <c r="F894" s="28" t="str">
        <f t="shared" ca="1" si="41"/>
        <v/>
      </c>
    </row>
    <row r="895" spans="2:6" x14ac:dyDescent="0.2">
      <c r="B895" t="str">
        <f>IFERROR(IF('PDCA review'!$D$2=Act!B896,Act!G896,""),"")</f>
        <v/>
      </c>
      <c r="C895">
        <f t="shared" si="39"/>
        <v>0</v>
      </c>
      <c r="D895">
        <f>SUM($C$3:C895)</f>
        <v>4</v>
      </c>
      <c r="E895" t="e">
        <f t="shared" si="40"/>
        <v>#N/A</v>
      </c>
      <c r="F895" s="28" t="str">
        <f t="shared" ca="1" si="41"/>
        <v/>
      </c>
    </row>
    <row r="896" spans="2:6" x14ac:dyDescent="0.2">
      <c r="B896" t="str">
        <f>IFERROR(IF('PDCA review'!$D$2=Act!B897,Act!G897,""),"")</f>
        <v/>
      </c>
      <c r="C896">
        <f t="shared" si="39"/>
        <v>0</v>
      </c>
      <c r="D896">
        <f>SUM($C$3:C896)</f>
        <v>4</v>
      </c>
      <c r="E896" t="e">
        <f t="shared" si="40"/>
        <v>#N/A</v>
      </c>
      <c r="F896" s="28" t="str">
        <f t="shared" ca="1" si="41"/>
        <v/>
      </c>
    </row>
    <row r="897" spans="2:6" x14ac:dyDescent="0.2">
      <c r="B897" t="str">
        <f>IFERROR(IF('PDCA review'!$D$2=Act!B898,Act!G898,""),"")</f>
        <v/>
      </c>
      <c r="C897">
        <f t="shared" si="39"/>
        <v>0</v>
      </c>
      <c r="D897">
        <f>SUM($C$3:C897)</f>
        <v>4</v>
      </c>
      <c r="E897" t="e">
        <f t="shared" si="40"/>
        <v>#N/A</v>
      </c>
      <c r="F897" s="28" t="str">
        <f t="shared" ca="1" si="41"/>
        <v/>
      </c>
    </row>
    <row r="898" spans="2:6" x14ac:dyDescent="0.2">
      <c r="B898" t="str">
        <f>IFERROR(IF('PDCA review'!$D$2=Act!B899,Act!G899,""),"")</f>
        <v/>
      </c>
      <c r="C898">
        <f t="shared" si="39"/>
        <v>0</v>
      </c>
      <c r="D898">
        <f>SUM($C$3:C898)</f>
        <v>4</v>
      </c>
      <c r="E898" t="e">
        <f t="shared" si="40"/>
        <v>#N/A</v>
      </c>
      <c r="F898" s="28" t="str">
        <f t="shared" ca="1" si="41"/>
        <v/>
      </c>
    </row>
    <row r="899" spans="2:6" x14ac:dyDescent="0.2">
      <c r="B899" t="str">
        <f>IFERROR(IF('PDCA review'!$D$2=Act!B900,Act!G900,""),"")</f>
        <v/>
      </c>
      <c r="C899">
        <f t="shared" si="39"/>
        <v>0</v>
      </c>
      <c r="D899">
        <f>SUM($C$3:C899)</f>
        <v>4</v>
      </c>
      <c r="E899" t="e">
        <f t="shared" si="40"/>
        <v>#N/A</v>
      </c>
      <c r="F899" s="28" t="str">
        <f t="shared" ca="1" si="41"/>
        <v/>
      </c>
    </row>
    <row r="900" spans="2:6" x14ac:dyDescent="0.2">
      <c r="B900" t="str">
        <f>IFERROR(IF('PDCA review'!$D$2=Act!B901,Act!G901,""),"")</f>
        <v/>
      </c>
      <c r="C900">
        <f t="shared" ref="C900:C963" si="42">IF(B900&lt;&gt;"",1,0)</f>
        <v>0</v>
      </c>
      <c r="D900">
        <f>SUM($C$3:C900)</f>
        <v>4</v>
      </c>
      <c r="E900" t="e">
        <f t="shared" ref="E900:E963" si="43">MATCH(ROW()-$D$2,$D$3:$D$2000,0)+$D$2</f>
        <v>#N/A</v>
      </c>
      <c r="F900" s="28" t="str">
        <f t="shared" ref="F900:F963" ca="1" si="44">IFERROR(INDIRECT("B"&amp;E900),"")</f>
        <v/>
      </c>
    </row>
    <row r="901" spans="2:6" x14ac:dyDescent="0.2">
      <c r="B901" t="str">
        <f>IFERROR(IF('PDCA review'!$D$2=Act!B902,Act!G902,""),"")</f>
        <v/>
      </c>
      <c r="C901">
        <f t="shared" si="42"/>
        <v>0</v>
      </c>
      <c r="D901">
        <f>SUM($C$3:C901)</f>
        <v>4</v>
      </c>
      <c r="E901" t="e">
        <f t="shared" si="43"/>
        <v>#N/A</v>
      </c>
      <c r="F901" s="28" t="str">
        <f t="shared" ca="1" si="44"/>
        <v/>
      </c>
    </row>
    <row r="902" spans="2:6" x14ac:dyDescent="0.2">
      <c r="B902" t="str">
        <f>IFERROR(IF('PDCA review'!$D$2=Act!B903,Act!G903,""),"")</f>
        <v/>
      </c>
      <c r="C902">
        <f t="shared" si="42"/>
        <v>0</v>
      </c>
      <c r="D902">
        <f>SUM($C$3:C902)</f>
        <v>4</v>
      </c>
      <c r="E902" t="e">
        <f t="shared" si="43"/>
        <v>#N/A</v>
      </c>
      <c r="F902" s="28" t="str">
        <f t="shared" ca="1" si="44"/>
        <v/>
      </c>
    </row>
    <row r="903" spans="2:6" x14ac:dyDescent="0.2">
      <c r="B903" t="str">
        <f>IFERROR(IF('PDCA review'!$D$2=Act!B904,Act!G904,""),"")</f>
        <v/>
      </c>
      <c r="C903">
        <f t="shared" si="42"/>
        <v>0</v>
      </c>
      <c r="D903">
        <f>SUM($C$3:C903)</f>
        <v>4</v>
      </c>
      <c r="E903" t="e">
        <f t="shared" si="43"/>
        <v>#N/A</v>
      </c>
      <c r="F903" s="28" t="str">
        <f t="shared" ca="1" si="44"/>
        <v/>
      </c>
    </row>
    <row r="904" spans="2:6" x14ac:dyDescent="0.2">
      <c r="B904" t="str">
        <f>IFERROR(IF('PDCA review'!$D$2=Act!B905,Act!G905,""),"")</f>
        <v/>
      </c>
      <c r="C904">
        <f t="shared" si="42"/>
        <v>0</v>
      </c>
      <c r="D904">
        <f>SUM($C$3:C904)</f>
        <v>4</v>
      </c>
      <c r="E904" t="e">
        <f t="shared" si="43"/>
        <v>#N/A</v>
      </c>
      <c r="F904" s="28" t="str">
        <f t="shared" ca="1" si="44"/>
        <v/>
      </c>
    </row>
    <row r="905" spans="2:6" x14ac:dyDescent="0.2">
      <c r="B905" t="str">
        <f>IFERROR(IF('PDCA review'!$D$2=Act!B906,Act!G906,""),"")</f>
        <v/>
      </c>
      <c r="C905">
        <f t="shared" si="42"/>
        <v>0</v>
      </c>
      <c r="D905">
        <f>SUM($C$3:C905)</f>
        <v>4</v>
      </c>
      <c r="E905" t="e">
        <f t="shared" si="43"/>
        <v>#N/A</v>
      </c>
      <c r="F905" s="28" t="str">
        <f t="shared" ca="1" si="44"/>
        <v/>
      </c>
    </row>
    <row r="906" spans="2:6" x14ac:dyDescent="0.2">
      <c r="B906" t="str">
        <f>IFERROR(IF('PDCA review'!$D$2=Act!B907,Act!G907,""),"")</f>
        <v/>
      </c>
      <c r="C906">
        <f t="shared" si="42"/>
        <v>0</v>
      </c>
      <c r="D906">
        <f>SUM($C$3:C906)</f>
        <v>4</v>
      </c>
      <c r="E906" t="e">
        <f t="shared" si="43"/>
        <v>#N/A</v>
      </c>
      <c r="F906" s="28" t="str">
        <f t="shared" ca="1" si="44"/>
        <v/>
      </c>
    </row>
    <row r="907" spans="2:6" x14ac:dyDescent="0.2">
      <c r="B907" t="str">
        <f>IFERROR(IF('PDCA review'!$D$2=Act!B908,Act!G908,""),"")</f>
        <v/>
      </c>
      <c r="C907">
        <f t="shared" si="42"/>
        <v>0</v>
      </c>
      <c r="D907">
        <f>SUM($C$3:C907)</f>
        <v>4</v>
      </c>
      <c r="E907" t="e">
        <f t="shared" si="43"/>
        <v>#N/A</v>
      </c>
      <c r="F907" s="28" t="str">
        <f t="shared" ca="1" si="44"/>
        <v/>
      </c>
    </row>
    <row r="908" spans="2:6" x14ac:dyDescent="0.2">
      <c r="B908" t="str">
        <f>IFERROR(IF('PDCA review'!$D$2=Act!B909,Act!G909,""),"")</f>
        <v/>
      </c>
      <c r="C908">
        <f t="shared" si="42"/>
        <v>0</v>
      </c>
      <c r="D908">
        <f>SUM($C$3:C908)</f>
        <v>4</v>
      </c>
      <c r="E908" t="e">
        <f t="shared" si="43"/>
        <v>#N/A</v>
      </c>
      <c r="F908" s="28" t="str">
        <f t="shared" ca="1" si="44"/>
        <v/>
      </c>
    </row>
    <row r="909" spans="2:6" x14ac:dyDescent="0.2">
      <c r="B909" t="str">
        <f>IFERROR(IF('PDCA review'!$D$2=Act!B910,Act!G910,""),"")</f>
        <v/>
      </c>
      <c r="C909">
        <f t="shared" si="42"/>
        <v>0</v>
      </c>
      <c r="D909">
        <f>SUM($C$3:C909)</f>
        <v>4</v>
      </c>
      <c r="E909" t="e">
        <f t="shared" si="43"/>
        <v>#N/A</v>
      </c>
      <c r="F909" s="28" t="str">
        <f t="shared" ca="1" si="44"/>
        <v/>
      </c>
    </row>
    <row r="910" spans="2:6" x14ac:dyDescent="0.2">
      <c r="B910" t="str">
        <f>IFERROR(IF('PDCA review'!$D$2=Act!B911,Act!G911,""),"")</f>
        <v/>
      </c>
      <c r="C910">
        <f t="shared" si="42"/>
        <v>0</v>
      </c>
      <c r="D910">
        <f>SUM($C$3:C910)</f>
        <v>4</v>
      </c>
      <c r="E910" t="e">
        <f t="shared" si="43"/>
        <v>#N/A</v>
      </c>
      <c r="F910" s="28" t="str">
        <f t="shared" ca="1" si="44"/>
        <v/>
      </c>
    </row>
    <row r="911" spans="2:6" x14ac:dyDescent="0.2">
      <c r="B911" t="str">
        <f>IFERROR(IF('PDCA review'!$D$2=Act!B912,Act!G912,""),"")</f>
        <v/>
      </c>
      <c r="C911">
        <f t="shared" si="42"/>
        <v>0</v>
      </c>
      <c r="D911">
        <f>SUM($C$3:C911)</f>
        <v>4</v>
      </c>
      <c r="E911" t="e">
        <f t="shared" si="43"/>
        <v>#N/A</v>
      </c>
      <c r="F911" s="28" t="str">
        <f t="shared" ca="1" si="44"/>
        <v/>
      </c>
    </row>
    <row r="912" spans="2:6" x14ac:dyDescent="0.2">
      <c r="B912" t="str">
        <f>IFERROR(IF('PDCA review'!$D$2=Act!B913,Act!G913,""),"")</f>
        <v/>
      </c>
      <c r="C912">
        <f t="shared" si="42"/>
        <v>0</v>
      </c>
      <c r="D912">
        <f>SUM($C$3:C912)</f>
        <v>4</v>
      </c>
      <c r="E912" t="e">
        <f t="shared" si="43"/>
        <v>#N/A</v>
      </c>
      <c r="F912" s="28" t="str">
        <f t="shared" ca="1" si="44"/>
        <v/>
      </c>
    </row>
    <row r="913" spans="2:6" x14ac:dyDescent="0.2">
      <c r="B913" t="str">
        <f>IFERROR(IF('PDCA review'!$D$2=Act!B914,Act!G914,""),"")</f>
        <v/>
      </c>
      <c r="C913">
        <f t="shared" si="42"/>
        <v>0</v>
      </c>
      <c r="D913">
        <f>SUM($C$3:C913)</f>
        <v>4</v>
      </c>
      <c r="E913" t="e">
        <f t="shared" si="43"/>
        <v>#N/A</v>
      </c>
      <c r="F913" s="28" t="str">
        <f t="shared" ca="1" si="44"/>
        <v/>
      </c>
    </row>
    <row r="914" spans="2:6" x14ac:dyDescent="0.2">
      <c r="B914" t="str">
        <f>IFERROR(IF('PDCA review'!$D$2=Act!B915,Act!G915,""),"")</f>
        <v/>
      </c>
      <c r="C914">
        <f t="shared" si="42"/>
        <v>0</v>
      </c>
      <c r="D914">
        <f>SUM($C$3:C914)</f>
        <v>4</v>
      </c>
      <c r="E914" t="e">
        <f t="shared" si="43"/>
        <v>#N/A</v>
      </c>
      <c r="F914" s="28" t="str">
        <f t="shared" ca="1" si="44"/>
        <v/>
      </c>
    </row>
    <row r="915" spans="2:6" x14ac:dyDescent="0.2">
      <c r="B915" t="str">
        <f>IFERROR(IF('PDCA review'!$D$2=Act!B916,Act!G916,""),"")</f>
        <v/>
      </c>
      <c r="C915">
        <f t="shared" si="42"/>
        <v>0</v>
      </c>
      <c r="D915">
        <f>SUM($C$3:C915)</f>
        <v>4</v>
      </c>
      <c r="E915" t="e">
        <f t="shared" si="43"/>
        <v>#N/A</v>
      </c>
      <c r="F915" s="28" t="str">
        <f t="shared" ca="1" si="44"/>
        <v/>
      </c>
    </row>
    <row r="916" spans="2:6" x14ac:dyDescent="0.2">
      <c r="B916" t="str">
        <f>IFERROR(IF('PDCA review'!$D$2=Act!B917,Act!G917,""),"")</f>
        <v/>
      </c>
      <c r="C916">
        <f t="shared" si="42"/>
        <v>0</v>
      </c>
      <c r="D916">
        <f>SUM($C$3:C916)</f>
        <v>4</v>
      </c>
      <c r="E916" t="e">
        <f t="shared" si="43"/>
        <v>#N/A</v>
      </c>
      <c r="F916" s="28" t="str">
        <f t="shared" ca="1" si="44"/>
        <v/>
      </c>
    </row>
    <row r="917" spans="2:6" x14ac:dyDescent="0.2">
      <c r="B917" t="str">
        <f>IFERROR(IF('PDCA review'!$D$2=Act!B918,Act!G918,""),"")</f>
        <v/>
      </c>
      <c r="C917">
        <f t="shared" si="42"/>
        <v>0</v>
      </c>
      <c r="D917">
        <f>SUM($C$3:C917)</f>
        <v>4</v>
      </c>
      <c r="E917" t="e">
        <f t="shared" si="43"/>
        <v>#N/A</v>
      </c>
      <c r="F917" s="28" t="str">
        <f t="shared" ca="1" si="44"/>
        <v/>
      </c>
    </row>
    <row r="918" spans="2:6" x14ac:dyDescent="0.2">
      <c r="B918" t="str">
        <f>IFERROR(IF('PDCA review'!$D$2=Act!B919,Act!G919,""),"")</f>
        <v/>
      </c>
      <c r="C918">
        <f t="shared" si="42"/>
        <v>0</v>
      </c>
      <c r="D918">
        <f>SUM($C$3:C918)</f>
        <v>4</v>
      </c>
      <c r="E918" t="e">
        <f t="shared" si="43"/>
        <v>#N/A</v>
      </c>
      <c r="F918" s="28" t="str">
        <f t="shared" ca="1" si="44"/>
        <v/>
      </c>
    </row>
    <row r="919" spans="2:6" x14ac:dyDescent="0.2">
      <c r="B919" t="str">
        <f>IFERROR(IF('PDCA review'!$D$2=Act!B920,Act!G920,""),"")</f>
        <v/>
      </c>
      <c r="C919">
        <f t="shared" si="42"/>
        <v>0</v>
      </c>
      <c r="D919">
        <f>SUM($C$3:C919)</f>
        <v>4</v>
      </c>
      <c r="E919" t="e">
        <f t="shared" si="43"/>
        <v>#N/A</v>
      </c>
      <c r="F919" s="28" t="str">
        <f t="shared" ca="1" si="44"/>
        <v/>
      </c>
    </row>
    <row r="920" spans="2:6" x14ac:dyDescent="0.2">
      <c r="B920" t="str">
        <f>IFERROR(IF('PDCA review'!$D$2=Act!B921,Act!G921,""),"")</f>
        <v/>
      </c>
      <c r="C920">
        <f t="shared" si="42"/>
        <v>0</v>
      </c>
      <c r="D920">
        <f>SUM($C$3:C920)</f>
        <v>4</v>
      </c>
      <c r="E920" t="e">
        <f t="shared" si="43"/>
        <v>#N/A</v>
      </c>
      <c r="F920" s="28" t="str">
        <f t="shared" ca="1" si="44"/>
        <v/>
      </c>
    </row>
    <row r="921" spans="2:6" x14ac:dyDescent="0.2">
      <c r="B921" t="str">
        <f>IFERROR(IF('PDCA review'!$D$2=Act!B922,Act!G922,""),"")</f>
        <v/>
      </c>
      <c r="C921">
        <f t="shared" si="42"/>
        <v>0</v>
      </c>
      <c r="D921">
        <f>SUM($C$3:C921)</f>
        <v>4</v>
      </c>
      <c r="E921" t="e">
        <f t="shared" si="43"/>
        <v>#N/A</v>
      </c>
      <c r="F921" s="28" t="str">
        <f t="shared" ca="1" si="44"/>
        <v/>
      </c>
    </row>
    <row r="922" spans="2:6" x14ac:dyDescent="0.2">
      <c r="B922" t="str">
        <f>IFERROR(IF('PDCA review'!$D$2=Act!B923,Act!G923,""),"")</f>
        <v/>
      </c>
      <c r="C922">
        <f t="shared" si="42"/>
        <v>0</v>
      </c>
      <c r="D922">
        <f>SUM($C$3:C922)</f>
        <v>4</v>
      </c>
      <c r="E922" t="e">
        <f t="shared" si="43"/>
        <v>#N/A</v>
      </c>
      <c r="F922" s="28" t="str">
        <f t="shared" ca="1" si="44"/>
        <v/>
      </c>
    </row>
    <row r="923" spans="2:6" x14ac:dyDescent="0.2">
      <c r="B923" t="str">
        <f>IFERROR(IF('PDCA review'!$D$2=Act!B924,Act!G924,""),"")</f>
        <v/>
      </c>
      <c r="C923">
        <f t="shared" si="42"/>
        <v>0</v>
      </c>
      <c r="D923">
        <f>SUM($C$3:C923)</f>
        <v>4</v>
      </c>
      <c r="E923" t="e">
        <f t="shared" si="43"/>
        <v>#N/A</v>
      </c>
      <c r="F923" s="28" t="str">
        <f t="shared" ca="1" si="44"/>
        <v/>
      </c>
    </row>
    <row r="924" spans="2:6" x14ac:dyDescent="0.2">
      <c r="B924" t="str">
        <f>IFERROR(IF('PDCA review'!$D$2=Act!B925,Act!G925,""),"")</f>
        <v/>
      </c>
      <c r="C924">
        <f t="shared" si="42"/>
        <v>0</v>
      </c>
      <c r="D924">
        <f>SUM($C$3:C924)</f>
        <v>4</v>
      </c>
      <c r="E924" t="e">
        <f t="shared" si="43"/>
        <v>#N/A</v>
      </c>
      <c r="F924" s="28" t="str">
        <f t="shared" ca="1" si="44"/>
        <v/>
      </c>
    </row>
    <row r="925" spans="2:6" x14ac:dyDescent="0.2">
      <c r="B925" t="str">
        <f>IFERROR(IF('PDCA review'!$D$2=Act!B926,Act!G926,""),"")</f>
        <v/>
      </c>
      <c r="C925">
        <f t="shared" si="42"/>
        <v>0</v>
      </c>
      <c r="D925">
        <f>SUM($C$3:C925)</f>
        <v>4</v>
      </c>
      <c r="E925" t="e">
        <f t="shared" si="43"/>
        <v>#N/A</v>
      </c>
      <c r="F925" s="28" t="str">
        <f t="shared" ca="1" si="44"/>
        <v/>
      </c>
    </row>
    <row r="926" spans="2:6" x14ac:dyDescent="0.2">
      <c r="B926" t="str">
        <f>IFERROR(IF('PDCA review'!$D$2=Act!B927,Act!G927,""),"")</f>
        <v/>
      </c>
      <c r="C926">
        <f t="shared" si="42"/>
        <v>0</v>
      </c>
      <c r="D926">
        <f>SUM($C$3:C926)</f>
        <v>4</v>
      </c>
      <c r="E926" t="e">
        <f t="shared" si="43"/>
        <v>#N/A</v>
      </c>
      <c r="F926" s="28" t="str">
        <f t="shared" ca="1" si="44"/>
        <v/>
      </c>
    </row>
    <row r="927" spans="2:6" x14ac:dyDescent="0.2">
      <c r="B927" t="str">
        <f>IFERROR(IF('PDCA review'!$D$2=Act!B928,Act!G928,""),"")</f>
        <v/>
      </c>
      <c r="C927">
        <f t="shared" si="42"/>
        <v>0</v>
      </c>
      <c r="D927">
        <f>SUM($C$3:C927)</f>
        <v>4</v>
      </c>
      <c r="E927" t="e">
        <f t="shared" si="43"/>
        <v>#N/A</v>
      </c>
      <c r="F927" s="28" t="str">
        <f t="shared" ca="1" si="44"/>
        <v/>
      </c>
    </row>
    <row r="928" spans="2:6" x14ac:dyDescent="0.2">
      <c r="B928" t="str">
        <f>IFERROR(IF('PDCA review'!$D$2=Act!B929,Act!G929,""),"")</f>
        <v/>
      </c>
      <c r="C928">
        <f t="shared" si="42"/>
        <v>0</v>
      </c>
      <c r="D928">
        <f>SUM($C$3:C928)</f>
        <v>4</v>
      </c>
      <c r="E928" t="e">
        <f t="shared" si="43"/>
        <v>#N/A</v>
      </c>
      <c r="F928" s="28" t="str">
        <f t="shared" ca="1" si="44"/>
        <v/>
      </c>
    </row>
    <row r="929" spans="2:6" x14ac:dyDescent="0.2">
      <c r="B929" t="str">
        <f>IFERROR(IF('PDCA review'!$D$2=Act!B930,Act!G930,""),"")</f>
        <v/>
      </c>
      <c r="C929">
        <f t="shared" si="42"/>
        <v>0</v>
      </c>
      <c r="D929">
        <f>SUM($C$3:C929)</f>
        <v>4</v>
      </c>
      <c r="E929" t="e">
        <f t="shared" si="43"/>
        <v>#N/A</v>
      </c>
      <c r="F929" s="28" t="str">
        <f t="shared" ca="1" si="44"/>
        <v/>
      </c>
    </row>
    <row r="930" spans="2:6" x14ac:dyDescent="0.2">
      <c r="B930" t="str">
        <f>IFERROR(IF('PDCA review'!$D$2=Act!B931,Act!G931,""),"")</f>
        <v/>
      </c>
      <c r="C930">
        <f t="shared" si="42"/>
        <v>0</v>
      </c>
      <c r="D930">
        <f>SUM($C$3:C930)</f>
        <v>4</v>
      </c>
      <c r="E930" t="e">
        <f t="shared" si="43"/>
        <v>#N/A</v>
      </c>
      <c r="F930" s="28" t="str">
        <f t="shared" ca="1" si="44"/>
        <v/>
      </c>
    </row>
    <row r="931" spans="2:6" x14ac:dyDescent="0.2">
      <c r="B931" t="str">
        <f>IFERROR(IF('PDCA review'!$D$2=Act!B932,Act!G932,""),"")</f>
        <v/>
      </c>
      <c r="C931">
        <f t="shared" si="42"/>
        <v>0</v>
      </c>
      <c r="D931">
        <f>SUM($C$3:C931)</f>
        <v>4</v>
      </c>
      <c r="E931" t="e">
        <f t="shared" si="43"/>
        <v>#N/A</v>
      </c>
      <c r="F931" s="28" t="str">
        <f t="shared" ca="1" si="44"/>
        <v/>
      </c>
    </row>
    <row r="932" spans="2:6" x14ac:dyDescent="0.2">
      <c r="B932" t="str">
        <f>IFERROR(IF('PDCA review'!$D$2=Act!B933,Act!G933,""),"")</f>
        <v/>
      </c>
      <c r="C932">
        <f t="shared" si="42"/>
        <v>0</v>
      </c>
      <c r="D932">
        <f>SUM($C$3:C932)</f>
        <v>4</v>
      </c>
      <c r="E932" t="e">
        <f t="shared" si="43"/>
        <v>#N/A</v>
      </c>
      <c r="F932" s="28" t="str">
        <f t="shared" ca="1" si="44"/>
        <v/>
      </c>
    </row>
    <row r="933" spans="2:6" x14ac:dyDescent="0.2">
      <c r="B933" t="str">
        <f>IFERROR(IF('PDCA review'!$D$2=Act!B934,Act!G934,""),"")</f>
        <v/>
      </c>
      <c r="C933">
        <f t="shared" si="42"/>
        <v>0</v>
      </c>
      <c r="D933">
        <f>SUM($C$3:C933)</f>
        <v>4</v>
      </c>
      <c r="E933" t="e">
        <f t="shared" si="43"/>
        <v>#N/A</v>
      </c>
      <c r="F933" s="28" t="str">
        <f t="shared" ca="1" si="44"/>
        <v/>
      </c>
    </row>
    <row r="934" spans="2:6" x14ac:dyDescent="0.2">
      <c r="B934" t="str">
        <f>IFERROR(IF('PDCA review'!$D$2=Act!B935,Act!G935,""),"")</f>
        <v/>
      </c>
      <c r="C934">
        <f t="shared" si="42"/>
        <v>0</v>
      </c>
      <c r="D934">
        <f>SUM($C$3:C934)</f>
        <v>4</v>
      </c>
      <c r="E934" t="e">
        <f t="shared" si="43"/>
        <v>#N/A</v>
      </c>
      <c r="F934" s="28" t="str">
        <f t="shared" ca="1" si="44"/>
        <v/>
      </c>
    </row>
    <row r="935" spans="2:6" x14ac:dyDescent="0.2">
      <c r="B935" t="str">
        <f>IFERROR(IF('PDCA review'!$D$2=Act!B936,Act!G936,""),"")</f>
        <v/>
      </c>
      <c r="C935">
        <f t="shared" si="42"/>
        <v>0</v>
      </c>
      <c r="D935">
        <f>SUM($C$3:C935)</f>
        <v>4</v>
      </c>
      <c r="E935" t="e">
        <f t="shared" si="43"/>
        <v>#N/A</v>
      </c>
      <c r="F935" s="28" t="str">
        <f t="shared" ca="1" si="44"/>
        <v/>
      </c>
    </row>
    <row r="936" spans="2:6" x14ac:dyDescent="0.2">
      <c r="B936" t="str">
        <f>IFERROR(IF('PDCA review'!$D$2=Act!B937,Act!G937,""),"")</f>
        <v/>
      </c>
      <c r="C936">
        <f t="shared" si="42"/>
        <v>0</v>
      </c>
      <c r="D936">
        <f>SUM($C$3:C936)</f>
        <v>4</v>
      </c>
      <c r="E936" t="e">
        <f t="shared" si="43"/>
        <v>#N/A</v>
      </c>
      <c r="F936" s="28" t="str">
        <f t="shared" ca="1" si="44"/>
        <v/>
      </c>
    </row>
    <row r="937" spans="2:6" x14ac:dyDescent="0.2">
      <c r="B937" t="str">
        <f>IFERROR(IF('PDCA review'!$D$2=Act!B938,Act!G938,""),"")</f>
        <v/>
      </c>
      <c r="C937">
        <f t="shared" si="42"/>
        <v>0</v>
      </c>
      <c r="D937">
        <f>SUM($C$3:C937)</f>
        <v>4</v>
      </c>
      <c r="E937" t="e">
        <f t="shared" si="43"/>
        <v>#N/A</v>
      </c>
      <c r="F937" s="28" t="str">
        <f t="shared" ca="1" si="44"/>
        <v/>
      </c>
    </row>
    <row r="938" spans="2:6" x14ac:dyDescent="0.2">
      <c r="B938" t="str">
        <f>IFERROR(IF('PDCA review'!$D$2=Act!B939,Act!G939,""),"")</f>
        <v/>
      </c>
      <c r="C938">
        <f t="shared" si="42"/>
        <v>0</v>
      </c>
      <c r="D938">
        <f>SUM($C$3:C938)</f>
        <v>4</v>
      </c>
      <c r="E938" t="e">
        <f t="shared" si="43"/>
        <v>#N/A</v>
      </c>
      <c r="F938" s="28" t="str">
        <f t="shared" ca="1" si="44"/>
        <v/>
      </c>
    </row>
    <row r="939" spans="2:6" x14ac:dyDescent="0.2">
      <c r="B939" t="str">
        <f>IFERROR(IF('PDCA review'!$D$2=Act!B940,Act!G940,""),"")</f>
        <v/>
      </c>
      <c r="C939">
        <f t="shared" si="42"/>
        <v>0</v>
      </c>
      <c r="D939">
        <f>SUM($C$3:C939)</f>
        <v>4</v>
      </c>
      <c r="E939" t="e">
        <f t="shared" si="43"/>
        <v>#N/A</v>
      </c>
      <c r="F939" s="28" t="str">
        <f t="shared" ca="1" si="44"/>
        <v/>
      </c>
    </row>
    <row r="940" spans="2:6" x14ac:dyDescent="0.2">
      <c r="B940" t="str">
        <f>IFERROR(IF('PDCA review'!$D$2=Act!B941,Act!G941,""),"")</f>
        <v/>
      </c>
      <c r="C940">
        <f t="shared" si="42"/>
        <v>0</v>
      </c>
      <c r="D940">
        <f>SUM($C$3:C940)</f>
        <v>4</v>
      </c>
      <c r="E940" t="e">
        <f t="shared" si="43"/>
        <v>#N/A</v>
      </c>
      <c r="F940" s="28" t="str">
        <f t="shared" ca="1" si="44"/>
        <v/>
      </c>
    </row>
    <row r="941" spans="2:6" x14ac:dyDescent="0.2">
      <c r="B941" t="str">
        <f>IFERROR(IF('PDCA review'!$D$2=Act!B942,Act!G942,""),"")</f>
        <v/>
      </c>
      <c r="C941">
        <f t="shared" si="42"/>
        <v>0</v>
      </c>
      <c r="D941">
        <f>SUM($C$3:C941)</f>
        <v>4</v>
      </c>
      <c r="E941" t="e">
        <f t="shared" si="43"/>
        <v>#N/A</v>
      </c>
      <c r="F941" s="28" t="str">
        <f t="shared" ca="1" si="44"/>
        <v/>
      </c>
    </row>
    <row r="942" spans="2:6" x14ac:dyDescent="0.2">
      <c r="B942" t="str">
        <f>IFERROR(IF('PDCA review'!$D$2=Act!B943,Act!G943,""),"")</f>
        <v/>
      </c>
      <c r="C942">
        <f t="shared" si="42"/>
        <v>0</v>
      </c>
      <c r="D942">
        <f>SUM($C$3:C942)</f>
        <v>4</v>
      </c>
      <c r="E942" t="e">
        <f t="shared" si="43"/>
        <v>#N/A</v>
      </c>
      <c r="F942" s="28" t="str">
        <f t="shared" ca="1" si="44"/>
        <v/>
      </c>
    </row>
    <row r="943" spans="2:6" x14ac:dyDescent="0.2">
      <c r="B943" t="str">
        <f>IFERROR(IF('PDCA review'!$D$2=Act!B944,Act!G944,""),"")</f>
        <v/>
      </c>
      <c r="C943">
        <f t="shared" si="42"/>
        <v>0</v>
      </c>
      <c r="D943">
        <f>SUM($C$3:C943)</f>
        <v>4</v>
      </c>
      <c r="E943" t="e">
        <f t="shared" si="43"/>
        <v>#N/A</v>
      </c>
      <c r="F943" s="28" t="str">
        <f t="shared" ca="1" si="44"/>
        <v/>
      </c>
    </row>
    <row r="944" spans="2:6" x14ac:dyDescent="0.2">
      <c r="B944" t="str">
        <f>IFERROR(IF('PDCA review'!$D$2=Act!B945,Act!G945,""),"")</f>
        <v/>
      </c>
      <c r="C944">
        <f t="shared" si="42"/>
        <v>0</v>
      </c>
      <c r="D944">
        <f>SUM($C$3:C944)</f>
        <v>4</v>
      </c>
      <c r="E944" t="e">
        <f t="shared" si="43"/>
        <v>#N/A</v>
      </c>
      <c r="F944" s="28" t="str">
        <f t="shared" ca="1" si="44"/>
        <v/>
      </c>
    </row>
    <row r="945" spans="2:6" x14ac:dyDescent="0.2">
      <c r="B945" t="str">
        <f>IFERROR(IF('PDCA review'!$D$2=Act!B946,Act!G946,""),"")</f>
        <v/>
      </c>
      <c r="C945">
        <f t="shared" si="42"/>
        <v>0</v>
      </c>
      <c r="D945">
        <f>SUM($C$3:C945)</f>
        <v>4</v>
      </c>
      <c r="E945" t="e">
        <f t="shared" si="43"/>
        <v>#N/A</v>
      </c>
      <c r="F945" s="28" t="str">
        <f t="shared" ca="1" si="44"/>
        <v/>
      </c>
    </row>
    <row r="946" spans="2:6" x14ac:dyDescent="0.2">
      <c r="B946" t="str">
        <f>IFERROR(IF('PDCA review'!$D$2=Act!B947,Act!G947,""),"")</f>
        <v/>
      </c>
      <c r="C946">
        <f t="shared" si="42"/>
        <v>0</v>
      </c>
      <c r="D946">
        <f>SUM($C$3:C946)</f>
        <v>4</v>
      </c>
      <c r="E946" t="e">
        <f t="shared" si="43"/>
        <v>#N/A</v>
      </c>
      <c r="F946" s="28" t="str">
        <f t="shared" ca="1" si="44"/>
        <v/>
      </c>
    </row>
    <row r="947" spans="2:6" x14ac:dyDescent="0.2">
      <c r="B947" t="str">
        <f>IFERROR(IF('PDCA review'!$D$2=Act!B948,Act!G948,""),"")</f>
        <v/>
      </c>
      <c r="C947">
        <f t="shared" si="42"/>
        <v>0</v>
      </c>
      <c r="D947">
        <f>SUM($C$3:C947)</f>
        <v>4</v>
      </c>
      <c r="E947" t="e">
        <f t="shared" si="43"/>
        <v>#N/A</v>
      </c>
      <c r="F947" s="28" t="str">
        <f t="shared" ca="1" si="44"/>
        <v/>
      </c>
    </row>
    <row r="948" spans="2:6" x14ac:dyDescent="0.2">
      <c r="B948" t="str">
        <f>IFERROR(IF('PDCA review'!$D$2=Act!B949,Act!G949,""),"")</f>
        <v/>
      </c>
      <c r="C948">
        <f t="shared" si="42"/>
        <v>0</v>
      </c>
      <c r="D948">
        <f>SUM($C$3:C948)</f>
        <v>4</v>
      </c>
      <c r="E948" t="e">
        <f t="shared" si="43"/>
        <v>#N/A</v>
      </c>
      <c r="F948" s="28" t="str">
        <f t="shared" ca="1" si="44"/>
        <v/>
      </c>
    </row>
    <row r="949" spans="2:6" x14ac:dyDescent="0.2">
      <c r="B949" t="str">
        <f>IFERROR(IF('PDCA review'!$D$2=Act!B950,Act!G950,""),"")</f>
        <v/>
      </c>
      <c r="C949">
        <f t="shared" si="42"/>
        <v>0</v>
      </c>
      <c r="D949">
        <f>SUM($C$3:C949)</f>
        <v>4</v>
      </c>
      <c r="E949" t="e">
        <f t="shared" si="43"/>
        <v>#N/A</v>
      </c>
      <c r="F949" s="28" t="str">
        <f t="shared" ca="1" si="44"/>
        <v/>
      </c>
    </row>
    <row r="950" spans="2:6" x14ac:dyDescent="0.2">
      <c r="B950" t="str">
        <f>IFERROR(IF('PDCA review'!$D$2=Act!B951,Act!G951,""),"")</f>
        <v/>
      </c>
      <c r="C950">
        <f t="shared" si="42"/>
        <v>0</v>
      </c>
      <c r="D950">
        <f>SUM($C$3:C950)</f>
        <v>4</v>
      </c>
      <c r="E950" t="e">
        <f t="shared" si="43"/>
        <v>#N/A</v>
      </c>
      <c r="F950" s="28" t="str">
        <f t="shared" ca="1" si="44"/>
        <v/>
      </c>
    </row>
    <row r="951" spans="2:6" x14ac:dyDescent="0.2">
      <c r="B951" t="str">
        <f>IFERROR(IF('PDCA review'!$D$2=Act!B952,Act!G952,""),"")</f>
        <v/>
      </c>
      <c r="C951">
        <f t="shared" si="42"/>
        <v>0</v>
      </c>
      <c r="D951">
        <f>SUM($C$3:C951)</f>
        <v>4</v>
      </c>
      <c r="E951" t="e">
        <f t="shared" si="43"/>
        <v>#N/A</v>
      </c>
      <c r="F951" s="28" t="str">
        <f t="shared" ca="1" si="44"/>
        <v/>
      </c>
    </row>
    <row r="952" spans="2:6" x14ac:dyDescent="0.2">
      <c r="B952" t="str">
        <f>IFERROR(IF('PDCA review'!$D$2=Act!B953,Act!G953,""),"")</f>
        <v/>
      </c>
      <c r="C952">
        <f t="shared" si="42"/>
        <v>0</v>
      </c>
      <c r="D952">
        <f>SUM($C$3:C952)</f>
        <v>4</v>
      </c>
      <c r="E952" t="e">
        <f t="shared" si="43"/>
        <v>#N/A</v>
      </c>
      <c r="F952" s="28" t="str">
        <f t="shared" ca="1" si="44"/>
        <v/>
      </c>
    </row>
    <row r="953" spans="2:6" x14ac:dyDescent="0.2">
      <c r="B953" t="str">
        <f>IFERROR(IF('PDCA review'!$D$2=Act!B954,Act!G954,""),"")</f>
        <v/>
      </c>
      <c r="C953">
        <f t="shared" si="42"/>
        <v>0</v>
      </c>
      <c r="D953">
        <f>SUM($C$3:C953)</f>
        <v>4</v>
      </c>
      <c r="E953" t="e">
        <f t="shared" si="43"/>
        <v>#N/A</v>
      </c>
      <c r="F953" s="28" t="str">
        <f t="shared" ca="1" si="44"/>
        <v/>
      </c>
    </row>
    <row r="954" spans="2:6" x14ac:dyDescent="0.2">
      <c r="B954" t="str">
        <f>IFERROR(IF('PDCA review'!$D$2=Act!B955,Act!G955,""),"")</f>
        <v/>
      </c>
      <c r="C954">
        <f t="shared" si="42"/>
        <v>0</v>
      </c>
      <c r="D954">
        <f>SUM($C$3:C954)</f>
        <v>4</v>
      </c>
      <c r="E954" t="e">
        <f t="shared" si="43"/>
        <v>#N/A</v>
      </c>
      <c r="F954" s="28" t="str">
        <f t="shared" ca="1" si="44"/>
        <v/>
      </c>
    </row>
    <row r="955" spans="2:6" x14ac:dyDescent="0.2">
      <c r="B955" t="str">
        <f>IFERROR(IF('PDCA review'!$D$2=Act!B956,Act!G956,""),"")</f>
        <v/>
      </c>
      <c r="C955">
        <f t="shared" si="42"/>
        <v>0</v>
      </c>
      <c r="D955">
        <f>SUM($C$3:C955)</f>
        <v>4</v>
      </c>
      <c r="E955" t="e">
        <f t="shared" si="43"/>
        <v>#N/A</v>
      </c>
      <c r="F955" s="28" t="str">
        <f t="shared" ca="1" si="44"/>
        <v/>
      </c>
    </row>
    <row r="956" spans="2:6" x14ac:dyDescent="0.2">
      <c r="B956" t="str">
        <f>IFERROR(IF('PDCA review'!$D$2=Act!B957,Act!G957,""),"")</f>
        <v/>
      </c>
      <c r="C956">
        <f t="shared" si="42"/>
        <v>0</v>
      </c>
      <c r="D956">
        <f>SUM($C$3:C956)</f>
        <v>4</v>
      </c>
      <c r="E956" t="e">
        <f t="shared" si="43"/>
        <v>#N/A</v>
      </c>
      <c r="F956" s="28" t="str">
        <f t="shared" ca="1" si="44"/>
        <v/>
      </c>
    </row>
    <row r="957" spans="2:6" x14ac:dyDescent="0.2">
      <c r="B957" t="str">
        <f>IFERROR(IF('PDCA review'!$D$2=Act!B958,Act!G958,""),"")</f>
        <v/>
      </c>
      <c r="C957">
        <f t="shared" si="42"/>
        <v>0</v>
      </c>
      <c r="D957">
        <f>SUM($C$3:C957)</f>
        <v>4</v>
      </c>
      <c r="E957" t="e">
        <f t="shared" si="43"/>
        <v>#N/A</v>
      </c>
      <c r="F957" s="28" t="str">
        <f t="shared" ca="1" si="44"/>
        <v/>
      </c>
    </row>
    <row r="958" spans="2:6" x14ac:dyDescent="0.2">
      <c r="B958" t="str">
        <f>IFERROR(IF('PDCA review'!$D$2=Act!B959,Act!G959,""),"")</f>
        <v/>
      </c>
      <c r="C958">
        <f t="shared" si="42"/>
        <v>0</v>
      </c>
      <c r="D958">
        <f>SUM($C$3:C958)</f>
        <v>4</v>
      </c>
      <c r="E958" t="e">
        <f t="shared" si="43"/>
        <v>#N/A</v>
      </c>
      <c r="F958" s="28" t="str">
        <f t="shared" ca="1" si="44"/>
        <v/>
      </c>
    </row>
    <row r="959" spans="2:6" x14ac:dyDescent="0.2">
      <c r="B959" t="str">
        <f>IFERROR(IF('PDCA review'!$D$2=Act!B960,Act!G960,""),"")</f>
        <v/>
      </c>
      <c r="C959">
        <f t="shared" si="42"/>
        <v>0</v>
      </c>
      <c r="D959">
        <f>SUM($C$3:C959)</f>
        <v>4</v>
      </c>
      <c r="E959" t="e">
        <f t="shared" si="43"/>
        <v>#N/A</v>
      </c>
      <c r="F959" s="28" t="str">
        <f t="shared" ca="1" si="44"/>
        <v/>
      </c>
    </row>
    <row r="960" spans="2:6" x14ac:dyDescent="0.2">
      <c r="B960" t="str">
        <f>IFERROR(IF('PDCA review'!$D$2=Act!B961,Act!G961,""),"")</f>
        <v/>
      </c>
      <c r="C960">
        <f t="shared" si="42"/>
        <v>0</v>
      </c>
      <c r="D960">
        <f>SUM($C$3:C960)</f>
        <v>4</v>
      </c>
      <c r="E960" t="e">
        <f t="shared" si="43"/>
        <v>#N/A</v>
      </c>
      <c r="F960" s="28" t="str">
        <f t="shared" ca="1" si="44"/>
        <v/>
      </c>
    </row>
    <row r="961" spans="2:6" x14ac:dyDescent="0.2">
      <c r="B961" t="str">
        <f>IFERROR(IF('PDCA review'!$D$2=Act!B962,Act!G962,""),"")</f>
        <v/>
      </c>
      <c r="C961">
        <f t="shared" si="42"/>
        <v>0</v>
      </c>
      <c r="D961">
        <f>SUM($C$3:C961)</f>
        <v>4</v>
      </c>
      <c r="E961" t="e">
        <f t="shared" si="43"/>
        <v>#N/A</v>
      </c>
      <c r="F961" s="28" t="str">
        <f t="shared" ca="1" si="44"/>
        <v/>
      </c>
    </row>
    <row r="962" spans="2:6" x14ac:dyDescent="0.2">
      <c r="B962" t="str">
        <f>IFERROR(IF('PDCA review'!$D$2=Act!B963,Act!G963,""),"")</f>
        <v/>
      </c>
      <c r="C962">
        <f t="shared" si="42"/>
        <v>0</v>
      </c>
      <c r="D962">
        <f>SUM($C$3:C962)</f>
        <v>4</v>
      </c>
      <c r="E962" t="e">
        <f t="shared" si="43"/>
        <v>#N/A</v>
      </c>
      <c r="F962" s="28" t="str">
        <f t="shared" ca="1" si="44"/>
        <v/>
      </c>
    </row>
    <row r="963" spans="2:6" x14ac:dyDescent="0.2">
      <c r="B963" t="str">
        <f>IFERROR(IF('PDCA review'!$D$2=Act!B964,Act!G964,""),"")</f>
        <v/>
      </c>
      <c r="C963">
        <f t="shared" si="42"/>
        <v>0</v>
      </c>
      <c r="D963">
        <f>SUM($C$3:C963)</f>
        <v>4</v>
      </c>
      <c r="E963" t="e">
        <f t="shared" si="43"/>
        <v>#N/A</v>
      </c>
      <c r="F963" s="28" t="str">
        <f t="shared" ca="1" si="44"/>
        <v/>
      </c>
    </row>
    <row r="964" spans="2:6" x14ac:dyDescent="0.2">
      <c r="B964" t="str">
        <f>IFERROR(IF('PDCA review'!$D$2=Act!B965,Act!G965,""),"")</f>
        <v/>
      </c>
      <c r="C964">
        <f t="shared" ref="C964:C1027" si="45">IF(B964&lt;&gt;"",1,0)</f>
        <v>0</v>
      </c>
      <c r="D964">
        <f>SUM($C$3:C964)</f>
        <v>4</v>
      </c>
      <c r="E964" t="e">
        <f t="shared" ref="E964:E1027" si="46">MATCH(ROW()-$D$2,$D$3:$D$2000,0)+$D$2</f>
        <v>#N/A</v>
      </c>
      <c r="F964" s="28" t="str">
        <f t="shared" ref="F964:F1027" ca="1" si="47">IFERROR(INDIRECT("B"&amp;E964),"")</f>
        <v/>
      </c>
    </row>
    <row r="965" spans="2:6" x14ac:dyDescent="0.2">
      <c r="B965" t="str">
        <f>IFERROR(IF('PDCA review'!$D$2=Act!B966,Act!G966,""),"")</f>
        <v/>
      </c>
      <c r="C965">
        <f t="shared" si="45"/>
        <v>0</v>
      </c>
      <c r="D965">
        <f>SUM($C$3:C965)</f>
        <v>4</v>
      </c>
      <c r="E965" t="e">
        <f t="shared" si="46"/>
        <v>#N/A</v>
      </c>
      <c r="F965" s="28" t="str">
        <f t="shared" ca="1" si="47"/>
        <v/>
      </c>
    </row>
    <row r="966" spans="2:6" x14ac:dyDescent="0.2">
      <c r="B966" t="str">
        <f>IFERROR(IF('PDCA review'!$D$2=Act!B967,Act!G967,""),"")</f>
        <v/>
      </c>
      <c r="C966">
        <f t="shared" si="45"/>
        <v>0</v>
      </c>
      <c r="D966">
        <f>SUM($C$3:C966)</f>
        <v>4</v>
      </c>
      <c r="E966" t="e">
        <f t="shared" si="46"/>
        <v>#N/A</v>
      </c>
      <c r="F966" s="28" t="str">
        <f t="shared" ca="1" si="47"/>
        <v/>
      </c>
    </row>
    <row r="967" spans="2:6" x14ac:dyDescent="0.2">
      <c r="B967" t="str">
        <f>IFERROR(IF('PDCA review'!$D$2=Act!B968,Act!G968,""),"")</f>
        <v/>
      </c>
      <c r="C967">
        <f t="shared" si="45"/>
        <v>0</v>
      </c>
      <c r="D967">
        <f>SUM($C$3:C967)</f>
        <v>4</v>
      </c>
      <c r="E967" t="e">
        <f t="shared" si="46"/>
        <v>#N/A</v>
      </c>
      <c r="F967" s="28" t="str">
        <f t="shared" ca="1" si="47"/>
        <v/>
      </c>
    </row>
    <row r="968" spans="2:6" x14ac:dyDescent="0.2">
      <c r="B968" t="str">
        <f>IFERROR(IF('PDCA review'!$D$2=Act!B969,Act!G969,""),"")</f>
        <v/>
      </c>
      <c r="C968">
        <f t="shared" si="45"/>
        <v>0</v>
      </c>
      <c r="D968">
        <f>SUM($C$3:C968)</f>
        <v>4</v>
      </c>
      <c r="E968" t="e">
        <f t="shared" si="46"/>
        <v>#N/A</v>
      </c>
      <c r="F968" s="28" t="str">
        <f t="shared" ca="1" si="47"/>
        <v/>
      </c>
    </row>
    <row r="969" spans="2:6" x14ac:dyDescent="0.2">
      <c r="B969" t="str">
        <f>IFERROR(IF('PDCA review'!$D$2=Act!B970,Act!G970,""),"")</f>
        <v/>
      </c>
      <c r="C969">
        <f t="shared" si="45"/>
        <v>0</v>
      </c>
      <c r="D969">
        <f>SUM($C$3:C969)</f>
        <v>4</v>
      </c>
      <c r="E969" t="e">
        <f t="shared" si="46"/>
        <v>#N/A</v>
      </c>
      <c r="F969" s="28" t="str">
        <f t="shared" ca="1" si="47"/>
        <v/>
      </c>
    </row>
    <row r="970" spans="2:6" x14ac:dyDescent="0.2">
      <c r="B970" t="str">
        <f>IFERROR(IF('PDCA review'!$D$2=Act!B971,Act!G971,""),"")</f>
        <v/>
      </c>
      <c r="C970">
        <f t="shared" si="45"/>
        <v>0</v>
      </c>
      <c r="D970">
        <f>SUM($C$3:C970)</f>
        <v>4</v>
      </c>
      <c r="E970" t="e">
        <f t="shared" si="46"/>
        <v>#N/A</v>
      </c>
      <c r="F970" s="28" t="str">
        <f t="shared" ca="1" si="47"/>
        <v/>
      </c>
    </row>
    <row r="971" spans="2:6" x14ac:dyDescent="0.2">
      <c r="B971" t="str">
        <f>IFERROR(IF('PDCA review'!$D$2=Act!B972,Act!G972,""),"")</f>
        <v/>
      </c>
      <c r="C971">
        <f t="shared" si="45"/>
        <v>0</v>
      </c>
      <c r="D971">
        <f>SUM($C$3:C971)</f>
        <v>4</v>
      </c>
      <c r="E971" t="e">
        <f t="shared" si="46"/>
        <v>#N/A</v>
      </c>
      <c r="F971" s="28" t="str">
        <f t="shared" ca="1" si="47"/>
        <v/>
      </c>
    </row>
    <row r="972" spans="2:6" x14ac:dyDescent="0.2">
      <c r="B972" t="str">
        <f>IFERROR(IF('PDCA review'!$D$2=Act!B973,Act!G973,""),"")</f>
        <v/>
      </c>
      <c r="C972">
        <f t="shared" si="45"/>
        <v>0</v>
      </c>
      <c r="D972">
        <f>SUM($C$3:C972)</f>
        <v>4</v>
      </c>
      <c r="E972" t="e">
        <f t="shared" si="46"/>
        <v>#N/A</v>
      </c>
      <c r="F972" s="28" t="str">
        <f t="shared" ca="1" si="47"/>
        <v/>
      </c>
    </row>
    <row r="973" spans="2:6" x14ac:dyDescent="0.2">
      <c r="B973" t="str">
        <f>IFERROR(IF('PDCA review'!$D$2=Act!B974,Act!G974,""),"")</f>
        <v/>
      </c>
      <c r="C973">
        <f t="shared" si="45"/>
        <v>0</v>
      </c>
      <c r="D973">
        <f>SUM($C$3:C973)</f>
        <v>4</v>
      </c>
      <c r="E973" t="e">
        <f t="shared" si="46"/>
        <v>#N/A</v>
      </c>
      <c r="F973" s="28" t="str">
        <f t="shared" ca="1" si="47"/>
        <v/>
      </c>
    </row>
    <row r="974" spans="2:6" x14ac:dyDescent="0.2">
      <c r="B974" t="str">
        <f>IFERROR(IF('PDCA review'!$D$2=Act!B975,Act!G975,""),"")</f>
        <v/>
      </c>
      <c r="C974">
        <f t="shared" si="45"/>
        <v>0</v>
      </c>
      <c r="D974">
        <f>SUM($C$3:C974)</f>
        <v>4</v>
      </c>
      <c r="E974" t="e">
        <f t="shared" si="46"/>
        <v>#N/A</v>
      </c>
      <c r="F974" s="28" t="str">
        <f t="shared" ca="1" si="47"/>
        <v/>
      </c>
    </row>
    <row r="975" spans="2:6" x14ac:dyDescent="0.2">
      <c r="B975" t="str">
        <f>IFERROR(IF('PDCA review'!$D$2=Act!B976,Act!G976,""),"")</f>
        <v/>
      </c>
      <c r="C975">
        <f t="shared" si="45"/>
        <v>0</v>
      </c>
      <c r="D975">
        <f>SUM($C$3:C975)</f>
        <v>4</v>
      </c>
      <c r="E975" t="e">
        <f t="shared" si="46"/>
        <v>#N/A</v>
      </c>
      <c r="F975" s="28" t="str">
        <f t="shared" ca="1" si="47"/>
        <v/>
      </c>
    </row>
    <row r="976" spans="2:6" x14ac:dyDescent="0.2">
      <c r="B976" t="str">
        <f>IFERROR(IF('PDCA review'!$D$2=Act!B977,Act!G977,""),"")</f>
        <v/>
      </c>
      <c r="C976">
        <f t="shared" si="45"/>
        <v>0</v>
      </c>
      <c r="D976">
        <f>SUM($C$3:C976)</f>
        <v>4</v>
      </c>
      <c r="E976" t="e">
        <f t="shared" si="46"/>
        <v>#N/A</v>
      </c>
      <c r="F976" s="28" t="str">
        <f t="shared" ca="1" si="47"/>
        <v/>
      </c>
    </row>
    <row r="977" spans="2:6" x14ac:dyDescent="0.2">
      <c r="B977" t="str">
        <f>IFERROR(IF('PDCA review'!$D$2=Act!B978,Act!G978,""),"")</f>
        <v/>
      </c>
      <c r="C977">
        <f t="shared" si="45"/>
        <v>0</v>
      </c>
      <c r="D977">
        <f>SUM($C$3:C977)</f>
        <v>4</v>
      </c>
      <c r="E977" t="e">
        <f t="shared" si="46"/>
        <v>#N/A</v>
      </c>
      <c r="F977" s="28" t="str">
        <f t="shared" ca="1" si="47"/>
        <v/>
      </c>
    </row>
    <row r="978" spans="2:6" x14ac:dyDescent="0.2">
      <c r="B978" t="str">
        <f>IFERROR(IF('PDCA review'!$D$2=Act!B979,Act!G979,""),"")</f>
        <v/>
      </c>
      <c r="C978">
        <f t="shared" si="45"/>
        <v>0</v>
      </c>
      <c r="D978">
        <f>SUM($C$3:C978)</f>
        <v>4</v>
      </c>
      <c r="E978" t="e">
        <f t="shared" si="46"/>
        <v>#N/A</v>
      </c>
      <c r="F978" s="28" t="str">
        <f t="shared" ca="1" si="47"/>
        <v/>
      </c>
    </row>
    <row r="979" spans="2:6" x14ac:dyDescent="0.2">
      <c r="B979" t="str">
        <f>IFERROR(IF('PDCA review'!$D$2=Act!B980,Act!G980,""),"")</f>
        <v/>
      </c>
      <c r="C979">
        <f t="shared" si="45"/>
        <v>0</v>
      </c>
      <c r="D979">
        <f>SUM($C$3:C979)</f>
        <v>4</v>
      </c>
      <c r="E979" t="e">
        <f t="shared" si="46"/>
        <v>#N/A</v>
      </c>
      <c r="F979" s="28" t="str">
        <f t="shared" ca="1" si="47"/>
        <v/>
      </c>
    </row>
    <row r="980" spans="2:6" x14ac:dyDescent="0.2">
      <c r="B980" t="str">
        <f>IFERROR(IF('PDCA review'!$D$2=Act!B981,Act!G981,""),"")</f>
        <v/>
      </c>
      <c r="C980">
        <f t="shared" si="45"/>
        <v>0</v>
      </c>
      <c r="D980">
        <f>SUM($C$3:C980)</f>
        <v>4</v>
      </c>
      <c r="E980" t="e">
        <f t="shared" si="46"/>
        <v>#N/A</v>
      </c>
      <c r="F980" s="28" t="str">
        <f t="shared" ca="1" si="47"/>
        <v/>
      </c>
    </row>
    <row r="981" spans="2:6" x14ac:dyDescent="0.2">
      <c r="B981" t="str">
        <f>IFERROR(IF('PDCA review'!$D$2=Act!B982,Act!G982,""),"")</f>
        <v/>
      </c>
      <c r="C981">
        <f t="shared" si="45"/>
        <v>0</v>
      </c>
      <c r="D981">
        <f>SUM($C$3:C981)</f>
        <v>4</v>
      </c>
      <c r="E981" t="e">
        <f t="shared" si="46"/>
        <v>#N/A</v>
      </c>
      <c r="F981" s="28" t="str">
        <f t="shared" ca="1" si="47"/>
        <v/>
      </c>
    </row>
    <row r="982" spans="2:6" x14ac:dyDescent="0.2">
      <c r="B982" t="str">
        <f>IFERROR(IF('PDCA review'!$D$2=Act!B983,Act!G983,""),"")</f>
        <v/>
      </c>
      <c r="C982">
        <f t="shared" si="45"/>
        <v>0</v>
      </c>
      <c r="D982">
        <f>SUM($C$3:C982)</f>
        <v>4</v>
      </c>
      <c r="E982" t="e">
        <f t="shared" si="46"/>
        <v>#N/A</v>
      </c>
      <c r="F982" s="28" t="str">
        <f t="shared" ca="1" si="47"/>
        <v/>
      </c>
    </row>
    <row r="983" spans="2:6" x14ac:dyDescent="0.2">
      <c r="B983" t="str">
        <f>IFERROR(IF('PDCA review'!$D$2=Act!B984,Act!G984,""),"")</f>
        <v/>
      </c>
      <c r="C983">
        <f t="shared" si="45"/>
        <v>0</v>
      </c>
      <c r="D983">
        <f>SUM($C$3:C983)</f>
        <v>4</v>
      </c>
      <c r="E983" t="e">
        <f t="shared" si="46"/>
        <v>#N/A</v>
      </c>
      <c r="F983" s="28" t="str">
        <f t="shared" ca="1" si="47"/>
        <v/>
      </c>
    </row>
    <row r="984" spans="2:6" x14ac:dyDescent="0.2">
      <c r="B984" t="str">
        <f>IFERROR(IF('PDCA review'!$D$2=Act!B985,Act!G985,""),"")</f>
        <v/>
      </c>
      <c r="C984">
        <f t="shared" si="45"/>
        <v>0</v>
      </c>
      <c r="D984">
        <f>SUM($C$3:C984)</f>
        <v>4</v>
      </c>
      <c r="E984" t="e">
        <f t="shared" si="46"/>
        <v>#N/A</v>
      </c>
      <c r="F984" s="28" t="str">
        <f t="shared" ca="1" si="47"/>
        <v/>
      </c>
    </row>
    <row r="985" spans="2:6" x14ac:dyDescent="0.2">
      <c r="B985" t="str">
        <f>IFERROR(IF('PDCA review'!$D$2=Act!B986,Act!G986,""),"")</f>
        <v/>
      </c>
      <c r="C985">
        <f t="shared" si="45"/>
        <v>0</v>
      </c>
      <c r="D985">
        <f>SUM($C$3:C985)</f>
        <v>4</v>
      </c>
      <c r="E985" t="e">
        <f t="shared" si="46"/>
        <v>#N/A</v>
      </c>
      <c r="F985" s="28" t="str">
        <f t="shared" ca="1" si="47"/>
        <v/>
      </c>
    </row>
    <row r="986" spans="2:6" x14ac:dyDescent="0.2">
      <c r="B986" t="str">
        <f>IFERROR(IF('PDCA review'!$D$2=Act!B987,Act!G987,""),"")</f>
        <v/>
      </c>
      <c r="C986">
        <f t="shared" si="45"/>
        <v>0</v>
      </c>
      <c r="D986">
        <f>SUM($C$3:C986)</f>
        <v>4</v>
      </c>
      <c r="E986" t="e">
        <f t="shared" si="46"/>
        <v>#N/A</v>
      </c>
      <c r="F986" s="28" t="str">
        <f t="shared" ca="1" si="47"/>
        <v/>
      </c>
    </row>
    <row r="987" spans="2:6" x14ac:dyDescent="0.2">
      <c r="B987" t="str">
        <f>IFERROR(IF('PDCA review'!$D$2=Act!B988,Act!G988,""),"")</f>
        <v/>
      </c>
      <c r="C987">
        <f t="shared" si="45"/>
        <v>0</v>
      </c>
      <c r="D987">
        <f>SUM($C$3:C987)</f>
        <v>4</v>
      </c>
      <c r="E987" t="e">
        <f t="shared" si="46"/>
        <v>#N/A</v>
      </c>
      <c r="F987" s="28" t="str">
        <f t="shared" ca="1" si="47"/>
        <v/>
      </c>
    </row>
    <row r="988" spans="2:6" x14ac:dyDescent="0.2">
      <c r="B988" t="str">
        <f>IFERROR(IF('PDCA review'!$D$2=Act!B989,Act!G989,""),"")</f>
        <v/>
      </c>
      <c r="C988">
        <f t="shared" si="45"/>
        <v>0</v>
      </c>
      <c r="D988">
        <f>SUM($C$3:C988)</f>
        <v>4</v>
      </c>
      <c r="E988" t="e">
        <f t="shared" si="46"/>
        <v>#N/A</v>
      </c>
      <c r="F988" s="28" t="str">
        <f t="shared" ca="1" si="47"/>
        <v/>
      </c>
    </row>
    <row r="989" spans="2:6" x14ac:dyDescent="0.2">
      <c r="B989" t="str">
        <f>IFERROR(IF('PDCA review'!$D$2=Act!B990,Act!G990,""),"")</f>
        <v/>
      </c>
      <c r="C989">
        <f t="shared" si="45"/>
        <v>0</v>
      </c>
      <c r="D989">
        <f>SUM($C$3:C989)</f>
        <v>4</v>
      </c>
      <c r="E989" t="e">
        <f t="shared" si="46"/>
        <v>#N/A</v>
      </c>
      <c r="F989" s="28" t="str">
        <f t="shared" ca="1" si="47"/>
        <v/>
      </c>
    </row>
    <row r="990" spans="2:6" x14ac:dyDescent="0.2">
      <c r="B990" t="str">
        <f>IFERROR(IF('PDCA review'!$D$2=Act!B991,Act!G991,""),"")</f>
        <v/>
      </c>
      <c r="C990">
        <f t="shared" si="45"/>
        <v>0</v>
      </c>
      <c r="D990">
        <f>SUM($C$3:C990)</f>
        <v>4</v>
      </c>
      <c r="E990" t="e">
        <f t="shared" si="46"/>
        <v>#N/A</v>
      </c>
      <c r="F990" s="28" t="str">
        <f t="shared" ca="1" si="47"/>
        <v/>
      </c>
    </row>
    <row r="991" spans="2:6" x14ac:dyDescent="0.2">
      <c r="B991" t="str">
        <f>IFERROR(IF('PDCA review'!$D$2=Act!B992,Act!G992,""),"")</f>
        <v/>
      </c>
      <c r="C991">
        <f t="shared" si="45"/>
        <v>0</v>
      </c>
      <c r="D991">
        <f>SUM($C$3:C991)</f>
        <v>4</v>
      </c>
      <c r="E991" t="e">
        <f t="shared" si="46"/>
        <v>#N/A</v>
      </c>
      <c r="F991" s="28" t="str">
        <f t="shared" ca="1" si="47"/>
        <v/>
      </c>
    </row>
    <row r="992" spans="2:6" x14ac:dyDescent="0.2">
      <c r="B992" t="str">
        <f>IFERROR(IF('PDCA review'!$D$2=Act!B993,Act!G993,""),"")</f>
        <v/>
      </c>
      <c r="C992">
        <f t="shared" si="45"/>
        <v>0</v>
      </c>
      <c r="D992">
        <f>SUM($C$3:C992)</f>
        <v>4</v>
      </c>
      <c r="E992" t="e">
        <f t="shared" si="46"/>
        <v>#N/A</v>
      </c>
      <c r="F992" s="28" t="str">
        <f t="shared" ca="1" si="47"/>
        <v/>
      </c>
    </row>
    <row r="993" spans="2:6" x14ac:dyDescent="0.2">
      <c r="B993" t="str">
        <f>IFERROR(IF('PDCA review'!$D$2=Act!B994,Act!G994,""),"")</f>
        <v/>
      </c>
      <c r="C993">
        <f t="shared" si="45"/>
        <v>0</v>
      </c>
      <c r="D993">
        <f>SUM($C$3:C993)</f>
        <v>4</v>
      </c>
      <c r="E993" t="e">
        <f t="shared" si="46"/>
        <v>#N/A</v>
      </c>
      <c r="F993" s="28" t="str">
        <f t="shared" ca="1" si="47"/>
        <v/>
      </c>
    </row>
    <row r="994" spans="2:6" x14ac:dyDescent="0.2">
      <c r="B994" t="str">
        <f>IFERROR(IF('PDCA review'!$D$2=Act!B995,Act!G995,""),"")</f>
        <v/>
      </c>
      <c r="C994">
        <f t="shared" si="45"/>
        <v>0</v>
      </c>
      <c r="D994">
        <f>SUM($C$3:C994)</f>
        <v>4</v>
      </c>
      <c r="E994" t="e">
        <f t="shared" si="46"/>
        <v>#N/A</v>
      </c>
      <c r="F994" s="28" t="str">
        <f t="shared" ca="1" si="47"/>
        <v/>
      </c>
    </row>
    <row r="995" spans="2:6" x14ac:dyDescent="0.2">
      <c r="B995" t="str">
        <f>IFERROR(IF('PDCA review'!$D$2=Act!B996,Act!G996,""),"")</f>
        <v/>
      </c>
      <c r="C995">
        <f t="shared" si="45"/>
        <v>0</v>
      </c>
      <c r="D995">
        <f>SUM($C$3:C995)</f>
        <v>4</v>
      </c>
      <c r="E995" t="e">
        <f t="shared" si="46"/>
        <v>#N/A</v>
      </c>
      <c r="F995" s="28" t="str">
        <f t="shared" ca="1" si="47"/>
        <v/>
      </c>
    </row>
    <row r="996" spans="2:6" x14ac:dyDescent="0.2">
      <c r="B996" t="str">
        <f>IFERROR(IF('PDCA review'!$D$2=Act!B997,Act!G997,""),"")</f>
        <v/>
      </c>
      <c r="C996">
        <f t="shared" si="45"/>
        <v>0</v>
      </c>
      <c r="D996">
        <f>SUM($C$3:C996)</f>
        <v>4</v>
      </c>
      <c r="E996" t="e">
        <f t="shared" si="46"/>
        <v>#N/A</v>
      </c>
      <c r="F996" s="28" t="str">
        <f t="shared" ca="1" si="47"/>
        <v/>
      </c>
    </row>
    <row r="997" spans="2:6" x14ac:dyDescent="0.2">
      <c r="B997" t="str">
        <f>IFERROR(IF('PDCA review'!$D$2=Act!B998,Act!G998,""),"")</f>
        <v/>
      </c>
      <c r="C997">
        <f t="shared" si="45"/>
        <v>0</v>
      </c>
      <c r="D997">
        <f>SUM($C$3:C997)</f>
        <v>4</v>
      </c>
      <c r="E997" t="e">
        <f t="shared" si="46"/>
        <v>#N/A</v>
      </c>
      <c r="F997" s="28" t="str">
        <f t="shared" ca="1" si="47"/>
        <v/>
      </c>
    </row>
    <row r="998" spans="2:6" x14ac:dyDescent="0.2">
      <c r="B998" t="str">
        <f>IFERROR(IF('PDCA review'!$D$2=Act!B999,Act!G999,""),"")</f>
        <v/>
      </c>
      <c r="C998">
        <f t="shared" si="45"/>
        <v>0</v>
      </c>
      <c r="D998">
        <f>SUM($C$3:C998)</f>
        <v>4</v>
      </c>
      <c r="E998" t="e">
        <f t="shared" si="46"/>
        <v>#N/A</v>
      </c>
      <c r="F998" s="28" t="str">
        <f t="shared" ca="1" si="47"/>
        <v/>
      </c>
    </row>
    <row r="999" spans="2:6" x14ac:dyDescent="0.2">
      <c r="B999" t="str">
        <f>IFERROR(IF('PDCA review'!$D$2=Act!B1000,Act!G1000,""),"")</f>
        <v/>
      </c>
      <c r="C999">
        <f t="shared" si="45"/>
        <v>0</v>
      </c>
      <c r="D999">
        <f>SUM($C$3:C999)</f>
        <v>4</v>
      </c>
      <c r="E999" t="e">
        <f t="shared" si="46"/>
        <v>#N/A</v>
      </c>
      <c r="F999" s="28" t="str">
        <f t="shared" ca="1" si="47"/>
        <v/>
      </c>
    </row>
    <row r="1000" spans="2:6" x14ac:dyDescent="0.2">
      <c r="B1000" t="str">
        <f>IFERROR(IF('PDCA review'!$D$2=Act!B1001,Act!G1001,""),"")</f>
        <v/>
      </c>
      <c r="C1000">
        <f t="shared" si="45"/>
        <v>0</v>
      </c>
      <c r="D1000">
        <f>SUM($C$3:C1000)</f>
        <v>4</v>
      </c>
      <c r="E1000" t="e">
        <f t="shared" si="46"/>
        <v>#N/A</v>
      </c>
      <c r="F1000" s="28" t="str">
        <f t="shared" ca="1" si="47"/>
        <v/>
      </c>
    </row>
    <row r="1001" spans="2:6" x14ac:dyDescent="0.2">
      <c r="B1001" t="str">
        <f>IFERROR(IF('PDCA review'!$D$2=Act!B1002,Act!G1002,""),"")</f>
        <v/>
      </c>
      <c r="C1001">
        <f t="shared" si="45"/>
        <v>0</v>
      </c>
      <c r="D1001">
        <f>SUM($C$3:C1001)</f>
        <v>4</v>
      </c>
      <c r="E1001" t="e">
        <f t="shared" si="46"/>
        <v>#N/A</v>
      </c>
      <c r="F1001" s="28" t="str">
        <f t="shared" ca="1" si="47"/>
        <v/>
      </c>
    </row>
    <row r="1002" spans="2:6" x14ac:dyDescent="0.2">
      <c r="B1002" t="str">
        <f>IFERROR(IF('PDCA review'!$D$2=Act!B1003,Act!G1003,""),"")</f>
        <v/>
      </c>
      <c r="C1002">
        <f t="shared" si="45"/>
        <v>0</v>
      </c>
      <c r="D1002">
        <f>SUM($C$3:C1002)</f>
        <v>4</v>
      </c>
      <c r="E1002" t="e">
        <f t="shared" si="46"/>
        <v>#N/A</v>
      </c>
      <c r="F1002" s="28" t="str">
        <f t="shared" ca="1" si="47"/>
        <v/>
      </c>
    </row>
    <row r="1003" spans="2:6" x14ac:dyDescent="0.2">
      <c r="B1003" t="str">
        <f>IFERROR(IF('PDCA review'!$D$2=Act!B1004,Act!G1004,""),"")</f>
        <v/>
      </c>
      <c r="C1003">
        <f t="shared" si="45"/>
        <v>0</v>
      </c>
      <c r="D1003">
        <f>SUM($C$3:C1003)</f>
        <v>4</v>
      </c>
      <c r="E1003" t="e">
        <f t="shared" si="46"/>
        <v>#N/A</v>
      </c>
      <c r="F1003" s="28" t="str">
        <f t="shared" ca="1" si="47"/>
        <v/>
      </c>
    </row>
    <row r="1004" spans="2:6" x14ac:dyDescent="0.2">
      <c r="B1004" t="str">
        <f>IFERROR(IF('PDCA review'!$D$2=Act!B1005,Act!G1005,""),"")</f>
        <v/>
      </c>
      <c r="C1004">
        <f t="shared" si="45"/>
        <v>0</v>
      </c>
      <c r="D1004">
        <f>SUM($C$3:C1004)</f>
        <v>4</v>
      </c>
      <c r="E1004" t="e">
        <f t="shared" si="46"/>
        <v>#N/A</v>
      </c>
      <c r="F1004" s="28" t="str">
        <f t="shared" ca="1" si="47"/>
        <v/>
      </c>
    </row>
    <row r="1005" spans="2:6" x14ac:dyDescent="0.2">
      <c r="B1005" t="str">
        <f>IFERROR(IF('PDCA review'!$D$2=Act!B1006,Act!G1006,""),"")</f>
        <v/>
      </c>
      <c r="C1005">
        <f t="shared" si="45"/>
        <v>0</v>
      </c>
      <c r="D1005">
        <f>SUM($C$3:C1005)</f>
        <v>4</v>
      </c>
      <c r="E1005" t="e">
        <f t="shared" si="46"/>
        <v>#N/A</v>
      </c>
      <c r="F1005" s="28" t="str">
        <f t="shared" ca="1" si="47"/>
        <v/>
      </c>
    </row>
    <row r="1006" spans="2:6" x14ac:dyDescent="0.2">
      <c r="B1006" t="str">
        <f>IFERROR(IF('PDCA review'!$D$2=Act!B1007,Act!G1007,""),"")</f>
        <v/>
      </c>
      <c r="C1006">
        <f t="shared" si="45"/>
        <v>0</v>
      </c>
      <c r="D1006">
        <f>SUM($C$3:C1006)</f>
        <v>4</v>
      </c>
      <c r="E1006" t="e">
        <f t="shared" si="46"/>
        <v>#N/A</v>
      </c>
      <c r="F1006" s="28" t="str">
        <f t="shared" ca="1" si="47"/>
        <v/>
      </c>
    </row>
    <row r="1007" spans="2:6" x14ac:dyDescent="0.2">
      <c r="B1007" t="str">
        <f>IFERROR(IF('PDCA review'!$D$2=Act!B1008,Act!G1008,""),"")</f>
        <v/>
      </c>
      <c r="C1007">
        <f t="shared" si="45"/>
        <v>0</v>
      </c>
      <c r="D1007">
        <f>SUM($C$3:C1007)</f>
        <v>4</v>
      </c>
      <c r="E1007" t="e">
        <f t="shared" si="46"/>
        <v>#N/A</v>
      </c>
      <c r="F1007" s="28" t="str">
        <f t="shared" ca="1" si="47"/>
        <v/>
      </c>
    </row>
    <row r="1008" spans="2:6" x14ac:dyDescent="0.2">
      <c r="B1008" t="str">
        <f>IFERROR(IF('PDCA review'!$D$2=Act!B1009,Act!G1009,""),"")</f>
        <v/>
      </c>
      <c r="C1008">
        <f t="shared" si="45"/>
        <v>0</v>
      </c>
      <c r="D1008">
        <f>SUM($C$3:C1008)</f>
        <v>4</v>
      </c>
      <c r="E1008" t="e">
        <f t="shared" si="46"/>
        <v>#N/A</v>
      </c>
      <c r="F1008" s="28" t="str">
        <f t="shared" ca="1" si="47"/>
        <v/>
      </c>
    </row>
    <row r="1009" spans="2:6" x14ac:dyDescent="0.2">
      <c r="B1009" t="str">
        <f>IFERROR(IF('PDCA review'!$D$2=Act!B1010,Act!G1010,""),"")</f>
        <v/>
      </c>
      <c r="C1009">
        <f t="shared" si="45"/>
        <v>0</v>
      </c>
      <c r="D1009">
        <f>SUM($C$3:C1009)</f>
        <v>4</v>
      </c>
      <c r="E1009" t="e">
        <f t="shared" si="46"/>
        <v>#N/A</v>
      </c>
      <c r="F1009" s="28" t="str">
        <f t="shared" ca="1" si="47"/>
        <v/>
      </c>
    </row>
    <row r="1010" spans="2:6" x14ac:dyDescent="0.2">
      <c r="B1010" t="str">
        <f>IFERROR(IF('PDCA review'!$D$2=Act!B1011,Act!G1011,""),"")</f>
        <v/>
      </c>
      <c r="C1010">
        <f t="shared" si="45"/>
        <v>0</v>
      </c>
      <c r="D1010">
        <f>SUM($C$3:C1010)</f>
        <v>4</v>
      </c>
      <c r="E1010" t="e">
        <f t="shared" si="46"/>
        <v>#N/A</v>
      </c>
      <c r="F1010" s="28" t="str">
        <f t="shared" ca="1" si="47"/>
        <v/>
      </c>
    </row>
    <row r="1011" spans="2:6" x14ac:dyDescent="0.2">
      <c r="B1011" t="str">
        <f>IFERROR(IF('PDCA review'!$D$2=Act!B1012,Act!G1012,""),"")</f>
        <v/>
      </c>
      <c r="C1011">
        <f t="shared" si="45"/>
        <v>0</v>
      </c>
      <c r="D1011">
        <f>SUM($C$3:C1011)</f>
        <v>4</v>
      </c>
      <c r="E1011" t="e">
        <f t="shared" si="46"/>
        <v>#N/A</v>
      </c>
      <c r="F1011" s="28" t="str">
        <f t="shared" ca="1" si="47"/>
        <v/>
      </c>
    </row>
    <row r="1012" spans="2:6" x14ac:dyDescent="0.2">
      <c r="B1012" t="str">
        <f>IFERROR(IF('PDCA review'!$D$2=Act!B1013,Act!G1013,""),"")</f>
        <v/>
      </c>
      <c r="C1012">
        <f t="shared" si="45"/>
        <v>0</v>
      </c>
      <c r="D1012">
        <f>SUM($C$3:C1012)</f>
        <v>4</v>
      </c>
      <c r="E1012" t="e">
        <f t="shared" si="46"/>
        <v>#N/A</v>
      </c>
      <c r="F1012" s="28" t="str">
        <f t="shared" ca="1" si="47"/>
        <v/>
      </c>
    </row>
    <row r="1013" spans="2:6" x14ac:dyDescent="0.2">
      <c r="B1013" t="str">
        <f>IFERROR(IF('PDCA review'!$D$2=Act!B1014,Act!G1014,""),"")</f>
        <v/>
      </c>
      <c r="C1013">
        <f t="shared" si="45"/>
        <v>0</v>
      </c>
      <c r="D1013">
        <f>SUM($C$3:C1013)</f>
        <v>4</v>
      </c>
      <c r="E1013" t="e">
        <f t="shared" si="46"/>
        <v>#N/A</v>
      </c>
      <c r="F1013" s="28" t="str">
        <f t="shared" ca="1" si="47"/>
        <v/>
      </c>
    </row>
    <row r="1014" spans="2:6" x14ac:dyDescent="0.2">
      <c r="B1014" t="str">
        <f>IFERROR(IF('PDCA review'!$D$2=Act!B1015,Act!G1015,""),"")</f>
        <v/>
      </c>
      <c r="C1014">
        <f t="shared" si="45"/>
        <v>0</v>
      </c>
      <c r="D1014">
        <f>SUM($C$3:C1014)</f>
        <v>4</v>
      </c>
      <c r="E1014" t="e">
        <f t="shared" si="46"/>
        <v>#N/A</v>
      </c>
      <c r="F1014" s="28" t="str">
        <f t="shared" ca="1" si="47"/>
        <v/>
      </c>
    </row>
    <row r="1015" spans="2:6" x14ac:dyDescent="0.2">
      <c r="B1015" t="str">
        <f>IFERROR(IF('PDCA review'!$D$2=Act!B1016,Act!G1016,""),"")</f>
        <v/>
      </c>
      <c r="C1015">
        <f t="shared" si="45"/>
        <v>0</v>
      </c>
      <c r="D1015">
        <f>SUM($C$3:C1015)</f>
        <v>4</v>
      </c>
      <c r="E1015" t="e">
        <f t="shared" si="46"/>
        <v>#N/A</v>
      </c>
      <c r="F1015" s="28" t="str">
        <f t="shared" ca="1" si="47"/>
        <v/>
      </c>
    </row>
    <row r="1016" spans="2:6" x14ac:dyDescent="0.2">
      <c r="B1016" t="str">
        <f>IFERROR(IF('PDCA review'!$D$2=Act!B1017,Act!G1017,""),"")</f>
        <v/>
      </c>
      <c r="C1016">
        <f t="shared" si="45"/>
        <v>0</v>
      </c>
      <c r="D1016">
        <f>SUM($C$3:C1016)</f>
        <v>4</v>
      </c>
      <c r="E1016" t="e">
        <f t="shared" si="46"/>
        <v>#N/A</v>
      </c>
      <c r="F1016" s="28" t="str">
        <f t="shared" ca="1" si="47"/>
        <v/>
      </c>
    </row>
    <row r="1017" spans="2:6" x14ac:dyDescent="0.2">
      <c r="B1017" t="str">
        <f>IFERROR(IF('PDCA review'!$D$2=Act!B1018,Act!G1018,""),"")</f>
        <v/>
      </c>
      <c r="C1017">
        <f t="shared" si="45"/>
        <v>0</v>
      </c>
      <c r="D1017">
        <f>SUM($C$3:C1017)</f>
        <v>4</v>
      </c>
      <c r="E1017" t="e">
        <f t="shared" si="46"/>
        <v>#N/A</v>
      </c>
      <c r="F1017" s="28" t="str">
        <f t="shared" ca="1" si="47"/>
        <v/>
      </c>
    </row>
    <row r="1018" spans="2:6" x14ac:dyDescent="0.2">
      <c r="B1018" t="str">
        <f>IFERROR(IF('PDCA review'!$D$2=Act!B1019,Act!G1019,""),"")</f>
        <v/>
      </c>
      <c r="C1018">
        <f t="shared" si="45"/>
        <v>0</v>
      </c>
      <c r="D1018">
        <f>SUM($C$3:C1018)</f>
        <v>4</v>
      </c>
      <c r="E1018" t="e">
        <f t="shared" si="46"/>
        <v>#N/A</v>
      </c>
      <c r="F1018" s="28" t="str">
        <f t="shared" ca="1" si="47"/>
        <v/>
      </c>
    </row>
    <row r="1019" spans="2:6" x14ac:dyDescent="0.2">
      <c r="B1019" t="str">
        <f>IFERROR(IF('PDCA review'!$D$2=Act!B1020,Act!G1020,""),"")</f>
        <v/>
      </c>
      <c r="C1019">
        <f t="shared" si="45"/>
        <v>0</v>
      </c>
      <c r="D1019">
        <f>SUM($C$3:C1019)</f>
        <v>4</v>
      </c>
      <c r="E1019" t="e">
        <f t="shared" si="46"/>
        <v>#N/A</v>
      </c>
      <c r="F1019" s="28" t="str">
        <f t="shared" ca="1" si="47"/>
        <v/>
      </c>
    </row>
    <row r="1020" spans="2:6" x14ac:dyDescent="0.2">
      <c r="B1020" t="str">
        <f>IFERROR(IF('PDCA review'!$D$2=Act!B1021,Act!G1021,""),"")</f>
        <v/>
      </c>
      <c r="C1020">
        <f t="shared" si="45"/>
        <v>0</v>
      </c>
      <c r="D1020">
        <f>SUM($C$3:C1020)</f>
        <v>4</v>
      </c>
      <c r="E1020" t="e">
        <f t="shared" si="46"/>
        <v>#N/A</v>
      </c>
      <c r="F1020" s="28" t="str">
        <f t="shared" ca="1" si="47"/>
        <v/>
      </c>
    </row>
    <row r="1021" spans="2:6" x14ac:dyDescent="0.2">
      <c r="B1021" t="str">
        <f>IFERROR(IF('PDCA review'!$D$2=Act!B1022,Act!G1022,""),"")</f>
        <v/>
      </c>
      <c r="C1021">
        <f t="shared" si="45"/>
        <v>0</v>
      </c>
      <c r="D1021">
        <f>SUM($C$3:C1021)</f>
        <v>4</v>
      </c>
      <c r="E1021" t="e">
        <f t="shared" si="46"/>
        <v>#N/A</v>
      </c>
      <c r="F1021" s="28" t="str">
        <f t="shared" ca="1" si="47"/>
        <v/>
      </c>
    </row>
    <row r="1022" spans="2:6" x14ac:dyDescent="0.2">
      <c r="B1022" t="str">
        <f>IFERROR(IF('PDCA review'!$D$2=Act!B1023,Act!G1023,""),"")</f>
        <v/>
      </c>
      <c r="C1022">
        <f t="shared" si="45"/>
        <v>0</v>
      </c>
      <c r="D1022">
        <f>SUM($C$3:C1022)</f>
        <v>4</v>
      </c>
      <c r="E1022" t="e">
        <f t="shared" si="46"/>
        <v>#N/A</v>
      </c>
      <c r="F1022" s="28" t="str">
        <f t="shared" ca="1" si="47"/>
        <v/>
      </c>
    </row>
    <row r="1023" spans="2:6" x14ac:dyDescent="0.2">
      <c r="B1023" t="str">
        <f>IFERROR(IF('PDCA review'!$D$2=Act!B1024,Act!G1024,""),"")</f>
        <v/>
      </c>
      <c r="C1023">
        <f t="shared" si="45"/>
        <v>0</v>
      </c>
      <c r="D1023">
        <f>SUM($C$3:C1023)</f>
        <v>4</v>
      </c>
      <c r="E1023" t="e">
        <f t="shared" si="46"/>
        <v>#N/A</v>
      </c>
      <c r="F1023" s="28" t="str">
        <f t="shared" ca="1" si="47"/>
        <v/>
      </c>
    </row>
    <row r="1024" spans="2:6" x14ac:dyDescent="0.2">
      <c r="B1024" t="str">
        <f>IFERROR(IF('PDCA review'!$D$2=Act!B1025,Act!G1025,""),"")</f>
        <v/>
      </c>
      <c r="C1024">
        <f t="shared" si="45"/>
        <v>0</v>
      </c>
      <c r="D1024">
        <f>SUM($C$3:C1024)</f>
        <v>4</v>
      </c>
      <c r="E1024" t="e">
        <f t="shared" si="46"/>
        <v>#N/A</v>
      </c>
      <c r="F1024" s="28" t="str">
        <f t="shared" ca="1" si="47"/>
        <v/>
      </c>
    </row>
    <row r="1025" spans="2:6" x14ac:dyDescent="0.2">
      <c r="B1025" t="str">
        <f>IFERROR(IF('PDCA review'!$D$2=Act!B1026,Act!G1026,""),"")</f>
        <v/>
      </c>
      <c r="C1025">
        <f t="shared" si="45"/>
        <v>0</v>
      </c>
      <c r="D1025">
        <f>SUM($C$3:C1025)</f>
        <v>4</v>
      </c>
      <c r="E1025" t="e">
        <f t="shared" si="46"/>
        <v>#N/A</v>
      </c>
      <c r="F1025" s="28" t="str">
        <f t="shared" ca="1" si="47"/>
        <v/>
      </c>
    </row>
    <row r="1026" spans="2:6" x14ac:dyDescent="0.2">
      <c r="B1026" t="str">
        <f>IFERROR(IF('PDCA review'!$D$2=Act!B1027,Act!G1027,""),"")</f>
        <v/>
      </c>
      <c r="C1026">
        <f t="shared" si="45"/>
        <v>0</v>
      </c>
      <c r="D1026">
        <f>SUM($C$3:C1026)</f>
        <v>4</v>
      </c>
      <c r="E1026" t="e">
        <f t="shared" si="46"/>
        <v>#N/A</v>
      </c>
      <c r="F1026" s="28" t="str">
        <f t="shared" ca="1" si="47"/>
        <v/>
      </c>
    </row>
    <row r="1027" spans="2:6" x14ac:dyDescent="0.2">
      <c r="B1027" t="str">
        <f>IFERROR(IF('PDCA review'!$D$2=Act!B1028,Act!G1028,""),"")</f>
        <v/>
      </c>
      <c r="C1027">
        <f t="shared" si="45"/>
        <v>0</v>
      </c>
      <c r="D1027">
        <f>SUM($C$3:C1027)</f>
        <v>4</v>
      </c>
      <c r="E1027" t="e">
        <f t="shared" si="46"/>
        <v>#N/A</v>
      </c>
      <c r="F1027" s="28" t="str">
        <f t="shared" ca="1" si="47"/>
        <v/>
      </c>
    </row>
    <row r="1028" spans="2:6" x14ac:dyDescent="0.2">
      <c r="B1028" t="str">
        <f>IFERROR(IF('PDCA review'!$D$2=Act!B1029,Act!G1029,""),"")</f>
        <v/>
      </c>
      <c r="C1028">
        <f t="shared" ref="C1028:C1091" si="48">IF(B1028&lt;&gt;"",1,0)</f>
        <v>0</v>
      </c>
      <c r="D1028">
        <f>SUM($C$3:C1028)</f>
        <v>4</v>
      </c>
      <c r="E1028" t="e">
        <f t="shared" ref="E1028:E1091" si="49">MATCH(ROW()-$D$2,$D$3:$D$2000,0)+$D$2</f>
        <v>#N/A</v>
      </c>
      <c r="F1028" s="28" t="str">
        <f t="shared" ref="F1028:F1091" ca="1" si="50">IFERROR(INDIRECT("B"&amp;E1028),"")</f>
        <v/>
      </c>
    </row>
    <row r="1029" spans="2:6" x14ac:dyDescent="0.2">
      <c r="B1029" t="str">
        <f>IFERROR(IF('PDCA review'!$D$2=Act!B1030,Act!G1030,""),"")</f>
        <v/>
      </c>
      <c r="C1029">
        <f t="shared" si="48"/>
        <v>0</v>
      </c>
      <c r="D1029">
        <f>SUM($C$3:C1029)</f>
        <v>4</v>
      </c>
      <c r="E1029" t="e">
        <f t="shared" si="49"/>
        <v>#N/A</v>
      </c>
      <c r="F1029" s="28" t="str">
        <f t="shared" ca="1" si="50"/>
        <v/>
      </c>
    </row>
    <row r="1030" spans="2:6" x14ac:dyDescent="0.2">
      <c r="B1030" t="str">
        <f>IFERROR(IF('PDCA review'!$D$2=Act!B1031,Act!G1031,""),"")</f>
        <v/>
      </c>
      <c r="C1030">
        <f t="shared" si="48"/>
        <v>0</v>
      </c>
      <c r="D1030">
        <f>SUM($C$3:C1030)</f>
        <v>4</v>
      </c>
      <c r="E1030" t="e">
        <f t="shared" si="49"/>
        <v>#N/A</v>
      </c>
      <c r="F1030" s="28" t="str">
        <f t="shared" ca="1" si="50"/>
        <v/>
      </c>
    </row>
    <row r="1031" spans="2:6" x14ac:dyDescent="0.2">
      <c r="B1031" t="str">
        <f>IFERROR(IF('PDCA review'!$D$2=Act!B1032,Act!G1032,""),"")</f>
        <v/>
      </c>
      <c r="C1031">
        <f t="shared" si="48"/>
        <v>0</v>
      </c>
      <c r="D1031">
        <f>SUM($C$3:C1031)</f>
        <v>4</v>
      </c>
      <c r="E1031" t="e">
        <f t="shared" si="49"/>
        <v>#N/A</v>
      </c>
      <c r="F1031" s="28" t="str">
        <f t="shared" ca="1" si="50"/>
        <v/>
      </c>
    </row>
    <row r="1032" spans="2:6" x14ac:dyDescent="0.2">
      <c r="B1032" t="str">
        <f>IFERROR(IF('PDCA review'!$D$2=Act!B1033,Act!G1033,""),"")</f>
        <v/>
      </c>
      <c r="C1032">
        <f t="shared" si="48"/>
        <v>0</v>
      </c>
      <c r="D1032">
        <f>SUM($C$3:C1032)</f>
        <v>4</v>
      </c>
      <c r="E1032" t="e">
        <f t="shared" si="49"/>
        <v>#N/A</v>
      </c>
      <c r="F1032" s="28" t="str">
        <f t="shared" ca="1" si="50"/>
        <v/>
      </c>
    </row>
    <row r="1033" spans="2:6" x14ac:dyDescent="0.2">
      <c r="B1033" t="str">
        <f>IFERROR(IF('PDCA review'!$D$2=Act!B1034,Act!G1034,""),"")</f>
        <v/>
      </c>
      <c r="C1033">
        <f t="shared" si="48"/>
        <v>0</v>
      </c>
      <c r="D1033">
        <f>SUM($C$3:C1033)</f>
        <v>4</v>
      </c>
      <c r="E1033" t="e">
        <f t="shared" si="49"/>
        <v>#N/A</v>
      </c>
      <c r="F1033" s="28" t="str">
        <f t="shared" ca="1" si="50"/>
        <v/>
      </c>
    </row>
    <row r="1034" spans="2:6" x14ac:dyDescent="0.2">
      <c r="B1034" t="str">
        <f>IFERROR(IF('PDCA review'!$D$2=Act!B1035,Act!G1035,""),"")</f>
        <v/>
      </c>
      <c r="C1034">
        <f t="shared" si="48"/>
        <v>0</v>
      </c>
      <c r="D1034">
        <f>SUM($C$3:C1034)</f>
        <v>4</v>
      </c>
      <c r="E1034" t="e">
        <f t="shared" si="49"/>
        <v>#N/A</v>
      </c>
      <c r="F1034" s="28" t="str">
        <f t="shared" ca="1" si="50"/>
        <v/>
      </c>
    </row>
    <row r="1035" spans="2:6" x14ac:dyDescent="0.2">
      <c r="B1035" t="str">
        <f>IFERROR(IF('PDCA review'!$D$2=Act!B1036,Act!G1036,""),"")</f>
        <v/>
      </c>
      <c r="C1035">
        <f t="shared" si="48"/>
        <v>0</v>
      </c>
      <c r="D1035">
        <f>SUM($C$3:C1035)</f>
        <v>4</v>
      </c>
      <c r="E1035" t="e">
        <f t="shared" si="49"/>
        <v>#N/A</v>
      </c>
      <c r="F1035" s="28" t="str">
        <f t="shared" ca="1" si="50"/>
        <v/>
      </c>
    </row>
    <row r="1036" spans="2:6" x14ac:dyDescent="0.2">
      <c r="B1036" t="str">
        <f>IFERROR(IF('PDCA review'!$D$2=Act!B1037,Act!G1037,""),"")</f>
        <v/>
      </c>
      <c r="C1036">
        <f t="shared" si="48"/>
        <v>0</v>
      </c>
      <c r="D1036">
        <f>SUM($C$3:C1036)</f>
        <v>4</v>
      </c>
      <c r="E1036" t="e">
        <f t="shared" si="49"/>
        <v>#N/A</v>
      </c>
      <c r="F1036" s="28" t="str">
        <f t="shared" ca="1" si="50"/>
        <v/>
      </c>
    </row>
    <row r="1037" spans="2:6" x14ac:dyDescent="0.2">
      <c r="B1037" t="str">
        <f>IFERROR(IF('PDCA review'!$D$2=Act!B1038,Act!G1038,""),"")</f>
        <v/>
      </c>
      <c r="C1037">
        <f t="shared" si="48"/>
        <v>0</v>
      </c>
      <c r="D1037">
        <f>SUM($C$3:C1037)</f>
        <v>4</v>
      </c>
      <c r="E1037" t="e">
        <f t="shared" si="49"/>
        <v>#N/A</v>
      </c>
      <c r="F1037" s="28" t="str">
        <f t="shared" ca="1" si="50"/>
        <v/>
      </c>
    </row>
    <row r="1038" spans="2:6" x14ac:dyDescent="0.2">
      <c r="B1038" t="str">
        <f>IFERROR(IF('PDCA review'!$D$2=Act!B1039,Act!G1039,""),"")</f>
        <v/>
      </c>
      <c r="C1038">
        <f t="shared" si="48"/>
        <v>0</v>
      </c>
      <c r="D1038">
        <f>SUM($C$3:C1038)</f>
        <v>4</v>
      </c>
      <c r="E1038" t="e">
        <f t="shared" si="49"/>
        <v>#N/A</v>
      </c>
      <c r="F1038" s="28" t="str">
        <f t="shared" ca="1" si="50"/>
        <v/>
      </c>
    </row>
    <row r="1039" spans="2:6" x14ac:dyDescent="0.2">
      <c r="B1039" t="str">
        <f>IFERROR(IF('PDCA review'!$D$2=Act!B1040,Act!G1040,""),"")</f>
        <v/>
      </c>
      <c r="C1039">
        <f t="shared" si="48"/>
        <v>0</v>
      </c>
      <c r="D1039">
        <f>SUM($C$3:C1039)</f>
        <v>4</v>
      </c>
      <c r="E1039" t="e">
        <f t="shared" si="49"/>
        <v>#N/A</v>
      </c>
      <c r="F1039" s="28" t="str">
        <f t="shared" ca="1" si="50"/>
        <v/>
      </c>
    </row>
    <row r="1040" spans="2:6" x14ac:dyDescent="0.2">
      <c r="B1040" t="str">
        <f>IFERROR(IF('PDCA review'!$D$2=Act!B1041,Act!G1041,""),"")</f>
        <v/>
      </c>
      <c r="C1040">
        <f t="shared" si="48"/>
        <v>0</v>
      </c>
      <c r="D1040">
        <f>SUM($C$3:C1040)</f>
        <v>4</v>
      </c>
      <c r="E1040" t="e">
        <f t="shared" si="49"/>
        <v>#N/A</v>
      </c>
      <c r="F1040" s="28" t="str">
        <f t="shared" ca="1" si="50"/>
        <v/>
      </c>
    </row>
    <row r="1041" spans="2:6" x14ac:dyDescent="0.2">
      <c r="B1041" t="str">
        <f>IFERROR(IF('PDCA review'!$D$2=Act!B1042,Act!G1042,""),"")</f>
        <v/>
      </c>
      <c r="C1041">
        <f t="shared" si="48"/>
        <v>0</v>
      </c>
      <c r="D1041">
        <f>SUM($C$3:C1041)</f>
        <v>4</v>
      </c>
      <c r="E1041" t="e">
        <f t="shared" si="49"/>
        <v>#N/A</v>
      </c>
      <c r="F1041" s="28" t="str">
        <f t="shared" ca="1" si="50"/>
        <v/>
      </c>
    </row>
    <row r="1042" spans="2:6" x14ac:dyDescent="0.2">
      <c r="B1042" t="str">
        <f>IFERROR(IF('PDCA review'!$D$2=Act!B1043,Act!G1043,""),"")</f>
        <v/>
      </c>
      <c r="C1042">
        <f t="shared" si="48"/>
        <v>0</v>
      </c>
      <c r="D1042">
        <f>SUM($C$3:C1042)</f>
        <v>4</v>
      </c>
      <c r="E1042" t="e">
        <f t="shared" si="49"/>
        <v>#N/A</v>
      </c>
      <c r="F1042" s="28" t="str">
        <f t="shared" ca="1" si="50"/>
        <v/>
      </c>
    </row>
    <row r="1043" spans="2:6" x14ac:dyDescent="0.2">
      <c r="B1043" t="str">
        <f>IFERROR(IF('PDCA review'!$D$2=Act!B1044,Act!G1044,""),"")</f>
        <v/>
      </c>
      <c r="C1043">
        <f t="shared" si="48"/>
        <v>0</v>
      </c>
      <c r="D1043">
        <f>SUM($C$3:C1043)</f>
        <v>4</v>
      </c>
      <c r="E1043" t="e">
        <f t="shared" si="49"/>
        <v>#N/A</v>
      </c>
      <c r="F1043" s="28" t="str">
        <f t="shared" ca="1" si="50"/>
        <v/>
      </c>
    </row>
    <row r="1044" spans="2:6" x14ac:dyDescent="0.2">
      <c r="B1044" t="str">
        <f>IFERROR(IF('PDCA review'!$D$2=Act!B1045,Act!G1045,""),"")</f>
        <v/>
      </c>
      <c r="C1044">
        <f t="shared" si="48"/>
        <v>0</v>
      </c>
      <c r="D1044">
        <f>SUM($C$3:C1044)</f>
        <v>4</v>
      </c>
      <c r="E1044" t="e">
        <f t="shared" si="49"/>
        <v>#N/A</v>
      </c>
      <c r="F1044" s="28" t="str">
        <f t="shared" ca="1" si="50"/>
        <v/>
      </c>
    </row>
    <row r="1045" spans="2:6" x14ac:dyDescent="0.2">
      <c r="B1045" t="str">
        <f>IFERROR(IF('PDCA review'!$D$2=Act!B1046,Act!G1046,""),"")</f>
        <v/>
      </c>
      <c r="C1045">
        <f t="shared" si="48"/>
        <v>0</v>
      </c>
      <c r="D1045">
        <f>SUM($C$3:C1045)</f>
        <v>4</v>
      </c>
      <c r="E1045" t="e">
        <f t="shared" si="49"/>
        <v>#N/A</v>
      </c>
      <c r="F1045" s="28" t="str">
        <f t="shared" ca="1" si="50"/>
        <v/>
      </c>
    </row>
    <row r="1046" spans="2:6" x14ac:dyDescent="0.2">
      <c r="B1046" t="str">
        <f>IFERROR(IF('PDCA review'!$D$2=Act!B1047,Act!G1047,""),"")</f>
        <v/>
      </c>
      <c r="C1046">
        <f t="shared" si="48"/>
        <v>0</v>
      </c>
      <c r="D1046">
        <f>SUM($C$3:C1046)</f>
        <v>4</v>
      </c>
      <c r="E1046" t="e">
        <f t="shared" si="49"/>
        <v>#N/A</v>
      </c>
      <c r="F1046" s="28" t="str">
        <f t="shared" ca="1" si="50"/>
        <v/>
      </c>
    </row>
    <row r="1047" spans="2:6" x14ac:dyDescent="0.2">
      <c r="B1047" t="str">
        <f>IFERROR(IF('PDCA review'!$D$2=Act!B1048,Act!G1048,""),"")</f>
        <v/>
      </c>
      <c r="C1047">
        <f t="shared" si="48"/>
        <v>0</v>
      </c>
      <c r="D1047">
        <f>SUM($C$3:C1047)</f>
        <v>4</v>
      </c>
      <c r="E1047" t="e">
        <f t="shared" si="49"/>
        <v>#N/A</v>
      </c>
      <c r="F1047" s="28" t="str">
        <f t="shared" ca="1" si="50"/>
        <v/>
      </c>
    </row>
    <row r="1048" spans="2:6" x14ac:dyDescent="0.2">
      <c r="B1048" t="str">
        <f>IFERROR(IF('PDCA review'!$D$2=Act!B1049,Act!G1049,""),"")</f>
        <v/>
      </c>
      <c r="C1048">
        <f t="shared" si="48"/>
        <v>0</v>
      </c>
      <c r="D1048">
        <f>SUM($C$3:C1048)</f>
        <v>4</v>
      </c>
      <c r="E1048" t="e">
        <f t="shared" si="49"/>
        <v>#N/A</v>
      </c>
      <c r="F1048" s="28" t="str">
        <f t="shared" ca="1" si="50"/>
        <v/>
      </c>
    </row>
    <row r="1049" spans="2:6" x14ac:dyDescent="0.2">
      <c r="B1049" t="str">
        <f>IFERROR(IF('PDCA review'!$D$2=Act!B1050,Act!G1050,""),"")</f>
        <v/>
      </c>
      <c r="C1049">
        <f t="shared" si="48"/>
        <v>0</v>
      </c>
      <c r="D1049">
        <f>SUM($C$3:C1049)</f>
        <v>4</v>
      </c>
      <c r="E1049" t="e">
        <f t="shared" si="49"/>
        <v>#N/A</v>
      </c>
      <c r="F1049" s="28" t="str">
        <f t="shared" ca="1" si="50"/>
        <v/>
      </c>
    </row>
    <row r="1050" spans="2:6" x14ac:dyDescent="0.2">
      <c r="B1050" t="str">
        <f>IFERROR(IF('PDCA review'!$D$2=Act!B1051,Act!G1051,""),"")</f>
        <v/>
      </c>
      <c r="C1050">
        <f t="shared" si="48"/>
        <v>0</v>
      </c>
      <c r="D1050">
        <f>SUM($C$3:C1050)</f>
        <v>4</v>
      </c>
      <c r="E1050" t="e">
        <f t="shared" si="49"/>
        <v>#N/A</v>
      </c>
      <c r="F1050" s="28" t="str">
        <f t="shared" ca="1" si="50"/>
        <v/>
      </c>
    </row>
    <row r="1051" spans="2:6" x14ac:dyDescent="0.2">
      <c r="B1051" t="str">
        <f>IFERROR(IF('PDCA review'!$D$2=Act!B1052,Act!G1052,""),"")</f>
        <v/>
      </c>
      <c r="C1051">
        <f t="shared" si="48"/>
        <v>0</v>
      </c>
      <c r="D1051">
        <f>SUM($C$3:C1051)</f>
        <v>4</v>
      </c>
      <c r="E1051" t="e">
        <f t="shared" si="49"/>
        <v>#N/A</v>
      </c>
      <c r="F1051" s="28" t="str">
        <f t="shared" ca="1" si="50"/>
        <v/>
      </c>
    </row>
    <row r="1052" spans="2:6" x14ac:dyDescent="0.2">
      <c r="B1052" t="str">
        <f>IFERROR(IF('PDCA review'!$D$2=Act!B1053,Act!G1053,""),"")</f>
        <v/>
      </c>
      <c r="C1052">
        <f t="shared" si="48"/>
        <v>0</v>
      </c>
      <c r="D1052">
        <f>SUM($C$3:C1052)</f>
        <v>4</v>
      </c>
      <c r="E1052" t="e">
        <f t="shared" si="49"/>
        <v>#N/A</v>
      </c>
      <c r="F1052" s="28" t="str">
        <f t="shared" ca="1" si="50"/>
        <v/>
      </c>
    </row>
    <row r="1053" spans="2:6" x14ac:dyDescent="0.2">
      <c r="B1053" t="str">
        <f>IFERROR(IF('PDCA review'!$D$2=Act!B1054,Act!G1054,""),"")</f>
        <v/>
      </c>
      <c r="C1053">
        <f t="shared" si="48"/>
        <v>0</v>
      </c>
      <c r="D1053">
        <f>SUM($C$3:C1053)</f>
        <v>4</v>
      </c>
      <c r="E1053" t="e">
        <f t="shared" si="49"/>
        <v>#N/A</v>
      </c>
      <c r="F1053" s="28" t="str">
        <f t="shared" ca="1" si="50"/>
        <v/>
      </c>
    </row>
    <row r="1054" spans="2:6" x14ac:dyDescent="0.2">
      <c r="B1054" t="str">
        <f>IFERROR(IF('PDCA review'!$D$2=Act!B1055,Act!G1055,""),"")</f>
        <v/>
      </c>
      <c r="C1054">
        <f t="shared" si="48"/>
        <v>0</v>
      </c>
      <c r="D1054">
        <f>SUM($C$3:C1054)</f>
        <v>4</v>
      </c>
      <c r="E1054" t="e">
        <f t="shared" si="49"/>
        <v>#N/A</v>
      </c>
      <c r="F1054" s="28" t="str">
        <f t="shared" ca="1" si="50"/>
        <v/>
      </c>
    </row>
    <row r="1055" spans="2:6" x14ac:dyDescent="0.2">
      <c r="B1055" t="str">
        <f>IFERROR(IF('PDCA review'!$D$2=Act!B1056,Act!G1056,""),"")</f>
        <v/>
      </c>
      <c r="C1055">
        <f t="shared" si="48"/>
        <v>0</v>
      </c>
      <c r="D1055">
        <f>SUM($C$3:C1055)</f>
        <v>4</v>
      </c>
      <c r="E1055" t="e">
        <f t="shared" si="49"/>
        <v>#N/A</v>
      </c>
      <c r="F1055" s="28" t="str">
        <f t="shared" ca="1" si="50"/>
        <v/>
      </c>
    </row>
    <row r="1056" spans="2:6" x14ac:dyDescent="0.2">
      <c r="B1056" t="str">
        <f>IFERROR(IF('PDCA review'!$D$2=Act!B1057,Act!G1057,""),"")</f>
        <v/>
      </c>
      <c r="C1056">
        <f t="shared" si="48"/>
        <v>0</v>
      </c>
      <c r="D1056">
        <f>SUM($C$3:C1056)</f>
        <v>4</v>
      </c>
      <c r="E1056" t="e">
        <f t="shared" si="49"/>
        <v>#N/A</v>
      </c>
      <c r="F1056" s="28" t="str">
        <f t="shared" ca="1" si="50"/>
        <v/>
      </c>
    </row>
    <row r="1057" spans="2:6" x14ac:dyDescent="0.2">
      <c r="B1057" t="str">
        <f>IFERROR(IF('PDCA review'!$D$2=Act!B1058,Act!G1058,""),"")</f>
        <v/>
      </c>
      <c r="C1057">
        <f t="shared" si="48"/>
        <v>0</v>
      </c>
      <c r="D1057">
        <f>SUM($C$3:C1057)</f>
        <v>4</v>
      </c>
      <c r="E1057" t="e">
        <f t="shared" si="49"/>
        <v>#N/A</v>
      </c>
      <c r="F1057" s="28" t="str">
        <f t="shared" ca="1" si="50"/>
        <v/>
      </c>
    </row>
    <row r="1058" spans="2:6" x14ac:dyDescent="0.2">
      <c r="B1058" t="str">
        <f>IFERROR(IF('PDCA review'!$D$2=Act!B1059,Act!G1059,""),"")</f>
        <v/>
      </c>
      <c r="C1058">
        <f t="shared" si="48"/>
        <v>0</v>
      </c>
      <c r="D1058">
        <f>SUM($C$3:C1058)</f>
        <v>4</v>
      </c>
      <c r="E1058" t="e">
        <f t="shared" si="49"/>
        <v>#N/A</v>
      </c>
      <c r="F1058" s="28" t="str">
        <f t="shared" ca="1" si="50"/>
        <v/>
      </c>
    </row>
    <row r="1059" spans="2:6" x14ac:dyDescent="0.2">
      <c r="B1059" t="str">
        <f>IFERROR(IF('PDCA review'!$D$2=Act!B1060,Act!G1060,""),"")</f>
        <v/>
      </c>
      <c r="C1059">
        <f t="shared" si="48"/>
        <v>0</v>
      </c>
      <c r="D1059">
        <f>SUM($C$3:C1059)</f>
        <v>4</v>
      </c>
      <c r="E1059" t="e">
        <f t="shared" si="49"/>
        <v>#N/A</v>
      </c>
      <c r="F1059" s="28" t="str">
        <f t="shared" ca="1" si="50"/>
        <v/>
      </c>
    </row>
    <row r="1060" spans="2:6" x14ac:dyDescent="0.2">
      <c r="B1060" t="str">
        <f>IFERROR(IF('PDCA review'!$D$2=Act!B1061,Act!G1061,""),"")</f>
        <v/>
      </c>
      <c r="C1060">
        <f t="shared" si="48"/>
        <v>0</v>
      </c>
      <c r="D1060">
        <f>SUM($C$3:C1060)</f>
        <v>4</v>
      </c>
      <c r="E1060" t="e">
        <f t="shared" si="49"/>
        <v>#N/A</v>
      </c>
      <c r="F1060" s="28" t="str">
        <f t="shared" ca="1" si="50"/>
        <v/>
      </c>
    </row>
    <row r="1061" spans="2:6" x14ac:dyDescent="0.2">
      <c r="B1061" t="str">
        <f>IFERROR(IF('PDCA review'!$D$2=Act!B1062,Act!G1062,""),"")</f>
        <v/>
      </c>
      <c r="C1061">
        <f t="shared" si="48"/>
        <v>0</v>
      </c>
      <c r="D1061">
        <f>SUM($C$3:C1061)</f>
        <v>4</v>
      </c>
      <c r="E1061" t="e">
        <f t="shared" si="49"/>
        <v>#N/A</v>
      </c>
      <c r="F1061" s="28" t="str">
        <f t="shared" ca="1" si="50"/>
        <v/>
      </c>
    </row>
    <row r="1062" spans="2:6" x14ac:dyDescent="0.2">
      <c r="B1062" t="str">
        <f>IFERROR(IF('PDCA review'!$D$2=Act!B1063,Act!G1063,""),"")</f>
        <v/>
      </c>
      <c r="C1062">
        <f t="shared" si="48"/>
        <v>0</v>
      </c>
      <c r="D1062">
        <f>SUM($C$3:C1062)</f>
        <v>4</v>
      </c>
      <c r="E1062" t="e">
        <f t="shared" si="49"/>
        <v>#N/A</v>
      </c>
      <c r="F1062" s="28" t="str">
        <f t="shared" ca="1" si="50"/>
        <v/>
      </c>
    </row>
    <row r="1063" spans="2:6" x14ac:dyDescent="0.2">
      <c r="B1063" t="str">
        <f>IFERROR(IF('PDCA review'!$D$2=Act!B1064,Act!G1064,""),"")</f>
        <v/>
      </c>
      <c r="C1063">
        <f t="shared" si="48"/>
        <v>0</v>
      </c>
      <c r="D1063">
        <f>SUM($C$3:C1063)</f>
        <v>4</v>
      </c>
      <c r="E1063" t="e">
        <f t="shared" si="49"/>
        <v>#N/A</v>
      </c>
      <c r="F1063" s="28" t="str">
        <f t="shared" ca="1" si="50"/>
        <v/>
      </c>
    </row>
    <row r="1064" spans="2:6" x14ac:dyDescent="0.2">
      <c r="B1064" t="str">
        <f>IFERROR(IF('PDCA review'!$D$2=Act!B1065,Act!G1065,""),"")</f>
        <v/>
      </c>
      <c r="C1064">
        <f t="shared" si="48"/>
        <v>0</v>
      </c>
      <c r="D1064">
        <f>SUM($C$3:C1064)</f>
        <v>4</v>
      </c>
      <c r="E1064" t="e">
        <f t="shared" si="49"/>
        <v>#N/A</v>
      </c>
      <c r="F1064" s="28" t="str">
        <f t="shared" ca="1" si="50"/>
        <v/>
      </c>
    </row>
    <row r="1065" spans="2:6" x14ac:dyDescent="0.2">
      <c r="B1065" t="str">
        <f>IFERROR(IF('PDCA review'!$D$2=Act!B1066,Act!G1066,""),"")</f>
        <v/>
      </c>
      <c r="C1065">
        <f t="shared" si="48"/>
        <v>0</v>
      </c>
      <c r="D1065">
        <f>SUM($C$3:C1065)</f>
        <v>4</v>
      </c>
      <c r="E1065" t="e">
        <f t="shared" si="49"/>
        <v>#N/A</v>
      </c>
      <c r="F1065" s="28" t="str">
        <f t="shared" ca="1" si="50"/>
        <v/>
      </c>
    </row>
    <row r="1066" spans="2:6" x14ac:dyDescent="0.2">
      <c r="B1066" t="str">
        <f>IFERROR(IF('PDCA review'!$D$2=Act!B1067,Act!G1067,""),"")</f>
        <v/>
      </c>
      <c r="C1066">
        <f t="shared" si="48"/>
        <v>0</v>
      </c>
      <c r="D1066">
        <f>SUM($C$3:C1066)</f>
        <v>4</v>
      </c>
      <c r="E1066" t="e">
        <f t="shared" si="49"/>
        <v>#N/A</v>
      </c>
      <c r="F1066" s="28" t="str">
        <f t="shared" ca="1" si="50"/>
        <v/>
      </c>
    </row>
    <row r="1067" spans="2:6" x14ac:dyDescent="0.2">
      <c r="B1067" t="str">
        <f>IFERROR(IF('PDCA review'!$D$2=Act!B1068,Act!G1068,""),"")</f>
        <v/>
      </c>
      <c r="C1067">
        <f t="shared" si="48"/>
        <v>0</v>
      </c>
      <c r="D1067">
        <f>SUM($C$3:C1067)</f>
        <v>4</v>
      </c>
      <c r="E1067" t="e">
        <f t="shared" si="49"/>
        <v>#N/A</v>
      </c>
      <c r="F1067" s="28" t="str">
        <f t="shared" ca="1" si="50"/>
        <v/>
      </c>
    </row>
    <row r="1068" spans="2:6" x14ac:dyDescent="0.2">
      <c r="B1068" t="str">
        <f>IFERROR(IF('PDCA review'!$D$2=Act!B1069,Act!G1069,""),"")</f>
        <v/>
      </c>
      <c r="C1068">
        <f t="shared" si="48"/>
        <v>0</v>
      </c>
      <c r="D1068">
        <f>SUM($C$3:C1068)</f>
        <v>4</v>
      </c>
      <c r="E1068" t="e">
        <f t="shared" si="49"/>
        <v>#N/A</v>
      </c>
      <c r="F1068" s="28" t="str">
        <f t="shared" ca="1" si="50"/>
        <v/>
      </c>
    </row>
    <row r="1069" spans="2:6" x14ac:dyDescent="0.2">
      <c r="B1069" t="str">
        <f>IFERROR(IF('PDCA review'!$D$2=Act!B1070,Act!G1070,""),"")</f>
        <v/>
      </c>
      <c r="C1069">
        <f t="shared" si="48"/>
        <v>0</v>
      </c>
      <c r="D1069">
        <f>SUM($C$3:C1069)</f>
        <v>4</v>
      </c>
      <c r="E1069" t="e">
        <f t="shared" si="49"/>
        <v>#N/A</v>
      </c>
      <c r="F1069" s="28" t="str">
        <f t="shared" ca="1" si="50"/>
        <v/>
      </c>
    </row>
    <row r="1070" spans="2:6" x14ac:dyDescent="0.2">
      <c r="B1070" t="str">
        <f>IFERROR(IF('PDCA review'!$D$2=Act!B1071,Act!G1071,""),"")</f>
        <v/>
      </c>
      <c r="C1070">
        <f t="shared" si="48"/>
        <v>0</v>
      </c>
      <c r="D1070">
        <f>SUM($C$3:C1070)</f>
        <v>4</v>
      </c>
      <c r="E1070" t="e">
        <f t="shared" si="49"/>
        <v>#N/A</v>
      </c>
      <c r="F1070" s="28" t="str">
        <f t="shared" ca="1" si="50"/>
        <v/>
      </c>
    </row>
    <row r="1071" spans="2:6" x14ac:dyDescent="0.2">
      <c r="B1071" t="str">
        <f>IFERROR(IF('PDCA review'!$D$2=Act!B1072,Act!G1072,""),"")</f>
        <v/>
      </c>
      <c r="C1071">
        <f t="shared" si="48"/>
        <v>0</v>
      </c>
      <c r="D1071">
        <f>SUM($C$3:C1071)</f>
        <v>4</v>
      </c>
      <c r="E1071" t="e">
        <f t="shared" si="49"/>
        <v>#N/A</v>
      </c>
      <c r="F1071" s="28" t="str">
        <f t="shared" ca="1" si="50"/>
        <v/>
      </c>
    </row>
    <row r="1072" spans="2:6" x14ac:dyDescent="0.2">
      <c r="B1072" t="str">
        <f>IFERROR(IF('PDCA review'!$D$2=Act!B1073,Act!G1073,""),"")</f>
        <v/>
      </c>
      <c r="C1072">
        <f t="shared" si="48"/>
        <v>0</v>
      </c>
      <c r="D1072">
        <f>SUM($C$3:C1072)</f>
        <v>4</v>
      </c>
      <c r="E1072" t="e">
        <f t="shared" si="49"/>
        <v>#N/A</v>
      </c>
      <c r="F1072" s="28" t="str">
        <f t="shared" ca="1" si="50"/>
        <v/>
      </c>
    </row>
    <row r="1073" spans="2:6" x14ac:dyDescent="0.2">
      <c r="B1073" t="str">
        <f>IFERROR(IF('PDCA review'!$D$2=Act!B1074,Act!G1074,""),"")</f>
        <v/>
      </c>
      <c r="C1073">
        <f t="shared" si="48"/>
        <v>0</v>
      </c>
      <c r="D1073">
        <f>SUM($C$3:C1073)</f>
        <v>4</v>
      </c>
      <c r="E1073" t="e">
        <f t="shared" si="49"/>
        <v>#N/A</v>
      </c>
      <c r="F1073" s="28" t="str">
        <f t="shared" ca="1" si="50"/>
        <v/>
      </c>
    </row>
    <row r="1074" spans="2:6" x14ac:dyDescent="0.2">
      <c r="B1074" t="str">
        <f>IFERROR(IF('PDCA review'!$D$2=Act!B1075,Act!G1075,""),"")</f>
        <v/>
      </c>
      <c r="C1074">
        <f t="shared" si="48"/>
        <v>0</v>
      </c>
      <c r="D1074">
        <f>SUM($C$3:C1074)</f>
        <v>4</v>
      </c>
      <c r="E1074" t="e">
        <f t="shared" si="49"/>
        <v>#N/A</v>
      </c>
      <c r="F1074" s="28" t="str">
        <f t="shared" ca="1" si="50"/>
        <v/>
      </c>
    </row>
    <row r="1075" spans="2:6" x14ac:dyDescent="0.2">
      <c r="B1075" t="str">
        <f>IFERROR(IF('PDCA review'!$D$2=Act!B1076,Act!G1076,""),"")</f>
        <v/>
      </c>
      <c r="C1075">
        <f t="shared" si="48"/>
        <v>0</v>
      </c>
      <c r="D1075">
        <f>SUM($C$3:C1075)</f>
        <v>4</v>
      </c>
      <c r="E1075" t="e">
        <f t="shared" si="49"/>
        <v>#N/A</v>
      </c>
      <c r="F1075" s="28" t="str">
        <f t="shared" ca="1" si="50"/>
        <v/>
      </c>
    </row>
    <row r="1076" spans="2:6" x14ac:dyDescent="0.2">
      <c r="B1076" t="str">
        <f>IFERROR(IF('PDCA review'!$D$2=Act!B1077,Act!G1077,""),"")</f>
        <v/>
      </c>
      <c r="C1076">
        <f t="shared" si="48"/>
        <v>0</v>
      </c>
      <c r="D1076">
        <f>SUM($C$3:C1076)</f>
        <v>4</v>
      </c>
      <c r="E1076" t="e">
        <f t="shared" si="49"/>
        <v>#N/A</v>
      </c>
      <c r="F1076" s="28" t="str">
        <f t="shared" ca="1" si="50"/>
        <v/>
      </c>
    </row>
    <row r="1077" spans="2:6" x14ac:dyDescent="0.2">
      <c r="B1077" t="str">
        <f>IFERROR(IF('PDCA review'!$D$2=Act!B1078,Act!G1078,""),"")</f>
        <v/>
      </c>
      <c r="C1077">
        <f t="shared" si="48"/>
        <v>0</v>
      </c>
      <c r="D1077">
        <f>SUM($C$3:C1077)</f>
        <v>4</v>
      </c>
      <c r="E1077" t="e">
        <f t="shared" si="49"/>
        <v>#N/A</v>
      </c>
      <c r="F1077" s="28" t="str">
        <f t="shared" ca="1" si="50"/>
        <v/>
      </c>
    </row>
    <row r="1078" spans="2:6" x14ac:dyDescent="0.2">
      <c r="B1078" t="str">
        <f>IFERROR(IF('PDCA review'!$D$2=Act!B1079,Act!G1079,""),"")</f>
        <v/>
      </c>
      <c r="C1078">
        <f t="shared" si="48"/>
        <v>0</v>
      </c>
      <c r="D1078">
        <f>SUM($C$3:C1078)</f>
        <v>4</v>
      </c>
      <c r="E1078" t="e">
        <f t="shared" si="49"/>
        <v>#N/A</v>
      </c>
      <c r="F1078" s="28" t="str">
        <f t="shared" ca="1" si="50"/>
        <v/>
      </c>
    </row>
    <row r="1079" spans="2:6" x14ac:dyDescent="0.2">
      <c r="B1079" t="str">
        <f>IFERROR(IF('PDCA review'!$D$2=Act!B1080,Act!G1080,""),"")</f>
        <v/>
      </c>
      <c r="C1079">
        <f t="shared" si="48"/>
        <v>0</v>
      </c>
      <c r="D1079">
        <f>SUM($C$3:C1079)</f>
        <v>4</v>
      </c>
      <c r="E1079" t="e">
        <f t="shared" si="49"/>
        <v>#N/A</v>
      </c>
      <c r="F1079" s="28" t="str">
        <f t="shared" ca="1" si="50"/>
        <v/>
      </c>
    </row>
    <row r="1080" spans="2:6" x14ac:dyDescent="0.2">
      <c r="B1080" t="str">
        <f>IFERROR(IF('PDCA review'!$D$2=Act!B1081,Act!G1081,""),"")</f>
        <v/>
      </c>
      <c r="C1080">
        <f t="shared" si="48"/>
        <v>0</v>
      </c>
      <c r="D1080">
        <f>SUM($C$3:C1080)</f>
        <v>4</v>
      </c>
      <c r="E1080" t="e">
        <f t="shared" si="49"/>
        <v>#N/A</v>
      </c>
      <c r="F1080" s="28" t="str">
        <f t="shared" ca="1" si="50"/>
        <v/>
      </c>
    </row>
    <row r="1081" spans="2:6" x14ac:dyDescent="0.2">
      <c r="B1081" t="str">
        <f>IFERROR(IF('PDCA review'!$D$2=Act!B1082,Act!G1082,""),"")</f>
        <v/>
      </c>
      <c r="C1081">
        <f t="shared" si="48"/>
        <v>0</v>
      </c>
      <c r="D1081">
        <f>SUM($C$3:C1081)</f>
        <v>4</v>
      </c>
      <c r="E1081" t="e">
        <f t="shared" si="49"/>
        <v>#N/A</v>
      </c>
      <c r="F1081" s="28" t="str">
        <f t="shared" ca="1" si="50"/>
        <v/>
      </c>
    </row>
    <row r="1082" spans="2:6" x14ac:dyDescent="0.2">
      <c r="B1082" t="str">
        <f>IFERROR(IF('PDCA review'!$D$2=Act!B1083,Act!G1083,""),"")</f>
        <v/>
      </c>
      <c r="C1082">
        <f t="shared" si="48"/>
        <v>0</v>
      </c>
      <c r="D1082">
        <f>SUM($C$3:C1082)</f>
        <v>4</v>
      </c>
      <c r="E1082" t="e">
        <f t="shared" si="49"/>
        <v>#N/A</v>
      </c>
      <c r="F1082" s="28" t="str">
        <f t="shared" ca="1" si="50"/>
        <v/>
      </c>
    </row>
    <row r="1083" spans="2:6" x14ac:dyDescent="0.2">
      <c r="B1083" t="str">
        <f>IFERROR(IF('PDCA review'!$D$2=Act!B1084,Act!G1084,""),"")</f>
        <v/>
      </c>
      <c r="C1083">
        <f t="shared" si="48"/>
        <v>0</v>
      </c>
      <c r="D1083">
        <f>SUM($C$3:C1083)</f>
        <v>4</v>
      </c>
      <c r="E1083" t="e">
        <f t="shared" si="49"/>
        <v>#N/A</v>
      </c>
      <c r="F1083" s="28" t="str">
        <f t="shared" ca="1" si="50"/>
        <v/>
      </c>
    </row>
    <row r="1084" spans="2:6" x14ac:dyDescent="0.2">
      <c r="B1084" t="str">
        <f>IFERROR(IF('PDCA review'!$D$2=Act!B1085,Act!G1085,""),"")</f>
        <v/>
      </c>
      <c r="C1084">
        <f t="shared" si="48"/>
        <v>0</v>
      </c>
      <c r="D1084">
        <f>SUM($C$3:C1084)</f>
        <v>4</v>
      </c>
      <c r="E1084" t="e">
        <f t="shared" si="49"/>
        <v>#N/A</v>
      </c>
      <c r="F1084" s="28" t="str">
        <f t="shared" ca="1" si="50"/>
        <v/>
      </c>
    </row>
    <row r="1085" spans="2:6" x14ac:dyDescent="0.2">
      <c r="B1085" t="str">
        <f>IFERROR(IF('PDCA review'!$D$2=Act!B1086,Act!G1086,""),"")</f>
        <v/>
      </c>
      <c r="C1085">
        <f t="shared" si="48"/>
        <v>0</v>
      </c>
      <c r="D1085">
        <f>SUM($C$3:C1085)</f>
        <v>4</v>
      </c>
      <c r="E1085" t="e">
        <f t="shared" si="49"/>
        <v>#N/A</v>
      </c>
      <c r="F1085" s="28" t="str">
        <f t="shared" ca="1" si="50"/>
        <v/>
      </c>
    </row>
    <row r="1086" spans="2:6" x14ac:dyDescent="0.2">
      <c r="B1086" t="str">
        <f>IFERROR(IF('PDCA review'!$D$2=Act!B1087,Act!G1087,""),"")</f>
        <v/>
      </c>
      <c r="C1086">
        <f t="shared" si="48"/>
        <v>0</v>
      </c>
      <c r="D1086">
        <f>SUM($C$3:C1086)</f>
        <v>4</v>
      </c>
      <c r="E1086" t="e">
        <f t="shared" si="49"/>
        <v>#N/A</v>
      </c>
      <c r="F1086" s="28" t="str">
        <f t="shared" ca="1" si="50"/>
        <v/>
      </c>
    </row>
    <row r="1087" spans="2:6" x14ac:dyDescent="0.2">
      <c r="B1087" t="str">
        <f>IFERROR(IF('PDCA review'!$D$2=Act!B1088,Act!G1088,""),"")</f>
        <v/>
      </c>
      <c r="C1087">
        <f t="shared" si="48"/>
        <v>0</v>
      </c>
      <c r="D1087">
        <f>SUM($C$3:C1087)</f>
        <v>4</v>
      </c>
      <c r="E1087" t="e">
        <f t="shared" si="49"/>
        <v>#N/A</v>
      </c>
      <c r="F1087" s="28" t="str">
        <f t="shared" ca="1" si="50"/>
        <v/>
      </c>
    </row>
    <row r="1088" spans="2:6" x14ac:dyDescent="0.2">
      <c r="B1088" t="str">
        <f>IFERROR(IF('PDCA review'!$D$2=Act!B1089,Act!G1089,""),"")</f>
        <v/>
      </c>
      <c r="C1088">
        <f t="shared" si="48"/>
        <v>0</v>
      </c>
      <c r="D1088">
        <f>SUM($C$3:C1088)</f>
        <v>4</v>
      </c>
      <c r="E1088" t="e">
        <f t="shared" si="49"/>
        <v>#N/A</v>
      </c>
      <c r="F1088" s="28" t="str">
        <f t="shared" ca="1" si="50"/>
        <v/>
      </c>
    </row>
    <row r="1089" spans="2:6" x14ac:dyDescent="0.2">
      <c r="B1089" t="str">
        <f>IFERROR(IF('PDCA review'!$D$2=Act!B1090,Act!G1090,""),"")</f>
        <v/>
      </c>
      <c r="C1089">
        <f t="shared" si="48"/>
        <v>0</v>
      </c>
      <c r="D1089">
        <f>SUM($C$3:C1089)</f>
        <v>4</v>
      </c>
      <c r="E1089" t="e">
        <f t="shared" si="49"/>
        <v>#N/A</v>
      </c>
      <c r="F1089" s="28" t="str">
        <f t="shared" ca="1" si="50"/>
        <v/>
      </c>
    </row>
    <row r="1090" spans="2:6" x14ac:dyDescent="0.2">
      <c r="B1090" t="str">
        <f>IFERROR(IF('PDCA review'!$D$2=Act!B1091,Act!G1091,""),"")</f>
        <v/>
      </c>
      <c r="C1090">
        <f t="shared" si="48"/>
        <v>0</v>
      </c>
      <c r="D1090">
        <f>SUM($C$3:C1090)</f>
        <v>4</v>
      </c>
      <c r="E1090" t="e">
        <f t="shared" si="49"/>
        <v>#N/A</v>
      </c>
      <c r="F1090" s="28" t="str">
        <f t="shared" ca="1" si="50"/>
        <v/>
      </c>
    </row>
    <row r="1091" spans="2:6" x14ac:dyDescent="0.2">
      <c r="B1091" t="str">
        <f>IFERROR(IF('PDCA review'!$D$2=Act!B1092,Act!G1092,""),"")</f>
        <v/>
      </c>
      <c r="C1091">
        <f t="shared" si="48"/>
        <v>0</v>
      </c>
      <c r="D1091">
        <f>SUM($C$3:C1091)</f>
        <v>4</v>
      </c>
      <c r="E1091" t="e">
        <f t="shared" si="49"/>
        <v>#N/A</v>
      </c>
      <c r="F1091" s="28" t="str">
        <f t="shared" ca="1" si="50"/>
        <v/>
      </c>
    </row>
    <row r="1092" spans="2:6" x14ac:dyDescent="0.2">
      <c r="B1092" t="str">
        <f>IFERROR(IF('PDCA review'!$D$2=Act!B1093,Act!G1093,""),"")</f>
        <v/>
      </c>
      <c r="C1092">
        <f t="shared" ref="C1092:C1155" si="51">IF(B1092&lt;&gt;"",1,0)</f>
        <v>0</v>
      </c>
      <c r="D1092">
        <f>SUM($C$3:C1092)</f>
        <v>4</v>
      </c>
      <c r="E1092" t="e">
        <f t="shared" ref="E1092:E1155" si="52">MATCH(ROW()-$D$2,$D$3:$D$2000,0)+$D$2</f>
        <v>#N/A</v>
      </c>
      <c r="F1092" s="28" t="str">
        <f t="shared" ref="F1092:F1155" ca="1" si="53">IFERROR(INDIRECT("B"&amp;E1092),"")</f>
        <v/>
      </c>
    </row>
    <row r="1093" spans="2:6" x14ac:dyDescent="0.2">
      <c r="B1093" t="str">
        <f>IFERROR(IF('PDCA review'!$D$2=Act!B1094,Act!G1094,""),"")</f>
        <v/>
      </c>
      <c r="C1093">
        <f t="shared" si="51"/>
        <v>0</v>
      </c>
      <c r="D1093">
        <f>SUM($C$3:C1093)</f>
        <v>4</v>
      </c>
      <c r="E1093" t="e">
        <f t="shared" si="52"/>
        <v>#N/A</v>
      </c>
      <c r="F1093" s="28" t="str">
        <f t="shared" ca="1" si="53"/>
        <v/>
      </c>
    </row>
    <row r="1094" spans="2:6" x14ac:dyDescent="0.2">
      <c r="B1094" t="str">
        <f>IFERROR(IF('PDCA review'!$D$2=Act!B1095,Act!G1095,""),"")</f>
        <v/>
      </c>
      <c r="C1094">
        <f t="shared" si="51"/>
        <v>0</v>
      </c>
      <c r="D1094">
        <f>SUM($C$3:C1094)</f>
        <v>4</v>
      </c>
      <c r="E1094" t="e">
        <f t="shared" si="52"/>
        <v>#N/A</v>
      </c>
      <c r="F1094" s="28" t="str">
        <f t="shared" ca="1" si="53"/>
        <v/>
      </c>
    </row>
    <row r="1095" spans="2:6" x14ac:dyDescent="0.2">
      <c r="B1095" t="str">
        <f>IFERROR(IF('PDCA review'!$D$2=Act!B1096,Act!G1096,""),"")</f>
        <v/>
      </c>
      <c r="C1095">
        <f t="shared" si="51"/>
        <v>0</v>
      </c>
      <c r="D1095">
        <f>SUM($C$3:C1095)</f>
        <v>4</v>
      </c>
      <c r="E1095" t="e">
        <f t="shared" si="52"/>
        <v>#N/A</v>
      </c>
      <c r="F1095" s="28" t="str">
        <f t="shared" ca="1" si="53"/>
        <v/>
      </c>
    </row>
    <row r="1096" spans="2:6" x14ac:dyDescent="0.2">
      <c r="B1096" t="str">
        <f>IFERROR(IF('PDCA review'!$D$2=Act!B1097,Act!G1097,""),"")</f>
        <v/>
      </c>
      <c r="C1096">
        <f t="shared" si="51"/>
        <v>0</v>
      </c>
      <c r="D1096">
        <f>SUM($C$3:C1096)</f>
        <v>4</v>
      </c>
      <c r="E1096" t="e">
        <f t="shared" si="52"/>
        <v>#N/A</v>
      </c>
      <c r="F1096" s="28" t="str">
        <f t="shared" ca="1" si="53"/>
        <v/>
      </c>
    </row>
    <row r="1097" spans="2:6" x14ac:dyDescent="0.2">
      <c r="B1097" t="str">
        <f>IFERROR(IF('PDCA review'!$D$2=Act!B1098,Act!G1098,""),"")</f>
        <v/>
      </c>
      <c r="C1097">
        <f t="shared" si="51"/>
        <v>0</v>
      </c>
      <c r="D1097">
        <f>SUM($C$3:C1097)</f>
        <v>4</v>
      </c>
      <c r="E1097" t="e">
        <f t="shared" si="52"/>
        <v>#N/A</v>
      </c>
      <c r="F1097" s="28" t="str">
        <f t="shared" ca="1" si="53"/>
        <v/>
      </c>
    </row>
    <row r="1098" spans="2:6" x14ac:dyDescent="0.2">
      <c r="B1098" t="str">
        <f>IFERROR(IF('PDCA review'!$D$2=Act!B1099,Act!G1099,""),"")</f>
        <v/>
      </c>
      <c r="C1098">
        <f t="shared" si="51"/>
        <v>0</v>
      </c>
      <c r="D1098">
        <f>SUM($C$3:C1098)</f>
        <v>4</v>
      </c>
      <c r="E1098" t="e">
        <f t="shared" si="52"/>
        <v>#N/A</v>
      </c>
      <c r="F1098" s="28" t="str">
        <f t="shared" ca="1" si="53"/>
        <v/>
      </c>
    </row>
    <row r="1099" spans="2:6" x14ac:dyDescent="0.2">
      <c r="B1099" t="str">
        <f>IFERROR(IF('PDCA review'!$D$2=Act!B1100,Act!G1100,""),"")</f>
        <v/>
      </c>
      <c r="C1099">
        <f t="shared" si="51"/>
        <v>0</v>
      </c>
      <c r="D1099">
        <f>SUM($C$3:C1099)</f>
        <v>4</v>
      </c>
      <c r="E1099" t="e">
        <f t="shared" si="52"/>
        <v>#N/A</v>
      </c>
      <c r="F1099" s="28" t="str">
        <f t="shared" ca="1" si="53"/>
        <v/>
      </c>
    </row>
    <row r="1100" spans="2:6" x14ac:dyDescent="0.2">
      <c r="B1100" t="str">
        <f>IFERROR(IF('PDCA review'!$D$2=Act!B1101,Act!G1101,""),"")</f>
        <v/>
      </c>
      <c r="C1100">
        <f t="shared" si="51"/>
        <v>0</v>
      </c>
      <c r="D1100">
        <f>SUM($C$3:C1100)</f>
        <v>4</v>
      </c>
      <c r="E1100" t="e">
        <f t="shared" si="52"/>
        <v>#N/A</v>
      </c>
      <c r="F1100" s="28" t="str">
        <f t="shared" ca="1" si="53"/>
        <v/>
      </c>
    </row>
    <row r="1101" spans="2:6" x14ac:dyDescent="0.2">
      <c r="B1101" t="str">
        <f>IFERROR(IF('PDCA review'!$D$2=Act!B1102,Act!G1102,""),"")</f>
        <v/>
      </c>
      <c r="C1101">
        <f t="shared" si="51"/>
        <v>0</v>
      </c>
      <c r="D1101">
        <f>SUM($C$3:C1101)</f>
        <v>4</v>
      </c>
      <c r="E1101" t="e">
        <f t="shared" si="52"/>
        <v>#N/A</v>
      </c>
      <c r="F1101" s="28" t="str">
        <f t="shared" ca="1" si="53"/>
        <v/>
      </c>
    </row>
    <row r="1102" spans="2:6" x14ac:dyDescent="0.2">
      <c r="B1102" t="str">
        <f>IFERROR(IF('PDCA review'!$D$2=Act!B1103,Act!G1103,""),"")</f>
        <v/>
      </c>
      <c r="C1102">
        <f t="shared" si="51"/>
        <v>0</v>
      </c>
      <c r="D1102">
        <f>SUM($C$3:C1102)</f>
        <v>4</v>
      </c>
      <c r="E1102" t="e">
        <f t="shared" si="52"/>
        <v>#N/A</v>
      </c>
      <c r="F1102" s="28" t="str">
        <f t="shared" ca="1" si="53"/>
        <v/>
      </c>
    </row>
    <row r="1103" spans="2:6" x14ac:dyDescent="0.2">
      <c r="B1103" t="str">
        <f>IFERROR(IF('PDCA review'!$D$2=Act!B1104,Act!G1104,""),"")</f>
        <v/>
      </c>
      <c r="C1103">
        <f t="shared" si="51"/>
        <v>0</v>
      </c>
      <c r="D1103">
        <f>SUM($C$3:C1103)</f>
        <v>4</v>
      </c>
      <c r="E1103" t="e">
        <f t="shared" si="52"/>
        <v>#N/A</v>
      </c>
      <c r="F1103" s="28" t="str">
        <f t="shared" ca="1" si="53"/>
        <v/>
      </c>
    </row>
    <row r="1104" spans="2:6" x14ac:dyDescent="0.2">
      <c r="B1104" t="str">
        <f>IFERROR(IF('PDCA review'!$D$2=Act!B1105,Act!G1105,""),"")</f>
        <v/>
      </c>
      <c r="C1104">
        <f t="shared" si="51"/>
        <v>0</v>
      </c>
      <c r="D1104">
        <f>SUM($C$3:C1104)</f>
        <v>4</v>
      </c>
      <c r="E1104" t="e">
        <f t="shared" si="52"/>
        <v>#N/A</v>
      </c>
      <c r="F1104" s="28" t="str">
        <f t="shared" ca="1" si="53"/>
        <v/>
      </c>
    </row>
    <row r="1105" spans="2:6" x14ac:dyDescent="0.2">
      <c r="B1105" t="str">
        <f>IFERROR(IF('PDCA review'!$D$2=Act!B1106,Act!G1106,""),"")</f>
        <v/>
      </c>
      <c r="C1105">
        <f t="shared" si="51"/>
        <v>0</v>
      </c>
      <c r="D1105">
        <f>SUM($C$3:C1105)</f>
        <v>4</v>
      </c>
      <c r="E1105" t="e">
        <f t="shared" si="52"/>
        <v>#N/A</v>
      </c>
      <c r="F1105" s="28" t="str">
        <f t="shared" ca="1" si="53"/>
        <v/>
      </c>
    </row>
    <row r="1106" spans="2:6" x14ac:dyDescent="0.2">
      <c r="B1106" t="str">
        <f>IFERROR(IF('PDCA review'!$D$2=Act!B1107,Act!G1107,""),"")</f>
        <v/>
      </c>
      <c r="C1106">
        <f t="shared" si="51"/>
        <v>0</v>
      </c>
      <c r="D1106">
        <f>SUM($C$3:C1106)</f>
        <v>4</v>
      </c>
      <c r="E1106" t="e">
        <f t="shared" si="52"/>
        <v>#N/A</v>
      </c>
      <c r="F1106" s="28" t="str">
        <f t="shared" ca="1" si="53"/>
        <v/>
      </c>
    </row>
    <row r="1107" spans="2:6" x14ac:dyDescent="0.2">
      <c r="B1107" t="str">
        <f>IFERROR(IF('PDCA review'!$D$2=Act!B1108,Act!G1108,""),"")</f>
        <v/>
      </c>
      <c r="C1107">
        <f t="shared" si="51"/>
        <v>0</v>
      </c>
      <c r="D1107">
        <f>SUM($C$3:C1107)</f>
        <v>4</v>
      </c>
      <c r="E1107" t="e">
        <f t="shared" si="52"/>
        <v>#N/A</v>
      </c>
      <c r="F1107" s="28" t="str">
        <f t="shared" ca="1" si="53"/>
        <v/>
      </c>
    </row>
    <row r="1108" spans="2:6" x14ac:dyDescent="0.2">
      <c r="B1108" t="str">
        <f>IFERROR(IF('PDCA review'!$D$2=Act!B1109,Act!G1109,""),"")</f>
        <v/>
      </c>
      <c r="C1108">
        <f t="shared" si="51"/>
        <v>0</v>
      </c>
      <c r="D1108">
        <f>SUM($C$3:C1108)</f>
        <v>4</v>
      </c>
      <c r="E1108" t="e">
        <f t="shared" si="52"/>
        <v>#N/A</v>
      </c>
      <c r="F1108" s="28" t="str">
        <f t="shared" ca="1" si="53"/>
        <v/>
      </c>
    </row>
    <row r="1109" spans="2:6" x14ac:dyDescent="0.2">
      <c r="B1109" t="str">
        <f>IFERROR(IF('PDCA review'!$D$2=Act!B1110,Act!G1110,""),"")</f>
        <v/>
      </c>
      <c r="C1109">
        <f t="shared" si="51"/>
        <v>0</v>
      </c>
      <c r="D1109">
        <f>SUM($C$3:C1109)</f>
        <v>4</v>
      </c>
      <c r="E1109" t="e">
        <f t="shared" si="52"/>
        <v>#N/A</v>
      </c>
      <c r="F1109" s="28" t="str">
        <f t="shared" ca="1" si="53"/>
        <v/>
      </c>
    </row>
    <row r="1110" spans="2:6" x14ac:dyDescent="0.2">
      <c r="B1110" t="str">
        <f>IFERROR(IF('PDCA review'!$D$2=Act!B1111,Act!G1111,""),"")</f>
        <v/>
      </c>
      <c r="C1110">
        <f t="shared" si="51"/>
        <v>0</v>
      </c>
      <c r="D1110">
        <f>SUM($C$3:C1110)</f>
        <v>4</v>
      </c>
      <c r="E1110" t="e">
        <f t="shared" si="52"/>
        <v>#N/A</v>
      </c>
      <c r="F1110" s="28" t="str">
        <f t="shared" ca="1" si="53"/>
        <v/>
      </c>
    </row>
    <row r="1111" spans="2:6" x14ac:dyDescent="0.2">
      <c r="B1111" t="str">
        <f>IFERROR(IF('PDCA review'!$D$2=Act!B1112,Act!G1112,""),"")</f>
        <v/>
      </c>
      <c r="C1111">
        <f t="shared" si="51"/>
        <v>0</v>
      </c>
      <c r="D1111">
        <f>SUM($C$3:C1111)</f>
        <v>4</v>
      </c>
      <c r="E1111" t="e">
        <f t="shared" si="52"/>
        <v>#N/A</v>
      </c>
      <c r="F1111" s="28" t="str">
        <f t="shared" ca="1" si="53"/>
        <v/>
      </c>
    </row>
    <row r="1112" spans="2:6" x14ac:dyDescent="0.2">
      <c r="B1112" t="str">
        <f>IFERROR(IF('PDCA review'!$D$2=Act!B1113,Act!G1113,""),"")</f>
        <v/>
      </c>
      <c r="C1112">
        <f t="shared" si="51"/>
        <v>0</v>
      </c>
      <c r="D1112">
        <f>SUM($C$3:C1112)</f>
        <v>4</v>
      </c>
      <c r="E1112" t="e">
        <f t="shared" si="52"/>
        <v>#N/A</v>
      </c>
      <c r="F1112" s="28" t="str">
        <f t="shared" ca="1" si="53"/>
        <v/>
      </c>
    </row>
    <row r="1113" spans="2:6" x14ac:dyDescent="0.2">
      <c r="B1113" t="str">
        <f>IFERROR(IF('PDCA review'!$D$2=Act!B1114,Act!G1114,""),"")</f>
        <v/>
      </c>
      <c r="C1113">
        <f t="shared" si="51"/>
        <v>0</v>
      </c>
      <c r="D1113">
        <f>SUM($C$3:C1113)</f>
        <v>4</v>
      </c>
      <c r="E1113" t="e">
        <f t="shared" si="52"/>
        <v>#N/A</v>
      </c>
      <c r="F1113" s="28" t="str">
        <f t="shared" ca="1" si="53"/>
        <v/>
      </c>
    </row>
    <row r="1114" spans="2:6" x14ac:dyDescent="0.2">
      <c r="B1114" t="str">
        <f>IFERROR(IF('PDCA review'!$D$2=Act!B1115,Act!G1115,""),"")</f>
        <v/>
      </c>
      <c r="C1114">
        <f t="shared" si="51"/>
        <v>0</v>
      </c>
      <c r="D1114">
        <f>SUM($C$3:C1114)</f>
        <v>4</v>
      </c>
      <c r="E1114" t="e">
        <f t="shared" si="52"/>
        <v>#N/A</v>
      </c>
      <c r="F1114" s="28" t="str">
        <f t="shared" ca="1" si="53"/>
        <v/>
      </c>
    </row>
    <row r="1115" spans="2:6" x14ac:dyDescent="0.2">
      <c r="B1115" t="str">
        <f>IFERROR(IF('PDCA review'!$D$2=Act!B1116,Act!G1116,""),"")</f>
        <v/>
      </c>
      <c r="C1115">
        <f t="shared" si="51"/>
        <v>0</v>
      </c>
      <c r="D1115">
        <f>SUM($C$3:C1115)</f>
        <v>4</v>
      </c>
      <c r="E1115" t="e">
        <f t="shared" si="52"/>
        <v>#N/A</v>
      </c>
      <c r="F1115" s="28" t="str">
        <f t="shared" ca="1" si="53"/>
        <v/>
      </c>
    </row>
    <row r="1116" spans="2:6" x14ac:dyDescent="0.2">
      <c r="B1116" t="str">
        <f>IFERROR(IF('PDCA review'!$D$2=Act!B1117,Act!G1117,""),"")</f>
        <v/>
      </c>
      <c r="C1116">
        <f t="shared" si="51"/>
        <v>0</v>
      </c>
      <c r="D1116">
        <f>SUM($C$3:C1116)</f>
        <v>4</v>
      </c>
      <c r="E1116" t="e">
        <f t="shared" si="52"/>
        <v>#N/A</v>
      </c>
      <c r="F1116" s="28" t="str">
        <f t="shared" ca="1" si="53"/>
        <v/>
      </c>
    </row>
    <row r="1117" spans="2:6" x14ac:dyDescent="0.2">
      <c r="B1117" t="str">
        <f>IFERROR(IF('PDCA review'!$D$2=Act!B1118,Act!G1118,""),"")</f>
        <v/>
      </c>
      <c r="C1117">
        <f t="shared" si="51"/>
        <v>0</v>
      </c>
      <c r="D1117">
        <f>SUM($C$3:C1117)</f>
        <v>4</v>
      </c>
      <c r="E1117" t="e">
        <f t="shared" si="52"/>
        <v>#N/A</v>
      </c>
      <c r="F1117" s="28" t="str">
        <f t="shared" ca="1" si="53"/>
        <v/>
      </c>
    </row>
    <row r="1118" spans="2:6" x14ac:dyDescent="0.2">
      <c r="B1118" t="str">
        <f>IFERROR(IF('PDCA review'!$D$2=Act!B1119,Act!G1119,""),"")</f>
        <v/>
      </c>
      <c r="C1118">
        <f t="shared" si="51"/>
        <v>0</v>
      </c>
      <c r="D1118">
        <f>SUM($C$3:C1118)</f>
        <v>4</v>
      </c>
      <c r="E1118" t="e">
        <f t="shared" si="52"/>
        <v>#N/A</v>
      </c>
      <c r="F1118" s="28" t="str">
        <f t="shared" ca="1" si="53"/>
        <v/>
      </c>
    </row>
    <row r="1119" spans="2:6" x14ac:dyDescent="0.2">
      <c r="B1119" t="str">
        <f>IFERROR(IF('PDCA review'!$D$2=Act!B1120,Act!G1120,""),"")</f>
        <v/>
      </c>
      <c r="C1119">
        <f t="shared" si="51"/>
        <v>0</v>
      </c>
      <c r="D1119">
        <f>SUM($C$3:C1119)</f>
        <v>4</v>
      </c>
      <c r="E1119" t="e">
        <f t="shared" si="52"/>
        <v>#N/A</v>
      </c>
      <c r="F1119" s="28" t="str">
        <f t="shared" ca="1" si="53"/>
        <v/>
      </c>
    </row>
    <row r="1120" spans="2:6" x14ac:dyDescent="0.2">
      <c r="B1120" t="str">
        <f>IFERROR(IF('PDCA review'!$D$2=Act!B1121,Act!G1121,""),"")</f>
        <v/>
      </c>
      <c r="C1120">
        <f t="shared" si="51"/>
        <v>0</v>
      </c>
      <c r="D1120">
        <f>SUM($C$3:C1120)</f>
        <v>4</v>
      </c>
      <c r="E1120" t="e">
        <f t="shared" si="52"/>
        <v>#N/A</v>
      </c>
      <c r="F1120" s="28" t="str">
        <f t="shared" ca="1" si="53"/>
        <v/>
      </c>
    </row>
    <row r="1121" spans="2:6" x14ac:dyDescent="0.2">
      <c r="B1121" t="str">
        <f>IFERROR(IF('PDCA review'!$D$2=Act!B1122,Act!G1122,""),"")</f>
        <v/>
      </c>
      <c r="C1121">
        <f t="shared" si="51"/>
        <v>0</v>
      </c>
      <c r="D1121">
        <f>SUM($C$3:C1121)</f>
        <v>4</v>
      </c>
      <c r="E1121" t="e">
        <f t="shared" si="52"/>
        <v>#N/A</v>
      </c>
      <c r="F1121" s="28" t="str">
        <f t="shared" ca="1" si="53"/>
        <v/>
      </c>
    </row>
    <row r="1122" spans="2:6" x14ac:dyDescent="0.2">
      <c r="B1122" t="str">
        <f>IFERROR(IF('PDCA review'!$D$2=Act!B1123,Act!G1123,""),"")</f>
        <v/>
      </c>
      <c r="C1122">
        <f t="shared" si="51"/>
        <v>0</v>
      </c>
      <c r="D1122">
        <f>SUM($C$3:C1122)</f>
        <v>4</v>
      </c>
      <c r="E1122" t="e">
        <f t="shared" si="52"/>
        <v>#N/A</v>
      </c>
      <c r="F1122" s="28" t="str">
        <f t="shared" ca="1" si="53"/>
        <v/>
      </c>
    </row>
    <row r="1123" spans="2:6" x14ac:dyDescent="0.2">
      <c r="B1123" t="str">
        <f>IFERROR(IF('PDCA review'!$D$2=Act!B1124,Act!G1124,""),"")</f>
        <v/>
      </c>
      <c r="C1123">
        <f t="shared" si="51"/>
        <v>0</v>
      </c>
      <c r="D1123">
        <f>SUM($C$3:C1123)</f>
        <v>4</v>
      </c>
      <c r="E1123" t="e">
        <f t="shared" si="52"/>
        <v>#N/A</v>
      </c>
      <c r="F1123" s="28" t="str">
        <f t="shared" ca="1" si="53"/>
        <v/>
      </c>
    </row>
    <row r="1124" spans="2:6" x14ac:dyDescent="0.2">
      <c r="B1124" t="str">
        <f>IFERROR(IF('PDCA review'!$D$2=Act!B1125,Act!G1125,""),"")</f>
        <v/>
      </c>
      <c r="C1124">
        <f t="shared" si="51"/>
        <v>0</v>
      </c>
      <c r="D1124">
        <f>SUM($C$3:C1124)</f>
        <v>4</v>
      </c>
      <c r="E1124" t="e">
        <f t="shared" si="52"/>
        <v>#N/A</v>
      </c>
      <c r="F1124" s="28" t="str">
        <f t="shared" ca="1" si="53"/>
        <v/>
      </c>
    </row>
    <row r="1125" spans="2:6" x14ac:dyDescent="0.2">
      <c r="B1125" t="str">
        <f>IFERROR(IF('PDCA review'!$D$2=Act!B1126,Act!G1126,""),"")</f>
        <v/>
      </c>
      <c r="C1125">
        <f t="shared" si="51"/>
        <v>0</v>
      </c>
      <c r="D1125">
        <f>SUM($C$3:C1125)</f>
        <v>4</v>
      </c>
      <c r="E1125" t="e">
        <f t="shared" si="52"/>
        <v>#N/A</v>
      </c>
      <c r="F1125" s="28" t="str">
        <f t="shared" ca="1" si="53"/>
        <v/>
      </c>
    </row>
    <row r="1126" spans="2:6" x14ac:dyDescent="0.2">
      <c r="B1126" t="str">
        <f>IFERROR(IF('PDCA review'!$D$2=Act!B1127,Act!G1127,""),"")</f>
        <v/>
      </c>
      <c r="C1126">
        <f t="shared" si="51"/>
        <v>0</v>
      </c>
      <c r="D1126">
        <f>SUM($C$3:C1126)</f>
        <v>4</v>
      </c>
      <c r="E1126" t="e">
        <f t="shared" si="52"/>
        <v>#N/A</v>
      </c>
      <c r="F1126" s="28" t="str">
        <f t="shared" ca="1" si="53"/>
        <v/>
      </c>
    </row>
    <row r="1127" spans="2:6" x14ac:dyDescent="0.2">
      <c r="B1127" t="str">
        <f>IFERROR(IF('PDCA review'!$D$2=Act!B1128,Act!G1128,""),"")</f>
        <v/>
      </c>
      <c r="C1127">
        <f t="shared" si="51"/>
        <v>0</v>
      </c>
      <c r="D1127">
        <f>SUM($C$3:C1127)</f>
        <v>4</v>
      </c>
      <c r="E1127" t="e">
        <f t="shared" si="52"/>
        <v>#N/A</v>
      </c>
      <c r="F1127" s="28" t="str">
        <f t="shared" ca="1" si="53"/>
        <v/>
      </c>
    </row>
    <row r="1128" spans="2:6" x14ac:dyDescent="0.2">
      <c r="B1128" t="str">
        <f>IFERROR(IF('PDCA review'!$D$2=Act!B1129,Act!G1129,""),"")</f>
        <v/>
      </c>
      <c r="C1128">
        <f t="shared" si="51"/>
        <v>0</v>
      </c>
      <c r="D1128">
        <f>SUM($C$3:C1128)</f>
        <v>4</v>
      </c>
      <c r="E1128" t="e">
        <f t="shared" si="52"/>
        <v>#N/A</v>
      </c>
      <c r="F1128" s="28" t="str">
        <f t="shared" ca="1" si="53"/>
        <v/>
      </c>
    </row>
    <row r="1129" spans="2:6" x14ac:dyDescent="0.2">
      <c r="B1129" t="str">
        <f>IFERROR(IF('PDCA review'!$D$2=Act!B1130,Act!G1130,""),"")</f>
        <v/>
      </c>
      <c r="C1129">
        <f t="shared" si="51"/>
        <v>0</v>
      </c>
      <c r="D1129">
        <f>SUM($C$3:C1129)</f>
        <v>4</v>
      </c>
      <c r="E1129" t="e">
        <f t="shared" si="52"/>
        <v>#N/A</v>
      </c>
      <c r="F1129" s="28" t="str">
        <f t="shared" ca="1" si="53"/>
        <v/>
      </c>
    </row>
    <row r="1130" spans="2:6" x14ac:dyDescent="0.2">
      <c r="B1130" t="str">
        <f>IFERROR(IF('PDCA review'!$D$2=Act!B1131,Act!G1131,""),"")</f>
        <v/>
      </c>
      <c r="C1130">
        <f t="shared" si="51"/>
        <v>0</v>
      </c>
      <c r="D1130">
        <f>SUM($C$3:C1130)</f>
        <v>4</v>
      </c>
      <c r="E1130" t="e">
        <f t="shared" si="52"/>
        <v>#N/A</v>
      </c>
      <c r="F1130" s="28" t="str">
        <f t="shared" ca="1" si="53"/>
        <v/>
      </c>
    </row>
    <row r="1131" spans="2:6" x14ac:dyDescent="0.2">
      <c r="B1131" t="str">
        <f>IFERROR(IF('PDCA review'!$D$2=Act!B1132,Act!G1132,""),"")</f>
        <v/>
      </c>
      <c r="C1131">
        <f t="shared" si="51"/>
        <v>0</v>
      </c>
      <c r="D1131">
        <f>SUM($C$3:C1131)</f>
        <v>4</v>
      </c>
      <c r="E1131" t="e">
        <f t="shared" si="52"/>
        <v>#N/A</v>
      </c>
      <c r="F1131" s="28" t="str">
        <f t="shared" ca="1" si="53"/>
        <v/>
      </c>
    </row>
    <row r="1132" spans="2:6" x14ac:dyDescent="0.2">
      <c r="B1132" t="str">
        <f>IFERROR(IF('PDCA review'!$D$2=Act!B1133,Act!G1133,""),"")</f>
        <v/>
      </c>
      <c r="C1132">
        <f t="shared" si="51"/>
        <v>0</v>
      </c>
      <c r="D1132">
        <f>SUM($C$3:C1132)</f>
        <v>4</v>
      </c>
      <c r="E1132" t="e">
        <f t="shared" si="52"/>
        <v>#N/A</v>
      </c>
      <c r="F1132" s="28" t="str">
        <f t="shared" ca="1" si="53"/>
        <v/>
      </c>
    </row>
    <row r="1133" spans="2:6" x14ac:dyDescent="0.2">
      <c r="B1133" t="str">
        <f>IFERROR(IF('PDCA review'!$D$2=Act!B1134,Act!G1134,""),"")</f>
        <v/>
      </c>
      <c r="C1133">
        <f t="shared" si="51"/>
        <v>0</v>
      </c>
      <c r="D1133">
        <f>SUM($C$3:C1133)</f>
        <v>4</v>
      </c>
      <c r="E1133" t="e">
        <f t="shared" si="52"/>
        <v>#N/A</v>
      </c>
      <c r="F1133" s="28" t="str">
        <f t="shared" ca="1" si="53"/>
        <v/>
      </c>
    </row>
    <row r="1134" spans="2:6" x14ac:dyDescent="0.2">
      <c r="B1134" t="str">
        <f>IFERROR(IF('PDCA review'!$D$2=Act!B1135,Act!G1135,""),"")</f>
        <v/>
      </c>
      <c r="C1134">
        <f t="shared" si="51"/>
        <v>0</v>
      </c>
      <c r="D1134">
        <f>SUM($C$3:C1134)</f>
        <v>4</v>
      </c>
      <c r="E1134" t="e">
        <f t="shared" si="52"/>
        <v>#N/A</v>
      </c>
      <c r="F1134" s="28" t="str">
        <f t="shared" ca="1" si="53"/>
        <v/>
      </c>
    </row>
    <row r="1135" spans="2:6" x14ac:dyDescent="0.2">
      <c r="B1135" t="str">
        <f>IFERROR(IF('PDCA review'!$D$2=Act!B1136,Act!G1136,""),"")</f>
        <v/>
      </c>
      <c r="C1135">
        <f t="shared" si="51"/>
        <v>0</v>
      </c>
      <c r="D1135">
        <f>SUM($C$3:C1135)</f>
        <v>4</v>
      </c>
      <c r="E1135" t="e">
        <f t="shared" si="52"/>
        <v>#N/A</v>
      </c>
      <c r="F1135" s="28" t="str">
        <f t="shared" ca="1" si="53"/>
        <v/>
      </c>
    </row>
    <row r="1136" spans="2:6" x14ac:dyDescent="0.2">
      <c r="B1136" t="str">
        <f>IFERROR(IF('PDCA review'!$D$2=Act!B1137,Act!G1137,""),"")</f>
        <v/>
      </c>
      <c r="C1136">
        <f t="shared" si="51"/>
        <v>0</v>
      </c>
      <c r="D1136">
        <f>SUM($C$3:C1136)</f>
        <v>4</v>
      </c>
      <c r="E1136" t="e">
        <f t="shared" si="52"/>
        <v>#N/A</v>
      </c>
      <c r="F1136" s="28" t="str">
        <f t="shared" ca="1" si="53"/>
        <v/>
      </c>
    </row>
    <row r="1137" spans="2:6" x14ac:dyDescent="0.2">
      <c r="B1137" t="str">
        <f>IFERROR(IF('PDCA review'!$D$2=Act!B1138,Act!G1138,""),"")</f>
        <v/>
      </c>
      <c r="C1137">
        <f t="shared" si="51"/>
        <v>0</v>
      </c>
      <c r="D1137">
        <f>SUM($C$3:C1137)</f>
        <v>4</v>
      </c>
      <c r="E1137" t="e">
        <f t="shared" si="52"/>
        <v>#N/A</v>
      </c>
      <c r="F1137" s="28" t="str">
        <f t="shared" ca="1" si="53"/>
        <v/>
      </c>
    </row>
    <row r="1138" spans="2:6" x14ac:dyDescent="0.2">
      <c r="B1138" t="str">
        <f>IFERROR(IF('PDCA review'!$D$2=Act!B1139,Act!G1139,""),"")</f>
        <v/>
      </c>
      <c r="C1138">
        <f t="shared" si="51"/>
        <v>0</v>
      </c>
      <c r="D1138">
        <f>SUM($C$3:C1138)</f>
        <v>4</v>
      </c>
      <c r="E1138" t="e">
        <f t="shared" si="52"/>
        <v>#N/A</v>
      </c>
      <c r="F1138" s="28" t="str">
        <f t="shared" ca="1" si="53"/>
        <v/>
      </c>
    </row>
    <row r="1139" spans="2:6" x14ac:dyDescent="0.2">
      <c r="B1139" t="str">
        <f>IFERROR(IF('PDCA review'!$D$2=Act!B1140,Act!G1140,""),"")</f>
        <v/>
      </c>
      <c r="C1139">
        <f t="shared" si="51"/>
        <v>0</v>
      </c>
      <c r="D1139">
        <f>SUM($C$3:C1139)</f>
        <v>4</v>
      </c>
      <c r="E1139" t="e">
        <f t="shared" si="52"/>
        <v>#N/A</v>
      </c>
      <c r="F1139" s="28" t="str">
        <f t="shared" ca="1" si="53"/>
        <v/>
      </c>
    </row>
    <row r="1140" spans="2:6" x14ac:dyDescent="0.2">
      <c r="B1140" t="str">
        <f>IFERROR(IF('PDCA review'!$D$2=Act!B1141,Act!G1141,""),"")</f>
        <v/>
      </c>
      <c r="C1140">
        <f t="shared" si="51"/>
        <v>0</v>
      </c>
      <c r="D1140">
        <f>SUM($C$3:C1140)</f>
        <v>4</v>
      </c>
      <c r="E1140" t="e">
        <f t="shared" si="52"/>
        <v>#N/A</v>
      </c>
      <c r="F1140" s="28" t="str">
        <f t="shared" ca="1" si="53"/>
        <v/>
      </c>
    </row>
    <row r="1141" spans="2:6" x14ac:dyDescent="0.2">
      <c r="B1141" t="str">
        <f>IFERROR(IF('PDCA review'!$D$2=Act!B1142,Act!G1142,""),"")</f>
        <v/>
      </c>
      <c r="C1141">
        <f t="shared" si="51"/>
        <v>0</v>
      </c>
      <c r="D1141">
        <f>SUM($C$3:C1141)</f>
        <v>4</v>
      </c>
      <c r="E1141" t="e">
        <f t="shared" si="52"/>
        <v>#N/A</v>
      </c>
      <c r="F1141" s="28" t="str">
        <f t="shared" ca="1" si="53"/>
        <v/>
      </c>
    </row>
    <row r="1142" spans="2:6" x14ac:dyDescent="0.2">
      <c r="B1142" t="str">
        <f>IFERROR(IF('PDCA review'!$D$2=Act!B1143,Act!G1143,""),"")</f>
        <v/>
      </c>
      <c r="C1142">
        <f t="shared" si="51"/>
        <v>0</v>
      </c>
      <c r="D1142">
        <f>SUM($C$3:C1142)</f>
        <v>4</v>
      </c>
      <c r="E1142" t="e">
        <f t="shared" si="52"/>
        <v>#N/A</v>
      </c>
      <c r="F1142" s="28" t="str">
        <f t="shared" ca="1" si="53"/>
        <v/>
      </c>
    </row>
    <row r="1143" spans="2:6" x14ac:dyDescent="0.2">
      <c r="B1143" t="str">
        <f>IFERROR(IF('PDCA review'!$D$2=Act!B1144,Act!G1144,""),"")</f>
        <v/>
      </c>
      <c r="C1143">
        <f t="shared" si="51"/>
        <v>0</v>
      </c>
      <c r="D1143">
        <f>SUM($C$3:C1143)</f>
        <v>4</v>
      </c>
      <c r="E1143" t="e">
        <f t="shared" si="52"/>
        <v>#N/A</v>
      </c>
      <c r="F1143" s="28" t="str">
        <f t="shared" ca="1" si="53"/>
        <v/>
      </c>
    </row>
    <row r="1144" spans="2:6" x14ac:dyDescent="0.2">
      <c r="B1144" t="str">
        <f>IFERROR(IF('PDCA review'!$D$2=Act!B1145,Act!G1145,""),"")</f>
        <v/>
      </c>
      <c r="C1144">
        <f t="shared" si="51"/>
        <v>0</v>
      </c>
      <c r="D1144">
        <f>SUM($C$3:C1144)</f>
        <v>4</v>
      </c>
      <c r="E1144" t="e">
        <f t="shared" si="52"/>
        <v>#N/A</v>
      </c>
      <c r="F1144" s="28" t="str">
        <f t="shared" ca="1" si="53"/>
        <v/>
      </c>
    </row>
    <row r="1145" spans="2:6" x14ac:dyDescent="0.2">
      <c r="B1145" t="str">
        <f>IFERROR(IF('PDCA review'!$D$2=Act!B1146,Act!G1146,""),"")</f>
        <v/>
      </c>
      <c r="C1145">
        <f t="shared" si="51"/>
        <v>0</v>
      </c>
      <c r="D1145">
        <f>SUM($C$3:C1145)</f>
        <v>4</v>
      </c>
      <c r="E1145" t="e">
        <f t="shared" si="52"/>
        <v>#N/A</v>
      </c>
      <c r="F1145" s="28" t="str">
        <f t="shared" ca="1" si="53"/>
        <v/>
      </c>
    </row>
    <row r="1146" spans="2:6" x14ac:dyDescent="0.2">
      <c r="B1146" t="str">
        <f>IFERROR(IF('PDCA review'!$D$2=Act!B1147,Act!G1147,""),"")</f>
        <v/>
      </c>
      <c r="C1146">
        <f t="shared" si="51"/>
        <v>0</v>
      </c>
      <c r="D1146">
        <f>SUM($C$3:C1146)</f>
        <v>4</v>
      </c>
      <c r="E1146" t="e">
        <f t="shared" si="52"/>
        <v>#N/A</v>
      </c>
      <c r="F1146" s="28" t="str">
        <f t="shared" ca="1" si="53"/>
        <v/>
      </c>
    </row>
    <row r="1147" spans="2:6" x14ac:dyDescent="0.2">
      <c r="B1147" t="str">
        <f>IFERROR(IF('PDCA review'!$D$2=Act!B1148,Act!G1148,""),"")</f>
        <v/>
      </c>
      <c r="C1147">
        <f t="shared" si="51"/>
        <v>0</v>
      </c>
      <c r="D1147">
        <f>SUM($C$3:C1147)</f>
        <v>4</v>
      </c>
      <c r="E1147" t="e">
        <f t="shared" si="52"/>
        <v>#N/A</v>
      </c>
      <c r="F1147" s="28" t="str">
        <f t="shared" ca="1" si="53"/>
        <v/>
      </c>
    </row>
    <row r="1148" spans="2:6" x14ac:dyDescent="0.2">
      <c r="B1148" t="str">
        <f>IFERROR(IF('PDCA review'!$D$2=Act!B1149,Act!G1149,""),"")</f>
        <v/>
      </c>
      <c r="C1148">
        <f t="shared" si="51"/>
        <v>0</v>
      </c>
      <c r="D1148">
        <f>SUM($C$3:C1148)</f>
        <v>4</v>
      </c>
      <c r="E1148" t="e">
        <f t="shared" si="52"/>
        <v>#N/A</v>
      </c>
      <c r="F1148" s="28" t="str">
        <f t="shared" ca="1" si="53"/>
        <v/>
      </c>
    </row>
    <row r="1149" spans="2:6" x14ac:dyDescent="0.2">
      <c r="B1149" t="str">
        <f>IFERROR(IF('PDCA review'!$D$2=Act!B1150,Act!G1150,""),"")</f>
        <v/>
      </c>
      <c r="C1149">
        <f t="shared" si="51"/>
        <v>0</v>
      </c>
      <c r="D1149">
        <f>SUM($C$3:C1149)</f>
        <v>4</v>
      </c>
      <c r="E1149" t="e">
        <f t="shared" si="52"/>
        <v>#N/A</v>
      </c>
      <c r="F1149" s="28" t="str">
        <f t="shared" ca="1" si="53"/>
        <v/>
      </c>
    </row>
    <row r="1150" spans="2:6" x14ac:dyDescent="0.2">
      <c r="B1150" t="str">
        <f>IFERROR(IF('PDCA review'!$D$2=Act!B1151,Act!G1151,""),"")</f>
        <v/>
      </c>
      <c r="C1150">
        <f t="shared" si="51"/>
        <v>0</v>
      </c>
      <c r="D1150">
        <f>SUM($C$3:C1150)</f>
        <v>4</v>
      </c>
      <c r="E1150" t="e">
        <f t="shared" si="52"/>
        <v>#N/A</v>
      </c>
      <c r="F1150" s="28" t="str">
        <f t="shared" ca="1" si="53"/>
        <v/>
      </c>
    </row>
    <row r="1151" spans="2:6" x14ac:dyDescent="0.2">
      <c r="B1151" t="str">
        <f>IFERROR(IF('PDCA review'!$D$2=Act!B1152,Act!G1152,""),"")</f>
        <v/>
      </c>
      <c r="C1151">
        <f t="shared" si="51"/>
        <v>0</v>
      </c>
      <c r="D1151">
        <f>SUM($C$3:C1151)</f>
        <v>4</v>
      </c>
      <c r="E1151" t="e">
        <f t="shared" si="52"/>
        <v>#N/A</v>
      </c>
      <c r="F1151" s="28" t="str">
        <f t="shared" ca="1" si="53"/>
        <v/>
      </c>
    </row>
    <row r="1152" spans="2:6" x14ac:dyDescent="0.2">
      <c r="B1152" t="str">
        <f>IFERROR(IF('PDCA review'!$D$2=Act!B1153,Act!G1153,""),"")</f>
        <v/>
      </c>
      <c r="C1152">
        <f t="shared" si="51"/>
        <v>0</v>
      </c>
      <c r="D1152">
        <f>SUM($C$3:C1152)</f>
        <v>4</v>
      </c>
      <c r="E1152" t="e">
        <f t="shared" si="52"/>
        <v>#N/A</v>
      </c>
      <c r="F1152" s="28" t="str">
        <f t="shared" ca="1" si="53"/>
        <v/>
      </c>
    </row>
    <row r="1153" spans="2:6" x14ac:dyDescent="0.2">
      <c r="B1153" t="str">
        <f>IFERROR(IF('PDCA review'!$D$2=Act!B1154,Act!G1154,""),"")</f>
        <v/>
      </c>
      <c r="C1153">
        <f t="shared" si="51"/>
        <v>0</v>
      </c>
      <c r="D1153">
        <f>SUM($C$3:C1153)</f>
        <v>4</v>
      </c>
      <c r="E1153" t="e">
        <f t="shared" si="52"/>
        <v>#N/A</v>
      </c>
      <c r="F1153" s="28" t="str">
        <f t="shared" ca="1" si="53"/>
        <v/>
      </c>
    </row>
    <row r="1154" spans="2:6" x14ac:dyDescent="0.2">
      <c r="B1154" t="str">
        <f>IFERROR(IF('PDCA review'!$D$2=Act!B1155,Act!G1155,""),"")</f>
        <v/>
      </c>
      <c r="C1154">
        <f t="shared" si="51"/>
        <v>0</v>
      </c>
      <c r="D1154">
        <f>SUM($C$3:C1154)</f>
        <v>4</v>
      </c>
      <c r="E1154" t="e">
        <f t="shared" si="52"/>
        <v>#N/A</v>
      </c>
      <c r="F1154" s="28" t="str">
        <f t="shared" ca="1" si="53"/>
        <v/>
      </c>
    </row>
    <row r="1155" spans="2:6" x14ac:dyDescent="0.2">
      <c r="B1155" t="str">
        <f>IFERROR(IF('PDCA review'!$D$2=Act!B1156,Act!G1156,""),"")</f>
        <v/>
      </c>
      <c r="C1155">
        <f t="shared" si="51"/>
        <v>0</v>
      </c>
      <c r="D1155">
        <f>SUM($C$3:C1155)</f>
        <v>4</v>
      </c>
      <c r="E1155" t="e">
        <f t="shared" si="52"/>
        <v>#N/A</v>
      </c>
      <c r="F1155" s="28" t="str">
        <f t="shared" ca="1" si="53"/>
        <v/>
      </c>
    </row>
    <row r="1156" spans="2:6" x14ac:dyDescent="0.2">
      <c r="B1156" t="str">
        <f>IFERROR(IF('PDCA review'!$D$2=Act!B1157,Act!G1157,""),"")</f>
        <v/>
      </c>
      <c r="C1156">
        <f t="shared" ref="C1156:C1219" si="54">IF(B1156&lt;&gt;"",1,0)</f>
        <v>0</v>
      </c>
      <c r="D1156">
        <f>SUM($C$3:C1156)</f>
        <v>4</v>
      </c>
      <c r="E1156" t="e">
        <f t="shared" ref="E1156:E1219" si="55">MATCH(ROW()-$D$2,$D$3:$D$2000,0)+$D$2</f>
        <v>#N/A</v>
      </c>
      <c r="F1156" s="28" t="str">
        <f t="shared" ref="F1156:F1219" ca="1" si="56">IFERROR(INDIRECT("B"&amp;E1156),"")</f>
        <v/>
      </c>
    </row>
    <row r="1157" spans="2:6" x14ac:dyDescent="0.2">
      <c r="B1157" t="str">
        <f>IFERROR(IF('PDCA review'!$D$2=Act!B1158,Act!G1158,""),"")</f>
        <v/>
      </c>
      <c r="C1157">
        <f t="shared" si="54"/>
        <v>0</v>
      </c>
      <c r="D1157">
        <f>SUM($C$3:C1157)</f>
        <v>4</v>
      </c>
      <c r="E1157" t="e">
        <f t="shared" si="55"/>
        <v>#N/A</v>
      </c>
      <c r="F1157" s="28" t="str">
        <f t="shared" ca="1" si="56"/>
        <v/>
      </c>
    </row>
    <row r="1158" spans="2:6" x14ac:dyDescent="0.2">
      <c r="B1158" t="str">
        <f>IFERROR(IF('PDCA review'!$D$2=Act!B1159,Act!G1159,""),"")</f>
        <v/>
      </c>
      <c r="C1158">
        <f t="shared" si="54"/>
        <v>0</v>
      </c>
      <c r="D1158">
        <f>SUM($C$3:C1158)</f>
        <v>4</v>
      </c>
      <c r="E1158" t="e">
        <f t="shared" si="55"/>
        <v>#N/A</v>
      </c>
      <c r="F1158" s="28" t="str">
        <f t="shared" ca="1" si="56"/>
        <v/>
      </c>
    </row>
    <row r="1159" spans="2:6" x14ac:dyDescent="0.2">
      <c r="B1159" t="str">
        <f>IFERROR(IF('PDCA review'!$D$2=Act!B1160,Act!G1160,""),"")</f>
        <v/>
      </c>
      <c r="C1159">
        <f t="shared" si="54"/>
        <v>0</v>
      </c>
      <c r="D1159">
        <f>SUM($C$3:C1159)</f>
        <v>4</v>
      </c>
      <c r="E1159" t="e">
        <f t="shared" si="55"/>
        <v>#N/A</v>
      </c>
      <c r="F1159" s="28" t="str">
        <f t="shared" ca="1" si="56"/>
        <v/>
      </c>
    </row>
    <row r="1160" spans="2:6" x14ac:dyDescent="0.2">
      <c r="B1160" t="str">
        <f>IFERROR(IF('PDCA review'!$D$2=Act!B1161,Act!G1161,""),"")</f>
        <v/>
      </c>
      <c r="C1160">
        <f t="shared" si="54"/>
        <v>0</v>
      </c>
      <c r="D1160">
        <f>SUM($C$3:C1160)</f>
        <v>4</v>
      </c>
      <c r="E1160" t="e">
        <f t="shared" si="55"/>
        <v>#N/A</v>
      </c>
      <c r="F1160" s="28" t="str">
        <f t="shared" ca="1" si="56"/>
        <v/>
      </c>
    </row>
    <row r="1161" spans="2:6" x14ac:dyDescent="0.2">
      <c r="B1161" t="str">
        <f>IFERROR(IF('PDCA review'!$D$2=Act!B1162,Act!G1162,""),"")</f>
        <v/>
      </c>
      <c r="C1161">
        <f t="shared" si="54"/>
        <v>0</v>
      </c>
      <c r="D1161">
        <f>SUM($C$3:C1161)</f>
        <v>4</v>
      </c>
      <c r="E1161" t="e">
        <f t="shared" si="55"/>
        <v>#N/A</v>
      </c>
      <c r="F1161" s="28" t="str">
        <f t="shared" ca="1" si="56"/>
        <v/>
      </c>
    </row>
    <row r="1162" spans="2:6" x14ac:dyDescent="0.2">
      <c r="B1162" t="str">
        <f>IFERROR(IF('PDCA review'!$D$2=Act!B1163,Act!G1163,""),"")</f>
        <v/>
      </c>
      <c r="C1162">
        <f t="shared" si="54"/>
        <v>0</v>
      </c>
      <c r="D1162">
        <f>SUM($C$3:C1162)</f>
        <v>4</v>
      </c>
      <c r="E1162" t="e">
        <f t="shared" si="55"/>
        <v>#N/A</v>
      </c>
      <c r="F1162" s="28" t="str">
        <f t="shared" ca="1" si="56"/>
        <v/>
      </c>
    </row>
    <row r="1163" spans="2:6" x14ac:dyDescent="0.2">
      <c r="B1163" t="str">
        <f>IFERROR(IF('PDCA review'!$D$2=Act!B1164,Act!G1164,""),"")</f>
        <v/>
      </c>
      <c r="C1163">
        <f t="shared" si="54"/>
        <v>0</v>
      </c>
      <c r="D1163">
        <f>SUM($C$3:C1163)</f>
        <v>4</v>
      </c>
      <c r="E1163" t="e">
        <f t="shared" si="55"/>
        <v>#N/A</v>
      </c>
      <c r="F1163" s="28" t="str">
        <f t="shared" ca="1" si="56"/>
        <v/>
      </c>
    </row>
    <row r="1164" spans="2:6" x14ac:dyDescent="0.2">
      <c r="B1164" t="str">
        <f>IFERROR(IF('PDCA review'!$D$2=Act!B1165,Act!G1165,""),"")</f>
        <v/>
      </c>
      <c r="C1164">
        <f t="shared" si="54"/>
        <v>0</v>
      </c>
      <c r="D1164">
        <f>SUM($C$3:C1164)</f>
        <v>4</v>
      </c>
      <c r="E1164" t="e">
        <f t="shared" si="55"/>
        <v>#N/A</v>
      </c>
      <c r="F1164" s="28" t="str">
        <f t="shared" ca="1" si="56"/>
        <v/>
      </c>
    </row>
    <row r="1165" spans="2:6" x14ac:dyDescent="0.2">
      <c r="B1165" t="str">
        <f>IFERROR(IF('PDCA review'!$D$2=Act!B1166,Act!G1166,""),"")</f>
        <v/>
      </c>
      <c r="C1165">
        <f t="shared" si="54"/>
        <v>0</v>
      </c>
      <c r="D1165">
        <f>SUM($C$3:C1165)</f>
        <v>4</v>
      </c>
      <c r="E1165" t="e">
        <f t="shared" si="55"/>
        <v>#N/A</v>
      </c>
      <c r="F1165" s="28" t="str">
        <f t="shared" ca="1" si="56"/>
        <v/>
      </c>
    </row>
    <row r="1166" spans="2:6" x14ac:dyDescent="0.2">
      <c r="B1166" t="str">
        <f>IFERROR(IF('PDCA review'!$D$2=Act!B1167,Act!G1167,""),"")</f>
        <v/>
      </c>
      <c r="C1166">
        <f t="shared" si="54"/>
        <v>0</v>
      </c>
      <c r="D1166">
        <f>SUM($C$3:C1166)</f>
        <v>4</v>
      </c>
      <c r="E1166" t="e">
        <f t="shared" si="55"/>
        <v>#N/A</v>
      </c>
      <c r="F1166" s="28" t="str">
        <f t="shared" ca="1" si="56"/>
        <v/>
      </c>
    </row>
    <row r="1167" spans="2:6" x14ac:dyDescent="0.2">
      <c r="B1167" t="str">
        <f>IFERROR(IF('PDCA review'!$D$2=Act!B1168,Act!G1168,""),"")</f>
        <v/>
      </c>
      <c r="C1167">
        <f t="shared" si="54"/>
        <v>0</v>
      </c>
      <c r="D1167">
        <f>SUM($C$3:C1167)</f>
        <v>4</v>
      </c>
      <c r="E1167" t="e">
        <f t="shared" si="55"/>
        <v>#N/A</v>
      </c>
      <c r="F1167" s="28" t="str">
        <f t="shared" ca="1" si="56"/>
        <v/>
      </c>
    </row>
    <row r="1168" spans="2:6" x14ac:dyDescent="0.2">
      <c r="B1168" t="str">
        <f>IFERROR(IF('PDCA review'!$D$2=Act!B1169,Act!G1169,""),"")</f>
        <v/>
      </c>
      <c r="C1168">
        <f t="shared" si="54"/>
        <v>0</v>
      </c>
      <c r="D1168">
        <f>SUM($C$3:C1168)</f>
        <v>4</v>
      </c>
      <c r="E1168" t="e">
        <f t="shared" si="55"/>
        <v>#N/A</v>
      </c>
      <c r="F1168" s="28" t="str">
        <f t="shared" ca="1" si="56"/>
        <v/>
      </c>
    </row>
    <row r="1169" spans="2:6" x14ac:dyDescent="0.2">
      <c r="B1169" t="str">
        <f>IFERROR(IF('PDCA review'!$D$2=Act!B1170,Act!G1170,""),"")</f>
        <v/>
      </c>
      <c r="C1169">
        <f t="shared" si="54"/>
        <v>0</v>
      </c>
      <c r="D1169">
        <f>SUM($C$3:C1169)</f>
        <v>4</v>
      </c>
      <c r="E1169" t="e">
        <f t="shared" si="55"/>
        <v>#N/A</v>
      </c>
      <c r="F1169" s="28" t="str">
        <f t="shared" ca="1" si="56"/>
        <v/>
      </c>
    </row>
    <row r="1170" spans="2:6" x14ac:dyDescent="0.2">
      <c r="B1170" t="str">
        <f>IFERROR(IF('PDCA review'!$D$2=Act!B1171,Act!G1171,""),"")</f>
        <v/>
      </c>
      <c r="C1170">
        <f t="shared" si="54"/>
        <v>0</v>
      </c>
      <c r="D1170">
        <f>SUM($C$3:C1170)</f>
        <v>4</v>
      </c>
      <c r="E1170" t="e">
        <f t="shared" si="55"/>
        <v>#N/A</v>
      </c>
      <c r="F1170" s="28" t="str">
        <f t="shared" ca="1" si="56"/>
        <v/>
      </c>
    </row>
    <row r="1171" spans="2:6" x14ac:dyDescent="0.2">
      <c r="B1171" t="str">
        <f>IFERROR(IF('PDCA review'!$D$2=Act!B1172,Act!G1172,""),"")</f>
        <v/>
      </c>
      <c r="C1171">
        <f t="shared" si="54"/>
        <v>0</v>
      </c>
      <c r="D1171">
        <f>SUM($C$3:C1171)</f>
        <v>4</v>
      </c>
      <c r="E1171" t="e">
        <f t="shared" si="55"/>
        <v>#N/A</v>
      </c>
      <c r="F1171" s="28" t="str">
        <f t="shared" ca="1" si="56"/>
        <v/>
      </c>
    </row>
    <row r="1172" spans="2:6" x14ac:dyDescent="0.2">
      <c r="B1172" t="str">
        <f>IFERROR(IF('PDCA review'!$D$2=Act!B1173,Act!G1173,""),"")</f>
        <v/>
      </c>
      <c r="C1172">
        <f t="shared" si="54"/>
        <v>0</v>
      </c>
      <c r="D1172">
        <f>SUM($C$3:C1172)</f>
        <v>4</v>
      </c>
      <c r="E1172" t="e">
        <f t="shared" si="55"/>
        <v>#N/A</v>
      </c>
      <c r="F1172" s="28" t="str">
        <f t="shared" ca="1" si="56"/>
        <v/>
      </c>
    </row>
    <row r="1173" spans="2:6" x14ac:dyDescent="0.2">
      <c r="B1173" t="str">
        <f>IFERROR(IF('PDCA review'!$D$2=Act!B1174,Act!G1174,""),"")</f>
        <v/>
      </c>
      <c r="C1173">
        <f t="shared" si="54"/>
        <v>0</v>
      </c>
      <c r="D1173">
        <f>SUM($C$3:C1173)</f>
        <v>4</v>
      </c>
      <c r="E1173" t="e">
        <f t="shared" si="55"/>
        <v>#N/A</v>
      </c>
      <c r="F1173" s="28" t="str">
        <f t="shared" ca="1" si="56"/>
        <v/>
      </c>
    </row>
    <row r="1174" spans="2:6" x14ac:dyDescent="0.2">
      <c r="B1174" t="str">
        <f>IFERROR(IF('PDCA review'!$D$2=Act!B1175,Act!G1175,""),"")</f>
        <v/>
      </c>
      <c r="C1174">
        <f t="shared" si="54"/>
        <v>0</v>
      </c>
      <c r="D1174">
        <f>SUM($C$3:C1174)</f>
        <v>4</v>
      </c>
      <c r="E1174" t="e">
        <f t="shared" si="55"/>
        <v>#N/A</v>
      </c>
      <c r="F1174" s="28" t="str">
        <f t="shared" ca="1" si="56"/>
        <v/>
      </c>
    </row>
    <row r="1175" spans="2:6" x14ac:dyDescent="0.2">
      <c r="B1175" t="str">
        <f>IFERROR(IF('PDCA review'!$D$2=Act!B1176,Act!G1176,""),"")</f>
        <v/>
      </c>
      <c r="C1175">
        <f t="shared" si="54"/>
        <v>0</v>
      </c>
      <c r="D1175">
        <f>SUM($C$3:C1175)</f>
        <v>4</v>
      </c>
      <c r="E1175" t="e">
        <f t="shared" si="55"/>
        <v>#N/A</v>
      </c>
      <c r="F1175" s="28" t="str">
        <f t="shared" ca="1" si="56"/>
        <v/>
      </c>
    </row>
    <row r="1176" spans="2:6" x14ac:dyDescent="0.2">
      <c r="B1176" t="str">
        <f>IFERROR(IF('PDCA review'!$D$2=Act!B1177,Act!G1177,""),"")</f>
        <v/>
      </c>
      <c r="C1176">
        <f t="shared" si="54"/>
        <v>0</v>
      </c>
      <c r="D1176">
        <f>SUM($C$3:C1176)</f>
        <v>4</v>
      </c>
      <c r="E1176" t="e">
        <f t="shared" si="55"/>
        <v>#N/A</v>
      </c>
      <c r="F1176" s="28" t="str">
        <f t="shared" ca="1" si="56"/>
        <v/>
      </c>
    </row>
    <row r="1177" spans="2:6" x14ac:dyDescent="0.2">
      <c r="B1177" t="str">
        <f>IFERROR(IF('PDCA review'!$D$2=Act!B1178,Act!G1178,""),"")</f>
        <v/>
      </c>
      <c r="C1177">
        <f t="shared" si="54"/>
        <v>0</v>
      </c>
      <c r="D1177">
        <f>SUM($C$3:C1177)</f>
        <v>4</v>
      </c>
      <c r="E1177" t="e">
        <f t="shared" si="55"/>
        <v>#N/A</v>
      </c>
      <c r="F1177" s="28" t="str">
        <f t="shared" ca="1" si="56"/>
        <v/>
      </c>
    </row>
    <row r="1178" spans="2:6" x14ac:dyDescent="0.2">
      <c r="B1178" t="str">
        <f>IFERROR(IF('PDCA review'!$D$2=Act!B1179,Act!G1179,""),"")</f>
        <v/>
      </c>
      <c r="C1178">
        <f t="shared" si="54"/>
        <v>0</v>
      </c>
      <c r="D1178">
        <f>SUM($C$3:C1178)</f>
        <v>4</v>
      </c>
      <c r="E1178" t="e">
        <f t="shared" si="55"/>
        <v>#N/A</v>
      </c>
      <c r="F1178" s="28" t="str">
        <f t="shared" ca="1" si="56"/>
        <v/>
      </c>
    </row>
    <row r="1179" spans="2:6" x14ac:dyDescent="0.2">
      <c r="B1179" t="str">
        <f>IFERROR(IF('PDCA review'!$D$2=Act!B1180,Act!G1180,""),"")</f>
        <v/>
      </c>
      <c r="C1179">
        <f t="shared" si="54"/>
        <v>0</v>
      </c>
      <c r="D1179">
        <f>SUM($C$3:C1179)</f>
        <v>4</v>
      </c>
      <c r="E1179" t="e">
        <f t="shared" si="55"/>
        <v>#N/A</v>
      </c>
      <c r="F1179" s="28" t="str">
        <f t="shared" ca="1" si="56"/>
        <v/>
      </c>
    </row>
    <row r="1180" spans="2:6" x14ac:dyDescent="0.2">
      <c r="B1180" t="str">
        <f>IFERROR(IF('PDCA review'!$D$2=Act!B1181,Act!G1181,""),"")</f>
        <v/>
      </c>
      <c r="C1180">
        <f t="shared" si="54"/>
        <v>0</v>
      </c>
      <c r="D1180">
        <f>SUM($C$3:C1180)</f>
        <v>4</v>
      </c>
      <c r="E1180" t="e">
        <f t="shared" si="55"/>
        <v>#N/A</v>
      </c>
      <c r="F1180" s="28" t="str">
        <f t="shared" ca="1" si="56"/>
        <v/>
      </c>
    </row>
    <row r="1181" spans="2:6" x14ac:dyDescent="0.2">
      <c r="B1181" t="str">
        <f>IFERROR(IF('PDCA review'!$D$2=Act!B1182,Act!G1182,""),"")</f>
        <v/>
      </c>
      <c r="C1181">
        <f t="shared" si="54"/>
        <v>0</v>
      </c>
      <c r="D1181">
        <f>SUM($C$3:C1181)</f>
        <v>4</v>
      </c>
      <c r="E1181" t="e">
        <f t="shared" si="55"/>
        <v>#N/A</v>
      </c>
      <c r="F1181" s="28" t="str">
        <f t="shared" ca="1" si="56"/>
        <v/>
      </c>
    </row>
    <row r="1182" spans="2:6" x14ac:dyDescent="0.2">
      <c r="B1182" t="str">
        <f>IFERROR(IF('PDCA review'!$D$2=Act!B1183,Act!G1183,""),"")</f>
        <v/>
      </c>
      <c r="C1182">
        <f t="shared" si="54"/>
        <v>0</v>
      </c>
      <c r="D1182">
        <f>SUM($C$3:C1182)</f>
        <v>4</v>
      </c>
      <c r="E1182" t="e">
        <f t="shared" si="55"/>
        <v>#N/A</v>
      </c>
      <c r="F1182" s="28" t="str">
        <f t="shared" ca="1" si="56"/>
        <v/>
      </c>
    </row>
    <row r="1183" spans="2:6" x14ac:dyDescent="0.2">
      <c r="B1183" t="str">
        <f>IFERROR(IF('PDCA review'!$D$2=Act!B1184,Act!G1184,""),"")</f>
        <v/>
      </c>
      <c r="C1183">
        <f t="shared" si="54"/>
        <v>0</v>
      </c>
      <c r="D1183">
        <f>SUM($C$3:C1183)</f>
        <v>4</v>
      </c>
      <c r="E1183" t="e">
        <f t="shared" si="55"/>
        <v>#N/A</v>
      </c>
      <c r="F1183" s="28" t="str">
        <f t="shared" ca="1" si="56"/>
        <v/>
      </c>
    </row>
    <row r="1184" spans="2:6" x14ac:dyDescent="0.2">
      <c r="B1184" t="str">
        <f>IFERROR(IF('PDCA review'!$D$2=Act!B1185,Act!G1185,""),"")</f>
        <v/>
      </c>
      <c r="C1184">
        <f t="shared" si="54"/>
        <v>0</v>
      </c>
      <c r="D1184">
        <f>SUM($C$3:C1184)</f>
        <v>4</v>
      </c>
      <c r="E1184" t="e">
        <f t="shared" si="55"/>
        <v>#N/A</v>
      </c>
      <c r="F1184" s="28" t="str">
        <f t="shared" ca="1" si="56"/>
        <v/>
      </c>
    </row>
    <row r="1185" spans="2:6" x14ac:dyDescent="0.2">
      <c r="B1185" t="str">
        <f>IFERROR(IF('PDCA review'!$D$2=Act!B1186,Act!G1186,""),"")</f>
        <v/>
      </c>
      <c r="C1185">
        <f t="shared" si="54"/>
        <v>0</v>
      </c>
      <c r="D1185">
        <f>SUM($C$3:C1185)</f>
        <v>4</v>
      </c>
      <c r="E1185" t="e">
        <f t="shared" si="55"/>
        <v>#N/A</v>
      </c>
      <c r="F1185" s="28" t="str">
        <f t="shared" ca="1" si="56"/>
        <v/>
      </c>
    </row>
    <row r="1186" spans="2:6" x14ac:dyDescent="0.2">
      <c r="B1186" t="str">
        <f>IFERROR(IF('PDCA review'!$D$2=Act!B1187,Act!G1187,""),"")</f>
        <v/>
      </c>
      <c r="C1186">
        <f t="shared" si="54"/>
        <v>0</v>
      </c>
      <c r="D1186">
        <f>SUM($C$3:C1186)</f>
        <v>4</v>
      </c>
      <c r="E1186" t="e">
        <f t="shared" si="55"/>
        <v>#N/A</v>
      </c>
      <c r="F1186" s="28" t="str">
        <f t="shared" ca="1" si="56"/>
        <v/>
      </c>
    </row>
    <row r="1187" spans="2:6" x14ac:dyDescent="0.2">
      <c r="B1187" t="str">
        <f>IFERROR(IF('PDCA review'!$D$2=Act!B1188,Act!G1188,""),"")</f>
        <v/>
      </c>
      <c r="C1187">
        <f t="shared" si="54"/>
        <v>0</v>
      </c>
      <c r="D1187">
        <f>SUM($C$3:C1187)</f>
        <v>4</v>
      </c>
      <c r="E1187" t="e">
        <f t="shared" si="55"/>
        <v>#N/A</v>
      </c>
      <c r="F1187" s="28" t="str">
        <f t="shared" ca="1" si="56"/>
        <v/>
      </c>
    </row>
    <row r="1188" spans="2:6" x14ac:dyDescent="0.2">
      <c r="B1188" t="str">
        <f>IFERROR(IF('PDCA review'!$D$2=Act!B1189,Act!G1189,""),"")</f>
        <v/>
      </c>
      <c r="C1188">
        <f t="shared" si="54"/>
        <v>0</v>
      </c>
      <c r="D1188">
        <f>SUM($C$3:C1188)</f>
        <v>4</v>
      </c>
      <c r="E1188" t="e">
        <f t="shared" si="55"/>
        <v>#N/A</v>
      </c>
      <c r="F1188" s="28" t="str">
        <f t="shared" ca="1" si="56"/>
        <v/>
      </c>
    </row>
    <row r="1189" spans="2:6" x14ac:dyDescent="0.2">
      <c r="B1189" t="str">
        <f>IFERROR(IF('PDCA review'!$D$2=Act!B1190,Act!G1190,""),"")</f>
        <v/>
      </c>
      <c r="C1189">
        <f t="shared" si="54"/>
        <v>0</v>
      </c>
      <c r="D1189">
        <f>SUM($C$3:C1189)</f>
        <v>4</v>
      </c>
      <c r="E1189" t="e">
        <f t="shared" si="55"/>
        <v>#N/A</v>
      </c>
      <c r="F1189" s="28" t="str">
        <f t="shared" ca="1" si="56"/>
        <v/>
      </c>
    </row>
    <row r="1190" spans="2:6" x14ac:dyDescent="0.2">
      <c r="B1190" t="str">
        <f>IFERROR(IF('PDCA review'!$D$2=Act!B1191,Act!G1191,""),"")</f>
        <v/>
      </c>
      <c r="C1190">
        <f t="shared" si="54"/>
        <v>0</v>
      </c>
      <c r="D1190">
        <f>SUM($C$3:C1190)</f>
        <v>4</v>
      </c>
      <c r="E1190" t="e">
        <f t="shared" si="55"/>
        <v>#N/A</v>
      </c>
      <c r="F1190" s="28" t="str">
        <f t="shared" ca="1" si="56"/>
        <v/>
      </c>
    </row>
    <row r="1191" spans="2:6" x14ac:dyDescent="0.2">
      <c r="B1191" t="str">
        <f>IFERROR(IF('PDCA review'!$D$2=Act!B1192,Act!G1192,""),"")</f>
        <v/>
      </c>
      <c r="C1191">
        <f t="shared" si="54"/>
        <v>0</v>
      </c>
      <c r="D1191">
        <f>SUM($C$3:C1191)</f>
        <v>4</v>
      </c>
      <c r="E1191" t="e">
        <f t="shared" si="55"/>
        <v>#N/A</v>
      </c>
      <c r="F1191" s="28" t="str">
        <f t="shared" ca="1" si="56"/>
        <v/>
      </c>
    </row>
    <row r="1192" spans="2:6" x14ac:dyDescent="0.2">
      <c r="B1192" t="str">
        <f>IFERROR(IF('PDCA review'!$D$2=Act!B1193,Act!G1193,""),"")</f>
        <v/>
      </c>
      <c r="C1192">
        <f t="shared" si="54"/>
        <v>0</v>
      </c>
      <c r="D1192">
        <f>SUM($C$3:C1192)</f>
        <v>4</v>
      </c>
      <c r="E1192" t="e">
        <f t="shared" si="55"/>
        <v>#N/A</v>
      </c>
      <c r="F1192" s="28" t="str">
        <f t="shared" ca="1" si="56"/>
        <v/>
      </c>
    </row>
    <row r="1193" spans="2:6" x14ac:dyDescent="0.2">
      <c r="B1193" t="str">
        <f>IFERROR(IF('PDCA review'!$D$2=Act!B1194,Act!G1194,""),"")</f>
        <v/>
      </c>
      <c r="C1193">
        <f t="shared" si="54"/>
        <v>0</v>
      </c>
      <c r="D1193">
        <f>SUM($C$3:C1193)</f>
        <v>4</v>
      </c>
      <c r="E1193" t="e">
        <f t="shared" si="55"/>
        <v>#N/A</v>
      </c>
      <c r="F1193" s="28" t="str">
        <f t="shared" ca="1" si="56"/>
        <v/>
      </c>
    </row>
    <row r="1194" spans="2:6" x14ac:dyDescent="0.2">
      <c r="B1194" t="str">
        <f>IFERROR(IF('PDCA review'!$D$2=Act!B1195,Act!G1195,""),"")</f>
        <v/>
      </c>
      <c r="C1194">
        <f t="shared" si="54"/>
        <v>0</v>
      </c>
      <c r="D1194">
        <f>SUM($C$3:C1194)</f>
        <v>4</v>
      </c>
      <c r="E1194" t="e">
        <f t="shared" si="55"/>
        <v>#N/A</v>
      </c>
      <c r="F1194" s="28" t="str">
        <f t="shared" ca="1" si="56"/>
        <v/>
      </c>
    </row>
    <row r="1195" spans="2:6" x14ac:dyDescent="0.2">
      <c r="B1195" t="str">
        <f>IFERROR(IF('PDCA review'!$D$2=Act!B1196,Act!G1196,""),"")</f>
        <v/>
      </c>
      <c r="C1195">
        <f t="shared" si="54"/>
        <v>0</v>
      </c>
      <c r="D1195">
        <f>SUM($C$3:C1195)</f>
        <v>4</v>
      </c>
      <c r="E1195" t="e">
        <f t="shared" si="55"/>
        <v>#N/A</v>
      </c>
      <c r="F1195" s="28" t="str">
        <f t="shared" ca="1" si="56"/>
        <v/>
      </c>
    </row>
    <row r="1196" spans="2:6" x14ac:dyDescent="0.2">
      <c r="B1196" t="str">
        <f>IFERROR(IF('PDCA review'!$D$2=Act!B1197,Act!G1197,""),"")</f>
        <v/>
      </c>
      <c r="C1196">
        <f t="shared" si="54"/>
        <v>0</v>
      </c>
      <c r="D1196">
        <f>SUM($C$3:C1196)</f>
        <v>4</v>
      </c>
      <c r="E1196" t="e">
        <f t="shared" si="55"/>
        <v>#N/A</v>
      </c>
      <c r="F1196" s="28" t="str">
        <f t="shared" ca="1" si="56"/>
        <v/>
      </c>
    </row>
    <row r="1197" spans="2:6" x14ac:dyDescent="0.2">
      <c r="B1197" t="str">
        <f>IFERROR(IF('PDCA review'!$D$2=Act!B1198,Act!G1198,""),"")</f>
        <v/>
      </c>
      <c r="C1197">
        <f t="shared" si="54"/>
        <v>0</v>
      </c>
      <c r="D1197">
        <f>SUM($C$3:C1197)</f>
        <v>4</v>
      </c>
      <c r="E1197" t="e">
        <f t="shared" si="55"/>
        <v>#N/A</v>
      </c>
      <c r="F1197" s="28" t="str">
        <f t="shared" ca="1" si="56"/>
        <v/>
      </c>
    </row>
    <row r="1198" spans="2:6" x14ac:dyDescent="0.2">
      <c r="B1198" t="str">
        <f>IFERROR(IF('PDCA review'!$D$2=Act!B1199,Act!G1199,""),"")</f>
        <v/>
      </c>
      <c r="C1198">
        <f t="shared" si="54"/>
        <v>0</v>
      </c>
      <c r="D1198">
        <f>SUM($C$3:C1198)</f>
        <v>4</v>
      </c>
      <c r="E1198" t="e">
        <f t="shared" si="55"/>
        <v>#N/A</v>
      </c>
      <c r="F1198" s="28" t="str">
        <f t="shared" ca="1" si="56"/>
        <v/>
      </c>
    </row>
    <row r="1199" spans="2:6" x14ac:dyDescent="0.2">
      <c r="B1199" t="str">
        <f>IFERROR(IF('PDCA review'!$D$2=Act!B1200,Act!G1200,""),"")</f>
        <v/>
      </c>
      <c r="C1199">
        <f t="shared" si="54"/>
        <v>0</v>
      </c>
      <c r="D1199">
        <f>SUM($C$3:C1199)</f>
        <v>4</v>
      </c>
      <c r="E1199" t="e">
        <f t="shared" si="55"/>
        <v>#N/A</v>
      </c>
      <c r="F1199" s="28" t="str">
        <f t="shared" ca="1" si="56"/>
        <v/>
      </c>
    </row>
    <row r="1200" spans="2:6" x14ac:dyDescent="0.2">
      <c r="B1200" t="str">
        <f>IFERROR(IF('PDCA review'!$D$2=Act!B1201,Act!G1201,""),"")</f>
        <v/>
      </c>
      <c r="C1200">
        <f t="shared" si="54"/>
        <v>0</v>
      </c>
      <c r="D1200">
        <f>SUM($C$3:C1200)</f>
        <v>4</v>
      </c>
      <c r="E1200" t="e">
        <f t="shared" si="55"/>
        <v>#N/A</v>
      </c>
      <c r="F1200" s="28" t="str">
        <f t="shared" ca="1" si="56"/>
        <v/>
      </c>
    </row>
    <row r="1201" spans="2:6" x14ac:dyDescent="0.2">
      <c r="B1201" t="str">
        <f>IFERROR(IF('PDCA review'!$D$2=Act!B1202,Act!G1202,""),"")</f>
        <v/>
      </c>
      <c r="C1201">
        <f t="shared" si="54"/>
        <v>0</v>
      </c>
      <c r="D1201">
        <f>SUM($C$3:C1201)</f>
        <v>4</v>
      </c>
      <c r="E1201" t="e">
        <f t="shared" si="55"/>
        <v>#N/A</v>
      </c>
      <c r="F1201" s="28" t="str">
        <f t="shared" ca="1" si="56"/>
        <v/>
      </c>
    </row>
    <row r="1202" spans="2:6" x14ac:dyDescent="0.2">
      <c r="B1202" t="str">
        <f>IFERROR(IF('PDCA review'!$D$2=Act!B1203,Act!G1203,""),"")</f>
        <v/>
      </c>
      <c r="C1202">
        <f t="shared" si="54"/>
        <v>0</v>
      </c>
      <c r="D1202">
        <f>SUM($C$3:C1202)</f>
        <v>4</v>
      </c>
      <c r="E1202" t="e">
        <f t="shared" si="55"/>
        <v>#N/A</v>
      </c>
      <c r="F1202" s="28" t="str">
        <f t="shared" ca="1" si="56"/>
        <v/>
      </c>
    </row>
    <row r="1203" spans="2:6" x14ac:dyDescent="0.2">
      <c r="B1203" t="str">
        <f>IFERROR(IF('PDCA review'!$D$2=Act!B1204,Act!G1204,""),"")</f>
        <v/>
      </c>
      <c r="C1203">
        <f t="shared" si="54"/>
        <v>0</v>
      </c>
      <c r="D1203">
        <f>SUM($C$3:C1203)</f>
        <v>4</v>
      </c>
      <c r="E1203" t="e">
        <f t="shared" si="55"/>
        <v>#N/A</v>
      </c>
      <c r="F1203" s="28" t="str">
        <f t="shared" ca="1" si="56"/>
        <v/>
      </c>
    </row>
    <row r="1204" spans="2:6" x14ac:dyDescent="0.2">
      <c r="B1204" t="str">
        <f>IFERROR(IF('PDCA review'!$D$2=Act!B1205,Act!G1205,""),"")</f>
        <v/>
      </c>
      <c r="C1204">
        <f t="shared" si="54"/>
        <v>0</v>
      </c>
      <c r="D1204">
        <f>SUM($C$3:C1204)</f>
        <v>4</v>
      </c>
      <c r="E1204" t="e">
        <f t="shared" si="55"/>
        <v>#N/A</v>
      </c>
      <c r="F1204" s="28" t="str">
        <f t="shared" ca="1" si="56"/>
        <v/>
      </c>
    </row>
    <row r="1205" spans="2:6" x14ac:dyDescent="0.2">
      <c r="B1205" t="str">
        <f>IFERROR(IF('PDCA review'!$D$2=Act!B1206,Act!G1206,""),"")</f>
        <v/>
      </c>
      <c r="C1205">
        <f t="shared" si="54"/>
        <v>0</v>
      </c>
      <c r="D1205">
        <f>SUM($C$3:C1205)</f>
        <v>4</v>
      </c>
      <c r="E1205" t="e">
        <f t="shared" si="55"/>
        <v>#N/A</v>
      </c>
      <c r="F1205" s="28" t="str">
        <f t="shared" ca="1" si="56"/>
        <v/>
      </c>
    </row>
    <row r="1206" spans="2:6" x14ac:dyDescent="0.2">
      <c r="B1206" t="str">
        <f>IFERROR(IF('PDCA review'!$D$2=Act!B1207,Act!G1207,""),"")</f>
        <v/>
      </c>
      <c r="C1206">
        <f t="shared" si="54"/>
        <v>0</v>
      </c>
      <c r="D1206">
        <f>SUM($C$3:C1206)</f>
        <v>4</v>
      </c>
      <c r="E1206" t="e">
        <f t="shared" si="55"/>
        <v>#N/A</v>
      </c>
      <c r="F1206" s="28" t="str">
        <f t="shared" ca="1" si="56"/>
        <v/>
      </c>
    </row>
    <row r="1207" spans="2:6" x14ac:dyDescent="0.2">
      <c r="B1207" t="str">
        <f>IFERROR(IF('PDCA review'!$D$2=Act!B1208,Act!G1208,""),"")</f>
        <v/>
      </c>
      <c r="C1207">
        <f t="shared" si="54"/>
        <v>0</v>
      </c>
      <c r="D1207">
        <f>SUM($C$3:C1207)</f>
        <v>4</v>
      </c>
      <c r="E1207" t="e">
        <f t="shared" si="55"/>
        <v>#N/A</v>
      </c>
      <c r="F1207" s="28" t="str">
        <f t="shared" ca="1" si="56"/>
        <v/>
      </c>
    </row>
    <row r="1208" spans="2:6" x14ac:dyDescent="0.2">
      <c r="B1208" t="str">
        <f>IFERROR(IF('PDCA review'!$D$2=Act!B1209,Act!G1209,""),"")</f>
        <v/>
      </c>
      <c r="C1208">
        <f t="shared" si="54"/>
        <v>0</v>
      </c>
      <c r="D1208">
        <f>SUM($C$3:C1208)</f>
        <v>4</v>
      </c>
      <c r="E1208" t="e">
        <f t="shared" si="55"/>
        <v>#N/A</v>
      </c>
      <c r="F1208" s="28" t="str">
        <f t="shared" ca="1" si="56"/>
        <v/>
      </c>
    </row>
    <row r="1209" spans="2:6" x14ac:dyDescent="0.2">
      <c r="B1209" t="str">
        <f>IFERROR(IF('PDCA review'!$D$2=Act!B1210,Act!G1210,""),"")</f>
        <v/>
      </c>
      <c r="C1209">
        <f t="shared" si="54"/>
        <v>0</v>
      </c>
      <c r="D1209">
        <f>SUM($C$3:C1209)</f>
        <v>4</v>
      </c>
      <c r="E1209" t="e">
        <f t="shared" si="55"/>
        <v>#N/A</v>
      </c>
      <c r="F1209" s="28" t="str">
        <f t="shared" ca="1" si="56"/>
        <v/>
      </c>
    </row>
    <row r="1210" spans="2:6" x14ac:dyDescent="0.2">
      <c r="B1210" t="str">
        <f>IFERROR(IF('PDCA review'!$D$2=Act!B1211,Act!G1211,""),"")</f>
        <v/>
      </c>
      <c r="C1210">
        <f t="shared" si="54"/>
        <v>0</v>
      </c>
      <c r="D1210">
        <f>SUM($C$3:C1210)</f>
        <v>4</v>
      </c>
      <c r="E1210" t="e">
        <f t="shared" si="55"/>
        <v>#N/A</v>
      </c>
      <c r="F1210" s="28" t="str">
        <f t="shared" ca="1" si="56"/>
        <v/>
      </c>
    </row>
    <row r="1211" spans="2:6" x14ac:dyDescent="0.2">
      <c r="B1211" t="str">
        <f>IFERROR(IF('PDCA review'!$D$2=Act!B1212,Act!G1212,""),"")</f>
        <v/>
      </c>
      <c r="C1211">
        <f t="shared" si="54"/>
        <v>0</v>
      </c>
      <c r="D1211">
        <f>SUM($C$3:C1211)</f>
        <v>4</v>
      </c>
      <c r="E1211" t="e">
        <f t="shared" si="55"/>
        <v>#N/A</v>
      </c>
      <c r="F1211" s="28" t="str">
        <f t="shared" ca="1" si="56"/>
        <v/>
      </c>
    </row>
    <row r="1212" spans="2:6" x14ac:dyDescent="0.2">
      <c r="B1212" t="str">
        <f>IFERROR(IF('PDCA review'!$D$2=Act!B1213,Act!G1213,""),"")</f>
        <v/>
      </c>
      <c r="C1212">
        <f t="shared" si="54"/>
        <v>0</v>
      </c>
      <c r="D1212">
        <f>SUM($C$3:C1212)</f>
        <v>4</v>
      </c>
      <c r="E1212" t="e">
        <f t="shared" si="55"/>
        <v>#N/A</v>
      </c>
      <c r="F1212" s="28" t="str">
        <f t="shared" ca="1" si="56"/>
        <v/>
      </c>
    </row>
    <row r="1213" spans="2:6" x14ac:dyDescent="0.2">
      <c r="B1213" t="str">
        <f>IFERROR(IF('PDCA review'!$D$2=Act!B1214,Act!G1214,""),"")</f>
        <v/>
      </c>
      <c r="C1213">
        <f t="shared" si="54"/>
        <v>0</v>
      </c>
      <c r="D1213">
        <f>SUM($C$3:C1213)</f>
        <v>4</v>
      </c>
      <c r="E1213" t="e">
        <f t="shared" si="55"/>
        <v>#N/A</v>
      </c>
      <c r="F1213" s="28" t="str">
        <f t="shared" ca="1" si="56"/>
        <v/>
      </c>
    </row>
    <row r="1214" spans="2:6" x14ac:dyDescent="0.2">
      <c r="B1214" t="str">
        <f>IFERROR(IF('PDCA review'!$D$2=Act!B1215,Act!G1215,""),"")</f>
        <v/>
      </c>
      <c r="C1214">
        <f t="shared" si="54"/>
        <v>0</v>
      </c>
      <c r="D1214">
        <f>SUM($C$3:C1214)</f>
        <v>4</v>
      </c>
      <c r="E1214" t="e">
        <f t="shared" si="55"/>
        <v>#N/A</v>
      </c>
      <c r="F1214" s="28" t="str">
        <f t="shared" ca="1" si="56"/>
        <v/>
      </c>
    </row>
    <row r="1215" spans="2:6" x14ac:dyDescent="0.2">
      <c r="B1215" t="str">
        <f>IFERROR(IF('PDCA review'!$D$2=Act!B1216,Act!G1216,""),"")</f>
        <v/>
      </c>
      <c r="C1215">
        <f t="shared" si="54"/>
        <v>0</v>
      </c>
      <c r="D1215">
        <f>SUM($C$3:C1215)</f>
        <v>4</v>
      </c>
      <c r="E1215" t="e">
        <f t="shared" si="55"/>
        <v>#N/A</v>
      </c>
      <c r="F1215" s="28" t="str">
        <f t="shared" ca="1" si="56"/>
        <v/>
      </c>
    </row>
    <row r="1216" spans="2:6" x14ac:dyDescent="0.2">
      <c r="B1216" t="str">
        <f>IFERROR(IF('PDCA review'!$D$2=Act!B1217,Act!G1217,""),"")</f>
        <v/>
      </c>
      <c r="C1216">
        <f t="shared" si="54"/>
        <v>0</v>
      </c>
      <c r="D1216">
        <f>SUM($C$3:C1216)</f>
        <v>4</v>
      </c>
      <c r="E1216" t="e">
        <f t="shared" si="55"/>
        <v>#N/A</v>
      </c>
      <c r="F1216" s="28" t="str">
        <f t="shared" ca="1" si="56"/>
        <v/>
      </c>
    </row>
    <row r="1217" spans="2:6" x14ac:dyDescent="0.2">
      <c r="B1217" t="str">
        <f>IFERROR(IF('PDCA review'!$D$2=Act!B1218,Act!G1218,""),"")</f>
        <v/>
      </c>
      <c r="C1217">
        <f t="shared" si="54"/>
        <v>0</v>
      </c>
      <c r="D1217">
        <f>SUM($C$3:C1217)</f>
        <v>4</v>
      </c>
      <c r="E1217" t="e">
        <f t="shared" si="55"/>
        <v>#N/A</v>
      </c>
      <c r="F1217" s="28" t="str">
        <f t="shared" ca="1" si="56"/>
        <v/>
      </c>
    </row>
    <row r="1218" spans="2:6" x14ac:dyDescent="0.2">
      <c r="B1218" t="str">
        <f>IFERROR(IF('PDCA review'!$D$2=Act!B1219,Act!G1219,""),"")</f>
        <v/>
      </c>
      <c r="C1218">
        <f t="shared" si="54"/>
        <v>0</v>
      </c>
      <c r="D1218">
        <f>SUM($C$3:C1218)</f>
        <v>4</v>
      </c>
      <c r="E1218" t="e">
        <f t="shared" si="55"/>
        <v>#N/A</v>
      </c>
      <c r="F1218" s="28" t="str">
        <f t="shared" ca="1" si="56"/>
        <v/>
      </c>
    </row>
    <row r="1219" spans="2:6" x14ac:dyDescent="0.2">
      <c r="B1219" t="str">
        <f>IFERROR(IF('PDCA review'!$D$2=Act!B1220,Act!G1220,""),"")</f>
        <v/>
      </c>
      <c r="C1219">
        <f t="shared" si="54"/>
        <v>0</v>
      </c>
      <c r="D1219">
        <f>SUM($C$3:C1219)</f>
        <v>4</v>
      </c>
      <c r="E1219" t="e">
        <f t="shared" si="55"/>
        <v>#N/A</v>
      </c>
      <c r="F1219" s="28" t="str">
        <f t="shared" ca="1" si="56"/>
        <v/>
      </c>
    </row>
    <row r="1220" spans="2:6" x14ac:dyDescent="0.2">
      <c r="B1220" t="str">
        <f>IFERROR(IF('PDCA review'!$D$2=Act!B1221,Act!G1221,""),"")</f>
        <v/>
      </c>
      <c r="C1220">
        <f t="shared" ref="C1220:C1283" si="57">IF(B1220&lt;&gt;"",1,0)</f>
        <v>0</v>
      </c>
      <c r="D1220">
        <f>SUM($C$3:C1220)</f>
        <v>4</v>
      </c>
      <c r="E1220" t="e">
        <f t="shared" ref="E1220:E1283" si="58">MATCH(ROW()-$D$2,$D$3:$D$2000,0)+$D$2</f>
        <v>#N/A</v>
      </c>
      <c r="F1220" s="28" t="str">
        <f t="shared" ref="F1220:F1283" ca="1" si="59">IFERROR(INDIRECT("B"&amp;E1220),"")</f>
        <v/>
      </c>
    </row>
    <row r="1221" spans="2:6" x14ac:dyDescent="0.2">
      <c r="B1221" t="str">
        <f>IFERROR(IF('PDCA review'!$D$2=Act!B1222,Act!G1222,""),"")</f>
        <v/>
      </c>
      <c r="C1221">
        <f t="shared" si="57"/>
        <v>0</v>
      </c>
      <c r="D1221">
        <f>SUM($C$3:C1221)</f>
        <v>4</v>
      </c>
      <c r="E1221" t="e">
        <f t="shared" si="58"/>
        <v>#N/A</v>
      </c>
      <c r="F1221" s="28" t="str">
        <f t="shared" ca="1" si="59"/>
        <v/>
      </c>
    </row>
    <row r="1222" spans="2:6" x14ac:dyDescent="0.2">
      <c r="B1222" t="str">
        <f>IFERROR(IF('PDCA review'!$D$2=Act!B1223,Act!G1223,""),"")</f>
        <v/>
      </c>
      <c r="C1222">
        <f t="shared" si="57"/>
        <v>0</v>
      </c>
      <c r="D1222">
        <f>SUM($C$3:C1222)</f>
        <v>4</v>
      </c>
      <c r="E1222" t="e">
        <f t="shared" si="58"/>
        <v>#N/A</v>
      </c>
      <c r="F1222" s="28" t="str">
        <f t="shared" ca="1" si="59"/>
        <v/>
      </c>
    </row>
    <row r="1223" spans="2:6" x14ac:dyDescent="0.2">
      <c r="B1223" t="str">
        <f>IFERROR(IF('PDCA review'!$D$2=Act!B1224,Act!G1224,""),"")</f>
        <v/>
      </c>
      <c r="C1223">
        <f t="shared" si="57"/>
        <v>0</v>
      </c>
      <c r="D1223">
        <f>SUM($C$3:C1223)</f>
        <v>4</v>
      </c>
      <c r="E1223" t="e">
        <f t="shared" si="58"/>
        <v>#N/A</v>
      </c>
      <c r="F1223" s="28" t="str">
        <f t="shared" ca="1" si="59"/>
        <v/>
      </c>
    </row>
    <row r="1224" spans="2:6" x14ac:dyDescent="0.2">
      <c r="B1224" t="str">
        <f>IFERROR(IF('PDCA review'!$D$2=Act!B1225,Act!G1225,""),"")</f>
        <v/>
      </c>
      <c r="C1224">
        <f t="shared" si="57"/>
        <v>0</v>
      </c>
      <c r="D1224">
        <f>SUM($C$3:C1224)</f>
        <v>4</v>
      </c>
      <c r="E1224" t="e">
        <f t="shared" si="58"/>
        <v>#N/A</v>
      </c>
      <c r="F1224" s="28" t="str">
        <f t="shared" ca="1" si="59"/>
        <v/>
      </c>
    </row>
    <row r="1225" spans="2:6" x14ac:dyDescent="0.2">
      <c r="B1225" t="str">
        <f>IFERROR(IF('PDCA review'!$D$2=Act!B1226,Act!G1226,""),"")</f>
        <v/>
      </c>
      <c r="C1225">
        <f t="shared" si="57"/>
        <v>0</v>
      </c>
      <c r="D1225">
        <f>SUM($C$3:C1225)</f>
        <v>4</v>
      </c>
      <c r="E1225" t="e">
        <f t="shared" si="58"/>
        <v>#N/A</v>
      </c>
      <c r="F1225" s="28" t="str">
        <f t="shared" ca="1" si="59"/>
        <v/>
      </c>
    </row>
    <row r="1226" spans="2:6" x14ac:dyDescent="0.2">
      <c r="B1226" t="str">
        <f>IFERROR(IF('PDCA review'!$D$2=Act!B1227,Act!G1227,""),"")</f>
        <v/>
      </c>
      <c r="C1226">
        <f t="shared" si="57"/>
        <v>0</v>
      </c>
      <c r="D1226">
        <f>SUM($C$3:C1226)</f>
        <v>4</v>
      </c>
      <c r="E1226" t="e">
        <f t="shared" si="58"/>
        <v>#N/A</v>
      </c>
      <c r="F1226" s="28" t="str">
        <f t="shared" ca="1" si="59"/>
        <v/>
      </c>
    </row>
    <row r="1227" spans="2:6" x14ac:dyDescent="0.2">
      <c r="B1227" t="str">
        <f>IFERROR(IF('PDCA review'!$D$2=Act!B1228,Act!G1228,""),"")</f>
        <v/>
      </c>
      <c r="C1227">
        <f t="shared" si="57"/>
        <v>0</v>
      </c>
      <c r="D1227">
        <f>SUM($C$3:C1227)</f>
        <v>4</v>
      </c>
      <c r="E1227" t="e">
        <f t="shared" si="58"/>
        <v>#N/A</v>
      </c>
      <c r="F1227" s="28" t="str">
        <f t="shared" ca="1" si="59"/>
        <v/>
      </c>
    </row>
    <row r="1228" spans="2:6" x14ac:dyDescent="0.2">
      <c r="B1228" t="str">
        <f>IFERROR(IF('PDCA review'!$D$2=Act!B1229,Act!G1229,""),"")</f>
        <v/>
      </c>
      <c r="C1228">
        <f t="shared" si="57"/>
        <v>0</v>
      </c>
      <c r="D1228">
        <f>SUM($C$3:C1228)</f>
        <v>4</v>
      </c>
      <c r="E1228" t="e">
        <f t="shared" si="58"/>
        <v>#N/A</v>
      </c>
      <c r="F1228" s="28" t="str">
        <f t="shared" ca="1" si="59"/>
        <v/>
      </c>
    </row>
    <row r="1229" spans="2:6" x14ac:dyDescent="0.2">
      <c r="B1229" t="str">
        <f>IFERROR(IF('PDCA review'!$D$2=Act!B1230,Act!G1230,""),"")</f>
        <v/>
      </c>
      <c r="C1229">
        <f t="shared" si="57"/>
        <v>0</v>
      </c>
      <c r="D1229">
        <f>SUM($C$3:C1229)</f>
        <v>4</v>
      </c>
      <c r="E1229" t="e">
        <f t="shared" si="58"/>
        <v>#N/A</v>
      </c>
      <c r="F1229" s="28" t="str">
        <f t="shared" ca="1" si="59"/>
        <v/>
      </c>
    </row>
    <row r="1230" spans="2:6" x14ac:dyDescent="0.2">
      <c r="B1230" t="str">
        <f>IFERROR(IF('PDCA review'!$D$2=Act!B1231,Act!G1231,""),"")</f>
        <v/>
      </c>
      <c r="C1230">
        <f t="shared" si="57"/>
        <v>0</v>
      </c>
      <c r="D1230">
        <f>SUM($C$3:C1230)</f>
        <v>4</v>
      </c>
      <c r="E1230" t="e">
        <f t="shared" si="58"/>
        <v>#N/A</v>
      </c>
      <c r="F1230" s="28" t="str">
        <f t="shared" ca="1" si="59"/>
        <v/>
      </c>
    </row>
    <row r="1231" spans="2:6" x14ac:dyDescent="0.2">
      <c r="B1231" t="str">
        <f>IFERROR(IF('PDCA review'!$D$2=Act!B1232,Act!G1232,""),"")</f>
        <v/>
      </c>
      <c r="C1231">
        <f t="shared" si="57"/>
        <v>0</v>
      </c>
      <c r="D1231">
        <f>SUM($C$3:C1231)</f>
        <v>4</v>
      </c>
      <c r="E1231" t="e">
        <f t="shared" si="58"/>
        <v>#N/A</v>
      </c>
      <c r="F1231" s="28" t="str">
        <f t="shared" ca="1" si="59"/>
        <v/>
      </c>
    </row>
    <row r="1232" spans="2:6" x14ac:dyDescent="0.2">
      <c r="B1232" t="str">
        <f>IFERROR(IF('PDCA review'!$D$2=Act!B1233,Act!G1233,""),"")</f>
        <v/>
      </c>
      <c r="C1232">
        <f t="shared" si="57"/>
        <v>0</v>
      </c>
      <c r="D1232">
        <f>SUM($C$3:C1232)</f>
        <v>4</v>
      </c>
      <c r="E1232" t="e">
        <f t="shared" si="58"/>
        <v>#N/A</v>
      </c>
      <c r="F1232" s="28" t="str">
        <f t="shared" ca="1" si="59"/>
        <v/>
      </c>
    </row>
    <row r="1233" spans="2:6" x14ac:dyDescent="0.2">
      <c r="B1233" t="str">
        <f>IFERROR(IF('PDCA review'!$D$2=Act!B1234,Act!G1234,""),"")</f>
        <v/>
      </c>
      <c r="C1233">
        <f t="shared" si="57"/>
        <v>0</v>
      </c>
      <c r="D1233">
        <f>SUM($C$3:C1233)</f>
        <v>4</v>
      </c>
      <c r="E1233" t="e">
        <f t="shared" si="58"/>
        <v>#N/A</v>
      </c>
      <c r="F1233" s="28" t="str">
        <f t="shared" ca="1" si="59"/>
        <v/>
      </c>
    </row>
    <row r="1234" spans="2:6" x14ac:dyDescent="0.2">
      <c r="B1234" t="str">
        <f>IFERROR(IF('PDCA review'!$D$2=Act!B1235,Act!G1235,""),"")</f>
        <v/>
      </c>
      <c r="C1234">
        <f t="shared" si="57"/>
        <v>0</v>
      </c>
      <c r="D1234">
        <f>SUM($C$3:C1234)</f>
        <v>4</v>
      </c>
      <c r="E1234" t="e">
        <f t="shared" si="58"/>
        <v>#N/A</v>
      </c>
      <c r="F1234" s="28" t="str">
        <f t="shared" ca="1" si="59"/>
        <v/>
      </c>
    </row>
    <row r="1235" spans="2:6" x14ac:dyDescent="0.2">
      <c r="B1235" t="str">
        <f>IFERROR(IF('PDCA review'!$D$2=Act!B1236,Act!G1236,""),"")</f>
        <v/>
      </c>
      <c r="C1235">
        <f t="shared" si="57"/>
        <v>0</v>
      </c>
      <c r="D1235">
        <f>SUM($C$3:C1235)</f>
        <v>4</v>
      </c>
      <c r="E1235" t="e">
        <f t="shared" si="58"/>
        <v>#N/A</v>
      </c>
      <c r="F1235" s="28" t="str">
        <f t="shared" ca="1" si="59"/>
        <v/>
      </c>
    </row>
    <row r="1236" spans="2:6" x14ac:dyDescent="0.2">
      <c r="B1236" t="str">
        <f>IFERROR(IF('PDCA review'!$D$2=Act!B1237,Act!G1237,""),"")</f>
        <v/>
      </c>
      <c r="C1236">
        <f t="shared" si="57"/>
        <v>0</v>
      </c>
      <c r="D1236">
        <f>SUM($C$3:C1236)</f>
        <v>4</v>
      </c>
      <c r="E1236" t="e">
        <f t="shared" si="58"/>
        <v>#N/A</v>
      </c>
      <c r="F1236" s="28" t="str">
        <f t="shared" ca="1" si="59"/>
        <v/>
      </c>
    </row>
    <row r="1237" spans="2:6" x14ac:dyDescent="0.2">
      <c r="B1237" t="str">
        <f>IFERROR(IF('PDCA review'!$D$2=Act!B1238,Act!G1238,""),"")</f>
        <v/>
      </c>
      <c r="C1237">
        <f t="shared" si="57"/>
        <v>0</v>
      </c>
      <c r="D1237">
        <f>SUM($C$3:C1237)</f>
        <v>4</v>
      </c>
      <c r="E1237" t="e">
        <f t="shared" si="58"/>
        <v>#N/A</v>
      </c>
      <c r="F1237" s="28" t="str">
        <f t="shared" ca="1" si="59"/>
        <v/>
      </c>
    </row>
    <row r="1238" spans="2:6" x14ac:dyDescent="0.2">
      <c r="B1238" t="str">
        <f>IFERROR(IF('PDCA review'!$D$2=Act!B1239,Act!G1239,""),"")</f>
        <v/>
      </c>
      <c r="C1238">
        <f t="shared" si="57"/>
        <v>0</v>
      </c>
      <c r="D1238">
        <f>SUM($C$3:C1238)</f>
        <v>4</v>
      </c>
      <c r="E1238" t="e">
        <f t="shared" si="58"/>
        <v>#N/A</v>
      </c>
      <c r="F1238" s="28" t="str">
        <f t="shared" ca="1" si="59"/>
        <v/>
      </c>
    </row>
    <row r="1239" spans="2:6" x14ac:dyDescent="0.2">
      <c r="B1239" t="str">
        <f>IFERROR(IF('PDCA review'!$D$2=Act!B1240,Act!G1240,""),"")</f>
        <v/>
      </c>
      <c r="C1239">
        <f t="shared" si="57"/>
        <v>0</v>
      </c>
      <c r="D1239">
        <f>SUM($C$3:C1239)</f>
        <v>4</v>
      </c>
      <c r="E1239" t="e">
        <f t="shared" si="58"/>
        <v>#N/A</v>
      </c>
      <c r="F1239" s="28" t="str">
        <f t="shared" ca="1" si="59"/>
        <v/>
      </c>
    </row>
    <row r="1240" spans="2:6" x14ac:dyDescent="0.2">
      <c r="B1240" t="str">
        <f>IFERROR(IF('PDCA review'!$D$2=Act!B1241,Act!G1241,""),"")</f>
        <v/>
      </c>
      <c r="C1240">
        <f t="shared" si="57"/>
        <v>0</v>
      </c>
      <c r="D1240">
        <f>SUM($C$3:C1240)</f>
        <v>4</v>
      </c>
      <c r="E1240" t="e">
        <f t="shared" si="58"/>
        <v>#N/A</v>
      </c>
      <c r="F1240" s="28" t="str">
        <f t="shared" ca="1" si="59"/>
        <v/>
      </c>
    </row>
    <row r="1241" spans="2:6" x14ac:dyDescent="0.2">
      <c r="B1241" t="str">
        <f>IFERROR(IF('PDCA review'!$D$2=Act!B1242,Act!G1242,""),"")</f>
        <v/>
      </c>
      <c r="C1241">
        <f t="shared" si="57"/>
        <v>0</v>
      </c>
      <c r="D1241">
        <f>SUM($C$3:C1241)</f>
        <v>4</v>
      </c>
      <c r="E1241" t="e">
        <f t="shared" si="58"/>
        <v>#N/A</v>
      </c>
      <c r="F1241" s="28" t="str">
        <f t="shared" ca="1" si="59"/>
        <v/>
      </c>
    </row>
    <row r="1242" spans="2:6" x14ac:dyDescent="0.2">
      <c r="B1242" t="str">
        <f>IFERROR(IF('PDCA review'!$D$2=Act!B1243,Act!G1243,""),"")</f>
        <v/>
      </c>
      <c r="C1242">
        <f t="shared" si="57"/>
        <v>0</v>
      </c>
      <c r="D1242">
        <f>SUM($C$3:C1242)</f>
        <v>4</v>
      </c>
      <c r="E1242" t="e">
        <f t="shared" si="58"/>
        <v>#N/A</v>
      </c>
      <c r="F1242" s="28" t="str">
        <f t="shared" ca="1" si="59"/>
        <v/>
      </c>
    </row>
    <row r="1243" spans="2:6" x14ac:dyDescent="0.2">
      <c r="B1243" t="str">
        <f>IFERROR(IF('PDCA review'!$D$2=Act!B1244,Act!G1244,""),"")</f>
        <v/>
      </c>
      <c r="C1243">
        <f t="shared" si="57"/>
        <v>0</v>
      </c>
      <c r="D1243">
        <f>SUM($C$3:C1243)</f>
        <v>4</v>
      </c>
      <c r="E1243" t="e">
        <f t="shared" si="58"/>
        <v>#N/A</v>
      </c>
      <c r="F1243" s="28" t="str">
        <f t="shared" ca="1" si="59"/>
        <v/>
      </c>
    </row>
    <row r="1244" spans="2:6" x14ac:dyDescent="0.2">
      <c r="B1244" t="str">
        <f>IFERROR(IF('PDCA review'!$D$2=Act!B1245,Act!G1245,""),"")</f>
        <v/>
      </c>
      <c r="C1244">
        <f t="shared" si="57"/>
        <v>0</v>
      </c>
      <c r="D1244">
        <f>SUM($C$3:C1244)</f>
        <v>4</v>
      </c>
      <c r="E1244" t="e">
        <f t="shared" si="58"/>
        <v>#N/A</v>
      </c>
      <c r="F1244" s="28" t="str">
        <f t="shared" ca="1" si="59"/>
        <v/>
      </c>
    </row>
    <row r="1245" spans="2:6" x14ac:dyDescent="0.2">
      <c r="B1245" t="str">
        <f>IFERROR(IF('PDCA review'!$D$2=Act!B1246,Act!G1246,""),"")</f>
        <v/>
      </c>
      <c r="C1245">
        <f t="shared" si="57"/>
        <v>0</v>
      </c>
      <c r="D1245">
        <f>SUM($C$3:C1245)</f>
        <v>4</v>
      </c>
      <c r="E1245" t="e">
        <f t="shared" si="58"/>
        <v>#N/A</v>
      </c>
      <c r="F1245" s="28" t="str">
        <f t="shared" ca="1" si="59"/>
        <v/>
      </c>
    </row>
    <row r="1246" spans="2:6" x14ac:dyDescent="0.2">
      <c r="B1246" t="str">
        <f>IFERROR(IF('PDCA review'!$D$2=Act!B1247,Act!G1247,""),"")</f>
        <v/>
      </c>
      <c r="C1246">
        <f t="shared" si="57"/>
        <v>0</v>
      </c>
      <c r="D1246">
        <f>SUM($C$3:C1246)</f>
        <v>4</v>
      </c>
      <c r="E1246" t="e">
        <f t="shared" si="58"/>
        <v>#N/A</v>
      </c>
      <c r="F1246" s="28" t="str">
        <f t="shared" ca="1" si="59"/>
        <v/>
      </c>
    </row>
    <row r="1247" spans="2:6" x14ac:dyDescent="0.2">
      <c r="B1247" t="str">
        <f>IFERROR(IF('PDCA review'!$D$2=Act!B1248,Act!G1248,""),"")</f>
        <v/>
      </c>
      <c r="C1247">
        <f t="shared" si="57"/>
        <v>0</v>
      </c>
      <c r="D1247">
        <f>SUM($C$3:C1247)</f>
        <v>4</v>
      </c>
      <c r="E1247" t="e">
        <f t="shared" si="58"/>
        <v>#N/A</v>
      </c>
      <c r="F1247" s="28" t="str">
        <f t="shared" ca="1" si="59"/>
        <v/>
      </c>
    </row>
    <row r="1248" spans="2:6" x14ac:dyDescent="0.2">
      <c r="B1248" t="str">
        <f>IFERROR(IF('PDCA review'!$D$2=Act!B1249,Act!G1249,""),"")</f>
        <v/>
      </c>
      <c r="C1248">
        <f t="shared" si="57"/>
        <v>0</v>
      </c>
      <c r="D1248">
        <f>SUM($C$3:C1248)</f>
        <v>4</v>
      </c>
      <c r="E1248" t="e">
        <f t="shared" si="58"/>
        <v>#N/A</v>
      </c>
      <c r="F1248" s="28" t="str">
        <f t="shared" ca="1" si="59"/>
        <v/>
      </c>
    </row>
    <row r="1249" spans="2:6" x14ac:dyDescent="0.2">
      <c r="B1249" t="str">
        <f>IFERROR(IF('PDCA review'!$D$2=Act!B1250,Act!G1250,""),"")</f>
        <v/>
      </c>
      <c r="C1249">
        <f t="shared" si="57"/>
        <v>0</v>
      </c>
      <c r="D1249">
        <f>SUM($C$3:C1249)</f>
        <v>4</v>
      </c>
      <c r="E1249" t="e">
        <f t="shared" si="58"/>
        <v>#N/A</v>
      </c>
      <c r="F1249" s="28" t="str">
        <f t="shared" ca="1" si="59"/>
        <v/>
      </c>
    </row>
    <row r="1250" spans="2:6" x14ac:dyDescent="0.2">
      <c r="B1250" t="str">
        <f>IFERROR(IF('PDCA review'!$D$2=Act!B1251,Act!G1251,""),"")</f>
        <v/>
      </c>
      <c r="C1250">
        <f t="shared" si="57"/>
        <v>0</v>
      </c>
      <c r="D1250">
        <f>SUM($C$3:C1250)</f>
        <v>4</v>
      </c>
      <c r="E1250" t="e">
        <f t="shared" si="58"/>
        <v>#N/A</v>
      </c>
      <c r="F1250" s="28" t="str">
        <f t="shared" ca="1" si="59"/>
        <v/>
      </c>
    </row>
    <row r="1251" spans="2:6" x14ac:dyDescent="0.2">
      <c r="B1251" t="str">
        <f>IFERROR(IF('PDCA review'!$D$2=Act!B1252,Act!G1252,""),"")</f>
        <v/>
      </c>
      <c r="C1251">
        <f t="shared" si="57"/>
        <v>0</v>
      </c>
      <c r="D1251">
        <f>SUM($C$3:C1251)</f>
        <v>4</v>
      </c>
      <c r="E1251" t="e">
        <f t="shared" si="58"/>
        <v>#N/A</v>
      </c>
      <c r="F1251" s="28" t="str">
        <f t="shared" ca="1" si="59"/>
        <v/>
      </c>
    </row>
    <row r="1252" spans="2:6" x14ac:dyDescent="0.2">
      <c r="B1252" t="str">
        <f>IFERROR(IF('PDCA review'!$D$2=Act!B1253,Act!G1253,""),"")</f>
        <v/>
      </c>
      <c r="C1252">
        <f t="shared" si="57"/>
        <v>0</v>
      </c>
      <c r="D1252">
        <f>SUM($C$3:C1252)</f>
        <v>4</v>
      </c>
      <c r="E1252" t="e">
        <f t="shared" si="58"/>
        <v>#N/A</v>
      </c>
      <c r="F1252" s="28" t="str">
        <f t="shared" ca="1" si="59"/>
        <v/>
      </c>
    </row>
    <row r="1253" spans="2:6" x14ac:dyDescent="0.2">
      <c r="B1253" t="str">
        <f>IFERROR(IF('PDCA review'!$D$2=Act!B1254,Act!G1254,""),"")</f>
        <v/>
      </c>
      <c r="C1253">
        <f t="shared" si="57"/>
        <v>0</v>
      </c>
      <c r="D1253">
        <f>SUM($C$3:C1253)</f>
        <v>4</v>
      </c>
      <c r="E1253" t="e">
        <f t="shared" si="58"/>
        <v>#N/A</v>
      </c>
      <c r="F1253" s="28" t="str">
        <f t="shared" ca="1" si="59"/>
        <v/>
      </c>
    </row>
    <row r="1254" spans="2:6" x14ac:dyDescent="0.2">
      <c r="B1254" t="str">
        <f>IFERROR(IF('PDCA review'!$D$2=Act!B1255,Act!G1255,""),"")</f>
        <v/>
      </c>
      <c r="C1254">
        <f t="shared" si="57"/>
        <v>0</v>
      </c>
      <c r="D1254">
        <f>SUM($C$3:C1254)</f>
        <v>4</v>
      </c>
      <c r="E1254" t="e">
        <f t="shared" si="58"/>
        <v>#N/A</v>
      </c>
      <c r="F1254" s="28" t="str">
        <f t="shared" ca="1" si="59"/>
        <v/>
      </c>
    </row>
    <row r="1255" spans="2:6" x14ac:dyDescent="0.2">
      <c r="B1255" t="str">
        <f>IFERROR(IF('PDCA review'!$D$2=Act!B1256,Act!G1256,""),"")</f>
        <v/>
      </c>
      <c r="C1255">
        <f t="shared" si="57"/>
        <v>0</v>
      </c>
      <c r="D1255">
        <f>SUM($C$3:C1255)</f>
        <v>4</v>
      </c>
      <c r="E1255" t="e">
        <f t="shared" si="58"/>
        <v>#N/A</v>
      </c>
      <c r="F1255" s="28" t="str">
        <f t="shared" ca="1" si="59"/>
        <v/>
      </c>
    </row>
    <row r="1256" spans="2:6" x14ac:dyDescent="0.2">
      <c r="B1256" t="str">
        <f>IFERROR(IF('PDCA review'!$D$2=Act!B1257,Act!G1257,""),"")</f>
        <v/>
      </c>
      <c r="C1256">
        <f t="shared" si="57"/>
        <v>0</v>
      </c>
      <c r="D1256">
        <f>SUM($C$3:C1256)</f>
        <v>4</v>
      </c>
      <c r="E1256" t="e">
        <f t="shared" si="58"/>
        <v>#N/A</v>
      </c>
      <c r="F1256" s="28" t="str">
        <f t="shared" ca="1" si="59"/>
        <v/>
      </c>
    </row>
    <row r="1257" spans="2:6" x14ac:dyDescent="0.2">
      <c r="B1257" t="str">
        <f>IFERROR(IF('PDCA review'!$D$2=Act!B1258,Act!G1258,""),"")</f>
        <v/>
      </c>
      <c r="C1257">
        <f t="shared" si="57"/>
        <v>0</v>
      </c>
      <c r="D1257">
        <f>SUM($C$3:C1257)</f>
        <v>4</v>
      </c>
      <c r="E1257" t="e">
        <f t="shared" si="58"/>
        <v>#N/A</v>
      </c>
      <c r="F1257" s="28" t="str">
        <f t="shared" ca="1" si="59"/>
        <v/>
      </c>
    </row>
    <row r="1258" spans="2:6" x14ac:dyDescent="0.2">
      <c r="B1258" t="str">
        <f>IFERROR(IF('PDCA review'!$D$2=Act!B1259,Act!G1259,""),"")</f>
        <v/>
      </c>
      <c r="C1258">
        <f t="shared" si="57"/>
        <v>0</v>
      </c>
      <c r="D1258">
        <f>SUM($C$3:C1258)</f>
        <v>4</v>
      </c>
      <c r="E1258" t="e">
        <f t="shared" si="58"/>
        <v>#N/A</v>
      </c>
      <c r="F1258" s="28" t="str">
        <f t="shared" ca="1" si="59"/>
        <v/>
      </c>
    </row>
    <row r="1259" spans="2:6" x14ac:dyDescent="0.2">
      <c r="B1259" t="str">
        <f>IFERROR(IF('PDCA review'!$D$2=Act!B1260,Act!G1260,""),"")</f>
        <v/>
      </c>
      <c r="C1259">
        <f t="shared" si="57"/>
        <v>0</v>
      </c>
      <c r="D1259">
        <f>SUM($C$3:C1259)</f>
        <v>4</v>
      </c>
      <c r="E1259" t="e">
        <f t="shared" si="58"/>
        <v>#N/A</v>
      </c>
      <c r="F1259" s="28" t="str">
        <f t="shared" ca="1" si="59"/>
        <v/>
      </c>
    </row>
    <row r="1260" spans="2:6" x14ac:dyDescent="0.2">
      <c r="B1260" t="str">
        <f>IFERROR(IF('PDCA review'!$D$2=Act!B1261,Act!G1261,""),"")</f>
        <v/>
      </c>
      <c r="C1260">
        <f t="shared" si="57"/>
        <v>0</v>
      </c>
      <c r="D1260">
        <f>SUM($C$3:C1260)</f>
        <v>4</v>
      </c>
      <c r="E1260" t="e">
        <f t="shared" si="58"/>
        <v>#N/A</v>
      </c>
      <c r="F1260" s="28" t="str">
        <f t="shared" ca="1" si="59"/>
        <v/>
      </c>
    </row>
    <row r="1261" spans="2:6" x14ac:dyDescent="0.2">
      <c r="B1261" t="str">
        <f>IFERROR(IF('PDCA review'!$D$2=Act!B1262,Act!G1262,""),"")</f>
        <v/>
      </c>
      <c r="C1261">
        <f t="shared" si="57"/>
        <v>0</v>
      </c>
      <c r="D1261">
        <f>SUM($C$3:C1261)</f>
        <v>4</v>
      </c>
      <c r="E1261" t="e">
        <f t="shared" si="58"/>
        <v>#N/A</v>
      </c>
      <c r="F1261" s="28" t="str">
        <f t="shared" ca="1" si="59"/>
        <v/>
      </c>
    </row>
    <row r="1262" spans="2:6" x14ac:dyDescent="0.2">
      <c r="B1262" t="str">
        <f>IFERROR(IF('PDCA review'!$D$2=Act!B1263,Act!G1263,""),"")</f>
        <v/>
      </c>
      <c r="C1262">
        <f t="shared" si="57"/>
        <v>0</v>
      </c>
      <c r="D1262">
        <f>SUM($C$3:C1262)</f>
        <v>4</v>
      </c>
      <c r="E1262" t="e">
        <f t="shared" si="58"/>
        <v>#N/A</v>
      </c>
      <c r="F1262" s="28" t="str">
        <f t="shared" ca="1" si="59"/>
        <v/>
      </c>
    </row>
    <row r="1263" spans="2:6" x14ac:dyDescent="0.2">
      <c r="B1263" t="str">
        <f>IFERROR(IF('PDCA review'!$D$2=Act!B1264,Act!G1264,""),"")</f>
        <v/>
      </c>
      <c r="C1263">
        <f t="shared" si="57"/>
        <v>0</v>
      </c>
      <c r="D1263">
        <f>SUM($C$3:C1263)</f>
        <v>4</v>
      </c>
      <c r="E1263" t="e">
        <f t="shared" si="58"/>
        <v>#N/A</v>
      </c>
      <c r="F1263" s="28" t="str">
        <f t="shared" ca="1" si="59"/>
        <v/>
      </c>
    </row>
    <row r="1264" spans="2:6" x14ac:dyDescent="0.2">
      <c r="B1264" t="str">
        <f>IFERROR(IF('PDCA review'!$D$2=Act!B1265,Act!G1265,""),"")</f>
        <v/>
      </c>
      <c r="C1264">
        <f t="shared" si="57"/>
        <v>0</v>
      </c>
      <c r="D1264">
        <f>SUM($C$3:C1264)</f>
        <v>4</v>
      </c>
      <c r="E1264" t="e">
        <f t="shared" si="58"/>
        <v>#N/A</v>
      </c>
      <c r="F1264" s="28" t="str">
        <f t="shared" ca="1" si="59"/>
        <v/>
      </c>
    </row>
    <row r="1265" spans="2:6" x14ac:dyDescent="0.2">
      <c r="B1265" t="str">
        <f>IFERROR(IF('PDCA review'!$D$2=Act!B1266,Act!G1266,""),"")</f>
        <v/>
      </c>
      <c r="C1265">
        <f t="shared" si="57"/>
        <v>0</v>
      </c>
      <c r="D1265">
        <f>SUM($C$3:C1265)</f>
        <v>4</v>
      </c>
      <c r="E1265" t="e">
        <f t="shared" si="58"/>
        <v>#N/A</v>
      </c>
      <c r="F1265" s="28" t="str">
        <f t="shared" ca="1" si="59"/>
        <v/>
      </c>
    </row>
    <row r="1266" spans="2:6" x14ac:dyDescent="0.2">
      <c r="B1266" t="str">
        <f>IFERROR(IF('PDCA review'!$D$2=Act!B1267,Act!G1267,""),"")</f>
        <v/>
      </c>
      <c r="C1266">
        <f t="shared" si="57"/>
        <v>0</v>
      </c>
      <c r="D1266">
        <f>SUM($C$3:C1266)</f>
        <v>4</v>
      </c>
      <c r="E1266" t="e">
        <f t="shared" si="58"/>
        <v>#N/A</v>
      </c>
      <c r="F1266" s="28" t="str">
        <f t="shared" ca="1" si="59"/>
        <v/>
      </c>
    </row>
    <row r="1267" spans="2:6" x14ac:dyDescent="0.2">
      <c r="B1267" t="str">
        <f>IFERROR(IF('PDCA review'!$D$2=Act!B1268,Act!G1268,""),"")</f>
        <v/>
      </c>
      <c r="C1267">
        <f t="shared" si="57"/>
        <v>0</v>
      </c>
      <c r="D1267">
        <f>SUM($C$3:C1267)</f>
        <v>4</v>
      </c>
      <c r="E1267" t="e">
        <f t="shared" si="58"/>
        <v>#N/A</v>
      </c>
      <c r="F1267" s="28" t="str">
        <f t="shared" ca="1" si="59"/>
        <v/>
      </c>
    </row>
    <row r="1268" spans="2:6" x14ac:dyDescent="0.2">
      <c r="B1268" t="str">
        <f>IFERROR(IF('PDCA review'!$D$2=Act!B1269,Act!G1269,""),"")</f>
        <v/>
      </c>
      <c r="C1268">
        <f t="shared" si="57"/>
        <v>0</v>
      </c>
      <c r="D1268">
        <f>SUM($C$3:C1268)</f>
        <v>4</v>
      </c>
      <c r="E1268" t="e">
        <f t="shared" si="58"/>
        <v>#N/A</v>
      </c>
      <c r="F1268" s="28" t="str">
        <f t="shared" ca="1" si="59"/>
        <v/>
      </c>
    </row>
    <row r="1269" spans="2:6" x14ac:dyDescent="0.2">
      <c r="B1269" t="str">
        <f>IFERROR(IF('PDCA review'!$D$2=Act!B1270,Act!G1270,""),"")</f>
        <v/>
      </c>
      <c r="C1269">
        <f t="shared" si="57"/>
        <v>0</v>
      </c>
      <c r="D1269">
        <f>SUM($C$3:C1269)</f>
        <v>4</v>
      </c>
      <c r="E1269" t="e">
        <f t="shared" si="58"/>
        <v>#N/A</v>
      </c>
      <c r="F1269" s="28" t="str">
        <f t="shared" ca="1" si="59"/>
        <v/>
      </c>
    </row>
    <row r="1270" spans="2:6" x14ac:dyDescent="0.2">
      <c r="B1270" t="str">
        <f>IFERROR(IF('PDCA review'!$D$2=Act!B1271,Act!G1271,""),"")</f>
        <v/>
      </c>
      <c r="C1270">
        <f t="shared" si="57"/>
        <v>0</v>
      </c>
      <c r="D1270">
        <f>SUM($C$3:C1270)</f>
        <v>4</v>
      </c>
      <c r="E1270" t="e">
        <f t="shared" si="58"/>
        <v>#N/A</v>
      </c>
      <c r="F1270" s="28" t="str">
        <f t="shared" ca="1" si="59"/>
        <v/>
      </c>
    </row>
    <row r="1271" spans="2:6" x14ac:dyDescent="0.2">
      <c r="B1271" t="str">
        <f>IFERROR(IF('PDCA review'!$D$2=Act!B1272,Act!G1272,""),"")</f>
        <v/>
      </c>
      <c r="C1271">
        <f t="shared" si="57"/>
        <v>0</v>
      </c>
      <c r="D1271">
        <f>SUM($C$3:C1271)</f>
        <v>4</v>
      </c>
      <c r="E1271" t="e">
        <f t="shared" si="58"/>
        <v>#N/A</v>
      </c>
      <c r="F1271" s="28" t="str">
        <f t="shared" ca="1" si="59"/>
        <v/>
      </c>
    </row>
    <row r="1272" spans="2:6" x14ac:dyDescent="0.2">
      <c r="B1272" t="str">
        <f>IFERROR(IF('PDCA review'!$D$2=Act!B1273,Act!G1273,""),"")</f>
        <v/>
      </c>
      <c r="C1272">
        <f t="shared" si="57"/>
        <v>0</v>
      </c>
      <c r="D1272">
        <f>SUM($C$3:C1272)</f>
        <v>4</v>
      </c>
      <c r="E1272" t="e">
        <f t="shared" si="58"/>
        <v>#N/A</v>
      </c>
      <c r="F1272" s="28" t="str">
        <f t="shared" ca="1" si="59"/>
        <v/>
      </c>
    </row>
    <row r="1273" spans="2:6" x14ac:dyDescent="0.2">
      <c r="B1273" t="str">
        <f>IFERROR(IF('PDCA review'!$D$2=Act!B1274,Act!G1274,""),"")</f>
        <v/>
      </c>
      <c r="C1273">
        <f t="shared" si="57"/>
        <v>0</v>
      </c>
      <c r="D1273">
        <f>SUM($C$3:C1273)</f>
        <v>4</v>
      </c>
      <c r="E1273" t="e">
        <f t="shared" si="58"/>
        <v>#N/A</v>
      </c>
      <c r="F1273" s="28" t="str">
        <f t="shared" ca="1" si="59"/>
        <v/>
      </c>
    </row>
    <row r="1274" spans="2:6" x14ac:dyDescent="0.2">
      <c r="B1274" t="str">
        <f>IFERROR(IF('PDCA review'!$D$2=Act!B1275,Act!G1275,""),"")</f>
        <v/>
      </c>
      <c r="C1274">
        <f t="shared" si="57"/>
        <v>0</v>
      </c>
      <c r="D1274">
        <f>SUM($C$3:C1274)</f>
        <v>4</v>
      </c>
      <c r="E1274" t="e">
        <f t="shared" si="58"/>
        <v>#N/A</v>
      </c>
      <c r="F1274" s="28" t="str">
        <f t="shared" ca="1" si="59"/>
        <v/>
      </c>
    </row>
    <row r="1275" spans="2:6" x14ac:dyDescent="0.2">
      <c r="B1275" t="str">
        <f>IFERROR(IF('PDCA review'!$D$2=Act!B1276,Act!G1276,""),"")</f>
        <v/>
      </c>
      <c r="C1275">
        <f t="shared" si="57"/>
        <v>0</v>
      </c>
      <c r="D1275">
        <f>SUM($C$3:C1275)</f>
        <v>4</v>
      </c>
      <c r="E1275" t="e">
        <f t="shared" si="58"/>
        <v>#N/A</v>
      </c>
      <c r="F1275" s="28" t="str">
        <f t="shared" ca="1" si="59"/>
        <v/>
      </c>
    </row>
    <row r="1276" spans="2:6" x14ac:dyDescent="0.2">
      <c r="B1276" t="str">
        <f>IFERROR(IF('PDCA review'!$D$2=Act!B1277,Act!G1277,""),"")</f>
        <v/>
      </c>
      <c r="C1276">
        <f t="shared" si="57"/>
        <v>0</v>
      </c>
      <c r="D1276">
        <f>SUM($C$3:C1276)</f>
        <v>4</v>
      </c>
      <c r="E1276" t="e">
        <f t="shared" si="58"/>
        <v>#N/A</v>
      </c>
      <c r="F1276" s="28" t="str">
        <f t="shared" ca="1" si="59"/>
        <v/>
      </c>
    </row>
    <row r="1277" spans="2:6" x14ac:dyDescent="0.2">
      <c r="B1277" t="str">
        <f>IFERROR(IF('PDCA review'!$D$2=Act!B1278,Act!G1278,""),"")</f>
        <v/>
      </c>
      <c r="C1277">
        <f t="shared" si="57"/>
        <v>0</v>
      </c>
      <c r="D1277">
        <f>SUM($C$3:C1277)</f>
        <v>4</v>
      </c>
      <c r="E1277" t="e">
        <f t="shared" si="58"/>
        <v>#N/A</v>
      </c>
      <c r="F1277" s="28" t="str">
        <f t="shared" ca="1" si="59"/>
        <v/>
      </c>
    </row>
    <row r="1278" spans="2:6" x14ac:dyDescent="0.2">
      <c r="B1278" t="str">
        <f>IFERROR(IF('PDCA review'!$D$2=Act!B1279,Act!G1279,""),"")</f>
        <v/>
      </c>
      <c r="C1278">
        <f t="shared" si="57"/>
        <v>0</v>
      </c>
      <c r="D1278">
        <f>SUM($C$3:C1278)</f>
        <v>4</v>
      </c>
      <c r="E1278" t="e">
        <f t="shared" si="58"/>
        <v>#N/A</v>
      </c>
      <c r="F1278" s="28" t="str">
        <f t="shared" ca="1" si="59"/>
        <v/>
      </c>
    </row>
    <row r="1279" spans="2:6" x14ac:dyDescent="0.2">
      <c r="B1279" t="str">
        <f>IFERROR(IF('PDCA review'!$D$2=Act!B1280,Act!G1280,""),"")</f>
        <v/>
      </c>
      <c r="C1279">
        <f t="shared" si="57"/>
        <v>0</v>
      </c>
      <c r="D1279">
        <f>SUM($C$3:C1279)</f>
        <v>4</v>
      </c>
      <c r="E1279" t="e">
        <f t="shared" si="58"/>
        <v>#N/A</v>
      </c>
      <c r="F1279" s="28" t="str">
        <f t="shared" ca="1" si="59"/>
        <v/>
      </c>
    </row>
    <row r="1280" spans="2:6" x14ac:dyDescent="0.2">
      <c r="B1280" t="str">
        <f>IFERROR(IF('PDCA review'!$D$2=Act!B1281,Act!G1281,""),"")</f>
        <v/>
      </c>
      <c r="C1280">
        <f t="shared" si="57"/>
        <v>0</v>
      </c>
      <c r="D1280">
        <f>SUM($C$3:C1280)</f>
        <v>4</v>
      </c>
      <c r="E1280" t="e">
        <f t="shared" si="58"/>
        <v>#N/A</v>
      </c>
      <c r="F1280" s="28" t="str">
        <f t="shared" ca="1" si="59"/>
        <v/>
      </c>
    </row>
    <row r="1281" spans="2:6" x14ac:dyDescent="0.2">
      <c r="B1281" t="str">
        <f>IFERROR(IF('PDCA review'!$D$2=Act!B1282,Act!G1282,""),"")</f>
        <v/>
      </c>
      <c r="C1281">
        <f t="shared" si="57"/>
        <v>0</v>
      </c>
      <c r="D1281">
        <f>SUM($C$3:C1281)</f>
        <v>4</v>
      </c>
      <c r="E1281" t="e">
        <f t="shared" si="58"/>
        <v>#N/A</v>
      </c>
      <c r="F1281" s="28" t="str">
        <f t="shared" ca="1" si="59"/>
        <v/>
      </c>
    </row>
    <row r="1282" spans="2:6" x14ac:dyDescent="0.2">
      <c r="B1282" t="str">
        <f>IFERROR(IF('PDCA review'!$D$2=Act!B1283,Act!G1283,""),"")</f>
        <v/>
      </c>
      <c r="C1282">
        <f t="shared" si="57"/>
        <v>0</v>
      </c>
      <c r="D1282">
        <f>SUM($C$3:C1282)</f>
        <v>4</v>
      </c>
      <c r="E1282" t="e">
        <f t="shared" si="58"/>
        <v>#N/A</v>
      </c>
      <c r="F1282" s="28" t="str">
        <f t="shared" ca="1" si="59"/>
        <v/>
      </c>
    </row>
    <row r="1283" spans="2:6" x14ac:dyDescent="0.2">
      <c r="B1283" t="str">
        <f>IFERROR(IF('PDCA review'!$D$2=Act!B1284,Act!G1284,""),"")</f>
        <v/>
      </c>
      <c r="C1283">
        <f t="shared" si="57"/>
        <v>0</v>
      </c>
      <c r="D1283">
        <f>SUM($C$3:C1283)</f>
        <v>4</v>
      </c>
      <c r="E1283" t="e">
        <f t="shared" si="58"/>
        <v>#N/A</v>
      </c>
      <c r="F1283" s="28" t="str">
        <f t="shared" ca="1" si="59"/>
        <v/>
      </c>
    </row>
    <row r="1284" spans="2:6" x14ac:dyDescent="0.2">
      <c r="B1284" t="str">
        <f>IFERROR(IF('PDCA review'!$D$2=Act!B1285,Act!G1285,""),"")</f>
        <v/>
      </c>
      <c r="C1284">
        <f t="shared" ref="C1284:C1347" si="60">IF(B1284&lt;&gt;"",1,0)</f>
        <v>0</v>
      </c>
      <c r="D1284">
        <f>SUM($C$3:C1284)</f>
        <v>4</v>
      </c>
      <c r="E1284" t="e">
        <f t="shared" ref="E1284:E1347" si="61">MATCH(ROW()-$D$2,$D$3:$D$2000,0)+$D$2</f>
        <v>#N/A</v>
      </c>
      <c r="F1284" s="28" t="str">
        <f t="shared" ref="F1284:F1347" ca="1" si="62">IFERROR(INDIRECT("B"&amp;E1284),"")</f>
        <v/>
      </c>
    </row>
    <row r="1285" spans="2:6" x14ac:dyDescent="0.2">
      <c r="B1285" t="str">
        <f>IFERROR(IF('PDCA review'!$D$2=Act!B1286,Act!G1286,""),"")</f>
        <v/>
      </c>
      <c r="C1285">
        <f t="shared" si="60"/>
        <v>0</v>
      </c>
      <c r="D1285">
        <f>SUM($C$3:C1285)</f>
        <v>4</v>
      </c>
      <c r="E1285" t="e">
        <f t="shared" si="61"/>
        <v>#N/A</v>
      </c>
      <c r="F1285" s="28" t="str">
        <f t="shared" ca="1" si="62"/>
        <v/>
      </c>
    </row>
    <row r="1286" spans="2:6" x14ac:dyDescent="0.2">
      <c r="B1286" t="str">
        <f>IFERROR(IF('PDCA review'!$D$2=Act!B1287,Act!G1287,""),"")</f>
        <v/>
      </c>
      <c r="C1286">
        <f t="shared" si="60"/>
        <v>0</v>
      </c>
      <c r="D1286">
        <f>SUM($C$3:C1286)</f>
        <v>4</v>
      </c>
      <c r="E1286" t="e">
        <f t="shared" si="61"/>
        <v>#N/A</v>
      </c>
      <c r="F1286" s="28" t="str">
        <f t="shared" ca="1" si="62"/>
        <v/>
      </c>
    </row>
    <row r="1287" spans="2:6" x14ac:dyDescent="0.2">
      <c r="B1287" t="str">
        <f>IFERROR(IF('PDCA review'!$D$2=Act!B1288,Act!G1288,""),"")</f>
        <v/>
      </c>
      <c r="C1287">
        <f t="shared" si="60"/>
        <v>0</v>
      </c>
      <c r="D1287">
        <f>SUM($C$3:C1287)</f>
        <v>4</v>
      </c>
      <c r="E1287" t="e">
        <f t="shared" si="61"/>
        <v>#N/A</v>
      </c>
      <c r="F1287" s="28" t="str">
        <f t="shared" ca="1" si="62"/>
        <v/>
      </c>
    </row>
    <row r="1288" spans="2:6" x14ac:dyDescent="0.2">
      <c r="B1288" t="str">
        <f>IFERROR(IF('PDCA review'!$D$2=Act!B1289,Act!G1289,""),"")</f>
        <v/>
      </c>
      <c r="C1288">
        <f t="shared" si="60"/>
        <v>0</v>
      </c>
      <c r="D1288">
        <f>SUM($C$3:C1288)</f>
        <v>4</v>
      </c>
      <c r="E1288" t="e">
        <f t="shared" si="61"/>
        <v>#N/A</v>
      </c>
      <c r="F1288" s="28" t="str">
        <f t="shared" ca="1" si="62"/>
        <v/>
      </c>
    </row>
    <row r="1289" spans="2:6" x14ac:dyDescent="0.2">
      <c r="B1289" t="str">
        <f>IFERROR(IF('PDCA review'!$D$2=Act!B1290,Act!G1290,""),"")</f>
        <v/>
      </c>
      <c r="C1289">
        <f t="shared" si="60"/>
        <v>0</v>
      </c>
      <c r="D1289">
        <f>SUM($C$3:C1289)</f>
        <v>4</v>
      </c>
      <c r="E1289" t="e">
        <f t="shared" si="61"/>
        <v>#N/A</v>
      </c>
      <c r="F1289" s="28" t="str">
        <f t="shared" ca="1" si="62"/>
        <v/>
      </c>
    </row>
    <row r="1290" spans="2:6" x14ac:dyDescent="0.2">
      <c r="B1290" t="str">
        <f>IFERROR(IF('PDCA review'!$D$2=Act!B1291,Act!G1291,""),"")</f>
        <v/>
      </c>
      <c r="C1290">
        <f t="shared" si="60"/>
        <v>0</v>
      </c>
      <c r="D1290">
        <f>SUM($C$3:C1290)</f>
        <v>4</v>
      </c>
      <c r="E1290" t="e">
        <f t="shared" si="61"/>
        <v>#N/A</v>
      </c>
      <c r="F1290" s="28" t="str">
        <f t="shared" ca="1" si="62"/>
        <v/>
      </c>
    </row>
    <row r="1291" spans="2:6" x14ac:dyDescent="0.2">
      <c r="B1291" t="str">
        <f>IFERROR(IF('PDCA review'!$D$2=Act!B1292,Act!G1292,""),"")</f>
        <v/>
      </c>
      <c r="C1291">
        <f t="shared" si="60"/>
        <v>0</v>
      </c>
      <c r="D1291">
        <f>SUM($C$3:C1291)</f>
        <v>4</v>
      </c>
      <c r="E1291" t="e">
        <f t="shared" si="61"/>
        <v>#N/A</v>
      </c>
      <c r="F1291" s="28" t="str">
        <f t="shared" ca="1" si="62"/>
        <v/>
      </c>
    </row>
    <row r="1292" spans="2:6" x14ac:dyDescent="0.2">
      <c r="B1292" t="str">
        <f>IFERROR(IF('PDCA review'!$D$2=Act!B1293,Act!G1293,""),"")</f>
        <v/>
      </c>
      <c r="C1292">
        <f t="shared" si="60"/>
        <v>0</v>
      </c>
      <c r="D1292">
        <f>SUM($C$3:C1292)</f>
        <v>4</v>
      </c>
      <c r="E1292" t="e">
        <f t="shared" si="61"/>
        <v>#N/A</v>
      </c>
      <c r="F1292" s="28" t="str">
        <f t="shared" ca="1" si="62"/>
        <v/>
      </c>
    </row>
    <row r="1293" spans="2:6" x14ac:dyDescent="0.2">
      <c r="B1293" t="str">
        <f>IFERROR(IF('PDCA review'!$D$2=Act!B1294,Act!G1294,""),"")</f>
        <v/>
      </c>
      <c r="C1293">
        <f t="shared" si="60"/>
        <v>0</v>
      </c>
      <c r="D1293">
        <f>SUM($C$3:C1293)</f>
        <v>4</v>
      </c>
      <c r="E1293" t="e">
        <f t="shared" si="61"/>
        <v>#N/A</v>
      </c>
      <c r="F1293" s="28" t="str">
        <f t="shared" ca="1" si="62"/>
        <v/>
      </c>
    </row>
    <row r="1294" spans="2:6" x14ac:dyDescent="0.2">
      <c r="B1294" t="str">
        <f>IFERROR(IF('PDCA review'!$D$2=Act!B1295,Act!G1295,""),"")</f>
        <v/>
      </c>
      <c r="C1294">
        <f t="shared" si="60"/>
        <v>0</v>
      </c>
      <c r="D1294">
        <f>SUM($C$3:C1294)</f>
        <v>4</v>
      </c>
      <c r="E1294" t="e">
        <f t="shared" si="61"/>
        <v>#N/A</v>
      </c>
      <c r="F1294" s="28" t="str">
        <f t="shared" ca="1" si="62"/>
        <v/>
      </c>
    </row>
    <row r="1295" spans="2:6" x14ac:dyDescent="0.2">
      <c r="B1295" t="str">
        <f>IFERROR(IF('PDCA review'!$D$2=Act!B1296,Act!G1296,""),"")</f>
        <v/>
      </c>
      <c r="C1295">
        <f t="shared" si="60"/>
        <v>0</v>
      </c>
      <c r="D1295">
        <f>SUM($C$3:C1295)</f>
        <v>4</v>
      </c>
      <c r="E1295" t="e">
        <f t="shared" si="61"/>
        <v>#N/A</v>
      </c>
      <c r="F1295" s="28" t="str">
        <f t="shared" ca="1" si="62"/>
        <v/>
      </c>
    </row>
    <row r="1296" spans="2:6" x14ac:dyDescent="0.2">
      <c r="B1296" t="str">
        <f>IFERROR(IF('PDCA review'!$D$2=Act!B1297,Act!G1297,""),"")</f>
        <v/>
      </c>
      <c r="C1296">
        <f t="shared" si="60"/>
        <v>0</v>
      </c>
      <c r="D1296">
        <f>SUM($C$3:C1296)</f>
        <v>4</v>
      </c>
      <c r="E1296" t="e">
        <f t="shared" si="61"/>
        <v>#N/A</v>
      </c>
      <c r="F1296" s="28" t="str">
        <f t="shared" ca="1" si="62"/>
        <v/>
      </c>
    </row>
    <row r="1297" spans="2:6" x14ac:dyDescent="0.2">
      <c r="B1297" t="str">
        <f>IFERROR(IF('PDCA review'!$D$2=Act!B1298,Act!G1298,""),"")</f>
        <v/>
      </c>
      <c r="C1297">
        <f t="shared" si="60"/>
        <v>0</v>
      </c>
      <c r="D1297">
        <f>SUM($C$3:C1297)</f>
        <v>4</v>
      </c>
      <c r="E1297" t="e">
        <f t="shared" si="61"/>
        <v>#N/A</v>
      </c>
      <c r="F1297" s="28" t="str">
        <f t="shared" ca="1" si="62"/>
        <v/>
      </c>
    </row>
    <row r="1298" spans="2:6" x14ac:dyDescent="0.2">
      <c r="B1298" t="str">
        <f>IFERROR(IF('PDCA review'!$D$2=Act!B1299,Act!G1299,""),"")</f>
        <v/>
      </c>
      <c r="C1298">
        <f t="shared" si="60"/>
        <v>0</v>
      </c>
      <c r="D1298">
        <f>SUM($C$3:C1298)</f>
        <v>4</v>
      </c>
      <c r="E1298" t="e">
        <f t="shared" si="61"/>
        <v>#N/A</v>
      </c>
      <c r="F1298" s="28" t="str">
        <f t="shared" ca="1" si="62"/>
        <v/>
      </c>
    </row>
    <row r="1299" spans="2:6" x14ac:dyDescent="0.2">
      <c r="B1299" t="str">
        <f>IFERROR(IF('PDCA review'!$D$2=Act!B1300,Act!G1300,""),"")</f>
        <v/>
      </c>
      <c r="C1299">
        <f t="shared" si="60"/>
        <v>0</v>
      </c>
      <c r="D1299">
        <f>SUM($C$3:C1299)</f>
        <v>4</v>
      </c>
      <c r="E1299" t="e">
        <f t="shared" si="61"/>
        <v>#N/A</v>
      </c>
      <c r="F1299" s="28" t="str">
        <f t="shared" ca="1" si="62"/>
        <v/>
      </c>
    </row>
    <row r="1300" spans="2:6" x14ac:dyDescent="0.2">
      <c r="B1300" t="str">
        <f>IFERROR(IF('PDCA review'!$D$2=Act!B1301,Act!G1301,""),"")</f>
        <v/>
      </c>
      <c r="C1300">
        <f t="shared" si="60"/>
        <v>0</v>
      </c>
      <c r="D1300">
        <f>SUM($C$3:C1300)</f>
        <v>4</v>
      </c>
      <c r="E1300" t="e">
        <f t="shared" si="61"/>
        <v>#N/A</v>
      </c>
      <c r="F1300" s="28" t="str">
        <f t="shared" ca="1" si="62"/>
        <v/>
      </c>
    </row>
    <row r="1301" spans="2:6" x14ac:dyDescent="0.2">
      <c r="B1301" t="str">
        <f>IFERROR(IF('PDCA review'!$D$2=Act!B1302,Act!G1302,""),"")</f>
        <v/>
      </c>
      <c r="C1301">
        <f t="shared" si="60"/>
        <v>0</v>
      </c>
      <c r="D1301">
        <f>SUM($C$3:C1301)</f>
        <v>4</v>
      </c>
      <c r="E1301" t="e">
        <f t="shared" si="61"/>
        <v>#N/A</v>
      </c>
      <c r="F1301" s="28" t="str">
        <f t="shared" ca="1" si="62"/>
        <v/>
      </c>
    </row>
    <row r="1302" spans="2:6" x14ac:dyDescent="0.2">
      <c r="B1302" t="str">
        <f>IFERROR(IF('PDCA review'!$D$2=Act!B1303,Act!G1303,""),"")</f>
        <v/>
      </c>
      <c r="C1302">
        <f t="shared" si="60"/>
        <v>0</v>
      </c>
      <c r="D1302">
        <f>SUM($C$3:C1302)</f>
        <v>4</v>
      </c>
      <c r="E1302" t="e">
        <f t="shared" si="61"/>
        <v>#N/A</v>
      </c>
      <c r="F1302" s="28" t="str">
        <f t="shared" ca="1" si="62"/>
        <v/>
      </c>
    </row>
    <row r="1303" spans="2:6" x14ac:dyDescent="0.2">
      <c r="B1303" t="str">
        <f>IFERROR(IF('PDCA review'!$D$2=Act!B1304,Act!G1304,""),"")</f>
        <v/>
      </c>
      <c r="C1303">
        <f t="shared" si="60"/>
        <v>0</v>
      </c>
      <c r="D1303">
        <f>SUM($C$3:C1303)</f>
        <v>4</v>
      </c>
      <c r="E1303" t="e">
        <f t="shared" si="61"/>
        <v>#N/A</v>
      </c>
      <c r="F1303" s="28" t="str">
        <f t="shared" ca="1" si="62"/>
        <v/>
      </c>
    </row>
    <row r="1304" spans="2:6" x14ac:dyDescent="0.2">
      <c r="B1304" t="str">
        <f>IFERROR(IF('PDCA review'!$D$2=Act!B1305,Act!G1305,""),"")</f>
        <v/>
      </c>
      <c r="C1304">
        <f t="shared" si="60"/>
        <v>0</v>
      </c>
      <c r="D1304">
        <f>SUM($C$3:C1304)</f>
        <v>4</v>
      </c>
      <c r="E1304" t="e">
        <f t="shared" si="61"/>
        <v>#N/A</v>
      </c>
      <c r="F1304" s="28" t="str">
        <f t="shared" ca="1" si="62"/>
        <v/>
      </c>
    </row>
    <row r="1305" spans="2:6" x14ac:dyDescent="0.2">
      <c r="B1305" t="str">
        <f>IFERROR(IF('PDCA review'!$D$2=Act!B1306,Act!G1306,""),"")</f>
        <v/>
      </c>
      <c r="C1305">
        <f t="shared" si="60"/>
        <v>0</v>
      </c>
      <c r="D1305">
        <f>SUM($C$3:C1305)</f>
        <v>4</v>
      </c>
      <c r="E1305" t="e">
        <f t="shared" si="61"/>
        <v>#N/A</v>
      </c>
      <c r="F1305" s="28" t="str">
        <f t="shared" ca="1" si="62"/>
        <v/>
      </c>
    </row>
    <row r="1306" spans="2:6" x14ac:dyDescent="0.2">
      <c r="B1306" t="str">
        <f>IFERROR(IF('PDCA review'!$D$2=Act!B1307,Act!G1307,""),"")</f>
        <v/>
      </c>
      <c r="C1306">
        <f t="shared" si="60"/>
        <v>0</v>
      </c>
      <c r="D1306">
        <f>SUM($C$3:C1306)</f>
        <v>4</v>
      </c>
      <c r="E1306" t="e">
        <f t="shared" si="61"/>
        <v>#N/A</v>
      </c>
      <c r="F1306" s="28" t="str">
        <f t="shared" ca="1" si="62"/>
        <v/>
      </c>
    </row>
    <row r="1307" spans="2:6" x14ac:dyDescent="0.2">
      <c r="B1307" t="str">
        <f>IFERROR(IF('PDCA review'!$D$2=Act!B1308,Act!G1308,""),"")</f>
        <v/>
      </c>
      <c r="C1307">
        <f t="shared" si="60"/>
        <v>0</v>
      </c>
      <c r="D1307">
        <f>SUM($C$3:C1307)</f>
        <v>4</v>
      </c>
      <c r="E1307" t="e">
        <f t="shared" si="61"/>
        <v>#N/A</v>
      </c>
      <c r="F1307" s="28" t="str">
        <f t="shared" ca="1" si="62"/>
        <v/>
      </c>
    </row>
    <row r="1308" spans="2:6" x14ac:dyDescent="0.2">
      <c r="B1308" t="str">
        <f>IFERROR(IF('PDCA review'!$D$2=Act!B1309,Act!G1309,""),"")</f>
        <v/>
      </c>
      <c r="C1308">
        <f t="shared" si="60"/>
        <v>0</v>
      </c>
      <c r="D1308">
        <f>SUM($C$3:C1308)</f>
        <v>4</v>
      </c>
      <c r="E1308" t="e">
        <f t="shared" si="61"/>
        <v>#N/A</v>
      </c>
      <c r="F1308" s="28" t="str">
        <f t="shared" ca="1" si="62"/>
        <v/>
      </c>
    </row>
    <row r="1309" spans="2:6" x14ac:dyDescent="0.2">
      <c r="B1309" t="str">
        <f>IFERROR(IF('PDCA review'!$D$2=Act!B1310,Act!G1310,""),"")</f>
        <v/>
      </c>
      <c r="C1309">
        <f t="shared" si="60"/>
        <v>0</v>
      </c>
      <c r="D1309">
        <f>SUM($C$3:C1309)</f>
        <v>4</v>
      </c>
      <c r="E1309" t="e">
        <f t="shared" si="61"/>
        <v>#N/A</v>
      </c>
      <c r="F1309" s="28" t="str">
        <f t="shared" ca="1" si="62"/>
        <v/>
      </c>
    </row>
    <row r="1310" spans="2:6" x14ac:dyDescent="0.2">
      <c r="B1310" t="str">
        <f>IFERROR(IF('PDCA review'!$D$2=Act!B1311,Act!G1311,""),"")</f>
        <v/>
      </c>
      <c r="C1310">
        <f t="shared" si="60"/>
        <v>0</v>
      </c>
      <c r="D1310">
        <f>SUM($C$3:C1310)</f>
        <v>4</v>
      </c>
      <c r="E1310" t="e">
        <f t="shared" si="61"/>
        <v>#N/A</v>
      </c>
      <c r="F1310" s="28" t="str">
        <f t="shared" ca="1" si="62"/>
        <v/>
      </c>
    </row>
    <row r="1311" spans="2:6" x14ac:dyDescent="0.2">
      <c r="B1311" t="str">
        <f>IFERROR(IF('PDCA review'!$D$2=Act!B1312,Act!G1312,""),"")</f>
        <v/>
      </c>
      <c r="C1311">
        <f t="shared" si="60"/>
        <v>0</v>
      </c>
      <c r="D1311">
        <f>SUM($C$3:C1311)</f>
        <v>4</v>
      </c>
      <c r="E1311" t="e">
        <f t="shared" si="61"/>
        <v>#N/A</v>
      </c>
      <c r="F1311" s="28" t="str">
        <f t="shared" ca="1" si="62"/>
        <v/>
      </c>
    </row>
    <row r="1312" spans="2:6" x14ac:dyDescent="0.2">
      <c r="B1312" t="str">
        <f>IFERROR(IF('PDCA review'!$D$2=Act!B1313,Act!G1313,""),"")</f>
        <v/>
      </c>
      <c r="C1312">
        <f t="shared" si="60"/>
        <v>0</v>
      </c>
      <c r="D1312">
        <f>SUM($C$3:C1312)</f>
        <v>4</v>
      </c>
      <c r="E1312" t="e">
        <f t="shared" si="61"/>
        <v>#N/A</v>
      </c>
      <c r="F1312" s="28" t="str">
        <f t="shared" ca="1" si="62"/>
        <v/>
      </c>
    </row>
    <row r="1313" spans="2:6" x14ac:dyDescent="0.2">
      <c r="B1313" t="str">
        <f>IFERROR(IF('PDCA review'!$D$2=Act!B1314,Act!G1314,""),"")</f>
        <v/>
      </c>
      <c r="C1313">
        <f t="shared" si="60"/>
        <v>0</v>
      </c>
      <c r="D1313">
        <f>SUM($C$3:C1313)</f>
        <v>4</v>
      </c>
      <c r="E1313" t="e">
        <f t="shared" si="61"/>
        <v>#N/A</v>
      </c>
      <c r="F1313" s="28" t="str">
        <f t="shared" ca="1" si="62"/>
        <v/>
      </c>
    </row>
    <row r="1314" spans="2:6" x14ac:dyDescent="0.2">
      <c r="B1314" t="str">
        <f>IFERROR(IF('PDCA review'!$D$2=Act!B1315,Act!G1315,""),"")</f>
        <v/>
      </c>
      <c r="C1314">
        <f t="shared" si="60"/>
        <v>0</v>
      </c>
      <c r="D1314">
        <f>SUM($C$3:C1314)</f>
        <v>4</v>
      </c>
      <c r="E1314" t="e">
        <f t="shared" si="61"/>
        <v>#N/A</v>
      </c>
      <c r="F1314" s="28" t="str">
        <f t="shared" ca="1" si="62"/>
        <v/>
      </c>
    </row>
    <row r="1315" spans="2:6" x14ac:dyDescent="0.2">
      <c r="B1315" t="str">
        <f>IFERROR(IF('PDCA review'!$D$2=Act!B1316,Act!G1316,""),"")</f>
        <v/>
      </c>
      <c r="C1315">
        <f t="shared" si="60"/>
        <v>0</v>
      </c>
      <c r="D1315">
        <f>SUM($C$3:C1315)</f>
        <v>4</v>
      </c>
      <c r="E1315" t="e">
        <f t="shared" si="61"/>
        <v>#N/A</v>
      </c>
      <c r="F1315" s="28" t="str">
        <f t="shared" ca="1" si="62"/>
        <v/>
      </c>
    </row>
    <row r="1316" spans="2:6" x14ac:dyDescent="0.2">
      <c r="B1316" t="str">
        <f>IFERROR(IF('PDCA review'!$D$2=Act!B1317,Act!G1317,""),"")</f>
        <v/>
      </c>
      <c r="C1316">
        <f t="shared" si="60"/>
        <v>0</v>
      </c>
      <c r="D1316">
        <f>SUM($C$3:C1316)</f>
        <v>4</v>
      </c>
      <c r="E1316" t="e">
        <f t="shared" si="61"/>
        <v>#N/A</v>
      </c>
      <c r="F1316" s="28" t="str">
        <f t="shared" ca="1" si="62"/>
        <v/>
      </c>
    </row>
    <row r="1317" spans="2:6" x14ac:dyDescent="0.2">
      <c r="B1317" t="str">
        <f>IFERROR(IF('PDCA review'!$D$2=Act!B1318,Act!G1318,""),"")</f>
        <v/>
      </c>
      <c r="C1317">
        <f t="shared" si="60"/>
        <v>0</v>
      </c>
      <c r="D1317">
        <f>SUM($C$3:C1317)</f>
        <v>4</v>
      </c>
      <c r="E1317" t="e">
        <f t="shared" si="61"/>
        <v>#N/A</v>
      </c>
      <c r="F1317" s="28" t="str">
        <f t="shared" ca="1" si="62"/>
        <v/>
      </c>
    </row>
    <row r="1318" spans="2:6" x14ac:dyDescent="0.2">
      <c r="B1318" t="str">
        <f>IFERROR(IF('PDCA review'!$D$2=Act!B1319,Act!G1319,""),"")</f>
        <v/>
      </c>
      <c r="C1318">
        <f t="shared" si="60"/>
        <v>0</v>
      </c>
      <c r="D1318">
        <f>SUM($C$3:C1318)</f>
        <v>4</v>
      </c>
      <c r="E1318" t="e">
        <f t="shared" si="61"/>
        <v>#N/A</v>
      </c>
      <c r="F1318" s="28" t="str">
        <f t="shared" ca="1" si="62"/>
        <v/>
      </c>
    </row>
    <row r="1319" spans="2:6" x14ac:dyDescent="0.2">
      <c r="B1319" t="str">
        <f>IFERROR(IF('PDCA review'!$D$2=Act!B1320,Act!G1320,""),"")</f>
        <v/>
      </c>
      <c r="C1319">
        <f t="shared" si="60"/>
        <v>0</v>
      </c>
      <c r="D1319">
        <f>SUM($C$3:C1319)</f>
        <v>4</v>
      </c>
      <c r="E1319" t="e">
        <f t="shared" si="61"/>
        <v>#N/A</v>
      </c>
      <c r="F1319" s="28" t="str">
        <f t="shared" ca="1" si="62"/>
        <v/>
      </c>
    </row>
    <row r="1320" spans="2:6" x14ac:dyDescent="0.2">
      <c r="B1320" t="str">
        <f>IFERROR(IF('PDCA review'!$D$2=Act!B1321,Act!G1321,""),"")</f>
        <v/>
      </c>
      <c r="C1320">
        <f t="shared" si="60"/>
        <v>0</v>
      </c>
      <c r="D1320">
        <f>SUM($C$3:C1320)</f>
        <v>4</v>
      </c>
      <c r="E1320" t="e">
        <f t="shared" si="61"/>
        <v>#N/A</v>
      </c>
      <c r="F1320" s="28" t="str">
        <f t="shared" ca="1" si="62"/>
        <v/>
      </c>
    </row>
    <row r="1321" spans="2:6" x14ac:dyDescent="0.2">
      <c r="B1321" t="str">
        <f>IFERROR(IF('PDCA review'!$D$2=Act!B1322,Act!G1322,""),"")</f>
        <v/>
      </c>
      <c r="C1321">
        <f t="shared" si="60"/>
        <v>0</v>
      </c>
      <c r="D1321">
        <f>SUM($C$3:C1321)</f>
        <v>4</v>
      </c>
      <c r="E1321" t="e">
        <f t="shared" si="61"/>
        <v>#N/A</v>
      </c>
      <c r="F1321" s="28" t="str">
        <f t="shared" ca="1" si="62"/>
        <v/>
      </c>
    </row>
    <row r="1322" spans="2:6" x14ac:dyDescent="0.2">
      <c r="B1322" t="str">
        <f>IFERROR(IF('PDCA review'!$D$2=Act!B1323,Act!G1323,""),"")</f>
        <v/>
      </c>
      <c r="C1322">
        <f t="shared" si="60"/>
        <v>0</v>
      </c>
      <c r="D1322">
        <f>SUM($C$3:C1322)</f>
        <v>4</v>
      </c>
      <c r="E1322" t="e">
        <f t="shared" si="61"/>
        <v>#N/A</v>
      </c>
      <c r="F1322" s="28" t="str">
        <f t="shared" ca="1" si="62"/>
        <v/>
      </c>
    </row>
    <row r="1323" spans="2:6" x14ac:dyDescent="0.2">
      <c r="B1323" t="str">
        <f>IFERROR(IF('PDCA review'!$D$2=Act!B1324,Act!G1324,""),"")</f>
        <v/>
      </c>
      <c r="C1323">
        <f t="shared" si="60"/>
        <v>0</v>
      </c>
      <c r="D1323">
        <f>SUM($C$3:C1323)</f>
        <v>4</v>
      </c>
      <c r="E1323" t="e">
        <f t="shared" si="61"/>
        <v>#N/A</v>
      </c>
      <c r="F1323" s="28" t="str">
        <f t="shared" ca="1" si="62"/>
        <v/>
      </c>
    </row>
    <row r="1324" spans="2:6" x14ac:dyDescent="0.2">
      <c r="B1324" t="str">
        <f>IFERROR(IF('PDCA review'!$D$2=Act!B1325,Act!G1325,""),"")</f>
        <v/>
      </c>
      <c r="C1324">
        <f t="shared" si="60"/>
        <v>0</v>
      </c>
      <c r="D1324">
        <f>SUM($C$3:C1324)</f>
        <v>4</v>
      </c>
      <c r="E1324" t="e">
        <f t="shared" si="61"/>
        <v>#N/A</v>
      </c>
      <c r="F1324" s="28" t="str">
        <f t="shared" ca="1" si="62"/>
        <v/>
      </c>
    </row>
    <row r="1325" spans="2:6" x14ac:dyDescent="0.2">
      <c r="B1325" t="str">
        <f>IFERROR(IF('PDCA review'!$D$2=Act!B1326,Act!G1326,""),"")</f>
        <v/>
      </c>
      <c r="C1325">
        <f t="shared" si="60"/>
        <v>0</v>
      </c>
      <c r="D1325">
        <f>SUM($C$3:C1325)</f>
        <v>4</v>
      </c>
      <c r="E1325" t="e">
        <f t="shared" si="61"/>
        <v>#N/A</v>
      </c>
      <c r="F1325" s="28" t="str">
        <f t="shared" ca="1" si="62"/>
        <v/>
      </c>
    </row>
    <row r="1326" spans="2:6" x14ac:dyDescent="0.2">
      <c r="B1326" t="str">
        <f>IFERROR(IF('PDCA review'!$D$2=Act!B1327,Act!G1327,""),"")</f>
        <v/>
      </c>
      <c r="C1326">
        <f t="shared" si="60"/>
        <v>0</v>
      </c>
      <c r="D1326">
        <f>SUM($C$3:C1326)</f>
        <v>4</v>
      </c>
      <c r="E1326" t="e">
        <f t="shared" si="61"/>
        <v>#N/A</v>
      </c>
      <c r="F1326" s="28" t="str">
        <f t="shared" ca="1" si="62"/>
        <v/>
      </c>
    </row>
    <row r="1327" spans="2:6" x14ac:dyDescent="0.2">
      <c r="B1327" t="str">
        <f>IFERROR(IF('PDCA review'!$D$2=Act!B1328,Act!G1328,""),"")</f>
        <v/>
      </c>
      <c r="C1327">
        <f t="shared" si="60"/>
        <v>0</v>
      </c>
      <c r="D1327">
        <f>SUM($C$3:C1327)</f>
        <v>4</v>
      </c>
      <c r="E1327" t="e">
        <f t="shared" si="61"/>
        <v>#N/A</v>
      </c>
      <c r="F1327" s="28" t="str">
        <f t="shared" ca="1" si="62"/>
        <v/>
      </c>
    </row>
    <row r="1328" spans="2:6" x14ac:dyDescent="0.2">
      <c r="B1328" t="str">
        <f>IFERROR(IF('PDCA review'!$D$2=Act!B1329,Act!G1329,""),"")</f>
        <v/>
      </c>
      <c r="C1328">
        <f t="shared" si="60"/>
        <v>0</v>
      </c>
      <c r="D1328">
        <f>SUM($C$3:C1328)</f>
        <v>4</v>
      </c>
      <c r="E1328" t="e">
        <f t="shared" si="61"/>
        <v>#N/A</v>
      </c>
      <c r="F1328" s="28" t="str">
        <f t="shared" ca="1" si="62"/>
        <v/>
      </c>
    </row>
    <row r="1329" spans="2:6" x14ac:dyDescent="0.2">
      <c r="B1329" t="str">
        <f>IFERROR(IF('PDCA review'!$D$2=Act!B1330,Act!G1330,""),"")</f>
        <v/>
      </c>
      <c r="C1329">
        <f t="shared" si="60"/>
        <v>0</v>
      </c>
      <c r="D1329">
        <f>SUM($C$3:C1329)</f>
        <v>4</v>
      </c>
      <c r="E1329" t="e">
        <f t="shared" si="61"/>
        <v>#N/A</v>
      </c>
      <c r="F1329" s="28" t="str">
        <f t="shared" ca="1" si="62"/>
        <v/>
      </c>
    </row>
    <row r="1330" spans="2:6" x14ac:dyDescent="0.2">
      <c r="B1330" t="str">
        <f>IFERROR(IF('PDCA review'!$D$2=Act!B1331,Act!G1331,""),"")</f>
        <v/>
      </c>
      <c r="C1330">
        <f t="shared" si="60"/>
        <v>0</v>
      </c>
      <c r="D1330">
        <f>SUM($C$3:C1330)</f>
        <v>4</v>
      </c>
      <c r="E1330" t="e">
        <f t="shared" si="61"/>
        <v>#N/A</v>
      </c>
      <c r="F1330" s="28" t="str">
        <f t="shared" ca="1" si="62"/>
        <v/>
      </c>
    </row>
    <row r="1331" spans="2:6" x14ac:dyDescent="0.2">
      <c r="B1331" t="str">
        <f>IFERROR(IF('PDCA review'!$D$2=Act!B1332,Act!G1332,""),"")</f>
        <v/>
      </c>
      <c r="C1331">
        <f t="shared" si="60"/>
        <v>0</v>
      </c>
      <c r="D1331">
        <f>SUM($C$3:C1331)</f>
        <v>4</v>
      </c>
      <c r="E1331" t="e">
        <f t="shared" si="61"/>
        <v>#N/A</v>
      </c>
      <c r="F1331" s="28" t="str">
        <f t="shared" ca="1" si="62"/>
        <v/>
      </c>
    </row>
    <row r="1332" spans="2:6" x14ac:dyDescent="0.2">
      <c r="B1332" t="str">
        <f>IFERROR(IF('PDCA review'!$D$2=Act!B1333,Act!G1333,""),"")</f>
        <v/>
      </c>
      <c r="C1332">
        <f t="shared" si="60"/>
        <v>0</v>
      </c>
      <c r="D1332">
        <f>SUM($C$3:C1332)</f>
        <v>4</v>
      </c>
      <c r="E1332" t="e">
        <f t="shared" si="61"/>
        <v>#N/A</v>
      </c>
      <c r="F1332" s="28" t="str">
        <f t="shared" ca="1" si="62"/>
        <v/>
      </c>
    </row>
    <row r="1333" spans="2:6" x14ac:dyDescent="0.2">
      <c r="B1333" t="str">
        <f>IFERROR(IF('PDCA review'!$D$2=Act!B1334,Act!G1334,""),"")</f>
        <v/>
      </c>
      <c r="C1333">
        <f t="shared" si="60"/>
        <v>0</v>
      </c>
      <c r="D1333">
        <f>SUM($C$3:C1333)</f>
        <v>4</v>
      </c>
      <c r="E1333" t="e">
        <f t="shared" si="61"/>
        <v>#N/A</v>
      </c>
      <c r="F1333" s="28" t="str">
        <f t="shared" ca="1" si="62"/>
        <v/>
      </c>
    </row>
    <row r="1334" spans="2:6" x14ac:dyDescent="0.2">
      <c r="B1334" t="str">
        <f>IFERROR(IF('PDCA review'!$D$2=Act!B1335,Act!G1335,""),"")</f>
        <v/>
      </c>
      <c r="C1334">
        <f t="shared" si="60"/>
        <v>0</v>
      </c>
      <c r="D1334">
        <f>SUM($C$3:C1334)</f>
        <v>4</v>
      </c>
      <c r="E1334" t="e">
        <f t="shared" si="61"/>
        <v>#N/A</v>
      </c>
      <c r="F1334" s="28" t="str">
        <f t="shared" ca="1" si="62"/>
        <v/>
      </c>
    </row>
    <row r="1335" spans="2:6" x14ac:dyDescent="0.2">
      <c r="B1335" t="str">
        <f>IFERROR(IF('PDCA review'!$D$2=Act!B1336,Act!G1336,""),"")</f>
        <v/>
      </c>
      <c r="C1335">
        <f t="shared" si="60"/>
        <v>0</v>
      </c>
      <c r="D1335">
        <f>SUM($C$3:C1335)</f>
        <v>4</v>
      </c>
      <c r="E1335" t="e">
        <f t="shared" si="61"/>
        <v>#N/A</v>
      </c>
      <c r="F1335" s="28" t="str">
        <f t="shared" ca="1" si="62"/>
        <v/>
      </c>
    </row>
    <row r="1336" spans="2:6" x14ac:dyDescent="0.2">
      <c r="B1336" t="str">
        <f>IFERROR(IF('PDCA review'!$D$2=Act!B1337,Act!G1337,""),"")</f>
        <v/>
      </c>
      <c r="C1336">
        <f t="shared" si="60"/>
        <v>0</v>
      </c>
      <c r="D1336">
        <f>SUM($C$3:C1336)</f>
        <v>4</v>
      </c>
      <c r="E1336" t="e">
        <f t="shared" si="61"/>
        <v>#N/A</v>
      </c>
      <c r="F1336" s="28" t="str">
        <f t="shared" ca="1" si="62"/>
        <v/>
      </c>
    </row>
    <row r="1337" spans="2:6" x14ac:dyDescent="0.2">
      <c r="B1337" t="str">
        <f>IFERROR(IF('PDCA review'!$D$2=Act!B1338,Act!G1338,""),"")</f>
        <v/>
      </c>
      <c r="C1337">
        <f t="shared" si="60"/>
        <v>0</v>
      </c>
      <c r="D1337">
        <f>SUM($C$3:C1337)</f>
        <v>4</v>
      </c>
      <c r="E1337" t="e">
        <f t="shared" si="61"/>
        <v>#N/A</v>
      </c>
      <c r="F1337" s="28" t="str">
        <f t="shared" ca="1" si="62"/>
        <v/>
      </c>
    </row>
    <row r="1338" spans="2:6" x14ac:dyDescent="0.2">
      <c r="B1338" t="str">
        <f>IFERROR(IF('PDCA review'!$D$2=Act!B1339,Act!G1339,""),"")</f>
        <v/>
      </c>
      <c r="C1338">
        <f t="shared" si="60"/>
        <v>0</v>
      </c>
      <c r="D1338">
        <f>SUM($C$3:C1338)</f>
        <v>4</v>
      </c>
      <c r="E1338" t="e">
        <f t="shared" si="61"/>
        <v>#N/A</v>
      </c>
      <c r="F1338" s="28" t="str">
        <f t="shared" ca="1" si="62"/>
        <v/>
      </c>
    </row>
    <row r="1339" spans="2:6" x14ac:dyDescent="0.2">
      <c r="B1339" t="str">
        <f>IFERROR(IF('PDCA review'!$D$2=Act!B1340,Act!G1340,""),"")</f>
        <v/>
      </c>
      <c r="C1339">
        <f t="shared" si="60"/>
        <v>0</v>
      </c>
      <c r="D1339">
        <f>SUM($C$3:C1339)</f>
        <v>4</v>
      </c>
      <c r="E1339" t="e">
        <f t="shared" si="61"/>
        <v>#N/A</v>
      </c>
      <c r="F1339" s="28" t="str">
        <f t="shared" ca="1" si="62"/>
        <v/>
      </c>
    </row>
    <row r="1340" spans="2:6" x14ac:dyDescent="0.2">
      <c r="B1340" t="str">
        <f>IFERROR(IF('PDCA review'!$D$2=Act!B1341,Act!G1341,""),"")</f>
        <v/>
      </c>
      <c r="C1340">
        <f t="shared" si="60"/>
        <v>0</v>
      </c>
      <c r="D1340">
        <f>SUM($C$3:C1340)</f>
        <v>4</v>
      </c>
      <c r="E1340" t="e">
        <f t="shared" si="61"/>
        <v>#N/A</v>
      </c>
      <c r="F1340" s="28" t="str">
        <f t="shared" ca="1" si="62"/>
        <v/>
      </c>
    </row>
    <row r="1341" spans="2:6" x14ac:dyDescent="0.2">
      <c r="B1341" t="str">
        <f>IFERROR(IF('PDCA review'!$D$2=Act!B1342,Act!G1342,""),"")</f>
        <v/>
      </c>
      <c r="C1341">
        <f t="shared" si="60"/>
        <v>0</v>
      </c>
      <c r="D1341">
        <f>SUM($C$3:C1341)</f>
        <v>4</v>
      </c>
      <c r="E1341" t="e">
        <f t="shared" si="61"/>
        <v>#N/A</v>
      </c>
      <c r="F1341" s="28" t="str">
        <f t="shared" ca="1" si="62"/>
        <v/>
      </c>
    </row>
    <row r="1342" spans="2:6" x14ac:dyDescent="0.2">
      <c r="B1342" t="str">
        <f>IFERROR(IF('PDCA review'!$D$2=Act!B1343,Act!G1343,""),"")</f>
        <v/>
      </c>
      <c r="C1342">
        <f t="shared" si="60"/>
        <v>0</v>
      </c>
      <c r="D1342">
        <f>SUM($C$3:C1342)</f>
        <v>4</v>
      </c>
      <c r="E1342" t="e">
        <f t="shared" si="61"/>
        <v>#N/A</v>
      </c>
      <c r="F1342" s="28" t="str">
        <f t="shared" ca="1" si="62"/>
        <v/>
      </c>
    </row>
    <row r="1343" spans="2:6" x14ac:dyDescent="0.2">
      <c r="B1343" t="str">
        <f>IFERROR(IF('PDCA review'!$D$2=Act!B1344,Act!G1344,""),"")</f>
        <v/>
      </c>
      <c r="C1343">
        <f t="shared" si="60"/>
        <v>0</v>
      </c>
      <c r="D1343">
        <f>SUM($C$3:C1343)</f>
        <v>4</v>
      </c>
      <c r="E1343" t="e">
        <f t="shared" si="61"/>
        <v>#N/A</v>
      </c>
      <c r="F1343" s="28" t="str">
        <f t="shared" ca="1" si="62"/>
        <v/>
      </c>
    </row>
    <row r="1344" spans="2:6" x14ac:dyDescent="0.2">
      <c r="B1344" t="str">
        <f>IFERROR(IF('PDCA review'!$D$2=Act!B1345,Act!G1345,""),"")</f>
        <v/>
      </c>
      <c r="C1344">
        <f t="shared" si="60"/>
        <v>0</v>
      </c>
      <c r="D1344">
        <f>SUM($C$3:C1344)</f>
        <v>4</v>
      </c>
      <c r="E1344" t="e">
        <f t="shared" si="61"/>
        <v>#N/A</v>
      </c>
      <c r="F1344" s="28" t="str">
        <f t="shared" ca="1" si="62"/>
        <v/>
      </c>
    </row>
    <row r="1345" spans="2:6" x14ac:dyDescent="0.2">
      <c r="B1345" t="str">
        <f>IFERROR(IF('PDCA review'!$D$2=Act!B1346,Act!G1346,""),"")</f>
        <v/>
      </c>
      <c r="C1345">
        <f t="shared" si="60"/>
        <v>0</v>
      </c>
      <c r="D1345">
        <f>SUM($C$3:C1345)</f>
        <v>4</v>
      </c>
      <c r="E1345" t="e">
        <f t="shared" si="61"/>
        <v>#N/A</v>
      </c>
      <c r="F1345" s="28" t="str">
        <f t="shared" ca="1" si="62"/>
        <v/>
      </c>
    </row>
    <row r="1346" spans="2:6" x14ac:dyDescent="0.2">
      <c r="B1346" t="str">
        <f>IFERROR(IF('PDCA review'!$D$2=Act!B1347,Act!G1347,""),"")</f>
        <v/>
      </c>
      <c r="C1346">
        <f t="shared" si="60"/>
        <v>0</v>
      </c>
      <c r="D1346">
        <f>SUM($C$3:C1346)</f>
        <v>4</v>
      </c>
      <c r="E1346" t="e">
        <f t="shared" si="61"/>
        <v>#N/A</v>
      </c>
      <c r="F1346" s="28" t="str">
        <f t="shared" ca="1" si="62"/>
        <v/>
      </c>
    </row>
    <row r="1347" spans="2:6" x14ac:dyDescent="0.2">
      <c r="B1347" t="str">
        <f>IFERROR(IF('PDCA review'!$D$2=Act!B1348,Act!G1348,""),"")</f>
        <v/>
      </c>
      <c r="C1347">
        <f t="shared" si="60"/>
        <v>0</v>
      </c>
      <c r="D1347">
        <f>SUM($C$3:C1347)</f>
        <v>4</v>
      </c>
      <c r="E1347" t="e">
        <f t="shared" si="61"/>
        <v>#N/A</v>
      </c>
      <c r="F1347" s="28" t="str">
        <f t="shared" ca="1" si="62"/>
        <v/>
      </c>
    </row>
    <row r="1348" spans="2:6" x14ac:dyDescent="0.2">
      <c r="B1348" t="str">
        <f>IFERROR(IF('PDCA review'!$D$2=Act!B1349,Act!G1349,""),"")</f>
        <v/>
      </c>
      <c r="C1348">
        <f t="shared" ref="C1348:C1411" si="63">IF(B1348&lt;&gt;"",1,0)</f>
        <v>0</v>
      </c>
      <c r="D1348">
        <f>SUM($C$3:C1348)</f>
        <v>4</v>
      </c>
      <c r="E1348" t="e">
        <f t="shared" ref="E1348:E1411" si="64">MATCH(ROW()-$D$2,$D$3:$D$2000,0)+$D$2</f>
        <v>#N/A</v>
      </c>
      <c r="F1348" s="28" t="str">
        <f t="shared" ref="F1348:F1411" ca="1" si="65">IFERROR(INDIRECT("B"&amp;E1348),"")</f>
        <v/>
      </c>
    </row>
    <row r="1349" spans="2:6" x14ac:dyDescent="0.2">
      <c r="B1349" t="str">
        <f>IFERROR(IF('PDCA review'!$D$2=Act!B1350,Act!G1350,""),"")</f>
        <v/>
      </c>
      <c r="C1349">
        <f t="shared" si="63"/>
        <v>0</v>
      </c>
      <c r="D1349">
        <f>SUM($C$3:C1349)</f>
        <v>4</v>
      </c>
      <c r="E1349" t="e">
        <f t="shared" si="64"/>
        <v>#N/A</v>
      </c>
      <c r="F1349" s="28" t="str">
        <f t="shared" ca="1" si="65"/>
        <v/>
      </c>
    </row>
    <row r="1350" spans="2:6" x14ac:dyDescent="0.2">
      <c r="B1350" t="str">
        <f>IFERROR(IF('PDCA review'!$D$2=Act!B1351,Act!G1351,""),"")</f>
        <v/>
      </c>
      <c r="C1350">
        <f t="shared" si="63"/>
        <v>0</v>
      </c>
      <c r="D1350">
        <f>SUM($C$3:C1350)</f>
        <v>4</v>
      </c>
      <c r="E1350" t="e">
        <f t="shared" si="64"/>
        <v>#N/A</v>
      </c>
      <c r="F1350" s="28" t="str">
        <f t="shared" ca="1" si="65"/>
        <v/>
      </c>
    </row>
    <row r="1351" spans="2:6" x14ac:dyDescent="0.2">
      <c r="B1351" t="str">
        <f>IFERROR(IF('PDCA review'!$D$2=Act!B1352,Act!G1352,""),"")</f>
        <v/>
      </c>
      <c r="C1351">
        <f t="shared" si="63"/>
        <v>0</v>
      </c>
      <c r="D1351">
        <f>SUM($C$3:C1351)</f>
        <v>4</v>
      </c>
      <c r="E1351" t="e">
        <f t="shared" si="64"/>
        <v>#N/A</v>
      </c>
      <c r="F1351" s="28" t="str">
        <f t="shared" ca="1" si="65"/>
        <v/>
      </c>
    </row>
    <row r="1352" spans="2:6" x14ac:dyDescent="0.2">
      <c r="B1352" t="str">
        <f>IFERROR(IF('PDCA review'!$D$2=Act!B1353,Act!G1353,""),"")</f>
        <v/>
      </c>
      <c r="C1352">
        <f t="shared" si="63"/>
        <v>0</v>
      </c>
      <c r="D1352">
        <f>SUM($C$3:C1352)</f>
        <v>4</v>
      </c>
      <c r="E1352" t="e">
        <f t="shared" si="64"/>
        <v>#N/A</v>
      </c>
      <c r="F1352" s="28" t="str">
        <f t="shared" ca="1" si="65"/>
        <v/>
      </c>
    </row>
    <row r="1353" spans="2:6" x14ac:dyDescent="0.2">
      <c r="B1353" t="str">
        <f>IFERROR(IF('PDCA review'!$D$2=Act!B1354,Act!G1354,""),"")</f>
        <v/>
      </c>
      <c r="C1353">
        <f t="shared" si="63"/>
        <v>0</v>
      </c>
      <c r="D1353">
        <f>SUM($C$3:C1353)</f>
        <v>4</v>
      </c>
      <c r="E1353" t="e">
        <f t="shared" si="64"/>
        <v>#N/A</v>
      </c>
      <c r="F1353" s="28" t="str">
        <f t="shared" ca="1" si="65"/>
        <v/>
      </c>
    </row>
    <row r="1354" spans="2:6" x14ac:dyDescent="0.2">
      <c r="B1354" t="str">
        <f>IFERROR(IF('PDCA review'!$D$2=Act!B1355,Act!G1355,""),"")</f>
        <v/>
      </c>
      <c r="C1354">
        <f t="shared" si="63"/>
        <v>0</v>
      </c>
      <c r="D1354">
        <f>SUM($C$3:C1354)</f>
        <v>4</v>
      </c>
      <c r="E1354" t="e">
        <f t="shared" si="64"/>
        <v>#N/A</v>
      </c>
      <c r="F1354" s="28" t="str">
        <f t="shared" ca="1" si="65"/>
        <v/>
      </c>
    </row>
    <row r="1355" spans="2:6" x14ac:dyDescent="0.2">
      <c r="B1355" t="str">
        <f>IFERROR(IF('PDCA review'!$D$2=Act!B1356,Act!G1356,""),"")</f>
        <v/>
      </c>
      <c r="C1355">
        <f t="shared" si="63"/>
        <v>0</v>
      </c>
      <c r="D1355">
        <f>SUM($C$3:C1355)</f>
        <v>4</v>
      </c>
      <c r="E1355" t="e">
        <f t="shared" si="64"/>
        <v>#N/A</v>
      </c>
      <c r="F1355" s="28" t="str">
        <f t="shared" ca="1" si="65"/>
        <v/>
      </c>
    </row>
    <row r="1356" spans="2:6" x14ac:dyDescent="0.2">
      <c r="B1356" t="str">
        <f>IFERROR(IF('PDCA review'!$D$2=Act!B1357,Act!G1357,""),"")</f>
        <v/>
      </c>
      <c r="C1356">
        <f t="shared" si="63"/>
        <v>0</v>
      </c>
      <c r="D1356">
        <f>SUM($C$3:C1356)</f>
        <v>4</v>
      </c>
      <c r="E1356" t="e">
        <f t="shared" si="64"/>
        <v>#N/A</v>
      </c>
      <c r="F1356" s="28" t="str">
        <f t="shared" ca="1" si="65"/>
        <v/>
      </c>
    </row>
    <row r="1357" spans="2:6" x14ac:dyDescent="0.2">
      <c r="B1357" t="str">
        <f>IFERROR(IF('PDCA review'!$D$2=Act!B1358,Act!G1358,""),"")</f>
        <v/>
      </c>
      <c r="C1357">
        <f t="shared" si="63"/>
        <v>0</v>
      </c>
      <c r="D1357">
        <f>SUM($C$3:C1357)</f>
        <v>4</v>
      </c>
      <c r="E1357" t="e">
        <f t="shared" si="64"/>
        <v>#N/A</v>
      </c>
      <c r="F1357" s="28" t="str">
        <f t="shared" ca="1" si="65"/>
        <v/>
      </c>
    </row>
    <row r="1358" spans="2:6" x14ac:dyDescent="0.2">
      <c r="B1358" t="str">
        <f>IFERROR(IF('PDCA review'!$D$2=Act!B1359,Act!G1359,""),"")</f>
        <v/>
      </c>
      <c r="C1358">
        <f t="shared" si="63"/>
        <v>0</v>
      </c>
      <c r="D1358">
        <f>SUM($C$3:C1358)</f>
        <v>4</v>
      </c>
      <c r="E1358" t="e">
        <f t="shared" si="64"/>
        <v>#N/A</v>
      </c>
      <c r="F1358" s="28" t="str">
        <f t="shared" ca="1" si="65"/>
        <v/>
      </c>
    </row>
    <row r="1359" spans="2:6" x14ac:dyDescent="0.2">
      <c r="B1359" t="str">
        <f>IFERROR(IF('PDCA review'!$D$2=Act!B1360,Act!G1360,""),"")</f>
        <v/>
      </c>
      <c r="C1359">
        <f t="shared" si="63"/>
        <v>0</v>
      </c>
      <c r="D1359">
        <f>SUM($C$3:C1359)</f>
        <v>4</v>
      </c>
      <c r="E1359" t="e">
        <f t="shared" si="64"/>
        <v>#N/A</v>
      </c>
      <c r="F1359" s="28" t="str">
        <f t="shared" ca="1" si="65"/>
        <v/>
      </c>
    </row>
    <row r="1360" spans="2:6" x14ac:dyDescent="0.2">
      <c r="B1360" t="str">
        <f>IFERROR(IF('PDCA review'!$D$2=Act!B1361,Act!G1361,""),"")</f>
        <v/>
      </c>
      <c r="C1360">
        <f t="shared" si="63"/>
        <v>0</v>
      </c>
      <c r="D1360">
        <f>SUM($C$3:C1360)</f>
        <v>4</v>
      </c>
      <c r="E1360" t="e">
        <f t="shared" si="64"/>
        <v>#N/A</v>
      </c>
      <c r="F1360" s="28" t="str">
        <f t="shared" ca="1" si="65"/>
        <v/>
      </c>
    </row>
    <row r="1361" spans="2:6" x14ac:dyDescent="0.2">
      <c r="B1361" t="str">
        <f>IFERROR(IF('PDCA review'!$D$2=Act!B1362,Act!G1362,""),"")</f>
        <v/>
      </c>
      <c r="C1361">
        <f t="shared" si="63"/>
        <v>0</v>
      </c>
      <c r="D1361">
        <f>SUM($C$3:C1361)</f>
        <v>4</v>
      </c>
      <c r="E1361" t="e">
        <f t="shared" si="64"/>
        <v>#N/A</v>
      </c>
      <c r="F1361" s="28" t="str">
        <f t="shared" ca="1" si="65"/>
        <v/>
      </c>
    </row>
    <row r="1362" spans="2:6" x14ac:dyDescent="0.2">
      <c r="B1362" t="str">
        <f>IFERROR(IF('PDCA review'!$D$2=Act!B1363,Act!G1363,""),"")</f>
        <v/>
      </c>
      <c r="C1362">
        <f t="shared" si="63"/>
        <v>0</v>
      </c>
      <c r="D1362">
        <f>SUM($C$3:C1362)</f>
        <v>4</v>
      </c>
      <c r="E1362" t="e">
        <f t="shared" si="64"/>
        <v>#N/A</v>
      </c>
      <c r="F1362" s="28" t="str">
        <f t="shared" ca="1" si="65"/>
        <v/>
      </c>
    </row>
    <row r="1363" spans="2:6" x14ac:dyDescent="0.2">
      <c r="B1363" t="str">
        <f>IFERROR(IF('PDCA review'!$D$2=Act!B1364,Act!G1364,""),"")</f>
        <v/>
      </c>
      <c r="C1363">
        <f t="shared" si="63"/>
        <v>0</v>
      </c>
      <c r="D1363">
        <f>SUM($C$3:C1363)</f>
        <v>4</v>
      </c>
      <c r="E1363" t="e">
        <f t="shared" si="64"/>
        <v>#N/A</v>
      </c>
      <c r="F1363" s="28" t="str">
        <f t="shared" ca="1" si="65"/>
        <v/>
      </c>
    </row>
    <row r="1364" spans="2:6" x14ac:dyDescent="0.2">
      <c r="B1364" t="str">
        <f>IFERROR(IF('PDCA review'!$D$2=Act!B1365,Act!G1365,""),"")</f>
        <v/>
      </c>
      <c r="C1364">
        <f t="shared" si="63"/>
        <v>0</v>
      </c>
      <c r="D1364">
        <f>SUM($C$3:C1364)</f>
        <v>4</v>
      </c>
      <c r="E1364" t="e">
        <f t="shared" si="64"/>
        <v>#N/A</v>
      </c>
      <c r="F1364" s="28" t="str">
        <f t="shared" ca="1" si="65"/>
        <v/>
      </c>
    </row>
    <row r="1365" spans="2:6" x14ac:dyDescent="0.2">
      <c r="B1365" t="str">
        <f>IFERROR(IF('PDCA review'!$D$2=Act!B1366,Act!G1366,""),"")</f>
        <v/>
      </c>
      <c r="C1365">
        <f t="shared" si="63"/>
        <v>0</v>
      </c>
      <c r="D1365">
        <f>SUM($C$3:C1365)</f>
        <v>4</v>
      </c>
      <c r="E1365" t="e">
        <f t="shared" si="64"/>
        <v>#N/A</v>
      </c>
      <c r="F1365" s="28" t="str">
        <f t="shared" ca="1" si="65"/>
        <v/>
      </c>
    </row>
    <row r="1366" spans="2:6" x14ac:dyDescent="0.2">
      <c r="B1366" t="str">
        <f>IFERROR(IF('PDCA review'!$D$2=Act!B1367,Act!G1367,""),"")</f>
        <v/>
      </c>
      <c r="C1366">
        <f t="shared" si="63"/>
        <v>0</v>
      </c>
      <c r="D1366">
        <f>SUM($C$3:C1366)</f>
        <v>4</v>
      </c>
      <c r="E1366" t="e">
        <f t="shared" si="64"/>
        <v>#N/A</v>
      </c>
      <c r="F1366" s="28" t="str">
        <f t="shared" ca="1" si="65"/>
        <v/>
      </c>
    </row>
    <row r="1367" spans="2:6" x14ac:dyDescent="0.2">
      <c r="B1367" t="str">
        <f>IFERROR(IF('PDCA review'!$D$2=Act!B1368,Act!G1368,""),"")</f>
        <v/>
      </c>
      <c r="C1367">
        <f t="shared" si="63"/>
        <v>0</v>
      </c>
      <c r="D1367">
        <f>SUM($C$3:C1367)</f>
        <v>4</v>
      </c>
      <c r="E1367" t="e">
        <f t="shared" si="64"/>
        <v>#N/A</v>
      </c>
      <c r="F1367" s="28" t="str">
        <f t="shared" ca="1" si="65"/>
        <v/>
      </c>
    </row>
    <row r="1368" spans="2:6" x14ac:dyDescent="0.2">
      <c r="B1368" t="str">
        <f>IFERROR(IF('PDCA review'!$D$2=Act!B1369,Act!G1369,""),"")</f>
        <v/>
      </c>
      <c r="C1368">
        <f t="shared" si="63"/>
        <v>0</v>
      </c>
      <c r="D1368">
        <f>SUM($C$3:C1368)</f>
        <v>4</v>
      </c>
      <c r="E1368" t="e">
        <f t="shared" si="64"/>
        <v>#N/A</v>
      </c>
      <c r="F1368" s="28" t="str">
        <f t="shared" ca="1" si="65"/>
        <v/>
      </c>
    </row>
    <row r="1369" spans="2:6" x14ac:dyDescent="0.2">
      <c r="B1369" t="str">
        <f>IFERROR(IF('PDCA review'!$D$2=Act!B1370,Act!G1370,""),"")</f>
        <v/>
      </c>
      <c r="C1369">
        <f t="shared" si="63"/>
        <v>0</v>
      </c>
      <c r="D1369">
        <f>SUM($C$3:C1369)</f>
        <v>4</v>
      </c>
      <c r="E1369" t="e">
        <f t="shared" si="64"/>
        <v>#N/A</v>
      </c>
      <c r="F1369" s="28" t="str">
        <f t="shared" ca="1" si="65"/>
        <v/>
      </c>
    </row>
    <row r="1370" spans="2:6" x14ac:dyDescent="0.2">
      <c r="B1370" t="str">
        <f>IFERROR(IF('PDCA review'!$D$2=Act!B1371,Act!G1371,""),"")</f>
        <v/>
      </c>
      <c r="C1370">
        <f t="shared" si="63"/>
        <v>0</v>
      </c>
      <c r="D1370">
        <f>SUM($C$3:C1370)</f>
        <v>4</v>
      </c>
      <c r="E1370" t="e">
        <f t="shared" si="64"/>
        <v>#N/A</v>
      </c>
      <c r="F1370" s="28" t="str">
        <f t="shared" ca="1" si="65"/>
        <v/>
      </c>
    </row>
    <row r="1371" spans="2:6" x14ac:dyDescent="0.2">
      <c r="B1371" t="str">
        <f>IFERROR(IF('PDCA review'!$D$2=Act!B1372,Act!G1372,""),"")</f>
        <v/>
      </c>
      <c r="C1371">
        <f t="shared" si="63"/>
        <v>0</v>
      </c>
      <c r="D1371">
        <f>SUM($C$3:C1371)</f>
        <v>4</v>
      </c>
      <c r="E1371" t="e">
        <f t="shared" si="64"/>
        <v>#N/A</v>
      </c>
      <c r="F1371" s="28" t="str">
        <f t="shared" ca="1" si="65"/>
        <v/>
      </c>
    </row>
    <row r="1372" spans="2:6" x14ac:dyDescent="0.2">
      <c r="B1372" t="str">
        <f>IFERROR(IF('PDCA review'!$D$2=Act!B1373,Act!G1373,""),"")</f>
        <v/>
      </c>
      <c r="C1372">
        <f t="shared" si="63"/>
        <v>0</v>
      </c>
      <c r="D1372">
        <f>SUM($C$3:C1372)</f>
        <v>4</v>
      </c>
      <c r="E1372" t="e">
        <f t="shared" si="64"/>
        <v>#N/A</v>
      </c>
      <c r="F1372" s="28" t="str">
        <f t="shared" ca="1" si="65"/>
        <v/>
      </c>
    </row>
    <row r="1373" spans="2:6" x14ac:dyDescent="0.2">
      <c r="B1373" t="str">
        <f>IFERROR(IF('PDCA review'!$D$2=Act!B1374,Act!G1374,""),"")</f>
        <v/>
      </c>
      <c r="C1373">
        <f t="shared" si="63"/>
        <v>0</v>
      </c>
      <c r="D1373">
        <f>SUM($C$3:C1373)</f>
        <v>4</v>
      </c>
      <c r="E1373" t="e">
        <f t="shared" si="64"/>
        <v>#N/A</v>
      </c>
      <c r="F1373" s="28" t="str">
        <f t="shared" ca="1" si="65"/>
        <v/>
      </c>
    </row>
    <row r="1374" spans="2:6" x14ac:dyDescent="0.2">
      <c r="B1374" t="str">
        <f>IFERROR(IF('PDCA review'!$D$2=Act!B1375,Act!G1375,""),"")</f>
        <v/>
      </c>
      <c r="C1374">
        <f t="shared" si="63"/>
        <v>0</v>
      </c>
      <c r="D1374">
        <f>SUM($C$3:C1374)</f>
        <v>4</v>
      </c>
      <c r="E1374" t="e">
        <f t="shared" si="64"/>
        <v>#N/A</v>
      </c>
      <c r="F1374" s="28" t="str">
        <f t="shared" ca="1" si="65"/>
        <v/>
      </c>
    </row>
    <row r="1375" spans="2:6" x14ac:dyDescent="0.2">
      <c r="B1375" t="str">
        <f>IFERROR(IF('PDCA review'!$D$2=Act!B1376,Act!G1376,""),"")</f>
        <v/>
      </c>
      <c r="C1375">
        <f t="shared" si="63"/>
        <v>0</v>
      </c>
      <c r="D1375">
        <f>SUM($C$3:C1375)</f>
        <v>4</v>
      </c>
      <c r="E1375" t="e">
        <f t="shared" si="64"/>
        <v>#N/A</v>
      </c>
      <c r="F1375" s="28" t="str">
        <f t="shared" ca="1" si="65"/>
        <v/>
      </c>
    </row>
    <row r="1376" spans="2:6" x14ac:dyDescent="0.2">
      <c r="B1376" t="str">
        <f>IFERROR(IF('PDCA review'!$D$2=Act!B1377,Act!G1377,""),"")</f>
        <v/>
      </c>
      <c r="C1376">
        <f t="shared" si="63"/>
        <v>0</v>
      </c>
      <c r="D1376">
        <f>SUM($C$3:C1376)</f>
        <v>4</v>
      </c>
      <c r="E1376" t="e">
        <f t="shared" si="64"/>
        <v>#N/A</v>
      </c>
      <c r="F1376" s="28" t="str">
        <f t="shared" ca="1" si="65"/>
        <v/>
      </c>
    </row>
    <row r="1377" spans="2:6" x14ac:dyDescent="0.2">
      <c r="B1377" t="str">
        <f>IFERROR(IF('PDCA review'!$D$2=Act!B1378,Act!G1378,""),"")</f>
        <v/>
      </c>
      <c r="C1377">
        <f t="shared" si="63"/>
        <v>0</v>
      </c>
      <c r="D1377">
        <f>SUM($C$3:C1377)</f>
        <v>4</v>
      </c>
      <c r="E1377" t="e">
        <f t="shared" si="64"/>
        <v>#N/A</v>
      </c>
      <c r="F1377" s="28" t="str">
        <f t="shared" ca="1" si="65"/>
        <v/>
      </c>
    </row>
    <row r="1378" spans="2:6" x14ac:dyDescent="0.2">
      <c r="B1378" t="str">
        <f>IFERROR(IF('PDCA review'!$D$2=Act!B1379,Act!G1379,""),"")</f>
        <v/>
      </c>
      <c r="C1378">
        <f t="shared" si="63"/>
        <v>0</v>
      </c>
      <c r="D1378">
        <f>SUM($C$3:C1378)</f>
        <v>4</v>
      </c>
      <c r="E1378" t="e">
        <f t="shared" si="64"/>
        <v>#N/A</v>
      </c>
      <c r="F1378" s="28" t="str">
        <f t="shared" ca="1" si="65"/>
        <v/>
      </c>
    </row>
    <row r="1379" spans="2:6" x14ac:dyDescent="0.2">
      <c r="B1379" t="str">
        <f>IFERROR(IF('PDCA review'!$D$2=Act!B1380,Act!G1380,""),"")</f>
        <v/>
      </c>
      <c r="C1379">
        <f t="shared" si="63"/>
        <v>0</v>
      </c>
      <c r="D1379">
        <f>SUM($C$3:C1379)</f>
        <v>4</v>
      </c>
      <c r="E1379" t="e">
        <f t="shared" si="64"/>
        <v>#N/A</v>
      </c>
      <c r="F1379" s="28" t="str">
        <f t="shared" ca="1" si="65"/>
        <v/>
      </c>
    </row>
    <row r="1380" spans="2:6" x14ac:dyDescent="0.2">
      <c r="B1380" t="str">
        <f>IFERROR(IF('PDCA review'!$D$2=Act!B1381,Act!G1381,""),"")</f>
        <v/>
      </c>
      <c r="C1380">
        <f t="shared" si="63"/>
        <v>0</v>
      </c>
      <c r="D1380">
        <f>SUM($C$3:C1380)</f>
        <v>4</v>
      </c>
      <c r="E1380" t="e">
        <f t="shared" si="64"/>
        <v>#N/A</v>
      </c>
      <c r="F1380" s="28" t="str">
        <f t="shared" ca="1" si="65"/>
        <v/>
      </c>
    </row>
    <row r="1381" spans="2:6" x14ac:dyDescent="0.2">
      <c r="B1381" t="str">
        <f>IFERROR(IF('PDCA review'!$D$2=Act!B1382,Act!G1382,""),"")</f>
        <v/>
      </c>
      <c r="C1381">
        <f t="shared" si="63"/>
        <v>0</v>
      </c>
      <c r="D1381">
        <f>SUM($C$3:C1381)</f>
        <v>4</v>
      </c>
      <c r="E1381" t="e">
        <f t="shared" si="64"/>
        <v>#N/A</v>
      </c>
      <c r="F1381" s="28" t="str">
        <f t="shared" ca="1" si="65"/>
        <v/>
      </c>
    </row>
    <row r="1382" spans="2:6" x14ac:dyDescent="0.2">
      <c r="B1382" t="str">
        <f>IFERROR(IF('PDCA review'!$D$2=Act!B1383,Act!G1383,""),"")</f>
        <v/>
      </c>
      <c r="C1382">
        <f t="shared" si="63"/>
        <v>0</v>
      </c>
      <c r="D1382">
        <f>SUM($C$3:C1382)</f>
        <v>4</v>
      </c>
      <c r="E1382" t="e">
        <f t="shared" si="64"/>
        <v>#N/A</v>
      </c>
      <c r="F1382" s="28" t="str">
        <f t="shared" ca="1" si="65"/>
        <v/>
      </c>
    </row>
    <row r="1383" spans="2:6" x14ac:dyDescent="0.2">
      <c r="B1383" t="str">
        <f>IFERROR(IF('PDCA review'!$D$2=Act!B1384,Act!G1384,""),"")</f>
        <v/>
      </c>
      <c r="C1383">
        <f t="shared" si="63"/>
        <v>0</v>
      </c>
      <c r="D1383">
        <f>SUM($C$3:C1383)</f>
        <v>4</v>
      </c>
      <c r="E1383" t="e">
        <f t="shared" si="64"/>
        <v>#N/A</v>
      </c>
      <c r="F1383" s="28" t="str">
        <f t="shared" ca="1" si="65"/>
        <v/>
      </c>
    </row>
    <row r="1384" spans="2:6" x14ac:dyDescent="0.2">
      <c r="B1384" t="str">
        <f>IFERROR(IF('PDCA review'!$D$2=Act!B1385,Act!G1385,""),"")</f>
        <v/>
      </c>
      <c r="C1384">
        <f t="shared" si="63"/>
        <v>0</v>
      </c>
      <c r="D1384">
        <f>SUM($C$3:C1384)</f>
        <v>4</v>
      </c>
      <c r="E1384" t="e">
        <f t="shared" si="64"/>
        <v>#N/A</v>
      </c>
      <c r="F1384" s="28" t="str">
        <f t="shared" ca="1" si="65"/>
        <v/>
      </c>
    </row>
    <row r="1385" spans="2:6" x14ac:dyDescent="0.2">
      <c r="B1385" t="str">
        <f>IFERROR(IF('PDCA review'!$D$2=Act!B1386,Act!G1386,""),"")</f>
        <v/>
      </c>
      <c r="C1385">
        <f t="shared" si="63"/>
        <v>0</v>
      </c>
      <c r="D1385">
        <f>SUM($C$3:C1385)</f>
        <v>4</v>
      </c>
      <c r="E1385" t="e">
        <f t="shared" si="64"/>
        <v>#N/A</v>
      </c>
      <c r="F1385" s="28" t="str">
        <f t="shared" ca="1" si="65"/>
        <v/>
      </c>
    </row>
    <row r="1386" spans="2:6" x14ac:dyDescent="0.2">
      <c r="B1386" t="str">
        <f>IFERROR(IF('PDCA review'!$D$2=Act!B1387,Act!G1387,""),"")</f>
        <v/>
      </c>
      <c r="C1386">
        <f t="shared" si="63"/>
        <v>0</v>
      </c>
      <c r="D1386">
        <f>SUM($C$3:C1386)</f>
        <v>4</v>
      </c>
      <c r="E1386" t="e">
        <f t="shared" si="64"/>
        <v>#N/A</v>
      </c>
      <c r="F1386" s="28" t="str">
        <f t="shared" ca="1" si="65"/>
        <v/>
      </c>
    </row>
    <row r="1387" spans="2:6" x14ac:dyDescent="0.2">
      <c r="B1387" t="str">
        <f>IFERROR(IF('PDCA review'!$D$2=Act!B1388,Act!G1388,""),"")</f>
        <v/>
      </c>
      <c r="C1387">
        <f t="shared" si="63"/>
        <v>0</v>
      </c>
      <c r="D1387">
        <f>SUM($C$3:C1387)</f>
        <v>4</v>
      </c>
      <c r="E1387" t="e">
        <f t="shared" si="64"/>
        <v>#N/A</v>
      </c>
      <c r="F1387" s="28" t="str">
        <f t="shared" ca="1" si="65"/>
        <v/>
      </c>
    </row>
    <row r="1388" spans="2:6" x14ac:dyDescent="0.2">
      <c r="B1388" t="str">
        <f>IFERROR(IF('PDCA review'!$D$2=Act!B1389,Act!G1389,""),"")</f>
        <v/>
      </c>
      <c r="C1388">
        <f t="shared" si="63"/>
        <v>0</v>
      </c>
      <c r="D1388">
        <f>SUM($C$3:C1388)</f>
        <v>4</v>
      </c>
      <c r="E1388" t="e">
        <f t="shared" si="64"/>
        <v>#N/A</v>
      </c>
      <c r="F1388" s="28" t="str">
        <f t="shared" ca="1" si="65"/>
        <v/>
      </c>
    </row>
    <row r="1389" spans="2:6" x14ac:dyDescent="0.2">
      <c r="B1389" t="str">
        <f>IFERROR(IF('PDCA review'!$D$2=Act!B1390,Act!G1390,""),"")</f>
        <v/>
      </c>
      <c r="C1389">
        <f t="shared" si="63"/>
        <v>0</v>
      </c>
      <c r="D1389">
        <f>SUM($C$3:C1389)</f>
        <v>4</v>
      </c>
      <c r="E1389" t="e">
        <f t="shared" si="64"/>
        <v>#N/A</v>
      </c>
      <c r="F1389" s="28" t="str">
        <f t="shared" ca="1" si="65"/>
        <v/>
      </c>
    </row>
    <row r="1390" spans="2:6" x14ac:dyDescent="0.2">
      <c r="B1390" t="str">
        <f>IFERROR(IF('PDCA review'!$D$2=Act!B1391,Act!G1391,""),"")</f>
        <v/>
      </c>
      <c r="C1390">
        <f t="shared" si="63"/>
        <v>0</v>
      </c>
      <c r="D1390">
        <f>SUM($C$3:C1390)</f>
        <v>4</v>
      </c>
      <c r="E1390" t="e">
        <f t="shared" si="64"/>
        <v>#N/A</v>
      </c>
      <c r="F1390" s="28" t="str">
        <f t="shared" ca="1" si="65"/>
        <v/>
      </c>
    </row>
    <row r="1391" spans="2:6" x14ac:dyDescent="0.2">
      <c r="B1391" t="str">
        <f>IFERROR(IF('PDCA review'!$D$2=Act!B1392,Act!G1392,""),"")</f>
        <v/>
      </c>
      <c r="C1391">
        <f t="shared" si="63"/>
        <v>0</v>
      </c>
      <c r="D1391">
        <f>SUM($C$3:C1391)</f>
        <v>4</v>
      </c>
      <c r="E1391" t="e">
        <f t="shared" si="64"/>
        <v>#N/A</v>
      </c>
      <c r="F1391" s="28" t="str">
        <f t="shared" ca="1" si="65"/>
        <v/>
      </c>
    </row>
    <row r="1392" spans="2:6" x14ac:dyDescent="0.2">
      <c r="B1392" t="str">
        <f>IFERROR(IF('PDCA review'!$D$2=Act!B1393,Act!G1393,""),"")</f>
        <v/>
      </c>
      <c r="C1392">
        <f t="shared" si="63"/>
        <v>0</v>
      </c>
      <c r="D1392">
        <f>SUM($C$3:C1392)</f>
        <v>4</v>
      </c>
      <c r="E1392" t="e">
        <f t="shared" si="64"/>
        <v>#N/A</v>
      </c>
      <c r="F1392" s="28" t="str">
        <f t="shared" ca="1" si="65"/>
        <v/>
      </c>
    </row>
    <row r="1393" spans="2:6" x14ac:dyDescent="0.2">
      <c r="B1393" t="str">
        <f>IFERROR(IF('PDCA review'!$D$2=Act!B1394,Act!G1394,""),"")</f>
        <v/>
      </c>
      <c r="C1393">
        <f t="shared" si="63"/>
        <v>0</v>
      </c>
      <c r="D1393">
        <f>SUM($C$3:C1393)</f>
        <v>4</v>
      </c>
      <c r="E1393" t="e">
        <f t="shared" si="64"/>
        <v>#N/A</v>
      </c>
      <c r="F1393" s="28" t="str">
        <f t="shared" ca="1" si="65"/>
        <v/>
      </c>
    </row>
    <row r="1394" spans="2:6" x14ac:dyDescent="0.2">
      <c r="B1394" t="str">
        <f>IFERROR(IF('PDCA review'!$D$2=Act!B1395,Act!G1395,""),"")</f>
        <v/>
      </c>
      <c r="C1394">
        <f t="shared" si="63"/>
        <v>0</v>
      </c>
      <c r="D1394">
        <f>SUM($C$3:C1394)</f>
        <v>4</v>
      </c>
      <c r="E1394" t="e">
        <f t="shared" si="64"/>
        <v>#N/A</v>
      </c>
      <c r="F1394" s="28" t="str">
        <f t="shared" ca="1" si="65"/>
        <v/>
      </c>
    </row>
    <row r="1395" spans="2:6" x14ac:dyDescent="0.2">
      <c r="B1395" t="str">
        <f>IFERROR(IF('PDCA review'!$D$2=Act!B1396,Act!G1396,""),"")</f>
        <v/>
      </c>
      <c r="C1395">
        <f t="shared" si="63"/>
        <v>0</v>
      </c>
      <c r="D1395">
        <f>SUM($C$3:C1395)</f>
        <v>4</v>
      </c>
      <c r="E1395" t="e">
        <f t="shared" si="64"/>
        <v>#N/A</v>
      </c>
      <c r="F1395" s="28" t="str">
        <f t="shared" ca="1" si="65"/>
        <v/>
      </c>
    </row>
    <row r="1396" spans="2:6" x14ac:dyDescent="0.2">
      <c r="B1396" t="str">
        <f>IFERROR(IF('PDCA review'!$D$2=Act!B1397,Act!G1397,""),"")</f>
        <v/>
      </c>
      <c r="C1396">
        <f t="shared" si="63"/>
        <v>0</v>
      </c>
      <c r="D1396">
        <f>SUM($C$3:C1396)</f>
        <v>4</v>
      </c>
      <c r="E1396" t="e">
        <f t="shared" si="64"/>
        <v>#N/A</v>
      </c>
      <c r="F1396" s="28" t="str">
        <f t="shared" ca="1" si="65"/>
        <v/>
      </c>
    </row>
    <row r="1397" spans="2:6" x14ac:dyDescent="0.2">
      <c r="B1397" t="str">
        <f>IFERROR(IF('PDCA review'!$D$2=Act!B1398,Act!G1398,""),"")</f>
        <v/>
      </c>
      <c r="C1397">
        <f t="shared" si="63"/>
        <v>0</v>
      </c>
      <c r="D1397">
        <f>SUM($C$3:C1397)</f>
        <v>4</v>
      </c>
      <c r="E1397" t="e">
        <f t="shared" si="64"/>
        <v>#N/A</v>
      </c>
      <c r="F1397" s="28" t="str">
        <f t="shared" ca="1" si="65"/>
        <v/>
      </c>
    </row>
    <row r="1398" spans="2:6" x14ac:dyDescent="0.2">
      <c r="B1398" t="str">
        <f>IFERROR(IF('PDCA review'!$D$2=Act!B1399,Act!G1399,""),"")</f>
        <v/>
      </c>
      <c r="C1398">
        <f t="shared" si="63"/>
        <v>0</v>
      </c>
      <c r="D1398">
        <f>SUM($C$3:C1398)</f>
        <v>4</v>
      </c>
      <c r="E1398" t="e">
        <f t="shared" si="64"/>
        <v>#N/A</v>
      </c>
      <c r="F1398" s="28" t="str">
        <f t="shared" ca="1" si="65"/>
        <v/>
      </c>
    </row>
    <row r="1399" spans="2:6" x14ac:dyDescent="0.2">
      <c r="B1399" t="str">
        <f>IFERROR(IF('PDCA review'!$D$2=Act!B1400,Act!G1400,""),"")</f>
        <v/>
      </c>
      <c r="C1399">
        <f t="shared" si="63"/>
        <v>0</v>
      </c>
      <c r="D1399">
        <f>SUM($C$3:C1399)</f>
        <v>4</v>
      </c>
      <c r="E1399" t="e">
        <f t="shared" si="64"/>
        <v>#N/A</v>
      </c>
      <c r="F1399" s="28" t="str">
        <f t="shared" ca="1" si="65"/>
        <v/>
      </c>
    </row>
    <row r="1400" spans="2:6" x14ac:dyDescent="0.2">
      <c r="B1400" t="str">
        <f>IFERROR(IF('PDCA review'!$D$2=Act!B1401,Act!G1401,""),"")</f>
        <v/>
      </c>
      <c r="C1400">
        <f t="shared" si="63"/>
        <v>0</v>
      </c>
      <c r="D1400">
        <f>SUM($C$3:C1400)</f>
        <v>4</v>
      </c>
      <c r="E1400" t="e">
        <f t="shared" si="64"/>
        <v>#N/A</v>
      </c>
      <c r="F1400" s="28" t="str">
        <f t="shared" ca="1" si="65"/>
        <v/>
      </c>
    </row>
    <row r="1401" spans="2:6" x14ac:dyDescent="0.2">
      <c r="B1401" t="str">
        <f>IFERROR(IF('PDCA review'!$D$2=Act!B1402,Act!G1402,""),"")</f>
        <v/>
      </c>
      <c r="C1401">
        <f t="shared" si="63"/>
        <v>0</v>
      </c>
      <c r="D1401">
        <f>SUM($C$3:C1401)</f>
        <v>4</v>
      </c>
      <c r="E1401" t="e">
        <f t="shared" si="64"/>
        <v>#N/A</v>
      </c>
      <c r="F1401" s="28" t="str">
        <f t="shared" ca="1" si="65"/>
        <v/>
      </c>
    </row>
    <row r="1402" spans="2:6" x14ac:dyDescent="0.2">
      <c r="B1402" t="str">
        <f>IFERROR(IF('PDCA review'!$D$2=Act!B1403,Act!G1403,""),"")</f>
        <v/>
      </c>
      <c r="C1402">
        <f t="shared" si="63"/>
        <v>0</v>
      </c>
      <c r="D1402">
        <f>SUM($C$3:C1402)</f>
        <v>4</v>
      </c>
      <c r="E1402" t="e">
        <f t="shared" si="64"/>
        <v>#N/A</v>
      </c>
      <c r="F1402" s="28" t="str">
        <f t="shared" ca="1" si="65"/>
        <v/>
      </c>
    </row>
    <row r="1403" spans="2:6" x14ac:dyDescent="0.2">
      <c r="B1403" t="str">
        <f>IFERROR(IF('PDCA review'!$D$2=Act!B1404,Act!G1404,""),"")</f>
        <v/>
      </c>
      <c r="C1403">
        <f t="shared" si="63"/>
        <v>0</v>
      </c>
      <c r="D1403">
        <f>SUM($C$3:C1403)</f>
        <v>4</v>
      </c>
      <c r="E1403" t="e">
        <f t="shared" si="64"/>
        <v>#N/A</v>
      </c>
      <c r="F1403" s="28" t="str">
        <f t="shared" ca="1" si="65"/>
        <v/>
      </c>
    </row>
    <row r="1404" spans="2:6" x14ac:dyDescent="0.2">
      <c r="B1404" t="str">
        <f>IFERROR(IF('PDCA review'!$D$2=Act!B1405,Act!G1405,""),"")</f>
        <v/>
      </c>
      <c r="C1404">
        <f t="shared" si="63"/>
        <v>0</v>
      </c>
      <c r="D1404">
        <f>SUM($C$3:C1404)</f>
        <v>4</v>
      </c>
      <c r="E1404" t="e">
        <f t="shared" si="64"/>
        <v>#N/A</v>
      </c>
      <c r="F1404" s="28" t="str">
        <f t="shared" ca="1" si="65"/>
        <v/>
      </c>
    </row>
    <row r="1405" spans="2:6" x14ac:dyDescent="0.2">
      <c r="B1405" t="str">
        <f>IFERROR(IF('PDCA review'!$D$2=Act!B1406,Act!G1406,""),"")</f>
        <v/>
      </c>
      <c r="C1405">
        <f t="shared" si="63"/>
        <v>0</v>
      </c>
      <c r="D1405">
        <f>SUM($C$3:C1405)</f>
        <v>4</v>
      </c>
      <c r="E1405" t="e">
        <f t="shared" si="64"/>
        <v>#N/A</v>
      </c>
      <c r="F1405" s="28" t="str">
        <f t="shared" ca="1" si="65"/>
        <v/>
      </c>
    </row>
    <row r="1406" spans="2:6" x14ac:dyDescent="0.2">
      <c r="B1406" t="str">
        <f>IFERROR(IF('PDCA review'!$D$2=Act!B1407,Act!G1407,""),"")</f>
        <v/>
      </c>
      <c r="C1406">
        <f t="shared" si="63"/>
        <v>0</v>
      </c>
      <c r="D1406">
        <f>SUM($C$3:C1406)</f>
        <v>4</v>
      </c>
      <c r="E1406" t="e">
        <f t="shared" si="64"/>
        <v>#N/A</v>
      </c>
      <c r="F1406" s="28" t="str">
        <f t="shared" ca="1" si="65"/>
        <v/>
      </c>
    </row>
    <row r="1407" spans="2:6" x14ac:dyDescent="0.2">
      <c r="B1407" t="str">
        <f>IFERROR(IF('PDCA review'!$D$2=Act!B1408,Act!G1408,""),"")</f>
        <v/>
      </c>
      <c r="C1407">
        <f t="shared" si="63"/>
        <v>0</v>
      </c>
      <c r="D1407">
        <f>SUM($C$3:C1407)</f>
        <v>4</v>
      </c>
      <c r="E1407" t="e">
        <f t="shared" si="64"/>
        <v>#N/A</v>
      </c>
      <c r="F1407" s="28" t="str">
        <f t="shared" ca="1" si="65"/>
        <v/>
      </c>
    </row>
    <row r="1408" spans="2:6" x14ac:dyDescent="0.2">
      <c r="B1408" t="str">
        <f>IFERROR(IF('PDCA review'!$D$2=Act!B1409,Act!G1409,""),"")</f>
        <v/>
      </c>
      <c r="C1408">
        <f t="shared" si="63"/>
        <v>0</v>
      </c>
      <c r="D1408">
        <f>SUM($C$3:C1408)</f>
        <v>4</v>
      </c>
      <c r="E1408" t="e">
        <f t="shared" si="64"/>
        <v>#N/A</v>
      </c>
      <c r="F1408" s="28" t="str">
        <f t="shared" ca="1" si="65"/>
        <v/>
      </c>
    </row>
    <row r="1409" spans="2:6" x14ac:dyDescent="0.2">
      <c r="B1409" t="str">
        <f>IFERROR(IF('PDCA review'!$D$2=Act!B1410,Act!G1410,""),"")</f>
        <v/>
      </c>
      <c r="C1409">
        <f t="shared" si="63"/>
        <v>0</v>
      </c>
      <c r="D1409">
        <f>SUM($C$3:C1409)</f>
        <v>4</v>
      </c>
      <c r="E1409" t="e">
        <f t="shared" si="64"/>
        <v>#N/A</v>
      </c>
      <c r="F1409" s="28" t="str">
        <f t="shared" ca="1" si="65"/>
        <v/>
      </c>
    </row>
    <row r="1410" spans="2:6" x14ac:dyDescent="0.2">
      <c r="B1410" t="str">
        <f>IFERROR(IF('PDCA review'!$D$2=Act!B1411,Act!G1411,""),"")</f>
        <v/>
      </c>
      <c r="C1410">
        <f t="shared" si="63"/>
        <v>0</v>
      </c>
      <c r="D1410">
        <f>SUM($C$3:C1410)</f>
        <v>4</v>
      </c>
      <c r="E1410" t="e">
        <f t="shared" si="64"/>
        <v>#N/A</v>
      </c>
      <c r="F1410" s="28" t="str">
        <f t="shared" ca="1" si="65"/>
        <v/>
      </c>
    </row>
    <row r="1411" spans="2:6" x14ac:dyDescent="0.2">
      <c r="B1411" t="str">
        <f>IFERROR(IF('PDCA review'!$D$2=Act!B1412,Act!G1412,""),"")</f>
        <v/>
      </c>
      <c r="C1411">
        <f t="shared" si="63"/>
        <v>0</v>
      </c>
      <c r="D1411">
        <f>SUM($C$3:C1411)</f>
        <v>4</v>
      </c>
      <c r="E1411" t="e">
        <f t="shared" si="64"/>
        <v>#N/A</v>
      </c>
      <c r="F1411" s="28" t="str">
        <f t="shared" ca="1" si="65"/>
        <v/>
      </c>
    </row>
    <row r="1412" spans="2:6" x14ac:dyDescent="0.2">
      <c r="B1412" t="str">
        <f>IFERROR(IF('PDCA review'!$D$2=Act!B1413,Act!G1413,""),"")</f>
        <v/>
      </c>
      <c r="C1412">
        <f t="shared" ref="C1412:C1475" si="66">IF(B1412&lt;&gt;"",1,0)</f>
        <v>0</v>
      </c>
      <c r="D1412">
        <f>SUM($C$3:C1412)</f>
        <v>4</v>
      </c>
      <c r="E1412" t="e">
        <f t="shared" ref="E1412:E1475" si="67">MATCH(ROW()-$D$2,$D$3:$D$2000,0)+$D$2</f>
        <v>#N/A</v>
      </c>
      <c r="F1412" s="28" t="str">
        <f t="shared" ref="F1412:F1475" ca="1" si="68">IFERROR(INDIRECT("B"&amp;E1412),"")</f>
        <v/>
      </c>
    </row>
    <row r="1413" spans="2:6" x14ac:dyDescent="0.2">
      <c r="B1413" t="str">
        <f>IFERROR(IF('PDCA review'!$D$2=Act!B1414,Act!G1414,""),"")</f>
        <v/>
      </c>
      <c r="C1413">
        <f t="shared" si="66"/>
        <v>0</v>
      </c>
      <c r="D1413">
        <f>SUM($C$3:C1413)</f>
        <v>4</v>
      </c>
      <c r="E1413" t="e">
        <f t="shared" si="67"/>
        <v>#N/A</v>
      </c>
      <c r="F1413" s="28" t="str">
        <f t="shared" ca="1" si="68"/>
        <v/>
      </c>
    </row>
    <row r="1414" spans="2:6" x14ac:dyDescent="0.2">
      <c r="B1414" t="str">
        <f>IFERROR(IF('PDCA review'!$D$2=Act!B1415,Act!G1415,""),"")</f>
        <v/>
      </c>
      <c r="C1414">
        <f t="shared" si="66"/>
        <v>0</v>
      </c>
      <c r="D1414">
        <f>SUM($C$3:C1414)</f>
        <v>4</v>
      </c>
      <c r="E1414" t="e">
        <f t="shared" si="67"/>
        <v>#N/A</v>
      </c>
      <c r="F1414" s="28" t="str">
        <f t="shared" ca="1" si="68"/>
        <v/>
      </c>
    </row>
    <row r="1415" spans="2:6" x14ac:dyDescent="0.2">
      <c r="B1415" t="str">
        <f>IFERROR(IF('PDCA review'!$D$2=Act!B1416,Act!G1416,""),"")</f>
        <v/>
      </c>
      <c r="C1415">
        <f t="shared" si="66"/>
        <v>0</v>
      </c>
      <c r="D1415">
        <f>SUM($C$3:C1415)</f>
        <v>4</v>
      </c>
      <c r="E1415" t="e">
        <f t="shared" si="67"/>
        <v>#N/A</v>
      </c>
      <c r="F1415" s="28" t="str">
        <f t="shared" ca="1" si="68"/>
        <v/>
      </c>
    </row>
    <row r="1416" spans="2:6" x14ac:dyDescent="0.2">
      <c r="B1416" t="str">
        <f>IFERROR(IF('PDCA review'!$D$2=Act!B1417,Act!G1417,""),"")</f>
        <v/>
      </c>
      <c r="C1416">
        <f t="shared" si="66"/>
        <v>0</v>
      </c>
      <c r="D1416">
        <f>SUM($C$3:C1416)</f>
        <v>4</v>
      </c>
      <c r="E1416" t="e">
        <f t="shared" si="67"/>
        <v>#N/A</v>
      </c>
      <c r="F1416" s="28" t="str">
        <f t="shared" ca="1" si="68"/>
        <v/>
      </c>
    </row>
    <row r="1417" spans="2:6" x14ac:dyDescent="0.2">
      <c r="B1417" t="str">
        <f>IFERROR(IF('PDCA review'!$D$2=Act!B1418,Act!G1418,""),"")</f>
        <v/>
      </c>
      <c r="C1417">
        <f t="shared" si="66"/>
        <v>0</v>
      </c>
      <c r="D1417">
        <f>SUM($C$3:C1417)</f>
        <v>4</v>
      </c>
      <c r="E1417" t="e">
        <f t="shared" si="67"/>
        <v>#N/A</v>
      </c>
      <c r="F1417" s="28" t="str">
        <f t="shared" ca="1" si="68"/>
        <v/>
      </c>
    </row>
    <row r="1418" spans="2:6" x14ac:dyDescent="0.2">
      <c r="B1418" t="str">
        <f>IFERROR(IF('PDCA review'!$D$2=Act!B1419,Act!G1419,""),"")</f>
        <v/>
      </c>
      <c r="C1418">
        <f t="shared" si="66"/>
        <v>0</v>
      </c>
      <c r="D1418">
        <f>SUM($C$3:C1418)</f>
        <v>4</v>
      </c>
      <c r="E1418" t="e">
        <f t="shared" si="67"/>
        <v>#N/A</v>
      </c>
      <c r="F1418" s="28" t="str">
        <f t="shared" ca="1" si="68"/>
        <v/>
      </c>
    </row>
    <row r="1419" spans="2:6" x14ac:dyDescent="0.2">
      <c r="B1419" t="str">
        <f>IFERROR(IF('PDCA review'!$D$2=Act!B1420,Act!G1420,""),"")</f>
        <v/>
      </c>
      <c r="C1419">
        <f t="shared" si="66"/>
        <v>0</v>
      </c>
      <c r="D1419">
        <f>SUM($C$3:C1419)</f>
        <v>4</v>
      </c>
      <c r="E1419" t="e">
        <f t="shared" si="67"/>
        <v>#N/A</v>
      </c>
      <c r="F1419" s="28" t="str">
        <f t="shared" ca="1" si="68"/>
        <v/>
      </c>
    </row>
    <row r="1420" spans="2:6" x14ac:dyDescent="0.2">
      <c r="B1420" t="str">
        <f>IFERROR(IF('PDCA review'!$D$2=Act!B1421,Act!G1421,""),"")</f>
        <v/>
      </c>
      <c r="C1420">
        <f t="shared" si="66"/>
        <v>0</v>
      </c>
      <c r="D1420">
        <f>SUM($C$3:C1420)</f>
        <v>4</v>
      </c>
      <c r="E1420" t="e">
        <f t="shared" si="67"/>
        <v>#N/A</v>
      </c>
      <c r="F1420" s="28" t="str">
        <f t="shared" ca="1" si="68"/>
        <v/>
      </c>
    </row>
    <row r="1421" spans="2:6" x14ac:dyDescent="0.2">
      <c r="B1421" t="str">
        <f>IFERROR(IF('PDCA review'!$D$2=Act!B1422,Act!G1422,""),"")</f>
        <v/>
      </c>
      <c r="C1421">
        <f t="shared" si="66"/>
        <v>0</v>
      </c>
      <c r="D1421">
        <f>SUM($C$3:C1421)</f>
        <v>4</v>
      </c>
      <c r="E1421" t="e">
        <f t="shared" si="67"/>
        <v>#N/A</v>
      </c>
      <c r="F1421" s="28" t="str">
        <f t="shared" ca="1" si="68"/>
        <v/>
      </c>
    </row>
    <row r="1422" spans="2:6" x14ac:dyDescent="0.2">
      <c r="B1422" t="str">
        <f>IFERROR(IF('PDCA review'!$D$2=Act!B1423,Act!G1423,""),"")</f>
        <v/>
      </c>
      <c r="C1422">
        <f t="shared" si="66"/>
        <v>0</v>
      </c>
      <c r="D1422">
        <f>SUM($C$3:C1422)</f>
        <v>4</v>
      </c>
      <c r="E1422" t="e">
        <f t="shared" si="67"/>
        <v>#N/A</v>
      </c>
      <c r="F1422" s="28" t="str">
        <f t="shared" ca="1" si="68"/>
        <v/>
      </c>
    </row>
    <row r="1423" spans="2:6" x14ac:dyDescent="0.2">
      <c r="B1423" t="str">
        <f>IFERROR(IF('PDCA review'!$D$2=Act!B1424,Act!G1424,""),"")</f>
        <v/>
      </c>
      <c r="C1423">
        <f t="shared" si="66"/>
        <v>0</v>
      </c>
      <c r="D1423">
        <f>SUM($C$3:C1423)</f>
        <v>4</v>
      </c>
      <c r="E1423" t="e">
        <f t="shared" si="67"/>
        <v>#N/A</v>
      </c>
      <c r="F1423" s="28" t="str">
        <f t="shared" ca="1" si="68"/>
        <v/>
      </c>
    </row>
    <row r="1424" spans="2:6" x14ac:dyDescent="0.2">
      <c r="B1424" t="str">
        <f>IFERROR(IF('PDCA review'!$D$2=Act!B1425,Act!G1425,""),"")</f>
        <v/>
      </c>
      <c r="C1424">
        <f t="shared" si="66"/>
        <v>0</v>
      </c>
      <c r="D1424">
        <f>SUM($C$3:C1424)</f>
        <v>4</v>
      </c>
      <c r="E1424" t="e">
        <f t="shared" si="67"/>
        <v>#N/A</v>
      </c>
      <c r="F1424" s="28" t="str">
        <f t="shared" ca="1" si="68"/>
        <v/>
      </c>
    </row>
    <row r="1425" spans="2:6" x14ac:dyDescent="0.2">
      <c r="B1425" t="str">
        <f>IFERROR(IF('PDCA review'!$D$2=Act!B1426,Act!G1426,""),"")</f>
        <v/>
      </c>
      <c r="C1425">
        <f t="shared" si="66"/>
        <v>0</v>
      </c>
      <c r="D1425">
        <f>SUM($C$3:C1425)</f>
        <v>4</v>
      </c>
      <c r="E1425" t="e">
        <f t="shared" si="67"/>
        <v>#N/A</v>
      </c>
      <c r="F1425" s="28" t="str">
        <f t="shared" ca="1" si="68"/>
        <v/>
      </c>
    </row>
    <row r="1426" spans="2:6" x14ac:dyDescent="0.2">
      <c r="B1426" t="str">
        <f>IFERROR(IF('PDCA review'!$D$2=Act!B1427,Act!G1427,""),"")</f>
        <v/>
      </c>
      <c r="C1426">
        <f t="shared" si="66"/>
        <v>0</v>
      </c>
      <c r="D1426">
        <f>SUM($C$3:C1426)</f>
        <v>4</v>
      </c>
      <c r="E1426" t="e">
        <f t="shared" si="67"/>
        <v>#N/A</v>
      </c>
      <c r="F1426" s="28" t="str">
        <f t="shared" ca="1" si="68"/>
        <v/>
      </c>
    </row>
    <row r="1427" spans="2:6" x14ac:dyDescent="0.2">
      <c r="B1427" t="str">
        <f>IFERROR(IF('PDCA review'!$D$2=Act!B1428,Act!G1428,""),"")</f>
        <v/>
      </c>
      <c r="C1427">
        <f t="shared" si="66"/>
        <v>0</v>
      </c>
      <c r="D1427">
        <f>SUM($C$3:C1427)</f>
        <v>4</v>
      </c>
      <c r="E1427" t="e">
        <f t="shared" si="67"/>
        <v>#N/A</v>
      </c>
      <c r="F1427" s="28" t="str">
        <f t="shared" ca="1" si="68"/>
        <v/>
      </c>
    </row>
    <row r="1428" spans="2:6" x14ac:dyDescent="0.2">
      <c r="B1428" t="str">
        <f>IFERROR(IF('PDCA review'!$D$2=Act!B1429,Act!G1429,""),"")</f>
        <v/>
      </c>
      <c r="C1428">
        <f t="shared" si="66"/>
        <v>0</v>
      </c>
      <c r="D1428">
        <f>SUM($C$3:C1428)</f>
        <v>4</v>
      </c>
      <c r="E1428" t="e">
        <f t="shared" si="67"/>
        <v>#N/A</v>
      </c>
      <c r="F1428" s="28" t="str">
        <f t="shared" ca="1" si="68"/>
        <v/>
      </c>
    </row>
    <row r="1429" spans="2:6" x14ac:dyDescent="0.2">
      <c r="B1429" t="str">
        <f>IFERROR(IF('PDCA review'!$D$2=Act!B1430,Act!G1430,""),"")</f>
        <v/>
      </c>
      <c r="C1429">
        <f t="shared" si="66"/>
        <v>0</v>
      </c>
      <c r="D1429">
        <f>SUM($C$3:C1429)</f>
        <v>4</v>
      </c>
      <c r="E1429" t="e">
        <f t="shared" si="67"/>
        <v>#N/A</v>
      </c>
      <c r="F1429" s="28" t="str">
        <f t="shared" ca="1" si="68"/>
        <v/>
      </c>
    </row>
    <row r="1430" spans="2:6" x14ac:dyDescent="0.2">
      <c r="B1430" t="str">
        <f>IFERROR(IF('PDCA review'!$D$2=Act!B1431,Act!G1431,""),"")</f>
        <v/>
      </c>
      <c r="C1430">
        <f t="shared" si="66"/>
        <v>0</v>
      </c>
      <c r="D1430">
        <f>SUM($C$3:C1430)</f>
        <v>4</v>
      </c>
      <c r="E1430" t="e">
        <f t="shared" si="67"/>
        <v>#N/A</v>
      </c>
      <c r="F1430" s="28" t="str">
        <f t="shared" ca="1" si="68"/>
        <v/>
      </c>
    </row>
    <row r="1431" spans="2:6" x14ac:dyDescent="0.2">
      <c r="B1431" t="str">
        <f>IFERROR(IF('PDCA review'!$D$2=Act!B1432,Act!G1432,""),"")</f>
        <v/>
      </c>
      <c r="C1431">
        <f t="shared" si="66"/>
        <v>0</v>
      </c>
      <c r="D1431">
        <f>SUM($C$3:C1431)</f>
        <v>4</v>
      </c>
      <c r="E1431" t="e">
        <f t="shared" si="67"/>
        <v>#N/A</v>
      </c>
      <c r="F1431" s="28" t="str">
        <f t="shared" ca="1" si="68"/>
        <v/>
      </c>
    </row>
    <row r="1432" spans="2:6" x14ac:dyDescent="0.2">
      <c r="B1432" t="str">
        <f>IFERROR(IF('PDCA review'!$D$2=Act!B1433,Act!G1433,""),"")</f>
        <v/>
      </c>
      <c r="C1432">
        <f t="shared" si="66"/>
        <v>0</v>
      </c>
      <c r="D1432">
        <f>SUM($C$3:C1432)</f>
        <v>4</v>
      </c>
      <c r="E1432" t="e">
        <f t="shared" si="67"/>
        <v>#N/A</v>
      </c>
      <c r="F1432" s="28" t="str">
        <f t="shared" ca="1" si="68"/>
        <v/>
      </c>
    </row>
    <row r="1433" spans="2:6" x14ac:dyDescent="0.2">
      <c r="B1433" t="str">
        <f>IFERROR(IF('PDCA review'!$D$2=Act!B1434,Act!G1434,""),"")</f>
        <v/>
      </c>
      <c r="C1433">
        <f t="shared" si="66"/>
        <v>0</v>
      </c>
      <c r="D1433">
        <f>SUM($C$3:C1433)</f>
        <v>4</v>
      </c>
      <c r="E1433" t="e">
        <f t="shared" si="67"/>
        <v>#N/A</v>
      </c>
      <c r="F1433" s="28" t="str">
        <f t="shared" ca="1" si="68"/>
        <v/>
      </c>
    </row>
    <row r="1434" spans="2:6" x14ac:dyDescent="0.2">
      <c r="B1434" t="str">
        <f>IFERROR(IF('PDCA review'!$D$2=Act!B1435,Act!G1435,""),"")</f>
        <v/>
      </c>
      <c r="C1434">
        <f t="shared" si="66"/>
        <v>0</v>
      </c>
      <c r="D1434">
        <f>SUM($C$3:C1434)</f>
        <v>4</v>
      </c>
      <c r="E1434" t="e">
        <f t="shared" si="67"/>
        <v>#N/A</v>
      </c>
      <c r="F1434" s="28" t="str">
        <f t="shared" ca="1" si="68"/>
        <v/>
      </c>
    </row>
    <row r="1435" spans="2:6" x14ac:dyDescent="0.2">
      <c r="B1435" t="str">
        <f>IFERROR(IF('PDCA review'!$D$2=Act!B1436,Act!G1436,""),"")</f>
        <v/>
      </c>
      <c r="C1435">
        <f t="shared" si="66"/>
        <v>0</v>
      </c>
      <c r="D1435">
        <f>SUM($C$3:C1435)</f>
        <v>4</v>
      </c>
      <c r="E1435" t="e">
        <f t="shared" si="67"/>
        <v>#N/A</v>
      </c>
      <c r="F1435" s="28" t="str">
        <f t="shared" ca="1" si="68"/>
        <v/>
      </c>
    </row>
    <row r="1436" spans="2:6" x14ac:dyDescent="0.2">
      <c r="B1436" t="str">
        <f>IFERROR(IF('PDCA review'!$D$2=Act!B1437,Act!G1437,""),"")</f>
        <v/>
      </c>
      <c r="C1436">
        <f t="shared" si="66"/>
        <v>0</v>
      </c>
      <c r="D1436">
        <f>SUM($C$3:C1436)</f>
        <v>4</v>
      </c>
      <c r="E1436" t="e">
        <f t="shared" si="67"/>
        <v>#N/A</v>
      </c>
      <c r="F1436" s="28" t="str">
        <f t="shared" ca="1" si="68"/>
        <v/>
      </c>
    </row>
    <row r="1437" spans="2:6" x14ac:dyDescent="0.2">
      <c r="B1437" t="str">
        <f>IFERROR(IF('PDCA review'!$D$2=Act!B1438,Act!G1438,""),"")</f>
        <v/>
      </c>
      <c r="C1437">
        <f t="shared" si="66"/>
        <v>0</v>
      </c>
      <c r="D1437">
        <f>SUM($C$3:C1437)</f>
        <v>4</v>
      </c>
      <c r="E1437" t="e">
        <f t="shared" si="67"/>
        <v>#N/A</v>
      </c>
      <c r="F1437" s="28" t="str">
        <f t="shared" ca="1" si="68"/>
        <v/>
      </c>
    </row>
    <row r="1438" spans="2:6" x14ac:dyDescent="0.2">
      <c r="B1438" t="str">
        <f>IFERROR(IF('PDCA review'!$D$2=Act!B1439,Act!G1439,""),"")</f>
        <v/>
      </c>
      <c r="C1438">
        <f t="shared" si="66"/>
        <v>0</v>
      </c>
      <c r="D1438">
        <f>SUM($C$3:C1438)</f>
        <v>4</v>
      </c>
      <c r="E1438" t="e">
        <f t="shared" si="67"/>
        <v>#N/A</v>
      </c>
      <c r="F1438" s="28" t="str">
        <f t="shared" ca="1" si="68"/>
        <v/>
      </c>
    </row>
    <row r="1439" spans="2:6" x14ac:dyDescent="0.2">
      <c r="B1439" t="str">
        <f>IFERROR(IF('PDCA review'!$D$2=Act!B1440,Act!G1440,""),"")</f>
        <v/>
      </c>
      <c r="C1439">
        <f t="shared" si="66"/>
        <v>0</v>
      </c>
      <c r="D1439">
        <f>SUM($C$3:C1439)</f>
        <v>4</v>
      </c>
      <c r="E1439" t="e">
        <f t="shared" si="67"/>
        <v>#N/A</v>
      </c>
      <c r="F1439" s="28" t="str">
        <f t="shared" ca="1" si="68"/>
        <v/>
      </c>
    </row>
    <row r="1440" spans="2:6" x14ac:dyDescent="0.2">
      <c r="B1440" t="str">
        <f>IFERROR(IF('PDCA review'!$D$2=Act!B1441,Act!G1441,""),"")</f>
        <v/>
      </c>
      <c r="C1440">
        <f t="shared" si="66"/>
        <v>0</v>
      </c>
      <c r="D1440">
        <f>SUM($C$3:C1440)</f>
        <v>4</v>
      </c>
      <c r="E1440" t="e">
        <f t="shared" si="67"/>
        <v>#N/A</v>
      </c>
      <c r="F1440" s="28" t="str">
        <f t="shared" ca="1" si="68"/>
        <v/>
      </c>
    </row>
    <row r="1441" spans="2:6" x14ac:dyDescent="0.2">
      <c r="B1441" t="str">
        <f>IFERROR(IF('PDCA review'!$D$2=Act!B1442,Act!G1442,""),"")</f>
        <v/>
      </c>
      <c r="C1441">
        <f t="shared" si="66"/>
        <v>0</v>
      </c>
      <c r="D1441">
        <f>SUM($C$3:C1441)</f>
        <v>4</v>
      </c>
      <c r="E1441" t="e">
        <f t="shared" si="67"/>
        <v>#N/A</v>
      </c>
      <c r="F1441" s="28" t="str">
        <f t="shared" ca="1" si="68"/>
        <v/>
      </c>
    </row>
    <row r="1442" spans="2:6" x14ac:dyDescent="0.2">
      <c r="B1442" t="str">
        <f>IFERROR(IF('PDCA review'!$D$2=Act!B1443,Act!G1443,""),"")</f>
        <v/>
      </c>
      <c r="C1442">
        <f t="shared" si="66"/>
        <v>0</v>
      </c>
      <c r="D1442">
        <f>SUM($C$3:C1442)</f>
        <v>4</v>
      </c>
      <c r="E1442" t="e">
        <f t="shared" si="67"/>
        <v>#N/A</v>
      </c>
      <c r="F1442" s="28" t="str">
        <f t="shared" ca="1" si="68"/>
        <v/>
      </c>
    </row>
    <row r="1443" spans="2:6" x14ac:dyDescent="0.2">
      <c r="B1443" t="str">
        <f>IFERROR(IF('PDCA review'!$D$2=Act!B1444,Act!G1444,""),"")</f>
        <v/>
      </c>
      <c r="C1443">
        <f t="shared" si="66"/>
        <v>0</v>
      </c>
      <c r="D1443">
        <f>SUM($C$3:C1443)</f>
        <v>4</v>
      </c>
      <c r="E1443" t="e">
        <f t="shared" si="67"/>
        <v>#N/A</v>
      </c>
      <c r="F1443" s="28" t="str">
        <f t="shared" ca="1" si="68"/>
        <v/>
      </c>
    </row>
    <row r="1444" spans="2:6" x14ac:dyDescent="0.2">
      <c r="B1444" t="str">
        <f>IFERROR(IF('PDCA review'!$D$2=Act!B1445,Act!G1445,""),"")</f>
        <v/>
      </c>
      <c r="C1444">
        <f t="shared" si="66"/>
        <v>0</v>
      </c>
      <c r="D1444">
        <f>SUM($C$3:C1444)</f>
        <v>4</v>
      </c>
      <c r="E1444" t="e">
        <f t="shared" si="67"/>
        <v>#N/A</v>
      </c>
      <c r="F1444" s="28" t="str">
        <f t="shared" ca="1" si="68"/>
        <v/>
      </c>
    </row>
    <row r="1445" spans="2:6" x14ac:dyDescent="0.2">
      <c r="B1445" t="str">
        <f>IFERROR(IF('PDCA review'!$D$2=Act!B1446,Act!G1446,""),"")</f>
        <v/>
      </c>
      <c r="C1445">
        <f t="shared" si="66"/>
        <v>0</v>
      </c>
      <c r="D1445">
        <f>SUM($C$3:C1445)</f>
        <v>4</v>
      </c>
      <c r="E1445" t="e">
        <f t="shared" si="67"/>
        <v>#N/A</v>
      </c>
      <c r="F1445" s="28" t="str">
        <f t="shared" ca="1" si="68"/>
        <v/>
      </c>
    </row>
    <row r="1446" spans="2:6" x14ac:dyDescent="0.2">
      <c r="B1446" t="str">
        <f>IFERROR(IF('PDCA review'!$D$2=Act!B1447,Act!G1447,""),"")</f>
        <v/>
      </c>
      <c r="C1446">
        <f t="shared" si="66"/>
        <v>0</v>
      </c>
      <c r="D1446">
        <f>SUM($C$3:C1446)</f>
        <v>4</v>
      </c>
      <c r="E1446" t="e">
        <f t="shared" si="67"/>
        <v>#N/A</v>
      </c>
      <c r="F1446" s="28" t="str">
        <f t="shared" ca="1" si="68"/>
        <v/>
      </c>
    </row>
    <row r="1447" spans="2:6" x14ac:dyDescent="0.2">
      <c r="B1447" t="str">
        <f>IFERROR(IF('PDCA review'!$D$2=Act!B1448,Act!G1448,""),"")</f>
        <v/>
      </c>
      <c r="C1447">
        <f t="shared" si="66"/>
        <v>0</v>
      </c>
      <c r="D1447">
        <f>SUM($C$3:C1447)</f>
        <v>4</v>
      </c>
      <c r="E1447" t="e">
        <f t="shared" si="67"/>
        <v>#N/A</v>
      </c>
      <c r="F1447" s="28" t="str">
        <f t="shared" ca="1" si="68"/>
        <v/>
      </c>
    </row>
    <row r="1448" spans="2:6" x14ac:dyDescent="0.2">
      <c r="B1448" t="str">
        <f>IFERROR(IF('PDCA review'!$D$2=Act!B1449,Act!G1449,""),"")</f>
        <v/>
      </c>
      <c r="C1448">
        <f t="shared" si="66"/>
        <v>0</v>
      </c>
      <c r="D1448">
        <f>SUM($C$3:C1448)</f>
        <v>4</v>
      </c>
      <c r="E1448" t="e">
        <f t="shared" si="67"/>
        <v>#N/A</v>
      </c>
      <c r="F1448" s="28" t="str">
        <f t="shared" ca="1" si="68"/>
        <v/>
      </c>
    </row>
    <row r="1449" spans="2:6" x14ac:dyDescent="0.2">
      <c r="B1449" t="str">
        <f>IFERROR(IF('PDCA review'!$D$2=Act!B1450,Act!G1450,""),"")</f>
        <v/>
      </c>
      <c r="C1449">
        <f t="shared" si="66"/>
        <v>0</v>
      </c>
      <c r="D1449">
        <f>SUM($C$3:C1449)</f>
        <v>4</v>
      </c>
      <c r="E1449" t="e">
        <f t="shared" si="67"/>
        <v>#N/A</v>
      </c>
      <c r="F1449" s="28" t="str">
        <f t="shared" ca="1" si="68"/>
        <v/>
      </c>
    </row>
    <row r="1450" spans="2:6" x14ac:dyDescent="0.2">
      <c r="B1450" t="str">
        <f>IFERROR(IF('PDCA review'!$D$2=Act!B1451,Act!G1451,""),"")</f>
        <v/>
      </c>
      <c r="C1450">
        <f t="shared" si="66"/>
        <v>0</v>
      </c>
      <c r="D1450">
        <f>SUM($C$3:C1450)</f>
        <v>4</v>
      </c>
      <c r="E1450" t="e">
        <f t="shared" si="67"/>
        <v>#N/A</v>
      </c>
      <c r="F1450" s="28" t="str">
        <f t="shared" ca="1" si="68"/>
        <v/>
      </c>
    </row>
    <row r="1451" spans="2:6" x14ac:dyDescent="0.2">
      <c r="B1451" t="str">
        <f>IFERROR(IF('PDCA review'!$D$2=Act!B1452,Act!G1452,""),"")</f>
        <v/>
      </c>
      <c r="C1451">
        <f t="shared" si="66"/>
        <v>0</v>
      </c>
      <c r="D1451">
        <f>SUM($C$3:C1451)</f>
        <v>4</v>
      </c>
      <c r="E1451" t="e">
        <f t="shared" si="67"/>
        <v>#N/A</v>
      </c>
      <c r="F1451" s="28" t="str">
        <f t="shared" ca="1" si="68"/>
        <v/>
      </c>
    </row>
    <row r="1452" spans="2:6" x14ac:dyDescent="0.2">
      <c r="B1452" t="str">
        <f>IFERROR(IF('PDCA review'!$D$2=Act!B1453,Act!G1453,""),"")</f>
        <v/>
      </c>
      <c r="C1452">
        <f t="shared" si="66"/>
        <v>0</v>
      </c>
      <c r="D1452">
        <f>SUM($C$3:C1452)</f>
        <v>4</v>
      </c>
      <c r="E1452" t="e">
        <f t="shared" si="67"/>
        <v>#N/A</v>
      </c>
      <c r="F1452" s="28" t="str">
        <f t="shared" ca="1" si="68"/>
        <v/>
      </c>
    </row>
    <row r="1453" spans="2:6" x14ac:dyDescent="0.2">
      <c r="B1453" t="str">
        <f>IFERROR(IF('PDCA review'!$D$2=Act!B1454,Act!G1454,""),"")</f>
        <v/>
      </c>
      <c r="C1453">
        <f t="shared" si="66"/>
        <v>0</v>
      </c>
      <c r="D1453">
        <f>SUM($C$3:C1453)</f>
        <v>4</v>
      </c>
      <c r="E1453" t="e">
        <f t="shared" si="67"/>
        <v>#N/A</v>
      </c>
      <c r="F1453" s="28" t="str">
        <f t="shared" ca="1" si="68"/>
        <v/>
      </c>
    </row>
    <row r="1454" spans="2:6" x14ac:dyDescent="0.2">
      <c r="B1454" t="str">
        <f>IFERROR(IF('PDCA review'!$D$2=Act!B1455,Act!G1455,""),"")</f>
        <v/>
      </c>
      <c r="C1454">
        <f t="shared" si="66"/>
        <v>0</v>
      </c>
      <c r="D1454">
        <f>SUM($C$3:C1454)</f>
        <v>4</v>
      </c>
      <c r="E1454" t="e">
        <f t="shared" si="67"/>
        <v>#N/A</v>
      </c>
      <c r="F1454" s="28" t="str">
        <f t="shared" ca="1" si="68"/>
        <v/>
      </c>
    </row>
    <row r="1455" spans="2:6" x14ac:dyDescent="0.2">
      <c r="B1455" t="str">
        <f>IFERROR(IF('PDCA review'!$D$2=Act!B1456,Act!G1456,""),"")</f>
        <v/>
      </c>
      <c r="C1455">
        <f t="shared" si="66"/>
        <v>0</v>
      </c>
      <c r="D1455">
        <f>SUM($C$3:C1455)</f>
        <v>4</v>
      </c>
      <c r="E1455" t="e">
        <f t="shared" si="67"/>
        <v>#N/A</v>
      </c>
      <c r="F1455" s="28" t="str">
        <f t="shared" ca="1" si="68"/>
        <v/>
      </c>
    </row>
    <row r="1456" spans="2:6" x14ac:dyDescent="0.2">
      <c r="B1456" t="str">
        <f>IFERROR(IF('PDCA review'!$D$2=Act!B1457,Act!G1457,""),"")</f>
        <v/>
      </c>
      <c r="C1456">
        <f t="shared" si="66"/>
        <v>0</v>
      </c>
      <c r="D1456">
        <f>SUM($C$3:C1456)</f>
        <v>4</v>
      </c>
      <c r="E1456" t="e">
        <f t="shared" si="67"/>
        <v>#N/A</v>
      </c>
      <c r="F1456" s="28" t="str">
        <f t="shared" ca="1" si="68"/>
        <v/>
      </c>
    </row>
    <row r="1457" spans="2:6" x14ac:dyDescent="0.2">
      <c r="B1457" t="str">
        <f>IFERROR(IF('PDCA review'!$D$2=Act!B1458,Act!G1458,""),"")</f>
        <v/>
      </c>
      <c r="C1457">
        <f t="shared" si="66"/>
        <v>0</v>
      </c>
      <c r="D1457">
        <f>SUM($C$3:C1457)</f>
        <v>4</v>
      </c>
      <c r="E1457" t="e">
        <f t="shared" si="67"/>
        <v>#N/A</v>
      </c>
      <c r="F1457" s="28" t="str">
        <f t="shared" ca="1" si="68"/>
        <v/>
      </c>
    </row>
    <row r="1458" spans="2:6" x14ac:dyDescent="0.2">
      <c r="B1458" t="str">
        <f>IFERROR(IF('PDCA review'!$D$2=Act!B1459,Act!G1459,""),"")</f>
        <v/>
      </c>
      <c r="C1458">
        <f t="shared" si="66"/>
        <v>0</v>
      </c>
      <c r="D1458">
        <f>SUM($C$3:C1458)</f>
        <v>4</v>
      </c>
      <c r="E1458" t="e">
        <f t="shared" si="67"/>
        <v>#N/A</v>
      </c>
      <c r="F1458" s="28" t="str">
        <f t="shared" ca="1" si="68"/>
        <v/>
      </c>
    </row>
    <row r="1459" spans="2:6" x14ac:dyDescent="0.2">
      <c r="B1459" t="str">
        <f>IFERROR(IF('PDCA review'!$D$2=Act!B1460,Act!G1460,""),"")</f>
        <v/>
      </c>
      <c r="C1459">
        <f t="shared" si="66"/>
        <v>0</v>
      </c>
      <c r="D1459">
        <f>SUM($C$3:C1459)</f>
        <v>4</v>
      </c>
      <c r="E1459" t="e">
        <f t="shared" si="67"/>
        <v>#N/A</v>
      </c>
      <c r="F1459" s="28" t="str">
        <f t="shared" ca="1" si="68"/>
        <v/>
      </c>
    </row>
    <row r="1460" spans="2:6" x14ac:dyDescent="0.2">
      <c r="B1460" t="str">
        <f>IFERROR(IF('PDCA review'!$D$2=Act!B1461,Act!G1461,""),"")</f>
        <v/>
      </c>
      <c r="C1460">
        <f t="shared" si="66"/>
        <v>0</v>
      </c>
      <c r="D1460">
        <f>SUM($C$3:C1460)</f>
        <v>4</v>
      </c>
      <c r="E1460" t="e">
        <f t="shared" si="67"/>
        <v>#N/A</v>
      </c>
      <c r="F1460" s="28" t="str">
        <f t="shared" ca="1" si="68"/>
        <v/>
      </c>
    </row>
    <row r="1461" spans="2:6" x14ac:dyDescent="0.2">
      <c r="B1461" t="str">
        <f>IFERROR(IF('PDCA review'!$D$2=Act!B1462,Act!G1462,""),"")</f>
        <v/>
      </c>
      <c r="C1461">
        <f t="shared" si="66"/>
        <v>0</v>
      </c>
      <c r="D1461">
        <f>SUM($C$3:C1461)</f>
        <v>4</v>
      </c>
      <c r="E1461" t="e">
        <f t="shared" si="67"/>
        <v>#N/A</v>
      </c>
      <c r="F1461" s="28" t="str">
        <f t="shared" ca="1" si="68"/>
        <v/>
      </c>
    </row>
    <row r="1462" spans="2:6" x14ac:dyDescent="0.2">
      <c r="B1462" t="str">
        <f>IFERROR(IF('PDCA review'!$D$2=Act!B1463,Act!G1463,""),"")</f>
        <v/>
      </c>
      <c r="C1462">
        <f t="shared" si="66"/>
        <v>0</v>
      </c>
      <c r="D1462">
        <f>SUM($C$3:C1462)</f>
        <v>4</v>
      </c>
      <c r="E1462" t="e">
        <f t="shared" si="67"/>
        <v>#N/A</v>
      </c>
      <c r="F1462" s="28" t="str">
        <f t="shared" ca="1" si="68"/>
        <v/>
      </c>
    </row>
    <row r="1463" spans="2:6" x14ac:dyDescent="0.2">
      <c r="B1463" t="str">
        <f>IFERROR(IF('PDCA review'!$D$2=Act!B1464,Act!G1464,""),"")</f>
        <v/>
      </c>
      <c r="C1463">
        <f t="shared" si="66"/>
        <v>0</v>
      </c>
      <c r="D1463">
        <f>SUM($C$3:C1463)</f>
        <v>4</v>
      </c>
      <c r="E1463" t="e">
        <f t="shared" si="67"/>
        <v>#N/A</v>
      </c>
      <c r="F1463" s="28" t="str">
        <f t="shared" ca="1" si="68"/>
        <v/>
      </c>
    </row>
    <row r="1464" spans="2:6" x14ac:dyDescent="0.2">
      <c r="B1464" t="str">
        <f>IFERROR(IF('PDCA review'!$D$2=Act!B1465,Act!G1465,""),"")</f>
        <v/>
      </c>
      <c r="C1464">
        <f t="shared" si="66"/>
        <v>0</v>
      </c>
      <c r="D1464">
        <f>SUM($C$3:C1464)</f>
        <v>4</v>
      </c>
      <c r="E1464" t="e">
        <f t="shared" si="67"/>
        <v>#N/A</v>
      </c>
      <c r="F1464" s="28" t="str">
        <f t="shared" ca="1" si="68"/>
        <v/>
      </c>
    </row>
    <row r="1465" spans="2:6" x14ac:dyDescent="0.2">
      <c r="B1465" t="str">
        <f>IFERROR(IF('PDCA review'!$D$2=Act!B1466,Act!G1466,""),"")</f>
        <v/>
      </c>
      <c r="C1465">
        <f t="shared" si="66"/>
        <v>0</v>
      </c>
      <c r="D1465">
        <f>SUM($C$3:C1465)</f>
        <v>4</v>
      </c>
      <c r="E1465" t="e">
        <f t="shared" si="67"/>
        <v>#N/A</v>
      </c>
      <c r="F1465" s="28" t="str">
        <f t="shared" ca="1" si="68"/>
        <v/>
      </c>
    </row>
    <row r="1466" spans="2:6" x14ac:dyDescent="0.2">
      <c r="B1466" t="str">
        <f>IFERROR(IF('PDCA review'!$D$2=Act!B1467,Act!G1467,""),"")</f>
        <v/>
      </c>
      <c r="C1466">
        <f t="shared" si="66"/>
        <v>0</v>
      </c>
      <c r="D1466">
        <f>SUM($C$3:C1466)</f>
        <v>4</v>
      </c>
      <c r="E1466" t="e">
        <f t="shared" si="67"/>
        <v>#N/A</v>
      </c>
      <c r="F1466" s="28" t="str">
        <f t="shared" ca="1" si="68"/>
        <v/>
      </c>
    </row>
    <row r="1467" spans="2:6" x14ac:dyDescent="0.2">
      <c r="B1467" t="str">
        <f>IFERROR(IF('PDCA review'!$D$2=Act!B1468,Act!G1468,""),"")</f>
        <v/>
      </c>
      <c r="C1467">
        <f t="shared" si="66"/>
        <v>0</v>
      </c>
      <c r="D1467">
        <f>SUM($C$3:C1467)</f>
        <v>4</v>
      </c>
      <c r="E1467" t="e">
        <f t="shared" si="67"/>
        <v>#N/A</v>
      </c>
      <c r="F1467" s="28" t="str">
        <f t="shared" ca="1" si="68"/>
        <v/>
      </c>
    </row>
    <row r="1468" spans="2:6" x14ac:dyDescent="0.2">
      <c r="B1468" t="str">
        <f>IFERROR(IF('PDCA review'!$D$2=Act!B1469,Act!G1469,""),"")</f>
        <v/>
      </c>
      <c r="C1468">
        <f t="shared" si="66"/>
        <v>0</v>
      </c>
      <c r="D1468">
        <f>SUM($C$3:C1468)</f>
        <v>4</v>
      </c>
      <c r="E1468" t="e">
        <f t="shared" si="67"/>
        <v>#N/A</v>
      </c>
      <c r="F1468" s="28" t="str">
        <f t="shared" ca="1" si="68"/>
        <v/>
      </c>
    </row>
    <row r="1469" spans="2:6" x14ac:dyDescent="0.2">
      <c r="B1469" t="str">
        <f>IFERROR(IF('PDCA review'!$D$2=Act!B1470,Act!G1470,""),"")</f>
        <v/>
      </c>
      <c r="C1469">
        <f t="shared" si="66"/>
        <v>0</v>
      </c>
      <c r="D1469">
        <f>SUM($C$3:C1469)</f>
        <v>4</v>
      </c>
      <c r="E1469" t="e">
        <f t="shared" si="67"/>
        <v>#N/A</v>
      </c>
      <c r="F1469" s="28" t="str">
        <f t="shared" ca="1" si="68"/>
        <v/>
      </c>
    </row>
    <row r="1470" spans="2:6" x14ac:dyDescent="0.2">
      <c r="B1470" t="str">
        <f>IFERROR(IF('PDCA review'!$D$2=Act!B1471,Act!G1471,""),"")</f>
        <v/>
      </c>
      <c r="C1470">
        <f t="shared" si="66"/>
        <v>0</v>
      </c>
      <c r="D1470">
        <f>SUM($C$3:C1470)</f>
        <v>4</v>
      </c>
      <c r="E1470" t="e">
        <f t="shared" si="67"/>
        <v>#N/A</v>
      </c>
      <c r="F1470" s="28" t="str">
        <f t="shared" ca="1" si="68"/>
        <v/>
      </c>
    </row>
    <row r="1471" spans="2:6" x14ac:dyDescent="0.2">
      <c r="B1471" t="str">
        <f>IFERROR(IF('PDCA review'!$D$2=Act!B1472,Act!G1472,""),"")</f>
        <v/>
      </c>
      <c r="C1471">
        <f t="shared" si="66"/>
        <v>0</v>
      </c>
      <c r="D1471">
        <f>SUM($C$3:C1471)</f>
        <v>4</v>
      </c>
      <c r="E1471" t="e">
        <f t="shared" si="67"/>
        <v>#N/A</v>
      </c>
      <c r="F1471" s="28" t="str">
        <f t="shared" ca="1" si="68"/>
        <v/>
      </c>
    </row>
    <row r="1472" spans="2:6" x14ac:dyDescent="0.2">
      <c r="B1472" t="str">
        <f>IFERROR(IF('PDCA review'!$D$2=Act!B1473,Act!G1473,""),"")</f>
        <v/>
      </c>
      <c r="C1472">
        <f t="shared" si="66"/>
        <v>0</v>
      </c>
      <c r="D1472">
        <f>SUM($C$3:C1472)</f>
        <v>4</v>
      </c>
      <c r="E1472" t="e">
        <f t="shared" si="67"/>
        <v>#N/A</v>
      </c>
      <c r="F1472" s="28" t="str">
        <f t="shared" ca="1" si="68"/>
        <v/>
      </c>
    </row>
    <row r="1473" spans="2:6" x14ac:dyDescent="0.2">
      <c r="B1473" t="str">
        <f>IFERROR(IF('PDCA review'!$D$2=Act!B1474,Act!G1474,""),"")</f>
        <v/>
      </c>
      <c r="C1473">
        <f t="shared" si="66"/>
        <v>0</v>
      </c>
      <c r="D1473">
        <f>SUM($C$3:C1473)</f>
        <v>4</v>
      </c>
      <c r="E1473" t="e">
        <f t="shared" si="67"/>
        <v>#N/A</v>
      </c>
      <c r="F1473" s="28" t="str">
        <f t="shared" ca="1" si="68"/>
        <v/>
      </c>
    </row>
    <row r="1474" spans="2:6" x14ac:dyDescent="0.2">
      <c r="B1474" t="str">
        <f>IFERROR(IF('PDCA review'!$D$2=Act!B1475,Act!G1475,""),"")</f>
        <v/>
      </c>
      <c r="C1474">
        <f t="shared" si="66"/>
        <v>0</v>
      </c>
      <c r="D1474">
        <f>SUM($C$3:C1474)</f>
        <v>4</v>
      </c>
      <c r="E1474" t="e">
        <f t="shared" si="67"/>
        <v>#N/A</v>
      </c>
      <c r="F1474" s="28" t="str">
        <f t="shared" ca="1" si="68"/>
        <v/>
      </c>
    </row>
    <row r="1475" spans="2:6" x14ac:dyDescent="0.2">
      <c r="B1475" t="str">
        <f>IFERROR(IF('PDCA review'!$D$2=Act!B1476,Act!G1476,""),"")</f>
        <v/>
      </c>
      <c r="C1475">
        <f t="shared" si="66"/>
        <v>0</v>
      </c>
      <c r="D1475">
        <f>SUM($C$3:C1475)</f>
        <v>4</v>
      </c>
      <c r="E1475" t="e">
        <f t="shared" si="67"/>
        <v>#N/A</v>
      </c>
      <c r="F1475" s="28" t="str">
        <f t="shared" ca="1" si="68"/>
        <v/>
      </c>
    </row>
    <row r="1476" spans="2:6" x14ac:dyDescent="0.2">
      <c r="B1476" t="str">
        <f>IFERROR(IF('PDCA review'!$D$2=Act!B1477,Act!G1477,""),"")</f>
        <v/>
      </c>
      <c r="C1476">
        <f t="shared" ref="C1476:C1539" si="69">IF(B1476&lt;&gt;"",1,0)</f>
        <v>0</v>
      </c>
      <c r="D1476">
        <f>SUM($C$3:C1476)</f>
        <v>4</v>
      </c>
      <c r="E1476" t="e">
        <f t="shared" ref="E1476:E1539" si="70">MATCH(ROW()-$D$2,$D$3:$D$2000,0)+$D$2</f>
        <v>#N/A</v>
      </c>
      <c r="F1476" s="28" t="str">
        <f t="shared" ref="F1476:F1539" ca="1" si="71">IFERROR(INDIRECT("B"&amp;E1476),"")</f>
        <v/>
      </c>
    </row>
    <row r="1477" spans="2:6" x14ac:dyDescent="0.2">
      <c r="B1477" t="str">
        <f>IFERROR(IF('PDCA review'!$D$2=Act!B1478,Act!G1478,""),"")</f>
        <v/>
      </c>
      <c r="C1477">
        <f t="shared" si="69"/>
        <v>0</v>
      </c>
      <c r="D1477">
        <f>SUM($C$3:C1477)</f>
        <v>4</v>
      </c>
      <c r="E1477" t="e">
        <f t="shared" si="70"/>
        <v>#N/A</v>
      </c>
      <c r="F1477" s="28" t="str">
        <f t="shared" ca="1" si="71"/>
        <v/>
      </c>
    </row>
    <row r="1478" spans="2:6" x14ac:dyDescent="0.2">
      <c r="B1478" t="str">
        <f>IFERROR(IF('PDCA review'!$D$2=Act!B1479,Act!G1479,""),"")</f>
        <v/>
      </c>
      <c r="C1478">
        <f t="shared" si="69"/>
        <v>0</v>
      </c>
      <c r="D1478">
        <f>SUM($C$3:C1478)</f>
        <v>4</v>
      </c>
      <c r="E1478" t="e">
        <f t="shared" si="70"/>
        <v>#N/A</v>
      </c>
      <c r="F1478" s="28" t="str">
        <f t="shared" ca="1" si="71"/>
        <v/>
      </c>
    </row>
    <row r="1479" spans="2:6" x14ac:dyDescent="0.2">
      <c r="B1479" t="str">
        <f>IFERROR(IF('PDCA review'!$D$2=Act!B1480,Act!G1480,""),"")</f>
        <v/>
      </c>
      <c r="C1479">
        <f t="shared" si="69"/>
        <v>0</v>
      </c>
      <c r="D1479">
        <f>SUM($C$3:C1479)</f>
        <v>4</v>
      </c>
      <c r="E1479" t="e">
        <f t="shared" si="70"/>
        <v>#N/A</v>
      </c>
      <c r="F1479" s="28" t="str">
        <f t="shared" ca="1" si="71"/>
        <v/>
      </c>
    </row>
    <row r="1480" spans="2:6" x14ac:dyDescent="0.2">
      <c r="B1480" t="str">
        <f>IFERROR(IF('PDCA review'!$D$2=Act!B1481,Act!G1481,""),"")</f>
        <v/>
      </c>
      <c r="C1480">
        <f t="shared" si="69"/>
        <v>0</v>
      </c>
      <c r="D1480">
        <f>SUM($C$3:C1480)</f>
        <v>4</v>
      </c>
      <c r="E1480" t="e">
        <f t="shared" si="70"/>
        <v>#N/A</v>
      </c>
      <c r="F1480" s="28" t="str">
        <f t="shared" ca="1" si="71"/>
        <v/>
      </c>
    </row>
    <row r="1481" spans="2:6" x14ac:dyDescent="0.2">
      <c r="B1481" t="str">
        <f>IFERROR(IF('PDCA review'!$D$2=Act!B1482,Act!G1482,""),"")</f>
        <v/>
      </c>
      <c r="C1481">
        <f t="shared" si="69"/>
        <v>0</v>
      </c>
      <c r="D1481">
        <f>SUM($C$3:C1481)</f>
        <v>4</v>
      </c>
      <c r="E1481" t="e">
        <f t="shared" si="70"/>
        <v>#N/A</v>
      </c>
      <c r="F1481" s="28" t="str">
        <f t="shared" ca="1" si="71"/>
        <v/>
      </c>
    </row>
    <row r="1482" spans="2:6" x14ac:dyDescent="0.2">
      <c r="B1482" t="str">
        <f>IFERROR(IF('PDCA review'!$D$2=Act!B1483,Act!G1483,""),"")</f>
        <v/>
      </c>
      <c r="C1482">
        <f t="shared" si="69"/>
        <v>0</v>
      </c>
      <c r="D1482">
        <f>SUM($C$3:C1482)</f>
        <v>4</v>
      </c>
      <c r="E1482" t="e">
        <f t="shared" si="70"/>
        <v>#N/A</v>
      </c>
      <c r="F1482" s="28" t="str">
        <f t="shared" ca="1" si="71"/>
        <v/>
      </c>
    </row>
    <row r="1483" spans="2:6" x14ac:dyDescent="0.2">
      <c r="B1483" t="str">
        <f>IFERROR(IF('PDCA review'!$D$2=Act!B1484,Act!G1484,""),"")</f>
        <v/>
      </c>
      <c r="C1483">
        <f t="shared" si="69"/>
        <v>0</v>
      </c>
      <c r="D1483">
        <f>SUM($C$3:C1483)</f>
        <v>4</v>
      </c>
      <c r="E1483" t="e">
        <f t="shared" si="70"/>
        <v>#N/A</v>
      </c>
      <c r="F1483" s="28" t="str">
        <f t="shared" ca="1" si="71"/>
        <v/>
      </c>
    </row>
    <row r="1484" spans="2:6" x14ac:dyDescent="0.2">
      <c r="B1484" t="str">
        <f>IFERROR(IF('PDCA review'!$D$2=Act!B1485,Act!G1485,""),"")</f>
        <v/>
      </c>
      <c r="C1484">
        <f t="shared" si="69"/>
        <v>0</v>
      </c>
      <c r="D1484">
        <f>SUM($C$3:C1484)</f>
        <v>4</v>
      </c>
      <c r="E1484" t="e">
        <f t="shared" si="70"/>
        <v>#N/A</v>
      </c>
      <c r="F1484" s="28" t="str">
        <f t="shared" ca="1" si="71"/>
        <v/>
      </c>
    </row>
    <row r="1485" spans="2:6" x14ac:dyDescent="0.2">
      <c r="B1485" t="str">
        <f>IFERROR(IF('PDCA review'!$D$2=Act!B1486,Act!G1486,""),"")</f>
        <v/>
      </c>
      <c r="C1485">
        <f t="shared" si="69"/>
        <v>0</v>
      </c>
      <c r="D1485">
        <f>SUM($C$3:C1485)</f>
        <v>4</v>
      </c>
      <c r="E1485" t="e">
        <f t="shared" si="70"/>
        <v>#N/A</v>
      </c>
      <c r="F1485" s="28" t="str">
        <f t="shared" ca="1" si="71"/>
        <v/>
      </c>
    </row>
    <row r="1486" spans="2:6" x14ac:dyDescent="0.2">
      <c r="B1486" t="str">
        <f>IFERROR(IF('PDCA review'!$D$2=Act!B1487,Act!G1487,""),"")</f>
        <v/>
      </c>
      <c r="C1486">
        <f t="shared" si="69"/>
        <v>0</v>
      </c>
      <c r="D1486">
        <f>SUM($C$3:C1486)</f>
        <v>4</v>
      </c>
      <c r="E1486" t="e">
        <f t="shared" si="70"/>
        <v>#N/A</v>
      </c>
      <c r="F1486" s="28" t="str">
        <f t="shared" ca="1" si="71"/>
        <v/>
      </c>
    </row>
    <row r="1487" spans="2:6" x14ac:dyDescent="0.2">
      <c r="B1487" t="str">
        <f>IFERROR(IF('PDCA review'!$D$2=Act!B1488,Act!G1488,""),"")</f>
        <v/>
      </c>
      <c r="C1487">
        <f t="shared" si="69"/>
        <v>0</v>
      </c>
      <c r="D1487">
        <f>SUM($C$3:C1487)</f>
        <v>4</v>
      </c>
      <c r="E1487" t="e">
        <f t="shared" si="70"/>
        <v>#N/A</v>
      </c>
      <c r="F1487" s="28" t="str">
        <f t="shared" ca="1" si="71"/>
        <v/>
      </c>
    </row>
    <row r="1488" spans="2:6" x14ac:dyDescent="0.2">
      <c r="B1488" t="str">
        <f>IFERROR(IF('PDCA review'!$D$2=Act!B1489,Act!G1489,""),"")</f>
        <v/>
      </c>
      <c r="C1488">
        <f t="shared" si="69"/>
        <v>0</v>
      </c>
      <c r="D1488">
        <f>SUM($C$3:C1488)</f>
        <v>4</v>
      </c>
      <c r="E1488" t="e">
        <f t="shared" si="70"/>
        <v>#N/A</v>
      </c>
      <c r="F1488" s="28" t="str">
        <f t="shared" ca="1" si="71"/>
        <v/>
      </c>
    </row>
    <row r="1489" spans="2:6" x14ac:dyDescent="0.2">
      <c r="B1489" t="str">
        <f>IFERROR(IF('PDCA review'!$D$2=Act!B1490,Act!G1490,""),"")</f>
        <v/>
      </c>
      <c r="C1489">
        <f t="shared" si="69"/>
        <v>0</v>
      </c>
      <c r="D1489">
        <f>SUM($C$3:C1489)</f>
        <v>4</v>
      </c>
      <c r="E1489" t="e">
        <f t="shared" si="70"/>
        <v>#N/A</v>
      </c>
      <c r="F1489" s="28" t="str">
        <f t="shared" ca="1" si="71"/>
        <v/>
      </c>
    </row>
    <row r="1490" spans="2:6" x14ac:dyDescent="0.2">
      <c r="B1490" t="str">
        <f>IFERROR(IF('PDCA review'!$D$2=Act!B1491,Act!G1491,""),"")</f>
        <v/>
      </c>
      <c r="C1490">
        <f t="shared" si="69"/>
        <v>0</v>
      </c>
      <c r="D1490">
        <f>SUM($C$3:C1490)</f>
        <v>4</v>
      </c>
      <c r="E1490" t="e">
        <f t="shared" si="70"/>
        <v>#N/A</v>
      </c>
      <c r="F1490" s="28" t="str">
        <f t="shared" ca="1" si="71"/>
        <v/>
      </c>
    </row>
    <row r="1491" spans="2:6" x14ac:dyDescent="0.2">
      <c r="B1491" t="str">
        <f>IFERROR(IF('PDCA review'!$D$2=Act!B1492,Act!G1492,""),"")</f>
        <v/>
      </c>
      <c r="C1491">
        <f t="shared" si="69"/>
        <v>0</v>
      </c>
      <c r="D1491">
        <f>SUM($C$3:C1491)</f>
        <v>4</v>
      </c>
      <c r="E1491" t="e">
        <f t="shared" si="70"/>
        <v>#N/A</v>
      </c>
      <c r="F1491" s="28" t="str">
        <f t="shared" ca="1" si="71"/>
        <v/>
      </c>
    </row>
    <row r="1492" spans="2:6" x14ac:dyDescent="0.2">
      <c r="B1492" t="str">
        <f>IFERROR(IF('PDCA review'!$D$2=Act!B1493,Act!G1493,""),"")</f>
        <v/>
      </c>
      <c r="C1492">
        <f t="shared" si="69"/>
        <v>0</v>
      </c>
      <c r="D1492">
        <f>SUM($C$3:C1492)</f>
        <v>4</v>
      </c>
      <c r="E1492" t="e">
        <f t="shared" si="70"/>
        <v>#N/A</v>
      </c>
      <c r="F1492" s="28" t="str">
        <f t="shared" ca="1" si="71"/>
        <v/>
      </c>
    </row>
    <row r="1493" spans="2:6" x14ac:dyDescent="0.2">
      <c r="B1493" t="str">
        <f>IFERROR(IF('PDCA review'!$D$2=Act!B1494,Act!G1494,""),"")</f>
        <v/>
      </c>
      <c r="C1493">
        <f t="shared" si="69"/>
        <v>0</v>
      </c>
      <c r="D1493">
        <f>SUM($C$3:C1493)</f>
        <v>4</v>
      </c>
      <c r="E1493" t="e">
        <f t="shared" si="70"/>
        <v>#N/A</v>
      </c>
      <c r="F1493" s="28" t="str">
        <f t="shared" ca="1" si="71"/>
        <v/>
      </c>
    </row>
    <row r="1494" spans="2:6" x14ac:dyDescent="0.2">
      <c r="B1494" t="str">
        <f>IFERROR(IF('PDCA review'!$D$2=Act!B1495,Act!G1495,""),"")</f>
        <v/>
      </c>
      <c r="C1494">
        <f t="shared" si="69"/>
        <v>0</v>
      </c>
      <c r="D1494">
        <f>SUM($C$3:C1494)</f>
        <v>4</v>
      </c>
      <c r="E1494" t="e">
        <f t="shared" si="70"/>
        <v>#N/A</v>
      </c>
      <c r="F1494" s="28" t="str">
        <f t="shared" ca="1" si="71"/>
        <v/>
      </c>
    </row>
    <row r="1495" spans="2:6" x14ac:dyDescent="0.2">
      <c r="B1495" t="str">
        <f>IFERROR(IF('PDCA review'!$D$2=Act!B1496,Act!G1496,""),"")</f>
        <v/>
      </c>
      <c r="C1495">
        <f t="shared" si="69"/>
        <v>0</v>
      </c>
      <c r="D1495">
        <f>SUM($C$3:C1495)</f>
        <v>4</v>
      </c>
      <c r="E1495" t="e">
        <f t="shared" si="70"/>
        <v>#N/A</v>
      </c>
      <c r="F1495" s="28" t="str">
        <f t="shared" ca="1" si="71"/>
        <v/>
      </c>
    </row>
    <row r="1496" spans="2:6" x14ac:dyDescent="0.2">
      <c r="B1496" t="str">
        <f>IFERROR(IF('PDCA review'!$D$2=Act!B1497,Act!G1497,""),"")</f>
        <v/>
      </c>
      <c r="C1496">
        <f t="shared" si="69"/>
        <v>0</v>
      </c>
      <c r="D1496">
        <f>SUM($C$3:C1496)</f>
        <v>4</v>
      </c>
      <c r="E1496" t="e">
        <f t="shared" si="70"/>
        <v>#N/A</v>
      </c>
      <c r="F1496" s="28" t="str">
        <f t="shared" ca="1" si="71"/>
        <v/>
      </c>
    </row>
    <row r="1497" spans="2:6" x14ac:dyDescent="0.2">
      <c r="B1497" t="str">
        <f>IFERROR(IF('PDCA review'!$D$2=Act!B1498,Act!G1498,""),"")</f>
        <v/>
      </c>
      <c r="C1497">
        <f t="shared" si="69"/>
        <v>0</v>
      </c>
      <c r="D1497">
        <f>SUM($C$3:C1497)</f>
        <v>4</v>
      </c>
      <c r="E1497" t="e">
        <f t="shared" si="70"/>
        <v>#N/A</v>
      </c>
      <c r="F1497" s="28" t="str">
        <f t="shared" ca="1" si="71"/>
        <v/>
      </c>
    </row>
    <row r="1498" spans="2:6" x14ac:dyDescent="0.2">
      <c r="B1498" t="str">
        <f>IFERROR(IF('PDCA review'!$D$2=Act!B1499,Act!G1499,""),"")</f>
        <v/>
      </c>
      <c r="C1498">
        <f t="shared" si="69"/>
        <v>0</v>
      </c>
      <c r="D1498">
        <f>SUM($C$3:C1498)</f>
        <v>4</v>
      </c>
      <c r="E1498" t="e">
        <f t="shared" si="70"/>
        <v>#N/A</v>
      </c>
      <c r="F1498" s="28" t="str">
        <f t="shared" ca="1" si="71"/>
        <v/>
      </c>
    </row>
    <row r="1499" spans="2:6" x14ac:dyDescent="0.2">
      <c r="B1499" t="str">
        <f>IFERROR(IF('PDCA review'!$D$2=Act!B1500,Act!G1500,""),"")</f>
        <v/>
      </c>
      <c r="C1499">
        <f t="shared" si="69"/>
        <v>0</v>
      </c>
      <c r="D1499">
        <f>SUM($C$3:C1499)</f>
        <v>4</v>
      </c>
      <c r="E1499" t="e">
        <f t="shared" si="70"/>
        <v>#N/A</v>
      </c>
      <c r="F1499" s="28" t="str">
        <f t="shared" ca="1" si="71"/>
        <v/>
      </c>
    </row>
    <row r="1500" spans="2:6" x14ac:dyDescent="0.2">
      <c r="B1500" t="str">
        <f>IFERROR(IF('PDCA review'!$D$2=Act!B1501,Act!G1501,""),"")</f>
        <v/>
      </c>
      <c r="C1500">
        <f t="shared" si="69"/>
        <v>0</v>
      </c>
      <c r="D1500">
        <f>SUM($C$3:C1500)</f>
        <v>4</v>
      </c>
      <c r="E1500" t="e">
        <f t="shared" si="70"/>
        <v>#N/A</v>
      </c>
      <c r="F1500" s="28" t="str">
        <f t="shared" ca="1" si="71"/>
        <v/>
      </c>
    </row>
    <row r="1501" spans="2:6" x14ac:dyDescent="0.2">
      <c r="B1501" t="str">
        <f>IFERROR(IF('PDCA review'!$D$2=Act!B1502,Act!G1502,""),"")</f>
        <v/>
      </c>
      <c r="C1501">
        <f t="shared" si="69"/>
        <v>0</v>
      </c>
      <c r="D1501">
        <f>SUM($C$3:C1501)</f>
        <v>4</v>
      </c>
      <c r="E1501" t="e">
        <f t="shared" si="70"/>
        <v>#N/A</v>
      </c>
      <c r="F1501" s="28" t="str">
        <f t="shared" ca="1" si="71"/>
        <v/>
      </c>
    </row>
    <row r="1502" spans="2:6" x14ac:dyDescent="0.2">
      <c r="B1502" t="str">
        <f>IFERROR(IF('PDCA review'!$D$2=Act!B1503,Act!G1503,""),"")</f>
        <v/>
      </c>
      <c r="C1502">
        <f t="shared" si="69"/>
        <v>0</v>
      </c>
      <c r="D1502">
        <f>SUM($C$3:C1502)</f>
        <v>4</v>
      </c>
      <c r="E1502" t="e">
        <f t="shared" si="70"/>
        <v>#N/A</v>
      </c>
      <c r="F1502" s="28" t="str">
        <f t="shared" ca="1" si="71"/>
        <v/>
      </c>
    </row>
    <row r="1503" spans="2:6" x14ac:dyDescent="0.2">
      <c r="B1503" t="str">
        <f>IFERROR(IF('PDCA review'!$D$2=Act!B1504,Act!G1504,""),"")</f>
        <v/>
      </c>
      <c r="C1503">
        <f t="shared" si="69"/>
        <v>0</v>
      </c>
      <c r="D1503">
        <f>SUM($C$3:C1503)</f>
        <v>4</v>
      </c>
      <c r="E1503" t="e">
        <f t="shared" si="70"/>
        <v>#N/A</v>
      </c>
      <c r="F1503" s="28" t="str">
        <f t="shared" ca="1" si="71"/>
        <v/>
      </c>
    </row>
    <row r="1504" spans="2:6" x14ac:dyDescent="0.2">
      <c r="B1504" t="str">
        <f>IFERROR(IF('PDCA review'!$D$2=Act!B1505,Act!G1505,""),"")</f>
        <v/>
      </c>
      <c r="C1504">
        <f t="shared" si="69"/>
        <v>0</v>
      </c>
      <c r="D1504">
        <f>SUM($C$3:C1504)</f>
        <v>4</v>
      </c>
      <c r="E1504" t="e">
        <f t="shared" si="70"/>
        <v>#N/A</v>
      </c>
      <c r="F1504" s="28" t="str">
        <f t="shared" ca="1" si="71"/>
        <v/>
      </c>
    </row>
    <row r="1505" spans="2:6" x14ac:dyDescent="0.2">
      <c r="B1505" t="str">
        <f>IFERROR(IF('PDCA review'!$D$2=Act!B1506,Act!G1506,""),"")</f>
        <v/>
      </c>
      <c r="C1505">
        <f t="shared" si="69"/>
        <v>0</v>
      </c>
      <c r="D1505">
        <f>SUM($C$3:C1505)</f>
        <v>4</v>
      </c>
      <c r="E1505" t="e">
        <f t="shared" si="70"/>
        <v>#N/A</v>
      </c>
      <c r="F1505" s="28" t="str">
        <f t="shared" ca="1" si="71"/>
        <v/>
      </c>
    </row>
    <row r="1506" spans="2:6" x14ac:dyDescent="0.2">
      <c r="B1506" t="str">
        <f>IFERROR(IF('PDCA review'!$D$2=Act!B1507,Act!G1507,""),"")</f>
        <v/>
      </c>
      <c r="C1506">
        <f t="shared" si="69"/>
        <v>0</v>
      </c>
      <c r="D1506">
        <f>SUM($C$3:C1506)</f>
        <v>4</v>
      </c>
      <c r="E1506" t="e">
        <f t="shared" si="70"/>
        <v>#N/A</v>
      </c>
      <c r="F1506" s="28" t="str">
        <f t="shared" ca="1" si="71"/>
        <v/>
      </c>
    </row>
    <row r="1507" spans="2:6" x14ac:dyDescent="0.2">
      <c r="B1507" t="str">
        <f>IFERROR(IF('PDCA review'!$D$2=Act!B1508,Act!G1508,""),"")</f>
        <v/>
      </c>
      <c r="C1507">
        <f t="shared" si="69"/>
        <v>0</v>
      </c>
      <c r="D1507">
        <f>SUM($C$3:C1507)</f>
        <v>4</v>
      </c>
      <c r="E1507" t="e">
        <f t="shared" si="70"/>
        <v>#N/A</v>
      </c>
      <c r="F1507" s="28" t="str">
        <f t="shared" ca="1" si="71"/>
        <v/>
      </c>
    </row>
    <row r="1508" spans="2:6" x14ac:dyDescent="0.2">
      <c r="B1508" t="str">
        <f>IFERROR(IF('PDCA review'!$D$2=Act!B1509,Act!G1509,""),"")</f>
        <v/>
      </c>
      <c r="C1508">
        <f t="shared" si="69"/>
        <v>0</v>
      </c>
      <c r="D1508">
        <f>SUM($C$3:C1508)</f>
        <v>4</v>
      </c>
      <c r="E1508" t="e">
        <f t="shared" si="70"/>
        <v>#N/A</v>
      </c>
      <c r="F1508" s="28" t="str">
        <f t="shared" ca="1" si="71"/>
        <v/>
      </c>
    </row>
    <row r="1509" spans="2:6" x14ac:dyDescent="0.2">
      <c r="B1509" t="str">
        <f>IFERROR(IF('PDCA review'!$D$2=Act!B1510,Act!G1510,""),"")</f>
        <v/>
      </c>
      <c r="C1509">
        <f t="shared" si="69"/>
        <v>0</v>
      </c>
      <c r="D1509">
        <f>SUM($C$3:C1509)</f>
        <v>4</v>
      </c>
      <c r="E1509" t="e">
        <f t="shared" si="70"/>
        <v>#N/A</v>
      </c>
      <c r="F1509" s="28" t="str">
        <f t="shared" ca="1" si="71"/>
        <v/>
      </c>
    </row>
    <row r="1510" spans="2:6" x14ac:dyDescent="0.2">
      <c r="B1510" t="str">
        <f>IFERROR(IF('PDCA review'!$D$2=Act!B1511,Act!G1511,""),"")</f>
        <v/>
      </c>
      <c r="C1510">
        <f t="shared" si="69"/>
        <v>0</v>
      </c>
      <c r="D1510">
        <f>SUM($C$3:C1510)</f>
        <v>4</v>
      </c>
      <c r="E1510" t="e">
        <f t="shared" si="70"/>
        <v>#N/A</v>
      </c>
      <c r="F1510" s="28" t="str">
        <f t="shared" ca="1" si="71"/>
        <v/>
      </c>
    </row>
    <row r="1511" spans="2:6" x14ac:dyDescent="0.2">
      <c r="B1511" t="str">
        <f>IFERROR(IF('PDCA review'!$D$2=Act!B1512,Act!G1512,""),"")</f>
        <v/>
      </c>
      <c r="C1511">
        <f t="shared" si="69"/>
        <v>0</v>
      </c>
      <c r="D1511">
        <f>SUM($C$3:C1511)</f>
        <v>4</v>
      </c>
      <c r="E1511" t="e">
        <f t="shared" si="70"/>
        <v>#N/A</v>
      </c>
      <c r="F1511" s="28" t="str">
        <f t="shared" ca="1" si="71"/>
        <v/>
      </c>
    </row>
    <row r="1512" spans="2:6" x14ac:dyDescent="0.2">
      <c r="B1512" t="str">
        <f>IFERROR(IF('PDCA review'!$D$2=Act!B1513,Act!G1513,""),"")</f>
        <v/>
      </c>
      <c r="C1512">
        <f t="shared" si="69"/>
        <v>0</v>
      </c>
      <c r="D1512">
        <f>SUM($C$3:C1512)</f>
        <v>4</v>
      </c>
      <c r="E1512" t="e">
        <f t="shared" si="70"/>
        <v>#N/A</v>
      </c>
      <c r="F1512" s="28" t="str">
        <f t="shared" ca="1" si="71"/>
        <v/>
      </c>
    </row>
    <row r="1513" spans="2:6" x14ac:dyDescent="0.2">
      <c r="B1513" t="str">
        <f>IFERROR(IF('PDCA review'!$D$2=Act!B1514,Act!G1514,""),"")</f>
        <v/>
      </c>
      <c r="C1513">
        <f t="shared" si="69"/>
        <v>0</v>
      </c>
      <c r="D1513">
        <f>SUM($C$3:C1513)</f>
        <v>4</v>
      </c>
      <c r="E1513" t="e">
        <f t="shared" si="70"/>
        <v>#N/A</v>
      </c>
      <c r="F1513" s="28" t="str">
        <f t="shared" ca="1" si="71"/>
        <v/>
      </c>
    </row>
    <row r="1514" spans="2:6" x14ac:dyDescent="0.2">
      <c r="B1514" t="str">
        <f>IFERROR(IF('PDCA review'!$D$2=Act!B1515,Act!G1515,""),"")</f>
        <v/>
      </c>
      <c r="C1514">
        <f t="shared" si="69"/>
        <v>0</v>
      </c>
      <c r="D1514">
        <f>SUM($C$3:C1514)</f>
        <v>4</v>
      </c>
      <c r="E1514" t="e">
        <f t="shared" si="70"/>
        <v>#N/A</v>
      </c>
      <c r="F1514" s="28" t="str">
        <f t="shared" ca="1" si="71"/>
        <v/>
      </c>
    </row>
    <row r="1515" spans="2:6" x14ac:dyDescent="0.2">
      <c r="B1515" t="str">
        <f>IFERROR(IF('PDCA review'!$D$2=Act!B1516,Act!G1516,""),"")</f>
        <v/>
      </c>
      <c r="C1515">
        <f t="shared" si="69"/>
        <v>0</v>
      </c>
      <c r="D1515">
        <f>SUM($C$3:C1515)</f>
        <v>4</v>
      </c>
      <c r="E1515" t="e">
        <f t="shared" si="70"/>
        <v>#N/A</v>
      </c>
      <c r="F1515" s="28" t="str">
        <f t="shared" ca="1" si="71"/>
        <v/>
      </c>
    </row>
    <row r="1516" spans="2:6" x14ac:dyDescent="0.2">
      <c r="B1516" t="str">
        <f>IFERROR(IF('PDCA review'!$D$2=Act!B1517,Act!G1517,""),"")</f>
        <v/>
      </c>
      <c r="C1516">
        <f t="shared" si="69"/>
        <v>0</v>
      </c>
      <c r="D1516">
        <f>SUM($C$3:C1516)</f>
        <v>4</v>
      </c>
      <c r="E1516" t="e">
        <f t="shared" si="70"/>
        <v>#N/A</v>
      </c>
      <c r="F1516" s="28" t="str">
        <f t="shared" ca="1" si="71"/>
        <v/>
      </c>
    </row>
    <row r="1517" spans="2:6" x14ac:dyDescent="0.2">
      <c r="B1517" t="str">
        <f>IFERROR(IF('PDCA review'!$D$2=Act!B1518,Act!G1518,""),"")</f>
        <v/>
      </c>
      <c r="C1517">
        <f t="shared" si="69"/>
        <v>0</v>
      </c>
      <c r="D1517">
        <f>SUM($C$3:C1517)</f>
        <v>4</v>
      </c>
      <c r="E1517" t="e">
        <f t="shared" si="70"/>
        <v>#N/A</v>
      </c>
      <c r="F1517" s="28" t="str">
        <f t="shared" ca="1" si="71"/>
        <v/>
      </c>
    </row>
    <row r="1518" spans="2:6" x14ac:dyDescent="0.2">
      <c r="B1518" t="str">
        <f>IFERROR(IF('PDCA review'!$D$2=Act!B1519,Act!G1519,""),"")</f>
        <v/>
      </c>
      <c r="C1518">
        <f t="shared" si="69"/>
        <v>0</v>
      </c>
      <c r="D1518">
        <f>SUM($C$3:C1518)</f>
        <v>4</v>
      </c>
      <c r="E1518" t="e">
        <f t="shared" si="70"/>
        <v>#N/A</v>
      </c>
      <c r="F1518" s="28" t="str">
        <f t="shared" ca="1" si="71"/>
        <v/>
      </c>
    </row>
    <row r="1519" spans="2:6" x14ac:dyDescent="0.2">
      <c r="B1519" t="str">
        <f>IFERROR(IF('PDCA review'!$D$2=Act!B1520,Act!G1520,""),"")</f>
        <v/>
      </c>
      <c r="C1519">
        <f t="shared" si="69"/>
        <v>0</v>
      </c>
      <c r="D1519">
        <f>SUM($C$3:C1519)</f>
        <v>4</v>
      </c>
      <c r="E1519" t="e">
        <f t="shared" si="70"/>
        <v>#N/A</v>
      </c>
      <c r="F1519" s="28" t="str">
        <f t="shared" ca="1" si="71"/>
        <v/>
      </c>
    </row>
    <row r="1520" spans="2:6" x14ac:dyDescent="0.2">
      <c r="B1520" t="str">
        <f>IFERROR(IF('PDCA review'!$D$2=Act!B1521,Act!G1521,""),"")</f>
        <v/>
      </c>
      <c r="C1520">
        <f t="shared" si="69"/>
        <v>0</v>
      </c>
      <c r="D1520">
        <f>SUM($C$3:C1520)</f>
        <v>4</v>
      </c>
      <c r="E1520" t="e">
        <f t="shared" si="70"/>
        <v>#N/A</v>
      </c>
      <c r="F1520" s="28" t="str">
        <f t="shared" ca="1" si="71"/>
        <v/>
      </c>
    </row>
    <row r="1521" spans="2:6" x14ac:dyDescent="0.2">
      <c r="B1521" t="str">
        <f>IFERROR(IF('PDCA review'!$D$2=Act!B1522,Act!G1522,""),"")</f>
        <v/>
      </c>
      <c r="C1521">
        <f t="shared" si="69"/>
        <v>0</v>
      </c>
      <c r="D1521">
        <f>SUM($C$3:C1521)</f>
        <v>4</v>
      </c>
      <c r="E1521" t="e">
        <f t="shared" si="70"/>
        <v>#N/A</v>
      </c>
      <c r="F1521" s="28" t="str">
        <f t="shared" ca="1" si="71"/>
        <v/>
      </c>
    </row>
    <row r="1522" spans="2:6" x14ac:dyDescent="0.2">
      <c r="B1522" t="str">
        <f>IFERROR(IF('PDCA review'!$D$2=Act!B1523,Act!G1523,""),"")</f>
        <v/>
      </c>
      <c r="C1522">
        <f t="shared" si="69"/>
        <v>0</v>
      </c>
      <c r="D1522">
        <f>SUM($C$3:C1522)</f>
        <v>4</v>
      </c>
      <c r="E1522" t="e">
        <f t="shared" si="70"/>
        <v>#N/A</v>
      </c>
      <c r="F1522" s="28" t="str">
        <f t="shared" ca="1" si="71"/>
        <v/>
      </c>
    </row>
    <row r="1523" spans="2:6" x14ac:dyDescent="0.2">
      <c r="B1523" t="str">
        <f>IFERROR(IF('PDCA review'!$D$2=Act!B1524,Act!G1524,""),"")</f>
        <v/>
      </c>
      <c r="C1523">
        <f t="shared" si="69"/>
        <v>0</v>
      </c>
      <c r="D1523">
        <f>SUM($C$3:C1523)</f>
        <v>4</v>
      </c>
      <c r="E1523" t="e">
        <f t="shared" si="70"/>
        <v>#N/A</v>
      </c>
      <c r="F1523" s="28" t="str">
        <f t="shared" ca="1" si="71"/>
        <v/>
      </c>
    </row>
    <row r="1524" spans="2:6" x14ac:dyDescent="0.2">
      <c r="B1524" t="str">
        <f>IFERROR(IF('PDCA review'!$D$2=Act!B1525,Act!G1525,""),"")</f>
        <v/>
      </c>
      <c r="C1524">
        <f t="shared" si="69"/>
        <v>0</v>
      </c>
      <c r="D1524">
        <f>SUM($C$3:C1524)</f>
        <v>4</v>
      </c>
      <c r="E1524" t="e">
        <f t="shared" si="70"/>
        <v>#N/A</v>
      </c>
      <c r="F1524" s="28" t="str">
        <f t="shared" ca="1" si="71"/>
        <v/>
      </c>
    </row>
    <row r="1525" spans="2:6" x14ac:dyDescent="0.2">
      <c r="B1525" t="str">
        <f>IFERROR(IF('PDCA review'!$D$2=Act!B1526,Act!G1526,""),"")</f>
        <v/>
      </c>
      <c r="C1525">
        <f t="shared" si="69"/>
        <v>0</v>
      </c>
      <c r="D1525">
        <f>SUM($C$3:C1525)</f>
        <v>4</v>
      </c>
      <c r="E1525" t="e">
        <f t="shared" si="70"/>
        <v>#N/A</v>
      </c>
      <c r="F1525" s="28" t="str">
        <f t="shared" ca="1" si="71"/>
        <v/>
      </c>
    </row>
    <row r="1526" spans="2:6" x14ac:dyDescent="0.2">
      <c r="B1526" t="str">
        <f>IFERROR(IF('PDCA review'!$D$2=Act!B1527,Act!G1527,""),"")</f>
        <v/>
      </c>
      <c r="C1526">
        <f t="shared" si="69"/>
        <v>0</v>
      </c>
      <c r="D1526">
        <f>SUM($C$3:C1526)</f>
        <v>4</v>
      </c>
      <c r="E1526" t="e">
        <f t="shared" si="70"/>
        <v>#N/A</v>
      </c>
      <c r="F1526" s="28" t="str">
        <f t="shared" ca="1" si="71"/>
        <v/>
      </c>
    </row>
    <row r="1527" spans="2:6" x14ac:dyDescent="0.2">
      <c r="B1527" t="str">
        <f>IFERROR(IF('PDCA review'!$D$2=Act!B1528,Act!G1528,""),"")</f>
        <v/>
      </c>
      <c r="C1527">
        <f t="shared" si="69"/>
        <v>0</v>
      </c>
      <c r="D1527">
        <f>SUM($C$3:C1527)</f>
        <v>4</v>
      </c>
      <c r="E1527" t="e">
        <f t="shared" si="70"/>
        <v>#N/A</v>
      </c>
      <c r="F1527" s="28" t="str">
        <f t="shared" ca="1" si="71"/>
        <v/>
      </c>
    </row>
    <row r="1528" spans="2:6" x14ac:dyDescent="0.2">
      <c r="B1528" t="str">
        <f>IFERROR(IF('PDCA review'!$D$2=Act!B1529,Act!G1529,""),"")</f>
        <v/>
      </c>
      <c r="C1528">
        <f t="shared" si="69"/>
        <v>0</v>
      </c>
      <c r="D1528">
        <f>SUM($C$3:C1528)</f>
        <v>4</v>
      </c>
      <c r="E1528" t="e">
        <f t="shared" si="70"/>
        <v>#N/A</v>
      </c>
      <c r="F1528" s="28" t="str">
        <f t="shared" ca="1" si="71"/>
        <v/>
      </c>
    </row>
    <row r="1529" spans="2:6" x14ac:dyDescent="0.2">
      <c r="B1529" t="str">
        <f>IFERROR(IF('PDCA review'!$D$2=Act!B1530,Act!G1530,""),"")</f>
        <v/>
      </c>
      <c r="C1529">
        <f t="shared" si="69"/>
        <v>0</v>
      </c>
      <c r="D1529">
        <f>SUM($C$3:C1529)</f>
        <v>4</v>
      </c>
      <c r="E1529" t="e">
        <f t="shared" si="70"/>
        <v>#N/A</v>
      </c>
      <c r="F1529" s="28" t="str">
        <f t="shared" ca="1" si="71"/>
        <v/>
      </c>
    </row>
    <row r="1530" spans="2:6" x14ac:dyDescent="0.2">
      <c r="B1530" t="str">
        <f>IFERROR(IF('PDCA review'!$D$2=Act!B1531,Act!G1531,""),"")</f>
        <v/>
      </c>
      <c r="C1530">
        <f t="shared" si="69"/>
        <v>0</v>
      </c>
      <c r="D1530">
        <f>SUM($C$3:C1530)</f>
        <v>4</v>
      </c>
      <c r="E1530" t="e">
        <f t="shared" si="70"/>
        <v>#N/A</v>
      </c>
      <c r="F1530" s="28" t="str">
        <f t="shared" ca="1" si="71"/>
        <v/>
      </c>
    </row>
    <row r="1531" spans="2:6" x14ac:dyDescent="0.2">
      <c r="B1531" t="str">
        <f>IFERROR(IF('PDCA review'!$D$2=Act!B1532,Act!G1532,""),"")</f>
        <v/>
      </c>
      <c r="C1531">
        <f t="shared" si="69"/>
        <v>0</v>
      </c>
      <c r="D1531">
        <f>SUM($C$3:C1531)</f>
        <v>4</v>
      </c>
      <c r="E1531" t="e">
        <f t="shared" si="70"/>
        <v>#N/A</v>
      </c>
      <c r="F1531" s="28" t="str">
        <f t="shared" ca="1" si="71"/>
        <v/>
      </c>
    </row>
    <row r="1532" spans="2:6" x14ac:dyDescent="0.2">
      <c r="B1532" t="str">
        <f>IFERROR(IF('PDCA review'!$D$2=Act!B1533,Act!G1533,""),"")</f>
        <v/>
      </c>
      <c r="C1532">
        <f t="shared" si="69"/>
        <v>0</v>
      </c>
      <c r="D1532">
        <f>SUM($C$3:C1532)</f>
        <v>4</v>
      </c>
      <c r="E1532" t="e">
        <f t="shared" si="70"/>
        <v>#N/A</v>
      </c>
      <c r="F1532" s="28" t="str">
        <f t="shared" ca="1" si="71"/>
        <v/>
      </c>
    </row>
    <row r="1533" spans="2:6" x14ac:dyDescent="0.2">
      <c r="B1533" t="str">
        <f>IFERROR(IF('PDCA review'!$D$2=Act!B1534,Act!G1534,""),"")</f>
        <v/>
      </c>
      <c r="C1533">
        <f t="shared" si="69"/>
        <v>0</v>
      </c>
      <c r="D1533">
        <f>SUM($C$3:C1533)</f>
        <v>4</v>
      </c>
      <c r="E1533" t="e">
        <f t="shared" si="70"/>
        <v>#N/A</v>
      </c>
      <c r="F1533" s="28" t="str">
        <f t="shared" ca="1" si="71"/>
        <v/>
      </c>
    </row>
    <row r="1534" spans="2:6" x14ac:dyDescent="0.2">
      <c r="B1534" t="str">
        <f>IFERROR(IF('PDCA review'!$D$2=Act!B1535,Act!G1535,""),"")</f>
        <v/>
      </c>
      <c r="C1534">
        <f t="shared" si="69"/>
        <v>0</v>
      </c>
      <c r="D1534">
        <f>SUM($C$3:C1534)</f>
        <v>4</v>
      </c>
      <c r="E1534" t="e">
        <f t="shared" si="70"/>
        <v>#N/A</v>
      </c>
      <c r="F1534" s="28" t="str">
        <f t="shared" ca="1" si="71"/>
        <v/>
      </c>
    </row>
    <row r="1535" spans="2:6" x14ac:dyDescent="0.2">
      <c r="B1535" t="str">
        <f>IFERROR(IF('PDCA review'!$D$2=Act!B1536,Act!G1536,""),"")</f>
        <v/>
      </c>
      <c r="C1535">
        <f t="shared" si="69"/>
        <v>0</v>
      </c>
      <c r="D1535">
        <f>SUM($C$3:C1535)</f>
        <v>4</v>
      </c>
      <c r="E1535" t="e">
        <f t="shared" si="70"/>
        <v>#N/A</v>
      </c>
      <c r="F1535" s="28" t="str">
        <f t="shared" ca="1" si="71"/>
        <v/>
      </c>
    </row>
    <row r="1536" spans="2:6" x14ac:dyDescent="0.2">
      <c r="B1536" t="str">
        <f>IFERROR(IF('PDCA review'!$D$2=Act!B1537,Act!G1537,""),"")</f>
        <v/>
      </c>
      <c r="C1536">
        <f t="shared" si="69"/>
        <v>0</v>
      </c>
      <c r="D1536">
        <f>SUM($C$3:C1536)</f>
        <v>4</v>
      </c>
      <c r="E1536" t="e">
        <f t="shared" si="70"/>
        <v>#N/A</v>
      </c>
      <c r="F1536" s="28" t="str">
        <f t="shared" ca="1" si="71"/>
        <v/>
      </c>
    </row>
    <row r="1537" spans="2:6" x14ac:dyDescent="0.2">
      <c r="B1537" t="str">
        <f>IFERROR(IF('PDCA review'!$D$2=Act!B1538,Act!G1538,""),"")</f>
        <v/>
      </c>
      <c r="C1537">
        <f t="shared" si="69"/>
        <v>0</v>
      </c>
      <c r="D1537">
        <f>SUM($C$3:C1537)</f>
        <v>4</v>
      </c>
      <c r="E1537" t="e">
        <f t="shared" si="70"/>
        <v>#N/A</v>
      </c>
      <c r="F1537" s="28" t="str">
        <f t="shared" ca="1" si="71"/>
        <v/>
      </c>
    </row>
    <row r="1538" spans="2:6" x14ac:dyDescent="0.2">
      <c r="B1538" t="str">
        <f>IFERROR(IF('PDCA review'!$D$2=Act!B1539,Act!G1539,""),"")</f>
        <v/>
      </c>
      <c r="C1538">
        <f t="shared" si="69"/>
        <v>0</v>
      </c>
      <c r="D1538">
        <f>SUM($C$3:C1538)</f>
        <v>4</v>
      </c>
      <c r="E1538" t="e">
        <f t="shared" si="70"/>
        <v>#N/A</v>
      </c>
      <c r="F1538" s="28" t="str">
        <f t="shared" ca="1" si="71"/>
        <v/>
      </c>
    </row>
    <row r="1539" spans="2:6" x14ac:dyDescent="0.2">
      <c r="B1539" t="str">
        <f>IFERROR(IF('PDCA review'!$D$2=Act!B1540,Act!G1540,""),"")</f>
        <v/>
      </c>
      <c r="C1539">
        <f t="shared" si="69"/>
        <v>0</v>
      </c>
      <c r="D1539">
        <f>SUM($C$3:C1539)</f>
        <v>4</v>
      </c>
      <c r="E1539" t="e">
        <f t="shared" si="70"/>
        <v>#N/A</v>
      </c>
      <c r="F1539" s="28" t="str">
        <f t="shared" ca="1" si="71"/>
        <v/>
      </c>
    </row>
    <row r="1540" spans="2:6" x14ac:dyDescent="0.2">
      <c r="B1540" t="str">
        <f>IFERROR(IF('PDCA review'!$D$2=Act!B1541,Act!G1541,""),"")</f>
        <v/>
      </c>
      <c r="C1540">
        <f t="shared" ref="C1540:C1603" si="72">IF(B1540&lt;&gt;"",1,0)</f>
        <v>0</v>
      </c>
      <c r="D1540">
        <f>SUM($C$3:C1540)</f>
        <v>4</v>
      </c>
      <c r="E1540" t="e">
        <f t="shared" ref="E1540:E1603" si="73">MATCH(ROW()-$D$2,$D$3:$D$2000,0)+$D$2</f>
        <v>#N/A</v>
      </c>
      <c r="F1540" s="28" t="str">
        <f t="shared" ref="F1540:F1603" ca="1" si="74">IFERROR(INDIRECT("B"&amp;E1540),"")</f>
        <v/>
      </c>
    </row>
    <row r="1541" spans="2:6" x14ac:dyDescent="0.2">
      <c r="B1541" t="str">
        <f>IFERROR(IF('PDCA review'!$D$2=Act!B1542,Act!G1542,""),"")</f>
        <v/>
      </c>
      <c r="C1541">
        <f t="shared" si="72"/>
        <v>0</v>
      </c>
      <c r="D1541">
        <f>SUM($C$3:C1541)</f>
        <v>4</v>
      </c>
      <c r="E1541" t="e">
        <f t="shared" si="73"/>
        <v>#N/A</v>
      </c>
      <c r="F1541" s="28" t="str">
        <f t="shared" ca="1" si="74"/>
        <v/>
      </c>
    </row>
    <row r="1542" spans="2:6" x14ac:dyDescent="0.2">
      <c r="B1542" t="str">
        <f>IFERROR(IF('PDCA review'!$D$2=Act!B1543,Act!G1543,""),"")</f>
        <v/>
      </c>
      <c r="C1542">
        <f t="shared" si="72"/>
        <v>0</v>
      </c>
      <c r="D1542">
        <f>SUM($C$3:C1542)</f>
        <v>4</v>
      </c>
      <c r="E1542" t="e">
        <f t="shared" si="73"/>
        <v>#N/A</v>
      </c>
      <c r="F1542" s="28" t="str">
        <f t="shared" ca="1" si="74"/>
        <v/>
      </c>
    </row>
    <row r="1543" spans="2:6" x14ac:dyDescent="0.2">
      <c r="B1543" t="str">
        <f>IFERROR(IF('PDCA review'!$D$2=Act!B1544,Act!G1544,""),"")</f>
        <v/>
      </c>
      <c r="C1543">
        <f t="shared" si="72"/>
        <v>0</v>
      </c>
      <c r="D1543">
        <f>SUM($C$3:C1543)</f>
        <v>4</v>
      </c>
      <c r="E1543" t="e">
        <f t="shared" si="73"/>
        <v>#N/A</v>
      </c>
      <c r="F1543" s="28" t="str">
        <f t="shared" ca="1" si="74"/>
        <v/>
      </c>
    </row>
    <row r="1544" spans="2:6" x14ac:dyDescent="0.2">
      <c r="B1544" t="str">
        <f>IFERROR(IF('PDCA review'!$D$2=Act!B1545,Act!G1545,""),"")</f>
        <v/>
      </c>
      <c r="C1544">
        <f t="shared" si="72"/>
        <v>0</v>
      </c>
      <c r="D1544">
        <f>SUM($C$3:C1544)</f>
        <v>4</v>
      </c>
      <c r="E1544" t="e">
        <f t="shared" si="73"/>
        <v>#N/A</v>
      </c>
      <c r="F1544" s="28" t="str">
        <f t="shared" ca="1" si="74"/>
        <v/>
      </c>
    </row>
    <row r="1545" spans="2:6" x14ac:dyDescent="0.2">
      <c r="B1545" t="str">
        <f>IFERROR(IF('PDCA review'!$D$2=Act!B1546,Act!G1546,""),"")</f>
        <v/>
      </c>
      <c r="C1545">
        <f t="shared" si="72"/>
        <v>0</v>
      </c>
      <c r="D1545">
        <f>SUM($C$3:C1545)</f>
        <v>4</v>
      </c>
      <c r="E1545" t="e">
        <f t="shared" si="73"/>
        <v>#N/A</v>
      </c>
      <c r="F1545" s="28" t="str">
        <f t="shared" ca="1" si="74"/>
        <v/>
      </c>
    </row>
    <row r="1546" spans="2:6" x14ac:dyDescent="0.2">
      <c r="B1546" t="str">
        <f>IFERROR(IF('PDCA review'!$D$2=Act!B1547,Act!G1547,""),"")</f>
        <v/>
      </c>
      <c r="C1546">
        <f t="shared" si="72"/>
        <v>0</v>
      </c>
      <c r="D1546">
        <f>SUM($C$3:C1546)</f>
        <v>4</v>
      </c>
      <c r="E1546" t="e">
        <f t="shared" si="73"/>
        <v>#N/A</v>
      </c>
      <c r="F1546" s="28" t="str">
        <f t="shared" ca="1" si="74"/>
        <v/>
      </c>
    </row>
    <row r="1547" spans="2:6" x14ac:dyDescent="0.2">
      <c r="B1547" t="str">
        <f>IFERROR(IF('PDCA review'!$D$2=Act!B1548,Act!G1548,""),"")</f>
        <v/>
      </c>
      <c r="C1547">
        <f t="shared" si="72"/>
        <v>0</v>
      </c>
      <c r="D1547">
        <f>SUM($C$3:C1547)</f>
        <v>4</v>
      </c>
      <c r="E1547" t="e">
        <f t="shared" si="73"/>
        <v>#N/A</v>
      </c>
      <c r="F1547" s="28" t="str">
        <f t="shared" ca="1" si="74"/>
        <v/>
      </c>
    </row>
    <row r="1548" spans="2:6" x14ac:dyDescent="0.2">
      <c r="B1548" t="str">
        <f>IFERROR(IF('PDCA review'!$D$2=Act!B1549,Act!G1549,""),"")</f>
        <v/>
      </c>
      <c r="C1548">
        <f t="shared" si="72"/>
        <v>0</v>
      </c>
      <c r="D1548">
        <f>SUM($C$3:C1548)</f>
        <v>4</v>
      </c>
      <c r="E1548" t="e">
        <f t="shared" si="73"/>
        <v>#N/A</v>
      </c>
      <c r="F1548" s="28" t="str">
        <f t="shared" ca="1" si="74"/>
        <v/>
      </c>
    </row>
    <row r="1549" spans="2:6" x14ac:dyDescent="0.2">
      <c r="B1549" t="str">
        <f>IFERROR(IF('PDCA review'!$D$2=Act!B1550,Act!G1550,""),"")</f>
        <v/>
      </c>
      <c r="C1549">
        <f t="shared" si="72"/>
        <v>0</v>
      </c>
      <c r="D1549">
        <f>SUM($C$3:C1549)</f>
        <v>4</v>
      </c>
      <c r="E1549" t="e">
        <f t="shared" si="73"/>
        <v>#N/A</v>
      </c>
      <c r="F1549" s="28" t="str">
        <f t="shared" ca="1" si="74"/>
        <v/>
      </c>
    </row>
    <row r="1550" spans="2:6" x14ac:dyDescent="0.2">
      <c r="B1550" t="str">
        <f>IFERROR(IF('PDCA review'!$D$2=Act!B1551,Act!G1551,""),"")</f>
        <v/>
      </c>
      <c r="C1550">
        <f t="shared" si="72"/>
        <v>0</v>
      </c>
      <c r="D1550">
        <f>SUM($C$3:C1550)</f>
        <v>4</v>
      </c>
      <c r="E1550" t="e">
        <f t="shared" si="73"/>
        <v>#N/A</v>
      </c>
      <c r="F1550" s="28" t="str">
        <f t="shared" ca="1" si="74"/>
        <v/>
      </c>
    </row>
    <row r="1551" spans="2:6" x14ac:dyDescent="0.2">
      <c r="B1551" t="str">
        <f>IFERROR(IF('PDCA review'!$D$2=Act!B1552,Act!G1552,""),"")</f>
        <v/>
      </c>
      <c r="C1551">
        <f t="shared" si="72"/>
        <v>0</v>
      </c>
      <c r="D1551">
        <f>SUM($C$3:C1551)</f>
        <v>4</v>
      </c>
      <c r="E1551" t="e">
        <f t="shared" si="73"/>
        <v>#N/A</v>
      </c>
      <c r="F1551" s="28" t="str">
        <f t="shared" ca="1" si="74"/>
        <v/>
      </c>
    </row>
    <row r="1552" spans="2:6" x14ac:dyDescent="0.2">
      <c r="B1552" t="str">
        <f>IFERROR(IF('PDCA review'!$D$2=Act!B1553,Act!G1553,""),"")</f>
        <v/>
      </c>
      <c r="C1552">
        <f t="shared" si="72"/>
        <v>0</v>
      </c>
      <c r="D1552">
        <f>SUM($C$3:C1552)</f>
        <v>4</v>
      </c>
      <c r="E1552" t="e">
        <f t="shared" si="73"/>
        <v>#N/A</v>
      </c>
      <c r="F1552" s="28" t="str">
        <f t="shared" ca="1" si="74"/>
        <v/>
      </c>
    </row>
    <row r="1553" spans="2:6" x14ac:dyDescent="0.2">
      <c r="B1553" t="str">
        <f>IFERROR(IF('PDCA review'!$D$2=Act!B1554,Act!G1554,""),"")</f>
        <v/>
      </c>
      <c r="C1553">
        <f t="shared" si="72"/>
        <v>0</v>
      </c>
      <c r="D1553">
        <f>SUM($C$3:C1553)</f>
        <v>4</v>
      </c>
      <c r="E1553" t="e">
        <f t="shared" si="73"/>
        <v>#N/A</v>
      </c>
      <c r="F1553" s="28" t="str">
        <f t="shared" ca="1" si="74"/>
        <v/>
      </c>
    </row>
    <row r="1554" spans="2:6" x14ac:dyDescent="0.2">
      <c r="B1554" t="str">
        <f>IFERROR(IF('PDCA review'!$D$2=Act!B1555,Act!G1555,""),"")</f>
        <v/>
      </c>
      <c r="C1554">
        <f t="shared" si="72"/>
        <v>0</v>
      </c>
      <c r="D1554">
        <f>SUM($C$3:C1554)</f>
        <v>4</v>
      </c>
      <c r="E1554" t="e">
        <f t="shared" si="73"/>
        <v>#N/A</v>
      </c>
      <c r="F1554" s="28" t="str">
        <f t="shared" ca="1" si="74"/>
        <v/>
      </c>
    </row>
    <row r="1555" spans="2:6" x14ac:dyDescent="0.2">
      <c r="B1555" t="str">
        <f>IFERROR(IF('PDCA review'!$D$2=Act!B1556,Act!G1556,""),"")</f>
        <v/>
      </c>
      <c r="C1555">
        <f t="shared" si="72"/>
        <v>0</v>
      </c>
      <c r="D1555">
        <f>SUM($C$3:C1555)</f>
        <v>4</v>
      </c>
      <c r="E1555" t="e">
        <f t="shared" si="73"/>
        <v>#N/A</v>
      </c>
      <c r="F1555" s="28" t="str">
        <f t="shared" ca="1" si="74"/>
        <v/>
      </c>
    </row>
    <row r="1556" spans="2:6" x14ac:dyDescent="0.2">
      <c r="B1556" t="str">
        <f>IFERROR(IF('PDCA review'!$D$2=Act!B1557,Act!G1557,""),"")</f>
        <v/>
      </c>
      <c r="C1556">
        <f t="shared" si="72"/>
        <v>0</v>
      </c>
      <c r="D1556">
        <f>SUM($C$3:C1556)</f>
        <v>4</v>
      </c>
      <c r="E1556" t="e">
        <f t="shared" si="73"/>
        <v>#N/A</v>
      </c>
      <c r="F1556" s="28" t="str">
        <f t="shared" ca="1" si="74"/>
        <v/>
      </c>
    </row>
    <row r="1557" spans="2:6" x14ac:dyDescent="0.2">
      <c r="B1557" t="str">
        <f>IFERROR(IF('PDCA review'!$D$2=Act!B1558,Act!G1558,""),"")</f>
        <v/>
      </c>
      <c r="C1557">
        <f t="shared" si="72"/>
        <v>0</v>
      </c>
      <c r="D1557">
        <f>SUM($C$3:C1557)</f>
        <v>4</v>
      </c>
      <c r="E1557" t="e">
        <f t="shared" si="73"/>
        <v>#N/A</v>
      </c>
      <c r="F1557" s="28" t="str">
        <f t="shared" ca="1" si="74"/>
        <v/>
      </c>
    </row>
    <row r="1558" spans="2:6" x14ac:dyDescent="0.2">
      <c r="B1558" t="str">
        <f>IFERROR(IF('PDCA review'!$D$2=Act!B1559,Act!G1559,""),"")</f>
        <v/>
      </c>
      <c r="C1558">
        <f t="shared" si="72"/>
        <v>0</v>
      </c>
      <c r="D1558">
        <f>SUM($C$3:C1558)</f>
        <v>4</v>
      </c>
      <c r="E1558" t="e">
        <f t="shared" si="73"/>
        <v>#N/A</v>
      </c>
      <c r="F1558" s="28" t="str">
        <f t="shared" ca="1" si="74"/>
        <v/>
      </c>
    </row>
    <row r="1559" spans="2:6" x14ac:dyDescent="0.2">
      <c r="B1559" t="str">
        <f>IFERROR(IF('PDCA review'!$D$2=Act!B1560,Act!G1560,""),"")</f>
        <v/>
      </c>
      <c r="C1559">
        <f t="shared" si="72"/>
        <v>0</v>
      </c>
      <c r="D1559">
        <f>SUM($C$3:C1559)</f>
        <v>4</v>
      </c>
      <c r="E1559" t="e">
        <f t="shared" si="73"/>
        <v>#N/A</v>
      </c>
      <c r="F1559" s="28" t="str">
        <f t="shared" ca="1" si="74"/>
        <v/>
      </c>
    </row>
    <row r="1560" spans="2:6" x14ac:dyDescent="0.2">
      <c r="B1560" t="str">
        <f>IFERROR(IF('PDCA review'!$D$2=Act!B1561,Act!G1561,""),"")</f>
        <v/>
      </c>
      <c r="C1560">
        <f t="shared" si="72"/>
        <v>0</v>
      </c>
      <c r="D1560">
        <f>SUM($C$3:C1560)</f>
        <v>4</v>
      </c>
      <c r="E1560" t="e">
        <f t="shared" si="73"/>
        <v>#N/A</v>
      </c>
      <c r="F1560" s="28" t="str">
        <f t="shared" ca="1" si="74"/>
        <v/>
      </c>
    </row>
    <row r="1561" spans="2:6" x14ac:dyDescent="0.2">
      <c r="B1561" t="str">
        <f>IFERROR(IF('PDCA review'!$D$2=Act!B1562,Act!G1562,""),"")</f>
        <v/>
      </c>
      <c r="C1561">
        <f t="shared" si="72"/>
        <v>0</v>
      </c>
      <c r="D1561">
        <f>SUM($C$3:C1561)</f>
        <v>4</v>
      </c>
      <c r="E1561" t="e">
        <f t="shared" si="73"/>
        <v>#N/A</v>
      </c>
      <c r="F1561" s="28" t="str">
        <f t="shared" ca="1" si="74"/>
        <v/>
      </c>
    </row>
    <row r="1562" spans="2:6" x14ac:dyDescent="0.2">
      <c r="B1562" t="str">
        <f>IFERROR(IF('PDCA review'!$D$2=Act!B1563,Act!G1563,""),"")</f>
        <v/>
      </c>
      <c r="C1562">
        <f t="shared" si="72"/>
        <v>0</v>
      </c>
      <c r="D1562">
        <f>SUM($C$3:C1562)</f>
        <v>4</v>
      </c>
      <c r="E1562" t="e">
        <f t="shared" si="73"/>
        <v>#N/A</v>
      </c>
      <c r="F1562" s="28" t="str">
        <f t="shared" ca="1" si="74"/>
        <v/>
      </c>
    </row>
    <row r="1563" spans="2:6" x14ac:dyDescent="0.2">
      <c r="B1563" t="str">
        <f>IFERROR(IF('PDCA review'!$D$2=Act!B1564,Act!G1564,""),"")</f>
        <v/>
      </c>
      <c r="C1563">
        <f t="shared" si="72"/>
        <v>0</v>
      </c>
      <c r="D1563">
        <f>SUM($C$3:C1563)</f>
        <v>4</v>
      </c>
      <c r="E1563" t="e">
        <f t="shared" si="73"/>
        <v>#N/A</v>
      </c>
      <c r="F1563" s="28" t="str">
        <f t="shared" ca="1" si="74"/>
        <v/>
      </c>
    </row>
    <row r="1564" spans="2:6" x14ac:dyDescent="0.2">
      <c r="B1564" t="str">
        <f>IFERROR(IF('PDCA review'!$D$2=Act!B1565,Act!G1565,""),"")</f>
        <v/>
      </c>
      <c r="C1564">
        <f t="shared" si="72"/>
        <v>0</v>
      </c>
      <c r="D1564">
        <f>SUM($C$3:C1564)</f>
        <v>4</v>
      </c>
      <c r="E1564" t="e">
        <f t="shared" si="73"/>
        <v>#N/A</v>
      </c>
      <c r="F1564" s="28" t="str">
        <f t="shared" ca="1" si="74"/>
        <v/>
      </c>
    </row>
    <row r="1565" spans="2:6" x14ac:dyDescent="0.2">
      <c r="B1565" t="str">
        <f>IFERROR(IF('PDCA review'!$D$2=Act!B1566,Act!G1566,""),"")</f>
        <v/>
      </c>
      <c r="C1565">
        <f t="shared" si="72"/>
        <v>0</v>
      </c>
      <c r="D1565">
        <f>SUM($C$3:C1565)</f>
        <v>4</v>
      </c>
      <c r="E1565" t="e">
        <f t="shared" si="73"/>
        <v>#N/A</v>
      </c>
      <c r="F1565" s="28" t="str">
        <f t="shared" ca="1" si="74"/>
        <v/>
      </c>
    </row>
    <row r="1566" spans="2:6" x14ac:dyDescent="0.2">
      <c r="B1566" t="str">
        <f>IFERROR(IF('PDCA review'!$D$2=Act!B1567,Act!G1567,""),"")</f>
        <v/>
      </c>
      <c r="C1566">
        <f t="shared" si="72"/>
        <v>0</v>
      </c>
      <c r="D1566">
        <f>SUM($C$3:C1566)</f>
        <v>4</v>
      </c>
      <c r="E1566" t="e">
        <f t="shared" si="73"/>
        <v>#N/A</v>
      </c>
      <c r="F1566" s="28" t="str">
        <f t="shared" ca="1" si="74"/>
        <v/>
      </c>
    </row>
    <row r="1567" spans="2:6" x14ac:dyDescent="0.2">
      <c r="B1567" t="str">
        <f>IFERROR(IF('PDCA review'!$D$2=Act!B1568,Act!G1568,""),"")</f>
        <v/>
      </c>
      <c r="C1567">
        <f t="shared" si="72"/>
        <v>0</v>
      </c>
      <c r="D1567">
        <f>SUM($C$3:C1567)</f>
        <v>4</v>
      </c>
      <c r="E1567" t="e">
        <f t="shared" si="73"/>
        <v>#N/A</v>
      </c>
      <c r="F1567" s="28" t="str">
        <f t="shared" ca="1" si="74"/>
        <v/>
      </c>
    </row>
    <row r="1568" spans="2:6" x14ac:dyDescent="0.2">
      <c r="B1568" t="str">
        <f>IFERROR(IF('PDCA review'!$D$2=Act!B1569,Act!G1569,""),"")</f>
        <v/>
      </c>
      <c r="C1568">
        <f t="shared" si="72"/>
        <v>0</v>
      </c>
      <c r="D1568">
        <f>SUM($C$3:C1568)</f>
        <v>4</v>
      </c>
      <c r="E1568" t="e">
        <f t="shared" si="73"/>
        <v>#N/A</v>
      </c>
      <c r="F1568" s="28" t="str">
        <f t="shared" ca="1" si="74"/>
        <v/>
      </c>
    </row>
    <row r="1569" spans="2:6" x14ac:dyDescent="0.2">
      <c r="B1569" t="str">
        <f>IFERROR(IF('PDCA review'!$D$2=Act!B1570,Act!G1570,""),"")</f>
        <v/>
      </c>
      <c r="C1569">
        <f t="shared" si="72"/>
        <v>0</v>
      </c>
      <c r="D1569">
        <f>SUM($C$3:C1569)</f>
        <v>4</v>
      </c>
      <c r="E1569" t="e">
        <f t="shared" si="73"/>
        <v>#N/A</v>
      </c>
      <c r="F1569" s="28" t="str">
        <f t="shared" ca="1" si="74"/>
        <v/>
      </c>
    </row>
    <row r="1570" spans="2:6" x14ac:dyDescent="0.2">
      <c r="B1570" t="str">
        <f>IFERROR(IF('PDCA review'!$D$2=Act!B1571,Act!G1571,""),"")</f>
        <v/>
      </c>
      <c r="C1570">
        <f t="shared" si="72"/>
        <v>0</v>
      </c>
      <c r="D1570">
        <f>SUM($C$3:C1570)</f>
        <v>4</v>
      </c>
      <c r="E1570" t="e">
        <f t="shared" si="73"/>
        <v>#N/A</v>
      </c>
      <c r="F1570" s="28" t="str">
        <f t="shared" ca="1" si="74"/>
        <v/>
      </c>
    </row>
    <row r="1571" spans="2:6" x14ac:dyDescent="0.2">
      <c r="B1571" t="str">
        <f>IFERROR(IF('PDCA review'!$D$2=Act!B1572,Act!G1572,""),"")</f>
        <v/>
      </c>
      <c r="C1571">
        <f t="shared" si="72"/>
        <v>0</v>
      </c>
      <c r="D1571">
        <f>SUM($C$3:C1571)</f>
        <v>4</v>
      </c>
      <c r="E1571" t="e">
        <f t="shared" si="73"/>
        <v>#N/A</v>
      </c>
      <c r="F1571" s="28" t="str">
        <f t="shared" ca="1" si="74"/>
        <v/>
      </c>
    </row>
    <row r="1572" spans="2:6" x14ac:dyDescent="0.2">
      <c r="B1572" t="str">
        <f>IFERROR(IF('PDCA review'!$D$2=Act!B1573,Act!G1573,""),"")</f>
        <v/>
      </c>
      <c r="C1572">
        <f t="shared" si="72"/>
        <v>0</v>
      </c>
      <c r="D1572">
        <f>SUM($C$3:C1572)</f>
        <v>4</v>
      </c>
      <c r="E1572" t="e">
        <f t="shared" si="73"/>
        <v>#N/A</v>
      </c>
      <c r="F1572" s="28" t="str">
        <f t="shared" ca="1" si="74"/>
        <v/>
      </c>
    </row>
    <row r="1573" spans="2:6" x14ac:dyDescent="0.2">
      <c r="B1573" t="str">
        <f>IFERROR(IF('PDCA review'!$D$2=Act!B1574,Act!G1574,""),"")</f>
        <v/>
      </c>
      <c r="C1573">
        <f t="shared" si="72"/>
        <v>0</v>
      </c>
      <c r="D1573">
        <f>SUM($C$3:C1573)</f>
        <v>4</v>
      </c>
      <c r="E1573" t="e">
        <f t="shared" si="73"/>
        <v>#N/A</v>
      </c>
      <c r="F1573" s="28" t="str">
        <f t="shared" ca="1" si="74"/>
        <v/>
      </c>
    </row>
    <row r="1574" spans="2:6" x14ac:dyDescent="0.2">
      <c r="B1574" t="str">
        <f>IFERROR(IF('PDCA review'!$D$2=Act!B1575,Act!G1575,""),"")</f>
        <v/>
      </c>
      <c r="C1574">
        <f t="shared" si="72"/>
        <v>0</v>
      </c>
      <c r="D1574">
        <f>SUM($C$3:C1574)</f>
        <v>4</v>
      </c>
      <c r="E1574" t="e">
        <f t="shared" si="73"/>
        <v>#N/A</v>
      </c>
      <c r="F1574" s="28" t="str">
        <f t="shared" ca="1" si="74"/>
        <v/>
      </c>
    </row>
    <row r="1575" spans="2:6" x14ac:dyDescent="0.2">
      <c r="B1575" t="str">
        <f>IFERROR(IF('PDCA review'!$D$2=Act!B1576,Act!G1576,""),"")</f>
        <v/>
      </c>
      <c r="C1575">
        <f t="shared" si="72"/>
        <v>0</v>
      </c>
      <c r="D1575">
        <f>SUM($C$3:C1575)</f>
        <v>4</v>
      </c>
      <c r="E1575" t="e">
        <f t="shared" si="73"/>
        <v>#N/A</v>
      </c>
      <c r="F1575" s="28" t="str">
        <f t="shared" ca="1" si="74"/>
        <v/>
      </c>
    </row>
    <row r="1576" spans="2:6" x14ac:dyDescent="0.2">
      <c r="B1576" t="str">
        <f>IFERROR(IF('PDCA review'!$D$2=Act!B1577,Act!G1577,""),"")</f>
        <v/>
      </c>
      <c r="C1576">
        <f t="shared" si="72"/>
        <v>0</v>
      </c>
      <c r="D1576">
        <f>SUM($C$3:C1576)</f>
        <v>4</v>
      </c>
      <c r="E1576" t="e">
        <f t="shared" si="73"/>
        <v>#N/A</v>
      </c>
      <c r="F1576" s="28" t="str">
        <f t="shared" ca="1" si="74"/>
        <v/>
      </c>
    </row>
    <row r="1577" spans="2:6" x14ac:dyDescent="0.2">
      <c r="B1577" t="str">
        <f>IFERROR(IF('PDCA review'!$D$2=Act!B1578,Act!G1578,""),"")</f>
        <v/>
      </c>
      <c r="C1577">
        <f t="shared" si="72"/>
        <v>0</v>
      </c>
      <c r="D1577">
        <f>SUM($C$3:C1577)</f>
        <v>4</v>
      </c>
      <c r="E1577" t="e">
        <f t="shared" si="73"/>
        <v>#N/A</v>
      </c>
      <c r="F1577" s="28" t="str">
        <f t="shared" ca="1" si="74"/>
        <v/>
      </c>
    </row>
    <row r="1578" spans="2:6" x14ac:dyDescent="0.2">
      <c r="B1578" t="str">
        <f>IFERROR(IF('PDCA review'!$D$2=Act!B1579,Act!G1579,""),"")</f>
        <v/>
      </c>
      <c r="C1578">
        <f t="shared" si="72"/>
        <v>0</v>
      </c>
      <c r="D1578">
        <f>SUM($C$3:C1578)</f>
        <v>4</v>
      </c>
      <c r="E1578" t="e">
        <f t="shared" si="73"/>
        <v>#N/A</v>
      </c>
      <c r="F1578" s="28" t="str">
        <f t="shared" ca="1" si="74"/>
        <v/>
      </c>
    </row>
    <row r="1579" spans="2:6" x14ac:dyDescent="0.2">
      <c r="B1579" t="str">
        <f>IFERROR(IF('PDCA review'!$D$2=Act!B1580,Act!G1580,""),"")</f>
        <v/>
      </c>
      <c r="C1579">
        <f t="shared" si="72"/>
        <v>0</v>
      </c>
      <c r="D1579">
        <f>SUM($C$3:C1579)</f>
        <v>4</v>
      </c>
      <c r="E1579" t="e">
        <f t="shared" si="73"/>
        <v>#N/A</v>
      </c>
      <c r="F1579" s="28" t="str">
        <f t="shared" ca="1" si="74"/>
        <v/>
      </c>
    </row>
    <row r="1580" spans="2:6" x14ac:dyDescent="0.2">
      <c r="B1580" t="str">
        <f>IFERROR(IF('PDCA review'!$D$2=Act!B1581,Act!G1581,""),"")</f>
        <v/>
      </c>
      <c r="C1580">
        <f t="shared" si="72"/>
        <v>0</v>
      </c>
      <c r="D1580">
        <f>SUM($C$3:C1580)</f>
        <v>4</v>
      </c>
      <c r="E1580" t="e">
        <f t="shared" si="73"/>
        <v>#N/A</v>
      </c>
      <c r="F1580" s="28" t="str">
        <f t="shared" ca="1" si="74"/>
        <v/>
      </c>
    </row>
    <row r="1581" spans="2:6" x14ac:dyDescent="0.2">
      <c r="B1581" t="str">
        <f>IFERROR(IF('PDCA review'!$D$2=Act!B1582,Act!G1582,""),"")</f>
        <v/>
      </c>
      <c r="C1581">
        <f t="shared" si="72"/>
        <v>0</v>
      </c>
      <c r="D1581">
        <f>SUM($C$3:C1581)</f>
        <v>4</v>
      </c>
      <c r="E1581" t="e">
        <f t="shared" si="73"/>
        <v>#N/A</v>
      </c>
      <c r="F1581" s="28" t="str">
        <f t="shared" ca="1" si="74"/>
        <v/>
      </c>
    </row>
    <row r="1582" spans="2:6" x14ac:dyDescent="0.2">
      <c r="B1582" t="str">
        <f>IFERROR(IF('PDCA review'!$D$2=Act!B1583,Act!G1583,""),"")</f>
        <v/>
      </c>
      <c r="C1582">
        <f t="shared" si="72"/>
        <v>0</v>
      </c>
      <c r="D1582">
        <f>SUM($C$3:C1582)</f>
        <v>4</v>
      </c>
      <c r="E1582" t="e">
        <f t="shared" si="73"/>
        <v>#N/A</v>
      </c>
      <c r="F1582" s="28" t="str">
        <f t="shared" ca="1" si="74"/>
        <v/>
      </c>
    </row>
    <row r="1583" spans="2:6" x14ac:dyDescent="0.2">
      <c r="B1583" t="str">
        <f>IFERROR(IF('PDCA review'!$D$2=Act!B1584,Act!G1584,""),"")</f>
        <v/>
      </c>
      <c r="C1583">
        <f t="shared" si="72"/>
        <v>0</v>
      </c>
      <c r="D1583">
        <f>SUM($C$3:C1583)</f>
        <v>4</v>
      </c>
      <c r="E1583" t="e">
        <f t="shared" si="73"/>
        <v>#N/A</v>
      </c>
      <c r="F1583" s="28" t="str">
        <f t="shared" ca="1" si="74"/>
        <v/>
      </c>
    </row>
    <row r="1584" spans="2:6" x14ac:dyDescent="0.2">
      <c r="B1584" t="str">
        <f>IFERROR(IF('PDCA review'!$D$2=Act!B1585,Act!G1585,""),"")</f>
        <v/>
      </c>
      <c r="C1584">
        <f t="shared" si="72"/>
        <v>0</v>
      </c>
      <c r="D1584">
        <f>SUM($C$3:C1584)</f>
        <v>4</v>
      </c>
      <c r="E1584" t="e">
        <f t="shared" si="73"/>
        <v>#N/A</v>
      </c>
      <c r="F1584" s="28" t="str">
        <f t="shared" ca="1" si="74"/>
        <v/>
      </c>
    </row>
    <row r="1585" spans="2:6" x14ac:dyDescent="0.2">
      <c r="B1585" t="str">
        <f>IFERROR(IF('PDCA review'!$D$2=Act!B1586,Act!G1586,""),"")</f>
        <v/>
      </c>
      <c r="C1585">
        <f t="shared" si="72"/>
        <v>0</v>
      </c>
      <c r="D1585">
        <f>SUM($C$3:C1585)</f>
        <v>4</v>
      </c>
      <c r="E1585" t="e">
        <f t="shared" si="73"/>
        <v>#N/A</v>
      </c>
      <c r="F1585" s="28" t="str">
        <f t="shared" ca="1" si="74"/>
        <v/>
      </c>
    </row>
    <row r="1586" spans="2:6" x14ac:dyDescent="0.2">
      <c r="B1586" t="str">
        <f>IFERROR(IF('PDCA review'!$D$2=Act!B1587,Act!G1587,""),"")</f>
        <v/>
      </c>
      <c r="C1586">
        <f t="shared" si="72"/>
        <v>0</v>
      </c>
      <c r="D1586">
        <f>SUM($C$3:C1586)</f>
        <v>4</v>
      </c>
      <c r="E1586" t="e">
        <f t="shared" si="73"/>
        <v>#N/A</v>
      </c>
      <c r="F1586" s="28" t="str">
        <f t="shared" ca="1" si="74"/>
        <v/>
      </c>
    </row>
    <row r="1587" spans="2:6" x14ac:dyDescent="0.2">
      <c r="B1587" t="str">
        <f>IFERROR(IF('PDCA review'!$D$2=Act!B1588,Act!G1588,""),"")</f>
        <v/>
      </c>
      <c r="C1587">
        <f t="shared" si="72"/>
        <v>0</v>
      </c>
      <c r="D1587">
        <f>SUM($C$3:C1587)</f>
        <v>4</v>
      </c>
      <c r="E1587" t="e">
        <f t="shared" si="73"/>
        <v>#N/A</v>
      </c>
      <c r="F1587" s="28" t="str">
        <f t="shared" ca="1" si="74"/>
        <v/>
      </c>
    </row>
    <row r="1588" spans="2:6" x14ac:dyDescent="0.2">
      <c r="B1588" t="str">
        <f>IFERROR(IF('PDCA review'!$D$2=Act!B1589,Act!G1589,""),"")</f>
        <v/>
      </c>
      <c r="C1588">
        <f t="shared" si="72"/>
        <v>0</v>
      </c>
      <c r="D1588">
        <f>SUM($C$3:C1588)</f>
        <v>4</v>
      </c>
      <c r="E1588" t="e">
        <f t="shared" si="73"/>
        <v>#N/A</v>
      </c>
      <c r="F1588" s="28" t="str">
        <f t="shared" ca="1" si="74"/>
        <v/>
      </c>
    </row>
    <row r="1589" spans="2:6" x14ac:dyDescent="0.2">
      <c r="B1589" t="str">
        <f>IFERROR(IF('PDCA review'!$D$2=Act!B1590,Act!G1590,""),"")</f>
        <v/>
      </c>
      <c r="C1589">
        <f t="shared" si="72"/>
        <v>0</v>
      </c>
      <c r="D1589">
        <f>SUM($C$3:C1589)</f>
        <v>4</v>
      </c>
      <c r="E1589" t="e">
        <f t="shared" si="73"/>
        <v>#N/A</v>
      </c>
      <c r="F1589" s="28" t="str">
        <f t="shared" ca="1" si="74"/>
        <v/>
      </c>
    </row>
    <row r="1590" spans="2:6" x14ac:dyDescent="0.2">
      <c r="B1590" t="str">
        <f>IFERROR(IF('PDCA review'!$D$2=Act!B1591,Act!G1591,""),"")</f>
        <v/>
      </c>
      <c r="C1590">
        <f t="shared" si="72"/>
        <v>0</v>
      </c>
      <c r="D1590">
        <f>SUM($C$3:C1590)</f>
        <v>4</v>
      </c>
      <c r="E1590" t="e">
        <f t="shared" si="73"/>
        <v>#N/A</v>
      </c>
      <c r="F1590" s="28" t="str">
        <f t="shared" ca="1" si="74"/>
        <v/>
      </c>
    </row>
    <row r="1591" spans="2:6" x14ac:dyDescent="0.2">
      <c r="B1591" t="str">
        <f>IFERROR(IF('PDCA review'!$D$2=Act!B1592,Act!G1592,""),"")</f>
        <v/>
      </c>
      <c r="C1591">
        <f t="shared" si="72"/>
        <v>0</v>
      </c>
      <c r="D1591">
        <f>SUM($C$3:C1591)</f>
        <v>4</v>
      </c>
      <c r="E1591" t="e">
        <f t="shared" si="73"/>
        <v>#N/A</v>
      </c>
      <c r="F1591" s="28" t="str">
        <f t="shared" ca="1" si="74"/>
        <v/>
      </c>
    </row>
    <row r="1592" spans="2:6" x14ac:dyDescent="0.2">
      <c r="B1592" t="str">
        <f>IFERROR(IF('PDCA review'!$D$2=Act!B1593,Act!G1593,""),"")</f>
        <v/>
      </c>
      <c r="C1592">
        <f t="shared" si="72"/>
        <v>0</v>
      </c>
      <c r="D1592">
        <f>SUM($C$3:C1592)</f>
        <v>4</v>
      </c>
      <c r="E1592" t="e">
        <f t="shared" si="73"/>
        <v>#N/A</v>
      </c>
      <c r="F1592" s="28" t="str">
        <f t="shared" ca="1" si="74"/>
        <v/>
      </c>
    </row>
    <row r="1593" spans="2:6" x14ac:dyDescent="0.2">
      <c r="B1593" t="str">
        <f>IFERROR(IF('PDCA review'!$D$2=Act!B1594,Act!G1594,""),"")</f>
        <v/>
      </c>
      <c r="C1593">
        <f t="shared" si="72"/>
        <v>0</v>
      </c>
      <c r="D1593">
        <f>SUM($C$3:C1593)</f>
        <v>4</v>
      </c>
      <c r="E1593" t="e">
        <f t="shared" si="73"/>
        <v>#N/A</v>
      </c>
      <c r="F1593" s="28" t="str">
        <f t="shared" ca="1" si="74"/>
        <v/>
      </c>
    </row>
    <row r="1594" spans="2:6" x14ac:dyDescent="0.2">
      <c r="B1594" t="str">
        <f>IFERROR(IF('PDCA review'!$D$2=Act!B1595,Act!G1595,""),"")</f>
        <v/>
      </c>
      <c r="C1594">
        <f t="shared" si="72"/>
        <v>0</v>
      </c>
      <c r="D1594">
        <f>SUM($C$3:C1594)</f>
        <v>4</v>
      </c>
      <c r="E1594" t="e">
        <f t="shared" si="73"/>
        <v>#N/A</v>
      </c>
      <c r="F1594" s="28" t="str">
        <f t="shared" ca="1" si="74"/>
        <v/>
      </c>
    </row>
    <row r="1595" spans="2:6" x14ac:dyDescent="0.2">
      <c r="B1595" t="str">
        <f>IFERROR(IF('PDCA review'!$D$2=Act!B1596,Act!G1596,""),"")</f>
        <v/>
      </c>
      <c r="C1595">
        <f t="shared" si="72"/>
        <v>0</v>
      </c>
      <c r="D1595">
        <f>SUM($C$3:C1595)</f>
        <v>4</v>
      </c>
      <c r="E1595" t="e">
        <f t="shared" si="73"/>
        <v>#N/A</v>
      </c>
      <c r="F1595" s="28" t="str">
        <f t="shared" ca="1" si="74"/>
        <v/>
      </c>
    </row>
    <row r="1596" spans="2:6" x14ac:dyDescent="0.2">
      <c r="B1596" t="str">
        <f>IFERROR(IF('PDCA review'!$D$2=Act!B1597,Act!G1597,""),"")</f>
        <v/>
      </c>
      <c r="C1596">
        <f t="shared" si="72"/>
        <v>0</v>
      </c>
      <c r="D1596">
        <f>SUM($C$3:C1596)</f>
        <v>4</v>
      </c>
      <c r="E1596" t="e">
        <f t="shared" si="73"/>
        <v>#N/A</v>
      </c>
      <c r="F1596" s="28" t="str">
        <f t="shared" ca="1" si="74"/>
        <v/>
      </c>
    </row>
    <row r="1597" spans="2:6" x14ac:dyDescent="0.2">
      <c r="B1597" t="str">
        <f>IFERROR(IF('PDCA review'!$D$2=Act!B1598,Act!G1598,""),"")</f>
        <v/>
      </c>
      <c r="C1597">
        <f t="shared" si="72"/>
        <v>0</v>
      </c>
      <c r="D1597">
        <f>SUM($C$3:C1597)</f>
        <v>4</v>
      </c>
      <c r="E1597" t="e">
        <f t="shared" si="73"/>
        <v>#N/A</v>
      </c>
      <c r="F1597" s="28" t="str">
        <f t="shared" ca="1" si="74"/>
        <v/>
      </c>
    </row>
    <row r="1598" spans="2:6" x14ac:dyDescent="0.2">
      <c r="B1598" t="str">
        <f>IFERROR(IF('PDCA review'!$D$2=Act!B1599,Act!G1599,""),"")</f>
        <v/>
      </c>
      <c r="C1598">
        <f t="shared" si="72"/>
        <v>0</v>
      </c>
      <c r="D1598">
        <f>SUM($C$3:C1598)</f>
        <v>4</v>
      </c>
      <c r="E1598" t="e">
        <f t="shared" si="73"/>
        <v>#N/A</v>
      </c>
      <c r="F1598" s="28" t="str">
        <f t="shared" ca="1" si="74"/>
        <v/>
      </c>
    </row>
    <row r="1599" spans="2:6" x14ac:dyDescent="0.2">
      <c r="B1599" t="str">
        <f>IFERROR(IF('PDCA review'!$D$2=Act!B1600,Act!G1600,""),"")</f>
        <v/>
      </c>
      <c r="C1599">
        <f t="shared" si="72"/>
        <v>0</v>
      </c>
      <c r="D1599">
        <f>SUM($C$3:C1599)</f>
        <v>4</v>
      </c>
      <c r="E1599" t="e">
        <f t="shared" si="73"/>
        <v>#N/A</v>
      </c>
      <c r="F1599" s="28" t="str">
        <f t="shared" ca="1" si="74"/>
        <v/>
      </c>
    </row>
    <row r="1600" spans="2:6" x14ac:dyDescent="0.2">
      <c r="B1600" t="str">
        <f>IFERROR(IF('PDCA review'!$D$2=Act!B1601,Act!G1601,""),"")</f>
        <v/>
      </c>
      <c r="C1600">
        <f t="shared" si="72"/>
        <v>0</v>
      </c>
      <c r="D1600">
        <f>SUM($C$3:C1600)</f>
        <v>4</v>
      </c>
      <c r="E1600" t="e">
        <f t="shared" si="73"/>
        <v>#N/A</v>
      </c>
      <c r="F1600" s="28" t="str">
        <f t="shared" ca="1" si="74"/>
        <v/>
      </c>
    </row>
    <row r="1601" spans="2:6" x14ac:dyDescent="0.2">
      <c r="B1601" t="str">
        <f>IFERROR(IF('PDCA review'!$D$2=Act!B1602,Act!G1602,""),"")</f>
        <v/>
      </c>
      <c r="C1601">
        <f t="shared" si="72"/>
        <v>0</v>
      </c>
      <c r="D1601">
        <f>SUM($C$3:C1601)</f>
        <v>4</v>
      </c>
      <c r="E1601" t="e">
        <f t="shared" si="73"/>
        <v>#N/A</v>
      </c>
      <c r="F1601" s="28" t="str">
        <f t="shared" ca="1" si="74"/>
        <v/>
      </c>
    </row>
    <row r="1602" spans="2:6" x14ac:dyDescent="0.2">
      <c r="B1602" t="str">
        <f>IFERROR(IF('PDCA review'!$D$2=Act!B1603,Act!G1603,""),"")</f>
        <v/>
      </c>
      <c r="C1602">
        <f t="shared" si="72"/>
        <v>0</v>
      </c>
      <c r="D1602">
        <f>SUM($C$3:C1602)</f>
        <v>4</v>
      </c>
      <c r="E1602" t="e">
        <f t="shared" si="73"/>
        <v>#N/A</v>
      </c>
      <c r="F1602" s="28" t="str">
        <f t="shared" ca="1" si="74"/>
        <v/>
      </c>
    </row>
    <row r="1603" spans="2:6" x14ac:dyDescent="0.2">
      <c r="B1603" t="str">
        <f>IFERROR(IF('PDCA review'!$D$2=Act!B1604,Act!G1604,""),"")</f>
        <v/>
      </c>
      <c r="C1603">
        <f t="shared" si="72"/>
        <v>0</v>
      </c>
      <c r="D1603">
        <f>SUM($C$3:C1603)</f>
        <v>4</v>
      </c>
      <c r="E1603" t="e">
        <f t="shared" si="73"/>
        <v>#N/A</v>
      </c>
      <c r="F1603" s="28" t="str">
        <f t="shared" ca="1" si="74"/>
        <v/>
      </c>
    </row>
    <row r="1604" spans="2:6" x14ac:dyDescent="0.2">
      <c r="B1604" t="str">
        <f>IFERROR(IF('PDCA review'!$D$2=Act!B1605,Act!G1605,""),"")</f>
        <v/>
      </c>
      <c r="C1604">
        <f t="shared" ref="C1604:C1667" si="75">IF(B1604&lt;&gt;"",1,0)</f>
        <v>0</v>
      </c>
      <c r="D1604">
        <f>SUM($C$3:C1604)</f>
        <v>4</v>
      </c>
      <c r="E1604" t="e">
        <f t="shared" ref="E1604:E1667" si="76">MATCH(ROW()-$D$2,$D$3:$D$2000,0)+$D$2</f>
        <v>#N/A</v>
      </c>
      <c r="F1604" s="28" t="str">
        <f t="shared" ref="F1604:F1667" ca="1" si="77">IFERROR(INDIRECT("B"&amp;E1604),"")</f>
        <v/>
      </c>
    </row>
    <row r="1605" spans="2:6" x14ac:dyDescent="0.2">
      <c r="B1605" t="str">
        <f>IFERROR(IF('PDCA review'!$D$2=Act!B1606,Act!G1606,""),"")</f>
        <v/>
      </c>
      <c r="C1605">
        <f t="shared" si="75"/>
        <v>0</v>
      </c>
      <c r="D1605">
        <f>SUM($C$3:C1605)</f>
        <v>4</v>
      </c>
      <c r="E1605" t="e">
        <f t="shared" si="76"/>
        <v>#N/A</v>
      </c>
      <c r="F1605" s="28" t="str">
        <f t="shared" ca="1" si="77"/>
        <v/>
      </c>
    </row>
    <row r="1606" spans="2:6" x14ac:dyDescent="0.2">
      <c r="B1606" t="str">
        <f>IFERROR(IF('PDCA review'!$D$2=Act!B1607,Act!G1607,""),"")</f>
        <v/>
      </c>
      <c r="C1606">
        <f t="shared" si="75"/>
        <v>0</v>
      </c>
      <c r="D1606">
        <f>SUM($C$3:C1606)</f>
        <v>4</v>
      </c>
      <c r="E1606" t="e">
        <f t="shared" si="76"/>
        <v>#N/A</v>
      </c>
      <c r="F1606" s="28" t="str">
        <f t="shared" ca="1" si="77"/>
        <v/>
      </c>
    </row>
    <row r="1607" spans="2:6" x14ac:dyDescent="0.2">
      <c r="B1607" t="str">
        <f>IFERROR(IF('PDCA review'!$D$2=Act!B1608,Act!G1608,""),"")</f>
        <v/>
      </c>
      <c r="C1607">
        <f t="shared" si="75"/>
        <v>0</v>
      </c>
      <c r="D1607">
        <f>SUM($C$3:C1607)</f>
        <v>4</v>
      </c>
      <c r="E1607" t="e">
        <f t="shared" si="76"/>
        <v>#N/A</v>
      </c>
      <c r="F1607" s="28" t="str">
        <f t="shared" ca="1" si="77"/>
        <v/>
      </c>
    </row>
    <row r="1608" spans="2:6" x14ac:dyDescent="0.2">
      <c r="B1608" t="str">
        <f>IFERROR(IF('PDCA review'!$D$2=Act!B1609,Act!G1609,""),"")</f>
        <v/>
      </c>
      <c r="C1608">
        <f t="shared" si="75"/>
        <v>0</v>
      </c>
      <c r="D1608">
        <f>SUM($C$3:C1608)</f>
        <v>4</v>
      </c>
      <c r="E1608" t="e">
        <f t="shared" si="76"/>
        <v>#N/A</v>
      </c>
      <c r="F1608" s="28" t="str">
        <f t="shared" ca="1" si="77"/>
        <v/>
      </c>
    </row>
    <row r="1609" spans="2:6" x14ac:dyDescent="0.2">
      <c r="B1609" t="str">
        <f>IFERROR(IF('PDCA review'!$D$2=Act!B1610,Act!G1610,""),"")</f>
        <v/>
      </c>
      <c r="C1609">
        <f t="shared" si="75"/>
        <v>0</v>
      </c>
      <c r="D1609">
        <f>SUM($C$3:C1609)</f>
        <v>4</v>
      </c>
      <c r="E1609" t="e">
        <f t="shared" si="76"/>
        <v>#N/A</v>
      </c>
      <c r="F1609" s="28" t="str">
        <f t="shared" ca="1" si="77"/>
        <v/>
      </c>
    </row>
    <row r="1610" spans="2:6" x14ac:dyDescent="0.2">
      <c r="B1610" t="str">
        <f>IFERROR(IF('PDCA review'!$D$2=Act!B1611,Act!G1611,""),"")</f>
        <v/>
      </c>
      <c r="C1610">
        <f t="shared" si="75"/>
        <v>0</v>
      </c>
      <c r="D1610">
        <f>SUM($C$3:C1610)</f>
        <v>4</v>
      </c>
      <c r="E1610" t="e">
        <f t="shared" si="76"/>
        <v>#N/A</v>
      </c>
      <c r="F1610" s="28" t="str">
        <f t="shared" ca="1" si="77"/>
        <v/>
      </c>
    </row>
    <row r="1611" spans="2:6" x14ac:dyDescent="0.2">
      <c r="B1611" t="str">
        <f>IFERROR(IF('PDCA review'!$D$2=Act!B1612,Act!G1612,""),"")</f>
        <v/>
      </c>
      <c r="C1611">
        <f t="shared" si="75"/>
        <v>0</v>
      </c>
      <c r="D1611">
        <f>SUM($C$3:C1611)</f>
        <v>4</v>
      </c>
      <c r="E1611" t="e">
        <f t="shared" si="76"/>
        <v>#N/A</v>
      </c>
      <c r="F1611" s="28" t="str">
        <f t="shared" ca="1" si="77"/>
        <v/>
      </c>
    </row>
    <row r="1612" spans="2:6" x14ac:dyDescent="0.2">
      <c r="B1612" t="str">
        <f>IFERROR(IF('PDCA review'!$D$2=Act!B1613,Act!G1613,""),"")</f>
        <v/>
      </c>
      <c r="C1612">
        <f t="shared" si="75"/>
        <v>0</v>
      </c>
      <c r="D1612">
        <f>SUM($C$3:C1612)</f>
        <v>4</v>
      </c>
      <c r="E1612" t="e">
        <f t="shared" si="76"/>
        <v>#N/A</v>
      </c>
      <c r="F1612" s="28" t="str">
        <f t="shared" ca="1" si="77"/>
        <v/>
      </c>
    </row>
    <row r="1613" spans="2:6" x14ac:dyDescent="0.2">
      <c r="B1613" t="str">
        <f>IFERROR(IF('PDCA review'!$D$2=Act!B1614,Act!G1614,""),"")</f>
        <v/>
      </c>
      <c r="C1613">
        <f t="shared" si="75"/>
        <v>0</v>
      </c>
      <c r="D1613">
        <f>SUM($C$3:C1613)</f>
        <v>4</v>
      </c>
      <c r="E1613" t="e">
        <f t="shared" si="76"/>
        <v>#N/A</v>
      </c>
      <c r="F1613" s="28" t="str">
        <f t="shared" ca="1" si="77"/>
        <v/>
      </c>
    </row>
    <row r="1614" spans="2:6" x14ac:dyDescent="0.2">
      <c r="B1614" t="str">
        <f>IFERROR(IF('PDCA review'!$D$2=Act!B1615,Act!G1615,""),"")</f>
        <v/>
      </c>
      <c r="C1614">
        <f t="shared" si="75"/>
        <v>0</v>
      </c>
      <c r="D1614">
        <f>SUM($C$3:C1614)</f>
        <v>4</v>
      </c>
      <c r="E1614" t="e">
        <f t="shared" si="76"/>
        <v>#N/A</v>
      </c>
      <c r="F1614" s="28" t="str">
        <f t="shared" ca="1" si="77"/>
        <v/>
      </c>
    </row>
    <row r="1615" spans="2:6" x14ac:dyDescent="0.2">
      <c r="B1615" t="str">
        <f>IFERROR(IF('PDCA review'!$D$2=Act!B1616,Act!G1616,""),"")</f>
        <v/>
      </c>
      <c r="C1615">
        <f t="shared" si="75"/>
        <v>0</v>
      </c>
      <c r="D1615">
        <f>SUM($C$3:C1615)</f>
        <v>4</v>
      </c>
      <c r="E1615" t="e">
        <f t="shared" si="76"/>
        <v>#N/A</v>
      </c>
      <c r="F1615" s="28" t="str">
        <f t="shared" ca="1" si="77"/>
        <v/>
      </c>
    </row>
    <row r="1616" spans="2:6" x14ac:dyDescent="0.2">
      <c r="B1616" t="str">
        <f>IFERROR(IF('PDCA review'!$D$2=Act!B1617,Act!G1617,""),"")</f>
        <v/>
      </c>
      <c r="C1616">
        <f t="shared" si="75"/>
        <v>0</v>
      </c>
      <c r="D1616">
        <f>SUM($C$3:C1616)</f>
        <v>4</v>
      </c>
      <c r="E1616" t="e">
        <f t="shared" si="76"/>
        <v>#N/A</v>
      </c>
      <c r="F1616" s="28" t="str">
        <f t="shared" ca="1" si="77"/>
        <v/>
      </c>
    </row>
    <row r="1617" spans="2:6" x14ac:dyDescent="0.2">
      <c r="B1617" t="str">
        <f>IFERROR(IF('PDCA review'!$D$2=Act!B1618,Act!G1618,""),"")</f>
        <v/>
      </c>
      <c r="C1617">
        <f t="shared" si="75"/>
        <v>0</v>
      </c>
      <c r="D1617">
        <f>SUM($C$3:C1617)</f>
        <v>4</v>
      </c>
      <c r="E1617" t="e">
        <f t="shared" si="76"/>
        <v>#N/A</v>
      </c>
      <c r="F1617" s="28" t="str">
        <f t="shared" ca="1" si="77"/>
        <v/>
      </c>
    </row>
    <row r="1618" spans="2:6" x14ac:dyDescent="0.2">
      <c r="B1618" t="str">
        <f>IFERROR(IF('PDCA review'!$D$2=Act!B1619,Act!G1619,""),"")</f>
        <v/>
      </c>
      <c r="C1618">
        <f t="shared" si="75"/>
        <v>0</v>
      </c>
      <c r="D1618">
        <f>SUM($C$3:C1618)</f>
        <v>4</v>
      </c>
      <c r="E1618" t="e">
        <f t="shared" si="76"/>
        <v>#N/A</v>
      </c>
      <c r="F1618" s="28" t="str">
        <f t="shared" ca="1" si="77"/>
        <v/>
      </c>
    </row>
    <row r="1619" spans="2:6" x14ac:dyDescent="0.2">
      <c r="B1619" t="str">
        <f>IFERROR(IF('PDCA review'!$D$2=Act!B1620,Act!G1620,""),"")</f>
        <v/>
      </c>
      <c r="C1619">
        <f t="shared" si="75"/>
        <v>0</v>
      </c>
      <c r="D1619">
        <f>SUM($C$3:C1619)</f>
        <v>4</v>
      </c>
      <c r="E1619" t="e">
        <f t="shared" si="76"/>
        <v>#N/A</v>
      </c>
      <c r="F1619" s="28" t="str">
        <f t="shared" ca="1" si="77"/>
        <v/>
      </c>
    </row>
    <row r="1620" spans="2:6" x14ac:dyDescent="0.2">
      <c r="B1620" t="str">
        <f>IFERROR(IF('PDCA review'!$D$2=Act!B1621,Act!G1621,""),"")</f>
        <v/>
      </c>
      <c r="C1620">
        <f t="shared" si="75"/>
        <v>0</v>
      </c>
      <c r="D1620">
        <f>SUM($C$3:C1620)</f>
        <v>4</v>
      </c>
      <c r="E1620" t="e">
        <f t="shared" si="76"/>
        <v>#N/A</v>
      </c>
      <c r="F1620" s="28" t="str">
        <f t="shared" ca="1" si="77"/>
        <v/>
      </c>
    </row>
    <row r="1621" spans="2:6" x14ac:dyDescent="0.2">
      <c r="B1621" t="str">
        <f>IFERROR(IF('PDCA review'!$D$2=Act!B1622,Act!G1622,""),"")</f>
        <v/>
      </c>
      <c r="C1621">
        <f t="shared" si="75"/>
        <v>0</v>
      </c>
      <c r="D1621">
        <f>SUM($C$3:C1621)</f>
        <v>4</v>
      </c>
      <c r="E1621" t="e">
        <f t="shared" si="76"/>
        <v>#N/A</v>
      </c>
      <c r="F1621" s="28" t="str">
        <f t="shared" ca="1" si="77"/>
        <v/>
      </c>
    </row>
    <row r="1622" spans="2:6" x14ac:dyDescent="0.2">
      <c r="B1622" t="str">
        <f>IFERROR(IF('PDCA review'!$D$2=Act!B1623,Act!G1623,""),"")</f>
        <v/>
      </c>
      <c r="C1622">
        <f t="shared" si="75"/>
        <v>0</v>
      </c>
      <c r="D1622">
        <f>SUM($C$3:C1622)</f>
        <v>4</v>
      </c>
      <c r="E1622" t="e">
        <f t="shared" si="76"/>
        <v>#N/A</v>
      </c>
      <c r="F1622" s="28" t="str">
        <f t="shared" ca="1" si="77"/>
        <v/>
      </c>
    </row>
    <row r="1623" spans="2:6" x14ac:dyDescent="0.2">
      <c r="B1623" t="str">
        <f>IFERROR(IF('PDCA review'!$D$2=Act!B1624,Act!G1624,""),"")</f>
        <v/>
      </c>
      <c r="C1623">
        <f t="shared" si="75"/>
        <v>0</v>
      </c>
      <c r="D1623">
        <f>SUM($C$3:C1623)</f>
        <v>4</v>
      </c>
      <c r="E1623" t="e">
        <f t="shared" si="76"/>
        <v>#N/A</v>
      </c>
      <c r="F1623" s="28" t="str">
        <f t="shared" ca="1" si="77"/>
        <v/>
      </c>
    </row>
    <row r="1624" spans="2:6" x14ac:dyDescent="0.2">
      <c r="B1624" t="str">
        <f>IFERROR(IF('PDCA review'!$D$2=Act!B1625,Act!G1625,""),"")</f>
        <v/>
      </c>
      <c r="C1624">
        <f t="shared" si="75"/>
        <v>0</v>
      </c>
      <c r="D1624">
        <f>SUM($C$3:C1624)</f>
        <v>4</v>
      </c>
      <c r="E1624" t="e">
        <f t="shared" si="76"/>
        <v>#N/A</v>
      </c>
      <c r="F1624" s="28" t="str">
        <f t="shared" ca="1" si="77"/>
        <v/>
      </c>
    </row>
    <row r="1625" spans="2:6" x14ac:dyDescent="0.2">
      <c r="B1625" t="str">
        <f>IFERROR(IF('PDCA review'!$D$2=Act!B1626,Act!G1626,""),"")</f>
        <v/>
      </c>
      <c r="C1625">
        <f t="shared" si="75"/>
        <v>0</v>
      </c>
      <c r="D1625">
        <f>SUM($C$3:C1625)</f>
        <v>4</v>
      </c>
      <c r="E1625" t="e">
        <f t="shared" si="76"/>
        <v>#N/A</v>
      </c>
      <c r="F1625" s="28" t="str">
        <f t="shared" ca="1" si="77"/>
        <v/>
      </c>
    </row>
    <row r="1626" spans="2:6" x14ac:dyDescent="0.2">
      <c r="B1626" t="str">
        <f>IFERROR(IF('PDCA review'!$D$2=Act!B1627,Act!G1627,""),"")</f>
        <v/>
      </c>
      <c r="C1626">
        <f t="shared" si="75"/>
        <v>0</v>
      </c>
      <c r="D1626">
        <f>SUM($C$3:C1626)</f>
        <v>4</v>
      </c>
      <c r="E1626" t="e">
        <f t="shared" si="76"/>
        <v>#N/A</v>
      </c>
      <c r="F1626" s="28" t="str">
        <f t="shared" ca="1" si="77"/>
        <v/>
      </c>
    </row>
    <row r="1627" spans="2:6" x14ac:dyDescent="0.2">
      <c r="B1627" t="str">
        <f>IFERROR(IF('PDCA review'!$D$2=Act!B1628,Act!G1628,""),"")</f>
        <v/>
      </c>
      <c r="C1627">
        <f t="shared" si="75"/>
        <v>0</v>
      </c>
      <c r="D1627">
        <f>SUM($C$3:C1627)</f>
        <v>4</v>
      </c>
      <c r="E1627" t="e">
        <f t="shared" si="76"/>
        <v>#N/A</v>
      </c>
      <c r="F1627" s="28" t="str">
        <f t="shared" ca="1" si="77"/>
        <v/>
      </c>
    </row>
    <row r="1628" spans="2:6" x14ac:dyDescent="0.2">
      <c r="B1628" t="str">
        <f>IFERROR(IF('PDCA review'!$D$2=Act!B1629,Act!G1629,""),"")</f>
        <v/>
      </c>
      <c r="C1628">
        <f t="shared" si="75"/>
        <v>0</v>
      </c>
      <c r="D1628">
        <f>SUM($C$3:C1628)</f>
        <v>4</v>
      </c>
      <c r="E1628" t="e">
        <f t="shared" si="76"/>
        <v>#N/A</v>
      </c>
      <c r="F1628" s="28" t="str">
        <f t="shared" ca="1" si="77"/>
        <v/>
      </c>
    </row>
    <row r="1629" spans="2:6" x14ac:dyDescent="0.2">
      <c r="B1629" t="str">
        <f>IFERROR(IF('PDCA review'!$D$2=Act!B1630,Act!G1630,""),"")</f>
        <v/>
      </c>
      <c r="C1629">
        <f t="shared" si="75"/>
        <v>0</v>
      </c>
      <c r="D1629">
        <f>SUM($C$3:C1629)</f>
        <v>4</v>
      </c>
      <c r="E1629" t="e">
        <f t="shared" si="76"/>
        <v>#N/A</v>
      </c>
      <c r="F1629" s="28" t="str">
        <f t="shared" ca="1" si="77"/>
        <v/>
      </c>
    </row>
    <row r="1630" spans="2:6" x14ac:dyDescent="0.2">
      <c r="B1630" t="str">
        <f>IFERROR(IF('PDCA review'!$D$2=Act!B1631,Act!G1631,""),"")</f>
        <v/>
      </c>
      <c r="C1630">
        <f t="shared" si="75"/>
        <v>0</v>
      </c>
      <c r="D1630">
        <f>SUM($C$3:C1630)</f>
        <v>4</v>
      </c>
      <c r="E1630" t="e">
        <f t="shared" si="76"/>
        <v>#N/A</v>
      </c>
      <c r="F1630" s="28" t="str">
        <f t="shared" ca="1" si="77"/>
        <v/>
      </c>
    </row>
    <row r="1631" spans="2:6" x14ac:dyDescent="0.2">
      <c r="B1631" t="str">
        <f>IFERROR(IF('PDCA review'!$D$2=Act!B1632,Act!G1632,""),"")</f>
        <v/>
      </c>
      <c r="C1631">
        <f t="shared" si="75"/>
        <v>0</v>
      </c>
      <c r="D1631">
        <f>SUM($C$3:C1631)</f>
        <v>4</v>
      </c>
      <c r="E1631" t="e">
        <f t="shared" si="76"/>
        <v>#N/A</v>
      </c>
      <c r="F1631" s="28" t="str">
        <f t="shared" ca="1" si="77"/>
        <v/>
      </c>
    </row>
    <row r="1632" spans="2:6" x14ac:dyDescent="0.2">
      <c r="B1632" t="str">
        <f>IFERROR(IF('PDCA review'!$D$2=Act!B1633,Act!G1633,""),"")</f>
        <v/>
      </c>
      <c r="C1632">
        <f t="shared" si="75"/>
        <v>0</v>
      </c>
      <c r="D1632">
        <f>SUM($C$3:C1632)</f>
        <v>4</v>
      </c>
      <c r="E1632" t="e">
        <f t="shared" si="76"/>
        <v>#N/A</v>
      </c>
      <c r="F1632" s="28" t="str">
        <f t="shared" ca="1" si="77"/>
        <v/>
      </c>
    </row>
    <row r="1633" spans="2:6" x14ac:dyDescent="0.2">
      <c r="B1633" t="str">
        <f>IFERROR(IF('PDCA review'!$D$2=Act!B1634,Act!G1634,""),"")</f>
        <v/>
      </c>
      <c r="C1633">
        <f t="shared" si="75"/>
        <v>0</v>
      </c>
      <c r="D1633">
        <f>SUM($C$3:C1633)</f>
        <v>4</v>
      </c>
      <c r="E1633" t="e">
        <f t="shared" si="76"/>
        <v>#N/A</v>
      </c>
      <c r="F1633" s="28" t="str">
        <f t="shared" ca="1" si="77"/>
        <v/>
      </c>
    </row>
    <row r="1634" spans="2:6" x14ac:dyDescent="0.2">
      <c r="B1634" t="str">
        <f>IFERROR(IF('PDCA review'!$D$2=Act!B1635,Act!G1635,""),"")</f>
        <v/>
      </c>
      <c r="C1634">
        <f t="shared" si="75"/>
        <v>0</v>
      </c>
      <c r="D1634">
        <f>SUM($C$3:C1634)</f>
        <v>4</v>
      </c>
      <c r="E1634" t="e">
        <f t="shared" si="76"/>
        <v>#N/A</v>
      </c>
      <c r="F1634" s="28" t="str">
        <f t="shared" ca="1" si="77"/>
        <v/>
      </c>
    </row>
    <row r="1635" spans="2:6" x14ac:dyDescent="0.2">
      <c r="B1635" t="str">
        <f>IFERROR(IF('PDCA review'!$D$2=Act!B1636,Act!G1636,""),"")</f>
        <v/>
      </c>
      <c r="C1635">
        <f t="shared" si="75"/>
        <v>0</v>
      </c>
      <c r="D1635">
        <f>SUM($C$3:C1635)</f>
        <v>4</v>
      </c>
      <c r="E1635" t="e">
        <f t="shared" si="76"/>
        <v>#N/A</v>
      </c>
      <c r="F1635" s="28" t="str">
        <f t="shared" ca="1" si="77"/>
        <v/>
      </c>
    </row>
    <row r="1636" spans="2:6" x14ac:dyDescent="0.2">
      <c r="B1636" t="str">
        <f>IFERROR(IF('PDCA review'!$D$2=Act!B1637,Act!G1637,""),"")</f>
        <v/>
      </c>
      <c r="C1636">
        <f t="shared" si="75"/>
        <v>0</v>
      </c>
      <c r="D1636">
        <f>SUM($C$3:C1636)</f>
        <v>4</v>
      </c>
      <c r="E1636" t="e">
        <f t="shared" si="76"/>
        <v>#N/A</v>
      </c>
      <c r="F1636" s="28" t="str">
        <f t="shared" ca="1" si="77"/>
        <v/>
      </c>
    </row>
    <row r="1637" spans="2:6" x14ac:dyDescent="0.2">
      <c r="B1637" t="str">
        <f>IFERROR(IF('PDCA review'!$D$2=Act!B1638,Act!G1638,""),"")</f>
        <v/>
      </c>
      <c r="C1637">
        <f t="shared" si="75"/>
        <v>0</v>
      </c>
      <c r="D1637">
        <f>SUM($C$3:C1637)</f>
        <v>4</v>
      </c>
      <c r="E1637" t="e">
        <f t="shared" si="76"/>
        <v>#N/A</v>
      </c>
      <c r="F1637" s="28" t="str">
        <f t="shared" ca="1" si="77"/>
        <v/>
      </c>
    </row>
    <row r="1638" spans="2:6" x14ac:dyDescent="0.2">
      <c r="B1638" t="str">
        <f>IFERROR(IF('PDCA review'!$D$2=Act!B1639,Act!G1639,""),"")</f>
        <v/>
      </c>
      <c r="C1638">
        <f t="shared" si="75"/>
        <v>0</v>
      </c>
      <c r="D1638">
        <f>SUM($C$3:C1638)</f>
        <v>4</v>
      </c>
      <c r="E1638" t="e">
        <f t="shared" si="76"/>
        <v>#N/A</v>
      </c>
      <c r="F1638" s="28" t="str">
        <f t="shared" ca="1" si="77"/>
        <v/>
      </c>
    </row>
    <row r="1639" spans="2:6" x14ac:dyDescent="0.2">
      <c r="B1639" t="str">
        <f>IFERROR(IF('PDCA review'!$D$2=Act!B1640,Act!G1640,""),"")</f>
        <v/>
      </c>
      <c r="C1639">
        <f t="shared" si="75"/>
        <v>0</v>
      </c>
      <c r="D1639">
        <f>SUM($C$3:C1639)</f>
        <v>4</v>
      </c>
      <c r="E1639" t="e">
        <f t="shared" si="76"/>
        <v>#N/A</v>
      </c>
      <c r="F1639" s="28" t="str">
        <f t="shared" ca="1" si="77"/>
        <v/>
      </c>
    </row>
    <row r="1640" spans="2:6" x14ac:dyDescent="0.2">
      <c r="B1640" t="str">
        <f>IFERROR(IF('PDCA review'!$D$2=Act!B1641,Act!G1641,""),"")</f>
        <v/>
      </c>
      <c r="C1640">
        <f t="shared" si="75"/>
        <v>0</v>
      </c>
      <c r="D1640">
        <f>SUM($C$3:C1640)</f>
        <v>4</v>
      </c>
      <c r="E1640" t="e">
        <f t="shared" si="76"/>
        <v>#N/A</v>
      </c>
      <c r="F1640" s="28" t="str">
        <f t="shared" ca="1" si="77"/>
        <v/>
      </c>
    </row>
    <row r="1641" spans="2:6" x14ac:dyDescent="0.2">
      <c r="B1641" t="str">
        <f>IFERROR(IF('PDCA review'!$D$2=Act!B1642,Act!G1642,""),"")</f>
        <v/>
      </c>
      <c r="C1641">
        <f t="shared" si="75"/>
        <v>0</v>
      </c>
      <c r="D1641">
        <f>SUM($C$3:C1641)</f>
        <v>4</v>
      </c>
      <c r="E1641" t="e">
        <f t="shared" si="76"/>
        <v>#N/A</v>
      </c>
      <c r="F1641" s="28" t="str">
        <f t="shared" ca="1" si="77"/>
        <v/>
      </c>
    </row>
    <row r="1642" spans="2:6" x14ac:dyDescent="0.2">
      <c r="B1642" t="str">
        <f>IFERROR(IF('PDCA review'!$D$2=Act!B1643,Act!G1643,""),"")</f>
        <v/>
      </c>
      <c r="C1642">
        <f t="shared" si="75"/>
        <v>0</v>
      </c>
      <c r="D1642">
        <f>SUM($C$3:C1642)</f>
        <v>4</v>
      </c>
      <c r="E1642" t="e">
        <f t="shared" si="76"/>
        <v>#N/A</v>
      </c>
      <c r="F1642" s="28" t="str">
        <f t="shared" ca="1" si="77"/>
        <v/>
      </c>
    </row>
    <row r="1643" spans="2:6" x14ac:dyDescent="0.2">
      <c r="B1643" t="str">
        <f>IFERROR(IF('PDCA review'!$D$2=Act!B1644,Act!G1644,""),"")</f>
        <v/>
      </c>
      <c r="C1643">
        <f t="shared" si="75"/>
        <v>0</v>
      </c>
      <c r="D1643">
        <f>SUM($C$3:C1643)</f>
        <v>4</v>
      </c>
      <c r="E1643" t="e">
        <f t="shared" si="76"/>
        <v>#N/A</v>
      </c>
      <c r="F1643" s="28" t="str">
        <f t="shared" ca="1" si="77"/>
        <v/>
      </c>
    </row>
    <row r="1644" spans="2:6" x14ac:dyDescent="0.2">
      <c r="B1644" t="str">
        <f>IFERROR(IF('PDCA review'!$D$2=Act!B1645,Act!G1645,""),"")</f>
        <v/>
      </c>
      <c r="C1644">
        <f t="shared" si="75"/>
        <v>0</v>
      </c>
      <c r="D1644">
        <f>SUM($C$3:C1644)</f>
        <v>4</v>
      </c>
      <c r="E1644" t="e">
        <f t="shared" si="76"/>
        <v>#N/A</v>
      </c>
      <c r="F1644" s="28" t="str">
        <f t="shared" ca="1" si="77"/>
        <v/>
      </c>
    </row>
    <row r="1645" spans="2:6" x14ac:dyDescent="0.2">
      <c r="B1645" t="str">
        <f>IFERROR(IF('PDCA review'!$D$2=Act!B1646,Act!G1646,""),"")</f>
        <v/>
      </c>
      <c r="C1645">
        <f t="shared" si="75"/>
        <v>0</v>
      </c>
      <c r="D1645">
        <f>SUM($C$3:C1645)</f>
        <v>4</v>
      </c>
      <c r="E1645" t="e">
        <f t="shared" si="76"/>
        <v>#N/A</v>
      </c>
      <c r="F1645" s="28" t="str">
        <f t="shared" ca="1" si="77"/>
        <v/>
      </c>
    </row>
    <row r="1646" spans="2:6" x14ac:dyDescent="0.2">
      <c r="B1646" t="str">
        <f>IFERROR(IF('PDCA review'!$D$2=Act!B1647,Act!G1647,""),"")</f>
        <v/>
      </c>
      <c r="C1646">
        <f t="shared" si="75"/>
        <v>0</v>
      </c>
      <c r="D1646">
        <f>SUM($C$3:C1646)</f>
        <v>4</v>
      </c>
      <c r="E1646" t="e">
        <f t="shared" si="76"/>
        <v>#N/A</v>
      </c>
      <c r="F1646" s="28" t="str">
        <f t="shared" ca="1" si="77"/>
        <v/>
      </c>
    </row>
    <row r="1647" spans="2:6" x14ac:dyDescent="0.2">
      <c r="B1647" t="str">
        <f>IFERROR(IF('PDCA review'!$D$2=Act!B1648,Act!G1648,""),"")</f>
        <v/>
      </c>
      <c r="C1647">
        <f t="shared" si="75"/>
        <v>0</v>
      </c>
      <c r="D1647">
        <f>SUM($C$3:C1647)</f>
        <v>4</v>
      </c>
      <c r="E1647" t="e">
        <f t="shared" si="76"/>
        <v>#N/A</v>
      </c>
      <c r="F1647" s="28" t="str">
        <f t="shared" ca="1" si="77"/>
        <v/>
      </c>
    </row>
    <row r="1648" spans="2:6" x14ac:dyDescent="0.2">
      <c r="B1648" t="str">
        <f>IFERROR(IF('PDCA review'!$D$2=Act!B1649,Act!G1649,""),"")</f>
        <v/>
      </c>
      <c r="C1648">
        <f t="shared" si="75"/>
        <v>0</v>
      </c>
      <c r="D1648">
        <f>SUM($C$3:C1648)</f>
        <v>4</v>
      </c>
      <c r="E1648" t="e">
        <f t="shared" si="76"/>
        <v>#N/A</v>
      </c>
      <c r="F1648" s="28" t="str">
        <f t="shared" ca="1" si="77"/>
        <v/>
      </c>
    </row>
    <row r="1649" spans="2:6" x14ac:dyDescent="0.2">
      <c r="B1649" t="str">
        <f>IFERROR(IF('PDCA review'!$D$2=Act!B1650,Act!G1650,""),"")</f>
        <v/>
      </c>
      <c r="C1649">
        <f t="shared" si="75"/>
        <v>0</v>
      </c>
      <c r="D1649">
        <f>SUM($C$3:C1649)</f>
        <v>4</v>
      </c>
      <c r="E1649" t="e">
        <f t="shared" si="76"/>
        <v>#N/A</v>
      </c>
      <c r="F1649" s="28" t="str">
        <f t="shared" ca="1" si="77"/>
        <v/>
      </c>
    </row>
    <row r="1650" spans="2:6" x14ac:dyDescent="0.2">
      <c r="B1650" t="str">
        <f>IFERROR(IF('PDCA review'!$D$2=Act!B1651,Act!G1651,""),"")</f>
        <v/>
      </c>
      <c r="C1650">
        <f t="shared" si="75"/>
        <v>0</v>
      </c>
      <c r="D1650">
        <f>SUM($C$3:C1650)</f>
        <v>4</v>
      </c>
      <c r="E1650" t="e">
        <f t="shared" si="76"/>
        <v>#N/A</v>
      </c>
      <c r="F1650" s="28" t="str">
        <f t="shared" ca="1" si="77"/>
        <v/>
      </c>
    </row>
    <row r="1651" spans="2:6" x14ac:dyDescent="0.2">
      <c r="B1651" t="str">
        <f>IFERROR(IF('PDCA review'!$D$2=Act!B1652,Act!G1652,""),"")</f>
        <v/>
      </c>
      <c r="C1651">
        <f t="shared" si="75"/>
        <v>0</v>
      </c>
      <c r="D1651">
        <f>SUM($C$3:C1651)</f>
        <v>4</v>
      </c>
      <c r="E1651" t="e">
        <f t="shared" si="76"/>
        <v>#N/A</v>
      </c>
      <c r="F1651" s="28" t="str">
        <f t="shared" ca="1" si="77"/>
        <v/>
      </c>
    </row>
    <row r="1652" spans="2:6" x14ac:dyDescent="0.2">
      <c r="B1652" t="str">
        <f>IFERROR(IF('PDCA review'!$D$2=Act!B1653,Act!G1653,""),"")</f>
        <v/>
      </c>
      <c r="C1652">
        <f t="shared" si="75"/>
        <v>0</v>
      </c>
      <c r="D1652">
        <f>SUM($C$3:C1652)</f>
        <v>4</v>
      </c>
      <c r="E1652" t="e">
        <f t="shared" si="76"/>
        <v>#N/A</v>
      </c>
      <c r="F1652" s="28" t="str">
        <f t="shared" ca="1" si="77"/>
        <v/>
      </c>
    </row>
    <row r="1653" spans="2:6" x14ac:dyDescent="0.2">
      <c r="B1653" t="str">
        <f>IFERROR(IF('PDCA review'!$D$2=Act!B1654,Act!G1654,""),"")</f>
        <v/>
      </c>
      <c r="C1653">
        <f t="shared" si="75"/>
        <v>0</v>
      </c>
      <c r="D1653">
        <f>SUM($C$3:C1653)</f>
        <v>4</v>
      </c>
      <c r="E1653" t="e">
        <f t="shared" si="76"/>
        <v>#N/A</v>
      </c>
      <c r="F1653" s="28" t="str">
        <f t="shared" ca="1" si="77"/>
        <v/>
      </c>
    </row>
    <row r="1654" spans="2:6" x14ac:dyDescent="0.2">
      <c r="B1654" t="str">
        <f>IFERROR(IF('PDCA review'!$D$2=Act!B1655,Act!G1655,""),"")</f>
        <v/>
      </c>
      <c r="C1654">
        <f t="shared" si="75"/>
        <v>0</v>
      </c>
      <c r="D1654">
        <f>SUM($C$3:C1654)</f>
        <v>4</v>
      </c>
      <c r="E1654" t="e">
        <f t="shared" si="76"/>
        <v>#N/A</v>
      </c>
      <c r="F1654" s="28" t="str">
        <f t="shared" ca="1" si="77"/>
        <v/>
      </c>
    </row>
    <row r="1655" spans="2:6" x14ac:dyDescent="0.2">
      <c r="B1655" t="str">
        <f>IFERROR(IF('PDCA review'!$D$2=Act!B1656,Act!G1656,""),"")</f>
        <v/>
      </c>
      <c r="C1655">
        <f t="shared" si="75"/>
        <v>0</v>
      </c>
      <c r="D1655">
        <f>SUM($C$3:C1655)</f>
        <v>4</v>
      </c>
      <c r="E1655" t="e">
        <f t="shared" si="76"/>
        <v>#N/A</v>
      </c>
      <c r="F1655" s="28" t="str">
        <f t="shared" ca="1" si="77"/>
        <v/>
      </c>
    </row>
    <row r="1656" spans="2:6" x14ac:dyDescent="0.2">
      <c r="B1656" t="str">
        <f>IFERROR(IF('PDCA review'!$D$2=Act!B1657,Act!G1657,""),"")</f>
        <v/>
      </c>
      <c r="C1656">
        <f t="shared" si="75"/>
        <v>0</v>
      </c>
      <c r="D1656">
        <f>SUM($C$3:C1656)</f>
        <v>4</v>
      </c>
      <c r="E1656" t="e">
        <f t="shared" si="76"/>
        <v>#N/A</v>
      </c>
      <c r="F1656" s="28" t="str">
        <f t="shared" ca="1" si="77"/>
        <v/>
      </c>
    </row>
    <row r="1657" spans="2:6" x14ac:dyDescent="0.2">
      <c r="B1657" t="str">
        <f>IFERROR(IF('PDCA review'!$D$2=Act!B1658,Act!G1658,""),"")</f>
        <v/>
      </c>
      <c r="C1657">
        <f t="shared" si="75"/>
        <v>0</v>
      </c>
      <c r="D1657">
        <f>SUM($C$3:C1657)</f>
        <v>4</v>
      </c>
      <c r="E1657" t="e">
        <f t="shared" si="76"/>
        <v>#N/A</v>
      </c>
      <c r="F1657" s="28" t="str">
        <f t="shared" ca="1" si="77"/>
        <v/>
      </c>
    </row>
    <row r="1658" spans="2:6" x14ac:dyDescent="0.2">
      <c r="B1658" t="str">
        <f>IFERROR(IF('PDCA review'!$D$2=Act!B1659,Act!G1659,""),"")</f>
        <v/>
      </c>
      <c r="C1658">
        <f t="shared" si="75"/>
        <v>0</v>
      </c>
      <c r="D1658">
        <f>SUM($C$3:C1658)</f>
        <v>4</v>
      </c>
      <c r="E1658" t="e">
        <f t="shared" si="76"/>
        <v>#N/A</v>
      </c>
      <c r="F1658" s="28" t="str">
        <f t="shared" ca="1" si="77"/>
        <v/>
      </c>
    </row>
    <row r="1659" spans="2:6" x14ac:dyDescent="0.2">
      <c r="B1659" t="str">
        <f>IFERROR(IF('PDCA review'!$D$2=Act!B1660,Act!G1660,""),"")</f>
        <v/>
      </c>
      <c r="C1659">
        <f t="shared" si="75"/>
        <v>0</v>
      </c>
      <c r="D1659">
        <f>SUM($C$3:C1659)</f>
        <v>4</v>
      </c>
      <c r="E1659" t="e">
        <f t="shared" si="76"/>
        <v>#N/A</v>
      </c>
      <c r="F1659" s="28" t="str">
        <f t="shared" ca="1" si="77"/>
        <v/>
      </c>
    </row>
    <row r="1660" spans="2:6" x14ac:dyDescent="0.2">
      <c r="B1660" t="str">
        <f>IFERROR(IF('PDCA review'!$D$2=Act!B1661,Act!G1661,""),"")</f>
        <v/>
      </c>
      <c r="C1660">
        <f t="shared" si="75"/>
        <v>0</v>
      </c>
      <c r="D1660">
        <f>SUM($C$3:C1660)</f>
        <v>4</v>
      </c>
      <c r="E1660" t="e">
        <f t="shared" si="76"/>
        <v>#N/A</v>
      </c>
      <c r="F1660" s="28" t="str">
        <f t="shared" ca="1" si="77"/>
        <v/>
      </c>
    </row>
    <row r="1661" spans="2:6" x14ac:dyDescent="0.2">
      <c r="B1661" t="str">
        <f>IFERROR(IF('PDCA review'!$D$2=Act!B1662,Act!G1662,""),"")</f>
        <v/>
      </c>
      <c r="C1661">
        <f t="shared" si="75"/>
        <v>0</v>
      </c>
      <c r="D1661">
        <f>SUM($C$3:C1661)</f>
        <v>4</v>
      </c>
      <c r="E1661" t="e">
        <f t="shared" si="76"/>
        <v>#N/A</v>
      </c>
      <c r="F1661" s="28" t="str">
        <f t="shared" ca="1" si="77"/>
        <v/>
      </c>
    </row>
    <row r="1662" spans="2:6" x14ac:dyDescent="0.2">
      <c r="B1662" t="str">
        <f>IFERROR(IF('PDCA review'!$D$2=Act!B1663,Act!G1663,""),"")</f>
        <v/>
      </c>
      <c r="C1662">
        <f t="shared" si="75"/>
        <v>0</v>
      </c>
      <c r="D1662">
        <f>SUM($C$3:C1662)</f>
        <v>4</v>
      </c>
      <c r="E1662" t="e">
        <f t="shared" si="76"/>
        <v>#N/A</v>
      </c>
      <c r="F1662" s="28" t="str">
        <f t="shared" ca="1" si="77"/>
        <v/>
      </c>
    </row>
    <row r="1663" spans="2:6" x14ac:dyDescent="0.2">
      <c r="B1663" t="str">
        <f>IFERROR(IF('PDCA review'!$D$2=Act!B1664,Act!G1664,""),"")</f>
        <v/>
      </c>
      <c r="C1663">
        <f t="shared" si="75"/>
        <v>0</v>
      </c>
      <c r="D1663">
        <f>SUM($C$3:C1663)</f>
        <v>4</v>
      </c>
      <c r="E1663" t="e">
        <f t="shared" si="76"/>
        <v>#N/A</v>
      </c>
      <c r="F1663" s="28" t="str">
        <f t="shared" ca="1" si="77"/>
        <v/>
      </c>
    </row>
    <row r="1664" spans="2:6" x14ac:dyDescent="0.2">
      <c r="B1664" t="str">
        <f>IFERROR(IF('PDCA review'!$D$2=Act!B1665,Act!G1665,""),"")</f>
        <v/>
      </c>
      <c r="C1664">
        <f t="shared" si="75"/>
        <v>0</v>
      </c>
      <c r="D1664">
        <f>SUM($C$3:C1664)</f>
        <v>4</v>
      </c>
      <c r="E1664" t="e">
        <f t="shared" si="76"/>
        <v>#N/A</v>
      </c>
      <c r="F1664" s="28" t="str">
        <f t="shared" ca="1" si="77"/>
        <v/>
      </c>
    </row>
    <row r="1665" spans="2:6" x14ac:dyDescent="0.2">
      <c r="B1665" t="str">
        <f>IFERROR(IF('PDCA review'!$D$2=Act!B1666,Act!G1666,""),"")</f>
        <v/>
      </c>
      <c r="C1665">
        <f t="shared" si="75"/>
        <v>0</v>
      </c>
      <c r="D1665">
        <f>SUM($C$3:C1665)</f>
        <v>4</v>
      </c>
      <c r="E1665" t="e">
        <f t="shared" si="76"/>
        <v>#N/A</v>
      </c>
      <c r="F1665" s="28" t="str">
        <f t="shared" ca="1" si="77"/>
        <v/>
      </c>
    </row>
    <row r="1666" spans="2:6" x14ac:dyDescent="0.2">
      <c r="B1666" t="str">
        <f>IFERROR(IF('PDCA review'!$D$2=Act!B1667,Act!G1667,""),"")</f>
        <v/>
      </c>
      <c r="C1666">
        <f t="shared" si="75"/>
        <v>0</v>
      </c>
      <c r="D1666">
        <f>SUM($C$3:C1666)</f>
        <v>4</v>
      </c>
      <c r="E1666" t="e">
        <f t="shared" si="76"/>
        <v>#N/A</v>
      </c>
      <c r="F1666" s="28" t="str">
        <f t="shared" ca="1" si="77"/>
        <v/>
      </c>
    </row>
    <row r="1667" spans="2:6" x14ac:dyDescent="0.2">
      <c r="B1667" t="str">
        <f>IFERROR(IF('PDCA review'!$D$2=Act!B1668,Act!G1668,""),"")</f>
        <v/>
      </c>
      <c r="C1667">
        <f t="shared" si="75"/>
        <v>0</v>
      </c>
      <c r="D1667">
        <f>SUM($C$3:C1667)</f>
        <v>4</v>
      </c>
      <c r="E1667" t="e">
        <f t="shared" si="76"/>
        <v>#N/A</v>
      </c>
      <c r="F1667" s="28" t="str">
        <f t="shared" ca="1" si="77"/>
        <v/>
      </c>
    </row>
    <row r="1668" spans="2:6" x14ac:dyDescent="0.2">
      <c r="B1668" t="str">
        <f>IFERROR(IF('PDCA review'!$D$2=Act!B1669,Act!G1669,""),"")</f>
        <v/>
      </c>
      <c r="C1668">
        <f t="shared" ref="C1668:C1731" si="78">IF(B1668&lt;&gt;"",1,0)</f>
        <v>0</v>
      </c>
      <c r="D1668">
        <f>SUM($C$3:C1668)</f>
        <v>4</v>
      </c>
      <c r="E1668" t="e">
        <f t="shared" ref="E1668:E1731" si="79">MATCH(ROW()-$D$2,$D$3:$D$2000,0)+$D$2</f>
        <v>#N/A</v>
      </c>
      <c r="F1668" s="28" t="str">
        <f t="shared" ref="F1668:F1731" ca="1" si="80">IFERROR(INDIRECT("B"&amp;E1668),"")</f>
        <v/>
      </c>
    </row>
    <row r="1669" spans="2:6" x14ac:dyDescent="0.2">
      <c r="B1669" t="str">
        <f>IFERROR(IF('PDCA review'!$D$2=Act!B1670,Act!G1670,""),"")</f>
        <v/>
      </c>
      <c r="C1669">
        <f t="shared" si="78"/>
        <v>0</v>
      </c>
      <c r="D1669">
        <f>SUM($C$3:C1669)</f>
        <v>4</v>
      </c>
      <c r="E1669" t="e">
        <f t="shared" si="79"/>
        <v>#N/A</v>
      </c>
      <c r="F1669" s="28" t="str">
        <f t="shared" ca="1" si="80"/>
        <v/>
      </c>
    </row>
    <row r="1670" spans="2:6" x14ac:dyDescent="0.2">
      <c r="B1670" t="str">
        <f>IFERROR(IF('PDCA review'!$D$2=Act!B1671,Act!G1671,""),"")</f>
        <v/>
      </c>
      <c r="C1670">
        <f t="shared" si="78"/>
        <v>0</v>
      </c>
      <c r="D1670">
        <f>SUM($C$3:C1670)</f>
        <v>4</v>
      </c>
      <c r="E1670" t="e">
        <f t="shared" si="79"/>
        <v>#N/A</v>
      </c>
      <c r="F1670" s="28" t="str">
        <f t="shared" ca="1" si="80"/>
        <v/>
      </c>
    </row>
    <row r="1671" spans="2:6" x14ac:dyDescent="0.2">
      <c r="B1671" t="str">
        <f>IFERROR(IF('PDCA review'!$D$2=Act!B1672,Act!G1672,""),"")</f>
        <v/>
      </c>
      <c r="C1671">
        <f t="shared" si="78"/>
        <v>0</v>
      </c>
      <c r="D1671">
        <f>SUM($C$3:C1671)</f>
        <v>4</v>
      </c>
      <c r="E1671" t="e">
        <f t="shared" si="79"/>
        <v>#N/A</v>
      </c>
      <c r="F1671" s="28" t="str">
        <f t="shared" ca="1" si="80"/>
        <v/>
      </c>
    </row>
    <row r="1672" spans="2:6" x14ac:dyDescent="0.2">
      <c r="B1672" t="str">
        <f>IFERROR(IF('PDCA review'!$D$2=Act!B1673,Act!G1673,""),"")</f>
        <v/>
      </c>
      <c r="C1672">
        <f t="shared" si="78"/>
        <v>0</v>
      </c>
      <c r="D1672">
        <f>SUM($C$3:C1672)</f>
        <v>4</v>
      </c>
      <c r="E1672" t="e">
        <f t="shared" si="79"/>
        <v>#N/A</v>
      </c>
      <c r="F1672" s="28" t="str">
        <f t="shared" ca="1" si="80"/>
        <v/>
      </c>
    </row>
    <row r="1673" spans="2:6" x14ac:dyDescent="0.2">
      <c r="B1673" t="str">
        <f>IFERROR(IF('PDCA review'!$D$2=Act!B1674,Act!G1674,""),"")</f>
        <v/>
      </c>
      <c r="C1673">
        <f t="shared" si="78"/>
        <v>0</v>
      </c>
      <c r="D1673">
        <f>SUM($C$3:C1673)</f>
        <v>4</v>
      </c>
      <c r="E1673" t="e">
        <f t="shared" si="79"/>
        <v>#N/A</v>
      </c>
      <c r="F1673" s="28" t="str">
        <f t="shared" ca="1" si="80"/>
        <v/>
      </c>
    </row>
    <row r="1674" spans="2:6" x14ac:dyDescent="0.2">
      <c r="B1674" t="str">
        <f>IFERROR(IF('PDCA review'!$D$2=Act!B1675,Act!G1675,""),"")</f>
        <v/>
      </c>
      <c r="C1674">
        <f t="shared" si="78"/>
        <v>0</v>
      </c>
      <c r="D1674">
        <f>SUM($C$3:C1674)</f>
        <v>4</v>
      </c>
      <c r="E1674" t="e">
        <f t="shared" si="79"/>
        <v>#N/A</v>
      </c>
      <c r="F1674" s="28" t="str">
        <f t="shared" ca="1" si="80"/>
        <v/>
      </c>
    </row>
    <row r="1675" spans="2:6" x14ac:dyDescent="0.2">
      <c r="B1675" t="str">
        <f>IFERROR(IF('PDCA review'!$D$2=Act!B1676,Act!G1676,""),"")</f>
        <v/>
      </c>
      <c r="C1675">
        <f t="shared" si="78"/>
        <v>0</v>
      </c>
      <c r="D1675">
        <f>SUM($C$3:C1675)</f>
        <v>4</v>
      </c>
      <c r="E1675" t="e">
        <f t="shared" si="79"/>
        <v>#N/A</v>
      </c>
      <c r="F1675" s="28" t="str">
        <f t="shared" ca="1" si="80"/>
        <v/>
      </c>
    </row>
    <row r="1676" spans="2:6" x14ac:dyDescent="0.2">
      <c r="B1676" t="str">
        <f>IFERROR(IF('PDCA review'!$D$2=Act!B1677,Act!G1677,""),"")</f>
        <v/>
      </c>
      <c r="C1676">
        <f t="shared" si="78"/>
        <v>0</v>
      </c>
      <c r="D1676">
        <f>SUM($C$3:C1676)</f>
        <v>4</v>
      </c>
      <c r="E1676" t="e">
        <f t="shared" si="79"/>
        <v>#N/A</v>
      </c>
      <c r="F1676" s="28" t="str">
        <f t="shared" ca="1" si="80"/>
        <v/>
      </c>
    </row>
    <row r="1677" spans="2:6" x14ac:dyDescent="0.2">
      <c r="B1677" t="str">
        <f>IFERROR(IF('PDCA review'!$D$2=Act!B1678,Act!G1678,""),"")</f>
        <v/>
      </c>
      <c r="C1677">
        <f t="shared" si="78"/>
        <v>0</v>
      </c>
      <c r="D1677">
        <f>SUM($C$3:C1677)</f>
        <v>4</v>
      </c>
      <c r="E1677" t="e">
        <f t="shared" si="79"/>
        <v>#N/A</v>
      </c>
      <c r="F1677" s="28" t="str">
        <f t="shared" ca="1" si="80"/>
        <v/>
      </c>
    </row>
    <row r="1678" spans="2:6" x14ac:dyDescent="0.2">
      <c r="B1678" t="str">
        <f>IFERROR(IF('PDCA review'!$D$2=Act!B1679,Act!G1679,""),"")</f>
        <v/>
      </c>
      <c r="C1678">
        <f t="shared" si="78"/>
        <v>0</v>
      </c>
      <c r="D1678">
        <f>SUM($C$3:C1678)</f>
        <v>4</v>
      </c>
      <c r="E1678" t="e">
        <f t="shared" si="79"/>
        <v>#N/A</v>
      </c>
      <c r="F1678" s="28" t="str">
        <f t="shared" ca="1" si="80"/>
        <v/>
      </c>
    </row>
    <row r="1679" spans="2:6" x14ac:dyDescent="0.2">
      <c r="B1679" t="str">
        <f>IFERROR(IF('PDCA review'!$D$2=Act!B1680,Act!G1680,""),"")</f>
        <v/>
      </c>
      <c r="C1679">
        <f t="shared" si="78"/>
        <v>0</v>
      </c>
      <c r="D1679">
        <f>SUM($C$3:C1679)</f>
        <v>4</v>
      </c>
      <c r="E1679" t="e">
        <f t="shared" si="79"/>
        <v>#N/A</v>
      </c>
      <c r="F1679" s="28" t="str">
        <f t="shared" ca="1" si="80"/>
        <v/>
      </c>
    </row>
    <row r="1680" spans="2:6" x14ac:dyDescent="0.2">
      <c r="B1680" t="str">
        <f>IFERROR(IF('PDCA review'!$D$2=Act!B1681,Act!G1681,""),"")</f>
        <v/>
      </c>
      <c r="C1680">
        <f t="shared" si="78"/>
        <v>0</v>
      </c>
      <c r="D1680">
        <f>SUM($C$3:C1680)</f>
        <v>4</v>
      </c>
      <c r="E1680" t="e">
        <f t="shared" si="79"/>
        <v>#N/A</v>
      </c>
      <c r="F1680" s="28" t="str">
        <f t="shared" ca="1" si="80"/>
        <v/>
      </c>
    </row>
    <row r="1681" spans="2:6" x14ac:dyDescent="0.2">
      <c r="B1681" t="str">
        <f>IFERROR(IF('PDCA review'!$D$2=Act!B1682,Act!G1682,""),"")</f>
        <v/>
      </c>
      <c r="C1681">
        <f t="shared" si="78"/>
        <v>0</v>
      </c>
      <c r="D1681">
        <f>SUM($C$3:C1681)</f>
        <v>4</v>
      </c>
      <c r="E1681" t="e">
        <f t="shared" si="79"/>
        <v>#N/A</v>
      </c>
      <c r="F1681" s="28" t="str">
        <f t="shared" ca="1" si="80"/>
        <v/>
      </c>
    </row>
    <row r="1682" spans="2:6" x14ac:dyDescent="0.2">
      <c r="B1682" t="str">
        <f>IFERROR(IF('PDCA review'!$D$2=Act!B1683,Act!G1683,""),"")</f>
        <v/>
      </c>
      <c r="C1682">
        <f t="shared" si="78"/>
        <v>0</v>
      </c>
      <c r="D1682">
        <f>SUM($C$3:C1682)</f>
        <v>4</v>
      </c>
      <c r="E1682" t="e">
        <f t="shared" si="79"/>
        <v>#N/A</v>
      </c>
      <c r="F1682" s="28" t="str">
        <f t="shared" ca="1" si="80"/>
        <v/>
      </c>
    </row>
    <row r="1683" spans="2:6" x14ac:dyDescent="0.2">
      <c r="B1683" t="str">
        <f>IFERROR(IF('PDCA review'!$D$2=Act!B1684,Act!G1684,""),"")</f>
        <v/>
      </c>
      <c r="C1683">
        <f t="shared" si="78"/>
        <v>0</v>
      </c>
      <c r="D1683">
        <f>SUM($C$3:C1683)</f>
        <v>4</v>
      </c>
      <c r="E1683" t="e">
        <f t="shared" si="79"/>
        <v>#N/A</v>
      </c>
      <c r="F1683" s="28" t="str">
        <f t="shared" ca="1" si="80"/>
        <v/>
      </c>
    </row>
    <row r="1684" spans="2:6" x14ac:dyDescent="0.2">
      <c r="B1684" t="str">
        <f>IFERROR(IF('PDCA review'!$D$2=Act!B1685,Act!G1685,""),"")</f>
        <v/>
      </c>
      <c r="C1684">
        <f t="shared" si="78"/>
        <v>0</v>
      </c>
      <c r="D1684">
        <f>SUM($C$3:C1684)</f>
        <v>4</v>
      </c>
      <c r="E1684" t="e">
        <f t="shared" si="79"/>
        <v>#N/A</v>
      </c>
      <c r="F1684" s="28" t="str">
        <f t="shared" ca="1" si="80"/>
        <v/>
      </c>
    </row>
    <row r="1685" spans="2:6" x14ac:dyDescent="0.2">
      <c r="B1685" t="str">
        <f>IFERROR(IF('PDCA review'!$D$2=Act!B1686,Act!G1686,""),"")</f>
        <v/>
      </c>
      <c r="C1685">
        <f t="shared" si="78"/>
        <v>0</v>
      </c>
      <c r="D1685">
        <f>SUM($C$3:C1685)</f>
        <v>4</v>
      </c>
      <c r="E1685" t="e">
        <f t="shared" si="79"/>
        <v>#N/A</v>
      </c>
      <c r="F1685" s="28" t="str">
        <f t="shared" ca="1" si="80"/>
        <v/>
      </c>
    </row>
    <row r="1686" spans="2:6" x14ac:dyDescent="0.2">
      <c r="B1686" t="str">
        <f>IFERROR(IF('PDCA review'!$D$2=Act!B1687,Act!G1687,""),"")</f>
        <v/>
      </c>
      <c r="C1686">
        <f t="shared" si="78"/>
        <v>0</v>
      </c>
      <c r="D1686">
        <f>SUM($C$3:C1686)</f>
        <v>4</v>
      </c>
      <c r="E1686" t="e">
        <f t="shared" si="79"/>
        <v>#N/A</v>
      </c>
      <c r="F1686" s="28" t="str">
        <f t="shared" ca="1" si="80"/>
        <v/>
      </c>
    </row>
    <row r="1687" spans="2:6" x14ac:dyDescent="0.2">
      <c r="B1687" t="str">
        <f>IFERROR(IF('PDCA review'!$D$2=Act!B1688,Act!G1688,""),"")</f>
        <v/>
      </c>
      <c r="C1687">
        <f t="shared" si="78"/>
        <v>0</v>
      </c>
      <c r="D1687">
        <f>SUM($C$3:C1687)</f>
        <v>4</v>
      </c>
      <c r="E1687" t="e">
        <f t="shared" si="79"/>
        <v>#N/A</v>
      </c>
      <c r="F1687" s="28" t="str">
        <f t="shared" ca="1" si="80"/>
        <v/>
      </c>
    </row>
    <row r="1688" spans="2:6" x14ac:dyDescent="0.2">
      <c r="B1688" t="str">
        <f>IFERROR(IF('PDCA review'!$D$2=Act!B1689,Act!G1689,""),"")</f>
        <v/>
      </c>
      <c r="C1688">
        <f t="shared" si="78"/>
        <v>0</v>
      </c>
      <c r="D1688">
        <f>SUM($C$3:C1688)</f>
        <v>4</v>
      </c>
      <c r="E1688" t="e">
        <f t="shared" si="79"/>
        <v>#N/A</v>
      </c>
      <c r="F1688" s="28" t="str">
        <f t="shared" ca="1" si="80"/>
        <v/>
      </c>
    </row>
    <row r="1689" spans="2:6" x14ac:dyDescent="0.2">
      <c r="B1689" t="str">
        <f>IFERROR(IF('PDCA review'!$D$2=Act!B1690,Act!G1690,""),"")</f>
        <v/>
      </c>
      <c r="C1689">
        <f t="shared" si="78"/>
        <v>0</v>
      </c>
      <c r="D1689">
        <f>SUM($C$3:C1689)</f>
        <v>4</v>
      </c>
      <c r="E1689" t="e">
        <f t="shared" si="79"/>
        <v>#N/A</v>
      </c>
      <c r="F1689" s="28" t="str">
        <f t="shared" ca="1" si="80"/>
        <v/>
      </c>
    </row>
    <row r="1690" spans="2:6" x14ac:dyDescent="0.2">
      <c r="B1690" t="str">
        <f>IFERROR(IF('PDCA review'!$D$2=Act!B1691,Act!G1691,""),"")</f>
        <v/>
      </c>
      <c r="C1690">
        <f t="shared" si="78"/>
        <v>0</v>
      </c>
      <c r="D1690">
        <f>SUM($C$3:C1690)</f>
        <v>4</v>
      </c>
      <c r="E1690" t="e">
        <f t="shared" si="79"/>
        <v>#N/A</v>
      </c>
      <c r="F1690" s="28" t="str">
        <f t="shared" ca="1" si="80"/>
        <v/>
      </c>
    </row>
    <row r="1691" spans="2:6" x14ac:dyDescent="0.2">
      <c r="B1691" t="str">
        <f>IFERROR(IF('PDCA review'!$D$2=Act!B1692,Act!G1692,""),"")</f>
        <v/>
      </c>
      <c r="C1691">
        <f t="shared" si="78"/>
        <v>0</v>
      </c>
      <c r="D1691">
        <f>SUM($C$3:C1691)</f>
        <v>4</v>
      </c>
      <c r="E1691" t="e">
        <f t="shared" si="79"/>
        <v>#N/A</v>
      </c>
      <c r="F1691" s="28" t="str">
        <f t="shared" ca="1" si="80"/>
        <v/>
      </c>
    </row>
    <row r="1692" spans="2:6" x14ac:dyDescent="0.2">
      <c r="B1692" t="str">
        <f>IFERROR(IF('PDCA review'!$D$2=Act!B1693,Act!G1693,""),"")</f>
        <v/>
      </c>
      <c r="C1692">
        <f t="shared" si="78"/>
        <v>0</v>
      </c>
      <c r="D1692">
        <f>SUM($C$3:C1692)</f>
        <v>4</v>
      </c>
      <c r="E1692" t="e">
        <f t="shared" si="79"/>
        <v>#N/A</v>
      </c>
      <c r="F1692" s="28" t="str">
        <f t="shared" ca="1" si="80"/>
        <v/>
      </c>
    </row>
    <row r="1693" spans="2:6" x14ac:dyDescent="0.2">
      <c r="B1693" t="str">
        <f>IFERROR(IF('PDCA review'!$D$2=Act!B1694,Act!G1694,""),"")</f>
        <v/>
      </c>
      <c r="C1693">
        <f t="shared" si="78"/>
        <v>0</v>
      </c>
      <c r="D1693">
        <f>SUM($C$3:C1693)</f>
        <v>4</v>
      </c>
      <c r="E1693" t="e">
        <f t="shared" si="79"/>
        <v>#N/A</v>
      </c>
      <c r="F1693" s="28" t="str">
        <f t="shared" ca="1" si="80"/>
        <v/>
      </c>
    </row>
    <row r="1694" spans="2:6" x14ac:dyDescent="0.2">
      <c r="B1694" t="str">
        <f>IFERROR(IF('PDCA review'!$D$2=Act!B1695,Act!G1695,""),"")</f>
        <v/>
      </c>
      <c r="C1694">
        <f t="shared" si="78"/>
        <v>0</v>
      </c>
      <c r="D1694">
        <f>SUM($C$3:C1694)</f>
        <v>4</v>
      </c>
      <c r="E1694" t="e">
        <f t="shared" si="79"/>
        <v>#N/A</v>
      </c>
      <c r="F1694" s="28" t="str">
        <f t="shared" ca="1" si="80"/>
        <v/>
      </c>
    </row>
    <row r="1695" spans="2:6" x14ac:dyDescent="0.2">
      <c r="B1695" t="str">
        <f>IFERROR(IF('PDCA review'!$D$2=Act!B1696,Act!G1696,""),"")</f>
        <v/>
      </c>
      <c r="C1695">
        <f t="shared" si="78"/>
        <v>0</v>
      </c>
      <c r="D1695">
        <f>SUM($C$3:C1695)</f>
        <v>4</v>
      </c>
      <c r="E1695" t="e">
        <f t="shared" si="79"/>
        <v>#N/A</v>
      </c>
      <c r="F1695" s="28" t="str">
        <f t="shared" ca="1" si="80"/>
        <v/>
      </c>
    </row>
    <row r="1696" spans="2:6" x14ac:dyDescent="0.2">
      <c r="B1696" t="str">
        <f>IFERROR(IF('PDCA review'!$D$2=Act!B1697,Act!G1697,""),"")</f>
        <v/>
      </c>
      <c r="C1696">
        <f t="shared" si="78"/>
        <v>0</v>
      </c>
      <c r="D1696">
        <f>SUM($C$3:C1696)</f>
        <v>4</v>
      </c>
      <c r="E1696" t="e">
        <f t="shared" si="79"/>
        <v>#N/A</v>
      </c>
      <c r="F1696" s="28" t="str">
        <f t="shared" ca="1" si="80"/>
        <v/>
      </c>
    </row>
    <row r="1697" spans="2:6" x14ac:dyDescent="0.2">
      <c r="B1697" t="str">
        <f>IFERROR(IF('PDCA review'!$D$2=Act!B1698,Act!G1698,""),"")</f>
        <v/>
      </c>
      <c r="C1697">
        <f t="shared" si="78"/>
        <v>0</v>
      </c>
      <c r="D1697">
        <f>SUM($C$3:C1697)</f>
        <v>4</v>
      </c>
      <c r="E1697" t="e">
        <f t="shared" si="79"/>
        <v>#N/A</v>
      </c>
      <c r="F1697" s="28" t="str">
        <f t="shared" ca="1" si="80"/>
        <v/>
      </c>
    </row>
    <row r="1698" spans="2:6" x14ac:dyDescent="0.2">
      <c r="B1698" t="str">
        <f>IFERROR(IF('PDCA review'!$D$2=Act!B1699,Act!G1699,""),"")</f>
        <v/>
      </c>
      <c r="C1698">
        <f t="shared" si="78"/>
        <v>0</v>
      </c>
      <c r="D1698">
        <f>SUM($C$3:C1698)</f>
        <v>4</v>
      </c>
      <c r="E1698" t="e">
        <f t="shared" si="79"/>
        <v>#N/A</v>
      </c>
      <c r="F1698" s="28" t="str">
        <f t="shared" ca="1" si="80"/>
        <v/>
      </c>
    </row>
    <row r="1699" spans="2:6" x14ac:dyDescent="0.2">
      <c r="B1699" t="str">
        <f>IFERROR(IF('PDCA review'!$D$2=Act!B1700,Act!G1700,""),"")</f>
        <v/>
      </c>
      <c r="C1699">
        <f t="shared" si="78"/>
        <v>0</v>
      </c>
      <c r="D1699">
        <f>SUM($C$3:C1699)</f>
        <v>4</v>
      </c>
      <c r="E1699" t="e">
        <f t="shared" si="79"/>
        <v>#N/A</v>
      </c>
      <c r="F1699" s="28" t="str">
        <f t="shared" ca="1" si="80"/>
        <v/>
      </c>
    </row>
    <row r="1700" spans="2:6" x14ac:dyDescent="0.2">
      <c r="B1700" t="str">
        <f>IFERROR(IF('PDCA review'!$D$2=Act!B1701,Act!G1701,""),"")</f>
        <v/>
      </c>
      <c r="C1700">
        <f t="shared" si="78"/>
        <v>0</v>
      </c>
      <c r="D1700">
        <f>SUM($C$3:C1700)</f>
        <v>4</v>
      </c>
      <c r="E1700" t="e">
        <f t="shared" si="79"/>
        <v>#N/A</v>
      </c>
      <c r="F1700" s="28" t="str">
        <f t="shared" ca="1" si="80"/>
        <v/>
      </c>
    </row>
    <row r="1701" spans="2:6" x14ac:dyDescent="0.2">
      <c r="B1701" t="str">
        <f>IFERROR(IF('PDCA review'!$D$2=Act!B1702,Act!G1702,""),"")</f>
        <v/>
      </c>
      <c r="C1701">
        <f t="shared" si="78"/>
        <v>0</v>
      </c>
      <c r="D1701">
        <f>SUM($C$3:C1701)</f>
        <v>4</v>
      </c>
      <c r="E1701" t="e">
        <f t="shared" si="79"/>
        <v>#N/A</v>
      </c>
      <c r="F1701" s="28" t="str">
        <f t="shared" ca="1" si="80"/>
        <v/>
      </c>
    </row>
    <row r="1702" spans="2:6" x14ac:dyDescent="0.2">
      <c r="B1702" t="str">
        <f>IFERROR(IF('PDCA review'!$D$2=Act!B1703,Act!G1703,""),"")</f>
        <v/>
      </c>
      <c r="C1702">
        <f t="shared" si="78"/>
        <v>0</v>
      </c>
      <c r="D1702">
        <f>SUM($C$3:C1702)</f>
        <v>4</v>
      </c>
      <c r="E1702" t="e">
        <f t="shared" si="79"/>
        <v>#N/A</v>
      </c>
      <c r="F1702" s="28" t="str">
        <f t="shared" ca="1" si="80"/>
        <v/>
      </c>
    </row>
    <row r="1703" spans="2:6" x14ac:dyDescent="0.2">
      <c r="B1703" t="str">
        <f>IFERROR(IF('PDCA review'!$D$2=Act!B1704,Act!G1704,""),"")</f>
        <v/>
      </c>
      <c r="C1703">
        <f t="shared" si="78"/>
        <v>0</v>
      </c>
      <c r="D1703">
        <f>SUM($C$3:C1703)</f>
        <v>4</v>
      </c>
      <c r="E1703" t="e">
        <f t="shared" si="79"/>
        <v>#N/A</v>
      </c>
      <c r="F1703" s="28" t="str">
        <f t="shared" ca="1" si="80"/>
        <v/>
      </c>
    </row>
    <row r="1704" spans="2:6" x14ac:dyDescent="0.2">
      <c r="B1704" t="str">
        <f>IFERROR(IF('PDCA review'!$D$2=Act!B1705,Act!G1705,""),"")</f>
        <v/>
      </c>
      <c r="C1704">
        <f t="shared" si="78"/>
        <v>0</v>
      </c>
      <c r="D1704">
        <f>SUM($C$3:C1704)</f>
        <v>4</v>
      </c>
      <c r="E1704" t="e">
        <f t="shared" si="79"/>
        <v>#N/A</v>
      </c>
      <c r="F1704" s="28" t="str">
        <f t="shared" ca="1" si="80"/>
        <v/>
      </c>
    </row>
    <row r="1705" spans="2:6" x14ac:dyDescent="0.2">
      <c r="B1705" t="str">
        <f>IFERROR(IF('PDCA review'!$D$2=Act!B1706,Act!G1706,""),"")</f>
        <v/>
      </c>
      <c r="C1705">
        <f t="shared" si="78"/>
        <v>0</v>
      </c>
      <c r="D1705">
        <f>SUM($C$3:C1705)</f>
        <v>4</v>
      </c>
      <c r="E1705" t="e">
        <f t="shared" si="79"/>
        <v>#N/A</v>
      </c>
      <c r="F1705" s="28" t="str">
        <f t="shared" ca="1" si="80"/>
        <v/>
      </c>
    </row>
    <row r="1706" spans="2:6" x14ac:dyDescent="0.2">
      <c r="B1706" t="str">
        <f>IFERROR(IF('PDCA review'!$D$2=Act!B1707,Act!G1707,""),"")</f>
        <v/>
      </c>
      <c r="C1706">
        <f t="shared" si="78"/>
        <v>0</v>
      </c>
      <c r="D1706">
        <f>SUM($C$3:C1706)</f>
        <v>4</v>
      </c>
      <c r="E1706" t="e">
        <f t="shared" si="79"/>
        <v>#N/A</v>
      </c>
      <c r="F1706" s="28" t="str">
        <f t="shared" ca="1" si="80"/>
        <v/>
      </c>
    </row>
    <row r="1707" spans="2:6" x14ac:dyDescent="0.2">
      <c r="B1707" t="str">
        <f>IFERROR(IF('PDCA review'!$D$2=Act!B1708,Act!G1708,""),"")</f>
        <v/>
      </c>
      <c r="C1707">
        <f t="shared" si="78"/>
        <v>0</v>
      </c>
      <c r="D1707">
        <f>SUM($C$3:C1707)</f>
        <v>4</v>
      </c>
      <c r="E1707" t="e">
        <f t="shared" si="79"/>
        <v>#N/A</v>
      </c>
      <c r="F1707" s="28" t="str">
        <f t="shared" ca="1" si="80"/>
        <v/>
      </c>
    </row>
    <row r="1708" spans="2:6" x14ac:dyDescent="0.2">
      <c r="B1708" t="str">
        <f>IFERROR(IF('PDCA review'!$D$2=Act!B1709,Act!G1709,""),"")</f>
        <v/>
      </c>
      <c r="C1708">
        <f t="shared" si="78"/>
        <v>0</v>
      </c>
      <c r="D1708">
        <f>SUM($C$3:C1708)</f>
        <v>4</v>
      </c>
      <c r="E1708" t="e">
        <f t="shared" si="79"/>
        <v>#N/A</v>
      </c>
      <c r="F1708" s="28" t="str">
        <f t="shared" ca="1" si="80"/>
        <v/>
      </c>
    </row>
    <row r="1709" spans="2:6" x14ac:dyDescent="0.2">
      <c r="B1709" t="str">
        <f>IFERROR(IF('PDCA review'!$D$2=Act!B1710,Act!G1710,""),"")</f>
        <v/>
      </c>
      <c r="C1709">
        <f t="shared" si="78"/>
        <v>0</v>
      </c>
      <c r="D1709">
        <f>SUM($C$3:C1709)</f>
        <v>4</v>
      </c>
      <c r="E1709" t="e">
        <f t="shared" si="79"/>
        <v>#N/A</v>
      </c>
      <c r="F1709" s="28" t="str">
        <f t="shared" ca="1" si="80"/>
        <v/>
      </c>
    </row>
    <row r="1710" spans="2:6" x14ac:dyDescent="0.2">
      <c r="B1710" t="str">
        <f>IFERROR(IF('PDCA review'!$D$2=Act!B1711,Act!G1711,""),"")</f>
        <v/>
      </c>
      <c r="C1710">
        <f t="shared" si="78"/>
        <v>0</v>
      </c>
      <c r="D1710">
        <f>SUM($C$3:C1710)</f>
        <v>4</v>
      </c>
      <c r="E1710" t="e">
        <f t="shared" si="79"/>
        <v>#N/A</v>
      </c>
      <c r="F1710" s="28" t="str">
        <f t="shared" ca="1" si="80"/>
        <v/>
      </c>
    </row>
    <row r="1711" spans="2:6" x14ac:dyDescent="0.2">
      <c r="B1711" t="str">
        <f>IFERROR(IF('PDCA review'!$D$2=Act!B1712,Act!G1712,""),"")</f>
        <v/>
      </c>
      <c r="C1711">
        <f t="shared" si="78"/>
        <v>0</v>
      </c>
      <c r="D1711">
        <f>SUM($C$3:C1711)</f>
        <v>4</v>
      </c>
      <c r="E1711" t="e">
        <f t="shared" si="79"/>
        <v>#N/A</v>
      </c>
      <c r="F1711" s="28" t="str">
        <f t="shared" ca="1" si="80"/>
        <v/>
      </c>
    </row>
    <row r="1712" spans="2:6" x14ac:dyDescent="0.2">
      <c r="B1712" t="str">
        <f>IFERROR(IF('PDCA review'!$D$2=Act!B1713,Act!G1713,""),"")</f>
        <v/>
      </c>
      <c r="C1712">
        <f t="shared" si="78"/>
        <v>0</v>
      </c>
      <c r="D1712">
        <f>SUM($C$3:C1712)</f>
        <v>4</v>
      </c>
      <c r="E1712" t="e">
        <f t="shared" si="79"/>
        <v>#N/A</v>
      </c>
      <c r="F1712" s="28" t="str">
        <f t="shared" ca="1" si="80"/>
        <v/>
      </c>
    </row>
    <row r="1713" spans="2:6" x14ac:dyDescent="0.2">
      <c r="B1713" t="str">
        <f>IFERROR(IF('PDCA review'!$D$2=Act!B1714,Act!G1714,""),"")</f>
        <v/>
      </c>
      <c r="C1713">
        <f t="shared" si="78"/>
        <v>0</v>
      </c>
      <c r="D1713">
        <f>SUM($C$3:C1713)</f>
        <v>4</v>
      </c>
      <c r="E1713" t="e">
        <f t="shared" si="79"/>
        <v>#N/A</v>
      </c>
      <c r="F1713" s="28" t="str">
        <f t="shared" ca="1" si="80"/>
        <v/>
      </c>
    </row>
    <row r="1714" spans="2:6" x14ac:dyDescent="0.2">
      <c r="B1714" t="str">
        <f>IFERROR(IF('PDCA review'!$D$2=Act!B1715,Act!G1715,""),"")</f>
        <v/>
      </c>
      <c r="C1714">
        <f t="shared" si="78"/>
        <v>0</v>
      </c>
      <c r="D1714">
        <f>SUM($C$3:C1714)</f>
        <v>4</v>
      </c>
      <c r="E1714" t="e">
        <f t="shared" si="79"/>
        <v>#N/A</v>
      </c>
      <c r="F1714" s="28" t="str">
        <f t="shared" ca="1" si="80"/>
        <v/>
      </c>
    </row>
    <row r="1715" spans="2:6" x14ac:dyDescent="0.2">
      <c r="B1715" t="str">
        <f>IFERROR(IF('PDCA review'!$D$2=Act!B1716,Act!G1716,""),"")</f>
        <v/>
      </c>
      <c r="C1715">
        <f t="shared" si="78"/>
        <v>0</v>
      </c>
      <c r="D1715">
        <f>SUM($C$3:C1715)</f>
        <v>4</v>
      </c>
      <c r="E1715" t="e">
        <f t="shared" si="79"/>
        <v>#N/A</v>
      </c>
      <c r="F1715" s="28" t="str">
        <f t="shared" ca="1" si="80"/>
        <v/>
      </c>
    </row>
    <row r="1716" spans="2:6" x14ac:dyDescent="0.2">
      <c r="B1716" t="str">
        <f>IFERROR(IF('PDCA review'!$D$2=Act!B1717,Act!G1717,""),"")</f>
        <v/>
      </c>
      <c r="C1716">
        <f t="shared" si="78"/>
        <v>0</v>
      </c>
      <c r="D1716">
        <f>SUM($C$3:C1716)</f>
        <v>4</v>
      </c>
      <c r="E1716" t="e">
        <f t="shared" si="79"/>
        <v>#N/A</v>
      </c>
      <c r="F1716" s="28" t="str">
        <f t="shared" ca="1" si="80"/>
        <v/>
      </c>
    </row>
    <row r="1717" spans="2:6" x14ac:dyDescent="0.2">
      <c r="B1717" t="str">
        <f>IFERROR(IF('PDCA review'!$D$2=Act!B1718,Act!G1718,""),"")</f>
        <v/>
      </c>
      <c r="C1717">
        <f t="shared" si="78"/>
        <v>0</v>
      </c>
      <c r="D1717">
        <f>SUM($C$3:C1717)</f>
        <v>4</v>
      </c>
      <c r="E1717" t="e">
        <f t="shared" si="79"/>
        <v>#N/A</v>
      </c>
      <c r="F1717" s="28" t="str">
        <f t="shared" ca="1" si="80"/>
        <v/>
      </c>
    </row>
    <row r="1718" spans="2:6" x14ac:dyDescent="0.2">
      <c r="B1718" t="str">
        <f>IFERROR(IF('PDCA review'!$D$2=Act!B1719,Act!G1719,""),"")</f>
        <v/>
      </c>
      <c r="C1718">
        <f t="shared" si="78"/>
        <v>0</v>
      </c>
      <c r="D1718">
        <f>SUM($C$3:C1718)</f>
        <v>4</v>
      </c>
      <c r="E1718" t="e">
        <f t="shared" si="79"/>
        <v>#N/A</v>
      </c>
      <c r="F1718" s="28" t="str">
        <f t="shared" ca="1" si="80"/>
        <v/>
      </c>
    </row>
    <row r="1719" spans="2:6" x14ac:dyDescent="0.2">
      <c r="B1719" t="str">
        <f>IFERROR(IF('PDCA review'!$D$2=Act!B1720,Act!G1720,""),"")</f>
        <v/>
      </c>
      <c r="C1719">
        <f t="shared" si="78"/>
        <v>0</v>
      </c>
      <c r="D1719">
        <f>SUM($C$3:C1719)</f>
        <v>4</v>
      </c>
      <c r="E1719" t="e">
        <f t="shared" si="79"/>
        <v>#N/A</v>
      </c>
      <c r="F1719" s="28" t="str">
        <f t="shared" ca="1" si="80"/>
        <v/>
      </c>
    </row>
    <row r="1720" spans="2:6" x14ac:dyDescent="0.2">
      <c r="B1720" t="str">
        <f>IFERROR(IF('PDCA review'!$D$2=Act!B1721,Act!G1721,""),"")</f>
        <v/>
      </c>
      <c r="C1720">
        <f t="shared" si="78"/>
        <v>0</v>
      </c>
      <c r="D1720">
        <f>SUM($C$3:C1720)</f>
        <v>4</v>
      </c>
      <c r="E1720" t="e">
        <f t="shared" si="79"/>
        <v>#N/A</v>
      </c>
      <c r="F1720" s="28" t="str">
        <f t="shared" ca="1" si="80"/>
        <v/>
      </c>
    </row>
    <row r="1721" spans="2:6" x14ac:dyDescent="0.2">
      <c r="B1721" t="str">
        <f>IFERROR(IF('PDCA review'!$D$2=Act!B1722,Act!G1722,""),"")</f>
        <v/>
      </c>
      <c r="C1721">
        <f t="shared" si="78"/>
        <v>0</v>
      </c>
      <c r="D1721">
        <f>SUM($C$3:C1721)</f>
        <v>4</v>
      </c>
      <c r="E1721" t="e">
        <f t="shared" si="79"/>
        <v>#N/A</v>
      </c>
      <c r="F1721" s="28" t="str">
        <f t="shared" ca="1" si="80"/>
        <v/>
      </c>
    </row>
    <row r="1722" spans="2:6" x14ac:dyDescent="0.2">
      <c r="B1722" t="str">
        <f>IFERROR(IF('PDCA review'!$D$2=Act!B1723,Act!G1723,""),"")</f>
        <v/>
      </c>
      <c r="C1722">
        <f t="shared" si="78"/>
        <v>0</v>
      </c>
      <c r="D1722">
        <f>SUM($C$3:C1722)</f>
        <v>4</v>
      </c>
      <c r="E1722" t="e">
        <f t="shared" si="79"/>
        <v>#N/A</v>
      </c>
      <c r="F1722" s="28" t="str">
        <f t="shared" ca="1" si="80"/>
        <v/>
      </c>
    </row>
    <row r="1723" spans="2:6" x14ac:dyDescent="0.2">
      <c r="B1723" t="str">
        <f>IFERROR(IF('PDCA review'!$D$2=Act!B1724,Act!G1724,""),"")</f>
        <v/>
      </c>
      <c r="C1723">
        <f t="shared" si="78"/>
        <v>0</v>
      </c>
      <c r="D1723">
        <f>SUM($C$3:C1723)</f>
        <v>4</v>
      </c>
      <c r="E1723" t="e">
        <f t="shared" si="79"/>
        <v>#N/A</v>
      </c>
      <c r="F1723" s="28" t="str">
        <f t="shared" ca="1" si="80"/>
        <v/>
      </c>
    </row>
    <row r="1724" spans="2:6" x14ac:dyDescent="0.2">
      <c r="B1724" t="str">
        <f>IFERROR(IF('PDCA review'!$D$2=Act!B1725,Act!G1725,""),"")</f>
        <v/>
      </c>
      <c r="C1724">
        <f t="shared" si="78"/>
        <v>0</v>
      </c>
      <c r="D1724">
        <f>SUM($C$3:C1724)</f>
        <v>4</v>
      </c>
      <c r="E1724" t="e">
        <f t="shared" si="79"/>
        <v>#N/A</v>
      </c>
      <c r="F1724" s="28" t="str">
        <f t="shared" ca="1" si="80"/>
        <v/>
      </c>
    </row>
    <row r="1725" spans="2:6" x14ac:dyDescent="0.2">
      <c r="B1725" t="str">
        <f>IFERROR(IF('PDCA review'!$D$2=Act!B1726,Act!G1726,""),"")</f>
        <v/>
      </c>
      <c r="C1725">
        <f t="shared" si="78"/>
        <v>0</v>
      </c>
      <c r="D1725">
        <f>SUM($C$3:C1725)</f>
        <v>4</v>
      </c>
      <c r="E1725" t="e">
        <f t="shared" si="79"/>
        <v>#N/A</v>
      </c>
      <c r="F1725" s="28" t="str">
        <f t="shared" ca="1" si="80"/>
        <v/>
      </c>
    </row>
    <row r="1726" spans="2:6" x14ac:dyDescent="0.2">
      <c r="B1726" t="str">
        <f>IFERROR(IF('PDCA review'!$D$2=Act!B1727,Act!G1727,""),"")</f>
        <v/>
      </c>
      <c r="C1726">
        <f t="shared" si="78"/>
        <v>0</v>
      </c>
      <c r="D1726">
        <f>SUM($C$3:C1726)</f>
        <v>4</v>
      </c>
      <c r="E1726" t="e">
        <f t="shared" si="79"/>
        <v>#N/A</v>
      </c>
      <c r="F1726" s="28" t="str">
        <f t="shared" ca="1" si="80"/>
        <v/>
      </c>
    </row>
    <row r="1727" spans="2:6" x14ac:dyDescent="0.2">
      <c r="B1727" t="str">
        <f>IFERROR(IF('PDCA review'!$D$2=Act!B1728,Act!G1728,""),"")</f>
        <v/>
      </c>
      <c r="C1727">
        <f t="shared" si="78"/>
        <v>0</v>
      </c>
      <c r="D1727">
        <f>SUM($C$3:C1727)</f>
        <v>4</v>
      </c>
      <c r="E1727" t="e">
        <f t="shared" si="79"/>
        <v>#N/A</v>
      </c>
      <c r="F1727" s="28" t="str">
        <f t="shared" ca="1" si="80"/>
        <v/>
      </c>
    </row>
    <row r="1728" spans="2:6" x14ac:dyDescent="0.2">
      <c r="B1728" t="str">
        <f>IFERROR(IF('PDCA review'!$D$2=Act!B1729,Act!G1729,""),"")</f>
        <v/>
      </c>
      <c r="C1728">
        <f t="shared" si="78"/>
        <v>0</v>
      </c>
      <c r="D1728">
        <f>SUM($C$3:C1728)</f>
        <v>4</v>
      </c>
      <c r="E1728" t="e">
        <f t="shared" si="79"/>
        <v>#N/A</v>
      </c>
      <c r="F1728" s="28" t="str">
        <f t="shared" ca="1" si="80"/>
        <v/>
      </c>
    </row>
    <row r="1729" spans="2:6" x14ac:dyDescent="0.2">
      <c r="B1729" t="str">
        <f>IFERROR(IF('PDCA review'!$D$2=Act!B1730,Act!G1730,""),"")</f>
        <v/>
      </c>
      <c r="C1729">
        <f t="shared" si="78"/>
        <v>0</v>
      </c>
      <c r="D1729">
        <f>SUM($C$3:C1729)</f>
        <v>4</v>
      </c>
      <c r="E1729" t="e">
        <f t="shared" si="79"/>
        <v>#N/A</v>
      </c>
      <c r="F1729" s="28" t="str">
        <f t="shared" ca="1" si="80"/>
        <v/>
      </c>
    </row>
    <row r="1730" spans="2:6" x14ac:dyDescent="0.2">
      <c r="B1730" t="str">
        <f>IFERROR(IF('PDCA review'!$D$2=Act!B1731,Act!G1731,""),"")</f>
        <v/>
      </c>
      <c r="C1730">
        <f t="shared" si="78"/>
        <v>0</v>
      </c>
      <c r="D1730">
        <f>SUM($C$3:C1730)</f>
        <v>4</v>
      </c>
      <c r="E1730" t="e">
        <f t="shared" si="79"/>
        <v>#N/A</v>
      </c>
      <c r="F1730" s="28" t="str">
        <f t="shared" ca="1" si="80"/>
        <v/>
      </c>
    </row>
    <row r="1731" spans="2:6" x14ac:dyDescent="0.2">
      <c r="B1731" t="str">
        <f>IFERROR(IF('PDCA review'!$D$2=Act!B1732,Act!G1732,""),"")</f>
        <v/>
      </c>
      <c r="C1731">
        <f t="shared" si="78"/>
        <v>0</v>
      </c>
      <c r="D1731">
        <f>SUM($C$3:C1731)</f>
        <v>4</v>
      </c>
      <c r="E1731" t="e">
        <f t="shared" si="79"/>
        <v>#N/A</v>
      </c>
      <c r="F1731" s="28" t="str">
        <f t="shared" ca="1" si="80"/>
        <v/>
      </c>
    </row>
    <row r="1732" spans="2:6" x14ac:dyDescent="0.2">
      <c r="B1732" t="str">
        <f>IFERROR(IF('PDCA review'!$D$2=Act!B1733,Act!G1733,""),"")</f>
        <v/>
      </c>
      <c r="C1732">
        <f t="shared" ref="C1732:C1795" si="81">IF(B1732&lt;&gt;"",1,0)</f>
        <v>0</v>
      </c>
      <c r="D1732">
        <f>SUM($C$3:C1732)</f>
        <v>4</v>
      </c>
      <c r="E1732" t="e">
        <f t="shared" ref="E1732:E1795" si="82">MATCH(ROW()-$D$2,$D$3:$D$2000,0)+$D$2</f>
        <v>#N/A</v>
      </c>
      <c r="F1732" s="28" t="str">
        <f t="shared" ref="F1732:F1795" ca="1" si="83">IFERROR(INDIRECT("B"&amp;E1732),"")</f>
        <v/>
      </c>
    </row>
    <row r="1733" spans="2:6" x14ac:dyDescent="0.2">
      <c r="B1733" t="str">
        <f>IFERROR(IF('PDCA review'!$D$2=Act!B1734,Act!G1734,""),"")</f>
        <v/>
      </c>
      <c r="C1733">
        <f t="shared" si="81"/>
        <v>0</v>
      </c>
      <c r="D1733">
        <f>SUM($C$3:C1733)</f>
        <v>4</v>
      </c>
      <c r="E1733" t="e">
        <f t="shared" si="82"/>
        <v>#N/A</v>
      </c>
      <c r="F1733" s="28" t="str">
        <f t="shared" ca="1" si="83"/>
        <v/>
      </c>
    </row>
    <row r="1734" spans="2:6" x14ac:dyDescent="0.2">
      <c r="B1734" t="str">
        <f>IFERROR(IF('PDCA review'!$D$2=Act!B1735,Act!G1735,""),"")</f>
        <v/>
      </c>
      <c r="C1734">
        <f t="shared" si="81"/>
        <v>0</v>
      </c>
      <c r="D1734">
        <f>SUM($C$3:C1734)</f>
        <v>4</v>
      </c>
      <c r="E1734" t="e">
        <f t="shared" si="82"/>
        <v>#N/A</v>
      </c>
      <c r="F1734" s="28" t="str">
        <f t="shared" ca="1" si="83"/>
        <v/>
      </c>
    </row>
    <row r="1735" spans="2:6" x14ac:dyDescent="0.2">
      <c r="B1735" t="str">
        <f>IFERROR(IF('PDCA review'!$D$2=Act!B1736,Act!G1736,""),"")</f>
        <v/>
      </c>
      <c r="C1735">
        <f t="shared" si="81"/>
        <v>0</v>
      </c>
      <c r="D1735">
        <f>SUM($C$3:C1735)</f>
        <v>4</v>
      </c>
      <c r="E1735" t="e">
        <f t="shared" si="82"/>
        <v>#N/A</v>
      </c>
      <c r="F1735" s="28" t="str">
        <f t="shared" ca="1" si="83"/>
        <v/>
      </c>
    </row>
    <row r="1736" spans="2:6" x14ac:dyDescent="0.2">
      <c r="B1736" t="str">
        <f>IFERROR(IF('PDCA review'!$D$2=Act!B1737,Act!G1737,""),"")</f>
        <v/>
      </c>
      <c r="C1736">
        <f t="shared" si="81"/>
        <v>0</v>
      </c>
      <c r="D1736">
        <f>SUM($C$3:C1736)</f>
        <v>4</v>
      </c>
      <c r="E1736" t="e">
        <f t="shared" si="82"/>
        <v>#N/A</v>
      </c>
      <c r="F1736" s="28" t="str">
        <f t="shared" ca="1" si="83"/>
        <v/>
      </c>
    </row>
    <row r="1737" spans="2:6" x14ac:dyDescent="0.2">
      <c r="B1737" t="str">
        <f>IFERROR(IF('PDCA review'!$D$2=Act!B1738,Act!G1738,""),"")</f>
        <v/>
      </c>
      <c r="C1737">
        <f t="shared" si="81"/>
        <v>0</v>
      </c>
      <c r="D1737">
        <f>SUM($C$3:C1737)</f>
        <v>4</v>
      </c>
      <c r="E1737" t="e">
        <f t="shared" si="82"/>
        <v>#N/A</v>
      </c>
      <c r="F1737" s="28" t="str">
        <f t="shared" ca="1" si="83"/>
        <v/>
      </c>
    </row>
    <row r="1738" spans="2:6" x14ac:dyDescent="0.2">
      <c r="B1738" t="str">
        <f>IFERROR(IF('PDCA review'!$D$2=Act!B1739,Act!G1739,""),"")</f>
        <v/>
      </c>
      <c r="C1738">
        <f t="shared" si="81"/>
        <v>0</v>
      </c>
      <c r="D1738">
        <f>SUM($C$3:C1738)</f>
        <v>4</v>
      </c>
      <c r="E1738" t="e">
        <f t="shared" si="82"/>
        <v>#N/A</v>
      </c>
      <c r="F1738" s="28" t="str">
        <f t="shared" ca="1" si="83"/>
        <v/>
      </c>
    </row>
    <row r="1739" spans="2:6" x14ac:dyDescent="0.2">
      <c r="B1739" t="str">
        <f>IFERROR(IF('PDCA review'!$D$2=Act!B1740,Act!G1740,""),"")</f>
        <v/>
      </c>
      <c r="C1739">
        <f t="shared" si="81"/>
        <v>0</v>
      </c>
      <c r="D1739">
        <f>SUM($C$3:C1739)</f>
        <v>4</v>
      </c>
      <c r="E1739" t="e">
        <f t="shared" si="82"/>
        <v>#N/A</v>
      </c>
      <c r="F1739" s="28" t="str">
        <f t="shared" ca="1" si="83"/>
        <v/>
      </c>
    </row>
    <row r="1740" spans="2:6" x14ac:dyDescent="0.2">
      <c r="B1740" t="str">
        <f>IFERROR(IF('PDCA review'!$D$2=Act!B1741,Act!G1741,""),"")</f>
        <v/>
      </c>
      <c r="C1740">
        <f t="shared" si="81"/>
        <v>0</v>
      </c>
      <c r="D1740">
        <f>SUM($C$3:C1740)</f>
        <v>4</v>
      </c>
      <c r="E1740" t="e">
        <f t="shared" si="82"/>
        <v>#N/A</v>
      </c>
      <c r="F1740" s="28" t="str">
        <f t="shared" ca="1" si="83"/>
        <v/>
      </c>
    </row>
    <row r="1741" spans="2:6" x14ac:dyDescent="0.2">
      <c r="B1741" t="str">
        <f>IFERROR(IF('PDCA review'!$D$2=Act!B1742,Act!G1742,""),"")</f>
        <v/>
      </c>
      <c r="C1741">
        <f t="shared" si="81"/>
        <v>0</v>
      </c>
      <c r="D1741">
        <f>SUM($C$3:C1741)</f>
        <v>4</v>
      </c>
      <c r="E1741" t="e">
        <f t="shared" si="82"/>
        <v>#N/A</v>
      </c>
      <c r="F1741" s="28" t="str">
        <f t="shared" ca="1" si="83"/>
        <v/>
      </c>
    </row>
    <row r="1742" spans="2:6" x14ac:dyDescent="0.2">
      <c r="B1742" t="str">
        <f>IFERROR(IF('PDCA review'!$D$2=Act!B1743,Act!G1743,""),"")</f>
        <v/>
      </c>
      <c r="C1742">
        <f t="shared" si="81"/>
        <v>0</v>
      </c>
      <c r="D1742">
        <f>SUM($C$3:C1742)</f>
        <v>4</v>
      </c>
      <c r="E1742" t="e">
        <f t="shared" si="82"/>
        <v>#N/A</v>
      </c>
      <c r="F1742" s="28" t="str">
        <f t="shared" ca="1" si="83"/>
        <v/>
      </c>
    </row>
    <row r="1743" spans="2:6" x14ac:dyDescent="0.2">
      <c r="B1743" t="str">
        <f>IFERROR(IF('PDCA review'!$D$2=Act!B1744,Act!G1744,""),"")</f>
        <v/>
      </c>
      <c r="C1743">
        <f t="shared" si="81"/>
        <v>0</v>
      </c>
      <c r="D1743">
        <f>SUM($C$3:C1743)</f>
        <v>4</v>
      </c>
      <c r="E1743" t="e">
        <f t="shared" si="82"/>
        <v>#N/A</v>
      </c>
      <c r="F1743" s="28" t="str">
        <f t="shared" ca="1" si="83"/>
        <v/>
      </c>
    </row>
    <row r="1744" spans="2:6" x14ac:dyDescent="0.2">
      <c r="B1744" t="str">
        <f>IFERROR(IF('PDCA review'!$D$2=Act!B1745,Act!G1745,""),"")</f>
        <v/>
      </c>
      <c r="C1744">
        <f t="shared" si="81"/>
        <v>0</v>
      </c>
      <c r="D1744">
        <f>SUM($C$3:C1744)</f>
        <v>4</v>
      </c>
      <c r="E1744" t="e">
        <f t="shared" si="82"/>
        <v>#N/A</v>
      </c>
      <c r="F1744" s="28" t="str">
        <f t="shared" ca="1" si="83"/>
        <v/>
      </c>
    </row>
    <row r="1745" spans="2:6" x14ac:dyDescent="0.2">
      <c r="B1745" t="str">
        <f>IFERROR(IF('PDCA review'!$D$2=Act!B1746,Act!G1746,""),"")</f>
        <v/>
      </c>
      <c r="C1745">
        <f t="shared" si="81"/>
        <v>0</v>
      </c>
      <c r="D1745">
        <f>SUM($C$3:C1745)</f>
        <v>4</v>
      </c>
      <c r="E1745" t="e">
        <f t="shared" si="82"/>
        <v>#N/A</v>
      </c>
      <c r="F1745" s="28" t="str">
        <f t="shared" ca="1" si="83"/>
        <v/>
      </c>
    </row>
    <row r="1746" spans="2:6" x14ac:dyDescent="0.2">
      <c r="B1746" t="str">
        <f>IFERROR(IF('PDCA review'!$D$2=Act!B1747,Act!G1747,""),"")</f>
        <v/>
      </c>
      <c r="C1746">
        <f t="shared" si="81"/>
        <v>0</v>
      </c>
      <c r="D1746">
        <f>SUM($C$3:C1746)</f>
        <v>4</v>
      </c>
      <c r="E1746" t="e">
        <f t="shared" si="82"/>
        <v>#N/A</v>
      </c>
      <c r="F1746" s="28" t="str">
        <f t="shared" ca="1" si="83"/>
        <v/>
      </c>
    </row>
    <row r="1747" spans="2:6" x14ac:dyDescent="0.2">
      <c r="B1747" t="str">
        <f>IFERROR(IF('PDCA review'!$D$2=Act!B1748,Act!G1748,""),"")</f>
        <v/>
      </c>
      <c r="C1747">
        <f t="shared" si="81"/>
        <v>0</v>
      </c>
      <c r="D1747">
        <f>SUM($C$3:C1747)</f>
        <v>4</v>
      </c>
      <c r="E1747" t="e">
        <f t="shared" si="82"/>
        <v>#N/A</v>
      </c>
      <c r="F1747" s="28" t="str">
        <f t="shared" ca="1" si="83"/>
        <v/>
      </c>
    </row>
    <row r="1748" spans="2:6" x14ac:dyDescent="0.2">
      <c r="B1748" t="str">
        <f>IFERROR(IF('PDCA review'!$D$2=Act!B1749,Act!G1749,""),"")</f>
        <v/>
      </c>
      <c r="C1748">
        <f t="shared" si="81"/>
        <v>0</v>
      </c>
      <c r="D1748">
        <f>SUM($C$3:C1748)</f>
        <v>4</v>
      </c>
      <c r="E1748" t="e">
        <f t="shared" si="82"/>
        <v>#N/A</v>
      </c>
      <c r="F1748" s="28" t="str">
        <f t="shared" ca="1" si="83"/>
        <v/>
      </c>
    </row>
    <row r="1749" spans="2:6" x14ac:dyDescent="0.2">
      <c r="B1749" t="str">
        <f>IFERROR(IF('PDCA review'!$D$2=Act!B1750,Act!G1750,""),"")</f>
        <v/>
      </c>
      <c r="C1749">
        <f t="shared" si="81"/>
        <v>0</v>
      </c>
      <c r="D1749">
        <f>SUM($C$3:C1749)</f>
        <v>4</v>
      </c>
      <c r="E1749" t="e">
        <f t="shared" si="82"/>
        <v>#N/A</v>
      </c>
      <c r="F1749" s="28" t="str">
        <f t="shared" ca="1" si="83"/>
        <v/>
      </c>
    </row>
    <row r="1750" spans="2:6" x14ac:dyDescent="0.2">
      <c r="B1750" t="str">
        <f>IFERROR(IF('PDCA review'!$D$2=Act!B1751,Act!G1751,""),"")</f>
        <v/>
      </c>
      <c r="C1750">
        <f t="shared" si="81"/>
        <v>0</v>
      </c>
      <c r="D1750">
        <f>SUM($C$3:C1750)</f>
        <v>4</v>
      </c>
      <c r="E1750" t="e">
        <f t="shared" si="82"/>
        <v>#N/A</v>
      </c>
      <c r="F1750" s="28" t="str">
        <f t="shared" ca="1" si="83"/>
        <v/>
      </c>
    </row>
    <row r="1751" spans="2:6" x14ac:dyDescent="0.2">
      <c r="B1751" t="str">
        <f>IFERROR(IF('PDCA review'!$D$2=Act!B1752,Act!G1752,""),"")</f>
        <v/>
      </c>
      <c r="C1751">
        <f t="shared" si="81"/>
        <v>0</v>
      </c>
      <c r="D1751">
        <f>SUM($C$3:C1751)</f>
        <v>4</v>
      </c>
      <c r="E1751" t="e">
        <f t="shared" si="82"/>
        <v>#N/A</v>
      </c>
      <c r="F1751" s="28" t="str">
        <f t="shared" ca="1" si="83"/>
        <v/>
      </c>
    </row>
    <row r="1752" spans="2:6" x14ac:dyDescent="0.2">
      <c r="B1752" t="str">
        <f>IFERROR(IF('PDCA review'!$D$2=Act!B1753,Act!G1753,""),"")</f>
        <v/>
      </c>
      <c r="C1752">
        <f t="shared" si="81"/>
        <v>0</v>
      </c>
      <c r="D1752">
        <f>SUM($C$3:C1752)</f>
        <v>4</v>
      </c>
      <c r="E1752" t="e">
        <f t="shared" si="82"/>
        <v>#N/A</v>
      </c>
      <c r="F1752" s="28" t="str">
        <f t="shared" ca="1" si="83"/>
        <v/>
      </c>
    </row>
    <row r="1753" spans="2:6" x14ac:dyDescent="0.2">
      <c r="B1753" t="str">
        <f>IFERROR(IF('PDCA review'!$D$2=Act!B1754,Act!G1754,""),"")</f>
        <v/>
      </c>
      <c r="C1753">
        <f t="shared" si="81"/>
        <v>0</v>
      </c>
      <c r="D1753">
        <f>SUM($C$3:C1753)</f>
        <v>4</v>
      </c>
      <c r="E1753" t="e">
        <f t="shared" si="82"/>
        <v>#N/A</v>
      </c>
      <c r="F1753" s="28" t="str">
        <f t="shared" ca="1" si="83"/>
        <v/>
      </c>
    </row>
    <row r="1754" spans="2:6" x14ac:dyDescent="0.2">
      <c r="B1754" t="str">
        <f>IFERROR(IF('PDCA review'!$D$2=Act!B1755,Act!G1755,""),"")</f>
        <v/>
      </c>
      <c r="C1754">
        <f t="shared" si="81"/>
        <v>0</v>
      </c>
      <c r="D1754">
        <f>SUM($C$3:C1754)</f>
        <v>4</v>
      </c>
      <c r="E1754" t="e">
        <f t="shared" si="82"/>
        <v>#N/A</v>
      </c>
      <c r="F1754" s="28" t="str">
        <f t="shared" ca="1" si="83"/>
        <v/>
      </c>
    </row>
    <row r="1755" spans="2:6" x14ac:dyDescent="0.2">
      <c r="B1755" t="str">
        <f>IFERROR(IF('PDCA review'!$D$2=Act!B1756,Act!G1756,""),"")</f>
        <v/>
      </c>
      <c r="C1755">
        <f t="shared" si="81"/>
        <v>0</v>
      </c>
      <c r="D1755">
        <f>SUM($C$3:C1755)</f>
        <v>4</v>
      </c>
      <c r="E1755" t="e">
        <f t="shared" si="82"/>
        <v>#N/A</v>
      </c>
      <c r="F1755" s="28" t="str">
        <f t="shared" ca="1" si="83"/>
        <v/>
      </c>
    </row>
    <row r="1756" spans="2:6" x14ac:dyDescent="0.2">
      <c r="B1756" t="str">
        <f>IFERROR(IF('PDCA review'!$D$2=Act!B1757,Act!G1757,""),"")</f>
        <v/>
      </c>
      <c r="C1756">
        <f t="shared" si="81"/>
        <v>0</v>
      </c>
      <c r="D1756">
        <f>SUM($C$3:C1756)</f>
        <v>4</v>
      </c>
      <c r="E1756" t="e">
        <f t="shared" si="82"/>
        <v>#N/A</v>
      </c>
      <c r="F1756" s="28" t="str">
        <f t="shared" ca="1" si="83"/>
        <v/>
      </c>
    </row>
    <row r="1757" spans="2:6" x14ac:dyDescent="0.2">
      <c r="B1757" t="str">
        <f>IFERROR(IF('PDCA review'!$D$2=Act!B1758,Act!G1758,""),"")</f>
        <v/>
      </c>
      <c r="C1757">
        <f t="shared" si="81"/>
        <v>0</v>
      </c>
      <c r="D1757">
        <f>SUM($C$3:C1757)</f>
        <v>4</v>
      </c>
      <c r="E1757" t="e">
        <f t="shared" si="82"/>
        <v>#N/A</v>
      </c>
      <c r="F1757" s="28" t="str">
        <f t="shared" ca="1" si="83"/>
        <v/>
      </c>
    </row>
    <row r="1758" spans="2:6" x14ac:dyDescent="0.2">
      <c r="B1758" t="str">
        <f>IFERROR(IF('PDCA review'!$D$2=Act!B1759,Act!G1759,""),"")</f>
        <v/>
      </c>
      <c r="C1758">
        <f t="shared" si="81"/>
        <v>0</v>
      </c>
      <c r="D1758">
        <f>SUM($C$3:C1758)</f>
        <v>4</v>
      </c>
      <c r="E1758" t="e">
        <f t="shared" si="82"/>
        <v>#N/A</v>
      </c>
      <c r="F1758" s="28" t="str">
        <f t="shared" ca="1" si="83"/>
        <v/>
      </c>
    </row>
    <row r="1759" spans="2:6" x14ac:dyDescent="0.2">
      <c r="B1759" t="str">
        <f>IFERROR(IF('PDCA review'!$D$2=Act!B1760,Act!G1760,""),"")</f>
        <v/>
      </c>
      <c r="C1759">
        <f t="shared" si="81"/>
        <v>0</v>
      </c>
      <c r="D1759">
        <f>SUM($C$3:C1759)</f>
        <v>4</v>
      </c>
      <c r="E1759" t="e">
        <f t="shared" si="82"/>
        <v>#N/A</v>
      </c>
      <c r="F1759" s="28" t="str">
        <f t="shared" ca="1" si="83"/>
        <v/>
      </c>
    </row>
    <row r="1760" spans="2:6" x14ac:dyDescent="0.2">
      <c r="B1760" t="str">
        <f>IFERROR(IF('PDCA review'!$D$2=Act!B1761,Act!G1761,""),"")</f>
        <v/>
      </c>
      <c r="C1760">
        <f t="shared" si="81"/>
        <v>0</v>
      </c>
      <c r="D1760">
        <f>SUM($C$3:C1760)</f>
        <v>4</v>
      </c>
      <c r="E1760" t="e">
        <f t="shared" si="82"/>
        <v>#N/A</v>
      </c>
      <c r="F1760" s="28" t="str">
        <f t="shared" ca="1" si="83"/>
        <v/>
      </c>
    </row>
    <row r="1761" spans="2:6" x14ac:dyDescent="0.2">
      <c r="B1761" t="str">
        <f>IFERROR(IF('PDCA review'!$D$2=Act!B1762,Act!G1762,""),"")</f>
        <v/>
      </c>
      <c r="C1761">
        <f t="shared" si="81"/>
        <v>0</v>
      </c>
      <c r="D1761">
        <f>SUM($C$3:C1761)</f>
        <v>4</v>
      </c>
      <c r="E1761" t="e">
        <f t="shared" si="82"/>
        <v>#N/A</v>
      </c>
      <c r="F1761" s="28" t="str">
        <f t="shared" ca="1" si="83"/>
        <v/>
      </c>
    </row>
    <row r="1762" spans="2:6" x14ac:dyDescent="0.2">
      <c r="B1762" t="str">
        <f>IFERROR(IF('PDCA review'!$D$2=Act!B1763,Act!G1763,""),"")</f>
        <v/>
      </c>
      <c r="C1762">
        <f t="shared" si="81"/>
        <v>0</v>
      </c>
      <c r="D1762">
        <f>SUM($C$3:C1762)</f>
        <v>4</v>
      </c>
      <c r="E1762" t="e">
        <f t="shared" si="82"/>
        <v>#N/A</v>
      </c>
      <c r="F1762" s="28" t="str">
        <f t="shared" ca="1" si="83"/>
        <v/>
      </c>
    </row>
    <row r="1763" spans="2:6" x14ac:dyDescent="0.2">
      <c r="B1763" t="str">
        <f>IFERROR(IF('PDCA review'!$D$2=Act!B1764,Act!G1764,""),"")</f>
        <v/>
      </c>
      <c r="C1763">
        <f t="shared" si="81"/>
        <v>0</v>
      </c>
      <c r="D1763">
        <f>SUM($C$3:C1763)</f>
        <v>4</v>
      </c>
      <c r="E1763" t="e">
        <f t="shared" si="82"/>
        <v>#N/A</v>
      </c>
      <c r="F1763" s="28" t="str">
        <f t="shared" ca="1" si="83"/>
        <v/>
      </c>
    </row>
    <row r="1764" spans="2:6" x14ac:dyDescent="0.2">
      <c r="B1764" t="str">
        <f>IFERROR(IF('PDCA review'!$D$2=Act!B1765,Act!G1765,""),"")</f>
        <v/>
      </c>
      <c r="C1764">
        <f t="shared" si="81"/>
        <v>0</v>
      </c>
      <c r="D1764">
        <f>SUM($C$3:C1764)</f>
        <v>4</v>
      </c>
      <c r="E1764" t="e">
        <f t="shared" si="82"/>
        <v>#N/A</v>
      </c>
      <c r="F1764" s="28" t="str">
        <f t="shared" ca="1" si="83"/>
        <v/>
      </c>
    </row>
    <row r="1765" spans="2:6" x14ac:dyDescent="0.2">
      <c r="B1765" t="str">
        <f>IFERROR(IF('PDCA review'!$D$2=Act!B1766,Act!G1766,""),"")</f>
        <v/>
      </c>
      <c r="C1765">
        <f t="shared" si="81"/>
        <v>0</v>
      </c>
      <c r="D1765">
        <f>SUM($C$3:C1765)</f>
        <v>4</v>
      </c>
      <c r="E1765" t="e">
        <f t="shared" si="82"/>
        <v>#N/A</v>
      </c>
      <c r="F1765" s="28" t="str">
        <f t="shared" ca="1" si="83"/>
        <v/>
      </c>
    </row>
    <row r="1766" spans="2:6" x14ac:dyDescent="0.2">
      <c r="B1766" t="str">
        <f>IFERROR(IF('PDCA review'!$D$2=Act!B1767,Act!G1767,""),"")</f>
        <v/>
      </c>
      <c r="C1766">
        <f t="shared" si="81"/>
        <v>0</v>
      </c>
      <c r="D1766">
        <f>SUM($C$3:C1766)</f>
        <v>4</v>
      </c>
      <c r="E1766" t="e">
        <f t="shared" si="82"/>
        <v>#N/A</v>
      </c>
      <c r="F1766" s="28" t="str">
        <f t="shared" ca="1" si="83"/>
        <v/>
      </c>
    </row>
    <row r="1767" spans="2:6" x14ac:dyDescent="0.2">
      <c r="B1767" t="str">
        <f>IFERROR(IF('PDCA review'!$D$2=Act!B1768,Act!G1768,""),"")</f>
        <v/>
      </c>
      <c r="C1767">
        <f t="shared" si="81"/>
        <v>0</v>
      </c>
      <c r="D1767">
        <f>SUM($C$3:C1767)</f>
        <v>4</v>
      </c>
      <c r="E1767" t="e">
        <f t="shared" si="82"/>
        <v>#N/A</v>
      </c>
      <c r="F1767" s="28" t="str">
        <f t="shared" ca="1" si="83"/>
        <v/>
      </c>
    </row>
    <row r="1768" spans="2:6" x14ac:dyDescent="0.2">
      <c r="B1768" t="str">
        <f>IFERROR(IF('PDCA review'!$D$2=Act!B1769,Act!G1769,""),"")</f>
        <v/>
      </c>
      <c r="C1768">
        <f t="shared" si="81"/>
        <v>0</v>
      </c>
      <c r="D1768">
        <f>SUM($C$3:C1768)</f>
        <v>4</v>
      </c>
      <c r="E1768" t="e">
        <f t="shared" si="82"/>
        <v>#N/A</v>
      </c>
      <c r="F1768" s="28" t="str">
        <f t="shared" ca="1" si="83"/>
        <v/>
      </c>
    </row>
    <row r="1769" spans="2:6" x14ac:dyDescent="0.2">
      <c r="B1769" t="str">
        <f>IFERROR(IF('PDCA review'!$D$2=Act!B1770,Act!G1770,""),"")</f>
        <v/>
      </c>
      <c r="C1769">
        <f t="shared" si="81"/>
        <v>0</v>
      </c>
      <c r="D1769">
        <f>SUM($C$3:C1769)</f>
        <v>4</v>
      </c>
      <c r="E1769" t="e">
        <f t="shared" si="82"/>
        <v>#N/A</v>
      </c>
      <c r="F1769" s="28" t="str">
        <f t="shared" ca="1" si="83"/>
        <v/>
      </c>
    </row>
    <row r="1770" spans="2:6" x14ac:dyDescent="0.2">
      <c r="B1770" t="str">
        <f>IFERROR(IF('PDCA review'!$D$2=Act!B1771,Act!G1771,""),"")</f>
        <v/>
      </c>
      <c r="C1770">
        <f t="shared" si="81"/>
        <v>0</v>
      </c>
      <c r="D1770">
        <f>SUM($C$3:C1770)</f>
        <v>4</v>
      </c>
      <c r="E1770" t="e">
        <f t="shared" si="82"/>
        <v>#N/A</v>
      </c>
      <c r="F1770" s="28" t="str">
        <f t="shared" ca="1" si="83"/>
        <v/>
      </c>
    </row>
    <row r="1771" spans="2:6" x14ac:dyDescent="0.2">
      <c r="B1771" t="str">
        <f>IFERROR(IF('PDCA review'!$D$2=Act!B1772,Act!G1772,""),"")</f>
        <v/>
      </c>
      <c r="C1771">
        <f t="shared" si="81"/>
        <v>0</v>
      </c>
      <c r="D1771">
        <f>SUM($C$3:C1771)</f>
        <v>4</v>
      </c>
      <c r="E1771" t="e">
        <f t="shared" si="82"/>
        <v>#N/A</v>
      </c>
      <c r="F1771" s="28" t="str">
        <f t="shared" ca="1" si="83"/>
        <v/>
      </c>
    </row>
    <row r="1772" spans="2:6" x14ac:dyDescent="0.2">
      <c r="B1772" t="str">
        <f>IFERROR(IF('PDCA review'!$D$2=Act!B1773,Act!G1773,""),"")</f>
        <v/>
      </c>
      <c r="C1772">
        <f t="shared" si="81"/>
        <v>0</v>
      </c>
      <c r="D1772">
        <f>SUM($C$3:C1772)</f>
        <v>4</v>
      </c>
      <c r="E1772" t="e">
        <f t="shared" si="82"/>
        <v>#N/A</v>
      </c>
      <c r="F1772" s="28" t="str">
        <f t="shared" ca="1" si="83"/>
        <v/>
      </c>
    </row>
    <row r="1773" spans="2:6" x14ac:dyDescent="0.2">
      <c r="B1773" t="str">
        <f>IFERROR(IF('PDCA review'!$D$2=Act!B1774,Act!G1774,""),"")</f>
        <v/>
      </c>
      <c r="C1773">
        <f t="shared" si="81"/>
        <v>0</v>
      </c>
      <c r="D1773">
        <f>SUM($C$3:C1773)</f>
        <v>4</v>
      </c>
      <c r="E1773" t="e">
        <f t="shared" si="82"/>
        <v>#N/A</v>
      </c>
      <c r="F1773" s="28" t="str">
        <f t="shared" ca="1" si="83"/>
        <v/>
      </c>
    </row>
    <row r="1774" spans="2:6" x14ac:dyDescent="0.2">
      <c r="B1774" t="str">
        <f>IFERROR(IF('PDCA review'!$D$2=Act!B1775,Act!G1775,""),"")</f>
        <v/>
      </c>
      <c r="C1774">
        <f t="shared" si="81"/>
        <v>0</v>
      </c>
      <c r="D1774">
        <f>SUM($C$3:C1774)</f>
        <v>4</v>
      </c>
      <c r="E1774" t="e">
        <f t="shared" si="82"/>
        <v>#N/A</v>
      </c>
      <c r="F1774" s="28" t="str">
        <f t="shared" ca="1" si="83"/>
        <v/>
      </c>
    </row>
    <row r="1775" spans="2:6" x14ac:dyDescent="0.2">
      <c r="B1775" t="str">
        <f>IFERROR(IF('PDCA review'!$D$2=Act!B1776,Act!G1776,""),"")</f>
        <v/>
      </c>
      <c r="C1775">
        <f t="shared" si="81"/>
        <v>0</v>
      </c>
      <c r="D1775">
        <f>SUM($C$3:C1775)</f>
        <v>4</v>
      </c>
      <c r="E1775" t="e">
        <f t="shared" si="82"/>
        <v>#N/A</v>
      </c>
      <c r="F1775" s="28" t="str">
        <f t="shared" ca="1" si="83"/>
        <v/>
      </c>
    </row>
    <row r="1776" spans="2:6" x14ac:dyDescent="0.2">
      <c r="B1776" t="str">
        <f>IFERROR(IF('PDCA review'!$D$2=Act!B1777,Act!G1777,""),"")</f>
        <v/>
      </c>
      <c r="C1776">
        <f t="shared" si="81"/>
        <v>0</v>
      </c>
      <c r="D1776">
        <f>SUM($C$3:C1776)</f>
        <v>4</v>
      </c>
      <c r="E1776" t="e">
        <f t="shared" si="82"/>
        <v>#N/A</v>
      </c>
      <c r="F1776" s="28" t="str">
        <f t="shared" ca="1" si="83"/>
        <v/>
      </c>
    </row>
    <row r="1777" spans="2:6" x14ac:dyDescent="0.2">
      <c r="B1777" t="str">
        <f>IFERROR(IF('PDCA review'!$D$2=Act!B1778,Act!G1778,""),"")</f>
        <v/>
      </c>
      <c r="C1777">
        <f t="shared" si="81"/>
        <v>0</v>
      </c>
      <c r="D1777">
        <f>SUM($C$3:C1777)</f>
        <v>4</v>
      </c>
      <c r="E1777" t="e">
        <f t="shared" si="82"/>
        <v>#N/A</v>
      </c>
      <c r="F1777" s="28" t="str">
        <f t="shared" ca="1" si="83"/>
        <v/>
      </c>
    </row>
    <row r="1778" spans="2:6" x14ac:dyDescent="0.2">
      <c r="B1778" t="str">
        <f>IFERROR(IF('PDCA review'!$D$2=Act!B1779,Act!G1779,""),"")</f>
        <v/>
      </c>
      <c r="C1778">
        <f t="shared" si="81"/>
        <v>0</v>
      </c>
      <c r="D1778">
        <f>SUM($C$3:C1778)</f>
        <v>4</v>
      </c>
      <c r="E1778" t="e">
        <f t="shared" si="82"/>
        <v>#N/A</v>
      </c>
      <c r="F1778" s="28" t="str">
        <f t="shared" ca="1" si="83"/>
        <v/>
      </c>
    </row>
    <row r="1779" spans="2:6" x14ac:dyDescent="0.2">
      <c r="B1779" t="str">
        <f>IFERROR(IF('PDCA review'!$D$2=Act!B1780,Act!G1780,""),"")</f>
        <v/>
      </c>
      <c r="C1779">
        <f t="shared" si="81"/>
        <v>0</v>
      </c>
      <c r="D1779">
        <f>SUM($C$3:C1779)</f>
        <v>4</v>
      </c>
      <c r="E1779" t="e">
        <f t="shared" si="82"/>
        <v>#N/A</v>
      </c>
      <c r="F1779" s="28" t="str">
        <f t="shared" ca="1" si="83"/>
        <v/>
      </c>
    </row>
    <row r="1780" spans="2:6" x14ac:dyDescent="0.2">
      <c r="B1780" t="str">
        <f>IFERROR(IF('PDCA review'!$D$2=Act!B1781,Act!G1781,""),"")</f>
        <v/>
      </c>
      <c r="C1780">
        <f t="shared" si="81"/>
        <v>0</v>
      </c>
      <c r="D1780">
        <f>SUM($C$3:C1780)</f>
        <v>4</v>
      </c>
      <c r="E1780" t="e">
        <f t="shared" si="82"/>
        <v>#N/A</v>
      </c>
      <c r="F1780" s="28" t="str">
        <f t="shared" ca="1" si="83"/>
        <v/>
      </c>
    </row>
    <row r="1781" spans="2:6" x14ac:dyDescent="0.2">
      <c r="B1781" t="str">
        <f>IFERROR(IF('PDCA review'!$D$2=Act!B1782,Act!G1782,""),"")</f>
        <v/>
      </c>
      <c r="C1781">
        <f t="shared" si="81"/>
        <v>0</v>
      </c>
      <c r="D1781">
        <f>SUM($C$3:C1781)</f>
        <v>4</v>
      </c>
      <c r="E1781" t="e">
        <f t="shared" si="82"/>
        <v>#N/A</v>
      </c>
      <c r="F1781" s="28" t="str">
        <f t="shared" ca="1" si="83"/>
        <v/>
      </c>
    </row>
    <row r="1782" spans="2:6" x14ac:dyDescent="0.2">
      <c r="B1782" t="str">
        <f>IFERROR(IF('PDCA review'!$D$2=Act!B1783,Act!G1783,""),"")</f>
        <v/>
      </c>
      <c r="C1782">
        <f t="shared" si="81"/>
        <v>0</v>
      </c>
      <c r="D1782">
        <f>SUM($C$3:C1782)</f>
        <v>4</v>
      </c>
      <c r="E1782" t="e">
        <f t="shared" si="82"/>
        <v>#N/A</v>
      </c>
      <c r="F1782" s="28" t="str">
        <f t="shared" ca="1" si="83"/>
        <v/>
      </c>
    </row>
    <row r="1783" spans="2:6" x14ac:dyDescent="0.2">
      <c r="B1783" t="str">
        <f>IFERROR(IF('PDCA review'!$D$2=Act!B1784,Act!G1784,""),"")</f>
        <v/>
      </c>
      <c r="C1783">
        <f t="shared" si="81"/>
        <v>0</v>
      </c>
      <c r="D1783">
        <f>SUM($C$3:C1783)</f>
        <v>4</v>
      </c>
      <c r="E1783" t="e">
        <f t="shared" si="82"/>
        <v>#N/A</v>
      </c>
      <c r="F1783" s="28" t="str">
        <f t="shared" ca="1" si="83"/>
        <v/>
      </c>
    </row>
    <row r="1784" spans="2:6" x14ac:dyDescent="0.2">
      <c r="B1784" t="str">
        <f>IFERROR(IF('PDCA review'!$D$2=Act!B1785,Act!G1785,""),"")</f>
        <v/>
      </c>
      <c r="C1784">
        <f t="shared" si="81"/>
        <v>0</v>
      </c>
      <c r="D1784">
        <f>SUM($C$3:C1784)</f>
        <v>4</v>
      </c>
      <c r="E1784" t="e">
        <f t="shared" si="82"/>
        <v>#N/A</v>
      </c>
      <c r="F1784" s="28" t="str">
        <f t="shared" ca="1" si="83"/>
        <v/>
      </c>
    </row>
    <row r="1785" spans="2:6" x14ac:dyDescent="0.2">
      <c r="B1785" t="str">
        <f>IFERROR(IF('PDCA review'!$D$2=Act!B1786,Act!G1786,""),"")</f>
        <v/>
      </c>
      <c r="C1785">
        <f t="shared" si="81"/>
        <v>0</v>
      </c>
      <c r="D1785">
        <f>SUM($C$3:C1785)</f>
        <v>4</v>
      </c>
      <c r="E1785" t="e">
        <f t="shared" si="82"/>
        <v>#N/A</v>
      </c>
      <c r="F1785" s="28" t="str">
        <f t="shared" ca="1" si="83"/>
        <v/>
      </c>
    </row>
    <row r="1786" spans="2:6" x14ac:dyDescent="0.2">
      <c r="B1786" t="str">
        <f>IFERROR(IF('PDCA review'!$D$2=Act!B1787,Act!G1787,""),"")</f>
        <v/>
      </c>
      <c r="C1786">
        <f t="shared" si="81"/>
        <v>0</v>
      </c>
      <c r="D1786">
        <f>SUM($C$3:C1786)</f>
        <v>4</v>
      </c>
      <c r="E1786" t="e">
        <f t="shared" si="82"/>
        <v>#N/A</v>
      </c>
      <c r="F1786" s="28" t="str">
        <f t="shared" ca="1" si="83"/>
        <v/>
      </c>
    </row>
    <row r="1787" spans="2:6" x14ac:dyDescent="0.2">
      <c r="B1787" t="str">
        <f>IFERROR(IF('PDCA review'!$D$2=Act!B1788,Act!G1788,""),"")</f>
        <v/>
      </c>
      <c r="C1787">
        <f t="shared" si="81"/>
        <v>0</v>
      </c>
      <c r="D1787">
        <f>SUM($C$3:C1787)</f>
        <v>4</v>
      </c>
      <c r="E1787" t="e">
        <f t="shared" si="82"/>
        <v>#N/A</v>
      </c>
      <c r="F1787" s="28" t="str">
        <f t="shared" ca="1" si="83"/>
        <v/>
      </c>
    </row>
    <row r="1788" spans="2:6" x14ac:dyDescent="0.2">
      <c r="B1788" t="str">
        <f>IFERROR(IF('PDCA review'!$D$2=Act!B1789,Act!G1789,""),"")</f>
        <v/>
      </c>
      <c r="C1788">
        <f t="shared" si="81"/>
        <v>0</v>
      </c>
      <c r="D1788">
        <f>SUM($C$3:C1788)</f>
        <v>4</v>
      </c>
      <c r="E1788" t="e">
        <f t="shared" si="82"/>
        <v>#N/A</v>
      </c>
      <c r="F1788" s="28" t="str">
        <f t="shared" ca="1" si="83"/>
        <v/>
      </c>
    </row>
    <row r="1789" spans="2:6" x14ac:dyDescent="0.2">
      <c r="B1789" t="str">
        <f>IFERROR(IF('PDCA review'!$D$2=Act!B1790,Act!G1790,""),"")</f>
        <v/>
      </c>
      <c r="C1789">
        <f t="shared" si="81"/>
        <v>0</v>
      </c>
      <c r="D1789">
        <f>SUM($C$3:C1789)</f>
        <v>4</v>
      </c>
      <c r="E1789" t="e">
        <f t="shared" si="82"/>
        <v>#N/A</v>
      </c>
      <c r="F1789" s="28" t="str">
        <f t="shared" ca="1" si="83"/>
        <v/>
      </c>
    </row>
    <row r="1790" spans="2:6" x14ac:dyDescent="0.2">
      <c r="B1790" t="str">
        <f>IFERROR(IF('PDCA review'!$D$2=Act!B1791,Act!G1791,""),"")</f>
        <v/>
      </c>
      <c r="C1790">
        <f t="shared" si="81"/>
        <v>0</v>
      </c>
      <c r="D1790">
        <f>SUM($C$3:C1790)</f>
        <v>4</v>
      </c>
      <c r="E1790" t="e">
        <f t="shared" si="82"/>
        <v>#N/A</v>
      </c>
      <c r="F1790" s="28" t="str">
        <f t="shared" ca="1" si="83"/>
        <v/>
      </c>
    </row>
    <row r="1791" spans="2:6" x14ac:dyDescent="0.2">
      <c r="B1791" t="str">
        <f>IFERROR(IF('PDCA review'!$D$2=Act!B1792,Act!G1792,""),"")</f>
        <v/>
      </c>
      <c r="C1791">
        <f t="shared" si="81"/>
        <v>0</v>
      </c>
      <c r="D1791">
        <f>SUM($C$3:C1791)</f>
        <v>4</v>
      </c>
      <c r="E1791" t="e">
        <f t="shared" si="82"/>
        <v>#N/A</v>
      </c>
      <c r="F1791" s="28" t="str">
        <f t="shared" ca="1" si="83"/>
        <v/>
      </c>
    </row>
    <row r="1792" spans="2:6" x14ac:dyDescent="0.2">
      <c r="B1792" t="str">
        <f>IFERROR(IF('PDCA review'!$D$2=Act!B1793,Act!G1793,""),"")</f>
        <v/>
      </c>
      <c r="C1792">
        <f t="shared" si="81"/>
        <v>0</v>
      </c>
      <c r="D1792">
        <f>SUM($C$3:C1792)</f>
        <v>4</v>
      </c>
      <c r="E1792" t="e">
        <f t="shared" si="82"/>
        <v>#N/A</v>
      </c>
      <c r="F1792" s="28" t="str">
        <f t="shared" ca="1" si="83"/>
        <v/>
      </c>
    </row>
    <row r="1793" spans="2:6" x14ac:dyDescent="0.2">
      <c r="B1793" t="str">
        <f>IFERROR(IF('PDCA review'!$D$2=Act!B1794,Act!G1794,""),"")</f>
        <v/>
      </c>
      <c r="C1793">
        <f t="shared" si="81"/>
        <v>0</v>
      </c>
      <c r="D1793">
        <f>SUM($C$3:C1793)</f>
        <v>4</v>
      </c>
      <c r="E1793" t="e">
        <f t="shared" si="82"/>
        <v>#N/A</v>
      </c>
      <c r="F1793" s="28" t="str">
        <f t="shared" ca="1" si="83"/>
        <v/>
      </c>
    </row>
    <row r="1794" spans="2:6" x14ac:dyDescent="0.2">
      <c r="B1794" t="str">
        <f>IFERROR(IF('PDCA review'!$D$2=Act!B1795,Act!G1795,""),"")</f>
        <v/>
      </c>
      <c r="C1794">
        <f t="shared" si="81"/>
        <v>0</v>
      </c>
      <c r="D1794">
        <f>SUM($C$3:C1794)</f>
        <v>4</v>
      </c>
      <c r="E1794" t="e">
        <f t="shared" si="82"/>
        <v>#N/A</v>
      </c>
      <c r="F1794" s="28" t="str">
        <f t="shared" ca="1" si="83"/>
        <v/>
      </c>
    </row>
    <row r="1795" spans="2:6" x14ac:dyDescent="0.2">
      <c r="B1795" t="str">
        <f>IFERROR(IF('PDCA review'!$D$2=Act!B1796,Act!G1796,""),"")</f>
        <v/>
      </c>
      <c r="C1795">
        <f t="shared" si="81"/>
        <v>0</v>
      </c>
      <c r="D1795">
        <f>SUM($C$3:C1795)</f>
        <v>4</v>
      </c>
      <c r="E1795" t="e">
        <f t="shared" si="82"/>
        <v>#N/A</v>
      </c>
      <c r="F1795" s="28" t="str">
        <f t="shared" ca="1" si="83"/>
        <v/>
      </c>
    </row>
    <row r="1796" spans="2:6" x14ac:dyDescent="0.2">
      <c r="B1796" t="str">
        <f>IFERROR(IF('PDCA review'!$D$2=Act!B1797,Act!G1797,""),"")</f>
        <v/>
      </c>
      <c r="C1796">
        <f t="shared" ref="C1796:C1859" si="84">IF(B1796&lt;&gt;"",1,0)</f>
        <v>0</v>
      </c>
      <c r="D1796">
        <f>SUM($C$3:C1796)</f>
        <v>4</v>
      </c>
      <c r="E1796" t="e">
        <f t="shared" ref="E1796:E1859" si="85">MATCH(ROW()-$D$2,$D$3:$D$2000,0)+$D$2</f>
        <v>#N/A</v>
      </c>
      <c r="F1796" s="28" t="str">
        <f t="shared" ref="F1796:F1859" ca="1" si="86">IFERROR(INDIRECT("B"&amp;E1796),"")</f>
        <v/>
      </c>
    </row>
    <row r="1797" spans="2:6" x14ac:dyDescent="0.2">
      <c r="B1797" t="str">
        <f>IFERROR(IF('PDCA review'!$D$2=Act!B1798,Act!G1798,""),"")</f>
        <v/>
      </c>
      <c r="C1797">
        <f t="shared" si="84"/>
        <v>0</v>
      </c>
      <c r="D1797">
        <f>SUM($C$3:C1797)</f>
        <v>4</v>
      </c>
      <c r="E1797" t="e">
        <f t="shared" si="85"/>
        <v>#N/A</v>
      </c>
      <c r="F1797" s="28" t="str">
        <f t="shared" ca="1" si="86"/>
        <v/>
      </c>
    </row>
    <row r="1798" spans="2:6" x14ac:dyDescent="0.2">
      <c r="B1798" t="str">
        <f>IFERROR(IF('PDCA review'!$D$2=Act!B1799,Act!G1799,""),"")</f>
        <v/>
      </c>
      <c r="C1798">
        <f t="shared" si="84"/>
        <v>0</v>
      </c>
      <c r="D1798">
        <f>SUM($C$3:C1798)</f>
        <v>4</v>
      </c>
      <c r="E1798" t="e">
        <f t="shared" si="85"/>
        <v>#N/A</v>
      </c>
      <c r="F1798" s="28" t="str">
        <f t="shared" ca="1" si="86"/>
        <v/>
      </c>
    </row>
    <row r="1799" spans="2:6" x14ac:dyDescent="0.2">
      <c r="B1799" t="str">
        <f>IFERROR(IF('PDCA review'!$D$2=Act!B1800,Act!G1800,""),"")</f>
        <v/>
      </c>
      <c r="C1799">
        <f t="shared" si="84"/>
        <v>0</v>
      </c>
      <c r="D1799">
        <f>SUM($C$3:C1799)</f>
        <v>4</v>
      </c>
      <c r="E1799" t="e">
        <f t="shared" si="85"/>
        <v>#N/A</v>
      </c>
      <c r="F1799" s="28" t="str">
        <f t="shared" ca="1" si="86"/>
        <v/>
      </c>
    </row>
    <row r="1800" spans="2:6" x14ac:dyDescent="0.2">
      <c r="B1800" t="str">
        <f>IFERROR(IF('PDCA review'!$D$2=Act!B1801,Act!G1801,""),"")</f>
        <v/>
      </c>
      <c r="C1800">
        <f t="shared" si="84"/>
        <v>0</v>
      </c>
      <c r="D1800">
        <f>SUM($C$3:C1800)</f>
        <v>4</v>
      </c>
      <c r="E1800" t="e">
        <f t="shared" si="85"/>
        <v>#N/A</v>
      </c>
      <c r="F1800" s="28" t="str">
        <f t="shared" ca="1" si="86"/>
        <v/>
      </c>
    </row>
    <row r="1801" spans="2:6" x14ac:dyDescent="0.2">
      <c r="B1801" t="str">
        <f>IFERROR(IF('PDCA review'!$D$2=Act!B1802,Act!G1802,""),"")</f>
        <v/>
      </c>
      <c r="C1801">
        <f t="shared" si="84"/>
        <v>0</v>
      </c>
      <c r="D1801">
        <f>SUM($C$3:C1801)</f>
        <v>4</v>
      </c>
      <c r="E1801" t="e">
        <f t="shared" si="85"/>
        <v>#N/A</v>
      </c>
      <c r="F1801" s="28" t="str">
        <f t="shared" ca="1" si="86"/>
        <v/>
      </c>
    </row>
    <row r="1802" spans="2:6" x14ac:dyDescent="0.2">
      <c r="B1802" t="str">
        <f>IFERROR(IF('PDCA review'!$D$2=Act!B1803,Act!G1803,""),"")</f>
        <v/>
      </c>
      <c r="C1802">
        <f t="shared" si="84"/>
        <v>0</v>
      </c>
      <c r="D1802">
        <f>SUM($C$3:C1802)</f>
        <v>4</v>
      </c>
      <c r="E1802" t="e">
        <f t="shared" si="85"/>
        <v>#N/A</v>
      </c>
      <c r="F1802" s="28" t="str">
        <f t="shared" ca="1" si="86"/>
        <v/>
      </c>
    </row>
    <row r="1803" spans="2:6" x14ac:dyDescent="0.2">
      <c r="B1803" t="str">
        <f>IFERROR(IF('PDCA review'!$D$2=Act!B1804,Act!G1804,""),"")</f>
        <v/>
      </c>
      <c r="C1803">
        <f t="shared" si="84"/>
        <v>0</v>
      </c>
      <c r="D1803">
        <f>SUM($C$3:C1803)</f>
        <v>4</v>
      </c>
      <c r="E1803" t="e">
        <f t="shared" si="85"/>
        <v>#N/A</v>
      </c>
      <c r="F1803" s="28" t="str">
        <f t="shared" ca="1" si="86"/>
        <v/>
      </c>
    </row>
    <row r="1804" spans="2:6" x14ac:dyDescent="0.2">
      <c r="B1804" t="str">
        <f>IFERROR(IF('PDCA review'!$D$2=Act!B1805,Act!G1805,""),"")</f>
        <v/>
      </c>
      <c r="C1804">
        <f t="shared" si="84"/>
        <v>0</v>
      </c>
      <c r="D1804">
        <f>SUM($C$3:C1804)</f>
        <v>4</v>
      </c>
      <c r="E1804" t="e">
        <f t="shared" si="85"/>
        <v>#N/A</v>
      </c>
      <c r="F1804" s="28" t="str">
        <f t="shared" ca="1" si="86"/>
        <v/>
      </c>
    </row>
    <row r="1805" spans="2:6" x14ac:dyDescent="0.2">
      <c r="B1805" t="str">
        <f>IFERROR(IF('PDCA review'!$D$2=Act!B1806,Act!G1806,""),"")</f>
        <v/>
      </c>
      <c r="C1805">
        <f t="shared" si="84"/>
        <v>0</v>
      </c>
      <c r="D1805">
        <f>SUM($C$3:C1805)</f>
        <v>4</v>
      </c>
      <c r="E1805" t="e">
        <f t="shared" si="85"/>
        <v>#N/A</v>
      </c>
      <c r="F1805" s="28" t="str">
        <f t="shared" ca="1" si="86"/>
        <v/>
      </c>
    </row>
    <row r="1806" spans="2:6" x14ac:dyDescent="0.2">
      <c r="B1806" t="str">
        <f>IFERROR(IF('PDCA review'!$D$2=Act!B1807,Act!G1807,""),"")</f>
        <v/>
      </c>
      <c r="C1806">
        <f t="shared" si="84"/>
        <v>0</v>
      </c>
      <c r="D1806">
        <f>SUM($C$3:C1806)</f>
        <v>4</v>
      </c>
      <c r="E1806" t="e">
        <f t="shared" si="85"/>
        <v>#N/A</v>
      </c>
      <c r="F1806" s="28" t="str">
        <f t="shared" ca="1" si="86"/>
        <v/>
      </c>
    </row>
    <row r="1807" spans="2:6" x14ac:dyDescent="0.2">
      <c r="B1807" t="str">
        <f>IFERROR(IF('PDCA review'!$D$2=Act!B1808,Act!G1808,""),"")</f>
        <v/>
      </c>
      <c r="C1807">
        <f t="shared" si="84"/>
        <v>0</v>
      </c>
      <c r="D1807">
        <f>SUM($C$3:C1807)</f>
        <v>4</v>
      </c>
      <c r="E1807" t="e">
        <f t="shared" si="85"/>
        <v>#N/A</v>
      </c>
      <c r="F1807" s="28" t="str">
        <f t="shared" ca="1" si="86"/>
        <v/>
      </c>
    </row>
    <row r="1808" spans="2:6" x14ac:dyDescent="0.2">
      <c r="B1808" t="str">
        <f>IFERROR(IF('PDCA review'!$D$2=Act!B1809,Act!G1809,""),"")</f>
        <v/>
      </c>
      <c r="C1808">
        <f t="shared" si="84"/>
        <v>0</v>
      </c>
      <c r="D1808">
        <f>SUM($C$3:C1808)</f>
        <v>4</v>
      </c>
      <c r="E1808" t="e">
        <f t="shared" si="85"/>
        <v>#N/A</v>
      </c>
      <c r="F1808" s="28" t="str">
        <f t="shared" ca="1" si="86"/>
        <v/>
      </c>
    </row>
    <row r="1809" spans="2:6" x14ac:dyDescent="0.2">
      <c r="B1809" t="str">
        <f>IFERROR(IF('PDCA review'!$D$2=Act!B1810,Act!G1810,""),"")</f>
        <v/>
      </c>
      <c r="C1809">
        <f t="shared" si="84"/>
        <v>0</v>
      </c>
      <c r="D1809">
        <f>SUM($C$3:C1809)</f>
        <v>4</v>
      </c>
      <c r="E1809" t="e">
        <f t="shared" si="85"/>
        <v>#N/A</v>
      </c>
      <c r="F1809" s="28" t="str">
        <f t="shared" ca="1" si="86"/>
        <v/>
      </c>
    </row>
    <row r="1810" spans="2:6" x14ac:dyDescent="0.2">
      <c r="B1810" t="str">
        <f>IFERROR(IF('PDCA review'!$D$2=Act!B1811,Act!G1811,""),"")</f>
        <v/>
      </c>
      <c r="C1810">
        <f t="shared" si="84"/>
        <v>0</v>
      </c>
      <c r="D1810">
        <f>SUM($C$3:C1810)</f>
        <v>4</v>
      </c>
      <c r="E1810" t="e">
        <f t="shared" si="85"/>
        <v>#N/A</v>
      </c>
      <c r="F1810" s="28" t="str">
        <f t="shared" ca="1" si="86"/>
        <v/>
      </c>
    </row>
    <row r="1811" spans="2:6" x14ac:dyDescent="0.2">
      <c r="B1811" t="str">
        <f>IFERROR(IF('PDCA review'!$D$2=Act!B1812,Act!G1812,""),"")</f>
        <v/>
      </c>
      <c r="C1811">
        <f t="shared" si="84"/>
        <v>0</v>
      </c>
      <c r="D1811">
        <f>SUM($C$3:C1811)</f>
        <v>4</v>
      </c>
      <c r="E1811" t="e">
        <f t="shared" si="85"/>
        <v>#N/A</v>
      </c>
      <c r="F1811" s="28" t="str">
        <f t="shared" ca="1" si="86"/>
        <v/>
      </c>
    </row>
    <row r="1812" spans="2:6" x14ac:dyDescent="0.2">
      <c r="B1812" t="str">
        <f>IFERROR(IF('PDCA review'!$D$2=Act!B1813,Act!G1813,""),"")</f>
        <v/>
      </c>
      <c r="C1812">
        <f t="shared" si="84"/>
        <v>0</v>
      </c>
      <c r="D1812">
        <f>SUM($C$3:C1812)</f>
        <v>4</v>
      </c>
      <c r="E1812" t="e">
        <f t="shared" si="85"/>
        <v>#N/A</v>
      </c>
      <c r="F1812" s="28" t="str">
        <f t="shared" ca="1" si="86"/>
        <v/>
      </c>
    </row>
    <row r="1813" spans="2:6" x14ac:dyDescent="0.2">
      <c r="B1813" t="str">
        <f>IFERROR(IF('PDCA review'!$D$2=Act!B1814,Act!G1814,""),"")</f>
        <v/>
      </c>
      <c r="C1813">
        <f t="shared" si="84"/>
        <v>0</v>
      </c>
      <c r="D1813">
        <f>SUM($C$3:C1813)</f>
        <v>4</v>
      </c>
      <c r="E1813" t="e">
        <f t="shared" si="85"/>
        <v>#N/A</v>
      </c>
      <c r="F1813" s="28" t="str">
        <f t="shared" ca="1" si="86"/>
        <v/>
      </c>
    </row>
    <row r="1814" spans="2:6" x14ac:dyDescent="0.2">
      <c r="B1814" t="str">
        <f>IFERROR(IF('PDCA review'!$D$2=Act!B1815,Act!G1815,""),"")</f>
        <v/>
      </c>
      <c r="C1814">
        <f t="shared" si="84"/>
        <v>0</v>
      </c>
      <c r="D1814">
        <f>SUM($C$3:C1814)</f>
        <v>4</v>
      </c>
      <c r="E1814" t="e">
        <f t="shared" si="85"/>
        <v>#N/A</v>
      </c>
      <c r="F1814" s="28" t="str">
        <f t="shared" ca="1" si="86"/>
        <v/>
      </c>
    </row>
    <row r="1815" spans="2:6" x14ac:dyDescent="0.2">
      <c r="B1815" t="str">
        <f>IFERROR(IF('PDCA review'!$D$2=Act!B1816,Act!G1816,""),"")</f>
        <v/>
      </c>
      <c r="C1815">
        <f t="shared" si="84"/>
        <v>0</v>
      </c>
      <c r="D1815">
        <f>SUM($C$3:C1815)</f>
        <v>4</v>
      </c>
      <c r="E1815" t="e">
        <f t="shared" si="85"/>
        <v>#N/A</v>
      </c>
      <c r="F1815" s="28" t="str">
        <f t="shared" ca="1" si="86"/>
        <v/>
      </c>
    </row>
    <row r="1816" spans="2:6" x14ac:dyDescent="0.2">
      <c r="B1816" t="str">
        <f>IFERROR(IF('PDCA review'!$D$2=Act!B1817,Act!G1817,""),"")</f>
        <v/>
      </c>
      <c r="C1816">
        <f t="shared" si="84"/>
        <v>0</v>
      </c>
      <c r="D1816">
        <f>SUM($C$3:C1816)</f>
        <v>4</v>
      </c>
      <c r="E1816" t="e">
        <f t="shared" si="85"/>
        <v>#N/A</v>
      </c>
      <c r="F1816" s="28" t="str">
        <f t="shared" ca="1" si="86"/>
        <v/>
      </c>
    </row>
    <row r="1817" spans="2:6" x14ac:dyDescent="0.2">
      <c r="B1817" t="str">
        <f>IFERROR(IF('PDCA review'!$D$2=Act!B1818,Act!G1818,""),"")</f>
        <v/>
      </c>
      <c r="C1817">
        <f t="shared" si="84"/>
        <v>0</v>
      </c>
      <c r="D1817">
        <f>SUM($C$3:C1817)</f>
        <v>4</v>
      </c>
      <c r="E1817" t="e">
        <f t="shared" si="85"/>
        <v>#N/A</v>
      </c>
      <c r="F1817" s="28" t="str">
        <f t="shared" ca="1" si="86"/>
        <v/>
      </c>
    </row>
    <row r="1818" spans="2:6" x14ac:dyDescent="0.2">
      <c r="B1818" t="str">
        <f>IFERROR(IF('PDCA review'!$D$2=Act!B1819,Act!G1819,""),"")</f>
        <v/>
      </c>
      <c r="C1818">
        <f t="shared" si="84"/>
        <v>0</v>
      </c>
      <c r="D1818">
        <f>SUM($C$3:C1818)</f>
        <v>4</v>
      </c>
      <c r="E1818" t="e">
        <f t="shared" si="85"/>
        <v>#N/A</v>
      </c>
      <c r="F1818" s="28" t="str">
        <f t="shared" ca="1" si="86"/>
        <v/>
      </c>
    </row>
    <row r="1819" spans="2:6" x14ac:dyDescent="0.2">
      <c r="B1819" t="str">
        <f>IFERROR(IF('PDCA review'!$D$2=Act!B1820,Act!G1820,""),"")</f>
        <v/>
      </c>
      <c r="C1819">
        <f t="shared" si="84"/>
        <v>0</v>
      </c>
      <c r="D1819">
        <f>SUM($C$3:C1819)</f>
        <v>4</v>
      </c>
      <c r="E1819" t="e">
        <f t="shared" si="85"/>
        <v>#N/A</v>
      </c>
      <c r="F1819" s="28" t="str">
        <f t="shared" ca="1" si="86"/>
        <v/>
      </c>
    </row>
    <row r="1820" spans="2:6" x14ac:dyDescent="0.2">
      <c r="B1820" t="str">
        <f>IFERROR(IF('PDCA review'!$D$2=Act!B1821,Act!G1821,""),"")</f>
        <v/>
      </c>
      <c r="C1820">
        <f t="shared" si="84"/>
        <v>0</v>
      </c>
      <c r="D1820">
        <f>SUM($C$3:C1820)</f>
        <v>4</v>
      </c>
      <c r="E1820" t="e">
        <f t="shared" si="85"/>
        <v>#N/A</v>
      </c>
      <c r="F1820" s="28" t="str">
        <f t="shared" ca="1" si="86"/>
        <v/>
      </c>
    </row>
    <row r="1821" spans="2:6" x14ac:dyDescent="0.2">
      <c r="B1821" t="str">
        <f>IFERROR(IF('PDCA review'!$D$2=Act!B1822,Act!G1822,""),"")</f>
        <v/>
      </c>
      <c r="C1821">
        <f t="shared" si="84"/>
        <v>0</v>
      </c>
      <c r="D1821">
        <f>SUM($C$3:C1821)</f>
        <v>4</v>
      </c>
      <c r="E1821" t="e">
        <f t="shared" si="85"/>
        <v>#N/A</v>
      </c>
      <c r="F1821" s="28" t="str">
        <f t="shared" ca="1" si="86"/>
        <v/>
      </c>
    </row>
    <row r="1822" spans="2:6" x14ac:dyDescent="0.2">
      <c r="B1822" t="str">
        <f>IFERROR(IF('PDCA review'!$D$2=Act!B1823,Act!G1823,""),"")</f>
        <v/>
      </c>
      <c r="C1822">
        <f t="shared" si="84"/>
        <v>0</v>
      </c>
      <c r="D1822">
        <f>SUM($C$3:C1822)</f>
        <v>4</v>
      </c>
      <c r="E1822" t="e">
        <f t="shared" si="85"/>
        <v>#N/A</v>
      </c>
      <c r="F1822" s="28" t="str">
        <f t="shared" ca="1" si="86"/>
        <v/>
      </c>
    </row>
    <row r="1823" spans="2:6" x14ac:dyDescent="0.2">
      <c r="B1823" t="str">
        <f>IFERROR(IF('PDCA review'!$D$2=Act!B1824,Act!G1824,""),"")</f>
        <v/>
      </c>
      <c r="C1823">
        <f t="shared" si="84"/>
        <v>0</v>
      </c>
      <c r="D1823">
        <f>SUM($C$3:C1823)</f>
        <v>4</v>
      </c>
      <c r="E1823" t="e">
        <f t="shared" si="85"/>
        <v>#N/A</v>
      </c>
      <c r="F1823" s="28" t="str">
        <f t="shared" ca="1" si="86"/>
        <v/>
      </c>
    </row>
    <row r="1824" spans="2:6" x14ac:dyDescent="0.2">
      <c r="B1824" t="str">
        <f>IFERROR(IF('PDCA review'!$D$2=Act!B1825,Act!G1825,""),"")</f>
        <v/>
      </c>
      <c r="C1824">
        <f t="shared" si="84"/>
        <v>0</v>
      </c>
      <c r="D1824">
        <f>SUM($C$3:C1824)</f>
        <v>4</v>
      </c>
      <c r="E1824" t="e">
        <f t="shared" si="85"/>
        <v>#N/A</v>
      </c>
      <c r="F1824" s="28" t="str">
        <f t="shared" ca="1" si="86"/>
        <v/>
      </c>
    </row>
    <row r="1825" spans="2:6" x14ac:dyDescent="0.2">
      <c r="B1825" t="str">
        <f>IFERROR(IF('PDCA review'!$D$2=Act!B1826,Act!G1826,""),"")</f>
        <v/>
      </c>
      <c r="C1825">
        <f t="shared" si="84"/>
        <v>0</v>
      </c>
      <c r="D1825">
        <f>SUM($C$3:C1825)</f>
        <v>4</v>
      </c>
      <c r="E1825" t="e">
        <f t="shared" si="85"/>
        <v>#N/A</v>
      </c>
      <c r="F1825" s="28" t="str">
        <f t="shared" ca="1" si="86"/>
        <v/>
      </c>
    </row>
    <row r="1826" spans="2:6" x14ac:dyDescent="0.2">
      <c r="B1826" t="str">
        <f>IFERROR(IF('PDCA review'!$D$2=Act!B1827,Act!G1827,""),"")</f>
        <v/>
      </c>
      <c r="C1826">
        <f t="shared" si="84"/>
        <v>0</v>
      </c>
      <c r="D1826">
        <f>SUM($C$3:C1826)</f>
        <v>4</v>
      </c>
      <c r="E1826" t="e">
        <f t="shared" si="85"/>
        <v>#N/A</v>
      </c>
      <c r="F1826" s="28" t="str">
        <f t="shared" ca="1" si="86"/>
        <v/>
      </c>
    </row>
    <row r="1827" spans="2:6" x14ac:dyDescent="0.2">
      <c r="B1827" t="str">
        <f>IFERROR(IF('PDCA review'!$D$2=Act!B1828,Act!G1828,""),"")</f>
        <v/>
      </c>
      <c r="C1827">
        <f t="shared" si="84"/>
        <v>0</v>
      </c>
      <c r="D1827">
        <f>SUM($C$3:C1827)</f>
        <v>4</v>
      </c>
      <c r="E1827" t="e">
        <f t="shared" si="85"/>
        <v>#N/A</v>
      </c>
      <c r="F1827" s="28" t="str">
        <f t="shared" ca="1" si="86"/>
        <v/>
      </c>
    </row>
    <row r="1828" spans="2:6" x14ac:dyDescent="0.2">
      <c r="B1828" t="str">
        <f>IFERROR(IF('PDCA review'!$D$2=Act!B1829,Act!G1829,""),"")</f>
        <v/>
      </c>
      <c r="C1828">
        <f t="shared" si="84"/>
        <v>0</v>
      </c>
      <c r="D1828">
        <f>SUM($C$3:C1828)</f>
        <v>4</v>
      </c>
      <c r="E1828" t="e">
        <f t="shared" si="85"/>
        <v>#N/A</v>
      </c>
      <c r="F1828" s="28" t="str">
        <f t="shared" ca="1" si="86"/>
        <v/>
      </c>
    </row>
    <row r="1829" spans="2:6" x14ac:dyDescent="0.2">
      <c r="B1829" t="str">
        <f>IFERROR(IF('PDCA review'!$D$2=Act!B1830,Act!G1830,""),"")</f>
        <v/>
      </c>
      <c r="C1829">
        <f t="shared" si="84"/>
        <v>0</v>
      </c>
      <c r="D1829">
        <f>SUM($C$3:C1829)</f>
        <v>4</v>
      </c>
      <c r="E1829" t="e">
        <f t="shared" si="85"/>
        <v>#N/A</v>
      </c>
      <c r="F1829" s="28" t="str">
        <f t="shared" ca="1" si="86"/>
        <v/>
      </c>
    </row>
    <row r="1830" spans="2:6" x14ac:dyDescent="0.2">
      <c r="B1830" t="str">
        <f>IFERROR(IF('PDCA review'!$D$2=Act!B1831,Act!G1831,""),"")</f>
        <v/>
      </c>
      <c r="C1830">
        <f t="shared" si="84"/>
        <v>0</v>
      </c>
      <c r="D1830">
        <f>SUM($C$3:C1830)</f>
        <v>4</v>
      </c>
      <c r="E1830" t="e">
        <f t="shared" si="85"/>
        <v>#N/A</v>
      </c>
      <c r="F1830" s="28" t="str">
        <f t="shared" ca="1" si="86"/>
        <v/>
      </c>
    </row>
    <row r="1831" spans="2:6" x14ac:dyDescent="0.2">
      <c r="B1831" t="str">
        <f>IFERROR(IF('PDCA review'!$D$2=Act!B1832,Act!G1832,""),"")</f>
        <v/>
      </c>
      <c r="C1831">
        <f t="shared" si="84"/>
        <v>0</v>
      </c>
      <c r="D1831">
        <f>SUM($C$3:C1831)</f>
        <v>4</v>
      </c>
      <c r="E1831" t="e">
        <f t="shared" si="85"/>
        <v>#N/A</v>
      </c>
      <c r="F1831" s="28" t="str">
        <f t="shared" ca="1" si="86"/>
        <v/>
      </c>
    </row>
    <row r="1832" spans="2:6" x14ac:dyDescent="0.2">
      <c r="B1832" t="str">
        <f>IFERROR(IF('PDCA review'!$D$2=Act!B1833,Act!G1833,""),"")</f>
        <v/>
      </c>
      <c r="C1832">
        <f t="shared" si="84"/>
        <v>0</v>
      </c>
      <c r="D1832">
        <f>SUM($C$3:C1832)</f>
        <v>4</v>
      </c>
      <c r="E1832" t="e">
        <f t="shared" si="85"/>
        <v>#N/A</v>
      </c>
      <c r="F1832" s="28" t="str">
        <f t="shared" ca="1" si="86"/>
        <v/>
      </c>
    </row>
    <row r="1833" spans="2:6" x14ac:dyDescent="0.2">
      <c r="B1833" t="str">
        <f>IFERROR(IF('PDCA review'!$D$2=Act!B1834,Act!G1834,""),"")</f>
        <v/>
      </c>
      <c r="C1833">
        <f t="shared" si="84"/>
        <v>0</v>
      </c>
      <c r="D1833">
        <f>SUM($C$3:C1833)</f>
        <v>4</v>
      </c>
      <c r="E1833" t="e">
        <f t="shared" si="85"/>
        <v>#N/A</v>
      </c>
      <c r="F1833" s="28" t="str">
        <f t="shared" ca="1" si="86"/>
        <v/>
      </c>
    </row>
    <row r="1834" spans="2:6" x14ac:dyDescent="0.2">
      <c r="B1834" t="str">
        <f>IFERROR(IF('PDCA review'!$D$2=Act!B1835,Act!G1835,""),"")</f>
        <v/>
      </c>
      <c r="C1834">
        <f t="shared" si="84"/>
        <v>0</v>
      </c>
      <c r="D1834">
        <f>SUM($C$3:C1834)</f>
        <v>4</v>
      </c>
      <c r="E1834" t="e">
        <f t="shared" si="85"/>
        <v>#N/A</v>
      </c>
      <c r="F1834" s="28" t="str">
        <f t="shared" ca="1" si="86"/>
        <v/>
      </c>
    </row>
    <row r="1835" spans="2:6" x14ac:dyDescent="0.2">
      <c r="B1835" t="str">
        <f>IFERROR(IF('PDCA review'!$D$2=Act!B1836,Act!G1836,""),"")</f>
        <v/>
      </c>
      <c r="C1835">
        <f t="shared" si="84"/>
        <v>0</v>
      </c>
      <c r="D1835">
        <f>SUM($C$3:C1835)</f>
        <v>4</v>
      </c>
      <c r="E1835" t="e">
        <f t="shared" si="85"/>
        <v>#N/A</v>
      </c>
      <c r="F1835" s="28" t="str">
        <f t="shared" ca="1" si="86"/>
        <v/>
      </c>
    </row>
    <row r="1836" spans="2:6" x14ac:dyDescent="0.2">
      <c r="B1836" t="str">
        <f>IFERROR(IF('PDCA review'!$D$2=Act!B1837,Act!G1837,""),"")</f>
        <v/>
      </c>
      <c r="C1836">
        <f t="shared" si="84"/>
        <v>0</v>
      </c>
      <c r="D1836">
        <f>SUM($C$3:C1836)</f>
        <v>4</v>
      </c>
      <c r="E1836" t="e">
        <f t="shared" si="85"/>
        <v>#N/A</v>
      </c>
      <c r="F1836" s="28" t="str">
        <f t="shared" ca="1" si="86"/>
        <v/>
      </c>
    </row>
    <row r="1837" spans="2:6" x14ac:dyDescent="0.2">
      <c r="B1837" t="str">
        <f>IFERROR(IF('PDCA review'!$D$2=Act!B1838,Act!G1838,""),"")</f>
        <v/>
      </c>
      <c r="C1837">
        <f t="shared" si="84"/>
        <v>0</v>
      </c>
      <c r="D1837">
        <f>SUM($C$3:C1837)</f>
        <v>4</v>
      </c>
      <c r="E1837" t="e">
        <f t="shared" si="85"/>
        <v>#N/A</v>
      </c>
      <c r="F1837" s="28" t="str">
        <f t="shared" ca="1" si="86"/>
        <v/>
      </c>
    </row>
    <row r="1838" spans="2:6" x14ac:dyDescent="0.2">
      <c r="B1838" t="str">
        <f>IFERROR(IF('PDCA review'!$D$2=Act!B1839,Act!G1839,""),"")</f>
        <v/>
      </c>
      <c r="C1838">
        <f t="shared" si="84"/>
        <v>0</v>
      </c>
      <c r="D1838">
        <f>SUM($C$3:C1838)</f>
        <v>4</v>
      </c>
      <c r="E1838" t="e">
        <f t="shared" si="85"/>
        <v>#N/A</v>
      </c>
      <c r="F1838" s="28" t="str">
        <f t="shared" ca="1" si="86"/>
        <v/>
      </c>
    </row>
    <row r="1839" spans="2:6" x14ac:dyDescent="0.2">
      <c r="B1839" t="str">
        <f>IFERROR(IF('PDCA review'!$D$2=Act!B1840,Act!G1840,""),"")</f>
        <v/>
      </c>
      <c r="C1839">
        <f t="shared" si="84"/>
        <v>0</v>
      </c>
      <c r="D1839">
        <f>SUM($C$3:C1839)</f>
        <v>4</v>
      </c>
      <c r="E1839" t="e">
        <f t="shared" si="85"/>
        <v>#N/A</v>
      </c>
      <c r="F1839" s="28" t="str">
        <f t="shared" ca="1" si="86"/>
        <v/>
      </c>
    </row>
    <row r="1840" spans="2:6" x14ac:dyDescent="0.2">
      <c r="B1840" t="str">
        <f>IFERROR(IF('PDCA review'!$D$2=Act!B1841,Act!G1841,""),"")</f>
        <v/>
      </c>
      <c r="C1840">
        <f t="shared" si="84"/>
        <v>0</v>
      </c>
      <c r="D1840">
        <f>SUM($C$3:C1840)</f>
        <v>4</v>
      </c>
      <c r="E1840" t="e">
        <f t="shared" si="85"/>
        <v>#N/A</v>
      </c>
      <c r="F1840" s="28" t="str">
        <f t="shared" ca="1" si="86"/>
        <v/>
      </c>
    </row>
    <row r="1841" spans="2:6" x14ac:dyDescent="0.2">
      <c r="B1841" t="str">
        <f>IFERROR(IF('PDCA review'!$D$2=Act!B1842,Act!G1842,""),"")</f>
        <v/>
      </c>
      <c r="C1841">
        <f t="shared" si="84"/>
        <v>0</v>
      </c>
      <c r="D1841">
        <f>SUM($C$3:C1841)</f>
        <v>4</v>
      </c>
      <c r="E1841" t="e">
        <f t="shared" si="85"/>
        <v>#N/A</v>
      </c>
      <c r="F1841" s="28" t="str">
        <f t="shared" ca="1" si="86"/>
        <v/>
      </c>
    </row>
    <row r="1842" spans="2:6" x14ac:dyDescent="0.2">
      <c r="B1842" t="str">
        <f>IFERROR(IF('PDCA review'!$D$2=Act!B1843,Act!G1843,""),"")</f>
        <v/>
      </c>
      <c r="C1842">
        <f t="shared" si="84"/>
        <v>0</v>
      </c>
      <c r="D1842">
        <f>SUM($C$3:C1842)</f>
        <v>4</v>
      </c>
      <c r="E1842" t="e">
        <f t="shared" si="85"/>
        <v>#N/A</v>
      </c>
      <c r="F1842" s="28" t="str">
        <f t="shared" ca="1" si="86"/>
        <v/>
      </c>
    </row>
    <row r="1843" spans="2:6" x14ac:dyDescent="0.2">
      <c r="B1843" t="str">
        <f>IFERROR(IF('PDCA review'!$D$2=Act!B1844,Act!G1844,""),"")</f>
        <v/>
      </c>
      <c r="C1843">
        <f t="shared" si="84"/>
        <v>0</v>
      </c>
      <c r="D1843">
        <f>SUM($C$3:C1843)</f>
        <v>4</v>
      </c>
      <c r="E1843" t="e">
        <f t="shared" si="85"/>
        <v>#N/A</v>
      </c>
      <c r="F1843" s="28" t="str">
        <f t="shared" ca="1" si="86"/>
        <v/>
      </c>
    </row>
    <row r="1844" spans="2:6" x14ac:dyDescent="0.2">
      <c r="B1844" t="str">
        <f>IFERROR(IF('PDCA review'!$D$2=Act!B1845,Act!G1845,""),"")</f>
        <v/>
      </c>
      <c r="C1844">
        <f t="shared" si="84"/>
        <v>0</v>
      </c>
      <c r="D1844">
        <f>SUM($C$3:C1844)</f>
        <v>4</v>
      </c>
      <c r="E1844" t="e">
        <f t="shared" si="85"/>
        <v>#N/A</v>
      </c>
      <c r="F1844" s="28" t="str">
        <f t="shared" ca="1" si="86"/>
        <v/>
      </c>
    </row>
    <row r="1845" spans="2:6" x14ac:dyDescent="0.2">
      <c r="B1845" t="str">
        <f>IFERROR(IF('PDCA review'!$D$2=Act!B1846,Act!G1846,""),"")</f>
        <v/>
      </c>
      <c r="C1845">
        <f t="shared" si="84"/>
        <v>0</v>
      </c>
      <c r="D1845">
        <f>SUM($C$3:C1845)</f>
        <v>4</v>
      </c>
      <c r="E1845" t="e">
        <f t="shared" si="85"/>
        <v>#N/A</v>
      </c>
      <c r="F1845" s="28" t="str">
        <f t="shared" ca="1" si="86"/>
        <v/>
      </c>
    </row>
    <row r="1846" spans="2:6" x14ac:dyDescent="0.2">
      <c r="B1846" t="str">
        <f>IFERROR(IF('PDCA review'!$D$2=Act!B1847,Act!G1847,""),"")</f>
        <v/>
      </c>
      <c r="C1846">
        <f t="shared" si="84"/>
        <v>0</v>
      </c>
      <c r="D1846">
        <f>SUM($C$3:C1846)</f>
        <v>4</v>
      </c>
      <c r="E1846" t="e">
        <f t="shared" si="85"/>
        <v>#N/A</v>
      </c>
      <c r="F1846" s="28" t="str">
        <f t="shared" ca="1" si="86"/>
        <v/>
      </c>
    </row>
    <row r="1847" spans="2:6" x14ac:dyDescent="0.2">
      <c r="B1847" t="str">
        <f>IFERROR(IF('PDCA review'!$D$2=Act!B1848,Act!G1848,""),"")</f>
        <v/>
      </c>
      <c r="C1847">
        <f t="shared" si="84"/>
        <v>0</v>
      </c>
      <c r="D1847">
        <f>SUM($C$3:C1847)</f>
        <v>4</v>
      </c>
      <c r="E1847" t="e">
        <f t="shared" si="85"/>
        <v>#N/A</v>
      </c>
      <c r="F1847" s="28" t="str">
        <f t="shared" ca="1" si="86"/>
        <v/>
      </c>
    </row>
    <row r="1848" spans="2:6" x14ac:dyDescent="0.2">
      <c r="B1848" t="str">
        <f>IFERROR(IF('PDCA review'!$D$2=Act!B1849,Act!G1849,""),"")</f>
        <v/>
      </c>
      <c r="C1848">
        <f t="shared" si="84"/>
        <v>0</v>
      </c>
      <c r="D1848">
        <f>SUM($C$3:C1848)</f>
        <v>4</v>
      </c>
      <c r="E1848" t="e">
        <f t="shared" si="85"/>
        <v>#N/A</v>
      </c>
      <c r="F1848" s="28" t="str">
        <f t="shared" ca="1" si="86"/>
        <v/>
      </c>
    </row>
    <row r="1849" spans="2:6" x14ac:dyDescent="0.2">
      <c r="B1849" t="str">
        <f>IFERROR(IF('PDCA review'!$D$2=Act!B1850,Act!G1850,""),"")</f>
        <v/>
      </c>
      <c r="C1849">
        <f t="shared" si="84"/>
        <v>0</v>
      </c>
      <c r="D1849">
        <f>SUM($C$3:C1849)</f>
        <v>4</v>
      </c>
      <c r="E1849" t="e">
        <f t="shared" si="85"/>
        <v>#N/A</v>
      </c>
      <c r="F1849" s="28" t="str">
        <f t="shared" ca="1" si="86"/>
        <v/>
      </c>
    </row>
    <row r="1850" spans="2:6" x14ac:dyDescent="0.2">
      <c r="B1850" t="str">
        <f>IFERROR(IF('PDCA review'!$D$2=Act!B1851,Act!G1851,""),"")</f>
        <v/>
      </c>
      <c r="C1850">
        <f t="shared" si="84"/>
        <v>0</v>
      </c>
      <c r="D1850">
        <f>SUM($C$3:C1850)</f>
        <v>4</v>
      </c>
      <c r="E1850" t="e">
        <f t="shared" si="85"/>
        <v>#N/A</v>
      </c>
      <c r="F1850" s="28" t="str">
        <f t="shared" ca="1" si="86"/>
        <v/>
      </c>
    </row>
    <row r="1851" spans="2:6" x14ac:dyDescent="0.2">
      <c r="B1851" t="str">
        <f>IFERROR(IF('PDCA review'!$D$2=Act!B1852,Act!G1852,""),"")</f>
        <v/>
      </c>
      <c r="C1851">
        <f t="shared" si="84"/>
        <v>0</v>
      </c>
      <c r="D1851">
        <f>SUM($C$3:C1851)</f>
        <v>4</v>
      </c>
      <c r="E1851" t="e">
        <f t="shared" si="85"/>
        <v>#N/A</v>
      </c>
      <c r="F1851" s="28" t="str">
        <f t="shared" ca="1" si="86"/>
        <v/>
      </c>
    </row>
    <row r="1852" spans="2:6" x14ac:dyDescent="0.2">
      <c r="B1852" t="str">
        <f>IFERROR(IF('PDCA review'!$D$2=Act!B1853,Act!G1853,""),"")</f>
        <v/>
      </c>
      <c r="C1852">
        <f t="shared" si="84"/>
        <v>0</v>
      </c>
      <c r="D1852">
        <f>SUM($C$3:C1852)</f>
        <v>4</v>
      </c>
      <c r="E1852" t="e">
        <f t="shared" si="85"/>
        <v>#N/A</v>
      </c>
      <c r="F1852" s="28" t="str">
        <f t="shared" ca="1" si="86"/>
        <v/>
      </c>
    </row>
    <row r="1853" spans="2:6" x14ac:dyDescent="0.2">
      <c r="B1853" t="str">
        <f>IFERROR(IF('PDCA review'!$D$2=Act!B1854,Act!G1854,""),"")</f>
        <v/>
      </c>
      <c r="C1853">
        <f t="shared" si="84"/>
        <v>0</v>
      </c>
      <c r="D1853">
        <f>SUM($C$3:C1853)</f>
        <v>4</v>
      </c>
      <c r="E1853" t="e">
        <f t="shared" si="85"/>
        <v>#N/A</v>
      </c>
      <c r="F1853" s="28" t="str">
        <f t="shared" ca="1" si="86"/>
        <v/>
      </c>
    </row>
    <row r="1854" spans="2:6" x14ac:dyDescent="0.2">
      <c r="B1854" t="str">
        <f>IFERROR(IF('PDCA review'!$D$2=Act!B1855,Act!G1855,""),"")</f>
        <v/>
      </c>
      <c r="C1854">
        <f t="shared" si="84"/>
        <v>0</v>
      </c>
      <c r="D1854">
        <f>SUM($C$3:C1854)</f>
        <v>4</v>
      </c>
      <c r="E1854" t="e">
        <f t="shared" si="85"/>
        <v>#N/A</v>
      </c>
      <c r="F1854" s="28" t="str">
        <f t="shared" ca="1" si="86"/>
        <v/>
      </c>
    </row>
    <row r="1855" spans="2:6" x14ac:dyDescent="0.2">
      <c r="B1855" t="str">
        <f>IFERROR(IF('PDCA review'!$D$2=Act!B1856,Act!G1856,""),"")</f>
        <v/>
      </c>
      <c r="C1855">
        <f t="shared" si="84"/>
        <v>0</v>
      </c>
      <c r="D1855">
        <f>SUM($C$3:C1855)</f>
        <v>4</v>
      </c>
      <c r="E1855" t="e">
        <f t="shared" si="85"/>
        <v>#N/A</v>
      </c>
      <c r="F1855" s="28" t="str">
        <f t="shared" ca="1" si="86"/>
        <v/>
      </c>
    </row>
    <row r="1856" spans="2:6" x14ac:dyDescent="0.2">
      <c r="B1856" t="str">
        <f>IFERROR(IF('PDCA review'!$D$2=Act!B1857,Act!G1857,""),"")</f>
        <v/>
      </c>
      <c r="C1856">
        <f t="shared" si="84"/>
        <v>0</v>
      </c>
      <c r="D1856">
        <f>SUM($C$3:C1856)</f>
        <v>4</v>
      </c>
      <c r="E1856" t="e">
        <f t="shared" si="85"/>
        <v>#N/A</v>
      </c>
      <c r="F1856" s="28" t="str">
        <f t="shared" ca="1" si="86"/>
        <v/>
      </c>
    </row>
    <row r="1857" spans="2:6" x14ac:dyDescent="0.2">
      <c r="B1857" t="str">
        <f>IFERROR(IF('PDCA review'!$D$2=Act!B1858,Act!G1858,""),"")</f>
        <v/>
      </c>
      <c r="C1857">
        <f t="shared" si="84"/>
        <v>0</v>
      </c>
      <c r="D1857">
        <f>SUM($C$3:C1857)</f>
        <v>4</v>
      </c>
      <c r="E1857" t="e">
        <f t="shared" si="85"/>
        <v>#N/A</v>
      </c>
      <c r="F1857" s="28" t="str">
        <f t="shared" ca="1" si="86"/>
        <v/>
      </c>
    </row>
    <row r="1858" spans="2:6" x14ac:dyDescent="0.2">
      <c r="B1858" t="str">
        <f>IFERROR(IF('PDCA review'!$D$2=Act!B1859,Act!G1859,""),"")</f>
        <v/>
      </c>
      <c r="C1858">
        <f t="shared" si="84"/>
        <v>0</v>
      </c>
      <c r="D1858">
        <f>SUM($C$3:C1858)</f>
        <v>4</v>
      </c>
      <c r="E1858" t="e">
        <f t="shared" si="85"/>
        <v>#N/A</v>
      </c>
      <c r="F1858" s="28" t="str">
        <f t="shared" ca="1" si="86"/>
        <v/>
      </c>
    </row>
    <row r="1859" spans="2:6" x14ac:dyDescent="0.2">
      <c r="B1859" t="str">
        <f>IFERROR(IF('PDCA review'!$D$2=Act!B1860,Act!G1860,""),"")</f>
        <v/>
      </c>
      <c r="C1859">
        <f t="shared" si="84"/>
        <v>0</v>
      </c>
      <c r="D1859">
        <f>SUM($C$3:C1859)</f>
        <v>4</v>
      </c>
      <c r="E1859" t="e">
        <f t="shared" si="85"/>
        <v>#N/A</v>
      </c>
      <c r="F1859" s="28" t="str">
        <f t="shared" ca="1" si="86"/>
        <v/>
      </c>
    </row>
    <row r="1860" spans="2:6" x14ac:dyDescent="0.2">
      <c r="B1860" t="str">
        <f>IFERROR(IF('PDCA review'!$D$2=Act!B1861,Act!G1861,""),"")</f>
        <v/>
      </c>
      <c r="C1860">
        <f t="shared" ref="C1860:C1923" si="87">IF(B1860&lt;&gt;"",1,0)</f>
        <v>0</v>
      </c>
      <c r="D1860">
        <f>SUM($C$3:C1860)</f>
        <v>4</v>
      </c>
      <c r="E1860" t="e">
        <f t="shared" ref="E1860:E1923" si="88">MATCH(ROW()-$D$2,$D$3:$D$2000,0)+$D$2</f>
        <v>#N/A</v>
      </c>
      <c r="F1860" s="28" t="str">
        <f t="shared" ref="F1860:F1923" ca="1" si="89">IFERROR(INDIRECT("B"&amp;E1860),"")</f>
        <v/>
      </c>
    </row>
    <row r="1861" spans="2:6" x14ac:dyDescent="0.2">
      <c r="B1861" t="str">
        <f>IFERROR(IF('PDCA review'!$D$2=Act!B1862,Act!G1862,""),"")</f>
        <v/>
      </c>
      <c r="C1861">
        <f t="shared" si="87"/>
        <v>0</v>
      </c>
      <c r="D1861">
        <f>SUM($C$3:C1861)</f>
        <v>4</v>
      </c>
      <c r="E1861" t="e">
        <f t="shared" si="88"/>
        <v>#N/A</v>
      </c>
      <c r="F1861" s="28" t="str">
        <f t="shared" ca="1" si="89"/>
        <v/>
      </c>
    </row>
    <row r="1862" spans="2:6" x14ac:dyDescent="0.2">
      <c r="B1862" t="str">
        <f>IFERROR(IF('PDCA review'!$D$2=Act!B1863,Act!G1863,""),"")</f>
        <v/>
      </c>
      <c r="C1862">
        <f t="shared" si="87"/>
        <v>0</v>
      </c>
      <c r="D1862">
        <f>SUM($C$3:C1862)</f>
        <v>4</v>
      </c>
      <c r="E1862" t="e">
        <f t="shared" si="88"/>
        <v>#N/A</v>
      </c>
      <c r="F1862" s="28" t="str">
        <f t="shared" ca="1" si="89"/>
        <v/>
      </c>
    </row>
    <row r="1863" spans="2:6" x14ac:dyDescent="0.2">
      <c r="B1863" t="str">
        <f>IFERROR(IF('PDCA review'!$D$2=Act!B1864,Act!G1864,""),"")</f>
        <v/>
      </c>
      <c r="C1863">
        <f t="shared" si="87"/>
        <v>0</v>
      </c>
      <c r="D1863">
        <f>SUM($C$3:C1863)</f>
        <v>4</v>
      </c>
      <c r="E1863" t="e">
        <f t="shared" si="88"/>
        <v>#N/A</v>
      </c>
      <c r="F1863" s="28" t="str">
        <f t="shared" ca="1" si="89"/>
        <v/>
      </c>
    </row>
    <row r="1864" spans="2:6" x14ac:dyDescent="0.2">
      <c r="B1864" t="str">
        <f>IFERROR(IF('PDCA review'!$D$2=Act!B1865,Act!G1865,""),"")</f>
        <v/>
      </c>
      <c r="C1864">
        <f t="shared" si="87"/>
        <v>0</v>
      </c>
      <c r="D1864">
        <f>SUM($C$3:C1864)</f>
        <v>4</v>
      </c>
      <c r="E1864" t="e">
        <f t="shared" si="88"/>
        <v>#N/A</v>
      </c>
      <c r="F1864" s="28" t="str">
        <f t="shared" ca="1" si="89"/>
        <v/>
      </c>
    </row>
    <row r="1865" spans="2:6" x14ac:dyDescent="0.2">
      <c r="B1865" t="str">
        <f>IFERROR(IF('PDCA review'!$D$2=Act!B1866,Act!G1866,""),"")</f>
        <v/>
      </c>
      <c r="C1865">
        <f t="shared" si="87"/>
        <v>0</v>
      </c>
      <c r="D1865">
        <f>SUM($C$3:C1865)</f>
        <v>4</v>
      </c>
      <c r="E1865" t="e">
        <f t="shared" si="88"/>
        <v>#N/A</v>
      </c>
      <c r="F1865" s="28" t="str">
        <f t="shared" ca="1" si="89"/>
        <v/>
      </c>
    </row>
    <row r="1866" spans="2:6" x14ac:dyDescent="0.2">
      <c r="B1866" t="str">
        <f>IFERROR(IF('PDCA review'!$D$2=Act!B1867,Act!G1867,""),"")</f>
        <v/>
      </c>
      <c r="C1866">
        <f t="shared" si="87"/>
        <v>0</v>
      </c>
      <c r="D1866">
        <f>SUM($C$3:C1866)</f>
        <v>4</v>
      </c>
      <c r="E1866" t="e">
        <f t="shared" si="88"/>
        <v>#N/A</v>
      </c>
      <c r="F1866" s="28" t="str">
        <f t="shared" ca="1" si="89"/>
        <v/>
      </c>
    </row>
    <row r="1867" spans="2:6" x14ac:dyDescent="0.2">
      <c r="B1867" t="str">
        <f>IFERROR(IF('PDCA review'!$D$2=Act!B1868,Act!G1868,""),"")</f>
        <v/>
      </c>
      <c r="C1867">
        <f t="shared" si="87"/>
        <v>0</v>
      </c>
      <c r="D1867">
        <f>SUM($C$3:C1867)</f>
        <v>4</v>
      </c>
      <c r="E1867" t="e">
        <f t="shared" si="88"/>
        <v>#N/A</v>
      </c>
      <c r="F1867" s="28" t="str">
        <f t="shared" ca="1" si="89"/>
        <v/>
      </c>
    </row>
    <row r="1868" spans="2:6" x14ac:dyDescent="0.2">
      <c r="B1868" t="str">
        <f>IFERROR(IF('PDCA review'!$D$2=Act!B1869,Act!G1869,""),"")</f>
        <v/>
      </c>
      <c r="C1868">
        <f t="shared" si="87"/>
        <v>0</v>
      </c>
      <c r="D1868">
        <f>SUM($C$3:C1868)</f>
        <v>4</v>
      </c>
      <c r="E1868" t="e">
        <f t="shared" si="88"/>
        <v>#N/A</v>
      </c>
      <c r="F1868" s="28" t="str">
        <f t="shared" ca="1" si="89"/>
        <v/>
      </c>
    </row>
    <row r="1869" spans="2:6" x14ac:dyDescent="0.2">
      <c r="B1869" t="str">
        <f>IFERROR(IF('PDCA review'!$D$2=Act!B1870,Act!G1870,""),"")</f>
        <v/>
      </c>
      <c r="C1869">
        <f t="shared" si="87"/>
        <v>0</v>
      </c>
      <c r="D1869">
        <f>SUM($C$3:C1869)</f>
        <v>4</v>
      </c>
      <c r="E1869" t="e">
        <f t="shared" si="88"/>
        <v>#N/A</v>
      </c>
      <c r="F1869" s="28" t="str">
        <f t="shared" ca="1" si="89"/>
        <v/>
      </c>
    </row>
    <row r="1870" spans="2:6" x14ac:dyDescent="0.2">
      <c r="B1870" t="str">
        <f>IFERROR(IF('PDCA review'!$D$2=Act!B1871,Act!G1871,""),"")</f>
        <v/>
      </c>
      <c r="C1870">
        <f t="shared" si="87"/>
        <v>0</v>
      </c>
      <c r="D1870">
        <f>SUM($C$3:C1870)</f>
        <v>4</v>
      </c>
      <c r="E1870" t="e">
        <f t="shared" si="88"/>
        <v>#N/A</v>
      </c>
      <c r="F1870" s="28" t="str">
        <f t="shared" ca="1" si="89"/>
        <v/>
      </c>
    </row>
    <row r="1871" spans="2:6" x14ac:dyDescent="0.2">
      <c r="B1871" t="str">
        <f>IFERROR(IF('PDCA review'!$D$2=Act!B1872,Act!G1872,""),"")</f>
        <v/>
      </c>
      <c r="C1871">
        <f t="shared" si="87"/>
        <v>0</v>
      </c>
      <c r="D1871">
        <f>SUM($C$3:C1871)</f>
        <v>4</v>
      </c>
      <c r="E1871" t="e">
        <f t="shared" si="88"/>
        <v>#N/A</v>
      </c>
      <c r="F1871" s="28" t="str">
        <f t="shared" ca="1" si="89"/>
        <v/>
      </c>
    </row>
    <row r="1872" spans="2:6" x14ac:dyDescent="0.2">
      <c r="B1872" t="str">
        <f>IFERROR(IF('PDCA review'!$D$2=Act!B1873,Act!G1873,""),"")</f>
        <v/>
      </c>
      <c r="C1872">
        <f t="shared" si="87"/>
        <v>0</v>
      </c>
      <c r="D1872">
        <f>SUM($C$3:C1872)</f>
        <v>4</v>
      </c>
      <c r="E1872" t="e">
        <f t="shared" si="88"/>
        <v>#N/A</v>
      </c>
      <c r="F1872" s="28" t="str">
        <f t="shared" ca="1" si="89"/>
        <v/>
      </c>
    </row>
    <row r="1873" spans="2:6" x14ac:dyDescent="0.2">
      <c r="B1873" t="str">
        <f>IFERROR(IF('PDCA review'!$D$2=Act!B1874,Act!G1874,""),"")</f>
        <v/>
      </c>
      <c r="C1873">
        <f t="shared" si="87"/>
        <v>0</v>
      </c>
      <c r="D1873">
        <f>SUM($C$3:C1873)</f>
        <v>4</v>
      </c>
      <c r="E1873" t="e">
        <f t="shared" si="88"/>
        <v>#N/A</v>
      </c>
      <c r="F1873" s="28" t="str">
        <f t="shared" ca="1" si="89"/>
        <v/>
      </c>
    </row>
    <row r="1874" spans="2:6" x14ac:dyDescent="0.2">
      <c r="B1874" t="str">
        <f>IFERROR(IF('PDCA review'!$D$2=Act!B1875,Act!G1875,""),"")</f>
        <v/>
      </c>
      <c r="C1874">
        <f t="shared" si="87"/>
        <v>0</v>
      </c>
      <c r="D1874">
        <f>SUM($C$3:C1874)</f>
        <v>4</v>
      </c>
      <c r="E1874" t="e">
        <f t="shared" si="88"/>
        <v>#N/A</v>
      </c>
      <c r="F1874" s="28" t="str">
        <f t="shared" ca="1" si="89"/>
        <v/>
      </c>
    </row>
    <row r="1875" spans="2:6" x14ac:dyDescent="0.2">
      <c r="B1875" t="str">
        <f>IFERROR(IF('PDCA review'!$D$2=Act!B1876,Act!G1876,""),"")</f>
        <v/>
      </c>
      <c r="C1875">
        <f t="shared" si="87"/>
        <v>0</v>
      </c>
      <c r="D1875">
        <f>SUM($C$3:C1875)</f>
        <v>4</v>
      </c>
      <c r="E1875" t="e">
        <f t="shared" si="88"/>
        <v>#N/A</v>
      </c>
      <c r="F1875" s="28" t="str">
        <f t="shared" ca="1" si="89"/>
        <v/>
      </c>
    </row>
    <row r="1876" spans="2:6" x14ac:dyDescent="0.2">
      <c r="B1876" t="str">
        <f>IFERROR(IF('PDCA review'!$D$2=Act!B1877,Act!G1877,""),"")</f>
        <v/>
      </c>
      <c r="C1876">
        <f t="shared" si="87"/>
        <v>0</v>
      </c>
      <c r="D1876">
        <f>SUM($C$3:C1876)</f>
        <v>4</v>
      </c>
      <c r="E1876" t="e">
        <f t="shared" si="88"/>
        <v>#N/A</v>
      </c>
      <c r="F1876" s="28" t="str">
        <f t="shared" ca="1" si="89"/>
        <v/>
      </c>
    </row>
    <row r="1877" spans="2:6" x14ac:dyDescent="0.2">
      <c r="B1877" t="str">
        <f>IFERROR(IF('PDCA review'!$D$2=Act!B1878,Act!G1878,""),"")</f>
        <v/>
      </c>
      <c r="C1877">
        <f t="shared" si="87"/>
        <v>0</v>
      </c>
      <c r="D1877">
        <f>SUM($C$3:C1877)</f>
        <v>4</v>
      </c>
      <c r="E1877" t="e">
        <f t="shared" si="88"/>
        <v>#N/A</v>
      </c>
      <c r="F1877" s="28" t="str">
        <f t="shared" ca="1" si="89"/>
        <v/>
      </c>
    </row>
    <row r="1878" spans="2:6" x14ac:dyDescent="0.2">
      <c r="B1878" t="str">
        <f>IFERROR(IF('PDCA review'!$D$2=Act!B1879,Act!G1879,""),"")</f>
        <v/>
      </c>
      <c r="C1878">
        <f t="shared" si="87"/>
        <v>0</v>
      </c>
      <c r="D1878">
        <f>SUM($C$3:C1878)</f>
        <v>4</v>
      </c>
      <c r="E1878" t="e">
        <f t="shared" si="88"/>
        <v>#N/A</v>
      </c>
      <c r="F1878" s="28" t="str">
        <f t="shared" ca="1" si="89"/>
        <v/>
      </c>
    </row>
    <row r="1879" spans="2:6" x14ac:dyDescent="0.2">
      <c r="B1879" t="str">
        <f>IFERROR(IF('PDCA review'!$D$2=Act!B1880,Act!G1880,""),"")</f>
        <v/>
      </c>
      <c r="C1879">
        <f t="shared" si="87"/>
        <v>0</v>
      </c>
      <c r="D1879">
        <f>SUM($C$3:C1879)</f>
        <v>4</v>
      </c>
      <c r="E1879" t="e">
        <f t="shared" si="88"/>
        <v>#N/A</v>
      </c>
      <c r="F1879" s="28" t="str">
        <f t="shared" ca="1" si="89"/>
        <v/>
      </c>
    </row>
    <row r="1880" spans="2:6" x14ac:dyDescent="0.2">
      <c r="B1880" t="str">
        <f>IFERROR(IF('PDCA review'!$D$2=Act!B1881,Act!G1881,""),"")</f>
        <v/>
      </c>
      <c r="C1880">
        <f t="shared" si="87"/>
        <v>0</v>
      </c>
      <c r="D1880">
        <f>SUM($C$3:C1880)</f>
        <v>4</v>
      </c>
      <c r="E1880" t="e">
        <f t="shared" si="88"/>
        <v>#N/A</v>
      </c>
      <c r="F1880" s="28" t="str">
        <f t="shared" ca="1" si="89"/>
        <v/>
      </c>
    </row>
    <row r="1881" spans="2:6" x14ac:dyDescent="0.2">
      <c r="B1881" t="str">
        <f>IFERROR(IF('PDCA review'!$D$2=Act!B1882,Act!G1882,""),"")</f>
        <v/>
      </c>
      <c r="C1881">
        <f t="shared" si="87"/>
        <v>0</v>
      </c>
      <c r="D1881">
        <f>SUM($C$3:C1881)</f>
        <v>4</v>
      </c>
      <c r="E1881" t="e">
        <f t="shared" si="88"/>
        <v>#N/A</v>
      </c>
      <c r="F1881" s="28" t="str">
        <f t="shared" ca="1" si="89"/>
        <v/>
      </c>
    </row>
    <row r="1882" spans="2:6" x14ac:dyDescent="0.2">
      <c r="B1882" t="str">
        <f>IFERROR(IF('PDCA review'!$D$2=Act!B1883,Act!G1883,""),"")</f>
        <v/>
      </c>
      <c r="C1882">
        <f t="shared" si="87"/>
        <v>0</v>
      </c>
      <c r="D1882">
        <f>SUM($C$3:C1882)</f>
        <v>4</v>
      </c>
      <c r="E1882" t="e">
        <f t="shared" si="88"/>
        <v>#N/A</v>
      </c>
      <c r="F1882" s="28" t="str">
        <f t="shared" ca="1" si="89"/>
        <v/>
      </c>
    </row>
    <row r="1883" spans="2:6" x14ac:dyDescent="0.2">
      <c r="B1883" t="str">
        <f>IFERROR(IF('PDCA review'!$D$2=Act!B1884,Act!G1884,""),"")</f>
        <v/>
      </c>
      <c r="C1883">
        <f t="shared" si="87"/>
        <v>0</v>
      </c>
      <c r="D1883">
        <f>SUM($C$3:C1883)</f>
        <v>4</v>
      </c>
      <c r="E1883" t="e">
        <f t="shared" si="88"/>
        <v>#N/A</v>
      </c>
      <c r="F1883" s="28" t="str">
        <f t="shared" ca="1" si="89"/>
        <v/>
      </c>
    </row>
    <row r="1884" spans="2:6" x14ac:dyDescent="0.2">
      <c r="B1884" t="str">
        <f>IFERROR(IF('PDCA review'!$D$2=Act!B1885,Act!G1885,""),"")</f>
        <v/>
      </c>
      <c r="C1884">
        <f t="shared" si="87"/>
        <v>0</v>
      </c>
      <c r="D1884">
        <f>SUM($C$3:C1884)</f>
        <v>4</v>
      </c>
      <c r="E1884" t="e">
        <f t="shared" si="88"/>
        <v>#N/A</v>
      </c>
      <c r="F1884" s="28" t="str">
        <f t="shared" ca="1" si="89"/>
        <v/>
      </c>
    </row>
    <row r="1885" spans="2:6" x14ac:dyDescent="0.2">
      <c r="B1885" t="str">
        <f>IFERROR(IF('PDCA review'!$D$2=Act!B1886,Act!G1886,""),"")</f>
        <v/>
      </c>
      <c r="C1885">
        <f t="shared" si="87"/>
        <v>0</v>
      </c>
      <c r="D1885">
        <f>SUM($C$3:C1885)</f>
        <v>4</v>
      </c>
      <c r="E1885" t="e">
        <f t="shared" si="88"/>
        <v>#N/A</v>
      </c>
      <c r="F1885" s="28" t="str">
        <f t="shared" ca="1" si="89"/>
        <v/>
      </c>
    </row>
    <row r="1886" spans="2:6" x14ac:dyDescent="0.2">
      <c r="B1886" t="str">
        <f>IFERROR(IF('PDCA review'!$D$2=Act!B1887,Act!G1887,""),"")</f>
        <v/>
      </c>
      <c r="C1886">
        <f t="shared" si="87"/>
        <v>0</v>
      </c>
      <c r="D1886">
        <f>SUM($C$3:C1886)</f>
        <v>4</v>
      </c>
      <c r="E1886" t="e">
        <f t="shared" si="88"/>
        <v>#N/A</v>
      </c>
      <c r="F1886" s="28" t="str">
        <f t="shared" ca="1" si="89"/>
        <v/>
      </c>
    </row>
    <row r="1887" spans="2:6" x14ac:dyDescent="0.2">
      <c r="B1887" t="str">
        <f>IFERROR(IF('PDCA review'!$D$2=Act!B1888,Act!G1888,""),"")</f>
        <v/>
      </c>
      <c r="C1887">
        <f t="shared" si="87"/>
        <v>0</v>
      </c>
      <c r="D1887">
        <f>SUM($C$3:C1887)</f>
        <v>4</v>
      </c>
      <c r="E1887" t="e">
        <f t="shared" si="88"/>
        <v>#N/A</v>
      </c>
      <c r="F1887" s="28" t="str">
        <f t="shared" ca="1" si="89"/>
        <v/>
      </c>
    </row>
    <row r="1888" spans="2:6" x14ac:dyDescent="0.2">
      <c r="B1888" t="str">
        <f>IFERROR(IF('PDCA review'!$D$2=Act!B1889,Act!G1889,""),"")</f>
        <v/>
      </c>
      <c r="C1888">
        <f t="shared" si="87"/>
        <v>0</v>
      </c>
      <c r="D1888">
        <f>SUM($C$3:C1888)</f>
        <v>4</v>
      </c>
      <c r="E1888" t="e">
        <f t="shared" si="88"/>
        <v>#N/A</v>
      </c>
      <c r="F1888" s="28" t="str">
        <f t="shared" ca="1" si="89"/>
        <v/>
      </c>
    </row>
    <row r="1889" spans="2:6" x14ac:dyDescent="0.2">
      <c r="B1889" t="str">
        <f>IFERROR(IF('PDCA review'!$D$2=Act!B1890,Act!G1890,""),"")</f>
        <v/>
      </c>
      <c r="C1889">
        <f t="shared" si="87"/>
        <v>0</v>
      </c>
      <c r="D1889">
        <f>SUM($C$3:C1889)</f>
        <v>4</v>
      </c>
      <c r="E1889" t="e">
        <f t="shared" si="88"/>
        <v>#N/A</v>
      </c>
      <c r="F1889" s="28" t="str">
        <f t="shared" ca="1" si="89"/>
        <v/>
      </c>
    </row>
    <row r="1890" spans="2:6" x14ac:dyDescent="0.2">
      <c r="B1890" t="str">
        <f>IFERROR(IF('PDCA review'!$D$2=Act!B1891,Act!G1891,""),"")</f>
        <v/>
      </c>
      <c r="C1890">
        <f t="shared" si="87"/>
        <v>0</v>
      </c>
      <c r="D1890">
        <f>SUM($C$3:C1890)</f>
        <v>4</v>
      </c>
      <c r="E1890" t="e">
        <f t="shared" si="88"/>
        <v>#N/A</v>
      </c>
      <c r="F1890" s="28" t="str">
        <f t="shared" ca="1" si="89"/>
        <v/>
      </c>
    </row>
    <row r="1891" spans="2:6" x14ac:dyDescent="0.2">
      <c r="B1891" t="str">
        <f>IFERROR(IF('PDCA review'!$D$2=Act!B1892,Act!G1892,""),"")</f>
        <v/>
      </c>
      <c r="C1891">
        <f t="shared" si="87"/>
        <v>0</v>
      </c>
      <c r="D1891">
        <f>SUM($C$3:C1891)</f>
        <v>4</v>
      </c>
      <c r="E1891" t="e">
        <f t="shared" si="88"/>
        <v>#N/A</v>
      </c>
      <c r="F1891" s="28" t="str">
        <f t="shared" ca="1" si="89"/>
        <v/>
      </c>
    </row>
    <row r="1892" spans="2:6" x14ac:dyDescent="0.2">
      <c r="B1892" t="str">
        <f>IFERROR(IF('PDCA review'!$D$2=Act!B1893,Act!G1893,""),"")</f>
        <v/>
      </c>
      <c r="C1892">
        <f t="shared" si="87"/>
        <v>0</v>
      </c>
      <c r="D1892">
        <f>SUM($C$3:C1892)</f>
        <v>4</v>
      </c>
      <c r="E1892" t="e">
        <f t="shared" si="88"/>
        <v>#N/A</v>
      </c>
      <c r="F1892" s="28" t="str">
        <f t="shared" ca="1" si="89"/>
        <v/>
      </c>
    </row>
    <row r="1893" spans="2:6" x14ac:dyDescent="0.2">
      <c r="B1893" t="str">
        <f>IFERROR(IF('PDCA review'!$D$2=Act!B1894,Act!G1894,""),"")</f>
        <v/>
      </c>
      <c r="C1893">
        <f t="shared" si="87"/>
        <v>0</v>
      </c>
      <c r="D1893">
        <f>SUM($C$3:C1893)</f>
        <v>4</v>
      </c>
      <c r="E1893" t="e">
        <f t="shared" si="88"/>
        <v>#N/A</v>
      </c>
      <c r="F1893" s="28" t="str">
        <f t="shared" ca="1" si="89"/>
        <v/>
      </c>
    </row>
    <row r="1894" spans="2:6" x14ac:dyDescent="0.2">
      <c r="B1894" t="str">
        <f>IFERROR(IF('PDCA review'!$D$2=Act!B1895,Act!G1895,""),"")</f>
        <v/>
      </c>
      <c r="C1894">
        <f t="shared" si="87"/>
        <v>0</v>
      </c>
      <c r="D1894">
        <f>SUM($C$3:C1894)</f>
        <v>4</v>
      </c>
      <c r="E1894" t="e">
        <f t="shared" si="88"/>
        <v>#N/A</v>
      </c>
      <c r="F1894" s="28" t="str">
        <f t="shared" ca="1" si="89"/>
        <v/>
      </c>
    </row>
    <row r="1895" spans="2:6" x14ac:dyDescent="0.2">
      <c r="B1895" t="str">
        <f>IFERROR(IF('PDCA review'!$D$2=Act!B1896,Act!G1896,""),"")</f>
        <v/>
      </c>
      <c r="C1895">
        <f t="shared" si="87"/>
        <v>0</v>
      </c>
      <c r="D1895">
        <f>SUM($C$3:C1895)</f>
        <v>4</v>
      </c>
      <c r="E1895" t="e">
        <f t="shared" si="88"/>
        <v>#N/A</v>
      </c>
      <c r="F1895" s="28" t="str">
        <f t="shared" ca="1" si="89"/>
        <v/>
      </c>
    </row>
    <row r="1896" spans="2:6" x14ac:dyDescent="0.2">
      <c r="B1896" t="str">
        <f>IFERROR(IF('PDCA review'!$D$2=Act!B1897,Act!G1897,""),"")</f>
        <v/>
      </c>
      <c r="C1896">
        <f t="shared" si="87"/>
        <v>0</v>
      </c>
      <c r="D1896">
        <f>SUM($C$3:C1896)</f>
        <v>4</v>
      </c>
      <c r="E1896" t="e">
        <f t="shared" si="88"/>
        <v>#N/A</v>
      </c>
      <c r="F1896" s="28" t="str">
        <f t="shared" ca="1" si="89"/>
        <v/>
      </c>
    </row>
    <row r="1897" spans="2:6" x14ac:dyDescent="0.2">
      <c r="B1897" t="str">
        <f>IFERROR(IF('PDCA review'!$D$2=Act!B1898,Act!G1898,""),"")</f>
        <v/>
      </c>
      <c r="C1897">
        <f t="shared" si="87"/>
        <v>0</v>
      </c>
      <c r="D1897">
        <f>SUM($C$3:C1897)</f>
        <v>4</v>
      </c>
      <c r="E1897" t="e">
        <f t="shared" si="88"/>
        <v>#N/A</v>
      </c>
      <c r="F1897" s="28" t="str">
        <f t="shared" ca="1" si="89"/>
        <v/>
      </c>
    </row>
    <row r="1898" spans="2:6" x14ac:dyDescent="0.2">
      <c r="B1898" t="str">
        <f>IFERROR(IF('PDCA review'!$D$2=Act!B1899,Act!G1899,""),"")</f>
        <v/>
      </c>
      <c r="C1898">
        <f t="shared" si="87"/>
        <v>0</v>
      </c>
      <c r="D1898">
        <f>SUM($C$3:C1898)</f>
        <v>4</v>
      </c>
      <c r="E1898" t="e">
        <f t="shared" si="88"/>
        <v>#N/A</v>
      </c>
      <c r="F1898" s="28" t="str">
        <f t="shared" ca="1" si="89"/>
        <v/>
      </c>
    </row>
    <row r="1899" spans="2:6" x14ac:dyDescent="0.2">
      <c r="B1899" t="str">
        <f>IFERROR(IF('PDCA review'!$D$2=Act!B1900,Act!G1900,""),"")</f>
        <v/>
      </c>
      <c r="C1899">
        <f t="shared" si="87"/>
        <v>0</v>
      </c>
      <c r="D1899">
        <f>SUM($C$3:C1899)</f>
        <v>4</v>
      </c>
      <c r="E1899" t="e">
        <f t="shared" si="88"/>
        <v>#N/A</v>
      </c>
      <c r="F1899" s="28" t="str">
        <f t="shared" ca="1" si="89"/>
        <v/>
      </c>
    </row>
    <row r="1900" spans="2:6" x14ac:dyDescent="0.2">
      <c r="B1900" t="str">
        <f>IFERROR(IF('PDCA review'!$D$2=Act!B1901,Act!G1901,""),"")</f>
        <v/>
      </c>
      <c r="C1900">
        <f t="shared" si="87"/>
        <v>0</v>
      </c>
      <c r="D1900">
        <f>SUM($C$3:C1900)</f>
        <v>4</v>
      </c>
      <c r="E1900" t="e">
        <f t="shared" si="88"/>
        <v>#N/A</v>
      </c>
      <c r="F1900" s="28" t="str">
        <f t="shared" ca="1" si="89"/>
        <v/>
      </c>
    </row>
    <row r="1901" spans="2:6" x14ac:dyDescent="0.2">
      <c r="B1901" t="str">
        <f>IFERROR(IF('PDCA review'!$D$2=Act!B1902,Act!G1902,""),"")</f>
        <v/>
      </c>
      <c r="C1901">
        <f t="shared" si="87"/>
        <v>0</v>
      </c>
      <c r="D1901">
        <f>SUM($C$3:C1901)</f>
        <v>4</v>
      </c>
      <c r="E1901" t="e">
        <f t="shared" si="88"/>
        <v>#N/A</v>
      </c>
      <c r="F1901" s="28" t="str">
        <f t="shared" ca="1" si="89"/>
        <v/>
      </c>
    </row>
    <row r="1902" spans="2:6" x14ac:dyDescent="0.2">
      <c r="B1902" t="str">
        <f>IFERROR(IF('PDCA review'!$D$2=Act!B1903,Act!G1903,""),"")</f>
        <v/>
      </c>
      <c r="C1902">
        <f t="shared" si="87"/>
        <v>0</v>
      </c>
      <c r="D1902">
        <f>SUM($C$3:C1902)</f>
        <v>4</v>
      </c>
      <c r="E1902" t="e">
        <f t="shared" si="88"/>
        <v>#N/A</v>
      </c>
      <c r="F1902" s="28" t="str">
        <f t="shared" ca="1" si="89"/>
        <v/>
      </c>
    </row>
    <row r="1903" spans="2:6" x14ac:dyDescent="0.2">
      <c r="B1903" t="str">
        <f>IFERROR(IF('PDCA review'!$D$2=Act!B1904,Act!G1904,""),"")</f>
        <v/>
      </c>
      <c r="C1903">
        <f t="shared" si="87"/>
        <v>0</v>
      </c>
      <c r="D1903">
        <f>SUM($C$3:C1903)</f>
        <v>4</v>
      </c>
      <c r="E1903" t="e">
        <f t="shared" si="88"/>
        <v>#N/A</v>
      </c>
      <c r="F1903" s="28" t="str">
        <f t="shared" ca="1" si="89"/>
        <v/>
      </c>
    </row>
    <row r="1904" spans="2:6" x14ac:dyDescent="0.2">
      <c r="B1904" t="str">
        <f>IFERROR(IF('PDCA review'!$D$2=Act!B1905,Act!G1905,""),"")</f>
        <v/>
      </c>
      <c r="C1904">
        <f t="shared" si="87"/>
        <v>0</v>
      </c>
      <c r="D1904">
        <f>SUM($C$3:C1904)</f>
        <v>4</v>
      </c>
      <c r="E1904" t="e">
        <f t="shared" si="88"/>
        <v>#N/A</v>
      </c>
      <c r="F1904" s="28" t="str">
        <f t="shared" ca="1" si="89"/>
        <v/>
      </c>
    </row>
    <row r="1905" spans="2:6" x14ac:dyDescent="0.2">
      <c r="B1905" t="str">
        <f>IFERROR(IF('PDCA review'!$D$2=Act!B1906,Act!G1906,""),"")</f>
        <v/>
      </c>
      <c r="C1905">
        <f t="shared" si="87"/>
        <v>0</v>
      </c>
      <c r="D1905">
        <f>SUM($C$3:C1905)</f>
        <v>4</v>
      </c>
      <c r="E1905" t="e">
        <f t="shared" si="88"/>
        <v>#N/A</v>
      </c>
      <c r="F1905" s="28" t="str">
        <f t="shared" ca="1" si="89"/>
        <v/>
      </c>
    </row>
    <row r="1906" spans="2:6" x14ac:dyDescent="0.2">
      <c r="B1906" t="str">
        <f>IFERROR(IF('PDCA review'!$D$2=Act!B1907,Act!G1907,""),"")</f>
        <v/>
      </c>
      <c r="C1906">
        <f t="shared" si="87"/>
        <v>0</v>
      </c>
      <c r="D1906">
        <f>SUM($C$3:C1906)</f>
        <v>4</v>
      </c>
      <c r="E1906" t="e">
        <f t="shared" si="88"/>
        <v>#N/A</v>
      </c>
      <c r="F1906" s="28" t="str">
        <f t="shared" ca="1" si="89"/>
        <v/>
      </c>
    </row>
    <row r="1907" spans="2:6" x14ac:dyDescent="0.2">
      <c r="B1907" t="str">
        <f>IFERROR(IF('PDCA review'!$D$2=Act!B1908,Act!G1908,""),"")</f>
        <v/>
      </c>
      <c r="C1907">
        <f t="shared" si="87"/>
        <v>0</v>
      </c>
      <c r="D1907">
        <f>SUM($C$3:C1907)</f>
        <v>4</v>
      </c>
      <c r="E1907" t="e">
        <f t="shared" si="88"/>
        <v>#N/A</v>
      </c>
      <c r="F1907" s="28" t="str">
        <f t="shared" ca="1" si="89"/>
        <v/>
      </c>
    </row>
    <row r="1908" spans="2:6" x14ac:dyDescent="0.2">
      <c r="B1908" t="str">
        <f>IFERROR(IF('PDCA review'!$D$2=Act!B1909,Act!G1909,""),"")</f>
        <v/>
      </c>
      <c r="C1908">
        <f t="shared" si="87"/>
        <v>0</v>
      </c>
      <c r="D1908">
        <f>SUM($C$3:C1908)</f>
        <v>4</v>
      </c>
      <c r="E1908" t="e">
        <f t="shared" si="88"/>
        <v>#N/A</v>
      </c>
      <c r="F1908" s="28" t="str">
        <f t="shared" ca="1" si="89"/>
        <v/>
      </c>
    </row>
    <row r="1909" spans="2:6" x14ac:dyDescent="0.2">
      <c r="B1909" t="str">
        <f>IFERROR(IF('PDCA review'!$D$2=Act!B1910,Act!G1910,""),"")</f>
        <v/>
      </c>
      <c r="C1909">
        <f t="shared" si="87"/>
        <v>0</v>
      </c>
      <c r="D1909">
        <f>SUM($C$3:C1909)</f>
        <v>4</v>
      </c>
      <c r="E1909" t="e">
        <f t="shared" si="88"/>
        <v>#N/A</v>
      </c>
      <c r="F1909" s="28" t="str">
        <f t="shared" ca="1" si="89"/>
        <v/>
      </c>
    </row>
    <row r="1910" spans="2:6" x14ac:dyDescent="0.2">
      <c r="B1910" t="str">
        <f>IFERROR(IF('PDCA review'!$D$2=Act!B1911,Act!G1911,""),"")</f>
        <v/>
      </c>
      <c r="C1910">
        <f t="shared" si="87"/>
        <v>0</v>
      </c>
      <c r="D1910">
        <f>SUM($C$3:C1910)</f>
        <v>4</v>
      </c>
      <c r="E1910" t="e">
        <f t="shared" si="88"/>
        <v>#N/A</v>
      </c>
      <c r="F1910" s="28" t="str">
        <f t="shared" ca="1" si="89"/>
        <v/>
      </c>
    </row>
    <row r="1911" spans="2:6" x14ac:dyDescent="0.2">
      <c r="B1911" t="str">
        <f>IFERROR(IF('PDCA review'!$D$2=Act!B1912,Act!G1912,""),"")</f>
        <v/>
      </c>
      <c r="C1911">
        <f t="shared" si="87"/>
        <v>0</v>
      </c>
      <c r="D1911">
        <f>SUM($C$3:C1911)</f>
        <v>4</v>
      </c>
      <c r="E1911" t="e">
        <f t="shared" si="88"/>
        <v>#N/A</v>
      </c>
      <c r="F1911" s="28" t="str">
        <f t="shared" ca="1" si="89"/>
        <v/>
      </c>
    </row>
    <row r="1912" spans="2:6" x14ac:dyDescent="0.2">
      <c r="B1912" t="str">
        <f>IFERROR(IF('PDCA review'!$D$2=Act!B1913,Act!G1913,""),"")</f>
        <v/>
      </c>
      <c r="C1912">
        <f t="shared" si="87"/>
        <v>0</v>
      </c>
      <c r="D1912">
        <f>SUM($C$3:C1912)</f>
        <v>4</v>
      </c>
      <c r="E1912" t="e">
        <f t="shared" si="88"/>
        <v>#N/A</v>
      </c>
      <c r="F1912" s="28" t="str">
        <f t="shared" ca="1" si="89"/>
        <v/>
      </c>
    </row>
    <row r="1913" spans="2:6" x14ac:dyDescent="0.2">
      <c r="B1913" t="str">
        <f>IFERROR(IF('PDCA review'!$D$2=Act!B1914,Act!G1914,""),"")</f>
        <v/>
      </c>
      <c r="C1913">
        <f t="shared" si="87"/>
        <v>0</v>
      </c>
      <c r="D1913">
        <f>SUM($C$3:C1913)</f>
        <v>4</v>
      </c>
      <c r="E1913" t="e">
        <f t="shared" si="88"/>
        <v>#N/A</v>
      </c>
      <c r="F1913" s="28" t="str">
        <f t="shared" ca="1" si="89"/>
        <v/>
      </c>
    </row>
    <row r="1914" spans="2:6" x14ac:dyDescent="0.2">
      <c r="B1914" t="str">
        <f>IFERROR(IF('PDCA review'!$D$2=Act!B1915,Act!G1915,""),"")</f>
        <v/>
      </c>
      <c r="C1914">
        <f t="shared" si="87"/>
        <v>0</v>
      </c>
      <c r="D1914">
        <f>SUM($C$3:C1914)</f>
        <v>4</v>
      </c>
      <c r="E1914" t="e">
        <f t="shared" si="88"/>
        <v>#N/A</v>
      </c>
      <c r="F1914" s="28" t="str">
        <f t="shared" ca="1" si="89"/>
        <v/>
      </c>
    </row>
    <row r="1915" spans="2:6" x14ac:dyDescent="0.2">
      <c r="B1915" t="str">
        <f>IFERROR(IF('PDCA review'!$D$2=Act!B1916,Act!G1916,""),"")</f>
        <v/>
      </c>
      <c r="C1915">
        <f t="shared" si="87"/>
        <v>0</v>
      </c>
      <c r="D1915">
        <f>SUM($C$3:C1915)</f>
        <v>4</v>
      </c>
      <c r="E1915" t="e">
        <f t="shared" si="88"/>
        <v>#N/A</v>
      </c>
      <c r="F1915" s="28" t="str">
        <f t="shared" ca="1" si="89"/>
        <v/>
      </c>
    </row>
    <row r="1916" spans="2:6" x14ac:dyDescent="0.2">
      <c r="B1916" t="str">
        <f>IFERROR(IF('PDCA review'!$D$2=Act!B1917,Act!G1917,""),"")</f>
        <v/>
      </c>
      <c r="C1916">
        <f t="shared" si="87"/>
        <v>0</v>
      </c>
      <c r="D1916">
        <f>SUM($C$3:C1916)</f>
        <v>4</v>
      </c>
      <c r="E1916" t="e">
        <f t="shared" si="88"/>
        <v>#N/A</v>
      </c>
      <c r="F1916" s="28" t="str">
        <f t="shared" ca="1" si="89"/>
        <v/>
      </c>
    </row>
    <row r="1917" spans="2:6" x14ac:dyDescent="0.2">
      <c r="B1917" t="str">
        <f>IFERROR(IF('PDCA review'!$D$2=Act!B1918,Act!G1918,""),"")</f>
        <v/>
      </c>
      <c r="C1917">
        <f t="shared" si="87"/>
        <v>0</v>
      </c>
      <c r="D1917">
        <f>SUM($C$3:C1917)</f>
        <v>4</v>
      </c>
      <c r="E1917" t="e">
        <f t="shared" si="88"/>
        <v>#N/A</v>
      </c>
      <c r="F1917" s="28" t="str">
        <f t="shared" ca="1" si="89"/>
        <v/>
      </c>
    </row>
    <row r="1918" spans="2:6" x14ac:dyDescent="0.2">
      <c r="B1918" t="str">
        <f>IFERROR(IF('PDCA review'!$D$2=Act!B1919,Act!G1919,""),"")</f>
        <v/>
      </c>
      <c r="C1918">
        <f t="shared" si="87"/>
        <v>0</v>
      </c>
      <c r="D1918">
        <f>SUM($C$3:C1918)</f>
        <v>4</v>
      </c>
      <c r="E1918" t="e">
        <f t="shared" si="88"/>
        <v>#N/A</v>
      </c>
      <c r="F1918" s="28" t="str">
        <f t="shared" ca="1" si="89"/>
        <v/>
      </c>
    </row>
    <row r="1919" spans="2:6" x14ac:dyDescent="0.2">
      <c r="B1919" t="str">
        <f>IFERROR(IF('PDCA review'!$D$2=Act!B1920,Act!G1920,""),"")</f>
        <v/>
      </c>
      <c r="C1919">
        <f t="shared" si="87"/>
        <v>0</v>
      </c>
      <c r="D1919">
        <f>SUM($C$3:C1919)</f>
        <v>4</v>
      </c>
      <c r="E1919" t="e">
        <f t="shared" si="88"/>
        <v>#N/A</v>
      </c>
      <c r="F1919" s="28" t="str">
        <f t="shared" ca="1" si="89"/>
        <v/>
      </c>
    </row>
    <row r="1920" spans="2:6" x14ac:dyDescent="0.2">
      <c r="B1920" t="str">
        <f>IFERROR(IF('PDCA review'!$D$2=Act!B1921,Act!G1921,""),"")</f>
        <v/>
      </c>
      <c r="C1920">
        <f t="shared" si="87"/>
        <v>0</v>
      </c>
      <c r="D1920">
        <f>SUM($C$3:C1920)</f>
        <v>4</v>
      </c>
      <c r="E1920" t="e">
        <f t="shared" si="88"/>
        <v>#N/A</v>
      </c>
      <c r="F1920" s="28" t="str">
        <f t="shared" ca="1" si="89"/>
        <v/>
      </c>
    </row>
    <row r="1921" spans="2:6" x14ac:dyDescent="0.2">
      <c r="B1921" t="str">
        <f>IFERROR(IF('PDCA review'!$D$2=Act!B1922,Act!G1922,""),"")</f>
        <v/>
      </c>
      <c r="C1921">
        <f t="shared" si="87"/>
        <v>0</v>
      </c>
      <c r="D1921">
        <f>SUM($C$3:C1921)</f>
        <v>4</v>
      </c>
      <c r="E1921" t="e">
        <f t="shared" si="88"/>
        <v>#N/A</v>
      </c>
      <c r="F1921" s="28" t="str">
        <f t="shared" ca="1" si="89"/>
        <v/>
      </c>
    </row>
    <row r="1922" spans="2:6" x14ac:dyDescent="0.2">
      <c r="B1922" t="str">
        <f>IFERROR(IF('PDCA review'!$D$2=Act!B1923,Act!G1923,""),"")</f>
        <v/>
      </c>
      <c r="C1922">
        <f t="shared" si="87"/>
        <v>0</v>
      </c>
      <c r="D1922">
        <f>SUM($C$3:C1922)</f>
        <v>4</v>
      </c>
      <c r="E1922" t="e">
        <f t="shared" si="88"/>
        <v>#N/A</v>
      </c>
      <c r="F1922" s="28" t="str">
        <f t="shared" ca="1" si="89"/>
        <v/>
      </c>
    </row>
    <row r="1923" spans="2:6" x14ac:dyDescent="0.2">
      <c r="B1923" t="str">
        <f>IFERROR(IF('PDCA review'!$D$2=Act!B1924,Act!G1924,""),"")</f>
        <v/>
      </c>
      <c r="C1923">
        <f t="shared" si="87"/>
        <v>0</v>
      </c>
      <c r="D1923">
        <f>SUM($C$3:C1923)</f>
        <v>4</v>
      </c>
      <c r="E1923" t="e">
        <f t="shared" si="88"/>
        <v>#N/A</v>
      </c>
      <c r="F1923" s="28" t="str">
        <f t="shared" ca="1" si="89"/>
        <v/>
      </c>
    </row>
    <row r="1924" spans="2:6" x14ac:dyDescent="0.2">
      <c r="B1924" t="str">
        <f>IFERROR(IF('PDCA review'!$D$2=Act!B1925,Act!G1925,""),"")</f>
        <v/>
      </c>
      <c r="C1924">
        <f t="shared" ref="C1924:C1987" si="90">IF(B1924&lt;&gt;"",1,0)</f>
        <v>0</v>
      </c>
      <c r="D1924">
        <f>SUM($C$3:C1924)</f>
        <v>4</v>
      </c>
      <c r="E1924" t="e">
        <f t="shared" ref="E1924:E1987" si="91">MATCH(ROW()-$D$2,$D$3:$D$2000,0)+$D$2</f>
        <v>#N/A</v>
      </c>
      <c r="F1924" s="28" t="str">
        <f t="shared" ref="F1924:F1987" ca="1" si="92">IFERROR(INDIRECT("B"&amp;E1924),"")</f>
        <v/>
      </c>
    </row>
    <row r="1925" spans="2:6" x14ac:dyDescent="0.2">
      <c r="B1925" t="str">
        <f>IFERROR(IF('PDCA review'!$D$2=Act!B1926,Act!G1926,""),"")</f>
        <v/>
      </c>
      <c r="C1925">
        <f t="shared" si="90"/>
        <v>0</v>
      </c>
      <c r="D1925">
        <f>SUM($C$3:C1925)</f>
        <v>4</v>
      </c>
      <c r="E1925" t="e">
        <f t="shared" si="91"/>
        <v>#N/A</v>
      </c>
      <c r="F1925" s="28" t="str">
        <f t="shared" ca="1" si="92"/>
        <v/>
      </c>
    </row>
    <row r="1926" spans="2:6" x14ac:dyDescent="0.2">
      <c r="B1926" t="str">
        <f>IFERROR(IF('PDCA review'!$D$2=Act!B1927,Act!G1927,""),"")</f>
        <v/>
      </c>
      <c r="C1926">
        <f t="shared" si="90"/>
        <v>0</v>
      </c>
      <c r="D1926">
        <f>SUM($C$3:C1926)</f>
        <v>4</v>
      </c>
      <c r="E1926" t="e">
        <f t="shared" si="91"/>
        <v>#N/A</v>
      </c>
      <c r="F1926" s="28" t="str">
        <f t="shared" ca="1" si="92"/>
        <v/>
      </c>
    </row>
    <row r="1927" spans="2:6" x14ac:dyDescent="0.2">
      <c r="B1927" t="str">
        <f>IFERROR(IF('PDCA review'!$D$2=Act!B1928,Act!G1928,""),"")</f>
        <v/>
      </c>
      <c r="C1927">
        <f t="shared" si="90"/>
        <v>0</v>
      </c>
      <c r="D1927">
        <f>SUM($C$3:C1927)</f>
        <v>4</v>
      </c>
      <c r="E1927" t="e">
        <f t="shared" si="91"/>
        <v>#N/A</v>
      </c>
      <c r="F1927" s="28" t="str">
        <f t="shared" ca="1" si="92"/>
        <v/>
      </c>
    </row>
    <row r="1928" spans="2:6" x14ac:dyDescent="0.2">
      <c r="B1928" t="str">
        <f>IFERROR(IF('PDCA review'!$D$2=Act!B1929,Act!G1929,""),"")</f>
        <v/>
      </c>
      <c r="C1928">
        <f t="shared" si="90"/>
        <v>0</v>
      </c>
      <c r="D1928">
        <f>SUM($C$3:C1928)</f>
        <v>4</v>
      </c>
      <c r="E1928" t="e">
        <f t="shared" si="91"/>
        <v>#N/A</v>
      </c>
      <c r="F1928" s="28" t="str">
        <f t="shared" ca="1" si="92"/>
        <v/>
      </c>
    </row>
    <row r="1929" spans="2:6" x14ac:dyDescent="0.2">
      <c r="B1929" t="str">
        <f>IFERROR(IF('PDCA review'!$D$2=Act!B1930,Act!G1930,""),"")</f>
        <v/>
      </c>
      <c r="C1929">
        <f t="shared" si="90"/>
        <v>0</v>
      </c>
      <c r="D1929">
        <f>SUM($C$3:C1929)</f>
        <v>4</v>
      </c>
      <c r="E1929" t="e">
        <f t="shared" si="91"/>
        <v>#N/A</v>
      </c>
      <c r="F1929" s="28" t="str">
        <f t="shared" ca="1" si="92"/>
        <v/>
      </c>
    </row>
    <row r="1930" spans="2:6" x14ac:dyDescent="0.2">
      <c r="B1930" t="str">
        <f>IFERROR(IF('PDCA review'!$D$2=Act!B1931,Act!G1931,""),"")</f>
        <v/>
      </c>
      <c r="C1930">
        <f t="shared" si="90"/>
        <v>0</v>
      </c>
      <c r="D1930">
        <f>SUM($C$3:C1930)</f>
        <v>4</v>
      </c>
      <c r="E1930" t="e">
        <f t="shared" si="91"/>
        <v>#N/A</v>
      </c>
      <c r="F1930" s="28" t="str">
        <f t="shared" ca="1" si="92"/>
        <v/>
      </c>
    </row>
    <row r="1931" spans="2:6" x14ac:dyDescent="0.2">
      <c r="B1931" t="str">
        <f>IFERROR(IF('PDCA review'!$D$2=Act!B1932,Act!G1932,""),"")</f>
        <v/>
      </c>
      <c r="C1931">
        <f t="shared" si="90"/>
        <v>0</v>
      </c>
      <c r="D1931">
        <f>SUM($C$3:C1931)</f>
        <v>4</v>
      </c>
      <c r="E1931" t="e">
        <f t="shared" si="91"/>
        <v>#N/A</v>
      </c>
      <c r="F1931" s="28" t="str">
        <f t="shared" ca="1" si="92"/>
        <v/>
      </c>
    </row>
    <row r="1932" spans="2:6" x14ac:dyDescent="0.2">
      <c r="B1932" t="str">
        <f>IFERROR(IF('PDCA review'!$D$2=Act!B1933,Act!G1933,""),"")</f>
        <v/>
      </c>
      <c r="C1932">
        <f t="shared" si="90"/>
        <v>0</v>
      </c>
      <c r="D1932">
        <f>SUM($C$3:C1932)</f>
        <v>4</v>
      </c>
      <c r="E1932" t="e">
        <f t="shared" si="91"/>
        <v>#N/A</v>
      </c>
      <c r="F1932" s="28" t="str">
        <f t="shared" ca="1" si="92"/>
        <v/>
      </c>
    </row>
    <row r="1933" spans="2:6" x14ac:dyDescent="0.2">
      <c r="B1933" t="str">
        <f>IFERROR(IF('PDCA review'!$D$2=Act!B1934,Act!G1934,""),"")</f>
        <v/>
      </c>
      <c r="C1933">
        <f t="shared" si="90"/>
        <v>0</v>
      </c>
      <c r="D1933">
        <f>SUM($C$3:C1933)</f>
        <v>4</v>
      </c>
      <c r="E1933" t="e">
        <f t="shared" si="91"/>
        <v>#N/A</v>
      </c>
      <c r="F1933" s="28" t="str">
        <f t="shared" ca="1" si="92"/>
        <v/>
      </c>
    </row>
    <row r="1934" spans="2:6" x14ac:dyDescent="0.2">
      <c r="B1934" t="str">
        <f>IFERROR(IF('PDCA review'!$D$2=Act!B1935,Act!G1935,""),"")</f>
        <v/>
      </c>
      <c r="C1934">
        <f t="shared" si="90"/>
        <v>0</v>
      </c>
      <c r="D1934">
        <f>SUM($C$3:C1934)</f>
        <v>4</v>
      </c>
      <c r="E1934" t="e">
        <f t="shared" si="91"/>
        <v>#N/A</v>
      </c>
      <c r="F1934" s="28" t="str">
        <f t="shared" ca="1" si="92"/>
        <v/>
      </c>
    </row>
    <row r="1935" spans="2:6" x14ac:dyDescent="0.2">
      <c r="B1935" t="str">
        <f>IFERROR(IF('PDCA review'!$D$2=Act!B1936,Act!G1936,""),"")</f>
        <v/>
      </c>
      <c r="C1935">
        <f t="shared" si="90"/>
        <v>0</v>
      </c>
      <c r="D1935">
        <f>SUM($C$3:C1935)</f>
        <v>4</v>
      </c>
      <c r="E1935" t="e">
        <f t="shared" si="91"/>
        <v>#N/A</v>
      </c>
      <c r="F1935" s="28" t="str">
        <f t="shared" ca="1" si="92"/>
        <v/>
      </c>
    </row>
    <row r="1936" spans="2:6" x14ac:dyDescent="0.2">
      <c r="B1936" t="str">
        <f>IFERROR(IF('PDCA review'!$D$2=Act!B1937,Act!G1937,""),"")</f>
        <v/>
      </c>
      <c r="C1936">
        <f t="shared" si="90"/>
        <v>0</v>
      </c>
      <c r="D1936">
        <f>SUM($C$3:C1936)</f>
        <v>4</v>
      </c>
      <c r="E1936" t="e">
        <f t="shared" si="91"/>
        <v>#N/A</v>
      </c>
      <c r="F1936" s="28" t="str">
        <f t="shared" ca="1" si="92"/>
        <v/>
      </c>
    </row>
    <row r="1937" spans="2:6" x14ac:dyDescent="0.2">
      <c r="B1937" t="str">
        <f>IFERROR(IF('PDCA review'!$D$2=Act!B1938,Act!G1938,""),"")</f>
        <v/>
      </c>
      <c r="C1937">
        <f t="shared" si="90"/>
        <v>0</v>
      </c>
      <c r="D1937">
        <f>SUM($C$3:C1937)</f>
        <v>4</v>
      </c>
      <c r="E1937" t="e">
        <f t="shared" si="91"/>
        <v>#N/A</v>
      </c>
      <c r="F1937" s="28" t="str">
        <f t="shared" ca="1" si="92"/>
        <v/>
      </c>
    </row>
    <row r="1938" spans="2:6" x14ac:dyDescent="0.2">
      <c r="B1938" t="str">
        <f>IFERROR(IF('PDCA review'!$D$2=Act!B1939,Act!G1939,""),"")</f>
        <v/>
      </c>
      <c r="C1938">
        <f t="shared" si="90"/>
        <v>0</v>
      </c>
      <c r="D1938">
        <f>SUM($C$3:C1938)</f>
        <v>4</v>
      </c>
      <c r="E1938" t="e">
        <f t="shared" si="91"/>
        <v>#N/A</v>
      </c>
      <c r="F1938" s="28" t="str">
        <f t="shared" ca="1" si="92"/>
        <v/>
      </c>
    </row>
    <row r="1939" spans="2:6" x14ac:dyDescent="0.2">
      <c r="B1939" t="str">
        <f>IFERROR(IF('PDCA review'!$D$2=Act!B1940,Act!G1940,""),"")</f>
        <v/>
      </c>
      <c r="C1939">
        <f t="shared" si="90"/>
        <v>0</v>
      </c>
      <c r="D1939">
        <f>SUM($C$3:C1939)</f>
        <v>4</v>
      </c>
      <c r="E1939" t="e">
        <f t="shared" si="91"/>
        <v>#N/A</v>
      </c>
      <c r="F1939" s="28" t="str">
        <f t="shared" ca="1" si="92"/>
        <v/>
      </c>
    </row>
    <row r="1940" spans="2:6" x14ac:dyDescent="0.2">
      <c r="B1940" t="str">
        <f>IFERROR(IF('PDCA review'!$D$2=Act!B1941,Act!G1941,""),"")</f>
        <v/>
      </c>
      <c r="C1940">
        <f t="shared" si="90"/>
        <v>0</v>
      </c>
      <c r="D1940">
        <f>SUM($C$3:C1940)</f>
        <v>4</v>
      </c>
      <c r="E1940" t="e">
        <f t="shared" si="91"/>
        <v>#N/A</v>
      </c>
      <c r="F1940" s="28" t="str">
        <f t="shared" ca="1" si="92"/>
        <v/>
      </c>
    </row>
    <row r="1941" spans="2:6" x14ac:dyDescent="0.2">
      <c r="B1941" t="str">
        <f>IFERROR(IF('PDCA review'!$D$2=Act!B1942,Act!G1942,""),"")</f>
        <v/>
      </c>
      <c r="C1941">
        <f t="shared" si="90"/>
        <v>0</v>
      </c>
      <c r="D1941">
        <f>SUM($C$3:C1941)</f>
        <v>4</v>
      </c>
      <c r="E1941" t="e">
        <f t="shared" si="91"/>
        <v>#N/A</v>
      </c>
      <c r="F1941" s="28" t="str">
        <f t="shared" ca="1" si="92"/>
        <v/>
      </c>
    </row>
    <row r="1942" spans="2:6" x14ac:dyDescent="0.2">
      <c r="B1942" t="str">
        <f>IFERROR(IF('PDCA review'!$D$2=Act!B1943,Act!G1943,""),"")</f>
        <v/>
      </c>
      <c r="C1942">
        <f t="shared" si="90"/>
        <v>0</v>
      </c>
      <c r="D1942">
        <f>SUM($C$3:C1942)</f>
        <v>4</v>
      </c>
      <c r="E1942" t="e">
        <f t="shared" si="91"/>
        <v>#N/A</v>
      </c>
      <c r="F1942" s="28" t="str">
        <f t="shared" ca="1" si="92"/>
        <v/>
      </c>
    </row>
    <row r="1943" spans="2:6" x14ac:dyDescent="0.2">
      <c r="B1943" t="str">
        <f>IFERROR(IF('PDCA review'!$D$2=Act!B1944,Act!G1944,""),"")</f>
        <v/>
      </c>
      <c r="C1943">
        <f t="shared" si="90"/>
        <v>0</v>
      </c>
      <c r="D1943">
        <f>SUM($C$3:C1943)</f>
        <v>4</v>
      </c>
      <c r="E1943" t="e">
        <f t="shared" si="91"/>
        <v>#N/A</v>
      </c>
      <c r="F1943" s="28" t="str">
        <f t="shared" ca="1" si="92"/>
        <v/>
      </c>
    </row>
    <row r="1944" spans="2:6" x14ac:dyDescent="0.2">
      <c r="B1944" t="str">
        <f>IFERROR(IF('PDCA review'!$D$2=Act!B1945,Act!G1945,""),"")</f>
        <v/>
      </c>
      <c r="C1944">
        <f t="shared" si="90"/>
        <v>0</v>
      </c>
      <c r="D1944">
        <f>SUM($C$3:C1944)</f>
        <v>4</v>
      </c>
      <c r="E1944" t="e">
        <f t="shared" si="91"/>
        <v>#N/A</v>
      </c>
      <c r="F1944" s="28" t="str">
        <f t="shared" ca="1" si="92"/>
        <v/>
      </c>
    </row>
    <row r="1945" spans="2:6" x14ac:dyDescent="0.2">
      <c r="B1945" t="str">
        <f>IFERROR(IF('PDCA review'!$D$2=Act!B1946,Act!G1946,""),"")</f>
        <v/>
      </c>
      <c r="C1945">
        <f t="shared" si="90"/>
        <v>0</v>
      </c>
      <c r="D1945">
        <f>SUM($C$3:C1945)</f>
        <v>4</v>
      </c>
      <c r="E1945" t="e">
        <f t="shared" si="91"/>
        <v>#N/A</v>
      </c>
      <c r="F1945" s="28" t="str">
        <f t="shared" ca="1" si="92"/>
        <v/>
      </c>
    </row>
    <row r="1946" spans="2:6" x14ac:dyDescent="0.2">
      <c r="B1946" t="str">
        <f>IFERROR(IF('PDCA review'!$D$2=Act!B1947,Act!G1947,""),"")</f>
        <v/>
      </c>
      <c r="C1946">
        <f t="shared" si="90"/>
        <v>0</v>
      </c>
      <c r="D1946">
        <f>SUM($C$3:C1946)</f>
        <v>4</v>
      </c>
      <c r="E1946" t="e">
        <f t="shared" si="91"/>
        <v>#N/A</v>
      </c>
      <c r="F1946" s="28" t="str">
        <f t="shared" ca="1" si="92"/>
        <v/>
      </c>
    </row>
    <row r="1947" spans="2:6" x14ac:dyDescent="0.2">
      <c r="B1947" t="str">
        <f>IFERROR(IF('PDCA review'!$D$2=Act!B1948,Act!G1948,""),"")</f>
        <v/>
      </c>
      <c r="C1947">
        <f t="shared" si="90"/>
        <v>0</v>
      </c>
      <c r="D1947">
        <f>SUM($C$3:C1947)</f>
        <v>4</v>
      </c>
      <c r="E1947" t="e">
        <f t="shared" si="91"/>
        <v>#N/A</v>
      </c>
      <c r="F1947" s="28" t="str">
        <f t="shared" ca="1" si="92"/>
        <v/>
      </c>
    </row>
    <row r="1948" spans="2:6" x14ac:dyDescent="0.2">
      <c r="B1948" t="str">
        <f>IFERROR(IF('PDCA review'!$D$2=Act!B1949,Act!G1949,""),"")</f>
        <v/>
      </c>
      <c r="C1948">
        <f t="shared" si="90"/>
        <v>0</v>
      </c>
      <c r="D1948">
        <f>SUM($C$3:C1948)</f>
        <v>4</v>
      </c>
      <c r="E1948" t="e">
        <f t="shared" si="91"/>
        <v>#N/A</v>
      </c>
      <c r="F1948" s="28" t="str">
        <f t="shared" ca="1" si="92"/>
        <v/>
      </c>
    </row>
    <row r="1949" spans="2:6" x14ac:dyDescent="0.2">
      <c r="B1949" t="str">
        <f>IFERROR(IF('PDCA review'!$D$2=Act!B1950,Act!G1950,""),"")</f>
        <v/>
      </c>
      <c r="C1949">
        <f t="shared" si="90"/>
        <v>0</v>
      </c>
      <c r="D1949">
        <f>SUM($C$3:C1949)</f>
        <v>4</v>
      </c>
      <c r="E1949" t="e">
        <f t="shared" si="91"/>
        <v>#N/A</v>
      </c>
      <c r="F1949" s="28" t="str">
        <f t="shared" ca="1" si="92"/>
        <v/>
      </c>
    </row>
    <row r="1950" spans="2:6" x14ac:dyDescent="0.2">
      <c r="B1950" t="str">
        <f>IFERROR(IF('PDCA review'!$D$2=Act!B1951,Act!G1951,""),"")</f>
        <v/>
      </c>
      <c r="C1950">
        <f t="shared" si="90"/>
        <v>0</v>
      </c>
      <c r="D1950">
        <f>SUM($C$3:C1950)</f>
        <v>4</v>
      </c>
      <c r="E1950" t="e">
        <f t="shared" si="91"/>
        <v>#N/A</v>
      </c>
      <c r="F1950" s="28" t="str">
        <f t="shared" ca="1" si="92"/>
        <v/>
      </c>
    </row>
    <row r="1951" spans="2:6" x14ac:dyDescent="0.2">
      <c r="B1951" t="str">
        <f>IFERROR(IF('PDCA review'!$D$2=Act!B1952,Act!G1952,""),"")</f>
        <v/>
      </c>
      <c r="C1951">
        <f t="shared" si="90"/>
        <v>0</v>
      </c>
      <c r="D1951">
        <f>SUM($C$3:C1951)</f>
        <v>4</v>
      </c>
      <c r="E1951" t="e">
        <f t="shared" si="91"/>
        <v>#N/A</v>
      </c>
      <c r="F1951" s="28" t="str">
        <f t="shared" ca="1" si="92"/>
        <v/>
      </c>
    </row>
    <row r="1952" spans="2:6" x14ac:dyDescent="0.2">
      <c r="B1952" t="str">
        <f>IFERROR(IF('PDCA review'!$D$2=Act!B1953,Act!G1953,""),"")</f>
        <v/>
      </c>
      <c r="C1952">
        <f t="shared" si="90"/>
        <v>0</v>
      </c>
      <c r="D1952">
        <f>SUM($C$3:C1952)</f>
        <v>4</v>
      </c>
      <c r="E1952" t="e">
        <f t="shared" si="91"/>
        <v>#N/A</v>
      </c>
      <c r="F1952" s="28" t="str">
        <f t="shared" ca="1" si="92"/>
        <v/>
      </c>
    </row>
    <row r="1953" spans="2:6" x14ac:dyDescent="0.2">
      <c r="B1953" t="str">
        <f>IFERROR(IF('PDCA review'!$D$2=Act!B1954,Act!G1954,""),"")</f>
        <v/>
      </c>
      <c r="C1953">
        <f t="shared" si="90"/>
        <v>0</v>
      </c>
      <c r="D1953">
        <f>SUM($C$3:C1953)</f>
        <v>4</v>
      </c>
      <c r="E1953" t="e">
        <f t="shared" si="91"/>
        <v>#N/A</v>
      </c>
      <c r="F1953" s="28" t="str">
        <f t="shared" ca="1" si="92"/>
        <v/>
      </c>
    </row>
    <row r="1954" spans="2:6" x14ac:dyDescent="0.2">
      <c r="B1954" t="str">
        <f>IFERROR(IF('PDCA review'!$D$2=Act!B1955,Act!G1955,""),"")</f>
        <v/>
      </c>
      <c r="C1954">
        <f t="shared" si="90"/>
        <v>0</v>
      </c>
      <c r="D1954">
        <f>SUM($C$3:C1954)</f>
        <v>4</v>
      </c>
      <c r="E1954" t="e">
        <f t="shared" si="91"/>
        <v>#N/A</v>
      </c>
      <c r="F1954" s="28" t="str">
        <f t="shared" ca="1" si="92"/>
        <v/>
      </c>
    </row>
    <row r="1955" spans="2:6" x14ac:dyDescent="0.2">
      <c r="B1955" t="str">
        <f>IFERROR(IF('PDCA review'!$D$2=Act!B1956,Act!G1956,""),"")</f>
        <v/>
      </c>
      <c r="C1955">
        <f t="shared" si="90"/>
        <v>0</v>
      </c>
      <c r="D1955">
        <f>SUM($C$3:C1955)</f>
        <v>4</v>
      </c>
      <c r="E1955" t="e">
        <f t="shared" si="91"/>
        <v>#N/A</v>
      </c>
      <c r="F1955" s="28" t="str">
        <f t="shared" ca="1" si="92"/>
        <v/>
      </c>
    </row>
    <row r="1956" spans="2:6" x14ac:dyDescent="0.2">
      <c r="B1956" t="str">
        <f>IFERROR(IF('PDCA review'!$D$2=Act!B1957,Act!G1957,""),"")</f>
        <v/>
      </c>
      <c r="C1956">
        <f t="shared" si="90"/>
        <v>0</v>
      </c>
      <c r="D1956">
        <f>SUM($C$3:C1956)</f>
        <v>4</v>
      </c>
      <c r="E1956" t="e">
        <f t="shared" si="91"/>
        <v>#N/A</v>
      </c>
      <c r="F1956" s="28" t="str">
        <f t="shared" ca="1" si="92"/>
        <v/>
      </c>
    </row>
    <row r="1957" spans="2:6" x14ac:dyDescent="0.2">
      <c r="B1957" t="str">
        <f>IFERROR(IF('PDCA review'!$D$2=Act!B1958,Act!G1958,""),"")</f>
        <v/>
      </c>
      <c r="C1957">
        <f t="shared" si="90"/>
        <v>0</v>
      </c>
      <c r="D1957">
        <f>SUM($C$3:C1957)</f>
        <v>4</v>
      </c>
      <c r="E1957" t="e">
        <f t="shared" si="91"/>
        <v>#N/A</v>
      </c>
      <c r="F1957" s="28" t="str">
        <f t="shared" ca="1" si="92"/>
        <v/>
      </c>
    </row>
    <row r="1958" spans="2:6" x14ac:dyDescent="0.2">
      <c r="B1958" t="str">
        <f>IFERROR(IF('PDCA review'!$D$2=Act!B1959,Act!G1959,""),"")</f>
        <v/>
      </c>
      <c r="C1958">
        <f t="shared" si="90"/>
        <v>0</v>
      </c>
      <c r="D1958">
        <f>SUM($C$3:C1958)</f>
        <v>4</v>
      </c>
      <c r="E1958" t="e">
        <f t="shared" si="91"/>
        <v>#N/A</v>
      </c>
      <c r="F1958" s="28" t="str">
        <f t="shared" ca="1" si="92"/>
        <v/>
      </c>
    </row>
    <row r="1959" spans="2:6" x14ac:dyDescent="0.2">
      <c r="B1959" t="str">
        <f>IFERROR(IF('PDCA review'!$D$2=Act!B1960,Act!G1960,""),"")</f>
        <v/>
      </c>
      <c r="C1959">
        <f t="shared" si="90"/>
        <v>0</v>
      </c>
      <c r="D1959">
        <f>SUM($C$3:C1959)</f>
        <v>4</v>
      </c>
      <c r="E1959" t="e">
        <f t="shared" si="91"/>
        <v>#N/A</v>
      </c>
      <c r="F1959" s="28" t="str">
        <f t="shared" ca="1" si="92"/>
        <v/>
      </c>
    </row>
    <row r="1960" spans="2:6" x14ac:dyDescent="0.2">
      <c r="B1960" t="str">
        <f>IFERROR(IF('PDCA review'!$D$2=Act!B1961,Act!G1961,""),"")</f>
        <v/>
      </c>
      <c r="C1960">
        <f t="shared" si="90"/>
        <v>0</v>
      </c>
      <c r="D1960">
        <f>SUM($C$3:C1960)</f>
        <v>4</v>
      </c>
      <c r="E1960" t="e">
        <f t="shared" si="91"/>
        <v>#N/A</v>
      </c>
      <c r="F1960" s="28" t="str">
        <f t="shared" ca="1" si="92"/>
        <v/>
      </c>
    </row>
    <row r="1961" spans="2:6" x14ac:dyDescent="0.2">
      <c r="B1961" t="str">
        <f>IFERROR(IF('PDCA review'!$D$2=Act!B1962,Act!G1962,""),"")</f>
        <v/>
      </c>
      <c r="C1961">
        <f t="shared" si="90"/>
        <v>0</v>
      </c>
      <c r="D1961">
        <f>SUM($C$3:C1961)</f>
        <v>4</v>
      </c>
      <c r="E1961" t="e">
        <f t="shared" si="91"/>
        <v>#N/A</v>
      </c>
      <c r="F1961" s="28" t="str">
        <f t="shared" ca="1" si="92"/>
        <v/>
      </c>
    </row>
    <row r="1962" spans="2:6" x14ac:dyDescent="0.2">
      <c r="B1962" t="str">
        <f>IFERROR(IF('PDCA review'!$D$2=Act!B1963,Act!G1963,""),"")</f>
        <v/>
      </c>
      <c r="C1962">
        <f t="shared" si="90"/>
        <v>0</v>
      </c>
      <c r="D1962">
        <f>SUM($C$3:C1962)</f>
        <v>4</v>
      </c>
      <c r="E1962" t="e">
        <f t="shared" si="91"/>
        <v>#N/A</v>
      </c>
      <c r="F1962" s="28" t="str">
        <f t="shared" ca="1" si="92"/>
        <v/>
      </c>
    </row>
    <row r="1963" spans="2:6" x14ac:dyDescent="0.2">
      <c r="B1963" t="str">
        <f>IFERROR(IF('PDCA review'!$D$2=Act!B1964,Act!G1964,""),"")</f>
        <v/>
      </c>
      <c r="C1963">
        <f t="shared" si="90"/>
        <v>0</v>
      </c>
      <c r="D1963">
        <f>SUM($C$3:C1963)</f>
        <v>4</v>
      </c>
      <c r="E1963" t="e">
        <f t="shared" si="91"/>
        <v>#N/A</v>
      </c>
      <c r="F1963" s="28" t="str">
        <f t="shared" ca="1" si="92"/>
        <v/>
      </c>
    </row>
    <row r="1964" spans="2:6" x14ac:dyDescent="0.2">
      <c r="B1964" t="str">
        <f>IFERROR(IF('PDCA review'!$D$2=Act!B1965,Act!G1965,""),"")</f>
        <v/>
      </c>
      <c r="C1964">
        <f t="shared" si="90"/>
        <v>0</v>
      </c>
      <c r="D1964">
        <f>SUM($C$3:C1964)</f>
        <v>4</v>
      </c>
      <c r="E1964" t="e">
        <f t="shared" si="91"/>
        <v>#N/A</v>
      </c>
      <c r="F1964" s="28" t="str">
        <f t="shared" ca="1" si="92"/>
        <v/>
      </c>
    </row>
    <row r="1965" spans="2:6" x14ac:dyDescent="0.2">
      <c r="B1965" t="str">
        <f>IFERROR(IF('PDCA review'!$D$2=Act!B1966,Act!G1966,""),"")</f>
        <v/>
      </c>
      <c r="C1965">
        <f t="shared" si="90"/>
        <v>0</v>
      </c>
      <c r="D1965">
        <f>SUM($C$3:C1965)</f>
        <v>4</v>
      </c>
      <c r="E1965" t="e">
        <f t="shared" si="91"/>
        <v>#N/A</v>
      </c>
      <c r="F1965" s="28" t="str">
        <f t="shared" ca="1" si="92"/>
        <v/>
      </c>
    </row>
    <row r="1966" spans="2:6" x14ac:dyDescent="0.2">
      <c r="B1966" t="str">
        <f>IFERROR(IF('PDCA review'!$D$2=Act!B1967,Act!G1967,""),"")</f>
        <v/>
      </c>
      <c r="C1966">
        <f t="shared" si="90"/>
        <v>0</v>
      </c>
      <c r="D1966">
        <f>SUM($C$3:C1966)</f>
        <v>4</v>
      </c>
      <c r="E1966" t="e">
        <f t="shared" si="91"/>
        <v>#N/A</v>
      </c>
      <c r="F1966" s="28" t="str">
        <f t="shared" ca="1" si="92"/>
        <v/>
      </c>
    </row>
    <row r="1967" spans="2:6" x14ac:dyDescent="0.2">
      <c r="B1967" t="str">
        <f>IFERROR(IF('PDCA review'!$D$2=Act!B1968,Act!G1968,""),"")</f>
        <v/>
      </c>
      <c r="C1967">
        <f t="shared" si="90"/>
        <v>0</v>
      </c>
      <c r="D1967">
        <f>SUM($C$3:C1967)</f>
        <v>4</v>
      </c>
      <c r="E1967" t="e">
        <f t="shared" si="91"/>
        <v>#N/A</v>
      </c>
      <c r="F1967" s="28" t="str">
        <f t="shared" ca="1" si="92"/>
        <v/>
      </c>
    </row>
    <row r="1968" spans="2:6" x14ac:dyDescent="0.2">
      <c r="B1968" t="str">
        <f>IFERROR(IF('PDCA review'!$D$2=Act!B1969,Act!G1969,""),"")</f>
        <v/>
      </c>
      <c r="C1968">
        <f t="shared" si="90"/>
        <v>0</v>
      </c>
      <c r="D1968">
        <f>SUM($C$3:C1968)</f>
        <v>4</v>
      </c>
      <c r="E1968" t="e">
        <f t="shared" si="91"/>
        <v>#N/A</v>
      </c>
      <c r="F1968" s="28" t="str">
        <f t="shared" ca="1" si="92"/>
        <v/>
      </c>
    </row>
    <row r="1969" spans="2:6" x14ac:dyDescent="0.2">
      <c r="B1969" t="str">
        <f>IFERROR(IF('PDCA review'!$D$2=Act!B1970,Act!G1970,""),"")</f>
        <v/>
      </c>
      <c r="C1969">
        <f t="shared" si="90"/>
        <v>0</v>
      </c>
      <c r="D1969">
        <f>SUM($C$3:C1969)</f>
        <v>4</v>
      </c>
      <c r="E1969" t="e">
        <f t="shared" si="91"/>
        <v>#N/A</v>
      </c>
      <c r="F1969" s="28" t="str">
        <f t="shared" ca="1" si="92"/>
        <v/>
      </c>
    </row>
    <row r="1970" spans="2:6" x14ac:dyDescent="0.2">
      <c r="B1970" t="str">
        <f>IFERROR(IF('PDCA review'!$D$2=Act!B1971,Act!G1971,""),"")</f>
        <v/>
      </c>
      <c r="C1970">
        <f t="shared" si="90"/>
        <v>0</v>
      </c>
      <c r="D1970">
        <f>SUM($C$3:C1970)</f>
        <v>4</v>
      </c>
      <c r="E1970" t="e">
        <f t="shared" si="91"/>
        <v>#N/A</v>
      </c>
      <c r="F1970" s="28" t="str">
        <f t="shared" ca="1" si="92"/>
        <v/>
      </c>
    </row>
    <row r="1971" spans="2:6" x14ac:dyDescent="0.2">
      <c r="B1971" t="str">
        <f>IFERROR(IF('PDCA review'!$D$2=Act!B1972,Act!G1972,""),"")</f>
        <v/>
      </c>
      <c r="C1971">
        <f t="shared" si="90"/>
        <v>0</v>
      </c>
      <c r="D1971">
        <f>SUM($C$3:C1971)</f>
        <v>4</v>
      </c>
      <c r="E1971" t="e">
        <f t="shared" si="91"/>
        <v>#N/A</v>
      </c>
      <c r="F1971" s="28" t="str">
        <f t="shared" ca="1" si="92"/>
        <v/>
      </c>
    </row>
    <row r="1972" spans="2:6" x14ac:dyDescent="0.2">
      <c r="B1972" t="str">
        <f>IFERROR(IF('PDCA review'!$D$2=Act!B1973,Act!G1973,""),"")</f>
        <v/>
      </c>
      <c r="C1972">
        <f t="shared" si="90"/>
        <v>0</v>
      </c>
      <c r="D1972">
        <f>SUM($C$3:C1972)</f>
        <v>4</v>
      </c>
      <c r="E1972" t="e">
        <f t="shared" si="91"/>
        <v>#N/A</v>
      </c>
      <c r="F1972" s="28" t="str">
        <f t="shared" ca="1" si="92"/>
        <v/>
      </c>
    </row>
    <row r="1973" spans="2:6" x14ac:dyDescent="0.2">
      <c r="B1973" t="str">
        <f>IFERROR(IF('PDCA review'!$D$2=Act!B1974,Act!G1974,""),"")</f>
        <v/>
      </c>
      <c r="C1973">
        <f t="shared" si="90"/>
        <v>0</v>
      </c>
      <c r="D1973">
        <f>SUM($C$3:C1973)</f>
        <v>4</v>
      </c>
      <c r="E1973" t="e">
        <f t="shared" si="91"/>
        <v>#N/A</v>
      </c>
      <c r="F1973" s="28" t="str">
        <f t="shared" ca="1" si="92"/>
        <v/>
      </c>
    </row>
    <row r="1974" spans="2:6" x14ac:dyDescent="0.2">
      <c r="B1974" t="str">
        <f>IFERROR(IF('PDCA review'!$D$2=Act!B1975,Act!G1975,""),"")</f>
        <v/>
      </c>
      <c r="C1974">
        <f t="shared" si="90"/>
        <v>0</v>
      </c>
      <c r="D1974">
        <f>SUM($C$3:C1974)</f>
        <v>4</v>
      </c>
      <c r="E1974" t="e">
        <f t="shared" si="91"/>
        <v>#N/A</v>
      </c>
      <c r="F1974" s="28" t="str">
        <f t="shared" ca="1" si="92"/>
        <v/>
      </c>
    </row>
    <row r="1975" spans="2:6" x14ac:dyDescent="0.2">
      <c r="B1975" t="str">
        <f>IFERROR(IF('PDCA review'!$D$2=Act!B1976,Act!G1976,""),"")</f>
        <v/>
      </c>
      <c r="C1975">
        <f t="shared" si="90"/>
        <v>0</v>
      </c>
      <c r="D1975">
        <f>SUM($C$3:C1975)</f>
        <v>4</v>
      </c>
      <c r="E1975" t="e">
        <f t="shared" si="91"/>
        <v>#N/A</v>
      </c>
      <c r="F1975" s="28" t="str">
        <f t="shared" ca="1" si="92"/>
        <v/>
      </c>
    </row>
    <row r="1976" spans="2:6" x14ac:dyDescent="0.2">
      <c r="B1976" t="str">
        <f>IFERROR(IF('PDCA review'!$D$2=Act!B1977,Act!G1977,""),"")</f>
        <v/>
      </c>
      <c r="C1976">
        <f t="shared" si="90"/>
        <v>0</v>
      </c>
      <c r="D1976">
        <f>SUM($C$3:C1976)</f>
        <v>4</v>
      </c>
      <c r="E1976" t="e">
        <f t="shared" si="91"/>
        <v>#N/A</v>
      </c>
      <c r="F1976" s="28" t="str">
        <f t="shared" ca="1" si="92"/>
        <v/>
      </c>
    </row>
    <row r="1977" spans="2:6" x14ac:dyDescent="0.2">
      <c r="B1977" t="str">
        <f>IFERROR(IF('PDCA review'!$D$2=Act!B1978,Act!G1978,""),"")</f>
        <v/>
      </c>
      <c r="C1977">
        <f t="shared" si="90"/>
        <v>0</v>
      </c>
      <c r="D1977">
        <f>SUM($C$3:C1977)</f>
        <v>4</v>
      </c>
      <c r="E1977" t="e">
        <f t="shared" si="91"/>
        <v>#N/A</v>
      </c>
      <c r="F1977" s="28" t="str">
        <f t="shared" ca="1" si="92"/>
        <v/>
      </c>
    </row>
    <row r="1978" spans="2:6" x14ac:dyDescent="0.2">
      <c r="B1978" t="str">
        <f>IFERROR(IF('PDCA review'!$D$2=Act!B1979,Act!G1979,""),"")</f>
        <v/>
      </c>
      <c r="C1978">
        <f t="shared" si="90"/>
        <v>0</v>
      </c>
      <c r="D1978">
        <f>SUM($C$3:C1978)</f>
        <v>4</v>
      </c>
      <c r="E1978" t="e">
        <f t="shared" si="91"/>
        <v>#N/A</v>
      </c>
      <c r="F1978" s="28" t="str">
        <f t="shared" ca="1" si="92"/>
        <v/>
      </c>
    </row>
    <row r="1979" spans="2:6" x14ac:dyDescent="0.2">
      <c r="B1979" t="str">
        <f>IFERROR(IF('PDCA review'!$D$2=Act!B1980,Act!G1980,""),"")</f>
        <v/>
      </c>
      <c r="C1979">
        <f t="shared" si="90"/>
        <v>0</v>
      </c>
      <c r="D1979">
        <f>SUM($C$3:C1979)</f>
        <v>4</v>
      </c>
      <c r="E1979" t="e">
        <f t="shared" si="91"/>
        <v>#N/A</v>
      </c>
      <c r="F1979" s="28" t="str">
        <f t="shared" ca="1" si="92"/>
        <v/>
      </c>
    </row>
    <row r="1980" spans="2:6" x14ac:dyDescent="0.2">
      <c r="B1980" t="str">
        <f>IFERROR(IF('PDCA review'!$D$2=Act!B1981,Act!G1981,""),"")</f>
        <v/>
      </c>
      <c r="C1980">
        <f t="shared" si="90"/>
        <v>0</v>
      </c>
      <c r="D1980">
        <f>SUM($C$3:C1980)</f>
        <v>4</v>
      </c>
      <c r="E1980" t="e">
        <f t="shared" si="91"/>
        <v>#N/A</v>
      </c>
      <c r="F1980" s="28" t="str">
        <f t="shared" ca="1" si="92"/>
        <v/>
      </c>
    </row>
    <row r="1981" spans="2:6" x14ac:dyDescent="0.2">
      <c r="B1981" t="str">
        <f>IFERROR(IF('PDCA review'!$D$2=Act!B1982,Act!G1982,""),"")</f>
        <v/>
      </c>
      <c r="C1981">
        <f t="shared" si="90"/>
        <v>0</v>
      </c>
      <c r="D1981">
        <f>SUM($C$3:C1981)</f>
        <v>4</v>
      </c>
      <c r="E1981" t="e">
        <f t="shared" si="91"/>
        <v>#N/A</v>
      </c>
      <c r="F1981" s="28" t="str">
        <f t="shared" ca="1" si="92"/>
        <v/>
      </c>
    </row>
    <row r="1982" spans="2:6" x14ac:dyDescent="0.2">
      <c r="B1982" t="str">
        <f>IFERROR(IF('PDCA review'!$D$2=Act!B1983,Act!G1983,""),"")</f>
        <v/>
      </c>
      <c r="C1982">
        <f t="shared" si="90"/>
        <v>0</v>
      </c>
      <c r="D1982">
        <f>SUM($C$3:C1982)</f>
        <v>4</v>
      </c>
      <c r="E1982" t="e">
        <f t="shared" si="91"/>
        <v>#N/A</v>
      </c>
      <c r="F1982" s="28" t="str">
        <f t="shared" ca="1" si="92"/>
        <v/>
      </c>
    </row>
    <row r="1983" spans="2:6" x14ac:dyDescent="0.2">
      <c r="B1983" t="str">
        <f>IFERROR(IF('PDCA review'!$D$2=Act!B1984,Act!G1984,""),"")</f>
        <v/>
      </c>
      <c r="C1983">
        <f t="shared" si="90"/>
        <v>0</v>
      </c>
      <c r="D1983">
        <f>SUM($C$3:C1983)</f>
        <v>4</v>
      </c>
      <c r="E1983" t="e">
        <f t="shared" si="91"/>
        <v>#N/A</v>
      </c>
      <c r="F1983" s="28" t="str">
        <f t="shared" ca="1" si="92"/>
        <v/>
      </c>
    </row>
    <row r="1984" spans="2:6" x14ac:dyDescent="0.2">
      <c r="B1984" t="str">
        <f>IFERROR(IF('PDCA review'!$D$2=Act!B1985,Act!G1985,""),"")</f>
        <v/>
      </c>
      <c r="C1984">
        <f t="shared" si="90"/>
        <v>0</v>
      </c>
      <c r="D1984">
        <f>SUM($C$3:C1984)</f>
        <v>4</v>
      </c>
      <c r="E1984" t="e">
        <f t="shared" si="91"/>
        <v>#N/A</v>
      </c>
      <c r="F1984" s="28" t="str">
        <f t="shared" ca="1" si="92"/>
        <v/>
      </c>
    </row>
    <row r="1985" spans="2:6" x14ac:dyDescent="0.2">
      <c r="B1985" t="str">
        <f>IFERROR(IF('PDCA review'!$D$2=Act!B1986,Act!G1986,""),"")</f>
        <v/>
      </c>
      <c r="C1985">
        <f t="shared" si="90"/>
        <v>0</v>
      </c>
      <c r="D1985">
        <f>SUM($C$3:C1985)</f>
        <v>4</v>
      </c>
      <c r="E1985" t="e">
        <f t="shared" si="91"/>
        <v>#N/A</v>
      </c>
      <c r="F1985" s="28" t="str">
        <f t="shared" ca="1" si="92"/>
        <v/>
      </c>
    </row>
    <row r="1986" spans="2:6" x14ac:dyDescent="0.2">
      <c r="B1986" t="str">
        <f>IFERROR(IF('PDCA review'!$D$2=Act!B1987,Act!G1987,""),"")</f>
        <v/>
      </c>
      <c r="C1986">
        <f t="shared" si="90"/>
        <v>0</v>
      </c>
      <c r="D1986">
        <f>SUM($C$3:C1986)</f>
        <v>4</v>
      </c>
      <c r="E1986" t="e">
        <f t="shared" si="91"/>
        <v>#N/A</v>
      </c>
      <c r="F1986" s="28" t="str">
        <f t="shared" ca="1" si="92"/>
        <v/>
      </c>
    </row>
    <row r="1987" spans="2:6" x14ac:dyDescent="0.2">
      <c r="B1987" t="str">
        <f>IFERROR(IF('PDCA review'!$D$2=Act!B1988,Act!G1988,""),"")</f>
        <v/>
      </c>
      <c r="C1987">
        <f t="shared" si="90"/>
        <v>0</v>
      </c>
      <c r="D1987">
        <f>SUM($C$3:C1987)</f>
        <v>4</v>
      </c>
      <c r="E1987" t="e">
        <f t="shared" si="91"/>
        <v>#N/A</v>
      </c>
      <c r="F1987" s="28" t="str">
        <f t="shared" ca="1" si="92"/>
        <v/>
      </c>
    </row>
    <row r="1988" spans="2:6" x14ac:dyDescent="0.2">
      <c r="B1988" t="str">
        <f>IFERROR(IF('PDCA review'!$D$2=Act!B1989,Act!G1989,""),"")</f>
        <v/>
      </c>
      <c r="C1988">
        <f t="shared" ref="C1988:C2000" si="93">IF(B1988&lt;&gt;"",1,0)</f>
        <v>0</v>
      </c>
      <c r="D1988">
        <f>SUM($C$3:C1988)</f>
        <v>4</v>
      </c>
      <c r="E1988" t="e">
        <f t="shared" ref="E1988:E2000" si="94">MATCH(ROW()-$D$2,$D$3:$D$2000,0)+$D$2</f>
        <v>#N/A</v>
      </c>
      <c r="F1988" s="28" t="str">
        <f t="shared" ref="F1988:F2000" ca="1" si="95">IFERROR(INDIRECT("B"&amp;E1988),"")</f>
        <v/>
      </c>
    </row>
    <row r="1989" spans="2:6" x14ac:dyDescent="0.2">
      <c r="B1989" t="str">
        <f>IFERROR(IF('PDCA review'!$D$2=Act!B1990,Act!G1990,""),"")</f>
        <v/>
      </c>
      <c r="C1989">
        <f t="shared" si="93"/>
        <v>0</v>
      </c>
      <c r="D1989">
        <f>SUM($C$3:C1989)</f>
        <v>4</v>
      </c>
      <c r="E1989" t="e">
        <f t="shared" si="94"/>
        <v>#N/A</v>
      </c>
      <c r="F1989" s="28" t="str">
        <f t="shared" ca="1" si="95"/>
        <v/>
      </c>
    </row>
    <row r="1990" spans="2:6" x14ac:dyDescent="0.2">
      <c r="B1990" t="str">
        <f>IFERROR(IF('PDCA review'!$D$2=Act!B1991,Act!G1991,""),"")</f>
        <v/>
      </c>
      <c r="C1990">
        <f t="shared" si="93"/>
        <v>0</v>
      </c>
      <c r="D1990">
        <f>SUM($C$3:C1990)</f>
        <v>4</v>
      </c>
      <c r="E1990" t="e">
        <f t="shared" si="94"/>
        <v>#N/A</v>
      </c>
      <c r="F1990" s="28" t="str">
        <f t="shared" ca="1" si="95"/>
        <v/>
      </c>
    </row>
    <row r="1991" spans="2:6" x14ac:dyDescent="0.2">
      <c r="B1991" t="str">
        <f>IFERROR(IF('PDCA review'!$D$2=Act!B1992,Act!G1992,""),"")</f>
        <v/>
      </c>
      <c r="C1991">
        <f t="shared" si="93"/>
        <v>0</v>
      </c>
      <c r="D1991">
        <f>SUM($C$3:C1991)</f>
        <v>4</v>
      </c>
      <c r="E1991" t="e">
        <f t="shared" si="94"/>
        <v>#N/A</v>
      </c>
      <c r="F1991" s="28" t="str">
        <f t="shared" ca="1" si="95"/>
        <v/>
      </c>
    </row>
    <row r="1992" spans="2:6" x14ac:dyDescent="0.2">
      <c r="B1992" t="str">
        <f>IFERROR(IF('PDCA review'!$D$2=Act!B1993,Act!G1993,""),"")</f>
        <v/>
      </c>
      <c r="C1992">
        <f t="shared" si="93"/>
        <v>0</v>
      </c>
      <c r="D1992">
        <f>SUM($C$3:C1992)</f>
        <v>4</v>
      </c>
      <c r="E1992" t="e">
        <f t="shared" si="94"/>
        <v>#N/A</v>
      </c>
      <c r="F1992" s="28" t="str">
        <f t="shared" ca="1" si="95"/>
        <v/>
      </c>
    </row>
    <row r="1993" spans="2:6" x14ac:dyDescent="0.2">
      <c r="B1993" t="str">
        <f>IFERROR(IF('PDCA review'!$D$2=Act!B1994,Act!G1994,""),"")</f>
        <v/>
      </c>
      <c r="C1993">
        <f t="shared" si="93"/>
        <v>0</v>
      </c>
      <c r="D1993">
        <f>SUM($C$3:C1993)</f>
        <v>4</v>
      </c>
      <c r="E1993" t="e">
        <f t="shared" si="94"/>
        <v>#N/A</v>
      </c>
      <c r="F1993" s="28" t="str">
        <f t="shared" ca="1" si="95"/>
        <v/>
      </c>
    </row>
    <row r="1994" spans="2:6" x14ac:dyDescent="0.2">
      <c r="B1994" t="str">
        <f>IFERROR(IF('PDCA review'!$D$2=Act!B1995,Act!G1995,""),"")</f>
        <v/>
      </c>
      <c r="C1994">
        <f t="shared" si="93"/>
        <v>0</v>
      </c>
      <c r="D1994">
        <f>SUM($C$3:C1994)</f>
        <v>4</v>
      </c>
      <c r="E1994" t="e">
        <f t="shared" si="94"/>
        <v>#N/A</v>
      </c>
      <c r="F1994" s="28" t="str">
        <f t="shared" ca="1" si="95"/>
        <v/>
      </c>
    </row>
    <row r="1995" spans="2:6" x14ac:dyDescent="0.2">
      <c r="B1995" t="str">
        <f>IFERROR(IF('PDCA review'!$D$2=Act!B1996,Act!G1996,""),"")</f>
        <v/>
      </c>
      <c r="C1995">
        <f t="shared" si="93"/>
        <v>0</v>
      </c>
      <c r="D1995">
        <f>SUM($C$3:C1995)</f>
        <v>4</v>
      </c>
      <c r="E1995" t="e">
        <f t="shared" si="94"/>
        <v>#N/A</v>
      </c>
      <c r="F1995" s="28" t="str">
        <f t="shared" ca="1" si="95"/>
        <v/>
      </c>
    </row>
    <row r="1996" spans="2:6" x14ac:dyDescent="0.2">
      <c r="B1996" t="str">
        <f>IFERROR(IF('PDCA review'!$D$2=Act!B1997,Act!G1997,""),"")</f>
        <v/>
      </c>
      <c r="C1996">
        <f t="shared" si="93"/>
        <v>0</v>
      </c>
      <c r="D1996">
        <f>SUM($C$3:C1996)</f>
        <v>4</v>
      </c>
      <c r="E1996" t="e">
        <f t="shared" si="94"/>
        <v>#N/A</v>
      </c>
      <c r="F1996" s="28" t="str">
        <f t="shared" ca="1" si="95"/>
        <v/>
      </c>
    </row>
    <row r="1997" spans="2:6" x14ac:dyDescent="0.2">
      <c r="B1997" t="str">
        <f>IFERROR(IF('PDCA review'!$D$2=Act!B1998,Act!G1998,""),"")</f>
        <v/>
      </c>
      <c r="C1997">
        <f t="shared" si="93"/>
        <v>0</v>
      </c>
      <c r="D1997">
        <f>SUM($C$3:C1997)</f>
        <v>4</v>
      </c>
      <c r="E1997" t="e">
        <f t="shared" si="94"/>
        <v>#N/A</v>
      </c>
      <c r="F1997" s="28" t="str">
        <f t="shared" ca="1" si="95"/>
        <v/>
      </c>
    </row>
    <row r="1998" spans="2:6" x14ac:dyDescent="0.2">
      <c r="B1998" t="str">
        <f>IFERROR(IF('PDCA review'!$D$2=Act!B1999,Act!G1999,""),"")</f>
        <v/>
      </c>
      <c r="C1998">
        <f t="shared" si="93"/>
        <v>0</v>
      </c>
      <c r="D1998">
        <f>SUM($C$3:C1998)</f>
        <v>4</v>
      </c>
      <c r="E1998" t="e">
        <f t="shared" si="94"/>
        <v>#N/A</v>
      </c>
      <c r="F1998" s="28" t="str">
        <f t="shared" ca="1" si="95"/>
        <v/>
      </c>
    </row>
    <row r="1999" spans="2:6" x14ac:dyDescent="0.2">
      <c r="B1999" t="str">
        <f>IFERROR(IF('PDCA review'!$D$2=Act!B2000,Act!G2000,""),"")</f>
        <v/>
      </c>
      <c r="C1999">
        <f t="shared" si="93"/>
        <v>0</v>
      </c>
      <c r="D1999">
        <f>SUM($C$3:C1999)</f>
        <v>4</v>
      </c>
      <c r="E1999" t="e">
        <f t="shared" si="94"/>
        <v>#N/A</v>
      </c>
      <c r="F1999" s="28" t="str">
        <f t="shared" ca="1" si="95"/>
        <v/>
      </c>
    </row>
    <row r="2000" spans="2:6" x14ac:dyDescent="0.2">
      <c r="B2000" t="str">
        <f>IFERROR(IF('PDCA review'!$D$2=Act!B2001,Act!G2001,""),"")</f>
        <v/>
      </c>
      <c r="C2000">
        <f t="shared" si="93"/>
        <v>0</v>
      </c>
      <c r="D2000">
        <f>SUM($C$3:C2000)</f>
        <v>4</v>
      </c>
      <c r="E2000" t="e">
        <f t="shared" si="94"/>
        <v>#N/A</v>
      </c>
      <c r="F2000" s="28" t="str">
        <f t="shared" ca="1" si="9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Introduction</vt:lpstr>
      <vt:lpstr>PDCA review</vt:lpstr>
      <vt:lpstr>Plan</vt:lpstr>
      <vt:lpstr>Do</vt:lpstr>
      <vt:lpstr>Check</vt:lpstr>
      <vt:lpstr>Act</vt:lpstr>
      <vt:lpstr>PDCA List</vt:lpstr>
      <vt:lpstr>PDCA Guide</vt:lpstr>
      <vt:lpstr>Helper sheet plan</vt:lpstr>
      <vt:lpstr>Helper sheet Do</vt:lpstr>
      <vt:lpstr>Helper sheet check</vt:lpstr>
      <vt:lpstr>Helper sheet 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QSK1184</cp:lastModifiedBy>
  <cp:lastPrinted>2008-05-03T23:46:59Z</cp:lastPrinted>
  <dcterms:created xsi:type="dcterms:W3CDTF">1901-01-01T04:00:00Z</dcterms:created>
  <dcterms:modified xsi:type="dcterms:W3CDTF">2024-09-20T12:21:23Z</dcterms:modified>
</cp:coreProperties>
</file>